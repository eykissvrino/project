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표지" sheetId="1" state="visible" r:id="rId1"/>
    <sheet xmlns:r="http://schemas.openxmlformats.org/officeDocument/2006/relationships" name="M1_SKU마스터" sheetId="2" state="visible" r:id="rId2"/>
    <sheet xmlns:r="http://schemas.openxmlformats.org/officeDocument/2006/relationships" name="M2_거래처마스터" sheetId="3" state="visible" r:id="rId3"/>
    <sheet xmlns:r="http://schemas.openxmlformats.org/officeDocument/2006/relationships" name="M3_직원역할마스터" sheetId="4" state="visible" r:id="rId4"/>
    <sheet xmlns:r="http://schemas.openxmlformats.org/officeDocument/2006/relationships" name="01_원료수불부" sheetId="5" state="visible" r:id="rId5"/>
    <sheet xmlns:r="http://schemas.openxmlformats.org/officeDocument/2006/relationships" name="02_양조일지" sheetId="6" state="visible" r:id="rId6"/>
    <sheet xmlns:r="http://schemas.openxmlformats.org/officeDocument/2006/relationships" name="03_출고판매기록" sheetId="7" state="visible" r:id="rId7"/>
    <sheet xmlns:r="http://schemas.openxmlformats.org/officeDocument/2006/relationships" name="04_재고관리" sheetId="8" state="visible" r:id="rId8"/>
    <sheet xmlns:r="http://schemas.openxmlformats.org/officeDocument/2006/relationships" name="05_부산물폐기" sheetId="9" state="visible" r:id="rId9"/>
    <sheet xmlns:r="http://schemas.openxmlformats.org/officeDocument/2006/relationships" name="06_시음QC" sheetId="10" state="visible" r:id="rId10"/>
    <sheet xmlns:r="http://schemas.openxmlformats.org/officeDocument/2006/relationships" name="07_고객체험" sheetId="11" state="visible" r:id="rId11"/>
    <sheet xmlns:r="http://schemas.openxmlformats.org/officeDocument/2006/relationships" name="08_월별요약" sheetId="12" state="visible" r:id="rId12"/>
    <sheet xmlns:r="http://schemas.openxmlformats.org/officeDocument/2006/relationships" name="09_분기요약" sheetId="13" state="visible" r:id="rId13"/>
    <sheet xmlns:r="http://schemas.openxmlformats.org/officeDocument/2006/relationships" name="10_연도요약" sheetId="14" state="visible" r:id="rId14"/>
    <sheet xmlns:r="http://schemas.openxmlformats.org/officeDocument/2006/relationships" name="11_대시보드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0.0%"/>
    <numFmt numFmtId="166" formatCode="yyyy-mm-dd"/>
    <numFmt numFmtId="167" formatCode="0000"/>
    <numFmt numFmtId="168" formatCode="00"/>
    <numFmt numFmtId="169" formatCode="0.0"/>
  </numFmts>
  <fonts count="17">
    <font>
      <name val="Calibri"/>
      <family val="2"/>
      <color theme="1"/>
      <sz val="11"/>
      <scheme val="minor"/>
    </font>
    <font>
      <name val="MalgunGothic"/>
      <b val="1"/>
      <color rgb="003D2914"/>
      <sz val="20"/>
    </font>
    <font>
      <name val="MalgunGothic"/>
      <i val="1"/>
      <color rgb="00666666"/>
      <sz val="11"/>
    </font>
    <font>
      <name val="MalgunGothic"/>
      <i val="1"/>
      <color rgb="00888888"/>
      <sz val="9"/>
    </font>
    <font>
      <name val="MalgunGothic"/>
      <b val="1"/>
      <color rgb="003D2914"/>
      <sz val="12"/>
    </font>
    <font>
      <name val="MalgunGothic"/>
      <b val="1"/>
      <sz val="10"/>
    </font>
    <font>
      <name val="MalgunGothic"/>
      <sz val="10"/>
    </font>
    <font>
      <name val="MalgunGothic"/>
      <b val="1"/>
      <color rgb="00FFF5E1"/>
      <sz val="10"/>
    </font>
    <font>
      <name val="MalgunGothic"/>
      <b val="1"/>
      <color rgb="003D2914"/>
      <sz val="16"/>
    </font>
    <font>
      <name val="MalgunGothic"/>
      <i val="1"/>
      <color rgb="00888888"/>
      <sz val="11"/>
    </font>
    <font>
      <name val="MalgunGothic"/>
      <i val="1"/>
      <color rgb="00B0660C"/>
      <sz val="10"/>
    </font>
    <font>
      <name val="MalgunGothic"/>
      <b val="1"/>
      <i val="1"/>
      <color rgb="00A02E22"/>
      <sz val="10"/>
    </font>
    <font>
      <name val="MalgunGothic"/>
      <i val="1"/>
      <color rgb="00A02E22"/>
      <sz val="10"/>
    </font>
    <font>
      <name val="MalgunGothic"/>
      <b val="1"/>
      <color rgb="00FFFFFF"/>
      <sz val="10"/>
    </font>
    <font>
      <name val="MalgunGothic"/>
      <i val="1"/>
      <color rgb="001F7A44"/>
      <sz val="9"/>
    </font>
    <font>
      <name val="MalgunGothic"/>
      <i val="1"/>
      <color rgb="001A4D8C"/>
      <sz val="9"/>
    </font>
    <font>
      <name val="MalgunGothic"/>
      <b val="1"/>
      <color rgb="003D2914"/>
      <sz val="11"/>
    </font>
  </fonts>
  <fills count="12">
    <fill>
      <patternFill/>
    </fill>
    <fill>
      <patternFill patternType="gray125"/>
    </fill>
    <fill>
      <patternFill patternType="solid">
        <fgColor rgb="00F5E9D2"/>
      </patternFill>
    </fill>
    <fill>
      <patternFill patternType="solid">
        <fgColor rgb="003D2914"/>
      </patternFill>
    </fill>
    <fill>
      <patternFill patternType="solid">
        <fgColor rgb="00E8F0E5"/>
      </patternFill>
    </fill>
    <fill>
      <patternFill patternType="solid">
        <fgColor rgb="005E3D1F"/>
      </patternFill>
    </fill>
    <fill>
      <patternFill patternType="solid">
        <fgColor rgb="00FFFAEF"/>
      </patternFill>
    </fill>
    <fill>
      <patternFill patternType="solid">
        <fgColor rgb="00FBF6E8"/>
      </patternFill>
    </fill>
    <fill>
      <patternFill patternType="solid">
        <fgColor rgb="005E7A4D"/>
      </patternFill>
    </fill>
    <fill>
      <patternFill patternType="solid">
        <fgColor rgb="004A7FBF"/>
      </patternFill>
    </fill>
    <fill>
      <patternFill patternType="solid">
        <fgColor rgb="00E8F0FA"/>
      </patternFill>
    </fill>
    <fill>
      <patternFill patternType="solid">
        <fgColor rgb="00FFF4D6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6" fillId="6" borderId="1" pivotButton="0" quotePrefix="0" xfId="0"/>
    <xf numFmtId="1" fontId="6" fillId="6" borderId="1" pivotButton="0" quotePrefix="0" xfId="0"/>
    <xf numFmtId="164" fontId="6" fillId="6" borderId="1" pivotButton="0" quotePrefix="0" xfId="0"/>
    <xf numFmtId="165" fontId="6" fillId="6" borderId="1" pivotButton="0" quotePrefix="0" xfId="0"/>
    <xf numFmtId="0" fontId="6" fillId="7" borderId="1" pivotButton="0" quotePrefix="0" xfId="0"/>
    <xf numFmtId="1" fontId="6" fillId="7" borderId="1" pivotButton="0" quotePrefix="0" xfId="0"/>
    <xf numFmtId="164" fontId="6" fillId="7" borderId="1" pivotButton="0" quotePrefix="0" xfId="0"/>
    <xf numFmtId="165" fontId="6" fillId="7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12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166" fontId="6" fillId="6" borderId="1" pivotButton="0" quotePrefix="0" xfId="0"/>
    <xf numFmtId="167" fontId="14" fillId="4" borderId="1" pivotButton="0" quotePrefix="0" xfId="0"/>
    <xf numFmtId="168" fontId="14" fillId="4" borderId="1" pivotButton="0" quotePrefix="0" xfId="0"/>
    <xf numFmtId="0" fontId="14" fillId="4" borderId="1" pivotButton="0" quotePrefix="0" xfId="0"/>
    <xf numFmtId="169" fontId="6" fillId="6" borderId="1" pivotButton="0" quotePrefix="0" xfId="0"/>
    <xf numFmtId="164" fontId="14" fillId="4" borderId="1" pivotButton="0" quotePrefix="0" xfId="0"/>
    <xf numFmtId="0" fontId="15" fillId="10" borderId="1" pivotButton="0" quotePrefix="0" xfId="0"/>
    <xf numFmtId="166" fontId="6" fillId="7" borderId="1" pivotButton="0" quotePrefix="0" xfId="0"/>
    <xf numFmtId="169" fontId="6" fillId="7" borderId="1" pivotButton="0" quotePrefix="0" xfId="0"/>
    <xf numFmtId="169" fontId="14" fillId="4" borderId="1" pivotButton="0" quotePrefix="0" xfId="0"/>
    <xf numFmtId="0" fontId="6" fillId="6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6" fillId="11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name val="MalgunGothic"/>
        <b val="1"/>
        <color rgb="00C62828"/>
        <sz val="10"/>
      </font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 월별 매출 추세</a:t>
            </a:r>
          </a:p>
        </rich>
      </tx>
    </title>
    <plotArea>
      <lineChart>
        <grouping val="standard"/>
        <ser>
          <idx val="0"/>
          <order val="0"/>
          <tx>
            <strRef>
              <f>'11_대시보드'!B6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'11_대시보드'!$A$7:$A$18</f>
            </numRef>
          </cat>
          <val>
            <numRef>
              <f>'11_대시보드'!$B$7:$B$18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매출(원)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 SKU별 매출 비중</a:t>
            </a:r>
          </a:p>
        </rich>
      </tx>
    </title>
    <plotArea>
      <pieChart>
        <varyColors val="1"/>
        <ser>
          <idx val="0"/>
          <order val="0"/>
          <tx>
            <strRef>
              <f>'11_대시보드'!B23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'11_대시보드'!$A$24:$A$27</f>
            </numRef>
          </cat>
          <val>
            <numRef>
              <f>'11_대시보드'!$B$24:$B$27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 채널별 매출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'11_대시보드'!B40</f>
            </strRef>
          </tx>
          <spPr>
            <a:ln xmlns:a="http://schemas.openxmlformats.org/drawingml/2006/main">
              <a:prstDash val="solid"/>
            </a:ln>
          </spPr>
          <cat>
            <numRef>
              <f>'11_대시보드'!$A$41:$A$46</f>
            </numRef>
          </cat>
          <val>
            <numRef>
              <f>'11_대시보드'!$B$41:$B$46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채널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매출(원)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월인가</author>
  </authors>
  <commentList>
    <comment ref="A5" authorId="0" shapeId="0">
      <text>
        <t>자유 형식. 예: V-001 (원료공급), C-001 (소비자), B-001 (B2B)</t>
      </text>
    </comment>
    <comment ref="B5" authorId="0" shapeId="0">
      <text>
        <t>원료공급/B2B(소매상)/B2B(레스토랑)/B2B(호텔)/체험참석/단골/도매/유통/기타</t>
      </text>
    </comment>
    <comment ref="E5" authorId="0" shapeId="0">
      <text>
        <t>사업자인 경우만. 개인은 비워둠. 법령상 사업자 거래처는 사업자번호 필수.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21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38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3D2914"/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6" customHeight="1">
      <c r="A1" s="1" t="inlineStr">
        <is>
          <t>🌙 월인가 술빚는날 — 운영 기록부 마스터 v4.0</t>
        </is>
      </c>
    </row>
    <row r="2" ht="22" customHeight="1">
      <c r="A2" s="2" t="inlineStr">
        <is>
          <t>법적 안전 + 효율 자동화 + 데이터 자산화 통합 · 15 시트</t>
        </is>
      </c>
    </row>
    <row r="3">
      <c r="A3" s="3" t="inlineStr">
        <is>
          <t>Version: v4.0 (2026-05-09) · v2 → v4 비판적 검토 반영</t>
        </is>
      </c>
    </row>
    <row r="5" ht="24" customHeight="1">
      <c r="A5" s="4" t="inlineStr">
        <is>
          <t>사업장 정보</t>
        </is>
      </c>
    </row>
    <row r="6" ht="22" customHeight="1">
      <c r="A6" s="5" t="inlineStr">
        <is>
          <t>상호</t>
        </is>
      </c>
      <c r="B6" s="6" t="inlineStr">
        <is>
          <t>월인가 술빚는날 (대표 김지은)</t>
        </is>
      </c>
    </row>
    <row r="7" ht="22" customHeight="1">
      <c r="A7" s="5" t="inlineStr">
        <is>
          <t>사업자번호</t>
        </is>
      </c>
      <c r="B7" s="6" t="inlineStr">
        <is>
          <t>358-34-01806</t>
        </is>
      </c>
    </row>
    <row r="8" ht="22" customHeight="1">
      <c r="A8" s="5" t="inlineStr">
        <is>
          <t>소재지</t>
        </is>
      </c>
      <c r="B8" s="6" t="inlineStr">
        <is>
          <t>충남 천안시 동남구 다가말2길 81-1</t>
        </is>
      </c>
    </row>
    <row r="9" ht="22" customHeight="1">
      <c r="A9" s="5" t="inlineStr">
        <is>
          <t>연락처</t>
        </is>
      </c>
      <c r="B9" s="6" t="inlineStr">
        <is>
          <t>010-4837-3479</t>
        </is>
      </c>
    </row>
    <row r="10" ht="22" customHeight="1">
      <c r="A10" s="5" t="inlineStr">
        <is>
          <t>면허</t>
        </is>
      </c>
      <c r="B10" s="6" t="inlineStr">
        <is>
          <t>전통주(지역특산주) — 탁주·약주·증류식소주 + 식품(식초)</t>
        </is>
      </c>
    </row>
    <row r="12" ht="24" customHeight="1">
      <c r="A12" s="4" t="inlineStr">
        <is>
          <t>⚙️ v2 → v4 핵심 변화 (9가지 약점 해결)</t>
        </is>
      </c>
    </row>
    <row r="13" ht="20" customHeight="1">
      <c r="A13" s="7" t="inlineStr">
        <is>
          <t>[P0 법적] ① 거래처 마스터 시트 신규 → 인적사항 5컬럼 분리 (법령 §25 요구)</t>
        </is>
      </c>
    </row>
    <row r="14" ht="20" customHeight="1">
      <c r="A14" s="7" t="inlineStr">
        <is>
          <t>[P0 법적] ② 세금계산서·인보이스 번호 컬럼 추가 → 매출 역추적 가능</t>
        </is>
      </c>
    </row>
    <row r="15" ht="20" customHeight="1">
      <c r="A15" s="7" t="inlineStr">
        <is>
          <t>[P0 법적] ③ 밑술/술덧 별도 추적 (구분 드롭다운 확장)</t>
        </is>
      </c>
    </row>
    <row r="16" ht="20" customHeight="1">
      <c r="A16" s="7" t="inlineStr">
        <is>
          <t>[P1 효율] ④ SKU 마스터·직원 마스터 시트 신규 → 정보 일관성</t>
        </is>
      </c>
    </row>
    <row r="17" ht="20" customHeight="1">
      <c r="A17" s="7" t="inlineStr">
        <is>
          <t>[P1 효율] ⑤ VLOOKUP 자동 채움 → 거래처ID만 입력하면 인적사항 자동</t>
        </is>
      </c>
    </row>
    <row r="18" ht="20" customHeight="1">
      <c r="A18" s="7" t="inlineStr">
        <is>
          <t>[P1 효율] ⑥ 조건부 서식 → 마이너스 재고 빨강, 누락 노랑</t>
        </is>
      </c>
    </row>
    <row r="19" ht="20" customHeight="1">
      <c r="A19" s="7" t="inlineStr">
        <is>
          <t>[P2 자산화] ⑦ 정량 시음 척도 (향·맛·바디·균형·여운 9점) + 종합 자동</t>
        </is>
      </c>
    </row>
    <row r="20" ht="20" customHeight="1">
      <c r="A20" s="7" t="inlineStr">
        <is>
          <t>[P2 자산화] ⑧ 고객 해시 ID 컬럼 → 반복 구매 추적 + 개인정보 보호</t>
        </is>
      </c>
    </row>
    <row r="21" ht="20" customHeight="1">
      <c r="A21" s="7" t="inlineStr">
        <is>
          <t>[P2 자산화] ⑨ 11_대시보드 시트 신규 → 매출 추세·SKU 비중·채널별 시각화</t>
        </is>
      </c>
    </row>
    <row r="23" ht="24" customHeight="1">
      <c r="A23" s="4" t="inlineStr">
        <is>
          <t>📑 15 시트 구성</t>
        </is>
      </c>
    </row>
    <row r="24" ht="32" customHeight="1">
      <c r="A24" s="8" t="inlineStr">
        <is>
          <t>탭</t>
        </is>
      </c>
      <c r="B24" s="8" t="inlineStr">
        <is>
          <t>이름</t>
        </is>
      </c>
      <c r="C24" s="8" t="inlineStr">
        <is>
          <t>역할</t>
        </is>
      </c>
      <c r="D24" s="8" t="inlineStr">
        <is>
          <t>관점</t>
        </is>
      </c>
      <c r="E24" s="8" t="inlineStr">
        <is>
          <t>1차 입력자</t>
        </is>
      </c>
      <c r="F24" s="8" t="inlineStr">
        <is>
          <t>주기</t>
        </is>
      </c>
      <c r="G24" s="8" t="inlineStr">
        <is>
          <t>신규?</t>
        </is>
      </c>
      <c r="H24" s="9" t="n"/>
    </row>
    <row r="25">
      <c r="A25" s="10" t="inlineStr">
        <is>
          <t>M1</t>
        </is>
      </c>
      <c r="B25" s="11" t="inlineStr">
        <is>
          <t>SKU 마스터</t>
        </is>
      </c>
      <c r="C25" s="11" t="inlineStr">
        <is>
          <t>제품 정보 (가격·마진·라벨)</t>
        </is>
      </c>
      <c r="D25" s="10" t="inlineStr">
        <is>
          <t>효율·자산화</t>
        </is>
      </c>
      <c r="E25" s="11" t="inlineStr">
        <is>
          <t>사령탑</t>
        </is>
      </c>
      <c r="F25" s="10" t="inlineStr">
        <is>
          <t>출시 시</t>
        </is>
      </c>
      <c r="G25" s="10" t="inlineStr">
        <is>
          <t>🆕</t>
        </is>
      </c>
    </row>
    <row r="26">
      <c r="A26" s="10" t="inlineStr">
        <is>
          <t>M2</t>
        </is>
      </c>
      <c r="B26" s="11" t="inlineStr">
        <is>
          <t>거래처 마스터</t>
        </is>
      </c>
      <c r="C26" s="11" t="inlineStr">
        <is>
          <t>인도인·수취인 인적사항 5컬럼</t>
        </is>
      </c>
      <c r="D26" s="10" t="inlineStr">
        <is>
          <t>법적·효율</t>
        </is>
      </c>
      <c r="E26" s="11" t="inlineStr">
        <is>
          <t>사령탑</t>
        </is>
      </c>
      <c r="F26" s="10" t="inlineStr">
        <is>
          <t>신규 거래 시</t>
        </is>
      </c>
      <c r="G26" s="10" t="inlineStr">
        <is>
          <t>🆕</t>
        </is>
      </c>
    </row>
    <row r="27">
      <c r="A27" s="10" t="inlineStr">
        <is>
          <t>M3</t>
        </is>
      </c>
      <c r="B27" s="11" t="inlineStr">
        <is>
          <t>직원·역할 마스터</t>
        </is>
      </c>
      <c r="C27" s="11" t="inlineStr">
        <is>
          <t>가족 4인 + 외부 협력자</t>
        </is>
      </c>
      <c r="D27" s="10" t="inlineStr">
        <is>
          <t>효율</t>
        </is>
      </c>
      <c r="E27" s="11" t="inlineStr">
        <is>
          <t>사령탑</t>
        </is>
      </c>
      <c r="F27" s="10" t="inlineStr">
        <is>
          <t>변경 시</t>
        </is>
      </c>
      <c r="G27" s="10" t="inlineStr">
        <is>
          <t>🆕</t>
        </is>
      </c>
    </row>
    <row r="28">
      <c r="A28" s="12" t="inlineStr">
        <is>
          <t>01</t>
        </is>
      </c>
      <c r="B28" s="6" t="inlineStr">
        <is>
          <t>원료 수불부</t>
        </is>
      </c>
      <c r="C28" s="6" t="inlineStr">
        <is>
          <t>원료·밑술 입고·사용 (인도인 ID 참조)</t>
        </is>
      </c>
      <c r="D28" s="12" t="inlineStr">
        <is>
          <t>법적</t>
        </is>
      </c>
      <c r="E28" s="6" t="inlineStr">
        <is>
          <t>사령탑</t>
        </is>
      </c>
      <c r="F28" s="12" t="inlineStr">
        <is>
          <t>수시</t>
        </is>
      </c>
      <c r="G28" s="12" t="inlineStr">
        <is>
          <t>확장</t>
        </is>
      </c>
    </row>
    <row r="29">
      <c r="A29" s="12" t="inlineStr">
        <is>
          <t>02</t>
        </is>
      </c>
      <c r="B29" s="6" t="inlineStr">
        <is>
          <t>양조 일지</t>
        </is>
      </c>
      <c r="C29" s="6" t="inlineStr">
        <is>
          <t>양조 단계·발효 데이터</t>
        </is>
      </c>
      <c r="D29" s="12" t="inlineStr">
        <is>
          <t>법적·자산화</t>
        </is>
      </c>
      <c r="E29" s="6" t="inlineStr">
        <is>
          <t>사령탑</t>
        </is>
      </c>
      <c r="F29" s="12" t="inlineStr">
        <is>
          <t>배치</t>
        </is>
      </c>
      <c r="G29" s="12" t="inlineStr">
        <is>
          <t>확장</t>
        </is>
      </c>
    </row>
    <row r="30">
      <c r="A30" s="12" t="inlineStr">
        <is>
          <t>03</t>
        </is>
      </c>
      <c r="B30" s="6" t="inlineStr">
        <is>
          <t>출고·판매 기록</t>
        </is>
      </c>
      <c r="C30" s="6" t="inlineStr">
        <is>
          <t>반출·판매 (수취인 ID + 세금계산서)</t>
        </is>
      </c>
      <c r="D30" s="12" t="inlineStr">
        <is>
          <t>법적</t>
        </is>
      </c>
      <c r="E30" s="6" t="inlineStr">
        <is>
          <t>사령탑</t>
        </is>
      </c>
      <c r="F30" s="12" t="inlineStr">
        <is>
          <t>수시</t>
        </is>
      </c>
      <c r="G30" s="12" t="inlineStr">
        <is>
          <t>확장</t>
        </is>
      </c>
    </row>
    <row r="31">
      <c r="A31" s="12" t="inlineStr">
        <is>
          <t>04</t>
        </is>
      </c>
      <c r="B31" s="6" t="inlineStr">
        <is>
          <t>재고 관리</t>
        </is>
      </c>
      <c r="C31" s="6" t="inlineStr">
        <is>
          <t>월말 마감·재고</t>
        </is>
      </c>
      <c r="D31" s="12" t="inlineStr">
        <is>
          <t>효율</t>
        </is>
      </c>
      <c r="E31" s="6" t="inlineStr">
        <is>
          <t>사령탑</t>
        </is>
      </c>
      <c r="F31" s="12" t="inlineStr">
        <is>
          <t>월말</t>
        </is>
      </c>
      <c r="G31" s="12" t="inlineStr">
        <is>
          <t>유지</t>
        </is>
      </c>
    </row>
    <row r="32">
      <c r="A32" s="12" t="inlineStr">
        <is>
          <t>05</t>
        </is>
      </c>
      <c r="B32" s="6" t="inlineStr">
        <is>
          <t>부산물·폐기</t>
        </is>
      </c>
      <c r="C32" s="6" t="inlineStr">
        <is>
          <t>주박·폐기물</t>
        </is>
      </c>
      <c r="D32" s="12" t="inlineStr">
        <is>
          <t>법적</t>
        </is>
      </c>
      <c r="E32" s="6" t="inlineStr">
        <is>
          <t>사령탑</t>
        </is>
      </c>
      <c r="F32" s="12" t="inlineStr">
        <is>
          <t>수시</t>
        </is>
      </c>
      <c r="G32" s="12" t="inlineStr">
        <is>
          <t>유지</t>
        </is>
      </c>
    </row>
    <row r="33">
      <c r="A33" s="12" t="inlineStr">
        <is>
          <t>06</t>
        </is>
      </c>
      <c r="B33" s="6" t="inlineStr">
        <is>
          <t>시음·자가품질</t>
        </is>
      </c>
      <c r="C33" s="6" t="inlineStr">
        <is>
          <t>5축 9점 정량 평가</t>
        </is>
      </c>
      <c r="D33" s="12" t="inlineStr">
        <is>
          <t>자산화</t>
        </is>
      </c>
      <c r="E33" s="6" t="inlineStr">
        <is>
          <t>사령탑</t>
        </is>
      </c>
      <c r="F33" s="12" t="inlineStr">
        <is>
          <t>분기</t>
        </is>
      </c>
      <c r="G33" s="12" t="inlineStr">
        <is>
          <t>확장</t>
        </is>
      </c>
    </row>
    <row r="34">
      <c r="A34" s="12" t="inlineStr">
        <is>
          <t>07</t>
        </is>
      </c>
      <c r="B34" s="6" t="inlineStr">
        <is>
          <t>고객·체험</t>
        </is>
      </c>
      <c r="C34" s="6" t="inlineStr">
        <is>
          <t>해시 ID + 반복 거래 추적</t>
        </is>
      </c>
      <c r="D34" s="12" t="inlineStr">
        <is>
          <t>자산화</t>
        </is>
      </c>
      <c r="E34" s="6" t="inlineStr">
        <is>
          <t>사령탑</t>
        </is>
      </c>
      <c r="F34" s="12" t="inlineStr">
        <is>
          <t>행사 시</t>
        </is>
      </c>
      <c r="G34" s="12" t="inlineStr">
        <is>
          <t>확장</t>
        </is>
      </c>
    </row>
    <row r="35">
      <c r="A35" s="12" t="inlineStr">
        <is>
          <t>08</t>
        </is>
      </c>
      <c r="B35" s="6" t="inlineStr">
        <is>
          <t>월별 요약</t>
        </is>
      </c>
      <c r="C35" s="6" t="inlineStr">
        <is>
          <t>월간 매출·SKU·채널 자동</t>
        </is>
      </c>
      <c r="D35" s="12" t="inlineStr">
        <is>
          <t>효율</t>
        </is>
      </c>
      <c r="E35" s="6" t="inlineStr">
        <is>
          <t>자동</t>
        </is>
      </c>
      <c r="F35" s="12" t="inlineStr">
        <is>
          <t>자동</t>
        </is>
      </c>
      <c r="G35" s="12" t="inlineStr">
        <is>
          <t>유지</t>
        </is>
      </c>
    </row>
    <row r="36">
      <c r="A36" s="12" t="inlineStr">
        <is>
          <t>09</t>
        </is>
      </c>
      <c r="B36" s="6" t="inlineStr">
        <is>
          <t>분기 요약</t>
        </is>
      </c>
      <c r="C36" s="6" t="inlineStr">
        <is>
          <t>주세 신고 baseline</t>
        </is>
      </c>
      <c r="D36" s="12" t="inlineStr">
        <is>
          <t>법적</t>
        </is>
      </c>
      <c r="E36" s="6" t="inlineStr">
        <is>
          <t>자동</t>
        </is>
      </c>
      <c r="F36" s="12" t="inlineStr">
        <is>
          <t>자동</t>
        </is>
      </c>
      <c r="G36" s="12" t="inlineStr">
        <is>
          <t>유지</t>
        </is>
      </c>
    </row>
    <row r="37">
      <c r="A37" s="12" t="inlineStr">
        <is>
          <t>10</t>
        </is>
      </c>
      <c r="B37" s="6" t="inlineStr">
        <is>
          <t>연도 요약</t>
        </is>
      </c>
      <c r="C37" s="6" t="inlineStr">
        <is>
          <t>KPI 대시보드</t>
        </is>
      </c>
      <c r="D37" s="12" t="inlineStr">
        <is>
          <t>효율</t>
        </is>
      </c>
      <c r="E37" s="6" t="inlineStr">
        <is>
          <t>자동</t>
        </is>
      </c>
      <c r="F37" s="12" t="inlineStr">
        <is>
          <t>자동</t>
        </is>
      </c>
      <c r="G37" s="12" t="inlineStr">
        <is>
          <t>유지</t>
        </is>
      </c>
    </row>
    <row r="38">
      <c r="A38" s="10" t="inlineStr">
        <is>
          <t>11</t>
        </is>
      </c>
      <c r="B38" s="11" t="inlineStr">
        <is>
          <t>📊 시각화 대시보드</t>
        </is>
      </c>
      <c r="C38" s="11" t="inlineStr">
        <is>
          <t>차트·추세선·비중</t>
        </is>
      </c>
      <c r="D38" s="10" t="inlineStr">
        <is>
          <t>자산화</t>
        </is>
      </c>
      <c r="E38" s="11" t="inlineStr">
        <is>
          <t>자동</t>
        </is>
      </c>
      <c r="F38" s="10" t="inlineStr">
        <is>
          <t>자동</t>
        </is>
      </c>
      <c r="G38" s="10" t="inlineStr">
        <is>
          <t>🆕</t>
        </is>
      </c>
    </row>
  </sheetData>
  <mergeCells count="35">
    <mergeCell ref="H37"/>
    <mergeCell ref="H27"/>
    <mergeCell ref="B9:H9"/>
    <mergeCell ref="A15:H15"/>
    <mergeCell ref="B6:H6"/>
    <mergeCell ref="H33"/>
    <mergeCell ref="A1:H1"/>
    <mergeCell ref="H30"/>
    <mergeCell ref="H35"/>
    <mergeCell ref="A16:H16"/>
    <mergeCell ref="H26"/>
    <mergeCell ref="H29"/>
    <mergeCell ref="H38"/>
    <mergeCell ref="B7:H7"/>
    <mergeCell ref="A12:H12"/>
    <mergeCell ref="A18:H18"/>
    <mergeCell ref="A3:H3"/>
    <mergeCell ref="A21:H21"/>
    <mergeCell ref="H31"/>
    <mergeCell ref="G24:H24"/>
    <mergeCell ref="H25"/>
    <mergeCell ref="H34"/>
    <mergeCell ref="A2:H2"/>
    <mergeCell ref="A14:H14"/>
    <mergeCell ref="A5:H5"/>
    <mergeCell ref="A23:H23"/>
    <mergeCell ref="H36"/>
    <mergeCell ref="A17:H17"/>
    <mergeCell ref="B8:H8"/>
    <mergeCell ref="A20:H20"/>
    <mergeCell ref="A13:H13"/>
    <mergeCell ref="A19:H19"/>
    <mergeCell ref="B10:H10"/>
    <mergeCell ref="H32"/>
    <mergeCell ref="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E3D1F"/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8" customWidth="1" min="4" max="4"/>
    <col width="8" customWidth="1" min="5" max="5"/>
    <col width="13" customWidth="1" min="6" max="6"/>
    <col width="13" customWidth="1" min="7" max="7"/>
    <col width="12" customWidth="1" min="8" max="8"/>
    <col width="12" customWidth="1" min="9" max="9"/>
    <col width="18" customWidth="1" min="10" max="10"/>
    <col width="22" customWidth="1" min="11" max="11"/>
  </cols>
  <sheetData>
    <row r="1" ht="30" customHeight="1">
      <c r="A1" s="13" t="inlineStr">
        <is>
          <t>M1. SKU 마스터</t>
        </is>
      </c>
    </row>
    <row r="2">
      <c r="A2" s="14" t="inlineStr">
        <is>
          <t>제품 정보의 진실 출처(SoT). 다른 시트는 SKU ID로 참조 (VLOOKUP)</t>
        </is>
      </c>
    </row>
    <row r="5" ht="32" customHeight="1">
      <c r="A5" s="15" t="inlineStr">
        <is>
          <t>SKU ID</t>
        </is>
      </c>
      <c r="B5" s="15" t="inlineStr">
        <is>
          <t>제품명</t>
        </is>
      </c>
      <c r="C5" s="15" t="inlineStr">
        <is>
          <t>분류</t>
        </is>
      </c>
      <c r="D5" s="15" t="inlineStr">
        <is>
          <t>규격</t>
        </is>
      </c>
      <c r="E5" s="15" t="inlineStr">
        <is>
          <t>도수(%)</t>
        </is>
      </c>
      <c r="F5" s="15" t="inlineStr">
        <is>
          <t>신고출고가</t>
        </is>
      </c>
      <c r="G5" s="15" t="inlineStr">
        <is>
          <t>실제판매가</t>
        </is>
      </c>
      <c r="H5" s="15" t="inlineStr">
        <is>
          <t>원가</t>
        </is>
      </c>
      <c r="I5" s="15" t="inlineStr">
        <is>
          <t>마진율</t>
        </is>
      </c>
      <c r="J5" s="15" t="inlineStr">
        <is>
          <t>상태</t>
        </is>
      </c>
      <c r="K5" s="15" t="inlineStr">
        <is>
          <t>비고</t>
        </is>
      </c>
    </row>
    <row r="6">
      <c r="A6" s="6" t="inlineStr">
        <is>
          <t>WG-TJ-500</t>
        </is>
      </c>
      <c r="B6" s="6" t="inlineStr">
        <is>
          <t>월인가 국화주 탁주</t>
        </is>
      </c>
      <c r="C6" s="12" t="inlineStr">
        <is>
          <t>탁주</t>
        </is>
      </c>
      <c r="D6" s="12" t="inlineStr">
        <is>
          <t>500ml</t>
        </is>
      </c>
      <c r="E6" s="12" t="n">
        <v>10</v>
      </c>
      <c r="F6" s="16" t="n">
        <v>8011</v>
      </c>
      <c r="G6" s="16" t="n">
        <v>12000</v>
      </c>
      <c r="H6" s="16" t="n">
        <v>3454</v>
      </c>
      <c r="I6" s="17">
        <f>(G6-H6)/G6</f>
        <v/>
      </c>
      <c r="J6" s="6" t="inlineStr">
        <is>
          <t>운영중</t>
        </is>
      </c>
      <c r="K6" s="6" t="inlineStr">
        <is>
          <t>입문 SKU</t>
        </is>
      </c>
    </row>
    <row r="7">
      <c r="A7" s="6" t="inlineStr">
        <is>
          <t>WG-TJ-750</t>
        </is>
      </c>
      <c r="B7" s="6" t="inlineStr">
        <is>
          <t>월인가 국화주 탁주</t>
        </is>
      </c>
      <c r="C7" s="12" t="inlineStr">
        <is>
          <t>탁주</t>
        </is>
      </c>
      <c r="D7" s="12" t="inlineStr">
        <is>
          <t>750ml</t>
        </is>
      </c>
      <c r="E7" s="12" t="n">
        <v>10</v>
      </c>
      <c r="F7" s="16" t="n">
        <v>12017</v>
      </c>
      <c r="G7" s="16" t="n"/>
      <c r="H7" s="16" t="n">
        <v>3971</v>
      </c>
      <c r="I7" s="17" t="n"/>
      <c r="J7" s="6" t="inlineStr">
        <is>
          <t>신고만완료</t>
        </is>
      </c>
      <c r="K7" s="6" t="inlineStr">
        <is>
          <t>현재 미운영</t>
        </is>
      </c>
    </row>
    <row r="8">
      <c r="A8" s="6" t="inlineStr">
        <is>
          <t>WG-YJ-375</t>
        </is>
      </c>
      <c r="B8" s="6" t="inlineStr">
        <is>
          <t>월인가 국화주 약주</t>
        </is>
      </c>
      <c r="C8" s="12" t="inlineStr">
        <is>
          <t>약주</t>
        </is>
      </c>
      <c r="D8" s="12" t="inlineStr">
        <is>
          <t>375ml</t>
        </is>
      </c>
      <c r="E8" s="12" t="n">
        <v>15</v>
      </c>
      <c r="F8" s="16" t="n">
        <v>13980</v>
      </c>
      <c r="G8" s="16" t="n">
        <v>25000</v>
      </c>
      <c r="H8" s="16" t="n">
        <v>3525</v>
      </c>
      <c r="I8" s="17">
        <f>(G8-H8)/G8</f>
        <v/>
      </c>
      <c r="J8" s="6" t="inlineStr">
        <is>
          <t>운영중</t>
        </is>
      </c>
      <c r="K8" s="6" t="inlineStr">
        <is>
          <t>D2C 메인</t>
        </is>
      </c>
    </row>
    <row r="9">
      <c r="A9" s="6" t="inlineStr">
        <is>
          <t>WG-YJ-500</t>
        </is>
      </c>
      <c r="B9" s="6" t="inlineStr">
        <is>
          <t>월인가 국화주 약주</t>
        </is>
      </c>
      <c r="C9" s="12" t="inlineStr">
        <is>
          <t>약주</t>
        </is>
      </c>
      <c r="D9" s="12" t="inlineStr">
        <is>
          <t>500ml</t>
        </is>
      </c>
      <c r="E9" s="12" t="n">
        <v>15</v>
      </c>
      <c r="F9" s="16" t="n">
        <v>17475</v>
      </c>
      <c r="G9" s="16" t="n"/>
      <c r="H9" s="16" t="n">
        <v>3894</v>
      </c>
      <c r="I9" s="17" t="n"/>
      <c r="J9" s="6" t="inlineStr">
        <is>
          <t>신고만완료</t>
        </is>
      </c>
      <c r="K9" s="6" t="inlineStr">
        <is>
          <t>현재 미운영</t>
        </is>
      </c>
    </row>
    <row r="10">
      <c r="A10" s="6" t="inlineStr">
        <is>
          <t>WG-SJ-375</t>
        </is>
      </c>
      <c r="B10" s="6" t="inlineStr">
        <is>
          <t>월인가 사계주 소주</t>
        </is>
      </c>
      <c r="C10" s="12" t="inlineStr">
        <is>
          <t>소주</t>
        </is>
      </c>
      <c r="D10" s="12" t="inlineStr">
        <is>
          <t>375ml</t>
        </is>
      </c>
      <c r="E10" s="12" t="n">
        <v>43</v>
      </c>
      <c r="F10" s="16" t="n">
        <v>36700</v>
      </c>
      <c r="G10" s="16" t="n">
        <v>70000</v>
      </c>
      <c r="H10" s="16" t="n">
        <v>4184</v>
      </c>
      <c r="I10" s="17">
        <f>(G10-H10)/G10</f>
        <v/>
      </c>
      <c r="J10" s="6" t="inlineStr">
        <is>
          <t>운영중·시그니처</t>
        </is>
      </c>
      <c r="K10" s="6" t="inlineStr">
        <is>
          <t>기프트·예식</t>
        </is>
      </c>
    </row>
    <row r="11">
      <c r="A11" s="6" t="inlineStr">
        <is>
          <t>WG-SJ-500</t>
        </is>
      </c>
      <c r="B11" s="6" t="inlineStr">
        <is>
          <t>월인가 사계주 소주</t>
        </is>
      </c>
      <c r="C11" s="12" t="inlineStr">
        <is>
          <t>소주</t>
        </is>
      </c>
      <c r="D11" s="12" t="inlineStr">
        <is>
          <t>500ml</t>
        </is>
      </c>
      <c r="E11" s="12" t="n">
        <v>43</v>
      </c>
      <c r="F11" s="16" t="n">
        <v>51380</v>
      </c>
      <c r="G11" s="16" t="n"/>
      <c r="H11" s="16" t="n">
        <v>4773</v>
      </c>
      <c r="I11" s="17" t="n"/>
      <c r="J11" s="6" t="inlineStr">
        <is>
          <t>신고만완료</t>
        </is>
      </c>
      <c r="K11" s="6" t="inlineStr">
        <is>
          <t>현재 미운영</t>
        </is>
      </c>
    </row>
    <row r="12">
      <c r="A12" s="6" t="inlineStr">
        <is>
          <t>WG-VG-250</t>
        </is>
      </c>
      <c r="B12" s="6" t="inlineStr">
        <is>
          <t>월인가 현미식초</t>
        </is>
      </c>
      <c r="C12" s="12" t="inlineStr">
        <is>
          <t>발효식초</t>
        </is>
      </c>
      <c r="D12" s="12" t="inlineStr">
        <is>
          <t>250ml</t>
        </is>
      </c>
      <c r="E12" s="12" t="n">
        <v>0</v>
      </c>
      <c r="F12" s="16" t="n"/>
      <c r="G12" s="16" t="n">
        <v>19000</v>
      </c>
      <c r="H12" s="16" t="n"/>
      <c r="I12" s="17" t="n"/>
      <c r="J12" s="6" t="inlineStr">
        <is>
          <t>운영중·식품</t>
        </is>
      </c>
      <c r="K12" s="6" t="inlineStr">
        <is>
          <t>자유 판매</t>
        </is>
      </c>
    </row>
    <row r="13">
      <c r="A13" s="18" t="n"/>
      <c r="B13" s="18" t="n"/>
      <c r="C13" s="18" t="n"/>
      <c r="D13" s="18" t="n"/>
      <c r="E13" s="19" t="n"/>
      <c r="F13" s="20" t="n"/>
      <c r="G13" s="20" t="n"/>
      <c r="H13" s="20" t="n"/>
      <c r="I13" s="21">
        <f>IFERROR((G13-H13)/G13,"")</f>
        <v/>
      </c>
      <c r="J13" s="18" t="n"/>
      <c r="K13" s="18" t="n"/>
    </row>
    <row r="14">
      <c r="A14" s="22" t="n"/>
      <c r="B14" s="22" t="n"/>
      <c r="C14" s="22" t="n"/>
      <c r="D14" s="22" t="n"/>
      <c r="E14" s="23" t="n"/>
      <c r="F14" s="24" t="n"/>
      <c r="G14" s="24" t="n"/>
      <c r="H14" s="24" t="n"/>
      <c r="I14" s="25">
        <f>IFERROR((G14-H14)/G14,"")</f>
        <v/>
      </c>
      <c r="J14" s="22" t="n"/>
      <c r="K14" s="22" t="n"/>
    </row>
    <row r="15">
      <c r="A15" s="18" t="n"/>
      <c r="B15" s="18" t="n"/>
      <c r="C15" s="18" t="n"/>
      <c r="D15" s="18" t="n"/>
      <c r="E15" s="19" t="n"/>
      <c r="F15" s="20" t="n"/>
      <c r="G15" s="20" t="n"/>
      <c r="H15" s="20" t="n"/>
      <c r="I15" s="21">
        <f>IFERROR((G15-H15)/G15,"")</f>
        <v/>
      </c>
      <c r="J15" s="18" t="n"/>
      <c r="K15" s="18" t="n"/>
    </row>
    <row r="16">
      <c r="A16" s="22" t="n"/>
      <c r="B16" s="22" t="n"/>
      <c r="C16" s="22" t="n"/>
      <c r="D16" s="22" t="n"/>
      <c r="E16" s="23" t="n"/>
      <c r="F16" s="24" t="n"/>
      <c r="G16" s="24" t="n"/>
      <c r="H16" s="24" t="n"/>
      <c r="I16" s="25">
        <f>IFERROR((G16-H16)/G16,"")</f>
        <v/>
      </c>
      <c r="J16" s="22" t="n"/>
      <c r="K16" s="22" t="n"/>
    </row>
    <row r="17">
      <c r="A17" s="18" t="n"/>
      <c r="B17" s="18" t="n"/>
      <c r="C17" s="18" t="n"/>
      <c r="D17" s="18" t="n"/>
      <c r="E17" s="19" t="n"/>
      <c r="F17" s="20" t="n"/>
      <c r="G17" s="20" t="n"/>
      <c r="H17" s="20" t="n"/>
      <c r="I17" s="21">
        <f>IFERROR((G17-H17)/G17,"")</f>
        <v/>
      </c>
      <c r="J17" s="18" t="n"/>
      <c r="K17" s="18" t="n"/>
    </row>
    <row r="18">
      <c r="A18" s="22" t="n"/>
      <c r="B18" s="22" t="n"/>
      <c r="C18" s="22" t="n"/>
      <c r="D18" s="22" t="n"/>
      <c r="E18" s="23" t="n"/>
      <c r="F18" s="24" t="n"/>
      <c r="G18" s="24" t="n"/>
      <c r="H18" s="24" t="n"/>
      <c r="I18" s="25">
        <f>IFERROR((G18-H18)/G18,"")</f>
        <v/>
      </c>
      <c r="J18" s="22" t="n"/>
      <c r="K18" s="22" t="n"/>
    </row>
    <row r="19">
      <c r="A19" s="18" t="n"/>
      <c r="B19" s="18" t="n"/>
      <c r="C19" s="18" t="n"/>
      <c r="D19" s="18" t="n"/>
      <c r="E19" s="19" t="n"/>
      <c r="F19" s="20" t="n"/>
      <c r="G19" s="20" t="n"/>
      <c r="H19" s="20" t="n"/>
      <c r="I19" s="21">
        <f>IFERROR((G19-H19)/G19,"")</f>
        <v/>
      </c>
      <c r="J19" s="18" t="n"/>
      <c r="K19" s="18" t="n"/>
    </row>
    <row r="20">
      <c r="A20" s="22" t="n"/>
      <c r="B20" s="22" t="n"/>
      <c r="C20" s="22" t="n"/>
      <c r="D20" s="22" t="n"/>
      <c r="E20" s="23" t="n"/>
      <c r="F20" s="24" t="n"/>
      <c r="G20" s="24" t="n"/>
      <c r="H20" s="24" t="n"/>
      <c r="I20" s="25">
        <f>IFERROR((G20-H20)/G20,"")</f>
        <v/>
      </c>
      <c r="J20" s="22" t="n"/>
      <c r="K20" s="22" t="n"/>
    </row>
    <row r="21">
      <c r="A21" s="18" t="n"/>
      <c r="B21" s="18" t="n"/>
      <c r="C21" s="18" t="n"/>
      <c r="D21" s="18" t="n"/>
      <c r="E21" s="19" t="n"/>
      <c r="F21" s="20" t="n"/>
      <c r="G21" s="20" t="n"/>
      <c r="H21" s="20" t="n"/>
      <c r="I21" s="21">
        <f>IFERROR((G21-H21)/G21,"")</f>
        <v/>
      </c>
      <c r="J21" s="18" t="n"/>
      <c r="K21" s="18" t="n"/>
    </row>
    <row r="22">
      <c r="A22" s="22" t="n"/>
      <c r="B22" s="22" t="n"/>
      <c r="C22" s="22" t="n"/>
      <c r="D22" s="22" t="n"/>
      <c r="E22" s="23" t="n"/>
      <c r="F22" s="24" t="n"/>
      <c r="G22" s="24" t="n"/>
      <c r="H22" s="24" t="n"/>
      <c r="I22" s="25">
        <f>IFERROR((G22-H22)/G22,"")</f>
        <v/>
      </c>
      <c r="J22" s="22" t="n"/>
      <c r="K22" s="22" t="n"/>
    </row>
    <row r="23">
      <c r="A23" s="18" t="n"/>
      <c r="B23" s="18" t="n"/>
      <c r="C23" s="18" t="n"/>
      <c r="D23" s="18" t="n"/>
      <c r="E23" s="19" t="n"/>
      <c r="F23" s="20" t="n"/>
      <c r="G23" s="20" t="n"/>
      <c r="H23" s="20" t="n"/>
      <c r="I23" s="21">
        <f>IFERROR((G23-H23)/G23,"")</f>
        <v/>
      </c>
      <c r="J23" s="18" t="n"/>
      <c r="K23" s="18" t="n"/>
    </row>
    <row r="24">
      <c r="A24" s="22" t="n"/>
      <c r="B24" s="22" t="n"/>
      <c r="C24" s="22" t="n"/>
      <c r="D24" s="22" t="n"/>
      <c r="E24" s="23" t="n"/>
      <c r="F24" s="24" t="n"/>
      <c r="G24" s="24" t="n"/>
      <c r="H24" s="24" t="n"/>
      <c r="I24" s="25">
        <f>IFERROR((G24-H24)/G24,"")</f>
        <v/>
      </c>
      <c r="J24" s="22" t="n"/>
      <c r="K24" s="22" t="n"/>
    </row>
    <row r="25">
      <c r="A25" s="18" t="n"/>
      <c r="B25" s="18" t="n"/>
      <c r="C25" s="18" t="n"/>
      <c r="D25" s="18" t="n"/>
      <c r="E25" s="19" t="n"/>
      <c r="F25" s="20" t="n"/>
      <c r="G25" s="20" t="n"/>
      <c r="H25" s="20" t="n"/>
      <c r="I25" s="21">
        <f>IFERROR((G25-H25)/G25,"")</f>
        <v/>
      </c>
      <c r="J25" s="18" t="n"/>
      <c r="K25" s="18" t="n"/>
    </row>
    <row r="26">
      <c r="A26" s="22" t="n"/>
      <c r="B26" s="22" t="n"/>
      <c r="C26" s="22" t="n"/>
      <c r="D26" s="22" t="n"/>
      <c r="E26" s="23" t="n"/>
      <c r="F26" s="24" t="n"/>
      <c r="G26" s="24" t="n"/>
      <c r="H26" s="24" t="n"/>
      <c r="I26" s="25">
        <f>IFERROR((G26-H26)/G26,"")</f>
        <v/>
      </c>
      <c r="J26" s="22" t="n"/>
      <c r="K26" s="22" t="n"/>
    </row>
    <row r="27">
      <c r="A27" s="18" t="n"/>
      <c r="B27" s="18" t="n"/>
      <c r="C27" s="18" t="n"/>
      <c r="D27" s="18" t="n"/>
      <c r="E27" s="19" t="n"/>
      <c r="F27" s="20" t="n"/>
      <c r="G27" s="20" t="n"/>
      <c r="H27" s="20" t="n"/>
      <c r="I27" s="21">
        <f>IFERROR((G27-H27)/G27,"")</f>
        <v/>
      </c>
      <c r="J27" s="18" t="n"/>
      <c r="K27" s="18" t="n"/>
    </row>
    <row r="28">
      <c r="A28" s="22" t="n"/>
      <c r="B28" s="22" t="n"/>
      <c r="C28" s="22" t="n"/>
      <c r="D28" s="22" t="n"/>
      <c r="E28" s="23" t="n"/>
      <c r="F28" s="24" t="n"/>
      <c r="G28" s="24" t="n"/>
      <c r="H28" s="24" t="n"/>
      <c r="I28" s="25">
        <f>IFERROR((G28-H28)/G28,"")</f>
        <v/>
      </c>
      <c r="J28" s="22" t="n"/>
      <c r="K28" s="22" t="n"/>
    </row>
    <row r="29">
      <c r="A29" s="18" t="n"/>
      <c r="B29" s="18" t="n"/>
      <c r="C29" s="18" t="n"/>
      <c r="D29" s="18" t="n"/>
      <c r="E29" s="19" t="n"/>
      <c r="F29" s="20" t="n"/>
      <c r="G29" s="20" t="n"/>
      <c r="H29" s="20" t="n"/>
      <c r="I29" s="21">
        <f>IFERROR((G29-H29)/G29,"")</f>
        <v/>
      </c>
      <c r="J29" s="18" t="n"/>
      <c r="K29" s="18" t="n"/>
    </row>
    <row r="30">
      <c r="A30" s="22" t="n"/>
      <c r="B30" s="22" t="n"/>
      <c r="C30" s="22" t="n"/>
      <c r="D30" s="22" t="n"/>
      <c r="E30" s="23" t="n"/>
      <c r="F30" s="24" t="n"/>
      <c r="G30" s="24" t="n"/>
      <c r="H30" s="24" t="n"/>
      <c r="I30" s="25">
        <f>IFERROR((G30-H30)/G30,"")</f>
        <v/>
      </c>
      <c r="J30" s="22" t="n"/>
      <c r="K30" s="22" t="n"/>
    </row>
    <row r="32">
      <c r="A32" s="26" t="inlineStr">
        <is>
          <t>💡 SKU 마스터는 다른 시트의 진실 출처. 가격·정보 변경 시 여기에서만 수정 → 다른 시트는 자동 갱신.</t>
        </is>
      </c>
    </row>
  </sheetData>
  <mergeCells count="3">
    <mergeCell ref="A2:K2"/>
    <mergeCell ref="A1:K1"/>
    <mergeCell ref="A32:K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E3D1F"/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2" customWidth="1" min="4" max="4"/>
    <col width="14" customWidth="1" min="5" max="5"/>
    <col width="24" customWidth="1" min="6" max="6"/>
    <col width="14" customWidth="1" min="7" max="7"/>
    <col width="18" customWidth="1" min="8" max="8"/>
    <col width="12" customWidth="1" min="9" max="9"/>
    <col width="11" customWidth="1" min="10" max="10"/>
    <col width="18" customWidth="1" min="11" max="11"/>
  </cols>
  <sheetData>
    <row r="1" ht="30" customHeight="1">
      <c r="A1" s="13" t="inlineStr">
        <is>
          <t>M2. 거래처 마스터 [법령 §25 인적사항]</t>
        </is>
      </c>
    </row>
    <row r="2">
      <c r="A2" s="14" t="inlineStr">
        <is>
          <t>인도인·수취인의 인적사항을 분리 저장. 다른 시트는 거래처 ID로 참조 (VLOOKUP)</t>
        </is>
      </c>
    </row>
    <row r="3">
      <c r="A3" s="27" t="inlineStr">
        <is>
          <t>⚠️ 법령 §25에 따라 인도인·수취인의 인적사항 기록 의무. 본 시트가 진실 출처.</t>
        </is>
      </c>
    </row>
    <row r="5" ht="32" customHeight="1">
      <c r="A5" s="15" t="inlineStr">
        <is>
          <t>거래처ID</t>
        </is>
      </c>
      <c r="B5" s="15" t="inlineStr">
        <is>
          <t>구분</t>
        </is>
      </c>
      <c r="C5" s="15" t="inlineStr">
        <is>
          <t>상호</t>
        </is>
      </c>
      <c r="D5" s="15" t="inlineStr">
        <is>
          <t>대표자</t>
        </is>
      </c>
      <c r="E5" s="15" t="inlineStr">
        <is>
          <t>사업자번호</t>
        </is>
      </c>
      <c r="F5" s="15" t="inlineStr">
        <is>
          <t>주소</t>
        </is>
      </c>
      <c r="G5" s="15" t="inlineStr">
        <is>
          <t>전화번호</t>
        </is>
      </c>
      <c r="H5" s="15" t="inlineStr">
        <is>
          <t>이메일</t>
        </is>
      </c>
      <c r="I5" s="15" t="inlineStr">
        <is>
          <t>첫 거래일</t>
        </is>
      </c>
      <c r="J5" s="15" t="inlineStr">
        <is>
          <t>상태</t>
        </is>
      </c>
      <c r="K5" s="15" t="inlineStr">
        <is>
          <t>비고</t>
        </is>
      </c>
    </row>
    <row r="6">
      <c r="A6" s="28" t="inlineStr">
        <is>
          <t>V-001</t>
        </is>
      </c>
      <c r="B6" s="28" t="inlineStr">
        <is>
          <t>원료공급</t>
        </is>
      </c>
      <c r="C6" s="28" t="inlineStr">
        <is>
          <t>대농 김씨네</t>
        </is>
      </c>
      <c r="D6" s="28" t="inlineStr">
        <is>
          <t>김○○</t>
        </is>
      </c>
      <c r="E6" s="28" t="inlineStr">
        <is>
          <t>123-45-67890</t>
        </is>
      </c>
      <c r="F6" s="28" t="inlineStr">
        <is>
          <t>충남 천안시 동남구 ○○로 ○○</t>
        </is>
      </c>
      <c r="G6" s="28" t="inlineStr">
        <is>
          <t>010-0000-0000</t>
        </is>
      </c>
      <c r="H6" s="28" t="inlineStr"/>
      <c r="I6" s="28" t="inlineStr">
        <is>
          <t>2026-05-01</t>
        </is>
      </c>
      <c r="J6" s="28" t="inlineStr">
        <is>
          <t>거래중</t>
        </is>
      </c>
      <c r="K6" s="28" t="inlineStr">
        <is>
          <t>찹쌀·멥쌀 공급</t>
        </is>
      </c>
    </row>
    <row r="7">
      <c r="A7" s="29" t="inlineStr">
        <is>
          <t>V-002</t>
        </is>
      </c>
      <c r="B7" s="29" t="inlineStr">
        <is>
          <t>원료공급</t>
        </is>
      </c>
      <c r="C7" s="29" t="inlineStr">
        <is>
          <t>○○ 누룩공방</t>
        </is>
      </c>
      <c r="D7" s="29" t="inlineStr">
        <is>
          <t>박○○</t>
        </is>
      </c>
      <c r="E7" s="29" t="inlineStr"/>
      <c r="F7" s="29" t="inlineStr">
        <is>
          <t>충남 ○○시 ○○동</t>
        </is>
      </c>
      <c r="G7" s="29" t="inlineStr">
        <is>
          <t>041-000-0000</t>
        </is>
      </c>
      <c r="H7" s="29" t="inlineStr"/>
      <c r="I7" s="29" t="inlineStr">
        <is>
          <t>2026-04-01</t>
        </is>
      </c>
      <c r="J7" s="29" t="inlineStr">
        <is>
          <t>거래중</t>
        </is>
      </c>
      <c r="K7" s="29" t="inlineStr">
        <is>
          <t>전통누룩</t>
        </is>
      </c>
    </row>
    <row r="8">
      <c r="A8" s="28" t="inlineStr">
        <is>
          <t>V-003</t>
        </is>
      </c>
      <c r="B8" s="28" t="inlineStr">
        <is>
          <t>원료공급</t>
        </is>
      </c>
      <c r="C8" s="28" t="inlineStr">
        <is>
          <t>월인가 자가채취</t>
        </is>
      </c>
      <c r="D8" s="28" t="inlineStr">
        <is>
          <t>이제동</t>
        </is>
      </c>
      <c r="E8" s="28" t="inlineStr">
        <is>
          <t>358-34-01806</t>
        </is>
      </c>
      <c r="F8" s="28" t="inlineStr">
        <is>
          <t>충남 천안시 동남구 다가말2길 81-1</t>
        </is>
      </c>
      <c r="G8" s="28" t="inlineStr">
        <is>
          <t>010-0000-0000</t>
        </is>
      </c>
      <c r="H8" s="28" t="inlineStr"/>
      <c r="I8" s="28" t="inlineStr">
        <is>
          <t>2026-03-01</t>
        </is>
      </c>
      <c r="J8" s="28" t="inlineStr">
        <is>
          <t>거래중</t>
        </is>
      </c>
      <c r="K8" s="28" t="inlineStr">
        <is>
          <t>국화꽃 자가채취</t>
        </is>
      </c>
    </row>
    <row r="9">
      <c r="A9" s="29" t="inlineStr">
        <is>
          <t>C-001</t>
        </is>
      </c>
      <c r="B9" s="29" t="inlineStr">
        <is>
          <t>단골소비자</t>
        </is>
      </c>
      <c r="C9" s="29" t="inlineStr">
        <is>
          <t>(이름 마스킹)</t>
        </is>
      </c>
      <c r="D9" s="29" t="inlineStr">
        <is>
          <t>김선생님</t>
        </is>
      </c>
      <c r="E9" s="29" t="inlineStr"/>
      <c r="F9" s="29" t="inlineStr">
        <is>
          <t>(주소 미수집)</t>
        </is>
      </c>
      <c r="G9" s="29" t="inlineStr">
        <is>
          <t>010-XXXX-XXXX</t>
        </is>
      </c>
      <c r="H9" s="29" t="inlineStr"/>
      <c r="I9" s="29" t="inlineStr">
        <is>
          <t>2026-04-15</t>
        </is>
      </c>
      <c r="J9" s="29" t="inlineStr">
        <is>
          <t>거래중</t>
        </is>
      </c>
      <c r="K9" s="29" t="inlineStr">
        <is>
          <t>월 1회 약주</t>
        </is>
      </c>
    </row>
    <row r="10">
      <c r="A10" s="28" t="inlineStr">
        <is>
          <t>B-001</t>
        </is>
      </c>
      <c r="B10" s="28" t="inlineStr">
        <is>
          <t>B2B(레스토랑)</t>
        </is>
      </c>
      <c r="C10" s="28" t="inlineStr">
        <is>
          <t>○○ 한식당</t>
        </is>
      </c>
      <c r="D10" s="28" t="inlineStr">
        <is>
          <t>정○○</t>
        </is>
      </c>
      <c r="E10" s="28" t="inlineStr">
        <is>
          <t>111-22-33333</t>
        </is>
      </c>
      <c r="F10" s="28" t="inlineStr">
        <is>
          <t>서울 ○○구 ○○동</t>
        </is>
      </c>
      <c r="G10" s="28" t="inlineStr">
        <is>
          <t>02-000-0000</t>
        </is>
      </c>
      <c r="H10" s="28" t="inlineStr">
        <is>
          <t>info@example.com</t>
        </is>
      </c>
      <c r="I10" s="28" t="inlineStr">
        <is>
          <t>2026-05-10</t>
        </is>
      </c>
      <c r="J10" s="28" t="inlineStr">
        <is>
          <t>거래중</t>
        </is>
      </c>
      <c r="K10" s="28" t="inlineStr">
        <is>
          <t>약주·사계주 정기</t>
        </is>
      </c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</row>
    <row r="14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</row>
    <row r="48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</row>
    <row r="54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</row>
    <row r="5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</row>
    <row r="58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</row>
    <row r="62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</row>
    <row r="64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</row>
    <row r="6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</row>
    <row r="68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</row>
    <row r="70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</row>
    <row r="72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</row>
    <row r="74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</row>
    <row r="7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</row>
    <row r="78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</row>
    <row r="80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</row>
    <row r="82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</row>
    <row r="84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</row>
    <row r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</row>
    <row r="88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</row>
    <row r="90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</row>
    <row r="92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</row>
    <row r="94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</row>
    <row r="96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</row>
    <row r="98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</row>
    <row r="100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</row>
    <row r="102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</row>
    <row r="104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</row>
    <row r="106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</row>
    <row r="107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</row>
    <row r="108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</row>
    <row r="10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</row>
    <row r="110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</row>
    <row r="112">
      <c r="A112" s="30" t="inlineStr">
        <is>
          <t>💡 외부 공유 시: 본 시트는 절대 공유 X. 마스킹이 필요하면 '거래처마스터_마스킹뷰' 시트 별도 생성 (수동).</t>
        </is>
      </c>
    </row>
  </sheetData>
  <mergeCells count="4">
    <mergeCell ref="A2:K2"/>
    <mergeCell ref="A1:K1"/>
    <mergeCell ref="A112:K112"/>
    <mergeCell ref="A3:K3"/>
  </mergeCells>
  <dataValidations count="2">
    <dataValidation sqref="B11:B110" showDropDown="0" showInputMessage="0" showErrorMessage="0" allowBlank="1" type="list">
      <formula1>"원료공급,밑술공급,B2B(소매상),B2B(레스토랑),B2B(호텔),B2B(바틀샵),도매,유통,단골소비자,체험참석,증여수신자,기타"</formula1>
    </dataValidation>
    <dataValidation sqref="J11:J110" showDropDown="0" showInputMessage="0" showErrorMessage="0" allowBlank="1" type="list">
      <formula1>"거래중,일시중단,종료,예정"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5E3D1F"/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8" customWidth="1" min="4" max="4"/>
    <col width="30" customWidth="1" min="5" max="5"/>
  </cols>
  <sheetData>
    <row r="1" ht="30" customHeight="1">
      <c r="A1" s="13" t="inlineStr">
        <is>
          <t>M3. 직원·역할 마스터</t>
        </is>
      </c>
    </row>
    <row r="2">
      <c r="A2" s="14" t="inlineStr">
        <is>
          <t>가족 4인 + 외부 협력자 (세무사·디자이너 등)</t>
        </is>
      </c>
    </row>
    <row r="5" ht="32" customHeight="1">
      <c r="A5" s="15" t="inlineStr">
        <is>
          <t>인원ID</t>
        </is>
      </c>
      <c r="B5" s="15" t="inlineStr">
        <is>
          <t>이름</t>
        </is>
      </c>
      <c r="C5" s="15" t="inlineStr">
        <is>
          <t>역할(호칭)</t>
        </is>
      </c>
      <c r="D5" s="15" t="inlineStr">
        <is>
          <t>연락처</t>
        </is>
      </c>
      <c r="E5" s="15" t="inlineStr">
        <is>
          <t>주 업무 영역</t>
        </is>
      </c>
    </row>
    <row r="6">
      <c r="A6" s="6" t="inlineStr">
        <is>
          <t>P-001</t>
        </is>
      </c>
      <c r="B6" s="6" t="inlineStr">
        <is>
          <t>김지은</t>
        </is>
      </c>
      <c r="C6" s="31" t="inlineStr">
        <is>
          <t>대표 / 술 온기지기</t>
        </is>
      </c>
      <c r="D6" s="6" t="inlineStr">
        <is>
          <t>(개인 폰)</t>
        </is>
      </c>
      <c r="E6" s="6" t="inlineStr">
        <is>
          <t>양조·시음·손님 응대·운영 책임</t>
        </is>
      </c>
    </row>
    <row r="7">
      <c r="A7" s="6" t="inlineStr">
        <is>
          <t>P-002</t>
        </is>
      </c>
      <c r="B7" s="6" t="inlineStr">
        <is>
          <t>이제동</t>
        </is>
      </c>
      <c r="C7" s="31" t="inlineStr">
        <is>
          <t>이사 / 술 빚는장인</t>
        </is>
      </c>
      <c r="D7" s="6" t="inlineStr">
        <is>
          <t>(개인 폰)</t>
        </is>
      </c>
      <c r="E7" s="6" t="inlineStr">
        <is>
          <t>양조 마스터·품질 책임</t>
        </is>
      </c>
    </row>
    <row r="8">
      <c r="A8" s="6" t="inlineStr">
        <is>
          <t>P-003</t>
        </is>
      </c>
      <c r="B8" s="6" t="inlineStr">
        <is>
          <t>이석주</t>
        </is>
      </c>
      <c r="C8" s="31" t="inlineStr">
        <is>
          <t>술 길잡이 (사령탑)</t>
        </is>
      </c>
      <c r="D8" s="6" t="inlineStr">
        <is>
          <t>010-4837-3479</t>
        </is>
      </c>
      <c r="E8" s="6" t="inlineStr">
        <is>
          <t>브랜딩·기획·전략·외부 일·시스템 운영</t>
        </is>
      </c>
    </row>
    <row r="9">
      <c r="A9" s="6" t="inlineStr">
        <is>
          <t>P-004</t>
        </is>
      </c>
      <c r="B9" s="6" t="inlineStr">
        <is>
          <t>이태균</t>
        </is>
      </c>
      <c r="C9" s="31" t="inlineStr">
        <is>
          <t>술 빚는이</t>
        </is>
      </c>
      <c r="D9" s="6" t="inlineStr">
        <is>
          <t>(개인 폰)</t>
        </is>
      </c>
      <c r="E9" s="6" t="inlineStr">
        <is>
          <t>현장 실무·시제품·창의적 시도</t>
        </is>
      </c>
    </row>
    <row r="11">
      <c r="A11" s="18" t="n"/>
      <c r="B11" s="18" t="n"/>
      <c r="C11" s="18" t="n"/>
      <c r="D11" s="18" t="n"/>
      <c r="E11" s="18" t="n"/>
    </row>
    <row r="12">
      <c r="A12" s="22" t="n"/>
      <c r="B12" s="22" t="n"/>
      <c r="C12" s="22" t="n"/>
      <c r="D12" s="22" t="n"/>
      <c r="E12" s="22" t="n"/>
    </row>
    <row r="13">
      <c r="A13" s="18" t="n"/>
      <c r="B13" s="18" t="n"/>
      <c r="C13" s="18" t="n"/>
      <c r="D13" s="18" t="n"/>
      <c r="E13" s="18" t="n"/>
    </row>
    <row r="14">
      <c r="A14" s="22" t="n"/>
      <c r="B14" s="22" t="n"/>
      <c r="C14" s="22" t="n"/>
      <c r="D14" s="22" t="n"/>
      <c r="E14" s="22" t="n"/>
    </row>
    <row r="15">
      <c r="A15" s="18" t="n"/>
      <c r="B15" s="18" t="n"/>
      <c r="C15" s="18" t="n"/>
      <c r="D15" s="18" t="n"/>
      <c r="E15" s="18" t="n"/>
    </row>
    <row r="16">
      <c r="A16" s="22" t="n"/>
      <c r="B16" s="22" t="n"/>
      <c r="C16" s="22" t="n"/>
      <c r="D16" s="22" t="n"/>
      <c r="E16" s="22" t="n"/>
    </row>
    <row r="17">
      <c r="A17" s="18" t="n"/>
      <c r="B17" s="18" t="n"/>
      <c r="C17" s="18" t="n"/>
      <c r="D17" s="18" t="n"/>
      <c r="E17" s="18" t="n"/>
    </row>
    <row r="18">
      <c r="A18" s="22" t="n"/>
      <c r="B18" s="22" t="n"/>
      <c r="C18" s="22" t="n"/>
      <c r="D18" s="22" t="n"/>
      <c r="E18" s="22" t="n"/>
    </row>
    <row r="19">
      <c r="A19" s="18" t="n"/>
      <c r="B19" s="18" t="n"/>
      <c r="C19" s="18" t="n"/>
      <c r="D19" s="18" t="n"/>
      <c r="E19" s="18" t="n"/>
    </row>
    <row r="20">
      <c r="A20" s="22" t="n"/>
      <c r="B20" s="22" t="n"/>
      <c r="C20" s="22" t="n"/>
      <c r="D20" s="22" t="n"/>
      <c r="E20" s="22" t="n"/>
    </row>
    <row r="21">
      <c r="A21" s="18" t="n"/>
      <c r="B21" s="18" t="n"/>
      <c r="C21" s="18" t="n"/>
      <c r="D21" s="18" t="n"/>
      <c r="E21" s="18" t="n"/>
    </row>
    <row r="22">
      <c r="A22" s="22" t="n"/>
      <c r="B22" s="22" t="n"/>
      <c r="C22" s="22" t="n"/>
      <c r="D22" s="22" t="n"/>
      <c r="E22" s="22" t="n"/>
    </row>
    <row r="23">
      <c r="A23" s="18" t="n"/>
      <c r="B23" s="18" t="n"/>
      <c r="C23" s="18" t="n"/>
      <c r="D23" s="18" t="n"/>
      <c r="E23" s="18" t="n"/>
    </row>
    <row r="24">
      <c r="A24" s="22" t="n"/>
      <c r="B24" s="22" t="n"/>
      <c r="C24" s="22" t="n"/>
      <c r="D24" s="22" t="n"/>
      <c r="E24" s="22" t="n"/>
    </row>
    <row r="25">
      <c r="A25" s="18" t="n"/>
      <c r="B25" s="18" t="n"/>
      <c r="C25" s="18" t="n"/>
      <c r="D25" s="18" t="n"/>
      <c r="E25" s="18" t="n"/>
    </row>
    <row r="26">
      <c r="A26" s="22" t="n"/>
      <c r="B26" s="22" t="n"/>
      <c r="C26" s="22" t="n"/>
      <c r="D26" s="22" t="n"/>
      <c r="E26" s="22" t="n"/>
    </row>
    <row r="27">
      <c r="A27" s="18" t="n"/>
      <c r="B27" s="18" t="n"/>
      <c r="C27" s="18" t="n"/>
      <c r="D27" s="18" t="n"/>
      <c r="E27" s="18" t="n"/>
    </row>
    <row r="28">
      <c r="A28" s="22" t="n"/>
      <c r="B28" s="22" t="n"/>
      <c r="C28" s="22" t="n"/>
      <c r="D28" s="22" t="n"/>
      <c r="E28" s="22" t="n"/>
    </row>
    <row r="29">
      <c r="A29" s="18" t="n"/>
      <c r="B29" s="18" t="n"/>
      <c r="C29" s="18" t="n"/>
      <c r="D29" s="18" t="n"/>
      <c r="E29" s="18" t="n"/>
    </row>
    <row r="30">
      <c r="A30" s="22" t="n"/>
      <c r="B30" s="22" t="n"/>
      <c r="C30" s="22" t="n"/>
      <c r="D30" s="22" t="n"/>
      <c r="E30" s="22" t="n"/>
    </row>
    <row r="32">
      <c r="A32" s="26" t="inlineStr">
        <is>
          <t>💡 세무사·회계사·디자이너·외주 인쇄소 등 외부 협력자도 P-XXX ID 부여해 추가.</t>
        </is>
      </c>
    </row>
  </sheetData>
  <mergeCells count="3">
    <mergeCell ref="A2:E2"/>
    <mergeCell ref="A1:E1"/>
    <mergeCell ref="A32:E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E3C"/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22" customWidth="1" min="11" max="11"/>
    <col width="14" customWidth="1" min="12" max="12"/>
    <col width="12" customWidth="1" min="13" max="13"/>
    <col width="14" customWidth="1" min="14" max="14"/>
  </cols>
  <sheetData>
    <row r="1" ht="30" customHeight="1">
      <c r="A1" s="13" t="inlineStr">
        <is>
          <t>01. 원료 수불부 (v4)</t>
        </is>
      </c>
    </row>
    <row r="2">
      <c r="A2" s="14" t="inlineStr">
        <is>
          <t>법령 §25 ①②③ · 거래처ID 참조 + 세금계산서 + 밑술 추적</t>
        </is>
      </c>
    </row>
    <row r="3">
      <c r="A3" s="26" t="inlineStr">
        <is>
          <t>💡 거래처ID 입력 시 상호·사업자번호 자동 채움. 인도인 인적사항은 M2 마스터에 한 번만 등록.</t>
        </is>
      </c>
    </row>
    <row r="5" ht="32" customHeight="1">
      <c r="A5" s="8" t="inlineStr">
        <is>
          <t>일자</t>
        </is>
      </c>
      <c r="B5" s="32" t="inlineStr">
        <is>
          <t>연도</t>
        </is>
      </c>
      <c r="C5" s="32" t="inlineStr">
        <is>
          <t>월</t>
        </is>
      </c>
      <c r="D5" s="32" t="inlineStr">
        <is>
          <t>분기</t>
        </is>
      </c>
      <c r="E5" s="8" t="inlineStr">
        <is>
          <t>구분</t>
        </is>
      </c>
      <c r="F5" s="8" t="inlineStr">
        <is>
          <t>품목</t>
        </is>
      </c>
      <c r="G5" s="8" t="inlineStr">
        <is>
          <t>수량(kg/L)</t>
        </is>
      </c>
      <c r="H5" s="8" t="inlineStr">
        <is>
          <t>단가(원)</t>
        </is>
      </c>
      <c r="I5" s="32" t="inlineStr">
        <is>
          <t>금액(원)</t>
        </is>
      </c>
      <c r="J5" s="8" t="inlineStr">
        <is>
          <t>거래처ID</t>
        </is>
      </c>
      <c r="K5" s="33" t="inlineStr">
        <is>
          <t>상호(자동)</t>
        </is>
      </c>
      <c r="L5" s="33" t="inlineStr">
        <is>
          <t>사업자번호(자동)</t>
        </is>
      </c>
      <c r="M5" s="8" t="inlineStr">
        <is>
          <t>세금계산서번호</t>
        </is>
      </c>
      <c r="N5" s="8" t="inlineStr">
        <is>
          <t>사용일·비고</t>
        </is>
      </c>
    </row>
    <row r="6">
      <c r="A6" s="34" t="inlineStr">
        <is>
          <t>2026-05-01</t>
        </is>
      </c>
      <c r="B6" s="35">
        <f>IF(A6="","",YEAR(A6))</f>
        <v/>
      </c>
      <c r="C6" s="36">
        <f>IF(A6="","",MONTH(A6))</f>
        <v/>
      </c>
      <c r="D6" s="37">
        <f>IF(A6="","","Q"&amp;ROUNDUP(MONTH(A6)/3,0))</f>
        <v/>
      </c>
      <c r="E6" s="18" t="inlineStr">
        <is>
          <t>입고(원료)</t>
        </is>
      </c>
      <c r="F6" s="18" t="inlineStr">
        <is>
          <t>찹쌀</t>
        </is>
      </c>
      <c r="G6" s="38" t="n">
        <v>50</v>
      </c>
      <c r="H6" s="20" t="n">
        <v>4375</v>
      </c>
      <c r="I6" s="39">
        <f>IF(AND(G6&lt;&gt;"",H6&lt;&gt;""),G6*H6,"")</f>
        <v/>
      </c>
      <c r="J6" s="18" t="inlineStr">
        <is>
          <t>V-001</t>
        </is>
      </c>
      <c r="K6" s="40">
        <f>IFERROR(VLOOKUP(J6,M2_거래처마스터!A:E,3,FALSE),"")</f>
        <v/>
      </c>
      <c r="L6" s="40">
        <f>IFERROR(VLOOKUP(J6,M2_거래처마스터!A:E,5,FALSE),"")</f>
        <v/>
      </c>
      <c r="M6" s="18" t="inlineStr">
        <is>
          <t>세금계산서 2026-0001</t>
        </is>
      </c>
      <c r="N6" s="18" t="n"/>
    </row>
    <row r="7">
      <c r="A7" s="41" t="n"/>
      <c r="B7" s="35">
        <f>IF(A7="","",YEAR(A7))</f>
        <v/>
      </c>
      <c r="C7" s="36">
        <f>IF(A7="","",MONTH(A7))</f>
        <v/>
      </c>
      <c r="D7" s="37">
        <f>IF(A7="","","Q"&amp;ROUNDUP(MONTH(A7)/3,0))</f>
        <v/>
      </c>
      <c r="E7" s="22" t="n"/>
      <c r="F7" s="22" t="n"/>
      <c r="G7" s="42" t="n"/>
      <c r="H7" s="24" t="n"/>
      <c r="I7" s="39">
        <f>IF(AND(G7&lt;&gt;"",H7&lt;&gt;""),G7*H7,"")</f>
        <v/>
      </c>
      <c r="J7" s="22" t="n"/>
      <c r="K7" s="40">
        <f>IFERROR(VLOOKUP(J7,M2_거래처마스터!A:E,3,FALSE),"")</f>
        <v/>
      </c>
      <c r="L7" s="40">
        <f>IFERROR(VLOOKUP(J7,M2_거래처마스터!A:E,5,FALSE),"")</f>
        <v/>
      </c>
      <c r="M7" s="22" t="n"/>
      <c r="N7" s="22" t="n"/>
    </row>
    <row r="8">
      <c r="A8" s="34" t="n"/>
      <c r="B8" s="35">
        <f>IF(A8="","",YEAR(A8))</f>
        <v/>
      </c>
      <c r="C8" s="36">
        <f>IF(A8="","",MONTH(A8))</f>
        <v/>
      </c>
      <c r="D8" s="37">
        <f>IF(A8="","","Q"&amp;ROUNDUP(MONTH(A8)/3,0))</f>
        <v/>
      </c>
      <c r="E8" s="18" t="n"/>
      <c r="F8" s="18" t="n"/>
      <c r="G8" s="38" t="n"/>
      <c r="H8" s="20" t="n"/>
      <c r="I8" s="39">
        <f>IF(AND(G8&lt;&gt;"",H8&lt;&gt;""),G8*H8,"")</f>
        <v/>
      </c>
      <c r="J8" s="18" t="n"/>
      <c r="K8" s="40">
        <f>IFERROR(VLOOKUP(J8,M2_거래처마스터!A:E,3,FALSE),"")</f>
        <v/>
      </c>
      <c r="L8" s="40">
        <f>IFERROR(VLOOKUP(J8,M2_거래처마스터!A:E,5,FALSE),"")</f>
        <v/>
      </c>
      <c r="M8" s="18" t="n"/>
      <c r="N8" s="18" t="n"/>
    </row>
    <row r="9">
      <c r="A9" s="41" t="n"/>
      <c r="B9" s="35">
        <f>IF(A9="","",YEAR(A9))</f>
        <v/>
      </c>
      <c r="C9" s="36">
        <f>IF(A9="","",MONTH(A9))</f>
        <v/>
      </c>
      <c r="D9" s="37">
        <f>IF(A9="","","Q"&amp;ROUNDUP(MONTH(A9)/3,0))</f>
        <v/>
      </c>
      <c r="E9" s="22" t="n"/>
      <c r="F9" s="22" t="n"/>
      <c r="G9" s="42" t="n"/>
      <c r="H9" s="24" t="n"/>
      <c r="I9" s="39">
        <f>IF(AND(G9&lt;&gt;"",H9&lt;&gt;""),G9*H9,"")</f>
        <v/>
      </c>
      <c r="J9" s="22" t="n"/>
      <c r="K9" s="40">
        <f>IFERROR(VLOOKUP(J9,M2_거래처마스터!A:E,3,FALSE),"")</f>
        <v/>
      </c>
      <c r="L9" s="40">
        <f>IFERROR(VLOOKUP(J9,M2_거래처마스터!A:E,5,FALSE),"")</f>
        <v/>
      </c>
      <c r="M9" s="22" t="n"/>
      <c r="N9" s="22" t="n"/>
    </row>
    <row r="10">
      <c r="A10" s="34" t="n"/>
      <c r="B10" s="35">
        <f>IF(A10="","",YEAR(A10))</f>
        <v/>
      </c>
      <c r="C10" s="36">
        <f>IF(A10="","",MONTH(A10))</f>
        <v/>
      </c>
      <c r="D10" s="37">
        <f>IF(A10="","","Q"&amp;ROUNDUP(MONTH(A10)/3,0))</f>
        <v/>
      </c>
      <c r="E10" s="18" t="n"/>
      <c r="F10" s="18" t="n"/>
      <c r="G10" s="38" t="n"/>
      <c r="H10" s="20" t="n"/>
      <c r="I10" s="39">
        <f>IF(AND(G10&lt;&gt;"",H10&lt;&gt;""),G10*H10,"")</f>
        <v/>
      </c>
      <c r="J10" s="18" t="n"/>
      <c r="K10" s="40">
        <f>IFERROR(VLOOKUP(J10,M2_거래처마스터!A:E,3,FALSE),"")</f>
        <v/>
      </c>
      <c r="L10" s="40">
        <f>IFERROR(VLOOKUP(J10,M2_거래처마스터!A:E,5,FALSE),"")</f>
        <v/>
      </c>
      <c r="M10" s="18" t="n"/>
      <c r="N10" s="18" t="n"/>
    </row>
    <row r="11">
      <c r="A11" s="41" t="n"/>
      <c r="B11" s="35">
        <f>IF(A11="","",YEAR(A11))</f>
        <v/>
      </c>
      <c r="C11" s="36">
        <f>IF(A11="","",MONTH(A11))</f>
        <v/>
      </c>
      <c r="D11" s="37">
        <f>IF(A11="","","Q"&amp;ROUNDUP(MONTH(A11)/3,0))</f>
        <v/>
      </c>
      <c r="E11" s="22" t="n"/>
      <c r="F11" s="22" t="n"/>
      <c r="G11" s="42" t="n"/>
      <c r="H11" s="24" t="n"/>
      <c r="I11" s="39">
        <f>IF(AND(G11&lt;&gt;"",H11&lt;&gt;""),G11*H11,"")</f>
        <v/>
      </c>
      <c r="J11" s="22" t="n"/>
      <c r="K11" s="40">
        <f>IFERROR(VLOOKUP(J11,M2_거래처마스터!A:E,3,FALSE),"")</f>
        <v/>
      </c>
      <c r="L11" s="40">
        <f>IFERROR(VLOOKUP(J11,M2_거래처마스터!A:E,5,FALSE),"")</f>
        <v/>
      </c>
      <c r="M11" s="22" t="n"/>
      <c r="N11" s="22" t="n"/>
    </row>
    <row r="12">
      <c r="A12" s="34" t="n"/>
      <c r="B12" s="35">
        <f>IF(A12="","",YEAR(A12))</f>
        <v/>
      </c>
      <c r="C12" s="36">
        <f>IF(A12="","",MONTH(A12))</f>
        <v/>
      </c>
      <c r="D12" s="37">
        <f>IF(A12="","","Q"&amp;ROUNDUP(MONTH(A12)/3,0))</f>
        <v/>
      </c>
      <c r="E12" s="18" t="n"/>
      <c r="F12" s="18" t="n"/>
      <c r="G12" s="38" t="n"/>
      <c r="H12" s="20" t="n"/>
      <c r="I12" s="39">
        <f>IF(AND(G12&lt;&gt;"",H12&lt;&gt;""),G12*H12,"")</f>
        <v/>
      </c>
      <c r="J12" s="18" t="n"/>
      <c r="K12" s="40">
        <f>IFERROR(VLOOKUP(J12,M2_거래처마스터!A:E,3,FALSE),"")</f>
        <v/>
      </c>
      <c r="L12" s="40">
        <f>IFERROR(VLOOKUP(J12,M2_거래처마스터!A:E,5,FALSE),"")</f>
        <v/>
      </c>
      <c r="M12" s="18" t="n"/>
      <c r="N12" s="18" t="n"/>
    </row>
    <row r="13">
      <c r="A13" s="41" t="n"/>
      <c r="B13" s="35">
        <f>IF(A13="","",YEAR(A13))</f>
        <v/>
      </c>
      <c r="C13" s="36">
        <f>IF(A13="","",MONTH(A13))</f>
        <v/>
      </c>
      <c r="D13" s="37">
        <f>IF(A13="","","Q"&amp;ROUNDUP(MONTH(A13)/3,0))</f>
        <v/>
      </c>
      <c r="E13" s="22" t="n"/>
      <c r="F13" s="22" t="n"/>
      <c r="G13" s="42" t="n"/>
      <c r="H13" s="24" t="n"/>
      <c r="I13" s="39">
        <f>IF(AND(G13&lt;&gt;"",H13&lt;&gt;""),G13*H13,"")</f>
        <v/>
      </c>
      <c r="J13" s="22" t="n"/>
      <c r="K13" s="40">
        <f>IFERROR(VLOOKUP(J13,M2_거래처마스터!A:E,3,FALSE),"")</f>
        <v/>
      </c>
      <c r="L13" s="40">
        <f>IFERROR(VLOOKUP(J13,M2_거래처마스터!A:E,5,FALSE),"")</f>
        <v/>
      </c>
      <c r="M13" s="22" t="n"/>
      <c r="N13" s="22" t="n"/>
    </row>
    <row r="14">
      <c r="A14" s="34" t="n"/>
      <c r="B14" s="35">
        <f>IF(A14="","",YEAR(A14))</f>
        <v/>
      </c>
      <c r="C14" s="36">
        <f>IF(A14="","",MONTH(A14))</f>
        <v/>
      </c>
      <c r="D14" s="37">
        <f>IF(A14="","","Q"&amp;ROUNDUP(MONTH(A14)/3,0))</f>
        <v/>
      </c>
      <c r="E14" s="18" t="n"/>
      <c r="F14" s="18" t="n"/>
      <c r="G14" s="38" t="n"/>
      <c r="H14" s="20" t="n"/>
      <c r="I14" s="39">
        <f>IF(AND(G14&lt;&gt;"",H14&lt;&gt;""),G14*H14,"")</f>
        <v/>
      </c>
      <c r="J14" s="18" t="n"/>
      <c r="K14" s="40">
        <f>IFERROR(VLOOKUP(J14,M2_거래처마스터!A:E,3,FALSE),"")</f>
        <v/>
      </c>
      <c r="L14" s="40">
        <f>IFERROR(VLOOKUP(J14,M2_거래처마스터!A:E,5,FALSE),"")</f>
        <v/>
      </c>
      <c r="M14" s="18" t="n"/>
      <c r="N14" s="18" t="n"/>
    </row>
    <row r="15">
      <c r="A15" s="41" t="n"/>
      <c r="B15" s="35">
        <f>IF(A15="","",YEAR(A15))</f>
        <v/>
      </c>
      <c r="C15" s="36">
        <f>IF(A15="","",MONTH(A15))</f>
        <v/>
      </c>
      <c r="D15" s="37">
        <f>IF(A15="","","Q"&amp;ROUNDUP(MONTH(A15)/3,0))</f>
        <v/>
      </c>
      <c r="E15" s="22" t="n"/>
      <c r="F15" s="22" t="n"/>
      <c r="G15" s="42" t="n"/>
      <c r="H15" s="24" t="n"/>
      <c r="I15" s="39">
        <f>IF(AND(G15&lt;&gt;"",H15&lt;&gt;""),G15*H15,"")</f>
        <v/>
      </c>
      <c r="J15" s="22" t="n"/>
      <c r="K15" s="40">
        <f>IFERROR(VLOOKUP(J15,M2_거래처마스터!A:E,3,FALSE),"")</f>
        <v/>
      </c>
      <c r="L15" s="40">
        <f>IFERROR(VLOOKUP(J15,M2_거래처마스터!A:E,5,FALSE),"")</f>
        <v/>
      </c>
      <c r="M15" s="22" t="n"/>
      <c r="N15" s="22" t="n"/>
    </row>
    <row r="16">
      <c r="A16" s="34" t="n"/>
      <c r="B16" s="35">
        <f>IF(A16="","",YEAR(A16))</f>
        <v/>
      </c>
      <c r="C16" s="36">
        <f>IF(A16="","",MONTH(A16))</f>
        <v/>
      </c>
      <c r="D16" s="37">
        <f>IF(A16="","","Q"&amp;ROUNDUP(MONTH(A16)/3,0))</f>
        <v/>
      </c>
      <c r="E16" s="18" t="n"/>
      <c r="F16" s="18" t="n"/>
      <c r="G16" s="38" t="n"/>
      <c r="H16" s="20" t="n"/>
      <c r="I16" s="39">
        <f>IF(AND(G16&lt;&gt;"",H16&lt;&gt;""),G16*H16,"")</f>
        <v/>
      </c>
      <c r="J16" s="18" t="n"/>
      <c r="K16" s="40">
        <f>IFERROR(VLOOKUP(J16,M2_거래처마스터!A:E,3,FALSE),"")</f>
        <v/>
      </c>
      <c r="L16" s="40">
        <f>IFERROR(VLOOKUP(J16,M2_거래처마스터!A:E,5,FALSE),"")</f>
        <v/>
      </c>
      <c r="M16" s="18" t="n"/>
      <c r="N16" s="18" t="n"/>
    </row>
    <row r="17">
      <c r="A17" s="41" t="n"/>
      <c r="B17" s="35">
        <f>IF(A17="","",YEAR(A17))</f>
        <v/>
      </c>
      <c r="C17" s="36">
        <f>IF(A17="","",MONTH(A17))</f>
        <v/>
      </c>
      <c r="D17" s="37">
        <f>IF(A17="","","Q"&amp;ROUNDUP(MONTH(A17)/3,0))</f>
        <v/>
      </c>
      <c r="E17" s="22" t="n"/>
      <c r="F17" s="22" t="n"/>
      <c r="G17" s="42" t="n"/>
      <c r="H17" s="24" t="n"/>
      <c r="I17" s="39">
        <f>IF(AND(G17&lt;&gt;"",H17&lt;&gt;""),G17*H17,"")</f>
        <v/>
      </c>
      <c r="J17" s="22" t="n"/>
      <c r="K17" s="40">
        <f>IFERROR(VLOOKUP(J17,M2_거래처마스터!A:E,3,FALSE),"")</f>
        <v/>
      </c>
      <c r="L17" s="40">
        <f>IFERROR(VLOOKUP(J17,M2_거래처마스터!A:E,5,FALSE),"")</f>
        <v/>
      </c>
      <c r="M17" s="22" t="n"/>
      <c r="N17" s="22" t="n"/>
    </row>
    <row r="18">
      <c r="A18" s="34" t="n"/>
      <c r="B18" s="35">
        <f>IF(A18="","",YEAR(A18))</f>
        <v/>
      </c>
      <c r="C18" s="36">
        <f>IF(A18="","",MONTH(A18))</f>
        <v/>
      </c>
      <c r="D18" s="37">
        <f>IF(A18="","","Q"&amp;ROUNDUP(MONTH(A18)/3,0))</f>
        <v/>
      </c>
      <c r="E18" s="18" t="n"/>
      <c r="F18" s="18" t="n"/>
      <c r="G18" s="38" t="n"/>
      <c r="H18" s="20" t="n"/>
      <c r="I18" s="39">
        <f>IF(AND(G18&lt;&gt;"",H18&lt;&gt;""),G18*H18,"")</f>
        <v/>
      </c>
      <c r="J18" s="18" t="n"/>
      <c r="K18" s="40">
        <f>IFERROR(VLOOKUP(J18,M2_거래처마스터!A:E,3,FALSE),"")</f>
        <v/>
      </c>
      <c r="L18" s="40">
        <f>IFERROR(VLOOKUP(J18,M2_거래처마스터!A:E,5,FALSE),"")</f>
        <v/>
      </c>
      <c r="M18" s="18" t="n"/>
      <c r="N18" s="18" t="n"/>
    </row>
    <row r="19">
      <c r="A19" s="41" t="n"/>
      <c r="B19" s="35">
        <f>IF(A19="","",YEAR(A19))</f>
        <v/>
      </c>
      <c r="C19" s="36">
        <f>IF(A19="","",MONTH(A19))</f>
        <v/>
      </c>
      <c r="D19" s="37">
        <f>IF(A19="","","Q"&amp;ROUNDUP(MONTH(A19)/3,0))</f>
        <v/>
      </c>
      <c r="E19" s="22" t="n"/>
      <c r="F19" s="22" t="n"/>
      <c r="G19" s="42" t="n"/>
      <c r="H19" s="24" t="n"/>
      <c r="I19" s="39">
        <f>IF(AND(G19&lt;&gt;"",H19&lt;&gt;""),G19*H19,"")</f>
        <v/>
      </c>
      <c r="J19" s="22" t="n"/>
      <c r="K19" s="40">
        <f>IFERROR(VLOOKUP(J19,M2_거래처마스터!A:E,3,FALSE),"")</f>
        <v/>
      </c>
      <c r="L19" s="40">
        <f>IFERROR(VLOOKUP(J19,M2_거래처마스터!A:E,5,FALSE),"")</f>
        <v/>
      </c>
      <c r="M19" s="22" t="n"/>
      <c r="N19" s="22" t="n"/>
    </row>
    <row r="20">
      <c r="A20" s="34" t="n"/>
      <c r="B20" s="35">
        <f>IF(A20="","",YEAR(A20))</f>
        <v/>
      </c>
      <c r="C20" s="36">
        <f>IF(A20="","",MONTH(A20))</f>
        <v/>
      </c>
      <c r="D20" s="37">
        <f>IF(A20="","","Q"&amp;ROUNDUP(MONTH(A20)/3,0))</f>
        <v/>
      </c>
      <c r="E20" s="18" t="n"/>
      <c r="F20" s="18" t="n"/>
      <c r="G20" s="38" t="n"/>
      <c r="H20" s="20" t="n"/>
      <c r="I20" s="39">
        <f>IF(AND(G20&lt;&gt;"",H20&lt;&gt;""),G20*H20,"")</f>
        <v/>
      </c>
      <c r="J20" s="18" t="n"/>
      <c r="K20" s="40">
        <f>IFERROR(VLOOKUP(J20,M2_거래처마스터!A:E,3,FALSE),"")</f>
        <v/>
      </c>
      <c r="L20" s="40">
        <f>IFERROR(VLOOKUP(J20,M2_거래처마스터!A:E,5,FALSE),"")</f>
        <v/>
      </c>
      <c r="M20" s="18" t="n"/>
      <c r="N20" s="18" t="n"/>
    </row>
    <row r="21">
      <c r="A21" s="41" t="n"/>
      <c r="B21" s="35">
        <f>IF(A21="","",YEAR(A21))</f>
        <v/>
      </c>
      <c r="C21" s="36">
        <f>IF(A21="","",MONTH(A21))</f>
        <v/>
      </c>
      <c r="D21" s="37">
        <f>IF(A21="","","Q"&amp;ROUNDUP(MONTH(A21)/3,0))</f>
        <v/>
      </c>
      <c r="E21" s="22" t="n"/>
      <c r="F21" s="22" t="n"/>
      <c r="G21" s="42" t="n"/>
      <c r="H21" s="24" t="n"/>
      <c r="I21" s="39">
        <f>IF(AND(G21&lt;&gt;"",H21&lt;&gt;""),G21*H21,"")</f>
        <v/>
      </c>
      <c r="J21" s="22" t="n"/>
      <c r="K21" s="40">
        <f>IFERROR(VLOOKUP(J21,M2_거래처마스터!A:E,3,FALSE),"")</f>
        <v/>
      </c>
      <c r="L21" s="40">
        <f>IFERROR(VLOOKUP(J21,M2_거래처마스터!A:E,5,FALSE),"")</f>
        <v/>
      </c>
      <c r="M21" s="22" t="n"/>
      <c r="N21" s="22" t="n"/>
    </row>
    <row r="22">
      <c r="A22" s="34" t="n"/>
      <c r="B22" s="35">
        <f>IF(A22="","",YEAR(A22))</f>
        <v/>
      </c>
      <c r="C22" s="36">
        <f>IF(A22="","",MONTH(A22))</f>
        <v/>
      </c>
      <c r="D22" s="37">
        <f>IF(A22="","","Q"&amp;ROUNDUP(MONTH(A22)/3,0))</f>
        <v/>
      </c>
      <c r="E22" s="18" t="n"/>
      <c r="F22" s="18" t="n"/>
      <c r="G22" s="38" t="n"/>
      <c r="H22" s="20" t="n"/>
      <c r="I22" s="39">
        <f>IF(AND(G22&lt;&gt;"",H22&lt;&gt;""),G22*H22,"")</f>
        <v/>
      </c>
      <c r="J22" s="18" t="n"/>
      <c r="K22" s="40">
        <f>IFERROR(VLOOKUP(J22,M2_거래처마스터!A:E,3,FALSE),"")</f>
        <v/>
      </c>
      <c r="L22" s="40">
        <f>IFERROR(VLOOKUP(J22,M2_거래처마스터!A:E,5,FALSE),"")</f>
        <v/>
      </c>
      <c r="M22" s="18" t="n"/>
      <c r="N22" s="18" t="n"/>
    </row>
    <row r="23">
      <c r="A23" s="41" t="n"/>
      <c r="B23" s="35">
        <f>IF(A23="","",YEAR(A23))</f>
        <v/>
      </c>
      <c r="C23" s="36">
        <f>IF(A23="","",MONTH(A23))</f>
        <v/>
      </c>
      <c r="D23" s="37">
        <f>IF(A23="","","Q"&amp;ROUNDUP(MONTH(A23)/3,0))</f>
        <v/>
      </c>
      <c r="E23" s="22" t="n"/>
      <c r="F23" s="22" t="n"/>
      <c r="G23" s="42" t="n"/>
      <c r="H23" s="24" t="n"/>
      <c r="I23" s="39">
        <f>IF(AND(G23&lt;&gt;"",H23&lt;&gt;""),G23*H23,"")</f>
        <v/>
      </c>
      <c r="J23" s="22" t="n"/>
      <c r="K23" s="40">
        <f>IFERROR(VLOOKUP(J23,M2_거래처마스터!A:E,3,FALSE),"")</f>
        <v/>
      </c>
      <c r="L23" s="40">
        <f>IFERROR(VLOOKUP(J23,M2_거래처마스터!A:E,5,FALSE),"")</f>
        <v/>
      </c>
      <c r="M23" s="22" t="n"/>
      <c r="N23" s="22" t="n"/>
    </row>
    <row r="24">
      <c r="A24" s="34" t="n"/>
      <c r="B24" s="35">
        <f>IF(A24="","",YEAR(A24))</f>
        <v/>
      </c>
      <c r="C24" s="36">
        <f>IF(A24="","",MONTH(A24))</f>
        <v/>
      </c>
      <c r="D24" s="37">
        <f>IF(A24="","","Q"&amp;ROUNDUP(MONTH(A24)/3,0))</f>
        <v/>
      </c>
      <c r="E24" s="18" t="n"/>
      <c r="F24" s="18" t="n"/>
      <c r="G24" s="38" t="n"/>
      <c r="H24" s="20" t="n"/>
      <c r="I24" s="39">
        <f>IF(AND(G24&lt;&gt;"",H24&lt;&gt;""),G24*H24,"")</f>
        <v/>
      </c>
      <c r="J24" s="18" t="n"/>
      <c r="K24" s="40">
        <f>IFERROR(VLOOKUP(J24,M2_거래처마스터!A:E,3,FALSE),"")</f>
        <v/>
      </c>
      <c r="L24" s="40">
        <f>IFERROR(VLOOKUP(J24,M2_거래처마스터!A:E,5,FALSE),"")</f>
        <v/>
      </c>
      <c r="M24" s="18" t="n"/>
      <c r="N24" s="18" t="n"/>
    </row>
    <row r="25">
      <c r="A25" s="41" t="n"/>
      <c r="B25" s="35">
        <f>IF(A25="","",YEAR(A25))</f>
        <v/>
      </c>
      <c r="C25" s="36">
        <f>IF(A25="","",MONTH(A25))</f>
        <v/>
      </c>
      <c r="D25" s="37">
        <f>IF(A25="","","Q"&amp;ROUNDUP(MONTH(A25)/3,0))</f>
        <v/>
      </c>
      <c r="E25" s="22" t="n"/>
      <c r="F25" s="22" t="n"/>
      <c r="G25" s="42" t="n"/>
      <c r="H25" s="24" t="n"/>
      <c r="I25" s="39">
        <f>IF(AND(G25&lt;&gt;"",H25&lt;&gt;""),G25*H25,"")</f>
        <v/>
      </c>
      <c r="J25" s="22" t="n"/>
      <c r="K25" s="40">
        <f>IFERROR(VLOOKUP(J25,M2_거래처마스터!A:E,3,FALSE),"")</f>
        <v/>
      </c>
      <c r="L25" s="40">
        <f>IFERROR(VLOOKUP(J25,M2_거래처마스터!A:E,5,FALSE),"")</f>
        <v/>
      </c>
      <c r="M25" s="22" t="n"/>
      <c r="N25" s="22" t="n"/>
    </row>
    <row r="26">
      <c r="A26" s="34" t="n"/>
      <c r="B26" s="35">
        <f>IF(A26="","",YEAR(A26))</f>
        <v/>
      </c>
      <c r="C26" s="36">
        <f>IF(A26="","",MONTH(A26))</f>
        <v/>
      </c>
      <c r="D26" s="37">
        <f>IF(A26="","","Q"&amp;ROUNDUP(MONTH(A26)/3,0))</f>
        <v/>
      </c>
      <c r="E26" s="18" t="n"/>
      <c r="F26" s="18" t="n"/>
      <c r="G26" s="38" t="n"/>
      <c r="H26" s="20" t="n"/>
      <c r="I26" s="39">
        <f>IF(AND(G26&lt;&gt;"",H26&lt;&gt;""),G26*H26,"")</f>
        <v/>
      </c>
      <c r="J26" s="18" t="n"/>
      <c r="K26" s="40">
        <f>IFERROR(VLOOKUP(J26,M2_거래처마스터!A:E,3,FALSE),"")</f>
        <v/>
      </c>
      <c r="L26" s="40">
        <f>IFERROR(VLOOKUP(J26,M2_거래처마스터!A:E,5,FALSE),"")</f>
        <v/>
      </c>
      <c r="M26" s="18" t="n"/>
      <c r="N26" s="18" t="n"/>
    </row>
    <row r="27">
      <c r="A27" s="41" t="n"/>
      <c r="B27" s="35">
        <f>IF(A27="","",YEAR(A27))</f>
        <v/>
      </c>
      <c r="C27" s="36">
        <f>IF(A27="","",MONTH(A27))</f>
        <v/>
      </c>
      <c r="D27" s="37">
        <f>IF(A27="","","Q"&amp;ROUNDUP(MONTH(A27)/3,0))</f>
        <v/>
      </c>
      <c r="E27" s="22" t="n"/>
      <c r="F27" s="22" t="n"/>
      <c r="G27" s="42" t="n"/>
      <c r="H27" s="24" t="n"/>
      <c r="I27" s="39">
        <f>IF(AND(G27&lt;&gt;"",H27&lt;&gt;""),G27*H27,"")</f>
        <v/>
      </c>
      <c r="J27" s="22" t="n"/>
      <c r="K27" s="40">
        <f>IFERROR(VLOOKUP(J27,M2_거래처마스터!A:E,3,FALSE),"")</f>
        <v/>
      </c>
      <c r="L27" s="40">
        <f>IFERROR(VLOOKUP(J27,M2_거래처마스터!A:E,5,FALSE),"")</f>
        <v/>
      </c>
      <c r="M27" s="22" t="n"/>
      <c r="N27" s="22" t="n"/>
    </row>
    <row r="28">
      <c r="A28" s="34" t="n"/>
      <c r="B28" s="35">
        <f>IF(A28="","",YEAR(A28))</f>
        <v/>
      </c>
      <c r="C28" s="36">
        <f>IF(A28="","",MONTH(A28))</f>
        <v/>
      </c>
      <c r="D28" s="37">
        <f>IF(A28="","","Q"&amp;ROUNDUP(MONTH(A28)/3,0))</f>
        <v/>
      </c>
      <c r="E28" s="18" t="n"/>
      <c r="F28" s="18" t="n"/>
      <c r="G28" s="38" t="n"/>
      <c r="H28" s="20" t="n"/>
      <c r="I28" s="39">
        <f>IF(AND(G28&lt;&gt;"",H28&lt;&gt;""),G28*H28,"")</f>
        <v/>
      </c>
      <c r="J28" s="18" t="n"/>
      <c r="K28" s="40">
        <f>IFERROR(VLOOKUP(J28,M2_거래처마스터!A:E,3,FALSE),"")</f>
        <v/>
      </c>
      <c r="L28" s="40">
        <f>IFERROR(VLOOKUP(J28,M2_거래처마스터!A:E,5,FALSE),"")</f>
        <v/>
      </c>
      <c r="M28" s="18" t="n"/>
      <c r="N28" s="18" t="n"/>
    </row>
    <row r="29">
      <c r="A29" s="41" t="n"/>
      <c r="B29" s="35">
        <f>IF(A29="","",YEAR(A29))</f>
        <v/>
      </c>
      <c r="C29" s="36">
        <f>IF(A29="","",MONTH(A29))</f>
        <v/>
      </c>
      <c r="D29" s="37">
        <f>IF(A29="","","Q"&amp;ROUNDUP(MONTH(A29)/3,0))</f>
        <v/>
      </c>
      <c r="E29" s="22" t="n"/>
      <c r="F29" s="22" t="n"/>
      <c r="G29" s="42" t="n"/>
      <c r="H29" s="24" t="n"/>
      <c r="I29" s="39">
        <f>IF(AND(G29&lt;&gt;"",H29&lt;&gt;""),G29*H29,"")</f>
        <v/>
      </c>
      <c r="J29" s="22" t="n"/>
      <c r="K29" s="40">
        <f>IFERROR(VLOOKUP(J29,M2_거래처마스터!A:E,3,FALSE),"")</f>
        <v/>
      </c>
      <c r="L29" s="40">
        <f>IFERROR(VLOOKUP(J29,M2_거래처마스터!A:E,5,FALSE),"")</f>
        <v/>
      </c>
      <c r="M29" s="22" t="n"/>
      <c r="N29" s="22" t="n"/>
    </row>
    <row r="30">
      <c r="A30" s="34" t="n"/>
      <c r="B30" s="35">
        <f>IF(A30="","",YEAR(A30))</f>
        <v/>
      </c>
      <c r="C30" s="36">
        <f>IF(A30="","",MONTH(A30))</f>
        <v/>
      </c>
      <c r="D30" s="37">
        <f>IF(A30="","","Q"&amp;ROUNDUP(MONTH(A30)/3,0))</f>
        <v/>
      </c>
      <c r="E30" s="18" t="n"/>
      <c r="F30" s="18" t="n"/>
      <c r="G30" s="38" t="n"/>
      <c r="H30" s="20" t="n"/>
      <c r="I30" s="39">
        <f>IF(AND(G30&lt;&gt;"",H30&lt;&gt;""),G30*H30,"")</f>
        <v/>
      </c>
      <c r="J30" s="18" t="n"/>
      <c r="K30" s="40">
        <f>IFERROR(VLOOKUP(J30,M2_거래처마스터!A:E,3,FALSE),"")</f>
        <v/>
      </c>
      <c r="L30" s="40">
        <f>IFERROR(VLOOKUP(J30,M2_거래처마스터!A:E,5,FALSE),"")</f>
        <v/>
      </c>
      <c r="M30" s="18" t="n"/>
      <c r="N30" s="18" t="n"/>
    </row>
    <row r="31">
      <c r="A31" s="41" t="n"/>
      <c r="B31" s="35">
        <f>IF(A31="","",YEAR(A31))</f>
        <v/>
      </c>
      <c r="C31" s="36">
        <f>IF(A31="","",MONTH(A31))</f>
        <v/>
      </c>
      <c r="D31" s="37">
        <f>IF(A31="","","Q"&amp;ROUNDUP(MONTH(A31)/3,0))</f>
        <v/>
      </c>
      <c r="E31" s="22" t="n"/>
      <c r="F31" s="22" t="n"/>
      <c r="G31" s="42" t="n"/>
      <c r="H31" s="24" t="n"/>
      <c r="I31" s="39">
        <f>IF(AND(G31&lt;&gt;"",H31&lt;&gt;""),G31*H31,"")</f>
        <v/>
      </c>
      <c r="J31" s="22" t="n"/>
      <c r="K31" s="40">
        <f>IFERROR(VLOOKUP(J31,M2_거래처마스터!A:E,3,FALSE),"")</f>
        <v/>
      </c>
      <c r="L31" s="40">
        <f>IFERROR(VLOOKUP(J31,M2_거래처마스터!A:E,5,FALSE),"")</f>
        <v/>
      </c>
      <c r="M31" s="22" t="n"/>
      <c r="N31" s="22" t="n"/>
    </row>
    <row r="32">
      <c r="A32" s="34" t="n"/>
      <c r="B32" s="35">
        <f>IF(A32="","",YEAR(A32))</f>
        <v/>
      </c>
      <c r="C32" s="36">
        <f>IF(A32="","",MONTH(A32))</f>
        <v/>
      </c>
      <c r="D32" s="37">
        <f>IF(A32="","","Q"&amp;ROUNDUP(MONTH(A32)/3,0))</f>
        <v/>
      </c>
      <c r="E32" s="18" t="n"/>
      <c r="F32" s="18" t="n"/>
      <c r="G32" s="38" t="n"/>
      <c r="H32" s="20" t="n"/>
      <c r="I32" s="39">
        <f>IF(AND(G32&lt;&gt;"",H32&lt;&gt;""),G32*H32,"")</f>
        <v/>
      </c>
      <c r="J32" s="18" t="n"/>
      <c r="K32" s="40">
        <f>IFERROR(VLOOKUP(J32,M2_거래처마스터!A:E,3,FALSE),"")</f>
        <v/>
      </c>
      <c r="L32" s="40">
        <f>IFERROR(VLOOKUP(J32,M2_거래처마스터!A:E,5,FALSE),"")</f>
        <v/>
      </c>
      <c r="M32" s="18" t="n"/>
      <c r="N32" s="18" t="n"/>
    </row>
    <row r="33">
      <c r="A33" s="41" t="n"/>
      <c r="B33" s="35">
        <f>IF(A33="","",YEAR(A33))</f>
        <v/>
      </c>
      <c r="C33" s="36">
        <f>IF(A33="","",MONTH(A33))</f>
        <v/>
      </c>
      <c r="D33" s="37">
        <f>IF(A33="","","Q"&amp;ROUNDUP(MONTH(A33)/3,0))</f>
        <v/>
      </c>
      <c r="E33" s="22" t="n"/>
      <c r="F33" s="22" t="n"/>
      <c r="G33" s="42" t="n"/>
      <c r="H33" s="24" t="n"/>
      <c r="I33" s="39">
        <f>IF(AND(G33&lt;&gt;"",H33&lt;&gt;""),G33*H33,"")</f>
        <v/>
      </c>
      <c r="J33" s="22" t="n"/>
      <c r="K33" s="40">
        <f>IFERROR(VLOOKUP(J33,M2_거래처마스터!A:E,3,FALSE),"")</f>
        <v/>
      </c>
      <c r="L33" s="40">
        <f>IFERROR(VLOOKUP(J33,M2_거래처마스터!A:E,5,FALSE),"")</f>
        <v/>
      </c>
      <c r="M33" s="22" t="n"/>
      <c r="N33" s="22" t="n"/>
    </row>
    <row r="34">
      <c r="A34" s="34" t="n"/>
      <c r="B34" s="35">
        <f>IF(A34="","",YEAR(A34))</f>
        <v/>
      </c>
      <c r="C34" s="36">
        <f>IF(A34="","",MONTH(A34))</f>
        <v/>
      </c>
      <c r="D34" s="37">
        <f>IF(A34="","","Q"&amp;ROUNDUP(MONTH(A34)/3,0))</f>
        <v/>
      </c>
      <c r="E34" s="18" t="n"/>
      <c r="F34" s="18" t="n"/>
      <c r="G34" s="38" t="n"/>
      <c r="H34" s="20" t="n"/>
      <c r="I34" s="39">
        <f>IF(AND(G34&lt;&gt;"",H34&lt;&gt;""),G34*H34,"")</f>
        <v/>
      </c>
      <c r="J34" s="18" t="n"/>
      <c r="K34" s="40">
        <f>IFERROR(VLOOKUP(J34,M2_거래처마스터!A:E,3,FALSE),"")</f>
        <v/>
      </c>
      <c r="L34" s="40">
        <f>IFERROR(VLOOKUP(J34,M2_거래처마스터!A:E,5,FALSE),"")</f>
        <v/>
      </c>
      <c r="M34" s="18" t="n"/>
      <c r="N34" s="18" t="n"/>
    </row>
    <row r="35">
      <c r="A35" s="41" t="n"/>
      <c r="B35" s="35">
        <f>IF(A35="","",YEAR(A35))</f>
        <v/>
      </c>
      <c r="C35" s="36">
        <f>IF(A35="","",MONTH(A35))</f>
        <v/>
      </c>
      <c r="D35" s="37">
        <f>IF(A35="","","Q"&amp;ROUNDUP(MONTH(A35)/3,0))</f>
        <v/>
      </c>
      <c r="E35" s="22" t="n"/>
      <c r="F35" s="22" t="n"/>
      <c r="G35" s="42" t="n"/>
      <c r="H35" s="24" t="n"/>
      <c r="I35" s="39">
        <f>IF(AND(G35&lt;&gt;"",H35&lt;&gt;""),G35*H35,"")</f>
        <v/>
      </c>
      <c r="J35" s="22" t="n"/>
      <c r="K35" s="40">
        <f>IFERROR(VLOOKUP(J35,M2_거래처마스터!A:E,3,FALSE),"")</f>
        <v/>
      </c>
      <c r="L35" s="40">
        <f>IFERROR(VLOOKUP(J35,M2_거래처마스터!A:E,5,FALSE),"")</f>
        <v/>
      </c>
      <c r="M35" s="22" t="n"/>
      <c r="N35" s="22" t="n"/>
    </row>
    <row r="36">
      <c r="A36" s="34" t="n"/>
      <c r="B36" s="35">
        <f>IF(A36="","",YEAR(A36))</f>
        <v/>
      </c>
      <c r="C36" s="36">
        <f>IF(A36="","",MONTH(A36))</f>
        <v/>
      </c>
      <c r="D36" s="37">
        <f>IF(A36="","","Q"&amp;ROUNDUP(MONTH(A36)/3,0))</f>
        <v/>
      </c>
      <c r="E36" s="18" t="n"/>
      <c r="F36" s="18" t="n"/>
      <c r="G36" s="38" t="n"/>
      <c r="H36" s="20" t="n"/>
      <c r="I36" s="39">
        <f>IF(AND(G36&lt;&gt;"",H36&lt;&gt;""),G36*H36,"")</f>
        <v/>
      </c>
      <c r="J36" s="18" t="n"/>
      <c r="K36" s="40">
        <f>IFERROR(VLOOKUP(J36,M2_거래처마스터!A:E,3,FALSE),"")</f>
        <v/>
      </c>
      <c r="L36" s="40">
        <f>IFERROR(VLOOKUP(J36,M2_거래처마스터!A:E,5,FALSE),"")</f>
        <v/>
      </c>
      <c r="M36" s="18" t="n"/>
      <c r="N36" s="18" t="n"/>
    </row>
    <row r="37">
      <c r="A37" s="41" t="n"/>
      <c r="B37" s="35">
        <f>IF(A37="","",YEAR(A37))</f>
        <v/>
      </c>
      <c r="C37" s="36">
        <f>IF(A37="","",MONTH(A37))</f>
        <v/>
      </c>
      <c r="D37" s="37">
        <f>IF(A37="","","Q"&amp;ROUNDUP(MONTH(A37)/3,0))</f>
        <v/>
      </c>
      <c r="E37" s="22" t="n"/>
      <c r="F37" s="22" t="n"/>
      <c r="G37" s="42" t="n"/>
      <c r="H37" s="24" t="n"/>
      <c r="I37" s="39">
        <f>IF(AND(G37&lt;&gt;"",H37&lt;&gt;""),G37*H37,"")</f>
        <v/>
      </c>
      <c r="J37" s="22" t="n"/>
      <c r="K37" s="40">
        <f>IFERROR(VLOOKUP(J37,M2_거래처마스터!A:E,3,FALSE),"")</f>
        <v/>
      </c>
      <c r="L37" s="40">
        <f>IFERROR(VLOOKUP(J37,M2_거래처마스터!A:E,5,FALSE),"")</f>
        <v/>
      </c>
      <c r="M37" s="22" t="n"/>
      <c r="N37" s="22" t="n"/>
    </row>
    <row r="38">
      <c r="A38" s="34" t="n"/>
      <c r="B38" s="35">
        <f>IF(A38="","",YEAR(A38))</f>
        <v/>
      </c>
      <c r="C38" s="36">
        <f>IF(A38="","",MONTH(A38))</f>
        <v/>
      </c>
      <c r="D38" s="37">
        <f>IF(A38="","","Q"&amp;ROUNDUP(MONTH(A38)/3,0))</f>
        <v/>
      </c>
      <c r="E38" s="18" t="n"/>
      <c r="F38" s="18" t="n"/>
      <c r="G38" s="38" t="n"/>
      <c r="H38" s="20" t="n"/>
      <c r="I38" s="39">
        <f>IF(AND(G38&lt;&gt;"",H38&lt;&gt;""),G38*H38,"")</f>
        <v/>
      </c>
      <c r="J38" s="18" t="n"/>
      <c r="K38" s="40">
        <f>IFERROR(VLOOKUP(J38,M2_거래처마스터!A:E,3,FALSE),"")</f>
        <v/>
      </c>
      <c r="L38" s="40">
        <f>IFERROR(VLOOKUP(J38,M2_거래처마스터!A:E,5,FALSE),"")</f>
        <v/>
      </c>
      <c r="M38" s="18" t="n"/>
      <c r="N38" s="18" t="n"/>
    </row>
    <row r="39">
      <c r="A39" s="41" t="n"/>
      <c r="B39" s="35">
        <f>IF(A39="","",YEAR(A39))</f>
        <v/>
      </c>
      <c r="C39" s="36">
        <f>IF(A39="","",MONTH(A39))</f>
        <v/>
      </c>
      <c r="D39" s="37">
        <f>IF(A39="","","Q"&amp;ROUNDUP(MONTH(A39)/3,0))</f>
        <v/>
      </c>
      <c r="E39" s="22" t="n"/>
      <c r="F39" s="22" t="n"/>
      <c r="G39" s="42" t="n"/>
      <c r="H39" s="24" t="n"/>
      <c r="I39" s="39">
        <f>IF(AND(G39&lt;&gt;"",H39&lt;&gt;""),G39*H39,"")</f>
        <v/>
      </c>
      <c r="J39" s="22" t="n"/>
      <c r="K39" s="40">
        <f>IFERROR(VLOOKUP(J39,M2_거래처마스터!A:E,3,FALSE),"")</f>
        <v/>
      </c>
      <c r="L39" s="40">
        <f>IFERROR(VLOOKUP(J39,M2_거래처마스터!A:E,5,FALSE),"")</f>
        <v/>
      </c>
      <c r="M39" s="22" t="n"/>
      <c r="N39" s="22" t="n"/>
    </row>
    <row r="40">
      <c r="A40" s="34" t="n"/>
      <c r="B40" s="35">
        <f>IF(A40="","",YEAR(A40))</f>
        <v/>
      </c>
      <c r="C40" s="36">
        <f>IF(A40="","",MONTH(A40))</f>
        <v/>
      </c>
      <c r="D40" s="37">
        <f>IF(A40="","","Q"&amp;ROUNDUP(MONTH(A40)/3,0))</f>
        <v/>
      </c>
      <c r="E40" s="18" t="n"/>
      <c r="F40" s="18" t="n"/>
      <c r="G40" s="38" t="n"/>
      <c r="H40" s="20" t="n"/>
      <c r="I40" s="39">
        <f>IF(AND(G40&lt;&gt;"",H40&lt;&gt;""),G40*H40,"")</f>
        <v/>
      </c>
      <c r="J40" s="18" t="n"/>
      <c r="K40" s="40">
        <f>IFERROR(VLOOKUP(J40,M2_거래처마스터!A:E,3,FALSE),"")</f>
        <v/>
      </c>
      <c r="L40" s="40">
        <f>IFERROR(VLOOKUP(J40,M2_거래처마스터!A:E,5,FALSE),"")</f>
        <v/>
      </c>
      <c r="M40" s="18" t="n"/>
      <c r="N40" s="18" t="n"/>
    </row>
    <row r="41">
      <c r="A41" s="41" t="n"/>
      <c r="B41" s="35">
        <f>IF(A41="","",YEAR(A41))</f>
        <v/>
      </c>
      <c r="C41" s="36">
        <f>IF(A41="","",MONTH(A41))</f>
        <v/>
      </c>
      <c r="D41" s="37">
        <f>IF(A41="","","Q"&amp;ROUNDUP(MONTH(A41)/3,0))</f>
        <v/>
      </c>
      <c r="E41" s="22" t="n"/>
      <c r="F41" s="22" t="n"/>
      <c r="G41" s="42" t="n"/>
      <c r="H41" s="24" t="n"/>
      <c r="I41" s="39">
        <f>IF(AND(G41&lt;&gt;"",H41&lt;&gt;""),G41*H41,"")</f>
        <v/>
      </c>
      <c r="J41" s="22" t="n"/>
      <c r="K41" s="40">
        <f>IFERROR(VLOOKUP(J41,M2_거래처마스터!A:E,3,FALSE),"")</f>
        <v/>
      </c>
      <c r="L41" s="40">
        <f>IFERROR(VLOOKUP(J41,M2_거래처마스터!A:E,5,FALSE),"")</f>
        <v/>
      </c>
      <c r="M41" s="22" t="n"/>
      <c r="N41" s="22" t="n"/>
    </row>
    <row r="42">
      <c r="A42" s="34" t="n"/>
      <c r="B42" s="35">
        <f>IF(A42="","",YEAR(A42))</f>
        <v/>
      </c>
      <c r="C42" s="36">
        <f>IF(A42="","",MONTH(A42))</f>
        <v/>
      </c>
      <c r="D42" s="37">
        <f>IF(A42="","","Q"&amp;ROUNDUP(MONTH(A42)/3,0))</f>
        <v/>
      </c>
      <c r="E42" s="18" t="n"/>
      <c r="F42" s="18" t="n"/>
      <c r="G42" s="38" t="n"/>
      <c r="H42" s="20" t="n"/>
      <c r="I42" s="39">
        <f>IF(AND(G42&lt;&gt;"",H42&lt;&gt;""),G42*H42,"")</f>
        <v/>
      </c>
      <c r="J42" s="18" t="n"/>
      <c r="K42" s="40">
        <f>IFERROR(VLOOKUP(J42,M2_거래처마스터!A:E,3,FALSE),"")</f>
        <v/>
      </c>
      <c r="L42" s="40">
        <f>IFERROR(VLOOKUP(J42,M2_거래처마스터!A:E,5,FALSE),"")</f>
        <v/>
      </c>
      <c r="M42" s="18" t="n"/>
      <c r="N42" s="18" t="n"/>
    </row>
    <row r="43">
      <c r="A43" s="41" t="n"/>
      <c r="B43" s="35">
        <f>IF(A43="","",YEAR(A43))</f>
        <v/>
      </c>
      <c r="C43" s="36">
        <f>IF(A43="","",MONTH(A43))</f>
        <v/>
      </c>
      <c r="D43" s="37">
        <f>IF(A43="","","Q"&amp;ROUNDUP(MONTH(A43)/3,0))</f>
        <v/>
      </c>
      <c r="E43" s="22" t="n"/>
      <c r="F43" s="22" t="n"/>
      <c r="G43" s="42" t="n"/>
      <c r="H43" s="24" t="n"/>
      <c r="I43" s="39">
        <f>IF(AND(G43&lt;&gt;"",H43&lt;&gt;""),G43*H43,"")</f>
        <v/>
      </c>
      <c r="J43" s="22" t="n"/>
      <c r="K43" s="40">
        <f>IFERROR(VLOOKUP(J43,M2_거래처마스터!A:E,3,FALSE),"")</f>
        <v/>
      </c>
      <c r="L43" s="40">
        <f>IFERROR(VLOOKUP(J43,M2_거래처마스터!A:E,5,FALSE),"")</f>
        <v/>
      </c>
      <c r="M43" s="22" t="n"/>
      <c r="N43" s="22" t="n"/>
    </row>
    <row r="44">
      <c r="A44" s="34" t="n"/>
      <c r="B44" s="35">
        <f>IF(A44="","",YEAR(A44))</f>
        <v/>
      </c>
      <c r="C44" s="36">
        <f>IF(A44="","",MONTH(A44))</f>
        <v/>
      </c>
      <c r="D44" s="37">
        <f>IF(A44="","","Q"&amp;ROUNDUP(MONTH(A44)/3,0))</f>
        <v/>
      </c>
      <c r="E44" s="18" t="n"/>
      <c r="F44" s="18" t="n"/>
      <c r="G44" s="38" t="n"/>
      <c r="H44" s="20" t="n"/>
      <c r="I44" s="39">
        <f>IF(AND(G44&lt;&gt;"",H44&lt;&gt;""),G44*H44,"")</f>
        <v/>
      </c>
      <c r="J44" s="18" t="n"/>
      <c r="K44" s="40">
        <f>IFERROR(VLOOKUP(J44,M2_거래처마스터!A:E,3,FALSE),"")</f>
        <v/>
      </c>
      <c r="L44" s="40">
        <f>IFERROR(VLOOKUP(J44,M2_거래처마스터!A:E,5,FALSE),"")</f>
        <v/>
      </c>
      <c r="M44" s="18" t="n"/>
      <c r="N44" s="18" t="n"/>
    </row>
    <row r="45">
      <c r="A45" s="41" t="n"/>
      <c r="B45" s="35">
        <f>IF(A45="","",YEAR(A45))</f>
        <v/>
      </c>
      <c r="C45" s="36">
        <f>IF(A45="","",MONTH(A45))</f>
        <v/>
      </c>
      <c r="D45" s="37">
        <f>IF(A45="","","Q"&amp;ROUNDUP(MONTH(A45)/3,0))</f>
        <v/>
      </c>
      <c r="E45" s="22" t="n"/>
      <c r="F45" s="22" t="n"/>
      <c r="G45" s="42" t="n"/>
      <c r="H45" s="24" t="n"/>
      <c r="I45" s="39">
        <f>IF(AND(G45&lt;&gt;"",H45&lt;&gt;""),G45*H45,"")</f>
        <v/>
      </c>
      <c r="J45" s="22" t="n"/>
      <c r="K45" s="40">
        <f>IFERROR(VLOOKUP(J45,M2_거래처마스터!A:E,3,FALSE),"")</f>
        <v/>
      </c>
      <c r="L45" s="40">
        <f>IFERROR(VLOOKUP(J45,M2_거래처마스터!A:E,5,FALSE),"")</f>
        <v/>
      </c>
      <c r="M45" s="22" t="n"/>
      <c r="N45" s="22" t="n"/>
    </row>
    <row r="46">
      <c r="A46" s="34" t="n"/>
      <c r="B46" s="35">
        <f>IF(A46="","",YEAR(A46))</f>
        <v/>
      </c>
      <c r="C46" s="36">
        <f>IF(A46="","",MONTH(A46))</f>
        <v/>
      </c>
      <c r="D46" s="37">
        <f>IF(A46="","","Q"&amp;ROUNDUP(MONTH(A46)/3,0))</f>
        <v/>
      </c>
      <c r="E46" s="18" t="n"/>
      <c r="F46" s="18" t="n"/>
      <c r="G46" s="38" t="n"/>
      <c r="H46" s="20" t="n"/>
      <c r="I46" s="39">
        <f>IF(AND(G46&lt;&gt;"",H46&lt;&gt;""),G46*H46,"")</f>
        <v/>
      </c>
      <c r="J46" s="18" t="n"/>
      <c r="K46" s="40">
        <f>IFERROR(VLOOKUP(J46,M2_거래처마스터!A:E,3,FALSE),"")</f>
        <v/>
      </c>
      <c r="L46" s="40">
        <f>IFERROR(VLOOKUP(J46,M2_거래처마스터!A:E,5,FALSE),"")</f>
        <v/>
      </c>
      <c r="M46" s="18" t="n"/>
      <c r="N46" s="18" t="n"/>
    </row>
    <row r="47">
      <c r="A47" s="41" t="n"/>
      <c r="B47" s="35">
        <f>IF(A47="","",YEAR(A47))</f>
        <v/>
      </c>
      <c r="C47" s="36">
        <f>IF(A47="","",MONTH(A47))</f>
        <v/>
      </c>
      <c r="D47" s="37">
        <f>IF(A47="","","Q"&amp;ROUNDUP(MONTH(A47)/3,0))</f>
        <v/>
      </c>
      <c r="E47" s="22" t="n"/>
      <c r="F47" s="22" t="n"/>
      <c r="G47" s="42" t="n"/>
      <c r="H47" s="24" t="n"/>
      <c r="I47" s="39">
        <f>IF(AND(G47&lt;&gt;"",H47&lt;&gt;""),G47*H47,"")</f>
        <v/>
      </c>
      <c r="J47" s="22" t="n"/>
      <c r="K47" s="40">
        <f>IFERROR(VLOOKUP(J47,M2_거래처마스터!A:E,3,FALSE),"")</f>
        <v/>
      </c>
      <c r="L47" s="40">
        <f>IFERROR(VLOOKUP(J47,M2_거래처마스터!A:E,5,FALSE),"")</f>
        <v/>
      </c>
      <c r="M47" s="22" t="n"/>
      <c r="N47" s="22" t="n"/>
    </row>
    <row r="48">
      <c r="A48" s="34" t="n"/>
      <c r="B48" s="35">
        <f>IF(A48="","",YEAR(A48))</f>
        <v/>
      </c>
      <c r="C48" s="36">
        <f>IF(A48="","",MONTH(A48))</f>
        <v/>
      </c>
      <c r="D48" s="37">
        <f>IF(A48="","","Q"&amp;ROUNDUP(MONTH(A48)/3,0))</f>
        <v/>
      </c>
      <c r="E48" s="18" t="n"/>
      <c r="F48" s="18" t="n"/>
      <c r="G48" s="38" t="n"/>
      <c r="H48" s="20" t="n"/>
      <c r="I48" s="39">
        <f>IF(AND(G48&lt;&gt;"",H48&lt;&gt;""),G48*H48,"")</f>
        <v/>
      </c>
      <c r="J48" s="18" t="n"/>
      <c r="K48" s="40">
        <f>IFERROR(VLOOKUP(J48,M2_거래처마스터!A:E,3,FALSE),"")</f>
        <v/>
      </c>
      <c r="L48" s="40">
        <f>IFERROR(VLOOKUP(J48,M2_거래처마스터!A:E,5,FALSE),"")</f>
        <v/>
      </c>
      <c r="M48" s="18" t="n"/>
      <c r="N48" s="18" t="n"/>
    </row>
    <row r="49">
      <c r="A49" s="41" t="n"/>
      <c r="B49" s="35">
        <f>IF(A49="","",YEAR(A49))</f>
        <v/>
      </c>
      <c r="C49" s="36">
        <f>IF(A49="","",MONTH(A49))</f>
        <v/>
      </c>
      <c r="D49" s="37">
        <f>IF(A49="","","Q"&amp;ROUNDUP(MONTH(A49)/3,0))</f>
        <v/>
      </c>
      <c r="E49" s="22" t="n"/>
      <c r="F49" s="22" t="n"/>
      <c r="G49" s="42" t="n"/>
      <c r="H49" s="24" t="n"/>
      <c r="I49" s="39">
        <f>IF(AND(G49&lt;&gt;"",H49&lt;&gt;""),G49*H49,"")</f>
        <v/>
      </c>
      <c r="J49" s="22" t="n"/>
      <c r="K49" s="40">
        <f>IFERROR(VLOOKUP(J49,M2_거래처마스터!A:E,3,FALSE),"")</f>
        <v/>
      </c>
      <c r="L49" s="40">
        <f>IFERROR(VLOOKUP(J49,M2_거래처마스터!A:E,5,FALSE),"")</f>
        <v/>
      </c>
      <c r="M49" s="22" t="n"/>
      <c r="N49" s="22" t="n"/>
    </row>
    <row r="50">
      <c r="A50" s="34" t="n"/>
      <c r="B50" s="35">
        <f>IF(A50="","",YEAR(A50))</f>
        <v/>
      </c>
      <c r="C50" s="36">
        <f>IF(A50="","",MONTH(A50))</f>
        <v/>
      </c>
      <c r="D50" s="37">
        <f>IF(A50="","","Q"&amp;ROUNDUP(MONTH(A50)/3,0))</f>
        <v/>
      </c>
      <c r="E50" s="18" t="n"/>
      <c r="F50" s="18" t="n"/>
      <c r="G50" s="38" t="n"/>
      <c r="H50" s="20" t="n"/>
      <c r="I50" s="39">
        <f>IF(AND(G50&lt;&gt;"",H50&lt;&gt;""),G50*H50,"")</f>
        <v/>
      </c>
      <c r="J50" s="18" t="n"/>
      <c r="K50" s="40">
        <f>IFERROR(VLOOKUP(J50,M2_거래처마스터!A:E,3,FALSE),"")</f>
        <v/>
      </c>
      <c r="L50" s="40">
        <f>IFERROR(VLOOKUP(J50,M2_거래처마스터!A:E,5,FALSE),"")</f>
        <v/>
      </c>
      <c r="M50" s="18" t="n"/>
      <c r="N50" s="18" t="n"/>
    </row>
    <row r="51">
      <c r="A51" s="41" t="n"/>
      <c r="B51" s="35">
        <f>IF(A51="","",YEAR(A51))</f>
        <v/>
      </c>
      <c r="C51" s="36">
        <f>IF(A51="","",MONTH(A51))</f>
        <v/>
      </c>
      <c r="D51" s="37">
        <f>IF(A51="","","Q"&amp;ROUNDUP(MONTH(A51)/3,0))</f>
        <v/>
      </c>
      <c r="E51" s="22" t="n"/>
      <c r="F51" s="22" t="n"/>
      <c r="G51" s="42" t="n"/>
      <c r="H51" s="24" t="n"/>
      <c r="I51" s="39">
        <f>IF(AND(G51&lt;&gt;"",H51&lt;&gt;""),G51*H51,"")</f>
        <v/>
      </c>
      <c r="J51" s="22" t="n"/>
      <c r="K51" s="40">
        <f>IFERROR(VLOOKUP(J51,M2_거래처마스터!A:E,3,FALSE),"")</f>
        <v/>
      </c>
      <c r="L51" s="40">
        <f>IFERROR(VLOOKUP(J51,M2_거래처마스터!A:E,5,FALSE),"")</f>
        <v/>
      </c>
      <c r="M51" s="22" t="n"/>
      <c r="N51" s="22" t="n"/>
    </row>
    <row r="52">
      <c r="A52" s="34" t="n"/>
      <c r="B52" s="35">
        <f>IF(A52="","",YEAR(A52))</f>
        <v/>
      </c>
      <c r="C52" s="36">
        <f>IF(A52="","",MONTH(A52))</f>
        <v/>
      </c>
      <c r="D52" s="37">
        <f>IF(A52="","","Q"&amp;ROUNDUP(MONTH(A52)/3,0))</f>
        <v/>
      </c>
      <c r="E52" s="18" t="n"/>
      <c r="F52" s="18" t="n"/>
      <c r="G52" s="38" t="n"/>
      <c r="H52" s="20" t="n"/>
      <c r="I52" s="39">
        <f>IF(AND(G52&lt;&gt;"",H52&lt;&gt;""),G52*H52,"")</f>
        <v/>
      </c>
      <c r="J52" s="18" t="n"/>
      <c r="K52" s="40">
        <f>IFERROR(VLOOKUP(J52,M2_거래처마스터!A:E,3,FALSE),"")</f>
        <v/>
      </c>
      <c r="L52" s="40">
        <f>IFERROR(VLOOKUP(J52,M2_거래처마스터!A:E,5,FALSE),"")</f>
        <v/>
      </c>
      <c r="M52" s="18" t="n"/>
      <c r="N52" s="18" t="n"/>
    </row>
    <row r="53">
      <c r="A53" s="41" t="n"/>
      <c r="B53" s="35">
        <f>IF(A53="","",YEAR(A53))</f>
        <v/>
      </c>
      <c r="C53" s="36">
        <f>IF(A53="","",MONTH(A53))</f>
        <v/>
      </c>
      <c r="D53" s="37">
        <f>IF(A53="","","Q"&amp;ROUNDUP(MONTH(A53)/3,0))</f>
        <v/>
      </c>
      <c r="E53" s="22" t="n"/>
      <c r="F53" s="22" t="n"/>
      <c r="G53" s="42" t="n"/>
      <c r="H53" s="24" t="n"/>
      <c r="I53" s="39">
        <f>IF(AND(G53&lt;&gt;"",H53&lt;&gt;""),G53*H53,"")</f>
        <v/>
      </c>
      <c r="J53" s="22" t="n"/>
      <c r="K53" s="40">
        <f>IFERROR(VLOOKUP(J53,M2_거래처마스터!A:E,3,FALSE),"")</f>
        <v/>
      </c>
      <c r="L53" s="40">
        <f>IFERROR(VLOOKUP(J53,M2_거래처마스터!A:E,5,FALSE),"")</f>
        <v/>
      </c>
      <c r="M53" s="22" t="n"/>
      <c r="N53" s="22" t="n"/>
    </row>
    <row r="54">
      <c r="A54" s="34" t="n"/>
      <c r="B54" s="35">
        <f>IF(A54="","",YEAR(A54))</f>
        <v/>
      </c>
      <c r="C54" s="36">
        <f>IF(A54="","",MONTH(A54))</f>
        <v/>
      </c>
      <c r="D54" s="37">
        <f>IF(A54="","","Q"&amp;ROUNDUP(MONTH(A54)/3,0))</f>
        <v/>
      </c>
      <c r="E54" s="18" t="n"/>
      <c r="F54" s="18" t="n"/>
      <c r="G54" s="38" t="n"/>
      <c r="H54" s="20" t="n"/>
      <c r="I54" s="39">
        <f>IF(AND(G54&lt;&gt;"",H54&lt;&gt;""),G54*H54,"")</f>
        <v/>
      </c>
      <c r="J54" s="18" t="n"/>
      <c r="K54" s="40">
        <f>IFERROR(VLOOKUP(J54,M2_거래처마스터!A:E,3,FALSE),"")</f>
        <v/>
      </c>
      <c r="L54" s="40">
        <f>IFERROR(VLOOKUP(J54,M2_거래처마스터!A:E,5,FALSE),"")</f>
        <v/>
      </c>
      <c r="M54" s="18" t="n"/>
      <c r="N54" s="18" t="n"/>
    </row>
    <row r="55">
      <c r="A55" s="41" t="n"/>
      <c r="B55" s="35">
        <f>IF(A55="","",YEAR(A55))</f>
        <v/>
      </c>
      <c r="C55" s="36">
        <f>IF(A55="","",MONTH(A55))</f>
        <v/>
      </c>
      <c r="D55" s="37">
        <f>IF(A55="","","Q"&amp;ROUNDUP(MONTH(A55)/3,0))</f>
        <v/>
      </c>
      <c r="E55" s="22" t="n"/>
      <c r="F55" s="22" t="n"/>
      <c r="G55" s="42" t="n"/>
      <c r="H55" s="24" t="n"/>
      <c r="I55" s="39">
        <f>IF(AND(G55&lt;&gt;"",H55&lt;&gt;""),G55*H55,"")</f>
        <v/>
      </c>
      <c r="J55" s="22" t="n"/>
      <c r="K55" s="40">
        <f>IFERROR(VLOOKUP(J55,M2_거래처마스터!A:E,3,FALSE),"")</f>
        <v/>
      </c>
      <c r="L55" s="40">
        <f>IFERROR(VLOOKUP(J55,M2_거래처마스터!A:E,5,FALSE),"")</f>
        <v/>
      </c>
      <c r="M55" s="22" t="n"/>
      <c r="N55" s="22" t="n"/>
    </row>
    <row r="56">
      <c r="A56" s="34" t="n"/>
      <c r="B56" s="35">
        <f>IF(A56="","",YEAR(A56))</f>
        <v/>
      </c>
      <c r="C56" s="36">
        <f>IF(A56="","",MONTH(A56))</f>
        <v/>
      </c>
      <c r="D56" s="37">
        <f>IF(A56="","","Q"&amp;ROUNDUP(MONTH(A56)/3,0))</f>
        <v/>
      </c>
      <c r="E56" s="18" t="n"/>
      <c r="F56" s="18" t="n"/>
      <c r="G56" s="38" t="n"/>
      <c r="H56" s="20" t="n"/>
      <c r="I56" s="39">
        <f>IF(AND(G56&lt;&gt;"",H56&lt;&gt;""),G56*H56,"")</f>
        <v/>
      </c>
      <c r="J56" s="18" t="n"/>
      <c r="K56" s="40">
        <f>IFERROR(VLOOKUP(J56,M2_거래처마스터!A:E,3,FALSE),"")</f>
        <v/>
      </c>
      <c r="L56" s="40">
        <f>IFERROR(VLOOKUP(J56,M2_거래처마스터!A:E,5,FALSE),"")</f>
        <v/>
      </c>
      <c r="M56" s="18" t="n"/>
      <c r="N56" s="18" t="n"/>
    </row>
    <row r="57">
      <c r="A57" s="41" t="n"/>
      <c r="B57" s="35">
        <f>IF(A57="","",YEAR(A57))</f>
        <v/>
      </c>
      <c r="C57" s="36">
        <f>IF(A57="","",MONTH(A57))</f>
        <v/>
      </c>
      <c r="D57" s="37">
        <f>IF(A57="","","Q"&amp;ROUNDUP(MONTH(A57)/3,0))</f>
        <v/>
      </c>
      <c r="E57" s="22" t="n"/>
      <c r="F57" s="22" t="n"/>
      <c r="G57" s="42" t="n"/>
      <c r="H57" s="24" t="n"/>
      <c r="I57" s="39">
        <f>IF(AND(G57&lt;&gt;"",H57&lt;&gt;""),G57*H57,"")</f>
        <v/>
      </c>
      <c r="J57" s="22" t="n"/>
      <c r="K57" s="40">
        <f>IFERROR(VLOOKUP(J57,M2_거래처마스터!A:E,3,FALSE),"")</f>
        <v/>
      </c>
      <c r="L57" s="40">
        <f>IFERROR(VLOOKUP(J57,M2_거래처마스터!A:E,5,FALSE),"")</f>
        <v/>
      </c>
      <c r="M57" s="22" t="n"/>
      <c r="N57" s="22" t="n"/>
    </row>
    <row r="58">
      <c r="A58" s="34" t="n"/>
      <c r="B58" s="35">
        <f>IF(A58="","",YEAR(A58))</f>
        <v/>
      </c>
      <c r="C58" s="36">
        <f>IF(A58="","",MONTH(A58))</f>
        <v/>
      </c>
      <c r="D58" s="37">
        <f>IF(A58="","","Q"&amp;ROUNDUP(MONTH(A58)/3,0))</f>
        <v/>
      </c>
      <c r="E58" s="18" t="n"/>
      <c r="F58" s="18" t="n"/>
      <c r="G58" s="38" t="n"/>
      <c r="H58" s="20" t="n"/>
      <c r="I58" s="39">
        <f>IF(AND(G58&lt;&gt;"",H58&lt;&gt;""),G58*H58,"")</f>
        <v/>
      </c>
      <c r="J58" s="18" t="n"/>
      <c r="K58" s="40">
        <f>IFERROR(VLOOKUP(J58,M2_거래처마스터!A:E,3,FALSE),"")</f>
        <v/>
      </c>
      <c r="L58" s="40">
        <f>IFERROR(VLOOKUP(J58,M2_거래처마스터!A:E,5,FALSE),"")</f>
        <v/>
      </c>
      <c r="M58" s="18" t="n"/>
      <c r="N58" s="18" t="n"/>
    </row>
    <row r="59">
      <c r="A59" s="41" t="n"/>
      <c r="B59" s="35">
        <f>IF(A59="","",YEAR(A59))</f>
        <v/>
      </c>
      <c r="C59" s="36">
        <f>IF(A59="","",MONTH(A59))</f>
        <v/>
      </c>
      <c r="D59" s="37">
        <f>IF(A59="","","Q"&amp;ROUNDUP(MONTH(A59)/3,0))</f>
        <v/>
      </c>
      <c r="E59" s="22" t="n"/>
      <c r="F59" s="22" t="n"/>
      <c r="G59" s="42" t="n"/>
      <c r="H59" s="24" t="n"/>
      <c r="I59" s="39">
        <f>IF(AND(G59&lt;&gt;"",H59&lt;&gt;""),G59*H59,"")</f>
        <v/>
      </c>
      <c r="J59" s="22" t="n"/>
      <c r="K59" s="40">
        <f>IFERROR(VLOOKUP(J59,M2_거래처마스터!A:E,3,FALSE),"")</f>
        <v/>
      </c>
      <c r="L59" s="40">
        <f>IFERROR(VLOOKUP(J59,M2_거래처마스터!A:E,5,FALSE),"")</f>
        <v/>
      </c>
      <c r="M59" s="22" t="n"/>
      <c r="N59" s="22" t="n"/>
    </row>
    <row r="60">
      <c r="A60" s="34" t="n"/>
      <c r="B60" s="35">
        <f>IF(A60="","",YEAR(A60))</f>
        <v/>
      </c>
      <c r="C60" s="36">
        <f>IF(A60="","",MONTH(A60))</f>
        <v/>
      </c>
      <c r="D60" s="37">
        <f>IF(A60="","","Q"&amp;ROUNDUP(MONTH(A60)/3,0))</f>
        <v/>
      </c>
      <c r="E60" s="18" t="n"/>
      <c r="F60" s="18" t="n"/>
      <c r="G60" s="38" t="n"/>
      <c r="H60" s="20" t="n"/>
      <c r="I60" s="39">
        <f>IF(AND(G60&lt;&gt;"",H60&lt;&gt;""),G60*H60,"")</f>
        <v/>
      </c>
      <c r="J60" s="18" t="n"/>
      <c r="K60" s="40">
        <f>IFERROR(VLOOKUP(J60,M2_거래처마스터!A:E,3,FALSE),"")</f>
        <v/>
      </c>
      <c r="L60" s="40">
        <f>IFERROR(VLOOKUP(J60,M2_거래처마스터!A:E,5,FALSE),"")</f>
        <v/>
      </c>
      <c r="M60" s="18" t="n"/>
      <c r="N60" s="18" t="n"/>
    </row>
    <row r="61">
      <c r="A61" s="41" t="n"/>
      <c r="B61" s="35">
        <f>IF(A61="","",YEAR(A61))</f>
        <v/>
      </c>
      <c r="C61" s="36">
        <f>IF(A61="","",MONTH(A61))</f>
        <v/>
      </c>
      <c r="D61" s="37">
        <f>IF(A61="","","Q"&amp;ROUNDUP(MONTH(A61)/3,0))</f>
        <v/>
      </c>
      <c r="E61" s="22" t="n"/>
      <c r="F61" s="22" t="n"/>
      <c r="G61" s="42" t="n"/>
      <c r="H61" s="24" t="n"/>
      <c r="I61" s="39">
        <f>IF(AND(G61&lt;&gt;"",H61&lt;&gt;""),G61*H61,"")</f>
        <v/>
      </c>
      <c r="J61" s="22" t="n"/>
      <c r="K61" s="40">
        <f>IFERROR(VLOOKUP(J61,M2_거래처마스터!A:E,3,FALSE),"")</f>
        <v/>
      </c>
      <c r="L61" s="40">
        <f>IFERROR(VLOOKUP(J61,M2_거래처마스터!A:E,5,FALSE),"")</f>
        <v/>
      </c>
      <c r="M61" s="22" t="n"/>
      <c r="N61" s="22" t="n"/>
    </row>
    <row r="62">
      <c r="A62" s="34" t="n"/>
      <c r="B62" s="35">
        <f>IF(A62="","",YEAR(A62))</f>
        <v/>
      </c>
      <c r="C62" s="36">
        <f>IF(A62="","",MONTH(A62))</f>
        <v/>
      </c>
      <c r="D62" s="37">
        <f>IF(A62="","","Q"&amp;ROUNDUP(MONTH(A62)/3,0))</f>
        <v/>
      </c>
      <c r="E62" s="18" t="n"/>
      <c r="F62" s="18" t="n"/>
      <c r="G62" s="38" t="n"/>
      <c r="H62" s="20" t="n"/>
      <c r="I62" s="39">
        <f>IF(AND(G62&lt;&gt;"",H62&lt;&gt;""),G62*H62,"")</f>
        <v/>
      </c>
      <c r="J62" s="18" t="n"/>
      <c r="K62" s="40">
        <f>IFERROR(VLOOKUP(J62,M2_거래처마스터!A:E,3,FALSE),"")</f>
        <v/>
      </c>
      <c r="L62" s="40">
        <f>IFERROR(VLOOKUP(J62,M2_거래처마스터!A:E,5,FALSE),"")</f>
        <v/>
      </c>
      <c r="M62" s="18" t="n"/>
      <c r="N62" s="18" t="n"/>
    </row>
    <row r="63">
      <c r="A63" s="41" t="n"/>
      <c r="B63" s="35">
        <f>IF(A63="","",YEAR(A63))</f>
        <v/>
      </c>
      <c r="C63" s="36">
        <f>IF(A63="","",MONTH(A63))</f>
        <v/>
      </c>
      <c r="D63" s="37">
        <f>IF(A63="","","Q"&amp;ROUNDUP(MONTH(A63)/3,0))</f>
        <v/>
      </c>
      <c r="E63" s="22" t="n"/>
      <c r="F63" s="22" t="n"/>
      <c r="G63" s="42" t="n"/>
      <c r="H63" s="24" t="n"/>
      <c r="I63" s="39">
        <f>IF(AND(G63&lt;&gt;"",H63&lt;&gt;""),G63*H63,"")</f>
        <v/>
      </c>
      <c r="J63" s="22" t="n"/>
      <c r="K63" s="40">
        <f>IFERROR(VLOOKUP(J63,M2_거래처마스터!A:E,3,FALSE),"")</f>
        <v/>
      </c>
      <c r="L63" s="40">
        <f>IFERROR(VLOOKUP(J63,M2_거래처마스터!A:E,5,FALSE),"")</f>
        <v/>
      </c>
      <c r="M63" s="22" t="n"/>
      <c r="N63" s="22" t="n"/>
    </row>
    <row r="64">
      <c r="A64" s="34" t="n"/>
      <c r="B64" s="35">
        <f>IF(A64="","",YEAR(A64))</f>
        <v/>
      </c>
      <c r="C64" s="36">
        <f>IF(A64="","",MONTH(A64))</f>
        <v/>
      </c>
      <c r="D64" s="37">
        <f>IF(A64="","","Q"&amp;ROUNDUP(MONTH(A64)/3,0))</f>
        <v/>
      </c>
      <c r="E64" s="18" t="n"/>
      <c r="F64" s="18" t="n"/>
      <c r="G64" s="38" t="n"/>
      <c r="H64" s="20" t="n"/>
      <c r="I64" s="39">
        <f>IF(AND(G64&lt;&gt;"",H64&lt;&gt;""),G64*H64,"")</f>
        <v/>
      </c>
      <c r="J64" s="18" t="n"/>
      <c r="K64" s="40">
        <f>IFERROR(VLOOKUP(J64,M2_거래처마스터!A:E,3,FALSE),"")</f>
        <v/>
      </c>
      <c r="L64" s="40">
        <f>IFERROR(VLOOKUP(J64,M2_거래처마스터!A:E,5,FALSE),"")</f>
        <v/>
      </c>
      <c r="M64" s="18" t="n"/>
      <c r="N64" s="18" t="n"/>
    </row>
    <row r="65">
      <c r="A65" s="41" t="n"/>
      <c r="B65" s="35">
        <f>IF(A65="","",YEAR(A65))</f>
        <v/>
      </c>
      <c r="C65" s="36">
        <f>IF(A65="","",MONTH(A65))</f>
        <v/>
      </c>
      <c r="D65" s="37">
        <f>IF(A65="","","Q"&amp;ROUNDUP(MONTH(A65)/3,0))</f>
        <v/>
      </c>
      <c r="E65" s="22" t="n"/>
      <c r="F65" s="22" t="n"/>
      <c r="G65" s="42" t="n"/>
      <c r="H65" s="24" t="n"/>
      <c r="I65" s="39">
        <f>IF(AND(G65&lt;&gt;"",H65&lt;&gt;""),G65*H65,"")</f>
        <v/>
      </c>
      <c r="J65" s="22" t="n"/>
      <c r="K65" s="40">
        <f>IFERROR(VLOOKUP(J65,M2_거래처마스터!A:E,3,FALSE),"")</f>
        <v/>
      </c>
      <c r="L65" s="40">
        <f>IFERROR(VLOOKUP(J65,M2_거래처마스터!A:E,5,FALSE),"")</f>
        <v/>
      </c>
      <c r="M65" s="22" t="n"/>
      <c r="N65" s="22" t="n"/>
    </row>
    <row r="66">
      <c r="A66" s="34" t="n"/>
      <c r="B66" s="35">
        <f>IF(A66="","",YEAR(A66))</f>
        <v/>
      </c>
      <c r="C66" s="36">
        <f>IF(A66="","",MONTH(A66))</f>
        <v/>
      </c>
      <c r="D66" s="37">
        <f>IF(A66="","","Q"&amp;ROUNDUP(MONTH(A66)/3,0))</f>
        <v/>
      </c>
      <c r="E66" s="18" t="n"/>
      <c r="F66" s="18" t="n"/>
      <c r="G66" s="38" t="n"/>
      <c r="H66" s="20" t="n"/>
      <c r="I66" s="39">
        <f>IF(AND(G66&lt;&gt;"",H66&lt;&gt;""),G66*H66,"")</f>
        <v/>
      </c>
      <c r="J66" s="18" t="n"/>
      <c r="K66" s="40">
        <f>IFERROR(VLOOKUP(J66,M2_거래처마스터!A:E,3,FALSE),"")</f>
        <v/>
      </c>
      <c r="L66" s="40">
        <f>IFERROR(VLOOKUP(J66,M2_거래처마스터!A:E,5,FALSE),"")</f>
        <v/>
      </c>
      <c r="M66" s="18" t="n"/>
      <c r="N66" s="18" t="n"/>
    </row>
    <row r="67">
      <c r="A67" s="41" t="n"/>
      <c r="B67" s="35">
        <f>IF(A67="","",YEAR(A67))</f>
        <v/>
      </c>
      <c r="C67" s="36">
        <f>IF(A67="","",MONTH(A67))</f>
        <v/>
      </c>
      <c r="D67" s="37">
        <f>IF(A67="","","Q"&amp;ROUNDUP(MONTH(A67)/3,0))</f>
        <v/>
      </c>
      <c r="E67" s="22" t="n"/>
      <c r="F67" s="22" t="n"/>
      <c r="G67" s="42" t="n"/>
      <c r="H67" s="24" t="n"/>
      <c r="I67" s="39">
        <f>IF(AND(G67&lt;&gt;"",H67&lt;&gt;""),G67*H67,"")</f>
        <v/>
      </c>
      <c r="J67" s="22" t="n"/>
      <c r="K67" s="40">
        <f>IFERROR(VLOOKUP(J67,M2_거래처마스터!A:E,3,FALSE),"")</f>
        <v/>
      </c>
      <c r="L67" s="40">
        <f>IFERROR(VLOOKUP(J67,M2_거래처마스터!A:E,5,FALSE),"")</f>
        <v/>
      </c>
      <c r="M67" s="22" t="n"/>
      <c r="N67" s="22" t="n"/>
    </row>
    <row r="68">
      <c r="A68" s="34" t="n"/>
      <c r="B68" s="35">
        <f>IF(A68="","",YEAR(A68))</f>
        <v/>
      </c>
      <c r="C68" s="36">
        <f>IF(A68="","",MONTH(A68))</f>
        <v/>
      </c>
      <c r="D68" s="37">
        <f>IF(A68="","","Q"&amp;ROUNDUP(MONTH(A68)/3,0))</f>
        <v/>
      </c>
      <c r="E68" s="18" t="n"/>
      <c r="F68" s="18" t="n"/>
      <c r="G68" s="38" t="n"/>
      <c r="H68" s="20" t="n"/>
      <c r="I68" s="39">
        <f>IF(AND(G68&lt;&gt;"",H68&lt;&gt;""),G68*H68,"")</f>
        <v/>
      </c>
      <c r="J68" s="18" t="n"/>
      <c r="K68" s="40">
        <f>IFERROR(VLOOKUP(J68,M2_거래처마스터!A:E,3,FALSE),"")</f>
        <v/>
      </c>
      <c r="L68" s="40">
        <f>IFERROR(VLOOKUP(J68,M2_거래처마스터!A:E,5,FALSE),"")</f>
        <v/>
      </c>
      <c r="M68" s="18" t="n"/>
      <c r="N68" s="18" t="n"/>
    </row>
    <row r="69">
      <c r="A69" s="41" t="n"/>
      <c r="B69" s="35">
        <f>IF(A69="","",YEAR(A69))</f>
        <v/>
      </c>
      <c r="C69" s="36">
        <f>IF(A69="","",MONTH(A69))</f>
        <v/>
      </c>
      <c r="D69" s="37">
        <f>IF(A69="","","Q"&amp;ROUNDUP(MONTH(A69)/3,0))</f>
        <v/>
      </c>
      <c r="E69" s="22" t="n"/>
      <c r="F69" s="22" t="n"/>
      <c r="G69" s="42" t="n"/>
      <c r="H69" s="24" t="n"/>
      <c r="I69" s="39">
        <f>IF(AND(G69&lt;&gt;"",H69&lt;&gt;""),G69*H69,"")</f>
        <v/>
      </c>
      <c r="J69" s="22" t="n"/>
      <c r="K69" s="40">
        <f>IFERROR(VLOOKUP(J69,M2_거래처마스터!A:E,3,FALSE),"")</f>
        <v/>
      </c>
      <c r="L69" s="40">
        <f>IFERROR(VLOOKUP(J69,M2_거래처마스터!A:E,5,FALSE),"")</f>
        <v/>
      </c>
      <c r="M69" s="22" t="n"/>
      <c r="N69" s="22" t="n"/>
    </row>
    <row r="70">
      <c r="A70" s="34" t="n"/>
      <c r="B70" s="35">
        <f>IF(A70="","",YEAR(A70))</f>
        <v/>
      </c>
      <c r="C70" s="36">
        <f>IF(A70="","",MONTH(A70))</f>
        <v/>
      </c>
      <c r="D70" s="37">
        <f>IF(A70="","","Q"&amp;ROUNDUP(MONTH(A70)/3,0))</f>
        <v/>
      </c>
      <c r="E70" s="18" t="n"/>
      <c r="F70" s="18" t="n"/>
      <c r="G70" s="38" t="n"/>
      <c r="H70" s="20" t="n"/>
      <c r="I70" s="39">
        <f>IF(AND(G70&lt;&gt;"",H70&lt;&gt;""),G70*H70,"")</f>
        <v/>
      </c>
      <c r="J70" s="18" t="n"/>
      <c r="K70" s="40">
        <f>IFERROR(VLOOKUP(J70,M2_거래처마스터!A:E,3,FALSE),"")</f>
        <v/>
      </c>
      <c r="L70" s="40">
        <f>IFERROR(VLOOKUP(J70,M2_거래처마스터!A:E,5,FALSE),"")</f>
        <v/>
      </c>
      <c r="M70" s="18" t="n"/>
      <c r="N70" s="18" t="n"/>
    </row>
    <row r="71">
      <c r="A71" s="41" t="n"/>
      <c r="B71" s="35">
        <f>IF(A71="","",YEAR(A71))</f>
        <v/>
      </c>
      <c r="C71" s="36">
        <f>IF(A71="","",MONTH(A71))</f>
        <v/>
      </c>
      <c r="D71" s="37">
        <f>IF(A71="","","Q"&amp;ROUNDUP(MONTH(A71)/3,0))</f>
        <v/>
      </c>
      <c r="E71" s="22" t="n"/>
      <c r="F71" s="22" t="n"/>
      <c r="G71" s="42" t="n"/>
      <c r="H71" s="24" t="n"/>
      <c r="I71" s="39">
        <f>IF(AND(G71&lt;&gt;"",H71&lt;&gt;""),G71*H71,"")</f>
        <v/>
      </c>
      <c r="J71" s="22" t="n"/>
      <c r="K71" s="40">
        <f>IFERROR(VLOOKUP(J71,M2_거래처마스터!A:E,3,FALSE),"")</f>
        <v/>
      </c>
      <c r="L71" s="40">
        <f>IFERROR(VLOOKUP(J71,M2_거래처마스터!A:E,5,FALSE),"")</f>
        <v/>
      </c>
      <c r="M71" s="22" t="n"/>
      <c r="N71" s="22" t="n"/>
    </row>
    <row r="72">
      <c r="A72" s="34" t="n"/>
      <c r="B72" s="35">
        <f>IF(A72="","",YEAR(A72))</f>
        <v/>
      </c>
      <c r="C72" s="36">
        <f>IF(A72="","",MONTH(A72))</f>
        <v/>
      </c>
      <c r="D72" s="37">
        <f>IF(A72="","","Q"&amp;ROUNDUP(MONTH(A72)/3,0))</f>
        <v/>
      </c>
      <c r="E72" s="18" t="n"/>
      <c r="F72" s="18" t="n"/>
      <c r="G72" s="38" t="n"/>
      <c r="H72" s="20" t="n"/>
      <c r="I72" s="39">
        <f>IF(AND(G72&lt;&gt;"",H72&lt;&gt;""),G72*H72,"")</f>
        <v/>
      </c>
      <c r="J72" s="18" t="n"/>
      <c r="K72" s="40">
        <f>IFERROR(VLOOKUP(J72,M2_거래처마스터!A:E,3,FALSE),"")</f>
        <v/>
      </c>
      <c r="L72" s="40">
        <f>IFERROR(VLOOKUP(J72,M2_거래처마스터!A:E,5,FALSE),"")</f>
        <v/>
      </c>
      <c r="M72" s="18" t="n"/>
      <c r="N72" s="18" t="n"/>
    </row>
    <row r="73">
      <c r="A73" s="41" t="n"/>
      <c r="B73" s="35">
        <f>IF(A73="","",YEAR(A73))</f>
        <v/>
      </c>
      <c r="C73" s="36">
        <f>IF(A73="","",MONTH(A73))</f>
        <v/>
      </c>
      <c r="D73" s="37">
        <f>IF(A73="","","Q"&amp;ROUNDUP(MONTH(A73)/3,0))</f>
        <v/>
      </c>
      <c r="E73" s="22" t="n"/>
      <c r="F73" s="22" t="n"/>
      <c r="G73" s="42" t="n"/>
      <c r="H73" s="24" t="n"/>
      <c r="I73" s="39">
        <f>IF(AND(G73&lt;&gt;"",H73&lt;&gt;""),G73*H73,"")</f>
        <v/>
      </c>
      <c r="J73" s="22" t="n"/>
      <c r="K73" s="40">
        <f>IFERROR(VLOOKUP(J73,M2_거래처마스터!A:E,3,FALSE),"")</f>
        <v/>
      </c>
      <c r="L73" s="40">
        <f>IFERROR(VLOOKUP(J73,M2_거래처마스터!A:E,5,FALSE),"")</f>
        <v/>
      </c>
      <c r="M73" s="22" t="n"/>
      <c r="N73" s="22" t="n"/>
    </row>
    <row r="74">
      <c r="A74" s="34" t="n"/>
      <c r="B74" s="35">
        <f>IF(A74="","",YEAR(A74))</f>
        <v/>
      </c>
      <c r="C74" s="36">
        <f>IF(A74="","",MONTH(A74))</f>
        <v/>
      </c>
      <c r="D74" s="37">
        <f>IF(A74="","","Q"&amp;ROUNDUP(MONTH(A74)/3,0))</f>
        <v/>
      </c>
      <c r="E74" s="18" t="n"/>
      <c r="F74" s="18" t="n"/>
      <c r="G74" s="38" t="n"/>
      <c r="H74" s="20" t="n"/>
      <c r="I74" s="39">
        <f>IF(AND(G74&lt;&gt;"",H74&lt;&gt;""),G74*H74,"")</f>
        <v/>
      </c>
      <c r="J74" s="18" t="n"/>
      <c r="K74" s="40">
        <f>IFERROR(VLOOKUP(J74,M2_거래처마스터!A:E,3,FALSE),"")</f>
        <v/>
      </c>
      <c r="L74" s="40">
        <f>IFERROR(VLOOKUP(J74,M2_거래처마스터!A:E,5,FALSE),"")</f>
        <v/>
      </c>
      <c r="M74" s="18" t="n"/>
      <c r="N74" s="18" t="n"/>
    </row>
    <row r="75">
      <c r="A75" s="41" t="n"/>
      <c r="B75" s="35">
        <f>IF(A75="","",YEAR(A75))</f>
        <v/>
      </c>
      <c r="C75" s="36">
        <f>IF(A75="","",MONTH(A75))</f>
        <v/>
      </c>
      <c r="D75" s="37">
        <f>IF(A75="","","Q"&amp;ROUNDUP(MONTH(A75)/3,0))</f>
        <v/>
      </c>
      <c r="E75" s="22" t="n"/>
      <c r="F75" s="22" t="n"/>
      <c r="G75" s="42" t="n"/>
      <c r="H75" s="24" t="n"/>
      <c r="I75" s="39">
        <f>IF(AND(G75&lt;&gt;"",H75&lt;&gt;""),G75*H75,"")</f>
        <v/>
      </c>
      <c r="J75" s="22" t="n"/>
      <c r="K75" s="40">
        <f>IFERROR(VLOOKUP(J75,M2_거래처마스터!A:E,3,FALSE),"")</f>
        <v/>
      </c>
      <c r="L75" s="40">
        <f>IFERROR(VLOOKUP(J75,M2_거래처마스터!A:E,5,FALSE),"")</f>
        <v/>
      </c>
      <c r="M75" s="22" t="n"/>
      <c r="N75" s="22" t="n"/>
    </row>
    <row r="76">
      <c r="A76" s="34" t="n"/>
      <c r="B76" s="35">
        <f>IF(A76="","",YEAR(A76))</f>
        <v/>
      </c>
      <c r="C76" s="36">
        <f>IF(A76="","",MONTH(A76))</f>
        <v/>
      </c>
      <c r="D76" s="37">
        <f>IF(A76="","","Q"&amp;ROUNDUP(MONTH(A76)/3,0))</f>
        <v/>
      </c>
      <c r="E76" s="18" t="n"/>
      <c r="F76" s="18" t="n"/>
      <c r="G76" s="38" t="n"/>
      <c r="H76" s="20" t="n"/>
      <c r="I76" s="39">
        <f>IF(AND(G76&lt;&gt;"",H76&lt;&gt;""),G76*H76,"")</f>
        <v/>
      </c>
      <c r="J76" s="18" t="n"/>
      <c r="K76" s="40">
        <f>IFERROR(VLOOKUP(J76,M2_거래처마스터!A:E,3,FALSE),"")</f>
        <v/>
      </c>
      <c r="L76" s="40">
        <f>IFERROR(VLOOKUP(J76,M2_거래처마스터!A:E,5,FALSE),"")</f>
        <v/>
      </c>
      <c r="M76" s="18" t="n"/>
      <c r="N76" s="18" t="n"/>
    </row>
    <row r="77">
      <c r="A77" s="41" t="n"/>
      <c r="B77" s="35">
        <f>IF(A77="","",YEAR(A77))</f>
        <v/>
      </c>
      <c r="C77" s="36">
        <f>IF(A77="","",MONTH(A77))</f>
        <v/>
      </c>
      <c r="D77" s="37">
        <f>IF(A77="","","Q"&amp;ROUNDUP(MONTH(A77)/3,0))</f>
        <v/>
      </c>
      <c r="E77" s="22" t="n"/>
      <c r="F77" s="22" t="n"/>
      <c r="G77" s="42" t="n"/>
      <c r="H77" s="24" t="n"/>
      <c r="I77" s="39">
        <f>IF(AND(G77&lt;&gt;"",H77&lt;&gt;""),G77*H77,"")</f>
        <v/>
      </c>
      <c r="J77" s="22" t="n"/>
      <c r="K77" s="40">
        <f>IFERROR(VLOOKUP(J77,M2_거래처마스터!A:E,3,FALSE),"")</f>
        <v/>
      </c>
      <c r="L77" s="40">
        <f>IFERROR(VLOOKUP(J77,M2_거래처마스터!A:E,5,FALSE),"")</f>
        <v/>
      </c>
      <c r="M77" s="22" t="n"/>
      <c r="N77" s="22" t="n"/>
    </row>
    <row r="78">
      <c r="A78" s="34" t="n"/>
      <c r="B78" s="35">
        <f>IF(A78="","",YEAR(A78))</f>
        <v/>
      </c>
      <c r="C78" s="36">
        <f>IF(A78="","",MONTH(A78))</f>
        <v/>
      </c>
      <c r="D78" s="37">
        <f>IF(A78="","","Q"&amp;ROUNDUP(MONTH(A78)/3,0))</f>
        <v/>
      </c>
      <c r="E78" s="18" t="n"/>
      <c r="F78" s="18" t="n"/>
      <c r="G78" s="38" t="n"/>
      <c r="H78" s="20" t="n"/>
      <c r="I78" s="39">
        <f>IF(AND(G78&lt;&gt;"",H78&lt;&gt;""),G78*H78,"")</f>
        <v/>
      </c>
      <c r="J78" s="18" t="n"/>
      <c r="K78" s="40">
        <f>IFERROR(VLOOKUP(J78,M2_거래처마스터!A:E,3,FALSE),"")</f>
        <v/>
      </c>
      <c r="L78" s="40">
        <f>IFERROR(VLOOKUP(J78,M2_거래처마스터!A:E,5,FALSE),"")</f>
        <v/>
      </c>
      <c r="M78" s="18" t="n"/>
      <c r="N78" s="18" t="n"/>
    </row>
    <row r="79">
      <c r="A79" s="41" t="n"/>
      <c r="B79" s="35">
        <f>IF(A79="","",YEAR(A79))</f>
        <v/>
      </c>
      <c r="C79" s="36">
        <f>IF(A79="","",MONTH(A79))</f>
        <v/>
      </c>
      <c r="D79" s="37">
        <f>IF(A79="","","Q"&amp;ROUNDUP(MONTH(A79)/3,0))</f>
        <v/>
      </c>
      <c r="E79" s="22" t="n"/>
      <c r="F79" s="22" t="n"/>
      <c r="G79" s="42" t="n"/>
      <c r="H79" s="24" t="n"/>
      <c r="I79" s="39">
        <f>IF(AND(G79&lt;&gt;"",H79&lt;&gt;""),G79*H79,"")</f>
        <v/>
      </c>
      <c r="J79" s="22" t="n"/>
      <c r="K79" s="40">
        <f>IFERROR(VLOOKUP(J79,M2_거래처마스터!A:E,3,FALSE),"")</f>
        <v/>
      </c>
      <c r="L79" s="40">
        <f>IFERROR(VLOOKUP(J79,M2_거래처마스터!A:E,5,FALSE),"")</f>
        <v/>
      </c>
      <c r="M79" s="22" t="n"/>
      <c r="N79" s="22" t="n"/>
    </row>
    <row r="80">
      <c r="A80" s="34" t="n"/>
      <c r="B80" s="35">
        <f>IF(A80="","",YEAR(A80))</f>
        <v/>
      </c>
      <c r="C80" s="36">
        <f>IF(A80="","",MONTH(A80))</f>
        <v/>
      </c>
      <c r="D80" s="37">
        <f>IF(A80="","","Q"&amp;ROUNDUP(MONTH(A80)/3,0))</f>
        <v/>
      </c>
      <c r="E80" s="18" t="n"/>
      <c r="F80" s="18" t="n"/>
      <c r="G80" s="38" t="n"/>
      <c r="H80" s="20" t="n"/>
      <c r="I80" s="39">
        <f>IF(AND(G80&lt;&gt;"",H80&lt;&gt;""),G80*H80,"")</f>
        <v/>
      </c>
      <c r="J80" s="18" t="n"/>
      <c r="K80" s="40">
        <f>IFERROR(VLOOKUP(J80,M2_거래처마스터!A:E,3,FALSE),"")</f>
        <v/>
      </c>
      <c r="L80" s="40">
        <f>IFERROR(VLOOKUP(J80,M2_거래처마스터!A:E,5,FALSE),"")</f>
        <v/>
      </c>
      <c r="M80" s="18" t="n"/>
      <c r="N80" s="18" t="n"/>
    </row>
    <row r="81">
      <c r="A81" s="41" t="n"/>
      <c r="B81" s="35">
        <f>IF(A81="","",YEAR(A81))</f>
        <v/>
      </c>
      <c r="C81" s="36">
        <f>IF(A81="","",MONTH(A81))</f>
        <v/>
      </c>
      <c r="D81" s="37">
        <f>IF(A81="","","Q"&amp;ROUNDUP(MONTH(A81)/3,0))</f>
        <v/>
      </c>
      <c r="E81" s="22" t="n"/>
      <c r="F81" s="22" t="n"/>
      <c r="G81" s="42" t="n"/>
      <c r="H81" s="24" t="n"/>
      <c r="I81" s="39">
        <f>IF(AND(G81&lt;&gt;"",H81&lt;&gt;""),G81*H81,"")</f>
        <v/>
      </c>
      <c r="J81" s="22" t="n"/>
      <c r="K81" s="40">
        <f>IFERROR(VLOOKUP(J81,M2_거래처마스터!A:E,3,FALSE),"")</f>
        <v/>
      </c>
      <c r="L81" s="40">
        <f>IFERROR(VLOOKUP(J81,M2_거래처마스터!A:E,5,FALSE),"")</f>
        <v/>
      </c>
      <c r="M81" s="22" t="n"/>
      <c r="N81" s="22" t="n"/>
    </row>
    <row r="82">
      <c r="A82" s="34" t="n"/>
      <c r="B82" s="35">
        <f>IF(A82="","",YEAR(A82))</f>
        <v/>
      </c>
      <c r="C82" s="36">
        <f>IF(A82="","",MONTH(A82))</f>
        <v/>
      </c>
      <c r="D82" s="37">
        <f>IF(A82="","","Q"&amp;ROUNDUP(MONTH(A82)/3,0))</f>
        <v/>
      </c>
      <c r="E82" s="18" t="n"/>
      <c r="F82" s="18" t="n"/>
      <c r="G82" s="38" t="n"/>
      <c r="H82" s="20" t="n"/>
      <c r="I82" s="39">
        <f>IF(AND(G82&lt;&gt;"",H82&lt;&gt;""),G82*H82,"")</f>
        <v/>
      </c>
      <c r="J82" s="18" t="n"/>
      <c r="K82" s="40">
        <f>IFERROR(VLOOKUP(J82,M2_거래처마스터!A:E,3,FALSE),"")</f>
        <v/>
      </c>
      <c r="L82" s="40">
        <f>IFERROR(VLOOKUP(J82,M2_거래처마스터!A:E,5,FALSE),"")</f>
        <v/>
      </c>
      <c r="M82" s="18" t="n"/>
      <c r="N82" s="18" t="n"/>
    </row>
    <row r="83">
      <c r="A83" s="41" t="n"/>
      <c r="B83" s="35">
        <f>IF(A83="","",YEAR(A83))</f>
        <v/>
      </c>
      <c r="C83" s="36">
        <f>IF(A83="","",MONTH(A83))</f>
        <v/>
      </c>
      <c r="D83" s="37">
        <f>IF(A83="","","Q"&amp;ROUNDUP(MONTH(A83)/3,0))</f>
        <v/>
      </c>
      <c r="E83" s="22" t="n"/>
      <c r="F83" s="22" t="n"/>
      <c r="G83" s="42" t="n"/>
      <c r="H83" s="24" t="n"/>
      <c r="I83" s="39">
        <f>IF(AND(G83&lt;&gt;"",H83&lt;&gt;""),G83*H83,"")</f>
        <v/>
      </c>
      <c r="J83" s="22" t="n"/>
      <c r="K83" s="40">
        <f>IFERROR(VLOOKUP(J83,M2_거래처마스터!A:E,3,FALSE),"")</f>
        <v/>
      </c>
      <c r="L83" s="40">
        <f>IFERROR(VLOOKUP(J83,M2_거래처마스터!A:E,5,FALSE),"")</f>
        <v/>
      </c>
      <c r="M83" s="22" t="n"/>
      <c r="N83" s="22" t="n"/>
    </row>
    <row r="84">
      <c r="A84" s="34" t="n"/>
      <c r="B84" s="35">
        <f>IF(A84="","",YEAR(A84))</f>
        <v/>
      </c>
      <c r="C84" s="36">
        <f>IF(A84="","",MONTH(A84))</f>
        <v/>
      </c>
      <c r="D84" s="37">
        <f>IF(A84="","","Q"&amp;ROUNDUP(MONTH(A84)/3,0))</f>
        <v/>
      </c>
      <c r="E84" s="18" t="n"/>
      <c r="F84" s="18" t="n"/>
      <c r="G84" s="38" t="n"/>
      <c r="H84" s="20" t="n"/>
      <c r="I84" s="39">
        <f>IF(AND(G84&lt;&gt;"",H84&lt;&gt;""),G84*H84,"")</f>
        <v/>
      </c>
      <c r="J84" s="18" t="n"/>
      <c r="K84" s="40">
        <f>IFERROR(VLOOKUP(J84,M2_거래처마스터!A:E,3,FALSE),"")</f>
        <v/>
      </c>
      <c r="L84" s="40">
        <f>IFERROR(VLOOKUP(J84,M2_거래처마스터!A:E,5,FALSE),"")</f>
        <v/>
      </c>
      <c r="M84" s="18" t="n"/>
      <c r="N84" s="18" t="n"/>
    </row>
    <row r="85">
      <c r="A85" s="41" t="n"/>
      <c r="B85" s="35">
        <f>IF(A85="","",YEAR(A85))</f>
        <v/>
      </c>
      <c r="C85" s="36">
        <f>IF(A85="","",MONTH(A85))</f>
        <v/>
      </c>
      <c r="D85" s="37">
        <f>IF(A85="","","Q"&amp;ROUNDUP(MONTH(A85)/3,0))</f>
        <v/>
      </c>
      <c r="E85" s="22" t="n"/>
      <c r="F85" s="22" t="n"/>
      <c r="G85" s="42" t="n"/>
      <c r="H85" s="24" t="n"/>
      <c r="I85" s="39">
        <f>IF(AND(G85&lt;&gt;"",H85&lt;&gt;""),G85*H85,"")</f>
        <v/>
      </c>
      <c r="J85" s="22" t="n"/>
      <c r="K85" s="40">
        <f>IFERROR(VLOOKUP(J85,M2_거래처마스터!A:E,3,FALSE),"")</f>
        <v/>
      </c>
      <c r="L85" s="40">
        <f>IFERROR(VLOOKUP(J85,M2_거래처마스터!A:E,5,FALSE),"")</f>
        <v/>
      </c>
      <c r="M85" s="22" t="n"/>
      <c r="N85" s="22" t="n"/>
    </row>
    <row r="86">
      <c r="A86" s="34" t="n"/>
      <c r="B86" s="35">
        <f>IF(A86="","",YEAR(A86))</f>
        <v/>
      </c>
      <c r="C86" s="36">
        <f>IF(A86="","",MONTH(A86))</f>
        <v/>
      </c>
      <c r="D86" s="37">
        <f>IF(A86="","","Q"&amp;ROUNDUP(MONTH(A86)/3,0))</f>
        <v/>
      </c>
      <c r="E86" s="18" t="n"/>
      <c r="F86" s="18" t="n"/>
      <c r="G86" s="38" t="n"/>
      <c r="H86" s="20" t="n"/>
      <c r="I86" s="39">
        <f>IF(AND(G86&lt;&gt;"",H86&lt;&gt;""),G86*H86,"")</f>
        <v/>
      </c>
      <c r="J86" s="18" t="n"/>
      <c r="K86" s="40">
        <f>IFERROR(VLOOKUP(J86,M2_거래처마스터!A:E,3,FALSE),"")</f>
        <v/>
      </c>
      <c r="L86" s="40">
        <f>IFERROR(VLOOKUP(J86,M2_거래처마스터!A:E,5,FALSE),"")</f>
        <v/>
      </c>
      <c r="M86" s="18" t="n"/>
      <c r="N86" s="18" t="n"/>
    </row>
    <row r="87">
      <c r="A87" s="41" t="n"/>
      <c r="B87" s="35">
        <f>IF(A87="","",YEAR(A87))</f>
        <v/>
      </c>
      <c r="C87" s="36">
        <f>IF(A87="","",MONTH(A87))</f>
        <v/>
      </c>
      <c r="D87" s="37">
        <f>IF(A87="","","Q"&amp;ROUNDUP(MONTH(A87)/3,0))</f>
        <v/>
      </c>
      <c r="E87" s="22" t="n"/>
      <c r="F87" s="22" t="n"/>
      <c r="G87" s="42" t="n"/>
      <c r="H87" s="24" t="n"/>
      <c r="I87" s="39">
        <f>IF(AND(G87&lt;&gt;"",H87&lt;&gt;""),G87*H87,"")</f>
        <v/>
      </c>
      <c r="J87" s="22" t="n"/>
      <c r="K87" s="40">
        <f>IFERROR(VLOOKUP(J87,M2_거래처마스터!A:E,3,FALSE),"")</f>
        <v/>
      </c>
      <c r="L87" s="40">
        <f>IFERROR(VLOOKUP(J87,M2_거래처마스터!A:E,5,FALSE),"")</f>
        <v/>
      </c>
      <c r="M87" s="22" t="n"/>
      <c r="N87" s="22" t="n"/>
    </row>
    <row r="88">
      <c r="A88" s="34" t="n"/>
      <c r="B88" s="35">
        <f>IF(A88="","",YEAR(A88))</f>
        <v/>
      </c>
      <c r="C88" s="36">
        <f>IF(A88="","",MONTH(A88))</f>
        <v/>
      </c>
      <c r="D88" s="37">
        <f>IF(A88="","","Q"&amp;ROUNDUP(MONTH(A88)/3,0))</f>
        <v/>
      </c>
      <c r="E88" s="18" t="n"/>
      <c r="F88" s="18" t="n"/>
      <c r="G88" s="38" t="n"/>
      <c r="H88" s="20" t="n"/>
      <c r="I88" s="39">
        <f>IF(AND(G88&lt;&gt;"",H88&lt;&gt;""),G88*H88,"")</f>
        <v/>
      </c>
      <c r="J88" s="18" t="n"/>
      <c r="K88" s="40">
        <f>IFERROR(VLOOKUP(J88,M2_거래처마스터!A:E,3,FALSE),"")</f>
        <v/>
      </c>
      <c r="L88" s="40">
        <f>IFERROR(VLOOKUP(J88,M2_거래처마스터!A:E,5,FALSE),"")</f>
        <v/>
      </c>
      <c r="M88" s="18" t="n"/>
      <c r="N88" s="18" t="n"/>
    </row>
    <row r="89">
      <c r="A89" s="41" t="n"/>
      <c r="B89" s="35">
        <f>IF(A89="","",YEAR(A89))</f>
        <v/>
      </c>
      <c r="C89" s="36">
        <f>IF(A89="","",MONTH(A89))</f>
        <v/>
      </c>
      <c r="D89" s="37">
        <f>IF(A89="","","Q"&amp;ROUNDUP(MONTH(A89)/3,0))</f>
        <v/>
      </c>
      <c r="E89" s="22" t="n"/>
      <c r="F89" s="22" t="n"/>
      <c r="G89" s="42" t="n"/>
      <c r="H89" s="24" t="n"/>
      <c r="I89" s="39">
        <f>IF(AND(G89&lt;&gt;"",H89&lt;&gt;""),G89*H89,"")</f>
        <v/>
      </c>
      <c r="J89" s="22" t="n"/>
      <c r="K89" s="40">
        <f>IFERROR(VLOOKUP(J89,M2_거래처마스터!A:E,3,FALSE),"")</f>
        <v/>
      </c>
      <c r="L89" s="40">
        <f>IFERROR(VLOOKUP(J89,M2_거래처마스터!A:E,5,FALSE),"")</f>
        <v/>
      </c>
      <c r="M89" s="22" t="n"/>
      <c r="N89" s="22" t="n"/>
    </row>
    <row r="90">
      <c r="A90" s="34" t="n"/>
      <c r="B90" s="35">
        <f>IF(A90="","",YEAR(A90))</f>
        <v/>
      </c>
      <c r="C90" s="36">
        <f>IF(A90="","",MONTH(A90))</f>
        <v/>
      </c>
      <c r="D90" s="37">
        <f>IF(A90="","","Q"&amp;ROUNDUP(MONTH(A90)/3,0))</f>
        <v/>
      </c>
      <c r="E90" s="18" t="n"/>
      <c r="F90" s="18" t="n"/>
      <c r="G90" s="38" t="n"/>
      <c r="H90" s="20" t="n"/>
      <c r="I90" s="39">
        <f>IF(AND(G90&lt;&gt;"",H90&lt;&gt;""),G90*H90,"")</f>
        <v/>
      </c>
      <c r="J90" s="18" t="n"/>
      <c r="K90" s="40">
        <f>IFERROR(VLOOKUP(J90,M2_거래처마스터!A:E,3,FALSE),"")</f>
        <v/>
      </c>
      <c r="L90" s="40">
        <f>IFERROR(VLOOKUP(J90,M2_거래처마스터!A:E,5,FALSE),"")</f>
        <v/>
      </c>
      <c r="M90" s="18" t="n"/>
      <c r="N90" s="18" t="n"/>
    </row>
    <row r="91">
      <c r="A91" s="41" t="n"/>
      <c r="B91" s="35">
        <f>IF(A91="","",YEAR(A91))</f>
        <v/>
      </c>
      <c r="C91" s="36">
        <f>IF(A91="","",MONTH(A91))</f>
        <v/>
      </c>
      <c r="D91" s="37">
        <f>IF(A91="","","Q"&amp;ROUNDUP(MONTH(A91)/3,0))</f>
        <v/>
      </c>
      <c r="E91" s="22" t="n"/>
      <c r="F91" s="22" t="n"/>
      <c r="G91" s="42" t="n"/>
      <c r="H91" s="24" t="n"/>
      <c r="I91" s="39">
        <f>IF(AND(G91&lt;&gt;"",H91&lt;&gt;""),G91*H91,"")</f>
        <v/>
      </c>
      <c r="J91" s="22" t="n"/>
      <c r="K91" s="40">
        <f>IFERROR(VLOOKUP(J91,M2_거래처마스터!A:E,3,FALSE),"")</f>
        <v/>
      </c>
      <c r="L91" s="40">
        <f>IFERROR(VLOOKUP(J91,M2_거래처마스터!A:E,5,FALSE),"")</f>
        <v/>
      </c>
      <c r="M91" s="22" t="n"/>
      <c r="N91" s="22" t="n"/>
    </row>
    <row r="92">
      <c r="A92" s="34" t="n"/>
      <c r="B92" s="35">
        <f>IF(A92="","",YEAR(A92))</f>
        <v/>
      </c>
      <c r="C92" s="36">
        <f>IF(A92="","",MONTH(A92))</f>
        <v/>
      </c>
      <c r="D92" s="37">
        <f>IF(A92="","","Q"&amp;ROUNDUP(MONTH(A92)/3,0))</f>
        <v/>
      </c>
      <c r="E92" s="18" t="n"/>
      <c r="F92" s="18" t="n"/>
      <c r="G92" s="38" t="n"/>
      <c r="H92" s="20" t="n"/>
      <c r="I92" s="39">
        <f>IF(AND(G92&lt;&gt;"",H92&lt;&gt;""),G92*H92,"")</f>
        <v/>
      </c>
      <c r="J92" s="18" t="n"/>
      <c r="K92" s="40">
        <f>IFERROR(VLOOKUP(J92,M2_거래처마스터!A:E,3,FALSE),"")</f>
        <v/>
      </c>
      <c r="L92" s="40">
        <f>IFERROR(VLOOKUP(J92,M2_거래처마스터!A:E,5,FALSE),"")</f>
        <v/>
      </c>
      <c r="M92" s="18" t="n"/>
      <c r="N92" s="18" t="n"/>
    </row>
    <row r="93">
      <c r="A93" s="41" t="n"/>
      <c r="B93" s="35">
        <f>IF(A93="","",YEAR(A93))</f>
        <v/>
      </c>
      <c r="C93" s="36">
        <f>IF(A93="","",MONTH(A93))</f>
        <v/>
      </c>
      <c r="D93" s="37">
        <f>IF(A93="","","Q"&amp;ROUNDUP(MONTH(A93)/3,0))</f>
        <v/>
      </c>
      <c r="E93" s="22" t="n"/>
      <c r="F93" s="22" t="n"/>
      <c r="G93" s="42" t="n"/>
      <c r="H93" s="24" t="n"/>
      <c r="I93" s="39">
        <f>IF(AND(G93&lt;&gt;"",H93&lt;&gt;""),G93*H93,"")</f>
        <v/>
      </c>
      <c r="J93" s="22" t="n"/>
      <c r="K93" s="40">
        <f>IFERROR(VLOOKUP(J93,M2_거래처마스터!A:E,3,FALSE),"")</f>
        <v/>
      </c>
      <c r="L93" s="40">
        <f>IFERROR(VLOOKUP(J93,M2_거래처마스터!A:E,5,FALSE),"")</f>
        <v/>
      </c>
      <c r="M93" s="22" t="n"/>
      <c r="N93" s="22" t="n"/>
    </row>
    <row r="94">
      <c r="A94" s="34" t="n"/>
      <c r="B94" s="35">
        <f>IF(A94="","",YEAR(A94))</f>
        <v/>
      </c>
      <c r="C94" s="36">
        <f>IF(A94="","",MONTH(A94))</f>
        <v/>
      </c>
      <c r="D94" s="37">
        <f>IF(A94="","","Q"&amp;ROUNDUP(MONTH(A94)/3,0))</f>
        <v/>
      </c>
      <c r="E94" s="18" t="n"/>
      <c r="F94" s="18" t="n"/>
      <c r="G94" s="38" t="n"/>
      <c r="H94" s="20" t="n"/>
      <c r="I94" s="39">
        <f>IF(AND(G94&lt;&gt;"",H94&lt;&gt;""),G94*H94,"")</f>
        <v/>
      </c>
      <c r="J94" s="18" t="n"/>
      <c r="K94" s="40">
        <f>IFERROR(VLOOKUP(J94,M2_거래처마스터!A:E,3,FALSE),"")</f>
        <v/>
      </c>
      <c r="L94" s="40">
        <f>IFERROR(VLOOKUP(J94,M2_거래처마스터!A:E,5,FALSE),"")</f>
        <v/>
      </c>
      <c r="M94" s="18" t="n"/>
      <c r="N94" s="18" t="n"/>
    </row>
    <row r="95">
      <c r="A95" s="41" t="n"/>
      <c r="B95" s="35">
        <f>IF(A95="","",YEAR(A95))</f>
        <v/>
      </c>
      <c r="C95" s="36">
        <f>IF(A95="","",MONTH(A95))</f>
        <v/>
      </c>
      <c r="D95" s="37">
        <f>IF(A95="","","Q"&amp;ROUNDUP(MONTH(A95)/3,0))</f>
        <v/>
      </c>
      <c r="E95" s="22" t="n"/>
      <c r="F95" s="22" t="n"/>
      <c r="G95" s="42" t="n"/>
      <c r="H95" s="24" t="n"/>
      <c r="I95" s="39">
        <f>IF(AND(G95&lt;&gt;"",H95&lt;&gt;""),G95*H95,"")</f>
        <v/>
      </c>
      <c r="J95" s="22" t="n"/>
      <c r="K95" s="40">
        <f>IFERROR(VLOOKUP(J95,M2_거래처마스터!A:E,3,FALSE),"")</f>
        <v/>
      </c>
      <c r="L95" s="40">
        <f>IFERROR(VLOOKUP(J95,M2_거래처마스터!A:E,5,FALSE),"")</f>
        <v/>
      </c>
      <c r="M95" s="22" t="n"/>
      <c r="N95" s="22" t="n"/>
    </row>
    <row r="96">
      <c r="A96" s="34" t="n"/>
      <c r="B96" s="35">
        <f>IF(A96="","",YEAR(A96))</f>
        <v/>
      </c>
      <c r="C96" s="36">
        <f>IF(A96="","",MONTH(A96))</f>
        <v/>
      </c>
      <c r="D96" s="37">
        <f>IF(A96="","","Q"&amp;ROUNDUP(MONTH(A96)/3,0))</f>
        <v/>
      </c>
      <c r="E96" s="18" t="n"/>
      <c r="F96" s="18" t="n"/>
      <c r="G96" s="38" t="n"/>
      <c r="H96" s="20" t="n"/>
      <c r="I96" s="39">
        <f>IF(AND(G96&lt;&gt;"",H96&lt;&gt;""),G96*H96,"")</f>
        <v/>
      </c>
      <c r="J96" s="18" t="n"/>
      <c r="K96" s="40">
        <f>IFERROR(VLOOKUP(J96,M2_거래처마스터!A:E,3,FALSE),"")</f>
        <v/>
      </c>
      <c r="L96" s="40">
        <f>IFERROR(VLOOKUP(J96,M2_거래처마스터!A:E,5,FALSE),"")</f>
        <v/>
      </c>
      <c r="M96" s="18" t="n"/>
      <c r="N96" s="18" t="n"/>
    </row>
    <row r="97">
      <c r="A97" s="41" t="n"/>
      <c r="B97" s="35">
        <f>IF(A97="","",YEAR(A97))</f>
        <v/>
      </c>
      <c r="C97" s="36">
        <f>IF(A97="","",MONTH(A97))</f>
        <v/>
      </c>
      <c r="D97" s="37">
        <f>IF(A97="","","Q"&amp;ROUNDUP(MONTH(A97)/3,0))</f>
        <v/>
      </c>
      <c r="E97" s="22" t="n"/>
      <c r="F97" s="22" t="n"/>
      <c r="G97" s="42" t="n"/>
      <c r="H97" s="24" t="n"/>
      <c r="I97" s="39">
        <f>IF(AND(G97&lt;&gt;"",H97&lt;&gt;""),G97*H97,"")</f>
        <v/>
      </c>
      <c r="J97" s="22" t="n"/>
      <c r="K97" s="40">
        <f>IFERROR(VLOOKUP(J97,M2_거래처마스터!A:E,3,FALSE),"")</f>
        <v/>
      </c>
      <c r="L97" s="40">
        <f>IFERROR(VLOOKUP(J97,M2_거래처마스터!A:E,5,FALSE),"")</f>
        <v/>
      </c>
      <c r="M97" s="22" t="n"/>
      <c r="N97" s="22" t="n"/>
    </row>
    <row r="98">
      <c r="A98" s="34" t="n"/>
      <c r="B98" s="35">
        <f>IF(A98="","",YEAR(A98))</f>
        <v/>
      </c>
      <c r="C98" s="36">
        <f>IF(A98="","",MONTH(A98))</f>
        <v/>
      </c>
      <c r="D98" s="37">
        <f>IF(A98="","","Q"&amp;ROUNDUP(MONTH(A98)/3,0))</f>
        <v/>
      </c>
      <c r="E98" s="18" t="n"/>
      <c r="F98" s="18" t="n"/>
      <c r="G98" s="38" t="n"/>
      <c r="H98" s="20" t="n"/>
      <c r="I98" s="39">
        <f>IF(AND(G98&lt;&gt;"",H98&lt;&gt;""),G98*H98,"")</f>
        <v/>
      </c>
      <c r="J98" s="18" t="n"/>
      <c r="K98" s="40">
        <f>IFERROR(VLOOKUP(J98,M2_거래처마스터!A:E,3,FALSE),"")</f>
        <v/>
      </c>
      <c r="L98" s="40">
        <f>IFERROR(VLOOKUP(J98,M2_거래처마스터!A:E,5,FALSE),"")</f>
        <v/>
      </c>
      <c r="M98" s="18" t="n"/>
      <c r="N98" s="18" t="n"/>
    </row>
    <row r="99">
      <c r="A99" s="41" t="n"/>
      <c r="B99" s="35">
        <f>IF(A99="","",YEAR(A99))</f>
        <v/>
      </c>
      <c r="C99" s="36">
        <f>IF(A99="","",MONTH(A99))</f>
        <v/>
      </c>
      <c r="D99" s="37">
        <f>IF(A99="","","Q"&amp;ROUNDUP(MONTH(A99)/3,0))</f>
        <v/>
      </c>
      <c r="E99" s="22" t="n"/>
      <c r="F99" s="22" t="n"/>
      <c r="G99" s="42" t="n"/>
      <c r="H99" s="24" t="n"/>
      <c r="I99" s="39">
        <f>IF(AND(G99&lt;&gt;"",H99&lt;&gt;""),G99*H99,"")</f>
        <v/>
      </c>
      <c r="J99" s="22" t="n"/>
      <c r="K99" s="40">
        <f>IFERROR(VLOOKUP(J99,M2_거래처마스터!A:E,3,FALSE),"")</f>
        <v/>
      </c>
      <c r="L99" s="40">
        <f>IFERROR(VLOOKUP(J99,M2_거래처마스터!A:E,5,FALSE),"")</f>
        <v/>
      </c>
      <c r="M99" s="22" t="n"/>
      <c r="N99" s="22" t="n"/>
    </row>
    <row r="100">
      <c r="A100" s="34" t="n"/>
      <c r="B100" s="35">
        <f>IF(A100="","",YEAR(A100))</f>
        <v/>
      </c>
      <c r="C100" s="36">
        <f>IF(A100="","",MONTH(A100))</f>
        <v/>
      </c>
      <c r="D100" s="37">
        <f>IF(A100="","","Q"&amp;ROUNDUP(MONTH(A100)/3,0))</f>
        <v/>
      </c>
      <c r="E100" s="18" t="n"/>
      <c r="F100" s="18" t="n"/>
      <c r="G100" s="38" t="n"/>
      <c r="H100" s="20" t="n"/>
      <c r="I100" s="39">
        <f>IF(AND(G100&lt;&gt;"",H100&lt;&gt;""),G100*H100,"")</f>
        <v/>
      </c>
      <c r="J100" s="18" t="n"/>
      <c r="K100" s="40">
        <f>IFERROR(VLOOKUP(J100,M2_거래처마스터!A:E,3,FALSE),"")</f>
        <v/>
      </c>
      <c r="L100" s="40">
        <f>IFERROR(VLOOKUP(J100,M2_거래처마스터!A:E,5,FALSE),"")</f>
        <v/>
      </c>
      <c r="M100" s="18" t="n"/>
      <c r="N100" s="18" t="n"/>
    </row>
    <row r="101">
      <c r="A101" s="41" t="n"/>
      <c r="B101" s="35">
        <f>IF(A101="","",YEAR(A101))</f>
        <v/>
      </c>
      <c r="C101" s="36">
        <f>IF(A101="","",MONTH(A101))</f>
        <v/>
      </c>
      <c r="D101" s="37">
        <f>IF(A101="","","Q"&amp;ROUNDUP(MONTH(A101)/3,0))</f>
        <v/>
      </c>
      <c r="E101" s="22" t="n"/>
      <c r="F101" s="22" t="n"/>
      <c r="G101" s="42" t="n"/>
      <c r="H101" s="24" t="n"/>
      <c r="I101" s="39">
        <f>IF(AND(G101&lt;&gt;"",H101&lt;&gt;""),G101*H101,"")</f>
        <v/>
      </c>
      <c r="J101" s="22" t="n"/>
      <c r="K101" s="40">
        <f>IFERROR(VLOOKUP(J101,M2_거래처마스터!A:E,3,FALSE),"")</f>
        <v/>
      </c>
      <c r="L101" s="40">
        <f>IFERROR(VLOOKUP(J101,M2_거래처마스터!A:E,5,FALSE),"")</f>
        <v/>
      </c>
      <c r="M101" s="22" t="n"/>
      <c r="N101" s="22" t="n"/>
    </row>
    <row r="102">
      <c r="A102" s="34" t="n"/>
      <c r="B102" s="35">
        <f>IF(A102="","",YEAR(A102))</f>
        <v/>
      </c>
      <c r="C102" s="36">
        <f>IF(A102="","",MONTH(A102))</f>
        <v/>
      </c>
      <c r="D102" s="37">
        <f>IF(A102="","","Q"&amp;ROUNDUP(MONTH(A102)/3,0))</f>
        <v/>
      </c>
      <c r="E102" s="18" t="n"/>
      <c r="F102" s="18" t="n"/>
      <c r="G102" s="38" t="n"/>
      <c r="H102" s="20" t="n"/>
      <c r="I102" s="39">
        <f>IF(AND(G102&lt;&gt;"",H102&lt;&gt;""),G102*H102,"")</f>
        <v/>
      </c>
      <c r="J102" s="18" t="n"/>
      <c r="K102" s="40">
        <f>IFERROR(VLOOKUP(J102,M2_거래처마스터!A:E,3,FALSE),"")</f>
        <v/>
      </c>
      <c r="L102" s="40">
        <f>IFERROR(VLOOKUP(J102,M2_거래처마스터!A:E,5,FALSE),"")</f>
        <v/>
      </c>
      <c r="M102" s="18" t="n"/>
      <c r="N102" s="18" t="n"/>
    </row>
    <row r="103">
      <c r="A103" s="41" t="n"/>
      <c r="B103" s="35">
        <f>IF(A103="","",YEAR(A103))</f>
        <v/>
      </c>
      <c r="C103" s="36">
        <f>IF(A103="","",MONTH(A103))</f>
        <v/>
      </c>
      <c r="D103" s="37">
        <f>IF(A103="","","Q"&amp;ROUNDUP(MONTH(A103)/3,0))</f>
        <v/>
      </c>
      <c r="E103" s="22" t="n"/>
      <c r="F103" s="22" t="n"/>
      <c r="G103" s="42" t="n"/>
      <c r="H103" s="24" t="n"/>
      <c r="I103" s="39">
        <f>IF(AND(G103&lt;&gt;"",H103&lt;&gt;""),G103*H103,"")</f>
        <v/>
      </c>
      <c r="J103" s="22" t="n"/>
      <c r="K103" s="40">
        <f>IFERROR(VLOOKUP(J103,M2_거래처마스터!A:E,3,FALSE),"")</f>
        <v/>
      </c>
      <c r="L103" s="40">
        <f>IFERROR(VLOOKUP(J103,M2_거래처마스터!A:E,5,FALSE),"")</f>
        <v/>
      </c>
      <c r="M103" s="22" t="n"/>
      <c r="N103" s="22" t="n"/>
    </row>
    <row r="104">
      <c r="A104" s="34" t="n"/>
      <c r="B104" s="35">
        <f>IF(A104="","",YEAR(A104))</f>
        <v/>
      </c>
      <c r="C104" s="36">
        <f>IF(A104="","",MONTH(A104))</f>
        <v/>
      </c>
      <c r="D104" s="37">
        <f>IF(A104="","","Q"&amp;ROUNDUP(MONTH(A104)/3,0))</f>
        <v/>
      </c>
      <c r="E104" s="18" t="n"/>
      <c r="F104" s="18" t="n"/>
      <c r="G104" s="38" t="n"/>
      <c r="H104" s="20" t="n"/>
      <c r="I104" s="39">
        <f>IF(AND(G104&lt;&gt;"",H104&lt;&gt;""),G104*H104,"")</f>
        <v/>
      </c>
      <c r="J104" s="18" t="n"/>
      <c r="K104" s="40">
        <f>IFERROR(VLOOKUP(J104,M2_거래처마스터!A:E,3,FALSE),"")</f>
        <v/>
      </c>
      <c r="L104" s="40">
        <f>IFERROR(VLOOKUP(J104,M2_거래처마스터!A:E,5,FALSE),"")</f>
        <v/>
      </c>
      <c r="M104" s="18" t="n"/>
      <c r="N104" s="18" t="n"/>
    </row>
    <row r="105">
      <c r="A105" s="41" t="n"/>
      <c r="B105" s="35">
        <f>IF(A105="","",YEAR(A105))</f>
        <v/>
      </c>
      <c r="C105" s="36">
        <f>IF(A105="","",MONTH(A105))</f>
        <v/>
      </c>
      <c r="D105" s="37">
        <f>IF(A105="","","Q"&amp;ROUNDUP(MONTH(A105)/3,0))</f>
        <v/>
      </c>
      <c r="E105" s="22" t="n"/>
      <c r="F105" s="22" t="n"/>
      <c r="G105" s="42" t="n"/>
      <c r="H105" s="24" t="n"/>
      <c r="I105" s="39">
        <f>IF(AND(G105&lt;&gt;"",H105&lt;&gt;""),G105*H105,"")</f>
        <v/>
      </c>
      <c r="J105" s="22" t="n"/>
      <c r="K105" s="40">
        <f>IFERROR(VLOOKUP(J105,M2_거래처마스터!A:E,3,FALSE),"")</f>
        <v/>
      </c>
      <c r="L105" s="40">
        <f>IFERROR(VLOOKUP(J105,M2_거래처마스터!A:E,5,FALSE),"")</f>
        <v/>
      </c>
      <c r="M105" s="22" t="n"/>
      <c r="N105" s="22" t="n"/>
    </row>
    <row r="106">
      <c r="A106" s="34" t="n"/>
      <c r="B106" s="35">
        <f>IF(A106="","",YEAR(A106))</f>
        <v/>
      </c>
      <c r="C106" s="36">
        <f>IF(A106="","",MONTH(A106))</f>
        <v/>
      </c>
      <c r="D106" s="37">
        <f>IF(A106="","","Q"&amp;ROUNDUP(MONTH(A106)/3,0))</f>
        <v/>
      </c>
      <c r="E106" s="18" t="n"/>
      <c r="F106" s="18" t="n"/>
      <c r="G106" s="38" t="n"/>
      <c r="H106" s="20" t="n"/>
      <c r="I106" s="39">
        <f>IF(AND(G106&lt;&gt;"",H106&lt;&gt;""),G106*H106,"")</f>
        <v/>
      </c>
      <c r="J106" s="18" t="n"/>
      <c r="K106" s="40">
        <f>IFERROR(VLOOKUP(J106,M2_거래처마스터!A:E,3,FALSE),"")</f>
        <v/>
      </c>
      <c r="L106" s="40">
        <f>IFERROR(VLOOKUP(J106,M2_거래처마스터!A:E,5,FALSE),"")</f>
        <v/>
      </c>
      <c r="M106" s="18" t="n"/>
      <c r="N106" s="18" t="n"/>
    </row>
    <row r="107">
      <c r="A107" s="41" t="n"/>
      <c r="B107" s="35">
        <f>IF(A107="","",YEAR(A107))</f>
        <v/>
      </c>
      <c r="C107" s="36">
        <f>IF(A107="","",MONTH(A107))</f>
        <v/>
      </c>
      <c r="D107" s="37">
        <f>IF(A107="","","Q"&amp;ROUNDUP(MONTH(A107)/3,0))</f>
        <v/>
      </c>
      <c r="E107" s="22" t="n"/>
      <c r="F107" s="22" t="n"/>
      <c r="G107" s="42" t="n"/>
      <c r="H107" s="24" t="n"/>
      <c r="I107" s="39">
        <f>IF(AND(G107&lt;&gt;"",H107&lt;&gt;""),G107*H107,"")</f>
        <v/>
      </c>
      <c r="J107" s="22" t="n"/>
      <c r="K107" s="40">
        <f>IFERROR(VLOOKUP(J107,M2_거래처마스터!A:E,3,FALSE),"")</f>
        <v/>
      </c>
      <c r="L107" s="40">
        <f>IFERROR(VLOOKUP(J107,M2_거래처마스터!A:E,5,FALSE),"")</f>
        <v/>
      </c>
      <c r="M107" s="22" t="n"/>
      <c r="N107" s="22" t="n"/>
    </row>
    <row r="108">
      <c r="A108" s="34" t="n"/>
      <c r="B108" s="35">
        <f>IF(A108="","",YEAR(A108))</f>
        <v/>
      </c>
      <c r="C108" s="36">
        <f>IF(A108="","",MONTH(A108))</f>
        <v/>
      </c>
      <c r="D108" s="37">
        <f>IF(A108="","","Q"&amp;ROUNDUP(MONTH(A108)/3,0))</f>
        <v/>
      </c>
      <c r="E108" s="18" t="n"/>
      <c r="F108" s="18" t="n"/>
      <c r="G108" s="38" t="n"/>
      <c r="H108" s="20" t="n"/>
      <c r="I108" s="39">
        <f>IF(AND(G108&lt;&gt;"",H108&lt;&gt;""),G108*H108,"")</f>
        <v/>
      </c>
      <c r="J108" s="18" t="n"/>
      <c r="K108" s="40">
        <f>IFERROR(VLOOKUP(J108,M2_거래처마스터!A:E,3,FALSE),"")</f>
        <v/>
      </c>
      <c r="L108" s="40">
        <f>IFERROR(VLOOKUP(J108,M2_거래처마스터!A:E,5,FALSE),"")</f>
        <v/>
      </c>
      <c r="M108" s="18" t="n"/>
      <c r="N108" s="18" t="n"/>
    </row>
    <row r="109">
      <c r="A109" s="41" t="n"/>
      <c r="B109" s="35">
        <f>IF(A109="","",YEAR(A109))</f>
        <v/>
      </c>
      <c r="C109" s="36">
        <f>IF(A109="","",MONTH(A109))</f>
        <v/>
      </c>
      <c r="D109" s="37">
        <f>IF(A109="","","Q"&amp;ROUNDUP(MONTH(A109)/3,0))</f>
        <v/>
      </c>
      <c r="E109" s="22" t="n"/>
      <c r="F109" s="22" t="n"/>
      <c r="G109" s="42" t="n"/>
      <c r="H109" s="24" t="n"/>
      <c r="I109" s="39">
        <f>IF(AND(G109&lt;&gt;"",H109&lt;&gt;""),G109*H109,"")</f>
        <v/>
      </c>
      <c r="J109" s="22" t="n"/>
      <c r="K109" s="40">
        <f>IFERROR(VLOOKUP(J109,M2_거래처마스터!A:E,3,FALSE),"")</f>
        <v/>
      </c>
      <c r="L109" s="40">
        <f>IFERROR(VLOOKUP(J109,M2_거래처마스터!A:E,5,FALSE),"")</f>
        <v/>
      </c>
      <c r="M109" s="22" t="n"/>
      <c r="N109" s="22" t="n"/>
    </row>
    <row r="110">
      <c r="A110" s="34" t="n"/>
      <c r="B110" s="35">
        <f>IF(A110="","",YEAR(A110))</f>
        <v/>
      </c>
      <c r="C110" s="36">
        <f>IF(A110="","",MONTH(A110))</f>
        <v/>
      </c>
      <c r="D110" s="37">
        <f>IF(A110="","","Q"&amp;ROUNDUP(MONTH(A110)/3,0))</f>
        <v/>
      </c>
      <c r="E110" s="18" t="n"/>
      <c r="F110" s="18" t="n"/>
      <c r="G110" s="38" t="n"/>
      <c r="H110" s="20" t="n"/>
      <c r="I110" s="39">
        <f>IF(AND(G110&lt;&gt;"",H110&lt;&gt;""),G110*H110,"")</f>
        <v/>
      </c>
      <c r="J110" s="18" t="n"/>
      <c r="K110" s="40">
        <f>IFERROR(VLOOKUP(J110,M2_거래처마스터!A:E,3,FALSE),"")</f>
        <v/>
      </c>
      <c r="L110" s="40">
        <f>IFERROR(VLOOKUP(J110,M2_거래처마스터!A:E,5,FALSE),"")</f>
        <v/>
      </c>
      <c r="M110" s="18" t="n"/>
      <c r="N110" s="18" t="n"/>
    </row>
    <row r="111">
      <c r="A111" s="41" t="n"/>
      <c r="B111" s="35">
        <f>IF(A111="","",YEAR(A111))</f>
        <v/>
      </c>
      <c r="C111" s="36">
        <f>IF(A111="","",MONTH(A111))</f>
        <v/>
      </c>
      <c r="D111" s="37">
        <f>IF(A111="","","Q"&amp;ROUNDUP(MONTH(A111)/3,0))</f>
        <v/>
      </c>
      <c r="E111" s="22" t="n"/>
      <c r="F111" s="22" t="n"/>
      <c r="G111" s="42" t="n"/>
      <c r="H111" s="24" t="n"/>
      <c r="I111" s="39">
        <f>IF(AND(G111&lt;&gt;"",H111&lt;&gt;""),G111*H111,"")</f>
        <v/>
      </c>
      <c r="J111" s="22" t="n"/>
      <c r="K111" s="40">
        <f>IFERROR(VLOOKUP(J111,M2_거래처마스터!A:E,3,FALSE),"")</f>
        <v/>
      </c>
      <c r="L111" s="40">
        <f>IFERROR(VLOOKUP(J111,M2_거래처마스터!A:E,5,FALSE),"")</f>
        <v/>
      </c>
      <c r="M111" s="22" t="n"/>
      <c r="N111" s="22" t="n"/>
    </row>
    <row r="112">
      <c r="A112" s="34" t="n"/>
      <c r="B112" s="35">
        <f>IF(A112="","",YEAR(A112))</f>
        <v/>
      </c>
      <c r="C112" s="36">
        <f>IF(A112="","",MONTH(A112))</f>
        <v/>
      </c>
      <c r="D112" s="37">
        <f>IF(A112="","","Q"&amp;ROUNDUP(MONTH(A112)/3,0))</f>
        <v/>
      </c>
      <c r="E112" s="18" t="n"/>
      <c r="F112" s="18" t="n"/>
      <c r="G112" s="38" t="n"/>
      <c r="H112" s="20" t="n"/>
      <c r="I112" s="39">
        <f>IF(AND(G112&lt;&gt;"",H112&lt;&gt;""),G112*H112,"")</f>
        <v/>
      </c>
      <c r="J112" s="18" t="n"/>
      <c r="K112" s="40">
        <f>IFERROR(VLOOKUP(J112,M2_거래처마스터!A:E,3,FALSE),"")</f>
        <v/>
      </c>
      <c r="L112" s="40">
        <f>IFERROR(VLOOKUP(J112,M2_거래처마스터!A:E,5,FALSE),"")</f>
        <v/>
      </c>
      <c r="M112" s="18" t="n"/>
      <c r="N112" s="18" t="n"/>
    </row>
    <row r="113">
      <c r="A113" s="41" t="n"/>
      <c r="B113" s="35">
        <f>IF(A113="","",YEAR(A113))</f>
        <v/>
      </c>
      <c r="C113" s="36">
        <f>IF(A113="","",MONTH(A113))</f>
        <v/>
      </c>
      <c r="D113" s="37">
        <f>IF(A113="","","Q"&amp;ROUNDUP(MONTH(A113)/3,0))</f>
        <v/>
      </c>
      <c r="E113" s="22" t="n"/>
      <c r="F113" s="22" t="n"/>
      <c r="G113" s="42" t="n"/>
      <c r="H113" s="24" t="n"/>
      <c r="I113" s="39">
        <f>IF(AND(G113&lt;&gt;"",H113&lt;&gt;""),G113*H113,"")</f>
        <v/>
      </c>
      <c r="J113" s="22" t="n"/>
      <c r="K113" s="40">
        <f>IFERROR(VLOOKUP(J113,M2_거래처마스터!A:E,3,FALSE),"")</f>
        <v/>
      </c>
      <c r="L113" s="40">
        <f>IFERROR(VLOOKUP(J113,M2_거래처마스터!A:E,5,FALSE),"")</f>
        <v/>
      </c>
      <c r="M113" s="22" t="n"/>
      <c r="N113" s="22" t="n"/>
    </row>
    <row r="114">
      <c r="A114" s="34" t="n"/>
      <c r="B114" s="35">
        <f>IF(A114="","",YEAR(A114))</f>
        <v/>
      </c>
      <c r="C114" s="36">
        <f>IF(A114="","",MONTH(A114))</f>
        <v/>
      </c>
      <c r="D114" s="37">
        <f>IF(A114="","","Q"&amp;ROUNDUP(MONTH(A114)/3,0))</f>
        <v/>
      </c>
      <c r="E114" s="18" t="n"/>
      <c r="F114" s="18" t="n"/>
      <c r="G114" s="38" t="n"/>
      <c r="H114" s="20" t="n"/>
      <c r="I114" s="39">
        <f>IF(AND(G114&lt;&gt;"",H114&lt;&gt;""),G114*H114,"")</f>
        <v/>
      </c>
      <c r="J114" s="18" t="n"/>
      <c r="K114" s="40">
        <f>IFERROR(VLOOKUP(J114,M2_거래처마스터!A:E,3,FALSE),"")</f>
        <v/>
      </c>
      <c r="L114" s="40">
        <f>IFERROR(VLOOKUP(J114,M2_거래처마스터!A:E,5,FALSE),"")</f>
        <v/>
      </c>
      <c r="M114" s="18" t="n"/>
      <c r="N114" s="18" t="n"/>
    </row>
    <row r="115">
      <c r="A115" s="41" t="n"/>
      <c r="B115" s="35">
        <f>IF(A115="","",YEAR(A115))</f>
        <v/>
      </c>
      <c r="C115" s="36">
        <f>IF(A115="","",MONTH(A115))</f>
        <v/>
      </c>
      <c r="D115" s="37">
        <f>IF(A115="","","Q"&amp;ROUNDUP(MONTH(A115)/3,0))</f>
        <v/>
      </c>
      <c r="E115" s="22" t="n"/>
      <c r="F115" s="22" t="n"/>
      <c r="G115" s="42" t="n"/>
      <c r="H115" s="24" t="n"/>
      <c r="I115" s="39">
        <f>IF(AND(G115&lt;&gt;"",H115&lt;&gt;""),G115*H115,"")</f>
        <v/>
      </c>
      <c r="J115" s="22" t="n"/>
      <c r="K115" s="40">
        <f>IFERROR(VLOOKUP(J115,M2_거래처마스터!A:E,3,FALSE),"")</f>
        <v/>
      </c>
      <c r="L115" s="40">
        <f>IFERROR(VLOOKUP(J115,M2_거래처마스터!A:E,5,FALSE),"")</f>
        <v/>
      </c>
      <c r="M115" s="22" t="n"/>
      <c r="N115" s="22" t="n"/>
    </row>
    <row r="116">
      <c r="A116" s="34" t="n"/>
      <c r="B116" s="35">
        <f>IF(A116="","",YEAR(A116))</f>
        <v/>
      </c>
      <c r="C116" s="36">
        <f>IF(A116="","",MONTH(A116))</f>
        <v/>
      </c>
      <c r="D116" s="37">
        <f>IF(A116="","","Q"&amp;ROUNDUP(MONTH(A116)/3,0))</f>
        <v/>
      </c>
      <c r="E116" s="18" t="n"/>
      <c r="F116" s="18" t="n"/>
      <c r="G116" s="38" t="n"/>
      <c r="H116" s="20" t="n"/>
      <c r="I116" s="39">
        <f>IF(AND(G116&lt;&gt;"",H116&lt;&gt;""),G116*H116,"")</f>
        <v/>
      </c>
      <c r="J116" s="18" t="n"/>
      <c r="K116" s="40">
        <f>IFERROR(VLOOKUP(J116,M2_거래처마스터!A:E,3,FALSE),"")</f>
        <v/>
      </c>
      <c r="L116" s="40">
        <f>IFERROR(VLOOKUP(J116,M2_거래처마스터!A:E,5,FALSE),"")</f>
        <v/>
      </c>
      <c r="M116" s="18" t="n"/>
      <c r="N116" s="18" t="n"/>
    </row>
    <row r="117">
      <c r="A117" s="41" t="n"/>
      <c r="B117" s="35">
        <f>IF(A117="","",YEAR(A117))</f>
        <v/>
      </c>
      <c r="C117" s="36">
        <f>IF(A117="","",MONTH(A117))</f>
        <v/>
      </c>
      <c r="D117" s="37">
        <f>IF(A117="","","Q"&amp;ROUNDUP(MONTH(A117)/3,0))</f>
        <v/>
      </c>
      <c r="E117" s="22" t="n"/>
      <c r="F117" s="22" t="n"/>
      <c r="G117" s="42" t="n"/>
      <c r="H117" s="24" t="n"/>
      <c r="I117" s="39">
        <f>IF(AND(G117&lt;&gt;"",H117&lt;&gt;""),G117*H117,"")</f>
        <v/>
      </c>
      <c r="J117" s="22" t="n"/>
      <c r="K117" s="40">
        <f>IFERROR(VLOOKUP(J117,M2_거래처마스터!A:E,3,FALSE),"")</f>
        <v/>
      </c>
      <c r="L117" s="40">
        <f>IFERROR(VLOOKUP(J117,M2_거래처마스터!A:E,5,FALSE),"")</f>
        <v/>
      </c>
      <c r="M117" s="22" t="n"/>
      <c r="N117" s="22" t="n"/>
    </row>
    <row r="118">
      <c r="A118" s="34" t="n"/>
      <c r="B118" s="35">
        <f>IF(A118="","",YEAR(A118))</f>
        <v/>
      </c>
      <c r="C118" s="36">
        <f>IF(A118="","",MONTH(A118))</f>
        <v/>
      </c>
      <c r="D118" s="37">
        <f>IF(A118="","","Q"&amp;ROUNDUP(MONTH(A118)/3,0))</f>
        <v/>
      </c>
      <c r="E118" s="18" t="n"/>
      <c r="F118" s="18" t="n"/>
      <c r="G118" s="38" t="n"/>
      <c r="H118" s="20" t="n"/>
      <c r="I118" s="39">
        <f>IF(AND(G118&lt;&gt;"",H118&lt;&gt;""),G118*H118,"")</f>
        <v/>
      </c>
      <c r="J118" s="18" t="n"/>
      <c r="K118" s="40">
        <f>IFERROR(VLOOKUP(J118,M2_거래처마스터!A:E,3,FALSE),"")</f>
        <v/>
      </c>
      <c r="L118" s="40">
        <f>IFERROR(VLOOKUP(J118,M2_거래처마스터!A:E,5,FALSE),"")</f>
        <v/>
      </c>
      <c r="M118" s="18" t="n"/>
      <c r="N118" s="18" t="n"/>
    </row>
    <row r="119">
      <c r="A119" s="41" t="n"/>
      <c r="B119" s="35">
        <f>IF(A119="","",YEAR(A119))</f>
        <v/>
      </c>
      <c r="C119" s="36">
        <f>IF(A119="","",MONTH(A119))</f>
        <v/>
      </c>
      <c r="D119" s="37">
        <f>IF(A119="","","Q"&amp;ROUNDUP(MONTH(A119)/3,0))</f>
        <v/>
      </c>
      <c r="E119" s="22" t="n"/>
      <c r="F119" s="22" t="n"/>
      <c r="G119" s="42" t="n"/>
      <c r="H119" s="24" t="n"/>
      <c r="I119" s="39">
        <f>IF(AND(G119&lt;&gt;"",H119&lt;&gt;""),G119*H119,"")</f>
        <v/>
      </c>
      <c r="J119" s="22" t="n"/>
      <c r="K119" s="40">
        <f>IFERROR(VLOOKUP(J119,M2_거래처마스터!A:E,3,FALSE),"")</f>
        <v/>
      </c>
      <c r="L119" s="40">
        <f>IFERROR(VLOOKUP(J119,M2_거래처마스터!A:E,5,FALSE),"")</f>
        <v/>
      </c>
      <c r="M119" s="22" t="n"/>
      <c r="N119" s="22" t="n"/>
    </row>
    <row r="120">
      <c r="A120" s="34" t="n"/>
      <c r="B120" s="35">
        <f>IF(A120="","",YEAR(A120))</f>
        <v/>
      </c>
      <c r="C120" s="36">
        <f>IF(A120="","",MONTH(A120))</f>
        <v/>
      </c>
      <c r="D120" s="37">
        <f>IF(A120="","","Q"&amp;ROUNDUP(MONTH(A120)/3,0))</f>
        <v/>
      </c>
      <c r="E120" s="18" t="n"/>
      <c r="F120" s="18" t="n"/>
      <c r="G120" s="38" t="n"/>
      <c r="H120" s="20" t="n"/>
      <c r="I120" s="39">
        <f>IF(AND(G120&lt;&gt;"",H120&lt;&gt;""),G120*H120,"")</f>
        <v/>
      </c>
      <c r="J120" s="18" t="n"/>
      <c r="K120" s="40">
        <f>IFERROR(VLOOKUP(J120,M2_거래처마스터!A:E,3,FALSE),"")</f>
        <v/>
      </c>
      <c r="L120" s="40">
        <f>IFERROR(VLOOKUP(J120,M2_거래처마스터!A:E,5,FALSE),"")</f>
        <v/>
      </c>
      <c r="M120" s="18" t="n"/>
      <c r="N120" s="18" t="n"/>
    </row>
    <row r="121">
      <c r="A121" s="41" t="n"/>
      <c r="B121" s="35">
        <f>IF(A121="","",YEAR(A121))</f>
        <v/>
      </c>
      <c r="C121" s="36">
        <f>IF(A121="","",MONTH(A121))</f>
        <v/>
      </c>
      <c r="D121" s="37">
        <f>IF(A121="","","Q"&amp;ROUNDUP(MONTH(A121)/3,0))</f>
        <v/>
      </c>
      <c r="E121" s="22" t="n"/>
      <c r="F121" s="22" t="n"/>
      <c r="G121" s="42" t="n"/>
      <c r="H121" s="24" t="n"/>
      <c r="I121" s="39">
        <f>IF(AND(G121&lt;&gt;"",H121&lt;&gt;""),G121*H121,"")</f>
        <v/>
      </c>
      <c r="J121" s="22" t="n"/>
      <c r="K121" s="40">
        <f>IFERROR(VLOOKUP(J121,M2_거래처마스터!A:E,3,FALSE),"")</f>
        <v/>
      </c>
      <c r="L121" s="40">
        <f>IFERROR(VLOOKUP(J121,M2_거래처마스터!A:E,5,FALSE),"")</f>
        <v/>
      </c>
      <c r="M121" s="22" t="n"/>
      <c r="N121" s="22" t="n"/>
    </row>
    <row r="122">
      <c r="A122" s="34" t="n"/>
      <c r="B122" s="35">
        <f>IF(A122="","",YEAR(A122))</f>
        <v/>
      </c>
      <c r="C122" s="36">
        <f>IF(A122="","",MONTH(A122))</f>
        <v/>
      </c>
      <c r="D122" s="37">
        <f>IF(A122="","","Q"&amp;ROUNDUP(MONTH(A122)/3,0))</f>
        <v/>
      </c>
      <c r="E122" s="18" t="n"/>
      <c r="F122" s="18" t="n"/>
      <c r="G122" s="38" t="n"/>
      <c r="H122" s="20" t="n"/>
      <c r="I122" s="39">
        <f>IF(AND(G122&lt;&gt;"",H122&lt;&gt;""),G122*H122,"")</f>
        <v/>
      </c>
      <c r="J122" s="18" t="n"/>
      <c r="K122" s="40">
        <f>IFERROR(VLOOKUP(J122,M2_거래처마스터!A:E,3,FALSE),"")</f>
        <v/>
      </c>
      <c r="L122" s="40">
        <f>IFERROR(VLOOKUP(J122,M2_거래처마스터!A:E,5,FALSE),"")</f>
        <v/>
      </c>
      <c r="M122" s="18" t="n"/>
      <c r="N122" s="18" t="n"/>
    </row>
    <row r="123">
      <c r="A123" s="41" t="n"/>
      <c r="B123" s="35">
        <f>IF(A123="","",YEAR(A123))</f>
        <v/>
      </c>
      <c r="C123" s="36">
        <f>IF(A123="","",MONTH(A123))</f>
        <v/>
      </c>
      <c r="D123" s="37">
        <f>IF(A123="","","Q"&amp;ROUNDUP(MONTH(A123)/3,0))</f>
        <v/>
      </c>
      <c r="E123" s="22" t="n"/>
      <c r="F123" s="22" t="n"/>
      <c r="G123" s="42" t="n"/>
      <c r="H123" s="24" t="n"/>
      <c r="I123" s="39">
        <f>IF(AND(G123&lt;&gt;"",H123&lt;&gt;""),G123*H123,"")</f>
        <v/>
      </c>
      <c r="J123" s="22" t="n"/>
      <c r="K123" s="40">
        <f>IFERROR(VLOOKUP(J123,M2_거래처마스터!A:E,3,FALSE),"")</f>
        <v/>
      </c>
      <c r="L123" s="40">
        <f>IFERROR(VLOOKUP(J123,M2_거래처마스터!A:E,5,FALSE),"")</f>
        <v/>
      </c>
      <c r="M123" s="22" t="n"/>
      <c r="N123" s="22" t="n"/>
    </row>
    <row r="124">
      <c r="A124" s="34" t="n"/>
      <c r="B124" s="35">
        <f>IF(A124="","",YEAR(A124))</f>
        <v/>
      </c>
      <c r="C124" s="36">
        <f>IF(A124="","",MONTH(A124))</f>
        <v/>
      </c>
      <c r="D124" s="37">
        <f>IF(A124="","","Q"&amp;ROUNDUP(MONTH(A124)/3,0))</f>
        <v/>
      </c>
      <c r="E124" s="18" t="n"/>
      <c r="F124" s="18" t="n"/>
      <c r="G124" s="38" t="n"/>
      <c r="H124" s="20" t="n"/>
      <c r="I124" s="39">
        <f>IF(AND(G124&lt;&gt;"",H124&lt;&gt;""),G124*H124,"")</f>
        <v/>
      </c>
      <c r="J124" s="18" t="n"/>
      <c r="K124" s="40">
        <f>IFERROR(VLOOKUP(J124,M2_거래처마스터!A:E,3,FALSE),"")</f>
        <v/>
      </c>
      <c r="L124" s="40">
        <f>IFERROR(VLOOKUP(J124,M2_거래처마스터!A:E,5,FALSE),"")</f>
        <v/>
      </c>
      <c r="M124" s="18" t="n"/>
      <c r="N124" s="18" t="n"/>
    </row>
    <row r="125">
      <c r="A125" s="41" t="n"/>
      <c r="B125" s="35">
        <f>IF(A125="","",YEAR(A125))</f>
        <v/>
      </c>
      <c r="C125" s="36">
        <f>IF(A125="","",MONTH(A125))</f>
        <v/>
      </c>
      <c r="D125" s="37">
        <f>IF(A125="","","Q"&amp;ROUNDUP(MONTH(A125)/3,0))</f>
        <v/>
      </c>
      <c r="E125" s="22" t="n"/>
      <c r="F125" s="22" t="n"/>
      <c r="G125" s="42" t="n"/>
      <c r="H125" s="24" t="n"/>
      <c r="I125" s="39">
        <f>IF(AND(G125&lt;&gt;"",H125&lt;&gt;""),G125*H125,"")</f>
        <v/>
      </c>
      <c r="J125" s="22" t="n"/>
      <c r="K125" s="40">
        <f>IFERROR(VLOOKUP(J125,M2_거래처마스터!A:E,3,FALSE),"")</f>
        <v/>
      </c>
      <c r="L125" s="40">
        <f>IFERROR(VLOOKUP(J125,M2_거래처마스터!A:E,5,FALSE),"")</f>
        <v/>
      </c>
      <c r="M125" s="22" t="n"/>
      <c r="N125" s="22" t="n"/>
    </row>
    <row r="126">
      <c r="A126" s="34" t="n"/>
      <c r="B126" s="35">
        <f>IF(A126="","",YEAR(A126))</f>
        <v/>
      </c>
      <c r="C126" s="36">
        <f>IF(A126="","",MONTH(A126))</f>
        <v/>
      </c>
      <c r="D126" s="37">
        <f>IF(A126="","","Q"&amp;ROUNDUP(MONTH(A126)/3,0))</f>
        <v/>
      </c>
      <c r="E126" s="18" t="n"/>
      <c r="F126" s="18" t="n"/>
      <c r="G126" s="38" t="n"/>
      <c r="H126" s="20" t="n"/>
      <c r="I126" s="39">
        <f>IF(AND(G126&lt;&gt;"",H126&lt;&gt;""),G126*H126,"")</f>
        <v/>
      </c>
      <c r="J126" s="18" t="n"/>
      <c r="K126" s="40">
        <f>IFERROR(VLOOKUP(J126,M2_거래처마스터!A:E,3,FALSE),"")</f>
        <v/>
      </c>
      <c r="L126" s="40">
        <f>IFERROR(VLOOKUP(J126,M2_거래처마스터!A:E,5,FALSE),"")</f>
        <v/>
      </c>
      <c r="M126" s="18" t="n"/>
      <c r="N126" s="18" t="n"/>
    </row>
    <row r="127">
      <c r="A127" s="41" t="n"/>
      <c r="B127" s="35">
        <f>IF(A127="","",YEAR(A127))</f>
        <v/>
      </c>
      <c r="C127" s="36">
        <f>IF(A127="","",MONTH(A127))</f>
        <v/>
      </c>
      <c r="D127" s="37">
        <f>IF(A127="","","Q"&amp;ROUNDUP(MONTH(A127)/3,0))</f>
        <v/>
      </c>
      <c r="E127" s="22" t="n"/>
      <c r="F127" s="22" t="n"/>
      <c r="G127" s="42" t="n"/>
      <c r="H127" s="24" t="n"/>
      <c r="I127" s="39">
        <f>IF(AND(G127&lt;&gt;"",H127&lt;&gt;""),G127*H127,"")</f>
        <v/>
      </c>
      <c r="J127" s="22" t="n"/>
      <c r="K127" s="40">
        <f>IFERROR(VLOOKUP(J127,M2_거래처마스터!A:E,3,FALSE),"")</f>
        <v/>
      </c>
      <c r="L127" s="40">
        <f>IFERROR(VLOOKUP(J127,M2_거래처마스터!A:E,5,FALSE),"")</f>
        <v/>
      </c>
      <c r="M127" s="22" t="n"/>
      <c r="N127" s="22" t="n"/>
    </row>
    <row r="128">
      <c r="A128" s="34" t="n"/>
      <c r="B128" s="35">
        <f>IF(A128="","",YEAR(A128))</f>
        <v/>
      </c>
      <c r="C128" s="36">
        <f>IF(A128="","",MONTH(A128))</f>
        <v/>
      </c>
      <c r="D128" s="37">
        <f>IF(A128="","","Q"&amp;ROUNDUP(MONTH(A128)/3,0))</f>
        <v/>
      </c>
      <c r="E128" s="18" t="n"/>
      <c r="F128" s="18" t="n"/>
      <c r="G128" s="38" t="n"/>
      <c r="H128" s="20" t="n"/>
      <c r="I128" s="39">
        <f>IF(AND(G128&lt;&gt;"",H128&lt;&gt;""),G128*H128,"")</f>
        <v/>
      </c>
      <c r="J128" s="18" t="n"/>
      <c r="K128" s="40">
        <f>IFERROR(VLOOKUP(J128,M2_거래처마스터!A:E,3,FALSE),"")</f>
        <v/>
      </c>
      <c r="L128" s="40">
        <f>IFERROR(VLOOKUP(J128,M2_거래처마스터!A:E,5,FALSE),"")</f>
        <v/>
      </c>
      <c r="M128" s="18" t="n"/>
      <c r="N128" s="18" t="n"/>
    </row>
    <row r="129">
      <c r="A129" s="41" t="n"/>
      <c r="B129" s="35">
        <f>IF(A129="","",YEAR(A129))</f>
        <v/>
      </c>
      <c r="C129" s="36">
        <f>IF(A129="","",MONTH(A129))</f>
        <v/>
      </c>
      <c r="D129" s="37">
        <f>IF(A129="","","Q"&amp;ROUNDUP(MONTH(A129)/3,0))</f>
        <v/>
      </c>
      <c r="E129" s="22" t="n"/>
      <c r="F129" s="22" t="n"/>
      <c r="G129" s="42" t="n"/>
      <c r="H129" s="24" t="n"/>
      <c r="I129" s="39">
        <f>IF(AND(G129&lt;&gt;"",H129&lt;&gt;""),G129*H129,"")</f>
        <v/>
      </c>
      <c r="J129" s="22" t="n"/>
      <c r="K129" s="40">
        <f>IFERROR(VLOOKUP(J129,M2_거래처마스터!A:E,3,FALSE),"")</f>
        <v/>
      </c>
      <c r="L129" s="40">
        <f>IFERROR(VLOOKUP(J129,M2_거래처마스터!A:E,5,FALSE),"")</f>
        <v/>
      </c>
      <c r="M129" s="22" t="n"/>
      <c r="N129" s="22" t="n"/>
    </row>
    <row r="130">
      <c r="A130" s="34" t="n"/>
      <c r="B130" s="35">
        <f>IF(A130="","",YEAR(A130))</f>
        <v/>
      </c>
      <c r="C130" s="36">
        <f>IF(A130="","",MONTH(A130))</f>
        <v/>
      </c>
      <c r="D130" s="37">
        <f>IF(A130="","","Q"&amp;ROUNDUP(MONTH(A130)/3,0))</f>
        <v/>
      </c>
      <c r="E130" s="18" t="n"/>
      <c r="F130" s="18" t="n"/>
      <c r="G130" s="38" t="n"/>
      <c r="H130" s="20" t="n"/>
      <c r="I130" s="39">
        <f>IF(AND(G130&lt;&gt;"",H130&lt;&gt;""),G130*H130,"")</f>
        <v/>
      </c>
      <c r="J130" s="18" t="n"/>
      <c r="K130" s="40">
        <f>IFERROR(VLOOKUP(J130,M2_거래처마스터!A:E,3,FALSE),"")</f>
        <v/>
      </c>
      <c r="L130" s="40">
        <f>IFERROR(VLOOKUP(J130,M2_거래처마스터!A:E,5,FALSE),"")</f>
        <v/>
      </c>
      <c r="M130" s="18" t="n"/>
      <c r="N130" s="18" t="n"/>
    </row>
    <row r="131">
      <c r="A131" s="41" t="n"/>
      <c r="B131" s="35">
        <f>IF(A131="","",YEAR(A131))</f>
        <v/>
      </c>
      <c r="C131" s="36">
        <f>IF(A131="","",MONTH(A131))</f>
        <v/>
      </c>
      <c r="D131" s="37">
        <f>IF(A131="","","Q"&amp;ROUNDUP(MONTH(A131)/3,0))</f>
        <v/>
      </c>
      <c r="E131" s="22" t="n"/>
      <c r="F131" s="22" t="n"/>
      <c r="G131" s="42" t="n"/>
      <c r="H131" s="24" t="n"/>
      <c r="I131" s="39">
        <f>IF(AND(G131&lt;&gt;"",H131&lt;&gt;""),G131*H131,"")</f>
        <v/>
      </c>
      <c r="J131" s="22" t="n"/>
      <c r="K131" s="40">
        <f>IFERROR(VLOOKUP(J131,M2_거래처마스터!A:E,3,FALSE),"")</f>
        <v/>
      </c>
      <c r="L131" s="40">
        <f>IFERROR(VLOOKUP(J131,M2_거래처마스터!A:E,5,FALSE),"")</f>
        <v/>
      </c>
      <c r="M131" s="22" t="n"/>
      <c r="N131" s="22" t="n"/>
    </row>
    <row r="132">
      <c r="A132" s="34" t="n"/>
      <c r="B132" s="35">
        <f>IF(A132="","",YEAR(A132))</f>
        <v/>
      </c>
      <c r="C132" s="36">
        <f>IF(A132="","",MONTH(A132))</f>
        <v/>
      </c>
      <c r="D132" s="37">
        <f>IF(A132="","","Q"&amp;ROUNDUP(MONTH(A132)/3,0))</f>
        <v/>
      </c>
      <c r="E132" s="18" t="n"/>
      <c r="F132" s="18" t="n"/>
      <c r="G132" s="38" t="n"/>
      <c r="H132" s="20" t="n"/>
      <c r="I132" s="39">
        <f>IF(AND(G132&lt;&gt;"",H132&lt;&gt;""),G132*H132,"")</f>
        <v/>
      </c>
      <c r="J132" s="18" t="n"/>
      <c r="K132" s="40">
        <f>IFERROR(VLOOKUP(J132,M2_거래처마스터!A:E,3,FALSE),"")</f>
        <v/>
      </c>
      <c r="L132" s="40">
        <f>IFERROR(VLOOKUP(J132,M2_거래처마스터!A:E,5,FALSE),"")</f>
        <v/>
      </c>
      <c r="M132" s="18" t="n"/>
      <c r="N132" s="18" t="n"/>
    </row>
    <row r="133">
      <c r="A133" s="41" t="n"/>
      <c r="B133" s="35">
        <f>IF(A133="","",YEAR(A133))</f>
        <v/>
      </c>
      <c r="C133" s="36">
        <f>IF(A133="","",MONTH(A133))</f>
        <v/>
      </c>
      <c r="D133" s="37">
        <f>IF(A133="","","Q"&amp;ROUNDUP(MONTH(A133)/3,0))</f>
        <v/>
      </c>
      <c r="E133" s="22" t="n"/>
      <c r="F133" s="22" t="n"/>
      <c r="G133" s="42" t="n"/>
      <c r="H133" s="24" t="n"/>
      <c r="I133" s="39">
        <f>IF(AND(G133&lt;&gt;"",H133&lt;&gt;""),G133*H133,"")</f>
        <v/>
      </c>
      <c r="J133" s="22" t="n"/>
      <c r="K133" s="40">
        <f>IFERROR(VLOOKUP(J133,M2_거래처마스터!A:E,3,FALSE),"")</f>
        <v/>
      </c>
      <c r="L133" s="40">
        <f>IFERROR(VLOOKUP(J133,M2_거래처마스터!A:E,5,FALSE),"")</f>
        <v/>
      </c>
      <c r="M133" s="22" t="n"/>
      <c r="N133" s="22" t="n"/>
    </row>
    <row r="134">
      <c r="A134" s="34" t="n"/>
      <c r="B134" s="35">
        <f>IF(A134="","",YEAR(A134))</f>
        <v/>
      </c>
      <c r="C134" s="36">
        <f>IF(A134="","",MONTH(A134))</f>
        <v/>
      </c>
      <c r="D134" s="37">
        <f>IF(A134="","","Q"&amp;ROUNDUP(MONTH(A134)/3,0))</f>
        <v/>
      </c>
      <c r="E134" s="18" t="n"/>
      <c r="F134" s="18" t="n"/>
      <c r="G134" s="38" t="n"/>
      <c r="H134" s="20" t="n"/>
      <c r="I134" s="39">
        <f>IF(AND(G134&lt;&gt;"",H134&lt;&gt;""),G134*H134,"")</f>
        <v/>
      </c>
      <c r="J134" s="18" t="n"/>
      <c r="K134" s="40">
        <f>IFERROR(VLOOKUP(J134,M2_거래처마스터!A:E,3,FALSE),"")</f>
        <v/>
      </c>
      <c r="L134" s="40">
        <f>IFERROR(VLOOKUP(J134,M2_거래처마스터!A:E,5,FALSE),"")</f>
        <v/>
      </c>
      <c r="M134" s="18" t="n"/>
      <c r="N134" s="18" t="n"/>
    </row>
    <row r="135">
      <c r="A135" s="41" t="n"/>
      <c r="B135" s="35">
        <f>IF(A135="","",YEAR(A135))</f>
        <v/>
      </c>
      <c r="C135" s="36">
        <f>IF(A135="","",MONTH(A135))</f>
        <v/>
      </c>
      <c r="D135" s="37">
        <f>IF(A135="","","Q"&amp;ROUNDUP(MONTH(A135)/3,0))</f>
        <v/>
      </c>
      <c r="E135" s="22" t="n"/>
      <c r="F135" s="22" t="n"/>
      <c r="G135" s="42" t="n"/>
      <c r="H135" s="24" t="n"/>
      <c r="I135" s="39">
        <f>IF(AND(G135&lt;&gt;"",H135&lt;&gt;""),G135*H135,"")</f>
        <v/>
      </c>
      <c r="J135" s="22" t="n"/>
      <c r="K135" s="40">
        <f>IFERROR(VLOOKUP(J135,M2_거래처마스터!A:E,3,FALSE),"")</f>
        <v/>
      </c>
      <c r="L135" s="40">
        <f>IFERROR(VLOOKUP(J135,M2_거래처마스터!A:E,5,FALSE),"")</f>
        <v/>
      </c>
      <c r="M135" s="22" t="n"/>
      <c r="N135" s="22" t="n"/>
    </row>
    <row r="136">
      <c r="A136" s="34" t="n"/>
      <c r="B136" s="35">
        <f>IF(A136="","",YEAR(A136))</f>
        <v/>
      </c>
      <c r="C136" s="36">
        <f>IF(A136="","",MONTH(A136))</f>
        <v/>
      </c>
      <c r="D136" s="37">
        <f>IF(A136="","","Q"&amp;ROUNDUP(MONTH(A136)/3,0))</f>
        <v/>
      </c>
      <c r="E136" s="18" t="n"/>
      <c r="F136" s="18" t="n"/>
      <c r="G136" s="38" t="n"/>
      <c r="H136" s="20" t="n"/>
      <c r="I136" s="39">
        <f>IF(AND(G136&lt;&gt;"",H136&lt;&gt;""),G136*H136,"")</f>
        <v/>
      </c>
      <c r="J136" s="18" t="n"/>
      <c r="K136" s="40">
        <f>IFERROR(VLOOKUP(J136,M2_거래처마스터!A:E,3,FALSE),"")</f>
        <v/>
      </c>
      <c r="L136" s="40">
        <f>IFERROR(VLOOKUP(J136,M2_거래처마스터!A:E,5,FALSE),"")</f>
        <v/>
      </c>
      <c r="M136" s="18" t="n"/>
      <c r="N136" s="18" t="n"/>
    </row>
    <row r="137">
      <c r="A137" s="41" t="n"/>
      <c r="B137" s="35">
        <f>IF(A137="","",YEAR(A137))</f>
        <v/>
      </c>
      <c r="C137" s="36">
        <f>IF(A137="","",MONTH(A137))</f>
        <v/>
      </c>
      <c r="D137" s="37">
        <f>IF(A137="","","Q"&amp;ROUNDUP(MONTH(A137)/3,0))</f>
        <v/>
      </c>
      <c r="E137" s="22" t="n"/>
      <c r="F137" s="22" t="n"/>
      <c r="G137" s="42" t="n"/>
      <c r="H137" s="24" t="n"/>
      <c r="I137" s="39">
        <f>IF(AND(G137&lt;&gt;"",H137&lt;&gt;""),G137*H137,"")</f>
        <v/>
      </c>
      <c r="J137" s="22" t="n"/>
      <c r="K137" s="40">
        <f>IFERROR(VLOOKUP(J137,M2_거래처마스터!A:E,3,FALSE),"")</f>
        <v/>
      </c>
      <c r="L137" s="40">
        <f>IFERROR(VLOOKUP(J137,M2_거래처마스터!A:E,5,FALSE),"")</f>
        <v/>
      </c>
      <c r="M137" s="22" t="n"/>
      <c r="N137" s="22" t="n"/>
    </row>
    <row r="138">
      <c r="A138" s="34" t="n"/>
      <c r="B138" s="35">
        <f>IF(A138="","",YEAR(A138))</f>
        <v/>
      </c>
      <c r="C138" s="36">
        <f>IF(A138="","",MONTH(A138))</f>
        <v/>
      </c>
      <c r="D138" s="37">
        <f>IF(A138="","","Q"&amp;ROUNDUP(MONTH(A138)/3,0))</f>
        <v/>
      </c>
      <c r="E138" s="18" t="n"/>
      <c r="F138" s="18" t="n"/>
      <c r="G138" s="38" t="n"/>
      <c r="H138" s="20" t="n"/>
      <c r="I138" s="39">
        <f>IF(AND(G138&lt;&gt;"",H138&lt;&gt;""),G138*H138,"")</f>
        <v/>
      </c>
      <c r="J138" s="18" t="n"/>
      <c r="K138" s="40">
        <f>IFERROR(VLOOKUP(J138,M2_거래처마스터!A:E,3,FALSE),"")</f>
        <v/>
      </c>
      <c r="L138" s="40">
        <f>IFERROR(VLOOKUP(J138,M2_거래처마스터!A:E,5,FALSE),"")</f>
        <v/>
      </c>
      <c r="M138" s="18" t="n"/>
      <c r="N138" s="18" t="n"/>
    </row>
    <row r="139">
      <c r="A139" s="41" t="n"/>
      <c r="B139" s="35">
        <f>IF(A139="","",YEAR(A139))</f>
        <v/>
      </c>
      <c r="C139" s="36">
        <f>IF(A139="","",MONTH(A139))</f>
        <v/>
      </c>
      <c r="D139" s="37">
        <f>IF(A139="","","Q"&amp;ROUNDUP(MONTH(A139)/3,0))</f>
        <v/>
      </c>
      <c r="E139" s="22" t="n"/>
      <c r="F139" s="22" t="n"/>
      <c r="G139" s="42" t="n"/>
      <c r="H139" s="24" t="n"/>
      <c r="I139" s="39">
        <f>IF(AND(G139&lt;&gt;"",H139&lt;&gt;""),G139*H139,"")</f>
        <v/>
      </c>
      <c r="J139" s="22" t="n"/>
      <c r="K139" s="40">
        <f>IFERROR(VLOOKUP(J139,M2_거래처마스터!A:E,3,FALSE),"")</f>
        <v/>
      </c>
      <c r="L139" s="40">
        <f>IFERROR(VLOOKUP(J139,M2_거래처마스터!A:E,5,FALSE),"")</f>
        <v/>
      </c>
      <c r="M139" s="22" t="n"/>
      <c r="N139" s="22" t="n"/>
    </row>
    <row r="140">
      <c r="A140" s="34" t="n"/>
      <c r="B140" s="35">
        <f>IF(A140="","",YEAR(A140))</f>
        <v/>
      </c>
      <c r="C140" s="36">
        <f>IF(A140="","",MONTH(A140))</f>
        <v/>
      </c>
      <c r="D140" s="37">
        <f>IF(A140="","","Q"&amp;ROUNDUP(MONTH(A140)/3,0))</f>
        <v/>
      </c>
      <c r="E140" s="18" t="n"/>
      <c r="F140" s="18" t="n"/>
      <c r="G140" s="38" t="n"/>
      <c r="H140" s="20" t="n"/>
      <c r="I140" s="39">
        <f>IF(AND(G140&lt;&gt;"",H140&lt;&gt;""),G140*H140,"")</f>
        <v/>
      </c>
      <c r="J140" s="18" t="n"/>
      <c r="K140" s="40">
        <f>IFERROR(VLOOKUP(J140,M2_거래처마스터!A:E,3,FALSE),"")</f>
        <v/>
      </c>
      <c r="L140" s="40">
        <f>IFERROR(VLOOKUP(J140,M2_거래처마스터!A:E,5,FALSE),"")</f>
        <v/>
      </c>
      <c r="M140" s="18" t="n"/>
      <c r="N140" s="18" t="n"/>
    </row>
    <row r="141">
      <c r="A141" s="41" t="n"/>
      <c r="B141" s="35">
        <f>IF(A141="","",YEAR(A141))</f>
        <v/>
      </c>
      <c r="C141" s="36">
        <f>IF(A141="","",MONTH(A141))</f>
        <v/>
      </c>
      <c r="D141" s="37">
        <f>IF(A141="","","Q"&amp;ROUNDUP(MONTH(A141)/3,0))</f>
        <v/>
      </c>
      <c r="E141" s="22" t="n"/>
      <c r="F141" s="22" t="n"/>
      <c r="G141" s="42" t="n"/>
      <c r="H141" s="24" t="n"/>
      <c r="I141" s="39">
        <f>IF(AND(G141&lt;&gt;"",H141&lt;&gt;""),G141*H141,"")</f>
        <v/>
      </c>
      <c r="J141" s="22" t="n"/>
      <c r="K141" s="40">
        <f>IFERROR(VLOOKUP(J141,M2_거래처마스터!A:E,3,FALSE),"")</f>
        <v/>
      </c>
      <c r="L141" s="40">
        <f>IFERROR(VLOOKUP(J141,M2_거래처마스터!A:E,5,FALSE),"")</f>
        <v/>
      </c>
      <c r="M141" s="22" t="n"/>
      <c r="N141" s="22" t="n"/>
    </row>
    <row r="142">
      <c r="A142" s="34" t="n"/>
      <c r="B142" s="35">
        <f>IF(A142="","",YEAR(A142))</f>
        <v/>
      </c>
      <c r="C142" s="36">
        <f>IF(A142="","",MONTH(A142))</f>
        <v/>
      </c>
      <c r="D142" s="37">
        <f>IF(A142="","","Q"&amp;ROUNDUP(MONTH(A142)/3,0))</f>
        <v/>
      </c>
      <c r="E142" s="18" t="n"/>
      <c r="F142" s="18" t="n"/>
      <c r="G142" s="38" t="n"/>
      <c r="H142" s="20" t="n"/>
      <c r="I142" s="39">
        <f>IF(AND(G142&lt;&gt;"",H142&lt;&gt;""),G142*H142,"")</f>
        <v/>
      </c>
      <c r="J142" s="18" t="n"/>
      <c r="K142" s="40">
        <f>IFERROR(VLOOKUP(J142,M2_거래처마스터!A:E,3,FALSE),"")</f>
        <v/>
      </c>
      <c r="L142" s="40">
        <f>IFERROR(VLOOKUP(J142,M2_거래처마스터!A:E,5,FALSE),"")</f>
        <v/>
      </c>
      <c r="M142" s="18" t="n"/>
      <c r="N142" s="18" t="n"/>
    </row>
    <row r="143">
      <c r="A143" s="41" t="n"/>
      <c r="B143" s="35">
        <f>IF(A143="","",YEAR(A143))</f>
        <v/>
      </c>
      <c r="C143" s="36">
        <f>IF(A143="","",MONTH(A143))</f>
        <v/>
      </c>
      <c r="D143" s="37">
        <f>IF(A143="","","Q"&amp;ROUNDUP(MONTH(A143)/3,0))</f>
        <v/>
      </c>
      <c r="E143" s="22" t="n"/>
      <c r="F143" s="22" t="n"/>
      <c r="G143" s="42" t="n"/>
      <c r="H143" s="24" t="n"/>
      <c r="I143" s="39">
        <f>IF(AND(G143&lt;&gt;"",H143&lt;&gt;""),G143*H143,"")</f>
        <v/>
      </c>
      <c r="J143" s="22" t="n"/>
      <c r="K143" s="40">
        <f>IFERROR(VLOOKUP(J143,M2_거래처마스터!A:E,3,FALSE),"")</f>
        <v/>
      </c>
      <c r="L143" s="40">
        <f>IFERROR(VLOOKUP(J143,M2_거래처마스터!A:E,5,FALSE),"")</f>
        <v/>
      </c>
      <c r="M143" s="22" t="n"/>
      <c r="N143" s="22" t="n"/>
    </row>
    <row r="144">
      <c r="A144" s="34" t="n"/>
      <c r="B144" s="35">
        <f>IF(A144="","",YEAR(A144))</f>
        <v/>
      </c>
      <c r="C144" s="36">
        <f>IF(A144="","",MONTH(A144))</f>
        <v/>
      </c>
      <c r="D144" s="37">
        <f>IF(A144="","","Q"&amp;ROUNDUP(MONTH(A144)/3,0))</f>
        <v/>
      </c>
      <c r="E144" s="18" t="n"/>
      <c r="F144" s="18" t="n"/>
      <c r="G144" s="38" t="n"/>
      <c r="H144" s="20" t="n"/>
      <c r="I144" s="39">
        <f>IF(AND(G144&lt;&gt;"",H144&lt;&gt;""),G144*H144,"")</f>
        <v/>
      </c>
      <c r="J144" s="18" t="n"/>
      <c r="K144" s="40">
        <f>IFERROR(VLOOKUP(J144,M2_거래처마스터!A:E,3,FALSE),"")</f>
        <v/>
      </c>
      <c r="L144" s="40">
        <f>IFERROR(VLOOKUP(J144,M2_거래처마스터!A:E,5,FALSE),"")</f>
        <v/>
      </c>
      <c r="M144" s="18" t="n"/>
      <c r="N144" s="18" t="n"/>
    </row>
    <row r="145">
      <c r="A145" s="41" t="n"/>
      <c r="B145" s="35">
        <f>IF(A145="","",YEAR(A145))</f>
        <v/>
      </c>
      <c r="C145" s="36">
        <f>IF(A145="","",MONTH(A145))</f>
        <v/>
      </c>
      <c r="D145" s="37">
        <f>IF(A145="","","Q"&amp;ROUNDUP(MONTH(A145)/3,0))</f>
        <v/>
      </c>
      <c r="E145" s="22" t="n"/>
      <c r="F145" s="22" t="n"/>
      <c r="G145" s="42" t="n"/>
      <c r="H145" s="24" t="n"/>
      <c r="I145" s="39">
        <f>IF(AND(G145&lt;&gt;"",H145&lt;&gt;""),G145*H145,"")</f>
        <v/>
      </c>
      <c r="J145" s="22" t="n"/>
      <c r="K145" s="40">
        <f>IFERROR(VLOOKUP(J145,M2_거래처마스터!A:E,3,FALSE),"")</f>
        <v/>
      </c>
      <c r="L145" s="40">
        <f>IFERROR(VLOOKUP(J145,M2_거래처마스터!A:E,5,FALSE),"")</f>
        <v/>
      </c>
      <c r="M145" s="22" t="n"/>
      <c r="N145" s="22" t="n"/>
    </row>
    <row r="146">
      <c r="A146" s="34" t="n"/>
      <c r="B146" s="35">
        <f>IF(A146="","",YEAR(A146))</f>
        <v/>
      </c>
      <c r="C146" s="36">
        <f>IF(A146="","",MONTH(A146))</f>
        <v/>
      </c>
      <c r="D146" s="37">
        <f>IF(A146="","","Q"&amp;ROUNDUP(MONTH(A146)/3,0))</f>
        <v/>
      </c>
      <c r="E146" s="18" t="n"/>
      <c r="F146" s="18" t="n"/>
      <c r="G146" s="38" t="n"/>
      <c r="H146" s="20" t="n"/>
      <c r="I146" s="39">
        <f>IF(AND(G146&lt;&gt;"",H146&lt;&gt;""),G146*H146,"")</f>
        <v/>
      </c>
      <c r="J146" s="18" t="n"/>
      <c r="K146" s="40">
        <f>IFERROR(VLOOKUP(J146,M2_거래처마스터!A:E,3,FALSE),"")</f>
        <v/>
      </c>
      <c r="L146" s="40">
        <f>IFERROR(VLOOKUP(J146,M2_거래처마스터!A:E,5,FALSE),"")</f>
        <v/>
      </c>
      <c r="M146" s="18" t="n"/>
      <c r="N146" s="18" t="n"/>
    </row>
    <row r="147">
      <c r="A147" s="41" t="n"/>
      <c r="B147" s="35">
        <f>IF(A147="","",YEAR(A147))</f>
        <v/>
      </c>
      <c r="C147" s="36">
        <f>IF(A147="","",MONTH(A147))</f>
        <v/>
      </c>
      <c r="D147" s="37">
        <f>IF(A147="","","Q"&amp;ROUNDUP(MONTH(A147)/3,0))</f>
        <v/>
      </c>
      <c r="E147" s="22" t="n"/>
      <c r="F147" s="22" t="n"/>
      <c r="G147" s="42" t="n"/>
      <c r="H147" s="24" t="n"/>
      <c r="I147" s="39">
        <f>IF(AND(G147&lt;&gt;"",H147&lt;&gt;""),G147*H147,"")</f>
        <v/>
      </c>
      <c r="J147" s="22" t="n"/>
      <c r="K147" s="40">
        <f>IFERROR(VLOOKUP(J147,M2_거래처마스터!A:E,3,FALSE),"")</f>
        <v/>
      </c>
      <c r="L147" s="40">
        <f>IFERROR(VLOOKUP(J147,M2_거래처마스터!A:E,5,FALSE),"")</f>
        <v/>
      </c>
      <c r="M147" s="22" t="n"/>
      <c r="N147" s="22" t="n"/>
    </row>
    <row r="148">
      <c r="A148" s="34" t="n"/>
      <c r="B148" s="35">
        <f>IF(A148="","",YEAR(A148))</f>
        <v/>
      </c>
      <c r="C148" s="36">
        <f>IF(A148="","",MONTH(A148))</f>
        <v/>
      </c>
      <c r="D148" s="37">
        <f>IF(A148="","","Q"&amp;ROUNDUP(MONTH(A148)/3,0))</f>
        <v/>
      </c>
      <c r="E148" s="18" t="n"/>
      <c r="F148" s="18" t="n"/>
      <c r="G148" s="38" t="n"/>
      <c r="H148" s="20" t="n"/>
      <c r="I148" s="39">
        <f>IF(AND(G148&lt;&gt;"",H148&lt;&gt;""),G148*H148,"")</f>
        <v/>
      </c>
      <c r="J148" s="18" t="n"/>
      <c r="K148" s="40">
        <f>IFERROR(VLOOKUP(J148,M2_거래처마스터!A:E,3,FALSE),"")</f>
        <v/>
      </c>
      <c r="L148" s="40">
        <f>IFERROR(VLOOKUP(J148,M2_거래처마스터!A:E,5,FALSE),"")</f>
        <v/>
      </c>
      <c r="M148" s="18" t="n"/>
      <c r="N148" s="18" t="n"/>
    </row>
    <row r="149">
      <c r="A149" s="41" t="n"/>
      <c r="B149" s="35">
        <f>IF(A149="","",YEAR(A149))</f>
        <v/>
      </c>
      <c r="C149" s="36">
        <f>IF(A149="","",MONTH(A149))</f>
        <v/>
      </c>
      <c r="D149" s="37">
        <f>IF(A149="","","Q"&amp;ROUNDUP(MONTH(A149)/3,0))</f>
        <v/>
      </c>
      <c r="E149" s="22" t="n"/>
      <c r="F149" s="22" t="n"/>
      <c r="G149" s="42" t="n"/>
      <c r="H149" s="24" t="n"/>
      <c r="I149" s="39">
        <f>IF(AND(G149&lt;&gt;"",H149&lt;&gt;""),G149*H149,"")</f>
        <v/>
      </c>
      <c r="J149" s="22" t="n"/>
      <c r="K149" s="40">
        <f>IFERROR(VLOOKUP(J149,M2_거래처마스터!A:E,3,FALSE),"")</f>
        <v/>
      </c>
      <c r="L149" s="40">
        <f>IFERROR(VLOOKUP(J149,M2_거래처마스터!A:E,5,FALSE),"")</f>
        <v/>
      </c>
      <c r="M149" s="22" t="n"/>
      <c r="N149" s="22" t="n"/>
    </row>
    <row r="150">
      <c r="A150" s="34" t="n"/>
      <c r="B150" s="35">
        <f>IF(A150="","",YEAR(A150))</f>
        <v/>
      </c>
      <c r="C150" s="36">
        <f>IF(A150="","",MONTH(A150))</f>
        <v/>
      </c>
      <c r="D150" s="37">
        <f>IF(A150="","","Q"&amp;ROUNDUP(MONTH(A150)/3,0))</f>
        <v/>
      </c>
      <c r="E150" s="18" t="n"/>
      <c r="F150" s="18" t="n"/>
      <c r="G150" s="38" t="n"/>
      <c r="H150" s="20" t="n"/>
      <c r="I150" s="39">
        <f>IF(AND(G150&lt;&gt;"",H150&lt;&gt;""),G150*H150,"")</f>
        <v/>
      </c>
      <c r="J150" s="18" t="n"/>
      <c r="K150" s="40">
        <f>IFERROR(VLOOKUP(J150,M2_거래처마스터!A:E,3,FALSE),"")</f>
        <v/>
      </c>
      <c r="L150" s="40">
        <f>IFERROR(VLOOKUP(J150,M2_거래처마스터!A:E,5,FALSE),"")</f>
        <v/>
      </c>
      <c r="M150" s="18" t="n"/>
      <c r="N150" s="18" t="n"/>
    </row>
    <row r="151">
      <c r="A151" s="41" t="n"/>
      <c r="B151" s="35">
        <f>IF(A151="","",YEAR(A151))</f>
        <v/>
      </c>
      <c r="C151" s="36">
        <f>IF(A151="","",MONTH(A151))</f>
        <v/>
      </c>
      <c r="D151" s="37">
        <f>IF(A151="","","Q"&amp;ROUNDUP(MONTH(A151)/3,0))</f>
        <v/>
      </c>
      <c r="E151" s="22" t="n"/>
      <c r="F151" s="22" t="n"/>
      <c r="G151" s="42" t="n"/>
      <c r="H151" s="24" t="n"/>
      <c r="I151" s="39">
        <f>IF(AND(G151&lt;&gt;"",H151&lt;&gt;""),G151*H151,"")</f>
        <v/>
      </c>
      <c r="J151" s="22" t="n"/>
      <c r="K151" s="40">
        <f>IFERROR(VLOOKUP(J151,M2_거래처마스터!A:E,3,FALSE),"")</f>
        <v/>
      </c>
      <c r="L151" s="40">
        <f>IFERROR(VLOOKUP(J151,M2_거래처마스터!A:E,5,FALSE),"")</f>
        <v/>
      </c>
      <c r="M151" s="22" t="n"/>
      <c r="N151" s="22" t="n"/>
    </row>
    <row r="152">
      <c r="A152" s="34" t="n"/>
      <c r="B152" s="35">
        <f>IF(A152="","",YEAR(A152))</f>
        <v/>
      </c>
      <c r="C152" s="36">
        <f>IF(A152="","",MONTH(A152))</f>
        <v/>
      </c>
      <c r="D152" s="37">
        <f>IF(A152="","","Q"&amp;ROUNDUP(MONTH(A152)/3,0))</f>
        <v/>
      </c>
      <c r="E152" s="18" t="n"/>
      <c r="F152" s="18" t="n"/>
      <c r="G152" s="38" t="n"/>
      <c r="H152" s="20" t="n"/>
      <c r="I152" s="39">
        <f>IF(AND(G152&lt;&gt;"",H152&lt;&gt;""),G152*H152,"")</f>
        <v/>
      </c>
      <c r="J152" s="18" t="n"/>
      <c r="K152" s="40">
        <f>IFERROR(VLOOKUP(J152,M2_거래처마스터!A:E,3,FALSE),"")</f>
        <v/>
      </c>
      <c r="L152" s="40">
        <f>IFERROR(VLOOKUP(J152,M2_거래처마스터!A:E,5,FALSE),"")</f>
        <v/>
      </c>
      <c r="M152" s="18" t="n"/>
      <c r="N152" s="18" t="n"/>
    </row>
    <row r="153">
      <c r="A153" s="41" t="n"/>
      <c r="B153" s="35">
        <f>IF(A153="","",YEAR(A153))</f>
        <v/>
      </c>
      <c r="C153" s="36">
        <f>IF(A153="","",MONTH(A153))</f>
        <v/>
      </c>
      <c r="D153" s="37">
        <f>IF(A153="","","Q"&amp;ROUNDUP(MONTH(A153)/3,0))</f>
        <v/>
      </c>
      <c r="E153" s="22" t="n"/>
      <c r="F153" s="22" t="n"/>
      <c r="G153" s="42" t="n"/>
      <c r="H153" s="24" t="n"/>
      <c r="I153" s="39">
        <f>IF(AND(G153&lt;&gt;"",H153&lt;&gt;""),G153*H153,"")</f>
        <v/>
      </c>
      <c r="J153" s="22" t="n"/>
      <c r="K153" s="40">
        <f>IFERROR(VLOOKUP(J153,M2_거래처마스터!A:E,3,FALSE),"")</f>
        <v/>
      </c>
      <c r="L153" s="40">
        <f>IFERROR(VLOOKUP(J153,M2_거래처마스터!A:E,5,FALSE),"")</f>
        <v/>
      </c>
      <c r="M153" s="22" t="n"/>
      <c r="N153" s="22" t="n"/>
    </row>
    <row r="154">
      <c r="A154" s="34" t="n"/>
      <c r="B154" s="35">
        <f>IF(A154="","",YEAR(A154))</f>
        <v/>
      </c>
      <c r="C154" s="36">
        <f>IF(A154="","",MONTH(A154))</f>
        <v/>
      </c>
      <c r="D154" s="37">
        <f>IF(A154="","","Q"&amp;ROUNDUP(MONTH(A154)/3,0))</f>
        <v/>
      </c>
      <c r="E154" s="18" t="n"/>
      <c r="F154" s="18" t="n"/>
      <c r="G154" s="38" t="n"/>
      <c r="H154" s="20" t="n"/>
      <c r="I154" s="39">
        <f>IF(AND(G154&lt;&gt;"",H154&lt;&gt;""),G154*H154,"")</f>
        <v/>
      </c>
      <c r="J154" s="18" t="n"/>
      <c r="K154" s="40">
        <f>IFERROR(VLOOKUP(J154,M2_거래처마스터!A:E,3,FALSE),"")</f>
        <v/>
      </c>
      <c r="L154" s="40">
        <f>IFERROR(VLOOKUP(J154,M2_거래처마스터!A:E,5,FALSE),"")</f>
        <v/>
      </c>
      <c r="M154" s="18" t="n"/>
      <c r="N154" s="18" t="n"/>
    </row>
    <row r="155">
      <c r="A155" s="41" t="n"/>
      <c r="B155" s="35">
        <f>IF(A155="","",YEAR(A155))</f>
        <v/>
      </c>
      <c r="C155" s="36">
        <f>IF(A155="","",MONTH(A155))</f>
        <v/>
      </c>
      <c r="D155" s="37">
        <f>IF(A155="","","Q"&amp;ROUNDUP(MONTH(A155)/3,0))</f>
        <v/>
      </c>
      <c r="E155" s="22" t="n"/>
      <c r="F155" s="22" t="n"/>
      <c r="G155" s="42" t="n"/>
      <c r="H155" s="24" t="n"/>
      <c r="I155" s="39">
        <f>IF(AND(G155&lt;&gt;"",H155&lt;&gt;""),G155*H155,"")</f>
        <v/>
      </c>
      <c r="J155" s="22" t="n"/>
      <c r="K155" s="40">
        <f>IFERROR(VLOOKUP(J155,M2_거래처마스터!A:E,3,FALSE),"")</f>
        <v/>
      </c>
      <c r="L155" s="40">
        <f>IFERROR(VLOOKUP(J155,M2_거래처마스터!A:E,5,FALSE),"")</f>
        <v/>
      </c>
      <c r="M155" s="22" t="n"/>
      <c r="N155" s="22" t="n"/>
    </row>
    <row r="156">
      <c r="A156" s="34" t="n"/>
      <c r="B156" s="35">
        <f>IF(A156="","",YEAR(A156))</f>
        <v/>
      </c>
      <c r="C156" s="36">
        <f>IF(A156="","",MONTH(A156))</f>
        <v/>
      </c>
      <c r="D156" s="37">
        <f>IF(A156="","","Q"&amp;ROUNDUP(MONTH(A156)/3,0))</f>
        <v/>
      </c>
      <c r="E156" s="18" t="n"/>
      <c r="F156" s="18" t="n"/>
      <c r="G156" s="38" t="n"/>
      <c r="H156" s="20" t="n"/>
      <c r="I156" s="39">
        <f>IF(AND(G156&lt;&gt;"",H156&lt;&gt;""),G156*H156,"")</f>
        <v/>
      </c>
      <c r="J156" s="18" t="n"/>
      <c r="K156" s="40">
        <f>IFERROR(VLOOKUP(J156,M2_거래처마스터!A:E,3,FALSE),"")</f>
        <v/>
      </c>
      <c r="L156" s="40">
        <f>IFERROR(VLOOKUP(J156,M2_거래처마스터!A:E,5,FALSE),"")</f>
        <v/>
      </c>
      <c r="M156" s="18" t="n"/>
      <c r="N156" s="18" t="n"/>
    </row>
    <row r="157">
      <c r="A157" s="41" t="n"/>
      <c r="B157" s="35">
        <f>IF(A157="","",YEAR(A157))</f>
        <v/>
      </c>
      <c r="C157" s="36">
        <f>IF(A157="","",MONTH(A157))</f>
        <v/>
      </c>
      <c r="D157" s="37">
        <f>IF(A157="","","Q"&amp;ROUNDUP(MONTH(A157)/3,0))</f>
        <v/>
      </c>
      <c r="E157" s="22" t="n"/>
      <c r="F157" s="22" t="n"/>
      <c r="G157" s="42" t="n"/>
      <c r="H157" s="24" t="n"/>
      <c r="I157" s="39">
        <f>IF(AND(G157&lt;&gt;"",H157&lt;&gt;""),G157*H157,"")</f>
        <v/>
      </c>
      <c r="J157" s="22" t="n"/>
      <c r="K157" s="40">
        <f>IFERROR(VLOOKUP(J157,M2_거래처마스터!A:E,3,FALSE),"")</f>
        <v/>
      </c>
      <c r="L157" s="40">
        <f>IFERROR(VLOOKUP(J157,M2_거래처마스터!A:E,5,FALSE),"")</f>
        <v/>
      </c>
      <c r="M157" s="22" t="n"/>
      <c r="N157" s="22" t="n"/>
    </row>
    <row r="158">
      <c r="A158" s="34" t="n"/>
      <c r="B158" s="35">
        <f>IF(A158="","",YEAR(A158))</f>
        <v/>
      </c>
      <c r="C158" s="36">
        <f>IF(A158="","",MONTH(A158))</f>
        <v/>
      </c>
      <c r="D158" s="37">
        <f>IF(A158="","","Q"&amp;ROUNDUP(MONTH(A158)/3,0))</f>
        <v/>
      </c>
      <c r="E158" s="18" t="n"/>
      <c r="F158" s="18" t="n"/>
      <c r="G158" s="38" t="n"/>
      <c r="H158" s="20" t="n"/>
      <c r="I158" s="39">
        <f>IF(AND(G158&lt;&gt;"",H158&lt;&gt;""),G158*H158,"")</f>
        <v/>
      </c>
      <c r="J158" s="18" t="n"/>
      <c r="K158" s="40">
        <f>IFERROR(VLOOKUP(J158,M2_거래처마스터!A:E,3,FALSE),"")</f>
        <v/>
      </c>
      <c r="L158" s="40">
        <f>IFERROR(VLOOKUP(J158,M2_거래처마스터!A:E,5,FALSE),"")</f>
        <v/>
      </c>
      <c r="M158" s="18" t="n"/>
      <c r="N158" s="18" t="n"/>
    </row>
    <row r="159">
      <c r="A159" s="41" t="n"/>
      <c r="B159" s="35">
        <f>IF(A159="","",YEAR(A159))</f>
        <v/>
      </c>
      <c r="C159" s="36">
        <f>IF(A159="","",MONTH(A159))</f>
        <v/>
      </c>
      <c r="D159" s="37">
        <f>IF(A159="","","Q"&amp;ROUNDUP(MONTH(A159)/3,0))</f>
        <v/>
      </c>
      <c r="E159" s="22" t="n"/>
      <c r="F159" s="22" t="n"/>
      <c r="G159" s="42" t="n"/>
      <c r="H159" s="24" t="n"/>
      <c r="I159" s="39">
        <f>IF(AND(G159&lt;&gt;"",H159&lt;&gt;""),G159*H159,"")</f>
        <v/>
      </c>
      <c r="J159" s="22" t="n"/>
      <c r="K159" s="40">
        <f>IFERROR(VLOOKUP(J159,M2_거래처마스터!A:E,3,FALSE),"")</f>
        <v/>
      </c>
      <c r="L159" s="40">
        <f>IFERROR(VLOOKUP(J159,M2_거래처마스터!A:E,5,FALSE),"")</f>
        <v/>
      </c>
      <c r="M159" s="22" t="n"/>
      <c r="N159" s="22" t="n"/>
    </row>
    <row r="160">
      <c r="A160" s="34" t="n"/>
      <c r="B160" s="35">
        <f>IF(A160="","",YEAR(A160))</f>
        <v/>
      </c>
      <c r="C160" s="36">
        <f>IF(A160="","",MONTH(A160))</f>
        <v/>
      </c>
      <c r="D160" s="37">
        <f>IF(A160="","","Q"&amp;ROUNDUP(MONTH(A160)/3,0))</f>
        <v/>
      </c>
      <c r="E160" s="18" t="n"/>
      <c r="F160" s="18" t="n"/>
      <c r="G160" s="38" t="n"/>
      <c r="H160" s="20" t="n"/>
      <c r="I160" s="39">
        <f>IF(AND(G160&lt;&gt;"",H160&lt;&gt;""),G160*H160,"")</f>
        <v/>
      </c>
      <c r="J160" s="18" t="n"/>
      <c r="K160" s="40">
        <f>IFERROR(VLOOKUP(J160,M2_거래처마스터!A:E,3,FALSE),"")</f>
        <v/>
      </c>
      <c r="L160" s="40">
        <f>IFERROR(VLOOKUP(J160,M2_거래처마스터!A:E,5,FALSE),"")</f>
        <v/>
      </c>
      <c r="M160" s="18" t="n"/>
      <c r="N160" s="18" t="n"/>
    </row>
    <row r="161">
      <c r="A161" s="41" t="n"/>
      <c r="B161" s="35">
        <f>IF(A161="","",YEAR(A161))</f>
        <v/>
      </c>
      <c r="C161" s="36">
        <f>IF(A161="","",MONTH(A161))</f>
        <v/>
      </c>
      <c r="D161" s="37">
        <f>IF(A161="","","Q"&amp;ROUNDUP(MONTH(A161)/3,0))</f>
        <v/>
      </c>
      <c r="E161" s="22" t="n"/>
      <c r="F161" s="22" t="n"/>
      <c r="G161" s="42" t="n"/>
      <c r="H161" s="24" t="n"/>
      <c r="I161" s="39">
        <f>IF(AND(G161&lt;&gt;"",H161&lt;&gt;""),G161*H161,"")</f>
        <v/>
      </c>
      <c r="J161" s="22" t="n"/>
      <c r="K161" s="40">
        <f>IFERROR(VLOOKUP(J161,M2_거래처마스터!A:E,3,FALSE),"")</f>
        <v/>
      </c>
      <c r="L161" s="40">
        <f>IFERROR(VLOOKUP(J161,M2_거래처마스터!A:E,5,FALSE),"")</f>
        <v/>
      </c>
      <c r="M161" s="22" t="n"/>
      <c r="N161" s="22" t="n"/>
    </row>
    <row r="162">
      <c r="A162" s="34" t="n"/>
      <c r="B162" s="35">
        <f>IF(A162="","",YEAR(A162))</f>
        <v/>
      </c>
      <c r="C162" s="36">
        <f>IF(A162="","",MONTH(A162))</f>
        <v/>
      </c>
      <c r="D162" s="37">
        <f>IF(A162="","","Q"&amp;ROUNDUP(MONTH(A162)/3,0))</f>
        <v/>
      </c>
      <c r="E162" s="18" t="n"/>
      <c r="F162" s="18" t="n"/>
      <c r="G162" s="38" t="n"/>
      <c r="H162" s="20" t="n"/>
      <c r="I162" s="39">
        <f>IF(AND(G162&lt;&gt;"",H162&lt;&gt;""),G162*H162,"")</f>
        <v/>
      </c>
      <c r="J162" s="18" t="n"/>
      <c r="K162" s="40">
        <f>IFERROR(VLOOKUP(J162,M2_거래처마스터!A:E,3,FALSE),"")</f>
        <v/>
      </c>
      <c r="L162" s="40">
        <f>IFERROR(VLOOKUP(J162,M2_거래처마스터!A:E,5,FALSE),"")</f>
        <v/>
      </c>
      <c r="M162" s="18" t="n"/>
      <c r="N162" s="18" t="n"/>
    </row>
    <row r="163">
      <c r="A163" s="41" t="n"/>
      <c r="B163" s="35">
        <f>IF(A163="","",YEAR(A163))</f>
        <v/>
      </c>
      <c r="C163" s="36">
        <f>IF(A163="","",MONTH(A163))</f>
        <v/>
      </c>
      <c r="D163" s="37">
        <f>IF(A163="","","Q"&amp;ROUNDUP(MONTH(A163)/3,0))</f>
        <v/>
      </c>
      <c r="E163" s="22" t="n"/>
      <c r="F163" s="22" t="n"/>
      <c r="G163" s="42" t="n"/>
      <c r="H163" s="24" t="n"/>
      <c r="I163" s="39">
        <f>IF(AND(G163&lt;&gt;"",H163&lt;&gt;""),G163*H163,"")</f>
        <v/>
      </c>
      <c r="J163" s="22" t="n"/>
      <c r="K163" s="40">
        <f>IFERROR(VLOOKUP(J163,M2_거래처마스터!A:E,3,FALSE),"")</f>
        <v/>
      </c>
      <c r="L163" s="40">
        <f>IFERROR(VLOOKUP(J163,M2_거래처마스터!A:E,5,FALSE),"")</f>
        <v/>
      </c>
      <c r="M163" s="22" t="n"/>
      <c r="N163" s="22" t="n"/>
    </row>
    <row r="164">
      <c r="A164" s="34" t="n"/>
      <c r="B164" s="35">
        <f>IF(A164="","",YEAR(A164))</f>
        <v/>
      </c>
      <c r="C164" s="36">
        <f>IF(A164="","",MONTH(A164))</f>
        <v/>
      </c>
      <c r="D164" s="37">
        <f>IF(A164="","","Q"&amp;ROUNDUP(MONTH(A164)/3,0))</f>
        <v/>
      </c>
      <c r="E164" s="18" t="n"/>
      <c r="F164" s="18" t="n"/>
      <c r="G164" s="38" t="n"/>
      <c r="H164" s="20" t="n"/>
      <c r="I164" s="39">
        <f>IF(AND(G164&lt;&gt;"",H164&lt;&gt;""),G164*H164,"")</f>
        <v/>
      </c>
      <c r="J164" s="18" t="n"/>
      <c r="K164" s="40">
        <f>IFERROR(VLOOKUP(J164,M2_거래처마스터!A:E,3,FALSE),"")</f>
        <v/>
      </c>
      <c r="L164" s="40">
        <f>IFERROR(VLOOKUP(J164,M2_거래처마스터!A:E,5,FALSE),"")</f>
        <v/>
      </c>
      <c r="M164" s="18" t="n"/>
      <c r="N164" s="18" t="n"/>
    </row>
    <row r="165">
      <c r="A165" s="41" t="n"/>
      <c r="B165" s="35">
        <f>IF(A165="","",YEAR(A165))</f>
        <v/>
      </c>
      <c r="C165" s="36">
        <f>IF(A165="","",MONTH(A165))</f>
        <v/>
      </c>
      <c r="D165" s="37">
        <f>IF(A165="","","Q"&amp;ROUNDUP(MONTH(A165)/3,0))</f>
        <v/>
      </c>
      <c r="E165" s="22" t="n"/>
      <c r="F165" s="22" t="n"/>
      <c r="G165" s="42" t="n"/>
      <c r="H165" s="24" t="n"/>
      <c r="I165" s="39">
        <f>IF(AND(G165&lt;&gt;"",H165&lt;&gt;""),G165*H165,"")</f>
        <v/>
      </c>
      <c r="J165" s="22" t="n"/>
      <c r="K165" s="40">
        <f>IFERROR(VLOOKUP(J165,M2_거래처마스터!A:E,3,FALSE),"")</f>
        <v/>
      </c>
      <c r="L165" s="40">
        <f>IFERROR(VLOOKUP(J165,M2_거래처마스터!A:E,5,FALSE),"")</f>
        <v/>
      </c>
      <c r="M165" s="22" t="n"/>
      <c r="N165" s="22" t="n"/>
    </row>
    <row r="166">
      <c r="A166" s="34" t="n"/>
      <c r="B166" s="35">
        <f>IF(A166="","",YEAR(A166))</f>
        <v/>
      </c>
      <c r="C166" s="36">
        <f>IF(A166="","",MONTH(A166))</f>
        <v/>
      </c>
      <c r="D166" s="37">
        <f>IF(A166="","","Q"&amp;ROUNDUP(MONTH(A166)/3,0))</f>
        <v/>
      </c>
      <c r="E166" s="18" t="n"/>
      <c r="F166" s="18" t="n"/>
      <c r="G166" s="38" t="n"/>
      <c r="H166" s="20" t="n"/>
      <c r="I166" s="39">
        <f>IF(AND(G166&lt;&gt;"",H166&lt;&gt;""),G166*H166,"")</f>
        <v/>
      </c>
      <c r="J166" s="18" t="n"/>
      <c r="K166" s="40">
        <f>IFERROR(VLOOKUP(J166,M2_거래처마스터!A:E,3,FALSE),"")</f>
        <v/>
      </c>
      <c r="L166" s="40">
        <f>IFERROR(VLOOKUP(J166,M2_거래처마스터!A:E,5,FALSE),"")</f>
        <v/>
      </c>
      <c r="M166" s="18" t="n"/>
      <c r="N166" s="18" t="n"/>
    </row>
    <row r="167">
      <c r="A167" s="41" t="n"/>
      <c r="B167" s="35">
        <f>IF(A167="","",YEAR(A167))</f>
        <v/>
      </c>
      <c r="C167" s="36">
        <f>IF(A167="","",MONTH(A167))</f>
        <v/>
      </c>
      <c r="D167" s="37">
        <f>IF(A167="","","Q"&amp;ROUNDUP(MONTH(A167)/3,0))</f>
        <v/>
      </c>
      <c r="E167" s="22" t="n"/>
      <c r="F167" s="22" t="n"/>
      <c r="G167" s="42" t="n"/>
      <c r="H167" s="24" t="n"/>
      <c r="I167" s="39">
        <f>IF(AND(G167&lt;&gt;"",H167&lt;&gt;""),G167*H167,"")</f>
        <v/>
      </c>
      <c r="J167" s="22" t="n"/>
      <c r="K167" s="40">
        <f>IFERROR(VLOOKUP(J167,M2_거래처마스터!A:E,3,FALSE),"")</f>
        <v/>
      </c>
      <c r="L167" s="40">
        <f>IFERROR(VLOOKUP(J167,M2_거래처마스터!A:E,5,FALSE),"")</f>
        <v/>
      </c>
      <c r="M167" s="22" t="n"/>
      <c r="N167" s="22" t="n"/>
    </row>
    <row r="168">
      <c r="A168" s="34" t="n"/>
      <c r="B168" s="35">
        <f>IF(A168="","",YEAR(A168))</f>
        <v/>
      </c>
      <c r="C168" s="36">
        <f>IF(A168="","",MONTH(A168))</f>
        <v/>
      </c>
      <c r="D168" s="37">
        <f>IF(A168="","","Q"&amp;ROUNDUP(MONTH(A168)/3,0))</f>
        <v/>
      </c>
      <c r="E168" s="18" t="n"/>
      <c r="F168" s="18" t="n"/>
      <c r="G168" s="38" t="n"/>
      <c r="H168" s="20" t="n"/>
      <c r="I168" s="39">
        <f>IF(AND(G168&lt;&gt;"",H168&lt;&gt;""),G168*H168,"")</f>
        <v/>
      </c>
      <c r="J168" s="18" t="n"/>
      <c r="K168" s="40">
        <f>IFERROR(VLOOKUP(J168,M2_거래처마스터!A:E,3,FALSE),"")</f>
        <v/>
      </c>
      <c r="L168" s="40">
        <f>IFERROR(VLOOKUP(J168,M2_거래처마스터!A:E,5,FALSE),"")</f>
        <v/>
      </c>
      <c r="M168" s="18" t="n"/>
      <c r="N168" s="18" t="n"/>
    </row>
    <row r="169">
      <c r="A169" s="41" t="n"/>
      <c r="B169" s="35">
        <f>IF(A169="","",YEAR(A169))</f>
        <v/>
      </c>
      <c r="C169" s="36">
        <f>IF(A169="","",MONTH(A169))</f>
        <v/>
      </c>
      <c r="D169" s="37">
        <f>IF(A169="","","Q"&amp;ROUNDUP(MONTH(A169)/3,0))</f>
        <v/>
      </c>
      <c r="E169" s="22" t="n"/>
      <c r="F169" s="22" t="n"/>
      <c r="G169" s="42" t="n"/>
      <c r="H169" s="24" t="n"/>
      <c r="I169" s="39">
        <f>IF(AND(G169&lt;&gt;"",H169&lt;&gt;""),G169*H169,"")</f>
        <v/>
      </c>
      <c r="J169" s="22" t="n"/>
      <c r="K169" s="40">
        <f>IFERROR(VLOOKUP(J169,M2_거래처마스터!A:E,3,FALSE),"")</f>
        <v/>
      </c>
      <c r="L169" s="40">
        <f>IFERROR(VLOOKUP(J169,M2_거래처마스터!A:E,5,FALSE),"")</f>
        <v/>
      </c>
      <c r="M169" s="22" t="n"/>
      <c r="N169" s="22" t="n"/>
    </row>
    <row r="170">
      <c r="A170" s="34" t="n"/>
      <c r="B170" s="35">
        <f>IF(A170="","",YEAR(A170))</f>
        <v/>
      </c>
      <c r="C170" s="36">
        <f>IF(A170="","",MONTH(A170))</f>
        <v/>
      </c>
      <c r="D170" s="37">
        <f>IF(A170="","","Q"&amp;ROUNDUP(MONTH(A170)/3,0))</f>
        <v/>
      </c>
      <c r="E170" s="18" t="n"/>
      <c r="F170" s="18" t="n"/>
      <c r="G170" s="38" t="n"/>
      <c r="H170" s="20" t="n"/>
      <c r="I170" s="39">
        <f>IF(AND(G170&lt;&gt;"",H170&lt;&gt;""),G170*H170,"")</f>
        <v/>
      </c>
      <c r="J170" s="18" t="n"/>
      <c r="K170" s="40">
        <f>IFERROR(VLOOKUP(J170,M2_거래처마스터!A:E,3,FALSE),"")</f>
        <v/>
      </c>
      <c r="L170" s="40">
        <f>IFERROR(VLOOKUP(J170,M2_거래처마스터!A:E,5,FALSE),"")</f>
        <v/>
      </c>
      <c r="M170" s="18" t="n"/>
      <c r="N170" s="18" t="n"/>
    </row>
    <row r="171">
      <c r="A171" s="41" t="n"/>
      <c r="B171" s="35">
        <f>IF(A171="","",YEAR(A171))</f>
        <v/>
      </c>
      <c r="C171" s="36">
        <f>IF(A171="","",MONTH(A171))</f>
        <v/>
      </c>
      <c r="D171" s="37">
        <f>IF(A171="","","Q"&amp;ROUNDUP(MONTH(A171)/3,0))</f>
        <v/>
      </c>
      <c r="E171" s="22" t="n"/>
      <c r="F171" s="22" t="n"/>
      <c r="G171" s="42" t="n"/>
      <c r="H171" s="24" t="n"/>
      <c r="I171" s="39">
        <f>IF(AND(G171&lt;&gt;"",H171&lt;&gt;""),G171*H171,"")</f>
        <v/>
      </c>
      <c r="J171" s="22" t="n"/>
      <c r="K171" s="40">
        <f>IFERROR(VLOOKUP(J171,M2_거래처마스터!A:E,3,FALSE),"")</f>
        <v/>
      </c>
      <c r="L171" s="40">
        <f>IFERROR(VLOOKUP(J171,M2_거래처마스터!A:E,5,FALSE),"")</f>
        <v/>
      </c>
      <c r="M171" s="22" t="n"/>
      <c r="N171" s="22" t="n"/>
    </row>
    <row r="172">
      <c r="A172" s="34" t="n"/>
      <c r="B172" s="35">
        <f>IF(A172="","",YEAR(A172))</f>
        <v/>
      </c>
      <c r="C172" s="36">
        <f>IF(A172="","",MONTH(A172))</f>
        <v/>
      </c>
      <c r="D172" s="37">
        <f>IF(A172="","","Q"&amp;ROUNDUP(MONTH(A172)/3,0))</f>
        <v/>
      </c>
      <c r="E172" s="18" t="n"/>
      <c r="F172" s="18" t="n"/>
      <c r="G172" s="38" t="n"/>
      <c r="H172" s="20" t="n"/>
      <c r="I172" s="39">
        <f>IF(AND(G172&lt;&gt;"",H172&lt;&gt;""),G172*H172,"")</f>
        <v/>
      </c>
      <c r="J172" s="18" t="n"/>
      <c r="K172" s="40">
        <f>IFERROR(VLOOKUP(J172,M2_거래처마스터!A:E,3,FALSE),"")</f>
        <v/>
      </c>
      <c r="L172" s="40">
        <f>IFERROR(VLOOKUP(J172,M2_거래처마스터!A:E,5,FALSE),"")</f>
        <v/>
      </c>
      <c r="M172" s="18" t="n"/>
      <c r="N172" s="18" t="n"/>
    </row>
    <row r="173">
      <c r="A173" s="41" t="n"/>
      <c r="B173" s="35">
        <f>IF(A173="","",YEAR(A173))</f>
        <v/>
      </c>
      <c r="C173" s="36">
        <f>IF(A173="","",MONTH(A173))</f>
        <v/>
      </c>
      <c r="D173" s="37">
        <f>IF(A173="","","Q"&amp;ROUNDUP(MONTH(A173)/3,0))</f>
        <v/>
      </c>
      <c r="E173" s="22" t="n"/>
      <c r="F173" s="22" t="n"/>
      <c r="G173" s="42" t="n"/>
      <c r="H173" s="24" t="n"/>
      <c r="I173" s="39">
        <f>IF(AND(G173&lt;&gt;"",H173&lt;&gt;""),G173*H173,"")</f>
        <v/>
      </c>
      <c r="J173" s="22" t="n"/>
      <c r="K173" s="40">
        <f>IFERROR(VLOOKUP(J173,M2_거래처마스터!A:E,3,FALSE),"")</f>
        <v/>
      </c>
      <c r="L173" s="40">
        <f>IFERROR(VLOOKUP(J173,M2_거래처마스터!A:E,5,FALSE),"")</f>
        <v/>
      </c>
      <c r="M173" s="22" t="n"/>
      <c r="N173" s="22" t="n"/>
    </row>
    <row r="174">
      <c r="A174" s="34" t="n"/>
      <c r="B174" s="35">
        <f>IF(A174="","",YEAR(A174))</f>
        <v/>
      </c>
      <c r="C174" s="36">
        <f>IF(A174="","",MONTH(A174))</f>
        <v/>
      </c>
      <c r="D174" s="37">
        <f>IF(A174="","","Q"&amp;ROUNDUP(MONTH(A174)/3,0))</f>
        <v/>
      </c>
      <c r="E174" s="18" t="n"/>
      <c r="F174" s="18" t="n"/>
      <c r="G174" s="38" t="n"/>
      <c r="H174" s="20" t="n"/>
      <c r="I174" s="39">
        <f>IF(AND(G174&lt;&gt;"",H174&lt;&gt;""),G174*H174,"")</f>
        <v/>
      </c>
      <c r="J174" s="18" t="n"/>
      <c r="K174" s="40">
        <f>IFERROR(VLOOKUP(J174,M2_거래처마스터!A:E,3,FALSE),"")</f>
        <v/>
      </c>
      <c r="L174" s="40">
        <f>IFERROR(VLOOKUP(J174,M2_거래처마스터!A:E,5,FALSE),"")</f>
        <v/>
      </c>
      <c r="M174" s="18" t="n"/>
      <c r="N174" s="18" t="n"/>
    </row>
    <row r="175">
      <c r="A175" s="41" t="n"/>
      <c r="B175" s="35">
        <f>IF(A175="","",YEAR(A175))</f>
        <v/>
      </c>
      <c r="C175" s="36">
        <f>IF(A175="","",MONTH(A175))</f>
        <v/>
      </c>
      <c r="D175" s="37">
        <f>IF(A175="","","Q"&amp;ROUNDUP(MONTH(A175)/3,0))</f>
        <v/>
      </c>
      <c r="E175" s="22" t="n"/>
      <c r="F175" s="22" t="n"/>
      <c r="G175" s="42" t="n"/>
      <c r="H175" s="24" t="n"/>
      <c r="I175" s="39">
        <f>IF(AND(G175&lt;&gt;"",H175&lt;&gt;""),G175*H175,"")</f>
        <v/>
      </c>
      <c r="J175" s="22" t="n"/>
      <c r="K175" s="40">
        <f>IFERROR(VLOOKUP(J175,M2_거래처마스터!A:E,3,FALSE),"")</f>
        <v/>
      </c>
      <c r="L175" s="40">
        <f>IFERROR(VLOOKUP(J175,M2_거래처마스터!A:E,5,FALSE),"")</f>
        <v/>
      </c>
      <c r="M175" s="22" t="n"/>
      <c r="N175" s="22" t="n"/>
    </row>
    <row r="176">
      <c r="A176" s="34" t="n"/>
      <c r="B176" s="35">
        <f>IF(A176="","",YEAR(A176))</f>
        <v/>
      </c>
      <c r="C176" s="36">
        <f>IF(A176="","",MONTH(A176))</f>
        <v/>
      </c>
      <c r="D176" s="37">
        <f>IF(A176="","","Q"&amp;ROUNDUP(MONTH(A176)/3,0))</f>
        <v/>
      </c>
      <c r="E176" s="18" t="n"/>
      <c r="F176" s="18" t="n"/>
      <c r="G176" s="38" t="n"/>
      <c r="H176" s="20" t="n"/>
      <c r="I176" s="39">
        <f>IF(AND(G176&lt;&gt;"",H176&lt;&gt;""),G176*H176,"")</f>
        <v/>
      </c>
      <c r="J176" s="18" t="n"/>
      <c r="K176" s="40">
        <f>IFERROR(VLOOKUP(J176,M2_거래처마스터!A:E,3,FALSE),"")</f>
        <v/>
      </c>
      <c r="L176" s="40">
        <f>IFERROR(VLOOKUP(J176,M2_거래처마스터!A:E,5,FALSE),"")</f>
        <v/>
      </c>
      <c r="M176" s="18" t="n"/>
      <c r="N176" s="18" t="n"/>
    </row>
    <row r="177">
      <c r="A177" s="41" t="n"/>
      <c r="B177" s="35">
        <f>IF(A177="","",YEAR(A177))</f>
        <v/>
      </c>
      <c r="C177" s="36">
        <f>IF(A177="","",MONTH(A177))</f>
        <v/>
      </c>
      <c r="D177" s="37">
        <f>IF(A177="","","Q"&amp;ROUNDUP(MONTH(A177)/3,0))</f>
        <v/>
      </c>
      <c r="E177" s="22" t="n"/>
      <c r="F177" s="22" t="n"/>
      <c r="G177" s="42" t="n"/>
      <c r="H177" s="24" t="n"/>
      <c r="I177" s="39">
        <f>IF(AND(G177&lt;&gt;"",H177&lt;&gt;""),G177*H177,"")</f>
        <v/>
      </c>
      <c r="J177" s="22" t="n"/>
      <c r="K177" s="40">
        <f>IFERROR(VLOOKUP(J177,M2_거래처마스터!A:E,3,FALSE),"")</f>
        <v/>
      </c>
      <c r="L177" s="40">
        <f>IFERROR(VLOOKUP(J177,M2_거래처마스터!A:E,5,FALSE),"")</f>
        <v/>
      </c>
      <c r="M177" s="22" t="n"/>
      <c r="N177" s="22" t="n"/>
    </row>
    <row r="178">
      <c r="A178" s="34" t="n"/>
      <c r="B178" s="35">
        <f>IF(A178="","",YEAR(A178))</f>
        <v/>
      </c>
      <c r="C178" s="36">
        <f>IF(A178="","",MONTH(A178))</f>
        <v/>
      </c>
      <c r="D178" s="37">
        <f>IF(A178="","","Q"&amp;ROUNDUP(MONTH(A178)/3,0))</f>
        <v/>
      </c>
      <c r="E178" s="18" t="n"/>
      <c r="F178" s="18" t="n"/>
      <c r="G178" s="38" t="n"/>
      <c r="H178" s="20" t="n"/>
      <c r="I178" s="39">
        <f>IF(AND(G178&lt;&gt;"",H178&lt;&gt;""),G178*H178,"")</f>
        <v/>
      </c>
      <c r="J178" s="18" t="n"/>
      <c r="K178" s="40">
        <f>IFERROR(VLOOKUP(J178,M2_거래처마스터!A:E,3,FALSE),"")</f>
        <v/>
      </c>
      <c r="L178" s="40">
        <f>IFERROR(VLOOKUP(J178,M2_거래처마스터!A:E,5,FALSE),"")</f>
        <v/>
      </c>
      <c r="M178" s="18" t="n"/>
      <c r="N178" s="18" t="n"/>
    </row>
    <row r="179">
      <c r="A179" s="41" t="n"/>
      <c r="B179" s="35">
        <f>IF(A179="","",YEAR(A179))</f>
        <v/>
      </c>
      <c r="C179" s="36">
        <f>IF(A179="","",MONTH(A179))</f>
        <v/>
      </c>
      <c r="D179" s="37">
        <f>IF(A179="","","Q"&amp;ROUNDUP(MONTH(A179)/3,0))</f>
        <v/>
      </c>
      <c r="E179" s="22" t="n"/>
      <c r="F179" s="22" t="n"/>
      <c r="G179" s="42" t="n"/>
      <c r="H179" s="24" t="n"/>
      <c r="I179" s="39">
        <f>IF(AND(G179&lt;&gt;"",H179&lt;&gt;""),G179*H179,"")</f>
        <v/>
      </c>
      <c r="J179" s="22" t="n"/>
      <c r="K179" s="40">
        <f>IFERROR(VLOOKUP(J179,M2_거래처마스터!A:E,3,FALSE),"")</f>
        <v/>
      </c>
      <c r="L179" s="40">
        <f>IFERROR(VLOOKUP(J179,M2_거래처마스터!A:E,5,FALSE),"")</f>
        <v/>
      </c>
      <c r="M179" s="22" t="n"/>
      <c r="N179" s="22" t="n"/>
    </row>
    <row r="180">
      <c r="A180" s="34" t="n"/>
      <c r="B180" s="35">
        <f>IF(A180="","",YEAR(A180))</f>
        <v/>
      </c>
      <c r="C180" s="36">
        <f>IF(A180="","",MONTH(A180))</f>
        <v/>
      </c>
      <c r="D180" s="37">
        <f>IF(A180="","","Q"&amp;ROUNDUP(MONTH(A180)/3,0))</f>
        <v/>
      </c>
      <c r="E180" s="18" t="n"/>
      <c r="F180" s="18" t="n"/>
      <c r="G180" s="38" t="n"/>
      <c r="H180" s="20" t="n"/>
      <c r="I180" s="39">
        <f>IF(AND(G180&lt;&gt;"",H180&lt;&gt;""),G180*H180,"")</f>
        <v/>
      </c>
      <c r="J180" s="18" t="n"/>
      <c r="K180" s="40">
        <f>IFERROR(VLOOKUP(J180,M2_거래처마스터!A:E,3,FALSE),"")</f>
        <v/>
      </c>
      <c r="L180" s="40">
        <f>IFERROR(VLOOKUP(J180,M2_거래처마스터!A:E,5,FALSE),"")</f>
        <v/>
      </c>
      <c r="M180" s="18" t="n"/>
      <c r="N180" s="18" t="n"/>
    </row>
    <row r="181">
      <c r="A181" s="41" t="n"/>
      <c r="B181" s="35">
        <f>IF(A181="","",YEAR(A181))</f>
        <v/>
      </c>
      <c r="C181" s="36">
        <f>IF(A181="","",MONTH(A181))</f>
        <v/>
      </c>
      <c r="D181" s="37">
        <f>IF(A181="","","Q"&amp;ROUNDUP(MONTH(A181)/3,0))</f>
        <v/>
      </c>
      <c r="E181" s="22" t="n"/>
      <c r="F181" s="22" t="n"/>
      <c r="G181" s="42" t="n"/>
      <c r="H181" s="24" t="n"/>
      <c r="I181" s="39">
        <f>IF(AND(G181&lt;&gt;"",H181&lt;&gt;""),G181*H181,"")</f>
        <v/>
      </c>
      <c r="J181" s="22" t="n"/>
      <c r="K181" s="40">
        <f>IFERROR(VLOOKUP(J181,M2_거래처마스터!A:E,3,FALSE),"")</f>
        <v/>
      </c>
      <c r="L181" s="40">
        <f>IFERROR(VLOOKUP(J181,M2_거래처마스터!A:E,5,FALSE),"")</f>
        <v/>
      </c>
      <c r="M181" s="22" t="n"/>
      <c r="N181" s="22" t="n"/>
    </row>
    <row r="182">
      <c r="A182" s="34" t="n"/>
      <c r="B182" s="35">
        <f>IF(A182="","",YEAR(A182))</f>
        <v/>
      </c>
      <c r="C182" s="36">
        <f>IF(A182="","",MONTH(A182))</f>
        <v/>
      </c>
      <c r="D182" s="37">
        <f>IF(A182="","","Q"&amp;ROUNDUP(MONTH(A182)/3,0))</f>
        <v/>
      </c>
      <c r="E182" s="18" t="n"/>
      <c r="F182" s="18" t="n"/>
      <c r="G182" s="38" t="n"/>
      <c r="H182" s="20" t="n"/>
      <c r="I182" s="39">
        <f>IF(AND(G182&lt;&gt;"",H182&lt;&gt;""),G182*H182,"")</f>
        <v/>
      </c>
      <c r="J182" s="18" t="n"/>
      <c r="K182" s="40">
        <f>IFERROR(VLOOKUP(J182,M2_거래처마스터!A:E,3,FALSE),"")</f>
        <v/>
      </c>
      <c r="L182" s="40">
        <f>IFERROR(VLOOKUP(J182,M2_거래처마스터!A:E,5,FALSE),"")</f>
        <v/>
      </c>
      <c r="M182" s="18" t="n"/>
      <c r="N182" s="18" t="n"/>
    </row>
    <row r="183">
      <c r="A183" s="41" t="n"/>
      <c r="B183" s="35">
        <f>IF(A183="","",YEAR(A183))</f>
        <v/>
      </c>
      <c r="C183" s="36">
        <f>IF(A183="","",MONTH(A183))</f>
        <v/>
      </c>
      <c r="D183" s="37">
        <f>IF(A183="","","Q"&amp;ROUNDUP(MONTH(A183)/3,0))</f>
        <v/>
      </c>
      <c r="E183" s="22" t="n"/>
      <c r="F183" s="22" t="n"/>
      <c r="G183" s="42" t="n"/>
      <c r="H183" s="24" t="n"/>
      <c r="I183" s="39">
        <f>IF(AND(G183&lt;&gt;"",H183&lt;&gt;""),G183*H183,"")</f>
        <v/>
      </c>
      <c r="J183" s="22" t="n"/>
      <c r="K183" s="40">
        <f>IFERROR(VLOOKUP(J183,M2_거래처마스터!A:E,3,FALSE),"")</f>
        <v/>
      </c>
      <c r="L183" s="40">
        <f>IFERROR(VLOOKUP(J183,M2_거래처마스터!A:E,5,FALSE),"")</f>
        <v/>
      </c>
      <c r="M183" s="22" t="n"/>
      <c r="N183" s="22" t="n"/>
    </row>
    <row r="184">
      <c r="A184" s="34" t="n"/>
      <c r="B184" s="35">
        <f>IF(A184="","",YEAR(A184))</f>
        <v/>
      </c>
      <c r="C184" s="36">
        <f>IF(A184="","",MONTH(A184))</f>
        <v/>
      </c>
      <c r="D184" s="37">
        <f>IF(A184="","","Q"&amp;ROUNDUP(MONTH(A184)/3,0))</f>
        <v/>
      </c>
      <c r="E184" s="18" t="n"/>
      <c r="F184" s="18" t="n"/>
      <c r="G184" s="38" t="n"/>
      <c r="H184" s="20" t="n"/>
      <c r="I184" s="39">
        <f>IF(AND(G184&lt;&gt;"",H184&lt;&gt;""),G184*H184,"")</f>
        <v/>
      </c>
      <c r="J184" s="18" t="n"/>
      <c r="K184" s="40">
        <f>IFERROR(VLOOKUP(J184,M2_거래처마스터!A:E,3,FALSE),"")</f>
        <v/>
      </c>
      <c r="L184" s="40">
        <f>IFERROR(VLOOKUP(J184,M2_거래처마스터!A:E,5,FALSE),"")</f>
        <v/>
      </c>
      <c r="M184" s="18" t="n"/>
      <c r="N184" s="18" t="n"/>
    </row>
    <row r="185">
      <c r="A185" s="41" t="n"/>
      <c r="B185" s="35">
        <f>IF(A185="","",YEAR(A185))</f>
        <v/>
      </c>
      <c r="C185" s="36">
        <f>IF(A185="","",MONTH(A185))</f>
        <v/>
      </c>
      <c r="D185" s="37">
        <f>IF(A185="","","Q"&amp;ROUNDUP(MONTH(A185)/3,0))</f>
        <v/>
      </c>
      <c r="E185" s="22" t="n"/>
      <c r="F185" s="22" t="n"/>
      <c r="G185" s="42" t="n"/>
      <c r="H185" s="24" t="n"/>
      <c r="I185" s="39">
        <f>IF(AND(G185&lt;&gt;"",H185&lt;&gt;""),G185*H185,"")</f>
        <v/>
      </c>
      <c r="J185" s="22" t="n"/>
      <c r="K185" s="40">
        <f>IFERROR(VLOOKUP(J185,M2_거래처마스터!A:E,3,FALSE),"")</f>
        <v/>
      </c>
      <c r="L185" s="40">
        <f>IFERROR(VLOOKUP(J185,M2_거래처마스터!A:E,5,FALSE),"")</f>
        <v/>
      </c>
      <c r="M185" s="22" t="n"/>
      <c r="N185" s="22" t="n"/>
    </row>
    <row r="186">
      <c r="A186" s="34" t="n"/>
      <c r="B186" s="35">
        <f>IF(A186="","",YEAR(A186))</f>
        <v/>
      </c>
      <c r="C186" s="36">
        <f>IF(A186="","",MONTH(A186))</f>
        <v/>
      </c>
      <c r="D186" s="37">
        <f>IF(A186="","","Q"&amp;ROUNDUP(MONTH(A186)/3,0))</f>
        <v/>
      </c>
      <c r="E186" s="18" t="n"/>
      <c r="F186" s="18" t="n"/>
      <c r="G186" s="38" t="n"/>
      <c r="H186" s="20" t="n"/>
      <c r="I186" s="39">
        <f>IF(AND(G186&lt;&gt;"",H186&lt;&gt;""),G186*H186,"")</f>
        <v/>
      </c>
      <c r="J186" s="18" t="n"/>
      <c r="K186" s="40">
        <f>IFERROR(VLOOKUP(J186,M2_거래처마스터!A:E,3,FALSE),"")</f>
        <v/>
      </c>
      <c r="L186" s="40">
        <f>IFERROR(VLOOKUP(J186,M2_거래처마스터!A:E,5,FALSE),"")</f>
        <v/>
      </c>
      <c r="M186" s="18" t="n"/>
      <c r="N186" s="18" t="n"/>
    </row>
    <row r="187">
      <c r="A187" s="41" t="n"/>
      <c r="B187" s="35">
        <f>IF(A187="","",YEAR(A187))</f>
        <v/>
      </c>
      <c r="C187" s="36">
        <f>IF(A187="","",MONTH(A187))</f>
        <v/>
      </c>
      <c r="D187" s="37">
        <f>IF(A187="","","Q"&amp;ROUNDUP(MONTH(A187)/3,0))</f>
        <v/>
      </c>
      <c r="E187" s="22" t="n"/>
      <c r="F187" s="22" t="n"/>
      <c r="G187" s="42" t="n"/>
      <c r="H187" s="24" t="n"/>
      <c r="I187" s="39">
        <f>IF(AND(G187&lt;&gt;"",H187&lt;&gt;""),G187*H187,"")</f>
        <v/>
      </c>
      <c r="J187" s="22" t="n"/>
      <c r="K187" s="40">
        <f>IFERROR(VLOOKUP(J187,M2_거래처마스터!A:E,3,FALSE),"")</f>
        <v/>
      </c>
      <c r="L187" s="40">
        <f>IFERROR(VLOOKUP(J187,M2_거래처마스터!A:E,5,FALSE),"")</f>
        <v/>
      </c>
      <c r="M187" s="22" t="n"/>
      <c r="N187" s="22" t="n"/>
    </row>
    <row r="188">
      <c r="A188" s="34" t="n"/>
      <c r="B188" s="35">
        <f>IF(A188="","",YEAR(A188))</f>
        <v/>
      </c>
      <c r="C188" s="36">
        <f>IF(A188="","",MONTH(A188))</f>
        <v/>
      </c>
      <c r="D188" s="37">
        <f>IF(A188="","","Q"&amp;ROUNDUP(MONTH(A188)/3,0))</f>
        <v/>
      </c>
      <c r="E188" s="18" t="n"/>
      <c r="F188" s="18" t="n"/>
      <c r="G188" s="38" t="n"/>
      <c r="H188" s="20" t="n"/>
      <c r="I188" s="39">
        <f>IF(AND(G188&lt;&gt;"",H188&lt;&gt;""),G188*H188,"")</f>
        <v/>
      </c>
      <c r="J188" s="18" t="n"/>
      <c r="K188" s="40">
        <f>IFERROR(VLOOKUP(J188,M2_거래처마스터!A:E,3,FALSE),"")</f>
        <v/>
      </c>
      <c r="L188" s="40">
        <f>IFERROR(VLOOKUP(J188,M2_거래처마스터!A:E,5,FALSE),"")</f>
        <v/>
      </c>
      <c r="M188" s="18" t="n"/>
      <c r="N188" s="18" t="n"/>
    </row>
    <row r="189">
      <c r="A189" s="41" t="n"/>
      <c r="B189" s="35">
        <f>IF(A189="","",YEAR(A189))</f>
        <v/>
      </c>
      <c r="C189" s="36">
        <f>IF(A189="","",MONTH(A189))</f>
        <v/>
      </c>
      <c r="D189" s="37">
        <f>IF(A189="","","Q"&amp;ROUNDUP(MONTH(A189)/3,0))</f>
        <v/>
      </c>
      <c r="E189" s="22" t="n"/>
      <c r="F189" s="22" t="n"/>
      <c r="G189" s="42" t="n"/>
      <c r="H189" s="24" t="n"/>
      <c r="I189" s="39">
        <f>IF(AND(G189&lt;&gt;"",H189&lt;&gt;""),G189*H189,"")</f>
        <v/>
      </c>
      <c r="J189" s="22" t="n"/>
      <c r="K189" s="40">
        <f>IFERROR(VLOOKUP(J189,M2_거래처마스터!A:E,3,FALSE),"")</f>
        <v/>
      </c>
      <c r="L189" s="40">
        <f>IFERROR(VLOOKUP(J189,M2_거래처마스터!A:E,5,FALSE),"")</f>
        <v/>
      </c>
      <c r="M189" s="22" t="n"/>
      <c r="N189" s="22" t="n"/>
    </row>
    <row r="190">
      <c r="A190" s="34" t="n"/>
      <c r="B190" s="35">
        <f>IF(A190="","",YEAR(A190))</f>
        <v/>
      </c>
      <c r="C190" s="36">
        <f>IF(A190="","",MONTH(A190))</f>
        <v/>
      </c>
      <c r="D190" s="37">
        <f>IF(A190="","","Q"&amp;ROUNDUP(MONTH(A190)/3,0))</f>
        <v/>
      </c>
      <c r="E190" s="18" t="n"/>
      <c r="F190" s="18" t="n"/>
      <c r="G190" s="38" t="n"/>
      <c r="H190" s="20" t="n"/>
      <c r="I190" s="39">
        <f>IF(AND(G190&lt;&gt;"",H190&lt;&gt;""),G190*H190,"")</f>
        <v/>
      </c>
      <c r="J190" s="18" t="n"/>
      <c r="K190" s="40">
        <f>IFERROR(VLOOKUP(J190,M2_거래처마스터!A:E,3,FALSE),"")</f>
        <v/>
      </c>
      <c r="L190" s="40">
        <f>IFERROR(VLOOKUP(J190,M2_거래처마스터!A:E,5,FALSE),"")</f>
        <v/>
      </c>
      <c r="M190" s="18" t="n"/>
      <c r="N190" s="18" t="n"/>
    </row>
    <row r="191">
      <c r="A191" s="41" t="n"/>
      <c r="B191" s="35">
        <f>IF(A191="","",YEAR(A191))</f>
        <v/>
      </c>
      <c r="C191" s="36">
        <f>IF(A191="","",MONTH(A191))</f>
        <v/>
      </c>
      <c r="D191" s="37">
        <f>IF(A191="","","Q"&amp;ROUNDUP(MONTH(A191)/3,0))</f>
        <v/>
      </c>
      <c r="E191" s="22" t="n"/>
      <c r="F191" s="22" t="n"/>
      <c r="G191" s="42" t="n"/>
      <c r="H191" s="24" t="n"/>
      <c r="I191" s="39">
        <f>IF(AND(G191&lt;&gt;"",H191&lt;&gt;""),G191*H191,"")</f>
        <v/>
      </c>
      <c r="J191" s="22" t="n"/>
      <c r="K191" s="40">
        <f>IFERROR(VLOOKUP(J191,M2_거래처마스터!A:E,3,FALSE),"")</f>
        <v/>
      </c>
      <c r="L191" s="40">
        <f>IFERROR(VLOOKUP(J191,M2_거래처마스터!A:E,5,FALSE),"")</f>
        <v/>
      </c>
      <c r="M191" s="22" t="n"/>
      <c r="N191" s="22" t="n"/>
    </row>
    <row r="192">
      <c r="A192" s="34" t="n"/>
      <c r="B192" s="35">
        <f>IF(A192="","",YEAR(A192))</f>
        <v/>
      </c>
      <c r="C192" s="36">
        <f>IF(A192="","",MONTH(A192))</f>
        <v/>
      </c>
      <c r="D192" s="37">
        <f>IF(A192="","","Q"&amp;ROUNDUP(MONTH(A192)/3,0))</f>
        <v/>
      </c>
      <c r="E192" s="18" t="n"/>
      <c r="F192" s="18" t="n"/>
      <c r="G192" s="38" t="n"/>
      <c r="H192" s="20" t="n"/>
      <c r="I192" s="39">
        <f>IF(AND(G192&lt;&gt;"",H192&lt;&gt;""),G192*H192,"")</f>
        <v/>
      </c>
      <c r="J192" s="18" t="n"/>
      <c r="K192" s="40">
        <f>IFERROR(VLOOKUP(J192,M2_거래처마스터!A:E,3,FALSE),"")</f>
        <v/>
      </c>
      <c r="L192" s="40">
        <f>IFERROR(VLOOKUP(J192,M2_거래처마스터!A:E,5,FALSE),"")</f>
        <v/>
      </c>
      <c r="M192" s="18" t="n"/>
      <c r="N192" s="18" t="n"/>
    </row>
    <row r="193">
      <c r="A193" s="41" t="n"/>
      <c r="B193" s="35">
        <f>IF(A193="","",YEAR(A193))</f>
        <v/>
      </c>
      <c r="C193" s="36">
        <f>IF(A193="","",MONTH(A193))</f>
        <v/>
      </c>
      <c r="D193" s="37">
        <f>IF(A193="","","Q"&amp;ROUNDUP(MONTH(A193)/3,0))</f>
        <v/>
      </c>
      <c r="E193" s="22" t="n"/>
      <c r="F193" s="22" t="n"/>
      <c r="G193" s="42" t="n"/>
      <c r="H193" s="24" t="n"/>
      <c r="I193" s="39">
        <f>IF(AND(G193&lt;&gt;"",H193&lt;&gt;""),G193*H193,"")</f>
        <v/>
      </c>
      <c r="J193" s="22" t="n"/>
      <c r="K193" s="40">
        <f>IFERROR(VLOOKUP(J193,M2_거래처마스터!A:E,3,FALSE),"")</f>
        <v/>
      </c>
      <c r="L193" s="40">
        <f>IFERROR(VLOOKUP(J193,M2_거래처마스터!A:E,5,FALSE),"")</f>
        <v/>
      </c>
      <c r="M193" s="22" t="n"/>
      <c r="N193" s="22" t="n"/>
    </row>
    <row r="194">
      <c r="A194" s="34" t="n"/>
      <c r="B194" s="35">
        <f>IF(A194="","",YEAR(A194))</f>
        <v/>
      </c>
      <c r="C194" s="36">
        <f>IF(A194="","",MONTH(A194))</f>
        <v/>
      </c>
      <c r="D194" s="37">
        <f>IF(A194="","","Q"&amp;ROUNDUP(MONTH(A194)/3,0))</f>
        <v/>
      </c>
      <c r="E194" s="18" t="n"/>
      <c r="F194" s="18" t="n"/>
      <c r="G194" s="38" t="n"/>
      <c r="H194" s="20" t="n"/>
      <c r="I194" s="39">
        <f>IF(AND(G194&lt;&gt;"",H194&lt;&gt;""),G194*H194,"")</f>
        <v/>
      </c>
      <c r="J194" s="18" t="n"/>
      <c r="K194" s="40">
        <f>IFERROR(VLOOKUP(J194,M2_거래처마스터!A:E,3,FALSE),"")</f>
        <v/>
      </c>
      <c r="L194" s="40">
        <f>IFERROR(VLOOKUP(J194,M2_거래처마스터!A:E,5,FALSE),"")</f>
        <v/>
      </c>
      <c r="M194" s="18" t="n"/>
      <c r="N194" s="18" t="n"/>
    </row>
    <row r="195">
      <c r="A195" s="41" t="n"/>
      <c r="B195" s="35">
        <f>IF(A195="","",YEAR(A195))</f>
        <v/>
      </c>
      <c r="C195" s="36">
        <f>IF(A195="","",MONTH(A195))</f>
        <v/>
      </c>
      <c r="D195" s="37">
        <f>IF(A195="","","Q"&amp;ROUNDUP(MONTH(A195)/3,0))</f>
        <v/>
      </c>
      <c r="E195" s="22" t="n"/>
      <c r="F195" s="22" t="n"/>
      <c r="G195" s="42" t="n"/>
      <c r="H195" s="24" t="n"/>
      <c r="I195" s="39">
        <f>IF(AND(G195&lt;&gt;"",H195&lt;&gt;""),G195*H195,"")</f>
        <v/>
      </c>
      <c r="J195" s="22" t="n"/>
      <c r="K195" s="40">
        <f>IFERROR(VLOOKUP(J195,M2_거래처마스터!A:E,3,FALSE),"")</f>
        <v/>
      </c>
      <c r="L195" s="40">
        <f>IFERROR(VLOOKUP(J195,M2_거래처마스터!A:E,5,FALSE),"")</f>
        <v/>
      </c>
      <c r="M195" s="22" t="n"/>
      <c r="N195" s="22" t="n"/>
    </row>
    <row r="196">
      <c r="A196" s="34" t="n"/>
      <c r="B196" s="35">
        <f>IF(A196="","",YEAR(A196))</f>
        <v/>
      </c>
      <c r="C196" s="36">
        <f>IF(A196="","",MONTH(A196))</f>
        <v/>
      </c>
      <c r="D196" s="37">
        <f>IF(A196="","","Q"&amp;ROUNDUP(MONTH(A196)/3,0))</f>
        <v/>
      </c>
      <c r="E196" s="18" t="n"/>
      <c r="F196" s="18" t="n"/>
      <c r="G196" s="38" t="n"/>
      <c r="H196" s="20" t="n"/>
      <c r="I196" s="39">
        <f>IF(AND(G196&lt;&gt;"",H196&lt;&gt;""),G196*H196,"")</f>
        <v/>
      </c>
      <c r="J196" s="18" t="n"/>
      <c r="K196" s="40">
        <f>IFERROR(VLOOKUP(J196,M2_거래처마스터!A:E,3,FALSE),"")</f>
        <v/>
      </c>
      <c r="L196" s="40">
        <f>IFERROR(VLOOKUP(J196,M2_거래처마스터!A:E,5,FALSE),"")</f>
        <v/>
      </c>
      <c r="M196" s="18" t="n"/>
      <c r="N196" s="18" t="n"/>
    </row>
    <row r="197">
      <c r="A197" s="41" t="n"/>
      <c r="B197" s="35">
        <f>IF(A197="","",YEAR(A197))</f>
        <v/>
      </c>
      <c r="C197" s="36">
        <f>IF(A197="","",MONTH(A197))</f>
        <v/>
      </c>
      <c r="D197" s="37">
        <f>IF(A197="","","Q"&amp;ROUNDUP(MONTH(A197)/3,0))</f>
        <v/>
      </c>
      <c r="E197" s="22" t="n"/>
      <c r="F197" s="22" t="n"/>
      <c r="G197" s="42" t="n"/>
      <c r="H197" s="24" t="n"/>
      <c r="I197" s="39">
        <f>IF(AND(G197&lt;&gt;"",H197&lt;&gt;""),G197*H197,"")</f>
        <v/>
      </c>
      <c r="J197" s="22" t="n"/>
      <c r="K197" s="40">
        <f>IFERROR(VLOOKUP(J197,M2_거래처마스터!A:E,3,FALSE),"")</f>
        <v/>
      </c>
      <c r="L197" s="40">
        <f>IFERROR(VLOOKUP(J197,M2_거래처마스터!A:E,5,FALSE),"")</f>
        <v/>
      </c>
      <c r="M197" s="22" t="n"/>
      <c r="N197" s="22" t="n"/>
    </row>
    <row r="198">
      <c r="A198" s="34" t="n"/>
      <c r="B198" s="35">
        <f>IF(A198="","",YEAR(A198))</f>
        <v/>
      </c>
      <c r="C198" s="36">
        <f>IF(A198="","",MONTH(A198))</f>
        <v/>
      </c>
      <c r="D198" s="37">
        <f>IF(A198="","","Q"&amp;ROUNDUP(MONTH(A198)/3,0))</f>
        <v/>
      </c>
      <c r="E198" s="18" t="n"/>
      <c r="F198" s="18" t="n"/>
      <c r="G198" s="38" t="n"/>
      <c r="H198" s="20" t="n"/>
      <c r="I198" s="39">
        <f>IF(AND(G198&lt;&gt;"",H198&lt;&gt;""),G198*H198,"")</f>
        <v/>
      </c>
      <c r="J198" s="18" t="n"/>
      <c r="K198" s="40">
        <f>IFERROR(VLOOKUP(J198,M2_거래처마스터!A:E,3,FALSE),"")</f>
        <v/>
      </c>
      <c r="L198" s="40">
        <f>IFERROR(VLOOKUP(J198,M2_거래처마스터!A:E,5,FALSE),"")</f>
        <v/>
      </c>
      <c r="M198" s="18" t="n"/>
      <c r="N198" s="18" t="n"/>
    </row>
    <row r="199">
      <c r="A199" s="41" t="n"/>
      <c r="B199" s="35">
        <f>IF(A199="","",YEAR(A199))</f>
        <v/>
      </c>
      <c r="C199" s="36">
        <f>IF(A199="","",MONTH(A199))</f>
        <v/>
      </c>
      <c r="D199" s="37">
        <f>IF(A199="","","Q"&amp;ROUNDUP(MONTH(A199)/3,0))</f>
        <v/>
      </c>
      <c r="E199" s="22" t="n"/>
      <c r="F199" s="22" t="n"/>
      <c r="G199" s="42" t="n"/>
      <c r="H199" s="24" t="n"/>
      <c r="I199" s="39">
        <f>IF(AND(G199&lt;&gt;"",H199&lt;&gt;""),G199*H199,"")</f>
        <v/>
      </c>
      <c r="J199" s="22" t="n"/>
      <c r="K199" s="40">
        <f>IFERROR(VLOOKUP(J199,M2_거래처마스터!A:E,3,FALSE),"")</f>
        <v/>
      </c>
      <c r="L199" s="40">
        <f>IFERROR(VLOOKUP(J199,M2_거래처마스터!A:E,5,FALSE),"")</f>
        <v/>
      </c>
      <c r="M199" s="22" t="n"/>
      <c r="N199" s="22" t="n"/>
    </row>
    <row r="200">
      <c r="A200" s="34" t="n"/>
      <c r="B200" s="35">
        <f>IF(A200="","",YEAR(A200))</f>
        <v/>
      </c>
      <c r="C200" s="36">
        <f>IF(A200="","",MONTH(A200))</f>
        <v/>
      </c>
      <c r="D200" s="37">
        <f>IF(A200="","","Q"&amp;ROUNDUP(MONTH(A200)/3,0))</f>
        <v/>
      </c>
      <c r="E200" s="18" t="n"/>
      <c r="F200" s="18" t="n"/>
      <c r="G200" s="38" t="n"/>
      <c r="H200" s="20" t="n"/>
      <c r="I200" s="39">
        <f>IF(AND(G200&lt;&gt;"",H200&lt;&gt;""),G200*H200,"")</f>
        <v/>
      </c>
      <c r="J200" s="18" t="n"/>
      <c r="K200" s="40">
        <f>IFERROR(VLOOKUP(J200,M2_거래처마스터!A:E,3,FALSE),"")</f>
        <v/>
      </c>
      <c r="L200" s="40">
        <f>IFERROR(VLOOKUP(J200,M2_거래처마스터!A:E,5,FALSE),"")</f>
        <v/>
      </c>
      <c r="M200" s="18" t="n"/>
      <c r="N200" s="18" t="n"/>
    </row>
    <row r="201">
      <c r="A201" s="41" t="n"/>
      <c r="B201" s="35">
        <f>IF(A201="","",YEAR(A201))</f>
        <v/>
      </c>
      <c r="C201" s="36">
        <f>IF(A201="","",MONTH(A201))</f>
        <v/>
      </c>
      <c r="D201" s="37">
        <f>IF(A201="","","Q"&amp;ROUNDUP(MONTH(A201)/3,0))</f>
        <v/>
      </c>
      <c r="E201" s="22" t="n"/>
      <c r="F201" s="22" t="n"/>
      <c r="G201" s="42" t="n"/>
      <c r="H201" s="24" t="n"/>
      <c r="I201" s="39">
        <f>IF(AND(G201&lt;&gt;"",H201&lt;&gt;""),G201*H201,"")</f>
        <v/>
      </c>
      <c r="J201" s="22" t="n"/>
      <c r="K201" s="40">
        <f>IFERROR(VLOOKUP(J201,M2_거래처마스터!A:E,3,FALSE),"")</f>
        <v/>
      </c>
      <c r="L201" s="40">
        <f>IFERROR(VLOOKUP(J201,M2_거래처마스터!A:E,5,FALSE),"")</f>
        <v/>
      </c>
      <c r="M201" s="22" t="n"/>
      <c r="N201" s="22" t="n"/>
    </row>
    <row r="202">
      <c r="A202" s="34" t="n"/>
      <c r="B202" s="35">
        <f>IF(A202="","",YEAR(A202))</f>
        <v/>
      </c>
      <c r="C202" s="36">
        <f>IF(A202="","",MONTH(A202))</f>
        <v/>
      </c>
      <c r="D202" s="37">
        <f>IF(A202="","","Q"&amp;ROUNDUP(MONTH(A202)/3,0))</f>
        <v/>
      </c>
      <c r="E202" s="18" t="n"/>
      <c r="F202" s="18" t="n"/>
      <c r="G202" s="38" t="n"/>
      <c r="H202" s="20" t="n"/>
      <c r="I202" s="39">
        <f>IF(AND(G202&lt;&gt;"",H202&lt;&gt;""),G202*H202,"")</f>
        <v/>
      </c>
      <c r="J202" s="18" t="n"/>
      <c r="K202" s="40">
        <f>IFERROR(VLOOKUP(J202,M2_거래처마스터!A:E,3,FALSE),"")</f>
        <v/>
      </c>
      <c r="L202" s="40">
        <f>IFERROR(VLOOKUP(J202,M2_거래처마스터!A:E,5,FALSE),"")</f>
        <v/>
      </c>
      <c r="M202" s="18" t="n"/>
      <c r="N202" s="18" t="n"/>
    </row>
    <row r="203">
      <c r="A203" s="41" t="n"/>
      <c r="B203" s="35">
        <f>IF(A203="","",YEAR(A203))</f>
        <v/>
      </c>
      <c r="C203" s="36">
        <f>IF(A203="","",MONTH(A203))</f>
        <v/>
      </c>
      <c r="D203" s="37">
        <f>IF(A203="","","Q"&amp;ROUNDUP(MONTH(A203)/3,0))</f>
        <v/>
      </c>
      <c r="E203" s="22" t="n"/>
      <c r="F203" s="22" t="n"/>
      <c r="G203" s="42" t="n"/>
      <c r="H203" s="24" t="n"/>
      <c r="I203" s="39">
        <f>IF(AND(G203&lt;&gt;"",H203&lt;&gt;""),G203*H203,"")</f>
        <v/>
      </c>
      <c r="J203" s="22" t="n"/>
      <c r="K203" s="40">
        <f>IFERROR(VLOOKUP(J203,M2_거래처마스터!A:E,3,FALSE),"")</f>
        <v/>
      </c>
      <c r="L203" s="40">
        <f>IFERROR(VLOOKUP(J203,M2_거래처마스터!A:E,5,FALSE),"")</f>
        <v/>
      </c>
      <c r="M203" s="22" t="n"/>
      <c r="N203" s="22" t="n"/>
    </row>
    <row r="204">
      <c r="A204" s="34" t="n"/>
      <c r="B204" s="35">
        <f>IF(A204="","",YEAR(A204))</f>
        <v/>
      </c>
      <c r="C204" s="36">
        <f>IF(A204="","",MONTH(A204))</f>
        <v/>
      </c>
      <c r="D204" s="37">
        <f>IF(A204="","","Q"&amp;ROUNDUP(MONTH(A204)/3,0))</f>
        <v/>
      </c>
      <c r="E204" s="18" t="n"/>
      <c r="F204" s="18" t="n"/>
      <c r="G204" s="38" t="n"/>
      <c r="H204" s="20" t="n"/>
      <c r="I204" s="39">
        <f>IF(AND(G204&lt;&gt;"",H204&lt;&gt;""),G204*H204,"")</f>
        <v/>
      </c>
      <c r="J204" s="18" t="n"/>
      <c r="K204" s="40">
        <f>IFERROR(VLOOKUP(J204,M2_거래처마스터!A:E,3,FALSE),"")</f>
        <v/>
      </c>
      <c r="L204" s="40">
        <f>IFERROR(VLOOKUP(J204,M2_거래처마스터!A:E,5,FALSE),"")</f>
        <v/>
      </c>
      <c r="M204" s="18" t="n"/>
      <c r="N204" s="18" t="n"/>
    </row>
    <row r="205">
      <c r="A205" s="41" t="n"/>
      <c r="B205" s="35">
        <f>IF(A205="","",YEAR(A205))</f>
        <v/>
      </c>
      <c r="C205" s="36">
        <f>IF(A205="","",MONTH(A205))</f>
        <v/>
      </c>
      <c r="D205" s="37">
        <f>IF(A205="","","Q"&amp;ROUNDUP(MONTH(A205)/3,0))</f>
        <v/>
      </c>
      <c r="E205" s="22" t="n"/>
      <c r="F205" s="22" t="n"/>
      <c r="G205" s="42" t="n"/>
      <c r="H205" s="24" t="n"/>
      <c r="I205" s="39">
        <f>IF(AND(G205&lt;&gt;"",H205&lt;&gt;""),G205*H205,"")</f>
        <v/>
      </c>
      <c r="J205" s="22" t="n"/>
      <c r="K205" s="40">
        <f>IFERROR(VLOOKUP(J205,M2_거래처마스터!A:E,3,FALSE),"")</f>
        <v/>
      </c>
      <c r="L205" s="40">
        <f>IFERROR(VLOOKUP(J205,M2_거래처마스터!A:E,5,FALSE),"")</f>
        <v/>
      </c>
      <c r="M205" s="22" t="n"/>
      <c r="N205" s="22" t="n"/>
    </row>
    <row r="206">
      <c r="A206" s="34" t="n"/>
      <c r="B206" s="35">
        <f>IF(A206="","",YEAR(A206))</f>
        <v/>
      </c>
      <c r="C206" s="36">
        <f>IF(A206="","",MONTH(A206))</f>
        <v/>
      </c>
      <c r="D206" s="37">
        <f>IF(A206="","","Q"&amp;ROUNDUP(MONTH(A206)/3,0))</f>
        <v/>
      </c>
      <c r="E206" s="18" t="n"/>
      <c r="F206" s="18" t="n"/>
      <c r="G206" s="38" t="n"/>
      <c r="H206" s="20" t="n"/>
      <c r="I206" s="39">
        <f>IF(AND(G206&lt;&gt;"",H206&lt;&gt;""),G206*H206,"")</f>
        <v/>
      </c>
      <c r="J206" s="18" t="n"/>
      <c r="K206" s="40">
        <f>IFERROR(VLOOKUP(J206,M2_거래처마스터!A:E,3,FALSE),"")</f>
        <v/>
      </c>
      <c r="L206" s="40">
        <f>IFERROR(VLOOKUP(J206,M2_거래처마스터!A:E,5,FALSE),"")</f>
        <v/>
      </c>
      <c r="M206" s="18" t="n"/>
      <c r="N206" s="18" t="n"/>
    </row>
    <row r="207">
      <c r="A207" s="41" t="n"/>
      <c r="B207" s="35">
        <f>IF(A207="","",YEAR(A207))</f>
        <v/>
      </c>
      <c r="C207" s="36">
        <f>IF(A207="","",MONTH(A207))</f>
        <v/>
      </c>
      <c r="D207" s="37">
        <f>IF(A207="","","Q"&amp;ROUNDUP(MONTH(A207)/3,0))</f>
        <v/>
      </c>
      <c r="E207" s="22" t="n"/>
      <c r="F207" s="22" t="n"/>
      <c r="G207" s="42" t="n"/>
      <c r="H207" s="24" t="n"/>
      <c r="I207" s="39">
        <f>IF(AND(G207&lt;&gt;"",H207&lt;&gt;""),G207*H207,"")</f>
        <v/>
      </c>
      <c r="J207" s="22" t="n"/>
      <c r="K207" s="40">
        <f>IFERROR(VLOOKUP(J207,M2_거래처마스터!A:E,3,FALSE),"")</f>
        <v/>
      </c>
      <c r="L207" s="40">
        <f>IFERROR(VLOOKUP(J207,M2_거래처마스터!A:E,5,FALSE),"")</f>
        <v/>
      </c>
      <c r="M207" s="22" t="n"/>
      <c r="N207" s="22" t="n"/>
    </row>
    <row r="208">
      <c r="A208" s="34" t="n"/>
      <c r="B208" s="35">
        <f>IF(A208="","",YEAR(A208))</f>
        <v/>
      </c>
      <c r="C208" s="36">
        <f>IF(A208="","",MONTH(A208))</f>
        <v/>
      </c>
      <c r="D208" s="37">
        <f>IF(A208="","","Q"&amp;ROUNDUP(MONTH(A208)/3,0))</f>
        <v/>
      </c>
      <c r="E208" s="18" t="n"/>
      <c r="F208" s="18" t="n"/>
      <c r="G208" s="38" t="n"/>
      <c r="H208" s="20" t="n"/>
      <c r="I208" s="39">
        <f>IF(AND(G208&lt;&gt;"",H208&lt;&gt;""),G208*H208,"")</f>
        <v/>
      </c>
      <c r="J208" s="18" t="n"/>
      <c r="K208" s="40">
        <f>IFERROR(VLOOKUP(J208,M2_거래처마스터!A:E,3,FALSE),"")</f>
        <v/>
      </c>
      <c r="L208" s="40">
        <f>IFERROR(VLOOKUP(J208,M2_거래처마스터!A:E,5,FALSE),"")</f>
        <v/>
      </c>
      <c r="M208" s="18" t="n"/>
      <c r="N208" s="18" t="n"/>
    </row>
    <row r="209">
      <c r="A209" s="41" t="n"/>
      <c r="B209" s="35">
        <f>IF(A209="","",YEAR(A209))</f>
        <v/>
      </c>
      <c r="C209" s="36">
        <f>IF(A209="","",MONTH(A209))</f>
        <v/>
      </c>
      <c r="D209" s="37">
        <f>IF(A209="","","Q"&amp;ROUNDUP(MONTH(A209)/3,0))</f>
        <v/>
      </c>
      <c r="E209" s="22" t="n"/>
      <c r="F209" s="22" t="n"/>
      <c r="G209" s="42" t="n"/>
      <c r="H209" s="24" t="n"/>
      <c r="I209" s="39">
        <f>IF(AND(G209&lt;&gt;"",H209&lt;&gt;""),G209*H209,"")</f>
        <v/>
      </c>
      <c r="J209" s="22" t="n"/>
      <c r="K209" s="40">
        <f>IFERROR(VLOOKUP(J209,M2_거래처마스터!A:E,3,FALSE),"")</f>
        <v/>
      </c>
      <c r="L209" s="40">
        <f>IFERROR(VLOOKUP(J209,M2_거래처마스터!A:E,5,FALSE),"")</f>
        <v/>
      </c>
      <c r="M209" s="22" t="n"/>
      <c r="N209" s="22" t="n"/>
    </row>
    <row r="210">
      <c r="A210" s="34" t="n"/>
      <c r="B210" s="35">
        <f>IF(A210="","",YEAR(A210))</f>
        <v/>
      </c>
      <c r="C210" s="36">
        <f>IF(A210="","",MONTH(A210))</f>
        <v/>
      </c>
      <c r="D210" s="37">
        <f>IF(A210="","","Q"&amp;ROUNDUP(MONTH(A210)/3,0))</f>
        <v/>
      </c>
      <c r="E210" s="18" t="n"/>
      <c r="F210" s="18" t="n"/>
      <c r="G210" s="38" t="n"/>
      <c r="H210" s="20" t="n"/>
      <c r="I210" s="39">
        <f>IF(AND(G210&lt;&gt;"",H210&lt;&gt;""),G210*H210,"")</f>
        <v/>
      </c>
      <c r="J210" s="18" t="n"/>
      <c r="K210" s="40">
        <f>IFERROR(VLOOKUP(J210,M2_거래처마스터!A:E,3,FALSE),"")</f>
        <v/>
      </c>
      <c r="L210" s="40">
        <f>IFERROR(VLOOKUP(J210,M2_거래처마스터!A:E,5,FALSE),"")</f>
        <v/>
      </c>
      <c r="M210" s="18" t="n"/>
      <c r="N210" s="18" t="n"/>
    </row>
    <row r="211">
      <c r="A211" s="41" t="n"/>
      <c r="B211" s="35">
        <f>IF(A211="","",YEAR(A211))</f>
        <v/>
      </c>
      <c r="C211" s="36">
        <f>IF(A211="","",MONTH(A211))</f>
        <v/>
      </c>
      <c r="D211" s="37">
        <f>IF(A211="","","Q"&amp;ROUNDUP(MONTH(A211)/3,0))</f>
        <v/>
      </c>
      <c r="E211" s="22" t="n"/>
      <c r="F211" s="22" t="n"/>
      <c r="G211" s="42" t="n"/>
      <c r="H211" s="24" t="n"/>
      <c r="I211" s="39">
        <f>IF(AND(G211&lt;&gt;"",H211&lt;&gt;""),G211*H211,"")</f>
        <v/>
      </c>
      <c r="J211" s="22" t="n"/>
      <c r="K211" s="40">
        <f>IFERROR(VLOOKUP(J211,M2_거래처마스터!A:E,3,FALSE),"")</f>
        <v/>
      </c>
      <c r="L211" s="40">
        <f>IFERROR(VLOOKUP(J211,M2_거래처마스터!A:E,5,FALSE),"")</f>
        <v/>
      </c>
      <c r="M211" s="22" t="n"/>
      <c r="N211" s="22" t="n"/>
    </row>
    <row r="212">
      <c r="A212" s="34" t="n"/>
      <c r="B212" s="35">
        <f>IF(A212="","",YEAR(A212))</f>
        <v/>
      </c>
      <c r="C212" s="36">
        <f>IF(A212="","",MONTH(A212))</f>
        <v/>
      </c>
      <c r="D212" s="37">
        <f>IF(A212="","","Q"&amp;ROUNDUP(MONTH(A212)/3,0))</f>
        <v/>
      </c>
      <c r="E212" s="18" t="n"/>
      <c r="F212" s="18" t="n"/>
      <c r="G212" s="38" t="n"/>
      <c r="H212" s="20" t="n"/>
      <c r="I212" s="39">
        <f>IF(AND(G212&lt;&gt;"",H212&lt;&gt;""),G212*H212,"")</f>
        <v/>
      </c>
      <c r="J212" s="18" t="n"/>
      <c r="K212" s="40">
        <f>IFERROR(VLOOKUP(J212,M2_거래처마스터!A:E,3,FALSE),"")</f>
        <v/>
      </c>
      <c r="L212" s="40">
        <f>IFERROR(VLOOKUP(J212,M2_거래처마스터!A:E,5,FALSE),"")</f>
        <v/>
      </c>
      <c r="M212" s="18" t="n"/>
      <c r="N212" s="18" t="n"/>
    </row>
    <row r="213">
      <c r="A213" s="41" t="n"/>
      <c r="B213" s="35">
        <f>IF(A213="","",YEAR(A213))</f>
        <v/>
      </c>
      <c r="C213" s="36">
        <f>IF(A213="","",MONTH(A213))</f>
        <v/>
      </c>
      <c r="D213" s="37">
        <f>IF(A213="","","Q"&amp;ROUNDUP(MONTH(A213)/3,0))</f>
        <v/>
      </c>
      <c r="E213" s="22" t="n"/>
      <c r="F213" s="22" t="n"/>
      <c r="G213" s="42" t="n"/>
      <c r="H213" s="24" t="n"/>
      <c r="I213" s="39">
        <f>IF(AND(G213&lt;&gt;"",H213&lt;&gt;""),G213*H213,"")</f>
        <v/>
      </c>
      <c r="J213" s="22" t="n"/>
      <c r="K213" s="40">
        <f>IFERROR(VLOOKUP(J213,M2_거래처마스터!A:E,3,FALSE),"")</f>
        <v/>
      </c>
      <c r="L213" s="40">
        <f>IFERROR(VLOOKUP(J213,M2_거래처마스터!A:E,5,FALSE),"")</f>
        <v/>
      </c>
      <c r="M213" s="22" t="n"/>
      <c r="N213" s="22" t="n"/>
    </row>
    <row r="214">
      <c r="A214" s="34" t="n"/>
      <c r="B214" s="35">
        <f>IF(A214="","",YEAR(A214))</f>
        <v/>
      </c>
      <c r="C214" s="36">
        <f>IF(A214="","",MONTH(A214))</f>
        <v/>
      </c>
      <c r="D214" s="37">
        <f>IF(A214="","","Q"&amp;ROUNDUP(MONTH(A214)/3,0))</f>
        <v/>
      </c>
      <c r="E214" s="18" t="n"/>
      <c r="F214" s="18" t="n"/>
      <c r="G214" s="38" t="n"/>
      <c r="H214" s="20" t="n"/>
      <c r="I214" s="39">
        <f>IF(AND(G214&lt;&gt;"",H214&lt;&gt;""),G214*H214,"")</f>
        <v/>
      </c>
      <c r="J214" s="18" t="n"/>
      <c r="K214" s="40">
        <f>IFERROR(VLOOKUP(J214,M2_거래처마스터!A:E,3,FALSE),"")</f>
        <v/>
      </c>
      <c r="L214" s="40">
        <f>IFERROR(VLOOKUP(J214,M2_거래처마스터!A:E,5,FALSE),"")</f>
        <v/>
      </c>
      <c r="M214" s="18" t="n"/>
      <c r="N214" s="18" t="n"/>
    </row>
    <row r="215">
      <c r="A215" s="41" t="n"/>
      <c r="B215" s="35">
        <f>IF(A215="","",YEAR(A215))</f>
        <v/>
      </c>
      <c r="C215" s="36">
        <f>IF(A215="","",MONTH(A215))</f>
        <v/>
      </c>
      <c r="D215" s="37">
        <f>IF(A215="","","Q"&amp;ROUNDUP(MONTH(A215)/3,0))</f>
        <v/>
      </c>
      <c r="E215" s="22" t="n"/>
      <c r="F215" s="22" t="n"/>
      <c r="G215" s="42" t="n"/>
      <c r="H215" s="24" t="n"/>
      <c r="I215" s="39">
        <f>IF(AND(G215&lt;&gt;"",H215&lt;&gt;""),G215*H215,"")</f>
        <v/>
      </c>
      <c r="J215" s="22" t="n"/>
      <c r="K215" s="40">
        <f>IFERROR(VLOOKUP(J215,M2_거래처마스터!A:E,3,FALSE),"")</f>
        <v/>
      </c>
      <c r="L215" s="40">
        <f>IFERROR(VLOOKUP(J215,M2_거래처마스터!A:E,5,FALSE),"")</f>
        <v/>
      </c>
      <c r="M215" s="22" t="n"/>
      <c r="N215" s="22" t="n"/>
    </row>
    <row r="216">
      <c r="A216" s="34" t="n"/>
      <c r="B216" s="35">
        <f>IF(A216="","",YEAR(A216))</f>
        <v/>
      </c>
      <c r="C216" s="36">
        <f>IF(A216="","",MONTH(A216))</f>
        <v/>
      </c>
      <c r="D216" s="37">
        <f>IF(A216="","","Q"&amp;ROUNDUP(MONTH(A216)/3,0))</f>
        <v/>
      </c>
      <c r="E216" s="18" t="n"/>
      <c r="F216" s="18" t="n"/>
      <c r="G216" s="38" t="n"/>
      <c r="H216" s="20" t="n"/>
      <c r="I216" s="39">
        <f>IF(AND(G216&lt;&gt;"",H216&lt;&gt;""),G216*H216,"")</f>
        <v/>
      </c>
      <c r="J216" s="18" t="n"/>
      <c r="K216" s="40">
        <f>IFERROR(VLOOKUP(J216,M2_거래처마스터!A:E,3,FALSE),"")</f>
        <v/>
      </c>
      <c r="L216" s="40">
        <f>IFERROR(VLOOKUP(J216,M2_거래처마스터!A:E,5,FALSE),"")</f>
        <v/>
      </c>
      <c r="M216" s="18" t="n"/>
      <c r="N216" s="18" t="n"/>
    </row>
    <row r="217">
      <c r="A217" s="41" t="n"/>
      <c r="B217" s="35">
        <f>IF(A217="","",YEAR(A217))</f>
        <v/>
      </c>
      <c r="C217" s="36">
        <f>IF(A217="","",MONTH(A217))</f>
        <v/>
      </c>
      <c r="D217" s="37">
        <f>IF(A217="","","Q"&amp;ROUNDUP(MONTH(A217)/3,0))</f>
        <v/>
      </c>
      <c r="E217" s="22" t="n"/>
      <c r="F217" s="22" t="n"/>
      <c r="G217" s="42" t="n"/>
      <c r="H217" s="24" t="n"/>
      <c r="I217" s="39">
        <f>IF(AND(G217&lt;&gt;"",H217&lt;&gt;""),G217*H217,"")</f>
        <v/>
      </c>
      <c r="J217" s="22" t="n"/>
      <c r="K217" s="40">
        <f>IFERROR(VLOOKUP(J217,M2_거래처마스터!A:E,3,FALSE),"")</f>
        <v/>
      </c>
      <c r="L217" s="40">
        <f>IFERROR(VLOOKUP(J217,M2_거래처마스터!A:E,5,FALSE),"")</f>
        <v/>
      </c>
      <c r="M217" s="22" t="n"/>
      <c r="N217" s="22" t="n"/>
    </row>
    <row r="218">
      <c r="A218" s="34" t="n"/>
      <c r="B218" s="35">
        <f>IF(A218="","",YEAR(A218))</f>
        <v/>
      </c>
      <c r="C218" s="36">
        <f>IF(A218="","",MONTH(A218))</f>
        <v/>
      </c>
      <c r="D218" s="37">
        <f>IF(A218="","","Q"&amp;ROUNDUP(MONTH(A218)/3,0))</f>
        <v/>
      </c>
      <c r="E218" s="18" t="n"/>
      <c r="F218" s="18" t="n"/>
      <c r="G218" s="38" t="n"/>
      <c r="H218" s="20" t="n"/>
      <c r="I218" s="39">
        <f>IF(AND(G218&lt;&gt;"",H218&lt;&gt;""),G218*H218,"")</f>
        <v/>
      </c>
      <c r="J218" s="18" t="n"/>
      <c r="K218" s="40">
        <f>IFERROR(VLOOKUP(J218,M2_거래처마스터!A:E,3,FALSE),"")</f>
        <v/>
      </c>
      <c r="L218" s="40">
        <f>IFERROR(VLOOKUP(J218,M2_거래처마스터!A:E,5,FALSE),"")</f>
        <v/>
      </c>
      <c r="M218" s="18" t="n"/>
      <c r="N218" s="18" t="n"/>
    </row>
    <row r="219">
      <c r="A219" s="41" t="n"/>
      <c r="B219" s="35">
        <f>IF(A219="","",YEAR(A219))</f>
        <v/>
      </c>
      <c r="C219" s="36">
        <f>IF(A219="","",MONTH(A219))</f>
        <v/>
      </c>
      <c r="D219" s="37">
        <f>IF(A219="","","Q"&amp;ROUNDUP(MONTH(A219)/3,0))</f>
        <v/>
      </c>
      <c r="E219" s="22" t="n"/>
      <c r="F219" s="22" t="n"/>
      <c r="G219" s="42" t="n"/>
      <c r="H219" s="24" t="n"/>
      <c r="I219" s="39">
        <f>IF(AND(G219&lt;&gt;"",H219&lt;&gt;""),G219*H219,"")</f>
        <v/>
      </c>
      <c r="J219" s="22" t="n"/>
      <c r="K219" s="40">
        <f>IFERROR(VLOOKUP(J219,M2_거래처마스터!A:E,3,FALSE),"")</f>
        <v/>
      </c>
      <c r="L219" s="40">
        <f>IFERROR(VLOOKUP(J219,M2_거래처마스터!A:E,5,FALSE),"")</f>
        <v/>
      </c>
      <c r="M219" s="22" t="n"/>
      <c r="N219" s="22" t="n"/>
    </row>
    <row r="220">
      <c r="A220" s="34" t="n"/>
      <c r="B220" s="35">
        <f>IF(A220="","",YEAR(A220))</f>
        <v/>
      </c>
      <c r="C220" s="36">
        <f>IF(A220="","",MONTH(A220))</f>
        <v/>
      </c>
      <c r="D220" s="37">
        <f>IF(A220="","","Q"&amp;ROUNDUP(MONTH(A220)/3,0))</f>
        <v/>
      </c>
      <c r="E220" s="18" t="n"/>
      <c r="F220" s="18" t="n"/>
      <c r="G220" s="38" t="n"/>
      <c r="H220" s="20" t="n"/>
      <c r="I220" s="39">
        <f>IF(AND(G220&lt;&gt;"",H220&lt;&gt;""),G220*H220,"")</f>
        <v/>
      </c>
      <c r="J220" s="18" t="n"/>
      <c r="K220" s="40">
        <f>IFERROR(VLOOKUP(J220,M2_거래처마스터!A:E,3,FALSE),"")</f>
        <v/>
      </c>
      <c r="L220" s="40">
        <f>IFERROR(VLOOKUP(J220,M2_거래처마스터!A:E,5,FALSE),"")</f>
        <v/>
      </c>
      <c r="M220" s="18" t="n"/>
      <c r="N220" s="18" t="n"/>
    </row>
    <row r="221">
      <c r="A221" s="41" t="n"/>
      <c r="B221" s="35">
        <f>IF(A221="","",YEAR(A221))</f>
        <v/>
      </c>
      <c r="C221" s="36">
        <f>IF(A221="","",MONTH(A221))</f>
        <v/>
      </c>
      <c r="D221" s="37">
        <f>IF(A221="","","Q"&amp;ROUNDUP(MONTH(A221)/3,0))</f>
        <v/>
      </c>
      <c r="E221" s="22" t="n"/>
      <c r="F221" s="22" t="n"/>
      <c r="G221" s="42" t="n"/>
      <c r="H221" s="24" t="n"/>
      <c r="I221" s="39">
        <f>IF(AND(G221&lt;&gt;"",H221&lt;&gt;""),G221*H221,"")</f>
        <v/>
      </c>
      <c r="J221" s="22" t="n"/>
      <c r="K221" s="40">
        <f>IFERROR(VLOOKUP(J221,M2_거래처마스터!A:E,3,FALSE),"")</f>
        <v/>
      </c>
      <c r="L221" s="40">
        <f>IFERROR(VLOOKUP(J221,M2_거래처마스터!A:E,5,FALSE),"")</f>
        <v/>
      </c>
      <c r="M221" s="22" t="n"/>
      <c r="N221" s="22" t="n"/>
    </row>
    <row r="222">
      <c r="A222" s="34" t="n"/>
      <c r="B222" s="35">
        <f>IF(A222="","",YEAR(A222))</f>
        <v/>
      </c>
      <c r="C222" s="36">
        <f>IF(A222="","",MONTH(A222))</f>
        <v/>
      </c>
      <c r="D222" s="37">
        <f>IF(A222="","","Q"&amp;ROUNDUP(MONTH(A222)/3,0))</f>
        <v/>
      </c>
      <c r="E222" s="18" t="n"/>
      <c r="F222" s="18" t="n"/>
      <c r="G222" s="38" t="n"/>
      <c r="H222" s="20" t="n"/>
      <c r="I222" s="39">
        <f>IF(AND(G222&lt;&gt;"",H222&lt;&gt;""),G222*H222,"")</f>
        <v/>
      </c>
      <c r="J222" s="18" t="n"/>
      <c r="K222" s="40">
        <f>IFERROR(VLOOKUP(J222,M2_거래처마스터!A:E,3,FALSE),"")</f>
        <v/>
      </c>
      <c r="L222" s="40">
        <f>IFERROR(VLOOKUP(J222,M2_거래처마스터!A:E,5,FALSE),"")</f>
        <v/>
      </c>
      <c r="M222" s="18" t="n"/>
      <c r="N222" s="18" t="n"/>
    </row>
    <row r="223">
      <c r="A223" s="41" t="n"/>
      <c r="B223" s="35">
        <f>IF(A223="","",YEAR(A223))</f>
        <v/>
      </c>
      <c r="C223" s="36">
        <f>IF(A223="","",MONTH(A223))</f>
        <v/>
      </c>
      <c r="D223" s="37">
        <f>IF(A223="","","Q"&amp;ROUNDUP(MONTH(A223)/3,0))</f>
        <v/>
      </c>
      <c r="E223" s="22" t="n"/>
      <c r="F223" s="22" t="n"/>
      <c r="G223" s="42" t="n"/>
      <c r="H223" s="24" t="n"/>
      <c r="I223" s="39">
        <f>IF(AND(G223&lt;&gt;"",H223&lt;&gt;""),G223*H223,"")</f>
        <v/>
      </c>
      <c r="J223" s="22" t="n"/>
      <c r="K223" s="40">
        <f>IFERROR(VLOOKUP(J223,M2_거래처마스터!A:E,3,FALSE),"")</f>
        <v/>
      </c>
      <c r="L223" s="40">
        <f>IFERROR(VLOOKUP(J223,M2_거래처마스터!A:E,5,FALSE),"")</f>
        <v/>
      </c>
      <c r="M223" s="22" t="n"/>
      <c r="N223" s="22" t="n"/>
    </row>
    <row r="224">
      <c r="A224" s="34" t="n"/>
      <c r="B224" s="35">
        <f>IF(A224="","",YEAR(A224))</f>
        <v/>
      </c>
      <c r="C224" s="36">
        <f>IF(A224="","",MONTH(A224))</f>
        <v/>
      </c>
      <c r="D224" s="37">
        <f>IF(A224="","","Q"&amp;ROUNDUP(MONTH(A224)/3,0))</f>
        <v/>
      </c>
      <c r="E224" s="18" t="n"/>
      <c r="F224" s="18" t="n"/>
      <c r="G224" s="38" t="n"/>
      <c r="H224" s="20" t="n"/>
      <c r="I224" s="39">
        <f>IF(AND(G224&lt;&gt;"",H224&lt;&gt;""),G224*H224,"")</f>
        <v/>
      </c>
      <c r="J224" s="18" t="n"/>
      <c r="K224" s="40">
        <f>IFERROR(VLOOKUP(J224,M2_거래처마스터!A:E,3,FALSE),"")</f>
        <v/>
      </c>
      <c r="L224" s="40">
        <f>IFERROR(VLOOKUP(J224,M2_거래처마스터!A:E,5,FALSE),"")</f>
        <v/>
      </c>
      <c r="M224" s="18" t="n"/>
      <c r="N224" s="18" t="n"/>
    </row>
    <row r="225">
      <c r="A225" s="41" t="n"/>
      <c r="B225" s="35">
        <f>IF(A225="","",YEAR(A225))</f>
        <v/>
      </c>
      <c r="C225" s="36">
        <f>IF(A225="","",MONTH(A225))</f>
        <v/>
      </c>
      <c r="D225" s="37">
        <f>IF(A225="","","Q"&amp;ROUNDUP(MONTH(A225)/3,0))</f>
        <v/>
      </c>
      <c r="E225" s="22" t="n"/>
      <c r="F225" s="22" t="n"/>
      <c r="G225" s="42" t="n"/>
      <c r="H225" s="24" t="n"/>
      <c r="I225" s="39">
        <f>IF(AND(G225&lt;&gt;"",H225&lt;&gt;""),G225*H225,"")</f>
        <v/>
      </c>
      <c r="J225" s="22" t="n"/>
      <c r="K225" s="40">
        <f>IFERROR(VLOOKUP(J225,M2_거래처마스터!A:E,3,FALSE),"")</f>
        <v/>
      </c>
      <c r="L225" s="40">
        <f>IFERROR(VLOOKUP(J225,M2_거래처마스터!A:E,5,FALSE),"")</f>
        <v/>
      </c>
      <c r="M225" s="22" t="n"/>
      <c r="N225" s="22" t="n"/>
    </row>
    <row r="226">
      <c r="A226" s="34" t="n"/>
      <c r="B226" s="35">
        <f>IF(A226="","",YEAR(A226))</f>
        <v/>
      </c>
      <c r="C226" s="36">
        <f>IF(A226="","",MONTH(A226))</f>
        <v/>
      </c>
      <c r="D226" s="37">
        <f>IF(A226="","","Q"&amp;ROUNDUP(MONTH(A226)/3,0))</f>
        <v/>
      </c>
      <c r="E226" s="18" t="n"/>
      <c r="F226" s="18" t="n"/>
      <c r="G226" s="38" t="n"/>
      <c r="H226" s="20" t="n"/>
      <c r="I226" s="39">
        <f>IF(AND(G226&lt;&gt;"",H226&lt;&gt;""),G226*H226,"")</f>
        <v/>
      </c>
      <c r="J226" s="18" t="n"/>
      <c r="K226" s="40">
        <f>IFERROR(VLOOKUP(J226,M2_거래처마스터!A:E,3,FALSE),"")</f>
        <v/>
      </c>
      <c r="L226" s="40">
        <f>IFERROR(VLOOKUP(J226,M2_거래처마스터!A:E,5,FALSE),"")</f>
        <v/>
      </c>
      <c r="M226" s="18" t="n"/>
      <c r="N226" s="18" t="n"/>
    </row>
    <row r="227">
      <c r="A227" s="41" t="n"/>
      <c r="B227" s="35">
        <f>IF(A227="","",YEAR(A227))</f>
        <v/>
      </c>
      <c r="C227" s="36">
        <f>IF(A227="","",MONTH(A227))</f>
        <v/>
      </c>
      <c r="D227" s="37">
        <f>IF(A227="","","Q"&amp;ROUNDUP(MONTH(A227)/3,0))</f>
        <v/>
      </c>
      <c r="E227" s="22" t="n"/>
      <c r="F227" s="22" t="n"/>
      <c r="G227" s="42" t="n"/>
      <c r="H227" s="24" t="n"/>
      <c r="I227" s="39">
        <f>IF(AND(G227&lt;&gt;"",H227&lt;&gt;""),G227*H227,"")</f>
        <v/>
      </c>
      <c r="J227" s="22" t="n"/>
      <c r="K227" s="40">
        <f>IFERROR(VLOOKUP(J227,M2_거래처마스터!A:E,3,FALSE),"")</f>
        <v/>
      </c>
      <c r="L227" s="40">
        <f>IFERROR(VLOOKUP(J227,M2_거래처마스터!A:E,5,FALSE),"")</f>
        <v/>
      </c>
      <c r="M227" s="22" t="n"/>
      <c r="N227" s="22" t="n"/>
    </row>
    <row r="228">
      <c r="A228" s="34" t="n"/>
      <c r="B228" s="35">
        <f>IF(A228="","",YEAR(A228))</f>
        <v/>
      </c>
      <c r="C228" s="36">
        <f>IF(A228="","",MONTH(A228))</f>
        <v/>
      </c>
      <c r="D228" s="37">
        <f>IF(A228="","","Q"&amp;ROUNDUP(MONTH(A228)/3,0))</f>
        <v/>
      </c>
      <c r="E228" s="18" t="n"/>
      <c r="F228" s="18" t="n"/>
      <c r="G228" s="38" t="n"/>
      <c r="H228" s="20" t="n"/>
      <c r="I228" s="39">
        <f>IF(AND(G228&lt;&gt;"",H228&lt;&gt;""),G228*H228,"")</f>
        <v/>
      </c>
      <c r="J228" s="18" t="n"/>
      <c r="K228" s="40">
        <f>IFERROR(VLOOKUP(J228,M2_거래처마스터!A:E,3,FALSE),"")</f>
        <v/>
      </c>
      <c r="L228" s="40">
        <f>IFERROR(VLOOKUP(J228,M2_거래처마스터!A:E,5,FALSE),"")</f>
        <v/>
      </c>
      <c r="M228" s="18" t="n"/>
      <c r="N228" s="18" t="n"/>
    </row>
    <row r="229">
      <c r="A229" s="41" t="n"/>
      <c r="B229" s="35">
        <f>IF(A229="","",YEAR(A229))</f>
        <v/>
      </c>
      <c r="C229" s="36">
        <f>IF(A229="","",MONTH(A229))</f>
        <v/>
      </c>
      <c r="D229" s="37">
        <f>IF(A229="","","Q"&amp;ROUNDUP(MONTH(A229)/3,0))</f>
        <v/>
      </c>
      <c r="E229" s="22" t="n"/>
      <c r="F229" s="22" t="n"/>
      <c r="G229" s="42" t="n"/>
      <c r="H229" s="24" t="n"/>
      <c r="I229" s="39">
        <f>IF(AND(G229&lt;&gt;"",H229&lt;&gt;""),G229*H229,"")</f>
        <v/>
      </c>
      <c r="J229" s="22" t="n"/>
      <c r="K229" s="40">
        <f>IFERROR(VLOOKUP(J229,M2_거래처마스터!A:E,3,FALSE),"")</f>
        <v/>
      </c>
      <c r="L229" s="40">
        <f>IFERROR(VLOOKUP(J229,M2_거래처마스터!A:E,5,FALSE),"")</f>
        <v/>
      </c>
      <c r="M229" s="22" t="n"/>
      <c r="N229" s="22" t="n"/>
    </row>
    <row r="230">
      <c r="A230" s="34" t="n"/>
      <c r="B230" s="35">
        <f>IF(A230="","",YEAR(A230))</f>
        <v/>
      </c>
      <c r="C230" s="36">
        <f>IF(A230="","",MONTH(A230))</f>
        <v/>
      </c>
      <c r="D230" s="37">
        <f>IF(A230="","","Q"&amp;ROUNDUP(MONTH(A230)/3,0))</f>
        <v/>
      </c>
      <c r="E230" s="18" t="n"/>
      <c r="F230" s="18" t="n"/>
      <c r="G230" s="38" t="n"/>
      <c r="H230" s="20" t="n"/>
      <c r="I230" s="39">
        <f>IF(AND(G230&lt;&gt;"",H230&lt;&gt;""),G230*H230,"")</f>
        <v/>
      </c>
      <c r="J230" s="18" t="n"/>
      <c r="K230" s="40">
        <f>IFERROR(VLOOKUP(J230,M2_거래처마스터!A:E,3,FALSE),"")</f>
        <v/>
      </c>
      <c r="L230" s="40">
        <f>IFERROR(VLOOKUP(J230,M2_거래처마스터!A:E,5,FALSE),"")</f>
        <v/>
      </c>
      <c r="M230" s="18" t="n"/>
      <c r="N230" s="18" t="n"/>
    </row>
    <row r="231">
      <c r="A231" s="41" t="n"/>
      <c r="B231" s="35">
        <f>IF(A231="","",YEAR(A231))</f>
        <v/>
      </c>
      <c r="C231" s="36">
        <f>IF(A231="","",MONTH(A231))</f>
        <v/>
      </c>
      <c r="D231" s="37">
        <f>IF(A231="","","Q"&amp;ROUNDUP(MONTH(A231)/3,0))</f>
        <v/>
      </c>
      <c r="E231" s="22" t="n"/>
      <c r="F231" s="22" t="n"/>
      <c r="G231" s="42" t="n"/>
      <c r="H231" s="24" t="n"/>
      <c r="I231" s="39">
        <f>IF(AND(G231&lt;&gt;"",H231&lt;&gt;""),G231*H231,"")</f>
        <v/>
      </c>
      <c r="J231" s="22" t="n"/>
      <c r="K231" s="40">
        <f>IFERROR(VLOOKUP(J231,M2_거래처마스터!A:E,3,FALSE),"")</f>
        <v/>
      </c>
      <c r="L231" s="40">
        <f>IFERROR(VLOOKUP(J231,M2_거래처마스터!A:E,5,FALSE),"")</f>
        <v/>
      </c>
      <c r="M231" s="22" t="n"/>
      <c r="N231" s="22" t="n"/>
    </row>
    <row r="232">
      <c r="A232" s="34" t="n"/>
      <c r="B232" s="35">
        <f>IF(A232="","",YEAR(A232))</f>
        <v/>
      </c>
      <c r="C232" s="36">
        <f>IF(A232="","",MONTH(A232))</f>
        <v/>
      </c>
      <c r="D232" s="37">
        <f>IF(A232="","","Q"&amp;ROUNDUP(MONTH(A232)/3,0))</f>
        <v/>
      </c>
      <c r="E232" s="18" t="n"/>
      <c r="F232" s="18" t="n"/>
      <c r="G232" s="38" t="n"/>
      <c r="H232" s="20" t="n"/>
      <c r="I232" s="39">
        <f>IF(AND(G232&lt;&gt;"",H232&lt;&gt;""),G232*H232,"")</f>
        <v/>
      </c>
      <c r="J232" s="18" t="n"/>
      <c r="K232" s="40">
        <f>IFERROR(VLOOKUP(J232,M2_거래처마스터!A:E,3,FALSE),"")</f>
        <v/>
      </c>
      <c r="L232" s="40">
        <f>IFERROR(VLOOKUP(J232,M2_거래처마스터!A:E,5,FALSE),"")</f>
        <v/>
      </c>
      <c r="M232" s="18" t="n"/>
      <c r="N232" s="18" t="n"/>
    </row>
    <row r="233">
      <c r="A233" s="41" t="n"/>
      <c r="B233" s="35">
        <f>IF(A233="","",YEAR(A233))</f>
        <v/>
      </c>
      <c r="C233" s="36">
        <f>IF(A233="","",MONTH(A233))</f>
        <v/>
      </c>
      <c r="D233" s="37">
        <f>IF(A233="","","Q"&amp;ROUNDUP(MONTH(A233)/3,0))</f>
        <v/>
      </c>
      <c r="E233" s="22" t="n"/>
      <c r="F233" s="22" t="n"/>
      <c r="G233" s="42" t="n"/>
      <c r="H233" s="24" t="n"/>
      <c r="I233" s="39">
        <f>IF(AND(G233&lt;&gt;"",H233&lt;&gt;""),G233*H233,"")</f>
        <v/>
      </c>
      <c r="J233" s="22" t="n"/>
      <c r="K233" s="40">
        <f>IFERROR(VLOOKUP(J233,M2_거래처마스터!A:E,3,FALSE),"")</f>
        <v/>
      </c>
      <c r="L233" s="40">
        <f>IFERROR(VLOOKUP(J233,M2_거래처마스터!A:E,5,FALSE),"")</f>
        <v/>
      </c>
      <c r="M233" s="22" t="n"/>
      <c r="N233" s="22" t="n"/>
    </row>
    <row r="234">
      <c r="A234" s="34" t="n"/>
      <c r="B234" s="35">
        <f>IF(A234="","",YEAR(A234))</f>
        <v/>
      </c>
      <c r="C234" s="36">
        <f>IF(A234="","",MONTH(A234))</f>
        <v/>
      </c>
      <c r="D234" s="37">
        <f>IF(A234="","","Q"&amp;ROUNDUP(MONTH(A234)/3,0))</f>
        <v/>
      </c>
      <c r="E234" s="18" t="n"/>
      <c r="F234" s="18" t="n"/>
      <c r="G234" s="38" t="n"/>
      <c r="H234" s="20" t="n"/>
      <c r="I234" s="39">
        <f>IF(AND(G234&lt;&gt;"",H234&lt;&gt;""),G234*H234,"")</f>
        <v/>
      </c>
      <c r="J234" s="18" t="n"/>
      <c r="K234" s="40">
        <f>IFERROR(VLOOKUP(J234,M2_거래처마스터!A:E,3,FALSE),"")</f>
        <v/>
      </c>
      <c r="L234" s="40">
        <f>IFERROR(VLOOKUP(J234,M2_거래처마스터!A:E,5,FALSE),"")</f>
        <v/>
      </c>
      <c r="M234" s="18" t="n"/>
      <c r="N234" s="18" t="n"/>
    </row>
    <row r="235">
      <c r="A235" s="41" t="n"/>
      <c r="B235" s="35">
        <f>IF(A235="","",YEAR(A235))</f>
        <v/>
      </c>
      <c r="C235" s="36">
        <f>IF(A235="","",MONTH(A235))</f>
        <v/>
      </c>
      <c r="D235" s="37">
        <f>IF(A235="","","Q"&amp;ROUNDUP(MONTH(A235)/3,0))</f>
        <v/>
      </c>
      <c r="E235" s="22" t="n"/>
      <c r="F235" s="22" t="n"/>
      <c r="G235" s="42" t="n"/>
      <c r="H235" s="24" t="n"/>
      <c r="I235" s="39">
        <f>IF(AND(G235&lt;&gt;"",H235&lt;&gt;""),G235*H235,"")</f>
        <v/>
      </c>
      <c r="J235" s="22" t="n"/>
      <c r="K235" s="40">
        <f>IFERROR(VLOOKUP(J235,M2_거래처마스터!A:E,3,FALSE),"")</f>
        <v/>
      </c>
      <c r="L235" s="40">
        <f>IFERROR(VLOOKUP(J235,M2_거래처마스터!A:E,5,FALSE),"")</f>
        <v/>
      </c>
      <c r="M235" s="22" t="n"/>
      <c r="N235" s="22" t="n"/>
    </row>
    <row r="236">
      <c r="A236" s="34" t="n"/>
      <c r="B236" s="35">
        <f>IF(A236="","",YEAR(A236))</f>
        <v/>
      </c>
      <c r="C236" s="36">
        <f>IF(A236="","",MONTH(A236))</f>
        <v/>
      </c>
      <c r="D236" s="37">
        <f>IF(A236="","","Q"&amp;ROUNDUP(MONTH(A236)/3,0))</f>
        <v/>
      </c>
      <c r="E236" s="18" t="n"/>
      <c r="F236" s="18" t="n"/>
      <c r="G236" s="38" t="n"/>
      <c r="H236" s="20" t="n"/>
      <c r="I236" s="39">
        <f>IF(AND(G236&lt;&gt;"",H236&lt;&gt;""),G236*H236,"")</f>
        <v/>
      </c>
      <c r="J236" s="18" t="n"/>
      <c r="K236" s="40">
        <f>IFERROR(VLOOKUP(J236,M2_거래처마스터!A:E,3,FALSE),"")</f>
        <v/>
      </c>
      <c r="L236" s="40">
        <f>IFERROR(VLOOKUP(J236,M2_거래처마스터!A:E,5,FALSE),"")</f>
        <v/>
      </c>
      <c r="M236" s="18" t="n"/>
      <c r="N236" s="18" t="n"/>
    </row>
    <row r="237">
      <c r="A237" s="41" t="n"/>
      <c r="B237" s="35">
        <f>IF(A237="","",YEAR(A237))</f>
        <v/>
      </c>
      <c r="C237" s="36">
        <f>IF(A237="","",MONTH(A237))</f>
        <v/>
      </c>
      <c r="D237" s="37">
        <f>IF(A237="","","Q"&amp;ROUNDUP(MONTH(A237)/3,0))</f>
        <v/>
      </c>
      <c r="E237" s="22" t="n"/>
      <c r="F237" s="22" t="n"/>
      <c r="G237" s="42" t="n"/>
      <c r="H237" s="24" t="n"/>
      <c r="I237" s="39">
        <f>IF(AND(G237&lt;&gt;"",H237&lt;&gt;""),G237*H237,"")</f>
        <v/>
      </c>
      <c r="J237" s="22" t="n"/>
      <c r="K237" s="40">
        <f>IFERROR(VLOOKUP(J237,M2_거래처마스터!A:E,3,FALSE),"")</f>
        <v/>
      </c>
      <c r="L237" s="40">
        <f>IFERROR(VLOOKUP(J237,M2_거래처마스터!A:E,5,FALSE),"")</f>
        <v/>
      </c>
      <c r="M237" s="22" t="n"/>
      <c r="N237" s="22" t="n"/>
    </row>
    <row r="238">
      <c r="A238" s="34" t="n"/>
      <c r="B238" s="35">
        <f>IF(A238="","",YEAR(A238))</f>
        <v/>
      </c>
      <c r="C238" s="36">
        <f>IF(A238="","",MONTH(A238))</f>
        <v/>
      </c>
      <c r="D238" s="37">
        <f>IF(A238="","","Q"&amp;ROUNDUP(MONTH(A238)/3,0))</f>
        <v/>
      </c>
      <c r="E238" s="18" t="n"/>
      <c r="F238" s="18" t="n"/>
      <c r="G238" s="38" t="n"/>
      <c r="H238" s="20" t="n"/>
      <c r="I238" s="39">
        <f>IF(AND(G238&lt;&gt;"",H238&lt;&gt;""),G238*H238,"")</f>
        <v/>
      </c>
      <c r="J238" s="18" t="n"/>
      <c r="K238" s="40">
        <f>IFERROR(VLOOKUP(J238,M2_거래처마스터!A:E,3,FALSE),"")</f>
        <v/>
      </c>
      <c r="L238" s="40">
        <f>IFERROR(VLOOKUP(J238,M2_거래처마스터!A:E,5,FALSE),"")</f>
        <v/>
      </c>
      <c r="M238" s="18" t="n"/>
      <c r="N238" s="18" t="n"/>
    </row>
    <row r="239">
      <c r="A239" s="41" t="n"/>
      <c r="B239" s="35">
        <f>IF(A239="","",YEAR(A239))</f>
        <v/>
      </c>
      <c r="C239" s="36">
        <f>IF(A239="","",MONTH(A239))</f>
        <v/>
      </c>
      <c r="D239" s="37">
        <f>IF(A239="","","Q"&amp;ROUNDUP(MONTH(A239)/3,0))</f>
        <v/>
      </c>
      <c r="E239" s="22" t="n"/>
      <c r="F239" s="22" t="n"/>
      <c r="G239" s="42" t="n"/>
      <c r="H239" s="24" t="n"/>
      <c r="I239" s="39">
        <f>IF(AND(G239&lt;&gt;"",H239&lt;&gt;""),G239*H239,"")</f>
        <v/>
      </c>
      <c r="J239" s="22" t="n"/>
      <c r="K239" s="40">
        <f>IFERROR(VLOOKUP(J239,M2_거래처마스터!A:E,3,FALSE),"")</f>
        <v/>
      </c>
      <c r="L239" s="40">
        <f>IFERROR(VLOOKUP(J239,M2_거래처마스터!A:E,5,FALSE),"")</f>
        <v/>
      </c>
      <c r="M239" s="22" t="n"/>
      <c r="N239" s="22" t="n"/>
    </row>
    <row r="240">
      <c r="A240" s="34" t="n"/>
      <c r="B240" s="35">
        <f>IF(A240="","",YEAR(A240))</f>
        <v/>
      </c>
      <c r="C240" s="36">
        <f>IF(A240="","",MONTH(A240))</f>
        <v/>
      </c>
      <c r="D240" s="37">
        <f>IF(A240="","","Q"&amp;ROUNDUP(MONTH(A240)/3,0))</f>
        <v/>
      </c>
      <c r="E240" s="18" t="n"/>
      <c r="F240" s="18" t="n"/>
      <c r="G240" s="38" t="n"/>
      <c r="H240" s="20" t="n"/>
      <c r="I240" s="39">
        <f>IF(AND(G240&lt;&gt;"",H240&lt;&gt;""),G240*H240,"")</f>
        <v/>
      </c>
      <c r="J240" s="18" t="n"/>
      <c r="K240" s="40">
        <f>IFERROR(VLOOKUP(J240,M2_거래처마스터!A:E,3,FALSE),"")</f>
        <v/>
      </c>
      <c r="L240" s="40">
        <f>IFERROR(VLOOKUP(J240,M2_거래처마스터!A:E,5,FALSE),"")</f>
        <v/>
      </c>
      <c r="M240" s="18" t="n"/>
      <c r="N240" s="18" t="n"/>
    </row>
    <row r="241">
      <c r="A241" s="41" t="n"/>
      <c r="B241" s="35">
        <f>IF(A241="","",YEAR(A241))</f>
        <v/>
      </c>
      <c r="C241" s="36">
        <f>IF(A241="","",MONTH(A241))</f>
        <v/>
      </c>
      <c r="D241" s="37">
        <f>IF(A241="","","Q"&amp;ROUNDUP(MONTH(A241)/3,0))</f>
        <v/>
      </c>
      <c r="E241" s="22" t="n"/>
      <c r="F241" s="22" t="n"/>
      <c r="G241" s="42" t="n"/>
      <c r="H241" s="24" t="n"/>
      <c r="I241" s="39">
        <f>IF(AND(G241&lt;&gt;"",H241&lt;&gt;""),G241*H241,"")</f>
        <v/>
      </c>
      <c r="J241" s="22" t="n"/>
      <c r="K241" s="40">
        <f>IFERROR(VLOOKUP(J241,M2_거래처마스터!A:E,3,FALSE),"")</f>
        <v/>
      </c>
      <c r="L241" s="40">
        <f>IFERROR(VLOOKUP(J241,M2_거래처마스터!A:E,5,FALSE),"")</f>
        <v/>
      </c>
      <c r="M241" s="22" t="n"/>
      <c r="N241" s="22" t="n"/>
    </row>
    <row r="242">
      <c r="A242" s="34" t="n"/>
      <c r="B242" s="35">
        <f>IF(A242="","",YEAR(A242))</f>
        <v/>
      </c>
      <c r="C242" s="36">
        <f>IF(A242="","",MONTH(A242))</f>
        <v/>
      </c>
      <c r="D242" s="37">
        <f>IF(A242="","","Q"&amp;ROUNDUP(MONTH(A242)/3,0))</f>
        <v/>
      </c>
      <c r="E242" s="18" t="n"/>
      <c r="F242" s="18" t="n"/>
      <c r="G242" s="38" t="n"/>
      <c r="H242" s="20" t="n"/>
      <c r="I242" s="39">
        <f>IF(AND(G242&lt;&gt;"",H242&lt;&gt;""),G242*H242,"")</f>
        <v/>
      </c>
      <c r="J242" s="18" t="n"/>
      <c r="K242" s="40">
        <f>IFERROR(VLOOKUP(J242,M2_거래처마스터!A:E,3,FALSE),"")</f>
        <v/>
      </c>
      <c r="L242" s="40">
        <f>IFERROR(VLOOKUP(J242,M2_거래처마스터!A:E,5,FALSE),"")</f>
        <v/>
      </c>
      <c r="M242" s="18" t="n"/>
      <c r="N242" s="18" t="n"/>
    </row>
    <row r="243">
      <c r="A243" s="41" t="n"/>
      <c r="B243" s="35">
        <f>IF(A243="","",YEAR(A243))</f>
        <v/>
      </c>
      <c r="C243" s="36">
        <f>IF(A243="","",MONTH(A243))</f>
        <v/>
      </c>
      <c r="D243" s="37">
        <f>IF(A243="","","Q"&amp;ROUNDUP(MONTH(A243)/3,0))</f>
        <v/>
      </c>
      <c r="E243" s="22" t="n"/>
      <c r="F243" s="22" t="n"/>
      <c r="G243" s="42" t="n"/>
      <c r="H243" s="24" t="n"/>
      <c r="I243" s="39">
        <f>IF(AND(G243&lt;&gt;"",H243&lt;&gt;""),G243*H243,"")</f>
        <v/>
      </c>
      <c r="J243" s="22" t="n"/>
      <c r="K243" s="40">
        <f>IFERROR(VLOOKUP(J243,M2_거래처마스터!A:E,3,FALSE),"")</f>
        <v/>
      </c>
      <c r="L243" s="40">
        <f>IFERROR(VLOOKUP(J243,M2_거래처마스터!A:E,5,FALSE),"")</f>
        <v/>
      </c>
      <c r="M243" s="22" t="n"/>
      <c r="N243" s="22" t="n"/>
    </row>
    <row r="244">
      <c r="A244" s="34" t="n"/>
      <c r="B244" s="35">
        <f>IF(A244="","",YEAR(A244))</f>
        <v/>
      </c>
      <c r="C244" s="36">
        <f>IF(A244="","",MONTH(A244))</f>
        <v/>
      </c>
      <c r="D244" s="37">
        <f>IF(A244="","","Q"&amp;ROUNDUP(MONTH(A244)/3,0))</f>
        <v/>
      </c>
      <c r="E244" s="18" t="n"/>
      <c r="F244" s="18" t="n"/>
      <c r="G244" s="38" t="n"/>
      <c r="H244" s="20" t="n"/>
      <c r="I244" s="39">
        <f>IF(AND(G244&lt;&gt;"",H244&lt;&gt;""),G244*H244,"")</f>
        <v/>
      </c>
      <c r="J244" s="18" t="n"/>
      <c r="K244" s="40">
        <f>IFERROR(VLOOKUP(J244,M2_거래처마스터!A:E,3,FALSE),"")</f>
        <v/>
      </c>
      <c r="L244" s="40">
        <f>IFERROR(VLOOKUP(J244,M2_거래처마스터!A:E,5,FALSE),"")</f>
        <v/>
      </c>
      <c r="M244" s="18" t="n"/>
      <c r="N244" s="18" t="n"/>
    </row>
    <row r="245">
      <c r="A245" s="41" t="n"/>
      <c r="B245" s="35">
        <f>IF(A245="","",YEAR(A245))</f>
        <v/>
      </c>
      <c r="C245" s="36">
        <f>IF(A245="","",MONTH(A245))</f>
        <v/>
      </c>
      <c r="D245" s="37">
        <f>IF(A245="","","Q"&amp;ROUNDUP(MONTH(A245)/3,0))</f>
        <v/>
      </c>
      <c r="E245" s="22" t="n"/>
      <c r="F245" s="22" t="n"/>
      <c r="G245" s="42" t="n"/>
      <c r="H245" s="24" t="n"/>
      <c r="I245" s="39">
        <f>IF(AND(G245&lt;&gt;"",H245&lt;&gt;""),G245*H245,"")</f>
        <v/>
      </c>
      <c r="J245" s="22" t="n"/>
      <c r="K245" s="40">
        <f>IFERROR(VLOOKUP(J245,M2_거래처마스터!A:E,3,FALSE),"")</f>
        <v/>
      </c>
      <c r="L245" s="40">
        <f>IFERROR(VLOOKUP(J245,M2_거래처마스터!A:E,5,FALSE),"")</f>
        <v/>
      </c>
      <c r="M245" s="22" t="n"/>
      <c r="N245" s="22" t="n"/>
    </row>
    <row r="246">
      <c r="A246" s="34" t="n"/>
      <c r="B246" s="35">
        <f>IF(A246="","",YEAR(A246))</f>
        <v/>
      </c>
      <c r="C246" s="36">
        <f>IF(A246="","",MONTH(A246))</f>
        <v/>
      </c>
      <c r="D246" s="37">
        <f>IF(A246="","","Q"&amp;ROUNDUP(MONTH(A246)/3,0))</f>
        <v/>
      </c>
      <c r="E246" s="18" t="n"/>
      <c r="F246" s="18" t="n"/>
      <c r="G246" s="38" t="n"/>
      <c r="H246" s="20" t="n"/>
      <c r="I246" s="39">
        <f>IF(AND(G246&lt;&gt;"",H246&lt;&gt;""),G246*H246,"")</f>
        <v/>
      </c>
      <c r="J246" s="18" t="n"/>
      <c r="K246" s="40">
        <f>IFERROR(VLOOKUP(J246,M2_거래처마스터!A:E,3,FALSE),"")</f>
        <v/>
      </c>
      <c r="L246" s="40">
        <f>IFERROR(VLOOKUP(J246,M2_거래처마스터!A:E,5,FALSE),"")</f>
        <v/>
      </c>
      <c r="M246" s="18" t="n"/>
      <c r="N246" s="18" t="n"/>
    </row>
    <row r="247">
      <c r="A247" s="41" t="n"/>
      <c r="B247" s="35">
        <f>IF(A247="","",YEAR(A247))</f>
        <v/>
      </c>
      <c r="C247" s="36">
        <f>IF(A247="","",MONTH(A247))</f>
        <v/>
      </c>
      <c r="D247" s="37">
        <f>IF(A247="","","Q"&amp;ROUNDUP(MONTH(A247)/3,0))</f>
        <v/>
      </c>
      <c r="E247" s="22" t="n"/>
      <c r="F247" s="22" t="n"/>
      <c r="G247" s="42" t="n"/>
      <c r="H247" s="24" t="n"/>
      <c r="I247" s="39">
        <f>IF(AND(G247&lt;&gt;"",H247&lt;&gt;""),G247*H247,"")</f>
        <v/>
      </c>
      <c r="J247" s="22" t="n"/>
      <c r="K247" s="40">
        <f>IFERROR(VLOOKUP(J247,M2_거래처마스터!A:E,3,FALSE),"")</f>
        <v/>
      </c>
      <c r="L247" s="40">
        <f>IFERROR(VLOOKUP(J247,M2_거래처마스터!A:E,5,FALSE),"")</f>
        <v/>
      </c>
      <c r="M247" s="22" t="n"/>
      <c r="N247" s="22" t="n"/>
    </row>
    <row r="248">
      <c r="A248" s="34" t="n"/>
      <c r="B248" s="35">
        <f>IF(A248="","",YEAR(A248))</f>
        <v/>
      </c>
      <c r="C248" s="36">
        <f>IF(A248="","",MONTH(A248))</f>
        <v/>
      </c>
      <c r="D248" s="37">
        <f>IF(A248="","","Q"&amp;ROUNDUP(MONTH(A248)/3,0))</f>
        <v/>
      </c>
      <c r="E248" s="18" t="n"/>
      <c r="F248" s="18" t="n"/>
      <c r="G248" s="38" t="n"/>
      <c r="H248" s="20" t="n"/>
      <c r="I248" s="39">
        <f>IF(AND(G248&lt;&gt;"",H248&lt;&gt;""),G248*H248,"")</f>
        <v/>
      </c>
      <c r="J248" s="18" t="n"/>
      <c r="K248" s="40">
        <f>IFERROR(VLOOKUP(J248,M2_거래처마스터!A:E,3,FALSE),"")</f>
        <v/>
      </c>
      <c r="L248" s="40">
        <f>IFERROR(VLOOKUP(J248,M2_거래처마스터!A:E,5,FALSE),"")</f>
        <v/>
      </c>
      <c r="M248" s="18" t="n"/>
      <c r="N248" s="18" t="n"/>
    </row>
    <row r="249">
      <c r="A249" s="41" t="n"/>
      <c r="B249" s="35">
        <f>IF(A249="","",YEAR(A249))</f>
        <v/>
      </c>
      <c r="C249" s="36">
        <f>IF(A249="","",MONTH(A249))</f>
        <v/>
      </c>
      <c r="D249" s="37">
        <f>IF(A249="","","Q"&amp;ROUNDUP(MONTH(A249)/3,0))</f>
        <v/>
      </c>
      <c r="E249" s="22" t="n"/>
      <c r="F249" s="22" t="n"/>
      <c r="G249" s="42" t="n"/>
      <c r="H249" s="24" t="n"/>
      <c r="I249" s="39">
        <f>IF(AND(G249&lt;&gt;"",H249&lt;&gt;""),G249*H249,"")</f>
        <v/>
      </c>
      <c r="J249" s="22" t="n"/>
      <c r="K249" s="40">
        <f>IFERROR(VLOOKUP(J249,M2_거래처마스터!A:E,3,FALSE),"")</f>
        <v/>
      </c>
      <c r="L249" s="40">
        <f>IFERROR(VLOOKUP(J249,M2_거래처마스터!A:E,5,FALSE),"")</f>
        <v/>
      </c>
      <c r="M249" s="22" t="n"/>
      <c r="N249" s="22" t="n"/>
    </row>
    <row r="250">
      <c r="A250" s="34" t="n"/>
      <c r="B250" s="35">
        <f>IF(A250="","",YEAR(A250))</f>
        <v/>
      </c>
      <c r="C250" s="36">
        <f>IF(A250="","",MONTH(A250))</f>
        <v/>
      </c>
      <c r="D250" s="37">
        <f>IF(A250="","","Q"&amp;ROUNDUP(MONTH(A250)/3,0))</f>
        <v/>
      </c>
      <c r="E250" s="18" t="n"/>
      <c r="F250" s="18" t="n"/>
      <c r="G250" s="38" t="n"/>
      <c r="H250" s="20" t="n"/>
      <c r="I250" s="39">
        <f>IF(AND(G250&lt;&gt;"",H250&lt;&gt;""),G250*H250,"")</f>
        <v/>
      </c>
      <c r="J250" s="18" t="n"/>
      <c r="K250" s="40">
        <f>IFERROR(VLOOKUP(J250,M2_거래처마스터!A:E,3,FALSE),"")</f>
        <v/>
      </c>
      <c r="L250" s="40">
        <f>IFERROR(VLOOKUP(J250,M2_거래처마스터!A:E,5,FALSE),"")</f>
        <v/>
      </c>
      <c r="M250" s="18" t="n"/>
      <c r="N250" s="18" t="n"/>
    </row>
    <row r="251">
      <c r="A251" s="41" t="n"/>
      <c r="B251" s="35">
        <f>IF(A251="","",YEAR(A251))</f>
        <v/>
      </c>
      <c r="C251" s="36">
        <f>IF(A251="","",MONTH(A251))</f>
        <v/>
      </c>
      <c r="D251" s="37">
        <f>IF(A251="","","Q"&amp;ROUNDUP(MONTH(A251)/3,0))</f>
        <v/>
      </c>
      <c r="E251" s="22" t="n"/>
      <c r="F251" s="22" t="n"/>
      <c r="G251" s="42" t="n"/>
      <c r="H251" s="24" t="n"/>
      <c r="I251" s="39">
        <f>IF(AND(G251&lt;&gt;"",H251&lt;&gt;""),G251*H251,"")</f>
        <v/>
      </c>
      <c r="J251" s="22" t="n"/>
      <c r="K251" s="40">
        <f>IFERROR(VLOOKUP(J251,M2_거래처마스터!A:E,3,FALSE),"")</f>
        <v/>
      </c>
      <c r="L251" s="40">
        <f>IFERROR(VLOOKUP(J251,M2_거래처마스터!A:E,5,FALSE),"")</f>
        <v/>
      </c>
      <c r="M251" s="22" t="n"/>
      <c r="N251" s="22" t="n"/>
    </row>
    <row r="252">
      <c r="A252" s="34" t="n"/>
      <c r="B252" s="35">
        <f>IF(A252="","",YEAR(A252))</f>
        <v/>
      </c>
      <c r="C252" s="36">
        <f>IF(A252="","",MONTH(A252))</f>
        <v/>
      </c>
      <c r="D252" s="37">
        <f>IF(A252="","","Q"&amp;ROUNDUP(MONTH(A252)/3,0))</f>
        <v/>
      </c>
      <c r="E252" s="18" t="n"/>
      <c r="F252" s="18" t="n"/>
      <c r="G252" s="38" t="n"/>
      <c r="H252" s="20" t="n"/>
      <c r="I252" s="39">
        <f>IF(AND(G252&lt;&gt;"",H252&lt;&gt;""),G252*H252,"")</f>
        <v/>
      </c>
      <c r="J252" s="18" t="n"/>
      <c r="K252" s="40">
        <f>IFERROR(VLOOKUP(J252,M2_거래처마스터!A:E,3,FALSE),"")</f>
        <v/>
      </c>
      <c r="L252" s="40">
        <f>IFERROR(VLOOKUP(J252,M2_거래처마스터!A:E,5,FALSE),"")</f>
        <v/>
      </c>
      <c r="M252" s="18" t="n"/>
      <c r="N252" s="18" t="n"/>
    </row>
    <row r="253">
      <c r="A253" s="41" t="n"/>
      <c r="B253" s="35">
        <f>IF(A253="","",YEAR(A253))</f>
        <v/>
      </c>
      <c r="C253" s="36">
        <f>IF(A253="","",MONTH(A253))</f>
        <v/>
      </c>
      <c r="D253" s="37">
        <f>IF(A253="","","Q"&amp;ROUNDUP(MONTH(A253)/3,0))</f>
        <v/>
      </c>
      <c r="E253" s="22" t="n"/>
      <c r="F253" s="22" t="n"/>
      <c r="G253" s="42" t="n"/>
      <c r="H253" s="24" t="n"/>
      <c r="I253" s="39">
        <f>IF(AND(G253&lt;&gt;"",H253&lt;&gt;""),G253*H253,"")</f>
        <v/>
      </c>
      <c r="J253" s="22" t="n"/>
      <c r="K253" s="40">
        <f>IFERROR(VLOOKUP(J253,M2_거래처마스터!A:E,3,FALSE),"")</f>
        <v/>
      </c>
      <c r="L253" s="40">
        <f>IFERROR(VLOOKUP(J253,M2_거래처마스터!A:E,5,FALSE),"")</f>
        <v/>
      </c>
      <c r="M253" s="22" t="n"/>
      <c r="N253" s="22" t="n"/>
    </row>
    <row r="254">
      <c r="A254" s="34" t="n"/>
      <c r="B254" s="35">
        <f>IF(A254="","",YEAR(A254))</f>
        <v/>
      </c>
      <c r="C254" s="36">
        <f>IF(A254="","",MONTH(A254))</f>
        <v/>
      </c>
      <c r="D254" s="37">
        <f>IF(A254="","","Q"&amp;ROUNDUP(MONTH(A254)/3,0))</f>
        <v/>
      </c>
      <c r="E254" s="18" t="n"/>
      <c r="F254" s="18" t="n"/>
      <c r="G254" s="38" t="n"/>
      <c r="H254" s="20" t="n"/>
      <c r="I254" s="39">
        <f>IF(AND(G254&lt;&gt;"",H254&lt;&gt;""),G254*H254,"")</f>
        <v/>
      </c>
      <c r="J254" s="18" t="n"/>
      <c r="K254" s="40">
        <f>IFERROR(VLOOKUP(J254,M2_거래처마스터!A:E,3,FALSE),"")</f>
        <v/>
      </c>
      <c r="L254" s="40">
        <f>IFERROR(VLOOKUP(J254,M2_거래처마스터!A:E,5,FALSE),"")</f>
        <v/>
      </c>
      <c r="M254" s="18" t="n"/>
      <c r="N254" s="18" t="n"/>
    </row>
    <row r="255">
      <c r="A255" s="41" t="n"/>
      <c r="B255" s="35">
        <f>IF(A255="","",YEAR(A255))</f>
        <v/>
      </c>
      <c r="C255" s="36">
        <f>IF(A255="","",MONTH(A255))</f>
        <v/>
      </c>
      <c r="D255" s="37">
        <f>IF(A255="","","Q"&amp;ROUNDUP(MONTH(A255)/3,0))</f>
        <v/>
      </c>
      <c r="E255" s="22" t="n"/>
      <c r="F255" s="22" t="n"/>
      <c r="G255" s="42" t="n"/>
      <c r="H255" s="24" t="n"/>
      <c r="I255" s="39">
        <f>IF(AND(G255&lt;&gt;"",H255&lt;&gt;""),G255*H255,"")</f>
        <v/>
      </c>
      <c r="J255" s="22" t="n"/>
      <c r="K255" s="40">
        <f>IFERROR(VLOOKUP(J255,M2_거래처마스터!A:E,3,FALSE),"")</f>
        <v/>
      </c>
      <c r="L255" s="40">
        <f>IFERROR(VLOOKUP(J255,M2_거래처마스터!A:E,5,FALSE),"")</f>
        <v/>
      </c>
      <c r="M255" s="22" t="n"/>
      <c r="N255" s="22" t="n"/>
    </row>
    <row r="256">
      <c r="A256" s="34" t="n"/>
      <c r="B256" s="35">
        <f>IF(A256="","",YEAR(A256))</f>
        <v/>
      </c>
      <c r="C256" s="36">
        <f>IF(A256="","",MONTH(A256))</f>
        <v/>
      </c>
      <c r="D256" s="37">
        <f>IF(A256="","","Q"&amp;ROUNDUP(MONTH(A256)/3,0))</f>
        <v/>
      </c>
      <c r="E256" s="18" t="n"/>
      <c r="F256" s="18" t="n"/>
      <c r="G256" s="38" t="n"/>
      <c r="H256" s="20" t="n"/>
      <c r="I256" s="39">
        <f>IF(AND(G256&lt;&gt;"",H256&lt;&gt;""),G256*H256,"")</f>
        <v/>
      </c>
      <c r="J256" s="18" t="n"/>
      <c r="K256" s="40">
        <f>IFERROR(VLOOKUP(J256,M2_거래처마스터!A:E,3,FALSE),"")</f>
        <v/>
      </c>
      <c r="L256" s="40">
        <f>IFERROR(VLOOKUP(J256,M2_거래처마스터!A:E,5,FALSE),"")</f>
        <v/>
      </c>
      <c r="M256" s="18" t="n"/>
      <c r="N256" s="18" t="n"/>
    </row>
    <row r="257">
      <c r="A257" s="41" t="n"/>
      <c r="B257" s="35">
        <f>IF(A257="","",YEAR(A257))</f>
        <v/>
      </c>
      <c r="C257" s="36">
        <f>IF(A257="","",MONTH(A257))</f>
        <v/>
      </c>
      <c r="D257" s="37">
        <f>IF(A257="","","Q"&amp;ROUNDUP(MONTH(A257)/3,0))</f>
        <v/>
      </c>
      <c r="E257" s="22" t="n"/>
      <c r="F257" s="22" t="n"/>
      <c r="G257" s="42" t="n"/>
      <c r="H257" s="24" t="n"/>
      <c r="I257" s="39">
        <f>IF(AND(G257&lt;&gt;"",H257&lt;&gt;""),G257*H257,"")</f>
        <v/>
      </c>
      <c r="J257" s="22" t="n"/>
      <c r="K257" s="40">
        <f>IFERROR(VLOOKUP(J257,M2_거래처마스터!A:E,3,FALSE),"")</f>
        <v/>
      </c>
      <c r="L257" s="40">
        <f>IFERROR(VLOOKUP(J257,M2_거래처마스터!A:E,5,FALSE),"")</f>
        <v/>
      </c>
      <c r="M257" s="22" t="n"/>
      <c r="N257" s="22" t="n"/>
    </row>
    <row r="258">
      <c r="A258" s="34" t="n"/>
      <c r="B258" s="35">
        <f>IF(A258="","",YEAR(A258))</f>
        <v/>
      </c>
      <c r="C258" s="36">
        <f>IF(A258="","",MONTH(A258))</f>
        <v/>
      </c>
      <c r="D258" s="37">
        <f>IF(A258="","","Q"&amp;ROUNDUP(MONTH(A258)/3,0))</f>
        <v/>
      </c>
      <c r="E258" s="18" t="n"/>
      <c r="F258" s="18" t="n"/>
      <c r="G258" s="38" t="n"/>
      <c r="H258" s="20" t="n"/>
      <c r="I258" s="39">
        <f>IF(AND(G258&lt;&gt;"",H258&lt;&gt;""),G258*H258,"")</f>
        <v/>
      </c>
      <c r="J258" s="18" t="n"/>
      <c r="K258" s="40">
        <f>IFERROR(VLOOKUP(J258,M2_거래처마스터!A:E,3,FALSE),"")</f>
        <v/>
      </c>
      <c r="L258" s="40">
        <f>IFERROR(VLOOKUP(J258,M2_거래처마스터!A:E,5,FALSE),"")</f>
        <v/>
      </c>
      <c r="M258" s="18" t="n"/>
      <c r="N258" s="18" t="n"/>
    </row>
    <row r="259">
      <c r="A259" s="41" t="n"/>
      <c r="B259" s="35">
        <f>IF(A259="","",YEAR(A259))</f>
        <v/>
      </c>
      <c r="C259" s="36">
        <f>IF(A259="","",MONTH(A259))</f>
        <v/>
      </c>
      <c r="D259" s="37">
        <f>IF(A259="","","Q"&amp;ROUNDUP(MONTH(A259)/3,0))</f>
        <v/>
      </c>
      <c r="E259" s="22" t="n"/>
      <c r="F259" s="22" t="n"/>
      <c r="G259" s="42" t="n"/>
      <c r="H259" s="24" t="n"/>
      <c r="I259" s="39">
        <f>IF(AND(G259&lt;&gt;"",H259&lt;&gt;""),G259*H259,"")</f>
        <v/>
      </c>
      <c r="J259" s="22" t="n"/>
      <c r="K259" s="40">
        <f>IFERROR(VLOOKUP(J259,M2_거래처마스터!A:E,3,FALSE),"")</f>
        <v/>
      </c>
      <c r="L259" s="40">
        <f>IFERROR(VLOOKUP(J259,M2_거래처마스터!A:E,5,FALSE),"")</f>
        <v/>
      </c>
      <c r="M259" s="22" t="n"/>
      <c r="N259" s="22" t="n"/>
    </row>
    <row r="260">
      <c r="A260" s="34" t="n"/>
      <c r="B260" s="35">
        <f>IF(A260="","",YEAR(A260))</f>
        <v/>
      </c>
      <c r="C260" s="36">
        <f>IF(A260="","",MONTH(A260))</f>
        <v/>
      </c>
      <c r="D260" s="37">
        <f>IF(A260="","","Q"&amp;ROUNDUP(MONTH(A260)/3,0))</f>
        <v/>
      </c>
      <c r="E260" s="18" t="n"/>
      <c r="F260" s="18" t="n"/>
      <c r="G260" s="38" t="n"/>
      <c r="H260" s="20" t="n"/>
      <c r="I260" s="39">
        <f>IF(AND(G260&lt;&gt;"",H260&lt;&gt;""),G260*H260,"")</f>
        <v/>
      </c>
      <c r="J260" s="18" t="n"/>
      <c r="K260" s="40">
        <f>IFERROR(VLOOKUP(J260,M2_거래처마스터!A:E,3,FALSE),"")</f>
        <v/>
      </c>
      <c r="L260" s="40">
        <f>IFERROR(VLOOKUP(J260,M2_거래처마스터!A:E,5,FALSE),"")</f>
        <v/>
      </c>
      <c r="M260" s="18" t="n"/>
      <c r="N260" s="18" t="n"/>
    </row>
    <row r="261">
      <c r="A261" s="41" t="n"/>
      <c r="B261" s="35">
        <f>IF(A261="","",YEAR(A261))</f>
        <v/>
      </c>
      <c r="C261" s="36">
        <f>IF(A261="","",MONTH(A261))</f>
        <v/>
      </c>
      <c r="D261" s="37">
        <f>IF(A261="","","Q"&amp;ROUNDUP(MONTH(A261)/3,0))</f>
        <v/>
      </c>
      <c r="E261" s="22" t="n"/>
      <c r="F261" s="22" t="n"/>
      <c r="G261" s="42" t="n"/>
      <c r="H261" s="24" t="n"/>
      <c r="I261" s="39">
        <f>IF(AND(G261&lt;&gt;"",H261&lt;&gt;""),G261*H261,"")</f>
        <v/>
      </c>
      <c r="J261" s="22" t="n"/>
      <c r="K261" s="40">
        <f>IFERROR(VLOOKUP(J261,M2_거래처마스터!A:E,3,FALSE),"")</f>
        <v/>
      </c>
      <c r="L261" s="40">
        <f>IFERROR(VLOOKUP(J261,M2_거래처마스터!A:E,5,FALSE),"")</f>
        <v/>
      </c>
      <c r="M261" s="22" t="n"/>
      <c r="N261" s="22" t="n"/>
    </row>
    <row r="262">
      <c r="A262" s="34" t="n"/>
      <c r="B262" s="35">
        <f>IF(A262="","",YEAR(A262))</f>
        <v/>
      </c>
      <c r="C262" s="36">
        <f>IF(A262="","",MONTH(A262))</f>
        <v/>
      </c>
      <c r="D262" s="37">
        <f>IF(A262="","","Q"&amp;ROUNDUP(MONTH(A262)/3,0))</f>
        <v/>
      </c>
      <c r="E262" s="18" t="n"/>
      <c r="F262" s="18" t="n"/>
      <c r="G262" s="38" t="n"/>
      <c r="H262" s="20" t="n"/>
      <c r="I262" s="39">
        <f>IF(AND(G262&lt;&gt;"",H262&lt;&gt;""),G262*H262,"")</f>
        <v/>
      </c>
      <c r="J262" s="18" t="n"/>
      <c r="K262" s="40">
        <f>IFERROR(VLOOKUP(J262,M2_거래처마스터!A:E,3,FALSE),"")</f>
        <v/>
      </c>
      <c r="L262" s="40">
        <f>IFERROR(VLOOKUP(J262,M2_거래처마스터!A:E,5,FALSE),"")</f>
        <v/>
      </c>
      <c r="M262" s="18" t="n"/>
      <c r="N262" s="18" t="n"/>
    </row>
    <row r="263">
      <c r="A263" s="41" t="n"/>
      <c r="B263" s="35">
        <f>IF(A263="","",YEAR(A263))</f>
        <v/>
      </c>
      <c r="C263" s="36">
        <f>IF(A263="","",MONTH(A263))</f>
        <v/>
      </c>
      <c r="D263" s="37">
        <f>IF(A263="","","Q"&amp;ROUNDUP(MONTH(A263)/3,0))</f>
        <v/>
      </c>
      <c r="E263" s="22" t="n"/>
      <c r="F263" s="22" t="n"/>
      <c r="G263" s="42" t="n"/>
      <c r="H263" s="24" t="n"/>
      <c r="I263" s="39">
        <f>IF(AND(G263&lt;&gt;"",H263&lt;&gt;""),G263*H263,"")</f>
        <v/>
      </c>
      <c r="J263" s="22" t="n"/>
      <c r="K263" s="40">
        <f>IFERROR(VLOOKUP(J263,M2_거래처마스터!A:E,3,FALSE),"")</f>
        <v/>
      </c>
      <c r="L263" s="40">
        <f>IFERROR(VLOOKUP(J263,M2_거래처마스터!A:E,5,FALSE),"")</f>
        <v/>
      </c>
      <c r="M263" s="22" t="n"/>
      <c r="N263" s="22" t="n"/>
    </row>
    <row r="264">
      <c r="A264" s="34" t="n"/>
      <c r="B264" s="35">
        <f>IF(A264="","",YEAR(A264))</f>
        <v/>
      </c>
      <c r="C264" s="36">
        <f>IF(A264="","",MONTH(A264))</f>
        <v/>
      </c>
      <c r="D264" s="37">
        <f>IF(A264="","","Q"&amp;ROUNDUP(MONTH(A264)/3,0))</f>
        <v/>
      </c>
      <c r="E264" s="18" t="n"/>
      <c r="F264" s="18" t="n"/>
      <c r="G264" s="38" t="n"/>
      <c r="H264" s="20" t="n"/>
      <c r="I264" s="39">
        <f>IF(AND(G264&lt;&gt;"",H264&lt;&gt;""),G264*H264,"")</f>
        <v/>
      </c>
      <c r="J264" s="18" t="n"/>
      <c r="K264" s="40">
        <f>IFERROR(VLOOKUP(J264,M2_거래처마스터!A:E,3,FALSE),"")</f>
        <v/>
      </c>
      <c r="L264" s="40">
        <f>IFERROR(VLOOKUP(J264,M2_거래처마스터!A:E,5,FALSE),"")</f>
        <v/>
      </c>
      <c r="M264" s="18" t="n"/>
      <c r="N264" s="18" t="n"/>
    </row>
    <row r="265">
      <c r="A265" s="41" t="n"/>
      <c r="B265" s="35">
        <f>IF(A265="","",YEAR(A265))</f>
        <v/>
      </c>
      <c r="C265" s="36">
        <f>IF(A265="","",MONTH(A265))</f>
        <v/>
      </c>
      <c r="D265" s="37">
        <f>IF(A265="","","Q"&amp;ROUNDUP(MONTH(A265)/3,0))</f>
        <v/>
      </c>
      <c r="E265" s="22" t="n"/>
      <c r="F265" s="22" t="n"/>
      <c r="G265" s="42" t="n"/>
      <c r="H265" s="24" t="n"/>
      <c r="I265" s="39">
        <f>IF(AND(G265&lt;&gt;"",H265&lt;&gt;""),G265*H265,"")</f>
        <v/>
      </c>
      <c r="J265" s="22" t="n"/>
      <c r="K265" s="40">
        <f>IFERROR(VLOOKUP(J265,M2_거래처마스터!A:E,3,FALSE),"")</f>
        <v/>
      </c>
      <c r="L265" s="40">
        <f>IFERROR(VLOOKUP(J265,M2_거래처마스터!A:E,5,FALSE),"")</f>
        <v/>
      </c>
      <c r="M265" s="22" t="n"/>
      <c r="N265" s="22" t="n"/>
    </row>
    <row r="266">
      <c r="A266" s="34" t="n"/>
      <c r="B266" s="35">
        <f>IF(A266="","",YEAR(A266))</f>
        <v/>
      </c>
      <c r="C266" s="36">
        <f>IF(A266="","",MONTH(A266))</f>
        <v/>
      </c>
      <c r="D266" s="37">
        <f>IF(A266="","","Q"&amp;ROUNDUP(MONTH(A266)/3,0))</f>
        <v/>
      </c>
      <c r="E266" s="18" t="n"/>
      <c r="F266" s="18" t="n"/>
      <c r="G266" s="38" t="n"/>
      <c r="H266" s="20" t="n"/>
      <c r="I266" s="39">
        <f>IF(AND(G266&lt;&gt;"",H266&lt;&gt;""),G266*H266,"")</f>
        <v/>
      </c>
      <c r="J266" s="18" t="n"/>
      <c r="K266" s="40">
        <f>IFERROR(VLOOKUP(J266,M2_거래처마스터!A:E,3,FALSE),"")</f>
        <v/>
      </c>
      <c r="L266" s="40">
        <f>IFERROR(VLOOKUP(J266,M2_거래처마스터!A:E,5,FALSE),"")</f>
        <v/>
      </c>
      <c r="M266" s="18" t="n"/>
      <c r="N266" s="18" t="n"/>
    </row>
    <row r="267">
      <c r="A267" s="41" t="n"/>
      <c r="B267" s="35">
        <f>IF(A267="","",YEAR(A267))</f>
        <v/>
      </c>
      <c r="C267" s="36">
        <f>IF(A267="","",MONTH(A267))</f>
        <v/>
      </c>
      <c r="D267" s="37">
        <f>IF(A267="","","Q"&amp;ROUNDUP(MONTH(A267)/3,0))</f>
        <v/>
      </c>
      <c r="E267" s="22" t="n"/>
      <c r="F267" s="22" t="n"/>
      <c r="G267" s="42" t="n"/>
      <c r="H267" s="24" t="n"/>
      <c r="I267" s="39">
        <f>IF(AND(G267&lt;&gt;"",H267&lt;&gt;""),G267*H267,"")</f>
        <v/>
      </c>
      <c r="J267" s="22" t="n"/>
      <c r="K267" s="40">
        <f>IFERROR(VLOOKUP(J267,M2_거래처마스터!A:E,3,FALSE),"")</f>
        <v/>
      </c>
      <c r="L267" s="40">
        <f>IFERROR(VLOOKUP(J267,M2_거래처마스터!A:E,5,FALSE),"")</f>
        <v/>
      </c>
      <c r="M267" s="22" t="n"/>
      <c r="N267" s="22" t="n"/>
    </row>
    <row r="268">
      <c r="A268" s="34" t="n"/>
      <c r="B268" s="35">
        <f>IF(A268="","",YEAR(A268))</f>
        <v/>
      </c>
      <c r="C268" s="36">
        <f>IF(A268="","",MONTH(A268))</f>
        <v/>
      </c>
      <c r="D268" s="37">
        <f>IF(A268="","","Q"&amp;ROUNDUP(MONTH(A268)/3,0))</f>
        <v/>
      </c>
      <c r="E268" s="18" t="n"/>
      <c r="F268" s="18" t="n"/>
      <c r="G268" s="38" t="n"/>
      <c r="H268" s="20" t="n"/>
      <c r="I268" s="39">
        <f>IF(AND(G268&lt;&gt;"",H268&lt;&gt;""),G268*H268,"")</f>
        <v/>
      </c>
      <c r="J268" s="18" t="n"/>
      <c r="K268" s="40">
        <f>IFERROR(VLOOKUP(J268,M2_거래처마스터!A:E,3,FALSE),"")</f>
        <v/>
      </c>
      <c r="L268" s="40">
        <f>IFERROR(VLOOKUP(J268,M2_거래처마스터!A:E,5,FALSE),"")</f>
        <v/>
      </c>
      <c r="M268" s="18" t="n"/>
      <c r="N268" s="18" t="n"/>
    </row>
    <row r="269">
      <c r="A269" s="41" t="n"/>
      <c r="B269" s="35">
        <f>IF(A269="","",YEAR(A269))</f>
        <v/>
      </c>
      <c r="C269" s="36">
        <f>IF(A269="","",MONTH(A269))</f>
        <v/>
      </c>
      <c r="D269" s="37">
        <f>IF(A269="","","Q"&amp;ROUNDUP(MONTH(A269)/3,0))</f>
        <v/>
      </c>
      <c r="E269" s="22" t="n"/>
      <c r="F269" s="22" t="n"/>
      <c r="G269" s="42" t="n"/>
      <c r="H269" s="24" t="n"/>
      <c r="I269" s="39">
        <f>IF(AND(G269&lt;&gt;"",H269&lt;&gt;""),G269*H269,"")</f>
        <v/>
      </c>
      <c r="J269" s="22" t="n"/>
      <c r="K269" s="40">
        <f>IFERROR(VLOOKUP(J269,M2_거래처마스터!A:E,3,FALSE),"")</f>
        <v/>
      </c>
      <c r="L269" s="40">
        <f>IFERROR(VLOOKUP(J269,M2_거래처마스터!A:E,5,FALSE),"")</f>
        <v/>
      </c>
      <c r="M269" s="22" t="n"/>
      <c r="N269" s="22" t="n"/>
    </row>
    <row r="270">
      <c r="A270" s="34" t="n"/>
      <c r="B270" s="35">
        <f>IF(A270="","",YEAR(A270))</f>
        <v/>
      </c>
      <c r="C270" s="36">
        <f>IF(A270="","",MONTH(A270))</f>
        <v/>
      </c>
      <c r="D270" s="37">
        <f>IF(A270="","","Q"&amp;ROUNDUP(MONTH(A270)/3,0))</f>
        <v/>
      </c>
      <c r="E270" s="18" t="n"/>
      <c r="F270" s="18" t="n"/>
      <c r="G270" s="38" t="n"/>
      <c r="H270" s="20" t="n"/>
      <c r="I270" s="39">
        <f>IF(AND(G270&lt;&gt;"",H270&lt;&gt;""),G270*H270,"")</f>
        <v/>
      </c>
      <c r="J270" s="18" t="n"/>
      <c r="K270" s="40">
        <f>IFERROR(VLOOKUP(J270,M2_거래처마스터!A:E,3,FALSE),"")</f>
        <v/>
      </c>
      <c r="L270" s="40">
        <f>IFERROR(VLOOKUP(J270,M2_거래처마스터!A:E,5,FALSE),"")</f>
        <v/>
      </c>
      <c r="M270" s="18" t="n"/>
      <c r="N270" s="18" t="n"/>
    </row>
    <row r="271">
      <c r="A271" s="41" t="n"/>
      <c r="B271" s="35">
        <f>IF(A271="","",YEAR(A271))</f>
        <v/>
      </c>
      <c r="C271" s="36">
        <f>IF(A271="","",MONTH(A271))</f>
        <v/>
      </c>
      <c r="D271" s="37">
        <f>IF(A271="","","Q"&amp;ROUNDUP(MONTH(A271)/3,0))</f>
        <v/>
      </c>
      <c r="E271" s="22" t="n"/>
      <c r="F271" s="22" t="n"/>
      <c r="G271" s="42" t="n"/>
      <c r="H271" s="24" t="n"/>
      <c r="I271" s="39">
        <f>IF(AND(G271&lt;&gt;"",H271&lt;&gt;""),G271*H271,"")</f>
        <v/>
      </c>
      <c r="J271" s="22" t="n"/>
      <c r="K271" s="40">
        <f>IFERROR(VLOOKUP(J271,M2_거래처마스터!A:E,3,FALSE),"")</f>
        <v/>
      </c>
      <c r="L271" s="40">
        <f>IFERROR(VLOOKUP(J271,M2_거래처마스터!A:E,5,FALSE),"")</f>
        <v/>
      </c>
      <c r="M271" s="22" t="n"/>
      <c r="N271" s="22" t="n"/>
    </row>
    <row r="272">
      <c r="A272" s="34" t="n"/>
      <c r="B272" s="35">
        <f>IF(A272="","",YEAR(A272))</f>
        <v/>
      </c>
      <c r="C272" s="36">
        <f>IF(A272="","",MONTH(A272))</f>
        <v/>
      </c>
      <c r="D272" s="37">
        <f>IF(A272="","","Q"&amp;ROUNDUP(MONTH(A272)/3,0))</f>
        <v/>
      </c>
      <c r="E272" s="18" t="n"/>
      <c r="F272" s="18" t="n"/>
      <c r="G272" s="38" t="n"/>
      <c r="H272" s="20" t="n"/>
      <c r="I272" s="39">
        <f>IF(AND(G272&lt;&gt;"",H272&lt;&gt;""),G272*H272,"")</f>
        <v/>
      </c>
      <c r="J272" s="18" t="n"/>
      <c r="K272" s="40">
        <f>IFERROR(VLOOKUP(J272,M2_거래처마스터!A:E,3,FALSE),"")</f>
        <v/>
      </c>
      <c r="L272" s="40">
        <f>IFERROR(VLOOKUP(J272,M2_거래처마스터!A:E,5,FALSE),"")</f>
        <v/>
      </c>
      <c r="M272" s="18" t="n"/>
      <c r="N272" s="18" t="n"/>
    </row>
    <row r="273">
      <c r="A273" s="41" t="n"/>
      <c r="B273" s="35">
        <f>IF(A273="","",YEAR(A273))</f>
        <v/>
      </c>
      <c r="C273" s="36">
        <f>IF(A273="","",MONTH(A273))</f>
        <v/>
      </c>
      <c r="D273" s="37">
        <f>IF(A273="","","Q"&amp;ROUNDUP(MONTH(A273)/3,0))</f>
        <v/>
      </c>
      <c r="E273" s="22" t="n"/>
      <c r="F273" s="22" t="n"/>
      <c r="G273" s="42" t="n"/>
      <c r="H273" s="24" t="n"/>
      <c r="I273" s="39">
        <f>IF(AND(G273&lt;&gt;"",H273&lt;&gt;""),G273*H273,"")</f>
        <v/>
      </c>
      <c r="J273" s="22" t="n"/>
      <c r="K273" s="40">
        <f>IFERROR(VLOOKUP(J273,M2_거래처마스터!A:E,3,FALSE),"")</f>
        <v/>
      </c>
      <c r="L273" s="40">
        <f>IFERROR(VLOOKUP(J273,M2_거래처마스터!A:E,5,FALSE),"")</f>
        <v/>
      </c>
      <c r="M273" s="22" t="n"/>
      <c r="N273" s="22" t="n"/>
    </row>
    <row r="274">
      <c r="A274" s="34" t="n"/>
      <c r="B274" s="35">
        <f>IF(A274="","",YEAR(A274))</f>
        <v/>
      </c>
      <c r="C274" s="36">
        <f>IF(A274="","",MONTH(A274))</f>
        <v/>
      </c>
      <c r="D274" s="37">
        <f>IF(A274="","","Q"&amp;ROUNDUP(MONTH(A274)/3,0))</f>
        <v/>
      </c>
      <c r="E274" s="18" t="n"/>
      <c r="F274" s="18" t="n"/>
      <c r="G274" s="38" t="n"/>
      <c r="H274" s="20" t="n"/>
      <c r="I274" s="39">
        <f>IF(AND(G274&lt;&gt;"",H274&lt;&gt;""),G274*H274,"")</f>
        <v/>
      </c>
      <c r="J274" s="18" t="n"/>
      <c r="K274" s="40">
        <f>IFERROR(VLOOKUP(J274,M2_거래처마스터!A:E,3,FALSE),"")</f>
        <v/>
      </c>
      <c r="L274" s="40">
        <f>IFERROR(VLOOKUP(J274,M2_거래처마스터!A:E,5,FALSE),"")</f>
        <v/>
      </c>
      <c r="M274" s="18" t="n"/>
      <c r="N274" s="18" t="n"/>
    </row>
    <row r="275">
      <c r="A275" s="41" t="n"/>
      <c r="B275" s="35">
        <f>IF(A275="","",YEAR(A275))</f>
        <v/>
      </c>
      <c r="C275" s="36">
        <f>IF(A275="","",MONTH(A275))</f>
        <v/>
      </c>
      <c r="D275" s="37">
        <f>IF(A275="","","Q"&amp;ROUNDUP(MONTH(A275)/3,0))</f>
        <v/>
      </c>
      <c r="E275" s="22" t="n"/>
      <c r="F275" s="22" t="n"/>
      <c r="G275" s="42" t="n"/>
      <c r="H275" s="24" t="n"/>
      <c r="I275" s="39">
        <f>IF(AND(G275&lt;&gt;"",H275&lt;&gt;""),G275*H275,"")</f>
        <v/>
      </c>
      <c r="J275" s="22" t="n"/>
      <c r="K275" s="40">
        <f>IFERROR(VLOOKUP(J275,M2_거래처마스터!A:E,3,FALSE),"")</f>
        <v/>
      </c>
      <c r="L275" s="40">
        <f>IFERROR(VLOOKUP(J275,M2_거래처마스터!A:E,5,FALSE),"")</f>
        <v/>
      </c>
      <c r="M275" s="22" t="n"/>
      <c r="N275" s="22" t="n"/>
    </row>
    <row r="276">
      <c r="A276" s="34" t="n"/>
      <c r="B276" s="35">
        <f>IF(A276="","",YEAR(A276))</f>
        <v/>
      </c>
      <c r="C276" s="36">
        <f>IF(A276="","",MONTH(A276))</f>
        <v/>
      </c>
      <c r="D276" s="37">
        <f>IF(A276="","","Q"&amp;ROUNDUP(MONTH(A276)/3,0))</f>
        <v/>
      </c>
      <c r="E276" s="18" t="n"/>
      <c r="F276" s="18" t="n"/>
      <c r="G276" s="38" t="n"/>
      <c r="H276" s="20" t="n"/>
      <c r="I276" s="39">
        <f>IF(AND(G276&lt;&gt;"",H276&lt;&gt;""),G276*H276,"")</f>
        <v/>
      </c>
      <c r="J276" s="18" t="n"/>
      <c r="K276" s="40">
        <f>IFERROR(VLOOKUP(J276,M2_거래처마스터!A:E,3,FALSE),"")</f>
        <v/>
      </c>
      <c r="L276" s="40">
        <f>IFERROR(VLOOKUP(J276,M2_거래처마스터!A:E,5,FALSE),"")</f>
        <v/>
      </c>
      <c r="M276" s="18" t="n"/>
      <c r="N276" s="18" t="n"/>
    </row>
    <row r="277">
      <c r="A277" s="41" t="n"/>
      <c r="B277" s="35">
        <f>IF(A277="","",YEAR(A277))</f>
        <v/>
      </c>
      <c r="C277" s="36">
        <f>IF(A277="","",MONTH(A277))</f>
        <v/>
      </c>
      <c r="D277" s="37">
        <f>IF(A277="","","Q"&amp;ROUNDUP(MONTH(A277)/3,0))</f>
        <v/>
      </c>
      <c r="E277" s="22" t="n"/>
      <c r="F277" s="22" t="n"/>
      <c r="G277" s="42" t="n"/>
      <c r="H277" s="24" t="n"/>
      <c r="I277" s="39">
        <f>IF(AND(G277&lt;&gt;"",H277&lt;&gt;""),G277*H277,"")</f>
        <v/>
      </c>
      <c r="J277" s="22" t="n"/>
      <c r="K277" s="40">
        <f>IFERROR(VLOOKUP(J277,M2_거래처마스터!A:E,3,FALSE),"")</f>
        <v/>
      </c>
      <c r="L277" s="40">
        <f>IFERROR(VLOOKUP(J277,M2_거래처마스터!A:E,5,FALSE),"")</f>
        <v/>
      </c>
      <c r="M277" s="22" t="n"/>
      <c r="N277" s="22" t="n"/>
    </row>
    <row r="278">
      <c r="A278" s="34" t="n"/>
      <c r="B278" s="35">
        <f>IF(A278="","",YEAR(A278))</f>
        <v/>
      </c>
      <c r="C278" s="36">
        <f>IF(A278="","",MONTH(A278))</f>
        <v/>
      </c>
      <c r="D278" s="37">
        <f>IF(A278="","","Q"&amp;ROUNDUP(MONTH(A278)/3,0))</f>
        <v/>
      </c>
      <c r="E278" s="18" t="n"/>
      <c r="F278" s="18" t="n"/>
      <c r="G278" s="38" t="n"/>
      <c r="H278" s="20" t="n"/>
      <c r="I278" s="39">
        <f>IF(AND(G278&lt;&gt;"",H278&lt;&gt;""),G278*H278,"")</f>
        <v/>
      </c>
      <c r="J278" s="18" t="n"/>
      <c r="K278" s="40">
        <f>IFERROR(VLOOKUP(J278,M2_거래처마스터!A:E,3,FALSE),"")</f>
        <v/>
      </c>
      <c r="L278" s="40">
        <f>IFERROR(VLOOKUP(J278,M2_거래처마스터!A:E,5,FALSE),"")</f>
        <v/>
      </c>
      <c r="M278" s="18" t="n"/>
      <c r="N278" s="18" t="n"/>
    </row>
    <row r="279">
      <c r="A279" s="41" t="n"/>
      <c r="B279" s="35">
        <f>IF(A279="","",YEAR(A279))</f>
        <v/>
      </c>
      <c r="C279" s="36">
        <f>IF(A279="","",MONTH(A279))</f>
        <v/>
      </c>
      <c r="D279" s="37">
        <f>IF(A279="","","Q"&amp;ROUNDUP(MONTH(A279)/3,0))</f>
        <v/>
      </c>
      <c r="E279" s="22" t="n"/>
      <c r="F279" s="22" t="n"/>
      <c r="G279" s="42" t="n"/>
      <c r="H279" s="24" t="n"/>
      <c r="I279" s="39">
        <f>IF(AND(G279&lt;&gt;"",H279&lt;&gt;""),G279*H279,"")</f>
        <v/>
      </c>
      <c r="J279" s="22" t="n"/>
      <c r="K279" s="40">
        <f>IFERROR(VLOOKUP(J279,M2_거래처마스터!A:E,3,FALSE),"")</f>
        <v/>
      </c>
      <c r="L279" s="40">
        <f>IFERROR(VLOOKUP(J279,M2_거래처마스터!A:E,5,FALSE),"")</f>
        <v/>
      </c>
      <c r="M279" s="22" t="n"/>
      <c r="N279" s="22" t="n"/>
    </row>
    <row r="280">
      <c r="A280" s="34" t="n"/>
      <c r="B280" s="35">
        <f>IF(A280="","",YEAR(A280))</f>
        <v/>
      </c>
      <c r="C280" s="36">
        <f>IF(A280="","",MONTH(A280))</f>
        <v/>
      </c>
      <c r="D280" s="37">
        <f>IF(A280="","","Q"&amp;ROUNDUP(MONTH(A280)/3,0))</f>
        <v/>
      </c>
      <c r="E280" s="18" t="n"/>
      <c r="F280" s="18" t="n"/>
      <c r="G280" s="38" t="n"/>
      <c r="H280" s="20" t="n"/>
      <c r="I280" s="39">
        <f>IF(AND(G280&lt;&gt;"",H280&lt;&gt;""),G280*H280,"")</f>
        <v/>
      </c>
      <c r="J280" s="18" t="n"/>
      <c r="K280" s="40">
        <f>IFERROR(VLOOKUP(J280,M2_거래처마스터!A:E,3,FALSE),"")</f>
        <v/>
      </c>
      <c r="L280" s="40">
        <f>IFERROR(VLOOKUP(J280,M2_거래처마스터!A:E,5,FALSE),"")</f>
        <v/>
      </c>
      <c r="M280" s="18" t="n"/>
      <c r="N280" s="18" t="n"/>
    </row>
    <row r="281">
      <c r="A281" s="41" t="n"/>
      <c r="B281" s="35">
        <f>IF(A281="","",YEAR(A281))</f>
        <v/>
      </c>
      <c r="C281" s="36">
        <f>IF(A281="","",MONTH(A281))</f>
        <v/>
      </c>
      <c r="D281" s="37">
        <f>IF(A281="","","Q"&amp;ROUNDUP(MONTH(A281)/3,0))</f>
        <v/>
      </c>
      <c r="E281" s="22" t="n"/>
      <c r="F281" s="22" t="n"/>
      <c r="G281" s="42" t="n"/>
      <c r="H281" s="24" t="n"/>
      <c r="I281" s="39">
        <f>IF(AND(G281&lt;&gt;"",H281&lt;&gt;""),G281*H281,"")</f>
        <v/>
      </c>
      <c r="J281" s="22" t="n"/>
      <c r="K281" s="40">
        <f>IFERROR(VLOOKUP(J281,M2_거래처마스터!A:E,3,FALSE),"")</f>
        <v/>
      </c>
      <c r="L281" s="40">
        <f>IFERROR(VLOOKUP(J281,M2_거래처마스터!A:E,5,FALSE),"")</f>
        <v/>
      </c>
      <c r="M281" s="22" t="n"/>
      <c r="N281" s="22" t="n"/>
    </row>
    <row r="282">
      <c r="A282" s="34" t="n"/>
      <c r="B282" s="35">
        <f>IF(A282="","",YEAR(A282))</f>
        <v/>
      </c>
      <c r="C282" s="36">
        <f>IF(A282="","",MONTH(A282))</f>
        <v/>
      </c>
      <c r="D282" s="37">
        <f>IF(A282="","","Q"&amp;ROUNDUP(MONTH(A282)/3,0))</f>
        <v/>
      </c>
      <c r="E282" s="18" t="n"/>
      <c r="F282" s="18" t="n"/>
      <c r="G282" s="38" t="n"/>
      <c r="H282" s="20" t="n"/>
      <c r="I282" s="39">
        <f>IF(AND(G282&lt;&gt;"",H282&lt;&gt;""),G282*H282,"")</f>
        <v/>
      </c>
      <c r="J282" s="18" t="n"/>
      <c r="K282" s="40">
        <f>IFERROR(VLOOKUP(J282,M2_거래처마스터!A:E,3,FALSE),"")</f>
        <v/>
      </c>
      <c r="L282" s="40">
        <f>IFERROR(VLOOKUP(J282,M2_거래처마스터!A:E,5,FALSE),"")</f>
        <v/>
      </c>
      <c r="M282" s="18" t="n"/>
      <c r="N282" s="18" t="n"/>
    </row>
    <row r="283">
      <c r="A283" s="41" t="n"/>
      <c r="B283" s="35">
        <f>IF(A283="","",YEAR(A283))</f>
        <v/>
      </c>
      <c r="C283" s="36">
        <f>IF(A283="","",MONTH(A283))</f>
        <v/>
      </c>
      <c r="D283" s="37">
        <f>IF(A283="","","Q"&amp;ROUNDUP(MONTH(A283)/3,0))</f>
        <v/>
      </c>
      <c r="E283" s="22" t="n"/>
      <c r="F283" s="22" t="n"/>
      <c r="G283" s="42" t="n"/>
      <c r="H283" s="24" t="n"/>
      <c r="I283" s="39">
        <f>IF(AND(G283&lt;&gt;"",H283&lt;&gt;""),G283*H283,"")</f>
        <v/>
      </c>
      <c r="J283" s="22" t="n"/>
      <c r="K283" s="40">
        <f>IFERROR(VLOOKUP(J283,M2_거래처마스터!A:E,3,FALSE),"")</f>
        <v/>
      </c>
      <c r="L283" s="40">
        <f>IFERROR(VLOOKUP(J283,M2_거래처마스터!A:E,5,FALSE),"")</f>
        <v/>
      </c>
      <c r="M283" s="22" t="n"/>
      <c r="N283" s="22" t="n"/>
    </row>
    <row r="284">
      <c r="A284" s="34" t="n"/>
      <c r="B284" s="35">
        <f>IF(A284="","",YEAR(A284))</f>
        <v/>
      </c>
      <c r="C284" s="36">
        <f>IF(A284="","",MONTH(A284))</f>
        <v/>
      </c>
      <c r="D284" s="37">
        <f>IF(A284="","","Q"&amp;ROUNDUP(MONTH(A284)/3,0))</f>
        <v/>
      </c>
      <c r="E284" s="18" t="n"/>
      <c r="F284" s="18" t="n"/>
      <c r="G284" s="38" t="n"/>
      <c r="H284" s="20" t="n"/>
      <c r="I284" s="39">
        <f>IF(AND(G284&lt;&gt;"",H284&lt;&gt;""),G284*H284,"")</f>
        <v/>
      </c>
      <c r="J284" s="18" t="n"/>
      <c r="K284" s="40">
        <f>IFERROR(VLOOKUP(J284,M2_거래처마스터!A:E,3,FALSE),"")</f>
        <v/>
      </c>
      <c r="L284" s="40">
        <f>IFERROR(VLOOKUP(J284,M2_거래처마스터!A:E,5,FALSE),"")</f>
        <v/>
      </c>
      <c r="M284" s="18" t="n"/>
      <c r="N284" s="18" t="n"/>
    </row>
    <row r="285">
      <c r="A285" s="41" t="n"/>
      <c r="B285" s="35">
        <f>IF(A285="","",YEAR(A285))</f>
        <v/>
      </c>
      <c r="C285" s="36">
        <f>IF(A285="","",MONTH(A285))</f>
        <v/>
      </c>
      <c r="D285" s="37">
        <f>IF(A285="","","Q"&amp;ROUNDUP(MONTH(A285)/3,0))</f>
        <v/>
      </c>
      <c r="E285" s="22" t="n"/>
      <c r="F285" s="22" t="n"/>
      <c r="G285" s="42" t="n"/>
      <c r="H285" s="24" t="n"/>
      <c r="I285" s="39">
        <f>IF(AND(G285&lt;&gt;"",H285&lt;&gt;""),G285*H285,"")</f>
        <v/>
      </c>
      <c r="J285" s="22" t="n"/>
      <c r="K285" s="40">
        <f>IFERROR(VLOOKUP(J285,M2_거래처마스터!A:E,3,FALSE),"")</f>
        <v/>
      </c>
      <c r="L285" s="40">
        <f>IFERROR(VLOOKUP(J285,M2_거래처마스터!A:E,5,FALSE),"")</f>
        <v/>
      </c>
      <c r="M285" s="22" t="n"/>
      <c r="N285" s="22" t="n"/>
    </row>
    <row r="286">
      <c r="A286" s="34" t="n"/>
      <c r="B286" s="35">
        <f>IF(A286="","",YEAR(A286))</f>
        <v/>
      </c>
      <c r="C286" s="36">
        <f>IF(A286="","",MONTH(A286))</f>
        <v/>
      </c>
      <c r="D286" s="37">
        <f>IF(A286="","","Q"&amp;ROUNDUP(MONTH(A286)/3,0))</f>
        <v/>
      </c>
      <c r="E286" s="18" t="n"/>
      <c r="F286" s="18" t="n"/>
      <c r="G286" s="38" t="n"/>
      <c r="H286" s="20" t="n"/>
      <c r="I286" s="39">
        <f>IF(AND(G286&lt;&gt;"",H286&lt;&gt;""),G286*H286,"")</f>
        <v/>
      </c>
      <c r="J286" s="18" t="n"/>
      <c r="K286" s="40">
        <f>IFERROR(VLOOKUP(J286,M2_거래처마스터!A:E,3,FALSE),"")</f>
        <v/>
      </c>
      <c r="L286" s="40">
        <f>IFERROR(VLOOKUP(J286,M2_거래처마스터!A:E,5,FALSE),"")</f>
        <v/>
      </c>
      <c r="M286" s="18" t="n"/>
      <c r="N286" s="18" t="n"/>
    </row>
    <row r="287">
      <c r="A287" s="41" t="n"/>
      <c r="B287" s="35">
        <f>IF(A287="","",YEAR(A287))</f>
        <v/>
      </c>
      <c r="C287" s="36">
        <f>IF(A287="","",MONTH(A287))</f>
        <v/>
      </c>
      <c r="D287" s="37">
        <f>IF(A287="","","Q"&amp;ROUNDUP(MONTH(A287)/3,0))</f>
        <v/>
      </c>
      <c r="E287" s="22" t="n"/>
      <c r="F287" s="22" t="n"/>
      <c r="G287" s="42" t="n"/>
      <c r="H287" s="24" t="n"/>
      <c r="I287" s="39">
        <f>IF(AND(G287&lt;&gt;"",H287&lt;&gt;""),G287*H287,"")</f>
        <v/>
      </c>
      <c r="J287" s="22" t="n"/>
      <c r="K287" s="40">
        <f>IFERROR(VLOOKUP(J287,M2_거래처마스터!A:E,3,FALSE),"")</f>
        <v/>
      </c>
      <c r="L287" s="40">
        <f>IFERROR(VLOOKUP(J287,M2_거래처마스터!A:E,5,FALSE),"")</f>
        <v/>
      </c>
      <c r="M287" s="22" t="n"/>
      <c r="N287" s="22" t="n"/>
    </row>
    <row r="288">
      <c r="A288" s="34" t="n"/>
      <c r="B288" s="35">
        <f>IF(A288="","",YEAR(A288))</f>
        <v/>
      </c>
      <c r="C288" s="36">
        <f>IF(A288="","",MONTH(A288))</f>
        <v/>
      </c>
      <c r="D288" s="37">
        <f>IF(A288="","","Q"&amp;ROUNDUP(MONTH(A288)/3,0))</f>
        <v/>
      </c>
      <c r="E288" s="18" t="n"/>
      <c r="F288" s="18" t="n"/>
      <c r="G288" s="38" t="n"/>
      <c r="H288" s="20" t="n"/>
      <c r="I288" s="39">
        <f>IF(AND(G288&lt;&gt;"",H288&lt;&gt;""),G288*H288,"")</f>
        <v/>
      </c>
      <c r="J288" s="18" t="n"/>
      <c r="K288" s="40">
        <f>IFERROR(VLOOKUP(J288,M2_거래처마스터!A:E,3,FALSE),"")</f>
        <v/>
      </c>
      <c r="L288" s="40">
        <f>IFERROR(VLOOKUP(J288,M2_거래처마스터!A:E,5,FALSE),"")</f>
        <v/>
      </c>
      <c r="M288" s="18" t="n"/>
      <c r="N288" s="18" t="n"/>
    </row>
    <row r="289">
      <c r="A289" s="41" t="n"/>
      <c r="B289" s="35">
        <f>IF(A289="","",YEAR(A289))</f>
        <v/>
      </c>
      <c r="C289" s="36">
        <f>IF(A289="","",MONTH(A289))</f>
        <v/>
      </c>
      <c r="D289" s="37">
        <f>IF(A289="","","Q"&amp;ROUNDUP(MONTH(A289)/3,0))</f>
        <v/>
      </c>
      <c r="E289" s="22" t="n"/>
      <c r="F289" s="22" t="n"/>
      <c r="G289" s="42" t="n"/>
      <c r="H289" s="24" t="n"/>
      <c r="I289" s="39">
        <f>IF(AND(G289&lt;&gt;"",H289&lt;&gt;""),G289*H289,"")</f>
        <v/>
      </c>
      <c r="J289" s="22" t="n"/>
      <c r="K289" s="40">
        <f>IFERROR(VLOOKUP(J289,M2_거래처마스터!A:E,3,FALSE),"")</f>
        <v/>
      </c>
      <c r="L289" s="40">
        <f>IFERROR(VLOOKUP(J289,M2_거래처마스터!A:E,5,FALSE),"")</f>
        <v/>
      </c>
      <c r="M289" s="22" t="n"/>
      <c r="N289" s="22" t="n"/>
    </row>
    <row r="290">
      <c r="A290" s="34" t="n"/>
      <c r="B290" s="35">
        <f>IF(A290="","",YEAR(A290))</f>
        <v/>
      </c>
      <c r="C290" s="36">
        <f>IF(A290="","",MONTH(A290))</f>
        <v/>
      </c>
      <c r="D290" s="37">
        <f>IF(A290="","","Q"&amp;ROUNDUP(MONTH(A290)/3,0))</f>
        <v/>
      </c>
      <c r="E290" s="18" t="n"/>
      <c r="F290" s="18" t="n"/>
      <c r="G290" s="38" t="n"/>
      <c r="H290" s="20" t="n"/>
      <c r="I290" s="39">
        <f>IF(AND(G290&lt;&gt;"",H290&lt;&gt;""),G290*H290,"")</f>
        <v/>
      </c>
      <c r="J290" s="18" t="n"/>
      <c r="K290" s="40">
        <f>IFERROR(VLOOKUP(J290,M2_거래처마스터!A:E,3,FALSE),"")</f>
        <v/>
      </c>
      <c r="L290" s="40">
        <f>IFERROR(VLOOKUP(J290,M2_거래처마스터!A:E,5,FALSE),"")</f>
        <v/>
      </c>
      <c r="M290" s="18" t="n"/>
      <c r="N290" s="18" t="n"/>
    </row>
    <row r="291">
      <c r="A291" s="41" t="n"/>
      <c r="B291" s="35">
        <f>IF(A291="","",YEAR(A291))</f>
        <v/>
      </c>
      <c r="C291" s="36">
        <f>IF(A291="","",MONTH(A291))</f>
        <v/>
      </c>
      <c r="D291" s="37">
        <f>IF(A291="","","Q"&amp;ROUNDUP(MONTH(A291)/3,0))</f>
        <v/>
      </c>
      <c r="E291" s="22" t="n"/>
      <c r="F291" s="22" t="n"/>
      <c r="G291" s="42" t="n"/>
      <c r="H291" s="24" t="n"/>
      <c r="I291" s="39">
        <f>IF(AND(G291&lt;&gt;"",H291&lt;&gt;""),G291*H291,"")</f>
        <v/>
      </c>
      <c r="J291" s="22" t="n"/>
      <c r="K291" s="40">
        <f>IFERROR(VLOOKUP(J291,M2_거래처마스터!A:E,3,FALSE),"")</f>
        <v/>
      </c>
      <c r="L291" s="40">
        <f>IFERROR(VLOOKUP(J291,M2_거래처마스터!A:E,5,FALSE),"")</f>
        <v/>
      </c>
      <c r="M291" s="22" t="n"/>
      <c r="N291" s="22" t="n"/>
    </row>
    <row r="292">
      <c r="A292" s="34" t="n"/>
      <c r="B292" s="35">
        <f>IF(A292="","",YEAR(A292))</f>
        <v/>
      </c>
      <c r="C292" s="36">
        <f>IF(A292="","",MONTH(A292))</f>
        <v/>
      </c>
      <c r="D292" s="37">
        <f>IF(A292="","","Q"&amp;ROUNDUP(MONTH(A292)/3,0))</f>
        <v/>
      </c>
      <c r="E292" s="18" t="n"/>
      <c r="F292" s="18" t="n"/>
      <c r="G292" s="38" t="n"/>
      <c r="H292" s="20" t="n"/>
      <c r="I292" s="39">
        <f>IF(AND(G292&lt;&gt;"",H292&lt;&gt;""),G292*H292,"")</f>
        <v/>
      </c>
      <c r="J292" s="18" t="n"/>
      <c r="K292" s="40">
        <f>IFERROR(VLOOKUP(J292,M2_거래처마스터!A:E,3,FALSE),"")</f>
        <v/>
      </c>
      <c r="L292" s="40">
        <f>IFERROR(VLOOKUP(J292,M2_거래처마스터!A:E,5,FALSE),"")</f>
        <v/>
      </c>
      <c r="M292" s="18" t="n"/>
      <c r="N292" s="18" t="n"/>
    </row>
    <row r="293">
      <c r="A293" s="41" t="n"/>
      <c r="B293" s="35">
        <f>IF(A293="","",YEAR(A293))</f>
        <v/>
      </c>
      <c r="C293" s="36">
        <f>IF(A293="","",MONTH(A293))</f>
        <v/>
      </c>
      <c r="D293" s="37">
        <f>IF(A293="","","Q"&amp;ROUNDUP(MONTH(A293)/3,0))</f>
        <v/>
      </c>
      <c r="E293" s="22" t="n"/>
      <c r="F293" s="22" t="n"/>
      <c r="G293" s="42" t="n"/>
      <c r="H293" s="24" t="n"/>
      <c r="I293" s="39">
        <f>IF(AND(G293&lt;&gt;"",H293&lt;&gt;""),G293*H293,"")</f>
        <v/>
      </c>
      <c r="J293" s="22" t="n"/>
      <c r="K293" s="40">
        <f>IFERROR(VLOOKUP(J293,M2_거래처마스터!A:E,3,FALSE),"")</f>
        <v/>
      </c>
      <c r="L293" s="40">
        <f>IFERROR(VLOOKUP(J293,M2_거래처마스터!A:E,5,FALSE),"")</f>
        <v/>
      </c>
      <c r="M293" s="22" t="n"/>
      <c r="N293" s="22" t="n"/>
    </row>
    <row r="294">
      <c r="A294" s="34" t="n"/>
      <c r="B294" s="35">
        <f>IF(A294="","",YEAR(A294))</f>
        <v/>
      </c>
      <c r="C294" s="36">
        <f>IF(A294="","",MONTH(A294))</f>
        <v/>
      </c>
      <c r="D294" s="37">
        <f>IF(A294="","","Q"&amp;ROUNDUP(MONTH(A294)/3,0))</f>
        <v/>
      </c>
      <c r="E294" s="18" t="n"/>
      <c r="F294" s="18" t="n"/>
      <c r="G294" s="38" t="n"/>
      <c r="H294" s="20" t="n"/>
      <c r="I294" s="39">
        <f>IF(AND(G294&lt;&gt;"",H294&lt;&gt;""),G294*H294,"")</f>
        <v/>
      </c>
      <c r="J294" s="18" t="n"/>
      <c r="K294" s="40">
        <f>IFERROR(VLOOKUP(J294,M2_거래처마스터!A:E,3,FALSE),"")</f>
        <v/>
      </c>
      <c r="L294" s="40">
        <f>IFERROR(VLOOKUP(J294,M2_거래처마스터!A:E,5,FALSE),"")</f>
        <v/>
      </c>
      <c r="M294" s="18" t="n"/>
      <c r="N294" s="18" t="n"/>
    </row>
    <row r="295">
      <c r="A295" s="41" t="n"/>
      <c r="B295" s="35">
        <f>IF(A295="","",YEAR(A295))</f>
        <v/>
      </c>
      <c r="C295" s="36">
        <f>IF(A295="","",MONTH(A295))</f>
        <v/>
      </c>
      <c r="D295" s="37">
        <f>IF(A295="","","Q"&amp;ROUNDUP(MONTH(A295)/3,0))</f>
        <v/>
      </c>
      <c r="E295" s="22" t="n"/>
      <c r="F295" s="22" t="n"/>
      <c r="G295" s="42" t="n"/>
      <c r="H295" s="24" t="n"/>
      <c r="I295" s="39">
        <f>IF(AND(G295&lt;&gt;"",H295&lt;&gt;""),G295*H295,"")</f>
        <v/>
      </c>
      <c r="J295" s="22" t="n"/>
      <c r="K295" s="40">
        <f>IFERROR(VLOOKUP(J295,M2_거래처마스터!A:E,3,FALSE),"")</f>
        <v/>
      </c>
      <c r="L295" s="40">
        <f>IFERROR(VLOOKUP(J295,M2_거래처마스터!A:E,5,FALSE),"")</f>
        <v/>
      </c>
      <c r="M295" s="22" t="n"/>
      <c r="N295" s="22" t="n"/>
    </row>
    <row r="296">
      <c r="A296" s="34" t="n"/>
      <c r="B296" s="35">
        <f>IF(A296="","",YEAR(A296))</f>
        <v/>
      </c>
      <c r="C296" s="36">
        <f>IF(A296="","",MONTH(A296))</f>
        <v/>
      </c>
      <c r="D296" s="37">
        <f>IF(A296="","","Q"&amp;ROUNDUP(MONTH(A296)/3,0))</f>
        <v/>
      </c>
      <c r="E296" s="18" t="n"/>
      <c r="F296" s="18" t="n"/>
      <c r="G296" s="38" t="n"/>
      <c r="H296" s="20" t="n"/>
      <c r="I296" s="39">
        <f>IF(AND(G296&lt;&gt;"",H296&lt;&gt;""),G296*H296,"")</f>
        <v/>
      </c>
      <c r="J296" s="18" t="n"/>
      <c r="K296" s="40">
        <f>IFERROR(VLOOKUP(J296,M2_거래처마스터!A:E,3,FALSE),"")</f>
        <v/>
      </c>
      <c r="L296" s="40">
        <f>IFERROR(VLOOKUP(J296,M2_거래처마스터!A:E,5,FALSE),"")</f>
        <v/>
      </c>
      <c r="M296" s="18" t="n"/>
      <c r="N296" s="18" t="n"/>
    </row>
    <row r="297">
      <c r="A297" s="41" t="n"/>
      <c r="B297" s="35">
        <f>IF(A297="","",YEAR(A297))</f>
        <v/>
      </c>
      <c r="C297" s="36">
        <f>IF(A297="","",MONTH(A297))</f>
        <v/>
      </c>
      <c r="D297" s="37">
        <f>IF(A297="","","Q"&amp;ROUNDUP(MONTH(A297)/3,0))</f>
        <v/>
      </c>
      <c r="E297" s="22" t="n"/>
      <c r="F297" s="22" t="n"/>
      <c r="G297" s="42" t="n"/>
      <c r="H297" s="24" t="n"/>
      <c r="I297" s="39">
        <f>IF(AND(G297&lt;&gt;"",H297&lt;&gt;""),G297*H297,"")</f>
        <v/>
      </c>
      <c r="J297" s="22" t="n"/>
      <c r="K297" s="40">
        <f>IFERROR(VLOOKUP(J297,M2_거래처마스터!A:E,3,FALSE),"")</f>
        <v/>
      </c>
      <c r="L297" s="40">
        <f>IFERROR(VLOOKUP(J297,M2_거래처마스터!A:E,5,FALSE),"")</f>
        <v/>
      </c>
      <c r="M297" s="22" t="n"/>
      <c r="N297" s="22" t="n"/>
    </row>
    <row r="298">
      <c r="A298" s="34" t="n"/>
      <c r="B298" s="35">
        <f>IF(A298="","",YEAR(A298))</f>
        <v/>
      </c>
      <c r="C298" s="36">
        <f>IF(A298="","",MONTH(A298))</f>
        <v/>
      </c>
      <c r="D298" s="37">
        <f>IF(A298="","","Q"&amp;ROUNDUP(MONTH(A298)/3,0))</f>
        <v/>
      </c>
      <c r="E298" s="18" t="n"/>
      <c r="F298" s="18" t="n"/>
      <c r="G298" s="38" t="n"/>
      <c r="H298" s="20" t="n"/>
      <c r="I298" s="39">
        <f>IF(AND(G298&lt;&gt;"",H298&lt;&gt;""),G298*H298,"")</f>
        <v/>
      </c>
      <c r="J298" s="18" t="n"/>
      <c r="K298" s="40">
        <f>IFERROR(VLOOKUP(J298,M2_거래처마스터!A:E,3,FALSE),"")</f>
        <v/>
      </c>
      <c r="L298" s="40">
        <f>IFERROR(VLOOKUP(J298,M2_거래처마스터!A:E,5,FALSE),"")</f>
        <v/>
      </c>
      <c r="M298" s="18" t="n"/>
      <c r="N298" s="18" t="n"/>
    </row>
    <row r="299">
      <c r="A299" s="41" t="n"/>
      <c r="B299" s="35">
        <f>IF(A299="","",YEAR(A299))</f>
        <v/>
      </c>
      <c r="C299" s="36">
        <f>IF(A299="","",MONTH(A299))</f>
        <v/>
      </c>
      <c r="D299" s="37">
        <f>IF(A299="","","Q"&amp;ROUNDUP(MONTH(A299)/3,0))</f>
        <v/>
      </c>
      <c r="E299" s="22" t="n"/>
      <c r="F299" s="22" t="n"/>
      <c r="G299" s="42" t="n"/>
      <c r="H299" s="24" t="n"/>
      <c r="I299" s="39">
        <f>IF(AND(G299&lt;&gt;"",H299&lt;&gt;""),G299*H299,"")</f>
        <v/>
      </c>
      <c r="J299" s="22" t="n"/>
      <c r="K299" s="40">
        <f>IFERROR(VLOOKUP(J299,M2_거래처마스터!A:E,3,FALSE),"")</f>
        <v/>
      </c>
      <c r="L299" s="40">
        <f>IFERROR(VLOOKUP(J299,M2_거래처마스터!A:E,5,FALSE),"")</f>
        <v/>
      </c>
      <c r="M299" s="22" t="n"/>
      <c r="N299" s="22" t="n"/>
    </row>
    <row r="300">
      <c r="A300" s="34" t="n"/>
      <c r="B300" s="35">
        <f>IF(A300="","",YEAR(A300))</f>
        <v/>
      </c>
      <c r="C300" s="36">
        <f>IF(A300="","",MONTH(A300))</f>
        <v/>
      </c>
      <c r="D300" s="37">
        <f>IF(A300="","","Q"&amp;ROUNDUP(MONTH(A300)/3,0))</f>
        <v/>
      </c>
      <c r="E300" s="18" t="n"/>
      <c r="F300" s="18" t="n"/>
      <c r="G300" s="38" t="n"/>
      <c r="H300" s="20" t="n"/>
      <c r="I300" s="39">
        <f>IF(AND(G300&lt;&gt;"",H300&lt;&gt;""),G300*H300,"")</f>
        <v/>
      </c>
      <c r="J300" s="18" t="n"/>
      <c r="K300" s="40">
        <f>IFERROR(VLOOKUP(J300,M2_거래처마스터!A:E,3,FALSE),"")</f>
        <v/>
      </c>
      <c r="L300" s="40">
        <f>IFERROR(VLOOKUP(J300,M2_거래처마스터!A:E,5,FALSE),"")</f>
        <v/>
      </c>
      <c r="M300" s="18" t="n"/>
      <c r="N300" s="18" t="n"/>
    </row>
    <row r="301">
      <c r="A301" s="41" t="n"/>
      <c r="B301" s="35">
        <f>IF(A301="","",YEAR(A301))</f>
        <v/>
      </c>
      <c r="C301" s="36">
        <f>IF(A301="","",MONTH(A301))</f>
        <v/>
      </c>
      <c r="D301" s="37">
        <f>IF(A301="","","Q"&amp;ROUNDUP(MONTH(A301)/3,0))</f>
        <v/>
      </c>
      <c r="E301" s="22" t="n"/>
      <c r="F301" s="22" t="n"/>
      <c r="G301" s="42" t="n"/>
      <c r="H301" s="24" t="n"/>
      <c r="I301" s="39">
        <f>IF(AND(G301&lt;&gt;"",H301&lt;&gt;""),G301*H301,"")</f>
        <v/>
      </c>
      <c r="J301" s="22" t="n"/>
      <c r="K301" s="40">
        <f>IFERROR(VLOOKUP(J301,M2_거래처마스터!A:E,3,FALSE),"")</f>
        <v/>
      </c>
      <c r="L301" s="40">
        <f>IFERROR(VLOOKUP(J301,M2_거래처마스터!A:E,5,FALSE),"")</f>
        <v/>
      </c>
      <c r="M301" s="22" t="n"/>
      <c r="N301" s="22" t="n"/>
    </row>
    <row r="302">
      <c r="A302" s="34" t="n"/>
      <c r="B302" s="35">
        <f>IF(A302="","",YEAR(A302))</f>
        <v/>
      </c>
      <c r="C302" s="36">
        <f>IF(A302="","",MONTH(A302))</f>
        <v/>
      </c>
      <c r="D302" s="37">
        <f>IF(A302="","","Q"&amp;ROUNDUP(MONTH(A302)/3,0))</f>
        <v/>
      </c>
      <c r="E302" s="18" t="n"/>
      <c r="F302" s="18" t="n"/>
      <c r="G302" s="38" t="n"/>
      <c r="H302" s="20" t="n"/>
      <c r="I302" s="39">
        <f>IF(AND(G302&lt;&gt;"",H302&lt;&gt;""),G302*H302,"")</f>
        <v/>
      </c>
      <c r="J302" s="18" t="n"/>
      <c r="K302" s="40">
        <f>IFERROR(VLOOKUP(J302,M2_거래처마스터!A:E,3,FALSE),"")</f>
        <v/>
      </c>
      <c r="L302" s="40">
        <f>IFERROR(VLOOKUP(J302,M2_거래처마스터!A:E,5,FALSE),"")</f>
        <v/>
      </c>
      <c r="M302" s="18" t="n"/>
      <c r="N302" s="18" t="n"/>
    </row>
    <row r="303">
      <c r="A303" s="41" t="n"/>
      <c r="B303" s="35">
        <f>IF(A303="","",YEAR(A303))</f>
        <v/>
      </c>
      <c r="C303" s="36">
        <f>IF(A303="","",MONTH(A303))</f>
        <v/>
      </c>
      <c r="D303" s="37">
        <f>IF(A303="","","Q"&amp;ROUNDUP(MONTH(A303)/3,0))</f>
        <v/>
      </c>
      <c r="E303" s="22" t="n"/>
      <c r="F303" s="22" t="n"/>
      <c r="G303" s="42" t="n"/>
      <c r="H303" s="24" t="n"/>
      <c r="I303" s="39">
        <f>IF(AND(G303&lt;&gt;"",H303&lt;&gt;""),G303*H303,"")</f>
        <v/>
      </c>
      <c r="J303" s="22" t="n"/>
      <c r="K303" s="40">
        <f>IFERROR(VLOOKUP(J303,M2_거래처마스터!A:E,3,FALSE),"")</f>
        <v/>
      </c>
      <c r="L303" s="40">
        <f>IFERROR(VLOOKUP(J303,M2_거래처마스터!A:E,5,FALSE),"")</f>
        <v/>
      </c>
      <c r="M303" s="22" t="n"/>
      <c r="N303" s="22" t="n"/>
    </row>
    <row r="304">
      <c r="A304" s="34" t="n"/>
      <c r="B304" s="35">
        <f>IF(A304="","",YEAR(A304))</f>
        <v/>
      </c>
      <c r="C304" s="36">
        <f>IF(A304="","",MONTH(A304))</f>
        <v/>
      </c>
      <c r="D304" s="37">
        <f>IF(A304="","","Q"&amp;ROUNDUP(MONTH(A304)/3,0))</f>
        <v/>
      </c>
      <c r="E304" s="18" t="n"/>
      <c r="F304" s="18" t="n"/>
      <c r="G304" s="38" t="n"/>
      <c r="H304" s="20" t="n"/>
      <c r="I304" s="39">
        <f>IF(AND(G304&lt;&gt;"",H304&lt;&gt;""),G304*H304,"")</f>
        <v/>
      </c>
      <c r="J304" s="18" t="n"/>
      <c r="K304" s="40">
        <f>IFERROR(VLOOKUP(J304,M2_거래처마스터!A:E,3,FALSE),"")</f>
        <v/>
      </c>
      <c r="L304" s="40">
        <f>IFERROR(VLOOKUP(J304,M2_거래처마스터!A:E,5,FALSE),"")</f>
        <v/>
      </c>
      <c r="M304" s="18" t="n"/>
      <c r="N304" s="18" t="n"/>
    </row>
    <row r="305">
      <c r="A305" s="41" t="n"/>
      <c r="B305" s="35">
        <f>IF(A305="","",YEAR(A305))</f>
        <v/>
      </c>
      <c r="C305" s="36">
        <f>IF(A305="","",MONTH(A305))</f>
        <v/>
      </c>
      <c r="D305" s="37">
        <f>IF(A305="","","Q"&amp;ROUNDUP(MONTH(A305)/3,0))</f>
        <v/>
      </c>
      <c r="E305" s="22" t="n"/>
      <c r="F305" s="22" t="n"/>
      <c r="G305" s="42" t="n"/>
      <c r="H305" s="24" t="n"/>
      <c r="I305" s="39">
        <f>IF(AND(G305&lt;&gt;"",H305&lt;&gt;""),G305*H305,"")</f>
        <v/>
      </c>
      <c r="J305" s="22" t="n"/>
      <c r="K305" s="40">
        <f>IFERROR(VLOOKUP(J305,M2_거래처마스터!A:E,3,FALSE),"")</f>
        <v/>
      </c>
      <c r="L305" s="40">
        <f>IFERROR(VLOOKUP(J305,M2_거래처마스터!A:E,5,FALSE),"")</f>
        <v/>
      </c>
      <c r="M305" s="22" t="n"/>
      <c r="N305" s="22" t="n"/>
    </row>
    <row r="306">
      <c r="A306" s="34" t="n"/>
      <c r="B306" s="35">
        <f>IF(A306="","",YEAR(A306))</f>
        <v/>
      </c>
      <c r="C306" s="36">
        <f>IF(A306="","",MONTH(A306))</f>
        <v/>
      </c>
      <c r="D306" s="37">
        <f>IF(A306="","","Q"&amp;ROUNDUP(MONTH(A306)/3,0))</f>
        <v/>
      </c>
      <c r="E306" s="18" t="n"/>
      <c r="F306" s="18" t="n"/>
      <c r="G306" s="38" t="n"/>
      <c r="H306" s="20" t="n"/>
      <c r="I306" s="39">
        <f>IF(AND(G306&lt;&gt;"",H306&lt;&gt;""),G306*H306,"")</f>
        <v/>
      </c>
      <c r="J306" s="18" t="n"/>
      <c r="K306" s="40">
        <f>IFERROR(VLOOKUP(J306,M2_거래처마스터!A:E,3,FALSE),"")</f>
        <v/>
      </c>
      <c r="L306" s="40">
        <f>IFERROR(VLOOKUP(J306,M2_거래처마스터!A:E,5,FALSE),"")</f>
        <v/>
      </c>
      <c r="M306" s="18" t="n"/>
      <c r="N306" s="18" t="n"/>
    </row>
    <row r="307">
      <c r="A307" s="41" t="n"/>
      <c r="B307" s="35">
        <f>IF(A307="","",YEAR(A307))</f>
        <v/>
      </c>
      <c r="C307" s="36">
        <f>IF(A307="","",MONTH(A307))</f>
        <v/>
      </c>
      <c r="D307" s="37">
        <f>IF(A307="","","Q"&amp;ROUNDUP(MONTH(A307)/3,0))</f>
        <v/>
      </c>
      <c r="E307" s="22" t="n"/>
      <c r="F307" s="22" t="n"/>
      <c r="G307" s="42" t="n"/>
      <c r="H307" s="24" t="n"/>
      <c r="I307" s="39">
        <f>IF(AND(G307&lt;&gt;"",H307&lt;&gt;""),G307*H307,"")</f>
        <v/>
      </c>
      <c r="J307" s="22" t="n"/>
      <c r="K307" s="40">
        <f>IFERROR(VLOOKUP(J307,M2_거래처마스터!A:E,3,FALSE),"")</f>
        <v/>
      </c>
      <c r="L307" s="40">
        <f>IFERROR(VLOOKUP(J307,M2_거래처마스터!A:E,5,FALSE),"")</f>
        <v/>
      </c>
      <c r="M307" s="22" t="n"/>
      <c r="N307" s="22" t="n"/>
    </row>
    <row r="308">
      <c r="A308" s="34" t="n"/>
      <c r="B308" s="35">
        <f>IF(A308="","",YEAR(A308))</f>
        <v/>
      </c>
      <c r="C308" s="36">
        <f>IF(A308="","",MONTH(A308))</f>
        <v/>
      </c>
      <c r="D308" s="37">
        <f>IF(A308="","","Q"&amp;ROUNDUP(MONTH(A308)/3,0))</f>
        <v/>
      </c>
      <c r="E308" s="18" t="n"/>
      <c r="F308" s="18" t="n"/>
      <c r="G308" s="38" t="n"/>
      <c r="H308" s="20" t="n"/>
      <c r="I308" s="39">
        <f>IF(AND(G308&lt;&gt;"",H308&lt;&gt;""),G308*H308,"")</f>
        <v/>
      </c>
      <c r="J308" s="18" t="n"/>
      <c r="K308" s="40">
        <f>IFERROR(VLOOKUP(J308,M2_거래처마스터!A:E,3,FALSE),"")</f>
        <v/>
      </c>
      <c r="L308" s="40">
        <f>IFERROR(VLOOKUP(J308,M2_거래처마스터!A:E,5,FALSE),"")</f>
        <v/>
      </c>
      <c r="M308" s="18" t="n"/>
      <c r="N308" s="18" t="n"/>
    </row>
    <row r="309">
      <c r="A309" s="41" t="n"/>
      <c r="B309" s="35">
        <f>IF(A309="","",YEAR(A309))</f>
        <v/>
      </c>
      <c r="C309" s="36">
        <f>IF(A309="","",MONTH(A309))</f>
        <v/>
      </c>
      <c r="D309" s="37">
        <f>IF(A309="","","Q"&amp;ROUNDUP(MONTH(A309)/3,0))</f>
        <v/>
      </c>
      <c r="E309" s="22" t="n"/>
      <c r="F309" s="22" t="n"/>
      <c r="G309" s="42" t="n"/>
      <c r="H309" s="24" t="n"/>
      <c r="I309" s="39">
        <f>IF(AND(G309&lt;&gt;"",H309&lt;&gt;""),G309*H309,"")</f>
        <v/>
      </c>
      <c r="J309" s="22" t="n"/>
      <c r="K309" s="40">
        <f>IFERROR(VLOOKUP(J309,M2_거래처마스터!A:E,3,FALSE),"")</f>
        <v/>
      </c>
      <c r="L309" s="40">
        <f>IFERROR(VLOOKUP(J309,M2_거래처마스터!A:E,5,FALSE),"")</f>
        <v/>
      </c>
      <c r="M309" s="22" t="n"/>
      <c r="N309" s="22" t="n"/>
    </row>
    <row r="310">
      <c r="A310" s="34" t="n"/>
      <c r="B310" s="35">
        <f>IF(A310="","",YEAR(A310))</f>
        <v/>
      </c>
      <c r="C310" s="36">
        <f>IF(A310="","",MONTH(A310))</f>
        <v/>
      </c>
      <c r="D310" s="37">
        <f>IF(A310="","","Q"&amp;ROUNDUP(MONTH(A310)/3,0))</f>
        <v/>
      </c>
      <c r="E310" s="18" t="n"/>
      <c r="F310" s="18" t="n"/>
      <c r="G310" s="38" t="n"/>
      <c r="H310" s="20" t="n"/>
      <c r="I310" s="39">
        <f>IF(AND(G310&lt;&gt;"",H310&lt;&gt;""),G310*H310,"")</f>
        <v/>
      </c>
      <c r="J310" s="18" t="n"/>
      <c r="K310" s="40">
        <f>IFERROR(VLOOKUP(J310,M2_거래처마스터!A:E,3,FALSE),"")</f>
        <v/>
      </c>
      <c r="L310" s="40">
        <f>IFERROR(VLOOKUP(J310,M2_거래처마스터!A:E,5,FALSE),"")</f>
        <v/>
      </c>
      <c r="M310" s="18" t="n"/>
      <c r="N310" s="18" t="n"/>
    </row>
    <row r="311">
      <c r="A311" s="41" t="n"/>
      <c r="B311" s="35">
        <f>IF(A311="","",YEAR(A311))</f>
        <v/>
      </c>
      <c r="C311" s="36">
        <f>IF(A311="","",MONTH(A311))</f>
        <v/>
      </c>
      <c r="D311" s="37">
        <f>IF(A311="","","Q"&amp;ROUNDUP(MONTH(A311)/3,0))</f>
        <v/>
      </c>
      <c r="E311" s="22" t="n"/>
      <c r="F311" s="22" t="n"/>
      <c r="G311" s="42" t="n"/>
      <c r="H311" s="24" t="n"/>
      <c r="I311" s="39">
        <f>IF(AND(G311&lt;&gt;"",H311&lt;&gt;""),G311*H311,"")</f>
        <v/>
      </c>
      <c r="J311" s="22" t="n"/>
      <c r="K311" s="40">
        <f>IFERROR(VLOOKUP(J311,M2_거래처마스터!A:E,3,FALSE),"")</f>
        <v/>
      </c>
      <c r="L311" s="40">
        <f>IFERROR(VLOOKUP(J311,M2_거래처마스터!A:E,5,FALSE),"")</f>
        <v/>
      </c>
      <c r="M311" s="22" t="n"/>
      <c r="N311" s="22" t="n"/>
    </row>
    <row r="312">
      <c r="A312" s="34" t="n"/>
      <c r="B312" s="35">
        <f>IF(A312="","",YEAR(A312))</f>
        <v/>
      </c>
      <c r="C312" s="36">
        <f>IF(A312="","",MONTH(A312))</f>
        <v/>
      </c>
      <c r="D312" s="37">
        <f>IF(A312="","","Q"&amp;ROUNDUP(MONTH(A312)/3,0))</f>
        <v/>
      </c>
      <c r="E312" s="18" t="n"/>
      <c r="F312" s="18" t="n"/>
      <c r="G312" s="38" t="n"/>
      <c r="H312" s="20" t="n"/>
      <c r="I312" s="39">
        <f>IF(AND(G312&lt;&gt;"",H312&lt;&gt;""),G312*H312,"")</f>
        <v/>
      </c>
      <c r="J312" s="18" t="n"/>
      <c r="K312" s="40">
        <f>IFERROR(VLOOKUP(J312,M2_거래처마스터!A:E,3,FALSE),"")</f>
        <v/>
      </c>
      <c r="L312" s="40">
        <f>IFERROR(VLOOKUP(J312,M2_거래처마스터!A:E,5,FALSE),"")</f>
        <v/>
      </c>
      <c r="M312" s="18" t="n"/>
      <c r="N312" s="18" t="n"/>
    </row>
    <row r="313">
      <c r="A313" s="41" t="n"/>
      <c r="B313" s="35">
        <f>IF(A313="","",YEAR(A313))</f>
        <v/>
      </c>
      <c r="C313" s="36">
        <f>IF(A313="","",MONTH(A313))</f>
        <v/>
      </c>
      <c r="D313" s="37">
        <f>IF(A313="","","Q"&amp;ROUNDUP(MONTH(A313)/3,0))</f>
        <v/>
      </c>
      <c r="E313" s="22" t="n"/>
      <c r="F313" s="22" t="n"/>
      <c r="G313" s="42" t="n"/>
      <c r="H313" s="24" t="n"/>
      <c r="I313" s="39">
        <f>IF(AND(G313&lt;&gt;"",H313&lt;&gt;""),G313*H313,"")</f>
        <v/>
      </c>
      <c r="J313" s="22" t="n"/>
      <c r="K313" s="40">
        <f>IFERROR(VLOOKUP(J313,M2_거래처마스터!A:E,3,FALSE),"")</f>
        <v/>
      </c>
      <c r="L313" s="40">
        <f>IFERROR(VLOOKUP(J313,M2_거래처마스터!A:E,5,FALSE),"")</f>
        <v/>
      </c>
      <c r="M313" s="22" t="n"/>
      <c r="N313" s="22" t="n"/>
    </row>
    <row r="314">
      <c r="A314" s="34" t="n"/>
      <c r="B314" s="35">
        <f>IF(A314="","",YEAR(A314))</f>
        <v/>
      </c>
      <c r="C314" s="36">
        <f>IF(A314="","",MONTH(A314))</f>
        <v/>
      </c>
      <c r="D314" s="37">
        <f>IF(A314="","","Q"&amp;ROUNDUP(MONTH(A314)/3,0))</f>
        <v/>
      </c>
      <c r="E314" s="18" t="n"/>
      <c r="F314" s="18" t="n"/>
      <c r="G314" s="38" t="n"/>
      <c r="H314" s="20" t="n"/>
      <c r="I314" s="39">
        <f>IF(AND(G314&lt;&gt;"",H314&lt;&gt;""),G314*H314,"")</f>
        <v/>
      </c>
      <c r="J314" s="18" t="n"/>
      <c r="K314" s="40">
        <f>IFERROR(VLOOKUP(J314,M2_거래처마스터!A:E,3,FALSE),"")</f>
        <v/>
      </c>
      <c r="L314" s="40">
        <f>IFERROR(VLOOKUP(J314,M2_거래처마스터!A:E,5,FALSE),"")</f>
        <v/>
      </c>
      <c r="M314" s="18" t="n"/>
      <c r="N314" s="18" t="n"/>
    </row>
    <row r="315">
      <c r="A315" s="41" t="n"/>
      <c r="B315" s="35">
        <f>IF(A315="","",YEAR(A315))</f>
        <v/>
      </c>
      <c r="C315" s="36">
        <f>IF(A315="","",MONTH(A315))</f>
        <v/>
      </c>
      <c r="D315" s="37">
        <f>IF(A315="","","Q"&amp;ROUNDUP(MONTH(A315)/3,0))</f>
        <v/>
      </c>
      <c r="E315" s="22" t="n"/>
      <c r="F315" s="22" t="n"/>
      <c r="G315" s="42" t="n"/>
      <c r="H315" s="24" t="n"/>
      <c r="I315" s="39">
        <f>IF(AND(G315&lt;&gt;"",H315&lt;&gt;""),G315*H315,"")</f>
        <v/>
      </c>
      <c r="J315" s="22" t="n"/>
      <c r="K315" s="40">
        <f>IFERROR(VLOOKUP(J315,M2_거래처마스터!A:E,3,FALSE),"")</f>
        <v/>
      </c>
      <c r="L315" s="40">
        <f>IFERROR(VLOOKUP(J315,M2_거래처마스터!A:E,5,FALSE),"")</f>
        <v/>
      </c>
      <c r="M315" s="22" t="n"/>
      <c r="N315" s="22" t="n"/>
    </row>
    <row r="316">
      <c r="A316" s="34" t="n"/>
      <c r="B316" s="35">
        <f>IF(A316="","",YEAR(A316))</f>
        <v/>
      </c>
      <c r="C316" s="36">
        <f>IF(A316="","",MONTH(A316))</f>
        <v/>
      </c>
      <c r="D316" s="37">
        <f>IF(A316="","","Q"&amp;ROUNDUP(MONTH(A316)/3,0))</f>
        <v/>
      </c>
      <c r="E316" s="18" t="n"/>
      <c r="F316" s="18" t="n"/>
      <c r="G316" s="38" t="n"/>
      <c r="H316" s="20" t="n"/>
      <c r="I316" s="39">
        <f>IF(AND(G316&lt;&gt;"",H316&lt;&gt;""),G316*H316,"")</f>
        <v/>
      </c>
      <c r="J316" s="18" t="n"/>
      <c r="K316" s="40">
        <f>IFERROR(VLOOKUP(J316,M2_거래처마스터!A:E,3,FALSE),"")</f>
        <v/>
      </c>
      <c r="L316" s="40">
        <f>IFERROR(VLOOKUP(J316,M2_거래처마스터!A:E,5,FALSE),"")</f>
        <v/>
      </c>
      <c r="M316" s="18" t="n"/>
      <c r="N316" s="18" t="n"/>
    </row>
    <row r="317">
      <c r="A317" s="41" t="n"/>
      <c r="B317" s="35">
        <f>IF(A317="","",YEAR(A317))</f>
        <v/>
      </c>
      <c r="C317" s="36">
        <f>IF(A317="","",MONTH(A317))</f>
        <v/>
      </c>
      <c r="D317" s="37">
        <f>IF(A317="","","Q"&amp;ROUNDUP(MONTH(A317)/3,0))</f>
        <v/>
      </c>
      <c r="E317" s="22" t="n"/>
      <c r="F317" s="22" t="n"/>
      <c r="G317" s="42" t="n"/>
      <c r="H317" s="24" t="n"/>
      <c r="I317" s="39">
        <f>IF(AND(G317&lt;&gt;"",H317&lt;&gt;""),G317*H317,"")</f>
        <v/>
      </c>
      <c r="J317" s="22" t="n"/>
      <c r="K317" s="40">
        <f>IFERROR(VLOOKUP(J317,M2_거래처마스터!A:E,3,FALSE),"")</f>
        <v/>
      </c>
      <c r="L317" s="40">
        <f>IFERROR(VLOOKUP(J317,M2_거래처마스터!A:E,5,FALSE),"")</f>
        <v/>
      </c>
      <c r="M317" s="22" t="n"/>
      <c r="N317" s="22" t="n"/>
    </row>
    <row r="318">
      <c r="A318" s="34" t="n"/>
      <c r="B318" s="35">
        <f>IF(A318="","",YEAR(A318))</f>
        <v/>
      </c>
      <c r="C318" s="36">
        <f>IF(A318="","",MONTH(A318))</f>
        <v/>
      </c>
      <c r="D318" s="37">
        <f>IF(A318="","","Q"&amp;ROUNDUP(MONTH(A318)/3,0))</f>
        <v/>
      </c>
      <c r="E318" s="18" t="n"/>
      <c r="F318" s="18" t="n"/>
      <c r="G318" s="38" t="n"/>
      <c r="H318" s="20" t="n"/>
      <c r="I318" s="39">
        <f>IF(AND(G318&lt;&gt;"",H318&lt;&gt;""),G318*H318,"")</f>
        <v/>
      </c>
      <c r="J318" s="18" t="n"/>
      <c r="K318" s="40">
        <f>IFERROR(VLOOKUP(J318,M2_거래처마스터!A:E,3,FALSE),"")</f>
        <v/>
      </c>
      <c r="L318" s="40">
        <f>IFERROR(VLOOKUP(J318,M2_거래처마스터!A:E,5,FALSE),"")</f>
        <v/>
      </c>
      <c r="M318" s="18" t="n"/>
      <c r="N318" s="18" t="n"/>
    </row>
    <row r="319">
      <c r="A319" s="41" t="n"/>
      <c r="B319" s="35">
        <f>IF(A319="","",YEAR(A319))</f>
        <v/>
      </c>
      <c r="C319" s="36">
        <f>IF(A319="","",MONTH(A319))</f>
        <v/>
      </c>
      <c r="D319" s="37">
        <f>IF(A319="","","Q"&amp;ROUNDUP(MONTH(A319)/3,0))</f>
        <v/>
      </c>
      <c r="E319" s="22" t="n"/>
      <c r="F319" s="22" t="n"/>
      <c r="G319" s="42" t="n"/>
      <c r="H319" s="24" t="n"/>
      <c r="I319" s="39">
        <f>IF(AND(G319&lt;&gt;"",H319&lt;&gt;""),G319*H319,"")</f>
        <v/>
      </c>
      <c r="J319" s="22" t="n"/>
      <c r="K319" s="40">
        <f>IFERROR(VLOOKUP(J319,M2_거래처마스터!A:E,3,FALSE),"")</f>
        <v/>
      </c>
      <c r="L319" s="40">
        <f>IFERROR(VLOOKUP(J319,M2_거래처마스터!A:E,5,FALSE),"")</f>
        <v/>
      </c>
      <c r="M319" s="22" t="n"/>
      <c r="N319" s="22" t="n"/>
    </row>
    <row r="320">
      <c r="A320" s="34" t="n"/>
      <c r="B320" s="35">
        <f>IF(A320="","",YEAR(A320))</f>
        <v/>
      </c>
      <c r="C320" s="36">
        <f>IF(A320="","",MONTH(A320))</f>
        <v/>
      </c>
      <c r="D320" s="37">
        <f>IF(A320="","","Q"&amp;ROUNDUP(MONTH(A320)/3,0))</f>
        <v/>
      </c>
      <c r="E320" s="18" t="n"/>
      <c r="F320" s="18" t="n"/>
      <c r="G320" s="38" t="n"/>
      <c r="H320" s="20" t="n"/>
      <c r="I320" s="39">
        <f>IF(AND(G320&lt;&gt;"",H320&lt;&gt;""),G320*H320,"")</f>
        <v/>
      </c>
      <c r="J320" s="18" t="n"/>
      <c r="K320" s="40">
        <f>IFERROR(VLOOKUP(J320,M2_거래처마스터!A:E,3,FALSE),"")</f>
        <v/>
      </c>
      <c r="L320" s="40">
        <f>IFERROR(VLOOKUP(J320,M2_거래처마스터!A:E,5,FALSE),"")</f>
        <v/>
      </c>
      <c r="M320" s="18" t="n"/>
      <c r="N320" s="18" t="n"/>
    </row>
    <row r="321">
      <c r="A321" s="41" t="n"/>
      <c r="B321" s="35">
        <f>IF(A321="","",YEAR(A321))</f>
        <v/>
      </c>
      <c r="C321" s="36">
        <f>IF(A321="","",MONTH(A321))</f>
        <v/>
      </c>
      <c r="D321" s="37">
        <f>IF(A321="","","Q"&amp;ROUNDUP(MONTH(A321)/3,0))</f>
        <v/>
      </c>
      <c r="E321" s="22" t="n"/>
      <c r="F321" s="22" t="n"/>
      <c r="G321" s="42" t="n"/>
      <c r="H321" s="24" t="n"/>
      <c r="I321" s="39">
        <f>IF(AND(G321&lt;&gt;"",H321&lt;&gt;""),G321*H321,"")</f>
        <v/>
      </c>
      <c r="J321" s="22" t="n"/>
      <c r="K321" s="40">
        <f>IFERROR(VLOOKUP(J321,M2_거래처마스터!A:E,3,FALSE),"")</f>
        <v/>
      </c>
      <c r="L321" s="40">
        <f>IFERROR(VLOOKUP(J321,M2_거래처마스터!A:E,5,FALSE),"")</f>
        <v/>
      </c>
      <c r="M321" s="22" t="n"/>
      <c r="N321" s="22" t="n"/>
    </row>
    <row r="322">
      <c r="A322" s="34" t="n"/>
      <c r="B322" s="35">
        <f>IF(A322="","",YEAR(A322))</f>
        <v/>
      </c>
      <c r="C322" s="36">
        <f>IF(A322="","",MONTH(A322))</f>
        <v/>
      </c>
      <c r="D322" s="37">
        <f>IF(A322="","","Q"&amp;ROUNDUP(MONTH(A322)/3,0))</f>
        <v/>
      </c>
      <c r="E322" s="18" t="n"/>
      <c r="F322" s="18" t="n"/>
      <c r="G322" s="38" t="n"/>
      <c r="H322" s="20" t="n"/>
      <c r="I322" s="39">
        <f>IF(AND(G322&lt;&gt;"",H322&lt;&gt;""),G322*H322,"")</f>
        <v/>
      </c>
      <c r="J322" s="18" t="n"/>
      <c r="K322" s="40">
        <f>IFERROR(VLOOKUP(J322,M2_거래처마스터!A:E,3,FALSE),"")</f>
        <v/>
      </c>
      <c r="L322" s="40">
        <f>IFERROR(VLOOKUP(J322,M2_거래처마스터!A:E,5,FALSE),"")</f>
        <v/>
      </c>
      <c r="M322" s="18" t="n"/>
      <c r="N322" s="18" t="n"/>
    </row>
    <row r="323">
      <c r="A323" s="41" t="n"/>
      <c r="B323" s="35">
        <f>IF(A323="","",YEAR(A323))</f>
        <v/>
      </c>
      <c r="C323" s="36">
        <f>IF(A323="","",MONTH(A323))</f>
        <v/>
      </c>
      <c r="D323" s="37">
        <f>IF(A323="","","Q"&amp;ROUNDUP(MONTH(A323)/3,0))</f>
        <v/>
      </c>
      <c r="E323" s="22" t="n"/>
      <c r="F323" s="22" t="n"/>
      <c r="G323" s="42" t="n"/>
      <c r="H323" s="24" t="n"/>
      <c r="I323" s="39">
        <f>IF(AND(G323&lt;&gt;"",H323&lt;&gt;""),G323*H323,"")</f>
        <v/>
      </c>
      <c r="J323" s="22" t="n"/>
      <c r="K323" s="40">
        <f>IFERROR(VLOOKUP(J323,M2_거래처마스터!A:E,3,FALSE),"")</f>
        <v/>
      </c>
      <c r="L323" s="40">
        <f>IFERROR(VLOOKUP(J323,M2_거래처마스터!A:E,5,FALSE),"")</f>
        <v/>
      </c>
      <c r="M323" s="22" t="n"/>
      <c r="N323" s="22" t="n"/>
    </row>
    <row r="324">
      <c r="A324" s="34" t="n"/>
      <c r="B324" s="35">
        <f>IF(A324="","",YEAR(A324))</f>
        <v/>
      </c>
      <c r="C324" s="36">
        <f>IF(A324="","",MONTH(A324))</f>
        <v/>
      </c>
      <c r="D324" s="37">
        <f>IF(A324="","","Q"&amp;ROUNDUP(MONTH(A324)/3,0))</f>
        <v/>
      </c>
      <c r="E324" s="18" t="n"/>
      <c r="F324" s="18" t="n"/>
      <c r="G324" s="38" t="n"/>
      <c r="H324" s="20" t="n"/>
      <c r="I324" s="39">
        <f>IF(AND(G324&lt;&gt;"",H324&lt;&gt;""),G324*H324,"")</f>
        <v/>
      </c>
      <c r="J324" s="18" t="n"/>
      <c r="K324" s="40">
        <f>IFERROR(VLOOKUP(J324,M2_거래처마스터!A:E,3,FALSE),"")</f>
        <v/>
      </c>
      <c r="L324" s="40">
        <f>IFERROR(VLOOKUP(J324,M2_거래처마스터!A:E,5,FALSE),"")</f>
        <v/>
      </c>
      <c r="M324" s="18" t="n"/>
      <c r="N324" s="18" t="n"/>
    </row>
    <row r="325">
      <c r="A325" s="41" t="n"/>
      <c r="B325" s="35">
        <f>IF(A325="","",YEAR(A325))</f>
        <v/>
      </c>
      <c r="C325" s="36">
        <f>IF(A325="","",MONTH(A325))</f>
        <v/>
      </c>
      <c r="D325" s="37">
        <f>IF(A325="","","Q"&amp;ROUNDUP(MONTH(A325)/3,0))</f>
        <v/>
      </c>
      <c r="E325" s="22" t="n"/>
      <c r="F325" s="22" t="n"/>
      <c r="G325" s="42" t="n"/>
      <c r="H325" s="24" t="n"/>
      <c r="I325" s="39">
        <f>IF(AND(G325&lt;&gt;"",H325&lt;&gt;""),G325*H325,"")</f>
        <v/>
      </c>
      <c r="J325" s="22" t="n"/>
      <c r="K325" s="40">
        <f>IFERROR(VLOOKUP(J325,M2_거래처마스터!A:E,3,FALSE),"")</f>
        <v/>
      </c>
      <c r="L325" s="40">
        <f>IFERROR(VLOOKUP(J325,M2_거래처마스터!A:E,5,FALSE),"")</f>
        <v/>
      </c>
      <c r="M325" s="22" t="n"/>
      <c r="N325" s="22" t="n"/>
    </row>
    <row r="326">
      <c r="A326" s="34" t="n"/>
      <c r="B326" s="35">
        <f>IF(A326="","",YEAR(A326))</f>
        <v/>
      </c>
      <c r="C326" s="36">
        <f>IF(A326="","",MONTH(A326))</f>
        <v/>
      </c>
      <c r="D326" s="37">
        <f>IF(A326="","","Q"&amp;ROUNDUP(MONTH(A326)/3,0))</f>
        <v/>
      </c>
      <c r="E326" s="18" t="n"/>
      <c r="F326" s="18" t="n"/>
      <c r="G326" s="38" t="n"/>
      <c r="H326" s="20" t="n"/>
      <c r="I326" s="39">
        <f>IF(AND(G326&lt;&gt;"",H326&lt;&gt;""),G326*H326,"")</f>
        <v/>
      </c>
      <c r="J326" s="18" t="n"/>
      <c r="K326" s="40">
        <f>IFERROR(VLOOKUP(J326,M2_거래처마스터!A:E,3,FALSE),"")</f>
        <v/>
      </c>
      <c r="L326" s="40">
        <f>IFERROR(VLOOKUP(J326,M2_거래처마스터!A:E,5,FALSE),"")</f>
        <v/>
      </c>
      <c r="M326" s="18" t="n"/>
      <c r="N326" s="18" t="n"/>
    </row>
    <row r="327">
      <c r="A327" s="41" t="n"/>
      <c r="B327" s="35">
        <f>IF(A327="","",YEAR(A327))</f>
        <v/>
      </c>
      <c r="C327" s="36">
        <f>IF(A327="","",MONTH(A327))</f>
        <v/>
      </c>
      <c r="D327" s="37">
        <f>IF(A327="","","Q"&amp;ROUNDUP(MONTH(A327)/3,0))</f>
        <v/>
      </c>
      <c r="E327" s="22" t="n"/>
      <c r="F327" s="22" t="n"/>
      <c r="G327" s="42" t="n"/>
      <c r="H327" s="24" t="n"/>
      <c r="I327" s="39">
        <f>IF(AND(G327&lt;&gt;"",H327&lt;&gt;""),G327*H327,"")</f>
        <v/>
      </c>
      <c r="J327" s="22" t="n"/>
      <c r="K327" s="40">
        <f>IFERROR(VLOOKUP(J327,M2_거래처마스터!A:E,3,FALSE),"")</f>
        <v/>
      </c>
      <c r="L327" s="40">
        <f>IFERROR(VLOOKUP(J327,M2_거래처마스터!A:E,5,FALSE),"")</f>
        <v/>
      </c>
      <c r="M327" s="22" t="n"/>
      <c r="N327" s="22" t="n"/>
    </row>
    <row r="328">
      <c r="A328" s="34" t="n"/>
      <c r="B328" s="35">
        <f>IF(A328="","",YEAR(A328))</f>
        <v/>
      </c>
      <c r="C328" s="36">
        <f>IF(A328="","",MONTH(A328))</f>
        <v/>
      </c>
      <c r="D328" s="37">
        <f>IF(A328="","","Q"&amp;ROUNDUP(MONTH(A328)/3,0))</f>
        <v/>
      </c>
      <c r="E328" s="18" t="n"/>
      <c r="F328" s="18" t="n"/>
      <c r="G328" s="38" t="n"/>
      <c r="H328" s="20" t="n"/>
      <c r="I328" s="39">
        <f>IF(AND(G328&lt;&gt;"",H328&lt;&gt;""),G328*H328,"")</f>
        <v/>
      </c>
      <c r="J328" s="18" t="n"/>
      <c r="K328" s="40">
        <f>IFERROR(VLOOKUP(J328,M2_거래처마스터!A:E,3,FALSE),"")</f>
        <v/>
      </c>
      <c r="L328" s="40">
        <f>IFERROR(VLOOKUP(J328,M2_거래처마스터!A:E,5,FALSE),"")</f>
        <v/>
      </c>
      <c r="M328" s="18" t="n"/>
      <c r="N328" s="18" t="n"/>
    </row>
    <row r="329">
      <c r="A329" s="41" t="n"/>
      <c r="B329" s="35">
        <f>IF(A329="","",YEAR(A329))</f>
        <v/>
      </c>
      <c r="C329" s="36">
        <f>IF(A329="","",MONTH(A329))</f>
        <v/>
      </c>
      <c r="D329" s="37">
        <f>IF(A329="","","Q"&amp;ROUNDUP(MONTH(A329)/3,0))</f>
        <v/>
      </c>
      <c r="E329" s="22" t="n"/>
      <c r="F329" s="22" t="n"/>
      <c r="G329" s="42" t="n"/>
      <c r="H329" s="24" t="n"/>
      <c r="I329" s="39">
        <f>IF(AND(G329&lt;&gt;"",H329&lt;&gt;""),G329*H329,"")</f>
        <v/>
      </c>
      <c r="J329" s="22" t="n"/>
      <c r="K329" s="40">
        <f>IFERROR(VLOOKUP(J329,M2_거래처마스터!A:E,3,FALSE),"")</f>
        <v/>
      </c>
      <c r="L329" s="40">
        <f>IFERROR(VLOOKUP(J329,M2_거래처마스터!A:E,5,FALSE),"")</f>
        <v/>
      </c>
      <c r="M329" s="22" t="n"/>
      <c r="N329" s="22" t="n"/>
    </row>
    <row r="330">
      <c r="A330" s="34" t="n"/>
      <c r="B330" s="35">
        <f>IF(A330="","",YEAR(A330))</f>
        <v/>
      </c>
      <c r="C330" s="36">
        <f>IF(A330="","",MONTH(A330))</f>
        <v/>
      </c>
      <c r="D330" s="37">
        <f>IF(A330="","","Q"&amp;ROUNDUP(MONTH(A330)/3,0))</f>
        <v/>
      </c>
      <c r="E330" s="18" t="n"/>
      <c r="F330" s="18" t="n"/>
      <c r="G330" s="38" t="n"/>
      <c r="H330" s="20" t="n"/>
      <c r="I330" s="39">
        <f>IF(AND(G330&lt;&gt;"",H330&lt;&gt;""),G330*H330,"")</f>
        <v/>
      </c>
      <c r="J330" s="18" t="n"/>
      <c r="K330" s="40">
        <f>IFERROR(VLOOKUP(J330,M2_거래처마스터!A:E,3,FALSE),"")</f>
        <v/>
      </c>
      <c r="L330" s="40">
        <f>IFERROR(VLOOKUP(J330,M2_거래처마스터!A:E,5,FALSE),"")</f>
        <v/>
      </c>
      <c r="M330" s="18" t="n"/>
      <c r="N330" s="18" t="n"/>
    </row>
    <row r="331">
      <c r="A331" s="41" t="n"/>
      <c r="B331" s="35">
        <f>IF(A331="","",YEAR(A331))</f>
        <v/>
      </c>
      <c r="C331" s="36">
        <f>IF(A331="","",MONTH(A331))</f>
        <v/>
      </c>
      <c r="D331" s="37">
        <f>IF(A331="","","Q"&amp;ROUNDUP(MONTH(A331)/3,0))</f>
        <v/>
      </c>
      <c r="E331" s="22" t="n"/>
      <c r="F331" s="22" t="n"/>
      <c r="G331" s="42" t="n"/>
      <c r="H331" s="24" t="n"/>
      <c r="I331" s="39">
        <f>IF(AND(G331&lt;&gt;"",H331&lt;&gt;""),G331*H331,"")</f>
        <v/>
      </c>
      <c r="J331" s="22" t="n"/>
      <c r="K331" s="40">
        <f>IFERROR(VLOOKUP(J331,M2_거래처마스터!A:E,3,FALSE),"")</f>
        <v/>
      </c>
      <c r="L331" s="40">
        <f>IFERROR(VLOOKUP(J331,M2_거래처마스터!A:E,5,FALSE),"")</f>
        <v/>
      </c>
      <c r="M331" s="22" t="n"/>
      <c r="N331" s="22" t="n"/>
    </row>
    <row r="332">
      <c r="A332" s="34" t="n"/>
      <c r="B332" s="35">
        <f>IF(A332="","",YEAR(A332))</f>
        <v/>
      </c>
      <c r="C332" s="36">
        <f>IF(A332="","",MONTH(A332))</f>
        <v/>
      </c>
      <c r="D332" s="37">
        <f>IF(A332="","","Q"&amp;ROUNDUP(MONTH(A332)/3,0))</f>
        <v/>
      </c>
      <c r="E332" s="18" t="n"/>
      <c r="F332" s="18" t="n"/>
      <c r="G332" s="38" t="n"/>
      <c r="H332" s="20" t="n"/>
      <c r="I332" s="39">
        <f>IF(AND(G332&lt;&gt;"",H332&lt;&gt;""),G332*H332,"")</f>
        <v/>
      </c>
      <c r="J332" s="18" t="n"/>
      <c r="K332" s="40">
        <f>IFERROR(VLOOKUP(J332,M2_거래처마스터!A:E,3,FALSE),"")</f>
        <v/>
      </c>
      <c r="L332" s="40">
        <f>IFERROR(VLOOKUP(J332,M2_거래처마스터!A:E,5,FALSE),"")</f>
        <v/>
      </c>
      <c r="M332" s="18" t="n"/>
      <c r="N332" s="18" t="n"/>
    </row>
    <row r="333">
      <c r="A333" s="41" t="n"/>
      <c r="B333" s="35">
        <f>IF(A333="","",YEAR(A333))</f>
        <v/>
      </c>
      <c r="C333" s="36">
        <f>IF(A333="","",MONTH(A333))</f>
        <v/>
      </c>
      <c r="D333" s="37">
        <f>IF(A333="","","Q"&amp;ROUNDUP(MONTH(A333)/3,0))</f>
        <v/>
      </c>
      <c r="E333" s="22" t="n"/>
      <c r="F333" s="22" t="n"/>
      <c r="G333" s="42" t="n"/>
      <c r="H333" s="24" t="n"/>
      <c r="I333" s="39">
        <f>IF(AND(G333&lt;&gt;"",H333&lt;&gt;""),G333*H333,"")</f>
        <v/>
      </c>
      <c r="J333" s="22" t="n"/>
      <c r="K333" s="40">
        <f>IFERROR(VLOOKUP(J333,M2_거래처마스터!A:E,3,FALSE),"")</f>
        <v/>
      </c>
      <c r="L333" s="40">
        <f>IFERROR(VLOOKUP(J333,M2_거래처마스터!A:E,5,FALSE),"")</f>
        <v/>
      </c>
      <c r="M333" s="22" t="n"/>
      <c r="N333" s="22" t="n"/>
    </row>
    <row r="334">
      <c r="A334" s="34" t="n"/>
      <c r="B334" s="35">
        <f>IF(A334="","",YEAR(A334))</f>
        <v/>
      </c>
      <c r="C334" s="36">
        <f>IF(A334="","",MONTH(A334))</f>
        <v/>
      </c>
      <c r="D334" s="37">
        <f>IF(A334="","","Q"&amp;ROUNDUP(MONTH(A334)/3,0))</f>
        <v/>
      </c>
      <c r="E334" s="18" t="n"/>
      <c r="F334" s="18" t="n"/>
      <c r="G334" s="38" t="n"/>
      <c r="H334" s="20" t="n"/>
      <c r="I334" s="39">
        <f>IF(AND(G334&lt;&gt;"",H334&lt;&gt;""),G334*H334,"")</f>
        <v/>
      </c>
      <c r="J334" s="18" t="n"/>
      <c r="K334" s="40">
        <f>IFERROR(VLOOKUP(J334,M2_거래처마스터!A:E,3,FALSE),"")</f>
        <v/>
      </c>
      <c r="L334" s="40">
        <f>IFERROR(VLOOKUP(J334,M2_거래처마스터!A:E,5,FALSE),"")</f>
        <v/>
      </c>
      <c r="M334" s="18" t="n"/>
      <c r="N334" s="18" t="n"/>
    </row>
    <row r="335">
      <c r="A335" s="41" t="n"/>
      <c r="B335" s="35">
        <f>IF(A335="","",YEAR(A335))</f>
        <v/>
      </c>
      <c r="C335" s="36">
        <f>IF(A335="","",MONTH(A335))</f>
        <v/>
      </c>
      <c r="D335" s="37">
        <f>IF(A335="","","Q"&amp;ROUNDUP(MONTH(A335)/3,0))</f>
        <v/>
      </c>
      <c r="E335" s="22" t="n"/>
      <c r="F335" s="22" t="n"/>
      <c r="G335" s="42" t="n"/>
      <c r="H335" s="24" t="n"/>
      <c r="I335" s="39">
        <f>IF(AND(G335&lt;&gt;"",H335&lt;&gt;""),G335*H335,"")</f>
        <v/>
      </c>
      <c r="J335" s="22" t="n"/>
      <c r="K335" s="40">
        <f>IFERROR(VLOOKUP(J335,M2_거래처마스터!A:E,3,FALSE),"")</f>
        <v/>
      </c>
      <c r="L335" s="40">
        <f>IFERROR(VLOOKUP(J335,M2_거래처마스터!A:E,5,FALSE),"")</f>
        <v/>
      </c>
      <c r="M335" s="22" t="n"/>
      <c r="N335" s="22" t="n"/>
    </row>
    <row r="336">
      <c r="A336" s="34" t="n"/>
      <c r="B336" s="35">
        <f>IF(A336="","",YEAR(A336))</f>
        <v/>
      </c>
      <c r="C336" s="36">
        <f>IF(A336="","",MONTH(A336))</f>
        <v/>
      </c>
      <c r="D336" s="37">
        <f>IF(A336="","","Q"&amp;ROUNDUP(MONTH(A336)/3,0))</f>
        <v/>
      </c>
      <c r="E336" s="18" t="n"/>
      <c r="F336" s="18" t="n"/>
      <c r="G336" s="38" t="n"/>
      <c r="H336" s="20" t="n"/>
      <c r="I336" s="39">
        <f>IF(AND(G336&lt;&gt;"",H336&lt;&gt;""),G336*H336,"")</f>
        <v/>
      </c>
      <c r="J336" s="18" t="n"/>
      <c r="K336" s="40">
        <f>IFERROR(VLOOKUP(J336,M2_거래처마스터!A:E,3,FALSE),"")</f>
        <v/>
      </c>
      <c r="L336" s="40">
        <f>IFERROR(VLOOKUP(J336,M2_거래처마스터!A:E,5,FALSE),"")</f>
        <v/>
      </c>
      <c r="M336" s="18" t="n"/>
      <c r="N336" s="18" t="n"/>
    </row>
    <row r="337">
      <c r="A337" s="41" t="n"/>
      <c r="B337" s="35">
        <f>IF(A337="","",YEAR(A337))</f>
        <v/>
      </c>
      <c r="C337" s="36">
        <f>IF(A337="","",MONTH(A337))</f>
        <v/>
      </c>
      <c r="D337" s="37">
        <f>IF(A337="","","Q"&amp;ROUNDUP(MONTH(A337)/3,0))</f>
        <v/>
      </c>
      <c r="E337" s="22" t="n"/>
      <c r="F337" s="22" t="n"/>
      <c r="G337" s="42" t="n"/>
      <c r="H337" s="24" t="n"/>
      <c r="I337" s="39">
        <f>IF(AND(G337&lt;&gt;"",H337&lt;&gt;""),G337*H337,"")</f>
        <v/>
      </c>
      <c r="J337" s="22" t="n"/>
      <c r="K337" s="40">
        <f>IFERROR(VLOOKUP(J337,M2_거래처마스터!A:E,3,FALSE),"")</f>
        <v/>
      </c>
      <c r="L337" s="40">
        <f>IFERROR(VLOOKUP(J337,M2_거래처마스터!A:E,5,FALSE),"")</f>
        <v/>
      </c>
      <c r="M337" s="22" t="n"/>
      <c r="N337" s="22" t="n"/>
    </row>
    <row r="338">
      <c r="A338" s="34" t="n"/>
      <c r="B338" s="35">
        <f>IF(A338="","",YEAR(A338))</f>
        <v/>
      </c>
      <c r="C338" s="36">
        <f>IF(A338="","",MONTH(A338))</f>
        <v/>
      </c>
      <c r="D338" s="37">
        <f>IF(A338="","","Q"&amp;ROUNDUP(MONTH(A338)/3,0))</f>
        <v/>
      </c>
      <c r="E338" s="18" t="n"/>
      <c r="F338" s="18" t="n"/>
      <c r="G338" s="38" t="n"/>
      <c r="H338" s="20" t="n"/>
      <c r="I338" s="39">
        <f>IF(AND(G338&lt;&gt;"",H338&lt;&gt;""),G338*H338,"")</f>
        <v/>
      </c>
      <c r="J338" s="18" t="n"/>
      <c r="K338" s="40">
        <f>IFERROR(VLOOKUP(J338,M2_거래처마스터!A:E,3,FALSE),"")</f>
        <v/>
      </c>
      <c r="L338" s="40">
        <f>IFERROR(VLOOKUP(J338,M2_거래처마스터!A:E,5,FALSE),"")</f>
        <v/>
      </c>
      <c r="M338" s="18" t="n"/>
      <c r="N338" s="18" t="n"/>
    </row>
    <row r="339">
      <c r="A339" s="41" t="n"/>
      <c r="B339" s="35">
        <f>IF(A339="","",YEAR(A339))</f>
        <v/>
      </c>
      <c r="C339" s="36">
        <f>IF(A339="","",MONTH(A339))</f>
        <v/>
      </c>
      <c r="D339" s="37">
        <f>IF(A339="","","Q"&amp;ROUNDUP(MONTH(A339)/3,0))</f>
        <v/>
      </c>
      <c r="E339" s="22" t="n"/>
      <c r="F339" s="22" t="n"/>
      <c r="G339" s="42" t="n"/>
      <c r="H339" s="24" t="n"/>
      <c r="I339" s="39">
        <f>IF(AND(G339&lt;&gt;"",H339&lt;&gt;""),G339*H339,"")</f>
        <v/>
      </c>
      <c r="J339" s="22" t="n"/>
      <c r="K339" s="40">
        <f>IFERROR(VLOOKUP(J339,M2_거래처마스터!A:E,3,FALSE),"")</f>
        <v/>
      </c>
      <c r="L339" s="40">
        <f>IFERROR(VLOOKUP(J339,M2_거래처마스터!A:E,5,FALSE),"")</f>
        <v/>
      </c>
      <c r="M339" s="22" t="n"/>
      <c r="N339" s="22" t="n"/>
    </row>
    <row r="340">
      <c r="A340" s="34" t="n"/>
      <c r="B340" s="35">
        <f>IF(A340="","",YEAR(A340))</f>
        <v/>
      </c>
      <c r="C340" s="36">
        <f>IF(A340="","",MONTH(A340))</f>
        <v/>
      </c>
      <c r="D340" s="37">
        <f>IF(A340="","","Q"&amp;ROUNDUP(MONTH(A340)/3,0))</f>
        <v/>
      </c>
      <c r="E340" s="18" t="n"/>
      <c r="F340" s="18" t="n"/>
      <c r="G340" s="38" t="n"/>
      <c r="H340" s="20" t="n"/>
      <c r="I340" s="39">
        <f>IF(AND(G340&lt;&gt;"",H340&lt;&gt;""),G340*H340,"")</f>
        <v/>
      </c>
      <c r="J340" s="18" t="n"/>
      <c r="K340" s="40">
        <f>IFERROR(VLOOKUP(J340,M2_거래처마스터!A:E,3,FALSE),"")</f>
        <v/>
      </c>
      <c r="L340" s="40">
        <f>IFERROR(VLOOKUP(J340,M2_거래처마스터!A:E,5,FALSE),"")</f>
        <v/>
      </c>
      <c r="M340" s="18" t="n"/>
      <c r="N340" s="18" t="n"/>
    </row>
    <row r="341">
      <c r="A341" s="41" t="n"/>
      <c r="B341" s="35">
        <f>IF(A341="","",YEAR(A341))</f>
        <v/>
      </c>
      <c r="C341" s="36">
        <f>IF(A341="","",MONTH(A341))</f>
        <v/>
      </c>
      <c r="D341" s="37">
        <f>IF(A341="","","Q"&amp;ROUNDUP(MONTH(A341)/3,0))</f>
        <v/>
      </c>
      <c r="E341" s="22" t="n"/>
      <c r="F341" s="22" t="n"/>
      <c r="G341" s="42" t="n"/>
      <c r="H341" s="24" t="n"/>
      <c r="I341" s="39">
        <f>IF(AND(G341&lt;&gt;"",H341&lt;&gt;""),G341*H341,"")</f>
        <v/>
      </c>
      <c r="J341" s="22" t="n"/>
      <c r="K341" s="40">
        <f>IFERROR(VLOOKUP(J341,M2_거래처마스터!A:E,3,FALSE),"")</f>
        <v/>
      </c>
      <c r="L341" s="40">
        <f>IFERROR(VLOOKUP(J341,M2_거래처마스터!A:E,5,FALSE),"")</f>
        <v/>
      </c>
      <c r="M341" s="22" t="n"/>
      <c r="N341" s="22" t="n"/>
    </row>
    <row r="342">
      <c r="A342" s="34" t="n"/>
      <c r="B342" s="35">
        <f>IF(A342="","",YEAR(A342))</f>
        <v/>
      </c>
      <c r="C342" s="36">
        <f>IF(A342="","",MONTH(A342))</f>
        <v/>
      </c>
      <c r="D342" s="37">
        <f>IF(A342="","","Q"&amp;ROUNDUP(MONTH(A342)/3,0))</f>
        <v/>
      </c>
      <c r="E342" s="18" t="n"/>
      <c r="F342" s="18" t="n"/>
      <c r="G342" s="38" t="n"/>
      <c r="H342" s="20" t="n"/>
      <c r="I342" s="39">
        <f>IF(AND(G342&lt;&gt;"",H342&lt;&gt;""),G342*H342,"")</f>
        <v/>
      </c>
      <c r="J342" s="18" t="n"/>
      <c r="K342" s="40">
        <f>IFERROR(VLOOKUP(J342,M2_거래처마스터!A:E,3,FALSE),"")</f>
        <v/>
      </c>
      <c r="L342" s="40">
        <f>IFERROR(VLOOKUP(J342,M2_거래처마스터!A:E,5,FALSE),"")</f>
        <v/>
      </c>
      <c r="M342" s="18" t="n"/>
      <c r="N342" s="18" t="n"/>
    </row>
    <row r="343">
      <c r="A343" s="41" t="n"/>
      <c r="B343" s="35">
        <f>IF(A343="","",YEAR(A343))</f>
        <v/>
      </c>
      <c r="C343" s="36">
        <f>IF(A343="","",MONTH(A343))</f>
        <v/>
      </c>
      <c r="D343" s="37">
        <f>IF(A343="","","Q"&amp;ROUNDUP(MONTH(A343)/3,0))</f>
        <v/>
      </c>
      <c r="E343" s="22" t="n"/>
      <c r="F343" s="22" t="n"/>
      <c r="G343" s="42" t="n"/>
      <c r="H343" s="24" t="n"/>
      <c r="I343" s="39">
        <f>IF(AND(G343&lt;&gt;"",H343&lt;&gt;""),G343*H343,"")</f>
        <v/>
      </c>
      <c r="J343" s="22" t="n"/>
      <c r="K343" s="40">
        <f>IFERROR(VLOOKUP(J343,M2_거래처마스터!A:E,3,FALSE),"")</f>
        <v/>
      </c>
      <c r="L343" s="40">
        <f>IFERROR(VLOOKUP(J343,M2_거래처마스터!A:E,5,FALSE),"")</f>
        <v/>
      </c>
      <c r="M343" s="22" t="n"/>
      <c r="N343" s="22" t="n"/>
    </row>
    <row r="344">
      <c r="A344" s="34" t="n"/>
      <c r="B344" s="35">
        <f>IF(A344="","",YEAR(A344))</f>
        <v/>
      </c>
      <c r="C344" s="36">
        <f>IF(A344="","",MONTH(A344))</f>
        <v/>
      </c>
      <c r="D344" s="37">
        <f>IF(A344="","","Q"&amp;ROUNDUP(MONTH(A344)/3,0))</f>
        <v/>
      </c>
      <c r="E344" s="18" t="n"/>
      <c r="F344" s="18" t="n"/>
      <c r="G344" s="38" t="n"/>
      <c r="H344" s="20" t="n"/>
      <c r="I344" s="39">
        <f>IF(AND(G344&lt;&gt;"",H344&lt;&gt;""),G344*H344,"")</f>
        <v/>
      </c>
      <c r="J344" s="18" t="n"/>
      <c r="K344" s="40">
        <f>IFERROR(VLOOKUP(J344,M2_거래처마스터!A:E,3,FALSE),"")</f>
        <v/>
      </c>
      <c r="L344" s="40">
        <f>IFERROR(VLOOKUP(J344,M2_거래처마스터!A:E,5,FALSE),"")</f>
        <v/>
      </c>
      <c r="M344" s="18" t="n"/>
      <c r="N344" s="18" t="n"/>
    </row>
    <row r="345">
      <c r="A345" s="41" t="n"/>
      <c r="B345" s="35">
        <f>IF(A345="","",YEAR(A345))</f>
        <v/>
      </c>
      <c r="C345" s="36">
        <f>IF(A345="","",MONTH(A345))</f>
        <v/>
      </c>
      <c r="D345" s="37">
        <f>IF(A345="","","Q"&amp;ROUNDUP(MONTH(A345)/3,0))</f>
        <v/>
      </c>
      <c r="E345" s="22" t="n"/>
      <c r="F345" s="22" t="n"/>
      <c r="G345" s="42" t="n"/>
      <c r="H345" s="24" t="n"/>
      <c r="I345" s="39">
        <f>IF(AND(G345&lt;&gt;"",H345&lt;&gt;""),G345*H345,"")</f>
        <v/>
      </c>
      <c r="J345" s="22" t="n"/>
      <c r="K345" s="40">
        <f>IFERROR(VLOOKUP(J345,M2_거래처마스터!A:E,3,FALSE),"")</f>
        <v/>
      </c>
      <c r="L345" s="40">
        <f>IFERROR(VLOOKUP(J345,M2_거래처마스터!A:E,5,FALSE),"")</f>
        <v/>
      </c>
      <c r="M345" s="22" t="n"/>
      <c r="N345" s="22" t="n"/>
    </row>
    <row r="346">
      <c r="A346" s="34" t="n"/>
      <c r="B346" s="35">
        <f>IF(A346="","",YEAR(A346))</f>
        <v/>
      </c>
      <c r="C346" s="36">
        <f>IF(A346="","",MONTH(A346))</f>
        <v/>
      </c>
      <c r="D346" s="37">
        <f>IF(A346="","","Q"&amp;ROUNDUP(MONTH(A346)/3,0))</f>
        <v/>
      </c>
      <c r="E346" s="18" t="n"/>
      <c r="F346" s="18" t="n"/>
      <c r="G346" s="38" t="n"/>
      <c r="H346" s="20" t="n"/>
      <c r="I346" s="39">
        <f>IF(AND(G346&lt;&gt;"",H346&lt;&gt;""),G346*H346,"")</f>
        <v/>
      </c>
      <c r="J346" s="18" t="n"/>
      <c r="K346" s="40">
        <f>IFERROR(VLOOKUP(J346,M2_거래처마스터!A:E,3,FALSE),"")</f>
        <v/>
      </c>
      <c r="L346" s="40">
        <f>IFERROR(VLOOKUP(J346,M2_거래처마스터!A:E,5,FALSE),"")</f>
        <v/>
      </c>
      <c r="M346" s="18" t="n"/>
      <c r="N346" s="18" t="n"/>
    </row>
    <row r="347">
      <c r="A347" s="41" t="n"/>
      <c r="B347" s="35">
        <f>IF(A347="","",YEAR(A347))</f>
        <v/>
      </c>
      <c r="C347" s="36">
        <f>IF(A347="","",MONTH(A347))</f>
        <v/>
      </c>
      <c r="D347" s="37">
        <f>IF(A347="","","Q"&amp;ROUNDUP(MONTH(A347)/3,0))</f>
        <v/>
      </c>
      <c r="E347" s="22" t="n"/>
      <c r="F347" s="22" t="n"/>
      <c r="G347" s="42" t="n"/>
      <c r="H347" s="24" t="n"/>
      <c r="I347" s="39">
        <f>IF(AND(G347&lt;&gt;"",H347&lt;&gt;""),G347*H347,"")</f>
        <v/>
      </c>
      <c r="J347" s="22" t="n"/>
      <c r="K347" s="40">
        <f>IFERROR(VLOOKUP(J347,M2_거래처마스터!A:E,3,FALSE),"")</f>
        <v/>
      </c>
      <c r="L347" s="40">
        <f>IFERROR(VLOOKUP(J347,M2_거래처마스터!A:E,5,FALSE),"")</f>
        <v/>
      </c>
      <c r="M347" s="22" t="n"/>
      <c r="N347" s="22" t="n"/>
    </row>
    <row r="348">
      <c r="A348" s="34" t="n"/>
      <c r="B348" s="35">
        <f>IF(A348="","",YEAR(A348))</f>
        <v/>
      </c>
      <c r="C348" s="36">
        <f>IF(A348="","",MONTH(A348))</f>
        <v/>
      </c>
      <c r="D348" s="37">
        <f>IF(A348="","","Q"&amp;ROUNDUP(MONTH(A348)/3,0))</f>
        <v/>
      </c>
      <c r="E348" s="18" t="n"/>
      <c r="F348" s="18" t="n"/>
      <c r="G348" s="38" t="n"/>
      <c r="H348" s="20" t="n"/>
      <c r="I348" s="39">
        <f>IF(AND(G348&lt;&gt;"",H348&lt;&gt;""),G348*H348,"")</f>
        <v/>
      </c>
      <c r="J348" s="18" t="n"/>
      <c r="K348" s="40">
        <f>IFERROR(VLOOKUP(J348,M2_거래처마스터!A:E,3,FALSE),"")</f>
        <v/>
      </c>
      <c r="L348" s="40">
        <f>IFERROR(VLOOKUP(J348,M2_거래처마스터!A:E,5,FALSE),"")</f>
        <v/>
      </c>
      <c r="M348" s="18" t="n"/>
      <c r="N348" s="18" t="n"/>
    </row>
    <row r="349">
      <c r="A349" s="41" t="n"/>
      <c r="B349" s="35">
        <f>IF(A349="","",YEAR(A349))</f>
        <v/>
      </c>
      <c r="C349" s="36">
        <f>IF(A349="","",MONTH(A349))</f>
        <v/>
      </c>
      <c r="D349" s="37">
        <f>IF(A349="","","Q"&amp;ROUNDUP(MONTH(A349)/3,0))</f>
        <v/>
      </c>
      <c r="E349" s="22" t="n"/>
      <c r="F349" s="22" t="n"/>
      <c r="G349" s="42" t="n"/>
      <c r="H349" s="24" t="n"/>
      <c r="I349" s="39">
        <f>IF(AND(G349&lt;&gt;"",H349&lt;&gt;""),G349*H349,"")</f>
        <v/>
      </c>
      <c r="J349" s="22" t="n"/>
      <c r="K349" s="40">
        <f>IFERROR(VLOOKUP(J349,M2_거래처마스터!A:E,3,FALSE),"")</f>
        <v/>
      </c>
      <c r="L349" s="40">
        <f>IFERROR(VLOOKUP(J349,M2_거래처마스터!A:E,5,FALSE),"")</f>
        <v/>
      </c>
      <c r="M349" s="22" t="n"/>
      <c r="N349" s="22" t="n"/>
    </row>
    <row r="350">
      <c r="A350" s="34" t="n"/>
      <c r="B350" s="35">
        <f>IF(A350="","",YEAR(A350))</f>
        <v/>
      </c>
      <c r="C350" s="36">
        <f>IF(A350="","",MONTH(A350))</f>
        <v/>
      </c>
      <c r="D350" s="37">
        <f>IF(A350="","","Q"&amp;ROUNDUP(MONTH(A350)/3,0))</f>
        <v/>
      </c>
      <c r="E350" s="18" t="n"/>
      <c r="F350" s="18" t="n"/>
      <c r="G350" s="38" t="n"/>
      <c r="H350" s="20" t="n"/>
      <c r="I350" s="39">
        <f>IF(AND(G350&lt;&gt;"",H350&lt;&gt;""),G350*H350,"")</f>
        <v/>
      </c>
      <c r="J350" s="18" t="n"/>
      <c r="K350" s="40">
        <f>IFERROR(VLOOKUP(J350,M2_거래처마스터!A:E,3,FALSE),"")</f>
        <v/>
      </c>
      <c r="L350" s="40">
        <f>IFERROR(VLOOKUP(J350,M2_거래처마스터!A:E,5,FALSE),"")</f>
        <v/>
      </c>
      <c r="M350" s="18" t="n"/>
      <c r="N350" s="18" t="n"/>
    </row>
    <row r="351">
      <c r="A351" s="41" t="n"/>
      <c r="B351" s="35">
        <f>IF(A351="","",YEAR(A351))</f>
        <v/>
      </c>
      <c r="C351" s="36">
        <f>IF(A351="","",MONTH(A351))</f>
        <v/>
      </c>
      <c r="D351" s="37">
        <f>IF(A351="","","Q"&amp;ROUNDUP(MONTH(A351)/3,0))</f>
        <v/>
      </c>
      <c r="E351" s="22" t="n"/>
      <c r="F351" s="22" t="n"/>
      <c r="G351" s="42" t="n"/>
      <c r="H351" s="24" t="n"/>
      <c r="I351" s="39">
        <f>IF(AND(G351&lt;&gt;"",H351&lt;&gt;""),G351*H351,"")</f>
        <v/>
      </c>
      <c r="J351" s="22" t="n"/>
      <c r="K351" s="40">
        <f>IFERROR(VLOOKUP(J351,M2_거래처마스터!A:E,3,FALSE),"")</f>
        <v/>
      </c>
      <c r="L351" s="40">
        <f>IFERROR(VLOOKUP(J351,M2_거래처마스터!A:E,5,FALSE),"")</f>
        <v/>
      </c>
      <c r="M351" s="22" t="n"/>
      <c r="N351" s="22" t="n"/>
    </row>
    <row r="352">
      <c r="A352" s="34" t="n"/>
      <c r="B352" s="35">
        <f>IF(A352="","",YEAR(A352))</f>
        <v/>
      </c>
      <c r="C352" s="36">
        <f>IF(A352="","",MONTH(A352))</f>
        <v/>
      </c>
      <c r="D352" s="37">
        <f>IF(A352="","","Q"&amp;ROUNDUP(MONTH(A352)/3,0))</f>
        <v/>
      </c>
      <c r="E352" s="18" t="n"/>
      <c r="F352" s="18" t="n"/>
      <c r="G352" s="38" t="n"/>
      <c r="H352" s="20" t="n"/>
      <c r="I352" s="39">
        <f>IF(AND(G352&lt;&gt;"",H352&lt;&gt;""),G352*H352,"")</f>
        <v/>
      </c>
      <c r="J352" s="18" t="n"/>
      <c r="K352" s="40">
        <f>IFERROR(VLOOKUP(J352,M2_거래처마스터!A:E,3,FALSE),"")</f>
        <v/>
      </c>
      <c r="L352" s="40">
        <f>IFERROR(VLOOKUP(J352,M2_거래처마스터!A:E,5,FALSE),"")</f>
        <v/>
      </c>
      <c r="M352" s="18" t="n"/>
      <c r="N352" s="18" t="n"/>
    </row>
    <row r="353">
      <c r="A353" s="41" t="n"/>
      <c r="B353" s="35">
        <f>IF(A353="","",YEAR(A353))</f>
        <v/>
      </c>
      <c r="C353" s="36">
        <f>IF(A353="","",MONTH(A353))</f>
        <v/>
      </c>
      <c r="D353" s="37">
        <f>IF(A353="","","Q"&amp;ROUNDUP(MONTH(A353)/3,0))</f>
        <v/>
      </c>
      <c r="E353" s="22" t="n"/>
      <c r="F353" s="22" t="n"/>
      <c r="G353" s="42" t="n"/>
      <c r="H353" s="24" t="n"/>
      <c r="I353" s="39">
        <f>IF(AND(G353&lt;&gt;"",H353&lt;&gt;""),G353*H353,"")</f>
        <v/>
      </c>
      <c r="J353" s="22" t="n"/>
      <c r="K353" s="40">
        <f>IFERROR(VLOOKUP(J353,M2_거래처마스터!A:E,3,FALSE),"")</f>
        <v/>
      </c>
      <c r="L353" s="40">
        <f>IFERROR(VLOOKUP(J353,M2_거래처마스터!A:E,5,FALSE),"")</f>
        <v/>
      </c>
      <c r="M353" s="22" t="n"/>
      <c r="N353" s="22" t="n"/>
    </row>
    <row r="354">
      <c r="A354" s="34" t="n"/>
      <c r="B354" s="35">
        <f>IF(A354="","",YEAR(A354))</f>
        <v/>
      </c>
      <c r="C354" s="36">
        <f>IF(A354="","",MONTH(A354))</f>
        <v/>
      </c>
      <c r="D354" s="37">
        <f>IF(A354="","","Q"&amp;ROUNDUP(MONTH(A354)/3,0))</f>
        <v/>
      </c>
      <c r="E354" s="18" t="n"/>
      <c r="F354" s="18" t="n"/>
      <c r="G354" s="38" t="n"/>
      <c r="H354" s="20" t="n"/>
      <c r="I354" s="39">
        <f>IF(AND(G354&lt;&gt;"",H354&lt;&gt;""),G354*H354,"")</f>
        <v/>
      </c>
      <c r="J354" s="18" t="n"/>
      <c r="K354" s="40">
        <f>IFERROR(VLOOKUP(J354,M2_거래처마스터!A:E,3,FALSE),"")</f>
        <v/>
      </c>
      <c r="L354" s="40">
        <f>IFERROR(VLOOKUP(J354,M2_거래처마스터!A:E,5,FALSE),"")</f>
        <v/>
      </c>
      <c r="M354" s="18" t="n"/>
      <c r="N354" s="18" t="n"/>
    </row>
    <row r="355">
      <c r="A355" s="41" t="n"/>
      <c r="B355" s="35">
        <f>IF(A355="","",YEAR(A355))</f>
        <v/>
      </c>
      <c r="C355" s="36">
        <f>IF(A355="","",MONTH(A355))</f>
        <v/>
      </c>
      <c r="D355" s="37">
        <f>IF(A355="","","Q"&amp;ROUNDUP(MONTH(A355)/3,0))</f>
        <v/>
      </c>
      <c r="E355" s="22" t="n"/>
      <c r="F355" s="22" t="n"/>
      <c r="G355" s="42" t="n"/>
      <c r="H355" s="24" t="n"/>
      <c r="I355" s="39">
        <f>IF(AND(G355&lt;&gt;"",H355&lt;&gt;""),G355*H355,"")</f>
        <v/>
      </c>
      <c r="J355" s="22" t="n"/>
      <c r="K355" s="40">
        <f>IFERROR(VLOOKUP(J355,M2_거래처마스터!A:E,3,FALSE),"")</f>
        <v/>
      </c>
      <c r="L355" s="40">
        <f>IFERROR(VLOOKUP(J355,M2_거래처마스터!A:E,5,FALSE),"")</f>
        <v/>
      </c>
      <c r="M355" s="22" t="n"/>
      <c r="N355" s="22" t="n"/>
    </row>
    <row r="356">
      <c r="A356" s="34" t="n"/>
      <c r="B356" s="35">
        <f>IF(A356="","",YEAR(A356))</f>
        <v/>
      </c>
      <c r="C356" s="36">
        <f>IF(A356="","",MONTH(A356))</f>
        <v/>
      </c>
      <c r="D356" s="37">
        <f>IF(A356="","","Q"&amp;ROUNDUP(MONTH(A356)/3,0))</f>
        <v/>
      </c>
      <c r="E356" s="18" t="n"/>
      <c r="F356" s="18" t="n"/>
      <c r="G356" s="38" t="n"/>
      <c r="H356" s="20" t="n"/>
      <c r="I356" s="39">
        <f>IF(AND(G356&lt;&gt;"",H356&lt;&gt;""),G356*H356,"")</f>
        <v/>
      </c>
      <c r="J356" s="18" t="n"/>
      <c r="K356" s="40">
        <f>IFERROR(VLOOKUP(J356,M2_거래처마스터!A:E,3,FALSE),"")</f>
        <v/>
      </c>
      <c r="L356" s="40">
        <f>IFERROR(VLOOKUP(J356,M2_거래처마스터!A:E,5,FALSE),"")</f>
        <v/>
      </c>
      <c r="M356" s="18" t="n"/>
      <c r="N356" s="18" t="n"/>
    </row>
    <row r="357">
      <c r="A357" s="41" t="n"/>
      <c r="B357" s="35">
        <f>IF(A357="","",YEAR(A357))</f>
        <v/>
      </c>
      <c r="C357" s="36">
        <f>IF(A357="","",MONTH(A357))</f>
        <v/>
      </c>
      <c r="D357" s="37">
        <f>IF(A357="","","Q"&amp;ROUNDUP(MONTH(A357)/3,0))</f>
        <v/>
      </c>
      <c r="E357" s="22" t="n"/>
      <c r="F357" s="22" t="n"/>
      <c r="G357" s="42" t="n"/>
      <c r="H357" s="24" t="n"/>
      <c r="I357" s="39">
        <f>IF(AND(G357&lt;&gt;"",H357&lt;&gt;""),G357*H357,"")</f>
        <v/>
      </c>
      <c r="J357" s="22" t="n"/>
      <c r="K357" s="40">
        <f>IFERROR(VLOOKUP(J357,M2_거래처마스터!A:E,3,FALSE),"")</f>
        <v/>
      </c>
      <c r="L357" s="40">
        <f>IFERROR(VLOOKUP(J357,M2_거래처마스터!A:E,5,FALSE),"")</f>
        <v/>
      </c>
      <c r="M357" s="22" t="n"/>
      <c r="N357" s="22" t="n"/>
    </row>
    <row r="358">
      <c r="A358" s="34" t="n"/>
      <c r="B358" s="35">
        <f>IF(A358="","",YEAR(A358))</f>
        <v/>
      </c>
      <c r="C358" s="36">
        <f>IF(A358="","",MONTH(A358))</f>
        <v/>
      </c>
      <c r="D358" s="37">
        <f>IF(A358="","","Q"&amp;ROUNDUP(MONTH(A358)/3,0))</f>
        <v/>
      </c>
      <c r="E358" s="18" t="n"/>
      <c r="F358" s="18" t="n"/>
      <c r="G358" s="38" t="n"/>
      <c r="H358" s="20" t="n"/>
      <c r="I358" s="39">
        <f>IF(AND(G358&lt;&gt;"",H358&lt;&gt;""),G358*H358,"")</f>
        <v/>
      </c>
      <c r="J358" s="18" t="n"/>
      <c r="K358" s="40">
        <f>IFERROR(VLOOKUP(J358,M2_거래처마스터!A:E,3,FALSE),"")</f>
        <v/>
      </c>
      <c r="L358" s="40">
        <f>IFERROR(VLOOKUP(J358,M2_거래처마스터!A:E,5,FALSE),"")</f>
        <v/>
      </c>
      <c r="M358" s="18" t="n"/>
      <c r="N358" s="18" t="n"/>
    </row>
    <row r="359">
      <c r="A359" s="41" t="n"/>
      <c r="B359" s="35">
        <f>IF(A359="","",YEAR(A359))</f>
        <v/>
      </c>
      <c r="C359" s="36">
        <f>IF(A359="","",MONTH(A359))</f>
        <v/>
      </c>
      <c r="D359" s="37">
        <f>IF(A359="","","Q"&amp;ROUNDUP(MONTH(A359)/3,0))</f>
        <v/>
      </c>
      <c r="E359" s="22" t="n"/>
      <c r="F359" s="22" t="n"/>
      <c r="G359" s="42" t="n"/>
      <c r="H359" s="24" t="n"/>
      <c r="I359" s="39">
        <f>IF(AND(G359&lt;&gt;"",H359&lt;&gt;""),G359*H359,"")</f>
        <v/>
      </c>
      <c r="J359" s="22" t="n"/>
      <c r="K359" s="40">
        <f>IFERROR(VLOOKUP(J359,M2_거래처마스터!A:E,3,FALSE),"")</f>
        <v/>
      </c>
      <c r="L359" s="40">
        <f>IFERROR(VLOOKUP(J359,M2_거래처마스터!A:E,5,FALSE),"")</f>
        <v/>
      </c>
      <c r="M359" s="22" t="n"/>
      <c r="N359" s="22" t="n"/>
    </row>
    <row r="360">
      <c r="A360" s="34" t="n"/>
      <c r="B360" s="35">
        <f>IF(A360="","",YEAR(A360))</f>
        <v/>
      </c>
      <c r="C360" s="36">
        <f>IF(A360="","",MONTH(A360))</f>
        <v/>
      </c>
      <c r="D360" s="37">
        <f>IF(A360="","","Q"&amp;ROUNDUP(MONTH(A360)/3,0))</f>
        <v/>
      </c>
      <c r="E360" s="18" t="n"/>
      <c r="F360" s="18" t="n"/>
      <c r="G360" s="38" t="n"/>
      <c r="H360" s="20" t="n"/>
      <c r="I360" s="39">
        <f>IF(AND(G360&lt;&gt;"",H360&lt;&gt;""),G360*H360,"")</f>
        <v/>
      </c>
      <c r="J360" s="18" t="n"/>
      <c r="K360" s="40">
        <f>IFERROR(VLOOKUP(J360,M2_거래처마스터!A:E,3,FALSE),"")</f>
        <v/>
      </c>
      <c r="L360" s="40">
        <f>IFERROR(VLOOKUP(J360,M2_거래처마스터!A:E,5,FALSE),"")</f>
        <v/>
      </c>
      <c r="M360" s="18" t="n"/>
      <c r="N360" s="18" t="n"/>
    </row>
    <row r="361">
      <c r="A361" s="41" t="n"/>
      <c r="B361" s="35">
        <f>IF(A361="","",YEAR(A361))</f>
        <v/>
      </c>
      <c r="C361" s="36">
        <f>IF(A361="","",MONTH(A361))</f>
        <v/>
      </c>
      <c r="D361" s="37">
        <f>IF(A361="","","Q"&amp;ROUNDUP(MONTH(A361)/3,0))</f>
        <v/>
      </c>
      <c r="E361" s="22" t="n"/>
      <c r="F361" s="22" t="n"/>
      <c r="G361" s="42" t="n"/>
      <c r="H361" s="24" t="n"/>
      <c r="I361" s="39">
        <f>IF(AND(G361&lt;&gt;"",H361&lt;&gt;""),G361*H361,"")</f>
        <v/>
      </c>
      <c r="J361" s="22" t="n"/>
      <c r="K361" s="40">
        <f>IFERROR(VLOOKUP(J361,M2_거래처마스터!A:E,3,FALSE),"")</f>
        <v/>
      </c>
      <c r="L361" s="40">
        <f>IFERROR(VLOOKUP(J361,M2_거래처마스터!A:E,5,FALSE),"")</f>
        <v/>
      </c>
      <c r="M361" s="22" t="n"/>
      <c r="N361" s="22" t="n"/>
    </row>
    <row r="362">
      <c r="A362" s="34" t="n"/>
      <c r="B362" s="35">
        <f>IF(A362="","",YEAR(A362))</f>
        <v/>
      </c>
      <c r="C362" s="36">
        <f>IF(A362="","",MONTH(A362))</f>
        <v/>
      </c>
      <c r="D362" s="37">
        <f>IF(A362="","","Q"&amp;ROUNDUP(MONTH(A362)/3,0))</f>
        <v/>
      </c>
      <c r="E362" s="18" t="n"/>
      <c r="F362" s="18" t="n"/>
      <c r="G362" s="38" t="n"/>
      <c r="H362" s="20" t="n"/>
      <c r="I362" s="39">
        <f>IF(AND(G362&lt;&gt;"",H362&lt;&gt;""),G362*H362,"")</f>
        <v/>
      </c>
      <c r="J362" s="18" t="n"/>
      <c r="K362" s="40">
        <f>IFERROR(VLOOKUP(J362,M2_거래처마스터!A:E,3,FALSE),"")</f>
        <v/>
      </c>
      <c r="L362" s="40">
        <f>IFERROR(VLOOKUP(J362,M2_거래처마스터!A:E,5,FALSE),"")</f>
        <v/>
      </c>
      <c r="M362" s="18" t="n"/>
      <c r="N362" s="18" t="n"/>
    </row>
    <row r="363">
      <c r="A363" s="41" t="n"/>
      <c r="B363" s="35">
        <f>IF(A363="","",YEAR(A363))</f>
        <v/>
      </c>
      <c r="C363" s="36">
        <f>IF(A363="","",MONTH(A363))</f>
        <v/>
      </c>
      <c r="D363" s="37">
        <f>IF(A363="","","Q"&amp;ROUNDUP(MONTH(A363)/3,0))</f>
        <v/>
      </c>
      <c r="E363" s="22" t="n"/>
      <c r="F363" s="22" t="n"/>
      <c r="G363" s="42" t="n"/>
      <c r="H363" s="24" t="n"/>
      <c r="I363" s="39">
        <f>IF(AND(G363&lt;&gt;"",H363&lt;&gt;""),G363*H363,"")</f>
        <v/>
      </c>
      <c r="J363" s="22" t="n"/>
      <c r="K363" s="40">
        <f>IFERROR(VLOOKUP(J363,M2_거래처마스터!A:E,3,FALSE),"")</f>
        <v/>
      </c>
      <c r="L363" s="40">
        <f>IFERROR(VLOOKUP(J363,M2_거래처마스터!A:E,5,FALSE),"")</f>
        <v/>
      </c>
      <c r="M363" s="22" t="n"/>
      <c r="N363" s="22" t="n"/>
    </row>
    <row r="364">
      <c r="A364" s="34" t="n"/>
      <c r="B364" s="35">
        <f>IF(A364="","",YEAR(A364))</f>
        <v/>
      </c>
      <c r="C364" s="36">
        <f>IF(A364="","",MONTH(A364))</f>
        <v/>
      </c>
      <c r="D364" s="37">
        <f>IF(A364="","","Q"&amp;ROUNDUP(MONTH(A364)/3,0))</f>
        <v/>
      </c>
      <c r="E364" s="18" t="n"/>
      <c r="F364" s="18" t="n"/>
      <c r="G364" s="38" t="n"/>
      <c r="H364" s="20" t="n"/>
      <c r="I364" s="39">
        <f>IF(AND(G364&lt;&gt;"",H364&lt;&gt;""),G364*H364,"")</f>
        <v/>
      </c>
      <c r="J364" s="18" t="n"/>
      <c r="K364" s="40">
        <f>IFERROR(VLOOKUP(J364,M2_거래처마스터!A:E,3,FALSE),"")</f>
        <v/>
      </c>
      <c r="L364" s="40">
        <f>IFERROR(VLOOKUP(J364,M2_거래처마스터!A:E,5,FALSE),"")</f>
        <v/>
      </c>
      <c r="M364" s="18" t="n"/>
      <c r="N364" s="18" t="n"/>
    </row>
    <row r="365">
      <c r="A365" s="41" t="n"/>
      <c r="B365" s="35">
        <f>IF(A365="","",YEAR(A365))</f>
        <v/>
      </c>
      <c r="C365" s="36">
        <f>IF(A365="","",MONTH(A365))</f>
        <v/>
      </c>
      <c r="D365" s="37">
        <f>IF(A365="","","Q"&amp;ROUNDUP(MONTH(A365)/3,0))</f>
        <v/>
      </c>
      <c r="E365" s="22" t="n"/>
      <c r="F365" s="22" t="n"/>
      <c r="G365" s="42" t="n"/>
      <c r="H365" s="24" t="n"/>
      <c r="I365" s="39">
        <f>IF(AND(G365&lt;&gt;"",H365&lt;&gt;""),G365*H365,"")</f>
        <v/>
      </c>
      <c r="J365" s="22" t="n"/>
      <c r="K365" s="40">
        <f>IFERROR(VLOOKUP(J365,M2_거래처마스터!A:E,3,FALSE),"")</f>
        <v/>
      </c>
      <c r="L365" s="40">
        <f>IFERROR(VLOOKUP(J365,M2_거래처마스터!A:E,5,FALSE),"")</f>
        <v/>
      </c>
      <c r="M365" s="22" t="n"/>
      <c r="N365" s="22" t="n"/>
    </row>
    <row r="366">
      <c r="A366" s="34" t="n"/>
      <c r="B366" s="35">
        <f>IF(A366="","",YEAR(A366))</f>
        <v/>
      </c>
      <c r="C366" s="36">
        <f>IF(A366="","",MONTH(A366))</f>
        <v/>
      </c>
      <c r="D366" s="37">
        <f>IF(A366="","","Q"&amp;ROUNDUP(MONTH(A366)/3,0))</f>
        <v/>
      </c>
      <c r="E366" s="18" t="n"/>
      <c r="F366" s="18" t="n"/>
      <c r="G366" s="38" t="n"/>
      <c r="H366" s="20" t="n"/>
      <c r="I366" s="39">
        <f>IF(AND(G366&lt;&gt;"",H366&lt;&gt;""),G366*H366,"")</f>
        <v/>
      </c>
      <c r="J366" s="18" t="n"/>
      <c r="K366" s="40">
        <f>IFERROR(VLOOKUP(J366,M2_거래처마스터!A:E,3,FALSE),"")</f>
        <v/>
      </c>
      <c r="L366" s="40">
        <f>IFERROR(VLOOKUP(J366,M2_거래처마스터!A:E,5,FALSE),"")</f>
        <v/>
      </c>
      <c r="M366" s="18" t="n"/>
      <c r="N366" s="18" t="n"/>
    </row>
    <row r="367">
      <c r="A367" s="41" t="n"/>
      <c r="B367" s="35">
        <f>IF(A367="","",YEAR(A367))</f>
        <v/>
      </c>
      <c r="C367" s="36">
        <f>IF(A367="","",MONTH(A367))</f>
        <v/>
      </c>
      <c r="D367" s="37">
        <f>IF(A367="","","Q"&amp;ROUNDUP(MONTH(A367)/3,0))</f>
        <v/>
      </c>
      <c r="E367" s="22" t="n"/>
      <c r="F367" s="22" t="n"/>
      <c r="G367" s="42" t="n"/>
      <c r="H367" s="24" t="n"/>
      <c r="I367" s="39">
        <f>IF(AND(G367&lt;&gt;"",H367&lt;&gt;""),G367*H367,"")</f>
        <v/>
      </c>
      <c r="J367" s="22" t="n"/>
      <c r="K367" s="40">
        <f>IFERROR(VLOOKUP(J367,M2_거래처마스터!A:E,3,FALSE),"")</f>
        <v/>
      </c>
      <c r="L367" s="40">
        <f>IFERROR(VLOOKUP(J367,M2_거래처마스터!A:E,5,FALSE),"")</f>
        <v/>
      </c>
      <c r="M367" s="22" t="n"/>
      <c r="N367" s="22" t="n"/>
    </row>
    <row r="368">
      <c r="A368" s="34" t="n"/>
      <c r="B368" s="35">
        <f>IF(A368="","",YEAR(A368))</f>
        <v/>
      </c>
      <c r="C368" s="36">
        <f>IF(A368="","",MONTH(A368))</f>
        <v/>
      </c>
      <c r="D368" s="37">
        <f>IF(A368="","","Q"&amp;ROUNDUP(MONTH(A368)/3,0))</f>
        <v/>
      </c>
      <c r="E368" s="18" t="n"/>
      <c r="F368" s="18" t="n"/>
      <c r="G368" s="38" t="n"/>
      <c r="H368" s="20" t="n"/>
      <c r="I368" s="39">
        <f>IF(AND(G368&lt;&gt;"",H368&lt;&gt;""),G368*H368,"")</f>
        <v/>
      </c>
      <c r="J368" s="18" t="n"/>
      <c r="K368" s="40">
        <f>IFERROR(VLOOKUP(J368,M2_거래처마스터!A:E,3,FALSE),"")</f>
        <v/>
      </c>
      <c r="L368" s="40">
        <f>IFERROR(VLOOKUP(J368,M2_거래처마스터!A:E,5,FALSE),"")</f>
        <v/>
      </c>
      <c r="M368" s="18" t="n"/>
      <c r="N368" s="18" t="n"/>
    </row>
    <row r="369">
      <c r="A369" s="41" t="n"/>
      <c r="B369" s="35">
        <f>IF(A369="","",YEAR(A369))</f>
        <v/>
      </c>
      <c r="C369" s="36">
        <f>IF(A369="","",MONTH(A369))</f>
        <v/>
      </c>
      <c r="D369" s="37">
        <f>IF(A369="","","Q"&amp;ROUNDUP(MONTH(A369)/3,0))</f>
        <v/>
      </c>
      <c r="E369" s="22" t="n"/>
      <c r="F369" s="22" t="n"/>
      <c r="G369" s="42" t="n"/>
      <c r="H369" s="24" t="n"/>
      <c r="I369" s="39">
        <f>IF(AND(G369&lt;&gt;"",H369&lt;&gt;""),G369*H369,"")</f>
        <v/>
      </c>
      <c r="J369" s="22" t="n"/>
      <c r="K369" s="40">
        <f>IFERROR(VLOOKUP(J369,M2_거래처마스터!A:E,3,FALSE),"")</f>
        <v/>
      </c>
      <c r="L369" s="40">
        <f>IFERROR(VLOOKUP(J369,M2_거래처마스터!A:E,5,FALSE),"")</f>
        <v/>
      </c>
      <c r="M369" s="22" t="n"/>
      <c r="N369" s="22" t="n"/>
    </row>
    <row r="370">
      <c r="A370" s="34" t="n"/>
      <c r="B370" s="35">
        <f>IF(A370="","",YEAR(A370))</f>
        <v/>
      </c>
      <c r="C370" s="36">
        <f>IF(A370="","",MONTH(A370))</f>
        <v/>
      </c>
      <c r="D370" s="37">
        <f>IF(A370="","","Q"&amp;ROUNDUP(MONTH(A370)/3,0))</f>
        <v/>
      </c>
      <c r="E370" s="18" t="n"/>
      <c r="F370" s="18" t="n"/>
      <c r="G370" s="38" t="n"/>
      <c r="H370" s="20" t="n"/>
      <c r="I370" s="39">
        <f>IF(AND(G370&lt;&gt;"",H370&lt;&gt;""),G370*H370,"")</f>
        <v/>
      </c>
      <c r="J370" s="18" t="n"/>
      <c r="K370" s="40">
        <f>IFERROR(VLOOKUP(J370,M2_거래처마스터!A:E,3,FALSE),"")</f>
        <v/>
      </c>
      <c r="L370" s="40">
        <f>IFERROR(VLOOKUP(J370,M2_거래처마스터!A:E,5,FALSE),"")</f>
        <v/>
      </c>
      <c r="M370" s="18" t="n"/>
      <c r="N370" s="18" t="n"/>
    </row>
    <row r="371">
      <c r="A371" s="41" t="n"/>
      <c r="B371" s="35">
        <f>IF(A371="","",YEAR(A371))</f>
        <v/>
      </c>
      <c r="C371" s="36">
        <f>IF(A371="","",MONTH(A371))</f>
        <v/>
      </c>
      <c r="D371" s="37">
        <f>IF(A371="","","Q"&amp;ROUNDUP(MONTH(A371)/3,0))</f>
        <v/>
      </c>
      <c r="E371" s="22" t="n"/>
      <c r="F371" s="22" t="n"/>
      <c r="G371" s="42" t="n"/>
      <c r="H371" s="24" t="n"/>
      <c r="I371" s="39">
        <f>IF(AND(G371&lt;&gt;"",H371&lt;&gt;""),G371*H371,"")</f>
        <v/>
      </c>
      <c r="J371" s="22" t="n"/>
      <c r="K371" s="40">
        <f>IFERROR(VLOOKUP(J371,M2_거래처마스터!A:E,3,FALSE),"")</f>
        <v/>
      </c>
      <c r="L371" s="40">
        <f>IFERROR(VLOOKUP(J371,M2_거래처마스터!A:E,5,FALSE),"")</f>
        <v/>
      </c>
      <c r="M371" s="22" t="n"/>
      <c r="N371" s="22" t="n"/>
    </row>
    <row r="372">
      <c r="A372" s="34" t="n"/>
      <c r="B372" s="35">
        <f>IF(A372="","",YEAR(A372))</f>
        <v/>
      </c>
      <c r="C372" s="36">
        <f>IF(A372="","",MONTH(A372))</f>
        <v/>
      </c>
      <c r="D372" s="37">
        <f>IF(A372="","","Q"&amp;ROUNDUP(MONTH(A372)/3,0))</f>
        <v/>
      </c>
      <c r="E372" s="18" t="n"/>
      <c r="F372" s="18" t="n"/>
      <c r="G372" s="38" t="n"/>
      <c r="H372" s="20" t="n"/>
      <c r="I372" s="39">
        <f>IF(AND(G372&lt;&gt;"",H372&lt;&gt;""),G372*H372,"")</f>
        <v/>
      </c>
      <c r="J372" s="18" t="n"/>
      <c r="K372" s="40">
        <f>IFERROR(VLOOKUP(J372,M2_거래처마스터!A:E,3,FALSE),"")</f>
        <v/>
      </c>
      <c r="L372" s="40">
        <f>IFERROR(VLOOKUP(J372,M2_거래처마스터!A:E,5,FALSE),"")</f>
        <v/>
      </c>
      <c r="M372" s="18" t="n"/>
      <c r="N372" s="18" t="n"/>
    </row>
    <row r="373">
      <c r="A373" s="41" t="n"/>
      <c r="B373" s="35">
        <f>IF(A373="","",YEAR(A373))</f>
        <v/>
      </c>
      <c r="C373" s="36">
        <f>IF(A373="","",MONTH(A373))</f>
        <v/>
      </c>
      <c r="D373" s="37">
        <f>IF(A373="","","Q"&amp;ROUNDUP(MONTH(A373)/3,0))</f>
        <v/>
      </c>
      <c r="E373" s="22" t="n"/>
      <c r="F373" s="22" t="n"/>
      <c r="G373" s="42" t="n"/>
      <c r="H373" s="24" t="n"/>
      <c r="I373" s="39">
        <f>IF(AND(G373&lt;&gt;"",H373&lt;&gt;""),G373*H373,"")</f>
        <v/>
      </c>
      <c r="J373" s="22" t="n"/>
      <c r="K373" s="40">
        <f>IFERROR(VLOOKUP(J373,M2_거래처마스터!A:E,3,FALSE),"")</f>
        <v/>
      </c>
      <c r="L373" s="40">
        <f>IFERROR(VLOOKUP(J373,M2_거래처마스터!A:E,5,FALSE),"")</f>
        <v/>
      </c>
      <c r="M373" s="22" t="n"/>
      <c r="N373" s="22" t="n"/>
    </row>
    <row r="374">
      <c r="A374" s="34" t="n"/>
      <c r="B374" s="35">
        <f>IF(A374="","",YEAR(A374))</f>
        <v/>
      </c>
      <c r="C374" s="36">
        <f>IF(A374="","",MONTH(A374))</f>
        <v/>
      </c>
      <c r="D374" s="37">
        <f>IF(A374="","","Q"&amp;ROUNDUP(MONTH(A374)/3,0))</f>
        <v/>
      </c>
      <c r="E374" s="18" t="n"/>
      <c r="F374" s="18" t="n"/>
      <c r="G374" s="38" t="n"/>
      <c r="H374" s="20" t="n"/>
      <c r="I374" s="39">
        <f>IF(AND(G374&lt;&gt;"",H374&lt;&gt;""),G374*H374,"")</f>
        <v/>
      </c>
      <c r="J374" s="18" t="n"/>
      <c r="K374" s="40">
        <f>IFERROR(VLOOKUP(J374,M2_거래처마스터!A:E,3,FALSE),"")</f>
        <v/>
      </c>
      <c r="L374" s="40">
        <f>IFERROR(VLOOKUP(J374,M2_거래처마스터!A:E,5,FALSE),"")</f>
        <v/>
      </c>
      <c r="M374" s="18" t="n"/>
      <c r="N374" s="18" t="n"/>
    </row>
    <row r="375">
      <c r="A375" s="41" t="n"/>
      <c r="B375" s="35">
        <f>IF(A375="","",YEAR(A375))</f>
        <v/>
      </c>
      <c r="C375" s="36">
        <f>IF(A375="","",MONTH(A375))</f>
        <v/>
      </c>
      <c r="D375" s="37">
        <f>IF(A375="","","Q"&amp;ROUNDUP(MONTH(A375)/3,0))</f>
        <v/>
      </c>
      <c r="E375" s="22" t="n"/>
      <c r="F375" s="22" t="n"/>
      <c r="G375" s="42" t="n"/>
      <c r="H375" s="24" t="n"/>
      <c r="I375" s="39">
        <f>IF(AND(G375&lt;&gt;"",H375&lt;&gt;""),G375*H375,"")</f>
        <v/>
      </c>
      <c r="J375" s="22" t="n"/>
      <c r="K375" s="40">
        <f>IFERROR(VLOOKUP(J375,M2_거래처마스터!A:E,3,FALSE),"")</f>
        <v/>
      </c>
      <c r="L375" s="40">
        <f>IFERROR(VLOOKUP(J375,M2_거래처마스터!A:E,5,FALSE),"")</f>
        <v/>
      </c>
      <c r="M375" s="22" t="n"/>
      <c r="N375" s="22" t="n"/>
    </row>
    <row r="376">
      <c r="A376" s="34" t="n"/>
      <c r="B376" s="35">
        <f>IF(A376="","",YEAR(A376))</f>
        <v/>
      </c>
      <c r="C376" s="36">
        <f>IF(A376="","",MONTH(A376))</f>
        <v/>
      </c>
      <c r="D376" s="37">
        <f>IF(A376="","","Q"&amp;ROUNDUP(MONTH(A376)/3,0))</f>
        <v/>
      </c>
      <c r="E376" s="18" t="n"/>
      <c r="F376" s="18" t="n"/>
      <c r="G376" s="38" t="n"/>
      <c r="H376" s="20" t="n"/>
      <c r="I376" s="39">
        <f>IF(AND(G376&lt;&gt;"",H376&lt;&gt;""),G376*H376,"")</f>
        <v/>
      </c>
      <c r="J376" s="18" t="n"/>
      <c r="K376" s="40">
        <f>IFERROR(VLOOKUP(J376,M2_거래처마스터!A:E,3,FALSE),"")</f>
        <v/>
      </c>
      <c r="L376" s="40">
        <f>IFERROR(VLOOKUP(J376,M2_거래처마스터!A:E,5,FALSE),"")</f>
        <v/>
      </c>
      <c r="M376" s="18" t="n"/>
      <c r="N376" s="18" t="n"/>
    </row>
    <row r="377">
      <c r="A377" s="41" t="n"/>
      <c r="B377" s="35">
        <f>IF(A377="","",YEAR(A377))</f>
        <v/>
      </c>
      <c r="C377" s="36">
        <f>IF(A377="","",MONTH(A377))</f>
        <v/>
      </c>
      <c r="D377" s="37">
        <f>IF(A377="","","Q"&amp;ROUNDUP(MONTH(A377)/3,0))</f>
        <v/>
      </c>
      <c r="E377" s="22" t="n"/>
      <c r="F377" s="22" t="n"/>
      <c r="G377" s="42" t="n"/>
      <c r="H377" s="24" t="n"/>
      <c r="I377" s="39">
        <f>IF(AND(G377&lt;&gt;"",H377&lt;&gt;""),G377*H377,"")</f>
        <v/>
      </c>
      <c r="J377" s="22" t="n"/>
      <c r="K377" s="40">
        <f>IFERROR(VLOOKUP(J377,M2_거래처마스터!A:E,3,FALSE),"")</f>
        <v/>
      </c>
      <c r="L377" s="40">
        <f>IFERROR(VLOOKUP(J377,M2_거래처마스터!A:E,5,FALSE),"")</f>
        <v/>
      </c>
      <c r="M377" s="22" t="n"/>
      <c r="N377" s="22" t="n"/>
    </row>
    <row r="378">
      <c r="A378" s="34" t="n"/>
      <c r="B378" s="35">
        <f>IF(A378="","",YEAR(A378))</f>
        <v/>
      </c>
      <c r="C378" s="36">
        <f>IF(A378="","",MONTH(A378))</f>
        <v/>
      </c>
      <c r="D378" s="37">
        <f>IF(A378="","","Q"&amp;ROUNDUP(MONTH(A378)/3,0))</f>
        <v/>
      </c>
      <c r="E378" s="18" t="n"/>
      <c r="F378" s="18" t="n"/>
      <c r="G378" s="38" t="n"/>
      <c r="H378" s="20" t="n"/>
      <c r="I378" s="39">
        <f>IF(AND(G378&lt;&gt;"",H378&lt;&gt;""),G378*H378,"")</f>
        <v/>
      </c>
      <c r="J378" s="18" t="n"/>
      <c r="K378" s="40">
        <f>IFERROR(VLOOKUP(J378,M2_거래처마스터!A:E,3,FALSE),"")</f>
        <v/>
      </c>
      <c r="L378" s="40">
        <f>IFERROR(VLOOKUP(J378,M2_거래처마스터!A:E,5,FALSE),"")</f>
        <v/>
      </c>
      <c r="M378" s="18" t="n"/>
      <c r="N378" s="18" t="n"/>
    </row>
    <row r="379">
      <c r="A379" s="41" t="n"/>
      <c r="B379" s="35">
        <f>IF(A379="","",YEAR(A379))</f>
        <v/>
      </c>
      <c r="C379" s="36">
        <f>IF(A379="","",MONTH(A379))</f>
        <v/>
      </c>
      <c r="D379" s="37">
        <f>IF(A379="","","Q"&amp;ROUNDUP(MONTH(A379)/3,0))</f>
        <v/>
      </c>
      <c r="E379" s="22" t="n"/>
      <c r="F379" s="22" t="n"/>
      <c r="G379" s="42" t="n"/>
      <c r="H379" s="24" t="n"/>
      <c r="I379" s="39">
        <f>IF(AND(G379&lt;&gt;"",H379&lt;&gt;""),G379*H379,"")</f>
        <v/>
      </c>
      <c r="J379" s="22" t="n"/>
      <c r="K379" s="40">
        <f>IFERROR(VLOOKUP(J379,M2_거래처마스터!A:E,3,FALSE),"")</f>
        <v/>
      </c>
      <c r="L379" s="40">
        <f>IFERROR(VLOOKUP(J379,M2_거래처마스터!A:E,5,FALSE),"")</f>
        <v/>
      </c>
      <c r="M379" s="22" t="n"/>
      <c r="N379" s="22" t="n"/>
    </row>
    <row r="380">
      <c r="A380" s="34" t="n"/>
      <c r="B380" s="35">
        <f>IF(A380="","",YEAR(A380))</f>
        <v/>
      </c>
      <c r="C380" s="36">
        <f>IF(A380="","",MONTH(A380))</f>
        <v/>
      </c>
      <c r="D380" s="37">
        <f>IF(A380="","","Q"&amp;ROUNDUP(MONTH(A380)/3,0))</f>
        <v/>
      </c>
      <c r="E380" s="18" t="n"/>
      <c r="F380" s="18" t="n"/>
      <c r="G380" s="38" t="n"/>
      <c r="H380" s="20" t="n"/>
      <c r="I380" s="39">
        <f>IF(AND(G380&lt;&gt;"",H380&lt;&gt;""),G380*H380,"")</f>
        <v/>
      </c>
      <c r="J380" s="18" t="n"/>
      <c r="K380" s="40">
        <f>IFERROR(VLOOKUP(J380,M2_거래처마스터!A:E,3,FALSE),"")</f>
        <v/>
      </c>
      <c r="L380" s="40">
        <f>IFERROR(VLOOKUP(J380,M2_거래처마스터!A:E,5,FALSE),"")</f>
        <v/>
      </c>
      <c r="M380" s="18" t="n"/>
      <c r="N380" s="18" t="n"/>
    </row>
    <row r="381">
      <c r="A381" s="41" t="n"/>
      <c r="B381" s="35">
        <f>IF(A381="","",YEAR(A381))</f>
        <v/>
      </c>
      <c r="C381" s="36">
        <f>IF(A381="","",MONTH(A381))</f>
        <v/>
      </c>
      <c r="D381" s="37">
        <f>IF(A381="","","Q"&amp;ROUNDUP(MONTH(A381)/3,0))</f>
        <v/>
      </c>
      <c r="E381" s="22" t="n"/>
      <c r="F381" s="22" t="n"/>
      <c r="G381" s="42" t="n"/>
      <c r="H381" s="24" t="n"/>
      <c r="I381" s="39">
        <f>IF(AND(G381&lt;&gt;"",H381&lt;&gt;""),G381*H381,"")</f>
        <v/>
      </c>
      <c r="J381" s="22" t="n"/>
      <c r="K381" s="40">
        <f>IFERROR(VLOOKUP(J381,M2_거래처마스터!A:E,3,FALSE),"")</f>
        <v/>
      </c>
      <c r="L381" s="40">
        <f>IFERROR(VLOOKUP(J381,M2_거래처마스터!A:E,5,FALSE),"")</f>
        <v/>
      </c>
      <c r="M381" s="22" t="n"/>
      <c r="N381" s="22" t="n"/>
    </row>
    <row r="382">
      <c r="A382" s="34" t="n"/>
      <c r="B382" s="35">
        <f>IF(A382="","",YEAR(A382))</f>
        <v/>
      </c>
      <c r="C382" s="36">
        <f>IF(A382="","",MONTH(A382))</f>
        <v/>
      </c>
      <c r="D382" s="37">
        <f>IF(A382="","","Q"&amp;ROUNDUP(MONTH(A382)/3,0))</f>
        <v/>
      </c>
      <c r="E382" s="18" t="n"/>
      <c r="F382" s="18" t="n"/>
      <c r="G382" s="38" t="n"/>
      <c r="H382" s="20" t="n"/>
      <c r="I382" s="39">
        <f>IF(AND(G382&lt;&gt;"",H382&lt;&gt;""),G382*H382,"")</f>
        <v/>
      </c>
      <c r="J382" s="18" t="n"/>
      <c r="K382" s="40">
        <f>IFERROR(VLOOKUP(J382,M2_거래처마스터!A:E,3,FALSE),"")</f>
        <v/>
      </c>
      <c r="L382" s="40">
        <f>IFERROR(VLOOKUP(J382,M2_거래처마스터!A:E,5,FALSE),"")</f>
        <v/>
      </c>
      <c r="M382" s="18" t="n"/>
      <c r="N382" s="18" t="n"/>
    </row>
    <row r="383">
      <c r="A383" s="41" t="n"/>
      <c r="B383" s="35">
        <f>IF(A383="","",YEAR(A383))</f>
        <v/>
      </c>
      <c r="C383" s="36">
        <f>IF(A383="","",MONTH(A383))</f>
        <v/>
      </c>
      <c r="D383" s="37">
        <f>IF(A383="","","Q"&amp;ROUNDUP(MONTH(A383)/3,0))</f>
        <v/>
      </c>
      <c r="E383" s="22" t="n"/>
      <c r="F383" s="22" t="n"/>
      <c r="G383" s="42" t="n"/>
      <c r="H383" s="24" t="n"/>
      <c r="I383" s="39">
        <f>IF(AND(G383&lt;&gt;"",H383&lt;&gt;""),G383*H383,"")</f>
        <v/>
      </c>
      <c r="J383" s="22" t="n"/>
      <c r="K383" s="40">
        <f>IFERROR(VLOOKUP(J383,M2_거래처마스터!A:E,3,FALSE),"")</f>
        <v/>
      </c>
      <c r="L383" s="40">
        <f>IFERROR(VLOOKUP(J383,M2_거래처마스터!A:E,5,FALSE),"")</f>
        <v/>
      </c>
      <c r="M383" s="22" t="n"/>
      <c r="N383" s="22" t="n"/>
    </row>
    <row r="384">
      <c r="A384" s="34" t="n"/>
      <c r="B384" s="35">
        <f>IF(A384="","",YEAR(A384))</f>
        <v/>
      </c>
      <c r="C384" s="36">
        <f>IF(A384="","",MONTH(A384))</f>
        <v/>
      </c>
      <c r="D384" s="37">
        <f>IF(A384="","","Q"&amp;ROUNDUP(MONTH(A384)/3,0))</f>
        <v/>
      </c>
      <c r="E384" s="18" t="n"/>
      <c r="F384" s="18" t="n"/>
      <c r="G384" s="38" t="n"/>
      <c r="H384" s="20" t="n"/>
      <c r="I384" s="39">
        <f>IF(AND(G384&lt;&gt;"",H384&lt;&gt;""),G384*H384,"")</f>
        <v/>
      </c>
      <c r="J384" s="18" t="n"/>
      <c r="K384" s="40">
        <f>IFERROR(VLOOKUP(J384,M2_거래처마스터!A:E,3,FALSE),"")</f>
        <v/>
      </c>
      <c r="L384" s="40">
        <f>IFERROR(VLOOKUP(J384,M2_거래처마스터!A:E,5,FALSE),"")</f>
        <v/>
      </c>
      <c r="M384" s="18" t="n"/>
      <c r="N384" s="18" t="n"/>
    </row>
    <row r="385">
      <c r="A385" s="41" t="n"/>
      <c r="B385" s="35">
        <f>IF(A385="","",YEAR(A385))</f>
        <v/>
      </c>
      <c r="C385" s="36">
        <f>IF(A385="","",MONTH(A385))</f>
        <v/>
      </c>
      <c r="D385" s="37">
        <f>IF(A385="","","Q"&amp;ROUNDUP(MONTH(A385)/3,0))</f>
        <v/>
      </c>
      <c r="E385" s="22" t="n"/>
      <c r="F385" s="22" t="n"/>
      <c r="G385" s="42" t="n"/>
      <c r="H385" s="24" t="n"/>
      <c r="I385" s="39">
        <f>IF(AND(G385&lt;&gt;"",H385&lt;&gt;""),G385*H385,"")</f>
        <v/>
      </c>
      <c r="J385" s="22" t="n"/>
      <c r="K385" s="40">
        <f>IFERROR(VLOOKUP(J385,M2_거래처마스터!A:E,3,FALSE),"")</f>
        <v/>
      </c>
      <c r="L385" s="40">
        <f>IFERROR(VLOOKUP(J385,M2_거래처마스터!A:E,5,FALSE),"")</f>
        <v/>
      </c>
      <c r="M385" s="22" t="n"/>
      <c r="N385" s="22" t="n"/>
    </row>
    <row r="386">
      <c r="A386" s="34" t="n"/>
      <c r="B386" s="35">
        <f>IF(A386="","",YEAR(A386))</f>
        <v/>
      </c>
      <c r="C386" s="36">
        <f>IF(A386="","",MONTH(A386))</f>
        <v/>
      </c>
      <c r="D386" s="37">
        <f>IF(A386="","","Q"&amp;ROUNDUP(MONTH(A386)/3,0))</f>
        <v/>
      </c>
      <c r="E386" s="18" t="n"/>
      <c r="F386" s="18" t="n"/>
      <c r="G386" s="38" t="n"/>
      <c r="H386" s="20" t="n"/>
      <c r="I386" s="39">
        <f>IF(AND(G386&lt;&gt;"",H386&lt;&gt;""),G386*H386,"")</f>
        <v/>
      </c>
      <c r="J386" s="18" t="n"/>
      <c r="K386" s="40">
        <f>IFERROR(VLOOKUP(J386,M2_거래처마스터!A:E,3,FALSE),"")</f>
        <v/>
      </c>
      <c r="L386" s="40">
        <f>IFERROR(VLOOKUP(J386,M2_거래처마스터!A:E,5,FALSE),"")</f>
        <v/>
      </c>
      <c r="M386" s="18" t="n"/>
      <c r="N386" s="18" t="n"/>
    </row>
    <row r="387">
      <c r="A387" s="41" t="n"/>
      <c r="B387" s="35">
        <f>IF(A387="","",YEAR(A387))</f>
        <v/>
      </c>
      <c r="C387" s="36">
        <f>IF(A387="","",MONTH(A387))</f>
        <v/>
      </c>
      <c r="D387" s="37">
        <f>IF(A387="","","Q"&amp;ROUNDUP(MONTH(A387)/3,0))</f>
        <v/>
      </c>
      <c r="E387" s="22" t="n"/>
      <c r="F387" s="22" t="n"/>
      <c r="G387" s="42" t="n"/>
      <c r="H387" s="24" t="n"/>
      <c r="I387" s="39">
        <f>IF(AND(G387&lt;&gt;"",H387&lt;&gt;""),G387*H387,"")</f>
        <v/>
      </c>
      <c r="J387" s="22" t="n"/>
      <c r="K387" s="40">
        <f>IFERROR(VLOOKUP(J387,M2_거래처마스터!A:E,3,FALSE),"")</f>
        <v/>
      </c>
      <c r="L387" s="40">
        <f>IFERROR(VLOOKUP(J387,M2_거래처마스터!A:E,5,FALSE),"")</f>
        <v/>
      </c>
      <c r="M387" s="22" t="n"/>
      <c r="N387" s="22" t="n"/>
    </row>
    <row r="388">
      <c r="A388" s="34" t="n"/>
      <c r="B388" s="35">
        <f>IF(A388="","",YEAR(A388))</f>
        <v/>
      </c>
      <c r="C388" s="36">
        <f>IF(A388="","",MONTH(A388))</f>
        <v/>
      </c>
      <c r="D388" s="37">
        <f>IF(A388="","","Q"&amp;ROUNDUP(MONTH(A388)/3,0))</f>
        <v/>
      </c>
      <c r="E388" s="18" t="n"/>
      <c r="F388" s="18" t="n"/>
      <c r="G388" s="38" t="n"/>
      <c r="H388" s="20" t="n"/>
      <c r="I388" s="39">
        <f>IF(AND(G388&lt;&gt;"",H388&lt;&gt;""),G388*H388,"")</f>
        <v/>
      </c>
      <c r="J388" s="18" t="n"/>
      <c r="K388" s="40">
        <f>IFERROR(VLOOKUP(J388,M2_거래처마스터!A:E,3,FALSE),"")</f>
        <v/>
      </c>
      <c r="L388" s="40">
        <f>IFERROR(VLOOKUP(J388,M2_거래처마스터!A:E,5,FALSE),"")</f>
        <v/>
      </c>
      <c r="M388" s="18" t="n"/>
      <c r="N388" s="18" t="n"/>
    </row>
    <row r="389">
      <c r="A389" s="41" t="n"/>
      <c r="B389" s="35">
        <f>IF(A389="","",YEAR(A389))</f>
        <v/>
      </c>
      <c r="C389" s="36">
        <f>IF(A389="","",MONTH(A389))</f>
        <v/>
      </c>
      <c r="D389" s="37">
        <f>IF(A389="","","Q"&amp;ROUNDUP(MONTH(A389)/3,0))</f>
        <v/>
      </c>
      <c r="E389" s="22" t="n"/>
      <c r="F389" s="22" t="n"/>
      <c r="G389" s="42" t="n"/>
      <c r="H389" s="24" t="n"/>
      <c r="I389" s="39">
        <f>IF(AND(G389&lt;&gt;"",H389&lt;&gt;""),G389*H389,"")</f>
        <v/>
      </c>
      <c r="J389" s="22" t="n"/>
      <c r="K389" s="40">
        <f>IFERROR(VLOOKUP(J389,M2_거래처마스터!A:E,3,FALSE),"")</f>
        <v/>
      </c>
      <c r="L389" s="40">
        <f>IFERROR(VLOOKUP(J389,M2_거래처마스터!A:E,5,FALSE),"")</f>
        <v/>
      </c>
      <c r="M389" s="22" t="n"/>
      <c r="N389" s="22" t="n"/>
    </row>
    <row r="390">
      <c r="A390" s="34" t="n"/>
      <c r="B390" s="35">
        <f>IF(A390="","",YEAR(A390))</f>
        <v/>
      </c>
      <c r="C390" s="36">
        <f>IF(A390="","",MONTH(A390))</f>
        <v/>
      </c>
      <c r="D390" s="37">
        <f>IF(A390="","","Q"&amp;ROUNDUP(MONTH(A390)/3,0))</f>
        <v/>
      </c>
      <c r="E390" s="18" t="n"/>
      <c r="F390" s="18" t="n"/>
      <c r="G390" s="38" t="n"/>
      <c r="H390" s="20" t="n"/>
      <c r="I390" s="39">
        <f>IF(AND(G390&lt;&gt;"",H390&lt;&gt;""),G390*H390,"")</f>
        <v/>
      </c>
      <c r="J390" s="18" t="n"/>
      <c r="K390" s="40">
        <f>IFERROR(VLOOKUP(J390,M2_거래처마스터!A:E,3,FALSE),"")</f>
        <v/>
      </c>
      <c r="L390" s="40">
        <f>IFERROR(VLOOKUP(J390,M2_거래처마스터!A:E,5,FALSE),"")</f>
        <v/>
      </c>
      <c r="M390" s="18" t="n"/>
      <c r="N390" s="18" t="n"/>
    </row>
    <row r="391">
      <c r="A391" s="41" t="n"/>
      <c r="B391" s="35">
        <f>IF(A391="","",YEAR(A391))</f>
        <v/>
      </c>
      <c r="C391" s="36">
        <f>IF(A391="","",MONTH(A391))</f>
        <v/>
      </c>
      <c r="D391" s="37">
        <f>IF(A391="","","Q"&amp;ROUNDUP(MONTH(A391)/3,0))</f>
        <v/>
      </c>
      <c r="E391" s="22" t="n"/>
      <c r="F391" s="22" t="n"/>
      <c r="G391" s="42" t="n"/>
      <c r="H391" s="24" t="n"/>
      <c r="I391" s="39">
        <f>IF(AND(G391&lt;&gt;"",H391&lt;&gt;""),G391*H391,"")</f>
        <v/>
      </c>
      <c r="J391" s="22" t="n"/>
      <c r="K391" s="40">
        <f>IFERROR(VLOOKUP(J391,M2_거래처마스터!A:E,3,FALSE),"")</f>
        <v/>
      </c>
      <c r="L391" s="40">
        <f>IFERROR(VLOOKUP(J391,M2_거래처마스터!A:E,5,FALSE),"")</f>
        <v/>
      </c>
      <c r="M391" s="22" t="n"/>
      <c r="N391" s="22" t="n"/>
    </row>
    <row r="392">
      <c r="A392" s="34" t="n"/>
      <c r="B392" s="35">
        <f>IF(A392="","",YEAR(A392))</f>
        <v/>
      </c>
      <c r="C392" s="36">
        <f>IF(A392="","",MONTH(A392))</f>
        <v/>
      </c>
      <c r="D392" s="37">
        <f>IF(A392="","","Q"&amp;ROUNDUP(MONTH(A392)/3,0))</f>
        <v/>
      </c>
      <c r="E392" s="18" t="n"/>
      <c r="F392" s="18" t="n"/>
      <c r="G392" s="38" t="n"/>
      <c r="H392" s="20" t="n"/>
      <c r="I392" s="39">
        <f>IF(AND(G392&lt;&gt;"",H392&lt;&gt;""),G392*H392,"")</f>
        <v/>
      </c>
      <c r="J392" s="18" t="n"/>
      <c r="K392" s="40">
        <f>IFERROR(VLOOKUP(J392,M2_거래처마스터!A:E,3,FALSE),"")</f>
        <v/>
      </c>
      <c r="L392" s="40">
        <f>IFERROR(VLOOKUP(J392,M2_거래처마스터!A:E,5,FALSE),"")</f>
        <v/>
      </c>
      <c r="M392" s="18" t="n"/>
      <c r="N392" s="18" t="n"/>
    </row>
    <row r="393">
      <c r="A393" s="41" t="n"/>
      <c r="B393" s="35">
        <f>IF(A393="","",YEAR(A393))</f>
        <v/>
      </c>
      <c r="C393" s="36">
        <f>IF(A393="","",MONTH(A393))</f>
        <v/>
      </c>
      <c r="D393" s="37">
        <f>IF(A393="","","Q"&amp;ROUNDUP(MONTH(A393)/3,0))</f>
        <v/>
      </c>
      <c r="E393" s="22" t="n"/>
      <c r="F393" s="22" t="n"/>
      <c r="G393" s="42" t="n"/>
      <c r="H393" s="24" t="n"/>
      <c r="I393" s="39">
        <f>IF(AND(G393&lt;&gt;"",H393&lt;&gt;""),G393*H393,"")</f>
        <v/>
      </c>
      <c r="J393" s="22" t="n"/>
      <c r="K393" s="40">
        <f>IFERROR(VLOOKUP(J393,M2_거래처마스터!A:E,3,FALSE),"")</f>
        <v/>
      </c>
      <c r="L393" s="40">
        <f>IFERROR(VLOOKUP(J393,M2_거래처마스터!A:E,5,FALSE),"")</f>
        <v/>
      </c>
      <c r="M393" s="22" t="n"/>
      <c r="N393" s="22" t="n"/>
    </row>
    <row r="394">
      <c r="A394" s="34" t="n"/>
      <c r="B394" s="35">
        <f>IF(A394="","",YEAR(A394))</f>
        <v/>
      </c>
      <c r="C394" s="36">
        <f>IF(A394="","",MONTH(A394))</f>
        <v/>
      </c>
      <c r="D394" s="37">
        <f>IF(A394="","","Q"&amp;ROUNDUP(MONTH(A394)/3,0))</f>
        <v/>
      </c>
      <c r="E394" s="18" t="n"/>
      <c r="F394" s="18" t="n"/>
      <c r="G394" s="38" t="n"/>
      <c r="H394" s="20" t="n"/>
      <c r="I394" s="39">
        <f>IF(AND(G394&lt;&gt;"",H394&lt;&gt;""),G394*H394,"")</f>
        <v/>
      </c>
      <c r="J394" s="18" t="n"/>
      <c r="K394" s="40">
        <f>IFERROR(VLOOKUP(J394,M2_거래처마스터!A:E,3,FALSE),"")</f>
        <v/>
      </c>
      <c r="L394" s="40">
        <f>IFERROR(VLOOKUP(J394,M2_거래처마스터!A:E,5,FALSE),"")</f>
        <v/>
      </c>
      <c r="M394" s="18" t="n"/>
      <c r="N394" s="18" t="n"/>
    </row>
    <row r="395">
      <c r="A395" s="41" t="n"/>
      <c r="B395" s="35">
        <f>IF(A395="","",YEAR(A395))</f>
        <v/>
      </c>
      <c r="C395" s="36">
        <f>IF(A395="","",MONTH(A395))</f>
        <v/>
      </c>
      <c r="D395" s="37">
        <f>IF(A395="","","Q"&amp;ROUNDUP(MONTH(A395)/3,0))</f>
        <v/>
      </c>
      <c r="E395" s="22" t="n"/>
      <c r="F395" s="22" t="n"/>
      <c r="G395" s="42" t="n"/>
      <c r="H395" s="24" t="n"/>
      <c r="I395" s="39">
        <f>IF(AND(G395&lt;&gt;"",H395&lt;&gt;""),G395*H395,"")</f>
        <v/>
      </c>
      <c r="J395" s="22" t="n"/>
      <c r="K395" s="40">
        <f>IFERROR(VLOOKUP(J395,M2_거래처마스터!A:E,3,FALSE),"")</f>
        <v/>
      </c>
      <c r="L395" s="40">
        <f>IFERROR(VLOOKUP(J395,M2_거래처마스터!A:E,5,FALSE),"")</f>
        <v/>
      </c>
      <c r="M395" s="22" t="n"/>
      <c r="N395" s="22" t="n"/>
    </row>
    <row r="396">
      <c r="A396" s="34" t="n"/>
      <c r="B396" s="35">
        <f>IF(A396="","",YEAR(A396))</f>
        <v/>
      </c>
      <c r="C396" s="36">
        <f>IF(A396="","",MONTH(A396))</f>
        <v/>
      </c>
      <c r="D396" s="37">
        <f>IF(A396="","","Q"&amp;ROUNDUP(MONTH(A396)/3,0))</f>
        <v/>
      </c>
      <c r="E396" s="18" t="n"/>
      <c r="F396" s="18" t="n"/>
      <c r="G396" s="38" t="n"/>
      <c r="H396" s="20" t="n"/>
      <c r="I396" s="39">
        <f>IF(AND(G396&lt;&gt;"",H396&lt;&gt;""),G396*H396,"")</f>
        <v/>
      </c>
      <c r="J396" s="18" t="n"/>
      <c r="K396" s="40">
        <f>IFERROR(VLOOKUP(J396,M2_거래처마스터!A:E,3,FALSE),"")</f>
        <v/>
      </c>
      <c r="L396" s="40">
        <f>IFERROR(VLOOKUP(J396,M2_거래처마스터!A:E,5,FALSE),"")</f>
        <v/>
      </c>
      <c r="M396" s="18" t="n"/>
      <c r="N396" s="18" t="n"/>
    </row>
    <row r="397">
      <c r="A397" s="41" t="n"/>
      <c r="B397" s="35">
        <f>IF(A397="","",YEAR(A397))</f>
        <v/>
      </c>
      <c r="C397" s="36">
        <f>IF(A397="","",MONTH(A397))</f>
        <v/>
      </c>
      <c r="D397" s="37">
        <f>IF(A397="","","Q"&amp;ROUNDUP(MONTH(A397)/3,0))</f>
        <v/>
      </c>
      <c r="E397" s="22" t="n"/>
      <c r="F397" s="22" t="n"/>
      <c r="G397" s="42" t="n"/>
      <c r="H397" s="24" t="n"/>
      <c r="I397" s="39">
        <f>IF(AND(G397&lt;&gt;"",H397&lt;&gt;""),G397*H397,"")</f>
        <v/>
      </c>
      <c r="J397" s="22" t="n"/>
      <c r="K397" s="40">
        <f>IFERROR(VLOOKUP(J397,M2_거래처마스터!A:E,3,FALSE),"")</f>
        <v/>
      </c>
      <c r="L397" s="40">
        <f>IFERROR(VLOOKUP(J397,M2_거래처마스터!A:E,5,FALSE),"")</f>
        <v/>
      </c>
      <c r="M397" s="22" t="n"/>
      <c r="N397" s="22" t="n"/>
    </row>
    <row r="398">
      <c r="A398" s="34" t="n"/>
      <c r="B398" s="35">
        <f>IF(A398="","",YEAR(A398))</f>
        <v/>
      </c>
      <c r="C398" s="36">
        <f>IF(A398="","",MONTH(A398))</f>
        <v/>
      </c>
      <c r="D398" s="37">
        <f>IF(A398="","","Q"&amp;ROUNDUP(MONTH(A398)/3,0))</f>
        <v/>
      </c>
      <c r="E398" s="18" t="n"/>
      <c r="F398" s="18" t="n"/>
      <c r="G398" s="38" t="n"/>
      <c r="H398" s="20" t="n"/>
      <c r="I398" s="39">
        <f>IF(AND(G398&lt;&gt;"",H398&lt;&gt;""),G398*H398,"")</f>
        <v/>
      </c>
      <c r="J398" s="18" t="n"/>
      <c r="K398" s="40">
        <f>IFERROR(VLOOKUP(J398,M2_거래처마스터!A:E,3,FALSE),"")</f>
        <v/>
      </c>
      <c r="L398" s="40">
        <f>IFERROR(VLOOKUP(J398,M2_거래처마스터!A:E,5,FALSE),"")</f>
        <v/>
      </c>
      <c r="M398" s="18" t="n"/>
      <c r="N398" s="18" t="n"/>
    </row>
    <row r="399">
      <c r="A399" s="41" t="n"/>
      <c r="B399" s="35">
        <f>IF(A399="","",YEAR(A399))</f>
        <v/>
      </c>
      <c r="C399" s="36">
        <f>IF(A399="","",MONTH(A399))</f>
        <v/>
      </c>
      <c r="D399" s="37">
        <f>IF(A399="","","Q"&amp;ROUNDUP(MONTH(A399)/3,0))</f>
        <v/>
      </c>
      <c r="E399" s="22" t="n"/>
      <c r="F399" s="22" t="n"/>
      <c r="G399" s="42" t="n"/>
      <c r="H399" s="24" t="n"/>
      <c r="I399" s="39">
        <f>IF(AND(G399&lt;&gt;"",H399&lt;&gt;""),G399*H399,"")</f>
        <v/>
      </c>
      <c r="J399" s="22" t="n"/>
      <c r="K399" s="40">
        <f>IFERROR(VLOOKUP(J399,M2_거래처마스터!A:E,3,FALSE),"")</f>
        <v/>
      </c>
      <c r="L399" s="40">
        <f>IFERROR(VLOOKUP(J399,M2_거래처마스터!A:E,5,FALSE),"")</f>
        <v/>
      </c>
      <c r="M399" s="22" t="n"/>
      <c r="N399" s="22" t="n"/>
    </row>
    <row r="400">
      <c r="A400" s="34" t="n"/>
      <c r="B400" s="35">
        <f>IF(A400="","",YEAR(A400))</f>
        <v/>
      </c>
      <c r="C400" s="36">
        <f>IF(A400="","",MONTH(A400))</f>
        <v/>
      </c>
      <c r="D400" s="37">
        <f>IF(A400="","","Q"&amp;ROUNDUP(MONTH(A400)/3,0))</f>
        <v/>
      </c>
      <c r="E400" s="18" t="n"/>
      <c r="F400" s="18" t="n"/>
      <c r="G400" s="38" t="n"/>
      <c r="H400" s="20" t="n"/>
      <c r="I400" s="39">
        <f>IF(AND(G400&lt;&gt;"",H400&lt;&gt;""),G400*H400,"")</f>
        <v/>
      </c>
      <c r="J400" s="18" t="n"/>
      <c r="K400" s="40">
        <f>IFERROR(VLOOKUP(J400,M2_거래처마스터!A:E,3,FALSE),"")</f>
        <v/>
      </c>
      <c r="L400" s="40">
        <f>IFERROR(VLOOKUP(J400,M2_거래처마스터!A:E,5,FALSE),"")</f>
        <v/>
      </c>
      <c r="M400" s="18" t="n"/>
      <c r="N400" s="18" t="n"/>
    </row>
    <row r="401">
      <c r="A401" s="41" t="n"/>
      <c r="B401" s="35">
        <f>IF(A401="","",YEAR(A401))</f>
        <v/>
      </c>
      <c r="C401" s="36">
        <f>IF(A401="","",MONTH(A401))</f>
        <v/>
      </c>
      <c r="D401" s="37">
        <f>IF(A401="","","Q"&amp;ROUNDUP(MONTH(A401)/3,0))</f>
        <v/>
      </c>
      <c r="E401" s="22" t="n"/>
      <c r="F401" s="22" t="n"/>
      <c r="G401" s="42" t="n"/>
      <c r="H401" s="24" t="n"/>
      <c r="I401" s="39">
        <f>IF(AND(G401&lt;&gt;"",H401&lt;&gt;""),G401*H401,"")</f>
        <v/>
      </c>
      <c r="J401" s="22" t="n"/>
      <c r="K401" s="40">
        <f>IFERROR(VLOOKUP(J401,M2_거래처마스터!A:E,3,FALSE),"")</f>
        <v/>
      </c>
      <c r="L401" s="40">
        <f>IFERROR(VLOOKUP(J401,M2_거래처마스터!A:E,5,FALSE),"")</f>
        <v/>
      </c>
      <c r="M401" s="22" t="n"/>
      <c r="N401" s="22" t="n"/>
    </row>
    <row r="402">
      <c r="A402" s="34" t="n"/>
      <c r="B402" s="35">
        <f>IF(A402="","",YEAR(A402))</f>
        <v/>
      </c>
      <c r="C402" s="36">
        <f>IF(A402="","",MONTH(A402))</f>
        <v/>
      </c>
      <c r="D402" s="37">
        <f>IF(A402="","","Q"&amp;ROUNDUP(MONTH(A402)/3,0))</f>
        <v/>
      </c>
      <c r="E402" s="18" t="n"/>
      <c r="F402" s="18" t="n"/>
      <c r="G402" s="38" t="n"/>
      <c r="H402" s="20" t="n"/>
      <c r="I402" s="39">
        <f>IF(AND(G402&lt;&gt;"",H402&lt;&gt;""),G402*H402,"")</f>
        <v/>
      </c>
      <c r="J402" s="18" t="n"/>
      <c r="K402" s="40">
        <f>IFERROR(VLOOKUP(J402,M2_거래처마스터!A:E,3,FALSE),"")</f>
        <v/>
      </c>
      <c r="L402" s="40">
        <f>IFERROR(VLOOKUP(J402,M2_거래처마스터!A:E,5,FALSE),"")</f>
        <v/>
      </c>
      <c r="M402" s="18" t="n"/>
      <c r="N402" s="18" t="n"/>
    </row>
    <row r="403">
      <c r="A403" s="41" t="n"/>
      <c r="B403" s="35">
        <f>IF(A403="","",YEAR(A403))</f>
        <v/>
      </c>
      <c r="C403" s="36">
        <f>IF(A403="","",MONTH(A403))</f>
        <v/>
      </c>
      <c r="D403" s="37">
        <f>IF(A403="","","Q"&amp;ROUNDUP(MONTH(A403)/3,0))</f>
        <v/>
      </c>
      <c r="E403" s="22" t="n"/>
      <c r="F403" s="22" t="n"/>
      <c r="G403" s="42" t="n"/>
      <c r="H403" s="24" t="n"/>
      <c r="I403" s="39">
        <f>IF(AND(G403&lt;&gt;"",H403&lt;&gt;""),G403*H403,"")</f>
        <v/>
      </c>
      <c r="J403" s="22" t="n"/>
      <c r="K403" s="40">
        <f>IFERROR(VLOOKUP(J403,M2_거래처마스터!A:E,3,FALSE),"")</f>
        <v/>
      </c>
      <c r="L403" s="40">
        <f>IFERROR(VLOOKUP(J403,M2_거래처마스터!A:E,5,FALSE),"")</f>
        <v/>
      </c>
      <c r="M403" s="22" t="n"/>
      <c r="N403" s="22" t="n"/>
    </row>
    <row r="404">
      <c r="A404" s="34" t="n"/>
      <c r="B404" s="35">
        <f>IF(A404="","",YEAR(A404))</f>
        <v/>
      </c>
      <c r="C404" s="36">
        <f>IF(A404="","",MONTH(A404))</f>
        <v/>
      </c>
      <c r="D404" s="37">
        <f>IF(A404="","","Q"&amp;ROUNDUP(MONTH(A404)/3,0))</f>
        <v/>
      </c>
      <c r="E404" s="18" t="n"/>
      <c r="F404" s="18" t="n"/>
      <c r="G404" s="38" t="n"/>
      <c r="H404" s="20" t="n"/>
      <c r="I404" s="39">
        <f>IF(AND(G404&lt;&gt;"",H404&lt;&gt;""),G404*H404,"")</f>
        <v/>
      </c>
      <c r="J404" s="18" t="n"/>
      <c r="K404" s="40">
        <f>IFERROR(VLOOKUP(J404,M2_거래처마스터!A:E,3,FALSE),"")</f>
        <v/>
      </c>
      <c r="L404" s="40">
        <f>IFERROR(VLOOKUP(J404,M2_거래처마스터!A:E,5,FALSE),"")</f>
        <v/>
      </c>
      <c r="M404" s="18" t="n"/>
      <c r="N404" s="18" t="n"/>
    </row>
    <row r="405">
      <c r="A405" s="41" t="n"/>
      <c r="B405" s="35">
        <f>IF(A405="","",YEAR(A405))</f>
        <v/>
      </c>
      <c r="C405" s="36">
        <f>IF(A405="","",MONTH(A405))</f>
        <v/>
      </c>
      <c r="D405" s="37">
        <f>IF(A405="","","Q"&amp;ROUNDUP(MONTH(A405)/3,0))</f>
        <v/>
      </c>
      <c r="E405" s="22" t="n"/>
      <c r="F405" s="22" t="n"/>
      <c r="G405" s="42" t="n"/>
      <c r="H405" s="24" t="n"/>
      <c r="I405" s="39">
        <f>IF(AND(G405&lt;&gt;"",H405&lt;&gt;""),G405*H405,"")</f>
        <v/>
      </c>
      <c r="J405" s="22" t="n"/>
      <c r="K405" s="40">
        <f>IFERROR(VLOOKUP(J405,M2_거래처마스터!A:E,3,FALSE),"")</f>
        <v/>
      </c>
      <c r="L405" s="40">
        <f>IFERROR(VLOOKUP(J405,M2_거래처마스터!A:E,5,FALSE),"")</f>
        <v/>
      </c>
      <c r="M405" s="22" t="n"/>
      <c r="N405" s="22" t="n"/>
    </row>
    <row r="406">
      <c r="A406" s="34" t="n"/>
      <c r="B406" s="35">
        <f>IF(A406="","",YEAR(A406))</f>
        <v/>
      </c>
      <c r="C406" s="36">
        <f>IF(A406="","",MONTH(A406))</f>
        <v/>
      </c>
      <c r="D406" s="37">
        <f>IF(A406="","","Q"&amp;ROUNDUP(MONTH(A406)/3,0))</f>
        <v/>
      </c>
      <c r="E406" s="18" t="n"/>
      <c r="F406" s="18" t="n"/>
      <c r="G406" s="38" t="n"/>
      <c r="H406" s="20" t="n"/>
      <c r="I406" s="39">
        <f>IF(AND(G406&lt;&gt;"",H406&lt;&gt;""),G406*H406,"")</f>
        <v/>
      </c>
      <c r="J406" s="18" t="n"/>
      <c r="K406" s="40">
        <f>IFERROR(VLOOKUP(J406,M2_거래처마스터!A:E,3,FALSE),"")</f>
        <v/>
      </c>
      <c r="L406" s="40">
        <f>IFERROR(VLOOKUP(J406,M2_거래처마스터!A:E,5,FALSE),"")</f>
        <v/>
      </c>
      <c r="M406" s="18" t="n"/>
      <c r="N406" s="18" t="n"/>
    </row>
    <row r="407">
      <c r="A407" s="41" t="n"/>
      <c r="B407" s="35">
        <f>IF(A407="","",YEAR(A407))</f>
        <v/>
      </c>
      <c r="C407" s="36">
        <f>IF(A407="","",MONTH(A407))</f>
        <v/>
      </c>
      <c r="D407" s="37">
        <f>IF(A407="","","Q"&amp;ROUNDUP(MONTH(A407)/3,0))</f>
        <v/>
      </c>
      <c r="E407" s="22" t="n"/>
      <c r="F407" s="22" t="n"/>
      <c r="G407" s="42" t="n"/>
      <c r="H407" s="24" t="n"/>
      <c r="I407" s="39">
        <f>IF(AND(G407&lt;&gt;"",H407&lt;&gt;""),G407*H407,"")</f>
        <v/>
      </c>
      <c r="J407" s="22" t="n"/>
      <c r="K407" s="40">
        <f>IFERROR(VLOOKUP(J407,M2_거래처마스터!A:E,3,FALSE),"")</f>
        <v/>
      </c>
      <c r="L407" s="40">
        <f>IFERROR(VLOOKUP(J407,M2_거래처마스터!A:E,5,FALSE),"")</f>
        <v/>
      </c>
      <c r="M407" s="22" t="n"/>
      <c r="N407" s="22" t="n"/>
    </row>
    <row r="408">
      <c r="A408" s="34" t="n"/>
      <c r="B408" s="35">
        <f>IF(A408="","",YEAR(A408))</f>
        <v/>
      </c>
      <c r="C408" s="36">
        <f>IF(A408="","",MONTH(A408))</f>
        <v/>
      </c>
      <c r="D408" s="37">
        <f>IF(A408="","","Q"&amp;ROUNDUP(MONTH(A408)/3,0))</f>
        <v/>
      </c>
      <c r="E408" s="18" t="n"/>
      <c r="F408" s="18" t="n"/>
      <c r="G408" s="38" t="n"/>
      <c r="H408" s="20" t="n"/>
      <c r="I408" s="39">
        <f>IF(AND(G408&lt;&gt;"",H408&lt;&gt;""),G408*H408,"")</f>
        <v/>
      </c>
      <c r="J408" s="18" t="n"/>
      <c r="K408" s="40">
        <f>IFERROR(VLOOKUP(J408,M2_거래처마스터!A:E,3,FALSE),"")</f>
        <v/>
      </c>
      <c r="L408" s="40">
        <f>IFERROR(VLOOKUP(J408,M2_거래처마스터!A:E,5,FALSE),"")</f>
        <v/>
      </c>
      <c r="M408" s="18" t="n"/>
      <c r="N408" s="18" t="n"/>
    </row>
    <row r="409">
      <c r="A409" s="41" t="n"/>
      <c r="B409" s="35">
        <f>IF(A409="","",YEAR(A409))</f>
        <v/>
      </c>
      <c r="C409" s="36">
        <f>IF(A409="","",MONTH(A409))</f>
        <v/>
      </c>
      <c r="D409" s="37">
        <f>IF(A409="","","Q"&amp;ROUNDUP(MONTH(A409)/3,0))</f>
        <v/>
      </c>
      <c r="E409" s="22" t="n"/>
      <c r="F409" s="22" t="n"/>
      <c r="G409" s="42" t="n"/>
      <c r="H409" s="24" t="n"/>
      <c r="I409" s="39">
        <f>IF(AND(G409&lt;&gt;"",H409&lt;&gt;""),G409*H409,"")</f>
        <v/>
      </c>
      <c r="J409" s="22" t="n"/>
      <c r="K409" s="40">
        <f>IFERROR(VLOOKUP(J409,M2_거래처마스터!A:E,3,FALSE),"")</f>
        <v/>
      </c>
      <c r="L409" s="40">
        <f>IFERROR(VLOOKUP(J409,M2_거래처마스터!A:E,5,FALSE),"")</f>
        <v/>
      </c>
      <c r="M409" s="22" t="n"/>
      <c r="N409" s="22" t="n"/>
    </row>
    <row r="410">
      <c r="A410" s="34" t="n"/>
      <c r="B410" s="35">
        <f>IF(A410="","",YEAR(A410))</f>
        <v/>
      </c>
      <c r="C410" s="36">
        <f>IF(A410="","",MONTH(A410))</f>
        <v/>
      </c>
      <c r="D410" s="37">
        <f>IF(A410="","","Q"&amp;ROUNDUP(MONTH(A410)/3,0))</f>
        <v/>
      </c>
      <c r="E410" s="18" t="n"/>
      <c r="F410" s="18" t="n"/>
      <c r="G410" s="38" t="n"/>
      <c r="H410" s="20" t="n"/>
      <c r="I410" s="39">
        <f>IF(AND(G410&lt;&gt;"",H410&lt;&gt;""),G410*H410,"")</f>
        <v/>
      </c>
      <c r="J410" s="18" t="n"/>
      <c r="K410" s="40">
        <f>IFERROR(VLOOKUP(J410,M2_거래처마스터!A:E,3,FALSE),"")</f>
        <v/>
      </c>
      <c r="L410" s="40">
        <f>IFERROR(VLOOKUP(J410,M2_거래처마스터!A:E,5,FALSE),"")</f>
        <v/>
      </c>
      <c r="M410" s="18" t="n"/>
      <c r="N410" s="18" t="n"/>
    </row>
    <row r="411">
      <c r="A411" s="41" t="n"/>
      <c r="B411" s="35">
        <f>IF(A411="","",YEAR(A411))</f>
        <v/>
      </c>
      <c r="C411" s="36">
        <f>IF(A411="","",MONTH(A411))</f>
        <v/>
      </c>
      <c r="D411" s="37">
        <f>IF(A411="","","Q"&amp;ROUNDUP(MONTH(A411)/3,0))</f>
        <v/>
      </c>
      <c r="E411" s="22" t="n"/>
      <c r="F411" s="22" t="n"/>
      <c r="G411" s="42" t="n"/>
      <c r="H411" s="24" t="n"/>
      <c r="I411" s="39">
        <f>IF(AND(G411&lt;&gt;"",H411&lt;&gt;""),G411*H411,"")</f>
        <v/>
      </c>
      <c r="J411" s="22" t="n"/>
      <c r="K411" s="40">
        <f>IFERROR(VLOOKUP(J411,M2_거래처마스터!A:E,3,FALSE),"")</f>
        <v/>
      </c>
      <c r="L411" s="40">
        <f>IFERROR(VLOOKUP(J411,M2_거래처마스터!A:E,5,FALSE),"")</f>
        <v/>
      </c>
      <c r="M411" s="22" t="n"/>
      <c r="N411" s="22" t="n"/>
    </row>
    <row r="412">
      <c r="A412" s="34" t="n"/>
      <c r="B412" s="35">
        <f>IF(A412="","",YEAR(A412))</f>
        <v/>
      </c>
      <c r="C412" s="36">
        <f>IF(A412="","",MONTH(A412))</f>
        <v/>
      </c>
      <c r="D412" s="37">
        <f>IF(A412="","","Q"&amp;ROUNDUP(MONTH(A412)/3,0))</f>
        <v/>
      </c>
      <c r="E412" s="18" t="n"/>
      <c r="F412" s="18" t="n"/>
      <c r="G412" s="38" t="n"/>
      <c r="H412" s="20" t="n"/>
      <c r="I412" s="39">
        <f>IF(AND(G412&lt;&gt;"",H412&lt;&gt;""),G412*H412,"")</f>
        <v/>
      </c>
      <c r="J412" s="18" t="n"/>
      <c r="K412" s="40">
        <f>IFERROR(VLOOKUP(J412,M2_거래처마스터!A:E,3,FALSE),"")</f>
        <v/>
      </c>
      <c r="L412" s="40">
        <f>IFERROR(VLOOKUP(J412,M2_거래처마스터!A:E,5,FALSE),"")</f>
        <v/>
      </c>
      <c r="M412" s="18" t="n"/>
      <c r="N412" s="18" t="n"/>
    </row>
    <row r="413">
      <c r="A413" s="41" t="n"/>
      <c r="B413" s="35">
        <f>IF(A413="","",YEAR(A413))</f>
        <v/>
      </c>
      <c r="C413" s="36">
        <f>IF(A413="","",MONTH(A413))</f>
        <v/>
      </c>
      <c r="D413" s="37">
        <f>IF(A413="","","Q"&amp;ROUNDUP(MONTH(A413)/3,0))</f>
        <v/>
      </c>
      <c r="E413" s="22" t="n"/>
      <c r="F413" s="22" t="n"/>
      <c r="G413" s="42" t="n"/>
      <c r="H413" s="24" t="n"/>
      <c r="I413" s="39">
        <f>IF(AND(G413&lt;&gt;"",H413&lt;&gt;""),G413*H413,"")</f>
        <v/>
      </c>
      <c r="J413" s="22" t="n"/>
      <c r="K413" s="40">
        <f>IFERROR(VLOOKUP(J413,M2_거래처마스터!A:E,3,FALSE),"")</f>
        <v/>
      </c>
      <c r="L413" s="40">
        <f>IFERROR(VLOOKUP(J413,M2_거래처마스터!A:E,5,FALSE),"")</f>
        <v/>
      </c>
      <c r="M413" s="22" t="n"/>
      <c r="N413" s="22" t="n"/>
    </row>
    <row r="414">
      <c r="A414" s="34" t="n"/>
      <c r="B414" s="35">
        <f>IF(A414="","",YEAR(A414))</f>
        <v/>
      </c>
      <c r="C414" s="36">
        <f>IF(A414="","",MONTH(A414))</f>
        <v/>
      </c>
      <c r="D414" s="37">
        <f>IF(A414="","","Q"&amp;ROUNDUP(MONTH(A414)/3,0))</f>
        <v/>
      </c>
      <c r="E414" s="18" t="n"/>
      <c r="F414" s="18" t="n"/>
      <c r="G414" s="38" t="n"/>
      <c r="H414" s="20" t="n"/>
      <c r="I414" s="39">
        <f>IF(AND(G414&lt;&gt;"",H414&lt;&gt;""),G414*H414,"")</f>
        <v/>
      </c>
      <c r="J414" s="18" t="n"/>
      <c r="K414" s="40">
        <f>IFERROR(VLOOKUP(J414,M2_거래처마스터!A:E,3,FALSE),"")</f>
        <v/>
      </c>
      <c r="L414" s="40">
        <f>IFERROR(VLOOKUP(J414,M2_거래처마스터!A:E,5,FALSE),"")</f>
        <v/>
      </c>
      <c r="M414" s="18" t="n"/>
      <c r="N414" s="18" t="n"/>
    </row>
    <row r="415">
      <c r="A415" s="41" t="n"/>
      <c r="B415" s="35">
        <f>IF(A415="","",YEAR(A415))</f>
        <v/>
      </c>
      <c r="C415" s="36">
        <f>IF(A415="","",MONTH(A415))</f>
        <v/>
      </c>
      <c r="D415" s="37">
        <f>IF(A415="","","Q"&amp;ROUNDUP(MONTH(A415)/3,0))</f>
        <v/>
      </c>
      <c r="E415" s="22" t="n"/>
      <c r="F415" s="22" t="n"/>
      <c r="G415" s="42" t="n"/>
      <c r="H415" s="24" t="n"/>
      <c r="I415" s="39">
        <f>IF(AND(G415&lt;&gt;"",H415&lt;&gt;""),G415*H415,"")</f>
        <v/>
      </c>
      <c r="J415" s="22" t="n"/>
      <c r="K415" s="40">
        <f>IFERROR(VLOOKUP(J415,M2_거래처마스터!A:E,3,FALSE),"")</f>
        <v/>
      </c>
      <c r="L415" s="40">
        <f>IFERROR(VLOOKUP(J415,M2_거래처마스터!A:E,5,FALSE),"")</f>
        <v/>
      </c>
      <c r="M415" s="22" t="n"/>
      <c r="N415" s="22" t="n"/>
    </row>
    <row r="416">
      <c r="A416" s="34" t="n"/>
      <c r="B416" s="35">
        <f>IF(A416="","",YEAR(A416))</f>
        <v/>
      </c>
      <c r="C416" s="36">
        <f>IF(A416="","",MONTH(A416))</f>
        <v/>
      </c>
      <c r="D416" s="37">
        <f>IF(A416="","","Q"&amp;ROUNDUP(MONTH(A416)/3,0))</f>
        <v/>
      </c>
      <c r="E416" s="18" t="n"/>
      <c r="F416" s="18" t="n"/>
      <c r="G416" s="38" t="n"/>
      <c r="H416" s="20" t="n"/>
      <c r="I416" s="39">
        <f>IF(AND(G416&lt;&gt;"",H416&lt;&gt;""),G416*H416,"")</f>
        <v/>
      </c>
      <c r="J416" s="18" t="n"/>
      <c r="K416" s="40">
        <f>IFERROR(VLOOKUP(J416,M2_거래처마스터!A:E,3,FALSE),"")</f>
        <v/>
      </c>
      <c r="L416" s="40">
        <f>IFERROR(VLOOKUP(J416,M2_거래처마스터!A:E,5,FALSE),"")</f>
        <v/>
      </c>
      <c r="M416" s="18" t="n"/>
      <c r="N416" s="18" t="n"/>
    </row>
    <row r="417">
      <c r="A417" s="41" t="n"/>
      <c r="B417" s="35">
        <f>IF(A417="","",YEAR(A417))</f>
        <v/>
      </c>
      <c r="C417" s="36">
        <f>IF(A417="","",MONTH(A417))</f>
        <v/>
      </c>
      <c r="D417" s="37">
        <f>IF(A417="","","Q"&amp;ROUNDUP(MONTH(A417)/3,0))</f>
        <v/>
      </c>
      <c r="E417" s="22" t="n"/>
      <c r="F417" s="22" t="n"/>
      <c r="G417" s="42" t="n"/>
      <c r="H417" s="24" t="n"/>
      <c r="I417" s="39">
        <f>IF(AND(G417&lt;&gt;"",H417&lt;&gt;""),G417*H417,"")</f>
        <v/>
      </c>
      <c r="J417" s="22" t="n"/>
      <c r="K417" s="40">
        <f>IFERROR(VLOOKUP(J417,M2_거래처마스터!A:E,3,FALSE),"")</f>
        <v/>
      </c>
      <c r="L417" s="40">
        <f>IFERROR(VLOOKUP(J417,M2_거래처마스터!A:E,5,FALSE),"")</f>
        <v/>
      </c>
      <c r="M417" s="22" t="n"/>
      <c r="N417" s="22" t="n"/>
    </row>
    <row r="418">
      <c r="A418" s="34" t="n"/>
      <c r="B418" s="35">
        <f>IF(A418="","",YEAR(A418))</f>
        <v/>
      </c>
      <c r="C418" s="36">
        <f>IF(A418="","",MONTH(A418))</f>
        <v/>
      </c>
      <c r="D418" s="37">
        <f>IF(A418="","","Q"&amp;ROUNDUP(MONTH(A418)/3,0))</f>
        <v/>
      </c>
      <c r="E418" s="18" t="n"/>
      <c r="F418" s="18" t="n"/>
      <c r="G418" s="38" t="n"/>
      <c r="H418" s="20" t="n"/>
      <c r="I418" s="39">
        <f>IF(AND(G418&lt;&gt;"",H418&lt;&gt;""),G418*H418,"")</f>
        <v/>
      </c>
      <c r="J418" s="18" t="n"/>
      <c r="K418" s="40">
        <f>IFERROR(VLOOKUP(J418,M2_거래처마스터!A:E,3,FALSE),"")</f>
        <v/>
      </c>
      <c r="L418" s="40">
        <f>IFERROR(VLOOKUP(J418,M2_거래처마스터!A:E,5,FALSE),"")</f>
        <v/>
      </c>
      <c r="M418" s="18" t="n"/>
      <c r="N418" s="18" t="n"/>
    </row>
    <row r="419">
      <c r="A419" s="41" t="n"/>
      <c r="B419" s="35">
        <f>IF(A419="","",YEAR(A419))</f>
        <v/>
      </c>
      <c r="C419" s="36">
        <f>IF(A419="","",MONTH(A419))</f>
        <v/>
      </c>
      <c r="D419" s="37">
        <f>IF(A419="","","Q"&amp;ROUNDUP(MONTH(A419)/3,0))</f>
        <v/>
      </c>
      <c r="E419" s="22" t="n"/>
      <c r="F419" s="22" t="n"/>
      <c r="G419" s="42" t="n"/>
      <c r="H419" s="24" t="n"/>
      <c r="I419" s="39">
        <f>IF(AND(G419&lt;&gt;"",H419&lt;&gt;""),G419*H419,"")</f>
        <v/>
      </c>
      <c r="J419" s="22" t="n"/>
      <c r="K419" s="40">
        <f>IFERROR(VLOOKUP(J419,M2_거래처마스터!A:E,3,FALSE),"")</f>
        <v/>
      </c>
      <c r="L419" s="40">
        <f>IFERROR(VLOOKUP(J419,M2_거래처마스터!A:E,5,FALSE),"")</f>
        <v/>
      </c>
      <c r="M419" s="22" t="n"/>
      <c r="N419" s="22" t="n"/>
    </row>
    <row r="420">
      <c r="A420" s="34" t="n"/>
      <c r="B420" s="35">
        <f>IF(A420="","",YEAR(A420))</f>
        <v/>
      </c>
      <c r="C420" s="36">
        <f>IF(A420="","",MONTH(A420))</f>
        <v/>
      </c>
      <c r="D420" s="37">
        <f>IF(A420="","","Q"&amp;ROUNDUP(MONTH(A420)/3,0))</f>
        <v/>
      </c>
      <c r="E420" s="18" t="n"/>
      <c r="F420" s="18" t="n"/>
      <c r="G420" s="38" t="n"/>
      <c r="H420" s="20" t="n"/>
      <c r="I420" s="39">
        <f>IF(AND(G420&lt;&gt;"",H420&lt;&gt;""),G420*H420,"")</f>
        <v/>
      </c>
      <c r="J420" s="18" t="n"/>
      <c r="K420" s="40">
        <f>IFERROR(VLOOKUP(J420,M2_거래처마스터!A:E,3,FALSE),"")</f>
        <v/>
      </c>
      <c r="L420" s="40">
        <f>IFERROR(VLOOKUP(J420,M2_거래처마스터!A:E,5,FALSE),"")</f>
        <v/>
      </c>
      <c r="M420" s="18" t="n"/>
      <c r="N420" s="18" t="n"/>
    </row>
    <row r="421">
      <c r="A421" s="41" t="n"/>
      <c r="B421" s="35">
        <f>IF(A421="","",YEAR(A421))</f>
        <v/>
      </c>
      <c r="C421" s="36">
        <f>IF(A421="","",MONTH(A421))</f>
        <v/>
      </c>
      <c r="D421" s="37">
        <f>IF(A421="","","Q"&amp;ROUNDUP(MONTH(A421)/3,0))</f>
        <v/>
      </c>
      <c r="E421" s="22" t="n"/>
      <c r="F421" s="22" t="n"/>
      <c r="G421" s="42" t="n"/>
      <c r="H421" s="24" t="n"/>
      <c r="I421" s="39">
        <f>IF(AND(G421&lt;&gt;"",H421&lt;&gt;""),G421*H421,"")</f>
        <v/>
      </c>
      <c r="J421" s="22" t="n"/>
      <c r="K421" s="40">
        <f>IFERROR(VLOOKUP(J421,M2_거래처마스터!A:E,3,FALSE),"")</f>
        <v/>
      </c>
      <c r="L421" s="40">
        <f>IFERROR(VLOOKUP(J421,M2_거래처마스터!A:E,5,FALSE),"")</f>
        <v/>
      </c>
      <c r="M421" s="22" t="n"/>
      <c r="N421" s="22" t="n"/>
    </row>
    <row r="422">
      <c r="A422" s="34" t="n"/>
      <c r="B422" s="35">
        <f>IF(A422="","",YEAR(A422))</f>
        <v/>
      </c>
      <c r="C422" s="36">
        <f>IF(A422="","",MONTH(A422))</f>
        <v/>
      </c>
      <c r="D422" s="37">
        <f>IF(A422="","","Q"&amp;ROUNDUP(MONTH(A422)/3,0))</f>
        <v/>
      </c>
      <c r="E422" s="18" t="n"/>
      <c r="F422" s="18" t="n"/>
      <c r="G422" s="38" t="n"/>
      <c r="H422" s="20" t="n"/>
      <c r="I422" s="39">
        <f>IF(AND(G422&lt;&gt;"",H422&lt;&gt;""),G422*H422,"")</f>
        <v/>
      </c>
      <c r="J422" s="18" t="n"/>
      <c r="K422" s="40">
        <f>IFERROR(VLOOKUP(J422,M2_거래처마스터!A:E,3,FALSE),"")</f>
        <v/>
      </c>
      <c r="L422" s="40">
        <f>IFERROR(VLOOKUP(J422,M2_거래처마스터!A:E,5,FALSE),"")</f>
        <v/>
      </c>
      <c r="M422" s="18" t="n"/>
      <c r="N422" s="18" t="n"/>
    </row>
    <row r="423">
      <c r="A423" s="41" t="n"/>
      <c r="B423" s="35">
        <f>IF(A423="","",YEAR(A423))</f>
        <v/>
      </c>
      <c r="C423" s="36">
        <f>IF(A423="","",MONTH(A423))</f>
        <v/>
      </c>
      <c r="D423" s="37">
        <f>IF(A423="","","Q"&amp;ROUNDUP(MONTH(A423)/3,0))</f>
        <v/>
      </c>
      <c r="E423" s="22" t="n"/>
      <c r="F423" s="22" t="n"/>
      <c r="G423" s="42" t="n"/>
      <c r="H423" s="24" t="n"/>
      <c r="I423" s="39">
        <f>IF(AND(G423&lt;&gt;"",H423&lt;&gt;""),G423*H423,"")</f>
        <v/>
      </c>
      <c r="J423" s="22" t="n"/>
      <c r="K423" s="40">
        <f>IFERROR(VLOOKUP(J423,M2_거래처마스터!A:E,3,FALSE),"")</f>
        <v/>
      </c>
      <c r="L423" s="40">
        <f>IFERROR(VLOOKUP(J423,M2_거래처마스터!A:E,5,FALSE),"")</f>
        <v/>
      </c>
      <c r="M423" s="22" t="n"/>
      <c r="N423" s="22" t="n"/>
    </row>
    <row r="424">
      <c r="A424" s="34" t="n"/>
      <c r="B424" s="35">
        <f>IF(A424="","",YEAR(A424))</f>
        <v/>
      </c>
      <c r="C424" s="36">
        <f>IF(A424="","",MONTH(A424))</f>
        <v/>
      </c>
      <c r="D424" s="37">
        <f>IF(A424="","","Q"&amp;ROUNDUP(MONTH(A424)/3,0))</f>
        <v/>
      </c>
      <c r="E424" s="18" t="n"/>
      <c r="F424" s="18" t="n"/>
      <c r="G424" s="38" t="n"/>
      <c r="H424" s="20" t="n"/>
      <c r="I424" s="39">
        <f>IF(AND(G424&lt;&gt;"",H424&lt;&gt;""),G424*H424,"")</f>
        <v/>
      </c>
      <c r="J424" s="18" t="n"/>
      <c r="K424" s="40">
        <f>IFERROR(VLOOKUP(J424,M2_거래처마스터!A:E,3,FALSE),"")</f>
        <v/>
      </c>
      <c r="L424" s="40">
        <f>IFERROR(VLOOKUP(J424,M2_거래처마스터!A:E,5,FALSE),"")</f>
        <v/>
      </c>
      <c r="M424" s="18" t="n"/>
      <c r="N424" s="18" t="n"/>
    </row>
    <row r="425">
      <c r="A425" s="41" t="n"/>
      <c r="B425" s="35">
        <f>IF(A425="","",YEAR(A425))</f>
        <v/>
      </c>
      <c r="C425" s="36">
        <f>IF(A425="","",MONTH(A425))</f>
        <v/>
      </c>
      <c r="D425" s="37">
        <f>IF(A425="","","Q"&amp;ROUNDUP(MONTH(A425)/3,0))</f>
        <v/>
      </c>
      <c r="E425" s="22" t="n"/>
      <c r="F425" s="22" t="n"/>
      <c r="G425" s="42" t="n"/>
      <c r="H425" s="24" t="n"/>
      <c r="I425" s="39">
        <f>IF(AND(G425&lt;&gt;"",H425&lt;&gt;""),G425*H425,"")</f>
        <v/>
      </c>
      <c r="J425" s="22" t="n"/>
      <c r="K425" s="40">
        <f>IFERROR(VLOOKUP(J425,M2_거래처마스터!A:E,3,FALSE),"")</f>
        <v/>
      </c>
      <c r="L425" s="40">
        <f>IFERROR(VLOOKUP(J425,M2_거래처마스터!A:E,5,FALSE),"")</f>
        <v/>
      </c>
      <c r="M425" s="22" t="n"/>
      <c r="N425" s="22" t="n"/>
    </row>
    <row r="426">
      <c r="A426" s="34" t="n"/>
      <c r="B426" s="35">
        <f>IF(A426="","",YEAR(A426))</f>
        <v/>
      </c>
      <c r="C426" s="36">
        <f>IF(A426="","",MONTH(A426))</f>
        <v/>
      </c>
      <c r="D426" s="37">
        <f>IF(A426="","","Q"&amp;ROUNDUP(MONTH(A426)/3,0))</f>
        <v/>
      </c>
      <c r="E426" s="18" t="n"/>
      <c r="F426" s="18" t="n"/>
      <c r="G426" s="38" t="n"/>
      <c r="H426" s="20" t="n"/>
      <c r="I426" s="39">
        <f>IF(AND(G426&lt;&gt;"",H426&lt;&gt;""),G426*H426,"")</f>
        <v/>
      </c>
      <c r="J426" s="18" t="n"/>
      <c r="K426" s="40">
        <f>IFERROR(VLOOKUP(J426,M2_거래처마스터!A:E,3,FALSE),"")</f>
        <v/>
      </c>
      <c r="L426" s="40">
        <f>IFERROR(VLOOKUP(J426,M2_거래처마스터!A:E,5,FALSE),"")</f>
        <v/>
      </c>
      <c r="M426" s="18" t="n"/>
      <c r="N426" s="18" t="n"/>
    </row>
    <row r="427">
      <c r="A427" s="41" t="n"/>
      <c r="B427" s="35">
        <f>IF(A427="","",YEAR(A427))</f>
        <v/>
      </c>
      <c r="C427" s="36">
        <f>IF(A427="","",MONTH(A427))</f>
        <v/>
      </c>
      <c r="D427" s="37">
        <f>IF(A427="","","Q"&amp;ROUNDUP(MONTH(A427)/3,0))</f>
        <v/>
      </c>
      <c r="E427" s="22" t="n"/>
      <c r="F427" s="22" t="n"/>
      <c r="G427" s="42" t="n"/>
      <c r="H427" s="24" t="n"/>
      <c r="I427" s="39">
        <f>IF(AND(G427&lt;&gt;"",H427&lt;&gt;""),G427*H427,"")</f>
        <v/>
      </c>
      <c r="J427" s="22" t="n"/>
      <c r="K427" s="40">
        <f>IFERROR(VLOOKUP(J427,M2_거래처마스터!A:E,3,FALSE),"")</f>
        <v/>
      </c>
      <c r="L427" s="40">
        <f>IFERROR(VLOOKUP(J427,M2_거래처마스터!A:E,5,FALSE),"")</f>
        <v/>
      </c>
      <c r="M427" s="22" t="n"/>
      <c r="N427" s="22" t="n"/>
    </row>
    <row r="428">
      <c r="A428" s="34" t="n"/>
      <c r="B428" s="35">
        <f>IF(A428="","",YEAR(A428))</f>
        <v/>
      </c>
      <c r="C428" s="36">
        <f>IF(A428="","",MONTH(A428))</f>
        <v/>
      </c>
      <c r="D428" s="37">
        <f>IF(A428="","","Q"&amp;ROUNDUP(MONTH(A428)/3,0))</f>
        <v/>
      </c>
      <c r="E428" s="18" t="n"/>
      <c r="F428" s="18" t="n"/>
      <c r="G428" s="38" t="n"/>
      <c r="H428" s="20" t="n"/>
      <c r="I428" s="39">
        <f>IF(AND(G428&lt;&gt;"",H428&lt;&gt;""),G428*H428,"")</f>
        <v/>
      </c>
      <c r="J428" s="18" t="n"/>
      <c r="K428" s="40">
        <f>IFERROR(VLOOKUP(J428,M2_거래처마스터!A:E,3,FALSE),"")</f>
        <v/>
      </c>
      <c r="L428" s="40">
        <f>IFERROR(VLOOKUP(J428,M2_거래처마스터!A:E,5,FALSE),"")</f>
        <v/>
      </c>
      <c r="M428" s="18" t="n"/>
      <c r="N428" s="18" t="n"/>
    </row>
    <row r="429">
      <c r="A429" s="41" t="n"/>
      <c r="B429" s="35">
        <f>IF(A429="","",YEAR(A429))</f>
        <v/>
      </c>
      <c r="C429" s="36">
        <f>IF(A429="","",MONTH(A429))</f>
        <v/>
      </c>
      <c r="D429" s="37">
        <f>IF(A429="","","Q"&amp;ROUNDUP(MONTH(A429)/3,0))</f>
        <v/>
      </c>
      <c r="E429" s="22" t="n"/>
      <c r="F429" s="22" t="n"/>
      <c r="G429" s="42" t="n"/>
      <c r="H429" s="24" t="n"/>
      <c r="I429" s="39">
        <f>IF(AND(G429&lt;&gt;"",H429&lt;&gt;""),G429*H429,"")</f>
        <v/>
      </c>
      <c r="J429" s="22" t="n"/>
      <c r="K429" s="40">
        <f>IFERROR(VLOOKUP(J429,M2_거래처마스터!A:E,3,FALSE),"")</f>
        <v/>
      </c>
      <c r="L429" s="40">
        <f>IFERROR(VLOOKUP(J429,M2_거래처마스터!A:E,5,FALSE),"")</f>
        <v/>
      </c>
      <c r="M429" s="22" t="n"/>
      <c r="N429" s="22" t="n"/>
    </row>
    <row r="430">
      <c r="A430" s="34" t="n"/>
      <c r="B430" s="35">
        <f>IF(A430="","",YEAR(A430))</f>
        <v/>
      </c>
      <c r="C430" s="36">
        <f>IF(A430="","",MONTH(A430))</f>
        <v/>
      </c>
      <c r="D430" s="37">
        <f>IF(A430="","","Q"&amp;ROUNDUP(MONTH(A430)/3,0))</f>
        <v/>
      </c>
      <c r="E430" s="18" t="n"/>
      <c r="F430" s="18" t="n"/>
      <c r="G430" s="38" t="n"/>
      <c r="H430" s="20" t="n"/>
      <c r="I430" s="39">
        <f>IF(AND(G430&lt;&gt;"",H430&lt;&gt;""),G430*H430,"")</f>
        <v/>
      </c>
      <c r="J430" s="18" t="n"/>
      <c r="K430" s="40">
        <f>IFERROR(VLOOKUP(J430,M2_거래처마스터!A:E,3,FALSE),"")</f>
        <v/>
      </c>
      <c r="L430" s="40">
        <f>IFERROR(VLOOKUP(J430,M2_거래처마스터!A:E,5,FALSE),"")</f>
        <v/>
      </c>
      <c r="M430" s="18" t="n"/>
      <c r="N430" s="18" t="n"/>
    </row>
    <row r="431">
      <c r="A431" s="41" t="n"/>
      <c r="B431" s="35">
        <f>IF(A431="","",YEAR(A431))</f>
        <v/>
      </c>
      <c r="C431" s="36">
        <f>IF(A431="","",MONTH(A431))</f>
        <v/>
      </c>
      <c r="D431" s="37">
        <f>IF(A431="","","Q"&amp;ROUNDUP(MONTH(A431)/3,0))</f>
        <v/>
      </c>
      <c r="E431" s="22" t="n"/>
      <c r="F431" s="22" t="n"/>
      <c r="G431" s="42" t="n"/>
      <c r="H431" s="24" t="n"/>
      <c r="I431" s="39">
        <f>IF(AND(G431&lt;&gt;"",H431&lt;&gt;""),G431*H431,"")</f>
        <v/>
      </c>
      <c r="J431" s="22" t="n"/>
      <c r="K431" s="40">
        <f>IFERROR(VLOOKUP(J431,M2_거래처마스터!A:E,3,FALSE),"")</f>
        <v/>
      </c>
      <c r="L431" s="40">
        <f>IFERROR(VLOOKUP(J431,M2_거래처마스터!A:E,5,FALSE),"")</f>
        <v/>
      </c>
      <c r="M431" s="22" t="n"/>
      <c r="N431" s="22" t="n"/>
    </row>
    <row r="432">
      <c r="A432" s="34" t="n"/>
      <c r="B432" s="35">
        <f>IF(A432="","",YEAR(A432))</f>
        <v/>
      </c>
      <c r="C432" s="36">
        <f>IF(A432="","",MONTH(A432))</f>
        <v/>
      </c>
      <c r="D432" s="37">
        <f>IF(A432="","","Q"&amp;ROUNDUP(MONTH(A432)/3,0))</f>
        <v/>
      </c>
      <c r="E432" s="18" t="n"/>
      <c r="F432" s="18" t="n"/>
      <c r="G432" s="38" t="n"/>
      <c r="H432" s="20" t="n"/>
      <c r="I432" s="39">
        <f>IF(AND(G432&lt;&gt;"",H432&lt;&gt;""),G432*H432,"")</f>
        <v/>
      </c>
      <c r="J432" s="18" t="n"/>
      <c r="K432" s="40">
        <f>IFERROR(VLOOKUP(J432,M2_거래처마스터!A:E,3,FALSE),"")</f>
        <v/>
      </c>
      <c r="L432" s="40">
        <f>IFERROR(VLOOKUP(J432,M2_거래처마스터!A:E,5,FALSE),"")</f>
        <v/>
      </c>
      <c r="M432" s="18" t="n"/>
      <c r="N432" s="18" t="n"/>
    </row>
    <row r="433">
      <c r="A433" s="41" t="n"/>
      <c r="B433" s="35">
        <f>IF(A433="","",YEAR(A433))</f>
        <v/>
      </c>
      <c r="C433" s="36">
        <f>IF(A433="","",MONTH(A433))</f>
        <v/>
      </c>
      <c r="D433" s="37">
        <f>IF(A433="","","Q"&amp;ROUNDUP(MONTH(A433)/3,0))</f>
        <v/>
      </c>
      <c r="E433" s="22" t="n"/>
      <c r="F433" s="22" t="n"/>
      <c r="G433" s="42" t="n"/>
      <c r="H433" s="24" t="n"/>
      <c r="I433" s="39">
        <f>IF(AND(G433&lt;&gt;"",H433&lt;&gt;""),G433*H433,"")</f>
        <v/>
      </c>
      <c r="J433" s="22" t="n"/>
      <c r="K433" s="40">
        <f>IFERROR(VLOOKUP(J433,M2_거래처마스터!A:E,3,FALSE),"")</f>
        <v/>
      </c>
      <c r="L433" s="40">
        <f>IFERROR(VLOOKUP(J433,M2_거래처마스터!A:E,5,FALSE),"")</f>
        <v/>
      </c>
      <c r="M433" s="22" t="n"/>
      <c r="N433" s="22" t="n"/>
    </row>
    <row r="434">
      <c r="A434" s="34" t="n"/>
      <c r="B434" s="35">
        <f>IF(A434="","",YEAR(A434))</f>
        <v/>
      </c>
      <c r="C434" s="36">
        <f>IF(A434="","",MONTH(A434))</f>
        <v/>
      </c>
      <c r="D434" s="37">
        <f>IF(A434="","","Q"&amp;ROUNDUP(MONTH(A434)/3,0))</f>
        <v/>
      </c>
      <c r="E434" s="18" t="n"/>
      <c r="F434" s="18" t="n"/>
      <c r="G434" s="38" t="n"/>
      <c r="H434" s="20" t="n"/>
      <c r="I434" s="39">
        <f>IF(AND(G434&lt;&gt;"",H434&lt;&gt;""),G434*H434,"")</f>
        <v/>
      </c>
      <c r="J434" s="18" t="n"/>
      <c r="K434" s="40">
        <f>IFERROR(VLOOKUP(J434,M2_거래처마스터!A:E,3,FALSE),"")</f>
        <v/>
      </c>
      <c r="L434" s="40">
        <f>IFERROR(VLOOKUP(J434,M2_거래처마스터!A:E,5,FALSE),"")</f>
        <v/>
      </c>
      <c r="M434" s="18" t="n"/>
      <c r="N434" s="18" t="n"/>
    </row>
    <row r="435">
      <c r="A435" s="41" t="n"/>
      <c r="B435" s="35">
        <f>IF(A435="","",YEAR(A435))</f>
        <v/>
      </c>
      <c r="C435" s="36">
        <f>IF(A435="","",MONTH(A435))</f>
        <v/>
      </c>
      <c r="D435" s="37">
        <f>IF(A435="","","Q"&amp;ROUNDUP(MONTH(A435)/3,0))</f>
        <v/>
      </c>
      <c r="E435" s="22" t="n"/>
      <c r="F435" s="22" t="n"/>
      <c r="G435" s="42" t="n"/>
      <c r="H435" s="24" t="n"/>
      <c r="I435" s="39">
        <f>IF(AND(G435&lt;&gt;"",H435&lt;&gt;""),G435*H435,"")</f>
        <v/>
      </c>
      <c r="J435" s="22" t="n"/>
      <c r="K435" s="40">
        <f>IFERROR(VLOOKUP(J435,M2_거래처마스터!A:E,3,FALSE),"")</f>
        <v/>
      </c>
      <c r="L435" s="40">
        <f>IFERROR(VLOOKUP(J435,M2_거래처마스터!A:E,5,FALSE),"")</f>
        <v/>
      </c>
      <c r="M435" s="22" t="n"/>
      <c r="N435" s="22" t="n"/>
    </row>
    <row r="436">
      <c r="A436" s="34" t="n"/>
      <c r="B436" s="35">
        <f>IF(A436="","",YEAR(A436))</f>
        <v/>
      </c>
      <c r="C436" s="36">
        <f>IF(A436="","",MONTH(A436))</f>
        <v/>
      </c>
      <c r="D436" s="37">
        <f>IF(A436="","","Q"&amp;ROUNDUP(MONTH(A436)/3,0))</f>
        <v/>
      </c>
      <c r="E436" s="18" t="n"/>
      <c r="F436" s="18" t="n"/>
      <c r="G436" s="38" t="n"/>
      <c r="H436" s="20" t="n"/>
      <c r="I436" s="39">
        <f>IF(AND(G436&lt;&gt;"",H436&lt;&gt;""),G436*H436,"")</f>
        <v/>
      </c>
      <c r="J436" s="18" t="n"/>
      <c r="K436" s="40">
        <f>IFERROR(VLOOKUP(J436,M2_거래처마스터!A:E,3,FALSE),"")</f>
        <v/>
      </c>
      <c r="L436" s="40">
        <f>IFERROR(VLOOKUP(J436,M2_거래처마스터!A:E,5,FALSE),"")</f>
        <v/>
      </c>
      <c r="M436" s="18" t="n"/>
      <c r="N436" s="18" t="n"/>
    </row>
    <row r="437">
      <c r="A437" s="41" t="n"/>
      <c r="B437" s="35">
        <f>IF(A437="","",YEAR(A437))</f>
        <v/>
      </c>
      <c r="C437" s="36">
        <f>IF(A437="","",MONTH(A437))</f>
        <v/>
      </c>
      <c r="D437" s="37">
        <f>IF(A437="","","Q"&amp;ROUNDUP(MONTH(A437)/3,0))</f>
        <v/>
      </c>
      <c r="E437" s="22" t="n"/>
      <c r="F437" s="22" t="n"/>
      <c r="G437" s="42" t="n"/>
      <c r="H437" s="24" t="n"/>
      <c r="I437" s="39">
        <f>IF(AND(G437&lt;&gt;"",H437&lt;&gt;""),G437*H437,"")</f>
        <v/>
      </c>
      <c r="J437" s="22" t="n"/>
      <c r="K437" s="40">
        <f>IFERROR(VLOOKUP(J437,M2_거래처마스터!A:E,3,FALSE),"")</f>
        <v/>
      </c>
      <c r="L437" s="40">
        <f>IFERROR(VLOOKUP(J437,M2_거래처마스터!A:E,5,FALSE),"")</f>
        <v/>
      </c>
      <c r="M437" s="22" t="n"/>
      <c r="N437" s="22" t="n"/>
    </row>
    <row r="438">
      <c r="A438" s="34" t="n"/>
      <c r="B438" s="35">
        <f>IF(A438="","",YEAR(A438))</f>
        <v/>
      </c>
      <c r="C438" s="36">
        <f>IF(A438="","",MONTH(A438))</f>
        <v/>
      </c>
      <c r="D438" s="37">
        <f>IF(A438="","","Q"&amp;ROUNDUP(MONTH(A438)/3,0))</f>
        <v/>
      </c>
      <c r="E438" s="18" t="n"/>
      <c r="F438" s="18" t="n"/>
      <c r="G438" s="38" t="n"/>
      <c r="H438" s="20" t="n"/>
      <c r="I438" s="39">
        <f>IF(AND(G438&lt;&gt;"",H438&lt;&gt;""),G438*H438,"")</f>
        <v/>
      </c>
      <c r="J438" s="18" t="n"/>
      <c r="K438" s="40">
        <f>IFERROR(VLOOKUP(J438,M2_거래처마스터!A:E,3,FALSE),"")</f>
        <v/>
      </c>
      <c r="L438" s="40">
        <f>IFERROR(VLOOKUP(J438,M2_거래처마스터!A:E,5,FALSE),"")</f>
        <v/>
      </c>
      <c r="M438" s="18" t="n"/>
      <c r="N438" s="18" t="n"/>
    </row>
    <row r="439">
      <c r="A439" s="41" t="n"/>
      <c r="B439" s="35">
        <f>IF(A439="","",YEAR(A439))</f>
        <v/>
      </c>
      <c r="C439" s="36">
        <f>IF(A439="","",MONTH(A439))</f>
        <v/>
      </c>
      <c r="D439" s="37">
        <f>IF(A439="","","Q"&amp;ROUNDUP(MONTH(A439)/3,0))</f>
        <v/>
      </c>
      <c r="E439" s="22" t="n"/>
      <c r="F439" s="22" t="n"/>
      <c r="G439" s="42" t="n"/>
      <c r="H439" s="24" t="n"/>
      <c r="I439" s="39">
        <f>IF(AND(G439&lt;&gt;"",H439&lt;&gt;""),G439*H439,"")</f>
        <v/>
      </c>
      <c r="J439" s="22" t="n"/>
      <c r="K439" s="40">
        <f>IFERROR(VLOOKUP(J439,M2_거래처마스터!A:E,3,FALSE),"")</f>
        <v/>
      </c>
      <c r="L439" s="40">
        <f>IFERROR(VLOOKUP(J439,M2_거래처마스터!A:E,5,FALSE),"")</f>
        <v/>
      </c>
      <c r="M439" s="22" t="n"/>
      <c r="N439" s="22" t="n"/>
    </row>
    <row r="440">
      <c r="A440" s="34" t="n"/>
      <c r="B440" s="35">
        <f>IF(A440="","",YEAR(A440))</f>
        <v/>
      </c>
      <c r="C440" s="36">
        <f>IF(A440="","",MONTH(A440))</f>
        <v/>
      </c>
      <c r="D440" s="37">
        <f>IF(A440="","","Q"&amp;ROUNDUP(MONTH(A440)/3,0))</f>
        <v/>
      </c>
      <c r="E440" s="18" t="n"/>
      <c r="F440" s="18" t="n"/>
      <c r="G440" s="38" t="n"/>
      <c r="H440" s="20" t="n"/>
      <c r="I440" s="39">
        <f>IF(AND(G440&lt;&gt;"",H440&lt;&gt;""),G440*H440,"")</f>
        <v/>
      </c>
      <c r="J440" s="18" t="n"/>
      <c r="K440" s="40">
        <f>IFERROR(VLOOKUP(J440,M2_거래처마스터!A:E,3,FALSE),"")</f>
        <v/>
      </c>
      <c r="L440" s="40">
        <f>IFERROR(VLOOKUP(J440,M2_거래처마스터!A:E,5,FALSE),"")</f>
        <v/>
      </c>
      <c r="M440" s="18" t="n"/>
      <c r="N440" s="18" t="n"/>
    </row>
    <row r="441">
      <c r="A441" s="41" t="n"/>
      <c r="B441" s="35">
        <f>IF(A441="","",YEAR(A441))</f>
        <v/>
      </c>
      <c r="C441" s="36">
        <f>IF(A441="","",MONTH(A441))</f>
        <v/>
      </c>
      <c r="D441" s="37">
        <f>IF(A441="","","Q"&amp;ROUNDUP(MONTH(A441)/3,0))</f>
        <v/>
      </c>
      <c r="E441" s="22" t="n"/>
      <c r="F441" s="22" t="n"/>
      <c r="G441" s="42" t="n"/>
      <c r="H441" s="24" t="n"/>
      <c r="I441" s="39">
        <f>IF(AND(G441&lt;&gt;"",H441&lt;&gt;""),G441*H441,"")</f>
        <v/>
      </c>
      <c r="J441" s="22" t="n"/>
      <c r="K441" s="40">
        <f>IFERROR(VLOOKUP(J441,M2_거래처마스터!A:E,3,FALSE),"")</f>
        <v/>
      </c>
      <c r="L441" s="40">
        <f>IFERROR(VLOOKUP(J441,M2_거래처마스터!A:E,5,FALSE),"")</f>
        <v/>
      </c>
      <c r="M441" s="22" t="n"/>
      <c r="N441" s="22" t="n"/>
    </row>
    <row r="442">
      <c r="A442" s="34" t="n"/>
      <c r="B442" s="35">
        <f>IF(A442="","",YEAR(A442))</f>
        <v/>
      </c>
      <c r="C442" s="36">
        <f>IF(A442="","",MONTH(A442))</f>
        <v/>
      </c>
      <c r="D442" s="37">
        <f>IF(A442="","","Q"&amp;ROUNDUP(MONTH(A442)/3,0))</f>
        <v/>
      </c>
      <c r="E442" s="18" t="n"/>
      <c r="F442" s="18" t="n"/>
      <c r="G442" s="38" t="n"/>
      <c r="H442" s="20" t="n"/>
      <c r="I442" s="39">
        <f>IF(AND(G442&lt;&gt;"",H442&lt;&gt;""),G442*H442,"")</f>
        <v/>
      </c>
      <c r="J442" s="18" t="n"/>
      <c r="K442" s="40">
        <f>IFERROR(VLOOKUP(J442,M2_거래처마스터!A:E,3,FALSE),"")</f>
        <v/>
      </c>
      <c r="L442" s="40">
        <f>IFERROR(VLOOKUP(J442,M2_거래처마스터!A:E,5,FALSE),"")</f>
        <v/>
      </c>
      <c r="M442" s="18" t="n"/>
      <c r="N442" s="18" t="n"/>
    </row>
    <row r="443">
      <c r="A443" s="41" t="n"/>
      <c r="B443" s="35">
        <f>IF(A443="","",YEAR(A443))</f>
        <v/>
      </c>
      <c r="C443" s="36">
        <f>IF(A443="","",MONTH(A443))</f>
        <v/>
      </c>
      <c r="D443" s="37">
        <f>IF(A443="","","Q"&amp;ROUNDUP(MONTH(A443)/3,0))</f>
        <v/>
      </c>
      <c r="E443" s="22" t="n"/>
      <c r="F443" s="22" t="n"/>
      <c r="G443" s="42" t="n"/>
      <c r="H443" s="24" t="n"/>
      <c r="I443" s="39">
        <f>IF(AND(G443&lt;&gt;"",H443&lt;&gt;""),G443*H443,"")</f>
        <v/>
      </c>
      <c r="J443" s="22" t="n"/>
      <c r="K443" s="40">
        <f>IFERROR(VLOOKUP(J443,M2_거래처마스터!A:E,3,FALSE),"")</f>
        <v/>
      </c>
      <c r="L443" s="40">
        <f>IFERROR(VLOOKUP(J443,M2_거래처마스터!A:E,5,FALSE),"")</f>
        <v/>
      </c>
      <c r="M443" s="22" t="n"/>
      <c r="N443" s="22" t="n"/>
    </row>
    <row r="444">
      <c r="A444" s="34" t="n"/>
      <c r="B444" s="35">
        <f>IF(A444="","",YEAR(A444))</f>
        <v/>
      </c>
      <c r="C444" s="36">
        <f>IF(A444="","",MONTH(A444))</f>
        <v/>
      </c>
      <c r="D444" s="37">
        <f>IF(A444="","","Q"&amp;ROUNDUP(MONTH(A444)/3,0))</f>
        <v/>
      </c>
      <c r="E444" s="18" t="n"/>
      <c r="F444" s="18" t="n"/>
      <c r="G444" s="38" t="n"/>
      <c r="H444" s="20" t="n"/>
      <c r="I444" s="39">
        <f>IF(AND(G444&lt;&gt;"",H444&lt;&gt;""),G444*H444,"")</f>
        <v/>
      </c>
      <c r="J444" s="18" t="n"/>
      <c r="K444" s="40">
        <f>IFERROR(VLOOKUP(J444,M2_거래처마스터!A:E,3,FALSE),"")</f>
        <v/>
      </c>
      <c r="L444" s="40">
        <f>IFERROR(VLOOKUP(J444,M2_거래처마스터!A:E,5,FALSE),"")</f>
        <v/>
      </c>
      <c r="M444" s="18" t="n"/>
      <c r="N444" s="18" t="n"/>
    </row>
    <row r="445">
      <c r="A445" s="41" t="n"/>
      <c r="B445" s="35">
        <f>IF(A445="","",YEAR(A445))</f>
        <v/>
      </c>
      <c r="C445" s="36">
        <f>IF(A445="","",MONTH(A445))</f>
        <v/>
      </c>
      <c r="D445" s="37">
        <f>IF(A445="","","Q"&amp;ROUNDUP(MONTH(A445)/3,0))</f>
        <v/>
      </c>
      <c r="E445" s="22" t="n"/>
      <c r="F445" s="22" t="n"/>
      <c r="G445" s="42" t="n"/>
      <c r="H445" s="24" t="n"/>
      <c r="I445" s="39">
        <f>IF(AND(G445&lt;&gt;"",H445&lt;&gt;""),G445*H445,"")</f>
        <v/>
      </c>
      <c r="J445" s="22" t="n"/>
      <c r="K445" s="40">
        <f>IFERROR(VLOOKUP(J445,M2_거래처마스터!A:E,3,FALSE),"")</f>
        <v/>
      </c>
      <c r="L445" s="40">
        <f>IFERROR(VLOOKUP(J445,M2_거래처마스터!A:E,5,FALSE),"")</f>
        <v/>
      </c>
      <c r="M445" s="22" t="n"/>
      <c r="N445" s="22" t="n"/>
    </row>
    <row r="446">
      <c r="A446" s="34" t="n"/>
      <c r="B446" s="35">
        <f>IF(A446="","",YEAR(A446))</f>
        <v/>
      </c>
      <c r="C446" s="36">
        <f>IF(A446="","",MONTH(A446))</f>
        <v/>
      </c>
      <c r="D446" s="37">
        <f>IF(A446="","","Q"&amp;ROUNDUP(MONTH(A446)/3,0))</f>
        <v/>
      </c>
      <c r="E446" s="18" t="n"/>
      <c r="F446" s="18" t="n"/>
      <c r="G446" s="38" t="n"/>
      <c r="H446" s="20" t="n"/>
      <c r="I446" s="39">
        <f>IF(AND(G446&lt;&gt;"",H446&lt;&gt;""),G446*H446,"")</f>
        <v/>
      </c>
      <c r="J446" s="18" t="n"/>
      <c r="K446" s="40">
        <f>IFERROR(VLOOKUP(J446,M2_거래처마스터!A:E,3,FALSE),"")</f>
        <v/>
      </c>
      <c r="L446" s="40">
        <f>IFERROR(VLOOKUP(J446,M2_거래처마스터!A:E,5,FALSE),"")</f>
        <v/>
      </c>
      <c r="M446" s="18" t="n"/>
      <c r="N446" s="18" t="n"/>
    </row>
    <row r="447">
      <c r="A447" s="41" t="n"/>
      <c r="B447" s="35">
        <f>IF(A447="","",YEAR(A447))</f>
        <v/>
      </c>
      <c r="C447" s="36">
        <f>IF(A447="","",MONTH(A447))</f>
        <v/>
      </c>
      <c r="D447" s="37">
        <f>IF(A447="","","Q"&amp;ROUNDUP(MONTH(A447)/3,0))</f>
        <v/>
      </c>
      <c r="E447" s="22" t="n"/>
      <c r="F447" s="22" t="n"/>
      <c r="G447" s="42" t="n"/>
      <c r="H447" s="24" t="n"/>
      <c r="I447" s="39">
        <f>IF(AND(G447&lt;&gt;"",H447&lt;&gt;""),G447*H447,"")</f>
        <v/>
      </c>
      <c r="J447" s="22" t="n"/>
      <c r="K447" s="40">
        <f>IFERROR(VLOOKUP(J447,M2_거래처마스터!A:E,3,FALSE),"")</f>
        <v/>
      </c>
      <c r="L447" s="40">
        <f>IFERROR(VLOOKUP(J447,M2_거래처마스터!A:E,5,FALSE),"")</f>
        <v/>
      </c>
      <c r="M447" s="22" t="n"/>
      <c r="N447" s="22" t="n"/>
    </row>
    <row r="448">
      <c r="A448" s="34" t="n"/>
      <c r="B448" s="35">
        <f>IF(A448="","",YEAR(A448))</f>
        <v/>
      </c>
      <c r="C448" s="36">
        <f>IF(A448="","",MONTH(A448))</f>
        <v/>
      </c>
      <c r="D448" s="37">
        <f>IF(A448="","","Q"&amp;ROUNDUP(MONTH(A448)/3,0))</f>
        <v/>
      </c>
      <c r="E448" s="18" t="n"/>
      <c r="F448" s="18" t="n"/>
      <c r="G448" s="38" t="n"/>
      <c r="H448" s="20" t="n"/>
      <c r="I448" s="39">
        <f>IF(AND(G448&lt;&gt;"",H448&lt;&gt;""),G448*H448,"")</f>
        <v/>
      </c>
      <c r="J448" s="18" t="n"/>
      <c r="K448" s="40">
        <f>IFERROR(VLOOKUP(J448,M2_거래처마스터!A:E,3,FALSE),"")</f>
        <v/>
      </c>
      <c r="L448" s="40">
        <f>IFERROR(VLOOKUP(J448,M2_거래처마스터!A:E,5,FALSE),"")</f>
        <v/>
      </c>
      <c r="M448" s="18" t="n"/>
      <c r="N448" s="18" t="n"/>
    </row>
    <row r="449">
      <c r="A449" s="41" t="n"/>
      <c r="B449" s="35">
        <f>IF(A449="","",YEAR(A449))</f>
        <v/>
      </c>
      <c r="C449" s="36">
        <f>IF(A449="","",MONTH(A449))</f>
        <v/>
      </c>
      <c r="D449" s="37">
        <f>IF(A449="","","Q"&amp;ROUNDUP(MONTH(A449)/3,0))</f>
        <v/>
      </c>
      <c r="E449" s="22" t="n"/>
      <c r="F449" s="22" t="n"/>
      <c r="G449" s="42" t="n"/>
      <c r="H449" s="24" t="n"/>
      <c r="I449" s="39">
        <f>IF(AND(G449&lt;&gt;"",H449&lt;&gt;""),G449*H449,"")</f>
        <v/>
      </c>
      <c r="J449" s="22" t="n"/>
      <c r="K449" s="40">
        <f>IFERROR(VLOOKUP(J449,M2_거래처마스터!A:E,3,FALSE),"")</f>
        <v/>
      </c>
      <c r="L449" s="40">
        <f>IFERROR(VLOOKUP(J449,M2_거래처마스터!A:E,5,FALSE),"")</f>
        <v/>
      </c>
      <c r="M449" s="22" t="n"/>
      <c r="N449" s="22" t="n"/>
    </row>
    <row r="450">
      <c r="A450" s="34" t="n"/>
      <c r="B450" s="35">
        <f>IF(A450="","",YEAR(A450))</f>
        <v/>
      </c>
      <c r="C450" s="36">
        <f>IF(A450="","",MONTH(A450))</f>
        <v/>
      </c>
      <c r="D450" s="37">
        <f>IF(A450="","","Q"&amp;ROUNDUP(MONTH(A450)/3,0))</f>
        <v/>
      </c>
      <c r="E450" s="18" t="n"/>
      <c r="F450" s="18" t="n"/>
      <c r="G450" s="38" t="n"/>
      <c r="H450" s="20" t="n"/>
      <c r="I450" s="39">
        <f>IF(AND(G450&lt;&gt;"",H450&lt;&gt;""),G450*H450,"")</f>
        <v/>
      </c>
      <c r="J450" s="18" t="n"/>
      <c r="K450" s="40">
        <f>IFERROR(VLOOKUP(J450,M2_거래처마스터!A:E,3,FALSE),"")</f>
        <v/>
      </c>
      <c r="L450" s="40">
        <f>IFERROR(VLOOKUP(J450,M2_거래처마스터!A:E,5,FALSE),"")</f>
        <v/>
      </c>
      <c r="M450" s="18" t="n"/>
      <c r="N450" s="18" t="n"/>
    </row>
    <row r="451">
      <c r="A451" s="41" t="n"/>
      <c r="B451" s="35">
        <f>IF(A451="","",YEAR(A451))</f>
        <v/>
      </c>
      <c r="C451" s="36">
        <f>IF(A451="","",MONTH(A451))</f>
        <v/>
      </c>
      <c r="D451" s="37">
        <f>IF(A451="","","Q"&amp;ROUNDUP(MONTH(A451)/3,0))</f>
        <v/>
      </c>
      <c r="E451" s="22" t="n"/>
      <c r="F451" s="22" t="n"/>
      <c r="G451" s="42" t="n"/>
      <c r="H451" s="24" t="n"/>
      <c r="I451" s="39">
        <f>IF(AND(G451&lt;&gt;"",H451&lt;&gt;""),G451*H451,"")</f>
        <v/>
      </c>
      <c r="J451" s="22" t="n"/>
      <c r="K451" s="40">
        <f>IFERROR(VLOOKUP(J451,M2_거래처마스터!A:E,3,FALSE),"")</f>
        <v/>
      </c>
      <c r="L451" s="40">
        <f>IFERROR(VLOOKUP(J451,M2_거래처마스터!A:E,5,FALSE),"")</f>
        <v/>
      </c>
      <c r="M451" s="22" t="n"/>
      <c r="N451" s="22" t="n"/>
    </row>
    <row r="452">
      <c r="A452" s="34" t="n"/>
      <c r="B452" s="35">
        <f>IF(A452="","",YEAR(A452))</f>
        <v/>
      </c>
      <c r="C452" s="36">
        <f>IF(A452="","",MONTH(A452))</f>
        <v/>
      </c>
      <c r="D452" s="37">
        <f>IF(A452="","","Q"&amp;ROUNDUP(MONTH(A452)/3,0))</f>
        <v/>
      </c>
      <c r="E452" s="18" t="n"/>
      <c r="F452" s="18" t="n"/>
      <c r="G452" s="38" t="n"/>
      <c r="H452" s="20" t="n"/>
      <c r="I452" s="39">
        <f>IF(AND(G452&lt;&gt;"",H452&lt;&gt;""),G452*H452,"")</f>
        <v/>
      </c>
      <c r="J452" s="18" t="n"/>
      <c r="K452" s="40">
        <f>IFERROR(VLOOKUP(J452,M2_거래처마스터!A:E,3,FALSE),"")</f>
        <v/>
      </c>
      <c r="L452" s="40">
        <f>IFERROR(VLOOKUP(J452,M2_거래처마스터!A:E,5,FALSE),"")</f>
        <v/>
      </c>
      <c r="M452" s="18" t="n"/>
      <c r="N452" s="18" t="n"/>
    </row>
    <row r="453">
      <c r="A453" s="41" t="n"/>
      <c r="B453" s="35">
        <f>IF(A453="","",YEAR(A453))</f>
        <v/>
      </c>
      <c r="C453" s="36">
        <f>IF(A453="","",MONTH(A453))</f>
        <v/>
      </c>
      <c r="D453" s="37">
        <f>IF(A453="","","Q"&amp;ROUNDUP(MONTH(A453)/3,0))</f>
        <v/>
      </c>
      <c r="E453" s="22" t="n"/>
      <c r="F453" s="22" t="n"/>
      <c r="G453" s="42" t="n"/>
      <c r="H453" s="24" t="n"/>
      <c r="I453" s="39">
        <f>IF(AND(G453&lt;&gt;"",H453&lt;&gt;""),G453*H453,"")</f>
        <v/>
      </c>
      <c r="J453" s="22" t="n"/>
      <c r="K453" s="40">
        <f>IFERROR(VLOOKUP(J453,M2_거래처마스터!A:E,3,FALSE),"")</f>
        <v/>
      </c>
      <c r="L453" s="40">
        <f>IFERROR(VLOOKUP(J453,M2_거래처마스터!A:E,5,FALSE),"")</f>
        <v/>
      </c>
      <c r="M453" s="22" t="n"/>
      <c r="N453" s="22" t="n"/>
    </row>
    <row r="454">
      <c r="A454" s="34" t="n"/>
      <c r="B454" s="35">
        <f>IF(A454="","",YEAR(A454))</f>
        <v/>
      </c>
      <c r="C454" s="36">
        <f>IF(A454="","",MONTH(A454))</f>
        <v/>
      </c>
      <c r="D454" s="37">
        <f>IF(A454="","","Q"&amp;ROUNDUP(MONTH(A454)/3,0))</f>
        <v/>
      </c>
      <c r="E454" s="18" t="n"/>
      <c r="F454" s="18" t="n"/>
      <c r="G454" s="38" t="n"/>
      <c r="H454" s="20" t="n"/>
      <c r="I454" s="39">
        <f>IF(AND(G454&lt;&gt;"",H454&lt;&gt;""),G454*H454,"")</f>
        <v/>
      </c>
      <c r="J454" s="18" t="n"/>
      <c r="K454" s="40">
        <f>IFERROR(VLOOKUP(J454,M2_거래처마스터!A:E,3,FALSE),"")</f>
        <v/>
      </c>
      <c r="L454" s="40">
        <f>IFERROR(VLOOKUP(J454,M2_거래처마스터!A:E,5,FALSE),"")</f>
        <v/>
      </c>
      <c r="M454" s="18" t="n"/>
      <c r="N454" s="18" t="n"/>
    </row>
    <row r="455">
      <c r="A455" s="41" t="n"/>
      <c r="B455" s="35">
        <f>IF(A455="","",YEAR(A455))</f>
        <v/>
      </c>
      <c r="C455" s="36">
        <f>IF(A455="","",MONTH(A455))</f>
        <v/>
      </c>
      <c r="D455" s="37">
        <f>IF(A455="","","Q"&amp;ROUNDUP(MONTH(A455)/3,0))</f>
        <v/>
      </c>
      <c r="E455" s="22" t="n"/>
      <c r="F455" s="22" t="n"/>
      <c r="G455" s="42" t="n"/>
      <c r="H455" s="24" t="n"/>
      <c r="I455" s="39">
        <f>IF(AND(G455&lt;&gt;"",H455&lt;&gt;""),G455*H455,"")</f>
        <v/>
      </c>
      <c r="J455" s="22" t="n"/>
      <c r="K455" s="40">
        <f>IFERROR(VLOOKUP(J455,M2_거래처마스터!A:E,3,FALSE),"")</f>
        <v/>
      </c>
      <c r="L455" s="40">
        <f>IFERROR(VLOOKUP(J455,M2_거래처마스터!A:E,5,FALSE),"")</f>
        <v/>
      </c>
      <c r="M455" s="22" t="n"/>
      <c r="N455" s="22" t="n"/>
    </row>
    <row r="456">
      <c r="A456" s="34" t="n"/>
      <c r="B456" s="35">
        <f>IF(A456="","",YEAR(A456))</f>
        <v/>
      </c>
      <c r="C456" s="36">
        <f>IF(A456="","",MONTH(A456))</f>
        <v/>
      </c>
      <c r="D456" s="37">
        <f>IF(A456="","","Q"&amp;ROUNDUP(MONTH(A456)/3,0))</f>
        <v/>
      </c>
      <c r="E456" s="18" t="n"/>
      <c r="F456" s="18" t="n"/>
      <c r="G456" s="38" t="n"/>
      <c r="H456" s="20" t="n"/>
      <c r="I456" s="39">
        <f>IF(AND(G456&lt;&gt;"",H456&lt;&gt;""),G456*H456,"")</f>
        <v/>
      </c>
      <c r="J456" s="18" t="n"/>
      <c r="K456" s="40">
        <f>IFERROR(VLOOKUP(J456,M2_거래처마스터!A:E,3,FALSE),"")</f>
        <v/>
      </c>
      <c r="L456" s="40">
        <f>IFERROR(VLOOKUP(J456,M2_거래처마스터!A:E,5,FALSE),"")</f>
        <v/>
      </c>
      <c r="M456" s="18" t="n"/>
      <c r="N456" s="18" t="n"/>
    </row>
    <row r="457">
      <c r="A457" s="41" t="n"/>
      <c r="B457" s="35">
        <f>IF(A457="","",YEAR(A457))</f>
        <v/>
      </c>
      <c r="C457" s="36">
        <f>IF(A457="","",MONTH(A457))</f>
        <v/>
      </c>
      <c r="D457" s="37">
        <f>IF(A457="","","Q"&amp;ROUNDUP(MONTH(A457)/3,0))</f>
        <v/>
      </c>
      <c r="E457" s="22" t="n"/>
      <c r="F457" s="22" t="n"/>
      <c r="G457" s="42" t="n"/>
      <c r="H457" s="24" t="n"/>
      <c r="I457" s="39">
        <f>IF(AND(G457&lt;&gt;"",H457&lt;&gt;""),G457*H457,"")</f>
        <v/>
      </c>
      <c r="J457" s="22" t="n"/>
      <c r="K457" s="40">
        <f>IFERROR(VLOOKUP(J457,M2_거래처마스터!A:E,3,FALSE),"")</f>
        <v/>
      </c>
      <c r="L457" s="40">
        <f>IFERROR(VLOOKUP(J457,M2_거래처마스터!A:E,5,FALSE),"")</f>
        <v/>
      </c>
      <c r="M457" s="22" t="n"/>
      <c r="N457" s="22" t="n"/>
    </row>
    <row r="458">
      <c r="A458" s="34" t="n"/>
      <c r="B458" s="35">
        <f>IF(A458="","",YEAR(A458))</f>
        <v/>
      </c>
      <c r="C458" s="36">
        <f>IF(A458="","",MONTH(A458))</f>
        <v/>
      </c>
      <c r="D458" s="37">
        <f>IF(A458="","","Q"&amp;ROUNDUP(MONTH(A458)/3,0))</f>
        <v/>
      </c>
      <c r="E458" s="18" t="n"/>
      <c r="F458" s="18" t="n"/>
      <c r="G458" s="38" t="n"/>
      <c r="H458" s="20" t="n"/>
      <c r="I458" s="39">
        <f>IF(AND(G458&lt;&gt;"",H458&lt;&gt;""),G458*H458,"")</f>
        <v/>
      </c>
      <c r="J458" s="18" t="n"/>
      <c r="K458" s="40">
        <f>IFERROR(VLOOKUP(J458,M2_거래처마스터!A:E,3,FALSE),"")</f>
        <v/>
      </c>
      <c r="L458" s="40">
        <f>IFERROR(VLOOKUP(J458,M2_거래처마스터!A:E,5,FALSE),"")</f>
        <v/>
      </c>
      <c r="M458" s="18" t="n"/>
      <c r="N458" s="18" t="n"/>
    </row>
    <row r="459">
      <c r="A459" s="41" t="n"/>
      <c r="B459" s="35">
        <f>IF(A459="","",YEAR(A459))</f>
        <v/>
      </c>
      <c r="C459" s="36">
        <f>IF(A459="","",MONTH(A459))</f>
        <v/>
      </c>
      <c r="D459" s="37">
        <f>IF(A459="","","Q"&amp;ROUNDUP(MONTH(A459)/3,0))</f>
        <v/>
      </c>
      <c r="E459" s="22" t="n"/>
      <c r="F459" s="22" t="n"/>
      <c r="G459" s="42" t="n"/>
      <c r="H459" s="24" t="n"/>
      <c r="I459" s="39">
        <f>IF(AND(G459&lt;&gt;"",H459&lt;&gt;""),G459*H459,"")</f>
        <v/>
      </c>
      <c r="J459" s="22" t="n"/>
      <c r="K459" s="40">
        <f>IFERROR(VLOOKUP(J459,M2_거래처마스터!A:E,3,FALSE),"")</f>
        <v/>
      </c>
      <c r="L459" s="40">
        <f>IFERROR(VLOOKUP(J459,M2_거래처마스터!A:E,5,FALSE),"")</f>
        <v/>
      </c>
      <c r="M459" s="22" t="n"/>
      <c r="N459" s="22" t="n"/>
    </row>
    <row r="460">
      <c r="A460" s="34" t="n"/>
      <c r="B460" s="35">
        <f>IF(A460="","",YEAR(A460))</f>
        <v/>
      </c>
      <c r="C460" s="36">
        <f>IF(A460="","",MONTH(A460))</f>
        <v/>
      </c>
      <c r="D460" s="37">
        <f>IF(A460="","","Q"&amp;ROUNDUP(MONTH(A460)/3,0))</f>
        <v/>
      </c>
      <c r="E460" s="18" t="n"/>
      <c r="F460" s="18" t="n"/>
      <c r="G460" s="38" t="n"/>
      <c r="H460" s="20" t="n"/>
      <c r="I460" s="39">
        <f>IF(AND(G460&lt;&gt;"",H460&lt;&gt;""),G460*H460,"")</f>
        <v/>
      </c>
      <c r="J460" s="18" t="n"/>
      <c r="K460" s="40">
        <f>IFERROR(VLOOKUP(J460,M2_거래처마스터!A:E,3,FALSE),"")</f>
        <v/>
      </c>
      <c r="L460" s="40">
        <f>IFERROR(VLOOKUP(J460,M2_거래처마스터!A:E,5,FALSE),"")</f>
        <v/>
      </c>
      <c r="M460" s="18" t="n"/>
      <c r="N460" s="18" t="n"/>
    </row>
    <row r="461">
      <c r="A461" s="41" t="n"/>
      <c r="B461" s="35">
        <f>IF(A461="","",YEAR(A461))</f>
        <v/>
      </c>
      <c r="C461" s="36">
        <f>IF(A461="","",MONTH(A461))</f>
        <v/>
      </c>
      <c r="D461" s="37">
        <f>IF(A461="","","Q"&amp;ROUNDUP(MONTH(A461)/3,0))</f>
        <v/>
      </c>
      <c r="E461" s="22" t="n"/>
      <c r="F461" s="22" t="n"/>
      <c r="G461" s="42" t="n"/>
      <c r="H461" s="24" t="n"/>
      <c r="I461" s="39">
        <f>IF(AND(G461&lt;&gt;"",H461&lt;&gt;""),G461*H461,"")</f>
        <v/>
      </c>
      <c r="J461" s="22" t="n"/>
      <c r="K461" s="40">
        <f>IFERROR(VLOOKUP(J461,M2_거래처마스터!A:E,3,FALSE),"")</f>
        <v/>
      </c>
      <c r="L461" s="40">
        <f>IFERROR(VLOOKUP(J461,M2_거래처마스터!A:E,5,FALSE),"")</f>
        <v/>
      </c>
      <c r="M461" s="22" t="n"/>
      <c r="N461" s="22" t="n"/>
    </row>
    <row r="462">
      <c r="A462" s="34" t="n"/>
      <c r="B462" s="35">
        <f>IF(A462="","",YEAR(A462))</f>
        <v/>
      </c>
      <c r="C462" s="36">
        <f>IF(A462="","",MONTH(A462))</f>
        <v/>
      </c>
      <c r="D462" s="37">
        <f>IF(A462="","","Q"&amp;ROUNDUP(MONTH(A462)/3,0))</f>
        <v/>
      </c>
      <c r="E462" s="18" t="n"/>
      <c r="F462" s="18" t="n"/>
      <c r="G462" s="38" t="n"/>
      <c r="H462" s="20" t="n"/>
      <c r="I462" s="39">
        <f>IF(AND(G462&lt;&gt;"",H462&lt;&gt;""),G462*H462,"")</f>
        <v/>
      </c>
      <c r="J462" s="18" t="n"/>
      <c r="K462" s="40">
        <f>IFERROR(VLOOKUP(J462,M2_거래처마스터!A:E,3,FALSE),"")</f>
        <v/>
      </c>
      <c r="L462" s="40">
        <f>IFERROR(VLOOKUP(J462,M2_거래처마스터!A:E,5,FALSE),"")</f>
        <v/>
      </c>
      <c r="M462" s="18" t="n"/>
      <c r="N462" s="18" t="n"/>
    </row>
    <row r="463">
      <c r="A463" s="41" t="n"/>
      <c r="B463" s="35">
        <f>IF(A463="","",YEAR(A463))</f>
        <v/>
      </c>
      <c r="C463" s="36">
        <f>IF(A463="","",MONTH(A463))</f>
        <v/>
      </c>
      <c r="D463" s="37">
        <f>IF(A463="","","Q"&amp;ROUNDUP(MONTH(A463)/3,0))</f>
        <v/>
      </c>
      <c r="E463" s="22" t="n"/>
      <c r="F463" s="22" t="n"/>
      <c r="G463" s="42" t="n"/>
      <c r="H463" s="24" t="n"/>
      <c r="I463" s="39">
        <f>IF(AND(G463&lt;&gt;"",H463&lt;&gt;""),G463*H463,"")</f>
        <v/>
      </c>
      <c r="J463" s="22" t="n"/>
      <c r="K463" s="40">
        <f>IFERROR(VLOOKUP(J463,M2_거래처마스터!A:E,3,FALSE),"")</f>
        <v/>
      </c>
      <c r="L463" s="40">
        <f>IFERROR(VLOOKUP(J463,M2_거래처마스터!A:E,5,FALSE),"")</f>
        <v/>
      </c>
      <c r="M463" s="22" t="n"/>
      <c r="N463" s="22" t="n"/>
    </row>
    <row r="464">
      <c r="A464" s="34" t="n"/>
      <c r="B464" s="35">
        <f>IF(A464="","",YEAR(A464))</f>
        <v/>
      </c>
      <c r="C464" s="36">
        <f>IF(A464="","",MONTH(A464))</f>
        <v/>
      </c>
      <c r="D464" s="37">
        <f>IF(A464="","","Q"&amp;ROUNDUP(MONTH(A464)/3,0))</f>
        <v/>
      </c>
      <c r="E464" s="18" t="n"/>
      <c r="F464" s="18" t="n"/>
      <c r="G464" s="38" t="n"/>
      <c r="H464" s="20" t="n"/>
      <c r="I464" s="39">
        <f>IF(AND(G464&lt;&gt;"",H464&lt;&gt;""),G464*H464,"")</f>
        <v/>
      </c>
      <c r="J464" s="18" t="n"/>
      <c r="K464" s="40">
        <f>IFERROR(VLOOKUP(J464,M2_거래처마스터!A:E,3,FALSE),"")</f>
        <v/>
      </c>
      <c r="L464" s="40">
        <f>IFERROR(VLOOKUP(J464,M2_거래처마스터!A:E,5,FALSE),"")</f>
        <v/>
      </c>
      <c r="M464" s="18" t="n"/>
      <c r="N464" s="18" t="n"/>
    </row>
    <row r="465">
      <c r="A465" s="41" t="n"/>
      <c r="B465" s="35">
        <f>IF(A465="","",YEAR(A465))</f>
        <v/>
      </c>
      <c r="C465" s="36">
        <f>IF(A465="","",MONTH(A465))</f>
        <v/>
      </c>
      <c r="D465" s="37">
        <f>IF(A465="","","Q"&amp;ROUNDUP(MONTH(A465)/3,0))</f>
        <v/>
      </c>
      <c r="E465" s="22" t="n"/>
      <c r="F465" s="22" t="n"/>
      <c r="G465" s="42" t="n"/>
      <c r="H465" s="24" t="n"/>
      <c r="I465" s="39">
        <f>IF(AND(G465&lt;&gt;"",H465&lt;&gt;""),G465*H465,"")</f>
        <v/>
      </c>
      <c r="J465" s="22" t="n"/>
      <c r="K465" s="40">
        <f>IFERROR(VLOOKUP(J465,M2_거래처마스터!A:E,3,FALSE),"")</f>
        <v/>
      </c>
      <c r="L465" s="40">
        <f>IFERROR(VLOOKUP(J465,M2_거래처마스터!A:E,5,FALSE),"")</f>
        <v/>
      </c>
      <c r="M465" s="22" t="n"/>
      <c r="N465" s="22" t="n"/>
    </row>
    <row r="466">
      <c r="A466" s="34" t="n"/>
      <c r="B466" s="35">
        <f>IF(A466="","",YEAR(A466))</f>
        <v/>
      </c>
      <c r="C466" s="36">
        <f>IF(A466="","",MONTH(A466))</f>
        <v/>
      </c>
      <c r="D466" s="37">
        <f>IF(A466="","","Q"&amp;ROUNDUP(MONTH(A466)/3,0))</f>
        <v/>
      </c>
      <c r="E466" s="18" t="n"/>
      <c r="F466" s="18" t="n"/>
      <c r="G466" s="38" t="n"/>
      <c r="H466" s="20" t="n"/>
      <c r="I466" s="39">
        <f>IF(AND(G466&lt;&gt;"",H466&lt;&gt;""),G466*H466,"")</f>
        <v/>
      </c>
      <c r="J466" s="18" t="n"/>
      <c r="K466" s="40">
        <f>IFERROR(VLOOKUP(J466,M2_거래처마스터!A:E,3,FALSE),"")</f>
        <v/>
      </c>
      <c r="L466" s="40">
        <f>IFERROR(VLOOKUP(J466,M2_거래처마스터!A:E,5,FALSE),"")</f>
        <v/>
      </c>
      <c r="M466" s="18" t="n"/>
      <c r="N466" s="18" t="n"/>
    </row>
    <row r="467">
      <c r="A467" s="41" t="n"/>
      <c r="B467" s="35">
        <f>IF(A467="","",YEAR(A467))</f>
        <v/>
      </c>
      <c r="C467" s="36">
        <f>IF(A467="","",MONTH(A467))</f>
        <v/>
      </c>
      <c r="D467" s="37">
        <f>IF(A467="","","Q"&amp;ROUNDUP(MONTH(A467)/3,0))</f>
        <v/>
      </c>
      <c r="E467" s="22" t="n"/>
      <c r="F467" s="22" t="n"/>
      <c r="G467" s="42" t="n"/>
      <c r="H467" s="24" t="n"/>
      <c r="I467" s="39">
        <f>IF(AND(G467&lt;&gt;"",H467&lt;&gt;""),G467*H467,"")</f>
        <v/>
      </c>
      <c r="J467" s="22" t="n"/>
      <c r="K467" s="40">
        <f>IFERROR(VLOOKUP(J467,M2_거래처마스터!A:E,3,FALSE),"")</f>
        <v/>
      </c>
      <c r="L467" s="40">
        <f>IFERROR(VLOOKUP(J467,M2_거래처마스터!A:E,5,FALSE),"")</f>
        <v/>
      </c>
      <c r="M467" s="22" t="n"/>
      <c r="N467" s="22" t="n"/>
    </row>
    <row r="468">
      <c r="A468" s="34" t="n"/>
      <c r="B468" s="35">
        <f>IF(A468="","",YEAR(A468))</f>
        <v/>
      </c>
      <c r="C468" s="36">
        <f>IF(A468="","",MONTH(A468))</f>
        <v/>
      </c>
      <c r="D468" s="37">
        <f>IF(A468="","","Q"&amp;ROUNDUP(MONTH(A468)/3,0))</f>
        <v/>
      </c>
      <c r="E468" s="18" t="n"/>
      <c r="F468" s="18" t="n"/>
      <c r="G468" s="38" t="n"/>
      <c r="H468" s="20" t="n"/>
      <c r="I468" s="39">
        <f>IF(AND(G468&lt;&gt;"",H468&lt;&gt;""),G468*H468,"")</f>
        <v/>
      </c>
      <c r="J468" s="18" t="n"/>
      <c r="K468" s="40">
        <f>IFERROR(VLOOKUP(J468,M2_거래처마스터!A:E,3,FALSE),"")</f>
        <v/>
      </c>
      <c r="L468" s="40">
        <f>IFERROR(VLOOKUP(J468,M2_거래처마스터!A:E,5,FALSE),"")</f>
        <v/>
      </c>
      <c r="M468" s="18" t="n"/>
      <c r="N468" s="18" t="n"/>
    </row>
    <row r="469">
      <c r="A469" s="41" t="n"/>
      <c r="B469" s="35">
        <f>IF(A469="","",YEAR(A469))</f>
        <v/>
      </c>
      <c r="C469" s="36">
        <f>IF(A469="","",MONTH(A469))</f>
        <v/>
      </c>
      <c r="D469" s="37">
        <f>IF(A469="","","Q"&amp;ROUNDUP(MONTH(A469)/3,0))</f>
        <v/>
      </c>
      <c r="E469" s="22" t="n"/>
      <c r="F469" s="22" t="n"/>
      <c r="G469" s="42" t="n"/>
      <c r="H469" s="24" t="n"/>
      <c r="I469" s="39">
        <f>IF(AND(G469&lt;&gt;"",H469&lt;&gt;""),G469*H469,"")</f>
        <v/>
      </c>
      <c r="J469" s="22" t="n"/>
      <c r="K469" s="40">
        <f>IFERROR(VLOOKUP(J469,M2_거래처마스터!A:E,3,FALSE),"")</f>
        <v/>
      </c>
      <c r="L469" s="40">
        <f>IFERROR(VLOOKUP(J469,M2_거래처마스터!A:E,5,FALSE),"")</f>
        <v/>
      </c>
      <c r="M469" s="22" t="n"/>
      <c r="N469" s="22" t="n"/>
    </row>
    <row r="470">
      <c r="A470" s="34" t="n"/>
      <c r="B470" s="35">
        <f>IF(A470="","",YEAR(A470))</f>
        <v/>
      </c>
      <c r="C470" s="36">
        <f>IF(A470="","",MONTH(A470))</f>
        <v/>
      </c>
      <c r="D470" s="37">
        <f>IF(A470="","","Q"&amp;ROUNDUP(MONTH(A470)/3,0))</f>
        <v/>
      </c>
      <c r="E470" s="18" t="n"/>
      <c r="F470" s="18" t="n"/>
      <c r="G470" s="38" t="n"/>
      <c r="H470" s="20" t="n"/>
      <c r="I470" s="39">
        <f>IF(AND(G470&lt;&gt;"",H470&lt;&gt;""),G470*H470,"")</f>
        <v/>
      </c>
      <c r="J470" s="18" t="n"/>
      <c r="K470" s="40">
        <f>IFERROR(VLOOKUP(J470,M2_거래처마스터!A:E,3,FALSE),"")</f>
        <v/>
      </c>
      <c r="L470" s="40">
        <f>IFERROR(VLOOKUP(J470,M2_거래처마스터!A:E,5,FALSE),"")</f>
        <v/>
      </c>
      <c r="M470" s="18" t="n"/>
      <c r="N470" s="18" t="n"/>
    </row>
    <row r="471">
      <c r="A471" s="41" t="n"/>
      <c r="B471" s="35">
        <f>IF(A471="","",YEAR(A471))</f>
        <v/>
      </c>
      <c r="C471" s="36">
        <f>IF(A471="","",MONTH(A471))</f>
        <v/>
      </c>
      <c r="D471" s="37">
        <f>IF(A471="","","Q"&amp;ROUNDUP(MONTH(A471)/3,0))</f>
        <v/>
      </c>
      <c r="E471" s="22" t="n"/>
      <c r="F471" s="22" t="n"/>
      <c r="G471" s="42" t="n"/>
      <c r="H471" s="24" t="n"/>
      <c r="I471" s="39">
        <f>IF(AND(G471&lt;&gt;"",H471&lt;&gt;""),G471*H471,"")</f>
        <v/>
      </c>
      <c r="J471" s="22" t="n"/>
      <c r="K471" s="40">
        <f>IFERROR(VLOOKUP(J471,M2_거래처마스터!A:E,3,FALSE),"")</f>
        <v/>
      </c>
      <c r="L471" s="40">
        <f>IFERROR(VLOOKUP(J471,M2_거래처마스터!A:E,5,FALSE),"")</f>
        <v/>
      </c>
      <c r="M471" s="22" t="n"/>
      <c r="N471" s="22" t="n"/>
    </row>
    <row r="472">
      <c r="A472" s="34" t="n"/>
      <c r="B472" s="35">
        <f>IF(A472="","",YEAR(A472))</f>
        <v/>
      </c>
      <c r="C472" s="36">
        <f>IF(A472="","",MONTH(A472))</f>
        <v/>
      </c>
      <c r="D472" s="37">
        <f>IF(A472="","","Q"&amp;ROUNDUP(MONTH(A472)/3,0))</f>
        <v/>
      </c>
      <c r="E472" s="18" t="n"/>
      <c r="F472" s="18" t="n"/>
      <c r="G472" s="38" t="n"/>
      <c r="H472" s="20" t="n"/>
      <c r="I472" s="39">
        <f>IF(AND(G472&lt;&gt;"",H472&lt;&gt;""),G472*H472,"")</f>
        <v/>
      </c>
      <c r="J472" s="18" t="n"/>
      <c r="K472" s="40">
        <f>IFERROR(VLOOKUP(J472,M2_거래처마스터!A:E,3,FALSE),"")</f>
        <v/>
      </c>
      <c r="L472" s="40">
        <f>IFERROR(VLOOKUP(J472,M2_거래처마스터!A:E,5,FALSE),"")</f>
        <v/>
      </c>
      <c r="M472" s="18" t="n"/>
      <c r="N472" s="18" t="n"/>
    </row>
    <row r="473">
      <c r="A473" s="41" t="n"/>
      <c r="B473" s="35">
        <f>IF(A473="","",YEAR(A473))</f>
        <v/>
      </c>
      <c r="C473" s="36">
        <f>IF(A473="","",MONTH(A473))</f>
        <v/>
      </c>
      <c r="D473" s="37">
        <f>IF(A473="","","Q"&amp;ROUNDUP(MONTH(A473)/3,0))</f>
        <v/>
      </c>
      <c r="E473" s="22" t="n"/>
      <c r="F473" s="22" t="n"/>
      <c r="G473" s="42" t="n"/>
      <c r="H473" s="24" t="n"/>
      <c r="I473" s="39">
        <f>IF(AND(G473&lt;&gt;"",H473&lt;&gt;""),G473*H473,"")</f>
        <v/>
      </c>
      <c r="J473" s="22" t="n"/>
      <c r="K473" s="40">
        <f>IFERROR(VLOOKUP(J473,M2_거래처마스터!A:E,3,FALSE),"")</f>
        <v/>
      </c>
      <c r="L473" s="40">
        <f>IFERROR(VLOOKUP(J473,M2_거래처마스터!A:E,5,FALSE),"")</f>
        <v/>
      </c>
      <c r="M473" s="22" t="n"/>
      <c r="N473" s="22" t="n"/>
    </row>
    <row r="474">
      <c r="A474" s="34" t="n"/>
      <c r="B474" s="35">
        <f>IF(A474="","",YEAR(A474))</f>
        <v/>
      </c>
      <c r="C474" s="36">
        <f>IF(A474="","",MONTH(A474))</f>
        <v/>
      </c>
      <c r="D474" s="37">
        <f>IF(A474="","","Q"&amp;ROUNDUP(MONTH(A474)/3,0))</f>
        <v/>
      </c>
      <c r="E474" s="18" t="n"/>
      <c r="F474" s="18" t="n"/>
      <c r="G474" s="38" t="n"/>
      <c r="H474" s="20" t="n"/>
      <c r="I474" s="39">
        <f>IF(AND(G474&lt;&gt;"",H474&lt;&gt;""),G474*H474,"")</f>
        <v/>
      </c>
      <c r="J474" s="18" t="n"/>
      <c r="K474" s="40">
        <f>IFERROR(VLOOKUP(J474,M2_거래처마스터!A:E,3,FALSE),"")</f>
        <v/>
      </c>
      <c r="L474" s="40">
        <f>IFERROR(VLOOKUP(J474,M2_거래처마스터!A:E,5,FALSE),"")</f>
        <v/>
      </c>
      <c r="M474" s="18" t="n"/>
      <c r="N474" s="18" t="n"/>
    </row>
    <row r="475">
      <c r="A475" s="41" t="n"/>
      <c r="B475" s="35">
        <f>IF(A475="","",YEAR(A475))</f>
        <v/>
      </c>
      <c r="C475" s="36">
        <f>IF(A475="","",MONTH(A475))</f>
        <v/>
      </c>
      <c r="D475" s="37">
        <f>IF(A475="","","Q"&amp;ROUNDUP(MONTH(A475)/3,0))</f>
        <v/>
      </c>
      <c r="E475" s="22" t="n"/>
      <c r="F475" s="22" t="n"/>
      <c r="G475" s="42" t="n"/>
      <c r="H475" s="24" t="n"/>
      <c r="I475" s="39">
        <f>IF(AND(G475&lt;&gt;"",H475&lt;&gt;""),G475*H475,"")</f>
        <v/>
      </c>
      <c r="J475" s="22" t="n"/>
      <c r="K475" s="40">
        <f>IFERROR(VLOOKUP(J475,M2_거래처마스터!A:E,3,FALSE),"")</f>
        <v/>
      </c>
      <c r="L475" s="40">
        <f>IFERROR(VLOOKUP(J475,M2_거래처마스터!A:E,5,FALSE),"")</f>
        <v/>
      </c>
      <c r="M475" s="22" t="n"/>
      <c r="N475" s="22" t="n"/>
    </row>
    <row r="476">
      <c r="A476" s="34" t="n"/>
      <c r="B476" s="35">
        <f>IF(A476="","",YEAR(A476))</f>
        <v/>
      </c>
      <c r="C476" s="36">
        <f>IF(A476="","",MONTH(A476))</f>
        <v/>
      </c>
      <c r="D476" s="37">
        <f>IF(A476="","","Q"&amp;ROUNDUP(MONTH(A476)/3,0))</f>
        <v/>
      </c>
      <c r="E476" s="18" t="n"/>
      <c r="F476" s="18" t="n"/>
      <c r="G476" s="38" t="n"/>
      <c r="H476" s="20" t="n"/>
      <c r="I476" s="39">
        <f>IF(AND(G476&lt;&gt;"",H476&lt;&gt;""),G476*H476,"")</f>
        <v/>
      </c>
      <c r="J476" s="18" t="n"/>
      <c r="K476" s="40">
        <f>IFERROR(VLOOKUP(J476,M2_거래처마스터!A:E,3,FALSE),"")</f>
        <v/>
      </c>
      <c r="L476" s="40">
        <f>IFERROR(VLOOKUP(J476,M2_거래처마스터!A:E,5,FALSE),"")</f>
        <v/>
      </c>
      <c r="M476" s="18" t="n"/>
      <c r="N476" s="18" t="n"/>
    </row>
    <row r="477">
      <c r="A477" s="41" t="n"/>
      <c r="B477" s="35">
        <f>IF(A477="","",YEAR(A477))</f>
        <v/>
      </c>
      <c r="C477" s="36">
        <f>IF(A477="","",MONTH(A477))</f>
        <v/>
      </c>
      <c r="D477" s="37">
        <f>IF(A477="","","Q"&amp;ROUNDUP(MONTH(A477)/3,0))</f>
        <v/>
      </c>
      <c r="E477" s="22" t="n"/>
      <c r="F477" s="22" t="n"/>
      <c r="G477" s="42" t="n"/>
      <c r="H477" s="24" t="n"/>
      <c r="I477" s="39">
        <f>IF(AND(G477&lt;&gt;"",H477&lt;&gt;""),G477*H477,"")</f>
        <v/>
      </c>
      <c r="J477" s="22" t="n"/>
      <c r="K477" s="40">
        <f>IFERROR(VLOOKUP(J477,M2_거래처마스터!A:E,3,FALSE),"")</f>
        <v/>
      </c>
      <c r="L477" s="40">
        <f>IFERROR(VLOOKUP(J477,M2_거래처마스터!A:E,5,FALSE),"")</f>
        <v/>
      </c>
      <c r="M477" s="22" t="n"/>
      <c r="N477" s="22" t="n"/>
    </row>
    <row r="478">
      <c r="A478" s="34" t="n"/>
      <c r="B478" s="35">
        <f>IF(A478="","",YEAR(A478))</f>
        <v/>
      </c>
      <c r="C478" s="36">
        <f>IF(A478="","",MONTH(A478))</f>
        <v/>
      </c>
      <c r="D478" s="37">
        <f>IF(A478="","","Q"&amp;ROUNDUP(MONTH(A478)/3,0))</f>
        <v/>
      </c>
      <c r="E478" s="18" t="n"/>
      <c r="F478" s="18" t="n"/>
      <c r="G478" s="38" t="n"/>
      <c r="H478" s="20" t="n"/>
      <c r="I478" s="39">
        <f>IF(AND(G478&lt;&gt;"",H478&lt;&gt;""),G478*H478,"")</f>
        <v/>
      </c>
      <c r="J478" s="18" t="n"/>
      <c r="K478" s="40">
        <f>IFERROR(VLOOKUP(J478,M2_거래처마스터!A:E,3,FALSE),"")</f>
        <v/>
      </c>
      <c r="L478" s="40">
        <f>IFERROR(VLOOKUP(J478,M2_거래처마스터!A:E,5,FALSE),"")</f>
        <v/>
      </c>
      <c r="M478" s="18" t="n"/>
      <c r="N478" s="18" t="n"/>
    </row>
    <row r="479">
      <c r="A479" s="41" t="n"/>
      <c r="B479" s="35">
        <f>IF(A479="","",YEAR(A479))</f>
        <v/>
      </c>
      <c r="C479" s="36">
        <f>IF(A479="","",MONTH(A479))</f>
        <v/>
      </c>
      <c r="D479" s="37">
        <f>IF(A479="","","Q"&amp;ROUNDUP(MONTH(A479)/3,0))</f>
        <v/>
      </c>
      <c r="E479" s="22" t="n"/>
      <c r="F479" s="22" t="n"/>
      <c r="G479" s="42" t="n"/>
      <c r="H479" s="24" t="n"/>
      <c r="I479" s="39">
        <f>IF(AND(G479&lt;&gt;"",H479&lt;&gt;""),G479*H479,"")</f>
        <v/>
      </c>
      <c r="J479" s="22" t="n"/>
      <c r="K479" s="40">
        <f>IFERROR(VLOOKUP(J479,M2_거래처마스터!A:E,3,FALSE),"")</f>
        <v/>
      </c>
      <c r="L479" s="40">
        <f>IFERROR(VLOOKUP(J479,M2_거래처마스터!A:E,5,FALSE),"")</f>
        <v/>
      </c>
      <c r="M479" s="22" t="n"/>
      <c r="N479" s="22" t="n"/>
    </row>
    <row r="480">
      <c r="A480" s="34" t="n"/>
      <c r="B480" s="35">
        <f>IF(A480="","",YEAR(A480))</f>
        <v/>
      </c>
      <c r="C480" s="36">
        <f>IF(A480="","",MONTH(A480))</f>
        <v/>
      </c>
      <c r="D480" s="37">
        <f>IF(A480="","","Q"&amp;ROUNDUP(MONTH(A480)/3,0))</f>
        <v/>
      </c>
      <c r="E480" s="18" t="n"/>
      <c r="F480" s="18" t="n"/>
      <c r="G480" s="38" t="n"/>
      <c r="H480" s="20" t="n"/>
      <c r="I480" s="39">
        <f>IF(AND(G480&lt;&gt;"",H480&lt;&gt;""),G480*H480,"")</f>
        <v/>
      </c>
      <c r="J480" s="18" t="n"/>
      <c r="K480" s="40">
        <f>IFERROR(VLOOKUP(J480,M2_거래처마스터!A:E,3,FALSE),"")</f>
        <v/>
      </c>
      <c r="L480" s="40">
        <f>IFERROR(VLOOKUP(J480,M2_거래처마스터!A:E,5,FALSE),"")</f>
        <v/>
      </c>
      <c r="M480" s="18" t="n"/>
      <c r="N480" s="18" t="n"/>
    </row>
    <row r="481">
      <c r="A481" s="41" t="n"/>
      <c r="B481" s="35">
        <f>IF(A481="","",YEAR(A481))</f>
        <v/>
      </c>
      <c r="C481" s="36">
        <f>IF(A481="","",MONTH(A481))</f>
        <v/>
      </c>
      <c r="D481" s="37">
        <f>IF(A481="","","Q"&amp;ROUNDUP(MONTH(A481)/3,0))</f>
        <v/>
      </c>
      <c r="E481" s="22" t="n"/>
      <c r="F481" s="22" t="n"/>
      <c r="G481" s="42" t="n"/>
      <c r="H481" s="24" t="n"/>
      <c r="I481" s="39">
        <f>IF(AND(G481&lt;&gt;"",H481&lt;&gt;""),G481*H481,"")</f>
        <v/>
      </c>
      <c r="J481" s="22" t="n"/>
      <c r="K481" s="40">
        <f>IFERROR(VLOOKUP(J481,M2_거래처마스터!A:E,3,FALSE),"")</f>
        <v/>
      </c>
      <c r="L481" s="40">
        <f>IFERROR(VLOOKUP(J481,M2_거래처마스터!A:E,5,FALSE),"")</f>
        <v/>
      </c>
      <c r="M481" s="22" t="n"/>
      <c r="N481" s="22" t="n"/>
    </row>
    <row r="482">
      <c r="A482" s="34" t="n"/>
      <c r="B482" s="35">
        <f>IF(A482="","",YEAR(A482))</f>
        <v/>
      </c>
      <c r="C482" s="36">
        <f>IF(A482="","",MONTH(A482))</f>
        <v/>
      </c>
      <c r="D482" s="37">
        <f>IF(A482="","","Q"&amp;ROUNDUP(MONTH(A482)/3,0))</f>
        <v/>
      </c>
      <c r="E482" s="18" t="n"/>
      <c r="F482" s="18" t="n"/>
      <c r="G482" s="38" t="n"/>
      <c r="H482" s="20" t="n"/>
      <c r="I482" s="39">
        <f>IF(AND(G482&lt;&gt;"",H482&lt;&gt;""),G482*H482,"")</f>
        <v/>
      </c>
      <c r="J482" s="18" t="n"/>
      <c r="K482" s="40">
        <f>IFERROR(VLOOKUP(J482,M2_거래처마스터!A:E,3,FALSE),"")</f>
        <v/>
      </c>
      <c r="L482" s="40">
        <f>IFERROR(VLOOKUP(J482,M2_거래처마스터!A:E,5,FALSE),"")</f>
        <v/>
      </c>
      <c r="M482" s="18" t="n"/>
      <c r="N482" s="18" t="n"/>
    </row>
    <row r="483">
      <c r="A483" s="41" t="n"/>
      <c r="B483" s="35">
        <f>IF(A483="","",YEAR(A483))</f>
        <v/>
      </c>
      <c r="C483" s="36">
        <f>IF(A483="","",MONTH(A483))</f>
        <v/>
      </c>
      <c r="D483" s="37">
        <f>IF(A483="","","Q"&amp;ROUNDUP(MONTH(A483)/3,0))</f>
        <v/>
      </c>
      <c r="E483" s="22" t="n"/>
      <c r="F483" s="22" t="n"/>
      <c r="G483" s="42" t="n"/>
      <c r="H483" s="24" t="n"/>
      <c r="I483" s="39">
        <f>IF(AND(G483&lt;&gt;"",H483&lt;&gt;""),G483*H483,"")</f>
        <v/>
      </c>
      <c r="J483" s="22" t="n"/>
      <c r="K483" s="40">
        <f>IFERROR(VLOOKUP(J483,M2_거래처마스터!A:E,3,FALSE),"")</f>
        <v/>
      </c>
      <c r="L483" s="40">
        <f>IFERROR(VLOOKUP(J483,M2_거래처마스터!A:E,5,FALSE),"")</f>
        <v/>
      </c>
      <c r="M483" s="22" t="n"/>
      <c r="N483" s="22" t="n"/>
    </row>
    <row r="484">
      <c r="A484" s="34" t="n"/>
      <c r="B484" s="35">
        <f>IF(A484="","",YEAR(A484))</f>
        <v/>
      </c>
      <c r="C484" s="36">
        <f>IF(A484="","",MONTH(A484))</f>
        <v/>
      </c>
      <c r="D484" s="37">
        <f>IF(A484="","","Q"&amp;ROUNDUP(MONTH(A484)/3,0))</f>
        <v/>
      </c>
      <c r="E484" s="18" t="n"/>
      <c r="F484" s="18" t="n"/>
      <c r="G484" s="38" t="n"/>
      <c r="H484" s="20" t="n"/>
      <c r="I484" s="39">
        <f>IF(AND(G484&lt;&gt;"",H484&lt;&gt;""),G484*H484,"")</f>
        <v/>
      </c>
      <c r="J484" s="18" t="n"/>
      <c r="K484" s="40">
        <f>IFERROR(VLOOKUP(J484,M2_거래처마스터!A:E,3,FALSE),"")</f>
        <v/>
      </c>
      <c r="L484" s="40">
        <f>IFERROR(VLOOKUP(J484,M2_거래처마스터!A:E,5,FALSE),"")</f>
        <v/>
      </c>
      <c r="M484" s="18" t="n"/>
      <c r="N484" s="18" t="n"/>
    </row>
    <row r="485">
      <c r="A485" s="41" t="n"/>
      <c r="B485" s="35">
        <f>IF(A485="","",YEAR(A485))</f>
        <v/>
      </c>
      <c r="C485" s="36">
        <f>IF(A485="","",MONTH(A485))</f>
        <v/>
      </c>
      <c r="D485" s="37">
        <f>IF(A485="","","Q"&amp;ROUNDUP(MONTH(A485)/3,0))</f>
        <v/>
      </c>
      <c r="E485" s="22" t="n"/>
      <c r="F485" s="22" t="n"/>
      <c r="G485" s="42" t="n"/>
      <c r="H485" s="24" t="n"/>
      <c r="I485" s="39">
        <f>IF(AND(G485&lt;&gt;"",H485&lt;&gt;""),G485*H485,"")</f>
        <v/>
      </c>
      <c r="J485" s="22" t="n"/>
      <c r="K485" s="40">
        <f>IFERROR(VLOOKUP(J485,M2_거래처마스터!A:E,3,FALSE),"")</f>
        <v/>
      </c>
      <c r="L485" s="40">
        <f>IFERROR(VLOOKUP(J485,M2_거래처마스터!A:E,5,FALSE),"")</f>
        <v/>
      </c>
      <c r="M485" s="22" t="n"/>
      <c r="N485" s="22" t="n"/>
    </row>
    <row r="486">
      <c r="A486" s="34" t="n"/>
      <c r="B486" s="35">
        <f>IF(A486="","",YEAR(A486))</f>
        <v/>
      </c>
      <c r="C486" s="36">
        <f>IF(A486="","",MONTH(A486))</f>
        <v/>
      </c>
      <c r="D486" s="37">
        <f>IF(A486="","","Q"&amp;ROUNDUP(MONTH(A486)/3,0))</f>
        <v/>
      </c>
      <c r="E486" s="18" t="n"/>
      <c r="F486" s="18" t="n"/>
      <c r="G486" s="38" t="n"/>
      <c r="H486" s="20" t="n"/>
      <c r="I486" s="39">
        <f>IF(AND(G486&lt;&gt;"",H486&lt;&gt;""),G486*H486,"")</f>
        <v/>
      </c>
      <c r="J486" s="18" t="n"/>
      <c r="K486" s="40">
        <f>IFERROR(VLOOKUP(J486,M2_거래처마스터!A:E,3,FALSE),"")</f>
        <v/>
      </c>
      <c r="L486" s="40">
        <f>IFERROR(VLOOKUP(J486,M2_거래처마스터!A:E,5,FALSE),"")</f>
        <v/>
      </c>
      <c r="M486" s="18" t="n"/>
      <c r="N486" s="18" t="n"/>
    </row>
    <row r="487">
      <c r="A487" s="41" t="n"/>
      <c r="B487" s="35">
        <f>IF(A487="","",YEAR(A487))</f>
        <v/>
      </c>
      <c r="C487" s="36">
        <f>IF(A487="","",MONTH(A487))</f>
        <v/>
      </c>
      <c r="D487" s="37">
        <f>IF(A487="","","Q"&amp;ROUNDUP(MONTH(A487)/3,0))</f>
        <v/>
      </c>
      <c r="E487" s="22" t="n"/>
      <c r="F487" s="22" t="n"/>
      <c r="G487" s="42" t="n"/>
      <c r="H487" s="24" t="n"/>
      <c r="I487" s="39">
        <f>IF(AND(G487&lt;&gt;"",H487&lt;&gt;""),G487*H487,"")</f>
        <v/>
      </c>
      <c r="J487" s="22" t="n"/>
      <c r="K487" s="40">
        <f>IFERROR(VLOOKUP(J487,M2_거래처마스터!A:E,3,FALSE),"")</f>
        <v/>
      </c>
      <c r="L487" s="40">
        <f>IFERROR(VLOOKUP(J487,M2_거래처마스터!A:E,5,FALSE),"")</f>
        <v/>
      </c>
      <c r="M487" s="22" t="n"/>
      <c r="N487" s="22" t="n"/>
    </row>
    <row r="488">
      <c r="A488" s="34" t="n"/>
      <c r="B488" s="35">
        <f>IF(A488="","",YEAR(A488))</f>
        <v/>
      </c>
      <c r="C488" s="36">
        <f>IF(A488="","",MONTH(A488))</f>
        <v/>
      </c>
      <c r="D488" s="37">
        <f>IF(A488="","","Q"&amp;ROUNDUP(MONTH(A488)/3,0))</f>
        <v/>
      </c>
      <c r="E488" s="18" t="n"/>
      <c r="F488" s="18" t="n"/>
      <c r="G488" s="38" t="n"/>
      <c r="H488" s="20" t="n"/>
      <c r="I488" s="39">
        <f>IF(AND(G488&lt;&gt;"",H488&lt;&gt;""),G488*H488,"")</f>
        <v/>
      </c>
      <c r="J488" s="18" t="n"/>
      <c r="K488" s="40">
        <f>IFERROR(VLOOKUP(J488,M2_거래처마스터!A:E,3,FALSE),"")</f>
        <v/>
      </c>
      <c r="L488" s="40">
        <f>IFERROR(VLOOKUP(J488,M2_거래처마스터!A:E,5,FALSE),"")</f>
        <v/>
      </c>
      <c r="M488" s="18" t="n"/>
      <c r="N488" s="18" t="n"/>
    </row>
    <row r="489">
      <c r="A489" s="41" t="n"/>
      <c r="B489" s="35">
        <f>IF(A489="","",YEAR(A489))</f>
        <v/>
      </c>
      <c r="C489" s="36">
        <f>IF(A489="","",MONTH(A489))</f>
        <v/>
      </c>
      <c r="D489" s="37">
        <f>IF(A489="","","Q"&amp;ROUNDUP(MONTH(A489)/3,0))</f>
        <v/>
      </c>
      <c r="E489" s="22" t="n"/>
      <c r="F489" s="22" t="n"/>
      <c r="G489" s="42" t="n"/>
      <c r="H489" s="24" t="n"/>
      <c r="I489" s="39">
        <f>IF(AND(G489&lt;&gt;"",H489&lt;&gt;""),G489*H489,"")</f>
        <v/>
      </c>
      <c r="J489" s="22" t="n"/>
      <c r="K489" s="40">
        <f>IFERROR(VLOOKUP(J489,M2_거래처마스터!A:E,3,FALSE),"")</f>
        <v/>
      </c>
      <c r="L489" s="40">
        <f>IFERROR(VLOOKUP(J489,M2_거래처마스터!A:E,5,FALSE),"")</f>
        <v/>
      </c>
      <c r="M489" s="22" t="n"/>
      <c r="N489" s="22" t="n"/>
    </row>
    <row r="490">
      <c r="A490" s="34" t="n"/>
      <c r="B490" s="35">
        <f>IF(A490="","",YEAR(A490))</f>
        <v/>
      </c>
      <c r="C490" s="36">
        <f>IF(A490="","",MONTH(A490))</f>
        <v/>
      </c>
      <c r="D490" s="37">
        <f>IF(A490="","","Q"&amp;ROUNDUP(MONTH(A490)/3,0))</f>
        <v/>
      </c>
      <c r="E490" s="18" t="n"/>
      <c r="F490" s="18" t="n"/>
      <c r="G490" s="38" t="n"/>
      <c r="H490" s="20" t="n"/>
      <c r="I490" s="39">
        <f>IF(AND(G490&lt;&gt;"",H490&lt;&gt;""),G490*H490,"")</f>
        <v/>
      </c>
      <c r="J490" s="18" t="n"/>
      <c r="K490" s="40">
        <f>IFERROR(VLOOKUP(J490,M2_거래처마스터!A:E,3,FALSE),"")</f>
        <v/>
      </c>
      <c r="L490" s="40">
        <f>IFERROR(VLOOKUP(J490,M2_거래처마스터!A:E,5,FALSE),"")</f>
        <v/>
      </c>
      <c r="M490" s="18" t="n"/>
      <c r="N490" s="18" t="n"/>
    </row>
    <row r="491">
      <c r="A491" s="41" t="n"/>
      <c r="B491" s="35">
        <f>IF(A491="","",YEAR(A491))</f>
        <v/>
      </c>
      <c r="C491" s="36">
        <f>IF(A491="","",MONTH(A491))</f>
        <v/>
      </c>
      <c r="D491" s="37">
        <f>IF(A491="","","Q"&amp;ROUNDUP(MONTH(A491)/3,0))</f>
        <v/>
      </c>
      <c r="E491" s="22" t="n"/>
      <c r="F491" s="22" t="n"/>
      <c r="G491" s="42" t="n"/>
      <c r="H491" s="24" t="n"/>
      <c r="I491" s="39">
        <f>IF(AND(G491&lt;&gt;"",H491&lt;&gt;""),G491*H491,"")</f>
        <v/>
      </c>
      <c r="J491" s="22" t="n"/>
      <c r="K491" s="40">
        <f>IFERROR(VLOOKUP(J491,M2_거래처마스터!A:E,3,FALSE),"")</f>
        <v/>
      </c>
      <c r="L491" s="40">
        <f>IFERROR(VLOOKUP(J491,M2_거래처마스터!A:E,5,FALSE),"")</f>
        <v/>
      </c>
      <c r="M491" s="22" t="n"/>
      <c r="N491" s="22" t="n"/>
    </row>
    <row r="492">
      <c r="A492" s="34" t="n"/>
      <c r="B492" s="35">
        <f>IF(A492="","",YEAR(A492))</f>
        <v/>
      </c>
      <c r="C492" s="36">
        <f>IF(A492="","",MONTH(A492))</f>
        <v/>
      </c>
      <c r="D492" s="37">
        <f>IF(A492="","","Q"&amp;ROUNDUP(MONTH(A492)/3,0))</f>
        <v/>
      </c>
      <c r="E492" s="18" t="n"/>
      <c r="F492" s="18" t="n"/>
      <c r="G492" s="38" t="n"/>
      <c r="H492" s="20" t="n"/>
      <c r="I492" s="39">
        <f>IF(AND(G492&lt;&gt;"",H492&lt;&gt;""),G492*H492,"")</f>
        <v/>
      </c>
      <c r="J492" s="18" t="n"/>
      <c r="K492" s="40">
        <f>IFERROR(VLOOKUP(J492,M2_거래처마스터!A:E,3,FALSE),"")</f>
        <v/>
      </c>
      <c r="L492" s="40">
        <f>IFERROR(VLOOKUP(J492,M2_거래처마스터!A:E,5,FALSE),"")</f>
        <v/>
      </c>
      <c r="M492" s="18" t="n"/>
      <c r="N492" s="18" t="n"/>
    </row>
    <row r="493">
      <c r="A493" s="41" t="n"/>
      <c r="B493" s="35">
        <f>IF(A493="","",YEAR(A493))</f>
        <v/>
      </c>
      <c r="C493" s="36">
        <f>IF(A493="","",MONTH(A493))</f>
        <v/>
      </c>
      <c r="D493" s="37">
        <f>IF(A493="","","Q"&amp;ROUNDUP(MONTH(A493)/3,0))</f>
        <v/>
      </c>
      <c r="E493" s="22" t="n"/>
      <c r="F493" s="22" t="n"/>
      <c r="G493" s="42" t="n"/>
      <c r="H493" s="24" t="n"/>
      <c r="I493" s="39">
        <f>IF(AND(G493&lt;&gt;"",H493&lt;&gt;""),G493*H493,"")</f>
        <v/>
      </c>
      <c r="J493" s="22" t="n"/>
      <c r="K493" s="40">
        <f>IFERROR(VLOOKUP(J493,M2_거래처마스터!A:E,3,FALSE),"")</f>
        <v/>
      </c>
      <c r="L493" s="40">
        <f>IFERROR(VLOOKUP(J493,M2_거래처마스터!A:E,5,FALSE),"")</f>
        <v/>
      </c>
      <c r="M493" s="22" t="n"/>
      <c r="N493" s="22" t="n"/>
    </row>
    <row r="494">
      <c r="A494" s="34" t="n"/>
      <c r="B494" s="35">
        <f>IF(A494="","",YEAR(A494))</f>
        <v/>
      </c>
      <c r="C494" s="36">
        <f>IF(A494="","",MONTH(A494))</f>
        <v/>
      </c>
      <c r="D494" s="37">
        <f>IF(A494="","","Q"&amp;ROUNDUP(MONTH(A494)/3,0))</f>
        <v/>
      </c>
      <c r="E494" s="18" t="n"/>
      <c r="F494" s="18" t="n"/>
      <c r="G494" s="38" t="n"/>
      <c r="H494" s="20" t="n"/>
      <c r="I494" s="39">
        <f>IF(AND(G494&lt;&gt;"",H494&lt;&gt;""),G494*H494,"")</f>
        <v/>
      </c>
      <c r="J494" s="18" t="n"/>
      <c r="K494" s="40">
        <f>IFERROR(VLOOKUP(J494,M2_거래처마스터!A:E,3,FALSE),"")</f>
        <v/>
      </c>
      <c r="L494" s="40">
        <f>IFERROR(VLOOKUP(J494,M2_거래처마스터!A:E,5,FALSE),"")</f>
        <v/>
      </c>
      <c r="M494" s="18" t="n"/>
      <c r="N494" s="18" t="n"/>
    </row>
    <row r="495">
      <c r="A495" s="41" t="n"/>
      <c r="B495" s="35">
        <f>IF(A495="","",YEAR(A495))</f>
        <v/>
      </c>
      <c r="C495" s="36">
        <f>IF(A495="","",MONTH(A495))</f>
        <v/>
      </c>
      <c r="D495" s="37">
        <f>IF(A495="","","Q"&amp;ROUNDUP(MONTH(A495)/3,0))</f>
        <v/>
      </c>
      <c r="E495" s="22" t="n"/>
      <c r="F495" s="22" t="n"/>
      <c r="G495" s="42" t="n"/>
      <c r="H495" s="24" t="n"/>
      <c r="I495" s="39">
        <f>IF(AND(G495&lt;&gt;"",H495&lt;&gt;""),G495*H495,"")</f>
        <v/>
      </c>
      <c r="J495" s="22" t="n"/>
      <c r="K495" s="40">
        <f>IFERROR(VLOOKUP(J495,M2_거래처마스터!A:E,3,FALSE),"")</f>
        <v/>
      </c>
      <c r="L495" s="40">
        <f>IFERROR(VLOOKUP(J495,M2_거래처마스터!A:E,5,FALSE),"")</f>
        <v/>
      </c>
      <c r="M495" s="22" t="n"/>
      <c r="N495" s="22" t="n"/>
    </row>
    <row r="496">
      <c r="A496" s="34" t="n"/>
      <c r="B496" s="35">
        <f>IF(A496="","",YEAR(A496))</f>
        <v/>
      </c>
      <c r="C496" s="36">
        <f>IF(A496="","",MONTH(A496))</f>
        <v/>
      </c>
      <c r="D496" s="37">
        <f>IF(A496="","","Q"&amp;ROUNDUP(MONTH(A496)/3,0))</f>
        <v/>
      </c>
      <c r="E496" s="18" t="n"/>
      <c r="F496" s="18" t="n"/>
      <c r="G496" s="38" t="n"/>
      <c r="H496" s="20" t="n"/>
      <c r="I496" s="39">
        <f>IF(AND(G496&lt;&gt;"",H496&lt;&gt;""),G496*H496,"")</f>
        <v/>
      </c>
      <c r="J496" s="18" t="n"/>
      <c r="K496" s="40">
        <f>IFERROR(VLOOKUP(J496,M2_거래처마스터!A:E,3,FALSE),"")</f>
        <v/>
      </c>
      <c r="L496" s="40">
        <f>IFERROR(VLOOKUP(J496,M2_거래처마스터!A:E,5,FALSE),"")</f>
        <v/>
      </c>
      <c r="M496" s="18" t="n"/>
      <c r="N496" s="18" t="n"/>
    </row>
    <row r="497">
      <c r="A497" s="41" t="n"/>
      <c r="B497" s="35">
        <f>IF(A497="","",YEAR(A497))</f>
        <v/>
      </c>
      <c r="C497" s="36">
        <f>IF(A497="","",MONTH(A497))</f>
        <v/>
      </c>
      <c r="D497" s="37">
        <f>IF(A497="","","Q"&amp;ROUNDUP(MONTH(A497)/3,0))</f>
        <v/>
      </c>
      <c r="E497" s="22" t="n"/>
      <c r="F497" s="22" t="n"/>
      <c r="G497" s="42" t="n"/>
      <c r="H497" s="24" t="n"/>
      <c r="I497" s="39">
        <f>IF(AND(G497&lt;&gt;"",H497&lt;&gt;""),G497*H497,"")</f>
        <v/>
      </c>
      <c r="J497" s="22" t="n"/>
      <c r="K497" s="40">
        <f>IFERROR(VLOOKUP(J497,M2_거래처마스터!A:E,3,FALSE),"")</f>
        <v/>
      </c>
      <c r="L497" s="40">
        <f>IFERROR(VLOOKUP(J497,M2_거래처마스터!A:E,5,FALSE),"")</f>
        <v/>
      </c>
      <c r="M497" s="22" t="n"/>
      <c r="N497" s="22" t="n"/>
    </row>
    <row r="498">
      <c r="A498" s="34" t="n"/>
      <c r="B498" s="35">
        <f>IF(A498="","",YEAR(A498))</f>
        <v/>
      </c>
      <c r="C498" s="36">
        <f>IF(A498="","",MONTH(A498))</f>
        <v/>
      </c>
      <c r="D498" s="37">
        <f>IF(A498="","","Q"&amp;ROUNDUP(MONTH(A498)/3,0))</f>
        <v/>
      </c>
      <c r="E498" s="18" t="n"/>
      <c r="F498" s="18" t="n"/>
      <c r="G498" s="38" t="n"/>
      <c r="H498" s="20" t="n"/>
      <c r="I498" s="39">
        <f>IF(AND(G498&lt;&gt;"",H498&lt;&gt;""),G498*H498,"")</f>
        <v/>
      </c>
      <c r="J498" s="18" t="n"/>
      <c r="K498" s="40">
        <f>IFERROR(VLOOKUP(J498,M2_거래처마스터!A:E,3,FALSE),"")</f>
        <v/>
      </c>
      <c r="L498" s="40">
        <f>IFERROR(VLOOKUP(J498,M2_거래처마스터!A:E,5,FALSE),"")</f>
        <v/>
      </c>
      <c r="M498" s="18" t="n"/>
      <c r="N498" s="18" t="n"/>
    </row>
    <row r="499">
      <c r="A499" s="41" t="n"/>
      <c r="B499" s="35">
        <f>IF(A499="","",YEAR(A499))</f>
        <v/>
      </c>
      <c r="C499" s="36">
        <f>IF(A499="","",MONTH(A499))</f>
        <v/>
      </c>
      <c r="D499" s="37">
        <f>IF(A499="","","Q"&amp;ROUNDUP(MONTH(A499)/3,0))</f>
        <v/>
      </c>
      <c r="E499" s="22" t="n"/>
      <c r="F499" s="22" t="n"/>
      <c r="G499" s="42" t="n"/>
      <c r="H499" s="24" t="n"/>
      <c r="I499" s="39">
        <f>IF(AND(G499&lt;&gt;"",H499&lt;&gt;""),G499*H499,"")</f>
        <v/>
      </c>
      <c r="J499" s="22" t="n"/>
      <c r="K499" s="40">
        <f>IFERROR(VLOOKUP(J499,M2_거래처마스터!A:E,3,FALSE),"")</f>
        <v/>
      </c>
      <c r="L499" s="40">
        <f>IFERROR(VLOOKUP(J499,M2_거래처마스터!A:E,5,FALSE),"")</f>
        <v/>
      </c>
      <c r="M499" s="22" t="n"/>
      <c r="N499" s="22" t="n"/>
    </row>
    <row r="500">
      <c r="A500" s="34" t="n"/>
      <c r="B500" s="35">
        <f>IF(A500="","",YEAR(A500))</f>
        <v/>
      </c>
      <c r="C500" s="36">
        <f>IF(A500="","",MONTH(A500))</f>
        <v/>
      </c>
      <c r="D500" s="37">
        <f>IF(A500="","","Q"&amp;ROUNDUP(MONTH(A500)/3,0))</f>
        <v/>
      </c>
      <c r="E500" s="18" t="n"/>
      <c r="F500" s="18" t="n"/>
      <c r="G500" s="38" t="n"/>
      <c r="H500" s="20" t="n"/>
      <c r="I500" s="39">
        <f>IF(AND(G500&lt;&gt;"",H500&lt;&gt;""),G500*H500,"")</f>
        <v/>
      </c>
      <c r="J500" s="18" t="n"/>
      <c r="K500" s="40">
        <f>IFERROR(VLOOKUP(J500,M2_거래처마스터!A:E,3,FALSE),"")</f>
        <v/>
      </c>
      <c r="L500" s="40">
        <f>IFERROR(VLOOKUP(J500,M2_거래처마스터!A:E,5,FALSE),"")</f>
        <v/>
      </c>
      <c r="M500" s="18" t="n"/>
      <c r="N500" s="18" t="n"/>
    </row>
    <row r="501">
      <c r="A501" s="41" t="n"/>
      <c r="B501" s="35">
        <f>IF(A501="","",YEAR(A501))</f>
        <v/>
      </c>
      <c r="C501" s="36">
        <f>IF(A501="","",MONTH(A501))</f>
        <v/>
      </c>
      <c r="D501" s="37">
        <f>IF(A501="","","Q"&amp;ROUNDUP(MONTH(A501)/3,0))</f>
        <v/>
      </c>
      <c r="E501" s="22" t="n"/>
      <c r="F501" s="22" t="n"/>
      <c r="G501" s="42" t="n"/>
      <c r="H501" s="24" t="n"/>
      <c r="I501" s="39">
        <f>IF(AND(G501&lt;&gt;"",H501&lt;&gt;""),G501*H501,"")</f>
        <v/>
      </c>
      <c r="J501" s="22" t="n"/>
      <c r="K501" s="40">
        <f>IFERROR(VLOOKUP(J501,M2_거래처마스터!A:E,3,FALSE),"")</f>
        <v/>
      </c>
      <c r="L501" s="40">
        <f>IFERROR(VLOOKUP(J501,M2_거래처마스터!A:E,5,FALSE),"")</f>
        <v/>
      </c>
      <c r="M501" s="22" t="n"/>
      <c r="N501" s="22" t="n"/>
    </row>
    <row r="502">
      <c r="A502" s="34" t="n"/>
      <c r="B502" s="35">
        <f>IF(A502="","",YEAR(A502))</f>
        <v/>
      </c>
      <c r="C502" s="36">
        <f>IF(A502="","",MONTH(A502))</f>
        <v/>
      </c>
      <c r="D502" s="37">
        <f>IF(A502="","","Q"&amp;ROUNDUP(MONTH(A502)/3,0))</f>
        <v/>
      </c>
      <c r="E502" s="18" t="n"/>
      <c r="F502" s="18" t="n"/>
      <c r="G502" s="38" t="n"/>
      <c r="H502" s="20" t="n"/>
      <c r="I502" s="39">
        <f>IF(AND(G502&lt;&gt;"",H502&lt;&gt;""),G502*H502,"")</f>
        <v/>
      </c>
      <c r="J502" s="18" t="n"/>
      <c r="K502" s="40">
        <f>IFERROR(VLOOKUP(J502,M2_거래처마스터!A:E,3,FALSE),"")</f>
        <v/>
      </c>
      <c r="L502" s="40">
        <f>IFERROR(VLOOKUP(J502,M2_거래처마스터!A:E,5,FALSE),"")</f>
        <v/>
      </c>
      <c r="M502" s="18" t="n"/>
      <c r="N502" s="18" t="n"/>
    </row>
    <row r="503">
      <c r="A503" s="41" t="n"/>
      <c r="B503" s="35">
        <f>IF(A503="","",YEAR(A503))</f>
        <v/>
      </c>
      <c r="C503" s="36">
        <f>IF(A503="","",MONTH(A503))</f>
        <v/>
      </c>
      <c r="D503" s="37">
        <f>IF(A503="","","Q"&amp;ROUNDUP(MONTH(A503)/3,0))</f>
        <v/>
      </c>
      <c r="E503" s="22" t="n"/>
      <c r="F503" s="22" t="n"/>
      <c r="G503" s="42" t="n"/>
      <c r="H503" s="24" t="n"/>
      <c r="I503" s="39">
        <f>IF(AND(G503&lt;&gt;"",H503&lt;&gt;""),G503*H503,"")</f>
        <v/>
      </c>
      <c r="J503" s="22" t="n"/>
      <c r="K503" s="40">
        <f>IFERROR(VLOOKUP(J503,M2_거래처마스터!A:E,3,FALSE),"")</f>
        <v/>
      </c>
      <c r="L503" s="40">
        <f>IFERROR(VLOOKUP(J503,M2_거래처마스터!A:E,5,FALSE),"")</f>
        <v/>
      </c>
      <c r="M503" s="22" t="n"/>
      <c r="N503" s="22" t="n"/>
    </row>
    <row r="504">
      <c r="A504" s="34" t="n"/>
      <c r="B504" s="35">
        <f>IF(A504="","",YEAR(A504))</f>
        <v/>
      </c>
      <c r="C504" s="36">
        <f>IF(A504="","",MONTH(A504))</f>
        <v/>
      </c>
      <c r="D504" s="37">
        <f>IF(A504="","","Q"&amp;ROUNDUP(MONTH(A504)/3,0))</f>
        <v/>
      </c>
      <c r="E504" s="18" t="n"/>
      <c r="F504" s="18" t="n"/>
      <c r="G504" s="38" t="n"/>
      <c r="H504" s="20" t="n"/>
      <c r="I504" s="39">
        <f>IF(AND(G504&lt;&gt;"",H504&lt;&gt;""),G504*H504,"")</f>
        <v/>
      </c>
      <c r="J504" s="18" t="n"/>
      <c r="K504" s="40">
        <f>IFERROR(VLOOKUP(J504,M2_거래처마스터!A:E,3,FALSE),"")</f>
        <v/>
      </c>
      <c r="L504" s="40">
        <f>IFERROR(VLOOKUP(J504,M2_거래처마스터!A:E,5,FALSE),"")</f>
        <v/>
      </c>
      <c r="M504" s="18" t="n"/>
      <c r="N504" s="18" t="n"/>
    </row>
    <row r="505">
      <c r="A505" s="41" t="n"/>
      <c r="B505" s="35">
        <f>IF(A505="","",YEAR(A505))</f>
        <v/>
      </c>
      <c r="C505" s="36">
        <f>IF(A505="","",MONTH(A505))</f>
        <v/>
      </c>
      <c r="D505" s="37">
        <f>IF(A505="","","Q"&amp;ROUNDUP(MONTH(A505)/3,0))</f>
        <v/>
      </c>
      <c r="E505" s="22" t="n"/>
      <c r="F505" s="22" t="n"/>
      <c r="G505" s="42" t="n"/>
      <c r="H505" s="24" t="n"/>
      <c r="I505" s="39">
        <f>IF(AND(G505&lt;&gt;"",H505&lt;&gt;""),G505*H505,"")</f>
        <v/>
      </c>
      <c r="J505" s="22" t="n"/>
      <c r="K505" s="40">
        <f>IFERROR(VLOOKUP(J505,M2_거래처마스터!A:E,3,FALSE),"")</f>
        <v/>
      </c>
      <c r="L505" s="40">
        <f>IFERROR(VLOOKUP(J505,M2_거래처마스터!A:E,5,FALSE),"")</f>
        <v/>
      </c>
      <c r="M505" s="22" t="n"/>
      <c r="N505" s="22" t="n"/>
    </row>
  </sheetData>
  <mergeCells count="3">
    <mergeCell ref="A3:N3"/>
    <mergeCell ref="A2:N2"/>
    <mergeCell ref="A1:N1"/>
  </mergeCells>
  <dataValidations count="2">
    <dataValidation sqref="E6:E505" showDropDown="0" showInputMessage="0" showErrorMessage="0" allowBlank="1" type="list">
      <formula1>"입고(원료),입고(밑술),입고(술덧),사용,폐기,재고조정"</formula1>
    </dataValidation>
    <dataValidation sqref="F6:F505" showDropDown="0" showInputMessage="0" showErrorMessage="0" allowBlank="1" type="list">
      <formula1>"멥쌀,찹쌀,누룩(전통),국화꽃,정제수,현미,밑술,술덧,용기(병),뚜껑,라벨,기타"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0764D"/>
    <outlinePr summaryBelow="1" summaryRight="1"/>
    <pageSetUpPr/>
  </sheetPr>
  <dimension ref="A1:N305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6" customWidth="1" min="4" max="4"/>
    <col width="13" customWidth="1" min="5" max="5"/>
    <col width="9" customWidth="1" min="6" max="6"/>
    <col width="11" customWidth="1" min="7" max="7"/>
    <col width="11" customWidth="1" min="8" max="8"/>
    <col width="11" customWidth="1" min="9" max="9"/>
    <col width="8" customWidth="1" min="10" max="10"/>
    <col width="11" customWidth="1" min="11" max="11"/>
    <col width="11" customWidth="1" min="12" max="12"/>
    <col width="14" customWidth="1" min="13" max="13"/>
    <col width="24" customWidth="1" min="14" max="14"/>
  </cols>
  <sheetData>
    <row r="1" ht="30" customHeight="1">
      <c r="A1" s="13" t="inlineStr">
        <is>
          <t>02. 양조 일지 (v4)</t>
        </is>
      </c>
    </row>
    <row r="2">
      <c r="A2" s="14" t="inlineStr">
        <is>
          <t>법령 §25 ③④⑤ · 발효 정량 데이터(온도·습도) 추가 → 5년 후 패턴 분석</t>
        </is>
      </c>
    </row>
    <row r="3">
      <c r="A3" s="26" t="inlineStr">
        <is>
          <t>💡 온도·습도·시간 데이터가 5년 누적되면 발효 품질 예측 가능.</t>
        </is>
      </c>
    </row>
    <row r="5" ht="32" customHeight="1">
      <c r="A5" s="8" t="inlineStr">
        <is>
          <t>담금일</t>
        </is>
      </c>
      <c r="B5" s="32" t="inlineStr">
        <is>
          <t>연도</t>
        </is>
      </c>
      <c r="C5" s="32" t="inlineStr">
        <is>
          <t>월</t>
        </is>
      </c>
      <c r="D5" s="32" t="inlineStr">
        <is>
          <t>분기</t>
        </is>
      </c>
      <c r="E5" s="8" t="inlineStr">
        <is>
          <t>배치ID</t>
        </is>
      </c>
      <c r="F5" s="8" t="inlineStr">
        <is>
          <t>주종</t>
        </is>
      </c>
      <c r="G5" s="8" t="inlineStr">
        <is>
          <t>제성일</t>
        </is>
      </c>
      <c r="H5" s="8" t="inlineStr">
        <is>
          <t>1차술덧(L)</t>
        </is>
      </c>
      <c r="I5" s="8" t="inlineStr">
        <is>
          <t>최종생산량(L)</t>
        </is>
      </c>
      <c r="J5" s="8" t="inlineStr">
        <is>
          <t>도수(%)</t>
        </is>
      </c>
      <c r="K5" s="8" t="inlineStr">
        <is>
          <t>발효온도(℃)</t>
        </is>
      </c>
      <c r="L5" s="8" t="inlineStr">
        <is>
          <t>발효습도(%)</t>
        </is>
      </c>
      <c r="M5" s="8" t="inlineStr">
        <is>
          <t>발효일수</t>
        </is>
      </c>
      <c r="N5" s="8" t="inlineStr">
        <is>
          <t>사용 원료 + 메모</t>
        </is>
      </c>
    </row>
    <row r="6">
      <c r="A6" s="34" t="inlineStr">
        <is>
          <t>2026-05-01</t>
        </is>
      </c>
      <c r="B6" s="35">
        <f>IF(A6="","",YEAR(A6))</f>
        <v/>
      </c>
      <c r="C6" s="36">
        <f>IF(A6="","",MONTH(A6))</f>
        <v/>
      </c>
      <c r="D6" s="37">
        <f>IF(A6="","","Q"&amp;ROUNDUP(MONTH(A6)/3,0))</f>
        <v/>
      </c>
      <c r="E6" s="18" t="inlineStr">
        <is>
          <t>2026Q2-001</t>
        </is>
      </c>
      <c r="F6" s="18" t="inlineStr">
        <is>
          <t>탁주</t>
        </is>
      </c>
      <c r="G6" s="34" t="n"/>
      <c r="H6" s="38" t="n">
        <v>200</v>
      </c>
      <c r="I6" s="38" t="n">
        <v>187.5</v>
      </c>
      <c r="J6" s="38" t="n">
        <v>10</v>
      </c>
      <c r="K6" s="38" t="n">
        <v>22</v>
      </c>
      <c r="L6" s="38" t="n">
        <v>65</v>
      </c>
      <c r="M6" s="19">
        <f>IF(AND(A6&lt;&gt;"",G6&lt;&gt;""),G6-A6,"")</f>
        <v/>
      </c>
      <c r="N6" s="18" t="inlineStr">
        <is>
          <t>찹쌀 52.5kg, 멥쌀 22.5kg, 전통누룩 5.2kg, 국화꽃 자가채취</t>
        </is>
      </c>
    </row>
    <row r="7">
      <c r="A7" s="41" t="n"/>
      <c r="B7" s="35">
        <f>IF(A7="","",YEAR(A7))</f>
        <v/>
      </c>
      <c r="C7" s="36">
        <f>IF(A7="","",MONTH(A7))</f>
        <v/>
      </c>
      <c r="D7" s="37">
        <f>IF(A7="","","Q"&amp;ROUNDUP(MONTH(A7)/3,0))</f>
        <v/>
      </c>
      <c r="E7" s="22" t="n"/>
      <c r="F7" s="22" t="n"/>
      <c r="G7" s="41" t="n"/>
      <c r="H7" s="42" t="n"/>
      <c r="I7" s="42" t="n"/>
      <c r="J7" s="42" t="n"/>
      <c r="K7" s="42" t="n"/>
      <c r="L7" s="42" t="n"/>
      <c r="M7" s="23">
        <f>IF(AND(A7&lt;&gt;"",G7&lt;&gt;""),G7-A7,"")</f>
        <v/>
      </c>
      <c r="N7" s="22" t="n"/>
    </row>
    <row r="8">
      <c r="A8" s="34" t="n"/>
      <c r="B8" s="35">
        <f>IF(A8="","",YEAR(A8))</f>
        <v/>
      </c>
      <c r="C8" s="36">
        <f>IF(A8="","",MONTH(A8))</f>
        <v/>
      </c>
      <c r="D8" s="37">
        <f>IF(A8="","","Q"&amp;ROUNDUP(MONTH(A8)/3,0))</f>
        <v/>
      </c>
      <c r="E8" s="18" t="n"/>
      <c r="F8" s="18" t="n"/>
      <c r="G8" s="34" t="n"/>
      <c r="H8" s="38" t="n"/>
      <c r="I8" s="38" t="n"/>
      <c r="J8" s="38" t="n"/>
      <c r="K8" s="38" t="n"/>
      <c r="L8" s="38" t="n"/>
      <c r="M8" s="19">
        <f>IF(AND(A8&lt;&gt;"",G8&lt;&gt;""),G8-A8,"")</f>
        <v/>
      </c>
      <c r="N8" s="18" t="n"/>
    </row>
    <row r="9">
      <c r="A9" s="41" t="n"/>
      <c r="B9" s="35">
        <f>IF(A9="","",YEAR(A9))</f>
        <v/>
      </c>
      <c r="C9" s="36">
        <f>IF(A9="","",MONTH(A9))</f>
        <v/>
      </c>
      <c r="D9" s="37">
        <f>IF(A9="","","Q"&amp;ROUNDUP(MONTH(A9)/3,0))</f>
        <v/>
      </c>
      <c r="E9" s="22" t="n"/>
      <c r="F9" s="22" t="n"/>
      <c r="G9" s="41" t="n"/>
      <c r="H9" s="42" t="n"/>
      <c r="I9" s="42" t="n"/>
      <c r="J9" s="42" t="n"/>
      <c r="K9" s="42" t="n"/>
      <c r="L9" s="42" t="n"/>
      <c r="M9" s="23">
        <f>IF(AND(A9&lt;&gt;"",G9&lt;&gt;""),G9-A9,"")</f>
        <v/>
      </c>
      <c r="N9" s="22" t="n"/>
    </row>
    <row r="10">
      <c r="A10" s="34" t="n"/>
      <c r="B10" s="35">
        <f>IF(A10="","",YEAR(A10))</f>
        <v/>
      </c>
      <c r="C10" s="36">
        <f>IF(A10="","",MONTH(A10))</f>
        <v/>
      </c>
      <c r="D10" s="37">
        <f>IF(A10="","","Q"&amp;ROUNDUP(MONTH(A10)/3,0))</f>
        <v/>
      </c>
      <c r="E10" s="18" t="n"/>
      <c r="F10" s="18" t="n"/>
      <c r="G10" s="34" t="n"/>
      <c r="H10" s="38" t="n"/>
      <c r="I10" s="38" t="n"/>
      <c r="J10" s="38" t="n"/>
      <c r="K10" s="38" t="n"/>
      <c r="L10" s="38" t="n"/>
      <c r="M10" s="19">
        <f>IF(AND(A10&lt;&gt;"",G10&lt;&gt;""),G10-A10,"")</f>
        <v/>
      </c>
      <c r="N10" s="18" t="n"/>
    </row>
    <row r="11">
      <c r="A11" s="41" t="n"/>
      <c r="B11" s="35">
        <f>IF(A11="","",YEAR(A11))</f>
        <v/>
      </c>
      <c r="C11" s="36">
        <f>IF(A11="","",MONTH(A11))</f>
        <v/>
      </c>
      <c r="D11" s="37">
        <f>IF(A11="","","Q"&amp;ROUNDUP(MONTH(A11)/3,0))</f>
        <v/>
      </c>
      <c r="E11" s="22" t="n"/>
      <c r="F11" s="22" t="n"/>
      <c r="G11" s="41" t="n"/>
      <c r="H11" s="42" t="n"/>
      <c r="I11" s="42" t="n"/>
      <c r="J11" s="42" t="n"/>
      <c r="K11" s="42" t="n"/>
      <c r="L11" s="42" t="n"/>
      <c r="M11" s="23">
        <f>IF(AND(A11&lt;&gt;"",G11&lt;&gt;""),G11-A11,"")</f>
        <v/>
      </c>
      <c r="N11" s="22" t="n"/>
    </row>
    <row r="12">
      <c r="A12" s="34" t="n"/>
      <c r="B12" s="35">
        <f>IF(A12="","",YEAR(A12))</f>
        <v/>
      </c>
      <c r="C12" s="36">
        <f>IF(A12="","",MONTH(A12))</f>
        <v/>
      </c>
      <c r="D12" s="37">
        <f>IF(A12="","","Q"&amp;ROUNDUP(MONTH(A12)/3,0))</f>
        <v/>
      </c>
      <c r="E12" s="18" t="n"/>
      <c r="F12" s="18" t="n"/>
      <c r="G12" s="34" t="n"/>
      <c r="H12" s="38" t="n"/>
      <c r="I12" s="38" t="n"/>
      <c r="J12" s="38" t="n"/>
      <c r="K12" s="38" t="n"/>
      <c r="L12" s="38" t="n"/>
      <c r="M12" s="19">
        <f>IF(AND(A12&lt;&gt;"",G12&lt;&gt;""),G12-A12,"")</f>
        <v/>
      </c>
      <c r="N12" s="18" t="n"/>
    </row>
    <row r="13">
      <c r="A13" s="41" t="n"/>
      <c r="B13" s="35">
        <f>IF(A13="","",YEAR(A13))</f>
        <v/>
      </c>
      <c r="C13" s="36">
        <f>IF(A13="","",MONTH(A13))</f>
        <v/>
      </c>
      <c r="D13" s="37">
        <f>IF(A13="","","Q"&amp;ROUNDUP(MONTH(A13)/3,0))</f>
        <v/>
      </c>
      <c r="E13" s="22" t="n"/>
      <c r="F13" s="22" t="n"/>
      <c r="G13" s="41" t="n"/>
      <c r="H13" s="42" t="n"/>
      <c r="I13" s="42" t="n"/>
      <c r="J13" s="42" t="n"/>
      <c r="K13" s="42" t="n"/>
      <c r="L13" s="42" t="n"/>
      <c r="M13" s="23">
        <f>IF(AND(A13&lt;&gt;"",G13&lt;&gt;""),G13-A13,"")</f>
        <v/>
      </c>
      <c r="N13" s="22" t="n"/>
    </row>
    <row r="14">
      <c r="A14" s="34" t="n"/>
      <c r="B14" s="35">
        <f>IF(A14="","",YEAR(A14))</f>
        <v/>
      </c>
      <c r="C14" s="36">
        <f>IF(A14="","",MONTH(A14))</f>
        <v/>
      </c>
      <c r="D14" s="37">
        <f>IF(A14="","","Q"&amp;ROUNDUP(MONTH(A14)/3,0))</f>
        <v/>
      </c>
      <c r="E14" s="18" t="n"/>
      <c r="F14" s="18" t="n"/>
      <c r="G14" s="34" t="n"/>
      <c r="H14" s="38" t="n"/>
      <c r="I14" s="38" t="n"/>
      <c r="J14" s="38" t="n"/>
      <c r="K14" s="38" t="n"/>
      <c r="L14" s="38" t="n"/>
      <c r="M14" s="19">
        <f>IF(AND(A14&lt;&gt;"",G14&lt;&gt;""),G14-A14,"")</f>
        <v/>
      </c>
      <c r="N14" s="18" t="n"/>
    </row>
    <row r="15">
      <c r="A15" s="41" t="n"/>
      <c r="B15" s="35">
        <f>IF(A15="","",YEAR(A15))</f>
        <v/>
      </c>
      <c r="C15" s="36">
        <f>IF(A15="","",MONTH(A15))</f>
        <v/>
      </c>
      <c r="D15" s="37">
        <f>IF(A15="","","Q"&amp;ROUNDUP(MONTH(A15)/3,0))</f>
        <v/>
      </c>
      <c r="E15" s="22" t="n"/>
      <c r="F15" s="22" t="n"/>
      <c r="G15" s="41" t="n"/>
      <c r="H15" s="42" t="n"/>
      <c r="I15" s="42" t="n"/>
      <c r="J15" s="42" t="n"/>
      <c r="K15" s="42" t="n"/>
      <c r="L15" s="42" t="n"/>
      <c r="M15" s="23">
        <f>IF(AND(A15&lt;&gt;"",G15&lt;&gt;""),G15-A15,"")</f>
        <v/>
      </c>
      <c r="N15" s="22" t="n"/>
    </row>
    <row r="16">
      <c r="A16" s="34" t="n"/>
      <c r="B16" s="35">
        <f>IF(A16="","",YEAR(A16))</f>
        <v/>
      </c>
      <c r="C16" s="36">
        <f>IF(A16="","",MONTH(A16))</f>
        <v/>
      </c>
      <c r="D16" s="37">
        <f>IF(A16="","","Q"&amp;ROUNDUP(MONTH(A16)/3,0))</f>
        <v/>
      </c>
      <c r="E16" s="18" t="n"/>
      <c r="F16" s="18" t="n"/>
      <c r="G16" s="34" t="n"/>
      <c r="H16" s="38" t="n"/>
      <c r="I16" s="38" t="n"/>
      <c r="J16" s="38" t="n"/>
      <c r="K16" s="38" t="n"/>
      <c r="L16" s="38" t="n"/>
      <c r="M16" s="19">
        <f>IF(AND(A16&lt;&gt;"",G16&lt;&gt;""),G16-A16,"")</f>
        <v/>
      </c>
      <c r="N16" s="18" t="n"/>
    </row>
    <row r="17">
      <c r="A17" s="41" t="n"/>
      <c r="B17" s="35">
        <f>IF(A17="","",YEAR(A17))</f>
        <v/>
      </c>
      <c r="C17" s="36">
        <f>IF(A17="","",MONTH(A17))</f>
        <v/>
      </c>
      <c r="D17" s="37">
        <f>IF(A17="","","Q"&amp;ROUNDUP(MONTH(A17)/3,0))</f>
        <v/>
      </c>
      <c r="E17" s="22" t="n"/>
      <c r="F17" s="22" t="n"/>
      <c r="G17" s="41" t="n"/>
      <c r="H17" s="42" t="n"/>
      <c r="I17" s="42" t="n"/>
      <c r="J17" s="42" t="n"/>
      <c r="K17" s="42" t="n"/>
      <c r="L17" s="42" t="n"/>
      <c r="M17" s="23">
        <f>IF(AND(A17&lt;&gt;"",G17&lt;&gt;""),G17-A17,"")</f>
        <v/>
      </c>
      <c r="N17" s="22" t="n"/>
    </row>
    <row r="18">
      <c r="A18" s="34" t="n"/>
      <c r="B18" s="35">
        <f>IF(A18="","",YEAR(A18))</f>
        <v/>
      </c>
      <c r="C18" s="36">
        <f>IF(A18="","",MONTH(A18))</f>
        <v/>
      </c>
      <c r="D18" s="37">
        <f>IF(A18="","","Q"&amp;ROUNDUP(MONTH(A18)/3,0))</f>
        <v/>
      </c>
      <c r="E18" s="18" t="n"/>
      <c r="F18" s="18" t="n"/>
      <c r="G18" s="34" t="n"/>
      <c r="H18" s="38" t="n"/>
      <c r="I18" s="38" t="n"/>
      <c r="J18" s="38" t="n"/>
      <c r="K18" s="38" t="n"/>
      <c r="L18" s="38" t="n"/>
      <c r="M18" s="19">
        <f>IF(AND(A18&lt;&gt;"",G18&lt;&gt;""),G18-A18,"")</f>
        <v/>
      </c>
      <c r="N18" s="18" t="n"/>
    </row>
    <row r="19">
      <c r="A19" s="41" t="n"/>
      <c r="B19" s="35">
        <f>IF(A19="","",YEAR(A19))</f>
        <v/>
      </c>
      <c r="C19" s="36">
        <f>IF(A19="","",MONTH(A19))</f>
        <v/>
      </c>
      <c r="D19" s="37">
        <f>IF(A19="","","Q"&amp;ROUNDUP(MONTH(A19)/3,0))</f>
        <v/>
      </c>
      <c r="E19" s="22" t="n"/>
      <c r="F19" s="22" t="n"/>
      <c r="G19" s="41" t="n"/>
      <c r="H19" s="42" t="n"/>
      <c r="I19" s="42" t="n"/>
      <c r="J19" s="42" t="n"/>
      <c r="K19" s="42" t="n"/>
      <c r="L19" s="42" t="n"/>
      <c r="M19" s="23">
        <f>IF(AND(A19&lt;&gt;"",G19&lt;&gt;""),G19-A19,"")</f>
        <v/>
      </c>
      <c r="N19" s="22" t="n"/>
    </row>
    <row r="20">
      <c r="A20" s="34" t="n"/>
      <c r="B20" s="35">
        <f>IF(A20="","",YEAR(A20))</f>
        <v/>
      </c>
      <c r="C20" s="36">
        <f>IF(A20="","",MONTH(A20))</f>
        <v/>
      </c>
      <c r="D20" s="37">
        <f>IF(A20="","","Q"&amp;ROUNDUP(MONTH(A20)/3,0))</f>
        <v/>
      </c>
      <c r="E20" s="18" t="n"/>
      <c r="F20" s="18" t="n"/>
      <c r="G20" s="34" t="n"/>
      <c r="H20" s="38" t="n"/>
      <c r="I20" s="38" t="n"/>
      <c r="J20" s="38" t="n"/>
      <c r="K20" s="38" t="n"/>
      <c r="L20" s="38" t="n"/>
      <c r="M20" s="19">
        <f>IF(AND(A20&lt;&gt;"",G20&lt;&gt;""),G20-A20,"")</f>
        <v/>
      </c>
      <c r="N20" s="18" t="n"/>
    </row>
    <row r="21">
      <c r="A21" s="41" t="n"/>
      <c r="B21" s="35">
        <f>IF(A21="","",YEAR(A21))</f>
        <v/>
      </c>
      <c r="C21" s="36">
        <f>IF(A21="","",MONTH(A21))</f>
        <v/>
      </c>
      <c r="D21" s="37">
        <f>IF(A21="","","Q"&amp;ROUNDUP(MONTH(A21)/3,0))</f>
        <v/>
      </c>
      <c r="E21" s="22" t="n"/>
      <c r="F21" s="22" t="n"/>
      <c r="G21" s="41" t="n"/>
      <c r="H21" s="42" t="n"/>
      <c r="I21" s="42" t="n"/>
      <c r="J21" s="42" t="n"/>
      <c r="K21" s="42" t="n"/>
      <c r="L21" s="42" t="n"/>
      <c r="M21" s="23">
        <f>IF(AND(A21&lt;&gt;"",G21&lt;&gt;""),G21-A21,"")</f>
        <v/>
      </c>
      <c r="N21" s="22" t="n"/>
    </row>
    <row r="22">
      <c r="A22" s="34" t="n"/>
      <c r="B22" s="35">
        <f>IF(A22="","",YEAR(A22))</f>
        <v/>
      </c>
      <c r="C22" s="36">
        <f>IF(A22="","",MONTH(A22))</f>
        <v/>
      </c>
      <c r="D22" s="37">
        <f>IF(A22="","","Q"&amp;ROUNDUP(MONTH(A22)/3,0))</f>
        <v/>
      </c>
      <c r="E22" s="18" t="n"/>
      <c r="F22" s="18" t="n"/>
      <c r="G22" s="34" t="n"/>
      <c r="H22" s="38" t="n"/>
      <c r="I22" s="38" t="n"/>
      <c r="J22" s="38" t="n"/>
      <c r="K22" s="38" t="n"/>
      <c r="L22" s="38" t="n"/>
      <c r="M22" s="19">
        <f>IF(AND(A22&lt;&gt;"",G22&lt;&gt;""),G22-A22,"")</f>
        <v/>
      </c>
      <c r="N22" s="18" t="n"/>
    </row>
    <row r="23">
      <c r="A23" s="41" t="n"/>
      <c r="B23" s="35">
        <f>IF(A23="","",YEAR(A23))</f>
        <v/>
      </c>
      <c r="C23" s="36">
        <f>IF(A23="","",MONTH(A23))</f>
        <v/>
      </c>
      <c r="D23" s="37">
        <f>IF(A23="","","Q"&amp;ROUNDUP(MONTH(A23)/3,0))</f>
        <v/>
      </c>
      <c r="E23" s="22" t="n"/>
      <c r="F23" s="22" t="n"/>
      <c r="G23" s="41" t="n"/>
      <c r="H23" s="42" t="n"/>
      <c r="I23" s="42" t="n"/>
      <c r="J23" s="42" t="n"/>
      <c r="K23" s="42" t="n"/>
      <c r="L23" s="42" t="n"/>
      <c r="M23" s="23">
        <f>IF(AND(A23&lt;&gt;"",G23&lt;&gt;""),G23-A23,"")</f>
        <v/>
      </c>
      <c r="N23" s="22" t="n"/>
    </row>
    <row r="24">
      <c r="A24" s="34" t="n"/>
      <c r="B24" s="35">
        <f>IF(A24="","",YEAR(A24))</f>
        <v/>
      </c>
      <c r="C24" s="36">
        <f>IF(A24="","",MONTH(A24))</f>
        <v/>
      </c>
      <c r="D24" s="37">
        <f>IF(A24="","","Q"&amp;ROUNDUP(MONTH(A24)/3,0))</f>
        <v/>
      </c>
      <c r="E24" s="18" t="n"/>
      <c r="F24" s="18" t="n"/>
      <c r="G24" s="34" t="n"/>
      <c r="H24" s="38" t="n"/>
      <c r="I24" s="38" t="n"/>
      <c r="J24" s="38" t="n"/>
      <c r="K24" s="38" t="n"/>
      <c r="L24" s="38" t="n"/>
      <c r="M24" s="19">
        <f>IF(AND(A24&lt;&gt;"",G24&lt;&gt;""),G24-A24,"")</f>
        <v/>
      </c>
      <c r="N24" s="18" t="n"/>
    </row>
    <row r="25">
      <c r="A25" s="41" t="n"/>
      <c r="B25" s="35">
        <f>IF(A25="","",YEAR(A25))</f>
        <v/>
      </c>
      <c r="C25" s="36">
        <f>IF(A25="","",MONTH(A25))</f>
        <v/>
      </c>
      <c r="D25" s="37">
        <f>IF(A25="","","Q"&amp;ROUNDUP(MONTH(A25)/3,0))</f>
        <v/>
      </c>
      <c r="E25" s="22" t="n"/>
      <c r="F25" s="22" t="n"/>
      <c r="G25" s="41" t="n"/>
      <c r="H25" s="42" t="n"/>
      <c r="I25" s="42" t="n"/>
      <c r="J25" s="42" t="n"/>
      <c r="K25" s="42" t="n"/>
      <c r="L25" s="42" t="n"/>
      <c r="M25" s="23">
        <f>IF(AND(A25&lt;&gt;"",G25&lt;&gt;""),G25-A25,"")</f>
        <v/>
      </c>
      <c r="N25" s="22" t="n"/>
    </row>
    <row r="26">
      <c r="A26" s="34" t="n"/>
      <c r="B26" s="35">
        <f>IF(A26="","",YEAR(A26))</f>
        <v/>
      </c>
      <c r="C26" s="36">
        <f>IF(A26="","",MONTH(A26))</f>
        <v/>
      </c>
      <c r="D26" s="37">
        <f>IF(A26="","","Q"&amp;ROUNDUP(MONTH(A26)/3,0))</f>
        <v/>
      </c>
      <c r="E26" s="18" t="n"/>
      <c r="F26" s="18" t="n"/>
      <c r="G26" s="34" t="n"/>
      <c r="H26" s="38" t="n"/>
      <c r="I26" s="38" t="n"/>
      <c r="J26" s="38" t="n"/>
      <c r="K26" s="38" t="n"/>
      <c r="L26" s="38" t="n"/>
      <c r="M26" s="19">
        <f>IF(AND(A26&lt;&gt;"",G26&lt;&gt;""),G26-A26,"")</f>
        <v/>
      </c>
      <c r="N26" s="18" t="n"/>
    </row>
    <row r="27">
      <c r="A27" s="41" t="n"/>
      <c r="B27" s="35">
        <f>IF(A27="","",YEAR(A27))</f>
        <v/>
      </c>
      <c r="C27" s="36">
        <f>IF(A27="","",MONTH(A27))</f>
        <v/>
      </c>
      <c r="D27" s="37">
        <f>IF(A27="","","Q"&amp;ROUNDUP(MONTH(A27)/3,0))</f>
        <v/>
      </c>
      <c r="E27" s="22" t="n"/>
      <c r="F27" s="22" t="n"/>
      <c r="G27" s="41" t="n"/>
      <c r="H27" s="42" t="n"/>
      <c r="I27" s="42" t="n"/>
      <c r="J27" s="42" t="n"/>
      <c r="K27" s="42" t="n"/>
      <c r="L27" s="42" t="n"/>
      <c r="M27" s="23">
        <f>IF(AND(A27&lt;&gt;"",G27&lt;&gt;""),G27-A27,"")</f>
        <v/>
      </c>
      <c r="N27" s="22" t="n"/>
    </row>
    <row r="28">
      <c r="A28" s="34" t="n"/>
      <c r="B28" s="35">
        <f>IF(A28="","",YEAR(A28))</f>
        <v/>
      </c>
      <c r="C28" s="36">
        <f>IF(A28="","",MONTH(A28))</f>
        <v/>
      </c>
      <c r="D28" s="37">
        <f>IF(A28="","","Q"&amp;ROUNDUP(MONTH(A28)/3,0))</f>
        <v/>
      </c>
      <c r="E28" s="18" t="n"/>
      <c r="F28" s="18" t="n"/>
      <c r="G28" s="34" t="n"/>
      <c r="H28" s="38" t="n"/>
      <c r="I28" s="38" t="n"/>
      <c r="J28" s="38" t="n"/>
      <c r="K28" s="38" t="n"/>
      <c r="L28" s="38" t="n"/>
      <c r="M28" s="19">
        <f>IF(AND(A28&lt;&gt;"",G28&lt;&gt;""),G28-A28,"")</f>
        <v/>
      </c>
      <c r="N28" s="18" t="n"/>
    </row>
    <row r="29">
      <c r="A29" s="41" t="n"/>
      <c r="B29" s="35">
        <f>IF(A29="","",YEAR(A29))</f>
        <v/>
      </c>
      <c r="C29" s="36">
        <f>IF(A29="","",MONTH(A29))</f>
        <v/>
      </c>
      <c r="D29" s="37">
        <f>IF(A29="","","Q"&amp;ROUNDUP(MONTH(A29)/3,0))</f>
        <v/>
      </c>
      <c r="E29" s="22" t="n"/>
      <c r="F29" s="22" t="n"/>
      <c r="G29" s="41" t="n"/>
      <c r="H29" s="42" t="n"/>
      <c r="I29" s="42" t="n"/>
      <c r="J29" s="42" t="n"/>
      <c r="K29" s="42" t="n"/>
      <c r="L29" s="42" t="n"/>
      <c r="M29" s="23">
        <f>IF(AND(A29&lt;&gt;"",G29&lt;&gt;""),G29-A29,"")</f>
        <v/>
      </c>
      <c r="N29" s="22" t="n"/>
    </row>
    <row r="30">
      <c r="A30" s="34" t="n"/>
      <c r="B30" s="35">
        <f>IF(A30="","",YEAR(A30))</f>
        <v/>
      </c>
      <c r="C30" s="36">
        <f>IF(A30="","",MONTH(A30))</f>
        <v/>
      </c>
      <c r="D30" s="37">
        <f>IF(A30="","","Q"&amp;ROUNDUP(MONTH(A30)/3,0))</f>
        <v/>
      </c>
      <c r="E30" s="18" t="n"/>
      <c r="F30" s="18" t="n"/>
      <c r="G30" s="34" t="n"/>
      <c r="H30" s="38" t="n"/>
      <c r="I30" s="38" t="n"/>
      <c r="J30" s="38" t="n"/>
      <c r="K30" s="38" t="n"/>
      <c r="L30" s="38" t="n"/>
      <c r="M30" s="19">
        <f>IF(AND(A30&lt;&gt;"",G30&lt;&gt;""),G30-A30,"")</f>
        <v/>
      </c>
      <c r="N30" s="18" t="n"/>
    </row>
    <row r="31">
      <c r="A31" s="41" t="n"/>
      <c r="B31" s="35">
        <f>IF(A31="","",YEAR(A31))</f>
        <v/>
      </c>
      <c r="C31" s="36">
        <f>IF(A31="","",MONTH(A31))</f>
        <v/>
      </c>
      <c r="D31" s="37">
        <f>IF(A31="","","Q"&amp;ROUNDUP(MONTH(A31)/3,0))</f>
        <v/>
      </c>
      <c r="E31" s="22" t="n"/>
      <c r="F31" s="22" t="n"/>
      <c r="G31" s="41" t="n"/>
      <c r="H31" s="42" t="n"/>
      <c r="I31" s="42" t="n"/>
      <c r="J31" s="42" t="n"/>
      <c r="K31" s="42" t="n"/>
      <c r="L31" s="42" t="n"/>
      <c r="M31" s="23">
        <f>IF(AND(A31&lt;&gt;"",G31&lt;&gt;""),G31-A31,"")</f>
        <v/>
      </c>
      <c r="N31" s="22" t="n"/>
    </row>
    <row r="32">
      <c r="A32" s="34" t="n"/>
      <c r="B32" s="35">
        <f>IF(A32="","",YEAR(A32))</f>
        <v/>
      </c>
      <c r="C32" s="36">
        <f>IF(A32="","",MONTH(A32))</f>
        <v/>
      </c>
      <c r="D32" s="37">
        <f>IF(A32="","","Q"&amp;ROUNDUP(MONTH(A32)/3,0))</f>
        <v/>
      </c>
      <c r="E32" s="18" t="n"/>
      <c r="F32" s="18" t="n"/>
      <c r="G32" s="34" t="n"/>
      <c r="H32" s="38" t="n"/>
      <c r="I32" s="38" t="n"/>
      <c r="J32" s="38" t="n"/>
      <c r="K32" s="38" t="n"/>
      <c r="L32" s="38" t="n"/>
      <c r="M32" s="19">
        <f>IF(AND(A32&lt;&gt;"",G32&lt;&gt;""),G32-A32,"")</f>
        <v/>
      </c>
      <c r="N32" s="18" t="n"/>
    </row>
    <row r="33">
      <c r="A33" s="41" t="n"/>
      <c r="B33" s="35">
        <f>IF(A33="","",YEAR(A33))</f>
        <v/>
      </c>
      <c r="C33" s="36">
        <f>IF(A33="","",MONTH(A33))</f>
        <v/>
      </c>
      <c r="D33" s="37">
        <f>IF(A33="","","Q"&amp;ROUNDUP(MONTH(A33)/3,0))</f>
        <v/>
      </c>
      <c r="E33" s="22" t="n"/>
      <c r="F33" s="22" t="n"/>
      <c r="G33" s="41" t="n"/>
      <c r="H33" s="42" t="n"/>
      <c r="I33" s="42" t="n"/>
      <c r="J33" s="42" t="n"/>
      <c r="K33" s="42" t="n"/>
      <c r="L33" s="42" t="n"/>
      <c r="M33" s="23">
        <f>IF(AND(A33&lt;&gt;"",G33&lt;&gt;""),G33-A33,"")</f>
        <v/>
      </c>
      <c r="N33" s="22" t="n"/>
    </row>
    <row r="34">
      <c r="A34" s="34" t="n"/>
      <c r="B34" s="35">
        <f>IF(A34="","",YEAR(A34))</f>
        <v/>
      </c>
      <c r="C34" s="36">
        <f>IF(A34="","",MONTH(A34))</f>
        <v/>
      </c>
      <c r="D34" s="37">
        <f>IF(A34="","","Q"&amp;ROUNDUP(MONTH(A34)/3,0))</f>
        <v/>
      </c>
      <c r="E34" s="18" t="n"/>
      <c r="F34" s="18" t="n"/>
      <c r="G34" s="34" t="n"/>
      <c r="H34" s="38" t="n"/>
      <c r="I34" s="38" t="n"/>
      <c r="J34" s="38" t="n"/>
      <c r="K34" s="38" t="n"/>
      <c r="L34" s="38" t="n"/>
      <c r="M34" s="19">
        <f>IF(AND(A34&lt;&gt;"",G34&lt;&gt;""),G34-A34,"")</f>
        <v/>
      </c>
      <c r="N34" s="18" t="n"/>
    </row>
    <row r="35">
      <c r="A35" s="41" t="n"/>
      <c r="B35" s="35">
        <f>IF(A35="","",YEAR(A35))</f>
        <v/>
      </c>
      <c r="C35" s="36">
        <f>IF(A35="","",MONTH(A35))</f>
        <v/>
      </c>
      <c r="D35" s="37">
        <f>IF(A35="","","Q"&amp;ROUNDUP(MONTH(A35)/3,0))</f>
        <v/>
      </c>
      <c r="E35" s="22" t="n"/>
      <c r="F35" s="22" t="n"/>
      <c r="G35" s="41" t="n"/>
      <c r="H35" s="42" t="n"/>
      <c r="I35" s="42" t="n"/>
      <c r="J35" s="42" t="n"/>
      <c r="K35" s="42" t="n"/>
      <c r="L35" s="42" t="n"/>
      <c r="M35" s="23">
        <f>IF(AND(A35&lt;&gt;"",G35&lt;&gt;""),G35-A35,"")</f>
        <v/>
      </c>
      <c r="N35" s="22" t="n"/>
    </row>
    <row r="36">
      <c r="A36" s="34" t="n"/>
      <c r="B36" s="35">
        <f>IF(A36="","",YEAR(A36))</f>
        <v/>
      </c>
      <c r="C36" s="36">
        <f>IF(A36="","",MONTH(A36))</f>
        <v/>
      </c>
      <c r="D36" s="37">
        <f>IF(A36="","","Q"&amp;ROUNDUP(MONTH(A36)/3,0))</f>
        <v/>
      </c>
      <c r="E36" s="18" t="n"/>
      <c r="F36" s="18" t="n"/>
      <c r="G36" s="34" t="n"/>
      <c r="H36" s="38" t="n"/>
      <c r="I36" s="38" t="n"/>
      <c r="J36" s="38" t="n"/>
      <c r="K36" s="38" t="n"/>
      <c r="L36" s="38" t="n"/>
      <c r="M36" s="19">
        <f>IF(AND(A36&lt;&gt;"",G36&lt;&gt;""),G36-A36,"")</f>
        <v/>
      </c>
      <c r="N36" s="18" t="n"/>
    </row>
    <row r="37">
      <c r="A37" s="41" t="n"/>
      <c r="B37" s="35">
        <f>IF(A37="","",YEAR(A37))</f>
        <v/>
      </c>
      <c r="C37" s="36">
        <f>IF(A37="","",MONTH(A37))</f>
        <v/>
      </c>
      <c r="D37" s="37">
        <f>IF(A37="","","Q"&amp;ROUNDUP(MONTH(A37)/3,0))</f>
        <v/>
      </c>
      <c r="E37" s="22" t="n"/>
      <c r="F37" s="22" t="n"/>
      <c r="G37" s="41" t="n"/>
      <c r="H37" s="42" t="n"/>
      <c r="I37" s="42" t="n"/>
      <c r="J37" s="42" t="n"/>
      <c r="K37" s="42" t="n"/>
      <c r="L37" s="42" t="n"/>
      <c r="M37" s="23">
        <f>IF(AND(A37&lt;&gt;"",G37&lt;&gt;""),G37-A37,"")</f>
        <v/>
      </c>
      <c r="N37" s="22" t="n"/>
    </row>
    <row r="38">
      <c r="A38" s="34" t="n"/>
      <c r="B38" s="35">
        <f>IF(A38="","",YEAR(A38))</f>
        <v/>
      </c>
      <c r="C38" s="36">
        <f>IF(A38="","",MONTH(A38))</f>
        <v/>
      </c>
      <c r="D38" s="37">
        <f>IF(A38="","","Q"&amp;ROUNDUP(MONTH(A38)/3,0))</f>
        <v/>
      </c>
      <c r="E38" s="18" t="n"/>
      <c r="F38" s="18" t="n"/>
      <c r="G38" s="34" t="n"/>
      <c r="H38" s="38" t="n"/>
      <c r="I38" s="38" t="n"/>
      <c r="J38" s="38" t="n"/>
      <c r="K38" s="38" t="n"/>
      <c r="L38" s="38" t="n"/>
      <c r="M38" s="19">
        <f>IF(AND(A38&lt;&gt;"",G38&lt;&gt;""),G38-A38,"")</f>
        <v/>
      </c>
      <c r="N38" s="18" t="n"/>
    </row>
    <row r="39">
      <c r="A39" s="41" t="n"/>
      <c r="B39" s="35">
        <f>IF(A39="","",YEAR(A39))</f>
        <v/>
      </c>
      <c r="C39" s="36">
        <f>IF(A39="","",MONTH(A39))</f>
        <v/>
      </c>
      <c r="D39" s="37">
        <f>IF(A39="","","Q"&amp;ROUNDUP(MONTH(A39)/3,0))</f>
        <v/>
      </c>
      <c r="E39" s="22" t="n"/>
      <c r="F39" s="22" t="n"/>
      <c r="G39" s="41" t="n"/>
      <c r="H39" s="42" t="n"/>
      <c r="I39" s="42" t="n"/>
      <c r="J39" s="42" t="n"/>
      <c r="K39" s="42" t="n"/>
      <c r="L39" s="42" t="n"/>
      <c r="M39" s="23">
        <f>IF(AND(A39&lt;&gt;"",G39&lt;&gt;""),G39-A39,"")</f>
        <v/>
      </c>
      <c r="N39" s="22" t="n"/>
    </row>
    <row r="40">
      <c r="A40" s="34" t="n"/>
      <c r="B40" s="35">
        <f>IF(A40="","",YEAR(A40))</f>
        <v/>
      </c>
      <c r="C40" s="36">
        <f>IF(A40="","",MONTH(A40))</f>
        <v/>
      </c>
      <c r="D40" s="37">
        <f>IF(A40="","","Q"&amp;ROUNDUP(MONTH(A40)/3,0))</f>
        <v/>
      </c>
      <c r="E40" s="18" t="n"/>
      <c r="F40" s="18" t="n"/>
      <c r="G40" s="34" t="n"/>
      <c r="H40" s="38" t="n"/>
      <c r="I40" s="38" t="n"/>
      <c r="J40" s="38" t="n"/>
      <c r="K40" s="38" t="n"/>
      <c r="L40" s="38" t="n"/>
      <c r="M40" s="19">
        <f>IF(AND(A40&lt;&gt;"",G40&lt;&gt;""),G40-A40,"")</f>
        <v/>
      </c>
      <c r="N40" s="18" t="n"/>
    </row>
    <row r="41">
      <c r="A41" s="41" t="n"/>
      <c r="B41" s="35">
        <f>IF(A41="","",YEAR(A41))</f>
        <v/>
      </c>
      <c r="C41" s="36">
        <f>IF(A41="","",MONTH(A41))</f>
        <v/>
      </c>
      <c r="D41" s="37">
        <f>IF(A41="","","Q"&amp;ROUNDUP(MONTH(A41)/3,0))</f>
        <v/>
      </c>
      <c r="E41" s="22" t="n"/>
      <c r="F41" s="22" t="n"/>
      <c r="G41" s="41" t="n"/>
      <c r="H41" s="42" t="n"/>
      <c r="I41" s="42" t="n"/>
      <c r="J41" s="42" t="n"/>
      <c r="K41" s="42" t="n"/>
      <c r="L41" s="42" t="n"/>
      <c r="M41" s="23">
        <f>IF(AND(A41&lt;&gt;"",G41&lt;&gt;""),G41-A41,"")</f>
        <v/>
      </c>
      <c r="N41" s="22" t="n"/>
    </row>
    <row r="42">
      <c r="A42" s="34" t="n"/>
      <c r="B42" s="35">
        <f>IF(A42="","",YEAR(A42))</f>
        <v/>
      </c>
      <c r="C42" s="36">
        <f>IF(A42="","",MONTH(A42))</f>
        <v/>
      </c>
      <c r="D42" s="37">
        <f>IF(A42="","","Q"&amp;ROUNDUP(MONTH(A42)/3,0))</f>
        <v/>
      </c>
      <c r="E42" s="18" t="n"/>
      <c r="F42" s="18" t="n"/>
      <c r="G42" s="34" t="n"/>
      <c r="H42" s="38" t="n"/>
      <c r="I42" s="38" t="n"/>
      <c r="J42" s="38" t="n"/>
      <c r="K42" s="38" t="n"/>
      <c r="L42" s="38" t="n"/>
      <c r="M42" s="19">
        <f>IF(AND(A42&lt;&gt;"",G42&lt;&gt;""),G42-A42,"")</f>
        <v/>
      </c>
      <c r="N42" s="18" t="n"/>
    </row>
    <row r="43">
      <c r="A43" s="41" t="n"/>
      <c r="B43" s="35">
        <f>IF(A43="","",YEAR(A43))</f>
        <v/>
      </c>
      <c r="C43" s="36">
        <f>IF(A43="","",MONTH(A43))</f>
        <v/>
      </c>
      <c r="D43" s="37">
        <f>IF(A43="","","Q"&amp;ROUNDUP(MONTH(A43)/3,0))</f>
        <v/>
      </c>
      <c r="E43" s="22" t="n"/>
      <c r="F43" s="22" t="n"/>
      <c r="G43" s="41" t="n"/>
      <c r="H43" s="42" t="n"/>
      <c r="I43" s="42" t="n"/>
      <c r="J43" s="42" t="n"/>
      <c r="K43" s="42" t="n"/>
      <c r="L43" s="42" t="n"/>
      <c r="M43" s="23">
        <f>IF(AND(A43&lt;&gt;"",G43&lt;&gt;""),G43-A43,"")</f>
        <v/>
      </c>
      <c r="N43" s="22" t="n"/>
    </row>
    <row r="44">
      <c r="A44" s="34" t="n"/>
      <c r="B44" s="35">
        <f>IF(A44="","",YEAR(A44))</f>
        <v/>
      </c>
      <c r="C44" s="36">
        <f>IF(A44="","",MONTH(A44))</f>
        <v/>
      </c>
      <c r="D44" s="37">
        <f>IF(A44="","","Q"&amp;ROUNDUP(MONTH(A44)/3,0))</f>
        <v/>
      </c>
      <c r="E44" s="18" t="n"/>
      <c r="F44" s="18" t="n"/>
      <c r="G44" s="34" t="n"/>
      <c r="H44" s="38" t="n"/>
      <c r="I44" s="38" t="n"/>
      <c r="J44" s="38" t="n"/>
      <c r="K44" s="38" t="n"/>
      <c r="L44" s="38" t="n"/>
      <c r="M44" s="19">
        <f>IF(AND(A44&lt;&gt;"",G44&lt;&gt;""),G44-A44,"")</f>
        <v/>
      </c>
      <c r="N44" s="18" t="n"/>
    </row>
    <row r="45">
      <c r="A45" s="41" t="n"/>
      <c r="B45" s="35">
        <f>IF(A45="","",YEAR(A45))</f>
        <v/>
      </c>
      <c r="C45" s="36">
        <f>IF(A45="","",MONTH(A45))</f>
        <v/>
      </c>
      <c r="D45" s="37">
        <f>IF(A45="","","Q"&amp;ROUNDUP(MONTH(A45)/3,0))</f>
        <v/>
      </c>
      <c r="E45" s="22" t="n"/>
      <c r="F45" s="22" t="n"/>
      <c r="G45" s="41" t="n"/>
      <c r="H45" s="42" t="n"/>
      <c r="I45" s="42" t="n"/>
      <c r="J45" s="42" t="n"/>
      <c r="K45" s="42" t="n"/>
      <c r="L45" s="42" t="n"/>
      <c r="M45" s="23">
        <f>IF(AND(A45&lt;&gt;"",G45&lt;&gt;""),G45-A45,"")</f>
        <v/>
      </c>
      <c r="N45" s="22" t="n"/>
    </row>
    <row r="46">
      <c r="A46" s="34" t="n"/>
      <c r="B46" s="35">
        <f>IF(A46="","",YEAR(A46))</f>
        <v/>
      </c>
      <c r="C46" s="36">
        <f>IF(A46="","",MONTH(A46))</f>
        <v/>
      </c>
      <c r="D46" s="37">
        <f>IF(A46="","","Q"&amp;ROUNDUP(MONTH(A46)/3,0))</f>
        <v/>
      </c>
      <c r="E46" s="18" t="n"/>
      <c r="F46" s="18" t="n"/>
      <c r="G46" s="34" t="n"/>
      <c r="H46" s="38" t="n"/>
      <c r="I46" s="38" t="n"/>
      <c r="J46" s="38" t="n"/>
      <c r="K46" s="38" t="n"/>
      <c r="L46" s="38" t="n"/>
      <c r="M46" s="19">
        <f>IF(AND(A46&lt;&gt;"",G46&lt;&gt;""),G46-A46,"")</f>
        <v/>
      </c>
      <c r="N46" s="18" t="n"/>
    </row>
    <row r="47">
      <c r="A47" s="41" t="n"/>
      <c r="B47" s="35">
        <f>IF(A47="","",YEAR(A47))</f>
        <v/>
      </c>
      <c r="C47" s="36">
        <f>IF(A47="","",MONTH(A47))</f>
        <v/>
      </c>
      <c r="D47" s="37">
        <f>IF(A47="","","Q"&amp;ROUNDUP(MONTH(A47)/3,0))</f>
        <v/>
      </c>
      <c r="E47" s="22" t="n"/>
      <c r="F47" s="22" t="n"/>
      <c r="G47" s="41" t="n"/>
      <c r="H47" s="42" t="n"/>
      <c r="I47" s="42" t="n"/>
      <c r="J47" s="42" t="n"/>
      <c r="K47" s="42" t="n"/>
      <c r="L47" s="42" t="n"/>
      <c r="M47" s="23">
        <f>IF(AND(A47&lt;&gt;"",G47&lt;&gt;""),G47-A47,"")</f>
        <v/>
      </c>
      <c r="N47" s="22" t="n"/>
    </row>
    <row r="48">
      <c r="A48" s="34" t="n"/>
      <c r="B48" s="35">
        <f>IF(A48="","",YEAR(A48))</f>
        <v/>
      </c>
      <c r="C48" s="36">
        <f>IF(A48="","",MONTH(A48))</f>
        <v/>
      </c>
      <c r="D48" s="37">
        <f>IF(A48="","","Q"&amp;ROUNDUP(MONTH(A48)/3,0))</f>
        <v/>
      </c>
      <c r="E48" s="18" t="n"/>
      <c r="F48" s="18" t="n"/>
      <c r="G48" s="34" t="n"/>
      <c r="H48" s="38" t="n"/>
      <c r="I48" s="38" t="n"/>
      <c r="J48" s="38" t="n"/>
      <c r="K48" s="38" t="n"/>
      <c r="L48" s="38" t="n"/>
      <c r="M48" s="19">
        <f>IF(AND(A48&lt;&gt;"",G48&lt;&gt;""),G48-A48,"")</f>
        <v/>
      </c>
      <c r="N48" s="18" t="n"/>
    </row>
    <row r="49">
      <c r="A49" s="41" t="n"/>
      <c r="B49" s="35">
        <f>IF(A49="","",YEAR(A49))</f>
        <v/>
      </c>
      <c r="C49" s="36">
        <f>IF(A49="","",MONTH(A49))</f>
        <v/>
      </c>
      <c r="D49" s="37">
        <f>IF(A49="","","Q"&amp;ROUNDUP(MONTH(A49)/3,0))</f>
        <v/>
      </c>
      <c r="E49" s="22" t="n"/>
      <c r="F49" s="22" t="n"/>
      <c r="G49" s="41" t="n"/>
      <c r="H49" s="42" t="n"/>
      <c r="I49" s="42" t="n"/>
      <c r="J49" s="42" t="n"/>
      <c r="K49" s="42" t="n"/>
      <c r="L49" s="42" t="n"/>
      <c r="M49" s="23">
        <f>IF(AND(A49&lt;&gt;"",G49&lt;&gt;""),G49-A49,"")</f>
        <v/>
      </c>
      <c r="N49" s="22" t="n"/>
    </row>
    <row r="50">
      <c r="A50" s="34" t="n"/>
      <c r="B50" s="35">
        <f>IF(A50="","",YEAR(A50))</f>
        <v/>
      </c>
      <c r="C50" s="36">
        <f>IF(A50="","",MONTH(A50))</f>
        <v/>
      </c>
      <c r="D50" s="37">
        <f>IF(A50="","","Q"&amp;ROUNDUP(MONTH(A50)/3,0))</f>
        <v/>
      </c>
      <c r="E50" s="18" t="n"/>
      <c r="F50" s="18" t="n"/>
      <c r="G50" s="34" t="n"/>
      <c r="H50" s="38" t="n"/>
      <c r="I50" s="38" t="n"/>
      <c r="J50" s="38" t="n"/>
      <c r="K50" s="38" t="n"/>
      <c r="L50" s="38" t="n"/>
      <c r="M50" s="19">
        <f>IF(AND(A50&lt;&gt;"",G50&lt;&gt;""),G50-A50,"")</f>
        <v/>
      </c>
      <c r="N50" s="18" t="n"/>
    </row>
    <row r="51">
      <c r="A51" s="41" t="n"/>
      <c r="B51" s="35">
        <f>IF(A51="","",YEAR(A51))</f>
        <v/>
      </c>
      <c r="C51" s="36">
        <f>IF(A51="","",MONTH(A51))</f>
        <v/>
      </c>
      <c r="D51" s="37">
        <f>IF(A51="","","Q"&amp;ROUNDUP(MONTH(A51)/3,0))</f>
        <v/>
      </c>
      <c r="E51" s="22" t="n"/>
      <c r="F51" s="22" t="n"/>
      <c r="G51" s="41" t="n"/>
      <c r="H51" s="42" t="n"/>
      <c r="I51" s="42" t="n"/>
      <c r="J51" s="42" t="n"/>
      <c r="K51" s="42" t="n"/>
      <c r="L51" s="42" t="n"/>
      <c r="M51" s="23">
        <f>IF(AND(A51&lt;&gt;"",G51&lt;&gt;""),G51-A51,"")</f>
        <v/>
      </c>
      <c r="N51" s="22" t="n"/>
    </row>
    <row r="52">
      <c r="A52" s="34" t="n"/>
      <c r="B52" s="35">
        <f>IF(A52="","",YEAR(A52))</f>
        <v/>
      </c>
      <c r="C52" s="36">
        <f>IF(A52="","",MONTH(A52))</f>
        <v/>
      </c>
      <c r="D52" s="37">
        <f>IF(A52="","","Q"&amp;ROUNDUP(MONTH(A52)/3,0))</f>
        <v/>
      </c>
      <c r="E52" s="18" t="n"/>
      <c r="F52" s="18" t="n"/>
      <c r="G52" s="34" t="n"/>
      <c r="H52" s="38" t="n"/>
      <c r="I52" s="38" t="n"/>
      <c r="J52" s="38" t="n"/>
      <c r="K52" s="38" t="n"/>
      <c r="L52" s="38" t="n"/>
      <c r="M52" s="19">
        <f>IF(AND(A52&lt;&gt;"",G52&lt;&gt;""),G52-A52,"")</f>
        <v/>
      </c>
      <c r="N52" s="18" t="n"/>
    </row>
    <row r="53">
      <c r="A53" s="41" t="n"/>
      <c r="B53" s="35">
        <f>IF(A53="","",YEAR(A53))</f>
        <v/>
      </c>
      <c r="C53" s="36">
        <f>IF(A53="","",MONTH(A53))</f>
        <v/>
      </c>
      <c r="D53" s="37">
        <f>IF(A53="","","Q"&amp;ROUNDUP(MONTH(A53)/3,0))</f>
        <v/>
      </c>
      <c r="E53" s="22" t="n"/>
      <c r="F53" s="22" t="n"/>
      <c r="G53" s="41" t="n"/>
      <c r="H53" s="42" t="n"/>
      <c r="I53" s="42" t="n"/>
      <c r="J53" s="42" t="n"/>
      <c r="K53" s="42" t="n"/>
      <c r="L53" s="42" t="n"/>
      <c r="M53" s="23">
        <f>IF(AND(A53&lt;&gt;"",G53&lt;&gt;""),G53-A53,"")</f>
        <v/>
      </c>
      <c r="N53" s="22" t="n"/>
    </row>
    <row r="54">
      <c r="A54" s="34" t="n"/>
      <c r="B54" s="35">
        <f>IF(A54="","",YEAR(A54))</f>
        <v/>
      </c>
      <c r="C54" s="36">
        <f>IF(A54="","",MONTH(A54))</f>
        <v/>
      </c>
      <c r="D54" s="37">
        <f>IF(A54="","","Q"&amp;ROUNDUP(MONTH(A54)/3,0))</f>
        <v/>
      </c>
      <c r="E54" s="18" t="n"/>
      <c r="F54" s="18" t="n"/>
      <c r="G54" s="34" t="n"/>
      <c r="H54" s="38" t="n"/>
      <c r="I54" s="38" t="n"/>
      <c r="J54" s="38" t="n"/>
      <c r="K54" s="38" t="n"/>
      <c r="L54" s="38" t="n"/>
      <c r="M54" s="19">
        <f>IF(AND(A54&lt;&gt;"",G54&lt;&gt;""),G54-A54,"")</f>
        <v/>
      </c>
      <c r="N54" s="18" t="n"/>
    </row>
    <row r="55">
      <c r="A55" s="41" t="n"/>
      <c r="B55" s="35">
        <f>IF(A55="","",YEAR(A55))</f>
        <v/>
      </c>
      <c r="C55" s="36">
        <f>IF(A55="","",MONTH(A55))</f>
        <v/>
      </c>
      <c r="D55" s="37">
        <f>IF(A55="","","Q"&amp;ROUNDUP(MONTH(A55)/3,0))</f>
        <v/>
      </c>
      <c r="E55" s="22" t="n"/>
      <c r="F55" s="22" t="n"/>
      <c r="G55" s="41" t="n"/>
      <c r="H55" s="42" t="n"/>
      <c r="I55" s="42" t="n"/>
      <c r="J55" s="42" t="n"/>
      <c r="K55" s="42" t="n"/>
      <c r="L55" s="42" t="n"/>
      <c r="M55" s="23">
        <f>IF(AND(A55&lt;&gt;"",G55&lt;&gt;""),G55-A55,"")</f>
        <v/>
      </c>
      <c r="N55" s="22" t="n"/>
    </row>
    <row r="56">
      <c r="A56" s="34" t="n"/>
      <c r="B56" s="35">
        <f>IF(A56="","",YEAR(A56))</f>
        <v/>
      </c>
      <c r="C56" s="36">
        <f>IF(A56="","",MONTH(A56))</f>
        <v/>
      </c>
      <c r="D56" s="37">
        <f>IF(A56="","","Q"&amp;ROUNDUP(MONTH(A56)/3,0))</f>
        <v/>
      </c>
      <c r="E56" s="18" t="n"/>
      <c r="F56" s="18" t="n"/>
      <c r="G56" s="34" t="n"/>
      <c r="H56" s="38" t="n"/>
      <c r="I56" s="38" t="n"/>
      <c r="J56" s="38" t="n"/>
      <c r="K56" s="38" t="n"/>
      <c r="L56" s="38" t="n"/>
      <c r="M56" s="19">
        <f>IF(AND(A56&lt;&gt;"",G56&lt;&gt;""),G56-A56,"")</f>
        <v/>
      </c>
      <c r="N56" s="18" t="n"/>
    </row>
    <row r="57">
      <c r="A57" s="41" t="n"/>
      <c r="B57" s="35">
        <f>IF(A57="","",YEAR(A57))</f>
        <v/>
      </c>
      <c r="C57" s="36">
        <f>IF(A57="","",MONTH(A57))</f>
        <v/>
      </c>
      <c r="D57" s="37">
        <f>IF(A57="","","Q"&amp;ROUNDUP(MONTH(A57)/3,0))</f>
        <v/>
      </c>
      <c r="E57" s="22" t="n"/>
      <c r="F57" s="22" t="n"/>
      <c r="G57" s="41" t="n"/>
      <c r="H57" s="42" t="n"/>
      <c r="I57" s="42" t="n"/>
      <c r="J57" s="42" t="n"/>
      <c r="K57" s="42" t="n"/>
      <c r="L57" s="42" t="n"/>
      <c r="M57" s="23">
        <f>IF(AND(A57&lt;&gt;"",G57&lt;&gt;""),G57-A57,"")</f>
        <v/>
      </c>
      <c r="N57" s="22" t="n"/>
    </row>
    <row r="58">
      <c r="A58" s="34" t="n"/>
      <c r="B58" s="35">
        <f>IF(A58="","",YEAR(A58))</f>
        <v/>
      </c>
      <c r="C58" s="36">
        <f>IF(A58="","",MONTH(A58))</f>
        <v/>
      </c>
      <c r="D58" s="37">
        <f>IF(A58="","","Q"&amp;ROUNDUP(MONTH(A58)/3,0))</f>
        <v/>
      </c>
      <c r="E58" s="18" t="n"/>
      <c r="F58" s="18" t="n"/>
      <c r="G58" s="34" t="n"/>
      <c r="H58" s="38" t="n"/>
      <c r="I58" s="38" t="n"/>
      <c r="J58" s="38" t="n"/>
      <c r="K58" s="38" t="n"/>
      <c r="L58" s="38" t="n"/>
      <c r="M58" s="19">
        <f>IF(AND(A58&lt;&gt;"",G58&lt;&gt;""),G58-A58,"")</f>
        <v/>
      </c>
      <c r="N58" s="18" t="n"/>
    </row>
    <row r="59">
      <c r="A59" s="41" t="n"/>
      <c r="B59" s="35">
        <f>IF(A59="","",YEAR(A59))</f>
        <v/>
      </c>
      <c r="C59" s="36">
        <f>IF(A59="","",MONTH(A59))</f>
        <v/>
      </c>
      <c r="D59" s="37">
        <f>IF(A59="","","Q"&amp;ROUNDUP(MONTH(A59)/3,0))</f>
        <v/>
      </c>
      <c r="E59" s="22" t="n"/>
      <c r="F59" s="22" t="n"/>
      <c r="G59" s="41" t="n"/>
      <c r="H59" s="42" t="n"/>
      <c r="I59" s="42" t="n"/>
      <c r="J59" s="42" t="n"/>
      <c r="K59" s="42" t="n"/>
      <c r="L59" s="42" t="n"/>
      <c r="M59" s="23">
        <f>IF(AND(A59&lt;&gt;"",G59&lt;&gt;""),G59-A59,"")</f>
        <v/>
      </c>
      <c r="N59" s="22" t="n"/>
    </row>
    <row r="60">
      <c r="A60" s="34" t="n"/>
      <c r="B60" s="35">
        <f>IF(A60="","",YEAR(A60))</f>
        <v/>
      </c>
      <c r="C60" s="36">
        <f>IF(A60="","",MONTH(A60))</f>
        <v/>
      </c>
      <c r="D60" s="37">
        <f>IF(A60="","","Q"&amp;ROUNDUP(MONTH(A60)/3,0))</f>
        <v/>
      </c>
      <c r="E60" s="18" t="n"/>
      <c r="F60" s="18" t="n"/>
      <c r="G60" s="34" t="n"/>
      <c r="H60" s="38" t="n"/>
      <c r="I60" s="38" t="n"/>
      <c r="J60" s="38" t="n"/>
      <c r="K60" s="38" t="n"/>
      <c r="L60" s="38" t="n"/>
      <c r="M60" s="19">
        <f>IF(AND(A60&lt;&gt;"",G60&lt;&gt;""),G60-A60,"")</f>
        <v/>
      </c>
      <c r="N60" s="18" t="n"/>
    </row>
    <row r="61">
      <c r="A61" s="41" t="n"/>
      <c r="B61" s="35">
        <f>IF(A61="","",YEAR(A61))</f>
        <v/>
      </c>
      <c r="C61" s="36">
        <f>IF(A61="","",MONTH(A61))</f>
        <v/>
      </c>
      <c r="D61" s="37">
        <f>IF(A61="","","Q"&amp;ROUNDUP(MONTH(A61)/3,0))</f>
        <v/>
      </c>
      <c r="E61" s="22" t="n"/>
      <c r="F61" s="22" t="n"/>
      <c r="G61" s="41" t="n"/>
      <c r="H61" s="42" t="n"/>
      <c r="I61" s="42" t="n"/>
      <c r="J61" s="42" t="n"/>
      <c r="K61" s="42" t="n"/>
      <c r="L61" s="42" t="n"/>
      <c r="M61" s="23">
        <f>IF(AND(A61&lt;&gt;"",G61&lt;&gt;""),G61-A61,"")</f>
        <v/>
      </c>
      <c r="N61" s="22" t="n"/>
    </row>
    <row r="62">
      <c r="A62" s="34" t="n"/>
      <c r="B62" s="35">
        <f>IF(A62="","",YEAR(A62))</f>
        <v/>
      </c>
      <c r="C62" s="36">
        <f>IF(A62="","",MONTH(A62))</f>
        <v/>
      </c>
      <c r="D62" s="37">
        <f>IF(A62="","","Q"&amp;ROUNDUP(MONTH(A62)/3,0))</f>
        <v/>
      </c>
      <c r="E62" s="18" t="n"/>
      <c r="F62" s="18" t="n"/>
      <c r="G62" s="34" t="n"/>
      <c r="H62" s="38" t="n"/>
      <c r="I62" s="38" t="n"/>
      <c r="J62" s="38" t="n"/>
      <c r="K62" s="38" t="n"/>
      <c r="L62" s="38" t="n"/>
      <c r="M62" s="19">
        <f>IF(AND(A62&lt;&gt;"",G62&lt;&gt;""),G62-A62,"")</f>
        <v/>
      </c>
      <c r="N62" s="18" t="n"/>
    </row>
    <row r="63">
      <c r="A63" s="41" t="n"/>
      <c r="B63" s="35">
        <f>IF(A63="","",YEAR(A63))</f>
        <v/>
      </c>
      <c r="C63" s="36">
        <f>IF(A63="","",MONTH(A63))</f>
        <v/>
      </c>
      <c r="D63" s="37">
        <f>IF(A63="","","Q"&amp;ROUNDUP(MONTH(A63)/3,0))</f>
        <v/>
      </c>
      <c r="E63" s="22" t="n"/>
      <c r="F63" s="22" t="n"/>
      <c r="G63" s="41" t="n"/>
      <c r="H63" s="42" t="n"/>
      <c r="I63" s="42" t="n"/>
      <c r="J63" s="42" t="n"/>
      <c r="K63" s="42" t="n"/>
      <c r="L63" s="42" t="n"/>
      <c r="M63" s="23">
        <f>IF(AND(A63&lt;&gt;"",G63&lt;&gt;""),G63-A63,"")</f>
        <v/>
      </c>
      <c r="N63" s="22" t="n"/>
    </row>
    <row r="64">
      <c r="A64" s="34" t="n"/>
      <c r="B64" s="35">
        <f>IF(A64="","",YEAR(A64))</f>
        <v/>
      </c>
      <c r="C64" s="36">
        <f>IF(A64="","",MONTH(A64))</f>
        <v/>
      </c>
      <c r="D64" s="37">
        <f>IF(A64="","","Q"&amp;ROUNDUP(MONTH(A64)/3,0))</f>
        <v/>
      </c>
      <c r="E64" s="18" t="n"/>
      <c r="F64" s="18" t="n"/>
      <c r="G64" s="34" t="n"/>
      <c r="H64" s="38" t="n"/>
      <c r="I64" s="38" t="n"/>
      <c r="J64" s="38" t="n"/>
      <c r="K64" s="38" t="n"/>
      <c r="L64" s="38" t="n"/>
      <c r="M64" s="19">
        <f>IF(AND(A64&lt;&gt;"",G64&lt;&gt;""),G64-A64,"")</f>
        <v/>
      </c>
      <c r="N64" s="18" t="n"/>
    </row>
    <row r="65">
      <c r="A65" s="41" t="n"/>
      <c r="B65" s="35">
        <f>IF(A65="","",YEAR(A65))</f>
        <v/>
      </c>
      <c r="C65" s="36">
        <f>IF(A65="","",MONTH(A65))</f>
        <v/>
      </c>
      <c r="D65" s="37">
        <f>IF(A65="","","Q"&amp;ROUNDUP(MONTH(A65)/3,0))</f>
        <v/>
      </c>
      <c r="E65" s="22" t="n"/>
      <c r="F65" s="22" t="n"/>
      <c r="G65" s="41" t="n"/>
      <c r="H65" s="42" t="n"/>
      <c r="I65" s="42" t="n"/>
      <c r="J65" s="42" t="n"/>
      <c r="K65" s="42" t="n"/>
      <c r="L65" s="42" t="n"/>
      <c r="M65" s="23">
        <f>IF(AND(A65&lt;&gt;"",G65&lt;&gt;""),G65-A65,"")</f>
        <v/>
      </c>
      <c r="N65" s="22" t="n"/>
    </row>
    <row r="66">
      <c r="A66" s="34" t="n"/>
      <c r="B66" s="35">
        <f>IF(A66="","",YEAR(A66))</f>
        <v/>
      </c>
      <c r="C66" s="36">
        <f>IF(A66="","",MONTH(A66))</f>
        <v/>
      </c>
      <c r="D66" s="37">
        <f>IF(A66="","","Q"&amp;ROUNDUP(MONTH(A66)/3,0))</f>
        <v/>
      </c>
      <c r="E66" s="18" t="n"/>
      <c r="F66" s="18" t="n"/>
      <c r="G66" s="34" t="n"/>
      <c r="H66" s="38" t="n"/>
      <c r="I66" s="38" t="n"/>
      <c r="J66" s="38" t="n"/>
      <c r="K66" s="38" t="n"/>
      <c r="L66" s="38" t="n"/>
      <c r="M66" s="19">
        <f>IF(AND(A66&lt;&gt;"",G66&lt;&gt;""),G66-A66,"")</f>
        <v/>
      </c>
      <c r="N66" s="18" t="n"/>
    </row>
    <row r="67">
      <c r="A67" s="41" t="n"/>
      <c r="B67" s="35">
        <f>IF(A67="","",YEAR(A67))</f>
        <v/>
      </c>
      <c r="C67" s="36">
        <f>IF(A67="","",MONTH(A67))</f>
        <v/>
      </c>
      <c r="D67" s="37">
        <f>IF(A67="","","Q"&amp;ROUNDUP(MONTH(A67)/3,0))</f>
        <v/>
      </c>
      <c r="E67" s="22" t="n"/>
      <c r="F67" s="22" t="n"/>
      <c r="G67" s="41" t="n"/>
      <c r="H67" s="42" t="n"/>
      <c r="I67" s="42" t="n"/>
      <c r="J67" s="42" t="n"/>
      <c r="K67" s="42" t="n"/>
      <c r="L67" s="42" t="n"/>
      <c r="M67" s="23">
        <f>IF(AND(A67&lt;&gt;"",G67&lt;&gt;""),G67-A67,"")</f>
        <v/>
      </c>
      <c r="N67" s="22" t="n"/>
    </row>
    <row r="68">
      <c r="A68" s="34" t="n"/>
      <c r="B68" s="35">
        <f>IF(A68="","",YEAR(A68))</f>
        <v/>
      </c>
      <c r="C68" s="36">
        <f>IF(A68="","",MONTH(A68))</f>
        <v/>
      </c>
      <c r="D68" s="37">
        <f>IF(A68="","","Q"&amp;ROUNDUP(MONTH(A68)/3,0))</f>
        <v/>
      </c>
      <c r="E68" s="18" t="n"/>
      <c r="F68" s="18" t="n"/>
      <c r="G68" s="34" t="n"/>
      <c r="H68" s="38" t="n"/>
      <c r="I68" s="38" t="n"/>
      <c r="J68" s="38" t="n"/>
      <c r="K68" s="38" t="n"/>
      <c r="L68" s="38" t="n"/>
      <c r="M68" s="19">
        <f>IF(AND(A68&lt;&gt;"",G68&lt;&gt;""),G68-A68,"")</f>
        <v/>
      </c>
      <c r="N68" s="18" t="n"/>
    </row>
    <row r="69">
      <c r="A69" s="41" t="n"/>
      <c r="B69" s="35">
        <f>IF(A69="","",YEAR(A69))</f>
        <v/>
      </c>
      <c r="C69" s="36">
        <f>IF(A69="","",MONTH(A69))</f>
        <v/>
      </c>
      <c r="D69" s="37">
        <f>IF(A69="","","Q"&amp;ROUNDUP(MONTH(A69)/3,0))</f>
        <v/>
      </c>
      <c r="E69" s="22" t="n"/>
      <c r="F69" s="22" t="n"/>
      <c r="G69" s="41" t="n"/>
      <c r="H69" s="42" t="n"/>
      <c r="I69" s="42" t="n"/>
      <c r="J69" s="42" t="n"/>
      <c r="K69" s="42" t="n"/>
      <c r="L69" s="42" t="n"/>
      <c r="M69" s="23">
        <f>IF(AND(A69&lt;&gt;"",G69&lt;&gt;""),G69-A69,"")</f>
        <v/>
      </c>
      <c r="N69" s="22" t="n"/>
    </row>
    <row r="70">
      <c r="A70" s="34" t="n"/>
      <c r="B70" s="35">
        <f>IF(A70="","",YEAR(A70))</f>
        <v/>
      </c>
      <c r="C70" s="36">
        <f>IF(A70="","",MONTH(A70))</f>
        <v/>
      </c>
      <c r="D70" s="37">
        <f>IF(A70="","","Q"&amp;ROUNDUP(MONTH(A70)/3,0))</f>
        <v/>
      </c>
      <c r="E70" s="18" t="n"/>
      <c r="F70" s="18" t="n"/>
      <c r="G70" s="34" t="n"/>
      <c r="H70" s="38" t="n"/>
      <c r="I70" s="38" t="n"/>
      <c r="J70" s="38" t="n"/>
      <c r="K70" s="38" t="n"/>
      <c r="L70" s="38" t="n"/>
      <c r="M70" s="19">
        <f>IF(AND(A70&lt;&gt;"",G70&lt;&gt;""),G70-A70,"")</f>
        <v/>
      </c>
      <c r="N70" s="18" t="n"/>
    </row>
    <row r="71">
      <c r="A71" s="41" t="n"/>
      <c r="B71" s="35">
        <f>IF(A71="","",YEAR(A71))</f>
        <v/>
      </c>
      <c r="C71" s="36">
        <f>IF(A71="","",MONTH(A71))</f>
        <v/>
      </c>
      <c r="D71" s="37">
        <f>IF(A71="","","Q"&amp;ROUNDUP(MONTH(A71)/3,0))</f>
        <v/>
      </c>
      <c r="E71" s="22" t="n"/>
      <c r="F71" s="22" t="n"/>
      <c r="G71" s="41" t="n"/>
      <c r="H71" s="42" t="n"/>
      <c r="I71" s="42" t="n"/>
      <c r="J71" s="42" t="n"/>
      <c r="K71" s="42" t="n"/>
      <c r="L71" s="42" t="n"/>
      <c r="M71" s="23">
        <f>IF(AND(A71&lt;&gt;"",G71&lt;&gt;""),G71-A71,"")</f>
        <v/>
      </c>
      <c r="N71" s="22" t="n"/>
    </row>
    <row r="72">
      <c r="A72" s="34" t="n"/>
      <c r="B72" s="35">
        <f>IF(A72="","",YEAR(A72))</f>
        <v/>
      </c>
      <c r="C72" s="36">
        <f>IF(A72="","",MONTH(A72))</f>
        <v/>
      </c>
      <c r="D72" s="37">
        <f>IF(A72="","","Q"&amp;ROUNDUP(MONTH(A72)/3,0))</f>
        <v/>
      </c>
      <c r="E72" s="18" t="n"/>
      <c r="F72" s="18" t="n"/>
      <c r="G72" s="34" t="n"/>
      <c r="H72" s="38" t="n"/>
      <c r="I72" s="38" t="n"/>
      <c r="J72" s="38" t="n"/>
      <c r="K72" s="38" t="n"/>
      <c r="L72" s="38" t="n"/>
      <c r="M72" s="19">
        <f>IF(AND(A72&lt;&gt;"",G72&lt;&gt;""),G72-A72,"")</f>
        <v/>
      </c>
      <c r="N72" s="18" t="n"/>
    </row>
    <row r="73">
      <c r="A73" s="41" t="n"/>
      <c r="B73" s="35">
        <f>IF(A73="","",YEAR(A73))</f>
        <v/>
      </c>
      <c r="C73" s="36">
        <f>IF(A73="","",MONTH(A73))</f>
        <v/>
      </c>
      <c r="D73" s="37">
        <f>IF(A73="","","Q"&amp;ROUNDUP(MONTH(A73)/3,0))</f>
        <v/>
      </c>
      <c r="E73" s="22" t="n"/>
      <c r="F73" s="22" t="n"/>
      <c r="G73" s="41" t="n"/>
      <c r="H73" s="42" t="n"/>
      <c r="I73" s="42" t="n"/>
      <c r="J73" s="42" t="n"/>
      <c r="K73" s="42" t="n"/>
      <c r="L73" s="42" t="n"/>
      <c r="M73" s="23">
        <f>IF(AND(A73&lt;&gt;"",G73&lt;&gt;""),G73-A73,"")</f>
        <v/>
      </c>
      <c r="N73" s="22" t="n"/>
    </row>
    <row r="74">
      <c r="A74" s="34" t="n"/>
      <c r="B74" s="35">
        <f>IF(A74="","",YEAR(A74))</f>
        <v/>
      </c>
      <c r="C74" s="36">
        <f>IF(A74="","",MONTH(A74))</f>
        <v/>
      </c>
      <c r="D74" s="37">
        <f>IF(A74="","","Q"&amp;ROUNDUP(MONTH(A74)/3,0))</f>
        <v/>
      </c>
      <c r="E74" s="18" t="n"/>
      <c r="F74" s="18" t="n"/>
      <c r="G74" s="34" t="n"/>
      <c r="H74" s="38" t="n"/>
      <c r="I74" s="38" t="n"/>
      <c r="J74" s="38" t="n"/>
      <c r="K74" s="38" t="n"/>
      <c r="L74" s="38" t="n"/>
      <c r="M74" s="19">
        <f>IF(AND(A74&lt;&gt;"",G74&lt;&gt;""),G74-A74,"")</f>
        <v/>
      </c>
      <c r="N74" s="18" t="n"/>
    </row>
    <row r="75">
      <c r="A75" s="41" t="n"/>
      <c r="B75" s="35">
        <f>IF(A75="","",YEAR(A75))</f>
        <v/>
      </c>
      <c r="C75" s="36">
        <f>IF(A75="","",MONTH(A75))</f>
        <v/>
      </c>
      <c r="D75" s="37">
        <f>IF(A75="","","Q"&amp;ROUNDUP(MONTH(A75)/3,0))</f>
        <v/>
      </c>
      <c r="E75" s="22" t="n"/>
      <c r="F75" s="22" t="n"/>
      <c r="G75" s="41" t="n"/>
      <c r="H75" s="42" t="n"/>
      <c r="I75" s="42" t="n"/>
      <c r="J75" s="42" t="n"/>
      <c r="K75" s="42" t="n"/>
      <c r="L75" s="42" t="n"/>
      <c r="M75" s="23">
        <f>IF(AND(A75&lt;&gt;"",G75&lt;&gt;""),G75-A75,"")</f>
        <v/>
      </c>
      <c r="N75" s="22" t="n"/>
    </row>
    <row r="76">
      <c r="A76" s="34" t="n"/>
      <c r="B76" s="35">
        <f>IF(A76="","",YEAR(A76))</f>
        <v/>
      </c>
      <c r="C76" s="36">
        <f>IF(A76="","",MONTH(A76))</f>
        <v/>
      </c>
      <c r="D76" s="37">
        <f>IF(A76="","","Q"&amp;ROUNDUP(MONTH(A76)/3,0))</f>
        <v/>
      </c>
      <c r="E76" s="18" t="n"/>
      <c r="F76" s="18" t="n"/>
      <c r="G76" s="34" t="n"/>
      <c r="H76" s="38" t="n"/>
      <c r="I76" s="38" t="n"/>
      <c r="J76" s="38" t="n"/>
      <c r="K76" s="38" t="n"/>
      <c r="L76" s="38" t="n"/>
      <c r="M76" s="19">
        <f>IF(AND(A76&lt;&gt;"",G76&lt;&gt;""),G76-A76,"")</f>
        <v/>
      </c>
      <c r="N76" s="18" t="n"/>
    </row>
    <row r="77">
      <c r="A77" s="41" t="n"/>
      <c r="B77" s="35">
        <f>IF(A77="","",YEAR(A77))</f>
        <v/>
      </c>
      <c r="C77" s="36">
        <f>IF(A77="","",MONTH(A77))</f>
        <v/>
      </c>
      <c r="D77" s="37">
        <f>IF(A77="","","Q"&amp;ROUNDUP(MONTH(A77)/3,0))</f>
        <v/>
      </c>
      <c r="E77" s="22" t="n"/>
      <c r="F77" s="22" t="n"/>
      <c r="G77" s="41" t="n"/>
      <c r="H77" s="42" t="n"/>
      <c r="I77" s="42" t="n"/>
      <c r="J77" s="42" t="n"/>
      <c r="K77" s="42" t="n"/>
      <c r="L77" s="42" t="n"/>
      <c r="M77" s="23">
        <f>IF(AND(A77&lt;&gt;"",G77&lt;&gt;""),G77-A77,"")</f>
        <v/>
      </c>
      <c r="N77" s="22" t="n"/>
    </row>
    <row r="78">
      <c r="A78" s="34" t="n"/>
      <c r="B78" s="35">
        <f>IF(A78="","",YEAR(A78))</f>
        <v/>
      </c>
      <c r="C78" s="36">
        <f>IF(A78="","",MONTH(A78))</f>
        <v/>
      </c>
      <c r="D78" s="37">
        <f>IF(A78="","","Q"&amp;ROUNDUP(MONTH(A78)/3,0))</f>
        <v/>
      </c>
      <c r="E78" s="18" t="n"/>
      <c r="F78" s="18" t="n"/>
      <c r="G78" s="34" t="n"/>
      <c r="H78" s="38" t="n"/>
      <c r="I78" s="38" t="n"/>
      <c r="J78" s="38" t="n"/>
      <c r="K78" s="38" t="n"/>
      <c r="L78" s="38" t="n"/>
      <c r="M78" s="19">
        <f>IF(AND(A78&lt;&gt;"",G78&lt;&gt;""),G78-A78,"")</f>
        <v/>
      </c>
      <c r="N78" s="18" t="n"/>
    </row>
    <row r="79">
      <c r="A79" s="41" t="n"/>
      <c r="B79" s="35">
        <f>IF(A79="","",YEAR(A79))</f>
        <v/>
      </c>
      <c r="C79" s="36">
        <f>IF(A79="","",MONTH(A79))</f>
        <v/>
      </c>
      <c r="D79" s="37">
        <f>IF(A79="","","Q"&amp;ROUNDUP(MONTH(A79)/3,0))</f>
        <v/>
      </c>
      <c r="E79" s="22" t="n"/>
      <c r="F79" s="22" t="n"/>
      <c r="G79" s="41" t="n"/>
      <c r="H79" s="42" t="n"/>
      <c r="I79" s="42" t="n"/>
      <c r="J79" s="42" t="n"/>
      <c r="K79" s="42" t="n"/>
      <c r="L79" s="42" t="n"/>
      <c r="M79" s="23">
        <f>IF(AND(A79&lt;&gt;"",G79&lt;&gt;""),G79-A79,"")</f>
        <v/>
      </c>
      <c r="N79" s="22" t="n"/>
    </row>
    <row r="80">
      <c r="A80" s="34" t="n"/>
      <c r="B80" s="35">
        <f>IF(A80="","",YEAR(A80))</f>
        <v/>
      </c>
      <c r="C80" s="36">
        <f>IF(A80="","",MONTH(A80))</f>
        <v/>
      </c>
      <c r="D80" s="37">
        <f>IF(A80="","","Q"&amp;ROUNDUP(MONTH(A80)/3,0))</f>
        <v/>
      </c>
      <c r="E80" s="18" t="n"/>
      <c r="F80" s="18" t="n"/>
      <c r="G80" s="34" t="n"/>
      <c r="H80" s="38" t="n"/>
      <c r="I80" s="38" t="n"/>
      <c r="J80" s="38" t="n"/>
      <c r="K80" s="38" t="n"/>
      <c r="L80" s="38" t="n"/>
      <c r="M80" s="19">
        <f>IF(AND(A80&lt;&gt;"",G80&lt;&gt;""),G80-A80,"")</f>
        <v/>
      </c>
      <c r="N80" s="18" t="n"/>
    </row>
    <row r="81">
      <c r="A81" s="41" t="n"/>
      <c r="B81" s="35">
        <f>IF(A81="","",YEAR(A81))</f>
        <v/>
      </c>
      <c r="C81" s="36">
        <f>IF(A81="","",MONTH(A81))</f>
        <v/>
      </c>
      <c r="D81" s="37">
        <f>IF(A81="","","Q"&amp;ROUNDUP(MONTH(A81)/3,0))</f>
        <v/>
      </c>
      <c r="E81" s="22" t="n"/>
      <c r="F81" s="22" t="n"/>
      <c r="G81" s="41" t="n"/>
      <c r="H81" s="42" t="n"/>
      <c r="I81" s="42" t="n"/>
      <c r="J81" s="42" t="n"/>
      <c r="K81" s="42" t="n"/>
      <c r="L81" s="42" t="n"/>
      <c r="M81" s="23">
        <f>IF(AND(A81&lt;&gt;"",G81&lt;&gt;""),G81-A81,"")</f>
        <v/>
      </c>
      <c r="N81" s="22" t="n"/>
    </row>
    <row r="82">
      <c r="A82" s="34" t="n"/>
      <c r="B82" s="35">
        <f>IF(A82="","",YEAR(A82))</f>
        <v/>
      </c>
      <c r="C82" s="36">
        <f>IF(A82="","",MONTH(A82))</f>
        <v/>
      </c>
      <c r="D82" s="37">
        <f>IF(A82="","","Q"&amp;ROUNDUP(MONTH(A82)/3,0))</f>
        <v/>
      </c>
      <c r="E82" s="18" t="n"/>
      <c r="F82" s="18" t="n"/>
      <c r="G82" s="34" t="n"/>
      <c r="H82" s="38" t="n"/>
      <c r="I82" s="38" t="n"/>
      <c r="J82" s="38" t="n"/>
      <c r="K82" s="38" t="n"/>
      <c r="L82" s="38" t="n"/>
      <c r="M82" s="19">
        <f>IF(AND(A82&lt;&gt;"",G82&lt;&gt;""),G82-A82,"")</f>
        <v/>
      </c>
      <c r="N82" s="18" t="n"/>
    </row>
    <row r="83">
      <c r="A83" s="41" t="n"/>
      <c r="B83" s="35">
        <f>IF(A83="","",YEAR(A83))</f>
        <v/>
      </c>
      <c r="C83" s="36">
        <f>IF(A83="","",MONTH(A83))</f>
        <v/>
      </c>
      <c r="D83" s="37">
        <f>IF(A83="","","Q"&amp;ROUNDUP(MONTH(A83)/3,0))</f>
        <v/>
      </c>
      <c r="E83" s="22" t="n"/>
      <c r="F83" s="22" t="n"/>
      <c r="G83" s="41" t="n"/>
      <c r="H83" s="42" t="n"/>
      <c r="I83" s="42" t="n"/>
      <c r="J83" s="42" t="n"/>
      <c r="K83" s="42" t="n"/>
      <c r="L83" s="42" t="n"/>
      <c r="M83" s="23">
        <f>IF(AND(A83&lt;&gt;"",G83&lt;&gt;""),G83-A83,"")</f>
        <v/>
      </c>
      <c r="N83" s="22" t="n"/>
    </row>
    <row r="84">
      <c r="A84" s="34" t="n"/>
      <c r="B84" s="35">
        <f>IF(A84="","",YEAR(A84))</f>
        <v/>
      </c>
      <c r="C84" s="36">
        <f>IF(A84="","",MONTH(A84))</f>
        <v/>
      </c>
      <c r="D84" s="37">
        <f>IF(A84="","","Q"&amp;ROUNDUP(MONTH(A84)/3,0))</f>
        <v/>
      </c>
      <c r="E84" s="18" t="n"/>
      <c r="F84" s="18" t="n"/>
      <c r="G84" s="34" t="n"/>
      <c r="H84" s="38" t="n"/>
      <c r="I84" s="38" t="n"/>
      <c r="J84" s="38" t="n"/>
      <c r="K84" s="38" t="n"/>
      <c r="L84" s="38" t="n"/>
      <c r="M84" s="19">
        <f>IF(AND(A84&lt;&gt;"",G84&lt;&gt;""),G84-A84,"")</f>
        <v/>
      </c>
      <c r="N84" s="18" t="n"/>
    </row>
    <row r="85">
      <c r="A85" s="41" t="n"/>
      <c r="B85" s="35">
        <f>IF(A85="","",YEAR(A85))</f>
        <v/>
      </c>
      <c r="C85" s="36">
        <f>IF(A85="","",MONTH(A85))</f>
        <v/>
      </c>
      <c r="D85" s="37">
        <f>IF(A85="","","Q"&amp;ROUNDUP(MONTH(A85)/3,0))</f>
        <v/>
      </c>
      <c r="E85" s="22" t="n"/>
      <c r="F85" s="22" t="n"/>
      <c r="G85" s="41" t="n"/>
      <c r="H85" s="42" t="n"/>
      <c r="I85" s="42" t="n"/>
      <c r="J85" s="42" t="n"/>
      <c r="K85" s="42" t="n"/>
      <c r="L85" s="42" t="n"/>
      <c r="M85" s="23">
        <f>IF(AND(A85&lt;&gt;"",G85&lt;&gt;""),G85-A85,"")</f>
        <v/>
      </c>
      <c r="N85" s="22" t="n"/>
    </row>
    <row r="86">
      <c r="A86" s="34" t="n"/>
      <c r="B86" s="35">
        <f>IF(A86="","",YEAR(A86))</f>
        <v/>
      </c>
      <c r="C86" s="36">
        <f>IF(A86="","",MONTH(A86))</f>
        <v/>
      </c>
      <c r="D86" s="37">
        <f>IF(A86="","","Q"&amp;ROUNDUP(MONTH(A86)/3,0))</f>
        <v/>
      </c>
      <c r="E86" s="18" t="n"/>
      <c r="F86" s="18" t="n"/>
      <c r="G86" s="34" t="n"/>
      <c r="H86" s="38" t="n"/>
      <c r="I86" s="38" t="n"/>
      <c r="J86" s="38" t="n"/>
      <c r="K86" s="38" t="n"/>
      <c r="L86" s="38" t="n"/>
      <c r="M86" s="19">
        <f>IF(AND(A86&lt;&gt;"",G86&lt;&gt;""),G86-A86,"")</f>
        <v/>
      </c>
      <c r="N86" s="18" t="n"/>
    </row>
    <row r="87">
      <c r="A87" s="41" t="n"/>
      <c r="B87" s="35">
        <f>IF(A87="","",YEAR(A87))</f>
        <v/>
      </c>
      <c r="C87" s="36">
        <f>IF(A87="","",MONTH(A87))</f>
        <v/>
      </c>
      <c r="D87" s="37">
        <f>IF(A87="","","Q"&amp;ROUNDUP(MONTH(A87)/3,0))</f>
        <v/>
      </c>
      <c r="E87" s="22" t="n"/>
      <c r="F87" s="22" t="n"/>
      <c r="G87" s="41" t="n"/>
      <c r="H87" s="42" t="n"/>
      <c r="I87" s="42" t="n"/>
      <c r="J87" s="42" t="n"/>
      <c r="K87" s="42" t="n"/>
      <c r="L87" s="42" t="n"/>
      <c r="M87" s="23">
        <f>IF(AND(A87&lt;&gt;"",G87&lt;&gt;""),G87-A87,"")</f>
        <v/>
      </c>
      <c r="N87" s="22" t="n"/>
    </row>
    <row r="88">
      <c r="A88" s="34" t="n"/>
      <c r="B88" s="35">
        <f>IF(A88="","",YEAR(A88))</f>
        <v/>
      </c>
      <c r="C88" s="36">
        <f>IF(A88="","",MONTH(A88))</f>
        <v/>
      </c>
      <c r="D88" s="37">
        <f>IF(A88="","","Q"&amp;ROUNDUP(MONTH(A88)/3,0))</f>
        <v/>
      </c>
      <c r="E88" s="18" t="n"/>
      <c r="F88" s="18" t="n"/>
      <c r="G88" s="34" t="n"/>
      <c r="H88" s="38" t="n"/>
      <c r="I88" s="38" t="n"/>
      <c r="J88" s="38" t="n"/>
      <c r="K88" s="38" t="n"/>
      <c r="L88" s="38" t="n"/>
      <c r="M88" s="19">
        <f>IF(AND(A88&lt;&gt;"",G88&lt;&gt;""),G88-A88,"")</f>
        <v/>
      </c>
      <c r="N88" s="18" t="n"/>
    </row>
    <row r="89">
      <c r="A89" s="41" t="n"/>
      <c r="B89" s="35">
        <f>IF(A89="","",YEAR(A89))</f>
        <v/>
      </c>
      <c r="C89" s="36">
        <f>IF(A89="","",MONTH(A89))</f>
        <v/>
      </c>
      <c r="D89" s="37">
        <f>IF(A89="","","Q"&amp;ROUNDUP(MONTH(A89)/3,0))</f>
        <v/>
      </c>
      <c r="E89" s="22" t="n"/>
      <c r="F89" s="22" t="n"/>
      <c r="G89" s="41" t="n"/>
      <c r="H89" s="42" t="n"/>
      <c r="I89" s="42" t="n"/>
      <c r="J89" s="42" t="n"/>
      <c r="K89" s="42" t="n"/>
      <c r="L89" s="42" t="n"/>
      <c r="M89" s="23">
        <f>IF(AND(A89&lt;&gt;"",G89&lt;&gt;""),G89-A89,"")</f>
        <v/>
      </c>
      <c r="N89" s="22" t="n"/>
    </row>
    <row r="90">
      <c r="A90" s="34" t="n"/>
      <c r="B90" s="35">
        <f>IF(A90="","",YEAR(A90))</f>
        <v/>
      </c>
      <c r="C90" s="36">
        <f>IF(A90="","",MONTH(A90))</f>
        <v/>
      </c>
      <c r="D90" s="37">
        <f>IF(A90="","","Q"&amp;ROUNDUP(MONTH(A90)/3,0))</f>
        <v/>
      </c>
      <c r="E90" s="18" t="n"/>
      <c r="F90" s="18" t="n"/>
      <c r="G90" s="34" t="n"/>
      <c r="H90" s="38" t="n"/>
      <c r="I90" s="38" t="n"/>
      <c r="J90" s="38" t="n"/>
      <c r="K90" s="38" t="n"/>
      <c r="L90" s="38" t="n"/>
      <c r="M90" s="19">
        <f>IF(AND(A90&lt;&gt;"",G90&lt;&gt;""),G90-A90,"")</f>
        <v/>
      </c>
      <c r="N90" s="18" t="n"/>
    </row>
    <row r="91">
      <c r="A91" s="41" t="n"/>
      <c r="B91" s="35">
        <f>IF(A91="","",YEAR(A91))</f>
        <v/>
      </c>
      <c r="C91" s="36">
        <f>IF(A91="","",MONTH(A91))</f>
        <v/>
      </c>
      <c r="D91" s="37">
        <f>IF(A91="","","Q"&amp;ROUNDUP(MONTH(A91)/3,0))</f>
        <v/>
      </c>
      <c r="E91" s="22" t="n"/>
      <c r="F91" s="22" t="n"/>
      <c r="G91" s="41" t="n"/>
      <c r="H91" s="42" t="n"/>
      <c r="I91" s="42" t="n"/>
      <c r="J91" s="42" t="n"/>
      <c r="K91" s="42" t="n"/>
      <c r="L91" s="42" t="n"/>
      <c r="M91" s="23">
        <f>IF(AND(A91&lt;&gt;"",G91&lt;&gt;""),G91-A91,"")</f>
        <v/>
      </c>
      <c r="N91" s="22" t="n"/>
    </row>
    <row r="92">
      <c r="A92" s="34" t="n"/>
      <c r="B92" s="35">
        <f>IF(A92="","",YEAR(A92))</f>
        <v/>
      </c>
      <c r="C92" s="36">
        <f>IF(A92="","",MONTH(A92))</f>
        <v/>
      </c>
      <c r="D92" s="37">
        <f>IF(A92="","","Q"&amp;ROUNDUP(MONTH(A92)/3,0))</f>
        <v/>
      </c>
      <c r="E92" s="18" t="n"/>
      <c r="F92" s="18" t="n"/>
      <c r="G92" s="34" t="n"/>
      <c r="H92" s="38" t="n"/>
      <c r="I92" s="38" t="n"/>
      <c r="J92" s="38" t="n"/>
      <c r="K92" s="38" t="n"/>
      <c r="L92" s="38" t="n"/>
      <c r="M92" s="19">
        <f>IF(AND(A92&lt;&gt;"",G92&lt;&gt;""),G92-A92,"")</f>
        <v/>
      </c>
      <c r="N92" s="18" t="n"/>
    </row>
    <row r="93">
      <c r="A93" s="41" t="n"/>
      <c r="B93" s="35">
        <f>IF(A93="","",YEAR(A93))</f>
        <v/>
      </c>
      <c r="C93" s="36">
        <f>IF(A93="","",MONTH(A93))</f>
        <v/>
      </c>
      <c r="D93" s="37">
        <f>IF(A93="","","Q"&amp;ROUNDUP(MONTH(A93)/3,0))</f>
        <v/>
      </c>
      <c r="E93" s="22" t="n"/>
      <c r="F93" s="22" t="n"/>
      <c r="G93" s="41" t="n"/>
      <c r="H93" s="42" t="n"/>
      <c r="I93" s="42" t="n"/>
      <c r="J93" s="42" t="n"/>
      <c r="K93" s="42" t="n"/>
      <c r="L93" s="42" t="n"/>
      <c r="M93" s="23">
        <f>IF(AND(A93&lt;&gt;"",G93&lt;&gt;""),G93-A93,"")</f>
        <v/>
      </c>
      <c r="N93" s="22" t="n"/>
    </row>
    <row r="94">
      <c r="A94" s="34" t="n"/>
      <c r="B94" s="35">
        <f>IF(A94="","",YEAR(A94))</f>
        <v/>
      </c>
      <c r="C94" s="36">
        <f>IF(A94="","",MONTH(A94))</f>
        <v/>
      </c>
      <c r="D94" s="37">
        <f>IF(A94="","","Q"&amp;ROUNDUP(MONTH(A94)/3,0))</f>
        <v/>
      </c>
      <c r="E94" s="18" t="n"/>
      <c r="F94" s="18" t="n"/>
      <c r="G94" s="34" t="n"/>
      <c r="H94" s="38" t="n"/>
      <c r="I94" s="38" t="n"/>
      <c r="J94" s="38" t="n"/>
      <c r="K94" s="38" t="n"/>
      <c r="L94" s="38" t="n"/>
      <c r="M94" s="19">
        <f>IF(AND(A94&lt;&gt;"",G94&lt;&gt;""),G94-A94,"")</f>
        <v/>
      </c>
      <c r="N94" s="18" t="n"/>
    </row>
    <row r="95">
      <c r="A95" s="41" t="n"/>
      <c r="B95" s="35">
        <f>IF(A95="","",YEAR(A95))</f>
        <v/>
      </c>
      <c r="C95" s="36">
        <f>IF(A95="","",MONTH(A95))</f>
        <v/>
      </c>
      <c r="D95" s="37">
        <f>IF(A95="","","Q"&amp;ROUNDUP(MONTH(A95)/3,0))</f>
        <v/>
      </c>
      <c r="E95" s="22" t="n"/>
      <c r="F95" s="22" t="n"/>
      <c r="G95" s="41" t="n"/>
      <c r="H95" s="42" t="n"/>
      <c r="I95" s="42" t="n"/>
      <c r="J95" s="42" t="n"/>
      <c r="K95" s="42" t="n"/>
      <c r="L95" s="42" t="n"/>
      <c r="M95" s="23">
        <f>IF(AND(A95&lt;&gt;"",G95&lt;&gt;""),G95-A95,"")</f>
        <v/>
      </c>
      <c r="N95" s="22" t="n"/>
    </row>
    <row r="96">
      <c r="A96" s="34" t="n"/>
      <c r="B96" s="35">
        <f>IF(A96="","",YEAR(A96))</f>
        <v/>
      </c>
      <c r="C96" s="36">
        <f>IF(A96="","",MONTH(A96))</f>
        <v/>
      </c>
      <c r="D96" s="37">
        <f>IF(A96="","","Q"&amp;ROUNDUP(MONTH(A96)/3,0))</f>
        <v/>
      </c>
      <c r="E96" s="18" t="n"/>
      <c r="F96" s="18" t="n"/>
      <c r="G96" s="34" t="n"/>
      <c r="H96" s="38" t="n"/>
      <c r="I96" s="38" t="n"/>
      <c r="J96" s="38" t="n"/>
      <c r="K96" s="38" t="n"/>
      <c r="L96" s="38" t="n"/>
      <c r="M96" s="19">
        <f>IF(AND(A96&lt;&gt;"",G96&lt;&gt;""),G96-A96,"")</f>
        <v/>
      </c>
      <c r="N96" s="18" t="n"/>
    </row>
    <row r="97">
      <c r="A97" s="41" t="n"/>
      <c r="B97" s="35">
        <f>IF(A97="","",YEAR(A97))</f>
        <v/>
      </c>
      <c r="C97" s="36">
        <f>IF(A97="","",MONTH(A97))</f>
        <v/>
      </c>
      <c r="D97" s="37">
        <f>IF(A97="","","Q"&amp;ROUNDUP(MONTH(A97)/3,0))</f>
        <v/>
      </c>
      <c r="E97" s="22" t="n"/>
      <c r="F97" s="22" t="n"/>
      <c r="G97" s="41" t="n"/>
      <c r="H97" s="42" t="n"/>
      <c r="I97" s="42" t="n"/>
      <c r="J97" s="42" t="n"/>
      <c r="K97" s="42" t="n"/>
      <c r="L97" s="42" t="n"/>
      <c r="M97" s="23">
        <f>IF(AND(A97&lt;&gt;"",G97&lt;&gt;""),G97-A97,"")</f>
        <v/>
      </c>
      <c r="N97" s="22" t="n"/>
    </row>
    <row r="98">
      <c r="A98" s="34" t="n"/>
      <c r="B98" s="35">
        <f>IF(A98="","",YEAR(A98))</f>
        <v/>
      </c>
      <c r="C98" s="36">
        <f>IF(A98="","",MONTH(A98))</f>
        <v/>
      </c>
      <c r="D98" s="37">
        <f>IF(A98="","","Q"&amp;ROUNDUP(MONTH(A98)/3,0))</f>
        <v/>
      </c>
      <c r="E98" s="18" t="n"/>
      <c r="F98" s="18" t="n"/>
      <c r="G98" s="34" t="n"/>
      <c r="H98" s="38" t="n"/>
      <c r="I98" s="38" t="n"/>
      <c r="J98" s="38" t="n"/>
      <c r="K98" s="38" t="n"/>
      <c r="L98" s="38" t="n"/>
      <c r="M98" s="19">
        <f>IF(AND(A98&lt;&gt;"",G98&lt;&gt;""),G98-A98,"")</f>
        <v/>
      </c>
      <c r="N98" s="18" t="n"/>
    </row>
    <row r="99">
      <c r="A99" s="41" t="n"/>
      <c r="B99" s="35">
        <f>IF(A99="","",YEAR(A99))</f>
        <v/>
      </c>
      <c r="C99" s="36">
        <f>IF(A99="","",MONTH(A99))</f>
        <v/>
      </c>
      <c r="D99" s="37">
        <f>IF(A99="","","Q"&amp;ROUNDUP(MONTH(A99)/3,0))</f>
        <v/>
      </c>
      <c r="E99" s="22" t="n"/>
      <c r="F99" s="22" t="n"/>
      <c r="G99" s="41" t="n"/>
      <c r="H99" s="42" t="n"/>
      <c r="I99" s="42" t="n"/>
      <c r="J99" s="42" t="n"/>
      <c r="K99" s="42" t="n"/>
      <c r="L99" s="42" t="n"/>
      <c r="M99" s="23">
        <f>IF(AND(A99&lt;&gt;"",G99&lt;&gt;""),G99-A99,"")</f>
        <v/>
      </c>
      <c r="N99" s="22" t="n"/>
    </row>
    <row r="100">
      <c r="A100" s="34" t="n"/>
      <c r="B100" s="35">
        <f>IF(A100="","",YEAR(A100))</f>
        <v/>
      </c>
      <c r="C100" s="36">
        <f>IF(A100="","",MONTH(A100))</f>
        <v/>
      </c>
      <c r="D100" s="37">
        <f>IF(A100="","","Q"&amp;ROUNDUP(MONTH(A100)/3,0))</f>
        <v/>
      </c>
      <c r="E100" s="18" t="n"/>
      <c r="F100" s="18" t="n"/>
      <c r="G100" s="34" t="n"/>
      <c r="H100" s="38" t="n"/>
      <c r="I100" s="38" t="n"/>
      <c r="J100" s="38" t="n"/>
      <c r="K100" s="38" t="n"/>
      <c r="L100" s="38" t="n"/>
      <c r="M100" s="19">
        <f>IF(AND(A100&lt;&gt;"",G100&lt;&gt;""),G100-A100,"")</f>
        <v/>
      </c>
      <c r="N100" s="18" t="n"/>
    </row>
    <row r="101">
      <c r="A101" s="41" t="n"/>
      <c r="B101" s="35">
        <f>IF(A101="","",YEAR(A101))</f>
        <v/>
      </c>
      <c r="C101" s="36">
        <f>IF(A101="","",MONTH(A101))</f>
        <v/>
      </c>
      <c r="D101" s="37">
        <f>IF(A101="","","Q"&amp;ROUNDUP(MONTH(A101)/3,0))</f>
        <v/>
      </c>
      <c r="E101" s="22" t="n"/>
      <c r="F101" s="22" t="n"/>
      <c r="G101" s="41" t="n"/>
      <c r="H101" s="42" t="n"/>
      <c r="I101" s="42" t="n"/>
      <c r="J101" s="42" t="n"/>
      <c r="K101" s="42" t="n"/>
      <c r="L101" s="42" t="n"/>
      <c r="M101" s="23">
        <f>IF(AND(A101&lt;&gt;"",G101&lt;&gt;""),G101-A101,"")</f>
        <v/>
      </c>
      <c r="N101" s="22" t="n"/>
    </row>
    <row r="102">
      <c r="A102" s="34" t="n"/>
      <c r="B102" s="35">
        <f>IF(A102="","",YEAR(A102))</f>
        <v/>
      </c>
      <c r="C102" s="36">
        <f>IF(A102="","",MONTH(A102))</f>
        <v/>
      </c>
      <c r="D102" s="37">
        <f>IF(A102="","","Q"&amp;ROUNDUP(MONTH(A102)/3,0))</f>
        <v/>
      </c>
      <c r="E102" s="18" t="n"/>
      <c r="F102" s="18" t="n"/>
      <c r="G102" s="34" t="n"/>
      <c r="H102" s="38" t="n"/>
      <c r="I102" s="38" t="n"/>
      <c r="J102" s="38" t="n"/>
      <c r="K102" s="38" t="n"/>
      <c r="L102" s="38" t="n"/>
      <c r="M102" s="19">
        <f>IF(AND(A102&lt;&gt;"",G102&lt;&gt;""),G102-A102,"")</f>
        <v/>
      </c>
      <c r="N102" s="18" t="n"/>
    </row>
    <row r="103">
      <c r="A103" s="41" t="n"/>
      <c r="B103" s="35">
        <f>IF(A103="","",YEAR(A103))</f>
        <v/>
      </c>
      <c r="C103" s="36">
        <f>IF(A103="","",MONTH(A103))</f>
        <v/>
      </c>
      <c r="D103" s="37">
        <f>IF(A103="","","Q"&amp;ROUNDUP(MONTH(A103)/3,0))</f>
        <v/>
      </c>
      <c r="E103" s="22" t="n"/>
      <c r="F103" s="22" t="n"/>
      <c r="G103" s="41" t="n"/>
      <c r="H103" s="42" t="n"/>
      <c r="I103" s="42" t="n"/>
      <c r="J103" s="42" t="n"/>
      <c r="K103" s="42" t="n"/>
      <c r="L103" s="42" t="n"/>
      <c r="M103" s="23">
        <f>IF(AND(A103&lt;&gt;"",G103&lt;&gt;""),G103-A103,"")</f>
        <v/>
      </c>
      <c r="N103" s="22" t="n"/>
    </row>
    <row r="104">
      <c r="A104" s="34" t="n"/>
      <c r="B104" s="35">
        <f>IF(A104="","",YEAR(A104))</f>
        <v/>
      </c>
      <c r="C104" s="36">
        <f>IF(A104="","",MONTH(A104))</f>
        <v/>
      </c>
      <c r="D104" s="37">
        <f>IF(A104="","","Q"&amp;ROUNDUP(MONTH(A104)/3,0))</f>
        <v/>
      </c>
      <c r="E104" s="18" t="n"/>
      <c r="F104" s="18" t="n"/>
      <c r="G104" s="34" t="n"/>
      <c r="H104" s="38" t="n"/>
      <c r="I104" s="38" t="n"/>
      <c r="J104" s="38" t="n"/>
      <c r="K104" s="38" t="n"/>
      <c r="L104" s="38" t="n"/>
      <c r="M104" s="19">
        <f>IF(AND(A104&lt;&gt;"",G104&lt;&gt;""),G104-A104,"")</f>
        <v/>
      </c>
      <c r="N104" s="18" t="n"/>
    </row>
    <row r="105">
      <c r="A105" s="41" t="n"/>
      <c r="B105" s="35">
        <f>IF(A105="","",YEAR(A105))</f>
        <v/>
      </c>
      <c r="C105" s="36">
        <f>IF(A105="","",MONTH(A105))</f>
        <v/>
      </c>
      <c r="D105" s="37">
        <f>IF(A105="","","Q"&amp;ROUNDUP(MONTH(A105)/3,0))</f>
        <v/>
      </c>
      <c r="E105" s="22" t="n"/>
      <c r="F105" s="22" t="n"/>
      <c r="G105" s="41" t="n"/>
      <c r="H105" s="42" t="n"/>
      <c r="I105" s="42" t="n"/>
      <c r="J105" s="42" t="n"/>
      <c r="K105" s="42" t="n"/>
      <c r="L105" s="42" t="n"/>
      <c r="M105" s="23">
        <f>IF(AND(A105&lt;&gt;"",G105&lt;&gt;""),G105-A105,"")</f>
        <v/>
      </c>
      <c r="N105" s="22" t="n"/>
    </row>
    <row r="106">
      <c r="A106" s="34" t="n"/>
      <c r="B106" s="35">
        <f>IF(A106="","",YEAR(A106))</f>
        <v/>
      </c>
      <c r="C106" s="36">
        <f>IF(A106="","",MONTH(A106))</f>
        <v/>
      </c>
      <c r="D106" s="37">
        <f>IF(A106="","","Q"&amp;ROUNDUP(MONTH(A106)/3,0))</f>
        <v/>
      </c>
      <c r="E106" s="18" t="n"/>
      <c r="F106" s="18" t="n"/>
      <c r="G106" s="34" t="n"/>
      <c r="H106" s="38" t="n"/>
      <c r="I106" s="38" t="n"/>
      <c r="J106" s="38" t="n"/>
      <c r="K106" s="38" t="n"/>
      <c r="L106" s="38" t="n"/>
      <c r="M106" s="19">
        <f>IF(AND(A106&lt;&gt;"",G106&lt;&gt;""),G106-A106,"")</f>
        <v/>
      </c>
      <c r="N106" s="18" t="n"/>
    </row>
    <row r="107">
      <c r="A107" s="41" t="n"/>
      <c r="B107" s="35">
        <f>IF(A107="","",YEAR(A107))</f>
        <v/>
      </c>
      <c r="C107" s="36">
        <f>IF(A107="","",MONTH(A107))</f>
        <v/>
      </c>
      <c r="D107" s="37">
        <f>IF(A107="","","Q"&amp;ROUNDUP(MONTH(A107)/3,0))</f>
        <v/>
      </c>
      <c r="E107" s="22" t="n"/>
      <c r="F107" s="22" t="n"/>
      <c r="G107" s="41" t="n"/>
      <c r="H107" s="42" t="n"/>
      <c r="I107" s="42" t="n"/>
      <c r="J107" s="42" t="n"/>
      <c r="K107" s="42" t="n"/>
      <c r="L107" s="42" t="n"/>
      <c r="M107" s="23">
        <f>IF(AND(A107&lt;&gt;"",G107&lt;&gt;""),G107-A107,"")</f>
        <v/>
      </c>
      <c r="N107" s="22" t="n"/>
    </row>
    <row r="108">
      <c r="A108" s="34" t="n"/>
      <c r="B108" s="35">
        <f>IF(A108="","",YEAR(A108))</f>
        <v/>
      </c>
      <c r="C108" s="36">
        <f>IF(A108="","",MONTH(A108))</f>
        <v/>
      </c>
      <c r="D108" s="37">
        <f>IF(A108="","","Q"&amp;ROUNDUP(MONTH(A108)/3,0))</f>
        <v/>
      </c>
      <c r="E108" s="18" t="n"/>
      <c r="F108" s="18" t="n"/>
      <c r="G108" s="34" t="n"/>
      <c r="H108" s="38" t="n"/>
      <c r="I108" s="38" t="n"/>
      <c r="J108" s="38" t="n"/>
      <c r="K108" s="38" t="n"/>
      <c r="L108" s="38" t="n"/>
      <c r="M108" s="19">
        <f>IF(AND(A108&lt;&gt;"",G108&lt;&gt;""),G108-A108,"")</f>
        <v/>
      </c>
      <c r="N108" s="18" t="n"/>
    </row>
    <row r="109">
      <c r="A109" s="41" t="n"/>
      <c r="B109" s="35">
        <f>IF(A109="","",YEAR(A109))</f>
        <v/>
      </c>
      <c r="C109" s="36">
        <f>IF(A109="","",MONTH(A109))</f>
        <v/>
      </c>
      <c r="D109" s="37">
        <f>IF(A109="","","Q"&amp;ROUNDUP(MONTH(A109)/3,0))</f>
        <v/>
      </c>
      <c r="E109" s="22" t="n"/>
      <c r="F109" s="22" t="n"/>
      <c r="G109" s="41" t="n"/>
      <c r="H109" s="42" t="n"/>
      <c r="I109" s="42" t="n"/>
      <c r="J109" s="42" t="n"/>
      <c r="K109" s="42" t="n"/>
      <c r="L109" s="42" t="n"/>
      <c r="M109" s="23">
        <f>IF(AND(A109&lt;&gt;"",G109&lt;&gt;""),G109-A109,"")</f>
        <v/>
      </c>
      <c r="N109" s="22" t="n"/>
    </row>
    <row r="110">
      <c r="A110" s="34" t="n"/>
      <c r="B110" s="35">
        <f>IF(A110="","",YEAR(A110))</f>
        <v/>
      </c>
      <c r="C110" s="36">
        <f>IF(A110="","",MONTH(A110))</f>
        <v/>
      </c>
      <c r="D110" s="37">
        <f>IF(A110="","","Q"&amp;ROUNDUP(MONTH(A110)/3,0))</f>
        <v/>
      </c>
      <c r="E110" s="18" t="n"/>
      <c r="F110" s="18" t="n"/>
      <c r="G110" s="34" t="n"/>
      <c r="H110" s="38" t="n"/>
      <c r="I110" s="38" t="n"/>
      <c r="J110" s="38" t="n"/>
      <c r="K110" s="38" t="n"/>
      <c r="L110" s="38" t="n"/>
      <c r="M110" s="19">
        <f>IF(AND(A110&lt;&gt;"",G110&lt;&gt;""),G110-A110,"")</f>
        <v/>
      </c>
      <c r="N110" s="18" t="n"/>
    </row>
    <row r="111">
      <c r="A111" s="41" t="n"/>
      <c r="B111" s="35">
        <f>IF(A111="","",YEAR(A111))</f>
        <v/>
      </c>
      <c r="C111" s="36">
        <f>IF(A111="","",MONTH(A111))</f>
        <v/>
      </c>
      <c r="D111" s="37">
        <f>IF(A111="","","Q"&amp;ROUNDUP(MONTH(A111)/3,0))</f>
        <v/>
      </c>
      <c r="E111" s="22" t="n"/>
      <c r="F111" s="22" t="n"/>
      <c r="G111" s="41" t="n"/>
      <c r="H111" s="42" t="n"/>
      <c r="I111" s="42" t="n"/>
      <c r="J111" s="42" t="n"/>
      <c r="K111" s="42" t="n"/>
      <c r="L111" s="42" t="n"/>
      <c r="M111" s="23">
        <f>IF(AND(A111&lt;&gt;"",G111&lt;&gt;""),G111-A111,"")</f>
        <v/>
      </c>
      <c r="N111" s="22" t="n"/>
    </row>
    <row r="112">
      <c r="A112" s="34" t="n"/>
      <c r="B112" s="35">
        <f>IF(A112="","",YEAR(A112))</f>
        <v/>
      </c>
      <c r="C112" s="36">
        <f>IF(A112="","",MONTH(A112))</f>
        <v/>
      </c>
      <c r="D112" s="37">
        <f>IF(A112="","","Q"&amp;ROUNDUP(MONTH(A112)/3,0))</f>
        <v/>
      </c>
      <c r="E112" s="18" t="n"/>
      <c r="F112" s="18" t="n"/>
      <c r="G112" s="34" t="n"/>
      <c r="H112" s="38" t="n"/>
      <c r="I112" s="38" t="n"/>
      <c r="J112" s="38" t="n"/>
      <c r="K112" s="38" t="n"/>
      <c r="L112" s="38" t="n"/>
      <c r="M112" s="19">
        <f>IF(AND(A112&lt;&gt;"",G112&lt;&gt;""),G112-A112,"")</f>
        <v/>
      </c>
      <c r="N112" s="18" t="n"/>
    </row>
    <row r="113">
      <c r="A113" s="41" t="n"/>
      <c r="B113" s="35">
        <f>IF(A113="","",YEAR(A113))</f>
        <v/>
      </c>
      <c r="C113" s="36">
        <f>IF(A113="","",MONTH(A113))</f>
        <v/>
      </c>
      <c r="D113" s="37">
        <f>IF(A113="","","Q"&amp;ROUNDUP(MONTH(A113)/3,0))</f>
        <v/>
      </c>
      <c r="E113" s="22" t="n"/>
      <c r="F113" s="22" t="n"/>
      <c r="G113" s="41" t="n"/>
      <c r="H113" s="42" t="n"/>
      <c r="I113" s="42" t="n"/>
      <c r="J113" s="42" t="n"/>
      <c r="K113" s="42" t="n"/>
      <c r="L113" s="42" t="n"/>
      <c r="M113" s="23">
        <f>IF(AND(A113&lt;&gt;"",G113&lt;&gt;""),G113-A113,"")</f>
        <v/>
      </c>
      <c r="N113" s="22" t="n"/>
    </row>
    <row r="114">
      <c r="A114" s="34" t="n"/>
      <c r="B114" s="35">
        <f>IF(A114="","",YEAR(A114))</f>
        <v/>
      </c>
      <c r="C114" s="36">
        <f>IF(A114="","",MONTH(A114))</f>
        <v/>
      </c>
      <c r="D114" s="37">
        <f>IF(A114="","","Q"&amp;ROUNDUP(MONTH(A114)/3,0))</f>
        <v/>
      </c>
      <c r="E114" s="18" t="n"/>
      <c r="F114" s="18" t="n"/>
      <c r="G114" s="34" t="n"/>
      <c r="H114" s="38" t="n"/>
      <c r="I114" s="38" t="n"/>
      <c r="J114" s="38" t="n"/>
      <c r="K114" s="38" t="n"/>
      <c r="L114" s="38" t="n"/>
      <c r="M114" s="19">
        <f>IF(AND(A114&lt;&gt;"",G114&lt;&gt;""),G114-A114,"")</f>
        <v/>
      </c>
      <c r="N114" s="18" t="n"/>
    </row>
    <row r="115">
      <c r="A115" s="41" t="n"/>
      <c r="B115" s="35">
        <f>IF(A115="","",YEAR(A115))</f>
        <v/>
      </c>
      <c r="C115" s="36">
        <f>IF(A115="","",MONTH(A115))</f>
        <v/>
      </c>
      <c r="D115" s="37">
        <f>IF(A115="","","Q"&amp;ROUNDUP(MONTH(A115)/3,0))</f>
        <v/>
      </c>
      <c r="E115" s="22" t="n"/>
      <c r="F115" s="22" t="n"/>
      <c r="G115" s="41" t="n"/>
      <c r="H115" s="42" t="n"/>
      <c r="I115" s="42" t="n"/>
      <c r="J115" s="42" t="n"/>
      <c r="K115" s="42" t="n"/>
      <c r="L115" s="42" t="n"/>
      <c r="M115" s="23">
        <f>IF(AND(A115&lt;&gt;"",G115&lt;&gt;""),G115-A115,"")</f>
        <v/>
      </c>
      <c r="N115" s="22" t="n"/>
    </row>
    <row r="116">
      <c r="A116" s="34" t="n"/>
      <c r="B116" s="35">
        <f>IF(A116="","",YEAR(A116))</f>
        <v/>
      </c>
      <c r="C116" s="36">
        <f>IF(A116="","",MONTH(A116))</f>
        <v/>
      </c>
      <c r="D116" s="37">
        <f>IF(A116="","","Q"&amp;ROUNDUP(MONTH(A116)/3,0))</f>
        <v/>
      </c>
      <c r="E116" s="18" t="n"/>
      <c r="F116" s="18" t="n"/>
      <c r="G116" s="34" t="n"/>
      <c r="H116" s="38" t="n"/>
      <c r="I116" s="38" t="n"/>
      <c r="J116" s="38" t="n"/>
      <c r="K116" s="38" t="n"/>
      <c r="L116" s="38" t="n"/>
      <c r="M116" s="19">
        <f>IF(AND(A116&lt;&gt;"",G116&lt;&gt;""),G116-A116,"")</f>
        <v/>
      </c>
      <c r="N116" s="18" t="n"/>
    </row>
    <row r="117">
      <c r="A117" s="41" t="n"/>
      <c r="B117" s="35">
        <f>IF(A117="","",YEAR(A117))</f>
        <v/>
      </c>
      <c r="C117" s="36">
        <f>IF(A117="","",MONTH(A117))</f>
        <v/>
      </c>
      <c r="D117" s="37">
        <f>IF(A117="","","Q"&amp;ROUNDUP(MONTH(A117)/3,0))</f>
        <v/>
      </c>
      <c r="E117" s="22" t="n"/>
      <c r="F117" s="22" t="n"/>
      <c r="G117" s="41" t="n"/>
      <c r="H117" s="42" t="n"/>
      <c r="I117" s="42" t="n"/>
      <c r="J117" s="42" t="n"/>
      <c r="K117" s="42" t="n"/>
      <c r="L117" s="42" t="n"/>
      <c r="M117" s="23">
        <f>IF(AND(A117&lt;&gt;"",G117&lt;&gt;""),G117-A117,"")</f>
        <v/>
      </c>
      <c r="N117" s="22" t="n"/>
    </row>
    <row r="118">
      <c r="A118" s="34" t="n"/>
      <c r="B118" s="35">
        <f>IF(A118="","",YEAR(A118))</f>
        <v/>
      </c>
      <c r="C118" s="36">
        <f>IF(A118="","",MONTH(A118))</f>
        <v/>
      </c>
      <c r="D118" s="37">
        <f>IF(A118="","","Q"&amp;ROUNDUP(MONTH(A118)/3,0))</f>
        <v/>
      </c>
      <c r="E118" s="18" t="n"/>
      <c r="F118" s="18" t="n"/>
      <c r="G118" s="34" t="n"/>
      <c r="H118" s="38" t="n"/>
      <c r="I118" s="38" t="n"/>
      <c r="J118" s="38" t="n"/>
      <c r="K118" s="38" t="n"/>
      <c r="L118" s="38" t="n"/>
      <c r="M118" s="19">
        <f>IF(AND(A118&lt;&gt;"",G118&lt;&gt;""),G118-A118,"")</f>
        <v/>
      </c>
      <c r="N118" s="18" t="n"/>
    </row>
    <row r="119">
      <c r="A119" s="41" t="n"/>
      <c r="B119" s="35">
        <f>IF(A119="","",YEAR(A119))</f>
        <v/>
      </c>
      <c r="C119" s="36">
        <f>IF(A119="","",MONTH(A119))</f>
        <v/>
      </c>
      <c r="D119" s="37">
        <f>IF(A119="","","Q"&amp;ROUNDUP(MONTH(A119)/3,0))</f>
        <v/>
      </c>
      <c r="E119" s="22" t="n"/>
      <c r="F119" s="22" t="n"/>
      <c r="G119" s="41" t="n"/>
      <c r="H119" s="42" t="n"/>
      <c r="I119" s="42" t="n"/>
      <c r="J119" s="42" t="n"/>
      <c r="K119" s="42" t="n"/>
      <c r="L119" s="42" t="n"/>
      <c r="M119" s="23">
        <f>IF(AND(A119&lt;&gt;"",G119&lt;&gt;""),G119-A119,"")</f>
        <v/>
      </c>
      <c r="N119" s="22" t="n"/>
    </row>
    <row r="120">
      <c r="A120" s="34" t="n"/>
      <c r="B120" s="35">
        <f>IF(A120="","",YEAR(A120))</f>
        <v/>
      </c>
      <c r="C120" s="36">
        <f>IF(A120="","",MONTH(A120))</f>
        <v/>
      </c>
      <c r="D120" s="37">
        <f>IF(A120="","","Q"&amp;ROUNDUP(MONTH(A120)/3,0))</f>
        <v/>
      </c>
      <c r="E120" s="18" t="n"/>
      <c r="F120" s="18" t="n"/>
      <c r="G120" s="34" t="n"/>
      <c r="H120" s="38" t="n"/>
      <c r="I120" s="38" t="n"/>
      <c r="J120" s="38" t="n"/>
      <c r="K120" s="38" t="n"/>
      <c r="L120" s="38" t="n"/>
      <c r="M120" s="19">
        <f>IF(AND(A120&lt;&gt;"",G120&lt;&gt;""),G120-A120,"")</f>
        <v/>
      </c>
      <c r="N120" s="18" t="n"/>
    </row>
    <row r="121">
      <c r="A121" s="41" t="n"/>
      <c r="B121" s="35">
        <f>IF(A121="","",YEAR(A121))</f>
        <v/>
      </c>
      <c r="C121" s="36">
        <f>IF(A121="","",MONTH(A121))</f>
        <v/>
      </c>
      <c r="D121" s="37">
        <f>IF(A121="","","Q"&amp;ROUNDUP(MONTH(A121)/3,0))</f>
        <v/>
      </c>
      <c r="E121" s="22" t="n"/>
      <c r="F121" s="22" t="n"/>
      <c r="G121" s="41" t="n"/>
      <c r="H121" s="42" t="n"/>
      <c r="I121" s="42" t="n"/>
      <c r="J121" s="42" t="n"/>
      <c r="K121" s="42" t="n"/>
      <c r="L121" s="42" t="n"/>
      <c r="M121" s="23">
        <f>IF(AND(A121&lt;&gt;"",G121&lt;&gt;""),G121-A121,"")</f>
        <v/>
      </c>
      <c r="N121" s="22" t="n"/>
    </row>
    <row r="122">
      <c r="A122" s="34" t="n"/>
      <c r="B122" s="35">
        <f>IF(A122="","",YEAR(A122))</f>
        <v/>
      </c>
      <c r="C122" s="36">
        <f>IF(A122="","",MONTH(A122))</f>
        <v/>
      </c>
      <c r="D122" s="37">
        <f>IF(A122="","","Q"&amp;ROUNDUP(MONTH(A122)/3,0))</f>
        <v/>
      </c>
      <c r="E122" s="18" t="n"/>
      <c r="F122" s="18" t="n"/>
      <c r="G122" s="34" t="n"/>
      <c r="H122" s="38" t="n"/>
      <c r="I122" s="38" t="n"/>
      <c r="J122" s="38" t="n"/>
      <c r="K122" s="38" t="n"/>
      <c r="L122" s="38" t="n"/>
      <c r="M122" s="19">
        <f>IF(AND(A122&lt;&gt;"",G122&lt;&gt;""),G122-A122,"")</f>
        <v/>
      </c>
      <c r="N122" s="18" t="n"/>
    </row>
    <row r="123">
      <c r="A123" s="41" t="n"/>
      <c r="B123" s="35">
        <f>IF(A123="","",YEAR(A123))</f>
        <v/>
      </c>
      <c r="C123" s="36">
        <f>IF(A123="","",MONTH(A123))</f>
        <v/>
      </c>
      <c r="D123" s="37">
        <f>IF(A123="","","Q"&amp;ROUNDUP(MONTH(A123)/3,0))</f>
        <v/>
      </c>
      <c r="E123" s="22" t="n"/>
      <c r="F123" s="22" t="n"/>
      <c r="G123" s="41" t="n"/>
      <c r="H123" s="42" t="n"/>
      <c r="I123" s="42" t="n"/>
      <c r="J123" s="42" t="n"/>
      <c r="K123" s="42" t="n"/>
      <c r="L123" s="42" t="n"/>
      <c r="M123" s="23">
        <f>IF(AND(A123&lt;&gt;"",G123&lt;&gt;""),G123-A123,"")</f>
        <v/>
      </c>
      <c r="N123" s="22" t="n"/>
    </row>
    <row r="124">
      <c r="A124" s="34" t="n"/>
      <c r="B124" s="35">
        <f>IF(A124="","",YEAR(A124))</f>
        <v/>
      </c>
      <c r="C124" s="36">
        <f>IF(A124="","",MONTH(A124))</f>
        <v/>
      </c>
      <c r="D124" s="37">
        <f>IF(A124="","","Q"&amp;ROUNDUP(MONTH(A124)/3,0))</f>
        <v/>
      </c>
      <c r="E124" s="18" t="n"/>
      <c r="F124" s="18" t="n"/>
      <c r="G124" s="34" t="n"/>
      <c r="H124" s="38" t="n"/>
      <c r="I124" s="38" t="n"/>
      <c r="J124" s="38" t="n"/>
      <c r="K124" s="38" t="n"/>
      <c r="L124" s="38" t="n"/>
      <c r="M124" s="19">
        <f>IF(AND(A124&lt;&gt;"",G124&lt;&gt;""),G124-A124,"")</f>
        <v/>
      </c>
      <c r="N124" s="18" t="n"/>
    </row>
    <row r="125">
      <c r="A125" s="41" t="n"/>
      <c r="B125" s="35">
        <f>IF(A125="","",YEAR(A125))</f>
        <v/>
      </c>
      <c r="C125" s="36">
        <f>IF(A125="","",MONTH(A125))</f>
        <v/>
      </c>
      <c r="D125" s="37">
        <f>IF(A125="","","Q"&amp;ROUNDUP(MONTH(A125)/3,0))</f>
        <v/>
      </c>
      <c r="E125" s="22" t="n"/>
      <c r="F125" s="22" t="n"/>
      <c r="G125" s="41" t="n"/>
      <c r="H125" s="42" t="n"/>
      <c r="I125" s="42" t="n"/>
      <c r="J125" s="42" t="n"/>
      <c r="K125" s="42" t="n"/>
      <c r="L125" s="42" t="n"/>
      <c r="M125" s="23">
        <f>IF(AND(A125&lt;&gt;"",G125&lt;&gt;""),G125-A125,"")</f>
        <v/>
      </c>
      <c r="N125" s="22" t="n"/>
    </row>
    <row r="126">
      <c r="A126" s="34" t="n"/>
      <c r="B126" s="35">
        <f>IF(A126="","",YEAR(A126))</f>
        <v/>
      </c>
      <c r="C126" s="36">
        <f>IF(A126="","",MONTH(A126))</f>
        <v/>
      </c>
      <c r="D126" s="37">
        <f>IF(A126="","","Q"&amp;ROUNDUP(MONTH(A126)/3,0))</f>
        <v/>
      </c>
      <c r="E126" s="18" t="n"/>
      <c r="F126" s="18" t="n"/>
      <c r="G126" s="34" t="n"/>
      <c r="H126" s="38" t="n"/>
      <c r="I126" s="38" t="n"/>
      <c r="J126" s="38" t="n"/>
      <c r="K126" s="38" t="n"/>
      <c r="L126" s="38" t="n"/>
      <c r="M126" s="19">
        <f>IF(AND(A126&lt;&gt;"",G126&lt;&gt;""),G126-A126,"")</f>
        <v/>
      </c>
      <c r="N126" s="18" t="n"/>
    </row>
    <row r="127">
      <c r="A127" s="41" t="n"/>
      <c r="B127" s="35">
        <f>IF(A127="","",YEAR(A127))</f>
        <v/>
      </c>
      <c r="C127" s="36">
        <f>IF(A127="","",MONTH(A127))</f>
        <v/>
      </c>
      <c r="D127" s="37">
        <f>IF(A127="","","Q"&amp;ROUNDUP(MONTH(A127)/3,0))</f>
        <v/>
      </c>
      <c r="E127" s="22" t="n"/>
      <c r="F127" s="22" t="n"/>
      <c r="G127" s="41" t="n"/>
      <c r="H127" s="42" t="n"/>
      <c r="I127" s="42" t="n"/>
      <c r="J127" s="42" t="n"/>
      <c r="K127" s="42" t="n"/>
      <c r="L127" s="42" t="n"/>
      <c r="M127" s="23">
        <f>IF(AND(A127&lt;&gt;"",G127&lt;&gt;""),G127-A127,"")</f>
        <v/>
      </c>
      <c r="N127" s="22" t="n"/>
    </row>
    <row r="128">
      <c r="A128" s="34" t="n"/>
      <c r="B128" s="35">
        <f>IF(A128="","",YEAR(A128))</f>
        <v/>
      </c>
      <c r="C128" s="36">
        <f>IF(A128="","",MONTH(A128))</f>
        <v/>
      </c>
      <c r="D128" s="37">
        <f>IF(A128="","","Q"&amp;ROUNDUP(MONTH(A128)/3,0))</f>
        <v/>
      </c>
      <c r="E128" s="18" t="n"/>
      <c r="F128" s="18" t="n"/>
      <c r="G128" s="34" t="n"/>
      <c r="H128" s="38" t="n"/>
      <c r="I128" s="38" t="n"/>
      <c r="J128" s="38" t="n"/>
      <c r="K128" s="38" t="n"/>
      <c r="L128" s="38" t="n"/>
      <c r="M128" s="19">
        <f>IF(AND(A128&lt;&gt;"",G128&lt;&gt;""),G128-A128,"")</f>
        <v/>
      </c>
      <c r="N128" s="18" t="n"/>
    </row>
    <row r="129">
      <c r="A129" s="41" t="n"/>
      <c r="B129" s="35">
        <f>IF(A129="","",YEAR(A129))</f>
        <v/>
      </c>
      <c r="C129" s="36">
        <f>IF(A129="","",MONTH(A129))</f>
        <v/>
      </c>
      <c r="D129" s="37">
        <f>IF(A129="","","Q"&amp;ROUNDUP(MONTH(A129)/3,0))</f>
        <v/>
      </c>
      <c r="E129" s="22" t="n"/>
      <c r="F129" s="22" t="n"/>
      <c r="G129" s="41" t="n"/>
      <c r="H129" s="42" t="n"/>
      <c r="I129" s="42" t="n"/>
      <c r="J129" s="42" t="n"/>
      <c r="K129" s="42" t="n"/>
      <c r="L129" s="42" t="n"/>
      <c r="M129" s="23">
        <f>IF(AND(A129&lt;&gt;"",G129&lt;&gt;""),G129-A129,"")</f>
        <v/>
      </c>
      <c r="N129" s="22" t="n"/>
    </row>
    <row r="130">
      <c r="A130" s="34" t="n"/>
      <c r="B130" s="35">
        <f>IF(A130="","",YEAR(A130))</f>
        <v/>
      </c>
      <c r="C130" s="36">
        <f>IF(A130="","",MONTH(A130))</f>
        <v/>
      </c>
      <c r="D130" s="37">
        <f>IF(A130="","","Q"&amp;ROUNDUP(MONTH(A130)/3,0))</f>
        <v/>
      </c>
      <c r="E130" s="18" t="n"/>
      <c r="F130" s="18" t="n"/>
      <c r="G130" s="34" t="n"/>
      <c r="H130" s="38" t="n"/>
      <c r="I130" s="38" t="n"/>
      <c r="J130" s="38" t="n"/>
      <c r="K130" s="38" t="n"/>
      <c r="L130" s="38" t="n"/>
      <c r="M130" s="19">
        <f>IF(AND(A130&lt;&gt;"",G130&lt;&gt;""),G130-A130,"")</f>
        <v/>
      </c>
      <c r="N130" s="18" t="n"/>
    </row>
    <row r="131">
      <c r="A131" s="41" t="n"/>
      <c r="B131" s="35">
        <f>IF(A131="","",YEAR(A131))</f>
        <v/>
      </c>
      <c r="C131" s="36">
        <f>IF(A131="","",MONTH(A131))</f>
        <v/>
      </c>
      <c r="D131" s="37">
        <f>IF(A131="","","Q"&amp;ROUNDUP(MONTH(A131)/3,0))</f>
        <v/>
      </c>
      <c r="E131" s="22" t="n"/>
      <c r="F131" s="22" t="n"/>
      <c r="G131" s="41" t="n"/>
      <c r="H131" s="42" t="n"/>
      <c r="I131" s="42" t="n"/>
      <c r="J131" s="42" t="n"/>
      <c r="K131" s="42" t="n"/>
      <c r="L131" s="42" t="n"/>
      <c r="M131" s="23">
        <f>IF(AND(A131&lt;&gt;"",G131&lt;&gt;""),G131-A131,"")</f>
        <v/>
      </c>
      <c r="N131" s="22" t="n"/>
    </row>
    <row r="132">
      <c r="A132" s="34" t="n"/>
      <c r="B132" s="35">
        <f>IF(A132="","",YEAR(A132))</f>
        <v/>
      </c>
      <c r="C132" s="36">
        <f>IF(A132="","",MONTH(A132))</f>
        <v/>
      </c>
      <c r="D132" s="37">
        <f>IF(A132="","","Q"&amp;ROUNDUP(MONTH(A132)/3,0))</f>
        <v/>
      </c>
      <c r="E132" s="18" t="n"/>
      <c r="F132" s="18" t="n"/>
      <c r="G132" s="34" t="n"/>
      <c r="H132" s="38" t="n"/>
      <c r="I132" s="38" t="n"/>
      <c r="J132" s="38" t="n"/>
      <c r="K132" s="38" t="n"/>
      <c r="L132" s="38" t="n"/>
      <c r="M132" s="19">
        <f>IF(AND(A132&lt;&gt;"",G132&lt;&gt;""),G132-A132,"")</f>
        <v/>
      </c>
      <c r="N132" s="18" t="n"/>
    </row>
    <row r="133">
      <c r="A133" s="41" t="n"/>
      <c r="B133" s="35">
        <f>IF(A133="","",YEAR(A133))</f>
        <v/>
      </c>
      <c r="C133" s="36">
        <f>IF(A133="","",MONTH(A133))</f>
        <v/>
      </c>
      <c r="D133" s="37">
        <f>IF(A133="","","Q"&amp;ROUNDUP(MONTH(A133)/3,0))</f>
        <v/>
      </c>
      <c r="E133" s="22" t="n"/>
      <c r="F133" s="22" t="n"/>
      <c r="G133" s="41" t="n"/>
      <c r="H133" s="42" t="n"/>
      <c r="I133" s="42" t="n"/>
      <c r="J133" s="42" t="n"/>
      <c r="K133" s="42" t="n"/>
      <c r="L133" s="42" t="n"/>
      <c r="M133" s="23">
        <f>IF(AND(A133&lt;&gt;"",G133&lt;&gt;""),G133-A133,"")</f>
        <v/>
      </c>
      <c r="N133" s="22" t="n"/>
    </row>
    <row r="134">
      <c r="A134" s="34" t="n"/>
      <c r="B134" s="35">
        <f>IF(A134="","",YEAR(A134))</f>
        <v/>
      </c>
      <c r="C134" s="36">
        <f>IF(A134="","",MONTH(A134))</f>
        <v/>
      </c>
      <c r="D134" s="37">
        <f>IF(A134="","","Q"&amp;ROUNDUP(MONTH(A134)/3,0))</f>
        <v/>
      </c>
      <c r="E134" s="18" t="n"/>
      <c r="F134" s="18" t="n"/>
      <c r="G134" s="34" t="n"/>
      <c r="H134" s="38" t="n"/>
      <c r="I134" s="38" t="n"/>
      <c r="J134" s="38" t="n"/>
      <c r="K134" s="38" t="n"/>
      <c r="L134" s="38" t="n"/>
      <c r="M134" s="19">
        <f>IF(AND(A134&lt;&gt;"",G134&lt;&gt;""),G134-A134,"")</f>
        <v/>
      </c>
      <c r="N134" s="18" t="n"/>
    </row>
    <row r="135">
      <c r="A135" s="41" t="n"/>
      <c r="B135" s="35">
        <f>IF(A135="","",YEAR(A135))</f>
        <v/>
      </c>
      <c r="C135" s="36">
        <f>IF(A135="","",MONTH(A135))</f>
        <v/>
      </c>
      <c r="D135" s="37">
        <f>IF(A135="","","Q"&amp;ROUNDUP(MONTH(A135)/3,0))</f>
        <v/>
      </c>
      <c r="E135" s="22" t="n"/>
      <c r="F135" s="22" t="n"/>
      <c r="G135" s="41" t="n"/>
      <c r="H135" s="42" t="n"/>
      <c r="I135" s="42" t="n"/>
      <c r="J135" s="42" t="n"/>
      <c r="K135" s="42" t="n"/>
      <c r="L135" s="42" t="n"/>
      <c r="M135" s="23">
        <f>IF(AND(A135&lt;&gt;"",G135&lt;&gt;""),G135-A135,"")</f>
        <v/>
      </c>
      <c r="N135" s="22" t="n"/>
    </row>
    <row r="136">
      <c r="A136" s="34" t="n"/>
      <c r="B136" s="35">
        <f>IF(A136="","",YEAR(A136))</f>
        <v/>
      </c>
      <c r="C136" s="36">
        <f>IF(A136="","",MONTH(A136))</f>
        <v/>
      </c>
      <c r="D136" s="37">
        <f>IF(A136="","","Q"&amp;ROUNDUP(MONTH(A136)/3,0))</f>
        <v/>
      </c>
      <c r="E136" s="18" t="n"/>
      <c r="F136" s="18" t="n"/>
      <c r="G136" s="34" t="n"/>
      <c r="H136" s="38" t="n"/>
      <c r="I136" s="38" t="n"/>
      <c r="J136" s="38" t="n"/>
      <c r="K136" s="38" t="n"/>
      <c r="L136" s="38" t="n"/>
      <c r="M136" s="19">
        <f>IF(AND(A136&lt;&gt;"",G136&lt;&gt;""),G136-A136,"")</f>
        <v/>
      </c>
      <c r="N136" s="18" t="n"/>
    </row>
    <row r="137">
      <c r="A137" s="41" t="n"/>
      <c r="B137" s="35">
        <f>IF(A137="","",YEAR(A137))</f>
        <v/>
      </c>
      <c r="C137" s="36">
        <f>IF(A137="","",MONTH(A137))</f>
        <v/>
      </c>
      <c r="D137" s="37">
        <f>IF(A137="","","Q"&amp;ROUNDUP(MONTH(A137)/3,0))</f>
        <v/>
      </c>
      <c r="E137" s="22" t="n"/>
      <c r="F137" s="22" t="n"/>
      <c r="G137" s="41" t="n"/>
      <c r="H137" s="42" t="n"/>
      <c r="I137" s="42" t="n"/>
      <c r="J137" s="42" t="n"/>
      <c r="K137" s="42" t="n"/>
      <c r="L137" s="42" t="n"/>
      <c r="M137" s="23">
        <f>IF(AND(A137&lt;&gt;"",G137&lt;&gt;""),G137-A137,"")</f>
        <v/>
      </c>
      <c r="N137" s="22" t="n"/>
    </row>
    <row r="138">
      <c r="A138" s="34" t="n"/>
      <c r="B138" s="35">
        <f>IF(A138="","",YEAR(A138))</f>
        <v/>
      </c>
      <c r="C138" s="36">
        <f>IF(A138="","",MONTH(A138))</f>
        <v/>
      </c>
      <c r="D138" s="37">
        <f>IF(A138="","","Q"&amp;ROUNDUP(MONTH(A138)/3,0))</f>
        <v/>
      </c>
      <c r="E138" s="18" t="n"/>
      <c r="F138" s="18" t="n"/>
      <c r="G138" s="34" t="n"/>
      <c r="H138" s="38" t="n"/>
      <c r="I138" s="38" t="n"/>
      <c r="J138" s="38" t="n"/>
      <c r="K138" s="38" t="n"/>
      <c r="L138" s="38" t="n"/>
      <c r="M138" s="19">
        <f>IF(AND(A138&lt;&gt;"",G138&lt;&gt;""),G138-A138,"")</f>
        <v/>
      </c>
      <c r="N138" s="18" t="n"/>
    </row>
    <row r="139">
      <c r="A139" s="41" t="n"/>
      <c r="B139" s="35">
        <f>IF(A139="","",YEAR(A139))</f>
        <v/>
      </c>
      <c r="C139" s="36">
        <f>IF(A139="","",MONTH(A139))</f>
        <v/>
      </c>
      <c r="D139" s="37">
        <f>IF(A139="","","Q"&amp;ROUNDUP(MONTH(A139)/3,0))</f>
        <v/>
      </c>
      <c r="E139" s="22" t="n"/>
      <c r="F139" s="22" t="n"/>
      <c r="G139" s="41" t="n"/>
      <c r="H139" s="42" t="n"/>
      <c r="I139" s="42" t="n"/>
      <c r="J139" s="42" t="n"/>
      <c r="K139" s="42" t="n"/>
      <c r="L139" s="42" t="n"/>
      <c r="M139" s="23">
        <f>IF(AND(A139&lt;&gt;"",G139&lt;&gt;""),G139-A139,"")</f>
        <v/>
      </c>
      <c r="N139" s="22" t="n"/>
    </row>
    <row r="140">
      <c r="A140" s="34" t="n"/>
      <c r="B140" s="35">
        <f>IF(A140="","",YEAR(A140))</f>
        <v/>
      </c>
      <c r="C140" s="36">
        <f>IF(A140="","",MONTH(A140))</f>
        <v/>
      </c>
      <c r="D140" s="37">
        <f>IF(A140="","","Q"&amp;ROUNDUP(MONTH(A140)/3,0))</f>
        <v/>
      </c>
      <c r="E140" s="18" t="n"/>
      <c r="F140" s="18" t="n"/>
      <c r="G140" s="34" t="n"/>
      <c r="H140" s="38" t="n"/>
      <c r="I140" s="38" t="n"/>
      <c r="J140" s="38" t="n"/>
      <c r="K140" s="38" t="n"/>
      <c r="L140" s="38" t="n"/>
      <c r="M140" s="19">
        <f>IF(AND(A140&lt;&gt;"",G140&lt;&gt;""),G140-A140,"")</f>
        <v/>
      </c>
      <c r="N140" s="18" t="n"/>
    </row>
    <row r="141">
      <c r="A141" s="41" t="n"/>
      <c r="B141" s="35">
        <f>IF(A141="","",YEAR(A141))</f>
        <v/>
      </c>
      <c r="C141" s="36">
        <f>IF(A141="","",MONTH(A141))</f>
        <v/>
      </c>
      <c r="D141" s="37">
        <f>IF(A141="","","Q"&amp;ROUNDUP(MONTH(A141)/3,0))</f>
        <v/>
      </c>
      <c r="E141" s="22" t="n"/>
      <c r="F141" s="22" t="n"/>
      <c r="G141" s="41" t="n"/>
      <c r="H141" s="42" t="n"/>
      <c r="I141" s="42" t="n"/>
      <c r="J141" s="42" t="n"/>
      <c r="K141" s="42" t="n"/>
      <c r="L141" s="42" t="n"/>
      <c r="M141" s="23">
        <f>IF(AND(A141&lt;&gt;"",G141&lt;&gt;""),G141-A141,"")</f>
        <v/>
      </c>
      <c r="N141" s="22" t="n"/>
    </row>
    <row r="142">
      <c r="A142" s="34" t="n"/>
      <c r="B142" s="35">
        <f>IF(A142="","",YEAR(A142))</f>
        <v/>
      </c>
      <c r="C142" s="36">
        <f>IF(A142="","",MONTH(A142))</f>
        <v/>
      </c>
      <c r="D142" s="37">
        <f>IF(A142="","","Q"&amp;ROUNDUP(MONTH(A142)/3,0))</f>
        <v/>
      </c>
      <c r="E142" s="18" t="n"/>
      <c r="F142" s="18" t="n"/>
      <c r="G142" s="34" t="n"/>
      <c r="H142" s="38" t="n"/>
      <c r="I142" s="38" t="n"/>
      <c r="J142" s="38" t="n"/>
      <c r="K142" s="38" t="n"/>
      <c r="L142" s="38" t="n"/>
      <c r="M142" s="19">
        <f>IF(AND(A142&lt;&gt;"",G142&lt;&gt;""),G142-A142,"")</f>
        <v/>
      </c>
      <c r="N142" s="18" t="n"/>
    </row>
    <row r="143">
      <c r="A143" s="41" t="n"/>
      <c r="B143" s="35">
        <f>IF(A143="","",YEAR(A143))</f>
        <v/>
      </c>
      <c r="C143" s="36">
        <f>IF(A143="","",MONTH(A143))</f>
        <v/>
      </c>
      <c r="D143" s="37">
        <f>IF(A143="","","Q"&amp;ROUNDUP(MONTH(A143)/3,0))</f>
        <v/>
      </c>
      <c r="E143" s="22" t="n"/>
      <c r="F143" s="22" t="n"/>
      <c r="G143" s="41" t="n"/>
      <c r="H143" s="42" t="n"/>
      <c r="I143" s="42" t="n"/>
      <c r="J143" s="42" t="n"/>
      <c r="K143" s="42" t="n"/>
      <c r="L143" s="42" t="n"/>
      <c r="M143" s="23">
        <f>IF(AND(A143&lt;&gt;"",G143&lt;&gt;""),G143-A143,"")</f>
        <v/>
      </c>
      <c r="N143" s="22" t="n"/>
    </row>
    <row r="144">
      <c r="A144" s="34" t="n"/>
      <c r="B144" s="35">
        <f>IF(A144="","",YEAR(A144))</f>
        <v/>
      </c>
      <c r="C144" s="36">
        <f>IF(A144="","",MONTH(A144))</f>
        <v/>
      </c>
      <c r="D144" s="37">
        <f>IF(A144="","","Q"&amp;ROUNDUP(MONTH(A144)/3,0))</f>
        <v/>
      </c>
      <c r="E144" s="18" t="n"/>
      <c r="F144" s="18" t="n"/>
      <c r="G144" s="34" t="n"/>
      <c r="H144" s="38" t="n"/>
      <c r="I144" s="38" t="n"/>
      <c r="J144" s="38" t="n"/>
      <c r="K144" s="38" t="n"/>
      <c r="L144" s="38" t="n"/>
      <c r="M144" s="19">
        <f>IF(AND(A144&lt;&gt;"",G144&lt;&gt;""),G144-A144,"")</f>
        <v/>
      </c>
      <c r="N144" s="18" t="n"/>
    </row>
    <row r="145">
      <c r="A145" s="41" t="n"/>
      <c r="B145" s="35">
        <f>IF(A145="","",YEAR(A145))</f>
        <v/>
      </c>
      <c r="C145" s="36">
        <f>IF(A145="","",MONTH(A145))</f>
        <v/>
      </c>
      <c r="D145" s="37">
        <f>IF(A145="","","Q"&amp;ROUNDUP(MONTH(A145)/3,0))</f>
        <v/>
      </c>
      <c r="E145" s="22" t="n"/>
      <c r="F145" s="22" t="n"/>
      <c r="G145" s="41" t="n"/>
      <c r="H145" s="42" t="n"/>
      <c r="I145" s="42" t="n"/>
      <c r="J145" s="42" t="n"/>
      <c r="K145" s="42" t="n"/>
      <c r="L145" s="42" t="n"/>
      <c r="M145" s="23">
        <f>IF(AND(A145&lt;&gt;"",G145&lt;&gt;""),G145-A145,"")</f>
        <v/>
      </c>
      <c r="N145" s="22" t="n"/>
    </row>
    <row r="146">
      <c r="A146" s="34" t="n"/>
      <c r="B146" s="35">
        <f>IF(A146="","",YEAR(A146))</f>
        <v/>
      </c>
      <c r="C146" s="36">
        <f>IF(A146="","",MONTH(A146))</f>
        <v/>
      </c>
      <c r="D146" s="37">
        <f>IF(A146="","","Q"&amp;ROUNDUP(MONTH(A146)/3,0))</f>
        <v/>
      </c>
      <c r="E146" s="18" t="n"/>
      <c r="F146" s="18" t="n"/>
      <c r="G146" s="34" t="n"/>
      <c r="H146" s="38" t="n"/>
      <c r="I146" s="38" t="n"/>
      <c r="J146" s="38" t="n"/>
      <c r="K146" s="38" t="n"/>
      <c r="L146" s="38" t="n"/>
      <c r="M146" s="19">
        <f>IF(AND(A146&lt;&gt;"",G146&lt;&gt;""),G146-A146,"")</f>
        <v/>
      </c>
      <c r="N146" s="18" t="n"/>
    </row>
    <row r="147">
      <c r="A147" s="41" t="n"/>
      <c r="B147" s="35">
        <f>IF(A147="","",YEAR(A147))</f>
        <v/>
      </c>
      <c r="C147" s="36">
        <f>IF(A147="","",MONTH(A147))</f>
        <v/>
      </c>
      <c r="D147" s="37">
        <f>IF(A147="","","Q"&amp;ROUNDUP(MONTH(A147)/3,0))</f>
        <v/>
      </c>
      <c r="E147" s="22" t="n"/>
      <c r="F147" s="22" t="n"/>
      <c r="G147" s="41" t="n"/>
      <c r="H147" s="42" t="n"/>
      <c r="I147" s="42" t="n"/>
      <c r="J147" s="42" t="n"/>
      <c r="K147" s="42" t="n"/>
      <c r="L147" s="42" t="n"/>
      <c r="M147" s="23">
        <f>IF(AND(A147&lt;&gt;"",G147&lt;&gt;""),G147-A147,"")</f>
        <v/>
      </c>
      <c r="N147" s="22" t="n"/>
    </row>
    <row r="148">
      <c r="A148" s="34" t="n"/>
      <c r="B148" s="35">
        <f>IF(A148="","",YEAR(A148))</f>
        <v/>
      </c>
      <c r="C148" s="36">
        <f>IF(A148="","",MONTH(A148))</f>
        <v/>
      </c>
      <c r="D148" s="37">
        <f>IF(A148="","","Q"&amp;ROUNDUP(MONTH(A148)/3,0))</f>
        <v/>
      </c>
      <c r="E148" s="18" t="n"/>
      <c r="F148" s="18" t="n"/>
      <c r="G148" s="34" t="n"/>
      <c r="H148" s="38" t="n"/>
      <c r="I148" s="38" t="n"/>
      <c r="J148" s="38" t="n"/>
      <c r="K148" s="38" t="n"/>
      <c r="L148" s="38" t="n"/>
      <c r="M148" s="19">
        <f>IF(AND(A148&lt;&gt;"",G148&lt;&gt;""),G148-A148,"")</f>
        <v/>
      </c>
      <c r="N148" s="18" t="n"/>
    </row>
    <row r="149">
      <c r="A149" s="41" t="n"/>
      <c r="B149" s="35">
        <f>IF(A149="","",YEAR(A149))</f>
        <v/>
      </c>
      <c r="C149" s="36">
        <f>IF(A149="","",MONTH(A149))</f>
        <v/>
      </c>
      <c r="D149" s="37">
        <f>IF(A149="","","Q"&amp;ROUNDUP(MONTH(A149)/3,0))</f>
        <v/>
      </c>
      <c r="E149" s="22" t="n"/>
      <c r="F149" s="22" t="n"/>
      <c r="G149" s="41" t="n"/>
      <c r="H149" s="42" t="n"/>
      <c r="I149" s="42" t="n"/>
      <c r="J149" s="42" t="n"/>
      <c r="K149" s="42" t="n"/>
      <c r="L149" s="42" t="n"/>
      <c r="M149" s="23">
        <f>IF(AND(A149&lt;&gt;"",G149&lt;&gt;""),G149-A149,"")</f>
        <v/>
      </c>
      <c r="N149" s="22" t="n"/>
    </row>
    <row r="150">
      <c r="A150" s="34" t="n"/>
      <c r="B150" s="35">
        <f>IF(A150="","",YEAR(A150))</f>
        <v/>
      </c>
      <c r="C150" s="36">
        <f>IF(A150="","",MONTH(A150))</f>
        <v/>
      </c>
      <c r="D150" s="37">
        <f>IF(A150="","","Q"&amp;ROUNDUP(MONTH(A150)/3,0))</f>
        <v/>
      </c>
      <c r="E150" s="18" t="n"/>
      <c r="F150" s="18" t="n"/>
      <c r="G150" s="34" t="n"/>
      <c r="H150" s="38" t="n"/>
      <c r="I150" s="38" t="n"/>
      <c r="J150" s="38" t="n"/>
      <c r="K150" s="38" t="n"/>
      <c r="L150" s="38" t="n"/>
      <c r="M150" s="19">
        <f>IF(AND(A150&lt;&gt;"",G150&lt;&gt;""),G150-A150,"")</f>
        <v/>
      </c>
      <c r="N150" s="18" t="n"/>
    </row>
    <row r="151">
      <c r="A151" s="41" t="n"/>
      <c r="B151" s="35">
        <f>IF(A151="","",YEAR(A151))</f>
        <v/>
      </c>
      <c r="C151" s="36">
        <f>IF(A151="","",MONTH(A151))</f>
        <v/>
      </c>
      <c r="D151" s="37">
        <f>IF(A151="","","Q"&amp;ROUNDUP(MONTH(A151)/3,0))</f>
        <v/>
      </c>
      <c r="E151" s="22" t="n"/>
      <c r="F151" s="22" t="n"/>
      <c r="G151" s="41" t="n"/>
      <c r="H151" s="42" t="n"/>
      <c r="I151" s="42" t="n"/>
      <c r="J151" s="42" t="n"/>
      <c r="K151" s="42" t="n"/>
      <c r="L151" s="42" t="n"/>
      <c r="M151" s="23">
        <f>IF(AND(A151&lt;&gt;"",G151&lt;&gt;""),G151-A151,"")</f>
        <v/>
      </c>
      <c r="N151" s="22" t="n"/>
    </row>
    <row r="152">
      <c r="A152" s="34" t="n"/>
      <c r="B152" s="35">
        <f>IF(A152="","",YEAR(A152))</f>
        <v/>
      </c>
      <c r="C152" s="36">
        <f>IF(A152="","",MONTH(A152))</f>
        <v/>
      </c>
      <c r="D152" s="37">
        <f>IF(A152="","","Q"&amp;ROUNDUP(MONTH(A152)/3,0))</f>
        <v/>
      </c>
      <c r="E152" s="18" t="n"/>
      <c r="F152" s="18" t="n"/>
      <c r="G152" s="34" t="n"/>
      <c r="H152" s="38" t="n"/>
      <c r="I152" s="38" t="n"/>
      <c r="J152" s="38" t="n"/>
      <c r="K152" s="38" t="n"/>
      <c r="L152" s="38" t="n"/>
      <c r="M152" s="19">
        <f>IF(AND(A152&lt;&gt;"",G152&lt;&gt;""),G152-A152,"")</f>
        <v/>
      </c>
      <c r="N152" s="18" t="n"/>
    </row>
    <row r="153">
      <c r="A153" s="41" t="n"/>
      <c r="B153" s="35">
        <f>IF(A153="","",YEAR(A153))</f>
        <v/>
      </c>
      <c r="C153" s="36">
        <f>IF(A153="","",MONTH(A153))</f>
        <v/>
      </c>
      <c r="D153" s="37">
        <f>IF(A153="","","Q"&amp;ROUNDUP(MONTH(A153)/3,0))</f>
        <v/>
      </c>
      <c r="E153" s="22" t="n"/>
      <c r="F153" s="22" t="n"/>
      <c r="G153" s="41" t="n"/>
      <c r="H153" s="42" t="n"/>
      <c r="I153" s="42" t="n"/>
      <c r="J153" s="42" t="n"/>
      <c r="K153" s="42" t="n"/>
      <c r="L153" s="42" t="n"/>
      <c r="M153" s="23">
        <f>IF(AND(A153&lt;&gt;"",G153&lt;&gt;""),G153-A153,"")</f>
        <v/>
      </c>
      <c r="N153" s="22" t="n"/>
    </row>
    <row r="154">
      <c r="A154" s="34" t="n"/>
      <c r="B154" s="35">
        <f>IF(A154="","",YEAR(A154))</f>
        <v/>
      </c>
      <c r="C154" s="36">
        <f>IF(A154="","",MONTH(A154))</f>
        <v/>
      </c>
      <c r="D154" s="37">
        <f>IF(A154="","","Q"&amp;ROUNDUP(MONTH(A154)/3,0))</f>
        <v/>
      </c>
      <c r="E154" s="18" t="n"/>
      <c r="F154" s="18" t="n"/>
      <c r="G154" s="34" t="n"/>
      <c r="H154" s="38" t="n"/>
      <c r="I154" s="38" t="n"/>
      <c r="J154" s="38" t="n"/>
      <c r="K154" s="38" t="n"/>
      <c r="L154" s="38" t="n"/>
      <c r="M154" s="19">
        <f>IF(AND(A154&lt;&gt;"",G154&lt;&gt;""),G154-A154,"")</f>
        <v/>
      </c>
      <c r="N154" s="18" t="n"/>
    </row>
    <row r="155">
      <c r="A155" s="41" t="n"/>
      <c r="B155" s="35">
        <f>IF(A155="","",YEAR(A155))</f>
        <v/>
      </c>
      <c r="C155" s="36">
        <f>IF(A155="","",MONTH(A155))</f>
        <v/>
      </c>
      <c r="D155" s="37">
        <f>IF(A155="","","Q"&amp;ROUNDUP(MONTH(A155)/3,0))</f>
        <v/>
      </c>
      <c r="E155" s="22" t="n"/>
      <c r="F155" s="22" t="n"/>
      <c r="G155" s="41" t="n"/>
      <c r="H155" s="42" t="n"/>
      <c r="I155" s="42" t="n"/>
      <c r="J155" s="42" t="n"/>
      <c r="K155" s="42" t="n"/>
      <c r="L155" s="42" t="n"/>
      <c r="M155" s="23">
        <f>IF(AND(A155&lt;&gt;"",G155&lt;&gt;""),G155-A155,"")</f>
        <v/>
      </c>
      <c r="N155" s="22" t="n"/>
    </row>
    <row r="156">
      <c r="A156" s="34" t="n"/>
      <c r="B156" s="35">
        <f>IF(A156="","",YEAR(A156))</f>
        <v/>
      </c>
      <c r="C156" s="36">
        <f>IF(A156="","",MONTH(A156))</f>
        <v/>
      </c>
      <c r="D156" s="37">
        <f>IF(A156="","","Q"&amp;ROUNDUP(MONTH(A156)/3,0))</f>
        <v/>
      </c>
      <c r="E156" s="18" t="n"/>
      <c r="F156" s="18" t="n"/>
      <c r="G156" s="34" t="n"/>
      <c r="H156" s="38" t="n"/>
      <c r="I156" s="38" t="n"/>
      <c r="J156" s="38" t="n"/>
      <c r="K156" s="38" t="n"/>
      <c r="L156" s="38" t="n"/>
      <c r="M156" s="19">
        <f>IF(AND(A156&lt;&gt;"",G156&lt;&gt;""),G156-A156,"")</f>
        <v/>
      </c>
      <c r="N156" s="18" t="n"/>
    </row>
    <row r="157">
      <c r="A157" s="41" t="n"/>
      <c r="B157" s="35">
        <f>IF(A157="","",YEAR(A157))</f>
        <v/>
      </c>
      <c r="C157" s="36">
        <f>IF(A157="","",MONTH(A157))</f>
        <v/>
      </c>
      <c r="D157" s="37">
        <f>IF(A157="","","Q"&amp;ROUNDUP(MONTH(A157)/3,0))</f>
        <v/>
      </c>
      <c r="E157" s="22" t="n"/>
      <c r="F157" s="22" t="n"/>
      <c r="G157" s="41" t="n"/>
      <c r="H157" s="42" t="n"/>
      <c r="I157" s="42" t="n"/>
      <c r="J157" s="42" t="n"/>
      <c r="K157" s="42" t="n"/>
      <c r="L157" s="42" t="n"/>
      <c r="M157" s="23">
        <f>IF(AND(A157&lt;&gt;"",G157&lt;&gt;""),G157-A157,"")</f>
        <v/>
      </c>
      <c r="N157" s="22" t="n"/>
    </row>
    <row r="158">
      <c r="A158" s="34" t="n"/>
      <c r="B158" s="35">
        <f>IF(A158="","",YEAR(A158))</f>
        <v/>
      </c>
      <c r="C158" s="36">
        <f>IF(A158="","",MONTH(A158))</f>
        <v/>
      </c>
      <c r="D158" s="37">
        <f>IF(A158="","","Q"&amp;ROUNDUP(MONTH(A158)/3,0))</f>
        <v/>
      </c>
      <c r="E158" s="18" t="n"/>
      <c r="F158" s="18" t="n"/>
      <c r="G158" s="34" t="n"/>
      <c r="H158" s="38" t="n"/>
      <c r="I158" s="38" t="n"/>
      <c r="J158" s="38" t="n"/>
      <c r="K158" s="38" t="n"/>
      <c r="L158" s="38" t="n"/>
      <c r="M158" s="19">
        <f>IF(AND(A158&lt;&gt;"",G158&lt;&gt;""),G158-A158,"")</f>
        <v/>
      </c>
      <c r="N158" s="18" t="n"/>
    </row>
    <row r="159">
      <c r="A159" s="41" t="n"/>
      <c r="B159" s="35">
        <f>IF(A159="","",YEAR(A159))</f>
        <v/>
      </c>
      <c r="C159" s="36">
        <f>IF(A159="","",MONTH(A159))</f>
        <v/>
      </c>
      <c r="D159" s="37">
        <f>IF(A159="","","Q"&amp;ROUNDUP(MONTH(A159)/3,0))</f>
        <v/>
      </c>
      <c r="E159" s="22" t="n"/>
      <c r="F159" s="22" t="n"/>
      <c r="G159" s="41" t="n"/>
      <c r="H159" s="42" t="n"/>
      <c r="I159" s="42" t="n"/>
      <c r="J159" s="42" t="n"/>
      <c r="K159" s="42" t="n"/>
      <c r="L159" s="42" t="n"/>
      <c r="M159" s="23">
        <f>IF(AND(A159&lt;&gt;"",G159&lt;&gt;""),G159-A159,"")</f>
        <v/>
      </c>
      <c r="N159" s="22" t="n"/>
    </row>
    <row r="160">
      <c r="A160" s="34" t="n"/>
      <c r="B160" s="35">
        <f>IF(A160="","",YEAR(A160))</f>
        <v/>
      </c>
      <c r="C160" s="36">
        <f>IF(A160="","",MONTH(A160))</f>
        <v/>
      </c>
      <c r="D160" s="37">
        <f>IF(A160="","","Q"&amp;ROUNDUP(MONTH(A160)/3,0))</f>
        <v/>
      </c>
      <c r="E160" s="18" t="n"/>
      <c r="F160" s="18" t="n"/>
      <c r="G160" s="34" t="n"/>
      <c r="H160" s="38" t="n"/>
      <c r="I160" s="38" t="n"/>
      <c r="J160" s="38" t="n"/>
      <c r="K160" s="38" t="n"/>
      <c r="L160" s="38" t="n"/>
      <c r="M160" s="19">
        <f>IF(AND(A160&lt;&gt;"",G160&lt;&gt;""),G160-A160,"")</f>
        <v/>
      </c>
      <c r="N160" s="18" t="n"/>
    </row>
    <row r="161">
      <c r="A161" s="41" t="n"/>
      <c r="B161" s="35">
        <f>IF(A161="","",YEAR(A161))</f>
        <v/>
      </c>
      <c r="C161" s="36">
        <f>IF(A161="","",MONTH(A161))</f>
        <v/>
      </c>
      <c r="D161" s="37">
        <f>IF(A161="","","Q"&amp;ROUNDUP(MONTH(A161)/3,0))</f>
        <v/>
      </c>
      <c r="E161" s="22" t="n"/>
      <c r="F161" s="22" t="n"/>
      <c r="G161" s="41" t="n"/>
      <c r="H161" s="42" t="n"/>
      <c r="I161" s="42" t="n"/>
      <c r="J161" s="42" t="n"/>
      <c r="K161" s="42" t="n"/>
      <c r="L161" s="42" t="n"/>
      <c r="M161" s="23">
        <f>IF(AND(A161&lt;&gt;"",G161&lt;&gt;""),G161-A161,"")</f>
        <v/>
      </c>
      <c r="N161" s="22" t="n"/>
    </row>
    <row r="162">
      <c r="A162" s="34" t="n"/>
      <c r="B162" s="35">
        <f>IF(A162="","",YEAR(A162))</f>
        <v/>
      </c>
      <c r="C162" s="36">
        <f>IF(A162="","",MONTH(A162))</f>
        <v/>
      </c>
      <c r="D162" s="37">
        <f>IF(A162="","","Q"&amp;ROUNDUP(MONTH(A162)/3,0))</f>
        <v/>
      </c>
      <c r="E162" s="18" t="n"/>
      <c r="F162" s="18" t="n"/>
      <c r="G162" s="34" t="n"/>
      <c r="H162" s="38" t="n"/>
      <c r="I162" s="38" t="n"/>
      <c r="J162" s="38" t="n"/>
      <c r="K162" s="38" t="n"/>
      <c r="L162" s="38" t="n"/>
      <c r="M162" s="19">
        <f>IF(AND(A162&lt;&gt;"",G162&lt;&gt;""),G162-A162,"")</f>
        <v/>
      </c>
      <c r="N162" s="18" t="n"/>
    </row>
    <row r="163">
      <c r="A163" s="41" t="n"/>
      <c r="B163" s="35">
        <f>IF(A163="","",YEAR(A163))</f>
        <v/>
      </c>
      <c r="C163" s="36">
        <f>IF(A163="","",MONTH(A163))</f>
        <v/>
      </c>
      <c r="D163" s="37">
        <f>IF(A163="","","Q"&amp;ROUNDUP(MONTH(A163)/3,0))</f>
        <v/>
      </c>
      <c r="E163" s="22" t="n"/>
      <c r="F163" s="22" t="n"/>
      <c r="G163" s="41" t="n"/>
      <c r="H163" s="42" t="n"/>
      <c r="I163" s="42" t="n"/>
      <c r="J163" s="42" t="n"/>
      <c r="K163" s="42" t="n"/>
      <c r="L163" s="42" t="n"/>
      <c r="M163" s="23">
        <f>IF(AND(A163&lt;&gt;"",G163&lt;&gt;""),G163-A163,"")</f>
        <v/>
      </c>
      <c r="N163" s="22" t="n"/>
    </row>
    <row r="164">
      <c r="A164" s="34" t="n"/>
      <c r="B164" s="35">
        <f>IF(A164="","",YEAR(A164))</f>
        <v/>
      </c>
      <c r="C164" s="36">
        <f>IF(A164="","",MONTH(A164))</f>
        <v/>
      </c>
      <c r="D164" s="37">
        <f>IF(A164="","","Q"&amp;ROUNDUP(MONTH(A164)/3,0))</f>
        <v/>
      </c>
      <c r="E164" s="18" t="n"/>
      <c r="F164" s="18" t="n"/>
      <c r="G164" s="34" t="n"/>
      <c r="H164" s="38" t="n"/>
      <c r="I164" s="38" t="n"/>
      <c r="J164" s="38" t="n"/>
      <c r="K164" s="38" t="n"/>
      <c r="L164" s="38" t="n"/>
      <c r="M164" s="19">
        <f>IF(AND(A164&lt;&gt;"",G164&lt;&gt;""),G164-A164,"")</f>
        <v/>
      </c>
      <c r="N164" s="18" t="n"/>
    </row>
    <row r="165">
      <c r="A165" s="41" t="n"/>
      <c r="B165" s="35">
        <f>IF(A165="","",YEAR(A165))</f>
        <v/>
      </c>
      <c r="C165" s="36">
        <f>IF(A165="","",MONTH(A165))</f>
        <v/>
      </c>
      <c r="D165" s="37">
        <f>IF(A165="","","Q"&amp;ROUNDUP(MONTH(A165)/3,0))</f>
        <v/>
      </c>
      <c r="E165" s="22" t="n"/>
      <c r="F165" s="22" t="n"/>
      <c r="G165" s="41" t="n"/>
      <c r="H165" s="42" t="n"/>
      <c r="I165" s="42" t="n"/>
      <c r="J165" s="42" t="n"/>
      <c r="K165" s="42" t="n"/>
      <c r="L165" s="42" t="n"/>
      <c r="M165" s="23">
        <f>IF(AND(A165&lt;&gt;"",G165&lt;&gt;""),G165-A165,"")</f>
        <v/>
      </c>
      <c r="N165" s="22" t="n"/>
    </row>
    <row r="166">
      <c r="A166" s="34" t="n"/>
      <c r="B166" s="35">
        <f>IF(A166="","",YEAR(A166))</f>
        <v/>
      </c>
      <c r="C166" s="36">
        <f>IF(A166="","",MONTH(A166))</f>
        <v/>
      </c>
      <c r="D166" s="37">
        <f>IF(A166="","","Q"&amp;ROUNDUP(MONTH(A166)/3,0))</f>
        <v/>
      </c>
      <c r="E166" s="18" t="n"/>
      <c r="F166" s="18" t="n"/>
      <c r="G166" s="34" t="n"/>
      <c r="H166" s="38" t="n"/>
      <c r="I166" s="38" t="n"/>
      <c r="J166" s="38" t="n"/>
      <c r="K166" s="38" t="n"/>
      <c r="L166" s="38" t="n"/>
      <c r="M166" s="19">
        <f>IF(AND(A166&lt;&gt;"",G166&lt;&gt;""),G166-A166,"")</f>
        <v/>
      </c>
      <c r="N166" s="18" t="n"/>
    </row>
    <row r="167">
      <c r="A167" s="41" t="n"/>
      <c r="B167" s="35">
        <f>IF(A167="","",YEAR(A167))</f>
        <v/>
      </c>
      <c r="C167" s="36">
        <f>IF(A167="","",MONTH(A167))</f>
        <v/>
      </c>
      <c r="D167" s="37">
        <f>IF(A167="","","Q"&amp;ROUNDUP(MONTH(A167)/3,0))</f>
        <v/>
      </c>
      <c r="E167" s="22" t="n"/>
      <c r="F167" s="22" t="n"/>
      <c r="G167" s="41" t="n"/>
      <c r="H167" s="42" t="n"/>
      <c r="I167" s="42" t="n"/>
      <c r="J167" s="42" t="n"/>
      <c r="K167" s="42" t="n"/>
      <c r="L167" s="42" t="n"/>
      <c r="M167" s="23">
        <f>IF(AND(A167&lt;&gt;"",G167&lt;&gt;""),G167-A167,"")</f>
        <v/>
      </c>
      <c r="N167" s="22" t="n"/>
    </row>
    <row r="168">
      <c r="A168" s="34" t="n"/>
      <c r="B168" s="35">
        <f>IF(A168="","",YEAR(A168))</f>
        <v/>
      </c>
      <c r="C168" s="36">
        <f>IF(A168="","",MONTH(A168))</f>
        <v/>
      </c>
      <c r="D168" s="37">
        <f>IF(A168="","","Q"&amp;ROUNDUP(MONTH(A168)/3,0))</f>
        <v/>
      </c>
      <c r="E168" s="18" t="n"/>
      <c r="F168" s="18" t="n"/>
      <c r="G168" s="34" t="n"/>
      <c r="H168" s="38" t="n"/>
      <c r="I168" s="38" t="n"/>
      <c r="J168" s="38" t="n"/>
      <c r="K168" s="38" t="n"/>
      <c r="L168" s="38" t="n"/>
      <c r="M168" s="19">
        <f>IF(AND(A168&lt;&gt;"",G168&lt;&gt;""),G168-A168,"")</f>
        <v/>
      </c>
      <c r="N168" s="18" t="n"/>
    </row>
    <row r="169">
      <c r="A169" s="41" t="n"/>
      <c r="B169" s="35">
        <f>IF(A169="","",YEAR(A169))</f>
        <v/>
      </c>
      <c r="C169" s="36">
        <f>IF(A169="","",MONTH(A169))</f>
        <v/>
      </c>
      <c r="D169" s="37">
        <f>IF(A169="","","Q"&amp;ROUNDUP(MONTH(A169)/3,0))</f>
        <v/>
      </c>
      <c r="E169" s="22" t="n"/>
      <c r="F169" s="22" t="n"/>
      <c r="G169" s="41" t="n"/>
      <c r="H169" s="42" t="n"/>
      <c r="I169" s="42" t="n"/>
      <c r="J169" s="42" t="n"/>
      <c r="K169" s="42" t="n"/>
      <c r="L169" s="42" t="n"/>
      <c r="M169" s="23">
        <f>IF(AND(A169&lt;&gt;"",G169&lt;&gt;""),G169-A169,"")</f>
        <v/>
      </c>
      <c r="N169" s="22" t="n"/>
    </row>
    <row r="170">
      <c r="A170" s="34" t="n"/>
      <c r="B170" s="35">
        <f>IF(A170="","",YEAR(A170))</f>
        <v/>
      </c>
      <c r="C170" s="36">
        <f>IF(A170="","",MONTH(A170))</f>
        <v/>
      </c>
      <c r="D170" s="37">
        <f>IF(A170="","","Q"&amp;ROUNDUP(MONTH(A170)/3,0))</f>
        <v/>
      </c>
      <c r="E170" s="18" t="n"/>
      <c r="F170" s="18" t="n"/>
      <c r="G170" s="34" t="n"/>
      <c r="H170" s="38" t="n"/>
      <c r="I170" s="38" t="n"/>
      <c r="J170" s="38" t="n"/>
      <c r="K170" s="38" t="n"/>
      <c r="L170" s="38" t="n"/>
      <c r="M170" s="19">
        <f>IF(AND(A170&lt;&gt;"",G170&lt;&gt;""),G170-A170,"")</f>
        <v/>
      </c>
      <c r="N170" s="18" t="n"/>
    </row>
    <row r="171">
      <c r="A171" s="41" t="n"/>
      <c r="B171" s="35">
        <f>IF(A171="","",YEAR(A171))</f>
        <v/>
      </c>
      <c r="C171" s="36">
        <f>IF(A171="","",MONTH(A171))</f>
        <v/>
      </c>
      <c r="D171" s="37">
        <f>IF(A171="","","Q"&amp;ROUNDUP(MONTH(A171)/3,0))</f>
        <v/>
      </c>
      <c r="E171" s="22" t="n"/>
      <c r="F171" s="22" t="n"/>
      <c r="G171" s="41" t="n"/>
      <c r="H171" s="42" t="n"/>
      <c r="I171" s="42" t="n"/>
      <c r="J171" s="42" t="n"/>
      <c r="K171" s="42" t="n"/>
      <c r="L171" s="42" t="n"/>
      <c r="M171" s="23">
        <f>IF(AND(A171&lt;&gt;"",G171&lt;&gt;""),G171-A171,"")</f>
        <v/>
      </c>
      <c r="N171" s="22" t="n"/>
    </row>
    <row r="172">
      <c r="A172" s="34" t="n"/>
      <c r="B172" s="35">
        <f>IF(A172="","",YEAR(A172))</f>
        <v/>
      </c>
      <c r="C172" s="36">
        <f>IF(A172="","",MONTH(A172))</f>
        <v/>
      </c>
      <c r="D172" s="37">
        <f>IF(A172="","","Q"&amp;ROUNDUP(MONTH(A172)/3,0))</f>
        <v/>
      </c>
      <c r="E172" s="18" t="n"/>
      <c r="F172" s="18" t="n"/>
      <c r="G172" s="34" t="n"/>
      <c r="H172" s="38" t="n"/>
      <c r="I172" s="38" t="n"/>
      <c r="J172" s="38" t="n"/>
      <c r="K172" s="38" t="n"/>
      <c r="L172" s="38" t="n"/>
      <c r="M172" s="19">
        <f>IF(AND(A172&lt;&gt;"",G172&lt;&gt;""),G172-A172,"")</f>
        <v/>
      </c>
      <c r="N172" s="18" t="n"/>
    </row>
    <row r="173">
      <c r="A173" s="41" t="n"/>
      <c r="B173" s="35">
        <f>IF(A173="","",YEAR(A173))</f>
        <v/>
      </c>
      <c r="C173" s="36">
        <f>IF(A173="","",MONTH(A173))</f>
        <v/>
      </c>
      <c r="D173" s="37">
        <f>IF(A173="","","Q"&amp;ROUNDUP(MONTH(A173)/3,0))</f>
        <v/>
      </c>
      <c r="E173" s="22" t="n"/>
      <c r="F173" s="22" t="n"/>
      <c r="G173" s="41" t="n"/>
      <c r="H173" s="42" t="n"/>
      <c r="I173" s="42" t="n"/>
      <c r="J173" s="42" t="n"/>
      <c r="K173" s="42" t="n"/>
      <c r="L173" s="42" t="n"/>
      <c r="M173" s="23">
        <f>IF(AND(A173&lt;&gt;"",G173&lt;&gt;""),G173-A173,"")</f>
        <v/>
      </c>
      <c r="N173" s="22" t="n"/>
    </row>
    <row r="174">
      <c r="A174" s="34" t="n"/>
      <c r="B174" s="35">
        <f>IF(A174="","",YEAR(A174))</f>
        <v/>
      </c>
      <c r="C174" s="36">
        <f>IF(A174="","",MONTH(A174))</f>
        <v/>
      </c>
      <c r="D174" s="37">
        <f>IF(A174="","","Q"&amp;ROUNDUP(MONTH(A174)/3,0))</f>
        <v/>
      </c>
      <c r="E174" s="18" t="n"/>
      <c r="F174" s="18" t="n"/>
      <c r="G174" s="34" t="n"/>
      <c r="H174" s="38" t="n"/>
      <c r="I174" s="38" t="n"/>
      <c r="J174" s="38" t="n"/>
      <c r="K174" s="38" t="n"/>
      <c r="L174" s="38" t="n"/>
      <c r="M174" s="19">
        <f>IF(AND(A174&lt;&gt;"",G174&lt;&gt;""),G174-A174,"")</f>
        <v/>
      </c>
      <c r="N174" s="18" t="n"/>
    </row>
    <row r="175">
      <c r="A175" s="41" t="n"/>
      <c r="B175" s="35">
        <f>IF(A175="","",YEAR(A175))</f>
        <v/>
      </c>
      <c r="C175" s="36">
        <f>IF(A175="","",MONTH(A175))</f>
        <v/>
      </c>
      <c r="D175" s="37">
        <f>IF(A175="","","Q"&amp;ROUNDUP(MONTH(A175)/3,0))</f>
        <v/>
      </c>
      <c r="E175" s="22" t="n"/>
      <c r="F175" s="22" t="n"/>
      <c r="G175" s="41" t="n"/>
      <c r="H175" s="42" t="n"/>
      <c r="I175" s="42" t="n"/>
      <c r="J175" s="42" t="n"/>
      <c r="K175" s="42" t="n"/>
      <c r="L175" s="42" t="n"/>
      <c r="M175" s="23">
        <f>IF(AND(A175&lt;&gt;"",G175&lt;&gt;""),G175-A175,"")</f>
        <v/>
      </c>
      <c r="N175" s="22" t="n"/>
    </row>
    <row r="176">
      <c r="A176" s="34" t="n"/>
      <c r="B176" s="35">
        <f>IF(A176="","",YEAR(A176))</f>
        <v/>
      </c>
      <c r="C176" s="36">
        <f>IF(A176="","",MONTH(A176))</f>
        <v/>
      </c>
      <c r="D176" s="37">
        <f>IF(A176="","","Q"&amp;ROUNDUP(MONTH(A176)/3,0))</f>
        <v/>
      </c>
      <c r="E176" s="18" t="n"/>
      <c r="F176" s="18" t="n"/>
      <c r="G176" s="34" t="n"/>
      <c r="H176" s="38" t="n"/>
      <c r="I176" s="38" t="n"/>
      <c r="J176" s="38" t="n"/>
      <c r="K176" s="38" t="n"/>
      <c r="L176" s="38" t="n"/>
      <c r="M176" s="19">
        <f>IF(AND(A176&lt;&gt;"",G176&lt;&gt;""),G176-A176,"")</f>
        <v/>
      </c>
      <c r="N176" s="18" t="n"/>
    </row>
    <row r="177">
      <c r="A177" s="41" t="n"/>
      <c r="B177" s="35">
        <f>IF(A177="","",YEAR(A177))</f>
        <v/>
      </c>
      <c r="C177" s="36">
        <f>IF(A177="","",MONTH(A177))</f>
        <v/>
      </c>
      <c r="D177" s="37">
        <f>IF(A177="","","Q"&amp;ROUNDUP(MONTH(A177)/3,0))</f>
        <v/>
      </c>
      <c r="E177" s="22" t="n"/>
      <c r="F177" s="22" t="n"/>
      <c r="G177" s="41" t="n"/>
      <c r="H177" s="42" t="n"/>
      <c r="I177" s="42" t="n"/>
      <c r="J177" s="42" t="n"/>
      <c r="K177" s="42" t="n"/>
      <c r="L177" s="42" t="n"/>
      <c r="M177" s="23">
        <f>IF(AND(A177&lt;&gt;"",G177&lt;&gt;""),G177-A177,"")</f>
        <v/>
      </c>
      <c r="N177" s="22" t="n"/>
    </row>
    <row r="178">
      <c r="A178" s="34" t="n"/>
      <c r="B178" s="35">
        <f>IF(A178="","",YEAR(A178))</f>
        <v/>
      </c>
      <c r="C178" s="36">
        <f>IF(A178="","",MONTH(A178))</f>
        <v/>
      </c>
      <c r="D178" s="37">
        <f>IF(A178="","","Q"&amp;ROUNDUP(MONTH(A178)/3,0))</f>
        <v/>
      </c>
      <c r="E178" s="18" t="n"/>
      <c r="F178" s="18" t="n"/>
      <c r="G178" s="34" t="n"/>
      <c r="H178" s="38" t="n"/>
      <c r="I178" s="38" t="n"/>
      <c r="J178" s="38" t="n"/>
      <c r="K178" s="38" t="n"/>
      <c r="L178" s="38" t="n"/>
      <c r="M178" s="19">
        <f>IF(AND(A178&lt;&gt;"",G178&lt;&gt;""),G178-A178,"")</f>
        <v/>
      </c>
      <c r="N178" s="18" t="n"/>
    </row>
    <row r="179">
      <c r="A179" s="41" t="n"/>
      <c r="B179" s="35">
        <f>IF(A179="","",YEAR(A179))</f>
        <v/>
      </c>
      <c r="C179" s="36">
        <f>IF(A179="","",MONTH(A179))</f>
        <v/>
      </c>
      <c r="D179" s="37">
        <f>IF(A179="","","Q"&amp;ROUNDUP(MONTH(A179)/3,0))</f>
        <v/>
      </c>
      <c r="E179" s="22" t="n"/>
      <c r="F179" s="22" t="n"/>
      <c r="G179" s="41" t="n"/>
      <c r="H179" s="42" t="n"/>
      <c r="I179" s="42" t="n"/>
      <c r="J179" s="42" t="n"/>
      <c r="K179" s="42" t="n"/>
      <c r="L179" s="42" t="n"/>
      <c r="M179" s="23">
        <f>IF(AND(A179&lt;&gt;"",G179&lt;&gt;""),G179-A179,"")</f>
        <v/>
      </c>
      <c r="N179" s="22" t="n"/>
    </row>
    <row r="180">
      <c r="A180" s="34" t="n"/>
      <c r="B180" s="35">
        <f>IF(A180="","",YEAR(A180))</f>
        <v/>
      </c>
      <c r="C180" s="36">
        <f>IF(A180="","",MONTH(A180))</f>
        <v/>
      </c>
      <c r="D180" s="37">
        <f>IF(A180="","","Q"&amp;ROUNDUP(MONTH(A180)/3,0))</f>
        <v/>
      </c>
      <c r="E180" s="18" t="n"/>
      <c r="F180" s="18" t="n"/>
      <c r="G180" s="34" t="n"/>
      <c r="H180" s="38" t="n"/>
      <c r="I180" s="38" t="n"/>
      <c r="J180" s="38" t="n"/>
      <c r="K180" s="38" t="n"/>
      <c r="L180" s="38" t="n"/>
      <c r="M180" s="19">
        <f>IF(AND(A180&lt;&gt;"",G180&lt;&gt;""),G180-A180,"")</f>
        <v/>
      </c>
      <c r="N180" s="18" t="n"/>
    </row>
    <row r="181">
      <c r="A181" s="41" t="n"/>
      <c r="B181" s="35">
        <f>IF(A181="","",YEAR(A181))</f>
        <v/>
      </c>
      <c r="C181" s="36">
        <f>IF(A181="","",MONTH(A181))</f>
        <v/>
      </c>
      <c r="D181" s="37">
        <f>IF(A181="","","Q"&amp;ROUNDUP(MONTH(A181)/3,0))</f>
        <v/>
      </c>
      <c r="E181" s="22" t="n"/>
      <c r="F181" s="22" t="n"/>
      <c r="G181" s="41" t="n"/>
      <c r="H181" s="42" t="n"/>
      <c r="I181" s="42" t="n"/>
      <c r="J181" s="42" t="n"/>
      <c r="K181" s="42" t="n"/>
      <c r="L181" s="42" t="n"/>
      <c r="M181" s="23">
        <f>IF(AND(A181&lt;&gt;"",G181&lt;&gt;""),G181-A181,"")</f>
        <v/>
      </c>
      <c r="N181" s="22" t="n"/>
    </row>
    <row r="182">
      <c r="A182" s="34" t="n"/>
      <c r="B182" s="35">
        <f>IF(A182="","",YEAR(A182))</f>
        <v/>
      </c>
      <c r="C182" s="36">
        <f>IF(A182="","",MONTH(A182))</f>
        <v/>
      </c>
      <c r="D182" s="37">
        <f>IF(A182="","","Q"&amp;ROUNDUP(MONTH(A182)/3,0))</f>
        <v/>
      </c>
      <c r="E182" s="18" t="n"/>
      <c r="F182" s="18" t="n"/>
      <c r="G182" s="34" t="n"/>
      <c r="H182" s="38" t="n"/>
      <c r="I182" s="38" t="n"/>
      <c r="J182" s="38" t="n"/>
      <c r="K182" s="38" t="n"/>
      <c r="L182" s="38" t="n"/>
      <c r="M182" s="19">
        <f>IF(AND(A182&lt;&gt;"",G182&lt;&gt;""),G182-A182,"")</f>
        <v/>
      </c>
      <c r="N182" s="18" t="n"/>
    </row>
    <row r="183">
      <c r="A183" s="41" t="n"/>
      <c r="B183" s="35">
        <f>IF(A183="","",YEAR(A183))</f>
        <v/>
      </c>
      <c r="C183" s="36">
        <f>IF(A183="","",MONTH(A183))</f>
        <v/>
      </c>
      <c r="D183" s="37">
        <f>IF(A183="","","Q"&amp;ROUNDUP(MONTH(A183)/3,0))</f>
        <v/>
      </c>
      <c r="E183" s="22" t="n"/>
      <c r="F183" s="22" t="n"/>
      <c r="G183" s="41" t="n"/>
      <c r="H183" s="42" t="n"/>
      <c r="I183" s="42" t="n"/>
      <c r="J183" s="42" t="n"/>
      <c r="K183" s="42" t="n"/>
      <c r="L183" s="42" t="n"/>
      <c r="M183" s="23">
        <f>IF(AND(A183&lt;&gt;"",G183&lt;&gt;""),G183-A183,"")</f>
        <v/>
      </c>
      <c r="N183" s="22" t="n"/>
    </row>
    <row r="184">
      <c r="A184" s="34" t="n"/>
      <c r="B184" s="35">
        <f>IF(A184="","",YEAR(A184))</f>
        <v/>
      </c>
      <c r="C184" s="36">
        <f>IF(A184="","",MONTH(A184))</f>
        <v/>
      </c>
      <c r="D184" s="37">
        <f>IF(A184="","","Q"&amp;ROUNDUP(MONTH(A184)/3,0))</f>
        <v/>
      </c>
      <c r="E184" s="18" t="n"/>
      <c r="F184" s="18" t="n"/>
      <c r="G184" s="34" t="n"/>
      <c r="H184" s="38" t="n"/>
      <c r="I184" s="38" t="n"/>
      <c r="J184" s="38" t="n"/>
      <c r="K184" s="38" t="n"/>
      <c r="L184" s="38" t="n"/>
      <c r="M184" s="19">
        <f>IF(AND(A184&lt;&gt;"",G184&lt;&gt;""),G184-A184,"")</f>
        <v/>
      </c>
      <c r="N184" s="18" t="n"/>
    </row>
    <row r="185">
      <c r="A185" s="41" t="n"/>
      <c r="B185" s="35">
        <f>IF(A185="","",YEAR(A185))</f>
        <v/>
      </c>
      <c r="C185" s="36">
        <f>IF(A185="","",MONTH(A185))</f>
        <v/>
      </c>
      <c r="D185" s="37">
        <f>IF(A185="","","Q"&amp;ROUNDUP(MONTH(A185)/3,0))</f>
        <v/>
      </c>
      <c r="E185" s="22" t="n"/>
      <c r="F185" s="22" t="n"/>
      <c r="G185" s="41" t="n"/>
      <c r="H185" s="42" t="n"/>
      <c r="I185" s="42" t="n"/>
      <c r="J185" s="42" t="n"/>
      <c r="K185" s="42" t="n"/>
      <c r="L185" s="42" t="n"/>
      <c r="M185" s="23">
        <f>IF(AND(A185&lt;&gt;"",G185&lt;&gt;""),G185-A185,"")</f>
        <v/>
      </c>
      <c r="N185" s="22" t="n"/>
    </row>
    <row r="186">
      <c r="A186" s="34" t="n"/>
      <c r="B186" s="35">
        <f>IF(A186="","",YEAR(A186))</f>
        <v/>
      </c>
      <c r="C186" s="36">
        <f>IF(A186="","",MONTH(A186))</f>
        <v/>
      </c>
      <c r="D186" s="37">
        <f>IF(A186="","","Q"&amp;ROUNDUP(MONTH(A186)/3,0))</f>
        <v/>
      </c>
      <c r="E186" s="18" t="n"/>
      <c r="F186" s="18" t="n"/>
      <c r="G186" s="34" t="n"/>
      <c r="H186" s="38" t="n"/>
      <c r="I186" s="38" t="n"/>
      <c r="J186" s="38" t="n"/>
      <c r="K186" s="38" t="n"/>
      <c r="L186" s="38" t="n"/>
      <c r="M186" s="19">
        <f>IF(AND(A186&lt;&gt;"",G186&lt;&gt;""),G186-A186,"")</f>
        <v/>
      </c>
      <c r="N186" s="18" t="n"/>
    </row>
    <row r="187">
      <c r="A187" s="41" t="n"/>
      <c r="B187" s="35">
        <f>IF(A187="","",YEAR(A187))</f>
        <v/>
      </c>
      <c r="C187" s="36">
        <f>IF(A187="","",MONTH(A187))</f>
        <v/>
      </c>
      <c r="D187" s="37">
        <f>IF(A187="","","Q"&amp;ROUNDUP(MONTH(A187)/3,0))</f>
        <v/>
      </c>
      <c r="E187" s="22" t="n"/>
      <c r="F187" s="22" t="n"/>
      <c r="G187" s="41" t="n"/>
      <c r="H187" s="42" t="n"/>
      <c r="I187" s="42" t="n"/>
      <c r="J187" s="42" t="n"/>
      <c r="K187" s="42" t="n"/>
      <c r="L187" s="42" t="n"/>
      <c r="M187" s="23">
        <f>IF(AND(A187&lt;&gt;"",G187&lt;&gt;""),G187-A187,"")</f>
        <v/>
      </c>
      <c r="N187" s="22" t="n"/>
    </row>
    <row r="188">
      <c r="A188" s="34" t="n"/>
      <c r="B188" s="35">
        <f>IF(A188="","",YEAR(A188))</f>
        <v/>
      </c>
      <c r="C188" s="36">
        <f>IF(A188="","",MONTH(A188))</f>
        <v/>
      </c>
      <c r="D188" s="37">
        <f>IF(A188="","","Q"&amp;ROUNDUP(MONTH(A188)/3,0))</f>
        <v/>
      </c>
      <c r="E188" s="18" t="n"/>
      <c r="F188" s="18" t="n"/>
      <c r="G188" s="34" t="n"/>
      <c r="H188" s="38" t="n"/>
      <c r="I188" s="38" t="n"/>
      <c r="J188" s="38" t="n"/>
      <c r="K188" s="38" t="n"/>
      <c r="L188" s="38" t="n"/>
      <c r="M188" s="19">
        <f>IF(AND(A188&lt;&gt;"",G188&lt;&gt;""),G188-A188,"")</f>
        <v/>
      </c>
      <c r="N188" s="18" t="n"/>
    </row>
    <row r="189">
      <c r="A189" s="41" t="n"/>
      <c r="B189" s="35">
        <f>IF(A189="","",YEAR(A189))</f>
        <v/>
      </c>
      <c r="C189" s="36">
        <f>IF(A189="","",MONTH(A189))</f>
        <v/>
      </c>
      <c r="D189" s="37">
        <f>IF(A189="","","Q"&amp;ROUNDUP(MONTH(A189)/3,0))</f>
        <v/>
      </c>
      <c r="E189" s="22" t="n"/>
      <c r="F189" s="22" t="n"/>
      <c r="G189" s="41" t="n"/>
      <c r="H189" s="42" t="n"/>
      <c r="I189" s="42" t="n"/>
      <c r="J189" s="42" t="n"/>
      <c r="K189" s="42" t="n"/>
      <c r="L189" s="42" t="n"/>
      <c r="M189" s="23">
        <f>IF(AND(A189&lt;&gt;"",G189&lt;&gt;""),G189-A189,"")</f>
        <v/>
      </c>
      <c r="N189" s="22" t="n"/>
    </row>
    <row r="190">
      <c r="A190" s="34" t="n"/>
      <c r="B190" s="35">
        <f>IF(A190="","",YEAR(A190))</f>
        <v/>
      </c>
      <c r="C190" s="36">
        <f>IF(A190="","",MONTH(A190))</f>
        <v/>
      </c>
      <c r="D190" s="37">
        <f>IF(A190="","","Q"&amp;ROUNDUP(MONTH(A190)/3,0))</f>
        <v/>
      </c>
      <c r="E190" s="18" t="n"/>
      <c r="F190" s="18" t="n"/>
      <c r="G190" s="34" t="n"/>
      <c r="H190" s="38" t="n"/>
      <c r="I190" s="38" t="n"/>
      <c r="J190" s="38" t="n"/>
      <c r="K190" s="38" t="n"/>
      <c r="L190" s="38" t="n"/>
      <c r="M190" s="19">
        <f>IF(AND(A190&lt;&gt;"",G190&lt;&gt;""),G190-A190,"")</f>
        <v/>
      </c>
      <c r="N190" s="18" t="n"/>
    </row>
    <row r="191">
      <c r="A191" s="41" t="n"/>
      <c r="B191" s="35">
        <f>IF(A191="","",YEAR(A191))</f>
        <v/>
      </c>
      <c r="C191" s="36">
        <f>IF(A191="","",MONTH(A191))</f>
        <v/>
      </c>
      <c r="D191" s="37">
        <f>IF(A191="","","Q"&amp;ROUNDUP(MONTH(A191)/3,0))</f>
        <v/>
      </c>
      <c r="E191" s="22" t="n"/>
      <c r="F191" s="22" t="n"/>
      <c r="G191" s="41" t="n"/>
      <c r="H191" s="42" t="n"/>
      <c r="I191" s="42" t="n"/>
      <c r="J191" s="42" t="n"/>
      <c r="K191" s="42" t="n"/>
      <c r="L191" s="42" t="n"/>
      <c r="M191" s="23">
        <f>IF(AND(A191&lt;&gt;"",G191&lt;&gt;""),G191-A191,"")</f>
        <v/>
      </c>
      <c r="N191" s="22" t="n"/>
    </row>
    <row r="192">
      <c r="A192" s="34" t="n"/>
      <c r="B192" s="35">
        <f>IF(A192="","",YEAR(A192))</f>
        <v/>
      </c>
      <c r="C192" s="36">
        <f>IF(A192="","",MONTH(A192))</f>
        <v/>
      </c>
      <c r="D192" s="37">
        <f>IF(A192="","","Q"&amp;ROUNDUP(MONTH(A192)/3,0))</f>
        <v/>
      </c>
      <c r="E192" s="18" t="n"/>
      <c r="F192" s="18" t="n"/>
      <c r="G192" s="34" t="n"/>
      <c r="H192" s="38" t="n"/>
      <c r="I192" s="38" t="n"/>
      <c r="J192" s="38" t="n"/>
      <c r="K192" s="38" t="n"/>
      <c r="L192" s="38" t="n"/>
      <c r="M192" s="19">
        <f>IF(AND(A192&lt;&gt;"",G192&lt;&gt;""),G192-A192,"")</f>
        <v/>
      </c>
      <c r="N192" s="18" t="n"/>
    </row>
    <row r="193">
      <c r="A193" s="41" t="n"/>
      <c r="B193" s="35">
        <f>IF(A193="","",YEAR(A193))</f>
        <v/>
      </c>
      <c r="C193" s="36">
        <f>IF(A193="","",MONTH(A193))</f>
        <v/>
      </c>
      <c r="D193" s="37">
        <f>IF(A193="","","Q"&amp;ROUNDUP(MONTH(A193)/3,0))</f>
        <v/>
      </c>
      <c r="E193" s="22" t="n"/>
      <c r="F193" s="22" t="n"/>
      <c r="G193" s="41" t="n"/>
      <c r="H193" s="42" t="n"/>
      <c r="I193" s="42" t="n"/>
      <c r="J193" s="42" t="n"/>
      <c r="K193" s="42" t="n"/>
      <c r="L193" s="42" t="n"/>
      <c r="M193" s="23">
        <f>IF(AND(A193&lt;&gt;"",G193&lt;&gt;""),G193-A193,"")</f>
        <v/>
      </c>
      <c r="N193" s="22" t="n"/>
    </row>
    <row r="194">
      <c r="A194" s="34" t="n"/>
      <c r="B194" s="35">
        <f>IF(A194="","",YEAR(A194))</f>
        <v/>
      </c>
      <c r="C194" s="36">
        <f>IF(A194="","",MONTH(A194))</f>
        <v/>
      </c>
      <c r="D194" s="37">
        <f>IF(A194="","","Q"&amp;ROUNDUP(MONTH(A194)/3,0))</f>
        <v/>
      </c>
      <c r="E194" s="18" t="n"/>
      <c r="F194" s="18" t="n"/>
      <c r="G194" s="34" t="n"/>
      <c r="H194" s="38" t="n"/>
      <c r="I194" s="38" t="n"/>
      <c r="J194" s="38" t="n"/>
      <c r="K194" s="38" t="n"/>
      <c r="L194" s="38" t="n"/>
      <c r="M194" s="19">
        <f>IF(AND(A194&lt;&gt;"",G194&lt;&gt;""),G194-A194,"")</f>
        <v/>
      </c>
      <c r="N194" s="18" t="n"/>
    </row>
    <row r="195">
      <c r="A195" s="41" t="n"/>
      <c r="B195" s="35">
        <f>IF(A195="","",YEAR(A195))</f>
        <v/>
      </c>
      <c r="C195" s="36">
        <f>IF(A195="","",MONTH(A195))</f>
        <v/>
      </c>
      <c r="D195" s="37">
        <f>IF(A195="","","Q"&amp;ROUNDUP(MONTH(A195)/3,0))</f>
        <v/>
      </c>
      <c r="E195" s="22" t="n"/>
      <c r="F195" s="22" t="n"/>
      <c r="G195" s="41" t="n"/>
      <c r="H195" s="42" t="n"/>
      <c r="I195" s="42" t="n"/>
      <c r="J195" s="42" t="n"/>
      <c r="K195" s="42" t="n"/>
      <c r="L195" s="42" t="n"/>
      <c r="M195" s="23">
        <f>IF(AND(A195&lt;&gt;"",G195&lt;&gt;""),G195-A195,"")</f>
        <v/>
      </c>
      <c r="N195" s="22" t="n"/>
    </row>
    <row r="196">
      <c r="A196" s="34" t="n"/>
      <c r="B196" s="35">
        <f>IF(A196="","",YEAR(A196))</f>
        <v/>
      </c>
      <c r="C196" s="36">
        <f>IF(A196="","",MONTH(A196))</f>
        <v/>
      </c>
      <c r="D196" s="37">
        <f>IF(A196="","","Q"&amp;ROUNDUP(MONTH(A196)/3,0))</f>
        <v/>
      </c>
      <c r="E196" s="18" t="n"/>
      <c r="F196" s="18" t="n"/>
      <c r="G196" s="34" t="n"/>
      <c r="H196" s="38" t="n"/>
      <c r="I196" s="38" t="n"/>
      <c r="J196" s="38" t="n"/>
      <c r="K196" s="38" t="n"/>
      <c r="L196" s="38" t="n"/>
      <c r="M196" s="19">
        <f>IF(AND(A196&lt;&gt;"",G196&lt;&gt;""),G196-A196,"")</f>
        <v/>
      </c>
      <c r="N196" s="18" t="n"/>
    </row>
    <row r="197">
      <c r="A197" s="41" t="n"/>
      <c r="B197" s="35">
        <f>IF(A197="","",YEAR(A197))</f>
        <v/>
      </c>
      <c r="C197" s="36">
        <f>IF(A197="","",MONTH(A197))</f>
        <v/>
      </c>
      <c r="D197" s="37">
        <f>IF(A197="","","Q"&amp;ROUNDUP(MONTH(A197)/3,0))</f>
        <v/>
      </c>
      <c r="E197" s="22" t="n"/>
      <c r="F197" s="22" t="n"/>
      <c r="G197" s="41" t="n"/>
      <c r="H197" s="42" t="n"/>
      <c r="I197" s="42" t="n"/>
      <c r="J197" s="42" t="n"/>
      <c r="K197" s="42" t="n"/>
      <c r="L197" s="42" t="n"/>
      <c r="M197" s="23">
        <f>IF(AND(A197&lt;&gt;"",G197&lt;&gt;""),G197-A197,"")</f>
        <v/>
      </c>
      <c r="N197" s="22" t="n"/>
    </row>
    <row r="198">
      <c r="A198" s="34" t="n"/>
      <c r="B198" s="35">
        <f>IF(A198="","",YEAR(A198))</f>
        <v/>
      </c>
      <c r="C198" s="36">
        <f>IF(A198="","",MONTH(A198))</f>
        <v/>
      </c>
      <c r="D198" s="37">
        <f>IF(A198="","","Q"&amp;ROUNDUP(MONTH(A198)/3,0))</f>
        <v/>
      </c>
      <c r="E198" s="18" t="n"/>
      <c r="F198" s="18" t="n"/>
      <c r="G198" s="34" t="n"/>
      <c r="H198" s="38" t="n"/>
      <c r="I198" s="38" t="n"/>
      <c r="J198" s="38" t="n"/>
      <c r="K198" s="38" t="n"/>
      <c r="L198" s="38" t="n"/>
      <c r="M198" s="19">
        <f>IF(AND(A198&lt;&gt;"",G198&lt;&gt;""),G198-A198,"")</f>
        <v/>
      </c>
      <c r="N198" s="18" t="n"/>
    </row>
    <row r="199">
      <c r="A199" s="41" t="n"/>
      <c r="B199" s="35">
        <f>IF(A199="","",YEAR(A199))</f>
        <v/>
      </c>
      <c r="C199" s="36">
        <f>IF(A199="","",MONTH(A199))</f>
        <v/>
      </c>
      <c r="D199" s="37">
        <f>IF(A199="","","Q"&amp;ROUNDUP(MONTH(A199)/3,0))</f>
        <v/>
      </c>
      <c r="E199" s="22" t="n"/>
      <c r="F199" s="22" t="n"/>
      <c r="G199" s="41" t="n"/>
      <c r="H199" s="42" t="n"/>
      <c r="I199" s="42" t="n"/>
      <c r="J199" s="42" t="n"/>
      <c r="K199" s="42" t="n"/>
      <c r="L199" s="42" t="n"/>
      <c r="M199" s="23">
        <f>IF(AND(A199&lt;&gt;"",G199&lt;&gt;""),G199-A199,"")</f>
        <v/>
      </c>
      <c r="N199" s="22" t="n"/>
    </row>
    <row r="200">
      <c r="A200" s="34" t="n"/>
      <c r="B200" s="35">
        <f>IF(A200="","",YEAR(A200))</f>
        <v/>
      </c>
      <c r="C200" s="36">
        <f>IF(A200="","",MONTH(A200))</f>
        <v/>
      </c>
      <c r="D200" s="37">
        <f>IF(A200="","","Q"&amp;ROUNDUP(MONTH(A200)/3,0))</f>
        <v/>
      </c>
      <c r="E200" s="18" t="n"/>
      <c r="F200" s="18" t="n"/>
      <c r="G200" s="34" t="n"/>
      <c r="H200" s="38" t="n"/>
      <c r="I200" s="38" t="n"/>
      <c r="J200" s="38" t="n"/>
      <c r="K200" s="38" t="n"/>
      <c r="L200" s="38" t="n"/>
      <c r="M200" s="19">
        <f>IF(AND(A200&lt;&gt;"",G200&lt;&gt;""),G200-A200,"")</f>
        <v/>
      </c>
      <c r="N200" s="18" t="n"/>
    </row>
    <row r="201">
      <c r="A201" s="41" t="n"/>
      <c r="B201" s="35">
        <f>IF(A201="","",YEAR(A201))</f>
        <v/>
      </c>
      <c r="C201" s="36">
        <f>IF(A201="","",MONTH(A201))</f>
        <v/>
      </c>
      <c r="D201" s="37">
        <f>IF(A201="","","Q"&amp;ROUNDUP(MONTH(A201)/3,0))</f>
        <v/>
      </c>
      <c r="E201" s="22" t="n"/>
      <c r="F201" s="22" t="n"/>
      <c r="G201" s="41" t="n"/>
      <c r="H201" s="42" t="n"/>
      <c r="I201" s="42" t="n"/>
      <c r="J201" s="42" t="n"/>
      <c r="K201" s="42" t="n"/>
      <c r="L201" s="42" t="n"/>
      <c r="M201" s="23">
        <f>IF(AND(A201&lt;&gt;"",G201&lt;&gt;""),G201-A201,"")</f>
        <v/>
      </c>
      <c r="N201" s="22" t="n"/>
    </row>
    <row r="202">
      <c r="A202" s="34" t="n"/>
      <c r="B202" s="35">
        <f>IF(A202="","",YEAR(A202))</f>
        <v/>
      </c>
      <c r="C202" s="36">
        <f>IF(A202="","",MONTH(A202))</f>
        <v/>
      </c>
      <c r="D202" s="37">
        <f>IF(A202="","","Q"&amp;ROUNDUP(MONTH(A202)/3,0))</f>
        <v/>
      </c>
      <c r="E202" s="18" t="n"/>
      <c r="F202" s="18" t="n"/>
      <c r="G202" s="34" t="n"/>
      <c r="H202" s="38" t="n"/>
      <c r="I202" s="38" t="n"/>
      <c r="J202" s="38" t="n"/>
      <c r="K202" s="38" t="n"/>
      <c r="L202" s="38" t="n"/>
      <c r="M202" s="19">
        <f>IF(AND(A202&lt;&gt;"",G202&lt;&gt;""),G202-A202,"")</f>
        <v/>
      </c>
      <c r="N202" s="18" t="n"/>
    </row>
    <row r="203">
      <c r="A203" s="41" t="n"/>
      <c r="B203" s="35">
        <f>IF(A203="","",YEAR(A203))</f>
        <v/>
      </c>
      <c r="C203" s="36">
        <f>IF(A203="","",MONTH(A203))</f>
        <v/>
      </c>
      <c r="D203" s="37">
        <f>IF(A203="","","Q"&amp;ROUNDUP(MONTH(A203)/3,0))</f>
        <v/>
      </c>
      <c r="E203" s="22" t="n"/>
      <c r="F203" s="22" t="n"/>
      <c r="G203" s="41" t="n"/>
      <c r="H203" s="42" t="n"/>
      <c r="I203" s="42" t="n"/>
      <c r="J203" s="42" t="n"/>
      <c r="K203" s="42" t="n"/>
      <c r="L203" s="42" t="n"/>
      <c r="M203" s="23">
        <f>IF(AND(A203&lt;&gt;"",G203&lt;&gt;""),G203-A203,"")</f>
        <v/>
      </c>
      <c r="N203" s="22" t="n"/>
    </row>
    <row r="204">
      <c r="A204" s="34" t="n"/>
      <c r="B204" s="35">
        <f>IF(A204="","",YEAR(A204))</f>
        <v/>
      </c>
      <c r="C204" s="36">
        <f>IF(A204="","",MONTH(A204))</f>
        <v/>
      </c>
      <c r="D204" s="37">
        <f>IF(A204="","","Q"&amp;ROUNDUP(MONTH(A204)/3,0))</f>
        <v/>
      </c>
      <c r="E204" s="18" t="n"/>
      <c r="F204" s="18" t="n"/>
      <c r="G204" s="34" t="n"/>
      <c r="H204" s="38" t="n"/>
      <c r="I204" s="38" t="n"/>
      <c r="J204" s="38" t="n"/>
      <c r="K204" s="38" t="n"/>
      <c r="L204" s="38" t="n"/>
      <c r="M204" s="19">
        <f>IF(AND(A204&lt;&gt;"",G204&lt;&gt;""),G204-A204,"")</f>
        <v/>
      </c>
      <c r="N204" s="18" t="n"/>
    </row>
    <row r="205">
      <c r="A205" s="41" t="n"/>
      <c r="B205" s="35">
        <f>IF(A205="","",YEAR(A205))</f>
        <v/>
      </c>
      <c r="C205" s="36">
        <f>IF(A205="","",MONTH(A205))</f>
        <v/>
      </c>
      <c r="D205" s="37">
        <f>IF(A205="","","Q"&amp;ROUNDUP(MONTH(A205)/3,0))</f>
        <v/>
      </c>
      <c r="E205" s="22" t="n"/>
      <c r="F205" s="22" t="n"/>
      <c r="G205" s="41" t="n"/>
      <c r="H205" s="42" t="n"/>
      <c r="I205" s="42" t="n"/>
      <c r="J205" s="42" t="n"/>
      <c r="K205" s="42" t="n"/>
      <c r="L205" s="42" t="n"/>
      <c r="M205" s="23">
        <f>IF(AND(A205&lt;&gt;"",G205&lt;&gt;""),G205-A205,"")</f>
        <v/>
      </c>
      <c r="N205" s="22" t="n"/>
    </row>
    <row r="206">
      <c r="A206" s="34" t="n"/>
      <c r="B206" s="35">
        <f>IF(A206="","",YEAR(A206))</f>
        <v/>
      </c>
      <c r="C206" s="36">
        <f>IF(A206="","",MONTH(A206))</f>
        <v/>
      </c>
      <c r="D206" s="37">
        <f>IF(A206="","","Q"&amp;ROUNDUP(MONTH(A206)/3,0))</f>
        <v/>
      </c>
      <c r="E206" s="18" t="n"/>
      <c r="F206" s="18" t="n"/>
      <c r="G206" s="34" t="n"/>
      <c r="H206" s="38" t="n"/>
      <c r="I206" s="38" t="n"/>
      <c r="J206" s="38" t="n"/>
      <c r="K206" s="38" t="n"/>
      <c r="L206" s="38" t="n"/>
      <c r="M206" s="19">
        <f>IF(AND(A206&lt;&gt;"",G206&lt;&gt;""),G206-A206,"")</f>
        <v/>
      </c>
      <c r="N206" s="18" t="n"/>
    </row>
    <row r="207">
      <c r="A207" s="41" t="n"/>
      <c r="B207" s="35">
        <f>IF(A207="","",YEAR(A207))</f>
        <v/>
      </c>
      <c r="C207" s="36">
        <f>IF(A207="","",MONTH(A207))</f>
        <v/>
      </c>
      <c r="D207" s="37">
        <f>IF(A207="","","Q"&amp;ROUNDUP(MONTH(A207)/3,0))</f>
        <v/>
      </c>
      <c r="E207" s="22" t="n"/>
      <c r="F207" s="22" t="n"/>
      <c r="G207" s="41" t="n"/>
      <c r="H207" s="42" t="n"/>
      <c r="I207" s="42" t="n"/>
      <c r="J207" s="42" t="n"/>
      <c r="K207" s="42" t="n"/>
      <c r="L207" s="42" t="n"/>
      <c r="M207" s="23">
        <f>IF(AND(A207&lt;&gt;"",G207&lt;&gt;""),G207-A207,"")</f>
        <v/>
      </c>
      <c r="N207" s="22" t="n"/>
    </row>
    <row r="208">
      <c r="A208" s="34" t="n"/>
      <c r="B208" s="35">
        <f>IF(A208="","",YEAR(A208))</f>
        <v/>
      </c>
      <c r="C208" s="36">
        <f>IF(A208="","",MONTH(A208))</f>
        <v/>
      </c>
      <c r="D208" s="37">
        <f>IF(A208="","","Q"&amp;ROUNDUP(MONTH(A208)/3,0))</f>
        <v/>
      </c>
      <c r="E208" s="18" t="n"/>
      <c r="F208" s="18" t="n"/>
      <c r="G208" s="34" t="n"/>
      <c r="H208" s="38" t="n"/>
      <c r="I208" s="38" t="n"/>
      <c r="J208" s="38" t="n"/>
      <c r="K208" s="38" t="n"/>
      <c r="L208" s="38" t="n"/>
      <c r="M208" s="19">
        <f>IF(AND(A208&lt;&gt;"",G208&lt;&gt;""),G208-A208,"")</f>
        <v/>
      </c>
      <c r="N208" s="18" t="n"/>
    </row>
    <row r="209">
      <c r="A209" s="41" t="n"/>
      <c r="B209" s="35">
        <f>IF(A209="","",YEAR(A209))</f>
        <v/>
      </c>
      <c r="C209" s="36">
        <f>IF(A209="","",MONTH(A209))</f>
        <v/>
      </c>
      <c r="D209" s="37">
        <f>IF(A209="","","Q"&amp;ROUNDUP(MONTH(A209)/3,0))</f>
        <v/>
      </c>
      <c r="E209" s="22" t="n"/>
      <c r="F209" s="22" t="n"/>
      <c r="G209" s="41" t="n"/>
      <c r="H209" s="42" t="n"/>
      <c r="I209" s="42" t="n"/>
      <c r="J209" s="42" t="n"/>
      <c r="K209" s="42" t="n"/>
      <c r="L209" s="42" t="n"/>
      <c r="M209" s="23">
        <f>IF(AND(A209&lt;&gt;"",G209&lt;&gt;""),G209-A209,"")</f>
        <v/>
      </c>
      <c r="N209" s="22" t="n"/>
    </row>
    <row r="210">
      <c r="A210" s="34" t="n"/>
      <c r="B210" s="35">
        <f>IF(A210="","",YEAR(A210))</f>
        <v/>
      </c>
      <c r="C210" s="36">
        <f>IF(A210="","",MONTH(A210))</f>
        <v/>
      </c>
      <c r="D210" s="37">
        <f>IF(A210="","","Q"&amp;ROUNDUP(MONTH(A210)/3,0))</f>
        <v/>
      </c>
      <c r="E210" s="18" t="n"/>
      <c r="F210" s="18" t="n"/>
      <c r="G210" s="34" t="n"/>
      <c r="H210" s="38" t="n"/>
      <c r="I210" s="38" t="n"/>
      <c r="J210" s="38" t="n"/>
      <c r="K210" s="38" t="n"/>
      <c r="L210" s="38" t="n"/>
      <c r="M210" s="19">
        <f>IF(AND(A210&lt;&gt;"",G210&lt;&gt;""),G210-A210,"")</f>
        <v/>
      </c>
      <c r="N210" s="18" t="n"/>
    </row>
    <row r="211">
      <c r="A211" s="41" t="n"/>
      <c r="B211" s="35">
        <f>IF(A211="","",YEAR(A211))</f>
        <v/>
      </c>
      <c r="C211" s="36">
        <f>IF(A211="","",MONTH(A211))</f>
        <v/>
      </c>
      <c r="D211" s="37">
        <f>IF(A211="","","Q"&amp;ROUNDUP(MONTH(A211)/3,0))</f>
        <v/>
      </c>
      <c r="E211" s="22" t="n"/>
      <c r="F211" s="22" t="n"/>
      <c r="G211" s="41" t="n"/>
      <c r="H211" s="42" t="n"/>
      <c r="I211" s="42" t="n"/>
      <c r="J211" s="42" t="n"/>
      <c r="K211" s="42" t="n"/>
      <c r="L211" s="42" t="n"/>
      <c r="M211" s="23">
        <f>IF(AND(A211&lt;&gt;"",G211&lt;&gt;""),G211-A211,"")</f>
        <v/>
      </c>
      <c r="N211" s="22" t="n"/>
    </row>
    <row r="212">
      <c r="A212" s="34" t="n"/>
      <c r="B212" s="35">
        <f>IF(A212="","",YEAR(A212))</f>
        <v/>
      </c>
      <c r="C212" s="36">
        <f>IF(A212="","",MONTH(A212))</f>
        <v/>
      </c>
      <c r="D212" s="37">
        <f>IF(A212="","","Q"&amp;ROUNDUP(MONTH(A212)/3,0))</f>
        <v/>
      </c>
      <c r="E212" s="18" t="n"/>
      <c r="F212" s="18" t="n"/>
      <c r="G212" s="34" t="n"/>
      <c r="H212" s="38" t="n"/>
      <c r="I212" s="38" t="n"/>
      <c r="J212" s="38" t="n"/>
      <c r="K212" s="38" t="n"/>
      <c r="L212" s="38" t="n"/>
      <c r="M212" s="19">
        <f>IF(AND(A212&lt;&gt;"",G212&lt;&gt;""),G212-A212,"")</f>
        <v/>
      </c>
      <c r="N212" s="18" t="n"/>
    </row>
    <row r="213">
      <c r="A213" s="41" t="n"/>
      <c r="B213" s="35">
        <f>IF(A213="","",YEAR(A213))</f>
        <v/>
      </c>
      <c r="C213" s="36">
        <f>IF(A213="","",MONTH(A213))</f>
        <v/>
      </c>
      <c r="D213" s="37">
        <f>IF(A213="","","Q"&amp;ROUNDUP(MONTH(A213)/3,0))</f>
        <v/>
      </c>
      <c r="E213" s="22" t="n"/>
      <c r="F213" s="22" t="n"/>
      <c r="G213" s="41" t="n"/>
      <c r="H213" s="42" t="n"/>
      <c r="I213" s="42" t="n"/>
      <c r="J213" s="42" t="n"/>
      <c r="K213" s="42" t="n"/>
      <c r="L213" s="42" t="n"/>
      <c r="M213" s="23">
        <f>IF(AND(A213&lt;&gt;"",G213&lt;&gt;""),G213-A213,"")</f>
        <v/>
      </c>
      <c r="N213" s="22" t="n"/>
    </row>
    <row r="214">
      <c r="A214" s="34" t="n"/>
      <c r="B214" s="35">
        <f>IF(A214="","",YEAR(A214))</f>
        <v/>
      </c>
      <c r="C214" s="36">
        <f>IF(A214="","",MONTH(A214))</f>
        <v/>
      </c>
      <c r="D214" s="37">
        <f>IF(A214="","","Q"&amp;ROUNDUP(MONTH(A214)/3,0))</f>
        <v/>
      </c>
      <c r="E214" s="18" t="n"/>
      <c r="F214" s="18" t="n"/>
      <c r="G214" s="34" t="n"/>
      <c r="H214" s="38" t="n"/>
      <c r="I214" s="38" t="n"/>
      <c r="J214" s="38" t="n"/>
      <c r="K214" s="38" t="n"/>
      <c r="L214" s="38" t="n"/>
      <c r="M214" s="19">
        <f>IF(AND(A214&lt;&gt;"",G214&lt;&gt;""),G214-A214,"")</f>
        <v/>
      </c>
      <c r="N214" s="18" t="n"/>
    </row>
    <row r="215">
      <c r="A215" s="41" t="n"/>
      <c r="B215" s="35">
        <f>IF(A215="","",YEAR(A215))</f>
        <v/>
      </c>
      <c r="C215" s="36">
        <f>IF(A215="","",MONTH(A215))</f>
        <v/>
      </c>
      <c r="D215" s="37">
        <f>IF(A215="","","Q"&amp;ROUNDUP(MONTH(A215)/3,0))</f>
        <v/>
      </c>
      <c r="E215" s="22" t="n"/>
      <c r="F215" s="22" t="n"/>
      <c r="G215" s="41" t="n"/>
      <c r="H215" s="42" t="n"/>
      <c r="I215" s="42" t="n"/>
      <c r="J215" s="42" t="n"/>
      <c r="K215" s="42" t="n"/>
      <c r="L215" s="42" t="n"/>
      <c r="M215" s="23">
        <f>IF(AND(A215&lt;&gt;"",G215&lt;&gt;""),G215-A215,"")</f>
        <v/>
      </c>
      <c r="N215" s="22" t="n"/>
    </row>
    <row r="216">
      <c r="A216" s="34" t="n"/>
      <c r="B216" s="35">
        <f>IF(A216="","",YEAR(A216))</f>
        <v/>
      </c>
      <c r="C216" s="36">
        <f>IF(A216="","",MONTH(A216))</f>
        <v/>
      </c>
      <c r="D216" s="37">
        <f>IF(A216="","","Q"&amp;ROUNDUP(MONTH(A216)/3,0))</f>
        <v/>
      </c>
      <c r="E216" s="18" t="n"/>
      <c r="F216" s="18" t="n"/>
      <c r="G216" s="34" t="n"/>
      <c r="H216" s="38" t="n"/>
      <c r="I216" s="38" t="n"/>
      <c r="J216" s="38" t="n"/>
      <c r="K216" s="38" t="n"/>
      <c r="L216" s="38" t="n"/>
      <c r="M216" s="19">
        <f>IF(AND(A216&lt;&gt;"",G216&lt;&gt;""),G216-A216,"")</f>
        <v/>
      </c>
      <c r="N216" s="18" t="n"/>
    </row>
    <row r="217">
      <c r="A217" s="41" t="n"/>
      <c r="B217" s="35">
        <f>IF(A217="","",YEAR(A217))</f>
        <v/>
      </c>
      <c r="C217" s="36">
        <f>IF(A217="","",MONTH(A217))</f>
        <v/>
      </c>
      <c r="D217" s="37">
        <f>IF(A217="","","Q"&amp;ROUNDUP(MONTH(A217)/3,0))</f>
        <v/>
      </c>
      <c r="E217" s="22" t="n"/>
      <c r="F217" s="22" t="n"/>
      <c r="G217" s="41" t="n"/>
      <c r="H217" s="42" t="n"/>
      <c r="I217" s="42" t="n"/>
      <c r="J217" s="42" t="n"/>
      <c r="K217" s="42" t="n"/>
      <c r="L217" s="42" t="n"/>
      <c r="M217" s="23">
        <f>IF(AND(A217&lt;&gt;"",G217&lt;&gt;""),G217-A217,"")</f>
        <v/>
      </c>
      <c r="N217" s="22" t="n"/>
    </row>
    <row r="218">
      <c r="A218" s="34" t="n"/>
      <c r="B218" s="35">
        <f>IF(A218="","",YEAR(A218))</f>
        <v/>
      </c>
      <c r="C218" s="36">
        <f>IF(A218="","",MONTH(A218))</f>
        <v/>
      </c>
      <c r="D218" s="37">
        <f>IF(A218="","","Q"&amp;ROUNDUP(MONTH(A218)/3,0))</f>
        <v/>
      </c>
      <c r="E218" s="18" t="n"/>
      <c r="F218" s="18" t="n"/>
      <c r="G218" s="34" t="n"/>
      <c r="H218" s="38" t="n"/>
      <c r="I218" s="38" t="n"/>
      <c r="J218" s="38" t="n"/>
      <c r="K218" s="38" t="n"/>
      <c r="L218" s="38" t="n"/>
      <c r="M218" s="19">
        <f>IF(AND(A218&lt;&gt;"",G218&lt;&gt;""),G218-A218,"")</f>
        <v/>
      </c>
      <c r="N218" s="18" t="n"/>
    </row>
    <row r="219">
      <c r="A219" s="41" t="n"/>
      <c r="B219" s="35">
        <f>IF(A219="","",YEAR(A219))</f>
        <v/>
      </c>
      <c r="C219" s="36">
        <f>IF(A219="","",MONTH(A219))</f>
        <v/>
      </c>
      <c r="D219" s="37">
        <f>IF(A219="","","Q"&amp;ROUNDUP(MONTH(A219)/3,0))</f>
        <v/>
      </c>
      <c r="E219" s="22" t="n"/>
      <c r="F219" s="22" t="n"/>
      <c r="G219" s="41" t="n"/>
      <c r="H219" s="42" t="n"/>
      <c r="I219" s="42" t="n"/>
      <c r="J219" s="42" t="n"/>
      <c r="K219" s="42" t="n"/>
      <c r="L219" s="42" t="n"/>
      <c r="M219" s="23">
        <f>IF(AND(A219&lt;&gt;"",G219&lt;&gt;""),G219-A219,"")</f>
        <v/>
      </c>
      <c r="N219" s="22" t="n"/>
    </row>
    <row r="220">
      <c r="A220" s="34" t="n"/>
      <c r="B220" s="35">
        <f>IF(A220="","",YEAR(A220))</f>
        <v/>
      </c>
      <c r="C220" s="36">
        <f>IF(A220="","",MONTH(A220))</f>
        <v/>
      </c>
      <c r="D220" s="37">
        <f>IF(A220="","","Q"&amp;ROUNDUP(MONTH(A220)/3,0))</f>
        <v/>
      </c>
      <c r="E220" s="18" t="n"/>
      <c r="F220" s="18" t="n"/>
      <c r="G220" s="34" t="n"/>
      <c r="H220" s="38" t="n"/>
      <c r="I220" s="38" t="n"/>
      <c r="J220" s="38" t="n"/>
      <c r="K220" s="38" t="n"/>
      <c r="L220" s="38" t="n"/>
      <c r="M220" s="19">
        <f>IF(AND(A220&lt;&gt;"",G220&lt;&gt;""),G220-A220,"")</f>
        <v/>
      </c>
      <c r="N220" s="18" t="n"/>
    </row>
    <row r="221">
      <c r="A221" s="41" t="n"/>
      <c r="B221" s="35">
        <f>IF(A221="","",YEAR(A221))</f>
        <v/>
      </c>
      <c r="C221" s="36">
        <f>IF(A221="","",MONTH(A221))</f>
        <v/>
      </c>
      <c r="D221" s="37">
        <f>IF(A221="","","Q"&amp;ROUNDUP(MONTH(A221)/3,0))</f>
        <v/>
      </c>
      <c r="E221" s="22" t="n"/>
      <c r="F221" s="22" t="n"/>
      <c r="G221" s="41" t="n"/>
      <c r="H221" s="42" t="n"/>
      <c r="I221" s="42" t="n"/>
      <c r="J221" s="42" t="n"/>
      <c r="K221" s="42" t="n"/>
      <c r="L221" s="42" t="n"/>
      <c r="M221" s="23">
        <f>IF(AND(A221&lt;&gt;"",G221&lt;&gt;""),G221-A221,"")</f>
        <v/>
      </c>
      <c r="N221" s="22" t="n"/>
    </row>
    <row r="222">
      <c r="A222" s="34" t="n"/>
      <c r="B222" s="35">
        <f>IF(A222="","",YEAR(A222))</f>
        <v/>
      </c>
      <c r="C222" s="36">
        <f>IF(A222="","",MONTH(A222))</f>
        <v/>
      </c>
      <c r="D222" s="37">
        <f>IF(A222="","","Q"&amp;ROUNDUP(MONTH(A222)/3,0))</f>
        <v/>
      </c>
      <c r="E222" s="18" t="n"/>
      <c r="F222" s="18" t="n"/>
      <c r="G222" s="34" t="n"/>
      <c r="H222" s="38" t="n"/>
      <c r="I222" s="38" t="n"/>
      <c r="J222" s="38" t="n"/>
      <c r="K222" s="38" t="n"/>
      <c r="L222" s="38" t="n"/>
      <c r="M222" s="19">
        <f>IF(AND(A222&lt;&gt;"",G222&lt;&gt;""),G222-A222,"")</f>
        <v/>
      </c>
      <c r="N222" s="18" t="n"/>
    </row>
    <row r="223">
      <c r="A223" s="41" t="n"/>
      <c r="B223" s="35">
        <f>IF(A223="","",YEAR(A223))</f>
        <v/>
      </c>
      <c r="C223" s="36">
        <f>IF(A223="","",MONTH(A223))</f>
        <v/>
      </c>
      <c r="D223" s="37">
        <f>IF(A223="","","Q"&amp;ROUNDUP(MONTH(A223)/3,0))</f>
        <v/>
      </c>
      <c r="E223" s="22" t="n"/>
      <c r="F223" s="22" t="n"/>
      <c r="G223" s="41" t="n"/>
      <c r="H223" s="42" t="n"/>
      <c r="I223" s="42" t="n"/>
      <c r="J223" s="42" t="n"/>
      <c r="K223" s="42" t="n"/>
      <c r="L223" s="42" t="n"/>
      <c r="M223" s="23">
        <f>IF(AND(A223&lt;&gt;"",G223&lt;&gt;""),G223-A223,"")</f>
        <v/>
      </c>
      <c r="N223" s="22" t="n"/>
    </row>
    <row r="224">
      <c r="A224" s="34" t="n"/>
      <c r="B224" s="35">
        <f>IF(A224="","",YEAR(A224))</f>
        <v/>
      </c>
      <c r="C224" s="36">
        <f>IF(A224="","",MONTH(A224))</f>
        <v/>
      </c>
      <c r="D224" s="37">
        <f>IF(A224="","","Q"&amp;ROUNDUP(MONTH(A224)/3,0))</f>
        <v/>
      </c>
      <c r="E224" s="18" t="n"/>
      <c r="F224" s="18" t="n"/>
      <c r="G224" s="34" t="n"/>
      <c r="H224" s="38" t="n"/>
      <c r="I224" s="38" t="n"/>
      <c r="J224" s="38" t="n"/>
      <c r="K224" s="38" t="n"/>
      <c r="L224" s="38" t="n"/>
      <c r="M224" s="19">
        <f>IF(AND(A224&lt;&gt;"",G224&lt;&gt;""),G224-A224,"")</f>
        <v/>
      </c>
      <c r="N224" s="18" t="n"/>
    </row>
    <row r="225">
      <c r="A225" s="41" t="n"/>
      <c r="B225" s="35">
        <f>IF(A225="","",YEAR(A225))</f>
        <v/>
      </c>
      <c r="C225" s="36">
        <f>IF(A225="","",MONTH(A225))</f>
        <v/>
      </c>
      <c r="D225" s="37">
        <f>IF(A225="","","Q"&amp;ROUNDUP(MONTH(A225)/3,0))</f>
        <v/>
      </c>
      <c r="E225" s="22" t="n"/>
      <c r="F225" s="22" t="n"/>
      <c r="G225" s="41" t="n"/>
      <c r="H225" s="42" t="n"/>
      <c r="I225" s="42" t="n"/>
      <c r="J225" s="42" t="n"/>
      <c r="K225" s="42" t="n"/>
      <c r="L225" s="42" t="n"/>
      <c r="M225" s="23">
        <f>IF(AND(A225&lt;&gt;"",G225&lt;&gt;""),G225-A225,"")</f>
        <v/>
      </c>
      <c r="N225" s="22" t="n"/>
    </row>
    <row r="226">
      <c r="A226" s="34" t="n"/>
      <c r="B226" s="35">
        <f>IF(A226="","",YEAR(A226))</f>
        <v/>
      </c>
      <c r="C226" s="36">
        <f>IF(A226="","",MONTH(A226))</f>
        <v/>
      </c>
      <c r="D226" s="37">
        <f>IF(A226="","","Q"&amp;ROUNDUP(MONTH(A226)/3,0))</f>
        <v/>
      </c>
      <c r="E226" s="18" t="n"/>
      <c r="F226" s="18" t="n"/>
      <c r="G226" s="34" t="n"/>
      <c r="H226" s="38" t="n"/>
      <c r="I226" s="38" t="n"/>
      <c r="J226" s="38" t="n"/>
      <c r="K226" s="38" t="n"/>
      <c r="L226" s="38" t="n"/>
      <c r="M226" s="19">
        <f>IF(AND(A226&lt;&gt;"",G226&lt;&gt;""),G226-A226,"")</f>
        <v/>
      </c>
      <c r="N226" s="18" t="n"/>
    </row>
    <row r="227">
      <c r="A227" s="41" t="n"/>
      <c r="B227" s="35">
        <f>IF(A227="","",YEAR(A227))</f>
        <v/>
      </c>
      <c r="C227" s="36">
        <f>IF(A227="","",MONTH(A227))</f>
        <v/>
      </c>
      <c r="D227" s="37">
        <f>IF(A227="","","Q"&amp;ROUNDUP(MONTH(A227)/3,0))</f>
        <v/>
      </c>
      <c r="E227" s="22" t="n"/>
      <c r="F227" s="22" t="n"/>
      <c r="G227" s="41" t="n"/>
      <c r="H227" s="42" t="n"/>
      <c r="I227" s="42" t="n"/>
      <c r="J227" s="42" t="n"/>
      <c r="K227" s="42" t="n"/>
      <c r="L227" s="42" t="n"/>
      <c r="M227" s="23">
        <f>IF(AND(A227&lt;&gt;"",G227&lt;&gt;""),G227-A227,"")</f>
        <v/>
      </c>
      <c r="N227" s="22" t="n"/>
    </row>
    <row r="228">
      <c r="A228" s="34" t="n"/>
      <c r="B228" s="35">
        <f>IF(A228="","",YEAR(A228))</f>
        <v/>
      </c>
      <c r="C228" s="36">
        <f>IF(A228="","",MONTH(A228))</f>
        <v/>
      </c>
      <c r="D228" s="37">
        <f>IF(A228="","","Q"&amp;ROUNDUP(MONTH(A228)/3,0))</f>
        <v/>
      </c>
      <c r="E228" s="18" t="n"/>
      <c r="F228" s="18" t="n"/>
      <c r="G228" s="34" t="n"/>
      <c r="H228" s="38" t="n"/>
      <c r="I228" s="38" t="n"/>
      <c r="J228" s="38" t="n"/>
      <c r="K228" s="38" t="n"/>
      <c r="L228" s="38" t="n"/>
      <c r="M228" s="19">
        <f>IF(AND(A228&lt;&gt;"",G228&lt;&gt;""),G228-A228,"")</f>
        <v/>
      </c>
      <c r="N228" s="18" t="n"/>
    </row>
    <row r="229">
      <c r="A229" s="41" t="n"/>
      <c r="B229" s="35">
        <f>IF(A229="","",YEAR(A229))</f>
        <v/>
      </c>
      <c r="C229" s="36">
        <f>IF(A229="","",MONTH(A229))</f>
        <v/>
      </c>
      <c r="D229" s="37">
        <f>IF(A229="","","Q"&amp;ROUNDUP(MONTH(A229)/3,0))</f>
        <v/>
      </c>
      <c r="E229" s="22" t="n"/>
      <c r="F229" s="22" t="n"/>
      <c r="G229" s="41" t="n"/>
      <c r="H229" s="42" t="n"/>
      <c r="I229" s="42" t="n"/>
      <c r="J229" s="42" t="n"/>
      <c r="K229" s="42" t="n"/>
      <c r="L229" s="42" t="n"/>
      <c r="M229" s="23">
        <f>IF(AND(A229&lt;&gt;"",G229&lt;&gt;""),G229-A229,"")</f>
        <v/>
      </c>
      <c r="N229" s="22" t="n"/>
    </row>
    <row r="230">
      <c r="A230" s="34" t="n"/>
      <c r="B230" s="35">
        <f>IF(A230="","",YEAR(A230))</f>
        <v/>
      </c>
      <c r="C230" s="36">
        <f>IF(A230="","",MONTH(A230))</f>
        <v/>
      </c>
      <c r="D230" s="37">
        <f>IF(A230="","","Q"&amp;ROUNDUP(MONTH(A230)/3,0))</f>
        <v/>
      </c>
      <c r="E230" s="18" t="n"/>
      <c r="F230" s="18" t="n"/>
      <c r="G230" s="34" t="n"/>
      <c r="H230" s="38" t="n"/>
      <c r="I230" s="38" t="n"/>
      <c r="J230" s="38" t="n"/>
      <c r="K230" s="38" t="n"/>
      <c r="L230" s="38" t="n"/>
      <c r="M230" s="19">
        <f>IF(AND(A230&lt;&gt;"",G230&lt;&gt;""),G230-A230,"")</f>
        <v/>
      </c>
      <c r="N230" s="18" t="n"/>
    </row>
    <row r="231">
      <c r="A231" s="41" t="n"/>
      <c r="B231" s="35">
        <f>IF(A231="","",YEAR(A231))</f>
        <v/>
      </c>
      <c r="C231" s="36">
        <f>IF(A231="","",MONTH(A231))</f>
        <v/>
      </c>
      <c r="D231" s="37">
        <f>IF(A231="","","Q"&amp;ROUNDUP(MONTH(A231)/3,0))</f>
        <v/>
      </c>
      <c r="E231" s="22" t="n"/>
      <c r="F231" s="22" t="n"/>
      <c r="G231" s="41" t="n"/>
      <c r="H231" s="42" t="n"/>
      <c r="I231" s="42" t="n"/>
      <c r="J231" s="42" t="n"/>
      <c r="K231" s="42" t="n"/>
      <c r="L231" s="42" t="n"/>
      <c r="M231" s="23">
        <f>IF(AND(A231&lt;&gt;"",G231&lt;&gt;""),G231-A231,"")</f>
        <v/>
      </c>
      <c r="N231" s="22" t="n"/>
    </row>
    <row r="232">
      <c r="A232" s="34" t="n"/>
      <c r="B232" s="35">
        <f>IF(A232="","",YEAR(A232))</f>
        <v/>
      </c>
      <c r="C232" s="36">
        <f>IF(A232="","",MONTH(A232))</f>
        <v/>
      </c>
      <c r="D232" s="37">
        <f>IF(A232="","","Q"&amp;ROUNDUP(MONTH(A232)/3,0))</f>
        <v/>
      </c>
      <c r="E232" s="18" t="n"/>
      <c r="F232" s="18" t="n"/>
      <c r="G232" s="34" t="n"/>
      <c r="H232" s="38" t="n"/>
      <c r="I232" s="38" t="n"/>
      <c r="J232" s="38" t="n"/>
      <c r="K232" s="38" t="n"/>
      <c r="L232" s="38" t="n"/>
      <c r="M232" s="19">
        <f>IF(AND(A232&lt;&gt;"",G232&lt;&gt;""),G232-A232,"")</f>
        <v/>
      </c>
      <c r="N232" s="18" t="n"/>
    </row>
    <row r="233">
      <c r="A233" s="41" t="n"/>
      <c r="B233" s="35">
        <f>IF(A233="","",YEAR(A233))</f>
        <v/>
      </c>
      <c r="C233" s="36">
        <f>IF(A233="","",MONTH(A233))</f>
        <v/>
      </c>
      <c r="D233" s="37">
        <f>IF(A233="","","Q"&amp;ROUNDUP(MONTH(A233)/3,0))</f>
        <v/>
      </c>
      <c r="E233" s="22" t="n"/>
      <c r="F233" s="22" t="n"/>
      <c r="G233" s="41" t="n"/>
      <c r="H233" s="42" t="n"/>
      <c r="I233" s="42" t="n"/>
      <c r="J233" s="42" t="n"/>
      <c r="K233" s="42" t="n"/>
      <c r="L233" s="42" t="n"/>
      <c r="M233" s="23">
        <f>IF(AND(A233&lt;&gt;"",G233&lt;&gt;""),G233-A233,"")</f>
        <v/>
      </c>
      <c r="N233" s="22" t="n"/>
    </row>
    <row r="234">
      <c r="A234" s="34" t="n"/>
      <c r="B234" s="35">
        <f>IF(A234="","",YEAR(A234))</f>
        <v/>
      </c>
      <c r="C234" s="36">
        <f>IF(A234="","",MONTH(A234))</f>
        <v/>
      </c>
      <c r="D234" s="37">
        <f>IF(A234="","","Q"&amp;ROUNDUP(MONTH(A234)/3,0))</f>
        <v/>
      </c>
      <c r="E234" s="18" t="n"/>
      <c r="F234" s="18" t="n"/>
      <c r="G234" s="34" t="n"/>
      <c r="H234" s="38" t="n"/>
      <c r="I234" s="38" t="n"/>
      <c r="J234" s="38" t="n"/>
      <c r="K234" s="38" t="n"/>
      <c r="L234" s="38" t="n"/>
      <c r="M234" s="19">
        <f>IF(AND(A234&lt;&gt;"",G234&lt;&gt;""),G234-A234,"")</f>
        <v/>
      </c>
      <c r="N234" s="18" t="n"/>
    </row>
    <row r="235">
      <c r="A235" s="41" t="n"/>
      <c r="B235" s="35">
        <f>IF(A235="","",YEAR(A235))</f>
        <v/>
      </c>
      <c r="C235" s="36">
        <f>IF(A235="","",MONTH(A235))</f>
        <v/>
      </c>
      <c r="D235" s="37">
        <f>IF(A235="","","Q"&amp;ROUNDUP(MONTH(A235)/3,0))</f>
        <v/>
      </c>
      <c r="E235" s="22" t="n"/>
      <c r="F235" s="22" t="n"/>
      <c r="G235" s="41" t="n"/>
      <c r="H235" s="42" t="n"/>
      <c r="I235" s="42" t="n"/>
      <c r="J235" s="42" t="n"/>
      <c r="K235" s="42" t="n"/>
      <c r="L235" s="42" t="n"/>
      <c r="M235" s="23">
        <f>IF(AND(A235&lt;&gt;"",G235&lt;&gt;""),G235-A235,"")</f>
        <v/>
      </c>
      <c r="N235" s="22" t="n"/>
    </row>
    <row r="236">
      <c r="A236" s="34" t="n"/>
      <c r="B236" s="35">
        <f>IF(A236="","",YEAR(A236))</f>
        <v/>
      </c>
      <c r="C236" s="36">
        <f>IF(A236="","",MONTH(A236))</f>
        <v/>
      </c>
      <c r="D236" s="37">
        <f>IF(A236="","","Q"&amp;ROUNDUP(MONTH(A236)/3,0))</f>
        <v/>
      </c>
      <c r="E236" s="18" t="n"/>
      <c r="F236" s="18" t="n"/>
      <c r="G236" s="34" t="n"/>
      <c r="H236" s="38" t="n"/>
      <c r="I236" s="38" t="n"/>
      <c r="J236" s="38" t="n"/>
      <c r="K236" s="38" t="n"/>
      <c r="L236" s="38" t="n"/>
      <c r="M236" s="19">
        <f>IF(AND(A236&lt;&gt;"",G236&lt;&gt;""),G236-A236,"")</f>
        <v/>
      </c>
      <c r="N236" s="18" t="n"/>
    </row>
    <row r="237">
      <c r="A237" s="41" t="n"/>
      <c r="B237" s="35">
        <f>IF(A237="","",YEAR(A237))</f>
        <v/>
      </c>
      <c r="C237" s="36">
        <f>IF(A237="","",MONTH(A237))</f>
        <v/>
      </c>
      <c r="D237" s="37">
        <f>IF(A237="","","Q"&amp;ROUNDUP(MONTH(A237)/3,0))</f>
        <v/>
      </c>
      <c r="E237" s="22" t="n"/>
      <c r="F237" s="22" t="n"/>
      <c r="G237" s="41" t="n"/>
      <c r="H237" s="42" t="n"/>
      <c r="I237" s="42" t="n"/>
      <c r="J237" s="42" t="n"/>
      <c r="K237" s="42" t="n"/>
      <c r="L237" s="42" t="n"/>
      <c r="M237" s="23">
        <f>IF(AND(A237&lt;&gt;"",G237&lt;&gt;""),G237-A237,"")</f>
        <v/>
      </c>
      <c r="N237" s="22" t="n"/>
    </row>
    <row r="238">
      <c r="A238" s="34" t="n"/>
      <c r="B238" s="35">
        <f>IF(A238="","",YEAR(A238))</f>
        <v/>
      </c>
      <c r="C238" s="36">
        <f>IF(A238="","",MONTH(A238))</f>
        <v/>
      </c>
      <c r="D238" s="37">
        <f>IF(A238="","","Q"&amp;ROUNDUP(MONTH(A238)/3,0))</f>
        <v/>
      </c>
      <c r="E238" s="18" t="n"/>
      <c r="F238" s="18" t="n"/>
      <c r="G238" s="34" t="n"/>
      <c r="H238" s="38" t="n"/>
      <c r="I238" s="38" t="n"/>
      <c r="J238" s="38" t="n"/>
      <c r="K238" s="38" t="n"/>
      <c r="L238" s="38" t="n"/>
      <c r="M238" s="19">
        <f>IF(AND(A238&lt;&gt;"",G238&lt;&gt;""),G238-A238,"")</f>
        <v/>
      </c>
      <c r="N238" s="18" t="n"/>
    </row>
    <row r="239">
      <c r="A239" s="41" t="n"/>
      <c r="B239" s="35">
        <f>IF(A239="","",YEAR(A239))</f>
        <v/>
      </c>
      <c r="C239" s="36">
        <f>IF(A239="","",MONTH(A239))</f>
        <v/>
      </c>
      <c r="D239" s="37">
        <f>IF(A239="","","Q"&amp;ROUNDUP(MONTH(A239)/3,0))</f>
        <v/>
      </c>
      <c r="E239" s="22" t="n"/>
      <c r="F239" s="22" t="n"/>
      <c r="G239" s="41" t="n"/>
      <c r="H239" s="42" t="n"/>
      <c r="I239" s="42" t="n"/>
      <c r="J239" s="42" t="n"/>
      <c r="K239" s="42" t="n"/>
      <c r="L239" s="42" t="n"/>
      <c r="M239" s="23">
        <f>IF(AND(A239&lt;&gt;"",G239&lt;&gt;""),G239-A239,"")</f>
        <v/>
      </c>
      <c r="N239" s="22" t="n"/>
    </row>
    <row r="240">
      <c r="A240" s="34" t="n"/>
      <c r="B240" s="35">
        <f>IF(A240="","",YEAR(A240))</f>
        <v/>
      </c>
      <c r="C240" s="36">
        <f>IF(A240="","",MONTH(A240))</f>
        <v/>
      </c>
      <c r="D240" s="37">
        <f>IF(A240="","","Q"&amp;ROUNDUP(MONTH(A240)/3,0))</f>
        <v/>
      </c>
      <c r="E240" s="18" t="n"/>
      <c r="F240" s="18" t="n"/>
      <c r="G240" s="34" t="n"/>
      <c r="H240" s="38" t="n"/>
      <c r="I240" s="38" t="n"/>
      <c r="J240" s="38" t="n"/>
      <c r="K240" s="38" t="n"/>
      <c r="L240" s="38" t="n"/>
      <c r="M240" s="19">
        <f>IF(AND(A240&lt;&gt;"",G240&lt;&gt;""),G240-A240,"")</f>
        <v/>
      </c>
      <c r="N240" s="18" t="n"/>
    </row>
    <row r="241">
      <c r="A241" s="41" t="n"/>
      <c r="B241" s="35">
        <f>IF(A241="","",YEAR(A241))</f>
        <v/>
      </c>
      <c r="C241" s="36">
        <f>IF(A241="","",MONTH(A241))</f>
        <v/>
      </c>
      <c r="D241" s="37">
        <f>IF(A241="","","Q"&amp;ROUNDUP(MONTH(A241)/3,0))</f>
        <v/>
      </c>
      <c r="E241" s="22" t="n"/>
      <c r="F241" s="22" t="n"/>
      <c r="G241" s="41" t="n"/>
      <c r="H241" s="42" t="n"/>
      <c r="I241" s="42" t="n"/>
      <c r="J241" s="42" t="n"/>
      <c r="K241" s="42" t="n"/>
      <c r="L241" s="42" t="n"/>
      <c r="M241" s="23">
        <f>IF(AND(A241&lt;&gt;"",G241&lt;&gt;""),G241-A241,"")</f>
        <v/>
      </c>
      <c r="N241" s="22" t="n"/>
    </row>
    <row r="242">
      <c r="A242" s="34" t="n"/>
      <c r="B242" s="35">
        <f>IF(A242="","",YEAR(A242))</f>
        <v/>
      </c>
      <c r="C242" s="36">
        <f>IF(A242="","",MONTH(A242))</f>
        <v/>
      </c>
      <c r="D242" s="37">
        <f>IF(A242="","","Q"&amp;ROUNDUP(MONTH(A242)/3,0))</f>
        <v/>
      </c>
      <c r="E242" s="18" t="n"/>
      <c r="F242" s="18" t="n"/>
      <c r="G242" s="34" t="n"/>
      <c r="H242" s="38" t="n"/>
      <c r="I242" s="38" t="n"/>
      <c r="J242" s="38" t="n"/>
      <c r="K242" s="38" t="n"/>
      <c r="L242" s="38" t="n"/>
      <c r="M242" s="19">
        <f>IF(AND(A242&lt;&gt;"",G242&lt;&gt;""),G242-A242,"")</f>
        <v/>
      </c>
      <c r="N242" s="18" t="n"/>
    </row>
    <row r="243">
      <c r="A243" s="41" t="n"/>
      <c r="B243" s="35">
        <f>IF(A243="","",YEAR(A243))</f>
        <v/>
      </c>
      <c r="C243" s="36">
        <f>IF(A243="","",MONTH(A243))</f>
        <v/>
      </c>
      <c r="D243" s="37">
        <f>IF(A243="","","Q"&amp;ROUNDUP(MONTH(A243)/3,0))</f>
        <v/>
      </c>
      <c r="E243" s="22" t="n"/>
      <c r="F243" s="22" t="n"/>
      <c r="G243" s="41" t="n"/>
      <c r="H243" s="42" t="n"/>
      <c r="I243" s="42" t="n"/>
      <c r="J243" s="42" t="n"/>
      <c r="K243" s="42" t="n"/>
      <c r="L243" s="42" t="n"/>
      <c r="M243" s="23">
        <f>IF(AND(A243&lt;&gt;"",G243&lt;&gt;""),G243-A243,"")</f>
        <v/>
      </c>
      <c r="N243" s="22" t="n"/>
    </row>
    <row r="244">
      <c r="A244" s="34" t="n"/>
      <c r="B244" s="35">
        <f>IF(A244="","",YEAR(A244))</f>
        <v/>
      </c>
      <c r="C244" s="36">
        <f>IF(A244="","",MONTH(A244))</f>
        <v/>
      </c>
      <c r="D244" s="37">
        <f>IF(A244="","","Q"&amp;ROUNDUP(MONTH(A244)/3,0))</f>
        <v/>
      </c>
      <c r="E244" s="18" t="n"/>
      <c r="F244" s="18" t="n"/>
      <c r="G244" s="34" t="n"/>
      <c r="H244" s="38" t="n"/>
      <c r="I244" s="38" t="n"/>
      <c r="J244" s="38" t="n"/>
      <c r="K244" s="38" t="n"/>
      <c r="L244" s="38" t="n"/>
      <c r="M244" s="19">
        <f>IF(AND(A244&lt;&gt;"",G244&lt;&gt;""),G244-A244,"")</f>
        <v/>
      </c>
      <c r="N244" s="18" t="n"/>
    </row>
    <row r="245">
      <c r="A245" s="41" t="n"/>
      <c r="B245" s="35">
        <f>IF(A245="","",YEAR(A245))</f>
        <v/>
      </c>
      <c r="C245" s="36">
        <f>IF(A245="","",MONTH(A245))</f>
        <v/>
      </c>
      <c r="D245" s="37">
        <f>IF(A245="","","Q"&amp;ROUNDUP(MONTH(A245)/3,0))</f>
        <v/>
      </c>
      <c r="E245" s="22" t="n"/>
      <c r="F245" s="22" t="n"/>
      <c r="G245" s="41" t="n"/>
      <c r="H245" s="42" t="n"/>
      <c r="I245" s="42" t="n"/>
      <c r="J245" s="42" t="n"/>
      <c r="K245" s="42" t="n"/>
      <c r="L245" s="42" t="n"/>
      <c r="M245" s="23">
        <f>IF(AND(A245&lt;&gt;"",G245&lt;&gt;""),G245-A245,"")</f>
        <v/>
      </c>
      <c r="N245" s="22" t="n"/>
    </row>
    <row r="246">
      <c r="A246" s="34" t="n"/>
      <c r="B246" s="35">
        <f>IF(A246="","",YEAR(A246))</f>
        <v/>
      </c>
      <c r="C246" s="36">
        <f>IF(A246="","",MONTH(A246))</f>
        <v/>
      </c>
      <c r="D246" s="37">
        <f>IF(A246="","","Q"&amp;ROUNDUP(MONTH(A246)/3,0))</f>
        <v/>
      </c>
      <c r="E246" s="18" t="n"/>
      <c r="F246" s="18" t="n"/>
      <c r="G246" s="34" t="n"/>
      <c r="H246" s="38" t="n"/>
      <c r="I246" s="38" t="n"/>
      <c r="J246" s="38" t="n"/>
      <c r="K246" s="38" t="n"/>
      <c r="L246" s="38" t="n"/>
      <c r="M246" s="19">
        <f>IF(AND(A246&lt;&gt;"",G246&lt;&gt;""),G246-A246,"")</f>
        <v/>
      </c>
      <c r="N246" s="18" t="n"/>
    </row>
    <row r="247">
      <c r="A247" s="41" t="n"/>
      <c r="B247" s="35">
        <f>IF(A247="","",YEAR(A247))</f>
        <v/>
      </c>
      <c r="C247" s="36">
        <f>IF(A247="","",MONTH(A247))</f>
        <v/>
      </c>
      <c r="D247" s="37">
        <f>IF(A247="","","Q"&amp;ROUNDUP(MONTH(A247)/3,0))</f>
        <v/>
      </c>
      <c r="E247" s="22" t="n"/>
      <c r="F247" s="22" t="n"/>
      <c r="G247" s="41" t="n"/>
      <c r="H247" s="42" t="n"/>
      <c r="I247" s="42" t="n"/>
      <c r="J247" s="42" t="n"/>
      <c r="K247" s="42" t="n"/>
      <c r="L247" s="42" t="n"/>
      <c r="M247" s="23">
        <f>IF(AND(A247&lt;&gt;"",G247&lt;&gt;""),G247-A247,"")</f>
        <v/>
      </c>
      <c r="N247" s="22" t="n"/>
    </row>
    <row r="248">
      <c r="A248" s="34" t="n"/>
      <c r="B248" s="35">
        <f>IF(A248="","",YEAR(A248))</f>
        <v/>
      </c>
      <c r="C248" s="36">
        <f>IF(A248="","",MONTH(A248))</f>
        <v/>
      </c>
      <c r="D248" s="37">
        <f>IF(A248="","","Q"&amp;ROUNDUP(MONTH(A248)/3,0))</f>
        <v/>
      </c>
      <c r="E248" s="18" t="n"/>
      <c r="F248" s="18" t="n"/>
      <c r="G248" s="34" t="n"/>
      <c r="H248" s="38" t="n"/>
      <c r="I248" s="38" t="n"/>
      <c r="J248" s="38" t="n"/>
      <c r="K248" s="38" t="n"/>
      <c r="L248" s="38" t="n"/>
      <c r="M248" s="19">
        <f>IF(AND(A248&lt;&gt;"",G248&lt;&gt;""),G248-A248,"")</f>
        <v/>
      </c>
      <c r="N248" s="18" t="n"/>
    </row>
    <row r="249">
      <c r="A249" s="41" t="n"/>
      <c r="B249" s="35">
        <f>IF(A249="","",YEAR(A249))</f>
        <v/>
      </c>
      <c r="C249" s="36">
        <f>IF(A249="","",MONTH(A249))</f>
        <v/>
      </c>
      <c r="D249" s="37">
        <f>IF(A249="","","Q"&amp;ROUNDUP(MONTH(A249)/3,0))</f>
        <v/>
      </c>
      <c r="E249" s="22" t="n"/>
      <c r="F249" s="22" t="n"/>
      <c r="G249" s="41" t="n"/>
      <c r="H249" s="42" t="n"/>
      <c r="I249" s="42" t="n"/>
      <c r="J249" s="42" t="n"/>
      <c r="K249" s="42" t="n"/>
      <c r="L249" s="42" t="n"/>
      <c r="M249" s="23">
        <f>IF(AND(A249&lt;&gt;"",G249&lt;&gt;""),G249-A249,"")</f>
        <v/>
      </c>
      <c r="N249" s="22" t="n"/>
    </row>
    <row r="250">
      <c r="A250" s="34" t="n"/>
      <c r="B250" s="35">
        <f>IF(A250="","",YEAR(A250))</f>
        <v/>
      </c>
      <c r="C250" s="36">
        <f>IF(A250="","",MONTH(A250))</f>
        <v/>
      </c>
      <c r="D250" s="37">
        <f>IF(A250="","","Q"&amp;ROUNDUP(MONTH(A250)/3,0))</f>
        <v/>
      </c>
      <c r="E250" s="18" t="n"/>
      <c r="F250" s="18" t="n"/>
      <c r="G250" s="34" t="n"/>
      <c r="H250" s="38" t="n"/>
      <c r="I250" s="38" t="n"/>
      <c r="J250" s="38" t="n"/>
      <c r="K250" s="38" t="n"/>
      <c r="L250" s="38" t="n"/>
      <c r="M250" s="19">
        <f>IF(AND(A250&lt;&gt;"",G250&lt;&gt;""),G250-A250,"")</f>
        <v/>
      </c>
      <c r="N250" s="18" t="n"/>
    </row>
    <row r="251">
      <c r="A251" s="41" t="n"/>
      <c r="B251" s="35">
        <f>IF(A251="","",YEAR(A251))</f>
        <v/>
      </c>
      <c r="C251" s="36">
        <f>IF(A251="","",MONTH(A251))</f>
        <v/>
      </c>
      <c r="D251" s="37">
        <f>IF(A251="","","Q"&amp;ROUNDUP(MONTH(A251)/3,0))</f>
        <v/>
      </c>
      <c r="E251" s="22" t="n"/>
      <c r="F251" s="22" t="n"/>
      <c r="G251" s="41" t="n"/>
      <c r="H251" s="42" t="n"/>
      <c r="I251" s="42" t="n"/>
      <c r="J251" s="42" t="n"/>
      <c r="K251" s="42" t="n"/>
      <c r="L251" s="42" t="n"/>
      <c r="M251" s="23">
        <f>IF(AND(A251&lt;&gt;"",G251&lt;&gt;""),G251-A251,"")</f>
        <v/>
      </c>
      <c r="N251" s="22" t="n"/>
    </row>
    <row r="252">
      <c r="A252" s="34" t="n"/>
      <c r="B252" s="35">
        <f>IF(A252="","",YEAR(A252))</f>
        <v/>
      </c>
      <c r="C252" s="36">
        <f>IF(A252="","",MONTH(A252))</f>
        <v/>
      </c>
      <c r="D252" s="37">
        <f>IF(A252="","","Q"&amp;ROUNDUP(MONTH(A252)/3,0))</f>
        <v/>
      </c>
      <c r="E252" s="18" t="n"/>
      <c r="F252" s="18" t="n"/>
      <c r="G252" s="34" t="n"/>
      <c r="H252" s="38" t="n"/>
      <c r="I252" s="38" t="n"/>
      <c r="J252" s="38" t="n"/>
      <c r="K252" s="38" t="n"/>
      <c r="L252" s="38" t="n"/>
      <c r="M252" s="19">
        <f>IF(AND(A252&lt;&gt;"",G252&lt;&gt;""),G252-A252,"")</f>
        <v/>
      </c>
      <c r="N252" s="18" t="n"/>
    </row>
    <row r="253">
      <c r="A253" s="41" t="n"/>
      <c r="B253" s="35">
        <f>IF(A253="","",YEAR(A253))</f>
        <v/>
      </c>
      <c r="C253" s="36">
        <f>IF(A253="","",MONTH(A253))</f>
        <v/>
      </c>
      <c r="D253" s="37">
        <f>IF(A253="","","Q"&amp;ROUNDUP(MONTH(A253)/3,0))</f>
        <v/>
      </c>
      <c r="E253" s="22" t="n"/>
      <c r="F253" s="22" t="n"/>
      <c r="G253" s="41" t="n"/>
      <c r="H253" s="42" t="n"/>
      <c r="I253" s="42" t="n"/>
      <c r="J253" s="42" t="n"/>
      <c r="K253" s="42" t="n"/>
      <c r="L253" s="42" t="n"/>
      <c r="M253" s="23">
        <f>IF(AND(A253&lt;&gt;"",G253&lt;&gt;""),G253-A253,"")</f>
        <v/>
      </c>
      <c r="N253" s="22" t="n"/>
    </row>
    <row r="254">
      <c r="A254" s="34" t="n"/>
      <c r="B254" s="35">
        <f>IF(A254="","",YEAR(A254))</f>
        <v/>
      </c>
      <c r="C254" s="36">
        <f>IF(A254="","",MONTH(A254))</f>
        <v/>
      </c>
      <c r="D254" s="37">
        <f>IF(A254="","","Q"&amp;ROUNDUP(MONTH(A254)/3,0))</f>
        <v/>
      </c>
      <c r="E254" s="18" t="n"/>
      <c r="F254" s="18" t="n"/>
      <c r="G254" s="34" t="n"/>
      <c r="H254" s="38" t="n"/>
      <c r="I254" s="38" t="n"/>
      <c r="J254" s="38" t="n"/>
      <c r="K254" s="38" t="n"/>
      <c r="L254" s="38" t="n"/>
      <c r="M254" s="19">
        <f>IF(AND(A254&lt;&gt;"",G254&lt;&gt;""),G254-A254,"")</f>
        <v/>
      </c>
      <c r="N254" s="18" t="n"/>
    </row>
    <row r="255">
      <c r="A255" s="41" t="n"/>
      <c r="B255" s="35">
        <f>IF(A255="","",YEAR(A255))</f>
        <v/>
      </c>
      <c r="C255" s="36">
        <f>IF(A255="","",MONTH(A255))</f>
        <v/>
      </c>
      <c r="D255" s="37">
        <f>IF(A255="","","Q"&amp;ROUNDUP(MONTH(A255)/3,0))</f>
        <v/>
      </c>
      <c r="E255" s="22" t="n"/>
      <c r="F255" s="22" t="n"/>
      <c r="G255" s="41" t="n"/>
      <c r="H255" s="42" t="n"/>
      <c r="I255" s="42" t="n"/>
      <c r="J255" s="42" t="n"/>
      <c r="K255" s="42" t="n"/>
      <c r="L255" s="42" t="n"/>
      <c r="M255" s="23">
        <f>IF(AND(A255&lt;&gt;"",G255&lt;&gt;""),G255-A255,"")</f>
        <v/>
      </c>
      <c r="N255" s="22" t="n"/>
    </row>
    <row r="256">
      <c r="A256" s="34" t="n"/>
      <c r="B256" s="35">
        <f>IF(A256="","",YEAR(A256))</f>
        <v/>
      </c>
      <c r="C256" s="36">
        <f>IF(A256="","",MONTH(A256))</f>
        <v/>
      </c>
      <c r="D256" s="37">
        <f>IF(A256="","","Q"&amp;ROUNDUP(MONTH(A256)/3,0))</f>
        <v/>
      </c>
      <c r="E256" s="18" t="n"/>
      <c r="F256" s="18" t="n"/>
      <c r="G256" s="34" t="n"/>
      <c r="H256" s="38" t="n"/>
      <c r="I256" s="38" t="n"/>
      <c r="J256" s="38" t="n"/>
      <c r="K256" s="38" t="n"/>
      <c r="L256" s="38" t="n"/>
      <c r="M256" s="19">
        <f>IF(AND(A256&lt;&gt;"",G256&lt;&gt;""),G256-A256,"")</f>
        <v/>
      </c>
      <c r="N256" s="18" t="n"/>
    </row>
    <row r="257">
      <c r="A257" s="41" t="n"/>
      <c r="B257" s="35">
        <f>IF(A257="","",YEAR(A257))</f>
        <v/>
      </c>
      <c r="C257" s="36">
        <f>IF(A257="","",MONTH(A257))</f>
        <v/>
      </c>
      <c r="D257" s="37">
        <f>IF(A257="","","Q"&amp;ROUNDUP(MONTH(A257)/3,0))</f>
        <v/>
      </c>
      <c r="E257" s="22" t="n"/>
      <c r="F257" s="22" t="n"/>
      <c r="G257" s="41" t="n"/>
      <c r="H257" s="42" t="n"/>
      <c r="I257" s="42" t="n"/>
      <c r="J257" s="42" t="n"/>
      <c r="K257" s="42" t="n"/>
      <c r="L257" s="42" t="n"/>
      <c r="M257" s="23">
        <f>IF(AND(A257&lt;&gt;"",G257&lt;&gt;""),G257-A257,"")</f>
        <v/>
      </c>
      <c r="N257" s="22" t="n"/>
    </row>
    <row r="258">
      <c r="A258" s="34" t="n"/>
      <c r="B258" s="35">
        <f>IF(A258="","",YEAR(A258))</f>
        <v/>
      </c>
      <c r="C258" s="36">
        <f>IF(A258="","",MONTH(A258))</f>
        <v/>
      </c>
      <c r="D258" s="37">
        <f>IF(A258="","","Q"&amp;ROUNDUP(MONTH(A258)/3,0))</f>
        <v/>
      </c>
      <c r="E258" s="18" t="n"/>
      <c r="F258" s="18" t="n"/>
      <c r="G258" s="34" t="n"/>
      <c r="H258" s="38" t="n"/>
      <c r="I258" s="38" t="n"/>
      <c r="J258" s="38" t="n"/>
      <c r="K258" s="38" t="n"/>
      <c r="L258" s="38" t="n"/>
      <c r="M258" s="19">
        <f>IF(AND(A258&lt;&gt;"",G258&lt;&gt;""),G258-A258,"")</f>
        <v/>
      </c>
      <c r="N258" s="18" t="n"/>
    </row>
    <row r="259">
      <c r="A259" s="41" t="n"/>
      <c r="B259" s="35">
        <f>IF(A259="","",YEAR(A259))</f>
        <v/>
      </c>
      <c r="C259" s="36">
        <f>IF(A259="","",MONTH(A259))</f>
        <v/>
      </c>
      <c r="D259" s="37">
        <f>IF(A259="","","Q"&amp;ROUNDUP(MONTH(A259)/3,0))</f>
        <v/>
      </c>
      <c r="E259" s="22" t="n"/>
      <c r="F259" s="22" t="n"/>
      <c r="G259" s="41" t="n"/>
      <c r="H259" s="42" t="n"/>
      <c r="I259" s="42" t="n"/>
      <c r="J259" s="42" t="n"/>
      <c r="K259" s="42" t="n"/>
      <c r="L259" s="42" t="n"/>
      <c r="M259" s="23">
        <f>IF(AND(A259&lt;&gt;"",G259&lt;&gt;""),G259-A259,"")</f>
        <v/>
      </c>
      <c r="N259" s="22" t="n"/>
    </row>
    <row r="260">
      <c r="A260" s="34" t="n"/>
      <c r="B260" s="35">
        <f>IF(A260="","",YEAR(A260))</f>
        <v/>
      </c>
      <c r="C260" s="36">
        <f>IF(A260="","",MONTH(A260))</f>
        <v/>
      </c>
      <c r="D260" s="37">
        <f>IF(A260="","","Q"&amp;ROUNDUP(MONTH(A260)/3,0))</f>
        <v/>
      </c>
      <c r="E260" s="18" t="n"/>
      <c r="F260" s="18" t="n"/>
      <c r="G260" s="34" t="n"/>
      <c r="H260" s="38" t="n"/>
      <c r="I260" s="38" t="n"/>
      <c r="J260" s="38" t="n"/>
      <c r="K260" s="38" t="n"/>
      <c r="L260" s="38" t="n"/>
      <c r="M260" s="19">
        <f>IF(AND(A260&lt;&gt;"",G260&lt;&gt;""),G260-A260,"")</f>
        <v/>
      </c>
      <c r="N260" s="18" t="n"/>
    </row>
    <row r="261">
      <c r="A261" s="41" t="n"/>
      <c r="B261" s="35">
        <f>IF(A261="","",YEAR(A261))</f>
        <v/>
      </c>
      <c r="C261" s="36">
        <f>IF(A261="","",MONTH(A261))</f>
        <v/>
      </c>
      <c r="D261" s="37">
        <f>IF(A261="","","Q"&amp;ROUNDUP(MONTH(A261)/3,0))</f>
        <v/>
      </c>
      <c r="E261" s="22" t="n"/>
      <c r="F261" s="22" t="n"/>
      <c r="G261" s="41" t="n"/>
      <c r="H261" s="42" t="n"/>
      <c r="I261" s="42" t="n"/>
      <c r="J261" s="42" t="n"/>
      <c r="K261" s="42" t="n"/>
      <c r="L261" s="42" t="n"/>
      <c r="M261" s="23">
        <f>IF(AND(A261&lt;&gt;"",G261&lt;&gt;""),G261-A261,"")</f>
        <v/>
      </c>
      <c r="N261" s="22" t="n"/>
    </row>
    <row r="262">
      <c r="A262" s="34" t="n"/>
      <c r="B262" s="35">
        <f>IF(A262="","",YEAR(A262))</f>
        <v/>
      </c>
      <c r="C262" s="36">
        <f>IF(A262="","",MONTH(A262))</f>
        <v/>
      </c>
      <c r="D262" s="37">
        <f>IF(A262="","","Q"&amp;ROUNDUP(MONTH(A262)/3,0))</f>
        <v/>
      </c>
      <c r="E262" s="18" t="n"/>
      <c r="F262" s="18" t="n"/>
      <c r="G262" s="34" t="n"/>
      <c r="H262" s="38" t="n"/>
      <c r="I262" s="38" t="n"/>
      <c r="J262" s="38" t="n"/>
      <c r="K262" s="38" t="n"/>
      <c r="L262" s="38" t="n"/>
      <c r="M262" s="19">
        <f>IF(AND(A262&lt;&gt;"",G262&lt;&gt;""),G262-A262,"")</f>
        <v/>
      </c>
      <c r="N262" s="18" t="n"/>
    </row>
    <row r="263">
      <c r="A263" s="41" t="n"/>
      <c r="B263" s="35">
        <f>IF(A263="","",YEAR(A263))</f>
        <v/>
      </c>
      <c r="C263" s="36">
        <f>IF(A263="","",MONTH(A263))</f>
        <v/>
      </c>
      <c r="D263" s="37">
        <f>IF(A263="","","Q"&amp;ROUNDUP(MONTH(A263)/3,0))</f>
        <v/>
      </c>
      <c r="E263" s="22" t="n"/>
      <c r="F263" s="22" t="n"/>
      <c r="G263" s="41" t="n"/>
      <c r="H263" s="42" t="n"/>
      <c r="I263" s="42" t="n"/>
      <c r="J263" s="42" t="n"/>
      <c r="K263" s="42" t="n"/>
      <c r="L263" s="42" t="n"/>
      <c r="M263" s="23">
        <f>IF(AND(A263&lt;&gt;"",G263&lt;&gt;""),G263-A263,"")</f>
        <v/>
      </c>
      <c r="N263" s="22" t="n"/>
    </row>
    <row r="264">
      <c r="A264" s="34" t="n"/>
      <c r="B264" s="35">
        <f>IF(A264="","",YEAR(A264))</f>
        <v/>
      </c>
      <c r="C264" s="36">
        <f>IF(A264="","",MONTH(A264))</f>
        <v/>
      </c>
      <c r="D264" s="37">
        <f>IF(A264="","","Q"&amp;ROUNDUP(MONTH(A264)/3,0))</f>
        <v/>
      </c>
      <c r="E264" s="18" t="n"/>
      <c r="F264" s="18" t="n"/>
      <c r="G264" s="34" t="n"/>
      <c r="H264" s="38" t="n"/>
      <c r="I264" s="38" t="n"/>
      <c r="J264" s="38" t="n"/>
      <c r="K264" s="38" t="n"/>
      <c r="L264" s="38" t="n"/>
      <c r="M264" s="19">
        <f>IF(AND(A264&lt;&gt;"",G264&lt;&gt;""),G264-A264,"")</f>
        <v/>
      </c>
      <c r="N264" s="18" t="n"/>
    </row>
    <row r="265">
      <c r="A265" s="41" t="n"/>
      <c r="B265" s="35">
        <f>IF(A265="","",YEAR(A265))</f>
        <v/>
      </c>
      <c r="C265" s="36">
        <f>IF(A265="","",MONTH(A265))</f>
        <v/>
      </c>
      <c r="D265" s="37">
        <f>IF(A265="","","Q"&amp;ROUNDUP(MONTH(A265)/3,0))</f>
        <v/>
      </c>
      <c r="E265" s="22" t="n"/>
      <c r="F265" s="22" t="n"/>
      <c r="G265" s="41" t="n"/>
      <c r="H265" s="42" t="n"/>
      <c r="I265" s="42" t="n"/>
      <c r="J265" s="42" t="n"/>
      <c r="K265" s="42" t="n"/>
      <c r="L265" s="42" t="n"/>
      <c r="M265" s="23">
        <f>IF(AND(A265&lt;&gt;"",G265&lt;&gt;""),G265-A265,"")</f>
        <v/>
      </c>
      <c r="N265" s="22" t="n"/>
    </row>
    <row r="266">
      <c r="A266" s="34" t="n"/>
      <c r="B266" s="35">
        <f>IF(A266="","",YEAR(A266))</f>
        <v/>
      </c>
      <c r="C266" s="36">
        <f>IF(A266="","",MONTH(A266))</f>
        <v/>
      </c>
      <c r="D266" s="37">
        <f>IF(A266="","","Q"&amp;ROUNDUP(MONTH(A266)/3,0))</f>
        <v/>
      </c>
      <c r="E266" s="18" t="n"/>
      <c r="F266" s="18" t="n"/>
      <c r="G266" s="34" t="n"/>
      <c r="H266" s="38" t="n"/>
      <c r="I266" s="38" t="n"/>
      <c r="J266" s="38" t="n"/>
      <c r="K266" s="38" t="n"/>
      <c r="L266" s="38" t="n"/>
      <c r="M266" s="19">
        <f>IF(AND(A266&lt;&gt;"",G266&lt;&gt;""),G266-A266,"")</f>
        <v/>
      </c>
      <c r="N266" s="18" t="n"/>
    </row>
    <row r="267">
      <c r="A267" s="41" t="n"/>
      <c r="B267" s="35">
        <f>IF(A267="","",YEAR(A267))</f>
        <v/>
      </c>
      <c r="C267" s="36">
        <f>IF(A267="","",MONTH(A267))</f>
        <v/>
      </c>
      <c r="D267" s="37">
        <f>IF(A267="","","Q"&amp;ROUNDUP(MONTH(A267)/3,0))</f>
        <v/>
      </c>
      <c r="E267" s="22" t="n"/>
      <c r="F267" s="22" t="n"/>
      <c r="G267" s="41" t="n"/>
      <c r="H267" s="42" t="n"/>
      <c r="I267" s="42" t="n"/>
      <c r="J267" s="42" t="n"/>
      <c r="K267" s="42" t="n"/>
      <c r="L267" s="42" t="n"/>
      <c r="M267" s="23">
        <f>IF(AND(A267&lt;&gt;"",G267&lt;&gt;""),G267-A267,"")</f>
        <v/>
      </c>
      <c r="N267" s="22" t="n"/>
    </row>
    <row r="268">
      <c r="A268" s="34" t="n"/>
      <c r="B268" s="35">
        <f>IF(A268="","",YEAR(A268))</f>
        <v/>
      </c>
      <c r="C268" s="36">
        <f>IF(A268="","",MONTH(A268))</f>
        <v/>
      </c>
      <c r="D268" s="37">
        <f>IF(A268="","","Q"&amp;ROUNDUP(MONTH(A268)/3,0))</f>
        <v/>
      </c>
      <c r="E268" s="18" t="n"/>
      <c r="F268" s="18" t="n"/>
      <c r="G268" s="34" t="n"/>
      <c r="H268" s="38" t="n"/>
      <c r="I268" s="38" t="n"/>
      <c r="J268" s="38" t="n"/>
      <c r="K268" s="38" t="n"/>
      <c r="L268" s="38" t="n"/>
      <c r="M268" s="19">
        <f>IF(AND(A268&lt;&gt;"",G268&lt;&gt;""),G268-A268,"")</f>
        <v/>
      </c>
      <c r="N268" s="18" t="n"/>
    </row>
    <row r="269">
      <c r="A269" s="41" t="n"/>
      <c r="B269" s="35">
        <f>IF(A269="","",YEAR(A269))</f>
        <v/>
      </c>
      <c r="C269" s="36">
        <f>IF(A269="","",MONTH(A269))</f>
        <v/>
      </c>
      <c r="D269" s="37">
        <f>IF(A269="","","Q"&amp;ROUNDUP(MONTH(A269)/3,0))</f>
        <v/>
      </c>
      <c r="E269" s="22" t="n"/>
      <c r="F269" s="22" t="n"/>
      <c r="G269" s="41" t="n"/>
      <c r="H269" s="42" t="n"/>
      <c r="I269" s="42" t="n"/>
      <c r="J269" s="42" t="n"/>
      <c r="K269" s="42" t="n"/>
      <c r="L269" s="42" t="n"/>
      <c r="M269" s="23">
        <f>IF(AND(A269&lt;&gt;"",G269&lt;&gt;""),G269-A269,"")</f>
        <v/>
      </c>
      <c r="N269" s="22" t="n"/>
    </row>
    <row r="270">
      <c r="A270" s="34" t="n"/>
      <c r="B270" s="35">
        <f>IF(A270="","",YEAR(A270))</f>
        <v/>
      </c>
      <c r="C270" s="36">
        <f>IF(A270="","",MONTH(A270))</f>
        <v/>
      </c>
      <c r="D270" s="37">
        <f>IF(A270="","","Q"&amp;ROUNDUP(MONTH(A270)/3,0))</f>
        <v/>
      </c>
      <c r="E270" s="18" t="n"/>
      <c r="F270" s="18" t="n"/>
      <c r="G270" s="34" t="n"/>
      <c r="H270" s="38" t="n"/>
      <c r="I270" s="38" t="n"/>
      <c r="J270" s="38" t="n"/>
      <c r="K270" s="38" t="n"/>
      <c r="L270" s="38" t="n"/>
      <c r="M270" s="19">
        <f>IF(AND(A270&lt;&gt;"",G270&lt;&gt;""),G270-A270,"")</f>
        <v/>
      </c>
      <c r="N270" s="18" t="n"/>
    </row>
    <row r="271">
      <c r="A271" s="41" t="n"/>
      <c r="B271" s="35">
        <f>IF(A271="","",YEAR(A271))</f>
        <v/>
      </c>
      <c r="C271" s="36">
        <f>IF(A271="","",MONTH(A271))</f>
        <v/>
      </c>
      <c r="D271" s="37">
        <f>IF(A271="","","Q"&amp;ROUNDUP(MONTH(A271)/3,0))</f>
        <v/>
      </c>
      <c r="E271" s="22" t="n"/>
      <c r="F271" s="22" t="n"/>
      <c r="G271" s="41" t="n"/>
      <c r="H271" s="42" t="n"/>
      <c r="I271" s="42" t="n"/>
      <c r="J271" s="42" t="n"/>
      <c r="K271" s="42" t="n"/>
      <c r="L271" s="42" t="n"/>
      <c r="M271" s="23">
        <f>IF(AND(A271&lt;&gt;"",G271&lt;&gt;""),G271-A271,"")</f>
        <v/>
      </c>
      <c r="N271" s="22" t="n"/>
    </row>
    <row r="272">
      <c r="A272" s="34" t="n"/>
      <c r="B272" s="35">
        <f>IF(A272="","",YEAR(A272))</f>
        <v/>
      </c>
      <c r="C272" s="36">
        <f>IF(A272="","",MONTH(A272))</f>
        <v/>
      </c>
      <c r="D272" s="37">
        <f>IF(A272="","","Q"&amp;ROUNDUP(MONTH(A272)/3,0))</f>
        <v/>
      </c>
      <c r="E272" s="18" t="n"/>
      <c r="F272" s="18" t="n"/>
      <c r="G272" s="34" t="n"/>
      <c r="H272" s="38" t="n"/>
      <c r="I272" s="38" t="n"/>
      <c r="J272" s="38" t="n"/>
      <c r="K272" s="38" t="n"/>
      <c r="L272" s="38" t="n"/>
      <c r="M272" s="19">
        <f>IF(AND(A272&lt;&gt;"",G272&lt;&gt;""),G272-A272,"")</f>
        <v/>
      </c>
      <c r="N272" s="18" t="n"/>
    </row>
    <row r="273">
      <c r="A273" s="41" t="n"/>
      <c r="B273" s="35">
        <f>IF(A273="","",YEAR(A273))</f>
        <v/>
      </c>
      <c r="C273" s="36">
        <f>IF(A273="","",MONTH(A273))</f>
        <v/>
      </c>
      <c r="D273" s="37">
        <f>IF(A273="","","Q"&amp;ROUNDUP(MONTH(A273)/3,0))</f>
        <v/>
      </c>
      <c r="E273" s="22" t="n"/>
      <c r="F273" s="22" t="n"/>
      <c r="G273" s="41" t="n"/>
      <c r="H273" s="42" t="n"/>
      <c r="I273" s="42" t="n"/>
      <c r="J273" s="42" t="n"/>
      <c r="K273" s="42" t="n"/>
      <c r="L273" s="42" t="n"/>
      <c r="M273" s="23">
        <f>IF(AND(A273&lt;&gt;"",G273&lt;&gt;""),G273-A273,"")</f>
        <v/>
      </c>
      <c r="N273" s="22" t="n"/>
    </row>
    <row r="274">
      <c r="A274" s="34" t="n"/>
      <c r="B274" s="35">
        <f>IF(A274="","",YEAR(A274))</f>
        <v/>
      </c>
      <c r="C274" s="36">
        <f>IF(A274="","",MONTH(A274))</f>
        <v/>
      </c>
      <c r="D274" s="37">
        <f>IF(A274="","","Q"&amp;ROUNDUP(MONTH(A274)/3,0))</f>
        <v/>
      </c>
      <c r="E274" s="18" t="n"/>
      <c r="F274" s="18" t="n"/>
      <c r="G274" s="34" t="n"/>
      <c r="H274" s="38" t="n"/>
      <c r="I274" s="38" t="n"/>
      <c r="J274" s="38" t="n"/>
      <c r="K274" s="38" t="n"/>
      <c r="L274" s="38" t="n"/>
      <c r="M274" s="19">
        <f>IF(AND(A274&lt;&gt;"",G274&lt;&gt;""),G274-A274,"")</f>
        <v/>
      </c>
      <c r="N274" s="18" t="n"/>
    </row>
    <row r="275">
      <c r="A275" s="41" t="n"/>
      <c r="B275" s="35">
        <f>IF(A275="","",YEAR(A275))</f>
        <v/>
      </c>
      <c r="C275" s="36">
        <f>IF(A275="","",MONTH(A275))</f>
        <v/>
      </c>
      <c r="D275" s="37">
        <f>IF(A275="","","Q"&amp;ROUNDUP(MONTH(A275)/3,0))</f>
        <v/>
      </c>
      <c r="E275" s="22" t="n"/>
      <c r="F275" s="22" t="n"/>
      <c r="G275" s="41" t="n"/>
      <c r="H275" s="42" t="n"/>
      <c r="I275" s="42" t="n"/>
      <c r="J275" s="42" t="n"/>
      <c r="K275" s="42" t="n"/>
      <c r="L275" s="42" t="n"/>
      <c r="M275" s="23">
        <f>IF(AND(A275&lt;&gt;"",G275&lt;&gt;""),G275-A275,"")</f>
        <v/>
      </c>
      <c r="N275" s="22" t="n"/>
    </row>
    <row r="276">
      <c r="A276" s="34" t="n"/>
      <c r="B276" s="35">
        <f>IF(A276="","",YEAR(A276))</f>
        <v/>
      </c>
      <c r="C276" s="36">
        <f>IF(A276="","",MONTH(A276))</f>
        <v/>
      </c>
      <c r="D276" s="37">
        <f>IF(A276="","","Q"&amp;ROUNDUP(MONTH(A276)/3,0))</f>
        <v/>
      </c>
      <c r="E276" s="18" t="n"/>
      <c r="F276" s="18" t="n"/>
      <c r="G276" s="34" t="n"/>
      <c r="H276" s="38" t="n"/>
      <c r="I276" s="38" t="n"/>
      <c r="J276" s="38" t="n"/>
      <c r="K276" s="38" t="n"/>
      <c r="L276" s="38" t="n"/>
      <c r="M276" s="19">
        <f>IF(AND(A276&lt;&gt;"",G276&lt;&gt;""),G276-A276,"")</f>
        <v/>
      </c>
      <c r="N276" s="18" t="n"/>
    </row>
    <row r="277">
      <c r="A277" s="41" t="n"/>
      <c r="B277" s="35">
        <f>IF(A277="","",YEAR(A277))</f>
        <v/>
      </c>
      <c r="C277" s="36">
        <f>IF(A277="","",MONTH(A277))</f>
        <v/>
      </c>
      <c r="D277" s="37">
        <f>IF(A277="","","Q"&amp;ROUNDUP(MONTH(A277)/3,0))</f>
        <v/>
      </c>
      <c r="E277" s="22" t="n"/>
      <c r="F277" s="22" t="n"/>
      <c r="G277" s="41" t="n"/>
      <c r="H277" s="42" t="n"/>
      <c r="I277" s="42" t="n"/>
      <c r="J277" s="42" t="n"/>
      <c r="K277" s="42" t="n"/>
      <c r="L277" s="42" t="n"/>
      <c r="M277" s="23">
        <f>IF(AND(A277&lt;&gt;"",G277&lt;&gt;""),G277-A277,"")</f>
        <v/>
      </c>
      <c r="N277" s="22" t="n"/>
    </row>
    <row r="278">
      <c r="A278" s="34" t="n"/>
      <c r="B278" s="35">
        <f>IF(A278="","",YEAR(A278))</f>
        <v/>
      </c>
      <c r="C278" s="36">
        <f>IF(A278="","",MONTH(A278))</f>
        <v/>
      </c>
      <c r="D278" s="37">
        <f>IF(A278="","","Q"&amp;ROUNDUP(MONTH(A278)/3,0))</f>
        <v/>
      </c>
      <c r="E278" s="18" t="n"/>
      <c r="F278" s="18" t="n"/>
      <c r="G278" s="34" t="n"/>
      <c r="H278" s="38" t="n"/>
      <c r="I278" s="38" t="n"/>
      <c r="J278" s="38" t="n"/>
      <c r="K278" s="38" t="n"/>
      <c r="L278" s="38" t="n"/>
      <c r="M278" s="19">
        <f>IF(AND(A278&lt;&gt;"",G278&lt;&gt;""),G278-A278,"")</f>
        <v/>
      </c>
      <c r="N278" s="18" t="n"/>
    </row>
    <row r="279">
      <c r="A279" s="41" t="n"/>
      <c r="B279" s="35">
        <f>IF(A279="","",YEAR(A279))</f>
        <v/>
      </c>
      <c r="C279" s="36">
        <f>IF(A279="","",MONTH(A279))</f>
        <v/>
      </c>
      <c r="D279" s="37">
        <f>IF(A279="","","Q"&amp;ROUNDUP(MONTH(A279)/3,0))</f>
        <v/>
      </c>
      <c r="E279" s="22" t="n"/>
      <c r="F279" s="22" t="n"/>
      <c r="G279" s="41" t="n"/>
      <c r="H279" s="42" t="n"/>
      <c r="I279" s="42" t="n"/>
      <c r="J279" s="42" t="n"/>
      <c r="K279" s="42" t="n"/>
      <c r="L279" s="42" t="n"/>
      <c r="M279" s="23">
        <f>IF(AND(A279&lt;&gt;"",G279&lt;&gt;""),G279-A279,"")</f>
        <v/>
      </c>
      <c r="N279" s="22" t="n"/>
    </row>
    <row r="280">
      <c r="A280" s="34" t="n"/>
      <c r="B280" s="35">
        <f>IF(A280="","",YEAR(A280))</f>
        <v/>
      </c>
      <c r="C280" s="36">
        <f>IF(A280="","",MONTH(A280))</f>
        <v/>
      </c>
      <c r="D280" s="37">
        <f>IF(A280="","","Q"&amp;ROUNDUP(MONTH(A280)/3,0))</f>
        <v/>
      </c>
      <c r="E280" s="18" t="n"/>
      <c r="F280" s="18" t="n"/>
      <c r="G280" s="34" t="n"/>
      <c r="H280" s="38" t="n"/>
      <c r="I280" s="38" t="n"/>
      <c r="J280" s="38" t="n"/>
      <c r="K280" s="38" t="n"/>
      <c r="L280" s="38" t="n"/>
      <c r="M280" s="19">
        <f>IF(AND(A280&lt;&gt;"",G280&lt;&gt;""),G280-A280,"")</f>
        <v/>
      </c>
      <c r="N280" s="18" t="n"/>
    </row>
    <row r="281">
      <c r="A281" s="41" t="n"/>
      <c r="B281" s="35">
        <f>IF(A281="","",YEAR(A281))</f>
        <v/>
      </c>
      <c r="C281" s="36">
        <f>IF(A281="","",MONTH(A281))</f>
        <v/>
      </c>
      <c r="D281" s="37">
        <f>IF(A281="","","Q"&amp;ROUNDUP(MONTH(A281)/3,0))</f>
        <v/>
      </c>
      <c r="E281" s="22" t="n"/>
      <c r="F281" s="22" t="n"/>
      <c r="G281" s="41" t="n"/>
      <c r="H281" s="42" t="n"/>
      <c r="I281" s="42" t="n"/>
      <c r="J281" s="42" t="n"/>
      <c r="K281" s="42" t="n"/>
      <c r="L281" s="42" t="n"/>
      <c r="M281" s="23">
        <f>IF(AND(A281&lt;&gt;"",G281&lt;&gt;""),G281-A281,"")</f>
        <v/>
      </c>
      <c r="N281" s="22" t="n"/>
    </row>
    <row r="282">
      <c r="A282" s="34" t="n"/>
      <c r="B282" s="35">
        <f>IF(A282="","",YEAR(A282))</f>
        <v/>
      </c>
      <c r="C282" s="36">
        <f>IF(A282="","",MONTH(A282))</f>
        <v/>
      </c>
      <c r="D282" s="37">
        <f>IF(A282="","","Q"&amp;ROUNDUP(MONTH(A282)/3,0))</f>
        <v/>
      </c>
      <c r="E282" s="18" t="n"/>
      <c r="F282" s="18" t="n"/>
      <c r="G282" s="34" t="n"/>
      <c r="H282" s="38" t="n"/>
      <c r="I282" s="38" t="n"/>
      <c r="J282" s="38" t="n"/>
      <c r="K282" s="38" t="n"/>
      <c r="L282" s="38" t="n"/>
      <c r="M282" s="19">
        <f>IF(AND(A282&lt;&gt;"",G282&lt;&gt;""),G282-A282,"")</f>
        <v/>
      </c>
      <c r="N282" s="18" t="n"/>
    </row>
    <row r="283">
      <c r="A283" s="41" t="n"/>
      <c r="B283" s="35">
        <f>IF(A283="","",YEAR(A283))</f>
        <v/>
      </c>
      <c r="C283" s="36">
        <f>IF(A283="","",MONTH(A283))</f>
        <v/>
      </c>
      <c r="D283" s="37">
        <f>IF(A283="","","Q"&amp;ROUNDUP(MONTH(A283)/3,0))</f>
        <v/>
      </c>
      <c r="E283" s="22" t="n"/>
      <c r="F283" s="22" t="n"/>
      <c r="G283" s="41" t="n"/>
      <c r="H283" s="42" t="n"/>
      <c r="I283" s="42" t="n"/>
      <c r="J283" s="42" t="n"/>
      <c r="K283" s="42" t="n"/>
      <c r="L283" s="42" t="n"/>
      <c r="M283" s="23">
        <f>IF(AND(A283&lt;&gt;"",G283&lt;&gt;""),G283-A283,"")</f>
        <v/>
      </c>
      <c r="N283" s="22" t="n"/>
    </row>
    <row r="284">
      <c r="A284" s="34" t="n"/>
      <c r="B284" s="35">
        <f>IF(A284="","",YEAR(A284))</f>
        <v/>
      </c>
      <c r="C284" s="36">
        <f>IF(A284="","",MONTH(A284))</f>
        <v/>
      </c>
      <c r="D284" s="37">
        <f>IF(A284="","","Q"&amp;ROUNDUP(MONTH(A284)/3,0))</f>
        <v/>
      </c>
      <c r="E284" s="18" t="n"/>
      <c r="F284" s="18" t="n"/>
      <c r="G284" s="34" t="n"/>
      <c r="H284" s="38" t="n"/>
      <c r="I284" s="38" t="n"/>
      <c r="J284" s="38" t="n"/>
      <c r="K284" s="38" t="n"/>
      <c r="L284" s="38" t="n"/>
      <c r="M284" s="19">
        <f>IF(AND(A284&lt;&gt;"",G284&lt;&gt;""),G284-A284,"")</f>
        <v/>
      </c>
      <c r="N284" s="18" t="n"/>
    </row>
    <row r="285">
      <c r="A285" s="41" t="n"/>
      <c r="B285" s="35">
        <f>IF(A285="","",YEAR(A285))</f>
        <v/>
      </c>
      <c r="C285" s="36">
        <f>IF(A285="","",MONTH(A285))</f>
        <v/>
      </c>
      <c r="D285" s="37">
        <f>IF(A285="","","Q"&amp;ROUNDUP(MONTH(A285)/3,0))</f>
        <v/>
      </c>
      <c r="E285" s="22" t="n"/>
      <c r="F285" s="22" t="n"/>
      <c r="G285" s="41" t="n"/>
      <c r="H285" s="42" t="n"/>
      <c r="I285" s="42" t="n"/>
      <c r="J285" s="42" t="n"/>
      <c r="K285" s="42" t="n"/>
      <c r="L285" s="42" t="n"/>
      <c r="M285" s="23">
        <f>IF(AND(A285&lt;&gt;"",G285&lt;&gt;""),G285-A285,"")</f>
        <v/>
      </c>
      <c r="N285" s="22" t="n"/>
    </row>
    <row r="286">
      <c r="A286" s="34" t="n"/>
      <c r="B286" s="35">
        <f>IF(A286="","",YEAR(A286))</f>
        <v/>
      </c>
      <c r="C286" s="36">
        <f>IF(A286="","",MONTH(A286))</f>
        <v/>
      </c>
      <c r="D286" s="37">
        <f>IF(A286="","","Q"&amp;ROUNDUP(MONTH(A286)/3,0))</f>
        <v/>
      </c>
      <c r="E286" s="18" t="n"/>
      <c r="F286" s="18" t="n"/>
      <c r="G286" s="34" t="n"/>
      <c r="H286" s="38" t="n"/>
      <c r="I286" s="38" t="n"/>
      <c r="J286" s="38" t="n"/>
      <c r="K286" s="38" t="n"/>
      <c r="L286" s="38" t="n"/>
      <c r="M286" s="19">
        <f>IF(AND(A286&lt;&gt;"",G286&lt;&gt;""),G286-A286,"")</f>
        <v/>
      </c>
      <c r="N286" s="18" t="n"/>
    </row>
    <row r="287">
      <c r="A287" s="41" t="n"/>
      <c r="B287" s="35">
        <f>IF(A287="","",YEAR(A287))</f>
        <v/>
      </c>
      <c r="C287" s="36">
        <f>IF(A287="","",MONTH(A287))</f>
        <v/>
      </c>
      <c r="D287" s="37">
        <f>IF(A287="","","Q"&amp;ROUNDUP(MONTH(A287)/3,0))</f>
        <v/>
      </c>
      <c r="E287" s="22" t="n"/>
      <c r="F287" s="22" t="n"/>
      <c r="G287" s="41" t="n"/>
      <c r="H287" s="42" t="n"/>
      <c r="I287" s="42" t="n"/>
      <c r="J287" s="42" t="n"/>
      <c r="K287" s="42" t="n"/>
      <c r="L287" s="42" t="n"/>
      <c r="M287" s="23">
        <f>IF(AND(A287&lt;&gt;"",G287&lt;&gt;""),G287-A287,"")</f>
        <v/>
      </c>
      <c r="N287" s="22" t="n"/>
    </row>
    <row r="288">
      <c r="A288" s="34" t="n"/>
      <c r="B288" s="35">
        <f>IF(A288="","",YEAR(A288))</f>
        <v/>
      </c>
      <c r="C288" s="36">
        <f>IF(A288="","",MONTH(A288))</f>
        <v/>
      </c>
      <c r="D288" s="37">
        <f>IF(A288="","","Q"&amp;ROUNDUP(MONTH(A288)/3,0))</f>
        <v/>
      </c>
      <c r="E288" s="18" t="n"/>
      <c r="F288" s="18" t="n"/>
      <c r="G288" s="34" t="n"/>
      <c r="H288" s="38" t="n"/>
      <c r="I288" s="38" t="n"/>
      <c r="J288" s="38" t="n"/>
      <c r="K288" s="38" t="n"/>
      <c r="L288" s="38" t="n"/>
      <c r="M288" s="19">
        <f>IF(AND(A288&lt;&gt;"",G288&lt;&gt;""),G288-A288,"")</f>
        <v/>
      </c>
      <c r="N288" s="18" t="n"/>
    </row>
    <row r="289">
      <c r="A289" s="41" t="n"/>
      <c r="B289" s="35">
        <f>IF(A289="","",YEAR(A289))</f>
        <v/>
      </c>
      <c r="C289" s="36">
        <f>IF(A289="","",MONTH(A289))</f>
        <v/>
      </c>
      <c r="D289" s="37">
        <f>IF(A289="","","Q"&amp;ROUNDUP(MONTH(A289)/3,0))</f>
        <v/>
      </c>
      <c r="E289" s="22" t="n"/>
      <c r="F289" s="22" t="n"/>
      <c r="G289" s="41" t="n"/>
      <c r="H289" s="42" t="n"/>
      <c r="I289" s="42" t="n"/>
      <c r="J289" s="42" t="n"/>
      <c r="K289" s="42" t="n"/>
      <c r="L289" s="42" t="n"/>
      <c r="M289" s="23">
        <f>IF(AND(A289&lt;&gt;"",G289&lt;&gt;""),G289-A289,"")</f>
        <v/>
      </c>
      <c r="N289" s="22" t="n"/>
    </row>
    <row r="290">
      <c r="A290" s="34" t="n"/>
      <c r="B290" s="35">
        <f>IF(A290="","",YEAR(A290))</f>
        <v/>
      </c>
      <c r="C290" s="36">
        <f>IF(A290="","",MONTH(A290))</f>
        <v/>
      </c>
      <c r="D290" s="37">
        <f>IF(A290="","","Q"&amp;ROUNDUP(MONTH(A290)/3,0))</f>
        <v/>
      </c>
      <c r="E290" s="18" t="n"/>
      <c r="F290" s="18" t="n"/>
      <c r="G290" s="34" t="n"/>
      <c r="H290" s="38" t="n"/>
      <c r="I290" s="38" t="n"/>
      <c r="J290" s="38" t="n"/>
      <c r="K290" s="38" t="n"/>
      <c r="L290" s="38" t="n"/>
      <c r="M290" s="19">
        <f>IF(AND(A290&lt;&gt;"",G290&lt;&gt;""),G290-A290,"")</f>
        <v/>
      </c>
      <c r="N290" s="18" t="n"/>
    </row>
    <row r="291">
      <c r="A291" s="41" t="n"/>
      <c r="B291" s="35">
        <f>IF(A291="","",YEAR(A291))</f>
        <v/>
      </c>
      <c r="C291" s="36">
        <f>IF(A291="","",MONTH(A291))</f>
        <v/>
      </c>
      <c r="D291" s="37">
        <f>IF(A291="","","Q"&amp;ROUNDUP(MONTH(A291)/3,0))</f>
        <v/>
      </c>
      <c r="E291" s="22" t="n"/>
      <c r="F291" s="22" t="n"/>
      <c r="G291" s="41" t="n"/>
      <c r="H291" s="42" t="n"/>
      <c r="I291" s="42" t="n"/>
      <c r="J291" s="42" t="n"/>
      <c r="K291" s="42" t="n"/>
      <c r="L291" s="42" t="n"/>
      <c r="M291" s="23">
        <f>IF(AND(A291&lt;&gt;"",G291&lt;&gt;""),G291-A291,"")</f>
        <v/>
      </c>
      <c r="N291" s="22" t="n"/>
    </row>
    <row r="292">
      <c r="A292" s="34" t="n"/>
      <c r="B292" s="35">
        <f>IF(A292="","",YEAR(A292))</f>
        <v/>
      </c>
      <c r="C292" s="36">
        <f>IF(A292="","",MONTH(A292))</f>
        <v/>
      </c>
      <c r="D292" s="37">
        <f>IF(A292="","","Q"&amp;ROUNDUP(MONTH(A292)/3,0))</f>
        <v/>
      </c>
      <c r="E292" s="18" t="n"/>
      <c r="F292" s="18" t="n"/>
      <c r="G292" s="34" t="n"/>
      <c r="H292" s="38" t="n"/>
      <c r="I292" s="38" t="n"/>
      <c r="J292" s="38" t="n"/>
      <c r="K292" s="38" t="n"/>
      <c r="L292" s="38" t="n"/>
      <c r="M292" s="19">
        <f>IF(AND(A292&lt;&gt;"",G292&lt;&gt;""),G292-A292,"")</f>
        <v/>
      </c>
      <c r="N292" s="18" t="n"/>
    </row>
    <row r="293">
      <c r="A293" s="41" t="n"/>
      <c r="B293" s="35">
        <f>IF(A293="","",YEAR(A293))</f>
        <v/>
      </c>
      <c r="C293" s="36">
        <f>IF(A293="","",MONTH(A293))</f>
        <v/>
      </c>
      <c r="D293" s="37">
        <f>IF(A293="","","Q"&amp;ROUNDUP(MONTH(A293)/3,0))</f>
        <v/>
      </c>
      <c r="E293" s="22" t="n"/>
      <c r="F293" s="22" t="n"/>
      <c r="G293" s="41" t="n"/>
      <c r="H293" s="42" t="n"/>
      <c r="I293" s="42" t="n"/>
      <c r="J293" s="42" t="n"/>
      <c r="K293" s="42" t="n"/>
      <c r="L293" s="42" t="n"/>
      <c r="M293" s="23">
        <f>IF(AND(A293&lt;&gt;"",G293&lt;&gt;""),G293-A293,"")</f>
        <v/>
      </c>
      <c r="N293" s="22" t="n"/>
    </row>
    <row r="294">
      <c r="A294" s="34" t="n"/>
      <c r="B294" s="35">
        <f>IF(A294="","",YEAR(A294))</f>
        <v/>
      </c>
      <c r="C294" s="36">
        <f>IF(A294="","",MONTH(A294))</f>
        <v/>
      </c>
      <c r="D294" s="37">
        <f>IF(A294="","","Q"&amp;ROUNDUP(MONTH(A294)/3,0))</f>
        <v/>
      </c>
      <c r="E294" s="18" t="n"/>
      <c r="F294" s="18" t="n"/>
      <c r="G294" s="34" t="n"/>
      <c r="H294" s="38" t="n"/>
      <c r="I294" s="38" t="n"/>
      <c r="J294" s="38" t="n"/>
      <c r="K294" s="38" t="n"/>
      <c r="L294" s="38" t="n"/>
      <c r="M294" s="19">
        <f>IF(AND(A294&lt;&gt;"",G294&lt;&gt;""),G294-A294,"")</f>
        <v/>
      </c>
      <c r="N294" s="18" t="n"/>
    </row>
    <row r="295">
      <c r="A295" s="41" t="n"/>
      <c r="B295" s="35">
        <f>IF(A295="","",YEAR(A295))</f>
        <v/>
      </c>
      <c r="C295" s="36">
        <f>IF(A295="","",MONTH(A295))</f>
        <v/>
      </c>
      <c r="D295" s="37">
        <f>IF(A295="","","Q"&amp;ROUNDUP(MONTH(A295)/3,0))</f>
        <v/>
      </c>
      <c r="E295" s="22" t="n"/>
      <c r="F295" s="22" t="n"/>
      <c r="G295" s="41" t="n"/>
      <c r="H295" s="42" t="n"/>
      <c r="I295" s="42" t="n"/>
      <c r="J295" s="42" t="n"/>
      <c r="K295" s="42" t="n"/>
      <c r="L295" s="42" t="n"/>
      <c r="M295" s="23">
        <f>IF(AND(A295&lt;&gt;"",G295&lt;&gt;""),G295-A295,"")</f>
        <v/>
      </c>
      <c r="N295" s="22" t="n"/>
    </row>
    <row r="296">
      <c r="A296" s="34" t="n"/>
      <c r="B296" s="35">
        <f>IF(A296="","",YEAR(A296))</f>
        <v/>
      </c>
      <c r="C296" s="36">
        <f>IF(A296="","",MONTH(A296))</f>
        <v/>
      </c>
      <c r="D296" s="37">
        <f>IF(A296="","","Q"&amp;ROUNDUP(MONTH(A296)/3,0))</f>
        <v/>
      </c>
      <c r="E296" s="18" t="n"/>
      <c r="F296" s="18" t="n"/>
      <c r="G296" s="34" t="n"/>
      <c r="H296" s="38" t="n"/>
      <c r="I296" s="38" t="n"/>
      <c r="J296" s="38" t="n"/>
      <c r="K296" s="38" t="n"/>
      <c r="L296" s="38" t="n"/>
      <c r="M296" s="19">
        <f>IF(AND(A296&lt;&gt;"",G296&lt;&gt;""),G296-A296,"")</f>
        <v/>
      </c>
      <c r="N296" s="18" t="n"/>
    </row>
    <row r="297">
      <c r="A297" s="41" t="n"/>
      <c r="B297" s="35">
        <f>IF(A297="","",YEAR(A297))</f>
        <v/>
      </c>
      <c r="C297" s="36">
        <f>IF(A297="","",MONTH(A297))</f>
        <v/>
      </c>
      <c r="D297" s="37">
        <f>IF(A297="","","Q"&amp;ROUNDUP(MONTH(A297)/3,0))</f>
        <v/>
      </c>
      <c r="E297" s="22" t="n"/>
      <c r="F297" s="22" t="n"/>
      <c r="G297" s="41" t="n"/>
      <c r="H297" s="42" t="n"/>
      <c r="I297" s="42" t="n"/>
      <c r="J297" s="42" t="n"/>
      <c r="K297" s="42" t="n"/>
      <c r="L297" s="42" t="n"/>
      <c r="M297" s="23">
        <f>IF(AND(A297&lt;&gt;"",G297&lt;&gt;""),G297-A297,"")</f>
        <v/>
      </c>
      <c r="N297" s="22" t="n"/>
    </row>
    <row r="298">
      <c r="A298" s="34" t="n"/>
      <c r="B298" s="35">
        <f>IF(A298="","",YEAR(A298))</f>
        <v/>
      </c>
      <c r="C298" s="36">
        <f>IF(A298="","",MONTH(A298))</f>
        <v/>
      </c>
      <c r="D298" s="37">
        <f>IF(A298="","","Q"&amp;ROUNDUP(MONTH(A298)/3,0))</f>
        <v/>
      </c>
      <c r="E298" s="18" t="n"/>
      <c r="F298" s="18" t="n"/>
      <c r="G298" s="34" t="n"/>
      <c r="H298" s="38" t="n"/>
      <c r="I298" s="38" t="n"/>
      <c r="J298" s="38" t="n"/>
      <c r="K298" s="38" t="n"/>
      <c r="L298" s="38" t="n"/>
      <c r="M298" s="19">
        <f>IF(AND(A298&lt;&gt;"",G298&lt;&gt;""),G298-A298,"")</f>
        <v/>
      </c>
      <c r="N298" s="18" t="n"/>
    </row>
    <row r="299">
      <c r="A299" s="41" t="n"/>
      <c r="B299" s="35">
        <f>IF(A299="","",YEAR(A299))</f>
        <v/>
      </c>
      <c r="C299" s="36">
        <f>IF(A299="","",MONTH(A299))</f>
        <v/>
      </c>
      <c r="D299" s="37">
        <f>IF(A299="","","Q"&amp;ROUNDUP(MONTH(A299)/3,0))</f>
        <v/>
      </c>
      <c r="E299" s="22" t="n"/>
      <c r="F299" s="22" t="n"/>
      <c r="G299" s="41" t="n"/>
      <c r="H299" s="42" t="n"/>
      <c r="I299" s="42" t="n"/>
      <c r="J299" s="42" t="n"/>
      <c r="K299" s="42" t="n"/>
      <c r="L299" s="42" t="n"/>
      <c r="M299" s="23">
        <f>IF(AND(A299&lt;&gt;"",G299&lt;&gt;""),G299-A299,"")</f>
        <v/>
      </c>
      <c r="N299" s="22" t="n"/>
    </row>
    <row r="300">
      <c r="A300" s="34" t="n"/>
      <c r="B300" s="35">
        <f>IF(A300="","",YEAR(A300))</f>
        <v/>
      </c>
      <c r="C300" s="36">
        <f>IF(A300="","",MONTH(A300))</f>
        <v/>
      </c>
      <c r="D300" s="37">
        <f>IF(A300="","","Q"&amp;ROUNDUP(MONTH(A300)/3,0))</f>
        <v/>
      </c>
      <c r="E300" s="18" t="n"/>
      <c r="F300" s="18" t="n"/>
      <c r="G300" s="34" t="n"/>
      <c r="H300" s="38" t="n"/>
      <c r="I300" s="38" t="n"/>
      <c r="J300" s="38" t="n"/>
      <c r="K300" s="38" t="n"/>
      <c r="L300" s="38" t="n"/>
      <c r="M300" s="19">
        <f>IF(AND(A300&lt;&gt;"",G300&lt;&gt;""),G300-A300,"")</f>
        <v/>
      </c>
      <c r="N300" s="18" t="n"/>
    </row>
    <row r="301">
      <c r="A301" s="41" t="n"/>
      <c r="B301" s="35">
        <f>IF(A301="","",YEAR(A301))</f>
        <v/>
      </c>
      <c r="C301" s="36">
        <f>IF(A301="","",MONTH(A301))</f>
        <v/>
      </c>
      <c r="D301" s="37">
        <f>IF(A301="","","Q"&amp;ROUNDUP(MONTH(A301)/3,0))</f>
        <v/>
      </c>
      <c r="E301" s="22" t="n"/>
      <c r="F301" s="22" t="n"/>
      <c r="G301" s="41" t="n"/>
      <c r="H301" s="42" t="n"/>
      <c r="I301" s="42" t="n"/>
      <c r="J301" s="42" t="n"/>
      <c r="K301" s="42" t="n"/>
      <c r="L301" s="42" t="n"/>
      <c r="M301" s="23">
        <f>IF(AND(A301&lt;&gt;"",G301&lt;&gt;""),G301-A301,"")</f>
        <v/>
      </c>
      <c r="N301" s="22" t="n"/>
    </row>
    <row r="302">
      <c r="A302" s="34" t="n"/>
      <c r="B302" s="35">
        <f>IF(A302="","",YEAR(A302))</f>
        <v/>
      </c>
      <c r="C302" s="36">
        <f>IF(A302="","",MONTH(A302))</f>
        <v/>
      </c>
      <c r="D302" s="37">
        <f>IF(A302="","","Q"&amp;ROUNDUP(MONTH(A302)/3,0))</f>
        <v/>
      </c>
      <c r="E302" s="18" t="n"/>
      <c r="F302" s="18" t="n"/>
      <c r="G302" s="34" t="n"/>
      <c r="H302" s="38" t="n"/>
      <c r="I302" s="38" t="n"/>
      <c r="J302" s="38" t="n"/>
      <c r="K302" s="38" t="n"/>
      <c r="L302" s="38" t="n"/>
      <c r="M302" s="19">
        <f>IF(AND(A302&lt;&gt;"",G302&lt;&gt;""),G302-A302,"")</f>
        <v/>
      </c>
      <c r="N302" s="18" t="n"/>
    </row>
    <row r="303">
      <c r="A303" s="41" t="n"/>
      <c r="B303" s="35">
        <f>IF(A303="","",YEAR(A303))</f>
        <v/>
      </c>
      <c r="C303" s="36">
        <f>IF(A303="","",MONTH(A303))</f>
        <v/>
      </c>
      <c r="D303" s="37">
        <f>IF(A303="","","Q"&amp;ROUNDUP(MONTH(A303)/3,0))</f>
        <v/>
      </c>
      <c r="E303" s="22" t="n"/>
      <c r="F303" s="22" t="n"/>
      <c r="G303" s="41" t="n"/>
      <c r="H303" s="42" t="n"/>
      <c r="I303" s="42" t="n"/>
      <c r="J303" s="42" t="n"/>
      <c r="K303" s="42" t="n"/>
      <c r="L303" s="42" t="n"/>
      <c r="M303" s="23">
        <f>IF(AND(A303&lt;&gt;"",G303&lt;&gt;""),G303-A303,"")</f>
        <v/>
      </c>
      <c r="N303" s="22" t="n"/>
    </row>
    <row r="304">
      <c r="A304" s="34" t="n"/>
      <c r="B304" s="35">
        <f>IF(A304="","",YEAR(A304))</f>
        <v/>
      </c>
      <c r="C304" s="36">
        <f>IF(A304="","",MONTH(A304))</f>
        <v/>
      </c>
      <c r="D304" s="37">
        <f>IF(A304="","","Q"&amp;ROUNDUP(MONTH(A304)/3,0))</f>
        <v/>
      </c>
      <c r="E304" s="18" t="n"/>
      <c r="F304" s="18" t="n"/>
      <c r="G304" s="34" t="n"/>
      <c r="H304" s="38" t="n"/>
      <c r="I304" s="38" t="n"/>
      <c r="J304" s="38" t="n"/>
      <c r="K304" s="38" t="n"/>
      <c r="L304" s="38" t="n"/>
      <c r="M304" s="19">
        <f>IF(AND(A304&lt;&gt;"",G304&lt;&gt;""),G304-A304,"")</f>
        <v/>
      </c>
      <c r="N304" s="18" t="n"/>
    </row>
    <row r="305">
      <c r="A305" s="41" t="n"/>
      <c r="B305" s="35">
        <f>IF(A305="","",YEAR(A305))</f>
        <v/>
      </c>
      <c r="C305" s="36">
        <f>IF(A305="","",MONTH(A305))</f>
        <v/>
      </c>
      <c r="D305" s="37">
        <f>IF(A305="","","Q"&amp;ROUNDUP(MONTH(A305)/3,0))</f>
        <v/>
      </c>
      <c r="E305" s="22" t="n"/>
      <c r="F305" s="22" t="n"/>
      <c r="G305" s="41" t="n"/>
      <c r="H305" s="42" t="n"/>
      <c r="I305" s="42" t="n"/>
      <c r="J305" s="42" t="n"/>
      <c r="K305" s="42" t="n"/>
      <c r="L305" s="42" t="n"/>
      <c r="M305" s="23">
        <f>IF(AND(A305&lt;&gt;"",G305&lt;&gt;""),G305-A305,"")</f>
        <v/>
      </c>
      <c r="N305" s="22" t="n"/>
    </row>
  </sheetData>
  <mergeCells count="3">
    <mergeCell ref="A3:N3"/>
    <mergeCell ref="A2:N2"/>
    <mergeCell ref="A1:N1"/>
  </mergeCells>
  <dataValidations count="1">
    <dataValidation sqref="F6:F305" showDropDown="0" showInputMessage="0" showErrorMessage="0" allowBlank="1" type="list">
      <formula1>"탁주,약주,소주,식초,시제품"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08438"/>
    <outlinePr summaryBelow="1" summaryRight="1"/>
    <pageSetUpPr/>
  </sheetPr>
  <dimension ref="A1:O1505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6" customWidth="1" min="4" max="4"/>
    <col width="13" customWidth="1" min="5" max="5"/>
    <col width="12" customWidth="1" min="6" max="6"/>
    <col width="22" customWidth="1" min="7" max="7"/>
    <col width="7" customWidth="1" min="8" max="8"/>
    <col width="12" customWidth="1" min="9" max="9"/>
    <col width="12" customWidth="1" min="10" max="10"/>
    <col width="11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 ht="30" customHeight="1">
      <c r="A1" s="13" t="inlineStr">
        <is>
          <t>03. 출고·판매 기록부 (v4)</t>
        </is>
      </c>
    </row>
    <row r="2">
      <c r="A2" s="14" t="inlineStr">
        <is>
          <t>법령 §25 ⑦ · 거래처ID + 세금계산서 + 고객 해시ID + 분기 신고 baseline</t>
        </is>
      </c>
    </row>
    <row r="3">
      <c r="A3" s="26" t="inlineStr">
        <is>
          <t>💡 거래처ID 입력 시 상호 자동. 고객ID는 단골일 때만 (반복 구매 추적용).</t>
        </is>
      </c>
    </row>
    <row r="5" ht="32" customHeight="1">
      <c r="A5" s="8" t="inlineStr">
        <is>
          <t>반출일</t>
        </is>
      </c>
      <c r="B5" s="32" t="inlineStr">
        <is>
          <t>연도</t>
        </is>
      </c>
      <c r="C5" s="32" t="inlineStr">
        <is>
          <t>월</t>
        </is>
      </c>
      <c r="D5" s="32" t="inlineStr">
        <is>
          <t>분기</t>
        </is>
      </c>
      <c r="E5" s="8" t="inlineStr">
        <is>
          <t>채널</t>
        </is>
      </c>
      <c r="F5" s="8" t="inlineStr">
        <is>
          <t>거래처ID</t>
        </is>
      </c>
      <c r="G5" s="33" t="inlineStr">
        <is>
          <t>상호(자동)</t>
        </is>
      </c>
      <c r="H5" s="8" t="inlineStr">
        <is>
          <t>SKU ID</t>
        </is>
      </c>
      <c r="I5" s="8" t="inlineStr">
        <is>
          <t>수량(병)</t>
        </is>
      </c>
      <c r="J5" s="8" t="inlineStr">
        <is>
          <t>단가(원)</t>
        </is>
      </c>
      <c r="K5" s="32" t="inlineStr">
        <is>
          <t>금액(원)</t>
        </is>
      </c>
      <c r="L5" s="8" t="inlineStr">
        <is>
          <t>고객ID</t>
        </is>
      </c>
      <c r="M5" s="8" t="inlineStr">
        <is>
          <t>세금계산서번호</t>
        </is>
      </c>
      <c r="N5" s="8" t="inlineStr">
        <is>
          <t>주세(원)</t>
        </is>
      </c>
      <c r="O5" s="8" t="inlineStr">
        <is>
          <t>교육세(원)</t>
        </is>
      </c>
    </row>
    <row r="6">
      <c r="A6" s="34" t="inlineStr">
        <is>
          <t>2026-05-09</t>
        </is>
      </c>
      <c r="B6" s="35">
        <f>IF(A6="","",YEAR(A6))</f>
        <v/>
      </c>
      <c r="C6" s="36">
        <f>IF(A6="","",MONTH(A6))</f>
        <v/>
      </c>
      <c r="D6" s="37">
        <f>IF(A6="","","Q"&amp;ROUNDUP(MONTH(A6)/3,0))</f>
        <v/>
      </c>
      <c r="E6" s="18" t="inlineStr">
        <is>
          <t>양조장직판</t>
        </is>
      </c>
      <c r="F6" s="18" t="inlineStr">
        <is>
          <t>C-001</t>
        </is>
      </c>
      <c r="G6" s="40">
        <f>IFERROR(VLOOKUP(F6,M2_거래처마스터!A:E,3,FALSE),"")</f>
        <v/>
      </c>
      <c r="H6" s="18" t="inlineStr">
        <is>
          <t>WG-TJ-500</t>
        </is>
      </c>
      <c r="I6" s="19" t="n">
        <v>2</v>
      </c>
      <c r="J6" s="20" t="n">
        <v>12000</v>
      </c>
      <c r="K6" s="39">
        <f>IF(AND(I6&lt;&gt;"",J6&lt;&gt;""),I6*J6,"")</f>
        <v/>
      </c>
      <c r="L6" s="18" t="inlineStr">
        <is>
          <t>H-김선생-01</t>
        </is>
      </c>
      <c r="M6" s="18" t="inlineStr">
        <is>
          <t>현금영수증 2026-001</t>
        </is>
      </c>
      <c r="N6" s="20" t="n"/>
      <c r="O6" s="20" t="n"/>
    </row>
    <row r="7">
      <c r="A7" s="41" t="n"/>
      <c r="B7" s="35">
        <f>IF(A7="","",YEAR(A7))</f>
        <v/>
      </c>
      <c r="C7" s="36">
        <f>IF(A7="","",MONTH(A7))</f>
        <v/>
      </c>
      <c r="D7" s="37">
        <f>IF(A7="","","Q"&amp;ROUNDUP(MONTH(A7)/3,0))</f>
        <v/>
      </c>
      <c r="E7" s="22" t="n"/>
      <c r="F7" s="22" t="n"/>
      <c r="G7" s="40">
        <f>IFERROR(VLOOKUP(F7,M2_거래처마스터!A:E,3,FALSE),"")</f>
        <v/>
      </c>
      <c r="H7" s="22" t="n"/>
      <c r="I7" s="23" t="n"/>
      <c r="J7" s="24" t="n"/>
      <c r="K7" s="39">
        <f>IF(AND(I7&lt;&gt;"",J7&lt;&gt;""),I7*J7,"")</f>
        <v/>
      </c>
      <c r="L7" s="22" t="n"/>
      <c r="M7" s="22" t="n"/>
      <c r="N7" s="24" t="n"/>
      <c r="O7" s="24" t="n"/>
    </row>
    <row r="8">
      <c r="A8" s="34" t="n"/>
      <c r="B8" s="35">
        <f>IF(A8="","",YEAR(A8))</f>
        <v/>
      </c>
      <c r="C8" s="36">
        <f>IF(A8="","",MONTH(A8))</f>
        <v/>
      </c>
      <c r="D8" s="37">
        <f>IF(A8="","","Q"&amp;ROUNDUP(MONTH(A8)/3,0))</f>
        <v/>
      </c>
      <c r="E8" s="18" t="n"/>
      <c r="F8" s="18" t="n"/>
      <c r="G8" s="40">
        <f>IFERROR(VLOOKUP(F8,M2_거래처마스터!A:E,3,FALSE),"")</f>
        <v/>
      </c>
      <c r="H8" s="18" t="n"/>
      <c r="I8" s="19" t="n"/>
      <c r="J8" s="20" t="n"/>
      <c r="K8" s="39">
        <f>IF(AND(I8&lt;&gt;"",J8&lt;&gt;""),I8*J8,"")</f>
        <v/>
      </c>
      <c r="L8" s="18" t="n"/>
      <c r="M8" s="18" t="n"/>
      <c r="N8" s="20" t="n"/>
      <c r="O8" s="20" t="n"/>
    </row>
    <row r="9">
      <c r="A9" s="41" t="n"/>
      <c r="B9" s="35">
        <f>IF(A9="","",YEAR(A9))</f>
        <v/>
      </c>
      <c r="C9" s="36">
        <f>IF(A9="","",MONTH(A9))</f>
        <v/>
      </c>
      <c r="D9" s="37">
        <f>IF(A9="","","Q"&amp;ROUNDUP(MONTH(A9)/3,0))</f>
        <v/>
      </c>
      <c r="E9" s="22" t="n"/>
      <c r="F9" s="22" t="n"/>
      <c r="G9" s="40">
        <f>IFERROR(VLOOKUP(F9,M2_거래처마스터!A:E,3,FALSE),"")</f>
        <v/>
      </c>
      <c r="H9" s="22" t="n"/>
      <c r="I9" s="23" t="n"/>
      <c r="J9" s="24" t="n"/>
      <c r="K9" s="39">
        <f>IF(AND(I9&lt;&gt;"",J9&lt;&gt;""),I9*J9,"")</f>
        <v/>
      </c>
      <c r="L9" s="22" t="n"/>
      <c r="M9" s="22" t="n"/>
      <c r="N9" s="24" t="n"/>
      <c r="O9" s="24" t="n"/>
    </row>
    <row r="10">
      <c r="A10" s="34" t="n"/>
      <c r="B10" s="35">
        <f>IF(A10="","",YEAR(A10))</f>
        <v/>
      </c>
      <c r="C10" s="36">
        <f>IF(A10="","",MONTH(A10))</f>
        <v/>
      </c>
      <c r="D10" s="37">
        <f>IF(A10="","","Q"&amp;ROUNDUP(MONTH(A10)/3,0))</f>
        <v/>
      </c>
      <c r="E10" s="18" t="n"/>
      <c r="F10" s="18" t="n"/>
      <c r="G10" s="40">
        <f>IFERROR(VLOOKUP(F10,M2_거래처마스터!A:E,3,FALSE),"")</f>
        <v/>
      </c>
      <c r="H10" s="18" t="n"/>
      <c r="I10" s="19" t="n"/>
      <c r="J10" s="20" t="n"/>
      <c r="K10" s="39">
        <f>IF(AND(I10&lt;&gt;"",J10&lt;&gt;""),I10*J10,"")</f>
        <v/>
      </c>
      <c r="L10" s="18" t="n"/>
      <c r="M10" s="18" t="n"/>
      <c r="N10" s="20" t="n"/>
      <c r="O10" s="20" t="n"/>
    </row>
    <row r="11">
      <c r="A11" s="41" t="n"/>
      <c r="B11" s="35">
        <f>IF(A11="","",YEAR(A11))</f>
        <v/>
      </c>
      <c r="C11" s="36">
        <f>IF(A11="","",MONTH(A11))</f>
        <v/>
      </c>
      <c r="D11" s="37">
        <f>IF(A11="","","Q"&amp;ROUNDUP(MONTH(A11)/3,0))</f>
        <v/>
      </c>
      <c r="E11" s="22" t="n"/>
      <c r="F11" s="22" t="n"/>
      <c r="G11" s="40">
        <f>IFERROR(VLOOKUP(F11,M2_거래처마스터!A:E,3,FALSE),"")</f>
        <v/>
      </c>
      <c r="H11" s="22" t="n"/>
      <c r="I11" s="23" t="n"/>
      <c r="J11" s="24" t="n"/>
      <c r="K11" s="39">
        <f>IF(AND(I11&lt;&gt;"",J11&lt;&gt;""),I11*J11,"")</f>
        <v/>
      </c>
      <c r="L11" s="22" t="n"/>
      <c r="M11" s="22" t="n"/>
      <c r="N11" s="24" t="n"/>
      <c r="O11" s="24" t="n"/>
    </row>
    <row r="12">
      <c r="A12" s="34" t="n"/>
      <c r="B12" s="35">
        <f>IF(A12="","",YEAR(A12))</f>
        <v/>
      </c>
      <c r="C12" s="36">
        <f>IF(A12="","",MONTH(A12))</f>
        <v/>
      </c>
      <c r="D12" s="37">
        <f>IF(A12="","","Q"&amp;ROUNDUP(MONTH(A12)/3,0))</f>
        <v/>
      </c>
      <c r="E12" s="18" t="n"/>
      <c r="F12" s="18" t="n"/>
      <c r="G12" s="40">
        <f>IFERROR(VLOOKUP(F12,M2_거래처마스터!A:E,3,FALSE),"")</f>
        <v/>
      </c>
      <c r="H12" s="18" t="n"/>
      <c r="I12" s="19" t="n"/>
      <c r="J12" s="20" t="n"/>
      <c r="K12" s="39">
        <f>IF(AND(I12&lt;&gt;"",J12&lt;&gt;""),I12*J12,"")</f>
        <v/>
      </c>
      <c r="L12" s="18" t="n"/>
      <c r="M12" s="18" t="n"/>
      <c r="N12" s="20" t="n"/>
      <c r="O12" s="20" t="n"/>
    </row>
    <row r="13">
      <c r="A13" s="41" t="n"/>
      <c r="B13" s="35">
        <f>IF(A13="","",YEAR(A13))</f>
        <v/>
      </c>
      <c r="C13" s="36">
        <f>IF(A13="","",MONTH(A13))</f>
        <v/>
      </c>
      <c r="D13" s="37">
        <f>IF(A13="","","Q"&amp;ROUNDUP(MONTH(A13)/3,0))</f>
        <v/>
      </c>
      <c r="E13" s="22" t="n"/>
      <c r="F13" s="22" t="n"/>
      <c r="G13" s="40">
        <f>IFERROR(VLOOKUP(F13,M2_거래처마스터!A:E,3,FALSE),"")</f>
        <v/>
      </c>
      <c r="H13" s="22" t="n"/>
      <c r="I13" s="23" t="n"/>
      <c r="J13" s="24" t="n"/>
      <c r="K13" s="39">
        <f>IF(AND(I13&lt;&gt;"",J13&lt;&gt;""),I13*J13,"")</f>
        <v/>
      </c>
      <c r="L13" s="22" t="n"/>
      <c r="M13" s="22" t="n"/>
      <c r="N13" s="24" t="n"/>
      <c r="O13" s="24" t="n"/>
    </row>
    <row r="14">
      <c r="A14" s="34" t="n"/>
      <c r="B14" s="35">
        <f>IF(A14="","",YEAR(A14))</f>
        <v/>
      </c>
      <c r="C14" s="36">
        <f>IF(A14="","",MONTH(A14))</f>
        <v/>
      </c>
      <c r="D14" s="37">
        <f>IF(A14="","","Q"&amp;ROUNDUP(MONTH(A14)/3,0))</f>
        <v/>
      </c>
      <c r="E14" s="18" t="n"/>
      <c r="F14" s="18" t="n"/>
      <c r="G14" s="40">
        <f>IFERROR(VLOOKUP(F14,M2_거래처마스터!A:E,3,FALSE),"")</f>
        <v/>
      </c>
      <c r="H14" s="18" t="n"/>
      <c r="I14" s="19" t="n"/>
      <c r="J14" s="20" t="n"/>
      <c r="K14" s="39">
        <f>IF(AND(I14&lt;&gt;"",J14&lt;&gt;""),I14*J14,"")</f>
        <v/>
      </c>
      <c r="L14" s="18" t="n"/>
      <c r="M14" s="18" t="n"/>
      <c r="N14" s="20" t="n"/>
      <c r="O14" s="20" t="n"/>
    </row>
    <row r="15">
      <c r="A15" s="41" t="n"/>
      <c r="B15" s="35">
        <f>IF(A15="","",YEAR(A15))</f>
        <v/>
      </c>
      <c r="C15" s="36">
        <f>IF(A15="","",MONTH(A15))</f>
        <v/>
      </c>
      <c r="D15" s="37">
        <f>IF(A15="","","Q"&amp;ROUNDUP(MONTH(A15)/3,0))</f>
        <v/>
      </c>
      <c r="E15" s="22" t="n"/>
      <c r="F15" s="22" t="n"/>
      <c r="G15" s="40">
        <f>IFERROR(VLOOKUP(F15,M2_거래처마스터!A:E,3,FALSE),"")</f>
        <v/>
      </c>
      <c r="H15" s="22" t="n"/>
      <c r="I15" s="23" t="n"/>
      <c r="J15" s="24" t="n"/>
      <c r="K15" s="39">
        <f>IF(AND(I15&lt;&gt;"",J15&lt;&gt;""),I15*J15,"")</f>
        <v/>
      </c>
      <c r="L15" s="22" t="n"/>
      <c r="M15" s="22" t="n"/>
      <c r="N15" s="24" t="n"/>
      <c r="O15" s="24" t="n"/>
    </row>
    <row r="16">
      <c r="A16" s="34" t="n"/>
      <c r="B16" s="35">
        <f>IF(A16="","",YEAR(A16))</f>
        <v/>
      </c>
      <c r="C16" s="36">
        <f>IF(A16="","",MONTH(A16))</f>
        <v/>
      </c>
      <c r="D16" s="37">
        <f>IF(A16="","","Q"&amp;ROUNDUP(MONTH(A16)/3,0))</f>
        <v/>
      </c>
      <c r="E16" s="18" t="n"/>
      <c r="F16" s="18" t="n"/>
      <c r="G16" s="40">
        <f>IFERROR(VLOOKUP(F16,M2_거래처마스터!A:E,3,FALSE),"")</f>
        <v/>
      </c>
      <c r="H16" s="18" t="n"/>
      <c r="I16" s="19" t="n"/>
      <c r="J16" s="20" t="n"/>
      <c r="K16" s="39">
        <f>IF(AND(I16&lt;&gt;"",J16&lt;&gt;""),I16*J16,"")</f>
        <v/>
      </c>
      <c r="L16" s="18" t="n"/>
      <c r="M16" s="18" t="n"/>
      <c r="N16" s="20" t="n"/>
      <c r="O16" s="20" t="n"/>
    </row>
    <row r="17">
      <c r="A17" s="41" t="n"/>
      <c r="B17" s="35">
        <f>IF(A17="","",YEAR(A17))</f>
        <v/>
      </c>
      <c r="C17" s="36">
        <f>IF(A17="","",MONTH(A17))</f>
        <v/>
      </c>
      <c r="D17" s="37">
        <f>IF(A17="","","Q"&amp;ROUNDUP(MONTH(A17)/3,0))</f>
        <v/>
      </c>
      <c r="E17" s="22" t="n"/>
      <c r="F17" s="22" t="n"/>
      <c r="G17" s="40">
        <f>IFERROR(VLOOKUP(F17,M2_거래처마스터!A:E,3,FALSE),"")</f>
        <v/>
      </c>
      <c r="H17" s="22" t="n"/>
      <c r="I17" s="23" t="n"/>
      <c r="J17" s="24" t="n"/>
      <c r="K17" s="39">
        <f>IF(AND(I17&lt;&gt;"",J17&lt;&gt;""),I17*J17,"")</f>
        <v/>
      </c>
      <c r="L17" s="22" t="n"/>
      <c r="M17" s="22" t="n"/>
      <c r="N17" s="24" t="n"/>
      <c r="O17" s="24" t="n"/>
    </row>
    <row r="18">
      <c r="A18" s="34" t="n"/>
      <c r="B18" s="35">
        <f>IF(A18="","",YEAR(A18))</f>
        <v/>
      </c>
      <c r="C18" s="36">
        <f>IF(A18="","",MONTH(A18))</f>
        <v/>
      </c>
      <c r="D18" s="37">
        <f>IF(A18="","","Q"&amp;ROUNDUP(MONTH(A18)/3,0))</f>
        <v/>
      </c>
      <c r="E18" s="18" t="n"/>
      <c r="F18" s="18" t="n"/>
      <c r="G18" s="40">
        <f>IFERROR(VLOOKUP(F18,M2_거래처마스터!A:E,3,FALSE),"")</f>
        <v/>
      </c>
      <c r="H18" s="18" t="n"/>
      <c r="I18" s="19" t="n"/>
      <c r="J18" s="20" t="n"/>
      <c r="K18" s="39">
        <f>IF(AND(I18&lt;&gt;"",J18&lt;&gt;""),I18*J18,"")</f>
        <v/>
      </c>
      <c r="L18" s="18" t="n"/>
      <c r="M18" s="18" t="n"/>
      <c r="N18" s="20" t="n"/>
      <c r="O18" s="20" t="n"/>
    </row>
    <row r="19">
      <c r="A19" s="41" t="n"/>
      <c r="B19" s="35">
        <f>IF(A19="","",YEAR(A19))</f>
        <v/>
      </c>
      <c r="C19" s="36">
        <f>IF(A19="","",MONTH(A19))</f>
        <v/>
      </c>
      <c r="D19" s="37">
        <f>IF(A19="","","Q"&amp;ROUNDUP(MONTH(A19)/3,0))</f>
        <v/>
      </c>
      <c r="E19" s="22" t="n"/>
      <c r="F19" s="22" t="n"/>
      <c r="G19" s="40">
        <f>IFERROR(VLOOKUP(F19,M2_거래처마스터!A:E,3,FALSE),"")</f>
        <v/>
      </c>
      <c r="H19" s="22" t="n"/>
      <c r="I19" s="23" t="n"/>
      <c r="J19" s="24" t="n"/>
      <c r="K19" s="39">
        <f>IF(AND(I19&lt;&gt;"",J19&lt;&gt;""),I19*J19,"")</f>
        <v/>
      </c>
      <c r="L19" s="22" t="n"/>
      <c r="M19" s="22" t="n"/>
      <c r="N19" s="24" t="n"/>
      <c r="O19" s="24" t="n"/>
    </row>
    <row r="20">
      <c r="A20" s="34" t="n"/>
      <c r="B20" s="35">
        <f>IF(A20="","",YEAR(A20))</f>
        <v/>
      </c>
      <c r="C20" s="36">
        <f>IF(A20="","",MONTH(A20))</f>
        <v/>
      </c>
      <c r="D20" s="37">
        <f>IF(A20="","","Q"&amp;ROUNDUP(MONTH(A20)/3,0))</f>
        <v/>
      </c>
      <c r="E20" s="18" t="n"/>
      <c r="F20" s="18" t="n"/>
      <c r="G20" s="40">
        <f>IFERROR(VLOOKUP(F20,M2_거래처마스터!A:E,3,FALSE),"")</f>
        <v/>
      </c>
      <c r="H20" s="18" t="n"/>
      <c r="I20" s="19" t="n"/>
      <c r="J20" s="20" t="n"/>
      <c r="K20" s="39">
        <f>IF(AND(I20&lt;&gt;"",J20&lt;&gt;""),I20*J20,"")</f>
        <v/>
      </c>
      <c r="L20" s="18" t="n"/>
      <c r="M20" s="18" t="n"/>
      <c r="N20" s="20" t="n"/>
      <c r="O20" s="20" t="n"/>
    </row>
    <row r="21">
      <c r="A21" s="41" t="n"/>
      <c r="B21" s="35">
        <f>IF(A21="","",YEAR(A21))</f>
        <v/>
      </c>
      <c r="C21" s="36">
        <f>IF(A21="","",MONTH(A21))</f>
        <v/>
      </c>
      <c r="D21" s="37">
        <f>IF(A21="","","Q"&amp;ROUNDUP(MONTH(A21)/3,0))</f>
        <v/>
      </c>
      <c r="E21" s="22" t="n"/>
      <c r="F21" s="22" t="n"/>
      <c r="G21" s="40">
        <f>IFERROR(VLOOKUP(F21,M2_거래처마스터!A:E,3,FALSE),"")</f>
        <v/>
      </c>
      <c r="H21" s="22" t="n"/>
      <c r="I21" s="23" t="n"/>
      <c r="J21" s="24" t="n"/>
      <c r="K21" s="39">
        <f>IF(AND(I21&lt;&gt;"",J21&lt;&gt;""),I21*J21,"")</f>
        <v/>
      </c>
      <c r="L21" s="22" t="n"/>
      <c r="M21" s="22" t="n"/>
      <c r="N21" s="24" t="n"/>
      <c r="O21" s="24" t="n"/>
    </row>
    <row r="22">
      <c r="A22" s="34" t="n"/>
      <c r="B22" s="35">
        <f>IF(A22="","",YEAR(A22))</f>
        <v/>
      </c>
      <c r="C22" s="36">
        <f>IF(A22="","",MONTH(A22))</f>
        <v/>
      </c>
      <c r="D22" s="37">
        <f>IF(A22="","","Q"&amp;ROUNDUP(MONTH(A22)/3,0))</f>
        <v/>
      </c>
      <c r="E22" s="18" t="n"/>
      <c r="F22" s="18" t="n"/>
      <c r="G22" s="40">
        <f>IFERROR(VLOOKUP(F22,M2_거래처마스터!A:E,3,FALSE),"")</f>
        <v/>
      </c>
      <c r="H22" s="18" t="n"/>
      <c r="I22" s="19" t="n"/>
      <c r="J22" s="20" t="n"/>
      <c r="K22" s="39">
        <f>IF(AND(I22&lt;&gt;"",J22&lt;&gt;""),I22*J22,"")</f>
        <v/>
      </c>
      <c r="L22" s="18" t="n"/>
      <c r="M22" s="18" t="n"/>
      <c r="N22" s="20" t="n"/>
      <c r="O22" s="20" t="n"/>
    </row>
    <row r="23">
      <c r="A23" s="41" t="n"/>
      <c r="B23" s="35">
        <f>IF(A23="","",YEAR(A23))</f>
        <v/>
      </c>
      <c r="C23" s="36">
        <f>IF(A23="","",MONTH(A23))</f>
        <v/>
      </c>
      <c r="D23" s="37">
        <f>IF(A23="","","Q"&amp;ROUNDUP(MONTH(A23)/3,0))</f>
        <v/>
      </c>
      <c r="E23" s="22" t="n"/>
      <c r="F23" s="22" t="n"/>
      <c r="G23" s="40">
        <f>IFERROR(VLOOKUP(F23,M2_거래처마스터!A:E,3,FALSE),"")</f>
        <v/>
      </c>
      <c r="H23" s="22" t="n"/>
      <c r="I23" s="23" t="n"/>
      <c r="J23" s="24" t="n"/>
      <c r="K23" s="39">
        <f>IF(AND(I23&lt;&gt;"",J23&lt;&gt;""),I23*J23,"")</f>
        <v/>
      </c>
      <c r="L23" s="22" t="n"/>
      <c r="M23" s="22" t="n"/>
      <c r="N23" s="24" t="n"/>
      <c r="O23" s="24" t="n"/>
    </row>
    <row r="24">
      <c r="A24" s="34" t="n"/>
      <c r="B24" s="35">
        <f>IF(A24="","",YEAR(A24))</f>
        <v/>
      </c>
      <c r="C24" s="36">
        <f>IF(A24="","",MONTH(A24))</f>
        <v/>
      </c>
      <c r="D24" s="37">
        <f>IF(A24="","","Q"&amp;ROUNDUP(MONTH(A24)/3,0))</f>
        <v/>
      </c>
      <c r="E24" s="18" t="n"/>
      <c r="F24" s="18" t="n"/>
      <c r="G24" s="40">
        <f>IFERROR(VLOOKUP(F24,M2_거래처마스터!A:E,3,FALSE),"")</f>
        <v/>
      </c>
      <c r="H24" s="18" t="n"/>
      <c r="I24" s="19" t="n"/>
      <c r="J24" s="20" t="n"/>
      <c r="K24" s="39">
        <f>IF(AND(I24&lt;&gt;"",J24&lt;&gt;""),I24*J24,"")</f>
        <v/>
      </c>
      <c r="L24" s="18" t="n"/>
      <c r="M24" s="18" t="n"/>
      <c r="N24" s="20" t="n"/>
      <c r="O24" s="20" t="n"/>
    </row>
    <row r="25">
      <c r="A25" s="41" t="n"/>
      <c r="B25" s="35">
        <f>IF(A25="","",YEAR(A25))</f>
        <v/>
      </c>
      <c r="C25" s="36">
        <f>IF(A25="","",MONTH(A25))</f>
        <v/>
      </c>
      <c r="D25" s="37">
        <f>IF(A25="","","Q"&amp;ROUNDUP(MONTH(A25)/3,0))</f>
        <v/>
      </c>
      <c r="E25" s="22" t="n"/>
      <c r="F25" s="22" t="n"/>
      <c r="G25" s="40">
        <f>IFERROR(VLOOKUP(F25,M2_거래처마스터!A:E,3,FALSE),"")</f>
        <v/>
      </c>
      <c r="H25" s="22" t="n"/>
      <c r="I25" s="23" t="n"/>
      <c r="J25" s="24" t="n"/>
      <c r="K25" s="39">
        <f>IF(AND(I25&lt;&gt;"",J25&lt;&gt;""),I25*J25,"")</f>
        <v/>
      </c>
      <c r="L25" s="22" t="n"/>
      <c r="M25" s="22" t="n"/>
      <c r="N25" s="24" t="n"/>
      <c r="O25" s="24" t="n"/>
    </row>
    <row r="26">
      <c r="A26" s="34" t="n"/>
      <c r="B26" s="35">
        <f>IF(A26="","",YEAR(A26))</f>
        <v/>
      </c>
      <c r="C26" s="36">
        <f>IF(A26="","",MONTH(A26))</f>
        <v/>
      </c>
      <c r="D26" s="37">
        <f>IF(A26="","","Q"&amp;ROUNDUP(MONTH(A26)/3,0))</f>
        <v/>
      </c>
      <c r="E26" s="18" t="n"/>
      <c r="F26" s="18" t="n"/>
      <c r="G26" s="40">
        <f>IFERROR(VLOOKUP(F26,M2_거래처마스터!A:E,3,FALSE),"")</f>
        <v/>
      </c>
      <c r="H26" s="18" t="n"/>
      <c r="I26" s="19" t="n"/>
      <c r="J26" s="20" t="n"/>
      <c r="K26" s="39">
        <f>IF(AND(I26&lt;&gt;"",J26&lt;&gt;""),I26*J26,"")</f>
        <v/>
      </c>
      <c r="L26" s="18" t="n"/>
      <c r="M26" s="18" t="n"/>
      <c r="N26" s="20" t="n"/>
      <c r="O26" s="20" t="n"/>
    </row>
    <row r="27">
      <c r="A27" s="41" t="n"/>
      <c r="B27" s="35">
        <f>IF(A27="","",YEAR(A27))</f>
        <v/>
      </c>
      <c r="C27" s="36">
        <f>IF(A27="","",MONTH(A27))</f>
        <v/>
      </c>
      <c r="D27" s="37">
        <f>IF(A27="","","Q"&amp;ROUNDUP(MONTH(A27)/3,0))</f>
        <v/>
      </c>
      <c r="E27" s="22" t="n"/>
      <c r="F27" s="22" t="n"/>
      <c r="G27" s="40">
        <f>IFERROR(VLOOKUP(F27,M2_거래처마스터!A:E,3,FALSE),"")</f>
        <v/>
      </c>
      <c r="H27" s="22" t="n"/>
      <c r="I27" s="23" t="n"/>
      <c r="J27" s="24" t="n"/>
      <c r="K27" s="39">
        <f>IF(AND(I27&lt;&gt;"",J27&lt;&gt;""),I27*J27,"")</f>
        <v/>
      </c>
      <c r="L27" s="22" t="n"/>
      <c r="M27" s="22" t="n"/>
      <c r="N27" s="24" t="n"/>
      <c r="O27" s="24" t="n"/>
    </row>
    <row r="28">
      <c r="A28" s="34" t="n"/>
      <c r="B28" s="35">
        <f>IF(A28="","",YEAR(A28))</f>
        <v/>
      </c>
      <c r="C28" s="36">
        <f>IF(A28="","",MONTH(A28))</f>
        <v/>
      </c>
      <c r="D28" s="37">
        <f>IF(A28="","","Q"&amp;ROUNDUP(MONTH(A28)/3,0))</f>
        <v/>
      </c>
      <c r="E28" s="18" t="n"/>
      <c r="F28" s="18" t="n"/>
      <c r="G28" s="40">
        <f>IFERROR(VLOOKUP(F28,M2_거래처마스터!A:E,3,FALSE),"")</f>
        <v/>
      </c>
      <c r="H28" s="18" t="n"/>
      <c r="I28" s="19" t="n"/>
      <c r="J28" s="20" t="n"/>
      <c r="K28" s="39">
        <f>IF(AND(I28&lt;&gt;"",J28&lt;&gt;""),I28*J28,"")</f>
        <v/>
      </c>
      <c r="L28" s="18" t="n"/>
      <c r="M28" s="18" t="n"/>
      <c r="N28" s="20" t="n"/>
      <c r="O28" s="20" t="n"/>
    </row>
    <row r="29">
      <c r="A29" s="41" t="n"/>
      <c r="B29" s="35">
        <f>IF(A29="","",YEAR(A29))</f>
        <v/>
      </c>
      <c r="C29" s="36">
        <f>IF(A29="","",MONTH(A29))</f>
        <v/>
      </c>
      <c r="D29" s="37">
        <f>IF(A29="","","Q"&amp;ROUNDUP(MONTH(A29)/3,0))</f>
        <v/>
      </c>
      <c r="E29" s="22" t="n"/>
      <c r="F29" s="22" t="n"/>
      <c r="G29" s="40">
        <f>IFERROR(VLOOKUP(F29,M2_거래처마스터!A:E,3,FALSE),"")</f>
        <v/>
      </c>
      <c r="H29" s="22" t="n"/>
      <c r="I29" s="23" t="n"/>
      <c r="J29" s="24" t="n"/>
      <c r="K29" s="39">
        <f>IF(AND(I29&lt;&gt;"",J29&lt;&gt;""),I29*J29,"")</f>
        <v/>
      </c>
      <c r="L29" s="22" t="n"/>
      <c r="M29" s="22" t="n"/>
      <c r="N29" s="24" t="n"/>
      <c r="O29" s="24" t="n"/>
    </row>
    <row r="30">
      <c r="A30" s="34" t="n"/>
      <c r="B30" s="35">
        <f>IF(A30="","",YEAR(A30))</f>
        <v/>
      </c>
      <c r="C30" s="36">
        <f>IF(A30="","",MONTH(A30))</f>
        <v/>
      </c>
      <c r="D30" s="37">
        <f>IF(A30="","","Q"&amp;ROUNDUP(MONTH(A30)/3,0))</f>
        <v/>
      </c>
      <c r="E30" s="18" t="n"/>
      <c r="F30" s="18" t="n"/>
      <c r="G30" s="40">
        <f>IFERROR(VLOOKUP(F30,M2_거래처마스터!A:E,3,FALSE),"")</f>
        <v/>
      </c>
      <c r="H30" s="18" t="n"/>
      <c r="I30" s="19" t="n"/>
      <c r="J30" s="20" t="n"/>
      <c r="K30" s="39">
        <f>IF(AND(I30&lt;&gt;"",J30&lt;&gt;""),I30*J30,"")</f>
        <v/>
      </c>
      <c r="L30" s="18" t="n"/>
      <c r="M30" s="18" t="n"/>
      <c r="N30" s="20" t="n"/>
      <c r="O30" s="20" t="n"/>
    </row>
    <row r="31">
      <c r="A31" s="41" t="n"/>
      <c r="B31" s="35">
        <f>IF(A31="","",YEAR(A31))</f>
        <v/>
      </c>
      <c r="C31" s="36">
        <f>IF(A31="","",MONTH(A31))</f>
        <v/>
      </c>
      <c r="D31" s="37">
        <f>IF(A31="","","Q"&amp;ROUNDUP(MONTH(A31)/3,0))</f>
        <v/>
      </c>
      <c r="E31" s="22" t="n"/>
      <c r="F31" s="22" t="n"/>
      <c r="G31" s="40">
        <f>IFERROR(VLOOKUP(F31,M2_거래처마스터!A:E,3,FALSE),"")</f>
        <v/>
      </c>
      <c r="H31" s="22" t="n"/>
      <c r="I31" s="23" t="n"/>
      <c r="J31" s="24" t="n"/>
      <c r="K31" s="39">
        <f>IF(AND(I31&lt;&gt;"",J31&lt;&gt;""),I31*J31,"")</f>
        <v/>
      </c>
      <c r="L31" s="22" t="n"/>
      <c r="M31" s="22" t="n"/>
      <c r="N31" s="24" t="n"/>
      <c r="O31" s="24" t="n"/>
    </row>
    <row r="32">
      <c r="A32" s="34" t="n"/>
      <c r="B32" s="35">
        <f>IF(A32="","",YEAR(A32))</f>
        <v/>
      </c>
      <c r="C32" s="36">
        <f>IF(A32="","",MONTH(A32))</f>
        <v/>
      </c>
      <c r="D32" s="37">
        <f>IF(A32="","","Q"&amp;ROUNDUP(MONTH(A32)/3,0))</f>
        <v/>
      </c>
      <c r="E32" s="18" t="n"/>
      <c r="F32" s="18" t="n"/>
      <c r="G32" s="40">
        <f>IFERROR(VLOOKUP(F32,M2_거래처마스터!A:E,3,FALSE),"")</f>
        <v/>
      </c>
      <c r="H32" s="18" t="n"/>
      <c r="I32" s="19" t="n"/>
      <c r="J32" s="20" t="n"/>
      <c r="K32" s="39">
        <f>IF(AND(I32&lt;&gt;"",J32&lt;&gt;""),I32*J32,"")</f>
        <v/>
      </c>
      <c r="L32" s="18" t="n"/>
      <c r="M32" s="18" t="n"/>
      <c r="N32" s="20" t="n"/>
      <c r="O32" s="20" t="n"/>
    </row>
    <row r="33">
      <c r="A33" s="41" t="n"/>
      <c r="B33" s="35">
        <f>IF(A33="","",YEAR(A33))</f>
        <v/>
      </c>
      <c r="C33" s="36">
        <f>IF(A33="","",MONTH(A33))</f>
        <v/>
      </c>
      <c r="D33" s="37">
        <f>IF(A33="","","Q"&amp;ROUNDUP(MONTH(A33)/3,0))</f>
        <v/>
      </c>
      <c r="E33" s="22" t="n"/>
      <c r="F33" s="22" t="n"/>
      <c r="G33" s="40">
        <f>IFERROR(VLOOKUP(F33,M2_거래처마스터!A:E,3,FALSE),"")</f>
        <v/>
      </c>
      <c r="H33" s="22" t="n"/>
      <c r="I33" s="23" t="n"/>
      <c r="J33" s="24" t="n"/>
      <c r="K33" s="39">
        <f>IF(AND(I33&lt;&gt;"",J33&lt;&gt;""),I33*J33,"")</f>
        <v/>
      </c>
      <c r="L33" s="22" t="n"/>
      <c r="M33" s="22" t="n"/>
      <c r="N33" s="24" t="n"/>
      <c r="O33" s="24" t="n"/>
    </row>
    <row r="34">
      <c r="A34" s="34" t="n"/>
      <c r="B34" s="35">
        <f>IF(A34="","",YEAR(A34))</f>
        <v/>
      </c>
      <c r="C34" s="36">
        <f>IF(A34="","",MONTH(A34))</f>
        <v/>
      </c>
      <c r="D34" s="37">
        <f>IF(A34="","","Q"&amp;ROUNDUP(MONTH(A34)/3,0))</f>
        <v/>
      </c>
      <c r="E34" s="18" t="n"/>
      <c r="F34" s="18" t="n"/>
      <c r="G34" s="40">
        <f>IFERROR(VLOOKUP(F34,M2_거래처마스터!A:E,3,FALSE),"")</f>
        <v/>
      </c>
      <c r="H34" s="18" t="n"/>
      <c r="I34" s="19" t="n"/>
      <c r="J34" s="20" t="n"/>
      <c r="K34" s="39">
        <f>IF(AND(I34&lt;&gt;"",J34&lt;&gt;""),I34*J34,"")</f>
        <v/>
      </c>
      <c r="L34" s="18" t="n"/>
      <c r="M34" s="18" t="n"/>
      <c r="N34" s="20" t="n"/>
      <c r="O34" s="20" t="n"/>
    </row>
    <row r="35">
      <c r="A35" s="41" t="n"/>
      <c r="B35" s="35">
        <f>IF(A35="","",YEAR(A35))</f>
        <v/>
      </c>
      <c r="C35" s="36">
        <f>IF(A35="","",MONTH(A35))</f>
        <v/>
      </c>
      <c r="D35" s="37">
        <f>IF(A35="","","Q"&amp;ROUNDUP(MONTH(A35)/3,0))</f>
        <v/>
      </c>
      <c r="E35" s="22" t="n"/>
      <c r="F35" s="22" t="n"/>
      <c r="G35" s="40">
        <f>IFERROR(VLOOKUP(F35,M2_거래처마스터!A:E,3,FALSE),"")</f>
        <v/>
      </c>
      <c r="H35" s="22" t="n"/>
      <c r="I35" s="23" t="n"/>
      <c r="J35" s="24" t="n"/>
      <c r="K35" s="39">
        <f>IF(AND(I35&lt;&gt;"",J35&lt;&gt;""),I35*J35,"")</f>
        <v/>
      </c>
      <c r="L35" s="22" t="n"/>
      <c r="M35" s="22" t="n"/>
      <c r="N35" s="24" t="n"/>
      <c r="O35" s="24" t="n"/>
    </row>
    <row r="36">
      <c r="A36" s="34" t="n"/>
      <c r="B36" s="35">
        <f>IF(A36="","",YEAR(A36))</f>
        <v/>
      </c>
      <c r="C36" s="36">
        <f>IF(A36="","",MONTH(A36))</f>
        <v/>
      </c>
      <c r="D36" s="37">
        <f>IF(A36="","","Q"&amp;ROUNDUP(MONTH(A36)/3,0))</f>
        <v/>
      </c>
      <c r="E36" s="18" t="n"/>
      <c r="F36" s="18" t="n"/>
      <c r="G36" s="40">
        <f>IFERROR(VLOOKUP(F36,M2_거래처마스터!A:E,3,FALSE),"")</f>
        <v/>
      </c>
      <c r="H36" s="18" t="n"/>
      <c r="I36" s="19" t="n"/>
      <c r="J36" s="20" t="n"/>
      <c r="K36" s="39">
        <f>IF(AND(I36&lt;&gt;"",J36&lt;&gt;""),I36*J36,"")</f>
        <v/>
      </c>
      <c r="L36" s="18" t="n"/>
      <c r="M36" s="18" t="n"/>
      <c r="N36" s="20" t="n"/>
      <c r="O36" s="20" t="n"/>
    </row>
    <row r="37">
      <c r="A37" s="41" t="n"/>
      <c r="B37" s="35">
        <f>IF(A37="","",YEAR(A37))</f>
        <v/>
      </c>
      <c r="C37" s="36">
        <f>IF(A37="","",MONTH(A37))</f>
        <v/>
      </c>
      <c r="D37" s="37">
        <f>IF(A37="","","Q"&amp;ROUNDUP(MONTH(A37)/3,0))</f>
        <v/>
      </c>
      <c r="E37" s="22" t="n"/>
      <c r="F37" s="22" t="n"/>
      <c r="G37" s="40">
        <f>IFERROR(VLOOKUP(F37,M2_거래처마스터!A:E,3,FALSE),"")</f>
        <v/>
      </c>
      <c r="H37" s="22" t="n"/>
      <c r="I37" s="23" t="n"/>
      <c r="J37" s="24" t="n"/>
      <c r="K37" s="39">
        <f>IF(AND(I37&lt;&gt;"",J37&lt;&gt;""),I37*J37,"")</f>
        <v/>
      </c>
      <c r="L37" s="22" t="n"/>
      <c r="M37" s="22" t="n"/>
      <c r="N37" s="24" t="n"/>
      <c r="O37" s="24" t="n"/>
    </row>
    <row r="38">
      <c r="A38" s="34" t="n"/>
      <c r="B38" s="35">
        <f>IF(A38="","",YEAR(A38))</f>
        <v/>
      </c>
      <c r="C38" s="36">
        <f>IF(A38="","",MONTH(A38))</f>
        <v/>
      </c>
      <c r="D38" s="37">
        <f>IF(A38="","","Q"&amp;ROUNDUP(MONTH(A38)/3,0))</f>
        <v/>
      </c>
      <c r="E38" s="18" t="n"/>
      <c r="F38" s="18" t="n"/>
      <c r="G38" s="40">
        <f>IFERROR(VLOOKUP(F38,M2_거래처마스터!A:E,3,FALSE),"")</f>
        <v/>
      </c>
      <c r="H38" s="18" t="n"/>
      <c r="I38" s="19" t="n"/>
      <c r="J38" s="20" t="n"/>
      <c r="K38" s="39">
        <f>IF(AND(I38&lt;&gt;"",J38&lt;&gt;""),I38*J38,"")</f>
        <v/>
      </c>
      <c r="L38" s="18" t="n"/>
      <c r="M38" s="18" t="n"/>
      <c r="N38" s="20" t="n"/>
      <c r="O38" s="20" t="n"/>
    </row>
    <row r="39">
      <c r="A39" s="41" t="n"/>
      <c r="B39" s="35">
        <f>IF(A39="","",YEAR(A39))</f>
        <v/>
      </c>
      <c r="C39" s="36">
        <f>IF(A39="","",MONTH(A39))</f>
        <v/>
      </c>
      <c r="D39" s="37">
        <f>IF(A39="","","Q"&amp;ROUNDUP(MONTH(A39)/3,0))</f>
        <v/>
      </c>
      <c r="E39" s="22" t="n"/>
      <c r="F39" s="22" t="n"/>
      <c r="G39" s="40">
        <f>IFERROR(VLOOKUP(F39,M2_거래처마스터!A:E,3,FALSE),"")</f>
        <v/>
      </c>
      <c r="H39" s="22" t="n"/>
      <c r="I39" s="23" t="n"/>
      <c r="J39" s="24" t="n"/>
      <c r="K39" s="39">
        <f>IF(AND(I39&lt;&gt;"",J39&lt;&gt;""),I39*J39,"")</f>
        <v/>
      </c>
      <c r="L39" s="22" t="n"/>
      <c r="M39" s="22" t="n"/>
      <c r="N39" s="24" t="n"/>
      <c r="O39" s="24" t="n"/>
    </row>
    <row r="40">
      <c r="A40" s="34" t="n"/>
      <c r="B40" s="35">
        <f>IF(A40="","",YEAR(A40))</f>
        <v/>
      </c>
      <c r="C40" s="36">
        <f>IF(A40="","",MONTH(A40))</f>
        <v/>
      </c>
      <c r="D40" s="37">
        <f>IF(A40="","","Q"&amp;ROUNDUP(MONTH(A40)/3,0))</f>
        <v/>
      </c>
      <c r="E40" s="18" t="n"/>
      <c r="F40" s="18" t="n"/>
      <c r="G40" s="40">
        <f>IFERROR(VLOOKUP(F40,M2_거래처마스터!A:E,3,FALSE),"")</f>
        <v/>
      </c>
      <c r="H40" s="18" t="n"/>
      <c r="I40" s="19" t="n"/>
      <c r="J40" s="20" t="n"/>
      <c r="K40" s="39">
        <f>IF(AND(I40&lt;&gt;"",J40&lt;&gt;""),I40*J40,"")</f>
        <v/>
      </c>
      <c r="L40" s="18" t="n"/>
      <c r="M40" s="18" t="n"/>
      <c r="N40" s="20" t="n"/>
      <c r="O40" s="20" t="n"/>
    </row>
    <row r="41">
      <c r="A41" s="41" t="n"/>
      <c r="B41" s="35">
        <f>IF(A41="","",YEAR(A41))</f>
        <v/>
      </c>
      <c r="C41" s="36">
        <f>IF(A41="","",MONTH(A41))</f>
        <v/>
      </c>
      <c r="D41" s="37">
        <f>IF(A41="","","Q"&amp;ROUNDUP(MONTH(A41)/3,0))</f>
        <v/>
      </c>
      <c r="E41" s="22" t="n"/>
      <c r="F41" s="22" t="n"/>
      <c r="G41" s="40">
        <f>IFERROR(VLOOKUP(F41,M2_거래처마스터!A:E,3,FALSE),"")</f>
        <v/>
      </c>
      <c r="H41" s="22" t="n"/>
      <c r="I41" s="23" t="n"/>
      <c r="J41" s="24" t="n"/>
      <c r="K41" s="39">
        <f>IF(AND(I41&lt;&gt;"",J41&lt;&gt;""),I41*J41,"")</f>
        <v/>
      </c>
      <c r="L41" s="22" t="n"/>
      <c r="M41" s="22" t="n"/>
      <c r="N41" s="24" t="n"/>
      <c r="O41" s="24" t="n"/>
    </row>
    <row r="42">
      <c r="A42" s="34" t="n"/>
      <c r="B42" s="35">
        <f>IF(A42="","",YEAR(A42))</f>
        <v/>
      </c>
      <c r="C42" s="36">
        <f>IF(A42="","",MONTH(A42))</f>
        <v/>
      </c>
      <c r="D42" s="37">
        <f>IF(A42="","","Q"&amp;ROUNDUP(MONTH(A42)/3,0))</f>
        <v/>
      </c>
      <c r="E42" s="18" t="n"/>
      <c r="F42" s="18" t="n"/>
      <c r="G42" s="40">
        <f>IFERROR(VLOOKUP(F42,M2_거래처마스터!A:E,3,FALSE),"")</f>
        <v/>
      </c>
      <c r="H42" s="18" t="n"/>
      <c r="I42" s="19" t="n"/>
      <c r="J42" s="20" t="n"/>
      <c r="K42" s="39">
        <f>IF(AND(I42&lt;&gt;"",J42&lt;&gt;""),I42*J42,"")</f>
        <v/>
      </c>
      <c r="L42" s="18" t="n"/>
      <c r="M42" s="18" t="n"/>
      <c r="N42" s="20" t="n"/>
      <c r="O42" s="20" t="n"/>
    </row>
    <row r="43">
      <c r="A43" s="41" t="n"/>
      <c r="B43" s="35">
        <f>IF(A43="","",YEAR(A43))</f>
        <v/>
      </c>
      <c r="C43" s="36">
        <f>IF(A43="","",MONTH(A43))</f>
        <v/>
      </c>
      <c r="D43" s="37">
        <f>IF(A43="","","Q"&amp;ROUNDUP(MONTH(A43)/3,0))</f>
        <v/>
      </c>
      <c r="E43" s="22" t="n"/>
      <c r="F43" s="22" t="n"/>
      <c r="G43" s="40">
        <f>IFERROR(VLOOKUP(F43,M2_거래처마스터!A:E,3,FALSE),"")</f>
        <v/>
      </c>
      <c r="H43" s="22" t="n"/>
      <c r="I43" s="23" t="n"/>
      <c r="J43" s="24" t="n"/>
      <c r="K43" s="39">
        <f>IF(AND(I43&lt;&gt;"",J43&lt;&gt;""),I43*J43,"")</f>
        <v/>
      </c>
      <c r="L43" s="22" t="n"/>
      <c r="M43" s="22" t="n"/>
      <c r="N43" s="24" t="n"/>
      <c r="O43" s="24" t="n"/>
    </row>
    <row r="44">
      <c r="A44" s="34" t="n"/>
      <c r="B44" s="35">
        <f>IF(A44="","",YEAR(A44))</f>
        <v/>
      </c>
      <c r="C44" s="36">
        <f>IF(A44="","",MONTH(A44))</f>
        <v/>
      </c>
      <c r="D44" s="37">
        <f>IF(A44="","","Q"&amp;ROUNDUP(MONTH(A44)/3,0))</f>
        <v/>
      </c>
      <c r="E44" s="18" t="n"/>
      <c r="F44" s="18" t="n"/>
      <c r="G44" s="40">
        <f>IFERROR(VLOOKUP(F44,M2_거래처마스터!A:E,3,FALSE),"")</f>
        <v/>
      </c>
      <c r="H44" s="18" t="n"/>
      <c r="I44" s="19" t="n"/>
      <c r="J44" s="20" t="n"/>
      <c r="K44" s="39">
        <f>IF(AND(I44&lt;&gt;"",J44&lt;&gt;""),I44*J44,"")</f>
        <v/>
      </c>
      <c r="L44" s="18" t="n"/>
      <c r="M44" s="18" t="n"/>
      <c r="N44" s="20" t="n"/>
      <c r="O44" s="20" t="n"/>
    </row>
    <row r="45">
      <c r="A45" s="41" t="n"/>
      <c r="B45" s="35">
        <f>IF(A45="","",YEAR(A45))</f>
        <v/>
      </c>
      <c r="C45" s="36">
        <f>IF(A45="","",MONTH(A45))</f>
        <v/>
      </c>
      <c r="D45" s="37">
        <f>IF(A45="","","Q"&amp;ROUNDUP(MONTH(A45)/3,0))</f>
        <v/>
      </c>
      <c r="E45" s="22" t="n"/>
      <c r="F45" s="22" t="n"/>
      <c r="G45" s="40">
        <f>IFERROR(VLOOKUP(F45,M2_거래처마스터!A:E,3,FALSE),"")</f>
        <v/>
      </c>
      <c r="H45" s="22" t="n"/>
      <c r="I45" s="23" t="n"/>
      <c r="J45" s="24" t="n"/>
      <c r="K45" s="39">
        <f>IF(AND(I45&lt;&gt;"",J45&lt;&gt;""),I45*J45,"")</f>
        <v/>
      </c>
      <c r="L45" s="22" t="n"/>
      <c r="M45" s="22" t="n"/>
      <c r="N45" s="24" t="n"/>
      <c r="O45" s="24" t="n"/>
    </row>
    <row r="46">
      <c r="A46" s="34" t="n"/>
      <c r="B46" s="35">
        <f>IF(A46="","",YEAR(A46))</f>
        <v/>
      </c>
      <c r="C46" s="36">
        <f>IF(A46="","",MONTH(A46))</f>
        <v/>
      </c>
      <c r="D46" s="37">
        <f>IF(A46="","","Q"&amp;ROUNDUP(MONTH(A46)/3,0))</f>
        <v/>
      </c>
      <c r="E46" s="18" t="n"/>
      <c r="F46" s="18" t="n"/>
      <c r="G46" s="40">
        <f>IFERROR(VLOOKUP(F46,M2_거래처마스터!A:E,3,FALSE),"")</f>
        <v/>
      </c>
      <c r="H46" s="18" t="n"/>
      <c r="I46" s="19" t="n"/>
      <c r="J46" s="20" t="n"/>
      <c r="K46" s="39">
        <f>IF(AND(I46&lt;&gt;"",J46&lt;&gt;""),I46*J46,"")</f>
        <v/>
      </c>
      <c r="L46" s="18" t="n"/>
      <c r="M46" s="18" t="n"/>
      <c r="N46" s="20" t="n"/>
      <c r="O46" s="20" t="n"/>
    </row>
    <row r="47">
      <c r="A47" s="41" t="n"/>
      <c r="B47" s="35">
        <f>IF(A47="","",YEAR(A47))</f>
        <v/>
      </c>
      <c r="C47" s="36">
        <f>IF(A47="","",MONTH(A47))</f>
        <v/>
      </c>
      <c r="D47" s="37">
        <f>IF(A47="","","Q"&amp;ROUNDUP(MONTH(A47)/3,0))</f>
        <v/>
      </c>
      <c r="E47" s="22" t="n"/>
      <c r="F47" s="22" t="n"/>
      <c r="G47" s="40">
        <f>IFERROR(VLOOKUP(F47,M2_거래처마스터!A:E,3,FALSE),"")</f>
        <v/>
      </c>
      <c r="H47" s="22" t="n"/>
      <c r="I47" s="23" t="n"/>
      <c r="J47" s="24" t="n"/>
      <c r="K47" s="39">
        <f>IF(AND(I47&lt;&gt;"",J47&lt;&gt;""),I47*J47,"")</f>
        <v/>
      </c>
      <c r="L47" s="22" t="n"/>
      <c r="M47" s="22" t="n"/>
      <c r="N47" s="24" t="n"/>
      <c r="O47" s="24" t="n"/>
    </row>
    <row r="48">
      <c r="A48" s="34" t="n"/>
      <c r="B48" s="35">
        <f>IF(A48="","",YEAR(A48))</f>
        <v/>
      </c>
      <c r="C48" s="36">
        <f>IF(A48="","",MONTH(A48))</f>
        <v/>
      </c>
      <c r="D48" s="37">
        <f>IF(A48="","","Q"&amp;ROUNDUP(MONTH(A48)/3,0))</f>
        <v/>
      </c>
      <c r="E48" s="18" t="n"/>
      <c r="F48" s="18" t="n"/>
      <c r="G48" s="40">
        <f>IFERROR(VLOOKUP(F48,M2_거래처마스터!A:E,3,FALSE),"")</f>
        <v/>
      </c>
      <c r="H48" s="18" t="n"/>
      <c r="I48" s="19" t="n"/>
      <c r="J48" s="20" t="n"/>
      <c r="K48" s="39">
        <f>IF(AND(I48&lt;&gt;"",J48&lt;&gt;""),I48*J48,"")</f>
        <v/>
      </c>
      <c r="L48" s="18" t="n"/>
      <c r="M48" s="18" t="n"/>
      <c r="N48" s="20" t="n"/>
      <c r="O48" s="20" t="n"/>
    </row>
    <row r="49">
      <c r="A49" s="41" t="n"/>
      <c r="B49" s="35">
        <f>IF(A49="","",YEAR(A49))</f>
        <v/>
      </c>
      <c r="C49" s="36">
        <f>IF(A49="","",MONTH(A49))</f>
        <v/>
      </c>
      <c r="D49" s="37">
        <f>IF(A49="","","Q"&amp;ROUNDUP(MONTH(A49)/3,0))</f>
        <v/>
      </c>
      <c r="E49" s="22" t="n"/>
      <c r="F49" s="22" t="n"/>
      <c r="G49" s="40">
        <f>IFERROR(VLOOKUP(F49,M2_거래처마스터!A:E,3,FALSE),"")</f>
        <v/>
      </c>
      <c r="H49" s="22" t="n"/>
      <c r="I49" s="23" t="n"/>
      <c r="J49" s="24" t="n"/>
      <c r="K49" s="39">
        <f>IF(AND(I49&lt;&gt;"",J49&lt;&gt;""),I49*J49,"")</f>
        <v/>
      </c>
      <c r="L49" s="22" t="n"/>
      <c r="M49" s="22" t="n"/>
      <c r="N49" s="24" t="n"/>
      <c r="O49" s="24" t="n"/>
    </row>
    <row r="50">
      <c r="A50" s="34" t="n"/>
      <c r="B50" s="35">
        <f>IF(A50="","",YEAR(A50))</f>
        <v/>
      </c>
      <c r="C50" s="36">
        <f>IF(A50="","",MONTH(A50))</f>
        <v/>
      </c>
      <c r="D50" s="37">
        <f>IF(A50="","","Q"&amp;ROUNDUP(MONTH(A50)/3,0))</f>
        <v/>
      </c>
      <c r="E50" s="18" t="n"/>
      <c r="F50" s="18" t="n"/>
      <c r="G50" s="40">
        <f>IFERROR(VLOOKUP(F50,M2_거래처마스터!A:E,3,FALSE),"")</f>
        <v/>
      </c>
      <c r="H50" s="18" t="n"/>
      <c r="I50" s="19" t="n"/>
      <c r="J50" s="20" t="n"/>
      <c r="K50" s="39">
        <f>IF(AND(I50&lt;&gt;"",J50&lt;&gt;""),I50*J50,"")</f>
        <v/>
      </c>
      <c r="L50" s="18" t="n"/>
      <c r="M50" s="18" t="n"/>
      <c r="N50" s="20" t="n"/>
      <c r="O50" s="20" t="n"/>
    </row>
    <row r="51">
      <c r="A51" s="41" t="n"/>
      <c r="B51" s="35">
        <f>IF(A51="","",YEAR(A51))</f>
        <v/>
      </c>
      <c r="C51" s="36">
        <f>IF(A51="","",MONTH(A51))</f>
        <v/>
      </c>
      <c r="D51" s="37">
        <f>IF(A51="","","Q"&amp;ROUNDUP(MONTH(A51)/3,0))</f>
        <v/>
      </c>
      <c r="E51" s="22" t="n"/>
      <c r="F51" s="22" t="n"/>
      <c r="G51" s="40">
        <f>IFERROR(VLOOKUP(F51,M2_거래처마스터!A:E,3,FALSE),"")</f>
        <v/>
      </c>
      <c r="H51" s="22" t="n"/>
      <c r="I51" s="23" t="n"/>
      <c r="J51" s="24" t="n"/>
      <c r="K51" s="39">
        <f>IF(AND(I51&lt;&gt;"",J51&lt;&gt;""),I51*J51,"")</f>
        <v/>
      </c>
      <c r="L51" s="22" t="n"/>
      <c r="M51" s="22" t="n"/>
      <c r="N51" s="24" t="n"/>
      <c r="O51" s="24" t="n"/>
    </row>
    <row r="52">
      <c r="A52" s="34" t="n"/>
      <c r="B52" s="35">
        <f>IF(A52="","",YEAR(A52))</f>
        <v/>
      </c>
      <c r="C52" s="36">
        <f>IF(A52="","",MONTH(A52))</f>
        <v/>
      </c>
      <c r="D52" s="37">
        <f>IF(A52="","","Q"&amp;ROUNDUP(MONTH(A52)/3,0))</f>
        <v/>
      </c>
      <c r="E52" s="18" t="n"/>
      <c r="F52" s="18" t="n"/>
      <c r="G52" s="40">
        <f>IFERROR(VLOOKUP(F52,M2_거래처마스터!A:E,3,FALSE),"")</f>
        <v/>
      </c>
      <c r="H52" s="18" t="n"/>
      <c r="I52" s="19" t="n"/>
      <c r="J52" s="20" t="n"/>
      <c r="K52" s="39">
        <f>IF(AND(I52&lt;&gt;"",J52&lt;&gt;""),I52*J52,"")</f>
        <v/>
      </c>
      <c r="L52" s="18" t="n"/>
      <c r="M52" s="18" t="n"/>
      <c r="N52" s="20" t="n"/>
      <c r="O52" s="20" t="n"/>
    </row>
    <row r="53">
      <c r="A53" s="41" t="n"/>
      <c r="B53" s="35">
        <f>IF(A53="","",YEAR(A53))</f>
        <v/>
      </c>
      <c r="C53" s="36">
        <f>IF(A53="","",MONTH(A53))</f>
        <v/>
      </c>
      <c r="D53" s="37">
        <f>IF(A53="","","Q"&amp;ROUNDUP(MONTH(A53)/3,0))</f>
        <v/>
      </c>
      <c r="E53" s="22" t="n"/>
      <c r="F53" s="22" t="n"/>
      <c r="G53" s="40">
        <f>IFERROR(VLOOKUP(F53,M2_거래처마스터!A:E,3,FALSE),"")</f>
        <v/>
      </c>
      <c r="H53" s="22" t="n"/>
      <c r="I53" s="23" t="n"/>
      <c r="J53" s="24" t="n"/>
      <c r="K53" s="39">
        <f>IF(AND(I53&lt;&gt;"",J53&lt;&gt;""),I53*J53,"")</f>
        <v/>
      </c>
      <c r="L53" s="22" t="n"/>
      <c r="M53" s="22" t="n"/>
      <c r="N53" s="24" t="n"/>
      <c r="O53" s="24" t="n"/>
    </row>
    <row r="54">
      <c r="A54" s="34" t="n"/>
      <c r="B54" s="35">
        <f>IF(A54="","",YEAR(A54))</f>
        <v/>
      </c>
      <c r="C54" s="36">
        <f>IF(A54="","",MONTH(A54))</f>
        <v/>
      </c>
      <c r="D54" s="37">
        <f>IF(A54="","","Q"&amp;ROUNDUP(MONTH(A54)/3,0))</f>
        <v/>
      </c>
      <c r="E54" s="18" t="n"/>
      <c r="F54" s="18" t="n"/>
      <c r="G54" s="40">
        <f>IFERROR(VLOOKUP(F54,M2_거래처마스터!A:E,3,FALSE),"")</f>
        <v/>
      </c>
      <c r="H54" s="18" t="n"/>
      <c r="I54" s="19" t="n"/>
      <c r="J54" s="20" t="n"/>
      <c r="K54" s="39">
        <f>IF(AND(I54&lt;&gt;"",J54&lt;&gt;""),I54*J54,"")</f>
        <v/>
      </c>
      <c r="L54" s="18" t="n"/>
      <c r="M54" s="18" t="n"/>
      <c r="N54" s="20" t="n"/>
      <c r="O54" s="20" t="n"/>
    </row>
    <row r="55">
      <c r="A55" s="41" t="n"/>
      <c r="B55" s="35">
        <f>IF(A55="","",YEAR(A55))</f>
        <v/>
      </c>
      <c r="C55" s="36">
        <f>IF(A55="","",MONTH(A55))</f>
        <v/>
      </c>
      <c r="D55" s="37">
        <f>IF(A55="","","Q"&amp;ROUNDUP(MONTH(A55)/3,0))</f>
        <v/>
      </c>
      <c r="E55" s="22" t="n"/>
      <c r="F55" s="22" t="n"/>
      <c r="G55" s="40">
        <f>IFERROR(VLOOKUP(F55,M2_거래처마스터!A:E,3,FALSE),"")</f>
        <v/>
      </c>
      <c r="H55" s="22" t="n"/>
      <c r="I55" s="23" t="n"/>
      <c r="J55" s="24" t="n"/>
      <c r="K55" s="39">
        <f>IF(AND(I55&lt;&gt;"",J55&lt;&gt;""),I55*J55,"")</f>
        <v/>
      </c>
      <c r="L55" s="22" t="n"/>
      <c r="M55" s="22" t="n"/>
      <c r="N55" s="24" t="n"/>
      <c r="O55" s="24" t="n"/>
    </row>
    <row r="56">
      <c r="A56" s="34" t="n"/>
      <c r="B56" s="35">
        <f>IF(A56="","",YEAR(A56))</f>
        <v/>
      </c>
      <c r="C56" s="36">
        <f>IF(A56="","",MONTH(A56))</f>
        <v/>
      </c>
      <c r="D56" s="37">
        <f>IF(A56="","","Q"&amp;ROUNDUP(MONTH(A56)/3,0))</f>
        <v/>
      </c>
      <c r="E56" s="18" t="n"/>
      <c r="F56" s="18" t="n"/>
      <c r="G56" s="40">
        <f>IFERROR(VLOOKUP(F56,M2_거래처마스터!A:E,3,FALSE),"")</f>
        <v/>
      </c>
      <c r="H56" s="18" t="n"/>
      <c r="I56" s="19" t="n"/>
      <c r="J56" s="20" t="n"/>
      <c r="K56" s="39">
        <f>IF(AND(I56&lt;&gt;"",J56&lt;&gt;""),I56*J56,"")</f>
        <v/>
      </c>
      <c r="L56" s="18" t="n"/>
      <c r="M56" s="18" t="n"/>
      <c r="N56" s="20" t="n"/>
      <c r="O56" s="20" t="n"/>
    </row>
    <row r="57">
      <c r="A57" s="41" t="n"/>
      <c r="B57" s="35">
        <f>IF(A57="","",YEAR(A57))</f>
        <v/>
      </c>
      <c r="C57" s="36">
        <f>IF(A57="","",MONTH(A57))</f>
        <v/>
      </c>
      <c r="D57" s="37">
        <f>IF(A57="","","Q"&amp;ROUNDUP(MONTH(A57)/3,0))</f>
        <v/>
      </c>
      <c r="E57" s="22" t="n"/>
      <c r="F57" s="22" t="n"/>
      <c r="G57" s="40">
        <f>IFERROR(VLOOKUP(F57,M2_거래처마스터!A:E,3,FALSE),"")</f>
        <v/>
      </c>
      <c r="H57" s="22" t="n"/>
      <c r="I57" s="23" t="n"/>
      <c r="J57" s="24" t="n"/>
      <c r="K57" s="39">
        <f>IF(AND(I57&lt;&gt;"",J57&lt;&gt;""),I57*J57,"")</f>
        <v/>
      </c>
      <c r="L57" s="22" t="n"/>
      <c r="M57" s="22" t="n"/>
      <c r="N57" s="24" t="n"/>
      <c r="O57" s="24" t="n"/>
    </row>
    <row r="58">
      <c r="A58" s="34" t="n"/>
      <c r="B58" s="35">
        <f>IF(A58="","",YEAR(A58))</f>
        <v/>
      </c>
      <c r="C58" s="36">
        <f>IF(A58="","",MONTH(A58))</f>
        <v/>
      </c>
      <c r="D58" s="37">
        <f>IF(A58="","","Q"&amp;ROUNDUP(MONTH(A58)/3,0))</f>
        <v/>
      </c>
      <c r="E58" s="18" t="n"/>
      <c r="F58" s="18" t="n"/>
      <c r="G58" s="40">
        <f>IFERROR(VLOOKUP(F58,M2_거래처마스터!A:E,3,FALSE),"")</f>
        <v/>
      </c>
      <c r="H58" s="18" t="n"/>
      <c r="I58" s="19" t="n"/>
      <c r="J58" s="20" t="n"/>
      <c r="K58" s="39">
        <f>IF(AND(I58&lt;&gt;"",J58&lt;&gt;""),I58*J58,"")</f>
        <v/>
      </c>
      <c r="L58" s="18" t="n"/>
      <c r="M58" s="18" t="n"/>
      <c r="N58" s="20" t="n"/>
      <c r="O58" s="20" t="n"/>
    </row>
    <row r="59">
      <c r="A59" s="41" t="n"/>
      <c r="B59" s="35">
        <f>IF(A59="","",YEAR(A59))</f>
        <v/>
      </c>
      <c r="C59" s="36">
        <f>IF(A59="","",MONTH(A59))</f>
        <v/>
      </c>
      <c r="D59" s="37">
        <f>IF(A59="","","Q"&amp;ROUNDUP(MONTH(A59)/3,0))</f>
        <v/>
      </c>
      <c r="E59" s="22" t="n"/>
      <c r="F59" s="22" t="n"/>
      <c r="G59" s="40">
        <f>IFERROR(VLOOKUP(F59,M2_거래처마스터!A:E,3,FALSE),"")</f>
        <v/>
      </c>
      <c r="H59" s="22" t="n"/>
      <c r="I59" s="23" t="n"/>
      <c r="J59" s="24" t="n"/>
      <c r="K59" s="39">
        <f>IF(AND(I59&lt;&gt;"",J59&lt;&gt;""),I59*J59,"")</f>
        <v/>
      </c>
      <c r="L59" s="22" t="n"/>
      <c r="M59" s="22" t="n"/>
      <c r="N59" s="24" t="n"/>
      <c r="O59" s="24" t="n"/>
    </row>
    <row r="60">
      <c r="A60" s="34" t="n"/>
      <c r="B60" s="35">
        <f>IF(A60="","",YEAR(A60))</f>
        <v/>
      </c>
      <c r="C60" s="36">
        <f>IF(A60="","",MONTH(A60))</f>
        <v/>
      </c>
      <c r="D60" s="37">
        <f>IF(A60="","","Q"&amp;ROUNDUP(MONTH(A60)/3,0))</f>
        <v/>
      </c>
      <c r="E60" s="18" t="n"/>
      <c r="F60" s="18" t="n"/>
      <c r="G60" s="40">
        <f>IFERROR(VLOOKUP(F60,M2_거래처마스터!A:E,3,FALSE),"")</f>
        <v/>
      </c>
      <c r="H60" s="18" t="n"/>
      <c r="I60" s="19" t="n"/>
      <c r="J60" s="20" t="n"/>
      <c r="K60" s="39">
        <f>IF(AND(I60&lt;&gt;"",J60&lt;&gt;""),I60*J60,"")</f>
        <v/>
      </c>
      <c r="L60" s="18" t="n"/>
      <c r="M60" s="18" t="n"/>
      <c r="N60" s="20" t="n"/>
      <c r="O60" s="20" t="n"/>
    </row>
    <row r="61">
      <c r="A61" s="41" t="n"/>
      <c r="B61" s="35">
        <f>IF(A61="","",YEAR(A61))</f>
        <v/>
      </c>
      <c r="C61" s="36">
        <f>IF(A61="","",MONTH(A61))</f>
        <v/>
      </c>
      <c r="D61" s="37">
        <f>IF(A61="","","Q"&amp;ROUNDUP(MONTH(A61)/3,0))</f>
        <v/>
      </c>
      <c r="E61" s="22" t="n"/>
      <c r="F61" s="22" t="n"/>
      <c r="G61" s="40">
        <f>IFERROR(VLOOKUP(F61,M2_거래처마스터!A:E,3,FALSE),"")</f>
        <v/>
      </c>
      <c r="H61" s="22" t="n"/>
      <c r="I61" s="23" t="n"/>
      <c r="J61" s="24" t="n"/>
      <c r="K61" s="39">
        <f>IF(AND(I61&lt;&gt;"",J61&lt;&gt;""),I61*J61,"")</f>
        <v/>
      </c>
      <c r="L61" s="22" t="n"/>
      <c r="M61" s="22" t="n"/>
      <c r="N61" s="24" t="n"/>
      <c r="O61" s="24" t="n"/>
    </row>
    <row r="62">
      <c r="A62" s="34" t="n"/>
      <c r="B62" s="35">
        <f>IF(A62="","",YEAR(A62))</f>
        <v/>
      </c>
      <c r="C62" s="36">
        <f>IF(A62="","",MONTH(A62))</f>
        <v/>
      </c>
      <c r="D62" s="37">
        <f>IF(A62="","","Q"&amp;ROUNDUP(MONTH(A62)/3,0))</f>
        <v/>
      </c>
      <c r="E62" s="18" t="n"/>
      <c r="F62" s="18" t="n"/>
      <c r="G62" s="40">
        <f>IFERROR(VLOOKUP(F62,M2_거래처마스터!A:E,3,FALSE),"")</f>
        <v/>
      </c>
      <c r="H62" s="18" t="n"/>
      <c r="I62" s="19" t="n"/>
      <c r="J62" s="20" t="n"/>
      <c r="K62" s="39">
        <f>IF(AND(I62&lt;&gt;"",J62&lt;&gt;""),I62*J62,"")</f>
        <v/>
      </c>
      <c r="L62" s="18" t="n"/>
      <c r="M62" s="18" t="n"/>
      <c r="N62" s="20" t="n"/>
      <c r="O62" s="20" t="n"/>
    </row>
    <row r="63">
      <c r="A63" s="41" t="n"/>
      <c r="B63" s="35">
        <f>IF(A63="","",YEAR(A63))</f>
        <v/>
      </c>
      <c r="C63" s="36">
        <f>IF(A63="","",MONTH(A63))</f>
        <v/>
      </c>
      <c r="D63" s="37">
        <f>IF(A63="","","Q"&amp;ROUNDUP(MONTH(A63)/3,0))</f>
        <v/>
      </c>
      <c r="E63" s="22" t="n"/>
      <c r="F63" s="22" t="n"/>
      <c r="G63" s="40">
        <f>IFERROR(VLOOKUP(F63,M2_거래처마스터!A:E,3,FALSE),"")</f>
        <v/>
      </c>
      <c r="H63" s="22" t="n"/>
      <c r="I63" s="23" t="n"/>
      <c r="J63" s="24" t="n"/>
      <c r="K63" s="39">
        <f>IF(AND(I63&lt;&gt;"",J63&lt;&gt;""),I63*J63,"")</f>
        <v/>
      </c>
      <c r="L63" s="22" t="n"/>
      <c r="M63" s="22" t="n"/>
      <c r="N63" s="24" t="n"/>
      <c r="O63" s="24" t="n"/>
    </row>
    <row r="64">
      <c r="A64" s="34" t="n"/>
      <c r="B64" s="35">
        <f>IF(A64="","",YEAR(A64))</f>
        <v/>
      </c>
      <c r="C64" s="36">
        <f>IF(A64="","",MONTH(A64))</f>
        <v/>
      </c>
      <c r="D64" s="37">
        <f>IF(A64="","","Q"&amp;ROUNDUP(MONTH(A64)/3,0))</f>
        <v/>
      </c>
      <c r="E64" s="18" t="n"/>
      <c r="F64" s="18" t="n"/>
      <c r="G64" s="40">
        <f>IFERROR(VLOOKUP(F64,M2_거래처마스터!A:E,3,FALSE),"")</f>
        <v/>
      </c>
      <c r="H64" s="18" t="n"/>
      <c r="I64" s="19" t="n"/>
      <c r="J64" s="20" t="n"/>
      <c r="K64" s="39">
        <f>IF(AND(I64&lt;&gt;"",J64&lt;&gt;""),I64*J64,"")</f>
        <v/>
      </c>
      <c r="L64" s="18" t="n"/>
      <c r="M64" s="18" t="n"/>
      <c r="N64" s="20" t="n"/>
      <c r="O64" s="20" t="n"/>
    </row>
    <row r="65">
      <c r="A65" s="41" t="n"/>
      <c r="B65" s="35">
        <f>IF(A65="","",YEAR(A65))</f>
        <v/>
      </c>
      <c r="C65" s="36">
        <f>IF(A65="","",MONTH(A65))</f>
        <v/>
      </c>
      <c r="D65" s="37">
        <f>IF(A65="","","Q"&amp;ROUNDUP(MONTH(A65)/3,0))</f>
        <v/>
      </c>
      <c r="E65" s="22" t="n"/>
      <c r="F65" s="22" t="n"/>
      <c r="G65" s="40">
        <f>IFERROR(VLOOKUP(F65,M2_거래처마스터!A:E,3,FALSE),"")</f>
        <v/>
      </c>
      <c r="H65" s="22" t="n"/>
      <c r="I65" s="23" t="n"/>
      <c r="J65" s="24" t="n"/>
      <c r="K65" s="39">
        <f>IF(AND(I65&lt;&gt;"",J65&lt;&gt;""),I65*J65,"")</f>
        <v/>
      </c>
      <c r="L65" s="22" t="n"/>
      <c r="M65" s="22" t="n"/>
      <c r="N65" s="24" t="n"/>
      <c r="O65" s="24" t="n"/>
    </row>
    <row r="66">
      <c r="A66" s="34" t="n"/>
      <c r="B66" s="35">
        <f>IF(A66="","",YEAR(A66))</f>
        <v/>
      </c>
      <c r="C66" s="36">
        <f>IF(A66="","",MONTH(A66))</f>
        <v/>
      </c>
      <c r="D66" s="37">
        <f>IF(A66="","","Q"&amp;ROUNDUP(MONTH(A66)/3,0))</f>
        <v/>
      </c>
      <c r="E66" s="18" t="n"/>
      <c r="F66" s="18" t="n"/>
      <c r="G66" s="40">
        <f>IFERROR(VLOOKUP(F66,M2_거래처마스터!A:E,3,FALSE),"")</f>
        <v/>
      </c>
      <c r="H66" s="18" t="n"/>
      <c r="I66" s="19" t="n"/>
      <c r="J66" s="20" t="n"/>
      <c r="K66" s="39">
        <f>IF(AND(I66&lt;&gt;"",J66&lt;&gt;""),I66*J66,"")</f>
        <v/>
      </c>
      <c r="L66" s="18" t="n"/>
      <c r="M66" s="18" t="n"/>
      <c r="N66" s="20" t="n"/>
      <c r="O66" s="20" t="n"/>
    </row>
    <row r="67">
      <c r="A67" s="41" t="n"/>
      <c r="B67" s="35">
        <f>IF(A67="","",YEAR(A67))</f>
        <v/>
      </c>
      <c r="C67" s="36">
        <f>IF(A67="","",MONTH(A67))</f>
        <v/>
      </c>
      <c r="D67" s="37">
        <f>IF(A67="","","Q"&amp;ROUNDUP(MONTH(A67)/3,0))</f>
        <v/>
      </c>
      <c r="E67" s="22" t="n"/>
      <c r="F67" s="22" t="n"/>
      <c r="G67" s="40">
        <f>IFERROR(VLOOKUP(F67,M2_거래처마스터!A:E,3,FALSE),"")</f>
        <v/>
      </c>
      <c r="H67" s="22" t="n"/>
      <c r="I67" s="23" t="n"/>
      <c r="J67" s="24" t="n"/>
      <c r="K67" s="39">
        <f>IF(AND(I67&lt;&gt;"",J67&lt;&gt;""),I67*J67,"")</f>
        <v/>
      </c>
      <c r="L67" s="22" t="n"/>
      <c r="M67" s="22" t="n"/>
      <c r="N67" s="24" t="n"/>
      <c r="O67" s="24" t="n"/>
    </row>
    <row r="68">
      <c r="A68" s="34" t="n"/>
      <c r="B68" s="35">
        <f>IF(A68="","",YEAR(A68))</f>
        <v/>
      </c>
      <c r="C68" s="36">
        <f>IF(A68="","",MONTH(A68))</f>
        <v/>
      </c>
      <c r="D68" s="37">
        <f>IF(A68="","","Q"&amp;ROUNDUP(MONTH(A68)/3,0))</f>
        <v/>
      </c>
      <c r="E68" s="18" t="n"/>
      <c r="F68" s="18" t="n"/>
      <c r="G68" s="40">
        <f>IFERROR(VLOOKUP(F68,M2_거래처마스터!A:E,3,FALSE),"")</f>
        <v/>
      </c>
      <c r="H68" s="18" t="n"/>
      <c r="I68" s="19" t="n"/>
      <c r="J68" s="20" t="n"/>
      <c r="K68" s="39">
        <f>IF(AND(I68&lt;&gt;"",J68&lt;&gt;""),I68*J68,"")</f>
        <v/>
      </c>
      <c r="L68" s="18" t="n"/>
      <c r="M68" s="18" t="n"/>
      <c r="N68" s="20" t="n"/>
      <c r="O68" s="20" t="n"/>
    </row>
    <row r="69">
      <c r="A69" s="41" t="n"/>
      <c r="B69" s="35">
        <f>IF(A69="","",YEAR(A69))</f>
        <v/>
      </c>
      <c r="C69" s="36">
        <f>IF(A69="","",MONTH(A69))</f>
        <v/>
      </c>
      <c r="D69" s="37">
        <f>IF(A69="","","Q"&amp;ROUNDUP(MONTH(A69)/3,0))</f>
        <v/>
      </c>
      <c r="E69" s="22" t="n"/>
      <c r="F69" s="22" t="n"/>
      <c r="G69" s="40">
        <f>IFERROR(VLOOKUP(F69,M2_거래처마스터!A:E,3,FALSE),"")</f>
        <v/>
      </c>
      <c r="H69" s="22" t="n"/>
      <c r="I69" s="23" t="n"/>
      <c r="J69" s="24" t="n"/>
      <c r="K69" s="39">
        <f>IF(AND(I69&lt;&gt;"",J69&lt;&gt;""),I69*J69,"")</f>
        <v/>
      </c>
      <c r="L69" s="22" t="n"/>
      <c r="M69" s="22" t="n"/>
      <c r="N69" s="24" t="n"/>
      <c r="O69" s="24" t="n"/>
    </row>
    <row r="70">
      <c r="A70" s="34" t="n"/>
      <c r="B70" s="35">
        <f>IF(A70="","",YEAR(A70))</f>
        <v/>
      </c>
      <c r="C70" s="36">
        <f>IF(A70="","",MONTH(A70))</f>
        <v/>
      </c>
      <c r="D70" s="37">
        <f>IF(A70="","","Q"&amp;ROUNDUP(MONTH(A70)/3,0))</f>
        <v/>
      </c>
      <c r="E70" s="18" t="n"/>
      <c r="F70" s="18" t="n"/>
      <c r="G70" s="40">
        <f>IFERROR(VLOOKUP(F70,M2_거래처마스터!A:E,3,FALSE),"")</f>
        <v/>
      </c>
      <c r="H70" s="18" t="n"/>
      <c r="I70" s="19" t="n"/>
      <c r="J70" s="20" t="n"/>
      <c r="K70" s="39">
        <f>IF(AND(I70&lt;&gt;"",J70&lt;&gt;""),I70*J70,"")</f>
        <v/>
      </c>
      <c r="L70" s="18" t="n"/>
      <c r="M70" s="18" t="n"/>
      <c r="N70" s="20" t="n"/>
      <c r="O70" s="20" t="n"/>
    </row>
    <row r="71">
      <c r="A71" s="41" t="n"/>
      <c r="B71" s="35">
        <f>IF(A71="","",YEAR(A71))</f>
        <v/>
      </c>
      <c r="C71" s="36">
        <f>IF(A71="","",MONTH(A71))</f>
        <v/>
      </c>
      <c r="D71" s="37">
        <f>IF(A71="","","Q"&amp;ROUNDUP(MONTH(A71)/3,0))</f>
        <v/>
      </c>
      <c r="E71" s="22" t="n"/>
      <c r="F71" s="22" t="n"/>
      <c r="G71" s="40">
        <f>IFERROR(VLOOKUP(F71,M2_거래처마스터!A:E,3,FALSE),"")</f>
        <v/>
      </c>
      <c r="H71" s="22" t="n"/>
      <c r="I71" s="23" t="n"/>
      <c r="J71" s="24" t="n"/>
      <c r="K71" s="39">
        <f>IF(AND(I71&lt;&gt;"",J71&lt;&gt;""),I71*J71,"")</f>
        <v/>
      </c>
      <c r="L71" s="22" t="n"/>
      <c r="M71" s="22" t="n"/>
      <c r="N71" s="24" t="n"/>
      <c r="O71" s="24" t="n"/>
    </row>
    <row r="72">
      <c r="A72" s="34" t="n"/>
      <c r="B72" s="35">
        <f>IF(A72="","",YEAR(A72))</f>
        <v/>
      </c>
      <c r="C72" s="36">
        <f>IF(A72="","",MONTH(A72))</f>
        <v/>
      </c>
      <c r="D72" s="37">
        <f>IF(A72="","","Q"&amp;ROUNDUP(MONTH(A72)/3,0))</f>
        <v/>
      </c>
      <c r="E72" s="18" t="n"/>
      <c r="F72" s="18" t="n"/>
      <c r="G72" s="40">
        <f>IFERROR(VLOOKUP(F72,M2_거래처마스터!A:E,3,FALSE),"")</f>
        <v/>
      </c>
      <c r="H72" s="18" t="n"/>
      <c r="I72" s="19" t="n"/>
      <c r="J72" s="20" t="n"/>
      <c r="K72" s="39">
        <f>IF(AND(I72&lt;&gt;"",J72&lt;&gt;""),I72*J72,"")</f>
        <v/>
      </c>
      <c r="L72" s="18" t="n"/>
      <c r="M72" s="18" t="n"/>
      <c r="N72" s="20" t="n"/>
      <c r="O72" s="20" t="n"/>
    </row>
    <row r="73">
      <c r="A73" s="41" t="n"/>
      <c r="B73" s="35">
        <f>IF(A73="","",YEAR(A73))</f>
        <v/>
      </c>
      <c r="C73" s="36">
        <f>IF(A73="","",MONTH(A73))</f>
        <v/>
      </c>
      <c r="D73" s="37">
        <f>IF(A73="","","Q"&amp;ROUNDUP(MONTH(A73)/3,0))</f>
        <v/>
      </c>
      <c r="E73" s="22" t="n"/>
      <c r="F73" s="22" t="n"/>
      <c r="G73" s="40">
        <f>IFERROR(VLOOKUP(F73,M2_거래처마스터!A:E,3,FALSE),"")</f>
        <v/>
      </c>
      <c r="H73" s="22" t="n"/>
      <c r="I73" s="23" t="n"/>
      <c r="J73" s="24" t="n"/>
      <c r="K73" s="39">
        <f>IF(AND(I73&lt;&gt;"",J73&lt;&gt;""),I73*J73,"")</f>
        <v/>
      </c>
      <c r="L73" s="22" t="n"/>
      <c r="M73" s="22" t="n"/>
      <c r="N73" s="24" t="n"/>
      <c r="O73" s="24" t="n"/>
    </row>
    <row r="74">
      <c r="A74" s="34" t="n"/>
      <c r="B74" s="35">
        <f>IF(A74="","",YEAR(A74))</f>
        <v/>
      </c>
      <c r="C74" s="36">
        <f>IF(A74="","",MONTH(A74))</f>
        <v/>
      </c>
      <c r="D74" s="37">
        <f>IF(A74="","","Q"&amp;ROUNDUP(MONTH(A74)/3,0))</f>
        <v/>
      </c>
      <c r="E74" s="18" t="n"/>
      <c r="F74" s="18" t="n"/>
      <c r="G74" s="40">
        <f>IFERROR(VLOOKUP(F74,M2_거래처마스터!A:E,3,FALSE),"")</f>
        <v/>
      </c>
      <c r="H74" s="18" t="n"/>
      <c r="I74" s="19" t="n"/>
      <c r="J74" s="20" t="n"/>
      <c r="K74" s="39">
        <f>IF(AND(I74&lt;&gt;"",J74&lt;&gt;""),I74*J74,"")</f>
        <v/>
      </c>
      <c r="L74" s="18" t="n"/>
      <c r="M74" s="18" t="n"/>
      <c r="N74" s="20" t="n"/>
      <c r="O74" s="20" t="n"/>
    </row>
    <row r="75">
      <c r="A75" s="41" t="n"/>
      <c r="B75" s="35">
        <f>IF(A75="","",YEAR(A75))</f>
        <v/>
      </c>
      <c r="C75" s="36">
        <f>IF(A75="","",MONTH(A75))</f>
        <v/>
      </c>
      <c r="D75" s="37">
        <f>IF(A75="","","Q"&amp;ROUNDUP(MONTH(A75)/3,0))</f>
        <v/>
      </c>
      <c r="E75" s="22" t="n"/>
      <c r="F75" s="22" t="n"/>
      <c r="G75" s="40">
        <f>IFERROR(VLOOKUP(F75,M2_거래처마스터!A:E,3,FALSE),"")</f>
        <v/>
      </c>
      <c r="H75" s="22" t="n"/>
      <c r="I75" s="23" t="n"/>
      <c r="J75" s="24" t="n"/>
      <c r="K75" s="39">
        <f>IF(AND(I75&lt;&gt;"",J75&lt;&gt;""),I75*J75,"")</f>
        <v/>
      </c>
      <c r="L75" s="22" t="n"/>
      <c r="M75" s="22" t="n"/>
      <c r="N75" s="24" t="n"/>
      <c r="O75" s="24" t="n"/>
    </row>
    <row r="76">
      <c r="A76" s="34" t="n"/>
      <c r="B76" s="35">
        <f>IF(A76="","",YEAR(A76))</f>
        <v/>
      </c>
      <c r="C76" s="36">
        <f>IF(A76="","",MONTH(A76))</f>
        <v/>
      </c>
      <c r="D76" s="37">
        <f>IF(A76="","","Q"&amp;ROUNDUP(MONTH(A76)/3,0))</f>
        <v/>
      </c>
      <c r="E76" s="18" t="n"/>
      <c r="F76" s="18" t="n"/>
      <c r="G76" s="40">
        <f>IFERROR(VLOOKUP(F76,M2_거래처마스터!A:E,3,FALSE),"")</f>
        <v/>
      </c>
      <c r="H76" s="18" t="n"/>
      <c r="I76" s="19" t="n"/>
      <c r="J76" s="20" t="n"/>
      <c r="K76" s="39">
        <f>IF(AND(I76&lt;&gt;"",J76&lt;&gt;""),I76*J76,"")</f>
        <v/>
      </c>
      <c r="L76" s="18" t="n"/>
      <c r="M76" s="18" t="n"/>
      <c r="N76" s="20" t="n"/>
      <c r="O76" s="20" t="n"/>
    </row>
    <row r="77">
      <c r="A77" s="41" t="n"/>
      <c r="B77" s="35">
        <f>IF(A77="","",YEAR(A77))</f>
        <v/>
      </c>
      <c r="C77" s="36">
        <f>IF(A77="","",MONTH(A77))</f>
        <v/>
      </c>
      <c r="D77" s="37">
        <f>IF(A77="","","Q"&amp;ROUNDUP(MONTH(A77)/3,0))</f>
        <v/>
      </c>
      <c r="E77" s="22" t="n"/>
      <c r="F77" s="22" t="n"/>
      <c r="G77" s="40">
        <f>IFERROR(VLOOKUP(F77,M2_거래처마스터!A:E,3,FALSE),"")</f>
        <v/>
      </c>
      <c r="H77" s="22" t="n"/>
      <c r="I77" s="23" t="n"/>
      <c r="J77" s="24" t="n"/>
      <c r="K77" s="39">
        <f>IF(AND(I77&lt;&gt;"",J77&lt;&gt;""),I77*J77,"")</f>
        <v/>
      </c>
      <c r="L77" s="22" t="n"/>
      <c r="M77" s="22" t="n"/>
      <c r="N77" s="24" t="n"/>
      <c r="O77" s="24" t="n"/>
    </row>
    <row r="78">
      <c r="A78" s="34" t="n"/>
      <c r="B78" s="35">
        <f>IF(A78="","",YEAR(A78))</f>
        <v/>
      </c>
      <c r="C78" s="36">
        <f>IF(A78="","",MONTH(A78))</f>
        <v/>
      </c>
      <c r="D78" s="37">
        <f>IF(A78="","","Q"&amp;ROUNDUP(MONTH(A78)/3,0))</f>
        <v/>
      </c>
      <c r="E78" s="18" t="n"/>
      <c r="F78" s="18" t="n"/>
      <c r="G78" s="40">
        <f>IFERROR(VLOOKUP(F78,M2_거래처마스터!A:E,3,FALSE),"")</f>
        <v/>
      </c>
      <c r="H78" s="18" t="n"/>
      <c r="I78" s="19" t="n"/>
      <c r="J78" s="20" t="n"/>
      <c r="K78" s="39">
        <f>IF(AND(I78&lt;&gt;"",J78&lt;&gt;""),I78*J78,"")</f>
        <v/>
      </c>
      <c r="L78" s="18" t="n"/>
      <c r="M78" s="18" t="n"/>
      <c r="N78" s="20" t="n"/>
      <c r="O78" s="20" t="n"/>
    </row>
    <row r="79">
      <c r="A79" s="41" t="n"/>
      <c r="B79" s="35">
        <f>IF(A79="","",YEAR(A79))</f>
        <v/>
      </c>
      <c r="C79" s="36">
        <f>IF(A79="","",MONTH(A79))</f>
        <v/>
      </c>
      <c r="D79" s="37">
        <f>IF(A79="","","Q"&amp;ROUNDUP(MONTH(A79)/3,0))</f>
        <v/>
      </c>
      <c r="E79" s="22" t="n"/>
      <c r="F79" s="22" t="n"/>
      <c r="G79" s="40">
        <f>IFERROR(VLOOKUP(F79,M2_거래처마스터!A:E,3,FALSE),"")</f>
        <v/>
      </c>
      <c r="H79" s="22" t="n"/>
      <c r="I79" s="23" t="n"/>
      <c r="J79" s="24" t="n"/>
      <c r="K79" s="39">
        <f>IF(AND(I79&lt;&gt;"",J79&lt;&gt;""),I79*J79,"")</f>
        <v/>
      </c>
      <c r="L79" s="22" t="n"/>
      <c r="M79" s="22" t="n"/>
      <c r="N79" s="24" t="n"/>
      <c r="O79" s="24" t="n"/>
    </row>
    <row r="80">
      <c r="A80" s="34" t="n"/>
      <c r="B80" s="35">
        <f>IF(A80="","",YEAR(A80))</f>
        <v/>
      </c>
      <c r="C80" s="36">
        <f>IF(A80="","",MONTH(A80))</f>
        <v/>
      </c>
      <c r="D80" s="37">
        <f>IF(A80="","","Q"&amp;ROUNDUP(MONTH(A80)/3,0))</f>
        <v/>
      </c>
      <c r="E80" s="18" t="n"/>
      <c r="F80" s="18" t="n"/>
      <c r="G80" s="40">
        <f>IFERROR(VLOOKUP(F80,M2_거래처마스터!A:E,3,FALSE),"")</f>
        <v/>
      </c>
      <c r="H80" s="18" t="n"/>
      <c r="I80" s="19" t="n"/>
      <c r="J80" s="20" t="n"/>
      <c r="K80" s="39">
        <f>IF(AND(I80&lt;&gt;"",J80&lt;&gt;""),I80*J80,"")</f>
        <v/>
      </c>
      <c r="L80" s="18" t="n"/>
      <c r="M80" s="18" t="n"/>
      <c r="N80" s="20" t="n"/>
      <c r="O80" s="20" t="n"/>
    </row>
    <row r="81">
      <c r="A81" s="41" t="n"/>
      <c r="B81" s="35">
        <f>IF(A81="","",YEAR(A81))</f>
        <v/>
      </c>
      <c r="C81" s="36">
        <f>IF(A81="","",MONTH(A81))</f>
        <v/>
      </c>
      <c r="D81" s="37">
        <f>IF(A81="","","Q"&amp;ROUNDUP(MONTH(A81)/3,0))</f>
        <v/>
      </c>
      <c r="E81" s="22" t="n"/>
      <c r="F81" s="22" t="n"/>
      <c r="G81" s="40">
        <f>IFERROR(VLOOKUP(F81,M2_거래처마스터!A:E,3,FALSE),"")</f>
        <v/>
      </c>
      <c r="H81" s="22" t="n"/>
      <c r="I81" s="23" t="n"/>
      <c r="J81" s="24" t="n"/>
      <c r="K81" s="39">
        <f>IF(AND(I81&lt;&gt;"",J81&lt;&gt;""),I81*J81,"")</f>
        <v/>
      </c>
      <c r="L81" s="22" t="n"/>
      <c r="M81" s="22" t="n"/>
      <c r="N81" s="24" t="n"/>
      <c r="O81" s="24" t="n"/>
    </row>
    <row r="82">
      <c r="A82" s="34" t="n"/>
      <c r="B82" s="35">
        <f>IF(A82="","",YEAR(A82))</f>
        <v/>
      </c>
      <c r="C82" s="36">
        <f>IF(A82="","",MONTH(A82))</f>
        <v/>
      </c>
      <c r="D82" s="37">
        <f>IF(A82="","","Q"&amp;ROUNDUP(MONTH(A82)/3,0))</f>
        <v/>
      </c>
      <c r="E82" s="18" t="n"/>
      <c r="F82" s="18" t="n"/>
      <c r="G82" s="40">
        <f>IFERROR(VLOOKUP(F82,M2_거래처마스터!A:E,3,FALSE),"")</f>
        <v/>
      </c>
      <c r="H82" s="18" t="n"/>
      <c r="I82" s="19" t="n"/>
      <c r="J82" s="20" t="n"/>
      <c r="K82" s="39">
        <f>IF(AND(I82&lt;&gt;"",J82&lt;&gt;""),I82*J82,"")</f>
        <v/>
      </c>
      <c r="L82" s="18" t="n"/>
      <c r="M82" s="18" t="n"/>
      <c r="N82" s="20" t="n"/>
      <c r="O82" s="20" t="n"/>
    </row>
    <row r="83">
      <c r="A83" s="41" t="n"/>
      <c r="B83" s="35">
        <f>IF(A83="","",YEAR(A83))</f>
        <v/>
      </c>
      <c r="C83" s="36">
        <f>IF(A83="","",MONTH(A83))</f>
        <v/>
      </c>
      <c r="D83" s="37">
        <f>IF(A83="","","Q"&amp;ROUNDUP(MONTH(A83)/3,0))</f>
        <v/>
      </c>
      <c r="E83" s="22" t="n"/>
      <c r="F83" s="22" t="n"/>
      <c r="G83" s="40">
        <f>IFERROR(VLOOKUP(F83,M2_거래처마스터!A:E,3,FALSE),"")</f>
        <v/>
      </c>
      <c r="H83" s="22" t="n"/>
      <c r="I83" s="23" t="n"/>
      <c r="J83" s="24" t="n"/>
      <c r="K83" s="39">
        <f>IF(AND(I83&lt;&gt;"",J83&lt;&gt;""),I83*J83,"")</f>
        <v/>
      </c>
      <c r="L83" s="22" t="n"/>
      <c r="M83" s="22" t="n"/>
      <c r="N83" s="24" t="n"/>
      <c r="O83" s="24" t="n"/>
    </row>
    <row r="84">
      <c r="A84" s="34" t="n"/>
      <c r="B84" s="35">
        <f>IF(A84="","",YEAR(A84))</f>
        <v/>
      </c>
      <c r="C84" s="36">
        <f>IF(A84="","",MONTH(A84))</f>
        <v/>
      </c>
      <c r="D84" s="37">
        <f>IF(A84="","","Q"&amp;ROUNDUP(MONTH(A84)/3,0))</f>
        <v/>
      </c>
      <c r="E84" s="18" t="n"/>
      <c r="F84" s="18" t="n"/>
      <c r="G84" s="40">
        <f>IFERROR(VLOOKUP(F84,M2_거래처마스터!A:E,3,FALSE),"")</f>
        <v/>
      </c>
      <c r="H84" s="18" t="n"/>
      <c r="I84" s="19" t="n"/>
      <c r="J84" s="20" t="n"/>
      <c r="K84" s="39">
        <f>IF(AND(I84&lt;&gt;"",J84&lt;&gt;""),I84*J84,"")</f>
        <v/>
      </c>
      <c r="L84" s="18" t="n"/>
      <c r="M84" s="18" t="n"/>
      <c r="N84" s="20" t="n"/>
      <c r="O84" s="20" t="n"/>
    </row>
    <row r="85">
      <c r="A85" s="41" t="n"/>
      <c r="B85" s="35">
        <f>IF(A85="","",YEAR(A85))</f>
        <v/>
      </c>
      <c r="C85" s="36">
        <f>IF(A85="","",MONTH(A85))</f>
        <v/>
      </c>
      <c r="D85" s="37">
        <f>IF(A85="","","Q"&amp;ROUNDUP(MONTH(A85)/3,0))</f>
        <v/>
      </c>
      <c r="E85" s="22" t="n"/>
      <c r="F85" s="22" t="n"/>
      <c r="G85" s="40">
        <f>IFERROR(VLOOKUP(F85,M2_거래처마스터!A:E,3,FALSE),"")</f>
        <v/>
      </c>
      <c r="H85" s="22" t="n"/>
      <c r="I85" s="23" t="n"/>
      <c r="J85" s="24" t="n"/>
      <c r="K85" s="39">
        <f>IF(AND(I85&lt;&gt;"",J85&lt;&gt;""),I85*J85,"")</f>
        <v/>
      </c>
      <c r="L85" s="22" t="n"/>
      <c r="M85" s="22" t="n"/>
      <c r="N85" s="24" t="n"/>
      <c r="O85" s="24" t="n"/>
    </row>
    <row r="86">
      <c r="A86" s="34" t="n"/>
      <c r="B86" s="35">
        <f>IF(A86="","",YEAR(A86))</f>
        <v/>
      </c>
      <c r="C86" s="36">
        <f>IF(A86="","",MONTH(A86))</f>
        <v/>
      </c>
      <c r="D86" s="37">
        <f>IF(A86="","","Q"&amp;ROUNDUP(MONTH(A86)/3,0))</f>
        <v/>
      </c>
      <c r="E86" s="18" t="n"/>
      <c r="F86" s="18" t="n"/>
      <c r="G86" s="40">
        <f>IFERROR(VLOOKUP(F86,M2_거래처마스터!A:E,3,FALSE),"")</f>
        <v/>
      </c>
      <c r="H86" s="18" t="n"/>
      <c r="I86" s="19" t="n"/>
      <c r="J86" s="20" t="n"/>
      <c r="K86" s="39">
        <f>IF(AND(I86&lt;&gt;"",J86&lt;&gt;""),I86*J86,"")</f>
        <v/>
      </c>
      <c r="L86" s="18" t="n"/>
      <c r="M86" s="18" t="n"/>
      <c r="N86" s="20" t="n"/>
      <c r="O86" s="20" t="n"/>
    </row>
    <row r="87">
      <c r="A87" s="41" t="n"/>
      <c r="B87" s="35">
        <f>IF(A87="","",YEAR(A87))</f>
        <v/>
      </c>
      <c r="C87" s="36">
        <f>IF(A87="","",MONTH(A87))</f>
        <v/>
      </c>
      <c r="D87" s="37">
        <f>IF(A87="","","Q"&amp;ROUNDUP(MONTH(A87)/3,0))</f>
        <v/>
      </c>
      <c r="E87" s="22" t="n"/>
      <c r="F87" s="22" t="n"/>
      <c r="G87" s="40">
        <f>IFERROR(VLOOKUP(F87,M2_거래처마스터!A:E,3,FALSE),"")</f>
        <v/>
      </c>
      <c r="H87" s="22" t="n"/>
      <c r="I87" s="23" t="n"/>
      <c r="J87" s="24" t="n"/>
      <c r="K87" s="39">
        <f>IF(AND(I87&lt;&gt;"",J87&lt;&gt;""),I87*J87,"")</f>
        <v/>
      </c>
      <c r="L87" s="22" t="n"/>
      <c r="M87" s="22" t="n"/>
      <c r="N87" s="24" t="n"/>
      <c r="O87" s="24" t="n"/>
    </row>
    <row r="88">
      <c r="A88" s="34" t="n"/>
      <c r="B88" s="35">
        <f>IF(A88="","",YEAR(A88))</f>
        <v/>
      </c>
      <c r="C88" s="36">
        <f>IF(A88="","",MONTH(A88))</f>
        <v/>
      </c>
      <c r="D88" s="37">
        <f>IF(A88="","","Q"&amp;ROUNDUP(MONTH(A88)/3,0))</f>
        <v/>
      </c>
      <c r="E88" s="18" t="n"/>
      <c r="F88" s="18" t="n"/>
      <c r="G88" s="40">
        <f>IFERROR(VLOOKUP(F88,M2_거래처마스터!A:E,3,FALSE),"")</f>
        <v/>
      </c>
      <c r="H88" s="18" t="n"/>
      <c r="I88" s="19" t="n"/>
      <c r="J88" s="20" t="n"/>
      <c r="K88" s="39">
        <f>IF(AND(I88&lt;&gt;"",J88&lt;&gt;""),I88*J88,"")</f>
        <v/>
      </c>
      <c r="L88" s="18" t="n"/>
      <c r="M88" s="18" t="n"/>
      <c r="N88" s="20" t="n"/>
      <c r="O88" s="20" t="n"/>
    </row>
    <row r="89">
      <c r="A89" s="41" t="n"/>
      <c r="B89" s="35">
        <f>IF(A89="","",YEAR(A89))</f>
        <v/>
      </c>
      <c r="C89" s="36">
        <f>IF(A89="","",MONTH(A89))</f>
        <v/>
      </c>
      <c r="D89" s="37">
        <f>IF(A89="","","Q"&amp;ROUNDUP(MONTH(A89)/3,0))</f>
        <v/>
      </c>
      <c r="E89" s="22" t="n"/>
      <c r="F89" s="22" t="n"/>
      <c r="G89" s="40">
        <f>IFERROR(VLOOKUP(F89,M2_거래처마스터!A:E,3,FALSE),"")</f>
        <v/>
      </c>
      <c r="H89" s="22" t="n"/>
      <c r="I89" s="23" t="n"/>
      <c r="J89" s="24" t="n"/>
      <c r="K89" s="39">
        <f>IF(AND(I89&lt;&gt;"",J89&lt;&gt;""),I89*J89,"")</f>
        <v/>
      </c>
      <c r="L89" s="22" t="n"/>
      <c r="M89" s="22" t="n"/>
      <c r="N89" s="24" t="n"/>
      <c r="O89" s="24" t="n"/>
    </row>
    <row r="90">
      <c r="A90" s="34" t="n"/>
      <c r="B90" s="35">
        <f>IF(A90="","",YEAR(A90))</f>
        <v/>
      </c>
      <c r="C90" s="36">
        <f>IF(A90="","",MONTH(A90))</f>
        <v/>
      </c>
      <c r="D90" s="37">
        <f>IF(A90="","","Q"&amp;ROUNDUP(MONTH(A90)/3,0))</f>
        <v/>
      </c>
      <c r="E90" s="18" t="n"/>
      <c r="F90" s="18" t="n"/>
      <c r="G90" s="40">
        <f>IFERROR(VLOOKUP(F90,M2_거래처마스터!A:E,3,FALSE),"")</f>
        <v/>
      </c>
      <c r="H90" s="18" t="n"/>
      <c r="I90" s="19" t="n"/>
      <c r="J90" s="20" t="n"/>
      <c r="K90" s="39">
        <f>IF(AND(I90&lt;&gt;"",J90&lt;&gt;""),I90*J90,"")</f>
        <v/>
      </c>
      <c r="L90" s="18" t="n"/>
      <c r="M90" s="18" t="n"/>
      <c r="N90" s="20" t="n"/>
      <c r="O90" s="20" t="n"/>
    </row>
    <row r="91">
      <c r="A91" s="41" t="n"/>
      <c r="B91" s="35">
        <f>IF(A91="","",YEAR(A91))</f>
        <v/>
      </c>
      <c r="C91" s="36">
        <f>IF(A91="","",MONTH(A91))</f>
        <v/>
      </c>
      <c r="D91" s="37">
        <f>IF(A91="","","Q"&amp;ROUNDUP(MONTH(A91)/3,0))</f>
        <v/>
      </c>
      <c r="E91" s="22" t="n"/>
      <c r="F91" s="22" t="n"/>
      <c r="G91" s="40">
        <f>IFERROR(VLOOKUP(F91,M2_거래처마스터!A:E,3,FALSE),"")</f>
        <v/>
      </c>
      <c r="H91" s="22" t="n"/>
      <c r="I91" s="23" t="n"/>
      <c r="J91" s="24" t="n"/>
      <c r="K91" s="39">
        <f>IF(AND(I91&lt;&gt;"",J91&lt;&gt;""),I91*J91,"")</f>
        <v/>
      </c>
      <c r="L91" s="22" t="n"/>
      <c r="M91" s="22" t="n"/>
      <c r="N91" s="24" t="n"/>
      <c r="O91" s="24" t="n"/>
    </row>
    <row r="92">
      <c r="A92" s="34" t="n"/>
      <c r="B92" s="35">
        <f>IF(A92="","",YEAR(A92))</f>
        <v/>
      </c>
      <c r="C92" s="36">
        <f>IF(A92="","",MONTH(A92))</f>
        <v/>
      </c>
      <c r="D92" s="37">
        <f>IF(A92="","","Q"&amp;ROUNDUP(MONTH(A92)/3,0))</f>
        <v/>
      </c>
      <c r="E92" s="18" t="n"/>
      <c r="F92" s="18" t="n"/>
      <c r="G92" s="40">
        <f>IFERROR(VLOOKUP(F92,M2_거래처마스터!A:E,3,FALSE),"")</f>
        <v/>
      </c>
      <c r="H92" s="18" t="n"/>
      <c r="I92" s="19" t="n"/>
      <c r="J92" s="20" t="n"/>
      <c r="K92" s="39">
        <f>IF(AND(I92&lt;&gt;"",J92&lt;&gt;""),I92*J92,"")</f>
        <v/>
      </c>
      <c r="L92" s="18" t="n"/>
      <c r="M92" s="18" t="n"/>
      <c r="N92" s="20" t="n"/>
      <c r="O92" s="20" t="n"/>
    </row>
    <row r="93">
      <c r="A93" s="41" t="n"/>
      <c r="B93" s="35">
        <f>IF(A93="","",YEAR(A93))</f>
        <v/>
      </c>
      <c r="C93" s="36">
        <f>IF(A93="","",MONTH(A93))</f>
        <v/>
      </c>
      <c r="D93" s="37">
        <f>IF(A93="","","Q"&amp;ROUNDUP(MONTH(A93)/3,0))</f>
        <v/>
      </c>
      <c r="E93" s="22" t="n"/>
      <c r="F93" s="22" t="n"/>
      <c r="G93" s="40">
        <f>IFERROR(VLOOKUP(F93,M2_거래처마스터!A:E,3,FALSE),"")</f>
        <v/>
      </c>
      <c r="H93" s="22" t="n"/>
      <c r="I93" s="23" t="n"/>
      <c r="J93" s="24" t="n"/>
      <c r="K93" s="39">
        <f>IF(AND(I93&lt;&gt;"",J93&lt;&gt;""),I93*J93,"")</f>
        <v/>
      </c>
      <c r="L93" s="22" t="n"/>
      <c r="M93" s="22" t="n"/>
      <c r="N93" s="24" t="n"/>
      <c r="O93" s="24" t="n"/>
    </row>
    <row r="94">
      <c r="A94" s="34" t="n"/>
      <c r="B94" s="35">
        <f>IF(A94="","",YEAR(A94))</f>
        <v/>
      </c>
      <c r="C94" s="36">
        <f>IF(A94="","",MONTH(A94))</f>
        <v/>
      </c>
      <c r="D94" s="37">
        <f>IF(A94="","","Q"&amp;ROUNDUP(MONTH(A94)/3,0))</f>
        <v/>
      </c>
      <c r="E94" s="18" t="n"/>
      <c r="F94" s="18" t="n"/>
      <c r="G94" s="40">
        <f>IFERROR(VLOOKUP(F94,M2_거래처마스터!A:E,3,FALSE),"")</f>
        <v/>
      </c>
      <c r="H94" s="18" t="n"/>
      <c r="I94" s="19" t="n"/>
      <c r="J94" s="20" t="n"/>
      <c r="K94" s="39">
        <f>IF(AND(I94&lt;&gt;"",J94&lt;&gt;""),I94*J94,"")</f>
        <v/>
      </c>
      <c r="L94" s="18" t="n"/>
      <c r="M94" s="18" t="n"/>
      <c r="N94" s="20" t="n"/>
      <c r="O94" s="20" t="n"/>
    </row>
    <row r="95">
      <c r="A95" s="41" t="n"/>
      <c r="B95" s="35">
        <f>IF(A95="","",YEAR(A95))</f>
        <v/>
      </c>
      <c r="C95" s="36">
        <f>IF(A95="","",MONTH(A95))</f>
        <v/>
      </c>
      <c r="D95" s="37">
        <f>IF(A95="","","Q"&amp;ROUNDUP(MONTH(A95)/3,0))</f>
        <v/>
      </c>
      <c r="E95" s="22" t="n"/>
      <c r="F95" s="22" t="n"/>
      <c r="G95" s="40">
        <f>IFERROR(VLOOKUP(F95,M2_거래처마스터!A:E,3,FALSE),"")</f>
        <v/>
      </c>
      <c r="H95" s="22" t="n"/>
      <c r="I95" s="23" t="n"/>
      <c r="J95" s="24" t="n"/>
      <c r="K95" s="39">
        <f>IF(AND(I95&lt;&gt;"",J95&lt;&gt;""),I95*J95,"")</f>
        <v/>
      </c>
      <c r="L95" s="22" t="n"/>
      <c r="M95" s="22" t="n"/>
      <c r="N95" s="24" t="n"/>
      <c r="O95" s="24" t="n"/>
    </row>
    <row r="96">
      <c r="A96" s="34" t="n"/>
      <c r="B96" s="35">
        <f>IF(A96="","",YEAR(A96))</f>
        <v/>
      </c>
      <c r="C96" s="36">
        <f>IF(A96="","",MONTH(A96))</f>
        <v/>
      </c>
      <c r="D96" s="37">
        <f>IF(A96="","","Q"&amp;ROUNDUP(MONTH(A96)/3,0))</f>
        <v/>
      </c>
      <c r="E96" s="18" t="n"/>
      <c r="F96" s="18" t="n"/>
      <c r="G96" s="40">
        <f>IFERROR(VLOOKUP(F96,M2_거래처마스터!A:E,3,FALSE),"")</f>
        <v/>
      </c>
      <c r="H96" s="18" t="n"/>
      <c r="I96" s="19" t="n"/>
      <c r="J96" s="20" t="n"/>
      <c r="K96" s="39">
        <f>IF(AND(I96&lt;&gt;"",J96&lt;&gt;""),I96*J96,"")</f>
        <v/>
      </c>
      <c r="L96" s="18" t="n"/>
      <c r="M96" s="18" t="n"/>
      <c r="N96" s="20" t="n"/>
      <c r="O96" s="20" t="n"/>
    </row>
    <row r="97">
      <c r="A97" s="41" t="n"/>
      <c r="B97" s="35">
        <f>IF(A97="","",YEAR(A97))</f>
        <v/>
      </c>
      <c r="C97" s="36">
        <f>IF(A97="","",MONTH(A97))</f>
        <v/>
      </c>
      <c r="D97" s="37">
        <f>IF(A97="","","Q"&amp;ROUNDUP(MONTH(A97)/3,0))</f>
        <v/>
      </c>
      <c r="E97" s="22" t="n"/>
      <c r="F97" s="22" t="n"/>
      <c r="G97" s="40">
        <f>IFERROR(VLOOKUP(F97,M2_거래처마스터!A:E,3,FALSE),"")</f>
        <v/>
      </c>
      <c r="H97" s="22" t="n"/>
      <c r="I97" s="23" t="n"/>
      <c r="J97" s="24" t="n"/>
      <c r="K97" s="39">
        <f>IF(AND(I97&lt;&gt;"",J97&lt;&gt;""),I97*J97,"")</f>
        <v/>
      </c>
      <c r="L97" s="22" t="n"/>
      <c r="M97" s="22" t="n"/>
      <c r="N97" s="24" t="n"/>
      <c r="O97" s="24" t="n"/>
    </row>
    <row r="98">
      <c r="A98" s="34" t="n"/>
      <c r="B98" s="35">
        <f>IF(A98="","",YEAR(A98))</f>
        <v/>
      </c>
      <c r="C98" s="36">
        <f>IF(A98="","",MONTH(A98))</f>
        <v/>
      </c>
      <c r="D98" s="37">
        <f>IF(A98="","","Q"&amp;ROUNDUP(MONTH(A98)/3,0))</f>
        <v/>
      </c>
      <c r="E98" s="18" t="n"/>
      <c r="F98" s="18" t="n"/>
      <c r="G98" s="40">
        <f>IFERROR(VLOOKUP(F98,M2_거래처마스터!A:E,3,FALSE),"")</f>
        <v/>
      </c>
      <c r="H98" s="18" t="n"/>
      <c r="I98" s="19" t="n"/>
      <c r="J98" s="20" t="n"/>
      <c r="K98" s="39">
        <f>IF(AND(I98&lt;&gt;"",J98&lt;&gt;""),I98*J98,"")</f>
        <v/>
      </c>
      <c r="L98" s="18" t="n"/>
      <c r="M98" s="18" t="n"/>
      <c r="N98" s="20" t="n"/>
      <c r="O98" s="20" t="n"/>
    </row>
    <row r="99">
      <c r="A99" s="41" t="n"/>
      <c r="B99" s="35">
        <f>IF(A99="","",YEAR(A99))</f>
        <v/>
      </c>
      <c r="C99" s="36">
        <f>IF(A99="","",MONTH(A99))</f>
        <v/>
      </c>
      <c r="D99" s="37">
        <f>IF(A99="","","Q"&amp;ROUNDUP(MONTH(A99)/3,0))</f>
        <v/>
      </c>
      <c r="E99" s="22" t="n"/>
      <c r="F99" s="22" t="n"/>
      <c r="G99" s="40">
        <f>IFERROR(VLOOKUP(F99,M2_거래처마스터!A:E,3,FALSE),"")</f>
        <v/>
      </c>
      <c r="H99" s="22" t="n"/>
      <c r="I99" s="23" t="n"/>
      <c r="J99" s="24" t="n"/>
      <c r="K99" s="39">
        <f>IF(AND(I99&lt;&gt;"",J99&lt;&gt;""),I99*J99,"")</f>
        <v/>
      </c>
      <c r="L99" s="22" t="n"/>
      <c r="M99" s="22" t="n"/>
      <c r="N99" s="24" t="n"/>
      <c r="O99" s="24" t="n"/>
    </row>
    <row r="100">
      <c r="A100" s="34" t="n"/>
      <c r="B100" s="35">
        <f>IF(A100="","",YEAR(A100))</f>
        <v/>
      </c>
      <c r="C100" s="36">
        <f>IF(A100="","",MONTH(A100))</f>
        <v/>
      </c>
      <c r="D100" s="37">
        <f>IF(A100="","","Q"&amp;ROUNDUP(MONTH(A100)/3,0))</f>
        <v/>
      </c>
      <c r="E100" s="18" t="n"/>
      <c r="F100" s="18" t="n"/>
      <c r="G100" s="40">
        <f>IFERROR(VLOOKUP(F100,M2_거래처마스터!A:E,3,FALSE),"")</f>
        <v/>
      </c>
      <c r="H100" s="18" t="n"/>
      <c r="I100" s="19" t="n"/>
      <c r="J100" s="20" t="n"/>
      <c r="K100" s="39">
        <f>IF(AND(I100&lt;&gt;"",J100&lt;&gt;""),I100*J100,"")</f>
        <v/>
      </c>
      <c r="L100" s="18" t="n"/>
      <c r="M100" s="18" t="n"/>
      <c r="N100" s="20" t="n"/>
      <c r="O100" s="20" t="n"/>
    </row>
    <row r="101">
      <c r="A101" s="41" t="n"/>
      <c r="B101" s="35">
        <f>IF(A101="","",YEAR(A101))</f>
        <v/>
      </c>
      <c r="C101" s="36">
        <f>IF(A101="","",MONTH(A101))</f>
        <v/>
      </c>
      <c r="D101" s="37">
        <f>IF(A101="","","Q"&amp;ROUNDUP(MONTH(A101)/3,0))</f>
        <v/>
      </c>
      <c r="E101" s="22" t="n"/>
      <c r="F101" s="22" t="n"/>
      <c r="G101" s="40">
        <f>IFERROR(VLOOKUP(F101,M2_거래처마스터!A:E,3,FALSE),"")</f>
        <v/>
      </c>
      <c r="H101" s="22" t="n"/>
      <c r="I101" s="23" t="n"/>
      <c r="J101" s="24" t="n"/>
      <c r="K101" s="39">
        <f>IF(AND(I101&lt;&gt;"",J101&lt;&gt;""),I101*J101,"")</f>
        <v/>
      </c>
      <c r="L101" s="22" t="n"/>
      <c r="M101" s="22" t="n"/>
      <c r="N101" s="24" t="n"/>
      <c r="O101" s="24" t="n"/>
    </row>
    <row r="102">
      <c r="A102" s="34" t="n"/>
      <c r="B102" s="35">
        <f>IF(A102="","",YEAR(A102))</f>
        <v/>
      </c>
      <c r="C102" s="36">
        <f>IF(A102="","",MONTH(A102))</f>
        <v/>
      </c>
      <c r="D102" s="37">
        <f>IF(A102="","","Q"&amp;ROUNDUP(MONTH(A102)/3,0))</f>
        <v/>
      </c>
      <c r="E102" s="18" t="n"/>
      <c r="F102" s="18" t="n"/>
      <c r="G102" s="40">
        <f>IFERROR(VLOOKUP(F102,M2_거래처마스터!A:E,3,FALSE),"")</f>
        <v/>
      </c>
      <c r="H102" s="18" t="n"/>
      <c r="I102" s="19" t="n"/>
      <c r="J102" s="20" t="n"/>
      <c r="K102" s="39">
        <f>IF(AND(I102&lt;&gt;"",J102&lt;&gt;""),I102*J102,"")</f>
        <v/>
      </c>
      <c r="L102" s="18" t="n"/>
      <c r="M102" s="18" t="n"/>
      <c r="N102" s="20" t="n"/>
      <c r="O102" s="20" t="n"/>
    </row>
    <row r="103">
      <c r="A103" s="41" t="n"/>
      <c r="B103" s="35">
        <f>IF(A103="","",YEAR(A103))</f>
        <v/>
      </c>
      <c r="C103" s="36">
        <f>IF(A103="","",MONTH(A103))</f>
        <v/>
      </c>
      <c r="D103" s="37">
        <f>IF(A103="","","Q"&amp;ROUNDUP(MONTH(A103)/3,0))</f>
        <v/>
      </c>
      <c r="E103" s="22" t="n"/>
      <c r="F103" s="22" t="n"/>
      <c r="G103" s="40">
        <f>IFERROR(VLOOKUP(F103,M2_거래처마스터!A:E,3,FALSE),"")</f>
        <v/>
      </c>
      <c r="H103" s="22" t="n"/>
      <c r="I103" s="23" t="n"/>
      <c r="J103" s="24" t="n"/>
      <c r="K103" s="39">
        <f>IF(AND(I103&lt;&gt;"",J103&lt;&gt;""),I103*J103,"")</f>
        <v/>
      </c>
      <c r="L103" s="22" t="n"/>
      <c r="M103" s="22" t="n"/>
      <c r="N103" s="24" t="n"/>
      <c r="O103" s="24" t="n"/>
    </row>
    <row r="104">
      <c r="A104" s="34" t="n"/>
      <c r="B104" s="35">
        <f>IF(A104="","",YEAR(A104))</f>
        <v/>
      </c>
      <c r="C104" s="36">
        <f>IF(A104="","",MONTH(A104))</f>
        <v/>
      </c>
      <c r="D104" s="37">
        <f>IF(A104="","","Q"&amp;ROUNDUP(MONTH(A104)/3,0))</f>
        <v/>
      </c>
      <c r="E104" s="18" t="n"/>
      <c r="F104" s="18" t="n"/>
      <c r="G104" s="40">
        <f>IFERROR(VLOOKUP(F104,M2_거래처마스터!A:E,3,FALSE),"")</f>
        <v/>
      </c>
      <c r="H104" s="18" t="n"/>
      <c r="I104" s="19" t="n"/>
      <c r="J104" s="20" t="n"/>
      <c r="K104" s="39">
        <f>IF(AND(I104&lt;&gt;"",J104&lt;&gt;""),I104*J104,"")</f>
        <v/>
      </c>
      <c r="L104" s="18" t="n"/>
      <c r="M104" s="18" t="n"/>
      <c r="N104" s="20" t="n"/>
      <c r="O104" s="20" t="n"/>
    </row>
    <row r="105">
      <c r="A105" s="41" t="n"/>
      <c r="B105" s="35">
        <f>IF(A105="","",YEAR(A105))</f>
        <v/>
      </c>
      <c r="C105" s="36">
        <f>IF(A105="","",MONTH(A105))</f>
        <v/>
      </c>
      <c r="D105" s="37">
        <f>IF(A105="","","Q"&amp;ROUNDUP(MONTH(A105)/3,0))</f>
        <v/>
      </c>
      <c r="E105" s="22" t="n"/>
      <c r="F105" s="22" t="n"/>
      <c r="G105" s="40">
        <f>IFERROR(VLOOKUP(F105,M2_거래처마스터!A:E,3,FALSE),"")</f>
        <v/>
      </c>
      <c r="H105" s="22" t="n"/>
      <c r="I105" s="23" t="n"/>
      <c r="J105" s="24" t="n"/>
      <c r="K105" s="39">
        <f>IF(AND(I105&lt;&gt;"",J105&lt;&gt;""),I105*J105,"")</f>
        <v/>
      </c>
      <c r="L105" s="22" t="n"/>
      <c r="M105" s="22" t="n"/>
      <c r="N105" s="24" t="n"/>
      <c r="O105" s="24" t="n"/>
    </row>
    <row r="106">
      <c r="A106" s="34" t="n"/>
      <c r="B106" s="35">
        <f>IF(A106="","",YEAR(A106))</f>
        <v/>
      </c>
      <c r="C106" s="36">
        <f>IF(A106="","",MONTH(A106))</f>
        <v/>
      </c>
      <c r="D106" s="37">
        <f>IF(A106="","","Q"&amp;ROUNDUP(MONTH(A106)/3,0))</f>
        <v/>
      </c>
      <c r="E106" s="18" t="n"/>
      <c r="F106" s="18" t="n"/>
      <c r="G106" s="40">
        <f>IFERROR(VLOOKUP(F106,M2_거래처마스터!A:E,3,FALSE),"")</f>
        <v/>
      </c>
      <c r="H106" s="18" t="n"/>
      <c r="I106" s="19" t="n"/>
      <c r="J106" s="20" t="n"/>
      <c r="K106" s="39">
        <f>IF(AND(I106&lt;&gt;"",J106&lt;&gt;""),I106*J106,"")</f>
        <v/>
      </c>
      <c r="L106" s="18" t="n"/>
      <c r="M106" s="18" t="n"/>
      <c r="N106" s="20" t="n"/>
      <c r="O106" s="20" t="n"/>
    </row>
    <row r="107">
      <c r="A107" s="41" t="n"/>
      <c r="B107" s="35">
        <f>IF(A107="","",YEAR(A107))</f>
        <v/>
      </c>
      <c r="C107" s="36">
        <f>IF(A107="","",MONTH(A107))</f>
        <v/>
      </c>
      <c r="D107" s="37">
        <f>IF(A107="","","Q"&amp;ROUNDUP(MONTH(A107)/3,0))</f>
        <v/>
      </c>
      <c r="E107" s="22" t="n"/>
      <c r="F107" s="22" t="n"/>
      <c r="G107" s="40">
        <f>IFERROR(VLOOKUP(F107,M2_거래처마스터!A:E,3,FALSE),"")</f>
        <v/>
      </c>
      <c r="H107" s="22" t="n"/>
      <c r="I107" s="23" t="n"/>
      <c r="J107" s="24" t="n"/>
      <c r="K107" s="39">
        <f>IF(AND(I107&lt;&gt;"",J107&lt;&gt;""),I107*J107,"")</f>
        <v/>
      </c>
      <c r="L107" s="22" t="n"/>
      <c r="M107" s="22" t="n"/>
      <c r="N107" s="24" t="n"/>
      <c r="O107" s="24" t="n"/>
    </row>
    <row r="108">
      <c r="A108" s="34" t="n"/>
      <c r="B108" s="35">
        <f>IF(A108="","",YEAR(A108))</f>
        <v/>
      </c>
      <c r="C108" s="36">
        <f>IF(A108="","",MONTH(A108))</f>
        <v/>
      </c>
      <c r="D108" s="37">
        <f>IF(A108="","","Q"&amp;ROUNDUP(MONTH(A108)/3,0))</f>
        <v/>
      </c>
      <c r="E108" s="18" t="n"/>
      <c r="F108" s="18" t="n"/>
      <c r="G108" s="40">
        <f>IFERROR(VLOOKUP(F108,M2_거래처마스터!A:E,3,FALSE),"")</f>
        <v/>
      </c>
      <c r="H108" s="18" t="n"/>
      <c r="I108" s="19" t="n"/>
      <c r="J108" s="20" t="n"/>
      <c r="K108" s="39">
        <f>IF(AND(I108&lt;&gt;"",J108&lt;&gt;""),I108*J108,"")</f>
        <v/>
      </c>
      <c r="L108" s="18" t="n"/>
      <c r="M108" s="18" t="n"/>
      <c r="N108" s="20" t="n"/>
      <c r="O108" s="20" t="n"/>
    </row>
    <row r="109">
      <c r="A109" s="41" t="n"/>
      <c r="B109" s="35">
        <f>IF(A109="","",YEAR(A109))</f>
        <v/>
      </c>
      <c r="C109" s="36">
        <f>IF(A109="","",MONTH(A109))</f>
        <v/>
      </c>
      <c r="D109" s="37">
        <f>IF(A109="","","Q"&amp;ROUNDUP(MONTH(A109)/3,0))</f>
        <v/>
      </c>
      <c r="E109" s="22" t="n"/>
      <c r="F109" s="22" t="n"/>
      <c r="G109" s="40">
        <f>IFERROR(VLOOKUP(F109,M2_거래처마스터!A:E,3,FALSE),"")</f>
        <v/>
      </c>
      <c r="H109" s="22" t="n"/>
      <c r="I109" s="23" t="n"/>
      <c r="J109" s="24" t="n"/>
      <c r="K109" s="39">
        <f>IF(AND(I109&lt;&gt;"",J109&lt;&gt;""),I109*J109,"")</f>
        <v/>
      </c>
      <c r="L109" s="22" t="n"/>
      <c r="M109" s="22" t="n"/>
      <c r="N109" s="24" t="n"/>
      <c r="O109" s="24" t="n"/>
    </row>
    <row r="110">
      <c r="A110" s="34" t="n"/>
      <c r="B110" s="35">
        <f>IF(A110="","",YEAR(A110))</f>
        <v/>
      </c>
      <c r="C110" s="36">
        <f>IF(A110="","",MONTH(A110))</f>
        <v/>
      </c>
      <c r="D110" s="37">
        <f>IF(A110="","","Q"&amp;ROUNDUP(MONTH(A110)/3,0))</f>
        <v/>
      </c>
      <c r="E110" s="18" t="n"/>
      <c r="F110" s="18" t="n"/>
      <c r="G110" s="40">
        <f>IFERROR(VLOOKUP(F110,M2_거래처마스터!A:E,3,FALSE),"")</f>
        <v/>
      </c>
      <c r="H110" s="18" t="n"/>
      <c r="I110" s="19" t="n"/>
      <c r="J110" s="20" t="n"/>
      <c r="K110" s="39">
        <f>IF(AND(I110&lt;&gt;"",J110&lt;&gt;""),I110*J110,"")</f>
        <v/>
      </c>
      <c r="L110" s="18" t="n"/>
      <c r="M110" s="18" t="n"/>
      <c r="N110" s="20" t="n"/>
      <c r="O110" s="20" t="n"/>
    </row>
    <row r="111">
      <c r="A111" s="41" t="n"/>
      <c r="B111" s="35">
        <f>IF(A111="","",YEAR(A111))</f>
        <v/>
      </c>
      <c r="C111" s="36">
        <f>IF(A111="","",MONTH(A111))</f>
        <v/>
      </c>
      <c r="D111" s="37">
        <f>IF(A111="","","Q"&amp;ROUNDUP(MONTH(A111)/3,0))</f>
        <v/>
      </c>
      <c r="E111" s="22" t="n"/>
      <c r="F111" s="22" t="n"/>
      <c r="G111" s="40">
        <f>IFERROR(VLOOKUP(F111,M2_거래처마스터!A:E,3,FALSE),"")</f>
        <v/>
      </c>
      <c r="H111" s="22" t="n"/>
      <c r="I111" s="23" t="n"/>
      <c r="J111" s="24" t="n"/>
      <c r="K111" s="39">
        <f>IF(AND(I111&lt;&gt;"",J111&lt;&gt;""),I111*J111,"")</f>
        <v/>
      </c>
      <c r="L111" s="22" t="n"/>
      <c r="M111" s="22" t="n"/>
      <c r="N111" s="24" t="n"/>
      <c r="O111" s="24" t="n"/>
    </row>
    <row r="112">
      <c r="A112" s="34" t="n"/>
      <c r="B112" s="35">
        <f>IF(A112="","",YEAR(A112))</f>
        <v/>
      </c>
      <c r="C112" s="36">
        <f>IF(A112="","",MONTH(A112))</f>
        <v/>
      </c>
      <c r="D112" s="37">
        <f>IF(A112="","","Q"&amp;ROUNDUP(MONTH(A112)/3,0))</f>
        <v/>
      </c>
      <c r="E112" s="18" t="n"/>
      <c r="F112" s="18" t="n"/>
      <c r="G112" s="40">
        <f>IFERROR(VLOOKUP(F112,M2_거래처마스터!A:E,3,FALSE),"")</f>
        <v/>
      </c>
      <c r="H112" s="18" t="n"/>
      <c r="I112" s="19" t="n"/>
      <c r="J112" s="20" t="n"/>
      <c r="K112" s="39">
        <f>IF(AND(I112&lt;&gt;"",J112&lt;&gt;""),I112*J112,"")</f>
        <v/>
      </c>
      <c r="L112" s="18" t="n"/>
      <c r="M112" s="18" t="n"/>
      <c r="N112" s="20" t="n"/>
      <c r="O112" s="20" t="n"/>
    </row>
    <row r="113">
      <c r="A113" s="41" t="n"/>
      <c r="B113" s="35">
        <f>IF(A113="","",YEAR(A113))</f>
        <v/>
      </c>
      <c r="C113" s="36">
        <f>IF(A113="","",MONTH(A113))</f>
        <v/>
      </c>
      <c r="D113" s="37">
        <f>IF(A113="","","Q"&amp;ROUNDUP(MONTH(A113)/3,0))</f>
        <v/>
      </c>
      <c r="E113" s="22" t="n"/>
      <c r="F113" s="22" t="n"/>
      <c r="G113" s="40">
        <f>IFERROR(VLOOKUP(F113,M2_거래처마스터!A:E,3,FALSE),"")</f>
        <v/>
      </c>
      <c r="H113" s="22" t="n"/>
      <c r="I113" s="23" t="n"/>
      <c r="J113" s="24" t="n"/>
      <c r="K113" s="39">
        <f>IF(AND(I113&lt;&gt;"",J113&lt;&gt;""),I113*J113,"")</f>
        <v/>
      </c>
      <c r="L113" s="22" t="n"/>
      <c r="M113" s="22" t="n"/>
      <c r="N113" s="24" t="n"/>
      <c r="O113" s="24" t="n"/>
    </row>
    <row r="114">
      <c r="A114" s="34" t="n"/>
      <c r="B114" s="35">
        <f>IF(A114="","",YEAR(A114))</f>
        <v/>
      </c>
      <c r="C114" s="36">
        <f>IF(A114="","",MONTH(A114))</f>
        <v/>
      </c>
      <c r="D114" s="37">
        <f>IF(A114="","","Q"&amp;ROUNDUP(MONTH(A114)/3,0))</f>
        <v/>
      </c>
      <c r="E114" s="18" t="n"/>
      <c r="F114" s="18" t="n"/>
      <c r="G114" s="40">
        <f>IFERROR(VLOOKUP(F114,M2_거래처마스터!A:E,3,FALSE),"")</f>
        <v/>
      </c>
      <c r="H114" s="18" t="n"/>
      <c r="I114" s="19" t="n"/>
      <c r="J114" s="20" t="n"/>
      <c r="K114" s="39">
        <f>IF(AND(I114&lt;&gt;"",J114&lt;&gt;""),I114*J114,"")</f>
        <v/>
      </c>
      <c r="L114" s="18" t="n"/>
      <c r="M114" s="18" t="n"/>
      <c r="N114" s="20" t="n"/>
      <c r="O114" s="20" t="n"/>
    </row>
    <row r="115">
      <c r="A115" s="41" t="n"/>
      <c r="B115" s="35">
        <f>IF(A115="","",YEAR(A115))</f>
        <v/>
      </c>
      <c r="C115" s="36">
        <f>IF(A115="","",MONTH(A115))</f>
        <v/>
      </c>
      <c r="D115" s="37">
        <f>IF(A115="","","Q"&amp;ROUNDUP(MONTH(A115)/3,0))</f>
        <v/>
      </c>
      <c r="E115" s="22" t="n"/>
      <c r="F115" s="22" t="n"/>
      <c r="G115" s="40">
        <f>IFERROR(VLOOKUP(F115,M2_거래처마스터!A:E,3,FALSE),"")</f>
        <v/>
      </c>
      <c r="H115" s="22" t="n"/>
      <c r="I115" s="23" t="n"/>
      <c r="J115" s="24" t="n"/>
      <c r="K115" s="39">
        <f>IF(AND(I115&lt;&gt;"",J115&lt;&gt;""),I115*J115,"")</f>
        <v/>
      </c>
      <c r="L115" s="22" t="n"/>
      <c r="M115" s="22" t="n"/>
      <c r="N115" s="24" t="n"/>
      <c r="O115" s="24" t="n"/>
    </row>
    <row r="116">
      <c r="A116" s="34" t="n"/>
      <c r="B116" s="35">
        <f>IF(A116="","",YEAR(A116))</f>
        <v/>
      </c>
      <c r="C116" s="36">
        <f>IF(A116="","",MONTH(A116))</f>
        <v/>
      </c>
      <c r="D116" s="37">
        <f>IF(A116="","","Q"&amp;ROUNDUP(MONTH(A116)/3,0))</f>
        <v/>
      </c>
      <c r="E116" s="18" t="n"/>
      <c r="F116" s="18" t="n"/>
      <c r="G116" s="40">
        <f>IFERROR(VLOOKUP(F116,M2_거래처마스터!A:E,3,FALSE),"")</f>
        <v/>
      </c>
      <c r="H116" s="18" t="n"/>
      <c r="I116" s="19" t="n"/>
      <c r="J116" s="20" t="n"/>
      <c r="K116" s="39">
        <f>IF(AND(I116&lt;&gt;"",J116&lt;&gt;""),I116*J116,"")</f>
        <v/>
      </c>
      <c r="L116" s="18" t="n"/>
      <c r="M116" s="18" t="n"/>
      <c r="N116" s="20" t="n"/>
      <c r="O116" s="20" t="n"/>
    </row>
    <row r="117">
      <c r="A117" s="41" t="n"/>
      <c r="B117" s="35">
        <f>IF(A117="","",YEAR(A117))</f>
        <v/>
      </c>
      <c r="C117" s="36">
        <f>IF(A117="","",MONTH(A117))</f>
        <v/>
      </c>
      <c r="D117" s="37">
        <f>IF(A117="","","Q"&amp;ROUNDUP(MONTH(A117)/3,0))</f>
        <v/>
      </c>
      <c r="E117" s="22" t="n"/>
      <c r="F117" s="22" t="n"/>
      <c r="G117" s="40">
        <f>IFERROR(VLOOKUP(F117,M2_거래처마스터!A:E,3,FALSE),"")</f>
        <v/>
      </c>
      <c r="H117" s="22" t="n"/>
      <c r="I117" s="23" t="n"/>
      <c r="J117" s="24" t="n"/>
      <c r="K117" s="39">
        <f>IF(AND(I117&lt;&gt;"",J117&lt;&gt;""),I117*J117,"")</f>
        <v/>
      </c>
      <c r="L117" s="22" t="n"/>
      <c r="M117" s="22" t="n"/>
      <c r="N117" s="24" t="n"/>
      <c r="O117" s="24" t="n"/>
    </row>
    <row r="118">
      <c r="A118" s="34" t="n"/>
      <c r="B118" s="35">
        <f>IF(A118="","",YEAR(A118))</f>
        <v/>
      </c>
      <c r="C118" s="36">
        <f>IF(A118="","",MONTH(A118))</f>
        <v/>
      </c>
      <c r="D118" s="37">
        <f>IF(A118="","","Q"&amp;ROUNDUP(MONTH(A118)/3,0))</f>
        <v/>
      </c>
      <c r="E118" s="18" t="n"/>
      <c r="F118" s="18" t="n"/>
      <c r="G118" s="40">
        <f>IFERROR(VLOOKUP(F118,M2_거래처마스터!A:E,3,FALSE),"")</f>
        <v/>
      </c>
      <c r="H118" s="18" t="n"/>
      <c r="I118" s="19" t="n"/>
      <c r="J118" s="20" t="n"/>
      <c r="K118" s="39">
        <f>IF(AND(I118&lt;&gt;"",J118&lt;&gt;""),I118*J118,"")</f>
        <v/>
      </c>
      <c r="L118" s="18" t="n"/>
      <c r="M118" s="18" t="n"/>
      <c r="N118" s="20" t="n"/>
      <c r="O118" s="20" t="n"/>
    </row>
    <row r="119">
      <c r="A119" s="41" t="n"/>
      <c r="B119" s="35">
        <f>IF(A119="","",YEAR(A119))</f>
        <v/>
      </c>
      <c r="C119" s="36">
        <f>IF(A119="","",MONTH(A119))</f>
        <v/>
      </c>
      <c r="D119" s="37">
        <f>IF(A119="","","Q"&amp;ROUNDUP(MONTH(A119)/3,0))</f>
        <v/>
      </c>
      <c r="E119" s="22" t="n"/>
      <c r="F119" s="22" t="n"/>
      <c r="G119" s="40">
        <f>IFERROR(VLOOKUP(F119,M2_거래처마스터!A:E,3,FALSE),"")</f>
        <v/>
      </c>
      <c r="H119" s="22" t="n"/>
      <c r="I119" s="23" t="n"/>
      <c r="J119" s="24" t="n"/>
      <c r="K119" s="39">
        <f>IF(AND(I119&lt;&gt;"",J119&lt;&gt;""),I119*J119,"")</f>
        <v/>
      </c>
      <c r="L119" s="22" t="n"/>
      <c r="M119" s="22" t="n"/>
      <c r="N119" s="24" t="n"/>
      <c r="O119" s="24" t="n"/>
    </row>
    <row r="120">
      <c r="A120" s="34" t="n"/>
      <c r="B120" s="35">
        <f>IF(A120="","",YEAR(A120))</f>
        <v/>
      </c>
      <c r="C120" s="36">
        <f>IF(A120="","",MONTH(A120))</f>
        <v/>
      </c>
      <c r="D120" s="37">
        <f>IF(A120="","","Q"&amp;ROUNDUP(MONTH(A120)/3,0))</f>
        <v/>
      </c>
      <c r="E120" s="18" t="n"/>
      <c r="F120" s="18" t="n"/>
      <c r="G120" s="40">
        <f>IFERROR(VLOOKUP(F120,M2_거래처마스터!A:E,3,FALSE),"")</f>
        <v/>
      </c>
      <c r="H120" s="18" t="n"/>
      <c r="I120" s="19" t="n"/>
      <c r="J120" s="20" t="n"/>
      <c r="K120" s="39">
        <f>IF(AND(I120&lt;&gt;"",J120&lt;&gt;""),I120*J120,"")</f>
        <v/>
      </c>
      <c r="L120" s="18" t="n"/>
      <c r="M120" s="18" t="n"/>
      <c r="N120" s="20" t="n"/>
      <c r="O120" s="20" t="n"/>
    </row>
    <row r="121">
      <c r="A121" s="41" t="n"/>
      <c r="B121" s="35">
        <f>IF(A121="","",YEAR(A121))</f>
        <v/>
      </c>
      <c r="C121" s="36">
        <f>IF(A121="","",MONTH(A121))</f>
        <v/>
      </c>
      <c r="D121" s="37">
        <f>IF(A121="","","Q"&amp;ROUNDUP(MONTH(A121)/3,0))</f>
        <v/>
      </c>
      <c r="E121" s="22" t="n"/>
      <c r="F121" s="22" t="n"/>
      <c r="G121" s="40">
        <f>IFERROR(VLOOKUP(F121,M2_거래처마스터!A:E,3,FALSE),"")</f>
        <v/>
      </c>
      <c r="H121" s="22" t="n"/>
      <c r="I121" s="23" t="n"/>
      <c r="J121" s="24" t="n"/>
      <c r="K121" s="39">
        <f>IF(AND(I121&lt;&gt;"",J121&lt;&gt;""),I121*J121,"")</f>
        <v/>
      </c>
      <c r="L121" s="22" t="n"/>
      <c r="M121" s="22" t="n"/>
      <c r="N121" s="24" t="n"/>
      <c r="O121" s="24" t="n"/>
    </row>
    <row r="122">
      <c r="A122" s="34" t="n"/>
      <c r="B122" s="35">
        <f>IF(A122="","",YEAR(A122))</f>
        <v/>
      </c>
      <c r="C122" s="36">
        <f>IF(A122="","",MONTH(A122))</f>
        <v/>
      </c>
      <c r="D122" s="37">
        <f>IF(A122="","","Q"&amp;ROUNDUP(MONTH(A122)/3,0))</f>
        <v/>
      </c>
      <c r="E122" s="18" t="n"/>
      <c r="F122" s="18" t="n"/>
      <c r="G122" s="40">
        <f>IFERROR(VLOOKUP(F122,M2_거래처마스터!A:E,3,FALSE),"")</f>
        <v/>
      </c>
      <c r="H122" s="18" t="n"/>
      <c r="I122" s="19" t="n"/>
      <c r="J122" s="20" t="n"/>
      <c r="K122" s="39">
        <f>IF(AND(I122&lt;&gt;"",J122&lt;&gt;""),I122*J122,"")</f>
        <v/>
      </c>
      <c r="L122" s="18" t="n"/>
      <c r="M122" s="18" t="n"/>
      <c r="N122" s="20" t="n"/>
      <c r="O122" s="20" t="n"/>
    </row>
    <row r="123">
      <c r="A123" s="41" t="n"/>
      <c r="B123" s="35">
        <f>IF(A123="","",YEAR(A123))</f>
        <v/>
      </c>
      <c r="C123" s="36">
        <f>IF(A123="","",MONTH(A123))</f>
        <v/>
      </c>
      <c r="D123" s="37">
        <f>IF(A123="","","Q"&amp;ROUNDUP(MONTH(A123)/3,0))</f>
        <v/>
      </c>
      <c r="E123" s="22" t="n"/>
      <c r="F123" s="22" t="n"/>
      <c r="G123" s="40">
        <f>IFERROR(VLOOKUP(F123,M2_거래처마스터!A:E,3,FALSE),"")</f>
        <v/>
      </c>
      <c r="H123" s="22" t="n"/>
      <c r="I123" s="23" t="n"/>
      <c r="J123" s="24" t="n"/>
      <c r="K123" s="39">
        <f>IF(AND(I123&lt;&gt;"",J123&lt;&gt;""),I123*J123,"")</f>
        <v/>
      </c>
      <c r="L123" s="22" t="n"/>
      <c r="M123" s="22" t="n"/>
      <c r="N123" s="24" t="n"/>
      <c r="O123" s="24" t="n"/>
    </row>
    <row r="124">
      <c r="A124" s="34" t="n"/>
      <c r="B124" s="35">
        <f>IF(A124="","",YEAR(A124))</f>
        <v/>
      </c>
      <c r="C124" s="36">
        <f>IF(A124="","",MONTH(A124))</f>
        <v/>
      </c>
      <c r="D124" s="37">
        <f>IF(A124="","","Q"&amp;ROUNDUP(MONTH(A124)/3,0))</f>
        <v/>
      </c>
      <c r="E124" s="18" t="n"/>
      <c r="F124" s="18" t="n"/>
      <c r="G124" s="40">
        <f>IFERROR(VLOOKUP(F124,M2_거래처마스터!A:E,3,FALSE),"")</f>
        <v/>
      </c>
      <c r="H124" s="18" t="n"/>
      <c r="I124" s="19" t="n"/>
      <c r="J124" s="20" t="n"/>
      <c r="K124" s="39">
        <f>IF(AND(I124&lt;&gt;"",J124&lt;&gt;""),I124*J124,"")</f>
        <v/>
      </c>
      <c r="L124" s="18" t="n"/>
      <c r="M124" s="18" t="n"/>
      <c r="N124" s="20" t="n"/>
      <c r="O124" s="20" t="n"/>
    </row>
    <row r="125">
      <c r="A125" s="41" t="n"/>
      <c r="B125" s="35">
        <f>IF(A125="","",YEAR(A125))</f>
        <v/>
      </c>
      <c r="C125" s="36">
        <f>IF(A125="","",MONTH(A125))</f>
        <v/>
      </c>
      <c r="D125" s="37">
        <f>IF(A125="","","Q"&amp;ROUNDUP(MONTH(A125)/3,0))</f>
        <v/>
      </c>
      <c r="E125" s="22" t="n"/>
      <c r="F125" s="22" t="n"/>
      <c r="G125" s="40">
        <f>IFERROR(VLOOKUP(F125,M2_거래처마스터!A:E,3,FALSE),"")</f>
        <v/>
      </c>
      <c r="H125" s="22" t="n"/>
      <c r="I125" s="23" t="n"/>
      <c r="J125" s="24" t="n"/>
      <c r="K125" s="39">
        <f>IF(AND(I125&lt;&gt;"",J125&lt;&gt;""),I125*J125,"")</f>
        <v/>
      </c>
      <c r="L125" s="22" t="n"/>
      <c r="M125" s="22" t="n"/>
      <c r="N125" s="24" t="n"/>
      <c r="O125" s="24" t="n"/>
    </row>
    <row r="126">
      <c r="A126" s="34" t="n"/>
      <c r="B126" s="35">
        <f>IF(A126="","",YEAR(A126))</f>
        <v/>
      </c>
      <c r="C126" s="36">
        <f>IF(A126="","",MONTH(A126))</f>
        <v/>
      </c>
      <c r="D126" s="37">
        <f>IF(A126="","","Q"&amp;ROUNDUP(MONTH(A126)/3,0))</f>
        <v/>
      </c>
      <c r="E126" s="18" t="n"/>
      <c r="F126" s="18" t="n"/>
      <c r="G126" s="40">
        <f>IFERROR(VLOOKUP(F126,M2_거래처마스터!A:E,3,FALSE),"")</f>
        <v/>
      </c>
      <c r="H126" s="18" t="n"/>
      <c r="I126" s="19" t="n"/>
      <c r="J126" s="20" t="n"/>
      <c r="K126" s="39">
        <f>IF(AND(I126&lt;&gt;"",J126&lt;&gt;""),I126*J126,"")</f>
        <v/>
      </c>
      <c r="L126" s="18" t="n"/>
      <c r="M126" s="18" t="n"/>
      <c r="N126" s="20" t="n"/>
      <c r="O126" s="20" t="n"/>
    </row>
    <row r="127">
      <c r="A127" s="41" t="n"/>
      <c r="B127" s="35">
        <f>IF(A127="","",YEAR(A127))</f>
        <v/>
      </c>
      <c r="C127" s="36">
        <f>IF(A127="","",MONTH(A127))</f>
        <v/>
      </c>
      <c r="D127" s="37">
        <f>IF(A127="","","Q"&amp;ROUNDUP(MONTH(A127)/3,0))</f>
        <v/>
      </c>
      <c r="E127" s="22" t="n"/>
      <c r="F127" s="22" t="n"/>
      <c r="G127" s="40">
        <f>IFERROR(VLOOKUP(F127,M2_거래처마스터!A:E,3,FALSE),"")</f>
        <v/>
      </c>
      <c r="H127" s="22" t="n"/>
      <c r="I127" s="23" t="n"/>
      <c r="J127" s="24" t="n"/>
      <c r="K127" s="39">
        <f>IF(AND(I127&lt;&gt;"",J127&lt;&gt;""),I127*J127,"")</f>
        <v/>
      </c>
      <c r="L127" s="22" t="n"/>
      <c r="M127" s="22" t="n"/>
      <c r="N127" s="24" t="n"/>
      <c r="O127" s="24" t="n"/>
    </row>
    <row r="128">
      <c r="A128" s="34" t="n"/>
      <c r="B128" s="35">
        <f>IF(A128="","",YEAR(A128))</f>
        <v/>
      </c>
      <c r="C128" s="36">
        <f>IF(A128="","",MONTH(A128))</f>
        <v/>
      </c>
      <c r="D128" s="37">
        <f>IF(A128="","","Q"&amp;ROUNDUP(MONTH(A128)/3,0))</f>
        <v/>
      </c>
      <c r="E128" s="18" t="n"/>
      <c r="F128" s="18" t="n"/>
      <c r="G128" s="40">
        <f>IFERROR(VLOOKUP(F128,M2_거래처마스터!A:E,3,FALSE),"")</f>
        <v/>
      </c>
      <c r="H128" s="18" t="n"/>
      <c r="I128" s="19" t="n"/>
      <c r="J128" s="20" t="n"/>
      <c r="K128" s="39">
        <f>IF(AND(I128&lt;&gt;"",J128&lt;&gt;""),I128*J128,"")</f>
        <v/>
      </c>
      <c r="L128" s="18" t="n"/>
      <c r="M128" s="18" t="n"/>
      <c r="N128" s="20" t="n"/>
      <c r="O128" s="20" t="n"/>
    </row>
    <row r="129">
      <c r="A129" s="41" t="n"/>
      <c r="B129" s="35">
        <f>IF(A129="","",YEAR(A129))</f>
        <v/>
      </c>
      <c r="C129" s="36">
        <f>IF(A129="","",MONTH(A129))</f>
        <v/>
      </c>
      <c r="D129" s="37">
        <f>IF(A129="","","Q"&amp;ROUNDUP(MONTH(A129)/3,0))</f>
        <v/>
      </c>
      <c r="E129" s="22" t="n"/>
      <c r="F129" s="22" t="n"/>
      <c r="G129" s="40">
        <f>IFERROR(VLOOKUP(F129,M2_거래처마스터!A:E,3,FALSE),"")</f>
        <v/>
      </c>
      <c r="H129" s="22" t="n"/>
      <c r="I129" s="23" t="n"/>
      <c r="J129" s="24" t="n"/>
      <c r="K129" s="39">
        <f>IF(AND(I129&lt;&gt;"",J129&lt;&gt;""),I129*J129,"")</f>
        <v/>
      </c>
      <c r="L129" s="22" t="n"/>
      <c r="M129" s="22" t="n"/>
      <c r="N129" s="24" t="n"/>
      <c r="O129" s="24" t="n"/>
    </row>
    <row r="130">
      <c r="A130" s="34" t="n"/>
      <c r="B130" s="35">
        <f>IF(A130="","",YEAR(A130))</f>
        <v/>
      </c>
      <c r="C130" s="36">
        <f>IF(A130="","",MONTH(A130))</f>
        <v/>
      </c>
      <c r="D130" s="37">
        <f>IF(A130="","","Q"&amp;ROUNDUP(MONTH(A130)/3,0))</f>
        <v/>
      </c>
      <c r="E130" s="18" t="n"/>
      <c r="F130" s="18" t="n"/>
      <c r="G130" s="40">
        <f>IFERROR(VLOOKUP(F130,M2_거래처마스터!A:E,3,FALSE),"")</f>
        <v/>
      </c>
      <c r="H130" s="18" t="n"/>
      <c r="I130" s="19" t="n"/>
      <c r="J130" s="20" t="n"/>
      <c r="K130" s="39">
        <f>IF(AND(I130&lt;&gt;"",J130&lt;&gt;""),I130*J130,"")</f>
        <v/>
      </c>
      <c r="L130" s="18" t="n"/>
      <c r="M130" s="18" t="n"/>
      <c r="N130" s="20" t="n"/>
      <c r="O130" s="20" t="n"/>
    </row>
    <row r="131">
      <c r="A131" s="41" t="n"/>
      <c r="B131" s="35">
        <f>IF(A131="","",YEAR(A131))</f>
        <v/>
      </c>
      <c r="C131" s="36">
        <f>IF(A131="","",MONTH(A131))</f>
        <v/>
      </c>
      <c r="D131" s="37">
        <f>IF(A131="","","Q"&amp;ROUNDUP(MONTH(A131)/3,0))</f>
        <v/>
      </c>
      <c r="E131" s="22" t="n"/>
      <c r="F131" s="22" t="n"/>
      <c r="G131" s="40">
        <f>IFERROR(VLOOKUP(F131,M2_거래처마스터!A:E,3,FALSE),"")</f>
        <v/>
      </c>
      <c r="H131" s="22" t="n"/>
      <c r="I131" s="23" t="n"/>
      <c r="J131" s="24" t="n"/>
      <c r="K131" s="39">
        <f>IF(AND(I131&lt;&gt;"",J131&lt;&gt;""),I131*J131,"")</f>
        <v/>
      </c>
      <c r="L131" s="22" t="n"/>
      <c r="M131" s="22" t="n"/>
      <c r="N131" s="24" t="n"/>
      <c r="O131" s="24" t="n"/>
    </row>
    <row r="132">
      <c r="A132" s="34" t="n"/>
      <c r="B132" s="35">
        <f>IF(A132="","",YEAR(A132))</f>
        <v/>
      </c>
      <c r="C132" s="36">
        <f>IF(A132="","",MONTH(A132))</f>
        <v/>
      </c>
      <c r="D132" s="37">
        <f>IF(A132="","","Q"&amp;ROUNDUP(MONTH(A132)/3,0))</f>
        <v/>
      </c>
      <c r="E132" s="18" t="n"/>
      <c r="F132" s="18" t="n"/>
      <c r="G132" s="40">
        <f>IFERROR(VLOOKUP(F132,M2_거래처마스터!A:E,3,FALSE),"")</f>
        <v/>
      </c>
      <c r="H132" s="18" t="n"/>
      <c r="I132" s="19" t="n"/>
      <c r="J132" s="20" t="n"/>
      <c r="K132" s="39">
        <f>IF(AND(I132&lt;&gt;"",J132&lt;&gt;""),I132*J132,"")</f>
        <v/>
      </c>
      <c r="L132" s="18" t="n"/>
      <c r="M132" s="18" t="n"/>
      <c r="N132" s="20" t="n"/>
      <c r="O132" s="20" t="n"/>
    </row>
    <row r="133">
      <c r="A133" s="41" t="n"/>
      <c r="B133" s="35">
        <f>IF(A133="","",YEAR(A133))</f>
        <v/>
      </c>
      <c r="C133" s="36">
        <f>IF(A133="","",MONTH(A133))</f>
        <v/>
      </c>
      <c r="D133" s="37">
        <f>IF(A133="","","Q"&amp;ROUNDUP(MONTH(A133)/3,0))</f>
        <v/>
      </c>
      <c r="E133" s="22" t="n"/>
      <c r="F133" s="22" t="n"/>
      <c r="G133" s="40">
        <f>IFERROR(VLOOKUP(F133,M2_거래처마스터!A:E,3,FALSE),"")</f>
        <v/>
      </c>
      <c r="H133" s="22" t="n"/>
      <c r="I133" s="23" t="n"/>
      <c r="J133" s="24" t="n"/>
      <c r="K133" s="39">
        <f>IF(AND(I133&lt;&gt;"",J133&lt;&gt;""),I133*J133,"")</f>
        <v/>
      </c>
      <c r="L133" s="22" t="n"/>
      <c r="M133" s="22" t="n"/>
      <c r="N133" s="24" t="n"/>
      <c r="O133" s="24" t="n"/>
    </row>
    <row r="134">
      <c r="A134" s="34" t="n"/>
      <c r="B134" s="35">
        <f>IF(A134="","",YEAR(A134))</f>
        <v/>
      </c>
      <c r="C134" s="36">
        <f>IF(A134="","",MONTH(A134))</f>
        <v/>
      </c>
      <c r="D134" s="37">
        <f>IF(A134="","","Q"&amp;ROUNDUP(MONTH(A134)/3,0))</f>
        <v/>
      </c>
      <c r="E134" s="18" t="n"/>
      <c r="F134" s="18" t="n"/>
      <c r="G134" s="40">
        <f>IFERROR(VLOOKUP(F134,M2_거래처마스터!A:E,3,FALSE),"")</f>
        <v/>
      </c>
      <c r="H134" s="18" t="n"/>
      <c r="I134" s="19" t="n"/>
      <c r="J134" s="20" t="n"/>
      <c r="K134" s="39">
        <f>IF(AND(I134&lt;&gt;"",J134&lt;&gt;""),I134*J134,"")</f>
        <v/>
      </c>
      <c r="L134" s="18" t="n"/>
      <c r="M134" s="18" t="n"/>
      <c r="N134" s="20" t="n"/>
      <c r="O134" s="20" t="n"/>
    </row>
    <row r="135">
      <c r="A135" s="41" t="n"/>
      <c r="B135" s="35">
        <f>IF(A135="","",YEAR(A135))</f>
        <v/>
      </c>
      <c r="C135" s="36">
        <f>IF(A135="","",MONTH(A135))</f>
        <v/>
      </c>
      <c r="D135" s="37">
        <f>IF(A135="","","Q"&amp;ROUNDUP(MONTH(A135)/3,0))</f>
        <v/>
      </c>
      <c r="E135" s="22" t="n"/>
      <c r="F135" s="22" t="n"/>
      <c r="G135" s="40">
        <f>IFERROR(VLOOKUP(F135,M2_거래처마스터!A:E,3,FALSE),"")</f>
        <v/>
      </c>
      <c r="H135" s="22" t="n"/>
      <c r="I135" s="23" t="n"/>
      <c r="J135" s="24" t="n"/>
      <c r="K135" s="39">
        <f>IF(AND(I135&lt;&gt;"",J135&lt;&gt;""),I135*J135,"")</f>
        <v/>
      </c>
      <c r="L135" s="22" t="n"/>
      <c r="M135" s="22" t="n"/>
      <c r="N135" s="24" t="n"/>
      <c r="O135" s="24" t="n"/>
    </row>
    <row r="136">
      <c r="A136" s="34" t="n"/>
      <c r="B136" s="35">
        <f>IF(A136="","",YEAR(A136))</f>
        <v/>
      </c>
      <c r="C136" s="36">
        <f>IF(A136="","",MONTH(A136))</f>
        <v/>
      </c>
      <c r="D136" s="37">
        <f>IF(A136="","","Q"&amp;ROUNDUP(MONTH(A136)/3,0))</f>
        <v/>
      </c>
      <c r="E136" s="18" t="n"/>
      <c r="F136" s="18" t="n"/>
      <c r="G136" s="40">
        <f>IFERROR(VLOOKUP(F136,M2_거래처마스터!A:E,3,FALSE),"")</f>
        <v/>
      </c>
      <c r="H136" s="18" t="n"/>
      <c r="I136" s="19" t="n"/>
      <c r="J136" s="20" t="n"/>
      <c r="K136" s="39">
        <f>IF(AND(I136&lt;&gt;"",J136&lt;&gt;""),I136*J136,"")</f>
        <v/>
      </c>
      <c r="L136" s="18" t="n"/>
      <c r="M136" s="18" t="n"/>
      <c r="N136" s="20" t="n"/>
      <c r="O136" s="20" t="n"/>
    </row>
    <row r="137">
      <c r="A137" s="41" t="n"/>
      <c r="B137" s="35">
        <f>IF(A137="","",YEAR(A137))</f>
        <v/>
      </c>
      <c r="C137" s="36">
        <f>IF(A137="","",MONTH(A137))</f>
        <v/>
      </c>
      <c r="D137" s="37">
        <f>IF(A137="","","Q"&amp;ROUNDUP(MONTH(A137)/3,0))</f>
        <v/>
      </c>
      <c r="E137" s="22" t="n"/>
      <c r="F137" s="22" t="n"/>
      <c r="G137" s="40">
        <f>IFERROR(VLOOKUP(F137,M2_거래처마스터!A:E,3,FALSE),"")</f>
        <v/>
      </c>
      <c r="H137" s="22" t="n"/>
      <c r="I137" s="23" t="n"/>
      <c r="J137" s="24" t="n"/>
      <c r="K137" s="39">
        <f>IF(AND(I137&lt;&gt;"",J137&lt;&gt;""),I137*J137,"")</f>
        <v/>
      </c>
      <c r="L137" s="22" t="n"/>
      <c r="M137" s="22" t="n"/>
      <c r="N137" s="24" t="n"/>
      <c r="O137" s="24" t="n"/>
    </row>
    <row r="138">
      <c r="A138" s="34" t="n"/>
      <c r="B138" s="35">
        <f>IF(A138="","",YEAR(A138))</f>
        <v/>
      </c>
      <c r="C138" s="36">
        <f>IF(A138="","",MONTH(A138))</f>
        <v/>
      </c>
      <c r="D138" s="37">
        <f>IF(A138="","","Q"&amp;ROUNDUP(MONTH(A138)/3,0))</f>
        <v/>
      </c>
      <c r="E138" s="18" t="n"/>
      <c r="F138" s="18" t="n"/>
      <c r="G138" s="40">
        <f>IFERROR(VLOOKUP(F138,M2_거래처마스터!A:E,3,FALSE),"")</f>
        <v/>
      </c>
      <c r="H138" s="18" t="n"/>
      <c r="I138" s="19" t="n"/>
      <c r="J138" s="20" t="n"/>
      <c r="K138" s="39">
        <f>IF(AND(I138&lt;&gt;"",J138&lt;&gt;""),I138*J138,"")</f>
        <v/>
      </c>
      <c r="L138" s="18" t="n"/>
      <c r="M138" s="18" t="n"/>
      <c r="N138" s="20" t="n"/>
      <c r="O138" s="20" t="n"/>
    </row>
    <row r="139">
      <c r="A139" s="41" t="n"/>
      <c r="B139" s="35">
        <f>IF(A139="","",YEAR(A139))</f>
        <v/>
      </c>
      <c r="C139" s="36">
        <f>IF(A139="","",MONTH(A139))</f>
        <v/>
      </c>
      <c r="D139" s="37">
        <f>IF(A139="","","Q"&amp;ROUNDUP(MONTH(A139)/3,0))</f>
        <v/>
      </c>
      <c r="E139" s="22" t="n"/>
      <c r="F139" s="22" t="n"/>
      <c r="G139" s="40">
        <f>IFERROR(VLOOKUP(F139,M2_거래처마스터!A:E,3,FALSE),"")</f>
        <v/>
      </c>
      <c r="H139" s="22" t="n"/>
      <c r="I139" s="23" t="n"/>
      <c r="J139" s="24" t="n"/>
      <c r="K139" s="39">
        <f>IF(AND(I139&lt;&gt;"",J139&lt;&gt;""),I139*J139,"")</f>
        <v/>
      </c>
      <c r="L139" s="22" t="n"/>
      <c r="M139" s="22" t="n"/>
      <c r="N139" s="24" t="n"/>
      <c r="O139" s="24" t="n"/>
    </row>
    <row r="140">
      <c r="A140" s="34" t="n"/>
      <c r="B140" s="35">
        <f>IF(A140="","",YEAR(A140))</f>
        <v/>
      </c>
      <c r="C140" s="36">
        <f>IF(A140="","",MONTH(A140))</f>
        <v/>
      </c>
      <c r="D140" s="37">
        <f>IF(A140="","","Q"&amp;ROUNDUP(MONTH(A140)/3,0))</f>
        <v/>
      </c>
      <c r="E140" s="18" t="n"/>
      <c r="F140" s="18" t="n"/>
      <c r="G140" s="40">
        <f>IFERROR(VLOOKUP(F140,M2_거래처마스터!A:E,3,FALSE),"")</f>
        <v/>
      </c>
      <c r="H140" s="18" t="n"/>
      <c r="I140" s="19" t="n"/>
      <c r="J140" s="20" t="n"/>
      <c r="K140" s="39">
        <f>IF(AND(I140&lt;&gt;"",J140&lt;&gt;""),I140*J140,"")</f>
        <v/>
      </c>
      <c r="L140" s="18" t="n"/>
      <c r="M140" s="18" t="n"/>
      <c r="N140" s="20" t="n"/>
      <c r="O140" s="20" t="n"/>
    </row>
    <row r="141">
      <c r="A141" s="41" t="n"/>
      <c r="B141" s="35">
        <f>IF(A141="","",YEAR(A141))</f>
        <v/>
      </c>
      <c r="C141" s="36">
        <f>IF(A141="","",MONTH(A141))</f>
        <v/>
      </c>
      <c r="D141" s="37">
        <f>IF(A141="","","Q"&amp;ROUNDUP(MONTH(A141)/3,0))</f>
        <v/>
      </c>
      <c r="E141" s="22" t="n"/>
      <c r="F141" s="22" t="n"/>
      <c r="G141" s="40">
        <f>IFERROR(VLOOKUP(F141,M2_거래처마스터!A:E,3,FALSE),"")</f>
        <v/>
      </c>
      <c r="H141" s="22" t="n"/>
      <c r="I141" s="23" t="n"/>
      <c r="J141" s="24" t="n"/>
      <c r="K141" s="39">
        <f>IF(AND(I141&lt;&gt;"",J141&lt;&gt;""),I141*J141,"")</f>
        <v/>
      </c>
      <c r="L141" s="22" t="n"/>
      <c r="M141" s="22" t="n"/>
      <c r="N141" s="24" t="n"/>
      <c r="O141" s="24" t="n"/>
    </row>
    <row r="142">
      <c r="A142" s="34" t="n"/>
      <c r="B142" s="35">
        <f>IF(A142="","",YEAR(A142))</f>
        <v/>
      </c>
      <c r="C142" s="36">
        <f>IF(A142="","",MONTH(A142))</f>
        <v/>
      </c>
      <c r="D142" s="37">
        <f>IF(A142="","","Q"&amp;ROUNDUP(MONTH(A142)/3,0))</f>
        <v/>
      </c>
      <c r="E142" s="18" t="n"/>
      <c r="F142" s="18" t="n"/>
      <c r="G142" s="40">
        <f>IFERROR(VLOOKUP(F142,M2_거래처마스터!A:E,3,FALSE),"")</f>
        <v/>
      </c>
      <c r="H142" s="18" t="n"/>
      <c r="I142" s="19" t="n"/>
      <c r="J142" s="20" t="n"/>
      <c r="K142" s="39">
        <f>IF(AND(I142&lt;&gt;"",J142&lt;&gt;""),I142*J142,"")</f>
        <v/>
      </c>
      <c r="L142" s="18" t="n"/>
      <c r="M142" s="18" t="n"/>
      <c r="N142" s="20" t="n"/>
      <c r="O142" s="20" t="n"/>
    </row>
    <row r="143">
      <c r="A143" s="41" t="n"/>
      <c r="B143" s="35">
        <f>IF(A143="","",YEAR(A143))</f>
        <v/>
      </c>
      <c r="C143" s="36">
        <f>IF(A143="","",MONTH(A143))</f>
        <v/>
      </c>
      <c r="D143" s="37">
        <f>IF(A143="","","Q"&amp;ROUNDUP(MONTH(A143)/3,0))</f>
        <v/>
      </c>
      <c r="E143" s="22" t="n"/>
      <c r="F143" s="22" t="n"/>
      <c r="G143" s="40">
        <f>IFERROR(VLOOKUP(F143,M2_거래처마스터!A:E,3,FALSE),"")</f>
        <v/>
      </c>
      <c r="H143" s="22" t="n"/>
      <c r="I143" s="23" t="n"/>
      <c r="J143" s="24" t="n"/>
      <c r="K143" s="39">
        <f>IF(AND(I143&lt;&gt;"",J143&lt;&gt;""),I143*J143,"")</f>
        <v/>
      </c>
      <c r="L143" s="22" t="n"/>
      <c r="M143" s="22" t="n"/>
      <c r="N143" s="24" t="n"/>
      <c r="O143" s="24" t="n"/>
    </row>
    <row r="144">
      <c r="A144" s="34" t="n"/>
      <c r="B144" s="35">
        <f>IF(A144="","",YEAR(A144))</f>
        <v/>
      </c>
      <c r="C144" s="36">
        <f>IF(A144="","",MONTH(A144))</f>
        <v/>
      </c>
      <c r="D144" s="37">
        <f>IF(A144="","","Q"&amp;ROUNDUP(MONTH(A144)/3,0))</f>
        <v/>
      </c>
      <c r="E144" s="18" t="n"/>
      <c r="F144" s="18" t="n"/>
      <c r="G144" s="40">
        <f>IFERROR(VLOOKUP(F144,M2_거래처마스터!A:E,3,FALSE),"")</f>
        <v/>
      </c>
      <c r="H144" s="18" t="n"/>
      <c r="I144" s="19" t="n"/>
      <c r="J144" s="20" t="n"/>
      <c r="K144" s="39">
        <f>IF(AND(I144&lt;&gt;"",J144&lt;&gt;""),I144*J144,"")</f>
        <v/>
      </c>
      <c r="L144" s="18" t="n"/>
      <c r="M144" s="18" t="n"/>
      <c r="N144" s="20" t="n"/>
      <c r="O144" s="20" t="n"/>
    </row>
    <row r="145">
      <c r="A145" s="41" t="n"/>
      <c r="B145" s="35">
        <f>IF(A145="","",YEAR(A145))</f>
        <v/>
      </c>
      <c r="C145" s="36">
        <f>IF(A145="","",MONTH(A145))</f>
        <v/>
      </c>
      <c r="D145" s="37">
        <f>IF(A145="","","Q"&amp;ROUNDUP(MONTH(A145)/3,0))</f>
        <v/>
      </c>
      <c r="E145" s="22" t="n"/>
      <c r="F145" s="22" t="n"/>
      <c r="G145" s="40">
        <f>IFERROR(VLOOKUP(F145,M2_거래처마스터!A:E,3,FALSE),"")</f>
        <v/>
      </c>
      <c r="H145" s="22" t="n"/>
      <c r="I145" s="23" t="n"/>
      <c r="J145" s="24" t="n"/>
      <c r="K145" s="39">
        <f>IF(AND(I145&lt;&gt;"",J145&lt;&gt;""),I145*J145,"")</f>
        <v/>
      </c>
      <c r="L145" s="22" t="n"/>
      <c r="M145" s="22" t="n"/>
      <c r="N145" s="24" t="n"/>
      <c r="O145" s="24" t="n"/>
    </row>
    <row r="146">
      <c r="A146" s="34" t="n"/>
      <c r="B146" s="35">
        <f>IF(A146="","",YEAR(A146))</f>
        <v/>
      </c>
      <c r="C146" s="36">
        <f>IF(A146="","",MONTH(A146))</f>
        <v/>
      </c>
      <c r="D146" s="37">
        <f>IF(A146="","","Q"&amp;ROUNDUP(MONTH(A146)/3,0))</f>
        <v/>
      </c>
      <c r="E146" s="18" t="n"/>
      <c r="F146" s="18" t="n"/>
      <c r="G146" s="40">
        <f>IFERROR(VLOOKUP(F146,M2_거래처마스터!A:E,3,FALSE),"")</f>
        <v/>
      </c>
      <c r="H146" s="18" t="n"/>
      <c r="I146" s="19" t="n"/>
      <c r="J146" s="20" t="n"/>
      <c r="K146" s="39">
        <f>IF(AND(I146&lt;&gt;"",J146&lt;&gt;""),I146*J146,"")</f>
        <v/>
      </c>
      <c r="L146" s="18" t="n"/>
      <c r="M146" s="18" t="n"/>
      <c r="N146" s="20" t="n"/>
      <c r="O146" s="20" t="n"/>
    </row>
    <row r="147">
      <c r="A147" s="41" t="n"/>
      <c r="B147" s="35">
        <f>IF(A147="","",YEAR(A147))</f>
        <v/>
      </c>
      <c r="C147" s="36">
        <f>IF(A147="","",MONTH(A147))</f>
        <v/>
      </c>
      <c r="D147" s="37">
        <f>IF(A147="","","Q"&amp;ROUNDUP(MONTH(A147)/3,0))</f>
        <v/>
      </c>
      <c r="E147" s="22" t="n"/>
      <c r="F147" s="22" t="n"/>
      <c r="G147" s="40">
        <f>IFERROR(VLOOKUP(F147,M2_거래처마스터!A:E,3,FALSE),"")</f>
        <v/>
      </c>
      <c r="H147" s="22" t="n"/>
      <c r="I147" s="23" t="n"/>
      <c r="J147" s="24" t="n"/>
      <c r="K147" s="39">
        <f>IF(AND(I147&lt;&gt;"",J147&lt;&gt;""),I147*J147,"")</f>
        <v/>
      </c>
      <c r="L147" s="22" t="n"/>
      <c r="M147" s="22" t="n"/>
      <c r="N147" s="24" t="n"/>
      <c r="O147" s="24" t="n"/>
    </row>
    <row r="148">
      <c r="A148" s="34" t="n"/>
      <c r="B148" s="35">
        <f>IF(A148="","",YEAR(A148))</f>
        <v/>
      </c>
      <c r="C148" s="36">
        <f>IF(A148="","",MONTH(A148))</f>
        <v/>
      </c>
      <c r="D148" s="37">
        <f>IF(A148="","","Q"&amp;ROUNDUP(MONTH(A148)/3,0))</f>
        <v/>
      </c>
      <c r="E148" s="18" t="n"/>
      <c r="F148" s="18" t="n"/>
      <c r="G148" s="40">
        <f>IFERROR(VLOOKUP(F148,M2_거래처마스터!A:E,3,FALSE),"")</f>
        <v/>
      </c>
      <c r="H148" s="18" t="n"/>
      <c r="I148" s="19" t="n"/>
      <c r="J148" s="20" t="n"/>
      <c r="K148" s="39">
        <f>IF(AND(I148&lt;&gt;"",J148&lt;&gt;""),I148*J148,"")</f>
        <v/>
      </c>
      <c r="L148" s="18" t="n"/>
      <c r="M148" s="18" t="n"/>
      <c r="N148" s="20" t="n"/>
      <c r="O148" s="20" t="n"/>
    </row>
    <row r="149">
      <c r="A149" s="41" t="n"/>
      <c r="B149" s="35">
        <f>IF(A149="","",YEAR(A149))</f>
        <v/>
      </c>
      <c r="C149" s="36">
        <f>IF(A149="","",MONTH(A149))</f>
        <v/>
      </c>
      <c r="D149" s="37">
        <f>IF(A149="","","Q"&amp;ROUNDUP(MONTH(A149)/3,0))</f>
        <v/>
      </c>
      <c r="E149" s="22" t="n"/>
      <c r="F149" s="22" t="n"/>
      <c r="G149" s="40">
        <f>IFERROR(VLOOKUP(F149,M2_거래처마스터!A:E,3,FALSE),"")</f>
        <v/>
      </c>
      <c r="H149" s="22" t="n"/>
      <c r="I149" s="23" t="n"/>
      <c r="J149" s="24" t="n"/>
      <c r="K149" s="39">
        <f>IF(AND(I149&lt;&gt;"",J149&lt;&gt;""),I149*J149,"")</f>
        <v/>
      </c>
      <c r="L149" s="22" t="n"/>
      <c r="M149" s="22" t="n"/>
      <c r="N149" s="24" t="n"/>
      <c r="O149" s="24" t="n"/>
    </row>
    <row r="150">
      <c r="A150" s="34" t="n"/>
      <c r="B150" s="35">
        <f>IF(A150="","",YEAR(A150))</f>
        <v/>
      </c>
      <c r="C150" s="36">
        <f>IF(A150="","",MONTH(A150))</f>
        <v/>
      </c>
      <c r="D150" s="37">
        <f>IF(A150="","","Q"&amp;ROUNDUP(MONTH(A150)/3,0))</f>
        <v/>
      </c>
      <c r="E150" s="18" t="n"/>
      <c r="F150" s="18" t="n"/>
      <c r="G150" s="40">
        <f>IFERROR(VLOOKUP(F150,M2_거래처마스터!A:E,3,FALSE),"")</f>
        <v/>
      </c>
      <c r="H150" s="18" t="n"/>
      <c r="I150" s="19" t="n"/>
      <c r="J150" s="20" t="n"/>
      <c r="K150" s="39">
        <f>IF(AND(I150&lt;&gt;"",J150&lt;&gt;""),I150*J150,"")</f>
        <v/>
      </c>
      <c r="L150" s="18" t="n"/>
      <c r="M150" s="18" t="n"/>
      <c r="N150" s="20" t="n"/>
      <c r="O150" s="20" t="n"/>
    </row>
    <row r="151">
      <c r="A151" s="41" t="n"/>
      <c r="B151" s="35">
        <f>IF(A151="","",YEAR(A151))</f>
        <v/>
      </c>
      <c r="C151" s="36">
        <f>IF(A151="","",MONTH(A151))</f>
        <v/>
      </c>
      <c r="D151" s="37">
        <f>IF(A151="","","Q"&amp;ROUNDUP(MONTH(A151)/3,0))</f>
        <v/>
      </c>
      <c r="E151" s="22" t="n"/>
      <c r="F151" s="22" t="n"/>
      <c r="G151" s="40">
        <f>IFERROR(VLOOKUP(F151,M2_거래처마스터!A:E,3,FALSE),"")</f>
        <v/>
      </c>
      <c r="H151" s="22" t="n"/>
      <c r="I151" s="23" t="n"/>
      <c r="J151" s="24" t="n"/>
      <c r="K151" s="39">
        <f>IF(AND(I151&lt;&gt;"",J151&lt;&gt;""),I151*J151,"")</f>
        <v/>
      </c>
      <c r="L151" s="22" t="n"/>
      <c r="M151" s="22" t="n"/>
      <c r="N151" s="24" t="n"/>
      <c r="O151" s="24" t="n"/>
    </row>
    <row r="152">
      <c r="A152" s="34" t="n"/>
      <c r="B152" s="35">
        <f>IF(A152="","",YEAR(A152))</f>
        <v/>
      </c>
      <c r="C152" s="36">
        <f>IF(A152="","",MONTH(A152))</f>
        <v/>
      </c>
      <c r="D152" s="37">
        <f>IF(A152="","","Q"&amp;ROUNDUP(MONTH(A152)/3,0))</f>
        <v/>
      </c>
      <c r="E152" s="18" t="n"/>
      <c r="F152" s="18" t="n"/>
      <c r="G152" s="40">
        <f>IFERROR(VLOOKUP(F152,M2_거래처마스터!A:E,3,FALSE),"")</f>
        <v/>
      </c>
      <c r="H152" s="18" t="n"/>
      <c r="I152" s="19" t="n"/>
      <c r="J152" s="20" t="n"/>
      <c r="K152" s="39">
        <f>IF(AND(I152&lt;&gt;"",J152&lt;&gt;""),I152*J152,"")</f>
        <v/>
      </c>
      <c r="L152" s="18" t="n"/>
      <c r="M152" s="18" t="n"/>
      <c r="N152" s="20" t="n"/>
      <c r="O152" s="20" t="n"/>
    </row>
    <row r="153">
      <c r="A153" s="41" t="n"/>
      <c r="B153" s="35">
        <f>IF(A153="","",YEAR(A153))</f>
        <v/>
      </c>
      <c r="C153" s="36">
        <f>IF(A153="","",MONTH(A153))</f>
        <v/>
      </c>
      <c r="D153" s="37">
        <f>IF(A153="","","Q"&amp;ROUNDUP(MONTH(A153)/3,0))</f>
        <v/>
      </c>
      <c r="E153" s="22" t="n"/>
      <c r="F153" s="22" t="n"/>
      <c r="G153" s="40">
        <f>IFERROR(VLOOKUP(F153,M2_거래처마스터!A:E,3,FALSE),"")</f>
        <v/>
      </c>
      <c r="H153" s="22" t="n"/>
      <c r="I153" s="23" t="n"/>
      <c r="J153" s="24" t="n"/>
      <c r="K153" s="39">
        <f>IF(AND(I153&lt;&gt;"",J153&lt;&gt;""),I153*J153,"")</f>
        <v/>
      </c>
      <c r="L153" s="22" t="n"/>
      <c r="M153" s="22" t="n"/>
      <c r="N153" s="24" t="n"/>
      <c r="O153" s="24" t="n"/>
    </row>
    <row r="154">
      <c r="A154" s="34" t="n"/>
      <c r="B154" s="35">
        <f>IF(A154="","",YEAR(A154))</f>
        <v/>
      </c>
      <c r="C154" s="36">
        <f>IF(A154="","",MONTH(A154))</f>
        <v/>
      </c>
      <c r="D154" s="37">
        <f>IF(A154="","","Q"&amp;ROUNDUP(MONTH(A154)/3,0))</f>
        <v/>
      </c>
      <c r="E154" s="18" t="n"/>
      <c r="F154" s="18" t="n"/>
      <c r="G154" s="40">
        <f>IFERROR(VLOOKUP(F154,M2_거래처마스터!A:E,3,FALSE),"")</f>
        <v/>
      </c>
      <c r="H154" s="18" t="n"/>
      <c r="I154" s="19" t="n"/>
      <c r="J154" s="20" t="n"/>
      <c r="K154" s="39">
        <f>IF(AND(I154&lt;&gt;"",J154&lt;&gt;""),I154*J154,"")</f>
        <v/>
      </c>
      <c r="L154" s="18" t="n"/>
      <c r="M154" s="18" t="n"/>
      <c r="N154" s="20" t="n"/>
      <c r="O154" s="20" t="n"/>
    </row>
    <row r="155">
      <c r="A155" s="41" t="n"/>
      <c r="B155" s="35">
        <f>IF(A155="","",YEAR(A155))</f>
        <v/>
      </c>
      <c r="C155" s="36">
        <f>IF(A155="","",MONTH(A155))</f>
        <v/>
      </c>
      <c r="D155" s="37">
        <f>IF(A155="","","Q"&amp;ROUNDUP(MONTH(A155)/3,0))</f>
        <v/>
      </c>
      <c r="E155" s="22" t="n"/>
      <c r="F155" s="22" t="n"/>
      <c r="G155" s="40">
        <f>IFERROR(VLOOKUP(F155,M2_거래처마스터!A:E,3,FALSE),"")</f>
        <v/>
      </c>
      <c r="H155" s="22" t="n"/>
      <c r="I155" s="23" t="n"/>
      <c r="J155" s="24" t="n"/>
      <c r="K155" s="39">
        <f>IF(AND(I155&lt;&gt;"",J155&lt;&gt;""),I155*J155,"")</f>
        <v/>
      </c>
      <c r="L155" s="22" t="n"/>
      <c r="M155" s="22" t="n"/>
      <c r="N155" s="24" t="n"/>
      <c r="O155" s="24" t="n"/>
    </row>
    <row r="156">
      <c r="A156" s="34" t="n"/>
      <c r="B156" s="35">
        <f>IF(A156="","",YEAR(A156))</f>
        <v/>
      </c>
      <c r="C156" s="36">
        <f>IF(A156="","",MONTH(A156))</f>
        <v/>
      </c>
      <c r="D156" s="37">
        <f>IF(A156="","","Q"&amp;ROUNDUP(MONTH(A156)/3,0))</f>
        <v/>
      </c>
      <c r="E156" s="18" t="n"/>
      <c r="F156" s="18" t="n"/>
      <c r="G156" s="40">
        <f>IFERROR(VLOOKUP(F156,M2_거래처마스터!A:E,3,FALSE),"")</f>
        <v/>
      </c>
      <c r="H156" s="18" t="n"/>
      <c r="I156" s="19" t="n"/>
      <c r="J156" s="20" t="n"/>
      <c r="K156" s="39">
        <f>IF(AND(I156&lt;&gt;"",J156&lt;&gt;""),I156*J156,"")</f>
        <v/>
      </c>
      <c r="L156" s="18" t="n"/>
      <c r="M156" s="18" t="n"/>
      <c r="N156" s="20" t="n"/>
      <c r="O156" s="20" t="n"/>
    </row>
    <row r="157">
      <c r="A157" s="41" t="n"/>
      <c r="B157" s="35">
        <f>IF(A157="","",YEAR(A157))</f>
        <v/>
      </c>
      <c r="C157" s="36">
        <f>IF(A157="","",MONTH(A157))</f>
        <v/>
      </c>
      <c r="D157" s="37">
        <f>IF(A157="","","Q"&amp;ROUNDUP(MONTH(A157)/3,0))</f>
        <v/>
      </c>
      <c r="E157" s="22" t="n"/>
      <c r="F157" s="22" t="n"/>
      <c r="G157" s="40">
        <f>IFERROR(VLOOKUP(F157,M2_거래처마스터!A:E,3,FALSE),"")</f>
        <v/>
      </c>
      <c r="H157" s="22" t="n"/>
      <c r="I157" s="23" t="n"/>
      <c r="J157" s="24" t="n"/>
      <c r="K157" s="39">
        <f>IF(AND(I157&lt;&gt;"",J157&lt;&gt;""),I157*J157,"")</f>
        <v/>
      </c>
      <c r="L157" s="22" t="n"/>
      <c r="M157" s="22" t="n"/>
      <c r="N157" s="24" t="n"/>
      <c r="O157" s="24" t="n"/>
    </row>
    <row r="158">
      <c r="A158" s="34" t="n"/>
      <c r="B158" s="35">
        <f>IF(A158="","",YEAR(A158))</f>
        <v/>
      </c>
      <c r="C158" s="36">
        <f>IF(A158="","",MONTH(A158))</f>
        <v/>
      </c>
      <c r="D158" s="37">
        <f>IF(A158="","","Q"&amp;ROUNDUP(MONTH(A158)/3,0))</f>
        <v/>
      </c>
      <c r="E158" s="18" t="n"/>
      <c r="F158" s="18" t="n"/>
      <c r="G158" s="40">
        <f>IFERROR(VLOOKUP(F158,M2_거래처마스터!A:E,3,FALSE),"")</f>
        <v/>
      </c>
      <c r="H158" s="18" t="n"/>
      <c r="I158" s="19" t="n"/>
      <c r="J158" s="20" t="n"/>
      <c r="K158" s="39">
        <f>IF(AND(I158&lt;&gt;"",J158&lt;&gt;""),I158*J158,"")</f>
        <v/>
      </c>
      <c r="L158" s="18" t="n"/>
      <c r="M158" s="18" t="n"/>
      <c r="N158" s="20" t="n"/>
      <c r="O158" s="20" t="n"/>
    </row>
    <row r="159">
      <c r="A159" s="41" t="n"/>
      <c r="B159" s="35">
        <f>IF(A159="","",YEAR(A159))</f>
        <v/>
      </c>
      <c r="C159" s="36">
        <f>IF(A159="","",MONTH(A159))</f>
        <v/>
      </c>
      <c r="D159" s="37">
        <f>IF(A159="","","Q"&amp;ROUNDUP(MONTH(A159)/3,0))</f>
        <v/>
      </c>
      <c r="E159" s="22" t="n"/>
      <c r="F159" s="22" t="n"/>
      <c r="G159" s="40">
        <f>IFERROR(VLOOKUP(F159,M2_거래처마스터!A:E,3,FALSE),"")</f>
        <v/>
      </c>
      <c r="H159" s="22" t="n"/>
      <c r="I159" s="23" t="n"/>
      <c r="J159" s="24" t="n"/>
      <c r="K159" s="39">
        <f>IF(AND(I159&lt;&gt;"",J159&lt;&gt;""),I159*J159,"")</f>
        <v/>
      </c>
      <c r="L159" s="22" t="n"/>
      <c r="M159" s="22" t="n"/>
      <c r="N159" s="24" t="n"/>
      <c r="O159" s="24" t="n"/>
    </row>
    <row r="160">
      <c r="A160" s="34" t="n"/>
      <c r="B160" s="35">
        <f>IF(A160="","",YEAR(A160))</f>
        <v/>
      </c>
      <c r="C160" s="36">
        <f>IF(A160="","",MONTH(A160))</f>
        <v/>
      </c>
      <c r="D160" s="37">
        <f>IF(A160="","","Q"&amp;ROUNDUP(MONTH(A160)/3,0))</f>
        <v/>
      </c>
      <c r="E160" s="18" t="n"/>
      <c r="F160" s="18" t="n"/>
      <c r="G160" s="40">
        <f>IFERROR(VLOOKUP(F160,M2_거래처마스터!A:E,3,FALSE),"")</f>
        <v/>
      </c>
      <c r="H160" s="18" t="n"/>
      <c r="I160" s="19" t="n"/>
      <c r="J160" s="20" t="n"/>
      <c r="K160" s="39">
        <f>IF(AND(I160&lt;&gt;"",J160&lt;&gt;""),I160*J160,"")</f>
        <v/>
      </c>
      <c r="L160" s="18" t="n"/>
      <c r="M160" s="18" t="n"/>
      <c r="N160" s="20" t="n"/>
      <c r="O160" s="20" t="n"/>
    </row>
    <row r="161">
      <c r="A161" s="41" t="n"/>
      <c r="B161" s="35">
        <f>IF(A161="","",YEAR(A161))</f>
        <v/>
      </c>
      <c r="C161" s="36">
        <f>IF(A161="","",MONTH(A161))</f>
        <v/>
      </c>
      <c r="D161" s="37">
        <f>IF(A161="","","Q"&amp;ROUNDUP(MONTH(A161)/3,0))</f>
        <v/>
      </c>
      <c r="E161" s="22" t="n"/>
      <c r="F161" s="22" t="n"/>
      <c r="G161" s="40">
        <f>IFERROR(VLOOKUP(F161,M2_거래처마스터!A:E,3,FALSE),"")</f>
        <v/>
      </c>
      <c r="H161" s="22" t="n"/>
      <c r="I161" s="23" t="n"/>
      <c r="J161" s="24" t="n"/>
      <c r="K161" s="39">
        <f>IF(AND(I161&lt;&gt;"",J161&lt;&gt;""),I161*J161,"")</f>
        <v/>
      </c>
      <c r="L161" s="22" t="n"/>
      <c r="M161" s="22" t="n"/>
      <c r="N161" s="24" t="n"/>
      <c r="O161" s="24" t="n"/>
    </row>
    <row r="162">
      <c r="A162" s="34" t="n"/>
      <c r="B162" s="35">
        <f>IF(A162="","",YEAR(A162))</f>
        <v/>
      </c>
      <c r="C162" s="36">
        <f>IF(A162="","",MONTH(A162))</f>
        <v/>
      </c>
      <c r="D162" s="37">
        <f>IF(A162="","","Q"&amp;ROUNDUP(MONTH(A162)/3,0))</f>
        <v/>
      </c>
      <c r="E162" s="18" t="n"/>
      <c r="F162" s="18" t="n"/>
      <c r="G162" s="40">
        <f>IFERROR(VLOOKUP(F162,M2_거래처마스터!A:E,3,FALSE),"")</f>
        <v/>
      </c>
      <c r="H162" s="18" t="n"/>
      <c r="I162" s="19" t="n"/>
      <c r="J162" s="20" t="n"/>
      <c r="K162" s="39">
        <f>IF(AND(I162&lt;&gt;"",J162&lt;&gt;""),I162*J162,"")</f>
        <v/>
      </c>
      <c r="L162" s="18" t="n"/>
      <c r="M162" s="18" t="n"/>
      <c r="N162" s="20" t="n"/>
      <c r="O162" s="20" t="n"/>
    </row>
    <row r="163">
      <c r="A163" s="41" t="n"/>
      <c r="B163" s="35">
        <f>IF(A163="","",YEAR(A163))</f>
        <v/>
      </c>
      <c r="C163" s="36">
        <f>IF(A163="","",MONTH(A163))</f>
        <v/>
      </c>
      <c r="D163" s="37">
        <f>IF(A163="","","Q"&amp;ROUNDUP(MONTH(A163)/3,0))</f>
        <v/>
      </c>
      <c r="E163" s="22" t="n"/>
      <c r="F163" s="22" t="n"/>
      <c r="G163" s="40">
        <f>IFERROR(VLOOKUP(F163,M2_거래처마스터!A:E,3,FALSE),"")</f>
        <v/>
      </c>
      <c r="H163" s="22" t="n"/>
      <c r="I163" s="23" t="n"/>
      <c r="J163" s="24" t="n"/>
      <c r="K163" s="39">
        <f>IF(AND(I163&lt;&gt;"",J163&lt;&gt;""),I163*J163,"")</f>
        <v/>
      </c>
      <c r="L163" s="22" t="n"/>
      <c r="M163" s="22" t="n"/>
      <c r="N163" s="24" t="n"/>
      <c r="O163" s="24" t="n"/>
    </row>
    <row r="164">
      <c r="A164" s="34" t="n"/>
      <c r="B164" s="35">
        <f>IF(A164="","",YEAR(A164))</f>
        <v/>
      </c>
      <c r="C164" s="36">
        <f>IF(A164="","",MONTH(A164))</f>
        <v/>
      </c>
      <c r="D164" s="37">
        <f>IF(A164="","","Q"&amp;ROUNDUP(MONTH(A164)/3,0))</f>
        <v/>
      </c>
      <c r="E164" s="18" t="n"/>
      <c r="F164" s="18" t="n"/>
      <c r="G164" s="40">
        <f>IFERROR(VLOOKUP(F164,M2_거래처마스터!A:E,3,FALSE),"")</f>
        <v/>
      </c>
      <c r="H164" s="18" t="n"/>
      <c r="I164" s="19" t="n"/>
      <c r="J164" s="20" t="n"/>
      <c r="K164" s="39">
        <f>IF(AND(I164&lt;&gt;"",J164&lt;&gt;""),I164*J164,"")</f>
        <v/>
      </c>
      <c r="L164" s="18" t="n"/>
      <c r="M164" s="18" t="n"/>
      <c r="N164" s="20" t="n"/>
      <c r="O164" s="20" t="n"/>
    </row>
    <row r="165">
      <c r="A165" s="41" t="n"/>
      <c r="B165" s="35">
        <f>IF(A165="","",YEAR(A165))</f>
        <v/>
      </c>
      <c r="C165" s="36">
        <f>IF(A165="","",MONTH(A165))</f>
        <v/>
      </c>
      <c r="D165" s="37">
        <f>IF(A165="","","Q"&amp;ROUNDUP(MONTH(A165)/3,0))</f>
        <v/>
      </c>
      <c r="E165" s="22" t="n"/>
      <c r="F165" s="22" t="n"/>
      <c r="G165" s="40">
        <f>IFERROR(VLOOKUP(F165,M2_거래처마스터!A:E,3,FALSE),"")</f>
        <v/>
      </c>
      <c r="H165" s="22" t="n"/>
      <c r="I165" s="23" t="n"/>
      <c r="J165" s="24" t="n"/>
      <c r="K165" s="39">
        <f>IF(AND(I165&lt;&gt;"",J165&lt;&gt;""),I165*J165,"")</f>
        <v/>
      </c>
      <c r="L165" s="22" t="n"/>
      <c r="M165" s="22" t="n"/>
      <c r="N165" s="24" t="n"/>
      <c r="O165" s="24" t="n"/>
    </row>
    <row r="166">
      <c r="A166" s="34" t="n"/>
      <c r="B166" s="35">
        <f>IF(A166="","",YEAR(A166))</f>
        <v/>
      </c>
      <c r="C166" s="36">
        <f>IF(A166="","",MONTH(A166))</f>
        <v/>
      </c>
      <c r="D166" s="37">
        <f>IF(A166="","","Q"&amp;ROUNDUP(MONTH(A166)/3,0))</f>
        <v/>
      </c>
      <c r="E166" s="18" t="n"/>
      <c r="F166" s="18" t="n"/>
      <c r="G166" s="40">
        <f>IFERROR(VLOOKUP(F166,M2_거래처마스터!A:E,3,FALSE),"")</f>
        <v/>
      </c>
      <c r="H166" s="18" t="n"/>
      <c r="I166" s="19" t="n"/>
      <c r="J166" s="20" t="n"/>
      <c r="K166" s="39">
        <f>IF(AND(I166&lt;&gt;"",J166&lt;&gt;""),I166*J166,"")</f>
        <v/>
      </c>
      <c r="L166" s="18" t="n"/>
      <c r="M166" s="18" t="n"/>
      <c r="N166" s="20" t="n"/>
      <c r="O166" s="20" t="n"/>
    </row>
    <row r="167">
      <c r="A167" s="41" t="n"/>
      <c r="B167" s="35">
        <f>IF(A167="","",YEAR(A167))</f>
        <v/>
      </c>
      <c r="C167" s="36">
        <f>IF(A167="","",MONTH(A167))</f>
        <v/>
      </c>
      <c r="D167" s="37">
        <f>IF(A167="","","Q"&amp;ROUNDUP(MONTH(A167)/3,0))</f>
        <v/>
      </c>
      <c r="E167" s="22" t="n"/>
      <c r="F167" s="22" t="n"/>
      <c r="G167" s="40">
        <f>IFERROR(VLOOKUP(F167,M2_거래처마스터!A:E,3,FALSE),"")</f>
        <v/>
      </c>
      <c r="H167" s="22" t="n"/>
      <c r="I167" s="23" t="n"/>
      <c r="J167" s="24" t="n"/>
      <c r="K167" s="39">
        <f>IF(AND(I167&lt;&gt;"",J167&lt;&gt;""),I167*J167,"")</f>
        <v/>
      </c>
      <c r="L167" s="22" t="n"/>
      <c r="M167" s="22" t="n"/>
      <c r="N167" s="24" t="n"/>
      <c r="O167" s="24" t="n"/>
    </row>
    <row r="168">
      <c r="A168" s="34" t="n"/>
      <c r="B168" s="35">
        <f>IF(A168="","",YEAR(A168))</f>
        <v/>
      </c>
      <c r="C168" s="36">
        <f>IF(A168="","",MONTH(A168))</f>
        <v/>
      </c>
      <c r="D168" s="37">
        <f>IF(A168="","","Q"&amp;ROUNDUP(MONTH(A168)/3,0))</f>
        <v/>
      </c>
      <c r="E168" s="18" t="n"/>
      <c r="F168" s="18" t="n"/>
      <c r="G168" s="40">
        <f>IFERROR(VLOOKUP(F168,M2_거래처마스터!A:E,3,FALSE),"")</f>
        <v/>
      </c>
      <c r="H168" s="18" t="n"/>
      <c r="I168" s="19" t="n"/>
      <c r="J168" s="20" t="n"/>
      <c r="K168" s="39">
        <f>IF(AND(I168&lt;&gt;"",J168&lt;&gt;""),I168*J168,"")</f>
        <v/>
      </c>
      <c r="L168" s="18" t="n"/>
      <c r="M168" s="18" t="n"/>
      <c r="N168" s="20" t="n"/>
      <c r="O168" s="20" t="n"/>
    </row>
    <row r="169">
      <c r="A169" s="41" t="n"/>
      <c r="B169" s="35">
        <f>IF(A169="","",YEAR(A169))</f>
        <v/>
      </c>
      <c r="C169" s="36">
        <f>IF(A169="","",MONTH(A169))</f>
        <v/>
      </c>
      <c r="D169" s="37">
        <f>IF(A169="","","Q"&amp;ROUNDUP(MONTH(A169)/3,0))</f>
        <v/>
      </c>
      <c r="E169" s="22" t="n"/>
      <c r="F169" s="22" t="n"/>
      <c r="G169" s="40">
        <f>IFERROR(VLOOKUP(F169,M2_거래처마스터!A:E,3,FALSE),"")</f>
        <v/>
      </c>
      <c r="H169" s="22" t="n"/>
      <c r="I169" s="23" t="n"/>
      <c r="J169" s="24" t="n"/>
      <c r="K169" s="39">
        <f>IF(AND(I169&lt;&gt;"",J169&lt;&gt;""),I169*J169,"")</f>
        <v/>
      </c>
      <c r="L169" s="22" t="n"/>
      <c r="M169" s="22" t="n"/>
      <c r="N169" s="24" t="n"/>
      <c r="O169" s="24" t="n"/>
    </row>
    <row r="170">
      <c r="A170" s="34" t="n"/>
      <c r="B170" s="35">
        <f>IF(A170="","",YEAR(A170))</f>
        <v/>
      </c>
      <c r="C170" s="36">
        <f>IF(A170="","",MONTH(A170))</f>
        <v/>
      </c>
      <c r="D170" s="37">
        <f>IF(A170="","","Q"&amp;ROUNDUP(MONTH(A170)/3,0))</f>
        <v/>
      </c>
      <c r="E170" s="18" t="n"/>
      <c r="F170" s="18" t="n"/>
      <c r="G170" s="40">
        <f>IFERROR(VLOOKUP(F170,M2_거래처마스터!A:E,3,FALSE),"")</f>
        <v/>
      </c>
      <c r="H170" s="18" t="n"/>
      <c r="I170" s="19" t="n"/>
      <c r="J170" s="20" t="n"/>
      <c r="K170" s="39">
        <f>IF(AND(I170&lt;&gt;"",J170&lt;&gt;""),I170*J170,"")</f>
        <v/>
      </c>
      <c r="L170" s="18" t="n"/>
      <c r="M170" s="18" t="n"/>
      <c r="N170" s="20" t="n"/>
      <c r="O170" s="20" t="n"/>
    </row>
    <row r="171">
      <c r="A171" s="41" t="n"/>
      <c r="B171" s="35">
        <f>IF(A171="","",YEAR(A171))</f>
        <v/>
      </c>
      <c r="C171" s="36">
        <f>IF(A171="","",MONTH(A171))</f>
        <v/>
      </c>
      <c r="D171" s="37">
        <f>IF(A171="","","Q"&amp;ROUNDUP(MONTH(A171)/3,0))</f>
        <v/>
      </c>
      <c r="E171" s="22" t="n"/>
      <c r="F171" s="22" t="n"/>
      <c r="G171" s="40">
        <f>IFERROR(VLOOKUP(F171,M2_거래처마스터!A:E,3,FALSE),"")</f>
        <v/>
      </c>
      <c r="H171" s="22" t="n"/>
      <c r="I171" s="23" t="n"/>
      <c r="J171" s="24" t="n"/>
      <c r="K171" s="39">
        <f>IF(AND(I171&lt;&gt;"",J171&lt;&gt;""),I171*J171,"")</f>
        <v/>
      </c>
      <c r="L171" s="22" t="n"/>
      <c r="M171" s="22" t="n"/>
      <c r="N171" s="24" t="n"/>
      <c r="O171" s="24" t="n"/>
    </row>
    <row r="172">
      <c r="A172" s="34" t="n"/>
      <c r="B172" s="35">
        <f>IF(A172="","",YEAR(A172))</f>
        <v/>
      </c>
      <c r="C172" s="36">
        <f>IF(A172="","",MONTH(A172))</f>
        <v/>
      </c>
      <c r="D172" s="37">
        <f>IF(A172="","","Q"&amp;ROUNDUP(MONTH(A172)/3,0))</f>
        <v/>
      </c>
      <c r="E172" s="18" t="n"/>
      <c r="F172" s="18" t="n"/>
      <c r="G172" s="40">
        <f>IFERROR(VLOOKUP(F172,M2_거래처마스터!A:E,3,FALSE),"")</f>
        <v/>
      </c>
      <c r="H172" s="18" t="n"/>
      <c r="I172" s="19" t="n"/>
      <c r="J172" s="20" t="n"/>
      <c r="K172" s="39">
        <f>IF(AND(I172&lt;&gt;"",J172&lt;&gt;""),I172*J172,"")</f>
        <v/>
      </c>
      <c r="L172" s="18" t="n"/>
      <c r="M172" s="18" t="n"/>
      <c r="N172" s="20" t="n"/>
      <c r="O172" s="20" t="n"/>
    </row>
    <row r="173">
      <c r="A173" s="41" t="n"/>
      <c r="B173" s="35">
        <f>IF(A173="","",YEAR(A173))</f>
        <v/>
      </c>
      <c r="C173" s="36">
        <f>IF(A173="","",MONTH(A173))</f>
        <v/>
      </c>
      <c r="D173" s="37">
        <f>IF(A173="","","Q"&amp;ROUNDUP(MONTH(A173)/3,0))</f>
        <v/>
      </c>
      <c r="E173" s="22" t="n"/>
      <c r="F173" s="22" t="n"/>
      <c r="G173" s="40">
        <f>IFERROR(VLOOKUP(F173,M2_거래처마스터!A:E,3,FALSE),"")</f>
        <v/>
      </c>
      <c r="H173" s="22" t="n"/>
      <c r="I173" s="23" t="n"/>
      <c r="J173" s="24" t="n"/>
      <c r="K173" s="39">
        <f>IF(AND(I173&lt;&gt;"",J173&lt;&gt;""),I173*J173,"")</f>
        <v/>
      </c>
      <c r="L173" s="22" t="n"/>
      <c r="M173" s="22" t="n"/>
      <c r="N173" s="24" t="n"/>
      <c r="O173" s="24" t="n"/>
    </row>
    <row r="174">
      <c r="A174" s="34" t="n"/>
      <c r="B174" s="35">
        <f>IF(A174="","",YEAR(A174))</f>
        <v/>
      </c>
      <c r="C174" s="36">
        <f>IF(A174="","",MONTH(A174))</f>
        <v/>
      </c>
      <c r="D174" s="37">
        <f>IF(A174="","","Q"&amp;ROUNDUP(MONTH(A174)/3,0))</f>
        <v/>
      </c>
      <c r="E174" s="18" t="n"/>
      <c r="F174" s="18" t="n"/>
      <c r="G174" s="40">
        <f>IFERROR(VLOOKUP(F174,M2_거래처마스터!A:E,3,FALSE),"")</f>
        <v/>
      </c>
      <c r="H174" s="18" t="n"/>
      <c r="I174" s="19" t="n"/>
      <c r="J174" s="20" t="n"/>
      <c r="K174" s="39">
        <f>IF(AND(I174&lt;&gt;"",J174&lt;&gt;""),I174*J174,"")</f>
        <v/>
      </c>
      <c r="L174" s="18" t="n"/>
      <c r="M174" s="18" t="n"/>
      <c r="N174" s="20" t="n"/>
      <c r="O174" s="20" t="n"/>
    </row>
    <row r="175">
      <c r="A175" s="41" t="n"/>
      <c r="B175" s="35">
        <f>IF(A175="","",YEAR(A175))</f>
        <v/>
      </c>
      <c r="C175" s="36">
        <f>IF(A175="","",MONTH(A175))</f>
        <v/>
      </c>
      <c r="D175" s="37">
        <f>IF(A175="","","Q"&amp;ROUNDUP(MONTH(A175)/3,0))</f>
        <v/>
      </c>
      <c r="E175" s="22" t="n"/>
      <c r="F175" s="22" t="n"/>
      <c r="G175" s="40">
        <f>IFERROR(VLOOKUP(F175,M2_거래처마스터!A:E,3,FALSE),"")</f>
        <v/>
      </c>
      <c r="H175" s="22" t="n"/>
      <c r="I175" s="23" t="n"/>
      <c r="J175" s="24" t="n"/>
      <c r="K175" s="39">
        <f>IF(AND(I175&lt;&gt;"",J175&lt;&gt;""),I175*J175,"")</f>
        <v/>
      </c>
      <c r="L175" s="22" t="n"/>
      <c r="M175" s="22" t="n"/>
      <c r="N175" s="24" t="n"/>
      <c r="O175" s="24" t="n"/>
    </row>
    <row r="176">
      <c r="A176" s="34" t="n"/>
      <c r="B176" s="35">
        <f>IF(A176="","",YEAR(A176))</f>
        <v/>
      </c>
      <c r="C176" s="36">
        <f>IF(A176="","",MONTH(A176))</f>
        <v/>
      </c>
      <c r="D176" s="37">
        <f>IF(A176="","","Q"&amp;ROUNDUP(MONTH(A176)/3,0))</f>
        <v/>
      </c>
      <c r="E176" s="18" t="n"/>
      <c r="F176" s="18" t="n"/>
      <c r="G176" s="40">
        <f>IFERROR(VLOOKUP(F176,M2_거래처마스터!A:E,3,FALSE),"")</f>
        <v/>
      </c>
      <c r="H176" s="18" t="n"/>
      <c r="I176" s="19" t="n"/>
      <c r="J176" s="20" t="n"/>
      <c r="K176" s="39">
        <f>IF(AND(I176&lt;&gt;"",J176&lt;&gt;""),I176*J176,"")</f>
        <v/>
      </c>
      <c r="L176" s="18" t="n"/>
      <c r="M176" s="18" t="n"/>
      <c r="N176" s="20" t="n"/>
      <c r="O176" s="20" t="n"/>
    </row>
    <row r="177">
      <c r="A177" s="41" t="n"/>
      <c r="B177" s="35">
        <f>IF(A177="","",YEAR(A177))</f>
        <v/>
      </c>
      <c r="C177" s="36">
        <f>IF(A177="","",MONTH(A177))</f>
        <v/>
      </c>
      <c r="D177" s="37">
        <f>IF(A177="","","Q"&amp;ROUNDUP(MONTH(A177)/3,0))</f>
        <v/>
      </c>
      <c r="E177" s="22" t="n"/>
      <c r="F177" s="22" t="n"/>
      <c r="G177" s="40">
        <f>IFERROR(VLOOKUP(F177,M2_거래처마스터!A:E,3,FALSE),"")</f>
        <v/>
      </c>
      <c r="H177" s="22" t="n"/>
      <c r="I177" s="23" t="n"/>
      <c r="J177" s="24" t="n"/>
      <c r="K177" s="39">
        <f>IF(AND(I177&lt;&gt;"",J177&lt;&gt;""),I177*J177,"")</f>
        <v/>
      </c>
      <c r="L177" s="22" t="n"/>
      <c r="M177" s="22" t="n"/>
      <c r="N177" s="24" t="n"/>
      <c r="O177" s="24" t="n"/>
    </row>
    <row r="178">
      <c r="A178" s="34" t="n"/>
      <c r="B178" s="35">
        <f>IF(A178="","",YEAR(A178))</f>
        <v/>
      </c>
      <c r="C178" s="36">
        <f>IF(A178="","",MONTH(A178))</f>
        <v/>
      </c>
      <c r="D178" s="37">
        <f>IF(A178="","","Q"&amp;ROUNDUP(MONTH(A178)/3,0))</f>
        <v/>
      </c>
      <c r="E178" s="18" t="n"/>
      <c r="F178" s="18" t="n"/>
      <c r="G178" s="40">
        <f>IFERROR(VLOOKUP(F178,M2_거래처마스터!A:E,3,FALSE),"")</f>
        <v/>
      </c>
      <c r="H178" s="18" t="n"/>
      <c r="I178" s="19" t="n"/>
      <c r="J178" s="20" t="n"/>
      <c r="K178" s="39">
        <f>IF(AND(I178&lt;&gt;"",J178&lt;&gt;""),I178*J178,"")</f>
        <v/>
      </c>
      <c r="L178" s="18" t="n"/>
      <c r="M178" s="18" t="n"/>
      <c r="N178" s="20" t="n"/>
      <c r="O178" s="20" t="n"/>
    </row>
    <row r="179">
      <c r="A179" s="41" t="n"/>
      <c r="B179" s="35">
        <f>IF(A179="","",YEAR(A179))</f>
        <v/>
      </c>
      <c r="C179" s="36">
        <f>IF(A179="","",MONTH(A179))</f>
        <v/>
      </c>
      <c r="D179" s="37">
        <f>IF(A179="","","Q"&amp;ROUNDUP(MONTH(A179)/3,0))</f>
        <v/>
      </c>
      <c r="E179" s="22" t="n"/>
      <c r="F179" s="22" t="n"/>
      <c r="G179" s="40">
        <f>IFERROR(VLOOKUP(F179,M2_거래처마스터!A:E,3,FALSE),"")</f>
        <v/>
      </c>
      <c r="H179" s="22" t="n"/>
      <c r="I179" s="23" t="n"/>
      <c r="J179" s="24" t="n"/>
      <c r="K179" s="39">
        <f>IF(AND(I179&lt;&gt;"",J179&lt;&gt;""),I179*J179,"")</f>
        <v/>
      </c>
      <c r="L179" s="22" t="n"/>
      <c r="M179" s="22" t="n"/>
      <c r="N179" s="24" t="n"/>
      <c r="O179" s="24" t="n"/>
    </row>
    <row r="180">
      <c r="A180" s="34" t="n"/>
      <c r="B180" s="35">
        <f>IF(A180="","",YEAR(A180))</f>
        <v/>
      </c>
      <c r="C180" s="36">
        <f>IF(A180="","",MONTH(A180))</f>
        <v/>
      </c>
      <c r="D180" s="37">
        <f>IF(A180="","","Q"&amp;ROUNDUP(MONTH(A180)/3,0))</f>
        <v/>
      </c>
      <c r="E180" s="18" t="n"/>
      <c r="F180" s="18" t="n"/>
      <c r="G180" s="40">
        <f>IFERROR(VLOOKUP(F180,M2_거래처마스터!A:E,3,FALSE),"")</f>
        <v/>
      </c>
      <c r="H180" s="18" t="n"/>
      <c r="I180" s="19" t="n"/>
      <c r="J180" s="20" t="n"/>
      <c r="K180" s="39">
        <f>IF(AND(I180&lt;&gt;"",J180&lt;&gt;""),I180*J180,"")</f>
        <v/>
      </c>
      <c r="L180" s="18" t="n"/>
      <c r="M180" s="18" t="n"/>
      <c r="N180" s="20" t="n"/>
      <c r="O180" s="20" t="n"/>
    </row>
    <row r="181">
      <c r="A181" s="41" t="n"/>
      <c r="B181" s="35">
        <f>IF(A181="","",YEAR(A181))</f>
        <v/>
      </c>
      <c r="C181" s="36">
        <f>IF(A181="","",MONTH(A181))</f>
        <v/>
      </c>
      <c r="D181" s="37">
        <f>IF(A181="","","Q"&amp;ROUNDUP(MONTH(A181)/3,0))</f>
        <v/>
      </c>
      <c r="E181" s="22" t="n"/>
      <c r="F181" s="22" t="n"/>
      <c r="G181" s="40">
        <f>IFERROR(VLOOKUP(F181,M2_거래처마스터!A:E,3,FALSE),"")</f>
        <v/>
      </c>
      <c r="H181" s="22" t="n"/>
      <c r="I181" s="23" t="n"/>
      <c r="J181" s="24" t="n"/>
      <c r="K181" s="39">
        <f>IF(AND(I181&lt;&gt;"",J181&lt;&gt;""),I181*J181,"")</f>
        <v/>
      </c>
      <c r="L181" s="22" t="n"/>
      <c r="M181" s="22" t="n"/>
      <c r="N181" s="24" t="n"/>
      <c r="O181" s="24" t="n"/>
    </row>
    <row r="182">
      <c r="A182" s="34" t="n"/>
      <c r="B182" s="35">
        <f>IF(A182="","",YEAR(A182))</f>
        <v/>
      </c>
      <c r="C182" s="36">
        <f>IF(A182="","",MONTH(A182))</f>
        <v/>
      </c>
      <c r="D182" s="37">
        <f>IF(A182="","","Q"&amp;ROUNDUP(MONTH(A182)/3,0))</f>
        <v/>
      </c>
      <c r="E182" s="18" t="n"/>
      <c r="F182" s="18" t="n"/>
      <c r="G182" s="40">
        <f>IFERROR(VLOOKUP(F182,M2_거래처마스터!A:E,3,FALSE),"")</f>
        <v/>
      </c>
      <c r="H182" s="18" t="n"/>
      <c r="I182" s="19" t="n"/>
      <c r="J182" s="20" t="n"/>
      <c r="K182" s="39">
        <f>IF(AND(I182&lt;&gt;"",J182&lt;&gt;""),I182*J182,"")</f>
        <v/>
      </c>
      <c r="L182" s="18" t="n"/>
      <c r="M182" s="18" t="n"/>
      <c r="N182" s="20" t="n"/>
      <c r="O182" s="20" t="n"/>
    </row>
    <row r="183">
      <c r="A183" s="41" t="n"/>
      <c r="B183" s="35">
        <f>IF(A183="","",YEAR(A183))</f>
        <v/>
      </c>
      <c r="C183" s="36">
        <f>IF(A183="","",MONTH(A183))</f>
        <v/>
      </c>
      <c r="D183" s="37">
        <f>IF(A183="","","Q"&amp;ROUNDUP(MONTH(A183)/3,0))</f>
        <v/>
      </c>
      <c r="E183" s="22" t="n"/>
      <c r="F183" s="22" t="n"/>
      <c r="G183" s="40">
        <f>IFERROR(VLOOKUP(F183,M2_거래처마스터!A:E,3,FALSE),"")</f>
        <v/>
      </c>
      <c r="H183" s="22" t="n"/>
      <c r="I183" s="23" t="n"/>
      <c r="J183" s="24" t="n"/>
      <c r="K183" s="39">
        <f>IF(AND(I183&lt;&gt;"",J183&lt;&gt;""),I183*J183,"")</f>
        <v/>
      </c>
      <c r="L183" s="22" t="n"/>
      <c r="M183" s="22" t="n"/>
      <c r="N183" s="24" t="n"/>
      <c r="O183" s="24" t="n"/>
    </row>
    <row r="184">
      <c r="A184" s="34" t="n"/>
      <c r="B184" s="35">
        <f>IF(A184="","",YEAR(A184))</f>
        <v/>
      </c>
      <c r="C184" s="36">
        <f>IF(A184="","",MONTH(A184))</f>
        <v/>
      </c>
      <c r="D184" s="37">
        <f>IF(A184="","","Q"&amp;ROUNDUP(MONTH(A184)/3,0))</f>
        <v/>
      </c>
      <c r="E184" s="18" t="n"/>
      <c r="F184" s="18" t="n"/>
      <c r="G184" s="40">
        <f>IFERROR(VLOOKUP(F184,M2_거래처마스터!A:E,3,FALSE),"")</f>
        <v/>
      </c>
      <c r="H184" s="18" t="n"/>
      <c r="I184" s="19" t="n"/>
      <c r="J184" s="20" t="n"/>
      <c r="K184" s="39">
        <f>IF(AND(I184&lt;&gt;"",J184&lt;&gt;""),I184*J184,"")</f>
        <v/>
      </c>
      <c r="L184" s="18" t="n"/>
      <c r="M184" s="18" t="n"/>
      <c r="N184" s="20" t="n"/>
      <c r="O184" s="20" t="n"/>
    </row>
    <row r="185">
      <c r="A185" s="41" t="n"/>
      <c r="B185" s="35">
        <f>IF(A185="","",YEAR(A185))</f>
        <v/>
      </c>
      <c r="C185" s="36">
        <f>IF(A185="","",MONTH(A185))</f>
        <v/>
      </c>
      <c r="D185" s="37">
        <f>IF(A185="","","Q"&amp;ROUNDUP(MONTH(A185)/3,0))</f>
        <v/>
      </c>
      <c r="E185" s="22" t="n"/>
      <c r="F185" s="22" t="n"/>
      <c r="G185" s="40">
        <f>IFERROR(VLOOKUP(F185,M2_거래처마스터!A:E,3,FALSE),"")</f>
        <v/>
      </c>
      <c r="H185" s="22" t="n"/>
      <c r="I185" s="23" t="n"/>
      <c r="J185" s="24" t="n"/>
      <c r="K185" s="39">
        <f>IF(AND(I185&lt;&gt;"",J185&lt;&gt;""),I185*J185,"")</f>
        <v/>
      </c>
      <c r="L185" s="22" t="n"/>
      <c r="M185" s="22" t="n"/>
      <c r="N185" s="24" t="n"/>
      <c r="O185" s="24" t="n"/>
    </row>
    <row r="186">
      <c r="A186" s="34" t="n"/>
      <c r="B186" s="35">
        <f>IF(A186="","",YEAR(A186))</f>
        <v/>
      </c>
      <c r="C186" s="36">
        <f>IF(A186="","",MONTH(A186))</f>
        <v/>
      </c>
      <c r="D186" s="37">
        <f>IF(A186="","","Q"&amp;ROUNDUP(MONTH(A186)/3,0))</f>
        <v/>
      </c>
      <c r="E186" s="18" t="n"/>
      <c r="F186" s="18" t="n"/>
      <c r="G186" s="40">
        <f>IFERROR(VLOOKUP(F186,M2_거래처마스터!A:E,3,FALSE),"")</f>
        <v/>
      </c>
      <c r="H186" s="18" t="n"/>
      <c r="I186" s="19" t="n"/>
      <c r="J186" s="20" t="n"/>
      <c r="K186" s="39">
        <f>IF(AND(I186&lt;&gt;"",J186&lt;&gt;""),I186*J186,"")</f>
        <v/>
      </c>
      <c r="L186" s="18" t="n"/>
      <c r="M186" s="18" t="n"/>
      <c r="N186" s="20" t="n"/>
      <c r="O186" s="20" t="n"/>
    </row>
    <row r="187">
      <c r="A187" s="41" t="n"/>
      <c r="B187" s="35">
        <f>IF(A187="","",YEAR(A187))</f>
        <v/>
      </c>
      <c r="C187" s="36">
        <f>IF(A187="","",MONTH(A187))</f>
        <v/>
      </c>
      <c r="D187" s="37">
        <f>IF(A187="","","Q"&amp;ROUNDUP(MONTH(A187)/3,0))</f>
        <v/>
      </c>
      <c r="E187" s="22" t="n"/>
      <c r="F187" s="22" t="n"/>
      <c r="G187" s="40">
        <f>IFERROR(VLOOKUP(F187,M2_거래처마스터!A:E,3,FALSE),"")</f>
        <v/>
      </c>
      <c r="H187" s="22" t="n"/>
      <c r="I187" s="23" t="n"/>
      <c r="J187" s="24" t="n"/>
      <c r="K187" s="39">
        <f>IF(AND(I187&lt;&gt;"",J187&lt;&gt;""),I187*J187,"")</f>
        <v/>
      </c>
      <c r="L187" s="22" t="n"/>
      <c r="M187" s="22" t="n"/>
      <c r="N187" s="24" t="n"/>
      <c r="O187" s="24" t="n"/>
    </row>
    <row r="188">
      <c r="A188" s="34" t="n"/>
      <c r="B188" s="35">
        <f>IF(A188="","",YEAR(A188))</f>
        <v/>
      </c>
      <c r="C188" s="36">
        <f>IF(A188="","",MONTH(A188))</f>
        <v/>
      </c>
      <c r="D188" s="37">
        <f>IF(A188="","","Q"&amp;ROUNDUP(MONTH(A188)/3,0))</f>
        <v/>
      </c>
      <c r="E188" s="18" t="n"/>
      <c r="F188" s="18" t="n"/>
      <c r="G188" s="40">
        <f>IFERROR(VLOOKUP(F188,M2_거래처마스터!A:E,3,FALSE),"")</f>
        <v/>
      </c>
      <c r="H188" s="18" t="n"/>
      <c r="I188" s="19" t="n"/>
      <c r="J188" s="20" t="n"/>
      <c r="K188" s="39">
        <f>IF(AND(I188&lt;&gt;"",J188&lt;&gt;""),I188*J188,"")</f>
        <v/>
      </c>
      <c r="L188" s="18" t="n"/>
      <c r="M188" s="18" t="n"/>
      <c r="N188" s="20" t="n"/>
      <c r="O188" s="20" t="n"/>
    </row>
    <row r="189">
      <c r="A189" s="41" t="n"/>
      <c r="B189" s="35">
        <f>IF(A189="","",YEAR(A189))</f>
        <v/>
      </c>
      <c r="C189" s="36">
        <f>IF(A189="","",MONTH(A189))</f>
        <v/>
      </c>
      <c r="D189" s="37">
        <f>IF(A189="","","Q"&amp;ROUNDUP(MONTH(A189)/3,0))</f>
        <v/>
      </c>
      <c r="E189" s="22" t="n"/>
      <c r="F189" s="22" t="n"/>
      <c r="G189" s="40">
        <f>IFERROR(VLOOKUP(F189,M2_거래처마스터!A:E,3,FALSE),"")</f>
        <v/>
      </c>
      <c r="H189" s="22" t="n"/>
      <c r="I189" s="23" t="n"/>
      <c r="J189" s="24" t="n"/>
      <c r="K189" s="39">
        <f>IF(AND(I189&lt;&gt;"",J189&lt;&gt;""),I189*J189,"")</f>
        <v/>
      </c>
      <c r="L189" s="22" t="n"/>
      <c r="M189" s="22" t="n"/>
      <c r="N189" s="24" t="n"/>
      <c r="O189" s="24" t="n"/>
    </row>
    <row r="190">
      <c r="A190" s="34" t="n"/>
      <c r="B190" s="35">
        <f>IF(A190="","",YEAR(A190))</f>
        <v/>
      </c>
      <c r="C190" s="36">
        <f>IF(A190="","",MONTH(A190))</f>
        <v/>
      </c>
      <c r="D190" s="37">
        <f>IF(A190="","","Q"&amp;ROUNDUP(MONTH(A190)/3,0))</f>
        <v/>
      </c>
      <c r="E190" s="18" t="n"/>
      <c r="F190" s="18" t="n"/>
      <c r="G190" s="40">
        <f>IFERROR(VLOOKUP(F190,M2_거래처마스터!A:E,3,FALSE),"")</f>
        <v/>
      </c>
      <c r="H190" s="18" t="n"/>
      <c r="I190" s="19" t="n"/>
      <c r="J190" s="20" t="n"/>
      <c r="K190" s="39">
        <f>IF(AND(I190&lt;&gt;"",J190&lt;&gt;""),I190*J190,"")</f>
        <v/>
      </c>
      <c r="L190" s="18" t="n"/>
      <c r="M190" s="18" t="n"/>
      <c r="N190" s="20" t="n"/>
      <c r="O190" s="20" t="n"/>
    </row>
    <row r="191">
      <c r="A191" s="41" t="n"/>
      <c r="B191" s="35">
        <f>IF(A191="","",YEAR(A191))</f>
        <v/>
      </c>
      <c r="C191" s="36">
        <f>IF(A191="","",MONTH(A191))</f>
        <v/>
      </c>
      <c r="D191" s="37">
        <f>IF(A191="","","Q"&amp;ROUNDUP(MONTH(A191)/3,0))</f>
        <v/>
      </c>
      <c r="E191" s="22" t="n"/>
      <c r="F191" s="22" t="n"/>
      <c r="G191" s="40">
        <f>IFERROR(VLOOKUP(F191,M2_거래처마스터!A:E,3,FALSE),"")</f>
        <v/>
      </c>
      <c r="H191" s="22" t="n"/>
      <c r="I191" s="23" t="n"/>
      <c r="J191" s="24" t="n"/>
      <c r="K191" s="39">
        <f>IF(AND(I191&lt;&gt;"",J191&lt;&gt;""),I191*J191,"")</f>
        <v/>
      </c>
      <c r="L191" s="22" t="n"/>
      <c r="M191" s="22" t="n"/>
      <c r="N191" s="24" t="n"/>
      <c r="O191" s="24" t="n"/>
    </row>
    <row r="192">
      <c r="A192" s="34" t="n"/>
      <c r="B192" s="35">
        <f>IF(A192="","",YEAR(A192))</f>
        <v/>
      </c>
      <c r="C192" s="36">
        <f>IF(A192="","",MONTH(A192))</f>
        <v/>
      </c>
      <c r="D192" s="37">
        <f>IF(A192="","","Q"&amp;ROUNDUP(MONTH(A192)/3,0))</f>
        <v/>
      </c>
      <c r="E192" s="18" t="n"/>
      <c r="F192" s="18" t="n"/>
      <c r="G192" s="40">
        <f>IFERROR(VLOOKUP(F192,M2_거래처마스터!A:E,3,FALSE),"")</f>
        <v/>
      </c>
      <c r="H192" s="18" t="n"/>
      <c r="I192" s="19" t="n"/>
      <c r="J192" s="20" t="n"/>
      <c r="K192" s="39">
        <f>IF(AND(I192&lt;&gt;"",J192&lt;&gt;""),I192*J192,"")</f>
        <v/>
      </c>
      <c r="L192" s="18" t="n"/>
      <c r="M192" s="18" t="n"/>
      <c r="N192" s="20" t="n"/>
      <c r="O192" s="20" t="n"/>
    </row>
    <row r="193">
      <c r="A193" s="41" t="n"/>
      <c r="B193" s="35">
        <f>IF(A193="","",YEAR(A193))</f>
        <v/>
      </c>
      <c r="C193" s="36">
        <f>IF(A193="","",MONTH(A193))</f>
        <v/>
      </c>
      <c r="D193" s="37">
        <f>IF(A193="","","Q"&amp;ROUNDUP(MONTH(A193)/3,0))</f>
        <v/>
      </c>
      <c r="E193" s="22" t="n"/>
      <c r="F193" s="22" t="n"/>
      <c r="G193" s="40">
        <f>IFERROR(VLOOKUP(F193,M2_거래처마스터!A:E,3,FALSE),"")</f>
        <v/>
      </c>
      <c r="H193" s="22" t="n"/>
      <c r="I193" s="23" t="n"/>
      <c r="J193" s="24" t="n"/>
      <c r="K193" s="39">
        <f>IF(AND(I193&lt;&gt;"",J193&lt;&gt;""),I193*J193,"")</f>
        <v/>
      </c>
      <c r="L193" s="22" t="n"/>
      <c r="M193" s="22" t="n"/>
      <c r="N193" s="24" t="n"/>
      <c r="O193" s="24" t="n"/>
    </row>
    <row r="194">
      <c r="A194" s="34" t="n"/>
      <c r="B194" s="35">
        <f>IF(A194="","",YEAR(A194))</f>
        <v/>
      </c>
      <c r="C194" s="36">
        <f>IF(A194="","",MONTH(A194))</f>
        <v/>
      </c>
      <c r="D194" s="37">
        <f>IF(A194="","","Q"&amp;ROUNDUP(MONTH(A194)/3,0))</f>
        <v/>
      </c>
      <c r="E194" s="18" t="n"/>
      <c r="F194" s="18" t="n"/>
      <c r="G194" s="40">
        <f>IFERROR(VLOOKUP(F194,M2_거래처마스터!A:E,3,FALSE),"")</f>
        <v/>
      </c>
      <c r="H194" s="18" t="n"/>
      <c r="I194" s="19" t="n"/>
      <c r="J194" s="20" t="n"/>
      <c r="K194" s="39">
        <f>IF(AND(I194&lt;&gt;"",J194&lt;&gt;""),I194*J194,"")</f>
        <v/>
      </c>
      <c r="L194" s="18" t="n"/>
      <c r="M194" s="18" t="n"/>
      <c r="N194" s="20" t="n"/>
      <c r="O194" s="20" t="n"/>
    </row>
    <row r="195">
      <c r="A195" s="41" t="n"/>
      <c r="B195" s="35">
        <f>IF(A195="","",YEAR(A195))</f>
        <v/>
      </c>
      <c r="C195" s="36">
        <f>IF(A195="","",MONTH(A195))</f>
        <v/>
      </c>
      <c r="D195" s="37">
        <f>IF(A195="","","Q"&amp;ROUNDUP(MONTH(A195)/3,0))</f>
        <v/>
      </c>
      <c r="E195" s="22" t="n"/>
      <c r="F195" s="22" t="n"/>
      <c r="G195" s="40">
        <f>IFERROR(VLOOKUP(F195,M2_거래처마스터!A:E,3,FALSE),"")</f>
        <v/>
      </c>
      <c r="H195" s="22" t="n"/>
      <c r="I195" s="23" t="n"/>
      <c r="J195" s="24" t="n"/>
      <c r="K195" s="39">
        <f>IF(AND(I195&lt;&gt;"",J195&lt;&gt;""),I195*J195,"")</f>
        <v/>
      </c>
      <c r="L195" s="22" t="n"/>
      <c r="M195" s="22" t="n"/>
      <c r="N195" s="24" t="n"/>
      <c r="O195" s="24" t="n"/>
    </row>
    <row r="196">
      <c r="A196" s="34" t="n"/>
      <c r="B196" s="35">
        <f>IF(A196="","",YEAR(A196))</f>
        <v/>
      </c>
      <c r="C196" s="36">
        <f>IF(A196="","",MONTH(A196))</f>
        <v/>
      </c>
      <c r="D196" s="37">
        <f>IF(A196="","","Q"&amp;ROUNDUP(MONTH(A196)/3,0))</f>
        <v/>
      </c>
      <c r="E196" s="18" t="n"/>
      <c r="F196" s="18" t="n"/>
      <c r="G196" s="40">
        <f>IFERROR(VLOOKUP(F196,M2_거래처마스터!A:E,3,FALSE),"")</f>
        <v/>
      </c>
      <c r="H196" s="18" t="n"/>
      <c r="I196" s="19" t="n"/>
      <c r="J196" s="20" t="n"/>
      <c r="K196" s="39">
        <f>IF(AND(I196&lt;&gt;"",J196&lt;&gt;""),I196*J196,"")</f>
        <v/>
      </c>
      <c r="L196" s="18" t="n"/>
      <c r="M196" s="18" t="n"/>
      <c r="N196" s="20" t="n"/>
      <c r="O196" s="20" t="n"/>
    </row>
    <row r="197">
      <c r="A197" s="41" t="n"/>
      <c r="B197" s="35">
        <f>IF(A197="","",YEAR(A197))</f>
        <v/>
      </c>
      <c r="C197" s="36">
        <f>IF(A197="","",MONTH(A197))</f>
        <v/>
      </c>
      <c r="D197" s="37">
        <f>IF(A197="","","Q"&amp;ROUNDUP(MONTH(A197)/3,0))</f>
        <v/>
      </c>
      <c r="E197" s="22" t="n"/>
      <c r="F197" s="22" t="n"/>
      <c r="G197" s="40">
        <f>IFERROR(VLOOKUP(F197,M2_거래처마스터!A:E,3,FALSE),"")</f>
        <v/>
      </c>
      <c r="H197" s="22" t="n"/>
      <c r="I197" s="23" t="n"/>
      <c r="J197" s="24" t="n"/>
      <c r="K197" s="39">
        <f>IF(AND(I197&lt;&gt;"",J197&lt;&gt;""),I197*J197,"")</f>
        <v/>
      </c>
      <c r="L197" s="22" t="n"/>
      <c r="M197" s="22" t="n"/>
      <c r="N197" s="24" t="n"/>
      <c r="O197" s="24" t="n"/>
    </row>
    <row r="198">
      <c r="A198" s="34" t="n"/>
      <c r="B198" s="35">
        <f>IF(A198="","",YEAR(A198))</f>
        <v/>
      </c>
      <c r="C198" s="36">
        <f>IF(A198="","",MONTH(A198))</f>
        <v/>
      </c>
      <c r="D198" s="37">
        <f>IF(A198="","","Q"&amp;ROUNDUP(MONTH(A198)/3,0))</f>
        <v/>
      </c>
      <c r="E198" s="18" t="n"/>
      <c r="F198" s="18" t="n"/>
      <c r="G198" s="40">
        <f>IFERROR(VLOOKUP(F198,M2_거래처마스터!A:E,3,FALSE),"")</f>
        <v/>
      </c>
      <c r="H198" s="18" t="n"/>
      <c r="I198" s="19" t="n"/>
      <c r="J198" s="20" t="n"/>
      <c r="K198" s="39">
        <f>IF(AND(I198&lt;&gt;"",J198&lt;&gt;""),I198*J198,"")</f>
        <v/>
      </c>
      <c r="L198" s="18" t="n"/>
      <c r="M198" s="18" t="n"/>
      <c r="N198" s="20" t="n"/>
      <c r="O198" s="20" t="n"/>
    </row>
    <row r="199">
      <c r="A199" s="41" t="n"/>
      <c r="B199" s="35">
        <f>IF(A199="","",YEAR(A199))</f>
        <v/>
      </c>
      <c r="C199" s="36">
        <f>IF(A199="","",MONTH(A199))</f>
        <v/>
      </c>
      <c r="D199" s="37">
        <f>IF(A199="","","Q"&amp;ROUNDUP(MONTH(A199)/3,0))</f>
        <v/>
      </c>
      <c r="E199" s="22" t="n"/>
      <c r="F199" s="22" t="n"/>
      <c r="G199" s="40">
        <f>IFERROR(VLOOKUP(F199,M2_거래처마스터!A:E,3,FALSE),"")</f>
        <v/>
      </c>
      <c r="H199" s="22" t="n"/>
      <c r="I199" s="23" t="n"/>
      <c r="J199" s="24" t="n"/>
      <c r="K199" s="39">
        <f>IF(AND(I199&lt;&gt;"",J199&lt;&gt;""),I199*J199,"")</f>
        <v/>
      </c>
      <c r="L199" s="22" t="n"/>
      <c r="M199" s="22" t="n"/>
      <c r="N199" s="24" t="n"/>
      <c r="O199" s="24" t="n"/>
    </row>
    <row r="200">
      <c r="A200" s="34" t="n"/>
      <c r="B200" s="35">
        <f>IF(A200="","",YEAR(A200))</f>
        <v/>
      </c>
      <c r="C200" s="36">
        <f>IF(A200="","",MONTH(A200))</f>
        <v/>
      </c>
      <c r="D200" s="37">
        <f>IF(A200="","","Q"&amp;ROUNDUP(MONTH(A200)/3,0))</f>
        <v/>
      </c>
      <c r="E200" s="18" t="n"/>
      <c r="F200" s="18" t="n"/>
      <c r="G200" s="40">
        <f>IFERROR(VLOOKUP(F200,M2_거래처마스터!A:E,3,FALSE),"")</f>
        <v/>
      </c>
      <c r="H200" s="18" t="n"/>
      <c r="I200" s="19" t="n"/>
      <c r="J200" s="20" t="n"/>
      <c r="K200" s="39">
        <f>IF(AND(I200&lt;&gt;"",J200&lt;&gt;""),I200*J200,"")</f>
        <v/>
      </c>
      <c r="L200" s="18" t="n"/>
      <c r="M200" s="18" t="n"/>
      <c r="N200" s="20" t="n"/>
      <c r="O200" s="20" t="n"/>
    </row>
    <row r="201">
      <c r="A201" s="41" t="n"/>
      <c r="B201" s="35">
        <f>IF(A201="","",YEAR(A201))</f>
        <v/>
      </c>
      <c r="C201" s="36">
        <f>IF(A201="","",MONTH(A201))</f>
        <v/>
      </c>
      <c r="D201" s="37">
        <f>IF(A201="","","Q"&amp;ROUNDUP(MONTH(A201)/3,0))</f>
        <v/>
      </c>
      <c r="E201" s="22" t="n"/>
      <c r="F201" s="22" t="n"/>
      <c r="G201" s="40">
        <f>IFERROR(VLOOKUP(F201,M2_거래처마스터!A:E,3,FALSE),"")</f>
        <v/>
      </c>
      <c r="H201" s="22" t="n"/>
      <c r="I201" s="23" t="n"/>
      <c r="J201" s="24" t="n"/>
      <c r="K201" s="39">
        <f>IF(AND(I201&lt;&gt;"",J201&lt;&gt;""),I201*J201,"")</f>
        <v/>
      </c>
      <c r="L201" s="22" t="n"/>
      <c r="M201" s="22" t="n"/>
      <c r="N201" s="24" t="n"/>
      <c r="O201" s="24" t="n"/>
    </row>
    <row r="202">
      <c r="A202" s="34" t="n"/>
      <c r="B202" s="35">
        <f>IF(A202="","",YEAR(A202))</f>
        <v/>
      </c>
      <c r="C202" s="36">
        <f>IF(A202="","",MONTH(A202))</f>
        <v/>
      </c>
      <c r="D202" s="37">
        <f>IF(A202="","","Q"&amp;ROUNDUP(MONTH(A202)/3,0))</f>
        <v/>
      </c>
      <c r="E202" s="18" t="n"/>
      <c r="F202" s="18" t="n"/>
      <c r="G202" s="40">
        <f>IFERROR(VLOOKUP(F202,M2_거래처마스터!A:E,3,FALSE),"")</f>
        <v/>
      </c>
      <c r="H202" s="18" t="n"/>
      <c r="I202" s="19" t="n"/>
      <c r="J202" s="20" t="n"/>
      <c r="K202" s="39">
        <f>IF(AND(I202&lt;&gt;"",J202&lt;&gt;""),I202*J202,"")</f>
        <v/>
      </c>
      <c r="L202" s="18" t="n"/>
      <c r="M202" s="18" t="n"/>
      <c r="N202" s="20" t="n"/>
      <c r="O202" s="20" t="n"/>
    </row>
    <row r="203">
      <c r="A203" s="41" t="n"/>
      <c r="B203" s="35">
        <f>IF(A203="","",YEAR(A203))</f>
        <v/>
      </c>
      <c r="C203" s="36">
        <f>IF(A203="","",MONTH(A203))</f>
        <v/>
      </c>
      <c r="D203" s="37">
        <f>IF(A203="","","Q"&amp;ROUNDUP(MONTH(A203)/3,0))</f>
        <v/>
      </c>
      <c r="E203" s="22" t="n"/>
      <c r="F203" s="22" t="n"/>
      <c r="G203" s="40">
        <f>IFERROR(VLOOKUP(F203,M2_거래처마스터!A:E,3,FALSE),"")</f>
        <v/>
      </c>
      <c r="H203" s="22" t="n"/>
      <c r="I203" s="23" t="n"/>
      <c r="J203" s="24" t="n"/>
      <c r="K203" s="39">
        <f>IF(AND(I203&lt;&gt;"",J203&lt;&gt;""),I203*J203,"")</f>
        <v/>
      </c>
      <c r="L203" s="22" t="n"/>
      <c r="M203" s="22" t="n"/>
      <c r="N203" s="24" t="n"/>
      <c r="O203" s="24" t="n"/>
    </row>
    <row r="204">
      <c r="A204" s="34" t="n"/>
      <c r="B204" s="35">
        <f>IF(A204="","",YEAR(A204))</f>
        <v/>
      </c>
      <c r="C204" s="36">
        <f>IF(A204="","",MONTH(A204))</f>
        <v/>
      </c>
      <c r="D204" s="37">
        <f>IF(A204="","","Q"&amp;ROUNDUP(MONTH(A204)/3,0))</f>
        <v/>
      </c>
      <c r="E204" s="18" t="n"/>
      <c r="F204" s="18" t="n"/>
      <c r="G204" s="40">
        <f>IFERROR(VLOOKUP(F204,M2_거래처마스터!A:E,3,FALSE),"")</f>
        <v/>
      </c>
      <c r="H204" s="18" t="n"/>
      <c r="I204" s="19" t="n"/>
      <c r="J204" s="20" t="n"/>
      <c r="K204" s="39">
        <f>IF(AND(I204&lt;&gt;"",J204&lt;&gt;""),I204*J204,"")</f>
        <v/>
      </c>
      <c r="L204" s="18" t="n"/>
      <c r="M204" s="18" t="n"/>
      <c r="N204" s="20" t="n"/>
      <c r="O204" s="20" t="n"/>
    </row>
    <row r="205">
      <c r="A205" s="41" t="n"/>
      <c r="B205" s="35">
        <f>IF(A205="","",YEAR(A205))</f>
        <v/>
      </c>
      <c r="C205" s="36">
        <f>IF(A205="","",MONTH(A205))</f>
        <v/>
      </c>
      <c r="D205" s="37">
        <f>IF(A205="","","Q"&amp;ROUNDUP(MONTH(A205)/3,0))</f>
        <v/>
      </c>
      <c r="E205" s="22" t="n"/>
      <c r="F205" s="22" t="n"/>
      <c r="G205" s="40">
        <f>IFERROR(VLOOKUP(F205,M2_거래처마스터!A:E,3,FALSE),"")</f>
        <v/>
      </c>
      <c r="H205" s="22" t="n"/>
      <c r="I205" s="23" t="n"/>
      <c r="J205" s="24" t="n"/>
      <c r="K205" s="39">
        <f>IF(AND(I205&lt;&gt;"",J205&lt;&gt;""),I205*J205,"")</f>
        <v/>
      </c>
      <c r="L205" s="22" t="n"/>
      <c r="M205" s="22" t="n"/>
      <c r="N205" s="24" t="n"/>
      <c r="O205" s="24" t="n"/>
    </row>
    <row r="206">
      <c r="A206" s="34" t="n"/>
      <c r="B206" s="35">
        <f>IF(A206="","",YEAR(A206))</f>
        <v/>
      </c>
      <c r="C206" s="36">
        <f>IF(A206="","",MONTH(A206))</f>
        <v/>
      </c>
      <c r="D206" s="37">
        <f>IF(A206="","","Q"&amp;ROUNDUP(MONTH(A206)/3,0))</f>
        <v/>
      </c>
      <c r="E206" s="18" t="n"/>
      <c r="F206" s="18" t="n"/>
      <c r="G206" s="40">
        <f>IFERROR(VLOOKUP(F206,M2_거래처마스터!A:E,3,FALSE),"")</f>
        <v/>
      </c>
      <c r="H206" s="18" t="n"/>
      <c r="I206" s="19" t="n"/>
      <c r="J206" s="20" t="n"/>
      <c r="K206" s="39">
        <f>IF(AND(I206&lt;&gt;"",J206&lt;&gt;""),I206*J206,"")</f>
        <v/>
      </c>
      <c r="L206" s="18" t="n"/>
      <c r="M206" s="18" t="n"/>
      <c r="N206" s="20" t="n"/>
      <c r="O206" s="20" t="n"/>
    </row>
    <row r="207">
      <c r="A207" s="41" t="n"/>
      <c r="B207" s="35">
        <f>IF(A207="","",YEAR(A207))</f>
        <v/>
      </c>
      <c r="C207" s="36">
        <f>IF(A207="","",MONTH(A207))</f>
        <v/>
      </c>
      <c r="D207" s="37">
        <f>IF(A207="","","Q"&amp;ROUNDUP(MONTH(A207)/3,0))</f>
        <v/>
      </c>
      <c r="E207" s="22" t="n"/>
      <c r="F207" s="22" t="n"/>
      <c r="G207" s="40">
        <f>IFERROR(VLOOKUP(F207,M2_거래처마스터!A:E,3,FALSE),"")</f>
        <v/>
      </c>
      <c r="H207" s="22" t="n"/>
      <c r="I207" s="23" t="n"/>
      <c r="J207" s="24" t="n"/>
      <c r="K207" s="39">
        <f>IF(AND(I207&lt;&gt;"",J207&lt;&gt;""),I207*J207,"")</f>
        <v/>
      </c>
      <c r="L207" s="22" t="n"/>
      <c r="M207" s="22" t="n"/>
      <c r="N207" s="24" t="n"/>
      <c r="O207" s="24" t="n"/>
    </row>
    <row r="208">
      <c r="A208" s="34" t="n"/>
      <c r="B208" s="35">
        <f>IF(A208="","",YEAR(A208))</f>
        <v/>
      </c>
      <c r="C208" s="36">
        <f>IF(A208="","",MONTH(A208))</f>
        <v/>
      </c>
      <c r="D208" s="37">
        <f>IF(A208="","","Q"&amp;ROUNDUP(MONTH(A208)/3,0))</f>
        <v/>
      </c>
      <c r="E208" s="18" t="n"/>
      <c r="F208" s="18" t="n"/>
      <c r="G208" s="40">
        <f>IFERROR(VLOOKUP(F208,M2_거래처마스터!A:E,3,FALSE),"")</f>
        <v/>
      </c>
      <c r="H208" s="18" t="n"/>
      <c r="I208" s="19" t="n"/>
      <c r="J208" s="20" t="n"/>
      <c r="K208" s="39">
        <f>IF(AND(I208&lt;&gt;"",J208&lt;&gt;""),I208*J208,"")</f>
        <v/>
      </c>
      <c r="L208" s="18" t="n"/>
      <c r="M208" s="18" t="n"/>
      <c r="N208" s="20" t="n"/>
      <c r="O208" s="20" t="n"/>
    </row>
    <row r="209">
      <c r="A209" s="41" t="n"/>
      <c r="B209" s="35">
        <f>IF(A209="","",YEAR(A209))</f>
        <v/>
      </c>
      <c r="C209" s="36">
        <f>IF(A209="","",MONTH(A209))</f>
        <v/>
      </c>
      <c r="D209" s="37">
        <f>IF(A209="","","Q"&amp;ROUNDUP(MONTH(A209)/3,0))</f>
        <v/>
      </c>
      <c r="E209" s="22" t="n"/>
      <c r="F209" s="22" t="n"/>
      <c r="G209" s="40">
        <f>IFERROR(VLOOKUP(F209,M2_거래처마스터!A:E,3,FALSE),"")</f>
        <v/>
      </c>
      <c r="H209" s="22" t="n"/>
      <c r="I209" s="23" t="n"/>
      <c r="J209" s="24" t="n"/>
      <c r="K209" s="39">
        <f>IF(AND(I209&lt;&gt;"",J209&lt;&gt;""),I209*J209,"")</f>
        <v/>
      </c>
      <c r="L209" s="22" t="n"/>
      <c r="M209" s="22" t="n"/>
      <c r="N209" s="24" t="n"/>
      <c r="O209" s="24" t="n"/>
    </row>
    <row r="210">
      <c r="A210" s="34" t="n"/>
      <c r="B210" s="35">
        <f>IF(A210="","",YEAR(A210))</f>
        <v/>
      </c>
      <c r="C210" s="36">
        <f>IF(A210="","",MONTH(A210))</f>
        <v/>
      </c>
      <c r="D210" s="37">
        <f>IF(A210="","","Q"&amp;ROUNDUP(MONTH(A210)/3,0))</f>
        <v/>
      </c>
      <c r="E210" s="18" t="n"/>
      <c r="F210" s="18" t="n"/>
      <c r="G210" s="40">
        <f>IFERROR(VLOOKUP(F210,M2_거래처마스터!A:E,3,FALSE),"")</f>
        <v/>
      </c>
      <c r="H210" s="18" t="n"/>
      <c r="I210" s="19" t="n"/>
      <c r="J210" s="20" t="n"/>
      <c r="K210" s="39">
        <f>IF(AND(I210&lt;&gt;"",J210&lt;&gt;""),I210*J210,"")</f>
        <v/>
      </c>
      <c r="L210" s="18" t="n"/>
      <c r="M210" s="18" t="n"/>
      <c r="N210" s="20" t="n"/>
      <c r="O210" s="20" t="n"/>
    </row>
    <row r="211">
      <c r="A211" s="41" t="n"/>
      <c r="B211" s="35">
        <f>IF(A211="","",YEAR(A211))</f>
        <v/>
      </c>
      <c r="C211" s="36">
        <f>IF(A211="","",MONTH(A211))</f>
        <v/>
      </c>
      <c r="D211" s="37">
        <f>IF(A211="","","Q"&amp;ROUNDUP(MONTH(A211)/3,0))</f>
        <v/>
      </c>
      <c r="E211" s="22" t="n"/>
      <c r="F211" s="22" t="n"/>
      <c r="G211" s="40">
        <f>IFERROR(VLOOKUP(F211,M2_거래처마스터!A:E,3,FALSE),"")</f>
        <v/>
      </c>
      <c r="H211" s="22" t="n"/>
      <c r="I211" s="23" t="n"/>
      <c r="J211" s="24" t="n"/>
      <c r="K211" s="39">
        <f>IF(AND(I211&lt;&gt;"",J211&lt;&gt;""),I211*J211,"")</f>
        <v/>
      </c>
      <c r="L211" s="22" t="n"/>
      <c r="M211" s="22" t="n"/>
      <c r="N211" s="24" t="n"/>
      <c r="O211" s="24" t="n"/>
    </row>
    <row r="212">
      <c r="A212" s="34" t="n"/>
      <c r="B212" s="35">
        <f>IF(A212="","",YEAR(A212))</f>
        <v/>
      </c>
      <c r="C212" s="36">
        <f>IF(A212="","",MONTH(A212))</f>
        <v/>
      </c>
      <c r="D212" s="37">
        <f>IF(A212="","","Q"&amp;ROUNDUP(MONTH(A212)/3,0))</f>
        <v/>
      </c>
      <c r="E212" s="18" t="n"/>
      <c r="F212" s="18" t="n"/>
      <c r="G212" s="40">
        <f>IFERROR(VLOOKUP(F212,M2_거래처마스터!A:E,3,FALSE),"")</f>
        <v/>
      </c>
      <c r="H212" s="18" t="n"/>
      <c r="I212" s="19" t="n"/>
      <c r="J212" s="20" t="n"/>
      <c r="K212" s="39">
        <f>IF(AND(I212&lt;&gt;"",J212&lt;&gt;""),I212*J212,"")</f>
        <v/>
      </c>
      <c r="L212" s="18" t="n"/>
      <c r="M212" s="18" t="n"/>
      <c r="N212" s="20" t="n"/>
      <c r="O212" s="20" t="n"/>
    </row>
    <row r="213">
      <c r="A213" s="41" t="n"/>
      <c r="B213" s="35">
        <f>IF(A213="","",YEAR(A213))</f>
        <v/>
      </c>
      <c r="C213" s="36">
        <f>IF(A213="","",MONTH(A213))</f>
        <v/>
      </c>
      <c r="D213" s="37">
        <f>IF(A213="","","Q"&amp;ROUNDUP(MONTH(A213)/3,0))</f>
        <v/>
      </c>
      <c r="E213" s="22" t="n"/>
      <c r="F213" s="22" t="n"/>
      <c r="G213" s="40">
        <f>IFERROR(VLOOKUP(F213,M2_거래처마스터!A:E,3,FALSE),"")</f>
        <v/>
      </c>
      <c r="H213" s="22" t="n"/>
      <c r="I213" s="23" t="n"/>
      <c r="J213" s="24" t="n"/>
      <c r="K213" s="39">
        <f>IF(AND(I213&lt;&gt;"",J213&lt;&gt;""),I213*J213,"")</f>
        <v/>
      </c>
      <c r="L213" s="22" t="n"/>
      <c r="M213" s="22" t="n"/>
      <c r="N213" s="24" t="n"/>
      <c r="O213" s="24" t="n"/>
    </row>
    <row r="214">
      <c r="A214" s="34" t="n"/>
      <c r="B214" s="35">
        <f>IF(A214="","",YEAR(A214))</f>
        <v/>
      </c>
      <c r="C214" s="36">
        <f>IF(A214="","",MONTH(A214))</f>
        <v/>
      </c>
      <c r="D214" s="37">
        <f>IF(A214="","","Q"&amp;ROUNDUP(MONTH(A214)/3,0))</f>
        <v/>
      </c>
      <c r="E214" s="18" t="n"/>
      <c r="F214" s="18" t="n"/>
      <c r="G214" s="40">
        <f>IFERROR(VLOOKUP(F214,M2_거래처마스터!A:E,3,FALSE),"")</f>
        <v/>
      </c>
      <c r="H214" s="18" t="n"/>
      <c r="I214" s="19" t="n"/>
      <c r="J214" s="20" t="n"/>
      <c r="K214" s="39">
        <f>IF(AND(I214&lt;&gt;"",J214&lt;&gt;""),I214*J214,"")</f>
        <v/>
      </c>
      <c r="L214" s="18" t="n"/>
      <c r="M214" s="18" t="n"/>
      <c r="N214" s="20" t="n"/>
      <c r="O214" s="20" t="n"/>
    </row>
    <row r="215">
      <c r="A215" s="41" t="n"/>
      <c r="B215" s="35">
        <f>IF(A215="","",YEAR(A215))</f>
        <v/>
      </c>
      <c r="C215" s="36">
        <f>IF(A215="","",MONTH(A215))</f>
        <v/>
      </c>
      <c r="D215" s="37">
        <f>IF(A215="","","Q"&amp;ROUNDUP(MONTH(A215)/3,0))</f>
        <v/>
      </c>
      <c r="E215" s="22" t="n"/>
      <c r="F215" s="22" t="n"/>
      <c r="G215" s="40">
        <f>IFERROR(VLOOKUP(F215,M2_거래처마스터!A:E,3,FALSE),"")</f>
        <v/>
      </c>
      <c r="H215" s="22" t="n"/>
      <c r="I215" s="23" t="n"/>
      <c r="J215" s="24" t="n"/>
      <c r="K215" s="39">
        <f>IF(AND(I215&lt;&gt;"",J215&lt;&gt;""),I215*J215,"")</f>
        <v/>
      </c>
      <c r="L215" s="22" t="n"/>
      <c r="M215" s="22" t="n"/>
      <c r="N215" s="24" t="n"/>
      <c r="O215" s="24" t="n"/>
    </row>
    <row r="216">
      <c r="A216" s="34" t="n"/>
      <c r="B216" s="35">
        <f>IF(A216="","",YEAR(A216))</f>
        <v/>
      </c>
      <c r="C216" s="36">
        <f>IF(A216="","",MONTH(A216))</f>
        <v/>
      </c>
      <c r="D216" s="37">
        <f>IF(A216="","","Q"&amp;ROUNDUP(MONTH(A216)/3,0))</f>
        <v/>
      </c>
      <c r="E216" s="18" t="n"/>
      <c r="F216" s="18" t="n"/>
      <c r="G216" s="40">
        <f>IFERROR(VLOOKUP(F216,M2_거래처마스터!A:E,3,FALSE),"")</f>
        <v/>
      </c>
      <c r="H216" s="18" t="n"/>
      <c r="I216" s="19" t="n"/>
      <c r="J216" s="20" t="n"/>
      <c r="K216" s="39">
        <f>IF(AND(I216&lt;&gt;"",J216&lt;&gt;""),I216*J216,"")</f>
        <v/>
      </c>
      <c r="L216" s="18" t="n"/>
      <c r="M216" s="18" t="n"/>
      <c r="N216" s="20" t="n"/>
      <c r="O216" s="20" t="n"/>
    </row>
    <row r="217">
      <c r="A217" s="41" t="n"/>
      <c r="B217" s="35">
        <f>IF(A217="","",YEAR(A217))</f>
        <v/>
      </c>
      <c r="C217" s="36">
        <f>IF(A217="","",MONTH(A217))</f>
        <v/>
      </c>
      <c r="D217" s="37">
        <f>IF(A217="","","Q"&amp;ROUNDUP(MONTH(A217)/3,0))</f>
        <v/>
      </c>
      <c r="E217" s="22" t="n"/>
      <c r="F217" s="22" t="n"/>
      <c r="G217" s="40">
        <f>IFERROR(VLOOKUP(F217,M2_거래처마스터!A:E,3,FALSE),"")</f>
        <v/>
      </c>
      <c r="H217" s="22" t="n"/>
      <c r="I217" s="23" t="n"/>
      <c r="J217" s="24" t="n"/>
      <c r="K217" s="39">
        <f>IF(AND(I217&lt;&gt;"",J217&lt;&gt;""),I217*J217,"")</f>
        <v/>
      </c>
      <c r="L217" s="22" t="n"/>
      <c r="M217" s="22" t="n"/>
      <c r="N217" s="24" t="n"/>
      <c r="O217" s="24" t="n"/>
    </row>
    <row r="218">
      <c r="A218" s="34" t="n"/>
      <c r="B218" s="35">
        <f>IF(A218="","",YEAR(A218))</f>
        <v/>
      </c>
      <c r="C218" s="36">
        <f>IF(A218="","",MONTH(A218))</f>
        <v/>
      </c>
      <c r="D218" s="37">
        <f>IF(A218="","","Q"&amp;ROUNDUP(MONTH(A218)/3,0))</f>
        <v/>
      </c>
      <c r="E218" s="18" t="n"/>
      <c r="F218" s="18" t="n"/>
      <c r="G218" s="40">
        <f>IFERROR(VLOOKUP(F218,M2_거래처마스터!A:E,3,FALSE),"")</f>
        <v/>
      </c>
      <c r="H218" s="18" t="n"/>
      <c r="I218" s="19" t="n"/>
      <c r="J218" s="20" t="n"/>
      <c r="K218" s="39">
        <f>IF(AND(I218&lt;&gt;"",J218&lt;&gt;""),I218*J218,"")</f>
        <v/>
      </c>
      <c r="L218" s="18" t="n"/>
      <c r="M218" s="18" t="n"/>
      <c r="N218" s="20" t="n"/>
      <c r="O218" s="20" t="n"/>
    </row>
    <row r="219">
      <c r="A219" s="41" t="n"/>
      <c r="B219" s="35">
        <f>IF(A219="","",YEAR(A219))</f>
        <v/>
      </c>
      <c r="C219" s="36">
        <f>IF(A219="","",MONTH(A219))</f>
        <v/>
      </c>
      <c r="D219" s="37">
        <f>IF(A219="","","Q"&amp;ROUNDUP(MONTH(A219)/3,0))</f>
        <v/>
      </c>
      <c r="E219" s="22" t="n"/>
      <c r="F219" s="22" t="n"/>
      <c r="G219" s="40">
        <f>IFERROR(VLOOKUP(F219,M2_거래처마스터!A:E,3,FALSE),"")</f>
        <v/>
      </c>
      <c r="H219" s="22" t="n"/>
      <c r="I219" s="23" t="n"/>
      <c r="J219" s="24" t="n"/>
      <c r="K219" s="39">
        <f>IF(AND(I219&lt;&gt;"",J219&lt;&gt;""),I219*J219,"")</f>
        <v/>
      </c>
      <c r="L219" s="22" t="n"/>
      <c r="M219" s="22" t="n"/>
      <c r="N219" s="24" t="n"/>
      <c r="O219" s="24" t="n"/>
    </row>
    <row r="220">
      <c r="A220" s="34" t="n"/>
      <c r="B220" s="35">
        <f>IF(A220="","",YEAR(A220))</f>
        <v/>
      </c>
      <c r="C220" s="36">
        <f>IF(A220="","",MONTH(A220))</f>
        <v/>
      </c>
      <c r="D220" s="37">
        <f>IF(A220="","","Q"&amp;ROUNDUP(MONTH(A220)/3,0))</f>
        <v/>
      </c>
      <c r="E220" s="18" t="n"/>
      <c r="F220" s="18" t="n"/>
      <c r="G220" s="40">
        <f>IFERROR(VLOOKUP(F220,M2_거래처마스터!A:E,3,FALSE),"")</f>
        <v/>
      </c>
      <c r="H220" s="18" t="n"/>
      <c r="I220" s="19" t="n"/>
      <c r="J220" s="20" t="n"/>
      <c r="K220" s="39">
        <f>IF(AND(I220&lt;&gt;"",J220&lt;&gt;""),I220*J220,"")</f>
        <v/>
      </c>
      <c r="L220" s="18" t="n"/>
      <c r="M220" s="18" t="n"/>
      <c r="N220" s="20" t="n"/>
      <c r="O220" s="20" t="n"/>
    </row>
    <row r="221">
      <c r="A221" s="41" t="n"/>
      <c r="B221" s="35">
        <f>IF(A221="","",YEAR(A221))</f>
        <v/>
      </c>
      <c r="C221" s="36">
        <f>IF(A221="","",MONTH(A221))</f>
        <v/>
      </c>
      <c r="D221" s="37">
        <f>IF(A221="","","Q"&amp;ROUNDUP(MONTH(A221)/3,0))</f>
        <v/>
      </c>
      <c r="E221" s="22" t="n"/>
      <c r="F221" s="22" t="n"/>
      <c r="G221" s="40">
        <f>IFERROR(VLOOKUP(F221,M2_거래처마스터!A:E,3,FALSE),"")</f>
        <v/>
      </c>
      <c r="H221" s="22" t="n"/>
      <c r="I221" s="23" t="n"/>
      <c r="J221" s="24" t="n"/>
      <c r="K221" s="39">
        <f>IF(AND(I221&lt;&gt;"",J221&lt;&gt;""),I221*J221,"")</f>
        <v/>
      </c>
      <c r="L221" s="22" t="n"/>
      <c r="M221" s="22" t="n"/>
      <c r="N221" s="24" t="n"/>
      <c r="O221" s="24" t="n"/>
    </row>
    <row r="222">
      <c r="A222" s="34" t="n"/>
      <c r="B222" s="35">
        <f>IF(A222="","",YEAR(A222))</f>
        <v/>
      </c>
      <c r="C222" s="36">
        <f>IF(A222="","",MONTH(A222))</f>
        <v/>
      </c>
      <c r="D222" s="37">
        <f>IF(A222="","","Q"&amp;ROUNDUP(MONTH(A222)/3,0))</f>
        <v/>
      </c>
      <c r="E222" s="18" t="n"/>
      <c r="F222" s="18" t="n"/>
      <c r="G222" s="40">
        <f>IFERROR(VLOOKUP(F222,M2_거래처마스터!A:E,3,FALSE),"")</f>
        <v/>
      </c>
      <c r="H222" s="18" t="n"/>
      <c r="I222" s="19" t="n"/>
      <c r="J222" s="20" t="n"/>
      <c r="K222" s="39">
        <f>IF(AND(I222&lt;&gt;"",J222&lt;&gt;""),I222*J222,"")</f>
        <v/>
      </c>
      <c r="L222" s="18" t="n"/>
      <c r="M222" s="18" t="n"/>
      <c r="N222" s="20" t="n"/>
      <c r="O222" s="20" t="n"/>
    </row>
    <row r="223">
      <c r="A223" s="41" t="n"/>
      <c r="B223" s="35">
        <f>IF(A223="","",YEAR(A223))</f>
        <v/>
      </c>
      <c r="C223" s="36">
        <f>IF(A223="","",MONTH(A223))</f>
        <v/>
      </c>
      <c r="D223" s="37">
        <f>IF(A223="","","Q"&amp;ROUNDUP(MONTH(A223)/3,0))</f>
        <v/>
      </c>
      <c r="E223" s="22" t="n"/>
      <c r="F223" s="22" t="n"/>
      <c r="G223" s="40">
        <f>IFERROR(VLOOKUP(F223,M2_거래처마스터!A:E,3,FALSE),"")</f>
        <v/>
      </c>
      <c r="H223" s="22" t="n"/>
      <c r="I223" s="23" t="n"/>
      <c r="J223" s="24" t="n"/>
      <c r="K223" s="39">
        <f>IF(AND(I223&lt;&gt;"",J223&lt;&gt;""),I223*J223,"")</f>
        <v/>
      </c>
      <c r="L223" s="22" t="n"/>
      <c r="M223" s="22" t="n"/>
      <c r="N223" s="24" t="n"/>
      <c r="O223" s="24" t="n"/>
    </row>
    <row r="224">
      <c r="A224" s="34" t="n"/>
      <c r="B224" s="35">
        <f>IF(A224="","",YEAR(A224))</f>
        <v/>
      </c>
      <c r="C224" s="36">
        <f>IF(A224="","",MONTH(A224))</f>
        <v/>
      </c>
      <c r="D224" s="37">
        <f>IF(A224="","","Q"&amp;ROUNDUP(MONTH(A224)/3,0))</f>
        <v/>
      </c>
      <c r="E224" s="18" t="n"/>
      <c r="F224" s="18" t="n"/>
      <c r="G224" s="40">
        <f>IFERROR(VLOOKUP(F224,M2_거래처마스터!A:E,3,FALSE),"")</f>
        <v/>
      </c>
      <c r="H224" s="18" t="n"/>
      <c r="I224" s="19" t="n"/>
      <c r="J224" s="20" t="n"/>
      <c r="K224" s="39">
        <f>IF(AND(I224&lt;&gt;"",J224&lt;&gt;""),I224*J224,"")</f>
        <v/>
      </c>
      <c r="L224" s="18" t="n"/>
      <c r="M224" s="18" t="n"/>
      <c r="N224" s="20" t="n"/>
      <c r="O224" s="20" t="n"/>
    </row>
    <row r="225">
      <c r="A225" s="41" t="n"/>
      <c r="B225" s="35">
        <f>IF(A225="","",YEAR(A225))</f>
        <v/>
      </c>
      <c r="C225" s="36">
        <f>IF(A225="","",MONTH(A225))</f>
        <v/>
      </c>
      <c r="D225" s="37">
        <f>IF(A225="","","Q"&amp;ROUNDUP(MONTH(A225)/3,0))</f>
        <v/>
      </c>
      <c r="E225" s="22" t="n"/>
      <c r="F225" s="22" t="n"/>
      <c r="G225" s="40">
        <f>IFERROR(VLOOKUP(F225,M2_거래처마스터!A:E,3,FALSE),"")</f>
        <v/>
      </c>
      <c r="H225" s="22" t="n"/>
      <c r="I225" s="23" t="n"/>
      <c r="J225" s="24" t="n"/>
      <c r="K225" s="39">
        <f>IF(AND(I225&lt;&gt;"",J225&lt;&gt;""),I225*J225,"")</f>
        <v/>
      </c>
      <c r="L225" s="22" t="n"/>
      <c r="M225" s="22" t="n"/>
      <c r="N225" s="24" t="n"/>
      <c r="O225" s="24" t="n"/>
    </row>
    <row r="226">
      <c r="A226" s="34" t="n"/>
      <c r="B226" s="35">
        <f>IF(A226="","",YEAR(A226))</f>
        <v/>
      </c>
      <c r="C226" s="36">
        <f>IF(A226="","",MONTH(A226))</f>
        <v/>
      </c>
      <c r="D226" s="37">
        <f>IF(A226="","","Q"&amp;ROUNDUP(MONTH(A226)/3,0))</f>
        <v/>
      </c>
      <c r="E226" s="18" t="n"/>
      <c r="F226" s="18" t="n"/>
      <c r="G226" s="40">
        <f>IFERROR(VLOOKUP(F226,M2_거래처마스터!A:E,3,FALSE),"")</f>
        <v/>
      </c>
      <c r="H226" s="18" t="n"/>
      <c r="I226" s="19" t="n"/>
      <c r="J226" s="20" t="n"/>
      <c r="K226" s="39">
        <f>IF(AND(I226&lt;&gt;"",J226&lt;&gt;""),I226*J226,"")</f>
        <v/>
      </c>
      <c r="L226" s="18" t="n"/>
      <c r="M226" s="18" t="n"/>
      <c r="N226" s="20" t="n"/>
      <c r="O226" s="20" t="n"/>
    </row>
    <row r="227">
      <c r="A227" s="41" t="n"/>
      <c r="B227" s="35">
        <f>IF(A227="","",YEAR(A227))</f>
        <v/>
      </c>
      <c r="C227" s="36">
        <f>IF(A227="","",MONTH(A227))</f>
        <v/>
      </c>
      <c r="D227" s="37">
        <f>IF(A227="","","Q"&amp;ROUNDUP(MONTH(A227)/3,0))</f>
        <v/>
      </c>
      <c r="E227" s="22" t="n"/>
      <c r="F227" s="22" t="n"/>
      <c r="G227" s="40">
        <f>IFERROR(VLOOKUP(F227,M2_거래처마스터!A:E,3,FALSE),"")</f>
        <v/>
      </c>
      <c r="H227" s="22" t="n"/>
      <c r="I227" s="23" t="n"/>
      <c r="J227" s="24" t="n"/>
      <c r="K227" s="39">
        <f>IF(AND(I227&lt;&gt;"",J227&lt;&gt;""),I227*J227,"")</f>
        <v/>
      </c>
      <c r="L227" s="22" t="n"/>
      <c r="M227" s="22" t="n"/>
      <c r="N227" s="24" t="n"/>
      <c r="O227" s="24" t="n"/>
    </row>
    <row r="228">
      <c r="A228" s="34" t="n"/>
      <c r="B228" s="35">
        <f>IF(A228="","",YEAR(A228))</f>
        <v/>
      </c>
      <c r="C228" s="36">
        <f>IF(A228="","",MONTH(A228))</f>
        <v/>
      </c>
      <c r="D228" s="37">
        <f>IF(A228="","","Q"&amp;ROUNDUP(MONTH(A228)/3,0))</f>
        <v/>
      </c>
      <c r="E228" s="18" t="n"/>
      <c r="F228" s="18" t="n"/>
      <c r="G228" s="40">
        <f>IFERROR(VLOOKUP(F228,M2_거래처마스터!A:E,3,FALSE),"")</f>
        <v/>
      </c>
      <c r="H228" s="18" t="n"/>
      <c r="I228" s="19" t="n"/>
      <c r="J228" s="20" t="n"/>
      <c r="K228" s="39">
        <f>IF(AND(I228&lt;&gt;"",J228&lt;&gt;""),I228*J228,"")</f>
        <v/>
      </c>
      <c r="L228" s="18" t="n"/>
      <c r="M228" s="18" t="n"/>
      <c r="N228" s="20" t="n"/>
      <c r="O228" s="20" t="n"/>
    </row>
    <row r="229">
      <c r="A229" s="41" t="n"/>
      <c r="B229" s="35">
        <f>IF(A229="","",YEAR(A229))</f>
        <v/>
      </c>
      <c r="C229" s="36">
        <f>IF(A229="","",MONTH(A229))</f>
        <v/>
      </c>
      <c r="D229" s="37">
        <f>IF(A229="","","Q"&amp;ROUNDUP(MONTH(A229)/3,0))</f>
        <v/>
      </c>
      <c r="E229" s="22" t="n"/>
      <c r="F229" s="22" t="n"/>
      <c r="G229" s="40">
        <f>IFERROR(VLOOKUP(F229,M2_거래처마스터!A:E,3,FALSE),"")</f>
        <v/>
      </c>
      <c r="H229" s="22" t="n"/>
      <c r="I229" s="23" t="n"/>
      <c r="J229" s="24" t="n"/>
      <c r="K229" s="39">
        <f>IF(AND(I229&lt;&gt;"",J229&lt;&gt;""),I229*J229,"")</f>
        <v/>
      </c>
      <c r="L229" s="22" t="n"/>
      <c r="M229" s="22" t="n"/>
      <c r="N229" s="24" t="n"/>
      <c r="O229" s="24" t="n"/>
    </row>
    <row r="230">
      <c r="A230" s="34" t="n"/>
      <c r="B230" s="35">
        <f>IF(A230="","",YEAR(A230))</f>
        <v/>
      </c>
      <c r="C230" s="36">
        <f>IF(A230="","",MONTH(A230))</f>
        <v/>
      </c>
      <c r="D230" s="37">
        <f>IF(A230="","","Q"&amp;ROUNDUP(MONTH(A230)/3,0))</f>
        <v/>
      </c>
      <c r="E230" s="18" t="n"/>
      <c r="F230" s="18" t="n"/>
      <c r="G230" s="40">
        <f>IFERROR(VLOOKUP(F230,M2_거래처마스터!A:E,3,FALSE),"")</f>
        <v/>
      </c>
      <c r="H230" s="18" t="n"/>
      <c r="I230" s="19" t="n"/>
      <c r="J230" s="20" t="n"/>
      <c r="K230" s="39">
        <f>IF(AND(I230&lt;&gt;"",J230&lt;&gt;""),I230*J230,"")</f>
        <v/>
      </c>
      <c r="L230" s="18" t="n"/>
      <c r="M230" s="18" t="n"/>
      <c r="N230" s="20" t="n"/>
      <c r="O230" s="20" t="n"/>
    </row>
    <row r="231">
      <c r="A231" s="41" t="n"/>
      <c r="B231" s="35">
        <f>IF(A231="","",YEAR(A231))</f>
        <v/>
      </c>
      <c r="C231" s="36">
        <f>IF(A231="","",MONTH(A231))</f>
        <v/>
      </c>
      <c r="D231" s="37">
        <f>IF(A231="","","Q"&amp;ROUNDUP(MONTH(A231)/3,0))</f>
        <v/>
      </c>
      <c r="E231" s="22" t="n"/>
      <c r="F231" s="22" t="n"/>
      <c r="G231" s="40">
        <f>IFERROR(VLOOKUP(F231,M2_거래처마스터!A:E,3,FALSE),"")</f>
        <v/>
      </c>
      <c r="H231" s="22" t="n"/>
      <c r="I231" s="23" t="n"/>
      <c r="J231" s="24" t="n"/>
      <c r="K231" s="39">
        <f>IF(AND(I231&lt;&gt;"",J231&lt;&gt;""),I231*J231,"")</f>
        <v/>
      </c>
      <c r="L231" s="22" t="n"/>
      <c r="M231" s="22" t="n"/>
      <c r="N231" s="24" t="n"/>
      <c r="O231" s="24" t="n"/>
    </row>
    <row r="232">
      <c r="A232" s="34" t="n"/>
      <c r="B232" s="35">
        <f>IF(A232="","",YEAR(A232))</f>
        <v/>
      </c>
      <c r="C232" s="36">
        <f>IF(A232="","",MONTH(A232))</f>
        <v/>
      </c>
      <c r="D232" s="37">
        <f>IF(A232="","","Q"&amp;ROUNDUP(MONTH(A232)/3,0))</f>
        <v/>
      </c>
      <c r="E232" s="18" t="n"/>
      <c r="F232" s="18" t="n"/>
      <c r="G232" s="40">
        <f>IFERROR(VLOOKUP(F232,M2_거래처마스터!A:E,3,FALSE),"")</f>
        <v/>
      </c>
      <c r="H232" s="18" t="n"/>
      <c r="I232" s="19" t="n"/>
      <c r="J232" s="20" t="n"/>
      <c r="K232" s="39">
        <f>IF(AND(I232&lt;&gt;"",J232&lt;&gt;""),I232*J232,"")</f>
        <v/>
      </c>
      <c r="L232" s="18" t="n"/>
      <c r="M232" s="18" t="n"/>
      <c r="N232" s="20" t="n"/>
      <c r="O232" s="20" t="n"/>
    </row>
    <row r="233">
      <c r="A233" s="41" t="n"/>
      <c r="B233" s="35">
        <f>IF(A233="","",YEAR(A233))</f>
        <v/>
      </c>
      <c r="C233" s="36">
        <f>IF(A233="","",MONTH(A233))</f>
        <v/>
      </c>
      <c r="D233" s="37">
        <f>IF(A233="","","Q"&amp;ROUNDUP(MONTH(A233)/3,0))</f>
        <v/>
      </c>
      <c r="E233" s="22" t="n"/>
      <c r="F233" s="22" t="n"/>
      <c r="G233" s="40">
        <f>IFERROR(VLOOKUP(F233,M2_거래처마스터!A:E,3,FALSE),"")</f>
        <v/>
      </c>
      <c r="H233" s="22" t="n"/>
      <c r="I233" s="23" t="n"/>
      <c r="J233" s="24" t="n"/>
      <c r="K233" s="39">
        <f>IF(AND(I233&lt;&gt;"",J233&lt;&gt;""),I233*J233,"")</f>
        <v/>
      </c>
      <c r="L233" s="22" t="n"/>
      <c r="M233" s="22" t="n"/>
      <c r="N233" s="24" t="n"/>
      <c r="O233" s="24" t="n"/>
    </row>
    <row r="234">
      <c r="A234" s="34" t="n"/>
      <c r="B234" s="35">
        <f>IF(A234="","",YEAR(A234))</f>
        <v/>
      </c>
      <c r="C234" s="36">
        <f>IF(A234="","",MONTH(A234))</f>
        <v/>
      </c>
      <c r="D234" s="37">
        <f>IF(A234="","","Q"&amp;ROUNDUP(MONTH(A234)/3,0))</f>
        <v/>
      </c>
      <c r="E234" s="18" t="n"/>
      <c r="F234" s="18" t="n"/>
      <c r="G234" s="40">
        <f>IFERROR(VLOOKUP(F234,M2_거래처마스터!A:E,3,FALSE),"")</f>
        <v/>
      </c>
      <c r="H234" s="18" t="n"/>
      <c r="I234" s="19" t="n"/>
      <c r="J234" s="20" t="n"/>
      <c r="K234" s="39">
        <f>IF(AND(I234&lt;&gt;"",J234&lt;&gt;""),I234*J234,"")</f>
        <v/>
      </c>
      <c r="L234" s="18" t="n"/>
      <c r="M234" s="18" t="n"/>
      <c r="N234" s="20" t="n"/>
      <c r="O234" s="20" t="n"/>
    </row>
    <row r="235">
      <c r="A235" s="41" t="n"/>
      <c r="B235" s="35">
        <f>IF(A235="","",YEAR(A235))</f>
        <v/>
      </c>
      <c r="C235" s="36">
        <f>IF(A235="","",MONTH(A235))</f>
        <v/>
      </c>
      <c r="D235" s="37">
        <f>IF(A235="","","Q"&amp;ROUNDUP(MONTH(A235)/3,0))</f>
        <v/>
      </c>
      <c r="E235" s="22" t="n"/>
      <c r="F235" s="22" t="n"/>
      <c r="G235" s="40">
        <f>IFERROR(VLOOKUP(F235,M2_거래처마스터!A:E,3,FALSE),"")</f>
        <v/>
      </c>
      <c r="H235" s="22" t="n"/>
      <c r="I235" s="23" t="n"/>
      <c r="J235" s="24" t="n"/>
      <c r="K235" s="39">
        <f>IF(AND(I235&lt;&gt;"",J235&lt;&gt;""),I235*J235,"")</f>
        <v/>
      </c>
      <c r="L235" s="22" t="n"/>
      <c r="M235" s="22" t="n"/>
      <c r="N235" s="24" t="n"/>
      <c r="O235" s="24" t="n"/>
    </row>
    <row r="236">
      <c r="A236" s="34" t="n"/>
      <c r="B236" s="35">
        <f>IF(A236="","",YEAR(A236))</f>
        <v/>
      </c>
      <c r="C236" s="36">
        <f>IF(A236="","",MONTH(A236))</f>
        <v/>
      </c>
      <c r="D236" s="37">
        <f>IF(A236="","","Q"&amp;ROUNDUP(MONTH(A236)/3,0))</f>
        <v/>
      </c>
      <c r="E236" s="18" t="n"/>
      <c r="F236" s="18" t="n"/>
      <c r="G236" s="40">
        <f>IFERROR(VLOOKUP(F236,M2_거래처마스터!A:E,3,FALSE),"")</f>
        <v/>
      </c>
      <c r="H236" s="18" t="n"/>
      <c r="I236" s="19" t="n"/>
      <c r="J236" s="20" t="n"/>
      <c r="K236" s="39">
        <f>IF(AND(I236&lt;&gt;"",J236&lt;&gt;""),I236*J236,"")</f>
        <v/>
      </c>
      <c r="L236" s="18" t="n"/>
      <c r="M236" s="18" t="n"/>
      <c r="N236" s="20" t="n"/>
      <c r="O236" s="20" t="n"/>
    </row>
    <row r="237">
      <c r="A237" s="41" t="n"/>
      <c r="B237" s="35">
        <f>IF(A237="","",YEAR(A237))</f>
        <v/>
      </c>
      <c r="C237" s="36">
        <f>IF(A237="","",MONTH(A237))</f>
        <v/>
      </c>
      <c r="D237" s="37">
        <f>IF(A237="","","Q"&amp;ROUNDUP(MONTH(A237)/3,0))</f>
        <v/>
      </c>
      <c r="E237" s="22" t="n"/>
      <c r="F237" s="22" t="n"/>
      <c r="G237" s="40">
        <f>IFERROR(VLOOKUP(F237,M2_거래처마스터!A:E,3,FALSE),"")</f>
        <v/>
      </c>
      <c r="H237" s="22" t="n"/>
      <c r="I237" s="23" t="n"/>
      <c r="J237" s="24" t="n"/>
      <c r="K237" s="39">
        <f>IF(AND(I237&lt;&gt;"",J237&lt;&gt;""),I237*J237,"")</f>
        <v/>
      </c>
      <c r="L237" s="22" t="n"/>
      <c r="M237" s="22" t="n"/>
      <c r="N237" s="24" t="n"/>
      <c r="O237" s="24" t="n"/>
    </row>
    <row r="238">
      <c r="A238" s="34" t="n"/>
      <c r="B238" s="35">
        <f>IF(A238="","",YEAR(A238))</f>
        <v/>
      </c>
      <c r="C238" s="36">
        <f>IF(A238="","",MONTH(A238))</f>
        <v/>
      </c>
      <c r="D238" s="37">
        <f>IF(A238="","","Q"&amp;ROUNDUP(MONTH(A238)/3,0))</f>
        <v/>
      </c>
      <c r="E238" s="18" t="n"/>
      <c r="F238" s="18" t="n"/>
      <c r="G238" s="40">
        <f>IFERROR(VLOOKUP(F238,M2_거래처마스터!A:E,3,FALSE),"")</f>
        <v/>
      </c>
      <c r="H238" s="18" t="n"/>
      <c r="I238" s="19" t="n"/>
      <c r="J238" s="20" t="n"/>
      <c r="K238" s="39">
        <f>IF(AND(I238&lt;&gt;"",J238&lt;&gt;""),I238*J238,"")</f>
        <v/>
      </c>
      <c r="L238" s="18" t="n"/>
      <c r="M238" s="18" t="n"/>
      <c r="N238" s="20" t="n"/>
      <c r="O238" s="20" t="n"/>
    </row>
    <row r="239">
      <c r="A239" s="41" t="n"/>
      <c r="B239" s="35">
        <f>IF(A239="","",YEAR(A239))</f>
        <v/>
      </c>
      <c r="C239" s="36">
        <f>IF(A239="","",MONTH(A239))</f>
        <v/>
      </c>
      <c r="D239" s="37">
        <f>IF(A239="","","Q"&amp;ROUNDUP(MONTH(A239)/3,0))</f>
        <v/>
      </c>
      <c r="E239" s="22" t="n"/>
      <c r="F239" s="22" t="n"/>
      <c r="G239" s="40">
        <f>IFERROR(VLOOKUP(F239,M2_거래처마스터!A:E,3,FALSE),"")</f>
        <v/>
      </c>
      <c r="H239" s="22" t="n"/>
      <c r="I239" s="23" t="n"/>
      <c r="J239" s="24" t="n"/>
      <c r="K239" s="39">
        <f>IF(AND(I239&lt;&gt;"",J239&lt;&gt;""),I239*J239,"")</f>
        <v/>
      </c>
      <c r="L239" s="22" t="n"/>
      <c r="M239" s="22" t="n"/>
      <c r="N239" s="24" t="n"/>
      <c r="O239" s="24" t="n"/>
    </row>
    <row r="240">
      <c r="A240" s="34" t="n"/>
      <c r="B240" s="35">
        <f>IF(A240="","",YEAR(A240))</f>
        <v/>
      </c>
      <c r="C240" s="36">
        <f>IF(A240="","",MONTH(A240))</f>
        <v/>
      </c>
      <c r="D240" s="37">
        <f>IF(A240="","","Q"&amp;ROUNDUP(MONTH(A240)/3,0))</f>
        <v/>
      </c>
      <c r="E240" s="18" t="n"/>
      <c r="F240" s="18" t="n"/>
      <c r="G240" s="40">
        <f>IFERROR(VLOOKUP(F240,M2_거래처마스터!A:E,3,FALSE),"")</f>
        <v/>
      </c>
      <c r="H240" s="18" t="n"/>
      <c r="I240" s="19" t="n"/>
      <c r="J240" s="20" t="n"/>
      <c r="K240" s="39">
        <f>IF(AND(I240&lt;&gt;"",J240&lt;&gt;""),I240*J240,"")</f>
        <v/>
      </c>
      <c r="L240" s="18" t="n"/>
      <c r="M240" s="18" t="n"/>
      <c r="N240" s="20" t="n"/>
      <c r="O240" s="20" t="n"/>
    </row>
    <row r="241">
      <c r="A241" s="41" t="n"/>
      <c r="B241" s="35">
        <f>IF(A241="","",YEAR(A241))</f>
        <v/>
      </c>
      <c r="C241" s="36">
        <f>IF(A241="","",MONTH(A241))</f>
        <v/>
      </c>
      <c r="D241" s="37">
        <f>IF(A241="","","Q"&amp;ROUNDUP(MONTH(A241)/3,0))</f>
        <v/>
      </c>
      <c r="E241" s="22" t="n"/>
      <c r="F241" s="22" t="n"/>
      <c r="G241" s="40">
        <f>IFERROR(VLOOKUP(F241,M2_거래처마스터!A:E,3,FALSE),"")</f>
        <v/>
      </c>
      <c r="H241" s="22" t="n"/>
      <c r="I241" s="23" t="n"/>
      <c r="J241" s="24" t="n"/>
      <c r="K241" s="39">
        <f>IF(AND(I241&lt;&gt;"",J241&lt;&gt;""),I241*J241,"")</f>
        <v/>
      </c>
      <c r="L241" s="22" t="n"/>
      <c r="M241" s="22" t="n"/>
      <c r="N241" s="24" t="n"/>
      <c r="O241" s="24" t="n"/>
    </row>
    <row r="242">
      <c r="A242" s="34" t="n"/>
      <c r="B242" s="35">
        <f>IF(A242="","",YEAR(A242))</f>
        <v/>
      </c>
      <c r="C242" s="36">
        <f>IF(A242="","",MONTH(A242))</f>
        <v/>
      </c>
      <c r="D242" s="37">
        <f>IF(A242="","","Q"&amp;ROUNDUP(MONTH(A242)/3,0))</f>
        <v/>
      </c>
      <c r="E242" s="18" t="n"/>
      <c r="F242" s="18" t="n"/>
      <c r="G242" s="40">
        <f>IFERROR(VLOOKUP(F242,M2_거래처마스터!A:E,3,FALSE),"")</f>
        <v/>
      </c>
      <c r="H242" s="18" t="n"/>
      <c r="I242" s="19" t="n"/>
      <c r="J242" s="20" t="n"/>
      <c r="K242" s="39">
        <f>IF(AND(I242&lt;&gt;"",J242&lt;&gt;""),I242*J242,"")</f>
        <v/>
      </c>
      <c r="L242" s="18" t="n"/>
      <c r="M242" s="18" t="n"/>
      <c r="N242" s="20" t="n"/>
      <c r="O242" s="20" t="n"/>
    </row>
    <row r="243">
      <c r="A243" s="41" t="n"/>
      <c r="B243" s="35">
        <f>IF(A243="","",YEAR(A243))</f>
        <v/>
      </c>
      <c r="C243" s="36">
        <f>IF(A243="","",MONTH(A243))</f>
        <v/>
      </c>
      <c r="D243" s="37">
        <f>IF(A243="","","Q"&amp;ROUNDUP(MONTH(A243)/3,0))</f>
        <v/>
      </c>
      <c r="E243" s="22" t="n"/>
      <c r="F243" s="22" t="n"/>
      <c r="G243" s="40">
        <f>IFERROR(VLOOKUP(F243,M2_거래처마스터!A:E,3,FALSE),"")</f>
        <v/>
      </c>
      <c r="H243" s="22" t="n"/>
      <c r="I243" s="23" t="n"/>
      <c r="J243" s="24" t="n"/>
      <c r="K243" s="39">
        <f>IF(AND(I243&lt;&gt;"",J243&lt;&gt;""),I243*J243,"")</f>
        <v/>
      </c>
      <c r="L243" s="22" t="n"/>
      <c r="M243" s="22" t="n"/>
      <c r="N243" s="24" t="n"/>
      <c r="O243" s="24" t="n"/>
    </row>
    <row r="244">
      <c r="A244" s="34" t="n"/>
      <c r="B244" s="35">
        <f>IF(A244="","",YEAR(A244))</f>
        <v/>
      </c>
      <c r="C244" s="36">
        <f>IF(A244="","",MONTH(A244))</f>
        <v/>
      </c>
      <c r="D244" s="37">
        <f>IF(A244="","","Q"&amp;ROUNDUP(MONTH(A244)/3,0))</f>
        <v/>
      </c>
      <c r="E244" s="18" t="n"/>
      <c r="F244" s="18" t="n"/>
      <c r="G244" s="40">
        <f>IFERROR(VLOOKUP(F244,M2_거래처마스터!A:E,3,FALSE),"")</f>
        <v/>
      </c>
      <c r="H244" s="18" t="n"/>
      <c r="I244" s="19" t="n"/>
      <c r="J244" s="20" t="n"/>
      <c r="K244" s="39">
        <f>IF(AND(I244&lt;&gt;"",J244&lt;&gt;""),I244*J244,"")</f>
        <v/>
      </c>
      <c r="L244" s="18" t="n"/>
      <c r="M244" s="18" t="n"/>
      <c r="N244" s="20" t="n"/>
      <c r="O244" s="20" t="n"/>
    </row>
    <row r="245">
      <c r="A245" s="41" t="n"/>
      <c r="B245" s="35">
        <f>IF(A245="","",YEAR(A245))</f>
        <v/>
      </c>
      <c r="C245" s="36">
        <f>IF(A245="","",MONTH(A245))</f>
        <v/>
      </c>
      <c r="D245" s="37">
        <f>IF(A245="","","Q"&amp;ROUNDUP(MONTH(A245)/3,0))</f>
        <v/>
      </c>
      <c r="E245" s="22" t="n"/>
      <c r="F245" s="22" t="n"/>
      <c r="G245" s="40">
        <f>IFERROR(VLOOKUP(F245,M2_거래처마스터!A:E,3,FALSE),"")</f>
        <v/>
      </c>
      <c r="H245" s="22" t="n"/>
      <c r="I245" s="23" t="n"/>
      <c r="J245" s="24" t="n"/>
      <c r="K245" s="39">
        <f>IF(AND(I245&lt;&gt;"",J245&lt;&gt;""),I245*J245,"")</f>
        <v/>
      </c>
      <c r="L245" s="22" t="n"/>
      <c r="M245" s="22" t="n"/>
      <c r="N245" s="24" t="n"/>
      <c r="O245" s="24" t="n"/>
    </row>
    <row r="246">
      <c r="A246" s="34" t="n"/>
      <c r="B246" s="35">
        <f>IF(A246="","",YEAR(A246))</f>
        <v/>
      </c>
      <c r="C246" s="36">
        <f>IF(A246="","",MONTH(A246))</f>
        <v/>
      </c>
      <c r="D246" s="37">
        <f>IF(A246="","","Q"&amp;ROUNDUP(MONTH(A246)/3,0))</f>
        <v/>
      </c>
      <c r="E246" s="18" t="n"/>
      <c r="F246" s="18" t="n"/>
      <c r="G246" s="40">
        <f>IFERROR(VLOOKUP(F246,M2_거래처마스터!A:E,3,FALSE),"")</f>
        <v/>
      </c>
      <c r="H246" s="18" t="n"/>
      <c r="I246" s="19" t="n"/>
      <c r="J246" s="20" t="n"/>
      <c r="K246" s="39">
        <f>IF(AND(I246&lt;&gt;"",J246&lt;&gt;""),I246*J246,"")</f>
        <v/>
      </c>
      <c r="L246" s="18" t="n"/>
      <c r="M246" s="18" t="n"/>
      <c r="N246" s="20" t="n"/>
      <c r="O246" s="20" t="n"/>
    </row>
    <row r="247">
      <c r="A247" s="41" t="n"/>
      <c r="B247" s="35">
        <f>IF(A247="","",YEAR(A247))</f>
        <v/>
      </c>
      <c r="C247" s="36">
        <f>IF(A247="","",MONTH(A247))</f>
        <v/>
      </c>
      <c r="D247" s="37">
        <f>IF(A247="","","Q"&amp;ROUNDUP(MONTH(A247)/3,0))</f>
        <v/>
      </c>
      <c r="E247" s="22" t="n"/>
      <c r="F247" s="22" t="n"/>
      <c r="G247" s="40">
        <f>IFERROR(VLOOKUP(F247,M2_거래처마스터!A:E,3,FALSE),"")</f>
        <v/>
      </c>
      <c r="H247" s="22" t="n"/>
      <c r="I247" s="23" t="n"/>
      <c r="J247" s="24" t="n"/>
      <c r="K247" s="39">
        <f>IF(AND(I247&lt;&gt;"",J247&lt;&gt;""),I247*J247,"")</f>
        <v/>
      </c>
      <c r="L247" s="22" t="n"/>
      <c r="M247" s="22" t="n"/>
      <c r="N247" s="24" t="n"/>
      <c r="O247" s="24" t="n"/>
    </row>
    <row r="248">
      <c r="A248" s="34" t="n"/>
      <c r="B248" s="35">
        <f>IF(A248="","",YEAR(A248))</f>
        <v/>
      </c>
      <c r="C248" s="36">
        <f>IF(A248="","",MONTH(A248))</f>
        <v/>
      </c>
      <c r="D248" s="37">
        <f>IF(A248="","","Q"&amp;ROUNDUP(MONTH(A248)/3,0))</f>
        <v/>
      </c>
      <c r="E248" s="18" t="n"/>
      <c r="F248" s="18" t="n"/>
      <c r="G248" s="40">
        <f>IFERROR(VLOOKUP(F248,M2_거래처마스터!A:E,3,FALSE),"")</f>
        <v/>
      </c>
      <c r="H248" s="18" t="n"/>
      <c r="I248" s="19" t="n"/>
      <c r="J248" s="20" t="n"/>
      <c r="K248" s="39">
        <f>IF(AND(I248&lt;&gt;"",J248&lt;&gt;""),I248*J248,"")</f>
        <v/>
      </c>
      <c r="L248" s="18" t="n"/>
      <c r="M248" s="18" t="n"/>
      <c r="N248" s="20" t="n"/>
      <c r="O248" s="20" t="n"/>
    </row>
    <row r="249">
      <c r="A249" s="41" t="n"/>
      <c r="B249" s="35">
        <f>IF(A249="","",YEAR(A249))</f>
        <v/>
      </c>
      <c r="C249" s="36">
        <f>IF(A249="","",MONTH(A249))</f>
        <v/>
      </c>
      <c r="D249" s="37">
        <f>IF(A249="","","Q"&amp;ROUNDUP(MONTH(A249)/3,0))</f>
        <v/>
      </c>
      <c r="E249" s="22" t="n"/>
      <c r="F249" s="22" t="n"/>
      <c r="G249" s="40">
        <f>IFERROR(VLOOKUP(F249,M2_거래처마스터!A:E,3,FALSE),"")</f>
        <v/>
      </c>
      <c r="H249" s="22" t="n"/>
      <c r="I249" s="23" t="n"/>
      <c r="J249" s="24" t="n"/>
      <c r="K249" s="39">
        <f>IF(AND(I249&lt;&gt;"",J249&lt;&gt;""),I249*J249,"")</f>
        <v/>
      </c>
      <c r="L249" s="22" t="n"/>
      <c r="M249" s="22" t="n"/>
      <c r="N249" s="24" t="n"/>
      <c r="O249" s="24" t="n"/>
    </row>
    <row r="250">
      <c r="A250" s="34" t="n"/>
      <c r="B250" s="35">
        <f>IF(A250="","",YEAR(A250))</f>
        <v/>
      </c>
      <c r="C250" s="36">
        <f>IF(A250="","",MONTH(A250))</f>
        <v/>
      </c>
      <c r="D250" s="37">
        <f>IF(A250="","","Q"&amp;ROUNDUP(MONTH(A250)/3,0))</f>
        <v/>
      </c>
      <c r="E250" s="18" t="n"/>
      <c r="F250" s="18" t="n"/>
      <c r="G250" s="40">
        <f>IFERROR(VLOOKUP(F250,M2_거래처마스터!A:E,3,FALSE),"")</f>
        <v/>
      </c>
      <c r="H250" s="18" t="n"/>
      <c r="I250" s="19" t="n"/>
      <c r="J250" s="20" t="n"/>
      <c r="K250" s="39">
        <f>IF(AND(I250&lt;&gt;"",J250&lt;&gt;""),I250*J250,"")</f>
        <v/>
      </c>
      <c r="L250" s="18" t="n"/>
      <c r="M250" s="18" t="n"/>
      <c r="N250" s="20" t="n"/>
      <c r="O250" s="20" t="n"/>
    </row>
    <row r="251">
      <c r="A251" s="41" t="n"/>
      <c r="B251" s="35">
        <f>IF(A251="","",YEAR(A251))</f>
        <v/>
      </c>
      <c r="C251" s="36">
        <f>IF(A251="","",MONTH(A251))</f>
        <v/>
      </c>
      <c r="D251" s="37">
        <f>IF(A251="","","Q"&amp;ROUNDUP(MONTH(A251)/3,0))</f>
        <v/>
      </c>
      <c r="E251" s="22" t="n"/>
      <c r="F251" s="22" t="n"/>
      <c r="G251" s="40">
        <f>IFERROR(VLOOKUP(F251,M2_거래처마스터!A:E,3,FALSE),"")</f>
        <v/>
      </c>
      <c r="H251" s="22" t="n"/>
      <c r="I251" s="23" t="n"/>
      <c r="J251" s="24" t="n"/>
      <c r="K251" s="39">
        <f>IF(AND(I251&lt;&gt;"",J251&lt;&gt;""),I251*J251,"")</f>
        <v/>
      </c>
      <c r="L251" s="22" t="n"/>
      <c r="M251" s="22" t="n"/>
      <c r="N251" s="24" t="n"/>
      <c r="O251" s="24" t="n"/>
    </row>
    <row r="252">
      <c r="A252" s="34" t="n"/>
      <c r="B252" s="35">
        <f>IF(A252="","",YEAR(A252))</f>
        <v/>
      </c>
      <c r="C252" s="36">
        <f>IF(A252="","",MONTH(A252))</f>
        <v/>
      </c>
      <c r="D252" s="37">
        <f>IF(A252="","","Q"&amp;ROUNDUP(MONTH(A252)/3,0))</f>
        <v/>
      </c>
      <c r="E252" s="18" t="n"/>
      <c r="F252" s="18" t="n"/>
      <c r="G252" s="40">
        <f>IFERROR(VLOOKUP(F252,M2_거래처마스터!A:E,3,FALSE),"")</f>
        <v/>
      </c>
      <c r="H252" s="18" t="n"/>
      <c r="I252" s="19" t="n"/>
      <c r="J252" s="20" t="n"/>
      <c r="K252" s="39">
        <f>IF(AND(I252&lt;&gt;"",J252&lt;&gt;""),I252*J252,"")</f>
        <v/>
      </c>
      <c r="L252" s="18" t="n"/>
      <c r="M252" s="18" t="n"/>
      <c r="N252" s="20" t="n"/>
      <c r="O252" s="20" t="n"/>
    </row>
    <row r="253">
      <c r="A253" s="41" t="n"/>
      <c r="B253" s="35">
        <f>IF(A253="","",YEAR(A253))</f>
        <v/>
      </c>
      <c r="C253" s="36">
        <f>IF(A253="","",MONTH(A253))</f>
        <v/>
      </c>
      <c r="D253" s="37">
        <f>IF(A253="","","Q"&amp;ROUNDUP(MONTH(A253)/3,0))</f>
        <v/>
      </c>
      <c r="E253" s="22" t="n"/>
      <c r="F253" s="22" t="n"/>
      <c r="G253" s="40">
        <f>IFERROR(VLOOKUP(F253,M2_거래처마스터!A:E,3,FALSE),"")</f>
        <v/>
      </c>
      <c r="H253" s="22" t="n"/>
      <c r="I253" s="23" t="n"/>
      <c r="J253" s="24" t="n"/>
      <c r="K253" s="39">
        <f>IF(AND(I253&lt;&gt;"",J253&lt;&gt;""),I253*J253,"")</f>
        <v/>
      </c>
      <c r="L253" s="22" t="n"/>
      <c r="M253" s="22" t="n"/>
      <c r="N253" s="24" t="n"/>
      <c r="O253" s="24" t="n"/>
    </row>
    <row r="254">
      <c r="A254" s="34" t="n"/>
      <c r="B254" s="35">
        <f>IF(A254="","",YEAR(A254))</f>
        <v/>
      </c>
      <c r="C254" s="36">
        <f>IF(A254="","",MONTH(A254))</f>
        <v/>
      </c>
      <c r="D254" s="37">
        <f>IF(A254="","","Q"&amp;ROUNDUP(MONTH(A254)/3,0))</f>
        <v/>
      </c>
      <c r="E254" s="18" t="n"/>
      <c r="F254" s="18" t="n"/>
      <c r="G254" s="40">
        <f>IFERROR(VLOOKUP(F254,M2_거래처마스터!A:E,3,FALSE),"")</f>
        <v/>
      </c>
      <c r="H254" s="18" t="n"/>
      <c r="I254" s="19" t="n"/>
      <c r="J254" s="20" t="n"/>
      <c r="K254" s="39">
        <f>IF(AND(I254&lt;&gt;"",J254&lt;&gt;""),I254*J254,"")</f>
        <v/>
      </c>
      <c r="L254" s="18" t="n"/>
      <c r="M254" s="18" t="n"/>
      <c r="N254" s="20" t="n"/>
      <c r="O254" s="20" t="n"/>
    </row>
    <row r="255">
      <c r="A255" s="41" t="n"/>
      <c r="B255" s="35">
        <f>IF(A255="","",YEAR(A255))</f>
        <v/>
      </c>
      <c r="C255" s="36">
        <f>IF(A255="","",MONTH(A255))</f>
        <v/>
      </c>
      <c r="D255" s="37">
        <f>IF(A255="","","Q"&amp;ROUNDUP(MONTH(A255)/3,0))</f>
        <v/>
      </c>
      <c r="E255" s="22" t="n"/>
      <c r="F255" s="22" t="n"/>
      <c r="G255" s="40">
        <f>IFERROR(VLOOKUP(F255,M2_거래처마스터!A:E,3,FALSE),"")</f>
        <v/>
      </c>
      <c r="H255" s="22" t="n"/>
      <c r="I255" s="23" t="n"/>
      <c r="J255" s="24" t="n"/>
      <c r="K255" s="39">
        <f>IF(AND(I255&lt;&gt;"",J255&lt;&gt;""),I255*J255,"")</f>
        <v/>
      </c>
      <c r="L255" s="22" t="n"/>
      <c r="M255" s="22" t="n"/>
      <c r="N255" s="24" t="n"/>
      <c r="O255" s="24" t="n"/>
    </row>
    <row r="256">
      <c r="A256" s="34" t="n"/>
      <c r="B256" s="35">
        <f>IF(A256="","",YEAR(A256))</f>
        <v/>
      </c>
      <c r="C256" s="36">
        <f>IF(A256="","",MONTH(A256))</f>
        <v/>
      </c>
      <c r="D256" s="37">
        <f>IF(A256="","","Q"&amp;ROUNDUP(MONTH(A256)/3,0))</f>
        <v/>
      </c>
      <c r="E256" s="18" t="n"/>
      <c r="F256" s="18" t="n"/>
      <c r="G256" s="40">
        <f>IFERROR(VLOOKUP(F256,M2_거래처마스터!A:E,3,FALSE),"")</f>
        <v/>
      </c>
      <c r="H256" s="18" t="n"/>
      <c r="I256" s="19" t="n"/>
      <c r="J256" s="20" t="n"/>
      <c r="K256" s="39">
        <f>IF(AND(I256&lt;&gt;"",J256&lt;&gt;""),I256*J256,"")</f>
        <v/>
      </c>
      <c r="L256" s="18" t="n"/>
      <c r="M256" s="18" t="n"/>
      <c r="N256" s="20" t="n"/>
      <c r="O256" s="20" t="n"/>
    </row>
    <row r="257">
      <c r="A257" s="41" t="n"/>
      <c r="B257" s="35">
        <f>IF(A257="","",YEAR(A257))</f>
        <v/>
      </c>
      <c r="C257" s="36">
        <f>IF(A257="","",MONTH(A257))</f>
        <v/>
      </c>
      <c r="D257" s="37">
        <f>IF(A257="","","Q"&amp;ROUNDUP(MONTH(A257)/3,0))</f>
        <v/>
      </c>
      <c r="E257" s="22" t="n"/>
      <c r="F257" s="22" t="n"/>
      <c r="G257" s="40">
        <f>IFERROR(VLOOKUP(F257,M2_거래처마스터!A:E,3,FALSE),"")</f>
        <v/>
      </c>
      <c r="H257" s="22" t="n"/>
      <c r="I257" s="23" t="n"/>
      <c r="J257" s="24" t="n"/>
      <c r="K257" s="39">
        <f>IF(AND(I257&lt;&gt;"",J257&lt;&gt;""),I257*J257,"")</f>
        <v/>
      </c>
      <c r="L257" s="22" t="n"/>
      <c r="M257" s="22" t="n"/>
      <c r="N257" s="24" t="n"/>
      <c r="O257" s="24" t="n"/>
    </row>
    <row r="258">
      <c r="A258" s="34" t="n"/>
      <c r="B258" s="35">
        <f>IF(A258="","",YEAR(A258))</f>
        <v/>
      </c>
      <c r="C258" s="36">
        <f>IF(A258="","",MONTH(A258))</f>
        <v/>
      </c>
      <c r="D258" s="37">
        <f>IF(A258="","","Q"&amp;ROUNDUP(MONTH(A258)/3,0))</f>
        <v/>
      </c>
      <c r="E258" s="18" t="n"/>
      <c r="F258" s="18" t="n"/>
      <c r="G258" s="40">
        <f>IFERROR(VLOOKUP(F258,M2_거래처마스터!A:E,3,FALSE),"")</f>
        <v/>
      </c>
      <c r="H258" s="18" t="n"/>
      <c r="I258" s="19" t="n"/>
      <c r="J258" s="20" t="n"/>
      <c r="K258" s="39">
        <f>IF(AND(I258&lt;&gt;"",J258&lt;&gt;""),I258*J258,"")</f>
        <v/>
      </c>
      <c r="L258" s="18" t="n"/>
      <c r="M258" s="18" t="n"/>
      <c r="N258" s="20" t="n"/>
      <c r="O258" s="20" t="n"/>
    </row>
    <row r="259">
      <c r="A259" s="41" t="n"/>
      <c r="B259" s="35">
        <f>IF(A259="","",YEAR(A259))</f>
        <v/>
      </c>
      <c r="C259" s="36">
        <f>IF(A259="","",MONTH(A259))</f>
        <v/>
      </c>
      <c r="D259" s="37">
        <f>IF(A259="","","Q"&amp;ROUNDUP(MONTH(A259)/3,0))</f>
        <v/>
      </c>
      <c r="E259" s="22" t="n"/>
      <c r="F259" s="22" t="n"/>
      <c r="G259" s="40">
        <f>IFERROR(VLOOKUP(F259,M2_거래처마스터!A:E,3,FALSE),"")</f>
        <v/>
      </c>
      <c r="H259" s="22" t="n"/>
      <c r="I259" s="23" t="n"/>
      <c r="J259" s="24" t="n"/>
      <c r="K259" s="39">
        <f>IF(AND(I259&lt;&gt;"",J259&lt;&gt;""),I259*J259,"")</f>
        <v/>
      </c>
      <c r="L259" s="22" t="n"/>
      <c r="M259" s="22" t="n"/>
      <c r="N259" s="24" t="n"/>
      <c r="O259" s="24" t="n"/>
    </row>
    <row r="260">
      <c r="A260" s="34" t="n"/>
      <c r="B260" s="35">
        <f>IF(A260="","",YEAR(A260))</f>
        <v/>
      </c>
      <c r="C260" s="36">
        <f>IF(A260="","",MONTH(A260))</f>
        <v/>
      </c>
      <c r="D260" s="37">
        <f>IF(A260="","","Q"&amp;ROUNDUP(MONTH(A260)/3,0))</f>
        <v/>
      </c>
      <c r="E260" s="18" t="n"/>
      <c r="F260" s="18" t="n"/>
      <c r="G260" s="40">
        <f>IFERROR(VLOOKUP(F260,M2_거래처마스터!A:E,3,FALSE),"")</f>
        <v/>
      </c>
      <c r="H260" s="18" t="n"/>
      <c r="I260" s="19" t="n"/>
      <c r="J260" s="20" t="n"/>
      <c r="K260" s="39">
        <f>IF(AND(I260&lt;&gt;"",J260&lt;&gt;""),I260*J260,"")</f>
        <v/>
      </c>
      <c r="L260" s="18" t="n"/>
      <c r="M260" s="18" t="n"/>
      <c r="N260" s="20" t="n"/>
      <c r="O260" s="20" t="n"/>
    </row>
    <row r="261">
      <c r="A261" s="41" t="n"/>
      <c r="B261" s="35">
        <f>IF(A261="","",YEAR(A261))</f>
        <v/>
      </c>
      <c r="C261" s="36">
        <f>IF(A261="","",MONTH(A261))</f>
        <v/>
      </c>
      <c r="D261" s="37">
        <f>IF(A261="","","Q"&amp;ROUNDUP(MONTH(A261)/3,0))</f>
        <v/>
      </c>
      <c r="E261" s="22" t="n"/>
      <c r="F261" s="22" t="n"/>
      <c r="G261" s="40">
        <f>IFERROR(VLOOKUP(F261,M2_거래처마스터!A:E,3,FALSE),"")</f>
        <v/>
      </c>
      <c r="H261" s="22" t="n"/>
      <c r="I261" s="23" t="n"/>
      <c r="J261" s="24" t="n"/>
      <c r="K261" s="39">
        <f>IF(AND(I261&lt;&gt;"",J261&lt;&gt;""),I261*J261,"")</f>
        <v/>
      </c>
      <c r="L261" s="22" t="n"/>
      <c r="M261" s="22" t="n"/>
      <c r="N261" s="24" t="n"/>
      <c r="O261" s="24" t="n"/>
    </row>
    <row r="262">
      <c r="A262" s="34" t="n"/>
      <c r="B262" s="35">
        <f>IF(A262="","",YEAR(A262))</f>
        <v/>
      </c>
      <c r="C262" s="36">
        <f>IF(A262="","",MONTH(A262))</f>
        <v/>
      </c>
      <c r="D262" s="37">
        <f>IF(A262="","","Q"&amp;ROUNDUP(MONTH(A262)/3,0))</f>
        <v/>
      </c>
      <c r="E262" s="18" t="n"/>
      <c r="F262" s="18" t="n"/>
      <c r="G262" s="40">
        <f>IFERROR(VLOOKUP(F262,M2_거래처마스터!A:E,3,FALSE),"")</f>
        <v/>
      </c>
      <c r="H262" s="18" t="n"/>
      <c r="I262" s="19" t="n"/>
      <c r="J262" s="20" t="n"/>
      <c r="K262" s="39">
        <f>IF(AND(I262&lt;&gt;"",J262&lt;&gt;""),I262*J262,"")</f>
        <v/>
      </c>
      <c r="L262" s="18" t="n"/>
      <c r="M262" s="18" t="n"/>
      <c r="N262" s="20" t="n"/>
      <c r="O262" s="20" t="n"/>
    </row>
    <row r="263">
      <c r="A263" s="41" t="n"/>
      <c r="B263" s="35">
        <f>IF(A263="","",YEAR(A263))</f>
        <v/>
      </c>
      <c r="C263" s="36">
        <f>IF(A263="","",MONTH(A263))</f>
        <v/>
      </c>
      <c r="D263" s="37">
        <f>IF(A263="","","Q"&amp;ROUNDUP(MONTH(A263)/3,0))</f>
        <v/>
      </c>
      <c r="E263" s="22" t="n"/>
      <c r="F263" s="22" t="n"/>
      <c r="G263" s="40">
        <f>IFERROR(VLOOKUP(F263,M2_거래처마스터!A:E,3,FALSE),"")</f>
        <v/>
      </c>
      <c r="H263" s="22" t="n"/>
      <c r="I263" s="23" t="n"/>
      <c r="J263" s="24" t="n"/>
      <c r="K263" s="39">
        <f>IF(AND(I263&lt;&gt;"",J263&lt;&gt;""),I263*J263,"")</f>
        <v/>
      </c>
      <c r="L263" s="22" t="n"/>
      <c r="M263" s="22" t="n"/>
      <c r="N263" s="24" t="n"/>
      <c r="O263" s="24" t="n"/>
    </row>
    <row r="264">
      <c r="A264" s="34" t="n"/>
      <c r="B264" s="35">
        <f>IF(A264="","",YEAR(A264))</f>
        <v/>
      </c>
      <c r="C264" s="36">
        <f>IF(A264="","",MONTH(A264))</f>
        <v/>
      </c>
      <c r="D264" s="37">
        <f>IF(A264="","","Q"&amp;ROUNDUP(MONTH(A264)/3,0))</f>
        <v/>
      </c>
      <c r="E264" s="18" t="n"/>
      <c r="F264" s="18" t="n"/>
      <c r="G264" s="40">
        <f>IFERROR(VLOOKUP(F264,M2_거래처마스터!A:E,3,FALSE),"")</f>
        <v/>
      </c>
      <c r="H264" s="18" t="n"/>
      <c r="I264" s="19" t="n"/>
      <c r="J264" s="20" t="n"/>
      <c r="K264" s="39">
        <f>IF(AND(I264&lt;&gt;"",J264&lt;&gt;""),I264*J264,"")</f>
        <v/>
      </c>
      <c r="L264" s="18" t="n"/>
      <c r="M264" s="18" t="n"/>
      <c r="N264" s="20" t="n"/>
      <c r="O264" s="20" t="n"/>
    </row>
    <row r="265">
      <c r="A265" s="41" t="n"/>
      <c r="B265" s="35">
        <f>IF(A265="","",YEAR(A265))</f>
        <v/>
      </c>
      <c r="C265" s="36">
        <f>IF(A265="","",MONTH(A265))</f>
        <v/>
      </c>
      <c r="D265" s="37">
        <f>IF(A265="","","Q"&amp;ROUNDUP(MONTH(A265)/3,0))</f>
        <v/>
      </c>
      <c r="E265" s="22" t="n"/>
      <c r="F265" s="22" t="n"/>
      <c r="G265" s="40">
        <f>IFERROR(VLOOKUP(F265,M2_거래처마스터!A:E,3,FALSE),"")</f>
        <v/>
      </c>
      <c r="H265" s="22" t="n"/>
      <c r="I265" s="23" t="n"/>
      <c r="J265" s="24" t="n"/>
      <c r="K265" s="39">
        <f>IF(AND(I265&lt;&gt;"",J265&lt;&gt;""),I265*J265,"")</f>
        <v/>
      </c>
      <c r="L265" s="22" t="n"/>
      <c r="M265" s="22" t="n"/>
      <c r="N265" s="24" t="n"/>
      <c r="O265" s="24" t="n"/>
    </row>
    <row r="266">
      <c r="A266" s="34" t="n"/>
      <c r="B266" s="35">
        <f>IF(A266="","",YEAR(A266))</f>
        <v/>
      </c>
      <c r="C266" s="36">
        <f>IF(A266="","",MONTH(A266))</f>
        <v/>
      </c>
      <c r="D266" s="37">
        <f>IF(A266="","","Q"&amp;ROUNDUP(MONTH(A266)/3,0))</f>
        <v/>
      </c>
      <c r="E266" s="18" t="n"/>
      <c r="F266" s="18" t="n"/>
      <c r="G266" s="40">
        <f>IFERROR(VLOOKUP(F266,M2_거래처마스터!A:E,3,FALSE),"")</f>
        <v/>
      </c>
      <c r="H266" s="18" t="n"/>
      <c r="I266" s="19" t="n"/>
      <c r="J266" s="20" t="n"/>
      <c r="K266" s="39">
        <f>IF(AND(I266&lt;&gt;"",J266&lt;&gt;""),I266*J266,"")</f>
        <v/>
      </c>
      <c r="L266" s="18" t="n"/>
      <c r="M266" s="18" t="n"/>
      <c r="N266" s="20" t="n"/>
      <c r="O266" s="20" t="n"/>
    </row>
    <row r="267">
      <c r="A267" s="41" t="n"/>
      <c r="B267" s="35">
        <f>IF(A267="","",YEAR(A267))</f>
        <v/>
      </c>
      <c r="C267" s="36">
        <f>IF(A267="","",MONTH(A267))</f>
        <v/>
      </c>
      <c r="D267" s="37">
        <f>IF(A267="","","Q"&amp;ROUNDUP(MONTH(A267)/3,0))</f>
        <v/>
      </c>
      <c r="E267" s="22" t="n"/>
      <c r="F267" s="22" t="n"/>
      <c r="G267" s="40">
        <f>IFERROR(VLOOKUP(F267,M2_거래처마스터!A:E,3,FALSE),"")</f>
        <v/>
      </c>
      <c r="H267" s="22" t="n"/>
      <c r="I267" s="23" t="n"/>
      <c r="J267" s="24" t="n"/>
      <c r="K267" s="39">
        <f>IF(AND(I267&lt;&gt;"",J267&lt;&gt;""),I267*J267,"")</f>
        <v/>
      </c>
      <c r="L267" s="22" t="n"/>
      <c r="M267" s="22" t="n"/>
      <c r="N267" s="24" t="n"/>
      <c r="O267" s="24" t="n"/>
    </row>
    <row r="268">
      <c r="A268" s="34" t="n"/>
      <c r="B268" s="35">
        <f>IF(A268="","",YEAR(A268))</f>
        <v/>
      </c>
      <c r="C268" s="36">
        <f>IF(A268="","",MONTH(A268))</f>
        <v/>
      </c>
      <c r="D268" s="37">
        <f>IF(A268="","","Q"&amp;ROUNDUP(MONTH(A268)/3,0))</f>
        <v/>
      </c>
      <c r="E268" s="18" t="n"/>
      <c r="F268" s="18" t="n"/>
      <c r="G268" s="40">
        <f>IFERROR(VLOOKUP(F268,M2_거래처마스터!A:E,3,FALSE),"")</f>
        <v/>
      </c>
      <c r="H268" s="18" t="n"/>
      <c r="I268" s="19" t="n"/>
      <c r="J268" s="20" t="n"/>
      <c r="K268" s="39">
        <f>IF(AND(I268&lt;&gt;"",J268&lt;&gt;""),I268*J268,"")</f>
        <v/>
      </c>
      <c r="L268" s="18" t="n"/>
      <c r="M268" s="18" t="n"/>
      <c r="N268" s="20" t="n"/>
      <c r="O268" s="20" t="n"/>
    </row>
    <row r="269">
      <c r="A269" s="41" t="n"/>
      <c r="B269" s="35">
        <f>IF(A269="","",YEAR(A269))</f>
        <v/>
      </c>
      <c r="C269" s="36">
        <f>IF(A269="","",MONTH(A269))</f>
        <v/>
      </c>
      <c r="D269" s="37">
        <f>IF(A269="","","Q"&amp;ROUNDUP(MONTH(A269)/3,0))</f>
        <v/>
      </c>
      <c r="E269" s="22" t="n"/>
      <c r="F269" s="22" t="n"/>
      <c r="G269" s="40">
        <f>IFERROR(VLOOKUP(F269,M2_거래처마스터!A:E,3,FALSE),"")</f>
        <v/>
      </c>
      <c r="H269" s="22" t="n"/>
      <c r="I269" s="23" t="n"/>
      <c r="J269" s="24" t="n"/>
      <c r="K269" s="39">
        <f>IF(AND(I269&lt;&gt;"",J269&lt;&gt;""),I269*J269,"")</f>
        <v/>
      </c>
      <c r="L269" s="22" t="n"/>
      <c r="M269" s="22" t="n"/>
      <c r="N269" s="24" t="n"/>
      <c r="O269" s="24" t="n"/>
    </row>
    <row r="270">
      <c r="A270" s="34" t="n"/>
      <c r="B270" s="35">
        <f>IF(A270="","",YEAR(A270))</f>
        <v/>
      </c>
      <c r="C270" s="36">
        <f>IF(A270="","",MONTH(A270))</f>
        <v/>
      </c>
      <c r="D270" s="37">
        <f>IF(A270="","","Q"&amp;ROUNDUP(MONTH(A270)/3,0))</f>
        <v/>
      </c>
      <c r="E270" s="18" t="n"/>
      <c r="F270" s="18" t="n"/>
      <c r="G270" s="40">
        <f>IFERROR(VLOOKUP(F270,M2_거래처마스터!A:E,3,FALSE),"")</f>
        <v/>
      </c>
      <c r="H270" s="18" t="n"/>
      <c r="I270" s="19" t="n"/>
      <c r="J270" s="20" t="n"/>
      <c r="K270" s="39">
        <f>IF(AND(I270&lt;&gt;"",J270&lt;&gt;""),I270*J270,"")</f>
        <v/>
      </c>
      <c r="L270" s="18" t="n"/>
      <c r="M270" s="18" t="n"/>
      <c r="N270" s="20" t="n"/>
      <c r="O270" s="20" t="n"/>
    </row>
    <row r="271">
      <c r="A271" s="41" t="n"/>
      <c r="B271" s="35">
        <f>IF(A271="","",YEAR(A271))</f>
        <v/>
      </c>
      <c r="C271" s="36">
        <f>IF(A271="","",MONTH(A271))</f>
        <v/>
      </c>
      <c r="D271" s="37">
        <f>IF(A271="","","Q"&amp;ROUNDUP(MONTH(A271)/3,0))</f>
        <v/>
      </c>
      <c r="E271" s="22" t="n"/>
      <c r="F271" s="22" t="n"/>
      <c r="G271" s="40">
        <f>IFERROR(VLOOKUP(F271,M2_거래처마스터!A:E,3,FALSE),"")</f>
        <v/>
      </c>
      <c r="H271" s="22" t="n"/>
      <c r="I271" s="23" t="n"/>
      <c r="J271" s="24" t="n"/>
      <c r="K271" s="39">
        <f>IF(AND(I271&lt;&gt;"",J271&lt;&gt;""),I271*J271,"")</f>
        <v/>
      </c>
      <c r="L271" s="22" t="n"/>
      <c r="M271" s="22" t="n"/>
      <c r="N271" s="24" t="n"/>
      <c r="O271" s="24" t="n"/>
    </row>
    <row r="272">
      <c r="A272" s="34" t="n"/>
      <c r="B272" s="35">
        <f>IF(A272="","",YEAR(A272))</f>
        <v/>
      </c>
      <c r="C272" s="36">
        <f>IF(A272="","",MONTH(A272))</f>
        <v/>
      </c>
      <c r="D272" s="37">
        <f>IF(A272="","","Q"&amp;ROUNDUP(MONTH(A272)/3,0))</f>
        <v/>
      </c>
      <c r="E272" s="18" t="n"/>
      <c r="F272" s="18" t="n"/>
      <c r="G272" s="40">
        <f>IFERROR(VLOOKUP(F272,M2_거래처마스터!A:E,3,FALSE),"")</f>
        <v/>
      </c>
      <c r="H272" s="18" t="n"/>
      <c r="I272" s="19" t="n"/>
      <c r="J272" s="20" t="n"/>
      <c r="K272" s="39">
        <f>IF(AND(I272&lt;&gt;"",J272&lt;&gt;""),I272*J272,"")</f>
        <v/>
      </c>
      <c r="L272" s="18" t="n"/>
      <c r="M272" s="18" t="n"/>
      <c r="N272" s="20" t="n"/>
      <c r="O272" s="20" t="n"/>
    </row>
    <row r="273">
      <c r="A273" s="41" t="n"/>
      <c r="B273" s="35">
        <f>IF(A273="","",YEAR(A273))</f>
        <v/>
      </c>
      <c r="C273" s="36">
        <f>IF(A273="","",MONTH(A273))</f>
        <v/>
      </c>
      <c r="D273" s="37">
        <f>IF(A273="","","Q"&amp;ROUNDUP(MONTH(A273)/3,0))</f>
        <v/>
      </c>
      <c r="E273" s="22" t="n"/>
      <c r="F273" s="22" t="n"/>
      <c r="G273" s="40">
        <f>IFERROR(VLOOKUP(F273,M2_거래처마스터!A:E,3,FALSE),"")</f>
        <v/>
      </c>
      <c r="H273" s="22" t="n"/>
      <c r="I273" s="23" t="n"/>
      <c r="J273" s="24" t="n"/>
      <c r="K273" s="39">
        <f>IF(AND(I273&lt;&gt;"",J273&lt;&gt;""),I273*J273,"")</f>
        <v/>
      </c>
      <c r="L273" s="22" t="n"/>
      <c r="M273" s="22" t="n"/>
      <c r="N273" s="24" t="n"/>
      <c r="O273" s="24" t="n"/>
    </row>
    <row r="274">
      <c r="A274" s="34" t="n"/>
      <c r="B274" s="35">
        <f>IF(A274="","",YEAR(A274))</f>
        <v/>
      </c>
      <c r="C274" s="36">
        <f>IF(A274="","",MONTH(A274))</f>
        <v/>
      </c>
      <c r="D274" s="37">
        <f>IF(A274="","","Q"&amp;ROUNDUP(MONTH(A274)/3,0))</f>
        <v/>
      </c>
      <c r="E274" s="18" t="n"/>
      <c r="F274" s="18" t="n"/>
      <c r="G274" s="40">
        <f>IFERROR(VLOOKUP(F274,M2_거래처마스터!A:E,3,FALSE),"")</f>
        <v/>
      </c>
      <c r="H274" s="18" t="n"/>
      <c r="I274" s="19" t="n"/>
      <c r="J274" s="20" t="n"/>
      <c r="K274" s="39">
        <f>IF(AND(I274&lt;&gt;"",J274&lt;&gt;""),I274*J274,"")</f>
        <v/>
      </c>
      <c r="L274" s="18" t="n"/>
      <c r="M274" s="18" t="n"/>
      <c r="N274" s="20" t="n"/>
      <c r="O274" s="20" t="n"/>
    </row>
    <row r="275">
      <c r="A275" s="41" t="n"/>
      <c r="B275" s="35">
        <f>IF(A275="","",YEAR(A275))</f>
        <v/>
      </c>
      <c r="C275" s="36">
        <f>IF(A275="","",MONTH(A275))</f>
        <v/>
      </c>
      <c r="D275" s="37">
        <f>IF(A275="","","Q"&amp;ROUNDUP(MONTH(A275)/3,0))</f>
        <v/>
      </c>
      <c r="E275" s="22" t="n"/>
      <c r="F275" s="22" t="n"/>
      <c r="G275" s="40">
        <f>IFERROR(VLOOKUP(F275,M2_거래처마스터!A:E,3,FALSE),"")</f>
        <v/>
      </c>
      <c r="H275" s="22" t="n"/>
      <c r="I275" s="23" t="n"/>
      <c r="J275" s="24" t="n"/>
      <c r="K275" s="39">
        <f>IF(AND(I275&lt;&gt;"",J275&lt;&gt;""),I275*J275,"")</f>
        <v/>
      </c>
      <c r="L275" s="22" t="n"/>
      <c r="M275" s="22" t="n"/>
      <c r="N275" s="24" t="n"/>
      <c r="O275" s="24" t="n"/>
    </row>
    <row r="276">
      <c r="A276" s="34" t="n"/>
      <c r="B276" s="35">
        <f>IF(A276="","",YEAR(A276))</f>
        <v/>
      </c>
      <c r="C276" s="36">
        <f>IF(A276="","",MONTH(A276))</f>
        <v/>
      </c>
      <c r="D276" s="37">
        <f>IF(A276="","","Q"&amp;ROUNDUP(MONTH(A276)/3,0))</f>
        <v/>
      </c>
      <c r="E276" s="18" t="n"/>
      <c r="F276" s="18" t="n"/>
      <c r="G276" s="40">
        <f>IFERROR(VLOOKUP(F276,M2_거래처마스터!A:E,3,FALSE),"")</f>
        <v/>
      </c>
      <c r="H276" s="18" t="n"/>
      <c r="I276" s="19" t="n"/>
      <c r="J276" s="20" t="n"/>
      <c r="K276" s="39">
        <f>IF(AND(I276&lt;&gt;"",J276&lt;&gt;""),I276*J276,"")</f>
        <v/>
      </c>
      <c r="L276" s="18" t="n"/>
      <c r="M276" s="18" t="n"/>
      <c r="N276" s="20" t="n"/>
      <c r="O276" s="20" t="n"/>
    </row>
    <row r="277">
      <c r="A277" s="41" t="n"/>
      <c r="B277" s="35">
        <f>IF(A277="","",YEAR(A277))</f>
        <v/>
      </c>
      <c r="C277" s="36">
        <f>IF(A277="","",MONTH(A277))</f>
        <v/>
      </c>
      <c r="D277" s="37">
        <f>IF(A277="","","Q"&amp;ROUNDUP(MONTH(A277)/3,0))</f>
        <v/>
      </c>
      <c r="E277" s="22" t="n"/>
      <c r="F277" s="22" t="n"/>
      <c r="G277" s="40">
        <f>IFERROR(VLOOKUP(F277,M2_거래처마스터!A:E,3,FALSE),"")</f>
        <v/>
      </c>
      <c r="H277" s="22" t="n"/>
      <c r="I277" s="23" t="n"/>
      <c r="J277" s="24" t="n"/>
      <c r="K277" s="39">
        <f>IF(AND(I277&lt;&gt;"",J277&lt;&gt;""),I277*J277,"")</f>
        <v/>
      </c>
      <c r="L277" s="22" t="n"/>
      <c r="M277" s="22" t="n"/>
      <c r="N277" s="24" t="n"/>
      <c r="O277" s="24" t="n"/>
    </row>
    <row r="278">
      <c r="A278" s="34" t="n"/>
      <c r="B278" s="35">
        <f>IF(A278="","",YEAR(A278))</f>
        <v/>
      </c>
      <c r="C278" s="36">
        <f>IF(A278="","",MONTH(A278))</f>
        <v/>
      </c>
      <c r="D278" s="37">
        <f>IF(A278="","","Q"&amp;ROUNDUP(MONTH(A278)/3,0))</f>
        <v/>
      </c>
      <c r="E278" s="18" t="n"/>
      <c r="F278" s="18" t="n"/>
      <c r="G278" s="40">
        <f>IFERROR(VLOOKUP(F278,M2_거래처마스터!A:E,3,FALSE),"")</f>
        <v/>
      </c>
      <c r="H278" s="18" t="n"/>
      <c r="I278" s="19" t="n"/>
      <c r="J278" s="20" t="n"/>
      <c r="K278" s="39">
        <f>IF(AND(I278&lt;&gt;"",J278&lt;&gt;""),I278*J278,"")</f>
        <v/>
      </c>
      <c r="L278" s="18" t="n"/>
      <c r="M278" s="18" t="n"/>
      <c r="N278" s="20" t="n"/>
      <c r="O278" s="20" t="n"/>
    </row>
    <row r="279">
      <c r="A279" s="41" t="n"/>
      <c r="B279" s="35">
        <f>IF(A279="","",YEAR(A279))</f>
        <v/>
      </c>
      <c r="C279" s="36">
        <f>IF(A279="","",MONTH(A279))</f>
        <v/>
      </c>
      <c r="D279" s="37">
        <f>IF(A279="","","Q"&amp;ROUNDUP(MONTH(A279)/3,0))</f>
        <v/>
      </c>
      <c r="E279" s="22" t="n"/>
      <c r="F279" s="22" t="n"/>
      <c r="G279" s="40">
        <f>IFERROR(VLOOKUP(F279,M2_거래처마스터!A:E,3,FALSE),"")</f>
        <v/>
      </c>
      <c r="H279" s="22" t="n"/>
      <c r="I279" s="23" t="n"/>
      <c r="J279" s="24" t="n"/>
      <c r="K279" s="39">
        <f>IF(AND(I279&lt;&gt;"",J279&lt;&gt;""),I279*J279,"")</f>
        <v/>
      </c>
      <c r="L279" s="22" t="n"/>
      <c r="M279" s="22" t="n"/>
      <c r="N279" s="24" t="n"/>
      <c r="O279" s="24" t="n"/>
    </row>
    <row r="280">
      <c r="A280" s="34" t="n"/>
      <c r="B280" s="35">
        <f>IF(A280="","",YEAR(A280))</f>
        <v/>
      </c>
      <c r="C280" s="36">
        <f>IF(A280="","",MONTH(A280))</f>
        <v/>
      </c>
      <c r="D280" s="37">
        <f>IF(A280="","","Q"&amp;ROUNDUP(MONTH(A280)/3,0))</f>
        <v/>
      </c>
      <c r="E280" s="18" t="n"/>
      <c r="F280" s="18" t="n"/>
      <c r="G280" s="40">
        <f>IFERROR(VLOOKUP(F280,M2_거래처마스터!A:E,3,FALSE),"")</f>
        <v/>
      </c>
      <c r="H280" s="18" t="n"/>
      <c r="I280" s="19" t="n"/>
      <c r="J280" s="20" t="n"/>
      <c r="K280" s="39">
        <f>IF(AND(I280&lt;&gt;"",J280&lt;&gt;""),I280*J280,"")</f>
        <v/>
      </c>
      <c r="L280" s="18" t="n"/>
      <c r="M280" s="18" t="n"/>
      <c r="N280" s="20" t="n"/>
      <c r="O280" s="20" t="n"/>
    </row>
    <row r="281">
      <c r="A281" s="41" t="n"/>
      <c r="B281" s="35">
        <f>IF(A281="","",YEAR(A281))</f>
        <v/>
      </c>
      <c r="C281" s="36">
        <f>IF(A281="","",MONTH(A281))</f>
        <v/>
      </c>
      <c r="D281" s="37">
        <f>IF(A281="","","Q"&amp;ROUNDUP(MONTH(A281)/3,0))</f>
        <v/>
      </c>
      <c r="E281" s="22" t="n"/>
      <c r="F281" s="22" t="n"/>
      <c r="G281" s="40">
        <f>IFERROR(VLOOKUP(F281,M2_거래처마스터!A:E,3,FALSE),"")</f>
        <v/>
      </c>
      <c r="H281" s="22" t="n"/>
      <c r="I281" s="23" t="n"/>
      <c r="J281" s="24" t="n"/>
      <c r="K281" s="39">
        <f>IF(AND(I281&lt;&gt;"",J281&lt;&gt;""),I281*J281,"")</f>
        <v/>
      </c>
      <c r="L281" s="22" t="n"/>
      <c r="M281" s="22" t="n"/>
      <c r="N281" s="24" t="n"/>
      <c r="O281" s="24" t="n"/>
    </row>
    <row r="282">
      <c r="A282" s="34" t="n"/>
      <c r="B282" s="35">
        <f>IF(A282="","",YEAR(A282))</f>
        <v/>
      </c>
      <c r="C282" s="36">
        <f>IF(A282="","",MONTH(A282))</f>
        <v/>
      </c>
      <c r="D282" s="37">
        <f>IF(A282="","","Q"&amp;ROUNDUP(MONTH(A282)/3,0))</f>
        <v/>
      </c>
      <c r="E282" s="18" t="n"/>
      <c r="F282" s="18" t="n"/>
      <c r="G282" s="40">
        <f>IFERROR(VLOOKUP(F282,M2_거래처마스터!A:E,3,FALSE),"")</f>
        <v/>
      </c>
      <c r="H282" s="18" t="n"/>
      <c r="I282" s="19" t="n"/>
      <c r="J282" s="20" t="n"/>
      <c r="K282" s="39">
        <f>IF(AND(I282&lt;&gt;"",J282&lt;&gt;""),I282*J282,"")</f>
        <v/>
      </c>
      <c r="L282" s="18" t="n"/>
      <c r="M282" s="18" t="n"/>
      <c r="N282" s="20" t="n"/>
      <c r="O282" s="20" t="n"/>
    </row>
    <row r="283">
      <c r="A283" s="41" t="n"/>
      <c r="B283" s="35">
        <f>IF(A283="","",YEAR(A283))</f>
        <v/>
      </c>
      <c r="C283" s="36">
        <f>IF(A283="","",MONTH(A283))</f>
        <v/>
      </c>
      <c r="D283" s="37">
        <f>IF(A283="","","Q"&amp;ROUNDUP(MONTH(A283)/3,0))</f>
        <v/>
      </c>
      <c r="E283" s="22" t="n"/>
      <c r="F283" s="22" t="n"/>
      <c r="G283" s="40">
        <f>IFERROR(VLOOKUP(F283,M2_거래처마스터!A:E,3,FALSE),"")</f>
        <v/>
      </c>
      <c r="H283" s="22" t="n"/>
      <c r="I283" s="23" t="n"/>
      <c r="J283" s="24" t="n"/>
      <c r="K283" s="39">
        <f>IF(AND(I283&lt;&gt;"",J283&lt;&gt;""),I283*J283,"")</f>
        <v/>
      </c>
      <c r="L283" s="22" t="n"/>
      <c r="M283" s="22" t="n"/>
      <c r="N283" s="24" t="n"/>
      <c r="O283" s="24" t="n"/>
    </row>
    <row r="284">
      <c r="A284" s="34" t="n"/>
      <c r="B284" s="35">
        <f>IF(A284="","",YEAR(A284))</f>
        <v/>
      </c>
      <c r="C284" s="36">
        <f>IF(A284="","",MONTH(A284))</f>
        <v/>
      </c>
      <c r="D284" s="37">
        <f>IF(A284="","","Q"&amp;ROUNDUP(MONTH(A284)/3,0))</f>
        <v/>
      </c>
      <c r="E284" s="18" t="n"/>
      <c r="F284" s="18" t="n"/>
      <c r="G284" s="40">
        <f>IFERROR(VLOOKUP(F284,M2_거래처마스터!A:E,3,FALSE),"")</f>
        <v/>
      </c>
      <c r="H284" s="18" t="n"/>
      <c r="I284" s="19" t="n"/>
      <c r="J284" s="20" t="n"/>
      <c r="K284" s="39">
        <f>IF(AND(I284&lt;&gt;"",J284&lt;&gt;""),I284*J284,"")</f>
        <v/>
      </c>
      <c r="L284" s="18" t="n"/>
      <c r="M284" s="18" t="n"/>
      <c r="N284" s="20" t="n"/>
      <c r="O284" s="20" t="n"/>
    </row>
    <row r="285">
      <c r="A285" s="41" t="n"/>
      <c r="B285" s="35">
        <f>IF(A285="","",YEAR(A285))</f>
        <v/>
      </c>
      <c r="C285" s="36">
        <f>IF(A285="","",MONTH(A285))</f>
        <v/>
      </c>
      <c r="D285" s="37">
        <f>IF(A285="","","Q"&amp;ROUNDUP(MONTH(A285)/3,0))</f>
        <v/>
      </c>
      <c r="E285" s="22" t="n"/>
      <c r="F285" s="22" t="n"/>
      <c r="G285" s="40">
        <f>IFERROR(VLOOKUP(F285,M2_거래처마스터!A:E,3,FALSE),"")</f>
        <v/>
      </c>
      <c r="H285" s="22" t="n"/>
      <c r="I285" s="23" t="n"/>
      <c r="J285" s="24" t="n"/>
      <c r="K285" s="39">
        <f>IF(AND(I285&lt;&gt;"",J285&lt;&gt;""),I285*J285,"")</f>
        <v/>
      </c>
      <c r="L285" s="22" t="n"/>
      <c r="M285" s="22" t="n"/>
      <c r="N285" s="24" t="n"/>
      <c r="O285" s="24" t="n"/>
    </row>
    <row r="286">
      <c r="A286" s="34" t="n"/>
      <c r="B286" s="35">
        <f>IF(A286="","",YEAR(A286))</f>
        <v/>
      </c>
      <c r="C286" s="36">
        <f>IF(A286="","",MONTH(A286))</f>
        <v/>
      </c>
      <c r="D286" s="37">
        <f>IF(A286="","","Q"&amp;ROUNDUP(MONTH(A286)/3,0))</f>
        <v/>
      </c>
      <c r="E286" s="18" t="n"/>
      <c r="F286" s="18" t="n"/>
      <c r="G286" s="40">
        <f>IFERROR(VLOOKUP(F286,M2_거래처마스터!A:E,3,FALSE),"")</f>
        <v/>
      </c>
      <c r="H286" s="18" t="n"/>
      <c r="I286" s="19" t="n"/>
      <c r="J286" s="20" t="n"/>
      <c r="K286" s="39">
        <f>IF(AND(I286&lt;&gt;"",J286&lt;&gt;""),I286*J286,"")</f>
        <v/>
      </c>
      <c r="L286" s="18" t="n"/>
      <c r="M286" s="18" t="n"/>
      <c r="N286" s="20" t="n"/>
      <c r="O286" s="20" t="n"/>
    </row>
    <row r="287">
      <c r="A287" s="41" t="n"/>
      <c r="B287" s="35">
        <f>IF(A287="","",YEAR(A287))</f>
        <v/>
      </c>
      <c r="C287" s="36">
        <f>IF(A287="","",MONTH(A287))</f>
        <v/>
      </c>
      <c r="D287" s="37">
        <f>IF(A287="","","Q"&amp;ROUNDUP(MONTH(A287)/3,0))</f>
        <v/>
      </c>
      <c r="E287" s="22" t="n"/>
      <c r="F287" s="22" t="n"/>
      <c r="G287" s="40">
        <f>IFERROR(VLOOKUP(F287,M2_거래처마스터!A:E,3,FALSE),"")</f>
        <v/>
      </c>
      <c r="H287" s="22" t="n"/>
      <c r="I287" s="23" t="n"/>
      <c r="J287" s="24" t="n"/>
      <c r="K287" s="39">
        <f>IF(AND(I287&lt;&gt;"",J287&lt;&gt;""),I287*J287,"")</f>
        <v/>
      </c>
      <c r="L287" s="22" t="n"/>
      <c r="M287" s="22" t="n"/>
      <c r="N287" s="24" t="n"/>
      <c r="O287" s="24" t="n"/>
    </row>
    <row r="288">
      <c r="A288" s="34" t="n"/>
      <c r="B288" s="35">
        <f>IF(A288="","",YEAR(A288))</f>
        <v/>
      </c>
      <c r="C288" s="36">
        <f>IF(A288="","",MONTH(A288))</f>
        <v/>
      </c>
      <c r="D288" s="37">
        <f>IF(A288="","","Q"&amp;ROUNDUP(MONTH(A288)/3,0))</f>
        <v/>
      </c>
      <c r="E288" s="18" t="n"/>
      <c r="F288" s="18" t="n"/>
      <c r="G288" s="40">
        <f>IFERROR(VLOOKUP(F288,M2_거래처마스터!A:E,3,FALSE),"")</f>
        <v/>
      </c>
      <c r="H288" s="18" t="n"/>
      <c r="I288" s="19" t="n"/>
      <c r="J288" s="20" t="n"/>
      <c r="K288" s="39">
        <f>IF(AND(I288&lt;&gt;"",J288&lt;&gt;""),I288*J288,"")</f>
        <v/>
      </c>
      <c r="L288" s="18" t="n"/>
      <c r="M288" s="18" t="n"/>
      <c r="N288" s="20" t="n"/>
      <c r="O288" s="20" t="n"/>
    </row>
    <row r="289">
      <c r="A289" s="41" t="n"/>
      <c r="B289" s="35">
        <f>IF(A289="","",YEAR(A289))</f>
        <v/>
      </c>
      <c r="C289" s="36">
        <f>IF(A289="","",MONTH(A289))</f>
        <v/>
      </c>
      <c r="D289" s="37">
        <f>IF(A289="","","Q"&amp;ROUNDUP(MONTH(A289)/3,0))</f>
        <v/>
      </c>
      <c r="E289" s="22" t="n"/>
      <c r="F289" s="22" t="n"/>
      <c r="G289" s="40">
        <f>IFERROR(VLOOKUP(F289,M2_거래처마스터!A:E,3,FALSE),"")</f>
        <v/>
      </c>
      <c r="H289" s="22" t="n"/>
      <c r="I289" s="23" t="n"/>
      <c r="J289" s="24" t="n"/>
      <c r="K289" s="39">
        <f>IF(AND(I289&lt;&gt;"",J289&lt;&gt;""),I289*J289,"")</f>
        <v/>
      </c>
      <c r="L289" s="22" t="n"/>
      <c r="M289" s="22" t="n"/>
      <c r="N289" s="24" t="n"/>
      <c r="O289" s="24" t="n"/>
    </row>
    <row r="290">
      <c r="A290" s="34" t="n"/>
      <c r="B290" s="35">
        <f>IF(A290="","",YEAR(A290))</f>
        <v/>
      </c>
      <c r="C290" s="36">
        <f>IF(A290="","",MONTH(A290))</f>
        <v/>
      </c>
      <c r="D290" s="37">
        <f>IF(A290="","","Q"&amp;ROUNDUP(MONTH(A290)/3,0))</f>
        <v/>
      </c>
      <c r="E290" s="18" t="n"/>
      <c r="F290" s="18" t="n"/>
      <c r="G290" s="40">
        <f>IFERROR(VLOOKUP(F290,M2_거래처마스터!A:E,3,FALSE),"")</f>
        <v/>
      </c>
      <c r="H290" s="18" t="n"/>
      <c r="I290" s="19" t="n"/>
      <c r="J290" s="20" t="n"/>
      <c r="K290" s="39">
        <f>IF(AND(I290&lt;&gt;"",J290&lt;&gt;""),I290*J290,"")</f>
        <v/>
      </c>
      <c r="L290" s="18" t="n"/>
      <c r="M290" s="18" t="n"/>
      <c r="N290" s="20" t="n"/>
      <c r="O290" s="20" t="n"/>
    </row>
    <row r="291">
      <c r="A291" s="41" t="n"/>
      <c r="B291" s="35">
        <f>IF(A291="","",YEAR(A291))</f>
        <v/>
      </c>
      <c r="C291" s="36">
        <f>IF(A291="","",MONTH(A291))</f>
        <v/>
      </c>
      <c r="D291" s="37">
        <f>IF(A291="","","Q"&amp;ROUNDUP(MONTH(A291)/3,0))</f>
        <v/>
      </c>
      <c r="E291" s="22" t="n"/>
      <c r="F291" s="22" t="n"/>
      <c r="G291" s="40">
        <f>IFERROR(VLOOKUP(F291,M2_거래처마스터!A:E,3,FALSE),"")</f>
        <v/>
      </c>
      <c r="H291" s="22" t="n"/>
      <c r="I291" s="23" t="n"/>
      <c r="J291" s="24" t="n"/>
      <c r="K291" s="39">
        <f>IF(AND(I291&lt;&gt;"",J291&lt;&gt;""),I291*J291,"")</f>
        <v/>
      </c>
      <c r="L291" s="22" t="n"/>
      <c r="M291" s="22" t="n"/>
      <c r="N291" s="24" t="n"/>
      <c r="O291" s="24" t="n"/>
    </row>
    <row r="292">
      <c r="A292" s="34" t="n"/>
      <c r="B292" s="35">
        <f>IF(A292="","",YEAR(A292))</f>
        <v/>
      </c>
      <c r="C292" s="36">
        <f>IF(A292="","",MONTH(A292))</f>
        <v/>
      </c>
      <c r="D292" s="37">
        <f>IF(A292="","","Q"&amp;ROUNDUP(MONTH(A292)/3,0))</f>
        <v/>
      </c>
      <c r="E292" s="18" t="n"/>
      <c r="F292" s="18" t="n"/>
      <c r="G292" s="40">
        <f>IFERROR(VLOOKUP(F292,M2_거래처마스터!A:E,3,FALSE),"")</f>
        <v/>
      </c>
      <c r="H292" s="18" t="n"/>
      <c r="I292" s="19" t="n"/>
      <c r="J292" s="20" t="n"/>
      <c r="K292" s="39">
        <f>IF(AND(I292&lt;&gt;"",J292&lt;&gt;""),I292*J292,"")</f>
        <v/>
      </c>
      <c r="L292" s="18" t="n"/>
      <c r="M292" s="18" t="n"/>
      <c r="N292" s="20" t="n"/>
      <c r="O292" s="20" t="n"/>
    </row>
    <row r="293">
      <c r="A293" s="41" t="n"/>
      <c r="B293" s="35">
        <f>IF(A293="","",YEAR(A293))</f>
        <v/>
      </c>
      <c r="C293" s="36">
        <f>IF(A293="","",MONTH(A293))</f>
        <v/>
      </c>
      <c r="D293" s="37">
        <f>IF(A293="","","Q"&amp;ROUNDUP(MONTH(A293)/3,0))</f>
        <v/>
      </c>
      <c r="E293" s="22" t="n"/>
      <c r="F293" s="22" t="n"/>
      <c r="G293" s="40">
        <f>IFERROR(VLOOKUP(F293,M2_거래처마스터!A:E,3,FALSE),"")</f>
        <v/>
      </c>
      <c r="H293" s="22" t="n"/>
      <c r="I293" s="23" t="n"/>
      <c r="J293" s="24" t="n"/>
      <c r="K293" s="39">
        <f>IF(AND(I293&lt;&gt;"",J293&lt;&gt;""),I293*J293,"")</f>
        <v/>
      </c>
      <c r="L293" s="22" t="n"/>
      <c r="M293" s="22" t="n"/>
      <c r="N293" s="24" t="n"/>
      <c r="O293" s="24" t="n"/>
    </row>
    <row r="294">
      <c r="A294" s="34" t="n"/>
      <c r="B294" s="35">
        <f>IF(A294="","",YEAR(A294))</f>
        <v/>
      </c>
      <c r="C294" s="36">
        <f>IF(A294="","",MONTH(A294))</f>
        <v/>
      </c>
      <c r="D294" s="37">
        <f>IF(A294="","","Q"&amp;ROUNDUP(MONTH(A294)/3,0))</f>
        <v/>
      </c>
      <c r="E294" s="18" t="n"/>
      <c r="F294" s="18" t="n"/>
      <c r="G294" s="40">
        <f>IFERROR(VLOOKUP(F294,M2_거래처마스터!A:E,3,FALSE),"")</f>
        <v/>
      </c>
      <c r="H294" s="18" t="n"/>
      <c r="I294" s="19" t="n"/>
      <c r="J294" s="20" t="n"/>
      <c r="K294" s="39">
        <f>IF(AND(I294&lt;&gt;"",J294&lt;&gt;""),I294*J294,"")</f>
        <v/>
      </c>
      <c r="L294" s="18" t="n"/>
      <c r="M294" s="18" t="n"/>
      <c r="N294" s="20" t="n"/>
      <c r="O294" s="20" t="n"/>
    </row>
    <row r="295">
      <c r="A295" s="41" t="n"/>
      <c r="B295" s="35">
        <f>IF(A295="","",YEAR(A295))</f>
        <v/>
      </c>
      <c r="C295" s="36">
        <f>IF(A295="","",MONTH(A295))</f>
        <v/>
      </c>
      <c r="D295" s="37">
        <f>IF(A295="","","Q"&amp;ROUNDUP(MONTH(A295)/3,0))</f>
        <v/>
      </c>
      <c r="E295" s="22" t="n"/>
      <c r="F295" s="22" t="n"/>
      <c r="G295" s="40">
        <f>IFERROR(VLOOKUP(F295,M2_거래처마스터!A:E,3,FALSE),"")</f>
        <v/>
      </c>
      <c r="H295" s="22" t="n"/>
      <c r="I295" s="23" t="n"/>
      <c r="J295" s="24" t="n"/>
      <c r="K295" s="39">
        <f>IF(AND(I295&lt;&gt;"",J295&lt;&gt;""),I295*J295,"")</f>
        <v/>
      </c>
      <c r="L295" s="22" t="n"/>
      <c r="M295" s="22" t="n"/>
      <c r="N295" s="24" t="n"/>
      <c r="O295" s="24" t="n"/>
    </row>
    <row r="296">
      <c r="A296" s="34" t="n"/>
      <c r="B296" s="35">
        <f>IF(A296="","",YEAR(A296))</f>
        <v/>
      </c>
      <c r="C296" s="36">
        <f>IF(A296="","",MONTH(A296))</f>
        <v/>
      </c>
      <c r="D296" s="37">
        <f>IF(A296="","","Q"&amp;ROUNDUP(MONTH(A296)/3,0))</f>
        <v/>
      </c>
      <c r="E296" s="18" t="n"/>
      <c r="F296" s="18" t="n"/>
      <c r="G296" s="40">
        <f>IFERROR(VLOOKUP(F296,M2_거래처마스터!A:E,3,FALSE),"")</f>
        <v/>
      </c>
      <c r="H296" s="18" t="n"/>
      <c r="I296" s="19" t="n"/>
      <c r="J296" s="20" t="n"/>
      <c r="K296" s="39">
        <f>IF(AND(I296&lt;&gt;"",J296&lt;&gt;""),I296*J296,"")</f>
        <v/>
      </c>
      <c r="L296" s="18" t="n"/>
      <c r="M296" s="18" t="n"/>
      <c r="N296" s="20" t="n"/>
      <c r="O296" s="20" t="n"/>
    </row>
    <row r="297">
      <c r="A297" s="41" t="n"/>
      <c r="B297" s="35">
        <f>IF(A297="","",YEAR(A297))</f>
        <v/>
      </c>
      <c r="C297" s="36">
        <f>IF(A297="","",MONTH(A297))</f>
        <v/>
      </c>
      <c r="D297" s="37">
        <f>IF(A297="","","Q"&amp;ROUNDUP(MONTH(A297)/3,0))</f>
        <v/>
      </c>
      <c r="E297" s="22" t="n"/>
      <c r="F297" s="22" t="n"/>
      <c r="G297" s="40">
        <f>IFERROR(VLOOKUP(F297,M2_거래처마스터!A:E,3,FALSE),"")</f>
        <v/>
      </c>
      <c r="H297" s="22" t="n"/>
      <c r="I297" s="23" t="n"/>
      <c r="J297" s="24" t="n"/>
      <c r="K297" s="39">
        <f>IF(AND(I297&lt;&gt;"",J297&lt;&gt;""),I297*J297,"")</f>
        <v/>
      </c>
      <c r="L297" s="22" t="n"/>
      <c r="M297" s="22" t="n"/>
      <c r="N297" s="24" t="n"/>
      <c r="O297" s="24" t="n"/>
    </row>
    <row r="298">
      <c r="A298" s="34" t="n"/>
      <c r="B298" s="35">
        <f>IF(A298="","",YEAR(A298))</f>
        <v/>
      </c>
      <c r="C298" s="36">
        <f>IF(A298="","",MONTH(A298))</f>
        <v/>
      </c>
      <c r="D298" s="37">
        <f>IF(A298="","","Q"&amp;ROUNDUP(MONTH(A298)/3,0))</f>
        <v/>
      </c>
      <c r="E298" s="18" t="n"/>
      <c r="F298" s="18" t="n"/>
      <c r="G298" s="40">
        <f>IFERROR(VLOOKUP(F298,M2_거래처마스터!A:E,3,FALSE),"")</f>
        <v/>
      </c>
      <c r="H298" s="18" t="n"/>
      <c r="I298" s="19" t="n"/>
      <c r="J298" s="20" t="n"/>
      <c r="K298" s="39">
        <f>IF(AND(I298&lt;&gt;"",J298&lt;&gt;""),I298*J298,"")</f>
        <v/>
      </c>
      <c r="L298" s="18" t="n"/>
      <c r="M298" s="18" t="n"/>
      <c r="N298" s="20" t="n"/>
      <c r="O298" s="20" t="n"/>
    </row>
    <row r="299">
      <c r="A299" s="41" t="n"/>
      <c r="B299" s="35">
        <f>IF(A299="","",YEAR(A299))</f>
        <v/>
      </c>
      <c r="C299" s="36">
        <f>IF(A299="","",MONTH(A299))</f>
        <v/>
      </c>
      <c r="D299" s="37">
        <f>IF(A299="","","Q"&amp;ROUNDUP(MONTH(A299)/3,0))</f>
        <v/>
      </c>
      <c r="E299" s="22" t="n"/>
      <c r="F299" s="22" t="n"/>
      <c r="G299" s="40">
        <f>IFERROR(VLOOKUP(F299,M2_거래처마스터!A:E,3,FALSE),"")</f>
        <v/>
      </c>
      <c r="H299" s="22" t="n"/>
      <c r="I299" s="23" t="n"/>
      <c r="J299" s="24" t="n"/>
      <c r="K299" s="39">
        <f>IF(AND(I299&lt;&gt;"",J299&lt;&gt;""),I299*J299,"")</f>
        <v/>
      </c>
      <c r="L299" s="22" t="n"/>
      <c r="M299" s="22" t="n"/>
      <c r="N299" s="24" t="n"/>
      <c r="O299" s="24" t="n"/>
    </row>
    <row r="300">
      <c r="A300" s="34" t="n"/>
      <c r="B300" s="35">
        <f>IF(A300="","",YEAR(A300))</f>
        <v/>
      </c>
      <c r="C300" s="36">
        <f>IF(A300="","",MONTH(A300))</f>
        <v/>
      </c>
      <c r="D300" s="37">
        <f>IF(A300="","","Q"&amp;ROUNDUP(MONTH(A300)/3,0))</f>
        <v/>
      </c>
      <c r="E300" s="18" t="n"/>
      <c r="F300" s="18" t="n"/>
      <c r="G300" s="40">
        <f>IFERROR(VLOOKUP(F300,M2_거래처마스터!A:E,3,FALSE),"")</f>
        <v/>
      </c>
      <c r="H300" s="18" t="n"/>
      <c r="I300" s="19" t="n"/>
      <c r="J300" s="20" t="n"/>
      <c r="K300" s="39">
        <f>IF(AND(I300&lt;&gt;"",J300&lt;&gt;""),I300*J300,"")</f>
        <v/>
      </c>
      <c r="L300" s="18" t="n"/>
      <c r="M300" s="18" t="n"/>
      <c r="N300" s="20" t="n"/>
      <c r="O300" s="20" t="n"/>
    </row>
    <row r="301">
      <c r="A301" s="41" t="n"/>
      <c r="B301" s="35">
        <f>IF(A301="","",YEAR(A301))</f>
        <v/>
      </c>
      <c r="C301" s="36">
        <f>IF(A301="","",MONTH(A301))</f>
        <v/>
      </c>
      <c r="D301" s="37">
        <f>IF(A301="","","Q"&amp;ROUNDUP(MONTH(A301)/3,0))</f>
        <v/>
      </c>
      <c r="E301" s="22" t="n"/>
      <c r="F301" s="22" t="n"/>
      <c r="G301" s="40">
        <f>IFERROR(VLOOKUP(F301,M2_거래처마스터!A:E,3,FALSE),"")</f>
        <v/>
      </c>
      <c r="H301" s="22" t="n"/>
      <c r="I301" s="23" t="n"/>
      <c r="J301" s="24" t="n"/>
      <c r="K301" s="39">
        <f>IF(AND(I301&lt;&gt;"",J301&lt;&gt;""),I301*J301,"")</f>
        <v/>
      </c>
      <c r="L301" s="22" t="n"/>
      <c r="M301" s="22" t="n"/>
      <c r="N301" s="24" t="n"/>
      <c r="O301" s="24" t="n"/>
    </row>
    <row r="302">
      <c r="A302" s="34" t="n"/>
      <c r="B302" s="35">
        <f>IF(A302="","",YEAR(A302))</f>
        <v/>
      </c>
      <c r="C302" s="36">
        <f>IF(A302="","",MONTH(A302))</f>
        <v/>
      </c>
      <c r="D302" s="37">
        <f>IF(A302="","","Q"&amp;ROUNDUP(MONTH(A302)/3,0))</f>
        <v/>
      </c>
      <c r="E302" s="18" t="n"/>
      <c r="F302" s="18" t="n"/>
      <c r="G302" s="40">
        <f>IFERROR(VLOOKUP(F302,M2_거래처마스터!A:E,3,FALSE),"")</f>
        <v/>
      </c>
      <c r="H302" s="18" t="n"/>
      <c r="I302" s="19" t="n"/>
      <c r="J302" s="20" t="n"/>
      <c r="K302" s="39">
        <f>IF(AND(I302&lt;&gt;"",J302&lt;&gt;""),I302*J302,"")</f>
        <v/>
      </c>
      <c r="L302" s="18" t="n"/>
      <c r="M302" s="18" t="n"/>
      <c r="N302" s="20" t="n"/>
      <c r="O302" s="20" t="n"/>
    </row>
    <row r="303">
      <c r="A303" s="41" t="n"/>
      <c r="B303" s="35">
        <f>IF(A303="","",YEAR(A303))</f>
        <v/>
      </c>
      <c r="C303" s="36">
        <f>IF(A303="","",MONTH(A303))</f>
        <v/>
      </c>
      <c r="D303" s="37">
        <f>IF(A303="","","Q"&amp;ROUNDUP(MONTH(A303)/3,0))</f>
        <v/>
      </c>
      <c r="E303" s="22" t="n"/>
      <c r="F303" s="22" t="n"/>
      <c r="G303" s="40">
        <f>IFERROR(VLOOKUP(F303,M2_거래처마스터!A:E,3,FALSE),"")</f>
        <v/>
      </c>
      <c r="H303" s="22" t="n"/>
      <c r="I303" s="23" t="n"/>
      <c r="J303" s="24" t="n"/>
      <c r="K303" s="39">
        <f>IF(AND(I303&lt;&gt;"",J303&lt;&gt;""),I303*J303,"")</f>
        <v/>
      </c>
      <c r="L303" s="22" t="n"/>
      <c r="M303" s="22" t="n"/>
      <c r="N303" s="24" t="n"/>
      <c r="O303" s="24" t="n"/>
    </row>
    <row r="304">
      <c r="A304" s="34" t="n"/>
      <c r="B304" s="35">
        <f>IF(A304="","",YEAR(A304))</f>
        <v/>
      </c>
      <c r="C304" s="36">
        <f>IF(A304="","",MONTH(A304))</f>
        <v/>
      </c>
      <c r="D304" s="37">
        <f>IF(A304="","","Q"&amp;ROUNDUP(MONTH(A304)/3,0))</f>
        <v/>
      </c>
      <c r="E304" s="18" t="n"/>
      <c r="F304" s="18" t="n"/>
      <c r="G304" s="40">
        <f>IFERROR(VLOOKUP(F304,M2_거래처마스터!A:E,3,FALSE),"")</f>
        <v/>
      </c>
      <c r="H304" s="18" t="n"/>
      <c r="I304" s="19" t="n"/>
      <c r="J304" s="20" t="n"/>
      <c r="K304" s="39">
        <f>IF(AND(I304&lt;&gt;"",J304&lt;&gt;""),I304*J304,"")</f>
        <v/>
      </c>
      <c r="L304" s="18" t="n"/>
      <c r="M304" s="18" t="n"/>
      <c r="N304" s="20" t="n"/>
      <c r="O304" s="20" t="n"/>
    </row>
    <row r="305">
      <c r="A305" s="41" t="n"/>
      <c r="B305" s="35">
        <f>IF(A305="","",YEAR(A305))</f>
        <v/>
      </c>
      <c r="C305" s="36">
        <f>IF(A305="","",MONTH(A305))</f>
        <v/>
      </c>
      <c r="D305" s="37">
        <f>IF(A305="","","Q"&amp;ROUNDUP(MONTH(A305)/3,0))</f>
        <v/>
      </c>
      <c r="E305" s="22" t="n"/>
      <c r="F305" s="22" t="n"/>
      <c r="G305" s="40">
        <f>IFERROR(VLOOKUP(F305,M2_거래처마스터!A:E,3,FALSE),"")</f>
        <v/>
      </c>
      <c r="H305" s="22" t="n"/>
      <c r="I305" s="23" t="n"/>
      <c r="J305" s="24" t="n"/>
      <c r="K305" s="39">
        <f>IF(AND(I305&lt;&gt;"",J305&lt;&gt;""),I305*J305,"")</f>
        <v/>
      </c>
      <c r="L305" s="22" t="n"/>
      <c r="M305" s="22" t="n"/>
      <c r="N305" s="24" t="n"/>
      <c r="O305" s="24" t="n"/>
    </row>
    <row r="306">
      <c r="A306" s="34" t="n"/>
      <c r="B306" s="35">
        <f>IF(A306="","",YEAR(A306))</f>
        <v/>
      </c>
      <c r="C306" s="36">
        <f>IF(A306="","",MONTH(A306))</f>
        <v/>
      </c>
      <c r="D306" s="37">
        <f>IF(A306="","","Q"&amp;ROUNDUP(MONTH(A306)/3,0))</f>
        <v/>
      </c>
      <c r="E306" s="18" t="n"/>
      <c r="F306" s="18" t="n"/>
      <c r="G306" s="40">
        <f>IFERROR(VLOOKUP(F306,M2_거래처마스터!A:E,3,FALSE),"")</f>
        <v/>
      </c>
      <c r="H306" s="18" t="n"/>
      <c r="I306" s="19" t="n"/>
      <c r="J306" s="20" t="n"/>
      <c r="K306" s="39">
        <f>IF(AND(I306&lt;&gt;"",J306&lt;&gt;""),I306*J306,"")</f>
        <v/>
      </c>
      <c r="L306" s="18" t="n"/>
      <c r="M306" s="18" t="n"/>
      <c r="N306" s="20" t="n"/>
      <c r="O306" s="20" t="n"/>
    </row>
    <row r="307">
      <c r="A307" s="41" t="n"/>
      <c r="B307" s="35">
        <f>IF(A307="","",YEAR(A307))</f>
        <v/>
      </c>
      <c r="C307" s="36">
        <f>IF(A307="","",MONTH(A307))</f>
        <v/>
      </c>
      <c r="D307" s="37">
        <f>IF(A307="","","Q"&amp;ROUNDUP(MONTH(A307)/3,0))</f>
        <v/>
      </c>
      <c r="E307" s="22" t="n"/>
      <c r="F307" s="22" t="n"/>
      <c r="G307" s="40">
        <f>IFERROR(VLOOKUP(F307,M2_거래처마스터!A:E,3,FALSE),"")</f>
        <v/>
      </c>
      <c r="H307" s="22" t="n"/>
      <c r="I307" s="23" t="n"/>
      <c r="J307" s="24" t="n"/>
      <c r="K307" s="39">
        <f>IF(AND(I307&lt;&gt;"",J307&lt;&gt;""),I307*J307,"")</f>
        <v/>
      </c>
      <c r="L307" s="22" t="n"/>
      <c r="M307" s="22" t="n"/>
      <c r="N307" s="24" t="n"/>
      <c r="O307" s="24" t="n"/>
    </row>
    <row r="308">
      <c r="A308" s="34" t="n"/>
      <c r="B308" s="35">
        <f>IF(A308="","",YEAR(A308))</f>
        <v/>
      </c>
      <c r="C308" s="36">
        <f>IF(A308="","",MONTH(A308))</f>
        <v/>
      </c>
      <c r="D308" s="37">
        <f>IF(A308="","","Q"&amp;ROUNDUP(MONTH(A308)/3,0))</f>
        <v/>
      </c>
      <c r="E308" s="18" t="n"/>
      <c r="F308" s="18" t="n"/>
      <c r="G308" s="40">
        <f>IFERROR(VLOOKUP(F308,M2_거래처마스터!A:E,3,FALSE),"")</f>
        <v/>
      </c>
      <c r="H308" s="18" t="n"/>
      <c r="I308" s="19" t="n"/>
      <c r="J308" s="20" t="n"/>
      <c r="K308" s="39">
        <f>IF(AND(I308&lt;&gt;"",J308&lt;&gt;""),I308*J308,"")</f>
        <v/>
      </c>
      <c r="L308" s="18" t="n"/>
      <c r="M308" s="18" t="n"/>
      <c r="N308" s="20" t="n"/>
      <c r="O308" s="20" t="n"/>
    </row>
    <row r="309">
      <c r="A309" s="41" t="n"/>
      <c r="B309" s="35">
        <f>IF(A309="","",YEAR(A309))</f>
        <v/>
      </c>
      <c r="C309" s="36">
        <f>IF(A309="","",MONTH(A309))</f>
        <v/>
      </c>
      <c r="D309" s="37">
        <f>IF(A309="","","Q"&amp;ROUNDUP(MONTH(A309)/3,0))</f>
        <v/>
      </c>
      <c r="E309" s="22" t="n"/>
      <c r="F309" s="22" t="n"/>
      <c r="G309" s="40">
        <f>IFERROR(VLOOKUP(F309,M2_거래처마스터!A:E,3,FALSE),"")</f>
        <v/>
      </c>
      <c r="H309" s="22" t="n"/>
      <c r="I309" s="23" t="n"/>
      <c r="J309" s="24" t="n"/>
      <c r="K309" s="39">
        <f>IF(AND(I309&lt;&gt;"",J309&lt;&gt;""),I309*J309,"")</f>
        <v/>
      </c>
      <c r="L309" s="22" t="n"/>
      <c r="M309" s="22" t="n"/>
      <c r="N309" s="24" t="n"/>
      <c r="O309" s="24" t="n"/>
    </row>
    <row r="310">
      <c r="A310" s="34" t="n"/>
      <c r="B310" s="35">
        <f>IF(A310="","",YEAR(A310))</f>
        <v/>
      </c>
      <c r="C310" s="36">
        <f>IF(A310="","",MONTH(A310))</f>
        <v/>
      </c>
      <c r="D310" s="37">
        <f>IF(A310="","","Q"&amp;ROUNDUP(MONTH(A310)/3,0))</f>
        <v/>
      </c>
      <c r="E310" s="18" t="n"/>
      <c r="F310" s="18" t="n"/>
      <c r="G310" s="40">
        <f>IFERROR(VLOOKUP(F310,M2_거래처마스터!A:E,3,FALSE),"")</f>
        <v/>
      </c>
      <c r="H310" s="18" t="n"/>
      <c r="I310" s="19" t="n"/>
      <c r="J310" s="20" t="n"/>
      <c r="K310" s="39">
        <f>IF(AND(I310&lt;&gt;"",J310&lt;&gt;""),I310*J310,"")</f>
        <v/>
      </c>
      <c r="L310" s="18" t="n"/>
      <c r="M310" s="18" t="n"/>
      <c r="N310" s="20" t="n"/>
      <c r="O310" s="20" t="n"/>
    </row>
    <row r="311">
      <c r="A311" s="41" t="n"/>
      <c r="B311" s="35">
        <f>IF(A311="","",YEAR(A311))</f>
        <v/>
      </c>
      <c r="C311" s="36">
        <f>IF(A311="","",MONTH(A311))</f>
        <v/>
      </c>
      <c r="D311" s="37">
        <f>IF(A311="","","Q"&amp;ROUNDUP(MONTH(A311)/3,0))</f>
        <v/>
      </c>
      <c r="E311" s="22" t="n"/>
      <c r="F311" s="22" t="n"/>
      <c r="G311" s="40">
        <f>IFERROR(VLOOKUP(F311,M2_거래처마스터!A:E,3,FALSE),"")</f>
        <v/>
      </c>
      <c r="H311" s="22" t="n"/>
      <c r="I311" s="23" t="n"/>
      <c r="J311" s="24" t="n"/>
      <c r="K311" s="39">
        <f>IF(AND(I311&lt;&gt;"",J311&lt;&gt;""),I311*J311,"")</f>
        <v/>
      </c>
      <c r="L311" s="22" t="n"/>
      <c r="M311" s="22" t="n"/>
      <c r="N311" s="24" t="n"/>
      <c r="O311" s="24" t="n"/>
    </row>
    <row r="312">
      <c r="A312" s="34" t="n"/>
      <c r="B312" s="35">
        <f>IF(A312="","",YEAR(A312))</f>
        <v/>
      </c>
      <c r="C312" s="36">
        <f>IF(A312="","",MONTH(A312))</f>
        <v/>
      </c>
      <c r="D312" s="37">
        <f>IF(A312="","","Q"&amp;ROUNDUP(MONTH(A312)/3,0))</f>
        <v/>
      </c>
      <c r="E312" s="18" t="n"/>
      <c r="F312" s="18" t="n"/>
      <c r="G312" s="40">
        <f>IFERROR(VLOOKUP(F312,M2_거래처마스터!A:E,3,FALSE),"")</f>
        <v/>
      </c>
      <c r="H312" s="18" t="n"/>
      <c r="I312" s="19" t="n"/>
      <c r="J312" s="20" t="n"/>
      <c r="K312" s="39">
        <f>IF(AND(I312&lt;&gt;"",J312&lt;&gt;""),I312*J312,"")</f>
        <v/>
      </c>
      <c r="L312" s="18" t="n"/>
      <c r="M312" s="18" t="n"/>
      <c r="N312" s="20" t="n"/>
      <c r="O312" s="20" t="n"/>
    </row>
    <row r="313">
      <c r="A313" s="41" t="n"/>
      <c r="B313" s="35">
        <f>IF(A313="","",YEAR(A313))</f>
        <v/>
      </c>
      <c r="C313" s="36">
        <f>IF(A313="","",MONTH(A313))</f>
        <v/>
      </c>
      <c r="D313" s="37">
        <f>IF(A313="","","Q"&amp;ROUNDUP(MONTH(A313)/3,0))</f>
        <v/>
      </c>
      <c r="E313" s="22" t="n"/>
      <c r="F313" s="22" t="n"/>
      <c r="G313" s="40">
        <f>IFERROR(VLOOKUP(F313,M2_거래처마스터!A:E,3,FALSE),"")</f>
        <v/>
      </c>
      <c r="H313" s="22" t="n"/>
      <c r="I313" s="23" t="n"/>
      <c r="J313" s="24" t="n"/>
      <c r="K313" s="39">
        <f>IF(AND(I313&lt;&gt;"",J313&lt;&gt;""),I313*J313,"")</f>
        <v/>
      </c>
      <c r="L313" s="22" t="n"/>
      <c r="M313" s="22" t="n"/>
      <c r="N313" s="24" t="n"/>
      <c r="O313" s="24" t="n"/>
    </row>
    <row r="314">
      <c r="A314" s="34" t="n"/>
      <c r="B314" s="35">
        <f>IF(A314="","",YEAR(A314))</f>
        <v/>
      </c>
      <c r="C314" s="36">
        <f>IF(A314="","",MONTH(A314))</f>
        <v/>
      </c>
      <c r="D314" s="37">
        <f>IF(A314="","","Q"&amp;ROUNDUP(MONTH(A314)/3,0))</f>
        <v/>
      </c>
      <c r="E314" s="18" t="n"/>
      <c r="F314" s="18" t="n"/>
      <c r="G314" s="40">
        <f>IFERROR(VLOOKUP(F314,M2_거래처마스터!A:E,3,FALSE),"")</f>
        <v/>
      </c>
      <c r="H314" s="18" t="n"/>
      <c r="I314" s="19" t="n"/>
      <c r="J314" s="20" t="n"/>
      <c r="K314" s="39">
        <f>IF(AND(I314&lt;&gt;"",J314&lt;&gt;""),I314*J314,"")</f>
        <v/>
      </c>
      <c r="L314" s="18" t="n"/>
      <c r="M314" s="18" t="n"/>
      <c r="N314" s="20" t="n"/>
      <c r="O314" s="20" t="n"/>
    </row>
    <row r="315">
      <c r="A315" s="41" t="n"/>
      <c r="B315" s="35">
        <f>IF(A315="","",YEAR(A315))</f>
        <v/>
      </c>
      <c r="C315" s="36">
        <f>IF(A315="","",MONTH(A315))</f>
        <v/>
      </c>
      <c r="D315" s="37">
        <f>IF(A315="","","Q"&amp;ROUNDUP(MONTH(A315)/3,0))</f>
        <v/>
      </c>
      <c r="E315" s="22" t="n"/>
      <c r="F315" s="22" t="n"/>
      <c r="G315" s="40">
        <f>IFERROR(VLOOKUP(F315,M2_거래처마스터!A:E,3,FALSE),"")</f>
        <v/>
      </c>
      <c r="H315" s="22" t="n"/>
      <c r="I315" s="23" t="n"/>
      <c r="J315" s="24" t="n"/>
      <c r="K315" s="39">
        <f>IF(AND(I315&lt;&gt;"",J315&lt;&gt;""),I315*J315,"")</f>
        <v/>
      </c>
      <c r="L315" s="22" t="n"/>
      <c r="M315" s="22" t="n"/>
      <c r="N315" s="24" t="n"/>
      <c r="O315" s="24" t="n"/>
    </row>
    <row r="316">
      <c r="A316" s="34" t="n"/>
      <c r="B316" s="35">
        <f>IF(A316="","",YEAR(A316))</f>
        <v/>
      </c>
      <c r="C316" s="36">
        <f>IF(A316="","",MONTH(A316))</f>
        <v/>
      </c>
      <c r="D316" s="37">
        <f>IF(A316="","","Q"&amp;ROUNDUP(MONTH(A316)/3,0))</f>
        <v/>
      </c>
      <c r="E316" s="18" t="n"/>
      <c r="F316" s="18" t="n"/>
      <c r="G316" s="40">
        <f>IFERROR(VLOOKUP(F316,M2_거래처마스터!A:E,3,FALSE),"")</f>
        <v/>
      </c>
      <c r="H316" s="18" t="n"/>
      <c r="I316" s="19" t="n"/>
      <c r="J316" s="20" t="n"/>
      <c r="K316" s="39">
        <f>IF(AND(I316&lt;&gt;"",J316&lt;&gt;""),I316*J316,"")</f>
        <v/>
      </c>
      <c r="L316" s="18" t="n"/>
      <c r="M316" s="18" t="n"/>
      <c r="N316" s="20" t="n"/>
      <c r="O316" s="20" t="n"/>
    </row>
    <row r="317">
      <c r="A317" s="41" t="n"/>
      <c r="B317" s="35">
        <f>IF(A317="","",YEAR(A317))</f>
        <v/>
      </c>
      <c r="C317" s="36">
        <f>IF(A317="","",MONTH(A317))</f>
        <v/>
      </c>
      <c r="D317" s="37">
        <f>IF(A317="","","Q"&amp;ROUNDUP(MONTH(A317)/3,0))</f>
        <v/>
      </c>
      <c r="E317" s="22" t="n"/>
      <c r="F317" s="22" t="n"/>
      <c r="G317" s="40">
        <f>IFERROR(VLOOKUP(F317,M2_거래처마스터!A:E,3,FALSE),"")</f>
        <v/>
      </c>
      <c r="H317" s="22" t="n"/>
      <c r="I317" s="23" t="n"/>
      <c r="J317" s="24" t="n"/>
      <c r="K317" s="39">
        <f>IF(AND(I317&lt;&gt;"",J317&lt;&gt;""),I317*J317,"")</f>
        <v/>
      </c>
      <c r="L317" s="22" t="n"/>
      <c r="M317" s="22" t="n"/>
      <c r="N317" s="24" t="n"/>
      <c r="O317" s="24" t="n"/>
    </row>
    <row r="318">
      <c r="A318" s="34" t="n"/>
      <c r="B318" s="35">
        <f>IF(A318="","",YEAR(A318))</f>
        <v/>
      </c>
      <c r="C318" s="36">
        <f>IF(A318="","",MONTH(A318))</f>
        <v/>
      </c>
      <c r="D318" s="37">
        <f>IF(A318="","","Q"&amp;ROUNDUP(MONTH(A318)/3,0))</f>
        <v/>
      </c>
      <c r="E318" s="18" t="n"/>
      <c r="F318" s="18" t="n"/>
      <c r="G318" s="40">
        <f>IFERROR(VLOOKUP(F318,M2_거래처마스터!A:E,3,FALSE),"")</f>
        <v/>
      </c>
      <c r="H318" s="18" t="n"/>
      <c r="I318" s="19" t="n"/>
      <c r="J318" s="20" t="n"/>
      <c r="K318" s="39">
        <f>IF(AND(I318&lt;&gt;"",J318&lt;&gt;""),I318*J318,"")</f>
        <v/>
      </c>
      <c r="L318" s="18" t="n"/>
      <c r="M318" s="18" t="n"/>
      <c r="N318" s="20" t="n"/>
      <c r="O318" s="20" t="n"/>
    </row>
    <row r="319">
      <c r="A319" s="41" t="n"/>
      <c r="B319" s="35">
        <f>IF(A319="","",YEAR(A319))</f>
        <v/>
      </c>
      <c r="C319" s="36">
        <f>IF(A319="","",MONTH(A319))</f>
        <v/>
      </c>
      <c r="D319" s="37">
        <f>IF(A319="","","Q"&amp;ROUNDUP(MONTH(A319)/3,0))</f>
        <v/>
      </c>
      <c r="E319" s="22" t="n"/>
      <c r="F319" s="22" t="n"/>
      <c r="G319" s="40">
        <f>IFERROR(VLOOKUP(F319,M2_거래처마스터!A:E,3,FALSE),"")</f>
        <v/>
      </c>
      <c r="H319" s="22" t="n"/>
      <c r="I319" s="23" t="n"/>
      <c r="J319" s="24" t="n"/>
      <c r="K319" s="39">
        <f>IF(AND(I319&lt;&gt;"",J319&lt;&gt;""),I319*J319,"")</f>
        <v/>
      </c>
      <c r="L319" s="22" t="n"/>
      <c r="M319" s="22" t="n"/>
      <c r="N319" s="24" t="n"/>
      <c r="O319" s="24" t="n"/>
    </row>
    <row r="320">
      <c r="A320" s="34" t="n"/>
      <c r="B320" s="35">
        <f>IF(A320="","",YEAR(A320))</f>
        <v/>
      </c>
      <c r="C320" s="36">
        <f>IF(A320="","",MONTH(A320))</f>
        <v/>
      </c>
      <c r="D320" s="37">
        <f>IF(A320="","","Q"&amp;ROUNDUP(MONTH(A320)/3,0))</f>
        <v/>
      </c>
      <c r="E320" s="18" t="n"/>
      <c r="F320" s="18" t="n"/>
      <c r="G320" s="40">
        <f>IFERROR(VLOOKUP(F320,M2_거래처마스터!A:E,3,FALSE),"")</f>
        <v/>
      </c>
      <c r="H320" s="18" t="n"/>
      <c r="I320" s="19" t="n"/>
      <c r="J320" s="20" t="n"/>
      <c r="K320" s="39">
        <f>IF(AND(I320&lt;&gt;"",J320&lt;&gt;""),I320*J320,"")</f>
        <v/>
      </c>
      <c r="L320" s="18" t="n"/>
      <c r="M320" s="18" t="n"/>
      <c r="N320" s="20" t="n"/>
      <c r="O320" s="20" t="n"/>
    </row>
    <row r="321">
      <c r="A321" s="41" t="n"/>
      <c r="B321" s="35">
        <f>IF(A321="","",YEAR(A321))</f>
        <v/>
      </c>
      <c r="C321" s="36">
        <f>IF(A321="","",MONTH(A321))</f>
        <v/>
      </c>
      <c r="D321" s="37">
        <f>IF(A321="","","Q"&amp;ROUNDUP(MONTH(A321)/3,0))</f>
        <v/>
      </c>
      <c r="E321" s="22" t="n"/>
      <c r="F321" s="22" t="n"/>
      <c r="G321" s="40">
        <f>IFERROR(VLOOKUP(F321,M2_거래처마스터!A:E,3,FALSE),"")</f>
        <v/>
      </c>
      <c r="H321" s="22" t="n"/>
      <c r="I321" s="23" t="n"/>
      <c r="J321" s="24" t="n"/>
      <c r="K321" s="39">
        <f>IF(AND(I321&lt;&gt;"",J321&lt;&gt;""),I321*J321,"")</f>
        <v/>
      </c>
      <c r="L321" s="22" t="n"/>
      <c r="M321" s="22" t="n"/>
      <c r="N321" s="24" t="n"/>
      <c r="O321" s="24" t="n"/>
    </row>
    <row r="322">
      <c r="A322" s="34" t="n"/>
      <c r="B322" s="35">
        <f>IF(A322="","",YEAR(A322))</f>
        <v/>
      </c>
      <c r="C322" s="36">
        <f>IF(A322="","",MONTH(A322))</f>
        <v/>
      </c>
      <c r="D322" s="37">
        <f>IF(A322="","","Q"&amp;ROUNDUP(MONTH(A322)/3,0))</f>
        <v/>
      </c>
      <c r="E322" s="18" t="n"/>
      <c r="F322" s="18" t="n"/>
      <c r="G322" s="40">
        <f>IFERROR(VLOOKUP(F322,M2_거래처마스터!A:E,3,FALSE),"")</f>
        <v/>
      </c>
      <c r="H322" s="18" t="n"/>
      <c r="I322" s="19" t="n"/>
      <c r="J322" s="20" t="n"/>
      <c r="K322" s="39">
        <f>IF(AND(I322&lt;&gt;"",J322&lt;&gt;""),I322*J322,"")</f>
        <v/>
      </c>
      <c r="L322" s="18" t="n"/>
      <c r="M322" s="18" t="n"/>
      <c r="N322" s="20" t="n"/>
      <c r="O322" s="20" t="n"/>
    </row>
    <row r="323">
      <c r="A323" s="41" t="n"/>
      <c r="B323" s="35">
        <f>IF(A323="","",YEAR(A323))</f>
        <v/>
      </c>
      <c r="C323" s="36">
        <f>IF(A323="","",MONTH(A323))</f>
        <v/>
      </c>
      <c r="D323" s="37">
        <f>IF(A323="","","Q"&amp;ROUNDUP(MONTH(A323)/3,0))</f>
        <v/>
      </c>
      <c r="E323" s="22" t="n"/>
      <c r="F323" s="22" t="n"/>
      <c r="G323" s="40">
        <f>IFERROR(VLOOKUP(F323,M2_거래처마스터!A:E,3,FALSE),"")</f>
        <v/>
      </c>
      <c r="H323" s="22" t="n"/>
      <c r="I323" s="23" t="n"/>
      <c r="J323" s="24" t="n"/>
      <c r="K323" s="39">
        <f>IF(AND(I323&lt;&gt;"",J323&lt;&gt;""),I323*J323,"")</f>
        <v/>
      </c>
      <c r="L323" s="22" t="n"/>
      <c r="M323" s="22" t="n"/>
      <c r="N323" s="24" t="n"/>
      <c r="O323" s="24" t="n"/>
    </row>
    <row r="324">
      <c r="A324" s="34" t="n"/>
      <c r="B324" s="35">
        <f>IF(A324="","",YEAR(A324))</f>
        <v/>
      </c>
      <c r="C324" s="36">
        <f>IF(A324="","",MONTH(A324))</f>
        <v/>
      </c>
      <c r="D324" s="37">
        <f>IF(A324="","","Q"&amp;ROUNDUP(MONTH(A324)/3,0))</f>
        <v/>
      </c>
      <c r="E324" s="18" t="n"/>
      <c r="F324" s="18" t="n"/>
      <c r="G324" s="40">
        <f>IFERROR(VLOOKUP(F324,M2_거래처마스터!A:E,3,FALSE),"")</f>
        <v/>
      </c>
      <c r="H324" s="18" t="n"/>
      <c r="I324" s="19" t="n"/>
      <c r="J324" s="20" t="n"/>
      <c r="K324" s="39">
        <f>IF(AND(I324&lt;&gt;"",J324&lt;&gt;""),I324*J324,"")</f>
        <v/>
      </c>
      <c r="L324" s="18" t="n"/>
      <c r="M324" s="18" t="n"/>
      <c r="N324" s="20" t="n"/>
      <c r="O324" s="20" t="n"/>
    </row>
    <row r="325">
      <c r="A325" s="41" t="n"/>
      <c r="B325" s="35">
        <f>IF(A325="","",YEAR(A325))</f>
        <v/>
      </c>
      <c r="C325" s="36">
        <f>IF(A325="","",MONTH(A325))</f>
        <v/>
      </c>
      <c r="D325" s="37">
        <f>IF(A325="","","Q"&amp;ROUNDUP(MONTH(A325)/3,0))</f>
        <v/>
      </c>
      <c r="E325" s="22" t="n"/>
      <c r="F325" s="22" t="n"/>
      <c r="G325" s="40">
        <f>IFERROR(VLOOKUP(F325,M2_거래처마스터!A:E,3,FALSE),"")</f>
        <v/>
      </c>
      <c r="H325" s="22" t="n"/>
      <c r="I325" s="23" t="n"/>
      <c r="J325" s="24" t="n"/>
      <c r="K325" s="39">
        <f>IF(AND(I325&lt;&gt;"",J325&lt;&gt;""),I325*J325,"")</f>
        <v/>
      </c>
      <c r="L325" s="22" t="n"/>
      <c r="M325" s="22" t="n"/>
      <c r="N325" s="24" t="n"/>
      <c r="O325" s="24" t="n"/>
    </row>
    <row r="326">
      <c r="A326" s="34" t="n"/>
      <c r="B326" s="35">
        <f>IF(A326="","",YEAR(A326))</f>
        <v/>
      </c>
      <c r="C326" s="36">
        <f>IF(A326="","",MONTH(A326))</f>
        <v/>
      </c>
      <c r="D326" s="37">
        <f>IF(A326="","","Q"&amp;ROUNDUP(MONTH(A326)/3,0))</f>
        <v/>
      </c>
      <c r="E326" s="18" t="n"/>
      <c r="F326" s="18" t="n"/>
      <c r="G326" s="40">
        <f>IFERROR(VLOOKUP(F326,M2_거래처마스터!A:E,3,FALSE),"")</f>
        <v/>
      </c>
      <c r="H326" s="18" t="n"/>
      <c r="I326" s="19" t="n"/>
      <c r="J326" s="20" t="n"/>
      <c r="K326" s="39">
        <f>IF(AND(I326&lt;&gt;"",J326&lt;&gt;""),I326*J326,"")</f>
        <v/>
      </c>
      <c r="L326" s="18" t="n"/>
      <c r="M326" s="18" t="n"/>
      <c r="N326" s="20" t="n"/>
      <c r="O326" s="20" t="n"/>
    </row>
    <row r="327">
      <c r="A327" s="41" t="n"/>
      <c r="B327" s="35">
        <f>IF(A327="","",YEAR(A327))</f>
        <v/>
      </c>
      <c r="C327" s="36">
        <f>IF(A327="","",MONTH(A327))</f>
        <v/>
      </c>
      <c r="D327" s="37">
        <f>IF(A327="","","Q"&amp;ROUNDUP(MONTH(A327)/3,0))</f>
        <v/>
      </c>
      <c r="E327" s="22" t="n"/>
      <c r="F327" s="22" t="n"/>
      <c r="G327" s="40">
        <f>IFERROR(VLOOKUP(F327,M2_거래처마스터!A:E,3,FALSE),"")</f>
        <v/>
      </c>
      <c r="H327" s="22" t="n"/>
      <c r="I327" s="23" t="n"/>
      <c r="J327" s="24" t="n"/>
      <c r="K327" s="39">
        <f>IF(AND(I327&lt;&gt;"",J327&lt;&gt;""),I327*J327,"")</f>
        <v/>
      </c>
      <c r="L327" s="22" t="n"/>
      <c r="M327" s="22" t="n"/>
      <c r="N327" s="24" t="n"/>
      <c r="O327" s="24" t="n"/>
    </row>
    <row r="328">
      <c r="A328" s="34" t="n"/>
      <c r="B328" s="35">
        <f>IF(A328="","",YEAR(A328))</f>
        <v/>
      </c>
      <c r="C328" s="36">
        <f>IF(A328="","",MONTH(A328))</f>
        <v/>
      </c>
      <c r="D328" s="37">
        <f>IF(A328="","","Q"&amp;ROUNDUP(MONTH(A328)/3,0))</f>
        <v/>
      </c>
      <c r="E328" s="18" t="n"/>
      <c r="F328" s="18" t="n"/>
      <c r="G328" s="40">
        <f>IFERROR(VLOOKUP(F328,M2_거래처마스터!A:E,3,FALSE),"")</f>
        <v/>
      </c>
      <c r="H328" s="18" t="n"/>
      <c r="I328" s="19" t="n"/>
      <c r="J328" s="20" t="n"/>
      <c r="K328" s="39">
        <f>IF(AND(I328&lt;&gt;"",J328&lt;&gt;""),I328*J328,"")</f>
        <v/>
      </c>
      <c r="L328" s="18" t="n"/>
      <c r="M328" s="18" t="n"/>
      <c r="N328" s="20" t="n"/>
      <c r="O328" s="20" t="n"/>
    </row>
    <row r="329">
      <c r="A329" s="41" t="n"/>
      <c r="B329" s="35">
        <f>IF(A329="","",YEAR(A329))</f>
        <v/>
      </c>
      <c r="C329" s="36">
        <f>IF(A329="","",MONTH(A329))</f>
        <v/>
      </c>
      <c r="D329" s="37">
        <f>IF(A329="","","Q"&amp;ROUNDUP(MONTH(A329)/3,0))</f>
        <v/>
      </c>
      <c r="E329" s="22" t="n"/>
      <c r="F329" s="22" t="n"/>
      <c r="G329" s="40">
        <f>IFERROR(VLOOKUP(F329,M2_거래처마스터!A:E,3,FALSE),"")</f>
        <v/>
      </c>
      <c r="H329" s="22" t="n"/>
      <c r="I329" s="23" t="n"/>
      <c r="J329" s="24" t="n"/>
      <c r="K329" s="39">
        <f>IF(AND(I329&lt;&gt;"",J329&lt;&gt;""),I329*J329,"")</f>
        <v/>
      </c>
      <c r="L329" s="22" t="n"/>
      <c r="M329" s="22" t="n"/>
      <c r="N329" s="24" t="n"/>
      <c r="O329" s="24" t="n"/>
    </row>
    <row r="330">
      <c r="A330" s="34" t="n"/>
      <c r="B330" s="35">
        <f>IF(A330="","",YEAR(A330))</f>
        <v/>
      </c>
      <c r="C330" s="36">
        <f>IF(A330="","",MONTH(A330))</f>
        <v/>
      </c>
      <c r="D330" s="37">
        <f>IF(A330="","","Q"&amp;ROUNDUP(MONTH(A330)/3,0))</f>
        <v/>
      </c>
      <c r="E330" s="18" t="n"/>
      <c r="F330" s="18" t="n"/>
      <c r="G330" s="40">
        <f>IFERROR(VLOOKUP(F330,M2_거래처마스터!A:E,3,FALSE),"")</f>
        <v/>
      </c>
      <c r="H330" s="18" t="n"/>
      <c r="I330" s="19" t="n"/>
      <c r="J330" s="20" t="n"/>
      <c r="K330" s="39">
        <f>IF(AND(I330&lt;&gt;"",J330&lt;&gt;""),I330*J330,"")</f>
        <v/>
      </c>
      <c r="L330" s="18" t="n"/>
      <c r="M330" s="18" t="n"/>
      <c r="N330" s="20" t="n"/>
      <c r="O330" s="20" t="n"/>
    </row>
    <row r="331">
      <c r="A331" s="41" t="n"/>
      <c r="B331" s="35">
        <f>IF(A331="","",YEAR(A331))</f>
        <v/>
      </c>
      <c r="C331" s="36">
        <f>IF(A331="","",MONTH(A331))</f>
        <v/>
      </c>
      <c r="D331" s="37">
        <f>IF(A331="","","Q"&amp;ROUNDUP(MONTH(A331)/3,0))</f>
        <v/>
      </c>
      <c r="E331" s="22" t="n"/>
      <c r="F331" s="22" t="n"/>
      <c r="G331" s="40">
        <f>IFERROR(VLOOKUP(F331,M2_거래처마스터!A:E,3,FALSE),"")</f>
        <v/>
      </c>
      <c r="H331" s="22" t="n"/>
      <c r="I331" s="23" t="n"/>
      <c r="J331" s="24" t="n"/>
      <c r="K331" s="39">
        <f>IF(AND(I331&lt;&gt;"",J331&lt;&gt;""),I331*J331,"")</f>
        <v/>
      </c>
      <c r="L331" s="22" t="n"/>
      <c r="M331" s="22" t="n"/>
      <c r="N331" s="24" t="n"/>
      <c r="O331" s="24" t="n"/>
    </row>
    <row r="332">
      <c r="A332" s="34" t="n"/>
      <c r="B332" s="35">
        <f>IF(A332="","",YEAR(A332))</f>
        <v/>
      </c>
      <c r="C332" s="36">
        <f>IF(A332="","",MONTH(A332))</f>
        <v/>
      </c>
      <c r="D332" s="37">
        <f>IF(A332="","","Q"&amp;ROUNDUP(MONTH(A332)/3,0))</f>
        <v/>
      </c>
      <c r="E332" s="18" t="n"/>
      <c r="F332" s="18" t="n"/>
      <c r="G332" s="40">
        <f>IFERROR(VLOOKUP(F332,M2_거래처마스터!A:E,3,FALSE),"")</f>
        <v/>
      </c>
      <c r="H332" s="18" t="n"/>
      <c r="I332" s="19" t="n"/>
      <c r="J332" s="20" t="n"/>
      <c r="K332" s="39">
        <f>IF(AND(I332&lt;&gt;"",J332&lt;&gt;""),I332*J332,"")</f>
        <v/>
      </c>
      <c r="L332" s="18" t="n"/>
      <c r="M332" s="18" t="n"/>
      <c r="N332" s="20" t="n"/>
      <c r="O332" s="20" t="n"/>
    </row>
    <row r="333">
      <c r="A333" s="41" t="n"/>
      <c r="B333" s="35">
        <f>IF(A333="","",YEAR(A333))</f>
        <v/>
      </c>
      <c r="C333" s="36">
        <f>IF(A333="","",MONTH(A333))</f>
        <v/>
      </c>
      <c r="D333" s="37">
        <f>IF(A333="","","Q"&amp;ROUNDUP(MONTH(A333)/3,0))</f>
        <v/>
      </c>
      <c r="E333" s="22" t="n"/>
      <c r="F333" s="22" t="n"/>
      <c r="G333" s="40">
        <f>IFERROR(VLOOKUP(F333,M2_거래처마스터!A:E,3,FALSE),"")</f>
        <v/>
      </c>
      <c r="H333" s="22" t="n"/>
      <c r="I333" s="23" t="n"/>
      <c r="J333" s="24" t="n"/>
      <c r="K333" s="39">
        <f>IF(AND(I333&lt;&gt;"",J333&lt;&gt;""),I333*J333,"")</f>
        <v/>
      </c>
      <c r="L333" s="22" t="n"/>
      <c r="M333" s="22" t="n"/>
      <c r="N333" s="24" t="n"/>
      <c r="O333" s="24" t="n"/>
    </row>
    <row r="334">
      <c r="A334" s="34" t="n"/>
      <c r="B334" s="35">
        <f>IF(A334="","",YEAR(A334))</f>
        <v/>
      </c>
      <c r="C334" s="36">
        <f>IF(A334="","",MONTH(A334))</f>
        <v/>
      </c>
      <c r="D334" s="37">
        <f>IF(A334="","","Q"&amp;ROUNDUP(MONTH(A334)/3,0))</f>
        <v/>
      </c>
      <c r="E334" s="18" t="n"/>
      <c r="F334" s="18" t="n"/>
      <c r="G334" s="40">
        <f>IFERROR(VLOOKUP(F334,M2_거래처마스터!A:E,3,FALSE),"")</f>
        <v/>
      </c>
      <c r="H334" s="18" t="n"/>
      <c r="I334" s="19" t="n"/>
      <c r="J334" s="20" t="n"/>
      <c r="K334" s="39">
        <f>IF(AND(I334&lt;&gt;"",J334&lt;&gt;""),I334*J334,"")</f>
        <v/>
      </c>
      <c r="L334" s="18" t="n"/>
      <c r="M334" s="18" t="n"/>
      <c r="N334" s="20" t="n"/>
      <c r="O334" s="20" t="n"/>
    </row>
    <row r="335">
      <c r="A335" s="41" t="n"/>
      <c r="B335" s="35">
        <f>IF(A335="","",YEAR(A335))</f>
        <v/>
      </c>
      <c r="C335" s="36">
        <f>IF(A335="","",MONTH(A335))</f>
        <v/>
      </c>
      <c r="D335" s="37">
        <f>IF(A335="","","Q"&amp;ROUNDUP(MONTH(A335)/3,0))</f>
        <v/>
      </c>
      <c r="E335" s="22" t="n"/>
      <c r="F335" s="22" t="n"/>
      <c r="G335" s="40">
        <f>IFERROR(VLOOKUP(F335,M2_거래처마스터!A:E,3,FALSE),"")</f>
        <v/>
      </c>
      <c r="H335" s="22" t="n"/>
      <c r="I335" s="23" t="n"/>
      <c r="J335" s="24" t="n"/>
      <c r="K335" s="39">
        <f>IF(AND(I335&lt;&gt;"",J335&lt;&gt;""),I335*J335,"")</f>
        <v/>
      </c>
      <c r="L335" s="22" t="n"/>
      <c r="M335" s="22" t="n"/>
      <c r="N335" s="24" t="n"/>
      <c r="O335" s="24" t="n"/>
    </row>
    <row r="336">
      <c r="A336" s="34" t="n"/>
      <c r="B336" s="35">
        <f>IF(A336="","",YEAR(A336))</f>
        <v/>
      </c>
      <c r="C336" s="36">
        <f>IF(A336="","",MONTH(A336))</f>
        <v/>
      </c>
      <c r="D336" s="37">
        <f>IF(A336="","","Q"&amp;ROUNDUP(MONTH(A336)/3,0))</f>
        <v/>
      </c>
      <c r="E336" s="18" t="n"/>
      <c r="F336" s="18" t="n"/>
      <c r="G336" s="40">
        <f>IFERROR(VLOOKUP(F336,M2_거래처마스터!A:E,3,FALSE),"")</f>
        <v/>
      </c>
      <c r="H336" s="18" t="n"/>
      <c r="I336" s="19" t="n"/>
      <c r="J336" s="20" t="n"/>
      <c r="K336" s="39">
        <f>IF(AND(I336&lt;&gt;"",J336&lt;&gt;""),I336*J336,"")</f>
        <v/>
      </c>
      <c r="L336" s="18" t="n"/>
      <c r="M336" s="18" t="n"/>
      <c r="N336" s="20" t="n"/>
      <c r="O336" s="20" t="n"/>
    </row>
    <row r="337">
      <c r="A337" s="41" t="n"/>
      <c r="B337" s="35">
        <f>IF(A337="","",YEAR(A337))</f>
        <v/>
      </c>
      <c r="C337" s="36">
        <f>IF(A337="","",MONTH(A337))</f>
        <v/>
      </c>
      <c r="D337" s="37">
        <f>IF(A337="","","Q"&amp;ROUNDUP(MONTH(A337)/3,0))</f>
        <v/>
      </c>
      <c r="E337" s="22" t="n"/>
      <c r="F337" s="22" t="n"/>
      <c r="G337" s="40">
        <f>IFERROR(VLOOKUP(F337,M2_거래처마스터!A:E,3,FALSE),"")</f>
        <v/>
      </c>
      <c r="H337" s="22" t="n"/>
      <c r="I337" s="23" t="n"/>
      <c r="J337" s="24" t="n"/>
      <c r="K337" s="39">
        <f>IF(AND(I337&lt;&gt;"",J337&lt;&gt;""),I337*J337,"")</f>
        <v/>
      </c>
      <c r="L337" s="22" t="n"/>
      <c r="M337" s="22" t="n"/>
      <c r="N337" s="24" t="n"/>
      <c r="O337" s="24" t="n"/>
    </row>
    <row r="338">
      <c r="A338" s="34" t="n"/>
      <c r="B338" s="35">
        <f>IF(A338="","",YEAR(A338))</f>
        <v/>
      </c>
      <c r="C338" s="36">
        <f>IF(A338="","",MONTH(A338))</f>
        <v/>
      </c>
      <c r="D338" s="37">
        <f>IF(A338="","","Q"&amp;ROUNDUP(MONTH(A338)/3,0))</f>
        <v/>
      </c>
      <c r="E338" s="18" t="n"/>
      <c r="F338" s="18" t="n"/>
      <c r="G338" s="40">
        <f>IFERROR(VLOOKUP(F338,M2_거래처마스터!A:E,3,FALSE),"")</f>
        <v/>
      </c>
      <c r="H338" s="18" t="n"/>
      <c r="I338" s="19" t="n"/>
      <c r="J338" s="20" t="n"/>
      <c r="K338" s="39">
        <f>IF(AND(I338&lt;&gt;"",J338&lt;&gt;""),I338*J338,"")</f>
        <v/>
      </c>
      <c r="L338" s="18" t="n"/>
      <c r="M338" s="18" t="n"/>
      <c r="N338" s="20" t="n"/>
      <c r="O338" s="20" t="n"/>
    </row>
    <row r="339">
      <c r="A339" s="41" t="n"/>
      <c r="B339" s="35">
        <f>IF(A339="","",YEAR(A339))</f>
        <v/>
      </c>
      <c r="C339" s="36">
        <f>IF(A339="","",MONTH(A339))</f>
        <v/>
      </c>
      <c r="D339" s="37">
        <f>IF(A339="","","Q"&amp;ROUNDUP(MONTH(A339)/3,0))</f>
        <v/>
      </c>
      <c r="E339" s="22" t="n"/>
      <c r="F339" s="22" t="n"/>
      <c r="G339" s="40">
        <f>IFERROR(VLOOKUP(F339,M2_거래처마스터!A:E,3,FALSE),"")</f>
        <v/>
      </c>
      <c r="H339" s="22" t="n"/>
      <c r="I339" s="23" t="n"/>
      <c r="J339" s="24" t="n"/>
      <c r="K339" s="39">
        <f>IF(AND(I339&lt;&gt;"",J339&lt;&gt;""),I339*J339,"")</f>
        <v/>
      </c>
      <c r="L339" s="22" t="n"/>
      <c r="M339" s="22" t="n"/>
      <c r="N339" s="24" t="n"/>
      <c r="O339" s="24" t="n"/>
    </row>
    <row r="340">
      <c r="A340" s="34" t="n"/>
      <c r="B340" s="35">
        <f>IF(A340="","",YEAR(A340))</f>
        <v/>
      </c>
      <c r="C340" s="36">
        <f>IF(A340="","",MONTH(A340))</f>
        <v/>
      </c>
      <c r="D340" s="37">
        <f>IF(A340="","","Q"&amp;ROUNDUP(MONTH(A340)/3,0))</f>
        <v/>
      </c>
      <c r="E340" s="18" t="n"/>
      <c r="F340" s="18" t="n"/>
      <c r="G340" s="40">
        <f>IFERROR(VLOOKUP(F340,M2_거래처마스터!A:E,3,FALSE),"")</f>
        <v/>
      </c>
      <c r="H340" s="18" t="n"/>
      <c r="I340" s="19" t="n"/>
      <c r="J340" s="20" t="n"/>
      <c r="K340" s="39">
        <f>IF(AND(I340&lt;&gt;"",J340&lt;&gt;""),I340*J340,"")</f>
        <v/>
      </c>
      <c r="L340" s="18" t="n"/>
      <c r="M340" s="18" t="n"/>
      <c r="N340" s="20" t="n"/>
      <c r="O340" s="20" t="n"/>
    </row>
    <row r="341">
      <c r="A341" s="41" t="n"/>
      <c r="B341" s="35">
        <f>IF(A341="","",YEAR(A341))</f>
        <v/>
      </c>
      <c r="C341" s="36">
        <f>IF(A341="","",MONTH(A341))</f>
        <v/>
      </c>
      <c r="D341" s="37">
        <f>IF(A341="","","Q"&amp;ROUNDUP(MONTH(A341)/3,0))</f>
        <v/>
      </c>
      <c r="E341" s="22" t="n"/>
      <c r="F341" s="22" t="n"/>
      <c r="G341" s="40">
        <f>IFERROR(VLOOKUP(F341,M2_거래처마스터!A:E,3,FALSE),"")</f>
        <v/>
      </c>
      <c r="H341" s="22" t="n"/>
      <c r="I341" s="23" t="n"/>
      <c r="J341" s="24" t="n"/>
      <c r="K341" s="39">
        <f>IF(AND(I341&lt;&gt;"",J341&lt;&gt;""),I341*J341,"")</f>
        <v/>
      </c>
      <c r="L341" s="22" t="n"/>
      <c r="M341" s="22" t="n"/>
      <c r="N341" s="24" t="n"/>
      <c r="O341" s="24" t="n"/>
    </row>
    <row r="342">
      <c r="A342" s="34" t="n"/>
      <c r="B342" s="35">
        <f>IF(A342="","",YEAR(A342))</f>
        <v/>
      </c>
      <c r="C342" s="36">
        <f>IF(A342="","",MONTH(A342))</f>
        <v/>
      </c>
      <c r="D342" s="37">
        <f>IF(A342="","","Q"&amp;ROUNDUP(MONTH(A342)/3,0))</f>
        <v/>
      </c>
      <c r="E342" s="18" t="n"/>
      <c r="F342" s="18" t="n"/>
      <c r="G342" s="40">
        <f>IFERROR(VLOOKUP(F342,M2_거래처마스터!A:E,3,FALSE),"")</f>
        <v/>
      </c>
      <c r="H342" s="18" t="n"/>
      <c r="I342" s="19" t="n"/>
      <c r="J342" s="20" t="n"/>
      <c r="K342" s="39">
        <f>IF(AND(I342&lt;&gt;"",J342&lt;&gt;""),I342*J342,"")</f>
        <v/>
      </c>
      <c r="L342" s="18" t="n"/>
      <c r="M342" s="18" t="n"/>
      <c r="N342" s="20" t="n"/>
      <c r="O342" s="20" t="n"/>
    </row>
    <row r="343">
      <c r="A343" s="41" t="n"/>
      <c r="B343" s="35">
        <f>IF(A343="","",YEAR(A343))</f>
        <v/>
      </c>
      <c r="C343" s="36">
        <f>IF(A343="","",MONTH(A343))</f>
        <v/>
      </c>
      <c r="D343" s="37">
        <f>IF(A343="","","Q"&amp;ROUNDUP(MONTH(A343)/3,0))</f>
        <v/>
      </c>
      <c r="E343" s="22" t="n"/>
      <c r="F343" s="22" t="n"/>
      <c r="G343" s="40">
        <f>IFERROR(VLOOKUP(F343,M2_거래처마스터!A:E,3,FALSE),"")</f>
        <v/>
      </c>
      <c r="H343" s="22" t="n"/>
      <c r="I343" s="23" t="n"/>
      <c r="J343" s="24" t="n"/>
      <c r="K343" s="39">
        <f>IF(AND(I343&lt;&gt;"",J343&lt;&gt;""),I343*J343,"")</f>
        <v/>
      </c>
      <c r="L343" s="22" t="n"/>
      <c r="M343" s="22" t="n"/>
      <c r="N343" s="24" t="n"/>
      <c r="O343" s="24" t="n"/>
    </row>
    <row r="344">
      <c r="A344" s="34" t="n"/>
      <c r="B344" s="35">
        <f>IF(A344="","",YEAR(A344))</f>
        <v/>
      </c>
      <c r="C344" s="36">
        <f>IF(A344="","",MONTH(A344))</f>
        <v/>
      </c>
      <c r="D344" s="37">
        <f>IF(A344="","","Q"&amp;ROUNDUP(MONTH(A344)/3,0))</f>
        <v/>
      </c>
      <c r="E344" s="18" t="n"/>
      <c r="F344" s="18" t="n"/>
      <c r="G344" s="40">
        <f>IFERROR(VLOOKUP(F344,M2_거래처마스터!A:E,3,FALSE),"")</f>
        <v/>
      </c>
      <c r="H344" s="18" t="n"/>
      <c r="I344" s="19" t="n"/>
      <c r="J344" s="20" t="n"/>
      <c r="K344" s="39">
        <f>IF(AND(I344&lt;&gt;"",J344&lt;&gt;""),I344*J344,"")</f>
        <v/>
      </c>
      <c r="L344" s="18" t="n"/>
      <c r="M344" s="18" t="n"/>
      <c r="N344" s="20" t="n"/>
      <c r="O344" s="20" t="n"/>
    </row>
    <row r="345">
      <c r="A345" s="41" t="n"/>
      <c r="B345" s="35">
        <f>IF(A345="","",YEAR(A345))</f>
        <v/>
      </c>
      <c r="C345" s="36">
        <f>IF(A345="","",MONTH(A345))</f>
        <v/>
      </c>
      <c r="D345" s="37">
        <f>IF(A345="","","Q"&amp;ROUNDUP(MONTH(A345)/3,0))</f>
        <v/>
      </c>
      <c r="E345" s="22" t="n"/>
      <c r="F345" s="22" t="n"/>
      <c r="G345" s="40">
        <f>IFERROR(VLOOKUP(F345,M2_거래처마스터!A:E,3,FALSE),"")</f>
        <v/>
      </c>
      <c r="H345" s="22" t="n"/>
      <c r="I345" s="23" t="n"/>
      <c r="J345" s="24" t="n"/>
      <c r="K345" s="39">
        <f>IF(AND(I345&lt;&gt;"",J345&lt;&gt;""),I345*J345,"")</f>
        <v/>
      </c>
      <c r="L345" s="22" t="n"/>
      <c r="M345" s="22" t="n"/>
      <c r="N345" s="24" t="n"/>
      <c r="O345" s="24" t="n"/>
    </row>
    <row r="346">
      <c r="A346" s="34" t="n"/>
      <c r="B346" s="35">
        <f>IF(A346="","",YEAR(A346))</f>
        <v/>
      </c>
      <c r="C346" s="36">
        <f>IF(A346="","",MONTH(A346))</f>
        <v/>
      </c>
      <c r="D346" s="37">
        <f>IF(A346="","","Q"&amp;ROUNDUP(MONTH(A346)/3,0))</f>
        <v/>
      </c>
      <c r="E346" s="18" t="n"/>
      <c r="F346" s="18" t="n"/>
      <c r="G346" s="40">
        <f>IFERROR(VLOOKUP(F346,M2_거래처마스터!A:E,3,FALSE),"")</f>
        <v/>
      </c>
      <c r="H346" s="18" t="n"/>
      <c r="I346" s="19" t="n"/>
      <c r="J346" s="20" t="n"/>
      <c r="K346" s="39">
        <f>IF(AND(I346&lt;&gt;"",J346&lt;&gt;""),I346*J346,"")</f>
        <v/>
      </c>
      <c r="L346" s="18" t="n"/>
      <c r="M346" s="18" t="n"/>
      <c r="N346" s="20" t="n"/>
      <c r="O346" s="20" t="n"/>
    </row>
    <row r="347">
      <c r="A347" s="41" t="n"/>
      <c r="B347" s="35">
        <f>IF(A347="","",YEAR(A347))</f>
        <v/>
      </c>
      <c r="C347" s="36">
        <f>IF(A347="","",MONTH(A347))</f>
        <v/>
      </c>
      <c r="D347" s="37">
        <f>IF(A347="","","Q"&amp;ROUNDUP(MONTH(A347)/3,0))</f>
        <v/>
      </c>
      <c r="E347" s="22" t="n"/>
      <c r="F347" s="22" t="n"/>
      <c r="G347" s="40">
        <f>IFERROR(VLOOKUP(F347,M2_거래처마스터!A:E,3,FALSE),"")</f>
        <v/>
      </c>
      <c r="H347" s="22" t="n"/>
      <c r="I347" s="23" t="n"/>
      <c r="J347" s="24" t="n"/>
      <c r="K347" s="39">
        <f>IF(AND(I347&lt;&gt;"",J347&lt;&gt;""),I347*J347,"")</f>
        <v/>
      </c>
      <c r="L347" s="22" t="n"/>
      <c r="M347" s="22" t="n"/>
      <c r="N347" s="24" t="n"/>
      <c r="O347" s="24" t="n"/>
    </row>
    <row r="348">
      <c r="A348" s="34" t="n"/>
      <c r="B348" s="35">
        <f>IF(A348="","",YEAR(A348))</f>
        <v/>
      </c>
      <c r="C348" s="36">
        <f>IF(A348="","",MONTH(A348))</f>
        <v/>
      </c>
      <c r="D348" s="37">
        <f>IF(A348="","","Q"&amp;ROUNDUP(MONTH(A348)/3,0))</f>
        <v/>
      </c>
      <c r="E348" s="18" t="n"/>
      <c r="F348" s="18" t="n"/>
      <c r="G348" s="40">
        <f>IFERROR(VLOOKUP(F348,M2_거래처마스터!A:E,3,FALSE),"")</f>
        <v/>
      </c>
      <c r="H348" s="18" t="n"/>
      <c r="I348" s="19" t="n"/>
      <c r="J348" s="20" t="n"/>
      <c r="K348" s="39">
        <f>IF(AND(I348&lt;&gt;"",J348&lt;&gt;""),I348*J348,"")</f>
        <v/>
      </c>
      <c r="L348" s="18" t="n"/>
      <c r="M348" s="18" t="n"/>
      <c r="N348" s="20" t="n"/>
      <c r="O348" s="20" t="n"/>
    </row>
    <row r="349">
      <c r="A349" s="41" t="n"/>
      <c r="B349" s="35">
        <f>IF(A349="","",YEAR(A349))</f>
        <v/>
      </c>
      <c r="C349" s="36">
        <f>IF(A349="","",MONTH(A349))</f>
        <v/>
      </c>
      <c r="D349" s="37">
        <f>IF(A349="","","Q"&amp;ROUNDUP(MONTH(A349)/3,0))</f>
        <v/>
      </c>
      <c r="E349" s="22" t="n"/>
      <c r="F349" s="22" t="n"/>
      <c r="G349" s="40">
        <f>IFERROR(VLOOKUP(F349,M2_거래처마스터!A:E,3,FALSE),"")</f>
        <v/>
      </c>
      <c r="H349" s="22" t="n"/>
      <c r="I349" s="23" t="n"/>
      <c r="J349" s="24" t="n"/>
      <c r="K349" s="39">
        <f>IF(AND(I349&lt;&gt;"",J349&lt;&gt;""),I349*J349,"")</f>
        <v/>
      </c>
      <c r="L349" s="22" t="n"/>
      <c r="M349" s="22" t="n"/>
      <c r="N349" s="24" t="n"/>
      <c r="O349" s="24" t="n"/>
    </row>
    <row r="350">
      <c r="A350" s="34" t="n"/>
      <c r="B350" s="35">
        <f>IF(A350="","",YEAR(A350))</f>
        <v/>
      </c>
      <c r="C350" s="36">
        <f>IF(A350="","",MONTH(A350))</f>
        <v/>
      </c>
      <c r="D350" s="37">
        <f>IF(A350="","","Q"&amp;ROUNDUP(MONTH(A350)/3,0))</f>
        <v/>
      </c>
      <c r="E350" s="18" t="n"/>
      <c r="F350" s="18" t="n"/>
      <c r="G350" s="40">
        <f>IFERROR(VLOOKUP(F350,M2_거래처마스터!A:E,3,FALSE),"")</f>
        <v/>
      </c>
      <c r="H350" s="18" t="n"/>
      <c r="I350" s="19" t="n"/>
      <c r="J350" s="20" t="n"/>
      <c r="K350" s="39">
        <f>IF(AND(I350&lt;&gt;"",J350&lt;&gt;""),I350*J350,"")</f>
        <v/>
      </c>
      <c r="L350" s="18" t="n"/>
      <c r="M350" s="18" t="n"/>
      <c r="N350" s="20" t="n"/>
      <c r="O350" s="20" t="n"/>
    </row>
    <row r="351">
      <c r="A351" s="41" t="n"/>
      <c r="B351" s="35">
        <f>IF(A351="","",YEAR(A351))</f>
        <v/>
      </c>
      <c r="C351" s="36">
        <f>IF(A351="","",MONTH(A351))</f>
        <v/>
      </c>
      <c r="D351" s="37">
        <f>IF(A351="","","Q"&amp;ROUNDUP(MONTH(A351)/3,0))</f>
        <v/>
      </c>
      <c r="E351" s="22" t="n"/>
      <c r="F351" s="22" t="n"/>
      <c r="G351" s="40">
        <f>IFERROR(VLOOKUP(F351,M2_거래처마스터!A:E,3,FALSE),"")</f>
        <v/>
      </c>
      <c r="H351" s="22" t="n"/>
      <c r="I351" s="23" t="n"/>
      <c r="J351" s="24" t="n"/>
      <c r="K351" s="39">
        <f>IF(AND(I351&lt;&gt;"",J351&lt;&gt;""),I351*J351,"")</f>
        <v/>
      </c>
      <c r="L351" s="22" t="n"/>
      <c r="M351" s="22" t="n"/>
      <c r="N351" s="24" t="n"/>
      <c r="O351" s="24" t="n"/>
    </row>
    <row r="352">
      <c r="A352" s="34" t="n"/>
      <c r="B352" s="35">
        <f>IF(A352="","",YEAR(A352))</f>
        <v/>
      </c>
      <c r="C352" s="36">
        <f>IF(A352="","",MONTH(A352))</f>
        <v/>
      </c>
      <c r="D352" s="37">
        <f>IF(A352="","","Q"&amp;ROUNDUP(MONTH(A352)/3,0))</f>
        <v/>
      </c>
      <c r="E352" s="18" t="n"/>
      <c r="F352" s="18" t="n"/>
      <c r="G352" s="40">
        <f>IFERROR(VLOOKUP(F352,M2_거래처마스터!A:E,3,FALSE),"")</f>
        <v/>
      </c>
      <c r="H352" s="18" t="n"/>
      <c r="I352" s="19" t="n"/>
      <c r="J352" s="20" t="n"/>
      <c r="K352" s="39">
        <f>IF(AND(I352&lt;&gt;"",J352&lt;&gt;""),I352*J352,"")</f>
        <v/>
      </c>
      <c r="L352" s="18" t="n"/>
      <c r="M352" s="18" t="n"/>
      <c r="N352" s="20" t="n"/>
      <c r="O352" s="20" t="n"/>
    </row>
    <row r="353">
      <c r="A353" s="41" t="n"/>
      <c r="B353" s="35">
        <f>IF(A353="","",YEAR(A353))</f>
        <v/>
      </c>
      <c r="C353" s="36">
        <f>IF(A353="","",MONTH(A353))</f>
        <v/>
      </c>
      <c r="D353" s="37">
        <f>IF(A353="","","Q"&amp;ROUNDUP(MONTH(A353)/3,0))</f>
        <v/>
      </c>
      <c r="E353" s="22" t="n"/>
      <c r="F353" s="22" t="n"/>
      <c r="G353" s="40">
        <f>IFERROR(VLOOKUP(F353,M2_거래처마스터!A:E,3,FALSE),"")</f>
        <v/>
      </c>
      <c r="H353" s="22" t="n"/>
      <c r="I353" s="23" t="n"/>
      <c r="J353" s="24" t="n"/>
      <c r="K353" s="39">
        <f>IF(AND(I353&lt;&gt;"",J353&lt;&gt;""),I353*J353,"")</f>
        <v/>
      </c>
      <c r="L353" s="22" t="n"/>
      <c r="M353" s="22" t="n"/>
      <c r="N353" s="24" t="n"/>
      <c r="O353" s="24" t="n"/>
    </row>
    <row r="354">
      <c r="A354" s="34" t="n"/>
      <c r="B354" s="35">
        <f>IF(A354="","",YEAR(A354))</f>
        <v/>
      </c>
      <c r="C354" s="36">
        <f>IF(A354="","",MONTH(A354))</f>
        <v/>
      </c>
      <c r="D354" s="37">
        <f>IF(A354="","","Q"&amp;ROUNDUP(MONTH(A354)/3,0))</f>
        <v/>
      </c>
      <c r="E354" s="18" t="n"/>
      <c r="F354" s="18" t="n"/>
      <c r="G354" s="40">
        <f>IFERROR(VLOOKUP(F354,M2_거래처마스터!A:E,3,FALSE),"")</f>
        <v/>
      </c>
      <c r="H354" s="18" t="n"/>
      <c r="I354" s="19" t="n"/>
      <c r="J354" s="20" t="n"/>
      <c r="K354" s="39">
        <f>IF(AND(I354&lt;&gt;"",J354&lt;&gt;""),I354*J354,"")</f>
        <v/>
      </c>
      <c r="L354" s="18" t="n"/>
      <c r="M354" s="18" t="n"/>
      <c r="N354" s="20" t="n"/>
      <c r="O354" s="20" t="n"/>
    </row>
    <row r="355">
      <c r="A355" s="41" t="n"/>
      <c r="B355" s="35">
        <f>IF(A355="","",YEAR(A355))</f>
        <v/>
      </c>
      <c r="C355" s="36">
        <f>IF(A355="","",MONTH(A355))</f>
        <v/>
      </c>
      <c r="D355" s="37">
        <f>IF(A355="","","Q"&amp;ROUNDUP(MONTH(A355)/3,0))</f>
        <v/>
      </c>
      <c r="E355" s="22" t="n"/>
      <c r="F355" s="22" t="n"/>
      <c r="G355" s="40">
        <f>IFERROR(VLOOKUP(F355,M2_거래처마스터!A:E,3,FALSE),"")</f>
        <v/>
      </c>
      <c r="H355" s="22" t="n"/>
      <c r="I355" s="23" t="n"/>
      <c r="J355" s="24" t="n"/>
      <c r="K355" s="39">
        <f>IF(AND(I355&lt;&gt;"",J355&lt;&gt;""),I355*J355,"")</f>
        <v/>
      </c>
      <c r="L355" s="22" t="n"/>
      <c r="M355" s="22" t="n"/>
      <c r="N355" s="24" t="n"/>
      <c r="O355" s="24" t="n"/>
    </row>
    <row r="356">
      <c r="A356" s="34" t="n"/>
      <c r="B356" s="35">
        <f>IF(A356="","",YEAR(A356))</f>
        <v/>
      </c>
      <c r="C356" s="36">
        <f>IF(A356="","",MONTH(A356))</f>
        <v/>
      </c>
      <c r="D356" s="37">
        <f>IF(A356="","","Q"&amp;ROUNDUP(MONTH(A356)/3,0))</f>
        <v/>
      </c>
      <c r="E356" s="18" t="n"/>
      <c r="F356" s="18" t="n"/>
      <c r="G356" s="40">
        <f>IFERROR(VLOOKUP(F356,M2_거래처마스터!A:E,3,FALSE),"")</f>
        <v/>
      </c>
      <c r="H356" s="18" t="n"/>
      <c r="I356" s="19" t="n"/>
      <c r="J356" s="20" t="n"/>
      <c r="K356" s="39">
        <f>IF(AND(I356&lt;&gt;"",J356&lt;&gt;""),I356*J356,"")</f>
        <v/>
      </c>
      <c r="L356" s="18" t="n"/>
      <c r="M356" s="18" t="n"/>
      <c r="N356" s="20" t="n"/>
      <c r="O356" s="20" t="n"/>
    </row>
    <row r="357">
      <c r="A357" s="41" t="n"/>
      <c r="B357" s="35">
        <f>IF(A357="","",YEAR(A357))</f>
        <v/>
      </c>
      <c r="C357" s="36">
        <f>IF(A357="","",MONTH(A357))</f>
        <v/>
      </c>
      <c r="D357" s="37">
        <f>IF(A357="","","Q"&amp;ROUNDUP(MONTH(A357)/3,0))</f>
        <v/>
      </c>
      <c r="E357" s="22" t="n"/>
      <c r="F357" s="22" t="n"/>
      <c r="G357" s="40">
        <f>IFERROR(VLOOKUP(F357,M2_거래처마스터!A:E,3,FALSE),"")</f>
        <v/>
      </c>
      <c r="H357" s="22" t="n"/>
      <c r="I357" s="23" t="n"/>
      <c r="J357" s="24" t="n"/>
      <c r="K357" s="39">
        <f>IF(AND(I357&lt;&gt;"",J357&lt;&gt;""),I357*J357,"")</f>
        <v/>
      </c>
      <c r="L357" s="22" t="n"/>
      <c r="M357" s="22" t="n"/>
      <c r="N357" s="24" t="n"/>
      <c r="O357" s="24" t="n"/>
    </row>
    <row r="358">
      <c r="A358" s="34" t="n"/>
      <c r="B358" s="35">
        <f>IF(A358="","",YEAR(A358))</f>
        <v/>
      </c>
      <c r="C358" s="36">
        <f>IF(A358="","",MONTH(A358))</f>
        <v/>
      </c>
      <c r="D358" s="37">
        <f>IF(A358="","","Q"&amp;ROUNDUP(MONTH(A358)/3,0))</f>
        <v/>
      </c>
      <c r="E358" s="18" t="n"/>
      <c r="F358" s="18" t="n"/>
      <c r="G358" s="40">
        <f>IFERROR(VLOOKUP(F358,M2_거래처마스터!A:E,3,FALSE),"")</f>
        <v/>
      </c>
      <c r="H358" s="18" t="n"/>
      <c r="I358" s="19" t="n"/>
      <c r="J358" s="20" t="n"/>
      <c r="K358" s="39">
        <f>IF(AND(I358&lt;&gt;"",J358&lt;&gt;""),I358*J358,"")</f>
        <v/>
      </c>
      <c r="L358" s="18" t="n"/>
      <c r="M358" s="18" t="n"/>
      <c r="N358" s="20" t="n"/>
      <c r="O358" s="20" t="n"/>
    </row>
    <row r="359">
      <c r="A359" s="41" t="n"/>
      <c r="B359" s="35">
        <f>IF(A359="","",YEAR(A359))</f>
        <v/>
      </c>
      <c r="C359" s="36">
        <f>IF(A359="","",MONTH(A359))</f>
        <v/>
      </c>
      <c r="D359" s="37">
        <f>IF(A359="","","Q"&amp;ROUNDUP(MONTH(A359)/3,0))</f>
        <v/>
      </c>
      <c r="E359" s="22" t="n"/>
      <c r="F359" s="22" t="n"/>
      <c r="G359" s="40">
        <f>IFERROR(VLOOKUP(F359,M2_거래처마스터!A:E,3,FALSE),"")</f>
        <v/>
      </c>
      <c r="H359" s="22" t="n"/>
      <c r="I359" s="23" t="n"/>
      <c r="J359" s="24" t="n"/>
      <c r="K359" s="39">
        <f>IF(AND(I359&lt;&gt;"",J359&lt;&gt;""),I359*J359,"")</f>
        <v/>
      </c>
      <c r="L359" s="22" t="n"/>
      <c r="M359" s="22" t="n"/>
      <c r="N359" s="24" t="n"/>
      <c r="O359" s="24" t="n"/>
    </row>
    <row r="360">
      <c r="A360" s="34" t="n"/>
      <c r="B360" s="35">
        <f>IF(A360="","",YEAR(A360))</f>
        <v/>
      </c>
      <c r="C360" s="36">
        <f>IF(A360="","",MONTH(A360))</f>
        <v/>
      </c>
      <c r="D360" s="37">
        <f>IF(A360="","","Q"&amp;ROUNDUP(MONTH(A360)/3,0))</f>
        <v/>
      </c>
      <c r="E360" s="18" t="n"/>
      <c r="F360" s="18" t="n"/>
      <c r="G360" s="40">
        <f>IFERROR(VLOOKUP(F360,M2_거래처마스터!A:E,3,FALSE),"")</f>
        <v/>
      </c>
      <c r="H360" s="18" t="n"/>
      <c r="I360" s="19" t="n"/>
      <c r="J360" s="20" t="n"/>
      <c r="K360" s="39">
        <f>IF(AND(I360&lt;&gt;"",J360&lt;&gt;""),I360*J360,"")</f>
        <v/>
      </c>
      <c r="L360" s="18" t="n"/>
      <c r="M360" s="18" t="n"/>
      <c r="N360" s="20" t="n"/>
      <c r="O360" s="20" t="n"/>
    </row>
    <row r="361">
      <c r="A361" s="41" t="n"/>
      <c r="B361" s="35">
        <f>IF(A361="","",YEAR(A361))</f>
        <v/>
      </c>
      <c r="C361" s="36">
        <f>IF(A361="","",MONTH(A361))</f>
        <v/>
      </c>
      <c r="D361" s="37">
        <f>IF(A361="","","Q"&amp;ROUNDUP(MONTH(A361)/3,0))</f>
        <v/>
      </c>
      <c r="E361" s="22" t="n"/>
      <c r="F361" s="22" t="n"/>
      <c r="G361" s="40">
        <f>IFERROR(VLOOKUP(F361,M2_거래처마스터!A:E,3,FALSE),"")</f>
        <v/>
      </c>
      <c r="H361" s="22" t="n"/>
      <c r="I361" s="23" t="n"/>
      <c r="J361" s="24" t="n"/>
      <c r="K361" s="39">
        <f>IF(AND(I361&lt;&gt;"",J361&lt;&gt;""),I361*J361,"")</f>
        <v/>
      </c>
      <c r="L361" s="22" t="n"/>
      <c r="M361" s="22" t="n"/>
      <c r="N361" s="24" t="n"/>
      <c r="O361" s="24" t="n"/>
    </row>
    <row r="362">
      <c r="A362" s="34" t="n"/>
      <c r="B362" s="35">
        <f>IF(A362="","",YEAR(A362))</f>
        <v/>
      </c>
      <c r="C362" s="36">
        <f>IF(A362="","",MONTH(A362))</f>
        <v/>
      </c>
      <c r="D362" s="37">
        <f>IF(A362="","","Q"&amp;ROUNDUP(MONTH(A362)/3,0))</f>
        <v/>
      </c>
      <c r="E362" s="18" t="n"/>
      <c r="F362" s="18" t="n"/>
      <c r="G362" s="40">
        <f>IFERROR(VLOOKUP(F362,M2_거래처마스터!A:E,3,FALSE),"")</f>
        <v/>
      </c>
      <c r="H362" s="18" t="n"/>
      <c r="I362" s="19" t="n"/>
      <c r="J362" s="20" t="n"/>
      <c r="K362" s="39">
        <f>IF(AND(I362&lt;&gt;"",J362&lt;&gt;""),I362*J362,"")</f>
        <v/>
      </c>
      <c r="L362" s="18" t="n"/>
      <c r="M362" s="18" t="n"/>
      <c r="N362" s="20" t="n"/>
      <c r="O362" s="20" t="n"/>
    </row>
    <row r="363">
      <c r="A363" s="41" t="n"/>
      <c r="B363" s="35">
        <f>IF(A363="","",YEAR(A363))</f>
        <v/>
      </c>
      <c r="C363" s="36">
        <f>IF(A363="","",MONTH(A363))</f>
        <v/>
      </c>
      <c r="D363" s="37">
        <f>IF(A363="","","Q"&amp;ROUNDUP(MONTH(A363)/3,0))</f>
        <v/>
      </c>
      <c r="E363" s="22" t="n"/>
      <c r="F363" s="22" t="n"/>
      <c r="G363" s="40">
        <f>IFERROR(VLOOKUP(F363,M2_거래처마스터!A:E,3,FALSE),"")</f>
        <v/>
      </c>
      <c r="H363" s="22" t="n"/>
      <c r="I363" s="23" t="n"/>
      <c r="J363" s="24" t="n"/>
      <c r="K363" s="39">
        <f>IF(AND(I363&lt;&gt;"",J363&lt;&gt;""),I363*J363,"")</f>
        <v/>
      </c>
      <c r="L363" s="22" t="n"/>
      <c r="M363" s="22" t="n"/>
      <c r="N363" s="24" t="n"/>
      <c r="O363" s="24" t="n"/>
    </row>
    <row r="364">
      <c r="A364" s="34" t="n"/>
      <c r="B364" s="35">
        <f>IF(A364="","",YEAR(A364))</f>
        <v/>
      </c>
      <c r="C364" s="36">
        <f>IF(A364="","",MONTH(A364))</f>
        <v/>
      </c>
      <c r="D364" s="37">
        <f>IF(A364="","","Q"&amp;ROUNDUP(MONTH(A364)/3,0))</f>
        <v/>
      </c>
      <c r="E364" s="18" t="n"/>
      <c r="F364" s="18" t="n"/>
      <c r="G364" s="40">
        <f>IFERROR(VLOOKUP(F364,M2_거래처마스터!A:E,3,FALSE),"")</f>
        <v/>
      </c>
      <c r="H364" s="18" t="n"/>
      <c r="I364" s="19" t="n"/>
      <c r="J364" s="20" t="n"/>
      <c r="K364" s="39">
        <f>IF(AND(I364&lt;&gt;"",J364&lt;&gt;""),I364*J364,"")</f>
        <v/>
      </c>
      <c r="L364" s="18" t="n"/>
      <c r="M364" s="18" t="n"/>
      <c r="N364" s="20" t="n"/>
      <c r="O364" s="20" t="n"/>
    </row>
    <row r="365">
      <c r="A365" s="41" t="n"/>
      <c r="B365" s="35">
        <f>IF(A365="","",YEAR(A365))</f>
        <v/>
      </c>
      <c r="C365" s="36">
        <f>IF(A365="","",MONTH(A365))</f>
        <v/>
      </c>
      <c r="D365" s="37">
        <f>IF(A365="","","Q"&amp;ROUNDUP(MONTH(A365)/3,0))</f>
        <v/>
      </c>
      <c r="E365" s="22" t="n"/>
      <c r="F365" s="22" t="n"/>
      <c r="G365" s="40">
        <f>IFERROR(VLOOKUP(F365,M2_거래처마스터!A:E,3,FALSE),"")</f>
        <v/>
      </c>
      <c r="H365" s="22" t="n"/>
      <c r="I365" s="23" t="n"/>
      <c r="J365" s="24" t="n"/>
      <c r="K365" s="39">
        <f>IF(AND(I365&lt;&gt;"",J365&lt;&gt;""),I365*J365,"")</f>
        <v/>
      </c>
      <c r="L365" s="22" t="n"/>
      <c r="M365" s="22" t="n"/>
      <c r="N365" s="24" t="n"/>
      <c r="O365" s="24" t="n"/>
    </row>
    <row r="366">
      <c r="A366" s="34" t="n"/>
      <c r="B366" s="35">
        <f>IF(A366="","",YEAR(A366))</f>
        <v/>
      </c>
      <c r="C366" s="36">
        <f>IF(A366="","",MONTH(A366))</f>
        <v/>
      </c>
      <c r="D366" s="37">
        <f>IF(A366="","","Q"&amp;ROUNDUP(MONTH(A366)/3,0))</f>
        <v/>
      </c>
      <c r="E366" s="18" t="n"/>
      <c r="F366" s="18" t="n"/>
      <c r="G366" s="40">
        <f>IFERROR(VLOOKUP(F366,M2_거래처마스터!A:E,3,FALSE),"")</f>
        <v/>
      </c>
      <c r="H366" s="18" t="n"/>
      <c r="I366" s="19" t="n"/>
      <c r="J366" s="20" t="n"/>
      <c r="K366" s="39">
        <f>IF(AND(I366&lt;&gt;"",J366&lt;&gt;""),I366*J366,"")</f>
        <v/>
      </c>
      <c r="L366" s="18" t="n"/>
      <c r="M366" s="18" t="n"/>
      <c r="N366" s="20" t="n"/>
      <c r="O366" s="20" t="n"/>
    </row>
    <row r="367">
      <c r="A367" s="41" t="n"/>
      <c r="B367" s="35">
        <f>IF(A367="","",YEAR(A367))</f>
        <v/>
      </c>
      <c r="C367" s="36">
        <f>IF(A367="","",MONTH(A367))</f>
        <v/>
      </c>
      <c r="D367" s="37">
        <f>IF(A367="","","Q"&amp;ROUNDUP(MONTH(A367)/3,0))</f>
        <v/>
      </c>
      <c r="E367" s="22" t="n"/>
      <c r="F367" s="22" t="n"/>
      <c r="G367" s="40">
        <f>IFERROR(VLOOKUP(F367,M2_거래처마스터!A:E,3,FALSE),"")</f>
        <v/>
      </c>
      <c r="H367" s="22" t="n"/>
      <c r="I367" s="23" t="n"/>
      <c r="J367" s="24" t="n"/>
      <c r="K367" s="39">
        <f>IF(AND(I367&lt;&gt;"",J367&lt;&gt;""),I367*J367,"")</f>
        <v/>
      </c>
      <c r="L367" s="22" t="n"/>
      <c r="M367" s="22" t="n"/>
      <c r="N367" s="24" t="n"/>
      <c r="O367" s="24" t="n"/>
    </row>
    <row r="368">
      <c r="A368" s="34" t="n"/>
      <c r="B368" s="35">
        <f>IF(A368="","",YEAR(A368))</f>
        <v/>
      </c>
      <c r="C368" s="36">
        <f>IF(A368="","",MONTH(A368))</f>
        <v/>
      </c>
      <c r="D368" s="37">
        <f>IF(A368="","","Q"&amp;ROUNDUP(MONTH(A368)/3,0))</f>
        <v/>
      </c>
      <c r="E368" s="18" t="n"/>
      <c r="F368" s="18" t="n"/>
      <c r="G368" s="40">
        <f>IFERROR(VLOOKUP(F368,M2_거래처마스터!A:E,3,FALSE),"")</f>
        <v/>
      </c>
      <c r="H368" s="18" t="n"/>
      <c r="I368" s="19" t="n"/>
      <c r="J368" s="20" t="n"/>
      <c r="K368" s="39">
        <f>IF(AND(I368&lt;&gt;"",J368&lt;&gt;""),I368*J368,"")</f>
        <v/>
      </c>
      <c r="L368" s="18" t="n"/>
      <c r="M368" s="18" t="n"/>
      <c r="N368" s="20" t="n"/>
      <c r="O368" s="20" t="n"/>
    </row>
    <row r="369">
      <c r="A369" s="41" t="n"/>
      <c r="B369" s="35">
        <f>IF(A369="","",YEAR(A369))</f>
        <v/>
      </c>
      <c r="C369" s="36">
        <f>IF(A369="","",MONTH(A369))</f>
        <v/>
      </c>
      <c r="D369" s="37">
        <f>IF(A369="","","Q"&amp;ROUNDUP(MONTH(A369)/3,0))</f>
        <v/>
      </c>
      <c r="E369" s="22" t="n"/>
      <c r="F369" s="22" t="n"/>
      <c r="G369" s="40">
        <f>IFERROR(VLOOKUP(F369,M2_거래처마스터!A:E,3,FALSE),"")</f>
        <v/>
      </c>
      <c r="H369" s="22" t="n"/>
      <c r="I369" s="23" t="n"/>
      <c r="J369" s="24" t="n"/>
      <c r="K369" s="39">
        <f>IF(AND(I369&lt;&gt;"",J369&lt;&gt;""),I369*J369,"")</f>
        <v/>
      </c>
      <c r="L369" s="22" t="n"/>
      <c r="M369" s="22" t="n"/>
      <c r="N369" s="24" t="n"/>
      <c r="O369" s="24" t="n"/>
    </row>
    <row r="370">
      <c r="A370" s="34" t="n"/>
      <c r="B370" s="35">
        <f>IF(A370="","",YEAR(A370))</f>
        <v/>
      </c>
      <c r="C370" s="36">
        <f>IF(A370="","",MONTH(A370))</f>
        <v/>
      </c>
      <c r="D370" s="37">
        <f>IF(A370="","","Q"&amp;ROUNDUP(MONTH(A370)/3,0))</f>
        <v/>
      </c>
      <c r="E370" s="18" t="n"/>
      <c r="F370" s="18" t="n"/>
      <c r="G370" s="40">
        <f>IFERROR(VLOOKUP(F370,M2_거래처마스터!A:E,3,FALSE),"")</f>
        <v/>
      </c>
      <c r="H370" s="18" t="n"/>
      <c r="I370" s="19" t="n"/>
      <c r="J370" s="20" t="n"/>
      <c r="K370" s="39">
        <f>IF(AND(I370&lt;&gt;"",J370&lt;&gt;""),I370*J370,"")</f>
        <v/>
      </c>
      <c r="L370" s="18" t="n"/>
      <c r="M370" s="18" t="n"/>
      <c r="N370" s="20" t="n"/>
      <c r="O370" s="20" t="n"/>
    </row>
    <row r="371">
      <c r="A371" s="41" t="n"/>
      <c r="B371" s="35">
        <f>IF(A371="","",YEAR(A371))</f>
        <v/>
      </c>
      <c r="C371" s="36">
        <f>IF(A371="","",MONTH(A371))</f>
        <v/>
      </c>
      <c r="D371" s="37">
        <f>IF(A371="","","Q"&amp;ROUNDUP(MONTH(A371)/3,0))</f>
        <v/>
      </c>
      <c r="E371" s="22" t="n"/>
      <c r="F371" s="22" t="n"/>
      <c r="G371" s="40">
        <f>IFERROR(VLOOKUP(F371,M2_거래처마스터!A:E,3,FALSE),"")</f>
        <v/>
      </c>
      <c r="H371" s="22" t="n"/>
      <c r="I371" s="23" t="n"/>
      <c r="J371" s="24" t="n"/>
      <c r="K371" s="39">
        <f>IF(AND(I371&lt;&gt;"",J371&lt;&gt;""),I371*J371,"")</f>
        <v/>
      </c>
      <c r="L371" s="22" t="n"/>
      <c r="M371" s="22" t="n"/>
      <c r="N371" s="24" t="n"/>
      <c r="O371" s="24" t="n"/>
    </row>
    <row r="372">
      <c r="A372" s="34" t="n"/>
      <c r="B372" s="35">
        <f>IF(A372="","",YEAR(A372))</f>
        <v/>
      </c>
      <c r="C372" s="36">
        <f>IF(A372="","",MONTH(A372))</f>
        <v/>
      </c>
      <c r="D372" s="37">
        <f>IF(A372="","","Q"&amp;ROUNDUP(MONTH(A372)/3,0))</f>
        <v/>
      </c>
      <c r="E372" s="18" t="n"/>
      <c r="F372" s="18" t="n"/>
      <c r="G372" s="40">
        <f>IFERROR(VLOOKUP(F372,M2_거래처마스터!A:E,3,FALSE),"")</f>
        <v/>
      </c>
      <c r="H372" s="18" t="n"/>
      <c r="I372" s="19" t="n"/>
      <c r="J372" s="20" t="n"/>
      <c r="K372" s="39">
        <f>IF(AND(I372&lt;&gt;"",J372&lt;&gt;""),I372*J372,"")</f>
        <v/>
      </c>
      <c r="L372" s="18" t="n"/>
      <c r="M372" s="18" t="n"/>
      <c r="N372" s="20" t="n"/>
      <c r="O372" s="20" t="n"/>
    </row>
    <row r="373">
      <c r="A373" s="41" t="n"/>
      <c r="B373" s="35">
        <f>IF(A373="","",YEAR(A373))</f>
        <v/>
      </c>
      <c r="C373" s="36">
        <f>IF(A373="","",MONTH(A373))</f>
        <v/>
      </c>
      <c r="D373" s="37">
        <f>IF(A373="","","Q"&amp;ROUNDUP(MONTH(A373)/3,0))</f>
        <v/>
      </c>
      <c r="E373" s="22" t="n"/>
      <c r="F373" s="22" t="n"/>
      <c r="G373" s="40">
        <f>IFERROR(VLOOKUP(F373,M2_거래처마스터!A:E,3,FALSE),"")</f>
        <v/>
      </c>
      <c r="H373" s="22" t="n"/>
      <c r="I373" s="23" t="n"/>
      <c r="J373" s="24" t="n"/>
      <c r="K373" s="39">
        <f>IF(AND(I373&lt;&gt;"",J373&lt;&gt;""),I373*J373,"")</f>
        <v/>
      </c>
      <c r="L373" s="22" t="n"/>
      <c r="M373" s="22" t="n"/>
      <c r="N373" s="24" t="n"/>
      <c r="O373" s="24" t="n"/>
    </row>
    <row r="374">
      <c r="A374" s="34" t="n"/>
      <c r="B374" s="35">
        <f>IF(A374="","",YEAR(A374))</f>
        <v/>
      </c>
      <c r="C374" s="36">
        <f>IF(A374="","",MONTH(A374))</f>
        <v/>
      </c>
      <c r="D374" s="37">
        <f>IF(A374="","","Q"&amp;ROUNDUP(MONTH(A374)/3,0))</f>
        <v/>
      </c>
      <c r="E374" s="18" t="n"/>
      <c r="F374" s="18" t="n"/>
      <c r="G374" s="40">
        <f>IFERROR(VLOOKUP(F374,M2_거래처마스터!A:E,3,FALSE),"")</f>
        <v/>
      </c>
      <c r="H374" s="18" t="n"/>
      <c r="I374" s="19" t="n"/>
      <c r="J374" s="20" t="n"/>
      <c r="K374" s="39">
        <f>IF(AND(I374&lt;&gt;"",J374&lt;&gt;""),I374*J374,"")</f>
        <v/>
      </c>
      <c r="L374" s="18" t="n"/>
      <c r="M374" s="18" t="n"/>
      <c r="N374" s="20" t="n"/>
      <c r="O374" s="20" t="n"/>
    </row>
    <row r="375">
      <c r="A375" s="41" t="n"/>
      <c r="B375" s="35">
        <f>IF(A375="","",YEAR(A375))</f>
        <v/>
      </c>
      <c r="C375" s="36">
        <f>IF(A375="","",MONTH(A375))</f>
        <v/>
      </c>
      <c r="D375" s="37">
        <f>IF(A375="","","Q"&amp;ROUNDUP(MONTH(A375)/3,0))</f>
        <v/>
      </c>
      <c r="E375" s="22" t="n"/>
      <c r="F375" s="22" t="n"/>
      <c r="G375" s="40">
        <f>IFERROR(VLOOKUP(F375,M2_거래처마스터!A:E,3,FALSE),"")</f>
        <v/>
      </c>
      <c r="H375" s="22" t="n"/>
      <c r="I375" s="23" t="n"/>
      <c r="J375" s="24" t="n"/>
      <c r="K375" s="39">
        <f>IF(AND(I375&lt;&gt;"",J375&lt;&gt;""),I375*J375,"")</f>
        <v/>
      </c>
      <c r="L375" s="22" t="n"/>
      <c r="M375" s="22" t="n"/>
      <c r="N375" s="24" t="n"/>
      <c r="O375" s="24" t="n"/>
    </row>
    <row r="376">
      <c r="A376" s="34" t="n"/>
      <c r="B376" s="35">
        <f>IF(A376="","",YEAR(A376))</f>
        <v/>
      </c>
      <c r="C376" s="36">
        <f>IF(A376="","",MONTH(A376))</f>
        <v/>
      </c>
      <c r="D376" s="37">
        <f>IF(A376="","","Q"&amp;ROUNDUP(MONTH(A376)/3,0))</f>
        <v/>
      </c>
      <c r="E376" s="18" t="n"/>
      <c r="F376" s="18" t="n"/>
      <c r="G376" s="40">
        <f>IFERROR(VLOOKUP(F376,M2_거래처마스터!A:E,3,FALSE),"")</f>
        <v/>
      </c>
      <c r="H376" s="18" t="n"/>
      <c r="I376" s="19" t="n"/>
      <c r="J376" s="20" t="n"/>
      <c r="K376" s="39">
        <f>IF(AND(I376&lt;&gt;"",J376&lt;&gt;""),I376*J376,"")</f>
        <v/>
      </c>
      <c r="L376" s="18" t="n"/>
      <c r="M376" s="18" t="n"/>
      <c r="N376" s="20" t="n"/>
      <c r="O376" s="20" t="n"/>
    </row>
    <row r="377">
      <c r="A377" s="41" t="n"/>
      <c r="B377" s="35">
        <f>IF(A377="","",YEAR(A377))</f>
        <v/>
      </c>
      <c r="C377" s="36">
        <f>IF(A377="","",MONTH(A377))</f>
        <v/>
      </c>
      <c r="D377" s="37">
        <f>IF(A377="","","Q"&amp;ROUNDUP(MONTH(A377)/3,0))</f>
        <v/>
      </c>
      <c r="E377" s="22" t="n"/>
      <c r="F377" s="22" t="n"/>
      <c r="G377" s="40">
        <f>IFERROR(VLOOKUP(F377,M2_거래처마스터!A:E,3,FALSE),"")</f>
        <v/>
      </c>
      <c r="H377" s="22" t="n"/>
      <c r="I377" s="23" t="n"/>
      <c r="J377" s="24" t="n"/>
      <c r="K377" s="39">
        <f>IF(AND(I377&lt;&gt;"",J377&lt;&gt;""),I377*J377,"")</f>
        <v/>
      </c>
      <c r="L377" s="22" t="n"/>
      <c r="M377" s="22" t="n"/>
      <c r="N377" s="24" t="n"/>
      <c r="O377" s="24" t="n"/>
    </row>
    <row r="378">
      <c r="A378" s="34" t="n"/>
      <c r="B378" s="35">
        <f>IF(A378="","",YEAR(A378))</f>
        <v/>
      </c>
      <c r="C378" s="36">
        <f>IF(A378="","",MONTH(A378))</f>
        <v/>
      </c>
      <c r="D378" s="37">
        <f>IF(A378="","","Q"&amp;ROUNDUP(MONTH(A378)/3,0))</f>
        <v/>
      </c>
      <c r="E378" s="18" t="n"/>
      <c r="F378" s="18" t="n"/>
      <c r="G378" s="40">
        <f>IFERROR(VLOOKUP(F378,M2_거래처마스터!A:E,3,FALSE),"")</f>
        <v/>
      </c>
      <c r="H378" s="18" t="n"/>
      <c r="I378" s="19" t="n"/>
      <c r="J378" s="20" t="n"/>
      <c r="K378" s="39">
        <f>IF(AND(I378&lt;&gt;"",J378&lt;&gt;""),I378*J378,"")</f>
        <v/>
      </c>
      <c r="L378" s="18" t="n"/>
      <c r="M378" s="18" t="n"/>
      <c r="N378" s="20" t="n"/>
      <c r="O378" s="20" t="n"/>
    </row>
    <row r="379">
      <c r="A379" s="41" t="n"/>
      <c r="B379" s="35">
        <f>IF(A379="","",YEAR(A379))</f>
        <v/>
      </c>
      <c r="C379" s="36">
        <f>IF(A379="","",MONTH(A379))</f>
        <v/>
      </c>
      <c r="D379" s="37">
        <f>IF(A379="","","Q"&amp;ROUNDUP(MONTH(A379)/3,0))</f>
        <v/>
      </c>
      <c r="E379" s="22" t="n"/>
      <c r="F379" s="22" t="n"/>
      <c r="G379" s="40">
        <f>IFERROR(VLOOKUP(F379,M2_거래처마스터!A:E,3,FALSE),"")</f>
        <v/>
      </c>
      <c r="H379" s="22" t="n"/>
      <c r="I379" s="23" t="n"/>
      <c r="J379" s="24" t="n"/>
      <c r="K379" s="39">
        <f>IF(AND(I379&lt;&gt;"",J379&lt;&gt;""),I379*J379,"")</f>
        <v/>
      </c>
      <c r="L379" s="22" t="n"/>
      <c r="M379" s="22" t="n"/>
      <c r="N379" s="24" t="n"/>
      <c r="O379" s="24" t="n"/>
    </row>
    <row r="380">
      <c r="A380" s="34" t="n"/>
      <c r="B380" s="35">
        <f>IF(A380="","",YEAR(A380))</f>
        <v/>
      </c>
      <c r="C380" s="36">
        <f>IF(A380="","",MONTH(A380))</f>
        <v/>
      </c>
      <c r="D380" s="37">
        <f>IF(A380="","","Q"&amp;ROUNDUP(MONTH(A380)/3,0))</f>
        <v/>
      </c>
      <c r="E380" s="18" t="n"/>
      <c r="F380" s="18" t="n"/>
      <c r="G380" s="40">
        <f>IFERROR(VLOOKUP(F380,M2_거래처마스터!A:E,3,FALSE),"")</f>
        <v/>
      </c>
      <c r="H380" s="18" t="n"/>
      <c r="I380" s="19" t="n"/>
      <c r="J380" s="20" t="n"/>
      <c r="K380" s="39">
        <f>IF(AND(I380&lt;&gt;"",J380&lt;&gt;""),I380*J380,"")</f>
        <v/>
      </c>
      <c r="L380" s="18" t="n"/>
      <c r="M380" s="18" t="n"/>
      <c r="N380" s="20" t="n"/>
      <c r="O380" s="20" t="n"/>
    </row>
    <row r="381">
      <c r="A381" s="41" t="n"/>
      <c r="B381" s="35">
        <f>IF(A381="","",YEAR(A381))</f>
        <v/>
      </c>
      <c r="C381" s="36">
        <f>IF(A381="","",MONTH(A381))</f>
        <v/>
      </c>
      <c r="D381" s="37">
        <f>IF(A381="","","Q"&amp;ROUNDUP(MONTH(A381)/3,0))</f>
        <v/>
      </c>
      <c r="E381" s="22" t="n"/>
      <c r="F381" s="22" t="n"/>
      <c r="G381" s="40">
        <f>IFERROR(VLOOKUP(F381,M2_거래처마스터!A:E,3,FALSE),"")</f>
        <v/>
      </c>
      <c r="H381" s="22" t="n"/>
      <c r="I381" s="23" t="n"/>
      <c r="J381" s="24" t="n"/>
      <c r="K381" s="39">
        <f>IF(AND(I381&lt;&gt;"",J381&lt;&gt;""),I381*J381,"")</f>
        <v/>
      </c>
      <c r="L381" s="22" t="n"/>
      <c r="M381" s="22" t="n"/>
      <c r="N381" s="24" t="n"/>
      <c r="O381" s="24" t="n"/>
    </row>
    <row r="382">
      <c r="A382" s="34" t="n"/>
      <c r="B382" s="35">
        <f>IF(A382="","",YEAR(A382))</f>
        <v/>
      </c>
      <c r="C382" s="36">
        <f>IF(A382="","",MONTH(A382))</f>
        <v/>
      </c>
      <c r="D382" s="37">
        <f>IF(A382="","","Q"&amp;ROUNDUP(MONTH(A382)/3,0))</f>
        <v/>
      </c>
      <c r="E382" s="18" t="n"/>
      <c r="F382" s="18" t="n"/>
      <c r="G382" s="40">
        <f>IFERROR(VLOOKUP(F382,M2_거래처마스터!A:E,3,FALSE),"")</f>
        <v/>
      </c>
      <c r="H382" s="18" t="n"/>
      <c r="I382" s="19" t="n"/>
      <c r="J382" s="20" t="n"/>
      <c r="K382" s="39">
        <f>IF(AND(I382&lt;&gt;"",J382&lt;&gt;""),I382*J382,"")</f>
        <v/>
      </c>
      <c r="L382" s="18" t="n"/>
      <c r="M382" s="18" t="n"/>
      <c r="N382" s="20" t="n"/>
      <c r="O382" s="20" t="n"/>
    </row>
    <row r="383">
      <c r="A383" s="41" t="n"/>
      <c r="B383" s="35">
        <f>IF(A383="","",YEAR(A383))</f>
        <v/>
      </c>
      <c r="C383" s="36">
        <f>IF(A383="","",MONTH(A383))</f>
        <v/>
      </c>
      <c r="D383" s="37">
        <f>IF(A383="","","Q"&amp;ROUNDUP(MONTH(A383)/3,0))</f>
        <v/>
      </c>
      <c r="E383" s="22" t="n"/>
      <c r="F383" s="22" t="n"/>
      <c r="G383" s="40">
        <f>IFERROR(VLOOKUP(F383,M2_거래처마스터!A:E,3,FALSE),"")</f>
        <v/>
      </c>
      <c r="H383" s="22" t="n"/>
      <c r="I383" s="23" t="n"/>
      <c r="J383" s="24" t="n"/>
      <c r="K383" s="39">
        <f>IF(AND(I383&lt;&gt;"",J383&lt;&gt;""),I383*J383,"")</f>
        <v/>
      </c>
      <c r="L383" s="22" t="n"/>
      <c r="M383" s="22" t="n"/>
      <c r="N383" s="24" t="n"/>
      <c r="O383" s="24" t="n"/>
    </row>
    <row r="384">
      <c r="A384" s="34" t="n"/>
      <c r="B384" s="35">
        <f>IF(A384="","",YEAR(A384))</f>
        <v/>
      </c>
      <c r="C384" s="36">
        <f>IF(A384="","",MONTH(A384))</f>
        <v/>
      </c>
      <c r="D384" s="37">
        <f>IF(A384="","","Q"&amp;ROUNDUP(MONTH(A384)/3,0))</f>
        <v/>
      </c>
      <c r="E384" s="18" t="n"/>
      <c r="F384" s="18" t="n"/>
      <c r="G384" s="40">
        <f>IFERROR(VLOOKUP(F384,M2_거래처마스터!A:E,3,FALSE),"")</f>
        <v/>
      </c>
      <c r="H384" s="18" t="n"/>
      <c r="I384" s="19" t="n"/>
      <c r="J384" s="20" t="n"/>
      <c r="K384" s="39">
        <f>IF(AND(I384&lt;&gt;"",J384&lt;&gt;""),I384*J384,"")</f>
        <v/>
      </c>
      <c r="L384" s="18" t="n"/>
      <c r="M384" s="18" t="n"/>
      <c r="N384" s="20" t="n"/>
      <c r="O384" s="20" t="n"/>
    </row>
    <row r="385">
      <c r="A385" s="41" t="n"/>
      <c r="B385" s="35">
        <f>IF(A385="","",YEAR(A385))</f>
        <v/>
      </c>
      <c r="C385" s="36">
        <f>IF(A385="","",MONTH(A385))</f>
        <v/>
      </c>
      <c r="D385" s="37">
        <f>IF(A385="","","Q"&amp;ROUNDUP(MONTH(A385)/3,0))</f>
        <v/>
      </c>
      <c r="E385" s="22" t="n"/>
      <c r="F385" s="22" t="n"/>
      <c r="G385" s="40">
        <f>IFERROR(VLOOKUP(F385,M2_거래처마스터!A:E,3,FALSE),"")</f>
        <v/>
      </c>
      <c r="H385" s="22" t="n"/>
      <c r="I385" s="23" t="n"/>
      <c r="J385" s="24" t="n"/>
      <c r="K385" s="39">
        <f>IF(AND(I385&lt;&gt;"",J385&lt;&gt;""),I385*J385,"")</f>
        <v/>
      </c>
      <c r="L385" s="22" t="n"/>
      <c r="M385" s="22" t="n"/>
      <c r="N385" s="24" t="n"/>
      <c r="O385" s="24" t="n"/>
    </row>
    <row r="386">
      <c r="A386" s="34" t="n"/>
      <c r="B386" s="35">
        <f>IF(A386="","",YEAR(A386))</f>
        <v/>
      </c>
      <c r="C386" s="36">
        <f>IF(A386="","",MONTH(A386))</f>
        <v/>
      </c>
      <c r="D386" s="37">
        <f>IF(A386="","","Q"&amp;ROUNDUP(MONTH(A386)/3,0))</f>
        <v/>
      </c>
      <c r="E386" s="18" t="n"/>
      <c r="F386" s="18" t="n"/>
      <c r="G386" s="40">
        <f>IFERROR(VLOOKUP(F386,M2_거래처마스터!A:E,3,FALSE),"")</f>
        <v/>
      </c>
      <c r="H386" s="18" t="n"/>
      <c r="I386" s="19" t="n"/>
      <c r="J386" s="20" t="n"/>
      <c r="K386" s="39">
        <f>IF(AND(I386&lt;&gt;"",J386&lt;&gt;""),I386*J386,"")</f>
        <v/>
      </c>
      <c r="L386" s="18" t="n"/>
      <c r="M386" s="18" t="n"/>
      <c r="N386" s="20" t="n"/>
      <c r="O386" s="20" t="n"/>
    </row>
    <row r="387">
      <c r="A387" s="41" t="n"/>
      <c r="B387" s="35">
        <f>IF(A387="","",YEAR(A387))</f>
        <v/>
      </c>
      <c r="C387" s="36">
        <f>IF(A387="","",MONTH(A387))</f>
        <v/>
      </c>
      <c r="D387" s="37">
        <f>IF(A387="","","Q"&amp;ROUNDUP(MONTH(A387)/3,0))</f>
        <v/>
      </c>
      <c r="E387" s="22" t="n"/>
      <c r="F387" s="22" t="n"/>
      <c r="G387" s="40">
        <f>IFERROR(VLOOKUP(F387,M2_거래처마스터!A:E,3,FALSE),"")</f>
        <v/>
      </c>
      <c r="H387" s="22" t="n"/>
      <c r="I387" s="23" t="n"/>
      <c r="J387" s="24" t="n"/>
      <c r="K387" s="39">
        <f>IF(AND(I387&lt;&gt;"",J387&lt;&gt;""),I387*J387,"")</f>
        <v/>
      </c>
      <c r="L387" s="22" t="n"/>
      <c r="M387" s="22" t="n"/>
      <c r="N387" s="24" t="n"/>
      <c r="O387" s="24" t="n"/>
    </row>
    <row r="388">
      <c r="A388" s="34" t="n"/>
      <c r="B388" s="35">
        <f>IF(A388="","",YEAR(A388))</f>
        <v/>
      </c>
      <c r="C388" s="36">
        <f>IF(A388="","",MONTH(A388))</f>
        <v/>
      </c>
      <c r="D388" s="37">
        <f>IF(A388="","","Q"&amp;ROUNDUP(MONTH(A388)/3,0))</f>
        <v/>
      </c>
      <c r="E388" s="18" t="n"/>
      <c r="F388" s="18" t="n"/>
      <c r="G388" s="40">
        <f>IFERROR(VLOOKUP(F388,M2_거래처마스터!A:E,3,FALSE),"")</f>
        <v/>
      </c>
      <c r="H388" s="18" t="n"/>
      <c r="I388" s="19" t="n"/>
      <c r="J388" s="20" t="n"/>
      <c r="K388" s="39">
        <f>IF(AND(I388&lt;&gt;"",J388&lt;&gt;""),I388*J388,"")</f>
        <v/>
      </c>
      <c r="L388" s="18" t="n"/>
      <c r="M388" s="18" t="n"/>
      <c r="N388" s="20" t="n"/>
      <c r="O388" s="20" t="n"/>
    </row>
    <row r="389">
      <c r="A389" s="41" t="n"/>
      <c r="B389" s="35">
        <f>IF(A389="","",YEAR(A389))</f>
        <v/>
      </c>
      <c r="C389" s="36">
        <f>IF(A389="","",MONTH(A389))</f>
        <v/>
      </c>
      <c r="D389" s="37">
        <f>IF(A389="","","Q"&amp;ROUNDUP(MONTH(A389)/3,0))</f>
        <v/>
      </c>
      <c r="E389" s="22" t="n"/>
      <c r="F389" s="22" t="n"/>
      <c r="G389" s="40">
        <f>IFERROR(VLOOKUP(F389,M2_거래처마스터!A:E,3,FALSE),"")</f>
        <v/>
      </c>
      <c r="H389" s="22" t="n"/>
      <c r="I389" s="23" t="n"/>
      <c r="J389" s="24" t="n"/>
      <c r="K389" s="39">
        <f>IF(AND(I389&lt;&gt;"",J389&lt;&gt;""),I389*J389,"")</f>
        <v/>
      </c>
      <c r="L389" s="22" t="n"/>
      <c r="M389" s="22" t="n"/>
      <c r="N389" s="24" t="n"/>
      <c r="O389" s="24" t="n"/>
    </row>
    <row r="390">
      <c r="A390" s="34" t="n"/>
      <c r="B390" s="35">
        <f>IF(A390="","",YEAR(A390))</f>
        <v/>
      </c>
      <c r="C390" s="36">
        <f>IF(A390="","",MONTH(A390))</f>
        <v/>
      </c>
      <c r="D390" s="37">
        <f>IF(A390="","","Q"&amp;ROUNDUP(MONTH(A390)/3,0))</f>
        <v/>
      </c>
      <c r="E390" s="18" t="n"/>
      <c r="F390" s="18" t="n"/>
      <c r="G390" s="40">
        <f>IFERROR(VLOOKUP(F390,M2_거래처마스터!A:E,3,FALSE),"")</f>
        <v/>
      </c>
      <c r="H390" s="18" t="n"/>
      <c r="I390" s="19" t="n"/>
      <c r="J390" s="20" t="n"/>
      <c r="K390" s="39">
        <f>IF(AND(I390&lt;&gt;"",J390&lt;&gt;""),I390*J390,"")</f>
        <v/>
      </c>
      <c r="L390" s="18" t="n"/>
      <c r="M390" s="18" t="n"/>
      <c r="N390" s="20" t="n"/>
      <c r="O390" s="20" t="n"/>
    </row>
    <row r="391">
      <c r="A391" s="41" t="n"/>
      <c r="B391" s="35">
        <f>IF(A391="","",YEAR(A391))</f>
        <v/>
      </c>
      <c r="C391" s="36">
        <f>IF(A391="","",MONTH(A391))</f>
        <v/>
      </c>
      <c r="D391" s="37">
        <f>IF(A391="","","Q"&amp;ROUNDUP(MONTH(A391)/3,0))</f>
        <v/>
      </c>
      <c r="E391" s="22" t="n"/>
      <c r="F391" s="22" t="n"/>
      <c r="G391" s="40">
        <f>IFERROR(VLOOKUP(F391,M2_거래처마스터!A:E,3,FALSE),"")</f>
        <v/>
      </c>
      <c r="H391" s="22" t="n"/>
      <c r="I391" s="23" t="n"/>
      <c r="J391" s="24" t="n"/>
      <c r="K391" s="39">
        <f>IF(AND(I391&lt;&gt;"",J391&lt;&gt;""),I391*J391,"")</f>
        <v/>
      </c>
      <c r="L391" s="22" t="n"/>
      <c r="M391" s="22" t="n"/>
      <c r="N391" s="24" t="n"/>
      <c r="O391" s="24" t="n"/>
    </row>
    <row r="392">
      <c r="A392" s="34" t="n"/>
      <c r="B392" s="35">
        <f>IF(A392="","",YEAR(A392))</f>
        <v/>
      </c>
      <c r="C392" s="36">
        <f>IF(A392="","",MONTH(A392))</f>
        <v/>
      </c>
      <c r="D392" s="37">
        <f>IF(A392="","","Q"&amp;ROUNDUP(MONTH(A392)/3,0))</f>
        <v/>
      </c>
      <c r="E392" s="18" t="n"/>
      <c r="F392" s="18" t="n"/>
      <c r="G392" s="40">
        <f>IFERROR(VLOOKUP(F392,M2_거래처마스터!A:E,3,FALSE),"")</f>
        <v/>
      </c>
      <c r="H392" s="18" t="n"/>
      <c r="I392" s="19" t="n"/>
      <c r="J392" s="20" t="n"/>
      <c r="K392" s="39">
        <f>IF(AND(I392&lt;&gt;"",J392&lt;&gt;""),I392*J392,"")</f>
        <v/>
      </c>
      <c r="L392" s="18" t="n"/>
      <c r="M392" s="18" t="n"/>
      <c r="N392" s="20" t="n"/>
      <c r="O392" s="20" t="n"/>
    </row>
    <row r="393">
      <c r="A393" s="41" t="n"/>
      <c r="B393" s="35">
        <f>IF(A393="","",YEAR(A393))</f>
        <v/>
      </c>
      <c r="C393" s="36">
        <f>IF(A393="","",MONTH(A393))</f>
        <v/>
      </c>
      <c r="D393" s="37">
        <f>IF(A393="","","Q"&amp;ROUNDUP(MONTH(A393)/3,0))</f>
        <v/>
      </c>
      <c r="E393" s="22" t="n"/>
      <c r="F393" s="22" t="n"/>
      <c r="G393" s="40">
        <f>IFERROR(VLOOKUP(F393,M2_거래처마스터!A:E,3,FALSE),"")</f>
        <v/>
      </c>
      <c r="H393" s="22" t="n"/>
      <c r="I393" s="23" t="n"/>
      <c r="J393" s="24" t="n"/>
      <c r="K393" s="39">
        <f>IF(AND(I393&lt;&gt;"",J393&lt;&gt;""),I393*J393,"")</f>
        <v/>
      </c>
      <c r="L393" s="22" t="n"/>
      <c r="M393" s="22" t="n"/>
      <c r="N393" s="24" t="n"/>
      <c r="O393" s="24" t="n"/>
    </row>
    <row r="394">
      <c r="A394" s="34" t="n"/>
      <c r="B394" s="35">
        <f>IF(A394="","",YEAR(A394))</f>
        <v/>
      </c>
      <c r="C394" s="36">
        <f>IF(A394="","",MONTH(A394))</f>
        <v/>
      </c>
      <c r="D394" s="37">
        <f>IF(A394="","","Q"&amp;ROUNDUP(MONTH(A394)/3,0))</f>
        <v/>
      </c>
      <c r="E394" s="18" t="n"/>
      <c r="F394" s="18" t="n"/>
      <c r="G394" s="40">
        <f>IFERROR(VLOOKUP(F394,M2_거래처마스터!A:E,3,FALSE),"")</f>
        <v/>
      </c>
      <c r="H394" s="18" t="n"/>
      <c r="I394" s="19" t="n"/>
      <c r="J394" s="20" t="n"/>
      <c r="K394" s="39">
        <f>IF(AND(I394&lt;&gt;"",J394&lt;&gt;""),I394*J394,"")</f>
        <v/>
      </c>
      <c r="L394" s="18" t="n"/>
      <c r="M394" s="18" t="n"/>
      <c r="N394" s="20" t="n"/>
      <c r="O394" s="20" t="n"/>
    </row>
    <row r="395">
      <c r="A395" s="41" t="n"/>
      <c r="B395" s="35">
        <f>IF(A395="","",YEAR(A395))</f>
        <v/>
      </c>
      <c r="C395" s="36">
        <f>IF(A395="","",MONTH(A395))</f>
        <v/>
      </c>
      <c r="D395" s="37">
        <f>IF(A395="","","Q"&amp;ROUNDUP(MONTH(A395)/3,0))</f>
        <v/>
      </c>
      <c r="E395" s="22" t="n"/>
      <c r="F395" s="22" t="n"/>
      <c r="G395" s="40">
        <f>IFERROR(VLOOKUP(F395,M2_거래처마스터!A:E,3,FALSE),"")</f>
        <v/>
      </c>
      <c r="H395" s="22" t="n"/>
      <c r="I395" s="23" t="n"/>
      <c r="J395" s="24" t="n"/>
      <c r="K395" s="39">
        <f>IF(AND(I395&lt;&gt;"",J395&lt;&gt;""),I395*J395,"")</f>
        <v/>
      </c>
      <c r="L395" s="22" t="n"/>
      <c r="M395" s="22" t="n"/>
      <c r="N395" s="24" t="n"/>
      <c r="O395" s="24" t="n"/>
    </row>
    <row r="396">
      <c r="A396" s="34" t="n"/>
      <c r="B396" s="35">
        <f>IF(A396="","",YEAR(A396))</f>
        <v/>
      </c>
      <c r="C396" s="36">
        <f>IF(A396="","",MONTH(A396))</f>
        <v/>
      </c>
      <c r="D396" s="37">
        <f>IF(A396="","","Q"&amp;ROUNDUP(MONTH(A396)/3,0))</f>
        <v/>
      </c>
      <c r="E396" s="18" t="n"/>
      <c r="F396" s="18" t="n"/>
      <c r="G396" s="40">
        <f>IFERROR(VLOOKUP(F396,M2_거래처마스터!A:E,3,FALSE),"")</f>
        <v/>
      </c>
      <c r="H396" s="18" t="n"/>
      <c r="I396" s="19" t="n"/>
      <c r="J396" s="20" t="n"/>
      <c r="K396" s="39">
        <f>IF(AND(I396&lt;&gt;"",J396&lt;&gt;""),I396*J396,"")</f>
        <v/>
      </c>
      <c r="L396" s="18" t="n"/>
      <c r="M396" s="18" t="n"/>
      <c r="N396" s="20" t="n"/>
      <c r="O396" s="20" t="n"/>
    </row>
    <row r="397">
      <c r="A397" s="41" t="n"/>
      <c r="B397" s="35">
        <f>IF(A397="","",YEAR(A397))</f>
        <v/>
      </c>
      <c r="C397" s="36">
        <f>IF(A397="","",MONTH(A397))</f>
        <v/>
      </c>
      <c r="D397" s="37">
        <f>IF(A397="","","Q"&amp;ROUNDUP(MONTH(A397)/3,0))</f>
        <v/>
      </c>
      <c r="E397" s="22" t="n"/>
      <c r="F397" s="22" t="n"/>
      <c r="G397" s="40">
        <f>IFERROR(VLOOKUP(F397,M2_거래처마스터!A:E,3,FALSE),"")</f>
        <v/>
      </c>
      <c r="H397" s="22" t="n"/>
      <c r="I397" s="23" t="n"/>
      <c r="J397" s="24" t="n"/>
      <c r="K397" s="39">
        <f>IF(AND(I397&lt;&gt;"",J397&lt;&gt;""),I397*J397,"")</f>
        <v/>
      </c>
      <c r="L397" s="22" t="n"/>
      <c r="M397" s="22" t="n"/>
      <c r="N397" s="24" t="n"/>
      <c r="O397" s="24" t="n"/>
    </row>
    <row r="398">
      <c r="A398" s="34" t="n"/>
      <c r="B398" s="35">
        <f>IF(A398="","",YEAR(A398))</f>
        <v/>
      </c>
      <c r="C398" s="36">
        <f>IF(A398="","",MONTH(A398))</f>
        <v/>
      </c>
      <c r="D398" s="37">
        <f>IF(A398="","","Q"&amp;ROUNDUP(MONTH(A398)/3,0))</f>
        <v/>
      </c>
      <c r="E398" s="18" t="n"/>
      <c r="F398" s="18" t="n"/>
      <c r="G398" s="40">
        <f>IFERROR(VLOOKUP(F398,M2_거래처마스터!A:E,3,FALSE),"")</f>
        <v/>
      </c>
      <c r="H398" s="18" t="n"/>
      <c r="I398" s="19" t="n"/>
      <c r="J398" s="20" t="n"/>
      <c r="K398" s="39">
        <f>IF(AND(I398&lt;&gt;"",J398&lt;&gt;""),I398*J398,"")</f>
        <v/>
      </c>
      <c r="L398" s="18" t="n"/>
      <c r="M398" s="18" t="n"/>
      <c r="N398" s="20" t="n"/>
      <c r="O398" s="20" t="n"/>
    </row>
    <row r="399">
      <c r="A399" s="41" t="n"/>
      <c r="B399" s="35">
        <f>IF(A399="","",YEAR(A399))</f>
        <v/>
      </c>
      <c r="C399" s="36">
        <f>IF(A399="","",MONTH(A399))</f>
        <v/>
      </c>
      <c r="D399" s="37">
        <f>IF(A399="","","Q"&amp;ROUNDUP(MONTH(A399)/3,0))</f>
        <v/>
      </c>
      <c r="E399" s="22" t="n"/>
      <c r="F399" s="22" t="n"/>
      <c r="G399" s="40">
        <f>IFERROR(VLOOKUP(F399,M2_거래처마스터!A:E,3,FALSE),"")</f>
        <v/>
      </c>
      <c r="H399" s="22" t="n"/>
      <c r="I399" s="23" t="n"/>
      <c r="J399" s="24" t="n"/>
      <c r="K399" s="39">
        <f>IF(AND(I399&lt;&gt;"",J399&lt;&gt;""),I399*J399,"")</f>
        <v/>
      </c>
      <c r="L399" s="22" t="n"/>
      <c r="M399" s="22" t="n"/>
      <c r="N399" s="24" t="n"/>
      <c r="O399" s="24" t="n"/>
    </row>
    <row r="400">
      <c r="A400" s="34" t="n"/>
      <c r="B400" s="35">
        <f>IF(A400="","",YEAR(A400))</f>
        <v/>
      </c>
      <c r="C400" s="36">
        <f>IF(A400="","",MONTH(A400))</f>
        <v/>
      </c>
      <c r="D400" s="37">
        <f>IF(A400="","","Q"&amp;ROUNDUP(MONTH(A400)/3,0))</f>
        <v/>
      </c>
      <c r="E400" s="18" t="n"/>
      <c r="F400" s="18" t="n"/>
      <c r="G400" s="40">
        <f>IFERROR(VLOOKUP(F400,M2_거래처마스터!A:E,3,FALSE),"")</f>
        <v/>
      </c>
      <c r="H400" s="18" t="n"/>
      <c r="I400" s="19" t="n"/>
      <c r="J400" s="20" t="n"/>
      <c r="K400" s="39">
        <f>IF(AND(I400&lt;&gt;"",J400&lt;&gt;""),I400*J400,"")</f>
        <v/>
      </c>
      <c r="L400" s="18" t="n"/>
      <c r="M400" s="18" t="n"/>
      <c r="N400" s="20" t="n"/>
      <c r="O400" s="20" t="n"/>
    </row>
    <row r="401">
      <c r="A401" s="41" t="n"/>
      <c r="B401" s="35">
        <f>IF(A401="","",YEAR(A401))</f>
        <v/>
      </c>
      <c r="C401" s="36">
        <f>IF(A401="","",MONTH(A401))</f>
        <v/>
      </c>
      <c r="D401" s="37">
        <f>IF(A401="","","Q"&amp;ROUNDUP(MONTH(A401)/3,0))</f>
        <v/>
      </c>
      <c r="E401" s="22" t="n"/>
      <c r="F401" s="22" t="n"/>
      <c r="G401" s="40">
        <f>IFERROR(VLOOKUP(F401,M2_거래처마스터!A:E,3,FALSE),"")</f>
        <v/>
      </c>
      <c r="H401" s="22" t="n"/>
      <c r="I401" s="23" t="n"/>
      <c r="J401" s="24" t="n"/>
      <c r="K401" s="39">
        <f>IF(AND(I401&lt;&gt;"",J401&lt;&gt;""),I401*J401,"")</f>
        <v/>
      </c>
      <c r="L401" s="22" t="n"/>
      <c r="M401" s="22" t="n"/>
      <c r="N401" s="24" t="n"/>
      <c r="O401" s="24" t="n"/>
    </row>
    <row r="402">
      <c r="A402" s="34" t="n"/>
      <c r="B402" s="35">
        <f>IF(A402="","",YEAR(A402))</f>
        <v/>
      </c>
      <c r="C402" s="36">
        <f>IF(A402="","",MONTH(A402))</f>
        <v/>
      </c>
      <c r="D402" s="37">
        <f>IF(A402="","","Q"&amp;ROUNDUP(MONTH(A402)/3,0))</f>
        <v/>
      </c>
      <c r="E402" s="18" t="n"/>
      <c r="F402" s="18" t="n"/>
      <c r="G402" s="40">
        <f>IFERROR(VLOOKUP(F402,M2_거래처마스터!A:E,3,FALSE),"")</f>
        <v/>
      </c>
      <c r="H402" s="18" t="n"/>
      <c r="I402" s="19" t="n"/>
      <c r="J402" s="20" t="n"/>
      <c r="K402" s="39">
        <f>IF(AND(I402&lt;&gt;"",J402&lt;&gt;""),I402*J402,"")</f>
        <v/>
      </c>
      <c r="L402" s="18" t="n"/>
      <c r="M402" s="18" t="n"/>
      <c r="N402" s="20" t="n"/>
      <c r="O402" s="20" t="n"/>
    </row>
    <row r="403">
      <c r="A403" s="41" t="n"/>
      <c r="B403" s="35">
        <f>IF(A403="","",YEAR(A403))</f>
        <v/>
      </c>
      <c r="C403" s="36">
        <f>IF(A403="","",MONTH(A403))</f>
        <v/>
      </c>
      <c r="D403" s="37">
        <f>IF(A403="","","Q"&amp;ROUNDUP(MONTH(A403)/3,0))</f>
        <v/>
      </c>
      <c r="E403" s="22" t="n"/>
      <c r="F403" s="22" t="n"/>
      <c r="G403" s="40">
        <f>IFERROR(VLOOKUP(F403,M2_거래처마스터!A:E,3,FALSE),"")</f>
        <v/>
      </c>
      <c r="H403" s="22" t="n"/>
      <c r="I403" s="23" t="n"/>
      <c r="J403" s="24" t="n"/>
      <c r="K403" s="39">
        <f>IF(AND(I403&lt;&gt;"",J403&lt;&gt;""),I403*J403,"")</f>
        <v/>
      </c>
      <c r="L403" s="22" t="n"/>
      <c r="M403" s="22" t="n"/>
      <c r="N403" s="24" t="n"/>
      <c r="O403" s="24" t="n"/>
    </row>
    <row r="404">
      <c r="A404" s="34" t="n"/>
      <c r="B404" s="35">
        <f>IF(A404="","",YEAR(A404))</f>
        <v/>
      </c>
      <c r="C404" s="36">
        <f>IF(A404="","",MONTH(A404))</f>
        <v/>
      </c>
      <c r="D404" s="37">
        <f>IF(A404="","","Q"&amp;ROUNDUP(MONTH(A404)/3,0))</f>
        <v/>
      </c>
      <c r="E404" s="18" t="n"/>
      <c r="F404" s="18" t="n"/>
      <c r="G404" s="40">
        <f>IFERROR(VLOOKUP(F404,M2_거래처마스터!A:E,3,FALSE),"")</f>
        <v/>
      </c>
      <c r="H404" s="18" t="n"/>
      <c r="I404" s="19" t="n"/>
      <c r="J404" s="20" t="n"/>
      <c r="K404" s="39">
        <f>IF(AND(I404&lt;&gt;"",J404&lt;&gt;""),I404*J404,"")</f>
        <v/>
      </c>
      <c r="L404" s="18" t="n"/>
      <c r="M404" s="18" t="n"/>
      <c r="N404" s="20" t="n"/>
      <c r="O404" s="20" t="n"/>
    </row>
    <row r="405">
      <c r="A405" s="41" t="n"/>
      <c r="B405" s="35">
        <f>IF(A405="","",YEAR(A405))</f>
        <v/>
      </c>
      <c r="C405" s="36">
        <f>IF(A405="","",MONTH(A405))</f>
        <v/>
      </c>
      <c r="D405" s="37">
        <f>IF(A405="","","Q"&amp;ROUNDUP(MONTH(A405)/3,0))</f>
        <v/>
      </c>
      <c r="E405" s="22" t="n"/>
      <c r="F405" s="22" t="n"/>
      <c r="G405" s="40">
        <f>IFERROR(VLOOKUP(F405,M2_거래처마스터!A:E,3,FALSE),"")</f>
        <v/>
      </c>
      <c r="H405" s="22" t="n"/>
      <c r="I405" s="23" t="n"/>
      <c r="J405" s="24" t="n"/>
      <c r="K405" s="39">
        <f>IF(AND(I405&lt;&gt;"",J405&lt;&gt;""),I405*J405,"")</f>
        <v/>
      </c>
      <c r="L405" s="22" t="n"/>
      <c r="M405" s="22" t="n"/>
      <c r="N405" s="24" t="n"/>
      <c r="O405" s="24" t="n"/>
    </row>
    <row r="406">
      <c r="A406" s="34" t="n"/>
      <c r="B406" s="35">
        <f>IF(A406="","",YEAR(A406))</f>
        <v/>
      </c>
      <c r="C406" s="36">
        <f>IF(A406="","",MONTH(A406))</f>
        <v/>
      </c>
      <c r="D406" s="37">
        <f>IF(A406="","","Q"&amp;ROUNDUP(MONTH(A406)/3,0))</f>
        <v/>
      </c>
      <c r="E406" s="18" t="n"/>
      <c r="F406" s="18" t="n"/>
      <c r="G406" s="40">
        <f>IFERROR(VLOOKUP(F406,M2_거래처마스터!A:E,3,FALSE),"")</f>
        <v/>
      </c>
      <c r="H406" s="18" t="n"/>
      <c r="I406" s="19" t="n"/>
      <c r="J406" s="20" t="n"/>
      <c r="K406" s="39">
        <f>IF(AND(I406&lt;&gt;"",J406&lt;&gt;""),I406*J406,"")</f>
        <v/>
      </c>
      <c r="L406" s="18" t="n"/>
      <c r="M406" s="18" t="n"/>
      <c r="N406" s="20" t="n"/>
      <c r="O406" s="20" t="n"/>
    </row>
    <row r="407">
      <c r="A407" s="41" t="n"/>
      <c r="B407" s="35">
        <f>IF(A407="","",YEAR(A407))</f>
        <v/>
      </c>
      <c r="C407" s="36">
        <f>IF(A407="","",MONTH(A407))</f>
        <v/>
      </c>
      <c r="D407" s="37">
        <f>IF(A407="","","Q"&amp;ROUNDUP(MONTH(A407)/3,0))</f>
        <v/>
      </c>
      <c r="E407" s="22" t="n"/>
      <c r="F407" s="22" t="n"/>
      <c r="G407" s="40">
        <f>IFERROR(VLOOKUP(F407,M2_거래처마스터!A:E,3,FALSE),"")</f>
        <v/>
      </c>
      <c r="H407" s="22" t="n"/>
      <c r="I407" s="23" t="n"/>
      <c r="J407" s="24" t="n"/>
      <c r="K407" s="39">
        <f>IF(AND(I407&lt;&gt;"",J407&lt;&gt;""),I407*J407,"")</f>
        <v/>
      </c>
      <c r="L407" s="22" t="n"/>
      <c r="M407" s="22" t="n"/>
      <c r="N407" s="24" t="n"/>
      <c r="O407" s="24" t="n"/>
    </row>
    <row r="408">
      <c r="A408" s="34" t="n"/>
      <c r="B408" s="35">
        <f>IF(A408="","",YEAR(A408))</f>
        <v/>
      </c>
      <c r="C408" s="36">
        <f>IF(A408="","",MONTH(A408))</f>
        <v/>
      </c>
      <c r="D408" s="37">
        <f>IF(A408="","","Q"&amp;ROUNDUP(MONTH(A408)/3,0))</f>
        <v/>
      </c>
      <c r="E408" s="18" t="n"/>
      <c r="F408" s="18" t="n"/>
      <c r="G408" s="40">
        <f>IFERROR(VLOOKUP(F408,M2_거래처마스터!A:E,3,FALSE),"")</f>
        <v/>
      </c>
      <c r="H408" s="18" t="n"/>
      <c r="I408" s="19" t="n"/>
      <c r="J408" s="20" t="n"/>
      <c r="K408" s="39">
        <f>IF(AND(I408&lt;&gt;"",J408&lt;&gt;""),I408*J408,"")</f>
        <v/>
      </c>
      <c r="L408" s="18" t="n"/>
      <c r="M408" s="18" t="n"/>
      <c r="N408" s="20" t="n"/>
      <c r="O408" s="20" t="n"/>
    </row>
    <row r="409">
      <c r="A409" s="41" t="n"/>
      <c r="B409" s="35">
        <f>IF(A409="","",YEAR(A409))</f>
        <v/>
      </c>
      <c r="C409" s="36">
        <f>IF(A409="","",MONTH(A409))</f>
        <v/>
      </c>
      <c r="D409" s="37">
        <f>IF(A409="","","Q"&amp;ROUNDUP(MONTH(A409)/3,0))</f>
        <v/>
      </c>
      <c r="E409" s="22" t="n"/>
      <c r="F409" s="22" t="n"/>
      <c r="G409" s="40">
        <f>IFERROR(VLOOKUP(F409,M2_거래처마스터!A:E,3,FALSE),"")</f>
        <v/>
      </c>
      <c r="H409" s="22" t="n"/>
      <c r="I409" s="23" t="n"/>
      <c r="J409" s="24" t="n"/>
      <c r="K409" s="39">
        <f>IF(AND(I409&lt;&gt;"",J409&lt;&gt;""),I409*J409,"")</f>
        <v/>
      </c>
      <c r="L409" s="22" t="n"/>
      <c r="M409" s="22" t="n"/>
      <c r="N409" s="24" t="n"/>
      <c r="O409" s="24" t="n"/>
    </row>
    <row r="410">
      <c r="A410" s="34" t="n"/>
      <c r="B410" s="35">
        <f>IF(A410="","",YEAR(A410))</f>
        <v/>
      </c>
      <c r="C410" s="36">
        <f>IF(A410="","",MONTH(A410))</f>
        <v/>
      </c>
      <c r="D410" s="37">
        <f>IF(A410="","","Q"&amp;ROUNDUP(MONTH(A410)/3,0))</f>
        <v/>
      </c>
      <c r="E410" s="18" t="n"/>
      <c r="F410" s="18" t="n"/>
      <c r="G410" s="40">
        <f>IFERROR(VLOOKUP(F410,M2_거래처마스터!A:E,3,FALSE),"")</f>
        <v/>
      </c>
      <c r="H410" s="18" t="n"/>
      <c r="I410" s="19" t="n"/>
      <c r="J410" s="20" t="n"/>
      <c r="K410" s="39">
        <f>IF(AND(I410&lt;&gt;"",J410&lt;&gt;""),I410*J410,"")</f>
        <v/>
      </c>
      <c r="L410" s="18" t="n"/>
      <c r="M410" s="18" t="n"/>
      <c r="N410" s="20" t="n"/>
      <c r="O410" s="20" t="n"/>
    </row>
    <row r="411">
      <c r="A411" s="41" t="n"/>
      <c r="B411" s="35">
        <f>IF(A411="","",YEAR(A411))</f>
        <v/>
      </c>
      <c r="C411" s="36">
        <f>IF(A411="","",MONTH(A411))</f>
        <v/>
      </c>
      <c r="D411" s="37">
        <f>IF(A411="","","Q"&amp;ROUNDUP(MONTH(A411)/3,0))</f>
        <v/>
      </c>
      <c r="E411" s="22" t="n"/>
      <c r="F411" s="22" t="n"/>
      <c r="G411" s="40">
        <f>IFERROR(VLOOKUP(F411,M2_거래처마스터!A:E,3,FALSE),"")</f>
        <v/>
      </c>
      <c r="H411" s="22" t="n"/>
      <c r="I411" s="23" t="n"/>
      <c r="J411" s="24" t="n"/>
      <c r="K411" s="39">
        <f>IF(AND(I411&lt;&gt;"",J411&lt;&gt;""),I411*J411,"")</f>
        <v/>
      </c>
      <c r="L411" s="22" t="n"/>
      <c r="M411" s="22" t="n"/>
      <c r="N411" s="24" t="n"/>
      <c r="O411" s="24" t="n"/>
    </row>
    <row r="412">
      <c r="A412" s="34" t="n"/>
      <c r="B412" s="35">
        <f>IF(A412="","",YEAR(A412))</f>
        <v/>
      </c>
      <c r="C412" s="36">
        <f>IF(A412="","",MONTH(A412))</f>
        <v/>
      </c>
      <c r="D412" s="37">
        <f>IF(A412="","","Q"&amp;ROUNDUP(MONTH(A412)/3,0))</f>
        <v/>
      </c>
      <c r="E412" s="18" t="n"/>
      <c r="F412" s="18" t="n"/>
      <c r="G412" s="40">
        <f>IFERROR(VLOOKUP(F412,M2_거래처마스터!A:E,3,FALSE),"")</f>
        <v/>
      </c>
      <c r="H412" s="18" t="n"/>
      <c r="I412" s="19" t="n"/>
      <c r="J412" s="20" t="n"/>
      <c r="K412" s="39">
        <f>IF(AND(I412&lt;&gt;"",J412&lt;&gt;""),I412*J412,"")</f>
        <v/>
      </c>
      <c r="L412" s="18" t="n"/>
      <c r="M412" s="18" t="n"/>
      <c r="N412" s="20" t="n"/>
      <c r="O412" s="20" t="n"/>
    </row>
    <row r="413">
      <c r="A413" s="41" t="n"/>
      <c r="B413" s="35">
        <f>IF(A413="","",YEAR(A413))</f>
        <v/>
      </c>
      <c r="C413" s="36">
        <f>IF(A413="","",MONTH(A413))</f>
        <v/>
      </c>
      <c r="D413" s="37">
        <f>IF(A413="","","Q"&amp;ROUNDUP(MONTH(A413)/3,0))</f>
        <v/>
      </c>
      <c r="E413" s="22" t="n"/>
      <c r="F413" s="22" t="n"/>
      <c r="G413" s="40">
        <f>IFERROR(VLOOKUP(F413,M2_거래처마스터!A:E,3,FALSE),"")</f>
        <v/>
      </c>
      <c r="H413" s="22" t="n"/>
      <c r="I413" s="23" t="n"/>
      <c r="J413" s="24" t="n"/>
      <c r="K413" s="39">
        <f>IF(AND(I413&lt;&gt;"",J413&lt;&gt;""),I413*J413,"")</f>
        <v/>
      </c>
      <c r="L413" s="22" t="n"/>
      <c r="M413" s="22" t="n"/>
      <c r="N413" s="24" t="n"/>
      <c r="O413" s="24" t="n"/>
    </row>
    <row r="414">
      <c r="A414" s="34" t="n"/>
      <c r="B414" s="35">
        <f>IF(A414="","",YEAR(A414))</f>
        <v/>
      </c>
      <c r="C414" s="36">
        <f>IF(A414="","",MONTH(A414))</f>
        <v/>
      </c>
      <c r="D414" s="37">
        <f>IF(A414="","","Q"&amp;ROUNDUP(MONTH(A414)/3,0))</f>
        <v/>
      </c>
      <c r="E414" s="18" t="n"/>
      <c r="F414" s="18" t="n"/>
      <c r="G414" s="40">
        <f>IFERROR(VLOOKUP(F414,M2_거래처마스터!A:E,3,FALSE),"")</f>
        <v/>
      </c>
      <c r="H414" s="18" t="n"/>
      <c r="I414" s="19" t="n"/>
      <c r="J414" s="20" t="n"/>
      <c r="K414" s="39">
        <f>IF(AND(I414&lt;&gt;"",J414&lt;&gt;""),I414*J414,"")</f>
        <v/>
      </c>
      <c r="L414" s="18" t="n"/>
      <c r="M414" s="18" t="n"/>
      <c r="N414" s="20" t="n"/>
      <c r="O414" s="20" t="n"/>
    </row>
    <row r="415">
      <c r="A415" s="41" t="n"/>
      <c r="B415" s="35">
        <f>IF(A415="","",YEAR(A415))</f>
        <v/>
      </c>
      <c r="C415" s="36">
        <f>IF(A415="","",MONTH(A415))</f>
        <v/>
      </c>
      <c r="D415" s="37">
        <f>IF(A415="","","Q"&amp;ROUNDUP(MONTH(A415)/3,0))</f>
        <v/>
      </c>
      <c r="E415" s="22" t="n"/>
      <c r="F415" s="22" t="n"/>
      <c r="G415" s="40">
        <f>IFERROR(VLOOKUP(F415,M2_거래처마스터!A:E,3,FALSE),"")</f>
        <v/>
      </c>
      <c r="H415" s="22" t="n"/>
      <c r="I415" s="23" t="n"/>
      <c r="J415" s="24" t="n"/>
      <c r="K415" s="39">
        <f>IF(AND(I415&lt;&gt;"",J415&lt;&gt;""),I415*J415,"")</f>
        <v/>
      </c>
      <c r="L415" s="22" t="n"/>
      <c r="M415" s="22" t="n"/>
      <c r="N415" s="24" t="n"/>
      <c r="O415" s="24" t="n"/>
    </row>
    <row r="416">
      <c r="A416" s="34" t="n"/>
      <c r="B416" s="35">
        <f>IF(A416="","",YEAR(A416))</f>
        <v/>
      </c>
      <c r="C416" s="36">
        <f>IF(A416="","",MONTH(A416))</f>
        <v/>
      </c>
      <c r="D416" s="37">
        <f>IF(A416="","","Q"&amp;ROUNDUP(MONTH(A416)/3,0))</f>
        <v/>
      </c>
      <c r="E416" s="18" t="n"/>
      <c r="F416" s="18" t="n"/>
      <c r="G416" s="40">
        <f>IFERROR(VLOOKUP(F416,M2_거래처마스터!A:E,3,FALSE),"")</f>
        <v/>
      </c>
      <c r="H416" s="18" t="n"/>
      <c r="I416" s="19" t="n"/>
      <c r="J416" s="20" t="n"/>
      <c r="K416" s="39">
        <f>IF(AND(I416&lt;&gt;"",J416&lt;&gt;""),I416*J416,"")</f>
        <v/>
      </c>
      <c r="L416" s="18" t="n"/>
      <c r="M416" s="18" t="n"/>
      <c r="N416" s="20" t="n"/>
      <c r="O416" s="20" t="n"/>
    </row>
    <row r="417">
      <c r="A417" s="41" t="n"/>
      <c r="B417" s="35">
        <f>IF(A417="","",YEAR(A417))</f>
        <v/>
      </c>
      <c r="C417" s="36">
        <f>IF(A417="","",MONTH(A417))</f>
        <v/>
      </c>
      <c r="D417" s="37">
        <f>IF(A417="","","Q"&amp;ROUNDUP(MONTH(A417)/3,0))</f>
        <v/>
      </c>
      <c r="E417" s="22" t="n"/>
      <c r="F417" s="22" t="n"/>
      <c r="G417" s="40">
        <f>IFERROR(VLOOKUP(F417,M2_거래처마스터!A:E,3,FALSE),"")</f>
        <v/>
      </c>
      <c r="H417" s="22" t="n"/>
      <c r="I417" s="23" t="n"/>
      <c r="J417" s="24" t="n"/>
      <c r="K417" s="39">
        <f>IF(AND(I417&lt;&gt;"",J417&lt;&gt;""),I417*J417,"")</f>
        <v/>
      </c>
      <c r="L417" s="22" t="n"/>
      <c r="M417" s="22" t="n"/>
      <c r="N417" s="24" t="n"/>
      <c r="O417" s="24" t="n"/>
    </row>
    <row r="418">
      <c r="A418" s="34" t="n"/>
      <c r="B418" s="35">
        <f>IF(A418="","",YEAR(A418))</f>
        <v/>
      </c>
      <c r="C418" s="36">
        <f>IF(A418="","",MONTH(A418))</f>
        <v/>
      </c>
      <c r="D418" s="37">
        <f>IF(A418="","","Q"&amp;ROUNDUP(MONTH(A418)/3,0))</f>
        <v/>
      </c>
      <c r="E418" s="18" t="n"/>
      <c r="F418" s="18" t="n"/>
      <c r="G418" s="40">
        <f>IFERROR(VLOOKUP(F418,M2_거래처마스터!A:E,3,FALSE),"")</f>
        <v/>
      </c>
      <c r="H418" s="18" t="n"/>
      <c r="I418" s="19" t="n"/>
      <c r="J418" s="20" t="n"/>
      <c r="K418" s="39">
        <f>IF(AND(I418&lt;&gt;"",J418&lt;&gt;""),I418*J418,"")</f>
        <v/>
      </c>
      <c r="L418" s="18" t="n"/>
      <c r="M418" s="18" t="n"/>
      <c r="N418" s="20" t="n"/>
      <c r="O418" s="20" t="n"/>
    </row>
    <row r="419">
      <c r="A419" s="41" t="n"/>
      <c r="B419" s="35">
        <f>IF(A419="","",YEAR(A419))</f>
        <v/>
      </c>
      <c r="C419" s="36">
        <f>IF(A419="","",MONTH(A419))</f>
        <v/>
      </c>
      <c r="D419" s="37">
        <f>IF(A419="","","Q"&amp;ROUNDUP(MONTH(A419)/3,0))</f>
        <v/>
      </c>
      <c r="E419" s="22" t="n"/>
      <c r="F419" s="22" t="n"/>
      <c r="G419" s="40">
        <f>IFERROR(VLOOKUP(F419,M2_거래처마스터!A:E,3,FALSE),"")</f>
        <v/>
      </c>
      <c r="H419" s="22" t="n"/>
      <c r="I419" s="23" t="n"/>
      <c r="J419" s="24" t="n"/>
      <c r="K419" s="39">
        <f>IF(AND(I419&lt;&gt;"",J419&lt;&gt;""),I419*J419,"")</f>
        <v/>
      </c>
      <c r="L419" s="22" t="n"/>
      <c r="M419" s="22" t="n"/>
      <c r="N419" s="24" t="n"/>
      <c r="O419" s="24" t="n"/>
    </row>
    <row r="420">
      <c r="A420" s="34" t="n"/>
      <c r="B420" s="35">
        <f>IF(A420="","",YEAR(A420))</f>
        <v/>
      </c>
      <c r="C420" s="36">
        <f>IF(A420="","",MONTH(A420))</f>
        <v/>
      </c>
      <c r="D420" s="37">
        <f>IF(A420="","","Q"&amp;ROUNDUP(MONTH(A420)/3,0))</f>
        <v/>
      </c>
      <c r="E420" s="18" t="n"/>
      <c r="F420" s="18" t="n"/>
      <c r="G420" s="40">
        <f>IFERROR(VLOOKUP(F420,M2_거래처마스터!A:E,3,FALSE),"")</f>
        <v/>
      </c>
      <c r="H420" s="18" t="n"/>
      <c r="I420" s="19" t="n"/>
      <c r="J420" s="20" t="n"/>
      <c r="K420" s="39">
        <f>IF(AND(I420&lt;&gt;"",J420&lt;&gt;""),I420*J420,"")</f>
        <v/>
      </c>
      <c r="L420" s="18" t="n"/>
      <c r="M420" s="18" t="n"/>
      <c r="N420" s="20" t="n"/>
      <c r="O420" s="20" t="n"/>
    </row>
    <row r="421">
      <c r="A421" s="41" t="n"/>
      <c r="B421" s="35">
        <f>IF(A421="","",YEAR(A421))</f>
        <v/>
      </c>
      <c r="C421" s="36">
        <f>IF(A421="","",MONTH(A421))</f>
        <v/>
      </c>
      <c r="D421" s="37">
        <f>IF(A421="","","Q"&amp;ROUNDUP(MONTH(A421)/3,0))</f>
        <v/>
      </c>
      <c r="E421" s="22" t="n"/>
      <c r="F421" s="22" t="n"/>
      <c r="G421" s="40">
        <f>IFERROR(VLOOKUP(F421,M2_거래처마스터!A:E,3,FALSE),"")</f>
        <v/>
      </c>
      <c r="H421" s="22" t="n"/>
      <c r="I421" s="23" t="n"/>
      <c r="J421" s="24" t="n"/>
      <c r="K421" s="39">
        <f>IF(AND(I421&lt;&gt;"",J421&lt;&gt;""),I421*J421,"")</f>
        <v/>
      </c>
      <c r="L421" s="22" t="n"/>
      <c r="M421" s="22" t="n"/>
      <c r="N421" s="24" t="n"/>
      <c r="O421" s="24" t="n"/>
    </row>
    <row r="422">
      <c r="A422" s="34" t="n"/>
      <c r="B422" s="35">
        <f>IF(A422="","",YEAR(A422))</f>
        <v/>
      </c>
      <c r="C422" s="36">
        <f>IF(A422="","",MONTH(A422))</f>
        <v/>
      </c>
      <c r="D422" s="37">
        <f>IF(A422="","","Q"&amp;ROUNDUP(MONTH(A422)/3,0))</f>
        <v/>
      </c>
      <c r="E422" s="18" t="n"/>
      <c r="F422" s="18" t="n"/>
      <c r="G422" s="40">
        <f>IFERROR(VLOOKUP(F422,M2_거래처마스터!A:E,3,FALSE),"")</f>
        <v/>
      </c>
      <c r="H422" s="18" t="n"/>
      <c r="I422" s="19" t="n"/>
      <c r="J422" s="20" t="n"/>
      <c r="K422" s="39">
        <f>IF(AND(I422&lt;&gt;"",J422&lt;&gt;""),I422*J422,"")</f>
        <v/>
      </c>
      <c r="L422" s="18" t="n"/>
      <c r="M422" s="18" t="n"/>
      <c r="N422" s="20" t="n"/>
      <c r="O422" s="20" t="n"/>
    </row>
    <row r="423">
      <c r="A423" s="41" t="n"/>
      <c r="B423" s="35">
        <f>IF(A423="","",YEAR(A423))</f>
        <v/>
      </c>
      <c r="C423" s="36">
        <f>IF(A423="","",MONTH(A423))</f>
        <v/>
      </c>
      <c r="D423" s="37">
        <f>IF(A423="","","Q"&amp;ROUNDUP(MONTH(A423)/3,0))</f>
        <v/>
      </c>
      <c r="E423" s="22" t="n"/>
      <c r="F423" s="22" t="n"/>
      <c r="G423" s="40">
        <f>IFERROR(VLOOKUP(F423,M2_거래처마스터!A:E,3,FALSE),"")</f>
        <v/>
      </c>
      <c r="H423" s="22" t="n"/>
      <c r="I423" s="23" t="n"/>
      <c r="J423" s="24" t="n"/>
      <c r="K423" s="39">
        <f>IF(AND(I423&lt;&gt;"",J423&lt;&gt;""),I423*J423,"")</f>
        <v/>
      </c>
      <c r="L423" s="22" t="n"/>
      <c r="M423" s="22" t="n"/>
      <c r="N423" s="24" t="n"/>
      <c r="O423" s="24" t="n"/>
    </row>
    <row r="424">
      <c r="A424" s="34" t="n"/>
      <c r="B424" s="35">
        <f>IF(A424="","",YEAR(A424))</f>
        <v/>
      </c>
      <c r="C424" s="36">
        <f>IF(A424="","",MONTH(A424))</f>
        <v/>
      </c>
      <c r="D424" s="37">
        <f>IF(A424="","","Q"&amp;ROUNDUP(MONTH(A424)/3,0))</f>
        <v/>
      </c>
      <c r="E424" s="18" t="n"/>
      <c r="F424" s="18" t="n"/>
      <c r="G424" s="40">
        <f>IFERROR(VLOOKUP(F424,M2_거래처마스터!A:E,3,FALSE),"")</f>
        <v/>
      </c>
      <c r="H424" s="18" t="n"/>
      <c r="I424" s="19" t="n"/>
      <c r="J424" s="20" t="n"/>
      <c r="K424" s="39">
        <f>IF(AND(I424&lt;&gt;"",J424&lt;&gt;""),I424*J424,"")</f>
        <v/>
      </c>
      <c r="L424" s="18" t="n"/>
      <c r="M424" s="18" t="n"/>
      <c r="N424" s="20" t="n"/>
      <c r="O424" s="20" t="n"/>
    </row>
    <row r="425">
      <c r="A425" s="41" t="n"/>
      <c r="B425" s="35">
        <f>IF(A425="","",YEAR(A425))</f>
        <v/>
      </c>
      <c r="C425" s="36">
        <f>IF(A425="","",MONTH(A425))</f>
        <v/>
      </c>
      <c r="D425" s="37">
        <f>IF(A425="","","Q"&amp;ROUNDUP(MONTH(A425)/3,0))</f>
        <v/>
      </c>
      <c r="E425" s="22" t="n"/>
      <c r="F425" s="22" t="n"/>
      <c r="G425" s="40">
        <f>IFERROR(VLOOKUP(F425,M2_거래처마스터!A:E,3,FALSE),"")</f>
        <v/>
      </c>
      <c r="H425" s="22" t="n"/>
      <c r="I425" s="23" t="n"/>
      <c r="J425" s="24" t="n"/>
      <c r="K425" s="39">
        <f>IF(AND(I425&lt;&gt;"",J425&lt;&gt;""),I425*J425,"")</f>
        <v/>
      </c>
      <c r="L425" s="22" t="n"/>
      <c r="M425" s="22" t="n"/>
      <c r="N425" s="24" t="n"/>
      <c r="O425" s="24" t="n"/>
    </row>
    <row r="426">
      <c r="A426" s="34" t="n"/>
      <c r="B426" s="35">
        <f>IF(A426="","",YEAR(A426))</f>
        <v/>
      </c>
      <c r="C426" s="36">
        <f>IF(A426="","",MONTH(A426))</f>
        <v/>
      </c>
      <c r="D426" s="37">
        <f>IF(A426="","","Q"&amp;ROUNDUP(MONTH(A426)/3,0))</f>
        <v/>
      </c>
      <c r="E426" s="18" t="n"/>
      <c r="F426" s="18" t="n"/>
      <c r="G426" s="40">
        <f>IFERROR(VLOOKUP(F426,M2_거래처마스터!A:E,3,FALSE),"")</f>
        <v/>
      </c>
      <c r="H426" s="18" t="n"/>
      <c r="I426" s="19" t="n"/>
      <c r="J426" s="20" t="n"/>
      <c r="K426" s="39">
        <f>IF(AND(I426&lt;&gt;"",J426&lt;&gt;""),I426*J426,"")</f>
        <v/>
      </c>
      <c r="L426" s="18" t="n"/>
      <c r="M426" s="18" t="n"/>
      <c r="N426" s="20" t="n"/>
      <c r="O426" s="20" t="n"/>
    </row>
    <row r="427">
      <c r="A427" s="41" t="n"/>
      <c r="B427" s="35">
        <f>IF(A427="","",YEAR(A427))</f>
        <v/>
      </c>
      <c r="C427" s="36">
        <f>IF(A427="","",MONTH(A427))</f>
        <v/>
      </c>
      <c r="D427" s="37">
        <f>IF(A427="","","Q"&amp;ROUNDUP(MONTH(A427)/3,0))</f>
        <v/>
      </c>
      <c r="E427" s="22" t="n"/>
      <c r="F427" s="22" t="n"/>
      <c r="G427" s="40">
        <f>IFERROR(VLOOKUP(F427,M2_거래처마스터!A:E,3,FALSE),"")</f>
        <v/>
      </c>
      <c r="H427" s="22" t="n"/>
      <c r="I427" s="23" t="n"/>
      <c r="J427" s="24" t="n"/>
      <c r="K427" s="39">
        <f>IF(AND(I427&lt;&gt;"",J427&lt;&gt;""),I427*J427,"")</f>
        <v/>
      </c>
      <c r="L427" s="22" t="n"/>
      <c r="M427" s="22" t="n"/>
      <c r="N427" s="24" t="n"/>
      <c r="O427" s="24" t="n"/>
    </row>
    <row r="428">
      <c r="A428" s="34" t="n"/>
      <c r="B428" s="35">
        <f>IF(A428="","",YEAR(A428))</f>
        <v/>
      </c>
      <c r="C428" s="36">
        <f>IF(A428="","",MONTH(A428))</f>
        <v/>
      </c>
      <c r="D428" s="37">
        <f>IF(A428="","","Q"&amp;ROUNDUP(MONTH(A428)/3,0))</f>
        <v/>
      </c>
      <c r="E428" s="18" t="n"/>
      <c r="F428" s="18" t="n"/>
      <c r="G428" s="40">
        <f>IFERROR(VLOOKUP(F428,M2_거래처마스터!A:E,3,FALSE),"")</f>
        <v/>
      </c>
      <c r="H428" s="18" t="n"/>
      <c r="I428" s="19" t="n"/>
      <c r="J428" s="20" t="n"/>
      <c r="K428" s="39">
        <f>IF(AND(I428&lt;&gt;"",J428&lt;&gt;""),I428*J428,"")</f>
        <v/>
      </c>
      <c r="L428" s="18" t="n"/>
      <c r="M428" s="18" t="n"/>
      <c r="N428" s="20" t="n"/>
      <c r="O428" s="20" t="n"/>
    </row>
    <row r="429">
      <c r="A429" s="41" t="n"/>
      <c r="B429" s="35">
        <f>IF(A429="","",YEAR(A429))</f>
        <v/>
      </c>
      <c r="C429" s="36">
        <f>IF(A429="","",MONTH(A429))</f>
        <v/>
      </c>
      <c r="D429" s="37">
        <f>IF(A429="","","Q"&amp;ROUNDUP(MONTH(A429)/3,0))</f>
        <v/>
      </c>
      <c r="E429" s="22" t="n"/>
      <c r="F429" s="22" t="n"/>
      <c r="G429" s="40">
        <f>IFERROR(VLOOKUP(F429,M2_거래처마스터!A:E,3,FALSE),"")</f>
        <v/>
      </c>
      <c r="H429" s="22" t="n"/>
      <c r="I429" s="23" t="n"/>
      <c r="J429" s="24" t="n"/>
      <c r="K429" s="39">
        <f>IF(AND(I429&lt;&gt;"",J429&lt;&gt;""),I429*J429,"")</f>
        <v/>
      </c>
      <c r="L429" s="22" t="n"/>
      <c r="M429" s="22" t="n"/>
      <c r="N429" s="24" t="n"/>
      <c r="O429" s="24" t="n"/>
    </row>
    <row r="430">
      <c r="A430" s="34" t="n"/>
      <c r="B430" s="35">
        <f>IF(A430="","",YEAR(A430))</f>
        <v/>
      </c>
      <c r="C430" s="36">
        <f>IF(A430="","",MONTH(A430))</f>
        <v/>
      </c>
      <c r="D430" s="37">
        <f>IF(A430="","","Q"&amp;ROUNDUP(MONTH(A430)/3,0))</f>
        <v/>
      </c>
      <c r="E430" s="18" t="n"/>
      <c r="F430" s="18" t="n"/>
      <c r="G430" s="40">
        <f>IFERROR(VLOOKUP(F430,M2_거래처마스터!A:E,3,FALSE),"")</f>
        <v/>
      </c>
      <c r="H430" s="18" t="n"/>
      <c r="I430" s="19" t="n"/>
      <c r="J430" s="20" t="n"/>
      <c r="K430" s="39">
        <f>IF(AND(I430&lt;&gt;"",J430&lt;&gt;""),I430*J430,"")</f>
        <v/>
      </c>
      <c r="L430" s="18" t="n"/>
      <c r="M430" s="18" t="n"/>
      <c r="N430" s="20" t="n"/>
      <c r="O430" s="20" t="n"/>
    </row>
    <row r="431">
      <c r="A431" s="41" t="n"/>
      <c r="B431" s="35">
        <f>IF(A431="","",YEAR(A431))</f>
        <v/>
      </c>
      <c r="C431" s="36">
        <f>IF(A431="","",MONTH(A431))</f>
        <v/>
      </c>
      <c r="D431" s="37">
        <f>IF(A431="","","Q"&amp;ROUNDUP(MONTH(A431)/3,0))</f>
        <v/>
      </c>
      <c r="E431" s="22" t="n"/>
      <c r="F431" s="22" t="n"/>
      <c r="G431" s="40">
        <f>IFERROR(VLOOKUP(F431,M2_거래처마스터!A:E,3,FALSE),"")</f>
        <v/>
      </c>
      <c r="H431" s="22" t="n"/>
      <c r="I431" s="23" t="n"/>
      <c r="J431" s="24" t="n"/>
      <c r="K431" s="39">
        <f>IF(AND(I431&lt;&gt;"",J431&lt;&gt;""),I431*J431,"")</f>
        <v/>
      </c>
      <c r="L431" s="22" t="n"/>
      <c r="M431" s="22" t="n"/>
      <c r="N431" s="24" t="n"/>
      <c r="O431" s="24" t="n"/>
    </row>
    <row r="432">
      <c r="A432" s="34" t="n"/>
      <c r="B432" s="35">
        <f>IF(A432="","",YEAR(A432))</f>
        <v/>
      </c>
      <c r="C432" s="36">
        <f>IF(A432="","",MONTH(A432))</f>
        <v/>
      </c>
      <c r="D432" s="37">
        <f>IF(A432="","","Q"&amp;ROUNDUP(MONTH(A432)/3,0))</f>
        <v/>
      </c>
      <c r="E432" s="18" t="n"/>
      <c r="F432" s="18" t="n"/>
      <c r="G432" s="40">
        <f>IFERROR(VLOOKUP(F432,M2_거래처마스터!A:E,3,FALSE),"")</f>
        <v/>
      </c>
      <c r="H432" s="18" t="n"/>
      <c r="I432" s="19" t="n"/>
      <c r="J432" s="20" t="n"/>
      <c r="K432" s="39">
        <f>IF(AND(I432&lt;&gt;"",J432&lt;&gt;""),I432*J432,"")</f>
        <v/>
      </c>
      <c r="L432" s="18" t="n"/>
      <c r="M432" s="18" t="n"/>
      <c r="N432" s="20" t="n"/>
      <c r="O432" s="20" t="n"/>
    </row>
    <row r="433">
      <c r="A433" s="41" t="n"/>
      <c r="B433" s="35">
        <f>IF(A433="","",YEAR(A433))</f>
        <v/>
      </c>
      <c r="C433" s="36">
        <f>IF(A433="","",MONTH(A433))</f>
        <v/>
      </c>
      <c r="D433" s="37">
        <f>IF(A433="","","Q"&amp;ROUNDUP(MONTH(A433)/3,0))</f>
        <v/>
      </c>
      <c r="E433" s="22" t="n"/>
      <c r="F433" s="22" t="n"/>
      <c r="G433" s="40">
        <f>IFERROR(VLOOKUP(F433,M2_거래처마스터!A:E,3,FALSE),"")</f>
        <v/>
      </c>
      <c r="H433" s="22" t="n"/>
      <c r="I433" s="23" t="n"/>
      <c r="J433" s="24" t="n"/>
      <c r="K433" s="39">
        <f>IF(AND(I433&lt;&gt;"",J433&lt;&gt;""),I433*J433,"")</f>
        <v/>
      </c>
      <c r="L433" s="22" t="n"/>
      <c r="M433" s="22" t="n"/>
      <c r="N433" s="24" t="n"/>
      <c r="O433" s="24" t="n"/>
    </row>
    <row r="434">
      <c r="A434" s="34" t="n"/>
      <c r="B434" s="35">
        <f>IF(A434="","",YEAR(A434))</f>
        <v/>
      </c>
      <c r="C434" s="36">
        <f>IF(A434="","",MONTH(A434))</f>
        <v/>
      </c>
      <c r="D434" s="37">
        <f>IF(A434="","","Q"&amp;ROUNDUP(MONTH(A434)/3,0))</f>
        <v/>
      </c>
      <c r="E434" s="18" t="n"/>
      <c r="F434" s="18" t="n"/>
      <c r="G434" s="40">
        <f>IFERROR(VLOOKUP(F434,M2_거래처마스터!A:E,3,FALSE),"")</f>
        <v/>
      </c>
      <c r="H434" s="18" t="n"/>
      <c r="I434" s="19" t="n"/>
      <c r="J434" s="20" t="n"/>
      <c r="K434" s="39">
        <f>IF(AND(I434&lt;&gt;"",J434&lt;&gt;""),I434*J434,"")</f>
        <v/>
      </c>
      <c r="L434" s="18" t="n"/>
      <c r="M434" s="18" t="n"/>
      <c r="N434" s="20" t="n"/>
      <c r="O434" s="20" t="n"/>
    </row>
    <row r="435">
      <c r="A435" s="41" t="n"/>
      <c r="B435" s="35">
        <f>IF(A435="","",YEAR(A435))</f>
        <v/>
      </c>
      <c r="C435" s="36">
        <f>IF(A435="","",MONTH(A435))</f>
        <v/>
      </c>
      <c r="D435" s="37">
        <f>IF(A435="","","Q"&amp;ROUNDUP(MONTH(A435)/3,0))</f>
        <v/>
      </c>
      <c r="E435" s="22" t="n"/>
      <c r="F435" s="22" t="n"/>
      <c r="G435" s="40">
        <f>IFERROR(VLOOKUP(F435,M2_거래처마스터!A:E,3,FALSE),"")</f>
        <v/>
      </c>
      <c r="H435" s="22" t="n"/>
      <c r="I435" s="23" t="n"/>
      <c r="J435" s="24" t="n"/>
      <c r="K435" s="39">
        <f>IF(AND(I435&lt;&gt;"",J435&lt;&gt;""),I435*J435,"")</f>
        <v/>
      </c>
      <c r="L435" s="22" t="n"/>
      <c r="M435" s="22" t="n"/>
      <c r="N435" s="24" t="n"/>
      <c r="O435" s="24" t="n"/>
    </row>
    <row r="436">
      <c r="A436" s="34" t="n"/>
      <c r="B436" s="35">
        <f>IF(A436="","",YEAR(A436))</f>
        <v/>
      </c>
      <c r="C436" s="36">
        <f>IF(A436="","",MONTH(A436))</f>
        <v/>
      </c>
      <c r="D436" s="37">
        <f>IF(A436="","","Q"&amp;ROUNDUP(MONTH(A436)/3,0))</f>
        <v/>
      </c>
      <c r="E436" s="18" t="n"/>
      <c r="F436" s="18" t="n"/>
      <c r="G436" s="40">
        <f>IFERROR(VLOOKUP(F436,M2_거래처마스터!A:E,3,FALSE),"")</f>
        <v/>
      </c>
      <c r="H436" s="18" t="n"/>
      <c r="I436" s="19" t="n"/>
      <c r="J436" s="20" t="n"/>
      <c r="K436" s="39">
        <f>IF(AND(I436&lt;&gt;"",J436&lt;&gt;""),I436*J436,"")</f>
        <v/>
      </c>
      <c r="L436" s="18" t="n"/>
      <c r="M436" s="18" t="n"/>
      <c r="N436" s="20" t="n"/>
      <c r="O436" s="20" t="n"/>
    </row>
    <row r="437">
      <c r="A437" s="41" t="n"/>
      <c r="B437" s="35">
        <f>IF(A437="","",YEAR(A437))</f>
        <v/>
      </c>
      <c r="C437" s="36">
        <f>IF(A437="","",MONTH(A437))</f>
        <v/>
      </c>
      <c r="D437" s="37">
        <f>IF(A437="","","Q"&amp;ROUNDUP(MONTH(A437)/3,0))</f>
        <v/>
      </c>
      <c r="E437" s="22" t="n"/>
      <c r="F437" s="22" t="n"/>
      <c r="G437" s="40">
        <f>IFERROR(VLOOKUP(F437,M2_거래처마스터!A:E,3,FALSE),"")</f>
        <v/>
      </c>
      <c r="H437" s="22" t="n"/>
      <c r="I437" s="23" t="n"/>
      <c r="J437" s="24" t="n"/>
      <c r="K437" s="39">
        <f>IF(AND(I437&lt;&gt;"",J437&lt;&gt;""),I437*J437,"")</f>
        <v/>
      </c>
      <c r="L437" s="22" t="n"/>
      <c r="M437" s="22" t="n"/>
      <c r="N437" s="24" t="n"/>
      <c r="O437" s="24" t="n"/>
    </row>
    <row r="438">
      <c r="A438" s="34" t="n"/>
      <c r="B438" s="35">
        <f>IF(A438="","",YEAR(A438))</f>
        <v/>
      </c>
      <c r="C438" s="36">
        <f>IF(A438="","",MONTH(A438))</f>
        <v/>
      </c>
      <c r="D438" s="37">
        <f>IF(A438="","","Q"&amp;ROUNDUP(MONTH(A438)/3,0))</f>
        <v/>
      </c>
      <c r="E438" s="18" t="n"/>
      <c r="F438" s="18" t="n"/>
      <c r="G438" s="40">
        <f>IFERROR(VLOOKUP(F438,M2_거래처마스터!A:E,3,FALSE),"")</f>
        <v/>
      </c>
      <c r="H438" s="18" t="n"/>
      <c r="I438" s="19" t="n"/>
      <c r="J438" s="20" t="n"/>
      <c r="K438" s="39">
        <f>IF(AND(I438&lt;&gt;"",J438&lt;&gt;""),I438*J438,"")</f>
        <v/>
      </c>
      <c r="L438" s="18" t="n"/>
      <c r="M438" s="18" t="n"/>
      <c r="N438" s="20" t="n"/>
      <c r="O438" s="20" t="n"/>
    </row>
    <row r="439">
      <c r="A439" s="41" t="n"/>
      <c r="B439" s="35">
        <f>IF(A439="","",YEAR(A439))</f>
        <v/>
      </c>
      <c r="C439" s="36">
        <f>IF(A439="","",MONTH(A439))</f>
        <v/>
      </c>
      <c r="D439" s="37">
        <f>IF(A439="","","Q"&amp;ROUNDUP(MONTH(A439)/3,0))</f>
        <v/>
      </c>
      <c r="E439" s="22" t="n"/>
      <c r="F439" s="22" t="n"/>
      <c r="G439" s="40">
        <f>IFERROR(VLOOKUP(F439,M2_거래처마스터!A:E,3,FALSE),"")</f>
        <v/>
      </c>
      <c r="H439" s="22" t="n"/>
      <c r="I439" s="23" t="n"/>
      <c r="J439" s="24" t="n"/>
      <c r="K439" s="39">
        <f>IF(AND(I439&lt;&gt;"",J439&lt;&gt;""),I439*J439,"")</f>
        <v/>
      </c>
      <c r="L439" s="22" t="n"/>
      <c r="M439" s="22" t="n"/>
      <c r="N439" s="24" t="n"/>
      <c r="O439" s="24" t="n"/>
    </row>
    <row r="440">
      <c r="A440" s="34" t="n"/>
      <c r="B440" s="35">
        <f>IF(A440="","",YEAR(A440))</f>
        <v/>
      </c>
      <c r="C440" s="36">
        <f>IF(A440="","",MONTH(A440))</f>
        <v/>
      </c>
      <c r="D440" s="37">
        <f>IF(A440="","","Q"&amp;ROUNDUP(MONTH(A440)/3,0))</f>
        <v/>
      </c>
      <c r="E440" s="18" t="n"/>
      <c r="F440" s="18" t="n"/>
      <c r="G440" s="40">
        <f>IFERROR(VLOOKUP(F440,M2_거래처마스터!A:E,3,FALSE),"")</f>
        <v/>
      </c>
      <c r="H440" s="18" t="n"/>
      <c r="I440" s="19" t="n"/>
      <c r="J440" s="20" t="n"/>
      <c r="K440" s="39">
        <f>IF(AND(I440&lt;&gt;"",J440&lt;&gt;""),I440*J440,"")</f>
        <v/>
      </c>
      <c r="L440" s="18" t="n"/>
      <c r="M440" s="18" t="n"/>
      <c r="N440" s="20" t="n"/>
      <c r="O440" s="20" t="n"/>
    </row>
    <row r="441">
      <c r="A441" s="41" t="n"/>
      <c r="B441" s="35">
        <f>IF(A441="","",YEAR(A441))</f>
        <v/>
      </c>
      <c r="C441" s="36">
        <f>IF(A441="","",MONTH(A441))</f>
        <v/>
      </c>
      <c r="D441" s="37">
        <f>IF(A441="","","Q"&amp;ROUNDUP(MONTH(A441)/3,0))</f>
        <v/>
      </c>
      <c r="E441" s="22" t="n"/>
      <c r="F441" s="22" t="n"/>
      <c r="G441" s="40">
        <f>IFERROR(VLOOKUP(F441,M2_거래처마스터!A:E,3,FALSE),"")</f>
        <v/>
      </c>
      <c r="H441" s="22" t="n"/>
      <c r="I441" s="23" t="n"/>
      <c r="J441" s="24" t="n"/>
      <c r="K441" s="39">
        <f>IF(AND(I441&lt;&gt;"",J441&lt;&gt;""),I441*J441,"")</f>
        <v/>
      </c>
      <c r="L441" s="22" t="n"/>
      <c r="M441" s="22" t="n"/>
      <c r="N441" s="24" t="n"/>
      <c r="O441" s="24" t="n"/>
    </row>
    <row r="442">
      <c r="A442" s="34" t="n"/>
      <c r="B442" s="35">
        <f>IF(A442="","",YEAR(A442))</f>
        <v/>
      </c>
      <c r="C442" s="36">
        <f>IF(A442="","",MONTH(A442))</f>
        <v/>
      </c>
      <c r="D442" s="37">
        <f>IF(A442="","","Q"&amp;ROUNDUP(MONTH(A442)/3,0))</f>
        <v/>
      </c>
      <c r="E442" s="18" t="n"/>
      <c r="F442" s="18" t="n"/>
      <c r="G442" s="40">
        <f>IFERROR(VLOOKUP(F442,M2_거래처마스터!A:E,3,FALSE),"")</f>
        <v/>
      </c>
      <c r="H442" s="18" t="n"/>
      <c r="I442" s="19" t="n"/>
      <c r="J442" s="20" t="n"/>
      <c r="K442" s="39">
        <f>IF(AND(I442&lt;&gt;"",J442&lt;&gt;""),I442*J442,"")</f>
        <v/>
      </c>
      <c r="L442" s="18" t="n"/>
      <c r="M442" s="18" t="n"/>
      <c r="N442" s="20" t="n"/>
      <c r="O442" s="20" t="n"/>
    </row>
    <row r="443">
      <c r="A443" s="41" t="n"/>
      <c r="B443" s="35">
        <f>IF(A443="","",YEAR(A443))</f>
        <v/>
      </c>
      <c r="C443" s="36">
        <f>IF(A443="","",MONTH(A443))</f>
        <v/>
      </c>
      <c r="D443" s="37">
        <f>IF(A443="","","Q"&amp;ROUNDUP(MONTH(A443)/3,0))</f>
        <v/>
      </c>
      <c r="E443" s="22" t="n"/>
      <c r="F443" s="22" t="n"/>
      <c r="G443" s="40">
        <f>IFERROR(VLOOKUP(F443,M2_거래처마스터!A:E,3,FALSE),"")</f>
        <v/>
      </c>
      <c r="H443" s="22" t="n"/>
      <c r="I443" s="23" t="n"/>
      <c r="J443" s="24" t="n"/>
      <c r="K443" s="39">
        <f>IF(AND(I443&lt;&gt;"",J443&lt;&gt;""),I443*J443,"")</f>
        <v/>
      </c>
      <c r="L443" s="22" t="n"/>
      <c r="M443" s="22" t="n"/>
      <c r="N443" s="24" t="n"/>
      <c r="O443" s="24" t="n"/>
    </row>
    <row r="444">
      <c r="A444" s="34" t="n"/>
      <c r="B444" s="35">
        <f>IF(A444="","",YEAR(A444))</f>
        <v/>
      </c>
      <c r="C444" s="36">
        <f>IF(A444="","",MONTH(A444))</f>
        <v/>
      </c>
      <c r="D444" s="37">
        <f>IF(A444="","","Q"&amp;ROUNDUP(MONTH(A444)/3,0))</f>
        <v/>
      </c>
      <c r="E444" s="18" t="n"/>
      <c r="F444" s="18" t="n"/>
      <c r="G444" s="40">
        <f>IFERROR(VLOOKUP(F444,M2_거래처마스터!A:E,3,FALSE),"")</f>
        <v/>
      </c>
      <c r="H444" s="18" t="n"/>
      <c r="I444" s="19" t="n"/>
      <c r="J444" s="20" t="n"/>
      <c r="K444" s="39">
        <f>IF(AND(I444&lt;&gt;"",J444&lt;&gt;""),I444*J444,"")</f>
        <v/>
      </c>
      <c r="L444" s="18" t="n"/>
      <c r="M444" s="18" t="n"/>
      <c r="N444" s="20" t="n"/>
      <c r="O444" s="20" t="n"/>
    </row>
    <row r="445">
      <c r="A445" s="41" t="n"/>
      <c r="B445" s="35">
        <f>IF(A445="","",YEAR(A445))</f>
        <v/>
      </c>
      <c r="C445" s="36">
        <f>IF(A445="","",MONTH(A445))</f>
        <v/>
      </c>
      <c r="D445" s="37">
        <f>IF(A445="","","Q"&amp;ROUNDUP(MONTH(A445)/3,0))</f>
        <v/>
      </c>
      <c r="E445" s="22" t="n"/>
      <c r="F445" s="22" t="n"/>
      <c r="G445" s="40">
        <f>IFERROR(VLOOKUP(F445,M2_거래처마스터!A:E,3,FALSE),"")</f>
        <v/>
      </c>
      <c r="H445" s="22" t="n"/>
      <c r="I445" s="23" t="n"/>
      <c r="J445" s="24" t="n"/>
      <c r="K445" s="39">
        <f>IF(AND(I445&lt;&gt;"",J445&lt;&gt;""),I445*J445,"")</f>
        <v/>
      </c>
      <c r="L445" s="22" t="n"/>
      <c r="M445" s="22" t="n"/>
      <c r="N445" s="24" t="n"/>
      <c r="O445" s="24" t="n"/>
    </row>
    <row r="446">
      <c r="A446" s="34" t="n"/>
      <c r="B446" s="35">
        <f>IF(A446="","",YEAR(A446))</f>
        <v/>
      </c>
      <c r="C446" s="36">
        <f>IF(A446="","",MONTH(A446))</f>
        <v/>
      </c>
      <c r="D446" s="37">
        <f>IF(A446="","","Q"&amp;ROUNDUP(MONTH(A446)/3,0))</f>
        <v/>
      </c>
      <c r="E446" s="18" t="n"/>
      <c r="F446" s="18" t="n"/>
      <c r="G446" s="40">
        <f>IFERROR(VLOOKUP(F446,M2_거래처마스터!A:E,3,FALSE),"")</f>
        <v/>
      </c>
      <c r="H446" s="18" t="n"/>
      <c r="I446" s="19" t="n"/>
      <c r="J446" s="20" t="n"/>
      <c r="K446" s="39">
        <f>IF(AND(I446&lt;&gt;"",J446&lt;&gt;""),I446*J446,"")</f>
        <v/>
      </c>
      <c r="L446" s="18" t="n"/>
      <c r="M446" s="18" t="n"/>
      <c r="N446" s="20" t="n"/>
      <c r="O446" s="20" t="n"/>
    </row>
    <row r="447">
      <c r="A447" s="41" t="n"/>
      <c r="B447" s="35">
        <f>IF(A447="","",YEAR(A447))</f>
        <v/>
      </c>
      <c r="C447" s="36">
        <f>IF(A447="","",MONTH(A447))</f>
        <v/>
      </c>
      <c r="D447" s="37">
        <f>IF(A447="","","Q"&amp;ROUNDUP(MONTH(A447)/3,0))</f>
        <v/>
      </c>
      <c r="E447" s="22" t="n"/>
      <c r="F447" s="22" t="n"/>
      <c r="G447" s="40">
        <f>IFERROR(VLOOKUP(F447,M2_거래처마스터!A:E,3,FALSE),"")</f>
        <v/>
      </c>
      <c r="H447" s="22" t="n"/>
      <c r="I447" s="23" t="n"/>
      <c r="J447" s="24" t="n"/>
      <c r="K447" s="39">
        <f>IF(AND(I447&lt;&gt;"",J447&lt;&gt;""),I447*J447,"")</f>
        <v/>
      </c>
      <c r="L447" s="22" t="n"/>
      <c r="M447" s="22" t="n"/>
      <c r="N447" s="24" t="n"/>
      <c r="O447" s="24" t="n"/>
    </row>
    <row r="448">
      <c r="A448" s="34" t="n"/>
      <c r="B448" s="35">
        <f>IF(A448="","",YEAR(A448))</f>
        <v/>
      </c>
      <c r="C448" s="36">
        <f>IF(A448="","",MONTH(A448))</f>
        <v/>
      </c>
      <c r="D448" s="37">
        <f>IF(A448="","","Q"&amp;ROUNDUP(MONTH(A448)/3,0))</f>
        <v/>
      </c>
      <c r="E448" s="18" t="n"/>
      <c r="F448" s="18" t="n"/>
      <c r="G448" s="40">
        <f>IFERROR(VLOOKUP(F448,M2_거래처마스터!A:E,3,FALSE),"")</f>
        <v/>
      </c>
      <c r="H448" s="18" t="n"/>
      <c r="I448" s="19" t="n"/>
      <c r="J448" s="20" t="n"/>
      <c r="K448" s="39">
        <f>IF(AND(I448&lt;&gt;"",J448&lt;&gt;""),I448*J448,"")</f>
        <v/>
      </c>
      <c r="L448" s="18" t="n"/>
      <c r="M448" s="18" t="n"/>
      <c r="N448" s="20" t="n"/>
      <c r="O448" s="20" t="n"/>
    </row>
    <row r="449">
      <c r="A449" s="41" t="n"/>
      <c r="B449" s="35">
        <f>IF(A449="","",YEAR(A449))</f>
        <v/>
      </c>
      <c r="C449" s="36">
        <f>IF(A449="","",MONTH(A449))</f>
        <v/>
      </c>
      <c r="D449" s="37">
        <f>IF(A449="","","Q"&amp;ROUNDUP(MONTH(A449)/3,0))</f>
        <v/>
      </c>
      <c r="E449" s="22" t="n"/>
      <c r="F449" s="22" t="n"/>
      <c r="G449" s="40">
        <f>IFERROR(VLOOKUP(F449,M2_거래처마스터!A:E,3,FALSE),"")</f>
        <v/>
      </c>
      <c r="H449" s="22" t="n"/>
      <c r="I449" s="23" t="n"/>
      <c r="J449" s="24" t="n"/>
      <c r="K449" s="39">
        <f>IF(AND(I449&lt;&gt;"",J449&lt;&gt;""),I449*J449,"")</f>
        <v/>
      </c>
      <c r="L449" s="22" t="n"/>
      <c r="M449" s="22" t="n"/>
      <c r="N449" s="24" t="n"/>
      <c r="O449" s="24" t="n"/>
    </row>
    <row r="450">
      <c r="A450" s="34" t="n"/>
      <c r="B450" s="35">
        <f>IF(A450="","",YEAR(A450))</f>
        <v/>
      </c>
      <c r="C450" s="36">
        <f>IF(A450="","",MONTH(A450))</f>
        <v/>
      </c>
      <c r="D450" s="37">
        <f>IF(A450="","","Q"&amp;ROUNDUP(MONTH(A450)/3,0))</f>
        <v/>
      </c>
      <c r="E450" s="18" t="n"/>
      <c r="F450" s="18" t="n"/>
      <c r="G450" s="40">
        <f>IFERROR(VLOOKUP(F450,M2_거래처마스터!A:E,3,FALSE),"")</f>
        <v/>
      </c>
      <c r="H450" s="18" t="n"/>
      <c r="I450" s="19" t="n"/>
      <c r="J450" s="20" t="n"/>
      <c r="K450" s="39">
        <f>IF(AND(I450&lt;&gt;"",J450&lt;&gt;""),I450*J450,"")</f>
        <v/>
      </c>
      <c r="L450" s="18" t="n"/>
      <c r="M450" s="18" t="n"/>
      <c r="N450" s="20" t="n"/>
      <c r="O450" s="20" t="n"/>
    </row>
    <row r="451">
      <c r="A451" s="41" t="n"/>
      <c r="B451" s="35">
        <f>IF(A451="","",YEAR(A451))</f>
        <v/>
      </c>
      <c r="C451" s="36">
        <f>IF(A451="","",MONTH(A451))</f>
        <v/>
      </c>
      <c r="D451" s="37">
        <f>IF(A451="","","Q"&amp;ROUNDUP(MONTH(A451)/3,0))</f>
        <v/>
      </c>
      <c r="E451" s="22" t="n"/>
      <c r="F451" s="22" t="n"/>
      <c r="G451" s="40">
        <f>IFERROR(VLOOKUP(F451,M2_거래처마스터!A:E,3,FALSE),"")</f>
        <v/>
      </c>
      <c r="H451" s="22" t="n"/>
      <c r="I451" s="23" t="n"/>
      <c r="J451" s="24" t="n"/>
      <c r="K451" s="39">
        <f>IF(AND(I451&lt;&gt;"",J451&lt;&gt;""),I451*J451,"")</f>
        <v/>
      </c>
      <c r="L451" s="22" t="n"/>
      <c r="M451" s="22" t="n"/>
      <c r="N451" s="24" t="n"/>
      <c r="O451" s="24" t="n"/>
    </row>
    <row r="452">
      <c r="A452" s="34" t="n"/>
      <c r="B452" s="35">
        <f>IF(A452="","",YEAR(A452))</f>
        <v/>
      </c>
      <c r="C452" s="36">
        <f>IF(A452="","",MONTH(A452))</f>
        <v/>
      </c>
      <c r="D452" s="37">
        <f>IF(A452="","","Q"&amp;ROUNDUP(MONTH(A452)/3,0))</f>
        <v/>
      </c>
      <c r="E452" s="18" t="n"/>
      <c r="F452" s="18" t="n"/>
      <c r="G452" s="40">
        <f>IFERROR(VLOOKUP(F452,M2_거래처마스터!A:E,3,FALSE),"")</f>
        <v/>
      </c>
      <c r="H452" s="18" t="n"/>
      <c r="I452" s="19" t="n"/>
      <c r="J452" s="20" t="n"/>
      <c r="K452" s="39">
        <f>IF(AND(I452&lt;&gt;"",J452&lt;&gt;""),I452*J452,"")</f>
        <v/>
      </c>
      <c r="L452" s="18" t="n"/>
      <c r="M452" s="18" t="n"/>
      <c r="N452" s="20" t="n"/>
      <c r="O452" s="20" t="n"/>
    </row>
    <row r="453">
      <c r="A453" s="41" t="n"/>
      <c r="B453" s="35">
        <f>IF(A453="","",YEAR(A453))</f>
        <v/>
      </c>
      <c r="C453" s="36">
        <f>IF(A453="","",MONTH(A453))</f>
        <v/>
      </c>
      <c r="D453" s="37">
        <f>IF(A453="","","Q"&amp;ROUNDUP(MONTH(A453)/3,0))</f>
        <v/>
      </c>
      <c r="E453" s="22" t="n"/>
      <c r="F453" s="22" t="n"/>
      <c r="G453" s="40">
        <f>IFERROR(VLOOKUP(F453,M2_거래처마스터!A:E,3,FALSE),"")</f>
        <v/>
      </c>
      <c r="H453" s="22" t="n"/>
      <c r="I453" s="23" t="n"/>
      <c r="J453" s="24" t="n"/>
      <c r="K453" s="39">
        <f>IF(AND(I453&lt;&gt;"",J453&lt;&gt;""),I453*J453,"")</f>
        <v/>
      </c>
      <c r="L453" s="22" t="n"/>
      <c r="M453" s="22" t="n"/>
      <c r="N453" s="24" t="n"/>
      <c r="O453" s="24" t="n"/>
    </row>
    <row r="454">
      <c r="A454" s="34" t="n"/>
      <c r="B454" s="35">
        <f>IF(A454="","",YEAR(A454))</f>
        <v/>
      </c>
      <c r="C454" s="36">
        <f>IF(A454="","",MONTH(A454))</f>
        <v/>
      </c>
      <c r="D454" s="37">
        <f>IF(A454="","","Q"&amp;ROUNDUP(MONTH(A454)/3,0))</f>
        <v/>
      </c>
      <c r="E454" s="18" t="n"/>
      <c r="F454" s="18" t="n"/>
      <c r="G454" s="40">
        <f>IFERROR(VLOOKUP(F454,M2_거래처마스터!A:E,3,FALSE),"")</f>
        <v/>
      </c>
      <c r="H454" s="18" t="n"/>
      <c r="I454" s="19" t="n"/>
      <c r="J454" s="20" t="n"/>
      <c r="K454" s="39">
        <f>IF(AND(I454&lt;&gt;"",J454&lt;&gt;""),I454*J454,"")</f>
        <v/>
      </c>
      <c r="L454" s="18" t="n"/>
      <c r="M454" s="18" t="n"/>
      <c r="N454" s="20" t="n"/>
      <c r="O454" s="20" t="n"/>
    </row>
    <row r="455">
      <c r="A455" s="41" t="n"/>
      <c r="B455" s="35">
        <f>IF(A455="","",YEAR(A455))</f>
        <v/>
      </c>
      <c r="C455" s="36">
        <f>IF(A455="","",MONTH(A455))</f>
        <v/>
      </c>
      <c r="D455" s="37">
        <f>IF(A455="","","Q"&amp;ROUNDUP(MONTH(A455)/3,0))</f>
        <v/>
      </c>
      <c r="E455" s="22" t="n"/>
      <c r="F455" s="22" t="n"/>
      <c r="G455" s="40">
        <f>IFERROR(VLOOKUP(F455,M2_거래처마스터!A:E,3,FALSE),"")</f>
        <v/>
      </c>
      <c r="H455" s="22" t="n"/>
      <c r="I455" s="23" t="n"/>
      <c r="J455" s="24" t="n"/>
      <c r="K455" s="39">
        <f>IF(AND(I455&lt;&gt;"",J455&lt;&gt;""),I455*J455,"")</f>
        <v/>
      </c>
      <c r="L455" s="22" t="n"/>
      <c r="M455" s="22" t="n"/>
      <c r="N455" s="24" t="n"/>
      <c r="O455" s="24" t="n"/>
    </row>
    <row r="456">
      <c r="A456" s="34" t="n"/>
      <c r="B456" s="35">
        <f>IF(A456="","",YEAR(A456))</f>
        <v/>
      </c>
      <c r="C456" s="36">
        <f>IF(A456="","",MONTH(A456))</f>
        <v/>
      </c>
      <c r="D456" s="37">
        <f>IF(A456="","","Q"&amp;ROUNDUP(MONTH(A456)/3,0))</f>
        <v/>
      </c>
      <c r="E456" s="18" t="n"/>
      <c r="F456" s="18" t="n"/>
      <c r="G456" s="40">
        <f>IFERROR(VLOOKUP(F456,M2_거래처마스터!A:E,3,FALSE),"")</f>
        <v/>
      </c>
      <c r="H456" s="18" t="n"/>
      <c r="I456" s="19" t="n"/>
      <c r="J456" s="20" t="n"/>
      <c r="K456" s="39">
        <f>IF(AND(I456&lt;&gt;"",J456&lt;&gt;""),I456*J456,"")</f>
        <v/>
      </c>
      <c r="L456" s="18" t="n"/>
      <c r="M456" s="18" t="n"/>
      <c r="N456" s="20" t="n"/>
      <c r="O456" s="20" t="n"/>
    </row>
    <row r="457">
      <c r="A457" s="41" t="n"/>
      <c r="B457" s="35">
        <f>IF(A457="","",YEAR(A457))</f>
        <v/>
      </c>
      <c r="C457" s="36">
        <f>IF(A457="","",MONTH(A457))</f>
        <v/>
      </c>
      <c r="D457" s="37">
        <f>IF(A457="","","Q"&amp;ROUNDUP(MONTH(A457)/3,0))</f>
        <v/>
      </c>
      <c r="E457" s="22" t="n"/>
      <c r="F457" s="22" t="n"/>
      <c r="G457" s="40">
        <f>IFERROR(VLOOKUP(F457,M2_거래처마스터!A:E,3,FALSE),"")</f>
        <v/>
      </c>
      <c r="H457" s="22" t="n"/>
      <c r="I457" s="23" t="n"/>
      <c r="J457" s="24" t="n"/>
      <c r="K457" s="39">
        <f>IF(AND(I457&lt;&gt;"",J457&lt;&gt;""),I457*J457,"")</f>
        <v/>
      </c>
      <c r="L457" s="22" t="n"/>
      <c r="M457" s="22" t="n"/>
      <c r="N457" s="24" t="n"/>
      <c r="O457" s="24" t="n"/>
    </row>
    <row r="458">
      <c r="A458" s="34" t="n"/>
      <c r="B458" s="35">
        <f>IF(A458="","",YEAR(A458))</f>
        <v/>
      </c>
      <c r="C458" s="36">
        <f>IF(A458="","",MONTH(A458))</f>
        <v/>
      </c>
      <c r="D458" s="37">
        <f>IF(A458="","","Q"&amp;ROUNDUP(MONTH(A458)/3,0))</f>
        <v/>
      </c>
      <c r="E458" s="18" t="n"/>
      <c r="F458" s="18" t="n"/>
      <c r="G458" s="40">
        <f>IFERROR(VLOOKUP(F458,M2_거래처마스터!A:E,3,FALSE),"")</f>
        <v/>
      </c>
      <c r="H458" s="18" t="n"/>
      <c r="I458" s="19" t="n"/>
      <c r="J458" s="20" t="n"/>
      <c r="K458" s="39">
        <f>IF(AND(I458&lt;&gt;"",J458&lt;&gt;""),I458*J458,"")</f>
        <v/>
      </c>
      <c r="L458" s="18" t="n"/>
      <c r="M458" s="18" t="n"/>
      <c r="N458" s="20" t="n"/>
      <c r="O458" s="20" t="n"/>
    </row>
    <row r="459">
      <c r="A459" s="41" t="n"/>
      <c r="B459" s="35">
        <f>IF(A459="","",YEAR(A459))</f>
        <v/>
      </c>
      <c r="C459" s="36">
        <f>IF(A459="","",MONTH(A459))</f>
        <v/>
      </c>
      <c r="D459" s="37">
        <f>IF(A459="","","Q"&amp;ROUNDUP(MONTH(A459)/3,0))</f>
        <v/>
      </c>
      <c r="E459" s="22" t="n"/>
      <c r="F459" s="22" t="n"/>
      <c r="G459" s="40">
        <f>IFERROR(VLOOKUP(F459,M2_거래처마스터!A:E,3,FALSE),"")</f>
        <v/>
      </c>
      <c r="H459" s="22" t="n"/>
      <c r="I459" s="23" t="n"/>
      <c r="J459" s="24" t="n"/>
      <c r="K459" s="39">
        <f>IF(AND(I459&lt;&gt;"",J459&lt;&gt;""),I459*J459,"")</f>
        <v/>
      </c>
      <c r="L459" s="22" t="n"/>
      <c r="M459" s="22" t="n"/>
      <c r="N459" s="24" t="n"/>
      <c r="O459" s="24" t="n"/>
    </row>
    <row r="460">
      <c r="A460" s="34" t="n"/>
      <c r="B460" s="35">
        <f>IF(A460="","",YEAR(A460))</f>
        <v/>
      </c>
      <c r="C460" s="36">
        <f>IF(A460="","",MONTH(A460))</f>
        <v/>
      </c>
      <c r="D460" s="37">
        <f>IF(A460="","","Q"&amp;ROUNDUP(MONTH(A460)/3,0))</f>
        <v/>
      </c>
      <c r="E460" s="18" t="n"/>
      <c r="F460" s="18" t="n"/>
      <c r="G460" s="40">
        <f>IFERROR(VLOOKUP(F460,M2_거래처마스터!A:E,3,FALSE),"")</f>
        <v/>
      </c>
      <c r="H460" s="18" t="n"/>
      <c r="I460" s="19" t="n"/>
      <c r="J460" s="20" t="n"/>
      <c r="K460" s="39">
        <f>IF(AND(I460&lt;&gt;"",J460&lt;&gt;""),I460*J460,"")</f>
        <v/>
      </c>
      <c r="L460" s="18" t="n"/>
      <c r="M460" s="18" t="n"/>
      <c r="N460" s="20" t="n"/>
      <c r="O460" s="20" t="n"/>
    </row>
    <row r="461">
      <c r="A461" s="41" t="n"/>
      <c r="B461" s="35">
        <f>IF(A461="","",YEAR(A461))</f>
        <v/>
      </c>
      <c r="C461" s="36">
        <f>IF(A461="","",MONTH(A461))</f>
        <v/>
      </c>
      <c r="D461" s="37">
        <f>IF(A461="","","Q"&amp;ROUNDUP(MONTH(A461)/3,0))</f>
        <v/>
      </c>
      <c r="E461" s="22" t="n"/>
      <c r="F461" s="22" t="n"/>
      <c r="G461" s="40">
        <f>IFERROR(VLOOKUP(F461,M2_거래처마스터!A:E,3,FALSE),"")</f>
        <v/>
      </c>
      <c r="H461" s="22" t="n"/>
      <c r="I461" s="23" t="n"/>
      <c r="J461" s="24" t="n"/>
      <c r="K461" s="39">
        <f>IF(AND(I461&lt;&gt;"",J461&lt;&gt;""),I461*J461,"")</f>
        <v/>
      </c>
      <c r="L461" s="22" t="n"/>
      <c r="M461" s="22" t="n"/>
      <c r="N461" s="24" t="n"/>
      <c r="O461" s="24" t="n"/>
    </row>
    <row r="462">
      <c r="A462" s="34" t="n"/>
      <c r="B462" s="35">
        <f>IF(A462="","",YEAR(A462))</f>
        <v/>
      </c>
      <c r="C462" s="36">
        <f>IF(A462="","",MONTH(A462))</f>
        <v/>
      </c>
      <c r="D462" s="37">
        <f>IF(A462="","","Q"&amp;ROUNDUP(MONTH(A462)/3,0))</f>
        <v/>
      </c>
      <c r="E462" s="18" t="n"/>
      <c r="F462" s="18" t="n"/>
      <c r="G462" s="40">
        <f>IFERROR(VLOOKUP(F462,M2_거래처마스터!A:E,3,FALSE),"")</f>
        <v/>
      </c>
      <c r="H462" s="18" t="n"/>
      <c r="I462" s="19" t="n"/>
      <c r="J462" s="20" t="n"/>
      <c r="K462" s="39">
        <f>IF(AND(I462&lt;&gt;"",J462&lt;&gt;""),I462*J462,"")</f>
        <v/>
      </c>
      <c r="L462" s="18" t="n"/>
      <c r="M462" s="18" t="n"/>
      <c r="N462" s="20" t="n"/>
      <c r="O462" s="20" t="n"/>
    </row>
    <row r="463">
      <c r="A463" s="41" t="n"/>
      <c r="B463" s="35">
        <f>IF(A463="","",YEAR(A463))</f>
        <v/>
      </c>
      <c r="C463" s="36">
        <f>IF(A463="","",MONTH(A463))</f>
        <v/>
      </c>
      <c r="D463" s="37">
        <f>IF(A463="","","Q"&amp;ROUNDUP(MONTH(A463)/3,0))</f>
        <v/>
      </c>
      <c r="E463" s="22" t="n"/>
      <c r="F463" s="22" t="n"/>
      <c r="G463" s="40">
        <f>IFERROR(VLOOKUP(F463,M2_거래처마스터!A:E,3,FALSE),"")</f>
        <v/>
      </c>
      <c r="H463" s="22" t="n"/>
      <c r="I463" s="23" t="n"/>
      <c r="J463" s="24" t="n"/>
      <c r="K463" s="39">
        <f>IF(AND(I463&lt;&gt;"",J463&lt;&gt;""),I463*J463,"")</f>
        <v/>
      </c>
      <c r="L463" s="22" t="n"/>
      <c r="M463" s="22" t="n"/>
      <c r="N463" s="24" t="n"/>
      <c r="O463" s="24" t="n"/>
    </row>
    <row r="464">
      <c r="A464" s="34" t="n"/>
      <c r="B464" s="35">
        <f>IF(A464="","",YEAR(A464))</f>
        <v/>
      </c>
      <c r="C464" s="36">
        <f>IF(A464="","",MONTH(A464))</f>
        <v/>
      </c>
      <c r="D464" s="37">
        <f>IF(A464="","","Q"&amp;ROUNDUP(MONTH(A464)/3,0))</f>
        <v/>
      </c>
      <c r="E464" s="18" t="n"/>
      <c r="F464" s="18" t="n"/>
      <c r="G464" s="40">
        <f>IFERROR(VLOOKUP(F464,M2_거래처마스터!A:E,3,FALSE),"")</f>
        <v/>
      </c>
      <c r="H464" s="18" t="n"/>
      <c r="I464" s="19" t="n"/>
      <c r="J464" s="20" t="n"/>
      <c r="K464" s="39">
        <f>IF(AND(I464&lt;&gt;"",J464&lt;&gt;""),I464*J464,"")</f>
        <v/>
      </c>
      <c r="L464" s="18" t="n"/>
      <c r="M464" s="18" t="n"/>
      <c r="N464" s="20" t="n"/>
      <c r="O464" s="20" t="n"/>
    </row>
    <row r="465">
      <c r="A465" s="41" t="n"/>
      <c r="B465" s="35">
        <f>IF(A465="","",YEAR(A465))</f>
        <v/>
      </c>
      <c r="C465" s="36">
        <f>IF(A465="","",MONTH(A465))</f>
        <v/>
      </c>
      <c r="D465" s="37">
        <f>IF(A465="","","Q"&amp;ROUNDUP(MONTH(A465)/3,0))</f>
        <v/>
      </c>
      <c r="E465" s="22" t="n"/>
      <c r="F465" s="22" t="n"/>
      <c r="G465" s="40">
        <f>IFERROR(VLOOKUP(F465,M2_거래처마스터!A:E,3,FALSE),"")</f>
        <v/>
      </c>
      <c r="H465" s="22" t="n"/>
      <c r="I465" s="23" t="n"/>
      <c r="J465" s="24" t="n"/>
      <c r="K465" s="39">
        <f>IF(AND(I465&lt;&gt;"",J465&lt;&gt;""),I465*J465,"")</f>
        <v/>
      </c>
      <c r="L465" s="22" t="n"/>
      <c r="M465" s="22" t="n"/>
      <c r="N465" s="24" t="n"/>
      <c r="O465" s="24" t="n"/>
    </row>
    <row r="466">
      <c r="A466" s="34" t="n"/>
      <c r="B466" s="35">
        <f>IF(A466="","",YEAR(A466))</f>
        <v/>
      </c>
      <c r="C466" s="36">
        <f>IF(A466="","",MONTH(A466))</f>
        <v/>
      </c>
      <c r="D466" s="37">
        <f>IF(A466="","","Q"&amp;ROUNDUP(MONTH(A466)/3,0))</f>
        <v/>
      </c>
      <c r="E466" s="18" t="n"/>
      <c r="F466" s="18" t="n"/>
      <c r="G466" s="40">
        <f>IFERROR(VLOOKUP(F466,M2_거래처마스터!A:E,3,FALSE),"")</f>
        <v/>
      </c>
      <c r="H466" s="18" t="n"/>
      <c r="I466" s="19" t="n"/>
      <c r="J466" s="20" t="n"/>
      <c r="K466" s="39">
        <f>IF(AND(I466&lt;&gt;"",J466&lt;&gt;""),I466*J466,"")</f>
        <v/>
      </c>
      <c r="L466" s="18" t="n"/>
      <c r="M466" s="18" t="n"/>
      <c r="N466" s="20" t="n"/>
      <c r="O466" s="20" t="n"/>
    </row>
    <row r="467">
      <c r="A467" s="41" t="n"/>
      <c r="B467" s="35">
        <f>IF(A467="","",YEAR(A467))</f>
        <v/>
      </c>
      <c r="C467" s="36">
        <f>IF(A467="","",MONTH(A467))</f>
        <v/>
      </c>
      <c r="D467" s="37">
        <f>IF(A467="","","Q"&amp;ROUNDUP(MONTH(A467)/3,0))</f>
        <v/>
      </c>
      <c r="E467" s="22" t="n"/>
      <c r="F467" s="22" t="n"/>
      <c r="G467" s="40">
        <f>IFERROR(VLOOKUP(F467,M2_거래처마스터!A:E,3,FALSE),"")</f>
        <v/>
      </c>
      <c r="H467" s="22" t="n"/>
      <c r="I467" s="23" t="n"/>
      <c r="J467" s="24" t="n"/>
      <c r="K467" s="39">
        <f>IF(AND(I467&lt;&gt;"",J467&lt;&gt;""),I467*J467,"")</f>
        <v/>
      </c>
      <c r="L467" s="22" t="n"/>
      <c r="M467" s="22" t="n"/>
      <c r="N467" s="24" t="n"/>
      <c r="O467" s="24" t="n"/>
    </row>
    <row r="468">
      <c r="A468" s="34" t="n"/>
      <c r="B468" s="35">
        <f>IF(A468="","",YEAR(A468))</f>
        <v/>
      </c>
      <c r="C468" s="36">
        <f>IF(A468="","",MONTH(A468))</f>
        <v/>
      </c>
      <c r="D468" s="37">
        <f>IF(A468="","","Q"&amp;ROUNDUP(MONTH(A468)/3,0))</f>
        <v/>
      </c>
      <c r="E468" s="18" t="n"/>
      <c r="F468" s="18" t="n"/>
      <c r="G468" s="40">
        <f>IFERROR(VLOOKUP(F468,M2_거래처마스터!A:E,3,FALSE),"")</f>
        <v/>
      </c>
      <c r="H468" s="18" t="n"/>
      <c r="I468" s="19" t="n"/>
      <c r="J468" s="20" t="n"/>
      <c r="K468" s="39">
        <f>IF(AND(I468&lt;&gt;"",J468&lt;&gt;""),I468*J468,"")</f>
        <v/>
      </c>
      <c r="L468" s="18" t="n"/>
      <c r="M468" s="18" t="n"/>
      <c r="N468" s="20" t="n"/>
      <c r="O468" s="20" t="n"/>
    </row>
    <row r="469">
      <c r="A469" s="41" t="n"/>
      <c r="B469" s="35">
        <f>IF(A469="","",YEAR(A469))</f>
        <v/>
      </c>
      <c r="C469" s="36">
        <f>IF(A469="","",MONTH(A469))</f>
        <v/>
      </c>
      <c r="D469" s="37">
        <f>IF(A469="","","Q"&amp;ROUNDUP(MONTH(A469)/3,0))</f>
        <v/>
      </c>
      <c r="E469" s="22" t="n"/>
      <c r="F469" s="22" t="n"/>
      <c r="G469" s="40">
        <f>IFERROR(VLOOKUP(F469,M2_거래처마스터!A:E,3,FALSE),"")</f>
        <v/>
      </c>
      <c r="H469" s="22" t="n"/>
      <c r="I469" s="23" t="n"/>
      <c r="J469" s="24" t="n"/>
      <c r="K469" s="39">
        <f>IF(AND(I469&lt;&gt;"",J469&lt;&gt;""),I469*J469,"")</f>
        <v/>
      </c>
      <c r="L469" s="22" t="n"/>
      <c r="M469" s="22" t="n"/>
      <c r="N469" s="24" t="n"/>
      <c r="O469" s="24" t="n"/>
    </row>
    <row r="470">
      <c r="A470" s="34" t="n"/>
      <c r="B470" s="35">
        <f>IF(A470="","",YEAR(A470))</f>
        <v/>
      </c>
      <c r="C470" s="36">
        <f>IF(A470="","",MONTH(A470))</f>
        <v/>
      </c>
      <c r="D470" s="37">
        <f>IF(A470="","","Q"&amp;ROUNDUP(MONTH(A470)/3,0))</f>
        <v/>
      </c>
      <c r="E470" s="18" t="n"/>
      <c r="F470" s="18" t="n"/>
      <c r="G470" s="40">
        <f>IFERROR(VLOOKUP(F470,M2_거래처마스터!A:E,3,FALSE),"")</f>
        <v/>
      </c>
      <c r="H470" s="18" t="n"/>
      <c r="I470" s="19" t="n"/>
      <c r="J470" s="20" t="n"/>
      <c r="K470" s="39">
        <f>IF(AND(I470&lt;&gt;"",J470&lt;&gt;""),I470*J470,"")</f>
        <v/>
      </c>
      <c r="L470" s="18" t="n"/>
      <c r="M470" s="18" t="n"/>
      <c r="N470" s="20" t="n"/>
      <c r="O470" s="20" t="n"/>
    </row>
    <row r="471">
      <c r="A471" s="41" t="n"/>
      <c r="B471" s="35">
        <f>IF(A471="","",YEAR(A471))</f>
        <v/>
      </c>
      <c r="C471" s="36">
        <f>IF(A471="","",MONTH(A471))</f>
        <v/>
      </c>
      <c r="D471" s="37">
        <f>IF(A471="","","Q"&amp;ROUNDUP(MONTH(A471)/3,0))</f>
        <v/>
      </c>
      <c r="E471" s="22" t="n"/>
      <c r="F471" s="22" t="n"/>
      <c r="G471" s="40">
        <f>IFERROR(VLOOKUP(F471,M2_거래처마스터!A:E,3,FALSE),"")</f>
        <v/>
      </c>
      <c r="H471" s="22" t="n"/>
      <c r="I471" s="23" t="n"/>
      <c r="J471" s="24" t="n"/>
      <c r="K471" s="39">
        <f>IF(AND(I471&lt;&gt;"",J471&lt;&gt;""),I471*J471,"")</f>
        <v/>
      </c>
      <c r="L471" s="22" t="n"/>
      <c r="M471" s="22" t="n"/>
      <c r="N471" s="24" t="n"/>
      <c r="O471" s="24" t="n"/>
    </row>
    <row r="472">
      <c r="A472" s="34" t="n"/>
      <c r="B472" s="35">
        <f>IF(A472="","",YEAR(A472))</f>
        <v/>
      </c>
      <c r="C472" s="36">
        <f>IF(A472="","",MONTH(A472))</f>
        <v/>
      </c>
      <c r="D472" s="37">
        <f>IF(A472="","","Q"&amp;ROUNDUP(MONTH(A472)/3,0))</f>
        <v/>
      </c>
      <c r="E472" s="18" t="n"/>
      <c r="F472" s="18" t="n"/>
      <c r="G472" s="40">
        <f>IFERROR(VLOOKUP(F472,M2_거래처마스터!A:E,3,FALSE),"")</f>
        <v/>
      </c>
      <c r="H472" s="18" t="n"/>
      <c r="I472" s="19" t="n"/>
      <c r="J472" s="20" t="n"/>
      <c r="K472" s="39">
        <f>IF(AND(I472&lt;&gt;"",J472&lt;&gt;""),I472*J472,"")</f>
        <v/>
      </c>
      <c r="L472" s="18" t="n"/>
      <c r="M472" s="18" t="n"/>
      <c r="N472" s="20" t="n"/>
      <c r="O472" s="20" t="n"/>
    </row>
    <row r="473">
      <c r="A473" s="41" t="n"/>
      <c r="B473" s="35">
        <f>IF(A473="","",YEAR(A473))</f>
        <v/>
      </c>
      <c r="C473" s="36">
        <f>IF(A473="","",MONTH(A473))</f>
        <v/>
      </c>
      <c r="D473" s="37">
        <f>IF(A473="","","Q"&amp;ROUNDUP(MONTH(A473)/3,0))</f>
        <v/>
      </c>
      <c r="E473" s="22" t="n"/>
      <c r="F473" s="22" t="n"/>
      <c r="G473" s="40">
        <f>IFERROR(VLOOKUP(F473,M2_거래처마스터!A:E,3,FALSE),"")</f>
        <v/>
      </c>
      <c r="H473" s="22" t="n"/>
      <c r="I473" s="23" t="n"/>
      <c r="J473" s="24" t="n"/>
      <c r="K473" s="39">
        <f>IF(AND(I473&lt;&gt;"",J473&lt;&gt;""),I473*J473,"")</f>
        <v/>
      </c>
      <c r="L473" s="22" t="n"/>
      <c r="M473" s="22" t="n"/>
      <c r="N473" s="24" t="n"/>
      <c r="O473" s="24" t="n"/>
    </row>
    <row r="474">
      <c r="A474" s="34" t="n"/>
      <c r="B474" s="35">
        <f>IF(A474="","",YEAR(A474))</f>
        <v/>
      </c>
      <c r="C474" s="36">
        <f>IF(A474="","",MONTH(A474))</f>
        <v/>
      </c>
      <c r="D474" s="37">
        <f>IF(A474="","","Q"&amp;ROUNDUP(MONTH(A474)/3,0))</f>
        <v/>
      </c>
      <c r="E474" s="18" t="n"/>
      <c r="F474" s="18" t="n"/>
      <c r="G474" s="40">
        <f>IFERROR(VLOOKUP(F474,M2_거래처마스터!A:E,3,FALSE),"")</f>
        <v/>
      </c>
      <c r="H474" s="18" t="n"/>
      <c r="I474" s="19" t="n"/>
      <c r="J474" s="20" t="n"/>
      <c r="K474" s="39">
        <f>IF(AND(I474&lt;&gt;"",J474&lt;&gt;""),I474*J474,"")</f>
        <v/>
      </c>
      <c r="L474" s="18" t="n"/>
      <c r="M474" s="18" t="n"/>
      <c r="N474" s="20" t="n"/>
      <c r="O474" s="20" t="n"/>
    </row>
    <row r="475">
      <c r="A475" s="41" t="n"/>
      <c r="B475" s="35">
        <f>IF(A475="","",YEAR(A475))</f>
        <v/>
      </c>
      <c r="C475" s="36">
        <f>IF(A475="","",MONTH(A475))</f>
        <v/>
      </c>
      <c r="D475" s="37">
        <f>IF(A475="","","Q"&amp;ROUNDUP(MONTH(A475)/3,0))</f>
        <v/>
      </c>
      <c r="E475" s="22" t="n"/>
      <c r="F475" s="22" t="n"/>
      <c r="G475" s="40">
        <f>IFERROR(VLOOKUP(F475,M2_거래처마스터!A:E,3,FALSE),"")</f>
        <v/>
      </c>
      <c r="H475" s="22" t="n"/>
      <c r="I475" s="23" t="n"/>
      <c r="J475" s="24" t="n"/>
      <c r="K475" s="39">
        <f>IF(AND(I475&lt;&gt;"",J475&lt;&gt;""),I475*J475,"")</f>
        <v/>
      </c>
      <c r="L475" s="22" t="n"/>
      <c r="M475" s="22" t="n"/>
      <c r="N475" s="24" t="n"/>
      <c r="O475" s="24" t="n"/>
    </row>
    <row r="476">
      <c r="A476" s="34" t="n"/>
      <c r="B476" s="35">
        <f>IF(A476="","",YEAR(A476))</f>
        <v/>
      </c>
      <c r="C476" s="36">
        <f>IF(A476="","",MONTH(A476))</f>
        <v/>
      </c>
      <c r="D476" s="37">
        <f>IF(A476="","","Q"&amp;ROUNDUP(MONTH(A476)/3,0))</f>
        <v/>
      </c>
      <c r="E476" s="18" t="n"/>
      <c r="F476" s="18" t="n"/>
      <c r="G476" s="40">
        <f>IFERROR(VLOOKUP(F476,M2_거래처마스터!A:E,3,FALSE),"")</f>
        <v/>
      </c>
      <c r="H476" s="18" t="n"/>
      <c r="I476" s="19" t="n"/>
      <c r="J476" s="20" t="n"/>
      <c r="K476" s="39">
        <f>IF(AND(I476&lt;&gt;"",J476&lt;&gt;""),I476*J476,"")</f>
        <v/>
      </c>
      <c r="L476" s="18" t="n"/>
      <c r="M476" s="18" t="n"/>
      <c r="N476" s="20" t="n"/>
      <c r="O476" s="20" t="n"/>
    </row>
    <row r="477">
      <c r="A477" s="41" t="n"/>
      <c r="B477" s="35">
        <f>IF(A477="","",YEAR(A477))</f>
        <v/>
      </c>
      <c r="C477" s="36">
        <f>IF(A477="","",MONTH(A477))</f>
        <v/>
      </c>
      <c r="D477" s="37">
        <f>IF(A477="","","Q"&amp;ROUNDUP(MONTH(A477)/3,0))</f>
        <v/>
      </c>
      <c r="E477" s="22" t="n"/>
      <c r="F477" s="22" t="n"/>
      <c r="G477" s="40">
        <f>IFERROR(VLOOKUP(F477,M2_거래처마스터!A:E,3,FALSE),"")</f>
        <v/>
      </c>
      <c r="H477" s="22" t="n"/>
      <c r="I477" s="23" t="n"/>
      <c r="J477" s="24" t="n"/>
      <c r="K477" s="39">
        <f>IF(AND(I477&lt;&gt;"",J477&lt;&gt;""),I477*J477,"")</f>
        <v/>
      </c>
      <c r="L477" s="22" t="n"/>
      <c r="M477" s="22" t="n"/>
      <c r="N477" s="24" t="n"/>
      <c r="O477" s="24" t="n"/>
    </row>
    <row r="478">
      <c r="A478" s="34" t="n"/>
      <c r="B478" s="35">
        <f>IF(A478="","",YEAR(A478))</f>
        <v/>
      </c>
      <c r="C478" s="36">
        <f>IF(A478="","",MONTH(A478))</f>
        <v/>
      </c>
      <c r="D478" s="37">
        <f>IF(A478="","","Q"&amp;ROUNDUP(MONTH(A478)/3,0))</f>
        <v/>
      </c>
      <c r="E478" s="18" t="n"/>
      <c r="F478" s="18" t="n"/>
      <c r="G478" s="40">
        <f>IFERROR(VLOOKUP(F478,M2_거래처마스터!A:E,3,FALSE),"")</f>
        <v/>
      </c>
      <c r="H478" s="18" t="n"/>
      <c r="I478" s="19" t="n"/>
      <c r="J478" s="20" t="n"/>
      <c r="K478" s="39">
        <f>IF(AND(I478&lt;&gt;"",J478&lt;&gt;""),I478*J478,"")</f>
        <v/>
      </c>
      <c r="L478" s="18" t="n"/>
      <c r="M478" s="18" t="n"/>
      <c r="N478" s="20" t="n"/>
      <c r="O478" s="20" t="n"/>
    </row>
    <row r="479">
      <c r="A479" s="41" t="n"/>
      <c r="B479" s="35">
        <f>IF(A479="","",YEAR(A479))</f>
        <v/>
      </c>
      <c r="C479" s="36">
        <f>IF(A479="","",MONTH(A479))</f>
        <v/>
      </c>
      <c r="D479" s="37">
        <f>IF(A479="","","Q"&amp;ROUNDUP(MONTH(A479)/3,0))</f>
        <v/>
      </c>
      <c r="E479" s="22" t="n"/>
      <c r="F479" s="22" t="n"/>
      <c r="G479" s="40">
        <f>IFERROR(VLOOKUP(F479,M2_거래처마스터!A:E,3,FALSE),"")</f>
        <v/>
      </c>
      <c r="H479" s="22" t="n"/>
      <c r="I479" s="23" t="n"/>
      <c r="J479" s="24" t="n"/>
      <c r="K479" s="39">
        <f>IF(AND(I479&lt;&gt;"",J479&lt;&gt;""),I479*J479,"")</f>
        <v/>
      </c>
      <c r="L479" s="22" t="n"/>
      <c r="M479" s="22" t="n"/>
      <c r="N479" s="24" t="n"/>
      <c r="O479" s="24" t="n"/>
    </row>
    <row r="480">
      <c r="A480" s="34" t="n"/>
      <c r="B480" s="35">
        <f>IF(A480="","",YEAR(A480))</f>
        <v/>
      </c>
      <c r="C480" s="36">
        <f>IF(A480="","",MONTH(A480))</f>
        <v/>
      </c>
      <c r="D480" s="37">
        <f>IF(A480="","","Q"&amp;ROUNDUP(MONTH(A480)/3,0))</f>
        <v/>
      </c>
      <c r="E480" s="18" t="n"/>
      <c r="F480" s="18" t="n"/>
      <c r="G480" s="40">
        <f>IFERROR(VLOOKUP(F480,M2_거래처마스터!A:E,3,FALSE),"")</f>
        <v/>
      </c>
      <c r="H480" s="18" t="n"/>
      <c r="I480" s="19" t="n"/>
      <c r="J480" s="20" t="n"/>
      <c r="K480" s="39">
        <f>IF(AND(I480&lt;&gt;"",J480&lt;&gt;""),I480*J480,"")</f>
        <v/>
      </c>
      <c r="L480" s="18" t="n"/>
      <c r="M480" s="18" t="n"/>
      <c r="N480" s="20" t="n"/>
      <c r="O480" s="20" t="n"/>
    </row>
    <row r="481">
      <c r="A481" s="41" t="n"/>
      <c r="B481" s="35">
        <f>IF(A481="","",YEAR(A481))</f>
        <v/>
      </c>
      <c r="C481" s="36">
        <f>IF(A481="","",MONTH(A481))</f>
        <v/>
      </c>
      <c r="D481" s="37">
        <f>IF(A481="","","Q"&amp;ROUNDUP(MONTH(A481)/3,0))</f>
        <v/>
      </c>
      <c r="E481" s="22" t="n"/>
      <c r="F481" s="22" t="n"/>
      <c r="G481" s="40">
        <f>IFERROR(VLOOKUP(F481,M2_거래처마스터!A:E,3,FALSE),"")</f>
        <v/>
      </c>
      <c r="H481" s="22" t="n"/>
      <c r="I481" s="23" t="n"/>
      <c r="J481" s="24" t="n"/>
      <c r="K481" s="39">
        <f>IF(AND(I481&lt;&gt;"",J481&lt;&gt;""),I481*J481,"")</f>
        <v/>
      </c>
      <c r="L481" s="22" t="n"/>
      <c r="M481" s="22" t="n"/>
      <c r="N481" s="24" t="n"/>
      <c r="O481" s="24" t="n"/>
    </row>
    <row r="482">
      <c r="A482" s="34" t="n"/>
      <c r="B482" s="35">
        <f>IF(A482="","",YEAR(A482))</f>
        <v/>
      </c>
      <c r="C482" s="36">
        <f>IF(A482="","",MONTH(A482))</f>
        <v/>
      </c>
      <c r="D482" s="37">
        <f>IF(A482="","","Q"&amp;ROUNDUP(MONTH(A482)/3,0))</f>
        <v/>
      </c>
      <c r="E482" s="18" t="n"/>
      <c r="F482" s="18" t="n"/>
      <c r="G482" s="40">
        <f>IFERROR(VLOOKUP(F482,M2_거래처마스터!A:E,3,FALSE),"")</f>
        <v/>
      </c>
      <c r="H482" s="18" t="n"/>
      <c r="I482" s="19" t="n"/>
      <c r="J482" s="20" t="n"/>
      <c r="K482" s="39">
        <f>IF(AND(I482&lt;&gt;"",J482&lt;&gt;""),I482*J482,"")</f>
        <v/>
      </c>
      <c r="L482" s="18" t="n"/>
      <c r="M482" s="18" t="n"/>
      <c r="N482" s="20" t="n"/>
      <c r="O482" s="20" t="n"/>
    </row>
    <row r="483">
      <c r="A483" s="41" t="n"/>
      <c r="B483" s="35">
        <f>IF(A483="","",YEAR(A483))</f>
        <v/>
      </c>
      <c r="C483" s="36">
        <f>IF(A483="","",MONTH(A483))</f>
        <v/>
      </c>
      <c r="D483" s="37">
        <f>IF(A483="","","Q"&amp;ROUNDUP(MONTH(A483)/3,0))</f>
        <v/>
      </c>
      <c r="E483" s="22" t="n"/>
      <c r="F483" s="22" t="n"/>
      <c r="G483" s="40">
        <f>IFERROR(VLOOKUP(F483,M2_거래처마스터!A:E,3,FALSE),"")</f>
        <v/>
      </c>
      <c r="H483" s="22" t="n"/>
      <c r="I483" s="23" t="n"/>
      <c r="J483" s="24" t="n"/>
      <c r="K483" s="39">
        <f>IF(AND(I483&lt;&gt;"",J483&lt;&gt;""),I483*J483,"")</f>
        <v/>
      </c>
      <c r="L483" s="22" t="n"/>
      <c r="M483" s="22" t="n"/>
      <c r="N483" s="24" t="n"/>
      <c r="O483" s="24" t="n"/>
    </row>
    <row r="484">
      <c r="A484" s="34" t="n"/>
      <c r="B484" s="35">
        <f>IF(A484="","",YEAR(A484))</f>
        <v/>
      </c>
      <c r="C484" s="36">
        <f>IF(A484="","",MONTH(A484))</f>
        <v/>
      </c>
      <c r="D484" s="37">
        <f>IF(A484="","","Q"&amp;ROUNDUP(MONTH(A484)/3,0))</f>
        <v/>
      </c>
      <c r="E484" s="18" t="n"/>
      <c r="F484" s="18" t="n"/>
      <c r="G484" s="40">
        <f>IFERROR(VLOOKUP(F484,M2_거래처마스터!A:E,3,FALSE),"")</f>
        <v/>
      </c>
      <c r="H484" s="18" t="n"/>
      <c r="I484" s="19" t="n"/>
      <c r="J484" s="20" t="n"/>
      <c r="K484" s="39">
        <f>IF(AND(I484&lt;&gt;"",J484&lt;&gt;""),I484*J484,"")</f>
        <v/>
      </c>
      <c r="L484" s="18" t="n"/>
      <c r="M484" s="18" t="n"/>
      <c r="N484" s="20" t="n"/>
      <c r="O484" s="20" t="n"/>
    </row>
    <row r="485">
      <c r="A485" s="41" t="n"/>
      <c r="B485" s="35">
        <f>IF(A485="","",YEAR(A485))</f>
        <v/>
      </c>
      <c r="C485" s="36">
        <f>IF(A485="","",MONTH(A485))</f>
        <v/>
      </c>
      <c r="D485" s="37">
        <f>IF(A485="","","Q"&amp;ROUNDUP(MONTH(A485)/3,0))</f>
        <v/>
      </c>
      <c r="E485" s="22" t="n"/>
      <c r="F485" s="22" t="n"/>
      <c r="G485" s="40">
        <f>IFERROR(VLOOKUP(F485,M2_거래처마스터!A:E,3,FALSE),"")</f>
        <v/>
      </c>
      <c r="H485" s="22" t="n"/>
      <c r="I485" s="23" t="n"/>
      <c r="J485" s="24" t="n"/>
      <c r="K485" s="39">
        <f>IF(AND(I485&lt;&gt;"",J485&lt;&gt;""),I485*J485,"")</f>
        <v/>
      </c>
      <c r="L485" s="22" t="n"/>
      <c r="M485" s="22" t="n"/>
      <c r="N485" s="24" t="n"/>
      <c r="O485" s="24" t="n"/>
    </row>
    <row r="486">
      <c r="A486" s="34" t="n"/>
      <c r="B486" s="35">
        <f>IF(A486="","",YEAR(A486))</f>
        <v/>
      </c>
      <c r="C486" s="36">
        <f>IF(A486="","",MONTH(A486))</f>
        <v/>
      </c>
      <c r="D486" s="37">
        <f>IF(A486="","","Q"&amp;ROUNDUP(MONTH(A486)/3,0))</f>
        <v/>
      </c>
      <c r="E486" s="18" t="n"/>
      <c r="F486" s="18" t="n"/>
      <c r="G486" s="40">
        <f>IFERROR(VLOOKUP(F486,M2_거래처마스터!A:E,3,FALSE),"")</f>
        <v/>
      </c>
      <c r="H486" s="18" t="n"/>
      <c r="I486" s="19" t="n"/>
      <c r="J486" s="20" t="n"/>
      <c r="K486" s="39">
        <f>IF(AND(I486&lt;&gt;"",J486&lt;&gt;""),I486*J486,"")</f>
        <v/>
      </c>
      <c r="L486" s="18" t="n"/>
      <c r="M486" s="18" t="n"/>
      <c r="N486" s="20" t="n"/>
      <c r="O486" s="20" t="n"/>
    </row>
    <row r="487">
      <c r="A487" s="41" t="n"/>
      <c r="B487" s="35">
        <f>IF(A487="","",YEAR(A487))</f>
        <v/>
      </c>
      <c r="C487" s="36">
        <f>IF(A487="","",MONTH(A487))</f>
        <v/>
      </c>
      <c r="D487" s="37">
        <f>IF(A487="","","Q"&amp;ROUNDUP(MONTH(A487)/3,0))</f>
        <v/>
      </c>
      <c r="E487" s="22" t="n"/>
      <c r="F487" s="22" t="n"/>
      <c r="G487" s="40">
        <f>IFERROR(VLOOKUP(F487,M2_거래처마스터!A:E,3,FALSE),"")</f>
        <v/>
      </c>
      <c r="H487" s="22" t="n"/>
      <c r="I487" s="23" t="n"/>
      <c r="J487" s="24" t="n"/>
      <c r="K487" s="39">
        <f>IF(AND(I487&lt;&gt;"",J487&lt;&gt;""),I487*J487,"")</f>
        <v/>
      </c>
      <c r="L487" s="22" t="n"/>
      <c r="M487" s="22" t="n"/>
      <c r="N487" s="24" t="n"/>
      <c r="O487" s="24" t="n"/>
    </row>
    <row r="488">
      <c r="A488" s="34" t="n"/>
      <c r="B488" s="35">
        <f>IF(A488="","",YEAR(A488))</f>
        <v/>
      </c>
      <c r="C488" s="36">
        <f>IF(A488="","",MONTH(A488))</f>
        <v/>
      </c>
      <c r="D488" s="37">
        <f>IF(A488="","","Q"&amp;ROUNDUP(MONTH(A488)/3,0))</f>
        <v/>
      </c>
      <c r="E488" s="18" t="n"/>
      <c r="F488" s="18" t="n"/>
      <c r="G488" s="40">
        <f>IFERROR(VLOOKUP(F488,M2_거래처마스터!A:E,3,FALSE),"")</f>
        <v/>
      </c>
      <c r="H488" s="18" t="n"/>
      <c r="I488" s="19" t="n"/>
      <c r="J488" s="20" t="n"/>
      <c r="K488" s="39">
        <f>IF(AND(I488&lt;&gt;"",J488&lt;&gt;""),I488*J488,"")</f>
        <v/>
      </c>
      <c r="L488" s="18" t="n"/>
      <c r="M488" s="18" t="n"/>
      <c r="N488" s="20" t="n"/>
      <c r="O488" s="20" t="n"/>
    </row>
    <row r="489">
      <c r="A489" s="41" t="n"/>
      <c r="B489" s="35">
        <f>IF(A489="","",YEAR(A489))</f>
        <v/>
      </c>
      <c r="C489" s="36">
        <f>IF(A489="","",MONTH(A489))</f>
        <v/>
      </c>
      <c r="D489" s="37">
        <f>IF(A489="","","Q"&amp;ROUNDUP(MONTH(A489)/3,0))</f>
        <v/>
      </c>
      <c r="E489" s="22" t="n"/>
      <c r="F489" s="22" t="n"/>
      <c r="G489" s="40">
        <f>IFERROR(VLOOKUP(F489,M2_거래처마스터!A:E,3,FALSE),"")</f>
        <v/>
      </c>
      <c r="H489" s="22" t="n"/>
      <c r="I489" s="23" t="n"/>
      <c r="J489" s="24" t="n"/>
      <c r="K489" s="39">
        <f>IF(AND(I489&lt;&gt;"",J489&lt;&gt;""),I489*J489,"")</f>
        <v/>
      </c>
      <c r="L489" s="22" t="n"/>
      <c r="M489" s="22" t="n"/>
      <c r="N489" s="24" t="n"/>
      <c r="O489" s="24" t="n"/>
    </row>
    <row r="490">
      <c r="A490" s="34" t="n"/>
      <c r="B490" s="35">
        <f>IF(A490="","",YEAR(A490))</f>
        <v/>
      </c>
      <c r="C490" s="36">
        <f>IF(A490="","",MONTH(A490))</f>
        <v/>
      </c>
      <c r="D490" s="37">
        <f>IF(A490="","","Q"&amp;ROUNDUP(MONTH(A490)/3,0))</f>
        <v/>
      </c>
      <c r="E490" s="18" t="n"/>
      <c r="F490" s="18" t="n"/>
      <c r="G490" s="40">
        <f>IFERROR(VLOOKUP(F490,M2_거래처마스터!A:E,3,FALSE),"")</f>
        <v/>
      </c>
      <c r="H490" s="18" t="n"/>
      <c r="I490" s="19" t="n"/>
      <c r="J490" s="20" t="n"/>
      <c r="K490" s="39">
        <f>IF(AND(I490&lt;&gt;"",J490&lt;&gt;""),I490*J490,"")</f>
        <v/>
      </c>
      <c r="L490" s="18" t="n"/>
      <c r="M490" s="18" t="n"/>
      <c r="N490" s="20" t="n"/>
      <c r="O490" s="20" t="n"/>
    </row>
    <row r="491">
      <c r="A491" s="41" t="n"/>
      <c r="B491" s="35">
        <f>IF(A491="","",YEAR(A491))</f>
        <v/>
      </c>
      <c r="C491" s="36">
        <f>IF(A491="","",MONTH(A491))</f>
        <v/>
      </c>
      <c r="D491" s="37">
        <f>IF(A491="","","Q"&amp;ROUNDUP(MONTH(A491)/3,0))</f>
        <v/>
      </c>
      <c r="E491" s="22" t="n"/>
      <c r="F491" s="22" t="n"/>
      <c r="G491" s="40">
        <f>IFERROR(VLOOKUP(F491,M2_거래처마스터!A:E,3,FALSE),"")</f>
        <v/>
      </c>
      <c r="H491" s="22" t="n"/>
      <c r="I491" s="23" t="n"/>
      <c r="J491" s="24" t="n"/>
      <c r="K491" s="39">
        <f>IF(AND(I491&lt;&gt;"",J491&lt;&gt;""),I491*J491,"")</f>
        <v/>
      </c>
      <c r="L491" s="22" t="n"/>
      <c r="M491" s="22" t="n"/>
      <c r="N491" s="24" t="n"/>
      <c r="O491" s="24" t="n"/>
    </row>
    <row r="492">
      <c r="A492" s="34" t="n"/>
      <c r="B492" s="35">
        <f>IF(A492="","",YEAR(A492))</f>
        <v/>
      </c>
      <c r="C492" s="36">
        <f>IF(A492="","",MONTH(A492))</f>
        <v/>
      </c>
      <c r="D492" s="37">
        <f>IF(A492="","","Q"&amp;ROUNDUP(MONTH(A492)/3,0))</f>
        <v/>
      </c>
      <c r="E492" s="18" t="n"/>
      <c r="F492" s="18" t="n"/>
      <c r="G492" s="40">
        <f>IFERROR(VLOOKUP(F492,M2_거래처마스터!A:E,3,FALSE),"")</f>
        <v/>
      </c>
      <c r="H492" s="18" t="n"/>
      <c r="I492" s="19" t="n"/>
      <c r="J492" s="20" t="n"/>
      <c r="K492" s="39">
        <f>IF(AND(I492&lt;&gt;"",J492&lt;&gt;""),I492*J492,"")</f>
        <v/>
      </c>
      <c r="L492" s="18" t="n"/>
      <c r="M492" s="18" t="n"/>
      <c r="N492" s="20" t="n"/>
      <c r="O492" s="20" t="n"/>
    </row>
    <row r="493">
      <c r="A493" s="41" t="n"/>
      <c r="B493" s="35">
        <f>IF(A493="","",YEAR(A493))</f>
        <v/>
      </c>
      <c r="C493" s="36">
        <f>IF(A493="","",MONTH(A493))</f>
        <v/>
      </c>
      <c r="D493" s="37">
        <f>IF(A493="","","Q"&amp;ROUNDUP(MONTH(A493)/3,0))</f>
        <v/>
      </c>
      <c r="E493" s="22" t="n"/>
      <c r="F493" s="22" t="n"/>
      <c r="G493" s="40">
        <f>IFERROR(VLOOKUP(F493,M2_거래처마스터!A:E,3,FALSE),"")</f>
        <v/>
      </c>
      <c r="H493" s="22" t="n"/>
      <c r="I493" s="23" t="n"/>
      <c r="J493" s="24" t="n"/>
      <c r="K493" s="39">
        <f>IF(AND(I493&lt;&gt;"",J493&lt;&gt;""),I493*J493,"")</f>
        <v/>
      </c>
      <c r="L493" s="22" t="n"/>
      <c r="M493" s="22" t="n"/>
      <c r="N493" s="24" t="n"/>
      <c r="O493" s="24" t="n"/>
    </row>
    <row r="494">
      <c r="A494" s="34" t="n"/>
      <c r="B494" s="35">
        <f>IF(A494="","",YEAR(A494))</f>
        <v/>
      </c>
      <c r="C494" s="36">
        <f>IF(A494="","",MONTH(A494))</f>
        <v/>
      </c>
      <c r="D494" s="37">
        <f>IF(A494="","","Q"&amp;ROUNDUP(MONTH(A494)/3,0))</f>
        <v/>
      </c>
      <c r="E494" s="18" t="n"/>
      <c r="F494" s="18" t="n"/>
      <c r="G494" s="40">
        <f>IFERROR(VLOOKUP(F494,M2_거래처마스터!A:E,3,FALSE),"")</f>
        <v/>
      </c>
      <c r="H494" s="18" t="n"/>
      <c r="I494" s="19" t="n"/>
      <c r="J494" s="20" t="n"/>
      <c r="K494" s="39">
        <f>IF(AND(I494&lt;&gt;"",J494&lt;&gt;""),I494*J494,"")</f>
        <v/>
      </c>
      <c r="L494" s="18" t="n"/>
      <c r="M494" s="18" t="n"/>
      <c r="N494" s="20" t="n"/>
      <c r="O494" s="20" t="n"/>
    </row>
    <row r="495">
      <c r="A495" s="41" t="n"/>
      <c r="B495" s="35">
        <f>IF(A495="","",YEAR(A495))</f>
        <v/>
      </c>
      <c r="C495" s="36">
        <f>IF(A495="","",MONTH(A495))</f>
        <v/>
      </c>
      <c r="D495" s="37">
        <f>IF(A495="","","Q"&amp;ROUNDUP(MONTH(A495)/3,0))</f>
        <v/>
      </c>
      <c r="E495" s="22" t="n"/>
      <c r="F495" s="22" t="n"/>
      <c r="G495" s="40">
        <f>IFERROR(VLOOKUP(F495,M2_거래처마스터!A:E,3,FALSE),"")</f>
        <v/>
      </c>
      <c r="H495" s="22" t="n"/>
      <c r="I495" s="23" t="n"/>
      <c r="J495" s="24" t="n"/>
      <c r="K495" s="39">
        <f>IF(AND(I495&lt;&gt;"",J495&lt;&gt;""),I495*J495,"")</f>
        <v/>
      </c>
      <c r="L495" s="22" t="n"/>
      <c r="M495" s="22" t="n"/>
      <c r="N495" s="24" t="n"/>
      <c r="O495" s="24" t="n"/>
    </row>
    <row r="496">
      <c r="A496" s="34" t="n"/>
      <c r="B496" s="35">
        <f>IF(A496="","",YEAR(A496))</f>
        <v/>
      </c>
      <c r="C496" s="36">
        <f>IF(A496="","",MONTH(A496))</f>
        <v/>
      </c>
      <c r="D496" s="37">
        <f>IF(A496="","","Q"&amp;ROUNDUP(MONTH(A496)/3,0))</f>
        <v/>
      </c>
      <c r="E496" s="18" t="n"/>
      <c r="F496" s="18" t="n"/>
      <c r="G496" s="40">
        <f>IFERROR(VLOOKUP(F496,M2_거래처마스터!A:E,3,FALSE),"")</f>
        <v/>
      </c>
      <c r="H496" s="18" t="n"/>
      <c r="I496" s="19" t="n"/>
      <c r="J496" s="20" t="n"/>
      <c r="K496" s="39">
        <f>IF(AND(I496&lt;&gt;"",J496&lt;&gt;""),I496*J496,"")</f>
        <v/>
      </c>
      <c r="L496" s="18" t="n"/>
      <c r="M496" s="18" t="n"/>
      <c r="N496" s="20" t="n"/>
      <c r="O496" s="20" t="n"/>
    </row>
    <row r="497">
      <c r="A497" s="41" t="n"/>
      <c r="B497" s="35">
        <f>IF(A497="","",YEAR(A497))</f>
        <v/>
      </c>
      <c r="C497" s="36">
        <f>IF(A497="","",MONTH(A497))</f>
        <v/>
      </c>
      <c r="D497" s="37">
        <f>IF(A497="","","Q"&amp;ROUNDUP(MONTH(A497)/3,0))</f>
        <v/>
      </c>
      <c r="E497" s="22" t="n"/>
      <c r="F497" s="22" t="n"/>
      <c r="G497" s="40">
        <f>IFERROR(VLOOKUP(F497,M2_거래처마스터!A:E,3,FALSE),"")</f>
        <v/>
      </c>
      <c r="H497" s="22" t="n"/>
      <c r="I497" s="23" t="n"/>
      <c r="J497" s="24" t="n"/>
      <c r="K497" s="39">
        <f>IF(AND(I497&lt;&gt;"",J497&lt;&gt;""),I497*J497,"")</f>
        <v/>
      </c>
      <c r="L497" s="22" t="n"/>
      <c r="M497" s="22" t="n"/>
      <c r="N497" s="24" t="n"/>
      <c r="O497" s="24" t="n"/>
    </row>
    <row r="498">
      <c r="A498" s="34" t="n"/>
      <c r="B498" s="35">
        <f>IF(A498="","",YEAR(A498))</f>
        <v/>
      </c>
      <c r="C498" s="36">
        <f>IF(A498="","",MONTH(A498))</f>
        <v/>
      </c>
      <c r="D498" s="37">
        <f>IF(A498="","","Q"&amp;ROUNDUP(MONTH(A498)/3,0))</f>
        <v/>
      </c>
      <c r="E498" s="18" t="n"/>
      <c r="F498" s="18" t="n"/>
      <c r="G498" s="40">
        <f>IFERROR(VLOOKUP(F498,M2_거래처마스터!A:E,3,FALSE),"")</f>
        <v/>
      </c>
      <c r="H498" s="18" t="n"/>
      <c r="I498" s="19" t="n"/>
      <c r="J498" s="20" t="n"/>
      <c r="K498" s="39">
        <f>IF(AND(I498&lt;&gt;"",J498&lt;&gt;""),I498*J498,"")</f>
        <v/>
      </c>
      <c r="L498" s="18" t="n"/>
      <c r="M498" s="18" t="n"/>
      <c r="N498" s="20" t="n"/>
      <c r="O498" s="20" t="n"/>
    </row>
    <row r="499">
      <c r="A499" s="41" t="n"/>
      <c r="B499" s="35">
        <f>IF(A499="","",YEAR(A499))</f>
        <v/>
      </c>
      <c r="C499" s="36">
        <f>IF(A499="","",MONTH(A499))</f>
        <v/>
      </c>
      <c r="D499" s="37">
        <f>IF(A499="","","Q"&amp;ROUNDUP(MONTH(A499)/3,0))</f>
        <v/>
      </c>
      <c r="E499" s="22" t="n"/>
      <c r="F499" s="22" t="n"/>
      <c r="G499" s="40">
        <f>IFERROR(VLOOKUP(F499,M2_거래처마스터!A:E,3,FALSE),"")</f>
        <v/>
      </c>
      <c r="H499" s="22" t="n"/>
      <c r="I499" s="23" t="n"/>
      <c r="J499" s="24" t="n"/>
      <c r="K499" s="39">
        <f>IF(AND(I499&lt;&gt;"",J499&lt;&gt;""),I499*J499,"")</f>
        <v/>
      </c>
      <c r="L499" s="22" t="n"/>
      <c r="M499" s="22" t="n"/>
      <c r="N499" s="24" t="n"/>
      <c r="O499" s="24" t="n"/>
    </row>
    <row r="500">
      <c r="A500" s="34" t="n"/>
      <c r="B500" s="35">
        <f>IF(A500="","",YEAR(A500))</f>
        <v/>
      </c>
      <c r="C500" s="36">
        <f>IF(A500="","",MONTH(A500))</f>
        <v/>
      </c>
      <c r="D500" s="37">
        <f>IF(A500="","","Q"&amp;ROUNDUP(MONTH(A500)/3,0))</f>
        <v/>
      </c>
      <c r="E500" s="18" t="n"/>
      <c r="F500" s="18" t="n"/>
      <c r="G500" s="40">
        <f>IFERROR(VLOOKUP(F500,M2_거래처마스터!A:E,3,FALSE),"")</f>
        <v/>
      </c>
      <c r="H500" s="18" t="n"/>
      <c r="I500" s="19" t="n"/>
      <c r="J500" s="20" t="n"/>
      <c r="K500" s="39">
        <f>IF(AND(I500&lt;&gt;"",J500&lt;&gt;""),I500*J500,"")</f>
        <v/>
      </c>
      <c r="L500" s="18" t="n"/>
      <c r="M500" s="18" t="n"/>
      <c r="N500" s="20" t="n"/>
      <c r="O500" s="20" t="n"/>
    </row>
    <row r="501">
      <c r="A501" s="41" t="n"/>
      <c r="B501" s="35">
        <f>IF(A501="","",YEAR(A501))</f>
        <v/>
      </c>
      <c r="C501" s="36">
        <f>IF(A501="","",MONTH(A501))</f>
        <v/>
      </c>
      <c r="D501" s="37">
        <f>IF(A501="","","Q"&amp;ROUNDUP(MONTH(A501)/3,0))</f>
        <v/>
      </c>
      <c r="E501" s="22" t="n"/>
      <c r="F501" s="22" t="n"/>
      <c r="G501" s="40">
        <f>IFERROR(VLOOKUP(F501,M2_거래처마스터!A:E,3,FALSE),"")</f>
        <v/>
      </c>
      <c r="H501" s="22" t="n"/>
      <c r="I501" s="23" t="n"/>
      <c r="J501" s="24" t="n"/>
      <c r="K501" s="39">
        <f>IF(AND(I501&lt;&gt;"",J501&lt;&gt;""),I501*J501,"")</f>
        <v/>
      </c>
      <c r="L501" s="22" t="n"/>
      <c r="M501" s="22" t="n"/>
      <c r="N501" s="24" t="n"/>
      <c r="O501" s="24" t="n"/>
    </row>
    <row r="502">
      <c r="A502" s="34" t="n"/>
      <c r="B502" s="35">
        <f>IF(A502="","",YEAR(A502))</f>
        <v/>
      </c>
      <c r="C502" s="36">
        <f>IF(A502="","",MONTH(A502))</f>
        <v/>
      </c>
      <c r="D502" s="37">
        <f>IF(A502="","","Q"&amp;ROUNDUP(MONTH(A502)/3,0))</f>
        <v/>
      </c>
      <c r="E502" s="18" t="n"/>
      <c r="F502" s="18" t="n"/>
      <c r="G502" s="40">
        <f>IFERROR(VLOOKUP(F502,M2_거래처마스터!A:E,3,FALSE),"")</f>
        <v/>
      </c>
      <c r="H502" s="18" t="n"/>
      <c r="I502" s="19" t="n"/>
      <c r="J502" s="20" t="n"/>
      <c r="K502" s="39">
        <f>IF(AND(I502&lt;&gt;"",J502&lt;&gt;""),I502*J502,"")</f>
        <v/>
      </c>
      <c r="L502" s="18" t="n"/>
      <c r="M502" s="18" t="n"/>
      <c r="N502" s="20" t="n"/>
      <c r="O502" s="20" t="n"/>
    </row>
    <row r="503">
      <c r="A503" s="41" t="n"/>
      <c r="B503" s="35">
        <f>IF(A503="","",YEAR(A503))</f>
        <v/>
      </c>
      <c r="C503" s="36">
        <f>IF(A503="","",MONTH(A503))</f>
        <v/>
      </c>
      <c r="D503" s="37">
        <f>IF(A503="","","Q"&amp;ROUNDUP(MONTH(A503)/3,0))</f>
        <v/>
      </c>
      <c r="E503" s="22" t="n"/>
      <c r="F503" s="22" t="n"/>
      <c r="G503" s="40">
        <f>IFERROR(VLOOKUP(F503,M2_거래처마스터!A:E,3,FALSE),"")</f>
        <v/>
      </c>
      <c r="H503" s="22" t="n"/>
      <c r="I503" s="23" t="n"/>
      <c r="J503" s="24" t="n"/>
      <c r="K503" s="39">
        <f>IF(AND(I503&lt;&gt;"",J503&lt;&gt;""),I503*J503,"")</f>
        <v/>
      </c>
      <c r="L503" s="22" t="n"/>
      <c r="M503" s="22" t="n"/>
      <c r="N503" s="24" t="n"/>
      <c r="O503" s="24" t="n"/>
    </row>
    <row r="504">
      <c r="A504" s="34" t="n"/>
      <c r="B504" s="35">
        <f>IF(A504="","",YEAR(A504))</f>
        <v/>
      </c>
      <c r="C504" s="36">
        <f>IF(A504="","",MONTH(A504))</f>
        <v/>
      </c>
      <c r="D504" s="37">
        <f>IF(A504="","","Q"&amp;ROUNDUP(MONTH(A504)/3,0))</f>
        <v/>
      </c>
      <c r="E504" s="18" t="n"/>
      <c r="F504" s="18" t="n"/>
      <c r="G504" s="40">
        <f>IFERROR(VLOOKUP(F504,M2_거래처마스터!A:E,3,FALSE),"")</f>
        <v/>
      </c>
      <c r="H504" s="18" t="n"/>
      <c r="I504" s="19" t="n"/>
      <c r="J504" s="20" t="n"/>
      <c r="K504" s="39">
        <f>IF(AND(I504&lt;&gt;"",J504&lt;&gt;""),I504*J504,"")</f>
        <v/>
      </c>
      <c r="L504" s="18" t="n"/>
      <c r="M504" s="18" t="n"/>
      <c r="N504" s="20" t="n"/>
      <c r="O504" s="20" t="n"/>
    </row>
    <row r="505">
      <c r="A505" s="41" t="n"/>
      <c r="B505" s="35">
        <f>IF(A505="","",YEAR(A505))</f>
        <v/>
      </c>
      <c r="C505" s="36">
        <f>IF(A505="","",MONTH(A505))</f>
        <v/>
      </c>
      <c r="D505" s="37">
        <f>IF(A505="","","Q"&amp;ROUNDUP(MONTH(A505)/3,0))</f>
        <v/>
      </c>
      <c r="E505" s="22" t="n"/>
      <c r="F505" s="22" t="n"/>
      <c r="G505" s="40">
        <f>IFERROR(VLOOKUP(F505,M2_거래처마스터!A:E,3,FALSE),"")</f>
        <v/>
      </c>
      <c r="H505" s="22" t="n"/>
      <c r="I505" s="23" t="n"/>
      <c r="J505" s="24" t="n"/>
      <c r="K505" s="39">
        <f>IF(AND(I505&lt;&gt;"",J505&lt;&gt;""),I505*J505,"")</f>
        <v/>
      </c>
      <c r="L505" s="22" t="n"/>
      <c r="M505" s="22" t="n"/>
      <c r="N505" s="24" t="n"/>
      <c r="O505" s="24" t="n"/>
    </row>
    <row r="506">
      <c r="A506" s="34" t="n"/>
      <c r="B506" s="35">
        <f>IF(A506="","",YEAR(A506))</f>
        <v/>
      </c>
      <c r="C506" s="36">
        <f>IF(A506="","",MONTH(A506))</f>
        <v/>
      </c>
      <c r="D506" s="37">
        <f>IF(A506="","","Q"&amp;ROUNDUP(MONTH(A506)/3,0))</f>
        <v/>
      </c>
      <c r="E506" s="18" t="n"/>
      <c r="F506" s="18" t="n"/>
      <c r="G506" s="40">
        <f>IFERROR(VLOOKUP(F506,M2_거래처마스터!A:E,3,FALSE),"")</f>
        <v/>
      </c>
      <c r="H506" s="18" t="n"/>
      <c r="I506" s="19" t="n"/>
      <c r="J506" s="20" t="n"/>
      <c r="K506" s="39">
        <f>IF(AND(I506&lt;&gt;"",J506&lt;&gt;""),I506*J506,"")</f>
        <v/>
      </c>
      <c r="L506" s="18" t="n"/>
      <c r="M506" s="18" t="n"/>
      <c r="N506" s="20" t="n"/>
      <c r="O506" s="20" t="n"/>
    </row>
    <row r="507">
      <c r="A507" s="41" t="n"/>
      <c r="B507" s="35">
        <f>IF(A507="","",YEAR(A507))</f>
        <v/>
      </c>
      <c r="C507" s="36">
        <f>IF(A507="","",MONTH(A507))</f>
        <v/>
      </c>
      <c r="D507" s="37">
        <f>IF(A507="","","Q"&amp;ROUNDUP(MONTH(A507)/3,0))</f>
        <v/>
      </c>
      <c r="E507" s="22" t="n"/>
      <c r="F507" s="22" t="n"/>
      <c r="G507" s="40">
        <f>IFERROR(VLOOKUP(F507,M2_거래처마스터!A:E,3,FALSE),"")</f>
        <v/>
      </c>
      <c r="H507" s="22" t="n"/>
      <c r="I507" s="23" t="n"/>
      <c r="J507" s="24" t="n"/>
      <c r="K507" s="39">
        <f>IF(AND(I507&lt;&gt;"",J507&lt;&gt;""),I507*J507,"")</f>
        <v/>
      </c>
      <c r="L507" s="22" t="n"/>
      <c r="M507" s="22" t="n"/>
      <c r="N507" s="24" t="n"/>
      <c r="O507" s="24" t="n"/>
    </row>
    <row r="508">
      <c r="A508" s="34" t="n"/>
      <c r="B508" s="35">
        <f>IF(A508="","",YEAR(A508))</f>
        <v/>
      </c>
      <c r="C508" s="36">
        <f>IF(A508="","",MONTH(A508))</f>
        <v/>
      </c>
      <c r="D508" s="37">
        <f>IF(A508="","","Q"&amp;ROUNDUP(MONTH(A508)/3,0))</f>
        <v/>
      </c>
      <c r="E508" s="18" t="n"/>
      <c r="F508" s="18" t="n"/>
      <c r="G508" s="40">
        <f>IFERROR(VLOOKUP(F508,M2_거래처마스터!A:E,3,FALSE),"")</f>
        <v/>
      </c>
      <c r="H508" s="18" t="n"/>
      <c r="I508" s="19" t="n"/>
      <c r="J508" s="20" t="n"/>
      <c r="K508" s="39">
        <f>IF(AND(I508&lt;&gt;"",J508&lt;&gt;""),I508*J508,"")</f>
        <v/>
      </c>
      <c r="L508" s="18" t="n"/>
      <c r="M508" s="18" t="n"/>
      <c r="N508" s="20" t="n"/>
      <c r="O508" s="20" t="n"/>
    </row>
    <row r="509">
      <c r="A509" s="41" t="n"/>
      <c r="B509" s="35">
        <f>IF(A509="","",YEAR(A509))</f>
        <v/>
      </c>
      <c r="C509" s="36">
        <f>IF(A509="","",MONTH(A509))</f>
        <v/>
      </c>
      <c r="D509" s="37">
        <f>IF(A509="","","Q"&amp;ROUNDUP(MONTH(A509)/3,0))</f>
        <v/>
      </c>
      <c r="E509" s="22" t="n"/>
      <c r="F509" s="22" t="n"/>
      <c r="G509" s="40">
        <f>IFERROR(VLOOKUP(F509,M2_거래처마스터!A:E,3,FALSE),"")</f>
        <v/>
      </c>
      <c r="H509" s="22" t="n"/>
      <c r="I509" s="23" t="n"/>
      <c r="J509" s="24" t="n"/>
      <c r="K509" s="39">
        <f>IF(AND(I509&lt;&gt;"",J509&lt;&gt;""),I509*J509,"")</f>
        <v/>
      </c>
      <c r="L509" s="22" t="n"/>
      <c r="M509" s="22" t="n"/>
      <c r="N509" s="24" t="n"/>
      <c r="O509" s="24" t="n"/>
    </row>
    <row r="510">
      <c r="A510" s="34" t="n"/>
      <c r="B510" s="35">
        <f>IF(A510="","",YEAR(A510))</f>
        <v/>
      </c>
      <c r="C510" s="36">
        <f>IF(A510="","",MONTH(A510))</f>
        <v/>
      </c>
      <c r="D510" s="37">
        <f>IF(A510="","","Q"&amp;ROUNDUP(MONTH(A510)/3,0))</f>
        <v/>
      </c>
      <c r="E510" s="18" t="n"/>
      <c r="F510" s="18" t="n"/>
      <c r="G510" s="40">
        <f>IFERROR(VLOOKUP(F510,M2_거래처마스터!A:E,3,FALSE),"")</f>
        <v/>
      </c>
      <c r="H510" s="18" t="n"/>
      <c r="I510" s="19" t="n"/>
      <c r="J510" s="20" t="n"/>
      <c r="K510" s="39">
        <f>IF(AND(I510&lt;&gt;"",J510&lt;&gt;""),I510*J510,"")</f>
        <v/>
      </c>
      <c r="L510" s="18" t="n"/>
      <c r="M510" s="18" t="n"/>
      <c r="N510" s="20" t="n"/>
      <c r="O510" s="20" t="n"/>
    </row>
    <row r="511">
      <c r="A511" s="41" t="n"/>
      <c r="B511" s="35">
        <f>IF(A511="","",YEAR(A511))</f>
        <v/>
      </c>
      <c r="C511" s="36">
        <f>IF(A511="","",MONTH(A511))</f>
        <v/>
      </c>
      <c r="D511" s="37">
        <f>IF(A511="","","Q"&amp;ROUNDUP(MONTH(A511)/3,0))</f>
        <v/>
      </c>
      <c r="E511" s="22" t="n"/>
      <c r="F511" s="22" t="n"/>
      <c r="G511" s="40">
        <f>IFERROR(VLOOKUP(F511,M2_거래처마스터!A:E,3,FALSE),"")</f>
        <v/>
      </c>
      <c r="H511" s="22" t="n"/>
      <c r="I511" s="23" t="n"/>
      <c r="J511" s="24" t="n"/>
      <c r="K511" s="39">
        <f>IF(AND(I511&lt;&gt;"",J511&lt;&gt;""),I511*J511,"")</f>
        <v/>
      </c>
      <c r="L511" s="22" t="n"/>
      <c r="M511" s="22" t="n"/>
      <c r="N511" s="24" t="n"/>
      <c r="O511" s="24" t="n"/>
    </row>
    <row r="512">
      <c r="A512" s="34" t="n"/>
      <c r="B512" s="35">
        <f>IF(A512="","",YEAR(A512))</f>
        <v/>
      </c>
      <c r="C512" s="36">
        <f>IF(A512="","",MONTH(A512))</f>
        <v/>
      </c>
      <c r="D512" s="37">
        <f>IF(A512="","","Q"&amp;ROUNDUP(MONTH(A512)/3,0))</f>
        <v/>
      </c>
      <c r="E512" s="18" t="n"/>
      <c r="F512" s="18" t="n"/>
      <c r="G512" s="40">
        <f>IFERROR(VLOOKUP(F512,M2_거래처마스터!A:E,3,FALSE),"")</f>
        <v/>
      </c>
      <c r="H512" s="18" t="n"/>
      <c r="I512" s="19" t="n"/>
      <c r="J512" s="20" t="n"/>
      <c r="K512" s="39">
        <f>IF(AND(I512&lt;&gt;"",J512&lt;&gt;""),I512*J512,"")</f>
        <v/>
      </c>
      <c r="L512" s="18" t="n"/>
      <c r="M512" s="18" t="n"/>
      <c r="N512" s="20" t="n"/>
      <c r="O512" s="20" t="n"/>
    </row>
    <row r="513">
      <c r="A513" s="41" t="n"/>
      <c r="B513" s="35">
        <f>IF(A513="","",YEAR(A513))</f>
        <v/>
      </c>
      <c r="C513" s="36">
        <f>IF(A513="","",MONTH(A513))</f>
        <v/>
      </c>
      <c r="D513" s="37">
        <f>IF(A513="","","Q"&amp;ROUNDUP(MONTH(A513)/3,0))</f>
        <v/>
      </c>
      <c r="E513" s="22" t="n"/>
      <c r="F513" s="22" t="n"/>
      <c r="G513" s="40">
        <f>IFERROR(VLOOKUP(F513,M2_거래처마스터!A:E,3,FALSE),"")</f>
        <v/>
      </c>
      <c r="H513" s="22" t="n"/>
      <c r="I513" s="23" t="n"/>
      <c r="J513" s="24" t="n"/>
      <c r="K513" s="39">
        <f>IF(AND(I513&lt;&gt;"",J513&lt;&gt;""),I513*J513,"")</f>
        <v/>
      </c>
      <c r="L513" s="22" t="n"/>
      <c r="M513" s="22" t="n"/>
      <c r="N513" s="24" t="n"/>
      <c r="O513" s="24" t="n"/>
    </row>
    <row r="514">
      <c r="A514" s="34" t="n"/>
      <c r="B514" s="35">
        <f>IF(A514="","",YEAR(A514))</f>
        <v/>
      </c>
      <c r="C514" s="36">
        <f>IF(A514="","",MONTH(A514))</f>
        <v/>
      </c>
      <c r="D514" s="37">
        <f>IF(A514="","","Q"&amp;ROUNDUP(MONTH(A514)/3,0))</f>
        <v/>
      </c>
      <c r="E514" s="18" t="n"/>
      <c r="F514" s="18" t="n"/>
      <c r="G514" s="40">
        <f>IFERROR(VLOOKUP(F514,M2_거래처마스터!A:E,3,FALSE),"")</f>
        <v/>
      </c>
      <c r="H514" s="18" t="n"/>
      <c r="I514" s="19" t="n"/>
      <c r="J514" s="20" t="n"/>
      <c r="K514" s="39">
        <f>IF(AND(I514&lt;&gt;"",J514&lt;&gt;""),I514*J514,"")</f>
        <v/>
      </c>
      <c r="L514" s="18" t="n"/>
      <c r="M514" s="18" t="n"/>
      <c r="N514" s="20" t="n"/>
      <c r="O514" s="20" t="n"/>
    </row>
    <row r="515">
      <c r="A515" s="41" t="n"/>
      <c r="B515" s="35">
        <f>IF(A515="","",YEAR(A515))</f>
        <v/>
      </c>
      <c r="C515" s="36">
        <f>IF(A515="","",MONTH(A515))</f>
        <v/>
      </c>
      <c r="D515" s="37">
        <f>IF(A515="","","Q"&amp;ROUNDUP(MONTH(A515)/3,0))</f>
        <v/>
      </c>
      <c r="E515" s="22" t="n"/>
      <c r="F515" s="22" t="n"/>
      <c r="G515" s="40">
        <f>IFERROR(VLOOKUP(F515,M2_거래처마스터!A:E,3,FALSE),"")</f>
        <v/>
      </c>
      <c r="H515" s="22" t="n"/>
      <c r="I515" s="23" t="n"/>
      <c r="J515" s="24" t="n"/>
      <c r="K515" s="39">
        <f>IF(AND(I515&lt;&gt;"",J515&lt;&gt;""),I515*J515,"")</f>
        <v/>
      </c>
      <c r="L515" s="22" t="n"/>
      <c r="M515" s="22" t="n"/>
      <c r="N515" s="24" t="n"/>
      <c r="O515" s="24" t="n"/>
    </row>
    <row r="516">
      <c r="A516" s="34" t="n"/>
      <c r="B516" s="35">
        <f>IF(A516="","",YEAR(A516))</f>
        <v/>
      </c>
      <c r="C516" s="36">
        <f>IF(A516="","",MONTH(A516))</f>
        <v/>
      </c>
      <c r="D516" s="37">
        <f>IF(A516="","","Q"&amp;ROUNDUP(MONTH(A516)/3,0))</f>
        <v/>
      </c>
      <c r="E516" s="18" t="n"/>
      <c r="F516" s="18" t="n"/>
      <c r="G516" s="40">
        <f>IFERROR(VLOOKUP(F516,M2_거래처마스터!A:E,3,FALSE),"")</f>
        <v/>
      </c>
      <c r="H516" s="18" t="n"/>
      <c r="I516" s="19" t="n"/>
      <c r="J516" s="20" t="n"/>
      <c r="K516" s="39">
        <f>IF(AND(I516&lt;&gt;"",J516&lt;&gt;""),I516*J516,"")</f>
        <v/>
      </c>
      <c r="L516" s="18" t="n"/>
      <c r="M516" s="18" t="n"/>
      <c r="N516" s="20" t="n"/>
      <c r="O516" s="20" t="n"/>
    </row>
    <row r="517">
      <c r="A517" s="41" t="n"/>
      <c r="B517" s="35">
        <f>IF(A517="","",YEAR(A517))</f>
        <v/>
      </c>
      <c r="C517" s="36">
        <f>IF(A517="","",MONTH(A517))</f>
        <v/>
      </c>
      <c r="D517" s="37">
        <f>IF(A517="","","Q"&amp;ROUNDUP(MONTH(A517)/3,0))</f>
        <v/>
      </c>
      <c r="E517" s="22" t="n"/>
      <c r="F517" s="22" t="n"/>
      <c r="G517" s="40">
        <f>IFERROR(VLOOKUP(F517,M2_거래처마스터!A:E,3,FALSE),"")</f>
        <v/>
      </c>
      <c r="H517" s="22" t="n"/>
      <c r="I517" s="23" t="n"/>
      <c r="J517" s="24" t="n"/>
      <c r="K517" s="39">
        <f>IF(AND(I517&lt;&gt;"",J517&lt;&gt;""),I517*J517,"")</f>
        <v/>
      </c>
      <c r="L517" s="22" t="n"/>
      <c r="M517" s="22" t="n"/>
      <c r="N517" s="24" t="n"/>
      <c r="O517" s="24" t="n"/>
    </row>
    <row r="518">
      <c r="A518" s="34" t="n"/>
      <c r="B518" s="35">
        <f>IF(A518="","",YEAR(A518))</f>
        <v/>
      </c>
      <c r="C518" s="36">
        <f>IF(A518="","",MONTH(A518))</f>
        <v/>
      </c>
      <c r="D518" s="37">
        <f>IF(A518="","","Q"&amp;ROUNDUP(MONTH(A518)/3,0))</f>
        <v/>
      </c>
      <c r="E518" s="18" t="n"/>
      <c r="F518" s="18" t="n"/>
      <c r="G518" s="40">
        <f>IFERROR(VLOOKUP(F518,M2_거래처마스터!A:E,3,FALSE),"")</f>
        <v/>
      </c>
      <c r="H518" s="18" t="n"/>
      <c r="I518" s="19" t="n"/>
      <c r="J518" s="20" t="n"/>
      <c r="K518" s="39">
        <f>IF(AND(I518&lt;&gt;"",J518&lt;&gt;""),I518*J518,"")</f>
        <v/>
      </c>
      <c r="L518" s="18" t="n"/>
      <c r="M518" s="18" t="n"/>
      <c r="N518" s="20" t="n"/>
      <c r="O518" s="20" t="n"/>
    </row>
    <row r="519">
      <c r="A519" s="41" t="n"/>
      <c r="B519" s="35">
        <f>IF(A519="","",YEAR(A519))</f>
        <v/>
      </c>
      <c r="C519" s="36">
        <f>IF(A519="","",MONTH(A519))</f>
        <v/>
      </c>
      <c r="D519" s="37">
        <f>IF(A519="","","Q"&amp;ROUNDUP(MONTH(A519)/3,0))</f>
        <v/>
      </c>
      <c r="E519" s="22" t="n"/>
      <c r="F519" s="22" t="n"/>
      <c r="G519" s="40">
        <f>IFERROR(VLOOKUP(F519,M2_거래처마스터!A:E,3,FALSE),"")</f>
        <v/>
      </c>
      <c r="H519" s="22" t="n"/>
      <c r="I519" s="23" t="n"/>
      <c r="J519" s="24" t="n"/>
      <c r="K519" s="39">
        <f>IF(AND(I519&lt;&gt;"",J519&lt;&gt;""),I519*J519,"")</f>
        <v/>
      </c>
      <c r="L519" s="22" t="n"/>
      <c r="M519" s="22" t="n"/>
      <c r="N519" s="24" t="n"/>
      <c r="O519" s="24" t="n"/>
    </row>
    <row r="520">
      <c r="A520" s="34" t="n"/>
      <c r="B520" s="35">
        <f>IF(A520="","",YEAR(A520))</f>
        <v/>
      </c>
      <c r="C520" s="36">
        <f>IF(A520="","",MONTH(A520))</f>
        <v/>
      </c>
      <c r="D520" s="37">
        <f>IF(A520="","","Q"&amp;ROUNDUP(MONTH(A520)/3,0))</f>
        <v/>
      </c>
      <c r="E520" s="18" t="n"/>
      <c r="F520" s="18" t="n"/>
      <c r="G520" s="40">
        <f>IFERROR(VLOOKUP(F520,M2_거래처마스터!A:E,3,FALSE),"")</f>
        <v/>
      </c>
      <c r="H520" s="18" t="n"/>
      <c r="I520" s="19" t="n"/>
      <c r="J520" s="20" t="n"/>
      <c r="K520" s="39">
        <f>IF(AND(I520&lt;&gt;"",J520&lt;&gt;""),I520*J520,"")</f>
        <v/>
      </c>
      <c r="L520" s="18" t="n"/>
      <c r="M520" s="18" t="n"/>
      <c r="N520" s="20" t="n"/>
      <c r="O520" s="20" t="n"/>
    </row>
    <row r="521">
      <c r="A521" s="41" t="n"/>
      <c r="B521" s="35">
        <f>IF(A521="","",YEAR(A521))</f>
        <v/>
      </c>
      <c r="C521" s="36">
        <f>IF(A521="","",MONTH(A521))</f>
        <v/>
      </c>
      <c r="D521" s="37">
        <f>IF(A521="","","Q"&amp;ROUNDUP(MONTH(A521)/3,0))</f>
        <v/>
      </c>
      <c r="E521" s="22" t="n"/>
      <c r="F521" s="22" t="n"/>
      <c r="G521" s="40">
        <f>IFERROR(VLOOKUP(F521,M2_거래처마스터!A:E,3,FALSE),"")</f>
        <v/>
      </c>
      <c r="H521" s="22" t="n"/>
      <c r="I521" s="23" t="n"/>
      <c r="J521" s="24" t="n"/>
      <c r="K521" s="39">
        <f>IF(AND(I521&lt;&gt;"",J521&lt;&gt;""),I521*J521,"")</f>
        <v/>
      </c>
      <c r="L521" s="22" t="n"/>
      <c r="M521" s="22" t="n"/>
      <c r="N521" s="24" t="n"/>
      <c r="O521" s="24" t="n"/>
    </row>
    <row r="522">
      <c r="A522" s="34" t="n"/>
      <c r="B522" s="35">
        <f>IF(A522="","",YEAR(A522))</f>
        <v/>
      </c>
      <c r="C522" s="36">
        <f>IF(A522="","",MONTH(A522))</f>
        <v/>
      </c>
      <c r="D522" s="37">
        <f>IF(A522="","","Q"&amp;ROUNDUP(MONTH(A522)/3,0))</f>
        <v/>
      </c>
      <c r="E522" s="18" t="n"/>
      <c r="F522" s="18" t="n"/>
      <c r="G522" s="40">
        <f>IFERROR(VLOOKUP(F522,M2_거래처마스터!A:E,3,FALSE),"")</f>
        <v/>
      </c>
      <c r="H522" s="18" t="n"/>
      <c r="I522" s="19" t="n"/>
      <c r="J522" s="20" t="n"/>
      <c r="K522" s="39">
        <f>IF(AND(I522&lt;&gt;"",J522&lt;&gt;""),I522*J522,"")</f>
        <v/>
      </c>
      <c r="L522" s="18" t="n"/>
      <c r="M522" s="18" t="n"/>
      <c r="N522" s="20" t="n"/>
      <c r="O522" s="20" t="n"/>
    </row>
    <row r="523">
      <c r="A523" s="41" t="n"/>
      <c r="B523" s="35">
        <f>IF(A523="","",YEAR(A523))</f>
        <v/>
      </c>
      <c r="C523" s="36">
        <f>IF(A523="","",MONTH(A523))</f>
        <v/>
      </c>
      <c r="D523" s="37">
        <f>IF(A523="","","Q"&amp;ROUNDUP(MONTH(A523)/3,0))</f>
        <v/>
      </c>
      <c r="E523" s="22" t="n"/>
      <c r="F523" s="22" t="n"/>
      <c r="G523" s="40">
        <f>IFERROR(VLOOKUP(F523,M2_거래처마스터!A:E,3,FALSE),"")</f>
        <v/>
      </c>
      <c r="H523" s="22" t="n"/>
      <c r="I523" s="23" t="n"/>
      <c r="J523" s="24" t="n"/>
      <c r="K523" s="39">
        <f>IF(AND(I523&lt;&gt;"",J523&lt;&gt;""),I523*J523,"")</f>
        <v/>
      </c>
      <c r="L523" s="22" t="n"/>
      <c r="M523" s="22" t="n"/>
      <c r="N523" s="24" t="n"/>
      <c r="O523" s="24" t="n"/>
    </row>
    <row r="524">
      <c r="A524" s="34" t="n"/>
      <c r="B524" s="35">
        <f>IF(A524="","",YEAR(A524))</f>
        <v/>
      </c>
      <c r="C524" s="36">
        <f>IF(A524="","",MONTH(A524))</f>
        <v/>
      </c>
      <c r="D524" s="37">
        <f>IF(A524="","","Q"&amp;ROUNDUP(MONTH(A524)/3,0))</f>
        <v/>
      </c>
      <c r="E524" s="18" t="n"/>
      <c r="F524" s="18" t="n"/>
      <c r="G524" s="40">
        <f>IFERROR(VLOOKUP(F524,M2_거래처마스터!A:E,3,FALSE),"")</f>
        <v/>
      </c>
      <c r="H524" s="18" t="n"/>
      <c r="I524" s="19" t="n"/>
      <c r="J524" s="20" t="n"/>
      <c r="K524" s="39">
        <f>IF(AND(I524&lt;&gt;"",J524&lt;&gt;""),I524*J524,"")</f>
        <v/>
      </c>
      <c r="L524" s="18" t="n"/>
      <c r="M524" s="18" t="n"/>
      <c r="N524" s="20" t="n"/>
      <c r="O524" s="20" t="n"/>
    </row>
    <row r="525">
      <c r="A525" s="41" t="n"/>
      <c r="B525" s="35">
        <f>IF(A525="","",YEAR(A525))</f>
        <v/>
      </c>
      <c r="C525" s="36">
        <f>IF(A525="","",MONTH(A525))</f>
        <v/>
      </c>
      <c r="D525" s="37">
        <f>IF(A525="","","Q"&amp;ROUNDUP(MONTH(A525)/3,0))</f>
        <v/>
      </c>
      <c r="E525" s="22" t="n"/>
      <c r="F525" s="22" t="n"/>
      <c r="G525" s="40">
        <f>IFERROR(VLOOKUP(F525,M2_거래처마스터!A:E,3,FALSE),"")</f>
        <v/>
      </c>
      <c r="H525" s="22" t="n"/>
      <c r="I525" s="23" t="n"/>
      <c r="J525" s="24" t="n"/>
      <c r="K525" s="39">
        <f>IF(AND(I525&lt;&gt;"",J525&lt;&gt;""),I525*J525,"")</f>
        <v/>
      </c>
      <c r="L525" s="22" t="n"/>
      <c r="M525" s="22" t="n"/>
      <c r="N525" s="24" t="n"/>
      <c r="O525" s="24" t="n"/>
    </row>
    <row r="526">
      <c r="A526" s="34" t="n"/>
      <c r="B526" s="35">
        <f>IF(A526="","",YEAR(A526))</f>
        <v/>
      </c>
      <c r="C526" s="36">
        <f>IF(A526="","",MONTH(A526))</f>
        <v/>
      </c>
      <c r="D526" s="37">
        <f>IF(A526="","","Q"&amp;ROUNDUP(MONTH(A526)/3,0))</f>
        <v/>
      </c>
      <c r="E526" s="18" t="n"/>
      <c r="F526" s="18" t="n"/>
      <c r="G526" s="40">
        <f>IFERROR(VLOOKUP(F526,M2_거래처마스터!A:E,3,FALSE),"")</f>
        <v/>
      </c>
      <c r="H526" s="18" t="n"/>
      <c r="I526" s="19" t="n"/>
      <c r="J526" s="20" t="n"/>
      <c r="K526" s="39">
        <f>IF(AND(I526&lt;&gt;"",J526&lt;&gt;""),I526*J526,"")</f>
        <v/>
      </c>
      <c r="L526" s="18" t="n"/>
      <c r="M526" s="18" t="n"/>
      <c r="N526" s="20" t="n"/>
      <c r="O526" s="20" t="n"/>
    </row>
    <row r="527">
      <c r="A527" s="41" t="n"/>
      <c r="B527" s="35">
        <f>IF(A527="","",YEAR(A527))</f>
        <v/>
      </c>
      <c r="C527" s="36">
        <f>IF(A527="","",MONTH(A527))</f>
        <v/>
      </c>
      <c r="D527" s="37">
        <f>IF(A527="","","Q"&amp;ROUNDUP(MONTH(A527)/3,0))</f>
        <v/>
      </c>
      <c r="E527" s="22" t="n"/>
      <c r="F527" s="22" t="n"/>
      <c r="G527" s="40">
        <f>IFERROR(VLOOKUP(F527,M2_거래처마스터!A:E,3,FALSE),"")</f>
        <v/>
      </c>
      <c r="H527" s="22" t="n"/>
      <c r="I527" s="23" t="n"/>
      <c r="J527" s="24" t="n"/>
      <c r="K527" s="39">
        <f>IF(AND(I527&lt;&gt;"",J527&lt;&gt;""),I527*J527,"")</f>
        <v/>
      </c>
      <c r="L527" s="22" t="n"/>
      <c r="M527" s="22" t="n"/>
      <c r="N527" s="24" t="n"/>
      <c r="O527" s="24" t="n"/>
    </row>
    <row r="528">
      <c r="A528" s="34" t="n"/>
      <c r="B528" s="35">
        <f>IF(A528="","",YEAR(A528))</f>
        <v/>
      </c>
      <c r="C528" s="36">
        <f>IF(A528="","",MONTH(A528))</f>
        <v/>
      </c>
      <c r="D528" s="37">
        <f>IF(A528="","","Q"&amp;ROUNDUP(MONTH(A528)/3,0))</f>
        <v/>
      </c>
      <c r="E528" s="18" t="n"/>
      <c r="F528" s="18" t="n"/>
      <c r="G528" s="40">
        <f>IFERROR(VLOOKUP(F528,M2_거래처마스터!A:E,3,FALSE),"")</f>
        <v/>
      </c>
      <c r="H528" s="18" t="n"/>
      <c r="I528" s="19" t="n"/>
      <c r="J528" s="20" t="n"/>
      <c r="K528" s="39">
        <f>IF(AND(I528&lt;&gt;"",J528&lt;&gt;""),I528*J528,"")</f>
        <v/>
      </c>
      <c r="L528" s="18" t="n"/>
      <c r="M528" s="18" t="n"/>
      <c r="N528" s="20" t="n"/>
      <c r="O528" s="20" t="n"/>
    </row>
    <row r="529">
      <c r="A529" s="41" t="n"/>
      <c r="B529" s="35">
        <f>IF(A529="","",YEAR(A529))</f>
        <v/>
      </c>
      <c r="C529" s="36">
        <f>IF(A529="","",MONTH(A529))</f>
        <v/>
      </c>
      <c r="D529" s="37">
        <f>IF(A529="","","Q"&amp;ROUNDUP(MONTH(A529)/3,0))</f>
        <v/>
      </c>
      <c r="E529" s="22" t="n"/>
      <c r="F529" s="22" t="n"/>
      <c r="G529" s="40">
        <f>IFERROR(VLOOKUP(F529,M2_거래처마스터!A:E,3,FALSE),"")</f>
        <v/>
      </c>
      <c r="H529" s="22" t="n"/>
      <c r="I529" s="23" t="n"/>
      <c r="J529" s="24" t="n"/>
      <c r="K529" s="39">
        <f>IF(AND(I529&lt;&gt;"",J529&lt;&gt;""),I529*J529,"")</f>
        <v/>
      </c>
      <c r="L529" s="22" t="n"/>
      <c r="M529" s="22" t="n"/>
      <c r="N529" s="24" t="n"/>
      <c r="O529" s="24" t="n"/>
    </row>
    <row r="530">
      <c r="A530" s="34" t="n"/>
      <c r="B530" s="35">
        <f>IF(A530="","",YEAR(A530))</f>
        <v/>
      </c>
      <c r="C530" s="36">
        <f>IF(A530="","",MONTH(A530))</f>
        <v/>
      </c>
      <c r="D530" s="37">
        <f>IF(A530="","","Q"&amp;ROUNDUP(MONTH(A530)/3,0))</f>
        <v/>
      </c>
      <c r="E530" s="18" t="n"/>
      <c r="F530" s="18" t="n"/>
      <c r="G530" s="40">
        <f>IFERROR(VLOOKUP(F530,M2_거래처마스터!A:E,3,FALSE),"")</f>
        <v/>
      </c>
      <c r="H530" s="18" t="n"/>
      <c r="I530" s="19" t="n"/>
      <c r="J530" s="20" t="n"/>
      <c r="K530" s="39">
        <f>IF(AND(I530&lt;&gt;"",J530&lt;&gt;""),I530*J530,"")</f>
        <v/>
      </c>
      <c r="L530" s="18" t="n"/>
      <c r="M530" s="18" t="n"/>
      <c r="N530" s="20" t="n"/>
      <c r="O530" s="20" t="n"/>
    </row>
    <row r="531">
      <c r="A531" s="41" t="n"/>
      <c r="B531" s="35">
        <f>IF(A531="","",YEAR(A531))</f>
        <v/>
      </c>
      <c r="C531" s="36">
        <f>IF(A531="","",MONTH(A531))</f>
        <v/>
      </c>
      <c r="D531" s="37">
        <f>IF(A531="","","Q"&amp;ROUNDUP(MONTH(A531)/3,0))</f>
        <v/>
      </c>
      <c r="E531" s="22" t="n"/>
      <c r="F531" s="22" t="n"/>
      <c r="G531" s="40">
        <f>IFERROR(VLOOKUP(F531,M2_거래처마스터!A:E,3,FALSE),"")</f>
        <v/>
      </c>
      <c r="H531" s="22" t="n"/>
      <c r="I531" s="23" t="n"/>
      <c r="J531" s="24" t="n"/>
      <c r="K531" s="39">
        <f>IF(AND(I531&lt;&gt;"",J531&lt;&gt;""),I531*J531,"")</f>
        <v/>
      </c>
      <c r="L531" s="22" t="n"/>
      <c r="M531" s="22" t="n"/>
      <c r="N531" s="24" t="n"/>
      <c r="O531" s="24" t="n"/>
    </row>
    <row r="532">
      <c r="A532" s="34" t="n"/>
      <c r="B532" s="35">
        <f>IF(A532="","",YEAR(A532))</f>
        <v/>
      </c>
      <c r="C532" s="36">
        <f>IF(A532="","",MONTH(A532))</f>
        <v/>
      </c>
      <c r="D532" s="37">
        <f>IF(A532="","","Q"&amp;ROUNDUP(MONTH(A532)/3,0))</f>
        <v/>
      </c>
      <c r="E532" s="18" t="n"/>
      <c r="F532" s="18" t="n"/>
      <c r="G532" s="40">
        <f>IFERROR(VLOOKUP(F532,M2_거래처마스터!A:E,3,FALSE),"")</f>
        <v/>
      </c>
      <c r="H532" s="18" t="n"/>
      <c r="I532" s="19" t="n"/>
      <c r="J532" s="20" t="n"/>
      <c r="K532" s="39">
        <f>IF(AND(I532&lt;&gt;"",J532&lt;&gt;""),I532*J532,"")</f>
        <v/>
      </c>
      <c r="L532" s="18" t="n"/>
      <c r="M532" s="18" t="n"/>
      <c r="N532" s="20" t="n"/>
      <c r="O532" s="20" t="n"/>
    </row>
    <row r="533">
      <c r="A533" s="41" t="n"/>
      <c r="B533" s="35">
        <f>IF(A533="","",YEAR(A533))</f>
        <v/>
      </c>
      <c r="C533" s="36">
        <f>IF(A533="","",MONTH(A533))</f>
        <v/>
      </c>
      <c r="D533" s="37">
        <f>IF(A533="","","Q"&amp;ROUNDUP(MONTH(A533)/3,0))</f>
        <v/>
      </c>
      <c r="E533" s="22" t="n"/>
      <c r="F533" s="22" t="n"/>
      <c r="G533" s="40">
        <f>IFERROR(VLOOKUP(F533,M2_거래처마스터!A:E,3,FALSE),"")</f>
        <v/>
      </c>
      <c r="H533" s="22" t="n"/>
      <c r="I533" s="23" t="n"/>
      <c r="J533" s="24" t="n"/>
      <c r="K533" s="39">
        <f>IF(AND(I533&lt;&gt;"",J533&lt;&gt;""),I533*J533,"")</f>
        <v/>
      </c>
      <c r="L533" s="22" t="n"/>
      <c r="M533" s="22" t="n"/>
      <c r="N533" s="24" t="n"/>
      <c r="O533" s="24" t="n"/>
    </row>
    <row r="534">
      <c r="A534" s="34" t="n"/>
      <c r="B534" s="35">
        <f>IF(A534="","",YEAR(A534))</f>
        <v/>
      </c>
      <c r="C534" s="36">
        <f>IF(A534="","",MONTH(A534))</f>
        <v/>
      </c>
      <c r="D534" s="37">
        <f>IF(A534="","","Q"&amp;ROUNDUP(MONTH(A534)/3,0))</f>
        <v/>
      </c>
      <c r="E534" s="18" t="n"/>
      <c r="F534" s="18" t="n"/>
      <c r="G534" s="40">
        <f>IFERROR(VLOOKUP(F534,M2_거래처마스터!A:E,3,FALSE),"")</f>
        <v/>
      </c>
      <c r="H534" s="18" t="n"/>
      <c r="I534" s="19" t="n"/>
      <c r="J534" s="20" t="n"/>
      <c r="K534" s="39">
        <f>IF(AND(I534&lt;&gt;"",J534&lt;&gt;""),I534*J534,"")</f>
        <v/>
      </c>
      <c r="L534" s="18" t="n"/>
      <c r="M534" s="18" t="n"/>
      <c r="N534" s="20" t="n"/>
      <c r="O534" s="20" t="n"/>
    </row>
    <row r="535">
      <c r="A535" s="41" t="n"/>
      <c r="B535" s="35">
        <f>IF(A535="","",YEAR(A535))</f>
        <v/>
      </c>
      <c r="C535" s="36">
        <f>IF(A535="","",MONTH(A535))</f>
        <v/>
      </c>
      <c r="D535" s="37">
        <f>IF(A535="","","Q"&amp;ROUNDUP(MONTH(A535)/3,0))</f>
        <v/>
      </c>
      <c r="E535" s="22" t="n"/>
      <c r="F535" s="22" t="n"/>
      <c r="G535" s="40">
        <f>IFERROR(VLOOKUP(F535,M2_거래처마스터!A:E,3,FALSE),"")</f>
        <v/>
      </c>
      <c r="H535" s="22" t="n"/>
      <c r="I535" s="23" t="n"/>
      <c r="J535" s="24" t="n"/>
      <c r="K535" s="39">
        <f>IF(AND(I535&lt;&gt;"",J535&lt;&gt;""),I535*J535,"")</f>
        <v/>
      </c>
      <c r="L535" s="22" t="n"/>
      <c r="M535" s="22" t="n"/>
      <c r="N535" s="24" t="n"/>
      <c r="O535" s="24" t="n"/>
    </row>
    <row r="536">
      <c r="A536" s="34" t="n"/>
      <c r="B536" s="35">
        <f>IF(A536="","",YEAR(A536))</f>
        <v/>
      </c>
      <c r="C536" s="36">
        <f>IF(A536="","",MONTH(A536))</f>
        <v/>
      </c>
      <c r="D536" s="37">
        <f>IF(A536="","","Q"&amp;ROUNDUP(MONTH(A536)/3,0))</f>
        <v/>
      </c>
      <c r="E536" s="18" t="n"/>
      <c r="F536" s="18" t="n"/>
      <c r="G536" s="40">
        <f>IFERROR(VLOOKUP(F536,M2_거래처마스터!A:E,3,FALSE),"")</f>
        <v/>
      </c>
      <c r="H536" s="18" t="n"/>
      <c r="I536" s="19" t="n"/>
      <c r="J536" s="20" t="n"/>
      <c r="K536" s="39">
        <f>IF(AND(I536&lt;&gt;"",J536&lt;&gt;""),I536*J536,"")</f>
        <v/>
      </c>
      <c r="L536" s="18" t="n"/>
      <c r="M536" s="18" t="n"/>
      <c r="N536" s="20" t="n"/>
      <c r="O536" s="20" t="n"/>
    </row>
    <row r="537">
      <c r="A537" s="41" t="n"/>
      <c r="B537" s="35">
        <f>IF(A537="","",YEAR(A537))</f>
        <v/>
      </c>
      <c r="C537" s="36">
        <f>IF(A537="","",MONTH(A537))</f>
        <v/>
      </c>
      <c r="D537" s="37">
        <f>IF(A537="","","Q"&amp;ROUNDUP(MONTH(A537)/3,0))</f>
        <v/>
      </c>
      <c r="E537" s="22" t="n"/>
      <c r="F537" s="22" t="n"/>
      <c r="G537" s="40">
        <f>IFERROR(VLOOKUP(F537,M2_거래처마스터!A:E,3,FALSE),"")</f>
        <v/>
      </c>
      <c r="H537" s="22" t="n"/>
      <c r="I537" s="23" t="n"/>
      <c r="J537" s="24" t="n"/>
      <c r="K537" s="39">
        <f>IF(AND(I537&lt;&gt;"",J537&lt;&gt;""),I537*J537,"")</f>
        <v/>
      </c>
      <c r="L537" s="22" t="n"/>
      <c r="M537" s="22" t="n"/>
      <c r="N537" s="24" t="n"/>
      <c r="O537" s="24" t="n"/>
    </row>
    <row r="538">
      <c r="A538" s="34" t="n"/>
      <c r="B538" s="35">
        <f>IF(A538="","",YEAR(A538))</f>
        <v/>
      </c>
      <c r="C538" s="36">
        <f>IF(A538="","",MONTH(A538))</f>
        <v/>
      </c>
      <c r="D538" s="37">
        <f>IF(A538="","","Q"&amp;ROUNDUP(MONTH(A538)/3,0))</f>
        <v/>
      </c>
      <c r="E538" s="18" t="n"/>
      <c r="F538" s="18" t="n"/>
      <c r="G538" s="40">
        <f>IFERROR(VLOOKUP(F538,M2_거래처마스터!A:E,3,FALSE),"")</f>
        <v/>
      </c>
      <c r="H538" s="18" t="n"/>
      <c r="I538" s="19" t="n"/>
      <c r="J538" s="20" t="n"/>
      <c r="K538" s="39">
        <f>IF(AND(I538&lt;&gt;"",J538&lt;&gt;""),I538*J538,"")</f>
        <v/>
      </c>
      <c r="L538" s="18" t="n"/>
      <c r="M538" s="18" t="n"/>
      <c r="N538" s="20" t="n"/>
      <c r="O538" s="20" t="n"/>
    </row>
    <row r="539">
      <c r="A539" s="41" t="n"/>
      <c r="B539" s="35">
        <f>IF(A539="","",YEAR(A539))</f>
        <v/>
      </c>
      <c r="C539" s="36">
        <f>IF(A539="","",MONTH(A539))</f>
        <v/>
      </c>
      <c r="D539" s="37">
        <f>IF(A539="","","Q"&amp;ROUNDUP(MONTH(A539)/3,0))</f>
        <v/>
      </c>
      <c r="E539" s="22" t="n"/>
      <c r="F539" s="22" t="n"/>
      <c r="G539" s="40">
        <f>IFERROR(VLOOKUP(F539,M2_거래처마스터!A:E,3,FALSE),"")</f>
        <v/>
      </c>
      <c r="H539" s="22" t="n"/>
      <c r="I539" s="23" t="n"/>
      <c r="J539" s="24" t="n"/>
      <c r="K539" s="39">
        <f>IF(AND(I539&lt;&gt;"",J539&lt;&gt;""),I539*J539,"")</f>
        <v/>
      </c>
      <c r="L539" s="22" t="n"/>
      <c r="M539" s="22" t="n"/>
      <c r="N539" s="24" t="n"/>
      <c r="O539" s="24" t="n"/>
    </row>
    <row r="540">
      <c r="A540" s="34" t="n"/>
      <c r="B540" s="35">
        <f>IF(A540="","",YEAR(A540))</f>
        <v/>
      </c>
      <c r="C540" s="36">
        <f>IF(A540="","",MONTH(A540))</f>
        <v/>
      </c>
      <c r="D540" s="37">
        <f>IF(A540="","","Q"&amp;ROUNDUP(MONTH(A540)/3,0))</f>
        <v/>
      </c>
      <c r="E540" s="18" t="n"/>
      <c r="F540" s="18" t="n"/>
      <c r="G540" s="40">
        <f>IFERROR(VLOOKUP(F540,M2_거래처마스터!A:E,3,FALSE),"")</f>
        <v/>
      </c>
      <c r="H540" s="18" t="n"/>
      <c r="I540" s="19" t="n"/>
      <c r="J540" s="20" t="n"/>
      <c r="K540" s="39">
        <f>IF(AND(I540&lt;&gt;"",J540&lt;&gt;""),I540*J540,"")</f>
        <v/>
      </c>
      <c r="L540" s="18" t="n"/>
      <c r="M540" s="18" t="n"/>
      <c r="N540" s="20" t="n"/>
      <c r="O540" s="20" t="n"/>
    </row>
    <row r="541">
      <c r="A541" s="41" t="n"/>
      <c r="B541" s="35">
        <f>IF(A541="","",YEAR(A541))</f>
        <v/>
      </c>
      <c r="C541" s="36">
        <f>IF(A541="","",MONTH(A541))</f>
        <v/>
      </c>
      <c r="D541" s="37">
        <f>IF(A541="","","Q"&amp;ROUNDUP(MONTH(A541)/3,0))</f>
        <v/>
      </c>
      <c r="E541" s="22" t="n"/>
      <c r="F541" s="22" t="n"/>
      <c r="G541" s="40">
        <f>IFERROR(VLOOKUP(F541,M2_거래처마스터!A:E,3,FALSE),"")</f>
        <v/>
      </c>
      <c r="H541" s="22" t="n"/>
      <c r="I541" s="23" t="n"/>
      <c r="J541" s="24" t="n"/>
      <c r="K541" s="39">
        <f>IF(AND(I541&lt;&gt;"",J541&lt;&gt;""),I541*J541,"")</f>
        <v/>
      </c>
      <c r="L541" s="22" t="n"/>
      <c r="M541" s="22" t="n"/>
      <c r="N541" s="24" t="n"/>
      <c r="O541" s="24" t="n"/>
    </row>
    <row r="542">
      <c r="A542" s="34" t="n"/>
      <c r="B542" s="35">
        <f>IF(A542="","",YEAR(A542))</f>
        <v/>
      </c>
      <c r="C542" s="36">
        <f>IF(A542="","",MONTH(A542))</f>
        <v/>
      </c>
      <c r="D542" s="37">
        <f>IF(A542="","","Q"&amp;ROUNDUP(MONTH(A542)/3,0))</f>
        <v/>
      </c>
      <c r="E542" s="18" t="n"/>
      <c r="F542" s="18" t="n"/>
      <c r="G542" s="40">
        <f>IFERROR(VLOOKUP(F542,M2_거래처마스터!A:E,3,FALSE),"")</f>
        <v/>
      </c>
      <c r="H542" s="18" t="n"/>
      <c r="I542" s="19" t="n"/>
      <c r="J542" s="20" t="n"/>
      <c r="K542" s="39">
        <f>IF(AND(I542&lt;&gt;"",J542&lt;&gt;""),I542*J542,"")</f>
        <v/>
      </c>
      <c r="L542" s="18" t="n"/>
      <c r="M542" s="18" t="n"/>
      <c r="N542" s="20" t="n"/>
      <c r="O542" s="20" t="n"/>
    </row>
    <row r="543">
      <c r="A543" s="41" t="n"/>
      <c r="B543" s="35">
        <f>IF(A543="","",YEAR(A543))</f>
        <v/>
      </c>
      <c r="C543" s="36">
        <f>IF(A543="","",MONTH(A543))</f>
        <v/>
      </c>
      <c r="D543" s="37">
        <f>IF(A543="","","Q"&amp;ROUNDUP(MONTH(A543)/3,0))</f>
        <v/>
      </c>
      <c r="E543" s="22" t="n"/>
      <c r="F543" s="22" t="n"/>
      <c r="G543" s="40">
        <f>IFERROR(VLOOKUP(F543,M2_거래처마스터!A:E,3,FALSE),"")</f>
        <v/>
      </c>
      <c r="H543" s="22" t="n"/>
      <c r="I543" s="23" t="n"/>
      <c r="J543" s="24" t="n"/>
      <c r="K543" s="39">
        <f>IF(AND(I543&lt;&gt;"",J543&lt;&gt;""),I543*J543,"")</f>
        <v/>
      </c>
      <c r="L543" s="22" t="n"/>
      <c r="M543" s="22" t="n"/>
      <c r="N543" s="24" t="n"/>
      <c r="O543" s="24" t="n"/>
    </row>
    <row r="544">
      <c r="A544" s="34" t="n"/>
      <c r="B544" s="35">
        <f>IF(A544="","",YEAR(A544))</f>
        <v/>
      </c>
      <c r="C544" s="36">
        <f>IF(A544="","",MONTH(A544))</f>
        <v/>
      </c>
      <c r="D544" s="37">
        <f>IF(A544="","","Q"&amp;ROUNDUP(MONTH(A544)/3,0))</f>
        <v/>
      </c>
      <c r="E544" s="18" t="n"/>
      <c r="F544" s="18" t="n"/>
      <c r="G544" s="40">
        <f>IFERROR(VLOOKUP(F544,M2_거래처마스터!A:E,3,FALSE),"")</f>
        <v/>
      </c>
      <c r="H544" s="18" t="n"/>
      <c r="I544" s="19" t="n"/>
      <c r="J544" s="20" t="n"/>
      <c r="K544" s="39">
        <f>IF(AND(I544&lt;&gt;"",J544&lt;&gt;""),I544*J544,"")</f>
        <v/>
      </c>
      <c r="L544" s="18" t="n"/>
      <c r="M544" s="18" t="n"/>
      <c r="N544" s="20" t="n"/>
      <c r="O544" s="20" t="n"/>
    </row>
    <row r="545">
      <c r="A545" s="41" t="n"/>
      <c r="B545" s="35">
        <f>IF(A545="","",YEAR(A545))</f>
        <v/>
      </c>
      <c r="C545" s="36">
        <f>IF(A545="","",MONTH(A545))</f>
        <v/>
      </c>
      <c r="D545" s="37">
        <f>IF(A545="","","Q"&amp;ROUNDUP(MONTH(A545)/3,0))</f>
        <v/>
      </c>
      <c r="E545" s="22" t="n"/>
      <c r="F545" s="22" t="n"/>
      <c r="G545" s="40">
        <f>IFERROR(VLOOKUP(F545,M2_거래처마스터!A:E,3,FALSE),"")</f>
        <v/>
      </c>
      <c r="H545" s="22" t="n"/>
      <c r="I545" s="23" t="n"/>
      <c r="J545" s="24" t="n"/>
      <c r="K545" s="39">
        <f>IF(AND(I545&lt;&gt;"",J545&lt;&gt;""),I545*J545,"")</f>
        <v/>
      </c>
      <c r="L545" s="22" t="n"/>
      <c r="M545" s="22" t="n"/>
      <c r="N545" s="24" t="n"/>
      <c r="O545" s="24" t="n"/>
    </row>
    <row r="546">
      <c r="A546" s="34" t="n"/>
      <c r="B546" s="35">
        <f>IF(A546="","",YEAR(A546))</f>
        <v/>
      </c>
      <c r="C546" s="36">
        <f>IF(A546="","",MONTH(A546))</f>
        <v/>
      </c>
      <c r="D546" s="37">
        <f>IF(A546="","","Q"&amp;ROUNDUP(MONTH(A546)/3,0))</f>
        <v/>
      </c>
      <c r="E546" s="18" t="n"/>
      <c r="F546" s="18" t="n"/>
      <c r="G546" s="40">
        <f>IFERROR(VLOOKUP(F546,M2_거래처마스터!A:E,3,FALSE),"")</f>
        <v/>
      </c>
      <c r="H546" s="18" t="n"/>
      <c r="I546" s="19" t="n"/>
      <c r="J546" s="20" t="n"/>
      <c r="K546" s="39">
        <f>IF(AND(I546&lt;&gt;"",J546&lt;&gt;""),I546*J546,"")</f>
        <v/>
      </c>
      <c r="L546" s="18" t="n"/>
      <c r="M546" s="18" t="n"/>
      <c r="N546" s="20" t="n"/>
      <c r="O546" s="20" t="n"/>
    </row>
    <row r="547">
      <c r="A547" s="41" t="n"/>
      <c r="B547" s="35">
        <f>IF(A547="","",YEAR(A547))</f>
        <v/>
      </c>
      <c r="C547" s="36">
        <f>IF(A547="","",MONTH(A547))</f>
        <v/>
      </c>
      <c r="D547" s="37">
        <f>IF(A547="","","Q"&amp;ROUNDUP(MONTH(A547)/3,0))</f>
        <v/>
      </c>
      <c r="E547" s="22" t="n"/>
      <c r="F547" s="22" t="n"/>
      <c r="G547" s="40">
        <f>IFERROR(VLOOKUP(F547,M2_거래처마스터!A:E,3,FALSE),"")</f>
        <v/>
      </c>
      <c r="H547" s="22" t="n"/>
      <c r="I547" s="23" t="n"/>
      <c r="J547" s="24" t="n"/>
      <c r="K547" s="39">
        <f>IF(AND(I547&lt;&gt;"",J547&lt;&gt;""),I547*J547,"")</f>
        <v/>
      </c>
      <c r="L547" s="22" t="n"/>
      <c r="M547" s="22" t="n"/>
      <c r="N547" s="24" t="n"/>
      <c r="O547" s="24" t="n"/>
    </row>
    <row r="548">
      <c r="A548" s="34" t="n"/>
      <c r="B548" s="35">
        <f>IF(A548="","",YEAR(A548))</f>
        <v/>
      </c>
      <c r="C548" s="36">
        <f>IF(A548="","",MONTH(A548))</f>
        <v/>
      </c>
      <c r="D548" s="37">
        <f>IF(A548="","","Q"&amp;ROUNDUP(MONTH(A548)/3,0))</f>
        <v/>
      </c>
      <c r="E548" s="18" t="n"/>
      <c r="F548" s="18" t="n"/>
      <c r="G548" s="40">
        <f>IFERROR(VLOOKUP(F548,M2_거래처마스터!A:E,3,FALSE),"")</f>
        <v/>
      </c>
      <c r="H548" s="18" t="n"/>
      <c r="I548" s="19" t="n"/>
      <c r="J548" s="20" t="n"/>
      <c r="K548" s="39">
        <f>IF(AND(I548&lt;&gt;"",J548&lt;&gt;""),I548*J548,"")</f>
        <v/>
      </c>
      <c r="L548" s="18" t="n"/>
      <c r="M548" s="18" t="n"/>
      <c r="N548" s="20" t="n"/>
      <c r="O548" s="20" t="n"/>
    </row>
    <row r="549">
      <c r="A549" s="41" t="n"/>
      <c r="B549" s="35">
        <f>IF(A549="","",YEAR(A549))</f>
        <v/>
      </c>
      <c r="C549" s="36">
        <f>IF(A549="","",MONTH(A549))</f>
        <v/>
      </c>
      <c r="D549" s="37">
        <f>IF(A549="","","Q"&amp;ROUNDUP(MONTH(A549)/3,0))</f>
        <v/>
      </c>
      <c r="E549" s="22" t="n"/>
      <c r="F549" s="22" t="n"/>
      <c r="G549" s="40">
        <f>IFERROR(VLOOKUP(F549,M2_거래처마스터!A:E,3,FALSE),"")</f>
        <v/>
      </c>
      <c r="H549" s="22" t="n"/>
      <c r="I549" s="23" t="n"/>
      <c r="J549" s="24" t="n"/>
      <c r="K549" s="39">
        <f>IF(AND(I549&lt;&gt;"",J549&lt;&gt;""),I549*J549,"")</f>
        <v/>
      </c>
      <c r="L549" s="22" t="n"/>
      <c r="M549" s="22" t="n"/>
      <c r="N549" s="24" t="n"/>
      <c r="O549" s="24" t="n"/>
    </row>
    <row r="550">
      <c r="A550" s="34" t="n"/>
      <c r="B550" s="35">
        <f>IF(A550="","",YEAR(A550))</f>
        <v/>
      </c>
      <c r="C550" s="36">
        <f>IF(A550="","",MONTH(A550))</f>
        <v/>
      </c>
      <c r="D550" s="37">
        <f>IF(A550="","","Q"&amp;ROUNDUP(MONTH(A550)/3,0))</f>
        <v/>
      </c>
      <c r="E550" s="18" t="n"/>
      <c r="F550" s="18" t="n"/>
      <c r="G550" s="40">
        <f>IFERROR(VLOOKUP(F550,M2_거래처마스터!A:E,3,FALSE),"")</f>
        <v/>
      </c>
      <c r="H550" s="18" t="n"/>
      <c r="I550" s="19" t="n"/>
      <c r="J550" s="20" t="n"/>
      <c r="K550" s="39">
        <f>IF(AND(I550&lt;&gt;"",J550&lt;&gt;""),I550*J550,"")</f>
        <v/>
      </c>
      <c r="L550" s="18" t="n"/>
      <c r="M550" s="18" t="n"/>
      <c r="N550" s="20" t="n"/>
      <c r="O550" s="20" t="n"/>
    </row>
    <row r="551">
      <c r="A551" s="41" t="n"/>
      <c r="B551" s="35">
        <f>IF(A551="","",YEAR(A551))</f>
        <v/>
      </c>
      <c r="C551" s="36">
        <f>IF(A551="","",MONTH(A551))</f>
        <v/>
      </c>
      <c r="D551" s="37">
        <f>IF(A551="","","Q"&amp;ROUNDUP(MONTH(A551)/3,0))</f>
        <v/>
      </c>
      <c r="E551" s="22" t="n"/>
      <c r="F551" s="22" t="n"/>
      <c r="G551" s="40">
        <f>IFERROR(VLOOKUP(F551,M2_거래처마스터!A:E,3,FALSE),"")</f>
        <v/>
      </c>
      <c r="H551" s="22" t="n"/>
      <c r="I551" s="23" t="n"/>
      <c r="J551" s="24" t="n"/>
      <c r="K551" s="39">
        <f>IF(AND(I551&lt;&gt;"",J551&lt;&gt;""),I551*J551,"")</f>
        <v/>
      </c>
      <c r="L551" s="22" t="n"/>
      <c r="M551" s="22" t="n"/>
      <c r="N551" s="24" t="n"/>
      <c r="O551" s="24" t="n"/>
    </row>
    <row r="552">
      <c r="A552" s="34" t="n"/>
      <c r="B552" s="35">
        <f>IF(A552="","",YEAR(A552))</f>
        <v/>
      </c>
      <c r="C552" s="36">
        <f>IF(A552="","",MONTH(A552))</f>
        <v/>
      </c>
      <c r="D552" s="37">
        <f>IF(A552="","","Q"&amp;ROUNDUP(MONTH(A552)/3,0))</f>
        <v/>
      </c>
      <c r="E552" s="18" t="n"/>
      <c r="F552" s="18" t="n"/>
      <c r="G552" s="40">
        <f>IFERROR(VLOOKUP(F552,M2_거래처마스터!A:E,3,FALSE),"")</f>
        <v/>
      </c>
      <c r="H552" s="18" t="n"/>
      <c r="I552" s="19" t="n"/>
      <c r="J552" s="20" t="n"/>
      <c r="K552" s="39">
        <f>IF(AND(I552&lt;&gt;"",J552&lt;&gt;""),I552*J552,"")</f>
        <v/>
      </c>
      <c r="L552" s="18" t="n"/>
      <c r="M552" s="18" t="n"/>
      <c r="N552" s="20" t="n"/>
      <c r="O552" s="20" t="n"/>
    </row>
    <row r="553">
      <c r="A553" s="41" t="n"/>
      <c r="B553" s="35">
        <f>IF(A553="","",YEAR(A553))</f>
        <v/>
      </c>
      <c r="C553" s="36">
        <f>IF(A553="","",MONTH(A553))</f>
        <v/>
      </c>
      <c r="D553" s="37">
        <f>IF(A553="","","Q"&amp;ROUNDUP(MONTH(A553)/3,0))</f>
        <v/>
      </c>
      <c r="E553" s="22" t="n"/>
      <c r="F553" s="22" t="n"/>
      <c r="G553" s="40">
        <f>IFERROR(VLOOKUP(F553,M2_거래처마스터!A:E,3,FALSE),"")</f>
        <v/>
      </c>
      <c r="H553" s="22" t="n"/>
      <c r="I553" s="23" t="n"/>
      <c r="J553" s="24" t="n"/>
      <c r="K553" s="39">
        <f>IF(AND(I553&lt;&gt;"",J553&lt;&gt;""),I553*J553,"")</f>
        <v/>
      </c>
      <c r="L553" s="22" t="n"/>
      <c r="M553" s="22" t="n"/>
      <c r="N553" s="24" t="n"/>
      <c r="O553" s="24" t="n"/>
    </row>
    <row r="554">
      <c r="A554" s="34" t="n"/>
      <c r="B554" s="35">
        <f>IF(A554="","",YEAR(A554))</f>
        <v/>
      </c>
      <c r="C554" s="36">
        <f>IF(A554="","",MONTH(A554))</f>
        <v/>
      </c>
      <c r="D554" s="37">
        <f>IF(A554="","","Q"&amp;ROUNDUP(MONTH(A554)/3,0))</f>
        <v/>
      </c>
      <c r="E554" s="18" t="n"/>
      <c r="F554" s="18" t="n"/>
      <c r="G554" s="40">
        <f>IFERROR(VLOOKUP(F554,M2_거래처마스터!A:E,3,FALSE),"")</f>
        <v/>
      </c>
      <c r="H554" s="18" t="n"/>
      <c r="I554" s="19" t="n"/>
      <c r="J554" s="20" t="n"/>
      <c r="K554" s="39">
        <f>IF(AND(I554&lt;&gt;"",J554&lt;&gt;""),I554*J554,"")</f>
        <v/>
      </c>
      <c r="L554" s="18" t="n"/>
      <c r="M554" s="18" t="n"/>
      <c r="N554" s="20" t="n"/>
      <c r="O554" s="20" t="n"/>
    </row>
    <row r="555">
      <c r="A555" s="41" t="n"/>
      <c r="B555" s="35">
        <f>IF(A555="","",YEAR(A555))</f>
        <v/>
      </c>
      <c r="C555" s="36">
        <f>IF(A555="","",MONTH(A555))</f>
        <v/>
      </c>
      <c r="D555" s="37">
        <f>IF(A555="","","Q"&amp;ROUNDUP(MONTH(A555)/3,0))</f>
        <v/>
      </c>
      <c r="E555" s="22" t="n"/>
      <c r="F555" s="22" t="n"/>
      <c r="G555" s="40">
        <f>IFERROR(VLOOKUP(F555,M2_거래처마스터!A:E,3,FALSE),"")</f>
        <v/>
      </c>
      <c r="H555" s="22" t="n"/>
      <c r="I555" s="23" t="n"/>
      <c r="J555" s="24" t="n"/>
      <c r="K555" s="39">
        <f>IF(AND(I555&lt;&gt;"",J555&lt;&gt;""),I555*J555,"")</f>
        <v/>
      </c>
      <c r="L555" s="22" t="n"/>
      <c r="M555" s="22" t="n"/>
      <c r="N555" s="24" t="n"/>
      <c r="O555" s="24" t="n"/>
    </row>
    <row r="556">
      <c r="A556" s="34" t="n"/>
      <c r="B556" s="35">
        <f>IF(A556="","",YEAR(A556))</f>
        <v/>
      </c>
      <c r="C556" s="36">
        <f>IF(A556="","",MONTH(A556))</f>
        <v/>
      </c>
      <c r="D556" s="37">
        <f>IF(A556="","","Q"&amp;ROUNDUP(MONTH(A556)/3,0))</f>
        <v/>
      </c>
      <c r="E556" s="18" t="n"/>
      <c r="F556" s="18" t="n"/>
      <c r="G556" s="40">
        <f>IFERROR(VLOOKUP(F556,M2_거래처마스터!A:E,3,FALSE),"")</f>
        <v/>
      </c>
      <c r="H556" s="18" t="n"/>
      <c r="I556" s="19" t="n"/>
      <c r="J556" s="20" t="n"/>
      <c r="K556" s="39">
        <f>IF(AND(I556&lt;&gt;"",J556&lt;&gt;""),I556*J556,"")</f>
        <v/>
      </c>
      <c r="L556" s="18" t="n"/>
      <c r="M556" s="18" t="n"/>
      <c r="N556" s="20" t="n"/>
      <c r="O556" s="20" t="n"/>
    </row>
    <row r="557">
      <c r="A557" s="41" t="n"/>
      <c r="B557" s="35">
        <f>IF(A557="","",YEAR(A557))</f>
        <v/>
      </c>
      <c r="C557" s="36">
        <f>IF(A557="","",MONTH(A557))</f>
        <v/>
      </c>
      <c r="D557" s="37">
        <f>IF(A557="","","Q"&amp;ROUNDUP(MONTH(A557)/3,0))</f>
        <v/>
      </c>
      <c r="E557" s="22" t="n"/>
      <c r="F557" s="22" t="n"/>
      <c r="G557" s="40">
        <f>IFERROR(VLOOKUP(F557,M2_거래처마스터!A:E,3,FALSE),"")</f>
        <v/>
      </c>
      <c r="H557" s="22" t="n"/>
      <c r="I557" s="23" t="n"/>
      <c r="J557" s="24" t="n"/>
      <c r="K557" s="39">
        <f>IF(AND(I557&lt;&gt;"",J557&lt;&gt;""),I557*J557,"")</f>
        <v/>
      </c>
      <c r="L557" s="22" t="n"/>
      <c r="M557" s="22" t="n"/>
      <c r="N557" s="24" t="n"/>
      <c r="O557" s="24" t="n"/>
    </row>
    <row r="558">
      <c r="A558" s="34" t="n"/>
      <c r="B558" s="35">
        <f>IF(A558="","",YEAR(A558))</f>
        <v/>
      </c>
      <c r="C558" s="36">
        <f>IF(A558="","",MONTH(A558))</f>
        <v/>
      </c>
      <c r="D558" s="37">
        <f>IF(A558="","","Q"&amp;ROUNDUP(MONTH(A558)/3,0))</f>
        <v/>
      </c>
      <c r="E558" s="18" t="n"/>
      <c r="F558" s="18" t="n"/>
      <c r="G558" s="40">
        <f>IFERROR(VLOOKUP(F558,M2_거래처마스터!A:E,3,FALSE),"")</f>
        <v/>
      </c>
      <c r="H558" s="18" t="n"/>
      <c r="I558" s="19" t="n"/>
      <c r="J558" s="20" t="n"/>
      <c r="K558" s="39">
        <f>IF(AND(I558&lt;&gt;"",J558&lt;&gt;""),I558*J558,"")</f>
        <v/>
      </c>
      <c r="L558" s="18" t="n"/>
      <c r="M558" s="18" t="n"/>
      <c r="N558" s="20" t="n"/>
      <c r="O558" s="20" t="n"/>
    </row>
    <row r="559">
      <c r="A559" s="41" t="n"/>
      <c r="B559" s="35">
        <f>IF(A559="","",YEAR(A559))</f>
        <v/>
      </c>
      <c r="C559" s="36">
        <f>IF(A559="","",MONTH(A559))</f>
        <v/>
      </c>
      <c r="D559" s="37">
        <f>IF(A559="","","Q"&amp;ROUNDUP(MONTH(A559)/3,0))</f>
        <v/>
      </c>
      <c r="E559" s="22" t="n"/>
      <c r="F559" s="22" t="n"/>
      <c r="G559" s="40">
        <f>IFERROR(VLOOKUP(F559,M2_거래처마스터!A:E,3,FALSE),"")</f>
        <v/>
      </c>
      <c r="H559" s="22" t="n"/>
      <c r="I559" s="23" t="n"/>
      <c r="J559" s="24" t="n"/>
      <c r="K559" s="39">
        <f>IF(AND(I559&lt;&gt;"",J559&lt;&gt;""),I559*J559,"")</f>
        <v/>
      </c>
      <c r="L559" s="22" t="n"/>
      <c r="M559" s="22" t="n"/>
      <c r="N559" s="24" t="n"/>
      <c r="O559" s="24" t="n"/>
    </row>
    <row r="560">
      <c r="A560" s="34" t="n"/>
      <c r="B560" s="35">
        <f>IF(A560="","",YEAR(A560))</f>
        <v/>
      </c>
      <c r="C560" s="36">
        <f>IF(A560="","",MONTH(A560))</f>
        <v/>
      </c>
      <c r="D560" s="37">
        <f>IF(A560="","","Q"&amp;ROUNDUP(MONTH(A560)/3,0))</f>
        <v/>
      </c>
      <c r="E560" s="18" t="n"/>
      <c r="F560" s="18" t="n"/>
      <c r="G560" s="40">
        <f>IFERROR(VLOOKUP(F560,M2_거래처마스터!A:E,3,FALSE),"")</f>
        <v/>
      </c>
      <c r="H560" s="18" t="n"/>
      <c r="I560" s="19" t="n"/>
      <c r="J560" s="20" t="n"/>
      <c r="K560" s="39">
        <f>IF(AND(I560&lt;&gt;"",J560&lt;&gt;""),I560*J560,"")</f>
        <v/>
      </c>
      <c r="L560" s="18" t="n"/>
      <c r="M560" s="18" t="n"/>
      <c r="N560" s="20" t="n"/>
      <c r="O560" s="20" t="n"/>
    </row>
    <row r="561">
      <c r="A561" s="41" t="n"/>
      <c r="B561" s="35">
        <f>IF(A561="","",YEAR(A561))</f>
        <v/>
      </c>
      <c r="C561" s="36">
        <f>IF(A561="","",MONTH(A561))</f>
        <v/>
      </c>
      <c r="D561" s="37">
        <f>IF(A561="","","Q"&amp;ROUNDUP(MONTH(A561)/3,0))</f>
        <v/>
      </c>
      <c r="E561" s="22" t="n"/>
      <c r="F561" s="22" t="n"/>
      <c r="G561" s="40">
        <f>IFERROR(VLOOKUP(F561,M2_거래처마스터!A:E,3,FALSE),"")</f>
        <v/>
      </c>
      <c r="H561" s="22" t="n"/>
      <c r="I561" s="23" t="n"/>
      <c r="J561" s="24" t="n"/>
      <c r="K561" s="39">
        <f>IF(AND(I561&lt;&gt;"",J561&lt;&gt;""),I561*J561,"")</f>
        <v/>
      </c>
      <c r="L561" s="22" t="n"/>
      <c r="M561" s="22" t="n"/>
      <c r="N561" s="24" t="n"/>
      <c r="O561" s="24" t="n"/>
    </row>
    <row r="562">
      <c r="A562" s="34" t="n"/>
      <c r="B562" s="35">
        <f>IF(A562="","",YEAR(A562))</f>
        <v/>
      </c>
      <c r="C562" s="36">
        <f>IF(A562="","",MONTH(A562))</f>
        <v/>
      </c>
      <c r="D562" s="37">
        <f>IF(A562="","","Q"&amp;ROUNDUP(MONTH(A562)/3,0))</f>
        <v/>
      </c>
      <c r="E562" s="18" t="n"/>
      <c r="F562" s="18" t="n"/>
      <c r="G562" s="40">
        <f>IFERROR(VLOOKUP(F562,M2_거래처마스터!A:E,3,FALSE),"")</f>
        <v/>
      </c>
      <c r="H562" s="18" t="n"/>
      <c r="I562" s="19" t="n"/>
      <c r="J562" s="20" t="n"/>
      <c r="K562" s="39">
        <f>IF(AND(I562&lt;&gt;"",J562&lt;&gt;""),I562*J562,"")</f>
        <v/>
      </c>
      <c r="L562" s="18" t="n"/>
      <c r="M562" s="18" t="n"/>
      <c r="N562" s="20" t="n"/>
      <c r="O562" s="20" t="n"/>
    </row>
    <row r="563">
      <c r="A563" s="41" t="n"/>
      <c r="B563" s="35">
        <f>IF(A563="","",YEAR(A563))</f>
        <v/>
      </c>
      <c r="C563" s="36">
        <f>IF(A563="","",MONTH(A563))</f>
        <v/>
      </c>
      <c r="D563" s="37">
        <f>IF(A563="","","Q"&amp;ROUNDUP(MONTH(A563)/3,0))</f>
        <v/>
      </c>
      <c r="E563" s="22" t="n"/>
      <c r="F563" s="22" t="n"/>
      <c r="G563" s="40">
        <f>IFERROR(VLOOKUP(F563,M2_거래처마스터!A:E,3,FALSE),"")</f>
        <v/>
      </c>
      <c r="H563" s="22" t="n"/>
      <c r="I563" s="23" t="n"/>
      <c r="J563" s="24" t="n"/>
      <c r="K563" s="39">
        <f>IF(AND(I563&lt;&gt;"",J563&lt;&gt;""),I563*J563,"")</f>
        <v/>
      </c>
      <c r="L563" s="22" t="n"/>
      <c r="M563" s="22" t="n"/>
      <c r="N563" s="24" t="n"/>
      <c r="O563" s="24" t="n"/>
    </row>
    <row r="564">
      <c r="A564" s="34" t="n"/>
      <c r="B564" s="35">
        <f>IF(A564="","",YEAR(A564))</f>
        <v/>
      </c>
      <c r="C564" s="36">
        <f>IF(A564="","",MONTH(A564))</f>
        <v/>
      </c>
      <c r="D564" s="37">
        <f>IF(A564="","","Q"&amp;ROUNDUP(MONTH(A564)/3,0))</f>
        <v/>
      </c>
      <c r="E564" s="18" t="n"/>
      <c r="F564" s="18" t="n"/>
      <c r="G564" s="40">
        <f>IFERROR(VLOOKUP(F564,M2_거래처마스터!A:E,3,FALSE),"")</f>
        <v/>
      </c>
      <c r="H564" s="18" t="n"/>
      <c r="I564" s="19" t="n"/>
      <c r="J564" s="20" t="n"/>
      <c r="K564" s="39">
        <f>IF(AND(I564&lt;&gt;"",J564&lt;&gt;""),I564*J564,"")</f>
        <v/>
      </c>
      <c r="L564" s="18" t="n"/>
      <c r="M564" s="18" t="n"/>
      <c r="N564" s="20" t="n"/>
      <c r="O564" s="20" t="n"/>
    </row>
    <row r="565">
      <c r="A565" s="41" t="n"/>
      <c r="B565" s="35">
        <f>IF(A565="","",YEAR(A565))</f>
        <v/>
      </c>
      <c r="C565" s="36">
        <f>IF(A565="","",MONTH(A565))</f>
        <v/>
      </c>
      <c r="D565" s="37">
        <f>IF(A565="","","Q"&amp;ROUNDUP(MONTH(A565)/3,0))</f>
        <v/>
      </c>
      <c r="E565" s="22" t="n"/>
      <c r="F565" s="22" t="n"/>
      <c r="G565" s="40">
        <f>IFERROR(VLOOKUP(F565,M2_거래처마스터!A:E,3,FALSE),"")</f>
        <v/>
      </c>
      <c r="H565" s="22" t="n"/>
      <c r="I565" s="23" t="n"/>
      <c r="J565" s="24" t="n"/>
      <c r="K565" s="39">
        <f>IF(AND(I565&lt;&gt;"",J565&lt;&gt;""),I565*J565,"")</f>
        <v/>
      </c>
      <c r="L565" s="22" t="n"/>
      <c r="M565" s="22" t="n"/>
      <c r="N565" s="24" t="n"/>
      <c r="O565" s="24" t="n"/>
    </row>
    <row r="566">
      <c r="A566" s="34" t="n"/>
      <c r="B566" s="35">
        <f>IF(A566="","",YEAR(A566))</f>
        <v/>
      </c>
      <c r="C566" s="36">
        <f>IF(A566="","",MONTH(A566))</f>
        <v/>
      </c>
      <c r="D566" s="37">
        <f>IF(A566="","","Q"&amp;ROUNDUP(MONTH(A566)/3,0))</f>
        <v/>
      </c>
      <c r="E566" s="18" t="n"/>
      <c r="F566" s="18" t="n"/>
      <c r="G566" s="40">
        <f>IFERROR(VLOOKUP(F566,M2_거래처마스터!A:E,3,FALSE),"")</f>
        <v/>
      </c>
      <c r="H566" s="18" t="n"/>
      <c r="I566" s="19" t="n"/>
      <c r="J566" s="20" t="n"/>
      <c r="K566" s="39">
        <f>IF(AND(I566&lt;&gt;"",J566&lt;&gt;""),I566*J566,"")</f>
        <v/>
      </c>
      <c r="L566" s="18" t="n"/>
      <c r="M566" s="18" t="n"/>
      <c r="N566" s="20" t="n"/>
      <c r="O566" s="20" t="n"/>
    </row>
    <row r="567">
      <c r="A567" s="41" t="n"/>
      <c r="B567" s="35">
        <f>IF(A567="","",YEAR(A567))</f>
        <v/>
      </c>
      <c r="C567" s="36">
        <f>IF(A567="","",MONTH(A567))</f>
        <v/>
      </c>
      <c r="D567" s="37">
        <f>IF(A567="","","Q"&amp;ROUNDUP(MONTH(A567)/3,0))</f>
        <v/>
      </c>
      <c r="E567" s="22" t="n"/>
      <c r="F567" s="22" t="n"/>
      <c r="G567" s="40">
        <f>IFERROR(VLOOKUP(F567,M2_거래처마스터!A:E,3,FALSE),"")</f>
        <v/>
      </c>
      <c r="H567" s="22" t="n"/>
      <c r="I567" s="23" t="n"/>
      <c r="J567" s="24" t="n"/>
      <c r="K567" s="39">
        <f>IF(AND(I567&lt;&gt;"",J567&lt;&gt;""),I567*J567,"")</f>
        <v/>
      </c>
      <c r="L567" s="22" t="n"/>
      <c r="M567" s="22" t="n"/>
      <c r="N567" s="24" t="n"/>
      <c r="O567" s="24" t="n"/>
    </row>
    <row r="568">
      <c r="A568" s="34" t="n"/>
      <c r="B568" s="35">
        <f>IF(A568="","",YEAR(A568))</f>
        <v/>
      </c>
      <c r="C568" s="36">
        <f>IF(A568="","",MONTH(A568))</f>
        <v/>
      </c>
      <c r="D568" s="37">
        <f>IF(A568="","","Q"&amp;ROUNDUP(MONTH(A568)/3,0))</f>
        <v/>
      </c>
      <c r="E568" s="18" t="n"/>
      <c r="F568" s="18" t="n"/>
      <c r="G568" s="40">
        <f>IFERROR(VLOOKUP(F568,M2_거래처마스터!A:E,3,FALSE),"")</f>
        <v/>
      </c>
      <c r="H568" s="18" t="n"/>
      <c r="I568" s="19" t="n"/>
      <c r="J568" s="20" t="n"/>
      <c r="K568" s="39">
        <f>IF(AND(I568&lt;&gt;"",J568&lt;&gt;""),I568*J568,"")</f>
        <v/>
      </c>
      <c r="L568" s="18" t="n"/>
      <c r="M568" s="18" t="n"/>
      <c r="N568" s="20" t="n"/>
      <c r="O568" s="20" t="n"/>
    </row>
    <row r="569">
      <c r="A569" s="41" t="n"/>
      <c r="B569" s="35">
        <f>IF(A569="","",YEAR(A569))</f>
        <v/>
      </c>
      <c r="C569" s="36">
        <f>IF(A569="","",MONTH(A569))</f>
        <v/>
      </c>
      <c r="D569" s="37">
        <f>IF(A569="","","Q"&amp;ROUNDUP(MONTH(A569)/3,0))</f>
        <v/>
      </c>
      <c r="E569" s="22" t="n"/>
      <c r="F569" s="22" t="n"/>
      <c r="G569" s="40">
        <f>IFERROR(VLOOKUP(F569,M2_거래처마스터!A:E,3,FALSE),"")</f>
        <v/>
      </c>
      <c r="H569" s="22" t="n"/>
      <c r="I569" s="23" t="n"/>
      <c r="J569" s="24" t="n"/>
      <c r="K569" s="39">
        <f>IF(AND(I569&lt;&gt;"",J569&lt;&gt;""),I569*J569,"")</f>
        <v/>
      </c>
      <c r="L569" s="22" t="n"/>
      <c r="M569" s="22" t="n"/>
      <c r="N569" s="24" t="n"/>
      <c r="O569" s="24" t="n"/>
    </row>
    <row r="570">
      <c r="A570" s="34" t="n"/>
      <c r="B570" s="35">
        <f>IF(A570="","",YEAR(A570))</f>
        <v/>
      </c>
      <c r="C570" s="36">
        <f>IF(A570="","",MONTH(A570))</f>
        <v/>
      </c>
      <c r="D570" s="37">
        <f>IF(A570="","","Q"&amp;ROUNDUP(MONTH(A570)/3,0))</f>
        <v/>
      </c>
      <c r="E570" s="18" t="n"/>
      <c r="F570" s="18" t="n"/>
      <c r="G570" s="40">
        <f>IFERROR(VLOOKUP(F570,M2_거래처마스터!A:E,3,FALSE),"")</f>
        <v/>
      </c>
      <c r="H570" s="18" t="n"/>
      <c r="I570" s="19" t="n"/>
      <c r="J570" s="20" t="n"/>
      <c r="K570" s="39">
        <f>IF(AND(I570&lt;&gt;"",J570&lt;&gt;""),I570*J570,"")</f>
        <v/>
      </c>
      <c r="L570" s="18" t="n"/>
      <c r="M570" s="18" t="n"/>
      <c r="N570" s="20" t="n"/>
      <c r="O570" s="20" t="n"/>
    </row>
    <row r="571">
      <c r="A571" s="41" t="n"/>
      <c r="B571" s="35">
        <f>IF(A571="","",YEAR(A571))</f>
        <v/>
      </c>
      <c r="C571" s="36">
        <f>IF(A571="","",MONTH(A571))</f>
        <v/>
      </c>
      <c r="D571" s="37">
        <f>IF(A571="","","Q"&amp;ROUNDUP(MONTH(A571)/3,0))</f>
        <v/>
      </c>
      <c r="E571" s="22" t="n"/>
      <c r="F571" s="22" t="n"/>
      <c r="G571" s="40">
        <f>IFERROR(VLOOKUP(F571,M2_거래처마스터!A:E,3,FALSE),"")</f>
        <v/>
      </c>
      <c r="H571" s="22" t="n"/>
      <c r="I571" s="23" t="n"/>
      <c r="J571" s="24" t="n"/>
      <c r="K571" s="39">
        <f>IF(AND(I571&lt;&gt;"",J571&lt;&gt;""),I571*J571,"")</f>
        <v/>
      </c>
      <c r="L571" s="22" t="n"/>
      <c r="M571" s="22" t="n"/>
      <c r="N571" s="24" t="n"/>
      <c r="O571" s="24" t="n"/>
    </row>
    <row r="572">
      <c r="A572" s="34" t="n"/>
      <c r="B572" s="35">
        <f>IF(A572="","",YEAR(A572))</f>
        <v/>
      </c>
      <c r="C572" s="36">
        <f>IF(A572="","",MONTH(A572))</f>
        <v/>
      </c>
      <c r="D572" s="37">
        <f>IF(A572="","","Q"&amp;ROUNDUP(MONTH(A572)/3,0))</f>
        <v/>
      </c>
      <c r="E572" s="18" t="n"/>
      <c r="F572" s="18" t="n"/>
      <c r="G572" s="40">
        <f>IFERROR(VLOOKUP(F572,M2_거래처마스터!A:E,3,FALSE),"")</f>
        <v/>
      </c>
      <c r="H572" s="18" t="n"/>
      <c r="I572" s="19" t="n"/>
      <c r="J572" s="20" t="n"/>
      <c r="K572" s="39">
        <f>IF(AND(I572&lt;&gt;"",J572&lt;&gt;""),I572*J572,"")</f>
        <v/>
      </c>
      <c r="L572" s="18" t="n"/>
      <c r="M572" s="18" t="n"/>
      <c r="N572" s="20" t="n"/>
      <c r="O572" s="20" t="n"/>
    </row>
    <row r="573">
      <c r="A573" s="41" t="n"/>
      <c r="B573" s="35">
        <f>IF(A573="","",YEAR(A573))</f>
        <v/>
      </c>
      <c r="C573" s="36">
        <f>IF(A573="","",MONTH(A573))</f>
        <v/>
      </c>
      <c r="D573" s="37">
        <f>IF(A573="","","Q"&amp;ROUNDUP(MONTH(A573)/3,0))</f>
        <v/>
      </c>
      <c r="E573" s="22" t="n"/>
      <c r="F573" s="22" t="n"/>
      <c r="G573" s="40">
        <f>IFERROR(VLOOKUP(F573,M2_거래처마스터!A:E,3,FALSE),"")</f>
        <v/>
      </c>
      <c r="H573" s="22" t="n"/>
      <c r="I573" s="23" t="n"/>
      <c r="J573" s="24" t="n"/>
      <c r="K573" s="39">
        <f>IF(AND(I573&lt;&gt;"",J573&lt;&gt;""),I573*J573,"")</f>
        <v/>
      </c>
      <c r="L573" s="22" t="n"/>
      <c r="M573" s="22" t="n"/>
      <c r="N573" s="24" t="n"/>
      <c r="O573" s="24" t="n"/>
    </row>
    <row r="574">
      <c r="A574" s="34" t="n"/>
      <c r="B574" s="35">
        <f>IF(A574="","",YEAR(A574))</f>
        <v/>
      </c>
      <c r="C574" s="36">
        <f>IF(A574="","",MONTH(A574))</f>
        <v/>
      </c>
      <c r="D574" s="37">
        <f>IF(A574="","","Q"&amp;ROUNDUP(MONTH(A574)/3,0))</f>
        <v/>
      </c>
      <c r="E574" s="18" t="n"/>
      <c r="F574" s="18" t="n"/>
      <c r="G574" s="40">
        <f>IFERROR(VLOOKUP(F574,M2_거래처마스터!A:E,3,FALSE),"")</f>
        <v/>
      </c>
      <c r="H574" s="18" t="n"/>
      <c r="I574" s="19" t="n"/>
      <c r="J574" s="20" t="n"/>
      <c r="K574" s="39">
        <f>IF(AND(I574&lt;&gt;"",J574&lt;&gt;""),I574*J574,"")</f>
        <v/>
      </c>
      <c r="L574" s="18" t="n"/>
      <c r="M574" s="18" t="n"/>
      <c r="N574" s="20" t="n"/>
      <c r="O574" s="20" t="n"/>
    </row>
    <row r="575">
      <c r="A575" s="41" t="n"/>
      <c r="B575" s="35">
        <f>IF(A575="","",YEAR(A575))</f>
        <v/>
      </c>
      <c r="C575" s="36">
        <f>IF(A575="","",MONTH(A575))</f>
        <v/>
      </c>
      <c r="D575" s="37">
        <f>IF(A575="","","Q"&amp;ROUNDUP(MONTH(A575)/3,0))</f>
        <v/>
      </c>
      <c r="E575" s="22" t="n"/>
      <c r="F575" s="22" t="n"/>
      <c r="G575" s="40">
        <f>IFERROR(VLOOKUP(F575,M2_거래처마스터!A:E,3,FALSE),"")</f>
        <v/>
      </c>
      <c r="H575" s="22" t="n"/>
      <c r="I575" s="23" t="n"/>
      <c r="J575" s="24" t="n"/>
      <c r="K575" s="39">
        <f>IF(AND(I575&lt;&gt;"",J575&lt;&gt;""),I575*J575,"")</f>
        <v/>
      </c>
      <c r="L575" s="22" t="n"/>
      <c r="M575" s="22" t="n"/>
      <c r="N575" s="24" t="n"/>
      <c r="O575" s="24" t="n"/>
    </row>
    <row r="576">
      <c r="A576" s="34" t="n"/>
      <c r="B576" s="35">
        <f>IF(A576="","",YEAR(A576))</f>
        <v/>
      </c>
      <c r="C576" s="36">
        <f>IF(A576="","",MONTH(A576))</f>
        <v/>
      </c>
      <c r="D576" s="37">
        <f>IF(A576="","","Q"&amp;ROUNDUP(MONTH(A576)/3,0))</f>
        <v/>
      </c>
      <c r="E576" s="18" t="n"/>
      <c r="F576" s="18" t="n"/>
      <c r="G576" s="40">
        <f>IFERROR(VLOOKUP(F576,M2_거래처마스터!A:E,3,FALSE),"")</f>
        <v/>
      </c>
      <c r="H576" s="18" t="n"/>
      <c r="I576" s="19" t="n"/>
      <c r="J576" s="20" t="n"/>
      <c r="K576" s="39">
        <f>IF(AND(I576&lt;&gt;"",J576&lt;&gt;""),I576*J576,"")</f>
        <v/>
      </c>
      <c r="L576" s="18" t="n"/>
      <c r="M576" s="18" t="n"/>
      <c r="N576" s="20" t="n"/>
      <c r="O576" s="20" t="n"/>
    </row>
    <row r="577">
      <c r="A577" s="41" t="n"/>
      <c r="B577" s="35">
        <f>IF(A577="","",YEAR(A577))</f>
        <v/>
      </c>
      <c r="C577" s="36">
        <f>IF(A577="","",MONTH(A577))</f>
        <v/>
      </c>
      <c r="D577" s="37">
        <f>IF(A577="","","Q"&amp;ROUNDUP(MONTH(A577)/3,0))</f>
        <v/>
      </c>
      <c r="E577" s="22" t="n"/>
      <c r="F577" s="22" t="n"/>
      <c r="G577" s="40">
        <f>IFERROR(VLOOKUP(F577,M2_거래처마스터!A:E,3,FALSE),"")</f>
        <v/>
      </c>
      <c r="H577" s="22" t="n"/>
      <c r="I577" s="23" t="n"/>
      <c r="J577" s="24" t="n"/>
      <c r="K577" s="39">
        <f>IF(AND(I577&lt;&gt;"",J577&lt;&gt;""),I577*J577,"")</f>
        <v/>
      </c>
      <c r="L577" s="22" t="n"/>
      <c r="M577" s="22" t="n"/>
      <c r="N577" s="24" t="n"/>
      <c r="O577" s="24" t="n"/>
    </row>
    <row r="578">
      <c r="A578" s="34" t="n"/>
      <c r="B578" s="35">
        <f>IF(A578="","",YEAR(A578))</f>
        <v/>
      </c>
      <c r="C578" s="36">
        <f>IF(A578="","",MONTH(A578))</f>
        <v/>
      </c>
      <c r="D578" s="37">
        <f>IF(A578="","","Q"&amp;ROUNDUP(MONTH(A578)/3,0))</f>
        <v/>
      </c>
      <c r="E578" s="18" t="n"/>
      <c r="F578" s="18" t="n"/>
      <c r="G578" s="40">
        <f>IFERROR(VLOOKUP(F578,M2_거래처마스터!A:E,3,FALSE),"")</f>
        <v/>
      </c>
      <c r="H578" s="18" t="n"/>
      <c r="I578" s="19" t="n"/>
      <c r="J578" s="20" t="n"/>
      <c r="K578" s="39">
        <f>IF(AND(I578&lt;&gt;"",J578&lt;&gt;""),I578*J578,"")</f>
        <v/>
      </c>
      <c r="L578" s="18" t="n"/>
      <c r="M578" s="18" t="n"/>
      <c r="N578" s="20" t="n"/>
      <c r="O578" s="20" t="n"/>
    </row>
    <row r="579">
      <c r="A579" s="41" t="n"/>
      <c r="B579" s="35">
        <f>IF(A579="","",YEAR(A579))</f>
        <v/>
      </c>
      <c r="C579" s="36">
        <f>IF(A579="","",MONTH(A579))</f>
        <v/>
      </c>
      <c r="D579" s="37">
        <f>IF(A579="","","Q"&amp;ROUNDUP(MONTH(A579)/3,0))</f>
        <v/>
      </c>
      <c r="E579" s="22" t="n"/>
      <c r="F579" s="22" t="n"/>
      <c r="G579" s="40">
        <f>IFERROR(VLOOKUP(F579,M2_거래처마스터!A:E,3,FALSE),"")</f>
        <v/>
      </c>
      <c r="H579" s="22" t="n"/>
      <c r="I579" s="23" t="n"/>
      <c r="J579" s="24" t="n"/>
      <c r="K579" s="39">
        <f>IF(AND(I579&lt;&gt;"",J579&lt;&gt;""),I579*J579,"")</f>
        <v/>
      </c>
      <c r="L579" s="22" t="n"/>
      <c r="M579" s="22" t="n"/>
      <c r="N579" s="24" t="n"/>
      <c r="O579" s="24" t="n"/>
    </row>
    <row r="580">
      <c r="A580" s="34" t="n"/>
      <c r="B580" s="35">
        <f>IF(A580="","",YEAR(A580))</f>
        <v/>
      </c>
      <c r="C580" s="36">
        <f>IF(A580="","",MONTH(A580))</f>
        <v/>
      </c>
      <c r="D580" s="37">
        <f>IF(A580="","","Q"&amp;ROUNDUP(MONTH(A580)/3,0))</f>
        <v/>
      </c>
      <c r="E580" s="18" t="n"/>
      <c r="F580" s="18" t="n"/>
      <c r="G580" s="40">
        <f>IFERROR(VLOOKUP(F580,M2_거래처마스터!A:E,3,FALSE),"")</f>
        <v/>
      </c>
      <c r="H580" s="18" t="n"/>
      <c r="I580" s="19" t="n"/>
      <c r="J580" s="20" t="n"/>
      <c r="K580" s="39">
        <f>IF(AND(I580&lt;&gt;"",J580&lt;&gt;""),I580*J580,"")</f>
        <v/>
      </c>
      <c r="L580" s="18" t="n"/>
      <c r="M580" s="18" t="n"/>
      <c r="N580" s="20" t="n"/>
      <c r="O580" s="20" t="n"/>
    </row>
    <row r="581">
      <c r="A581" s="41" t="n"/>
      <c r="B581" s="35">
        <f>IF(A581="","",YEAR(A581))</f>
        <v/>
      </c>
      <c r="C581" s="36">
        <f>IF(A581="","",MONTH(A581))</f>
        <v/>
      </c>
      <c r="D581" s="37">
        <f>IF(A581="","","Q"&amp;ROUNDUP(MONTH(A581)/3,0))</f>
        <v/>
      </c>
      <c r="E581" s="22" t="n"/>
      <c r="F581" s="22" t="n"/>
      <c r="G581" s="40">
        <f>IFERROR(VLOOKUP(F581,M2_거래처마스터!A:E,3,FALSE),"")</f>
        <v/>
      </c>
      <c r="H581" s="22" t="n"/>
      <c r="I581" s="23" t="n"/>
      <c r="J581" s="24" t="n"/>
      <c r="K581" s="39">
        <f>IF(AND(I581&lt;&gt;"",J581&lt;&gt;""),I581*J581,"")</f>
        <v/>
      </c>
      <c r="L581" s="22" t="n"/>
      <c r="M581" s="22" t="n"/>
      <c r="N581" s="24" t="n"/>
      <c r="O581" s="24" t="n"/>
    </row>
    <row r="582">
      <c r="A582" s="34" t="n"/>
      <c r="B582" s="35">
        <f>IF(A582="","",YEAR(A582))</f>
        <v/>
      </c>
      <c r="C582" s="36">
        <f>IF(A582="","",MONTH(A582))</f>
        <v/>
      </c>
      <c r="D582" s="37">
        <f>IF(A582="","","Q"&amp;ROUNDUP(MONTH(A582)/3,0))</f>
        <v/>
      </c>
      <c r="E582" s="18" t="n"/>
      <c r="F582" s="18" t="n"/>
      <c r="G582" s="40">
        <f>IFERROR(VLOOKUP(F582,M2_거래처마스터!A:E,3,FALSE),"")</f>
        <v/>
      </c>
      <c r="H582" s="18" t="n"/>
      <c r="I582" s="19" t="n"/>
      <c r="J582" s="20" t="n"/>
      <c r="K582" s="39">
        <f>IF(AND(I582&lt;&gt;"",J582&lt;&gt;""),I582*J582,"")</f>
        <v/>
      </c>
      <c r="L582" s="18" t="n"/>
      <c r="M582" s="18" t="n"/>
      <c r="N582" s="20" t="n"/>
      <c r="O582" s="20" t="n"/>
    </row>
    <row r="583">
      <c r="A583" s="41" t="n"/>
      <c r="B583" s="35">
        <f>IF(A583="","",YEAR(A583))</f>
        <v/>
      </c>
      <c r="C583" s="36">
        <f>IF(A583="","",MONTH(A583))</f>
        <v/>
      </c>
      <c r="D583" s="37">
        <f>IF(A583="","","Q"&amp;ROUNDUP(MONTH(A583)/3,0))</f>
        <v/>
      </c>
      <c r="E583" s="22" t="n"/>
      <c r="F583" s="22" t="n"/>
      <c r="G583" s="40">
        <f>IFERROR(VLOOKUP(F583,M2_거래처마스터!A:E,3,FALSE),"")</f>
        <v/>
      </c>
      <c r="H583" s="22" t="n"/>
      <c r="I583" s="23" t="n"/>
      <c r="J583" s="24" t="n"/>
      <c r="K583" s="39">
        <f>IF(AND(I583&lt;&gt;"",J583&lt;&gt;""),I583*J583,"")</f>
        <v/>
      </c>
      <c r="L583" s="22" t="n"/>
      <c r="M583" s="22" t="n"/>
      <c r="N583" s="24" t="n"/>
      <c r="O583" s="24" t="n"/>
    </row>
    <row r="584">
      <c r="A584" s="34" t="n"/>
      <c r="B584" s="35">
        <f>IF(A584="","",YEAR(A584))</f>
        <v/>
      </c>
      <c r="C584" s="36">
        <f>IF(A584="","",MONTH(A584))</f>
        <v/>
      </c>
      <c r="D584" s="37">
        <f>IF(A584="","","Q"&amp;ROUNDUP(MONTH(A584)/3,0))</f>
        <v/>
      </c>
      <c r="E584" s="18" t="n"/>
      <c r="F584" s="18" t="n"/>
      <c r="G584" s="40">
        <f>IFERROR(VLOOKUP(F584,M2_거래처마스터!A:E,3,FALSE),"")</f>
        <v/>
      </c>
      <c r="H584" s="18" t="n"/>
      <c r="I584" s="19" t="n"/>
      <c r="J584" s="20" t="n"/>
      <c r="K584" s="39">
        <f>IF(AND(I584&lt;&gt;"",J584&lt;&gt;""),I584*J584,"")</f>
        <v/>
      </c>
      <c r="L584" s="18" t="n"/>
      <c r="M584" s="18" t="n"/>
      <c r="N584" s="20" t="n"/>
      <c r="O584" s="20" t="n"/>
    </row>
    <row r="585">
      <c r="A585" s="41" t="n"/>
      <c r="B585" s="35">
        <f>IF(A585="","",YEAR(A585))</f>
        <v/>
      </c>
      <c r="C585" s="36">
        <f>IF(A585="","",MONTH(A585))</f>
        <v/>
      </c>
      <c r="D585" s="37">
        <f>IF(A585="","","Q"&amp;ROUNDUP(MONTH(A585)/3,0))</f>
        <v/>
      </c>
      <c r="E585" s="22" t="n"/>
      <c r="F585" s="22" t="n"/>
      <c r="G585" s="40">
        <f>IFERROR(VLOOKUP(F585,M2_거래처마스터!A:E,3,FALSE),"")</f>
        <v/>
      </c>
      <c r="H585" s="22" t="n"/>
      <c r="I585" s="23" t="n"/>
      <c r="J585" s="24" t="n"/>
      <c r="K585" s="39">
        <f>IF(AND(I585&lt;&gt;"",J585&lt;&gt;""),I585*J585,"")</f>
        <v/>
      </c>
      <c r="L585" s="22" t="n"/>
      <c r="M585" s="22" t="n"/>
      <c r="N585" s="24" t="n"/>
      <c r="O585" s="24" t="n"/>
    </row>
    <row r="586">
      <c r="A586" s="34" t="n"/>
      <c r="B586" s="35">
        <f>IF(A586="","",YEAR(A586))</f>
        <v/>
      </c>
      <c r="C586" s="36">
        <f>IF(A586="","",MONTH(A586))</f>
        <v/>
      </c>
      <c r="D586" s="37">
        <f>IF(A586="","","Q"&amp;ROUNDUP(MONTH(A586)/3,0))</f>
        <v/>
      </c>
      <c r="E586" s="18" t="n"/>
      <c r="F586" s="18" t="n"/>
      <c r="G586" s="40">
        <f>IFERROR(VLOOKUP(F586,M2_거래처마스터!A:E,3,FALSE),"")</f>
        <v/>
      </c>
      <c r="H586" s="18" t="n"/>
      <c r="I586" s="19" t="n"/>
      <c r="J586" s="20" t="n"/>
      <c r="K586" s="39">
        <f>IF(AND(I586&lt;&gt;"",J586&lt;&gt;""),I586*J586,"")</f>
        <v/>
      </c>
      <c r="L586" s="18" t="n"/>
      <c r="M586" s="18" t="n"/>
      <c r="N586" s="20" t="n"/>
      <c r="O586" s="20" t="n"/>
    </row>
    <row r="587">
      <c r="A587" s="41" t="n"/>
      <c r="B587" s="35">
        <f>IF(A587="","",YEAR(A587))</f>
        <v/>
      </c>
      <c r="C587" s="36">
        <f>IF(A587="","",MONTH(A587))</f>
        <v/>
      </c>
      <c r="D587" s="37">
        <f>IF(A587="","","Q"&amp;ROUNDUP(MONTH(A587)/3,0))</f>
        <v/>
      </c>
      <c r="E587" s="22" t="n"/>
      <c r="F587" s="22" t="n"/>
      <c r="G587" s="40">
        <f>IFERROR(VLOOKUP(F587,M2_거래처마스터!A:E,3,FALSE),"")</f>
        <v/>
      </c>
      <c r="H587" s="22" t="n"/>
      <c r="I587" s="23" t="n"/>
      <c r="J587" s="24" t="n"/>
      <c r="K587" s="39">
        <f>IF(AND(I587&lt;&gt;"",J587&lt;&gt;""),I587*J587,"")</f>
        <v/>
      </c>
      <c r="L587" s="22" t="n"/>
      <c r="M587" s="22" t="n"/>
      <c r="N587" s="24" t="n"/>
      <c r="O587" s="24" t="n"/>
    </row>
    <row r="588">
      <c r="A588" s="34" t="n"/>
      <c r="B588" s="35">
        <f>IF(A588="","",YEAR(A588))</f>
        <v/>
      </c>
      <c r="C588" s="36">
        <f>IF(A588="","",MONTH(A588))</f>
        <v/>
      </c>
      <c r="D588" s="37">
        <f>IF(A588="","","Q"&amp;ROUNDUP(MONTH(A588)/3,0))</f>
        <v/>
      </c>
      <c r="E588" s="18" t="n"/>
      <c r="F588" s="18" t="n"/>
      <c r="G588" s="40">
        <f>IFERROR(VLOOKUP(F588,M2_거래처마스터!A:E,3,FALSE),"")</f>
        <v/>
      </c>
      <c r="H588" s="18" t="n"/>
      <c r="I588" s="19" t="n"/>
      <c r="J588" s="20" t="n"/>
      <c r="K588" s="39">
        <f>IF(AND(I588&lt;&gt;"",J588&lt;&gt;""),I588*J588,"")</f>
        <v/>
      </c>
      <c r="L588" s="18" t="n"/>
      <c r="M588" s="18" t="n"/>
      <c r="N588" s="20" t="n"/>
      <c r="O588" s="20" t="n"/>
    </row>
    <row r="589">
      <c r="A589" s="41" t="n"/>
      <c r="B589" s="35">
        <f>IF(A589="","",YEAR(A589))</f>
        <v/>
      </c>
      <c r="C589" s="36">
        <f>IF(A589="","",MONTH(A589))</f>
        <v/>
      </c>
      <c r="D589" s="37">
        <f>IF(A589="","","Q"&amp;ROUNDUP(MONTH(A589)/3,0))</f>
        <v/>
      </c>
      <c r="E589" s="22" t="n"/>
      <c r="F589" s="22" t="n"/>
      <c r="G589" s="40">
        <f>IFERROR(VLOOKUP(F589,M2_거래처마스터!A:E,3,FALSE),"")</f>
        <v/>
      </c>
      <c r="H589" s="22" t="n"/>
      <c r="I589" s="23" t="n"/>
      <c r="J589" s="24" t="n"/>
      <c r="K589" s="39">
        <f>IF(AND(I589&lt;&gt;"",J589&lt;&gt;""),I589*J589,"")</f>
        <v/>
      </c>
      <c r="L589" s="22" t="n"/>
      <c r="M589" s="22" t="n"/>
      <c r="N589" s="24" t="n"/>
      <c r="O589" s="24" t="n"/>
    </row>
    <row r="590">
      <c r="A590" s="34" t="n"/>
      <c r="B590" s="35">
        <f>IF(A590="","",YEAR(A590))</f>
        <v/>
      </c>
      <c r="C590" s="36">
        <f>IF(A590="","",MONTH(A590))</f>
        <v/>
      </c>
      <c r="D590" s="37">
        <f>IF(A590="","","Q"&amp;ROUNDUP(MONTH(A590)/3,0))</f>
        <v/>
      </c>
      <c r="E590" s="18" t="n"/>
      <c r="F590" s="18" t="n"/>
      <c r="G590" s="40">
        <f>IFERROR(VLOOKUP(F590,M2_거래처마스터!A:E,3,FALSE),"")</f>
        <v/>
      </c>
      <c r="H590" s="18" t="n"/>
      <c r="I590" s="19" t="n"/>
      <c r="J590" s="20" t="n"/>
      <c r="K590" s="39">
        <f>IF(AND(I590&lt;&gt;"",J590&lt;&gt;""),I590*J590,"")</f>
        <v/>
      </c>
      <c r="L590" s="18" t="n"/>
      <c r="M590" s="18" t="n"/>
      <c r="N590" s="20" t="n"/>
      <c r="O590" s="20" t="n"/>
    </row>
    <row r="591">
      <c r="A591" s="41" t="n"/>
      <c r="B591" s="35">
        <f>IF(A591="","",YEAR(A591))</f>
        <v/>
      </c>
      <c r="C591" s="36">
        <f>IF(A591="","",MONTH(A591))</f>
        <v/>
      </c>
      <c r="D591" s="37">
        <f>IF(A591="","","Q"&amp;ROUNDUP(MONTH(A591)/3,0))</f>
        <v/>
      </c>
      <c r="E591" s="22" t="n"/>
      <c r="F591" s="22" t="n"/>
      <c r="G591" s="40">
        <f>IFERROR(VLOOKUP(F591,M2_거래처마스터!A:E,3,FALSE),"")</f>
        <v/>
      </c>
      <c r="H591" s="22" t="n"/>
      <c r="I591" s="23" t="n"/>
      <c r="J591" s="24" t="n"/>
      <c r="K591" s="39">
        <f>IF(AND(I591&lt;&gt;"",J591&lt;&gt;""),I591*J591,"")</f>
        <v/>
      </c>
      <c r="L591" s="22" t="n"/>
      <c r="M591" s="22" t="n"/>
      <c r="N591" s="24" t="n"/>
      <c r="O591" s="24" t="n"/>
    </row>
    <row r="592">
      <c r="A592" s="34" t="n"/>
      <c r="B592" s="35">
        <f>IF(A592="","",YEAR(A592))</f>
        <v/>
      </c>
      <c r="C592" s="36">
        <f>IF(A592="","",MONTH(A592))</f>
        <v/>
      </c>
      <c r="D592" s="37">
        <f>IF(A592="","","Q"&amp;ROUNDUP(MONTH(A592)/3,0))</f>
        <v/>
      </c>
      <c r="E592" s="18" t="n"/>
      <c r="F592" s="18" t="n"/>
      <c r="G592" s="40">
        <f>IFERROR(VLOOKUP(F592,M2_거래처마스터!A:E,3,FALSE),"")</f>
        <v/>
      </c>
      <c r="H592" s="18" t="n"/>
      <c r="I592" s="19" t="n"/>
      <c r="J592" s="20" t="n"/>
      <c r="K592" s="39">
        <f>IF(AND(I592&lt;&gt;"",J592&lt;&gt;""),I592*J592,"")</f>
        <v/>
      </c>
      <c r="L592" s="18" t="n"/>
      <c r="M592" s="18" t="n"/>
      <c r="N592" s="20" t="n"/>
      <c r="O592" s="20" t="n"/>
    </row>
    <row r="593">
      <c r="A593" s="41" t="n"/>
      <c r="B593" s="35">
        <f>IF(A593="","",YEAR(A593))</f>
        <v/>
      </c>
      <c r="C593" s="36">
        <f>IF(A593="","",MONTH(A593))</f>
        <v/>
      </c>
      <c r="D593" s="37">
        <f>IF(A593="","","Q"&amp;ROUNDUP(MONTH(A593)/3,0))</f>
        <v/>
      </c>
      <c r="E593" s="22" t="n"/>
      <c r="F593" s="22" t="n"/>
      <c r="G593" s="40">
        <f>IFERROR(VLOOKUP(F593,M2_거래처마스터!A:E,3,FALSE),"")</f>
        <v/>
      </c>
      <c r="H593" s="22" t="n"/>
      <c r="I593" s="23" t="n"/>
      <c r="J593" s="24" t="n"/>
      <c r="K593" s="39">
        <f>IF(AND(I593&lt;&gt;"",J593&lt;&gt;""),I593*J593,"")</f>
        <v/>
      </c>
      <c r="L593" s="22" t="n"/>
      <c r="M593" s="22" t="n"/>
      <c r="N593" s="24" t="n"/>
      <c r="O593" s="24" t="n"/>
    </row>
    <row r="594">
      <c r="A594" s="34" t="n"/>
      <c r="B594" s="35">
        <f>IF(A594="","",YEAR(A594))</f>
        <v/>
      </c>
      <c r="C594" s="36">
        <f>IF(A594="","",MONTH(A594))</f>
        <v/>
      </c>
      <c r="D594" s="37">
        <f>IF(A594="","","Q"&amp;ROUNDUP(MONTH(A594)/3,0))</f>
        <v/>
      </c>
      <c r="E594" s="18" t="n"/>
      <c r="F594" s="18" t="n"/>
      <c r="G594" s="40">
        <f>IFERROR(VLOOKUP(F594,M2_거래처마스터!A:E,3,FALSE),"")</f>
        <v/>
      </c>
      <c r="H594" s="18" t="n"/>
      <c r="I594" s="19" t="n"/>
      <c r="J594" s="20" t="n"/>
      <c r="K594" s="39">
        <f>IF(AND(I594&lt;&gt;"",J594&lt;&gt;""),I594*J594,"")</f>
        <v/>
      </c>
      <c r="L594" s="18" t="n"/>
      <c r="M594" s="18" t="n"/>
      <c r="N594" s="20" t="n"/>
      <c r="O594" s="20" t="n"/>
    </row>
    <row r="595">
      <c r="A595" s="41" t="n"/>
      <c r="B595" s="35">
        <f>IF(A595="","",YEAR(A595))</f>
        <v/>
      </c>
      <c r="C595" s="36">
        <f>IF(A595="","",MONTH(A595))</f>
        <v/>
      </c>
      <c r="D595" s="37">
        <f>IF(A595="","","Q"&amp;ROUNDUP(MONTH(A595)/3,0))</f>
        <v/>
      </c>
      <c r="E595" s="22" t="n"/>
      <c r="F595" s="22" t="n"/>
      <c r="G595" s="40">
        <f>IFERROR(VLOOKUP(F595,M2_거래처마스터!A:E,3,FALSE),"")</f>
        <v/>
      </c>
      <c r="H595" s="22" t="n"/>
      <c r="I595" s="23" t="n"/>
      <c r="J595" s="24" t="n"/>
      <c r="K595" s="39">
        <f>IF(AND(I595&lt;&gt;"",J595&lt;&gt;""),I595*J595,"")</f>
        <v/>
      </c>
      <c r="L595" s="22" t="n"/>
      <c r="M595" s="22" t="n"/>
      <c r="N595" s="24" t="n"/>
      <c r="O595" s="24" t="n"/>
    </row>
    <row r="596">
      <c r="A596" s="34" t="n"/>
      <c r="B596" s="35">
        <f>IF(A596="","",YEAR(A596))</f>
        <v/>
      </c>
      <c r="C596" s="36">
        <f>IF(A596="","",MONTH(A596))</f>
        <v/>
      </c>
      <c r="D596" s="37">
        <f>IF(A596="","","Q"&amp;ROUNDUP(MONTH(A596)/3,0))</f>
        <v/>
      </c>
      <c r="E596" s="18" t="n"/>
      <c r="F596" s="18" t="n"/>
      <c r="G596" s="40">
        <f>IFERROR(VLOOKUP(F596,M2_거래처마스터!A:E,3,FALSE),"")</f>
        <v/>
      </c>
      <c r="H596" s="18" t="n"/>
      <c r="I596" s="19" t="n"/>
      <c r="J596" s="20" t="n"/>
      <c r="K596" s="39">
        <f>IF(AND(I596&lt;&gt;"",J596&lt;&gt;""),I596*J596,"")</f>
        <v/>
      </c>
      <c r="L596" s="18" t="n"/>
      <c r="M596" s="18" t="n"/>
      <c r="N596" s="20" t="n"/>
      <c r="O596" s="20" t="n"/>
    </row>
    <row r="597">
      <c r="A597" s="41" t="n"/>
      <c r="B597" s="35">
        <f>IF(A597="","",YEAR(A597))</f>
        <v/>
      </c>
      <c r="C597" s="36">
        <f>IF(A597="","",MONTH(A597))</f>
        <v/>
      </c>
      <c r="D597" s="37">
        <f>IF(A597="","","Q"&amp;ROUNDUP(MONTH(A597)/3,0))</f>
        <v/>
      </c>
      <c r="E597" s="22" t="n"/>
      <c r="F597" s="22" t="n"/>
      <c r="G597" s="40">
        <f>IFERROR(VLOOKUP(F597,M2_거래처마스터!A:E,3,FALSE),"")</f>
        <v/>
      </c>
      <c r="H597" s="22" t="n"/>
      <c r="I597" s="23" t="n"/>
      <c r="J597" s="24" t="n"/>
      <c r="K597" s="39">
        <f>IF(AND(I597&lt;&gt;"",J597&lt;&gt;""),I597*J597,"")</f>
        <v/>
      </c>
      <c r="L597" s="22" t="n"/>
      <c r="M597" s="22" t="n"/>
      <c r="N597" s="24" t="n"/>
      <c r="O597" s="24" t="n"/>
    </row>
    <row r="598">
      <c r="A598" s="34" t="n"/>
      <c r="B598" s="35">
        <f>IF(A598="","",YEAR(A598))</f>
        <v/>
      </c>
      <c r="C598" s="36">
        <f>IF(A598="","",MONTH(A598))</f>
        <v/>
      </c>
      <c r="D598" s="37">
        <f>IF(A598="","","Q"&amp;ROUNDUP(MONTH(A598)/3,0))</f>
        <v/>
      </c>
      <c r="E598" s="18" t="n"/>
      <c r="F598" s="18" t="n"/>
      <c r="G598" s="40">
        <f>IFERROR(VLOOKUP(F598,M2_거래처마스터!A:E,3,FALSE),"")</f>
        <v/>
      </c>
      <c r="H598" s="18" t="n"/>
      <c r="I598" s="19" t="n"/>
      <c r="J598" s="20" t="n"/>
      <c r="K598" s="39">
        <f>IF(AND(I598&lt;&gt;"",J598&lt;&gt;""),I598*J598,"")</f>
        <v/>
      </c>
      <c r="L598" s="18" t="n"/>
      <c r="M598" s="18" t="n"/>
      <c r="N598" s="20" t="n"/>
      <c r="O598" s="20" t="n"/>
    </row>
    <row r="599">
      <c r="A599" s="41" t="n"/>
      <c r="B599" s="35">
        <f>IF(A599="","",YEAR(A599))</f>
        <v/>
      </c>
      <c r="C599" s="36">
        <f>IF(A599="","",MONTH(A599))</f>
        <v/>
      </c>
      <c r="D599" s="37">
        <f>IF(A599="","","Q"&amp;ROUNDUP(MONTH(A599)/3,0))</f>
        <v/>
      </c>
      <c r="E599" s="22" t="n"/>
      <c r="F599" s="22" t="n"/>
      <c r="G599" s="40">
        <f>IFERROR(VLOOKUP(F599,M2_거래처마스터!A:E,3,FALSE),"")</f>
        <v/>
      </c>
      <c r="H599" s="22" t="n"/>
      <c r="I599" s="23" t="n"/>
      <c r="J599" s="24" t="n"/>
      <c r="K599" s="39">
        <f>IF(AND(I599&lt;&gt;"",J599&lt;&gt;""),I599*J599,"")</f>
        <v/>
      </c>
      <c r="L599" s="22" t="n"/>
      <c r="M599" s="22" t="n"/>
      <c r="N599" s="24" t="n"/>
      <c r="O599" s="24" t="n"/>
    </row>
    <row r="600">
      <c r="A600" s="34" t="n"/>
      <c r="B600" s="35">
        <f>IF(A600="","",YEAR(A600))</f>
        <v/>
      </c>
      <c r="C600" s="36">
        <f>IF(A600="","",MONTH(A600))</f>
        <v/>
      </c>
      <c r="D600" s="37">
        <f>IF(A600="","","Q"&amp;ROUNDUP(MONTH(A600)/3,0))</f>
        <v/>
      </c>
      <c r="E600" s="18" t="n"/>
      <c r="F600" s="18" t="n"/>
      <c r="G600" s="40">
        <f>IFERROR(VLOOKUP(F600,M2_거래처마스터!A:E,3,FALSE),"")</f>
        <v/>
      </c>
      <c r="H600" s="18" t="n"/>
      <c r="I600" s="19" t="n"/>
      <c r="J600" s="20" t="n"/>
      <c r="K600" s="39">
        <f>IF(AND(I600&lt;&gt;"",J600&lt;&gt;""),I600*J600,"")</f>
        <v/>
      </c>
      <c r="L600" s="18" t="n"/>
      <c r="M600" s="18" t="n"/>
      <c r="N600" s="20" t="n"/>
      <c r="O600" s="20" t="n"/>
    </row>
    <row r="601">
      <c r="A601" s="41" t="n"/>
      <c r="B601" s="35">
        <f>IF(A601="","",YEAR(A601))</f>
        <v/>
      </c>
      <c r="C601" s="36">
        <f>IF(A601="","",MONTH(A601))</f>
        <v/>
      </c>
      <c r="D601" s="37">
        <f>IF(A601="","","Q"&amp;ROUNDUP(MONTH(A601)/3,0))</f>
        <v/>
      </c>
      <c r="E601" s="22" t="n"/>
      <c r="F601" s="22" t="n"/>
      <c r="G601" s="40">
        <f>IFERROR(VLOOKUP(F601,M2_거래처마스터!A:E,3,FALSE),"")</f>
        <v/>
      </c>
      <c r="H601" s="22" t="n"/>
      <c r="I601" s="23" t="n"/>
      <c r="J601" s="24" t="n"/>
      <c r="K601" s="39">
        <f>IF(AND(I601&lt;&gt;"",J601&lt;&gt;""),I601*J601,"")</f>
        <v/>
      </c>
      <c r="L601" s="22" t="n"/>
      <c r="M601" s="22" t="n"/>
      <c r="N601" s="24" t="n"/>
      <c r="O601" s="24" t="n"/>
    </row>
    <row r="602">
      <c r="A602" s="34" t="n"/>
      <c r="B602" s="35">
        <f>IF(A602="","",YEAR(A602))</f>
        <v/>
      </c>
      <c r="C602" s="36">
        <f>IF(A602="","",MONTH(A602))</f>
        <v/>
      </c>
      <c r="D602" s="37">
        <f>IF(A602="","","Q"&amp;ROUNDUP(MONTH(A602)/3,0))</f>
        <v/>
      </c>
      <c r="E602" s="18" t="n"/>
      <c r="F602" s="18" t="n"/>
      <c r="G602" s="40">
        <f>IFERROR(VLOOKUP(F602,M2_거래처마스터!A:E,3,FALSE),"")</f>
        <v/>
      </c>
      <c r="H602" s="18" t="n"/>
      <c r="I602" s="19" t="n"/>
      <c r="J602" s="20" t="n"/>
      <c r="K602" s="39">
        <f>IF(AND(I602&lt;&gt;"",J602&lt;&gt;""),I602*J602,"")</f>
        <v/>
      </c>
      <c r="L602" s="18" t="n"/>
      <c r="M602" s="18" t="n"/>
      <c r="N602" s="20" t="n"/>
      <c r="O602" s="20" t="n"/>
    </row>
    <row r="603">
      <c r="A603" s="41" t="n"/>
      <c r="B603" s="35">
        <f>IF(A603="","",YEAR(A603))</f>
        <v/>
      </c>
      <c r="C603" s="36">
        <f>IF(A603="","",MONTH(A603))</f>
        <v/>
      </c>
      <c r="D603" s="37">
        <f>IF(A603="","","Q"&amp;ROUNDUP(MONTH(A603)/3,0))</f>
        <v/>
      </c>
      <c r="E603" s="22" t="n"/>
      <c r="F603" s="22" t="n"/>
      <c r="G603" s="40">
        <f>IFERROR(VLOOKUP(F603,M2_거래처마스터!A:E,3,FALSE),"")</f>
        <v/>
      </c>
      <c r="H603" s="22" t="n"/>
      <c r="I603" s="23" t="n"/>
      <c r="J603" s="24" t="n"/>
      <c r="K603" s="39">
        <f>IF(AND(I603&lt;&gt;"",J603&lt;&gt;""),I603*J603,"")</f>
        <v/>
      </c>
      <c r="L603" s="22" t="n"/>
      <c r="M603" s="22" t="n"/>
      <c r="N603" s="24" t="n"/>
      <c r="O603" s="24" t="n"/>
    </row>
    <row r="604">
      <c r="A604" s="34" t="n"/>
      <c r="B604" s="35">
        <f>IF(A604="","",YEAR(A604))</f>
        <v/>
      </c>
      <c r="C604" s="36">
        <f>IF(A604="","",MONTH(A604))</f>
        <v/>
      </c>
      <c r="D604" s="37">
        <f>IF(A604="","","Q"&amp;ROUNDUP(MONTH(A604)/3,0))</f>
        <v/>
      </c>
      <c r="E604" s="18" t="n"/>
      <c r="F604" s="18" t="n"/>
      <c r="G604" s="40">
        <f>IFERROR(VLOOKUP(F604,M2_거래처마스터!A:E,3,FALSE),"")</f>
        <v/>
      </c>
      <c r="H604" s="18" t="n"/>
      <c r="I604" s="19" t="n"/>
      <c r="J604" s="20" t="n"/>
      <c r="K604" s="39">
        <f>IF(AND(I604&lt;&gt;"",J604&lt;&gt;""),I604*J604,"")</f>
        <v/>
      </c>
      <c r="L604" s="18" t="n"/>
      <c r="M604" s="18" t="n"/>
      <c r="N604" s="20" t="n"/>
      <c r="O604" s="20" t="n"/>
    </row>
    <row r="605">
      <c r="A605" s="41" t="n"/>
      <c r="B605" s="35">
        <f>IF(A605="","",YEAR(A605))</f>
        <v/>
      </c>
      <c r="C605" s="36">
        <f>IF(A605="","",MONTH(A605))</f>
        <v/>
      </c>
      <c r="D605" s="37">
        <f>IF(A605="","","Q"&amp;ROUNDUP(MONTH(A605)/3,0))</f>
        <v/>
      </c>
      <c r="E605" s="22" t="n"/>
      <c r="F605" s="22" t="n"/>
      <c r="G605" s="40">
        <f>IFERROR(VLOOKUP(F605,M2_거래처마스터!A:E,3,FALSE),"")</f>
        <v/>
      </c>
      <c r="H605" s="22" t="n"/>
      <c r="I605" s="23" t="n"/>
      <c r="J605" s="24" t="n"/>
      <c r="K605" s="39">
        <f>IF(AND(I605&lt;&gt;"",J605&lt;&gt;""),I605*J605,"")</f>
        <v/>
      </c>
      <c r="L605" s="22" t="n"/>
      <c r="M605" s="22" t="n"/>
      <c r="N605" s="24" t="n"/>
      <c r="O605" s="24" t="n"/>
    </row>
    <row r="606">
      <c r="A606" s="34" t="n"/>
      <c r="B606" s="35">
        <f>IF(A606="","",YEAR(A606))</f>
        <v/>
      </c>
      <c r="C606" s="36">
        <f>IF(A606="","",MONTH(A606))</f>
        <v/>
      </c>
      <c r="D606" s="37">
        <f>IF(A606="","","Q"&amp;ROUNDUP(MONTH(A606)/3,0))</f>
        <v/>
      </c>
      <c r="E606" s="18" t="n"/>
      <c r="F606" s="18" t="n"/>
      <c r="G606" s="40">
        <f>IFERROR(VLOOKUP(F606,M2_거래처마스터!A:E,3,FALSE),"")</f>
        <v/>
      </c>
      <c r="H606" s="18" t="n"/>
      <c r="I606" s="19" t="n"/>
      <c r="J606" s="20" t="n"/>
      <c r="K606" s="39">
        <f>IF(AND(I606&lt;&gt;"",J606&lt;&gt;""),I606*J606,"")</f>
        <v/>
      </c>
      <c r="L606" s="18" t="n"/>
      <c r="M606" s="18" t="n"/>
      <c r="N606" s="20" t="n"/>
      <c r="O606" s="20" t="n"/>
    </row>
    <row r="607">
      <c r="A607" s="41" t="n"/>
      <c r="B607" s="35">
        <f>IF(A607="","",YEAR(A607))</f>
        <v/>
      </c>
      <c r="C607" s="36">
        <f>IF(A607="","",MONTH(A607))</f>
        <v/>
      </c>
      <c r="D607" s="37">
        <f>IF(A607="","","Q"&amp;ROUNDUP(MONTH(A607)/3,0))</f>
        <v/>
      </c>
      <c r="E607" s="22" t="n"/>
      <c r="F607" s="22" t="n"/>
      <c r="G607" s="40">
        <f>IFERROR(VLOOKUP(F607,M2_거래처마스터!A:E,3,FALSE),"")</f>
        <v/>
      </c>
      <c r="H607" s="22" t="n"/>
      <c r="I607" s="23" t="n"/>
      <c r="J607" s="24" t="n"/>
      <c r="K607" s="39">
        <f>IF(AND(I607&lt;&gt;"",J607&lt;&gt;""),I607*J607,"")</f>
        <v/>
      </c>
      <c r="L607" s="22" t="n"/>
      <c r="M607" s="22" t="n"/>
      <c r="N607" s="24" t="n"/>
      <c r="O607" s="24" t="n"/>
    </row>
    <row r="608">
      <c r="A608" s="34" t="n"/>
      <c r="B608" s="35">
        <f>IF(A608="","",YEAR(A608))</f>
        <v/>
      </c>
      <c r="C608" s="36">
        <f>IF(A608="","",MONTH(A608))</f>
        <v/>
      </c>
      <c r="D608" s="37">
        <f>IF(A608="","","Q"&amp;ROUNDUP(MONTH(A608)/3,0))</f>
        <v/>
      </c>
      <c r="E608" s="18" t="n"/>
      <c r="F608" s="18" t="n"/>
      <c r="G608" s="40">
        <f>IFERROR(VLOOKUP(F608,M2_거래처마스터!A:E,3,FALSE),"")</f>
        <v/>
      </c>
      <c r="H608" s="18" t="n"/>
      <c r="I608" s="19" t="n"/>
      <c r="J608" s="20" t="n"/>
      <c r="K608" s="39">
        <f>IF(AND(I608&lt;&gt;"",J608&lt;&gt;""),I608*J608,"")</f>
        <v/>
      </c>
      <c r="L608" s="18" t="n"/>
      <c r="M608" s="18" t="n"/>
      <c r="N608" s="20" t="n"/>
      <c r="O608" s="20" t="n"/>
    </row>
    <row r="609">
      <c r="A609" s="41" t="n"/>
      <c r="B609" s="35">
        <f>IF(A609="","",YEAR(A609))</f>
        <v/>
      </c>
      <c r="C609" s="36">
        <f>IF(A609="","",MONTH(A609))</f>
        <v/>
      </c>
      <c r="D609" s="37">
        <f>IF(A609="","","Q"&amp;ROUNDUP(MONTH(A609)/3,0))</f>
        <v/>
      </c>
      <c r="E609" s="22" t="n"/>
      <c r="F609" s="22" t="n"/>
      <c r="G609" s="40">
        <f>IFERROR(VLOOKUP(F609,M2_거래처마스터!A:E,3,FALSE),"")</f>
        <v/>
      </c>
      <c r="H609" s="22" t="n"/>
      <c r="I609" s="23" t="n"/>
      <c r="J609" s="24" t="n"/>
      <c r="K609" s="39">
        <f>IF(AND(I609&lt;&gt;"",J609&lt;&gt;""),I609*J609,"")</f>
        <v/>
      </c>
      <c r="L609" s="22" t="n"/>
      <c r="M609" s="22" t="n"/>
      <c r="N609" s="24" t="n"/>
      <c r="O609" s="24" t="n"/>
    </row>
    <row r="610">
      <c r="A610" s="34" t="n"/>
      <c r="B610" s="35">
        <f>IF(A610="","",YEAR(A610))</f>
        <v/>
      </c>
      <c r="C610" s="36">
        <f>IF(A610="","",MONTH(A610))</f>
        <v/>
      </c>
      <c r="D610" s="37">
        <f>IF(A610="","","Q"&amp;ROUNDUP(MONTH(A610)/3,0))</f>
        <v/>
      </c>
      <c r="E610" s="18" t="n"/>
      <c r="F610" s="18" t="n"/>
      <c r="G610" s="40">
        <f>IFERROR(VLOOKUP(F610,M2_거래처마스터!A:E,3,FALSE),"")</f>
        <v/>
      </c>
      <c r="H610" s="18" t="n"/>
      <c r="I610" s="19" t="n"/>
      <c r="J610" s="20" t="n"/>
      <c r="K610" s="39">
        <f>IF(AND(I610&lt;&gt;"",J610&lt;&gt;""),I610*J610,"")</f>
        <v/>
      </c>
      <c r="L610" s="18" t="n"/>
      <c r="M610" s="18" t="n"/>
      <c r="N610" s="20" t="n"/>
      <c r="O610" s="20" t="n"/>
    </row>
    <row r="611">
      <c r="A611" s="41" t="n"/>
      <c r="B611" s="35">
        <f>IF(A611="","",YEAR(A611))</f>
        <v/>
      </c>
      <c r="C611" s="36">
        <f>IF(A611="","",MONTH(A611))</f>
        <v/>
      </c>
      <c r="D611" s="37">
        <f>IF(A611="","","Q"&amp;ROUNDUP(MONTH(A611)/3,0))</f>
        <v/>
      </c>
      <c r="E611" s="22" t="n"/>
      <c r="F611" s="22" t="n"/>
      <c r="G611" s="40">
        <f>IFERROR(VLOOKUP(F611,M2_거래처마스터!A:E,3,FALSE),"")</f>
        <v/>
      </c>
      <c r="H611" s="22" t="n"/>
      <c r="I611" s="23" t="n"/>
      <c r="J611" s="24" t="n"/>
      <c r="K611" s="39">
        <f>IF(AND(I611&lt;&gt;"",J611&lt;&gt;""),I611*J611,"")</f>
        <v/>
      </c>
      <c r="L611" s="22" t="n"/>
      <c r="M611" s="22" t="n"/>
      <c r="N611" s="24" t="n"/>
      <c r="O611" s="24" t="n"/>
    </row>
    <row r="612">
      <c r="A612" s="34" t="n"/>
      <c r="B612" s="35">
        <f>IF(A612="","",YEAR(A612))</f>
        <v/>
      </c>
      <c r="C612" s="36">
        <f>IF(A612="","",MONTH(A612))</f>
        <v/>
      </c>
      <c r="D612" s="37">
        <f>IF(A612="","","Q"&amp;ROUNDUP(MONTH(A612)/3,0))</f>
        <v/>
      </c>
      <c r="E612" s="18" t="n"/>
      <c r="F612" s="18" t="n"/>
      <c r="G612" s="40">
        <f>IFERROR(VLOOKUP(F612,M2_거래처마스터!A:E,3,FALSE),"")</f>
        <v/>
      </c>
      <c r="H612" s="18" t="n"/>
      <c r="I612" s="19" t="n"/>
      <c r="J612" s="20" t="n"/>
      <c r="K612" s="39">
        <f>IF(AND(I612&lt;&gt;"",J612&lt;&gt;""),I612*J612,"")</f>
        <v/>
      </c>
      <c r="L612" s="18" t="n"/>
      <c r="M612" s="18" t="n"/>
      <c r="N612" s="20" t="n"/>
      <c r="O612" s="20" t="n"/>
    </row>
    <row r="613">
      <c r="A613" s="41" t="n"/>
      <c r="B613" s="35">
        <f>IF(A613="","",YEAR(A613))</f>
        <v/>
      </c>
      <c r="C613" s="36">
        <f>IF(A613="","",MONTH(A613))</f>
        <v/>
      </c>
      <c r="D613" s="37">
        <f>IF(A613="","","Q"&amp;ROUNDUP(MONTH(A613)/3,0))</f>
        <v/>
      </c>
      <c r="E613" s="22" t="n"/>
      <c r="F613" s="22" t="n"/>
      <c r="G613" s="40">
        <f>IFERROR(VLOOKUP(F613,M2_거래처마스터!A:E,3,FALSE),"")</f>
        <v/>
      </c>
      <c r="H613" s="22" t="n"/>
      <c r="I613" s="23" t="n"/>
      <c r="J613" s="24" t="n"/>
      <c r="K613" s="39">
        <f>IF(AND(I613&lt;&gt;"",J613&lt;&gt;""),I613*J613,"")</f>
        <v/>
      </c>
      <c r="L613" s="22" t="n"/>
      <c r="M613" s="22" t="n"/>
      <c r="N613" s="24" t="n"/>
      <c r="O613" s="24" t="n"/>
    </row>
    <row r="614">
      <c r="A614" s="34" t="n"/>
      <c r="B614" s="35">
        <f>IF(A614="","",YEAR(A614))</f>
        <v/>
      </c>
      <c r="C614" s="36">
        <f>IF(A614="","",MONTH(A614))</f>
        <v/>
      </c>
      <c r="D614" s="37">
        <f>IF(A614="","","Q"&amp;ROUNDUP(MONTH(A614)/3,0))</f>
        <v/>
      </c>
      <c r="E614" s="18" t="n"/>
      <c r="F614" s="18" t="n"/>
      <c r="G614" s="40">
        <f>IFERROR(VLOOKUP(F614,M2_거래처마스터!A:E,3,FALSE),"")</f>
        <v/>
      </c>
      <c r="H614" s="18" t="n"/>
      <c r="I614" s="19" t="n"/>
      <c r="J614" s="20" t="n"/>
      <c r="K614" s="39">
        <f>IF(AND(I614&lt;&gt;"",J614&lt;&gt;""),I614*J614,"")</f>
        <v/>
      </c>
      <c r="L614" s="18" t="n"/>
      <c r="M614" s="18" t="n"/>
      <c r="N614" s="20" t="n"/>
      <c r="O614" s="20" t="n"/>
    </row>
    <row r="615">
      <c r="A615" s="41" t="n"/>
      <c r="B615" s="35">
        <f>IF(A615="","",YEAR(A615))</f>
        <v/>
      </c>
      <c r="C615" s="36">
        <f>IF(A615="","",MONTH(A615))</f>
        <v/>
      </c>
      <c r="D615" s="37">
        <f>IF(A615="","","Q"&amp;ROUNDUP(MONTH(A615)/3,0))</f>
        <v/>
      </c>
      <c r="E615" s="22" t="n"/>
      <c r="F615" s="22" t="n"/>
      <c r="G615" s="40">
        <f>IFERROR(VLOOKUP(F615,M2_거래처마스터!A:E,3,FALSE),"")</f>
        <v/>
      </c>
      <c r="H615" s="22" t="n"/>
      <c r="I615" s="23" t="n"/>
      <c r="J615" s="24" t="n"/>
      <c r="K615" s="39">
        <f>IF(AND(I615&lt;&gt;"",J615&lt;&gt;""),I615*J615,"")</f>
        <v/>
      </c>
      <c r="L615" s="22" t="n"/>
      <c r="M615" s="22" t="n"/>
      <c r="N615" s="24" t="n"/>
      <c r="O615" s="24" t="n"/>
    </row>
    <row r="616">
      <c r="A616" s="34" t="n"/>
      <c r="B616" s="35">
        <f>IF(A616="","",YEAR(A616))</f>
        <v/>
      </c>
      <c r="C616" s="36">
        <f>IF(A616="","",MONTH(A616))</f>
        <v/>
      </c>
      <c r="D616" s="37">
        <f>IF(A616="","","Q"&amp;ROUNDUP(MONTH(A616)/3,0))</f>
        <v/>
      </c>
      <c r="E616" s="18" t="n"/>
      <c r="F616" s="18" t="n"/>
      <c r="G616" s="40">
        <f>IFERROR(VLOOKUP(F616,M2_거래처마스터!A:E,3,FALSE),"")</f>
        <v/>
      </c>
      <c r="H616" s="18" t="n"/>
      <c r="I616" s="19" t="n"/>
      <c r="J616" s="20" t="n"/>
      <c r="K616" s="39">
        <f>IF(AND(I616&lt;&gt;"",J616&lt;&gt;""),I616*J616,"")</f>
        <v/>
      </c>
      <c r="L616" s="18" t="n"/>
      <c r="M616" s="18" t="n"/>
      <c r="N616" s="20" t="n"/>
      <c r="O616" s="20" t="n"/>
    </row>
    <row r="617">
      <c r="A617" s="41" t="n"/>
      <c r="B617" s="35">
        <f>IF(A617="","",YEAR(A617))</f>
        <v/>
      </c>
      <c r="C617" s="36">
        <f>IF(A617="","",MONTH(A617))</f>
        <v/>
      </c>
      <c r="D617" s="37">
        <f>IF(A617="","","Q"&amp;ROUNDUP(MONTH(A617)/3,0))</f>
        <v/>
      </c>
      <c r="E617" s="22" t="n"/>
      <c r="F617" s="22" t="n"/>
      <c r="G617" s="40">
        <f>IFERROR(VLOOKUP(F617,M2_거래처마스터!A:E,3,FALSE),"")</f>
        <v/>
      </c>
      <c r="H617" s="22" t="n"/>
      <c r="I617" s="23" t="n"/>
      <c r="J617" s="24" t="n"/>
      <c r="K617" s="39">
        <f>IF(AND(I617&lt;&gt;"",J617&lt;&gt;""),I617*J617,"")</f>
        <v/>
      </c>
      <c r="L617" s="22" t="n"/>
      <c r="M617" s="22" t="n"/>
      <c r="N617" s="24" t="n"/>
      <c r="O617" s="24" t="n"/>
    </row>
    <row r="618">
      <c r="A618" s="34" t="n"/>
      <c r="B618" s="35">
        <f>IF(A618="","",YEAR(A618))</f>
        <v/>
      </c>
      <c r="C618" s="36">
        <f>IF(A618="","",MONTH(A618))</f>
        <v/>
      </c>
      <c r="D618" s="37">
        <f>IF(A618="","","Q"&amp;ROUNDUP(MONTH(A618)/3,0))</f>
        <v/>
      </c>
      <c r="E618" s="18" t="n"/>
      <c r="F618" s="18" t="n"/>
      <c r="G618" s="40">
        <f>IFERROR(VLOOKUP(F618,M2_거래처마스터!A:E,3,FALSE),"")</f>
        <v/>
      </c>
      <c r="H618" s="18" t="n"/>
      <c r="I618" s="19" t="n"/>
      <c r="J618" s="20" t="n"/>
      <c r="K618" s="39">
        <f>IF(AND(I618&lt;&gt;"",J618&lt;&gt;""),I618*J618,"")</f>
        <v/>
      </c>
      <c r="L618" s="18" t="n"/>
      <c r="M618" s="18" t="n"/>
      <c r="N618" s="20" t="n"/>
      <c r="O618" s="20" t="n"/>
    </row>
    <row r="619">
      <c r="A619" s="41" t="n"/>
      <c r="B619" s="35">
        <f>IF(A619="","",YEAR(A619))</f>
        <v/>
      </c>
      <c r="C619" s="36">
        <f>IF(A619="","",MONTH(A619))</f>
        <v/>
      </c>
      <c r="D619" s="37">
        <f>IF(A619="","","Q"&amp;ROUNDUP(MONTH(A619)/3,0))</f>
        <v/>
      </c>
      <c r="E619" s="22" t="n"/>
      <c r="F619" s="22" t="n"/>
      <c r="G619" s="40">
        <f>IFERROR(VLOOKUP(F619,M2_거래처마스터!A:E,3,FALSE),"")</f>
        <v/>
      </c>
      <c r="H619" s="22" t="n"/>
      <c r="I619" s="23" t="n"/>
      <c r="J619" s="24" t="n"/>
      <c r="K619" s="39">
        <f>IF(AND(I619&lt;&gt;"",J619&lt;&gt;""),I619*J619,"")</f>
        <v/>
      </c>
      <c r="L619" s="22" t="n"/>
      <c r="M619" s="22" t="n"/>
      <c r="N619" s="24" t="n"/>
      <c r="O619" s="24" t="n"/>
    </row>
    <row r="620">
      <c r="A620" s="34" t="n"/>
      <c r="B620" s="35">
        <f>IF(A620="","",YEAR(A620))</f>
        <v/>
      </c>
      <c r="C620" s="36">
        <f>IF(A620="","",MONTH(A620))</f>
        <v/>
      </c>
      <c r="D620" s="37">
        <f>IF(A620="","","Q"&amp;ROUNDUP(MONTH(A620)/3,0))</f>
        <v/>
      </c>
      <c r="E620" s="18" t="n"/>
      <c r="F620" s="18" t="n"/>
      <c r="G620" s="40">
        <f>IFERROR(VLOOKUP(F620,M2_거래처마스터!A:E,3,FALSE),"")</f>
        <v/>
      </c>
      <c r="H620" s="18" t="n"/>
      <c r="I620" s="19" t="n"/>
      <c r="J620" s="20" t="n"/>
      <c r="K620" s="39">
        <f>IF(AND(I620&lt;&gt;"",J620&lt;&gt;""),I620*J620,"")</f>
        <v/>
      </c>
      <c r="L620" s="18" t="n"/>
      <c r="M620" s="18" t="n"/>
      <c r="N620" s="20" t="n"/>
      <c r="O620" s="20" t="n"/>
    </row>
    <row r="621">
      <c r="A621" s="41" t="n"/>
      <c r="B621" s="35">
        <f>IF(A621="","",YEAR(A621))</f>
        <v/>
      </c>
      <c r="C621" s="36">
        <f>IF(A621="","",MONTH(A621))</f>
        <v/>
      </c>
      <c r="D621" s="37">
        <f>IF(A621="","","Q"&amp;ROUNDUP(MONTH(A621)/3,0))</f>
        <v/>
      </c>
      <c r="E621" s="22" t="n"/>
      <c r="F621" s="22" t="n"/>
      <c r="G621" s="40">
        <f>IFERROR(VLOOKUP(F621,M2_거래처마스터!A:E,3,FALSE),"")</f>
        <v/>
      </c>
      <c r="H621" s="22" t="n"/>
      <c r="I621" s="23" t="n"/>
      <c r="J621" s="24" t="n"/>
      <c r="K621" s="39">
        <f>IF(AND(I621&lt;&gt;"",J621&lt;&gt;""),I621*J621,"")</f>
        <v/>
      </c>
      <c r="L621" s="22" t="n"/>
      <c r="M621" s="22" t="n"/>
      <c r="N621" s="24" t="n"/>
      <c r="O621" s="24" t="n"/>
    </row>
    <row r="622">
      <c r="A622" s="34" t="n"/>
      <c r="B622" s="35">
        <f>IF(A622="","",YEAR(A622))</f>
        <v/>
      </c>
      <c r="C622" s="36">
        <f>IF(A622="","",MONTH(A622))</f>
        <v/>
      </c>
      <c r="D622" s="37">
        <f>IF(A622="","","Q"&amp;ROUNDUP(MONTH(A622)/3,0))</f>
        <v/>
      </c>
      <c r="E622" s="18" t="n"/>
      <c r="F622" s="18" t="n"/>
      <c r="G622" s="40">
        <f>IFERROR(VLOOKUP(F622,M2_거래처마스터!A:E,3,FALSE),"")</f>
        <v/>
      </c>
      <c r="H622" s="18" t="n"/>
      <c r="I622" s="19" t="n"/>
      <c r="J622" s="20" t="n"/>
      <c r="K622" s="39">
        <f>IF(AND(I622&lt;&gt;"",J622&lt;&gt;""),I622*J622,"")</f>
        <v/>
      </c>
      <c r="L622" s="18" t="n"/>
      <c r="M622" s="18" t="n"/>
      <c r="N622" s="20" t="n"/>
      <c r="O622" s="20" t="n"/>
    </row>
    <row r="623">
      <c r="A623" s="41" t="n"/>
      <c r="B623" s="35">
        <f>IF(A623="","",YEAR(A623))</f>
        <v/>
      </c>
      <c r="C623" s="36">
        <f>IF(A623="","",MONTH(A623))</f>
        <v/>
      </c>
      <c r="D623" s="37">
        <f>IF(A623="","","Q"&amp;ROUNDUP(MONTH(A623)/3,0))</f>
        <v/>
      </c>
      <c r="E623" s="22" t="n"/>
      <c r="F623" s="22" t="n"/>
      <c r="G623" s="40">
        <f>IFERROR(VLOOKUP(F623,M2_거래처마스터!A:E,3,FALSE),"")</f>
        <v/>
      </c>
      <c r="H623" s="22" t="n"/>
      <c r="I623" s="23" t="n"/>
      <c r="J623" s="24" t="n"/>
      <c r="K623" s="39">
        <f>IF(AND(I623&lt;&gt;"",J623&lt;&gt;""),I623*J623,"")</f>
        <v/>
      </c>
      <c r="L623" s="22" t="n"/>
      <c r="M623" s="22" t="n"/>
      <c r="N623" s="24" t="n"/>
      <c r="O623" s="24" t="n"/>
    </row>
    <row r="624">
      <c r="A624" s="34" t="n"/>
      <c r="B624" s="35">
        <f>IF(A624="","",YEAR(A624))</f>
        <v/>
      </c>
      <c r="C624" s="36">
        <f>IF(A624="","",MONTH(A624))</f>
        <v/>
      </c>
      <c r="D624" s="37">
        <f>IF(A624="","","Q"&amp;ROUNDUP(MONTH(A624)/3,0))</f>
        <v/>
      </c>
      <c r="E624" s="18" t="n"/>
      <c r="F624" s="18" t="n"/>
      <c r="G624" s="40">
        <f>IFERROR(VLOOKUP(F624,M2_거래처마스터!A:E,3,FALSE),"")</f>
        <v/>
      </c>
      <c r="H624" s="18" t="n"/>
      <c r="I624" s="19" t="n"/>
      <c r="J624" s="20" t="n"/>
      <c r="K624" s="39">
        <f>IF(AND(I624&lt;&gt;"",J624&lt;&gt;""),I624*J624,"")</f>
        <v/>
      </c>
      <c r="L624" s="18" t="n"/>
      <c r="M624" s="18" t="n"/>
      <c r="N624" s="20" t="n"/>
      <c r="O624" s="20" t="n"/>
    </row>
    <row r="625">
      <c r="A625" s="41" t="n"/>
      <c r="B625" s="35">
        <f>IF(A625="","",YEAR(A625))</f>
        <v/>
      </c>
      <c r="C625" s="36">
        <f>IF(A625="","",MONTH(A625))</f>
        <v/>
      </c>
      <c r="D625" s="37">
        <f>IF(A625="","","Q"&amp;ROUNDUP(MONTH(A625)/3,0))</f>
        <v/>
      </c>
      <c r="E625" s="22" t="n"/>
      <c r="F625" s="22" t="n"/>
      <c r="G625" s="40">
        <f>IFERROR(VLOOKUP(F625,M2_거래처마스터!A:E,3,FALSE),"")</f>
        <v/>
      </c>
      <c r="H625" s="22" t="n"/>
      <c r="I625" s="23" t="n"/>
      <c r="J625" s="24" t="n"/>
      <c r="K625" s="39">
        <f>IF(AND(I625&lt;&gt;"",J625&lt;&gt;""),I625*J625,"")</f>
        <v/>
      </c>
      <c r="L625" s="22" t="n"/>
      <c r="M625" s="22" t="n"/>
      <c r="N625" s="24" t="n"/>
      <c r="O625" s="24" t="n"/>
    </row>
    <row r="626">
      <c r="A626" s="34" t="n"/>
      <c r="B626" s="35">
        <f>IF(A626="","",YEAR(A626))</f>
        <v/>
      </c>
      <c r="C626" s="36">
        <f>IF(A626="","",MONTH(A626))</f>
        <v/>
      </c>
      <c r="D626" s="37">
        <f>IF(A626="","","Q"&amp;ROUNDUP(MONTH(A626)/3,0))</f>
        <v/>
      </c>
      <c r="E626" s="18" t="n"/>
      <c r="F626" s="18" t="n"/>
      <c r="G626" s="40">
        <f>IFERROR(VLOOKUP(F626,M2_거래처마스터!A:E,3,FALSE),"")</f>
        <v/>
      </c>
      <c r="H626" s="18" t="n"/>
      <c r="I626" s="19" t="n"/>
      <c r="J626" s="20" t="n"/>
      <c r="K626" s="39">
        <f>IF(AND(I626&lt;&gt;"",J626&lt;&gt;""),I626*J626,"")</f>
        <v/>
      </c>
      <c r="L626" s="18" t="n"/>
      <c r="M626" s="18" t="n"/>
      <c r="N626" s="20" t="n"/>
      <c r="O626" s="20" t="n"/>
    </row>
    <row r="627">
      <c r="A627" s="41" t="n"/>
      <c r="B627" s="35">
        <f>IF(A627="","",YEAR(A627))</f>
        <v/>
      </c>
      <c r="C627" s="36">
        <f>IF(A627="","",MONTH(A627))</f>
        <v/>
      </c>
      <c r="D627" s="37">
        <f>IF(A627="","","Q"&amp;ROUNDUP(MONTH(A627)/3,0))</f>
        <v/>
      </c>
      <c r="E627" s="22" t="n"/>
      <c r="F627" s="22" t="n"/>
      <c r="G627" s="40">
        <f>IFERROR(VLOOKUP(F627,M2_거래처마스터!A:E,3,FALSE),"")</f>
        <v/>
      </c>
      <c r="H627" s="22" t="n"/>
      <c r="I627" s="23" t="n"/>
      <c r="J627" s="24" t="n"/>
      <c r="K627" s="39">
        <f>IF(AND(I627&lt;&gt;"",J627&lt;&gt;""),I627*J627,"")</f>
        <v/>
      </c>
      <c r="L627" s="22" t="n"/>
      <c r="M627" s="22" t="n"/>
      <c r="N627" s="24" t="n"/>
      <c r="O627" s="24" t="n"/>
    </row>
    <row r="628">
      <c r="A628" s="34" t="n"/>
      <c r="B628" s="35">
        <f>IF(A628="","",YEAR(A628))</f>
        <v/>
      </c>
      <c r="C628" s="36">
        <f>IF(A628="","",MONTH(A628))</f>
        <v/>
      </c>
      <c r="D628" s="37">
        <f>IF(A628="","","Q"&amp;ROUNDUP(MONTH(A628)/3,0))</f>
        <v/>
      </c>
      <c r="E628" s="18" t="n"/>
      <c r="F628" s="18" t="n"/>
      <c r="G628" s="40">
        <f>IFERROR(VLOOKUP(F628,M2_거래처마스터!A:E,3,FALSE),"")</f>
        <v/>
      </c>
      <c r="H628" s="18" t="n"/>
      <c r="I628" s="19" t="n"/>
      <c r="J628" s="20" t="n"/>
      <c r="K628" s="39">
        <f>IF(AND(I628&lt;&gt;"",J628&lt;&gt;""),I628*J628,"")</f>
        <v/>
      </c>
      <c r="L628" s="18" t="n"/>
      <c r="M628" s="18" t="n"/>
      <c r="N628" s="20" t="n"/>
      <c r="O628" s="20" t="n"/>
    </row>
    <row r="629">
      <c r="A629" s="41" t="n"/>
      <c r="B629" s="35">
        <f>IF(A629="","",YEAR(A629))</f>
        <v/>
      </c>
      <c r="C629" s="36">
        <f>IF(A629="","",MONTH(A629))</f>
        <v/>
      </c>
      <c r="D629" s="37">
        <f>IF(A629="","","Q"&amp;ROUNDUP(MONTH(A629)/3,0))</f>
        <v/>
      </c>
      <c r="E629" s="22" t="n"/>
      <c r="F629" s="22" t="n"/>
      <c r="G629" s="40">
        <f>IFERROR(VLOOKUP(F629,M2_거래처마스터!A:E,3,FALSE),"")</f>
        <v/>
      </c>
      <c r="H629" s="22" t="n"/>
      <c r="I629" s="23" t="n"/>
      <c r="J629" s="24" t="n"/>
      <c r="K629" s="39">
        <f>IF(AND(I629&lt;&gt;"",J629&lt;&gt;""),I629*J629,"")</f>
        <v/>
      </c>
      <c r="L629" s="22" t="n"/>
      <c r="M629" s="22" t="n"/>
      <c r="N629" s="24" t="n"/>
      <c r="O629" s="24" t="n"/>
    </row>
    <row r="630">
      <c r="A630" s="34" t="n"/>
      <c r="B630" s="35">
        <f>IF(A630="","",YEAR(A630))</f>
        <v/>
      </c>
      <c r="C630" s="36">
        <f>IF(A630="","",MONTH(A630))</f>
        <v/>
      </c>
      <c r="D630" s="37">
        <f>IF(A630="","","Q"&amp;ROUNDUP(MONTH(A630)/3,0))</f>
        <v/>
      </c>
      <c r="E630" s="18" t="n"/>
      <c r="F630" s="18" t="n"/>
      <c r="G630" s="40">
        <f>IFERROR(VLOOKUP(F630,M2_거래처마스터!A:E,3,FALSE),"")</f>
        <v/>
      </c>
      <c r="H630" s="18" t="n"/>
      <c r="I630" s="19" t="n"/>
      <c r="J630" s="20" t="n"/>
      <c r="K630" s="39">
        <f>IF(AND(I630&lt;&gt;"",J630&lt;&gt;""),I630*J630,"")</f>
        <v/>
      </c>
      <c r="L630" s="18" t="n"/>
      <c r="M630" s="18" t="n"/>
      <c r="N630" s="20" t="n"/>
      <c r="O630" s="20" t="n"/>
    </row>
    <row r="631">
      <c r="A631" s="41" t="n"/>
      <c r="B631" s="35">
        <f>IF(A631="","",YEAR(A631))</f>
        <v/>
      </c>
      <c r="C631" s="36">
        <f>IF(A631="","",MONTH(A631))</f>
        <v/>
      </c>
      <c r="D631" s="37">
        <f>IF(A631="","","Q"&amp;ROUNDUP(MONTH(A631)/3,0))</f>
        <v/>
      </c>
      <c r="E631" s="22" t="n"/>
      <c r="F631" s="22" t="n"/>
      <c r="G631" s="40">
        <f>IFERROR(VLOOKUP(F631,M2_거래처마스터!A:E,3,FALSE),"")</f>
        <v/>
      </c>
      <c r="H631" s="22" t="n"/>
      <c r="I631" s="23" t="n"/>
      <c r="J631" s="24" t="n"/>
      <c r="K631" s="39">
        <f>IF(AND(I631&lt;&gt;"",J631&lt;&gt;""),I631*J631,"")</f>
        <v/>
      </c>
      <c r="L631" s="22" t="n"/>
      <c r="M631" s="22" t="n"/>
      <c r="N631" s="24" t="n"/>
      <c r="O631" s="24" t="n"/>
    </row>
    <row r="632">
      <c r="A632" s="34" t="n"/>
      <c r="B632" s="35">
        <f>IF(A632="","",YEAR(A632))</f>
        <v/>
      </c>
      <c r="C632" s="36">
        <f>IF(A632="","",MONTH(A632))</f>
        <v/>
      </c>
      <c r="D632" s="37">
        <f>IF(A632="","","Q"&amp;ROUNDUP(MONTH(A632)/3,0))</f>
        <v/>
      </c>
      <c r="E632" s="18" t="n"/>
      <c r="F632" s="18" t="n"/>
      <c r="G632" s="40">
        <f>IFERROR(VLOOKUP(F632,M2_거래처마스터!A:E,3,FALSE),"")</f>
        <v/>
      </c>
      <c r="H632" s="18" t="n"/>
      <c r="I632" s="19" t="n"/>
      <c r="J632" s="20" t="n"/>
      <c r="K632" s="39">
        <f>IF(AND(I632&lt;&gt;"",J632&lt;&gt;""),I632*J632,"")</f>
        <v/>
      </c>
      <c r="L632" s="18" t="n"/>
      <c r="M632" s="18" t="n"/>
      <c r="N632" s="20" t="n"/>
      <c r="O632" s="20" t="n"/>
    </row>
    <row r="633">
      <c r="A633" s="41" t="n"/>
      <c r="B633" s="35">
        <f>IF(A633="","",YEAR(A633))</f>
        <v/>
      </c>
      <c r="C633" s="36">
        <f>IF(A633="","",MONTH(A633))</f>
        <v/>
      </c>
      <c r="D633" s="37">
        <f>IF(A633="","","Q"&amp;ROUNDUP(MONTH(A633)/3,0))</f>
        <v/>
      </c>
      <c r="E633" s="22" t="n"/>
      <c r="F633" s="22" t="n"/>
      <c r="G633" s="40">
        <f>IFERROR(VLOOKUP(F633,M2_거래처마스터!A:E,3,FALSE),"")</f>
        <v/>
      </c>
      <c r="H633" s="22" t="n"/>
      <c r="I633" s="23" t="n"/>
      <c r="J633" s="24" t="n"/>
      <c r="K633" s="39">
        <f>IF(AND(I633&lt;&gt;"",J633&lt;&gt;""),I633*J633,"")</f>
        <v/>
      </c>
      <c r="L633" s="22" t="n"/>
      <c r="M633" s="22" t="n"/>
      <c r="N633" s="24" t="n"/>
      <c r="O633" s="24" t="n"/>
    </row>
    <row r="634">
      <c r="A634" s="34" t="n"/>
      <c r="B634" s="35">
        <f>IF(A634="","",YEAR(A634))</f>
        <v/>
      </c>
      <c r="C634" s="36">
        <f>IF(A634="","",MONTH(A634))</f>
        <v/>
      </c>
      <c r="D634" s="37">
        <f>IF(A634="","","Q"&amp;ROUNDUP(MONTH(A634)/3,0))</f>
        <v/>
      </c>
      <c r="E634" s="18" t="n"/>
      <c r="F634" s="18" t="n"/>
      <c r="G634" s="40">
        <f>IFERROR(VLOOKUP(F634,M2_거래처마스터!A:E,3,FALSE),"")</f>
        <v/>
      </c>
      <c r="H634" s="18" t="n"/>
      <c r="I634" s="19" t="n"/>
      <c r="J634" s="20" t="n"/>
      <c r="K634" s="39">
        <f>IF(AND(I634&lt;&gt;"",J634&lt;&gt;""),I634*J634,"")</f>
        <v/>
      </c>
      <c r="L634" s="18" t="n"/>
      <c r="M634" s="18" t="n"/>
      <c r="N634" s="20" t="n"/>
      <c r="O634" s="20" t="n"/>
    </row>
    <row r="635">
      <c r="A635" s="41" t="n"/>
      <c r="B635" s="35">
        <f>IF(A635="","",YEAR(A635))</f>
        <v/>
      </c>
      <c r="C635" s="36">
        <f>IF(A635="","",MONTH(A635))</f>
        <v/>
      </c>
      <c r="D635" s="37">
        <f>IF(A635="","","Q"&amp;ROUNDUP(MONTH(A635)/3,0))</f>
        <v/>
      </c>
      <c r="E635" s="22" t="n"/>
      <c r="F635" s="22" t="n"/>
      <c r="G635" s="40">
        <f>IFERROR(VLOOKUP(F635,M2_거래처마스터!A:E,3,FALSE),"")</f>
        <v/>
      </c>
      <c r="H635" s="22" t="n"/>
      <c r="I635" s="23" t="n"/>
      <c r="J635" s="24" t="n"/>
      <c r="K635" s="39">
        <f>IF(AND(I635&lt;&gt;"",J635&lt;&gt;""),I635*J635,"")</f>
        <v/>
      </c>
      <c r="L635" s="22" t="n"/>
      <c r="M635" s="22" t="n"/>
      <c r="N635" s="24" t="n"/>
      <c r="O635" s="24" t="n"/>
    </row>
    <row r="636">
      <c r="A636" s="34" t="n"/>
      <c r="B636" s="35">
        <f>IF(A636="","",YEAR(A636))</f>
        <v/>
      </c>
      <c r="C636" s="36">
        <f>IF(A636="","",MONTH(A636))</f>
        <v/>
      </c>
      <c r="D636" s="37">
        <f>IF(A636="","","Q"&amp;ROUNDUP(MONTH(A636)/3,0))</f>
        <v/>
      </c>
      <c r="E636" s="18" t="n"/>
      <c r="F636" s="18" t="n"/>
      <c r="G636" s="40">
        <f>IFERROR(VLOOKUP(F636,M2_거래처마스터!A:E,3,FALSE),"")</f>
        <v/>
      </c>
      <c r="H636" s="18" t="n"/>
      <c r="I636" s="19" t="n"/>
      <c r="J636" s="20" t="n"/>
      <c r="K636" s="39">
        <f>IF(AND(I636&lt;&gt;"",J636&lt;&gt;""),I636*J636,"")</f>
        <v/>
      </c>
      <c r="L636" s="18" t="n"/>
      <c r="M636" s="18" t="n"/>
      <c r="N636" s="20" t="n"/>
      <c r="O636" s="20" t="n"/>
    </row>
    <row r="637">
      <c r="A637" s="41" t="n"/>
      <c r="B637" s="35">
        <f>IF(A637="","",YEAR(A637))</f>
        <v/>
      </c>
      <c r="C637" s="36">
        <f>IF(A637="","",MONTH(A637))</f>
        <v/>
      </c>
      <c r="D637" s="37">
        <f>IF(A637="","","Q"&amp;ROUNDUP(MONTH(A637)/3,0))</f>
        <v/>
      </c>
      <c r="E637" s="22" t="n"/>
      <c r="F637" s="22" t="n"/>
      <c r="G637" s="40">
        <f>IFERROR(VLOOKUP(F637,M2_거래처마스터!A:E,3,FALSE),"")</f>
        <v/>
      </c>
      <c r="H637" s="22" t="n"/>
      <c r="I637" s="23" t="n"/>
      <c r="J637" s="24" t="n"/>
      <c r="K637" s="39">
        <f>IF(AND(I637&lt;&gt;"",J637&lt;&gt;""),I637*J637,"")</f>
        <v/>
      </c>
      <c r="L637" s="22" t="n"/>
      <c r="M637" s="22" t="n"/>
      <c r="N637" s="24" t="n"/>
      <c r="O637" s="24" t="n"/>
    </row>
    <row r="638">
      <c r="A638" s="34" t="n"/>
      <c r="B638" s="35">
        <f>IF(A638="","",YEAR(A638))</f>
        <v/>
      </c>
      <c r="C638" s="36">
        <f>IF(A638="","",MONTH(A638))</f>
        <v/>
      </c>
      <c r="D638" s="37">
        <f>IF(A638="","","Q"&amp;ROUNDUP(MONTH(A638)/3,0))</f>
        <v/>
      </c>
      <c r="E638" s="18" t="n"/>
      <c r="F638" s="18" t="n"/>
      <c r="G638" s="40">
        <f>IFERROR(VLOOKUP(F638,M2_거래처마스터!A:E,3,FALSE),"")</f>
        <v/>
      </c>
      <c r="H638" s="18" t="n"/>
      <c r="I638" s="19" t="n"/>
      <c r="J638" s="20" t="n"/>
      <c r="K638" s="39">
        <f>IF(AND(I638&lt;&gt;"",J638&lt;&gt;""),I638*J638,"")</f>
        <v/>
      </c>
      <c r="L638" s="18" t="n"/>
      <c r="M638" s="18" t="n"/>
      <c r="N638" s="20" t="n"/>
      <c r="O638" s="20" t="n"/>
    </row>
    <row r="639">
      <c r="A639" s="41" t="n"/>
      <c r="B639" s="35">
        <f>IF(A639="","",YEAR(A639))</f>
        <v/>
      </c>
      <c r="C639" s="36">
        <f>IF(A639="","",MONTH(A639))</f>
        <v/>
      </c>
      <c r="D639" s="37">
        <f>IF(A639="","","Q"&amp;ROUNDUP(MONTH(A639)/3,0))</f>
        <v/>
      </c>
      <c r="E639" s="22" t="n"/>
      <c r="F639" s="22" t="n"/>
      <c r="G639" s="40">
        <f>IFERROR(VLOOKUP(F639,M2_거래처마스터!A:E,3,FALSE),"")</f>
        <v/>
      </c>
      <c r="H639" s="22" t="n"/>
      <c r="I639" s="23" t="n"/>
      <c r="J639" s="24" t="n"/>
      <c r="K639" s="39">
        <f>IF(AND(I639&lt;&gt;"",J639&lt;&gt;""),I639*J639,"")</f>
        <v/>
      </c>
      <c r="L639" s="22" t="n"/>
      <c r="M639" s="22" t="n"/>
      <c r="N639" s="24" t="n"/>
      <c r="O639" s="24" t="n"/>
    </row>
    <row r="640">
      <c r="A640" s="34" t="n"/>
      <c r="B640" s="35">
        <f>IF(A640="","",YEAR(A640))</f>
        <v/>
      </c>
      <c r="C640" s="36">
        <f>IF(A640="","",MONTH(A640))</f>
        <v/>
      </c>
      <c r="D640" s="37">
        <f>IF(A640="","","Q"&amp;ROUNDUP(MONTH(A640)/3,0))</f>
        <v/>
      </c>
      <c r="E640" s="18" t="n"/>
      <c r="F640" s="18" t="n"/>
      <c r="G640" s="40">
        <f>IFERROR(VLOOKUP(F640,M2_거래처마스터!A:E,3,FALSE),"")</f>
        <v/>
      </c>
      <c r="H640" s="18" t="n"/>
      <c r="I640" s="19" t="n"/>
      <c r="J640" s="20" t="n"/>
      <c r="K640" s="39">
        <f>IF(AND(I640&lt;&gt;"",J640&lt;&gt;""),I640*J640,"")</f>
        <v/>
      </c>
      <c r="L640" s="18" t="n"/>
      <c r="M640" s="18" t="n"/>
      <c r="N640" s="20" t="n"/>
      <c r="O640" s="20" t="n"/>
    </row>
    <row r="641">
      <c r="A641" s="41" t="n"/>
      <c r="B641" s="35">
        <f>IF(A641="","",YEAR(A641))</f>
        <v/>
      </c>
      <c r="C641" s="36">
        <f>IF(A641="","",MONTH(A641))</f>
        <v/>
      </c>
      <c r="D641" s="37">
        <f>IF(A641="","","Q"&amp;ROUNDUP(MONTH(A641)/3,0))</f>
        <v/>
      </c>
      <c r="E641" s="22" t="n"/>
      <c r="F641" s="22" t="n"/>
      <c r="G641" s="40">
        <f>IFERROR(VLOOKUP(F641,M2_거래처마스터!A:E,3,FALSE),"")</f>
        <v/>
      </c>
      <c r="H641" s="22" t="n"/>
      <c r="I641" s="23" t="n"/>
      <c r="J641" s="24" t="n"/>
      <c r="K641" s="39">
        <f>IF(AND(I641&lt;&gt;"",J641&lt;&gt;""),I641*J641,"")</f>
        <v/>
      </c>
      <c r="L641" s="22" t="n"/>
      <c r="M641" s="22" t="n"/>
      <c r="N641" s="24" t="n"/>
      <c r="O641" s="24" t="n"/>
    </row>
    <row r="642">
      <c r="A642" s="34" t="n"/>
      <c r="B642" s="35">
        <f>IF(A642="","",YEAR(A642))</f>
        <v/>
      </c>
      <c r="C642" s="36">
        <f>IF(A642="","",MONTH(A642))</f>
        <v/>
      </c>
      <c r="D642" s="37">
        <f>IF(A642="","","Q"&amp;ROUNDUP(MONTH(A642)/3,0))</f>
        <v/>
      </c>
      <c r="E642" s="18" t="n"/>
      <c r="F642" s="18" t="n"/>
      <c r="G642" s="40">
        <f>IFERROR(VLOOKUP(F642,M2_거래처마스터!A:E,3,FALSE),"")</f>
        <v/>
      </c>
      <c r="H642" s="18" t="n"/>
      <c r="I642" s="19" t="n"/>
      <c r="J642" s="20" t="n"/>
      <c r="K642" s="39">
        <f>IF(AND(I642&lt;&gt;"",J642&lt;&gt;""),I642*J642,"")</f>
        <v/>
      </c>
      <c r="L642" s="18" t="n"/>
      <c r="M642" s="18" t="n"/>
      <c r="N642" s="20" t="n"/>
      <c r="O642" s="20" t="n"/>
    </row>
    <row r="643">
      <c r="A643" s="41" t="n"/>
      <c r="B643" s="35">
        <f>IF(A643="","",YEAR(A643))</f>
        <v/>
      </c>
      <c r="C643" s="36">
        <f>IF(A643="","",MONTH(A643))</f>
        <v/>
      </c>
      <c r="D643" s="37">
        <f>IF(A643="","","Q"&amp;ROUNDUP(MONTH(A643)/3,0))</f>
        <v/>
      </c>
      <c r="E643" s="22" t="n"/>
      <c r="F643" s="22" t="n"/>
      <c r="G643" s="40">
        <f>IFERROR(VLOOKUP(F643,M2_거래처마스터!A:E,3,FALSE),"")</f>
        <v/>
      </c>
      <c r="H643" s="22" t="n"/>
      <c r="I643" s="23" t="n"/>
      <c r="J643" s="24" t="n"/>
      <c r="K643" s="39">
        <f>IF(AND(I643&lt;&gt;"",J643&lt;&gt;""),I643*J643,"")</f>
        <v/>
      </c>
      <c r="L643" s="22" t="n"/>
      <c r="M643" s="22" t="n"/>
      <c r="N643" s="24" t="n"/>
      <c r="O643" s="24" t="n"/>
    </row>
    <row r="644">
      <c r="A644" s="34" t="n"/>
      <c r="B644" s="35">
        <f>IF(A644="","",YEAR(A644))</f>
        <v/>
      </c>
      <c r="C644" s="36">
        <f>IF(A644="","",MONTH(A644))</f>
        <v/>
      </c>
      <c r="D644" s="37">
        <f>IF(A644="","","Q"&amp;ROUNDUP(MONTH(A644)/3,0))</f>
        <v/>
      </c>
      <c r="E644" s="18" t="n"/>
      <c r="F644" s="18" t="n"/>
      <c r="G644" s="40">
        <f>IFERROR(VLOOKUP(F644,M2_거래처마스터!A:E,3,FALSE),"")</f>
        <v/>
      </c>
      <c r="H644" s="18" t="n"/>
      <c r="I644" s="19" t="n"/>
      <c r="J644" s="20" t="n"/>
      <c r="K644" s="39">
        <f>IF(AND(I644&lt;&gt;"",J644&lt;&gt;""),I644*J644,"")</f>
        <v/>
      </c>
      <c r="L644" s="18" t="n"/>
      <c r="M644" s="18" t="n"/>
      <c r="N644" s="20" t="n"/>
      <c r="O644" s="20" t="n"/>
    </row>
    <row r="645">
      <c r="A645" s="41" t="n"/>
      <c r="B645" s="35">
        <f>IF(A645="","",YEAR(A645))</f>
        <v/>
      </c>
      <c r="C645" s="36">
        <f>IF(A645="","",MONTH(A645))</f>
        <v/>
      </c>
      <c r="D645" s="37">
        <f>IF(A645="","","Q"&amp;ROUNDUP(MONTH(A645)/3,0))</f>
        <v/>
      </c>
      <c r="E645" s="22" t="n"/>
      <c r="F645" s="22" t="n"/>
      <c r="G645" s="40">
        <f>IFERROR(VLOOKUP(F645,M2_거래처마스터!A:E,3,FALSE),"")</f>
        <v/>
      </c>
      <c r="H645" s="22" t="n"/>
      <c r="I645" s="23" t="n"/>
      <c r="J645" s="24" t="n"/>
      <c r="K645" s="39">
        <f>IF(AND(I645&lt;&gt;"",J645&lt;&gt;""),I645*J645,"")</f>
        <v/>
      </c>
      <c r="L645" s="22" t="n"/>
      <c r="M645" s="22" t="n"/>
      <c r="N645" s="24" t="n"/>
      <c r="O645" s="24" t="n"/>
    </row>
    <row r="646">
      <c r="A646" s="34" t="n"/>
      <c r="B646" s="35">
        <f>IF(A646="","",YEAR(A646))</f>
        <v/>
      </c>
      <c r="C646" s="36">
        <f>IF(A646="","",MONTH(A646))</f>
        <v/>
      </c>
      <c r="D646" s="37">
        <f>IF(A646="","","Q"&amp;ROUNDUP(MONTH(A646)/3,0))</f>
        <v/>
      </c>
      <c r="E646" s="18" t="n"/>
      <c r="F646" s="18" t="n"/>
      <c r="G646" s="40">
        <f>IFERROR(VLOOKUP(F646,M2_거래처마스터!A:E,3,FALSE),"")</f>
        <v/>
      </c>
      <c r="H646" s="18" t="n"/>
      <c r="I646" s="19" t="n"/>
      <c r="J646" s="20" t="n"/>
      <c r="K646" s="39">
        <f>IF(AND(I646&lt;&gt;"",J646&lt;&gt;""),I646*J646,"")</f>
        <v/>
      </c>
      <c r="L646" s="18" t="n"/>
      <c r="M646" s="18" t="n"/>
      <c r="N646" s="20" t="n"/>
      <c r="O646" s="20" t="n"/>
    </row>
    <row r="647">
      <c r="A647" s="41" t="n"/>
      <c r="B647" s="35">
        <f>IF(A647="","",YEAR(A647))</f>
        <v/>
      </c>
      <c r="C647" s="36">
        <f>IF(A647="","",MONTH(A647))</f>
        <v/>
      </c>
      <c r="D647" s="37">
        <f>IF(A647="","","Q"&amp;ROUNDUP(MONTH(A647)/3,0))</f>
        <v/>
      </c>
      <c r="E647" s="22" t="n"/>
      <c r="F647" s="22" t="n"/>
      <c r="G647" s="40">
        <f>IFERROR(VLOOKUP(F647,M2_거래처마스터!A:E,3,FALSE),"")</f>
        <v/>
      </c>
      <c r="H647" s="22" t="n"/>
      <c r="I647" s="23" t="n"/>
      <c r="J647" s="24" t="n"/>
      <c r="K647" s="39">
        <f>IF(AND(I647&lt;&gt;"",J647&lt;&gt;""),I647*J647,"")</f>
        <v/>
      </c>
      <c r="L647" s="22" t="n"/>
      <c r="M647" s="22" t="n"/>
      <c r="N647" s="24" t="n"/>
      <c r="O647" s="24" t="n"/>
    </row>
    <row r="648">
      <c r="A648" s="34" t="n"/>
      <c r="B648" s="35">
        <f>IF(A648="","",YEAR(A648))</f>
        <v/>
      </c>
      <c r="C648" s="36">
        <f>IF(A648="","",MONTH(A648))</f>
        <v/>
      </c>
      <c r="D648" s="37">
        <f>IF(A648="","","Q"&amp;ROUNDUP(MONTH(A648)/3,0))</f>
        <v/>
      </c>
      <c r="E648" s="18" t="n"/>
      <c r="F648" s="18" t="n"/>
      <c r="G648" s="40">
        <f>IFERROR(VLOOKUP(F648,M2_거래처마스터!A:E,3,FALSE),"")</f>
        <v/>
      </c>
      <c r="H648" s="18" t="n"/>
      <c r="I648" s="19" t="n"/>
      <c r="J648" s="20" t="n"/>
      <c r="K648" s="39">
        <f>IF(AND(I648&lt;&gt;"",J648&lt;&gt;""),I648*J648,"")</f>
        <v/>
      </c>
      <c r="L648" s="18" t="n"/>
      <c r="M648" s="18" t="n"/>
      <c r="N648" s="20" t="n"/>
      <c r="O648" s="20" t="n"/>
    </row>
    <row r="649">
      <c r="A649" s="41" t="n"/>
      <c r="B649" s="35">
        <f>IF(A649="","",YEAR(A649))</f>
        <v/>
      </c>
      <c r="C649" s="36">
        <f>IF(A649="","",MONTH(A649))</f>
        <v/>
      </c>
      <c r="D649" s="37">
        <f>IF(A649="","","Q"&amp;ROUNDUP(MONTH(A649)/3,0))</f>
        <v/>
      </c>
      <c r="E649" s="22" t="n"/>
      <c r="F649" s="22" t="n"/>
      <c r="G649" s="40">
        <f>IFERROR(VLOOKUP(F649,M2_거래처마스터!A:E,3,FALSE),"")</f>
        <v/>
      </c>
      <c r="H649" s="22" t="n"/>
      <c r="I649" s="23" t="n"/>
      <c r="J649" s="24" t="n"/>
      <c r="K649" s="39">
        <f>IF(AND(I649&lt;&gt;"",J649&lt;&gt;""),I649*J649,"")</f>
        <v/>
      </c>
      <c r="L649" s="22" t="n"/>
      <c r="M649" s="22" t="n"/>
      <c r="N649" s="24" t="n"/>
      <c r="O649" s="24" t="n"/>
    </row>
    <row r="650">
      <c r="A650" s="34" t="n"/>
      <c r="B650" s="35">
        <f>IF(A650="","",YEAR(A650))</f>
        <v/>
      </c>
      <c r="C650" s="36">
        <f>IF(A650="","",MONTH(A650))</f>
        <v/>
      </c>
      <c r="D650" s="37">
        <f>IF(A650="","","Q"&amp;ROUNDUP(MONTH(A650)/3,0))</f>
        <v/>
      </c>
      <c r="E650" s="18" t="n"/>
      <c r="F650" s="18" t="n"/>
      <c r="G650" s="40">
        <f>IFERROR(VLOOKUP(F650,M2_거래처마스터!A:E,3,FALSE),"")</f>
        <v/>
      </c>
      <c r="H650" s="18" t="n"/>
      <c r="I650" s="19" t="n"/>
      <c r="J650" s="20" t="n"/>
      <c r="K650" s="39">
        <f>IF(AND(I650&lt;&gt;"",J650&lt;&gt;""),I650*J650,"")</f>
        <v/>
      </c>
      <c r="L650" s="18" t="n"/>
      <c r="M650" s="18" t="n"/>
      <c r="N650" s="20" t="n"/>
      <c r="O650" s="20" t="n"/>
    </row>
    <row r="651">
      <c r="A651" s="41" t="n"/>
      <c r="B651" s="35">
        <f>IF(A651="","",YEAR(A651))</f>
        <v/>
      </c>
      <c r="C651" s="36">
        <f>IF(A651="","",MONTH(A651))</f>
        <v/>
      </c>
      <c r="D651" s="37">
        <f>IF(A651="","","Q"&amp;ROUNDUP(MONTH(A651)/3,0))</f>
        <v/>
      </c>
      <c r="E651" s="22" t="n"/>
      <c r="F651" s="22" t="n"/>
      <c r="G651" s="40">
        <f>IFERROR(VLOOKUP(F651,M2_거래처마스터!A:E,3,FALSE),"")</f>
        <v/>
      </c>
      <c r="H651" s="22" t="n"/>
      <c r="I651" s="23" t="n"/>
      <c r="J651" s="24" t="n"/>
      <c r="K651" s="39">
        <f>IF(AND(I651&lt;&gt;"",J651&lt;&gt;""),I651*J651,"")</f>
        <v/>
      </c>
      <c r="L651" s="22" t="n"/>
      <c r="M651" s="22" t="n"/>
      <c r="N651" s="24" t="n"/>
      <c r="O651" s="24" t="n"/>
    </row>
    <row r="652">
      <c r="A652" s="34" t="n"/>
      <c r="B652" s="35">
        <f>IF(A652="","",YEAR(A652))</f>
        <v/>
      </c>
      <c r="C652" s="36">
        <f>IF(A652="","",MONTH(A652))</f>
        <v/>
      </c>
      <c r="D652" s="37">
        <f>IF(A652="","","Q"&amp;ROUNDUP(MONTH(A652)/3,0))</f>
        <v/>
      </c>
      <c r="E652" s="18" t="n"/>
      <c r="F652" s="18" t="n"/>
      <c r="G652" s="40">
        <f>IFERROR(VLOOKUP(F652,M2_거래처마스터!A:E,3,FALSE),"")</f>
        <v/>
      </c>
      <c r="H652" s="18" t="n"/>
      <c r="I652" s="19" t="n"/>
      <c r="J652" s="20" t="n"/>
      <c r="K652" s="39">
        <f>IF(AND(I652&lt;&gt;"",J652&lt;&gt;""),I652*J652,"")</f>
        <v/>
      </c>
      <c r="L652" s="18" t="n"/>
      <c r="M652" s="18" t="n"/>
      <c r="N652" s="20" t="n"/>
      <c r="O652" s="20" t="n"/>
    </row>
    <row r="653">
      <c r="A653" s="41" t="n"/>
      <c r="B653" s="35">
        <f>IF(A653="","",YEAR(A653))</f>
        <v/>
      </c>
      <c r="C653" s="36">
        <f>IF(A653="","",MONTH(A653))</f>
        <v/>
      </c>
      <c r="D653" s="37">
        <f>IF(A653="","","Q"&amp;ROUNDUP(MONTH(A653)/3,0))</f>
        <v/>
      </c>
      <c r="E653" s="22" t="n"/>
      <c r="F653" s="22" t="n"/>
      <c r="G653" s="40">
        <f>IFERROR(VLOOKUP(F653,M2_거래처마스터!A:E,3,FALSE),"")</f>
        <v/>
      </c>
      <c r="H653" s="22" t="n"/>
      <c r="I653" s="23" t="n"/>
      <c r="J653" s="24" t="n"/>
      <c r="K653" s="39">
        <f>IF(AND(I653&lt;&gt;"",J653&lt;&gt;""),I653*J653,"")</f>
        <v/>
      </c>
      <c r="L653" s="22" t="n"/>
      <c r="M653" s="22" t="n"/>
      <c r="N653" s="24" t="n"/>
      <c r="O653" s="24" t="n"/>
    </row>
    <row r="654">
      <c r="A654" s="34" t="n"/>
      <c r="B654" s="35">
        <f>IF(A654="","",YEAR(A654))</f>
        <v/>
      </c>
      <c r="C654" s="36">
        <f>IF(A654="","",MONTH(A654))</f>
        <v/>
      </c>
      <c r="D654" s="37">
        <f>IF(A654="","","Q"&amp;ROUNDUP(MONTH(A654)/3,0))</f>
        <v/>
      </c>
      <c r="E654" s="18" t="n"/>
      <c r="F654" s="18" t="n"/>
      <c r="G654" s="40">
        <f>IFERROR(VLOOKUP(F654,M2_거래처마스터!A:E,3,FALSE),"")</f>
        <v/>
      </c>
      <c r="H654" s="18" t="n"/>
      <c r="I654" s="19" t="n"/>
      <c r="J654" s="20" t="n"/>
      <c r="K654" s="39">
        <f>IF(AND(I654&lt;&gt;"",J654&lt;&gt;""),I654*J654,"")</f>
        <v/>
      </c>
      <c r="L654" s="18" t="n"/>
      <c r="M654" s="18" t="n"/>
      <c r="N654" s="20" t="n"/>
      <c r="O654" s="20" t="n"/>
    </row>
    <row r="655">
      <c r="A655" s="41" t="n"/>
      <c r="B655" s="35">
        <f>IF(A655="","",YEAR(A655))</f>
        <v/>
      </c>
      <c r="C655" s="36">
        <f>IF(A655="","",MONTH(A655))</f>
        <v/>
      </c>
      <c r="D655" s="37">
        <f>IF(A655="","","Q"&amp;ROUNDUP(MONTH(A655)/3,0))</f>
        <v/>
      </c>
      <c r="E655" s="22" t="n"/>
      <c r="F655" s="22" t="n"/>
      <c r="G655" s="40">
        <f>IFERROR(VLOOKUP(F655,M2_거래처마스터!A:E,3,FALSE),"")</f>
        <v/>
      </c>
      <c r="H655" s="22" t="n"/>
      <c r="I655" s="23" t="n"/>
      <c r="J655" s="24" t="n"/>
      <c r="K655" s="39">
        <f>IF(AND(I655&lt;&gt;"",J655&lt;&gt;""),I655*J655,"")</f>
        <v/>
      </c>
      <c r="L655" s="22" t="n"/>
      <c r="M655" s="22" t="n"/>
      <c r="N655" s="24" t="n"/>
      <c r="O655" s="24" t="n"/>
    </row>
    <row r="656">
      <c r="A656" s="34" t="n"/>
      <c r="B656" s="35">
        <f>IF(A656="","",YEAR(A656))</f>
        <v/>
      </c>
      <c r="C656" s="36">
        <f>IF(A656="","",MONTH(A656))</f>
        <v/>
      </c>
      <c r="D656" s="37">
        <f>IF(A656="","","Q"&amp;ROUNDUP(MONTH(A656)/3,0))</f>
        <v/>
      </c>
      <c r="E656" s="18" t="n"/>
      <c r="F656" s="18" t="n"/>
      <c r="G656" s="40">
        <f>IFERROR(VLOOKUP(F656,M2_거래처마스터!A:E,3,FALSE),"")</f>
        <v/>
      </c>
      <c r="H656" s="18" t="n"/>
      <c r="I656" s="19" t="n"/>
      <c r="J656" s="20" t="n"/>
      <c r="K656" s="39">
        <f>IF(AND(I656&lt;&gt;"",J656&lt;&gt;""),I656*J656,"")</f>
        <v/>
      </c>
      <c r="L656" s="18" t="n"/>
      <c r="M656" s="18" t="n"/>
      <c r="N656" s="20" t="n"/>
      <c r="O656" s="20" t="n"/>
    </row>
    <row r="657">
      <c r="A657" s="41" t="n"/>
      <c r="B657" s="35">
        <f>IF(A657="","",YEAR(A657))</f>
        <v/>
      </c>
      <c r="C657" s="36">
        <f>IF(A657="","",MONTH(A657))</f>
        <v/>
      </c>
      <c r="D657" s="37">
        <f>IF(A657="","","Q"&amp;ROUNDUP(MONTH(A657)/3,0))</f>
        <v/>
      </c>
      <c r="E657" s="22" t="n"/>
      <c r="F657" s="22" t="n"/>
      <c r="G657" s="40">
        <f>IFERROR(VLOOKUP(F657,M2_거래처마스터!A:E,3,FALSE),"")</f>
        <v/>
      </c>
      <c r="H657" s="22" t="n"/>
      <c r="I657" s="23" t="n"/>
      <c r="J657" s="24" t="n"/>
      <c r="K657" s="39">
        <f>IF(AND(I657&lt;&gt;"",J657&lt;&gt;""),I657*J657,"")</f>
        <v/>
      </c>
      <c r="L657" s="22" t="n"/>
      <c r="M657" s="22" t="n"/>
      <c r="N657" s="24" t="n"/>
      <c r="O657" s="24" t="n"/>
    </row>
    <row r="658">
      <c r="A658" s="34" t="n"/>
      <c r="B658" s="35">
        <f>IF(A658="","",YEAR(A658))</f>
        <v/>
      </c>
      <c r="C658" s="36">
        <f>IF(A658="","",MONTH(A658))</f>
        <v/>
      </c>
      <c r="D658" s="37">
        <f>IF(A658="","","Q"&amp;ROUNDUP(MONTH(A658)/3,0))</f>
        <v/>
      </c>
      <c r="E658" s="18" t="n"/>
      <c r="F658" s="18" t="n"/>
      <c r="G658" s="40">
        <f>IFERROR(VLOOKUP(F658,M2_거래처마스터!A:E,3,FALSE),"")</f>
        <v/>
      </c>
      <c r="H658" s="18" t="n"/>
      <c r="I658" s="19" t="n"/>
      <c r="J658" s="20" t="n"/>
      <c r="K658" s="39">
        <f>IF(AND(I658&lt;&gt;"",J658&lt;&gt;""),I658*J658,"")</f>
        <v/>
      </c>
      <c r="L658" s="18" t="n"/>
      <c r="M658" s="18" t="n"/>
      <c r="N658" s="20" t="n"/>
      <c r="O658" s="20" t="n"/>
    </row>
    <row r="659">
      <c r="A659" s="41" t="n"/>
      <c r="B659" s="35">
        <f>IF(A659="","",YEAR(A659))</f>
        <v/>
      </c>
      <c r="C659" s="36">
        <f>IF(A659="","",MONTH(A659))</f>
        <v/>
      </c>
      <c r="D659" s="37">
        <f>IF(A659="","","Q"&amp;ROUNDUP(MONTH(A659)/3,0))</f>
        <v/>
      </c>
      <c r="E659" s="22" t="n"/>
      <c r="F659" s="22" t="n"/>
      <c r="G659" s="40">
        <f>IFERROR(VLOOKUP(F659,M2_거래처마스터!A:E,3,FALSE),"")</f>
        <v/>
      </c>
      <c r="H659" s="22" t="n"/>
      <c r="I659" s="23" t="n"/>
      <c r="J659" s="24" t="n"/>
      <c r="K659" s="39">
        <f>IF(AND(I659&lt;&gt;"",J659&lt;&gt;""),I659*J659,"")</f>
        <v/>
      </c>
      <c r="L659" s="22" t="n"/>
      <c r="M659" s="22" t="n"/>
      <c r="N659" s="24" t="n"/>
      <c r="O659" s="24" t="n"/>
    </row>
    <row r="660">
      <c r="A660" s="34" t="n"/>
      <c r="B660" s="35">
        <f>IF(A660="","",YEAR(A660))</f>
        <v/>
      </c>
      <c r="C660" s="36">
        <f>IF(A660="","",MONTH(A660))</f>
        <v/>
      </c>
      <c r="D660" s="37">
        <f>IF(A660="","","Q"&amp;ROUNDUP(MONTH(A660)/3,0))</f>
        <v/>
      </c>
      <c r="E660" s="18" t="n"/>
      <c r="F660" s="18" t="n"/>
      <c r="G660" s="40">
        <f>IFERROR(VLOOKUP(F660,M2_거래처마스터!A:E,3,FALSE),"")</f>
        <v/>
      </c>
      <c r="H660" s="18" t="n"/>
      <c r="I660" s="19" t="n"/>
      <c r="J660" s="20" t="n"/>
      <c r="K660" s="39">
        <f>IF(AND(I660&lt;&gt;"",J660&lt;&gt;""),I660*J660,"")</f>
        <v/>
      </c>
      <c r="L660" s="18" t="n"/>
      <c r="M660" s="18" t="n"/>
      <c r="N660" s="20" t="n"/>
      <c r="O660" s="20" t="n"/>
    </row>
    <row r="661">
      <c r="A661" s="41" t="n"/>
      <c r="B661" s="35">
        <f>IF(A661="","",YEAR(A661))</f>
        <v/>
      </c>
      <c r="C661" s="36">
        <f>IF(A661="","",MONTH(A661))</f>
        <v/>
      </c>
      <c r="D661" s="37">
        <f>IF(A661="","","Q"&amp;ROUNDUP(MONTH(A661)/3,0))</f>
        <v/>
      </c>
      <c r="E661" s="22" t="n"/>
      <c r="F661" s="22" t="n"/>
      <c r="G661" s="40">
        <f>IFERROR(VLOOKUP(F661,M2_거래처마스터!A:E,3,FALSE),"")</f>
        <v/>
      </c>
      <c r="H661" s="22" t="n"/>
      <c r="I661" s="23" t="n"/>
      <c r="J661" s="24" t="n"/>
      <c r="K661" s="39">
        <f>IF(AND(I661&lt;&gt;"",J661&lt;&gt;""),I661*J661,"")</f>
        <v/>
      </c>
      <c r="L661" s="22" t="n"/>
      <c r="M661" s="22" t="n"/>
      <c r="N661" s="24" t="n"/>
      <c r="O661" s="24" t="n"/>
    </row>
    <row r="662">
      <c r="A662" s="34" t="n"/>
      <c r="B662" s="35">
        <f>IF(A662="","",YEAR(A662))</f>
        <v/>
      </c>
      <c r="C662" s="36">
        <f>IF(A662="","",MONTH(A662))</f>
        <v/>
      </c>
      <c r="D662" s="37">
        <f>IF(A662="","","Q"&amp;ROUNDUP(MONTH(A662)/3,0))</f>
        <v/>
      </c>
      <c r="E662" s="18" t="n"/>
      <c r="F662" s="18" t="n"/>
      <c r="G662" s="40">
        <f>IFERROR(VLOOKUP(F662,M2_거래처마스터!A:E,3,FALSE),"")</f>
        <v/>
      </c>
      <c r="H662" s="18" t="n"/>
      <c r="I662" s="19" t="n"/>
      <c r="J662" s="20" t="n"/>
      <c r="K662" s="39">
        <f>IF(AND(I662&lt;&gt;"",J662&lt;&gt;""),I662*J662,"")</f>
        <v/>
      </c>
      <c r="L662" s="18" t="n"/>
      <c r="M662" s="18" t="n"/>
      <c r="N662" s="20" t="n"/>
      <c r="O662" s="20" t="n"/>
    </row>
    <row r="663">
      <c r="A663" s="41" t="n"/>
      <c r="B663" s="35">
        <f>IF(A663="","",YEAR(A663))</f>
        <v/>
      </c>
      <c r="C663" s="36">
        <f>IF(A663="","",MONTH(A663))</f>
        <v/>
      </c>
      <c r="D663" s="37">
        <f>IF(A663="","","Q"&amp;ROUNDUP(MONTH(A663)/3,0))</f>
        <v/>
      </c>
      <c r="E663" s="22" t="n"/>
      <c r="F663" s="22" t="n"/>
      <c r="G663" s="40">
        <f>IFERROR(VLOOKUP(F663,M2_거래처마스터!A:E,3,FALSE),"")</f>
        <v/>
      </c>
      <c r="H663" s="22" t="n"/>
      <c r="I663" s="23" t="n"/>
      <c r="J663" s="24" t="n"/>
      <c r="K663" s="39">
        <f>IF(AND(I663&lt;&gt;"",J663&lt;&gt;""),I663*J663,"")</f>
        <v/>
      </c>
      <c r="L663" s="22" t="n"/>
      <c r="M663" s="22" t="n"/>
      <c r="N663" s="24" t="n"/>
      <c r="O663" s="24" t="n"/>
    </row>
    <row r="664">
      <c r="A664" s="34" t="n"/>
      <c r="B664" s="35">
        <f>IF(A664="","",YEAR(A664))</f>
        <v/>
      </c>
      <c r="C664" s="36">
        <f>IF(A664="","",MONTH(A664))</f>
        <v/>
      </c>
      <c r="D664" s="37">
        <f>IF(A664="","","Q"&amp;ROUNDUP(MONTH(A664)/3,0))</f>
        <v/>
      </c>
      <c r="E664" s="18" t="n"/>
      <c r="F664" s="18" t="n"/>
      <c r="G664" s="40">
        <f>IFERROR(VLOOKUP(F664,M2_거래처마스터!A:E,3,FALSE),"")</f>
        <v/>
      </c>
      <c r="H664" s="18" t="n"/>
      <c r="I664" s="19" t="n"/>
      <c r="J664" s="20" t="n"/>
      <c r="K664" s="39">
        <f>IF(AND(I664&lt;&gt;"",J664&lt;&gt;""),I664*J664,"")</f>
        <v/>
      </c>
      <c r="L664" s="18" t="n"/>
      <c r="M664" s="18" t="n"/>
      <c r="N664" s="20" t="n"/>
      <c r="O664" s="20" t="n"/>
    </row>
    <row r="665">
      <c r="A665" s="41" t="n"/>
      <c r="B665" s="35">
        <f>IF(A665="","",YEAR(A665))</f>
        <v/>
      </c>
      <c r="C665" s="36">
        <f>IF(A665="","",MONTH(A665))</f>
        <v/>
      </c>
      <c r="D665" s="37">
        <f>IF(A665="","","Q"&amp;ROUNDUP(MONTH(A665)/3,0))</f>
        <v/>
      </c>
      <c r="E665" s="22" t="n"/>
      <c r="F665" s="22" t="n"/>
      <c r="G665" s="40">
        <f>IFERROR(VLOOKUP(F665,M2_거래처마스터!A:E,3,FALSE),"")</f>
        <v/>
      </c>
      <c r="H665" s="22" t="n"/>
      <c r="I665" s="23" t="n"/>
      <c r="J665" s="24" t="n"/>
      <c r="K665" s="39">
        <f>IF(AND(I665&lt;&gt;"",J665&lt;&gt;""),I665*J665,"")</f>
        <v/>
      </c>
      <c r="L665" s="22" t="n"/>
      <c r="M665" s="22" t="n"/>
      <c r="N665" s="24" t="n"/>
      <c r="O665" s="24" t="n"/>
    </row>
    <row r="666">
      <c r="A666" s="34" t="n"/>
      <c r="B666" s="35">
        <f>IF(A666="","",YEAR(A666))</f>
        <v/>
      </c>
      <c r="C666" s="36">
        <f>IF(A666="","",MONTH(A666))</f>
        <v/>
      </c>
      <c r="D666" s="37">
        <f>IF(A666="","","Q"&amp;ROUNDUP(MONTH(A666)/3,0))</f>
        <v/>
      </c>
      <c r="E666" s="18" t="n"/>
      <c r="F666" s="18" t="n"/>
      <c r="G666" s="40">
        <f>IFERROR(VLOOKUP(F666,M2_거래처마스터!A:E,3,FALSE),"")</f>
        <v/>
      </c>
      <c r="H666" s="18" t="n"/>
      <c r="I666" s="19" t="n"/>
      <c r="J666" s="20" t="n"/>
      <c r="K666" s="39">
        <f>IF(AND(I666&lt;&gt;"",J666&lt;&gt;""),I666*J666,"")</f>
        <v/>
      </c>
      <c r="L666" s="18" t="n"/>
      <c r="M666" s="18" t="n"/>
      <c r="N666" s="20" t="n"/>
      <c r="O666" s="20" t="n"/>
    </row>
    <row r="667">
      <c r="A667" s="41" t="n"/>
      <c r="B667" s="35">
        <f>IF(A667="","",YEAR(A667))</f>
        <v/>
      </c>
      <c r="C667" s="36">
        <f>IF(A667="","",MONTH(A667))</f>
        <v/>
      </c>
      <c r="D667" s="37">
        <f>IF(A667="","","Q"&amp;ROUNDUP(MONTH(A667)/3,0))</f>
        <v/>
      </c>
      <c r="E667" s="22" t="n"/>
      <c r="F667" s="22" t="n"/>
      <c r="G667" s="40">
        <f>IFERROR(VLOOKUP(F667,M2_거래처마스터!A:E,3,FALSE),"")</f>
        <v/>
      </c>
      <c r="H667" s="22" t="n"/>
      <c r="I667" s="23" t="n"/>
      <c r="J667" s="24" t="n"/>
      <c r="K667" s="39">
        <f>IF(AND(I667&lt;&gt;"",J667&lt;&gt;""),I667*J667,"")</f>
        <v/>
      </c>
      <c r="L667" s="22" t="n"/>
      <c r="M667" s="22" t="n"/>
      <c r="N667" s="24" t="n"/>
      <c r="O667" s="24" t="n"/>
    </row>
    <row r="668">
      <c r="A668" s="34" t="n"/>
      <c r="B668" s="35">
        <f>IF(A668="","",YEAR(A668))</f>
        <v/>
      </c>
      <c r="C668" s="36">
        <f>IF(A668="","",MONTH(A668))</f>
        <v/>
      </c>
      <c r="D668" s="37">
        <f>IF(A668="","","Q"&amp;ROUNDUP(MONTH(A668)/3,0))</f>
        <v/>
      </c>
      <c r="E668" s="18" t="n"/>
      <c r="F668" s="18" t="n"/>
      <c r="G668" s="40">
        <f>IFERROR(VLOOKUP(F668,M2_거래처마스터!A:E,3,FALSE),"")</f>
        <v/>
      </c>
      <c r="H668" s="18" t="n"/>
      <c r="I668" s="19" t="n"/>
      <c r="J668" s="20" t="n"/>
      <c r="K668" s="39">
        <f>IF(AND(I668&lt;&gt;"",J668&lt;&gt;""),I668*J668,"")</f>
        <v/>
      </c>
      <c r="L668" s="18" t="n"/>
      <c r="M668" s="18" t="n"/>
      <c r="N668" s="20" t="n"/>
      <c r="O668" s="20" t="n"/>
    </row>
    <row r="669">
      <c r="A669" s="41" t="n"/>
      <c r="B669" s="35">
        <f>IF(A669="","",YEAR(A669))</f>
        <v/>
      </c>
      <c r="C669" s="36">
        <f>IF(A669="","",MONTH(A669))</f>
        <v/>
      </c>
      <c r="D669" s="37">
        <f>IF(A669="","","Q"&amp;ROUNDUP(MONTH(A669)/3,0))</f>
        <v/>
      </c>
      <c r="E669" s="22" t="n"/>
      <c r="F669" s="22" t="n"/>
      <c r="G669" s="40">
        <f>IFERROR(VLOOKUP(F669,M2_거래처마스터!A:E,3,FALSE),"")</f>
        <v/>
      </c>
      <c r="H669" s="22" t="n"/>
      <c r="I669" s="23" t="n"/>
      <c r="J669" s="24" t="n"/>
      <c r="K669" s="39">
        <f>IF(AND(I669&lt;&gt;"",J669&lt;&gt;""),I669*J669,"")</f>
        <v/>
      </c>
      <c r="L669" s="22" t="n"/>
      <c r="M669" s="22" t="n"/>
      <c r="N669" s="24" t="n"/>
      <c r="O669" s="24" t="n"/>
    </row>
    <row r="670">
      <c r="A670" s="34" t="n"/>
      <c r="B670" s="35">
        <f>IF(A670="","",YEAR(A670))</f>
        <v/>
      </c>
      <c r="C670" s="36">
        <f>IF(A670="","",MONTH(A670))</f>
        <v/>
      </c>
      <c r="D670" s="37">
        <f>IF(A670="","","Q"&amp;ROUNDUP(MONTH(A670)/3,0))</f>
        <v/>
      </c>
      <c r="E670" s="18" t="n"/>
      <c r="F670" s="18" t="n"/>
      <c r="G670" s="40">
        <f>IFERROR(VLOOKUP(F670,M2_거래처마스터!A:E,3,FALSE),"")</f>
        <v/>
      </c>
      <c r="H670" s="18" t="n"/>
      <c r="I670" s="19" t="n"/>
      <c r="J670" s="20" t="n"/>
      <c r="K670" s="39">
        <f>IF(AND(I670&lt;&gt;"",J670&lt;&gt;""),I670*J670,"")</f>
        <v/>
      </c>
      <c r="L670" s="18" t="n"/>
      <c r="M670" s="18" t="n"/>
      <c r="N670" s="20" t="n"/>
      <c r="O670" s="20" t="n"/>
    </row>
    <row r="671">
      <c r="A671" s="41" t="n"/>
      <c r="B671" s="35">
        <f>IF(A671="","",YEAR(A671))</f>
        <v/>
      </c>
      <c r="C671" s="36">
        <f>IF(A671="","",MONTH(A671))</f>
        <v/>
      </c>
      <c r="D671" s="37">
        <f>IF(A671="","","Q"&amp;ROUNDUP(MONTH(A671)/3,0))</f>
        <v/>
      </c>
      <c r="E671" s="22" t="n"/>
      <c r="F671" s="22" t="n"/>
      <c r="G671" s="40">
        <f>IFERROR(VLOOKUP(F671,M2_거래처마스터!A:E,3,FALSE),"")</f>
        <v/>
      </c>
      <c r="H671" s="22" t="n"/>
      <c r="I671" s="23" t="n"/>
      <c r="J671" s="24" t="n"/>
      <c r="K671" s="39">
        <f>IF(AND(I671&lt;&gt;"",J671&lt;&gt;""),I671*J671,"")</f>
        <v/>
      </c>
      <c r="L671" s="22" t="n"/>
      <c r="M671" s="22" t="n"/>
      <c r="N671" s="24" t="n"/>
      <c r="O671" s="24" t="n"/>
    </row>
    <row r="672">
      <c r="A672" s="34" t="n"/>
      <c r="B672" s="35">
        <f>IF(A672="","",YEAR(A672))</f>
        <v/>
      </c>
      <c r="C672" s="36">
        <f>IF(A672="","",MONTH(A672))</f>
        <v/>
      </c>
      <c r="D672" s="37">
        <f>IF(A672="","","Q"&amp;ROUNDUP(MONTH(A672)/3,0))</f>
        <v/>
      </c>
      <c r="E672" s="18" t="n"/>
      <c r="F672" s="18" t="n"/>
      <c r="G672" s="40">
        <f>IFERROR(VLOOKUP(F672,M2_거래처마스터!A:E,3,FALSE),"")</f>
        <v/>
      </c>
      <c r="H672" s="18" t="n"/>
      <c r="I672" s="19" t="n"/>
      <c r="J672" s="20" t="n"/>
      <c r="K672" s="39">
        <f>IF(AND(I672&lt;&gt;"",J672&lt;&gt;""),I672*J672,"")</f>
        <v/>
      </c>
      <c r="L672" s="18" t="n"/>
      <c r="M672" s="18" t="n"/>
      <c r="N672" s="20" t="n"/>
      <c r="O672" s="20" t="n"/>
    </row>
    <row r="673">
      <c r="A673" s="41" t="n"/>
      <c r="B673" s="35">
        <f>IF(A673="","",YEAR(A673))</f>
        <v/>
      </c>
      <c r="C673" s="36">
        <f>IF(A673="","",MONTH(A673))</f>
        <v/>
      </c>
      <c r="D673" s="37">
        <f>IF(A673="","","Q"&amp;ROUNDUP(MONTH(A673)/3,0))</f>
        <v/>
      </c>
      <c r="E673" s="22" t="n"/>
      <c r="F673" s="22" t="n"/>
      <c r="G673" s="40">
        <f>IFERROR(VLOOKUP(F673,M2_거래처마스터!A:E,3,FALSE),"")</f>
        <v/>
      </c>
      <c r="H673" s="22" t="n"/>
      <c r="I673" s="23" t="n"/>
      <c r="J673" s="24" t="n"/>
      <c r="K673" s="39">
        <f>IF(AND(I673&lt;&gt;"",J673&lt;&gt;""),I673*J673,"")</f>
        <v/>
      </c>
      <c r="L673" s="22" t="n"/>
      <c r="M673" s="22" t="n"/>
      <c r="N673" s="24" t="n"/>
      <c r="O673" s="24" t="n"/>
    </row>
    <row r="674">
      <c r="A674" s="34" t="n"/>
      <c r="B674" s="35">
        <f>IF(A674="","",YEAR(A674))</f>
        <v/>
      </c>
      <c r="C674" s="36">
        <f>IF(A674="","",MONTH(A674))</f>
        <v/>
      </c>
      <c r="D674" s="37">
        <f>IF(A674="","","Q"&amp;ROUNDUP(MONTH(A674)/3,0))</f>
        <v/>
      </c>
      <c r="E674" s="18" t="n"/>
      <c r="F674" s="18" t="n"/>
      <c r="G674" s="40">
        <f>IFERROR(VLOOKUP(F674,M2_거래처마스터!A:E,3,FALSE),"")</f>
        <v/>
      </c>
      <c r="H674" s="18" t="n"/>
      <c r="I674" s="19" t="n"/>
      <c r="J674" s="20" t="n"/>
      <c r="K674" s="39">
        <f>IF(AND(I674&lt;&gt;"",J674&lt;&gt;""),I674*J674,"")</f>
        <v/>
      </c>
      <c r="L674" s="18" t="n"/>
      <c r="M674" s="18" t="n"/>
      <c r="N674" s="20" t="n"/>
      <c r="O674" s="20" t="n"/>
    </row>
    <row r="675">
      <c r="A675" s="41" t="n"/>
      <c r="B675" s="35">
        <f>IF(A675="","",YEAR(A675))</f>
        <v/>
      </c>
      <c r="C675" s="36">
        <f>IF(A675="","",MONTH(A675))</f>
        <v/>
      </c>
      <c r="D675" s="37">
        <f>IF(A675="","","Q"&amp;ROUNDUP(MONTH(A675)/3,0))</f>
        <v/>
      </c>
      <c r="E675" s="22" t="n"/>
      <c r="F675" s="22" t="n"/>
      <c r="G675" s="40">
        <f>IFERROR(VLOOKUP(F675,M2_거래처마스터!A:E,3,FALSE),"")</f>
        <v/>
      </c>
      <c r="H675" s="22" t="n"/>
      <c r="I675" s="23" t="n"/>
      <c r="J675" s="24" t="n"/>
      <c r="K675" s="39">
        <f>IF(AND(I675&lt;&gt;"",J675&lt;&gt;""),I675*J675,"")</f>
        <v/>
      </c>
      <c r="L675" s="22" t="n"/>
      <c r="M675" s="22" t="n"/>
      <c r="N675" s="24" t="n"/>
      <c r="O675" s="24" t="n"/>
    </row>
    <row r="676">
      <c r="A676" s="34" t="n"/>
      <c r="B676" s="35">
        <f>IF(A676="","",YEAR(A676))</f>
        <v/>
      </c>
      <c r="C676" s="36">
        <f>IF(A676="","",MONTH(A676))</f>
        <v/>
      </c>
      <c r="D676" s="37">
        <f>IF(A676="","","Q"&amp;ROUNDUP(MONTH(A676)/3,0))</f>
        <v/>
      </c>
      <c r="E676" s="18" t="n"/>
      <c r="F676" s="18" t="n"/>
      <c r="G676" s="40">
        <f>IFERROR(VLOOKUP(F676,M2_거래처마스터!A:E,3,FALSE),"")</f>
        <v/>
      </c>
      <c r="H676" s="18" t="n"/>
      <c r="I676" s="19" t="n"/>
      <c r="J676" s="20" t="n"/>
      <c r="K676" s="39">
        <f>IF(AND(I676&lt;&gt;"",J676&lt;&gt;""),I676*J676,"")</f>
        <v/>
      </c>
      <c r="L676" s="18" t="n"/>
      <c r="M676" s="18" t="n"/>
      <c r="N676" s="20" t="n"/>
      <c r="O676" s="20" t="n"/>
    </row>
    <row r="677">
      <c r="A677" s="41" t="n"/>
      <c r="B677" s="35">
        <f>IF(A677="","",YEAR(A677))</f>
        <v/>
      </c>
      <c r="C677" s="36">
        <f>IF(A677="","",MONTH(A677))</f>
        <v/>
      </c>
      <c r="D677" s="37">
        <f>IF(A677="","","Q"&amp;ROUNDUP(MONTH(A677)/3,0))</f>
        <v/>
      </c>
      <c r="E677" s="22" t="n"/>
      <c r="F677" s="22" t="n"/>
      <c r="G677" s="40">
        <f>IFERROR(VLOOKUP(F677,M2_거래처마스터!A:E,3,FALSE),"")</f>
        <v/>
      </c>
      <c r="H677" s="22" t="n"/>
      <c r="I677" s="23" t="n"/>
      <c r="J677" s="24" t="n"/>
      <c r="K677" s="39">
        <f>IF(AND(I677&lt;&gt;"",J677&lt;&gt;""),I677*J677,"")</f>
        <v/>
      </c>
      <c r="L677" s="22" t="n"/>
      <c r="M677" s="22" t="n"/>
      <c r="N677" s="24" t="n"/>
      <c r="O677" s="24" t="n"/>
    </row>
    <row r="678">
      <c r="A678" s="34" t="n"/>
      <c r="B678" s="35">
        <f>IF(A678="","",YEAR(A678))</f>
        <v/>
      </c>
      <c r="C678" s="36">
        <f>IF(A678="","",MONTH(A678))</f>
        <v/>
      </c>
      <c r="D678" s="37">
        <f>IF(A678="","","Q"&amp;ROUNDUP(MONTH(A678)/3,0))</f>
        <v/>
      </c>
      <c r="E678" s="18" t="n"/>
      <c r="F678" s="18" t="n"/>
      <c r="G678" s="40">
        <f>IFERROR(VLOOKUP(F678,M2_거래처마스터!A:E,3,FALSE),"")</f>
        <v/>
      </c>
      <c r="H678" s="18" t="n"/>
      <c r="I678" s="19" t="n"/>
      <c r="J678" s="20" t="n"/>
      <c r="K678" s="39">
        <f>IF(AND(I678&lt;&gt;"",J678&lt;&gt;""),I678*J678,"")</f>
        <v/>
      </c>
      <c r="L678" s="18" t="n"/>
      <c r="M678" s="18" t="n"/>
      <c r="N678" s="20" t="n"/>
      <c r="O678" s="20" t="n"/>
    </row>
    <row r="679">
      <c r="A679" s="41" t="n"/>
      <c r="B679" s="35">
        <f>IF(A679="","",YEAR(A679))</f>
        <v/>
      </c>
      <c r="C679" s="36">
        <f>IF(A679="","",MONTH(A679))</f>
        <v/>
      </c>
      <c r="D679" s="37">
        <f>IF(A679="","","Q"&amp;ROUNDUP(MONTH(A679)/3,0))</f>
        <v/>
      </c>
      <c r="E679" s="22" t="n"/>
      <c r="F679" s="22" t="n"/>
      <c r="G679" s="40">
        <f>IFERROR(VLOOKUP(F679,M2_거래처마스터!A:E,3,FALSE),"")</f>
        <v/>
      </c>
      <c r="H679" s="22" t="n"/>
      <c r="I679" s="23" t="n"/>
      <c r="J679" s="24" t="n"/>
      <c r="K679" s="39">
        <f>IF(AND(I679&lt;&gt;"",J679&lt;&gt;""),I679*J679,"")</f>
        <v/>
      </c>
      <c r="L679" s="22" t="n"/>
      <c r="M679" s="22" t="n"/>
      <c r="N679" s="24" t="n"/>
      <c r="O679" s="24" t="n"/>
    </row>
    <row r="680">
      <c r="A680" s="34" t="n"/>
      <c r="B680" s="35">
        <f>IF(A680="","",YEAR(A680))</f>
        <v/>
      </c>
      <c r="C680" s="36">
        <f>IF(A680="","",MONTH(A680))</f>
        <v/>
      </c>
      <c r="D680" s="37">
        <f>IF(A680="","","Q"&amp;ROUNDUP(MONTH(A680)/3,0))</f>
        <v/>
      </c>
      <c r="E680" s="18" t="n"/>
      <c r="F680" s="18" t="n"/>
      <c r="G680" s="40">
        <f>IFERROR(VLOOKUP(F680,M2_거래처마스터!A:E,3,FALSE),"")</f>
        <v/>
      </c>
      <c r="H680" s="18" t="n"/>
      <c r="I680" s="19" t="n"/>
      <c r="J680" s="20" t="n"/>
      <c r="K680" s="39">
        <f>IF(AND(I680&lt;&gt;"",J680&lt;&gt;""),I680*J680,"")</f>
        <v/>
      </c>
      <c r="L680" s="18" t="n"/>
      <c r="M680" s="18" t="n"/>
      <c r="N680" s="20" t="n"/>
      <c r="O680" s="20" t="n"/>
    </row>
    <row r="681">
      <c r="A681" s="41" t="n"/>
      <c r="B681" s="35">
        <f>IF(A681="","",YEAR(A681))</f>
        <v/>
      </c>
      <c r="C681" s="36">
        <f>IF(A681="","",MONTH(A681))</f>
        <v/>
      </c>
      <c r="D681" s="37">
        <f>IF(A681="","","Q"&amp;ROUNDUP(MONTH(A681)/3,0))</f>
        <v/>
      </c>
      <c r="E681" s="22" t="n"/>
      <c r="F681" s="22" t="n"/>
      <c r="G681" s="40">
        <f>IFERROR(VLOOKUP(F681,M2_거래처마스터!A:E,3,FALSE),"")</f>
        <v/>
      </c>
      <c r="H681" s="22" t="n"/>
      <c r="I681" s="23" t="n"/>
      <c r="J681" s="24" t="n"/>
      <c r="K681" s="39">
        <f>IF(AND(I681&lt;&gt;"",J681&lt;&gt;""),I681*J681,"")</f>
        <v/>
      </c>
      <c r="L681" s="22" t="n"/>
      <c r="M681" s="22" t="n"/>
      <c r="N681" s="24" t="n"/>
      <c r="O681" s="24" t="n"/>
    </row>
    <row r="682">
      <c r="A682" s="34" t="n"/>
      <c r="B682" s="35">
        <f>IF(A682="","",YEAR(A682))</f>
        <v/>
      </c>
      <c r="C682" s="36">
        <f>IF(A682="","",MONTH(A682))</f>
        <v/>
      </c>
      <c r="D682" s="37">
        <f>IF(A682="","","Q"&amp;ROUNDUP(MONTH(A682)/3,0))</f>
        <v/>
      </c>
      <c r="E682" s="18" t="n"/>
      <c r="F682" s="18" t="n"/>
      <c r="G682" s="40">
        <f>IFERROR(VLOOKUP(F682,M2_거래처마스터!A:E,3,FALSE),"")</f>
        <v/>
      </c>
      <c r="H682" s="18" t="n"/>
      <c r="I682" s="19" t="n"/>
      <c r="J682" s="20" t="n"/>
      <c r="K682" s="39">
        <f>IF(AND(I682&lt;&gt;"",J682&lt;&gt;""),I682*J682,"")</f>
        <v/>
      </c>
      <c r="L682" s="18" t="n"/>
      <c r="M682" s="18" t="n"/>
      <c r="N682" s="20" t="n"/>
      <c r="O682" s="20" t="n"/>
    </row>
    <row r="683">
      <c r="A683" s="41" t="n"/>
      <c r="B683" s="35">
        <f>IF(A683="","",YEAR(A683))</f>
        <v/>
      </c>
      <c r="C683" s="36">
        <f>IF(A683="","",MONTH(A683))</f>
        <v/>
      </c>
      <c r="D683" s="37">
        <f>IF(A683="","","Q"&amp;ROUNDUP(MONTH(A683)/3,0))</f>
        <v/>
      </c>
      <c r="E683" s="22" t="n"/>
      <c r="F683" s="22" t="n"/>
      <c r="G683" s="40">
        <f>IFERROR(VLOOKUP(F683,M2_거래처마스터!A:E,3,FALSE),"")</f>
        <v/>
      </c>
      <c r="H683" s="22" t="n"/>
      <c r="I683" s="23" t="n"/>
      <c r="J683" s="24" t="n"/>
      <c r="K683" s="39">
        <f>IF(AND(I683&lt;&gt;"",J683&lt;&gt;""),I683*J683,"")</f>
        <v/>
      </c>
      <c r="L683" s="22" t="n"/>
      <c r="M683" s="22" t="n"/>
      <c r="N683" s="24" t="n"/>
      <c r="O683" s="24" t="n"/>
    </row>
    <row r="684">
      <c r="A684" s="34" t="n"/>
      <c r="B684" s="35">
        <f>IF(A684="","",YEAR(A684))</f>
        <v/>
      </c>
      <c r="C684" s="36">
        <f>IF(A684="","",MONTH(A684))</f>
        <v/>
      </c>
      <c r="D684" s="37">
        <f>IF(A684="","","Q"&amp;ROUNDUP(MONTH(A684)/3,0))</f>
        <v/>
      </c>
      <c r="E684" s="18" t="n"/>
      <c r="F684" s="18" t="n"/>
      <c r="G684" s="40">
        <f>IFERROR(VLOOKUP(F684,M2_거래처마스터!A:E,3,FALSE),"")</f>
        <v/>
      </c>
      <c r="H684" s="18" t="n"/>
      <c r="I684" s="19" t="n"/>
      <c r="J684" s="20" t="n"/>
      <c r="K684" s="39">
        <f>IF(AND(I684&lt;&gt;"",J684&lt;&gt;""),I684*J684,"")</f>
        <v/>
      </c>
      <c r="L684" s="18" t="n"/>
      <c r="M684" s="18" t="n"/>
      <c r="N684" s="20" t="n"/>
      <c r="O684" s="20" t="n"/>
    </row>
    <row r="685">
      <c r="A685" s="41" t="n"/>
      <c r="B685" s="35">
        <f>IF(A685="","",YEAR(A685))</f>
        <v/>
      </c>
      <c r="C685" s="36">
        <f>IF(A685="","",MONTH(A685))</f>
        <v/>
      </c>
      <c r="D685" s="37">
        <f>IF(A685="","","Q"&amp;ROUNDUP(MONTH(A685)/3,0))</f>
        <v/>
      </c>
      <c r="E685" s="22" t="n"/>
      <c r="F685" s="22" t="n"/>
      <c r="G685" s="40">
        <f>IFERROR(VLOOKUP(F685,M2_거래처마스터!A:E,3,FALSE),"")</f>
        <v/>
      </c>
      <c r="H685" s="22" t="n"/>
      <c r="I685" s="23" t="n"/>
      <c r="J685" s="24" t="n"/>
      <c r="K685" s="39">
        <f>IF(AND(I685&lt;&gt;"",J685&lt;&gt;""),I685*J685,"")</f>
        <v/>
      </c>
      <c r="L685" s="22" t="n"/>
      <c r="M685" s="22" t="n"/>
      <c r="N685" s="24" t="n"/>
      <c r="O685" s="24" t="n"/>
    </row>
    <row r="686">
      <c r="A686" s="34" t="n"/>
      <c r="B686" s="35">
        <f>IF(A686="","",YEAR(A686))</f>
        <v/>
      </c>
      <c r="C686" s="36">
        <f>IF(A686="","",MONTH(A686))</f>
        <v/>
      </c>
      <c r="D686" s="37">
        <f>IF(A686="","","Q"&amp;ROUNDUP(MONTH(A686)/3,0))</f>
        <v/>
      </c>
      <c r="E686" s="18" t="n"/>
      <c r="F686" s="18" t="n"/>
      <c r="G686" s="40">
        <f>IFERROR(VLOOKUP(F686,M2_거래처마스터!A:E,3,FALSE),"")</f>
        <v/>
      </c>
      <c r="H686" s="18" t="n"/>
      <c r="I686" s="19" t="n"/>
      <c r="J686" s="20" t="n"/>
      <c r="K686" s="39">
        <f>IF(AND(I686&lt;&gt;"",J686&lt;&gt;""),I686*J686,"")</f>
        <v/>
      </c>
      <c r="L686" s="18" t="n"/>
      <c r="M686" s="18" t="n"/>
      <c r="N686" s="20" t="n"/>
      <c r="O686" s="20" t="n"/>
    </row>
    <row r="687">
      <c r="A687" s="41" t="n"/>
      <c r="B687" s="35">
        <f>IF(A687="","",YEAR(A687))</f>
        <v/>
      </c>
      <c r="C687" s="36">
        <f>IF(A687="","",MONTH(A687))</f>
        <v/>
      </c>
      <c r="D687" s="37">
        <f>IF(A687="","","Q"&amp;ROUNDUP(MONTH(A687)/3,0))</f>
        <v/>
      </c>
      <c r="E687" s="22" t="n"/>
      <c r="F687" s="22" t="n"/>
      <c r="G687" s="40">
        <f>IFERROR(VLOOKUP(F687,M2_거래처마스터!A:E,3,FALSE),"")</f>
        <v/>
      </c>
      <c r="H687" s="22" t="n"/>
      <c r="I687" s="23" t="n"/>
      <c r="J687" s="24" t="n"/>
      <c r="K687" s="39">
        <f>IF(AND(I687&lt;&gt;"",J687&lt;&gt;""),I687*J687,"")</f>
        <v/>
      </c>
      <c r="L687" s="22" t="n"/>
      <c r="M687" s="22" t="n"/>
      <c r="N687" s="24" t="n"/>
      <c r="O687" s="24" t="n"/>
    </row>
    <row r="688">
      <c r="A688" s="34" t="n"/>
      <c r="B688" s="35">
        <f>IF(A688="","",YEAR(A688))</f>
        <v/>
      </c>
      <c r="C688" s="36">
        <f>IF(A688="","",MONTH(A688))</f>
        <v/>
      </c>
      <c r="D688" s="37">
        <f>IF(A688="","","Q"&amp;ROUNDUP(MONTH(A688)/3,0))</f>
        <v/>
      </c>
      <c r="E688" s="18" t="n"/>
      <c r="F688" s="18" t="n"/>
      <c r="G688" s="40">
        <f>IFERROR(VLOOKUP(F688,M2_거래처마스터!A:E,3,FALSE),"")</f>
        <v/>
      </c>
      <c r="H688" s="18" t="n"/>
      <c r="I688" s="19" t="n"/>
      <c r="J688" s="20" t="n"/>
      <c r="K688" s="39">
        <f>IF(AND(I688&lt;&gt;"",J688&lt;&gt;""),I688*J688,"")</f>
        <v/>
      </c>
      <c r="L688" s="18" t="n"/>
      <c r="M688" s="18" t="n"/>
      <c r="N688" s="20" t="n"/>
      <c r="O688" s="20" t="n"/>
    </row>
    <row r="689">
      <c r="A689" s="41" t="n"/>
      <c r="B689" s="35">
        <f>IF(A689="","",YEAR(A689))</f>
        <v/>
      </c>
      <c r="C689" s="36">
        <f>IF(A689="","",MONTH(A689))</f>
        <v/>
      </c>
      <c r="D689" s="37">
        <f>IF(A689="","","Q"&amp;ROUNDUP(MONTH(A689)/3,0))</f>
        <v/>
      </c>
      <c r="E689" s="22" t="n"/>
      <c r="F689" s="22" t="n"/>
      <c r="G689" s="40">
        <f>IFERROR(VLOOKUP(F689,M2_거래처마스터!A:E,3,FALSE),"")</f>
        <v/>
      </c>
      <c r="H689" s="22" t="n"/>
      <c r="I689" s="23" t="n"/>
      <c r="J689" s="24" t="n"/>
      <c r="K689" s="39">
        <f>IF(AND(I689&lt;&gt;"",J689&lt;&gt;""),I689*J689,"")</f>
        <v/>
      </c>
      <c r="L689" s="22" t="n"/>
      <c r="M689" s="22" t="n"/>
      <c r="N689" s="24" t="n"/>
      <c r="O689" s="24" t="n"/>
    </row>
    <row r="690">
      <c r="A690" s="34" t="n"/>
      <c r="B690" s="35">
        <f>IF(A690="","",YEAR(A690))</f>
        <v/>
      </c>
      <c r="C690" s="36">
        <f>IF(A690="","",MONTH(A690))</f>
        <v/>
      </c>
      <c r="D690" s="37">
        <f>IF(A690="","","Q"&amp;ROUNDUP(MONTH(A690)/3,0))</f>
        <v/>
      </c>
      <c r="E690" s="18" t="n"/>
      <c r="F690" s="18" t="n"/>
      <c r="G690" s="40">
        <f>IFERROR(VLOOKUP(F690,M2_거래처마스터!A:E,3,FALSE),"")</f>
        <v/>
      </c>
      <c r="H690" s="18" t="n"/>
      <c r="I690" s="19" t="n"/>
      <c r="J690" s="20" t="n"/>
      <c r="K690" s="39">
        <f>IF(AND(I690&lt;&gt;"",J690&lt;&gt;""),I690*J690,"")</f>
        <v/>
      </c>
      <c r="L690" s="18" t="n"/>
      <c r="M690" s="18" t="n"/>
      <c r="N690" s="20" t="n"/>
      <c r="O690" s="20" t="n"/>
    </row>
    <row r="691">
      <c r="A691" s="41" t="n"/>
      <c r="B691" s="35">
        <f>IF(A691="","",YEAR(A691))</f>
        <v/>
      </c>
      <c r="C691" s="36">
        <f>IF(A691="","",MONTH(A691))</f>
        <v/>
      </c>
      <c r="D691" s="37">
        <f>IF(A691="","","Q"&amp;ROUNDUP(MONTH(A691)/3,0))</f>
        <v/>
      </c>
      <c r="E691" s="22" t="n"/>
      <c r="F691" s="22" t="n"/>
      <c r="G691" s="40">
        <f>IFERROR(VLOOKUP(F691,M2_거래처마스터!A:E,3,FALSE),"")</f>
        <v/>
      </c>
      <c r="H691" s="22" t="n"/>
      <c r="I691" s="23" t="n"/>
      <c r="J691" s="24" t="n"/>
      <c r="K691" s="39">
        <f>IF(AND(I691&lt;&gt;"",J691&lt;&gt;""),I691*J691,"")</f>
        <v/>
      </c>
      <c r="L691" s="22" t="n"/>
      <c r="M691" s="22" t="n"/>
      <c r="N691" s="24" t="n"/>
      <c r="O691" s="24" t="n"/>
    </row>
    <row r="692">
      <c r="A692" s="34" t="n"/>
      <c r="B692" s="35">
        <f>IF(A692="","",YEAR(A692))</f>
        <v/>
      </c>
      <c r="C692" s="36">
        <f>IF(A692="","",MONTH(A692))</f>
        <v/>
      </c>
      <c r="D692" s="37">
        <f>IF(A692="","","Q"&amp;ROUNDUP(MONTH(A692)/3,0))</f>
        <v/>
      </c>
      <c r="E692" s="18" t="n"/>
      <c r="F692" s="18" t="n"/>
      <c r="G692" s="40">
        <f>IFERROR(VLOOKUP(F692,M2_거래처마스터!A:E,3,FALSE),"")</f>
        <v/>
      </c>
      <c r="H692" s="18" t="n"/>
      <c r="I692" s="19" t="n"/>
      <c r="J692" s="20" t="n"/>
      <c r="K692" s="39">
        <f>IF(AND(I692&lt;&gt;"",J692&lt;&gt;""),I692*J692,"")</f>
        <v/>
      </c>
      <c r="L692" s="18" t="n"/>
      <c r="M692" s="18" t="n"/>
      <c r="N692" s="20" t="n"/>
      <c r="O692" s="20" t="n"/>
    </row>
    <row r="693">
      <c r="A693" s="41" t="n"/>
      <c r="B693" s="35">
        <f>IF(A693="","",YEAR(A693))</f>
        <v/>
      </c>
      <c r="C693" s="36">
        <f>IF(A693="","",MONTH(A693))</f>
        <v/>
      </c>
      <c r="D693" s="37">
        <f>IF(A693="","","Q"&amp;ROUNDUP(MONTH(A693)/3,0))</f>
        <v/>
      </c>
      <c r="E693" s="22" t="n"/>
      <c r="F693" s="22" t="n"/>
      <c r="G693" s="40">
        <f>IFERROR(VLOOKUP(F693,M2_거래처마스터!A:E,3,FALSE),"")</f>
        <v/>
      </c>
      <c r="H693" s="22" t="n"/>
      <c r="I693" s="23" t="n"/>
      <c r="J693" s="24" t="n"/>
      <c r="K693" s="39">
        <f>IF(AND(I693&lt;&gt;"",J693&lt;&gt;""),I693*J693,"")</f>
        <v/>
      </c>
      <c r="L693" s="22" t="n"/>
      <c r="M693" s="22" t="n"/>
      <c r="N693" s="24" t="n"/>
      <c r="O693" s="24" t="n"/>
    </row>
    <row r="694">
      <c r="A694" s="34" t="n"/>
      <c r="B694" s="35">
        <f>IF(A694="","",YEAR(A694))</f>
        <v/>
      </c>
      <c r="C694" s="36">
        <f>IF(A694="","",MONTH(A694))</f>
        <v/>
      </c>
      <c r="D694" s="37">
        <f>IF(A694="","","Q"&amp;ROUNDUP(MONTH(A694)/3,0))</f>
        <v/>
      </c>
      <c r="E694" s="18" t="n"/>
      <c r="F694" s="18" t="n"/>
      <c r="G694" s="40">
        <f>IFERROR(VLOOKUP(F694,M2_거래처마스터!A:E,3,FALSE),"")</f>
        <v/>
      </c>
      <c r="H694" s="18" t="n"/>
      <c r="I694" s="19" t="n"/>
      <c r="J694" s="20" t="n"/>
      <c r="K694" s="39">
        <f>IF(AND(I694&lt;&gt;"",J694&lt;&gt;""),I694*J694,"")</f>
        <v/>
      </c>
      <c r="L694" s="18" t="n"/>
      <c r="M694" s="18" t="n"/>
      <c r="N694" s="20" t="n"/>
      <c r="O694" s="20" t="n"/>
    </row>
    <row r="695">
      <c r="A695" s="41" t="n"/>
      <c r="B695" s="35">
        <f>IF(A695="","",YEAR(A695))</f>
        <v/>
      </c>
      <c r="C695" s="36">
        <f>IF(A695="","",MONTH(A695))</f>
        <v/>
      </c>
      <c r="D695" s="37">
        <f>IF(A695="","","Q"&amp;ROUNDUP(MONTH(A695)/3,0))</f>
        <v/>
      </c>
      <c r="E695" s="22" t="n"/>
      <c r="F695" s="22" t="n"/>
      <c r="G695" s="40">
        <f>IFERROR(VLOOKUP(F695,M2_거래처마스터!A:E,3,FALSE),"")</f>
        <v/>
      </c>
      <c r="H695" s="22" t="n"/>
      <c r="I695" s="23" t="n"/>
      <c r="J695" s="24" t="n"/>
      <c r="K695" s="39">
        <f>IF(AND(I695&lt;&gt;"",J695&lt;&gt;""),I695*J695,"")</f>
        <v/>
      </c>
      <c r="L695" s="22" t="n"/>
      <c r="M695" s="22" t="n"/>
      <c r="N695" s="24" t="n"/>
      <c r="O695" s="24" t="n"/>
    </row>
    <row r="696">
      <c r="A696" s="34" t="n"/>
      <c r="B696" s="35">
        <f>IF(A696="","",YEAR(A696))</f>
        <v/>
      </c>
      <c r="C696" s="36">
        <f>IF(A696="","",MONTH(A696))</f>
        <v/>
      </c>
      <c r="D696" s="37">
        <f>IF(A696="","","Q"&amp;ROUNDUP(MONTH(A696)/3,0))</f>
        <v/>
      </c>
      <c r="E696" s="18" t="n"/>
      <c r="F696" s="18" t="n"/>
      <c r="G696" s="40">
        <f>IFERROR(VLOOKUP(F696,M2_거래처마스터!A:E,3,FALSE),"")</f>
        <v/>
      </c>
      <c r="H696" s="18" t="n"/>
      <c r="I696" s="19" t="n"/>
      <c r="J696" s="20" t="n"/>
      <c r="K696" s="39">
        <f>IF(AND(I696&lt;&gt;"",J696&lt;&gt;""),I696*J696,"")</f>
        <v/>
      </c>
      <c r="L696" s="18" t="n"/>
      <c r="M696" s="18" t="n"/>
      <c r="N696" s="20" t="n"/>
      <c r="O696" s="20" t="n"/>
    </row>
    <row r="697">
      <c r="A697" s="41" t="n"/>
      <c r="B697" s="35">
        <f>IF(A697="","",YEAR(A697))</f>
        <v/>
      </c>
      <c r="C697" s="36">
        <f>IF(A697="","",MONTH(A697))</f>
        <v/>
      </c>
      <c r="D697" s="37">
        <f>IF(A697="","","Q"&amp;ROUNDUP(MONTH(A697)/3,0))</f>
        <v/>
      </c>
      <c r="E697" s="22" t="n"/>
      <c r="F697" s="22" t="n"/>
      <c r="G697" s="40">
        <f>IFERROR(VLOOKUP(F697,M2_거래처마스터!A:E,3,FALSE),"")</f>
        <v/>
      </c>
      <c r="H697" s="22" t="n"/>
      <c r="I697" s="23" t="n"/>
      <c r="J697" s="24" t="n"/>
      <c r="K697" s="39">
        <f>IF(AND(I697&lt;&gt;"",J697&lt;&gt;""),I697*J697,"")</f>
        <v/>
      </c>
      <c r="L697" s="22" t="n"/>
      <c r="M697" s="22" t="n"/>
      <c r="N697" s="24" t="n"/>
      <c r="O697" s="24" t="n"/>
    </row>
    <row r="698">
      <c r="A698" s="34" t="n"/>
      <c r="B698" s="35">
        <f>IF(A698="","",YEAR(A698))</f>
        <v/>
      </c>
      <c r="C698" s="36">
        <f>IF(A698="","",MONTH(A698))</f>
        <v/>
      </c>
      <c r="D698" s="37">
        <f>IF(A698="","","Q"&amp;ROUNDUP(MONTH(A698)/3,0))</f>
        <v/>
      </c>
      <c r="E698" s="18" t="n"/>
      <c r="F698" s="18" t="n"/>
      <c r="G698" s="40">
        <f>IFERROR(VLOOKUP(F698,M2_거래처마스터!A:E,3,FALSE),"")</f>
        <v/>
      </c>
      <c r="H698" s="18" t="n"/>
      <c r="I698" s="19" t="n"/>
      <c r="J698" s="20" t="n"/>
      <c r="K698" s="39">
        <f>IF(AND(I698&lt;&gt;"",J698&lt;&gt;""),I698*J698,"")</f>
        <v/>
      </c>
      <c r="L698" s="18" t="n"/>
      <c r="M698" s="18" t="n"/>
      <c r="N698" s="20" t="n"/>
      <c r="O698" s="20" t="n"/>
    </row>
    <row r="699">
      <c r="A699" s="41" t="n"/>
      <c r="B699" s="35">
        <f>IF(A699="","",YEAR(A699))</f>
        <v/>
      </c>
      <c r="C699" s="36">
        <f>IF(A699="","",MONTH(A699))</f>
        <v/>
      </c>
      <c r="D699" s="37">
        <f>IF(A699="","","Q"&amp;ROUNDUP(MONTH(A699)/3,0))</f>
        <v/>
      </c>
      <c r="E699" s="22" t="n"/>
      <c r="F699" s="22" t="n"/>
      <c r="G699" s="40">
        <f>IFERROR(VLOOKUP(F699,M2_거래처마스터!A:E,3,FALSE),"")</f>
        <v/>
      </c>
      <c r="H699" s="22" t="n"/>
      <c r="I699" s="23" t="n"/>
      <c r="J699" s="24" t="n"/>
      <c r="K699" s="39">
        <f>IF(AND(I699&lt;&gt;"",J699&lt;&gt;""),I699*J699,"")</f>
        <v/>
      </c>
      <c r="L699" s="22" t="n"/>
      <c r="M699" s="22" t="n"/>
      <c r="N699" s="24" t="n"/>
      <c r="O699" s="24" t="n"/>
    </row>
    <row r="700">
      <c r="A700" s="34" t="n"/>
      <c r="B700" s="35">
        <f>IF(A700="","",YEAR(A700))</f>
        <v/>
      </c>
      <c r="C700" s="36">
        <f>IF(A700="","",MONTH(A700))</f>
        <v/>
      </c>
      <c r="D700" s="37">
        <f>IF(A700="","","Q"&amp;ROUNDUP(MONTH(A700)/3,0))</f>
        <v/>
      </c>
      <c r="E700" s="18" t="n"/>
      <c r="F700" s="18" t="n"/>
      <c r="G700" s="40">
        <f>IFERROR(VLOOKUP(F700,M2_거래처마스터!A:E,3,FALSE),"")</f>
        <v/>
      </c>
      <c r="H700" s="18" t="n"/>
      <c r="I700" s="19" t="n"/>
      <c r="J700" s="20" t="n"/>
      <c r="K700" s="39">
        <f>IF(AND(I700&lt;&gt;"",J700&lt;&gt;""),I700*J700,"")</f>
        <v/>
      </c>
      <c r="L700" s="18" t="n"/>
      <c r="M700" s="18" t="n"/>
      <c r="N700" s="20" t="n"/>
      <c r="O700" s="20" t="n"/>
    </row>
    <row r="701">
      <c r="A701" s="41" t="n"/>
      <c r="B701" s="35">
        <f>IF(A701="","",YEAR(A701))</f>
        <v/>
      </c>
      <c r="C701" s="36">
        <f>IF(A701="","",MONTH(A701))</f>
        <v/>
      </c>
      <c r="D701" s="37">
        <f>IF(A701="","","Q"&amp;ROUNDUP(MONTH(A701)/3,0))</f>
        <v/>
      </c>
      <c r="E701" s="22" t="n"/>
      <c r="F701" s="22" t="n"/>
      <c r="G701" s="40">
        <f>IFERROR(VLOOKUP(F701,M2_거래처마스터!A:E,3,FALSE),"")</f>
        <v/>
      </c>
      <c r="H701" s="22" t="n"/>
      <c r="I701" s="23" t="n"/>
      <c r="J701" s="24" t="n"/>
      <c r="K701" s="39">
        <f>IF(AND(I701&lt;&gt;"",J701&lt;&gt;""),I701*J701,"")</f>
        <v/>
      </c>
      <c r="L701" s="22" t="n"/>
      <c r="M701" s="22" t="n"/>
      <c r="N701" s="24" t="n"/>
      <c r="O701" s="24" t="n"/>
    </row>
    <row r="702">
      <c r="A702" s="34" t="n"/>
      <c r="B702" s="35">
        <f>IF(A702="","",YEAR(A702))</f>
        <v/>
      </c>
      <c r="C702" s="36">
        <f>IF(A702="","",MONTH(A702))</f>
        <v/>
      </c>
      <c r="D702" s="37">
        <f>IF(A702="","","Q"&amp;ROUNDUP(MONTH(A702)/3,0))</f>
        <v/>
      </c>
      <c r="E702" s="18" t="n"/>
      <c r="F702" s="18" t="n"/>
      <c r="G702" s="40">
        <f>IFERROR(VLOOKUP(F702,M2_거래처마스터!A:E,3,FALSE),"")</f>
        <v/>
      </c>
      <c r="H702" s="18" t="n"/>
      <c r="I702" s="19" t="n"/>
      <c r="J702" s="20" t="n"/>
      <c r="K702" s="39">
        <f>IF(AND(I702&lt;&gt;"",J702&lt;&gt;""),I702*J702,"")</f>
        <v/>
      </c>
      <c r="L702" s="18" t="n"/>
      <c r="M702" s="18" t="n"/>
      <c r="N702" s="20" t="n"/>
      <c r="O702" s="20" t="n"/>
    </row>
    <row r="703">
      <c r="A703" s="41" t="n"/>
      <c r="B703" s="35">
        <f>IF(A703="","",YEAR(A703))</f>
        <v/>
      </c>
      <c r="C703" s="36">
        <f>IF(A703="","",MONTH(A703))</f>
        <v/>
      </c>
      <c r="D703" s="37">
        <f>IF(A703="","","Q"&amp;ROUNDUP(MONTH(A703)/3,0))</f>
        <v/>
      </c>
      <c r="E703" s="22" t="n"/>
      <c r="F703" s="22" t="n"/>
      <c r="G703" s="40">
        <f>IFERROR(VLOOKUP(F703,M2_거래처마스터!A:E,3,FALSE),"")</f>
        <v/>
      </c>
      <c r="H703" s="22" t="n"/>
      <c r="I703" s="23" t="n"/>
      <c r="J703" s="24" t="n"/>
      <c r="K703" s="39">
        <f>IF(AND(I703&lt;&gt;"",J703&lt;&gt;""),I703*J703,"")</f>
        <v/>
      </c>
      <c r="L703" s="22" t="n"/>
      <c r="M703" s="22" t="n"/>
      <c r="N703" s="24" t="n"/>
      <c r="O703" s="24" t="n"/>
    </row>
    <row r="704">
      <c r="A704" s="34" t="n"/>
      <c r="B704" s="35">
        <f>IF(A704="","",YEAR(A704))</f>
        <v/>
      </c>
      <c r="C704" s="36">
        <f>IF(A704="","",MONTH(A704))</f>
        <v/>
      </c>
      <c r="D704" s="37">
        <f>IF(A704="","","Q"&amp;ROUNDUP(MONTH(A704)/3,0))</f>
        <v/>
      </c>
      <c r="E704" s="18" t="n"/>
      <c r="F704" s="18" t="n"/>
      <c r="G704" s="40">
        <f>IFERROR(VLOOKUP(F704,M2_거래처마스터!A:E,3,FALSE),"")</f>
        <v/>
      </c>
      <c r="H704" s="18" t="n"/>
      <c r="I704" s="19" t="n"/>
      <c r="J704" s="20" t="n"/>
      <c r="K704" s="39">
        <f>IF(AND(I704&lt;&gt;"",J704&lt;&gt;""),I704*J704,"")</f>
        <v/>
      </c>
      <c r="L704" s="18" t="n"/>
      <c r="M704" s="18" t="n"/>
      <c r="N704" s="20" t="n"/>
      <c r="O704" s="20" t="n"/>
    </row>
    <row r="705">
      <c r="A705" s="41" t="n"/>
      <c r="B705" s="35">
        <f>IF(A705="","",YEAR(A705))</f>
        <v/>
      </c>
      <c r="C705" s="36">
        <f>IF(A705="","",MONTH(A705))</f>
        <v/>
      </c>
      <c r="D705" s="37">
        <f>IF(A705="","","Q"&amp;ROUNDUP(MONTH(A705)/3,0))</f>
        <v/>
      </c>
      <c r="E705" s="22" t="n"/>
      <c r="F705" s="22" t="n"/>
      <c r="G705" s="40">
        <f>IFERROR(VLOOKUP(F705,M2_거래처마스터!A:E,3,FALSE),"")</f>
        <v/>
      </c>
      <c r="H705" s="22" t="n"/>
      <c r="I705" s="23" t="n"/>
      <c r="J705" s="24" t="n"/>
      <c r="K705" s="39">
        <f>IF(AND(I705&lt;&gt;"",J705&lt;&gt;""),I705*J705,"")</f>
        <v/>
      </c>
      <c r="L705" s="22" t="n"/>
      <c r="M705" s="22" t="n"/>
      <c r="N705" s="24" t="n"/>
      <c r="O705" s="24" t="n"/>
    </row>
    <row r="706">
      <c r="A706" s="34" t="n"/>
      <c r="B706" s="35">
        <f>IF(A706="","",YEAR(A706))</f>
        <v/>
      </c>
      <c r="C706" s="36">
        <f>IF(A706="","",MONTH(A706))</f>
        <v/>
      </c>
      <c r="D706" s="37">
        <f>IF(A706="","","Q"&amp;ROUNDUP(MONTH(A706)/3,0))</f>
        <v/>
      </c>
      <c r="E706" s="18" t="n"/>
      <c r="F706" s="18" t="n"/>
      <c r="G706" s="40">
        <f>IFERROR(VLOOKUP(F706,M2_거래처마스터!A:E,3,FALSE),"")</f>
        <v/>
      </c>
      <c r="H706" s="18" t="n"/>
      <c r="I706" s="19" t="n"/>
      <c r="J706" s="20" t="n"/>
      <c r="K706" s="39">
        <f>IF(AND(I706&lt;&gt;"",J706&lt;&gt;""),I706*J706,"")</f>
        <v/>
      </c>
      <c r="L706" s="18" t="n"/>
      <c r="M706" s="18" t="n"/>
      <c r="N706" s="20" t="n"/>
      <c r="O706" s="20" t="n"/>
    </row>
    <row r="707">
      <c r="A707" s="41" t="n"/>
      <c r="B707" s="35">
        <f>IF(A707="","",YEAR(A707))</f>
        <v/>
      </c>
      <c r="C707" s="36">
        <f>IF(A707="","",MONTH(A707))</f>
        <v/>
      </c>
      <c r="D707" s="37">
        <f>IF(A707="","","Q"&amp;ROUNDUP(MONTH(A707)/3,0))</f>
        <v/>
      </c>
      <c r="E707" s="22" t="n"/>
      <c r="F707" s="22" t="n"/>
      <c r="G707" s="40">
        <f>IFERROR(VLOOKUP(F707,M2_거래처마스터!A:E,3,FALSE),"")</f>
        <v/>
      </c>
      <c r="H707" s="22" t="n"/>
      <c r="I707" s="23" t="n"/>
      <c r="J707" s="24" t="n"/>
      <c r="K707" s="39">
        <f>IF(AND(I707&lt;&gt;"",J707&lt;&gt;""),I707*J707,"")</f>
        <v/>
      </c>
      <c r="L707" s="22" t="n"/>
      <c r="M707" s="22" t="n"/>
      <c r="N707" s="24" t="n"/>
      <c r="O707" s="24" t="n"/>
    </row>
    <row r="708">
      <c r="A708" s="34" t="n"/>
      <c r="B708" s="35">
        <f>IF(A708="","",YEAR(A708))</f>
        <v/>
      </c>
      <c r="C708" s="36">
        <f>IF(A708="","",MONTH(A708))</f>
        <v/>
      </c>
      <c r="D708" s="37">
        <f>IF(A708="","","Q"&amp;ROUNDUP(MONTH(A708)/3,0))</f>
        <v/>
      </c>
      <c r="E708" s="18" t="n"/>
      <c r="F708" s="18" t="n"/>
      <c r="G708" s="40">
        <f>IFERROR(VLOOKUP(F708,M2_거래처마스터!A:E,3,FALSE),"")</f>
        <v/>
      </c>
      <c r="H708" s="18" t="n"/>
      <c r="I708" s="19" t="n"/>
      <c r="J708" s="20" t="n"/>
      <c r="K708" s="39">
        <f>IF(AND(I708&lt;&gt;"",J708&lt;&gt;""),I708*J708,"")</f>
        <v/>
      </c>
      <c r="L708" s="18" t="n"/>
      <c r="M708" s="18" t="n"/>
      <c r="N708" s="20" t="n"/>
      <c r="O708" s="20" t="n"/>
    </row>
    <row r="709">
      <c r="A709" s="41" t="n"/>
      <c r="B709" s="35">
        <f>IF(A709="","",YEAR(A709))</f>
        <v/>
      </c>
      <c r="C709" s="36">
        <f>IF(A709="","",MONTH(A709))</f>
        <v/>
      </c>
      <c r="D709" s="37">
        <f>IF(A709="","","Q"&amp;ROUNDUP(MONTH(A709)/3,0))</f>
        <v/>
      </c>
      <c r="E709" s="22" t="n"/>
      <c r="F709" s="22" t="n"/>
      <c r="G709" s="40">
        <f>IFERROR(VLOOKUP(F709,M2_거래처마스터!A:E,3,FALSE),"")</f>
        <v/>
      </c>
      <c r="H709" s="22" t="n"/>
      <c r="I709" s="23" t="n"/>
      <c r="J709" s="24" t="n"/>
      <c r="K709" s="39">
        <f>IF(AND(I709&lt;&gt;"",J709&lt;&gt;""),I709*J709,"")</f>
        <v/>
      </c>
      <c r="L709" s="22" t="n"/>
      <c r="M709" s="22" t="n"/>
      <c r="N709" s="24" t="n"/>
      <c r="O709" s="24" t="n"/>
    </row>
    <row r="710">
      <c r="A710" s="34" t="n"/>
      <c r="B710" s="35">
        <f>IF(A710="","",YEAR(A710))</f>
        <v/>
      </c>
      <c r="C710" s="36">
        <f>IF(A710="","",MONTH(A710))</f>
        <v/>
      </c>
      <c r="D710" s="37">
        <f>IF(A710="","","Q"&amp;ROUNDUP(MONTH(A710)/3,0))</f>
        <v/>
      </c>
      <c r="E710" s="18" t="n"/>
      <c r="F710" s="18" t="n"/>
      <c r="G710" s="40">
        <f>IFERROR(VLOOKUP(F710,M2_거래처마스터!A:E,3,FALSE),"")</f>
        <v/>
      </c>
      <c r="H710" s="18" t="n"/>
      <c r="I710" s="19" t="n"/>
      <c r="J710" s="20" t="n"/>
      <c r="K710" s="39">
        <f>IF(AND(I710&lt;&gt;"",J710&lt;&gt;""),I710*J710,"")</f>
        <v/>
      </c>
      <c r="L710" s="18" t="n"/>
      <c r="M710" s="18" t="n"/>
      <c r="N710" s="20" t="n"/>
      <c r="O710" s="20" t="n"/>
    </row>
    <row r="711">
      <c r="A711" s="41" t="n"/>
      <c r="B711" s="35">
        <f>IF(A711="","",YEAR(A711))</f>
        <v/>
      </c>
      <c r="C711" s="36">
        <f>IF(A711="","",MONTH(A711))</f>
        <v/>
      </c>
      <c r="D711" s="37">
        <f>IF(A711="","","Q"&amp;ROUNDUP(MONTH(A711)/3,0))</f>
        <v/>
      </c>
      <c r="E711" s="22" t="n"/>
      <c r="F711" s="22" t="n"/>
      <c r="G711" s="40">
        <f>IFERROR(VLOOKUP(F711,M2_거래처마스터!A:E,3,FALSE),"")</f>
        <v/>
      </c>
      <c r="H711" s="22" t="n"/>
      <c r="I711" s="23" t="n"/>
      <c r="J711" s="24" t="n"/>
      <c r="K711" s="39">
        <f>IF(AND(I711&lt;&gt;"",J711&lt;&gt;""),I711*J711,"")</f>
        <v/>
      </c>
      <c r="L711" s="22" t="n"/>
      <c r="M711" s="22" t="n"/>
      <c r="N711" s="24" t="n"/>
      <c r="O711" s="24" t="n"/>
    </row>
    <row r="712">
      <c r="A712" s="34" t="n"/>
      <c r="B712" s="35">
        <f>IF(A712="","",YEAR(A712))</f>
        <v/>
      </c>
      <c r="C712" s="36">
        <f>IF(A712="","",MONTH(A712))</f>
        <v/>
      </c>
      <c r="D712" s="37">
        <f>IF(A712="","","Q"&amp;ROUNDUP(MONTH(A712)/3,0))</f>
        <v/>
      </c>
      <c r="E712" s="18" t="n"/>
      <c r="F712" s="18" t="n"/>
      <c r="G712" s="40">
        <f>IFERROR(VLOOKUP(F712,M2_거래처마스터!A:E,3,FALSE),"")</f>
        <v/>
      </c>
      <c r="H712" s="18" t="n"/>
      <c r="I712" s="19" t="n"/>
      <c r="J712" s="20" t="n"/>
      <c r="K712" s="39">
        <f>IF(AND(I712&lt;&gt;"",J712&lt;&gt;""),I712*J712,"")</f>
        <v/>
      </c>
      <c r="L712" s="18" t="n"/>
      <c r="M712" s="18" t="n"/>
      <c r="N712" s="20" t="n"/>
      <c r="O712" s="20" t="n"/>
    </row>
    <row r="713">
      <c r="A713" s="41" t="n"/>
      <c r="B713" s="35">
        <f>IF(A713="","",YEAR(A713))</f>
        <v/>
      </c>
      <c r="C713" s="36">
        <f>IF(A713="","",MONTH(A713))</f>
        <v/>
      </c>
      <c r="D713" s="37">
        <f>IF(A713="","","Q"&amp;ROUNDUP(MONTH(A713)/3,0))</f>
        <v/>
      </c>
      <c r="E713" s="22" t="n"/>
      <c r="F713" s="22" t="n"/>
      <c r="G713" s="40">
        <f>IFERROR(VLOOKUP(F713,M2_거래처마스터!A:E,3,FALSE),"")</f>
        <v/>
      </c>
      <c r="H713" s="22" t="n"/>
      <c r="I713" s="23" t="n"/>
      <c r="J713" s="24" t="n"/>
      <c r="K713" s="39">
        <f>IF(AND(I713&lt;&gt;"",J713&lt;&gt;""),I713*J713,"")</f>
        <v/>
      </c>
      <c r="L713" s="22" t="n"/>
      <c r="M713" s="22" t="n"/>
      <c r="N713" s="24" t="n"/>
      <c r="O713" s="24" t="n"/>
    </row>
    <row r="714">
      <c r="A714" s="34" t="n"/>
      <c r="B714" s="35">
        <f>IF(A714="","",YEAR(A714))</f>
        <v/>
      </c>
      <c r="C714" s="36">
        <f>IF(A714="","",MONTH(A714))</f>
        <v/>
      </c>
      <c r="D714" s="37">
        <f>IF(A714="","","Q"&amp;ROUNDUP(MONTH(A714)/3,0))</f>
        <v/>
      </c>
      <c r="E714" s="18" t="n"/>
      <c r="F714" s="18" t="n"/>
      <c r="G714" s="40">
        <f>IFERROR(VLOOKUP(F714,M2_거래처마스터!A:E,3,FALSE),"")</f>
        <v/>
      </c>
      <c r="H714" s="18" t="n"/>
      <c r="I714" s="19" t="n"/>
      <c r="J714" s="20" t="n"/>
      <c r="K714" s="39">
        <f>IF(AND(I714&lt;&gt;"",J714&lt;&gt;""),I714*J714,"")</f>
        <v/>
      </c>
      <c r="L714" s="18" t="n"/>
      <c r="M714" s="18" t="n"/>
      <c r="N714" s="20" t="n"/>
      <c r="O714" s="20" t="n"/>
    </row>
    <row r="715">
      <c r="A715" s="41" t="n"/>
      <c r="B715" s="35">
        <f>IF(A715="","",YEAR(A715))</f>
        <v/>
      </c>
      <c r="C715" s="36">
        <f>IF(A715="","",MONTH(A715))</f>
        <v/>
      </c>
      <c r="D715" s="37">
        <f>IF(A715="","","Q"&amp;ROUNDUP(MONTH(A715)/3,0))</f>
        <v/>
      </c>
      <c r="E715" s="22" t="n"/>
      <c r="F715" s="22" t="n"/>
      <c r="G715" s="40">
        <f>IFERROR(VLOOKUP(F715,M2_거래처마스터!A:E,3,FALSE),"")</f>
        <v/>
      </c>
      <c r="H715" s="22" t="n"/>
      <c r="I715" s="23" t="n"/>
      <c r="J715" s="24" t="n"/>
      <c r="K715" s="39">
        <f>IF(AND(I715&lt;&gt;"",J715&lt;&gt;""),I715*J715,"")</f>
        <v/>
      </c>
      <c r="L715" s="22" t="n"/>
      <c r="M715" s="22" t="n"/>
      <c r="N715" s="24" t="n"/>
      <c r="O715" s="24" t="n"/>
    </row>
    <row r="716">
      <c r="A716" s="34" t="n"/>
      <c r="B716" s="35">
        <f>IF(A716="","",YEAR(A716))</f>
        <v/>
      </c>
      <c r="C716" s="36">
        <f>IF(A716="","",MONTH(A716))</f>
        <v/>
      </c>
      <c r="D716" s="37">
        <f>IF(A716="","","Q"&amp;ROUNDUP(MONTH(A716)/3,0))</f>
        <v/>
      </c>
      <c r="E716" s="18" t="n"/>
      <c r="F716" s="18" t="n"/>
      <c r="G716" s="40">
        <f>IFERROR(VLOOKUP(F716,M2_거래처마스터!A:E,3,FALSE),"")</f>
        <v/>
      </c>
      <c r="H716" s="18" t="n"/>
      <c r="I716" s="19" t="n"/>
      <c r="J716" s="20" t="n"/>
      <c r="K716" s="39">
        <f>IF(AND(I716&lt;&gt;"",J716&lt;&gt;""),I716*J716,"")</f>
        <v/>
      </c>
      <c r="L716" s="18" t="n"/>
      <c r="M716" s="18" t="n"/>
      <c r="N716" s="20" t="n"/>
      <c r="O716" s="20" t="n"/>
    </row>
    <row r="717">
      <c r="A717" s="41" t="n"/>
      <c r="B717" s="35">
        <f>IF(A717="","",YEAR(A717))</f>
        <v/>
      </c>
      <c r="C717" s="36">
        <f>IF(A717="","",MONTH(A717))</f>
        <v/>
      </c>
      <c r="D717" s="37">
        <f>IF(A717="","","Q"&amp;ROUNDUP(MONTH(A717)/3,0))</f>
        <v/>
      </c>
      <c r="E717" s="22" t="n"/>
      <c r="F717" s="22" t="n"/>
      <c r="G717" s="40">
        <f>IFERROR(VLOOKUP(F717,M2_거래처마스터!A:E,3,FALSE),"")</f>
        <v/>
      </c>
      <c r="H717" s="22" t="n"/>
      <c r="I717" s="23" t="n"/>
      <c r="J717" s="24" t="n"/>
      <c r="K717" s="39">
        <f>IF(AND(I717&lt;&gt;"",J717&lt;&gt;""),I717*J717,"")</f>
        <v/>
      </c>
      <c r="L717" s="22" t="n"/>
      <c r="M717" s="22" t="n"/>
      <c r="N717" s="24" t="n"/>
      <c r="O717" s="24" t="n"/>
    </row>
    <row r="718">
      <c r="A718" s="34" t="n"/>
      <c r="B718" s="35">
        <f>IF(A718="","",YEAR(A718))</f>
        <v/>
      </c>
      <c r="C718" s="36">
        <f>IF(A718="","",MONTH(A718))</f>
        <v/>
      </c>
      <c r="D718" s="37">
        <f>IF(A718="","","Q"&amp;ROUNDUP(MONTH(A718)/3,0))</f>
        <v/>
      </c>
      <c r="E718" s="18" t="n"/>
      <c r="F718" s="18" t="n"/>
      <c r="G718" s="40">
        <f>IFERROR(VLOOKUP(F718,M2_거래처마스터!A:E,3,FALSE),"")</f>
        <v/>
      </c>
      <c r="H718" s="18" t="n"/>
      <c r="I718" s="19" t="n"/>
      <c r="J718" s="20" t="n"/>
      <c r="K718" s="39">
        <f>IF(AND(I718&lt;&gt;"",J718&lt;&gt;""),I718*J718,"")</f>
        <v/>
      </c>
      <c r="L718" s="18" t="n"/>
      <c r="M718" s="18" t="n"/>
      <c r="N718" s="20" t="n"/>
      <c r="O718" s="20" t="n"/>
    </row>
    <row r="719">
      <c r="A719" s="41" t="n"/>
      <c r="B719" s="35">
        <f>IF(A719="","",YEAR(A719))</f>
        <v/>
      </c>
      <c r="C719" s="36">
        <f>IF(A719="","",MONTH(A719))</f>
        <v/>
      </c>
      <c r="D719" s="37">
        <f>IF(A719="","","Q"&amp;ROUNDUP(MONTH(A719)/3,0))</f>
        <v/>
      </c>
      <c r="E719" s="22" t="n"/>
      <c r="F719" s="22" t="n"/>
      <c r="G719" s="40">
        <f>IFERROR(VLOOKUP(F719,M2_거래처마스터!A:E,3,FALSE),"")</f>
        <v/>
      </c>
      <c r="H719" s="22" t="n"/>
      <c r="I719" s="23" t="n"/>
      <c r="J719" s="24" t="n"/>
      <c r="K719" s="39">
        <f>IF(AND(I719&lt;&gt;"",J719&lt;&gt;""),I719*J719,"")</f>
        <v/>
      </c>
      <c r="L719" s="22" t="n"/>
      <c r="M719" s="22" t="n"/>
      <c r="N719" s="24" t="n"/>
      <c r="O719" s="24" t="n"/>
    </row>
    <row r="720">
      <c r="A720" s="34" t="n"/>
      <c r="B720" s="35">
        <f>IF(A720="","",YEAR(A720))</f>
        <v/>
      </c>
      <c r="C720" s="36">
        <f>IF(A720="","",MONTH(A720))</f>
        <v/>
      </c>
      <c r="D720" s="37">
        <f>IF(A720="","","Q"&amp;ROUNDUP(MONTH(A720)/3,0))</f>
        <v/>
      </c>
      <c r="E720" s="18" t="n"/>
      <c r="F720" s="18" t="n"/>
      <c r="G720" s="40">
        <f>IFERROR(VLOOKUP(F720,M2_거래처마스터!A:E,3,FALSE),"")</f>
        <v/>
      </c>
      <c r="H720" s="18" t="n"/>
      <c r="I720" s="19" t="n"/>
      <c r="J720" s="20" t="n"/>
      <c r="K720" s="39">
        <f>IF(AND(I720&lt;&gt;"",J720&lt;&gt;""),I720*J720,"")</f>
        <v/>
      </c>
      <c r="L720" s="18" t="n"/>
      <c r="M720" s="18" t="n"/>
      <c r="N720" s="20" t="n"/>
      <c r="O720" s="20" t="n"/>
    </row>
    <row r="721">
      <c r="A721" s="41" t="n"/>
      <c r="B721" s="35">
        <f>IF(A721="","",YEAR(A721))</f>
        <v/>
      </c>
      <c r="C721" s="36">
        <f>IF(A721="","",MONTH(A721))</f>
        <v/>
      </c>
      <c r="D721" s="37">
        <f>IF(A721="","","Q"&amp;ROUNDUP(MONTH(A721)/3,0))</f>
        <v/>
      </c>
      <c r="E721" s="22" t="n"/>
      <c r="F721" s="22" t="n"/>
      <c r="G721" s="40">
        <f>IFERROR(VLOOKUP(F721,M2_거래처마스터!A:E,3,FALSE),"")</f>
        <v/>
      </c>
      <c r="H721" s="22" t="n"/>
      <c r="I721" s="23" t="n"/>
      <c r="J721" s="24" t="n"/>
      <c r="K721" s="39">
        <f>IF(AND(I721&lt;&gt;"",J721&lt;&gt;""),I721*J721,"")</f>
        <v/>
      </c>
      <c r="L721" s="22" t="n"/>
      <c r="M721" s="22" t="n"/>
      <c r="N721" s="24" t="n"/>
      <c r="O721" s="24" t="n"/>
    </row>
    <row r="722">
      <c r="A722" s="34" t="n"/>
      <c r="B722" s="35">
        <f>IF(A722="","",YEAR(A722))</f>
        <v/>
      </c>
      <c r="C722" s="36">
        <f>IF(A722="","",MONTH(A722))</f>
        <v/>
      </c>
      <c r="D722" s="37">
        <f>IF(A722="","","Q"&amp;ROUNDUP(MONTH(A722)/3,0))</f>
        <v/>
      </c>
      <c r="E722" s="18" t="n"/>
      <c r="F722" s="18" t="n"/>
      <c r="G722" s="40">
        <f>IFERROR(VLOOKUP(F722,M2_거래처마스터!A:E,3,FALSE),"")</f>
        <v/>
      </c>
      <c r="H722" s="18" t="n"/>
      <c r="I722" s="19" t="n"/>
      <c r="J722" s="20" t="n"/>
      <c r="K722" s="39">
        <f>IF(AND(I722&lt;&gt;"",J722&lt;&gt;""),I722*J722,"")</f>
        <v/>
      </c>
      <c r="L722" s="18" t="n"/>
      <c r="M722" s="18" t="n"/>
      <c r="N722" s="20" t="n"/>
      <c r="O722" s="20" t="n"/>
    </row>
    <row r="723">
      <c r="A723" s="41" t="n"/>
      <c r="B723" s="35">
        <f>IF(A723="","",YEAR(A723))</f>
        <v/>
      </c>
      <c r="C723" s="36">
        <f>IF(A723="","",MONTH(A723))</f>
        <v/>
      </c>
      <c r="D723" s="37">
        <f>IF(A723="","","Q"&amp;ROUNDUP(MONTH(A723)/3,0))</f>
        <v/>
      </c>
      <c r="E723" s="22" t="n"/>
      <c r="F723" s="22" t="n"/>
      <c r="G723" s="40">
        <f>IFERROR(VLOOKUP(F723,M2_거래처마스터!A:E,3,FALSE),"")</f>
        <v/>
      </c>
      <c r="H723" s="22" t="n"/>
      <c r="I723" s="23" t="n"/>
      <c r="J723" s="24" t="n"/>
      <c r="K723" s="39">
        <f>IF(AND(I723&lt;&gt;"",J723&lt;&gt;""),I723*J723,"")</f>
        <v/>
      </c>
      <c r="L723" s="22" t="n"/>
      <c r="M723" s="22" t="n"/>
      <c r="N723" s="24" t="n"/>
      <c r="O723" s="24" t="n"/>
    </row>
    <row r="724">
      <c r="A724" s="34" t="n"/>
      <c r="B724" s="35">
        <f>IF(A724="","",YEAR(A724))</f>
        <v/>
      </c>
      <c r="C724" s="36">
        <f>IF(A724="","",MONTH(A724))</f>
        <v/>
      </c>
      <c r="D724" s="37">
        <f>IF(A724="","","Q"&amp;ROUNDUP(MONTH(A724)/3,0))</f>
        <v/>
      </c>
      <c r="E724" s="18" t="n"/>
      <c r="F724" s="18" t="n"/>
      <c r="G724" s="40">
        <f>IFERROR(VLOOKUP(F724,M2_거래처마스터!A:E,3,FALSE),"")</f>
        <v/>
      </c>
      <c r="H724" s="18" t="n"/>
      <c r="I724" s="19" t="n"/>
      <c r="J724" s="20" t="n"/>
      <c r="K724" s="39">
        <f>IF(AND(I724&lt;&gt;"",J724&lt;&gt;""),I724*J724,"")</f>
        <v/>
      </c>
      <c r="L724" s="18" t="n"/>
      <c r="M724" s="18" t="n"/>
      <c r="N724" s="20" t="n"/>
      <c r="O724" s="20" t="n"/>
    </row>
    <row r="725">
      <c r="A725" s="41" t="n"/>
      <c r="B725" s="35">
        <f>IF(A725="","",YEAR(A725))</f>
        <v/>
      </c>
      <c r="C725" s="36">
        <f>IF(A725="","",MONTH(A725))</f>
        <v/>
      </c>
      <c r="D725" s="37">
        <f>IF(A725="","","Q"&amp;ROUNDUP(MONTH(A725)/3,0))</f>
        <v/>
      </c>
      <c r="E725" s="22" t="n"/>
      <c r="F725" s="22" t="n"/>
      <c r="G725" s="40">
        <f>IFERROR(VLOOKUP(F725,M2_거래처마스터!A:E,3,FALSE),"")</f>
        <v/>
      </c>
      <c r="H725" s="22" t="n"/>
      <c r="I725" s="23" t="n"/>
      <c r="J725" s="24" t="n"/>
      <c r="K725" s="39">
        <f>IF(AND(I725&lt;&gt;"",J725&lt;&gt;""),I725*J725,"")</f>
        <v/>
      </c>
      <c r="L725" s="22" t="n"/>
      <c r="M725" s="22" t="n"/>
      <c r="N725" s="24" t="n"/>
      <c r="O725" s="24" t="n"/>
    </row>
    <row r="726">
      <c r="A726" s="34" t="n"/>
      <c r="B726" s="35">
        <f>IF(A726="","",YEAR(A726))</f>
        <v/>
      </c>
      <c r="C726" s="36">
        <f>IF(A726="","",MONTH(A726))</f>
        <v/>
      </c>
      <c r="D726" s="37">
        <f>IF(A726="","","Q"&amp;ROUNDUP(MONTH(A726)/3,0))</f>
        <v/>
      </c>
      <c r="E726" s="18" t="n"/>
      <c r="F726" s="18" t="n"/>
      <c r="G726" s="40">
        <f>IFERROR(VLOOKUP(F726,M2_거래처마스터!A:E,3,FALSE),"")</f>
        <v/>
      </c>
      <c r="H726" s="18" t="n"/>
      <c r="I726" s="19" t="n"/>
      <c r="J726" s="20" t="n"/>
      <c r="K726" s="39">
        <f>IF(AND(I726&lt;&gt;"",J726&lt;&gt;""),I726*J726,"")</f>
        <v/>
      </c>
      <c r="L726" s="18" t="n"/>
      <c r="M726" s="18" t="n"/>
      <c r="N726" s="20" t="n"/>
      <c r="O726" s="20" t="n"/>
    </row>
    <row r="727">
      <c r="A727" s="41" t="n"/>
      <c r="B727" s="35">
        <f>IF(A727="","",YEAR(A727))</f>
        <v/>
      </c>
      <c r="C727" s="36">
        <f>IF(A727="","",MONTH(A727))</f>
        <v/>
      </c>
      <c r="D727" s="37">
        <f>IF(A727="","","Q"&amp;ROUNDUP(MONTH(A727)/3,0))</f>
        <v/>
      </c>
      <c r="E727" s="22" t="n"/>
      <c r="F727" s="22" t="n"/>
      <c r="G727" s="40">
        <f>IFERROR(VLOOKUP(F727,M2_거래처마스터!A:E,3,FALSE),"")</f>
        <v/>
      </c>
      <c r="H727" s="22" t="n"/>
      <c r="I727" s="23" t="n"/>
      <c r="J727" s="24" t="n"/>
      <c r="K727" s="39">
        <f>IF(AND(I727&lt;&gt;"",J727&lt;&gt;""),I727*J727,"")</f>
        <v/>
      </c>
      <c r="L727" s="22" t="n"/>
      <c r="M727" s="22" t="n"/>
      <c r="N727" s="24" t="n"/>
      <c r="O727" s="24" t="n"/>
    </row>
    <row r="728">
      <c r="A728" s="34" t="n"/>
      <c r="B728" s="35">
        <f>IF(A728="","",YEAR(A728))</f>
        <v/>
      </c>
      <c r="C728" s="36">
        <f>IF(A728="","",MONTH(A728))</f>
        <v/>
      </c>
      <c r="D728" s="37">
        <f>IF(A728="","","Q"&amp;ROUNDUP(MONTH(A728)/3,0))</f>
        <v/>
      </c>
      <c r="E728" s="18" t="n"/>
      <c r="F728" s="18" t="n"/>
      <c r="G728" s="40">
        <f>IFERROR(VLOOKUP(F728,M2_거래처마스터!A:E,3,FALSE),"")</f>
        <v/>
      </c>
      <c r="H728" s="18" t="n"/>
      <c r="I728" s="19" t="n"/>
      <c r="J728" s="20" t="n"/>
      <c r="K728" s="39">
        <f>IF(AND(I728&lt;&gt;"",J728&lt;&gt;""),I728*J728,"")</f>
        <v/>
      </c>
      <c r="L728" s="18" t="n"/>
      <c r="M728" s="18" t="n"/>
      <c r="N728" s="20" t="n"/>
      <c r="O728" s="20" t="n"/>
    </row>
    <row r="729">
      <c r="A729" s="41" t="n"/>
      <c r="B729" s="35">
        <f>IF(A729="","",YEAR(A729))</f>
        <v/>
      </c>
      <c r="C729" s="36">
        <f>IF(A729="","",MONTH(A729))</f>
        <v/>
      </c>
      <c r="D729" s="37">
        <f>IF(A729="","","Q"&amp;ROUNDUP(MONTH(A729)/3,0))</f>
        <v/>
      </c>
      <c r="E729" s="22" t="n"/>
      <c r="F729" s="22" t="n"/>
      <c r="G729" s="40">
        <f>IFERROR(VLOOKUP(F729,M2_거래처마스터!A:E,3,FALSE),"")</f>
        <v/>
      </c>
      <c r="H729" s="22" t="n"/>
      <c r="I729" s="23" t="n"/>
      <c r="J729" s="24" t="n"/>
      <c r="K729" s="39">
        <f>IF(AND(I729&lt;&gt;"",J729&lt;&gt;""),I729*J729,"")</f>
        <v/>
      </c>
      <c r="L729" s="22" t="n"/>
      <c r="M729" s="22" t="n"/>
      <c r="N729" s="24" t="n"/>
      <c r="O729" s="24" t="n"/>
    </row>
    <row r="730">
      <c r="A730" s="34" t="n"/>
      <c r="B730" s="35">
        <f>IF(A730="","",YEAR(A730))</f>
        <v/>
      </c>
      <c r="C730" s="36">
        <f>IF(A730="","",MONTH(A730))</f>
        <v/>
      </c>
      <c r="D730" s="37">
        <f>IF(A730="","","Q"&amp;ROUNDUP(MONTH(A730)/3,0))</f>
        <v/>
      </c>
      <c r="E730" s="18" t="n"/>
      <c r="F730" s="18" t="n"/>
      <c r="G730" s="40">
        <f>IFERROR(VLOOKUP(F730,M2_거래처마스터!A:E,3,FALSE),"")</f>
        <v/>
      </c>
      <c r="H730" s="18" t="n"/>
      <c r="I730" s="19" t="n"/>
      <c r="J730" s="20" t="n"/>
      <c r="K730" s="39">
        <f>IF(AND(I730&lt;&gt;"",J730&lt;&gt;""),I730*J730,"")</f>
        <v/>
      </c>
      <c r="L730" s="18" t="n"/>
      <c r="M730" s="18" t="n"/>
      <c r="N730" s="20" t="n"/>
      <c r="O730" s="20" t="n"/>
    </row>
    <row r="731">
      <c r="A731" s="41" t="n"/>
      <c r="B731" s="35">
        <f>IF(A731="","",YEAR(A731))</f>
        <v/>
      </c>
      <c r="C731" s="36">
        <f>IF(A731="","",MONTH(A731))</f>
        <v/>
      </c>
      <c r="D731" s="37">
        <f>IF(A731="","","Q"&amp;ROUNDUP(MONTH(A731)/3,0))</f>
        <v/>
      </c>
      <c r="E731" s="22" t="n"/>
      <c r="F731" s="22" t="n"/>
      <c r="G731" s="40">
        <f>IFERROR(VLOOKUP(F731,M2_거래처마스터!A:E,3,FALSE),"")</f>
        <v/>
      </c>
      <c r="H731" s="22" t="n"/>
      <c r="I731" s="23" t="n"/>
      <c r="J731" s="24" t="n"/>
      <c r="K731" s="39">
        <f>IF(AND(I731&lt;&gt;"",J731&lt;&gt;""),I731*J731,"")</f>
        <v/>
      </c>
      <c r="L731" s="22" t="n"/>
      <c r="M731" s="22" t="n"/>
      <c r="N731" s="24" t="n"/>
      <c r="O731" s="24" t="n"/>
    </row>
    <row r="732">
      <c r="A732" s="34" t="n"/>
      <c r="B732" s="35">
        <f>IF(A732="","",YEAR(A732))</f>
        <v/>
      </c>
      <c r="C732" s="36">
        <f>IF(A732="","",MONTH(A732))</f>
        <v/>
      </c>
      <c r="D732" s="37">
        <f>IF(A732="","","Q"&amp;ROUNDUP(MONTH(A732)/3,0))</f>
        <v/>
      </c>
      <c r="E732" s="18" t="n"/>
      <c r="F732" s="18" t="n"/>
      <c r="G732" s="40">
        <f>IFERROR(VLOOKUP(F732,M2_거래처마스터!A:E,3,FALSE),"")</f>
        <v/>
      </c>
      <c r="H732" s="18" t="n"/>
      <c r="I732" s="19" t="n"/>
      <c r="J732" s="20" t="n"/>
      <c r="K732" s="39">
        <f>IF(AND(I732&lt;&gt;"",J732&lt;&gt;""),I732*J732,"")</f>
        <v/>
      </c>
      <c r="L732" s="18" t="n"/>
      <c r="M732" s="18" t="n"/>
      <c r="N732" s="20" t="n"/>
      <c r="O732" s="20" t="n"/>
    </row>
    <row r="733">
      <c r="A733" s="41" t="n"/>
      <c r="B733" s="35">
        <f>IF(A733="","",YEAR(A733))</f>
        <v/>
      </c>
      <c r="C733" s="36">
        <f>IF(A733="","",MONTH(A733))</f>
        <v/>
      </c>
      <c r="D733" s="37">
        <f>IF(A733="","","Q"&amp;ROUNDUP(MONTH(A733)/3,0))</f>
        <v/>
      </c>
      <c r="E733" s="22" t="n"/>
      <c r="F733" s="22" t="n"/>
      <c r="G733" s="40">
        <f>IFERROR(VLOOKUP(F733,M2_거래처마스터!A:E,3,FALSE),"")</f>
        <v/>
      </c>
      <c r="H733" s="22" t="n"/>
      <c r="I733" s="23" t="n"/>
      <c r="J733" s="24" t="n"/>
      <c r="K733" s="39">
        <f>IF(AND(I733&lt;&gt;"",J733&lt;&gt;""),I733*J733,"")</f>
        <v/>
      </c>
      <c r="L733" s="22" t="n"/>
      <c r="M733" s="22" t="n"/>
      <c r="N733" s="24" t="n"/>
      <c r="O733" s="24" t="n"/>
    </row>
    <row r="734">
      <c r="A734" s="34" t="n"/>
      <c r="B734" s="35">
        <f>IF(A734="","",YEAR(A734))</f>
        <v/>
      </c>
      <c r="C734" s="36">
        <f>IF(A734="","",MONTH(A734))</f>
        <v/>
      </c>
      <c r="D734" s="37">
        <f>IF(A734="","","Q"&amp;ROUNDUP(MONTH(A734)/3,0))</f>
        <v/>
      </c>
      <c r="E734" s="18" t="n"/>
      <c r="F734" s="18" t="n"/>
      <c r="G734" s="40">
        <f>IFERROR(VLOOKUP(F734,M2_거래처마스터!A:E,3,FALSE),"")</f>
        <v/>
      </c>
      <c r="H734" s="18" t="n"/>
      <c r="I734" s="19" t="n"/>
      <c r="J734" s="20" t="n"/>
      <c r="K734" s="39">
        <f>IF(AND(I734&lt;&gt;"",J734&lt;&gt;""),I734*J734,"")</f>
        <v/>
      </c>
      <c r="L734" s="18" t="n"/>
      <c r="M734" s="18" t="n"/>
      <c r="N734" s="20" t="n"/>
      <c r="O734" s="20" t="n"/>
    </row>
    <row r="735">
      <c r="A735" s="41" t="n"/>
      <c r="B735" s="35">
        <f>IF(A735="","",YEAR(A735))</f>
        <v/>
      </c>
      <c r="C735" s="36">
        <f>IF(A735="","",MONTH(A735))</f>
        <v/>
      </c>
      <c r="D735" s="37">
        <f>IF(A735="","","Q"&amp;ROUNDUP(MONTH(A735)/3,0))</f>
        <v/>
      </c>
      <c r="E735" s="22" t="n"/>
      <c r="F735" s="22" t="n"/>
      <c r="G735" s="40">
        <f>IFERROR(VLOOKUP(F735,M2_거래처마스터!A:E,3,FALSE),"")</f>
        <v/>
      </c>
      <c r="H735" s="22" t="n"/>
      <c r="I735" s="23" t="n"/>
      <c r="J735" s="24" t="n"/>
      <c r="K735" s="39">
        <f>IF(AND(I735&lt;&gt;"",J735&lt;&gt;""),I735*J735,"")</f>
        <v/>
      </c>
      <c r="L735" s="22" t="n"/>
      <c r="M735" s="22" t="n"/>
      <c r="N735" s="24" t="n"/>
      <c r="O735" s="24" t="n"/>
    </row>
    <row r="736">
      <c r="A736" s="34" t="n"/>
      <c r="B736" s="35">
        <f>IF(A736="","",YEAR(A736))</f>
        <v/>
      </c>
      <c r="C736" s="36">
        <f>IF(A736="","",MONTH(A736))</f>
        <v/>
      </c>
      <c r="D736" s="37">
        <f>IF(A736="","","Q"&amp;ROUNDUP(MONTH(A736)/3,0))</f>
        <v/>
      </c>
      <c r="E736" s="18" t="n"/>
      <c r="F736" s="18" t="n"/>
      <c r="G736" s="40">
        <f>IFERROR(VLOOKUP(F736,M2_거래처마스터!A:E,3,FALSE),"")</f>
        <v/>
      </c>
      <c r="H736" s="18" t="n"/>
      <c r="I736" s="19" t="n"/>
      <c r="J736" s="20" t="n"/>
      <c r="K736" s="39">
        <f>IF(AND(I736&lt;&gt;"",J736&lt;&gt;""),I736*J736,"")</f>
        <v/>
      </c>
      <c r="L736" s="18" t="n"/>
      <c r="M736" s="18" t="n"/>
      <c r="N736" s="20" t="n"/>
      <c r="O736" s="20" t="n"/>
    </row>
    <row r="737">
      <c r="A737" s="41" t="n"/>
      <c r="B737" s="35">
        <f>IF(A737="","",YEAR(A737))</f>
        <v/>
      </c>
      <c r="C737" s="36">
        <f>IF(A737="","",MONTH(A737))</f>
        <v/>
      </c>
      <c r="D737" s="37">
        <f>IF(A737="","","Q"&amp;ROUNDUP(MONTH(A737)/3,0))</f>
        <v/>
      </c>
      <c r="E737" s="22" t="n"/>
      <c r="F737" s="22" t="n"/>
      <c r="G737" s="40">
        <f>IFERROR(VLOOKUP(F737,M2_거래처마스터!A:E,3,FALSE),"")</f>
        <v/>
      </c>
      <c r="H737" s="22" t="n"/>
      <c r="I737" s="23" t="n"/>
      <c r="J737" s="24" t="n"/>
      <c r="K737" s="39">
        <f>IF(AND(I737&lt;&gt;"",J737&lt;&gt;""),I737*J737,"")</f>
        <v/>
      </c>
      <c r="L737" s="22" t="n"/>
      <c r="M737" s="22" t="n"/>
      <c r="N737" s="24" t="n"/>
      <c r="O737" s="24" t="n"/>
    </row>
    <row r="738">
      <c r="A738" s="34" t="n"/>
      <c r="B738" s="35">
        <f>IF(A738="","",YEAR(A738))</f>
        <v/>
      </c>
      <c r="C738" s="36">
        <f>IF(A738="","",MONTH(A738))</f>
        <v/>
      </c>
      <c r="D738" s="37">
        <f>IF(A738="","","Q"&amp;ROUNDUP(MONTH(A738)/3,0))</f>
        <v/>
      </c>
      <c r="E738" s="18" t="n"/>
      <c r="F738" s="18" t="n"/>
      <c r="G738" s="40">
        <f>IFERROR(VLOOKUP(F738,M2_거래처마스터!A:E,3,FALSE),"")</f>
        <v/>
      </c>
      <c r="H738" s="18" t="n"/>
      <c r="I738" s="19" t="n"/>
      <c r="J738" s="20" t="n"/>
      <c r="K738" s="39">
        <f>IF(AND(I738&lt;&gt;"",J738&lt;&gt;""),I738*J738,"")</f>
        <v/>
      </c>
      <c r="L738" s="18" t="n"/>
      <c r="M738" s="18" t="n"/>
      <c r="N738" s="20" t="n"/>
      <c r="O738" s="20" t="n"/>
    </row>
    <row r="739">
      <c r="A739" s="41" t="n"/>
      <c r="B739" s="35">
        <f>IF(A739="","",YEAR(A739))</f>
        <v/>
      </c>
      <c r="C739" s="36">
        <f>IF(A739="","",MONTH(A739))</f>
        <v/>
      </c>
      <c r="D739" s="37">
        <f>IF(A739="","","Q"&amp;ROUNDUP(MONTH(A739)/3,0))</f>
        <v/>
      </c>
      <c r="E739" s="22" t="n"/>
      <c r="F739" s="22" t="n"/>
      <c r="G739" s="40">
        <f>IFERROR(VLOOKUP(F739,M2_거래처마스터!A:E,3,FALSE),"")</f>
        <v/>
      </c>
      <c r="H739" s="22" t="n"/>
      <c r="I739" s="23" t="n"/>
      <c r="J739" s="24" t="n"/>
      <c r="K739" s="39">
        <f>IF(AND(I739&lt;&gt;"",J739&lt;&gt;""),I739*J739,"")</f>
        <v/>
      </c>
      <c r="L739" s="22" t="n"/>
      <c r="M739" s="22" t="n"/>
      <c r="N739" s="24" t="n"/>
      <c r="O739" s="24" t="n"/>
    </row>
    <row r="740">
      <c r="A740" s="34" t="n"/>
      <c r="B740" s="35">
        <f>IF(A740="","",YEAR(A740))</f>
        <v/>
      </c>
      <c r="C740" s="36">
        <f>IF(A740="","",MONTH(A740))</f>
        <v/>
      </c>
      <c r="D740" s="37">
        <f>IF(A740="","","Q"&amp;ROUNDUP(MONTH(A740)/3,0))</f>
        <v/>
      </c>
      <c r="E740" s="18" t="n"/>
      <c r="F740" s="18" t="n"/>
      <c r="G740" s="40">
        <f>IFERROR(VLOOKUP(F740,M2_거래처마스터!A:E,3,FALSE),"")</f>
        <v/>
      </c>
      <c r="H740" s="18" t="n"/>
      <c r="I740" s="19" t="n"/>
      <c r="J740" s="20" t="n"/>
      <c r="K740" s="39">
        <f>IF(AND(I740&lt;&gt;"",J740&lt;&gt;""),I740*J740,"")</f>
        <v/>
      </c>
      <c r="L740" s="18" t="n"/>
      <c r="M740" s="18" t="n"/>
      <c r="N740" s="20" t="n"/>
      <c r="O740" s="20" t="n"/>
    </row>
    <row r="741">
      <c r="A741" s="41" t="n"/>
      <c r="B741" s="35">
        <f>IF(A741="","",YEAR(A741))</f>
        <v/>
      </c>
      <c r="C741" s="36">
        <f>IF(A741="","",MONTH(A741))</f>
        <v/>
      </c>
      <c r="D741" s="37">
        <f>IF(A741="","","Q"&amp;ROUNDUP(MONTH(A741)/3,0))</f>
        <v/>
      </c>
      <c r="E741" s="22" t="n"/>
      <c r="F741" s="22" t="n"/>
      <c r="G741" s="40">
        <f>IFERROR(VLOOKUP(F741,M2_거래처마스터!A:E,3,FALSE),"")</f>
        <v/>
      </c>
      <c r="H741" s="22" t="n"/>
      <c r="I741" s="23" t="n"/>
      <c r="J741" s="24" t="n"/>
      <c r="K741" s="39">
        <f>IF(AND(I741&lt;&gt;"",J741&lt;&gt;""),I741*J741,"")</f>
        <v/>
      </c>
      <c r="L741" s="22" t="n"/>
      <c r="M741" s="22" t="n"/>
      <c r="N741" s="24" t="n"/>
      <c r="O741" s="24" t="n"/>
    </row>
    <row r="742">
      <c r="A742" s="34" t="n"/>
      <c r="B742" s="35">
        <f>IF(A742="","",YEAR(A742))</f>
        <v/>
      </c>
      <c r="C742" s="36">
        <f>IF(A742="","",MONTH(A742))</f>
        <v/>
      </c>
      <c r="D742" s="37">
        <f>IF(A742="","","Q"&amp;ROUNDUP(MONTH(A742)/3,0))</f>
        <v/>
      </c>
      <c r="E742" s="18" t="n"/>
      <c r="F742" s="18" t="n"/>
      <c r="G742" s="40">
        <f>IFERROR(VLOOKUP(F742,M2_거래처마스터!A:E,3,FALSE),"")</f>
        <v/>
      </c>
      <c r="H742" s="18" t="n"/>
      <c r="I742" s="19" t="n"/>
      <c r="J742" s="20" t="n"/>
      <c r="K742" s="39">
        <f>IF(AND(I742&lt;&gt;"",J742&lt;&gt;""),I742*J742,"")</f>
        <v/>
      </c>
      <c r="L742" s="18" t="n"/>
      <c r="M742" s="18" t="n"/>
      <c r="N742" s="20" t="n"/>
      <c r="O742" s="20" t="n"/>
    </row>
    <row r="743">
      <c r="A743" s="41" t="n"/>
      <c r="B743" s="35">
        <f>IF(A743="","",YEAR(A743))</f>
        <v/>
      </c>
      <c r="C743" s="36">
        <f>IF(A743="","",MONTH(A743))</f>
        <v/>
      </c>
      <c r="D743" s="37">
        <f>IF(A743="","","Q"&amp;ROUNDUP(MONTH(A743)/3,0))</f>
        <v/>
      </c>
      <c r="E743" s="22" t="n"/>
      <c r="F743" s="22" t="n"/>
      <c r="G743" s="40">
        <f>IFERROR(VLOOKUP(F743,M2_거래처마스터!A:E,3,FALSE),"")</f>
        <v/>
      </c>
      <c r="H743" s="22" t="n"/>
      <c r="I743" s="23" t="n"/>
      <c r="J743" s="24" t="n"/>
      <c r="K743" s="39">
        <f>IF(AND(I743&lt;&gt;"",J743&lt;&gt;""),I743*J743,"")</f>
        <v/>
      </c>
      <c r="L743" s="22" t="n"/>
      <c r="M743" s="22" t="n"/>
      <c r="N743" s="24" t="n"/>
      <c r="O743" s="24" t="n"/>
    </row>
    <row r="744">
      <c r="A744" s="34" t="n"/>
      <c r="B744" s="35">
        <f>IF(A744="","",YEAR(A744))</f>
        <v/>
      </c>
      <c r="C744" s="36">
        <f>IF(A744="","",MONTH(A744))</f>
        <v/>
      </c>
      <c r="D744" s="37">
        <f>IF(A744="","","Q"&amp;ROUNDUP(MONTH(A744)/3,0))</f>
        <v/>
      </c>
      <c r="E744" s="18" t="n"/>
      <c r="F744" s="18" t="n"/>
      <c r="G744" s="40">
        <f>IFERROR(VLOOKUP(F744,M2_거래처마스터!A:E,3,FALSE),"")</f>
        <v/>
      </c>
      <c r="H744" s="18" t="n"/>
      <c r="I744" s="19" t="n"/>
      <c r="J744" s="20" t="n"/>
      <c r="K744" s="39">
        <f>IF(AND(I744&lt;&gt;"",J744&lt;&gt;""),I744*J744,"")</f>
        <v/>
      </c>
      <c r="L744" s="18" t="n"/>
      <c r="M744" s="18" t="n"/>
      <c r="N744" s="20" t="n"/>
      <c r="O744" s="20" t="n"/>
    </row>
    <row r="745">
      <c r="A745" s="41" t="n"/>
      <c r="B745" s="35">
        <f>IF(A745="","",YEAR(A745))</f>
        <v/>
      </c>
      <c r="C745" s="36">
        <f>IF(A745="","",MONTH(A745))</f>
        <v/>
      </c>
      <c r="D745" s="37">
        <f>IF(A745="","","Q"&amp;ROUNDUP(MONTH(A745)/3,0))</f>
        <v/>
      </c>
      <c r="E745" s="22" t="n"/>
      <c r="F745" s="22" t="n"/>
      <c r="G745" s="40">
        <f>IFERROR(VLOOKUP(F745,M2_거래처마스터!A:E,3,FALSE),"")</f>
        <v/>
      </c>
      <c r="H745" s="22" t="n"/>
      <c r="I745" s="23" t="n"/>
      <c r="J745" s="24" t="n"/>
      <c r="K745" s="39">
        <f>IF(AND(I745&lt;&gt;"",J745&lt;&gt;""),I745*J745,"")</f>
        <v/>
      </c>
      <c r="L745" s="22" t="n"/>
      <c r="M745" s="22" t="n"/>
      <c r="N745" s="24" t="n"/>
      <c r="O745" s="24" t="n"/>
    </row>
    <row r="746">
      <c r="A746" s="34" t="n"/>
      <c r="B746" s="35">
        <f>IF(A746="","",YEAR(A746))</f>
        <v/>
      </c>
      <c r="C746" s="36">
        <f>IF(A746="","",MONTH(A746))</f>
        <v/>
      </c>
      <c r="D746" s="37">
        <f>IF(A746="","","Q"&amp;ROUNDUP(MONTH(A746)/3,0))</f>
        <v/>
      </c>
      <c r="E746" s="18" t="n"/>
      <c r="F746" s="18" t="n"/>
      <c r="G746" s="40">
        <f>IFERROR(VLOOKUP(F746,M2_거래처마스터!A:E,3,FALSE),"")</f>
        <v/>
      </c>
      <c r="H746" s="18" t="n"/>
      <c r="I746" s="19" t="n"/>
      <c r="J746" s="20" t="n"/>
      <c r="K746" s="39">
        <f>IF(AND(I746&lt;&gt;"",J746&lt;&gt;""),I746*J746,"")</f>
        <v/>
      </c>
      <c r="L746" s="18" t="n"/>
      <c r="M746" s="18" t="n"/>
      <c r="N746" s="20" t="n"/>
      <c r="O746" s="20" t="n"/>
    </row>
    <row r="747">
      <c r="A747" s="41" t="n"/>
      <c r="B747" s="35">
        <f>IF(A747="","",YEAR(A747))</f>
        <v/>
      </c>
      <c r="C747" s="36">
        <f>IF(A747="","",MONTH(A747))</f>
        <v/>
      </c>
      <c r="D747" s="37">
        <f>IF(A747="","","Q"&amp;ROUNDUP(MONTH(A747)/3,0))</f>
        <v/>
      </c>
      <c r="E747" s="22" t="n"/>
      <c r="F747" s="22" t="n"/>
      <c r="G747" s="40">
        <f>IFERROR(VLOOKUP(F747,M2_거래처마스터!A:E,3,FALSE),"")</f>
        <v/>
      </c>
      <c r="H747" s="22" t="n"/>
      <c r="I747" s="23" t="n"/>
      <c r="J747" s="24" t="n"/>
      <c r="K747" s="39">
        <f>IF(AND(I747&lt;&gt;"",J747&lt;&gt;""),I747*J747,"")</f>
        <v/>
      </c>
      <c r="L747" s="22" t="n"/>
      <c r="M747" s="22" t="n"/>
      <c r="N747" s="24" t="n"/>
      <c r="O747" s="24" t="n"/>
    </row>
    <row r="748">
      <c r="A748" s="34" t="n"/>
      <c r="B748" s="35">
        <f>IF(A748="","",YEAR(A748))</f>
        <v/>
      </c>
      <c r="C748" s="36">
        <f>IF(A748="","",MONTH(A748))</f>
        <v/>
      </c>
      <c r="D748" s="37">
        <f>IF(A748="","","Q"&amp;ROUNDUP(MONTH(A748)/3,0))</f>
        <v/>
      </c>
      <c r="E748" s="18" t="n"/>
      <c r="F748" s="18" t="n"/>
      <c r="G748" s="40">
        <f>IFERROR(VLOOKUP(F748,M2_거래처마스터!A:E,3,FALSE),"")</f>
        <v/>
      </c>
      <c r="H748" s="18" t="n"/>
      <c r="I748" s="19" t="n"/>
      <c r="J748" s="20" t="n"/>
      <c r="K748" s="39">
        <f>IF(AND(I748&lt;&gt;"",J748&lt;&gt;""),I748*J748,"")</f>
        <v/>
      </c>
      <c r="L748" s="18" t="n"/>
      <c r="M748" s="18" t="n"/>
      <c r="N748" s="20" t="n"/>
      <c r="O748" s="20" t="n"/>
    </row>
    <row r="749">
      <c r="A749" s="41" t="n"/>
      <c r="B749" s="35">
        <f>IF(A749="","",YEAR(A749))</f>
        <v/>
      </c>
      <c r="C749" s="36">
        <f>IF(A749="","",MONTH(A749))</f>
        <v/>
      </c>
      <c r="D749" s="37">
        <f>IF(A749="","","Q"&amp;ROUNDUP(MONTH(A749)/3,0))</f>
        <v/>
      </c>
      <c r="E749" s="22" t="n"/>
      <c r="F749" s="22" t="n"/>
      <c r="G749" s="40">
        <f>IFERROR(VLOOKUP(F749,M2_거래처마스터!A:E,3,FALSE),"")</f>
        <v/>
      </c>
      <c r="H749" s="22" t="n"/>
      <c r="I749" s="23" t="n"/>
      <c r="J749" s="24" t="n"/>
      <c r="K749" s="39">
        <f>IF(AND(I749&lt;&gt;"",J749&lt;&gt;""),I749*J749,"")</f>
        <v/>
      </c>
      <c r="L749" s="22" t="n"/>
      <c r="M749" s="22" t="n"/>
      <c r="N749" s="24" t="n"/>
      <c r="O749" s="24" t="n"/>
    </row>
    <row r="750">
      <c r="A750" s="34" t="n"/>
      <c r="B750" s="35">
        <f>IF(A750="","",YEAR(A750))</f>
        <v/>
      </c>
      <c r="C750" s="36">
        <f>IF(A750="","",MONTH(A750))</f>
        <v/>
      </c>
      <c r="D750" s="37">
        <f>IF(A750="","","Q"&amp;ROUNDUP(MONTH(A750)/3,0))</f>
        <v/>
      </c>
      <c r="E750" s="18" t="n"/>
      <c r="F750" s="18" t="n"/>
      <c r="G750" s="40">
        <f>IFERROR(VLOOKUP(F750,M2_거래처마스터!A:E,3,FALSE),"")</f>
        <v/>
      </c>
      <c r="H750" s="18" t="n"/>
      <c r="I750" s="19" t="n"/>
      <c r="J750" s="20" t="n"/>
      <c r="K750" s="39">
        <f>IF(AND(I750&lt;&gt;"",J750&lt;&gt;""),I750*J750,"")</f>
        <v/>
      </c>
      <c r="L750" s="18" t="n"/>
      <c r="M750" s="18" t="n"/>
      <c r="N750" s="20" t="n"/>
      <c r="O750" s="20" t="n"/>
    </row>
    <row r="751">
      <c r="A751" s="41" t="n"/>
      <c r="B751" s="35">
        <f>IF(A751="","",YEAR(A751))</f>
        <v/>
      </c>
      <c r="C751" s="36">
        <f>IF(A751="","",MONTH(A751))</f>
        <v/>
      </c>
      <c r="D751" s="37">
        <f>IF(A751="","","Q"&amp;ROUNDUP(MONTH(A751)/3,0))</f>
        <v/>
      </c>
      <c r="E751" s="22" t="n"/>
      <c r="F751" s="22" t="n"/>
      <c r="G751" s="40">
        <f>IFERROR(VLOOKUP(F751,M2_거래처마스터!A:E,3,FALSE),"")</f>
        <v/>
      </c>
      <c r="H751" s="22" t="n"/>
      <c r="I751" s="23" t="n"/>
      <c r="J751" s="24" t="n"/>
      <c r="K751" s="39">
        <f>IF(AND(I751&lt;&gt;"",J751&lt;&gt;""),I751*J751,"")</f>
        <v/>
      </c>
      <c r="L751" s="22" t="n"/>
      <c r="M751" s="22" t="n"/>
      <c r="N751" s="24" t="n"/>
      <c r="O751" s="24" t="n"/>
    </row>
    <row r="752">
      <c r="A752" s="34" t="n"/>
      <c r="B752" s="35">
        <f>IF(A752="","",YEAR(A752))</f>
        <v/>
      </c>
      <c r="C752" s="36">
        <f>IF(A752="","",MONTH(A752))</f>
        <v/>
      </c>
      <c r="D752" s="37">
        <f>IF(A752="","","Q"&amp;ROUNDUP(MONTH(A752)/3,0))</f>
        <v/>
      </c>
      <c r="E752" s="18" t="n"/>
      <c r="F752" s="18" t="n"/>
      <c r="G752" s="40">
        <f>IFERROR(VLOOKUP(F752,M2_거래처마스터!A:E,3,FALSE),"")</f>
        <v/>
      </c>
      <c r="H752" s="18" t="n"/>
      <c r="I752" s="19" t="n"/>
      <c r="J752" s="20" t="n"/>
      <c r="K752" s="39">
        <f>IF(AND(I752&lt;&gt;"",J752&lt;&gt;""),I752*J752,"")</f>
        <v/>
      </c>
      <c r="L752" s="18" t="n"/>
      <c r="M752" s="18" t="n"/>
      <c r="N752" s="20" t="n"/>
      <c r="O752" s="20" t="n"/>
    </row>
    <row r="753">
      <c r="A753" s="41" t="n"/>
      <c r="B753" s="35">
        <f>IF(A753="","",YEAR(A753))</f>
        <v/>
      </c>
      <c r="C753" s="36">
        <f>IF(A753="","",MONTH(A753))</f>
        <v/>
      </c>
      <c r="D753" s="37">
        <f>IF(A753="","","Q"&amp;ROUNDUP(MONTH(A753)/3,0))</f>
        <v/>
      </c>
      <c r="E753" s="22" t="n"/>
      <c r="F753" s="22" t="n"/>
      <c r="G753" s="40">
        <f>IFERROR(VLOOKUP(F753,M2_거래처마스터!A:E,3,FALSE),"")</f>
        <v/>
      </c>
      <c r="H753" s="22" t="n"/>
      <c r="I753" s="23" t="n"/>
      <c r="J753" s="24" t="n"/>
      <c r="K753" s="39">
        <f>IF(AND(I753&lt;&gt;"",J753&lt;&gt;""),I753*J753,"")</f>
        <v/>
      </c>
      <c r="L753" s="22" t="n"/>
      <c r="M753" s="22" t="n"/>
      <c r="N753" s="24" t="n"/>
      <c r="O753" s="24" t="n"/>
    </row>
    <row r="754">
      <c r="A754" s="34" t="n"/>
      <c r="B754" s="35">
        <f>IF(A754="","",YEAR(A754))</f>
        <v/>
      </c>
      <c r="C754" s="36">
        <f>IF(A754="","",MONTH(A754))</f>
        <v/>
      </c>
      <c r="D754" s="37">
        <f>IF(A754="","","Q"&amp;ROUNDUP(MONTH(A754)/3,0))</f>
        <v/>
      </c>
      <c r="E754" s="18" t="n"/>
      <c r="F754" s="18" t="n"/>
      <c r="G754" s="40">
        <f>IFERROR(VLOOKUP(F754,M2_거래처마스터!A:E,3,FALSE),"")</f>
        <v/>
      </c>
      <c r="H754" s="18" t="n"/>
      <c r="I754" s="19" t="n"/>
      <c r="J754" s="20" t="n"/>
      <c r="K754" s="39">
        <f>IF(AND(I754&lt;&gt;"",J754&lt;&gt;""),I754*J754,"")</f>
        <v/>
      </c>
      <c r="L754" s="18" t="n"/>
      <c r="M754" s="18" t="n"/>
      <c r="N754" s="20" t="n"/>
      <c r="O754" s="20" t="n"/>
    </row>
    <row r="755">
      <c r="A755" s="41" t="n"/>
      <c r="B755" s="35">
        <f>IF(A755="","",YEAR(A755))</f>
        <v/>
      </c>
      <c r="C755" s="36">
        <f>IF(A755="","",MONTH(A755))</f>
        <v/>
      </c>
      <c r="D755" s="37">
        <f>IF(A755="","","Q"&amp;ROUNDUP(MONTH(A755)/3,0))</f>
        <v/>
      </c>
      <c r="E755" s="22" t="n"/>
      <c r="F755" s="22" t="n"/>
      <c r="G755" s="40">
        <f>IFERROR(VLOOKUP(F755,M2_거래처마스터!A:E,3,FALSE),"")</f>
        <v/>
      </c>
      <c r="H755" s="22" t="n"/>
      <c r="I755" s="23" t="n"/>
      <c r="J755" s="24" t="n"/>
      <c r="K755" s="39">
        <f>IF(AND(I755&lt;&gt;"",J755&lt;&gt;""),I755*J755,"")</f>
        <v/>
      </c>
      <c r="L755" s="22" t="n"/>
      <c r="M755" s="22" t="n"/>
      <c r="N755" s="24" t="n"/>
      <c r="O755" s="24" t="n"/>
    </row>
    <row r="756">
      <c r="A756" s="34" t="n"/>
      <c r="B756" s="35">
        <f>IF(A756="","",YEAR(A756))</f>
        <v/>
      </c>
      <c r="C756" s="36">
        <f>IF(A756="","",MONTH(A756))</f>
        <v/>
      </c>
      <c r="D756" s="37">
        <f>IF(A756="","","Q"&amp;ROUNDUP(MONTH(A756)/3,0))</f>
        <v/>
      </c>
      <c r="E756" s="18" t="n"/>
      <c r="F756" s="18" t="n"/>
      <c r="G756" s="40">
        <f>IFERROR(VLOOKUP(F756,M2_거래처마스터!A:E,3,FALSE),"")</f>
        <v/>
      </c>
      <c r="H756" s="18" t="n"/>
      <c r="I756" s="19" t="n"/>
      <c r="J756" s="20" t="n"/>
      <c r="K756" s="39">
        <f>IF(AND(I756&lt;&gt;"",J756&lt;&gt;""),I756*J756,"")</f>
        <v/>
      </c>
      <c r="L756" s="18" t="n"/>
      <c r="M756" s="18" t="n"/>
      <c r="N756" s="20" t="n"/>
      <c r="O756" s="20" t="n"/>
    </row>
    <row r="757">
      <c r="A757" s="41" t="n"/>
      <c r="B757" s="35">
        <f>IF(A757="","",YEAR(A757))</f>
        <v/>
      </c>
      <c r="C757" s="36">
        <f>IF(A757="","",MONTH(A757))</f>
        <v/>
      </c>
      <c r="D757" s="37">
        <f>IF(A757="","","Q"&amp;ROUNDUP(MONTH(A757)/3,0))</f>
        <v/>
      </c>
      <c r="E757" s="22" t="n"/>
      <c r="F757" s="22" t="n"/>
      <c r="G757" s="40">
        <f>IFERROR(VLOOKUP(F757,M2_거래처마스터!A:E,3,FALSE),"")</f>
        <v/>
      </c>
      <c r="H757" s="22" t="n"/>
      <c r="I757" s="23" t="n"/>
      <c r="J757" s="24" t="n"/>
      <c r="K757" s="39">
        <f>IF(AND(I757&lt;&gt;"",J757&lt;&gt;""),I757*J757,"")</f>
        <v/>
      </c>
      <c r="L757" s="22" t="n"/>
      <c r="M757" s="22" t="n"/>
      <c r="N757" s="24" t="n"/>
      <c r="O757" s="24" t="n"/>
    </row>
    <row r="758">
      <c r="A758" s="34" t="n"/>
      <c r="B758" s="35">
        <f>IF(A758="","",YEAR(A758))</f>
        <v/>
      </c>
      <c r="C758" s="36">
        <f>IF(A758="","",MONTH(A758))</f>
        <v/>
      </c>
      <c r="D758" s="37">
        <f>IF(A758="","","Q"&amp;ROUNDUP(MONTH(A758)/3,0))</f>
        <v/>
      </c>
      <c r="E758" s="18" t="n"/>
      <c r="F758" s="18" t="n"/>
      <c r="G758" s="40">
        <f>IFERROR(VLOOKUP(F758,M2_거래처마스터!A:E,3,FALSE),"")</f>
        <v/>
      </c>
      <c r="H758" s="18" t="n"/>
      <c r="I758" s="19" t="n"/>
      <c r="J758" s="20" t="n"/>
      <c r="K758" s="39">
        <f>IF(AND(I758&lt;&gt;"",J758&lt;&gt;""),I758*J758,"")</f>
        <v/>
      </c>
      <c r="L758" s="18" t="n"/>
      <c r="M758" s="18" t="n"/>
      <c r="N758" s="20" t="n"/>
      <c r="O758" s="20" t="n"/>
    </row>
    <row r="759">
      <c r="A759" s="41" t="n"/>
      <c r="B759" s="35">
        <f>IF(A759="","",YEAR(A759))</f>
        <v/>
      </c>
      <c r="C759" s="36">
        <f>IF(A759="","",MONTH(A759))</f>
        <v/>
      </c>
      <c r="D759" s="37">
        <f>IF(A759="","","Q"&amp;ROUNDUP(MONTH(A759)/3,0))</f>
        <v/>
      </c>
      <c r="E759" s="22" t="n"/>
      <c r="F759" s="22" t="n"/>
      <c r="G759" s="40">
        <f>IFERROR(VLOOKUP(F759,M2_거래처마스터!A:E,3,FALSE),"")</f>
        <v/>
      </c>
      <c r="H759" s="22" t="n"/>
      <c r="I759" s="23" t="n"/>
      <c r="J759" s="24" t="n"/>
      <c r="K759" s="39">
        <f>IF(AND(I759&lt;&gt;"",J759&lt;&gt;""),I759*J759,"")</f>
        <v/>
      </c>
      <c r="L759" s="22" t="n"/>
      <c r="M759" s="22" t="n"/>
      <c r="N759" s="24" t="n"/>
      <c r="O759" s="24" t="n"/>
    </row>
    <row r="760">
      <c r="A760" s="34" t="n"/>
      <c r="B760" s="35">
        <f>IF(A760="","",YEAR(A760))</f>
        <v/>
      </c>
      <c r="C760" s="36">
        <f>IF(A760="","",MONTH(A760))</f>
        <v/>
      </c>
      <c r="D760" s="37">
        <f>IF(A760="","","Q"&amp;ROUNDUP(MONTH(A760)/3,0))</f>
        <v/>
      </c>
      <c r="E760" s="18" t="n"/>
      <c r="F760" s="18" t="n"/>
      <c r="G760" s="40">
        <f>IFERROR(VLOOKUP(F760,M2_거래처마스터!A:E,3,FALSE),"")</f>
        <v/>
      </c>
      <c r="H760" s="18" t="n"/>
      <c r="I760" s="19" t="n"/>
      <c r="J760" s="20" t="n"/>
      <c r="K760" s="39">
        <f>IF(AND(I760&lt;&gt;"",J760&lt;&gt;""),I760*J760,"")</f>
        <v/>
      </c>
      <c r="L760" s="18" t="n"/>
      <c r="M760" s="18" t="n"/>
      <c r="N760" s="20" t="n"/>
      <c r="O760" s="20" t="n"/>
    </row>
    <row r="761">
      <c r="A761" s="41" t="n"/>
      <c r="B761" s="35">
        <f>IF(A761="","",YEAR(A761))</f>
        <v/>
      </c>
      <c r="C761" s="36">
        <f>IF(A761="","",MONTH(A761))</f>
        <v/>
      </c>
      <c r="D761" s="37">
        <f>IF(A761="","","Q"&amp;ROUNDUP(MONTH(A761)/3,0))</f>
        <v/>
      </c>
      <c r="E761" s="22" t="n"/>
      <c r="F761" s="22" t="n"/>
      <c r="G761" s="40">
        <f>IFERROR(VLOOKUP(F761,M2_거래처마스터!A:E,3,FALSE),"")</f>
        <v/>
      </c>
      <c r="H761" s="22" t="n"/>
      <c r="I761" s="23" t="n"/>
      <c r="J761" s="24" t="n"/>
      <c r="K761" s="39">
        <f>IF(AND(I761&lt;&gt;"",J761&lt;&gt;""),I761*J761,"")</f>
        <v/>
      </c>
      <c r="L761" s="22" t="n"/>
      <c r="M761" s="22" t="n"/>
      <c r="N761" s="24" t="n"/>
      <c r="O761" s="24" t="n"/>
    </row>
    <row r="762">
      <c r="A762" s="34" t="n"/>
      <c r="B762" s="35">
        <f>IF(A762="","",YEAR(A762))</f>
        <v/>
      </c>
      <c r="C762" s="36">
        <f>IF(A762="","",MONTH(A762))</f>
        <v/>
      </c>
      <c r="D762" s="37">
        <f>IF(A762="","","Q"&amp;ROUNDUP(MONTH(A762)/3,0))</f>
        <v/>
      </c>
      <c r="E762" s="18" t="n"/>
      <c r="F762" s="18" t="n"/>
      <c r="G762" s="40">
        <f>IFERROR(VLOOKUP(F762,M2_거래처마스터!A:E,3,FALSE),"")</f>
        <v/>
      </c>
      <c r="H762" s="18" t="n"/>
      <c r="I762" s="19" t="n"/>
      <c r="J762" s="20" t="n"/>
      <c r="K762" s="39">
        <f>IF(AND(I762&lt;&gt;"",J762&lt;&gt;""),I762*J762,"")</f>
        <v/>
      </c>
      <c r="L762" s="18" t="n"/>
      <c r="M762" s="18" t="n"/>
      <c r="N762" s="20" t="n"/>
      <c r="O762" s="20" t="n"/>
    </row>
    <row r="763">
      <c r="A763" s="41" t="n"/>
      <c r="B763" s="35">
        <f>IF(A763="","",YEAR(A763))</f>
        <v/>
      </c>
      <c r="C763" s="36">
        <f>IF(A763="","",MONTH(A763))</f>
        <v/>
      </c>
      <c r="D763" s="37">
        <f>IF(A763="","","Q"&amp;ROUNDUP(MONTH(A763)/3,0))</f>
        <v/>
      </c>
      <c r="E763" s="22" t="n"/>
      <c r="F763" s="22" t="n"/>
      <c r="G763" s="40">
        <f>IFERROR(VLOOKUP(F763,M2_거래처마스터!A:E,3,FALSE),"")</f>
        <v/>
      </c>
      <c r="H763" s="22" t="n"/>
      <c r="I763" s="23" t="n"/>
      <c r="J763" s="24" t="n"/>
      <c r="K763" s="39">
        <f>IF(AND(I763&lt;&gt;"",J763&lt;&gt;""),I763*J763,"")</f>
        <v/>
      </c>
      <c r="L763" s="22" t="n"/>
      <c r="M763" s="22" t="n"/>
      <c r="N763" s="24" t="n"/>
      <c r="O763" s="24" t="n"/>
    </row>
    <row r="764">
      <c r="A764" s="34" t="n"/>
      <c r="B764" s="35">
        <f>IF(A764="","",YEAR(A764))</f>
        <v/>
      </c>
      <c r="C764" s="36">
        <f>IF(A764="","",MONTH(A764))</f>
        <v/>
      </c>
      <c r="D764" s="37">
        <f>IF(A764="","","Q"&amp;ROUNDUP(MONTH(A764)/3,0))</f>
        <v/>
      </c>
      <c r="E764" s="18" t="n"/>
      <c r="F764" s="18" t="n"/>
      <c r="G764" s="40">
        <f>IFERROR(VLOOKUP(F764,M2_거래처마스터!A:E,3,FALSE),"")</f>
        <v/>
      </c>
      <c r="H764" s="18" t="n"/>
      <c r="I764" s="19" t="n"/>
      <c r="J764" s="20" t="n"/>
      <c r="K764" s="39">
        <f>IF(AND(I764&lt;&gt;"",J764&lt;&gt;""),I764*J764,"")</f>
        <v/>
      </c>
      <c r="L764" s="18" t="n"/>
      <c r="M764" s="18" t="n"/>
      <c r="N764" s="20" t="n"/>
      <c r="O764" s="20" t="n"/>
    </row>
    <row r="765">
      <c r="A765" s="41" t="n"/>
      <c r="B765" s="35">
        <f>IF(A765="","",YEAR(A765))</f>
        <v/>
      </c>
      <c r="C765" s="36">
        <f>IF(A765="","",MONTH(A765))</f>
        <v/>
      </c>
      <c r="D765" s="37">
        <f>IF(A765="","","Q"&amp;ROUNDUP(MONTH(A765)/3,0))</f>
        <v/>
      </c>
      <c r="E765" s="22" t="n"/>
      <c r="F765" s="22" t="n"/>
      <c r="G765" s="40">
        <f>IFERROR(VLOOKUP(F765,M2_거래처마스터!A:E,3,FALSE),"")</f>
        <v/>
      </c>
      <c r="H765" s="22" t="n"/>
      <c r="I765" s="23" t="n"/>
      <c r="J765" s="24" t="n"/>
      <c r="K765" s="39">
        <f>IF(AND(I765&lt;&gt;"",J765&lt;&gt;""),I765*J765,"")</f>
        <v/>
      </c>
      <c r="L765" s="22" t="n"/>
      <c r="M765" s="22" t="n"/>
      <c r="N765" s="24" t="n"/>
      <c r="O765" s="24" t="n"/>
    </row>
    <row r="766">
      <c r="A766" s="34" t="n"/>
      <c r="B766" s="35">
        <f>IF(A766="","",YEAR(A766))</f>
        <v/>
      </c>
      <c r="C766" s="36">
        <f>IF(A766="","",MONTH(A766))</f>
        <v/>
      </c>
      <c r="D766" s="37">
        <f>IF(A766="","","Q"&amp;ROUNDUP(MONTH(A766)/3,0))</f>
        <v/>
      </c>
      <c r="E766" s="18" t="n"/>
      <c r="F766" s="18" t="n"/>
      <c r="G766" s="40">
        <f>IFERROR(VLOOKUP(F766,M2_거래처마스터!A:E,3,FALSE),"")</f>
        <v/>
      </c>
      <c r="H766" s="18" t="n"/>
      <c r="I766" s="19" t="n"/>
      <c r="J766" s="20" t="n"/>
      <c r="K766" s="39">
        <f>IF(AND(I766&lt;&gt;"",J766&lt;&gt;""),I766*J766,"")</f>
        <v/>
      </c>
      <c r="L766" s="18" t="n"/>
      <c r="M766" s="18" t="n"/>
      <c r="N766" s="20" t="n"/>
      <c r="O766" s="20" t="n"/>
    </row>
    <row r="767">
      <c r="A767" s="41" t="n"/>
      <c r="B767" s="35">
        <f>IF(A767="","",YEAR(A767))</f>
        <v/>
      </c>
      <c r="C767" s="36">
        <f>IF(A767="","",MONTH(A767))</f>
        <v/>
      </c>
      <c r="D767" s="37">
        <f>IF(A767="","","Q"&amp;ROUNDUP(MONTH(A767)/3,0))</f>
        <v/>
      </c>
      <c r="E767" s="22" t="n"/>
      <c r="F767" s="22" t="n"/>
      <c r="G767" s="40">
        <f>IFERROR(VLOOKUP(F767,M2_거래처마스터!A:E,3,FALSE),"")</f>
        <v/>
      </c>
      <c r="H767" s="22" t="n"/>
      <c r="I767" s="23" t="n"/>
      <c r="J767" s="24" t="n"/>
      <c r="K767" s="39">
        <f>IF(AND(I767&lt;&gt;"",J767&lt;&gt;""),I767*J767,"")</f>
        <v/>
      </c>
      <c r="L767" s="22" t="n"/>
      <c r="M767" s="22" t="n"/>
      <c r="N767" s="24" t="n"/>
      <c r="O767" s="24" t="n"/>
    </row>
    <row r="768">
      <c r="A768" s="34" t="n"/>
      <c r="B768" s="35">
        <f>IF(A768="","",YEAR(A768))</f>
        <v/>
      </c>
      <c r="C768" s="36">
        <f>IF(A768="","",MONTH(A768))</f>
        <v/>
      </c>
      <c r="D768" s="37">
        <f>IF(A768="","","Q"&amp;ROUNDUP(MONTH(A768)/3,0))</f>
        <v/>
      </c>
      <c r="E768" s="18" t="n"/>
      <c r="F768" s="18" t="n"/>
      <c r="G768" s="40">
        <f>IFERROR(VLOOKUP(F768,M2_거래처마스터!A:E,3,FALSE),"")</f>
        <v/>
      </c>
      <c r="H768" s="18" t="n"/>
      <c r="I768" s="19" t="n"/>
      <c r="J768" s="20" t="n"/>
      <c r="K768" s="39">
        <f>IF(AND(I768&lt;&gt;"",J768&lt;&gt;""),I768*J768,"")</f>
        <v/>
      </c>
      <c r="L768" s="18" t="n"/>
      <c r="M768" s="18" t="n"/>
      <c r="N768" s="20" t="n"/>
      <c r="O768" s="20" t="n"/>
    </row>
    <row r="769">
      <c r="A769" s="41" t="n"/>
      <c r="B769" s="35">
        <f>IF(A769="","",YEAR(A769))</f>
        <v/>
      </c>
      <c r="C769" s="36">
        <f>IF(A769="","",MONTH(A769))</f>
        <v/>
      </c>
      <c r="D769" s="37">
        <f>IF(A769="","","Q"&amp;ROUNDUP(MONTH(A769)/3,0))</f>
        <v/>
      </c>
      <c r="E769" s="22" t="n"/>
      <c r="F769" s="22" t="n"/>
      <c r="G769" s="40">
        <f>IFERROR(VLOOKUP(F769,M2_거래처마스터!A:E,3,FALSE),"")</f>
        <v/>
      </c>
      <c r="H769" s="22" t="n"/>
      <c r="I769" s="23" t="n"/>
      <c r="J769" s="24" t="n"/>
      <c r="K769" s="39">
        <f>IF(AND(I769&lt;&gt;"",J769&lt;&gt;""),I769*J769,"")</f>
        <v/>
      </c>
      <c r="L769" s="22" t="n"/>
      <c r="M769" s="22" t="n"/>
      <c r="N769" s="24" t="n"/>
      <c r="O769" s="24" t="n"/>
    </row>
    <row r="770">
      <c r="A770" s="34" t="n"/>
      <c r="B770" s="35">
        <f>IF(A770="","",YEAR(A770))</f>
        <v/>
      </c>
      <c r="C770" s="36">
        <f>IF(A770="","",MONTH(A770))</f>
        <v/>
      </c>
      <c r="D770" s="37">
        <f>IF(A770="","","Q"&amp;ROUNDUP(MONTH(A770)/3,0))</f>
        <v/>
      </c>
      <c r="E770" s="18" t="n"/>
      <c r="F770" s="18" t="n"/>
      <c r="G770" s="40">
        <f>IFERROR(VLOOKUP(F770,M2_거래처마스터!A:E,3,FALSE),"")</f>
        <v/>
      </c>
      <c r="H770" s="18" t="n"/>
      <c r="I770" s="19" t="n"/>
      <c r="J770" s="20" t="n"/>
      <c r="K770" s="39">
        <f>IF(AND(I770&lt;&gt;"",J770&lt;&gt;""),I770*J770,"")</f>
        <v/>
      </c>
      <c r="L770" s="18" t="n"/>
      <c r="M770" s="18" t="n"/>
      <c r="N770" s="20" t="n"/>
      <c r="O770" s="20" t="n"/>
    </row>
    <row r="771">
      <c r="A771" s="41" t="n"/>
      <c r="B771" s="35">
        <f>IF(A771="","",YEAR(A771))</f>
        <v/>
      </c>
      <c r="C771" s="36">
        <f>IF(A771="","",MONTH(A771))</f>
        <v/>
      </c>
      <c r="D771" s="37">
        <f>IF(A771="","","Q"&amp;ROUNDUP(MONTH(A771)/3,0))</f>
        <v/>
      </c>
      <c r="E771" s="22" t="n"/>
      <c r="F771" s="22" t="n"/>
      <c r="G771" s="40">
        <f>IFERROR(VLOOKUP(F771,M2_거래처마스터!A:E,3,FALSE),"")</f>
        <v/>
      </c>
      <c r="H771" s="22" t="n"/>
      <c r="I771" s="23" t="n"/>
      <c r="J771" s="24" t="n"/>
      <c r="K771" s="39">
        <f>IF(AND(I771&lt;&gt;"",J771&lt;&gt;""),I771*J771,"")</f>
        <v/>
      </c>
      <c r="L771" s="22" t="n"/>
      <c r="M771" s="22" t="n"/>
      <c r="N771" s="24" t="n"/>
      <c r="O771" s="24" t="n"/>
    </row>
    <row r="772">
      <c r="A772" s="34" t="n"/>
      <c r="B772" s="35">
        <f>IF(A772="","",YEAR(A772))</f>
        <v/>
      </c>
      <c r="C772" s="36">
        <f>IF(A772="","",MONTH(A772))</f>
        <v/>
      </c>
      <c r="D772" s="37">
        <f>IF(A772="","","Q"&amp;ROUNDUP(MONTH(A772)/3,0))</f>
        <v/>
      </c>
      <c r="E772" s="18" t="n"/>
      <c r="F772" s="18" t="n"/>
      <c r="G772" s="40">
        <f>IFERROR(VLOOKUP(F772,M2_거래처마스터!A:E,3,FALSE),"")</f>
        <v/>
      </c>
      <c r="H772" s="18" t="n"/>
      <c r="I772" s="19" t="n"/>
      <c r="J772" s="20" t="n"/>
      <c r="K772" s="39">
        <f>IF(AND(I772&lt;&gt;"",J772&lt;&gt;""),I772*J772,"")</f>
        <v/>
      </c>
      <c r="L772" s="18" t="n"/>
      <c r="M772" s="18" t="n"/>
      <c r="N772" s="20" t="n"/>
      <c r="O772" s="20" t="n"/>
    </row>
    <row r="773">
      <c r="A773" s="41" t="n"/>
      <c r="B773" s="35">
        <f>IF(A773="","",YEAR(A773))</f>
        <v/>
      </c>
      <c r="C773" s="36">
        <f>IF(A773="","",MONTH(A773))</f>
        <v/>
      </c>
      <c r="D773" s="37">
        <f>IF(A773="","","Q"&amp;ROUNDUP(MONTH(A773)/3,0))</f>
        <v/>
      </c>
      <c r="E773" s="22" t="n"/>
      <c r="F773" s="22" t="n"/>
      <c r="G773" s="40">
        <f>IFERROR(VLOOKUP(F773,M2_거래처마스터!A:E,3,FALSE),"")</f>
        <v/>
      </c>
      <c r="H773" s="22" t="n"/>
      <c r="I773" s="23" t="n"/>
      <c r="J773" s="24" t="n"/>
      <c r="K773" s="39">
        <f>IF(AND(I773&lt;&gt;"",J773&lt;&gt;""),I773*J773,"")</f>
        <v/>
      </c>
      <c r="L773" s="22" t="n"/>
      <c r="M773" s="22" t="n"/>
      <c r="N773" s="24" t="n"/>
      <c r="O773" s="24" t="n"/>
    </row>
    <row r="774">
      <c r="A774" s="34" t="n"/>
      <c r="B774" s="35">
        <f>IF(A774="","",YEAR(A774))</f>
        <v/>
      </c>
      <c r="C774" s="36">
        <f>IF(A774="","",MONTH(A774))</f>
        <v/>
      </c>
      <c r="D774" s="37">
        <f>IF(A774="","","Q"&amp;ROUNDUP(MONTH(A774)/3,0))</f>
        <v/>
      </c>
      <c r="E774" s="18" t="n"/>
      <c r="F774" s="18" t="n"/>
      <c r="G774" s="40">
        <f>IFERROR(VLOOKUP(F774,M2_거래처마스터!A:E,3,FALSE),"")</f>
        <v/>
      </c>
      <c r="H774" s="18" t="n"/>
      <c r="I774" s="19" t="n"/>
      <c r="J774" s="20" t="n"/>
      <c r="K774" s="39">
        <f>IF(AND(I774&lt;&gt;"",J774&lt;&gt;""),I774*J774,"")</f>
        <v/>
      </c>
      <c r="L774" s="18" t="n"/>
      <c r="M774" s="18" t="n"/>
      <c r="N774" s="20" t="n"/>
      <c r="O774" s="20" t="n"/>
    </row>
    <row r="775">
      <c r="A775" s="41" t="n"/>
      <c r="B775" s="35">
        <f>IF(A775="","",YEAR(A775))</f>
        <v/>
      </c>
      <c r="C775" s="36">
        <f>IF(A775="","",MONTH(A775))</f>
        <v/>
      </c>
      <c r="D775" s="37">
        <f>IF(A775="","","Q"&amp;ROUNDUP(MONTH(A775)/3,0))</f>
        <v/>
      </c>
      <c r="E775" s="22" t="n"/>
      <c r="F775" s="22" t="n"/>
      <c r="G775" s="40">
        <f>IFERROR(VLOOKUP(F775,M2_거래처마스터!A:E,3,FALSE),"")</f>
        <v/>
      </c>
      <c r="H775" s="22" t="n"/>
      <c r="I775" s="23" t="n"/>
      <c r="J775" s="24" t="n"/>
      <c r="K775" s="39">
        <f>IF(AND(I775&lt;&gt;"",J775&lt;&gt;""),I775*J775,"")</f>
        <v/>
      </c>
      <c r="L775" s="22" t="n"/>
      <c r="M775" s="22" t="n"/>
      <c r="N775" s="24" t="n"/>
      <c r="O775" s="24" t="n"/>
    </row>
    <row r="776">
      <c r="A776" s="34" t="n"/>
      <c r="B776" s="35">
        <f>IF(A776="","",YEAR(A776))</f>
        <v/>
      </c>
      <c r="C776" s="36">
        <f>IF(A776="","",MONTH(A776))</f>
        <v/>
      </c>
      <c r="D776" s="37">
        <f>IF(A776="","","Q"&amp;ROUNDUP(MONTH(A776)/3,0))</f>
        <v/>
      </c>
      <c r="E776" s="18" t="n"/>
      <c r="F776" s="18" t="n"/>
      <c r="G776" s="40">
        <f>IFERROR(VLOOKUP(F776,M2_거래처마스터!A:E,3,FALSE),"")</f>
        <v/>
      </c>
      <c r="H776" s="18" t="n"/>
      <c r="I776" s="19" t="n"/>
      <c r="J776" s="20" t="n"/>
      <c r="K776" s="39">
        <f>IF(AND(I776&lt;&gt;"",J776&lt;&gt;""),I776*J776,"")</f>
        <v/>
      </c>
      <c r="L776" s="18" t="n"/>
      <c r="M776" s="18" t="n"/>
      <c r="N776" s="20" t="n"/>
      <c r="O776" s="20" t="n"/>
    </row>
    <row r="777">
      <c r="A777" s="41" t="n"/>
      <c r="B777" s="35">
        <f>IF(A777="","",YEAR(A777))</f>
        <v/>
      </c>
      <c r="C777" s="36">
        <f>IF(A777="","",MONTH(A777))</f>
        <v/>
      </c>
      <c r="D777" s="37">
        <f>IF(A777="","","Q"&amp;ROUNDUP(MONTH(A777)/3,0))</f>
        <v/>
      </c>
      <c r="E777" s="22" t="n"/>
      <c r="F777" s="22" t="n"/>
      <c r="G777" s="40">
        <f>IFERROR(VLOOKUP(F777,M2_거래처마스터!A:E,3,FALSE),"")</f>
        <v/>
      </c>
      <c r="H777" s="22" t="n"/>
      <c r="I777" s="23" t="n"/>
      <c r="J777" s="24" t="n"/>
      <c r="K777" s="39">
        <f>IF(AND(I777&lt;&gt;"",J777&lt;&gt;""),I777*J777,"")</f>
        <v/>
      </c>
      <c r="L777" s="22" t="n"/>
      <c r="M777" s="22" t="n"/>
      <c r="N777" s="24" t="n"/>
      <c r="O777" s="24" t="n"/>
    </row>
    <row r="778">
      <c r="A778" s="34" t="n"/>
      <c r="B778" s="35">
        <f>IF(A778="","",YEAR(A778))</f>
        <v/>
      </c>
      <c r="C778" s="36">
        <f>IF(A778="","",MONTH(A778))</f>
        <v/>
      </c>
      <c r="D778" s="37">
        <f>IF(A778="","","Q"&amp;ROUNDUP(MONTH(A778)/3,0))</f>
        <v/>
      </c>
      <c r="E778" s="18" t="n"/>
      <c r="F778" s="18" t="n"/>
      <c r="G778" s="40">
        <f>IFERROR(VLOOKUP(F778,M2_거래처마스터!A:E,3,FALSE),"")</f>
        <v/>
      </c>
      <c r="H778" s="18" t="n"/>
      <c r="I778" s="19" t="n"/>
      <c r="J778" s="20" t="n"/>
      <c r="K778" s="39">
        <f>IF(AND(I778&lt;&gt;"",J778&lt;&gt;""),I778*J778,"")</f>
        <v/>
      </c>
      <c r="L778" s="18" t="n"/>
      <c r="M778" s="18" t="n"/>
      <c r="N778" s="20" t="n"/>
      <c r="O778" s="20" t="n"/>
    </row>
    <row r="779">
      <c r="A779" s="41" t="n"/>
      <c r="B779" s="35">
        <f>IF(A779="","",YEAR(A779))</f>
        <v/>
      </c>
      <c r="C779" s="36">
        <f>IF(A779="","",MONTH(A779))</f>
        <v/>
      </c>
      <c r="D779" s="37">
        <f>IF(A779="","","Q"&amp;ROUNDUP(MONTH(A779)/3,0))</f>
        <v/>
      </c>
      <c r="E779" s="22" t="n"/>
      <c r="F779" s="22" t="n"/>
      <c r="G779" s="40">
        <f>IFERROR(VLOOKUP(F779,M2_거래처마스터!A:E,3,FALSE),"")</f>
        <v/>
      </c>
      <c r="H779" s="22" t="n"/>
      <c r="I779" s="23" t="n"/>
      <c r="J779" s="24" t="n"/>
      <c r="K779" s="39">
        <f>IF(AND(I779&lt;&gt;"",J779&lt;&gt;""),I779*J779,"")</f>
        <v/>
      </c>
      <c r="L779" s="22" t="n"/>
      <c r="M779" s="22" t="n"/>
      <c r="N779" s="24" t="n"/>
      <c r="O779" s="24" t="n"/>
    </row>
    <row r="780">
      <c r="A780" s="34" t="n"/>
      <c r="B780" s="35">
        <f>IF(A780="","",YEAR(A780))</f>
        <v/>
      </c>
      <c r="C780" s="36">
        <f>IF(A780="","",MONTH(A780))</f>
        <v/>
      </c>
      <c r="D780" s="37">
        <f>IF(A780="","","Q"&amp;ROUNDUP(MONTH(A780)/3,0))</f>
        <v/>
      </c>
      <c r="E780" s="18" t="n"/>
      <c r="F780" s="18" t="n"/>
      <c r="G780" s="40">
        <f>IFERROR(VLOOKUP(F780,M2_거래처마스터!A:E,3,FALSE),"")</f>
        <v/>
      </c>
      <c r="H780" s="18" t="n"/>
      <c r="I780" s="19" t="n"/>
      <c r="J780" s="20" t="n"/>
      <c r="K780" s="39">
        <f>IF(AND(I780&lt;&gt;"",J780&lt;&gt;""),I780*J780,"")</f>
        <v/>
      </c>
      <c r="L780" s="18" t="n"/>
      <c r="M780" s="18" t="n"/>
      <c r="N780" s="20" t="n"/>
      <c r="O780" s="20" t="n"/>
    </row>
    <row r="781">
      <c r="A781" s="41" t="n"/>
      <c r="B781" s="35">
        <f>IF(A781="","",YEAR(A781))</f>
        <v/>
      </c>
      <c r="C781" s="36">
        <f>IF(A781="","",MONTH(A781))</f>
        <v/>
      </c>
      <c r="D781" s="37">
        <f>IF(A781="","","Q"&amp;ROUNDUP(MONTH(A781)/3,0))</f>
        <v/>
      </c>
      <c r="E781" s="22" t="n"/>
      <c r="F781" s="22" t="n"/>
      <c r="G781" s="40">
        <f>IFERROR(VLOOKUP(F781,M2_거래처마스터!A:E,3,FALSE),"")</f>
        <v/>
      </c>
      <c r="H781" s="22" t="n"/>
      <c r="I781" s="23" t="n"/>
      <c r="J781" s="24" t="n"/>
      <c r="K781" s="39">
        <f>IF(AND(I781&lt;&gt;"",J781&lt;&gt;""),I781*J781,"")</f>
        <v/>
      </c>
      <c r="L781" s="22" t="n"/>
      <c r="M781" s="22" t="n"/>
      <c r="N781" s="24" t="n"/>
      <c r="O781" s="24" t="n"/>
    </row>
    <row r="782">
      <c r="A782" s="34" t="n"/>
      <c r="B782" s="35">
        <f>IF(A782="","",YEAR(A782))</f>
        <v/>
      </c>
      <c r="C782" s="36">
        <f>IF(A782="","",MONTH(A782))</f>
        <v/>
      </c>
      <c r="D782" s="37">
        <f>IF(A782="","","Q"&amp;ROUNDUP(MONTH(A782)/3,0))</f>
        <v/>
      </c>
      <c r="E782" s="18" t="n"/>
      <c r="F782" s="18" t="n"/>
      <c r="G782" s="40">
        <f>IFERROR(VLOOKUP(F782,M2_거래처마스터!A:E,3,FALSE),"")</f>
        <v/>
      </c>
      <c r="H782" s="18" t="n"/>
      <c r="I782" s="19" t="n"/>
      <c r="J782" s="20" t="n"/>
      <c r="K782" s="39">
        <f>IF(AND(I782&lt;&gt;"",J782&lt;&gt;""),I782*J782,"")</f>
        <v/>
      </c>
      <c r="L782" s="18" t="n"/>
      <c r="M782" s="18" t="n"/>
      <c r="N782" s="20" t="n"/>
      <c r="O782" s="20" t="n"/>
    </row>
    <row r="783">
      <c r="A783" s="41" t="n"/>
      <c r="B783" s="35">
        <f>IF(A783="","",YEAR(A783))</f>
        <v/>
      </c>
      <c r="C783" s="36">
        <f>IF(A783="","",MONTH(A783))</f>
        <v/>
      </c>
      <c r="D783" s="37">
        <f>IF(A783="","","Q"&amp;ROUNDUP(MONTH(A783)/3,0))</f>
        <v/>
      </c>
      <c r="E783" s="22" t="n"/>
      <c r="F783" s="22" t="n"/>
      <c r="G783" s="40">
        <f>IFERROR(VLOOKUP(F783,M2_거래처마스터!A:E,3,FALSE),"")</f>
        <v/>
      </c>
      <c r="H783" s="22" t="n"/>
      <c r="I783" s="23" t="n"/>
      <c r="J783" s="24" t="n"/>
      <c r="K783" s="39">
        <f>IF(AND(I783&lt;&gt;"",J783&lt;&gt;""),I783*J783,"")</f>
        <v/>
      </c>
      <c r="L783" s="22" t="n"/>
      <c r="M783" s="22" t="n"/>
      <c r="N783" s="24" t="n"/>
      <c r="O783" s="24" t="n"/>
    </row>
    <row r="784">
      <c r="A784" s="34" t="n"/>
      <c r="B784" s="35">
        <f>IF(A784="","",YEAR(A784))</f>
        <v/>
      </c>
      <c r="C784" s="36">
        <f>IF(A784="","",MONTH(A784))</f>
        <v/>
      </c>
      <c r="D784" s="37">
        <f>IF(A784="","","Q"&amp;ROUNDUP(MONTH(A784)/3,0))</f>
        <v/>
      </c>
      <c r="E784" s="18" t="n"/>
      <c r="F784" s="18" t="n"/>
      <c r="G784" s="40">
        <f>IFERROR(VLOOKUP(F784,M2_거래처마스터!A:E,3,FALSE),"")</f>
        <v/>
      </c>
      <c r="H784" s="18" t="n"/>
      <c r="I784" s="19" t="n"/>
      <c r="J784" s="20" t="n"/>
      <c r="K784" s="39">
        <f>IF(AND(I784&lt;&gt;"",J784&lt;&gt;""),I784*J784,"")</f>
        <v/>
      </c>
      <c r="L784" s="18" t="n"/>
      <c r="M784" s="18" t="n"/>
      <c r="N784" s="20" t="n"/>
      <c r="O784" s="20" t="n"/>
    </row>
    <row r="785">
      <c r="A785" s="41" t="n"/>
      <c r="B785" s="35">
        <f>IF(A785="","",YEAR(A785))</f>
        <v/>
      </c>
      <c r="C785" s="36">
        <f>IF(A785="","",MONTH(A785))</f>
        <v/>
      </c>
      <c r="D785" s="37">
        <f>IF(A785="","","Q"&amp;ROUNDUP(MONTH(A785)/3,0))</f>
        <v/>
      </c>
      <c r="E785" s="22" t="n"/>
      <c r="F785" s="22" t="n"/>
      <c r="G785" s="40">
        <f>IFERROR(VLOOKUP(F785,M2_거래처마스터!A:E,3,FALSE),"")</f>
        <v/>
      </c>
      <c r="H785" s="22" t="n"/>
      <c r="I785" s="23" t="n"/>
      <c r="J785" s="24" t="n"/>
      <c r="K785" s="39">
        <f>IF(AND(I785&lt;&gt;"",J785&lt;&gt;""),I785*J785,"")</f>
        <v/>
      </c>
      <c r="L785" s="22" t="n"/>
      <c r="M785" s="22" t="n"/>
      <c r="N785" s="24" t="n"/>
      <c r="O785" s="24" t="n"/>
    </row>
    <row r="786">
      <c r="A786" s="34" t="n"/>
      <c r="B786" s="35">
        <f>IF(A786="","",YEAR(A786))</f>
        <v/>
      </c>
      <c r="C786" s="36">
        <f>IF(A786="","",MONTH(A786))</f>
        <v/>
      </c>
      <c r="D786" s="37">
        <f>IF(A786="","","Q"&amp;ROUNDUP(MONTH(A786)/3,0))</f>
        <v/>
      </c>
      <c r="E786" s="18" t="n"/>
      <c r="F786" s="18" t="n"/>
      <c r="G786" s="40">
        <f>IFERROR(VLOOKUP(F786,M2_거래처마스터!A:E,3,FALSE),"")</f>
        <v/>
      </c>
      <c r="H786" s="18" t="n"/>
      <c r="I786" s="19" t="n"/>
      <c r="J786" s="20" t="n"/>
      <c r="K786" s="39">
        <f>IF(AND(I786&lt;&gt;"",J786&lt;&gt;""),I786*J786,"")</f>
        <v/>
      </c>
      <c r="L786" s="18" t="n"/>
      <c r="M786" s="18" t="n"/>
      <c r="N786" s="20" t="n"/>
      <c r="O786" s="20" t="n"/>
    </row>
    <row r="787">
      <c r="A787" s="41" t="n"/>
      <c r="B787" s="35">
        <f>IF(A787="","",YEAR(A787))</f>
        <v/>
      </c>
      <c r="C787" s="36">
        <f>IF(A787="","",MONTH(A787))</f>
        <v/>
      </c>
      <c r="D787" s="37">
        <f>IF(A787="","","Q"&amp;ROUNDUP(MONTH(A787)/3,0))</f>
        <v/>
      </c>
      <c r="E787" s="22" t="n"/>
      <c r="F787" s="22" t="n"/>
      <c r="G787" s="40">
        <f>IFERROR(VLOOKUP(F787,M2_거래처마스터!A:E,3,FALSE),"")</f>
        <v/>
      </c>
      <c r="H787" s="22" t="n"/>
      <c r="I787" s="23" t="n"/>
      <c r="J787" s="24" t="n"/>
      <c r="K787" s="39">
        <f>IF(AND(I787&lt;&gt;"",J787&lt;&gt;""),I787*J787,"")</f>
        <v/>
      </c>
      <c r="L787" s="22" t="n"/>
      <c r="M787" s="22" t="n"/>
      <c r="N787" s="24" t="n"/>
      <c r="O787" s="24" t="n"/>
    </row>
    <row r="788">
      <c r="A788" s="34" t="n"/>
      <c r="B788" s="35">
        <f>IF(A788="","",YEAR(A788))</f>
        <v/>
      </c>
      <c r="C788" s="36">
        <f>IF(A788="","",MONTH(A788))</f>
        <v/>
      </c>
      <c r="D788" s="37">
        <f>IF(A788="","","Q"&amp;ROUNDUP(MONTH(A788)/3,0))</f>
        <v/>
      </c>
      <c r="E788" s="18" t="n"/>
      <c r="F788" s="18" t="n"/>
      <c r="G788" s="40">
        <f>IFERROR(VLOOKUP(F788,M2_거래처마스터!A:E,3,FALSE),"")</f>
        <v/>
      </c>
      <c r="H788" s="18" t="n"/>
      <c r="I788" s="19" t="n"/>
      <c r="J788" s="20" t="n"/>
      <c r="K788" s="39">
        <f>IF(AND(I788&lt;&gt;"",J788&lt;&gt;""),I788*J788,"")</f>
        <v/>
      </c>
      <c r="L788" s="18" t="n"/>
      <c r="M788" s="18" t="n"/>
      <c r="N788" s="20" t="n"/>
      <c r="O788" s="20" t="n"/>
    </row>
    <row r="789">
      <c r="A789" s="41" t="n"/>
      <c r="B789" s="35">
        <f>IF(A789="","",YEAR(A789))</f>
        <v/>
      </c>
      <c r="C789" s="36">
        <f>IF(A789="","",MONTH(A789))</f>
        <v/>
      </c>
      <c r="D789" s="37">
        <f>IF(A789="","","Q"&amp;ROUNDUP(MONTH(A789)/3,0))</f>
        <v/>
      </c>
      <c r="E789" s="22" t="n"/>
      <c r="F789" s="22" t="n"/>
      <c r="G789" s="40">
        <f>IFERROR(VLOOKUP(F789,M2_거래처마스터!A:E,3,FALSE),"")</f>
        <v/>
      </c>
      <c r="H789" s="22" t="n"/>
      <c r="I789" s="23" t="n"/>
      <c r="J789" s="24" t="n"/>
      <c r="K789" s="39">
        <f>IF(AND(I789&lt;&gt;"",J789&lt;&gt;""),I789*J789,"")</f>
        <v/>
      </c>
      <c r="L789" s="22" t="n"/>
      <c r="M789" s="22" t="n"/>
      <c r="N789" s="24" t="n"/>
      <c r="O789" s="24" t="n"/>
    </row>
    <row r="790">
      <c r="A790" s="34" t="n"/>
      <c r="B790" s="35">
        <f>IF(A790="","",YEAR(A790))</f>
        <v/>
      </c>
      <c r="C790" s="36">
        <f>IF(A790="","",MONTH(A790))</f>
        <v/>
      </c>
      <c r="D790" s="37">
        <f>IF(A790="","","Q"&amp;ROUNDUP(MONTH(A790)/3,0))</f>
        <v/>
      </c>
      <c r="E790" s="18" t="n"/>
      <c r="F790" s="18" t="n"/>
      <c r="G790" s="40">
        <f>IFERROR(VLOOKUP(F790,M2_거래처마스터!A:E,3,FALSE),"")</f>
        <v/>
      </c>
      <c r="H790" s="18" t="n"/>
      <c r="I790" s="19" t="n"/>
      <c r="J790" s="20" t="n"/>
      <c r="K790" s="39">
        <f>IF(AND(I790&lt;&gt;"",J790&lt;&gt;""),I790*J790,"")</f>
        <v/>
      </c>
      <c r="L790" s="18" t="n"/>
      <c r="M790" s="18" t="n"/>
      <c r="N790" s="20" t="n"/>
      <c r="O790" s="20" t="n"/>
    </row>
    <row r="791">
      <c r="A791" s="41" t="n"/>
      <c r="B791" s="35">
        <f>IF(A791="","",YEAR(A791))</f>
        <v/>
      </c>
      <c r="C791" s="36">
        <f>IF(A791="","",MONTH(A791))</f>
        <v/>
      </c>
      <c r="D791" s="37">
        <f>IF(A791="","","Q"&amp;ROUNDUP(MONTH(A791)/3,0))</f>
        <v/>
      </c>
      <c r="E791" s="22" t="n"/>
      <c r="F791" s="22" t="n"/>
      <c r="G791" s="40">
        <f>IFERROR(VLOOKUP(F791,M2_거래처마스터!A:E,3,FALSE),"")</f>
        <v/>
      </c>
      <c r="H791" s="22" t="n"/>
      <c r="I791" s="23" t="n"/>
      <c r="J791" s="24" t="n"/>
      <c r="K791" s="39">
        <f>IF(AND(I791&lt;&gt;"",J791&lt;&gt;""),I791*J791,"")</f>
        <v/>
      </c>
      <c r="L791" s="22" t="n"/>
      <c r="M791" s="22" t="n"/>
      <c r="N791" s="24" t="n"/>
      <c r="O791" s="24" t="n"/>
    </row>
    <row r="792">
      <c r="A792" s="34" t="n"/>
      <c r="B792" s="35">
        <f>IF(A792="","",YEAR(A792))</f>
        <v/>
      </c>
      <c r="C792" s="36">
        <f>IF(A792="","",MONTH(A792))</f>
        <v/>
      </c>
      <c r="D792" s="37">
        <f>IF(A792="","","Q"&amp;ROUNDUP(MONTH(A792)/3,0))</f>
        <v/>
      </c>
      <c r="E792" s="18" t="n"/>
      <c r="F792" s="18" t="n"/>
      <c r="G792" s="40">
        <f>IFERROR(VLOOKUP(F792,M2_거래처마스터!A:E,3,FALSE),"")</f>
        <v/>
      </c>
      <c r="H792" s="18" t="n"/>
      <c r="I792" s="19" t="n"/>
      <c r="J792" s="20" t="n"/>
      <c r="K792" s="39">
        <f>IF(AND(I792&lt;&gt;"",J792&lt;&gt;""),I792*J792,"")</f>
        <v/>
      </c>
      <c r="L792" s="18" t="n"/>
      <c r="M792" s="18" t="n"/>
      <c r="N792" s="20" t="n"/>
      <c r="O792" s="20" t="n"/>
    </row>
    <row r="793">
      <c r="A793" s="41" t="n"/>
      <c r="B793" s="35">
        <f>IF(A793="","",YEAR(A793))</f>
        <v/>
      </c>
      <c r="C793" s="36">
        <f>IF(A793="","",MONTH(A793))</f>
        <v/>
      </c>
      <c r="D793" s="37">
        <f>IF(A793="","","Q"&amp;ROUNDUP(MONTH(A793)/3,0))</f>
        <v/>
      </c>
      <c r="E793" s="22" t="n"/>
      <c r="F793" s="22" t="n"/>
      <c r="G793" s="40">
        <f>IFERROR(VLOOKUP(F793,M2_거래처마스터!A:E,3,FALSE),"")</f>
        <v/>
      </c>
      <c r="H793" s="22" t="n"/>
      <c r="I793" s="23" t="n"/>
      <c r="J793" s="24" t="n"/>
      <c r="K793" s="39">
        <f>IF(AND(I793&lt;&gt;"",J793&lt;&gt;""),I793*J793,"")</f>
        <v/>
      </c>
      <c r="L793" s="22" t="n"/>
      <c r="M793" s="22" t="n"/>
      <c r="N793" s="24" t="n"/>
      <c r="O793" s="24" t="n"/>
    </row>
    <row r="794">
      <c r="A794" s="34" t="n"/>
      <c r="B794" s="35">
        <f>IF(A794="","",YEAR(A794))</f>
        <v/>
      </c>
      <c r="C794" s="36">
        <f>IF(A794="","",MONTH(A794))</f>
        <v/>
      </c>
      <c r="D794" s="37">
        <f>IF(A794="","","Q"&amp;ROUNDUP(MONTH(A794)/3,0))</f>
        <v/>
      </c>
      <c r="E794" s="18" t="n"/>
      <c r="F794" s="18" t="n"/>
      <c r="G794" s="40">
        <f>IFERROR(VLOOKUP(F794,M2_거래처마스터!A:E,3,FALSE),"")</f>
        <v/>
      </c>
      <c r="H794" s="18" t="n"/>
      <c r="I794" s="19" t="n"/>
      <c r="J794" s="20" t="n"/>
      <c r="K794" s="39">
        <f>IF(AND(I794&lt;&gt;"",J794&lt;&gt;""),I794*J794,"")</f>
        <v/>
      </c>
      <c r="L794" s="18" t="n"/>
      <c r="M794" s="18" t="n"/>
      <c r="N794" s="20" t="n"/>
      <c r="O794" s="20" t="n"/>
    </row>
    <row r="795">
      <c r="A795" s="41" t="n"/>
      <c r="B795" s="35">
        <f>IF(A795="","",YEAR(A795))</f>
        <v/>
      </c>
      <c r="C795" s="36">
        <f>IF(A795="","",MONTH(A795))</f>
        <v/>
      </c>
      <c r="D795" s="37">
        <f>IF(A795="","","Q"&amp;ROUNDUP(MONTH(A795)/3,0))</f>
        <v/>
      </c>
      <c r="E795" s="22" t="n"/>
      <c r="F795" s="22" t="n"/>
      <c r="G795" s="40">
        <f>IFERROR(VLOOKUP(F795,M2_거래처마스터!A:E,3,FALSE),"")</f>
        <v/>
      </c>
      <c r="H795" s="22" t="n"/>
      <c r="I795" s="23" t="n"/>
      <c r="J795" s="24" t="n"/>
      <c r="K795" s="39">
        <f>IF(AND(I795&lt;&gt;"",J795&lt;&gt;""),I795*J795,"")</f>
        <v/>
      </c>
      <c r="L795" s="22" t="n"/>
      <c r="M795" s="22" t="n"/>
      <c r="N795" s="24" t="n"/>
      <c r="O795" s="24" t="n"/>
    </row>
    <row r="796">
      <c r="A796" s="34" t="n"/>
      <c r="B796" s="35">
        <f>IF(A796="","",YEAR(A796))</f>
        <v/>
      </c>
      <c r="C796" s="36">
        <f>IF(A796="","",MONTH(A796))</f>
        <v/>
      </c>
      <c r="D796" s="37">
        <f>IF(A796="","","Q"&amp;ROUNDUP(MONTH(A796)/3,0))</f>
        <v/>
      </c>
      <c r="E796" s="18" t="n"/>
      <c r="F796" s="18" t="n"/>
      <c r="G796" s="40">
        <f>IFERROR(VLOOKUP(F796,M2_거래처마스터!A:E,3,FALSE),"")</f>
        <v/>
      </c>
      <c r="H796" s="18" t="n"/>
      <c r="I796" s="19" t="n"/>
      <c r="J796" s="20" t="n"/>
      <c r="K796" s="39">
        <f>IF(AND(I796&lt;&gt;"",J796&lt;&gt;""),I796*J796,"")</f>
        <v/>
      </c>
      <c r="L796" s="18" t="n"/>
      <c r="M796" s="18" t="n"/>
      <c r="N796" s="20" t="n"/>
      <c r="O796" s="20" t="n"/>
    </row>
    <row r="797">
      <c r="A797" s="41" t="n"/>
      <c r="B797" s="35">
        <f>IF(A797="","",YEAR(A797))</f>
        <v/>
      </c>
      <c r="C797" s="36">
        <f>IF(A797="","",MONTH(A797))</f>
        <v/>
      </c>
      <c r="D797" s="37">
        <f>IF(A797="","","Q"&amp;ROUNDUP(MONTH(A797)/3,0))</f>
        <v/>
      </c>
      <c r="E797" s="22" t="n"/>
      <c r="F797" s="22" t="n"/>
      <c r="G797" s="40">
        <f>IFERROR(VLOOKUP(F797,M2_거래처마스터!A:E,3,FALSE),"")</f>
        <v/>
      </c>
      <c r="H797" s="22" t="n"/>
      <c r="I797" s="23" t="n"/>
      <c r="J797" s="24" t="n"/>
      <c r="K797" s="39">
        <f>IF(AND(I797&lt;&gt;"",J797&lt;&gt;""),I797*J797,"")</f>
        <v/>
      </c>
      <c r="L797" s="22" t="n"/>
      <c r="M797" s="22" t="n"/>
      <c r="N797" s="24" t="n"/>
      <c r="O797" s="24" t="n"/>
    </row>
    <row r="798">
      <c r="A798" s="34" t="n"/>
      <c r="B798" s="35">
        <f>IF(A798="","",YEAR(A798))</f>
        <v/>
      </c>
      <c r="C798" s="36">
        <f>IF(A798="","",MONTH(A798))</f>
        <v/>
      </c>
      <c r="D798" s="37">
        <f>IF(A798="","","Q"&amp;ROUNDUP(MONTH(A798)/3,0))</f>
        <v/>
      </c>
      <c r="E798" s="18" t="n"/>
      <c r="F798" s="18" t="n"/>
      <c r="G798" s="40">
        <f>IFERROR(VLOOKUP(F798,M2_거래처마스터!A:E,3,FALSE),"")</f>
        <v/>
      </c>
      <c r="H798" s="18" t="n"/>
      <c r="I798" s="19" t="n"/>
      <c r="J798" s="20" t="n"/>
      <c r="K798" s="39">
        <f>IF(AND(I798&lt;&gt;"",J798&lt;&gt;""),I798*J798,"")</f>
        <v/>
      </c>
      <c r="L798" s="18" t="n"/>
      <c r="M798" s="18" t="n"/>
      <c r="N798" s="20" t="n"/>
      <c r="O798" s="20" t="n"/>
    </row>
    <row r="799">
      <c r="A799" s="41" t="n"/>
      <c r="B799" s="35">
        <f>IF(A799="","",YEAR(A799))</f>
        <v/>
      </c>
      <c r="C799" s="36">
        <f>IF(A799="","",MONTH(A799))</f>
        <v/>
      </c>
      <c r="D799" s="37">
        <f>IF(A799="","","Q"&amp;ROUNDUP(MONTH(A799)/3,0))</f>
        <v/>
      </c>
      <c r="E799" s="22" t="n"/>
      <c r="F799" s="22" t="n"/>
      <c r="G799" s="40">
        <f>IFERROR(VLOOKUP(F799,M2_거래처마스터!A:E,3,FALSE),"")</f>
        <v/>
      </c>
      <c r="H799" s="22" t="n"/>
      <c r="I799" s="23" t="n"/>
      <c r="J799" s="24" t="n"/>
      <c r="K799" s="39">
        <f>IF(AND(I799&lt;&gt;"",J799&lt;&gt;""),I799*J799,"")</f>
        <v/>
      </c>
      <c r="L799" s="22" t="n"/>
      <c r="M799" s="22" t="n"/>
      <c r="N799" s="24" t="n"/>
      <c r="O799" s="24" t="n"/>
    </row>
    <row r="800">
      <c r="A800" s="34" t="n"/>
      <c r="B800" s="35">
        <f>IF(A800="","",YEAR(A800))</f>
        <v/>
      </c>
      <c r="C800" s="36">
        <f>IF(A800="","",MONTH(A800))</f>
        <v/>
      </c>
      <c r="D800" s="37">
        <f>IF(A800="","","Q"&amp;ROUNDUP(MONTH(A800)/3,0))</f>
        <v/>
      </c>
      <c r="E800" s="18" t="n"/>
      <c r="F800" s="18" t="n"/>
      <c r="G800" s="40">
        <f>IFERROR(VLOOKUP(F800,M2_거래처마스터!A:E,3,FALSE),"")</f>
        <v/>
      </c>
      <c r="H800" s="18" t="n"/>
      <c r="I800" s="19" t="n"/>
      <c r="J800" s="20" t="n"/>
      <c r="K800" s="39">
        <f>IF(AND(I800&lt;&gt;"",J800&lt;&gt;""),I800*J800,"")</f>
        <v/>
      </c>
      <c r="L800" s="18" t="n"/>
      <c r="M800" s="18" t="n"/>
      <c r="N800" s="20" t="n"/>
      <c r="O800" s="20" t="n"/>
    </row>
    <row r="801">
      <c r="A801" s="41" t="n"/>
      <c r="B801" s="35">
        <f>IF(A801="","",YEAR(A801))</f>
        <v/>
      </c>
      <c r="C801" s="36">
        <f>IF(A801="","",MONTH(A801))</f>
        <v/>
      </c>
      <c r="D801" s="37">
        <f>IF(A801="","","Q"&amp;ROUNDUP(MONTH(A801)/3,0))</f>
        <v/>
      </c>
      <c r="E801" s="22" t="n"/>
      <c r="F801" s="22" t="n"/>
      <c r="G801" s="40">
        <f>IFERROR(VLOOKUP(F801,M2_거래처마스터!A:E,3,FALSE),"")</f>
        <v/>
      </c>
      <c r="H801" s="22" t="n"/>
      <c r="I801" s="23" t="n"/>
      <c r="J801" s="24" t="n"/>
      <c r="K801" s="39">
        <f>IF(AND(I801&lt;&gt;"",J801&lt;&gt;""),I801*J801,"")</f>
        <v/>
      </c>
      <c r="L801" s="22" t="n"/>
      <c r="M801" s="22" t="n"/>
      <c r="N801" s="24" t="n"/>
      <c r="O801" s="24" t="n"/>
    </row>
    <row r="802">
      <c r="A802" s="34" t="n"/>
      <c r="B802" s="35">
        <f>IF(A802="","",YEAR(A802))</f>
        <v/>
      </c>
      <c r="C802" s="36">
        <f>IF(A802="","",MONTH(A802))</f>
        <v/>
      </c>
      <c r="D802" s="37">
        <f>IF(A802="","","Q"&amp;ROUNDUP(MONTH(A802)/3,0))</f>
        <v/>
      </c>
      <c r="E802" s="18" t="n"/>
      <c r="F802" s="18" t="n"/>
      <c r="G802" s="40">
        <f>IFERROR(VLOOKUP(F802,M2_거래처마스터!A:E,3,FALSE),"")</f>
        <v/>
      </c>
      <c r="H802" s="18" t="n"/>
      <c r="I802" s="19" t="n"/>
      <c r="J802" s="20" t="n"/>
      <c r="K802" s="39">
        <f>IF(AND(I802&lt;&gt;"",J802&lt;&gt;""),I802*J802,"")</f>
        <v/>
      </c>
      <c r="L802" s="18" t="n"/>
      <c r="M802" s="18" t="n"/>
      <c r="N802" s="20" t="n"/>
      <c r="O802" s="20" t="n"/>
    </row>
    <row r="803">
      <c r="A803" s="41" t="n"/>
      <c r="B803" s="35">
        <f>IF(A803="","",YEAR(A803))</f>
        <v/>
      </c>
      <c r="C803" s="36">
        <f>IF(A803="","",MONTH(A803))</f>
        <v/>
      </c>
      <c r="D803" s="37">
        <f>IF(A803="","","Q"&amp;ROUNDUP(MONTH(A803)/3,0))</f>
        <v/>
      </c>
      <c r="E803" s="22" t="n"/>
      <c r="F803" s="22" t="n"/>
      <c r="G803" s="40">
        <f>IFERROR(VLOOKUP(F803,M2_거래처마스터!A:E,3,FALSE),"")</f>
        <v/>
      </c>
      <c r="H803" s="22" t="n"/>
      <c r="I803" s="23" t="n"/>
      <c r="J803" s="24" t="n"/>
      <c r="K803" s="39">
        <f>IF(AND(I803&lt;&gt;"",J803&lt;&gt;""),I803*J803,"")</f>
        <v/>
      </c>
      <c r="L803" s="22" t="n"/>
      <c r="M803" s="22" t="n"/>
      <c r="N803" s="24" t="n"/>
      <c r="O803" s="24" t="n"/>
    </row>
    <row r="804">
      <c r="A804" s="34" t="n"/>
      <c r="B804" s="35">
        <f>IF(A804="","",YEAR(A804))</f>
        <v/>
      </c>
      <c r="C804" s="36">
        <f>IF(A804="","",MONTH(A804))</f>
        <v/>
      </c>
      <c r="D804" s="37">
        <f>IF(A804="","","Q"&amp;ROUNDUP(MONTH(A804)/3,0))</f>
        <v/>
      </c>
      <c r="E804" s="18" t="n"/>
      <c r="F804" s="18" t="n"/>
      <c r="G804" s="40">
        <f>IFERROR(VLOOKUP(F804,M2_거래처마스터!A:E,3,FALSE),"")</f>
        <v/>
      </c>
      <c r="H804" s="18" t="n"/>
      <c r="I804" s="19" t="n"/>
      <c r="J804" s="20" t="n"/>
      <c r="K804" s="39">
        <f>IF(AND(I804&lt;&gt;"",J804&lt;&gt;""),I804*J804,"")</f>
        <v/>
      </c>
      <c r="L804" s="18" t="n"/>
      <c r="M804" s="18" t="n"/>
      <c r="N804" s="20" t="n"/>
      <c r="O804" s="20" t="n"/>
    </row>
    <row r="805">
      <c r="A805" s="41" t="n"/>
      <c r="B805" s="35">
        <f>IF(A805="","",YEAR(A805))</f>
        <v/>
      </c>
      <c r="C805" s="36">
        <f>IF(A805="","",MONTH(A805))</f>
        <v/>
      </c>
      <c r="D805" s="37">
        <f>IF(A805="","","Q"&amp;ROUNDUP(MONTH(A805)/3,0))</f>
        <v/>
      </c>
      <c r="E805" s="22" t="n"/>
      <c r="F805" s="22" t="n"/>
      <c r="G805" s="40">
        <f>IFERROR(VLOOKUP(F805,M2_거래처마스터!A:E,3,FALSE),"")</f>
        <v/>
      </c>
      <c r="H805" s="22" t="n"/>
      <c r="I805" s="23" t="n"/>
      <c r="J805" s="24" t="n"/>
      <c r="K805" s="39">
        <f>IF(AND(I805&lt;&gt;"",J805&lt;&gt;""),I805*J805,"")</f>
        <v/>
      </c>
      <c r="L805" s="22" t="n"/>
      <c r="M805" s="22" t="n"/>
      <c r="N805" s="24" t="n"/>
      <c r="O805" s="24" t="n"/>
    </row>
    <row r="806">
      <c r="A806" s="34" t="n"/>
      <c r="B806" s="35">
        <f>IF(A806="","",YEAR(A806))</f>
        <v/>
      </c>
      <c r="C806" s="36">
        <f>IF(A806="","",MONTH(A806))</f>
        <v/>
      </c>
      <c r="D806" s="37">
        <f>IF(A806="","","Q"&amp;ROUNDUP(MONTH(A806)/3,0))</f>
        <v/>
      </c>
      <c r="E806" s="18" t="n"/>
      <c r="F806" s="18" t="n"/>
      <c r="G806" s="40">
        <f>IFERROR(VLOOKUP(F806,M2_거래처마스터!A:E,3,FALSE),"")</f>
        <v/>
      </c>
      <c r="H806" s="18" t="n"/>
      <c r="I806" s="19" t="n"/>
      <c r="J806" s="20" t="n"/>
      <c r="K806" s="39">
        <f>IF(AND(I806&lt;&gt;"",J806&lt;&gt;""),I806*J806,"")</f>
        <v/>
      </c>
      <c r="L806" s="18" t="n"/>
      <c r="M806" s="18" t="n"/>
      <c r="N806" s="20" t="n"/>
      <c r="O806" s="20" t="n"/>
    </row>
    <row r="807">
      <c r="A807" s="41" t="n"/>
      <c r="B807" s="35">
        <f>IF(A807="","",YEAR(A807))</f>
        <v/>
      </c>
      <c r="C807" s="36">
        <f>IF(A807="","",MONTH(A807))</f>
        <v/>
      </c>
      <c r="D807" s="37">
        <f>IF(A807="","","Q"&amp;ROUNDUP(MONTH(A807)/3,0))</f>
        <v/>
      </c>
      <c r="E807" s="22" t="n"/>
      <c r="F807" s="22" t="n"/>
      <c r="G807" s="40">
        <f>IFERROR(VLOOKUP(F807,M2_거래처마스터!A:E,3,FALSE),"")</f>
        <v/>
      </c>
      <c r="H807" s="22" t="n"/>
      <c r="I807" s="23" t="n"/>
      <c r="J807" s="24" t="n"/>
      <c r="K807" s="39">
        <f>IF(AND(I807&lt;&gt;"",J807&lt;&gt;""),I807*J807,"")</f>
        <v/>
      </c>
      <c r="L807" s="22" t="n"/>
      <c r="M807" s="22" t="n"/>
      <c r="N807" s="24" t="n"/>
      <c r="O807" s="24" t="n"/>
    </row>
    <row r="808">
      <c r="A808" s="34" t="n"/>
      <c r="B808" s="35">
        <f>IF(A808="","",YEAR(A808))</f>
        <v/>
      </c>
      <c r="C808" s="36">
        <f>IF(A808="","",MONTH(A808))</f>
        <v/>
      </c>
      <c r="D808" s="37">
        <f>IF(A808="","","Q"&amp;ROUNDUP(MONTH(A808)/3,0))</f>
        <v/>
      </c>
      <c r="E808" s="18" t="n"/>
      <c r="F808" s="18" t="n"/>
      <c r="G808" s="40">
        <f>IFERROR(VLOOKUP(F808,M2_거래처마스터!A:E,3,FALSE),"")</f>
        <v/>
      </c>
      <c r="H808" s="18" t="n"/>
      <c r="I808" s="19" t="n"/>
      <c r="J808" s="20" t="n"/>
      <c r="K808" s="39">
        <f>IF(AND(I808&lt;&gt;"",J808&lt;&gt;""),I808*J808,"")</f>
        <v/>
      </c>
      <c r="L808" s="18" t="n"/>
      <c r="M808" s="18" t="n"/>
      <c r="N808" s="20" t="n"/>
      <c r="O808" s="20" t="n"/>
    </row>
    <row r="809">
      <c r="A809" s="41" t="n"/>
      <c r="B809" s="35">
        <f>IF(A809="","",YEAR(A809))</f>
        <v/>
      </c>
      <c r="C809" s="36">
        <f>IF(A809="","",MONTH(A809))</f>
        <v/>
      </c>
      <c r="D809" s="37">
        <f>IF(A809="","","Q"&amp;ROUNDUP(MONTH(A809)/3,0))</f>
        <v/>
      </c>
      <c r="E809" s="22" t="n"/>
      <c r="F809" s="22" t="n"/>
      <c r="G809" s="40">
        <f>IFERROR(VLOOKUP(F809,M2_거래처마스터!A:E,3,FALSE),"")</f>
        <v/>
      </c>
      <c r="H809" s="22" t="n"/>
      <c r="I809" s="23" t="n"/>
      <c r="J809" s="24" t="n"/>
      <c r="K809" s="39">
        <f>IF(AND(I809&lt;&gt;"",J809&lt;&gt;""),I809*J809,"")</f>
        <v/>
      </c>
      <c r="L809" s="22" t="n"/>
      <c r="M809" s="22" t="n"/>
      <c r="N809" s="24" t="n"/>
      <c r="O809" s="24" t="n"/>
    </row>
    <row r="810">
      <c r="A810" s="34" t="n"/>
      <c r="B810" s="35">
        <f>IF(A810="","",YEAR(A810))</f>
        <v/>
      </c>
      <c r="C810" s="36">
        <f>IF(A810="","",MONTH(A810))</f>
        <v/>
      </c>
      <c r="D810" s="37">
        <f>IF(A810="","","Q"&amp;ROUNDUP(MONTH(A810)/3,0))</f>
        <v/>
      </c>
      <c r="E810" s="18" t="n"/>
      <c r="F810" s="18" t="n"/>
      <c r="G810" s="40">
        <f>IFERROR(VLOOKUP(F810,M2_거래처마스터!A:E,3,FALSE),"")</f>
        <v/>
      </c>
      <c r="H810" s="18" t="n"/>
      <c r="I810" s="19" t="n"/>
      <c r="J810" s="20" t="n"/>
      <c r="K810" s="39">
        <f>IF(AND(I810&lt;&gt;"",J810&lt;&gt;""),I810*J810,"")</f>
        <v/>
      </c>
      <c r="L810" s="18" t="n"/>
      <c r="M810" s="18" t="n"/>
      <c r="N810" s="20" t="n"/>
      <c r="O810" s="20" t="n"/>
    </row>
    <row r="811">
      <c r="A811" s="41" t="n"/>
      <c r="B811" s="35">
        <f>IF(A811="","",YEAR(A811))</f>
        <v/>
      </c>
      <c r="C811" s="36">
        <f>IF(A811="","",MONTH(A811))</f>
        <v/>
      </c>
      <c r="D811" s="37">
        <f>IF(A811="","","Q"&amp;ROUNDUP(MONTH(A811)/3,0))</f>
        <v/>
      </c>
      <c r="E811" s="22" t="n"/>
      <c r="F811" s="22" t="n"/>
      <c r="G811" s="40">
        <f>IFERROR(VLOOKUP(F811,M2_거래처마스터!A:E,3,FALSE),"")</f>
        <v/>
      </c>
      <c r="H811" s="22" t="n"/>
      <c r="I811" s="23" t="n"/>
      <c r="J811" s="24" t="n"/>
      <c r="K811" s="39">
        <f>IF(AND(I811&lt;&gt;"",J811&lt;&gt;""),I811*J811,"")</f>
        <v/>
      </c>
      <c r="L811" s="22" t="n"/>
      <c r="M811" s="22" t="n"/>
      <c r="N811" s="24" t="n"/>
      <c r="O811" s="24" t="n"/>
    </row>
    <row r="812">
      <c r="A812" s="34" t="n"/>
      <c r="B812" s="35">
        <f>IF(A812="","",YEAR(A812))</f>
        <v/>
      </c>
      <c r="C812" s="36">
        <f>IF(A812="","",MONTH(A812))</f>
        <v/>
      </c>
      <c r="D812" s="37">
        <f>IF(A812="","","Q"&amp;ROUNDUP(MONTH(A812)/3,0))</f>
        <v/>
      </c>
      <c r="E812" s="18" t="n"/>
      <c r="F812" s="18" t="n"/>
      <c r="G812" s="40">
        <f>IFERROR(VLOOKUP(F812,M2_거래처마스터!A:E,3,FALSE),"")</f>
        <v/>
      </c>
      <c r="H812" s="18" t="n"/>
      <c r="I812" s="19" t="n"/>
      <c r="J812" s="20" t="n"/>
      <c r="K812" s="39">
        <f>IF(AND(I812&lt;&gt;"",J812&lt;&gt;""),I812*J812,"")</f>
        <v/>
      </c>
      <c r="L812" s="18" t="n"/>
      <c r="M812" s="18" t="n"/>
      <c r="N812" s="20" t="n"/>
      <c r="O812" s="20" t="n"/>
    </row>
    <row r="813">
      <c r="A813" s="41" t="n"/>
      <c r="B813" s="35">
        <f>IF(A813="","",YEAR(A813))</f>
        <v/>
      </c>
      <c r="C813" s="36">
        <f>IF(A813="","",MONTH(A813))</f>
        <v/>
      </c>
      <c r="D813" s="37">
        <f>IF(A813="","","Q"&amp;ROUNDUP(MONTH(A813)/3,0))</f>
        <v/>
      </c>
      <c r="E813" s="22" t="n"/>
      <c r="F813" s="22" t="n"/>
      <c r="G813" s="40">
        <f>IFERROR(VLOOKUP(F813,M2_거래처마스터!A:E,3,FALSE),"")</f>
        <v/>
      </c>
      <c r="H813" s="22" t="n"/>
      <c r="I813" s="23" t="n"/>
      <c r="J813" s="24" t="n"/>
      <c r="K813" s="39">
        <f>IF(AND(I813&lt;&gt;"",J813&lt;&gt;""),I813*J813,"")</f>
        <v/>
      </c>
      <c r="L813" s="22" t="n"/>
      <c r="M813" s="22" t="n"/>
      <c r="N813" s="24" t="n"/>
      <c r="O813" s="24" t="n"/>
    </row>
    <row r="814">
      <c r="A814" s="34" t="n"/>
      <c r="B814" s="35">
        <f>IF(A814="","",YEAR(A814))</f>
        <v/>
      </c>
      <c r="C814" s="36">
        <f>IF(A814="","",MONTH(A814))</f>
        <v/>
      </c>
      <c r="D814" s="37">
        <f>IF(A814="","","Q"&amp;ROUNDUP(MONTH(A814)/3,0))</f>
        <v/>
      </c>
      <c r="E814" s="18" t="n"/>
      <c r="F814" s="18" t="n"/>
      <c r="G814" s="40">
        <f>IFERROR(VLOOKUP(F814,M2_거래처마스터!A:E,3,FALSE),"")</f>
        <v/>
      </c>
      <c r="H814" s="18" t="n"/>
      <c r="I814" s="19" t="n"/>
      <c r="J814" s="20" t="n"/>
      <c r="K814" s="39">
        <f>IF(AND(I814&lt;&gt;"",J814&lt;&gt;""),I814*J814,"")</f>
        <v/>
      </c>
      <c r="L814" s="18" t="n"/>
      <c r="M814" s="18" t="n"/>
      <c r="N814" s="20" t="n"/>
      <c r="O814" s="20" t="n"/>
    </row>
    <row r="815">
      <c r="A815" s="41" t="n"/>
      <c r="B815" s="35">
        <f>IF(A815="","",YEAR(A815))</f>
        <v/>
      </c>
      <c r="C815" s="36">
        <f>IF(A815="","",MONTH(A815))</f>
        <v/>
      </c>
      <c r="D815" s="37">
        <f>IF(A815="","","Q"&amp;ROUNDUP(MONTH(A815)/3,0))</f>
        <v/>
      </c>
      <c r="E815" s="22" t="n"/>
      <c r="F815" s="22" t="n"/>
      <c r="G815" s="40">
        <f>IFERROR(VLOOKUP(F815,M2_거래처마스터!A:E,3,FALSE),"")</f>
        <v/>
      </c>
      <c r="H815" s="22" t="n"/>
      <c r="I815" s="23" t="n"/>
      <c r="J815" s="24" t="n"/>
      <c r="K815" s="39">
        <f>IF(AND(I815&lt;&gt;"",J815&lt;&gt;""),I815*J815,"")</f>
        <v/>
      </c>
      <c r="L815" s="22" t="n"/>
      <c r="M815" s="22" t="n"/>
      <c r="N815" s="24" t="n"/>
      <c r="O815" s="24" t="n"/>
    </row>
    <row r="816">
      <c r="A816" s="34" t="n"/>
      <c r="B816" s="35">
        <f>IF(A816="","",YEAR(A816))</f>
        <v/>
      </c>
      <c r="C816" s="36">
        <f>IF(A816="","",MONTH(A816))</f>
        <v/>
      </c>
      <c r="D816" s="37">
        <f>IF(A816="","","Q"&amp;ROUNDUP(MONTH(A816)/3,0))</f>
        <v/>
      </c>
      <c r="E816" s="18" t="n"/>
      <c r="F816" s="18" t="n"/>
      <c r="G816" s="40">
        <f>IFERROR(VLOOKUP(F816,M2_거래처마스터!A:E,3,FALSE),"")</f>
        <v/>
      </c>
      <c r="H816" s="18" t="n"/>
      <c r="I816" s="19" t="n"/>
      <c r="J816" s="20" t="n"/>
      <c r="K816" s="39">
        <f>IF(AND(I816&lt;&gt;"",J816&lt;&gt;""),I816*J816,"")</f>
        <v/>
      </c>
      <c r="L816" s="18" t="n"/>
      <c r="M816" s="18" t="n"/>
      <c r="N816" s="20" t="n"/>
      <c r="O816" s="20" t="n"/>
    </row>
    <row r="817">
      <c r="A817" s="41" t="n"/>
      <c r="B817" s="35">
        <f>IF(A817="","",YEAR(A817))</f>
        <v/>
      </c>
      <c r="C817" s="36">
        <f>IF(A817="","",MONTH(A817))</f>
        <v/>
      </c>
      <c r="D817" s="37">
        <f>IF(A817="","","Q"&amp;ROUNDUP(MONTH(A817)/3,0))</f>
        <v/>
      </c>
      <c r="E817" s="22" t="n"/>
      <c r="F817" s="22" t="n"/>
      <c r="G817" s="40">
        <f>IFERROR(VLOOKUP(F817,M2_거래처마스터!A:E,3,FALSE),"")</f>
        <v/>
      </c>
      <c r="H817" s="22" t="n"/>
      <c r="I817" s="23" t="n"/>
      <c r="J817" s="24" t="n"/>
      <c r="K817" s="39">
        <f>IF(AND(I817&lt;&gt;"",J817&lt;&gt;""),I817*J817,"")</f>
        <v/>
      </c>
      <c r="L817" s="22" t="n"/>
      <c r="M817" s="22" t="n"/>
      <c r="N817" s="24" t="n"/>
      <c r="O817" s="24" t="n"/>
    </row>
    <row r="818">
      <c r="A818" s="34" t="n"/>
      <c r="B818" s="35">
        <f>IF(A818="","",YEAR(A818))</f>
        <v/>
      </c>
      <c r="C818" s="36">
        <f>IF(A818="","",MONTH(A818))</f>
        <v/>
      </c>
      <c r="D818" s="37">
        <f>IF(A818="","","Q"&amp;ROUNDUP(MONTH(A818)/3,0))</f>
        <v/>
      </c>
      <c r="E818" s="18" t="n"/>
      <c r="F818" s="18" t="n"/>
      <c r="G818" s="40">
        <f>IFERROR(VLOOKUP(F818,M2_거래처마스터!A:E,3,FALSE),"")</f>
        <v/>
      </c>
      <c r="H818" s="18" t="n"/>
      <c r="I818" s="19" t="n"/>
      <c r="J818" s="20" t="n"/>
      <c r="K818" s="39">
        <f>IF(AND(I818&lt;&gt;"",J818&lt;&gt;""),I818*J818,"")</f>
        <v/>
      </c>
      <c r="L818" s="18" t="n"/>
      <c r="M818" s="18" t="n"/>
      <c r="N818" s="20" t="n"/>
      <c r="O818" s="20" t="n"/>
    </row>
    <row r="819">
      <c r="A819" s="41" t="n"/>
      <c r="B819" s="35">
        <f>IF(A819="","",YEAR(A819))</f>
        <v/>
      </c>
      <c r="C819" s="36">
        <f>IF(A819="","",MONTH(A819))</f>
        <v/>
      </c>
      <c r="D819" s="37">
        <f>IF(A819="","","Q"&amp;ROUNDUP(MONTH(A819)/3,0))</f>
        <v/>
      </c>
      <c r="E819" s="22" t="n"/>
      <c r="F819" s="22" t="n"/>
      <c r="G819" s="40">
        <f>IFERROR(VLOOKUP(F819,M2_거래처마스터!A:E,3,FALSE),"")</f>
        <v/>
      </c>
      <c r="H819" s="22" t="n"/>
      <c r="I819" s="23" t="n"/>
      <c r="J819" s="24" t="n"/>
      <c r="K819" s="39">
        <f>IF(AND(I819&lt;&gt;"",J819&lt;&gt;""),I819*J819,"")</f>
        <v/>
      </c>
      <c r="L819" s="22" t="n"/>
      <c r="M819" s="22" t="n"/>
      <c r="N819" s="24" t="n"/>
      <c r="O819" s="24" t="n"/>
    </row>
    <row r="820">
      <c r="A820" s="34" t="n"/>
      <c r="B820" s="35">
        <f>IF(A820="","",YEAR(A820))</f>
        <v/>
      </c>
      <c r="C820" s="36">
        <f>IF(A820="","",MONTH(A820))</f>
        <v/>
      </c>
      <c r="D820" s="37">
        <f>IF(A820="","","Q"&amp;ROUNDUP(MONTH(A820)/3,0))</f>
        <v/>
      </c>
      <c r="E820" s="18" t="n"/>
      <c r="F820" s="18" t="n"/>
      <c r="G820" s="40">
        <f>IFERROR(VLOOKUP(F820,M2_거래처마스터!A:E,3,FALSE),"")</f>
        <v/>
      </c>
      <c r="H820" s="18" t="n"/>
      <c r="I820" s="19" t="n"/>
      <c r="J820" s="20" t="n"/>
      <c r="K820" s="39">
        <f>IF(AND(I820&lt;&gt;"",J820&lt;&gt;""),I820*J820,"")</f>
        <v/>
      </c>
      <c r="L820" s="18" t="n"/>
      <c r="M820" s="18" t="n"/>
      <c r="N820" s="20" t="n"/>
      <c r="O820" s="20" t="n"/>
    </row>
    <row r="821">
      <c r="A821" s="41" t="n"/>
      <c r="B821" s="35">
        <f>IF(A821="","",YEAR(A821))</f>
        <v/>
      </c>
      <c r="C821" s="36">
        <f>IF(A821="","",MONTH(A821))</f>
        <v/>
      </c>
      <c r="D821" s="37">
        <f>IF(A821="","","Q"&amp;ROUNDUP(MONTH(A821)/3,0))</f>
        <v/>
      </c>
      <c r="E821" s="22" t="n"/>
      <c r="F821" s="22" t="n"/>
      <c r="G821" s="40">
        <f>IFERROR(VLOOKUP(F821,M2_거래처마스터!A:E,3,FALSE),"")</f>
        <v/>
      </c>
      <c r="H821" s="22" t="n"/>
      <c r="I821" s="23" t="n"/>
      <c r="J821" s="24" t="n"/>
      <c r="K821" s="39">
        <f>IF(AND(I821&lt;&gt;"",J821&lt;&gt;""),I821*J821,"")</f>
        <v/>
      </c>
      <c r="L821" s="22" t="n"/>
      <c r="M821" s="22" t="n"/>
      <c r="N821" s="24" t="n"/>
      <c r="O821" s="24" t="n"/>
    </row>
    <row r="822">
      <c r="A822" s="34" t="n"/>
      <c r="B822" s="35">
        <f>IF(A822="","",YEAR(A822))</f>
        <v/>
      </c>
      <c r="C822" s="36">
        <f>IF(A822="","",MONTH(A822))</f>
        <v/>
      </c>
      <c r="D822" s="37">
        <f>IF(A822="","","Q"&amp;ROUNDUP(MONTH(A822)/3,0))</f>
        <v/>
      </c>
      <c r="E822" s="18" t="n"/>
      <c r="F822" s="18" t="n"/>
      <c r="G822" s="40">
        <f>IFERROR(VLOOKUP(F822,M2_거래처마스터!A:E,3,FALSE),"")</f>
        <v/>
      </c>
      <c r="H822" s="18" t="n"/>
      <c r="I822" s="19" t="n"/>
      <c r="J822" s="20" t="n"/>
      <c r="K822" s="39">
        <f>IF(AND(I822&lt;&gt;"",J822&lt;&gt;""),I822*J822,"")</f>
        <v/>
      </c>
      <c r="L822" s="18" t="n"/>
      <c r="M822" s="18" t="n"/>
      <c r="N822" s="20" t="n"/>
      <c r="O822" s="20" t="n"/>
    </row>
    <row r="823">
      <c r="A823" s="41" t="n"/>
      <c r="B823" s="35">
        <f>IF(A823="","",YEAR(A823))</f>
        <v/>
      </c>
      <c r="C823" s="36">
        <f>IF(A823="","",MONTH(A823))</f>
        <v/>
      </c>
      <c r="D823" s="37">
        <f>IF(A823="","","Q"&amp;ROUNDUP(MONTH(A823)/3,0))</f>
        <v/>
      </c>
      <c r="E823" s="22" t="n"/>
      <c r="F823" s="22" t="n"/>
      <c r="G823" s="40">
        <f>IFERROR(VLOOKUP(F823,M2_거래처마스터!A:E,3,FALSE),"")</f>
        <v/>
      </c>
      <c r="H823" s="22" t="n"/>
      <c r="I823" s="23" t="n"/>
      <c r="J823" s="24" t="n"/>
      <c r="K823" s="39">
        <f>IF(AND(I823&lt;&gt;"",J823&lt;&gt;""),I823*J823,"")</f>
        <v/>
      </c>
      <c r="L823" s="22" t="n"/>
      <c r="M823" s="22" t="n"/>
      <c r="N823" s="24" t="n"/>
      <c r="O823" s="24" t="n"/>
    </row>
    <row r="824">
      <c r="A824" s="34" t="n"/>
      <c r="B824" s="35">
        <f>IF(A824="","",YEAR(A824))</f>
        <v/>
      </c>
      <c r="C824" s="36">
        <f>IF(A824="","",MONTH(A824))</f>
        <v/>
      </c>
      <c r="D824" s="37">
        <f>IF(A824="","","Q"&amp;ROUNDUP(MONTH(A824)/3,0))</f>
        <v/>
      </c>
      <c r="E824" s="18" t="n"/>
      <c r="F824" s="18" t="n"/>
      <c r="G824" s="40">
        <f>IFERROR(VLOOKUP(F824,M2_거래처마스터!A:E,3,FALSE),"")</f>
        <v/>
      </c>
      <c r="H824" s="18" t="n"/>
      <c r="I824" s="19" t="n"/>
      <c r="J824" s="20" t="n"/>
      <c r="K824" s="39">
        <f>IF(AND(I824&lt;&gt;"",J824&lt;&gt;""),I824*J824,"")</f>
        <v/>
      </c>
      <c r="L824" s="18" t="n"/>
      <c r="M824" s="18" t="n"/>
      <c r="N824" s="20" t="n"/>
      <c r="O824" s="20" t="n"/>
    </row>
    <row r="825">
      <c r="A825" s="41" t="n"/>
      <c r="B825" s="35">
        <f>IF(A825="","",YEAR(A825))</f>
        <v/>
      </c>
      <c r="C825" s="36">
        <f>IF(A825="","",MONTH(A825))</f>
        <v/>
      </c>
      <c r="D825" s="37">
        <f>IF(A825="","","Q"&amp;ROUNDUP(MONTH(A825)/3,0))</f>
        <v/>
      </c>
      <c r="E825" s="22" t="n"/>
      <c r="F825" s="22" t="n"/>
      <c r="G825" s="40">
        <f>IFERROR(VLOOKUP(F825,M2_거래처마스터!A:E,3,FALSE),"")</f>
        <v/>
      </c>
      <c r="H825" s="22" t="n"/>
      <c r="I825" s="23" t="n"/>
      <c r="J825" s="24" t="n"/>
      <c r="K825" s="39">
        <f>IF(AND(I825&lt;&gt;"",J825&lt;&gt;""),I825*J825,"")</f>
        <v/>
      </c>
      <c r="L825" s="22" t="n"/>
      <c r="M825" s="22" t="n"/>
      <c r="N825" s="24" t="n"/>
      <c r="O825" s="24" t="n"/>
    </row>
    <row r="826">
      <c r="A826" s="34" t="n"/>
      <c r="B826" s="35">
        <f>IF(A826="","",YEAR(A826))</f>
        <v/>
      </c>
      <c r="C826" s="36">
        <f>IF(A826="","",MONTH(A826))</f>
        <v/>
      </c>
      <c r="D826" s="37">
        <f>IF(A826="","","Q"&amp;ROUNDUP(MONTH(A826)/3,0))</f>
        <v/>
      </c>
      <c r="E826" s="18" t="n"/>
      <c r="F826" s="18" t="n"/>
      <c r="G826" s="40">
        <f>IFERROR(VLOOKUP(F826,M2_거래처마스터!A:E,3,FALSE),"")</f>
        <v/>
      </c>
      <c r="H826" s="18" t="n"/>
      <c r="I826" s="19" t="n"/>
      <c r="J826" s="20" t="n"/>
      <c r="K826" s="39">
        <f>IF(AND(I826&lt;&gt;"",J826&lt;&gt;""),I826*J826,"")</f>
        <v/>
      </c>
      <c r="L826" s="18" t="n"/>
      <c r="M826" s="18" t="n"/>
      <c r="N826" s="20" t="n"/>
      <c r="O826" s="20" t="n"/>
    </row>
    <row r="827">
      <c r="A827" s="41" t="n"/>
      <c r="B827" s="35">
        <f>IF(A827="","",YEAR(A827))</f>
        <v/>
      </c>
      <c r="C827" s="36">
        <f>IF(A827="","",MONTH(A827))</f>
        <v/>
      </c>
      <c r="D827" s="37">
        <f>IF(A827="","","Q"&amp;ROUNDUP(MONTH(A827)/3,0))</f>
        <v/>
      </c>
      <c r="E827" s="22" t="n"/>
      <c r="F827" s="22" t="n"/>
      <c r="G827" s="40">
        <f>IFERROR(VLOOKUP(F827,M2_거래처마스터!A:E,3,FALSE),"")</f>
        <v/>
      </c>
      <c r="H827" s="22" t="n"/>
      <c r="I827" s="23" t="n"/>
      <c r="J827" s="24" t="n"/>
      <c r="K827" s="39">
        <f>IF(AND(I827&lt;&gt;"",J827&lt;&gt;""),I827*J827,"")</f>
        <v/>
      </c>
      <c r="L827" s="22" t="n"/>
      <c r="M827" s="22" t="n"/>
      <c r="N827" s="24" t="n"/>
      <c r="O827" s="24" t="n"/>
    </row>
    <row r="828">
      <c r="A828" s="34" t="n"/>
      <c r="B828" s="35">
        <f>IF(A828="","",YEAR(A828))</f>
        <v/>
      </c>
      <c r="C828" s="36">
        <f>IF(A828="","",MONTH(A828))</f>
        <v/>
      </c>
      <c r="D828" s="37">
        <f>IF(A828="","","Q"&amp;ROUNDUP(MONTH(A828)/3,0))</f>
        <v/>
      </c>
      <c r="E828" s="18" t="n"/>
      <c r="F828" s="18" t="n"/>
      <c r="G828" s="40">
        <f>IFERROR(VLOOKUP(F828,M2_거래처마스터!A:E,3,FALSE),"")</f>
        <v/>
      </c>
      <c r="H828" s="18" t="n"/>
      <c r="I828" s="19" t="n"/>
      <c r="J828" s="20" t="n"/>
      <c r="K828" s="39">
        <f>IF(AND(I828&lt;&gt;"",J828&lt;&gt;""),I828*J828,"")</f>
        <v/>
      </c>
      <c r="L828" s="18" t="n"/>
      <c r="M828" s="18" t="n"/>
      <c r="N828" s="20" t="n"/>
      <c r="O828" s="20" t="n"/>
    </row>
    <row r="829">
      <c r="A829" s="41" t="n"/>
      <c r="B829" s="35">
        <f>IF(A829="","",YEAR(A829))</f>
        <v/>
      </c>
      <c r="C829" s="36">
        <f>IF(A829="","",MONTH(A829))</f>
        <v/>
      </c>
      <c r="D829" s="37">
        <f>IF(A829="","","Q"&amp;ROUNDUP(MONTH(A829)/3,0))</f>
        <v/>
      </c>
      <c r="E829" s="22" t="n"/>
      <c r="F829" s="22" t="n"/>
      <c r="G829" s="40">
        <f>IFERROR(VLOOKUP(F829,M2_거래처마스터!A:E,3,FALSE),"")</f>
        <v/>
      </c>
      <c r="H829" s="22" t="n"/>
      <c r="I829" s="23" t="n"/>
      <c r="J829" s="24" t="n"/>
      <c r="K829" s="39">
        <f>IF(AND(I829&lt;&gt;"",J829&lt;&gt;""),I829*J829,"")</f>
        <v/>
      </c>
      <c r="L829" s="22" t="n"/>
      <c r="M829" s="22" t="n"/>
      <c r="N829" s="24" t="n"/>
      <c r="O829" s="24" t="n"/>
    </row>
    <row r="830">
      <c r="A830" s="34" t="n"/>
      <c r="B830" s="35">
        <f>IF(A830="","",YEAR(A830))</f>
        <v/>
      </c>
      <c r="C830" s="36">
        <f>IF(A830="","",MONTH(A830))</f>
        <v/>
      </c>
      <c r="D830" s="37">
        <f>IF(A830="","","Q"&amp;ROUNDUP(MONTH(A830)/3,0))</f>
        <v/>
      </c>
      <c r="E830" s="18" t="n"/>
      <c r="F830" s="18" t="n"/>
      <c r="G830" s="40">
        <f>IFERROR(VLOOKUP(F830,M2_거래처마스터!A:E,3,FALSE),"")</f>
        <v/>
      </c>
      <c r="H830" s="18" t="n"/>
      <c r="I830" s="19" t="n"/>
      <c r="J830" s="20" t="n"/>
      <c r="K830" s="39">
        <f>IF(AND(I830&lt;&gt;"",J830&lt;&gt;""),I830*J830,"")</f>
        <v/>
      </c>
      <c r="L830" s="18" t="n"/>
      <c r="M830" s="18" t="n"/>
      <c r="N830" s="20" t="n"/>
      <c r="O830" s="20" t="n"/>
    </row>
    <row r="831">
      <c r="A831" s="41" t="n"/>
      <c r="B831" s="35">
        <f>IF(A831="","",YEAR(A831))</f>
        <v/>
      </c>
      <c r="C831" s="36">
        <f>IF(A831="","",MONTH(A831))</f>
        <v/>
      </c>
      <c r="D831" s="37">
        <f>IF(A831="","","Q"&amp;ROUNDUP(MONTH(A831)/3,0))</f>
        <v/>
      </c>
      <c r="E831" s="22" t="n"/>
      <c r="F831" s="22" t="n"/>
      <c r="G831" s="40">
        <f>IFERROR(VLOOKUP(F831,M2_거래처마스터!A:E,3,FALSE),"")</f>
        <v/>
      </c>
      <c r="H831" s="22" t="n"/>
      <c r="I831" s="23" t="n"/>
      <c r="J831" s="24" t="n"/>
      <c r="K831" s="39">
        <f>IF(AND(I831&lt;&gt;"",J831&lt;&gt;""),I831*J831,"")</f>
        <v/>
      </c>
      <c r="L831" s="22" t="n"/>
      <c r="M831" s="22" t="n"/>
      <c r="N831" s="24" t="n"/>
      <c r="O831" s="24" t="n"/>
    </row>
    <row r="832">
      <c r="A832" s="34" t="n"/>
      <c r="B832" s="35">
        <f>IF(A832="","",YEAR(A832))</f>
        <v/>
      </c>
      <c r="C832" s="36">
        <f>IF(A832="","",MONTH(A832))</f>
        <v/>
      </c>
      <c r="D832" s="37">
        <f>IF(A832="","","Q"&amp;ROUNDUP(MONTH(A832)/3,0))</f>
        <v/>
      </c>
      <c r="E832" s="18" t="n"/>
      <c r="F832" s="18" t="n"/>
      <c r="G832" s="40">
        <f>IFERROR(VLOOKUP(F832,M2_거래처마스터!A:E,3,FALSE),"")</f>
        <v/>
      </c>
      <c r="H832" s="18" t="n"/>
      <c r="I832" s="19" t="n"/>
      <c r="J832" s="20" t="n"/>
      <c r="K832" s="39">
        <f>IF(AND(I832&lt;&gt;"",J832&lt;&gt;""),I832*J832,"")</f>
        <v/>
      </c>
      <c r="L832" s="18" t="n"/>
      <c r="M832" s="18" t="n"/>
      <c r="N832" s="20" t="n"/>
      <c r="O832" s="20" t="n"/>
    </row>
    <row r="833">
      <c r="A833" s="41" t="n"/>
      <c r="B833" s="35">
        <f>IF(A833="","",YEAR(A833))</f>
        <v/>
      </c>
      <c r="C833" s="36">
        <f>IF(A833="","",MONTH(A833))</f>
        <v/>
      </c>
      <c r="D833" s="37">
        <f>IF(A833="","","Q"&amp;ROUNDUP(MONTH(A833)/3,0))</f>
        <v/>
      </c>
      <c r="E833" s="22" t="n"/>
      <c r="F833" s="22" t="n"/>
      <c r="G833" s="40">
        <f>IFERROR(VLOOKUP(F833,M2_거래처마스터!A:E,3,FALSE),"")</f>
        <v/>
      </c>
      <c r="H833" s="22" t="n"/>
      <c r="I833" s="23" t="n"/>
      <c r="J833" s="24" t="n"/>
      <c r="K833" s="39">
        <f>IF(AND(I833&lt;&gt;"",J833&lt;&gt;""),I833*J833,"")</f>
        <v/>
      </c>
      <c r="L833" s="22" t="n"/>
      <c r="M833" s="22" t="n"/>
      <c r="N833" s="24" t="n"/>
      <c r="O833" s="24" t="n"/>
    </row>
    <row r="834">
      <c r="A834" s="34" t="n"/>
      <c r="B834" s="35">
        <f>IF(A834="","",YEAR(A834))</f>
        <v/>
      </c>
      <c r="C834" s="36">
        <f>IF(A834="","",MONTH(A834))</f>
        <v/>
      </c>
      <c r="D834" s="37">
        <f>IF(A834="","","Q"&amp;ROUNDUP(MONTH(A834)/3,0))</f>
        <v/>
      </c>
      <c r="E834" s="18" t="n"/>
      <c r="F834" s="18" t="n"/>
      <c r="G834" s="40">
        <f>IFERROR(VLOOKUP(F834,M2_거래처마스터!A:E,3,FALSE),"")</f>
        <v/>
      </c>
      <c r="H834" s="18" t="n"/>
      <c r="I834" s="19" t="n"/>
      <c r="J834" s="20" t="n"/>
      <c r="K834" s="39">
        <f>IF(AND(I834&lt;&gt;"",J834&lt;&gt;""),I834*J834,"")</f>
        <v/>
      </c>
      <c r="L834" s="18" t="n"/>
      <c r="M834" s="18" t="n"/>
      <c r="N834" s="20" t="n"/>
      <c r="O834" s="20" t="n"/>
    </row>
    <row r="835">
      <c r="A835" s="41" t="n"/>
      <c r="B835" s="35">
        <f>IF(A835="","",YEAR(A835))</f>
        <v/>
      </c>
      <c r="C835" s="36">
        <f>IF(A835="","",MONTH(A835))</f>
        <v/>
      </c>
      <c r="D835" s="37">
        <f>IF(A835="","","Q"&amp;ROUNDUP(MONTH(A835)/3,0))</f>
        <v/>
      </c>
      <c r="E835" s="22" t="n"/>
      <c r="F835" s="22" t="n"/>
      <c r="G835" s="40">
        <f>IFERROR(VLOOKUP(F835,M2_거래처마스터!A:E,3,FALSE),"")</f>
        <v/>
      </c>
      <c r="H835" s="22" t="n"/>
      <c r="I835" s="23" t="n"/>
      <c r="J835" s="24" t="n"/>
      <c r="K835" s="39">
        <f>IF(AND(I835&lt;&gt;"",J835&lt;&gt;""),I835*J835,"")</f>
        <v/>
      </c>
      <c r="L835" s="22" t="n"/>
      <c r="M835" s="22" t="n"/>
      <c r="N835" s="24" t="n"/>
      <c r="O835" s="24" t="n"/>
    </row>
    <row r="836">
      <c r="A836" s="34" t="n"/>
      <c r="B836" s="35">
        <f>IF(A836="","",YEAR(A836))</f>
        <v/>
      </c>
      <c r="C836" s="36">
        <f>IF(A836="","",MONTH(A836))</f>
        <v/>
      </c>
      <c r="D836" s="37">
        <f>IF(A836="","","Q"&amp;ROUNDUP(MONTH(A836)/3,0))</f>
        <v/>
      </c>
      <c r="E836" s="18" t="n"/>
      <c r="F836" s="18" t="n"/>
      <c r="G836" s="40">
        <f>IFERROR(VLOOKUP(F836,M2_거래처마스터!A:E,3,FALSE),"")</f>
        <v/>
      </c>
      <c r="H836" s="18" t="n"/>
      <c r="I836" s="19" t="n"/>
      <c r="J836" s="20" t="n"/>
      <c r="K836" s="39">
        <f>IF(AND(I836&lt;&gt;"",J836&lt;&gt;""),I836*J836,"")</f>
        <v/>
      </c>
      <c r="L836" s="18" t="n"/>
      <c r="M836" s="18" t="n"/>
      <c r="N836" s="20" t="n"/>
      <c r="O836" s="20" t="n"/>
    </row>
    <row r="837">
      <c r="A837" s="41" t="n"/>
      <c r="B837" s="35">
        <f>IF(A837="","",YEAR(A837))</f>
        <v/>
      </c>
      <c r="C837" s="36">
        <f>IF(A837="","",MONTH(A837))</f>
        <v/>
      </c>
      <c r="D837" s="37">
        <f>IF(A837="","","Q"&amp;ROUNDUP(MONTH(A837)/3,0))</f>
        <v/>
      </c>
      <c r="E837" s="22" t="n"/>
      <c r="F837" s="22" t="n"/>
      <c r="G837" s="40">
        <f>IFERROR(VLOOKUP(F837,M2_거래처마스터!A:E,3,FALSE),"")</f>
        <v/>
      </c>
      <c r="H837" s="22" t="n"/>
      <c r="I837" s="23" t="n"/>
      <c r="J837" s="24" t="n"/>
      <c r="K837" s="39">
        <f>IF(AND(I837&lt;&gt;"",J837&lt;&gt;""),I837*J837,"")</f>
        <v/>
      </c>
      <c r="L837" s="22" t="n"/>
      <c r="M837" s="22" t="n"/>
      <c r="N837" s="24" t="n"/>
      <c r="O837" s="24" t="n"/>
    </row>
    <row r="838">
      <c r="A838" s="34" t="n"/>
      <c r="B838" s="35">
        <f>IF(A838="","",YEAR(A838))</f>
        <v/>
      </c>
      <c r="C838" s="36">
        <f>IF(A838="","",MONTH(A838))</f>
        <v/>
      </c>
      <c r="D838" s="37">
        <f>IF(A838="","","Q"&amp;ROUNDUP(MONTH(A838)/3,0))</f>
        <v/>
      </c>
      <c r="E838" s="18" t="n"/>
      <c r="F838" s="18" t="n"/>
      <c r="G838" s="40">
        <f>IFERROR(VLOOKUP(F838,M2_거래처마스터!A:E,3,FALSE),"")</f>
        <v/>
      </c>
      <c r="H838" s="18" t="n"/>
      <c r="I838" s="19" t="n"/>
      <c r="J838" s="20" t="n"/>
      <c r="K838" s="39">
        <f>IF(AND(I838&lt;&gt;"",J838&lt;&gt;""),I838*J838,"")</f>
        <v/>
      </c>
      <c r="L838" s="18" t="n"/>
      <c r="M838" s="18" t="n"/>
      <c r="N838" s="20" t="n"/>
      <c r="O838" s="20" t="n"/>
    </row>
    <row r="839">
      <c r="A839" s="41" t="n"/>
      <c r="B839" s="35">
        <f>IF(A839="","",YEAR(A839))</f>
        <v/>
      </c>
      <c r="C839" s="36">
        <f>IF(A839="","",MONTH(A839))</f>
        <v/>
      </c>
      <c r="D839" s="37">
        <f>IF(A839="","","Q"&amp;ROUNDUP(MONTH(A839)/3,0))</f>
        <v/>
      </c>
      <c r="E839" s="22" t="n"/>
      <c r="F839" s="22" t="n"/>
      <c r="G839" s="40">
        <f>IFERROR(VLOOKUP(F839,M2_거래처마스터!A:E,3,FALSE),"")</f>
        <v/>
      </c>
      <c r="H839" s="22" t="n"/>
      <c r="I839" s="23" t="n"/>
      <c r="J839" s="24" t="n"/>
      <c r="K839" s="39">
        <f>IF(AND(I839&lt;&gt;"",J839&lt;&gt;""),I839*J839,"")</f>
        <v/>
      </c>
      <c r="L839" s="22" t="n"/>
      <c r="M839" s="22" t="n"/>
      <c r="N839" s="24" t="n"/>
      <c r="O839" s="24" t="n"/>
    </row>
    <row r="840">
      <c r="A840" s="34" t="n"/>
      <c r="B840" s="35">
        <f>IF(A840="","",YEAR(A840))</f>
        <v/>
      </c>
      <c r="C840" s="36">
        <f>IF(A840="","",MONTH(A840))</f>
        <v/>
      </c>
      <c r="D840" s="37">
        <f>IF(A840="","","Q"&amp;ROUNDUP(MONTH(A840)/3,0))</f>
        <v/>
      </c>
      <c r="E840" s="18" t="n"/>
      <c r="F840" s="18" t="n"/>
      <c r="G840" s="40">
        <f>IFERROR(VLOOKUP(F840,M2_거래처마스터!A:E,3,FALSE),"")</f>
        <v/>
      </c>
      <c r="H840" s="18" t="n"/>
      <c r="I840" s="19" t="n"/>
      <c r="J840" s="20" t="n"/>
      <c r="K840" s="39">
        <f>IF(AND(I840&lt;&gt;"",J840&lt;&gt;""),I840*J840,"")</f>
        <v/>
      </c>
      <c r="L840" s="18" t="n"/>
      <c r="M840" s="18" t="n"/>
      <c r="N840" s="20" t="n"/>
      <c r="O840" s="20" t="n"/>
    </row>
    <row r="841">
      <c r="A841" s="41" t="n"/>
      <c r="B841" s="35">
        <f>IF(A841="","",YEAR(A841))</f>
        <v/>
      </c>
      <c r="C841" s="36">
        <f>IF(A841="","",MONTH(A841))</f>
        <v/>
      </c>
      <c r="D841" s="37">
        <f>IF(A841="","","Q"&amp;ROUNDUP(MONTH(A841)/3,0))</f>
        <v/>
      </c>
      <c r="E841" s="22" t="n"/>
      <c r="F841" s="22" t="n"/>
      <c r="G841" s="40">
        <f>IFERROR(VLOOKUP(F841,M2_거래처마스터!A:E,3,FALSE),"")</f>
        <v/>
      </c>
      <c r="H841" s="22" t="n"/>
      <c r="I841" s="23" t="n"/>
      <c r="J841" s="24" t="n"/>
      <c r="K841" s="39">
        <f>IF(AND(I841&lt;&gt;"",J841&lt;&gt;""),I841*J841,"")</f>
        <v/>
      </c>
      <c r="L841" s="22" t="n"/>
      <c r="M841" s="22" t="n"/>
      <c r="N841" s="24" t="n"/>
      <c r="O841" s="24" t="n"/>
    </row>
    <row r="842">
      <c r="A842" s="34" t="n"/>
      <c r="B842" s="35">
        <f>IF(A842="","",YEAR(A842))</f>
        <v/>
      </c>
      <c r="C842" s="36">
        <f>IF(A842="","",MONTH(A842))</f>
        <v/>
      </c>
      <c r="D842" s="37">
        <f>IF(A842="","","Q"&amp;ROUNDUP(MONTH(A842)/3,0))</f>
        <v/>
      </c>
      <c r="E842" s="18" t="n"/>
      <c r="F842" s="18" t="n"/>
      <c r="G842" s="40">
        <f>IFERROR(VLOOKUP(F842,M2_거래처마스터!A:E,3,FALSE),"")</f>
        <v/>
      </c>
      <c r="H842" s="18" t="n"/>
      <c r="I842" s="19" t="n"/>
      <c r="J842" s="20" t="n"/>
      <c r="K842" s="39">
        <f>IF(AND(I842&lt;&gt;"",J842&lt;&gt;""),I842*J842,"")</f>
        <v/>
      </c>
      <c r="L842" s="18" t="n"/>
      <c r="M842" s="18" t="n"/>
      <c r="N842" s="20" t="n"/>
      <c r="O842" s="20" t="n"/>
    </row>
    <row r="843">
      <c r="A843" s="41" t="n"/>
      <c r="B843" s="35">
        <f>IF(A843="","",YEAR(A843))</f>
        <v/>
      </c>
      <c r="C843" s="36">
        <f>IF(A843="","",MONTH(A843))</f>
        <v/>
      </c>
      <c r="D843" s="37">
        <f>IF(A843="","","Q"&amp;ROUNDUP(MONTH(A843)/3,0))</f>
        <v/>
      </c>
      <c r="E843" s="22" t="n"/>
      <c r="F843" s="22" t="n"/>
      <c r="G843" s="40">
        <f>IFERROR(VLOOKUP(F843,M2_거래처마스터!A:E,3,FALSE),"")</f>
        <v/>
      </c>
      <c r="H843" s="22" t="n"/>
      <c r="I843" s="23" t="n"/>
      <c r="J843" s="24" t="n"/>
      <c r="K843" s="39">
        <f>IF(AND(I843&lt;&gt;"",J843&lt;&gt;""),I843*J843,"")</f>
        <v/>
      </c>
      <c r="L843" s="22" t="n"/>
      <c r="M843" s="22" t="n"/>
      <c r="N843" s="24" t="n"/>
      <c r="O843" s="24" t="n"/>
    </row>
    <row r="844">
      <c r="A844" s="34" t="n"/>
      <c r="B844" s="35">
        <f>IF(A844="","",YEAR(A844))</f>
        <v/>
      </c>
      <c r="C844" s="36">
        <f>IF(A844="","",MONTH(A844))</f>
        <v/>
      </c>
      <c r="D844" s="37">
        <f>IF(A844="","","Q"&amp;ROUNDUP(MONTH(A844)/3,0))</f>
        <v/>
      </c>
      <c r="E844" s="18" t="n"/>
      <c r="F844" s="18" t="n"/>
      <c r="G844" s="40">
        <f>IFERROR(VLOOKUP(F844,M2_거래처마스터!A:E,3,FALSE),"")</f>
        <v/>
      </c>
      <c r="H844" s="18" t="n"/>
      <c r="I844" s="19" t="n"/>
      <c r="J844" s="20" t="n"/>
      <c r="K844" s="39">
        <f>IF(AND(I844&lt;&gt;"",J844&lt;&gt;""),I844*J844,"")</f>
        <v/>
      </c>
      <c r="L844" s="18" t="n"/>
      <c r="M844" s="18" t="n"/>
      <c r="N844" s="20" t="n"/>
      <c r="O844" s="20" t="n"/>
    </row>
    <row r="845">
      <c r="A845" s="41" t="n"/>
      <c r="B845" s="35">
        <f>IF(A845="","",YEAR(A845))</f>
        <v/>
      </c>
      <c r="C845" s="36">
        <f>IF(A845="","",MONTH(A845))</f>
        <v/>
      </c>
      <c r="D845" s="37">
        <f>IF(A845="","","Q"&amp;ROUNDUP(MONTH(A845)/3,0))</f>
        <v/>
      </c>
      <c r="E845" s="22" t="n"/>
      <c r="F845" s="22" t="n"/>
      <c r="G845" s="40">
        <f>IFERROR(VLOOKUP(F845,M2_거래처마스터!A:E,3,FALSE),"")</f>
        <v/>
      </c>
      <c r="H845" s="22" t="n"/>
      <c r="I845" s="23" t="n"/>
      <c r="J845" s="24" t="n"/>
      <c r="K845" s="39">
        <f>IF(AND(I845&lt;&gt;"",J845&lt;&gt;""),I845*J845,"")</f>
        <v/>
      </c>
      <c r="L845" s="22" t="n"/>
      <c r="M845" s="22" t="n"/>
      <c r="N845" s="24" t="n"/>
      <c r="O845" s="24" t="n"/>
    </row>
    <row r="846">
      <c r="A846" s="34" t="n"/>
      <c r="B846" s="35">
        <f>IF(A846="","",YEAR(A846))</f>
        <v/>
      </c>
      <c r="C846" s="36">
        <f>IF(A846="","",MONTH(A846))</f>
        <v/>
      </c>
      <c r="D846" s="37">
        <f>IF(A846="","","Q"&amp;ROUNDUP(MONTH(A846)/3,0))</f>
        <v/>
      </c>
      <c r="E846" s="18" t="n"/>
      <c r="F846" s="18" t="n"/>
      <c r="G846" s="40">
        <f>IFERROR(VLOOKUP(F846,M2_거래처마스터!A:E,3,FALSE),"")</f>
        <v/>
      </c>
      <c r="H846" s="18" t="n"/>
      <c r="I846" s="19" t="n"/>
      <c r="J846" s="20" t="n"/>
      <c r="K846" s="39">
        <f>IF(AND(I846&lt;&gt;"",J846&lt;&gt;""),I846*J846,"")</f>
        <v/>
      </c>
      <c r="L846" s="18" t="n"/>
      <c r="M846" s="18" t="n"/>
      <c r="N846" s="20" t="n"/>
      <c r="O846" s="20" t="n"/>
    </row>
    <row r="847">
      <c r="A847" s="41" t="n"/>
      <c r="B847" s="35">
        <f>IF(A847="","",YEAR(A847))</f>
        <v/>
      </c>
      <c r="C847" s="36">
        <f>IF(A847="","",MONTH(A847))</f>
        <v/>
      </c>
      <c r="D847" s="37">
        <f>IF(A847="","","Q"&amp;ROUNDUP(MONTH(A847)/3,0))</f>
        <v/>
      </c>
      <c r="E847" s="22" t="n"/>
      <c r="F847" s="22" t="n"/>
      <c r="G847" s="40">
        <f>IFERROR(VLOOKUP(F847,M2_거래처마스터!A:E,3,FALSE),"")</f>
        <v/>
      </c>
      <c r="H847" s="22" t="n"/>
      <c r="I847" s="23" t="n"/>
      <c r="J847" s="24" t="n"/>
      <c r="K847" s="39">
        <f>IF(AND(I847&lt;&gt;"",J847&lt;&gt;""),I847*J847,"")</f>
        <v/>
      </c>
      <c r="L847" s="22" t="n"/>
      <c r="M847" s="22" t="n"/>
      <c r="N847" s="24" t="n"/>
      <c r="O847" s="24" t="n"/>
    </row>
    <row r="848">
      <c r="A848" s="34" t="n"/>
      <c r="B848" s="35">
        <f>IF(A848="","",YEAR(A848))</f>
        <v/>
      </c>
      <c r="C848" s="36">
        <f>IF(A848="","",MONTH(A848))</f>
        <v/>
      </c>
      <c r="D848" s="37">
        <f>IF(A848="","","Q"&amp;ROUNDUP(MONTH(A848)/3,0))</f>
        <v/>
      </c>
      <c r="E848" s="18" t="n"/>
      <c r="F848" s="18" t="n"/>
      <c r="G848" s="40">
        <f>IFERROR(VLOOKUP(F848,M2_거래처마스터!A:E,3,FALSE),"")</f>
        <v/>
      </c>
      <c r="H848" s="18" t="n"/>
      <c r="I848" s="19" t="n"/>
      <c r="J848" s="20" t="n"/>
      <c r="K848" s="39">
        <f>IF(AND(I848&lt;&gt;"",J848&lt;&gt;""),I848*J848,"")</f>
        <v/>
      </c>
      <c r="L848" s="18" t="n"/>
      <c r="M848" s="18" t="n"/>
      <c r="N848" s="20" t="n"/>
      <c r="O848" s="20" t="n"/>
    </row>
    <row r="849">
      <c r="A849" s="41" t="n"/>
      <c r="B849" s="35">
        <f>IF(A849="","",YEAR(A849))</f>
        <v/>
      </c>
      <c r="C849" s="36">
        <f>IF(A849="","",MONTH(A849))</f>
        <v/>
      </c>
      <c r="D849" s="37">
        <f>IF(A849="","","Q"&amp;ROUNDUP(MONTH(A849)/3,0))</f>
        <v/>
      </c>
      <c r="E849" s="22" t="n"/>
      <c r="F849" s="22" t="n"/>
      <c r="G849" s="40">
        <f>IFERROR(VLOOKUP(F849,M2_거래처마스터!A:E,3,FALSE),"")</f>
        <v/>
      </c>
      <c r="H849" s="22" t="n"/>
      <c r="I849" s="23" t="n"/>
      <c r="J849" s="24" t="n"/>
      <c r="K849" s="39">
        <f>IF(AND(I849&lt;&gt;"",J849&lt;&gt;""),I849*J849,"")</f>
        <v/>
      </c>
      <c r="L849" s="22" t="n"/>
      <c r="M849" s="22" t="n"/>
      <c r="N849" s="24" t="n"/>
      <c r="O849" s="24" t="n"/>
    </row>
    <row r="850">
      <c r="A850" s="34" t="n"/>
      <c r="B850" s="35">
        <f>IF(A850="","",YEAR(A850))</f>
        <v/>
      </c>
      <c r="C850" s="36">
        <f>IF(A850="","",MONTH(A850))</f>
        <v/>
      </c>
      <c r="D850" s="37">
        <f>IF(A850="","","Q"&amp;ROUNDUP(MONTH(A850)/3,0))</f>
        <v/>
      </c>
      <c r="E850" s="18" t="n"/>
      <c r="F850" s="18" t="n"/>
      <c r="G850" s="40">
        <f>IFERROR(VLOOKUP(F850,M2_거래처마스터!A:E,3,FALSE),"")</f>
        <v/>
      </c>
      <c r="H850" s="18" t="n"/>
      <c r="I850" s="19" t="n"/>
      <c r="J850" s="20" t="n"/>
      <c r="K850" s="39">
        <f>IF(AND(I850&lt;&gt;"",J850&lt;&gt;""),I850*J850,"")</f>
        <v/>
      </c>
      <c r="L850" s="18" t="n"/>
      <c r="M850" s="18" t="n"/>
      <c r="N850" s="20" t="n"/>
      <c r="O850" s="20" t="n"/>
    </row>
    <row r="851">
      <c r="A851" s="41" t="n"/>
      <c r="B851" s="35">
        <f>IF(A851="","",YEAR(A851))</f>
        <v/>
      </c>
      <c r="C851" s="36">
        <f>IF(A851="","",MONTH(A851))</f>
        <v/>
      </c>
      <c r="D851" s="37">
        <f>IF(A851="","","Q"&amp;ROUNDUP(MONTH(A851)/3,0))</f>
        <v/>
      </c>
      <c r="E851" s="22" t="n"/>
      <c r="F851" s="22" t="n"/>
      <c r="G851" s="40">
        <f>IFERROR(VLOOKUP(F851,M2_거래처마스터!A:E,3,FALSE),"")</f>
        <v/>
      </c>
      <c r="H851" s="22" t="n"/>
      <c r="I851" s="23" t="n"/>
      <c r="J851" s="24" t="n"/>
      <c r="K851" s="39">
        <f>IF(AND(I851&lt;&gt;"",J851&lt;&gt;""),I851*J851,"")</f>
        <v/>
      </c>
      <c r="L851" s="22" t="n"/>
      <c r="M851" s="22" t="n"/>
      <c r="N851" s="24" t="n"/>
      <c r="O851" s="24" t="n"/>
    </row>
    <row r="852">
      <c r="A852" s="34" t="n"/>
      <c r="B852" s="35">
        <f>IF(A852="","",YEAR(A852))</f>
        <v/>
      </c>
      <c r="C852" s="36">
        <f>IF(A852="","",MONTH(A852))</f>
        <v/>
      </c>
      <c r="D852" s="37">
        <f>IF(A852="","","Q"&amp;ROUNDUP(MONTH(A852)/3,0))</f>
        <v/>
      </c>
      <c r="E852" s="18" t="n"/>
      <c r="F852" s="18" t="n"/>
      <c r="G852" s="40">
        <f>IFERROR(VLOOKUP(F852,M2_거래처마스터!A:E,3,FALSE),"")</f>
        <v/>
      </c>
      <c r="H852" s="18" t="n"/>
      <c r="I852" s="19" t="n"/>
      <c r="J852" s="20" t="n"/>
      <c r="K852" s="39">
        <f>IF(AND(I852&lt;&gt;"",J852&lt;&gt;""),I852*J852,"")</f>
        <v/>
      </c>
      <c r="L852" s="18" t="n"/>
      <c r="M852" s="18" t="n"/>
      <c r="N852" s="20" t="n"/>
      <c r="O852" s="20" t="n"/>
    </row>
    <row r="853">
      <c r="A853" s="41" t="n"/>
      <c r="B853" s="35">
        <f>IF(A853="","",YEAR(A853))</f>
        <v/>
      </c>
      <c r="C853" s="36">
        <f>IF(A853="","",MONTH(A853))</f>
        <v/>
      </c>
      <c r="D853" s="37">
        <f>IF(A853="","","Q"&amp;ROUNDUP(MONTH(A853)/3,0))</f>
        <v/>
      </c>
      <c r="E853" s="22" t="n"/>
      <c r="F853" s="22" t="n"/>
      <c r="G853" s="40">
        <f>IFERROR(VLOOKUP(F853,M2_거래처마스터!A:E,3,FALSE),"")</f>
        <v/>
      </c>
      <c r="H853" s="22" t="n"/>
      <c r="I853" s="23" t="n"/>
      <c r="J853" s="24" t="n"/>
      <c r="K853" s="39">
        <f>IF(AND(I853&lt;&gt;"",J853&lt;&gt;""),I853*J853,"")</f>
        <v/>
      </c>
      <c r="L853" s="22" t="n"/>
      <c r="M853" s="22" t="n"/>
      <c r="N853" s="24" t="n"/>
      <c r="O853" s="24" t="n"/>
    </row>
    <row r="854">
      <c r="A854" s="34" t="n"/>
      <c r="B854" s="35">
        <f>IF(A854="","",YEAR(A854))</f>
        <v/>
      </c>
      <c r="C854" s="36">
        <f>IF(A854="","",MONTH(A854))</f>
        <v/>
      </c>
      <c r="D854" s="37">
        <f>IF(A854="","","Q"&amp;ROUNDUP(MONTH(A854)/3,0))</f>
        <v/>
      </c>
      <c r="E854" s="18" t="n"/>
      <c r="F854" s="18" t="n"/>
      <c r="G854" s="40">
        <f>IFERROR(VLOOKUP(F854,M2_거래처마스터!A:E,3,FALSE),"")</f>
        <v/>
      </c>
      <c r="H854" s="18" t="n"/>
      <c r="I854" s="19" t="n"/>
      <c r="J854" s="20" t="n"/>
      <c r="K854" s="39">
        <f>IF(AND(I854&lt;&gt;"",J854&lt;&gt;""),I854*J854,"")</f>
        <v/>
      </c>
      <c r="L854" s="18" t="n"/>
      <c r="M854" s="18" t="n"/>
      <c r="N854" s="20" t="n"/>
      <c r="O854" s="20" t="n"/>
    </row>
    <row r="855">
      <c r="A855" s="41" t="n"/>
      <c r="B855" s="35">
        <f>IF(A855="","",YEAR(A855))</f>
        <v/>
      </c>
      <c r="C855" s="36">
        <f>IF(A855="","",MONTH(A855))</f>
        <v/>
      </c>
      <c r="D855" s="37">
        <f>IF(A855="","","Q"&amp;ROUNDUP(MONTH(A855)/3,0))</f>
        <v/>
      </c>
      <c r="E855" s="22" t="n"/>
      <c r="F855" s="22" t="n"/>
      <c r="G855" s="40">
        <f>IFERROR(VLOOKUP(F855,M2_거래처마스터!A:E,3,FALSE),"")</f>
        <v/>
      </c>
      <c r="H855" s="22" t="n"/>
      <c r="I855" s="23" t="n"/>
      <c r="J855" s="24" t="n"/>
      <c r="K855" s="39">
        <f>IF(AND(I855&lt;&gt;"",J855&lt;&gt;""),I855*J855,"")</f>
        <v/>
      </c>
      <c r="L855" s="22" t="n"/>
      <c r="M855" s="22" t="n"/>
      <c r="N855" s="24" t="n"/>
      <c r="O855" s="24" t="n"/>
    </row>
    <row r="856">
      <c r="A856" s="34" t="n"/>
      <c r="B856" s="35">
        <f>IF(A856="","",YEAR(A856))</f>
        <v/>
      </c>
      <c r="C856" s="36">
        <f>IF(A856="","",MONTH(A856))</f>
        <v/>
      </c>
      <c r="D856" s="37">
        <f>IF(A856="","","Q"&amp;ROUNDUP(MONTH(A856)/3,0))</f>
        <v/>
      </c>
      <c r="E856" s="18" t="n"/>
      <c r="F856" s="18" t="n"/>
      <c r="G856" s="40">
        <f>IFERROR(VLOOKUP(F856,M2_거래처마스터!A:E,3,FALSE),"")</f>
        <v/>
      </c>
      <c r="H856" s="18" t="n"/>
      <c r="I856" s="19" t="n"/>
      <c r="J856" s="20" t="n"/>
      <c r="K856" s="39">
        <f>IF(AND(I856&lt;&gt;"",J856&lt;&gt;""),I856*J856,"")</f>
        <v/>
      </c>
      <c r="L856" s="18" t="n"/>
      <c r="M856" s="18" t="n"/>
      <c r="N856" s="20" t="n"/>
      <c r="O856" s="20" t="n"/>
    </row>
    <row r="857">
      <c r="A857" s="41" t="n"/>
      <c r="B857" s="35">
        <f>IF(A857="","",YEAR(A857))</f>
        <v/>
      </c>
      <c r="C857" s="36">
        <f>IF(A857="","",MONTH(A857))</f>
        <v/>
      </c>
      <c r="D857" s="37">
        <f>IF(A857="","","Q"&amp;ROUNDUP(MONTH(A857)/3,0))</f>
        <v/>
      </c>
      <c r="E857" s="22" t="n"/>
      <c r="F857" s="22" t="n"/>
      <c r="G857" s="40">
        <f>IFERROR(VLOOKUP(F857,M2_거래처마스터!A:E,3,FALSE),"")</f>
        <v/>
      </c>
      <c r="H857" s="22" t="n"/>
      <c r="I857" s="23" t="n"/>
      <c r="J857" s="24" t="n"/>
      <c r="K857" s="39">
        <f>IF(AND(I857&lt;&gt;"",J857&lt;&gt;""),I857*J857,"")</f>
        <v/>
      </c>
      <c r="L857" s="22" t="n"/>
      <c r="M857" s="22" t="n"/>
      <c r="N857" s="24" t="n"/>
      <c r="O857" s="24" t="n"/>
    </row>
    <row r="858">
      <c r="A858" s="34" t="n"/>
      <c r="B858" s="35">
        <f>IF(A858="","",YEAR(A858))</f>
        <v/>
      </c>
      <c r="C858" s="36">
        <f>IF(A858="","",MONTH(A858))</f>
        <v/>
      </c>
      <c r="D858" s="37">
        <f>IF(A858="","","Q"&amp;ROUNDUP(MONTH(A858)/3,0))</f>
        <v/>
      </c>
      <c r="E858" s="18" t="n"/>
      <c r="F858" s="18" t="n"/>
      <c r="G858" s="40">
        <f>IFERROR(VLOOKUP(F858,M2_거래처마스터!A:E,3,FALSE),"")</f>
        <v/>
      </c>
      <c r="H858" s="18" t="n"/>
      <c r="I858" s="19" t="n"/>
      <c r="J858" s="20" t="n"/>
      <c r="K858" s="39">
        <f>IF(AND(I858&lt;&gt;"",J858&lt;&gt;""),I858*J858,"")</f>
        <v/>
      </c>
      <c r="L858" s="18" t="n"/>
      <c r="M858" s="18" t="n"/>
      <c r="N858" s="20" t="n"/>
      <c r="O858" s="20" t="n"/>
    </row>
    <row r="859">
      <c r="A859" s="41" t="n"/>
      <c r="B859" s="35">
        <f>IF(A859="","",YEAR(A859))</f>
        <v/>
      </c>
      <c r="C859" s="36">
        <f>IF(A859="","",MONTH(A859))</f>
        <v/>
      </c>
      <c r="D859" s="37">
        <f>IF(A859="","","Q"&amp;ROUNDUP(MONTH(A859)/3,0))</f>
        <v/>
      </c>
      <c r="E859" s="22" t="n"/>
      <c r="F859" s="22" t="n"/>
      <c r="G859" s="40">
        <f>IFERROR(VLOOKUP(F859,M2_거래처마스터!A:E,3,FALSE),"")</f>
        <v/>
      </c>
      <c r="H859" s="22" t="n"/>
      <c r="I859" s="23" t="n"/>
      <c r="J859" s="24" t="n"/>
      <c r="K859" s="39">
        <f>IF(AND(I859&lt;&gt;"",J859&lt;&gt;""),I859*J859,"")</f>
        <v/>
      </c>
      <c r="L859" s="22" t="n"/>
      <c r="M859" s="22" t="n"/>
      <c r="N859" s="24" t="n"/>
      <c r="O859" s="24" t="n"/>
    </row>
    <row r="860">
      <c r="A860" s="34" t="n"/>
      <c r="B860" s="35">
        <f>IF(A860="","",YEAR(A860))</f>
        <v/>
      </c>
      <c r="C860" s="36">
        <f>IF(A860="","",MONTH(A860))</f>
        <v/>
      </c>
      <c r="D860" s="37">
        <f>IF(A860="","","Q"&amp;ROUNDUP(MONTH(A860)/3,0))</f>
        <v/>
      </c>
      <c r="E860" s="18" t="n"/>
      <c r="F860" s="18" t="n"/>
      <c r="G860" s="40">
        <f>IFERROR(VLOOKUP(F860,M2_거래처마스터!A:E,3,FALSE),"")</f>
        <v/>
      </c>
      <c r="H860" s="18" t="n"/>
      <c r="I860" s="19" t="n"/>
      <c r="J860" s="20" t="n"/>
      <c r="K860" s="39">
        <f>IF(AND(I860&lt;&gt;"",J860&lt;&gt;""),I860*J860,"")</f>
        <v/>
      </c>
      <c r="L860" s="18" t="n"/>
      <c r="M860" s="18" t="n"/>
      <c r="N860" s="20" t="n"/>
      <c r="O860" s="20" t="n"/>
    </row>
    <row r="861">
      <c r="A861" s="41" t="n"/>
      <c r="B861" s="35">
        <f>IF(A861="","",YEAR(A861))</f>
        <v/>
      </c>
      <c r="C861" s="36">
        <f>IF(A861="","",MONTH(A861))</f>
        <v/>
      </c>
      <c r="D861" s="37">
        <f>IF(A861="","","Q"&amp;ROUNDUP(MONTH(A861)/3,0))</f>
        <v/>
      </c>
      <c r="E861" s="22" t="n"/>
      <c r="F861" s="22" t="n"/>
      <c r="G861" s="40">
        <f>IFERROR(VLOOKUP(F861,M2_거래처마스터!A:E,3,FALSE),"")</f>
        <v/>
      </c>
      <c r="H861" s="22" t="n"/>
      <c r="I861" s="23" t="n"/>
      <c r="J861" s="24" t="n"/>
      <c r="K861" s="39">
        <f>IF(AND(I861&lt;&gt;"",J861&lt;&gt;""),I861*J861,"")</f>
        <v/>
      </c>
      <c r="L861" s="22" t="n"/>
      <c r="M861" s="22" t="n"/>
      <c r="N861" s="24" t="n"/>
      <c r="O861" s="24" t="n"/>
    </row>
    <row r="862">
      <c r="A862" s="34" t="n"/>
      <c r="B862" s="35">
        <f>IF(A862="","",YEAR(A862))</f>
        <v/>
      </c>
      <c r="C862" s="36">
        <f>IF(A862="","",MONTH(A862))</f>
        <v/>
      </c>
      <c r="D862" s="37">
        <f>IF(A862="","","Q"&amp;ROUNDUP(MONTH(A862)/3,0))</f>
        <v/>
      </c>
      <c r="E862" s="18" t="n"/>
      <c r="F862" s="18" t="n"/>
      <c r="G862" s="40">
        <f>IFERROR(VLOOKUP(F862,M2_거래처마스터!A:E,3,FALSE),"")</f>
        <v/>
      </c>
      <c r="H862" s="18" t="n"/>
      <c r="I862" s="19" t="n"/>
      <c r="J862" s="20" t="n"/>
      <c r="K862" s="39">
        <f>IF(AND(I862&lt;&gt;"",J862&lt;&gt;""),I862*J862,"")</f>
        <v/>
      </c>
      <c r="L862" s="18" t="n"/>
      <c r="M862" s="18" t="n"/>
      <c r="N862" s="20" t="n"/>
      <c r="O862" s="20" t="n"/>
    </row>
    <row r="863">
      <c r="A863" s="41" t="n"/>
      <c r="B863" s="35">
        <f>IF(A863="","",YEAR(A863))</f>
        <v/>
      </c>
      <c r="C863" s="36">
        <f>IF(A863="","",MONTH(A863))</f>
        <v/>
      </c>
      <c r="D863" s="37">
        <f>IF(A863="","","Q"&amp;ROUNDUP(MONTH(A863)/3,0))</f>
        <v/>
      </c>
      <c r="E863" s="22" t="n"/>
      <c r="F863" s="22" t="n"/>
      <c r="G863" s="40">
        <f>IFERROR(VLOOKUP(F863,M2_거래처마스터!A:E,3,FALSE),"")</f>
        <v/>
      </c>
      <c r="H863" s="22" t="n"/>
      <c r="I863" s="23" t="n"/>
      <c r="J863" s="24" t="n"/>
      <c r="K863" s="39">
        <f>IF(AND(I863&lt;&gt;"",J863&lt;&gt;""),I863*J863,"")</f>
        <v/>
      </c>
      <c r="L863" s="22" t="n"/>
      <c r="M863" s="22" t="n"/>
      <c r="N863" s="24" t="n"/>
      <c r="O863" s="24" t="n"/>
    </row>
    <row r="864">
      <c r="A864" s="34" t="n"/>
      <c r="B864" s="35">
        <f>IF(A864="","",YEAR(A864))</f>
        <v/>
      </c>
      <c r="C864" s="36">
        <f>IF(A864="","",MONTH(A864))</f>
        <v/>
      </c>
      <c r="D864" s="37">
        <f>IF(A864="","","Q"&amp;ROUNDUP(MONTH(A864)/3,0))</f>
        <v/>
      </c>
      <c r="E864" s="18" t="n"/>
      <c r="F864" s="18" t="n"/>
      <c r="G864" s="40">
        <f>IFERROR(VLOOKUP(F864,M2_거래처마스터!A:E,3,FALSE),"")</f>
        <v/>
      </c>
      <c r="H864" s="18" t="n"/>
      <c r="I864" s="19" t="n"/>
      <c r="J864" s="20" t="n"/>
      <c r="K864" s="39">
        <f>IF(AND(I864&lt;&gt;"",J864&lt;&gt;""),I864*J864,"")</f>
        <v/>
      </c>
      <c r="L864" s="18" t="n"/>
      <c r="M864" s="18" t="n"/>
      <c r="N864" s="20" t="n"/>
      <c r="O864" s="20" t="n"/>
    </row>
    <row r="865">
      <c r="A865" s="41" t="n"/>
      <c r="B865" s="35">
        <f>IF(A865="","",YEAR(A865))</f>
        <v/>
      </c>
      <c r="C865" s="36">
        <f>IF(A865="","",MONTH(A865))</f>
        <v/>
      </c>
      <c r="D865" s="37">
        <f>IF(A865="","","Q"&amp;ROUNDUP(MONTH(A865)/3,0))</f>
        <v/>
      </c>
      <c r="E865" s="22" t="n"/>
      <c r="F865" s="22" t="n"/>
      <c r="G865" s="40">
        <f>IFERROR(VLOOKUP(F865,M2_거래처마스터!A:E,3,FALSE),"")</f>
        <v/>
      </c>
      <c r="H865" s="22" t="n"/>
      <c r="I865" s="23" t="n"/>
      <c r="J865" s="24" t="n"/>
      <c r="K865" s="39">
        <f>IF(AND(I865&lt;&gt;"",J865&lt;&gt;""),I865*J865,"")</f>
        <v/>
      </c>
      <c r="L865" s="22" t="n"/>
      <c r="M865" s="22" t="n"/>
      <c r="N865" s="24" t="n"/>
      <c r="O865" s="24" t="n"/>
    </row>
    <row r="866">
      <c r="A866" s="34" t="n"/>
      <c r="B866" s="35">
        <f>IF(A866="","",YEAR(A866))</f>
        <v/>
      </c>
      <c r="C866" s="36">
        <f>IF(A866="","",MONTH(A866))</f>
        <v/>
      </c>
      <c r="D866" s="37">
        <f>IF(A866="","","Q"&amp;ROUNDUP(MONTH(A866)/3,0))</f>
        <v/>
      </c>
      <c r="E866" s="18" t="n"/>
      <c r="F866" s="18" t="n"/>
      <c r="G866" s="40">
        <f>IFERROR(VLOOKUP(F866,M2_거래처마스터!A:E,3,FALSE),"")</f>
        <v/>
      </c>
      <c r="H866" s="18" t="n"/>
      <c r="I866" s="19" t="n"/>
      <c r="J866" s="20" t="n"/>
      <c r="K866" s="39">
        <f>IF(AND(I866&lt;&gt;"",J866&lt;&gt;""),I866*J866,"")</f>
        <v/>
      </c>
      <c r="L866" s="18" t="n"/>
      <c r="M866" s="18" t="n"/>
      <c r="N866" s="20" t="n"/>
      <c r="O866" s="20" t="n"/>
    </row>
    <row r="867">
      <c r="A867" s="41" t="n"/>
      <c r="B867" s="35">
        <f>IF(A867="","",YEAR(A867))</f>
        <v/>
      </c>
      <c r="C867" s="36">
        <f>IF(A867="","",MONTH(A867))</f>
        <v/>
      </c>
      <c r="D867" s="37">
        <f>IF(A867="","","Q"&amp;ROUNDUP(MONTH(A867)/3,0))</f>
        <v/>
      </c>
      <c r="E867" s="22" t="n"/>
      <c r="F867" s="22" t="n"/>
      <c r="G867" s="40">
        <f>IFERROR(VLOOKUP(F867,M2_거래처마스터!A:E,3,FALSE),"")</f>
        <v/>
      </c>
      <c r="H867" s="22" t="n"/>
      <c r="I867" s="23" t="n"/>
      <c r="J867" s="24" t="n"/>
      <c r="K867" s="39">
        <f>IF(AND(I867&lt;&gt;"",J867&lt;&gt;""),I867*J867,"")</f>
        <v/>
      </c>
      <c r="L867" s="22" t="n"/>
      <c r="M867" s="22" t="n"/>
      <c r="N867" s="24" t="n"/>
      <c r="O867" s="24" t="n"/>
    </row>
    <row r="868">
      <c r="A868" s="34" t="n"/>
      <c r="B868" s="35">
        <f>IF(A868="","",YEAR(A868))</f>
        <v/>
      </c>
      <c r="C868" s="36">
        <f>IF(A868="","",MONTH(A868))</f>
        <v/>
      </c>
      <c r="D868" s="37">
        <f>IF(A868="","","Q"&amp;ROUNDUP(MONTH(A868)/3,0))</f>
        <v/>
      </c>
      <c r="E868" s="18" t="n"/>
      <c r="F868" s="18" t="n"/>
      <c r="G868" s="40">
        <f>IFERROR(VLOOKUP(F868,M2_거래처마스터!A:E,3,FALSE),"")</f>
        <v/>
      </c>
      <c r="H868" s="18" t="n"/>
      <c r="I868" s="19" t="n"/>
      <c r="J868" s="20" t="n"/>
      <c r="K868" s="39">
        <f>IF(AND(I868&lt;&gt;"",J868&lt;&gt;""),I868*J868,"")</f>
        <v/>
      </c>
      <c r="L868" s="18" t="n"/>
      <c r="M868" s="18" t="n"/>
      <c r="N868" s="20" t="n"/>
      <c r="O868" s="20" t="n"/>
    </row>
    <row r="869">
      <c r="A869" s="41" t="n"/>
      <c r="B869" s="35">
        <f>IF(A869="","",YEAR(A869))</f>
        <v/>
      </c>
      <c r="C869" s="36">
        <f>IF(A869="","",MONTH(A869))</f>
        <v/>
      </c>
      <c r="D869" s="37">
        <f>IF(A869="","","Q"&amp;ROUNDUP(MONTH(A869)/3,0))</f>
        <v/>
      </c>
      <c r="E869" s="22" t="n"/>
      <c r="F869" s="22" t="n"/>
      <c r="G869" s="40">
        <f>IFERROR(VLOOKUP(F869,M2_거래처마스터!A:E,3,FALSE),"")</f>
        <v/>
      </c>
      <c r="H869" s="22" t="n"/>
      <c r="I869" s="23" t="n"/>
      <c r="J869" s="24" t="n"/>
      <c r="K869" s="39">
        <f>IF(AND(I869&lt;&gt;"",J869&lt;&gt;""),I869*J869,"")</f>
        <v/>
      </c>
      <c r="L869" s="22" t="n"/>
      <c r="M869" s="22" t="n"/>
      <c r="N869" s="24" t="n"/>
      <c r="O869" s="24" t="n"/>
    </row>
    <row r="870">
      <c r="A870" s="34" t="n"/>
      <c r="B870" s="35">
        <f>IF(A870="","",YEAR(A870))</f>
        <v/>
      </c>
      <c r="C870" s="36">
        <f>IF(A870="","",MONTH(A870))</f>
        <v/>
      </c>
      <c r="D870" s="37">
        <f>IF(A870="","","Q"&amp;ROUNDUP(MONTH(A870)/3,0))</f>
        <v/>
      </c>
      <c r="E870" s="18" t="n"/>
      <c r="F870" s="18" t="n"/>
      <c r="G870" s="40">
        <f>IFERROR(VLOOKUP(F870,M2_거래처마스터!A:E,3,FALSE),"")</f>
        <v/>
      </c>
      <c r="H870" s="18" t="n"/>
      <c r="I870" s="19" t="n"/>
      <c r="J870" s="20" t="n"/>
      <c r="K870" s="39">
        <f>IF(AND(I870&lt;&gt;"",J870&lt;&gt;""),I870*J870,"")</f>
        <v/>
      </c>
      <c r="L870" s="18" t="n"/>
      <c r="M870" s="18" t="n"/>
      <c r="N870" s="20" t="n"/>
      <c r="O870" s="20" t="n"/>
    </row>
    <row r="871">
      <c r="A871" s="41" t="n"/>
      <c r="B871" s="35">
        <f>IF(A871="","",YEAR(A871))</f>
        <v/>
      </c>
      <c r="C871" s="36">
        <f>IF(A871="","",MONTH(A871))</f>
        <v/>
      </c>
      <c r="D871" s="37">
        <f>IF(A871="","","Q"&amp;ROUNDUP(MONTH(A871)/3,0))</f>
        <v/>
      </c>
      <c r="E871" s="22" t="n"/>
      <c r="F871" s="22" t="n"/>
      <c r="G871" s="40">
        <f>IFERROR(VLOOKUP(F871,M2_거래처마스터!A:E,3,FALSE),"")</f>
        <v/>
      </c>
      <c r="H871" s="22" t="n"/>
      <c r="I871" s="23" t="n"/>
      <c r="J871" s="24" t="n"/>
      <c r="K871" s="39">
        <f>IF(AND(I871&lt;&gt;"",J871&lt;&gt;""),I871*J871,"")</f>
        <v/>
      </c>
      <c r="L871" s="22" t="n"/>
      <c r="M871" s="22" t="n"/>
      <c r="N871" s="24" t="n"/>
      <c r="O871" s="24" t="n"/>
    </row>
    <row r="872">
      <c r="A872" s="34" t="n"/>
      <c r="B872" s="35">
        <f>IF(A872="","",YEAR(A872))</f>
        <v/>
      </c>
      <c r="C872" s="36">
        <f>IF(A872="","",MONTH(A872))</f>
        <v/>
      </c>
      <c r="D872" s="37">
        <f>IF(A872="","","Q"&amp;ROUNDUP(MONTH(A872)/3,0))</f>
        <v/>
      </c>
      <c r="E872" s="18" t="n"/>
      <c r="F872" s="18" t="n"/>
      <c r="G872" s="40">
        <f>IFERROR(VLOOKUP(F872,M2_거래처마스터!A:E,3,FALSE),"")</f>
        <v/>
      </c>
      <c r="H872" s="18" t="n"/>
      <c r="I872" s="19" t="n"/>
      <c r="J872" s="20" t="n"/>
      <c r="K872" s="39">
        <f>IF(AND(I872&lt;&gt;"",J872&lt;&gt;""),I872*J872,"")</f>
        <v/>
      </c>
      <c r="L872" s="18" t="n"/>
      <c r="M872" s="18" t="n"/>
      <c r="N872" s="20" t="n"/>
      <c r="O872" s="20" t="n"/>
    </row>
    <row r="873">
      <c r="A873" s="41" t="n"/>
      <c r="B873" s="35">
        <f>IF(A873="","",YEAR(A873))</f>
        <v/>
      </c>
      <c r="C873" s="36">
        <f>IF(A873="","",MONTH(A873))</f>
        <v/>
      </c>
      <c r="D873" s="37">
        <f>IF(A873="","","Q"&amp;ROUNDUP(MONTH(A873)/3,0))</f>
        <v/>
      </c>
      <c r="E873" s="22" t="n"/>
      <c r="F873" s="22" t="n"/>
      <c r="G873" s="40">
        <f>IFERROR(VLOOKUP(F873,M2_거래처마스터!A:E,3,FALSE),"")</f>
        <v/>
      </c>
      <c r="H873" s="22" t="n"/>
      <c r="I873" s="23" t="n"/>
      <c r="J873" s="24" t="n"/>
      <c r="K873" s="39">
        <f>IF(AND(I873&lt;&gt;"",J873&lt;&gt;""),I873*J873,"")</f>
        <v/>
      </c>
      <c r="L873" s="22" t="n"/>
      <c r="M873" s="22" t="n"/>
      <c r="N873" s="24" t="n"/>
      <c r="O873" s="24" t="n"/>
    </row>
    <row r="874">
      <c r="A874" s="34" t="n"/>
      <c r="B874" s="35">
        <f>IF(A874="","",YEAR(A874))</f>
        <v/>
      </c>
      <c r="C874" s="36">
        <f>IF(A874="","",MONTH(A874))</f>
        <v/>
      </c>
      <c r="D874" s="37">
        <f>IF(A874="","","Q"&amp;ROUNDUP(MONTH(A874)/3,0))</f>
        <v/>
      </c>
      <c r="E874" s="18" t="n"/>
      <c r="F874" s="18" t="n"/>
      <c r="G874" s="40">
        <f>IFERROR(VLOOKUP(F874,M2_거래처마스터!A:E,3,FALSE),"")</f>
        <v/>
      </c>
      <c r="H874" s="18" t="n"/>
      <c r="I874" s="19" t="n"/>
      <c r="J874" s="20" t="n"/>
      <c r="K874" s="39">
        <f>IF(AND(I874&lt;&gt;"",J874&lt;&gt;""),I874*J874,"")</f>
        <v/>
      </c>
      <c r="L874" s="18" t="n"/>
      <c r="M874" s="18" t="n"/>
      <c r="N874" s="20" t="n"/>
      <c r="O874" s="20" t="n"/>
    </row>
    <row r="875">
      <c r="A875" s="41" t="n"/>
      <c r="B875" s="35">
        <f>IF(A875="","",YEAR(A875))</f>
        <v/>
      </c>
      <c r="C875" s="36">
        <f>IF(A875="","",MONTH(A875))</f>
        <v/>
      </c>
      <c r="D875" s="37">
        <f>IF(A875="","","Q"&amp;ROUNDUP(MONTH(A875)/3,0))</f>
        <v/>
      </c>
      <c r="E875" s="22" t="n"/>
      <c r="F875" s="22" t="n"/>
      <c r="G875" s="40">
        <f>IFERROR(VLOOKUP(F875,M2_거래처마스터!A:E,3,FALSE),"")</f>
        <v/>
      </c>
      <c r="H875" s="22" t="n"/>
      <c r="I875" s="23" t="n"/>
      <c r="J875" s="24" t="n"/>
      <c r="K875" s="39">
        <f>IF(AND(I875&lt;&gt;"",J875&lt;&gt;""),I875*J875,"")</f>
        <v/>
      </c>
      <c r="L875" s="22" t="n"/>
      <c r="M875" s="22" t="n"/>
      <c r="N875" s="24" t="n"/>
      <c r="O875" s="24" t="n"/>
    </row>
    <row r="876">
      <c r="A876" s="34" t="n"/>
      <c r="B876" s="35">
        <f>IF(A876="","",YEAR(A876))</f>
        <v/>
      </c>
      <c r="C876" s="36">
        <f>IF(A876="","",MONTH(A876))</f>
        <v/>
      </c>
      <c r="D876" s="37">
        <f>IF(A876="","","Q"&amp;ROUNDUP(MONTH(A876)/3,0))</f>
        <v/>
      </c>
      <c r="E876" s="18" t="n"/>
      <c r="F876" s="18" t="n"/>
      <c r="G876" s="40">
        <f>IFERROR(VLOOKUP(F876,M2_거래처마스터!A:E,3,FALSE),"")</f>
        <v/>
      </c>
      <c r="H876" s="18" t="n"/>
      <c r="I876" s="19" t="n"/>
      <c r="J876" s="20" t="n"/>
      <c r="K876" s="39">
        <f>IF(AND(I876&lt;&gt;"",J876&lt;&gt;""),I876*J876,"")</f>
        <v/>
      </c>
      <c r="L876" s="18" t="n"/>
      <c r="M876" s="18" t="n"/>
      <c r="N876" s="20" t="n"/>
      <c r="O876" s="20" t="n"/>
    </row>
    <row r="877">
      <c r="A877" s="41" t="n"/>
      <c r="B877" s="35">
        <f>IF(A877="","",YEAR(A877))</f>
        <v/>
      </c>
      <c r="C877" s="36">
        <f>IF(A877="","",MONTH(A877))</f>
        <v/>
      </c>
      <c r="D877" s="37">
        <f>IF(A877="","","Q"&amp;ROUNDUP(MONTH(A877)/3,0))</f>
        <v/>
      </c>
      <c r="E877" s="22" t="n"/>
      <c r="F877" s="22" t="n"/>
      <c r="G877" s="40">
        <f>IFERROR(VLOOKUP(F877,M2_거래처마스터!A:E,3,FALSE),"")</f>
        <v/>
      </c>
      <c r="H877" s="22" t="n"/>
      <c r="I877" s="23" t="n"/>
      <c r="J877" s="24" t="n"/>
      <c r="K877" s="39">
        <f>IF(AND(I877&lt;&gt;"",J877&lt;&gt;""),I877*J877,"")</f>
        <v/>
      </c>
      <c r="L877" s="22" t="n"/>
      <c r="M877" s="22" t="n"/>
      <c r="N877" s="24" t="n"/>
      <c r="O877" s="24" t="n"/>
    </row>
    <row r="878">
      <c r="A878" s="34" t="n"/>
      <c r="B878" s="35">
        <f>IF(A878="","",YEAR(A878))</f>
        <v/>
      </c>
      <c r="C878" s="36">
        <f>IF(A878="","",MONTH(A878))</f>
        <v/>
      </c>
      <c r="D878" s="37">
        <f>IF(A878="","","Q"&amp;ROUNDUP(MONTH(A878)/3,0))</f>
        <v/>
      </c>
      <c r="E878" s="18" t="n"/>
      <c r="F878" s="18" t="n"/>
      <c r="G878" s="40">
        <f>IFERROR(VLOOKUP(F878,M2_거래처마스터!A:E,3,FALSE),"")</f>
        <v/>
      </c>
      <c r="H878" s="18" t="n"/>
      <c r="I878" s="19" t="n"/>
      <c r="J878" s="20" t="n"/>
      <c r="K878" s="39">
        <f>IF(AND(I878&lt;&gt;"",J878&lt;&gt;""),I878*J878,"")</f>
        <v/>
      </c>
      <c r="L878" s="18" t="n"/>
      <c r="M878" s="18" t="n"/>
      <c r="N878" s="20" t="n"/>
      <c r="O878" s="20" t="n"/>
    </row>
    <row r="879">
      <c r="A879" s="41" t="n"/>
      <c r="B879" s="35">
        <f>IF(A879="","",YEAR(A879))</f>
        <v/>
      </c>
      <c r="C879" s="36">
        <f>IF(A879="","",MONTH(A879))</f>
        <v/>
      </c>
      <c r="D879" s="37">
        <f>IF(A879="","","Q"&amp;ROUNDUP(MONTH(A879)/3,0))</f>
        <v/>
      </c>
      <c r="E879" s="22" t="n"/>
      <c r="F879" s="22" t="n"/>
      <c r="G879" s="40">
        <f>IFERROR(VLOOKUP(F879,M2_거래처마스터!A:E,3,FALSE),"")</f>
        <v/>
      </c>
      <c r="H879" s="22" t="n"/>
      <c r="I879" s="23" t="n"/>
      <c r="J879" s="24" t="n"/>
      <c r="K879" s="39">
        <f>IF(AND(I879&lt;&gt;"",J879&lt;&gt;""),I879*J879,"")</f>
        <v/>
      </c>
      <c r="L879" s="22" t="n"/>
      <c r="M879" s="22" t="n"/>
      <c r="N879" s="24" t="n"/>
      <c r="O879" s="24" t="n"/>
    </row>
    <row r="880">
      <c r="A880" s="34" t="n"/>
      <c r="B880" s="35">
        <f>IF(A880="","",YEAR(A880))</f>
        <v/>
      </c>
      <c r="C880" s="36">
        <f>IF(A880="","",MONTH(A880))</f>
        <v/>
      </c>
      <c r="D880" s="37">
        <f>IF(A880="","","Q"&amp;ROUNDUP(MONTH(A880)/3,0))</f>
        <v/>
      </c>
      <c r="E880" s="18" t="n"/>
      <c r="F880" s="18" t="n"/>
      <c r="G880" s="40">
        <f>IFERROR(VLOOKUP(F880,M2_거래처마스터!A:E,3,FALSE),"")</f>
        <v/>
      </c>
      <c r="H880" s="18" t="n"/>
      <c r="I880" s="19" t="n"/>
      <c r="J880" s="20" t="n"/>
      <c r="K880" s="39">
        <f>IF(AND(I880&lt;&gt;"",J880&lt;&gt;""),I880*J880,"")</f>
        <v/>
      </c>
      <c r="L880" s="18" t="n"/>
      <c r="M880" s="18" t="n"/>
      <c r="N880" s="20" t="n"/>
      <c r="O880" s="20" t="n"/>
    </row>
    <row r="881">
      <c r="A881" s="41" t="n"/>
      <c r="B881" s="35">
        <f>IF(A881="","",YEAR(A881))</f>
        <v/>
      </c>
      <c r="C881" s="36">
        <f>IF(A881="","",MONTH(A881))</f>
        <v/>
      </c>
      <c r="D881" s="37">
        <f>IF(A881="","","Q"&amp;ROUNDUP(MONTH(A881)/3,0))</f>
        <v/>
      </c>
      <c r="E881" s="22" t="n"/>
      <c r="F881" s="22" t="n"/>
      <c r="G881" s="40">
        <f>IFERROR(VLOOKUP(F881,M2_거래처마스터!A:E,3,FALSE),"")</f>
        <v/>
      </c>
      <c r="H881" s="22" t="n"/>
      <c r="I881" s="23" t="n"/>
      <c r="J881" s="24" t="n"/>
      <c r="K881" s="39">
        <f>IF(AND(I881&lt;&gt;"",J881&lt;&gt;""),I881*J881,"")</f>
        <v/>
      </c>
      <c r="L881" s="22" t="n"/>
      <c r="M881" s="22" t="n"/>
      <c r="N881" s="24" t="n"/>
      <c r="O881" s="24" t="n"/>
    </row>
    <row r="882">
      <c r="A882" s="34" t="n"/>
      <c r="B882" s="35">
        <f>IF(A882="","",YEAR(A882))</f>
        <v/>
      </c>
      <c r="C882" s="36">
        <f>IF(A882="","",MONTH(A882))</f>
        <v/>
      </c>
      <c r="D882" s="37">
        <f>IF(A882="","","Q"&amp;ROUNDUP(MONTH(A882)/3,0))</f>
        <v/>
      </c>
      <c r="E882" s="18" t="n"/>
      <c r="F882" s="18" t="n"/>
      <c r="G882" s="40">
        <f>IFERROR(VLOOKUP(F882,M2_거래처마스터!A:E,3,FALSE),"")</f>
        <v/>
      </c>
      <c r="H882" s="18" t="n"/>
      <c r="I882" s="19" t="n"/>
      <c r="J882" s="20" t="n"/>
      <c r="K882" s="39">
        <f>IF(AND(I882&lt;&gt;"",J882&lt;&gt;""),I882*J882,"")</f>
        <v/>
      </c>
      <c r="L882" s="18" t="n"/>
      <c r="M882" s="18" t="n"/>
      <c r="N882" s="20" t="n"/>
      <c r="O882" s="20" t="n"/>
    </row>
    <row r="883">
      <c r="A883" s="41" t="n"/>
      <c r="B883" s="35">
        <f>IF(A883="","",YEAR(A883))</f>
        <v/>
      </c>
      <c r="C883" s="36">
        <f>IF(A883="","",MONTH(A883))</f>
        <v/>
      </c>
      <c r="D883" s="37">
        <f>IF(A883="","","Q"&amp;ROUNDUP(MONTH(A883)/3,0))</f>
        <v/>
      </c>
      <c r="E883" s="22" t="n"/>
      <c r="F883" s="22" t="n"/>
      <c r="G883" s="40">
        <f>IFERROR(VLOOKUP(F883,M2_거래처마스터!A:E,3,FALSE),"")</f>
        <v/>
      </c>
      <c r="H883" s="22" t="n"/>
      <c r="I883" s="23" t="n"/>
      <c r="J883" s="24" t="n"/>
      <c r="K883" s="39">
        <f>IF(AND(I883&lt;&gt;"",J883&lt;&gt;""),I883*J883,"")</f>
        <v/>
      </c>
      <c r="L883" s="22" t="n"/>
      <c r="M883" s="22" t="n"/>
      <c r="N883" s="24" t="n"/>
      <c r="O883" s="24" t="n"/>
    </row>
    <row r="884">
      <c r="A884" s="34" t="n"/>
      <c r="B884" s="35">
        <f>IF(A884="","",YEAR(A884))</f>
        <v/>
      </c>
      <c r="C884" s="36">
        <f>IF(A884="","",MONTH(A884))</f>
        <v/>
      </c>
      <c r="D884" s="37">
        <f>IF(A884="","","Q"&amp;ROUNDUP(MONTH(A884)/3,0))</f>
        <v/>
      </c>
      <c r="E884" s="18" t="n"/>
      <c r="F884" s="18" t="n"/>
      <c r="G884" s="40">
        <f>IFERROR(VLOOKUP(F884,M2_거래처마스터!A:E,3,FALSE),"")</f>
        <v/>
      </c>
      <c r="H884" s="18" t="n"/>
      <c r="I884" s="19" t="n"/>
      <c r="J884" s="20" t="n"/>
      <c r="K884" s="39">
        <f>IF(AND(I884&lt;&gt;"",J884&lt;&gt;""),I884*J884,"")</f>
        <v/>
      </c>
      <c r="L884" s="18" t="n"/>
      <c r="M884" s="18" t="n"/>
      <c r="N884" s="20" t="n"/>
      <c r="O884" s="20" t="n"/>
    </row>
    <row r="885">
      <c r="A885" s="41" t="n"/>
      <c r="B885" s="35">
        <f>IF(A885="","",YEAR(A885))</f>
        <v/>
      </c>
      <c r="C885" s="36">
        <f>IF(A885="","",MONTH(A885))</f>
        <v/>
      </c>
      <c r="D885" s="37">
        <f>IF(A885="","","Q"&amp;ROUNDUP(MONTH(A885)/3,0))</f>
        <v/>
      </c>
      <c r="E885" s="22" t="n"/>
      <c r="F885" s="22" t="n"/>
      <c r="G885" s="40">
        <f>IFERROR(VLOOKUP(F885,M2_거래처마스터!A:E,3,FALSE),"")</f>
        <v/>
      </c>
      <c r="H885" s="22" t="n"/>
      <c r="I885" s="23" t="n"/>
      <c r="J885" s="24" t="n"/>
      <c r="K885" s="39">
        <f>IF(AND(I885&lt;&gt;"",J885&lt;&gt;""),I885*J885,"")</f>
        <v/>
      </c>
      <c r="L885" s="22" t="n"/>
      <c r="M885" s="22" t="n"/>
      <c r="N885" s="24" t="n"/>
      <c r="O885" s="24" t="n"/>
    </row>
    <row r="886">
      <c r="A886" s="34" t="n"/>
      <c r="B886" s="35">
        <f>IF(A886="","",YEAR(A886))</f>
        <v/>
      </c>
      <c r="C886" s="36">
        <f>IF(A886="","",MONTH(A886))</f>
        <v/>
      </c>
      <c r="D886" s="37">
        <f>IF(A886="","","Q"&amp;ROUNDUP(MONTH(A886)/3,0))</f>
        <v/>
      </c>
      <c r="E886" s="18" t="n"/>
      <c r="F886" s="18" t="n"/>
      <c r="G886" s="40">
        <f>IFERROR(VLOOKUP(F886,M2_거래처마스터!A:E,3,FALSE),"")</f>
        <v/>
      </c>
      <c r="H886" s="18" t="n"/>
      <c r="I886" s="19" t="n"/>
      <c r="J886" s="20" t="n"/>
      <c r="K886" s="39">
        <f>IF(AND(I886&lt;&gt;"",J886&lt;&gt;""),I886*J886,"")</f>
        <v/>
      </c>
      <c r="L886" s="18" t="n"/>
      <c r="M886" s="18" t="n"/>
      <c r="N886" s="20" t="n"/>
      <c r="O886" s="20" t="n"/>
    </row>
    <row r="887">
      <c r="A887" s="41" t="n"/>
      <c r="B887" s="35">
        <f>IF(A887="","",YEAR(A887))</f>
        <v/>
      </c>
      <c r="C887" s="36">
        <f>IF(A887="","",MONTH(A887))</f>
        <v/>
      </c>
      <c r="D887" s="37">
        <f>IF(A887="","","Q"&amp;ROUNDUP(MONTH(A887)/3,0))</f>
        <v/>
      </c>
      <c r="E887" s="22" t="n"/>
      <c r="F887" s="22" t="n"/>
      <c r="G887" s="40">
        <f>IFERROR(VLOOKUP(F887,M2_거래처마스터!A:E,3,FALSE),"")</f>
        <v/>
      </c>
      <c r="H887" s="22" t="n"/>
      <c r="I887" s="23" t="n"/>
      <c r="J887" s="24" t="n"/>
      <c r="K887" s="39">
        <f>IF(AND(I887&lt;&gt;"",J887&lt;&gt;""),I887*J887,"")</f>
        <v/>
      </c>
      <c r="L887" s="22" t="n"/>
      <c r="M887" s="22" t="n"/>
      <c r="N887" s="24" t="n"/>
      <c r="O887" s="24" t="n"/>
    </row>
    <row r="888">
      <c r="A888" s="34" t="n"/>
      <c r="B888" s="35">
        <f>IF(A888="","",YEAR(A888))</f>
        <v/>
      </c>
      <c r="C888" s="36">
        <f>IF(A888="","",MONTH(A888))</f>
        <v/>
      </c>
      <c r="D888" s="37">
        <f>IF(A888="","","Q"&amp;ROUNDUP(MONTH(A888)/3,0))</f>
        <v/>
      </c>
      <c r="E888" s="18" t="n"/>
      <c r="F888" s="18" t="n"/>
      <c r="G888" s="40">
        <f>IFERROR(VLOOKUP(F888,M2_거래처마스터!A:E,3,FALSE),"")</f>
        <v/>
      </c>
      <c r="H888" s="18" t="n"/>
      <c r="I888" s="19" t="n"/>
      <c r="J888" s="20" t="n"/>
      <c r="K888" s="39">
        <f>IF(AND(I888&lt;&gt;"",J888&lt;&gt;""),I888*J888,"")</f>
        <v/>
      </c>
      <c r="L888" s="18" t="n"/>
      <c r="M888" s="18" t="n"/>
      <c r="N888" s="20" t="n"/>
      <c r="O888" s="20" t="n"/>
    </row>
    <row r="889">
      <c r="A889" s="41" t="n"/>
      <c r="B889" s="35">
        <f>IF(A889="","",YEAR(A889))</f>
        <v/>
      </c>
      <c r="C889" s="36">
        <f>IF(A889="","",MONTH(A889))</f>
        <v/>
      </c>
      <c r="D889" s="37">
        <f>IF(A889="","","Q"&amp;ROUNDUP(MONTH(A889)/3,0))</f>
        <v/>
      </c>
      <c r="E889" s="22" t="n"/>
      <c r="F889" s="22" t="n"/>
      <c r="G889" s="40">
        <f>IFERROR(VLOOKUP(F889,M2_거래처마스터!A:E,3,FALSE),"")</f>
        <v/>
      </c>
      <c r="H889" s="22" t="n"/>
      <c r="I889" s="23" t="n"/>
      <c r="J889" s="24" t="n"/>
      <c r="K889" s="39">
        <f>IF(AND(I889&lt;&gt;"",J889&lt;&gt;""),I889*J889,"")</f>
        <v/>
      </c>
      <c r="L889" s="22" t="n"/>
      <c r="M889" s="22" t="n"/>
      <c r="N889" s="24" t="n"/>
      <c r="O889" s="24" t="n"/>
    </row>
    <row r="890">
      <c r="A890" s="34" t="n"/>
      <c r="B890" s="35">
        <f>IF(A890="","",YEAR(A890))</f>
        <v/>
      </c>
      <c r="C890" s="36">
        <f>IF(A890="","",MONTH(A890))</f>
        <v/>
      </c>
      <c r="D890" s="37">
        <f>IF(A890="","","Q"&amp;ROUNDUP(MONTH(A890)/3,0))</f>
        <v/>
      </c>
      <c r="E890" s="18" t="n"/>
      <c r="F890" s="18" t="n"/>
      <c r="G890" s="40">
        <f>IFERROR(VLOOKUP(F890,M2_거래처마스터!A:E,3,FALSE),"")</f>
        <v/>
      </c>
      <c r="H890" s="18" t="n"/>
      <c r="I890" s="19" t="n"/>
      <c r="J890" s="20" t="n"/>
      <c r="K890" s="39">
        <f>IF(AND(I890&lt;&gt;"",J890&lt;&gt;""),I890*J890,"")</f>
        <v/>
      </c>
      <c r="L890" s="18" t="n"/>
      <c r="M890" s="18" t="n"/>
      <c r="N890" s="20" t="n"/>
      <c r="O890" s="20" t="n"/>
    </row>
    <row r="891">
      <c r="A891" s="41" t="n"/>
      <c r="B891" s="35">
        <f>IF(A891="","",YEAR(A891))</f>
        <v/>
      </c>
      <c r="C891" s="36">
        <f>IF(A891="","",MONTH(A891))</f>
        <v/>
      </c>
      <c r="D891" s="37">
        <f>IF(A891="","","Q"&amp;ROUNDUP(MONTH(A891)/3,0))</f>
        <v/>
      </c>
      <c r="E891" s="22" t="n"/>
      <c r="F891" s="22" t="n"/>
      <c r="G891" s="40">
        <f>IFERROR(VLOOKUP(F891,M2_거래처마스터!A:E,3,FALSE),"")</f>
        <v/>
      </c>
      <c r="H891" s="22" t="n"/>
      <c r="I891" s="23" t="n"/>
      <c r="J891" s="24" t="n"/>
      <c r="K891" s="39">
        <f>IF(AND(I891&lt;&gt;"",J891&lt;&gt;""),I891*J891,"")</f>
        <v/>
      </c>
      <c r="L891" s="22" t="n"/>
      <c r="M891" s="22" t="n"/>
      <c r="N891" s="24" t="n"/>
      <c r="O891" s="24" t="n"/>
    </row>
    <row r="892">
      <c r="A892" s="34" t="n"/>
      <c r="B892" s="35">
        <f>IF(A892="","",YEAR(A892))</f>
        <v/>
      </c>
      <c r="C892" s="36">
        <f>IF(A892="","",MONTH(A892))</f>
        <v/>
      </c>
      <c r="D892" s="37">
        <f>IF(A892="","","Q"&amp;ROUNDUP(MONTH(A892)/3,0))</f>
        <v/>
      </c>
      <c r="E892" s="18" t="n"/>
      <c r="F892" s="18" t="n"/>
      <c r="G892" s="40">
        <f>IFERROR(VLOOKUP(F892,M2_거래처마스터!A:E,3,FALSE),"")</f>
        <v/>
      </c>
      <c r="H892" s="18" t="n"/>
      <c r="I892" s="19" t="n"/>
      <c r="J892" s="20" t="n"/>
      <c r="K892" s="39">
        <f>IF(AND(I892&lt;&gt;"",J892&lt;&gt;""),I892*J892,"")</f>
        <v/>
      </c>
      <c r="L892" s="18" t="n"/>
      <c r="M892" s="18" t="n"/>
      <c r="N892" s="20" t="n"/>
      <c r="O892" s="20" t="n"/>
    </row>
    <row r="893">
      <c r="A893" s="41" t="n"/>
      <c r="B893" s="35">
        <f>IF(A893="","",YEAR(A893))</f>
        <v/>
      </c>
      <c r="C893" s="36">
        <f>IF(A893="","",MONTH(A893))</f>
        <v/>
      </c>
      <c r="D893" s="37">
        <f>IF(A893="","","Q"&amp;ROUNDUP(MONTH(A893)/3,0))</f>
        <v/>
      </c>
      <c r="E893" s="22" t="n"/>
      <c r="F893" s="22" t="n"/>
      <c r="G893" s="40">
        <f>IFERROR(VLOOKUP(F893,M2_거래처마스터!A:E,3,FALSE),"")</f>
        <v/>
      </c>
      <c r="H893" s="22" t="n"/>
      <c r="I893" s="23" t="n"/>
      <c r="J893" s="24" t="n"/>
      <c r="K893" s="39">
        <f>IF(AND(I893&lt;&gt;"",J893&lt;&gt;""),I893*J893,"")</f>
        <v/>
      </c>
      <c r="L893" s="22" t="n"/>
      <c r="M893" s="22" t="n"/>
      <c r="N893" s="24" t="n"/>
      <c r="O893" s="24" t="n"/>
    </row>
    <row r="894">
      <c r="A894" s="34" t="n"/>
      <c r="B894" s="35">
        <f>IF(A894="","",YEAR(A894))</f>
        <v/>
      </c>
      <c r="C894" s="36">
        <f>IF(A894="","",MONTH(A894))</f>
        <v/>
      </c>
      <c r="D894" s="37">
        <f>IF(A894="","","Q"&amp;ROUNDUP(MONTH(A894)/3,0))</f>
        <v/>
      </c>
      <c r="E894" s="18" t="n"/>
      <c r="F894" s="18" t="n"/>
      <c r="G894" s="40">
        <f>IFERROR(VLOOKUP(F894,M2_거래처마스터!A:E,3,FALSE),"")</f>
        <v/>
      </c>
      <c r="H894" s="18" t="n"/>
      <c r="I894" s="19" t="n"/>
      <c r="J894" s="20" t="n"/>
      <c r="K894" s="39">
        <f>IF(AND(I894&lt;&gt;"",J894&lt;&gt;""),I894*J894,"")</f>
        <v/>
      </c>
      <c r="L894" s="18" t="n"/>
      <c r="M894" s="18" t="n"/>
      <c r="N894" s="20" t="n"/>
      <c r="O894" s="20" t="n"/>
    </row>
    <row r="895">
      <c r="A895" s="41" t="n"/>
      <c r="B895" s="35">
        <f>IF(A895="","",YEAR(A895))</f>
        <v/>
      </c>
      <c r="C895" s="36">
        <f>IF(A895="","",MONTH(A895))</f>
        <v/>
      </c>
      <c r="D895" s="37">
        <f>IF(A895="","","Q"&amp;ROUNDUP(MONTH(A895)/3,0))</f>
        <v/>
      </c>
      <c r="E895" s="22" t="n"/>
      <c r="F895" s="22" t="n"/>
      <c r="G895" s="40">
        <f>IFERROR(VLOOKUP(F895,M2_거래처마스터!A:E,3,FALSE),"")</f>
        <v/>
      </c>
      <c r="H895" s="22" t="n"/>
      <c r="I895" s="23" t="n"/>
      <c r="J895" s="24" t="n"/>
      <c r="K895" s="39">
        <f>IF(AND(I895&lt;&gt;"",J895&lt;&gt;""),I895*J895,"")</f>
        <v/>
      </c>
      <c r="L895" s="22" t="n"/>
      <c r="M895" s="22" t="n"/>
      <c r="N895" s="24" t="n"/>
      <c r="O895" s="24" t="n"/>
    </row>
    <row r="896">
      <c r="A896" s="34" t="n"/>
      <c r="B896" s="35">
        <f>IF(A896="","",YEAR(A896))</f>
        <v/>
      </c>
      <c r="C896" s="36">
        <f>IF(A896="","",MONTH(A896))</f>
        <v/>
      </c>
      <c r="D896" s="37">
        <f>IF(A896="","","Q"&amp;ROUNDUP(MONTH(A896)/3,0))</f>
        <v/>
      </c>
      <c r="E896" s="18" t="n"/>
      <c r="F896" s="18" t="n"/>
      <c r="G896" s="40">
        <f>IFERROR(VLOOKUP(F896,M2_거래처마스터!A:E,3,FALSE),"")</f>
        <v/>
      </c>
      <c r="H896" s="18" t="n"/>
      <c r="I896" s="19" t="n"/>
      <c r="J896" s="20" t="n"/>
      <c r="K896" s="39">
        <f>IF(AND(I896&lt;&gt;"",J896&lt;&gt;""),I896*J896,"")</f>
        <v/>
      </c>
      <c r="L896" s="18" t="n"/>
      <c r="M896" s="18" t="n"/>
      <c r="N896" s="20" t="n"/>
      <c r="O896" s="20" t="n"/>
    </row>
    <row r="897">
      <c r="A897" s="41" t="n"/>
      <c r="B897" s="35">
        <f>IF(A897="","",YEAR(A897))</f>
        <v/>
      </c>
      <c r="C897" s="36">
        <f>IF(A897="","",MONTH(A897))</f>
        <v/>
      </c>
      <c r="D897" s="37">
        <f>IF(A897="","","Q"&amp;ROUNDUP(MONTH(A897)/3,0))</f>
        <v/>
      </c>
      <c r="E897" s="22" t="n"/>
      <c r="F897" s="22" t="n"/>
      <c r="G897" s="40">
        <f>IFERROR(VLOOKUP(F897,M2_거래처마스터!A:E,3,FALSE),"")</f>
        <v/>
      </c>
      <c r="H897" s="22" t="n"/>
      <c r="I897" s="23" t="n"/>
      <c r="J897" s="24" t="n"/>
      <c r="K897" s="39">
        <f>IF(AND(I897&lt;&gt;"",J897&lt;&gt;""),I897*J897,"")</f>
        <v/>
      </c>
      <c r="L897" s="22" t="n"/>
      <c r="M897" s="22" t="n"/>
      <c r="N897" s="24" t="n"/>
      <c r="O897" s="24" t="n"/>
    </row>
    <row r="898">
      <c r="A898" s="34" t="n"/>
      <c r="B898" s="35">
        <f>IF(A898="","",YEAR(A898))</f>
        <v/>
      </c>
      <c r="C898" s="36">
        <f>IF(A898="","",MONTH(A898))</f>
        <v/>
      </c>
      <c r="D898" s="37">
        <f>IF(A898="","","Q"&amp;ROUNDUP(MONTH(A898)/3,0))</f>
        <v/>
      </c>
      <c r="E898" s="18" t="n"/>
      <c r="F898" s="18" t="n"/>
      <c r="G898" s="40">
        <f>IFERROR(VLOOKUP(F898,M2_거래처마스터!A:E,3,FALSE),"")</f>
        <v/>
      </c>
      <c r="H898" s="18" t="n"/>
      <c r="I898" s="19" t="n"/>
      <c r="J898" s="20" t="n"/>
      <c r="K898" s="39">
        <f>IF(AND(I898&lt;&gt;"",J898&lt;&gt;""),I898*J898,"")</f>
        <v/>
      </c>
      <c r="L898" s="18" t="n"/>
      <c r="M898" s="18" t="n"/>
      <c r="N898" s="20" t="n"/>
      <c r="O898" s="20" t="n"/>
    </row>
    <row r="899">
      <c r="A899" s="41" t="n"/>
      <c r="B899" s="35">
        <f>IF(A899="","",YEAR(A899))</f>
        <v/>
      </c>
      <c r="C899" s="36">
        <f>IF(A899="","",MONTH(A899))</f>
        <v/>
      </c>
      <c r="D899" s="37">
        <f>IF(A899="","","Q"&amp;ROUNDUP(MONTH(A899)/3,0))</f>
        <v/>
      </c>
      <c r="E899" s="22" t="n"/>
      <c r="F899" s="22" t="n"/>
      <c r="G899" s="40">
        <f>IFERROR(VLOOKUP(F899,M2_거래처마스터!A:E,3,FALSE),"")</f>
        <v/>
      </c>
      <c r="H899" s="22" t="n"/>
      <c r="I899" s="23" t="n"/>
      <c r="J899" s="24" t="n"/>
      <c r="K899" s="39">
        <f>IF(AND(I899&lt;&gt;"",J899&lt;&gt;""),I899*J899,"")</f>
        <v/>
      </c>
      <c r="L899" s="22" t="n"/>
      <c r="M899" s="22" t="n"/>
      <c r="N899" s="24" t="n"/>
      <c r="O899" s="24" t="n"/>
    </row>
    <row r="900">
      <c r="A900" s="34" t="n"/>
      <c r="B900" s="35">
        <f>IF(A900="","",YEAR(A900))</f>
        <v/>
      </c>
      <c r="C900" s="36">
        <f>IF(A900="","",MONTH(A900))</f>
        <v/>
      </c>
      <c r="D900" s="37">
        <f>IF(A900="","","Q"&amp;ROUNDUP(MONTH(A900)/3,0))</f>
        <v/>
      </c>
      <c r="E900" s="18" t="n"/>
      <c r="F900" s="18" t="n"/>
      <c r="G900" s="40">
        <f>IFERROR(VLOOKUP(F900,M2_거래처마스터!A:E,3,FALSE),"")</f>
        <v/>
      </c>
      <c r="H900" s="18" t="n"/>
      <c r="I900" s="19" t="n"/>
      <c r="J900" s="20" t="n"/>
      <c r="K900" s="39">
        <f>IF(AND(I900&lt;&gt;"",J900&lt;&gt;""),I900*J900,"")</f>
        <v/>
      </c>
      <c r="L900" s="18" t="n"/>
      <c r="M900" s="18" t="n"/>
      <c r="N900" s="20" t="n"/>
      <c r="O900" s="20" t="n"/>
    </row>
    <row r="901">
      <c r="A901" s="41" t="n"/>
      <c r="B901" s="35">
        <f>IF(A901="","",YEAR(A901))</f>
        <v/>
      </c>
      <c r="C901" s="36">
        <f>IF(A901="","",MONTH(A901))</f>
        <v/>
      </c>
      <c r="D901" s="37">
        <f>IF(A901="","","Q"&amp;ROUNDUP(MONTH(A901)/3,0))</f>
        <v/>
      </c>
      <c r="E901" s="22" t="n"/>
      <c r="F901" s="22" t="n"/>
      <c r="G901" s="40">
        <f>IFERROR(VLOOKUP(F901,M2_거래처마스터!A:E,3,FALSE),"")</f>
        <v/>
      </c>
      <c r="H901" s="22" t="n"/>
      <c r="I901" s="23" t="n"/>
      <c r="J901" s="24" t="n"/>
      <c r="K901" s="39">
        <f>IF(AND(I901&lt;&gt;"",J901&lt;&gt;""),I901*J901,"")</f>
        <v/>
      </c>
      <c r="L901" s="22" t="n"/>
      <c r="M901" s="22" t="n"/>
      <c r="N901" s="24" t="n"/>
      <c r="O901" s="24" t="n"/>
    </row>
    <row r="902">
      <c r="A902" s="34" t="n"/>
      <c r="B902" s="35">
        <f>IF(A902="","",YEAR(A902))</f>
        <v/>
      </c>
      <c r="C902" s="36">
        <f>IF(A902="","",MONTH(A902))</f>
        <v/>
      </c>
      <c r="D902" s="37">
        <f>IF(A902="","","Q"&amp;ROUNDUP(MONTH(A902)/3,0))</f>
        <v/>
      </c>
      <c r="E902" s="18" t="n"/>
      <c r="F902" s="18" t="n"/>
      <c r="G902" s="40">
        <f>IFERROR(VLOOKUP(F902,M2_거래처마스터!A:E,3,FALSE),"")</f>
        <v/>
      </c>
      <c r="H902" s="18" t="n"/>
      <c r="I902" s="19" t="n"/>
      <c r="J902" s="20" t="n"/>
      <c r="K902" s="39">
        <f>IF(AND(I902&lt;&gt;"",J902&lt;&gt;""),I902*J902,"")</f>
        <v/>
      </c>
      <c r="L902" s="18" t="n"/>
      <c r="M902" s="18" t="n"/>
      <c r="N902" s="20" t="n"/>
      <c r="O902" s="20" t="n"/>
    </row>
    <row r="903">
      <c r="A903" s="41" t="n"/>
      <c r="B903" s="35">
        <f>IF(A903="","",YEAR(A903))</f>
        <v/>
      </c>
      <c r="C903" s="36">
        <f>IF(A903="","",MONTH(A903))</f>
        <v/>
      </c>
      <c r="D903" s="37">
        <f>IF(A903="","","Q"&amp;ROUNDUP(MONTH(A903)/3,0))</f>
        <v/>
      </c>
      <c r="E903" s="22" t="n"/>
      <c r="F903" s="22" t="n"/>
      <c r="G903" s="40">
        <f>IFERROR(VLOOKUP(F903,M2_거래처마스터!A:E,3,FALSE),"")</f>
        <v/>
      </c>
      <c r="H903" s="22" t="n"/>
      <c r="I903" s="23" t="n"/>
      <c r="J903" s="24" t="n"/>
      <c r="K903" s="39">
        <f>IF(AND(I903&lt;&gt;"",J903&lt;&gt;""),I903*J903,"")</f>
        <v/>
      </c>
      <c r="L903" s="22" t="n"/>
      <c r="M903" s="22" t="n"/>
      <c r="N903" s="24" t="n"/>
      <c r="O903" s="24" t="n"/>
    </row>
    <row r="904">
      <c r="A904" s="34" t="n"/>
      <c r="B904" s="35">
        <f>IF(A904="","",YEAR(A904))</f>
        <v/>
      </c>
      <c r="C904" s="36">
        <f>IF(A904="","",MONTH(A904))</f>
        <v/>
      </c>
      <c r="D904" s="37">
        <f>IF(A904="","","Q"&amp;ROUNDUP(MONTH(A904)/3,0))</f>
        <v/>
      </c>
      <c r="E904" s="18" t="n"/>
      <c r="F904" s="18" t="n"/>
      <c r="G904" s="40">
        <f>IFERROR(VLOOKUP(F904,M2_거래처마스터!A:E,3,FALSE),"")</f>
        <v/>
      </c>
      <c r="H904" s="18" t="n"/>
      <c r="I904" s="19" t="n"/>
      <c r="J904" s="20" t="n"/>
      <c r="K904" s="39">
        <f>IF(AND(I904&lt;&gt;"",J904&lt;&gt;""),I904*J904,"")</f>
        <v/>
      </c>
      <c r="L904" s="18" t="n"/>
      <c r="M904" s="18" t="n"/>
      <c r="N904" s="20" t="n"/>
      <c r="O904" s="20" t="n"/>
    </row>
    <row r="905">
      <c r="A905" s="41" t="n"/>
      <c r="B905" s="35">
        <f>IF(A905="","",YEAR(A905))</f>
        <v/>
      </c>
      <c r="C905" s="36">
        <f>IF(A905="","",MONTH(A905))</f>
        <v/>
      </c>
      <c r="D905" s="37">
        <f>IF(A905="","","Q"&amp;ROUNDUP(MONTH(A905)/3,0))</f>
        <v/>
      </c>
      <c r="E905" s="22" t="n"/>
      <c r="F905" s="22" t="n"/>
      <c r="G905" s="40">
        <f>IFERROR(VLOOKUP(F905,M2_거래처마스터!A:E,3,FALSE),"")</f>
        <v/>
      </c>
      <c r="H905" s="22" t="n"/>
      <c r="I905" s="23" t="n"/>
      <c r="J905" s="24" t="n"/>
      <c r="K905" s="39">
        <f>IF(AND(I905&lt;&gt;"",J905&lt;&gt;""),I905*J905,"")</f>
        <v/>
      </c>
      <c r="L905" s="22" t="n"/>
      <c r="M905" s="22" t="n"/>
      <c r="N905" s="24" t="n"/>
      <c r="O905" s="24" t="n"/>
    </row>
    <row r="906">
      <c r="A906" s="34" t="n"/>
      <c r="B906" s="35">
        <f>IF(A906="","",YEAR(A906))</f>
        <v/>
      </c>
      <c r="C906" s="36">
        <f>IF(A906="","",MONTH(A906))</f>
        <v/>
      </c>
      <c r="D906" s="37">
        <f>IF(A906="","","Q"&amp;ROUNDUP(MONTH(A906)/3,0))</f>
        <v/>
      </c>
      <c r="E906" s="18" t="n"/>
      <c r="F906" s="18" t="n"/>
      <c r="G906" s="40">
        <f>IFERROR(VLOOKUP(F906,M2_거래처마스터!A:E,3,FALSE),"")</f>
        <v/>
      </c>
      <c r="H906" s="18" t="n"/>
      <c r="I906" s="19" t="n"/>
      <c r="J906" s="20" t="n"/>
      <c r="K906" s="39">
        <f>IF(AND(I906&lt;&gt;"",J906&lt;&gt;""),I906*J906,"")</f>
        <v/>
      </c>
      <c r="L906" s="18" t="n"/>
      <c r="M906" s="18" t="n"/>
      <c r="N906" s="20" t="n"/>
      <c r="O906" s="20" t="n"/>
    </row>
    <row r="907">
      <c r="A907" s="41" t="n"/>
      <c r="B907" s="35">
        <f>IF(A907="","",YEAR(A907))</f>
        <v/>
      </c>
      <c r="C907" s="36">
        <f>IF(A907="","",MONTH(A907))</f>
        <v/>
      </c>
      <c r="D907" s="37">
        <f>IF(A907="","","Q"&amp;ROUNDUP(MONTH(A907)/3,0))</f>
        <v/>
      </c>
      <c r="E907" s="22" t="n"/>
      <c r="F907" s="22" t="n"/>
      <c r="G907" s="40">
        <f>IFERROR(VLOOKUP(F907,M2_거래처마스터!A:E,3,FALSE),"")</f>
        <v/>
      </c>
      <c r="H907" s="22" t="n"/>
      <c r="I907" s="23" t="n"/>
      <c r="J907" s="24" t="n"/>
      <c r="K907" s="39">
        <f>IF(AND(I907&lt;&gt;"",J907&lt;&gt;""),I907*J907,"")</f>
        <v/>
      </c>
      <c r="L907" s="22" t="n"/>
      <c r="M907" s="22" t="n"/>
      <c r="N907" s="24" t="n"/>
      <c r="O907" s="24" t="n"/>
    </row>
    <row r="908">
      <c r="A908" s="34" t="n"/>
      <c r="B908" s="35">
        <f>IF(A908="","",YEAR(A908))</f>
        <v/>
      </c>
      <c r="C908" s="36">
        <f>IF(A908="","",MONTH(A908))</f>
        <v/>
      </c>
      <c r="D908" s="37">
        <f>IF(A908="","","Q"&amp;ROUNDUP(MONTH(A908)/3,0))</f>
        <v/>
      </c>
      <c r="E908" s="18" t="n"/>
      <c r="F908" s="18" t="n"/>
      <c r="G908" s="40">
        <f>IFERROR(VLOOKUP(F908,M2_거래처마스터!A:E,3,FALSE),"")</f>
        <v/>
      </c>
      <c r="H908" s="18" t="n"/>
      <c r="I908" s="19" t="n"/>
      <c r="J908" s="20" t="n"/>
      <c r="K908" s="39">
        <f>IF(AND(I908&lt;&gt;"",J908&lt;&gt;""),I908*J908,"")</f>
        <v/>
      </c>
      <c r="L908" s="18" t="n"/>
      <c r="M908" s="18" t="n"/>
      <c r="N908" s="20" t="n"/>
      <c r="O908" s="20" t="n"/>
    </row>
    <row r="909">
      <c r="A909" s="41" t="n"/>
      <c r="B909" s="35">
        <f>IF(A909="","",YEAR(A909))</f>
        <v/>
      </c>
      <c r="C909" s="36">
        <f>IF(A909="","",MONTH(A909))</f>
        <v/>
      </c>
      <c r="D909" s="37">
        <f>IF(A909="","","Q"&amp;ROUNDUP(MONTH(A909)/3,0))</f>
        <v/>
      </c>
      <c r="E909" s="22" t="n"/>
      <c r="F909" s="22" t="n"/>
      <c r="G909" s="40">
        <f>IFERROR(VLOOKUP(F909,M2_거래처마스터!A:E,3,FALSE),"")</f>
        <v/>
      </c>
      <c r="H909" s="22" t="n"/>
      <c r="I909" s="23" t="n"/>
      <c r="J909" s="24" t="n"/>
      <c r="K909" s="39">
        <f>IF(AND(I909&lt;&gt;"",J909&lt;&gt;""),I909*J909,"")</f>
        <v/>
      </c>
      <c r="L909" s="22" t="n"/>
      <c r="M909" s="22" t="n"/>
      <c r="N909" s="24" t="n"/>
      <c r="O909" s="24" t="n"/>
    </row>
    <row r="910">
      <c r="A910" s="34" t="n"/>
      <c r="B910" s="35">
        <f>IF(A910="","",YEAR(A910))</f>
        <v/>
      </c>
      <c r="C910" s="36">
        <f>IF(A910="","",MONTH(A910))</f>
        <v/>
      </c>
      <c r="D910" s="37">
        <f>IF(A910="","","Q"&amp;ROUNDUP(MONTH(A910)/3,0))</f>
        <v/>
      </c>
      <c r="E910" s="18" t="n"/>
      <c r="F910" s="18" t="n"/>
      <c r="G910" s="40">
        <f>IFERROR(VLOOKUP(F910,M2_거래처마스터!A:E,3,FALSE),"")</f>
        <v/>
      </c>
      <c r="H910" s="18" t="n"/>
      <c r="I910" s="19" t="n"/>
      <c r="J910" s="20" t="n"/>
      <c r="K910" s="39">
        <f>IF(AND(I910&lt;&gt;"",J910&lt;&gt;""),I910*J910,"")</f>
        <v/>
      </c>
      <c r="L910" s="18" t="n"/>
      <c r="M910" s="18" t="n"/>
      <c r="N910" s="20" t="n"/>
      <c r="O910" s="20" t="n"/>
    </row>
    <row r="911">
      <c r="A911" s="41" t="n"/>
      <c r="B911" s="35">
        <f>IF(A911="","",YEAR(A911))</f>
        <v/>
      </c>
      <c r="C911" s="36">
        <f>IF(A911="","",MONTH(A911))</f>
        <v/>
      </c>
      <c r="D911" s="37">
        <f>IF(A911="","","Q"&amp;ROUNDUP(MONTH(A911)/3,0))</f>
        <v/>
      </c>
      <c r="E911" s="22" t="n"/>
      <c r="F911" s="22" t="n"/>
      <c r="G911" s="40">
        <f>IFERROR(VLOOKUP(F911,M2_거래처마스터!A:E,3,FALSE),"")</f>
        <v/>
      </c>
      <c r="H911" s="22" t="n"/>
      <c r="I911" s="23" t="n"/>
      <c r="J911" s="24" t="n"/>
      <c r="K911" s="39">
        <f>IF(AND(I911&lt;&gt;"",J911&lt;&gt;""),I911*J911,"")</f>
        <v/>
      </c>
      <c r="L911" s="22" t="n"/>
      <c r="M911" s="22" t="n"/>
      <c r="N911" s="24" t="n"/>
      <c r="O911" s="24" t="n"/>
    </row>
    <row r="912">
      <c r="A912" s="34" t="n"/>
      <c r="B912" s="35">
        <f>IF(A912="","",YEAR(A912))</f>
        <v/>
      </c>
      <c r="C912" s="36">
        <f>IF(A912="","",MONTH(A912))</f>
        <v/>
      </c>
      <c r="D912" s="37">
        <f>IF(A912="","","Q"&amp;ROUNDUP(MONTH(A912)/3,0))</f>
        <v/>
      </c>
      <c r="E912" s="18" t="n"/>
      <c r="F912" s="18" t="n"/>
      <c r="G912" s="40">
        <f>IFERROR(VLOOKUP(F912,M2_거래처마스터!A:E,3,FALSE),"")</f>
        <v/>
      </c>
      <c r="H912" s="18" t="n"/>
      <c r="I912" s="19" t="n"/>
      <c r="J912" s="20" t="n"/>
      <c r="K912" s="39">
        <f>IF(AND(I912&lt;&gt;"",J912&lt;&gt;""),I912*J912,"")</f>
        <v/>
      </c>
      <c r="L912" s="18" t="n"/>
      <c r="M912" s="18" t="n"/>
      <c r="N912" s="20" t="n"/>
      <c r="O912" s="20" t="n"/>
    </row>
    <row r="913">
      <c r="A913" s="41" t="n"/>
      <c r="B913" s="35">
        <f>IF(A913="","",YEAR(A913))</f>
        <v/>
      </c>
      <c r="C913" s="36">
        <f>IF(A913="","",MONTH(A913))</f>
        <v/>
      </c>
      <c r="D913" s="37">
        <f>IF(A913="","","Q"&amp;ROUNDUP(MONTH(A913)/3,0))</f>
        <v/>
      </c>
      <c r="E913" s="22" t="n"/>
      <c r="F913" s="22" t="n"/>
      <c r="G913" s="40">
        <f>IFERROR(VLOOKUP(F913,M2_거래처마스터!A:E,3,FALSE),"")</f>
        <v/>
      </c>
      <c r="H913" s="22" t="n"/>
      <c r="I913" s="23" t="n"/>
      <c r="J913" s="24" t="n"/>
      <c r="K913" s="39">
        <f>IF(AND(I913&lt;&gt;"",J913&lt;&gt;""),I913*J913,"")</f>
        <v/>
      </c>
      <c r="L913" s="22" t="n"/>
      <c r="M913" s="22" t="n"/>
      <c r="N913" s="24" t="n"/>
      <c r="O913" s="24" t="n"/>
    </row>
    <row r="914">
      <c r="A914" s="34" t="n"/>
      <c r="B914" s="35">
        <f>IF(A914="","",YEAR(A914))</f>
        <v/>
      </c>
      <c r="C914" s="36">
        <f>IF(A914="","",MONTH(A914))</f>
        <v/>
      </c>
      <c r="D914" s="37">
        <f>IF(A914="","","Q"&amp;ROUNDUP(MONTH(A914)/3,0))</f>
        <v/>
      </c>
      <c r="E914" s="18" t="n"/>
      <c r="F914" s="18" t="n"/>
      <c r="G914" s="40">
        <f>IFERROR(VLOOKUP(F914,M2_거래처마스터!A:E,3,FALSE),"")</f>
        <v/>
      </c>
      <c r="H914" s="18" t="n"/>
      <c r="I914" s="19" t="n"/>
      <c r="J914" s="20" t="n"/>
      <c r="K914" s="39">
        <f>IF(AND(I914&lt;&gt;"",J914&lt;&gt;""),I914*J914,"")</f>
        <v/>
      </c>
      <c r="L914" s="18" t="n"/>
      <c r="M914" s="18" t="n"/>
      <c r="N914" s="20" t="n"/>
      <c r="O914" s="20" t="n"/>
    </row>
    <row r="915">
      <c r="A915" s="41" t="n"/>
      <c r="B915" s="35">
        <f>IF(A915="","",YEAR(A915))</f>
        <v/>
      </c>
      <c r="C915" s="36">
        <f>IF(A915="","",MONTH(A915))</f>
        <v/>
      </c>
      <c r="D915" s="37">
        <f>IF(A915="","","Q"&amp;ROUNDUP(MONTH(A915)/3,0))</f>
        <v/>
      </c>
      <c r="E915" s="22" t="n"/>
      <c r="F915" s="22" t="n"/>
      <c r="G915" s="40">
        <f>IFERROR(VLOOKUP(F915,M2_거래처마스터!A:E,3,FALSE),"")</f>
        <v/>
      </c>
      <c r="H915" s="22" t="n"/>
      <c r="I915" s="23" t="n"/>
      <c r="J915" s="24" t="n"/>
      <c r="K915" s="39">
        <f>IF(AND(I915&lt;&gt;"",J915&lt;&gt;""),I915*J915,"")</f>
        <v/>
      </c>
      <c r="L915" s="22" t="n"/>
      <c r="M915" s="22" t="n"/>
      <c r="N915" s="24" t="n"/>
      <c r="O915" s="24" t="n"/>
    </row>
    <row r="916">
      <c r="A916" s="34" t="n"/>
      <c r="B916" s="35">
        <f>IF(A916="","",YEAR(A916))</f>
        <v/>
      </c>
      <c r="C916" s="36">
        <f>IF(A916="","",MONTH(A916))</f>
        <v/>
      </c>
      <c r="D916" s="37">
        <f>IF(A916="","","Q"&amp;ROUNDUP(MONTH(A916)/3,0))</f>
        <v/>
      </c>
      <c r="E916" s="18" t="n"/>
      <c r="F916" s="18" t="n"/>
      <c r="G916" s="40">
        <f>IFERROR(VLOOKUP(F916,M2_거래처마스터!A:E,3,FALSE),"")</f>
        <v/>
      </c>
      <c r="H916" s="18" t="n"/>
      <c r="I916" s="19" t="n"/>
      <c r="J916" s="20" t="n"/>
      <c r="K916" s="39">
        <f>IF(AND(I916&lt;&gt;"",J916&lt;&gt;""),I916*J916,"")</f>
        <v/>
      </c>
      <c r="L916" s="18" t="n"/>
      <c r="M916" s="18" t="n"/>
      <c r="N916" s="20" t="n"/>
      <c r="O916" s="20" t="n"/>
    </row>
    <row r="917">
      <c r="A917" s="41" t="n"/>
      <c r="B917" s="35">
        <f>IF(A917="","",YEAR(A917))</f>
        <v/>
      </c>
      <c r="C917" s="36">
        <f>IF(A917="","",MONTH(A917))</f>
        <v/>
      </c>
      <c r="D917" s="37">
        <f>IF(A917="","","Q"&amp;ROUNDUP(MONTH(A917)/3,0))</f>
        <v/>
      </c>
      <c r="E917" s="22" t="n"/>
      <c r="F917" s="22" t="n"/>
      <c r="G917" s="40">
        <f>IFERROR(VLOOKUP(F917,M2_거래처마스터!A:E,3,FALSE),"")</f>
        <v/>
      </c>
      <c r="H917" s="22" t="n"/>
      <c r="I917" s="23" t="n"/>
      <c r="J917" s="24" t="n"/>
      <c r="K917" s="39">
        <f>IF(AND(I917&lt;&gt;"",J917&lt;&gt;""),I917*J917,"")</f>
        <v/>
      </c>
      <c r="L917" s="22" t="n"/>
      <c r="M917" s="22" t="n"/>
      <c r="N917" s="24" t="n"/>
      <c r="O917" s="24" t="n"/>
    </row>
    <row r="918">
      <c r="A918" s="34" t="n"/>
      <c r="B918" s="35">
        <f>IF(A918="","",YEAR(A918))</f>
        <v/>
      </c>
      <c r="C918" s="36">
        <f>IF(A918="","",MONTH(A918))</f>
        <v/>
      </c>
      <c r="D918" s="37">
        <f>IF(A918="","","Q"&amp;ROUNDUP(MONTH(A918)/3,0))</f>
        <v/>
      </c>
      <c r="E918" s="18" t="n"/>
      <c r="F918" s="18" t="n"/>
      <c r="G918" s="40">
        <f>IFERROR(VLOOKUP(F918,M2_거래처마스터!A:E,3,FALSE),"")</f>
        <v/>
      </c>
      <c r="H918" s="18" t="n"/>
      <c r="I918" s="19" t="n"/>
      <c r="J918" s="20" t="n"/>
      <c r="K918" s="39">
        <f>IF(AND(I918&lt;&gt;"",J918&lt;&gt;""),I918*J918,"")</f>
        <v/>
      </c>
      <c r="L918" s="18" t="n"/>
      <c r="M918" s="18" t="n"/>
      <c r="N918" s="20" t="n"/>
      <c r="O918" s="20" t="n"/>
    </row>
    <row r="919">
      <c r="A919" s="41" t="n"/>
      <c r="B919" s="35">
        <f>IF(A919="","",YEAR(A919))</f>
        <v/>
      </c>
      <c r="C919" s="36">
        <f>IF(A919="","",MONTH(A919))</f>
        <v/>
      </c>
      <c r="D919" s="37">
        <f>IF(A919="","","Q"&amp;ROUNDUP(MONTH(A919)/3,0))</f>
        <v/>
      </c>
      <c r="E919" s="22" t="n"/>
      <c r="F919" s="22" t="n"/>
      <c r="G919" s="40">
        <f>IFERROR(VLOOKUP(F919,M2_거래처마스터!A:E,3,FALSE),"")</f>
        <v/>
      </c>
      <c r="H919" s="22" t="n"/>
      <c r="I919" s="23" t="n"/>
      <c r="J919" s="24" t="n"/>
      <c r="K919" s="39">
        <f>IF(AND(I919&lt;&gt;"",J919&lt;&gt;""),I919*J919,"")</f>
        <v/>
      </c>
      <c r="L919" s="22" t="n"/>
      <c r="M919" s="22" t="n"/>
      <c r="N919" s="24" t="n"/>
      <c r="O919" s="24" t="n"/>
    </row>
    <row r="920">
      <c r="A920" s="34" t="n"/>
      <c r="B920" s="35">
        <f>IF(A920="","",YEAR(A920))</f>
        <v/>
      </c>
      <c r="C920" s="36">
        <f>IF(A920="","",MONTH(A920))</f>
        <v/>
      </c>
      <c r="D920" s="37">
        <f>IF(A920="","","Q"&amp;ROUNDUP(MONTH(A920)/3,0))</f>
        <v/>
      </c>
      <c r="E920" s="18" t="n"/>
      <c r="F920" s="18" t="n"/>
      <c r="G920" s="40">
        <f>IFERROR(VLOOKUP(F920,M2_거래처마스터!A:E,3,FALSE),"")</f>
        <v/>
      </c>
      <c r="H920" s="18" t="n"/>
      <c r="I920" s="19" t="n"/>
      <c r="J920" s="20" t="n"/>
      <c r="K920" s="39">
        <f>IF(AND(I920&lt;&gt;"",J920&lt;&gt;""),I920*J920,"")</f>
        <v/>
      </c>
      <c r="L920" s="18" t="n"/>
      <c r="M920" s="18" t="n"/>
      <c r="N920" s="20" t="n"/>
      <c r="O920" s="20" t="n"/>
    </row>
    <row r="921">
      <c r="A921" s="41" t="n"/>
      <c r="B921" s="35">
        <f>IF(A921="","",YEAR(A921))</f>
        <v/>
      </c>
      <c r="C921" s="36">
        <f>IF(A921="","",MONTH(A921))</f>
        <v/>
      </c>
      <c r="D921" s="37">
        <f>IF(A921="","","Q"&amp;ROUNDUP(MONTH(A921)/3,0))</f>
        <v/>
      </c>
      <c r="E921" s="22" t="n"/>
      <c r="F921" s="22" t="n"/>
      <c r="G921" s="40">
        <f>IFERROR(VLOOKUP(F921,M2_거래처마스터!A:E,3,FALSE),"")</f>
        <v/>
      </c>
      <c r="H921" s="22" t="n"/>
      <c r="I921" s="23" t="n"/>
      <c r="J921" s="24" t="n"/>
      <c r="K921" s="39">
        <f>IF(AND(I921&lt;&gt;"",J921&lt;&gt;""),I921*J921,"")</f>
        <v/>
      </c>
      <c r="L921" s="22" t="n"/>
      <c r="M921" s="22" t="n"/>
      <c r="N921" s="24" t="n"/>
      <c r="O921" s="24" t="n"/>
    </row>
    <row r="922">
      <c r="A922" s="34" t="n"/>
      <c r="B922" s="35">
        <f>IF(A922="","",YEAR(A922))</f>
        <v/>
      </c>
      <c r="C922" s="36">
        <f>IF(A922="","",MONTH(A922))</f>
        <v/>
      </c>
      <c r="D922" s="37">
        <f>IF(A922="","","Q"&amp;ROUNDUP(MONTH(A922)/3,0))</f>
        <v/>
      </c>
      <c r="E922" s="18" t="n"/>
      <c r="F922" s="18" t="n"/>
      <c r="G922" s="40">
        <f>IFERROR(VLOOKUP(F922,M2_거래처마스터!A:E,3,FALSE),"")</f>
        <v/>
      </c>
      <c r="H922" s="18" t="n"/>
      <c r="I922" s="19" t="n"/>
      <c r="J922" s="20" t="n"/>
      <c r="K922" s="39">
        <f>IF(AND(I922&lt;&gt;"",J922&lt;&gt;""),I922*J922,"")</f>
        <v/>
      </c>
      <c r="L922" s="18" t="n"/>
      <c r="M922" s="18" t="n"/>
      <c r="N922" s="20" t="n"/>
      <c r="O922" s="20" t="n"/>
    </row>
    <row r="923">
      <c r="A923" s="41" t="n"/>
      <c r="B923" s="35">
        <f>IF(A923="","",YEAR(A923))</f>
        <v/>
      </c>
      <c r="C923" s="36">
        <f>IF(A923="","",MONTH(A923))</f>
        <v/>
      </c>
      <c r="D923" s="37">
        <f>IF(A923="","","Q"&amp;ROUNDUP(MONTH(A923)/3,0))</f>
        <v/>
      </c>
      <c r="E923" s="22" t="n"/>
      <c r="F923" s="22" t="n"/>
      <c r="G923" s="40">
        <f>IFERROR(VLOOKUP(F923,M2_거래처마스터!A:E,3,FALSE),"")</f>
        <v/>
      </c>
      <c r="H923" s="22" t="n"/>
      <c r="I923" s="23" t="n"/>
      <c r="J923" s="24" t="n"/>
      <c r="K923" s="39">
        <f>IF(AND(I923&lt;&gt;"",J923&lt;&gt;""),I923*J923,"")</f>
        <v/>
      </c>
      <c r="L923" s="22" t="n"/>
      <c r="M923" s="22" t="n"/>
      <c r="N923" s="24" t="n"/>
      <c r="O923" s="24" t="n"/>
    </row>
    <row r="924">
      <c r="A924" s="34" t="n"/>
      <c r="B924" s="35">
        <f>IF(A924="","",YEAR(A924))</f>
        <v/>
      </c>
      <c r="C924" s="36">
        <f>IF(A924="","",MONTH(A924))</f>
        <v/>
      </c>
      <c r="D924" s="37">
        <f>IF(A924="","","Q"&amp;ROUNDUP(MONTH(A924)/3,0))</f>
        <v/>
      </c>
      <c r="E924" s="18" t="n"/>
      <c r="F924" s="18" t="n"/>
      <c r="G924" s="40">
        <f>IFERROR(VLOOKUP(F924,M2_거래처마스터!A:E,3,FALSE),"")</f>
        <v/>
      </c>
      <c r="H924" s="18" t="n"/>
      <c r="I924" s="19" t="n"/>
      <c r="J924" s="20" t="n"/>
      <c r="K924" s="39">
        <f>IF(AND(I924&lt;&gt;"",J924&lt;&gt;""),I924*J924,"")</f>
        <v/>
      </c>
      <c r="L924" s="18" t="n"/>
      <c r="M924" s="18" t="n"/>
      <c r="N924" s="20" t="n"/>
      <c r="O924" s="20" t="n"/>
    </row>
    <row r="925">
      <c r="A925" s="41" t="n"/>
      <c r="B925" s="35">
        <f>IF(A925="","",YEAR(A925))</f>
        <v/>
      </c>
      <c r="C925" s="36">
        <f>IF(A925="","",MONTH(A925))</f>
        <v/>
      </c>
      <c r="D925" s="37">
        <f>IF(A925="","","Q"&amp;ROUNDUP(MONTH(A925)/3,0))</f>
        <v/>
      </c>
      <c r="E925" s="22" t="n"/>
      <c r="F925" s="22" t="n"/>
      <c r="G925" s="40">
        <f>IFERROR(VLOOKUP(F925,M2_거래처마스터!A:E,3,FALSE),"")</f>
        <v/>
      </c>
      <c r="H925" s="22" t="n"/>
      <c r="I925" s="23" t="n"/>
      <c r="J925" s="24" t="n"/>
      <c r="K925" s="39">
        <f>IF(AND(I925&lt;&gt;"",J925&lt;&gt;""),I925*J925,"")</f>
        <v/>
      </c>
      <c r="L925" s="22" t="n"/>
      <c r="M925" s="22" t="n"/>
      <c r="N925" s="24" t="n"/>
      <c r="O925" s="24" t="n"/>
    </row>
    <row r="926">
      <c r="A926" s="34" t="n"/>
      <c r="B926" s="35">
        <f>IF(A926="","",YEAR(A926))</f>
        <v/>
      </c>
      <c r="C926" s="36">
        <f>IF(A926="","",MONTH(A926))</f>
        <v/>
      </c>
      <c r="D926" s="37">
        <f>IF(A926="","","Q"&amp;ROUNDUP(MONTH(A926)/3,0))</f>
        <v/>
      </c>
      <c r="E926" s="18" t="n"/>
      <c r="F926" s="18" t="n"/>
      <c r="G926" s="40">
        <f>IFERROR(VLOOKUP(F926,M2_거래처마스터!A:E,3,FALSE),"")</f>
        <v/>
      </c>
      <c r="H926" s="18" t="n"/>
      <c r="I926" s="19" t="n"/>
      <c r="J926" s="20" t="n"/>
      <c r="K926" s="39">
        <f>IF(AND(I926&lt;&gt;"",J926&lt;&gt;""),I926*J926,"")</f>
        <v/>
      </c>
      <c r="L926" s="18" t="n"/>
      <c r="M926" s="18" t="n"/>
      <c r="N926" s="20" t="n"/>
      <c r="O926" s="20" t="n"/>
    </row>
    <row r="927">
      <c r="A927" s="41" t="n"/>
      <c r="B927" s="35">
        <f>IF(A927="","",YEAR(A927))</f>
        <v/>
      </c>
      <c r="C927" s="36">
        <f>IF(A927="","",MONTH(A927))</f>
        <v/>
      </c>
      <c r="D927" s="37">
        <f>IF(A927="","","Q"&amp;ROUNDUP(MONTH(A927)/3,0))</f>
        <v/>
      </c>
      <c r="E927" s="22" t="n"/>
      <c r="F927" s="22" t="n"/>
      <c r="G927" s="40">
        <f>IFERROR(VLOOKUP(F927,M2_거래처마스터!A:E,3,FALSE),"")</f>
        <v/>
      </c>
      <c r="H927" s="22" t="n"/>
      <c r="I927" s="23" t="n"/>
      <c r="J927" s="24" t="n"/>
      <c r="K927" s="39">
        <f>IF(AND(I927&lt;&gt;"",J927&lt;&gt;""),I927*J927,"")</f>
        <v/>
      </c>
      <c r="L927" s="22" t="n"/>
      <c r="M927" s="22" t="n"/>
      <c r="N927" s="24" t="n"/>
      <c r="O927" s="24" t="n"/>
    </row>
    <row r="928">
      <c r="A928" s="34" t="n"/>
      <c r="B928" s="35">
        <f>IF(A928="","",YEAR(A928))</f>
        <v/>
      </c>
      <c r="C928" s="36">
        <f>IF(A928="","",MONTH(A928))</f>
        <v/>
      </c>
      <c r="D928" s="37">
        <f>IF(A928="","","Q"&amp;ROUNDUP(MONTH(A928)/3,0))</f>
        <v/>
      </c>
      <c r="E928" s="18" t="n"/>
      <c r="F928" s="18" t="n"/>
      <c r="G928" s="40">
        <f>IFERROR(VLOOKUP(F928,M2_거래처마스터!A:E,3,FALSE),"")</f>
        <v/>
      </c>
      <c r="H928" s="18" t="n"/>
      <c r="I928" s="19" t="n"/>
      <c r="J928" s="20" t="n"/>
      <c r="K928" s="39">
        <f>IF(AND(I928&lt;&gt;"",J928&lt;&gt;""),I928*J928,"")</f>
        <v/>
      </c>
      <c r="L928" s="18" t="n"/>
      <c r="M928" s="18" t="n"/>
      <c r="N928" s="20" t="n"/>
      <c r="O928" s="20" t="n"/>
    </row>
    <row r="929">
      <c r="A929" s="41" t="n"/>
      <c r="B929" s="35">
        <f>IF(A929="","",YEAR(A929))</f>
        <v/>
      </c>
      <c r="C929" s="36">
        <f>IF(A929="","",MONTH(A929))</f>
        <v/>
      </c>
      <c r="D929" s="37">
        <f>IF(A929="","","Q"&amp;ROUNDUP(MONTH(A929)/3,0))</f>
        <v/>
      </c>
      <c r="E929" s="22" t="n"/>
      <c r="F929" s="22" t="n"/>
      <c r="G929" s="40">
        <f>IFERROR(VLOOKUP(F929,M2_거래처마스터!A:E,3,FALSE),"")</f>
        <v/>
      </c>
      <c r="H929" s="22" t="n"/>
      <c r="I929" s="23" t="n"/>
      <c r="J929" s="24" t="n"/>
      <c r="K929" s="39">
        <f>IF(AND(I929&lt;&gt;"",J929&lt;&gt;""),I929*J929,"")</f>
        <v/>
      </c>
      <c r="L929" s="22" t="n"/>
      <c r="M929" s="22" t="n"/>
      <c r="N929" s="24" t="n"/>
      <c r="O929" s="24" t="n"/>
    </row>
    <row r="930">
      <c r="A930" s="34" t="n"/>
      <c r="B930" s="35">
        <f>IF(A930="","",YEAR(A930))</f>
        <v/>
      </c>
      <c r="C930" s="36">
        <f>IF(A930="","",MONTH(A930))</f>
        <v/>
      </c>
      <c r="D930" s="37">
        <f>IF(A930="","","Q"&amp;ROUNDUP(MONTH(A930)/3,0))</f>
        <v/>
      </c>
      <c r="E930" s="18" t="n"/>
      <c r="F930" s="18" t="n"/>
      <c r="G930" s="40">
        <f>IFERROR(VLOOKUP(F930,M2_거래처마스터!A:E,3,FALSE),"")</f>
        <v/>
      </c>
      <c r="H930" s="18" t="n"/>
      <c r="I930" s="19" t="n"/>
      <c r="J930" s="20" t="n"/>
      <c r="K930" s="39">
        <f>IF(AND(I930&lt;&gt;"",J930&lt;&gt;""),I930*J930,"")</f>
        <v/>
      </c>
      <c r="L930" s="18" t="n"/>
      <c r="M930" s="18" t="n"/>
      <c r="N930" s="20" t="n"/>
      <c r="O930" s="20" t="n"/>
    </row>
    <row r="931">
      <c r="A931" s="41" t="n"/>
      <c r="B931" s="35">
        <f>IF(A931="","",YEAR(A931))</f>
        <v/>
      </c>
      <c r="C931" s="36">
        <f>IF(A931="","",MONTH(A931))</f>
        <v/>
      </c>
      <c r="D931" s="37">
        <f>IF(A931="","","Q"&amp;ROUNDUP(MONTH(A931)/3,0))</f>
        <v/>
      </c>
      <c r="E931" s="22" t="n"/>
      <c r="F931" s="22" t="n"/>
      <c r="G931" s="40">
        <f>IFERROR(VLOOKUP(F931,M2_거래처마스터!A:E,3,FALSE),"")</f>
        <v/>
      </c>
      <c r="H931" s="22" t="n"/>
      <c r="I931" s="23" t="n"/>
      <c r="J931" s="24" t="n"/>
      <c r="K931" s="39">
        <f>IF(AND(I931&lt;&gt;"",J931&lt;&gt;""),I931*J931,"")</f>
        <v/>
      </c>
      <c r="L931" s="22" t="n"/>
      <c r="M931" s="22" t="n"/>
      <c r="N931" s="24" t="n"/>
      <c r="O931" s="24" t="n"/>
    </row>
    <row r="932">
      <c r="A932" s="34" t="n"/>
      <c r="B932" s="35">
        <f>IF(A932="","",YEAR(A932))</f>
        <v/>
      </c>
      <c r="C932" s="36">
        <f>IF(A932="","",MONTH(A932))</f>
        <v/>
      </c>
      <c r="D932" s="37">
        <f>IF(A932="","","Q"&amp;ROUNDUP(MONTH(A932)/3,0))</f>
        <v/>
      </c>
      <c r="E932" s="18" t="n"/>
      <c r="F932" s="18" t="n"/>
      <c r="G932" s="40">
        <f>IFERROR(VLOOKUP(F932,M2_거래처마스터!A:E,3,FALSE),"")</f>
        <v/>
      </c>
      <c r="H932" s="18" t="n"/>
      <c r="I932" s="19" t="n"/>
      <c r="J932" s="20" t="n"/>
      <c r="K932" s="39">
        <f>IF(AND(I932&lt;&gt;"",J932&lt;&gt;""),I932*J932,"")</f>
        <v/>
      </c>
      <c r="L932" s="18" t="n"/>
      <c r="M932" s="18" t="n"/>
      <c r="N932" s="20" t="n"/>
      <c r="O932" s="20" t="n"/>
    </row>
    <row r="933">
      <c r="A933" s="41" t="n"/>
      <c r="B933" s="35">
        <f>IF(A933="","",YEAR(A933))</f>
        <v/>
      </c>
      <c r="C933" s="36">
        <f>IF(A933="","",MONTH(A933))</f>
        <v/>
      </c>
      <c r="D933" s="37">
        <f>IF(A933="","","Q"&amp;ROUNDUP(MONTH(A933)/3,0))</f>
        <v/>
      </c>
      <c r="E933" s="22" t="n"/>
      <c r="F933" s="22" t="n"/>
      <c r="G933" s="40">
        <f>IFERROR(VLOOKUP(F933,M2_거래처마스터!A:E,3,FALSE),"")</f>
        <v/>
      </c>
      <c r="H933" s="22" t="n"/>
      <c r="I933" s="23" t="n"/>
      <c r="J933" s="24" t="n"/>
      <c r="K933" s="39">
        <f>IF(AND(I933&lt;&gt;"",J933&lt;&gt;""),I933*J933,"")</f>
        <v/>
      </c>
      <c r="L933" s="22" t="n"/>
      <c r="M933" s="22" t="n"/>
      <c r="N933" s="24" t="n"/>
      <c r="O933" s="24" t="n"/>
    </row>
    <row r="934">
      <c r="A934" s="34" t="n"/>
      <c r="B934" s="35">
        <f>IF(A934="","",YEAR(A934))</f>
        <v/>
      </c>
      <c r="C934" s="36">
        <f>IF(A934="","",MONTH(A934))</f>
        <v/>
      </c>
      <c r="D934" s="37">
        <f>IF(A934="","","Q"&amp;ROUNDUP(MONTH(A934)/3,0))</f>
        <v/>
      </c>
      <c r="E934" s="18" t="n"/>
      <c r="F934" s="18" t="n"/>
      <c r="G934" s="40">
        <f>IFERROR(VLOOKUP(F934,M2_거래처마스터!A:E,3,FALSE),"")</f>
        <v/>
      </c>
      <c r="H934" s="18" t="n"/>
      <c r="I934" s="19" t="n"/>
      <c r="J934" s="20" t="n"/>
      <c r="K934" s="39">
        <f>IF(AND(I934&lt;&gt;"",J934&lt;&gt;""),I934*J934,"")</f>
        <v/>
      </c>
      <c r="L934" s="18" t="n"/>
      <c r="M934" s="18" t="n"/>
      <c r="N934" s="20" t="n"/>
      <c r="O934" s="20" t="n"/>
    </row>
    <row r="935">
      <c r="A935" s="41" t="n"/>
      <c r="B935" s="35">
        <f>IF(A935="","",YEAR(A935))</f>
        <v/>
      </c>
      <c r="C935" s="36">
        <f>IF(A935="","",MONTH(A935))</f>
        <v/>
      </c>
      <c r="D935" s="37">
        <f>IF(A935="","","Q"&amp;ROUNDUP(MONTH(A935)/3,0))</f>
        <v/>
      </c>
      <c r="E935" s="22" t="n"/>
      <c r="F935" s="22" t="n"/>
      <c r="G935" s="40">
        <f>IFERROR(VLOOKUP(F935,M2_거래처마스터!A:E,3,FALSE),"")</f>
        <v/>
      </c>
      <c r="H935" s="22" t="n"/>
      <c r="I935" s="23" t="n"/>
      <c r="J935" s="24" t="n"/>
      <c r="K935" s="39">
        <f>IF(AND(I935&lt;&gt;"",J935&lt;&gt;""),I935*J935,"")</f>
        <v/>
      </c>
      <c r="L935" s="22" t="n"/>
      <c r="M935" s="22" t="n"/>
      <c r="N935" s="24" t="n"/>
      <c r="O935" s="24" t="n"/>
    </row>
    <row r="936">
      <c r="A936" s="34" t="n"/>
      <c r="B936" s="35">
        <f>IF(A936="","",YEAR(A936))</f>
        <v/>
      </c>
      <c r="C936" s="36">
        <f>IF(A936="","",MONTH(A936))</f>
        <v/>
      </c>
      <c r="D936" s="37">
        <f>IF(A936="","","Q"&amp;ROUNDUP(MONTH(A936)/3,0))</f>
        <v/>
      </c>
      <c r="E936" s="18" t="n"/>
      <c r="F936" s="18" t="n"/>
      <c r="G936" s="40">
        <f>IFERROR(VLOOKUP(F936,M2_거래처마스터!A:E,3,FALSE),"")</f>
        <v/>
      </c>
      <c r="H936" s="18" t="n"/>
      <c r="I936" s="19" t="n"/>
      <c r="J936" s="20" t="n"/>
      <c r="K936" s="39">
        <f>IF(AND(I936&lt;&gt;"",J936&lt;&gt;""),I936*J936,"")</f>
        <v/>
      </c>
      <c r="L936" s="18" t="n"/>
      <c r="M936" s="18" t="n"/>
      <c r="N936" s="20" t="n"/>
      <c r="O936" s="20" t="n"/>
    </row>
    <row r="937">
      <c r="A937" s="41" t="n"/>
      <c r="B937" s="35">
        <f>IF(A937="","",YEAR(A937))</f>
        <v/>
      </c>
      <c r="C937" s="36">
        <f>IF(A937="","",MONTH(A937))</f>
        <v/>
      </c>
      <c r="D937" s="37">
        <f>IF(A937="","","Q"&amp;ROUNDUP(MONTH(A937)/3,0))</f>
        <v/>
      </c>
      <c r="E937" s="22" t="n"/>
      <c r="F937" s="22" t="n"/>
      <c r="G937" s="40">
        <f>IFERROR(VLOOKUP(F937,M2_거래처마스터!A:E,3,FALSE),"")</f>
        <v/>
      </c>
      <c r="H937" s="22" t="n"/>
      <c r="I937" s="23" t="n"/>
      <c r="J937" s="24" t="n"/>
      <c r="K937" s="39">
        <f>IF(AND(I937&lt;&gt;"",J937&lt;&gt;""),I937*J937,"")</f>
        <v/>
      </c>
      <c r="L937" s="22" t="n"/>
      <c r="M937" s="22" t="n"/>
      <c r="N937" s="24" t="n"/>
      <c r="O937" s="24" t="n"/>
    </row>
    <row r="938">
      <c r="A938" s="34" t="n"/>
      <c r="B938" s="35">
        <f>IF(A938="","",YEAR(A938))</f>
        <v/>
      </c>
      <c r="C938" s="36">
        <f>IF(A938="","",MONTH(A938))</f>
        <v/>
      </c>
      <c r="D938" s="37">
        <f>IF(A938="","","Q"&amp;ROUNDUP(MONTH(A938)/3,0))</f>
        <v/>
      </c>
      <c r="E938" s="18" t="n"/>
      <c r="F938" s="18" t="n"/>
      <c r="G938" s="40">
        <f>IFERROR(VLOOKUP(F938,M2_거래처마스터!A:E,3,FALSE),"")</f>
        <v/>
      </c>
      <c r="H938" s="18" t="n"/>
      <c r="I938" s="19" t="n"/>
      <c r="J938" s="20" t="n"/>
      <c r="K938" s="39">
        <f>IF(AND(I938&lt;&gt;"",J938&lt;&gt;""),I938*J938,"")</f>
        <v/>
      </c>
      <c r="L938" s="18" t="n"/>
      <c r="M938" s="18" t="n"/>
      <c r="N938" s="20" t="n"/>
      <c r="O938" s="20" t="n"/>
    </row>
    <row r="939">
      <c r="A939" s="41" t="n"/>
      <c r="B939" s="35">
        <f>IF(A939="","",YEAR(A939))</f>
        <v/>
      </c>
      <c r="C939" s="36">
        <f>IF(A939="","",MONTH(A939))</f>
        <v/>
      </c>
      <c r="D939" s="37">
        <f>IF(A939="","","Q"&amp;ROUNDUP(MONTH(A939)/3,0))</f>
        <v/>
      </c>
      <c r="E939" s="22" t="n"/>
      <c r="F939" s="22" t="n"/>
      <c r="G939" s="40">
        <f>IFERROR(VLOOKUP(F939,M2_거래처마스터!A:E,3,FALSE),"")</f>
        <v/>
      </c>
      <c r="H939" s="22" t="n"/>
      <c r="I939" s="23" t="n"/>
      <c r="J939" s="24" t="n"/>
      <c r="K939" s="39">
        <f>IF(AND(I939&lt;&gt;"",J939&lt;&gt;""),I939*J939,"")</f>
        <v/>
      </c>
      <c r="L939" s="22" t="n"/>
      <c r="M939" s="22" t="n"/>
      <c r="N939" s="24" t="n"/>
      <c r="O939" s="24" t="n"/>
    </row>
    <row r="940">
      <c r="A940" s="34" t="n"/>
      <c r="B940" s="35">
        <f>IF(A940="","",YEAR(A940))</f>
        <v/>
      </c>
      <c r="C940" s="36">
        <f>IF(A940="","",MONTH(A940))</f>
        <v/>
      </c>
      <c r="D940" s="37">
        <f>IF(A940="","","Q"&amp;ROUNDUP(MONTH(A940)/3,0))</f>
        <v/>
      </c>
      <c r="E940" s="18" t="n"/>
      <c r="F940" s="18" t="n"/>
      <c r="G940" s="40">
        <f>IFERROR(VLOOKUP(F940,M2_거래처마스터!A:E,3,FALSE),"")</f>
        <v/>
      </c>
      <c r="H940" s="18" t="n"/>
      <c r="I940" s="19" t="n"/>
      <c r="J940" s="20" t="n"/>
      <c r="K940" s="39">
        <f>IF(AND(I940&lt;&gt;"",J940&lt;&gt;""),I940*J940,"")</f>
        <v/>
      </c>
      <c r="L940" s="18" t="n"/>
      <c r="M940" s="18" t="n"/>
      <c r="N940" s="20" t="n"/>
      <c r="O940" s="20" t="n"/>
    </row>
    <row r="941">
      <c r="A941" s="41" t="n"/>
      <c r="B941" s="35">
        <f>IF(A941="","",YEAR(A941))</f>
        <v/>
      </c>
      <c r="C941" s="36">
        <f>IF(A941="","",MONTH(A941))</f>
        <v/>
      </c>
      <c r="D941" s="37">
        <f>IF(A941="","","Q"&amp;ROUNDUP(MONTH(A941)/3,0))</f>
        <v/>
      </c>
      <c r="E941" s="22" t="n"/>
      <c r="F941" s="22" t="n"/>
      <c r="G941" s="40">
        <f>IFERROR(VLOOKUP(F941,M2_거래처마스터!A:E,3,FALSE),"")</f>
        <v/>
      </c>
      <c r="H941" s="22" t="n"/>
      <c r="I941" s="23" t="n"/>
      <c r="J941" s="24" t="n"/>
      <c r="K941" s="39">
        <f>IF(AND(I941&lt;&gt;"",J941&lt;&gt;""),I941*J941,"")</f>
        <v/>
      </c>
      <c r="L941" s="22" t="n"/>
      <c r="M941" s="22" t="n"/>
      <c r="N941" s="24" t="n"/>
      <c r="O941" s="24" t="n"/>
    </row>
    <row r="942">
      <c r="A942" s="34" t="n"/>
      <c r="B942" s="35">
        <f>IF(A942="","",YEAR(A942))</f>
        <v/>
      </c>
      <c r="C942" s="36">
        <f>IF(A942="","",MONTH(A942))</f>
        <v/>
      </c>
      <c r="D942" s="37">
        <f>IF(A942="","","Q"&amp;ROUNDUP(MONTH(A942)/3,0))</f>
        <v/>
      </c>
      <c r="E942" s="18" t="n"/>
      <c r="F942" s="18" t="n"/>
      <c r="G942" s="40">
        <f>IFERROR(VLOOKUP(F942,M2_거래처마스터!A:E,3,FALSE),"")</f>
        <v/>
      </c>
      <c r="H942" s="18" t="n"/>
      <c r="I942" s="19" t="n"/>
      <c r="J942" s="20" t="n"/>
      <c r="K942" s="39">
        <f>IF(AND(I942&lt;&gt;"",J942&lt;&gt;""),I942*J942,"")</f>
        <v/>
      </c>
      <c r="L942" s="18" t="n"/>
      <c r="M942" s="18" t="n"/>
      <c r="N942" s="20" t="n"/>
      <c r="O942" s="20" t="n"/>
    </row>
    <row r="943">
      <c r="A943" s="41" t="n"/>
      <c r="B943" s="35">
        <f>IF(A943="","",YEAR(A943))</f>
        <v/>
      </c>
      <c r="C943" s="36">
        <f>IF(A943="","",MONTH(A943))</f>
        <v/>
      </c>
      <c r="D943" s="37">
        <f>IF(A943="","","Q"&amp;ROUNDUP(MONTH(A943)/3,0))</f>
        <v/>
      </c>
      <c r="E943" s="22" t="n"/>
      <c r="F943" s="22" t="n"/>
      <c r="G943" s="40">
        <f>IFERROR(VLOOKUP(F943,M2_거래처마스터!A:E,3,FALSE),"")</f>
        <v/>
      </c>
      <c r="H943" s="22" t="n"/>
      <c r="I943" s="23" t="n"/>
      <c r="J943" s="24" t="n"/>
      <c r="K943" s="39">
        <f>IF(AND(I943&lt;&gt;"",J943&lt;&gt;""),I943*J943,"")</f>
        <v/>
      </c>
      <c r="L943" s="22" t="n"/>
      <c r="M943" s="22" t="n"/>
      <c r="N943" s="24" t="n"/>
      <c r="O943" s="24" t="n"/>
    </row>
    <row r="944">
      <c r="A944" s="34" t="n"/>
      <c r="B944" s="35">
        <f>IF(A944="","",YEAR(A944))</f>
        <v/>
      </c>
      <c r="C944" s="36">
        <f>IF(A944="","",MONTH(A944))</f>
        <v/>
      </c>
      <c r="D944" s="37">
        <f>IF(A944="","","Q"&amp;ROUNDUP(MONTH(A944)/3,0))</f>
        <v/>
      </c>
      <c r="E944" s="18" t="n"/>
      <c r="F944" s="18" t="n"/>
      <c r="G944" s="40">
        <f>IFERROR(VLOOKUP(F944,M2_거래처마스터!A:E,3,FALSE),"")</f>
        <v/>
      </c>
      <c r="H944" s="18" t="n"/>
      <c r="I944" s="19" t="n"/>
      <c r="J944" s="20" t="n"/>
      <c r="K944" s="39">
        <f>IF(AND(I944&lt;&gt;"",J944&lt;&gt;""),I944*J944,"")</f>
        <v/>
      </c>
      <c r="L944" s="18" t="n"/>
      <c r="M944" s="18" t="n"/>
      <c r="N944" s="20" t="n"/>
      <c r="O944" s="20" t="n"/>
    </row>
    <row r="945">
      <c r="A945" s="41" t="n"/>
      <c r="B945" s="35">
        <f>IF(A945="","",YEAR(A945))</f>
        <v/>
      </c>
      <c r="C945" s="36">
        <f>IF(A945="","",MONTH(A945))</f>
        <v/>
      </c>
      <c r="D945" s="37">
        <f>IF(A945="","","Q"&amp;ROUNDUP(MONTH(A945)/3,0))</f>
        <v/>
      </c>
      <c r="E945" s="22" t="n"/>
      <c r="F945" s="22" t="n"/>
      <c r="G945" s="40">
        <f>IFERROR(VLOOKUP(F945,M2_거래처마스터!A:E,3,FALSE),"")</f>
        <v/>
      </c>
      <c r="H945" s="22" t="n"/>
      <c r="I945" s="23" t="n"/>
      <c r="J945" s="24" t="n"/>
      <c r="K945" s="39">
        <f>IF(AND(I945&lt;&gt;"",J945&lt;&gt;""),I945*J945,"")</f>
        <v/>
      </c>
      <c r="L945" s="22" t="n"/>
      <c r="M945" s="22" t="n"/>
      <c r="N945" s="24" t="n"/>
      <c r="O945" s="24" t="n"/>
    </row>
    <row r="946">
      <c r="A946" s="34" t="n"/>
      <c r="B946" s="35">
        <f>IF(A946="","",YEAR(A946))</f>
        <v/>
      </c>
      <c r="C946" s="36">
        <f>IF(A946="","",MONTH(A946))</f>
        <v/>
      </c>
      <c r="D946" s="37">
        <f>IF(A946="","","Q"&amp;ROUNDUP(MONTH(A946)/3,0))</f>
        <v/>
      </c>
      <c r="E946" s="18" t="n"/>
      <c r="F946" s="18" t="n"/>
      <c r="G946" s="40">
        <f>IFERROR(VLOOKUP(F946,M2_거래처마스터!A:E,3,FALSE),"")</f>
        <v/>
      </c>
      <c r="H946" s="18" t="n"/>
      <c r="I946" s="19" t="n"/>
      <c r="J946" s="20" t="n"/>
      <c r="K946" s="39">
        <f>IF(AND(I946&lt;&gt;"",J946&lt;&gt;""),I946*J946,"")</f>
        <v/>
      </c>
      <c r="L946" s="18" t="n"/>
      <c r="M946" s="18" t="n"/>
      <c r="N946" s="20" t="n"/>
      <c r="O946" s="20" t="n"/>
    </row>
    <row r="947">
      <c r="A947" s="41" t="n"/>
      <c r="B947" s="35">
        <f>IF(A947="","",YEAR(A947))</f>
        <v/>
      </c>
      <c r="C947" s="36">
        <f>IF(A947="","",MONTH(A947))</f>
        <v/>
      </c>
      <c r="D947" s="37">
        <f>IF(A947="","","Q"&amp;ROUNDUP(MONTH(A947)/3,0))</f>
        <v/>
      </c>
      <c r="E947" s="22" t="n"/>
      <c r="F947" s="22" t="n"/>
      <c r="G947" s="40">
        <f>IFERROR(VLOOKUP(F947,M2_거래처마스터!A:E,3,FALSE),"")</f>
        <v/>
      </c>
      <c r="H947" s="22" t="n"/>
      <c r="I947" s="23" t="n"/>
      <c r="J947" s="24" t="n"/>
      <c r="K947" s="39">
        <f>IF(AND(I947&lt;&gt;"",J947&lt;&gt;""),I947*J947,"")</f>
        <v/>
      </c>
      <c r="L947" s="22" t="n"/>
      <c r="M947" s="22" t="n"/>
      <c r="N947" s="24" t="n"/>
      <c r="O947" s="24" t="n"/>
    </row>
    <row r="948">
      <c r="A948" s="34" t="n"/>
      <c r="B948" s="35">
        <f>IF(A948="","",YEAR(A948))</f>
        <v/>
      </c>
      <c r="C948" s="36">
        <f>IF(A948="","",MONTH(A948))</f>
        <v/>
      </c>
      <c r="D948" s="37">
        <f>IF(A948="","","Q"&amp;ROUNDUP(MONTH(A948)/3,0))</f>
        <v/>
      </c>
      <c r="E948" s="18" t="n"/>
      <c r="F948" s="18" t="n"/>
      <c r="G948" s="40">
        <f>IFERROR(VLOOKUP(F948,M2_거래처마스터!A:E,3,FALSE),"")</f>
        <v/>
      </c>
      <c r="H948" s="18" t="n"/>
      <c r="I948" s="19" t="n"/>
      <c r="J948" s="20" t="n"/>
      <c r="K948" s="39">
        <f>IF(AND(I948&lt;&gt;"",J948&lt;&gt;""),I948*J948,"")</f>
        <v/>
      </c>
      <c r="L948" s="18" t="n"/>
      <c r="M948" s="18" t="n"/>
      <c r="N948" s="20" t="n"/>
      <c r="O948" s="20" t="n"/>
    </row>
    <row r="949">
      <c r="A949" s="41" t="n"/>
      <c r="B949" s="35">
        <f>IF(A949="","",YEAR(A949))</f>
        <v/>
      </c>
      <c r="C949" s="36">
        <f>IF(A949="","",MONTH(A949))</f>
        <v/>
      </c>
      <c r="D949" s="37">
        <f>IF(A949="","","Q"&amp;ROUNDUP(MONTH(A949)/3,0))</f>
        <v/>
      </c>
      <c r="E949" s="22" t="n"/>
      <c r="F949" s="22" t="n"/>
      <c r="G949" s="40">
        <f>IFERROR(VLOOKUP(F949,M2_거래처마스터!A:E,3,FALSE),"")</f>
        <v/>
      </c>
      <c r="H949" s="22" t="n"/>
      <c r="I949" s="23" t="n"/>
      <c r="J949" s="24" t="n"/>
      <c r="K949" s="39">
        <f>IF(AND(I949&lt;&gt;"",J949&lt;&gt;""),I949*J949,"")</f>
        <v/>
      </c>
      <c r="L949" s="22" t="n"/>
      <c r="M949" s="22" t="n"/>
      <c r="N949" s="24" t="n"/>
      <c r="O949" s="24" t="n"/>
    </row>
    <row r="950">
      <c r="A950" s="34" t="n"/>
      <c r="B950" s="35">
        <f>IF(A950="","",YEAR(A950))</f>
        <v/>
      </c>
      <c r="C950" s="36">
        <f>IF(A950="","",MONTH(A950))</f>
        <v/>
      </c>
      <c r="D950" s="37">
        <f>IF(A950="","","Q"&amp;ROUNDUP(MONTH(A950)/3,0))</f>
        <v/>
      </c>
      <c r="E950" s="18" t="n"/>
      <c r="F950" s="18" t="n"/>
      <c r="G950" s="40">
        <f>IFERROR(VLOOKUP(F950,M2_거래처마스터!A:E,3,FALSE),"")</f>
        <v/>
      </c>
      <c r="H950" s="18" t="n"/>
      <c r="I950" s="19" t="n"/>
      <c r="J950" s="20" t="n"/>
      <c r="K950" s="39">
        <f>IF(AND(I950&lt;&gt;"",J950&lt;&gt;""),I950*J950,"")</f>
        <v/>
      </c>
      <c r="L950" s="18" t="n"/>
      <c r="M950" s="18" t="n"/>
      <c r="N950" s="20" t="n"/>
      <c r="O950" s="20" t="n"/>
    </row>
    <row r="951">
      <c r="A951" s="41" t="n"/>
      <c r="B951" s="35">
        <f>IF(A951="","",YEAR(A951))</f>
        <v/>
      </c>
      <c r="C951" s="36">
        <f>IF(A951="","",MONTH(A951))</f>
        <v/>
      </c>
      <c r="D951" s="37">
        <f>IF(A951="","","Q"&amp;ROUNDUP(MONTH(A951)/3,0))</f>
        <v/>
      </c>
      <c r="E951" s="22" t="n"/>
      <c r="F951" s="22" t="n"/>
      <c r="G951" s="40">
        <f>IFERROR(VLOOKUP(F951,M2_거래처마스터!A:E,3,FALSE),"")</f>
        <v/>
      </c>
      <c r="H951" s="22" t="n"/>
      <c r="I951" s="23" t="n"/>
      <c r="J951" s="24" t="n"/>
      <c r="K951" s="39">
        <f>IF(AND(I951&lt;&gt;"",J951&lt;&gt;""),I951*J951,"")</f>
        <v/>
      </c>
      <c r="L951" s="22" t="n"/>
      <c r="M951" s="22" t="n"/>
      <c r="N951" s="24" t="n"/>
      <c r="O951" s="24" t="n"/>
    </row>
    <row r="952">
      <c r="A952" s="34" t="n"/>
      <c r="B952" s="35">
        <f>IF(A952="","",YEAR(A952))</f>
        <v/>
      </c>
      <c r="C952" s="36">
        <f>IF(A952="","",MONTH(A952))</f>
        <v/>
      </c>
      <c r="D952" s="37">
        <f>IF(A952="","","Q"&amp;ROUNDUP(MONTH(A952)/3,0))</f>
        <v/>
      </c>
      <c r="E952" s="18" t="n"/>
      <c r="F952" s="18" t="n"/>
      <c r="G952" s="40">
        <f>IFERROR(VLOOKUP(F952,M2_거래처마스터!A:E,3,FALSE),"")</f>
        <v/>
      </c>
      <c r="H952" s="18" t="n"/>
      <c r="I952" s="19" t="n"/>
      <c r="J952" s="20" t="n"/>
      <c r="K952" s="39">
        <f>IF(AND(I952&lt;&gt;"",J952&lt;&gt;""),I952*J952,"")</f>
        <v/>
      </c>
      <c r="L952" s="18" t="n"/>
      <c r="M952" s="18" t="n"/>
      <c r="N952" s="20" t="n"/>
      <c r="O952" s="20" t="n"/>
    </row>
    <row r="953">
      <c r="A953" s="41" t="n"/>
      <c r="B953" s="35">
        <f>IF(A953="","",YEAR(A953))</f>
        <v/>
      </c>
      <c r="C953" s="36">
        <f>IF(A953="","",MONTH(A953))</f>
        <v/>
      </c>
      <c r="D953" s="37">
        <f>IF(A953="","","Q"&amp;ROUNDUP(MONTH(A953)/3,0))</f>
        <v/>
      </c>
      <c r="E953" s="22" t="n"/>
      <c r="F953" s="22" t="n"/>
      <c r="G953" s="40">
        <f>IFERROR(VLOOKUP(F953,M2_거래처마스터!A:E,3,FALSE),"")</f>
        <v/>
      </c>
      <c r="H953" s="22" t="n"/>
      <c r="I953" s="23" t="n"/>
      <c r="J953" s="24" t="n"/>
      <c r="K953" s="39">
        <f>IF(AND(I953&lt;&gt;"",J953&lt;&gt;""),I953*J953,"")</f>
        <v/>
      </c>
      <c r="L953" s="22" t="n"/>
      <c r="M953" s="22" t="n"/>
      <c r="N953" s="24" t="n"/>
      <c r="O953" s="24" t="n"/>
    </row>
    <row r="954">
      <c r="A954" s="34" t="n"/>
      <c r="B954" s="35">
        <f>IF(A954="","",YEAR(A954))</f>
        <v/>
      </c>
      <c r="C954" s="36">
        <f>IF(A954="","",MONTH(A954))</f>
        <v/>
      </c>
      <c r="D954" s="37">
        <f>IF(A954="","","Q"&amp;ROUNDUP(MONTH(A954)/3,0))</f>
        <v/>
      </c>
      <c r="E954" s="18" t="n"/>
      <c r="F954" s="18" t="n"/>
      <c r="G954" s="40">
        <f>IFERROR(VLOOKUP(F954,M2_거래처마스터!A:E,3,FALSE),"")</f>
        <v/>
      </c>
      <c r="H954" s="18" t="n"/>
      <c r="I954" s="19" t="n"/>
      <c r="J954" s="20" t="n"/>
      <c r="K954" s="39">
        <f>IF(AND(I954&lt;&gt;"",J954&lt;&gt;""),I954*J954,"")</f>
        <v/>
      </c>
      <c r="L954" s="18" t="n"/>
      <c r="M954" s="18" t="n"/>
      <c r="N954" s="20" t="n"/>
      <c r="O954" s="20" t="n"/>
    </row>
    <row r="955">
      <c r="A955" s="41" t="n"/>
      <c r="B955" s="35">
        <f>IF(A955="","",YEAR(A955))</f>
        <v/>
      </c>
      <c r="C955" s="36">
        <f>IF(A955="","",MONTH(A955))</f>
        <v/>
      </c>
      <c r="D955" s="37">
        <f>IF(A955="","","Q"&amp;ROUNDUP(MONTH(A955)/3,0))</f>
        <v/>
      </c>
      <c r="E955" s="22" t="n"/>
      <c r="F955" s="22" t="n"/>
      <c r="G955" s="40">
        <f>IFERROR(VLOOKUP(F955,M2_거래처마스터!A:E,3,FALSE),"")</f>
        <v/>
      </c>
      <c r="H955" s="22" t="n"/>
      <c r="I955" s="23" t="n"/>
      <c r="J955" s="24" t="n"/>
      <c r="K955" s="39">
        <f>IF(AND(I955&lt;&gt;"",J955&lt;&gt;""),I955*J955,"")</f>
        <v/>
      </c>
      <c r="L955" s="22" t="n"/>
      <c r="M955" s="22" t="n"/>
      <c r="N955" s="24" t="n"/>
      <c r="O955" s="24" t="n"/>
    </row>
    <row r="956">
      <c r="A956" s="34" t="n"/>
      <c r="B956" s="35">
        <f>IF(A956="","",YEAR(A956))</f>
        <v/>
      </c>
      <c r="C956" s="36">
        <f>IF(A956="","",MONTH(A956))</f>
        <v/>
      </c>
      <c r="D956" s="37">
        <f>IF(A956="","","Q"&amp;ROUNDUP(MONTH(A956)/3,0))</f>
        <v/>
      </c>
      <c r="E956" s="18" t="n"/>
      <c r="F956" s="18" t="n"/>
      <c r="G956" s="40">
        <f>IFERROR(VLOOKUP(F956,M2_거래처마스터!A:E,3,FALSE),"")</f>
        <v/>
      </c>
      <c r="H956" s="18" t="n"/>
      <c r="I956" s="19" t="n"/>
      <c r="J956" s="20" t="n"/>
      <c r="K956" s="39">
        <f>IF(AND(I956&lt;&gt;"",J956&lt;&gt;""),I956*J956,"")</f>
        <v/>
      </c>
      <c r="L956" s="18" t="n"/>
      <c r="M956" s="18" t="n"/>
      <c r="N956" s="20" t="n"/>
      <c r="O956" s="20" t="n"/>
    </row>
    <row r="957">
      <c r="A957" s="41" t="n"/>
      <c r="B957" s="35">
        <f>IF(A957="","",YEAR(A957))</f>
        <v/>
      </c>
      <c r="C957" s="36">
        <f>IF(A957="","",MONTH(A957))</f>
        <v/>
      </c>
      <c r="D957" s="37">
        <f>IF(A957="","","Q"&amp;ROUNDUP(MONTH(A957)/3,0))</f>
        <v/>
      </c>
      <c r="E957" s="22" t="n"/>
      <c r="F957" s="22" t="n"/>
      <c r="G957" s="40">
        <f>IFERROR(VLOOKUP(F957,M2_거래처마스터!A:E,3,FALSE),"")</f>
        <v/>
      </c>
      <c r="H957" s="22" t="n"/>
      <c r="I957" s="23" t="n"/>
      <c r="J957" s="24" t="n"/>
      <c r="K957" s="39">
        <f>IF(AND(I957&lt;&gt;"",J957&lt;&gt;""),I957*J957,"")</f>
        <v/>
      </c>
      <c r="L957" s="22" t="n"/>
      <c r="M957" s="22" t="n"/>
      <c r="N957" s="24" t="n"/>
      <c r="O957" s="24" t="n"/>
    </row>
    <row r="958">
      <c r="A958" s="34" t="n"/>
      <c r="B958" s="35">
        <f>IF(A958="","",YEAR(A958))</f>
        <v/>
      </c>
      <c r="C958" s="36">
        <f>IF(A958="","",MONTH(A958))</f>
        <v/>
      </c>
      <c r="D958" s="37">
        <f>IF(A958="","","Q"&amp;ROUNDUP(MONTH(A958)/3,0))</f>
        <v/>
      </c>
      <c r="E958" s="18" t="n"/>
      <c r="F958" s="18" t="n"/>
      <c r="G958" s="40">
        <f>IFERROR(VLOOKUP(F958,M2_거래처마스터!A:E,3,FALSE),"")</f>
        <v/>
      </c>
      <c r="H958" s="18" t="n"/>
      <c r="I958" s="19" t="n"/>
      <c r="J958" s="20" t="n"/>
      <c r="K958" s="39">
        <f>IF(AND(I958&lt;&gt;"",J958&lt;&gt;""),I958*J958,"")</f>
        <v/>
      </c>
      <c r="L958" s="18" t="n"/>
      <c r="M958" s="18" t="n"/>
      <c r="N958" s="20" t="n"/>
      <c r="O958" s="20" t="n"/>
    </row>
    <row r="959">
      <c r="A959" s="41" t="n"/>
      <c r="B959" s="35">
        <f>IF(A959="","",YEAR(A959))</f>
        <v/>
      </c>
      <c r="C959" s="36">
        <f>IF(A959="","",MONTH(A959))</f>
        <v/>
      </c>
      <c r="D959" s="37">
        <f>IF(A959="","","Q"&amp;ROUNDUP(MONTH(A959)/3,0))</f>
        <v/>
      </c>
      <c r="E959" s="22" t="n"/>
      <c r="F959" s="22" t="n"/>
      <c r="G959" s="40">
        <f>IFERROR(VLOOKUP(F959,M2_거래처마스터!A:E,3,FALSE),"")</f>
        <v/>
      </c>
      <c r="H959" s="22" t="n"/>
      <c r="I959" s="23" t="n"/>
      <c r="J959" s="24" t="n"/>
      <c r="K959" s="39">
        <f>IF(AND(I959&lt;&gt;"",J959&lt;&gt;""),I959*J959,"")</f>
        <v/>
      </c>
      <c r="L959" s="22" t="n"/>
      <c r="M959" s="22" t="n"/>
      <c r="N959" s="24" t="n"/>
      <c r="O959" s="24" t="n"/>
    </row>
    <row r="960">
      <c r="A960" s="34" t="n"/>
      <c r="B960" s="35">
        <f>IF(A960="","",YEAR(A960))</f>
        <v/>
      </c>
      <c r="C960" s="36">
        <f>IF(A960="","",MONTH(A960))</f>
        <v/>
      </c>
      <c r="D960" s="37">
        <f>IF(A960="","","Q"&amp;ROUNDUP(MONTH(A960)/3,0))</f>
        <v/>
      </c>
      <c r="E960" s="18" t="n"/>
      <c r="F960" s="18" t="n"/>
      <c r="G960" s="40">
        <f>IFERROR(VLOOKUP(F960,M2_거래처마스터!A:E,3,FALSE),"")</f>
        <v/>
      </c>
      <c r="H960" s="18" t="n"/>
      <c r="I960" s="19" t="n"/>
      <c r="J960" s="20" t="n"/>
      <c r="K960" s="39">
        <f>IF(AND(I960&lt;&gt;"",J960&lt;&gt;""),I960*J960,"")</f>
        <v/>
      </c>
      <c r="L960" s="18" t="n"/>
      <c r="M960" s="18" t="n"/>
      <c r="N960" s="20" t="n"/>
      <c r="O960" s="20" t="n"/>
    </row>
    <row r="961">
      <c r="A961" s="41" t="n"/>
      <c r="B961" s="35">
        <f>IF(A961="","",YEAR(A961))</f>
        <v/>
      </c>
      <c r="C961" s="36">
        <f>IF(A961="","",MONTH(A961))</f>
        <v/>
      </c>
      <c r="D961" s="37">
        <f>IF(A961="","","Q"&amp;ROUNDUP(MONTH(A961)/3,0))</f>
        <v/>
      </c>
      <c r="E961" s="22" t="n"/>
      <c r="F961" s="22" t="n"/>
      <c r="G961" s="40">
        <f>IFERROR(VLOOKUP(F961,M2_거래처마스터!A:E,3,FALSE),"")</f>
        <v/>
      </c>
      <c r="H961" s="22" t="n"/>
      <c r="I961" s="23" t="n"/>
      <c r="J961" s="24" t="n"/>
      <c r="K961" s="39">
        <f>IF(AND(I961&lt;&gt;"",J961&lt;&gt;""),I961*J961,"")</f>
        <v/>
      </c>
      <c r="L961" s="22" t="n"/>
      <c r="M961" s="22" t="n"/>
      <c r="N961" s="24" t="n"/>
      <c r="O961" s="24" t="n"/>
    </row>
    <row r="962">
      <c r="A962" s="34" t="n"/>
      <c r="B962" s="35">
        <f>IF(A962="","",YEAR(A962))</f>
        <v/>
      </c>
      <c r="C962" s="36">
        <f>IF(A962="","",MONTH(A962))</f>
        <v/>
      </c>
      <c r="D962" s="37">
        <f>IF(A962="","","Q"&amp;ROUNDUP(MONTH(A962)/3,0))</f>
        <v/>
      </c>
      <c r="E962" s="18" t="n"/>
      <c r="F962" s="18" t="n"/>
      <c r="G962" s="40">
        <f>IFERROR(VLOOKUP(F962,M2_거래처마스터!A:E,3,FALSE),"")</f>
        <v/>
      </c>
      <c r="H962" s="18" t="n"/>
      <c r="I962" s="19" t="n"/>
      <c r="J962" s="20" t="n"/>
      <c r="K962" s="39">
        <f>IF(AND(I962&lt;&gt;"",J962&lt;&gt;""),I962*J962,"")</f>
        <v/>
      </c>
      <c r="L962" s="18" t="n"/>
      <c r="M962" s="18" t="n"/>
      <c r="N962" s="20" t="n"/>
      <c r="O962" s="20" t="n"/>
    </row>
    <row r="963">
      <c r="A963" s="41" t="n"/>
      <c r="B963" s="35">
        <f>IF(A963="","",YEAR(A963))</f>
        <v/>
      </c>
      <c r="C963" s="36">
        <f>IF(A963="","",MONTH(A963))</f>
        <v/>
      </c>
      <c r="D963" s="37">
        <f>IF(A963="","","Q"&amp;ROUNDUP(MONTH(A963)/3,0))</f>
        <v/>
      </c>
      <c r="E963" s="22" t="n"/>
      <c r="F963" s="22" t="n"/>
      <c r="G963" s="40">
        <f>IFERROR(VLOOKUP(F963,M2_거래처마스터!A:E,3,FALSE),"")</f>
        <v/>
      </c>
      <c r="H963" s="22" t="n"/>
      <c r="I963" s="23" t="n"/>
      <c r="J963" s="24" t="n"/>
      <c r="K963" s="39">
        <f>IF(AND(I963&lt;&gt;"",J963&lt;&gt;""),I963*J963,"")</f>
        <v/>
      </c>
      <c r="L963" s="22" t="n"/>
      <c r="M963" s="22" t="n"/>
      <c r="N963" s="24" t="n"/>
      <c r="O963" s="24" t="n"/>
    </row>
    <row r="964">
      <c r="A964" s="34" t="n"/>
      <c r="B964" s="35">
        <f>IF(A964="","",YEAR(A964))</f>
        <v/>
      </c>
      <c r="C964" s="36">
        <f>IF(A964="","",MONTH(A964))</f>
        <v/>
      </c>
      <c r="D964" s="37">
        <f>IF(A964="","","Q"&amp;ROUNDUP(MONTH(A964)/3,0))</f>
        <v/>
      </c>
      <c r="E964" s="18" t="n"/>
      <c r="F964" s="18" t="n"/>
      <c r="G964" s="40">
        <f>IFERROR(VLOOKUP(F964,M2_거래처마스터!A:E,3,FALSE),"")</f>
        <v/>
      </c>
      <c r="H964" s="18" t="n"/>
      <c r="I964" s="19" t="n"/>
      <c r="J964" s="20" t="n"/>
      <c r="K964" s="39">
        <f>IF(AND(I964&lt;&gt;"",J964&lt;&gt;""),I964*J964,"")</f>
        <v/>
      </c>
      <c r="L964" s="18" t="n"/>
      <c r="M964" s="18" t="n"/>
      <c r="N964" s="20" t="n"/>
      <c r="O964" s="20" t="n"/>
    </row>
    <row r="965">
      <c r="A965" s="41" t="n"/>
      <c r="B965" s="35">
        <f>IF(A965="","",YEAR(A965))</f>
        <v/>
      </c>
      <c r="C965" s="36">
        <f>IF(A965="","",MONTH(A965))</f>
        <v/>
      </c>
      <c r="D965" s="37">
        <f>IF(A965="","","Q"&amp;ROUNDUP(MONTH(A965)/3,0))</f>
        <v/>
      </c>
      <c r="E965" s="22" t="n"/>
      <c r="F965" s="22" t="n"/>
      <c r="G965" s="40">
        <f>IFERROR(VLOOKUP(F965,M2_거래처마스터!A:E,3,FALSE),"")</f>
        <v/>
      </c>
      <c r="H965" s="22" t="n"/>
      <c r="I965" s="23" t="n"/>
      <c r="J965" s="24" t="n"/>
      <c r="K965" s="39">
        <f>IF(AND(I965&lt;&gt;"",J965&lt;&gt;""),I965*J965,"")</f>
        <v/>
      </c>
      <c r="L965" s="22" t="n"/>
      <c r="M965" s="22" t="n"/>
      <c r="N965" s="24" t="n"/>
      <c r="O965" s="24" t="n"/>
    </row>
    <row r="966">
      <c r="A966" s="34" t="n"/>
      <c r="B966" s="35">
        <f>IF(A966="","",YEAR(A966))</f>
        <v/>
      </c>
      <c r="C966" s="36">
        <f>IF(A966="","",MONTH(A966))</f>
        <v/>
      </c>
      <c r="D966" s="37">
        <f>IF(A966="","","Q"&amp;ROUNDUP(MONTH(A966)/3,0))</f>
        <v/>
      </c>
      <c r="E966" s="18" t="n"/>
      <c r="F966" s="18" t="n"/>
      <c r="G966" s="40">
        <f>IFERROR(VLOOKUP(F966,M2_거래처마스터!A:E,3,FALSE),"")</f>
        <v/>
      </c>
      <c r="H966" s="18" t="n"/>
      <c r="I966" s="19" t="n"/>
      <c r="J966" s="20" t="n"/>
      <c r="K966" s="39">
        <f>IF(AND(I966&lt;&gt;"",J966&lt;&gt;""),I966*J966,"")</f>
        <v/>
      </c>
      <c r="L966" s="18" t="n"/>
      <c r="M966" s="18" t="n"/>
      <c r="N966" s="20" t="n"/>
      <c r="O966" s="20" t="n"/>
    </row>
    <row r="967">
      <c r="A967" s="41" t="n"/>
      <c r="B967" s="35">
        <f>IF(A967="","",YEAR(A967))</f>
        <v/>
      </c>
      <c r="C967" s="36">
        <f>IF(A967="","",MONTH(A967))</f>
        <v/>
      </c>
      <c r="D967" s="37">
        <f>IF(A967="","","Q"&amp;ROUNDUP(MONTH(A967)/3,0))</f>
        <v/>
      </c>
      <c r="E967" s="22" t="n"/>
      <c r="F967" s="22" t="n"/>
      <c r="G967" s="40">
        <f>IFERROR(VLOOKUP(F967,M2_거래처마스터!A:E,3,FALSE),"")</f>
        <v/>
      </c>
      <c r="H967" s="22" t="n"/>
      <c r="I967" s="23" t="n"/>
      <c r="J967" s="24" t="n"/>
      <c r="K967" s="39">
        <f>IF(AND(I967&lt;&gt;"",J967&lt;&gt;""),I967*J967,"")</f>
        <v/>
      </c>
      <c r="L967" s="22" t="n"/>
      <c r="M967" s="22" t="n"/>
      <c r="N967" s="24" t="n"/>
      <c r="O967" s="24" t="n"/>
    </row>
    <row r="968">
      <c r="A968" s="34" t="n"/>
      <c r="B968" s="35">
        <f>IF(A968="","",YEAR(A968))</f>
        <v/>
      </c>
      <c r="C968" s="36">
        <f>IF(A968="","",MONTH(A968))</f>
        <v/>
      </c>
      <c r="D968" s="37">
        <f>IF(A968="","","Q"&amp;ROUNDUP(MONTH(A968)/3,0))</f>
        <v/>
      </c>
      <c r="E968" s="18" t="n"/>
      <c r="F968" s="18" t="n"/>
      <c r="G968" s="40">
        <f>IFERROR(VLOOKUP(F968,M2_거래처마스터!A:E,3,FALSE),"")</f>
        <v/>
      </c>
      <c r="H968" s="18" t="n"/>
      <c r="I968" s="19" t="n"/>
      <c r="J968" s="20" t="n"/>
      <c r="K968" s="39">
        <f>IF(AND(I968&lt;&gt;"",J968&lt;&gt;""),I968*J968,"")</f>
        <v/>
      </c>
      <c r="L968" s="18" t="n"/>
      <c r="M968" s="18" t="n"/>
      <c r="N968" s="20" t="n"/>
      <c r="O968" s="20" t="n"/>
    </row>
    <row r="969">
      <c r="A969" s="41" t="n"/>
      <c r="B969" s="35">
        <f>IF(A969="","",YEAR(A969))</f>
        <v/>
      </c>
      <c r="C969" s="36">
        <f>IF(A969="","",MONTH(A969))</f>
        <v/>
      </c>
      <c r="D969" s="37">
        <f>IF(A969="","","Q"&amp;ROUNDUP(MONTH(A969)/3,0))</f>
        <v/>
      </c>
      <c r="E969" s="22" t="n"/>
      <c r="F969" s="22" t="n"/>
      <c r="G969" s="40">
        <f>IFERROR(VLOOKUP(F969,M2_거래처마스터!A:E,3,FALSE),"")</f>
        <v/>
      </c>
      <c r="H969" s="22" t="n"/>
      <c r="I969" s="23" t="n"/>
      <c r="J969" s="24" t="n"/>
      <c r="K969" s="39">
        <f>IF(AND(I969&lt;&gt;"",J969&lt;&gt;""),I969*J969,"")</f>
        <v/>
      </c>
      <c r="L969" s="22" t="n"/>
      <c r="M969" s="22" t="n"/>
      <c r="N969" s="24" t="n"/>
      <c r="O969" s="24" t="n"/>
    </row>
    <row r="970">
      <c r="A970" s="34" t="n"/>
      <c r="B970" s="35">
        <f>IF(A970="","",YEAR(A970))</f>
        <v/>
      </c>
      <c r="C970" s="36">
        <f>IF(A970="","",MONTH(A970))</f>
        <v/>
      </c>
      <c r="D970" s="37">
        <f>IF(A970="","","Q"&amp;ROUNDUP(MONTH(A970)/3,0))</f>
        <v/>
      </c>
      <c r="E970" s="18" t="n"/>
      <c r="F970" s="18" t="n"/>
      <c r="G970" s="40">
        <f>IFERROR(VLOOKUP(F970,M2_거래처마스터!A:E,3,FALSE),"")</f>
        <v/>
      </c>
      <c r="H970" s="18" t="n"/>
      <c r="I970" s="19" t="n"/>
      <c r="J970" s="20" t="n"/>
      <c r="K970" s="39">
        <f>IF(AND(I970&lt;&gt;"",J970&lt;&gt;""),I970*J970,"")</f>
        <v/>
      </c>
      <c r="L970" s="18" t="n"/>
      <c r="M970" s="18" t="n"/>
      <c r="N970" s="20" t="n"/>
      <c r="O970" s="20" t="n"/>
    </row>
    <row r="971">
      <c r="A971" s="41" t="n"/>
      <c r="B971" s="35">
        <f>IF(A971="","",YEAR(A971))</f>
        <v/>
      </c>
      <c r="C971" s="36">
        <f>IF(A971="","",MONTH(A971))</f>
        <v/>
      </c>
      <c r="D971" s="37">
        <f>IF(A971="","","Q"&amp;ROUNDUP(MONTH(A971)/3,0))</f>
        <v/>
      </c>
      <c r="E971" s="22" t="n"/>
      <c r="F971" s="22" t="n"/>
      <c r="G971" s="40">
        <f>IFERROR(VLOOKUP(F971,M2_거래처마스터!A:E,3,FALSE),"")</f>
        <v/>
      </c>
      <c r="H971" s="22" t="n"/>
      <c r="I971" s="23" t="n"/>
      <c r="J971" s="24" t="n"/>
      <c r="K971" s="39">
        <f>IF(AND(I971&lt;&gt;"",J971&lt;&gt;""),I971*J971,"")</f>
        <v/>
      </c>
      <c r="L971" s="22" t="n"/>
      <c r="M971" s="22" t="n"/>
      <c r="N971" s="24" t="n"/>
      <c r="O971" s="24" t="n"/>
    </row>
    <row r="972">
      <c r="A972" s="34" t="n"/>
      <c r="B972" s="35">
        <f>IF(A972="","",YEAR(A972))</f>
        <v/>
      </c>
      <c r="C972" s="36">
        <f>IF(A972="","",MONTH(A972))</f>
        <v/>
      </c>
      <c r="D972" s="37">
        <f>IF(A972="","","Q"&amp;ROUNDUP(MONTH(A972)/3,0))</f>
        <v/>
      </c>
      <c r="E972" s="18" t="n"/>
      <c r="F972" s="18" t="n"/>
      <c r="G972" s="40">
        <f>IFERROR(VLOOKUP(F972,M2_거래처마스터!A:E,3,FALSE),"")</f>
        <v/>
      </c>
      <c r="H972" s="18" t="n"/>
      <c r="I972" s="19" t="n"/>
      <c r="J972" s="20" t="n"/>
      <c r="K972" s="39">
        <f>IF(AND(I972&lt;&gt;"",J972&lt;&gt;""),I972*J972,"")</f>
        <v/>
      </c>
      <c r="L972" s="18" t="n"/>
      <c r="M972" s="18" t="n"/>
      <c r="N972" s="20" t="n"/>
      <c r="O972" s="20" t="n"/>
    </row>
    <row r="973">
      <c r="A973" s="41" t="n"/>
      <c r="B973" s="35">
        <f>IF(A973="","",YEAR(A973))</f>
        <v/>
      </c>
      <c r="C973" s="36">
        <f>IF(A973="","",MONTH(A973))</f>
        <v/>
      </c>
      <c r="D973" s="37">
        <f>IF(A973="","","Q"&amp;ROUNDUP(MONTH(A973)/3,0))</f>
        <v/>
      </c>
      <c r="E973" s="22" t="n"/>
      <c r="F973" s="22" t="n"/>
      <c r="G973" s="40">
        <f>IFERROR(VLOOKUP(F973,M2_거래처마스터!A:E,3,FALSE),"")</f>
        <v/>
      </c>
      <c r="H973" s="22" t="n"/>
      <c r="I973" s="23" t="n"/>
      <c r="J973" s="24" t="n"/>
      <c r="K973" s="39">
        <f>IF(AND(I973&lt;&gt;"",J973&lt;&gt;""),I973*J973,"")</f>
        <v/>
      </c>
      <c r="L973" s="22" t="n"/>
      <c r="M973" s="22" t="n"/>
      <c r="N973" s="24" t="n"/>
      <c r="O973" s="24" t="n"/>
    </row>
    <row r="974">
      <c r="A974" s="34" t="n"/>
      <c r="B974" s="35">
        <f>IF(A974="","",YEAR(A974))</f>
        <v/>
      </c>
      <c r="C974" s="36">
        <f>IF(A974="","",MONTH(A974))</f>
        <v/>
      </c>
      <c r="D974" s="37">
        <f>IF(A974="","","Q"&amp;ROUNDUP(MONTH(A974)/3,0))</f>
        <v/>
      </c>
      <c r="E974" s="18" t="n"/>
      <c r="F974" s="18" t="n"/>
      <c r="G974" s="40">
        <f>IFERROR(VLOOKUP(F974,M2_거래처마스터!A:E,3,FALSE),"")</f>
        <v/>
      </c>
      <c r="H974" s="18" t="n"/>
      <c r="I974" s="19" t="n"/>
      <c r="J974" s="20" t="n"/>
      <c r="K974" s="39">
        <f>IF(AND(I974&lt;&gt;"",J974&lt;&gt;""),I974*J974,"")</f>
        <v/>
      </c>
      <c r="L974" s="18" t="n"/>
      <c r="M974" s="18" t="n"/>
      <c r="N974" s="20" t="n"/>
      <c r="O974" s="20" t="n"/>
    </row>
    <row r="975">
      <c r="A975" s="41" t="n"/>
      <c r="B975" s="35">
        <f>IF(A975="","",YEAR(A975))</f>
        <v/>
      </c>
      <c r="C975" s="36">
        <f>IF(A975="","",MONTH(A975))</f>
        <v/>
      </c>
      <c r="D975" s="37">
        <f>IF(A975="","","Q"&amp;ROUNDUP(MONTH(A975)/3,0))</f>
        <v/>
      </c>
      <c r="E975" s="22" t="n"/>
      <c r="F975" s="22" t="n"/>
      <c r="G975" s="40">
        <f>IFERROR(VLOOKUP(F975,M2_거래처마스터!A:E,3,FALSE),"")</f>
        <v/>
      </c>
      <c r="H975" s="22" t="n"/>
      <c r="I975" s="23" t="n"/>
      <c r="J975" s="24" t="n"/>
      <c r="K975" s="39">
        <f>IF(AND(I975&lt;&gt;"",J975&lt;&gt;""),I975*J975,"")</f>
        <v/>
      </c>
      <c r="L975" s="22" t="n"/>
      <c r="M975" s="22" t="n"/>
      <c r="N975" s="24" t="n"/>
      <c r="O975" s="24" t="n"/>
    </row>
    <row r="976">
      <c r="A976" s="34" t="n"/>
      <c r="B976" s="35">
        <f>IF(A976="","",YEAR(A976))</f>
        <v/>
      </c>
      <c r="C976" s="36">
        <f>IF(A976="","",MONTH(A976))</f>
        <v/>
      </c>
      <c r="D976" s="37">
        <f>IF(A976="","","Q"&amp;ROUNDUP(MONTH(A976)/3,0))</f>
        <v/>
      </c>
      <c r="E976" s="18" t="n"/>
      <c r="F976" s="18" t="n"/>
      <c r="G976" s="40">
        <f>IFERROR(VLOOKUP(F976,M2_거래처마스터!A:E,3,FALSE),"")</f>
        <v/>
      </c>
      <c r="H976" s="18" t="n"/>
      <c r="I976" s="19" t="n"/>
      <c r="J976" s="20" t="n"/>
      <c r="K976" s="39">
        <f>IF(AND(I976&lt;&gt;"",J976&lt;&gt;""),I976*J976,"")</f>
        <v/>
      </c>
      <c r="L976" s="18" t="n"/>
      <c r="M976" s="18" t="n"/>
      <c r="N976" s="20" t="n"/>
      <c r="O976" s="20" t="n"/>
    </row>
    <row r="977">
      <c r="A977" s="41" t="n"/>
      <c r="B977" s="35">
        <f>IF(A977="","",YEAR(A977))</f>
        <v/>
      </c>
      <c r="C977" s="36">
        <f>IF(A977="","",MONTH(A977))</f>
        <v/>
      </c>
      <c r="D977" s="37">
        <f>IF(A977="","","Q"&amp;ROUNDUP(MONTH(A977)/3,0))</f>
        <v/>
      </c>
      <c r="E977" s="22" t="n"/>
      <c r="F977" s="22" t="n"/>
      <c r="G977" s="40">
        <f>IFERROR(VLOOKUP(F977,M2_거래처마스터!A:E,3,FALSE),"")</f>
        <v/>
      </c>
      <c r="H977" s="22" t="n"/>
      <c r="I977" s="23" t="n"/>
      <c r="J977" s="24" t="n"/>
      <c r="K977" s="39">
        <f>IF(AND(I977&lt;&gt;"",J977&lt;&gt;""),I977*J977,"")</f>
        <v/>
      </c>
      <c r="L977" s="22" t="n"/>
      <c r="M977" s="22" t="n"/>
      <c r="N977" s="24" t="n"/>
      <c r="O977" s="24" t="n"/>
    </row>
    <row r="978">
      <c r="A978" s="34" t="n"/>
      <c r="B978" s="35">
        <f>IF(A978="","",YEAR(A978))</f>
        <v/>
      </c>
      <c r="C978" s="36">
        <f>IF(A978="","",MONTH(A978))</f>
        <v/>
      </c>
      <c r="D978" s="37">
        <f>IF(A978="","","Q"&amp;ROUNDUP(MONTH(A978)/3,0))</f>
        <v/>
      </c>
      <c r="E978" s="18" t="n"/>
      <c r="F978" s="18" t="n"/>
      <c r="G978" s="40">
        <f>IFERROR(VLOOKUP(F978,M2_거래처마스터!A:E,3,FALSE),"")</f>
        <v/>
      </c>
      <c r="H978" s="18" t="n"/>
      <c r="I978" s="19" t="n"/>
      <c r="J978" s="20" t="n"/>
      <c r="K978" s="39">
        <f>IF(AND(I978&lt;&gt;"",J978&lt;&gt;""),I978*J978,"")</f>
        <v/>
      </c>
      <c r="L978" s="18" t="n"/>
      <c r="M978" s="18" t="n"/>
      <c r="N978" s="20" t="n"/>
      <c r="O978" s="20" t="n"/>
    </row>
    <row r="979">
      <c r="A979" s="41" t="n"/>
      <c r="B979" s="35">
        <f>IF(A979="","",YEAR(A979))</f>
        <v/>
      </c>
      <c r="C979" s="36">
        <f>IF(A979="","",MONTH(A979))</f>
        <v/>
      </c>
      <c r="D979" s="37">
        <f>IF(A979="","","Q"&amp;ROUNDUP(MONTH(A979)/3,0))</f>
        <v/>
      </c>
      <c r="E979" s="22" t="n"/>
      <c r="F979" s="22" t="n"/>
      <c r="G979" s="40">
        <f>IFERROR(VLOOKUP(F979,M2_거래처마스터!A:E,3,FALSE),"")</f>
        <v/>
      </c>
      <c r="H979" s="22" t="n"/>
      <c r="I979" s="23" t="n"/>
      <c r="J979" s="24" t="n"/>
      <c r="K979" s="39">
        <f>IF(AND(I979&lt;&gt;"",J979&lt;&gt;""),I979*J979,"")</f>
        <v/>
      </c>
      <c r="L979" s="22" t="n"/>
      <c r="M979" s="22" t="n"/>
      <c r="N979" s="24" t="n"/>
      <c r="O979" s="24" t="n"/>
    </row>
    <row r="980">
      <c r="A980" s="34" t="n"/>
      <c r="B980" s="35">
        <f>IF(A980="","",YEAR(A980))</f>
        <v/>
      </c>
      <c r="C980" s="36">
        <f>IF(A980="","",MONTH(A980))</f>
        <v/>
      </c>
      <c r="D980" s="37">
        <f>IF(A980="","","Q"&amp;ROUNDUP(MONTH(A980)/3,0))</f>
        <v/>
      </c>
      <c r="E980" s="18" t="n"/>
      <c r="F980" s="18" t="n"/>
      <c r="G980" s="40">
        <f>IFERROR(VLOOKUP(F980,M2_거래처마스터!A:E,3,FALSE),"")</f>
        <v/>
      </c>
      <c r="H980" s="18" t="n"/>
      <c r="I980" s="19" t="n"/>
      <c r="J980" s="20" t="n"/>
      <c r="K980" s="39">
        <f>IF(AND(I980&lt;&gt;"",J980&lt;&gt;""),I980*J980,"")</f>
        <v/>
      </c>
      <c r="L980" s="18" t="n"/>
      <c r="M980" s="18" t="n"/>
      <c r="N980" s="20" t="n"/>
      <c r="O980" s="20" t="n"/>
    </row>
    <row r="981">
      <c r="A981" s="41" t="n"/>
      <c r="B981" s="35">
        <f>IF(A981="","",YEAR(A981))</f>
        <v/>
      </c>
      <c r="C981" s="36">
        <f>IF(A981="","",MONTH(A981))</f>
        <v/>
      </c>
      <c r="D981" s="37">
        <f>IF(A981="","","Q"&amp;ROUNDUP(MONTH(A981)/3,0))</f>
        <v/>
      </c>
      <c r="E981" s="22" t="n"/>
      <c r="F981" s="22" t="n"/>
      <c r="G981" s="40">
        <f>IFERROR(VLOOKUP(F981,M2_거래처마스터!A:E,3,FALSE),"")</f>
        <v/>
      </c>
      <c r="H981" s="22" t="n"/>
      <c r="I981" s="23" t="n"/>
      <c r="J981" s="24" t="n"/>
      <c r="K981" s="39">
        <f>IF(AND(I981&lt;&gt;"",J981&lt;&gt;""),I981*J981,"")</f>
        <v/>
      </c>
      <c r="L981" s="22" t="n"/>
      <c r="M981" s="22" t="n"/>
      <c r="N981" s="24" t="n"/>
      <c r="O981" s="24" t="n"/>
    </row>
    <row r="982">
      <c r="A982" s="34" t="n"/>
      <c r="B982" s="35">
        <f>IF(A982="","",YEAR(A982))</f>
        <v/>
      </c>
      <c r="C982" s="36">
        <f>IF(A982="","",MONTH(A982))</f>
        <v/>
      </c>
      <c r="D982" s="37">
        <f>IF(A982="","","Q"&amp;ROUNDUP(MONTH(A982)/3,0))</f>
        <v/>
      </c>
      <c r="E982" s="18" t="n"/>
      <c r="F982" s="18" t="n"/>
      <c r="G982" s="40">
        <f>IFERROR(VLOOKUP(F982,M2_거래처마스터!A:E,3,FALSE),"")</f>
        <v/>
      </c>
      <c r="H982" s="18" t="n"/>
      <c r="I982" s="19" t="n"/>
      <c r="J982" s="20" t="n"/>
      <c r="K982" s="39">
        <f>IF(AND(I982&lt;&gt;"",J982&lt;&gt;""),I982*J982,"")</f>
        <v/>
      </c>
      <c r="L982" s="18" t="n"/>
      <c r="M982" s="18" t="n"/>
      <c r="N982" s="20" t="n"/>
      <c r="O982" s="20" t="n"/>
    </row>
    <row r="983">
      <c r="A983" s="41" t="n"/>
      <c r="B983" s="35">
        <f>IF(A983="","",YEAR(A983))</f>
        <v/>
      </c>
      <c r="C983" s="36">
        <f>IF(A983="","",MONTH(A983))</f>
        <v/>
      </c>
      <c r="D983" s="37">
        <f>IF(A983="","","Q"&amp;ROUNDUP(MONTH(A983)/3,0))</f>
        <v/>
      </c>
      <c r="E983" s="22" t="n"/>
      <c r="F983" s="22" t="n"/>
      <c r="G983" s="40">
        <f>IFERROR(VLOOKUP(F983,M2_거래처마스터!A:E,3,FALSE),"")</f>
        <v/>
      </c>
      <c r="H983" s="22" t="n"/>
      <c r="I983" s="23" t="n"/>
      <c r="J983" s="24" t="n"/>
      <c r="K983" s="39">
        <f>IF(AND(I983&lt;&gt;"",J983&lt;&gt;""),I983*J983,"")</f>
        <v/>
      </c>
      <c r="L983" s="22" t="n"/>
      <c r="M983" s="22" t="n"/>
      <c r="N983" s="24" t="n"/>
      <c r="O983" s="24" t="n"/>
    </row>
    <row r="984">
      <c r="A984" s="34" t="n"/>
      <c r="B984" s="35">
        <f>IF(A984="","",YEAR(A984))</f>
        <v/>
      </c>
      <c r="C984" s="36">
        <f>IF(A984="","",MONTH(A984))</f>
        <v/>
      </c>
      <c r="D984" s="37">
        <f>IF(A984="","","Q"&amp;ROUNDUP(MONTH(A984)/3,0))</f>
        <v/>
      </c>
      <c r="E984" s="18" t="n"/>
      <c r="F984" s="18" t="n"/>
      <c r="G984" s="40">
        <f>IFERROR(VLOOKUP(F984,M2_거래처마스터!A:E,3,FALSE),"")</f>
        <v/>
      </c>
      <c r="H984" s="18" t="n"/>
      <c r="I984" s="19" t="n"/>
      <c r="J984" s="20" t="n"/>
      <c r="K984" s="39">
        <f>IF(AND(I984&lt;&gt;"",J984&lt;&gt;""),I984*J984,"")</f>
        <v/>
      </c>
      <c r="L984" s="18" t="n"/>
      <c r="M984" s="18" t="n"/>
      <c r="N984" s="20" t="n"/>
      <c r="O984" s="20" t="n"/>
    </row>
    <row r="985">
      <c r="A985" s="41" t="n"/>
      <c r="B985" s="35">
        <f>IF(A985="","",YEAR(A985))</f>
        <v/>
      </c>
      <c r="C985" s="36">
        <f>IF(A985="","",MONTH(A985))</f>
        <v/>
      </c>
      <c r="D985" s="37">
        <f>IF(A985="","","Q"&amp;ROUNDUP(MONTH(A985)/3,0))</f>
        <v/>
      </c>
      <c r="E985" s="22" t="n"/>
      <c r="F985" s="22" t="n"/>
      <c r="G985" s="40">
        <f>IFERROR(VLOOKUP(F985,M2_거래처마스터!A:E,3,FALSE),"")</f>
        <v/>
      </c>
      <c r="H985" s="22" t="n"/>
      <c r="I985" s="23" t="n"/>
      <c r="J985" s="24" t="n"/>
      <c r="K985" s="39">
        <f>IF(AND(I985&lt;&gt;"",J985&lt;&gt;""),I985*J985,"")</f>
        <v/>
      </c>
      <c r="L985" s="22" t="n"/>
      <c r="M985" s="22" t="n"/>
      <c r="N985" s="24" t="n"/>
      <c r="O985" s="24" t="n"/>
    </row>
    <row r="986">
      <c r="A986" s="34" t="n"/>
      <c r="B986" s="35">
        <f>IF(A986="","",YEAR(A986))</f>
        <v/>
      </c>
      <c r="C986" s="36">
        <f>IF(A986="","",MONTH(A986))</f>
        <v/>
      </c>
      <c r="D986" s="37">
        <f>IF(A986="","","Q"&amp;ROUNDUP(MONTH(A986)/3,0))</f>
        <v/>
      </c>
      <c r="E986" s="18" t="n"/>
      <c r="F986" s="18" t="n"/>
      <c r="G986" s="40">
        <f>IFERROR(VLOOKUP(F986,M2_거래처마스터!A:E,3,FALSE),"")</f>
        <v/>
      </c>
      <c r="H986" s="18" t="n"/>
      <c r="I986" s="19" t="n"/>
      <c r="J986" s="20" t="n"/>
      <c r="K986" s="39">
        <f>IF(AND(I986&lt;&gt;"",J986&lt;&gt;""),I986*J986,"")</f>
        <v/>
      </c>
      <c r="L986" s="18" t="n"/>
      <c r="M986" s="18" t="n"/>
      <c r="N986" s="20" t="n"/>
      <c r="O986" s="20" t="n"/>
    </row>
    <row r="987">
      <c r="A987" s="41" t="n"/>
      <c r="B987" s="35">
        <f>IF(A987="","",YEAR(A987))</f>
        <v/>
      </c>
      <c r="C987" s="36">
        <f>IF(A987="","",MONTH(A987))</f>
        <v/>
      </c>
      <c r="D987" s="37">
        <f>IF(A987="","","Q"&amp;ROUNDUP(MONTH(A987)/3,0))</f>
        <v/>
      </c>
      <c r="E987" s="22" t="n"/>
      <c r="F987" s="22" t="n"/>
      <c r="G987" s="40">
        <f>IFERROR(VLOOKUP(F987,M2_거래처마스터!A:E,3,FALSE),"")</f>
        <v/>
      </c>
      <c r="H987" s="22" t="n"/>
      <c r="I987" s="23" t="n"/>
      <c r="J987" s="24" t="n"/>
      <c r="K987" s="39">
        <f>IF(AND(I987&lt;&gt;"",J987&lt;&gt;""),I987*J987,"")</f>
        <v/>
      </c>
      <c r="L987" s="22" t="n"/>
      <c r="M987" s="22" t="n"/>
      <c r="N987" s="24" t="n"/>
      <c r="O987" s="24" t="n"/>
    </row>
    <row r="988">
      <c r="A988" s="34" t="n"/>
      <c r="B988" s="35">
        <f>IF(A988="","",YEAR(A988))</f>
        <v/>
      </c>
      <c r="C988" s="36">
        <f>IF(A988="","",MONTH(A988))</f>
        <v/>
      </c>
      <c r="D988" s="37">
        <f>IF(A988="","","Q"&amp;ROUNDUP(MONTH(A988)/3,0))</f>
        <v/>
      </c>
      <c r="E988" s="18" t="n"/>
      <c r="F988" s="18" t="n"/>
      <c r="G988" s="40">
        <f>IFERROR(VLOOKUP(F988,M2_거래처마스터!A:E,3,FALSE),"")</f>
        <v/>
      </c>
      <c r="H988" s="18" t="n"/>
      <c r="I988" s="19" t="n"/>
      <c r="J988" s="20" t="n"/>
      <c r="K988" s="39">
        <f>IF(AND(I988&lt;&gt;"",J988&lt;&gt;""),I988*J988,"")</f>
        <v/>
      </c>
      <c r="L988" s="18" t="n"/>
      <c r="M988" s="18" t="n"/>
      <c r="N988" s="20" t="n"/>
      <c r="O988" s="20" t="n"/>
    </row>
    <row r="989">
      <c r="A989" s="41" t="n"/>
      <c r="B989" s="35">
        <f>IF(A989="","",YEAR(A989))</f>
        <v/>
      </c>
      <c r="C989" s="36">
        <f>IF(A989="","",MONTH(A989))</f>
        <v/>
      </c>
      <c r="D989" s="37">
        <f>IF(A989="","","Q"&amp;ROUNDUP(MONTH(A989)/3,0))</f>
        <v/>
      </c>
      <c r="E989" s="22" t="n"/>
      <c r="F989" s="22" t="n"/>
      <c r="G989" s="40">
        <f>IFERROR(VLOOKUP(F989,M2_거래처마스터!A:E,3,FALSE),"")</f>
        <v/>
      </c>
      <c r="H989" s="22" t="n"/>
      <c r="I989" s="23" t="n"/>
      <c r="J989" s="24" t="n"/>
      <c r="K989" s="39">
        <f>IF(AND(I989&lt;&gt;"",J989&lt;&gt;""),I989*J989,"")</f>
        <v/>
      </c>
      <c r="L989" s="22" t="n"/>
      <c r="M989" s="22" t="n"/>
      <c r="N989" s="24" t="n"/>
      <c r="O989" s="24" t="n"/>
    </row>
    <row r="990">
      <c r="A990" s="34" t="n"/>
      <c r="B990" s="35">
        <f>IF(A990="","",YEAR(A990))</f>
        <v/>
      </c>
      <c r="C990" s="36">
        <f>IF(A990="","",MONTH(A990))</f>
        <v/>
      </c>
      <c r="D990" s="37">
        <f>IF(A990="","","Q"&amp;ROUNDUP(MONTH(A990)/3,0))</f>
        <v/>
      </c>
      <c r="E990" s="18" t="n"/>
      <c r="F990" s="18" t="n"/>
      <c r="G990" s="40">
        <f>IFERROR(VLOOKUP(F990,M2_거래처마스터!A:E,3,FALSE),"")</f>
        <v/>
      </c>
      <c r="H990" s="18" t="n"/>
      <c r="I990" s="19" t="n"/>
      <c r="J990" s="20" t="n"/>
      <c r="K990" s="39">
        <f>IF(AND(I990&lt;&gt;"",J990&lt;&gt;""),I990*J990,"")</f>
        <v/>
      </c>
      <c r="L990" s="18" t="n"/>
      <c r="M990" s="18" t="n"/>
      <c r="N990" s="20" t="n"/>
      <c r="O990" s="20" t="n"/>
    </row>
    <row r="991">
      <c r="A991" s="41" t="n"/>
      <c r="B991" s="35">
        <f>IF(A991="","",YEAR(A991))</f>
        <v/>
      </c>
      <c r="C991" s="36">
        <f>IF(A991="","",MONTH(A991))</f>
        <v/>
      </c>
      <c r="D991" s="37">
        <f>IF(A991="","","Q"&amp;ROUNDUP(MONTH(A991)/3,0))</f>
        <v/>
      </c>
      <c r="E991" s="22" t="n"/>
      <c r="F991" s="22" t="n"/>
      <c r="G991" s="40">
        <f>IFERROR(VLOOKUP(F991,M2_거래처마스터!A:E,3,FALSE),"")</f>
        <v/>
      </c>
      <c r="H991" s="22" t="n"/>
      <c r="I991" s="23" t="n"/>
      <c r="J991" s="24" t="n"/>
      <c r="K991" s="39">
        <f>IF(AND(I991&lt;&gt;"",J991&lt;&gt;""),I991*J991,"")</f>
        <v/>
      </c>
      <c r="L991" s="22" t="n"/>
      <c r="M991" s="22" t="n"/>
      <c r="N991" s="24" t="n"/>
      <c r="O991" s="24" t="n"/>
    </row>
    <row r="992">
      <c r="A992" s="34" t="n"/>
      <c r="B992" s="35">
        <f>IF(A992="","",YEAR(A992))</f>
        <v/>
      </c>
      <c r="C992" s="36">
        <f>IF(A992="","",MONTH(A992))</f>
        <v/>
      </c>
      <c r="D992" s="37">
        <f>IF(A992="","","Q"&amp;ROUNDUP(MONTH(A992)/3,0))</f>
        <v/>
      </c>
      <c r="E992" s="18" t="n"/>
      <c r="F992" s="18" t="n"/>
      <c r="G992" s="40">
        <f>IFERROR(VLOOKUP(F992,M2_거래처마스터!A:E,3,FALSE),"")</f>
        <v/>
      </c>
      <c r="H992" s="18" t="n"/>
      <c r="I992" s="19" t="n"/>
      <c r="J992" s="20" t="n"/>
      <c r="K992" s="39">
        <f>IF(AND(I992&lt;&gt;"",J992&lt;&gt;""),I992*J992,"")</f>
        <v/>
      </c>
      <c r="L992" s="18" t="n"/>
      <c r="M992" s="18" t="n"/>
      <c r="N992" s="20" t="n"/>
      <c r="O992" s="20" t="n"/>
    </row>
    <row r="993">
      <c r="A993" s="41" t="n"/>
      <c r="B993" s="35">
        <f>IF(A993="","",YEAR(A993))</f>
        <v/>
      </c>
      <c r="C993" s="36">
        <f>IF(A993="","",MONTH(A993))</f>
        <v/>
      </c>
      <c r="D993" s="37">
        <f>IF(A993="","","Q"&amp;ROUNDUP(MONTH(A993)/3,0))</f>
        <v/>
      </c>
      <c r="E993" s="22" t="n"/>
      <c r="F993" s="22" t="n"/>
      <c r="G993" s="40">
        <f>IFERROR(VLOOKUP(F993,M2_거래처마스터!A:E,3,FALSE),"")</f>
        <v/>
      </c>
      <c r="H993" s="22" t="n"/>
      <c r="I993" s="23" t="n"/>
      <c r="J993" s="24" t="n"/>
      <c r="K993" s="39">
        <f>IF(AND(I993&lt;&gt;"",J993&lt;&gt;""),I993*J993,"")</f>
        <v/>
      </c>
      <c r="L993" s="22" t="n"/>
      <c r="M993" s="22" t="n"/>
      <c r="N993" s="24" t="n"/>
      <c r="O993" s="24" t="n"/>
    </row>
    <row r="994">
      <c r="A994" s="34" t="n"/>
      <c r="B994" s="35">
        <f>IF(A994="","",YEAR(A994))</f>
        <v/>
      </c>
      <c r="C994" s="36">
        <f>IF(A994="","",MONTH(A994))</f>
        <v/>
      </c>
      <c r="D994" s="37">
        <f>IF(A994="","","Q"&amp;ROUNDUP(MONTH(A994)/3,0))</f>
        <v/>
      </c>
      <c r="E994" s="18" t="n"/>
      <c r="F994" s="18" t="n"/>
      <c r="G994" s="40">
        <f>IFERROR(VLOOKUP(F994,M2_거래처마스터!A:E,3,FALSE),"")</f>
        <v/>
      </c>
      <c r="H994" s="18" t="n"/>
      <c r="I994" s="19" t="n"/>
      <c r="J994" s="20" t="n"/>
      <c r="K994" s="39">
        <f>IF(AND(I994&lt;&gt;"",J994&lt;&gt;""),I994*J994,"")</f>
        <v/>
      </c>
      <c r="L994" s="18" t="n"/>
      <c r="M994" s="18" t="n"/>
      <c r="N994" s="20" t="n"/>
      <c r="O994" s="20" t="n"/>
    </row>
    <row r="995">
      <c r="A995" s="41" t="n"/>
      <c r="B995" s="35">
        <f>IF(A995="","",YEAR(A995))</f>
        <v/>
      </c>
      <c r="C995" s="36">
        <f>IF(A995="","",MONTH(A995))</f>
        <v/>
      </c>
      <c r="D995" s="37">
        <f>IF(A995="","","Q"&amp;ROUNDUP(MONTH(A995)/3,0))</f>
        <v/>
      </c>
      <c r="E995" s="22" t="n"/>
      <c r="F995" s="22" t="n"/>
      <c r="G995" s="40">
        <f>IFERROR(VLOOKUP(F995,M2_거래처마스터!A:E,3,FALSE),"")</f>
        <v/>
      </c>
      <c r="H995" s="22" t="n"/>
      <c r="I995" s="23" t="n"/>
      <c r="J995" s="24" t="n"/>
      <c r="K995" s="39">
        <f>IF(AND(I995&lt;&gt;"",J995&lt;&gt;""),I995*J995,"")</f>
        <v/>
      </c>
      <c r="L995" s="22" t="n"/>
      <c r="M995" s="22" t="n"/>
      <c r="N995" s="24" t="n"/>
      <c r="O995" s="24" t="n"/>
    </row>
    <row r="996">
      <c r="A996" s="34" t="n"/>
      <c r="B996" s="35">
        <f>IF(A996="","",YEAR(A996))</f>
        <v/>
      </c>
      <c r="C996" s="36">
        <f>IF(A996="","",MONTH(A996))</f>
        <v/>
      </c>
      <c r="D996" s="37">
        <f>IF(A996="","","Q"&amp;ROUNDUP(MONTH(A996)/3,0))</f>
        <v/>
      </c>
      <c r="E996" s="18" t="n"/>
      <c r="F996" s="18" t="n"/>
      <c r="G996" s="40">
        <f>IFERROR(VLOOKUP(F996,M2_거래처마스터!A:E,3,FALSE),"")</f>
        <v/>
      </c>
      <c r="H996" s="18" t="n"/>
      <c r="I996" s="19" t="n"/>
      <c r="J996" s="20" t="n"/>
      <c r="K996" s="39">
        <f>IF(AND(I996&lt;&gt;"",J996&lt;&gt;""),I996*J996,"")</f>
        <v/>
      </c>
      <c r="L996" s="18" t="n"/>
      <c r="M996" s="18" t="n"/>
      <c r="N996" s="20" t="n"/>
      <c r="O996" s="20" t="n"/>
    </row>
    <row r="997">
      <c r="A997" s="41" t="n"/>
      <c r="B997" s="35">
        <f>IF(A997="","",YEAR(A997))</f>
        <v/>
      </c>
      <c r="C997" s="36">
        <f>IF(A997="","",MONTH(A997))</f>
        <v/>
      </c>
      <c r="D997" s="37">
        <f>IF(A997="","","Q"&amp;ROUNDUP(MONTH(A997)/3,0))</f>
        <v/>
      </c>
      <c r="E997" s="22" t="n"/>
      <c r="F997" s="22" t="n"/>
      <c r="G997" s="40">
        <f>IFERROR(VLOOKUP(F997,M2_거래처마스터!A:E,3,FALSE),"")</f>
        <v/>
      </c>
      <c r="H997" s="22" t="n"/>
      <c r="I997" s="23" t="n"/>
      <c r="J997" s="24" t="n"/>
      <c r="K997" s="39">
        <f>IF(AND(I997&lt;&gt;"",J997&lt;&gt;""),I997*J997,"")</f>
        <v/>
      </c>
      <c r="L997" s="22" t="n"/>
      <c r="M997" s="22" t="n"/>
      <c r="N997" s="24" t="n"/>
      <c r="O997" s="24" t="n"/>
    </row>
    <row r="998">
      <c r="A998" s="34" t="n"/>
      <c r="B998" s="35">
        <f>IF(A998="","",YEAR(A998))</f>
        <v/>
      </c>
      <c r="C998" s="36">
        <f>IF(A998="","",MONTH(A998))</f>
        <v/>
      </c>
      <c r="D998" s="37">
        <f>IF(A998="","","Q"&amp;ROUNDUP(MONTH(A998)/3,0))</f>
        <v/>
      </c>
      <c r="E998" s="18" t="n"/>
      <c r="F998" s="18" t="n"/>
      <c r="G998" s="40">
        <f>IFERROR(VLOOKUP(F998,M2_거래처마스터!A:E,3,FALSE),"")</f>
        <v/>
      </c>
      <c r="H998" s="18" t="n"/>
      <c r="I998" s="19" t="n"/>
      <c r="J998" s="20" t="n"/>
      <c r="K998" s="39">
        <f>IF(AND(I998&lt;&gt;"",J998&lt;&gt;""),I998*J998,"")</f>
        <v/>
      </c>
      <c r="L998" s="18" t="n"/>
      <c r="M998" s="18" t="n"/>
      <c r="N998" s="20" t="n"/>
      <c r="O998" s="20" t="n"/>
    </row>
    <row r="999">
      <c r="A999" s="41" t="n"/>
      <c r="B999" s="35">
        <f>IF(A999="","",YEAR(A999))</f>
        <v/>
      </c>
      <c r="C999" s="36">
        <f>IF(A999="","",MONTH(A999))</f>
        <v/>
      </c>
      <c r="D999" s="37">
        <f>IF(A999="","","Q"&amp;ROUNDUP(MONTH(A999)/3,0))</f>
        <v/>
      </c>
      <c r="E999" s="22" t="n"/>
      <c r="F999" s="22" t="n"/>
      <c r="G999" s="40">
        <f>IFERROR(VLOOKUP(F999,M2_거래처마스터!A:E,3,FALSE),"")</f>
        <v/>
      </c>
      <c r="H999" s="22" t="n"/>
      <c r="I999" s="23" t="n"/>
      <c r="J999" s="24" t="n"/>
      <c r="K999" s="39">
        <f>IF(AND(I999&lt;&gt;"",J999&lt;&gt;""),I999*J999,"")</f>
        <v/>
      </c>
      <c r="L999" s="22" t="n"/>
      <c r="M999" s="22" t="n"/>
      <c r="N999" s="24" t="n"/>
      <c r="O999" s="24" t="n"/>
    </row>
    <row r="1000">
      <c r="A1000" s="34" t="n"/>
      <c r="B1000" s="35">
        <f>IF(A1000="","",YEAR(A1000))</f>
        <v/>
      </c>
      <c r="C1000" s="36">
        <f>IF(A1000="","",MONTH(A1000))</f>
        <v/>
      </c>
      <c r="D1000" s="37">
        <f>IF(A1000="","","Q"&amp;ROUNDUP(MONTH(A1000)/3,0))</f>
        <v/>
      </c>
      <c r="E1000" s="18" t="n"/>
      <c r="F1000" s="18" t="n"/>
      <c r="G1000" s="40">
        <f>IFERROR(VLOOKUP(F1000,M2_거래처마스터!A:E,3,FALSE),"")</f>
        <v/>
      </c>
      <c r="H1000" s="18" t="n"/>
      <c r="I1000" s="19" t="n"/>
      <c r="J1000" s="20" t="n"/>
      <c r="K1000" s="39">
        <f>IF(AND(I1000&lt;&gt;"",J1000&lt;&gt;""),I1000*J1000,"")</f>
        <v/>
      </c>
      <c r="L1000" s="18" t="n"/>
      <c r="M1000" s="18" t="n"/>
      <c r="N1000" s="20" t="n"/>
      <c r="O1000" s="20" t="n"/>
    </row>
    <row r="1001">
      <c r="A1001" s="41" t="n"/>
      <c r="B1001" s="35">
        <f>IF(A1001="","",YEAR(A1001))</f>
        <v/>
      </c>
      <c r="C1001" s="36">
        <f>IF(A1001="","",MONTH(A1001))</f>
        <v/>
      </c>
      <c r="D1001" s="37">
        <f>IF(A1001="","","Q"&amp;ROUNDUP(MONTH(A1001)/3,0))</f>
        <v/>
      </c>
      <c r="E1001" s="22" t="n"/>
      <c r="F1001" s="22" t="n"/>
      <c r="G1001" s="40">
        <f>IFERROR(VLOOKUP(F1001,M2_거래처마스터!A:E,3,FALSE),"")</f>
        <v/>
      </c>
      <c r="H1001" s="22" t="n"/>
      <c r="I1001" s="23" t="n"/>
      <c r="J1001" s="24" t="n"/>
      <c r="K1001" s="39">
        <f>IF(AND(I1001&lt;&gt;"",J1001&lt;&gt;""),I1001*J1001,"")</f>
        <v/>
      </c>
      <c r="L1001" s="22" t="n"/>
      <c r="M1001" s="22" t="n"/>
      <c r="N1001" s="24" t="n"/>
      <c r="O1001" s="24" t="n"/>
    </row>
    <row r="1002">
      <c r="A1002" s="34" t="n"/>
      <c r="B1002" s="35">
        <f>IF(A1002="","",YEAR(A1002))</f>
        <v/>
      </c>
      <c r="C1002" s="36">
        <f>IF(A1002="","",MONTH(A1002))</f>
        <v/>
      </c>
      <c r="D1002" s="37">
        <f>IF(A1002="","","Q"&amp;ROUNDUP(MONTH(A1002)/3,0))</f>
        <v/>
      </c>
      <c r="E1002" s="18" t="n"/>
      <c r="F1002" s="18" t="n"/>
      <c r="G1002" s="40">
        <f>IFERROR(VLOOKUP(F1002,M2_거래처마스터!A:E,3,FALSE),"")</f>
        <v/>
      </c>
      <c r="H1002" s="18" t="n"/>
      <c r="I1002" s="19" t="n"/>
      <c r="J1002" s="20" t="n"/>
      <c r="K1002" s="39">
        <f>IF(AND(I1002&lt;&gt;"",J1002&lt;&gt;""),I1002*J1002,"")</f>
        <v/>
      </c>
      <c r="L1002" s="18" t="n"/>
      <c r="M1002" s="18" t="n"/>
      <c r="N1002" s="20" t="n"/>
      <c r="O1002" s="20" t="n"/>
    </row>
    <row r="1003">
      <c r="A1003" s="41" t="n"/>
      <c r="B1003" s="35">
        <f>IF(A1003="","",YEAR(A1003))</f>
        <v/>
      </c>
      <c r="C1003" s="36">
        <f>IF(A1003="","",MONTH(A1003))</f>
        <v/>
      </c>
      <c r="D1003" s="37">
        <f>IF(A1003="","","Q"&amp;ROUNDUP(MONTH(A1003)/3,0))</f>
        <v/>
      </c>
      <c r="E1003" s="22" t="n"/>
      <c r="F1003" s="22" t="n"/>
      <c r="G1003" s="40">
        <f>IFERROR(VLOOKUP(F1003,M2_거래처마스터!A:E,3,FALSE),"")</f>
        <v/>
      </c>
      <c r="H1003" s="22" t="n"/>
      <c r="I1003" s="23" t="n"/>
      <c r="J1003" s="24" t="n"/>
      <c r="K1003" s="39">
        <f>IF(AND(I1003&lt;&gt;"",J1003&lt;&gt;""),I1003*J1003,"")</f>
        <v/>
      </c>
      <c r="L1003" s="22" t="n"/>
      <c r="M1003" s="22" t="n"/>
      <c r="N1003" s="24" t="n"/>
      <c r="O1003" s="24" t="n"/>
    </row>
    <row r="1004">
      <c r="A1004" s="34" t="n"/>
      <c r="B1004" s="35">
        <f>IF(A1004="","",YEAR(A1004))</f>
        <v/>
      </c>
      <c r="C1004" s="36">
        <f>IF(A1004="","",MONTH(A1004))</f>
        <v/>
      </c>
      <c r="D1004" s="37">
        <f>IF(A1004="","","Q"&amp;ROUNDUP(MONTH(A1004)/3,0))</f>
        <v/>
      </c>
      <c r="E1004" s="18" t="n"/>
      <c r="F1004" s="18" t="n"/>
      <c r="G1004" s="40">
        <f>IFERROR(VLOOKUP(F1004,M2_거래처마스터!A:E,3,FALSE),"")</f>
        <v/>
      </c>
      <c r="H1004" s="18" t="n"/>
      <c r="I1004" s="19" t="n"/>
      <c r="J1004" s="20" t="n"/>
      <c r="K1004" s="39">
        <f>IF(AND(I1004&lt;&gt;"",J1004&lt;&gt;""),I1004*J1004,"")</f>
        <v/>
      </c>
      <c r="L1004" s="18" t="n"/>
      <c r="M1004" s="18" t="n"/>
      <c r="N1004" s="20" t="n"/>
      <c r="O1004" s="20" t="n"/>
    </row>
    <row r="1005">
      <c r="A1005" s="41" t="n"/>
      <c r="B1005" s="35">
        <f>IF(A1005="","",YEAR(A1005))</f>
        <v/>
      </c>
      <c r="C1005" s="36">
        <f>IF(A1005="","",MONTH(A1005))</f>
        <v/>
      </c>
      <c r="D1005" s="37">
        <f>IF(A1005="","","Q"&amp;ROUNDUP(MONTH(A1005)/3,0))</f>
        <v/>
      </c>
      <c r="E1005" s="22" t="n"/>
      <c r="F1005" s="22" t="n"/>
      <c r="G1005" s="40">
        <f>IFERROR(VLOOKUP(F1005,M2_거래처마스터!A:E,3,FALSE),"")</f>
        <v/>
      </c>
      <c r="H1005" s="22" t="n"/>
      <c r="I1005" s="23" t="n"/>
      <c r="J1005" s="24" t="n"/>
      <c r="K1005" s="39">
        <f>IF(AND(I1005&lt;&gt;"",J1005&lt;&gt;""),I1005*J1005,"")</f>
        <v/>
      </c>
      <c r="L1005" s="22" t="n"/>
      <c r="M1005" s="22" t="n"/>
      <c r="N1005" s="24" t="n"/>
      <c r="O1005" s="24" t="n"/>
    </row>
    <row r="1006">
      <c r="A1006" s="34" t="n"/>
      <c r="B1006" s="35">
        <f>IF(A1006="","",YEAR(A1006))</f>
        <v/>
      </c>
      <c r="C1006" s="36">
        <f>IF(A1006="","",MONTH(A1006))</f>
        <v/>
      </c>
      <c r="D1006" s="37">
        <f>IF(A1006="","","Q"&amp;ROUNDUP(MONTH(A1006)/3,0))</f>
        <v/>
      </c>
      <c r="E1006" s="18" t="n"/>
      <c r="F1006" s="18" t="n"/>
      <c r="G1006" s="40">
        <f>IFERROR(VLOOKUP(F1006,M2_거래처마스터!A:E,3,FALSE),"")</f>
        <v/>
      </c>
      <c r="H1006" s="18" t="n"/>
      <c r="I1006" s="19" t="n"/>
      <c r="J1006" s="20" t="n"/>
      <c r="K1006" s="39">
        <f>IF(AND(I1006&lt;&gt;"",J1006&lt;&gt;""),I1006*J1006,"")</f>
        <v/>
      </c>
      <c r="L1006" s="18" t="n"/>
      <c r="M1006" s="18" t="n"/>
      <c r="N1006" s="20" t="n"/>
      <c r="O1006" s="20" t="n"/>
    </row>
    <row r="1007">
      <c r="A1007" s="41" t="n"/>
      <c r="B1007" s="35">
        <f>IF(A1007="","",YEAR(A1007))</f>
        <v/>
      </c>
      <c r="C1007" s="36">
        <f>IF(A1007="","",MONTH(A1007))</f>
        <v/>
      </c>
      <c r="D1007" s="37">
        <f>IF(A1007="","","Q"&amp;ROUNDUP(MONTH(A1007)/3,0))</f>
        <v/>
      </c>
      <c r="E1007" s="22" t="n"/>
      <c r="F1007" s="22" t="n"/>
      <c r="G1007" s="40">
        <f>IFERROR(VLOOKUP(F1007,M2_거래처마스터!A:E,3,FALSE),"")</f>
        <v/>
      </c>
      <c r="H1007" s="22" t="n"/>
      <c r="I1007" s="23" t="n"/>
      <c r="J1007" s="24" t="n"/>
      <c r="K1007" s="39">
        <f>IF(AND(I1007&lt;&gt;"",J1007&lt;&gt;""),I1007*J1007,"")</f>
        <v/>
      </c>
      <c r="L1007" s="22" t="n"/>
      <c r="M1007" s="22" t="n"/>
      <c r="N1007" s="24" t="n"/>
      <c r="O1007" s="24" t="n"/>
    </row>
    <row r="1008">
      <c r="A1008" s="34" t="n"/>
      <c r="B1008" s="35">
        <f>IF(A1008="","",YEAR(A1008))</f>
        <v/>
      </c>
      <c r="C1008" s="36">
        <f>IF(A1008="","",MONTH(A1008))</f>
        <v/>
      </c>
      <c r="D1008" s="37">
        <f>IF(A1008="","","Q"&amp;ROUNDUP(MONTH(A1008)/3,0))</f>
        <v/>
      </c>
      <c r="E1008" s="18" t="n"/>
      <c r="F1008" s="18" t="n"/>
      <c r="G1008" s="40">
        <f>IFERROR(VLOOKUP(F1008,M2_거래처마스터!A:E,3,FALSE),"")</f>
        <v/>
      </c>
      <c r="H1008" s="18" t="n"/>
      <c r="I1008" s="19" t="n"/>
      <c r="J1008" s="20" t="n"/>
      <c r="K1008" s="39">
        <f>IF(AND(I1008&lt;&gt;"",J1008&lt;&gt;""),I1008*J1008,"")</f>
        <v/>
      </c>
      <c r="L1008" s="18" t="n"/>
      <c r="M1008" s="18" t="n"/>
      <c r="N1008" s="20" t="n"/>
      <c r="O1008" s="20" t="n"/>
    </row>
    <row r="1009">
      <c r="A1009" s="41" t="n"/>
      <c r="B1009" s="35">
        <f>IF(A1009="","",YEAR(A1009))</f>
        <v/>
      </c>
      <c r="C1009" s="36">
        <f>IF(A1009="","",MONTH(A1009))</f>
        <v/>
      </c>
      <c r="D1009" s="37">
        <f>IF(A1009="","","Q"&amp;ROUNDUP(MONTH(A1009)/3,0))</f>
        <v/>
      </c>
      <c r="E1009" s="22" t="n"/>
      <c r="F1009" s="22" t="n"/>
      <c r="G1009" s="40">
        <f>IFERROR(VLOOKUP(F1009,M2_거래처마스터!A:E,3,FALSE),"")</f>
        <v/>
      </c>
      <c r="H1009" s="22" t="n"/>
      <c r="I1009" s="23" t="n"/>
      <c r="J1009" s="24" t="n"/>
      <c r="K1009" s="39">
        <f>IF(AND(I1009&lt;&gt;"",J1009&lt;&gt;""),I1009*J1009,"")</f>
        <v/>
      </c>
      <c r="L1009" s="22" t="n"/>
      <c r="M1009" s="22" t="n"/>
      <c r="N1009" s="24" t="n"/>
      <c r="O1009" s="24" t="n"/>
    </row>
    <row r="1010">
      <c r="A1010" s="34" t="n"/>
      <c r="B1010" s="35">
        <f>IF(A1010="","",YEAR(A1010))</f>
        <v/>
      </c>
      <c r="C1010" s="36">
        <f>IF(A1010="","",MONTH(A1010))</f>
        <v/>
      </c>
      <c r="D1010" s="37">
        <f>IF(A1010="","","Q"&amp;ROUNDUP(MONTH(A1010)/3,0))</f>
        <v/>
      </c>
      <c r="E1010" s="18" t="n"/>
      <c r="F1010" s="18" t="n"/>
      <c r="G1010" s="40">
        <f>IFERROR(VLOOKUP(F1010,M2_거래처마스터!A:E,3,FALSE),"")</f>
        <v/>
      </c>
      <c r="H1010" s="18" t="n"/>
      <c r="I1010" s="19" t="n"/>
      <c r="J1010" s="20" t="n"/>
      <c r="K1010" s="39">
        <f>IF(AND(I1010&lt;&gt;"",J1010&lt;&gt;""),I1010*J1010,"")</f>
        <v/>
      </c>
      <c r="L1010" s="18" t="n"/>
      <c r="M1010" s="18" t="n"/>
      <c r="N1010" s="20" t="n"/>
      <c r="O1010" s="20" t="n"/>
    </row>
    <row r="1011">
      <c r="A1011" s="41" t="n"/>
      <c r="B1011" s="35">
        <f>IF(A1011="","",YEAR(A1011))</f>
        <v/>
      </c>
      <c r="C1011" s="36">
        <f>IF(A1011="","",MONTH(A1011))</f>
        <v/>
      </c>
      <c r="D1011" s="37">
        <f>IF(A1011="","","Q"&amp;ROUNDUP(MONTH(A1011)/3,0))</f>
        <v/>
      </c>
      <c r="E1011" s="22" t="n"/>
      <c r="F1011" s="22" t="n"/>
      <c r="G1011" s="40">
        <f>IFERROR(VLOOKUP(F1011,M2_거래처마스터!A:E,3,FALSE),"")</f>
        <v/>
      </c>
      <c r="H1011" s="22" t="n"/>
      <c r="I1011" s="23" t="n"/>
      <c r="J1011" s="24" t="n"/>
      <c r="K1011" s="39">
        <f>IF(AND(I1011&lt;&gt;"",J1011&lt;&gt;""),I1011*J1011,"")</f>
        <v/>
      </c>
      <c r="L1011" s="22" t="n"/>
      <c r="M1011" s="22" t="n"/>
      <c r="N1011" s="24" t="n"/>
      <c r="O1011" s="24" t="n"/>
    </row>
    <row r="1012">
      <c r="A1012" s="34" t="n"/>
      <c r="B1012" s="35">
        <f>IF(A1012="","",YEAR(A1012))</f>
        <v/>
      </c>
      <c r="C1012" s="36">
        <f>IF(A1012="","",MONTH(A1012))</f>
        <v/>
      </c>
      <c r="D1012" s="37">
        <f>IF(A1012="","","Q"&amp;ROUNDUP(MONTH(A1012)/3,0))</f>
        <v/>
      </c>
      <c r="E1012" s="18" t="n"/>
      <c r="F1012" s="18" t="n"/>
      <c r="G1012" s="40">
        <f>IFERROR(VLOOKUP(F1012,M2_거래처마스터!A:E,3,FALSE),"")</f>
        <v/>
      </c>
      <c r="H1012" s="18" t="n"/>
      <c r="I1012" s="19" t="n"/>
      <c r="J1012" s="20" t="n"/>
      <c r="K1012" s="39">
        <f>IF(AND(I1012&lt;&gt;"",J1012&lt;&gt;""),I1012*J1012,"")</f>
        <v/>
      </c>
      <c r="L1012" s="18" t="n"/>
      <c r="M1012" s="18" t="n"/>
      <c r="N1012" s="20" t="n"/>
      <c r="O1012" s="20" t="n"/>
    </row>
    <row r="1013">
      <c r="A1013" s="41" t="n"/>
      <c r="B1013" s="35">
        <f>IF(A1013="","",YEAR(A1013))</f>
        <v/>
      </c>
      <c r="C1013" s="36">
        <f>IF(A1013="","",MONTH(A1013))</f>
        <v/>
      </c>
      <c r="D1013" s="37">
        <f>IF(A1013="","","Q"&amp;ROUNDUP(MONTH(A1013)/3,0))</f>
        <v/>
      </c>
      <c r="E1013" s="22" t="n"/>
      <c r="F1013" s="22" t="n"/>
      <c r="G1013" s="40">
        <f>IFERROR(VLOOKUP(F1013,M2_거래처마스터!A:E,3,FALSE),"")</f>
        <v/>
      </c>
      <c r="H1013" s="22" t="n"/>
      <c r="I1013" s="23" t="n"/>
      <c r="J1013" s="24" t="n"/>
      <c r="K1013" s="39">
        <f>IF(AND(I1013&lt;&gt;"",J1013&lt;&gt;""),I1013*J1013,"")</f>
        <v/>
      </c>
      <c r="L1013" s="22" t="n"/>
      <c r="M1013" s="22" t="n"/>
      <c r="N1013" s="24" t="n"/>
      <c r="O1013" s="24" t="n"/>
    </row>
    <row r="1014">
      <c r="A1014" s="34" t="n"/>
      <c r="B1014" s="35">
        <f>IF(A1014="","",YEAR(A1014))</f>
        <v/>
      </c>
      <c r="C1014" s="36">
        <f>IF(A1014="","",MONTH(A1014))</f>
        <v/>
      </c>
      <c r="D1014" s="37">
        <f>IF(A1014="","","Q"&amp;ROUNDUP(MONTH(A1014)/3,0))</f>
        <v/>
      </c>
      <c r="E1014" s="18" t="n"/>
      <c r="F1014" s="18" t="n"/>
      <c r="G1014" s="40">
        <f>IFERROR(VLOOKUP(F1014,M2_거래처마스터!A:E,3,FALSE),"")</f>
        <v/>
      </c>
      <c r="H1014" s="18" t="n"/>
      <c r="I1014" s="19" t="n"/>
      <c r="J1014" s="20" t="n"/>
      <c r="K1014" s="39">
        <f>IF(AND(I1014&lt;&gt;"",J1014&lt;&gt;""),I1014*J1014,"")</f>
        <v/>
      </c>
      <c r="L1014" s="18" t="n"/>
      <c r="M1014" s="18" t="n"/>
      <c r="N1014" s="20" t="n"/>
      <c r="O1014" s="20" t="n"/>
    </row>
    <row r="1015">
      <c r="A1015" s="41" t="n"/>
      <c r="B1015" s="35">
        <f>IF(A1015="","",YEAR(A1015))</f>
        <v/>
      </c>
      <c r="C1015" s="36">
        <f>IF(A1015="","",MONTH(A1015))</f>
        <v/>
      </c>
      <c r="D1015" s="37">
        <f>IF(A1015="","","Q"&amp;ROUNDUP(MONTH(A1015)/3,0))</f>
        <v/>
      </c>
      <c r="E1015" s="22" t="n"/>
      <c r="F1015" s="22" t="n"/>
      <c r="G1015" s="40">
        <f>IFERROR(VLOOKUP(F1015,M2_거래처마스터!A:E,3,FALSE),"")</f>
        <v/>
      </c>
      <c r="H1015" s="22" t="n"/>
      <c r="I1015" s="23" t="n"/>
      <c r="J1015" s="24" t="n"/>
      <c r="K1015" s="39">
        <f>IF(AND(I1015&lt;&gt;"",J1015&lt;&gt;""),I1015*J1015,"")</f>
        <v/>
      </c>
      <c r="L1015" s="22" t="n"/>
      <c r="M1015" s="22" t="n"/>
      <c r="N1015" s="24" t="n"/>
      <c r="O1015" s="24" t="n"/>
    </row>
    <row r="1016">
      <c r="A1016" s="34" t="n"/>
      <c r="B1016" s="35">
        <f>IF(A1016="","",YEAR(A1016))</f>
        <v/>
      </c>
      <c r="C1016" s="36">
        <f>IF(A1016="","",MONTH(A1016))</f>
        <v/>
      </c>
      <c r="D1016" s="37">
        <f>IF(A1016="","","Q"&amp;ROUNDUP(MONTH(A1016)/3,0))</f>
        <v/>
      </c>
      <c r="E1016" s="18" t="n"/>
      <c r="F1016" s="18" t="n"/>
      <c r="G1016" s="40">
        <f>IFERROR(VLOOKUP(F1016,M2_거래처마스터!A:E,3,FALSE),"")</f>
        <v/>
      </c>
      <c r="H1016" s="18" t="n"/>
      <c r="I1016" s="19" t="n"/>
      <c r="J1016" s="20" t="n"/>
      <c r="K1016" s="39">
        <f>IF(AND(I1016&lt;&gt;"",J1016&lt;&gt;""),I1016*J1016,"")</f>
        <v/>
      </c>
      <c r="L1016" s="18" t="n"/>
      <c r="M1016" s="18" t="n"/>
      <c r="N1016" s="20" t="n"/>
      <c r="O1016" s="20" t="n"/>
    </row>
    <row r="1017">
      <c r="A1017" s="41" t="n"/>
      <c r="B1017" s="35">
        <f>IF(A1017="","",YEAR(A1017))</f>
        <v/>
      </c>
      <c r="C1017" s="36">
        <f>IF(A1017="","",MONTH(A1017))</f>
        <v/>
      </c>
      <c r="D1017" s="37">
        <f>IF(A1017="","","Q"&amp;ROUNDUP(MONTH(A1017)/3,0))</f>
        <v/>
      </c>
      <c r="E1017" s="22" t="n"/>
      <c r="F1017" s="22" t="n"/>
      <c r="G1017" s="40">
        <f>IFERROR(VLOOKUP(F1017,M2_거래처마스터!A:E,3,FALSE),"")</f>
        <v/>
      </c>
      <c r="H1017" s="22" t="n"/>
      <c r="I1017" s="23" t="n"/>
      <c r="J1017" s="24" t="n"/>
      <c r="K1017" s="39">
        <f>IF(AND(I1017&lt;&gt;"",J1017&lt;&gt;""),I1017*J1017,"")</f>
        <v/>
      </c>
      <c r="L1017" s="22" t="n"/>
      <c r="M1017" s="22" t="n"/>
      <c r="N1017" s="24" t="n"/>
      <c r="O1017" s="24" t="n"/>
    </row>
    <row r="1018">
      <c r="A1018" s="34" t="n"/>
      <c r="B1018" s="35">
        <f>IF(A1018="","",YEAR(A1018))</f>
        <v/>
      </c>
      <c r="C1018" s="36">
        <f>IF(A1018="","",MONTH(A1018))</f>
        <v/>
      </c>
      <c r="D1018" s="37">
        <f>IF(A1018="","","Q"&amp;ROUNDUP(MONTH(A1018)/3,0))</f>
        <v/>
      </c>
      <c r="E1018" s="18" t="n"/>
      <c r="F1018" s="18" t="n"/>
      <c r="G1018" s="40">
        <f>IFERROR(VLOOKUP(F1018,M2_거래처마스터!A:E,3,FALSE),"")</f>
        <v/>
      </c>
      <c r="H1018" s="18" t="n"/>
      <c r="I1018" s="19" t="n"/>
      <c r="J1018" s="20" t="n"/>
      <c r="K1018" s="39">
        <f>IF(AND(I1018&lt;&gt;"",J1018&lt;&gt;""),I1018*J1018,"")</f>
        <v/>
      </c>
      <c r="L1018" s="18" t="n"/>
      <c r="M1018" s="18" t="n"/>
      <c r="N1018" s="20" t="n"/>
      <c r="O1018" s="20" t="n"/>
    </row>
    <row r="1019">
      <c r="A1019" s="41" t="n"/>
      <c r="B1019" s="35">
        <f>IF(A1019="","",YEAR(A1019))</f>
        <v/>
      </c>
      <c r="C1019" s="36">
        <f>IF(A1019="","",MONTH(A1019))</f>
        <v/>
      </c>
      <c r="D1019" s="37">
        <f>IF(A1019="","","Q"&amp;ROUNDUP(MONTH(A1019)/3,0))</f>
        <v/>
      </c>
      <c r="E1019" s="22" t="n"/>
      <c r="F1019" s="22" t="n"/>
      <c r="G1019" s="40">
        <f>IFERROR(VLOOKUP(F1019,M2_거래처마스터!A:E,3,FALSE),"")</f>
        <v/>
      </c>
      <c r="H1019" s="22" t="n"/>
      <c r="I1019" s="23" t="n"/>
      <c r="J1019" s="24" t="n"/>
      <c r="K1019" s="39">
        <f>IF(AND(I1019&lt;&gt;"",J1019&lt;&gt;""),I1019*J1019,"")</f>
        <v/>
      </c>
      <c r="L1019" s="22" t="n"/>
      <c r="M1019" s="22" t="n"/>
      <c r="N1019" s="24" t="n"/>
      <c r="O1019" s="24" t="n"/>
    </row>
    <row r="1020">
      <c r="A1020" s="34" t="n"/>
      <c r="B1020" s="35">
        <f>IF(A1020="","",YEAR(A1020))</f>
        <v/>
      </c>
      <c r="C1020" s="36">
        <f>IF(A1020="","",MONTH(A1020))</f>
        <v/>
      </c>
      <c r="D1020" s="37">
        <f>IF(A1020="","","Q"&amp;ROUNDUP(MONTH(A1020)/3,0))</f>
        <v/>
      </c>
      <c r="E1020" s="18" t="n"/>
      <c r="F1020" s="18" t="n"/>
      <c r="G1020" s="40">
        <f>IFERROR(VLOOKUP(F1020,M2_거래처마스터!A:E,3,FALSE),"")</f>
        <v/>
      </c>
      <c r="H1020" s="18" t="n"/>
      <c r="I1020" s="19" t="n"/>
      <c r="J1020" s="20" t="n"/>
      <c r="K1020" s="39">
        <f>IF(AND(I1020&lt;&gt;"",J1020&lt;&gt;""),I1020*J1020,"")</f>
        <v/>
      </c>
      <c r="L1020" s="18" t="n"/>
      <c r="M1020" s="18" t="n"/>
      <c r="N1020" s="20" t="n"/>
      <c r="O1020" s="20" t="n"/>
    </row>
    <row r="1021">
      <c r="A1021" s="41" t="n"/>
      <c r="B1021" s="35">
        <f>IF(A1021="","",YEAR(A1021))</f>
        <v/>
      </c>
      <c r="C1021" s="36">
        <f>IF(A1021="","",MONTH(A1021))</f>
        <v/>
      </c>
      <c r="D1021" s="37">
        <f>IF(A1021="","","Q"&amp;ROUNDUP(MONTH(A1021)/3,0))</f>
        <v/>
      </c>
      <c r="E1021" s="22" t="n"/>
      <c r="F1021" s="22" t="n"/>
      <c r="G1021" s="40">
        <f>IFERROR(VLOOKUP(F1021,M2_거래처마스터!A:E,3,FALSE),"")</f>
        <v/>
      </c>
      <c r="H1021" s="22" t="n"/>
      <c r="I1021" s="23" t="n"/>
      <c r="J1021" s="24" t="n"/>
      <c r="K1021" s="39">
        <f>IF(AND(I1021&lt;&gt;"",J1021&lt;&gt;""),I1021*J1021,"")</f>
        <v/>
      </c>
      <c r="L1021" s="22" t="n"/>
      <c r="M1021" s="22" t="n"/>
      <c r="N1021" s="24" t="n"/>
      <c r="O1021" s="24" t="n"/>
    </row>
    <row r="1022">
      <c r="A1022" s="34" t="n"/>
      <c r="B1022" s="35">
        <f>IF(A1022="","",YEAR(A1022))</f>
        <v/>
      </c>
      <c r="C1022" s="36">
        <f>IF(A1022="","",MONTH(A1022))</f>
        <v/>
      </c>
      <c r="D1022" s="37">
        <f>IF(A1022="","","Q"&amp;ROUNDUP(MONTH(A1022)/3,0))</f>
        <v/>
      </c>
      <c r="E1022" s="18" t="n"/>
      <c r="F1022" s="18" t="n"/>
      <c r="G1022" s="40">
        <f>IFERROR(VLOOKUP(F1022,M2_거래처마스터!A:E,3,FALSE),"")</f>
        <v/>
      </c>
      <c r="H1022" s="18" t="n"/>
      <c r="I1022" s="19" t="n"/>
      <c r="J1022" s="20" t="n"/>
      <c r="K1022" s="39">
        <f>IF(AND(I1022&lt;&gt;"",J1022&lt;&gt;""),I1022*J1022,"")</f>
        <v/>
      </c>
      <c r="L1022" s="18" t="n"/>
      <c r="M1022" s="18" t="n"/>
      <c r="N1022" s="20" t="n"/>
      <c r="O1022" s="20" t="n"/>
    </row>
    <row r="1023">
      <c r="A1023" s="41" t="n"/>
      <c r="B1023" s="35">
        <f>IF(A1023="","",YEAR(A1023))</f>
        <v/>
      </c>
      <c r="C1023" s="36">
        <f>IF(A1023="","",MONTH(A1023))</f>
        <v/>
      </c>
      <c r="D1023" s="37">
        <f>IF(A1023="","","Q"&amp;ROUNDUP(MONTH(A1023)/3,0))</f>
        <v/>
      </c>
      <c r="E1023" s="22" t="n"/>
      <c r="F1023" s="22" t="n"/>
      <c r="G1023" s="40">
        <f>IFERROR(VLOOKUP(F1023,M2_거래처마스터!A:E,3,FALSE),"")</f>
        <v/>
      </c>
      <c r="H1023" s="22" t="n"/>
      <c r="I1023" s="23" t="n"/>
      <c r="J1023" s="24" t="n"/>
      <c r="K1023" s="39">
        <f>IF(AND(I1023&lt;&gt;"",J1023&lt;&gt;""),I1023*J1023,"")</f>
        <v/>
      </c>
      <c r="L1023" s="22" t="n"/>
      <c r="M1023" s="22" t="n"/>
      <c r="N1023" s="24" t="n"/>
      <c r="O1023" s="24" t="n"/>
    </row>
    <row r="1024">
      <c r="A1024" s="34" t="n"/>
      <c r="B1024" s="35">
        <f>IF(A1024="","",YEAR(A1024))</f>
        <v/>
      </c>
      <c r="C1024" s="36">
        <f>IF(A1024="","",MONTH(A1024))</f>
        <v/>
      </c>
      <c r="D1024" s="37">
        <f>IF(A1024="","","Q"&amp;ROUNDUP(MONTH(A1024)/3,0))</f>
        <v/>
      </c>
      <c r="E1024" s="18" t="n"/>
      <c r="F1024" s="18" t="n"/>
      <c r="G1024" s="40">
        <f>IFERROR(VLOOKUP(F1024,M2_거래처마스터!A:E,3,FALSE),"")</f>
        <v/>
      </c>
      <c r="H1024" s="18" t="n"/>
      <c r="I1024" s="19" t="n"/>
      <c r="J1024" s="20" t="n"/>
      <c r="K1024" s="39">
        <f>IF(AND(I1024&lt;&gt;"",J1024&lt;&gt;""),I1024*J1024,"")</f>
        <v/>
      </c>
      <c r="L1024" s="18" t="n"/>
      <c r="M1024" s="18" t="n"/>
      <c r="N1024" s="20" t="n"/>
      <c r="O1024" s="20" t="n"/>
    </row>
    <row r="1025">
      <c r="A1025" s="41" t="n"/>
      <c r="B1025" s="35">
        <f>IF(A1025="","",YEAR(A1025))</f>
        <v/>
      </c>
      <c r="C1025" s="36">
        <f>IF(A1025="","",MONTH(A1025))</f>
        <v/>
      </c>
      <c r="D1025" s="37">
        <f>IF(A1025="","","Q"&amp;ROUNDUP(MONTH(A1025)/3,0))</f>
        <v/>
      </c>
      <c r="E1025" s="22" t="n"/>
      <c r="F1025" s="22" t="n"/>
      <c r="G1025" s="40">
        <f>IFERROR(VLOOKUP(F1025,M2_거래처마스터!A:E,3,FALSE),"")</f>
        <v/>
      </c>
      <c r="H1025" s="22" t="n"/>
      <c r="I1025" s="23" t="n"/>
      <c r="J1025" s="24" t="n"/>
      <c r="K1025" s="39">
        <f>IF(AND(I1025&lt;&gt;"",J1025&lt;&gt;""),I1025*J1025,"")</f>
        <v/>
      </c>
      <c r="L1025" s="22" t="n"/>
      <c r="M1025" s="22" t="n"/>
      <c r="N1025" s="24" t="n"/>
      <c r="O1025" s="24" t="n"/>
    </row>
    <row r="1026">
      <c r="A1026" s="34" t="n"/>
      <c r="B1026" s="35">
        <f>IF(A1026="","",YEAR(A1026))</f>
        <v/>
      </c>
      <c r="C1026" s="36">
        <f>IF(A1026="","",MONTH(A1026))</f>
        <v/>
      </c>
      <c r="D1026" s="37">
        <f>IF(A1026="","","Q"&amp;ROUNDUP(MONTH(A1026)/3,0))</f>
        <v/>
      </c>
      <c r="E1026" s="18" t="n"/>
      <c r="F1026" s="18" t="n"/>
      <c r="G1026" s="40">
        <f>IFERROR(VLOOKUP(F1026,M2_거래처마스터!A:E,3,FALSE),"")</f>
        <v/>
      </c>
      <c r="H1026" s="18" t="n"/>
      <c r="I1026" s="19" t="n"/>
      <c r="J1026" s="20" t="n"/>
      <c r="K1026" s="39">
        <f>IF(AND(I1026&lt;&gt;"",J1026&lt;&gt;""),I1026*J1026,"")</f>
        <v/>
      </c>
      <c r="L1026" s="18" t="n"/>
      <c r="M1026" s="18" t="n"/>
      <c r="N1026" s="20" t="n"/>
      <c r="O1026" s="20" t="n"/>
    </row>
    <row r="1027">
      <c r="A1027" s="41" t="n"/>
      <c r="B1027" s="35">
        <f>IF(A1027="","",YEAR(A1027))</f>
        <v/>
      </c>
      <c r="C1027" s="36">
        <f>IF(A1027="","",MONTH(A1027))</f>
        <v/>
      </c>
      <c r="D1027" s="37">
        <f>IF(A1027="","","Q"&amp;ROUNDUP(MONTH(A1027)/3,0))</f>
        <v/>
      </c>
      <c r="E1027" s="22" t="n"/>
      <c r="F1027" s="22" t="n"/>
      <c r="G1027" s="40">
        <f>IFERROR(VLOOKUP(F1027,M2_거래처마스터!A:E,3,FALSE),"")</f>
        <v/>
      </c>
      <c r="H1027" s="22" t="n"/>
      <c r="I1027" s="23" t="n"/>
      <c r="J1027" s="24" t="n"/>
      <c r="K1027" s="39">
        <f>IF(AND(I1027&lt;&gt;"",J1027&lt;&gt;""),I1027*J1027,"")</f>
        <v/>
      </c>
      <c r="L1027" s="22" t="n"/>
      <c r="M1027" s="22" t="n"/>
      <c r="N1027" s="24" t="n"/>
      <c r="O1027" s="24" t="n"/>
    </row>
    <row r="1028">
      <c r="A1028" s="34" t="n"/>
      <c r="B1028" s="35">
        <f>IF(A1028="","",YEAR(A1028))</f>
        <v/>
      </c>
      <c r="C1028" s="36">
        <f>IF(A1028="","",MONTH(A1028))</f>
        <v/>
      </c>
      <c r="D1028" s="37">
        <f>IF(A1028="","","Q"&amp;ROUNDUP(MONTH(A1028)/3,0))</f>
        <v/>
      </c>
      <c r="E1028" s="18" t="n"/>
      <c r="F1028" s="18" t="n"/>
      <c r="G1028" s="40">
        <f>IFERROR(VLOOKUP(F1028,M2_거래처마스터!A:E,3,FALSE),"")</f>
        <v/>
      </c>
      <c r="H1028" s="18" t="n"/>
      <c r="I1028" s="19" t="n"/>
      <c r="J1028" s="20" t="n"/>
      <c r="K1028" s="39">
        <f>IF(AND(I1028&lt;&gt;"",J1028&lt;&gt;""),I1028*J1028,"")</f>
        <v/>
      </c>
      <c r="L1028" s="18" t="n"/>
      <c r="M1028" s="18" t="n"/>
      <c r="N1028" s="20" t="n"/>
      <c r="O1028" s="20" t="n"/>
    </row>
    <row r="1029">
      <c r="A1029" s="41" t="n"/>
      <c r="B1029" s="35">
        <f>IF(A1029="","",YEAR(A1029))</f>
        <v/>
      </c>
      <c r="C1029" s="36">
        <f>IF(A1029="","",MONTH(A1029))</f>
        <v/>
      </c>
      <c r="D1029" s="37">
        <f>IF(A1029="","","Q"&amp;ROUNDUP(MONTH(A1029)/3,0))</f>
        <v/>
      </c>
      <c r="E1029" s="22" t="n"/>
      <c r="F1029" s="22" t="n"/>
      <c r="G1029" s="40">
        <f>IFERROR(VLOOKUP(F1029,M2_거래처마스터!A:E,3,FALSE),"")</f>
        <v/>
      </c>
      <c r="H1029" s="22" t="n"/>
      <c r="I1029" s="23" t="n"/>
      <c r="J1029" s="24" t="n"/>
      <c r="K1029" s="39">
        <f>IF(AND(I1029&lt;&gt;"",J1029&lt;&gt;""),I1029*J1029,"")</f>
        <v/>
      </c>
      <c r="L1029" s="22" t="n"/>
      <c r="M1029" s="22" t="n"/>
      <c r="N1029" s="24" t="n"/>
      <c r="O1029" s="24" t="n"/>
    </row>
    <row r="1030">
      <c r="A1030" s="34" t="n"/>
      <c r="B1030" s="35">
        <f>IF(A1030="","",YEAR(A1030))</f>
        <v/>
      </c>
      <c r="C1030" s="36">
        <f>IF(A1030="","",MONTH(A1030))</f>
        <v/>
      </c>
      <c r="D1030" s="37">
        <f>IF(A1030="","","Q"&amp;ROUNDUP(MONTH(A1030)/3,0))</f>
        <v/>
      </c>
      <c r="E1030" s="18" t="n"/>
      <c r="F1030" s="18" t="n"/>
      <c r="G1030" s="40">
        <f>IFERROR(VLOOKUP(F1030,M2_거래처마스터!A:E,3,FALSE),"")</f>
        <v/>
      </c>
      <c r="H1030" s="18" t="n"/>
      <c r="I1030" s="19" t="n"/>
      <c r="J1030" s="20" t="n"/>
      <c r="K1030" s="39">
        <f>IF(AND(I1030&lt;&gt;"",J1030&lt;&gt;""),I1030*J1030,"")</f>
        <v/>
      </c>
      <c r="L1030" s="18" t="n"/>
      <c r="M1030" s="18" t="n"/>
      <c r="N1030" s="20" t="n"/>
      <c r="O1030" s="20" t="n"/>
    </row>
    <row r="1031">
      <c r="A1031" s="41" t="n"/>
      <c r="B1031" s="35">
        <f>IF(A1031="","",YEAR(A1031))</f>
        <v/>
      </c>
      <c r="C1031" s="36">
        <f>IF(A1031="","",MONTH(A1031))</f>
        <v/>
      </c>
      <c r="D1031" s="37">
        <f>IF(A1031="","","Q"&amp;ROUNDUP(MONTH(A1031)/3,0))</f>
        <v/>
      </c>
      <c r="E1031" s="22" t="n"/>
      <c r="F1031" s="22" t="n"/>
      <c r="G1031" s="40">
        <f>IFERROR(VLOOKUP(F1031,M2_거래처마스터!A:E,3,FALSE),"")</f>
        <v/>
      </c>
      <c r="H1031" s="22" t="n"/>
      <c r="I1031" s="23" t="n"/>
      <c r="J1031" s="24" t="n"/>
      <c r="K1031" s="39">
        <f>IF(AND(I1031&lt;&gt;"",J1031&lt;&gt;""),I1031*J1031,"")</f>
        <v/>
      </c>
      <c r="L1031" s="22" t="n"/>
      <c r="M1031" s="22" t="n"/>
      <c r="N1031" s="24" t="n"/>
      <c r="O1031" s="24" t="n"/>
    </row>
    <row r="1032">
      <c r="A1032" s="34" t="n"/>
      <c r="B1032" s="35">
        <f>IF(A1032="","",YEAR(A1032))</f>
        <v/>
      </c>
      <c r="C1032" s="36">
        <f>IF(A1032="","",MONTH(A1032))</f>
        <v/>
      </c>
      <c r="D1032" s="37">
        <f>IF(A1032="","","Q"&amp;ROUNDUP(MONTH(A1032)/3,0))</f>
        <v/>
      </c>
      <c r="E1032" s="18" t="n"/>
      <c r="F1032" s="18" t="n"/>
      <c r="G1032" s="40">
        <f>IFERROR(VLOOKUP(F1032,M2_거래처마스터!A:E,3,FALSE),"")</f>
        <v/>
      </c>
      <c r="H1032" s="18" t="n"/>
      <c r="I1032" s="19" t="n"/>
      <c r="J1032" s="20" t="n"/>
      <c r="K1032" s="39">
        <f>IF(AND(I1032&lt;&gt;"",J1032&lt;&gt;""),I1032*J1032,"")</f>
        <v/>
      </c>
      <c r="L1032" s="18" t="n"/>
      <c r="M1032" s="18" t="n"/>
      <c r="N1032" s="20" t="n"/>
      <c r="O1032" s="20" t="n"/>
    </row>
    <row r="1033">
      <c r="A1033" s="41" t="n"/>
      <c r="B1033" s="35">
        <f>IF(A1033="","",YEAR(A1033))</f>
        <v/>
      </c>
      <c r="C1033" s="36">
        <f>IF(A1033="","",MONTH(A1033))</f>
        <v/>
      </c>
      <c r="D1033" s="37">
        <f>IF(A1033="","","Q"&amp;ROUNDUP(MONTH(A1033)/3,0))</f>
        <v/>
      </c>
      <c r="E1033" s="22" t="n"/>
      <c r="F1033" s="22" t="n"/>
      <c r="G1033" s="40">
        <f>IFERROR(VLOOKUP(F1033,M2_거래처마스터!A:E,3,FALSE),"")</f>
        <v/>
      </c>
      <c r="H1033" s="22" t="n"/>
      <c r="I1033" s="23" t="n"/>
      <c r="J1033" s="24" t="n"/>
      <c r="K1033" s="39">
        <f>IF(AND(I1033&lt;&gt;"",J1033&lt;&gt;""),I1033*J1033,"")</f>
        <v/>
      </c>
      <c r="L1033" s="22" t="n"/>
      <c r="M1033" s="22" t="n"/>
      <c r="N1033" s="24" t="n"/>
      <c r="O1033" s="24" t="n"/>
    </row>
    <row r="1034">
      <c r="A1034" s="34" t="n"/>
      <c r="B1034" s="35">
        <f>IF(A1034="","",YEAR(A1034))</f>
        <v/>
      </c>
      <c r="C1034" s="36">
        <f>IF(A1034="","",MONTH(A1034))</f>
        <v/>
      </c>
      <c r="D1034" s="37">
        <f>IF(A1034="","","Q"&amp;ROUNDUP(MONTH(A1034)/3,0))</f>
        <v/>
      </c>
      <c r="E1034" s="18" t="n"/>
      <c r="F1034" s="18" t="n"/>
      <c r="G1034" s="40">
        <f>IFERROR(VLOOKUP(F1034,M2_거래처마스터!A:E,3,FALSE),"")</f>
        <v/>
      </c>
      <c r="H1034" s="18" t="n"/>
      <c r="I1034" s="19" t="n"/>
      <c r="J1034" s="20" t="n"/>
      <c r="K1034" s="39">
        <f>IF(AND(I1034&lt;&gt;"",J1034&lt;&gt;""),I1034*J1034,"")</f>
        <v/>
      </c>
      <c r="L1034" s="18" t="n"/>
      <c r="M1034" s="18" t="n"/>
      <c r="N1034" s="20" t="n"/>
      <c r="O1034" s="20" t="n"/>
    </row>
    <row r="1035">
      <c r="A1035" s="41" t="n"/>
      <c r="B1035" s="35">
        <f>IF(A1035="","",YEAR(A1035))</f>
        <v/>
      </c>
      <c r="C1035" s="36">
        <f>IF(A1035="","",MONTH(A1035))</f>
        <v/>
      </c>
      <c r="D1035" s="37">
        <f>IF(A1035="","","Q"&amp;ROUNDUP(MONTH(A1035)/3,0))</f>
        <v/>
      </c>
      <c r="E1035" s="22" t="n"/>
      <c r="F1035" s="22" t="n"/>
      <c r="G1035" s="40">
        <f>IFERROR(VLOOKUP(F1035,M2_거래처마스터!A:E,3,FALSE),"")</f>
        <v/>
      </c>
      <c r="H1035" s="22" t="n"/>
      <c r="I1035" s="23" t="n"/>
      <c r="J1035" s="24" t="n"/>
      <c r="K1035" s="39">
        <f>IF(AND(I1035&lt;&gt;"",J1035&lt;&gt;""),I1035*J1035,"")</f>
        <v/>
      </c>
      <c r="L1035" s="22" t="n"/>
      <c r="M1035" s="22" t="n"/>
      <c r="N1035" s="24" t="n"/>
      <c r="O1035" s="24" t="n"/>
    </row>
    <row r="1036">
      <c r="A1036" s="34" t="n"/>
      <c r="B1036" s="35">
        <f>IF(A1036="","",YEAR(A1036))</f>
        <v/>
      </c>
      <c r="C1036" s="36">
        <f>IF(A1036="","",MONTH(A1036))</f>
        <v/>
      </c>
      <c r="D1036" s="37">
        <f>IF(A1036="","","Q"&amp;ROUNDUP(MONTH(A1036)/3,0))</f>
        <v/>
      </c>
      <c r="E1036" s="18" t="n"/>
      <c r="F1036" s="18" t="n"/>
      <c r="G1036" s="40">
        <f>IFERROR(VLOOKUP(F1036,M2_거래처마스터!A:E,3,FALSE),"")</f>
        <v/>
      </c>
      <c r="H1036" s="18" t="n"/>
      <c r="I1036" s="19" t="n"/>
      <c r="J1036" s="20" t="n"/>
      <c r="K1036" s="39">
        <f>IF(AND(I1036&lt;&gt;"",J1036&lt;&gt;""),I1036*J1036,"")</f>
        <v/>
      </c>
      <c r="L1036" s="18" t="n"/>
      <c r="M1036" s="18" t="n"/>
      <c r="N1036" s="20" t="n"/>
      <c r="O1036" s="20" t="n"/>
    </row>
    <row r="1037">
      <c r="A1037" s="41" t="n"/>
      <c r="B1037" s="35">
        <f>IF(A1037="","",YEAR(A1037))</f>
        <v/>
      </c>
      <c r="C1037" s="36">
        <f>IF(A1037="","",MONTH(A1037))</f>
        <v/>
      </c>
      <c r="D1037" s="37">
        <f>IF(A1037="","","Q"&amp;ROUNDUP(MONTH(A1037)/3,0))</f>
        <v/>
      </c>
      <c r="E1037" s="22" t="n"/>
      <c r="F1037" s="22" t="n"/>
      <c r="G1037" s="40">
        <f>IFERROR(VLOOKUP(F1037,M2_거래처마스터!A:E,3,FALSE),"")</f>
        <v/>
      </c>
      <c r="H1037" s="22" t="n"/>
      <c r="I1037" s="23" t="n"/>
      <c r="J1037" s="24" t="n"/>
      <c r="K1037" s="39">
        <f>IF(AND(I1037&lt;&gt;"",J1037&lt;&gt;""),I1037*J1037,"")</f>
        <v/>
      </c>
      <c r="L1037" s="22" t="n"/>
      <c r="M1037" s="22" t="n"/>
      <c r="N1037" s="24" t="n"/>
      <c r="O1037" s="24" t="n"/>
    </row>
    <row r="1038">
      <c r="A1038" s="34" t="n"/>
      <c r="B1038" s="35">
        <f>IF(A1038="","",YEAR(A1038))</f>
        <v/>
      </c>
      <c r="C1038" s="36">
        <f>IF(A1038="","",MONTH(A1038))</f>
        <v/>
      </c>
      <c r="D1038" s="37">
        <f>IF(A1038="","","Q"&amp;ROUNDUP(MONTH(A1038)/3,0))</f>
        <v/>
      </c>
      <c r="E1038" s="18" t="n"/>
      <c r="F1038" s="18" t="n"/>
      <c r="G1038" s="40">
        <f>IFERROR(VLOOKUP(F1038,M2_거래처마스터!A:E,3,FALSE),"")</f>
        <v/>
      </c>
      <c r="H1038" s="18" t="n"/>
      <c r="I1038" s="19" t="n"/>
      <c r="J1038" s="20" t="n"/>
      <c r="K1038" s="39">
        <f>IF(AND(I1038&lt;&gt;"",J1038&lt;&gt;""),I1038*J1038,"")</f>
        <v/>
      </c>
      <c r="L1038" s="18" t="n"/>
      <c r="M1038" s="18" t="n"/>
      <c r="N1038" s="20" t="n"/>
      <c r="O1038" s="20" t="n"/>
    </row>
    <row r="1039">
      <c r="A1039" s="41" t="n"/>
      <c r="B1039" s="35">
        <f>IF(A1039="","",YEAR(A1039))</f>
        <v/>
      </c>
      <c r="C1039" s="36">
        <f>IF(A1039="","",MONTH(A1039))</f>
        <v/>
      </c>
      <c r="D1039" s="37">
        <f>IF(A1039="","","Q"&amp;ROUNDUP(MONTH(A1039)/3,0))</f>
        <v/>
      </c>
      <c r="E1039" s="22" t="n"/>
      <c r="F1039" s="22" t="n"/>
      <c r="G1039" s="40">
        <f>IFERROR(VLOOKUP(F1039,M2_거래처마스터!A:E,3,FALSE),"")</f>
        <v/>
      </c>
      <c r="H1039" s="22" t="n"/>
      <c r="I1039" s="23" t="n"/>
      <c r="J1039" s="24" t="n"/>
      <c r="K1039" s="39">
        <f>IF(AND(I1039&lt;&gt;"",J1039&lt;&gt;""),I1039*J1039,"")</f>
        <v/>
      </c>
      <c r="L1039" s="22" t="n"/>
      <c r="M1039" s="22" t="n"/>
      <c r="N1039" s="24" t="n"/>
      <c r="O1039" s="24" t="n"/>
    </row>
    <row r="1040">
      <c r="A1040" s="34" t="n"/>
      <c r="B1040" s="35">
        <f>IF(A1040="","",YEAR(A1040))</f>
        <v/>
      </c>
      <c r="C1040" s="36">
        <f>IF(A1040="","",MONTH(A1040))</f>
        <v/>
      </c>
      <c r="D1040" s="37">
        <f>IF(A1040="","","Q"&amp;ROUNDUP(MONTH(A1040)/3,0))</f>
        <v/>
      </c>
      <c r="E1040" s="18" t="n"/>
      <c r="F1040" s="18" t="n"/>
      <c r="G1040" s="40">
        <f>IFERROR(VLOOKUP(F1040,M2_거래처마스터!A:E,3,FALSE),"")</f>
        <v/>
      </c>
      <c r="H1040" s="18" t="n"/>
      <c r="I1040" s="19" t="n"/>
      <c r="J1040" s="20" t="n"/>
      <c r="K1040" s="39">
        <f>IF(AND(I1040&lt;&gt;"",J1040&lt;&gt;""),I1040*J1040,"")</f>
        <v/>
      </c>
      <c r="L1040" s="18" t="n"/>
      <c r="M1040" s="18" t="n"/>
      <c r="N1040" s="20" t="n"/>
      <c r="O1040" s="20" t="n"/>
    </row>
    <row r="1041">
      <c r="A1041" s="41" t="n"/>
      <c r="B1041" s="35">
        <f>IF(A1041="","",YEAR(A1041))</f>
        <v/>
      </c>
      <c r="C1041" s="36">
        <f>IF(A1041="","",MONTH(A1041))</f>
        <v/>
      </c>
      <c r="D1041" s="37">
        <f>IF(A1041="","","Q"&amp;ROUNDUP(MONTH(A1041)/3,0))</f>
        <v/>
      </c>
      <c r="E1041" s="22" t="n"/>
      <c r="F1041" s="22" t="n"/>
      <c r="G1041" s="40">
        <f>IFERROR(VLOOKUP(F1041,M2_거래처마스터!A:E,3,FALSE),"")</f>
        <v/>
      </c>
      <c r="H1041" s="22" t="n"/>
      <c r="I1041" s="23" t="n"/>
      <c r="J1041" s="24" t="n"/>
      <c r="K1041" s="39">
        <f>IF(AND(I1041&lt;&gt;"",J1041&lt;&gt;""),I1041*J1041,"")</f>
        <v/>
      </c>
      <c r="L1041" s="22" t="n"/>
      <c r="M1041" s="22" t="n"/>
      <c r="N1041" s="24" t="n"/>
      <c r="O1041" s="24" t="n"/>
    </row>
    <row r="1042">
      <c r="A1042" s="34" t="n"/>
      <c r="B1042" s="35">
        <f>IF(A1042="","",YEAR(A1042))</f>
        <v/>
      </c>
      <c r="C1042" s="36">
        <f>IF(A1042="","",MONTH(A1042))</f>
        <v/>
      </c>
      <c r="D1042" s="37">
        <f>IF(A1042="","","Q"&amp;ROUNDUP(MONTH(A1042)/3,0))</f>
        <v/>
      </c>
      <c r="E1042" s="18" t="n"/>
      <c r="F1042" s="18" t="n"/>
      <c r="G1042" s="40">
        <f>IFERROR(VLOOKUP(F1042,M2_거래처마스터!A:E,3,FALSE),"")</f>
        <v/>
      </c>
      <c r="H1042" s="18" t="n"/>
      <c r="I1042" s="19" t="n"/>
      <c r="J1042" s="20" t="n"/>
      <c r="K1042" s="39">
        <f>IF(AND(I1042&lt;&gt;"",J1042&lt;&gt;""),I1042*J1042,"")</f>
        <v/>
      </c>
      <c r="L1042" s="18" t="n"/>
      <c r="M1042" s="18" t="n"/>
      <c r="N1042" s="20" t="n"/>
      <c r="O1042" s="20" t="n"/>
    </row>
    <row r="1043">
      <c r="A1043" s="41" t="n"/>
      <c r="B1043" s="35">
        <f>IF(A1043="","",YEAR(A1043))</f>
        <v/>
      </c>
      <c r="C1043" s="36">
        <f>IF(A1043="","",MONTH(A1043))</f>
        <v/>
      </c>
      <c r="D1043" s="37">
        <f>IF(A1043="","","Q"&amp;ROUNDUP(MONTH(A1043)/3,0))</f>
        <v/>
      </c>
      <c r="E1043" s="22" t="n"/>
      <c r="F1043" s="22" t="n"/>
      <c r="G1043" s="40">
        <f>IFERROR(VLOOKUP(F1043,M2_거래처마스터!A:E,3,FALSE),"")</f>
        <v/>
      </c>
      <c r="H1043" s="22" t="n"/>
      <c r="I1043" s="23" t="n"/>
      <c r="J1043" s="24" t="n"/>
      <c r="K1043" s="39">
        <f>IF(AND(I1043&lt;&gt;"",J1043&lt;&gt;""),I1043*J1043,"")</f>
        <v/>
      </c>
      <c r="L1043" s="22" t="n"/>
      <c r="M1043" s="22" t="n"/>
      <c r="N1043" s="24" t="n"/>
      <c r="O1043" s="24" t="n"/>
    </row>
    <row r="1044">
      <c r="A1044" s="34" t="n"/>
      <c r="B1044" s="35">
        <f>IF(A1044="","",YEAR(A1044))</f>
        <v/>
      </c>
      <c r="C1044" s="36">
        <f>IF(A1044="","",MONTH(A1044))</f>
        <v/>
      </c>
      <c r="D1044" s="37">
        <f>IF(A1044="","","Q"&amp;ROUNDUP(MONTH(A1044)/3,0))</f>
        <v/>
      </c>
      <c r="E1044" s="18" t="n"/>
      <c r="F1044" s="18" t="n"/>
      <c r="G1044" s="40">
        <f>IFERROR(VLOOKUP(F1044,M2_거래처마스터!A:E,3,FALSE),"")</f>
        <v/>
      </c>
      <c r="H1044" s="18" t="n"/>
      <c r="I1044" s="19" t="n"/>
      <c r="J1044" s="20" t="n"/>
      <c r="K1044" s="39">
        <f>IF(AND(I1044&lt;&gt;"",J1044&lt;&gt;""),I1044*J1044,"")</f>
        <v/>
      </c>
      <c r="L1044" s="18" t="n"/>
      <c r="M1044" s="18" t="n"/>
      <c r="N1044" s="20" t="n"/>
      <c r="O1044" s="20" t="n"/>
    </row>
    <row r="1045">
      <c r="A1045" s="41" t="n"/>
      <c r="B1045" s="35">
        <f>IF(A1045="","",YEAR(A1045))</f>
        <v/>
      </c>
      <c r="C1045" s="36">
        <f>IF(A1045="","",MONTH(A1045))</f>
        <v/>
      </c>
      <c r="D1045" s="37">
        <f>IF(A1045="","","Q"&amp;ROUNDUP(MONTH(A1045)/3,0))</f>
        <v/>
      </c>
      <c r="E1045" s="22" t="n"/>
      <c r="F1045" s="22" t="n"/>
      <c r="G1045" s="40">
        <f>IFERROR(VLOOKUP(F1045,M2_거래처마스터!A:E,3,FALSE),"")</f>
        <v/>
      </c>
      <c r="H1045" s="22" t="n"/>
      <c r="I1045" s="23" t="n"/>
      <c r="J1045" s="24" t="n"/>
      <c r="K1045" s="39">
        <f>IF(AND(I1045&lt;&gt;"",J1045&lt;&gt;""),I1045*J1045,"")</f>
        <v/>
      </c>
      <c r="L1045" s="22" t="n"/>
      <c r="M1045" s="22" t="n"/>
      <c r="N1045" s="24" t="n"/>
      <c r="O1045" s="24" t="n"/>
    </row>
    <row r="1046">
      <c r="A1046" s="34" t="n"/>
      <c r="B1046" s="35">
        <f>IF(A1046="","",YEAR(A1046))</f>
        <v/>
      </c>
      <c r="C1046" s="36">
        <f>IF(A1046="","",MONTH(A1046))</f>
        <v/>
      </c>
      <c r="D1046" s="37">
        <f>IF(A1046="","","Q"&amp;ROUNDUP(MONTH(A1046)/3,0))</f>
        <v/>
      </c>
      <c r="E1046" s="18" t="n"/>
      <c r="F1046" s="18" t="n"/>
      <c r="G1046" s="40">
        <f>IFERROR(VLOOKUP(F1046,M2_거래처마스터!A:E,3,FALSE),"")</f>
        <v/>
      </c>
      <c r="H1046" s="18" t="n"/>
      <c r="I1046" s="19" t="n"/>
      <c r="J1046" s="20" t="n"/>
      <c r="K1046" s="39">
        <f>IF(AND(I1046&lt;&gt;"",J1046&lt;&gt;""),I1046*J1046,"")</f>
        <v/>
      </c>
      <c r="L1046" s="18" t="n"/>
      <c r="M1046" s="18" t="n"/>
      <c r="N1046" s="20" t="n"/>
      <c r="O1046" s="20" t="n"/>
    </row>
    <row r="1047">
      <c r="A1047" s="41" t="n"/>
      <c r="B1047" s="35">
        <f>IF(A1047="","",YEAR(A1047))</f>
        <v/>
      </c>
      <c r="C1047" s="36">
        <f>IF(A1047="","",MONTH(A1047))</f>
        <v/>
      </c>
      <c r="D1047" s="37">
        <f>IF(A1047="","","Q"&amp;ROUNDUP(MONTH(A1047)/3,0))</f>
        <v/>
      </c>
      <c r="E1047" s="22" t="n"/>
      <c r="F1047" s="22" t="n"/>
      <c r="G1047" s="40">
        <f>IFERROR(VLOOKUP(F1047,M2_거래처마스터!A:E,3,FALSE),"")</f>
        <v/>
      </c>
      <c r="H1047" s="22" t="n"/>
      <c r="I1047" s="23" t="n"/>
      <c r="J1047" s="24" t="n"/>
      <c r="K1047" s="39">
        <f>IF(AND(I1047&lt;&gt;"",J1047&lt;&gt;""),I1047*J1047,"")</f>
        <v/>
      </c>
      <c r="L1047" s="22" t="n"/>
      <c r="M1047" s="22" t="n"/>
      <c r="N1047" s="24" t="n"/>
      <c r="O1047" s="24" t="n"/>
    </row>
    <row r="1048">
      <c r="A1048" s="34" t="n"/>
      <c r="B1048" s="35">
        <f>IF(A1048="","",YEAR(A1048))</f>
        <v/>
      </c>
      <c r="C1048" s="36">
        <f>IF(A1048="","",MONTH(A1048))</f>
        <v/>
      </c>
      <c r="D1048" s="37">
        <f>IF(A1048="","","Q"&amp;ROUNDUP(MONTH(A1048)/3,0))</f>
        <v/>
      </c>
      <c r="E1048" s="18" t="n"/>
      <c r="F1048" s="18" t="n"/>
      <c r="G1048" s="40">
        <f>IFERROR(VLOOKUP(F1048,M2_거래처마스터!A:E,3,FALSE),"")</f>
        <v/>
      </c>
      <c r="H1048" s="18" t="n"/>
      <c r="I1048" s="19" t="n"/>
      <c r="J1048" s="20" t="n"/>
      <c r="K1048" s="39">
        <f>IF(AND(I1048&lt;&gt;"",J1048&lt;&gt;""),I1048*J1048,"")</f>
        <v/>
      </c>
      <c r="L1048" s="18" t="n"/>
      <c r="M1048" s="18" t="n"/>
      <c r="N1048" s="20" t="n"/>
      <c r="O1048" s="20" t="n"/>
    </row>
    <row r="1049">
      <c r="A1049" s="41" t="n"/>
      <c r="B1049" s="35">
        <f>IF(A1049="","",YEAR(A1049))</f>
        <v/>
      </c>
      <c r="C1049" s="36">
        <f>IF(A1049="","",MONTH(A1049))</f>
        <v/>
      </c>
      <c r="D1049" s="37">
        <f>IF(A1049="","","Q"&amp;ROUNDUP(MONTH(A1049)/3,0))</f>
        <v/>
      </c>
      <c r="E1049" s="22" t="n"/>
      <c r="F1049" s="22" t="n"/>
      <c r="G1049" s="40">
        <f>IFERROR(VLOOKUP(F1049,M2_거래처마스터!A:E,3,FALSE),"")</f>
        <v/>
      </c>
      <c r="H1049" s="22" t="n"/>
      <c r="I1049" s="23" t="n"/>
      <c r="J1049" s="24" t="n"/>
      <c r="K1049" s="39">
        <f>IF(AND(I1049&lt;&gt;"",J1049&lt;&gt;""),I1049*J1049,"")</f>
        <v/>
      </c>
      <c r="L1049" s="22" t="n"/>
      <c r="M1049" s="22" t="n"/>
      <c r="N1049" s="24" t="n"/>
      <c r="O1049" s="24" t="n"/>
    </row>
    <row r="1050">
      <c r="A1050" s="34" t="n"/>
      <c r="B1050" s="35">
        <f>IF(A1050="","",YEAR(A1050))</f>
        <v/>
      </c>
      <c r="C1050" s="36">
        <f>IF(A1050="","",MONTH(A1050))</f>
        <v/>
      </c>
      <c r="D1050" s="37">
        <f>IF(A1050="","","Q"&amp;ROUNDUP(MONTH(A1050)/3,0))</f>
        <v/>
      </c>
      <c r="E1050" s="18" t="n"/>
      <c r="F1050" s="18" t="n"/>
      <c r="G1050" s="40">
        <f>IFERROR(VLOOKUP(F1050,M2_거래처마스터!A:E,3,FALSE),"")</f>
        <v/>
      </c>
      <c r="H1050" s="18" t="n"/>
      <c r="I1050" s="19" t="n"/>
      <c r="J1050" s="20" t="n"/>
      <c r="K1050" s="39">
        <f>IF(AND(I1050&lt;&gt;"",J1050&lt;&gt;""),I1050*J1050,"")</f>
        <v/>
      </c>
      <c r="L1050" s="18" t="n"/>
      <c r="M1050" s="18" t="n"/>
      <c r="N1050" s="20" t="n"/>
      <c r="O1050" s="20" t="n"/>
    </row>
    <row r="1051">
      <c r="A1051" s="41" t="n"/>
      <c r="B1051" s="35">
        <f>IF(A1051="","",YEAR(A1051))</f>
        <v/>
      </c>
      <c r="C1051" s="36">
        <f>IF(A1051="","",MONTH(A1051))</f>
        <v/>
      </c>
      <c r="D1051" s="37">
        <f>IF(A1051="","","Q"&amp;ROUNDUP(MONTH(A1051)/3,0))</f>
        <v/>
      </c>
      <c r="E1051" s="22" t="n"/>
      <c r="F1051" s="22" t="n"/>
      <c r="G1051" s="40">
        <f>IFERROR(VLOOKUP(F1051,M2_거래처마스터!A:E,3,FALSE),"")</f>
        <v/>
      </c>
      <c r="H1051" s="22" t="n"/>
      <c r="I1051" s="23" t="n"/>
      <c r="J1051" s="24" t="n"/>
      <c r="K1051" s="39">
        <f>IF(AND(I1051&lt;&gt;"",J1051&lt;&gt;""),I1051*J1051,"")</f>
        <v/>
      </c>
      <c r="L1051" s="22" t="n"/>
      <c r="M1051" s="22" t="n"/>
      <c r="N1051" s="24" t="n"/>
      <c r="O1051" s="24" t="n"/>
    </row>
    <row r="1052">
      <c r="A1052" s="34" t="n"/>
      <c r="B1052" s="35">
        <f>IF(A1052="","",YEAR(A1052))</f>
        <v/>
      </c>
      <c r="C1052" s="36">
        <f>IF(A1052="","",MONTH(A1052))</f>
        <v/>
      </c>
      <c r="D1052" s="37">
        <f>IF(A1052="","","Q"&amp;ROUNDUP(MONTH(A1052)/3,0))</f>
        <v/>
      </c>
      <c r="E1052" s="18" t="n"/>
      <c r="F1052" s="18" t="n"/>
      <c r="G1052" s="40">
        <f>IFERROR(VLOOKUP(F1052,M2_거래처마스터!A:E,3,FALSE),"")</f>
        <v/>
      </c>
      <c r="H1052" s="18" t="n"/>
      <c r="I1052" s="19" t="n"/>
      <c r="J1052" s="20" t="n"/>
      <c r="K1052" s="39">
        <f>IF(AND(I1052&lt;&gt;"",J1052&lt;&gt;""),I1052*J1052,"")</f>
        <v/>
      </c>
      <c r="L1052" s="18" t="n"/>
      <c r="M1052" s="18" t="n"/>
      <c r="N1052" s="20" t="n"/>
      <c r="O1052" s="20" t="n"/>
    </row>
    <row r="1053">
      <c r="A1053" s="41" t="n"/>
      <c r="B1053" s="35">
        <f>IF(A1053="","",YEAR(A1053))</f>
        <v/>
      </c>
      <c r="C1053" s="36">
        <f>IF(A1053="","",MONTH(A1053))</f>
        <v/>
      </c>
      <c r="D1053" s="37">
        <f>IF(A1053="","","Q"&amp;ROUNDUP(MONTH(A1053)/3,0))</f>
        <v/>
      </c>
      <c r="E1053" s="22" t="n"/>
      <c r="F1053" s="22" t="n"/>
      <c r="G1053" s="40">
        <f>IFERROR(VLOOKUP(F1053,M2_거래처마스터!A:E,3,FALSE),"")</f>
        <v/>
      </c>
      <c r="H1053" s="22" t="n"/>
      <c r="I1053" s="23" t="n"/>
      <c r="J1053" s="24" t="n"/>
      <c r="K1053" s="39">
        <f>IF(AND(I1053&lt;&gt;"",J1053&lt;&gt;""),I1053*J1053,"")</f>
        <v/>
      </c>
      <c r="L1053" s="22" t="n"/>
      <c r="M1053" s="22" t="n"/>
      <c r="N1053" s="24" t="n"/>
      <c r="O1053" s="24" t="n"/>
    </row>
    <row r="1054">
      <c r="A1054" s="34" t="n"/>
      <c r="B1054" s="35">
        <f>IF(A1054="","",YEAR(A1054))</f>
        <v/>
      </c>
      <c r="C1054" s="36">
        <f>IF(A1054="","",MONTH(A1054))</f>
        <v/>
      </c>
      <c r="D1054" s="37">
        <f>IF(A1054="","","Q"&amp;ROUNDUP(MONTH(A1054)/3,0))</f>
        <v/>
      </c>
      <c r="E1054" s="18" t="n"/>
      <c r="F1054" s="18" t="n"/>
      <c r="G1054" s="40">
        <f>IFERROR(VLOOKUP(F1054,M2_거래처마스터!A:E,3,FALSE),"")</f>
        <v/>
      </c>
      <c r="H1054" s="18" t="n"/>
      <c r="I1054" s="19" t="n"/>
      <c r="J1054" s="20" t="n"/>
      <c r="K1054" s="39">
        <f>IF(AND(I1054&lt;&gt;"",J1054&lt;&gt;""),I1054*J1054,"")</f>
        <v/>
      </c>
      <c r="L1054" s="18" t="n"/>
      <c r="M1054" s="18" t="n"/>
      <c r="N1054" s="20" t="n"/>
      <c r="O1054" s="20" t="n"/>
    </row>
    <row r="1055">
      <c r="A1055" s="41" t="n"/>
      <c r="B1055" s="35">
        <f>IF(A1055="","",YEAR(A1055))</f>
        <v/>
      </c>
      <c r="C1055" s="36">
        <f>IF(A1055="","",MONTH(A1055))</f>
        <v/>
      </c>
      <c r="D1055" s="37">
        <f>IF(A1055="","","Q"&amp;ROUNDUP(MONTH(A1055)/3,0))</f>
        <v/>
      </c>
      <c r="E1055" s="22" t="n"/>
      <c r="F1055" s="22" t="n"/>
      <c r="G1055" s="40">
        <f>IFERROR(VLOOKUP(F1055,M2_거래처마스터!A:E,3,FALSE),"")</f>
        <v/>
      </c>
      <c r="H1055" s="22" t="n"/>
      <c r="I1055" s="23" t="n"/>
      <c r="J1055" s="24" t="n"/>
      <c r="K1055" s="39">
        <f>IF(AND(I1055&lt;&gt;"",J1055&lt;&gt;""),I1055*J1055,"")</f>
        <v/>
      </c>
      <c r="L1055" s="22" t="n"/>
      <c r="M1055" s="22" t="n"/>
      <c r="N1055" s="24" t="n"/>
      <c r="O1055" s="24" t="n"/>
    </row>
    <row r="1056">
      <c r="A1056" s="34" t="n"/>
      <c r="B1056" s="35">
        <f>IF(A1056="","",YEAR(A1056))</f>
        <v/>
      </c>
      <c r="C1056" s="36">
        <f>IF(A1056="","",MONTH(A1056))</f>
        <v/>
      </c>
      <c r="D1056" s="37">
        <f>IF(A1056="","","Q"&amp;ROUNDUP(MONTH(A1056)/3,0))</f>
        <v/>
      </c>
      <c r="E1056" s="18" t="n"/>
      <c r="F1056" s="18" t="n"/>
      <c r="G1056" s="40">
        <f>IFERROR(VLOOKUP(F1056,M2_거래처마스터!A:E,3,FALSE),"")</f>
        <v/>
      </c>
      <c r="H1056" s="18" t="n"/>
      <c r="I1056" s="19" t="n"/>
      <c r="J1056" s="20" t="n"/>
      <c r="K1056" s="39">
        <f>IF(AND(I1056&lt;&gt;"",J1056&lt;&gt;""),I1056*J1056,"")</f>
        <v/>
      </c>
      <c r="L1056" s="18" t="n"/>
      <c r="M1056" s="18" t="n"/>
      <c r="N1056" s="20" t="n"/>
      <c r="O1056" s="20" t="n"/>
    </row>
    <row r="1057">
      <c r="A1057" s="41" t="n"/>
      <c r="B1057" s="35">
        <f>IF(A1057="","",YEAR(A1057))</f>
        <v/>
      </c>
      <c r="C1057" s="36">
        <f>IF(A1057="","",MONTH(A1057))</f>
        <v/>
      </c>
      <c r="D1057" s="37">
        <f>IF(A1057="","","Q"&amp;ROUNDUP(MONTH(A1057)/3,0))</f>
        <v/>
      </c>
      <c r="E1057" s="22" t="n"/>
      <c r="F1057" s="22" t="n"/>
      <c r="G1057" s="40">
        <f>IFERROR(VLOOKUP(F1057,M2_거래처마스터!A:E,3,FALSE),"")</f>
        <v/>
      </c>
      <c r="H1057" s="22" t="n"/>
      <c r="I1057" s="23" t="n"/>
      <c r="J1057" s="24" t="n"/>
      <c r="K1057" s="39">
        <f>IF(AND(I1057&lt;&gt;"",J1057&lt;&gt;""),I1057*J1057,"")</f>
        <v/>
      </c>
      <c r="L1057" s="22" t="n"/>
      <c r="M1057" s="22" t="n"/>
      <c r="N1057" s="24" t="n"/>
      <c r="O1057" s="24" t="n"/>
    </row>
    <row r="1058">
      <c r="A1058" s="34" t="n"/>
      <c r="B1058" s="35">
        <f>IF(A1058="","",YEAR(A1058))</f>
        <v/>
      </c>
      <c r="C1058" s="36">
        <f>IF(A1058="","",MONTH(A1058))</f>
        <v/>
      </c>
      <c r="D1058" s="37">
        <f>IF(A1058="","","Q"&amp;ROUNDUP(MONTH(A1058)/3,0))</f>
        <v/>
      </c>
      <c r="E1058" s="18" t="n"/>
      <c r="F1058" s="18" t="n"/>
      <c r="G1058" s="40">
        <f>IFERROR(VLOOKUP(F1058,M2_거래처마스터!A:E,3,FALSE),"")</f>
        <v/>
      </c>
      <c r="H1058" s="18" t="n"/>
      <c r="I1058" s="19" t="n"/>
      <c r="J1058" s="20" t="n"/>
      <c r="K1058" s="39">
        <f>IF(AND(I1058&lt;&gt;"",J1058&lt;&gt;""),I1058*J1058,"")</f>
        <v/>
      </c>
      <c r="L1058" s="18" t="n"/>
      <c r="M1058" s="18" t="n"/>
      <c r="N1058" s="20" t="n"/>
      <c r="O1058" s="20" t="n"/>
    </row>
    <row r="1059">
      <c r="A1059" s="41" t="n"/>
      <c r="B1059" s="35">
        <f>IF(A1059="","",YEAR(A1059))</f>
        <v/>
      </c>
      <c r="C1059" s="36">
        <f>IF(A1059="","",MONTH(A1059))</f>
        <v/>
      </c>
      <c r="D1059" s="37">
        <f>IF(A1059="","","Q"&amp;ROUNDUP(MONTH(A1059)/3,0))</f>
        <v/>
      </c>
      <c r="E1059" s="22" t="n"/>
      <c r="F1059" s="22" t="n"/>
      <c r="G1059" s="40">
        <f>IFERROR(VLOOKUP(F1059,M2_거래처마스터!A:E,3,FALSE),"")</f>
        <v/>
      </c>
      <c r="H1059" s="22" t="n"/>
      <c r="I1059" s="23" t="n"/>
      <c r="J1059" s="24" t="n"/>
      <c r="K1059" s="39">
        <f>IF(AND(I1059&lt;&gt;"",J1059&lt;&gt;""),I1059*J1059,"")</f>
        <v/>
      </c>
      <c r="L1059" s="22" t="n"/>
      <c r="M1059" s="22" t="n"/>
      <c r="N1059" s="24" t="n"/>
      <c r="O1059" s="24" t="n"/>
    </row>
    <row r="1060">
      <c r="A1060" s="34" t="n"/>
      <c r="B1060" s="35">
        <f>IF(A1060="","",YEAR(A1060))</f>
        <v/>
      </c>
      <c r="C1060" s="36">
        <f>IF(A1060="","",MONTH(A1060))</f>
        <v/>
      </c>
      <c r="D1060" s="37">
        <f>IF(A1060="","","Q"&amp;ROUNDUP(MONTH(A1060)/3,0))</f>
        <v/>
      </c>
      <c r="E1060" s="18" t="n"/>
      <c r="F1060" s="18" t="n"/>
      <c r="G1060" s="40">
        <f>IFERROR(VLOOKUP(F1060,M2_거래처마스터!A:E,3,FALSE),"")</f>
        <v/>
      </c>
      <c r="H1060" s="18" t="n"/>
      <c r="I1060" s="19" t="n"/>
      <c r="J1060" s="20" t="n"/>
      <c r="K1060" s="39">
        <f>IF(AND(I1060&lt;&gt;"",J1060&lt;&gt;""),I1060*J1060,"")</f>
        <v/>
      </c>
      <c r="L1060" s="18" t="n"/>
      <c r="M1060" s="18" t="n"/>
      <c r="N1060" s="20" t="n"/>
      <c r="O1060" s="20" t="n"/>
    </row>
    <row r="1061">
      <c r="A1061" s="41" t="n"/>
      <c r="B1061" s="35">
        <f>IF(A1061="","",YEAR(A1061))</f>
        <v/>
      </c>
      <c r="C1061" s="36">
        <f>IF(A1061="","",MONTH(A1061))</f>
        <v/>
      </c>
      <c r="D1061" s="37">
        <f>IF(A1061="","","Q"&amp;ROUNDUP(MONTH(A1061)/3,0))</f>
        <v/>
      </c>
      <c r="E1061" s="22" t="n"/>
      <c r="F1061" s="22" t="n"/>
      <c r="G1061" s="40">
        <f>IFERROR(VLOOKUP(F1061,M2_거래처마스터!A:E,3,FALSE),"")</f>
        <v/>
      </c>
      <c r="H1061" s="22" t="n"/>
      <c r="I1061" s="23" t="n"/>
      <c r="J1061" s="24" t="n"/>
      <c r="K1061" s="39">
        <f>IF(AND(I1061&lt;&gt;"",J1061&lt;&gt;""),I1061*J1061,"")</f>
        <v/>
      </c>
      <c r="L1061" s="22" t="n"/>
      <c r="M1061" s="22" t="n"/>
      <c r="N1061" s="24" t="n"/>
      <c r="O1061" s="24" t="n"/>
    </row>
    <row r="1062">
      <c r="A1062" s="34" t="n"/>
      <c r="B1062" s="35">
        <f>IF(A1062="","",YEAR(A1062))</f>
        <v/>
      </c>
      <c r="C1062" s="36">
        <f>IF(A1062="","",MONTH(A1062))</f>
        <v/>
      </c>
      <c r="D1062" s="37">
        <f>IF(A1062="","","Q"&amp;ROUNDUP(MONTH(A1062)/3,0))</f>
        <v/>
      </c>
      <c r="E1062" s="18" t="n"/>
      <c r="F1062" s="18" t="n"/>
      <c r="G1062" s="40">
        <f>IFERROR(VLOOKUP(F1062,M2_거래처마스터!A:E,3,FALSE),"")</f>
        <v/>
      </c>
      <c r="H1062" s="18" t="n"/>
      <c r="I1062" s="19" t="n"/>
      <c r="J1062" s="20" t="n"/>
      <c r="K1062" s="39">
        <f>IF(AND(I1062&lt;&gt;"",J1062&lt;&gt;""),I1062*J1062,"")</f>
        <v/>
      </c>
      <c r="L1062" s="18" t="n"/>
      <c r="M1062" s="18" t="n"/>
      <c r="N1062" s="20" t="n"/>
      <c r="O1062" s="20" t="n"/>
    </row>
    <row r="1063">
      <c r="A1063" s="41" t="n"/>
      <c r="B1063" s="35">
        <f>IF(A1063="","",YEAR(A1063))</f>
        <v/>
      </c>
      <c r="C1063" s="36">
        <f>IF(A1063="","",MONTH(A1063))</f>
        <v/>
      </c>
      <c r="D1063" s="37">
        <f>IF(A1063="","","Q"&amp;ROUNDUP(MONTH(A1063)/3,0))</f>
        <v/>
      </c>
      <c r="E1063" s="22" t="n"/>
      <c r="F1063" s="22" t="n"/>
      <c r="G1063" s="40">
        <f>IFERROR(VLOOKUP(F1063,M2_거래처마스터!A:E,3,FALSE),"")</f>
        <v/>
      </c>
      <c r="H1063" s="22" t="n"/>
      <c r="I1063" s="23" t="n"/>
      <c r="J1063" s="24" t="n"/>
      <c r="K1063" s="39">
        <f>IF(AND(I1063&lt;&gt;"",J1063&lt;&gt;""),I1063*J1063,"")</f>
        <v/>
      </c>
      <c r="L1063" s="22" t="n"/>
      <c r="M1063" s="22" t="n"/>
      <c r="N1063" s="24" t="n"/>
      <c r="O1063" s="24" t="n"/>
    </row>
    <row r="1064">
      <c r="A1064" s="34" t="n"/>
      <c r="B1064" s="35">
        <f>IF(A1064="","",YEAR(A1064))</f>
        <v/>
      </c>
      <c r="C1064" s="36">
        <f>IF(A1064="","",MONTH(A1064))</f>
        <v/>
      </c>
      <c r="D1064" s="37">
        <f>IF(A1064="","","Q"&amp;ROUNDUP(MONTH(A1064)/3,0))</f>
        <v/>
      </c>
      <c r="E1064" s="18" t="n"/>
      <c r="F1064" s="18" t="n"/>
      <c r="G1064" s="40">
        <f>IFERROR(VLOOKUP(F1064,M2_거래처마스터!A:E,3,FALSE),"")</f>
        <v/>
      </c>
      <c r="H1064" s="18" t="n"/>
      <c r="I1064" s="19" t="n"/>
      <c r="J1064" s="20" t="n"/>
      <c r="K1064" s="39">
        <f>IF(AND(I1064&lt;&gt;"",J1064&lt;&gt;""),I1064*J1064,"")</f>
        <v/>
      </c>
      <c r="L1064" s="18" t="n"/>
      <c r="M1064" s="18" t="n"/>
      <c r="N1064" s="20" t="n"/>
      <c r="O1064" s="20" t="n"/>
    </row>
    <row r="1065">
      <c r="A1065" s="41" t="n"/>
      <c r="B1065" s="35">
        <f>IF(A1065="","",YEAR(A1065))</f>
        <v/>
      </c>
      <c r="C1065" s="36">
        <f>IF(A1065="","",MONTH(A1065))</f>
        <v/>
      </c>
      <c r="D1065" s="37">
        <f>IF(A1065="","","Q"&amp;ROUNDUP(MONTH(A1065)/3,0))</f>
        <v/>
      </c>
      <c r="E1065" s="22" t="n"/>
      <c r="F1065" s="22" t="n"/>
      <c r="G1065" s="40">
        <f>IFERROR(VLOOKUP(F1065,M2_거래처마스터!A:E,3,FALSE),"")</f>
        <v/>
      </c>
      <c r="H1065" s="22" t="n"/>
      <c r="I1065" s="23" t="n"/>
      <c r="J1065" s="24" t="n"/>
      <c r="K1065" s="39">
        <f>IF(AND(I1065&lt;&gt;"",J1065&lt;&gt;""),I1065*J1065,"")</f>
        <v/>
      </c>
      <c r="L1065" s="22" t="n"/>
      <c r="M1065" s="22" t="n"/>
      <c r="N1065" s="24" t="n"/>
      <c r="O1065" s="24" t="n"/>
    </row>
    <row r="1066">
      <c r="A1066" s="34" t="n"/>
      <c r="B1066" s="35">
        <f>IF(A1066="","",YEAR(A1066))</f>
        <v/>
      </c>
      <c r="C1066" s="36">
        <f>IF(A1066="","",MONTH(A1066))</f>
        <v/>
      </c>
      <c r="D1066" s="37">
        <f>IF(A1066="","","Q"&amp;ROUNDUP(MONTH(A1066)/3,0))</f>
        <v/>
      </c>
      <c r="E1066" s="18" t="n"/>
      <c r="F1066" s="18" t="n"/>
      <c r="G1066" s="40">
        <f>IFERROR(VLOOKUP(F1066,M2_거래처마스터!A:E,3,FALSE),"")</f>
        <v/>
      </c>
      <c r="H1066" s="18" t="n"/>
      <c r="I1066" s="19" t="n"/>
      <c r="J1066" s="20" t="n"/>
      <c r="K1066" s="39">
        <f>IF(AND(I1066&lt;&gt;"",J1066&lt;&gt;""),I1066*J1066,"")</f>
        <v/>
      </c>
      <c r="L1066" s="18" t="n"/>
      <c r="M1066" s="18" t="n"/>
      <c r="N1066" s="20" t="n"/>
      <c r="O1066" s="20" t="n"/>
    </row>
    <row r="1067">
      <c r="A1067" s="41" t="n"/>
      <c r="B1067" s="35">
        <f>IF(A1067="","",YEAR(A1067))</f>
        <v/>
      </c>
      <c r="C1067" s="36">
        <f>IF(A1067="","",MONTH(A1067))</f>
        <v/>
      </c>
      <c r="D1067" s="37">
        <f>IF(A1067="","","Q"&amp;ROUNDUP(MONTH(A1067)/3,0))</f>
        <v/>
      </c>
      <c r="E1067" s="22" t="n"/>
      <c r="F1067" s="22" t="n"/>
      <c r="G1067" s="40">
        <f>IFERROR(VLOOKUP(F1067,M2_거래처마스터!A:E,3,FALSE),"")</f>
        <v/>
      </c>
      <c r="H1067" s="22" t="n"/>
      <c r="I1067" s="23" t="n"/>
      <c r="J1067" s="24" t="n"/>
      <c r="K1067" s="39">
        <f>IF(AND(I1067&lt;&gt;"",J1067&lt;&gt;""),I1067*J1067,"")</f>
        <v/>
      </c>
      <c r="L1067" s="22" t="n"/>
      <c r="M1067" s="22" t="n"/>
      <c r="N1067" s="24" t="n"/>
      <c r="O1067" s="24" t="n"/>
    </row>
    <row r="1068">
      <c r="A1068" s="34" t="n"/>
      <c r="B1068" s="35">
        <f>IF(A1068="","",YEAR(A1068))</f>
        <v/>
      </c>
      <c r="C1068" s="36">
        <f>IF(A1068="","",MONTH(A1068))</f>
        <v/>
      </c>
      <c r="D1068" s="37">
        <f>IF(A1068="","","Q"&amp;ROUNDUP(MONTH(A1068)/3,0))</f>
        <v/>
      </c>
      <c r="E1068" s="18" t="n"/>
      <c r="F1068" s="18" t="n"/>
      <c r="G1068" s="40">
        <f>IFERROR(VLOOKUP(F1068,M2_거래처마스터!A:E,3,FALSE),"")</f>
        <v/>
      </c>
      <c r="H1068" s="18" t="n"/>
      <c r="I1068" s="19" t="n"/>
      <c r="J1068" s="20" t="n"/>
      <c r="K1068" s="39">
        <f>IF(AND(I1068&lt;&gt;"",J1068&lt;&gt;""),I1068*J1068,"")</f>
        <v/>
      </c>
      <c r="L1068" s="18" t="n"/>
      <c r="M1068" s="18" t="n"/>
      <c r="N1068" s="20" t="n"/>
      <c r="O1068" s="20" t="n"/>
    </row>
    <row r="1069">
      <c r="A1069" s="41" t="n"/>
      <c r="B1069" s="35">
        <f>IF(A1069="","",YEAR(A1069))</f>
        <v/>
      </c>
      <c r="C1069" s="36">
        <f>IF(A1069="","",MONTH(A1069))</f>
        <v/>
      </c>
      <c r="D1069" s="37">
        <f>IF(A1069="","","Q"&amp;ROUNDUP(MONTH(A1069)/3,0))</f>
        <v/>
      </c>
      <c r="E1069" s="22" t="n"/>
      <c r="F1069" s="22" t="n"/>
      <c r="G1069" s="40">
        <f>IFERROR(VLOOKUP(F1069,M2_거래처마스터!A:E,3,FALSE),"")</f>
        <v/>
      </c>
      <c r="H1069" s="22" t="n"/>
      <c r="I1069" s="23" t="n"/>
      <c r="J1069" s="24" t="n"/>
      <c r="K1069" s="39">
        <f>IF(AND(I1069&lt;&gt;"",J1069&lt;&gt;""),I1069*J1069,"")</f>
        <v/>
      </c>
      <c r="L1069" s="22" t="n"/>
      <c r="M1069" s="22" t="n"/>
      <c r="N1069" s="24" t="n"/>
      <c r="O1069" s="24" t="n"/>
    </row>
    <row r="1070">
      <c r="A1070" s="34" t="n"/>
      <c r="B1070" s="35">
        <f>IF(A1070="","",YEAR(A1070))</f>
        <v/>
      </c>
      <c r="C1070" s="36">
        <f>IF(A1070="","",MONTH(A1070))</f>
        <v/>
      </c>
      <c r="D1070" s="37">
        <f>IF(A1070="","","Q"&amp;ROUNDUP(MONTH(A1070)/3,0))</f>
        <v/>
      </c>
      <c r="E1070" s="18" t="n"/>
      <c r="F1070" s="18" t="n"/>
      <c r="G1070" s="40">
        <f>IFERROR(VLOOKUP(F1070,M2_거래처마스터!A:E,3,FALSE),"")</f>
        <v/>
      </c>
      <c r="H1070" s="18" t="n"/>
      <c r="I1070" s="19" t="n"/>
      <c r="J1070" s="20" t="n"/>
      <c r="K1070" s="39">
        <f>IF(AND(I1070&lt;&gt;"",J1070&lt;&gt;""),I1070*J1070,"")</f>
        <v/>
      </c>
      <c r="L1070" s="18" t="n"/>
      <c r="M1070" s="18" t="n"/>
      <c r="N1070" s="20" t="n"/>
      <c r="O1070" s="20" t="n"/>
    </row>
    <row r="1071">
      <c r="A1071" s="41" t="n"/>
      <c r="B1071" s="35">
        <f>IF(A1071="","",YEAR(A1071))</f>
        <v/>
      </c>
      <c r="C1071" s="36">
        <f>IF(A1071="","",MONTH(A1071))</f>
        <v/>
      </c>
      <c r="D1071" s="37">
        <f>IF(A1071="","","Q"&amp;ROUNDUP(MONTH(A1071)/3,0))</f>
        <v/>
      </c>
      <c r="E1071" s="22" t="n"/>
      <c r="F1071" s="22" t="n"/>
      <c r="G1071" s="40">
        <f>IFERROR(VLOOKUP(F1071,M2_거래처마스터!A:E,3,FALSE),"")</f>
        <v/>
      </c>
      <c r="H1071" s="22" t="n"/>
      <c r="I1071" s="23" t="n"/>
      <c r="J1071" s="24" t="n"/>
      <c r="K1071" s="39">
        <f>IF(AND(I1071&lt;&gt;"",J1071&lt;&gt;""),I1071*J1071,"")</f>
        <v/>
      </c>
      <c r="L1071" s="22" t="n"/>
      <c r="M1071" s="22" t="n"/>
      <c r="N1071" s="24" t="n"/>
      <c r="O1071" s="24" t="n"/>
    </row>
    <row r="1072">
      <c r="A1072" s="34" t="n"/>
      <c r="B1072" s="35">
        <f>IF(A1072="","",YEAR(A1072))</f>
        <v/>
      </c>
      <c r="C1072" s="36">
        <f>IF(A1072="","",MONTH(A1072))</f>
        <v/>
      </c>
      <c r="D1072" s="37">
        <f>IF(A1072="","","Q"&amp;ROUNDUP(MONTH(A1072)/3,0))</f>
        <v/>
      </c>
      <c r="E1072" s="18" t="n"/>
      <c r="F1072" s="18" t="n"/>
      <c r="G1072" s="40">
        <f>IFERROR(VLOOKUP(F1072,M2_거래처마스터!A:E,3,FALSE),"")</f>
        <v/>
      </c>
      <c r="H1072" s="18" t="n"/>
      <c r="I1072" s="19" t="n"/>
      <c r="J1072" s="20" t="n"/>
      <c r="K1072" s="39">
        <f>IF(AND(I1072&lt;&gt;"",J1072&lt;&gt;""),I1072*J1072,"")</f>
        <v/>
      </c>
      <c r="L1072" s="18" t="n"/>
      <c r="M1072" s="18" t="n"/>
      <c r="N1072" s="20" t="n"/>
      <c r="O1072" s="20" t="n"/>
    </row>
    <row r="1073">
      <c r="A1073" s="41" t="n"/>
      <c r="B1073" s="35">
        <f>IF(A1073="","",YEAR(A1073))</f>
        <v/>
      </c>
      <c r="C1073" s="36">
        <f>IF(A1073="","",MONTH(A1073))</f>
        <v/>
      </c>
      <c r="D1073" s="37">
        <f>IF(A1073="","","Q"&amp;ROUNDUP(MONTH(A1073)/3,0))</f>
        <v/>
      </c>
      <c r="E1073" s="22" t="n"/>
      <c r="F1073" s="22" t="n"/>
      <c r="G1073" s="40">
        <f>IFERROR(VLOOKUP(F1073,M2_거래처마스터!A:E,3,FALSE),"")</f>
        <v/>
      </c>
      <c r="H1073" s="22" t="n"/>
      <c r="I1073" s="23" t="n"/>
      <c r="J1073" s="24" t="n"/>
      <c r="K1073" s="39">
        <f>IF(AND(I1073&lt;&gt;"",J1073&lt;&gt;""),I1073*J1073,"")</f>
        <v/>
      </c>
      <c r="L1073" s="22" t="n"/>
      <c r="M1073" s="22" t="n"/>
      <c r="N1073" s="24" t="n"/>
      <c r="O1073" s="24" t="n"/>
    </row>
    <row r="1074">
      <c r="A1074" s="34" t="n"/>
      <c r="B1074" s="35">
        <f>IF(A1074="","",YEAR(A1074))</f>
        <v/>
      </c>
      <c r="C1074" s="36">
        <f>IF(A1074="","",MONTH(A1074))</f>
        <v/>
      </c>
      <c r="D1074" s="37">
        <f>IF(A1074="","","Q"&amp;ROUNDUP(MONTH(A1074)/3,0))</f>
        <v/>
      </c>
      <c r="E1074" s="18" t="n"/>
      <c r="F1074" s="18" t="n"/>
      <c r="G1074" s="40">
        <f>IFERROR(VLOOKUP(F1074,M2_거래처마스터!A:E,3,FALSE),"")</f>
        <v/>
      </c>
      <c r="H1074" s="18" t="n"/>
      <c r="I1074" s="19" t="n"/>
      <c r="J1074" s="20" t="n"/>
      <c r="K1074" s="39">
        <f>IF(AND(I1074&lt;&gt;"",J1074&lt;&gt;""),I1074*J1074,"")</f>
        <v/>
      </c>
      <c r="L1074" s="18" t="n"/>
      <c r="M1074" s="18" t="n"/>
      <c r="N1074" s="20" t="n"/>
      <c r="O1074" s="20" t="n"/>
    </row>
    <row r="1075">
      <c r="A1075" s="41" t="n"/>
      <c r="B1075" s="35">
        <f>IF(A1075="","",YEAR(A1075))</f>
        <v/>
      </c>
      <c r="C1075" s="36">
        <f>IF(A1075="","",MONTH(A1075))</f>
        <v/>
      </c>
      <c r="D1075" s="37">
        <f>IF(A1075="","","Q"&amp;ROUNDUP(MONTH(A1075)/3,0))</f>
        <v/>
      </c>
      <c r="E1075" s="22" t="n"/>
      <c r="F1075" s="22" t="n"/>
      <c r="G1075" s="40">
        <f>IFERROR(VLOOKUP(F1075,M2_거래처마스터!A:E,3,FALSE),"")</f>
        <v/>
      </c>
      <c r="H1075" s="22" t="n"/>
      <c r="I1075" s="23" t="n"/>
      <c r="J1075" s="24" t="n"/>
      <c r="K1075" s="39">
        <f>IF(AND(I1075&lt;&gt;"",J1075&lt;&gt;""),I1075*J1075,"")</f>
        <v/>
      </c>
      <c r="L1075" s="22" t="n"/>
      <c r="M1075" s="22" t="n"/>
      <c r="N1075" s="24" t="n"/>
      <c r="O1075" s="24" t="n"/>
    </row>
    <row r="1076">
      <c r="A1076" s="34" t="n"/>
      <c r="B1076" s="35">
        <f>IF(A1076="","",YEAR(A1076))</f>
        <v/>
      </c>
      <c r="C1076" s="36">
        <f>IF(A1076="","",MONTH(A1076))</f>
        <v/>
      </c>
      <c r="D1076" s="37">
        <f>IF(A1076="","","Q"&amp;ROUNDUP(MONTH(A1076)/3,0))</f>
        <v/>
      </c>
      <c r="E1076" s="18" t="n"/>
      <c r="F1076" s="18" t="n"/>
      <c r="G1076" s="40">
        <f>IFERROR(VLOOKUP(F1076,M2_거래처마스터!A:E,3,FALSE),"")</f>
        <v/>
      </c>
      <c r="H1076" s="18" t="n"/>
      <c r="I1076" s="19" t="n"/>
      <c r="J1076" s="20" t="n"/>
      <c r="K1076" s="39">
        <f>IF(AND(I1076&lt;&gt;"",J1076&lt;&gt;""),I1076*J1076,"")</f>
        <v/>
      </c>
      <c r="L1076" s="18" t="n"/>
      <c r="M1076" s="18" t="n"/>
      <c r="N1076" s="20" t="n"/>
      <c r="O1076" s="20" t="n"/>
    </row>
    <row r="1077">
      <c r="A1077" s="41" t="n"/>
      <c r="B1077" s="35">
        <f>IF(A1077="","",YEAR(A1077))</f>
        <v/>
      </c>
      <c r="C1077" s="36">
        <f>IF(A1077="","",MONTH(A1077))</f>
        <v/>
      </c>
      <c r="D1077" s="37">
        <f>IF(A1077="","","Q"&amp;ROUNDUP(MONTH(A1077)/3,0))</f>
        <v/>
      </c>
      <c r="E1077" s="22" t="n"/>
      <c r="F1077" s="22" t="n"/>
      <c r="G1077" s="40">
        <f>IFERROR(VLOOKUP(F1077,M2_거래처마스터!A:E,3,FALSE),"")</f>
        <v/>
      </c>
      <c r="H1077" s="22" t="n"/>
      <c r="I1077" s="23" t="n"/>
      <c r="J1077" s="24" t="n"/>
      <c r="K1077" s="39">
        <f>IF(AND(I1077&lt;&gt;"",J1077&lt;&gt;""),I1077*J1077,"")</f>
        <v/>
      </c>
      <c r="L1077" s="22" t="n"/>
      <c r="M1077" s="22" t="n"/>
      <c r="N1077" s="24" t="n"/>
      <c r="O1077" s="24" t="n"/>
    </row>
    <row r="1078">
      <c r="A1078" s="34" t="n"/>
      <c r="B1078" s="35">
        <f>IF(A1078="","",YEAR(A1078))</f>
        <v/>
      </c>
      <c r="C1078" s="36">
        <f>IF(A1078="","",MONTH(A1078))</f>
        <v/>
      </c>
      <c r="D1078" s="37">
        <f>IF(A1078="","","Q"&amp;ROUNDUP(MONTH(A1078)/3,0))</f>
        <v/>
      </c>
      <c r="E1078" s="18" t="n"/>
      <c r="F1078" s="18" t="n"/>
      <c r="G1078" s="40">
        <f>IFERROR(VLOOKUP(F1078,M2_거래처마스터!A:E,3,FALSE),"")</f>
        <v/>
      </c>
      <c r="H1078" s="18" t="n"/>
      <c r="I1078" s="19" t="n"/>
      <c r="J1078" s="20" t="n"/>
      <c r="K1078" s="39">
        <f>IF(AND(I1078&lt;&gt;"",J1078&lt;&gt;""),I1078*J1078,"")</f>
        <v/>
      </c>
      <c r="L1078" s="18" t="n"/>
      <c r="M1078" s="18" t="n"/>
      <c r="N1078" s="20" t="n"/>
      <c r="O1078" s="20" t="n"/>
    </row>
    <row r="1079">
      <c r="A1079" s="41" t="n"/>
      <c r="B1079" s="35">
        <f>IF(A1079="","",YEAR(A1079))</f>
        <v/>
      </c>
      <c r="C1079" s="36">
        <f>IF(A1079="","",MONTH(A1079))</f>
        <v/>
      </c>
      <c r="D1079" s="37">
        <f>IF(A1079="","","Q"&amp;ROUNDUP(MONTH(A1079)/3,0))</f>
        <v/>
      </c>
      <c r="E1079" s="22" t="n"/>
      <c r="F1079" s="22" t="n"/>
      <c r="G1079" s="40">
        <f>IFERROR(VLOOKUP(F1079,M2_거래처마스터!A:E,3,FALSE),"")</f>
        <v/>
      </c>
      <c r="H1079" s="22" t="n"/>
      <c r="I1079" s="23" t="n"/>
      <c r="J1079" s="24" t="n"/>
      <c r="K1079" s="39">
        <f>IF(AND(I1079&lt;&gt;"",J1079&lt;&gt;""),I1079*J1079,"")</f>
        <v/>
      </c>
      <c r="L1079" s="22" t="n"/>
      <c r="M1079" s="22" t="n"/>
      <c r="N1079" s="24" t="n"/>
      <c r="O1079" s="24" t="n"/>
    </row>
    <row r="1080">
      <c r="A1080" s="34" t="n"/>
      <c r="B1080" s="35">
        <f>IF(A1080="","",YEAR(A1080))</f>
        <v/>
      </c>
      <c r="C1080" s="36">
        <f>IF(A1080="","",MONTH(A1080))</f>
        <v/>
      </c>
      <c r="D1080" s="37">
        <f>IF(A1080="","","Q"&amp;ROUNDUP(MONTH(A1080)/3,0))</f>
        <v/>
      </c>
      <c r="E1080" s="18" t="n"/>
      <c r="F1080" s="18" t="n"/>
      <c r="G1080" s="40">
        <f>IFERROR(VLOOKUP(F1080,M2_거래처마스터!A:E,3,FALSE),"")</f>
        <v/>
      </c>
      <c r="H1080" s="18" t="n"/>
      <c r="I1080" s="19" t="n"/>
      <c r="J1080" s="20" t="n"/>
      <c r="K1080" s="39">
        <f>IF(AND(I1080&lt;&gt;"",J1080&lt;&gt;""),I1080*J1080,"")</f>
        <v/>
      </c>
      <c r="L1080" s="18" t="n"/>
      <c r="M1080" s="18" t="n"/>
      <c r="N1080" s="20" t="n"/>
      <c r="O1080" s="20" t="n"/>
    </row>
    <row r="1081">
      <c r="A1081" s="41" t="n"/>
      <c r="B1081" s="35">
        <f>IF(A1081="","",YEAR(A1081))</f>
        <v/>
      </c>
      <c r="C1081" s="36">
        <f>IF(A1081="","",MONTH(A1081))</f>
        <v/>
      </c>
      <c r="D1081" s="37">
        <f>IF(A1081="","","Q"&amp;ROUNDUP(MONTH(A1081)/3,0))</f>
        <v/>
      </c>
      <c r="E1081" s="22" t="n"/>
      <c r="F1081" s="22" t="n"/>
      <c r="G1081" s="40">
        <f>IFERROR(VLOOKUP(F1081,M2_거래처마스터!A:E,3,FALSE),"")</f>
        <v/>
      </c>
      <c r="H1081" s="22" t="n"/>
      <c r="I1081" s="23" t="n"/>
      <c r="J1081" s="24" t="n"/>
      <c r="K1081" s="39">
        <f>IF(AND(I1081&lt;&gt;"",J1081&lt;&gt;""),I1081*J1081,"")</f>
        <v/>
      </c>
      <c r="L1081" s="22" t="n"/>
      <c r="M1081" s="22" t="n"/>
      <c r="N1081" s="24" t="n"/>
      <c r="O1081" s="24" t="n"/>
    </row>
    <row r="1082">
      <c r="A1082" s="34" t="n"/>
      <c r="B1082" s="35">
        <f>IF(A1082="","",YEAR(A1082))</f>
        <v/>
      </c>
      <c r="C1082" s="36">
        <f>IF(A1082="","",MONTH(A1082))</f>
        <v/>
      </c>
      <c r="D1082" s="37">
        <f>IF(A1082="","","Q"&amp;ROUNDUP(MONTH(A1082)/3,0))</f>
        <v/>
      </c>
      <c r="E1082" s="18" t="n"/>
      <c r="F1082" s="18" t="n"/>
      <c r="G1082" s="40">
        <f>IFERROR(VLOOKUP(F1082,M2_거래처마스터!A:E,3,FALSE),"")</f>
        <v/>
      </c>
      <c r="H1082" s="18" t="n"/>
      <c r="I1082" s="19" t="n"/>
      <c r="J1082" s="20" t="n"/>
      <c r="K1082" s="39">
        <f>IF(AND(I1082&lt;&gt;"",J1082&lt;&gt;""),I1082*J1082,"")</f>
        <v/>
      </c>
      <c r="L1082" s="18" t="n"/>
      <c r="M1082" s="18" t="n"/>
      <c r="N1082" s="20" t="n"/>
      <c r="O1082" s="20" t="n"/>
    </row>
    <row r="1083">
      <c r="A1083" s="41" t="n"/>
      <c r="B1083" s="35">
        <f>IF(A1083="","",YEAR(A1083))</f>
        <v/>
      </c>
      <c r="C1083" s="36">
        <f>IF(A1083="","",MONTH(A1083))</f>
        <v/>
      </c>
      <c r="D1083" s="37">
        <f>IF(A1083="","","Q"&amp;ROUNDUP(MONTH(A1083)/3,0))</f>
        <v/>
      </c>
      <c r="E1083" s="22" t="n"/>
      <c r="F1083" s="22" t="n"/>
      <c r="G1083" s="40">
        <f>IFERROR(VLOOKUP(F1083,M2_거래처마스터!A:E,3,FALSE),"")</f>
        <v/>
      </c>
      <c r="H1083" s="22" t="n"/>
      <c r="I1083" s="23" t="n"/>
      <c r="J1083" s="24" t="n"/>
      <c r="K1083" s="39">
        <f>IF(AND(I1083&lt;&gt;"",J1083&lt;&gt;""),I1083*J1083,"")</f>
        <v/>
      </c>
      <c r="L1083" s="22" t="n"/>
      <c r="M1083" s="22" t="n"/>
      <c r="N1083" s="24" t="n"/>
      <c r="O1083" s="24" t="n"/>
    </row>
    <row r="1084">
      <c r="A1084" s="34" t="n"/>
      <c r="B1084" s="35">
        <f>IF(A1084="","",YEAR(A1084))</f>
        <v/>
      </c>
      <c r="C1084" s="36">
        <f>IF(A1084="","",MONTH(A1084))</f>
        <v/>
      </c>
      <c r="D1084" s="37">
        <f>IF(A1084="","","Q"&amp;ROUNDUP(MONTH(A1084)/3,0))</f>
        <v/>
      </c>
      <c r="E1084" s="18" t="n"/>
      <c r="F1084" s="18" t="n"/>
      <c r="G1084" s="40">
        <f>IFERROR(VLOOKUP(F1084,M2_거래처마스터!A:E,3,FALSE),"")</f>
        <v/>
      </c>
      <c r="H1084" s="18" t="n"/>
      <c r="I1084" s="19" t="n"/>
      <c r="J1084" s="20" t="n"/>
      <c r="K1084" s="39">
        <f>IF(AND(I1084&lt;&gt;"",J1084&lt;&gt;""),I1084*J1084,"")</f>
        <v/>
      </c>
      <c r="L1084" s="18" t="n"/>
      <c r="M1084" s="18" t="n"/>
      <c r="N1084" s="20" t="n"/>
      <c r="O1084" s="20" t="n"/>
    </row>
    <row r="1085">
      <c r="A1085" s="41" t="n"/>
      <c r="B1085" s="35">
        <f>IF(A1085="","",YEAR(A1085))</f>
        <v/>
      </c>
      <c r="C1085" s="36">
        <f>IF(A1085="","",MONTH(A1085))</f>
        <v/>
      </c>
      <c r="D1085" s="37">
        <f>IF(A1085="","","Q"&amp;ROUNDUP(MONTH(A1085)/3,0))</f>
        <v/>
      </c>
      <c r="E1085" s="22" t="n"/>
      <c r="F1085" s="22" t="n"/>
      <c r="G1085" s="40">
        <f>IFERROR(VLOOKUP(F1085,M2_거래처마스터!A:E,3,FALSE),"")</f>
        <v/>
      </c>
      <c r="H1085" s="22" t="n"/>
      <c r="I1085" s="23" t="n"/>
      <c r="J1085" s="24" t="n"/>
      <c r="K1085" s="39">
        <f>IF(AND(I1085&lt;&gt;"",J1085&lt;&gt;""),I1085*J1085,"")</f>
        <v/>
      </c>
      <c r="L1085" s="22" t="n"/>
      <c r="M1085" s="22" t="n"/>
      <c r="N1085" s="24" t="n"/>
      <c r="O1085" s="24" t="n"/>
    </row>
    <row r="1086">
      <c r="A1086" s="34" t="n"/>
      <c r="B1086" s="35">
        <f>IF(A1086="","",YEAR(A1086))</f>
        <v/>
      </c>
      <c r="C1086" s="36">
        <f>IF(A1086="","",MONTH(A1086))</f>
        <v/>
      </c>
      <c r="D1086" s="37">
        <f>IF(A1086="","","Q"&amp;ROUNDUP(MONTH(A1086)/3,0))</f>
        <v/>
      </c>
      <c r="E1086" s="18" t="n"/>
      <c r="F1086" s="18" t="n"/>
      <c r="G1086" s="40">
        <f>IFERROR(VLOOKUP(F1086,M2_거래처마스터!A:E,3,FALSE),"")</f>
        <v/>
      </c>
      <c r="H1086" s="18" t="n"/>
      <c r="I1086" s="19" t="n"/>
      <c r="J1086" s="20" t="n"/>
      <c r="K1086" s="39">
        <f>IF(AND(I1086&lt;&gt;"",J1086&lt;&gt;""),I1086*J1086,"")</f>
        <v/>
      </c>
      <c r="L1086" s="18" t="n"/>
      <c r="M1086" s="18" t="n"/>
      <c r="N1086" s="20" t="n"/>
      <c r="O1086" s="20" t="n"/>
    </row>
    <row r="1087">
      <c r="A1087" s="41" t="n"/>
      <c r="B1087" s="35">
        <f>IF(A1087="","",YEAR(A1087))</f>
        <v/>
      </c>
      <c r="C1087" s="36">
        <f>IF(A1087="","",MONTH(A1087))</f>
        <v/>
      </c>
      <c r="D1087" s="37">
        <f>IF(A1087="","","Q"&amp;ROUNDUP(MONTH(A1087)/3,0))</f>
        <v/>
      </c>
      <c r="E1087" s="22" t="n"/>
      <c r="F1087" s="22" t="n"/>
      <c r="G1087" s="40">
        <f>IFERROR(VLOOKUP(F1087,M2_거래처마스터!A:E,3,FALSE),"")</f>
        <v/>
      </c>
      <c r="H1087" s="22" t="n"/>
      <c r="I1087" s="23" t="n"/>
      <c r="J1087" s="24" t="n"/>
      <c r="K1087" s="39">
        <f>IF(AND(I1087&lt;&gt;"",J1087&lt;&gt;""),I1087*J1087,"")</f>
        <v/>
      </c>
      <c r="L1087" s="22" t="n"/>
      <c r="M1087" s="22" t="n"/>
      <c r="N1087" s="24" t="n"/>
      <c r="O1087" s="24" t="n"/>
    </row>
    <row r="1088">
      <c r="A1088" s="34" t="n"/>
      <c r="B1088" s="35">
        <f>IF(A1088="","",YEAR(A1088))</f>
        <v/>
      </c>
      <c r="C1088" s="36">
        <f>IF(A1088="","",MONTH(A1088))</f>
        <v/>
      </c>
      <c r="D1088" s="37">
        <f>IF(A1088="","","Q"&amp;ROUNDUP(MONTH(A1088)/3,0))</f>
        <v/>
      </c>
      <c r="E1088" s="18" t="n"/>
      <c r="F1088" s="18" t="n"/>
      <c r="G1088" s="40">
        <f>IFERROR(VLOOKUP(F1088,M2_거래처마스터!A:E,3,FALSE),"")</f>
        <v/>
      </c>
      <c r="H1088" s="18" t="n"/>
      <c r="I1088" s="19" t="n"/>
      <c r="J1088" s="20" t="n"/>
      <c r="K1088" s="39">
        <f>IF(AND(I1088&lt;&gt;"",J1088&lt;&gt;""),I1088*J1088,"")</f>
        <v/>
      </c>
      <c r="L1088" s="18" t="n"/>
      <c r="M1088" s="18" t="n"/>
      <c r="N1088" s="20" t="n"/>
      <c r="O1088" s="20" t="n"/>
    </row>
    <row r="1089">
      <c r="A1089" s="41" t="n"/>
      <c r="B1089" s="35">
        <f>IF(A1089="","",YEAR(A1089))</f>
        <v/>
      </c>
      <c r="C1089" s="36">
        <f>IF(A1089="","",MONTH(A1089))</f>
        <v/>
      </c>
      <c r="D1089" s="37">
        <f>IF(A1089="","","Q"&amp;ROUNDUP(MONTH(A1089)/3,0))</f>
        <v/>
      </c>
      <c r="E1089" s="22" t="n"/>
      <c r="F1089" s="22" t="n"/>
      <c r="G1089" s="40">
        <f>IFERROR(VLOOKUP(F1089,M2_거래처마스터!A:E,3,FALSE),"")</f>
        <v/>
      </c>
      <c r="H1089" s="22" t="n"/>
      <c r="I1089" s="23" t="n"/>
      <c r="J1089" s="24" t="n"/>
      <c r="K1089" s="39">
        <f>IF(AND(I1089&lt;&gt;"",J1089&lt;&gt;""),I1089*J1089,"")</f>
        <v/>
      </c>
      <c r="L1089" s="22" t="n"/>
      <c r="M1089" s="22" t="n"/>
      <c r="N1089" s="24" t="n"/>
      <c r="O1089" s="24" t="n"/>
    </row>
    <row r="1090">
      <c r="A1090" s="34" t="n"/>
      <c r="B1090" s="35">
        <f>IF(A1090="","",YEAR(A1090))</f>
        <v/>
      </c>
      <c r="C1090" s="36">
        <f>IF(A1090="","",MONTH(A1090))</f>
        <v/>
      </c>
      <c r="D1090" s="37">
        <f>IF(A1090="","","Q"&amp;ROUNDUP(MONTH(A1090)/3,0))</f>
        <v/>
      </c>
      <c r="E1090" s="18" t="n"/>
      <c r="F1090" s="18" t="n"/>
      <c r="G1090" s="40">
        <f>IFERROR(VLOOKUP(F1090,M2_거래처마스터!A:E,3,FALSE),"")</f>
        <v/>
      </c>
      <c r="H1090" s="18" t="n"/>
      <c r="I1090" s="19" t="n"/>
      <c r="J1090" s="20" t="n"/>
      <c r="K1090" s="39">
        <f>IF(AND(I1090&lt;&gt;"",J1090&lt;&gt;""),I1090*J1090,"")</f>
        <v/>
      </c>
      <c r="L1090" s="18" t="n"/>
      <c r="M1090" s="18" t="n"/>
      <c r="N1090" s="20" t="n"/>
      <c r="O1090" s="20" t="n"/>
    </row>
    <row r="1091">
      <c r="A1091" s="41" t="n"/>
      <c r="B1091" s="35">
        <f>IF(A1091="","",YEAR(A1091))</f>
        <v/>
      </c>
      <c r="C1091" s="36">
        <f>IF(A1091="","",MONTH(A1091))</f>
        <v/>
      </c>
      <c r="D1091" s="37">
        <f>IF(A1091="","","Q"&amp;ROUNDUP(MONTH(A1091)/3,0))</f>
        <v/>
      </c>
      <c r="E1091" s="22" t="n"/>
      <c r="F1091" s="22" t="n"/>
      <c r="G1091" s="40">
        <f>IFERROR(VLOOKUP(F1091,M2_거래처마스터!A:E,3,FALSE),"")</f>
        <v/>
      </c>
      <c r="H1091" s="22" t="n"/>
      <c r="I1091" s="23" t="n"/>
      <c r="J1091" s="24" t="n"/>
      <c r="K1091" s="39">
        <f>IF(AND(I1091&lt;&gt;"",J1091&lt;&gt;""),I1091*J1091,"")</f>
        <v/>
      </c>
      <c r="L1091" s="22" t="n"/>
      <c r="M1091" s="22" t="n"/>
      <c r="N1091" s="24" t="n"/>
      <c r="O1091" s="24" t="n"/>
    </row>
    <row r="1092">
      <c r="A1092" s="34" t="n"/>
      <c r="B1092" s="35">
        <f>IF(A1092="","",YEAR(A1092))</f>
        <v/>
      </c>
      <c r="C1092" s="36">
        <f>IF(A1092="","",MONTH(A1092))</f>
        <v/>
      </c>
      <c r="D1092" s="37">
        <f>IF(A1092="","","Q"&amp;ROUNDUP(MONTH(A1092)/3,0))</f>
        <v/>
      </c>
      <c r="E1092" s="18" t="n"/>
      <c r="F1092" s="18" t="n"/>
      <c r="G1092" s="40">
        <f>IFERROR(VLOOKUP(F1092,M2_거래처마스터!A:E,3,FALSE),"")</f>
        <v/>
      </c>
      <c r="H1092" s="18" t="n"/>
      <c r="I1092" s="19" t="n"/>
      <c r="J1092" s="20" t="n"/>
      <c r="K1092" s="39">
        <f>IF(AND(I1092&lt;&gt;"",J1092&lt;&gt;""),I1092*J1092,"")</f>
        <v/>
      </c>
      <c r="L1092" s="18" t="n"/>
      <c r="M1092" s="18" t="n"/>
      <c r="N1092" s="20" t="n"/>
      <c r="O1092" s="20" t="n"/>
    </row>
    <row r="1093">
      <c r="A1093" s="41" t="n"/>
      <c r="B1093" s="35">
        <f>IF(A1093="","",YEAR(A1093))</f>
        <v/>
      </c>
      <c r="C1093" s="36">
        <f>IF(A1093="","",MONTH(A1093))</f>
        <v/>
      </c>
      <c r="D1093" s="37">
        <f>IF(A1093="","","Q"&amp;ROUNDUP(MONTH(A1093)/3,0))</f>
        <v/>
      </c>
      <c r="E1093" s="22" t="n"/>
      <c r="F1093" s="22" t="n"/>
      <c r="G1093" s="40">
        <f>IFERROR(VLOOKUP(F1093,M2_거래처마스터!A:E,3,FALSE),"")</f>
        <v/>
      </c>
      <c r="H1093" s="22" t="n"/>
      <c r="I1093" s="23" t="n"/>
      <c r="J1093" s="24" t="n"/>
      <c r="K1093" s="39">
        <f>IF(AND(I1093&lt;&gt;"",J1093&lt;&gt;""),I1093*J1093,"")</f>
        <v/>
      </c>
      <c r="L1093" s="22" t="n"/>
      <c r="M1093" s="22" t="n"/>
      <c r="N1093" s="24" t="n"/>
      <c r="O1093" s="24" t="n"/>
    </row>
    <row r="1094">
      <c r="A1094" s="34" t="n"/>
      <c r="B1094" s="35">
        <f>IF(A1094="","",YEAR(A1094))</f>
        <v/>
      </c>
      <c r="C1094" s="36">
        <f>IF(A1094="","",MONTH(A1094))</f>
        <v/>
      </c>
      <c r="D1094" s="37">
        <f>IF(A1094="","","Q"&amp;ROUNDUP(MONTH(A1094)/3,0))</f>
        <v/>
      </c>
      <c r="E1094" s="18" t="n"/>
      <c r="F1094" s="18" t="n"/>
      <c r="G1094" s="40">
        <f>IFERROR(VLOOKUP(F1094,M2_거래처마스터!A:E,3,FALSE),"")</f>
        <v/>
      </c>
      <c r="H1094" s="18" t="n"/>
      <c r="I1094" s="19" t="n"/>
      <c r="J1094" s="20" t="n"/>
      <c r="K1094" s="39">
        <f>IF(AND(I1094&lt;&gt;"",J1094&lt;&gt;""),I1094*J1094,"")</f>
        <v/>
      </c>
      <c r="L1094" s="18" t="n"/>
      <c r="M1094" s="18" t="n"/>
      <c r="N1094" s="20" t="n"/>
      <c r="O1094" s="20" t="n"/>
    </row>
    <row r="1095">
      <c r="A1095" s="41" t="n"/>
      <c r="B1095" s="35">
        <f>IF(A1095="","",YEAR(A1095))</f>
        <v/>
      </c>
      <c r="C1095" s="36">
        <f>IF(A1095="","",MONTH(A1095))</f>
        <v/>
      </c>
      <c r="D1095" s="37">
        <f>IF(A1095="","","Q"&amp;ROUNDUP(MONTH(A1095)/3,0))</f>
        <v/>
      </c>
      <c r="E1095" s="22" t="n"/>
      <c r="F1095" s="22" t="n"/>
      <c r="G1095" s="40">
        <f>IFERROR(VLOOKUP(F1095,M2_거래처마스터!A:E,3,FALSE),"")</f>
        <v/>
      </c>
      <c r="H1095" s="22" t="n"/>
      <c r="I1095" s="23" t="n"/>
      <c r="J1095" s="24" t="n"/>
      <c r="K1095" s="39">
        <f>IF(AND(I1095&lt;&gt;"",J1095&lt;&gt;""),I1095*J1095,"")</f>
        <v/>
      </c>
      <c r="L1095" s="22" t="n"/>
      <c r="M1095" s="22" t="n"/>
      <c r="N1095" s="24" t="n"/>
      <c r="O1095" s="24" t="n"/>
    </row>
    <row r="1096">
      <c r="A1096" s="34" t="n"/>
      <c r="B1096" s="35">
        <f>IF(A1096="","",YEAR(A1096))</f>
        <v/>
      </c>
      <c r="C1096" s="36">
        <f>IF(A1096="","",MONTH(A1096))</f>
        <v/>
      </c>
      <c r="D1096" s="37">
        <f>IF(A1096="","","Q"&amp;ROUNDUP(MONTH(A1096)/3,0))</f>
        <v/>
      </c>
      <c r="E1096" s="18" t="n"/>
      <c r="F1096" s="18" t="n"/>
      <c r="G1096" s="40">
        <f>IFERROR(VLOOKUP(F1096,M2_거래처마스터!A:E,3,FALSE),"")</f>
        <v/>
      </c>
      <c r="H1096" s="18" t="n"/>
      <c r="I1096" s="19" t="n"/>
      <c r="J1096" s="20" t="n"/>
      <c r="K1096" s="39">
        <f>IF(AND(I1096&lt;&gt;"",J1096&lt;&gt;""),I1096*J1096,"")</f>
        <v/>
      </c>
      <c r="L1096" s="18" t="n"/>
      <c r="M1096" s="18" t="n"/>
      <c r="N1096" s="20" t="n"/>
      <c r="O1096" s="20" t="n"/>
    </row>
    <row r="1097">
      <c r="A1097" s="41" t="n"/>
      <c r="B1097" s="35">
        <f>IF(A1097="","",YEAR(A1097))</f>
        <v/>
      </c>
      <c r="C1097" s="36">
        <f>IF(A1097="","",MONTH(A1097))</f>
        <v/>
      </c>
      <c r="D1097" s="37">
        <f>IF(A1097="","","Q"&amp;ROUNDUP(MONTH(A1097)/3,0))</f>
        <v/>
      </c>
      <c r="E1097" s="22" t="n"/>
      <c r="F1097" s="22" t="n"/>
      <c r="G1097" s="40">
        <f>IFERROR(VLOOKUP(F1097,M2_거래처마스터!A:E,3,FALSE),"")</f>
        <v/>
      </c>
      <c r="H1097" s="22" t="n"/>
      <c r="I1097" s="23" t="n"/>
      <c r="J1097" s="24" t="n"/>
      <c r="K1097" s="39">
        <f>IF(AND(I1097&lt;&gt;"",J1097&lt;&gt;""),I1097*J1097,"")</f>
        <v/>
      </c>
      <c r="L1097" s="22" t="n"/>
      <c r="M1097" s="22" t="n"/>
      <c r="N1097" s="24" t="n"/>
      <c r="O1097" s="24" t="n"/>
    </row>
    <row r="1098">
      <c r="A1098" s="34" t="n"/>
      <c r="B1098" s="35">
        <f>IF(A1098="","",YEAR(A1098))</f>
        <v/>
      </c>
      <c r="C1098" s="36">
        <f>IF(A1098="","",MONTH(A1098))</f>
        <v/>
      </c>
      <c r="D1098" s="37">
        <f>IF(A1098="","","Q"&amp;ROUNDUP(MONTH(A1098)/3,0))</f>
        <v/>
      </c>
      <c r="E1098" s="18" t="n"/>
      <c r="F1098" s="18" t="n"/>
      <c r="G1098" s="40">
        <f>IFERROR(VLOOKUP(F1098,M2_거래처마스터!A:E,3,FALSE),"")</f>
        <v/>
      </c>
      <c r="H1098" s="18" t="n"/>
      <c r="I1098" s="19" t="n"/>
      <c r="J1098" s="20" t="n"/>
      <c r="K1098" s="39">
        <f>IF(AND(I1098&lt;&gt;"",J1098&lt;&gt;""),I1098*J1098,"")</f>
        <v/>
      </c>
      <c r="L1098" s="18" t="n"/>
      <c r="M1098" s="18" t="n"/>
      <c r="N1098" s="20" t="n"/>
      <c r="O1098" s="20" t="n"/>
    </row>
    <row r="1099">
      <c r="A1099" s="41" t="n"/>
      <c r="B1099" s="35">
        <f>IF(A1099="","",YEAR(A1099))</f>
        <v/>
      </c>
      <c r="C1099" s="36">
        <f>IF(A1099="","",MONTH(A1099))</f>
        <v/>
      </c>
      <c r="D1099" s="37">
        <f>IF(A1099="","","Q"&amp;ROUNDUP(MONTH(A1099)/3,0))</f>
        <v/>
      </c>
      <c r="E1099" s="22" t="n"/>
      <c r="F1099" s="22" t="n"/>
      <c r="G1099" s="40">
        <f>IFERROR(VLOOKUP(F1099,M2_거래처마스터!A:E,3,FALSE),"")</f>
        <v/>
      </c>
      <c r="H1099" s="22" t="n"/>
      <c r="I1099" s="23" t="n"/>
      <c r="J1099" s="24" t="n"/>
      <c r="K1099" s="39">
        <f>IF(AND(I1099&lt;&gt;"",J1099&lt;&gt;""),I1099*J1099,"")</f>
        <v/>
      </c>
      <c r="L1099" s="22" t="n"/>
      <c r="M1099" s="22" t="n"/>
      <c r="N1099" s="24" t="n"/>
      <c r="O1099" s="24" t="n"/>
    </row>
    <row r="1100">
      <c r="A1100" s="34" t="n"/>
      <c r="B1100" s="35">
        <f>IF(A1100="","",YEAR(A1100))</f>
        <v/>
      </c>
      <c r="C1100" s="36">
        <f>IF(A1100="","",MONTH(A1100))</f>
        <v/>
      </c>
      <c r="D1100" s="37">
        <f>IF(A1100="","","Q"&amp;ROUNDUP(MONTH(A1100)/3,0))</f>
        <v/>
      </c>
      <c r="E1100" s="18" t="n"/>
      <c r="F1100" s="18" t="n"/>
      <c r="G1100" s="40">
        <f>IFERROR(VLOOKUP(F1100,M2_거래처마스터!A:E,3,FALSE),"")</f>
        <v/>
      </c>
      <c r="H1100" s="18" t="n"/>
      <c r="I1100" s="19" t="n"/>
      <c r="J1100" s="20" t="n"/>
      <c r="K1100" s="39">
        <f>IF(AND(I1100&lt;&gt;"",J1100&lt;&gt;""),I1100*J1100,"")</f>
        <v/>
      </c>
      <c r="L1100" s="18" t="n"/>
      <c r="M1100" s="18" t="n"/>
      <c r="N1100" s="20" t="n"/>
      <c r="O1100" s="20" t="n"/>
    </row>
    <row r="1101">
      <c r="A1101" s="41" t="n"/>
      <c r="B1101" s="35">
        <f>IF(A1101="","",YEAR(A1101))</f>
        <v/>
      </c>
      <c r="C1101" s="36">
        <f>IF(A1101="","",MONTH(A1101))</f>
        <v/>
      </c>
      <c r="D1101" s="37">
        <f>IF(A1101="","","Q"&amp;ROUNDUP(MONTH(A1101)/3,0))</f>
        <v/>
      </c>
      <c r="E1101" s="22" t="n"/>
      <c r="F1101" s="22" t="n"/>
      <c r="G1101" s="40">
        <f>IFERROR(VLOOKUP(F1101,M2_거래처마스터!A:E,3,FALSE),"")</f>
        <v/>
      </c>
      <c r="H1101" s="22" t="n"/>
      <c r="I1101" s="23" t="n"/>
      <c r="J1101" s="24" t="n"/>
      <c r="K1101" s="39">
        <f>IF(AND(I1101&lt;&gt;"",J1101&lt;&gt;""),I1101*J1101,"")</f>
        <v/>
      </c>
      <c r="L1101" s="22" t="n"/>
      <c r="M1101" s="22" t="n"/>
      <c r="N1101" s="24" t="n"/>
      <c r="O1101" s="24" t="n"/>
    </row>
    <row r="1102">
      <c r="A1102" s="34" t="n"/>
      <c r="B1102" s="35">
        <f>IF(A1102="","",YEAR(A1102))</f>
        <v/>
      </c>
      <c r="C1102" s="36">
        <f>IF(A1102="","",MONTH(A1102))</f>
        <v/>
      </c>
      <c r="D1102" s="37">
        <f>IF(A1102="","","Q"&amp;ROUNDUP(MONTH(A1102)/3,0))</f>
        <v/>
      </c>
      <c r="E1102" s="18" t="n"/>
      <c r="F1102" s="18" t="n"/>
      <c r="G1102" s="40">
        <f>IFERROR(VLOOKUP(F1102,M2_거래처마스터!A:E,3,FALSE),"")</f>
        <v/>
      </c>
      <c r="H1102" s="18" t="n"/>
      <c r="I1102" s="19" t="n"/>
      <c r="J1102" s="20" t="n"/>
      <c r="K1102" s="39">
        <f>IF(AND(I1102&lt;&gt;"",J1102&lt;&gt;""),I1102*J1102,"")</f>
        <v/>
      </c>
      <c r="L1102" s="18" t="n"/>
      <c r="M1102" s="18" t="n"/>
      <c r="N1102" s="20" t="n"/>
      <c r="O1102" s="20" t="n"/>
    </row>
    <row r="1103">
      <c r="A1103" s="41" t="n"/>
      <c r="B1103" s="35">
        <f>IF(A1103="","",YEAR(A1103))</f>
        <v/>
      </c>
      <c r="C1103" s="36">
        <f>IF(A1103="","",MONTH(A1103))</f>
        <v/>
      </c>
      <c r="D1103" s="37">
        <f>IF(A1103="","","Q"&amp;ROUNDUP(MONTH(A1103)/3,0))</f>
        <v/>
      </c>
      <c r="E1103" s="22" t="n"/>
      <c r="F1103" s="22" t="n"/>
      <c r="G1103" s="40">
        <f>IFERROR(VLOOKUP(F1103,M2_거래처마스터!A:E,3,FALSE),"")</f>
        <v/>
      </c>
      <c r="H1103" s="22" t="n"/>
      <c r="I1103" s="23" t="n"/>
      <c r="J1103" s="24" t="n"/>
      <c r="K1103" s="39">
        <f>IF(AND(I1103&lt;&gt;"",J1103&lt;&gt;""),I1103*J1103,"")</f>
        <v/>
      </c>
      <c r="L1103" s="22" t="n"/>
      <c r="M1103" s="22" t="n"/>
      <c r="N1103" s="24" t="n"/>
      <c r="O1103" s="24" t="n"/>
    </row>
    <row r="1104">
      <c r="A1104" s="34" t="n"/>
      <c r="B1104" s="35">
        <f>IF(A1104="","",YEAR(A1104))</f>
        <v/>
      </c>
      <c r="C1104" s="36">
        <f>IF(A1104="","",MONTH(A1104))</f>
        <v/>
      </c>
      <c r="D1104" s="37">
        <f>IF(A1104="","","Q"&amp;ROUNDUP(MONTH(A1104)/3,0))</f>
        <v/>
      </c>
      <c r="E1104" s="18" t="n"/>
      <c r="F1104" s="18" t="n"/>
      <c r="G1104" s="40">
        <f>IFERROR(VLOOKUP(F1104,M2_거래처마스터!A:E,3,FALSE),"")</f>
        <v/>
      </c>
      <c r="H1104" s="18" t="n"/>
      <c r="I1104" s="19" t="n"/>
      <c r="J1104" s="20" t="n"/>
      <c r="K1104" s="39">
        <f>IF(AND(I1104&lt;&gt;"",J1104&lt;&gt;""),I1104*J1104,"")</f>
        <v/>
      </c>
      <c r="L1104" s="18" t="n"/>
      <c r="M1104" s="18" t="n"/>
      <c r="N1104" s="20" t="n"/>
      <c r="O1104" s="20" t="n"/>
    </row>
    <row r="1105">
      <c r="A1105" s="41" t="n"/>
      <c r="B1105" s="35">
        <f>IF(A1105="","",YEAR(A1105))</f>
        <v/>
      </c>
      <c r="C1105" s="36">
        <f>IF(A1105="","",MONTH(A1105))</f>
        <v/>
      </c>
      <c r="D1105" s="37">
        <f>IF(A1105="","","Q"&amp;ROUNDUP(MONTH(A1105)/3,0))</f>
        <v/>
      </c>
      <c r="E1105" s="22" t="n"/>
      <c r="F1105" s="22" t="n"/>
      <c r="G1105" s="40">
        <f>IFERROR(VLOOKUP(F1105,M2_거래처마스터!A:E,3,FALSE),"")</f>
        <v/>
      </c>
      <c r="H1105" s="22" t="n"/>
      <c r="I1105" s="23" t="n"/>
      <c r="J1105" s="24" t="n"/>
      <c r="K1105" s="39">
        <f>IF(AND(I1105&lt;&gt;"",J1105&lt;&gt;""),I1105*J1105,"")</f>
        <v/>
      </c>
      <c r="L1105" s="22" t="n"/>
      <c r="M1105" s="22" t="n"/>
      <c r="N1105" s="24" t="n"/>
      <c r="O1105" s="24" t="n"/>
    </row>
    <row r="1106">
      <c r="A1106" s="34" t="n"/>
      <c r="B1106" s="35">
        <f>IF(A1106="","",YEAR(A1106))</f>
        <v/>
      </c>
      <c r="C1106" s="36">
        <f>IF(A1106="","",MONTH(A1106))</f>
        <v/>
      </c>
      <c r="D1106" s="37">
        <f>IF(A1106="","","Q"&amp;ROUNDUP(MONTH(A1106)/3,0))</f>
        <v/>
      </c>
      <c r="E1106" s="18" t="n"/>
      <c r="F1106" s="18" t="n"/>
      <c r="G1106" s="40">
        <f>IFERROR(VLOOKUP(F1106,M2_거래처마스터!A:E,3,FALSE),"")</f>
        <v/>
      </c>
      <c r="H1106" s="18" t="n"/>
      <c r="I1106" s="19" t="n"/>
      <c r="J1106" s="20" t="n"/>
      <c r="K1106" s="39">
        <f>IF(AND(I1106&lt;&gt;"",J1106&lt;&gt;""),I1106*J1106,"")</f>
        <v/>
      </c>
      <c r="L1106" s="18" t="n"/>
      <c r="M1106" s="18" t="n"/>
      <c r="N1106" s="20" t="n"/>
      <c r="O1106" s="20" t="n"/>
    </row>
    <row r="1107">
      <c r="A1107" s="41" t="n"/>
      <c r="B1107" s="35">
        <f>IF(A1107="","",YEAR(A1107))</f>
        <v/>
      </c>
      <c r="C1107" s="36">
        <f>IF(A1107="","",MONTH(A1107))</f>
        <v/>
      </c>
      <c r="D1107" s="37">
        <f>IF(A1107="","","Q"&amp;ROUNDUP(MONTH(A1107)/3,0))</f>
        <v/>
      </c>
      <c r="E1107" s="22" t="n"/>
      <c r="F1107" s="22" t="n"/>
      <c r="G1107" s="40">
        <f>IFERROR(VLOOKUP(F1107,M2_거래처마스터!A:E,3,FALSE),"")</f>
        <v/>
      </c>
      <c r="H1107" s="22" t="n"/>
      <c r="I1107" s="23" t="n"/>
      <c r="J1107" s="24" t="n"/>
      <c r="K1107" s="39">
        <f>IF(AND(I1107&lt;&gt;"",J1107&lt;&gt;""),I1107*J1107,"")</f>
        <v/>
      </c>
      <c r="L1107" s="22" t="n"/>
      <c r="M1107" s="22" t="n"/>
      <c r="N1107" s="24" t="n"/>
      <c r="O1107" s="24" t="n"/>
    </row>
    <row r="1108">
      <c r="A1108" s="34" t="n"/>
      <c r="B1108" s="35">
        <f>IF(A1108="","",YEAR(A1108))</f>
        <v/>
      </c>
      <c r="C1108" s="36">
        <f>IF(A1108="","",MONTH(A1108))</f>
        <v/>
      </c>
      <c r="D1108" s="37">
        <f>IF(A1108="","","Q"&amp;ROUNDUP(MONTH(A1108)/3,0))</f>
        <v/>
      </c>
      <c r="E1108" s="18" t="n"/>
      <c r="F1108" s="18" t="n"/>
      <c r="G1108" s="40">
        <f>IFERROR(VLOOKUP(F1108,M2_거래처마스터!A:E,3,FALSE),"")</f>
        <v/>
      </c>
      <c r="H1108" s="18" t="n"/>
      <c r="I1108" s="19" t="n"/>
      <c r="J1108" s="20" t="n"/>
      <c r="K1108" s="39">
        <f>IF(AND(I1108&lt;&gt;"",J1108&lt;&gt;""),I1108*J1108,"")</f>
        <v/>
      </c>
      <c r="L1108" s="18" t="n"/>
      <c r="M1108" s="18" t="n"/>
      <c r="N1108" s="20" t="n"/>
      <c r="O1108" s="20" t="n"/>
    </row>
    <row r="1109">
      <c r="A1109" s="41" t="n"/>
      <c r="B1109" s="35">
        <f>IF(A1109="","",YEAR(A1109))</f>
        <v/>
      </c>
      <c r="C1109" s="36">
        <f>IF(A1109="","",MONTH(A1109))</f>
        <v/>
      </c>
      <c r="D1109" s="37">
        <f>IF(A1109="","","Q"&amp;ROUNDUP(MONTH(A1109)/3,0))</f>
        <v/>
      </c>
      <c r="E1109" s="22" t="n"/>
      <c r="F1109" s="22" t="n"/>
      <c r="G1109" s="40">
        <f>IFERROR(VLOOKUP(F1109,M2_거래처마스터!A:E,3,FALSE),"")</f>
        <v/>
      </c>
      <c r="H1109" s="22" t="n"/>
      <c r="I1109" s="23" t="n"/>
      <c r="J1109" s="24" t="n"/>
      <c r="K1109" s="39">
        <f>IF(AND(I1109&lt;&gt;"",J1109&lt;&gt;""),I1109*J1109,"")</f>
        <v/>
      </c>
      <c r="L1109" s="22" t="n"/>
      <c r="M1109" s="22" t="n"/>
      <c r="N1109" s="24" t="n"/>
      <c r="O1109" s="24" t="n"/>
    </row>
    <row r="1110">
      <c r="A1110" s="34" t="n"/>
      <c r="B1110" s="35">
        <f>IF(A1110="","",YEAR(A1110))</f>
        <v/>
      </c>
      <c r="C1110" s="36">
        <f>IF(A1110="","",MONTH(A1110))</f>
        <v/>
      </c>
      <c r="D1110" s="37">
        <f>IF(A1110="","","Q"&amp;ROUNDUP(MONTH(A1110)/3,0))</f>
        <v/>
      </c>
      <c r="E1110" s="18" t="n"/>
      <c r="F1110" s="18" t="n"/>
      <c r="G1110" s="40">
        <f>IFERROR(VLOOKUP(F1110,M2_거래처마스터!A:E,3,FALSE),"")</f>
        <v/>
      </c>
      <c r="H1110" s="18" t="n"/>
      <c r="I1110" s="19" t="n"/>
      <c r="J1110" s="20" t="n"/>
      <c r="K1110" s="39">
        <f>IF(AND(I1110&lt;&gt;"",J1110&lt;&gt;""),I1110*J1110,"")</f>
        <v/>
      </c>
      <c r="L1110" s="18" t="n"/>
      <c r="M1110" s="18" t="n"/>
      <c r="N1110" s="20" t="n"/>
      <c r="O1110" s="20" t="n"/>
    </row>
    <row r="1111">
      <c r="A1111" s="41" t="n"/>
      <c r="B1111" s="35">
        <f>IF(A1111="","",YEAR(A1111))</f>
        <v/>
      </c>
      <c r="C1111" s="36">
        <f>IF(A1111="","",MONTH(A1111))</f>
        <v/>
      </c>
      <c r="D1111" s="37">
        <f>IF(A1111="","","Q"&amp;ROUNDUP(MONTH(A1111)/3,0))</f>
        <v/>
      </c>
      <c r="E1111" s="22" t="n"/>
      <c r="F1111" s="22" t="n"/>
      <c r="G1111" s="40">
        <f>IFERROR(VLOOKUP(F1111,M2_거래처마스터!A:E,3,FALSE),"")</f>
        <v/>
      </c>
      <c r="H1111" s="22" t="n"/>
      <c r="I1111" s="23" t="n"/>
      <c r="J1111" s="24" t="n"/>
      <c r="K1111" s="39">
        <f>IF(AND(I1111&lt;&gt;"",J1111&lt;&gt;""),I1111*J1111,"")</f>
        <v/>
      </c>
      <c r="L1111" s="22" t="n"/>
      <c r="M1111" s="22" t="n"/>
      <c r="N1111" s="24" t="n"/>
      <c r="O1111" s="24" t="n"/>
    </row>
    <row r="1112">
      <c r="A1112" s="34" t="n"/>
      <c r="B1112" s="35">
        <f>IF(A1112="","",YEAR(A1112))</f>
        <v/>
      </c>
      <c r="C1112" s="36">
        <f>IF(A1112="","",MONTH(A1112))</f>
        <v/>
      </c>
      <c r="D1112" s="37">
        <f>IF(A1112="","","Q"&amp;ROUNDUP(MONTH(A1112)/3,0))</f>
        <v/>
      </c>
      <c r="E1112" s="18" t="n"/>
      <c r="F1112" s="18" t="n"/>
      <c r="G1112" s="40">
        <f>IFERROR(VLOOKUP(F1112,M2_거래처마스터!A:E,3,FALSE),"")</f>
        <v/>
      </c>
      <c r="H1112" s="18" t="n"/>
      <c r="I1112" s="19" t="n"/>
      <c r="J1112" s="20" t="n"/>
      <c r="K1112" s="39">
        <f>IF(AND(I1112&lt;&gt;"",J1112&lt;&gt;""),I1112*J1112,"")</f>
        <v/>
      </c>
      <c r="L1112" s="18" t="n"/>
      <c r="M1112" s="18" t="n"/>
      <c r="N1112" s="20" t="n"/>
      <c r="O1112" s="20" t="n"/>
    </row>
    <row r="1113">
      <c r="A1113" s="41" t="n"/>
      <c r="B1113" s="35">
        <f>IF(A1113="","",YEAR(A1113))</f>
        <v/>
      </c>
      <c r="C1113" s="36">
        <f>IF(A1113="","",MONTH(A1113))</f>
        <v/>
      </c>
      <c r="D1113" s="37">
        <f>IF(A1113="","","Q"&amp;ROUNDUP(MONTH(A1113)/3,0))</f>
        <v/>
      </c>
      <c r="E1113" s="22" t="n"/>
      <c r="F1113" s="22" t="n"/>
      <c r="G1113" s="40">
        <f>IFERROR(VLOOKUP(F1113,M2_거래처마스터!A:E,3,FALSE),"")</f>
        <v/>
      </c>
      <c r="H1113" s="22" t="n"/>
      <c r="I1113" s="23" t="n"/>
      <c r="J1113" s="24" t="n"/>
      <c r="K1113" s="39">
        <f>IF(AND(I1113&lt;&gt;"",J1113&lt;&gt;""),I1113*J1113,"")</f>
        <v/>
      </c>
      <c r="L1113" s="22" t="n"/>
      <c r="M1113" s="22" t="n"/>
      <c r="N1113" s="24" t="n"/>
      <c r="O1113" s="24" t="n"/>
    </row>
    <row r="1114">
      <c r="A1114" s="34" t="n"/>
      <c r="B1114" s="35">
        <f>IF(A1114="","",YEAR(A1114))</f>
        <v/>
      </c>
      <c r="C1114" s="36">
        <f>IF(A1114="","",MONTH(A1114))</f>
        <v/>
      </c>
      <c r="D1114" s="37">
        <f>IF(A1114="","","Q"&amp;ROUNDUP(MONTH(A1114)/3,0))</f>
        <v/>
      </c>
      <c r="E1114" s="18" t="n"/>
      <c r="F1114" s="18" t="n"/>
      <c r="G1114" s="40">
        <f>IFERROR(VLOOKUP(F1114,M2_거래처마스터!A:E,3,FALSE),"")</f>
        <v/>
      </c>
      <c r="H1114" s="18" t="n"/>
      <c r="I1114" s="19" t="n"/>
      <c r="J1114" s="20" t="n"/>
      <c r="K1114" s="39">
        <f>IF(AND(I1114&lt;&gt;"",J1114&lt;&gt;""),I1114*J1114,"")</f>
        <v/>
      </c>
      <c r="L1114" s="18" t="n"/>
      <c r="M1114" s="18" t="n"/>
      <c r="N1114" s="20" t="n"/>
      <c r="O1114" s="20" t="n"/>
    </row>
    <row r="1115">
      <c r="A1115" s="41" t="n"/>
      <c r="B1115" s="35">
        <f>IF(A1115="","",YEAR(A1115))</f>
        <v/>
      </c>
      <c r="C1115" s="36">
        <f>IF(A1115="","",MONTH(A1115))</f>
        <v/>
      </c>
      <c r="D1115" s="37">
        <f>IF(A1115="","","Q"&amp;ROUNDUP(MONTH(A1115)/3,0))</f>
        <v/>
      </c>
      <c r="E1115" s="22" t="n"/>
      <c r="F1115" s="22" t="n"/>
      <c r="G1115" s="40">
        <f>IFERROR(VLOOKUP(F1115,M2_거래처마스터!A:E,3,FALSE),"")</f>
        <v/>
      </c>
      <c r="H1115" s="22" t="n"/>
      <c r="I1115" s="23" t="n"/>
      <c r="J1115" s="24" t="n"/>
      <c r="K1115" s="39">
        <f>IF(AND(I1115&lt;&gt;"",J1115&lt;&gt;""),I1115*J1115,"")</f>
        <v/>
      </c>
      <c r="L1115" s="22" t="n"/>
      <c r="M1115" s="22" t="n"/>
      <c r="N1115" s="24" t="n"/>
      <c r="O1115" s="24" t="n"/>
    </row>
    <row r="1116">
      <c r="A1116" s="34" t="n"/>
      <c r="B1116" s="35">
        <f>IF(A1116="","",YEAR(A1116))</f>
        <v/>
      </c>
      <c r="C1116" s="36">
        <f>IF(A1116="","",MONTH(A1116))</f>
        <v/>
      </c>
      <c r="D1116" s="37">
        <f>IF(A1116="","","Q"&amp;ROUNDUP(MONTH(A1116)/3,0))</f>
        <v/>
      </c>
      <c r="E1116" s="18" t="n"/>
      <c r="F1116" s="18" t="n"/>
      <c r="G1116" s="40">
        <f>IFERROR(VLOOKUP(F1116,M2_거래처마스터!A:E,3,FALSE),"")</f>
        <v/>
      </c>
      <c r="H1116" s="18" t="n"/>
      <c r="I1116" s="19" t="n"/>
      <c r="J1116" s="20" t="n"/>
      <c r="K1116" s="39">
        <f>IF(AND(I1116&lt;&gt;"",J1116&lt;&gt;""),I1116*J1116,"")</f>
        <v/>
      </c>
      <c r="L1116" s="18" t="n"/>
      <c r="M1116" s="18" t="n"/>
      <c r="N1116" s="20" t="n"/>
      <c r="O1116" s="20" t="n"/>
    </row>
    <row r="1117">
      <c r="A1117" s="41" t="n"/>
      <c r="B1117" s="35">
        <f>IF(A1117="","",YEAR(A1117))</f>
        <v/>
      </c>
      <c r="C1117" s="36">
        <f>IF(A1117="","",MONTH(A1117))</f>
        <v/>
      </c>
      <c r="D1117" s="37">
        <f>IF(A1117="","","Q"&amp;ROUNDUP(MONTH(A1117)/3,0))</f>
        <v/>
      </c>
      <c r="E1117" s="22" t="n"/>
      <c r="F1117" s="22" t="n"/>
      <c r="G1117" s="40">
        <f>IFERROR(VLOOKUP(F1117,M2_거래처마스터!A:E,3,FALSE),"")</f>
        <v/>
      </c>
      <c r="H1117" s="22" t="n"/>
      <c r="I1117" s="23" t="n"/>
      <c r="J1117" s="24" t="n"/>
      <c r="K1117" s="39">
        <f>IF(AND(I1117&lt;&gt;"",J1117&lt;&gt;""),I1117*J1117,"")</f>
        <v/>
      </c>
      <c r="L1117" s="22" t="n"/>
      <c r="M1117" s="22" t="n"/>
      <c r="N1117" s="24" t="n"/>
      <c r="O1117" s="24" t="n"/>
    </row>
    <row r="1118">
      <c r="A1118" s="34" t="n"/>
      <c r="B1118" s="35">
        <f>IF(A1118="","",YEAR(A1118))</f>
        <v/>
      </c>
      <c r="C1118" s="36">
        <f>IF(A1118="","",MONTH(A1118))</f>
        <v/>
      </c>
      <c r="D1118" s="37">
        <f>IF(A1118="","","Q"&amp;ROUNDUP(MONTH(A1118)/3,0))</f>
        <v/>
      </c>
      <c r="E1118" s="18" t="n"/>
      <c r="F1118" s="18" t="n"/>
      <c r="G1118" s="40">
        <f>IFERROR(VLOOKUP(F1118,M2_거래처마스터!A:E,3,FALSE),"")</f>
        <v/>
      </c>
      <c r="H1118" s="18" t="n"/>
      <c r="I1118" s="19" t="n"/>
      <c r="J1118" s="20" t="n"/>
      <c r="K1118" s="39">
        <f>IF(AND(I1118&lt;&gt;"",J1118&lt;&gt;""),I1118*J1118,"")</f>
        <v/>
      </c>
      <c r="L1118" s="18" t="n"/>
      <c r="M1118" s="18" t="n"/>
      <c r="N1118" s="20" t="n"/>
      <c r="O1118" s="20" t="n"/>
    </row>
    <row r="1119">
      <c r="A1119" s="41" t="n"/>
      <c r="B1119" s="35">
        <f>IF(A1119="","",YEAR(A1119))</f>
        <v/>
      </c>
      <c r="C1119" s="36">
        <f>IF(A1119="","",MONTH(A1119))</f>
        <v/>
      </c>
      <c r="D1119" s="37">
        <f>IF(A1119="","","Q"&amp;ROUNDUP(MONTH(A1119)/3,0))</f>
        <v/>
      </c>
      <c r="E1119" s="22" t="n"/>
      <c r="F1119" s="22" t="n"/>
      <c r="G1119" s="40">
        <f>IFERROR(VLOOKUP(F1119,M2_거래처마스터!A:E,3,FALSE),"")</f>
        <v/>
      </c>
      <c r="H1119" s="22" t="n"/>
      <c r="I1119" s="23" t="n"/>
      <c r="J1119" s="24" t="n"/>
      <c r="K1119" s="39">
        <f>IF(AND(I1119&lt;&gt;"",J1119&lt;&gt;""),I1119*J1119,"")</f>
        <v/>
      </c>
      <c r="L1119" s="22" t="n"/>
      <c r="M1119" s="22" t="n"/>
      <c r="N1119" s="24" t="n"/>
      <c r="O1119" s="24" t="n"/>
    </row>
    <row r="1120">
      <c r="A1120" s="34" t="n"/>
      <c r="B1120" s="35">
        <f>IF(A1120="","",YEAR(A1120))</f>
        <v/>
      </c>
      <c r="C1120" s="36">
        <f>IF(A1120="","",MONTH(A1120))</f>
        <v/>
      </c>
      <c r="D1120" s="37">
        <f>IF(A1120="","","Q"&amp;ROUNDUP(MONTH(A1120)/3,0))</f>
        <v/>
      </c>
      <c r="E1120" s="18" t="n"/>
      <c r="F1120" s="18" t="n"/>
      <c r="G1120" s="40">
        <f>IFERROR(VLOOKUP(F1120,M2_거래처마스터!A:E,3,FALSE),"")</f>
        <v/>
      </c>
      <c r="H1120" s="18" t="n"/>
      <c r="I1120" s="19" t="n"/>
      <c r="J1120" s="20" t="n"/>
      <c r="K1120" s="39">
        <f>IF(AND(I1120&lt;&gt;"",J1120&lt;&gt;""),I1120*J1120,"")</f>
        <v/>
      </c>
      <c r="L1120" s="18" t="n"/>
      <c r="M1120" s="18" t="n"/>
      <c r="N1120" s="20" t="n"/>
      <c r="O1120" s="20" t="n"/>
    </row>
    <row r="1121">
      <c r="A1121" s="41" t="n"/>
      <c r="B1121" s="35">
        <f>IF(A1121="","",YEAR(A1121))</f>
        <v/>
      </c>
      <c r="C1121" s="36">
        <f>IF(A1121="","",MONTH(A1121))</f>
        <v/>
      </c>
      <c r="D1121" s="37">
        <f>IF(A1121="","","Q"&amp;ROUNDUP(MONTH(A1121)/3,0))</f>
        <v/>
      </c>
      <c r="E1121" s="22" t="n"/>
      <c r="F1121" s="22" t="n"/>
      <c r="G1121" s="40">
        <f>IFERROR(VLOOKUP(F1121,M2_거래처마스터!A:E,3,FALSE),"")</f>
        <v/>
      </c>
      <c r="H1121" s="22" t="n"/>
      <c r="I1121" s="23" t="n"/>
      <c r="J1121" s="24" t="n"/>
      <c r="K1121" s="39">
        <f>IF(AND(I1121&lt;&gt;"",J1121&lt;&gt;""),I1121*J1121,"")</f>
        <v/>
      </c>
      <c r="L1121" s="22" t="n"/>
      <c r="M1121" s="22" t="n"/>
      <c r="N1121" s="24" t="n"/>
      <c r="O1121" s="24" t="n"/>
    </row>
    <row r="1122">
      <c r="A1122" s="34" t="n"/>
      <c r="B1122" s="35">
        <f>IF(A1122="","",YEAR(A1122))</f>
        <v/>
      </c>
      <c r="C1122" s="36">
        <f>IF(A1122="","",MONTH(A1122))</f>
        <v/>
      </c>
      <c r="D1122" s="37">
        <f>IF(A1122="","","Q"&amp;ROUNDUP(MONTH(A1122)/3,0))</f>
        <v/>
      </c>
      <c r="E1122" s="18" t="n"/>
      <c r="F1122" s="18" t="n"/>
      <c r="G1122" s="40">
        <f>IFERROR(VLOOKUP(F1122,M2_거래처마스터!A:E,3,FALSE),"")</f>
        <v/>
      </c>
      <c r="H1122" s="18" t="n"/>
      <c r="I1122" s="19" t="n"/>
      <c r="J1122" s="20" t="n"/>
      <c r="K1122" s="39">
        <f>IF(AND(I1122&lt;&gt;"",J1122&lt;&gt;""),I1122*J1122,"")</f>
        <v/>
      </c>
      <c r="L1122" s="18" t="n"/>
      <c r="M1122" s="18" t="n"/>
      <c r="N1122" s="20" t="n"/>
      <c r="O1122" s="20" t="n"/>
    </row>
    <row r="1123">
      <c r="A1123" s="41" t="n"/>
      <c r="B1123" s="35">
        <f>IF(A1123="","",YEAR(A1123))</f>
        <v/>
      </c>
      <c r="C1123" s="36">
        <f>IF(A1123="","",MONTH(A1123))</f>
        <v/>
      </c>
      <c r="D1123" s="37">
        <f>IF(A1123="","","Q"&amp;ROUNDUP(MONTH(A1123)/3,0))</f>
        <v/>
      </c>
      <c r="E1123" s="22" t="n"/>
      <c r="F1123" s="22" t="n"/>
      <c r="G1123" s="40">
        <f>IFERROR(VLOOKUP(F1123,M2_거래처마스터!A:E,3,FALSE),"")</f>
        <v/>
      </c>
      <c r="H1123" s="22" t="n"/>
      <c r="I1123" s="23" t="n"/>
      <c r="J1123" s="24" t="n"/>
      <c r="K1123" s="39">
        <f>IF(AND(I1123&lt;&gt;"",J1123&lt;&gt;""),I1123*J1123,"")</f>
        <v/>
      </c>
      <c r="L1123" s="22" t="n"/>
      <c r="M1123" s="22" t="n"/>
      <c r="N1123" s="24" t="n"/>
      <c r="O1123" s="24" t="n"/>
    </row>
    <row r="1124">
      <c r="A1124" s="34" t="n"/>
      <c r="B1124" s="35">
        <f>IF(A1124="","",YEAR(A1124))</f>
        <v/>
      </c>
      <c r="C1124" s="36">
        <f>IF(A1124="","",MONTH(A1124))</f>
        <v/>
      </c>
      <c r="D1124" s="37">
        <f>IF(A1124="","","Q"&amp;ROUNDUP(MONTH(A1124)/3,0))</f>
        <v/>
      </c>
      <c r="E1124" s="18" t="n"/>
      <c r="F1124" s="18" t="n"/>
      <c r="G1124" s="40">
        <f>IFERROR(VLOOKUP(F1124,M2_거래처마스터!A:E,3,FALSE),"")</f>
        <v/>
      </c>
      <c r="H1124" s="18" t="n"/>
      <c r="I1124" s="19" t="n"/>
      <c r="J1124" s="20" t="n"/>
      <c r="K1124" s="39">
        <f>IF(AND(I1124&lt;&gt;"",J1124&lt;&gt;""),I1124*J1124,"")</f>
        <v/>
      </c>
      <c r="L1124" s="18" t="n"/>
      <c r="M1124" s="18" t="n"/>
      <c r="N1124" s="20" t="n"/>
      <c r="O1124" s="20" t="n"/>
    </row>
    <row r="1125">
      <c r="A1125" s="41" t="n"/>
      <c r="B1125" s="35">
        <f>IF(A1125="","",YEAR(A1125))</f>
        <v/>
      </c>
      <c r="C1125" s="36">
        <f>IF(A1125="","",MONTH(A1125))</f>
        <v/>
      </c>
      <c r="D1125" s="37">
        <f>IF(A1125="","","Q"&amp;ROUNDUP(MONTH(A1125)/3,0))</f>
        <v/>
      </c>
      <c r="E1125" s="22" t="n"/>
      <c r="F1125" s="22" t="n"/>
      <c r="G1125" s="40">
        <f>IFERROR(VLOOKUP(F1125,M2_거래처마스터!A:E,3,FALSE),"")</f>
        <v/>
      </c>
      <c r="H1125" s="22" t="n"/>
      <c r="I1125" s="23" t="n"/>
      <c r="J1125" s="24" t="n"/>
      <c r="K1125" s="39">
        <f>IF(AND(I1125&lt;&gt;"",J1125&lt;&gt;""),I1125*J1125,"")</f>
        <v/>
      </c>
      <c r="L1125" s="22" t="n"/>
      <c r="M1125" s="22" t="n"/>
      <c r="N1125" s="24" t="n"/>
      <c r="O1125" s="24" t="n"/>
    </row>
    <row r="1126">
      <c r="A1126" s="34" t="n"/>
      <c r="B1126" s="35">
        <f>IF(A1126="","",YEAR(A1126))</f>
        <v/>
      </c>
      <c r="C1126" s="36">
        <f>IF(A1126="","",MONTH(A1126))</f>
        <v/>
      </c>
      <c r="D1126" s="37">
        <f>IF(A1126="","","Q"&amp;ROUNDUP(MONTH(A1126)/3,0))</f>
        <v/>
      </c>
      <c r="E1126" s="18" t="n"/>
      <c r="F1126" s="18" t="n"/>
      <c r="G1126" s="40">
        <f>IFERROR(VLOOKUP(F1126,M2_거래처마스터!A:E,3,FALSE),"")</f>
        <v/>
      </c>
      <c r="H1126" s="18" t="n"/>
      <c r="I1126" s="19" t="n"/>
      <c r="J1126" s="20" t="n"/>
      <c r="K1126" s="39">
        <f>IF(AND(I1126&lt;&gt;"",J1126&lt;&gt;""),I1126*J1126,"")</f>
        <v/>
      </c>
      <c r="L1126" s="18" t="n"/>
      <c r="M1126" s="18" t="n"/>
      <c r="N1126" s="20" t="n"/>
      <c r="O1126" s="20" t="n"/>
    </row>
    <row r="1127">
      <c r="A1127" s="41" t="n"/>
      <c r="B1127" s="35">
        <f>IF(A1127="","",YEAR(A1127))</f>
        <v/>
      </c>
      <c r="C1127" s="36">
        <f>IF(A1127="","",MONTH(A1127))</f>
        <v/>
      </c>
      <c r="D1127" s="37">
        <f>IF(A1127="","","Q"&amp;ROUNDUP(MONTH(A1127)/3,0))</f>
        <v/>
      </c>
      <c r="E1127" s="22" t="n"/>
      <c r="F1127" s="22" t="n"/>
      <c r="G1127" s="40">
        <f>IFERROR(VLOOKUP(F1127,M2_거래처마스터!A:E,3,FALSE),"")</f>
        <v/>
      </c>
      <c r="H1127" s="22" t="n"/>
      <c r="I1127" s="23" t="n"/>
      <c r="J1127" s="24" t="n"/>
      <c r="K1127" s="39">
        <f>IF(AND(I1127&lt;&gt;"",J1127&lt;&gt;""),I1127*J1127,"")</f>
        <v/>
      </c>
      <c r="L1127" s="22" t="n"/>
      <c r="M1127" s="22" t="n"/>
      <c r="N1127" s="24" t="n"/>
      <c r="O1127" s="24" t="n"/>
    </row>
    <row r="1128">
      <c r="A1128" s="34" t="n"/>
      <c r="B1128" s="35">
        <f>IF(A1128="","",YEAR(A1128))</f>
        <v/>
      </c>
      <c r="C1128" s="36">
        <f>IF(A1128="","",MONTH(A1128))</f>
        <v/>
      </c>
      <c r="D1128" s="37">
        <f>IF(A1128="","","Q"&amp;ROUNDUP(MONTH(A1128)/3,0))</f>
        <v/>
      </c>
      <c r="E1128" s="18" t="n"/>
      <c r="F1128" s="18" t="n"/>
      <c r="G1128" s="40">
        <f>IFERROR(VLOOKUP(F1128,M2_거래처마스터!A:E,3,FALSE),"")</f>
        <v/>
      </c>
      <c r="H1128" s="18" t="n"/>
      <c r="I1128" s="19" t="n"/>
      <c r="J1128" s="20" t="n"/>
      <c r="K1128" s="39">
        <f>IF(AND(I1128&lt;&gt;"",J1128&lt;&gt;""),I1128*J1128,"")</f>
        <v/>
      </c>
      <c r="L1128" s="18" t="n"/>
      <c r="M1128" s="18" t="n"/>
      <c r="N1128" s="20" t="n"/>
      <c r="O1128" s="20" t="n"/>
    </row>
    <row r="1129">
      <c r="A1129" s="41" t="n"/>
      <c r="B1129" s="35">
        <f>IF(A1129="","",YEAR(A1129))</f>
        <v/>
      </c>
      <c r="C1129" s="36">
        <f>IF(A1129="","",MONTH(A1129))</f>
        <v/>
      </c>
      <c r="D1129" s="37">
        <f>IF(A1129="","","Q"&amp;ROUNDUP(MONTH(A1129)/3,0))</f>
        <v/>
      </c>
      <c r="E1129" s="22" t="n"/>
      <c r="F1129" s="22" t="n"/>
      <c r="G1129" s="40">
        <f>IFERROR(VLOOKUP(F1129,M2_거래처마스터!A:E,3,FALSE),"")</f>
        <v/>
      </c>
      <c r="H1129" s="22" t="n"/>
      <c r="I1129" s="23" t="n"/>
      <c r="J1129" s="24" t="n"/>
      <c r="K1129" s="39">
        <f>IF(AND(I1129&lt;&gt;"",J1129&lt;&gt;""),I1129*J1129,"")</f>
        <v/>
      </c>
      <c r="L1129" s="22" t="n"/>
      <c r="M1129" s="22" t="n"/>
      <c r="N1129" s="24" t="n"/>
      <c r="O1129" s="24" t="n"/>
    </row>
    <row r="1130">
      <c r="A1130" s="34" t="n"/>
      <c r="B1130" s="35">
        <f>IF(A1130="","",YEAR(A1130))</f>
        <v/>
      </c>
      <c r="C1130" s="36">
        <f>IF(A1130="","",MONTH(A1130))</f>
        <v/>
      </c>
      <c r="D1130" s="37">
        <f>IF(A1130="","","Q"&amp;ROUNDUP(MONTH(A1130)/3,0))</f>
        <v/>
      </c>
      <c r="E1130" s="18" t="n"/>
      <c r="F1130" s="18" t="n"/>
      <c r="G1130" s="40">
        <f>IFERROR(VLOOKUP(F1130,M2_거래처마스터!A:E,3,FALSE),"")</f>
        <v/>
      </c>
      <c r="H1130" s="18" t="n"/>
      <c r="I1130" s="19" t="n"/>
      <c r="J1130" s="20" t="n"/>
      <c r="K1130" s="39">
        <f>IF(AND(I1130&lt;&gt;"",J1130&lt;&gt;""),I1130*J1130,"")</f>
        <v/>
      </c>
      <c r="L1130" s="18" t="n"/>
      <c r="M1130" s="18" t="n"/>
      <c r="N1130" s="20" t="n"/>
      <c r="O1130" s="20" t="n"/>
    </row>
    <row r="1131">
      <c r="A1131" s="41" t="n"/>
      <c r="B1131" s="35">
        <f>IF(A1131="","",YEAR(A1131))</f>
        <v/>
      </c>
      <c r="C1131" s="36">
        <f>IF(A1131="","",MONTH(A1131))</f>
        <v/>
      </c>
      <c r="D1131" s="37">
        <f>IF(A1131="","","Q"&amp;ROUNDUP(MONTH(A1131)/3,0))</f>
        <v/>
      </c>
      <c r="E1131" s="22" t="n"/>
      <c r="F1131" s="22" t="n"/>
      <c r="G1131" s="40">
        <f>IFERROR(VLOOKUP(F1131,M2_거래처마스터!A:E,3,FALSE),"")</f>
        <v/>
      </c>
      <c r="H1131" s="22" t="n"/>
      <c r="I1131" s="23" t="n"/>
      <c r="J1131" s="24" t="n"/>
      <c r="K1131" s="39">
        <f>IF(AND(I1131&lt;&gt;"",J1131&lt;&gt;""),I1131*J1131,"")</f>
        <v/>
      </c>
      <c r="L1131" s="22" t="n"/>
      <c r="M1131" s="22" t="n"/>
      <c r="N1131" s="24" t="n"/>
      <c r="O1131" s="24" t="n"/>
    </row>
    <row r="1132">
      <c r="A1132" s="34" t="n"/>
      <c r="B1132" s="35">
        <f>IF(A1132="","",YEAR(A1132))</f>
        <v/>
      </c>
      <c r="C1132" s="36">
        <f>IF(A1132="","",MONTH(A1132))</f>
        <v/>
      </c>
      <c r="D1132" s="37">
        <f>IF(A1132="","","Q"&amp;ROUNDUP(MONTH(A1132)/3,0))</f>
        <v/>
      </c>
      <c r="E1132" s="18" t="n"/>
      <c r="F1132" s="18" t="n"/>
      <c r="G1132" s="40">
        <f>IFERROR(VLOOKUP(F1132,M2_거래처마스터!A:E,3,FALSE),"")</f>
        <v/>
      </c>
      <c r="H1132" s="18" t="n"/>
      <c r="I1132" s="19" t="n"/>
      <c r="J1132" s="20" t="n"/>
      <c r="K1132" s="39">
        <f>IF(AND(I1132&lt;&gt;"",J1132&lt;&gt;""),I1132*J1132,"")</f>
        <v/>
      </c>
      <c r="L1132" s="18" t="n"/>
      <c r="M1132" s="18" t="n"/>
      <c r="N1132" s="20" t="n"/>
      <c r="O1132" s="20" t="n"/>
    </row>
    <row r="1133">
      <c r="A1133" s="41" t="n"/>
      <c r="B1133" s="35">
        <f>IF(A1133="","",YEAR(A1133))</f>
        <v/>
      </c>
      <c r="C1133" s="36">
        <f>IF(A1133="","",MONTH(A1133))</f>
        <v/>
      </c>
      <c r="D1133" s="37">
        <f>IF(A1133="","","Q"&amp;ROUNDUP(MONTH(A1133)/3,0))</f>
        <v/>
      </c>
      <c r="E1133" s="22" t="n"/>
      <c r="F1133" s="22" t="n"/>
      <c r="G1133" s="40">
        <f>IFERROR(VLOOKUP(F1133,M2_거래처마스터!A:E,3,FALSE),"")</f>
        <v/>
      </c>
      <c r="H1133" s="22" t="n"/>
      <c r="I1133" s="23" t="n"/>
      <c r="J1133" s="24" t="n"/>
      <c r="K1133" s="39">
        <f>IF(AND(I1133&lt;&gt;"",J1133&lt;&gt;""),I1133*J1133,"")</f>
        <v/>
      </c>
      <c r="L1133" s="22" t="n"/>
      <c r="M1133" s="22" t="n"/>
      <c r="N1133" s="24" t="n"/>
      <c r="O1133" s="24" t="n"/>
    </row>
    <row r="1134">
      <c r="A1134" s="34" t="n"/>
      <c r="B1134" s="35">
        <f>IF(A1134="","",YEAR(A1134))</f>
        <v/>
      </c>
      <c r="C1134" s="36">
        <f>IF(A1134="","",MONTH(A1134))</f>
        <v/>
      </c>
      <c r="D1134" s="37">
        <f>IF(A1134="","","Q"&amp;ROUNDUP(MONTH(A1134)/3,0))</f>
        <v/>
      </c>
      <c r="E1134" s="18" t="n"/>
      <c r="F1134" s="18" t="n"/>
      <c r="G1134" s="40">
        <f>IFERROR(VLOOKUP(F1134,M2_거래처마스터!A:E,3,FALSE),"")</f>
        <v/>
      </c>
      <c r="H1134" s="18" t="n"/>
      <c r="I1134" s="19" t="n"/>
      <c r="J1134" s="20" t="n"/>
      <c r="K1134" s="39">
        <f>IF(AND(I1134&lt;&gt;"",J1134&lt;&gt;""),I1134*J1134,"")</f>
        <v/>
      </c>
      <c r="L1134" s="18" t="n"/>
      <c r="M1134" s="18" t="n"/>
      <c r="N1134" s="20" t="n"/>
      <c r="O1134" s="20" t="n"/>
    </row>
    <row r="1135">
      <c r="A1135" s="41" t="n"/>
      <c r="B1135" s="35">
        <f>IF(A1135="","",YEAR(A1135))</f>
        <v/>
      </c>
      <c r="C1135" s="36">
        <f>IF(A1135="","",MONTH(A1135))</f>
        <v/>
      </c>
      <c r="D1135" s="37">
        <f>IF(A1135="","","Q"&amp;ROUNDUP(MONTH(A1135)/3,0))</f>
        <v/>
      </c>
      <c r="E1135" s="22" t="n"/>
      <c r="F1135" s="22" t="n"/>
      <c r="G1135" s="40">
        <f>IFERROR(VLOOKUP(F1135,M2_거래처마스터!A:E,3,FALSE),"")</f>
        <v/>
      </c>
      <c r="H1135" s="22" t="n"/>
      <c r="I1135" s="23" t="n"/>
      <c r="J1135" s="24" t="n"/>
      <c r="K1135" s="39">
        <f>IF(AND(I1135&lt;&gt;"",J1135&lt;&gt;""),I1135*J1135,"")</f>
        <v/>
      </c>
      <c r="L1135" s="22" t="n"/>
      <c r="M1135" s="22" t="n"/>
      <c r="N1135" s="24" t="n"/>
      <c r="O1135" s="24" t="n"/>
    </row>
    <row r="1136">
      <c r="A1136" s="34" t="n"/>
      <c r="B1136" s="35">
        <f>IF(A1136="","",YEAR(A1136))</f>
        <v/>
      </c>
      <c r="C1136" s="36">
        <f>IF(A1136="","",MONTH(A1136))</f>
        <v/>
      </c>
      <c r="D1136" s="37">
        <f>IF(A1136="","","Q"&amp;ROUNDUP(MONTH(A1136)/3,0))</f>
        <v/>
      </c>
      <c r="E1136" s="18" t="n"/>
      <c r="F1136" s="18" t="n"/>
      <c r="G1136" s="40">
        <f>IFERROR(VLOOKUP(F1136,M2_거래처마스터!A:E,3,FALSE),"")</f>
        <v/>
      </c>
      <c r="H1136" s="18" t="n"/>
      <c r="I1136" s="19" t="n"/>
      <c r="J1136" s="20" t="n"/>
      <c r="K1136" s="39">
        <f>IF(AND(I1136&lt;&gt;"",J1136&lt;&gt;""),I1136*J1136,"")</f>
        <v/>
      </c>
      <c r="L1136" s="18" t="n"/>
      <c r="M1136" s="18" t="n"/>
      <c r="N1136" s="20" t="n"/>
      <c r="O1136" s="20" t="n"/>
    </row>
    <row r="1137">
      <c r="A1137" s="41" t="n"/>
      <c r="B1137" s="35">
        <f>IF(A1137="","",YEAR(A1137))</f>
        <v/>
      </c>
      <c r="C1137" s="36">
        <f>IF(A1137="","",MONTH(A1137))</f>
        <v/>
      </c>
      <c r="D1137" s="37">
        <f>IF(A1137="","","Q"&amp;ROUNDUP(MONTH(A1137)/3,0))</f>
        <v/>
      </c>
      <c r="E1137" s="22" t="n"/>
      <c r="F1137" s="22" t="n"/>
      <c r="G1137" s="40">
        <f>IFERROR(VLOOKUP(F1137,M2_거래처마스터!A:E,3,FALSE),"")</f>
        <v/>
      </c>
      <c r="H1137" s="22" t="n"/>
      <c r="I1137" s="23" t="n"/>
      <c r="J1137" s="24" t="n"/>
      <c r="K1137" s="39">
        <f>IF(AND(I1137&lt;&gt;"",J1137&lt;&gt;""),I1137*J1137,"")</f>
        <v/>
      </c>
      <c r="L1137" s="22" t="n"/>
      <c r="M1137" s="22" t="n"/>
      <c r="N1137" s="24" t="n"/>
      <c r="O1137" s="24" t="n"/>
    </row>
    <row r="1138">
      <c r="A1138" s="34" t="n"/>
      <c r="B1138" s="35">
        <f>IF(A1138="","",YEAR(A1138))</f>
        <v/>
      </c>
      <c r="C1138" s="36">
        <f>IF(A1138="","",MONTH(A1138))</f>
        <v/>
      </c>
      <c r="D1138" s="37">
        <f>IF(A1138="","","Q"&amp;ROUNDUP(MONTH(A1138)/3,0))</f>
        <v/>
      </c>
      <c r="E1138" s="18" t="n"/>
      <c r="F1138" s="18" t="n"/>
      <c r="G1138" s="40">
        <f>IFERROR(VLOOKUP(F1138,M2_거래처마스터!A:E,3,FALSE),"")</f>
        <v/>
      </c>
      <c r="H1138" s="18" t="n"/>
      <c r="I1138" s="19" t="n"/>
      <c r="J1138" s="20" t="n"/>
      <c r="K1138" s="39">
        <f>IF(AND(I1138&lt;&gt;"",J1138&lt;&gt;""),I1138*J1138,"")</f>
        <v/>
      </c>
      <c r="L1138" s="18" t="n"/>
      <c r="M1138" s="18" t="n"/>
      <c r="N1138" s="20" t="n"/>
      <c r="O1138" s="20" t="n"/>
    </row>
    <row r="1139">
      <c r="A1139" s="41" t="n"/>
      <c r="B1139" s="35">
        <f>IF(A1139="","",YEAR(A1139))</f>
        <v/>
      </c>
      <c r="C1139" s="36">
        <f>IF(A1139="","",MONTH(A1139))</f>
        <v/>
      </c>
      <c r="D1139" s="37">
        <f>IF(A1139="","","Q"&amp;ROUNDUP(MONTH(A1139)/3,0))</f>
        <v/>
      </c>
      <c r="E1139" s="22" t="n"/>
      <c r="F1139" s="22" t="n"/>
      <c r="G1139" s="40">
        <f>IFERROR(VLOOKUP(F1139,M2_거래처마스터!A:E,3,FALSE),"")</f>
        <v/>
      </c>
      <c r="H1139" s="22" t="n"/>
      <c r="I1139" s="23" t="n"/>
      <c r="J1139" s="24" t="n"/>
      <c r="K1139" s="39">
        <f>IF(AND(I1139&lt;&gt;"",J1139&lt;&gt;""),I1139*J1139,"")</f>
        <v/>
      </c>
      <c r="L1139" s="22" t="n"/>
      <c r="M1139" s="22" t="n"/>
      <c r="N1139" s="24" t="n"/>
      <c r="O1139" s="24" t="n"/>
    </row>
    <row r="1140">
      <c r="A1140" s="34" t="n"/>
      <c r="B1140" s="35">
        <f>IF(A1140="","",YEAR(A1140))</f>
        <v/>
      </c>
      <c r="C1140" s="36">
        <f>IF(A1140="","",MONTH(A1140))</f>
        <v/>
      </c>
      <c r="D1140" s="37">
        <f>IF(A1140="","","Q"&amp;ROUNDUP(MONTH(A1140)/3,0))</f>
        <v/>
      </c>
      <c r="E1140" s="18" t="n"/>
      <c r="F1140" s="18" t="n"/>
      <c r="G1140" s="40">
        <f>IFERROR(VLOOKUP(F1140,M2_거래처마스터!A:E,3,FALSE),"")</f>
        <v/>
      </c>
      <c r="H1140" s="18" t="n"/>
      <c r="I1140" s="19" t="n"/>
      <c r="J1140" s="20" t="n"/>
      <c r="K1140" s="39">
        <f>IF(AND(I1140&lt;&gt;"",J1140&lt;&gt;""),I1140*J1140,"")</f>
        <v/>
      </c>
      <c r="L1140" s="18" t="n"/>
      <c r="M1140" s="18" t="n"/>
      <c r="N1140" s="20" t="n"/>
      <c r="O1140" s="20" t="n"/>
    </row>
    <row r="1141">
      <c r="A1141" s="41" t="n"/>
      <c r="B1141" s="35">
        <f>IF(A1141="","",YEAR(A1141))</f>
        <v/>
      </c>
      <c r="C1141" s="36">
        <f>IF(A1141="","",MONTH(A1141))</f>
        <v/>
      </c>
      <c r="D1141" s="37">
        <f>IF(A1141="","","Q"&amp;ROUNDUP(MONTH(A1141)/3,0))</f>
        <v/>
      </c>
      <c r="E1141" s="22" t="n"/>
      <c r="F1141" s="22" t="n"/>
      <c r="G1141" s="40">
        <f>IFERROR(VLOOKUP(F1141,M2_거래처마스터!A:E,3,FALSE),"")</f>
        <v/>
      </c>
      <c r="H1141" s="22" t="n"/>
      <c r="I1141" s="23" t="n"/>
      <c r="J1141" s="24" t="n"/>
      <c r="K1141" s="39">
        <f>IF(AND(I1141&lt;&gt;"",J1141&lt;&gt;""),I1141*J1141,"")</f>
        <v/>
      </c>
      <c r="L1141" s="22" t="n"/>
      <c r="M1141" s="22" t="n"/>
      <c r="N1141" s="24" t="n"/>
      <c r="O1141" s="24" t="n"/>
    </row>
    <row r="1142">
      <c r="A1142" s="34" t="n"/>
      <c r="B1142" s="35">
        <f>IF(A1142="","",YEAR(A1142))</f>
        <v/>
      </c>
      <c r="C1142" s="36">
        <f>IF(A1142="","",MONTH(A1142))</f>
        <v/>
      </c>
      <c r="D1142" s="37">
        <f>IF(A1142="","","Q"&amp;ROUNDUP(MONTH(A1142)/3,0))</f>
        <v/>
      </c>
      <c r="E1142" s="18" t="n"/>
      <c r="F1142" s="18" t="n"/>
      <c r="G1142" s="40">
        <f>IFERROR(VLOOKUP(F1142,M2_거래처마스터!A:E,3,FALSE),"")</f>
        <v/>
      </c>
      <c r="H1142" s="18" t="n"/>
      <c r="I1142" s="19" t="n"/>
      <c r="J1142" s="20" t="n"/>
      <c r="K1142" s="39">
        <f>IF(AND(I1142&lt;&gt;"",J1142&lt;&gt;""),I1142*J1142,"")</f>
        <v/>
      </c>
      <c r="L1142" s="18" t="n"/>
      <c r="M1142" s="18" t="n"/>
      <c r="N1142" s="20" t="n"/>
      <c r="O1142" s="20" t="n"/>
    </row>
    <row r="1143">
      <c r="A1143" s="41" t="n"/>
      <c r="B1143" s="35">
        <f>IF(A1143="","",YEAR(A1143))</f>
        <v/>
      </c>
      <c r="C1143" s="36">
        <f>IF(A1143="","",MONTH(A1143))</f>
        <v/>
      </c>
      <c r="D1143" s="37">
        <f>IF(A1143="","","Q"&amp;ROUNDUP(MONTH(A1143)/3,0))</f>
        <v/>
      </c>
      <c r="E1143" s="22" t="n"/>
      <c r="F1143" s="22" t="n"/>
      <c r="G1143" s="40">
        <f>IFERROR(VLOOKUP(F1143,M2_거래처마스터!A:E,3,FALSE),"")</f>
        <v/>
      </c>
      <c r="H1143" s="22" t="n"/>
      <c r="I1143" s="23" t="n"/>
      <c r="J1143" s="24" t="n"/>
      <c r="K1143" s="39">
        <f>IF(AND(I1143&lt;&gt;"",J1143&lt;&gt;""),I1143*J1143,"")</f>
        <v/>
      </c>
      <c r="L1143" s="22" t="n"/>
      <c r="M1143" s="22" t="n"/>
      <c r="N1143" s="24" t="n"/>
      <c r="O1143" s="24" t="n"/>
    </row>
    <row r="1144">
      <c r="A1144" s="34" t="n"/>
      <c r="B1144" s="35">
        <f>IF(A1144="","",YEAR(A1144))</f>
        <v/>
      </c>
      <c r="C1144" s="36">
        <f>IF(A1144="","",MONTH(A1144))</f>
        <v/>
      </c>
      <c r="D1144" s="37">
        <f>IF(A1144="","","Q"&amp;ROUNDUP(MONTH(A1144)/3,0))</f>
        <v/>
      </c>
      <c r="E1144" s="18" t="n"/>
      <c r="F1144" s="18" t="n"/>
      <c r="G1144" s="40">
        <f>IFERROR(VLOOKUP(F1144,M2_거래처마스터!A:E,3,FALSE),"")</f>
        <v/>
      </c>
      <c r="H1144" s="18" t="n"/>
      <c r="I1144" s="19" t="n"/>
      <c r="J1144" s="20" t="n"/>
      <c r="K1144" s="39">
        <f>IF(AND(I1144&lt;&gt;"",J1144&lt;&gt;""),I1144*J1144,"")</f>
        <v/>
      </c>
      <c r="L1144" s="18" t="n"/>
      <c r="M1144" s="18" t="n"/>
      <c r="N1144" s="20" t="n"/>
      <c r="O1144" s="20" t="n"/>
    </row>
    <row r="1145">
      <c r="A1145" s="41" t="n"/>
      <c r="B1145" s="35">
        <f>IF(A1145="","",YEAR(A1145))</f>
        <v/>
      </c>
      <c r="C1145" s="36">
        <f>IF(A1145="","",MONTH(A1145))</f>
        <v/>
      </c>
      <c r="D1145" s="37">
        <f>IF(A1145="","","Q"&amp;ROUNDUP(MONTH(A1145)/3,0))</f>
        <v/>
      </c>
      <c r="E1145" s="22" t="n"/>
      <c r="F1145" s="22" t="n"/>
      <c r="G1145" s="40">
        <f>IFERROR(VLOOKUP(F1145,M2_거래처마스터!A:E,3,FALSE),"")</f>
        <v/>
      </c>
      <c r="H1145" s="22" t="n"/>
      <c r="I1145" s="23" t="n"/>
      <c r="J1145" s="24" t="n"/>
      <c r="K1145" s="39">
        <f>IF(AND(I1145&lt;&gt;"",J1145&lt;&gt;""),I1145*J1145,"")</f>
        <v/>
      </c>
      <c r="L1145" s="22" t="n"/>
      <c r="M1145" s="22" t="n"/>
      <c r="N1145" s="24" t="n"/>
      <c r="O1145" s="24" t="n"/>
    </row>
    <row r="1146">
      <c r="A1146" s="34" t="n"/>
      <c r="B1146" s="35">
        <f>IF(A1146="","",YEAR(A1146))</f>
        <v/>
      </c>
      <c r="C1146" s="36">
        <f>IF(A1146="","",MONTH(A1146))</f>
        <v/>
      </c>
      <c r="D1146" s="37">
        <f>IF(A1146="","","Q"&amp;ROUNDUP(MONTH(A1146)/3,0))</f>
        <v/>
      </c>
      <c r="E1146" s="18" t="n"/>
      <c r="F1146" s="18" t="n"/>
      <c r="G1146" s="40">
        <f>IFERROR(VLOOKUP(F1146,M2_거래처마스터!A:E,3,FALSE),"")</f>
        <v/>
      </c>
      <c r="H1146" s="18" t="n"/>
      <c r="I1146" s="19" t="n"/>
      <c r="J1146" s="20" t="n"/>
      <c r="K1146" s="39">
        <f>IF(AND(I1146&lt;&gt;"",J1146&lt;&gt;""),I1146*J1146,"")</f>
        <v/>
      </c>
      <c r="L1146" s="18" t="n"/>
      <c r="M1146" s="18" t="n"/>
      <c r="N1146" s="20" t="n"/>
      <c r="O1146" s="20" t="n"/>
    </row>
    <row r="1147">
      <c r="A1147" s="41" t="n"/>
      <c r="B1147" s="35">
        <f>IF(A1147="","",YEAR(A1147))</f>
        <v/>
      </c>
      <c r="C1147" s="36">
        <f>IF(A1147="","",MONTH(A1147))</f>
        <v/>
      </c>
      <c r="D1147" s="37">
        <f>IF(A1147="","","Q"&amp;ROUNDUP(MONTH(A1147)/3,0))</f>
        <v/>
      </c>
      <c r="E1147" s="22" t="n"/>
      <c r="F1147" s="22" t="n"/>
      <c r="G1147" s="40">
        <f>IFERROR(VLOOKUP(F1147,M2_거래처마스터!A:E,3,FALSE),"")</f>
        <v/>
      </c>
      <c r="H1147" s="22" t="n"/>
      <c r="I1147" s="23" t="n"/>
      <c r="J1147" s="24" t="n"/>
      <c r="K1147" s="39">
        <f>IF(AND(I1147&lt;&gt;"",J1147&lt;&gt;""),I1147*J1147,"")</f>
        <v/>
      </c>
      <c r="L1147" s="22" t="n"/>
      <c r="M1147" s="22" t="n"/>
      <c r="N1147" s="24" t="n"/>
      <c r="O1147" s="24" t="n"/>
    </row>
    <row r="1148">
      <c r="A1148" s="34" t="n"/>
      <c r="B1148" s="35">
        <f>IF(A1148="","",YEAR(A1148))</f>
        <v/>
      </c>
      <c r="C1148" s="36">
        <f>IF(A1148="","",MONTH(A1148))</f>
        <v/>
      </c>
      <c r="D1148" s="37">
        <f>IF(A1148="","","Q"&amp;ROUNDUP(MONTH(A1148)/3,0))</f>
        <v/>
      </c>
      <c r="E1148" s="18" t="n"/>
      <c r="F1148" s="18" t="n"/>
      <c r="G1148" s="40">
        <f>IFERROR(VLOOKUP(F1148,M2_거래처마스터!A:E,3,FALSE),"")</f>
        <v/>
      </c>
      <c r="H1148" s="18" t="n"/>
      <c r="I1148" s="19" t="n"/>
      <c r="J1148" s="20" t="n"/>
      <c r="K1148" s="39">
        <f>IF(AND(I1148&lt;&gt;"",J1148&lt;&gt;""),I1148*J1148,"")</f>
        <v/>
      </c>
      <c r="L1148" s="18" t="n"/>
      <c r="M1148" s="18" t="n"/>
      <c r="N1148" s="20" t="n"/>
      <c r="O1148" s="20" t="n"/>
    </row>
    <row r="1149">
      <c r="A1149" s="41" t="n"/>
      <c r="B1149" s="35">
        <f>IF(A1149="","",YEAR(A1149))</f>
        <v/>
      </c>
      <c r="C1149" s="36">
        <f>IF(A1149="","",MONTH(A1149))</f>
        <v/>
      </c>
      <c r="D1149" s="37">
        <f>IF(A1149="","","Q"&amp;ROUNDUP(MONTH(A1149)/3,0))</f>
        <v/>
      </c>
      <c r="E1149" s="22" t="n"/>
      <c r="F1149" s="22" t="n"/>
      <c r="G1149" s="40">
        <f>IFERROR(VLOOKUP(F1149,M2_거래처마스터!A:E,3,FALSE),"")</f>
        <v/>
      </c>
      <c r="H1149" s="22" t="n"/>
      <c r="I1149" s="23" t="n"/>
      <c r="J1149" s="24" t="n"/>
      <c r="K1149" s="39">
        <f>IF(AND(I1149&lt;&gt;"",J1149&lt;&gt;""),I1149*J1149,"")</f>
        <v/>
      </c>
      <c r="L1149" s="22" t="n"/>
      <c r="M1149" s="22" t="n"/>
      <c r="N1149" s="24" t="n"/>
      <c r="O1149" s="24" t="n"/>
    </row>
    <row r="1150">
      <c r="A1150" s="34" t="n"/>
      <c r="B1150" s="35">
        <f>IF(A1150="","",YEAR(A1150))</f>
        <v/>
      </c>
      <c r="C1150" s="36">
        <f>IF(A1150="","",MONTH(A1150))</f>
        <v/>
      </c>
      <c r="D1150" s="37">
        <f>IF(A1150="","","Q"&amp;ROUNDUP(MONTH(A1150)/3,0))</f>
        <v/>
      </c>
      <c r="E1150" s="18" t="n"/>
      <c r="F1150" s="18" t="n"/>
      <c r="G1150" s="40">
        <f>IFERROR(VLOOKUP(F1150,M2_거래처마스터!A:E,3,FALSE),"")</f>
        <v/>
      </c>
      <c r="H1150" s="18" t="n"/>
      <c r="I1150" s="19" t="n"/>
      <c r="J1150" s="20" t="n"/>
      <c r="K1150" s="39">
        <f>IF(AND(I1150&lt;&gt;"",J1150&lt;&gt;""),I1150*J1150,"")</f>
        <v/>
      </c>
      <c r="L1150" s="18" t="n"/>
      <c r="M1150" s="18" t="n"/>
      <c r="N1150" s="20" t="n"/>
      <c r="O1150" s="20" t="n"/>
    </row>
    <row r="1151">
      <c r="A1151" s="41" t="n"/>
      <c r="B1151" s="35">
        <f>IF(A1151="","",YEAR(A1151))</f>
        <v/>
      </c>
      <c r="C1151" s="36">
        <f>IF(A1151="","",MONTH(A1151))</f>
        <v/>
      </c>
      <c r="D1151" s="37">
        <f>IF(A1151="","","Q"&amp;ROUNDUP(MONTH(A1151)/3,0))</f>
        <v/>
      </c>
      <c r="E1151" s="22" t="n"/>
      <c r="F1151" s="22" t="n"/>
      <c r="G1151" s="40">
        <f>IFERROR(VLOOKUP(F1151,M2_거래처마스터!A:E,3,FALSE),"")</f>
        <v/>
      </c>
      <c r="H1151" s="22" t="n"/>
      <c r="I1151" s="23" t="n"/>
      <c r="J1151" s="24" t="n"/>
      <c r="K1151" s="39">
        <f>IF(AND(I1151&lt;&gt;"",J1151&lt;&gt;""),I1151*J1151,"")</f>
        <v/>
      </c>
      <c r="L1151" s="22" t="n"/>
      <c r="M1151" s="22" t="n"/>
      <c r="N1151" s="24" t="n"/>
      <c r="O1151" s="24" t="n"/>
    </row>
    <row r="1152">
      <c r="A1152" s="34" t="n"/>
      <c r="B1152" s="35">
        <f>IF(A1152="","",YEAR(A1152))</f>
        <v/>
      </c>
      <c r="C1152" s="36">
        <f>IF(A1152="","",MONTH(A1152))</f>
        <v/>
      </c>
      <c r="D1152" s="37">
        <f>IF(A1152="","","Q"&amp;ROUNDUP(MONTH(A1152)/3,0))</f>
        <v/>
      </c>
      <c r="E1152" s="18" t="n"/>
      <c r="F1152" s="18" t="n"/>
      <c r="G1152" s="40">
        <f>IFERROR(VLOOKUP(F1152,M2_거래처마스터!A:E,3,FALSE),"")</f>
        <v/>
      </c>
      <c r="H1152" s="18" t="n"/>
      <c r="I1152" s="19" t="n"/>
      <c r="J1152" s="20" t="n"/>
      <c r="K1152" s="39">
        <f>IF(AND(I1152&lt;&gt;"",J1152&lt;&gt;""),I1152*J1152,"")</f>
        <v/>
      </c>
      <c r="L1152" s="18" t="n"/>
      <c r="M1152" s="18" t="n"/>
      <c r="N1152" s="20" t="n"/>
      <c r="O1152" s="20" t="n"/>
    </row>
    <row r="1153">
      <c r="A1153" s="41" t="n"/>
      <c r="B1153" s="35">
        <f>IF(A1153="","",YEAR(A1153))</f>
        <v/>
      </c>
      <c r="C1153" s="36">
        <f>IF(A1153="","",MONTH(A1153))</f>
        <v/>
      </c>
      <c r="D1153" s="37">
        <f>IF(A1153="","","Q"&amp;ROUNDUP(MONTH(A1153)/3,0))</f>
        <v/>
      </c>
      <c r="E1153" s="22" t="n"/>
      <c r="F1153" s="22" t="n"/>
      <c r="G1153" s="40">
        <f>IFERROR(VLOOKUP(F1153,M2_거래처마스터!A:E,3,FALSE),"")</f>
        <v/>
      </c>
      <c r="H1153" s="22" t="n"/>
      <c r="I1153" s="23" t="n"/>
      <c r="J1153" s="24" t="n"/>
      <c r="K1153" s="39">
        <f>IF(AND(I1153&lt;&gt;"",J1153&lt;&gt;""),I1153*J1153,"")</f>
        <v/>
      </c>
      <c r="L1153" s="22" t="n"/>
      <c r="M1153" s="22" t="n"/>
      <c r="N1153" s="24" t="n"/>
      <c r="O1153" s="24" t="n"/>
    </row>
    <row r="1154">
      <c r="A1154" s="34" t="n"/>
      <c r="B1154" s="35">
        <f>IF(A1154="","",YEAR(A1154))</f>
        <v/>
      </c>
      <c r="C1154" s="36">
        <f>IF(A1154="","",MONTH(A1154))</f>
        <v/>
      </c>
      <c r="D1154" s="37">
        <f>IF(A1154="","","Q"&amp;ROUNDUP(MONTH(A1154)/3,0))</f>
        <v/>
      </c>
      <c r="E1154" s="18" t="n"/>
      <c r="F1154" s="18" t="n"/>
      <c r="G1154" s="40">
        <f>IFERROR(VLOOKUP(F1154,M2_거래처마스터!A:E,3,FALSE),"")</f>
        <v/>
      </c>
      <c r="H1154" s="18" t="n"/>
      <c r="I1154" s="19" t="n"/>
      <c r="J1154" s="20" t="n"/>
      <c r="K1154" s="39">
        <f>IF(AND(I1154&lt;&gt;"",J1154&lt;&gt;""),I1154*J1154,"")</f>
        <v/>
      </c>
      <c r="L1154" s="18" t="n"/>
      <c r="M1154" s="18" t="n"/>
      <c r="N1154" s="20" t="n"/>
      <c r="O1154" s="20" t="n"/>
    </row>
    <row r="1155">
      <c r="A1155" s="41" t="n"/>
      <c r="B1155" s="35">
        <f>IF(A1155="","",YEAR(A1155))</f>
        <v/>
      </c>
      <c r="C1155" s="36">
        <f>IF(A1155="","",MONTH(A1155))</f>
        <v/>
      </c>
      <c r="D1155" s="37">
        <f>IF(A1155="","","Q"&amp;ROUNDUP(MONTH(A1155)/3,0))</f>
        <v/>
      </c>
      <c r="E1155" s="22" t="n"/>
      <c r="F1155" s="22" t="n"/>
      <c r="G1155" s="40">
        <f>IFERROR(VLOOKUP(F1155,M2_거래처마스터!A:E,3,FALSE),"")</f>
        <v/>
      </c>
      <c r="H1155" s="22" t="n"/>
      <c r="I1155" s="23" t="n"/>
      <c r="J1155" s="24" t="n"/>
      <c r="K1155" s="39">
        <f>IF(AND(I1155&lt;&gt;"",J1155&lt;&gt;""),I1155*J1155,"")</f>
        <v/>
      </c>
      <c r="L1155" s="22" t="n"/>
      <c r="M1155" s="22" t="n"/>
      <c r="N1155" s="24" t="n"/>
      <c r="O1155" s="24" t="n"/>
    </row>
    <row r="1156">
      <c r="A1156" s="34" t="n"/>
      <c r="B1156" s="35">
        <f>IF(A1156="","",YEAR(A1156))</f>
        <v/>
      </c>
      <c r="C1156" s="36">
        <f>IF(A1156="","",MONTH(A1156))</f>
        <v/>
      </c>
      <c r="D1156" s="37">
        <f>IF(A1156="","","Q"&amp;ROUNDUP(MONTH(A1156)/3,0))</f>
        <v/>
      </c>
      <c r="E1156" s="18" t="n"/>
      <c r="F1156" s="18" t="n"/>
      <c r="G1156" s="40">
        <f>IFERROR(VLOOKUP(F1156,M2_거래처마스터!A:E,3,FALSE),"")</f>
        <v/>
      </c>
      <c r="H1156" s="18" t="n"/>
      <c r="I1156" s="19" t="n"/>
      <c r="J1156" s="20" t="n"/>
      <c r="K1156" s="39">
        <f>IF(AND(I1156&lt;&gt;"",J1156&lt;&gt;""),I1156*J1156,"")</f>
        <v/>
      </c>
      <c r="L1156" s="18" t="n"/>
      <c r="M1156" s="18" t="n"/>
      <c r="N1156" s="20" t="n"/>
      <c r="O1156" s="20" t="n"/>
    </row>
    <row r="1157">
      <c r="A1157" s="41" t="n"/>
      <c r="B1157" s="35">
        <f>IF(A1157="","",YEAR(A1157))</f>
        <v/>
      </c>
      <c r="C1157" s="36">
        <f>IF(A1157="","",MONTH(A1157))</f>
        <v/>
      </c>
      <c r="D1157" s="37">
        <f>IF(A1157="","","Q"&amp;ROUNDUP(MONTH(A1157)/3,0))</f>
        <v/>
      </c>
      <c r="E1157" s="22" t="n"/>
      <c r="F1157" s="22" t="n"/>
      <c r="G1157" s="40">
        <f>IFERROR(VLOOKUP(F1157,M2_거래처마스터!A:E,3,FALSE),"")</f>
        <v/>
      </c>
      <c r="H1157" s="22" t="n"/>
      <c r="I1157" s="23" t="n"/>
      <c r="J1157" s="24" t="n"/>
      <c r="K1157" s="39">
        <f>IF(AND(I1157&lt;&gt;"",J1157&lt;&gt;""),I1157*J1157,"")</f>
        <v/>
      </c>
      <c r="L1157" s="22" t="n"/>
      <c r="M1157" s="22" t="n"/>
      <c r="N1157" s="24" t="n"/>
      <c r="O1157" s="24" t="n"/>
    </row>
    <row r="1158">
      <c r="A1158" s="34" t="n"/>
      <c r="B1158" s="35">
        <f>IF(A1158="","",YEAR(A1158))</f>
        <v/>
      </c>
      <c r="C1158" s="36">
        <f>IF(A1158="","",MONTH(A1158))</f>
        <v/>
      </c>
      <c r="D1158" s="37">
        <f>IF(A1158="","","Q"&amp;ROUNDUP(MONTH(A1158)/3,0))</f>
        <v/>
      </c>
      <c r="E1158" s="18" t="n"/>
      <c r="F1158" s="18" t="n"/>
      <c r="G1158" s="40">
        <f>IFERROR(VLOOKUP(F1158,M2_거래처마스터!A:E,3,FALSE),"")</f>
        <v/>
      </c>
      <c r="H1158" s="18" t="n"/>
      <c r="I1158" s="19" t="n"/>
      <c r="J1158" s="20" t="n"/>
      <c r="K1158" s="39">
        <f>IF(AND(I1158&lt;&gt;"",J1158&lt;&gt;""),I1158*J1158,"")</f>
        <v/>
      </c>
      <c r="L1158" s="18" t="n"/>
      <c r="M1158" s="18" t="n"/>
      <c r="N1158" s="20" t="n"/>
      <c r="O1158" s="20" t="n"/>
    </row>
    <row r="1159">
      <c r="A1159" s="41" t="n"/>
      <c r="B1159" s="35">
        <f>IF(A1159="","",YEAR(A1159))</f>
        <v/>
      </c>
      <c r="C1159" s="36">
        <f>IF(A1159="","",MONTH(A1159))</f>
        <v/>
      </c>
      <c r="D1159" s="37">
        <f>IF(A1159="","","Q"&amp;ROUNDUP(MONTH(A1159)/3,0))</f>
        <v/>
      </c>
      <c r="E1159" s="22" t="n"/>
      <c r="F1159" s="22" t="n"/>
      <c r="G1159" s="40">
        <f>IFERROR(VLOOKUP(F1159,M2_거래처마스터!A:E,3,FALSE),"")</f>
        <v/>
      </c>
      <c r="H1159" s="22" t="n"/>
      <c r="I1159" s="23" t="n"/>
      <c r="J1159" s="24" t="n"/>
      <c r="K1159" s="39">
        <f>IF(AND(I1159&lt;&gt;"",J1159&lt;&gt;""),I1159*J1159,"")</f>
        <v/>
      </c>
      <c r="L1159" s="22" t="n"/>
      <c r="M1159" s="22" t="n"/>
      <c r="N1159" s="24" t="n"/>
      <c r="O1159" s="24" t="n"/>
    </row>
    <row r="1160">
      <c r="A1160" s="34" t="n"/>
      <c r="B1160" s="35">
        <f>IF(A1160="","",YEAR(A1160))</f>
        <v/>
      </c>
      <c r="C1160" s="36">
        <f>IF(A1160="","",MONTH(A1160))</f>
        <v/>
      </c>
      <c r="D1160" s="37">
        <f>IF(A1160="","","Q"&amp;ROUNDUP(MONTH(A1160)/3,0))</f>
        <v/>
      </c>
      <c r="E1160" s="18" t="n"/>
      <c r="F1160" s="18" t="n"/>
      <c r="G1160" s="40">
        <f>IFERROR(VLOOKUP(F1160,M2_거래처마스터!A:E,3,FALSE),"")</f>
        <v/>
      </c>
      <c r="H1160" s="18" t="n"/>
      <c r="I1160" s="19" t="n"/>
      <c r="J1160" s="20" t="n"/>
      <c r="K1160" s="39">
        <f>IF(AND(I1160&lt;&gt;"",J1160&lt;&gt;""),I1160*J1160,"")</f>
        <v/>
      </c>
      <c r="L1160" s="18" t="n"/>
      <c r="M1160" s="18" t="n"/>
      <c r="N1160" s="20" t="n"/>
      <c r="O1160" s="20" t="n"/>
    </row>
    <row r="1161">
      <c r="A1161" s="41" t="n"/>
      <c r="B1161" s="35">
        <f>IF(A1161="","",YEAR(A1161))</f>
        <v/>
      </c>
      <c r="C1161" s="36">
        <f>IF(A1161="","",MONTH(A1161))</f>
        <v/>
      </c>
      <c r="D1161" s="37">
        <f>IF(A1161="","","Q"&amp;ROUNDUP(MONTH(A1161)/3,0))</f>
        <v/>
      </c>
      <c r="E1161" s="22" t="n"/>
      <c r="F1161" s="22" t="n"/>
      <c r="G1161" s="40">
        <f>IFERROR(VLOOKUP(F1161,M2_거래처마스터!A:E,3,FALSE),"")</f>
        <v/>
      </c>
      <c r="H1161" s="22" t="n"/>
      <c r="I1161" s="23" t="n"/>
      <c r="J1161" s="24" t="n"/>
      <c r="K1161" s="39">
        <f>IF(AND(I1161&lt;&gt;"",J1161&lt;&gt;""),I1161*J1161,"")</f>
        <v/>
      </c>
      <c r="L1161" s="22" t="n"/>
      <c r="M1161" s="22" t="n"/>
      <c r="N1161" s="24" t="n"/>
      <c r="O1161" s="24" t="n"/>
    </row>
    <row r="1162">
      <c r="A1162" s="34" t="n"/>
      <c r="B1162" s="35">
        <f>IF(A1162="","",YEAR(A1162))</f>
        <v/>
      </c>
      <c r="C1162" s="36">
        <f>IF(A1162="","",MONTH(A1162))</f>
        <v/>
      </c>
      <c r="D1162" s="37">
        <f>IF(A1162="","","Q"&amp;ROUNDUP(MONTH(A1162)/3,0))</f>
        <v/>
      </c>
      <c r="E1162" s="18" t="n"/>
      <c r="F1162" s="18" t="n"/>
      <c r="G1162" s="40">
        <f>IFERROR(VLOOKUP(F1162,M2_거래처마스터!A:E,3,FALSE),"")</f>
        <v/>
      </c>
      <c r="H1162" s="18" t="n"/>
      <c r="I1162" s="19" t="n"/>
      <c r="J1162" s="20" t="n"/>
      <c r="K1162" s="39">
        <f>IF(AND(I1162&lt;&gt;"",J1162&lt;&gt;""),I1162*J1162,"")</f>
        <v/>
      </c>
      <c r="L1162" s="18" t="n"/>
      <c r="M1162" s="18" t="n"/>
      <c r="N1162" s="20" t="n"/>
      <c r="O1162" s="20" t="n"/>
    </row>
    <row r="1163">
      <c r="A1163" s="41" t="n"/>
      <c r="B1163" s="35">
        <f>IF(A1163="","",YEAR(A1163))</f>
        <v/>
      </c>
      <c r="C1163" s="36">
        <f>IF(A1163="","",MONTH(A1163))</f>
        <v/>
      </c>
      <c r="D1163" s="37">
        <f>IF(A1163="","","Q"&amp;ROUNDUP(MONTH(A1163)/3,0))</f>
        <v/>
      </c>
      <c r="E1163" s="22" t="n"/>
      <c r="F1163" s="22" t="n"/>
      <c r="G1163" s="40">
        <f>IFERROR(VLOOKUP(F1163,M2_거래처마스터!A:E,3,FALSE),"")</f>
        <v/>
      </c>
      <c r="H1163" s="22" t="n"/>
      <c r="I1163" s="23" t="n"/>
      <c r="J1163" s="24" t="n"/>
      <c r="K1163" s="39">
        <f>IF(AND(I1163&lt;&gt;"",J1163&lt;&gt;""),I1163*J1163,"")</f>
        <v/>
      </c>
      <c r="L1163" s="22" t="n"/>
      <c r="M1163" s="22" t="n"/>
      <c r="N1163" s="24" t="n"/>
      <c r="O1163" s="24" t="n"/>
    </row>
    <row r="1164">
      <c r="A1164" s="34" t="n"/>
      <c r="B1164" s="35">
        <f>IF(A1164="","",YEAR(A1164))</f>
        <v/>
      </c>
      <c r="C1164" s="36">
        <f>IF(A1164="","",MONTH(A1164))</f>
        <v/>
      </c>
      <c r="D1164" s="37">
        <f>IF(A1164="","","Q"&amp;ROUNDUP(MONTH(A1164)/3,0))</f>
        <v/>
      </c>
      <c r="E1164" s="18" t="n"/>
      <c r="F1164" s="18" t="n"/>
      <c r="G1164" s="40">
        <f>IFERROR(VLOOKUP(F1164,M2_거래처마스터!A:E,3,FALSE),"")</f>
        <v/>
      </c>
      <c r="H1164" s="18" t="n"/>
      <c r="I1164" s="19" t="n"/>
      <c r="J1164" s="20" t="n"/>
      <c r="K1164" s="39">
        <f>IF(AND(I1164&lt;&gt;"",J1164&lt;&gt;""),I1164*J1164,"")</f>
        <v/>
      </c>
      <c r="L1164" s="18" t="n"/>
      <c r="M1164" s="18" t="n"/>
      <c r="N1164" s="20" t="n"/>
      <c r="O1164" s="20" t="n"/>
    </row>
    <row r="1165">
      <c r="A1165" s="41" t="n"/>
      <c r="B1165" s="35">
        <f>IF(A1165="","",YEAR(A1165))</f>
        <v/>
      </c>
      <c r="C1165" s="36">
        <f>IF(A1165="","",MONTH(A1165))</f>
        <v/>
      </c>
      <c r="D1165" s="37">
        <f>IF(A1165="","","Q"&amp;ROUNDUP(MONTH(A1165)/3,0))</f>
        <v/>
      </c>
      <c r="E1165" s="22" t="n"/>
      <c r="F1165" s="22" t="n"/>
      <c r="G1165" s="40">
        <f>IFERROR(VLOOKUP(F1165,M2_거래처마스터!A:E,3,FALSE),"")</f>
        <v/>
      </c>
      <c r="H1165" s="22" t="n"/>
      <c r="I1165" s="23" t="n"/>
      <c r="J1165" s="24" t="n"/>
      <c r="K1165" s="39">
        <f>IF(AND(I1165&lt;&gt;"",J1165&lt;&gt;""),I1165*J1165,"")</f>
        <v/>
      </c>
      <c r="L1165" s="22" t="n"/>
      <c r="M1165" s="22" t="n"/>
      <c r="N1165" s="24" t="n"/>
      <c r="O1165" s="24" t="n"/>
    </row>
    <row r="1166">
      <c r="A1166" s="34" t="n"/>
      <c r="B1166" s="35">
        <f>IF(A1166="","",YEAR(A1166))</f>
        <v/>
      </c>
      <c r="C1166" s="36">
        <f>IF(A1166="","",MONTH(A1166))</f>
        <v/>
      </c>
      <c r="D1166" s="37">
        <f>IF(A1166="","","Q"&amp;ROUNDUP(MONTH(A1166)/3,0))</f>
        <v/>
      </c>
      <c r="E1166" s="18" t="n"/>
      <c r="F1166" s="18" t="n"/>
      <c r="G1166" s="40">
        <f>IFERROR(VLOOKUP(F1166,M2_거래처마스터!A:E,3,FALSE),"")</f>
        <v/>
      </c>
      <c r="H1166" s="18" t="n"/>
      <c r="I1166" s="19" t="n"/>
      <c r="J1166" s="20" t="n"/>
      <c r="K1166" s="39">
        <f>IF(AND(I1166&lt;&gt;"",J1166&lt;&gt;""),I1166*J1166,"")</f>
        <v/>
      </c>
      <c r="L1166" s="18" t="n"/>
      <c r="M1166" s="18" t="n"/>
      <c r="N1166" s="20" t="n"/>
      <c r="O1166" s="20" t="n"/>
    </row>
    <row r="1167">
      <c r="A1167" s="41" t="n"/>
      <c r="B1167" s="35">
        <f>IF(A1167="","",YEAR(A1167))</f>
        <v/>
      </c>
      <c r="C1167" s="36">
        <f>IF(A1167="","",MONTH(A1167))</f>
        <v/>
      </c>
      <c r="D1167" s="37">
        <f>IF(A1167="","","Q"&amp;ROUNDUP(MONTH(A1167)/3,0))</f>
        <v/>
      </c>
      <c r="E1167" s="22" t="n"/>
      <c r="F1167" s="22" t="n"/>
      <c r="G1167" s="40">
        <f>IFERROR(VLOOKUP(F1167,M2_거래처마스터!A:E,3,FALSE),"")</f>
        <v/>
      </c>
      <c r="H1167" s="22" t="n"/>
      <c r="I1167" s="23" t="n"/>
      <c r="J1167" s="24" t="n"/>
      <c r="K1167" s="39">
        <f>IF(AND(I1167&lt;&gt;"",J1167&lt;&gt;""),I1167*J1167,"")</f>
        <v/>
      </c>
      <c r="L1167" s="22" t="n"/>
      <c r="M1167" s="22" t="n"/>
      <c r="N1167" s="24" t="n"/>
      <c r="O1167" s="24" t="n"/>
    </row>
    <row r="1168">
      <c r="A1168" s="34" t="n"/>
      <c r="B1168" s="35">
        <f>IF(A1168="","",YEAR(A1168))</f>
        <v/>
      </c>
      <c r="C1168" s="36">
        <f>IF(A1168="","",MONTH(A1168))</f>
        <v/>
      </c>
      <c r="D1168" s="37">
        <f>IF(A1168="","","Q"&amp;ROUNDUP(MONTH(A1168)/3,0))</f>
        <v/>
      </c>
      <c r="E1168" s="18" t="n"/>
      <c r="F1168" s="18" t="n"/>
      <c r="G1168" s="40">
        <f>IFERROR(VLOOKUP(F1168,M2_거래처마스터!A:E,3,FALSE),"")</f>
        <v/>
      </c>
      <c r="H1168" s="18" t="n"/>
      <c r="I1168" s="19" t="n"/>
      <c r="J1168" s="20" t="n"/>
      <c r="K1168" s="39">
        <f>IF(AND(I1168&lt;&gt;"",J1168&lt;&gt;""),I1168*J1168,"")</f>
        <v/>
      </c>
      <c r="L1168" s="18" t="n"/>
      <c r="M1168" s="18" t="n"/>
      <c r="N1168" s="20" t="n"/>
      <c r="O1168" s="20" t="n"/>
    </row>
    <row r="1169">
      <c r="A1169" s="41" t="n"/>
      <c r="B1169" s="35">
        <f>IF(A1169="","",YEAR(A1169))</f>
        <v/>
      </c>
      <c r="C1169" s="36">
        <f>IF(A1169="","",MONTH(A1169))</f>
        <v/>
      </c>
      <c r="D1169" s="37">
        <f>IF(A1169="","","Q"&amp;ROUNDUP(MONTH(A1169)/3,0))</f>
        <v/>
      </c>
      <c r="E1169" s="22" t="n"/>
      <c r="F1169" s="22" t="n"/>
      <c r="G1169" s="40">
        <f>IFERROR(VLOOKUP(F1169,M2_거래처마스터!A:E,3,FALSE),"")</f>
        <v/>
      </c>
      <c r="H1169" s="22" t="n"/>
      <c r="I1169" s="23" t="n"/>
      <c r="J1169" s="24" t="n"/>
      <c r="K1169" s="39">
        <f>IF(AND(I1169&lt;&gt;"",J1169&lt;&gt;""),I1169*J1169,"")</f>
        <v/>
      </c>
      <c r="L1169" s="22" t="n"/>
      <c r="M1169" s="22" t="n"/>
      <c r="N1169" s="24" t="n"/>
      <c r="O1169" s="24" t="n"/>
    </row>
    <row r="1170">
      <c r="A1170" s="34" t="n"/>
      <c r="B1170" s="35">
        <f>IF(A1170="","",YEAR(A1170))</f>
        <v/>
      </c>
      <c r="C1170" s="36">
        <f>IF(A1170="","",MONTH(A1170))</f>
        <v/>
      </c>
      <c r="D1170" s="37">
        <f>IF(A1170="","","Q"&amp;ROUNDUP(MONTH(A1170)/3,0))</f>
        <v/>
      </c>
      <c r="E1170" s="18" t="n"/>
      <c r="F1170" s="18" t="n"/>
      <c r="G1170" s="40">
        <f>IFERROR(VLOOKUP(F1170,M2_거래처마스터!A:E,3,FALSE),"")</f>
        <v/>
      </c>
      <c r="H1170" s="18" t="n"/>
      <c r="I1170" s="19" t="n"/>
      <c r="J1170" s="20" t="n"/>
      <c r="K1170" s="39">
        <f>IF(AND(I1170&lt;&gt;"",J1170&lt;&gt;""),I1170*J1170,"")</f>
        <v/>
      </c>
      <c r="L1170" s="18" t="n"/>
      <c r="M1170" s="18" t="n"/>
      <c r="N1170" s="20" t="n"/>
      <c r="O1170" s="20" t="n"/>
    </row>
    <row r="1171">
      <c r="A1171" s="41" t="n"/>
      <c r="B1171" s="35">
        <f>IF(A1171="","",YEAR(A1171))</f>
        <v/>
      </c>
      <c r="C1171" s="36">
        <f>IF(A1171="","",MONTH(A1171))</f>
        <v/>
      </c>
      <c r="D1171" s="37">
        <f>IF(A1171="","","Q"&amp;ROUNDUP(MONTH(A1171)/3,0))</f>
        <v/>
      </c>
      <c r="E1171" s="22" t="n"/>
      <c r="F1171" s="22" t="n"/>
      <c r="G1171" s="40">
        <f>IFERROR(VLOOKUP(F1171,M2_거래처마스터!A:E,3,FALSE),"")</f>
        <v/>
      </c>
      <c r="H1171" s="22" t="n"/>
      <c r="I1171" s="23" t="n"/>
      <c r="J1171" s="24" t="n"/>
      <c r="K1171" s="39">
        <f>IF(AND(I1171&lt;&gt;"",J1171&lt;&gt;""),I1171*J1171,"")</f>
        <v/>
      </c>
      <c r="L1171" s="22" t="n"/>
      <c r="M1171" s="22" t="n"/>
      <c r="N1171" s="24" t="n"/>
      <c r="O1171" s="24" t="n"/>
    </row>
    <row r="1172">
      <c r="A1172" s="34" t="n"/>
      <c r="B1172" s="35">
        <f>IF(A1172="","",YEAR(A1172))</f>
        <v/>
      </c>
      <c r="C1172" s="36">
        <f>IF(A1172="","",MONTH(A1172))</f>
        <v/>
      </c>
      <c r="D1172" s="37">
        <f>IF(A1172="","","Q"&amp;ROUNDUP(MONTH(A1172)/3,0))</f>
        <v/>
      </c>
      <c r="E1172" s="18" t="n"/>
      <c r="F1172" s="18" t="n"/>
      <c r="G1172" s="40">
        <f>IFERROR(VLOOKUP(F1172,M2_거래처마스터!A:E,3,FALSE),"")</f>
        <v/>
      </c>
      <c r="H1172" s="18" t="n"/>
      <c r="I1172" s="19" t="n"/>
      <c r="J1172" s="20" t="n"/>
      <c r="K1172" s="39">
        <f>IF(AND(I1172&lt;&gt;"",J1172&lt;&gt;""),I1172*J1172,"")</f>
        <v/>
      </c>
      <c r="L1172" s="18" t="n"/>
      <c r="M1172" s="18" t="n"/>
      <c r="N1172" s="20" t="n"/>
      <c r="O1172" s="20" t="n"/>
    </row>
    <row r="1173">
      <c r="A1173" s="41" t="n"/>
      <c r="B1173" s="35">
        <f>IF(A1173="","",YEAR(A1173))</f>
        <v/>
      </c>
      <c r="C1173" s="36">
        <f>IF(A1173="","",MONTH(A1173))</f>
        <v/>
      </c>
      <c r="D1173" s="37">
        <f>IF(A1173="","","Q"&amp;ROUNDUP(MONTH(A1173)/3,0))</f>
        <v/>
      </c>
      <c r="E1173" s="22" t="n"/>
      <c r="F1173" s="22" t="n"/>
      <c r="G1173" s="40">
        <f>IFERROR(VLOOKUP(F1173,M2_거래처마스터!A:E,3,FALSE),"")</f>
        <v/>
      </c>
      <c r="H1173" s="22" t="n"/>
      <c r="I1173" s="23" t="n"/>
      <c r="J1173" s="24" t="n"/>
      <c r="K1173" s="39">
        <f>IF(AND(I1173&lt;&gt;"",J1173&lt;&gt;""),I1173*J1173,"")</f>
        <v/>
      </c>
      <c r="L1173" s="22" t="n"/>
      <c r="M1173" s="22" t="n"/>
      <c r="N1173" s="24" t="n"/>
      <c r="O1173" s="24" t="n"/>
    </row>
    <row r="1174">
      <c r="A1174" s="34" t="n"/>
      <c r="B1174" s="35">
        <f>IF(A1174="","",YEAR(A1174))</f>
        <v/>
      </c>
      <c r="C1174" s="36">
        <f>IF(A1174="","",MONTH(A1174))</f>
        <v/>
      </c>
      <c r="D1174" s="37">
        <f>IF(A1174="","","Q"&amp;ROUNDUP(MONTH(A1174)/3,0))</f>
        <v/>
      </c>
      <c r="E1174" s="18" t="n"/>
      <c r="F1174" s="18" t="n"/>
      <c r="G1174" s="40">
        <f>IFERROR(VLOOKUP(F1174,M2_거래처마스터!A:E,3,FALSE),"")</f>
        <v/>
      </c>
      <c r="H1174" s="18" t="n"/>
      <c r="I1174" s="19" t="n"/>
      <c r="J1174" s="20" t="n"/>
      <c r="K1174" s="39">
        <f>IF(AND(I1174&lt;&gt;"",J1174&lt;&gt;""),I1174*J1174,"")</f>
        <v/>
      </c>
      <c r="L1174" s="18" t="n"/>
      <c r="M1174" s="18" t="n"/>
      <c r="N1174" s="20" t="n"/>
      <c r="O1174" s="20" t="n"/>
    </row>
    <row r="1175">
      <c r="A1175" s="41" t="n"/>
      <c r="B1175" s="35">
        <f>IF(A1175="","",YEAR(A1175))</f>
        <v/>
      </c>
      <c r="C1175" s="36">
        <f>IF(A1175="","",MONTH(A1175))</f>
        <v/>
      </c>
      <c r="D1175" s="37">
        <f>IF(A1175="","","Q"&amp;ROUNDUP(MONTH(A1175)/3,0))</f>
        <v/>
      </c>
      <c r="E1175" s="22" t="n"/>
      <c r="F1175" s="22" t="n"/>
      <c r="G1175" s="40">
        <f>IFERROR(VLOOKUP(F1175,M2_거래처마스터!A:E,3,FALSE),"")</f>
        <v/>
      </c>
      <c r="H1175" s="22" t="n"/>
      <c r="I1175" s="23" t="n"/>
      <c r="J1175" s="24" t="n"/>
      <c r="K1175" s="39">
        <f>IF(AND(I1175&lt;&gt;"",J1175&lt;&gt;""),I1175*J1175,"")</f>
        <v/>
      </c>
      <c r="L1175" s="22" t="n"/>
      <c r="M1175" s="22" t="n"/>
      <c r="N1175" s="24" t="n"/>
      <c r="O1175" s="24" t="n"/>
    </row>
    <row r="1176">
      <c r="A1176" s="34" t="n"/>
      <c r="B1176" s="35">
        <f>IF(A1176="","",YEAR(A1176))</f>
        <v/>
      </c>
      <c r="C1176" s="36">
        <f>IF(A1176="","",MONTH(A1176))</f>
        <v/>
      </c>
      <c r="D1176" s="37">
        <f>IF(A1176="","","Q"&amp;ROUNDUP(MONTH(A1176)/3,0))</f>
        <v/>
      </c>
      <c r="E1176" s="18" t="n"/>
      <c r="F1176" s="18" t="n"/>
      <c r="G1176" s="40">
        <f>IFERROR(VLOOKUP(F1176,M2_거래처마스터!A:E,3,FALSE),"")</f>
        <v/>
      </c>
      <c r="H1176" s="18" t="n"/>
      <c r="I1176" s="19" t="n"/>
      <c r="J1176" s="20" t="n"/>
      <c r="K1176" s="39">
        <f>IF(AND(I1176&lt;&gt;"",J1176&lt;&gt;""),I1176*J1176,"")</f>
        <v/>
      </c>
      <c r="L1176" s="18" t="n"/>
      <c r="M1176" s="18" t="n"/>
      <c r="N1176" s="20" t="n"/>
      <c r="O1176" s="20" t="n"/>
    </row>
    <row r="1177">
      <c r="A1177" s="41" t="n"/>
      <c r="B1177" s="35">
        <f>IF(A1177="","",YEAR(A1177))</f>
        <v/>
      </c>
      <c r="C1177" s="36">
        <f>IF(A1177="","",MONTH(A1177))</f>
        <v/>
      </c>
      <c r="D1177" s="37">
        <f>IF(A1177="","","Q"&amp;ROUNDUP(MONTH(A1177)/3,0))</f>
        <v/>
      </c>
      <c r="E1177" s="22" t="n"/>
      <c r="F1177" s="22" t="n"/>
      <c r="G1177" s="40">
        <f>IFERROR(VLOOKUP(F1177,M2_거래처마스터!A:E,3,FALSE),"")</f>
        <v/>
      </c>
      <c r="H1177" s="22" t="n"/>
      <c r="I1177" s="23" t="n"/>
      <c r="J1177" s="24" t="n"/>
      <c r="K1177" s="39">
        <f>IF(AND(I1177&lt;&gt;"",J1177&lt;&gt;""),I1177*J1177,"")</f>
        <v/>
      </c>
      <c r="L1177" s="22" t="n"/>
      <c r="M1177" s="22" t="n"/>
      <c r="N1177" s="24" t="n"/>
      <c r="O1177" s="24" t="n"/>
    </row>
    <row r="1178">
      <c r="A1178" s="34" t="n"/>
      <c r="B1178" s="35">
        <f>IF(A1178="","",YEAR(A1178))</f>
        <v/>
      </c>
      <c r="C1178" s="36">
        <f>IF(A1178="","",MONTH(A1178))</f>
        <v/>
      </c>
      <c r="D1178" s="37">
        <f>IF(A1178="","","Q"&amp;ROUNDUP(MONTH(A1178)/3,0))</f>
        <v/>
      </c>
      <c r="E1178" s="18" t="n"/>
      <c r="F1178" s="18" t="n"/>
      <c r="G1178" s="40">
        <f>IFERROR(VLOOKUP(F1178,M2_거래처마스터!A:E,3,FALSE),"")</f>
        <v/>
      </c>
      <c r="H1178" s="18" t="n"/>
      <c r="I1178" s="19" t="n"/>
      <c r="J1178" s="20" t="n"/>
      <c r="K1178" s="39">
        <f>IF(AND(I1178&lt;&gt;"",J1178&lt;&gt;""),I1178*J1178,"")</f>
        <v/>
      </c>
      <c r="L1178" s="18" t="n"/>
      <c r="M1178" s="18" t="n"/>
      <c r="N1178" s="20" t="n"/>
      <c r="O1178" s="20" t="n"/>
    </row>
    <row r="1179">
      <c r="A1179" s="41" t="n"/>
      <c r="B1179" s="35">
        <f>IF(A1179="","",YEAR(A1179))</f>
        <v/>
      </c>
      <c r="C1179" s="36">
        <f>IF(A1179="","",MONTH(A1179))</f>
        <v/>
      </c>
      <c r="D1179" s="37">
        <f>IF(A1179="","","Q"&amp;ROUNDUP(MONTH(A1179)/3,0))</f>
        <v/>
      </c>
      <c r="E1179" s="22" t="n"/>
      <c r="F1179" s="22" t="n"/>
      <c r="G1179" s="40">
        <f>IFERROR(VLOOKUP(F1179,M2_거래처마스터!A:E,3,FALSE),"")</f>
        <v/>
      </c>
      <c r="H1179" s="22" t="n"/>
      <c r="I1179" s="23" t="n"/>
      <c r="J1179" s="24" t="n"/>
      <c r="K1179" s="39">
        <f>IF(AND(I1179&lt;&gt;"",J1179&lt;&gt;""),I1179*J1179,"")</f>
        <v/>
      </c>
      <c r="L1179" s="22" t="n"/>
      <c r="M1179" s="22" t="n"/>
      <c r="N1179" s="24" t="n"/>
      <c r="O1179" s="24" t="n"/>
    </row>
    <row r="1180">
      <c r="A1180" s="34" t="n"/>
      <c r="B1180" s="35">
        <f>IF(A1180="","",YEAR(A1180))</f>
        <v/>
      </c>
      <c r="C1180" s="36">
        <f>IF(A1180="","",MONTH(A1180))</f>
        <v/>
      </c>
      <c r="D1180" s="37">
        <f>IF(A1180="","","Q"&amp;ROUNDUP(MONTH(A1180)/3,0))</f>
        <v/>
      </c>
      <c r="E1180" s="18" t="n"/>
      <c r="F1180" s="18" t="n"/>
      <c r="G1180" s="40">
        <f>IFERROR(VLOOKUP(F1180,M2_거래처마스터!A:E,3,FALSE),"")</f>
        <v/>
      </c>
      <c r="H1180" s="18" t="n"/>
      <c r="I1180" s="19" t="n"/>
      <c r="J1180" s="20" t="n"/>
      <c r="K1180" s="39">
        <f>IF(AND(I1180&lt;&gt;"",J1180&lt;&gt;""),I1180*J1180,"")</f>
        <v/>
      </c>
      <c r="L1180" s="18" t="n"/>
      <c r="M1180" s="18" t="n"/>
      <c r="N1180" s="20" t="n"/>
      <c r="O1180" s="20" t="n"/>
    </row>
    <row r="1181">
      <c r="A1181" s="41" t="n"/>
      <c r="B1181" s="35">
        <f>IF(A1181="","",YEAR(A1181))</f>
        <v/>
      </c>
      <c r="C1181" s="36">
        <f>IF(A1181="","",MONTH(A1181))</f>
        <v/>
      </c>
      <c r="D1181" s="37">
        <f>IF(A1181="","","Q"&amp;ROUNDUP(MONTH(A1181)/3,0))</f>
        <v/>
      </c>
      <c r="E1181" s="22" t="n"/>
      <c r="F1181" s="22" t="n"/>
      <c r="G1181" s="40">
        <f>IFERROR(VLOOKUP(F1181,M2_거래처마스터!A:E,3,FALSE),"")</f>
        <v/>
      </c>
      <c r="H1181" s="22" t="n"/>
      <c r="I1181" s="23" t="n"/>
      <c r="J1181" s="24" t="n"/>
      <c r="K1181" s="39">
        <f>IF(AND(I1181&lt;&gt;"",J1181&lt;&gt;""),I1181*J1181,"")</f>
        <v/>
      </c>
      <c r="L1181" s="22" t="n"/>
      <c r="M1181" s="22" t="n"/>
      <c r="N1181" s="24" t="n"/>
      <c r="O1181" s="24" t="n"/>
    </row>
    <row r="1182">
      <c r="A1182" s="34" t="n"/>
      <c r="B1182" s="35">
        <f>IF(A1182="","",YEAR(A1182))</f>
        <v/>
      </c>
      <c r="C1182" s="36">
        <f>IF(A1182="","",MONTH(A1182))</f>
        <v/>
      </c>
      <c r="D1182" s="37">
        <f>IF(A1182="","","Q"&amp;ROUNDUP(MONTH(A1182)/3,0))</f>
        <v/>
      </c>
      <c r="E1182" s="18" t="n"/>
      <c r="F1182" s="18" t="n"/>
      <c r="G1182" s="40">
        <f>IFERROR(VLOOKUP(F1182,M2_거래처마스터!A:E,3,FALSE),"")</f>
        <v/>
      </c>
      <c r="H1182" s="18" t="n"/>
      <c r="I1182" s="19" t="n"/>
      <c r="J1182" s="20" t="n"/>
      <c r="K1182" s="39">
        <f>IF(AND(I1182&lt;&gt;"",J1182&lt;&gt;""),I1182*J1182,"")</f>
        <v/>
      </c>
      <c r="L1182" s="18" t="n"/>
      <c r="M1182" s="18" t="n"/>
      <c r="N1182" s="20" t="n"/>
      <c r="O1182" s="20" t="n"/>
    </row>
    <row r="1183">
      <c r="A1183" s="41" t="n"/>
      <c r="B1183" s="35">
        <f>IF(A1183="","",YEAR(A1183))</f>
        <v/>
      </c>
      <c r="C1183" s="36">
        <f>IF(A1183="","",MONTH(A1183))</f>
        <v/>
      </c>
      <c r="D1183" s="37">
        <f>IF(A1183="","","Q"&amp;ROUNDUP(MONTH(A1183)/3,0))</f>
        <v/>
      </c>
      <c r="E1183" s="22" t="n"/>
      <c r="F1183" s="22" t="n"/>
      <c r="G1183" s="40">
        <f>IFERROR(VLOOKUP(F1183,M2_거래처마스터!A:E,3,FALSE),"")</f>
        <v/>
      </c>
      <c r="H1183" s="22" t="n"/>
      <c r="I1183" s="23" t="n"/>
      <c r="J1183" s="24" t="n"/>
      <c r="K1183" s="39">
        <f>IF(AND(I1183&lt;&gt;"",J1183&lt;&gt;""),I1183*J1183,"")</f>
        <v/>
      </c>
      <c r="L1183" s="22" t="n"/>
      <c r="M1183" s="22" t="n"/>
      <c r="N1183" s="24" t="n"/>
      <c r="O1183" s="24" t="n"/>
    </row>
    <row r="1184">
      <c r="A1184" s="34" t="n"/>
      <c r="B1184" s="35">
        <f>IF(A1184="","",YEAR(A1184))</f>
        <v/>
      </c>
      <c r="C1184" s="36">
        <f>IF(A1184="","",MONTH(A1184))</f>
        <v/>
      </c>
      <c r="D1184" s="37">
        <f>IF(A1184="","","Q"&amp;ROUNDUP(MONTH(A1184)/3,0))</f>
        <v/>
      </c>
      <c r="E1184" s="18" t="n"/>
      <c r="F1184" s="18" t="n"/>
      <c r="G1184" s="40">
        <f>IFERROR(VLOOKUP(F1184,M2_거래처마스터!A:E,3,FALSE),"")</f>
        <v/>
      </c>
      <c r="H1184" s="18" t="n"/>
      <c r="I1184" s="19" t="n"/>
      <c r="J1184" s="20" t="n"/>
      <c r="K1184" s="39">
        <f>IF(AND(I1184&lt;&gt;"",J1184&lt;&gt;""),I1184*J1184,"")</f>
        <v/>
      </c>
      <c r="L1184" s="18" t="n"/>
      <c r="M1184" s="18" t="n"/>
      <c r="N1184" s="20" t="n"/>
      <c r="O1184" s="20" t="n"/>
    </row>
    <row r="1185">
      <c r="A1185" s="41" t="n"/>
      <c r="B1185" s="35">
        <f>IF(A1185="","",YEAR(A1185))</f>
        <v/>
      </c>
      <c r="C1185" s="36">
        <f>IF(A1185="","",MONTH(A1185))</f>
        <v/>
      </c>
      <c r="D1185" s="37">
        <f>IF(A1185="","","Q"&amp;ROUNDUP(MONTH(A1185)/3,0))</f>
        <v/>
      </c>
      <c r="E1185" s="22" t="n"/>
      <c r="F1185" s="22" t="n"/>
      <c r="G1185" s="40">
        <f>IFERROR(VLOOKUP(F1185,M2_거래처마스터!A:E,3,FALSE),"")</f>
        <v/>
      </c>
      <c r="H1185" s="22" t="n"/>
      <c r="I1185" s="23" t="n"/>
      <c r="J1185" s="24" t="n"/>
      <c r="K1185" s="39">
        <f>IF(AND(I1185&lt;&gt;"",J1185&lt;&gt;""),I1185*J1185,"")</f>
        <v/>
      </c>
      <c r="L1185" s="22" t="n"/>
      <c r="M1185" s="22" t="n"/>
      <c r="N1185" s="24" t="n"/>
      <c r="O1185" s="24" t="n"/>
    </row>
    <row r="1186">
      <c r="A1186" s="34" t="n"/>
      <c r="B1186" s="35">
        <f>IF(A1186="","",YEAR(A1186))</f>
        <v/>
      </c>
      <c r="C1186" s="36">
        <f>IF(A1186="","",MONTH(A1186))</f>
        <v/>
      </c>
      <c r="D1186" s="37">
        <f>IF(A1186="","","Q"&amp;ROUNDUP(MONTH(A1186)/3,0))</f>
        <v/>
      </c>
      <c r="E1186" s="18" t="n"/>
      <c r="F1186" s="18" t="n"/>
      <c r="G1186" s="40">
        <f>IFERROR(VLOOKUP(F1186,M2_거래처마스터!A:E,3,FALSE),"")</f>
        <v/>
      </c>
      <c r="H1186" s="18" t="n"/>
      <c r="I1186" s="19" t="n"/>
      <c r="J1186" s="20" t="n"/>
      <c r="K1186" s="39">
        <f>IF(AND(I1186&lt;&gt;"",J1186&lt;&gt;""),I1186*J1186,"")</f>
        <v/>
      </c>
      <c r="L1186" s="18" t="n"/>
      <c r="M1186" s="18" t="n"/>
      <c r="N1186" s="20" t="n"/>
      <c r="O1186" s="20" t="n"/>
    </row>
    <row r="1187">
      <c r="A1187" s="41" t="n"/>
      <c r="B1187" s="35">
        <f>IF(A1187="","",YEAR(A1187))</f>
        <v/>
      </c>
      <c r="C1187" s="36">
        <f>IF(A1187="","",MONTH(A1187))</f>
        <v/>
      </c>
      <c r="D1187" s="37">
        <f>IF(A1187="","","Q"&amp;ROUNDUP(MONTH(A1187)/3,0))</f>
        <v/>
      </c>
      <c r="E1187" s="22" t="n"/>
      <c r="F1187" s="22" t="n"/>
      <c r="G1187" s="40">
        <f>IFERROR(VLOOKUP(F1187,M2_거래처마스터!A:E,3,FALSE),"")</f>
        <v/>
      </c>
      <c r="H1187" s="22" t="n"/>
      <c r="I1187" s="23" t="n"/>
      <c r="J1187" s="24" t="n"/>
      <c r="K1187" s="39">
        <f>IF(AND(I1187&lt;&gt;"",J1187&lt;&gt;""),I1187*J1187,"")</f>
        <v/>
      </c>
      <c r="L1187" s="22" t="n"/>
      <c r="M1187" s="22" t="n"/>
      <c r="N1187" s="24" t="n"/>
      <c r="O1187" s="24" t="n"/>
    </row>
    <row r="1188">
      <c r="A1188" s="34" t="n"/>
      <c r="B1188" s="35">
        <f>IF(A1188="","",YEAR(A1188))</f>
        <v/>
      </c>
      <c r="C1188" s="36">
        <f>IF(A1188="","",MONTH(A1188))</f>
        <v/>
      </c>
      <c r="D1188" s="37">
        <f>IF(A1188="","","Q"&amp;ROUNDUP(MONTH(A1188)/3,0))</f>
        <v/>
      </c>
      <c r="E1188" s="18" t="n"/>
      <c r="F1188" s="18" t="n"/>
      <c r="G1188" s="40">
        <f>IFERROR(VLOOKUP(F1188,M2_거래처마스터!A:E,3,FALSE),"")</f>
        <v/>
      </c>
      <c r="H1188" s="18" t="n"/>
      <c r="I1188" s="19" t="n"/>
      <c r="J1188" s="20" t="n"/>
      <c r="K1188" s="39">
        <f>IF(AND(I1188&lt;&gt;"",J1188&lt;&gt;""),I1188*J1188,"")</f>
        <v/>
      </c>
      <c r="L1188" s="18" t="n"/>
      <c r="M1188" s="18" t="n"/>
      <c r="N1188" s="20" t="n"/>
      <c r="O1188" s="20" t="n"/>
    </row>
    <row r="1189">
      <c r="A1189" s="41" t="n"/>
      <c r="B1189" s="35">
        <f>IF(A1189="","",YEAR(A1189))</f>
        <v/>
      </c>
      <c r="C1189" s="36">
        <f>IF(A1189="","",MONTH(A1189))</f>
        <v/>
      </c>
      <c r="D1189" s="37">
        <f>IF(A1189="","","Q"&amp;ROUNDUP(MONTH(A1189)/3,0))</f>
        <v/>
      </c>
      <c r="E1189" s="22" t="n"/>
      <c r="F1189" s="22" t="n"/>
      <c r="G1189" s="40">
        <f>IFERROR(VLOOKUP(F1189,M2_거래처마스터!A:E,3,FALSE),"")</f>
        <v/>
      </c>
      <c r="H1189" s="22" t="n"/>
      <c r="I1189" s="23" t="n"/>
      <c r="J1189" s="24" t="n"/>
      <c r="K1189" s="39">
        <f>IF(AND(I1189&lt;&gt;"",J1189&lt;&gt;""),I1189*J1189,"")</f>
        <v/>
      </c>
      <c r="L1189" s="22" t="n"/>
      <c r="M1189" s="22" t="n"/>
      <c r="N1189" s="24" t="n"/>
      <c r="O1189" s="24" t="n"/>
    </row>
    <row r="1190">
      <c r="A1190" s="34" t="n"/>
      <c r="B1190" s="35">
        <f>IF(A1190="","",YEAR(A1190))</f>
        <v/>
      </c>
      <c r="C1190" s="36">
        <f>IF(A1190="","",MONTH(A1190))</f>
        <v/>
      </c>
      <c r="D1190" s="37">
        <f>IF(A1190="","","Q"&amp;ROUNDUP(MONTH(A1190)/3,0))</f>
        <v/>
      </c>
      <c r="E1190" s="18" t="n"/>
      <c r="F1190" s="18" t="n"/>
      <c r="G1190" s="40">
        <f>IFERROR(VLOOKUP(F1190,M2_거래처마스터!A:E,3,FALSE),"")</f>
        <v/>
      </c>
      <c r="H1190" s="18" t="n"/>
      <c r="I1190" s="19" t="n"/>
      <c r="J1190" s="20" t="n"/>
      <c r="K1190" s="39">
        <f>IF(AND(I1190&lt;&gt;"",J1190&lt;&gt;""),I1190*J1190,"")</f>
        <v/>
      </c>
      <c r="L1190" s="18" t="n"/>
      <c r="M1190" s="18" t="n"/>
      <c r="N1190" s="20" t="n"/>
      <c r="O1190" s="20" t="n"/>
    </row>
    <row r="1191">
      <c r="A1191" s="41" t="n"/>
      <c r="B1191" s="35">
        <f>IF(A1191="","",YEAR(A1191))</f>
        <v/>
      </c>
      <c r="C1191" s="36">
        <f>IF(A1191="","",MONTH(A1191))</f>
        <v/>
      </c>
      <c r="D1191" s="37">
        <f>IF(A1191="","","Q"&amp;ROUNDUP(MONTH(A1191)/3,0))</f>
        <v/>
      </c>
      <c r="E1191" s="22" t="n"/>
      <c r="F1191" s="22" t="n"/>
      <c r="G1191" s="40">
        <f>IFERROR(VLOOKUP(F1191,M2_거래처마스터!A:E,3,FALSE),"")</f>
        <v/>
      </c>
      <c r="H1191" s="22" t="n"/>
      <c r="I1191" s="23" t="n"/>
      <c r="J1191" s="24" t="n"/>
      <c r="K1191" s="39">
        <f>IF(AND(I1191&lt;&gt;"",J1191&lt;&gt;""),I1191*J1191,"")</f>
        <v/>
      </c>
      <c r="L1191" s="22" t="n"/>
      <c r="M1191" s="22" t="n"/>
      <c r="N1191" s="24" t="n"/>
      <c r="O1191" s="24" t="n"/>
    </row>
    <row r="1192">
      <c r="A1192" s="34" t="n"/>
      <c r="B1192" s="35">
        <f>IF(A1192="","",YEAR(A1192))</f>
        <v/>
      </c>
      <c r="C1192" s="36">
        <f>IF(A1192="","",MONTH(A1192))</f>
        <v/>
      </c>
      <c r="D1192" s="37">
        <f>IF(A1192="","","Q"&amp;ROUNDUP(MONTH(A1192)/3,0))</f>
        <v/>
      </c>
      <c r="E1192" s="18" t="n"/>
      <c r="F1192" s="18" t="n"/>
      <c r="G1192" s="40">
        <f>IFERROR(VLOOKUP(F1192,M2_거래처마스터!A:E,3,FALSE),"")</f>
        <v/>
      </c>
      <c r="H1192" s="18" t="n"/>
      <c r="I1192" s="19" t="n"/>
      <c r="J1192" s="20" t="n"/>
      <c r="K1192" s="39">
        <f>IF(AND(I1192&lt;&gt;"",J1192&lt;&gt;""),I1192*J1192,"")</f>
        <v/>
      </c>
      <c r="L1192" s="18" t="n"/>
      <c r="M1192" s="18" t="n"/>
      <c r="N1192" s="20" t="n"/>
      <c r="O1192" s="20" t="n"/>
    </row>
    <row r="1193">
      <c r="A1193" s="41" t="n"/>
      <c r="B1193" s="35">
        <f>IF(A1193="","",YEAR(A1193))</f>
        <v/>
      </c>
      <c r="C1193" s="36">
        <f>IF(A1193="","",MONTH(A1193))</f>
        <v/>
      </c>
      <c r="D1193" s="37">
        <f>IF(A1193="","","Q"&amp;ROUNDUP(MONTH(A1193)/3,0))</f>
        <v/>
      </c>
      <c r="E1193" s="22" t="n"/>
      <c r="F1193" s="22" t="n"/>
      <c r="G1193" s="40">
        <f>IFERROR(VLOOKUP(F1193,M2_거래처마스터!A:E,3,FALSE),"")</f>
        <v/>
      </c>
      <c r="H1193" s="22" t="n"/>
      <c r="I1193" s="23" t="n"/>
      <c r="J1193" s="24" t="n"/>
      <c r="K1193" s="39">
        <f>IF(AND(I1193&lt;&gt;"",J1193&lt;&gt;""),I1193*J1193,"")</f>
        <v/>
      </c>
      <c r="L1193" s="22" t="n"/>
      <c r="M1193" s="22" t="n"/>
      <c r="N1193" s="24" t="n"/>
      <c r="O1193" s="24" t="n"/>
    </row>
    <row r="1194">
      <c r="A1194" s="34" t="n"/>
      <c r="B1194" s="35">
        <f>IF(A1194="","",YEAR(A1194))</f>
        <v/>
      </c>
      <c r="C1194" s="36">
        <f>IF(A1194="","",MONTH(A1194))</f>
        <v/>
      </c>
      <c r="D1194" s="37">
        <f>IF(A1194="","","Q"&amp;ROUNDUP(MONTH(A1194)/3,0))</f>
        <v/>
      </c>
      <c r="E1194" s="18" t="n"/>
      <c r="F1194" s="18" t="n"/>
      <c r="G1194" s="40">
        <f>IFERROR(VLOOKUP(F1194,M2_거래처마스터!A:E,3,FALSE),"")</f>
        <v/>
      </c>
      <c r="H1194" s="18" t="n"/>
      <c r="I1194" s="19" t="n"/>
      <c r="J1194" s="20" t="n"/>
      <c r="K1194" s="39">
        <f>IF(AND(I1194&lt;&gt;"",J1194&lt;&gt;""),I1194*J1194,"")</f>
        <v/>
      </c>
      <c r="L1194" s="18" t="n"/>
      <c r="M1194" s="18" t="n"/>
      <c r="N1194" s="20" t="n"/>
      <c r="O1194" s="20" t="n"/>
    </row>
    <row r="1195">
      <c r="A1195" s="41" t="n"/>
      <c r="B1195" s="35">
        <f>IF(A1195="","",YEAR(A1195))</f>
        <v/>
      </c>
      <c r="C1195" s="36">
        <f>IF(A1195="","",MONTH(A1195))</f>
        <v/>
      </c>
      <c r="D1195" s="37">
        <f>IF(A1195="","","Q"&amp;ROUNDUP(MONTH(A1195)/3,0))</f>
        <v/>
      </c>
      <c r="E1195" s="22" t="n"/>
      <c r="F1195" s="22" t="n"/>
      <c r="G1195" s="40">
        <f>IFERROR(VLOOKUP(F1195,M2_거래처마스터!A:E,3,FALSE),"")</f>
        <v/>
      </c>
      <c r="H1195" s="22" t="n"/>
      <c r="I1195" s="23" t="n"/>
      <c r="J1195" s="24" t="n"/>
      <c r="K1195" s="39">
        <f>IF(AND(I1195&lt;&gt;"",J1195&lt;&gt;""),I1195*J1195,"")</f>
        <v/>
      </c>
      <c r="L1195" s="22" t="n"/>
      <c r="M1195" s="22" t="n"/>
      <c r="N1195" s="24" t="n"/>
      <c r="O1195" s="24" t="n"/>
    </row>
    <row r="1196">
      <c r="A1196" s="34" t="n"/>
      <c r="B1196" s="35">
        <f>IF(A1196="","",YEAR(A1196))</f>
        <v/>
      </c>
      <c r="C1196" s="36">
        <f>IF(A1196="","",MONTH(A1196))</f>
        <v/>
      </c>
      <c r="D1196" s="37">
        <f>IF(A1196="","","Q"&amp;ROUNDUP(MONTH(A1196)/3,0))</f>
        <v/>
      </c>
      <c r="E1196" s="18" t="n"/>
      <c r="F1196" s="18" t="n"/>
      <c r="G1196" s="40">
        <f>IFERROR(VLOOKUP(F1196,M2_거래처마스터!A:E,3,FALSE),"")</f>
        <v/>
      </c>
      <c r="H1196" s="18" t="n"/>
      <c r="I1196" s="19" t="n"/>
      <c r="J1196" s="20" t="n"/>
      <c r="K1196" s="39">
        <f>IF(AND(I1196&lt;&gt;"",J1196&lt;&gt;""),I1196*J1196,"")</f>
        <v/>
      </c>
      <c r="L1196" s="18" t="n"/>
      <c r="M1196" s="18" t="n"/>
      <c r="N1196" s="20" t="n"/>
      <c r="O1196" s="20" t="n"/>
    </row>
    <row r="1197">
      <c r="A1197" s="41" t="n"/>
      <c r="B1197" s="35">
        <f>IF(A1197="","",YEAR(A1197))</f>
        <v/>
      </c>
      <c r="C1197" s="36">
        <f>IF(A1197="","",MONTH(A1197))</f>
        <v/>
      </c>
      <c r="D1197" s="37">
        <f>IF(A1197="","","Q"&amp;ROUNDUP(MONTH(A1197)/3,0))</f>
        <v/>
      </c>
      <c r="E1197" s="22" t="n"/>
      <c r="F1197" s="22" t="n"/>
      <c r="G1197" s="40">
        <f>IFERROR(VLOOKUP(F1197,M2_거래처마스터!A:E,3,FALSE),"")</f>
        <v/>
      </c>
      <c r="H1197" s="22" t="n"/>
      <c r="I1197" s="23" t="n"/>
      <c r="J1197" s="24" t="n"/>
      <c r="K1197" s="39">
        <f>IF(AND(I1197&lt;&gt;"",J1197&lt;&gt;""),I1197*J1197,"")</f>
        <v/>
      </c>
      <c r="L1197" s="22" t="n"/>
      <c r="M1197" s="22" t="n"/>
      <c r="N1197" s="24" t="n"/>
      <c r="O1197" s="24" t="n"/>
    </row>
    <row r="1198">
      <c r="A1198" s="34" t="n"/>
      <c r="B1198" s="35">
        <f>IF(A1198="","",YEAR(A1198))</f>
        <v/>
      </c>
      <c r="C1198" s="36">
        <f>IF(A1198="","",MONTH(A1198))</f>
        <v/>
      </c>
      <c r="D1198" s="37">
        <f>IF(A1198="","","Q"&amp;ROUNDUP(MONTH(A1198)/3,0))</f>
        <v/>
      </c>
      <c r="E1198" s="18" t="n"/>
      <c r="F1198" s="18" t="n"/>
      <c r="G1198" s="40">
        <f>IFERROR(VLOOKUP(F1198,M2_거래처마스터!A:E,3,FALSE),"")</f>
        <v/>
      </c>
      <c r="H1198" s="18" t="n"/>
      <c r="I1198" s="19" t="n"/>
      <c r="J1198" s="20" t="n"/>
      <c r="K1198" s="39">
        <f>IF(AND(I1198&lt;&gt;"",J1198&lt;&gt;""),I1198*J1198,"")</f>
        <v/>
      </c>
      <c r="L1198" s="18" t="n"/>
      <c r="M1198" s="18" t="n"/>
      <c r="N1198" s="20" t="n"/>
      <c r="O1198" s="20" t="n"/>
    </row>
    <row r="1199">
      <c r="A1199" s="41" t="n"/>
      <c r="B1199" s="35">
        <f>IF(A1199="","",YEAR(A1199))</f>
        <v/>
      </c>
      <c r="C1199" s="36">
        <f>IF(A1199="","",MONTH(A1199))</f>
        <v/>
      </c>
      <c r="D1199" s="37">
        <f>IF(A1199="","","Q"&amp;ROUNDUP(MONTH(A1199)/3,0))</f>
        <v/>
      </c>
      <c r="E1199" s="22" t="n"/>
      <c r="F1199" s="22" t="n"/>
      <c r="G1199" s="40">
        <f>IFERROR(VLOOKUP(F1199,M2_거래처마스터!A:E,3,FALSE),"")</f>
        <v/>
      </c>
      <c r="H1199" s="22" t="n"/>
      <c r="I1199" s="23" t="n"/>
      <c r="J1199" s="24" t="n"/>
      <c r="K1199" s="39">
        <f>IF(AND(I1199&lt;&gt;"",J1199&lt;&gt;""),I1199*J1199,"")</f>
        <v/>
      </c>
      <c r="L1199" s="22" t="n"/>
      <c r="M1199" s="22" t="n"/>
      <c r="N1199" s="24" t="n"/>
      <c r="O1199" s="24" t="n"/>
    </row>
    <row r="1200">
      <c r="A1200" s="34" t="n"/>
      <c r="B1200" s="35">
        <f>IF(A1200="","",YEAR(A1200))</f>
        <v/>
      </c>
      <c r="C1200" s="36">
        <f>IF(A1200="","",MONTH(A1200))</f>
        <v/>
      </c>
      <c r="D1200" s="37">
        <f>IF(A1200="","","Q"&amp;ROUNDUP(MONTH(A1200)/3,0))</f>
        <v/>
      </c>
      <c r="E1200" s="18" t="n"/>
      <c r="F1200" s="18" t="n"/>
      <c r="G1200" s="40">
        <f>IFERROR(VLOOKUP(F1200,M2_거래처마스터!A:E,3,FALSE),"")</f>
        <v/>
      </c>
      <c r="H1200" s="18" t="n"/>
      <c r="I1200" s="19" t="n"/>
      <c r="J1200" s="20" t="n"/>
      <c r="K1200" s="39">
        <f>IF(AND(I1200&lt;&gt;"",J1200&lt;&gt;""),I1200*J1200,"")</f>
        <v/>
      </c>
      <c r="L1200" s="18" t="n"/>
      <c r="M1200" s="18" t="n"/>
      <c r="N1200" s="20" t="n"/>
      <c r="O1200" s="20" t="n"/>
    </row>
    <row r="1201">
      <c r="A1201" s="41" t="n"/>
      <c r="B1201" s="35">
        <f>IF(A1201="","",YEAR(A1201))</f>
        <v/>
      </c>
      <c r="C1201" s="36">
        <f>IF(A1201="","",MONTH(A1201))</f>
        <v/>
      </c>
      <c r="D1201" s="37">
        <f>IF(A1201="","","Q"&amp;ROUNDUP(MONTH(A1201)/3,0))</f>
        <v/>
      </c>
      <c r="E1201" s="22" t="n"/>
      <c r="F1201" s="22" t="n"/>
      <c r="G1201" s="40">
        <f>IFERROR(VLOOKUP(F1201,M2_거래처마스터!A:E,3,FALSE),"")</f>
        <v/>
      </c>
      <c r="H1201" s="22" t="n"/>
      <c r="I1201" s="23" t="n"/>
      <c r="J1201" s="24" t="n"/>
      <c r="K1201" s="39">
        <f>IF(AND(I1201&lt;&gt;"",J1201&lt;&gt;""),I1201*J1201,"")</f>
        <v/>
      </c>
      <c r="L1201" s="22" t="n"/>
      <c r="M1201" s="22" t="n"/>
      <c r="N1201" s="24" t="n"/>
      <c r="O1201" s="24" t="n"/>
    </row>
    <row r="1202">
      <c r="A1202" s="34" t="n"/>
      <c r="B1202" s="35">
        <f>IF(A1202="","",YEAR(A1202))</f>
        <v/>
      </c>
      <c r="C1202" s="36">
        <f>IF(A1202="","",MONTH(A1202))</f>
        <v/>
      </c>
      <c r="D1202" s="37">
        <f>IF(A1202="","","Q"&amp;ROUNDUP(MONTH(A1202)/3,0))</f>
        <v/>
      </c>
      <c r="E1202" s="18" t="n"/>
      <c r="F1202" s="18" t="n"/>
      <c r="G1202" s="40">
        <f>IFERROR(VLOOKUP(F1202,M2_거래처마스터!A:E,3,FALSE),"")</f>
        <v/>
      </c>
      <c r="H1202" s="18" t="n"/>
      <c r="I1202" s="19" t="n"/>
      <c r="J1202" s="20" t="n"/>
      <c r="K1202" s="39">
        <f>IF(AND(I1202&lt;&gt;"",J1202&lt;&gt;""),I1202*J1202,"")</f>
        <v/>
      </c>
      <c r="L1202" s="18" t="n"/>
      <c r="M1202" s="18" t="n"/>
      <c r="N1202" s="20" t="n"/>
      <c r="O1202" s="20" t="n"/>
    </row>
    <row r="1203">
      <c r="A1203" s="41" t="n"/>
      <c r="B1203" s="35">
        <f>IF(A1203="","",YEAR(A1203))</f>
        <v/>
      </c>
      <c r="C1203" s="36">
        <f>IF(A1203="","",MONTH(A1203))</f>
        <v/>
      </c>
      <c r="D1203" s="37">
        <f>IF(A1203="","","Q"&amp;ROUNDUP(MONTH(A1203)/3,0))</f>
        <v/>
      </c>
      <c r="E1203" s="22" t="n"/>
      <c r="F1203" s="22" t="n"/>
      <c r="G1203" s="40">
        <f>IFERROR(VLOOKUP(F1203,M2_거래처마스터!A:E,3,FALSE),"")</f>
        <v/>
      </c>
      <c r="H1203" s="22" t="n"/>
      <c r="I1203" s="23" t="n"/>
      <c r="J1203" s="24" t="n"/>
      <c r="K1203" s="39">
        <f>IF(AND(I1203&lt;&gt;"",J1203&lt;&gt;""),I1203*J1203,"")</f>
        <v/>
      </c>
      <c r="L1203" s="22" t="n"/>
      <c r="M1203" s="22" t="n"/>
      <c r="N1203" s="24" t="n"/>
      <c r="O1203" s="24" t="n"/>
    </row>
    <row r="1204">
      <c r="A1204" s="34" t="n"/>
      <c r="B1204" s="35">
        <f>IF(A1204="","",YEAR(A1204))</f>
        <v/>
      </c>
      <c r="C1204" s="36">
        <f>IF(A1204="","",MONTH(A1204))</f>
        <v/>
      </c>
      <c r="D1204" s="37">
        <f>IF(A1204="","","Q"&amp;ROUNDUP(MONTH(A1204)/3,0))</f>
        <v/>
      </c>
      <c r="E1204" s="18" t="n"/>
      <c r="F1204" s="18" t="n"/>
      <c r="G1204" s="40">
        <f>IFERROR(VLOOKUP(F1204,M2_거래처마스터!A:E,3,FALSE),"")</f>
        <v/>
      </c>
      <c r="H1204" s="18" t="n"/>
      <c r="I1204" s="19" t="n"/>
      <c r="J1204" s="20" t="n"/>
      <c r="K1204" s="39">
        <f>IF(AND(I1204&lt;&gt;"",J1204&lt;&gt;""),I1204*J1204,"")</f>
        <v/>
      </c>
      <c r="L1204" s="18" t="n"/>
      <c r="M1204" s="18" t="n"/>
      <c r="N1204" s="20" t="n"/>
      <c r="O1204" s="20" t="n"/>
    </row>
    <row r="1205">
      <c r="A1205" s="41" t="n"/>
      <c r="B1205" s="35">
        <f>IF(A1205="","",YEAR(A1205))</f>
        <v/>
      </c>
      <c r="C1205" s="36">
        <f>IF(A1205="","",MONTH(A1205))</f>
        <v/>
      </c>
      <c r="D1205" s="37">
        <f>IF(A1205="","","Q"&amp;ROUNDUP(MONTH(A1205)/3,0))</f>
        <v/>
      </c>
      <c r="E1205" s="22" t="n"/>
      <c r="F1205" s="22" t="n"/>
      <c r="G1205" s="40">
        <f>IFERROR(VLOOKUP(F1205,M2_거래처마스터!A:E,3,FALSE),"")</f>
        <v/>
      </c>
      <c r="H1205" s="22" t="n"/>
      <c r="I1205" s="23" t="n"/>
      <c r="J1205" s="24" t="n"/>
      <c r="K1205" s="39">
        <f>IF(AND(I1205&lt;&gt;"",J1205&lt;&gt;""),I1205*J1205,"")</f>
        <v/>
      </c>
      <c r="L1205" s="22" t="n"/>
      <c r="M1205" s="22" t="n"/>
      <c r="N1205" s="24" t="n"/>
      <c r="O1205" s="24" t="n"/>
    </row>
    <row r="1206">
      <c r="A1206" s="34" t="n"/>
      <c r="B1206" s="35">
        <f>IF(A1206="","",YEAR(A1206))</f>
        <v/>
      </c>
      <c r="C1206" s="36">
        <f>IF(A1206="","",MONTH(A1206))</f>
        <v/>
      </c>
      <c r="D1206" s="37">
        <f>IF(A1206="","","Q"&amp;ROUNDUP(MONTH(A1206)/3,0))</f>
        <v/>
      </c>
      <c r="E1206" s="18" t="n"/>
      <c r="F1206" s="18" t="n"/>
      <c r="G1206" s="40">
        <f>IFERROR(VLOOKUP(F1206,M2_거래처마스터!A:E,3,FALSE),"")</f>
        <v/>
      </c>
      <c r="H1206" s="18" t="n"/>
      <c r="I1206" s="19" t="n"/>
      <c r="J1206" s="20" t="n"/>
      <c r="K1206" s="39">
        <f>IF(AND(I1206&lt;&gt;"",J1206&lt;&gt;""),I1206*J1206,"")</f>
        <v/>
      </c>
      <c r="L1206" s="18" t="n"/>
      <c r="M1206" s="18" t="n"/>
      <c r="N1206" s="20" t="n"/>
      <c r="O1206" s="20" t="n"/>
    </row>
    <row r="1207">
      <c r="A1207" s="41" t="n"/>
      <c r="B1207" s="35">
        <f>IF(A1207="","",YEAR(A1207))</f>
        <v/>
      </c>
      <c r="C1207" s="36">
        <f>IF(A1207="","",MONTH(A1207))</f>
        <v/>
      </c>
      <c r="D1207" s="37">
        <f>IF(A1207="","","Q"&amp;ROUNDUP(MONTH(A1207)/3,0))</f>
        <v/>
      </c>
      <c r="E1207" s="22" t="n"/>
      <c r="F1207" s="22" t="n"/>
      <c r="G1207" s="40">
        <f>IFERROR(VLOOKUP(F1207,M2_거래처마스터!A:E,3,FALSE),"")</f>
        <v/>
      </c>
      <c r="H1207" s="22" t="n"/>
      <c r="I1207" s="23" t="n"/>
      <c r="J1207" s="24" t="n"/>
      <c r="K1207" s="39">
        <f>IF(AND(I1207&lt;&gt;"",J1207&lt;&gt;""),I1207*J1207,"")</f>
        <v/>
      </c>
      <c r="L1207" s="22" t="n"/>
      <c r="M1207" s="22" t="n"/>
      <c r="N1207" s="24" t="n"/>
      <c r="O1207" s="24" t="n"/>
    </row>
    <row r="1208">
      <c r="A1208" s="34" t="n"/>
      <c r="B1208" s="35">
        <f>IF(A1208="","",YEAR(A1208))</f>
        <v/>
      </c>
      <c r="C1208" s="36">
        <f>IF(A1208="","",MONTH(A1208))</f>
        <v/>
      </c>
      <c r="D1208" s="37">
        <f>IF(A1208="","","Q"&amp;ROUNDUP(MONTH(A1208)/3,0))</f>
        <v/>
      </c>
      <c r="E1208" s="18" t="n"/>
      <c r="F1208" s="18" t="n"/>
      <c r="G1208" s="40">
        <f>IFERROR(VLOOKUP(F1208,M2_거래처마스터!A:E,3,FALSE),"")</f>
        <v/>
      </c>
      <c r="H1208" s="18" t="n"/>
      <c r="I1208" s="19" t="n"/>
      <c r="J1208" s="20" t="n"/>
      <c r="K1208" s="39">
        <f>IF(AND(I1208&lt;&gt;"",J1208&lt;&gt;""),I1208*J1208,"")</f>
        <v/>
      </c>
      <c r="L1208" s="18" t="n"/>
      <c r="M1208" s="18" t="n"/>
      <c r="N1208" s="20" t="n"/>
      <c r="O1208" s="20" t="n"/>
    </row>
    <row r="1209">
      <c r="A1209" s="41" t="n"/>
      <c r="B1209" s="35">
        <f>IF(A1209="","",YEAR(A1209))</f>
        <v/>
      </c>
      <c r="C1209" s="36">
        <f>IF(A1209="","",MONTH(A1209))</f>
        <v/>
      </c>
      <c r="D1209" s="37">
        <f>IF(A1209="","","Q"&amp;ROUNDUP(MONTH(A1209)/3,0))</f>
        <v/>
      </c>
      <c r="E1209" s="22" t="n"/>
      <c r="F1209" s="22" t="n"/>
      <c r="G1209" s="40">
        <f>IFERROR(VLOOKUP(F1209,M2_거래처마스터!A:E,3,FALSE),"")</f>
        <v/>
      </c>
      <c r="H1209" s="22" t="n"/>
      <c r="I1209" s="23" t="n"/>
      <c r="J1209" s="24" t="n"/>
      <c r="K1209" s="39">
        <f>IF(AND(I1209&lt;&gt;"",J1209&lt;&gt;""),I1209*J1209,"")</f>
        <v/>
      </c>
      <c r="L1209" s="22" t="n"/>
      <c r="M1209" s="22" t="n"/>
      <c r="N1209" s="24" t="n"/>
      <c r="O1209" s="24" t="n"/>
    </row>
    <row r="1210">
      <c r="A1210" s="34" t="n"/>
      <c r="B1210" s="35">
        <f>IF(A1210="","",YEAR(A1210))</f>
        <v/>
      </c>
      <c r="C1210" s="36">
        <f>IF(A1210="","",MONTH(A1210))</f>
        <v/>
      </c>
      <c r="D1210" s="37">
        <f>IF(A1210="","","Q"&amp;ROUNDUP(MONTH(A1210)/3,0))</f>
        <v/>
      </c>
      <c r="E1210" s="18" t="n"/>
      <c r="F1210" s="18" t="n"/>
      <c r="G1210" s="40">
        <f>IFERROR(VLOOKUP(F1210,M2_거래처마스터!A:E,3,FALSE),"")</f>
        <v/>
      </c>
      <c r="H1210" s="18" t="n"/>
      <c r="I1210" s="19" t="n"/>
      <c r="J1210" s="20" t="n"/>
      <c r="K1210" s="39">
        <f>IF(AND(I1210&lt;&gt;"",J1210&lt;&gt;""),I1210*J1210,"")</f>
        <v/>
      </c>
      <c r="L1210" s="18" t="n"/>
      <c r="M1210" s="18" t="n"/>
      <c r="N1210" s="20" t="n"/>
      <c r="O1210" s="20" t="n"/>
    </row>
    <row r="1211">
      <c r="A1211" s="41" t="n"/>
      <c r="B1211" s="35">
        <f>IF(A1211="","",YEAR(A1211))</f>
        <v/>
      </c>
      <c r="C1211" s="36">
        <f>IF(A1211="","",MONTH(A1211))</f>
        <v/>
      </c>
      <c r="D1211" s="37">
        <f>IF(A1211="","","Q"&amp;ROUNDUP(MONTH(A1211)/3,0))</f>
        <v/>
      </c>
      <c r="E1211" s="22" t="n"/>
      <c r="F1211" s="22" t="n"/>
      <c r="G1211" s="40">
        <f>IFERROR(VLOOKUP(F1211,M2_거래처마스터!A:E,3,FALSE),"")</f>
        <v/>
      </c>
      <c r="H1211" s="22" t="n"/>
      <c r="I1211" s="23" t="n"/>
      <c r="J1211" s="24" t="n"/>
      <c r="K1211" s="39">
        <f>IF(AND(I1211&lt;&gt;"",J1211&lt;&gt;""),I1211*J1211,"")</f>
        <v/>
      </c>
      <c r="L1211" s="22" t="n"/>
      <c r="M1211" s="22" t="n"/>
      <c r="N1211" s="24" t="n"/>
      <c r="O1211" s="24" t="n"/>
    </row>
    <row r="1212">
      <c r="A1212" s="34" t="n"/>
      <c r="B1212" s="35">
        <f>IF(A1212="","",YEAR(A1212))</f>
        <v/>
      </c>
      <c r="C1212" s="36">
        <f>IF(A1212="","",MONTH(A1212))</f>
        <v/>
      </c>
      <c r="D1212" s="37">
        <f>IF(A1212="","","Q"&amp;ROUNDUP(MONTH(A1212)/3,0))</f>
        <v/>
      </c>
      <c r="E1212" s="18" t="n"/>
      <c r="F1212" s="18" t="n"/>
      <c r="G1212" s="40">
        <f>IFERROR(VLOOKUP(F1212,M2_거래처마스터!A:E,3,FALSE),"")</f>
        <v/>
      </c>
      <c r="H1212" s="18" t="n"/>
      <c r="I1212" s="19" t="n"/>
      <c r="J1212" s="20" t="n"/>
      <c r="K1212" s="39">
        <f>IF(AND(I1212&lt;&gt;"",J1212&lt;&gt;""),I1212*J1212,"")</f>
        <v/>
      </c>
      <c r="L1212" s="18" t="n"/>
      <c r="M1212" s="18" t="n"/>
      <c r="N1212" s="20" t="n"/>
      <c r="O1212" s="20" t="n"/>
    </row>
    <row r="1213">
      <c r="A1213" s="41" t="n"/>
      <c r="B1213" s="35">
        <f>IF(A1213="","",YEAR(A1213))</f>
        <v/>
      </c>
      <c r="C1213" s="36">
        <f>IF(A1213="","",MONTH(A1213))</f>
        <v/>
      </c>
      <c r="D1213" s="37">
        <f>IF(A1213="","","Q"&amp;ROUNDUP(MONTH(A1213)/3,0))</f>
        <v/>
      </c>
      <c r="E1213" s="22" t="n"/>
      <c r="F1213" s="22" t="n"/>
      <c r="G1213" s="40">
        <f>IFERROR(VLOOKUP(F1213,M2_거래처마스터!A:E,3,FALSE),"")</f>
        <v/>
      </c>
      <c r="H1213" s="22" t="n"/>
      <c r="I1213" s="23" t="n"/>
      <c r="J1213" s="24" t="n"/>
      <c r="K1213" s="39">
        <f>IF(AND(I1213&lt;&gt;"",J1213&lt;&gt;""),I1213*J1213,"")</f>
        <v/>
      </c>
      <c r="L1213" s="22" t="n"/>
      <c r="M1213" s="22" t="n"/>
      <c r="N1213" s="24" t="n"/>
      <c r="O1213" s="24" t="n"/>
    </row>
    <row r="1214">
      <c r="A1214" s="34" t="n"/>
      <c r="B1214" s="35">
        <f>IF(A1214="","",YEAR(A1214))</f>
        <v/>
      </c>
      <c r="C1214" s="36">
        <f>IF(A1214="","",MONTH(A1214))</f>
        <v/>
      </c>
      <c r="D1214" s="37">
        <f>IF(A1214="","","Q"&amp;ROUNDUP(MONTH(A1214)/3,0))</f>
        <v/>
      </c>
      <c r="E1214" s="18" t="n"/>
      <c r="F1214" s="18" t="n"/>
      <c r="G1214" s="40">
        <f>IFERROR(VLOOKUP(F1214,M2_거래처마스터!A:E,3,FALSE),"")</f>
        <v/>
      </c>
      <c r="H1214" s="18" t="n"/>
      <c r="I1214" s="19" t="n"/>
      <c r="J1214" s="20" t="n"/>
      <c r="K1214" s="39">
        <f>IF(AND(I1214&lt;&gt;"",J1214&lt;&gt;""),I1214*J1214,"")</f>
        <v/>
      </c>
      <c r="L1214" s="18" t="n"/>
      <c r="M1214" s="18" t="n"/>
      <c r="N1214" s="20" t="n"/>
      <c r="O1214" s="20" t="n"/>
    </row>
    <row r="1215">
      <c r="A1215" s="41" t="n"/>
      <c r="B1215" s="35">
        <f>IF(A1215="","",YEAR(A1215))</f>
        <v/>
      </c>
      <c r="C1215" s="36">
        <f>IF(A1215="","",MONTH(A1215))</f>
        <v/>
      </c>
      <c r="D1215" s="37">
        <f>IF(A1215="","","Q"&amp;ROUNDUP(MONTH(A1215)/3,0))</f>
        <v/>
      </c>
      <c r="E1215" s="22" t="n"/>
      <c r="F1215" s="22" t="n"/>
      <c r="G1215" s="40">
        <f>IFERROR(VLOOKUP(F1215,M2_거래처마스터!A:E,3,FALSE),"")</f>
        <v/>
      </c>
      <c r="H1215" s="22" t="n"/>
      <c r="I1215" s="23" t="n"/>
      <c r="J1215" s="24" t="n"/>
      <c r="K1215" s="39">
        <f>IF(AND(I1215&lt;&gt;"",J1215&lt;&gt;""),I1215*J1215,"")</f>
        <v/>
      </c>
      <c r="L1215" s="22" t="n"/>
      <c r="M1215" s="22" t="n"/>
      <c r="N1215" s="24" t="n"/>
      <c r="O1215" s="24" t="n"/>
    </row>
    <row r="1216">
      <c r="A1216" s="34" t="n"/>
      <c r="B1216" s="35">
        <f>IF(A1216="","",YEAR(A1216))</f>
        <v/>
      </c>
      <c r="C1216" s="36">
        <f>IF(A1216="","",MONTH(A1216))</f>
        <v/>
      </c>
      <c r="D1216" s="37">
        <f>IF(A1216="","","Q"&amp;ROUNDUP(MONTH(A1216)/3,0))</f>
        <v/>
      </c>
      <c r="E1216" s="18" t="n"/>
      <c r="F1216" s="18" t="n"/>
      <c r="G1216" s="40">
        <f>IFERROR(VLOOKUP(F1216,M2_거래처마스터!A:E,3,FALSE),"")</f>
        <v/>
      </c>
      <c r="H1216" s="18" t="n"/>
      <c r="I1216" s="19" t="n"/>
      <c r="J1216" s="20" t="n"/>
      <c r="K1216" s="39">
        <f>IF(AND(I1216&lt;&gt;"",J1216&lt;&gt;""),I1216*J1216,"")</f>
        <v/>
      </c>
      <c r="L1216" s="18" t="n"/>
      <c r="M1216" s="18" t="n"/>
      <c r="N1216" s="20" t="n"/>
      <c r="O1216" s="20" t="n"/>
    </row>
    <row r="1217">
      <c r="A1217" s="41" t="n"/>
      <c r="B1217" s="35">
        <f>IF(A1217="","",YEAR(A1217))</f>
        <v/>
      </c>
      <c r="C1217" s="36">
        <f>IF(A1217="","",MONTH(A1217))</f>
        <v/>
      </c>
      <c r="D1217" s="37">
        <f>IF(A1217="","","Q"&amp;ROUNDUP(MONTH(A1217)/3,0))</f>
        <v/>
      </c>
      <c r="E1217" s="22" t="n"/>
      <c r="F1217" s="22" t="n"/>
      <c r="G1217" s="40">
        <f>IFERROR(VLOOKUP(F1217,M2_거래처마스터!A:E,3,FALSE),"")</f>
        <v/>
      </c>
      <c r="H1217" s="22" t="n"/>
      <c r="I1217" s="23" t="n"/>
      <c r="J1217" s="24" t="n"/>
      <c r="K1217" s="39">
        <f>IF(AND(I1217&lt;&gt;"",J1217&lt;&gt;""),I1217*J1217,"")</f>
        <v/>
      </c>
      <c r="L1217" s="22" t="n"/>
      <c r="M1217" s="22" t="n"/>
      <c r="N1217" s="24" t="n"/>
      <c r="O1217" s="24" t="n"/>
    </row>
    <row r="1218">
      <c r="A1218" s="34" t="n"/>
      <c r="B1218" s="35">
        <f>IF(A1218="","",YEAR(A1218))</f>
        <v/>
      </c>
      <c r="C1218" s="36">
        <f>IF(A1218="","",MONTH(A1218))</f>
        <v/>
      </c>
      <c r="D1218" s="37">
        <f>IF(A1218="","","Q"&amp;ROUNDUP(MONTH(A1218)/3,0))</f>
        <v/>
      </c>
      <c r="E1218" s="18" t="n"/>
      <c r="F1218" s="18" t="n"/>
      <c r="G1218" s="40">
        <f>IFERROR(VLOOKUP(F1218,M2_거래처마스터!A:E,3,FALSE),"")</f>
        <v/>
      </c>
      <c r="H1218" s="18" t="n"/>
      <c r="I1218" s="19" t="n"/>
      <c r="J1218" s="20" t="n"/>
      <c r="K1218" s="39">
        <f>IF(AND(I1218&lt;&gt;"",J1218&lt;&gt;""),I1218*J1218,"")</f>
        <v/>
      </c>
      <c r="L1218" s="18" t="n"/>
      <c r="M1218" s="18" t="n"/>
      <c r="N1218" s="20" t="n"/>
      <c r="O1218" s="20" t="n"/>
    </row>
    <row r="1219">
      <c r="A1219" s="41" t="n"/>
      <c r="B1219" s="35">
        <f>IF(A1219="","",YEAR(A1219))</f>
        <v/>
      </c>
      <c r="C1219" s="36">
        <f>IF(A1219="","",MONTH(A1219))</f>
        <v/>
      </c>
      <c r="D1219" s="37">
        <f>IF(A1219="","","Q"&amp;ROUNDUP(MONTH(A1219)/3,0))</f>
        <v/>
      </c>
      <c r="E1219" s="22" t="n"/>
      <c r="F1219" s="22" t="n"/>
      <c r="G1219" s="40">
        <f>IFERROR(VLOOKUP(F1219,M2_거래처마스터!A:E,3,FALSE),"")</f>
        <v/>
      </c>
      <c r="H1219" s="22" t="n"/>
      <c r="I1219" s="23" t="n"/>
      <c r="J1219" s="24" t="n"/>
      <c r="K1219" s="39">
        <f>IF(AND(I1219&lt;&gt;"",J1219&lt;&gt;""),I1219*J1219,"")</f>
        <v/>
      </c>
      <c r="L1219" s="22" t="n"/>
      <c r="M1219" s="22" t="n"/>
      <c r="N1219" s="24" t="n"/>
      <c r="O1219" s="24" t="n"/>
    </row>
    <row r="1220">
      <c r="A1220" s="34" t="n"/>
      <c r="B1220" s="35">
        <f>IF(A1220="","",YEAR(A1220))</f>
        <v/>
      </c>
      <c r="C1220" s="36">
        <f>IF(A1220="","",MONTH(A1220))</f>
        <v/>
      </c>
      <c r="D1220" s="37">
        <f>IF(A1220="","","Q"&amp;ROUNDUP(MONTH(A1220)/3,0))</f>
        <v/>
      </c>
      <c r="E1220" s="18" t="n"/>
      <c r="F1220" s="18" t="n"/>
      <c r="G1220" s="40">
        <f>IFERROR(VLOOKUP(F1220,M2_거래처마스터!A:E,3,FALSE),"")</f>
        <v/>
      </c>
      <c r="H1220" s="18" t="n"/>
      <c r="I1220" s="19" t="n"/>
      <c r="J1220" s="20" t="n"/>
      <c r="K1220" s="39">
        <f>IF(AND(I1220&lt;&gt;"",J1220&lt;&gt;""),I1220*J1220,"")</f>
        <v/>
      </c>
      <c r="L1220" s="18" t="n"/>
      <c r="M1220" s="18" t="n"/>
      <c r="N1220" s="20" t="n"/>
      <c r="O1220" s="20" t="n"/>
    </row>
    <row r="1221">
      <c r="A1221" s="41" t="n"/>
      <c r="B1221" s="35">
        <f>IF(A1221="","",YEAR(A1221))</f>
        <v/>
      </c>
      <c r="C1221" s="36">
        <f>IF(A1221="","",MONTH(A1221))</f>
        <v/>
      </c>
      <c r="D1221" s="37">
        <f>IF(A1221="","","Q"&amp;ROUNDUP(MONTH(A1221)/3,0))</f>
        <v/>
      </c>
      <c r="E1221" s="22" t="n"/>
      <c r="F1221" s="22" t="n"/>
      <c r="G1221" s="40">
        <f>IFERROR(VLOOKUP(F1221,M2_거래처마스터!A:E,3,FALSE),"")</f>
        <v/>
      </c>
      <c r="H1221" s="22" t="n"/>
      <c r="I1221" s="23" t="n"/>
      <c r="J1221" s="24" t="n"/>
      <c r="K1221" s="39">
        <f>IF(AND(I1221&lt;&gt;"",J1221&lt;&gt;""),I1221*J1221,"")</f>
        <v/>
      </c>
      <c r="L1221" s="22" t="n"/>
      <c r="M1221" s="22" t="n"/>
      <c r="N1221" s="24" t="n"/>
      <c r="O1221" s="24" t="n"/>
    </row>
    <row r="1222">
      <c r="A1222" s="34" t="n"/>
      <c r="B1222" s="35">
        <f>IF(A1222="","",YEAR(A1222))</f>
        <v/>
      </c>
      <c r="C1222" s="36">
        <f>IF(A1222="","",MONTH(A1222))</f>
        <v/>
      </c>
      <c r="D1222" s="37">
        <f>IF(A1222="","","Q"&amp;ROUNDUP(MONTH(A1222)/3,0))</f>
        <v/>
      </c>
      <c r="E1222" s="18" t="n"/>
      <c r="F1222" s="18" t="n"/>
      <c r="G1222" s="40">
        <f>IFERROR(VLOOKUP(F1222,M2_거래처마스터!A:E,3,FALSE),"")</f>
        <v/>
      </c>
      <c r="H1222" s="18" t="n"/>
      <c r="I1222" s="19" t="n"/>
      <c r="J1222" s="20" t="n"/>
      <c r="K1222" s="39">
        <f>IF(AND(I1222&lt;&gt;"",J1222&lt;&gt;""),I1222*J1222,"")</f>
        <v/>
      </c>
      <c r="L1222" s="18" t="n"/>
      <c r="M1222" s="18" t="n"/>
      <c r="N1222" s="20" t="n"/>
      <c r="O1222" s="20" t="n"/>
    </row>
    <row r="1223">
      <c r="A1223" s="41" t="n"/>
      <c r="B1223" s="35">
        <f>IF(A1223="","",YEAR(A1223))</f>
        <v/>
      </c>
      <c r="C1223" s="36">
        <f>IF(A1223="","",MONTH(A1223))</f>
        <v/>
      </c>
      <c r="D1223" s="37">
        <f>IF(A1223="","","Q"&amp;ROUNDUP(MONTH(A1223)/3,0))</f>
        <v/>
      </c>
      <c r="E1223" s="22" t="n"/>
      <c r="F1223" s="22" t="n"/>
      <c r="G1223" s="40">
        <f>IFERROR(VLOOKUP(F1223,M2_거래처마스터!A:E,3,FALSE),"")</f>
        <v/>
      </c>
      <c r="H1223" s="22" t="n"/>
      <c r="I1223" s="23" t="n"/>
      <c r="J1223" s="24" t="n"/>
      <c r="K1223" s="39">
        <f>IF(AND(I1223&lt;&gt;"",J1223&lt;&gt;""),I1223*J1223,"")</f>
        <v/>
      </c>
      <c r="L1223" s="22" t="n"/>
      <c r="M1223" s="22" t="n"/>
      <c r="N1223" s="24" t="n"/>
      <c r="O1223" s="24" t="n"/>
    </row>
    <row r="1224">
      <c r="A1224" s="34" t="n"/>
      <c r="B1224" s="35">
        <f>IF(A1224="","",YEAR(A1224))</f>
        <v/>
      </c>
      <c r="C1224" s="36">
        <f>IF(A1224="","",MONTH(A1224))</f>
        <v/>
      </c>
      <c r="D1224" s="37">
        <f>IF(A1224="","","Q"&amp;ROUNDUP(MONTH(A1224)/3,0))</f>
        <v/>
      </c>
      <c r="E1224" s="18" t="n"/>
      <c r="F1224" s="18" t="n"/>
      <c r="G1224" s="40">
        <f>IFERROR(VLOOKUP(F1224,M2_거래처마스터!A:E,3,FALSE),"")</f>
        <v/>
      </c>
      <c r="H1224" s="18" t="n"/>
      <c r="I1224" s="19" t="n"/>
      <c r="J1224" s="20" t="n"/>
      <c r="K1224" s="39">
        <f>IF(AND(I1224&lt;&gt;"",J1224&lt;&gt;""),I1224*J1224,"")</f>
        <v/>
      </c>
      <c r="L1224" s="18" t="n"/>
      <c r="M1224" s="18" t="n"/>
      <c r="N1224" s="20" t="n"/>
      <c r="O1224" s="20" t="n"/>
    </row>
    <row r="1225">
      <c r="A1225" s="41" t="n"/>
      <c r="B1225" s="35">
        <f>IF(A1225="","",YEAR(A1225))</f>
        <v/>
      </c>
      <c r="C1225" s="36">
        <f>IF(A1225="","",MONTH(A1225))</f>
        <v/>
      </c>
      <c r="D1225" s="37">
        <f>IF(A1225="","","Q"&amp;ROUNDUP(MONTH(A1225)/3,0))</f>
        <v/>
      </c>
      <c r="E1225" s="22" t="n"/>
      <c r="F1225" s="22" t="n"/>
      <c r="G1225" s="40">
        <f>IFERROR(VLOOKUP(F1225,M2_거래처마스터!A:E,3,FALSE),"")</f>
        <v/>
      </c>
      <c r="H1225" s="22" t="n"/>
      <c r="I1225" s="23" t="n"/>
      <c r="J1225" s="24" t="n"/>
      <c r="K1225" s="39">
        <f>IF(AND(I1225&lt;&gt;"",J1225&lt;&gt;""),I1225*J1225,"")</f>
        <v/>
      </c>
      <c r="L1225" s="22" t="n"/>
      <c r="M1225" s="22" t="n"/>
      <c r="N1225" s="24" t="n"/>
      <c r="O1225" s="24" t="n"/>
    </row>
    <row r="1226">
      <c r="A1226" s="34" t="n"/>
      <c r="B1226" s="35">
        <f>IF(A1226="","",YEAR(A1226))</f>
        <v/>
      </c>
      <c r="C1226" s="36">
        <f>IF(A1226="","",MONTH(A1226))</f>
        <v/>
      </c>
      <c r="D1226" s="37">
        <f>IF(A1226="","","Q"&amp;ROUNDUP(MONTH(A1226)/3,0))</f>
        <v/>
      </c>
      <c r="E1226" s="18" t="n"/>
      <c r="F1226" s="18" t="n"/>
      <c r="G1226" s="40">
        <f>IFERROR(VLOOKUP(F1226,M2_거래처마스터!A:E,3,FALSE),"")</f>
        <v/>
      </c>
      <c r="H1226" s="18" t="n"/>
      <c r="I1226" s="19" t="n"/>
      <c r="J1226" s="20" t="n"/>
      <c r="K1226" s="39">
        <f>IF(AND(I1226&lt;&gt;"",J1226&lt;&gt;""),I1226*J1226,"")</f>
        <v/>
      </c>
      <c r="L1226" s="18" t="n"/>
      <c r="M1226" s="18" t="n"/>
      <c r="N1226" s="20" t="n"/>
      <c r="O1226" s="20" t="n"/>
    </row>
    <row r="1227">
      <c r="A1227" s="41" t="n"/>
      <c r="B1227" s="35">
        <f>IF(A1227="","",YEAR(A1227))</f>
        <v/>
      </c>
      <c r="C1227" s="36">
        <f>IF(A1227="","",MONTH(A1227))</f>
        <v/>
      </c>
      <c r="D1227" s="37">
        <f>IF(A1227="","","Q"&amp;ROUNDUP(MONTH(A1227)/3,0))</f>
        <v/>
      </c>
      <c r="E1227" s="22" t="n"/>
      <c r="F1227" s="22" t="n"/>
      <c r="G1227" s="40">
        <f>IFERROR(VLOOKUP(F1227,M2_거래처마스터!A:E,3,FALSE),"")</f>
        <v/>
      </c>
      <c r="H1227" s="22" t="n"/>
      <c r="I1227" s="23" t="n"/>
      <c r="J1227" s="24" t="n"/>
      <c r="K1227" s="39">
        <f>IF(AND(I1227&lt;&gt;"",J1227&lt;&gt;""),I1227*J1227,"")</f>
        <v/>
      </c>
      <c r="L1227" s="22" t="n"/>
      <c r="M1227" s="22" t="n"/>
      <c r="N1227" s="24" t="n"/>
      <c r="O1227" s="24" t="n"/>
    </row>
    <row r="1228">
      <c r="A1228" s="34" t="n"/>
      <c r="B1228" s="35">
        <f>IF(A1228="","",YEAR(A1228))</f>
        <v/>
      </c>
      <c r="C1228" s="36">
        <f>IF(A1228="","",MONTH(A1228))</f>
        <v/>
      </c>
      <c r="D1228" s="37">
        <f>IF(A1228="","","Q"&amp;ROUNDUP(MONTH(A1228)/3,0))</f>
        <v/>
      </c>
      <c r="E1228" s="18" t="n"/>
      <c r="F1228" s="18" t="n"/>
      <c r="G1228" s="40">
        <f>IFERROR(VLOOKUP(F1228,M2_거래처마스터!A:E,3,FALSE),"")</f>
        <v/>
      </c>
      <c r="H1228" s="18" t="n"/>
      <c r="I1228" s="19" t="n"/>
      <c r="J1228" s="20" t="n"/>
      <c r="K1228" s="39">
        <f>IF(AND(I1228&lt;&gt;"",J1228&lt;&gt;""),I1228*J1228,"")</f>
        <v/>
      </c>
      <c r="L1228" s="18" t="n"/>
      <c r="M1228" s="18" t="n"/>
      <c r="N1228" s="20" t="n"/>
      <c r="O1228" s="20" t="n"/>
    </row>
    <row r="1229">
      <c r="A1229" s="41" t="n"/>
      <c r="B1229" s="35">
        <f>IF(A1229="","",YEAR(A1229))</f>
        <v/>
      </c>
      <c r="C1229" s="36">
        <f>IF(A1229="","",MONTH(A1229))</f>
        <v/>
      </c>
      <c r="D1229" s="37">
        <f>IF(A1229="","","Q"&amp;ROUNDUP(MONTH(A1229)/3,0))</f>
        <v/>
      </c>
      <c r="E1229" s="22" t="n"/>
      <c r="F1229" s="22" t="n"/>
      <c r="G1229" s="40">
        <f>IFERROR(VLOOKUP(F1229,M2_거래처마스터!A:E,3,FALSE),"")</f>
        <v/>
      </c>
      <c r="H1229" s="22" t="n"/>
      <c r="I1229" s="23" t="n"/>
      <c r="J1229" s="24" t="n"/>
      <c r="K1229" s="39">
        <f>IF(AND(I1229&lt;&gt;"",J1229&lt;&gt;""),I1229*J1229,"")</f>
        <v/>
      </c>
      <c r="L1229" s="22" t="n"/>
      <c r="M1229" s="22" t="n"/>
      <c r="N1229" s="24" t="n"/>
      <c r="O1229" s="24" t="n"/>
    </row>
    <row r="1230">
      <c r="A1230" s="34" t="n"/>
      <c r="B1230" s="35">
        <f>IF(A1230="","",YEAR(A1230))</f>
        <v/>
      </c>
      <c r="C1230" s="36">
        <f>IF(A1230="","",MONTH(A1230))</f>
        <v/>
      </c>
      <c r="D1230" s="37">
        <f>IF(A1230="","","Q"&amp;ROUNDUP(MONTH(A1230)/3,0))</f>
        <v/>
      </c>
      <c r="E1230" s="18" t="n"/>
      <c r="F1230" s="18" t="n"/>
      <c r="G1230" s="40">
        <f>IFERROR(VLOOKUP(F1230,M2_거래처마스터!A:E,3,FALSE),"")</f>
        <v/>
      </c>
      <c r="H1230" s="18" t="n"/>
      <c r="I1230" s="19" t="n"/>
      <c r="J1230" s="20" t="n"/>
      <c r="K1230" s="39">
        <f>IF(AND(I1230&lt;&gt;"",J1230&lt;&gt;""),I1230*J1230,"")</f>
        <v/>
      </c>
      <c r="L1230" s="18" t="n"/>
      <c r="M1230" s="18" t="n"/>
      <c r="N1230" s="20" t="n"/>
      <c r="O1230" s="20" t="n"/>
    </row>
    <row r="1231">
      <c r="A1231" s="41" t="n"/>
      <c r="B1231" s="35">
        <f>IF(A1231="","",YEAR(A1231))</f>
        <v/>
      </c>
      <c r="C1231" s="36">
        <f>IF(A1231="","",MONTH(A1231))</f>
        <v/>
      </c>
      <c r="D1231" s="37">
        <f>IF(A1231="","","Q"&amp;ROUNDUP(MONTH(A1231)/3,0))</f>
        <v/>
      </c>
      <c r="E1231" s="22" t="n"/>
      <c r="F1231" s="22" t="n"/>
      <c r="G1231" s="40">
        <f>IFERROR(VLOOKUP(F1231,M2_거래처마스터!A:E,3,FALSE),"")</f>
        <v/>
      </c>
      <c r="H1231" s="22" t="n"/>
      <c r="I1231" s="23" t="n"/>
      <c r="J1231" s="24" t="n"/>
      <c r="K1231" s="39">
        <f>IF(AND(I1231&lt;&gt;"",J1231&lt;&gt;""),I1231*J1231,"")</f>
        <v/>
      </c>
      <c r="L1231" s="22" t="n"/>
      <c r="M1231" s="22" t="n"/>
      <c r="N1231" s="24" t="n"/>
      <c r="O1231" s="24" t="n"/>
    </row>
    <row r="1232">
      <c r="A1232" s="34" t="n"/>
      <c r="B1232" s="35">
        <f>IF(A1232="","",YEAR(A1232))</f>
        <v/>
      </c>
      <c r="C1232" s="36">
        <f>IF(A1232="","",MONTH(A1232))</f>
        <v/>
      </c>
      <c r="D1232" s="37">
        <f>IF(A1232="","","Q"&amp;ROUNDUP(MONTH(A1232)/3,0))</f>
        <v/>
      </c>
      <c r="E1232" s="18" t="n"/>
      <c r="F1232" s="18" t="n"/>
      <c r="G1232" s="40">
        <f>IFERROR(VLOOKUP(F1232,M2_거래처마스터!A:E,3,FALSE),"")</f>
        <v/>
      </c>
      <c r="H1232" s="18" t="n"/>
      <c r="I1232" s="19" t="n"/>
      <c r="J1232" s="20" t="n"/>
      <c r="K1232" s="39">
        <f>IF(AND(I1232&lt;&gt;"",J1232&lt;&gt;""),I1232*J1232,"")</f>
        <v/>
      </c>
      <c r="L1232" s="18" t="n"/>
      <c r="M1232" s="18" t="n"/>
      <c r="N1232" s="20" t="n"/>
      <c r="O1232" s="20" t="n"/>
    </row>
    <row r="1233">
      <c r="A1233" s="41" t="n"/>
      <c r="B1233" s="35">
        <f>IF(A1233="","",YEAR(A1233))</f>
        <v/>
      </c>
      <c r="C1233" s="36">
        <f>IF(A1233="","",MONTH(A1233))</f>
        <v/>
      </c>
      <c r="D1233" s="37">
        <f>IF(A1233="","","Q"&amp;ROUNDUP(MONTH(A1233)/3,0))</f>
        <v/>
      </c>
      <c r="E1233" s="22" t="n"/>
      <c r="F1233" s="22" t="n"/>
      <c r="G1233" s="40">
        <f>IFERROR(VLOOKUP(F1233,M2_거래처마스터!A:E,3,FALSE),"")</f>
        <v/>
      </c>
      <c r="H1233" s="22" t="n"/>
      <c r="I1233" s="23" t="n"/>
      <c r="J1233" s="24" t="n"/>
      <c r="K1233" s="39">
        <f>IF(AND(I1233&lt;&gt;"",J1233&lt;&gt;""),I1233*J1233,"")</f>
        <v/>
      </c>
      <c r="L1233" s="22" t="n"/>
      <c r="M1233" s="22" t="n"/>
      <c r="N1233" s="24" t="n"/>
      <c r="O1233" s="24" t="n"/>
    </row>
    <row r="1234">
      <c r="A1234" s="34" t="n"/>
      <c r="B1234" s="35">
        <f>IF(A1234="","",YEAR(A1234))</f>
        <v/>
      </c>
      <c r="C1234" s="36">
        <f>IF(A1234="","",MONTH(A1234))</f>
        <v/>
      </c>
      <c r="D1234" s="37">
        <f>IF(A1234="","","Q"&amp;ROUNDUP(MONTH(A1234)/3,0))</f>
        <v/>
      </c>
      <c r="E1234" s="18" t="n"/>
      <c r="F1234" s="18" t="n"/>
      <c r="G1234" s="40">
        <f>IFERROR(VLOOKUP(F1234,M2_거래처마스터!A:E,3,FALSE),"")</f>
        <v/>
      </c>
      <c r="H1234" s="18" t="n"/>
      <c r="I1234" s="19" t="n"/>
      <c r="J1234" s="20" t="n"/>
      <c r="K1234" s="39">
        <f>IF(AND(I1234&lt;&gt;"",J1234&lt;&gt;""),I1234*J1234,"")</f>
        <v/>
      </c>
      <c r="L1234" s="18" t="n"/>
      <c r="M1234" s="18" t="n"/>
      <c r="N1234" s="20" t="n"/>
      <c r="O1234" s="20" t="n"/>
    </row>
    <row r="1235">
      <c r="A1235" s="41" t="n"/>
      <c r="B1235" s="35">
        <f>IF(A1235="","",YEAR(A1235))</f>
        <v/>
      </c>
      <c r="C1235" s="36">
        <f>IF(A1235="","",MONTH(A1235))</f>
        <v/>
      </c>
      <c r="D1235" s="37">
        <f>IF(A1235="","","Q"&amp;ROUNDUP(MONTH(A1235)/3,0))</f>
        <v/>
      </c>
      <c r="E1235" s="22" t="n"/>
      <c r="F1235" s="22" t="n"/>
      <c r="G1235" s="40">
        <f>IFERROR(VLOOKUP(F1235,M2_거래처마스터!A:E,3,FALSE),"")</f>
        <v/>
      </c>
      <c r="H1235" s="22" t="n"/>
      <c r="I1235" s="23" t="n"/>
      <c r="J1235" s="24" t="n"/>
      <c r="K1235" s="39">
        <f>IF(AND(I1235&lt;&gt;"",J1235&lt;&gt;""),I1235*J1235,"")</f>
        <v/>
      </c>
      <c r="L1235" s="22" t="n"/>
      <c r="M1235" s="22" t="n"/>
      <c r="N1235" s="24" t="n"/>
      <c r="O1235" s="24" t="n"/>
    </row>
    <row r="1236">
      <c r="A1236" s="34" t="n"/>
      <c r="B1236" s="35">
        <f>IF(A1236="","",YEAR(A1236))</f>
        <v/>
      </c>
      <c r="C1236" s="36">
        <f>IF(A1236="","",MONTH(A1236))</f>
        <v/>
      </c>
      <c r="D1236" s="37">
        <f>IF(A1236="","","Q"&amp;ROUNDUP(MONTH(A1236)/3,0))</f>
        <v/>
      </c>
      <c r="E1236" s="18" t="n"/>
      <c r="F1236" s="18" t="n"/>
      <c r="G1236" s="40">
        <f>IFERROR(VLOOKUP(F1236,M2_거래처마스터!A:E,3,FALSE),"")</f>
        <v/>
      </c>
      <c r="H1236" s="18" t="n"/>
      <c r="I1236" s="19" t="n"/>
      <c r="J1236" s="20" t="n"/>
      <c r="K1236" s="39">
        <f>IF(AND(I1236&lt;&gt;"",J1236&lt;&gt;""),I1236*J1236,"")</f>
        <v/>
      </c>
      <c r="L1236" s="18" t="n"/>
      <c r="M1236" s="18" t="n"/>
      <c r="N1236" s="20" t="n"/>
      <c r="O1236" s="20" t="n"/>
    </row>
    <row r="1237">
      <c r="A1237" s="41" t="n"/>
      <c r="B1237" s="35">
        <f>IF(A1237="","",YEAR(A1237))</f>
        <v/>
      </c>
      <c r="C1237" s="36">
        <f>IF(A1237="","",MONTH(A1237))</f>
        <v/>
      </c>
      <c r="D1237" s="37">
        <f>IF(A1237="","","Q"&amp;ROUNDUP(MONTH(A1237)/3,0))</f>
        <v/>
      </c>
      <c r="E1237" s="22" t="n"/>
      <c r="F1237" s="22" t="n"/>
      <c r="G1237" s="40">
        <f>IFERROR(VLOOKUP(F1237,M2_거래처마스터!A:E,3,FALSE),"")</f>
        <v/>
      </c>
      <c r="H1237" s="22" t="n"/>
      <c r="I1237" s="23" t="n"/>
      <c r="J1237" s="24" t="n"/>
      <c r="K1237" s="39">
        <f>IF(AND(I1237&lt;&gt;"",J1237&lt;&gt;""),I1237*J1237,"")</f>
        <v/>
      </c>
      <c r="L1237" s="22" t="n"/>
      <c r="M1237" s="22" t="n"/>
      <c r="N1237" s="24" t="n"/>
      <c r="O1237" s="24" t="n"/>
    </row>
    <row r="1238">
      <c r="A1238" s="34" t="n"/>
      <c r="B1238" s="35">
        <f>IF(A1238="","",YEAR(A1238))</f>
        <v/>
      </c>
      <c r="C1238" s="36">
        <f>IF(A1238="","",MONTH(A1238))</f>
        <v/>
      </c>
      <c r="D1238" s="37">
        <f>IF(A1238="","","Q"&amp;ROUNDUP(MONTH(A1238)/3,0))</f>
        <v/>
      </c>
      <c r="E1238" s="18" t="n"/>
      <c r="F1238" s="18" t="n"/>
      <c r="G1238" s="40">
        <f>IFERROR(VLOOKUP(F1238,M2_거래처마스터!A:E,3,FALSE),"")</f>
        <v/>
      </c>
      <c r="H1238" s="18" t="n"/>
      <c r="I1238" s="19" t="n"/>
      <c r="J1238" s="20" t="n"/>
      <c r="K1238" s="39">
        <f>IF(AND(I1238&lt;&gt;"",J1238&lt;&gt;""),I1238*J1238,"")</f>
        <v/>
      </c>
      <c r="L1238" s="18" t="n"/>
      <c r="M1238" s="18" t="n"/>
      <c r="N1238" s="20" t="n"/>
      <c r="O1238" s="20" t="n"/>
    </row>
    <row r="1239">
      <c r="A1239" s="41" t="n"/>
      <c r="B1239" s="35">
        <f>IF(A1239="","",YEAR(A1239))</f>
        <v/>
      </c>
      <c r="C1239" s="36">
        <f>IF(A1239="","",MONTH(A1239))</f>
        <v/>
      </c>
      <c r="D1239" s="37">
        <f>IF(A1239="","","Q"&amp;ROUNDUP(MONTH(A1239)/3,0))</f>
        <v/>
      </c>
      <c r="E1239" s="22" t="n"/>
      <c r="F1239" s="22" t="n"/>
      <c r="G1239" s="40">
        <f>IFERROR(VLOOKUP(F1239,M2_거래처마스터!A:E,3,FALSE),"")</f>
        <v/>
      </c>
      <c r="H1239" s="22" t="n"/>
      <c r="I1239" s="23" t="n"/>
      <c r="J1239" s="24" t="n"/>
      <c r="K1239" s="39">
        <f>IF(AND(I1239&lt;&gt;"",J1239&lt;&gt;""),I1239*J1239,"")</f>
        <v/>
      </c>
      <c r="L1239" s="22" t="n"/>
      <c r="M1239" s="22" t="n"/>
      <c r="N1239" s="24" t="n"/>
      <c r="O1239" s="24" t="n"/>
    </row>
    <row r="1240">
      <c r="A1240" s="34" t="n"/>
      <c r="B1240" s="35">
        <f>IF(A1240="","",YEAR(A1240))</f>
        <v/>
      </c>
      <c r="C1240" s="36">
        <f>IF(A1240="","",MONTH(A1240))</f>
        <v/>
      </c>
      <c r="D1240" s="37">
        <f>IF(A1240="","","Q"&amp;ROUNDUP(MONTH(A1240)/3,0))</f>
        <v/>
      </c>
      <c r="E1240" s="18" t="n"/>
      <c r="F1240" s="18" t="n"/>
      <c r="G1240" s="40">
        <f>IFERROR(VLOOKUP(F1240,M2_거래처마스터!A:E,3,FALSE),"")</f>
        <v/>
      </c>
      <c r="H1240" s="18" t="n"/>
      <c r="I1240" s="19" t="n"/>
      <c r="J1240" s="20" t="n"/>
      <c r="K1240" s="39">
        <f>IF(AND(I1240&lt;&gt;"",J1240&lt;&gt;""),I1240*J1240,"")</f>
        <v/>
      </c>
      <c r="L1240" s="18" t="n"/>
      <c r="M1240" s="18" t="n"/>
      <c r="N1240" s="20" t="n"/>
      <c r="O1240" s="20" t="n"/>
    </row>
    <row r="1241">
      <c r="A1241" s="41" t="n"/>
      <c r="B1241" s="35">
        <f>IF(A1241="","",YEAR(A1241))</f>
        <v/>
      </c>
      <c r="C1241" s="36">
        <f>IF(A1241="","",MONTH(A1241))</f>
        <v/>
      </c>
      <c r="D1241" s="37">
        <f>IF(A1241="","","Q"&amp;ROUNDUP(MONTH(A1241)/3,0))</f>
        <v/>
      </c>
      <c r="E1241" s="22" t="n"/>
      <c r="F1241" s="22" t="n"/>
      <c r="G1241" s="40">
        <f>IFERROR(VLOOKUP(F1241,M2_거래처마스터!A:E,3,FALSE),"")</f>
        <v/>
      </c>
      <c r="H1241" s="22" t="n"/>
      <c r="I1241" s="23" t="n"/>
      <c r="J1241" s="24" t="n"/>
      <c r="K1241" s="39">
        <f>IF(AND(I1241&lt;&gt;"",J1241&lt;&gt;""),I1241*J1241,"")</f>
        <v/>
      </c>
      <c r="L1241" s="22" t="n"/>
      <c r="M1241" s="22" t="n"/>
      <c r="N1241" s="24" t="n"/>
      <c r="O1241" s="24" t="n"/>
    </row>
    <row r="1242">
      <c r="A1242" s="34" t="n"/>
      <c r="B1242" s="35">
        <f>IF(A1242="","",YEAR(A1242))</f>
        <v/>
      </c>
      <c r="C1242" s="36">
        <f>IF(A1242="","",MONTH(A1242))</f>
        <v/>
      </c>
      <c r="D1242" s="37">
        <f>IF(A1242="","","Q"&amp;ROUNDUP(MONTH(A1242)/3,0))</f>
        <v/>
      </c>
      <c r="E1242" s="18" t="n"/>
      <c r="F1242" s="18" t="n"/>
      <c r="G1242" s="40">
        <f>IFERROR(VLOOKUP(F1242,M2_거래처마스터!A:E,3,FALSE),"")</f>
        <v/>
      </c>
      <c r="H1242" s="18" t="n"/>
      <c r="I1242" s="19" t="n"/>
      <c r="J1242" s="20" t="n"/>
      <c r="K1242" s="39">
        <f>IF(AND(I1242&lt;&gt;"",J1242&lt;&gt;""),I1242*J1242,"")</f>
        <v/>
      </c>
      <c r="L1242" s="18" t="n"/>
      <c r="M1242" s="18" t="n"/>
      <c r="N1242" s="20" t="n"/>
      <c r="O1242" s="20" t="n"/>
    </row>
    <row r="1243">
      <c r="A1243" s="41" t="n"/>
      <c r="B1243" s="35">
        <f>IF(A1243="","",YEAR(A1243))</f>
        <v/>
      </c>
      <c r="C1243" s="36">
        <f>IF(A1243="","",MONTH(A1243))</f>
        <v/>
      </c>
      <c r="D1243" s="37">
        <f>IF(A1243="","","Q"&amp;ROUNDUP(MONTH(A1243)/3,0))</f>
        <v/>
      </c>
      <c r="E1243" s="22" t="n"/>
      <c r="F1243" s="22" t="n"/>
      <c r="G1243" s="40">
        <f>IFERROR(VLOOKUP(F1243,M2_거래처마스터!A:E,3,FALSE),"")</f>
        <v/>
      </c>
      <c r="H1243" s="22" t="n"/>
      <c r="I1243" s="23" t="n"/>
      <c r="J1243" s="24" t="n"/>
      <c r="K1243" s="39">
        <f>IF(AND(I1243&lt;&gt;"",J1243&lt;&gt;""),I1243*J1243,"")</f>
        <v/>
      </c>
      <c r="L1243" s="22" t="n"/>
      <c r="M1243" s="22" t="n"/>
      <c r="N1243" s="24" t="n"/>
      <c r="O1243" s="24" t="n"/>
    </row>
    <row r="1244">
      <c r="A1244" s="34" t="n"/>
      <c r="B1244" s="35">
        <f>IF(A1244="","",YEAR(A1244))</f>
        <v/>
      </c>
      <c r="C1244" s="36">
        <f>IF(A1244="","",MONTH(A1244))</f>
        <v/>
      </c>
      <c r="D1244" s="37">
        <f>IF(A1244="","","Q"&amp;ROUNDUP(MONTH(A1244)/3,0))</f>
        <v/>
      </c>
      <c r="E1244" s="18" t="n"/>
      <c r="F1244" s="18" t="n"/>
      <c r="G1244" s="40">
        <f>IFERROR(VLOOKUP(F1244,M2_거래처마스터!A:E,3,FALSE),"")</f>
        <v/>
      </c>
      <c r="H1244" s="18" t="n"/>
      <c r="I1244" s="19" t="n"/>
      <c r="J1244" s="20" t="n"/>
      <c r="K1244" s="39">
        <f>IF(AND(I1244&lt;&gt;"",J1244&lt;&gt;""),I1244*J1244,"")</f>
        <v/>
      </c>
      <c r="L1244" s="18" t="n"/>
      <c r="M1244" s="18" t="n"/>
      <c r="N1244" s="20" t="n"/>
      <c r="O1244" s="20" t="n"/>
    </row>
    <row r="1245">
      <c r="A1245" s="41" t="n"/>
      <c r="B1245" s="35">
        <f>IF(A1245="","",YEAR(A1245))</f>
        <v/>
      </c>
      <c r="C1245" s="36">
        <f>IF(A1245="","",MONTH(A1245))</f>
        <v/>
      </c>
      <c r="D1245" s="37">
        <f>IF(A1245="","","Q"&amp;ROUNDUP(MONTH(A1245)/3,0))</f>
        <v/>
      </c>
      <c r="E1245" s="22" t="n"/>
      <c r="F1245" s="22" t="n"/>
      <c r="G1245" s="40">
        <f>IFERROR(VLOOKUP(F1245,M2_거래처마스터!A:E,3,FALSE),"")</f>
        <v/>
      </c>
      <c r="H1245" s="22" t="n"/>
      <c r="I1245" s="23" t="n"/>
      <c r="J1245" s="24" t="n"/>
      <c r="K1245" s="39">
        <f>IF(AND(I1245&lt;&gt;"",J1245&lt;&gt;""),I1245*J1245,"")</f>
        <v/>
      </c>
      <c r="L1245" s="22" t="n"/>
      <c r="M1245" s="22" t="n"/>
      <c r="N1245" s="24" t="n"/>
      <c r="O1245" s="24" t="n"/>
    </row>
    <row r="1246">
      <c r="A1246" s="34" t="n"/>
      <c r="B1246" s="35">
        <f>IF(A1246="","",YEAR(A1246))</f>
        <v/>
      </c>
      <c r="C1246" s="36">
        <f>IF(A1246="","",MONTH(A1246))</f>
        <v/>
      </c>
      <c r="D1246" s="37">
        <f>IF(A1246="","","Q"&amp;ROUNDUP(MONTH(A1246)/3,0))</f>
        <v/>
      </c>
      <c r="E1246" s="18" t="n"/>
      <c r="F1246" s="18" t="n"/>
      <c r="G1246" s="40">
        <f>IFERROR(VLOOKUP(F1246,M2_거래처마스터!A:E,3,FALSE),"")</f>
        <v/>
      </c>
      <c r="H1246" s="18" t="n"/>
      <c r="I1246" s="19" t="n"/>
      <c r="J1246" s="20" t="n"/>
      <c r="K1246" s="39">
        <f>IF(AND(I1246&lt;&gt;"",J1246&lt;&gt;""),I1246*J1246,"")</f>
        <v/>
      </c>
      <c r="L1246" s="18" t="n"/>
      <c r="M1246" s="18" t="n"/>
      <c r="N1246" s="20" t="n"/>
      <c r="O1246" s="20" t="n"/>
    </row>
    <row r="1247">
      <c r="A1247" s="41" t="n"/>
      <c r="B1247" s="35">
        <f>IF(A1247="","",YEAR(A1247))</f>
        <v/>
      </c>
      <c r="C1247" s="36">
        <f>IF(A1247="","",MONTH(A1247))</f>
        <v/>
      </c>
      <c r="D1247" s="37">
        <f>IF(A1247="","","Q"&amp;ROUNDUP(MONTH(A1247)/3,0))</f>
        <v/>
      </c>
      <c r="E1247" s="22" t="n"/>
      <c r="F1247" s="22" t="n"/>
      <c r="G1247" s="40">
        <f>IFERROR(VLOOKUP(F1247,M2_거래처마스터!A:E,3,FALSE),"")</f>
        <v/>
      </c>
      <c r="H1247" s="22" t="n"/>
      <c r="I1247" s="23" t="n"/>
      <c r="J1247" s="24" t="n"/>
      <c r="K1247" s="39">
        <f>IF(AND(I1247&lt;&gt;"",J1247&lt;&gt;""),I1247*J1247,"")</f>
        <v/>
      </c>
      <c r="L1247" s="22" t="n"/>
      <c r="M1247" s="22" t="n"/>
      <c r="N1247" s="24" t="n"/>
      <c r="O1247" s="24" t="n"/>
    </row>
    <row r="1248">
      <c r="A1248" s="34" t="n"/>
      <c r="B1248" s="35">
        <f>IF(A1248="","",YEAR(A1248))</f>
        <v/>
      </c>
      <c r="C1248" s="36">
        <f>IF(A1248="","",MONTH(A1248))</f>
        <v/>
      </c>
      <c r="D1248" s="37">
        <f>IF(A1248="","","Q"&amp;ROUNDUP(MONTH(A1248)/3,0))</f>
        <v/>
      </c>
      <c r="E1248" s="18" t="n"/>
      <c r="F1248" s="18" t="n"/>
      <c r="G1248" s="40">
        <f>IFERROR(VLOOKUP(F1248,M2_거래처마스터!A:E,3,FALSE),"")</f>
        <v/>
      </c>
      <c r="H1248" s="18" t="n"/>
      <c r="I1248" s="19" t="n"/>
      <c r="J1248" s="20" t="n"/>
      <c r="K1248" s="39">
        <f>IF(AND(I1248&lt;&gt;"",J1248&lt;&gt;""),I1248*J1248,"")</f>
        <v/>
      </c>
      <c r="L1248" s="18" t="n"/>
      <c r="M1248" s="18" t="n"/>
      <c r="N1248" s="20" t="n"/>
      <c r="O1248" s="20" t="n"/>
    </row>
    <row r="1249">
      <c r="A1249" s="41" t="n"/>
      <c r="B1249" s="35">
        <f>IF(A1249="","",YEAR(A1249))</f>
        <v/>
      </c>
      <c r="C1249" s="36">
        <f>IF(A1249="","",MONTH(A1249))</f>
        <v/>
      </c>
      <c r="D1249" s="37">
        <f>IF(A1249="","","Q"&amp;ROUNDUP(MONTH(A1249)/3,0))</f>
        <v/>
      </c>
      <c r="E1249" s="22" t="n"/>
      <c r="F1249" s="22" t="n"/>
      <c r="G1249" s="40">
        <f>IFERROR(VLOOKUP(F1249,M2_거래처마스터!A:E,3,FALSE),"")</f>
        <v/>
      </c>
      <c r="H1249" s="22" t="n"/>
      <c r="I1249" s="23" t="n"/>
      <c r="J1249" s="24" t="n"/>
      <c r="K1249" s="39">
        <f>IF(AND(I1249&lt;&gt;"",J1249&lt;&gt;""),I1249*J1249,"")</f>
        <v/>
      </c>
      <c r="L1249" s="22" t="n"/>
      <c r="M1249" s="22" t="n"/>
      <c r="N1249" s="24" t="n"/>
      <c r="O1249" s="24" t="n"/>
    </row>
    <row r="1250">
      <c r="A1250" s="34" t="n"/>
      <c r="B1250" s="35">
        <f>IF(A1250="","",YEAR(A1250))</f>
        <v/>
      </c>
      <c r="C1250" s="36">
        <f>IF(A1250="","",MONTH(A1250))</f>
        <v/>
      </c>
      <c r="D1250" s="37">
        <f>IF(A1250="","","Q"&amp;ROUNDUP(MONTH(A1250)/3,0))</f>
        <v/>
      </c>
      <c r="E1250" s="18" t="n"/>
      <c r="F1250" s="18" t="n"/>
      <c r="G1250" s="40">
        <f>IFERROR(VLOOKUP(F1250,M2_거래처마스터!A:E,3,FALSE),"")</f>
        <v/>
      </c>
      <c r="H1250" s="18" t="n"/>
      <c r="I1250" s="19" t="n"/>
      <c r="J1250" s="20" t="n"/>
      <c r="K1250" s="39">
        <f>IF(AND(I1250&lt;&gt;"",J1250&lt;&gt;""),I1250*J1250,"")</f>
        <v/>
      </c>
      <c r="L1250" s="18" t="n"/>
      <c r="M1250" s="18" t="n"/>
      <c r="N1250" s="20" t="n"/>
      <c r="O1250" s="20" t="n"/>
    </row>
    <row r="1251">
      <c r="A1251" s="41" t="n"/>
      <c r="B1251" s="35">
        <f>IF(A1251="","",YEAR(A1251))</f>
        <v/>
      </c>
      <c r="C1251" s="36">
        <f>IF(A1251="","",MONTH(A1251))</f>
        <v/>
      </c>
      <c r="D1251" s="37">
        <f>IF(A1251="","","Q"&amp;ROUNDUP(MONTH(A1251)/3,0))</f>
        <v/>
      </c>
      <c r="E1251" s="22" t="n"/>
      <c r="F1251" s="22" t="n"/>
      <c r="G1251" s="40">
        <f>IFERROR(VLOOKUP(F1251,M2_거래처마스터!A:E,3,FALSE),"")</f>
        <v/>
      </c>
      <c r="H1251" s="22" t="n"/>
      <c r="I1251" s="23" t="n"/>
      <c r="J1251" s="24" t="n"/>
      <c r="K1251" s="39">
        <f>IF(AND(I1251&lt;&gt;"",J1251&lt;&gt;""),I1251*J1251,"")</f>
        <v/>
      </c>
      <c r="L1251" s="22" t="n"/>
      <c r="M1251" s="22" t="n"/>
      <c r="N1251" s="24" t="n"/>
      <c r="O1251" s="24" t="n"/>
    </row>
    <row r="1252">
      <c r="A1252" s="34" t="n"/>
      <c r="B1252" s="35">
        <f>IF(A1252="","",YEAR(A1252))</f>
        <v/>
      </c>
      <c r="C1252" s="36">
        <f>IF(A1252="","",MONTH(A1252))</f>
        <v/>
      </c>
      <c r="D1252" s="37">
        <f>IF(A1252="","","Q"&amp;ROUNDUP(MONTH(A1252)/3,0))</f>
        <v/>
      </c>
      <c r="E1252" s="18" t="n"/>
      <c r="F1252" s="18" t="n"/>
      <c r="G1252" s="40">
        <f>IFERROR(VLOOKUP(F1252,M2_거래처마스터!A:E,3,FALSE),"")</f>
        <v/>
      </c>
      <c r="H1252" s="18" t="n"/>
      <c r="I1252" s="19" t="n"/>
      <c r="J1252" s="20" t="n"/>
      <c r="K1252" s="39">
        <f>IF(AND(I1252&lt;&gt;"",J1252&lt;&gt;""),I1252*J1252,"")</f>
        <v/>
      </c>
      <c r="L1252" s="18" t="n"/>
      <c r="M1252" s="18" t="n"/>
      <c r="N1252" s="20" t="n"/>
      <c r="O1252" s="20" t="n"/>
    </row>
    <row r="1253">
      <c r="A1253" s="41" t="n"/>
      <c r="B1253" s="35">
        <f>IF(A1253="","",YEAR(A1253))</f>
        <v/>
      </c>
      <c r="C1253" s="36">
        <f>IF(A1253="","",MONTH(A1253))</f>
        <v/>
      </c>
      <c r="D1253" s="37">
        <f>IF(A1253="","","Q"&amp;ROUNDUP(MONTH(A1253)/3,0))</f>
        <v/>
      </c>
      <c r="E1253" s="22" t="n"/>
      <c r="F1253" s="22" t="n"/>
      <c r="G1253" s="40">
        <f>IFERROR(VLOOKUP(F1253,M2_거래처마스터!A:E,3,FALSE),"")</f>
        <v/>
      </c>
      <c r="H1253" s="22" t="n"/>
      <c r="I1253" s="23" t="n"/>
      <c r="J1253" s="24" t="n"/>
      <c r="K1253" s="39">
        <f>IF(AND(I1253&lt;&gt;"",J1253&lt;&gt;""),I1253*J1253,"")</f>
        <v/>
      </c>
      <c r="L1253" s="22" t="n"/>
      <c r="M1253" s="22" t="n"/>
      <c r="N1253" s="24" t="n"/>
      <c r="O1253" s="24" t="n"/>
    </row>
    <row r="1254">
      <c r="A1254" s="34" t="n"/>
      <c r="B1254" s="35">
        <f>IF(A1254="","",YEAR(A1254))</f>
        <v/>
      </c>
      <c r="C1254" s="36">
        <f>IF(A1254="","",MONTH(A1254))</f>
        <v/>
      </c>
      <c r="D1254" s="37">
        <f>IF(A1254="","","Q"&amp;ROUNDUP(MONTH(A1254)/3,0))</f>
        <v/>
      </c>
      <c r="E1254" s="18" t="n"/>
      <c r="F1254" s="18" t="n"/>
      <c r="G1254" s="40">
        <f>IFERROR(VLOOKUP(F1254,M2_거래처마스터!A:E,3,FALSE),"")</f>
        <v/>
      </c>
      <c r="H1254" s="18" t="n"/>
      <c r="I1254" s="19" t="n"/>
      <c r="J1254" s="20" t="n"/>
      <c r="K1254" s="39">
        <f>IF(AND(I1254&lt;&gt;"",J1254&lt;&gt;""),I1254*J1254,"")</f>
        <v/>
      </c>
      <c r="L1254" s="18" t="n"/>
      <c r="M1254" s="18" t="n"/>
      <c r="N1254" s="20" t="n"/>
      <c r="O1254" s="20" t="n"/>
    </row>
    <row r="1255">
      <c r="A1255" s="41" t="n"/>
      <c r="B1255" s="35">
        <f>IF(A1255="","",YEAR(A1255))</f>
        <v/>
      </c>
      <c r="C1255" s="36">
        <f>IF(A1255="","",MONTH(A1255))</f>
        <v/>
      </c>
      <c r="D1255" s="37">
        <f>IF(A1255="","","Q"&amp;ROUNDUP(MONTH(A1255)/3,0))</f>
        <v/>
      </c>
      <c r="E1255" s="22" t="n"/>
      <c r="F1255" s="22" t="n"/>
      <c r="G1255" s="40">
        <f>IFERROR(VLOOKUP(F1255,M2_거래처마스터!A:E,3,FALSE),"")</f>
        <v/>
      </c>
      <c r="H1255" s="22" t="n"/>
      <c r="I1255" s="23" t="n"/>
      <c r="J1255" s="24" t="n"/>
      <c r="K1255" s="39">
        <f>IF(AND(I1255&lt;&gt;"",J1255&lt;&gt;""),I1255*J1255,"")</f>
        <v/>
      </c>
      <c r="L1255" s="22" t="n"/>
      <c r="M1255" s="22" t="n"/>
      <c r="N1255" s="24" t="n"/>
      <c r="O1255" s="24" t="n"/>
    </row>
    <row r="1256">
      <c r="A1256" s="34" t="n"/>
      <c r="B1256" s="35">
        <f>IF(A1256="","",YEAR(A1256))</f>
        <v/>
      </c>
      <c r="C1256" s="36">
        <f>IF(A1256="","",MONTH(A1256))</f>
        <v/>
      </c>
      <c r="D1256" s="37">
        <f>IF(A1256="","","Q"&amp;ROUNDUP(MONTH(A1256)/3,0))</f>
        <v/>
      </c>
      <c r="E1256" s="18" t="n"/>
      <c r="F1256" s="18" t="n"/>
      <c r="G1256" s="40">
        <f>IFERROR(VLOOKUP(F1256,M2_거래처마스터!A:E,3,FALSE),"")</f>
        <v/>
      </c>
      <c r="H1256" s="18" t="n"/>
      <c r="I1256" s="19" t="n"/>
      <c r="J1256" s="20" t="n"/>
      <c r="K1256" s="39">
        <f>IF(AND(I1256&lt;&gt;"",J1256&lt;&gt;""),I1256*J1256,"")</f>
        <v/>
      </c>
      <c r="L1256" s="18" t="n"/>
      <c r="M1256" s="18" t="n"/>
      <c r="N1256" s="20" t="n"/>
      <c r="O1256" s="20" t="n"/>
    </row>
    <row r="1257">
      <c r="A1257" s="41" t="n"/>
      <c r="B1257" s="35">
        <f>IF(A1257="","",YEAR(A1257))</f>
        <v/>
      </c>
      <c r="C1257" s="36">
        <f>IF(A1257="","",MONTH(A1257))</f>
        <v/>
      </c>
      <c r="D1257" s="37">
        <f>IF(A1257="","","Q"&amp;ROUNDUP(MONTH(A1257)/3,0))</f>
        <v/>
      </c>
      <c r="E1257" s="22" t="n"/>
      <c r="F1257" s="22" t="n"/>
      <c r="G1257" s="40">
        <f>IFERROR(VLOOKUP(F1257,M2_거래처마스터!A:E,3,FALSE),"")</f>
        <v/>
      </c>
      <c r="H1257" s="22" t="n"/>
      <c r="I1257" s="23" t="n"/>
      <c r="J1257" s="24" t="n"/>
      <c r="K1257" s="39">
        <f>IF(AND(I1257&lt;&gt;"",J1257&lt;&gt;""),I1257*J1257,"")</f>
        <v/>
      </c>
      <c r="L1257" s="22" t="n"/>
      <c r="M1257" s="22" t="n"/>
      <c r="N1257" s="24" t="n"/>
      <c r="O1257" s="24" t="n"/>
    </row>
    <row r="1258">
      <c r="A1258" s="34" t="n"/>
      <c r="B1258" s="35">
        <f>IF(A1258="","",YEAR(A1258))</f>
        <v/>
      </c>
      <c r="C1258" s="36">
        <f>IF(A1258="","",MONTH(A1258))</f>
        <v/>
      </c>
      <c r="D1258" s="37">
        <f>IF(A1258="","","Q"&amp;ROUNDUP(MONTH(A1258)/3,0))</f>
        <v/>
      </c>
      <c r="E1258" s="18" t="n"/>
      <c r="F1258" s="18" t="n"/>
      <c r="G1258" s="40">
        <f>IFERROR(VLOOKUP(F1258,M2_거래처마스터!A:E,3,FALSE),"")</f>
        <v/>
      </c>
      <c r="H1258" s="18" t="n"/>
      <c r="I1258" s="19" t="n"/>
      <c r="J1258" s="20" t="n"/>
      <c r="K1258" s="39">
        <f>IF(AND(I1258&lt;&gt;"",J1258&lt;&gt;""),I1258*J1258,"")</f>
        <v/>
      </c>
      <c r="L1258" s="18" t="n"/>
      <c r="M1258" s="18" t="n"/>
      <c r="N1258" s="20" t="n"/>
      <c r="O1258" s="20" t="n"/>
    </row>
    <row r="1259">
      <c r="A1259" s="41" t="n"/>
      <c r="B1259" s="35">
        <f>IF(A1259="","",YEAR(A1259))</f>
        <v/>
      </c>
      <c r="C1259" s="36">
        <f>IF(A1259="","",MONTH(A1259))</f>
        <v/>
      </c>
      <c r="D1259" s="37">
        <f>IF(A1259="","","Q"&amp;ROUNDUP(MONTH(A1259)/3,0))</f>
        <v/>
      </c>
      <c r="E1259" s="22" t="n"/>
      <c r="F1259" s="22" t="n"/>
      <c r="G1259" s="40">
        <f>IFERROR(VLOOKUP(F1259,M2_거래처마스터!A:E,3,FALSE),"")</f>
        <v/>
      </c>
      <c r="H1259" s="22" t="n"/>
      <c r="I1259" s="23" t="n"/>
      <c r="J1259" s="24" t="n"/>
      <c r="K1259" s="39">
        <f>IF(AND(I1259&lt;&gt;"",J1259&lt;&gt;""),I1259*J1259,"")</f>
        <v/>
      </c>
      <c r="L1259" s="22" t="n"/>
      <c r="M1259" s="22" t="n"/>
      <c r="N1259" s="24" t="n"/>
      <c r="O1259" s="24" t="n"/>
    </row>
    <row r="1260">
      <c r="A1260" s="34" t="n"/>
      <c r="B1260" s="35">
        <f>IF(A1260="","",YEAR(A1260))</f>
        <v/>
      </c>
      <c r="C1260" s="36">
        <f>IF(A1260="","",MONTH(A1260))</f>
        <v/>
      </c>
      <c r="D1260" s="37">
        <f>IF(A1260="","","Q"&amp;ROUNDUP(MONTH(A1260)/3,0))</f>
        <v/>
      </c>
      <c r="E1260" s="18" t="n"/>
      <c r="F1260" s="18" t="n"/>
      <c r="G1260" s="40">
        <f>IFERROR(VLOOKUP(F1260,M2_거래처마스터!A:E,3,FALSE),"")</f>
        <v/>
      </c>
      <c r="H1260" s="18" t="n"/>
      <c r="I1260" s="19" t="n"/>
      <c r="J1260" s="20" t="n"/>
      <c r="K1260" s="39">
        <f>IF(AND(I1260&lt;&gt;"",J1260&lt;&gt;""),I1260*J1260,"")</f>
        <v/>
      </c>
      <c r="L1260" s="18" t="n"/>
      <c r="M1260" s="18" t="n"/>
      <c r="N1260" s="20" t="n"/>
      <c r="O1260" s="20" t="n"/>
    </row>
    <row r="1261">
      <c r="A1261" s="41" t="n"/>
      <c r="B1261" s="35">
        <f>IF(A1261="","",YEAR(A1261))</f>
        <v/>
      </c>
      <c r="C1261" s="36">
        <f>IF(A1261="","",MONTH(A1261))</f>
        <v/>
      </c>
      <c r="D1261" s="37">
        <f>IF(A1261="","","Q"&amp;ROUNDUP(MONTH(A1261)/3,0))</f>
        <v/>
      </c>
      <c r="E1261" s="22" t="n"/>
      <c r="F1261" s="22" t="n"/>
      <c r="G1261" s="40">
        <f>IFERROR(VLOOKUP(F1261,M2_거래처마스터!A:E,3,FALSE),"")</f>
        <v/>
      </c>
      <c r="H1261" s="22" t="n"/>
      <c r="I1261" s="23" t="n"/>
      <c r="J1261" s="24" t="n"/>
      <c r="K1261" s="39">
        <f>IF(AND(I1261&lt;&gt;"",J1261&lt;&gt;""),I1261*J1261,"")</f>
        <v/>
      </c>
      <c r="L1261" s="22" t="n"/>
      <c r="M1261" s="22" t="n"/>
      <c r="N1261" s="24" t="n"/>
      <c r="O1261" s="24" t="n"/>
    </row>
    <row r="1262">
      <c r="A1262" s="34" t="n"/>
      <c r="B1262" s="35">
        <f>IF(A1262="","",YEAR(A1262))</f>
        <v/>
      </c>
      <c r="C1262" s="36">
        <f>IF(A1262="","",MONTH(A1262))</f>
        <v/>
      </c>
      <c r="D1262" s="37">
        <f>IF(A1262="","","Q"&amp;ROUNDUP(MONTH(A1262)/3,0))</f>
        <v/>
      </c>
      <c r="E1262" s="18" t="n"/>
      <c r="F1262" s="18" t="n"/>
      <c r="G1262" s="40">
        <f>IFERROR(VLOOKUP(F1262,M2_거래처마스터!A:E,3,FALSE),"")</f>
        <v/>
      </c>
      <c r="H1262" s="18" t="n"/>
      <c r="I1262" s="19" t="n"/>
      <c r="J1262" s="20" t="n"/>
      <c r="K1262" s="39">
        <f>IF(AND(I1262&lt;&gt;"",J1262&lt;&gt;""),I1262*J1262,"")</f>
        <v/>
      </c>
      <c r="L1262" s="18" t="n"/>
      <c r="M1262" s="18" t="n"/>
      <c r="N1262" s="20" t="n"/>
      <c r="O1262" s="20" t="n"/>
    </row>
    <row r="1263">
      <c r="A1263" s="41" t="n"/>
      <c r="B1263" s="35">
        <f>IF(A1263="","",YEAR(A1263))</f>
        <v/>
      </c>
      <c r="C1263" s="36">
        <f>IF(A1263="","",MONTH(A1263))</f>
        <v/>
      </c>
      <c r="D1263" s="37">
        <f>IF(A1263="","","Q"&amp;ROUNDUP(MONTH(A1263)/3,0))</f>
        <v/>
      </c>
      <c r="E1263" s="22" t="n"/>
      <c r="F1263" s="22" t="n"/>
      <c r="G1263" s="40">
        <f>IFERROR(VLOOKUP(F1263,M2_거래처마스터!A:E,3,FALSE),"")</f>
        <v/>
      </c>
      <c r="H1263" s="22" t="n"/>
      <c r="I1263" s="23" t="n"/>
      <c r="J1263" s="24" t="n"/>
      <c r="K1263" s="39">
        <f>IF(AND(I1263&lt;&gt;"",J1263&lt;&gt;""),I1263*J1263,"")</f>
        <v/>
      </c>
      <c r="L1263" s="22" t="n"/>
      <c r="M1263" s="22" t="n"/>
      <c r="N1263" s="24" t="n"/>
      <c r="O1263" s="24" t="n"/>
    </row>
    <row r="1264">
      <c r="A1264" s="34" t="n"/>
      <c r="B1264" s="35">
        <f>IF(A1264="","",YEAR(A1264))</f>
        <v/>
      </c>
      <c r="C1264" s="36">
        <f>IF(A1264="","",MONTH(A1264))</f>
        <v/>
      </c>
      <c r="D1264" s="37">
        <f>IF(A1264="","","Q"&amp;ROUNDUP(MONTH(A1264)/3,0))</f>
        <v/>
      </c>
      <c r="E1264" s="18" t="n"/>
      <c r="F1264" s="18" t="n"/>
      <c r="G1264" s="40">
        <f>IFERROR(VLOOKUP(F1264,M2_거래처마스터!A:E,3,FALSE),"")</f>
        <v/>
      </c>
      <c r="H1264" s="18" t="n"/>
      <c r="I1264" s="19" t="n"/>
      <c r="J1264" s="20" t="n"/>
      <c r="K1264" s="39">
        <f>IF(AND(I1264&lt;&gt;"",J1264&lt;&gt;""),I1264*J1264,"")</f>
        <v/>
      </c>
      <c r="L1264" s="18" t="n"/>
      <c r="M1264" s="18" t="n"/>
      <c r="N1264" s="20" t="n"/>
      <c r="O1264" s="20" t="n"/>
    </row>
    <row r="1265">
      <c r="A1265" s="41" t="n"/>
      <c r="B1265" s="35">
        <f>IF(A1265="","",YEAR(A1265))</f>
        <v/>
      </c>
      <c r="C1265" s="36">
        <f>IF(A1265="","",MONTH(A1265))</f>
        <v/>
      </c>
      <c r="D1265" s="37">
        <f>IF(A1265="","","Q"&amp;ROUNDUP(MONTH(A1265)/3,0))</f>
        <v/>
      </c>
      <c r="E1265" s="22" t="n"/>
      <c r="F1265" s="22" t="n"/>
      <c r="G1265" s="40">
        <f>IFERROR(VLOOKUP(F1265,M2_거래처마스터!A:E,3,FALSE),"")</f>
        <v/>
      </c>
      <c r="H1265" s="22" t="n"/>
      <c r="I1265" s="23" t="n"/>
      <c r="J1265" s="24" t="n"/>
      <c r="K1265" s="39">
        <f>IF(AND(I1265&lt;&gt;"",J1265&lt;&gt;""),I1265*J1265,"")</f>
        <v/>
      </c>
      <c r="L1265" s="22" t="n"/>
      <c r="M1265" s="22" t="n"/>
      <c r="N1265" s="24" t="n"/>
      <c r="O1265" s="24" t="n"/>
    </row>
    <row r="1266">
      <c r="A1266" s="34" t="n"/>
      <c r="B1266" s="35">
        <f>IF(A1266="","",YEAR(A1266))</f>
        <v/>
      </c>
      <c r="C1266" s="36">
        <f>IF(A1266="","",MONTH(A1266))</f>
        <v/>
      </c>
      <c r="D1266" s="37">
        <f>IF(A1266="","","Q"&amp;ROUNDUP(MONTH(A1266)/3,0))</f>
        <v/>
      </c>
      <c r="E1266" s="18" t="n"/>
      <c r="F1266" s="18" t="n"/>
      <c r="G1266" s="40">
        <f>IFERROR(VLOOKUP(F1266,M2_거래처마스터!A:E,3,FALSE),"")</f>
        <v/>
      </c>
      <c r="H1266" s="18" t="n"/>
      <c r="I1266" s="19" t="n"/>
      <c r="J1266" s="20" t="n"/>
      <c r="K1266" s="39">
        <f>IF(AND(I1266&lt;&gt;"",J1266&lt;&gt;""),I1266*J1266,"")</f>
        <v/>
      </c>
      <c r="L1266" s="18" t="n"/>
      <c r="M1266" s="18" t="n"/>
      <c r="N1266" s="20" t="n"/>
      <c r="O1266" s="20" t="n"/>
    </row>
    <row r="1267">
      <c r="A1267" s="41" t="n"/>
      <c r="B1267" s="35">
        <f>IF(A1267="","",YEAR(A1267))</f>
        <v/>
      </c>
      <c r="C1267" s="36">
        <f>IF(A1267="","",MONTH(A1267))</f>
        <v/>
      </c>
      <c r="D1267" s="37">
        <f>IF(A1267="","","Q"&amp;ROUNDUP(MONTH(A1267)/3,0))</f>
        <v/>
      </c>
      <c r="E1267" s="22" t="n"/>
      <c r="F1267" s="22" t="n"/>
      <c r="G1267" s="40">
        <f>IFERROR(VLOOKUP(F1267,M2_거래처마스터!A:E,3,FALSE),"")</f>
        <v/>
      </c>
      <c r="H1267" s="22" t="n"/>
      <c r="I1267" s="23" t="n"/>
      <c r="J1267" s="24" t="n"/>
      <c r="K1267" s="39">
        <f>IF(AND(I1267&lt;&gt;"",J1267&lt;&gt;""),I1267*J1267,"")</f>
        <v/>
      </c>
      <c r="L1267" s="22" t="n"/>
      <c r="M1267" s="22" t="n"/>
      <c r="N1267" s="24" t="n"/>
      <c r="O1267" s="24" t="n"/>
    </row>
    <row r="1268">
      <c r="A1268" s="34" t="n"/>
      <c r="B1268" s="35">
        <f>IF(A1268="","",YEAR(A1268))</f>
        <v/>
      </c>
      <c r="C1268" s="36">
        <f>IF(A1268="","",MONTH(A1268))</f>
        <v/>
      </c>
      <c r="D1268" s="37">
        <f>IF(A1268="","","Q"&amp;ROUNDUP(MONTH(A1268)/3,0))</f>
        <v/>
      </c>
      <c r="E1268" s="18" t="n"/>
      <c r="F1268" s="18" t="n"/>
      <c r="G1268" s="40">
        <f>IFERROR(VLOOKUP(F1268,M2_거래처마스터!A:E,3,FALSE),"")</f>
        <v/>
      </c>
      <c r="H1268" s="18" t="n"/>
      <c r="I1268" s="19" t="n"/>
      <c r="J1268" s="20" t="n"/>
      <c r="K1268" s="39">
        <f>IF(AND(I1268&lt;&gt;"",J1268&lt;&gt;""),I1268*J1268,"")</f>
        <v/>
      </c>
      <c r="L1268" s="18" t="n"/>
      <c r="M1268" s="18" t="n"/>
      <c r="N1268" s="20" t="n"/>
      <c r="O1268" s="20" t="n"/>
    </row>
    <row r="1269">
      <c r="A1269" s="41" t="n"/>
      <c r="B1269" s="35">
        <f>IF(A1269="","",YEAR(A1269))</f>
        <v/>
      </c>
      <c r="C1269" s="36">
        <f>IF(A1269="","",MONTH(A1269))</f>
        <v/>
      </c>
      <c r="D1269" s="37">
        <f>IF(A1269="","","Q"&amp;ROUNDUP(MONTH(A1269)/3,0))</f>
        <v/>
      </c>
      <c r="E1269" s="22" t="n"/>
      <c r="F1269" s="22" t="n"/>
      <c r="G1269" s="40">
        <f>IFERROR(VLOOKUP(F1269,M2_거래처마스터!A:E,3,FALSE),"")</f>
        <v/>
      </c>
      <c r="H1269" s="22" t="n"/>
      <c r="I1269" s="23" t="n"/>
      <c r="J1269" s="24" t="n"/>
      <c r="K1269" s="39">
        <f>IF(AND(I1269&lt;&gt;"",J1269&lt;&gt;""),I1269*J1269,"")</f>
        <v/>
      </c>
      <c r="L1269" s="22" t="n"/>
      <c r="M1269" s="22" t="n"/>
      <c r="N1269" s="24" t="n"/>
      <c r="O1269" s="24" t="n"/>
    </row>
    <row r="1270">
      <c r="A1270" s="34" t="n"/>
      <c r="B1270" s="35">
        <f>IF(A1270="","",YEAR(A1270))</f>
        <v/>
      </c>
      <c r="C1270" s="36">
        <f>IF(A1270="","",MONTH(A1270))</f>
        <v/>
      </c>
      <c r="D1270" s="37">
        <f>IF(A1270="","","Q"&amp;ROUNDUP(MONTH(A1270)/3,0))</f>
        <v/>
      </c>
      <c r="E1270" s="18" t="n"/>
      <c r="F1270" s="18" t="n"/>
      <c r="G1270" s="40">
        <f>IFERROR(VLOOKUP(F1270,M2_거래처마스터!A:E,3,FALSE),"")</f>
        <v/>
      </c>
      <c r="H1270" s="18" t="n"/>
      <c r="I1270" s="19" t="n"/>
      <c r="J1270" s="20" t="n"/>
      <c r="K1270" s="39">
        <f>IF(AND(I1270&lt;&gt;"",J1270&lt;&gt;""),I1270*J1270,"")</f>
        <v/>
      </c>
      <c r="L1270" s="18" t="n"/>
      <c r="M1270" s="18" t="n"/>
      <c r="N1270" s="20" t="n"/>
      <c r="O1270" s="20" t="n"/>
    </row>
    <row r="1271">
      <c r="A1271" s="41" t="n"/>
      <c r="B1271" s="35">
        <f>IF(A1271="","",YEAR(A1271))</f>
        <v/>
      </c>
      <c r="C1271" s="36">
        <f>IF(A1271="","",MONTH(A1271))</f>
        <v/>
      </c>
      <c r="D1271" s="37">
        <f>IF(A1271="","","Q"&amp;ROUNDUP(MONTH(A1271)/3,0))</f>
        <v/>
      </c>
      <c r="E1271" s="22" t="n"/>
      <c r="F1271" s="22" t="n"/>
      <c r="G1271" s="40">
        <f>IFERROR(VLOOKUP(F1271,M2_거래처마스터!A:E,3,FALSE),"")</f>
        <v/>
      </c>
      <c r="H1271" s="22" t="n"/>
      <c r="I1271" s="23" t="n"/>
      <c r="J1271" s="24" t="n"/>
      <c r="K1271" s="39">
        <f>IF(AND(I1271&lt;&gt;"",J1271&lt;&gt;""),I1271*J1271,"")</f>
        <v/>
      </c>
      <c r="L1271" s="22" t="n"/>
      <c r="M1271" s="22" t="n"/>
      <c r="N1271" s="24" t="n"/>
      <c r="O1271" s="24" t="n"/>
    </row>
    <row r="1272">
      <c r="A1272" s="34" t="n"/>
      <c r="B1272" s="35">
        <f>IF(A1272="","",YEAR(A1272))</f>
        <v/>
      </c>
      <c r="C1272" s="36">
        <f>IF(A1272="","",MONTH(A1272))</f>
        <v/>
      </c>
      <c r="D1272" s="37">
        <f>IF(A1272="","","Q"&amp;ROUNDUP(MONTH(A1272)/3,0))</f>
        <v/>
      </c>
      <c r="E1272" s="18" t="n"/>
      <c r="F1272" s="18" t="n"/>
      <c r="G1272" s="40">
        <f>IFERROR(VLOOKUP(F1272,M2_거래처마스터!A:E,3,FALSE),"")</f>
        <v/>
      </c>
      <c r="H1272" s="18" t="n"/>
      <c r="I1272" s="19" t="n"/>
      <c r="J1272" s="20" t="n"/>
      <c r="K1272" s="39">
        <f>IF(AND(I1272&lt;&gt;"",J1272&lt;&gt;""),I1272*J1272,"")</f>
        <v/>
      </c>
      <c r="L1272" s="18" t="n"/>
      <c r="M1272" s="18" t="n"/>
      <c r="N1272" s="20" t="n"/>
      <c r="O1272" s="20" t="n"/>
    </row>
    <row r="1273">
      <c r="A1273" s="41" t="n"/>
      <c r="B1273" s="35">
        <f>IF(A1273="","",YEAR(A1273))</f>
        <v/>
      </c>
      <c r="C1273" s="36">
        <f>IF(A1273="","",MONTH(A1273))</f>
        <v/>
      </c>
      <c r="D1273" s="37">
        <f>IF(A1273="","","Q"&amp;ROUNDUP(MONTH(A1273)/3,0))</f>
        <v/>
      </c>
      <c r="E1273" s="22" t="n"/>
      <c r="F1273" s="22" t="n"/>
      <c r="G1273" s="40">
        <f>IFERROR(VLOOKUP(F1273,M2_거래처마스터!A:E,3,FALSE),"")</f>
        <v/>
      </c>
      <c r="H1273" s="22" t="n"/>
      <c r="I1273" s="23" t="n"/>
      <c r="J1273" s="24" t="n"/>
      <c r="K1273" s="39">
        <f>IF(AND(I1273&lt;&gt;"",J1273&lt;&gt;""),I1273*J1273,"")</f>
        <v/>
      </c>
      <c r="L1273" s="22" t="n"/>
      <c r="M1273" s="22" t="n"/>
      <c r="N1273" s="24" t="n"/>
      <c r="O1273" s="24" t="n"/>
    </row>
    <row r="1274">
      <c r="A1274" s="34" t="n"/>
      <c r="B1274" s="35">
        <f>IF(A1274="","",YEAR(A1274))</f>
        <v/>
      </c>
      <c r="C1274" s="36">
        <f>IF(A1274="","",MONTH(A1274))</f>
        <v/>
      </c>
      <c r="D1274" s="37">
        <f>IF(A1274="","","Q"&amp;ROUNDUP(MONTH(A1274)/3,0))</f>
        <v/>
      </c>
      <c r="E1274" s="18" t="n"/>
      <c r="F1274" s="18" t="n"/>
      <c r="G1274" s="40">
        <f>IFERROR(VLOOKUP(F1274,M2_거래처마스터!A:E,3,FALSE),"")</f>
        <v/>
      </c>
      <c r="H1274" s="18" t="n"/>
      <c r="I1274" s="19" t="n"/>
      <c r="J1274" s="20" t="n"/>
      <c r="K1274" s="39">
        <f>IF(AND(I1274&lt;&gt;"",J1274&lt;&gt;""),I1274*J1274,"")</f>
        <v/>
      </c>
      <c r="L1274" s="18" t="n"/>
      <c r="M1274" s="18" t="n"/>
      <c r="N1274" s="20" t="n"/>
      <c r="O1274" s="20" t="n"/>
    </row>
    <row r="1275">
      <c r="A1275" s="41" t="n"/>
      <c r="B1275" s="35">
        <f>IF(A1275="","",YEAR(A1275))</f>
        <v/>
      </c>
      <c r="C1275" s="36">
        <f>IF(A1275="","",MONTH(A1275))</f>
        <v/>
      </c>
      <c r="D1275" s="37">
        <f>IF(A1275="","","Q"&amp;ROUNDUP(MONTH(A1275)/3,0))</f>
        <v/>
      </c>
      <c r="E1275" s="22" t="n"/>
      <c r="F1275" s="22" t="n"/>
      <c r="G1275" s="40">
        <f>IFERROR(VLOOKUP(F1275,M2_거래처마스터!A:E,3,FALSE),"")</f>
        <v/>
      </c>
      <c r="H1275" s="22" t="n"/>
      <c r="I1275" s="23" t="n"/>
      <c r="J1275" s="24" t="n"/>
      <c r="K1275" s="39">
        <f>IF(AND(I1275&lt;&gt;"",J1275&lt;&gt;""),I1275*J1275,"")</f>
        <v/>
      </c>
      <c r="L1275" s="22" t="n"/>
      <c r="M1275" s="22" t="n"/>
      <c r="N1275" s="24" t="n"/>
      <c r="O1275" s="24" t="n"/>
    </row>
    <row r="1276">
      <c r="A1276" s="34" t="n"/>
      <c r="B1276" s="35">
        <f>IF(A1276="","",YEAR(A1276))</f>
        <v/>
      </c>
      <c r="C1276" s="36">
        <f>IF(A1276="","",MONTH(A1276))</f>
        <v/>
      </c>
      <c r="D1276" s="37">
        <f>IF(A1276="","","Q"&amp;ROUNDUP(MONTH(A1276)/3,0))</f>
        <v/>
      </c>
      <c r="E1276" s="18" t="n"/>
      <c r="F1276" s="18" t="n"/>
      <c r="G1276" s="40">
        <f>IFERROR(VLOOKUP(F1276,M2_거래처마스터!A:E,3,FALSE),"")</f>
        <v/>
      </c>
      <c r="H1276" s="18" t="n"/>
      <c r="I1276" s="19" t="n"/>
      <c r="J1276" s="20" t="n"/>
      <c r="K1276" s="39">
        <f>IF(AND(I1276&lt;&gt;"",J1276&lt;&gt;""),I1276*J1276,"")</f>
        <v/>
      </c>
      <c r="L1276" s="18" t="n"/>
      <c r="M1276" s="18" t="n"/>
      <c r="N1276" s="20" t="n"/>
      <c r="O1276" s="20" t="n"/>
    </row>
    <row r="1277">
      <c r="A1277" s="41" t="n"/>
      <c r="B1277" s="35">
        <f>IF(A1277="","",YEAR(A1277))</f>
        <v/>
      </c>
      <c r="C1277" s="36">
        <f>IF(A1277="","",MONTH(A1277))</f>
        <v/>
      </c>
      <c r="D1277" s="37">
        <f>IF(A1277="","","Q"&amp;ROUNDUP(MONTH(A1277)/3,0))</f>
        <v/>
      </c>
      <c r="E1277" s="22" t="n"/>
      <c r="F1277" s="22" t="n"/>
      <c r="G1277" s="40">
        <f>IFERROR(VLOOKUP(F1277,M2_거래처마스터!A:E,3,FALSE),"")</f>
        <v/>
      </c>
      <c r="H1277" s="22" t="n"/>
      <c r="I1277" s="23" t="n"/>
      <c r="J1277" s="24" t="n"/>
      <c r="K1277" s="39">
        <f>IF(AND(I1277&lt;&gt;"",J1277&lt;&gt;""),I1277*J1277,"")</f>
        <v/>
      </c>
      <c r="L1277" s="22" t="n"/>
      <c r="M1277" s="22" t="n"/>
      <c r="N1277" s="24" t="n"/>
      <c r="O1277" s="24" t="n"/>
    </row>
    <row r="1278">
      <c r="A1278" s="34" t="n"/>
      <c r="B1278" s="35">
        <f>IF(A1278="","",YEAR(A1278))</f>
        <v/>
      </c>
      <c r="C1278" s="36">
        <f>IF(A1278="","",MONTH(A1278))</f>
        <v/>
      </c>
      <c r="D1278" s="37">
        <f>IF(A1278="","","Q"&amp;ROUNDUP(MONTH(A1278)/3,0))</f>
        <v/>
      </c>
      <c r="E1278" s="18" t="n"/>
      <c r="F1278" s="18" t="n"/>
      <c r="G1278" s="40">
        <f>IFERROR(VLOOKUP(F1278,M2_거래처마스터!A:E,3,FALSE),"")</f>
        <v/>
      </c>
      <c r="H1278" s="18" t="n"/>
      <c r="I1278" s="19" t="n"/>
      <c r="J1278" s="20" t="n"/>
      <c r="K1278" s="39">
        <f>IF(AND(I1278&lt;&gt;"",J1278&lt;&gt;""),I1278*J1278,"")</f>
        <v/>
      </c>
      <c r="L1278" s="18" t="n"/>
      <c r="M1278" s="18" t="n"/>
      <c r="N1278" s="20" t="n"/>
      <c r="O1278" s="20" t="n"/>
    </row>
    <row r="1279">
      <c r="A1279" s="41" t="n"/>
      <c r="B1279" s="35">
        <f>IF(A1279="","",YEAR(A1279))</f>
        <v/>
      </c>
      <c r="C1279" s="36">
        <f>IF(A1279="","",MONTH(A1279))</f>
        <v/>
      </c>
      <c r="D1279" s="37">
        <f>IF(A1279="","","Q"&amp;ROUNDUP(MONTH(A1279)/3,0))</f>
        <v/>
      </c>
      <c r="E1279" s="22" t="n"/>
      <c r="F1279" s="22" t="n"/>
      <c r="G1279" s="40">
        <f>IFERROR(VLOOKUP(F1279,M2_거래처마스터!A:E,3,FALSE),"")</f>
        <v/>
      </c>
      <c r="H1279" s="22" t="n"/>
      <c r="I1279" s="23" t="n"/>
      <c r="J1279" s="24" t="n"/>
      <c r="K1279" s="39">
        <f>IF(AND(I1279&lt;&gt;"",J1279&lt;&gt;""),I1279*J1279,"")</f>
        <v/>
      </c>
      <c r="L1279" s="22" t="n"/>
      <c r="M1279" s="22" t="n"/>
      <c r="N1279" s="24" t="n"/>
      <c r="O1279" s="24" t="n"/>
    </row>
    <row r="1280">
      <c r="A1280" s="34" t="n"/>
      <c r="B1280" s="35">
        <f>IF(A1280="","",YEAR(A1280))</f>
        <v/>
      </c>
      <c r="C1280" s="36">
        <f>IF(A1280="","",MONTH(A1280))</f>
        <v/>
      </c>
      <c r="D1280" s="37">
        <f>IF(A1280="","","Q"&amp;ROUNDUP(MONTH(A1280)/3,0))</f>
        <v/>
      </c>
      <c r="E1280" s="18" t="n"/>
      <c r="F1280" s="18" t="n"/>
      <c r="G1280" s="40">
        <f>IFERROR(VLOOKUP(F1280,M2_거래처마스터!A:E,3,FALSE),"")</f>
        <v/>
      </c>
      <c r="H1280" s="18" t="n"/>
      <c r="I1280" s="19" t="n"/>
      <c r="J1280" s="20" t="n"/>
      <c r="K1280" s="39">
        <f>IF(AND(I1280&lt;&gt;"",J1280&lt;&gt;""),I1280*J1280,"")</f>
        <v/>
      </c>
      <c r="L1280" s="18" t="n"/>
      <c r="M1280" s="18" t="n"/>
      <c r="N1280" s="20" t="n"/>
      <c r="O1280" s="20" t="n"/>
    </row>
    <row r="1281">
      <c r="A1281" s="41" t="n"/>
      <c r="B1281" s="35">
        <f>IF(A1281="","",YEAR(A1281))</f>
        <v/>
      </c>
      <c r="C1281" s="36">
        <f>IF(A1281="","",MONTH(A1281))</f>
        <v/>
      </c>
      <c r="D1281" s="37">
        <f>IF(A1281="","","Q"&amp;ROUNDUP(MONTH(A1281)/3,0))</f>
        <v/>
      </c>
      <c r="E1281" s="22" t="n"/>
      <c r="F1281" s="22" t="n"/>
      <c r="G1281" s="40">
        <f>IFERROR(VLOOKUP(F1281,M2_거래처마스터!A:E,3,FALSE),"")</f>
        <v/>
      </c>
      <c r="H1281" s="22" t="n"/>
      <c r="I1281" s="23" t="n"/>
      <c r="J1281" s="24" t="n"/>
      <c r="K1281" s="39">
        <f>IF(AND(I1281&lt;&gt;"",J1281&lt;&gt;""),I1281*J1281,"")</f>
        <v/>
      </c>
      <c r="L1281" s="22" t="n"/>
      <c r="M1281" s="22" t="n"/>
      <c r="N1281" s="24" t="n"/>
      <c r="O1281" s="24" t="n"/>
    </row>
    <row r="1282">
      <c r="A1282" s="34" t="n"/>
      <c r="B1282" s="35">
        <f>IF(A1282="","",YEAR(A1282))</f>
        <v/>
      </c>
      <c r="C1282" s="36">
        <f>IF(A1282="","",MONTH(A1282))</f>
        <v/>
      </c>
      <c r="D1282" s="37">
        <f>IF(A1282="","","Q"&amp;ROUNDUP(MONTH(A1282)/3,0))</f>
        <v/>
      </c>
      <c r="E1282" s="18" t="n"/>
      <c r="F1282" s="18" t="n"/>
      <c r="G1282" s="40">
        <f>IFERROR(VLOOKUP(F1282,M2_거래처마스터!A:E,3,FALSE),"")</f>
        <v/>
      </c>
      <c r="H1282" s="18" t="n"/>
      <c r="I1282" s="19" t="n"/>
      <c r="J1282" s="20" t="n"/>
      <c r="K1282" s="39">
        <f>IF(AND(I1282&lt;&gt;"",J1282&lt;&gt;""),I1282*J1282,"")</f>
        <v/>
      </c>
      <c r="L1282" s="18" t="n"/>
      <c r="M1282" s="18" t="n"/>
      <c r="N1282" s="20" t="n"/>
      <c r="O1282" s="20" t="n"/>
    </row>
    <row r="1283">
      <c r="A1283" s="41" t="n"/>
      <c r="B1283" s="35">
        <f>IF(A1283="","",YEAR(A1283))</f>
        <v/>
      </c>
      <c r="C1283" s="36">
        <f>IF(A1283="","",MONTH(A1283))</f>
        <v/>
      </c>
      <c r="D1283" s="37">
        <f>IF(A1283="","","Q"&amp;ROUNDUP(MONTH(A1283)/3,0))</f>
        <v/>
      </c>
      <c r="E1283" s="22" t="n"/>
      <c r="F1283" s="22" t="n"/>
      <c r="G1283" s="40">
        <f>IFERROR(VLOOKUP(F1283,M2_거래처마스터!A:E,3,FALSE),"")</f>
        <v/>
      </c>
      <c r="H1283" s="22" t="n"/>
      <c r="I1283" s="23" t="n"/>
      <c r="J1283" s="24" t="n"/>
      <c r="K1283" s="39">
        <f>IF(AND(I1283&lt;&gt;"",J1283&lt;&gt;""),I1283*J1283,"")</f>
        <v/>
      </c>
      <c r="L1283" s="22" t="n"/>
      <c r="M1283" s="22" t="n"/>
      <c r="N1283" s="24" t="n"/>
      <c r="O1283" s="24" t="n"/>
    </row>
    <row r="1284">
      <c r="A1284" s="34" t="n"/>
      <c r="B1284" s="35">
        <f>IF(A1284="","",YEAR(A1284))</f>
        <v/>
      </c>
      <c r="C1284" s="36">
        <f>IF(A1284="","",MONTH(A1284))</f>
        <v/>
      </c>
      <c r="D1284" s="37">
        <f>IF(A1284="","","Q"&amp;ROUNDUP(MONTH(A1284)/3,0))</f>
        <v/>
      </c>
      <c r="E1284" s="18" t="n"/>
      <c r="F1284" s="18" t="n"/>
      <c r="G1284" s="40">
        <f>IFERROR(VLOOKUP(F1284,M2_거래처마스터!A:E,3,FALSE),"")</f>
        <v/>
      </c>
      <c r="H1284" s="18" t="n"/>
      <c r="I1284" s="19" t="n"/>
      <c r="J1284" s="20" t="n"/>
      <c r="K1284" s="39">
        <f>IF(AND(I1284&lt;&gt;"",J1284&lt;&gt;""),I1284*J1284,"")</f>
        <v/>
      </c>
      <c r="L1284" s="18" t="n"/>
      <c r="M1284" s="18" t="n"/>
      <c r="N1284" s="20" t="n"/>
      <c r="O1284" s="20" t="n"/>
    </row>
    <row r="1285">
      <c r="A1285" s="41" t="n"/>
      <c r="B1285" s="35">
        <f>IF(A1285="","",YEAR(A1285))</f>
        <v/>
      </c>
      <c r="C1285" s="36">
        <f>IF(A1285="","",MONTH(A1285))</f>
        <v/>
      </c>
      <c r="D1285" s="37">
        <f>IF(A1285="","","Q"&amp;ROUNDUP(MONTH(A1285)/3,0))</f>
        <v/>
      </c>
      <c r="E1285" s="22" t="n"/>
      <c r="F1285" s="22" t="n"/>
      <c r="G1285" s="40">
        <f>IFERROR(VLOOKUP(F1285,M2_거래처마스터!A:E,3,FALSE),"")</f>
        <v/>
      </c>
      <c r="H1285" s="22" t="n"/>
      <c r="I1285" s="23" t="n"/>
      <c r="J1285" s="24" t="n"/>
      <c r="K1285" s="39">
        <f>IF(AND(I1285&lt;&gt;"",J1285&lt;&gt;""),I1285*J1285,"")</f>
        <v/>
      </c>
      <c r="L1285" s="22" t="n"/>
      <c r="M1285" s="22" t="n"/>
      <c r="N1285" s="24" t="n"/>
      <c r="O1285" s="24" t="n"/>
    </row>
    <row r="1286">
      <c r="A1286" s="34" t="n"/>
      <c r="B1286" s="35">
        <f>IF(A1286="","",YEAR(A1286))</f>
        <v/>
      </c>
      <c r="C1286" s="36">
        <f>IF(A1286="","",MONTH(A1286))</f>
        <v/>
      </c>
      <c r="D1286" s="37">
        <f>IF(A1286="","","Q"&amp;ROUNDUP(MONTH(A1286)/3,0))</f>
        <v/>
      </c>
      <c r="E1286" s="18" t="n"/>
      <c r="F1286" s="18" t="n"/>
      <c r="G1286" s="40">
        <f>IFERROR(VLOOKUP(F1286,M2_거래처마스터!A:E,3,FALSE),"")</f>
        <v/>
      </c>
      <c r="H1286" s="18" t="n"/>
      <c r="I1286" s="19" t="n"/>
      <c r="J1286" s="20" t="n"/>
      <c r="K1286" s="39">
        <f>IF(AND(I1286&lt;&gt;"",J1286&lt;&gt;""),I1286*J1286,"")</f>
        <v/>
      </c>
      <c r="L1286" s="18" t="n"/>
      <c r="M1286" s="18" t="n"/>
      <c r="N1286" s="20" t="n"/>
      <c r="O1286" s="20" t="n"/>
    </row>
    <row r="1287">
      <c r="A1287" s="41" t="n"/>
      <c r="B1287" s="35">
        <f>IF(A1287="","",YEAR(A1287))</f>
        <v/>
      </c>
      <c r="C1287" s="36">
        <f>IF(A1287="","",MONTH(A1287))</f>
        <v/>
      </c>
      <c r="D1287" s="37">
        <f>IF(A1287="","","Q"&amp;ROUNDUP(MONTH(A1287)/3,0))</f>
        <v/>
      </c>
      <c r="E1287" s="22" t="n"/>
      <c r="F1287" s="22" t="n"/>
      <c r="G1287" s="40">
        <f>IFERROR(VLOOKUP(F1287,M2_거래처마스터!A:E,3,FALSE),"")</f>
        <v/>
      </c>
      <c r="H1287" s="22" t="n"/>
      <c r="I1287" s="23" t="n"/>
      <c r="J1287" s="24" t="n"/>
      <c r="K1287" s="39">
        <f>IF(AND(I1287&lt;&gt;"",J1287&lt;&gt;""),I1287*J1287,"")</f>
        <v/>
      </c>
      <c r="L1287" s="22" t="n"/>
      <c r="M1287" s="22" t="n"/>
      <c r="N1287" s="24" t="n"/>
      <c r="O1287" s="24" t="n"/>
    </row>
    <row r="1288">
      <c r="A1288" s="34" t="n"/>
      <c r="B1288" s="35">
        <f>IF(A1288="","",YEAR(A1288))</f>
        <v/>
      </c>
      <c r="C1288" s="36">
        <f>IF(A1288="","",MONTH(A1288))</f>
        <v/>
      </c>
      <c r="D1288" s="37">
        <f>IF(A1288="","","Q"&amp;ROUNDUP(MONTH(A1288)/3,0))</f>
        <v/>
      </c>
      <c r="E1288" s="18" t="n"/>
      <c r="F1288" s="18" t="n"/>
      <c r="G1288" s="40">
        <f>IFERROR(VLOOKUP(F1288,M2_거래처마스터!A:E,3,FALSE),"")</f>
        <v/>
      </c>
      <c r="H1288" s="18" t="n"/>
      <c r="I1288" s="19" t="n"/>
      <c r="J1288" s="20" t="n"/>
      <c r="K1288" s="39">
        <f>IF(AND(I1288&lt;&gt;"",J1288&lt;&gt;""),I1288*J1288,"")</f>
        <v/>
      </c>
      <c r="L1288" s="18" t="n"/>
      <c r="M1288" s="18" t="n"/>
      <c r="N1288" s="20" t="n"/>
      <c r="O1288" s="20" t="n"/>
    </row>
    <row r="1289">
      <c r="A1289" s="41" t="n"/>
      <c r="B1289" s="35">
        <f>IF(A1289="","",YEAR(A1289))</f>
        <v/>
      </c>
      <c r="C1289" s="36">
        <f>IF(A1289="","",MONTH(A1289))</f>
        <v/>
      </c>
      <c r="D1289" s="37">
        <f>IF(A1289="","","Q"&amp;ROUNDUP(MONTH(A1289)/3,0))</f>
        <v/>
      </c>
      <c r="E1289" s="22" t="n"/>
      <c r="F1289" s="22" t="n"/>
      <c r="G1289" s="40">
        <f>IFERROR(VLOOKUP(F1289,M2_거래처마스터!A:E,3,FALSE),"")</f>
        <v/>
      </c>
      <c r="H1289" s="22" t="n"/>
      <c r="I1289" s="23" t="n"/>
      <c r="J1289" s="24" t="n"/>
      <c r="K1289" s="39">
        <f>IF(AND(I1289&lt;&gt;"",J1289&lt;&gt;""),I1289*J1289,"")</f>
        <v/>
      </c>
      <c r="L1289" s="22" t="n"/>
      <c r="M1289" s="22" t="n"/>
      <c r="N1289" s="24" t="n"/>
      <c r="O1289" s="24" t="n"/>
    </row>
    <row r="1290">
      <c r="A1290" s="34" t="n"/>
      <c r="B1290" s="35">
        <f>IF(A1290="","",YEAR(A1290))</f>
        <v/>
      </c>
      <c r="C1290" s="36">
        <f>IF(A1290="","",MONTH(A1290))</f>
        <v/>
      </c>
      <c r="D1290" s="37">
        <f>IF(A1290="","","Q"&amp;ROUNDUP(MONTH(A1290)/3,0))</f>
        <v/>
      </c>
      <c r="E1290" s="18" t="n"/>
      <c r="F1290" s="18" t="n"/>
      <c r="G1290" s="40">
        <f>IFERROR(VLOOKUP(F1290,M2_거래처마스터!A:E,3,FALSE),"")</f>
        <v/>
      </c>
      <c r="H1290" s="18" t="n"/>
      <c r="I1290" s="19" t="n"/>
      <c r="J1290" s="20" t="n"/>
      <c r="K1290" s="39">
        <f>IF(AND(I1290&lt;&gt;"",J1290&lt;&gt;""),I1290*J1290,"")</f>
        <v/>
      </c>
      <c r="L1290" s="18" t="n"/>
      <c r="M1290" s="18" t="n"/>
      <c r="N1290" s="20" t="n"/>
      <c r="O1290" s="20" t="n"/>
    </row>
    <row r="1291">
      <c r="A1291" s="41" t="n"/>
      <c r="B1291" s="35">
        <f>IF(A1291="","",YEAR(A1291))</f>
        <v/>
      </c>
      <c r="C1291" s="36">
        <f>IF(A1291="","",MONTH(A1291))</f>
        <v/>
      </c>
      <c r="D1291" s="37">
        <f>IF(A1291="","","Q"&amp;ROUNDUP(MONTH(A1291)/3,0))</f>
        <v/>
      </c>
      <c r="E1291" s="22" t="n"/>
      <c r="F1291" s="22" t="n"/>
      <c r="G1291" s="40">
        <f>IFERROR(VLOOKUP(F1291,M2_거래처마스터!A:E,3,FALSE),"")</f>
        <v/>
      </c>
      <c r="H1291" s="22" t="n"/>
      <c r="I1291" s="23" t="n"/>
      <c r="J1291" s="24" t="n"/>
      <c r="K1291" s="39">
        <f>IF(AND(I1291&lt;&gt;"",J1291&lt;&gt;""),I1291*J1291,"")</f>
        <v/>
      </c>
      <c r="L1291" s="22" t="n"/>
      <c r="M1291" s="22" t="n"/>
      <c r="N1291" s="24" t="n"/>
      <c r="O1291" s="24" t="n"/>
    </row>
    <row r="1292">
      <c r="A1292" s="34" t="n"/>
      <c r="B1292" s="35">
        <f>IF(A1292="","",YEAR(A1292))</f>
        <v/>
      </c>
      <c r="C1292" s="36">
        <f>IF(A1292="","",MONTH(A1292))</f>
        <v/>
      </c>
      <c r="D1292" s="37">
        <f>IF(A1292="","","Q"&amp;ROUNDUP(MONTH(A1292)/3,0))</f>
        <v/>
      </c>
      <c r="E1292" s="18" t="n"/>
      <c r="F1292" s="18" t="n"/>
      <c r="G1292" s="40">
        <f>IFERROR(VLOOKUP(F1292,M2_거래처마스터!A:E,3,FALSE),"")</f>
        <v/>
      </c>
      <c r="H1292" s="18" t="n"/>
      <c r="I1292" s="19" t="n"/>
      <c r="J1292" s="20" t="n"/>
      <c r="K1292" s="39">
        <f>IF(AND(I1292&lt;&gt;"",J1292&lt;&gt;""),I1292*J1292,"")</f>
        <v/>
      </c>
      <c r="L1292" s="18" t="n"/>
      <c r="M1292" s="18" t="n"/>
      <c r="N1292" s="20" t="n"/>
      <c r="O1292" s="20" t="n"/>
    </row>
    <row r="1293">
      <c r="A1293" s="41" t="n"/>
      <c r="B1293" s="35">
        <f>IF(A1293="","",YEAR(A1293))</f>
        <v/>
      </c>
      <c r="C1293" s="36">
        <f>IF(A1293="","",MONTH(A1293))</f>
        <v/>
      </c>
      <c r="D1293" s="37">
        <f>IF(A1293="","","Q"&amp;ROUNDUP(MONTH(A1293)/3,0))</f>
        <v/>
      </c>
      <c r="E1293" s="22" t="n"/>
      <c r="F1293" s="22" t="n"/>
      <c r="G1293" s="40">
        <f>IFERROR(VLOOKUP(F1293,M2_거래처마스터!A:E,3,FALSE),"")</f>
        <v/>
      </c>
      <c r="H1293" s="22" t="n"/>
      <c r="I1293" s="23" t="n"/>
      <c r="J1293" s="24" t="n"/>
      <c r="K1293" s="39">
        <f>IF(AND(I1293&lt;&gt;"",J1293&lt;&gt;""),I1293*J1293,"")</f>
        <v/>
      </c>
      <c r="L1293" s="22" t="n"/>
      <c r="M1293" s="22" t="n"/>
      <c r="N1293" s="24" t="n"/>
      <c r="O1293" s="24" t="n"/>
    </row>
    <row r="1294">
      <c r="A1294" s="34" t="n"/>
      <c r="B1294" s="35">
        <f>IF(A1294="","",YEAR(A1294))</f>
        <v/>
      </c>
      <c r="C1294" s="36">
        <f>IF(A1294="","",MONTH(A1294))</f>
        <v/>
      </c>
      <c r="D1294" s="37">
        <f>IF(A1294="","","Q"&amp;ROUNDUP(MONTH(A1294)/3,0))</f>
        <v/>
      </c>
      <c r="E1294" s="18" t="n"/>
      <c r="F1294" s="18" t="n"/>
      <c r="G1294" s="40">
        <f>IFERROR(VLOOKUP(F1294,M2_거래처마스터!A:E,3,FALSE),"")</f>
        <v/>
      </c>
      <c r="H1294" s="18" t="n"/>
      <c r="I1294" s="19" t="n"/>
      <c r="J1294" s="20" t="n"/>
      <c r="K1294" s="39">
        <f>IF(AND(I1294&lt;&gt;"",J1294&lt;&gt;""),I1294*J1294,"")</f>
        <v/>
      </c>
      <c r="L1294" s="18" t="n"/>
      <c r="M1294" s="18" t="n"/>
      <c r="N1294" s="20" t="n"/>
      <c r="O1294" s="20" t="n"/>
    </row>
    <row r="1295">
      <c r="A1295" s="41" t="n"/>
      <c r="B1295" s="35">
        <f>IF(A1295="","",YEAR(A1295))</f>
        <v/>
      </c>
      <c r="C1295" s="36">
        <f>IF(A1295="","",MONTH(A1295))</f>
        <v/>
      </c>
      <c r="D1295" s="37">
        <f>IF(A1295="","","Q"&amp;ROUNDUP(MONTH(A1295)/3,0))</f>
        <v/>
      </c>
      <c r="E1295" s="22" t="n"/>
      <c r="F1295" s="22" t="n"/>
      <c r="G1295" s="40">
        <f>IFERROR(VLOOKUP(F1295,M2_거래처마스터!A:E,3,FALSE),"")</f>
        <v/>
      </c>
      <c r="H1295" s="22" t="n"/>
      <c r="I1295" s="23" t="n"/>
      <c r="J1295" s="24" t="n"/>
      <c r="K1295" s="39">
        <f>IF(AND(I1295&lt;&gt;"",J1295&lt;&gt;""),I1295*J1295,"")</f>
        <v/>
      </c>
      <c r="L1295" s="22" t="n"/>
      <c r="M1295" s="22" t="n"/>
      <c r="N1295" s="24" t="n"/>
      <c r="O1295" s="24" t="n"/>
    </row>
    <row r="1296">
      <c r="A1296" s="34" t="n"/>
      <c r="B1296" s="35">
        <f>IF(A1296="","",YEAR(A1296))</f>
        <v/>
      </c>
      <c r="C1296" s="36">
        <f>IF(A1296="","",MONTH(A1296))</f>
        <v/>
      </c>
      <c r="D1296" s="37">
        <f>IF(A1296="","","Q"&amp;ROUNDUP(MONTH(A1296)/3,0))</f>
        <v/>
      </c>
      <c r="E1296" s="18" t="n"/>
      <c r="F1296" s="18" t="n"/>
      <c r="G1296" s="40">
        <f>IFERROR(VLOOKUP(F1296,M2_거래처마스터!A:E,3,FALSE),"")</f>
        <v/>
      </c>
      <c r="H1296" s="18" t="n"/>
      <c r="I1296" s="19" t="n"/>
      <c r="J1296" s="20" t="n"/>
      <c r="K1296" s="39">
        <f>IF(AND(I1296&lt;&gt;"",J1296&lt;&gt;""),I1296*J1296,"")</f>
        <v/>
      </c>
      <c r="L1296" s="18" t="n"/>
      <c r="M1296" s="18" t="n"/>
      <c r="N1296" s="20" t="n"/>
      <c r="O1296" s="20" t="n"/>
    </row>
    <row r="1297">
      <c r="A1297" s="41" t="n"/>
      <c r="B1297" s="35">
        <f>IF(A1297="","",YEAR(A1297))</f>
        <v/>
      </c>
      <c r="C1297" s="36">
        <f>IF(A1297="","",MONTH(A1297))</f>
        <v/>
      </c>
      <c r="D1297" s="37">
        <f>IF(A1297="","","Q"&amp;ROUNDUP(MONTH(A1297)/3,0))</f>
        <v/>
      </c>
      <c r="E1297" s="22" t="n"/>
      <c r="F1297" s="22" t="n"/>
      <c r="G1297" s="40">
        <f>IFERROR(VLOOKUP(F1297,M2_거래처마스터!A:E,3,FALSE),"")</f>
        <v/>
      </c>
      <c r="H1297" s="22" t="n"/>
      <c r="I1297" s="23" t="n"/>
      <c r="J1297" s="24" t="n"/>
      <c r="K1297" s="39">
        <f>IF(AND(I1297&lt;&gt;"",J1297&lt;&gt;""),I1297*J1297,"")</f>
        <v/>
      </c>
      <c r="L1297" s="22" t="n"/>
      <c r="M1297" s="22" t="n"/>
      <c r="N1297" s="24" t="n"/>
      <c r="O1297" s="24" t="n"/>
    </row>
    <row r="1298">
      <c r="A1298" s="34" t="n"/>
      <c r="B1298" s="35">
        <f>IF(A1298="","",YEAR(A1298))</f>
        <v/>
      </c>
      <c r="C1298" s="36">
        <f>IF(A1298="","",MONTH(A1298))</f>
        <v/>
      </c>
      <c r="D1298" s="37">
        <f>IF(A1298="","","Q"&amp;ROUNDUP(MONTH(A1298)/3,0))</f>
        <v/>
      </c>
      <c r="E1298" s="18" t="n"/>
      <c r="F1298" s="18" t="n"/>
      <c r="G1298" s="40">
        <f>IFERROR(VLOOKUP(F1298,M2_거래처마스터!A:E,3,FALSE),"")</f>
        <v/>
      </c>
      <c r="H1298" s="18" t="n"/>
      <c r="I1298" s="19" t="n"/>
      <c r="J1298" s="20" t="n"/>
      <c r="K1298" s="39">
        <f>IF(AND(I1298&lt;&gt;"",J1298&lt;&gt;""),I1298*J1298,"")</f>
        <v/>
      </c>
      <c r="L1298" s="18" t="n"/>
      <c r="M1298" s="18" t="n"/>
      <c r="N1298" s="20" t="n"/>
      <c r="O1298" s="20" t="n"/>
    </row>
    <row r="1299">
      <c r="A1299" s="41" t="n"/>
      <c r="B1299" s="35">
        <f>IF(A1299="","",YEAR(A1299))</f>
        <v/>
      </c>
      <c r="C1299" s="36">
        <f>IF(A1299="","",MONTH(A1299))</f>
        <v/>
      </c>
      <c r="D1299" s="37">
        <f>IF(A1299="","","Q"&amp;ROUNDUP(MONTH(A1299)/3,0))</f>
        <v/>
      </c>
      <c r="E1299" s="22" t="n"/>
      <c r="F1299" s="22" t="n"/>
      <c r="G1299" s="40">
        <f>IFERROR(VLOOKUP(F1299,M2_거래처마스터!A:E,3,FALSE),"")</f>
        <v/>
      </c>
      <c r="H1299" s="22" t="n"/>
      <c r="I1299" s="23" t="n"/>
      <c r="J1299" s="24" t="n"/>
      <c r="K1299" s="39">
        <f>IF(AND(I1299&lt;&gt;"",J1299&lt;&gt;""),I1299*J1299,"")</f>
        <v/>
      </c>
      <c r="L1299" s="22" t="n"/>
      <c r="M1299" s="22" t="n"/>
      <c r="N1299" s="24" t="n"/>
      <c r="O1299" s="24" t="n"/>
    </row>
    <row r="1300">
      <c r="A1300" s="34" t="n"/>
      <c r="B1300" s="35">
        <f>IF(A1300="","",YEAR(A1300))</f>
        <v/>
      </c>
      <c r="C1300" s="36">
        <f>IF(A1300="","",MONTH(A1300))</f>
        <v/>
      </c>
      <c r="D1300" s="37">
        <f>IF(A1300="","","Q"&amp;ROUNDUP(MONTH(A1300)/3,0))</f>
        <v/>
      </c>
      <c r="E1300" s="18" t="n"/>
      <c r="F1300" s="18" t="n"/>
      <c r="G1300" s="40">
        <f>IFERROR(VLOOKUP(F1300,M2_거래처마스터!A:E,3,FALSE),"")</f>
        <v/>
      </c>
      <c r="H1300" s="18" t="n"/>
      <c r="I1300" s="19" t="n"/>
      <c r="J1300" s="20" t="n"/>
      <c r="K1300" s="39">
        <f>IF(AND(I1300&lt;&gt;"",J1300&lt;&gt;""),I1300*J1300,"")</f>
        <v/>
      </c>
      <c r="L1300" s="18" t="n"/>
      <c r="M1300" s="18" t="n"/>
      <c r="N1300" s="20" t="n"/>
      <c r="O1300" s="20" t="n"/>
    </row>
    <row r="1301">
      <c r="A1301" s="41" t="n"/>
      <c r="B1301" s="35">
        <f>IF(A1301="","",YEAR(A1301))</f>
        <v/>
      </c>
      <c r="C1301" s="36">
        <f>IF(A1301="","",MONTH(A1301))</f>
        <v/>
      </c>
      <c r="D1301" s="37">
        <f>IF(A1301="","","Q"&amp;ROUNDUP(MONTH(A1301)/3,0))</f>
        <v/>
      </c>
      <c r="E1301" s="22" t="n"/>
      <c r="F1301" s="22" t="n"/>
      <c r="G1301" s="40">
        <f>IFERROR(VLOOKUP(F1301,M2_거래처마스터!A:E,3,FALSE),"")</f>
        <v/>
      </c>
      <c r="H1301" s="22" t="n"/>
      <c r="I1301" s="23" t="n"/>
      <c r="J1301" s="24" t="n"/>
      <c r="K1301" s="39">
        <f>IF(AND(I1301&lt;&gt;"",J1301&lt;&gt;""),I1301*J1301,"")</f>
        <v/>
      </c>
      <c r="L1301" s="22" t="n"/>
      <c r="M1301" s="22" t="n"/>
      <c r="N1301" s="24" t="n"/>
      <c r="O1301" s="24" t="n"/>
    </row>
    <row r="1302">
      <c r="A1302" s="34" t="n"/>
      <c r="B1302" s="35">
        <f>IF(A1302="","",YEAR(A1302))</f>
        <v/>
      </c>
      <c r="C1302" s="36">
        <f>IF(A1302="","",MONTH(A1302))</f>
        <v/>
      </c>
      <c r="D1302" s="37">
        <f>IF(A1302="","","Q"&amp;ROUNDUP(MONTH(A1302)/3,0))</f>
        <v/>
      </c>
      <c r="E1302" s="18" t="n"/>
      <c r="F1302" s="18" t="n"/>
      <c r="G1302" s="40">
        <f>IFERROR(VLOOKUP(F1302,M2_거래처마스터!A:E,3,FALSE),"")</f>
        <v/>
      </c>
      <c r="H1302" s="18" t="n"/>
      <c r="I1302" s="19" t="n"/>
      <c r="J1302" s="20" t="n"/>
      <c r="K1302" s="39">
        <f>IF(AND(I1302&lt;&gt;"",J1302&lt;&gt;""),I1302*J1302,"")</f>
        <v/>
      </c>
      <c r="L1302" s="18" t="n"/>
      <c r="M1302" s="18" t="n"/>
      <c r="N1302" s="20" t="n"/>
      <c r="O1302" s="20" t="n"/>
    </row>
    <row r="1303">
      <c r="A1303" s="41" t="n"/>
      <c r="B1303" s="35">
        <f>IF(A1303="","",YEAR(A1303))</f>
        <v/>
      </c>
      <c r="C1303" s="36">
        <f>IF(A1303="","",MONTH(A1303))</f>
        <v/>
      </c>
      <c r="D1303" s="37">
        <f>IF(A1303="","","Q"&amp;ROUNDUP(MONTH(A1303)/3,0))</f>
        <v/>
      </c>
      <c r="E1303" s="22" t="n"/>
      <c r="F1303" s="22" t="n"/>
      <c r="G1303" s="40">
        <f>IFERROR(VLOOKUP(F1303,M2_거래처마스터!A:E,3,FALSE),"")</f>
        <v/>
      </c>
      <c r="H1303" s="22" t="n"/>
      <c r="I1303" s="23" t="n"/>
      <c r="J1303" s="24" t="n"/>
      <c r="K1303" s="39">
        <f>IF(AND(I1303&lt;&gt;"",J1303&lt;&gt;""),I1303*J1303,"")</f>
        <v/>
      </c>
      <c r="L1303" s="22" t="n"/>
      <c r="M1303" s="22" t="n"/>
      <c r="N1303" s="24" t="n"/>
      <c r="O1303" s="24" t="n"/>
    </row>
    <row r="1304">
      <c r="A1304" s="34" t="n"/>
      <c r="B1304" s="35">
        <f>IF(A1304="","",YEAR(A1304))</f>
        <v/>
      </c>
      <c r="C1304" s="36">
        <f>IF(A1304="","",MONTH(A1304))</f>
        <v/>
      </c>
      <c r="D1304" s="37">
        <f>IF(A1304="","","Q"&amp;ROUNDUP(MONTH(A1304)/3,0))</f>
        <v/>
      </c>
      <c r="E1304" s="18" t="n"/>
      <c r="F1304" s="18" t="n"/>
      <c r="G1304" s="40">
        <f>IFERROR(VLOOKUP(F1304,M2_거래처마스터!A:E,3,FALSE),"")</f>
        <v/>
      </c>
      <c r="H1304" s="18" t="n"/>
      <c r="I1304" s="19" t="n"/>
      <c r="J1304" s="20" t="n"/>
      <c r="K1304" s="39">
        <f>IF(AND(I1304&lt;&gt;"",J1304&lt;&gt;""),I1304*J1304,"")</f>
        <v/>
      </c>
      <c r="L1304" s="18" t="n"/>
      <c r="M1304" s="18" t="n"/>
      <c r="N1304" s="20" t="n"/>
      <c r="O1304" s="20" t="n"/>
    </row>
    <row r="1305">
      <c r="A1305" s="41" t="n"/>
      <c r="B1305" s="35">
        <f>IF(A1305="","",YEAR(A1305))</f>
        <v/>
      </c>
      <c r="C1305" s="36">
        <f>IF(A1305="","",MONTH(A1305))</f>
        <v/>
      </c>
      <c r="D1305" s="37">
        <f>IF(A1305="","","Q"&amp;ROUNDUP(MONTH(A1305)/3,0))</f>
        <v/>
      </c>
      <c r="E1305" s="22" t="n"/>
      <c r="F1305" s="22" t="n"/>
      <c r="G1305" s="40">
        <f>IFERROR(VLOOKUP(F1305,M2_거래처마스터!A:E,3,FALSE),"")</f>
        <v/>
      </c>
      <c r="H1305" s="22" t="n"/>
      <c r="I1305" s="23" t="n"/>
      <c r="J1305" s="24" t="n"/>
      <c r="K1305" s="39">
        <f>IF(AND(I1305&lt;&gt;"",J1305&lt;&gt;""),I1305*J1305,"")</f>
        <v/>
      </c>
      <c r="L1305" s="22" t="n"/>
      <c r="M1305" s="22" t="n"/>
      <c r="N1305" s="24" t="n"/>
      <c r="O1305" s="24" t="n"/>
    </row>
    <row r="1306">
      <c r="A1306" s="34" t="n"/>
      <c r="B1306" s="35">
        <f>IF(A1306="","",YEAR(A1306))</f>
        <v/>
      </c>
      <c r="C1306" s="36">
        <f>IF(A1306="","",MONTH(A1306))</f>
        <v/>
      </c>
      <c r="D1306" s="37">
        <f>IF(A1306="","","Q"&amp;ROUNDUP(MONTH(A1306)/3,0))</f>
        <v/>
      </c>
      <c r="E1306" s="18" t="n"/>
      <c r="F1306" s="18" t="n"/>
      <c r="G1306" s="40">
        <f>IFERROR(VLOOKUP(F1306,M2_거래처마스터!A:E,3,FALSE),"")</f>
        <v/>
      </c>
      <c r="H1306" s="18" t="n"/>
      <c r="I1306" s="19" t="n"/>
      <c r="J1306" s="20" t="n"/>
      <c r="K1306" s="39">
        <f>IF(AND(I1306&lt;&gt;"",J1306&lt;&gt;""),I1306*J1306,"")</f>
        <v/>
      </c>
      <c r="L1306" s="18" t="n"/>
      <c r="M1306" s="18" t="n"/>
      <c r="N1306" s="20" t="n"/>
      <c r="O1306" s="20" t="n"/>
    </row>
    <row r="1307">
      <c r="A1307" s="41" t="n"/>
      <c r="B1307" s="35">
        <f>IF(A1307="","",YEAR(A1307))</f>
        <v/>
      </c>
      <c r="C1307" s="36">
        <f>IF(A1307="","",MONTH(A1307))</f>
        <v/>
      </c>
      <c r="D1307" s="37">
        <f>IF(A1307="","","Q"&amp;ROUNDUP(MONTH(A1307)/3,0))</f>
        <v/>
      </c>
      <c r="E1307" s="22" t="n"/>
      <c r="F1307" s="22" t="n"/>
      <c r="G1307" s="40">
        <f>IFERROR(VLOOKUP(F1307,M2_거래처마스터!A:E,3,FALSE),"")</f>
        <v/>
      </c>
      <c r="H1307" s="22" t="n"/>
      <c r="I1307" s="23" t="n"/>
      <c r="J1307" s="24" t="n"/>
      <c r="K1307" s="39">
        <f>IF(AND(I1307&lt;&gt;"",J1307&lt;&gt;""),I1307*J1307,"")</f>
        <v/>
      </c>
      <c r="L1307" s="22" t="n"/>
      <c r="M1307" s="22" t="n"/>
      <c r="N1307" s="24" t="n"/>
      <c r="O1307" s="24" t="n"/>
    </row>
    <row r="1308">
      <c r="A1308" s="34" t="n"/>
      <c r="B1308" s="35">
        <f>IF(A1308="","",YEAR(A1308))</f>
        <v/>
      </c>
      <c r="C1308" s="36">
        <f>IF(A1308="","",MONTH(A1308))</f>
        <v/>
      </c>
      <c r="D1308" s="37">
        <f>IF(A1308="","","Q"&amp;ROUNDUP(MONTH(A1308)/3,0))</f>
        <v/>
      </c>
      <c r="E1308" s="18" t="n"/>
      <c r="F1308" s="18" t="n"/>
      <c r="G1308" s="40">
        <f>IFERROR(VLOOKUP(F1308,M2_거래처마스터!A:E,3,FALSE),"")</f>
        <v/>
      </c>
      <c r="H1308" s="18" t="n"/>
      <c r="I1308" s="19" t="n"/>
      <c r="J1308" s="20" t="n"/>
      <c r="K1308" s="39">
        <f>IF(AND(I1308&lt;&gt;"",J1308&lt;&gt;""),I1308*J1308,"")</f>
        <v/>
      </c>
      <c r="L1308" s="18" t="n"/>
      <c r="M1308" s="18" t="n"/>
      <c r="N1308" s="20" t="n"/>
      <c r="O1308" s="20" t="n"/>
    </row>
    <row r="1309">
      <c r="A1309" s="41" t="n"/>
      <c r="B1309" s="35">
        <f>IF(A1309="","",YEAR(A1309))</f>
        <v/>
      </c>
      <c r="C1309" s="36">
        <f>IF(A1309="","",MONTH(A1309))</f>
        <v/>
      </c>
      <c r="D1309" s="37">
        <f>IF(A1309="","","Q"&amp;ROUNDUP(MONTH(A1309)/3,0))</f>
        <v/>
      </c>
      <c r="E1309" s="22" t="n"/>
      <c r="F1309" s="22" t="n"/>
      <c r="G1309" s="40">
        <f>IFERROR(VLOOKUP(F1309,M2_거래처마스터!A:E,3,FALSE),"")</f>
        <v/>
      </c>
      <c r="H1309" s="22" t="n"/>
      <c r="I1309" s="23" t="n"/>
      <c r="J1309" s="24" t="n"/>
      <c r="K1309" s="39">
        <f>IF(AND(I1309&lt;&gt;"",J1309&lt;&gt;""),I1309*J1309,"")</f>
        <v/>
      </c>
      <c r="L1309" s="22" t="n"/>
      <c r="M1309" s="22" t="n"/>
      <c r="N1309" s="24" t="n"/>
      <c r="O1309" s="24" t="n"/>
    </row>
    <row r="1310">
      <c r="A1310" s="34" t="n"/>
      <c r="B1310" s="35">
        <f>IF(A1310="","",YEAR(A1310))</f>
        <v/>
      </c>
      <c r="C1310" s="36">
        <f>IF(A1310="","",MONTH(A1310))</f>
        <v/>
      </c>
      <c r="D1310" s="37">
        <f>IF(A1310="","","Q"&amp;ROUNDUP(MONTH(A1310)/3,0))</f>
        <v/>
      </c>
      <c r="E1310" s="18" t="n"/>
      <c r="F1310" s="18" t="n"/>
      <c r="G1310" s="40">
        <f>IFERROR(VLOOKUP(F1310,M2_거래처마스터!A:E,3,FALSE),"")</f>
        <v/>
      </c>
      <c r="H1310" s="18" t="n"/>
      <c r="I1310" s="19" t="n"/>
      <c r="J1310" s="20" t="n"/>
      <c r="K1310" s="39">
        <f>IF(AND(I1310&lt;&gt;"",J1310&lt;&gt;""),I1310*J1310,"")</f>
        <v/>
      </c>
      <c r="L1310" s="18" t="n"/>
      <c r="M1310" s="18" t="n"/>
      <c r="N1310" s="20" t="n"/>
      <c r="O1310" s="20" t="n"/>
    </row>
    <row r="1311">
      <c r="A1311" s="41" t="n"/>
      <c r="B1311" s="35">
        <f>IF(A1311="","",YEAR(A1311))</f>
        <v/>
      </c>
      <c r="C1311" s="36">
        <f>IF(A1311="","",MONTH(A1311))</f>
        <v/>
      </c>
      <c r="D1311" s="37">
        <f>IF(A1311="","","Q"&amp;ROUNDUP(MONTH(A1311)/3,0))</f>
        <v/>
      </c>
      <c r="E1311" s="22" t="n"/>
      <c r="F1311" s="22" t="n"/>
      <c r="G1311" s="40">
        <f>IFERROR(VLOOKUP(F1311,M2_거래처마스터!A:E,3,FALSE),"")</f>
        <v/>
      </c>
      <c r="H1311" s="22" t="n"/>
      <c r="I1311" s="23" t="n"/>
      <c r="J1311" s="24" t="n"/>
      <c r="K1311" s="39">
        <f>IF(AND(I1311&lt;&gt;"",J1311&lt;&gt;""),I1311*J1311,"")</f>
        <v/>
      </c>
      <c r="L1311" s="22" t="n"/>
      <c r="M1311" s="22" t="n"/>
      <c r="N1311" s="24" t="n"/>
      <c r="O1311" s="24" t="n"/>
    </row>
    <row r="1312">
      <c r="A1312" s="34" t="n"/>
      <c r="B1312" s="35">
        <f>IF(A1312="","",YEAR(A1312))</f>
        <v/>
      </c>
      <c r="C1312" s="36">
        <f>IF(A1312="","",MONTH(A1312))</f>
        <v/>
      </c>
      <c r="D1312" s="37">
        <f>IF(A1312="","","Q"&amp;ROUNDUP(MONTH(A1312)/3,0))</f>
        <v/>
      </c>
      <c r="E1312" s="18" t="n"/>
      <c r="F1312" s="18" t="n"/>
      <c r="G1312" s="40">
        <f>IFERROR(VLOOKUP(F1312,M2_거래처마스터!A:E,3,FALSE),"")</f>
        <v/>
      </c>
      <c r="H1312" s="18" t="n"/>
      <c r="I1312" s="19" t="n"/>
      <c r="J1312" s="20" t="n"/>
      <c r="K1312" s="39">
        <f>IF(AND(I1312&lt;&gt;"",J1312&lt;&gt;""),I1312*J1312,"")</f>
        <v/>
      </c>
      <c r="L1312" s="18" t="n"/>
      <c r="M1312" s="18" t="n"/>
      <c r="N1312" s="20" t="n"/>
      <c r="O1312" s="20" t="n"/>
    </row>
    <row r="1313">
      <c r="A1313" s="41" t="n"/>
      <c r="B1313" s="35">
        <f>IF(A1313="","",YEAR(A1313))</f>
        <v/>
      </c>
      <c r="C1313" s="36">
        <f>IF(A1313="","",MONTH(A1313))</f>
        <v/>
      </c>
      <c r="D1313" s="37">
        <f>IF(A1313="","","Q"&amp;ROUNDUP(MONTH(A1313)/3,0))</f>
        <v/>
      </c>
      <c r="E1313" s="22" t="n"/>
      <c r="F1313" s="22" t="n"/>
      <c r="G1313" s="40">
        <f>IFERROR(VLOOKUP(F1313,M2_거래처마스터!A:E,3,FALSE),"")</f>
        <v/>
      </c>
      <c r="H1313" s="22" t="n"/>
      <c r="I1313" s="23" t="n"/>
      <c r="J1313" s="24" t="n"/>
      <c r="K1313" s="39">
        <f>IF(AND(I1313&lt;&gt;"",J1313&lt;&gt;""),I1313*J1313,"")</f>
        <v/>
      </c>
      <c r="L1313" s="22" t="n"/>
      <c r="M1313" s="22" t="n"/>
      <c r="N1313" s="24" t="n"/>
      <c r="O1313" s="24" t="n"/>
    </row>
    <row r="1314">
      <c r="A1314" s="34" t="n"/>
      <c r="B1314" s="35">
        <f>IF(A1314="","",YEAR(A1314))</f>
        <v/>
      </c>
      <c r="C1314" s="36">
        <f>IF(A1314="","",MONTH(A1314))</f>
        <v/>
      </c>
      <c r="D1314" s="37">
        <f>IF(A1314="","","Q"&amp;ROUNDUP(MONTH(A1314)/3,0))</f>
        <v/>
      </c>
      <c r="E1314" s="18" t="n"/>
      <c r="F1314" s="18" t="n"/>
      <c r="G1314" s="40">
        <f>IFERROR(VLOOKUP(F1314,M2_거래처마스터!A:E,3,FALSE),"")</f>
        <v/>
      </c>
      <c r="H1314" s="18" t="n"/>
      <c r="I1314" s="19" t="n"/>
      <c r="J1314" s="20" t="n"/>
      <c r="K1314" s="39">
        <f>IF(AND(I1314&lt;&gt;"",J1314&lt;&gt;""),I1314*J1314,"")</f>
        <v/>
      </c>
      <c r="L1314" s="18" t="n"/>
      <c r="M1314" s="18" t="n"/>
      <c r="N1314" s="20" t="n"/>
      <c r="O1314" s="20" t="n"/>
    </row>
    <row r="1315">
      <c r="A1315" s="41" t="n"/>
      <c r="B1315" s="35">
        <f>IF(A1315="","",YEAR(A1315))</f>
        <v/>
      </c>
      <c r="C1315" s="36">
        <f>IF(A1315="","",MONTH(A1315))</f>
        <v/>
      </c>
      <c r="D1315" s="37">
        <f>IF(A1315="","","Q"&amp;ROUNDUP(MONTH(A1315)/3,0))</f>
        <v/>
      </c>
      <c r="E1315" s="22" t="n"/>
      <c r="F1315" s="22" t="n"/>
      <c r="G1315" s="40">
        <f>IFERROR(VLOOKUP(F1315,M2_거래처마스터!A:E,3,FALSE),"")</f>
        <v/>
      </c>
      <c r="H1315" s="22" t="n"/>
      <c r="I1315" s="23" t="n"/>
      <c r="J1315" s="24" t="n"/>
      <c r="K1315" s="39">
        <f>IF(AND(I1315&lt;&gt;"",J1315&lt;&gt;""),I1315*J1315,"")</f>
        <v/>
      </c>
      <c r="L1315" s="22" t="n"/>
      <c r="M1315" s="22" t="n"/>
      <c r="N1315" s="24" t="n"/>
      <c r="O1315" s="24" t="n"/>
    </row>
    <row r="1316">
      <c r="A1316" s="34" t="n"/>
      <c r="B1316" s="35">
        <f>IF(A1316="","",YEAR(A1316))</f>
        <v/>
      </c>
      <c r="C1316" s="36">
        <f>IF(A1316="","",MONTH(A1316))</f>
        <v/>
      </c>
      <c r="D1316" s="37">
        <f>IF(A1316="","","Q"&amp;ROUNDUP(MONTH(A1316)/3,0))</f>
        <v/>
      </c>
      <c r="E1316" s="18" t="n"/>
      <c r="F1316" s="18" t="n"/>
      <c r="G1316" s="40">
        <f>IFERROR(VLOOKUP(F1316,M2_거래처마스터!A:E,3,FALSE),"")</f>
        <v/>
      </c>
      <c r="H1316" s="18" t="n"/>
      <c r="I1316" s="19" t="n"/>
      <c r="J1316" s="20" t="n"/>
      <c r="K1316" s="39">
        <f>IF(AND(I1316&lt;&gt;"",J1316&lt;&gt;""),I1316*J1316,"")</f>
        <v/>
      </c>
      <c r="L1316" s="18" t="n"/>
      <c r="M1316" s="18" t="n"/>
      <c r="N1316" s="20" t="n"/>
      <c r="O1316" s="20" t="n"/>
    </row>
    <row r="1317">
      <c r="A1317" s="41" t="n"/>
      <c r="B1317" s="35">
        <f>IF(A1317="","",YEAR(A1317))</f>
        <v/>
      </c>
      <c r="C1317" s="36">
        <f>IF(A1317="","",MONTH(A1317))</f>
        <v/>
      </c>
      <c r="D1317" s="37">
        <f>IF(A1317="","","Q"&amp;ROUNDUP(MONTH(A1317)/3,0))</f>
        <v/>
      </c>
      <c r="E1317" s="22" t="n"/>
      <c r="F1317" s="22" t="n"/>
      <c r="G1317" s="40">
        <f>IFERROR(VLOOKUP(F1317,M2_거래처마스터!A:E,3,FALSE),"")</f>
        <v/>
      </c>
      <c r="H1317" s="22" t="n"/>
      <c r="I1317" s="23" t="n"/>
      <c r="J1317" s="24" t="n"/>
      <c r="K1317" s="39">
        <f>IF(AND(I1317&lt;&gt;"",J1317&lt;&gt;""),I1317*J1317,"")</f>
        <v/>
      </c>
      <c r="L1317" s="22" t="n"/>
      <c r="M1317" s="22" t="n"/>
      <c r="N1317" s="24" t="n"/>
      <c r="O1317" s="24" t="n"/>
    </row>
    <row r="1318">
      <c r="A1318" s="34" t="n"/>
      <c r="B1318" s="35">
        <f>IF(A1318="","",YEAR(A1318))</f>
        <v/>
      </c>
      <c r="C1318" s="36">
        <f>IF(A1318="","",MONTH(A1318))</f>
        <v/>
      </c>
      <c r="D1318" s="37">
        <f>IF(A1318="","","Q"&amp;ROUNDUP(MONTH(A1318)/3,0))</f>
        <v/>
      </c>
      <c r="E1318" s="18" t="n"/>
      <c r="F1318" s="18" t="n"/>
      <c r="G1318" s="40">
        <f>IFERROR(VLOOKUP(F1318,M2_거래처마스터!A:E,3,FALSE),"")</f>
        <v/>
      </c>
      <c r="H1318" s="18" t="n"/>
      <c r="I1318" s="19" t="n"/>
      <c r="J1318" s="20" t="n"/>
      <c r="K1318" s="39">
        <f>IF(AND(I1318&lt;&gt;"",J1318&lt;&gt;""),I1318*J1318,"")</f>
        <v/>
      </c>
      <c r="L1318" s="18" t="n"/>
      <c r="M1318" s="18" t="n"/>
      <c r="N1318" s="20" t="n"/>
      <c r="O1318" s="20" t="n"/>
    </row>
    <row r="1319">
      <c r="A1319" s="41" t="n"/>
      <c r="B1319" s="35">
        <f>IF(A1319="","",YEAR(A1319))</f>
        <v/>
      </c>
      <c r="C1319" s="36">
        <f>IF(A1319="","",MONTH(A1319))</f>
        <v/>
      </c>
      <c r="D1319" s="37">
        <f>IF(A1319="","","Q"&amp;ROUNDUP(MONTH(A1319)/3,0))</f>
        <v/>
      </c>
      <c r="E1319" s="22" t="n"/>
      <c r="F1319" s="22" t="n"/>
      <c r="G1319" s="40">
        <f>IFERROR(VLOOKUP(F1319,M2_거래처마스터!A:E,3,FALSE),"")</f>
        <v/>
      </c>
      <c r="H1319" s="22" t="n"/>
      <c r="I1319" s="23" t="n"/>
      <c r="J1319" s="24" t="n"/>
      <c r="K1319" s="39">
        <f>IF(AND(I1319&lt;&gt;"",J1319&lt;&gt;""),I1319*J1319,"")</f>
        <v/>
      </c>
      <c r="L1319" s="22" t="n"/>
      <c r="M1319" s="22" t="n"/>
      <c r="N1319" s="24" t="n"/>
      <c r="O1319" s="24" t="n"/>
    </row>
    <row r="1320">
      <c r="A1320" s="34" t="n"/>
      <c r="B1320" s="35">
        <f>IF(A1320="","",YEAR(A1320))</f>
        <v/>
      </c>
      <c r="C1320" s="36">
        <f>IF(A1320="","",MONTH(A1320))</f>
        <v/>
      </c>
      <c r="D1320" s="37">
        <f>IF(A1320="","","Q"&amp;ROUNDUP(MONTH(A1320)/3,0))</f>
        <v/>
      </c>
      <c r="E1320" s="18" t="n"/>
      <c r="F1320" s="18" t="n"/>
      <c r="G1320" s="40">
        <f>IFERROR(VLOOKUP(F1320,M2_거래처마스터!A:E,3,FALSE),"")</f>
        <v/>
      </c>
      <c r="H1320" s="18" t="n"/>
      <c r="I1320" s="19" t="n"/>
      <c r="J1320" s="20" t="n"/>
      <c r="K1320" s="39">
        <f>IF(AND(I1320&lt;&gt;"",J1320&lt;&gt;""),I1320*J1320,"")</f>
        <v/>
      </c>
      <c r="L1320" s="18" t="n"/>
      <c r="M1320" s="18" t="n"/>
      <c r="N1320" s="20" t="n"/>
      <c r="O1320" s="20" t="n"/>
    </row>
    <row r="1321">
      <c r="A1321" s="41" t="n"/>
      <c r="B1321" s="35">
        <f>IF(A1321="","",YEAR(A1321))</f>
        <v/>
      </c>
      <c r="C1321" s="36">
        <f>IF(A1321="","",MONTH(A1321))</f>
        <v/>
      </c>
      <c r="D1321" s="37">
        <f>IF(A1321="","","Q"&amp;ROUNDUP(MONTH(A1321)/3,0))</f>
        <v/>
      </c>
      <c r="E1321" s="22" t="n"/>
      <c r="F1321" s="22" t="n"/>
      <c r="G1321" s="40">
        <f>IFERROR(VLOOKUP(F1321,M2_거래처마스터!A:E,3,FALSE),"")</f>
        <v/>
      </c>
      <c r="H1321" s="22" t="n"/>
      <c r="I1321" s="23" t="n"/>
      <c r="J1321" s="24" t="n"/>
      <c r="K1321" s="39">
        <f>IF(AND(I1321&lt;&gt;"",J1321&lt;&gt;""),I1321*J1321,"")</f>
        <v/>
      </c>
      <c r="L1321" s="22" t="n"/>
      <c r="M1321" s="22" t="n"/>
      <c r="N1321" s="24" t="n"/>
      <c r="O1321" s="24" t="n"/>
    </row>
    <row r="1322">
      <c r="A1322" s="34" t="n"/>
      <c r="B1322" s="35">
        <f>IF(A1322="","",YEAR(A1322))</f>
        <v/>
      </c>
      <c r="C1322" s="36">
        <f>IF(A1322="","",MONTH(A1322))</f>
        <v/>
      </c>
      <c r="D1322" s="37">
        <f>IF(A1322="","","Q"&amp;ROUNDUP(MONTH(A1322)/3,0))</f>
        <v/>
      </c>
      <c r="E1322" s="18" t="n"/>
      <c r="F1322" s="18" t="n"/>
      <c r="G1322" s="40">
        <f>IFERROR(VLOOKUP(F1322,M2_거래처마스터!A:E,3,FALSE),"")</f>
        <v/>
      </c>
      <c r="H1322" s="18" t="n"/>
      <c r="I1322" s="19" t="n"/>
      <c r="J1322" s="20" t="n"/>
      <c r="K1322" s="39">
        <f>IF(AND(I1322&lt;&gt;"",J1322&lt;&gt;""),I1322*J1322,"")</f>
        <v/>
      </c>
      <c r="L1322" s="18" t="n"/>
      <c r="M1322" s="18" t="n"/>
      <c r="N1322" s="20" t="n"/>
      <c r="O1322" s="20" t="n"/>
    </row>
    <row r="1323">
      <c r="A1323" s="41" t="n"/>
      <c r="B1323" s="35">
        <f>IF(A1323="","",YEAR(A1323))</f>
        <v/>
      </c>
      <c r="C1323" s="36">
        <f>IF(A1323="","",MONTH(A1323))</f>
        <v/>
      </c>
      <c r="D1323" s="37">
        <f>IF(A1323="","","Q"&amp;ROUNDUP(MONTH(A1323)/3,0))</f>
        <v/>
      </c>
      <c r="E1323" s="22" t="n"/>
      <c r="F1323" s="22" t="n"/>
      <c r="G1323" s="40">
        <f>IFERROR(VLOOKUP(F1323,M2_거래처마스터!A:E,3,FALSE),"")</f>
        <v/>
      </c>
      <c r="H1323" s="22" t="n"/>
      <c r="I1323" s="23" t="n"/>
      <c r="J1323" s="24" t="n"/>
      <c r="K1323" s="39">
        <f>IF(AND(I1323&lt;&gt;"",J1323&lt;&gt;""),I1323*J1323,"")</f>
        <v/>
      </c>
      <c r="L1323" s="22" t="n"/>
      <c r="M1323" s="22" t="n"/>
      <c r="N1323" s="24" t="n"/>
      <c r="O1323" s="24" t="n"/>
    </row>
    <row r="1324">
      <c r="A1324" s="34" t="n"/>
      <c r="B1324" s="35">
        <f>IF(A1324="","",YEAR(A1324))</f>
        <v/>
      </c>
      <c r="C1324" s="36">
        <f>IF(A1324="","",MONTH(A1324))</f>
        <v/>
      </c>
      <c r="D1324" s="37">
        <f>IF(A1324="","","Q"&amp;ROUNDUP(MONTH(A1324)/3,0))</f>
        <v/>
      </c>
      <c r="E1324" s="18" t="n"/>
      <c r="F1324" s="18" t="n"/>
      <c r="G1324" s="40">
        <f>IFERROR(VLOOKUP(F1324,M2_거래처마스터!A:E,3,FALSE),"")</f>
        <v/>
      </c>
      <c r="H1324" s="18" t="n"/>
      <c r="I1324" s="19" t="n"/>
      <c r="J1324" s="20" t="n"/>
      <c r="K1324" s="39">
        <f>IF(AND(I1324&lt;&gt;"",J1324&lt;&gt;""),I1324*J1324,"")</f>
        <v/>
      </c>
      <c r="L1324" s="18" t="n"/>
      <c r="M1324" s="18" t="n"/>
      <c r="N1324" s="20" t="n"/>
      <c r="O1324" s="20" t="n"/>
    </row>
    <row r="1325">
      <c r="A1325" s="41" t="n"/>
      <c r="B1325" s="35">
        <f>IF(A1325="","",YEAR(A1325))</f>
        <v/>
      </c>
      <c r="C1325" s="36">
        <f>IF(A1325="","",MONTH(A1325))</f>
        <v/>
      </c>
      <c r="D1325" s="37">
        <f>IF(A1325="","","Q"&amp;ROUNDUP(MONTH(A1325)/3,0))</f>
        <v/>
      </c>
      <c r="E1325" s="22" t="n"/>
      <c r="F1325" s="22" t="n"/>
      <c r="G1325" s="40">
        <f>IFERROR(VLOOKUP(F1325,M2_거래처마스터!A:E,3,FALSE),"")</f>
        <v/>
      </c>
      <c r="H1325" s="22" t="n"/>
      <c r="I1325" s="23" t="n"/>
      <c r="J1325" s="24" t="n"/>
      <c r="K1325" s="39">
        <f>IF(AND(I1325&lt;&gt;"",J1325&lt;&gt;""),I1325*J1325,"")</f>
        <v/>
      </c>
      <c r="L1325" s="22" t="n"/>
      <c r="M1325" s="22" t="n"/>
      <c r="N1325" s="24" t="n"/>
      <c r="O1325" s="24" t="n"/>
    </row>
    <row r="1326">
      <c r="A1326" s="34" t="n"/>
      <c r="B1326" s="35">
        <f>IF(A1326="","",YEAR(A1326))</f>
        <v/>
      </c>
      <c r="C1326" s="36">
        <f>IF(A1326="","",MONTH(A1326))</f>
        <v/>
      </c>
      <c r="D1326" s="37">
        <f>IF(A1326="","","Q"&amp;ROUNDUP(MONTH(A1326)/3,0))</f>
        <v/>
      </c>
      <c r="E1326" s="18" t="n"/>
      <c r="F1326" s="18" t="n"/>
      <c r="G1326" s="40">
        <f>IFERROR(VLOOKUP(F1326,M2_거래처마스터!A:E,3,FALSE),"")</f>
        <v/>
      </c>
      <c r="H1326" s="18" t="n"/>
      <c r="I1326" s="19" t="n"/>
      <c r="J1326" s="20" t="n"/>
      <c r="K1326" s="39">
        <f>IF(AND(I1326&lt;&gt;"",J1326&lt;&gt;""),I1326*J1326,"")</f>
        <v/>
      </c>
      <c r="L1326" s="18" t="n"/>
      <c r="M1326" s="18" t="n"/>
      <c r="N1326" s="20" t="n"/>
      <c r="O1326" s="20" t="n"/>
    </row>
    <row r="1327">
      <c r="A1327" s="41" t="n"/>
      <c r="B1327" s="35">
        <f>IF(A1327="","",YEAR(A1327))</f>
        <v/>
      </c>
      <c r="C1327" s="36">
        <f>IF(A1327="","",MONTH(A1327))</f>
        <v/>
      </c>
      <c r="D1327" s="37">
        <f>IF(A1327="","","Q"&amp;ROUNDUP(MONTH(A1327)/3,0))</f>
        <v/>
      </c>
      <c r="E1327" s="22" t="n"/>
      <c r="F1327" s="22" t="n"/>
      <c r="G1327" s="40">
        <f>IFERROR(VLOOKUP(F1327,M2_거래처마스터!A:E,3,FALSE),"")</f>
        <v/>
      </c>
      <c r="H1327" s="22" t="n"/>
      <c r="I1327" s="23" t="n"/>
      <c r="J1327" s="24" t="n"/>
      <c r="K1327" s="39">
        <f>IF(AND(I1327&lt;&gt;"",J1327&lt;&gt;""),I1327*J1327,"")</f>
        <v/>
      </c>
      <c r="L1327" s="22" t="n"/>
      <c r="M1327" s="22" t="n"/>
      <c r="N1327" s="24" t="n"/>
      <c r="O1327" s="24" t="n"/>
    </row>
    <row r="1328">
      <c r="A1328" s="34" t="n"/>
      <c r="B1328" s="35">
        <f>IF(A1328="","",YEAR(A1328))</f>
        <v/>
      </c>
      <c r="C1328" s="36">
        <f>IF(A1328="","",MONTH(A1328))</f>
        <v/>
      </c>
      <c r="D1328" s="37">
        <f>IF(A1328="","","Q"&amp;ROUNDUP(MONTH(A1328)/3,0))</f>
        <v/>
      </c>
      <c r="E1328" s="18" t="n"/>
      <c r="F1328" s="18" t="n"/>
      <c r="G1328" s="40">
        <f>IFERROR(VLOOKUP(F1328,M2_거래처마스터!A:E,3,FALSE),"")</f>
        <v/>
      </c>
      <c r="H1328" s="18" t="n"/>
      <c r="I1328" s="19" t="n"/>
      <c r="J1328" s="20" t="n"/>
      <c r="K1328" s="39">
        <f>IF(AND(I1328&lt;&gt;"",J1328&lt;&gt;""),I1328*J1328,"")</f>
        <v/>
      </c>
      <c r="L1328" s="18" t="n"/>
      <c r="M1328" s="18" t="n"/>
      <c r="N1328" s="20" t="n"/>
      <c r="O1328" s="20" t="n"/>
    </row>
    <row r="1329">
      <c r="A1329" s="41" t="n"/>
      <c r="B1329" s="35">
        <f>IF(A1329="","",YEAR(A1329))</f>
        <v/>
      </c>
      <c r="C1329" s="36">
        <f>IF(A1329="","",MONTH(A1329))</f>
        <v/>
      </c>
      <c r="D1329" s="37">
        <f>IF(A1329="","","Q"&amp;ROUNDUP(MONTH(A1329)/3,0))</f>
        <v/>
      </c>
      <c r="E1329" s="22" t="n"/>
      <c r="F1329" s="22" t="n"/>
      <c r="G1329" s="40">
        <f>IFERROR(VLOOKUP(F1329,M2_거래처마스터!A:E,3,FALSE),"")</f>
        <v/>
      </c>
      <c r="H1329" s="22" t="n"/>
      <c r="I1329" s="23" t="n"/>
      <c r="J1329" s="24" t="n"/>
      <c r="K1329" s="39">
        <f>IF(AND(I1329&lt;&gt;"",J1329&lt;&gt;""),I1329*J1329,"")</f>
        <v/>
      </c>
      <c r="L1329" s="22" t="n"/>
      <c r="M1329" s="22" t="n"/>
      <c r="N1329" s="24" t="n"/>
      <c r="O1329" s="24" t="n"/>
    </row>
    <row r="1330">
      <c r="A1330" s="34" t="n"/>
      <c r="B1330" s="35">
        <f>IF(A1330="","",YEAR(A1330))</f>
        <v/>
      </c>
      <c r="C1330" s="36">
        <f>IF(A1330="","",MONTH(A1330))</f>
        <v/>
      </c>
      <c r="D1330" s="37">
        <f>IF(A1330="","","Q"&amp;ROUNDUP(MONTH(A1330)/3,0))</f>
        <v/>
      </c>
      <c r="E1330" s="18" t="n"/>
      <c r="F1330" s="18" t="n"/>
      <c r="G1330" s="40">
        <f>IFERROR(VLOOKUP(F1330,M2_거래처마스터!A:E,3,FALSE),"")</f>
        <v/>
      </c>
      <c r="H1330" s="18" t="n"/>
      <c r="I1330" s="19" t="n"/>
      <c r="J1330" s="20" t="n"/>
      <c r="K1330" s="39">
        <f>IF(AND(I1330&lt;&gt;"",J1330&lt;&gt;""),I1330*J1330,"")</f>
        <v/>
      </c>
      <c r="L1330" s="18" t="n"/>
      <c r="M1330" s="18" t="n"/>
      <c r="N1330" s="20" t="n"/>
      <c r="O1330" s="20" t="n"/>
    </row>
    <row r="1331">
      <c r="A1331" s="41" t="n"/>
      <c r="B1331" s="35">
        <f>IF(A1331="","",YEAR(A1331))</f>
        <v/>
      </c>
      <c r="C1331" s="36">
        <f>IF(A1331="","",MONTH(A1331))</f>
        <v/>
      </c>
      <c r="D1331" s="37">
        <f>IF(A1331="","","Q"&amp;ROUNDUP(MONTH(A1331)/3,0))</f>
        <v/>
      </c>
      <c r="E1331" s="22" t="n"/>
      <c r="F1331" s="22" t="n"/>
      <c r="G1331" s="40">
        <f>IFERROR(VLOOKUP(F1331,M2_거래처마스터!A:E,3,FALSE),"")</f>
        <v/>
      </c>
      <c r="H1331" s="22" t="n"/>
      <c r="I1331" s="23" t="n"/>
      <c r="J1331" s="24" t="n"/>
      <c r="K1331" s="39">
        <f>IF(AND(I1331&lt;&gt;"",J1331&lt;&gt;""),I1331*J1331,"")</f>
        <v/>
      </c>
      <c r="L1331" s="22" t="n"/>
      <c r="M1331" s="22" t="n"/>
      <c r="N1331" s="24" t="n"/>
      <c r="O1331" s="24" t="n"/>
    </row>
    <row r="1332">
      <c r="A1332" s="34" t="n"/>
      <c r="B1332" s="35">
        <f>IF(A1332="","",YEAR(A1332))</f>
        <v/>
      </c>
      <c r="C1332" s="36">
        <f>IF(A1332="","",MONTH(A1332))</f>
        <v/>
      </c>
      <c r="D1332" s="37">
        <f>IF(A1332="","","Q"&amp;ROUNDUP(MONTH(A1332)/3,0))</f>
        <v/>
      </c>
      <c r="E1332" s="18" t="n"/>
      <c r="F1332" s="18" t="n"/>
      <c r="G1332" s="40">
        <f>IFERROR(VLOOKUP(F1332,M2_거래처마스터!A:E,3,FALSE),"")</f>
        <v/>
      </c>
      <c r="H1332" s="18" t="n"/>
      <c r="I1332" s="19" t="n"/>
      <c r="J1332" s="20" t="n"/>
      <c r="K1332" s="39">
        <f>IF(AND(I1332&lt;&gt;"",J1332&lt;&gt;""),I1332*J1332,"")</f>
        <v/>
      </c>
      <c r="L1332" s="18" t="n"/>
      <c r="M1332" s="18" t="n"/>
      <c r="N1332" s="20" t="n"/>
      <c r="O1332" s="20" t="n"/>
    </row>
    <row r="1333">
      <c r="A1333" s="41" t="n"/>
      <c r="B1333" s="35">
        <f>IF(A1333="","",YEAR(A1333))</f>
        <v/>
      </c>
      <c r="C1333" s="36">
        <f>IF(A1333="","",MONTH(A1333))</f>
        <v/>
      </c>
      <c r="D1333" s="37">
        <f>IF(A1333="","","Q"&amp;ROUNDUP(MONTH(A1333)/3,0))</f>
        <v/>
      </c>
      <c r="E1333" s="22" t="n"/>
      <c r="F1333" s="22" t="n"/>
      <c r="G1333" s="40">
        <f>IFERROR(VLOOKUP(F1333,M2_거래처마스터!A:E,3,FALSE),"")</f>
        <v/>
      </c>
      <c r="H1333" s="22" t="n"/>
      <c r="I1333" s="23" t="n"/>
      <c r="J1333" s="24" t="n"/>
      <c r="K1333" s="39">
        <f>IF(AND(I1333&lt;&gt;"",J1333&lt;&gt;""),I1333*J1333,"")</f>
        <v/>
      </c>
      <c r="L1333" s="22" t="n"/>
      <c r="M1333" s="22" t="n"/>
      <c r="N1333" s="24" t="n"/>
      <c r="O1333" s="24" t="n"/>
    </row>
    <row r="1334">
      <c r="A1334" s="34" t="n"/>
      <c r="B1334" s="35">
        <f>IF(A1334="","",YEAR(A1334))</f>
        <v/>
      </c>
      <c r="C1334" s="36">
        <f>IF(A1334="","",MONTH(A1334))</f>
        <v/>
      </c>
      <c r="D1334" s="37">
        <f>IF(A1334="","","Q"&amp;ROUNDUP(MONTH(A1334)/3,0))</f>
        <v/>
      </c>
      <c r="E1334" s="18" t="n"/>
      <c r="F1334" s="18" t="n"/>
      <c r="G1334" s="40">
        <f>IFERROR(VLOOKUP(F1334,M2_거래처마스터!A:E,3,FALSE),"")</f>
        <v/>
      </c>
      <c r="H1334" s="18" t="n"/>
      <c r="I1334" s="19" t="n"/>
      <c r="J1334" s="20" t="n"/>
      <c r="K1334" s="39">
        <f>IF(AND(I1334&lt;&gt;"",J1334&lt;&gt;""),I1334*J1334,"")</f>
        <v/>
      </c>
      <c r="L1334" s="18" t="n"/>
      <c r="M1334" s="18" t="n"/>
      <c r="N1334" s="20" t="n"/>
      <c r="O1334" s="20" t="n"/>
    </row>
    <row r="1335">
      <c r="A1335" s="41" t="n"/>
      <c r="B1335" s="35">
        <f>IF(A1335="","",YEAR(A1335))</f>
        <v/>
      </c>
      <c r="C1335" s="36">
        <f>IF(A1335="","",MONTH(A1335))</f>
        <v/>
      </c>
      <c r="D1335" s="37">
        <f>IF(A1335="","","Q"&amp;ROUNDUP(MONTH(A1335)/3,0))</f>
        <v/>
      </c>
      <c r="E1335" s="22" t="n"/>
      <c r="F1335" s="22" t="n"/>
      <c r="G1335" s="40">
        <f>IFERROR(VLOOKUP(F1335,M2_거래처마스터!A:E,3,FALSE),"")</f>
        <v/>
      </c>
      <c r="H1335" s="22" t="n"/>
      <c r="I1335" s="23" t="n"/>
      <c r="J1335" s="24" t="n"/>
      <c r="K1335" s="39">
        <f>IF(AND(I1335&lt;&gt;"",J1335&lt;&gt;""),I1335*J1335,"")</f>
        <v/>
      </c>
      <c r="L1335" s="22" t="n"/>
      <c r="M1335" s="22" t="n"/>
      <c r="N1335" s="24" t="n"/>
      <c r="O1335" s="24" t="n"/>
    </row>
    <row r="1336">
      <c r="A1336" s="34" t="n"/>
      <c r="B1336" s="35">
        <f>IF(A1336="","",YEAR(A1336))</f>
        <v/>
      </c>
      <c r="C1336" s="36">
        <f>IF(A1336="","",MONTH(A1336))</f>
        <v/>
      </c>
      <c r="D1336" s="37">
        <f>IF(A1336="","","Q"&amp;ROUNDUP(MONTH(A1336)/3,0))</f>
        <v/>
      </c>
      <c r="E1336" s="18" t="n"/>
      <c r="F1336" s="18" t="n"/>
      <c r="G1336" s="40">
        <f>IFERROR(VLOOKUP(F1336,M2_거래처마스터!A:E,3,FALSE),"")</f>
        <v/>
      </c>
      <c r="H1336" s="18" t="n"/>
      <c r="I1336" s="19" t="n"/>
      <c r="J1336" s="20" t="n"/>
      <c r="K1336" s="39">
        <f>IF(AND(I1336&lt;&gt;"",J1336&lt;&gt;""),I1336*J1336,"")</f>
        <v/>
      </c>
      <c r="L1336" s="18" t="n"/>
      <c r="M1336" s="18" t="n"/>
      <c r="N1336" s="20" t="n"/>
      <c r="O1336" s="20" t="n"/>
    </row>
    <row r="1337">
      <c r="A1337" s="41" t="n"/>
      <c r="B1337" s="35">
        <f>IF(A1337="","",YEAR(A1337))</f>
        <v/>
      </c>
      <c r="C1337" s="36">
        <f>IF(A1337="","",MONTH(A1337))</f>
        <v/>
      </c>
      <c r="D1337" s="37">
        <f>IF(A1337="","","Q"&amp;ROUNDUP(MONTH(A1337)/3,0))</f>
        <v/>
      </c>
      <c r="E1337" s="22" t="n"/>
      <c r="F1337" s="22" t="n"/>
      <c r="G1337" s="40">
        <f>IFERROR(VLOOKUP(F1337,M2_거래처마스터!A:E,3,FALSE),"")</f>
        <v/>
      </c>
      <c r="H1337" s="22" t="n"/>
      <c r="I1337" s="23" t="n"/>
      <c r="J1337" s="24" t="n"/>
      <c r="K1337" s="39">
        <f>IF(AND(I1337&lt;&gt;"",J1337&lt;&gt;""),I1337*J1337,"")</f>
        <v/>
      </c>
      <c r="L1337" s="22" t="n"/>
      <c r="M1337" s="22" t="n"/>
      <c r="N1337" s="24" t="n"/>
      <c r="O1337" s="24" t="n"/>
    </row>
    <row r="1338">
      <c r="A1338" s="34" t="n"/>
      <c r="B1338" s="35">
        <f>IF(A1338="","",YEAR(A1338))</f>
        <v/>
      </c>
      <c r="C1338" s="36">
        <f>IF(A1338="","",MONTH(A1338))</f>
        <v/>
      </c>
      <c r="D1338" s="37">
        <f>IF(A1338="","","Q"&amp;ROUNDUP(MONTH(A1338)/3,0))</f>
        <v/>
      </c>
      <c r="E1338" s="18" t="n"/>
      <c r="F1338" s="18" t="n"/>
      <c r="G1338" s="40">
        <f>IFERROR(VLOOKUP(F1338,M2_거래처마스터!A:E,3,FALSE),"")</f>
        <v/>
      </c>
      <c r="H1338" s="18" t="n"/>
      <c r="I1338" s="19" t="n"/>
      <c r="J1338" s="20" t="n"/>
      <c r="K1338" s="39">
        <f>IF(AND(I1338&lt;&gt;"",J1338&lt;&gt;""),I1338*J1338,"")</f>
        <v/>
      </c>
      <c r="L1338" s="18" t="n"/>
      <c r="M1338" s="18" t="n"/>
      <c r="N1338" s="20" t="n"/>
      <c r="O1338" s="20" t="n"/>
    </row>
    <row r="1339">
      <c r="A1339" s="41" t="n"/>
      <c r="B1339" s="35">
        <f>IF(A1339="","",YEAR(A1339))</f>
        <v/>
      </c>
      <c r="C1339" s="36">
        <f>IF(A1339="","",MONTH(A1339))</f>
        <v/>
      </c>
      <c r="D1339" s="37">
        <f>IF(A1339="","","Q"&amp;ROUNDUP(MONTH(A1339)/3,0))</f>
        <v/>
      </c>
      <c r="E1339" s="22" t="n"/>
      <c r="F1339" s="22" t="n"/>
      <c r="G1339" s="40">
        <f>IFERROR(VLOOKUP(F1339,M2_거래처마스터!A:E,3,FALSE),"")</f>
        <v/>
      </c>
      <c r="H1339" s="22" t="n"/>
      <c r="I1339" s="23" t="n"/>
      <c r="J1339" s="24" t="n"/>
      <c r="K1339" s="39">
        <f>IF(AND(I1339&lt;&gt;"",J1339&lt;&gt;""),I1339*J1339,"")</f>
        <v/>
      </c>
      <c r="L1339" s="22" t="n"/>
      <c r="M1339" s="22" t="n"/>
      <c r="N1339" s="24" t="n"/>
      <c r="O1339" s="24" t="n"/>
    </row>
    <row r="1340">
      <c r="A1340" s="34" t="n"/>
      <c r="B1340" s="35">
        <f>IF(A1340="","",YEAR(A1340))</f>
        <v/>
      </c>
      <c r="C1340" s="36">
        <f>IF(A1340="","",MONTH(A1340))</f>
        <v/>
      </c>
      <c r="D1340" s="37">
        <f>IF(A1340="","","Q"&amp;ROUNDUP(MONTH(A1340)/3,0))</f>
        <v/>
      </c>
      <c r="E1340" s="18" t="n"/>
      <c r="F1340" s="18" t="n"/>
      <c r="G1340" s="40">
        <f>IFERROR(VLOOKUP(F1340,M2_거래처마스터!A:E,3,FALSE),"")</f>
        <v/>
      </c>
      <c r="H1340" s="18" t="n"/>
      <c r="I1340" s="19" t="n"/>
      <c r="J1340" s="20" t="n"/>
      <c r="K1340" s="39">
        <f>IF(AND(I1340&lt;&gt;"",J1340&lt;&gt;""),I1340*J1340,"")</f>
        <v/>
      </c>
      <c r="L1340" s="18" t="n"/>
      <c r="M1340" s="18" t="n"/>
      <c r="N1340" s="20" t="n"/>
      <c r="O1340" s="20" t="n"/>
    </row>
    <row r="1341">
      <c r="A1341" s="41" t="n"/>
      <c r="B1341" s="35">
        <f>IF(A1341="","",YEAR(A1341))</f>
        <v/>
      </c>
      <c r="C1341" s="36">
        <f>IF(A1341="","",MONTH(A1341))</f>
        <v/>
      </c>
      <c r="D1341" s="37">
        <f>IF(A1341="","","Q"&amp;ROUNDUP(MONTH(A1341)/3,0))</f>
        <v/>
      </c>
      <c r="E1341" s="22" t="n"/>
      <c r="F1341" s="22" t="n"/>
      <c r="G1341" s="40">
        <f>IFERROR(VLOOKUP(F1341,M2_거래처마스터!A:E,3,FALSE),"")</f>
        <v/>
      </c>
      <c r="H1341" s="22" t="n"/>
      <c r="I1341" s="23" t="n"/>
      <c r="J1341" s="24" t="n"/>
      <c r="K1341" s="39">
        <f>IF(AND(I1341&lt;&gt;"",J1341&lt;&gt;""),I1341*J1341,"")</f>
        <v/>
      </c>
      <c r="L1341" s="22" t="n"/>
      <c r="M1341" s="22" t="n"/>
      <c r="N1341" s="24" t="n"/>
      <c r="O1341" s="24" t="n"/>
    </row>
    <row r="1342">
      <c r="A1342" s="34" t="n"/>
      <c r="B1342" s="35">
        <f>IF(A1342="","",YEAR(A1342))</f>
        <v/>
      </c>
      <c r="C1342" s="36">
        <f>IF(A1342="","",MONTH(A1342))</f>
        <v/>
      </c>
      <c r="D1342" s="37">
        <f>IF(A1342="","","Q"&amp;ROUNDUP(MONTH(A1342)/3,0))</f>
        <v/>
      </c>
      <c r="E1342" s="18" t="n"/>
      <c r="F1342" s="18" t="n"/>
      <c r="G1342" s="40">
        <f>IFERROR(VLOOKUP(F1342,M2_거래처마스터!A:E,3,FALSE),"")</f>
        <v/>
      </c>
      <c r="H1342" s="18" t="n"/>
      <c r="I1342" s="19" t="n"/>
      <c r="J1342" s="20" t="n"/>
      <c r="K1342" s="39">
        <f>IF(AND(I1342&lt;&gt;"",J1342&lt;&gt;""),I1342*J1342,"")</f>
        <v/>
      </c>
      <c r="L1342" s="18" t="n"/>
      <c r="M1342" s="18" t="n"/>
      <c r="N1342" s="20" t="n"/>
      <c r="O1342" s="20" t="n"/>
    </row>
    <row r="1343">
      <c r="A1343" s="41" t="n"/>
      <c r="B1343" s="35">
        <f>IF(A1343="","",YEAR(A1343))</f>
        <v/>
      </c>
      <c r="C1343" s="36">
        <f>IF(A1343="","",MONTH(A1343))</f>
        <v/>
      </c>
      <c r="D1343" s="37">
        <f>IF(A1343="","","Q"&amp;ROUNDUP(MONTH(A1343)/3,0))</f>
        <v/>
      </c>
      <c r="E1343" s="22" t="n"/>
      <c r="F1343" s="22" t="n"/>
      <c r="G1343" s="40">
        <f>IFERROR(VLOOKUP(F1343,M2_거래처마스터!A:E,3,FALSE),"")</f>
        <v/>
      </c>
      <c r="H1343" s="22" t="n"/>
      <c r="I1343" s="23" t="n"/>
      <c r="J1343" s="24" t="n"/>
      <c r="K1343" s="39">
        <f>IF(AND(I1343&lt;&gt;"",J1343&lt;&gt;""),I1343*J1343,"")</f>
        <v/>
      </c>
      <c r="L1343" s="22" t="n"/>
      <c r="M1343" s="22" t="n"/>
      <c r="N1343" s="24" t="n"/>
      <c r="O1343" s="24" t="n"/>
    </row>
    <row r="1344">
      <c r="A1344" s="34" t="n"/>
      <c r="B1344" s="35">
        <f>IF(A1344="","",YEAR(A1344))</f>
        <v/>
      </c>
      <c r="C1344" s="36">
        <f>IF(A1344="","",MONTH(A1344))</f>
        <v/>
      </c>
      <c r="D1344" s="37">
        <f>IF(A1344="","","Q"&amp;ROUNDUP(MONTH(A1344)/3,0))</f>
        <v/>
      </c>
      <c r="E1344" s="18" t="n"/>
      <c r="F1344" s="18" t="n"/>
      <c r="G1344" s="40">
        <f>IFERROR(VLOOKUP(F1344,M2_거래처마스터!A:E,3,FALSE),"")</f>
        <v/>
      </c>
      <c r="H1344" s="18" t="n"/>
      <c r="I1344" s="19" t="n"/>
      <c r="J1344" s="20" t="n"/>
      <c r="K1344" s="39">
        <f>IF(AND(I1344&lt;&gt;"",J1344&lt;&gt;""),I1344*J1344,"")</f>
        <v/>
      </c>
      <c r="L1344" s="18" t="n"/>
      <c r="M1344" s="18" t="n"/>
      <c r="N1344" s="20" t="n"/>
      <c r="O1344" s="20" t="n"/>
    </row>
    <row r="1345">
      <c r="A1345" s="41" t="n"/>
      <c r="B1345" s="35">
        <f>IF(A1345="","",YEAR(A1345))</f>
        <v/>
      </c>
      <c r="C1345" s="36">
        <f>IF(A1345="","",MONTH(A1345))</f>
        <v/>
      </c>
      <c r="D1345" s="37">
        <f>IF(A1345="","","Q"&amp;ROUNDUP(MONTH(A1345)/3,0))</f>
        <v/>
      </c>
      <c r="E1345" s="22" t="n"/>
      <c r="F1345" s="22" t="n"/>
      <c r="G1345" s="40">
        <f>IFERROR(VLOOKUP(F1345,M2_거래처마스터!A:E,3,FALSE),"")</f>
        <v/>
      </c>
      <c r="H1345" s="22" t="n"/>
      <c r="I1345" s="23" t="n"/>
      <c r="J1345" s="24" t="n"/>
      <c r="K1345" s="39">
        <f>IF(AND(I1345&lt;&gt;"",J1345&lt;&gt;""),I1345*J1345,"")</f>
        <v/>
      </c>
      <c r="L1345" s="22" t="n"/>
      <c r="M1345" s="22" t="n"/>
      <c r="N1345" s="24" t="n"/>
      <c r="O1345" s="24" t="n"/>
    </row>
    <row r="1346">
      <c r="A1346" s="34" t="n"/>
      <c r="B1346" s="35">
        <f>IF(A1346="","",YEAR(A1346))</f>
        <v/>
      </c>
      <c r="C1346" s="36">
        <f>IF(A1346="","",MONTH(A1346))</f>
        <v/>
      </c>
      <c r="D1346" s="37">
        <f>IF(A1346="","","Q"&amp;ROUNDUP(MONTH(A1346)/3,0))</f>
        <v/>
      </c>
      <c r="E1346" s="18" t="n"/>
      <c r="F1346" s="18" t="n"/>
      <c r="G1346" s="40">
        <f>IFERROR(VLOOKUP(F1346,M2_거래처마스터!A:E,3,FALSE),"")</f>
        <v/>
      </c>
      <c r="H1346" s="18" t="n"/>
      <c r="I1346" s="19" t="n"/>
      <c r="J1346" s="20" t="n"/>
      <c r="K1346" s="39">
        <f>IF(AND(I1346&lt;&gt;"",J1346&lt;&gt;""),I1346*J1346,"")</f>
        <v/>
      </c>
      <c r="L1346" s="18" t="n"/>
      <c r="M1346" s="18" t="n"/>
      <c r="N1346" s="20" t="n"/>
      <c r="O1346" s="20" t="n"/>
    </row>
    <row r="1347">
      <c r="A1347" s="41" t="n"/>
      <c r="B1347" s="35">
        <f>IF(A1347="","",YEAR(A1347))</f>
        <v/>
      </c>
      <c r="C1347" s="36">
        <f>IF(A1347="","",MONTH(A1347))</f>
        <v/>
      </c>
      <c r="D1347" s="37">
        <f>IF(A1347="","","Q"&amp;ROUNDUP(MONTH(A1347)/3,0))</f>
        <v/>
      </c>
      <c r="E1347" s="22" t="n"/>
      <c r="F1347" s="22" t="n"/>
      <c r="G1347" s="40">
        <f>IFERROR(VLOOKUP(F1347,M2_거래처마스터!A:E,3,FALSE),"")</f>
        <v/>
      </c>
      <c r="H1347" s="22" t="n"/>
      <c r="I1347" s="23" t="n"/>
      <c r="J1347" s="24" t="n"/>
      <c r="K1347" s="39">
        <f>IF(AND(I1347&lt;&gt;"",J1347&lt;&gt;""),I1347*J1347,"")</f>
        <v/>
      </c>
      <c r="L1347" s="22" t="n"/>
      <c r="M1347" s="22" t="n"/>
      <c r="N1347" s="24" t="n"/>
      <c r="O1347" s="24" t="n"/>
    </row>
    <row r="1348">
      <c r="A1348" s="34" t="n"/>
      <c r="B1348" s="35">
        <f>IF(A1348="","",YEAR(A1348))</f>
        <v/>
      </c>
      <c r="C1348" s="36">
        <f>IF(A1348="","",MONTH(A1348))</f>
        <v/>
      </c>
      <c r="D1348" s="37">
        <f>IF(A1348="","","Q"&amp;ROUNDUP(MONTH(A1348)/3,0))</f>
        <v/>
      </c>
      <c r="E1348" s="18" t="n"/>
      <c r="F1348" s="18" t="n"/>
      <c r="G1348" s="40">
        <f>IFERROR(VLOOKUP(F1348,M2_거래처마스터!A:E,3,FALSE),"")</f>
        <v/>
      </c>
      <c r="H1348" s="18" t="n"/>
      <c r="I1348" s="19" t="n"/>
      <c r="J1348" s="20" t="n"/>
      <c r="K1348" s="39">
        <f>IF(AND(I1348&lt;&gt;"",J1348&lt;&gt;""),I1348*J1348,"")</f>
        <v/>
      </c>
      <c r="L1348" s="18" t="n"/>
      <c r="M1348" s="18" t="n"/>
      <c r="N1348" s="20" t="n"/>
      <c r="O1348" s="20" t="n"/>
    </row>
    <row r="1349">
      <c r="A1349" s="41" t="n"/>
      <c r="B1349" s="35">
        <f>IF(A1349="","",YEAR(A1349))</f>
        <v/>
      </c>
      <c r="C1349" s="36">
        <f>IF(A1349="","",MONTH(A1349))</f>
        <v/>
      </c>
      <c r="D1349" s="37">
        <f>IF(A1349="","","Q"&amp;ROUNDUP(MONTH(A1349)/3,0))</f>
        <v/>
      </c>
      <c r="E1349" s="22" t="n"/>
      <c r="F1349" s="22" t="n"/>
      <c r="G1349" s="40">
        <f>IFERROR(VLOOKUP(F1349,M2_거래처마스터!A:E,3,FALSE),"")</f>
        <v/>
      </c>
      <c r="H1349" s="22" t="n"/>
      <c r="I1349" s="23" t="n"/>
      <c r="J1349" s="24" t="n"/>
      <c r="K1349" s="39">
        <f>IF(AND(I1349&lt;&gt;"",J1349&lt;&gt;""),I1349*J1349,"")</f>
        <v/>
      </c>
      <c r="L1349" s="22" t="n"/>
      <c r="M1349" s="22" t="n"/>
      <c r="N1349" s="24" t="n"/>
      <c r="O1349" s="24" t="n"/>
    </row>
    <row r="1350">
      <c r="A1350" s="34" t="n"/>
      <c r="B1350" s="35">
        <f>IF(A1350="","",YEAR(A1350))</f>
        <v/>
      </c>
      <c r="C1350" s="36">
        <f>IF(A1350="","",MONTH(A1350))</f>
        <v/>
      </c>
      <c r="D1350" s="37">
        <f>IF(A1350="","","Q"&amp;ROUNDUP(MONTH(A1350)/3,0))</f>
        <v/>
      </c>
      <c r="E1350" s="18" t="n"/>
      <c r="F1350" s="18" t="n"/>
      <c r="G1350" s="40">
        <f>IFERROR(VLOOKUP(F1350,M2_거래처마스터!A:E,3,FALSE),"")</f>
        <v/>
      </c>
      <c r="H1350" s="18" t="n"/>
      <c r="I1350" s="19" t="n"/>
      <c r="J1350" s="20" t="n"/>
      <c r="K1350" s="39">
        <f>IF(AND(I1350&lt;&gt;"",J1350&lt;&gt;""),I1350*J1350,"")</f>
        <v/>
      </c>
      <c r="L1350" s="18" t="n"/>
      <c r="M1350" s="18" t="n"/>
      <c r="N1350" s="20" t="n"/>
      <c r="O1350" s="20" t="n"/>
    </row>
    <row r="1351">
      <c r="A1351" s="41" t="n"/>
      <c r="B1351" s="35">
        <f>IF(A1351="","",YEAR(A1351))</f>
        <v/>
      </c>
      <c r="C1351" s="36">
        <f>IF(A1351="","",MONTH(A1351))</f>
        <v/>
      </c>
      <c r="D1351" s="37">
        <f>IF(A1351="","","Q"&amp;ROUNDUP(MONTH(A1351)/3,0))</f>
        <v/>
      </c>
      <c r="E1351" s="22" t="n"/>
      <c r="F1351" s="22" t="n"/>
      <c r="G1351" s="40">
        <f>IFERROR(VLOOKUP(F1351,M2_거래처마스터!A:E,3,FALSE),"")</f>
        <v/>
      </c>
      <c r="H1351" s="22" t="n"/>
      <c r="I1351" s="23" t="n"/>
      <c r="J1351" s="24" t="n"/>
      <c r="K1351" s="39">
        <f>IF(AND(I1351&lt;&gt;"",J1351&lt;&gt;""),I1351*J1351,"")</f>
        <v/>
      </c>
      <c r="L1351" s="22" t="n"/>
      <c r="M1351" s="22" t="n"/>
      <c r="N1351" s="24" t="n"/>
      <c r="O1351" s="24" t="n"/>
    </row>
    <row r="1352">
      <c r="A1352" s="34" t="n"/>
      <c r="B1352" s="35">
        <f>IF(A1352="","",YEAR(A1352))</f>
        <v/>
      </c>
      <c r="C1352" s="36">
        <f>IF(A1352="","",MONTH(A1352))</f>
        <v/>
      </c>
      <c r="D1352" s="37">
        <f>IF(A1352="","","Q"&amp;ROUNDUP(MONTH(A1352)/3,0))</f>
        <v/>
      </c>
      <c r="E1352" s="18" t="n"/>
      <c r="F1352" s="18" t="n"/>
      <c r="G1352" s="40">
        <f>IFERROR(VLOOKUP(F1352,M2_거래처마스터!A:E,3,FALSE),"")</f>
        <v/>
      </c>
      <c r="H1352" s="18" t="n"/>
      <c r="I1352" s="19" t="n"/>
      <c r="J1352" s="20" t="n"/>
      <c r="K1352" s="39">
        <f>IF(AND(I1352&lt;&gt;"",J1352&lt;&gt;""),I1352*J1352,"")</f>
        <v/>
      </c>
      <c r="L1352" s="18" t="n"/>
      <c r="M1352" s="18" t="n"/>
      <c r="N1352" s="20" t="n"/>
      <c r="O1352" s="20" t="n"/>
    </row>
    <row r="1353">
      <c r="A1353" s="41" t="n"/>
      <c r="B1353" s="35">
        <f>IF(A1353="","",YEAR(A1353))</f>
        <v/>
      </c>
      <c r="C1353" s="36">
        <f>IF(A1353="","",MONTH(A1353))</f>
        <v/>
      </c>
      <c r="D1353" s="37">
        <f>IF(A1353="","","Q"&amp;ROUNDUP(MONTH(A1353)/3,0))</f>
        <v/>
      </c>
      <c r="E1353" s="22" t="n"/>
      <c r="F1353" s="22" t="n"/>
      <c r="G1353" s="40">
        <f>IFERROR(VLOOKUP(F1353,M2_거래처마스터!A:E,3,FALSE),"")</f>
        <v/>
      </c>
      <c r="H1353" s="22" t="n"/>
      <c r="I1353" s="23" t="n"/>
      <c r="J1353" s="24" t="n"/>
      <c r="K1353" s="39">
        <f>IF(AND(I1353&lt;&gt;"",J1353&lt;&gt;""),I1353*J1353,"")</f>
        <v/>
      </c>
      <c r="L1353" s="22" t="n"/>
      <c r="M1353" s="22" t="n"/>
      <c r="N1353" s="24" t="n"/>
      <c r="O1353" s="24" t="n"/>
    </row>
    <row r="1354">
      <c r="A1354" s="34" t="n"/>
      <c r="B1354" s="35">
        <f>IF(A1354="","",YEAR(A1354))</f>
        <v/>
      </c>
      <c r="C1354" s="36">
        <f>IF(A1354="","",MONTH(A1354))</f>
        <v/>
      </c>
      <c r="D1354" s="37">
        <f>IF(A1354="","","Q"&amp;ROUNDUP(MONTH(A1354)/3,0))</f>
        <v/>
      </c>
      <c r="E1354" s="18" t="n"/>
      <c r="F1354" s="18" t="n"/>
      <c r="G1354" s="40">
        <f>IFERROR(VLOOKUP(F1354,M2_거래처마스터!A:E,3,FALSE),"")</f>
        <v/>
      </c>
      <c r="H1354" s="18" t="n"/>
      <c r="I1354" s="19" t="n"/>
      <c r="J1354" s="20" t="n"/>
      <c r="K1354" s="39">
        <f>IF(AND(I1354&lt;&gt;"",J1354&lt;&gt;""),I1354*J1354,"")</f>
        <v/>
      </c>
      <c r="L1354" s="18" t="n"/>
      <c r="M1354" s="18" t="n"/>
      <c r="N1354" s="20" t="n"/>
      <c r="O1354" s="20" t="n"/>
    </row>
    <row r="1355">
      <c r="A1355" s="41" t="n"/>
      <c r="B1355" s="35">
        <f>IF(A1355="","",YEAR(A1355))</f>
        <v/>
      </c>
      <c r="C1355" s="36">
        <f>IF(A1355="","",MONTH(A1355))</f>
        <v/>
      </c>
      <c r="D1355" s="37">
        <f>IF(A1355="","","Q"&amp;ROUNDUP(MONTH(A1355)/3,0))</f>
        <v/>
      </c>
      <c r="E1355" s="22" t="n"/>
      <c r="F1355" s="22" t="n"/>
      <c r="G1355" s="40">
        <f>IFERROR(VLOOKUP(F1355,M2_거래처마스터!A:E,3,FALSE),"")</f>
        <v/>
      </c>
      <c r="H1355" s="22" t="n"/>
      <c r="I1355" s="23" t="n"/>
      <c r="J1355" s="24" t="n"/>
      <c r="K1355" s="39">
        <f>IF(AND(I1355&lt;&gt;"",J1355&lt;&gt;""),I1355*J1355,"")</f>
        <v/>
      </c>
      <c r="L1355" s="22" t="n"/>
      <c r="M1355" s="22" t="n"/>
      <c r="N1355" s="24" t="n"/>
      <c r="O1355" s="24" t="n"/>
    </row>
    <row r="1356">
      <c r="A1356" s="34" t="n"/>
      <c r="B1356" s="35">
        <f>IF(A1356="","",YEAR(A1356))</f>
        <v/>
      </c>
      <c r="C1356" s="36">
        <f>IF(A1356="","",MONTH(A1356))</f>
        <v/>
      </c>
      <c r="D1356" s="37">
        <f>IF(A1356="","","Q"&amp;ROUNDUP(MONTH(A1356)/3,0))</f>
        <v/>
      </c>
      <c r="E1356" s="18" t="n"/>
      <c r="F1356" s="18" t="n"/>
      <c r="G1356" s="40">
        <f>IFERROR(VLOOKUP(F1356,M2_거래처마스터!A:E,3,FALSE),"")</f>
        <v/>
      </c>
      <c r="H1356" s="18" t="n"/>
      <c r="I1356" s="19" t="n"/>
      <c r="J1356" s="20" t="n"/>
      <c r="K1356" s="39">
        <f>IF(AND(I1356&lt;&gt;"",J1356&lt;&gt;""),I1356*J1356,"")</f>
        <v/>
      </c>
      <c r="L1356" s="18" t="n"/>
      <c r="M1356" s="18" t="n"/>
      <c r="N1356" s="20" t="n"/>
      <c r="O1356" s="20" t="n"/>
    </row>
    <row r="1357">
      <c r="A1357" s="41" t="n"/>
      <c r="B1357" s="35">
        <f>IF(A1357="","",YEAR(A1357))</f>
        <v/>
      </c>
      <c r="C1357" s="36">
        <f>IF(A1357="","",MONTH(A1357))</f>
        <v/>
      </c>
      <c r="D1357" s="37">
        <f>IF(A1357="","","Q"&amp;ROUNDUP(MONTH(A1357)/3,0))</f>
        <v/>
      </c>
      <c r="E1357" s="22" t="n"/>
      <c r="F1357" s="22" t="n"/>
      <c r="G1357" s="40">
        <f>IFERROR(VLOOKUP(F1357,M2_거래처마스터!A:E,3,FALSE),"")</f>
        <v/>
      </c>
      <c r="H1357" s="22" t="n"/>
      <c r="I1357" s="23" t="n"/>
      <c r="J1357" s="24" t="n"/>
      <c r="K1357" s="39">
        <f>IF(AND(I1357&lt;&gt;"",J1357&lt;&gt;""),I1357*J1357,"")</f>
        <v/>
      </c>
      <c r="L1357" s="22" t="n"/>
      <c r="M1357" s="22" t="n"/>
      <c r="N1357" s="24" t="n"/>
      <c r="O1357" s="24" t="n"/>
    </row>
    <row r="1358">
      <c r="A1358" s="34" t="n"/>
      <c r="B1358" s="35">
        <f>IF(A1358="","",YEAR(A1358))</f>
        <v/>
      </c>
      <c r="C1358" s="36">
        <f>IF(A1358="","",MONTH(A1358))</f>
        <v/>
      </c>
      <c r="D1358" s="37">
        <f>IF(A1358="","","Q"&amp;ROUNDUP(MONTH(A1358)/3,0))</f>
        <v/>
      </c>
      <c r="E1358" s="18" t="n"/>
      <c r="F1358" s="18" t="n"/>
      <c r="G1358" s="40">
        <f>IFERROR(VLOOKUP(F1358,M2_거래처마스터!A:E,3,FALSE),"")</f>
        <v/>
      </c>
      <c r="H1358" s="18" t="n"/>
      <c r="I1358" s="19" t="n"/>
      <c r="J1358" s="20" t="n"/>
      <c r="K1358" s="39">
        <f>IF(AND(I1358&lt;&gt;"",J1358&lt;&gt;""),I1358*J1358,"")</f>
        <v/>
      </c>
      <c r="L1358" s="18" t="n"/>
      <c r="M1358" s="18" t="n"/>
      <c r="N1358" s="20" t="n"/>
      <c r="O1358" s="20" t="n"/>
    </row>
    <row r="1359">
      <c r="A1359" s="41" t="n"/>
      <c r="B1359" s="35">
        <f>IF(A1359="","",YEAR(A1359))</f>
        <v/>
      </c>
      <c r="C1359" s="36">
        <f>IF(A1359="","",MONTH(A1359))</f>
        <v/>
      </c>
      <c r="D1359" s="37">
        <f>IF(A1359="","","Q"&amp;ROUNDUP(MONTH(A1359)/3,0))</f>
        <v/>
      </c>
      <c r="E1359" s="22" t="n"/>
      <c r="F1359" s="22" t="n"/>
      <c r="G1359" s="40">
        <f>IFERROR(VLOOKUP(F1359,M2_거래처마스터!A:E,3,FALSE),"")</f>
        <v/>
      </c>
      <c r="H1359" s="22" t="n"/>
      <c r="I1359" s="23" t="n"/>
      <c r="J1359" s="24" t="n"/>
      <c r="K1359" s="39">
        <f>IF(AND(I1359&lt;&gt;"",J1359&lt;&gt;""),I1359*J1359,"")</f>
        <v/>
      </c>
      <c r="L1359" s="22" t="n"/>
      <c r="M1359" s="22" t="n"/>
      <c r="N1359" s="24" t="n"/>
      <c r="O1359" s="24" t="n"/>
    </row>
    <row r="1360">
      <c r="A1360" s="34" t="n"/>
      <c r="B1360" s="35">
        <f>IF(A1360="","",YEAR(A1360))</f>
        <v/>
      </c>
      <c r="C1360" s="36">
        <f>IF(A1360="","",MONTH(A1360))</f>
        <v/>
      </c>
      <c r="D1360" s="37">
        <f>IF(A1360="","","Q"&amp;ROUNDUP(MONTH(A1360)/3,0))</f>
        <v/>
      </c>
      <c r="E1360" s="18" t="n"/>
      <c r="F1360" s="18" t="n"/>
      <c r="G1360" s="40">
        <f>IFERROR(VLOOKUP(F1360,M2_거래처마스터!A:E,3,FALSE),"")</f>
        <v/>
      </c>
      <c r="H1360" s="18" t="n"/>
      <c r="I1360" s="19" t="n"/>
      <c r="J1360" s="20" t="n"/>
      <c r="K1360" s="39">
        <f>IF(AND(I1360&lt;&gt;"",J1360&lt;&gt;""),I1360*J1360,"")</f>
        <v/>
      </c>
      <c r="L1360" s="18" t="n"/>
      <c r="M1360" s="18" t="n"/>
      <c r="N1360" s="20" t="n"/>
      <c r="O1360" s="20" t="n"/>
    </row>
    <row r="1361">
      <c r="A1361" s="41" t="n"/>
      <c r="B1361" s="35">
        <f>IF(A1361="","",YEAR(A1361))</f>
        <v/>
      </c>
      <c r="C1361" s="36">
        <f>IF(A1361="","",MONTH(A1361))</f>
        <v/>
      </c>
      <c r="D1361" s="37">
        <f>IF(A1361="","","Q"&amp;ROUNDUP(MONTH(A1361)/3,0))</f>
        <v/>
      </c>
      <c r="E1361" s="22" t="n"/>
      <c r="F1361" s="22" t="n"/>
      <c r="G1361" s="40">
        <f>IFERROR(VLOOKUP(F1361,M2_거래처마스터!A:E,3,FALSE),"")</f>
        <v/>
      </c>
      <c r="H1361" s="22" t="n"/>
      <c r="I1361" s="23" t="n"/>
      <c r="J1361" s="24" t="n"/>
      <c r="K1361" s="39">
        <f>IF(AND(I1361&lt;&gt;"",J1361&lt;&gt;""),I1361*J1361,"")</f>
        <v/>
      </c>
      <c r="L1361" s="22" t="n"/>
      <c r="M1361" s="22" t="n"/>
      <c r="N1361" s="24" t="n"/>
      <c r="O1361" s="24" t="n"/>
    </row>
    <row r="1362">
      <c r="A1362" s="34" t="n"/>
      <c r="B1362" s="35">
        <f>IF(A1362="","",YEAR(A1362))</f>
        <v/>
      </c>
      <c r="C1362" s="36">
        <f>IF(A1362="","",MONTH(A1362))</f>
        <v/>
      </c>
      <c r="D1362" s="37">
        <f>IF(A1362="","","Q"&amp;ROUNDUP(MONTH(A1362)/3,0))</f>
        <v/>
      </c>
      <c r="E1362" s="18" t="n"/>
      <c r="F1362" s="18" t="n"/>
      <c r="G1362" s="40">
        <f>IFERROR(VLOOKUP(F1362,M2_거래처마스터!A:E,3,FALSE),"")</f>
        <v/>
      </c>
      <c r="H1362" s="18" t="n"/>
      <c r="I1362" s="19" t="n"/>
      <c r="J1362" s="20" t="n"/>
      <c r="K1362" s="39">
        <f>IF(AND(I1362&lt;&gt;"",J1362&lt;&gt;""),I1362*J1362,"")</f>
        <v/>
      </c>
      <c r="L1362" s="18" t="n"/>
      <c r="M1362" s="18" t="n"/>
      <c r="N1362" s="20" t="n"/>
      <c r="O1362" s="20" t="n"/>
    </row>
    <row r="1363">
      <c r="A1363" s="41" t="n"/>
      <c r="B1363" s="35">
        <f>IF(A1363="","",YEAR(A1363))</f>
        <v/>
      </c>
      <c r="C1363" s="36">
        <f>IF(A1363="","",MONTH(A1363))</f>
        <v/>
      </c>
      <c r="D1363" s="37">
        <f>IF(A1363="","","Q"&amp;ROUNDUP(MONTH(A1363)/3,0))</f>
        <v/>
      </c>
      <c r="E1363" s="22" t="n"/>
      <c r="F1363" s="22" t="n"/>
      <c r="G1363" s="40">
        <f>IFERROR(VLOOKUP(F1363,M2_거래처마스터!A:E,3,FALSE),"")</f>
        <v/>
      </c>
      <c r="H1363" s="22" t="n"/>
      <c r="I1363" s="23" t="n"/>
      <c r="J1363" s="24" t="n"/>
      <c r="K1363" s="39">
        <f>IF(AND(I1363&lt;&gt;"",J1363&lt;&gt;""),I1363*J1363,"")</f>
        <v/>
      </c>
      <c r="L1363" s="22" t="n"/>
      <c r="M1363" s="22" t="n"/>
      <c r="N1363" s="24" t="n"/>
      <c r="O1363" s="24" t="n"/>
    </row>
    <row r="1364">
      <c r="A1364" s="34" t="n"/>
      <c r="B1364" s="35">
        <f>IF(A1364="","",YEAR(A1364))</f>
        <v/>
      </c>
      <c r="C1364" s="36">
        <f>IF(A1364="","",MONTH(A1364))</f>
        <v/>
      </c>
      <c r="D1364" s="37">
        <f>IF(A1364="","","Q"&amp;ROUNDUP(MONTH(A1364)/3,0))</f>
        <v/>
      </c>
      <c r="E1364" s="18" t="n"/>
      <c r="F1364" s="18" t="n"/>
      <c r="G1364" s="40">
        <f>IFERROR(VLOOKUP(F1364,M2_거래처마스터!A:E,3,FALSE),"")</f>
        <v/>
      </c>
      <c r="H1364" s="18" t="n"/>
      <c r="I1364" s="19" t="n"/>
      <c r="J1364" s="20" t="n"/>
      <c r="K1364" s="39">
        <f>IF(AND(I1364&lt;&gt;"",J1364&lt;&gt;""),I1364*J1364,"")</f>
        <v/>
      </c>
      <c r="L1364" s="18" t="n"/>
      <c r="M1364" s="18" t="n"/>
      <c r="N1364" s="20" t="n"/>
      <c r="O1364" s="20" t="n"/>
    </row>
    <row r="1365">
      <c r="A1365" s="41" t="n"/>
      <c r="B1365" s="35">
        <f>IF(A1365="","",YEAR(A1365))</f>
        <v/>
      </c>
      <c r="C1365" s="36">
        <f>IF(A1365="","",MONTH(A1365))</f>
        <v/>
      </c>
      <c r="D1365" s="37">
        <f>IF(A1365="","","Q"&amp;ROUNDUP(MONTH(A1365)/3,0))</f>
        <v/>
      </c>
      <c r="E1365" s="22" t="n"/>
      <c r="F1365" s="22" t="n"/>
      <c r="G1365" s="40">
        <f>IFERROR(VLOOKUP(F1365,M2_거래처마스터!A:E,3,FALSE),"")</f>
        <v/>
      </c>
      <c r="H1365" s="22" t="n"/>
      <c r="I1365" s="23" t="n"/>
      <c r="J1365" s="24" t="n"/>
      <c r="K1365" s="39">
        <f>IF(AND(I1365&lt;&gt;"",J1365&lt;&gt;""),I1365*J1365,"")</f>
        <v/>
      </c>
      <c r="L1365" s="22" t="n"/>
      <c r="M1365" s="22" t="n"/>
      <c r="N1365" s="24" t="n"/>
      <c r="O1365" s="24" t="n"/>
    </row>
    <row r="1366">
      <c r="A1366" s="34" t="n"/>
      <c r="B1366" s="35">
        <f>IF(A1366="","",YEAR(A1366))</f>
        <v/>
      </c>
      <c r="C1366" s="36">
        <f>IF(A1366="","",MONTH(A1366))</f>
        <v/>
      </c>
      <c r="D1366" s="37">
        <f>IF(A1366="","","Q"&amp;ROUNDUP(MONTH(A1366)/3,0))</f>
        <v/>
      </c>
      <c r="E1366" s="18" t="n"/>
      <c r="F1366" s="18" t="n"/>
      <c r="G1366" s="40">
        <f>IFERROR(VLOOKUP(F1366,M2_거래처마스터!A:E,3,FALSE),"")</f>
        <v/>
      </c>
      <c r="H1366" s="18" t="n"/>
      <c r="I1366" s="19" t="n"/>
      <c r="J1366" s="20" t="n"/>
      <c r="K1366" s="39">
        <f>IF(AND(I1366&lt;&gt;"",J1366&lt;&gt;""),I1366*J1366,"")</f>
        <v/>
      </c>
      <c r="L1366" s="18" t="n"/>
      <c r="M1366" s="18" t="n"/>
      <c r="N1366" s="20" t="n"/>
      <c r="O1366" s="20" t="n"/>
    </row>
    <row r="1367">
      <c r="A1367" s="41" t="n"/>
      <c r="B1367" s="35">
        <f>IF(A1367="","",YEAR(A1367))</f>
        <v/>
      </c>
      <c r="C1367" s="36">
        <f>IF(A1367="","",MONTH(A1367))</f>
        <v/>
      </c>
      <c r="D1367" s="37">
        <f>IF(A1367="","","Q"&amp;ROUNDUP(MONTH(A1367)/3,0))</f>
        <v/>
      </c>
      <c r="E1367" s="22" t="n"/>
      <c r="F1367" s="22" t="n"/>
      <c r="G1367" s="40">
        <f>IFERROR(VLOOKUP(F1367,M2_거래처마스터!A:E,3,FALSE),"")</f>
        <v/>
      </c>
      <c r="H1367" s="22" t="n"/>
      <c r="I1367" s="23" t="n"/>
      <c r="J1367" s="24" t="n"/>
      <c r="K1367" s="39">
        <f>IF(AND(I1367&lt;&gt;"",J1367&lt;&gt;""),I1367*J1367,"")</f>
        <v/>
      </c>
      <c r="L1367" s="22" t="n"/>
      <c r="M1367" s="22" t="n"/>
      <c r="N1367" s="24" t="n"/>
      <c r="O1367" s="24" t="n"/>
    </row>
    <row r="1368">
      <c r="A1368" s="34" t="n"/>
      <c r="B1368" s="35">
        <f>IF(A1368="","",YEAR(A1368))</f>
        <v/>
      </c>
      <c r="C1368" s="36">
        <f>IF(A1368="","",MONTH(A1368))</f>
        <v/>
      </c>
      <c r="D1368" s="37">
        <f>IF(A1368="","","Q"&amp;ROUNDUP(MONTH(A1368)/3,0))</f>
        <v/>
      </c>
      <c r="E1368" s="18" t="n"/>
      <c r="F1368" s="18" t="n"/>
      <c r="G1368" s="40">
        <f>IFERROR(VLOOKUP(F1368,M2_거래처마스터!A:E,3,FALSE),"")</f>
        <v/>
      </c>
      <c r="H1368" s="18" t="n"/>
      <c r="I1368" s="19" t="n"/>
      <c r="J1368" s="20" t="n"/>
      <c r="K1368" s="39">
        <f>IF(AND(I1368&lt;&gt;"",J1368&lt;&gt;""),I1368*J1368,"")</f>
        <v/>
      </c>
      <c r="L1368" s="18" t="n"/>
      <c r="M1368" s="18" t="n"/>
      <c r="N1368" s="20" t="n"/>
      <c r="O1368" s="20" t="n"/>
    </row>
    <row r="1369">
      <c r="A1369" s="41" t="n"/>
      <c r="B1369" s="35">
        <f>IF(A1369="","",YEAR(A1369))</f>
        <v/>
      </c>
      <c r="C1369" s="36">
        <f>IF(A1369="","",MONTH(A1369))</f>
        <v/>
      </c>
      <c r="D1369" s="37">
        <f>IF(A1369="","","Q"&amp;ROUNDUP(MONTH(A1369)/3,0))</f>
        <v/>
      </c>
      <c r="E1369" s="22" t="n"/>
      <c r="F1369" s="22" t="n"/>
      <c r="G1369" s="40">
        <f>IFERROR(VLOOKUP(F1369,M2_거래처마스터!A:E,3,FALSE),"")</f>
        <v/>
      </c>
      <c r="H1369" s="22" t="n"/>
      <c r="I1369" s="23" t="n"/>
      <c r="J1369" s="24" t="n"/>
      <c r="K1369" s="39">
        <f>IF(AND(I1369&lt;&gt;"",J1369&lt;&gt;""),I1369*J1369,"")</f>
        <v/>
      </c>
      <c r="L1369" s="22" t="n"/>
      <c r="M1369" s="22" t="n"/>
      <c r="N1369" s="24" t="n"/>
      <c r="O1369" s="24" t="n"/>
    </row>
    <row r="1370">
      <c r="A1370" s="34" t="n"/>
      <c r="B1370" s="35">
        <f>IF(A1370="","",YEAR(A1370))</f>
        <v/>
      </c>
      <c r="C1370" s="36">
        <f>IF(A1370="","",MONTH(A1370))</f>
        <v/>
      </c>
      <c r="D1370" s="37">
        <f>IF(A1370="","","Q"&amp;ROUNDUP(MONTH(A1370)/3,0))</f>
        <v/>
      </c>
      <c r="E1370" s="18" t="n"/>
      <c r="F1370" s="18" t="n"/>
      <c r="G1370" s="40">
        <f>IFERROR(VLOOKUP(F1370,M2_거래처마스터!A:E,3,FALSE),"")</f>
        <v/>
      </c>
      <c r="H1370" s="18" t="n"/>
      <c r="I1370" s="19" t="n"/>
      <c r="J1370" s="20" t="n"/>
      <c r="K1370" s="39">
        <f>IF(AND(I1370&lt;&gt;"",J1370&lt;&gt;""),I1370*J1370,"")</f>
        <v/>
      </c>
      <c r="L1370" s="18" t="n"/>
      <c r="M1370" s="18" t="n"/>
      <c r="N1370" s="20" t="n"/>
      <c r="O1370" s="20" t="n"/>
    </row>
    <row r="1371">
      <c r="A1371" s="41" t="n"/>
      <c r="B1371" s="35">
        <f>IF(A1371="","",YEAR(A1371))</f>
        <v/>
      </c>
      <c r="C1371" s="36">
        <f>IF(A1371="","",MONTH(A1371))</f>
        <v/>
      </c>
      <c r="D1371" s="37">
        <f>IF(A1371="","","Q"&amp;ROUNDUP(MONTH(A1371)/3,0))</f>
        <v/>
      </c>
      <c r="E1371" s="22" t="n"/>
      <c r="F1371" s="22" t="n"/>
      <c r="G1371" s="40">
        <f>IFERROR(VLOOKUP(F1371,M2_거래처마스터!A:E,3,FALSE),"")</f>
        <v/>
      </c>
      <c r="H1371" s="22" t="n"/>
      <c r="I1371" s="23" t="n"/>
      <c r="J1371" s="24" t="n"/>
      <c r="K1371" s="39">
        <f>IF(AND(I1371&lt;&gt;"",J1371&lt;&gt;""),I1371*J1371,"")</f>
        <v/>
      </c>
      <c r="L1371" s="22" t="n"/>
      <c r="M1371" s="22" t="n"/>
      <c r="N1371" s="24" t="n"/>
      <c r="O1371" s="24" t="n"/>
    </row>
    <row r="1372">
      <c r="A1372" s="34" t="n"/>
      <c r="B1372" s="35">
        <f>IF(A1372="","",YEAR(A1372))</f>
        <v/>
      </c>
      <c r="C1372" s="36">
        <f>IF(A1372="","",MONTH(A1372))</f>
        <v/>
      </c>
      <c r="D1372" s="37">
        <f>IF(A1372="","","Q"&amp;ROUNDUP(MONTH(A1372)/3,0))</f>
        <v/>
      </c>
      <c r="E1372" s="18" t="n"/>
      <c r="F1372" s="18" t="n"/>
      <c r="G1372" s="40">
        <f>IFERROR(VLOOKUP(F1372,M2_거래처마스터!A:E,3,FALSE),"")</f>
        <v/>
      </c>
      <c r="H1372" s="18" t="n"/>
      <c r="I1372" s="19" t="n"/>
      <c r="J1372" s="20" t="n"/>
      <c r="K1372" s="39">
        <f>IF(AND(I1372&lt;&gt;"",J1372&lt;&gt;""),I1372*J1372,"")</f>
        <v/>
      </c>
      <c r="L1372" s="18" t="n"/>
      <c r="M1372" s="18" t="n"/>
      <c r="N1372" s="20" t="n"/>
      <c r="O1372" s="20" t="n"/>
    </row>
    <row r="1373">
      <c r="A1373" s="41" t="n"/>
      <c r="B1373" s="35">
        <f>IF(A1373="","",YEAR(A1373))</f>
        <v/>
      </c>
      <c r="C1373" s="36">
        <f>IF(A1373="","",MONTH(A1373))</f>
        <v/>
      </c>
      <c r="D1373" s="37">
        <f>IF(A1373="","","Q"&amp;ROUNDUP(MONTH(A1373)/3,0))</f>
        <v/>
      </c>
      <c r="E1373" s="22" t="n"/>
      <c r="F1373" s="22" t="n"/>
      <c r="G1373" s="40">
        <f>IFERROR(VLOOKUP(F1373,M2_거래처마스터!A:E,3,FALSE),"")</f>
        <v/>
      </c>
      <c r="H1373" s="22" t="n"/>
      <c r="I1373" s="23" t="n"/>
      <c r="J1373" s="24" t="n"/>
      <c r="K1373" s="39">
        <f>IF(AND(I1373&lt;&gt;"",J1373&lt;&gt;""),I1373*J1373,"")</f>
        <v/>
      </c>
      <c r="L1373" s="22" t="n"/>
      <c r="M1373" s="22" t="n"/>
      <c r="N1373" s="24" t="n"/>
      <c r="O1373" s="24" t="n"/>
    </row>
    <row r="1374">
      <c r="A1374" s="34" t="n"/>
      <c r="B1374" s="35">
        <f>IF(A1374="","",YEAR(A1374))</f>
        <v/>
      </c>
      <c r="C1374" s="36">
        <f>IF(A1374="","",MONTH(A1374))</f>
        <v/>
      </c>
      <c r="D1374" s="37">
        <f>IF(A1374="","","Q"&amp;ROUNDUP(MONTH(A1374)/3,0))</f>
        <v/>
      </c>
      <c r="E1374" s="18" t="n"/>
      <c r="F1374" s="18" t="n"/>
      <c r="G1374" s="40">
        <f>IFERROR(VLOOKUP(F1374,M2_거래처마스터!A:E,3,FALSE),"")</f>
        <v/>
      </c>
      <c r="H1374" s="18" t="n"/>
      <c r="I1374" s="19" t="n"/>
      <c r="J1374" s="20" t="n"/>
      <c r="K1374" s="39">
        <f>IF(AND(I1374&lt;&gt;"",J1374&lt;&gt;""),I1374*J1374,"")</f>
        <v/>
      </c>
      <c r="L1374" s="18" t="n"/>
      <c r="M1374" s="18" t="n"/>
      <c r="N1374" s="20" t="n"/>
      <c r="O1374" s="20" t="n"/>
    </row>
    <row r="1375">
      <c r="A1375" s="41" t="n"/>
      <c r="B1375" s="35">
        <f>IF(A1375="","",YEAR(A1375))</f>
        <v/>
      </c>
      <c r="C1375" s="36">
        <f>IF(A1375="","",MONTH(A1375))</f>
        <v/>
      </c>
      <c r="D1375" s="37">
        <f>IF(A1375="","","Q"&amp;ROUNDUP(MONTH(A1375)/3,0))</f>
        <v/>
      </c>
      <c r="E1375" s="22" t="n"/>
      <c r="F1375" s="22" t="n"/>
      <c r="G1375" s="40">
        <f>IFERROR(VLOOKUP(F1375,M2_거래처마스터!A:E,3,FALSE),"")</f>
        <v/>
      </c>
      <c r="H1375" s="22" t="n"/>
      <c r="I1375" s="23" t="n"/>
      <c r="J1375" s="24" t="n"/>
      <c r="K1375" s="39">
        <f>IF(AND(I1375&lt;&gt;"",J1375&lt;&gt;""),I1375*J1375,"")</f>
        <v/>
      </c>
      <c r="L1375" s="22" t="n"/>
      <c r="M1375" s="22" t="n"/>
      <c r="N1375" s="24" t="n"/>
      <c r="O1375" s="24" t="n"/>
    </row>
    <row r="1376">
      <c r="A1376" s="34" t="n"/>
      <c r="B1376" s="35">
        <f>IF(A1376="","",YEAR(A1376))</f>
        <v/>
      </c>
      <c r="C1376" s="36">
        <f>IF(A1376="","",MONTH(A1376))</f>
        <v/>
      </c>
      <c r="D1376" s="37">
        <f>IF(A1376="","","Q"&amp;ROUNDUP(MONTH(A1376)/3,0))</f>
        <v/>
      </c>
      <c r="E1376" s="18" t="n"/>
      <c r="F1376" s="18" t="n"/>
      <c r="G1376" s="40">
        <f>IFERROR(VLOOKUP(F1376,M2_거래처마스터!A:E,3,FALSE),"")</f>
        <v/>
      </c>
      <c r="H1376" s="18" t="n"/>
      <c r="I1376" s="19" t="n"/>
      <c r="J1376" s="20" t="n"/>
      <c r="K1376" s="39">
        <f>IF(AND(I1376&lt;&gt;"",J1376&lt;&gt;""),I1376*J1376,"")</f>
        <v/>
      </c>
      <c r="L1376" s="18" t="n"/>
      <c r="M1376" s="18" t="n"/>
      <c r="N1376" s="20" t="n"/>
      <c r="O1376" s="20" t="n"/>
    </row>
    <row r="1377">
      <c r="A1377" s="41" t="n"/>
      <c r="B1377" s="35">
        <f>IF(A1377="","",YEAR(A1377))</f>
        <v/>
      </c>
      <c r="C1377" s="36">
        <f>IF(A1377="","",MONTH(A1377))</f>
        <v/>
      </c>
      <c r="D1377" s="37">
        <f>IF(A1377="","","Q"&amp;ROUNDUP(MONTH(A1377)/3,0))</f>
        <v/>
      </c>
      <c r="E1377" s="22" t="n"/>
      <c r="F1377" s="22" t="n"/>
      <c r="G1377" s="40">
        <f>IFERROR(VLOOKUP(F1377,M2_거래처마스터!A:E,3,FALSE),"")</f>
        <v/>
      </c>
      <c r="H1377" s="22" t="n"/>
      <c r="I1377" s="23" t="n"/>
      <c r="J1377" s="24" t="n"/>
      <c r="K1377" s="39">
        <f>IF(AND(I1377&lt;&gt;"",J1377&lt;&gt;""),I1377*J1377,"")</f>
        <v/>
      </c>
      <c r="L1377" s="22" t="n"/>
      <c r="M1377" s="22" t="n"/>
      <c r="N1377" s="24" t="n"/>
      <c r="O1377" s="24" t="n"/>
    </row>
    <row r="1378">
      <c r="A1378" s="34" t="n"/>
      <c r="B1378" s="35">
        <f>IF(A1378="","",YEAR(A1378))</f>
        <v/>
      </c>
      <c r="C1378" s="36">
        <f>IF(A1378="","",MONTH(A1378))</f>
        <v/>
      </c>
      <c r="D1378" s="37">
        <f>IF(A1378="","","Q"&amp;ROUNDUP(MONTH(A1378)/3,0))</f>
        <v/>
      </c>
      <c r="E1378" s="18" t="n"/>
      <c r="F1378" s="18" t="n"/>
      <c r="G1378" s="40">
        <f>IFERROR(VLOOKUP(F1378,M2_거래처마스터!A:E,3,FALSE),"")</f>
        <v/>
      </c>
      <c r="H1378" s="18" t="n"/>
      <c r="I1378" s="19" t="n"/>
      <c r="J1378" s="20" t="n"/>
      <c r="K1378" s="39">
        <f>IF(AND(I1378&lt;&gt;"",J1378&lt;&gt;""),I1378*J1378,"")</f>
        <v/>
      </c>
      <c r="L1378" s="18" t="n"/>
      <c r="M1378" s="18" t="n"/>
      <c r="N1378" s="20" t="n"/>
      <c r="O1378" s="20" t="n"/>
    </row>
    <row r="1379">
      <c r="A1379" s="41" t="n"/>
      <c r="B1379" s="35">
        <f>IF(A1379="","",YEAR(A1379))</f>
        <v/>
      </c>
      <c r="C1379" s="36">
        <f>IF(A1379="","",MONTH(A1379))</f>
        <v/>
      </c>
      <c r="D1379" s="37">
        <f>IF(A1379="","","Q"&amp;ROUNDUP(MONTH(A1379)/3,0))</f>
        <v/>
      </c>
      <c r="E1379" s="22" t="n"/>
      <c r="F1379" s="22" t="n"/>
      <c r="G1379" s="40">
        <f>IFERROR(VLOOKUP(F1379,M2_거래처마스터!A:E,3,FALSE),"")</f>
        <v/>
      </c>
      <c r="H1379" s="22" t="n"/>
      <c r="I1379" s="23" t="n"/>
      <c r="J1379" s="24" t="n"/>
      <c r="K1379" s="39">
        <f>IF(AND(I1379&lt;&gt;"",J1379&lt;&gt;""),I1379*J1379,"")</f>
        <v/>
      </c>
      <c r="L1379" s="22" t="n"/>
      <c r="M1379" s="22" t="n"/>
      <c r="N1379" s="24" t="n"/>
      <c r="O1379" s="24" t="n"/>
    </row>
    <row r="1380">
      <c r="A1380" s="34" t="n"/>
      <c r="B1380" s="35">
        <f>IF(A1380="","",YEAR(A1380))</f>
        <v/>
      </c>
      <c r="C1380" s="36">
        <f>IF(A1380="","",MONTH(A1380))</f>
        <v/>
      </c>
      <c r="D1380" s="37">
        <f>IF(A1380="","","Q"&amp;ROUNDUP(MONTH(A1380)/3,0))</f>
        <v/>
      </c>
      <c r="E1380" s="18" t="n"/>
      <c r="F1380" s="18" t="n"/>
      <c r="G1380" s="40">
        <f>IFERROR(VLOOKUP(F1380,M2_거래처마스터!A:E,3,FALSE),"")</f>
        <v/>
      </c>
      <c r="H1380" s="18" t="n"/>
      <c r="I1380" s="19" t="n"/>
      <c r="J1380" s="20" t="n"/>
      <c r="K1380" s="39">
        <f>IF(AND(I1380&lt;&gt;"",J1380&lt;&gt;""),I1380*J1380,"")</f>
        <v/>
      </c>
      <c r="L1380" s="18" t="n"/>
      <c r="M1380" s="18" t="n"/>
      <c r="N1380" s="20" t="n"/>
      <c r="O1380" s="20" t="n"/>
    </row>
    <row r="1381">
      <c r="A1381" s="41" t="n"/>
      <c r="B1381" s="35">
        <f>IF(A1381="","",YEAR(A1381))</f>
        <v/>
      </c>
      <c r="C1381" s="36">
        <f>IF(A1381="","",MONTH(A1381))</f>
        <v/>
      </c>
      <c r="D1381" s="37">
        <f>IF(A1381="","","Q"&amp;ROUNDUP(MONTH(A1381)/3,0))</f>
        <v/>
      </c>
      <c r="E1381" s="22" t="n"/>
      <c r="F1381" s="22" t="n"/>
      <c r="G1381" s="40">
        <f>IFERROR(VLOOKUP(F1381,M2_거래처마스터!A:E,3,FALSE),"")</f>
        <v/>
      </c>
      <c r="H1381" s="22" t="n"/>
      <c r="I1381" s="23" t="n"/>
      <c r="J1381" s="24" t="n"/>
      <c r="K1381" s="39">
        <f>IF(AND(I1381&lt;&gt;"",J1381&lt;&gt;""),I1381*J1381,"")</f>
        <v/>
      </c>
      <c r="L1381" s="22" t="n"/>
      <c r="M1381" s="22" t="n"/>
      <c r="N1381" s="24" t="n"/>
      <c r="O1381" s="24" t="n"/>
    </row>
    <row r="1382">
      <c r="A1382" s="34" t="n"/>
      <c r="B1382" s="35">
        <f>IF(A1382="","",YEAR(A1382))</f>
        <v/>
      </c>
      <c r="C1382" s="36">
        <f>IF(A1382="","",MONTH(A1382))</f>
        <v/>
      </c>
      <c r="D1382" s="37">
        <f>IF(A1382="","","Q"&amp;ROUNDUP(MONTH(A1382)/3,0))</f>
        <v/>
      </c>
      <c r="E1382" s="18" t="n"/>
      <c r="F1382" s="18" t="n"/>
      <c r="G1382" s="40">
        <f>IFERROR(VLOOKUP(F1382,M2_거래처마스터!A:E,3,FALSE),"")</f>
        <v/>
      </c>
      <c r="H1382" s="18" t="n"/>
      <c r="I1382" s="19" t="n"/>
      <c r="J1382" s="20" t="n"/>
      <c r="K1382" s="39">
        <f>IF(AND(I1382&lt;&gt;"",J1382&lt;&gt;""),I1382*J1382,"")</f>
        <v/>
      </c>
      <c r="L1382" s="18" t="n"/>
      <c r="M1382" s="18" t="n"/>
      <c r="N1382" s="20" t="n"/>
      <c r="O1382" s="20" t="n"/>
    </row>
    <row r="1383">
      <c r="A1383" s="41" t="n"/>
      <c r="B1383" s="35">
        <f>IF(A1383="","",YEAR(A1383))</f>
        <v/>
      </c>
      <c r="C1383" s="36">
        <f>IF(A1383="","",MONTH(A1383))</f>
        <v/>
      </c>
      <c r="D1383" s="37">
        <f>IF(A1383="","","Q"&amp;ROUNDUP(MONTH(A1383)/3,0))</f>
        <v/>
      </c>
      <c r="E1383" s="22" t="n"/>
      <c r="F1383" s="22" t="n"/>
      <c r="G1383" s="40">
        <f>IFERROR(VLOOKUP(F1383,M2_거래처마스터!A:E,3,FALSE),"")</f>
        <v/>
      </c>
      <c r="H1383" s="22" t="n"/>
      <c r="I1383" s="23" t="n"/>
      <c r="J1383" s="24" t="n"/>
      <c r="K1383" s="39">
        <f>IF(AND(I1383&lt;&gt;"",J1383&lt;&gt;""),I1383*J1383,"")</f>
        <v/>
      </c>
      <c r="L1383" s="22" t="n"/>
      <c r="M1383" s="22" t="n"/>
      <c r="N1383" s="24" t="n"/>
      <c r="O1383" s="24" t="n"/>
    </row>
    <row r="1384">
      <c r="A1384" s="34" t="n"/>
      <c r="B1384" s="35">
        <f>IF(A1384="","",YEAR(A1384))</f>
        <v/>
      </c>
      <c r="C1384" s="36">
        <f>IF(A1384="","",MONTH(A1384))</f>
        <v/>
      </c>
      <c r="D1384" s="37">
        <f>IF(A1384="","","Q"&amp;ROUNDUP(MONTH(A1384)/3,0))</f>
        <v/>
      </c>
      <c r="E1384" s="18" t="n"/>
      <c r="F1384" s="18" t="n"/>
      <c r="G1384" s="40">
        <f>IFERROR(VLOOKUP(F1384,M2_거래처마스터!A:E,3,FALSE),"")</f>
        <v/>
      </c>
      <c r="H1384" s="18" t="n"/>
      <c r="I1384" s="19" t="n"/>
      <c r="J1384" s="20" t="n"/>
      <c r="K1384" s="39">
        <f>IF(AND(I1384&lt;&gt;"",J1384&lt;&gt;""),I1384*J1384,"")</f>
        <v/>
      </c>
      <c r="L1384" s="18" t="n"/>
      <c r="M1384" s="18" t="n"/>
      <c r="N1384" s="20" t="n"/>
      <c r="O1384" s="20" t="n"/>
    </row>
    <row r="1385">
      <c r="A1385" s="41" t="n"/>
      <c r="B1385" s="35">
        <f>IF(A1385="","",YEAR(A1385))</f>
        <v/>
      </c>
      <c r="C1385" s="36">
        <f>IF(A1385="","",MONTH(A1385))</f>
        <v/>
      </c>
      <c r="D1385" s="37">
        <f>IF(A1385="","","Q"&amp;ROUNDUP(MONTH(A1385)/3,0))</f>
        <v/>
      </c>
      <c r="E1385" s="22" t="n"/>
      <c r="F1385" s="22" t="n"/>
      <c r="G1385" s="40">
        <f>IFERROR(VLOOKUP(F1385,M2_거래처마스터!A:E,3,FALSE),"")</f>
        <v/>
      </c>
      <c r="H1385" s="22" t="n"/>
      <c r="I1385" s="23" t="n"/>
      <c r="J1385" s="24" t="n"/>
      <c r="K1385" s="39">
        <f>IF(AND(I1385&lt;&gt;"",J1385&lt;&gt;""),I1385*J1385,"")</f>
        <v/>
      </c>
      <c r="L1385" s="22" t="n"/>
      <c r="M1385" s="22" t="n"/>
      <c r="N1385" s="24" t="n"/>
      <c r="O1385" s="24" t="n"/>
    </row>
    <row r="1386">
      <c r="A1386" s="34" t="n"/>
      <c r="B1386" s="35">
        <f>IF(A1386="","",YEAR(A1386))</f>
        <v/>
      </c>
      <c r="C1386" s="36">
        <f>IF(A1386="","",MONTH(A1386))</f>
        <v/>
      </c>
      <c r="D1386" s="37">
        <f>IF(A1386="","","Q"&amp;ROUNDUP(MONTH(A1386)/3,0))</f>
        <v/>
      </c>
      <c r="E1386" s="18" t="n"/>
      <c r="F1386" s="18" t="n"/>
      <c r="G1386" s="40">
        <f>IFERROR(VLOOKUP(F1386,M2_거래처마스터!A:E,3,FALSE),"")</f>
        <v/>
      </c>
      <c r="H1386" s="18" t="n"/>
      <c r="I1386" s="19" t="n"/>
      <c r="J1386" s="20" t="n"/>
      <c r="K1386" s="39">
        <f>IF(AND(I1386&lt;&gt;"",J1386&lt;&gt;""),I1386*J1386,"")</f>
        <v/>
      </c>
      <c r="L1386" s="18" t="n"/>
      <c r="M1386" s="18" t="n"/>
      <c r="N1386" s="20" t="n"/>
      <c r="O1386" s="20" t="n"/>
    </row>
    <row r="1387">
      <c r="A1387" s="41" t="n"/>
      <c r="B1387" s="35">
        <f>IF(A1387="","",YEAR(A1387))</f>
        <v/>
      </c>
      <c r="C1387" s="36">
        <f>IF(A1387="","",MONTH(A1387))</f>
        <v/>
      </c>
      <c r="D1387" s="37">
        <f>IF(A1387="","","Q"&amp;ROUNDUP(MONTH(A1387)/3,0))</f>
        <v/>
      </c>
      <c r="E1387" s="22" t="n"/>
      <c r="F1387" s="22" t="n"/>
      <c r="G1387" s="40">
        <f>IFERROR(VLOOKUP(F1387,M2_거래처마스터!A:E,3,FALSE),"")</f>
        <v/>
      </c>
      <c r="H1387" s="22" t="n"/>
      <c r="I1387" s="23" t="n"/>
      <c r="J1387" s="24" t="n"/>
      <c r="K1387" s="39">
        <f>IF(AND(I1387&lt;&gt;"",J1387&lt;&gt;""),I1387*J1387,"")</f>
        <v/>
      </c>
      <c r="L1387" s="22" t="n"/>
      <c r="M1387" s="22" t="n"/>
      <c r="N1387" s="24" t="n"/>
      <c r="O1387" s="24" t="n"/>
    </row>
    <row r="1388">
      <c r="A1388" s="34" t="n"/>
      <c r="B1388" s="35">
        <f>IF(A1388="","",YEAR(A1388))</f>
        <v/>
      </c>
      <c r="C1388" s="36">
        <f>IF(A1388="","",MONTH(A1388))</f>
        <v/>
      </c>
      <c r="D1388" s="37">
        <f>IF(A1388="","","Q"&amp;ROUNDUP(MONTH(A1388)/3,0))</f>
        <v/>
      </c>
      <c r="E1388" s="18" t="n"/>
      <c r="F1388" s="18" t="n"/>
      <c r="G1388" s="40">
        <f>IFERROR(VLOOKUP(F1388,M2_거래처마스터!A:E,3,FALSE),"")</f>
        <v/>
      </c>
      <c r="H1388" s="18" t="n"/>
      <c r="I1388" s="19" t="n"/>
      <c r="J1388" s="20" t="n"/>
      <c r="K1388" s="39">
        <f>IF(AND(I1388&lt;&gt;"",J1388&lt;&gt;""),I1388*J1388,"")</f>
        <v/>
      </c>
      <c r="L1388" s="18" t="n"/>
      <c r="M1388" s="18" t="n"/>
      <c r="N1388" s="20" t="n"/>
      <c r="O1388" s="20" t="n"/>
    </row>
    <row r="1389">
      <c r="A1389" s="41" t="n"/>
      <c r="B1389" s="35">
        <f>IF(A1389="","",YEAR(A1389))</f>
        <v/>
      </c>
      <c r="C1389" s="36">
        <f>IF(A1389="","",MONTH(A1389))</f>
        <v/>
      </c>
      <c r="D1389" s="37">
        <f>IF(A1389="","","Q"&amp;ROUNDUP(MONTH(A1389)/3,0))</f>
        <v/>
      </c>
      <c r="E1389" s="22" t="n"/>
      <c r="F1389" s="22" t="n"/>
      <c r="G1389" s="40">
        <f>IFERROR(VLOOKUP(F1389,M2_거래처마스터!A:E,3,FALSE),"")</f>
        <v/>
      </c>
      <c r="H1389" s="22" t="n"/>
      <c r="I1389" s="23" t="n"/>
      <c r="J1389" s="24" t="n"/>
      <c r="K1389" s="39">
        <f>IF(AND(I1389&lt;&gt;"",J1389&lt;&gt;""),I1389*J1389,"")</f>
        <v/>
      </c>
      <c r="L1389" s="22" t="n"/>
      <c r="M1389" s="22" t="n"/>
      <c r="N1389" s="24" t="n"/>
      <c r="O1389" s="24" t="n"/>
    </row>
    <row r="1390">
      <c r="A1390" s="34" t="n"/>
      <c r="B1390" s="35">
        <f>IF(A1390="","",YEAR(A1390))</f>
        <v/>
      </c>
      <c r="C1390" s="36">
        <f>IF(A1390="","",MONTH(A1390))</f>
        <v/>
      </c>
      <c r="D1390" s="37">
        <f>IF(A1390="","","Q"&amp;ROUNDUP(MONTH(A1390)/3,0))</f>
        <v/>
      </c>
      <c r="E1390" s="18" t="n"/>
      <c r="F1390" s="18" t="n"/>
      <c r="G1390" s="40">
        <f>IFERROR(VLOOKUP(F1390,M2_거래처마스터!A:E,3,FALSE),"")</f>
        <v/>
      </c>
      <c r="H1390" s="18" t="n"/>
      <c r="I1390" s="19" t="n"/>
      <c r="J1390" s="20" t="n"/>
      <c r="K1390" s="39">
        <f>IF(AND(I1390&lt;&gt;"",J1390&lt;&gt;""),I1390*J1390,"")</f>
        <v/>
      </c>
      <c r="L1390" s="18" t="n"/>
      <c r="M1390" s="18" t="n"/>
      <c r="N1390" s="20" t="n"/>
      <c r="O1390" s="20" t="n"/>
    </row>
    <row r="1391">
      <c r="A1391" s="41" t="n"/>
      <c r="B1391" s="35">
        <f>IF(A1391="","",YEAR(A1391))</f>
        <v/>
      </c>
      <c r="C1391" s="36">
        <f>IF(A1391="","",MONTH(A1391))</f>
        <v/>
      </c>
      <c r="D1391" s="37">
        <f>IF(A1391="","","Q"&amp;ROUNDUP(MONTH(A1391)/3,0))</f>
        <v/>
      </c>
      <c r="E1391" s="22" t="n"/>
      <c r="F1391" s="22" t="n"/>
      <c r="G1391" s="40">
        <f>IFERROR(VLOOKUP(F1391,M2_거래처마스터!A:E,3,FALSE),"")</f>
        <v/>
      </c>
      <c r="H1391" s="22" t="n"/>
      <c r="I1391" s="23" t="n"/>
      <c r="J1391" s="24" t="n"/>
      <c r="K1391" s="39">
        <f>IF(AND(I1391&lt;&gt;"",J1391&lt;&gt;""),I1391*J1391,"")</f>
        <v/>
      </c>
      <c r="L1391" s="22" t="n"/>
      <c r="M1391" s="22" t="n"/>
      <c r="N1391" s="24" t="n"/>
      <c r="O1391" s="24" t="n"/>
    </row>
    <row r="1392">
      <c r="A1392" s="34" t="n"/>
      <c r="B1392" s="35">
        <f>IF(A1392="","",YEAR(A1392))</f>
        <v/>
      </c>
      <c r="C1392" s="36">
        <f>IF(A1392="","",MONTH(A1392))</f>
        <v/>
      </c>
      <c r="D1392" s="37">
        <f>IF(A1392="","","Q"&amp;ROUNDUP(MONTH(A1392)/3,0))</f>
        <v/>
      </c>
      <c r="E1392" s="18" t="n"/>
      <c r="F1392" s="18" t="n"/>
      <c r="G1392" s="40">
        <f>IFERROR(VLOOKUP(F1392,M2_거래처마스터!A:E,3,FALSE),"")</f>
        <v/>
      </c>
      <c r="H1392" s="18" t="n"/>
      <c r="I1392" s="19" t="n"/>
      <c r="J1392" s="20" t="n"/>
      <c r="K1392" s="39">
        <f>IF(AND(I1392&lt;&gt;"",J1392&lt;&gt;""),I1392*J1392,"")</f>
        <v/>
      </c>
      <c r="L1392" s="18" t="n"/>
      <c r="M1392" s="18" t="n"/>
      <c r="N1392" s="20" t="n"/>
      <c r="O1392" s="20" t="n"/>
    </row>
    <row r="1393">
      <c r="A1393" s="41" t="n"/>
      <c r="B1393" s="35">
        <f>IF(A1393="","",YEAR(A1393))</f>
        <v/>
      </c>
      <c r="C1393" s="36">
        <f>IF(A1393="","",MONTH(A1393))</f>
        <v/>
      </c>
      <c r="D1393" s="37">
        <f>IF(A1393="","","Q"&amp;ROUNDUP(MONTH(A1393)/3,0))</f>
        <v/>
      </c>
      <c r="E1393" s="22" t="n"/>
      <c r="F1393" s="22" t="n"/>
      <c r="G1393" s="40">
        <f>IFERROR(VLOOKUP(F1393,M2_거래처마스터!A:E,3,FALSE),"")</f>
        <v/>
      </c>
      <c r="H1393" s="22" t="n"/>
      <c r="I1393" s="23" t="n"/>
      <c r="J1393" s="24" t="n"/>
      <c r="K1393" s="39">
        <f>IF(AND(I1393&lt;&gt;"",J1393&lt;&gt;""),I1393*J1393,"")</f>
        <v/>
      </c>
      <c r="L1393" s="22" t="n"/>
      <c r="M1393" s="22" t="n"/>
      <c r="N1393" s="24" t="n"/>
      <c r="O1393" s="24" t="n"/>
    </row>
    <row r="1394">
      <c r="A1394" s="34" t="n"/>
      <c r="B1394" s="35">
        <f>IF(A1394="","",YEAR(A1394))</f>
        <v/>
      </c>
      <c r="C1394" s="36">
        <f>IF(A1394="","",MONTH(A1394))</f>
        <v/>
      </c>
      <c r="D1394" s="37">
        <f>IF(A1394="","","Q"&amp;ROUNDUP(MONTH(A1394)/3,0))</f>
        <v/>
      </c>
      <c r="E1394" s="18" t="n"/>
      <c r="F1394" s="18" t="n"/>
      <c r="G1394" s="40">
        <f>IFERROR(VLOOKUP(F1394,M2_거래처마스터!A:E,3,FALSE),"")</f>
        <v/>
      </c>
      <c r="H1394" s="18" t="n"/>
      <c r="I1394" s="19" t="n"/>
      <c r="J1394" s="20" t="n"/>
      <c r="K1394" s="39">
        <f>IF(AND(I1394&lt;&gt;"",J1394&lt;&gt;""),I1394*J1394,"")</f>
        <v/>
      </c>
      <c r="L1394" s="18" t="n"/>
      <c r="M1394" s="18" t="n"/>
      <c r="N1394" s="20" t="n"/>
      <c r="O1394" s="20" t="n"/>
    </row>
    <row r="1395">
      <c r="A1395" s="41" t="n"/>
      <c r="B1395" s="35">
        <f>IF(A1395="","",YEAR(A1395))</f>
        <v/>
      </c>
      <c r="C1395" s="36">
        <f>IF(A1395="","",MONTH(A1395))</f>
        <v/>
      </c>
      <c r="D1395" s="37">
        <f>IF(A1395="","","Q"&amp;ROUNDUP(MONTH(A1395)/3,0))</f>
        <v/>
      </c>
      <c r="E1395" s="22" t="n"/>
      <c r="F1395" s="22" t="n"/>
      <c r="G1395" s="40">
        <f>IFERROR(VLOOKUP(F1395,M2_거래처마스터!A:E,3,FALSE),"")</f>
        <v/>
      </c>
      <c r="H1395" s="22" t="n"/>
      <c r="I1395" s="23" t="n"/>
      <c r="J1395" s="24" t="n"/>
      <c r="K1395" s="39">
        <f>IF(AND(I1395&lt;&gt;"",J1395&lt;&gt;""),I1395*J1395,"")</f>
        <v/>
      </c>
      <c r="L1395" s="22" t="n"/>
      <c r="M1395" s="22" t="n"/>
      <c r="N1395" s="24" t="n"/>
      <c r="O1395" s="24" t="n"/>
    </row>
    <row r="1396">
      <c r="A1396" s="34" t="n"/>
      <c r="B1396" s="35">
        <f>IF(A1396="","",YEAR(A1396))</f>
        <v/>
      </c>
      <c r="C1396" s="36">
        <f>IF(A1396="","",MONTH(A1396))</f>
        <v/>
      </c>
      <c r="D1396" s="37">
        <f>IF(A1396="","","Q"&amp;ROUNDUP(MONTH(A1396)/3,0))</f>
        <v/>
      </c>
      <c r="E1396" s="18" t="n"/>
      <c r="F1396" s="18" t="n"/>
      <c r="G1396" s="40">
        <f>IFERROR(VLOOKUP(F1396,M2_거래처마스터!A:E,3,FALSE),"")</f>
        <v/>
      </c>
      <c r="H1396" s="18" t="n"/>
      <c r="I1396" s="19" t="n"/>
      <c r="J1396" s="20" t="n"/>
      <c r="K1396" s="39">
        <f>IF(AND(I1396&lt;&gt;"",J1396&lt;&gt;""),I1396*J1396,"")</f>
        <v/>
      </c>
      <c r="L1396" s="18" t="n"/>
      <c r="M1396" s="18" t="n"/>
      <c r="N1396" s="20" t="n"/>
      <c r="O1396" s="20" t="n"/>
    </row>
    <row r="1397">
      <c r="A1397" s="41" t="n"/>
      <c r="B1397" s="35">
        <f>IF(A1397="","",YEAR(A1397))</f>
        <v/>
      </c>
      <c r="C1397" s="36">
        <f>IF(A1397="","",MONTH(A1397))</f>
        <v/>
      </c>
      <c r="D1397" s="37">
        <f>IF(A1397="","","Q"&amp;ROUNDUP(MONTH(A1397)/3,0))</f>
        <v/>
      </c>
      <c r="E1397" s="22" t="n"/>
      <c r="F1397" s="22" t="n"/>
      <c r="G1397" s="40">
        <f>IFERROR(VLOOKUP(F1397,M2_거래처마스터!A:E,3,FALSE),"")</f>
        <v/>
      </c>
      <c r="H1397" s="22" t="n"/>
      <c r="I1397" s="23" t="n"/>
      <c r="J1397" s="24" t="n"/>
      <c r="K1397" s="39">
        <f>IF(AND(I1397&lt;&gt;"",J1397&lt;&gt;""),I1397*J1397,"")</f>
        <v/>
      </c>
      <c r="L1397" s="22" t="n"/>
      <c r="M1397" s="22" t="n"/>
      <c r="N1397" s="24" t="n"/>
      <c r="O1397" s="24" t="n"/>
    </row>
    <row r="1398">
      <c r="A1398" s="34" t="n"/>
      <c r="B1398" s="35">
        <f>IF(A1398="","",YEAR(A1398))</f>
        <v/>
      </c>
      <c r="C1398" s="36">
        <f>IF(A1398="","",MONTH(A1398))</f>
        <v/>
      </c>
      <c r="D1398" s="37">
        <f>IF(A1398="","","Q"&amp;ROUNDUP(MONTH(A1398)/3,0))</f>
        <v/>
      </c>
      <c r="E1398" s="18" t="n"/>
      <c r="F1398" s="18" t="n"/>
      <c r="G1398" s="40">
        <f>IFERROR(VLOOKUP(F1398,M2_거래처마스터!A:E,3,FALSE),"")</f>
        <v/>
      </c>
      <c r="H1398" s="18" t="n"/>
      <c r="I1398" s="19" t="n"/>
      <c r="J1398" s="20" t="n"/>
      <c r="K1398" s="39">
        <f>IF(AND(I1398&lt;&gt;"",J1398&lt;&gt;""),I1398*J1398,"")</f>
        <v/>
      </c>
      <c r="L1398" s="18" t="n"/>
      <c r="M1398" s="18" t="n"/>
      <c r="N1398" s="20" t="n"/>
      <c r="O1398" s="20" t="n"/>
    </row>
    <row r="1399">
      <c r="A1399" s="41" t="n"/>
      <c r="B1399" s="35">
        <f>IF(A1399="","",YEAR(A1399))</f>
        <v/>
      </c>
      <c r="C1399" s="36">
        <f>IF(A1399="","",MONTH(A1399))</f>
        <v/>
      </c>
      <c r="D1399" s="37">
        <f>IF(A1399="","","Q"&amp;ROUNDUP(MONTH(A1399)/3,0))</f>
        <v/>
      </c>
      <c r="E1399" s="22" t="n"/>
      <c r="F1399" s="22" t="n"/>
      <c r="G1399" s="40">
        <f>IFERROR(VLOOKUP(F1399,M2_거래처마스터!A:E,3,FALSE),"")</f>
        <v/>
      </c>
      <c r="H1399" s="22" t="n"/>
      <c r="I1399" s="23" t="n"/>
      <c r="J1399" s="24" t="n"/>
      <c r="K1399" s="39">
        <f>IF(AND(I1399&lt;&gt;"",J1399&lt;&gt;""),I1399*J1399,"")</f>
        <v/>
      </c>
      <c r="L1399" s="22" t="n"/>
      <c r="M1399" s="22" t="n"/>
      <c r="N1399" s="24" t="n"/>
      <c r="O1399" s="24" t="n"/>
    </row>
    <row r="1400">
      <c r="A1400" s="34" t="n"/>
      <c r="B1400" s="35">
        <f>IF(A1400="","",YEAR(A1400))</f>
        <v/>
      </c>
      <c r="C1400" s="36">
        <f>IF(A1400="","",MONTH(A1400))</f>
        <v/>
      </c>
      <c r="D1400" s="37">
        <f>IF(A1400="","","Q"&amp;ROUNDUP(MONTH(A1400)/3,0))</f>
        <v/>
      </c>
      <c r="E1400" s="18" t="n"/>
      <c r="F1400" s="18" t="n"/>
      <c r="G1400" s="40">
        <f>IFERROR(VLOOKUP(F1400,M2_거래처마스터!A:E,3,FALSE),"")</f>
        <v/>
      </c>
      <c r="H1400" s="18" t="n"/>
      <c r="I1400" s="19" t="n"/>
      <c r="J1400" s="20" t="n"/>
      <c r="K1400" s="39">
        <f>IF(AND(I1400&lt;&gt;"",J1400&lt;&gt;""),I1400*J1400,"")</f>
        <v/>
      </c>
      <c r="L1400" s="18" t="n"/>
      <c r="M1400" s="18" t="n"/>
      <c r="N1400" s="20" t="n"/>
      <c r="O1400" s="20" t="n"/>
    </row>
    <row r="1401">
      <c r="A1401" s="41" t="n"/>
      <c r="B1401" s="35">
        <f>IF(A1401="","",YEAR(A1401))</f>
        <v/>
      </c>
      <c r="C1401" s="36">
        <f>IF(A1401="","",MONTH(A1401))</f>
        <v/>
      </c>
      <c r="D1401" s="37">
        <f>IF(A1401="","","Q"&amp;ROUNDUP(MONTH(A1401)/3,0))</f>
        <v/>
      </c>
      <c r="E1401" s="22" t="n"/>
      <c r="F1401" s="22" t="n"/>
      <c r="G1401" s="40">
        <f>IFERROR(VLOOKUP(F1401,M2_거래처마스터!A:E,3,FALSE),"")</f>
        <v/>
      </c>
      <c r="H1401" s="22" t="n"/>
      <c r="I1401" s="23" t="n"/>
      <c r="J1401" s="24" t="n"/>
      <c r="K1401" s="39">
        <f>IF(AND(I1401&lt;&gt;"",J1401&lt;&gt;""),I1401*J1401,"")</f>
        <v/>
      </c>
      <c r="L1401" s="22" t="n"/>
      <c r="M1401" s="22" t="n"/>
      <c r="N1401" s="24" t="n"/>
      <c r="O1401" s="24" t="n"/>
    </row>
    <row r="1402">
      <c r="A1402" s="34" t="n"/>
      <c r="B1402" s="35">
        <f>IF(A1402="","",YEAR(A1402))</f>
        <v/>
      </c>
      <c r="C1402" s="36">
        <f>IF(A1402="","",MONTH(A1402))</f>
        <v/>
      </c>
      <c r="D1402" s="37">
        <f>IF(A1402="","","Q"&amp;ROUNDUP(MONTH(A1402)/3,0))</f>
        <v/>
      </c>
      <c r="E1402" s="18" t="n"/>
      <c r="F1402" s="18" t="n"/>
      <c r="G1402" s="40">
        <f>IFERROR(VLOOKUP(F1402,M2_거래처마스터!A:E,3,FALSE),"")</f>
        <v/>
      </c>
      <c r="H1402" s="18" t="n"/>
      <c r="I1402" s="19" t="n"/>
      <c r="J1402" s="20" t="n"/>
      <c r="K1402" s="39">
        <f>IF(AND(I1402&lt;&gt;"",J1402&lt;&gt;""),I1402*J1402,"")</f>
        <v/>
      </c>
      <c r="L1402" s="18" t="n"/>
      <c r="M1402" s="18" t="n"/>
      <c r="N1402" s="20" t="n"/>
      <c r="O1402" s="20" t="n"/>
    </row>
    <row r="1403">
      <c r="A1403" s="41" t="n"/>
      <c r="B1403" s="35">
        <f>IF(A1403="","",YEAR(A1403))</f>
        <v/>
      </c>
      <c r="C1403" s="36">
        <f>IF(A1403="","",MONTH(A1403))</f>
        <v/>
      </c>
      <c r="D1403" s="37">
        <f>IF(A1403="","","Q"&amp;ROUNDUP(MONTH(A1403)/3,0))</f>
        <v/>
      </c>
      <c r="E1403" s="22" t="n"/>
      <c r="F1403" s="22" t="n"/>
      <c r="G1403" s="40">
        <f>IFERROR(VLOOKUP(F1403,M2_거래처마스터!A:E,3,FALSE),"")</f>
        <v/>
      </c>
      <c r="H1403" s="22" t="n"/>
      <c r="I1403" s="23" t="n"/>
      <c r="J1403" s="24" t="n"/>
      <c r="K1403" s="39">
        <f>IF(AND(I1403&lt;&gt;"",J1403&lt;&gt;""),I1403*J1403,"")</f>
        <v/>
      </c>
      <c r="L1403" s="22" t="n"/>
      <c r="M1403" s="22" t="n"/>
      <c r="N1403" s="24" t="n"/>
      <c r="O1403" s="24" t="n"/>
    </row>
    <row r="1404">
      <c r="A1404" s="34" t="n"/>
      <c r="B1404" s="35">
        <f>IF(A1404="","",YEAR(A1404))</f>
        <v/>
      </c>
      <c r="C1404" s="36">
        <f>IF(A1404="","",MONTH(A1404))</f>
        <v/>
      </c>
      <c r="D1404" s="37">
        <f>IF(A1404="","","Q"&amp;ROUNDUP(MONTH(A1404)/3,0))</f>
        <v/>
      </c>
      <c r="E1404" s="18" t="n"/>
      <c r="F1404" s="18" t="n"/>
      <c r="G1404" s="40">
        <f>IFERROR(VLOOKUP(F1404,M2_거래처마스터!A:E,3,FALSE),"")</f>
        <v/>
      </c>
      <c r="H1404" s="18" t="n"/>
      <c r="I1404" s="19" t="n"/>
      <c r="J1404" s="20" t="n"/>
      <c r="K1404" s="39">
        <f>IF(AND(I1404&lt;&gt;"",J1404&lt;&gt;""),I1404*J1404,"")</f>
        <v/>
      </c>
      <c r="L1404" s="18" t="n"/>
      <c r="M1404" s="18" t="n"/>
      <c r="N1404" s="20" t="n"/>
      <c r="O1404" s="20" t="n"/>
    </row>
    <row r="1405">
      <c r="A1405" s="41" t="n"/>
      <c r="B1405" s="35">
        <f>IF(A1405="","",YEAR(A1405))</f>
        <v/>
      </c>
      <c r="C1405" s="36">
        <f>IF(A1405="","",MONTH(A1405))</f>
        <v/>
      </c>
      <c r="D1405" s="37">
        <f>IF(A1405="","","Q"&amp;ROUNDUP(MONTH(A1405)/3,0))</f>
        <v/>
      </c>
      <c r="E1405" s="22" t="n"/>
      <c r="F1405" s="22" t="n"/>
      <c r="G1405" s="40">
        <f>IFERROR(VLOOKUP(F1405,M2_거래처마스터!A:E,3,FALSE),"")</f>
        <v/>
      </c>
      <c r="H1405" s="22" t="n"/>
      <c r="I1405" s="23" t="n"/>
      <c r="J1405" s="24" t="n"/>
      <c r="K1405" s="39">
        <f>IF(AND(I1405&lt;&gt;"",J1405&lt;&gt;""),I1405*J1405,"")</f>
        <v/>
      </c>
      <c r="L1405" s="22" t="n"/>
      <c r="M1405" s="22" t="n"/>
      <c r="N1405" s="24" t="n"/>
      <c r="O1405" s="24" t="n"/>
    </row>
    <row r="1406">
      <c r="A1406" s="34" t="n"/>
      <c r="B1406" s="35">
        <f>IF(A1406="","",YEAR(A1406))</f>
        <v/>
      </c>
      <c r="C1406" s="36">
        <f>IF(A1406="","",MONTH(A1406))</f>
        <v/>
      </c>
      <c r="D1406" s="37">
        <f>IF(A1406="","","Q"&amp;ROUNDUP(MONTH(A1406)/3,0))</f>
        <v/>
      </c>
      <c r="E1406" s="18" t="n"/>
      <c r="F1406" s="18" t="n"/>
      <c r="G1406" s="40">
        <f>IFERROR(VLOOKUP(F1406,M2_거래처마스터!A:E,3,FALSE),"")</f>
        <v/>
      </c>
      <c r="H1406" s="18" t="n"/>
      <c r="I1406" s="19" t="n"/>
      <c r="J1406" s="20" t="n"/>
      <c r="K1406" s="39">
        <f>IF(AND(I1406&lt;&gt;"",J1406&lt;&gt;""),I1406*J1406,"")</f>
        <v/>
      </c>
      <c r="L1406" s="18" t="n"/>
      <c r="M1406" s="18" t="n"/>
      <c r="N1406" s="20" t="n"/>
      <c r="O1406" s="20" t="n"/>
    </row>
    <row r="1407">
      <c r="A1407" s="41" t="n"/>
      <c r="B1407" s="35">
        <f>IF(A1407="","",YEAR(A1407))</f>
        <v/>
      </c>
      <c r="C1407" s="36">
        <f>IF(A1407="","",MONTH(A1407))</f>
        <v/>
      </c>
      <c r="D1407" s="37">
        <f>IF(A1407="","","Q"&amp;ROUNDUP(MONTH(A1407)/3,0))</f>
        <v/>
      </c>
      <c r="E1407" s="22" t="n"/>
      <c r="F1407" s="22" t="n"/>
      <c r="G1407" s="40">
        <f>IFERROR(VLOOKUP(F1407,M2_거래처마스터!A:E,3,FALSE),"")</f>
        <v/>
      </c>
      <c r="H1407" s="22" t="n"/>
      <c r="I1407" s="23" t="n"/>
      <c r="J1407" s="24" t="n"/>
      <c r="K1407" s="39">
        <f>IF(AND(I1407&lt;&gt;"",J1407&lt;&gt;""),I1407*J1407,"")</f>
        <v/>
      </c>
      <c r="L1407" s="22" t="n"/>
      <c r="M1407" s="22" t="n"/>
      <c r="N1407" s="24" t="n"/>
      <c r="O1407" s="24" t="n"/>
    </row>
    <row r="1408">
      <c r="A1408" s="34" t="n"/>
      <c r="B1408" s="35">
        <f>IF(A1408="","",YEAR(A1408))</f>
        <v/>
      </c>
      <c r="C1408" s="36">
        <f>IF(A1408="","",MONTH(A1408))</f>
        <v/>
      </c>
      <c r="D1408" s="37">
        <f>IF(A1408="","","Q"&amp;ROUNDUP(MONTH(A1408)/3,0))</f>
        <v/>
      </c>
      <c r="E1408" s="18" t="n"/>
      <c r="F1408" s="18" t="n"/>
      <c r="G1408" s="40">
        <f>IFERROR(VLOOKUP(F1408,M2_거래처마스터!A:E,3,FALSE),"")</f>
        <v/>
      </c>
      <c r="H1408" s="18" t="n"/>
      <c r="I1408" s="19" t="n"/>
      <c r="J1408" s="20" t="n"/>
      <c r="K1408" s="39">
        <f>IF(AND(I1408&lt;&gt;"",J1408&lt;&gt;""),I1408*J1408,"")</f>
        <v/>
      </c>
      <c r="L1408" s="18" t="n"/>
      <c r="M1408" s="18" t="n"/>
      <c r="N1408" s="20" t="n"/>
      <c r="O1408" s="20" t="n"/>
    </row>
    <row r="1409">
      <c r="A1409" s="41" t="n"/>
      <c r="B1409" s="35">
        <f>IF(A1409="","",YEAR(A1409))</f>
        <v/>
      </c>
      <c r="C1409" s="36">
        <f>IF(A1409="","",MONTH(A1409))</f>
        <v/>
      </c>
      <c r="D1409" s="37">
        <f>IF(A1409="","","Q"&amp;ROUNDUP(MONTH(A1409)/3,0))</f>
        <v/>
      </c>
      <c r="E1409" s="22" t="n"/>
      <c r="F1409" s="22" t="n"/>
      <c r="G1409" s="40">
        <f>IFERROR(VLOOKUP(F1409,M2_거래처마스터!A:E,3,FALSE),"")</f>
        <v/>
      </c>
      <c r="H1409" s="22" t="n"/>
      <c r="I1409" s="23" t="n"/>
      <c r="J1409" s="24" t="n"/>
      <c r="K1409" s="39">
        <f>IF(AND(I1409&lt;&gt;"",J1409&lt;&gt;""),I1409*J1409,"")</f>
        <v/>
      </c>
      <c r="L1409" s="22" t="n"/>
      <c r="M1409" s="22" t="n"/>
      <c r="N1409" s="24" t="n"/>
      <c r="O1409" s="24" t="n"/>
    </row>
    <row r="1410">
      <c r="A1410" s="34" t="n"/>
      <c r="B1410" s="35">
        <f>IF(A1410="","",YEAR(A1410))</f>
        <v/>
      </c>
      <c r="C1410" s="36">
        <f>IF(A1410="","",MONTH(A1410))</f>
        <v/>
      </c>
      <c r="D1410" s="37">
        <f>IF(A1410="","","Q"&amp;ROUNDUP(MONTH(A1410)/3,0))</f>
        <v/>
      </c>
      <c r="E1410" s="18" t="n"/>
      <c r="F1410" s="18" t="n"/>
      <c r="G1410" s="40">
        <f>IFERROR(VLOOKUP(F1410,M2_거래처마스터!A:E,3,FALSE),"")</f>
        <v/>
      </c>
      <c r="H1410" s="18" t="n"/>
      <c r="I1410" s="19" t="n"/>
      <c r="J1410" s="20" t="n"/>
      <c r="K1410" s="39">
        <f>IF(AND(I1410&lt;&gt;"",J1410&lt;&gt;""),I1410*J1410,"")</f>
        <v/>
      </c>
      <c r="L1410" s="18" t="n"/>
      <c r="M1410" s="18" t="n"/>
      <c r="N1410" s="20" t="n"/>
      <c r="O1410" s="20" t="n"/>
    </row>
    <row r="1411">
      <c r="A1411" s="41" t="n"/>
      <c r="B1411" s="35">
        <f>IF(A1411="","",YEAR(A1411))</f>
        <v/>
      </c>
      <c r="C1411" s="36">
        <f>IF(A1411="","",MONTH(A1411))</f>
        <v/>
      </c>
      <c r="D1411" s="37">
        <f>IF(A1411="","","Q"&amp;ROUNDUP(MONTH(A1411)/3,0))</f>
        <v/>
      </c>
      <c r="E1411" s="22" t="n"/>
      <c r="F1411" s="22" t="n"/>
      <c r="G1411" s="40">
        <f>IFERROR(VLOOKUP(F1411,M2_거래처마스터!A:E,3,FALSE),"")</f>
        <v/>
      </c>
      <c r="H1411" s="22" t="n"/>
      <c r="I1411" s="23" t="n"/>
      <c r="J1411" s="24" t="n"/>
      <c r="K1411" s="39">
        <f>IF(AND(I1411&lt;&gt;"",J1411&lt;&gt;""),I1411*J1411,"")</f>
        <v/>
      </c>
      <c r="L1411" s="22" t="n"/>
      <c r="M1411" s="22" t="n"/>
      <c r="N1411" s="24" t="n"/>
      <c r="O1411" s="24" t="n"/>
    </row>
    <row r="1412">
      <c r="A1412" s="34" t="n"/>
      <c r="B1412" s="35">
        <f>IF(A1412="","",YEAR(A1412))</f>
        <v/>
      </c>
      <c r="C1412" s="36">
        <f>IF(A1412="","",MONTH(A1412))</f>
        <v/>
      </c>
      <c r="D1412" s="37">
        <f>IF(A1412="","","Q"&amp;ROUNDUP(MONTH(A1412)/3,0))</f>
        <v/>
      </c>
      <c r="E1412" s="18" t="n"/>
      <c r="F1412" s="18" t="n"/>
      <c r="G1412" s="40">
        <f>IFERROR(VLOOKUP(F1412,M2_거래처마스터!A:E,3,FALSE),"")</f>
        <v/>
      </c>
      <c r="H1412" s="18" t="n"/>
      <c r="I1412" s="19" t="n"/>
      <c r="J1412" s="20" t="n"/>
      <c r="K1412" s="39">
        <f>IF(AND(I1412&lt;&gt;"",J1412&lt;&gt;""),I1412*J1412,"")</f>
        <v/>
      </c>
      <c r="L1412" s="18" t="n"/>
      <c r="M1412" s="18" t="n"/>
      <c r="N1412" s="20" t="n"/>
      <c r="O1412" s="20" t="n"/>
    </row>
    <row r="1413">
      <c r="A1413" s="41" t="n"/>
      <c r="B1413" s="35">
        <f>IF(A1413="","",YEAR(A1413))</f>
        <v/>
      </c>
      <c r="C1413" s="36">
        <f>IF(A1413="","",MONTH(A1413))</f>
        <v/>
      </c>
      <c r="D1413" s="37">
        <f>IF(A1413="","","Q"&amp;ROUNDUP(MONTH(A1413)/3,0))</f>
        <v/>
      </c>
      <c r="E1413" s="22" t="n"/>
      <c r="F1413" s="22" t="n"/>
      <c r="G1413" s="40">
        <f>IFERROR(VLOOKUP(F1413,M2_거래처마스터!A:E,3,FALSE),"")</f>
        <v/>
      </c>
      <c r="H1413" s="22" t="n"/>
      <c r="I1413" s="23" t="n"/>
      <c r="J1413" s="24" t="n"/>
      <c r="K1413" s="39">
        <f>IF(AND(I1413&lt;&gt;"",J1413&lt;&gt;""),I1413*J1413,"")</f>
        <v/>
      </c>
      <c r="L1413" s="22" t="n"/>
      <c r="M1413" s="22" t="n"/>
      <c r="N1413" s="24" t="n"/>
      <c r="O1413" s="24" t="n"/>
    </row>
    <row r="1414">
      <c r="A1414" s="34" t="n"/>
      <c r="B1414" s="35">
        <f>IF(A1414="","",YEAR(A1414))</f>
        <v/>
      </c>
      <c r="C1414" s="36">
        <f>IF(A1414="","",MONTH(A1414))</f>
        <v/>
      </c>
      <c r="D1414" s="37">
        <f>IF(A1414="","","Q"&amp;ROUNDUP(MONTH(A1414)/3,0))</f>
        <v/>
      </c>
      <c r="E1414" s="18" t="n"/>
      <c r="F1414" s="18" t="n"/>
      <c r="G1414" s="40">
        <f>IFERROR(VLOOKUP(F1414,M2_거래처마스터!A:E,3,FALSE),"")</f>
        <v/>
      </c>
      <c r="H1414" s="18" t="n"/>
      <c r="I1414" s="19" t="n"/>
      <c r="J1414" s="20" t="n"/>
      <c r="K1414" s="39">
        <f>IF(AND(I1414&lt;&gt;"",J1414&lt;&gt;""),I1414*J1414,"")</f>
        <v/>
      </c>
      <c r="L1414" s="18" t="n"/>
      <c r="M1414" s="18" t="n"/>
      <c r="N1414" s="20" t="n"/>
      <c r="O1414" s="20" t="n"/>
    </row>
    <row r="1415">
      <c r="A1415" s="41" t="n"/>
      <c r="B1415" s="35">
        <f>IF(A1415="","",YEAR(A1415))</f>
        <v/>
      </c>
      <c r="C1415" s="36">
        <f>IF(A1415="","",MONTH(A1415))</f>
        <v/>
      </c>
      <c r="D1415" s="37">
        <f>IF(A1415="","","Q"&amp;ROUNDUP(MONTH(A1415)/3,0))</f>
        <v/>
      </c>
      <c r="E1415" s="22" t="n"/>
      <c r="F1415" s="22" t="n"/>
      <c r="G1415" s="40">
        <f>IFERROR(VLOOKUP(F1415,M2_거래처마스터!A:E,3,FALSE),"")</f>
        <v/>
      </c>
      <c r="H1415" s="22" t="n"/>
      <c r="I1415" s="23" t="n"/>
      <c r="J1415" s="24" t="n"/>
      <c r="K1415" s="39">
        <f>IF(AND(I1415&lt;&gt;"",J1415&lt;&gt;""),I1415*J1415,"")</f>
        <v/>
      </c>
      <c r="L1415" s="22" t="n"/>
      <c r="M1415" s="22" t="n"/>
      <c r="N1415" s="24" t="n"/>
      <c r="O1415" s="24" t="n"/>
    </row>
    <row r="1416">
      <c r="A1416" s="34" t="n"/>
      <c r="B1416" s="35">
        <f>IF(A1416="","",YEAR(A1416))</f>
        <v/>
      </c>
      <c r="C1416" s="36">
        <f>IF(A1416="","",MONTH(A1416))</f>
        <v/>
      </c>
      <c r="D1416" s="37">
        <f>IF(A1416="","","Q"&amp;ROUNDUP(MONTH(A1416)/3,0))</f>
        <v/>
      </c>
      <c r="E1416" s="18" t="n"/>
      <c r="F1416" s="18" t="n"/>
      <c r="G1416" s="40">
        <f>IFERROR(VLOOKUP(F1416,M2_거래처마스터!A:E,3,FALSE),"")</f>
        <v/>
      </c>
      <c r="H1416" s="18" t="n"/>
      <c r="I1416" s="19" t="n"/>
      <c r="J1416" s="20" t="n"/>
      <c r="K1416" s="39">
        <f>IF(AND(I1416&lt;&gt;"",J1416&lt;&gt;""),I1416*J1416,"")</f>
        <v/>
      </c>
      <c r="L1416" s="18" t="n"/>
      <c r="M1416" s="18" t="n"/>
      <c r="N1416" s="20" t="n"/>
      <c r="O1416" s="20" t="n"/>
    </row>
    <row r="1417">
      <c r="A1417" s="41" t="n"/>
      <c r="B1417" s="35">
        <f>IF(A1417="","",YEAR(A1417))</f>
        <v/>
      </c>
      <c r="C1417" s="36">
        <f>IF(A1417="","",MONTH(A1417))</f>
        <v/>
      </c>
      <c r="D1417" s="37">
        <f>IF(A1417="","","Q"&amp;ROUNDUP(MONTH(A1417)/3,0))</f>
        <v/>
      </c>
      <c r="E1417" s="22" t="n"/>
      <c r="F1417" s="22" t="n"/>
      <c r="G1417" s="40">
        <f>IFERROR(VLOOKUP(F1417,M2_거래처마스터!A:E,3,FALSE),"")</f>
        <v/>
      </c>
      <c r="H1417" s="22" t="n"/>
      <c r="I1417" s="23" t="n"/>
      <c r="J1417" s="24" t="n"/>
      <c r="K1417" s="39">
        <f>IF(AND(I1417&lt;&gt;"",J1417&lt;&gt;""),I1417*J1417,"")</f>
        <v/>
      </c>
      <c r="L1417" s="22" t="n"/>
      <c r="M1417" s="22" t="n"/>
      <c r="N1417" s="24" t="n"/>
      <c r="O1417" s="24" t="n"/>
    </row>
    <row r="1418">
      <c r="A1418" s="34" t="n"/>
      <c r="B1418" s="35">
        <f>IF(A1418="","",YEAR(A1418))</f>
        <v/>
      </c>
      <c r="C1418" s="36">
        <f>IF(A1418="","",MONTH(A1418))</f>
        <v/>
      </c>
      <c r="D1418" s="37">
        <f>IF(A1418="","","Q"&amp;ROUNDUP(MONTH(A1418)/3,0))</f>
        <v/>
      </c>
      <c r="E1418" s="18" t="n"/>
      <c r="F1418" s="18" t="n"/>
      <c r="G1418" s="40">
        <f>IFERROR(VLOOKUP(F1418,M2_거래처마스터!A:E,3,FALSE),"")</f>
        <v/>
      </c>
      <c r="H1418" s="18" t="n"/>
      <c r="I1418" s="19" t="n"/>
      <c r="J1418" s="20" t="n"/>
      <c r="K1418" s="39">
        <f>IF(AND(I1418&lt;&gt;"",J1418&lt;&gt;""),I1418*J1418,"")</f>
        <v/>
      </c>
      <c r="L1418" s="18" t="n"/>
      <c r="M1418" s="18" t="n"/>
      <c r="N1418" s="20" t="n"/>
      <c r="O1418" s="20" t="n"/>
    </row>
    <row r="1419">
      <c r="A1419" s="41" t="n"/>
      <c r="B1419" s="35">
        <f>IF(A1419="","",YEAR(A1419))</f>
        <v/>
      </c>
      <c r="C1419" s="36">
        <f>IF(A1419="","",MONTH(A1419))</f>
        <v/>
      </c>
      <c r="D1419" s="37">
        <f>IF(A1419="","","Q"&amp;ROUNDUP(MONTH(A1419)/3,0))</f>
        <v/>
      </c>
      <c r="E1419" s="22" t="n"/>
      <c r="F1419" s="22" t="n"/>
      <c r="G1419" s="40">
        <f>IFERROR(VLOOKUP(F1419,M2_거래처마스터!A:E,3,FALSE),"")</f>
        <v/>
      </c>
      <c r="H1419" s="22" t="n"/>
      <c r="I1419" s="23" t="n"/>
      <c r="J1419" s="24" t="n"/>
      <c r="K1419" s="39">
        <f>IF(AND(I1419&lt;&gt;"",J1419&lt;&gt;""),I1419*J1419,"")</f>
        <v/>
      </c>
      <c r="L1419" s="22" t="n"/>
      <c r="M1419" s="22" t="n"/>
      <c r="N1419" s="24" t="n"/>
      <c r="O1419" s="24" t="n"/>
    </row>
    <row r="1420">
      <c r="A1420" s="34" t="n"/>
      <c r="B1420" s="35">
        <f>IF(A1420="","",YEAR(A1420))</f>
        <v/>
      </c>
      <c r="C1420" s="36">
        <f>IF(A1420="","",MONTH(A1420))</f>
        <v/>
      </c>
      <c r="D1420" s="37">
        <f>IF(A1420="","","Q"&amp;ROUNDUP(MONTH(A1420)/3,0))</f>
        <v/>
      </c>
      <c r="E1420" s="18" t="n"/>
      <c r="F1420" s="18" t="n"/>
      <c r="G1420" s="40">
        <f>IFERROR(VLOOKUP(F1420,M2_거래처마스터!A:E,3,FALSE),"")</f>
        <v/>
      </c>
      <c r="H1420" s="18" t="n"/>
      <c r="I1420" s="19" t="n"/>
      <c r="J1420" s="20" t="n"/>
      <c r="K1420" s="39">
        <f>IF(AND(I1420&lt;&gt;"",J1420&lt;&gt;""),I1420*J1420,"")</f>
        <v/>
      </c>
      <c r="L1420" s="18" t="n"/>
      <c r="M1420" s="18" t="n"/>
      <c r="N1420" s="20" t="n"/>
      <c r="O1420" s="20" t="n"/>
    </row>
    <row r="1421">
      <c r="A1421" s="41" t="n"/>
      <c r="B1421" s="35">
        <f>IF(A1421="","",YEAR(A1421))</f>
        <v/>
      </c>
      <c r="C1421" s="36">
        <f>IF(A1421="","",MONTH(A1421))</f>
        <v/>
      </c>
      <c r="D1421" s="37">
        <f>IF(A1421="","","Q"&amp;ROUNDUP(MONTH(A1421)/3,0))</f>
        <v/>
      </c>
      <c r="E1421" s="22" t="n"/>
      <c r="F1421" s="22" t="n"/>
      <c r="G1421" s="40">
        <f>IFERROR(VLOOKUP(F1421,M2_거래처마스터!A:E,3,FALSE),"")</f>
        <v/>
      </c>
      <c r="H1421" s="22" t="n"/>
      <c r="I1421" s="23" t="n"/>
      <c r="J1421" s="24" t="n"/>
      <c r="K1421" s="39">
        <f>IF(AND(I1421&lt;&gt;"",J1421&lt;&gt;""),I1421*J1421,"")</f>
        <v/>
      </c>
      <c r="L1421" s="22" t="n"/>
      <c r="M1421" s="22" t="n"/>
      <c r="N1421" s="24" t="n"/>
      <c r="O1421" s="24" t="n"/>
    </row>
    <row r="1422">
      <c r="A1422" s="34" t="n"/>
      <c r="B1422" s="35">
        <f>IF(A1422="","",YEAR(A1422))</f>
        <v/>
      </c>
      <c r="C1422" s="36">
        <f>IF(A1422="","",MONTH(A1422))</f>
        <v/>
      </c>
      <c r="D1422" s="37">
        <f>IF(A1422="","","Q"&amp;ROUNDUP(MONTH(A1422)/3,0))</f>
        <v/>
      </c>
      <c r="E1422" s="18" t="n"/>
      <c r="F1422" s="18" t="n"/>
      <c r="G1422" s="40">
        <f>IFERROR(VLOOKUP(F1422,M2_거래처마스터!A:E,3,FALSE),"")</f>
        <v/>
      </c>
      <c r="H1422" s="18" t="n"/>
      <c r="I1422" s="19" t="n"/>
      <c r="J1422" s="20" t="n"/>
      <c r="K1422" s="39">
        <f>IF(AND(I1422&lt;&gt;"",J1422&lt;&gt;""),I1422*J1422,"")</f>
        <v/>
      </c>
      <c r="L1422" s="18" t="n"/>
      <c r="M1422" s="18" t="n"/>
      <c r="N1422" s="20" t="n"/>
      <c r="O1422" s="20" t="n"/>
    </row>
    <row r="1423">
      <c r="A1423" s="41" t="n"/>
      <c r="B1423" s="35">
        <f>IF(A1423="","",YEAR(A1423))</f>
        <v/>
      </c>
      <c r="C1423" s="36">
        <f>IF(A1423="","",MONTH(A1423))</f>
        <v/>
      </c>
      <c r="D1423" s="37">
        <f>IF(A1423="","","Q"&amp;ROUNDUP(MONTH(A1423)/3,0))</f>
        <v/>
      </c>
      <c r="E1423" s="22" t="n"/>
      <c r="F1423" s="22" t="n"/>
      <c r="G1423" s="40">
        <f>IFERROR(VLOOKUP(F1423,M2_거래처마스터!A:E,3,FALSE),"")</f>
        <v/>
      </c>
      <c r="H1423" s="22" t="n"/>
      <c r="I1423" s="23" t="n"/>
      <c r="J1423" s="24" t="n"/>
      <c r="K1423" s="39">
        <f>IF(AND(I1423&lt;&gt;"",J1423&lt;&gt;""),I1423*J1423,"")</f>
        <v/>
      </c>
      <c r="L1423" s="22" t="n"/>
      <c r="M1423" s="22" t="n"/>
      <c r="N1423" s="24" t="n"/>
      <c r="O1423" s="24" t="n"/>
    </row>
    <row r="1424">
      <c r="A1424" s="34" t="n"/>
      <c r="B1424" s="35">
        <f>IF(A1424="","",YEAR(A1424))</f>
        <v/>
      </c>
      <c r="C1424" s="36">
        <f>IF(A1424="","",MONTH(A1424))</f>
        <v/>
      </c>
      <c r="D1424" s="37">
        <f>IF(A1424="","","Q"&amp;ROUNDUP(MONTH(A1424)/3,0))</f>
        <v/>
      </c>
      <c r="E1424" s="18" t="n"/>
      <c r="F1424" s="18" t="n"/>
      <c r="G1424" s="40">
        <f>IFERROR(VLOOKUP(F1424,M2_거래처마스터!A:E,3,FALSE),"")</f>
        <v/>
      </c>
      <c r="H1424" s="18" t="n"/>
      <c r="I1424" s="19" t="n"/>
      <c r="J1424" s="20" t="n"/>
      <c r="K1424" s="39">
        <f>IF(AND(I1424&lt;&gt;"",J1424&lt;&gt;""),I1424*J1424,"")</f>
        <v/>
      </c>
      <c r="L1424" s="18" t="n"/>
      <c r="M1424" s="18" t="n"/>
      <c r="N1424" s="20" t="n"/>
      <c r="O1424" s="20" t="n"/>
    </row>
    <row r="1425">
      <c r="A1425" s="41" t="n"/>
      <c r="B1425" s="35">
        <f>IF(A1425="","",YEAR(A1425))</f>
        <v/>
      </c>
      <c r="C1425" s="36">
        <f>IF(A1425="","",MONTH(A1425))</f>
        <v/>
      </c>
      <c r="D1425" s="37">
        <f>IF(A1425="","","Q"&amp;ROUNDUP(MONTH(A1425)/3,0))</f>
        <v/>
      </c>
      <c r="E1425" s="22" t="n"/>
      <c r="F1425" s="22" t="n"/>
      <c r="G1425" s="40">
        <f>IFERROR(VLOOKUP(F1425,M2_거래처마스터!A:E,3,FALSE),"")</f>
        <v/>
      </c>
      <c r="H1425" s="22" t="n"/>
      <c r="I1425" s="23" t="n"/>
      <c r="J1425" s="24" t="n"/>
      <c r="K1425" s="39">
        <f>IF(AND(I1425&lt;&gt;"",J1425&lt;&gt;""),I1425*J1425,"")</f>
        <v/>
      </c>
      <c r="L1425" s="22" t="n"/>
      <c r="M1425" s="22" t="n"/>
      <c r="N1425" s="24" t="n"/>
      <c r="O1425" s="24" t="n"/>
    </row>
    <row r="1426">
      <c r="A1426" s="34" t="n"/>
      <c r="B1426" s="35">
        <f>IF(A1426="","",YEAR(A1426))</f>
        <v/>
      </c>
      <c r="C1426" s="36">
        <f>IF(A1426="","",MONTH(A1426))</f>
        <v/>
      </c>
      <c r="D1426" s="37">
        <f>IF(A1426="","","Q"&amp;ROUNDUP(MONTH(A1426)/3,0))</f>
        <v/>
      </c>
      <c r="E1426" s="18" t="n"/>
      <c r="F1426" s="18" t="n"/>
      <c r="G1426" s="40">
        <f>IFERROR(VLOOKUP(F1426,M2_거래처마스터!A:E,3,FALSE),"")</f>
        <v/>
      </c>
      <c r="H1426" s="18" t="n"/>
      <c r="I1426" s="19" t="n"/>
      <c r="J1426" s="20" t="n"/>
      <c r="K1426" s="39">
        <f>IF(AND(I1426&lt;&gt;"",J1426&lt;&gt;""),I1426*J1426,"")</f>
        <v/>
      </c>
      <c r="L1426" s="18" t="n"/>
      <c r="M1426" s="18" t="n"/>
      <c r="N1426" s="20" t="n"/>
      <c r="O1426" s="20" t="n"/>
    </row>
    <row r="1427">
      <c r="A1427" s="41" t="n"/>
      <c r="B1427" s="35">
        <f>IF(A1427="","",YEAR(A1427))</f>
        <v/>
      </c>
      <c r="C1427" s="36">
        <f>IF(A1427="","",MONTH(A1427))</f>
        <v/>
      </c>
      <c r="D1427" s="37">
        <f>IF(A1427="","","Q"&amp;ROUNDUP(MONTH(A1427)/3,0))</f>
        <v/>
      </c>
      <c r="E1427" s="22" t="n"/>
      <c r="F1427" s="22" t="n"/>
      <c r="G1427" s="40">
        <f>IFERROR(VLOOKUP(F1427,M2_거래처마스터!A:E,3,FALSE),"")</f>
        <v/>
      </c>
      <c r="H1427" s="22" t="n"/>
      <c r="I1427" s="23" t="n"/>
      <c r="J1427" s="24" t="n"/>
      <c r="K1427" s="39">
        <f>IF(AND(I1427&lt;&gt;"",J1427&lt;&gt;""),I1427*J1427,"")</f>
        <v/>
      </c>
      <c r="L1427" s="22" t="n"/>
      <c r="M1427" s="22" t="n"/>
      <c r="N1427" s="24" t="n"/>
      <c r="O1427" s="24" t="n"/>
    </row>
    <row r="1428">
      <c r="A1428" s="34" t="n"/>
      <c r="B1428" s="35">
        <f>IF(A1428="","",YEAR(A1428))</f>
        <v/>
      </c>
      <c r="C1428" s="36">
        <f>IF(A1428="","",MONTH(A1428))</f>
        <v/>
      </c>
      <c r="D1428" s="37">
        <f>IF(A1428="","","Q"&amp;ROUNDUP(MONTH(A1428)/3,0))</f>
        <v/>
      </c>
      <c r="E1428" s="18" t="n"/>
      <c r="F1428" s="18" t="n"/>
      <c r="G1428" s="40">
        <f>IFERROR(VLOOKUP(F1428,M2_거래처마스터!A:E,3,FALSE),"")</f>
        <v/>
      </c>
      <c r="H1428" s="18" t="n"/>
      <c r="I1428" s="19" t="n"/>
      <c r="J1428" s="20" t="n"/>
      <c r="K1428" s="39">
        <f>IF(AND(I1428&lt;&gt;"",J1428&lt;&gt;""),I1428*J1428,"")</f>
        <v/>
      </c>
      <c r="L1428" s="18" t="n"/>
      <c r="M1428" s="18" t="n"/>
      <c r="N1428" s="20" t="n"/>
      <c r="O1428" s="20" t="n"/>
    </row>
    <row r="1429">
      <c r="A1429" s="41" t="n"/>
      <c r="B1429" s="35">
        <f>IF(A1429="","",YEAR(A1429))</f>
        <v/>
      </c>
      <c r="C1429" s="36">
        <f>IF(A1429="","",MONTH(A1429))</f>
        <v/>
      </c>
      <c r="D1429" s="37">
        <f>IF(A1429="","","Q"&amp;ROUNDUP(MONTH(A1429)/3,0))</f>
        <v/>
      </c>
      <c r="E1429" s="22" t="n"/>
      <c r="F1429" s="22" t="n"/>
      <c r="G1429" s="40">
        <f>IFERROR(VLOOKUP(F1429,M2_거래처마스터!A:E,3,FALSE),"")</f>
        <v/>
      </c>
      <c r="H1429" s="22" t="n"/>
      <c r="I1429" s="23" t="n"/>
      <c r="J1429" s="24" t="n"/>
      <c r="K1429" s="39">
        <f>IF(AND(I1429&lt;&gt;"",J1429&lt;&gt;""),I1429*J1429,"")</f>
        <v/>
      </c>
      <c r="L1429" s="22" t="n"/>
      <c r="M1429" s="22" t="n"/>
      <c r="N1429" s="24" t="n"/>
      <c r="O1429" s="24" t="n"/>
    </row>
    <row r="1430">
      <c r="A1430" s="34" t="n"/>
      <c r="B1430" s="35">
        <f>IF(A1430="","",YEAR(A1430))</f>
        <v/>
      </c>
      <c r="C1430" s="36">
        <f>IF(A1430="","",MONTH(A1430))</f>
        <v/>
      </c>
      <c r="D1430" s="37">
        <f>IF(A1430="","","Q"&amp;ROUNDUP(MONTH(A1430)/3,0))</f>
        <v/>
      </c>
      <c r="E1430" s="18" t="n"/>
      <c r="F1430" s="18" t="n"/>
      <c r="G1430" s="40">
        <f>IFERROR(VLOOKUP(F1430,M2_거래처마스터!A:E,3,FALSE),"")</f>
        <v/>
      </c>
      <c r="H1430" s="18" t="n"/>
      <c r="I1430" s="19" t="n"/>
      <c r="J1430" s="20" t="n"/>
      <c r="K1430" s="39">
        <f>IF(AND(I1430&lt;&gt;"",J1430&lt;&gt;""),I1430*J1430,"")</f>
        <v/>
      </c>
      <c r="L1430" s="18" t="n"/>
      <c r="M1430" s="18" t="n"/>
      <c r="N1430" s="20" t="n"/>
      <c r="O1430" s="20" t="n"/>
    </row>
    <row r="1431">
      <c r="A1431" s="41" t="n"/>
      <c r="B1431" s="35">
        <f>IF(A1431="","",YEAR(A1431))</f>
        <v/>
      </c>
      <c r="C1431" s="36">
        <f>IF(A1431="","",MONTH(A1431))</f>
        <v/>
      </c>
      <c r="D1431" s="37">
        <f>IF(A1431="","","Q"&amp;ROUNDUP(MONTH(A1431)/3,0))</f>
        <v/>
      </c>
      <c r="E1431" s="22" t="n"/>
      <c r="F1431" s="22" t="n"/>
      <c r="G1431" s="40">
        <f>IFERROR(VLOOKUP(F1431,M2_거래처마스터!A:E,3,FALSE),"")</f>
        <v/>
      </c>
      <c r="H1431" s="22" t="n"/>
      <c r="I1431" s="23" t="n"/>
      <c r="J1431" s="24" t="n"/>
      <c r="K1431" s="39">
        <f>IF(AND(I1431&lt;&gt;"",J1431&lt;&gt;""),I1431*J1431,"")</f>
        <v/>
      </c>
      <c r="L1431" s="22" t="n"/>
      <c r="M1431" s="22" t="n"/>
      <c r="N1431" s="24" t="n"/>
      <c r="O1431" s="24" t="n"/>
    </row>
    <row r="1432">
      <c r="A1432" s="34" t="n"/>
      <c r="B1432" s="35">
        <f>IF(A1432="","",YEAR(A1432))</f>
        <v/>
      </c>
      <c r="C1432" s="36">
        <f>IF(A1432="","",MONTH(A1432))</f>
        <v/>
      </c>
      <c r="D1432" s="37">
        <f>IF(A1432="","","Q"&amp;ROUNDUP(MONTH(A1432)/3,0))</f>
        <v/>
      </c>
      <c r="E1432" s="18" t="n"/>
      <c r="F1432" s="18" t="n"/>
      <c r="G1432" s="40">
        <f>IFERROR(VLOOKUP(F1432,M2_거래처마스터!A:E,3,FALSE),"")</f>
        <v/>
      </c>
      <c r="H1432" s="18" t="n"/>
      <c r="I1432" s="19" t="n"/>
      <c r="J1432" s="20" t="n"/>
      <c r="K1432" s="39">
        <f>IF(AND(I1432&lt;&gt;"",J1432&lt;&gt;""),I1432*J1432,"")</f>
        <v/>
      </c>
      <c r="L1432" s="18" t="n"/>
      <c r="M1432" s="18" t="n"/>
      <c r="N1432" s="20" t="n"/>
      <c r="O1432" s="20" t="n"/>
    </row>
    <row r="1433">
      <c r="A1433" s="41" t="n"/>
      <c r="B1433" s="35">
        <f>IF(A1433="","",YEAR(A1433))</f>
        <v/>
      </c>
      <c r="C1433" s="36">
        <f>IF(A1433="","",MONTH(A1433))</f>
        <v/>
      </c>
      <c r="D1433" s="37">
        <f>IF(A1433="","","Q"&amp;ROUNDUP(MONTH(A1433)/3,0))</f>
        <v/>
      </c>
      <c r="E1433" s="22" t="n"/>
      <c r="F1433" s="22" t="n"/>
      <c r="G1433" s="40">
        <f>IFERROR(VLOOKUP(F1433,M2_거래처마스터!A:E,3,FALSE),"")</f>
        <v/>
      </c>
      <c r="H1433" s="22" t="n"/>
      <c r="I1433" s="23" t="n"/>
      <c r="J1433" s="24" t="n"/>
      <c r="K1433" s="39">
        <f>IF(AND(I1433&lt;&gt;"",J1433&lt;&gt;""),I1433*J1433,"")</f>
        <v/>
      </c>
      <c r="L1433" s="22" t="n"/>
      <c r="M1433" s="22" t="n"/>
      <c r="N1433" s="24" t="n"/>
      <c r="O1433" s="24" t="n"/>
    </row>
    <row r="1434">
      <c r="A1434" s="34" t="n"/>
      <c r="B1434" s="35">
        <f>IF(A1434="","",YEAR(A1434))</f>
        <v/>
      </c>
      <c r="C1434" s="36">
        <f>IF(A1434="","",MONTH(A1434))</f>
        <v/>
      </c>
      <c r="D1434" s="37">
        <f>IF(A1434="","","Q"&amp;ROUNDUP(MONTH(A1434)/3,0))</f>
        <v/>
      </c>
      <c r="E1434" s="18" t="n"/>
      <c r="F1434" s="18" t="n"/>
      <c r="G1434" s="40">
        <f>IFERROR(VLOOKUP(F1434,M2_거래처마스터!A:E,3,FALSE),"")</f>
        <v/>
      </c>
      <c r="H1434" s="18" t="n"/>
      <c r="I1434" s="19" t="n"/>
      <c r="J1434" s="20" t="n"/>
      <c r="K1434" s="39">
        <f>IF(AND(I1434&lt;&gt;"",J1434&lt;&gt;""),I1434*J1434,"")</f>
        <v/>
      </c>
      <c r="L1434" s="18" t="n"/>
      <c r="M1434" s="18" t="n"/>
      <c r="N1434" s="20" t="n"/>
      <c r="O1434" s="20" t="n"/>
    </row>
    <row r="1435">
      <c r="A1435" s="41" t="n"/>
      <c r="B1435" s="35">
        <f>IF(A1435="","",YEAR(A1435))</f>
        <v/>
      </c>
      <c r="C1435" s="36">
        <f>IF(A1435="","",MONTH(A1435))</f>
        <v/>
      </c>
      <c r="D1435" s="37">
        <f>IF(A1435="","","Q"&amp;ROUNDUP(MONTH(A1435)/3,0))</f>
        <v/>
      </c>
      <c r="E1435" s="22" t="n"/>
      <c r="F1435" s="22" t="n"/>
      <c r="G1435" s="40">
        <f>IFERROR(VLOOKUP(F1435,M2_거래처마스터!A:E,3,FALSE),"")</f>
        <v/>
      </c>
      <c r="H1435" s="22" t="n"/>
      <c r="I1435" s="23" t="n"/>
      <c r="J1435" s="24" t="n"/>
      <c r="K1435" s="39">
        <f>IF(AND(I1435&lt;&gt;"",J1435&lt;&gt;""),I1435*J1435,"")</f>
        <v/>
      </c>
      <c r="L1435" s="22" t="n"/>
      <c r="M1435" s="22" t="n"/>
      <c r="N1435" s="24" t="n"/>
      <c r="O1435" s="24" t="n"/>
    </row>
    <row r="1436">
      <c r="A1436" s="34" t="n"/>
      <c r="B1436" s="35">
        <f>IF(A1436="","",YEAR(A1436))</f>
        <v/>
      </c>
      <c r="C1436" s="36">
        <f>IF(A1436="","",MONTH(A1436))</f>
        <v/>
      </c>
      <c r="D1436" s="37">
        <f>IF(A1436="","","Q"&amp;ROUNDUP(MONTH(A1436)/3,0))</f>
        <v/>
      </c>
      <c r="E1436" s="18" t="n"/>
      <c r="F1436" s="18" t="n"/>
      <c r="G1436" s="40">
        <f>IFERROR(VLOOKUP(F1436,M2_거래처마스터!A:E,3,FALSE),"")</f>
        <v/>
      </c>
      <c r="H1436" s="18" t="n"/>
      <c r="I1436" s="19" t="n"/>
      <c r="J1436" s="20" t="n"/>
      <c r="K1436" s="39">
        <f>IF(AND(I1436&lt;&gt;"",J1436&lt;&gt;""),I1436*J1436,"")</f>
        <v/>
      </c>
      <c r="L1436" s="18" t="n"/>
      <c r="M1436" s="18" t="n"/>
      <c r="N1436" s="20" t="n"/>
      <c r="O1436" s="20" t="n"/>
    </row>
    <row r="1437">
      <c r="A1437" s="41" t="n"/>
      <c r="B1437" s="35">
        <f>IF(A1437="","",YEAR(A1437))</f>
        <v/>
      </c>
      <c r="C1437" s="36">
        <f>IF(A1437="","",MONTH(A1437))</f>
        <v/>
      </c>
      <c r="D1437" s="37">
        <f>IF(A1437="","","Q"&amp;ROUNDUP(MONTH(A1437)/3,0))</f>
        <v/>
      </c>
      <c r="E1437" s="22" t="n"/>
      <c r="F1437" s="22" t="n"/>
      <c r="G1437" s="40">
        <f>IFERROR(VLOOKUP(F1437,M2_거래처마스터!A:E,3,FALSE),"")</f>
        <v/>
      </c>
      <c r="H1437" s="22" t="n"/>
      <c r="I1437" s="23" t="n"/>
      <c r="J1437" s="24" t="n"/>
      <c r="K1437" s="39">
        <f>IF(AND(I1437&lt;&gt;"",J1437&lt;&gt;""),I1437*J1437,"")</f>
        <v/>
      </c>
      <c r="L1437" s="22" t="n"/>
      <c r="M1437" s="22" t="n"/>
      <c r="N1437" s="24" t="n"/>
      <c r="O1437" s="24" t="n"/>
    </row>
    <row r="1438">
      <c r="A1438" s="34" t="n"/>
      <c r="B1438" s="35">
        <f>IF(A1438="","",YEAR(A1438))</f>
        <v/>
      </c>
      <c r="C1438" s="36">
        <f>IF(A1438="","",MONTH(A1438))</f>
        <v/>
      </c>
      <c r="D1438" s="37">
        <f>IF(A1438="","","Q"&amp;ROUNDUP(MONTH(A1438)/3,0))</f>
        <v/>
      </c>
      <c r="E1438" s="18" t="n"/>
      <c r="F1438" s="18" t="n"/>
      <c r="G1438" s="40">
        <f>IFERROR(VLOOKUP(F1438,M2_거래처마스터!A:E,3,FALSE),"")</f>
        <v/>
      </c>
      <c r="H1438" s="18" t="n"/>
      <c r="I1438" s="19" t="n"/>
      <c r="J1438" s="20" t="n"/>
      <c r="K1438" s="39">
        <f>IF(AND(I1438&lt;&gt;"",J1438&lt;&gt;""),I1438*J1438,"")</f>
        <v/>
      </c>
      <c r="L1438" s="18" t="n"/>
      <c r="M1438" s="18" t="n"/>
      <c r="N1438" s="20" t="n"/>
      <c r="O1438" s="20" t="n"/>
    </row>
    <row r="1439">
      <c r="A1439" s="41" t="n"/>
      <c r="B1439" s="35">
        <f>IF(A1439="","",YEAR(A1439))</f>
        <v/>
      </c>
      <c r="C1439" s="36">
        <f>IF(A1439="","",MONTH(A1439))</f>
        <v/>
      </c>
      <c r="D1439" s="37">
        <f>IF(A1439="","","Q"&amp;ROUNDUP(MONTH(A1439)/3,0))</f>
        <v/>
      </c>
      <c r="E1439" s="22" t="n"/>
      <c r="F1439" s="22" t="n"/>
      <c r="G1439" s="40">
        <f>IFERROR(VLOOKUP(F1439,M2_거래처마스터!A:E,3,FALSE),"")</f>
        <v/>
      </c>
      <c r="H1439" s="22" t="n"/>
      <c r="I1439" s="23" t="n"/>
      <c r="J1439" s="24" t="n"/>
      <c r="K1439" s="39">
        <f>IF(AND(I1439&lt;&gt;"",J1439&lt;&gt;""),I1439*J1439,"")</f>
        <v/>
      </c>
      <c r="L1439" s="22" t="n"/>
      <c r="M1439" s="22" t="n"/>
      <c r="N1439" s="24" t="n"/>
      <c r="O1439" s="24" t="n"/>
    </row>
    <row r="1440">
      <c r="A1440" s="34" t="n"/>
      <c r="B1440" s="35">
        <f>IF(A1440="","",YEAR(A1440))</f>
        <v/>
      </c>
      <c r="C1440" s="36">
        <f>IF(A1440="","",MONTH(A1440))</f>
        <v/>
      </c>
      <c r="D1440" s="37">
        <f>IF(A1440="","","Q"&amp;ROUNDUP(MONTH(A1440)/3,0))</f>
        <v/>
      </c>
      <c r="E1440" s="18" t="n"/>
      <c r="F1440" s="18" t="n"/>
      <c r="G1440" s="40">
        <f>IFERROR(VLOOKUP(F1440,M2_거래처마스터!A:E,3,FALSE),"")</f>
        <v/>
      </c>
      <c r="H1440" s="18" t="n"/>
      <c r="I1440" s="19" t="n"/>
      <c r="J1440" s="20" t="n"/>
      <c r="K1440" s="39">
        <f>IF(AND(I1440&lt;&gt;"",J1440&lt;&gt;""),I1440*J1440,"")</f>
        <v/>
      </c>
      <c r="L1440" s="18" t="n"/>
      <c r="M1440" s="18" t="n"/>
      <c r="N1440" s="20" t="n"/>
      <c r="O1440" s="20" t="n"/>
    </row>
    <row r="1441">
      <c r="A1441" s="41" t="n"/>
      <c r="B1441" s="35">
        <f>IF(A1441="","",YEAR(A1441))</f>
        <v/>
      </c>
      <c r="C1441" s="36">
        <f>IF(A1441="","",MONTH(A1441))</f>
        <v/>
      </c>
      <c r="D1441" s="37">
        <f>IF(A1441="","","Q"&amp;ROUNDUP(MONTH(A1441)/3,0))</f>
        <v/>
      </c>
      <c r="E1441" s="22" t="n"/>
      <c r="F1441" s="22" t="n"/>
      <c r="G1441" s="40">
        <f>IFERROR(VLOOKUP(F1441,M2_거래처마스터!A:E,3,FALSE),"")</f>
        <v/>
      </c>
      <c r="H1441" s="22" t="n"/>
      <c r="I1441" s="23" t="n"/>
      <c r="J1441" s="24" t="n"/>
      <c r="K1441" s="39">
        <f>IF(AND(I1441&lt;&gt;"",J1441&lt;&gt;""),I1441*J1441,"")</f>
        <v/>
      </c>
      <c r="L1441" s="22" t="n"/>
      <c r="M1441" s="22" t="n"/>
      <c r="N1441" s="24" t="n"/>
      <c r="O1441" s="24" t="n"/>
    </row>
    <row r="1442">
      <c r="A1442" s="34" t="n"/>
      <c r="B1442" s="35">
        <f>IF(A1442="","",YEAR(A1442))</f>
        <v/>
      </c>
      <c r="C1442" s="36">
        <f>IF(A1442="","",MONTH(A1442))</f>
        <v/>
      </c>
      <c r="D1442" s="37">
        <f>IF(A1442="","","Q"&amp;ROUNDUP(MONTH(A1442)/3,0))</f>
        <v/>
      </c>
      <c r="E1442" s="18" t="n"/>
      <c r="F1442" s="18" t="n"/>
      <c r="G1442" s="40">
        <f>IFERROR(VLOOKUP(F1442,M2_거래처마스터!A:E,3,FALSE),"")</f>
        <v/>
      </c>
      <c r="H1442" s="18" t="n"/>
      <c r="I1442" s="19" t="n"/>
      <c r="J1442" s="20" t="n"/>
      <c r="K1442" s="39">
        <f>IF(AND(I1442&lt;&gt;"",J1442&lt;&gt;""),I1442*J1442,"")</f>
        <v/>
      </c>
      <c r="L1442" s="18" t="n"/>
      <c r="M1442" s="18" t="n"/>
      <c r="N1442" s="20" t="n"/>
      <c r="O1442" s="20" t="n"/>
    </row>
    <row r="1443">
      <c r="A1443" s="41" t="n"/>
      <c r="B1443" s="35">
        <f>IF(A1443="","",YEAR(A1443))</f>
        <v/>
      </c>
      <c r="C1443" s="36">
        <f>IF(A1443="","",MONTH(A1443))</f>
        <v/>
      </c>
      <c r="D1443" s="37">
        <f>IF(A1443="","","Q"&amp;ROUNDUP(MONTH(A1443)/3,0))</f>
        <v/>
      </c>
      <c r="E1443" s="22" t="n"/>
      <c r="F1443" s="22" t="n"/>
      <c r="G1443" s="40">
        <f>IFERROR(VLOOKUP(F1443,M2_거래처마스터!A:E,3,FALSE),"")</f>
        <v/>
      </c>
      <c r="H1443" s="22" t="n"/>
      <c r="I1443" s="23" t="n"/>
      <c r="J1443" s="24" t="n"/>
      <c r="K1443" s="39">
        <f>IF(AND(I1443&lt;&gt;"",J1443&lt;&gt;""),I1443*J1443,"")</f>
        <v/>
      </c>
      <c r="L1443" s="22" t="n"/>
      <c r="M1443" s="22" t="n"/>
      <c r="N1443" s="24" t="n"/>
      <c r="O1443" s="24" t="n"/>
    </row>
    <row r="1444">
      <c r="A1444" s="34" t="n"/>
      <c r="B1444" s="35">
        <f>IF(A1444="","",YEAR(A1444))</f>
        <v/>
      </c>
      <c r="C1444" s="36">
        <f>IF(A1444="","",MONTH(A1444))</f>
        <v/>
      </c>
      <c r="D1444" s="37">
        <f>IF(A1444="","","Q"&amp;ROUNDUP(MONTH(A1444)/3,0))</f>
        <v/>
      </c>
      <c r="E1444" s="18" t="n"/>
      <c r="F1444" s="18" t="n"/>
      <c r="G1444" s="40">
        <f>IFERROR(VLOOKUP(F1444,M2_거래처마스터!A:E,3,FALSE),"")</f>
        <v/>
      </c>
      <c r="H1444" s="18" t="n"/>
      <c r="I1444" s="19" t="n"/>
      <c r="J1444" s="20" t="n"/>
      <c r="K1444" s="39">
        <f>IF(AND(I1444&lt;&gt;"",J1444&lt;&gt;""),I1444*J1444,"")</f>
        <v/>
      </c>
      <c r="L1444" s="18" t="n"/>
      <c r="M1444" s="18" t="n"/>
      <c r="N1444" s="20" t="n"/>
      <c r="O1444" s="20" t="n"/>
    </row>
    <row r="1445">
      <c r="A1445" s="41" t="n"/>
      <c r="B1445" s="35">
        <f>IF(A1445="","",YEAR(A1445))</f>
        <v/>
      </c>
      <c r="C1445" s="36">
        <f>IF(A1445="","",MONTH(A1445))</f>
        <v/>
      </c>
      <c r="D1445" s="37">
        <f>IF(A1445="","","Q"&amp;ROUNDUP(MONTH(A1445)/3,0))</f>
        <v/>
      </c>
      <c r="E1445" s="22" t="n"/>
      <c r="F1445" s="22" t="n"/>
      <c r="G1445" s="40">
        <f>IFERROR(VLOOKUP(F1445,M2_거래처마스터!A:E,3,FALSE),"")</f>
        <v/>
      </c>
      <c r="H1445" s="22" t="n"/>
      <c r="I1445" s="23" t="n"/>
      <c r="J1445" s="24" t="n"/>
      <c r="K1445" s="39">
        <f>IF(AND(I1445&lt;&gt;"",J1445&lt;&gt;""),I1445*J1445,"")</f>
        <v/>
      </c>
      <c r="L1445" s="22" t="n"/>
      <c r="M1445" s="22" t="n"/>
      <c r="N1445" s="24" t="n"/>
      <c r="O1445" s="24" t="n"/>
    </row>
    <row r="1446">
      <c r="A1446" s="34" t="n"/>
      <c r="B1446" s="35">
        <f>IF(A1446="","",YEAR(A1446))</f>
        <v/>
      </c>
      <c r="C1446" s="36">
        <f>IF(A1446="","",MONTH(A1446))</f>
        <v/>
      </c>
      <c r="D1446" s="37">
        <f>IF(A1446="","","Q"&amp;ROUNDUP(MONTH(A1446)/3,0))</f>
        <v/>
      </c>
      <c r="E1446" s="18" t="n"/>
      <c r="F1446" s="18" t="n"/>
      <c r="G1446" s="40">
        <f>IFERROR(VLOOKUP(F1446,M2_거래처마스터!A:E,3,FALSE),"")</f>
        <v/>
      </c>
      <c r="H1446" s="18" t="n"/>
      <c r="I1446" s="19" t="n"/>
      <c r="J1446" s="20" t="n"/>
      <c r="K1446" s="39">
        <f>IF(AND(I1446&lt;&gt;"",J1446&lt;&gt;""),I1446*J1446,"")</f>
        <v/>
      </c>
      <c r="L1446" s="18" t="n"/>
      <c r="M1446" s="18" t="n"/>
      <c r="N1446" s="20" t="n"/>
      <c r="O1446" s="20" t="n"/>
    </row>
    <row r="1447">
      <c r="A1447" s="41" t="n"/>
      <c r="B1447" s="35">
        <f>IF(A1447="","",YEAR(A1447))</f>
        <v/>
      </c>
      <c r="C1447" s="36">
        <f>IF(A1447="","",MONTH(A1447))</f>
        <v/>
      </c>
      <c r="D1447" s="37">
        <f>IF(A1447="","","Q"&amp;ROUNDUP(MONTH(A1447)/3,0))</f>
        <v/>
      </c>
      <c r="E1447" s="22" t="n"/>
      <c r="F1447" s="22" t="n"/>
      <c r="G1447" s="40">
        <f>IFERROR(VLOOKUP(F1447,M2_거래처마스터!A:E,3,FALSE),"")</f>
        <v/>
      </c>
      <c r="H1447" s="22" t="n"/>
      <c r="I1447" s="23" t="n"/>
      <c r="J1447" s="24" t="n"/>
      <c r="K1447" s="39">
        <f>IF(AND(I1447&lt;&gt;"",J1447&lt;&gt;""),I1447*J1447,"")</f>
        <v/>
      </c>
      <c r="L1447" s="22" t="n"/>
      <c r="M1447" s="22" t="n"/>
      <c r="N1447" s="24" t="n"/>
      <c r="O1447" s="24" t="n"/>
    </row>
    <row r="1448">
      <c r="A1448" s="34" t="n"/>
      <c r="B1448" s="35">
        <f>IF(A1448="","",YEAR(A1448))</f>
        <v/>
      </c>
      <c r="C1448" s="36">
        <f>IF(A1448="","",MONTH(A1448))</f>
        <v/>
      </c>
      <c r="D1448" s="37">
        <f>IF(A1448="","","Q"&amp;ROUNDUP(MONTH(A1448)/3,0))</f>
        <v/>
      </c>
      <c r="E1448" s="18" t="n"/>
      <c r="F1448" s="18" t="n"/>
      <c r="G1448" s="40">
        <f>IFERROR(VLOOKUP(F1448,M2_거래처마스터!A:E,3,FALSE),"")</f>
        <v/>
      </c>
      <c r="H1448" s="18" t="n"/>
      <c r="I1448" s="19" t="n"/>
      <c r="J1448" s="20" t="n"/>
      <c r="K1448" s="39">
        <f>IF(AND(I1448&lt;&gt;"",J1448&lt;&gt;""),I1448*J1448,"")</f>
        <v/>
      </c>
      <c r="L1448" s="18" t="n"/>
      <c r="M1448" s="18" t="n"/>
      <c r="N1448" s="20" t="n"/>
      <c r="O1448" s="20" t="n"/>
    </row>
    <row r="1449">
      <c r="A1449" s="41" t="n"/>
      <c r="B1449" s="35">
        <f>IF(A1449="","",YEAR(A1449))</f>
        <v/>
      </c>
      <c r="C1449" s="36">
        <f>IF(A1449="","",MONTH(A1449))</f>
        <v/>
      </c>
      <c r="D1449" s="37">
        <f>IF(A1449="","","Q"&amp;ROUNDUP(MONTH(A1449)/3,0))</f>
        <v/>
      </c>
      <c r="E1449" s="22" t="n"/>
      <c r="F1449" s="22" t="n"/>
      <c r="G1449" s="40">
        <f>IFERROR(VLOOKUP(F1449,M2_거래처마스터!A:E,3,FALSE),"")</f>
        <v/>
      </c>
      <c r="H1449" s="22" t="n"/>
      <c r="I1449" s="23" t="n"/>
      <c r="J1449" s="24" t="n"/>
      <c r="K1449" s="39">
        <f>IF(AND(I1449&lt;&gt;"",J1449&lt;&gt;""),I1449*J1449,"")</f>
        <v/>
      </c>
      <c r="L1449" s="22" t="n"/>
      <c r="M1449" s="22" t="n"/>
      <c r="N1449" s="24" t="n"/>
      <c r="O1449" s="24" t="n"/>
    </row>
    <row r="1450">
      <c r="A1450" s="34" t="n"/>
      <c r="B1450" s="35">
        <f>IF(A1450="","",YEAR(A1450))</f>
        <v/>
      </c>
      <c r="C1450" s="36">
        <f>IF(A1450="","",MONTH(A1450))</f>
        <v/>
      </c>
      <c r="D1450" s="37">
        <f>IF(A1450="","","Q"&amp;ROUNDUP(MONTH(A1450)/3,0))</f>
        <v/>
      </c>
      <c r="E1450" s="18" t="n"/>
      <c r="F1450" s="18" t="n"/>
      <c r="G1450" s="40">
        <f>IFERROR(VLOOKUP(F1450,M2_거래처마스터!A:E,3,FALSE),"")</f>
        <v/>
      </c>
      <c r="H1450" s="18" t="n"/>
      <c r="I1450" s="19" t="n"/>
      <c r="J1450" s="20" t="n"/>
      <c r="K1450" s="39">
        <f>IF(AND(I1450&lt;&gt;"",J1450&lt;&gt;""),I1450*J1450,"")</f>
        <v/>
      </c>
      <c r="L1450" s="18" t="n"/>
      <c r="M1450" s="18" t="n"/>
      <c r="N1450" s="20" t="n"/>
      <c r="O1450" s="20" t="n"/>
    </row>
    <row r="1451">
      <c r="A1451" s="41" t="n"/>
      <c r="B1451" s="35">
        <f>IF(A1451="","",YEAR(A1451))</f>
        <v/>
      </c>
      <c r="C1451" s="36">
        <f>IF(A1451="","",MONTH(A1451))</f>
        <v/>
      </c>
      <c r="D1451" s="37">
        <f>IF(A1451="","","Q"&amp;ROUNDUP(MONTH(A1451)/3,0))</f>
        <v/>
      </c>
      <c r="E1451" s="22" t="n"/>
      <c r="F1451" s="22" t="n"/>
      <c r="G1451" s="40">
        <f>IFERROR(VLOOKUP(F1451,M2_거래처마스터!A:E,3,FALSE),"")</f>
        <v/>
      </c>
      <c r="H1451" s="22" t="n"/>
      <c r="I1451" s="23" t="n"/>
      <c r="J1451" s="24" t="n"/>
      <c r="K1451" s="39">
        <f>IF(AND(I1451&lt;&gt;"",J1451&lt;&gt;""),I1451*J1451,"")</f>
        <v/>
      </c>
      <c r="L1451" s="22" t="n"/>
      <c r="M1451" s="22" t="n"/>
      <c r="N1451" s="24" t="n"/>
      <c r="O1451" s="24" t="n"/>
    </row>
    <row r="1452">
      <c r="A1452" s="34" t="n"/>
      <c r="B1452" s="35">
        <f>IF(A1452="","",YEAR(A1452))</f>
        <v/>
      </c>
      <c r="C1452" s="36">
        <f>IF(A1452="","",MONTH(A1452))</f>
        <v/>
      </c>
      <c r="D1452" s="37">
        <f>IF(A1452="","","Q"&amp;ROUNDUP(MONTH(A1452)/3,0))</f>
        <v/>
      </c>
      <c r="E1452" s="18" t="n"/>
      <c r="F1452" s="18" t="n"/>
      <c r="G1452" s="40">
        <f>IFERROR(VLOOKUP(F1452,M2_거래처마스터!A:E,3,FALSE),"")</f>
        <v/>
      </c>
      <c r="H1452" s="18" t="n"/>
      <c r="I1452" s="19" t="n"/>
      <c r="J1452" s="20" t="n"/>
      <c r="K1452" s="39">
        <f>IF(AND(I1452&lt;&gt;"",J1452&lt;&gt;""),I1452*J1452,"")</f>
        <v/>
      </c>
      <c r="L1452" s="18" t="n"/>
      <c r="M1452" s="18" t="n"/>
      <c r="N1452" s="20" t="n"/>
      <c r="O1452" s="20" t="n"/>
    </row>
    <row r="1453">
      <c r="A1453" s="41" t="n"/>
      <c r="B1453" s="35">
        <f>IF(A1453="","",YEAR(A1453))</f>
        <v/>
      </c>
      <c r="C1453" s="36">
        <f>IF(A1453="","",MONTH(A1453))</f>
        <v/>
      </c>
      <c r="D1453" s="37">
        <f>IF(A1453="","","Q"&amp;ROUNDUP(MONTH(A1453)/3,0))</f>
        <v/>
      </c>
      <c r="E1453" s="22" t="n"/>
      <c r="F1453" s="22" t="n"/>
      <c r="G1453" s="40">
        <f>IFERROR(VLOOKUP(F1453,M2_거래처마스터!A:E,3,FALSE),"")</f>
        <v/>
      </c>
      <c r="H1453" s="22" t="n"/>
      <c r="I1453" s="23" t="n"/>
      <c r="J1453" s="24" t="n"/>
      <c r="K1453" s="39">
        <f>IF(AND(I1453&lt;&gt;"",J1453&lt;&gt;""),I1453*J1453,"")</f>
        <v/>
      </c>
      <c r="L1453" s="22" t="n"/>
      <c r="M1453" s="22" t="n"/>
      <c r="N1453" s="24" t="n"/>
      <c r="O1453" s="24" t="n"/>
    </row>
    <row r="1454">
      <c r="A1454" s="34" t="n"/>
      <c r="B1454" s="35">
        <f>IF(A1454="","",YEAR(A1454))</f>
        <v/>
      </c>
      <c r="C1454" s="36">
        <f>IF(A1454="","",MONTH(A1454))</f>
        <v/>
      </c>
      <c r="D1454" s="37">
        <f>IF(A1454="","","Q"&amp;ROUNDUP(MONTH(A1454)/3,0))</f>
        <v/>
      </c>
      <c r="E1454" s="18" t="n"/>
      <c r="F1454" s="18" t="n"/>
      <c r="G1454" s="40">
        <f>IFERROR(VLOOKUP(F1454,M2_거래처마스터!A:E,3,FALSE),"")</f>
        <v/>
      </c>
      <c r="H1454" s="18" t="n"/>
      <c r="I1454" s="19" t="n"/>
      <c r="J1454" s="20" t="n"/>
      <c r="K1454" s="39">
        <f>IF(AND(I1454&lt;&gt;"",J1454&lt;&gt;""),I1454*J1454,"")</f>
        <v/>
      </c>
      <c r="L1454" s="18" t="n"/>
      <c r="M1454" s="18" t="n"/>
      <c r="N1454" s="20" t="n"/>
      <c r="O1454" s="20" t="n"/>
    </row>
    <row r="1455">
      <c r="A1455" s="41" t="n"/>
      <c r="B1455" s="35">
        <f>IF(A1455="","",YEAR(A1455))</f>
        <v/>
      </c>
      <c r="C1455" s="36">
        <f>IF(A1455="","",MONTH(A1455))</f>
        <v/>
      </c>
      <c r="D1455" s="37">
        <f>IF(A1455="","","Q"&amp;ROUNDUP(MONTH(A1455)/3,0))</f>
        <v/>
      </c>
      <c r="E1455" s="22" t="n"/>
      <c r="F1455" s="22" t="n"/>
      <c r="G1455" s="40">
        <f>IFERROR(VLOOKUP(F1455,M2_거래처마스터!A:E,3,FALSE),"")</f>
        <v/>
      </c>
      <c r="H1455" s="22" t="n"/>
      <c r="I1455" s="23" t="n"/>
      <c r="J1455" s="24" t="n"/>
      <c r="K1455" s="39">
        <f>IF(AND(I1455&lt;&gt;"",J1455&lt;&gt;""),I1455*J1455,"")</f>
        <v/>
      </c>
      <c r="L1455" s="22" t="n"/>
      <c r="M1455" s="22" t="n"/>
      <c r="N1455" s="24" t="n"/>
      <c r="O1455" s="24" t="n"/>
    </row>
    <row r="1456">
      <c r="A1456" s="34" t="n"/>
      <c r="B1456" s="35">
        <f>IF(A1456="","",YEAR(A1456))</f>
        <v/>
      </c>
      <c r="C1456" s="36">
        <f>IF(A1456="","",MONTH(A1456))</f>
        <v/>
      </c>
      <c r="D1456" s="37">
        <f>IF(A1456="","","Q"&amp;ROUNDUP(MONTH(A1456)/3,0))</f>
        <v/>
      </c>
      <c r="E1456" s="18" t="n"/>
      <c r="F1456" s="18" t="n"/>
      <c r="G1456" s="40">
        <f>IFERROR(VLOOKUP(F1456,M2_거래처마스터!A:E,3,FALSE),"")</f>
        <v/>
      </c>
      <c r="H1456" s="18" t="n"/>
      <c r="I1456" s="19" t="n"/>
      <c r="J1456" s="20" t="n"/>
      <c r="K1456" s="39">
        <f>IF(AND(I1456&lt;&gt;"",J1456&lt;&gt;""),I1456*J1456,"")</f>
        <v/>
      </c>
      <c r="L1456" s="18" t="n"/>
      <c r="M1456" s="18" t="n"/>
      <c r="N1456" s="20" t="n"/>
      <c r="O1456" s="20" t="n"/>
    </row>
    <row r="1457">
      <c r="A1457" s="41" t="n"/>
      <c r="B1457" s="35">
        <f>IF(A1457="","",YEAR(A1457))</f>
        <v/>
      </c>
      <c r="C1457" s="36">
        <f>IF(A1457="","",MONTH(A1457))</f>
        <v/>
      </c>
      <c r="D1457" s="37">
        <f>IF(A1457="","","Q"&amp;ROUNDUP(MONTH(A1457)/3,0))</f>
        <v/>
      </c>
      <c r="E1457" s="22" t="n"/>
      <c r="F1457" s="22" t="n"/>
      <c r="G1457" s="40">
        <f>IFERROR(VLOOKUP(F1457,M2_거래처마스터!A:E,3,FALSE),"")</f>
        <v/>
      </c>
      <c r="H1457" s="22" t="n"/>
      <c r="I1457" s="23" t="n"/>
      <c r="J1457" s="24" t="n"/>
      <c r="K1457" s="39">
        <f>IF(AND(I1457&lt;&gt;"",J1457&lt;&gt;""),I1457*J1457,"")</f>
        <v/>
      </c>
      <c r="L1457" s="22" t="n"/>
      <c r="M1457" s="22" t="n"/>
      <c r="N1457" s="24" t="n"/>
      <c r="O1457" s="24" t="n"/>
    </row>
    <row r="1458">
      <c r="A1458" s="34" t="n"/>
      <c r="B1458" s="35">
        <f>IF(A1458="","",YEAR(A1458))</f>
        <v/>
      </c>
      <c r="C1458" s="36">
        <f>IF(A1458="","",MONTH(A1458))</f>
        <v/>
      </c>
      <c r="D1458" s="37">
        <f>IF(A1458="","","Q"&amp;ROUNDUP(MONTH(A1458)/3,0))</f>
        <v/>
      </c>
      <c r="E1458" s="18" t="n"/>
      <c r="F1458" s="18" t="n"/>
      <c r="G1458" s="40">
        <f>IFERROR(VLOOKUP(F1458,M2_거래처마스터!A:E,3,FALSE),"")</f>
        <v/>
      </c>
      <c r="H1458" s="18" t="n"/>
      <c r="I1458" s="19" t="n"/>
      <c r="J1458" s="20" t="n"/>
      <c r="K1458" s="39">
        <f>IF(AND(I1458&lt;&gt;"",J1458&lt;&gt;""),I1458*J1458,"")</f>
        <v/>
      </c>
      <c r="L1458" s="18" t="n"/>
      <c r="M1458" s="18" t="n"/>
      <c r="N1458" s="20" t="n"/>
      <c r="O1458" s="20" t="n"/>
    </row>
    <row r="1459">
      <c r="A1459" s="41" t="n"/>
      <c r="B1459" s="35">
        <f>IF(A1459="","",YEAR(A1459))</f>
        <v/>
      </c>
      <c r="C1459" s="36">
        <f>IF(A1459="","",MONTH(A1459))</f>
        <v/>
      </c>
      <c r="D1459" s="37">
        <f>IF(A1459="","","Q"&amp;ROUNDUP(MONTH(A1459)/3,0))</f>
        <v/>
      </c>
      <c r="E1459" s="22" t="n"/>
      <c r="F1459" s="22" t="n"/>
      <c r="G1459" s="40">
        <f>IFERROR(VLOOKUP(F1459,M2_거래처마스터!A:E,3,FALSE),"")</f>
        <v/>
      </c>
      <c r="H1459" s="22" t="n"/>
      <c r="I1459" s="23" t="n"/>
      <c r="J1459" s="24" t="n"/>
      <c r="K1459" s="39">
        <f>IF(AND(I1459&lt;&gt;"",J1459&lt;&gt;""),I1459*J1459,"")</f>
        <v/>
      </c>
      <c r="L1459" s="22" t="n"/>
      <c r="M1459" s="22" t="n"/>
      <c r="N1459" s="24" t="n"/>
      <c r="O1459" s="24" t="n"/>
    </row>
    <row r="1460">
      <c r="A1460" s="34" t="n"/>
      <c r="B1460" s="35">
        <f>IF(A1460="","",YEAR(A1460))</f>
        <v/>
      </c>
      <c r="C1460" s="36">
        <f>IF(A1460="","",MONTH(A1460))</f>
        <v/>
      </c>
      <c r="D1460" s="37">
        <f>IF(A1460="","","Q"&amp;ROUNDUP(MONTH(A1460)/3,0))</f>
        <v/>
      </c>
      <c r="E1460" s="18" t="n"/>
      <c r="F1460" s="18" t="n"/>
      <c r="G1460" s="40">
        <f>IFERROR(VLOOKUP(F1460,M2_거래처마스터!A:E,3,FALSE),"")</f>
        <v/>
      </c>
      <c r="H1460" s="18" t="n"/>
      <c r="I1460" s="19" t="n"/>
      <c r="J1460" s="20" t="n"/>
      <c r="K1460" s="39">
        <f>IF(AND(I1460&lt;&gt;"",J1460&lt;&gt;""),I1460*J1460,"")</f>
        <v/>
      </c>
      <c r="L1460" s="18" t="n"/>
      <c r="M1460" s="18" t="n"/>
      <c r="N1460" s="20" t="n"/>
      <c r="O1460" s="20" t="n"/>
    </row>
    <row r="1461">
      <c r="A1461" s="41" t="n"/>
      <c r="B1461" s="35">
        <f>IF(A1461="","",YEAR(A1461))</f>
        <v/>
      </c>
      <c r="C1461" s="36">
        <f>IF(A1461="","",MONTH(A1461))</f>
        <v/>
      </c>
      <c r="D1461" s="37">
        <f>IF(A1461="","","Q"&amp;ROUNDUP(MONTH(A1461)/3,0))</f>
        <v/>
      </c>
      <c r="E1461" s="22" t="n"/>
      <c r="F1461" s="22" t="n"/>
      <c r="G1461" s="40">
        <f>IFERROR(VLOOKUP(F1461,M2_거래처마스터!A:E,3,FALSE),"")</f>
        <v/>
      </c>
      <c r="H1461" s="22" t="n"/>
      <c r="I1461" s="23" t="n"/>
      <c r="J1461" s="24" t="n"/>
      <c r="K1461" s="39">
        <f>IF(AND(I1461&lt;&gt;"",J1461&lt;&gt;""),I1461*J1461,"")</f>
        <v/>
      </c>
      <c r="L1461" s="22" t="n"/>
      <c r="M1461" s="22" t="n"/>
      <c r="N1461" s="24" t="n"/>
      <c r="O1461" s="24" t="n"/>
    </row>
    <row r="1462">
      <c r="A1462" s="34" t="n"/>
      <c r="B1462" s="35">
        <f>IF(A1462="","",YEAR(A1462))</f>
        <v/>
      </c>
      <c r="C1462" s="36">
        <f>IF(A1462="","",MONTH(A1462))</f>
        <v/>
      </c>
      <c r="D1462" s="37">
        <f>IF(A1462="","","Q"&amp;ROUNDUP(MONTH(A1462)/3,0))</f>
        <v/>
      </c>
      <c r="E1462" s="18" t="n"/>
      <c r="F1462" s="18" t="n"/>
      <c r="G1462" s="40">
        <f>IFERROR(VLOOKUP(F1462,M2_거래처마스터!A:E,3,FALSE),"")</f>
        <v/>
      </c>
      <c r="H1462" s="18" t="n"/>
      <c r="I1462" s="19" t="n"/>
      <c r="J1462" s="20" t="n"/>
      <c r="K1462" s="39">
        <f>IF(AND(I1462&lt;&gt;"",J1462&lt;&gt;""),I1462*J1462,"")</f>
        <v/>
      </c>
      <c r="L1462" s="18" t="n"/>
      <c r="M1462" s="18" t="n"/>
      <c r="N1462" s="20" t="n"/>
      <c r="O1462" s="20" t="n"/>
    </row>
    <row r="1463">
      <c r="A1463" s="41" t="n"/>
      <c r="B1463" s="35">
        <f>IF(A1463="","",YEAR(A1463))</f>
        <v/>
      </c>
      <c r="C1463" s="36">
        <f>IF(A1463="","",MONTH(A1463))</f>
        <v/>
      </c>
      <c r="D1463" s="37">
        <f>IF(A1463="","","Q"&amp;ROUNDUP(MONTH(A1463)/3,0))</f>
        <v/>
      </c>
      <c r="E1463" s="22" t="n"/>
      <c r="F1463" s="22" t="n"/>
      <c r="G1463" s="40">
        <f>IFERROR(VLOOKUP(F1463,M2_거래처마스터!A:E,3,FALSE),"")</f>
        <v/>
      </c>
      <c r="H1463" s="22" t="n"/>
      <c r="I1463" s="23" t="n"/>
      <c r="J1463" s="24" t="n"/>
      <c r="K1463" s="39">
        <f>IF(AND(I1463&lt;&gt;"",J1463&lt;&gt;""),I1463*J1463,"")</f>
        <v/>
      </c>
      <c r="L1463" s="22" t="n"/>
      <c r="M1463" s="22" t="n"/>
      <c r="N1463" s="24" t="n"/>
      <c r="O1463" s="24" t="n"/>
    </row>
    <row r="1464">
      <c r="A1464" s="34" t="n"/>
      <c r="B1464" s="35">
        <f>IF(A1464="","",YEAR(A1464))</f>
        <v/>
      </c>
      <c r="C1464" s="36">
        <f>IF(A1464="","",MONTH(A1464))</f>
        <v/>
      </c>
      <c r="D1464" s="37">
        <f>IF(A1464="","","Q"&amp;ROUNDUP(MONTH(A1464)/3,0))</f>
        <v/>
      </c>
      <c r="E1464" s="18" t="n"/>
      <c r="F1464" s="18" t="n"/>
      <c r="G1464" s="40">
        <f>IFERROR(VLOOKUP(F1464,M2_거래처마스터!A:E,3,FALSE),"")</f>
        <v/>
      </c>
      <c r="H1464" s="18" t="n"/>
      <c r="I1464" s="19" t="n"/>
      <c r="J1464" s="20" t="n"/>
      <c r="K1464" s="39">
        <f>IF(AND(I1464&lt;&gt;"",J1464&lt;&gt;""),I1464*J1464,"")</f>
        <v/>
      </c>
      <c r="L1464" s="18" t="n"/>
      <c r="M1464" s="18" t="n"/>
      <c r="N1464" s="20" t="n"/>
      <c r="O1464" s="20" t="n"/>
    </row>
    <row r="1465">
      <c r="A1465" s="41" t="n"/>
      <c r="B1465" s="35">
        <f>IF(A1465="","",YEAR(A1465))</f>
        <v/>
      </c>
      <c r="C1465" s="36">
        <f>IF(A1465="","",MONTH(A1465))</f>
        <v/>
      </c>
      <c r="D1465" s="37">
        <f>IF(A1465="","","Q"&amp;ROUNDUP(MONTH(A1465)/3,0))</f>
        <v/>
      </c>
      <c r="E1465" s="22" t="n"/>
      <c r="F1465" s="22" t="n"/>
      <c r="G1465" s="40">
        <f>IFERROR(VLOOKUP(F1465,M2_거래처마스터!A:E,3,FALSE),"")</f>
        <v/>
      </c>
      <c r="H1465" s="22" t="n"/>
      <c r="I1465" s="23" t="n"/>
      <c r="J1465" s="24" t="n"/>
      <c r="K1465" s="39">
        <f>IF(AND(I1465&lt;&gt;"",J1465&lt;&gt;""),I1465*J1465,"")</f>
        <v/>
      </c>
      <c r="L1465" s="22" t="n"/>
      <c r="M1465" s="22" t="n"/>
      <c r="N1465" s="24" t="n"/>
      <c r="O1465" s="24" t="n"/>
    </row>
    <row r="1466">
      <c r="A1466" s="34" t="n"/>
      <c r="B1466" s="35">
        <f>IF(A1466="","",YEAR(A1466))</f>
        <v/>
      </c>
      <c r="C1466" s="36">
        <f>IF(A1466="","",MONTH(A1466))</f>
        <v/>
      </c>
      <c r="D1466" s="37">
        <f>IF(A1466="","","Q"&amp;ROUNDUP(MONTH(A1466)/3,0))</f>
        <v/>
      </c>
      <c r="E1466" s="18" t="n"/>
      <c r="F1466" s="18" t="n"/>
      <c r="G1466" s="40">
        <f>IFERROR(VLOOKUP(F1466,M2_거래처마스터!A:E,3,FALSE),"")</f>
        <v/>
      </c>
      <c r="H1466" s="18" t="n"/>
      <c r="I1466" s="19" t="n"/>
      <c r="J1466" s="20" t="n"/>
      <c r="K1466" s="39">
        <f>IF(AND(I1466&lt;&gt;"",J1466&lt;&gt;""),I1466*J1466,"")</f>
        <v/>
      </c>
      <c r="L1466" s="18" t="n"/>
      <c r="M1466" s="18" t="n"/>
      <c r="N1466" s="20" t="n"/>
      <c r="O1466" s="20" t="n"/>
    </row>
    <row r="1467">
      <c r="A1467" s="41" t="n"/>
      <c r="B1467" s="35">
        <f>IF(A1467="","",YEAR(A1467))</f>
        <v/>
      </c>
      <c r="C1467" s="36">
        <f>IF(A1467="","",MONTH(A1467))</f>
        <v/>
      </c>
      <c r="D1467" s="37">
        <f>IF(A1467="","","Q"&amp;ROUNDUP(MONTH(A1467)/3,0))</f>
        <v/>
      </c>
      <c r="E1467" s="22" t="n"/>
      <c r="F1467" s="22" t="n"/>
      <c r="G1467" s="40">
        <f>IFERROR(VLOOKUP(F1467,M2_거래처마스터!A:E,3,FALSE),"")</f>
        <v/>
      </c>
      <c r="H1467" s="22" t="n"/>
      <c r="I1467" s="23" t="n"/>
      <c r="J1467" s="24" t="n"/>
      <c r="K1467" s="39">
        <f>IF(AND(I1467&lt;&gt;"",J1467&lt;&gt;""),I1467*J1467,"")</f>
        <v/>
      </c>
      <c r="L1467" s="22" t="n"/>
      <c r="M1467" s="22" t="n"/>
      <c r="N1467" s="24" t="n"/>
      <c r="O1467" s="24" t="n"/>
    </row>
    <row r="1468">
      <c r="A1468" s="34" t="n"/>
      <c r="B1468" s="35">
        <f>IF(A1468="","",YEAR(A1468))</f>
        <v/>
      </c>
      <c r="C1468" s="36">
        <f>IF(A1468="","",MONTH(A1468))</f>
        <v/>
      </c>
      <c r="D1468" s="37">
        <f>IF(A1468="","","Q"&amp;ROUNDUP(MONTH(A1468)/3,0))</f>
        <v/>
      </c>
      <c r="E1468" s="18" t="n"/>
      <c r="F1468" s="18" t="n"/>
      <c r="G1468" s="40">
        <f>IFERROR(VLOOKUP(F1468,M2_거래처마스터!A:E,3,FALSE),"")</f>
        <v/>
      </c>
      <c r="H1468" s="18" t="n"/>
      <c r="I1468" s="19" t="n"/>
      <c r="J1468" s="20" t="n"/>
      <c r="K1468" s="39">
        <f>IF(AND(I1468&lt;&gt;"",J1468&lt;&gt;""),I1468*J1468,"")</f>
        <v/>
      </c>
      <c r="L1468" s="18" t="n"/>
      <c r="M1468" s="18" t="n"/>
      <c r="N1468" s="20" t="n"/>
      <c r="O1468" s="20" t="n"/>
    </row>
    <row r="1469">
      <c r="A1469" s="41" t="n"/>
      <c r="B1469" s="35">
        <f>IF(A1469="","",YEAR(A1469))</f>
        <v/>
      </c>
      <c r="C1469" s="36">
        <f>IF(A1469="","",MONTH(A1469))</f>
        <v/>
      </c>
      <c r="D1469" s="37">
        <f>IF(A1469="","","Q"&amp;ROUNDUP(MONTH(A1469)/3,0))</f>
        <v/>
      </c>
      <c r="E1469" s="22" t="n"/>
      <c r="F1469" s="22" t="n"/>
      <c r="G1469" s="40">
        <f>IFERROR(VLOOKUP(F1469,M2_거래처마스터!A:E,3,FALSE),"")</f>
        <v/>
      </c>
      <c r="H1469" s="22" t="n"/>
      <c r="I1469" s="23" t="n"/>
      <c r="J1469" s="24" t="n"/>
      <c r="K1469" s="39">
        <f>IF(AND(I1469&lt;&gt;"",J1469&lt;&gt;""),I1469*J1469,"")</f>
        <v/>
      </c>
      <c r="L1469" s="22" t="n"/>
      <c r="M1469" s="22" t="n"/>
      <c r="N1469" s="24" t="n"/>
      <c r="O1469" s="24" t="n"/>
    </row>
    <row r="1470">
      <c r="A1470" s="34" t="n"/>
      <c r="B1470" s="35">
        <f>IF(A1470="","",YEAR(A1470))</f>
        <v/>
      </c>
      <c r="C1470" s="36">
        <f>IF(A1470="","",MONTH(A1470))</f>
        <v/>
      </c>
      <c r="D1470" s="37">
        <f>IF(A1470="","","Q"&amp;ROUNDUP(MONTH(A1470)/3,0))</f>
        <v/>
      </c>
      <c r="E1470" s="18" t="n"/>
      <c r="F1470" s="18" t="n"/>
      <c r="G1470" s="40">
        <f>IFERROR(VLOOKUP(F1470,M2_거래처마스터!A:E,3,FALSE),"")</f>
        <v/>
      </c>
      <c r="H1470" s="18" t="n"/>
      <c r="I1470" s="19" t="n"/>
      <c r="J1470" s="20" t="n"/>
      <c r="K1470" s="39">
        <f>IF(AND(I1470&lt;&gt;"",J1470&lt;&gt;""),I1470*J1470,"")</f>
        <v/>
      </c>
      <c r="L1470" s="18" t="n"/>
      <c r="M1470" s="18" t="n"/>
      <c r="N1470" s="20" t="n"/>
      <c r="O1470" s="20" t="n"/>
    </row>
    <row r="1471">
      <c r="A1471" s="41" t="n"/>
      <c r="B1471" s="35">
        <f>IF(A1471="","",YEAR(A1471))</f>
        <v/>
      </c>
      <c r="C1471" s="36">
        <f>IF(A1471="","",MONTH(A1471))</f>
        <v/>
      </c>
      <c r="D1471" s="37">
        <f>IF(A1471="","","Q"&amp;ROUNDUP(MONTH(A1471)/3,0))</f>
        <v/>
      </c>
      <c r="E1471" s="22" t="n"/>
      <c r="F1471" s="22" t="n"/>
      <c r="G1471" s="40">
        <f>IFERROR(VLOOKUP(F1471,M2_거래처마스터!A:E,3,FALSE),"")</f>
        <v/>
      </c>
      <c r="H1471" s="22" t="n"/>
      <c r="I1471" s="23" t="n"/>
      <c r="J1471" s="24" t="n"/>
      <c r="K1471" s="39">
        <f>IF(AND(I1471&lt;&gt;"",J1471&lt;&gt;""),I1471*J1471,"")</f>
        <v/>
      </c>
      <c r="L1471" s="22" t="n"/>
      <c r="M1471" s="22" t="n"/>
      <c r="N1471" s="24" t="n"/>
      <c r="O1471" s="24" t="n"/>
    </row>
    <row r="1472">
      <c r="A1472" s="34" t="n"/>
      <c r="B1472" s="35">
        <f>IF(A1472="","",YEAR(A1472))</f>
        <v/>
      </c>
      <c r="C1472" s="36">
        <f>IF(A1472="","",MONTH(A1472))</f>
        <v/>
      </c>
      <c r="D1472" s="37">
        <f>IF(A1472="","","Q"&amp;ROUNDUP(MONTH(A1472)/3,0))</f>
        <v/>
      </c>
      <c r="E1472" s="18" t="n"/>
      <c r="F1472" s="18" t="n"/>
      <c r="G1472" s="40">
        <f>IFERROR(VLOOKUP(F1472,M2_거래처마스터!A:E,3,FALSE),"")</f>
        <v/>
      </c>
      <c r="H1472" s="18" t="n"/>
      <c r="I1472" s="19" t="n"/>
      <c r="J1472" s="20" t="n"/>
      <c r="K1472" s="39">
        <f>IF(AND(I1472&lt;&gt;"",J1472&lt;&gt;""),I1472*J1472,"")</f>
        <v/>
      </c>
      <c r="L1472" s="18" t="n"/>
      <c r="M1472" s="18" t="n"/>
      <c r="N1472" s="20" t="n"/>
      <c r="O1472" s="20" t="n"/>
    </row>
    <row r="1473">
      <c r="A1473" s="41" t="n"/>
      <c r="B1473" s="35">
        <f>IF(A1473="","",YEAR(A1473))</f>
        <v/>
      </c>
      <c r="C1473" s="36">
        <f>IF(A1473="","",MONTH(A1473))</f>
        <v/>
      </c>
      <c r="D1473" s="37">
        <f>IF(A1473="","","Q"&amp;ROUNDUP(MONTH(A1473)/3,0))</f>
        <v/>
      </c>
      <c r="E1473" s="22" t="n"/>
      <c r="F1473" s="22" t="n"/>
      <c r="G1473" s="40">
        <f>IFERROR(VLOOKUP(F1473,M2_거래처마스터!A:E,3,FALSE),"")</f>
        <v/>
      </c>
      <c r="H1473" s="22" t="n"/>
      <c r="I1473" s="23" t="n"/>
      <c r="J1473" s="24" t="n"/>
      <c r="K1473" s="39">
        <f>IF(AND(I1473&lt;&gt;"",J1473&lt;&gt;""),I1473*J1473,"")</f>
        <v/>
      </c>
      <c r="L1473" s="22" t="n"/>
      <c r="M1473" s="22" t="n"/>
      <c r="N1473" s="24" t="n"/>
      <c r="O1473" s="24" t="n"/>
    </row>
    <row r="1474">
      <c r="A1474" s="34" t="n"/>
      <c r="B1474" s="35">
        <f>IF(A1474="","",YEAR(A1474))</f>
        <v/>
      </c>
      <c r="C1474" s="36">
        <f>IF(A1474="","",MONTH(A1474))</f>
        <v/>
      </c>
      <c r="D1474" s="37">
        <f>IF(A1474="","","Q"&amp;ROUNDUP(MONTH(A1474)/3,0))</f>
        <v/>
      </c>
      <c r="E1474" s="18" t="n"/>
      <c r="F1474" s="18" t="n"/>
      <c r="G1474" s="40">
        <f>IFERROR(VLOOKUP(F1474,M2_거래처마스터!A:E,3,FALSE),"")</f>
        <v/>
      </c>
      <c r="H1474" s="18" t="n"/>
      <c r="I1474" s="19" t="n"/>
      <c r="J1474" s="20" t="n"/>
      <c r="K1474" s="39">
        <f>IF(AND(I1474&lt;&gt;"",J1474&lt;&gt;""),I1474*J1474,"")</f>
        <v/>
      </c>
      <c r="L1474" s="18" t="n"/>
      <c r="M1474" s="18" t="n"/>
      <c r="N1474" s="20" t="n"/>
      <c r="O1474" s="20" t="n"/>
    </row>
    <row r="1475">
      <c r="A1475" s="41" t="n"/>
      <c r="B1475" s="35">
        <f>IF(A1475="","",YEAR(A1475))</f>
        <v/>
      </c>
      <c r="C1475" s="36">
        <f>IF(A1475="","",MONTH(A1475))</f>
        <v/>
      </c>
      <c r="D1475" s="37">
        <f>IF(A1475="","","Q"&amp;ROUNDUP(MONTH(A1475)/3,0))</f>
        <v/>
      </c>
      <c r="E1475" s="22" t="n"/>
      <c r="F1475" s="22" t="n"/>
      <c r="G1475" s="40">
        <f>IFERROR(VLOOKUP(F1475,M2_거래처마스터!A:E,3,FALSE),"")</f>
        <v/>
      </c>
      <c r="H1475" s="22" t="n"/>
      <c r="I1475" s="23" t="n"/>
      <c r="J1475" s="24" t="n"/>
      <c r="K1475" s="39">
        <f>IF(AND(I1475&lt;&gt;"",J1475&lt;&gt;""),I1475*J1475,"")</f>
        <v/>
      </c>
      <c r="L1475" s="22" t="n"/>
      <c r="M1475" s="22" t="n"/>
      <c r="N1475" s="24" t="n"/>
      <c r="O1475" s="24" t="n"/>
    </row>
    <row r="1476">
      <c r="A1476" s="34" t="n"/>
      <c r="B1476" s="35">
        <f>IF(A1476="","",YEAR(A1476))</f>
        <v/>
      </c>
      <c r="C1476" s="36">
        <f>IF(A1476="","",MONTH(A1476))</f>
        <v/>
      </c>
      <c r="D1476" s="37">
        <f>IF(A1476="","","Q"&amp;ROUNDUP(MONTH(A1476)/3,0))</f>
        <v/>
      </c>
      <c r="E1476" s="18" t="n"/>
      <c r="F1476" s="18" t="n"/>
      <c r="G1476" s="40">
        <f>IFERROR(VLOOKUP(F1476,M2_거래처마스터!A:E,3,FALSE),"")</f>
        <v/>
      </c>
      <c r="H1476" s="18" t="n"/>
      <c r="I1476" s="19" t="n"/>
      <c r="J1476" s="20" t="n"/>
      <c r="K1476" s="39">
        <f>IF(AND(I1476&lt;&gt;"",J1476&lt;&gt;""),I1476*J1476,"")</f>
        <v/>
      </c>
      <c r="L1476" s="18" t="n"/>
      <c r="M1476" s="18" t="n"/>
      <c r="N1476" s="20" t="n"/>
      <c r="O1476" s="20" t="n"/>
    </row>
    <row r="1477">
      <c r="A1477" s="41" t="n"/>
      <c r="B1477" s="35">
        <f>IF(A1477="","",YEAR(A1477))</f>
        <v/>
      </c>
      <c r="C1477" s="36">
        <f>IF(A1477="","",MONTH(A1477))</f>
        <v/>
      </c>
      <c r="D1477" s="37">
        <f>IF(A1477="","","Q"&amp;ROUNDUP(MONTH(A1477)/3,0))</f>
        <v/>
      </c>
      <c r="E1477" s="22" t="n"/>
      <c r="F1477" s="22" t="n"/>
      <c r="G1477" s="40">
        <f>IFERROR(VLOOKUP(F1477,M2_거래처마스터!A:E,3,FALSE),"")</f>
        <v/>
      </c>
      <c r="H1477" s="22" t="n"/>
      <c r="I1477" s="23" t="n"/>
      <c r="J1477" s="24" t="n"/>
      <c r="K1477" s="39">
        <f>IF(AND(I1477&lt;&gt;"",J1477&lt;&gt;""),I1477*J1477,"")</f>
        <v/>
      </c>
      <c r="L1477" s="22" t="n"/>
      <c r="M1477" s="22" t="n"/>
      <c r="N1477" s="24" t="n"/>
      <c r="O1477" s="24" t="n"/>
    </row>
    <row r="1478">
      <c r="A1478" s="34" t="n"/>
      <c r="B1478" s="35">
        <f>IF(A1478="","",YEAR(A1478))</f>
        <v/>
      </c>
      <c r="C1478" s="36">
        <f>IF(A1478="","",MONTH(A1478))</f>
        <v/>
      </c>
      <c r="D1478" s="37">
        <f>IF(A1478="","","Q"&amp;ROUNDUP(MONTH(A1478)/3,0))</f>
        <v/>
      </c>
      <c r="E1478" s="18" t="n"/>
      <c r="F1478" s="18" t="n"/>
      <c r="G1478" s="40">
        <f>IFERROR(VLOOKUP(F1478,M2_거래처마스터!A:E,3,FALSE),"")</f>
        <v/>
      </c>
      <c r="H1478" s="18" t="n"/>
      <c r="I1478" s="19" t="n"/>
      <c r="J1478" s="20" t="n"/>
      <c r="K1478" s="39">
        <f>IF(AND(I1478&lt;&gt;"",J1478&lt;&gt;""),I1478*J1478,"")</f>
        <v/>
      </c>
      <c r="L1478" s="18" t="n"/>
      <c r="M1478" s="18" t="n"/>
      <c r="N1478" s="20" t="n"/>
      <c r="O1478" s="20" t="n"/>
    </row>
    <row r="1479">
      <c r="A1479" s="41" t="n"/>
      <c r="B1479" s="35">
        <f>IF(A1479="","",YEAR(A1479))</f>
        <v/>
      </c>
      <c r="C1479" s="36">
        <f>IF(A1479="","",MONTH(A1479))</f>
        <v/>
      </c>
      <c r="D1479" s="37">
        <f>IF(A1479="","","Q"&amp;ROUNDUP(MONTH(A1479)/3,0))</f>
        <v/>
      </c>
      <c r="E1479" s="22" t="n"/>
      <c r="F1479" s="22" t="n"/>
      <c r="G1479" s="40">
        <f>IFERROR(VLOOKUP(F1479,M2_거래처마스터!A:E,3,FALSE),"")</f>
        <v/>
      </c>
      <c r="H1479" s="22" t="n"/>
      <c r="I1479" s="23" t="n"/>
      <c r="J1479" s="24" t="n"/>
      <c r="K1479" s="39">
        <f>IF(AND(I1479&lt;&gt;"",J1479&lt;&gt;""),I1479*J1479,"")</f>
        <v/>
      </c>
      <c r="L1479" s="22" t="n"/>
      <c r="M1479" s="22" t="n"/>
      <c r="N1479" s="24" t="n"/>
      <c r="O1479" s="24" t="n"/>
    </row>
    <row r="1480">
      <c r="A1480" s="34" t="n"/>
      <c r="B1480" s="35">
        <f>IF(A1480="","",YEAR(A1480))</f>
        <v/>
      </c>
      <c r="C1480" s="36">
        <f>IF(A1480="","",MONTH(A1480))</f>
        <v/>
      </c>
      <c r="D1480" s="37">
        <f>IF(A1480="","","Q"&amp;ROUNDUP(MONTH(A1480)/3,0))</f>
        <v/>
      </c>
      <c r="E1480" s="18" t="n"/>
      <c r="F1480" s="18" t="n"/>
      <c r="G1480" s="40">
        <f>IFERROR(VLOOKUP(F1480,M2_거래처마스터!A:E,3,FALSE),"")</f>
        <v/>
      </c>
      <c r="H1480" s="18" t="n"/>
      <c r="I1480" s="19" t="n"/>
      <c r="J1480" s="20" t="n"/>
      <c r="K1480" s="39">
        <f>IF(AND(I1480&lt;&gt;"",J1480&lt;&gt;""),I1480*J1480,"")</f>
        <v/>
      </c>
      <c r="L1480" s="18" t="n"/>
      <c r="M1480" s="18" t="n"/>
      <c r="N1480" s="20" t="n"/>
      <c r="O1480" s="20" t="n"/>
    </row>
    <row r="1481">
      <c r="A1481" s="41" t="n"/>
      <c r="B1481" s="35">
        <f>IF(A1481="","",YEAR(A1481))</f>
        <v/>
      </c>
      <c r="C1481" s="36">
        <f>IF(A1481="","",MONTH(A1481))</f>
        <v/>
      </c>
      <c r="D1481" s="37">
        <f>IF(A1481="","","Q"&amp;ROUNDUP(MONTH(A1481)/3,0))</f>
        <v/>
      </c>
      <c r="E1481" s="22" t="n"/>
      <c r="F1481" s="22" t="n"/>
      <c r="G1481" s="40">
        <f>IFERROR(VLOOKUP(F1481,M2_거래처마스터!A:E,3,FALSE),"")</f>
        <v/>
      </c>
      <c r="H1481" s="22" t="n"/>
      <c r="I1481" s="23" t="n"/>
      <c r="J1481" s="24" t="n"/>
      <c r="K1481" s="39">
        <f>IF(AND(I1481&lt;&gt;"",J1481&lt;&gt;""),I1481*J1481,"")</f>
        <v/>
      </c>
      <c r="L1481" s="22" t="n"/>
      <c r="M1481" s="22" t="n"/>
      <c r="N1481" s="24" t="n"/>
      <c r="O1481" s="24" t="n"/>
    </row>
    <row r="1482">
      <c r="A1482" s="34" t="n"/>
      <c r="B1482" s="35">
        <f>IF(A1482="","",YEAR(A1482))</f>
        <v/>
      </c>
      <c r="C1482" s="36">
        <f>IF(A1482="","",MONTH(A1482))</f>
        <v/>
      </c>
      <c r="D1482" s="37">
        <f>IF(A1482="","","Q"&amp;ROUNDUP(MONTH(A1482)/3,0))</f>
        <v/>
      </c>
      <c r="E1482" s="18" t="n"/>
      <c r="F1482" s="18" t="n"/>
      <c r="G1482" s="40">
        <f>IFERROR(VLOOKUP(F1482,M2_거래처마스터!A:E,3,FALSE),"")</f>
        <v/>
      </c>
      <c r="H1482" s="18" t="n"/>
      <c r="I1482" s="19" t="n"/>
      <c r="J1482" s="20" t="n"/>
      <c r="K1482" s="39">
        <f>IF(AND(I1482&lt;&gt;"",J1482&lt;&gt;""),I1482*J1482,"")</f>
        <v/>
      </c>
      <c r="L1482" s="18" t="n"/>
      <c r="M1482" s="18" t="n"/>
      <c r="N1482" s="20" t="n"/>
      <c r="O1482" s="20" t="n"/>
    </row>
    <row r="1483">
      <c r="A1483" s="41" t="n"/>
      <c r="B1483" s="35">
        <f>IF(A1483="","",YEAR(A1483))</f>
        <v/>
      </c>
      <c r="C1483" s="36">
        <f>IF(A1483="","",MONTH(A1483))</f>
        <v/>
      </c>
      <c r="D1483" s="37">
        <f>IF(A1483="","","Q"&amp;ROUNDUP(MONTH(A1483)/3,0))</f>
        <v/>
      </c>
      <c r="E1483" s="22" t="n"/>
      <c r="F1483" s="22" t="n"/>
      <c r="G1483" s="40">
        <f>IFERROR(VLOOKUP(F1483,M2_거래처마스터!A:E,3,FALSE),"")</f>
        <v/>
      </c>
      <c r="H1483" s="22" t="n"/>
      <c r="I1483" s="23" t="n"/>
      <c r="J1483" s="24" t="n"/>
      <c r="K1483" s="39">
        <f>IF(AND(I1483&lt;&gt;"",J1483&lt;&gt;""),I1483*J1483,"")</f>
        <v/>
      </c>
      <c r="L1483" s="22" t="n"/>
      <c r="M1483" s="22" t="n"/>
      <c r="N1483" s="24" t="n"/>
      <c r="O1483" s="24" t="n"/>
    </row>
    <row r="1484">
      <c r="A1484" s="34" t="n"/>
      <c r="B1484" s="35">
        <f>IF(A1484="","",YEAR(A1484))</f>
        <v/>
      </c>
      <c r="C1484" s="36">
        <f>IF(A1484="","",MONTH(A1484))</f>
        <v/>
      </c>
      <c r="D1484" s="37">
        <f>IF(A1484="","","Q"&amp;ROUNDUP(MONTH(A1484)/3,0))</f>
        <v/>
      </c>
      <c r="E1484" s="18" t="n"/>
      <c r="F1484" s="18" t="n"/>
      <c r="G1484" s="40">
        <f>IFERROR(VLOOKUP(F1484,M2_거래처마스터!A:E,3,FALSE),"")</f>
        <v/>
      </c>
      <c r="H1484" s="18" t="n"/>
      <c r="I1484" s="19" t="n"/>
      <c r="J1484" s="20" t="n"/>
      <c r="K1484" s="39">
        <f>IF(AND(I1484&lt;&gt;"",J1484&lt;&gt;""),I1484*J1484,"")</f>
        <v/>
      </c>
      <c r="L1484" s="18" t="n"/>
      <c r="M1484" s="18" t="n"/>
      <c r="N1484" s="20" t="n"/>
      <c r="O1484" s="20" t="n"/>
    </row>
    <row r="1485">
      <c r="A1485" s="41" t="n"/>
      <c r="B1485" s="35">
        <f>IF(A1485="","",YEAR(A1485))</f>
        <v/>
      </c>
      <c r="C1485" s="36">
        <f>IF(A1485="","",MONTH(A1485))</f>
        <v/>
      </c>
      <c r="D1485" s="37">
        <f>IF(A1485="","","Q"&amp;ROUNDUP(MONTH(A1485)/3,0))</f>
        <v/>
      </c>
      <c r="E1485" s="22" t="n"/>
      <c r="F1485" s="22" t="n"/>
      <c r="G1485" s="40">
        <f>IFERROR(VLOOKUP(F1485,M2_거래처마스터!A:E,3,FALSE),"")</f>
        <v/>
      </c>
      <c r="H1485" s="22" t="n"/>
      <c r="I1485" s="23" t="n"/>
      <c r="J1485" s="24" t="n"/>
      <c r="K1485" s="39">
        <f>IF(AND(I1485&lt;&gt;"",J1485&lt;&gt;""),I1485*J1485,"")</f>
        <v/>
      </c>
      <c r="L1485" s="22" t="n"/>
      <c r="M1485" s="22" t="n"/>
      <c r="N1485" s="24" t="n"/>
      <c r="O1485" s="24" t="n"/>
    </row>
    <row r="1486">
      <c r="A1486" s="34" t="n"/>
      <c r="B1486" s="35">
        <f>IF(A1486="","",YEAR(A1486))</f>
        <v/>
      </c>
      <c r="C1486" s="36">
        <f>IF(A1486="","",MONTH(A1486))</f>
        <v/>
      </c>
      <c r="D1486" s="37">
        <f>IF(A1486="","","Q"&amp;ROUNDUP(MONTH(A1486)/3,0))</f>
        <v/>
      </c>
      <c r="E1486" s="18" t="n"/>
      <c r="F1486" s="18" t="n"/>
      <c r="G1486" s="40">
        <f>IFERROR(VLOOKUP(F1486,M2_거래처마스터!A:E,3,FALSE),"")</f>
        <v/>
      </c>
      <c r="H1486" s="18" t="n"/>
      <c r="I1486" s="19" t="n"/>
      <c r="J1486" s="20" t="n"/>
      <c r="K1486" s="39">
        <f>IF(AND(I1486&lt;&gt;"",J1486&lt;&gt;""),I1486*J1486,"")</f>
        <v/>
      </c>
      <c r="L1486" s="18" t="n"/>
      <c r="M1486" s="18" t="n"/>
      <c r="N1486" s="20" t="n"/>
      <c r="O1486" s="20" t="n"/>
    </row>
    <row r="1487">
      <c r="A1487" s="41" t="n"/>
      <c r="B1487" s="35">
        <f>IF(A1487="","",YEAR(A1487))</f>
        <v/>
      </c>
      <c r="C1487" s="36">
        <f>IF(A1487="","",MONTH(A1487))</f>
        <v/>
      </c>
      <c r="D1487" s="37">
        <f>IF(A1487="","","Q"&amp;ROUNDUP(MONTH(A1487)/3,0))</f>
        <v/>
      </c>
      <c r="E1487" s="22" t="n"/>
      <c r="F1487" s="22" t="n"/>
      <c r="G1487" s="40">
        <f>IFERROR(VLOOKUP(F1487,M2_거래처마스터!A:E,3,FALSE),"")</f>
        <v/>
      </c>
      <c r="H1487" s="22" t="n"/>
      <c r="I1487" s="23" t="n"/>
      <c r="J1487" s="24" t="n"/>
      <c r="K1487" s="39">
        <f>IF(AND(I1487&lt;&gt;"",J1487&lt;&gt;""),I1487*J1487,"")</f>
        <v/>
      </c>
      <c r="L1487" s="22" t="n"/>
      <c r="M1487" s="22" t="n"/>
      <c r="N1487" s="24" t="n"/>
      <c r="O1487" s="24" t="n"/>
    </row>
    <row r="1488">
      <c r="A1488" s="34" t="n"/>
      <c r="B1488" s="35">
        <f>IF(A1488="","",YEAR(A1488))</f>
        <v/>
      </c>
      <c r="C1488" s="36">
        <f>IF(A1488="","",MONTH(A1488))</f>
        <v/>
      </c>
      <c r="D1488" s="37">
        <f>IF(A1488="","","Q"&amp;ROUNDUP(MONTH(A1488)/3,0))</f>
        <v/>
      </c>
      <c r="E1488" s="18" t="n"/>
      <c r="F1488" s="18" t="n"/>
      <c r="G1488" s="40">
        <f>IFERROR(VLOOKUP(F1488,M2_거래처마스터!A:E,3,FALSE),"")</f>
        <v/>
      </c>
      <c r="H1488" s="18" t="n"/>
      <c r="I1488" s="19" t="n"/>
      <c r="J1488" s="20" t="n"/>
      <c r="K1488" s="39">
        <f>IF(AND(I1488&lt;&gt;"",J1488&lt;&gt;""),I1488*J1488,"")</f>
        <v/>
      </c>
      <c r="L1488" s="18" t="n"/>
      <c r="M1488" s="18" t="n"/>
      <c r="N1488" s="20" t="n"/>
      <c r="O1488" s="20" t="n"/>
    </row>
    <row r="1489">
      <c r="A1489" s="41" t="n"/>
      <c r="B1489" s="35">
        <f>IF(A1489="","",YEAR(A1489))</f>
        <v/>
      </c>
      <c r="C1489" s="36">
        <f>IF(A1489="","",MONTH(A1489))</f>
        <v/>
      </c>
      <c r="D1489" s="37">
        <f>IF(A1489="","","Q"&amp;ROUNDUP(MONTH(A1489)/3,0))</f>
        <v/>
      </c>
      <c r="E1489" s="22" t="n"/>
      <c r="F1489" s="22" t="n"/>
      <c r="G1489" s="40">
        <f>IFERROR(VLOOKUP(F1489,M2_거래처마스터!A:E,3,FALSE),"")</f>
        <v/>
      </c>
      <c r="H1489" s="22" t="n"/>
      <c r="I1489" s="23" t="n"/>
      <c r="J1489" s="24" t="n"/>
      <c r="K1489" s="39">
        <f>IF(AND(I1489&lt;&gt;"",J1489&lt;&gt;""),I1489*J1489,"")</f>
        <v/>
      </c>
      <c r="L1489" s="22" t="n"/>
      <c r="M1489" s="22" t="n"/>
      <c r="N1489" s="24" t="n"/>
      <c r="O1489" s="24" t="n"/>
    </row>
    <row r="1490">
      <c r="A1490" s="34" t="n"/>
      <c r="B1490" s="35">
        <f>IF(A1490="","",YEAR(A1490))</f>
        <v/>
      </c>
      <c r="C1490" s="36">
        <f>IF(A1490="","",MONTH(A1490))</f>
        <v/>
      </c>
      <c r="D1490" s="37">
        <f>IF(A1490="","","Q"&amp;ROUNDUP(MONTH(A1490)/3,0))</f>
        <v/>
      </c>
      <c r="E1490" s="18" t="n"/>
      <c r="F1490" s="18" t="n"/>
      <c r="G1490" s="40">
        <f>IFERROR(VLOOKUP(F1490,M2_거래처마스터!A:E,3,FALSE),"")</f>
        <v/>
      </c>
      <c r="H1490" s="18" t="n"/>
      <c r="I1490" s="19" t="n"/>
      <c r="J1490" s="20" t="n"/>
      <c r="K1490" s="39">
        <f>IF(AND(I1490&lt;&gt;"",J1490&lt;&gt;""),I1490*J1490,"")</f>
        <v/>
      </c>
      <c r="L1490" s="18" t="n"/>
      <c r="M1490" s="18" t="n"/>
      <c r="N1490" s="20" t="n"/>
      <c r="O1490" s="20" t="n"/>
    </row>
    <row r="1491">
      <c r="A1491" s="41" t="n"/>
      <c r="B1491" s="35">
        <f>IF(A1491="","",YEAR(A1491))</f>
        <v/>
      </c>
      <c r="C1491" s="36">
        <f>IF(A1491="","",MONTH(A1491))</f>
        <v/>
      </c>
      <c r="D1491" s="37">
        <f>IF(A1491="","","Q"&amp;ROUNDUP(MONTH(A1491)/3,0))</f>
        <v/>
      </c>
      <c r="E1491" s="22" t="n"/>
      <c r="F1491" s="22" t="n"/>
      <c r="G1491" s="40">
        <f>IFERROR(VLOOKUP(F1491,M2_거래처마스터!A:E,3,FALSE),"")</f>
        <v/>
      </c>
      <c r="H1491" s="22" t="n"/>
      <c r="I1491" s="23" t="n"/>
      <c r="J1491" s="24" t="n"/>
      <c r="K1491" s="39">
        <f>IF(AND(I1491&lt;&gt;"",J1491&lt;&gt;""),I1491*J1491,"")</f>
        <v/>
      </c>
      <c r="L1491" s="22" t="n"/>
      <c r="M1491" s="22" t="n"/>
      <c r="N1491" s="24" t="n"/>
      <c r="O1491" s="24" t="n"/>
    </row>
    <row r="1492">
      <c r="A1492" s="34" t="n"/>
      <c r="B1492" s="35">
        <f>IF(A1492="","",YEAR(A1492))</f>
        <v/>
      </c>
      <c r="C1492" s="36">
        <f>IF(A1492="","",MONTH(A1492))</f>
        <v/>
      </c>
      <c r="D1492" s="37">
        <f>IF(A1492="","","Q"&amp;ROUNDUP(MONTH(A1492)/3,0))</f>
        <v/>
      </c>
      <c r="E1492" s="18" t="n"/>
      <c r="F1492" s="18" t="n"/>
      <c r="G1492" s="40">
        <f>IFERROR(VLOOKUP(F1492,M2_거래처마스터!A:E,3,FALSE),"")</f>
        <v/>
      </c>
      <c r="H1492" s="18" t="n"/>
      <c r="I1492" s="19" t="n"/>
      <c r="J1492" s="20" t="n"/>
      <c r="K1492" s="39">
        <f>IF(AND(I1492&lt;&gt;"",J1492&lt;&gt;""),I1492*J1492,"")</f>
        <v/>
      </c>
      <c r="L1492" s="18" t="n"/>
      <c r="M1492" s="18" t="n"/>
      <c r="N1492" s="20" t="n"/>
      <c r="O1492" s="20" t="n"/>
    </row>
    <row r="1493">
      <c r="A1493" s="41" t="n"/>
      <c r="B1493" s="35">
        <f>IF(A1493="","",YEAR(A1493))</f>
        <v/>
      </c>
      <c r="C1493" s="36">
        <f>IF(A1493="","",MONTH(A1493))</f>
        <v/>
      </c>
      <c r="D1493" s="37">
        <f>IF(A1493="","","Q"&amp;ROUNDUP(MONTH(A1493)/3,0))</f>
        <v/>
      </c>
      <c r="E1493" s="22" t="n"/>
      <c r="F1493" s="22" t="n"/>
      <c r="G1493" s="40">
        <f>IFERROR(VLOOKUP(F1493,M2_거래처마스터!A:E,3,FALSE),"")</f>
        <v/>
      </c>
      <c r="H1493" s="22" t="n"/>
      <c r="I1493" s="23" t="n"/>
      <c r="J1493" s="24" t="n"/>
      <c r="K1493" s="39">
        <f>IF(AND(I1493&lt;&gt;"",J1493&lt;&gt;""),I1493*J1493,"")</f>
        <v/>
      </c>
      <c r="L1493" s="22" t="n"/>
      <c r="M1493" s="22" t="n"/>
      <c r="N1493" s="24" t="n"/>
      <c r="O1493" s="24" t="n"/>
    </row>
    <row r="1494">
      <c r="A1494" s="34" t="n"/>
      <c r="B1494" s="35">
        <f>IF(A1494="","",YEAR(A1494))</f>
        <v/>
      </c>
      <c r="C1494" s="36">
        <f>IF(A1494="","",MONTH(A1494))</f>
        <v/>
      </c>
      <c r="D1494" s="37">
        <f>IF(A1494="","","Q"&amp;ROUNDUP(MONTH(A1494)/3,0))</f>
        <v/>
      </c>
      <c r="E1494" s="18" t="n"/>
      <c r="F1494" s="18" t="n"/>
      <c r="G1494" s="40">
        <f>IFERROR(VLOOKUP(F1494,M2_거래처마스터!A:E,3,FALSE),"")</f>
        <v/>
      </c>
      <c r="H1494" s="18" t="n"/>
      <c r="I1494" s="19" t="n"/>
      <c r="J1494" s="20" t="n"/>
      <c r="K1494" s="39">
        <f>IF(AND(I1494&lt;&gt;"",J1494&lt;&gt;""),I1494*J1494,"")</f>
        <v/>
      </c>
      <c r="L1494" s="18" t="n"/>
      <c r="M1494" s="18" t="n"/>
      <c r="N1494" s="20" t="n"/>
      <c r="O1494" s="20" t="n"/>
    </row>
    <row r="1495">
      <c r="A1495" s="41" t="n"/>
      <c r="B1495" s="35">
        <f>IF(A1495="","",YEAR(A1495))</f>
        <v/>
      </c>
      <c r="C1495" s="36">
        <f>IF(A1495="","",MONTH(A1495))</f>
        <v/>
      </c>
      <c r="D1495" s="37">
        <f>IF(A1495="","","Q"&amp;ROUNDUP(MONTH(A1495)/3,0))</f>
        <v/>
      </c>
      <c r="E1495" s="22" t="n"/>
      <c r="F1495" s="22" t="n"/>
      <c r="G1495" s="40">
        <f>IFERROR(VLOOKUP(F1495,M2_거래처마스터!A:E,3,FALSE),"")</f>
        <v/>
      </c>
      <c r="H1495" s="22" t="n"/>
      <c r="I1495" s="23" t="n"/>
      <c r="J1495" s="24" t="n"/>
      <c r="K1495" s="39">
        <f>IF(AND(I1495&lt;&gt;"",J1495&lt;&gt;""),I1495*J1495,"")</f>
        <v/>
      </c>
      <c r="L1495" s="22" t="n"/>
      <c r="M1495" s="22" t="n"/>
      <c r="N1495" s="24" t="n"/>
      <c r="O1495" s="24" t="n"/>
    </row>
    <row r="1496">
      <c r="A1496" s="34" t="n"/>
      <c r="B1496" s="35">
        <f>IF(A1496="","",YEAR(A1496))</f>
        <v/>
      </c>
      <c r="C1496" s="36">
        <f>IF(A1496="","",MONTH(A1496))</f>
        <v/>
      </c>
      <c r="D1496" s="37">
        <f>IF(A1496="","","Q"&amp;ROUNDUP(MONTH(A1496)/3,0))</f>
        <v/>
      </c>
      <c r="E1496" s="18" t="n"/>
      <c r="F1496" s="18" t="n"/>
      <c r="G1496" s="40">
        <f>IFERROR(VLOOKUP(F1496,M2_거래처마스터!A:E,3,FALSE),"")</f>
        <v/>
      </c>
      <c r="H1496" s="18" t="n"/>
      <c r="I1496" s="19" t="n"/>
      <c r="J1496" s="20" t="n"/>
      <c r="K1496" s="39">
        <f>IF(AND(I1496&lt;&gt;"",J1496&lt;&gt;""),I1496*J1496,"")</f>
        <v/>
      </c>
      <c r="L1496" s="18" t="n"/>
      <c r="M1496" s="18" t="n"/>
      <c r="N1496" s="20" t="n"/>
      <c r="O1496" s="20" t="n"/>
    </row>
    <row r="1497">
      <c r="A1497" s="41" t="n"/>
      <c r="B1497" s="35">
        <f>IF(A1497="","",YEAR(A1497))</f>
        <v/>
      </c>
      <c r="C1497" s="36">
        <f>IF(A1497="","",MONTH(A1497))</f>
        <v/>
      </c>
      <c r="D1497" s="37">
        <f>IF(A1497="","","Q"&amp;ROUNDUP(MONTH(A1497)/3,0))</f>
        <v/>
      </c>
      <c r="E1497" s="22" t="n"/>
      <c r="F1497" s="22" t="n"/>
      <c r="G1497" s="40">
        <f>IFERROR(VLOOKUP(F1497,M2_거래처마스터!A:E,3,FALSE),"")</f>
        <v/>
      </c>
      <c r="H1497" s="22" t="n"/>
      <c r="I1497" s="23" t="n"/>
      <c r="J1497" s="24" t="n"/>
      <c r="K1497" s="39">
        <f>IF(AND(I1497&lt;&gt;"",J1497&lt;&gt;""),I1497*J1497,"")</f>
        <v/>
      </c>
      <c r="L1497" s="22" t="n"/>
      <c r="M1497" s="22" t="n"/>
      <c r="N1497" s="24" t="n"/>
      <c r="O1497" s="24" t="n"/>
    </row>
    <row r="1498">
      <c r="A1498" s="34" t="n"/>
      <c r="B1498" s="35">
        <f>IF(A1498="","",YEAR(A1498))</f>
        <v/>
      </c>
      <c r="C1498" s="36">
        <f>IF(A1498="","",MONTH(A1498))</f>
        <v/>
      </c>
      <c r="D1498" s="37">
        <f>IF(A1498="","","Q"&amp;ROUNDUP(MONTH(A1498)/3,0))</f>
        <v/>
      </c>
      <c r="E1498" s="18" t="n"/>
      <c r="F1498" s="18" t="n"/>
      <c r="G1498" s="40">
        <f>IFERROR(VLOOKUP(F1498,M2_거래처마스터!A:E,3,FALSE),"")</f>
        <v/>
      </c>
      <c r="H1498" s="18" t="n"/>
      <c r="I1498" s="19" t="n"/>
      <c r="J1498" s="20" t="n"/>
      <c r="K1498" s="39">
        <f>IF(AND(I1498&lt;&gt;"",J1498&lt;&gt;""),I1498*J1498,"")</f>
        <v/>
      </c>
      <c r="L1498" s="18" t="n"/>
      <c r="M1498" s="18" t="n"/>
      <c r="N1498" s="20" t="n"/>
      <c r="O1498" s="20" t="n"/>
    </row>
    <row r="1499">
      <c r="A1499" s="41" t="n"/>
      <c r="B1499" s="35">
        <f>IF(A1499="","",YEAR(A1499))</f>
        <v/>
      </c>
      <c r="C1499" s="36">
        <f>IF(A1499="","",MONTH(A1499))</f>
        <v/>
      </c>
      <c r="D1499" s="37">
        <f>IF(A1499="","","Q"&amp;ROUNDUP(MONTH(A1499)/3,0))</f>
        <v/>
      </c>
      <c r="E1499" s="22" t="n"/>
      <c r="F1499" s="22" t="n"/>
      <c r="G1499" s="40">
        <f>IFERROR(VLOOKUP(F1499,M2_거래처마스터!A:E,3,FALSE),"")</f>
        <v/>
      </c>
      <c r="H1499" s="22" t="n"/>
      <c r="I1499" s="23" t="n"/>
      <c r="J1499" s="24" t="n"/>
      <c r="K1499" s="39">
        <f>IF(AND(I1499&lt;&gt;"",J1499&lt;&gt;""),I1499*J1499,"")</f>
        <v/>
      </c>
      <c r="L1499" s="22" t="n"/>
      <c r="M1499" s="22" t="n"/>
      <c r="N1499" s="24" t="n"/>
      <c r="O1499" s="24" t="n"/>
    </row>
    <row r="1500">
      <c r="A1500" s="34" t="n"/>
      <c r="B1500" s="35">
        <f>IF(A1500="","",YEAR(A1500))</f>
        <v/>
      </c>
      <c r="C1500" s="36">
        <f>IF(A1500="","",MONTH(A1500))</f>
        <v/>
      </c>
      <c r="D1500" s="37">
        <f>IF(A1500="","","Q"&amp;ROUNDUP(MONTH(A1500)/3,0))</f>
        <v/>
      </c>
      <c r="E1500" s="18" t="n"/>
      <c r="F1500" s="18" t="n"/>
      <c r="G1500" s="40">
        <f>IFERROR(VLOOKUP(F1500,M2_거래처마스터!A:E,3,FALSE),"")</f>
        <v/>
      </c>
      <c r="H1500" s="18" t="n"/>
      <c r="I1500" s="19" t="n"/>
      <c r="J1500" s="20" t="n"/>
      <c r="K1500" s="39">
        <f>IF(AND(I1500&lt;&gt;"",J1500&lt;&gt;""),I1500*J1500,"")</f>
        <v/>
      </c>
      <c r="L1500" s="18" t="n"/>
      <c r="M1500" s="18" t="n"/>
      <c r="N1500" s="20" t="n"/>
      <c r="O1500" s="20" t="n"/>
    </row>
    <row r="1501">
      <c r="A1501" s="41" t="n"/>
      <c r="B1501" s="35">
        <f>IF(A1501="","",YEAR(A1501))</f>
        <v/>
      </c>
      <c r="C1501" s="36">
        <f>IF(A1501="","",MONTH(A1501))</f>
        <v/>
      </c>
      <c r="D1501" s="37">
        <f>IF(A1501="","","Q"&amp;ROUNDUP(MONTH(A1501)/3,0))</f>
        <v/>
      </c>
      <c r="E1501" s="22" t="n"/>
      <c r="F1501" s="22" t="n"/>
      <c r="G1501" s="40">
        <f>IFERROR(VLOOKUP(F1501,M2_거래처마스터!A:E,3,FALSE),"")</f>
        <v/>
      </c>
      <c r="H1501" s="22" t="n"/>
      <c r="I1501" s="23" t="n"/>
      <c r="J1501" s="24" t="n"/>
      <c r="K1501" s="39">
        <f>IF(AND(I1501&lt;&gt;"",J1501&lt;&gt;""),I1501*J1501,"")</f>
        <v/>
      </c>
      <c r="L1501" s="22" t="n"/>
      <c r="M1501" s="22" t="n"/>
      <c r="N1501" s="24" t="n"/>
      <c r="O1501" s="24" t="n"/>
    </row>
    <row r="1502">
      <c r="A1502" s="34" t="n"/>
      <c r="B1502" s="35">
        <f>IF(A1502="","",YEAR(A1502))</f>
        <v/>
      </c>
      <c r="C1502" s="36">
        <f>IF(A1502="","",MONTH(A1502))</f>
        <v/>
      </c>
      <c r="D1502" s="37">
        <f>IF(A1502="","","Q"&amp;ROUNDUP(MONTH(A1502)/3,0))</f>
        <v/>
      </c>
      <c r="E1502" s="18" t="n"/>
      <c r="F1502" s="18" t="n"/>
      <c r="G1502" s="40">
        <f>IFERROR(VLOOKUP(F1502,M2_거래처마스터!A:E,3,FALSE),"")</f>
        <v/>
      </c>
      <c r="H1502" s="18" t="n"/>
      <c r="I1502" s="19" t="n"/>
      <c r="J1502" s="20" t="n"/>
      <c r="K1502" s="39">
        <f>IF(AND(I1502&lt;&gt;"",J1502&lt;&gt;""),I1502*J1502,"")</f>
        <v/>
      </c>
      <c r="L1502" s="18" t="n"/>
      <c r="M1502" s="18" t="n"/>
      <c r="N1502" s="20" t="n"/>
      <c r="O1502" s="20" t="n"/>
    </row>
    <row r="1503">
      <c r="A1503" s="41" t="n"/>
      <c r="B1503" s="35">
        <f>IF(A1503="","",YEAR(A1503))</f>
        <v/>
      </c>
      <c r="C1503" s="36">
        <f>IF(A1503="","",MONTH(A1503))</f>
        <v/>
      </c>
      <c r="D1503" s="37">
        <f>IF(A1503="","","Q"&amp;ROUNDUP(MONTH(A1503)/3,0))</f>
        <v/>
      </c>
      <c r="E1503" s="22" t="n"/>
      <c r="F1503" s="22" t="n"/>
      <c r="G1503" s="40">
        <f>IFERROR(VLOOKUP(F1503,M2_거래처마스터!A:E,3,FALSE),"")</f>
        <v/>
      </c>
      <c r="H1503" s="22" t="n"/>
      <c r="I1503" s="23" t="n"/>
      <c r="J1503" s="24" t="n"/>
      <c r="K1503" s="39">
        <f>IF(AND(I1503&lt;&gt;"",J1503&lt;&gt;""),I1503*J1503,"")</f>
        <v/>
      </c>
      <c r="L1503" s="22" t="n"/>
      <c r="M1503" s="22" t="n"/>
      <c r="N1503" s="24" t="n"/>
      <c r="O1503" s="24" t="n"/>
    </row>
    <row r="1504">
      <c r="A1504" s="34" t="n"/>
      <c r="B1504" s="35">
        <f>IF(A1504="","",YEAR(A1504))</f>
        <v/>
      </c>
      <c r="C1504" s="36">
        <f>IF(A1504="","",MONTH(A1504))</f>
        <v/>
      </c>
      <c r="D1504" s="37">
        <f>IF(A1504="","","Q"&amp;ROUNDUP(MONTH(A1504)/3,0))</f>
        <v/>
      </c>
      <c r="E1504" s="18" t="n"/>
      <c r="F1504" s="18" t="n"/>
      <c r="G1504" s="40">
        <f>IFERROR(VLOOKUP(F1504,M2_거래처마스터!A:E,3,FALSE),"")</f>
        <v/>
      </c>
      <c r="H1504" s="18" t="n"/>
      <c r="I1504" s="19" t="n"/>
      <c r="J1504" s="20" t="n"/>
      <c r="K1504" s="39">
        <f>IF(AND(I1504&lt;&gt;"",J1504&lt;&gt;""),I1504*J1504,"")</f>
        <v/>
      </c>
      <c r="L1504" s="18" t="n"/>
      <c r="M1504" s="18" t="n"/>
      <c r="N1504" s="20" t="n"/>
      <c r="O1504" s="20" t="n"/>
    </row>
    <row r="1505">
      <c r="A1505" s="41" t="n"/>
      <c r="B1505" s="35">
        <f>IF(A1505="","",YEAR(A1505))</f>
        <v/>
      </c>
      <c r="C1505" s="36">
        <f>IF(A1505="","",MONTH(A1505))</f>
        <v/>
      </c>
      <c r="D1505" s="37">
        <f>IF(A1505="","","Q"&amp;ROUNDUP(MONTH(A1505)/3,0))</f>
        <v/>
      </c>
      <c r="E1505" s="22" t="n"/>
      <c r="F1505" s="22" t="n"/>
      <c r="G1505" s="40">
        <f>IFERROR(VLOOKUP(F1505,M2_거래처마스터!A:E,3,FALSE),"")</f>
        <v/>
      </c>
      <c r="H1505" s="22" t="n"/>
      <c r="I1505" s="23" t="n"/>
      <c r="J1505" s="24" t="n"/>
      <c r="K1505" s="39">
        <f>IF(AND(I1505&lt;&gt;"",J1505&lt;&gt;""),I1505*J1505,"")</f>
        <v/>
      </c>
      <c r="L1505" s="22" t="n"/>
      <c r="M1505" s="22" t="n"/>
      <c r="N1505" s="24" t="n"/>
      <c r="O1505" s="24" t="n"/>
    </row>
  </sheetData>
  <mergeCells count="3">
    <mergeCell ref="A1:O1"/>
    <mergeCell ref="A3:O3"/>
    <mergeCell ref="A2:O2"/>
  </mergeCells>
  <dataValidations count="2">
    <dataValidation sqref="E6:E1505" showDropDown="0" showInputMessage="0" showErrorMessage="0" allowBlank="1" type="list">
      <formula1>"양조장직판,D2C(스마트스토어),전통주채널,도매,B2B(레스토랑/호텔),체험·시음,증여샘플"</formula1>
    </dataValidation>
    <dataValidation sqref="H6:H1505" showDropDown="0" showInputMessage="0" showErrorMessage="0" allowBlank="1" type="list">
      <formula1>"WG-TJ-500,WG-TJ-750,WG-YJ-375,WG-YJ-500,WG-SJ-375,WG-SJ-500,WG-VG-250"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8A675"/>
    <outlinePr summaryBelow="1" summaryRight="1"/>
    <pageSetUpPr/>
  </sheetPr>
  <dimension ref="A1:K605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7" customWidth="1" min="3" max="3"/>
    <col width="18" customWidth="1" min="4" max="4"/>
    <col width="22" customWidth="1" min="5" max="5"/>
    <col width="12" customWidth="1" min="6" max="6"/>
    <col width="14" customWidth="1" min="7" max="7"/>
    <col width="14" customWidth="1" min="8" max="8"/>
    <col width="14" customWidth="1" min="9" max="9"/>
    <col width="10" customWidth="1" min="10" max="10"/>
    <col width="20" customWidth="1" min="11" max="11"/>
  </cols>
  <sheetData>
    <row r="1" ht="30" customHeight="1">
      <c r="A1" s="13" t="inlineStr">
        <is>
          <t>04. 재고 관리 (v4)</t>
        </is>
      </c>
    </row>
    <row r="2">
      <c r="A2" s="14" t="inlineStr">
        <is>
          <t>월말 마감 · 마이너스 재고 자동 빨강 표시 (조건부 서식)</t>
        </is>
      </c>
    </row>
    <row r="5" ht="32" customHeight="1">
      <c r="A5" s="8" t="inlineStr">
        <is>
          <t>기준월(YYYY-MM)</t>
        </is>
      </c>
      <c r="B5" s="32" t="inlineStr">
        <is>
          <t>연도</t>
        </is>
      </c>
      <c r="C5" s="32" t="inlineStr">
        <is>
          <t>월</t>
        </is>
      </c>
      <c r="D5" s="8" t="inlineStr">
        <is>
          <t>구분</t>
        </is>
      </c>
      <c r="E5" s="8" t="inlineStr">
        <is>
          <t>SKU/원료</t>
        </is>
      </c>
      <c r="F5" s="8" t="inlineStr">
        <is>
          <t>전월 이월</t>
        </is>
      </c>
      <c r="G5" s="8" t="inlineStr">
        <is>
          <t>당월 입고/생산</t>
        </is>
      </c>
      <c r="H5" s="8" t="inlineStr">
        <is>
          <t>당월 사용/출고</t>
        </is>
      </c>
      <c r="I5" s="32" t="inlineStr">
        <is>
          <t>이월(자동)</t>
        </is>
      </c>
      <c r="J5" s="8" t="inlineStr">
        <is>
          <t>단위</t>
        </is>
      </c>
      <c r="K5" s="8" t="inlineStr">
        <is>
          <t>비고</t>
        </is>
      </c>
    </row>
    <row r="6">
      <c r="A6" s="18" t="inlineStr">
        <is>
          <t>2026-05</t>
        </is>
      </c>
      <c r="B6" s="35">
        <f>IF(A6="","",VALUE(LEFT(A6,4)))</f>
        <v/>
      </c>
      <c r="C6" s="36">
        <f>IF(A6="","",VALUE(RIGHT(A6,2)))</f>
        <v/>
      </c>
      <c r="D6" s="18" t="inlineStr">
        <is>
          <t>제품 재고(주류)</t>
        </is>
      </c>
      <c r="E6" s="18" t="inlineStr">
        <is>
          <t>WG-TJ-500</t>
        </is>
      </c>
      <c r="F6" s="38" t="n">
        <v>30</v>
      </c>
      <c r="G6" s="38" t="n">
        <v>50</v>
      </c>
      <c r="H6" s="38" t="n">
        <v>25</v>
      </c>
      <c r="I6" s="43">
        <f>IF(AND(F6&lt;&gt;"",G6&lt;&gt;"",H6&lt;&gt;""),F6+G6-H6,"")</f>
        <v/>
      </c>
      <c r="J6" s="18" t="inlineStr">
        <is>
          <t>병</t>
        </is>
      </c>
      <c r="K6" s="18" t="n"/>
    </row>
    <row r="7">
      <c r="A7" s="22" t="n"/>
      <c r="B7" s="35">
        <f>IF(A7="","",VALUE(LEFT(A7,4)))</f>
        <v/>
      </c>
      <c r="C7" s="36">
        <f>IF(A7="","",VALUE(RIGHT(A7,2)))</f>
        <v/>
      </c>
      <c r="D7" s="22" t="n"/>
      <c r="E7" s="22" t="n"/>
      <c r="F7" s="42" t="n"/>
      <c r="G7" s="42" t="n"/>
      <c r="H7" s="42" t="n"/>
      <c r="I7" s="43">
        <f>IF(AND(F7&lt;&gt;"",G7&lt;&gt;"",H7&lt;&gt;""),F7+G7-H7,"")</f>
        <v/>
      </c>
      <c r="J7" s="22" t="n"/>
      <c r="K7" s="22" t="n"/>
    </row>
    <row r="8">
      <c r="A8" s="18" t="n"/>
      <c r="B8" s="35">
        <f>IF(A8="","",VALUE(LEFT(A8,4)))</f>
        <v/>
      </c>
      <c r="C8" s="36">
        <f>IF(A8="","",VALUE(RIGHT(A8,2)))</f>
        <v/>
      </c>
      <c r="D8" s="18" t="n"/>
      <c r="E8" s="18" t="n"/>
      <c r="F8" s="38" t="n"/>
      <c r="G8" s="38" t="n"/>
      <c r="H8" s="38" t="n"/>
      <c r="I8" s="43">
        <f>IF(AND(F8&lt;&gt;"",G8&lt;&gt;"",H8&lt;&gt;""),F8+G8-H8,"")</f>
        <v/>
      </c>
      <c r="J8" s="18" t="n"/>
      <c r="K8" s="18" t="n"/>
    </row>
    <row r="9">
      <c r="A9" s="22" t="n"/>
      <c r="B9" s="35">
        <f>IF(A9="","",VALUE(LEFT(A9,4)))</f>
        <v/>
      </c>
      <c r="C9" s="36">
        <f>IF(A9="","",VALUE(RIGHT(A9,2)))</f>
        <v/>
      </c>
      <c r="D9" s="22" t="n"/>
      <c r="E9" s="22" t="n"/>
      <c r="F9" s="42" t="n"/>
      <c r="G9" s="42" t="n"/>
      <c r="H9" s="42" t="n"/>
      <c r="I9" s="43">
        <f>IF(AND(F9&lt;&gt;"",G9&lt;&gt;"",H9&lt;&gt;""),F9+G9-H9,"")</f>
        <v/>
      </c>
      <c r="J9" s="22" t="n"/>
      <c r="K9" s="22" t="n"/>
    </row>
    <row r="10">
      <c r="A10" s="18" t="n"/>
      <c r="B10" s="35">
        <f>IF(A10="","",VALUE(LEFT(A10,4)))</f>
        <v/>
      </c>
      <c r="C10" s="36">
        <f>IF(A10="","",VALUE(RIGHT(A10,2)))</f>
        <v/>
      </c>
      <c r="D10" s="18" t="n"/>
      <c r="E10" s="18" t="n"/>
      <c r="F10" s="38" t="n"/>
      <c r="G10" s="38" t="n"/>
      <c r="H10" s="38" t="n"/>
      <c r="I10" s="43">
        <f>IF(AND(F10&lt;&gt;"",G10&lt;&gt;"",H10&lt;&gt;""),F10+G10-H10,"")</f>
        <v/>
      </c>
      <c r="J10" s="18" t="n"/>
      <c r="K10" s="18" t="n"/>
    </row>
    <row r="11">
      <c r="A11" s="22" t="n"/>
      <c r="B11" s="35">
        <f>IF(A11="","",VALUE(LEFT(A11,4)))</f>
        <v/>
      </c>
      <c r="C11" s="36">
        <f>IF(A11="","",VALUE(RIGHT(A11,2)))</f>
        <v/>
      </c>
      <c r="D11" s="22" t="n"/>
      <c r="E11" s="22" t="n"/>
      <c r="F11" s="42" t="n"/>
      <c r="G11" s="42" t="n"/>
      <c r="H11" s="42" t="n"/>
      <c r="I11" s="43">
        <f>IF(AND(F11&lt;&gt;"",G11&lt;&gt;"",H11&lt;&gt;""),F11+G11-H11,"")</f>
        <v/>
      </c>
      <c r="J11" s="22" t="n"/>
      <c r="K11" s="22" t="n"/>
    </row>
    <row r="12">
      <c r="A12" s="18" t="n"/>
      <c r="B12" s="35">
        <f>IF(A12="","",VALUE(LEFT(A12,4)))</f>
        <v/>
      </c>
      <c r="C12" s="36">
        <f>IF(A12="","",VALUE(RIGHT(A12,2)))</f>
        <v/>
      </c>
      <c r="D12" s="18" t="n"/>
      <c r="E12" s="18" t="n"/>
      <c r="F12" s="38" t="n"/>
      <c r="G12" s="38" t="n"/>
      <c r="H12" s="38" t="n"/>
      <c r="I12" s="43">
        <f>IF(AND(F12&lt;&gt;"",G12&lt;&gt;"",H12&lt;&gt;""),F12+G12-H12,"")</f>
        <v/>
      </c>
      <c r="J12" s="18" t="n"/>
      <c r="K12" s="18" t="n"/>
    </row>
    <row r="13">
      <c r="A13" s="22" t="n"/>
      <c r="B13" s="35">
        <f>IF(A13="","",VALUE(LEFT(A13,4)))</f>
        <v/>
      </c>
      <c r="C13" s="36">
        <f>IF(A13="","",VALUE(RIGHT(A13,2)))</f>
        <v/>
      </c>
      <c r="D13" s="22" t="n"/>
      <c r="E13" s="22" t="n"/>
      <c r="F13" s="42" t="n"/>
      <c r="G13" s="42" t="n"/>
      <c r="H13" s="42" t="n"/>
      <c r="I13" s="43">
        <f>IF(AND(F13&lt;&gt;"",G13&lt;&gt;"",H13&lt;&gt;""),F13+G13-H13,"")</f>
        <v/>
      </c>
      <c r="J13" s="22" t="n"/>
      <c r="K13" s="22" t="n"/>
    </row>
    <row r="14">
      <c r="A14" s="18" t="n"/>
      <c r="B14" s="35">
        <f>IF(A14="","",VALUE(LEFT(A14,4)))</f>
        <v/>
      </c>
      <c r="C14" s="36">
        <f>IF(A14="","",VALUE(RIGHT(A14,2)))</f>
        <v/>
      </c>
      <c r="D14" s="18" t="n"/>
      <c r="E14" s="18" t="n"/>
      <c r="F14" s="38" t="n"/>
      <c r="G14" s="38" t="n"/>
      <c r="H14" s="38" t="n"/>
      <c r="I14" s="43">
        <f>IF(AND(F14&lt;&gt;"",G14&lt;&gt;"",H14&lt;&gt;""),F14+G14-H14,"")</f>
        <v/>
      </c>
      <c r="J14" s="18" t="n"/>
      <c r="K14" s="18" t="n"/>
    </row>
    <row r="15">
      <c r="A15" s="22" t="n"/>
      <c r="B15" s="35">
        <f>IF(A15="","",VALUE(LEFT(A15,4)))</f>
        <v/>
      </c>
      <c r="C15" s="36">
        <f>IF(A15="","",VALUE(RIGHT(A15,2)))</f>
        <v/>
      </c>
      <c r="D15" s="22" t="n"/>
      <c r="E15" s="22" t="n"/>
      <c r="F15" s="42" t="n"/>
      <c r="G15" s="42" t="n"/>
      <c r="H15" s="42" t="n"/>
      <c r="I15" s="43">
        <f>IF(AND(F15&lt;&gt;"",G15&lt;&gt;"",H15&lt;&gt;""),F15+G15-H15,"")</f>
        <v/>
      </c>
      <c r="J15" s="22" t="n"/>
      <c r="K15" s="22" t="n"/>
    </row>
    <row r="16">
      <c r="A16" s="18" t="n"/>
      <c r="B16" s="35">
        <f>IF(A16="","",VALUE(LEFT(A16,4)))</f>
        <v/>
      </c>
      <c r="C16" s="36">
        <f>IF(A16="","",VALUE(RIGHT(A16,2)))</f>
        <v/>
      </c>
      <c r="D16" s="18" t="n"/>
      <c r="E16" s="18" t="n"/>
      <c r="F16" s="38" t="n"/>
      <c r="G16" s="38" t="n"/>
      <c r="H16" s="38" t="n"/>
      <c r="I16" s="43">
        <f>IF(AND(F16&lt;&gt;"",G16&lt;&gt;"",H16&lt;&gt;""),F16+G16-H16,"")</f>
        <v/>
      </c>
      <c r="J16" s="18" t="n"/>
      <c r="K16" s="18" t="n"/>
    </row>
    <row r="17">
      <c r="A17" s="22" t="n"/>
      <c r="B17" s="35">
        <f>IF(A17="","",VALUE(LEFT(A17,4)))</f>
        <v/>
      </c>
      <c r="C17" s="36">
        <f>IF(A17="","",VALUE(RIGHT(A17,2)))</f>
        <v/>
      </c>
      <c r="D17" s="22" t="n"/>
      <c r="E17" s="22" t="n"/>
      <c r="F17" s="42" t="n"/>
      <c r="G17" s="42" t="n"/>
      <c r="H17" s="42" t="n"/>
      <c r="I17" s="43">
        <f>IF(AND(F17&lt;&gt;"",G17&lt;&gt;"",H17&lt;&gt;""),F17+G17-H17,"")</f>
        <v/>
      </c>
      <c r="J17" s="22" t="n"/>
      <c r="K17" s="22" t="n"/>
    </row>
    <row r="18">
      <c r="A18" s="18" t="n"/>
      <c r="B18" s="35">
        <f>IF(A18="","",VALUE(LEFT(A18,4)))</f>
        <v/>
      </c>
      <c r="C18" s="36">
        <f>IF(A18="","",VALUE(RIGHT(A18,2)))</f>
        <v/>
      </c>
      <c r="D18" s="18" t="n"/>
      <c r="E18" s="18" t="n"/>
      <c r="F18" s="38" t="n"/>
      <c r="G18" s="38" t="n"/>
      <c r="H18" s="38" t="n"/>
      <c r="I18" s="43">
        <f>IF(AND(F18&lt;&gt;"",G18&lt;&gt;"",H18&lt;&gt;""),F18+G18-H18,"")</f>
        <v/>
      </c>
      <c r="J18" s="18" t="n"/>
      <c r="K18" s="18" t="n"/>
    </row>
    <row r="19">
      <c r="A19" s="22" t="n"/>
      <c r="B19" s="35">
        <f>IF(A19="","",VALUE(LEFT(A19,4)))</f>
        <v/>
      </c>
      <c r="C19" s="36">
        <f>IF(A19="","",VALUE(RIGHT(A19,2)))</f>
        <v/>
      </c>
      <c r="D19" s="22" t="n"/>
      <c r="E19" s="22" t="n"/>
      <c r="F19" s="42" t="n"/>
      <c r="G19" s="42" t="n"/>
      <c r="H19" s="42" t="n"/>
      <c r="I19" s="43">
        <f>IF(AND(F19&lt;&gt;"",G19&lt;&gt;"",H19&lt;&gt;""),F19+G19-H19,"")</f>
        <v/>
      </c>
      <c r="J19" s="22" t="n"/>
      <c r="K19" s="22" t="n"/>
    </row>
    <row r="20">
      <c r="A20" s="18" t="n"/>
      <c r="B20" s="35">
        <f>IF(A20="","",VALUE(LEFT(A20,4)))</f>
        <v/>
      </c>
      <c r="C20" s="36">
        <f>IF(A20="","",VALUE(RIGHT(A20,2)))</f>
        <v/>
      </c>
      <c r="D20" s="18" t="n"/>
      <c r="E20" s="18" t="n"/>
      <c r="F20" s="38" t="n"/>
      <c r="G20" s="38" t="n"/>
      <c r="H20" s="38" t="n"/>
      <c r="I20" s="43">
        <f>IF(AND(F20&lt;&gt;"",G20&lt;&gt;"",H20&lt;&gt;""),F20+G20-H20,"")</f>
        <v/>
      </c>
      <c r="J20" s="18" t="n"/>
      <c r="K20" s="18" t="n"/>
    </row>
    <row r="21">
      <c r="A21" s="22" t="n"/>
      <c r="B21" s="35">
        <f>IF(A21="","",VALUE(LEFT(A21,4)))</f>
        <v/>
      </c>
      <c r="C21" s="36">
        <f>IF(A21="","",VALUE(RIGHT(A21,2)))</f>
        <v/>
      </c>
      <c r="D21" s="22" t="n"/>
      <c r="E21" s="22" t="n"/>
      <c r="F21" s="42" t="n"/>
      <c r="G21" s="42" t="n"/>
      <c r="H21" s="42" t="n"/>
      <c r="I21" s="43">
        <f>IF(AND(F21&lt;&gt;"",G21&lt;&gt;"",H21&lt;&gt;""),F21+G21-H21,"")</f>
        <v/>
      </c>
      <c r="J21" s="22" t="n"/>
      <c r="K21" s="22" t="n"/>
    </row>
    <row r="22">
      <c r="A22" s="18" t="n"/>
      <c r="B22" s="35">
        <f>IF(A22="","",VALUE(LEFT(A22,4)))</f>
        <v/>
      </c>
      <c r="C22" s="36">
        <f>IF(A22="","",VALUE(RIGHT(A22,2)))</f>
        <v/>
      </c>
      <c r="D22" s="18" t="n"/>
      <c r="E22" s="18" t="n"/>
      <c r="F22" s="38" t="n"/>
      <c r="G22" s="38" t="n"/>
      <c r="H22" s="38" t="n"/>
      <c r="I22" s="43">
        <f>IF(AND(F22&lt;&gt;"",G22&lt;&gt;"",H22&lt;&gt;""),F22+G22-H22,"")</f>
        <v/>
      </c>
      <c r="J22" s="18" t="n"/>
      <c r="K22" s="18" t="n"/>
    </row>
    <row r="23">
      <c r="A23" s="22" t="n"/>
      <c r="B23" s="35">
        <f>IF(A23="","",VALUE(LEFT(A23,4)))</f>
        <v/>
      </c>
      <c r="C23" s="36">
        <f>IF(A23="","",VALUE(RIGHT(A23,2)))</f>
        <v/>
      </c>
      <c r="D23" s="22" t="n"/>
      <c r="E23" s="22" t="n"/>
      <c r="F23" s="42" t="n"/>
      <c r="G23" s="42" t="n"/>
      <c r="H23" s="42" t="n"/>
      <c r="I23" s="43">
        <f>IF(AND(F23&lt;&gt;"",G23&lt;&gt;"",H23&lt;&gt;""),F23+G23-H23,"")</f>
        <v/>
      </c>
      <c r="J23" s="22" t="n"/>
      <c r="K23" s="22" t="n"/>
    </row>
    <row r="24">
      <c r="A24" s="18" t="n"/>
      <c r="B24" s="35">
        <f>IF(A24="","",VALUE(LEFT(A24,4)))</f>
        <v/>
      </c>
      <c r="C24" s="36">
        <f>IF(A24="","",VALUE(RIGHT(A24,2)))</f>
        <v/>
      </c>
      <c r="D24" s="18" t="n"/>
      <c r="E24" s="18" t="n"/>
      <c r="F24" s="38" t="n"/>
      <c r="G24" s="38" t="n"/>
      <c r="H24" s="38" t="n"/>
      <c r="I24" s="43">
        <f>IF(AND(F24&lt;&gt;"",G24&lt;&gt;"",H24&lt;&gt;""),F24+G24-H24,"")</f>
        <v/>
      </c>
      <c r="J24" s="18" t="n"/>
      <c r="K24" s="18" t="n"/>
    </row>
    <row r="25">
      <c r="A25" s="22" t="n"/>
      <c r="B25" s="35">
        <f>IF(A25="","",VALUE(LEFT(A25,4)))</f>
        <v/>
      </c>
      <c r="C25" s="36">
        <f>IF(A25="","",VALUE(RIGHT(A25,2)))</f>
        <v/>
      </c>
      <c r="D25" s="22" t="n"/>
      <c r="E25" s="22" t="n"/>
      <c r="F25" s="42" t="n"/>
      <c r="G25" s="42" t="n"/>
      <c r="H25" s="42" t="n"/>
      <c r="I25" s="43">
        <f>IF(AND(F25&lt;&gt;"",G25&lt;&gt;"",H25&lt;&gt;""),F25+G25-H25,"")</f>
        <v/>
      </c>
      <c r="J25" s="22" t="n"/>
      <c r="K25" s="22" t="n"/>
    </row>
    <row r="26">
      <c r="A26" s="18" t="n"/>
      <c r="B26" s="35">
        <f>IF(A26="","",VALUE(LEFT(A26,4)))</f>
        <v/>
      </c>
      <c r="C26" s="36">
        <f>IF(A26="","",VALUE(RIGHT(A26,2)))</f>
        <v/>
      </c>
      <c r="D26" s="18" t="n"/>
      <c r="E26" s="18" t="n"/>
      <c r="F26" s="38" t="n"/>
      <c r="G26" s="38" t="n"/>
      <c r="H26" s="38" t="n"/>
      <c r="I26" s="43">
        <f>IF(AND(F26&lt;&gt;"",G26&lt;&gt;"",H26&lt;&gt;""),F26+G26-H26,"")</f>
        <v/>
      </c>
      <c r="J26" s="18" t="n"/>
      <c r="K26" s="18" t="n"/>
    </row>
    <row r="27">
      <c r="A27" s="22" t="n"/>
      <c r="B27" s="35">
        <f>IF(A27="","",VALUE(LEFT(A27,4)))</f>
        <v/>
      </c>
      <c r="C27" s="36">
        <f>IF(A27="","",VALUE(RIGHT(A27,2)))</f>
        <v/>
      </c>
      <c r="D27" s="22" t="n"/>
      <c r="E27" s="22" t="n"/>
      <c r="F27" s="42" t="n"/>
      <c r="G27" s="42" t="n"/>
      <c r="H27" s="42" t="n"/>
      <c r="I27" s="43">
        <f>IF(AND(F27&lt;&gt;"",G27&lt;&gt;"",H27&lt;&gt;""),F27+G27-H27,"")</f>
        <v/>
      </c>
      <c r="J27" s="22" t="n"/>
      <c r="K27" s="22" t="n"/>
    </row>
    <row r="28">
      <c r="A28" s="18" t="n"/>
      <c r="B28" s="35">
        <f>IF(A28="","",VALUE(LEFT(A28,4)))</f>
        <v/>
      </c>
      <c r="C28" s="36">
        <f>IF(A28="","",VALUE(RIGHT(A28,2)))</f>
        <v/>
      </c>
      <c r="D28" s="18" t="n"/>
      <c r="E28" s="18" t="n"/>
      <c r="F28" s="38" t="n"/>
      <c r="G28" s="38" t="n"/>
      <c r="H28" s="38" t="n"/>
      <c r="I28" s="43">
        <f>IF(AND(F28&lt;&gt;"",G28&lt;&gt;"",H28&lt;&gt;""),F28+G28-H28,"")</f>
        <v/>
      </c>
      <c r="J28" s="18" t="n"/>
      <c r="K28" s="18" t="n"/>
    </row>
    <row r="29">
      <c r="A29" s="22" t="n"/>
      <c r="B29" s="35">
        <f>IF(A29="","",VALUE(LEFT(A29,4)))</f>
        <v/>
      </c>
      <c r="C29" s="36">
        <f>IF(A29="","",VALUE(RIGHT(A29,2)))</f>
        <v/>
      </c>
      <c r="D29" s="22" t="n"/>
      <c r="E29" s="22" t="n"/>
      <c r="F29" s="42" t="n"/>
      <c r="G29" s="42" t="n"/>
      <c r="H29" s="42" t="n"/>
      <c r="I29" s="43">
        <f>IF(AND(F29&lt;&gt;"",G29&lt;&gt;"",H29&lt;&gt;""),F29+G29-H29,"")</f>
        <v/>
      </c>
      <c r="J29" s="22" t="n"/>
      <c r="K29" s="22" t="n"/>
    </row>
    <row r="30">
      <c r="A30" s="18" t="n"/>
      <c r="B30" s="35">
        <f>IF(A30="","",VALUE(LEFT(A30,4)))</f>
        <v/>
      </c>
      <c r="C30" s="36">
        <f>IF(A30="","",VALUE(RIGHT(A30,2)))</f>
        <v/>
      </c>
      <c r="D30" s="18" t="n"/>
      <c r="E30" s="18" t="n"/>
      <c r="F30" s="38" t="n"/>
      <c r="G30" s="38" t="n"/>
      <c r="H30" s="38" t="n"/>
      <c r="I30" s="43">
        <f>IF(AND(F30&lt;&gt;"",G30&lt;&gt;"",H30&lt;&gt;""),F30+G30-H30,"")</f>
        <v/>
      </c>
      <c r="J30" s="18" t="n"/>
      <c r="K30" s="18" t="n"/>
    </row>
    <row r="31">
      <c r="A31" s="22" t="n"/>
      <c r="B31" s="35">
        <f>IF(A31="","",VALUE(LEFT(A31,4)))</f>
        <v/>
      </c>
      <c r="C31" s="36">
        <f>IF(A31="","",VALUE(RIGHT(A31,2)))</f>
        <v/>
      </c>
      <c r="D31" s="22" t="n"/>
      <c r="E31" s="22" t="n"/>
      <c r="F31" s="42" t="n"/>
      <c r="G31" s="42" t="n"/>
      <c r="H31" s="42" t="n"/>
      <c r="I31" s="43">
        <f>IF(AND(F31&lt;&gt;"",G31&lt;&gt;"",H31&lt;&gt;""),F31+G31-H31,"")</f>
        <v/>
      </c>
      <c r="J31" s="22" t="n"/>
      <c r="K31" s="22" t="n"/>
    </row>
    <row r="32">
      <c r="A32" s="18" t="n"/>
      <c r="B32" s="35">
        <f>IF(A32="","",VALUE(LEFT(A32,4)))</f>
        <v/>
      </c>
      <c r="C32" s="36">
        <f>IF(A32="","",VALUE(RIGHT(A32,2)))</f>
        <v/>
      </c>
      <c r="D32" s="18" t="n"/>
      <c r="E32" s="18" t="n"/>
      <c r="F32" s="38" t="n"/>
      <c r="G32" s="38" t="n"/>
      <c r="H32" s="38" t="n"/>
      <c r="I32" s="43">
        <f>IF(AND(F32&lt;&gt;"",G32&lt;&gt;"",H32&lt;&gt;""),F32+G32-H32,"")</f>
        <v/>
      </c>
      <c r="J32" s="18" t="n"/>
      <c r="K32" s="18" t="n"/>
    </row>
    <row r="33">
      <c r="A33" s="22" t="n"/>
      <c r="B33" s="35">
        <f>IF(A33="","",VALUE(LEFT(A33,4)))</f>
        <v/>
      </c>
      <c r="C33" s="36">
        <f>IF(A33="","",VALUE(RIGHT(A33,2)))</f>
        <v/>
      </c>
      <c r="D33" s="22" t="n"/>
      <c r="E33" s="22" t="n"/>
      <c r="F33" s="42" t="n"/>
      <c r="G33" s="42" t="n"/>
      <c r="H33" s="42" t="n"/>
      <c r="I33" s="43">
        <f>IF(AND(F33&lt;&gt;"",G33&lt;&gt;"",H33&lt;&gt;""),F33+G33-H33,"")</f>
        <v/>
      </c>
      <c r="J33" s="22" t="n"/>
      <c r="K33" s="22" t="n"/>
    </row>
    <row r="34">
      <c r="A34" s="18" t="n"/>
      <c r="B34" s="35">
        <f>IF(A34="","",VALUE(LEFT(A34,4)))</f>
        <v/>
      </c>
      <c r="C34" s="36">
        <f>IF(A34="","",VALUE(RIGHT(A34,2)))</f>
        <v/>
      </c>
      <c r="D34" s="18" t="n"/>
      <c r="E34" s="18" t="n"/>
      <c r="F34" s="38" t="n"/>
      <c r="G34" s="38" t="n"/>
      <c r="H34" s="38" t="n"/>
      <c r="I34" s="43">
        <f>IF(AND(F34&lt;&gt;"",G34&lt;&gt;"",H34&lt;&gt;""),F34+G34-H34,"")</f>
        <v/>
      </c>
      <c r="J34" s="18" t="n"/>
      <c r="K34" s="18" t="n"/>
    </row>
    <row r="35">
      <c r="A35" s="22" t="n"/>
      <c r="B35" s="35">
        <f>IF(A35="","",VALUE(LEFT(A35,4)))</f>
        <v/>
      </c>
      <c r="C35" s="36">
        <f>IF(A35="","",VALUE(RIGHT(A35,2)))</f>
        <v/>
      </c>
      <c r="D35" s="22" t="n"/>
      <c r="E35" s="22" t="n"/>
      <c r="F35" s="42" t="n"/>
      <c r="G35" s="42" t="n"/>
      <c r="H35" s="42" t="n"/>
      <c r="I35" s="43">
        <f>IF(AND(F35&lt;&gt;"",G35&lt;&gt;"",H35&lt;&gt;""),F35+G35-H35,"")</f>
        <v/>
      </c>
      <c r="J35" s="22" t="n"/>
      <c r="K35" s="22" t="n"/>
    </row>
    <row r="36">
      <c r="A36" s="18" t="n"/>
      <c r="B36" s="35">
        <f>IF(A36="","",VALUE(LEFT(A36,4)))</f>
        <v/>
      </c>
      <c r="C36" s="36">
        <f>IF(A36="","",VALUE(RIGHT(A36,2)))</f>
        <v/>
      </c>
      <c r="D36" s="18" t="n"/>
      <c r="E36" s="18" t="n"/>
      <c r="F36" s="38" t="n"/>
      <c r="G36" s="38" t="n"/>
      <c r="H36" s="38" t="n"/>
      <c r="I36" s="43">
        <f>IF(AND(F36&lt;&gt;"",G36&lt;&gt;"",H36&lt;&gt;""),F36+G36-H36,"")</f>
        <v/>
      </c>
      <c r="J36" s="18" t="n"/>
      <c r="K36" s="18" t="n"/>
    </row>
    <row r="37">
      <c r="A37" s="22" t="n"/>
      <c r="B37" s="35">
        <f>IF(A37="","",VALUE(LEFT(A37,4)))</f>
        <v/>
      </c>
      <c r="C37" s="36">
        <f>IF(A37="","",VALUE(RIGHT(A37,2)))</f>
        <v/>
      </c>
      <c r="D37" s="22" t="n"/>
      <c r="E37" s="22" t="n"/>
      <c r="F37" s="42" t="n"/>
      <c r="G37" s="42" t="n"/>
      <c r="H37" s="42" t="n"/>
      <c r="I37" s="43">
        <f>IF(AND(F37&lt;&gt;"",G37&lt;&gt;"",H37&lt;&gt;""),F37+G37-H37,"")</f>
        <v/>
      </c>
      <c r="J37" s="22" t="n"/>
      <c r="K37" s="22" t="n"/>
    </row>
    <row r="38">
      <c r="A38" s="18" t="n"/>
      <c r="B38" s="35">
        <f>IF(A38="","",VALUE(LEFT(A38,4)))</f>
        <v/>
      </c>
      <c r="C38" s="36">
        <f>IF(A38="","",VALUE(RIGHT(A38,2)))</f>
        <v/>
      </c>
      <c r="D38" s="18" t="n"/>
      <c r="E38" s="18" t="n"/>
      <c r="F38" s="38" t="n"/>
      <c r="G38" s="38" t="n"/>
      <c r="H38" s="38" t="n"/>
      <c r="I38" s="43">
        <f>IF(AND(F38&lt;&gt;"",G38&lt;&gt;"",H38&lt;&gt;""),F38+G38-H38,"")</f>
        <v/>
      </c>
      <c r="J38" s="18" t="n"/>
      <c r="K38" s="18" t="n"/>
    </row>
    <row r="39">
      <c r="A39" s="22" t="n"/>
      <c r="B39" s="35">
        <f>IF(A39="","",VALUE(LEFT(A39,4)))</f>
        <v/>
      </c>
      <c r="C39" s="36">
        <f>IF(A39="","",VALUE(RIGHT(A39,2)))</f>
        <v/>
      </c>
      <c r="D39" s="22" t="n"/>
      <c r="E39" s="22" t="n"/>
      <c r="F39" s="42" t="n"/>
      <c r="G39" s="42" t="n"/>
      <c r="H39" s="42" t="n"/>
      <c r="I39" s="43">
        <f>IF(AND(F39&lt;&gt;"",G39&lt;&gt;"",H39&lt;&gt;""),F39+G39-H39,"")</f>
        <v/>
      </c>
      <c r="J39" s="22" t="n"/>
      <c r="K39" s="22" t="n"/>
    </row>
    <row r="40">
      <c r="A40" s="18" t="n"/>
      <c r="B40" s="35">
        <f>IF(A40="","",VALUE(LEFT(A40,4)))</f>
        <v/>
      </c>
      <c r="C40" s="36">
        <f>IF(A40="","",VALUE(RIGHT(A40,2)))</f>
        <v/>
      </c>
      <c r="D40" s="18" t="n"/>
      <c r="E40" s="18" t="n"/>
      <c r="F40" s="38" t="n"/>
      <c r="G40" s="38" t="n"/>
      <c r="H40" s="38" t="n"/>
      <c r="I40" s="43">
        <f>IF(AND(F40&lt;&gt;"",G40&lt;&gt;"",H40&lt;&gt;""),F40+G40-H40,"")</f>
        <v/>
      </c>
      <c r="J40" s="18" t="n"/>
      <c r="K40" s="18" t="n"/>
    </row>
    <row r="41">
      <c r="A41" s="22" t="n"/>
      <c r="B41" s="35">
        <f>IF(A41="","",VALUE(LEFT(A41,4)))</f>
        <v/>
      </c>
      <c r="C41" s="36">
        <f>IF(A41="","",VALUE(RIGHT(A41,2)))</f>
        <v/>
      </c>
      <c r="D41" s="22" t="n"/>
      <c r="E41" s="22" t="n"/>
      <c r="F41" s="42" t="n"/>
      <c r="G41" s="42" t="n"/>
      <c r="H41" s="42" t="n"/>
      <c r="I41" s="43">
        <f>IF(AND(F41&lt;&gt;"",G41&lt;&gt;"",H41&lt;&gt;""),F41+G41-H41,"")</f>
        <v/>
      </c>
      <c r="J41" s="22" t="n"/>
      <c r="K41" s="22" t="n"/>
    </row>
    <row r="42">
      <c r="A42" s="18" t="n"/>
      <c r="B42" s="35">
        <f>IF(A42="","",VALUE(LEFT(A42,4)))</f>
        <v/>
      </c>
      <c r="C42" s="36">
        <f>IF(A42="","",VALUE(RIGHT(A42,2)))</f>
        <v/>
      </c>
      <c r="D42" s="18" t="n"/>
      <c r="E42" s="18" t="n"/>
      <c r="F42" s="38" t="n"/>
      <c r="G42" s="38" t="n"/>
      <c r="H42" s="38" t="n"/>
      <c r="I42" s="43">
        <f>IF(AND(F42&lt;&gt;"",G42&lt;&gt;"",H42&lt;&gt;""),F42+G42-H42,"")</f>
        <v/>
      </c>
      <c r="J42" s="18" t="n"/>
      <c r="K42" s="18" t="n"/>
    </row>
    <row r="43">
      <c r="A43" s="22" t="n"/>
      <c r="B43" s="35">
        <f>IF(A43="","",VALUE(LEFT(A43,4)))</f>
        <v/>
      </c>
      <c r="C43" s="36">
        <f>IF(A43="","",VALUE(RIGHT(A43,2)))</f>
        <v/>
      </c>
      <c r="D43" s="22" t="n"/>
      <c r="E43" s="22" t="n"/>
      <c r="F43" s="42" t="n"/>
      <c r="G43" s="42" t="n"/>
      <c r="H43" s="42" t="n"/>
      <c r="I43" s="43">
        <f>IF(AND(F43&lt;&gt;"",G43&lt;&gt;"",H43&lt;&gt;""),F43+G43-H43,"")</f>
        <v/>
      </c>
      <c r="J43" s="22" t="n"/>
      <c r="K43" s="22" t="n"/>
    </row>
    <row r="44">
      <c r="A44" s="18" t="n"/>
      <c r="B44" s="35">
        <f>IF(A44="","",VALUE(LEFT(A44,4)))</f>
        <v/>
      </c>
      <c r="C44" s="36">
        <f>IF(A44="","",VALUE(RIGHT(A44,2)))</f>
        <v/>
      </c>
      <c r="D44" s="18" t="n"/>
      <c r="E44" s="18" t="n"/>
      <c r="F44" s="38" t="n"/>
      <c r="G44" s="38" t="n"/>
      <c r="H44" s="38" t="n"/>
      <c r="I44" s="43">
        <f>IF(AND(F44&lt;&gt;"",G44&lt;&gt;"",H44&lt;&gt;""),F44+G44-H44,"")</f>
        <v/>
      </c>
      <c r="J44" s="18" t="n"/>
      <c r="K44" s="18" t="n"/>
    </row>
    <row r="45">
      <c r="A45" s="22" t="n"/>
      <c r="B45" s="35">
        <f>IF(A45="","",VALUE(LEFT(A45,4)))</f>
        <v/>
      </c>
      <c r="C45" s="36">
        <f>IF(A45="","",VALUE(RIGHT(A45,2)))</f>
        <v/>
      </c>
      <c r="D45" s="22" t="n"/>
      <c r="E45" s="22" t="n"/>
      <c r="F45" s="42" t="n"/>
      <c r="G45" s="42" t="n"/>
      <c r="H45" s="42" t="n"/>
      <c r="I45" s="43">
        <f>IF(AND(F45&lt;&gt;"",G45&lt;&gt;"",H45&lt;&gt;""),F45+G45-H45,"")</f>
        <v/>
      </c>
      <c r="J45" s="22" t="n"/>
      <c r="K45" s="22" t="n"/>
    </row>
    <row r="46">
      <c r="A46" s="18" t="n"/>
      <c r="B46" s="35">
        <f>IF(A46="","",VALUE(LEFT(A46,4)))</f>
        <v/>
      </c>
      <c r="C46" s="36">
        <f>IF(A46="","",VALUE(RIGHT(A46,2)))</f>
        <v/>
      </c>
      <c r="D46" s="18" t="n"/>
      <c r="E46" s="18" t="n"/>
      <c r="F46" s="38" t="n"/>
      <c r="G46" s="38" t="n"/>
      <c r="H46" s="38" t="n"/>
      <c r="I46" s="43">
        <f>IF(AND(F46&lt;&gt;"",G46&lt;&gt;"",H46&lt;&gt;""),F46+G46-H46,"")</f>
        <v/>
      </c>
      <c r="J46" s="18" t="n"/>
      <c r="K46" s="18" t="n"/>
    </row>
    <row r="47">
      <c r="A47" s="22" t="n"/>
      <c r="B47" s="35">
        <f>IF(A47="","",VALUE(LEFT(A47,4)))</f>
        <v/>
      </c>
      <c r="C47" s="36">
        <f>IF(A47="","",VALUE(RIGHT(A47,2)))</f>
        <v/>
      </c>
      <c r="D47" s="22" t="n"/>
      <c r="E47" s="22" t="n"/>
      <c r="F47" s="42" t="n"/>
      <c r="G47" s="42" t="n"/>
      <c r="H47" s="42" t="n"/>
      <c r="I47" s="43">
        <f>IF(AND(F47&lt;&gt;"",G47&lt;&gt;"",H47&lt;&gt;""),F47+G47-H47,"")</f>
        <v/>
      </c>
      <c r="J47" s="22" t="n"/>
      <c r="K47" s="22" t="n"/>
    </row>
    <row r="48">
      <c r="A48" s="18" t="n"/>
      <c r="B48" s="35">
        <f>IF(A48="","",VALUE(LEFT(A48,4)))</f>
        <v/>
      </c>
      <c r="C48" s="36">
        <f>IF(A48="","",VALUE(RIGHT(A48,2)))</f>
        <v/>
      </c>
      <c r="D48" s="18" t="n"/>
      <c r="E48" s="18" t="n"/>
      <c r="F48" s="38" t="n"/>
      <c r="G48" s="38" t="n"/>
      <c r="H48" s="38" t="n"/>
      <c r="I48" s="43">
        <f>IF(AND(F48&lt;&gt;"",G48&lt;&gt;"",H48&lt;&gt;""),F48+G48-H48,"")</f>
        <v/>
      </c>
      <c r="J48" s="18" t="n"/>
      <c r="K48" s="18" t="n"/>
    </row>
    <row r="49">
      <c r="A49" s="22" t="n"/>
      <c r="B49" s="35">
        <f>IF(A49="","",VALUE(LEFT(A49,4)))</f>
        <v/>
      </c>
      <c r="C49" s="36">
        <f>IF(A49="","",VALUE(RIGHT(A49,2)))</f>
        <v/>
      </c>
      <c r="D49" s="22" t="n"/>
      <c r="E49" s="22" t="n"/>
      <c r="F49" s="42" t="n"/>
      <c r="G49" s="42" t="n"/>
      <c r="H49" s="42" t="n"/>
      <c r="I49" s="43">
        <f>IF(AND(F49&lt;&gt;"",G49&lt;&gt;"",H49&lt;&gt;""),F49+G49-H49,"")</f>
        <v/>
      </c>
      <c r="J49" s="22" t="n"/>
      <c r="K49" s="22" t="n"/>
    </row>
    <row r="50">
      <c r="A50" s="18" t="n"/>
      <c r="B50" s="35">
        <f>IF(A50="","",VALUE(LEFT(A50,4)))</f>
        <v/>
      </c>
      <c r="C50" s="36">
        <f>IF(A50="","",VALUE(RIGHT(A50,2)))</f>
        <v/>
      </c>
      <c r="D50" s="18" t="n"/>
      <c r="E50" s="18" t="n"/>
      <c r="F50" s="38" t="n"/>
      <c r="G50" s="38" t="n"/>
      <c r="H50" s="38" t="n"/>
      <c r="I50" s="43">
        <f>IF(AND(F50&lt;&gt;"",G50&lt;&gt;"",H50&lt;&gt;""),F50+G50-H50,"")</f>
        <v/>
      </c>
      <c r="J50" s="18" t="n"/>
      <c r="K50" s="18" t="n"/>
    </row>
    <row r="51">
      <c r="A51" s="22" t="n"/>
      <c r="B51" s="35">
        <f>IF(A51="","",VALUE(LEFT(A51,4)))</f>
        <v/>
      </c>
      <c r="C51" s="36">
        <f>IF(A51="","",VALUE(RIGHT(A51,2)))</f>
        <v/>
      </c>
      <c r="D51" s="22" t="n"/>
      <c r="E51" s="22" t="n"/>
      <c r="F51" s="42" t="n"/>
      <c r="G51" s="42" t="n"/>
      <c r="H51" s="42" t="n"/>
      <c r="I51" s="43">
        <f>IF(AND(F51&lt;&gt;"",G51&lt;&gt;"",H51&lt;&gt;""),F51+G51-H51,"")</f>
        <v/>
      </c>
      <c r="J51" s="22" t="n"/>
      <c r="K51" s="22" t="n"/>
    </row>
    <row r="52">
      <c r="A52" s="18" t="n"/>
      <c r="B52" s="35">
        <f>IF(A52="","",VALUE(LEFT(A52,4)))</f>
        <v/>
      </c>
      <c r="C52" s="36">
        <f>IF(A52="","",VALUE(RIGHT(A52,2)))</f>
        <v/>
      </c>
      <c r="D52" s="18" t="n"/>
      <c r="E52" s="18" t="n"/>
      <c r="F52" s="38" t="n"/>
      <c r="G52" s="38" t="n"/>
      <c r="H52" s="38" t="n"/>
      <c r="I52" s="43">
        <f>IF(AND(F52&lt;&gt;"",G52&lt;&gt;"",H52&lt;&gt;""),F52+G52-H52,"")</f>
        <v/>
      </c>
      <c r="J52" s="18" t="n"/>
      <c r="K52" s="18" t="n"/>
    </row>
    <row r="53">
      <c r="A53" s="22" t="n"/>
      <c r="B53" s="35">
        <f>IF(A53="","",VALUE(LEFT(A53,4)))</f>
        <v/>
      </c>
      <c r="C53" s="36">
        <f>IF(A53="","",VALUE(RIGHT(A53,2)))</f>
        <v/>
      </c>
      <c r="D53" s="22" t="n"/>
      <c r="E53" s="22" t="n"/>
      <c r="F53" s="42" t="n"/>
      <c r="G53" s="42" t="n"/>
      <c r="H53" s="42" t="n"/>
      <c r="I53" s="43">
        <f>IF(AND(F53&lt;&gt;"",G53&lt;&gt;"",H53&lt;&gt;""),F53+G53-H53,"")</f>
        <v/>
      </c>
      <c r="J53" s="22" t="n"/>
      <c r="K53" s="22" t="n"/>
    </row>
    <row r="54">
      <c r="A54" s="18" t="n"/>
      <c r="B54" s="35">
        <f>IF(A54="","",VALUE(LEFT(A54,4)))</f>
        <v/>
      </c>
      <c r="C54" s="36">
        <f>IF(A54="","",VALUE(RIGHT(A54,2)))</f>
        <v/>
      </c>
      <c r="D54" s="18" t="n"/>
      <c r="E54" s="18" t="n"/>
      <c r="F54" s="38" t="n"/>
      <c r="G54" s="38" t="n"/>
      <c r="H54" s="38" t="n"/>
      <c r="I54" s="43">
        <f>IF(AND(F54&lt;&gt;"",G54&lt;&gt;"",H54&lt;&gt;""),F54+G54-H54,"")</f>
        <v/>
      </c>
      <c r="J54" s="18" t="n"/>
      <c r="K54" s="18" t="n"/>
    </row>
    <row r="55">
      <c r="A55" s="22" t="n"/>
      <c r="B55" s="35">
        <f>IF(A55="","",VALUE(LEFT(A55,4)))</f>
        <v/>
      </c>
      <c r="C55" s="36">
        <f>IF(A55="","",VALUE(RIGHT(A55,2)))</f>
        <v/>
      </c>
      <c r="D55" s="22" t="n"/>
      <c r="E55" s="22" t="n"/>
      <c r="F55" s="42" t="n"/>
      <c r="G55" s="42" t="n"/>
      <c r="H55" s="42" t="n"/>
      <c r="I55" s="43">
        <f>IF(AND(F55&lt;&gt;"",G55&lt;&gt;"",H55&lt;&gt;""),F55+G55-H55,"")</f>
        <v/>
      </c>
      <c r="J55" s="22" t="n"/>
      <c r="K55" s="22" t="n"/>
    </row>
    <row r="56">
      <c r="A56" s="18" t="n"/>
      <c r="B56" s="35">
        <f>IF(A56="","",VALUE(LEFT(A56,4)))</f>
        <v/>
      </c>
      <c r="C56" s="36">
        <f>IF(A56="","",VALUE(RIGHT(A56,2)))</f>
        <v/>
      </c>
      <c r="D56" s="18" t="n"/>
      <c r="E56" s="18" t="n"/>
      <c r="F56" s="38" t="n"/>
      <c r="G56" s="38" t="n"/>
      <c r="H56" s="38" t="n"/>
      <c r="I56" s="43">
        <f>IF(AND(F56&lt;&gt;"",G56&lt;&gt;"",H56&lt;&gt;""),F56+G56-H56,"")</f>
        <v/>
      </c>
      <c r="J56" s="18" t="n"/>
      <c r="K56" s="18" t="n"/>
    </row>
    <row r="57">
      <c r="A57" s="22" t="n"/>
      <c r="B57" s="35">
        <f>IF(A57="","",VALUE(LEFT(A57,4)))</f>
        <v/>
      </c>
      <c r="C57" s="36">
        <f>IF(A57="","",VALUE(RIGHT(A57,2)))</f>
        <v/>
      </c>
      <c r="D57" s="22" t="n"/>
      <c r="E57" s="22" t="n"/>
      <c r="F57" s="42" t="n"/>
      <c r="G57" s="42" t="n"/>
      <c r="H57" s="42" t="n"/>
      <c r="I57" s="43">
        <f>IF(AND(F57&lt;&gt;"",G57&lt;&gt;"",H57&lt;&gt;""),F57+G57-H57,"")</f>
        <v/>
      </c>
      <c r="J57" s="22" t="n"/>
      <c r="K57" s="22" t="n"/>
    </row>
    <row r="58">
      <c r="A58" s="18" t="n"/>
      <c r="B58" s="35">
        <f>IF(A58="","",VALUE(LEFT(A58,4)))</f>
        <v/>
      </c>
      <c r="C58" s="36">
        <f>IF(A58="","",VALUE(RIGHT(A58,2)))</f>
        <v/>
      </c>
      <c r="D58" s="18" t="n"/>
      <c r="E58" s="18" t="n"/>
      <c r="F58" s="38" t="n"/>
      <c r="G58" s="38" t="n"/>
      <c r="H58" s="38" t="n"/>
      <c r="I58" s="43">
        <f>IF(AND(F58&lt;&gt;"",G58&lt;&gt;"",H58&lt;&gt;""),F58+G58-H58,"")</f>
        <v/>
      </c>
      <c r="J58" s="18" t="n"/>
      <c r="K58" s="18" t="n"/>
    </row>
    <row r="59">
      <c r="A59" s="22" t="n"/>
      <c r="B59" s="35">
        <f>IF(A59="","",VALUE(LEFT(A59,4)))</f>
        <v/>
      </c>
      <c r="C59" s="36">
        <f>IF(A59="","",VALUE(RIGHT(A59,2)))</f>
        <v/>
      </c>
      <c r="D59" s="22" t="n"/>
      <c r="E59" s="22" t="n"/>
      <c r="F59" s="42" t="n"/>
      <c r="G59" s="42" t="n"/>
      <c r="H59" s="42" t="n"/>
      <c r="I59" s="43">
        <f>IF(AND(F59&lt;&gt;"",G59&lt;&gt;"",H59&lt;&gt;""),F59+G59-H59,"")</f>
        <v/>
      </c>
      <c r="J59" s="22" t="n"/>
      <c r="K59" s="22" t="n"/>
    </row>
    <row r="60">
      <c r="A60" s="18" t="n"/>
      <c r="B60" s="35">
        <f>IF(A60="","",VALUE(LEFT(A60,4)))</f>
        <v/>
      </c>
      <c r="C60" s="36">
        <f>IF(A60="","",VALUE(RIGHT(A60,2)))</f>
        <v/>
      </c>
      <c r="D60" s="18" t="n"/>
      <c r="E60" s="18" t="n"/>
      <c r="F60" s="38" t="n"/>
      <c r="G60" s="38" t="n"/>
      <c r="H60" s="38" t="n"/>
      <c r="I60" s="43">
        <f>IF(AND(F60&lt;&gt;"",G60&lt;&gt;"",H60&lt;&gt;""),F60+G60-H60,"")</f>
        <v/>
      </c>
      <c r="J60" s="18" t="n"/>
      <c r="K60" s="18" t="n"/>
    </row>
    <row r="61">
      <c r="A61" s="22" t="n"/>
      <c r="B61" s="35">
        <f>IF(A61="","",VALUE(LEFT(A61,4)))</f>
        <v/>
      </c>
      <c r="C61" s="36">
        <f>IF(A61="","",VALUE(RIGHT(A61,2)))</f>
        <v/>
      </c>
      <c r="D61" s="22" t="n"/>
      <c r="E61" s="22" t="n"/>
      <c r="F61" s="42" t="n"/>
      <c r="G61" s="42" t="n"/>
      <c r="H61" s="42" t="n"/>
      <c r="I61" s="43">
        <f>IF(AND(F61&lt;&gt;"",G61&lt;&gt;"",H61&lt;&gt;""),F61+G61-H61,"")</f>
        <v/>
      </c>
      <c r="J61" s="22" t="n"/>
      <c r="K61" s="22" t="n"/>
    </row>
    <row r="62">
      <c r="A62" s="18" t="n"/>
      <c r="B62" s="35">
        <f>IF(A62="","",VALUE(LEFT(A62,4)))</f>
        <v/>
      </c>
      <c r="C62" s="36">
        <f>IF(A62="","",VALUE(RIGHT(A62,2)))</f>
        <v/>
      </c>
      <c r="D62" s="18" t="n"/>
      <c r="E62" s="18" t="n"/>
      <c r="F62" s="38" t="n"/>
      <c r="G62" s="38" t="n"/>
      <c r="H62" s="38" t="n"/>
      <c r="I62" s="43">
        <f>IF(AND(F62&lt;&gt;"",G62&lt;&gt;"",H62&lt;&gt;""),F62+G62-H62,"")</f>
        <v/>
      </c>
      <c r="J62" s="18" t="n"/>
      <c r="K62" s="18" t="n"/>
    </row>
    <row r="63">
      <c r="A63" s="22" t="n"/>
      <c r="B63" s="35">
        <f>IF(A63="","",VALUE(LEFT(A63,4)))</f>
        <v/>
      </c>
      <c r="C63" s="36">
        <f>IF(A63="","",VALUE(RIGHT(A63,2)))</f>
        <v/>
      </c>
      <c r="D63" s="22" t="n"/>
      <c r="E63" s="22" t="n"/>
      <c r="F63" s="42" t="n"/>
      <c r="G63" s="42" t="n"/>
      <c r="H63" s="42" t="n"/>
      <c r="I63" s="43">
        <f>IF(AND(F63&lt;&gt;"",G63&lt;&gt;"",H63&lt;&gt;""),F63+G63-H63,"")</f>
        <v/>
      </c>
      <c r="J63" s="22" t="n"/>
      <c r="K63" s="22" t="n"/>
    </row>
    <row r="64">
      <c r="A64" s="18" t="n"/>
      <c r="B64" s="35">
        <f>IF(A64="","",VALUE(LEFT(A64,4)))</f>
        <v/>
      </c>
      <c r="C64" s="36">
        <f>IF(A64="","",VALUE(RIGHT(A64,2)))</f>
        <v/>
      </c>
      <c r="D64" s="18" t="n"/>
      <c r="E64" s="18" t="n"/>
      <c r="F64" s="38" t="n"/>
      <c r="G64" s="38" t="n"/>
      <c r="H64" s="38" t="n"/>
      <c r="I64" s="43">
        <f>IF(AND(F64&lt;&gt;"",G64&lt;&gt;"",H64&lt;&gt;""),F64+G64-H64,"")</f>
        <v/>
      </c>
      <c r="J64" s="18" t="n"/>
      <c r="K64" s="18" t="n"/>
    </row>
    <row r="65">
      <c r="A65" s="22" t="n"/>
      <c r="B65" s="35">
        <f>IF(A65="","",VALUE(LEFT(A65,4)))</f>
        <v/>
      </c>
      <c r="C65" s="36">
        <f>IF(A65="","",VALUE(RIGHT(A65,2)))</f>
        <v/>
      </c>
      <c r="D65" s="22" t="n"/>
      <c r="E65" s="22" t="n"/>
      <c r="F65" s="42" t="n"/>
      <c r="G65" s="42" t="n"/>
      <c r="H65" s="42" t="n"/>
      <c r="I65" s="43">
        <f>IF(AND(F65&lt;&gt;"",G65&lt;&gt;"",H65&lt;&gt;""),F65+G65-H65,"")</f>
        <v/>
      </c>
      <c r="J65" s="22" t="n"/>
      <c r="K65" s="22" t="n"/>
    </row>
    <row r="66">
      <c r="A66" s="18" t="n"/>
      <c r="B66" s="35">
        <f>IF(A66="","",VALUE(LEFT(A66,4)))</f>
        <v/>
      </c>
      <c r="C66" s="36">
        <f>IF(A66="","",VALUE(RIGHT(A66,2)))</f>
        <v/>
      </c>
      <c r="D66" s="18" t="n"/>
      <c r="E66" s="18" t="n"/>
      <c r="F66" s="38" t="n"/>
      <c r="G66" s="38" t="n"/>
      <c r="H66" s="38" t="n"/>
      <c r="I66" s="43">
        <f>IF(AND(F66&lt;&gt;"",G66&lt;&gt;"",H66&lt;&gt;""),F66+G66-H66,"")</f>
        <v/>
      </c>
      <c r="J66" s="18" t="n"/>
      <c r="K66" s="18" t="n"/>
    </row>
    <row r="67">
      <c r="A67" s="22" t="n"/>
      <c r="B67" s="35">
        <f>IF(A67="","",VALUE(LEFT(A67,4)))</f>
        <v/>
      </c>
      <c r="C67" s="36">
        <f>IF(A67="","",VALUE(RIGHT(A67,2)))</f>
        <v/>
      </c>
      <c r="D67" s="22" t="n"/>
      <c r="E67" s="22" t="n"/>
      <c r="F67" s="42" t="n"/>
      <c r="G67" s="42" t="n"/>
      <c r="H67" s="42" t="n"/>
      <c r="I67" s="43">
        <f>IF(AND(F67&lt;&gt;"",G67&lt;&gt;"",H67&lt;&gt;""),F67+G67-H67,"")</f>
        <v/>
      </c>
      <c r="J67" s="22" t="n"/>
      <c r="K67" s="22" t="n"/>
    </row>
    <row r="68">
      <c r="A68" s="18" t="n"/>
      <c r="B68" s="35">
        <f>IF(A68="","",VALUE(LEFT(A68,4)))</f>
        <v/>
      </c>
      <c r="C68" s="36">
        <f>IF(A68="","",VALUE(RIGHT(A68,2)))</f>
        <v/>
      </c>
      <c r="D68" s="18" t="n"/>
      <c r="E68" s="18" t="n"/>
      <c r="F68" s="38" t="n"/>
      <c r="G68" s="38" t="n"/>
      <c r="H68" s="38" t="n"/>
      <c r="I68" s="43">
        <f>IF(AND(F68&lt;&gt;"",G68&lt;&gt;"",H68&lt;&gt;""),F68+G68-H68,"")</f>
        <v/>
      </c>
      <c r="J68" s="18" t="n"/>
      <c r="K68" s="18" t="n"/>
    </row>
    <row r="69">
      <c r="A69" s="22" t="n"/>
      <c r="B69" s="35">
        <f>IF(A69="","",VALUE(LEFT(A69,4)))</f>
        <v/>
      </c>
      <c r="C69" s="36">
        <f>IF(A69="","",VALUE(RIGHT(A69,2)))</f>
        <v/>
      </c>
      <c r="D69" s="22" t="n"/>
      <c r="E69" s="22" t="n"/>
      <c r="F69" s="42" t="n"/>
      <c r="G69" s="42" t="n"/>
      <c r="H69" s="42" t="n"/>
      <c r="I69" s="43">
        <f>IF(AND(F69&lt;&gt;"",G69&lt;&gt;"",H69&lt;&gt;""),F69+G69-H69,"")</f>
        <v/>
      </c>
      <c r="J69" s="22" t="n"/>
      <c r="K69" s="22" t="n"/>
    </row>
    <row r="70">
      <c r="A70" s="18" t="n"/>
      <c r="B70" s="35">
        <f>IF(A70="","",VALUE(LEFT(A70,4)))</f>
        <v/>
      </c>
      <c r="C70" s="36">
        <f>IF(A70="","",VALUE(RIGHT(A70,2)))</f>
        <v/>
      </c>
      <c r="D70" s="18" t="n"/>
      <c r="E70" s="18" t="n"/>
      <c r="F70" s="38" t="n"/>
      <c r="G70" s="38" t="n"/>
      <c r="H70" s="38" t="n"/>
      <c r="I70" s="43">
        <f>IF(AND(F70&lt;&gt;"",G70&lt;&gt;"",H70&lt;&gt;""),F70+G70-H70,"")</f>
        <v/>
      </c>
      <c r="J70" s="18" t="n"/>
      <c r="K70" s="18" t="n"/>
    </row>
    <row r="71">
      <c r="A71" s="22" t="n"/>
      <c r="B71" s="35">
        <f>IF(A71="","",VALUE(LEFT(A71,4)))</f>
        <v/>
      </c>
      <c r="C71" s="36">
        <f>IF(A71="","",VALUE(RIGHT(A71,2)))</f>
        <v/>
      </c>
      <c r="D71" s="22" t="n"/>
      <c r="E71" s="22" t="n"/>
      <c r="F71" s="42" t="n"/>
      <c r="G71" s="42" t="n"/>
      <c r="H71" s="42" t="n"/>
      <c r="I71" s="43">
        <f>IF(AND(F71&lt;&gt;"",G71&lt;&gt;"",H71&lt;&gt;""),F71+G71-H71,"")</f>
        <v/>
      </c>
      <c r="J71" s="22" t="n"/>
      <c r="K71" s="22" t="n"/>
    </row>
    <row r="72">
      <c r="A72" s="18" t="n"/>
      <c r="B72" s="35">
        <f>IF(A72="","",VALUE(LEFT(A72,4)))</f>
        <v/>
      </c>
      <c r="C72" s="36">
        <f>IF(A72="","",VALUE(RIGHT(A72,2)))</f>
        <v/>
      </c>
      <c r="D72" s="18" t="n"/>
      <c r="E72" s="18" t="n"/>
      <c r="F72" s="38" t="n"/>
      <c r="G72" s="38" t="n"/>
      <c r="H72" s="38" t="n"/>
      <c r="I72" s="43">
        <f>IF(AND(F72&lt;&gt;"",G72&lt;&gt;"",H72&lt;&gt;""),F72+G72-H72,"")</f>
        <v/>
      </c>
      <c r="J72" s="18" t="n"/>
      <c r="K72" s="18" t="n"/>
    </row>
    <row r="73">
      <c r="A73" s="22" t="n"/>
      <c r="B73" s="35">
        <f>IF(A73="","",VALUE(LEFT(A73,4)))</f>
        <v/>
      </c>
      <c r="C73" s="36">
        <f>IF(A73="","",VALUE(RIGHT(A73,2)))</f>
        <v/>
      </c>
      <c r="D73" s="22" t="n"/>
      <c r="E73" s="22" t="n"/>
      <c r="F73" s="42" t="n"/>
      <c r="G73" s="42" t="n"/>
      <c r="H73" s="42" t="n"/>
      <c r="I73" s="43">
        <f>IF(AND(F73&lt;&gt;"",G73&lt;&gt;"",H73&lt;&gt;""),F73+G73-H73,"")</f>
        <v/>
      </c>
      <c r="J73" s="22" t="n"/>
      <c r="K73" s="22" t="n"/>
    </row>
    <row r="74">
      <c r="A74" s="18" t="n"/>
      <c r="B74" s="35">
        <f>IF(A74="","",VALUE(LEFT(A74,4)))</f>
        <v/>
      </c>
      <c r="C74" s="36">
        <f>IF(A74="","",VALUE(RIGHT(A74,2)))</f>
        <v/>
      </c>
      <c r="D74" s="18" t="n"/>
      <c r="E74" s="18" t="n"/>
      <c r="F74" s="38" t="n"/>
      <c r="G74" s="38" t="n"/>
      <c r="H74" s="38" t="n"/>
      <c r="I74" s="43">
        <f>IF(AND(F74&lt;&gt;"",G74&lt;&gt;"",H74&lt;&gt;""),F74+G74-H74,"")</f>
        <v/>
      </c>
      <c r="J74" s="18" t="n"/>
      <c r="K74" s="18" t="n"/>
    </row>
    <row r="75">
      <c r="A75" s="22" t="n"/>
      <c r="B75" s="35">
        <f>IF(A75="","",VALUE(LEFT(A75,4)))</f>
        <v/>
      </c>
      <c r="C75" s="36">
        <f>IF(A75="","",VALUE(RIGHT(A75,2)))</f>
        <v/>
      </c>
      <c r="D75" s="22" t="n"/>
      <c r="E75" s="22" t="n"/>
      <c r="F75" s="42" t="n"/>
      <c r="G75" s="42" t="n"/>
      <c r="H75" s="42" t="n"/>
      <c r="I75" s="43">
        <f>IF(AND(F75&lt;&gt;"",G75&lt;&gt;"",H75&lt;&gt;""),F75+G75-H75,"")</f>
        <v/>
      </c>
      <c r="J75" s="22" t="n"/>
      <c r="K75" s="22" t="n"/>
    </row>
    <row r="76">
      <c r="A76" s="18" t="n"/>
      <c r="B76" s="35">
        <f>IF(A76="","",VALUE(LEFT(A76,4)))</f>
        <v/>
      </c>
      <c r="C76" s="36">
        <f>IF(A76="","",VALUE(RIGHT(A76,2)))</f>
        <v/>
      </c>
      <c r="D76" s="18" t="n"/>
      <c r="E76" s="18" t="n"/>
      <c r="F76" s="38" t="n"/>
      <c r="G76" s="38" t="n"/>
      <c r="H76" s="38" t="n"/>
      <c r="I76" s="43">
        <f>IF(AND(F76&lt;&gt;"",G76&lt;&gt;"",H76&lt;&gt;""),F76+G76-H76,"")</f>
        <v/>
      </c>
      <c r="J76" s="18" t="n"/>
      <c r="K76" s="18" t="n"/>
    </row>
    <row r="77">
      <c r="A77" s="22" t="n"/>
      <c r="B77" s="35">
        <f>IF(A77="","",VALUE(LEFT(A77,4)))</f>
        <v/>
      </c>
      <c r="C77" s="36">
        <f>IF(A77="","",VALUE(RIGHT(A77,2)))</f>
        <v/>
      </c>
      <c r="D77" s="22" t="n"/>
      <c r="E77" s="22" t="n"/>
      <c r="F77" s="42" t="n"/>
      <c r="G77" s="42" t="n"/>
      <c r="H77" s="42" t="n"/>
      <c r="I77" s="43">
        <f>IF(AND(F77&lt;&gt;"",G77&lt;&gt;"",H77&lt;&gt;""),F77+G77-H77,"")</f>
        <v/>
      </c>
      <c r="J77" s="22" t="n"/>
      <c r="K77" s="22" t="n"/>
    </row>
    <row r="78">
      <c r="A78" s="18" t="n"/>
      <c r="B78" s="35">
        <f>IF(A78="","",VALUE(LEFT(A78,4)))</f>
        <v/>
      </c>
      <c r="C78" s="36">
        <f>IF(A78="","",VALUE(RIGHT(A78,2)))</f>
        <v/>
      </c>
      <c r="D78" s="18" t="n"/>
      <c r="E78" s="18" t="n"/>
      <c r="F78" s="38" t="n"/>
      <c r="G78" s="38" t="n"/>
      <c r="H78" s="38" t="n"/>
      <c r="I78" s="43">
        <f>IF(AND(F78&lt;&gt;"",G78&lt;&gt;"",H78&lt;&gt;""),F78+G78-H78,"")</f>
        <v/>
      </c>
      <c r="J78" s="18" t="n"/>
      <c r="K78" s="18" t="n"/>
    </row>
    <row r="79">
      <c r="A79" s="22" t="n"/>
      <c r="B79" s="35">
        <f>IF(A79="","",VALUE(LEFT(A79,4)))</f>
        <v/>
      </c>
      <c r="C79" s="36">
        <f>IF(A79="","",VALUE(RIGHT(A79,2)))</f>
        <v/>
      </c>
      <c r="D79" s="22" t="n"/>
      <c r="E79" s="22" t="n"/>
      <c r="F79" s="42" t="n"/>
      <c r="G79" s="42" t="n"/>
      <c r="H79" s="42" t="n"/>
      <c r="I79" s="43">
        <f>IF(AND(F79&lt;&gt;"",G79&lt;&gt;"",H79&lt;&gt;""),F79+G79-H79,"")</f>
        <v/>
      </c>
      <c r="J79" s="22" t="n"/>
      <c r="K79" s="22" t="n"/>
    </row>
    <row r="80">
      <c r="A80" s="18" t="n"/>
      <c r="B80" s="35">
        <f>IF(A80="","",VALUE(LEFT(A80,4)))</f>
        <v/>
      </c>
      <c r="C80" s="36">
        <f>IF(A80="","",VALUE(RIGHT(A80,2)))</f>
        <v/>
      </c>
      <c r="D80" s="18" t="n"/>
      <c r="E80" s="18" t="n"/>
      <c r="F80" s="38" t="n"/>
      <c r="G80" s="38" t="n"/>
      <c r="H80" s="38" t="n"/>
      <c r="I80" s="43">
        <f>IF(AND(F80&lt;&gt;"",G80&lt;&gt;"",H80&lt;&gt;""),F80+G80-H80,"")</f>
        <v/>
      </c>
      <c r="J80" s="18" t="n"/>
      <c r="K80" s="18" t="n"/>
    </row>
    <row r="81">
      <c r="A81" s="22" t="n"/>
      <c r="B81" s="35">
        <f>IF(A81="","",VALUE(LEFT(A81,4)))</f>
        <v/>
      </c>
      <c r="C81" s="36">
        <f>IF(A81="","",VALUE(RIGHT(A81,2)))</f>
        <v/>
      </c>
      <c r="D81" s="22" t="n"/>
      <c r="E81" s="22" t="n"/>
      <c r="F81" s="42" t="n"/>
      <c r="G81" s="42" t="n"/>
      <c r="H81" s="42" t="n"/>
      <c r="I81" s="43">
        <f>IF(AND(F81&lt;&gt;"",G81&lt;&gt;"",H81&lt;&gt;""),F81+G81-H81,"")</f>
        <v/>
      </c>
      <c r="J81" s="22" t="n"/>
      <c r="K81" s="22" t="n"/>
    </row>
    <row r="82">
      <c r="A82" s="18" t="n"/>
      <c r="B82" s="35">
        <f>IF(A82="","",VALUE(LEFT(A82,4)))</f>
        <v/>
      </c>
      <c r="C82" s="36">
        <f>IF(A82="","",VALUE(RIGHT(A82,2)))</f>
        <v/>
      </c>
      <c r="D82" s="18" t="n"/>
      <c r="E82" s="18" t="n"/>
      <c r="F82" s="38" t="n"/>
      <c r="G82" s="38" t="n"/>
      <c r="H82" s="38" t="n"/>
      <c r="I82" s="43">
        <f>IF(AND(F82&lt;&gt;"",G82&lt;&gt;"",H82&lt;&gt;""),F82+G82-H82,"")</f>
        <v/>
      </c>
      <c r="J82" s="18" t="n"/>
      <c r="K82" s="18" t="n"/>
    </row>
    <row r="83">
      <c r="A83" s="22" t="n"/>
      <c r="B83" s="35">
        <f>IF(A83="","",VALUE(LEFT(A83,4)))</f>
        <v/>
      </c>
      <c r="C83" s="36">
        <f>IF(A83="","",VALUE(RIGHT(A83,2)))</f>
        <v/>
      </c>
      <c r="D83" s="22" t="n"/>
      <c r="E83" s="22" t="n"/>
      <c r="F83" s="42" t="n"/>
      <c r="G83" s="42" t="n"/>
      <c r="H83" s="42" t="n"/>
      <c r="I83" s="43">
        <f>IF(AND(F83&lt;&gt;"",G83&lt;&gt;"",H83&lt;&gt;""),F83+G83-H83,"")</f>
        <v/>
      </c>
      <c r="J83" s="22" t="n"/>
      <c r="K83" s="22" t="n"/>
    </row>
    <row r="84">
      <c r="A84" s="18" t="n"/>
      <c r="B84" s="35">
        <f>IF(A84="","",VALUE(LEFT(A84,4)))</f>
        <v/>
      </c>
      <c r="C84" s="36">
        <f>IF(A84="","",VALUE(RIGHT(A84,2)))</f>
        <v/>
      </c>
      <c r="D84" s="18" t="n"/>
      <c r="E84" s="18" t="n"/>
      <c r="F84" s="38" t="n"/>
      <c r="G84" s="38" t="n"/>
      <c r="H84" s="38" t="n"/>
      <c r="I84" s="43">
        <f>IF(AND(F84&lt;&gt;"",G84&lt;&gt;"",H84&lt;&gt;""),F84+G84-H84,"")</f>
        <v/>
      </c>
      <c r="J84" s="18" t="n"/>
      <c r="K84" s="18" t="n"/>
    </row>
    <row r="85">
      <c r="A85" s="22" t="n"/>
      <c r="B85" s="35">
        <f>IF(A85="","",VALUE(LEFT(A85,4)))</f>
        <v/>
      </c>
      <c r="C85" s="36">
        <f>IF(A85="","",VALUE(RIGHT(A85,2)))</f>
        <v/>
      </c>
      <c r="D85" s="22" t="n"/>
      <c r="E85" s="22" t="n"/>
      <c r="F85" s="42" t="n"/>
      <c r="G85" s="42" t="n"/>
      <c r="H85" s="42" t="n"/>
      <c r="I85" s="43">
        <f>IF(AND(F85&lt;&gt;"",G85&lt;&gt;"",H85&lt;&gt;""),F85+G85-H85,"")</f>
        <v/>
      </c>
      <c r="J85" s="22" t="n"/>
      <c r="K85" s="22" t="n"/>
    </row>
    <row r="86">
      <c r="A86" s="18" t="n"/>
      <c r="B86" s="35">
        <f>IF(A86="","",VALUE(LEFT(A86,4)))</f>
        <v/>
      </c>
      <c r="C86" s="36">
        <f>IF(A86="","",VALUE(RIGHT(A86,2)))</f>
        <v/>
      </c>
      <c r="D86" s="18" t="n"/>
      <c r="E86" s="18" t="n"/>
      <c r="F86" s="38" t="n"/>
      <c r="G86" s="38" t="n"/>
      <c r="H86" s="38" t="n"/>
      <c r="I86" s="43">
        <f>IF(AND(F86&lt;&gt;"",G86&lt;&gt;"",H86&lt;&gt;""),F86+G86-H86,"")</f>
        <v/>
      </c>
      <c r="J86" s="18" t="n"/>
      <c r="K86" s="18" t="n"/>
    </row>
    <row r="87">
      <c r="A87" s="22" t="n"/>
      <c r="B87" s="35">
        <f>IF(A87="","",VALUE(LEFT(A87,4)))</f>
        <v/>
      </c>
      <c r="C87" s="36">
        <f>IF(A87="","",VALUE(RIGHT(A87,2)))</f>
        <v/>
      </c>
      <c r="D87" s="22" t="n"/>
      <c r="E87" s="22" t="n"/>
      <c r="F87" s="42" t="n"/>
      <c r="G87" s="42" t="n"/>
      <c r="H87" s="42" t="n"/>
      <c r="I87" s="43">
        <f>IF(AND(F87&lt;&gt;"",G87&lt;&gt;"",H87&lt;&gt;""),F87+G87-H87,"")</f>
        <v/>
      </c>
      <c r="J87" s="22" t="n"/>
      <c r="K87" s="22" t="n"/>
    </row>
    <row r="88">
      <c r="A88" s="18" t="n"/>
      <c r="B88" s="35">
        <f>IF(A88="","",VALUE(LEFT(A88,4)))</f>
        <v/>
      </c>
      <c r="C88" s="36">
        <f>IF(A88="","",VALUE(RIGHT(A88,2)))</f>
        <v/>
      </c>
      <c r="D88" s="18" t="n"/>
      <c r="E88" s="18" t="n"/>
      <c r="F88" s="38" t="n"/>
      <c r="G88" s="38" t="n"/>
      <c r="H88" s="38" t="n"/>
      <c r="I88" s="43">
        <f>IF(AND(F88&lt;&gt;"",G88&lt;&gt;"",H88&lt;&gt;""),F88+G88-H88,"")</f>
        <v/>
      </c>
      <c r="J88" s="18" t="n"/>
      <c r="K88" s="18" t="n"/>
    </row>
    <row r="89">
      <c r="A89" s="22" t="n"/>
      <c r="B89" s="35">
        <f>IF(A89="","",VALUE(LEFT(A89,4)))</f>
        <v/>
      </c>
      <c r="C89" s="36">
        <f>IF(A89="","",VALUE(RIGHT(A89,2)))</f>
        <v/>
      </c>
      <c r="D89" s="22" t="n"/>
      <c r="E89" s="22" t="n"/>
      <c r="F89" s="42" t="n"/>
      <c r="G89" s="42" t="n"/>
      <c r="H89" s="42" t="n"/>
      <c r="I89" s="43">
        <f>IF(AND(F89&lt;&gt;"",G89&lt;&gt;"",H89&lt;&gt;""),F89+G89-H89,"")</f>
        <v/>
      </c>
      <c r="J89" s="22" t="n"/>
      <c r="K89" s="22" t="n"/>
    </row>
    <row r="90">
      <c r="A90" s="18" t="n"/>
      <c r="B90" s="35">
        <f>IF(A90="","",VALUE(LEFT(A90,4)))</f>
        <v/>
      </c>
      <c r="C90" s="36">
        <f>IF(A90="","",VALUE(RIGHT(A90,2)))</f>
        <v/>
      </c>
      <c r="D90" s="18" t="n"/>
      <c r="E90" s="18" t="n"/>
      <c r="F90" s="38" t="n"/>
      <c r="G90" s="38" t="n"/>
      <c r="H90" s="38" t="n"/>
      <c r="I90" s="43">
        <f>IF(AND(F90&lt;&gt;"",G90&lt;&gt;"",H90&lt;&gt;""),F90+G90-H90,"")</f>
        <v/>
      </c>
      <c r="J90" s="18" t="n"/>
      <c r="K90" s="18" t="n"/>
    </row>
    <row r="91">
      <c r="A91" s="22" t="n"/>
      <c r="B91" s="35">
        <f>IF(A91="","",VALUE(LEFT(A91,4)))</f>
        <v/>
      </c>
      <c r="C91" s="36">
        <f>IF(A91="","",VALUE(RIGHT(A91,2)))</f>
        <v/>
      </c>
      <c r="D91" s="22" t="n"/>
      <c r="E91" s="22" t="n"/>
      <c r="F91" s="42" t="n"/>
      <c r="G91" s="42" t="n"/>
      <c r="H91" s="42" t="n"/>
      <c r="I91" s="43">
        <f>IF(AND(F91&lt;&gt;"",G91&lt;&gt;"",H91&lt;&gt;""),F91+G91-H91,"")</f>
        <v/>
      </c>
      <c r="J91" s="22" t="n"/>
      <c r="K91" s="22" t="n"/>
    </row>
    <row r="92">
      <c r="A92" s="18" t="n"/>
      <c r="B92" s="35">
        <f>IF(A92="","",VALUE(LEFT(A92,4)))</f>
        <v/>
      </c>
      <c r="C92" s="36">
        <f>IF(A92="","",VALUE(RIGHT(A92,2)))</f>
        <v/>
      </c>
      <c r="D92" s="18" t="n"/>
      <c r="E92" s="18" t="n"/>
      <c r="F92" s="38" t="n"/>
      <c r="G92" s="38" t="n"/>
      <c r="H92" s="38" t="n"/>
      <c r="I92" s="43">
        <f>IF(AND(F92&lt;&gt;"",G92&lt;&gt;"",H92&lt;&gt;""),F92+G92-H92,"")</f>
        <v/>
      </c>
      <c r="J92" s="18" t="n"/>
      <c r="K92" s="18" t="n"/>
    </row>
    <row r="93">
      <c r="A93" s="22" t="n"/>
      <c r="B93" s="35">
        <f>IF(A93="","",VALUE(LEFT(A93,4)))</f>
        <v/>
      </c>
      <c r="C93" s="36">
        <f>IF(A93="","",VALUE(RIGHT(A93,2)))</f>
        <v/>
      </c>
      <c r="D93" s="22" t="n"/>
      <c r="E93" s="22" t="n"/>
      <c r="F93" s="42" t="n"/>
      <c r="G93" s="42" t="n"/>
      <c r="H93" s="42" t="n"/>
      <c r="I93" s="43">
        <f>IF(AND(F93&lt;&gt;"",G93&lt;&gt;"",H93&lt;&gt;""),F93+G93-H93,"")</f>
        <v/>
      </c>
      <c r="J93" s="22" t="n"/>
      <c r="K93" s="22" t="n"/>
    </row>
    <row r="94">
      <c r="A94" s="18" t="n"/>
      <c r="B94" s="35">
        <f>IF(A94="","",VALUE(LEFT(A94,4)))</f>
        <v/>
      </c>
      <c r="C94" s="36">
        <f>IF(A94="","",VALUE(RIGHT(A94,2)))</f>
        <v/>
      </c>
      <c r="D94" s="18" t="n"/>
      <c r="E94" s="18" t="n"/>
      <c r="F94" s="38" t="n"/>
      <c r="G94" s="38" t="n"/>
      <c r="H94" s="38" t="n"/>
      <c r="I94" s="43">
        <f>IF(AND(F94&lt;&gt;"",G94&lt;&gt;"",H94&lt;&gt;""),F94+G94-H94,"")</f>
        <v/>
      </c>
      <c r="J94" s="18" t="n"/>
      <c r="K94" s="18" t="n"/>
    </row>
    <row r="95">
      <c r="A95" s="22" t="n"/>
      <c r="B95" s="35">
        <f>IF(A95="","",VALUE(LEFT(A95,4)))</f>
        <v/>
      </c>
      <c r="C95" s="36">
        <f>IF(A95="","",VALUE(RIGHT(A95,2)))</f>
        <v/>
      </c>
      <c r="D95" s="22" t="n"/>
      <c r="E95" s="22" t="n"/>
      <c r="F95" s="42" t="n"/>
      <c r="G95" s="42" t="n"/>
      <c r="H95" s="42" t="n"/>
      <c r="I95" s="43">
        <f>IF(AND(F95&lt;&gt;"",G95&lt;&gt;"",H95&lt;&gt;""),F95+G95-H95,"")</f>
        <v/>
      </c>
      <c r="J95" s="22" t="n"/>
      <c r="K95" s="22" t="n"/>
    </row>
    <row r="96">
      <c r="A96" s="18" t="n"/>
      <c r="B96" s="35">
        <f>IF(A96="","",VALUE(LEFT(A96,4)))</f>
        <v/>
      </c>
      <c r="C96" s="36">
        <f>IF(A96="","",VALUE(RIGHT(A96,2)))</f>
        <v/>
      </c>
      <c r="D96" s="18" t="n"/>
      <c r="E96" s="18" t="n"/>
      <c r="F96" s="38" t="n"/>
      <c r="G96" s="38" t="n"/>
      <c r="H96" s="38" t="n"/>
      <c r="I96" s="43">
        <f>IF(AND(F96&lt;&gt;"",G96&lt;&gt;"",H96&lt;&gt;""),F96+G96-H96,"")</f>
        <v/>
      </c>
      <c r="J96" s="18" t="n"/>
      <c r="K96" s="18" t="n"/>
    </row>
    <row r="97">
      <c r="A97" s="22" t="n"/>
      <c r="B97" s="35">
        <f>IF(A97="","",VALUE(LEFT(A97,4)))</f>
        <v/>
      </c>
      <c r="C97" s="36">
        <f>IF(A97="","",VALUE(RIGHT(A97,2)))</f>
        <v/>
      </c>
      <c r="D97" s="22" t="n"/>
      <c r="E97" s="22" t="n"/>
      <c r="F97" s="42" t="n"/>
      <c r="G97" s="42" t="n"/>
      <c r="H97" s="42" t="n"/>
      <c r="I97" s="43">
        <f>IF(AND(F97&lt;&gt;"",G97&lt;&gt;"",H97&lt;&gt;""),F97+G97-H97,"")</f>
        <v/>
      </c>
      <c r="J97" s="22" t="n"/>
      <c r="K97" s="22" t="n"/>
    </row>
    <row r="98">
      <c r="A98" s="18" t="n"/>
      <c r="B98" s="35">
        <f>IF(A98="","",VALUE(LEFT(A98,4)))</f>
        <v/>
      </c>
      <c r="C98" s="36">
        <f>IF(A98="","",VALUE(RIGHT(A98,2)))</f>
        <v/>
      </c>
      <c r="D98" s="18" t="n"/>
      <c r="E98" s="18" t="n"/>
      <c r="F98" s="38" t="n"/>
      <c r="G98" s="38" t="n"/>
      <c r="H98" s="38" t="n"/>
      <c r="I98" s="43">
        <f>IF(AND(F98&lt;&gt;"",G98&lt;&gt;"",H98&lt;&gt;""),F98+G98-H98,"")</f>
        <v/>
      </c>
      <c r="J98" s="18" t="n"/>
      <c r="K98" s="18" t="n"/>
    </row>
    <row r="99">
      <c r="A99" s="22" t="n"/>
      <c r="B99" s="35">
        <f>IF(A99="","",VALUE(LEFT(A99,4)))</f>
        <v/>
      </c>
      <c r="C99" s="36">
        <f>IF(A99="","",VALUE(RIGHT(A99,2)))</f>
        <v/>
      </c>
      <c r="D99" s="22" t="n"/>
      <c r="E99" s="22" t="n"/>
      <c r="F99" s="42" t="n"/>
      <c r="G99" s="42" t="n"/>
      <c r="H99" s="42" t="n"/>
      <c r="I99" s="43">
        <f>IF(AND(F99&lt;&gt;"",G99&lt;&gt;"",H99&lt;&gt;""),F99+G99-H99,"")</f>
        <v/>
      </c>
      <c r="J99" s="22" t="n"/>
      <c r="K99" s="22" t="n"/>
    </row>
    <row r="100">
      <c r="A100" s="18" t="n"/>
      <c r="B100" s="35">
        <f>IF(A100="","",VALUE(LEFT(A100,4)))</f>
        <v/>
      </c>
      <c r="C100" s="36">
        <f>IF(A100="","",VALUE(RIGHT(A100,2)))</f>
        <v/>
      </c>
      <c r="D100" s="18" t="n"/>
      <c r="E100" s="18" t="n"/>
      <c r="F100" s="38" t="n"/>
      <c r="G100" s="38" t="n"/>
      <c r="H100" s="38" t="n"/>
      <c r="I100" s="43">
        <f>IF(AND(F100&lt;&gt;"",G100&lt;&gt;"",H100&lt;&gt;""),F100+G100-H100,"")</f>
        <v/>
      </c>
      <c r="J100" s="18" t="n"/>
      <c r="K100" s="18" t="n"/>
    </row>
    <row r="101">
      <c r="A101" s="22" t="n"/>
      <c r="B101" s="35">
        <f>IF(A101="","",VALUE(LEFT(A101,4)))</f>
        <v/>
      </c>
      <c r="C101" s="36">
        <f>IF(A101="","",VALUE(RIGHT(A101,2)))</f>
        <v/>
      </c>
      <c r="D101" s="22" t="n"/>
      <c r="E101" s="22" t="n"/>
      <c r="F101" s="42" t="n"/>
      <c r="G101" s="42" t="n"/>
      <c r="H101" s="42" t="n"/>
      <c r="I101" s="43">
        <f>IF(AND(F101&lt;&gt;"",G101&lt;&gt;"",H101&lt;&gt;""),F101+G101-H101,"")</f>
        <v/>
      </c>
      <c r="J101" s="22" t="n"/>
      <c r="K101" s="22" t="n"/>
    </row>
    <row r="102">
      <c r="A102" s="18" t="n"/>
      <c r="B102" s="35">
        <f>IF(A102="","",VALUE(LEFT(A102,4)))</f>
        <v/>
      </c>
      <c r="C102" s="36">
        <f>IF(A102="","",VALUE(RIGHT(A102,2)))</f>
        <v/>
      </c>
      <c r="D102" s="18" t="n"/>
      <c r="E102" s="18" t="n"/>
      <c r="F102" s="38" t="n"/>
      <c r="G102" s="38" t="n"/>
      <c r="H102" s="38" t="n"/>
      <c r="I102" s="43">
        <f>IF(AND(F102&lt;&gt;"",G102&lt;&gt;"",H102&lt;&gt;""),F102+G102-H102,"")</f>
        <v/>
      </c>
      <c r="J102" s="18" t="n"/>
      <c r="K102" s="18" t="n"/>
    </row>
    <row r="103">
      <c r="A103" s="22" t="n"/>
      <c r="B103" s="35">
        <f>IF(A103="","",VALUE(LEFT(A103,4)))</f>
        <v/>
      </c>
      <c r="C103" s="36">
        <f>IF(A103="","",VALUE(RIGHT(A103,2)))</f>
        <v/>
      </c>
      <c r="D103" s="22" t="n"/>
      <c r="E103" s="22" t="n"/>
      <c r="F103" s="42" t="n"/>
      <c r="G103" s="42" t="n"/>
      <c r="H103" s="42" t="n"/>
      <c r="I103" s="43">
        <f>IF(AND(F103&lt;&gt;"",G103&lt;&gt;"",H103&lt;&gt;""),F103+G103-H103,"")</f>
        <v/>
      </c>
      <c r="J103" s="22" t="n"/>
      <c r="K103" s="22" t="n"/>
    </row>
    <row r="104">
      <c r="A104" s="18" t="n"/>
      <c r="B104" s="35">
        <f>IF(A104="","",VALUE(LEFT(A104,4)))</f>
        <v/>
      </c>
      <c r="C104" s="36">
        <f>IF(A104="","",VALUE(RIGHT(A104,2)))</f>
        <v/>
      </c>
      <c r="D104" s="18" t="n"/>
      <c r="E104" s="18" t="n"/>
      <c r="F104" s="38" t="n"/>
      <c r="G104" s="38" t="n"/>
      <c r="H104" s="38" t="n"/>
      <c r="I104" s="43">
        <f>IF(AND(F104&lt;&gt;"",G104&lt;&gt;"",H104&lt;&gt;""),F104+G104-H104,"")</f>
        <v/>
      </c>
      <c r="J104" s="18" t="n"/>
      <c r="K104" s="18" t="n"/>
    </row>
    <row r="105">
      <c r="A105" s="22" t="n"/>
      <c r="B105" s="35">
        <f>IF(A105="","",VALUE(LEFT(A105,4)))</f>
        <v/>
      </c>
      <c r="C105" s="36">
        <f>IF(A105="","",VALUE(RIGHT(A105,2)))</f>
        <v/>
      </c>
      <c r="D105" s="22" t="n"/>
      <c r="E105" s="22" t="n"/>
      <c r="F105" s="42" t="n"/>
      <c r="G105" s="42" t="n"/>
      <c r="H105" s="42" t="n"/>
      <c r="I105" s="43">
        <f>IF(AND(F105&lt;&gt;"",G105&lt;&gt;"",H105&lt;&gt;""),F105+G105-H105,"")</f>
        <v/>
      </c>
      <c r="J105" s="22" t="n"/>
      <c r="K105" s="22" t="n"/>
    </row>
    <row r="106">
      <c r="A106" s="18" t="n"/>
      <c r="B106" s="35">
        <f>IF(A106="","",VALUE(LEFT(A106,4)))</f>
        <v/>
      </c>
      <c r="C106" s="36">
        <f>IF(A106="","",VALUE(RIGHT(A106,2)))</f>
        <v/>
      </c>
      <c r="D106" s="18" t="n"/>
      <c r="E106" s="18" t="n"/>
      <c r="F106" s="38" t="n"/>
      <c r="G106" s="38" t="n"/>
      <c r="H106" s="38" t="n"/>
      <c r="I106" s="43">
        <f>IF(AND(F106&lt;&gt;"",G106&lt;&gt;"",H106&lt;&gt;""),F106+G106-H106,"")</f>
        <v/>
      </c>
      <c r="J106" s="18" t="n"/>
      <c r="K106" s="18" t="n"/>
    </row>
    <row r="107">
      <c r="A107" s="22" t="n"/>
      <c r="B107" s="35">
        <f>IF(A107="","",VALUE(LEFT(A107,4)))</f>
        <v/>
      </c>
      <c r="C107" s="36">
        <f>IF(A107="","",VALUE(RIGHT(A107,2)))</f>
        <v/>
      </c>
      <c r="D107" s="22" t="n"/>
      <c r="E107" s="22" t="n"/>
      <c r="F107" s="42" t="n"/>
      <c r="G107" s="42" t="n"/>
      <c r="H107" s="42" t="n"/>
      <c r="I107" s="43">
        <f>IF(AND(F107&lt;&gt;"",G107&lt;&gt;"",H107&lt;&gt;""),F107+G107-H107,"")</f>
        <v/>
      </c>
      <c r="J107" s="22" t="n"/>
      <c r="K107" s="22" t="n"/>
    </row>
    <row r="108">
      <c r="A108" s="18" t="n"/>
      <c r="B108" s="35">
        <f>IF(A108="","",VALUE(LEFT(A108,4)))</f>
        <v/>
      </c>
      <c r="C108" s="36">
        <f>IF(A108="","",VALUE(RIGHT(A108,2)))</f>
        <v/>
      </c>
      <c r="D108" s="18" t="n"/>
      <c r="E108" s="18" t="n"/>
      <c r="F108" s="38" t="n"/>
      <c r="G108" s="38" t="n"/>
      <c r="H108" s="38" t="n"/>
      <c r="I108" s="43">
        <f>IF(AND(F108&lt;&gt;"",G108&lt;&gt;"",H108&lt;&gt;""),F108+G108-H108,"")</f>
        <v/>
      </c>
      <c r="J108" s="18" t="n"/>
      <c r="K108" s="18" t="n"/>
    </row>
    <row r="109">
      <c r="A109" s="22" t="n"/>
      <c r="B109" s="35">
        <f>IF(A109="","",VALUE(LEFT(A109,4)))</f>
        <v/>
      </c>
      <c r="C109" s="36">
        <f>IF(A109="","",VALUE(RIGHT(A109,2)))</f>
        <v/>
      </c>
      <c r="D109" s="22" t="n"/>
      <c r="E109" s="22" t="n"/>
      <c r="F109" s="42" t="n"/>
      <c r="G109" s="42" t="n"/>
      <c r="H109" s="42" t="n"/>
      <c r="I109" s="43">
        <f>IF(AND(F109&lt;&gt;"",G109&lt;&gt;"",H109&lt;&gt;""),F109+G109-H109,"")</f>
        <v/>
      </c>
      <c r="J109" s="22" t="n"/>
      <c r="K109" s="22" t="n"/>
    </row>
    <row r="110">
      <c r="A110" s="18" t="n"/>
      <c r="B110" s="35">
        <f>IF(A110="","",VALUE(LEFT(A110,4)))</f>
        <v/>
      </c>
      <c r="C110" s="36">
        <f>IF(A110="","",VALUE(RIGHT(A110,2)))</f>
        <v/>
      </c>
      <c r="D110" s="18" t="n"/>
      <c r="E110" s="18" t="n"/>
      <c r="F110" s="38" t="n"/>
      <c r="G110" s="38" t="n"/>
      <c r="H110" s="38" t="n"/>
      <c r="I110" s="43">
        <f>IF(AND(F110&lt;&gt;"",G110&lt;&gt;"",H110&lt;&gt;""),F110+G110-H110,"")</f>
        <v/>
      </c>
      <c r="J110" s="18" t="n"/>
      <c r="K110" s="18" t="n"/>
    </row>
    <row r="111">
      <c r="A111" s="22" t="n"/>
      <c r="B111" s="35">
        <f>IF(A111="","",VALUE(LEFT(A111,4)))</f>
        <v/>
      </c>
      <c r="C111" s="36">
        <f>IF(A111="","",VALUE(RIGHT(A111,2)))</f>
        <v/>
      </c>
      <c r="D111" s="22" t="n"/>
      <c r="E111" s="22" t="n"/>
      <c r="F111" s="42" t="n"/>
      <c r="G111" s="42" t="n"/>
      <c r="H111" s="42" t="n"/>
      <c r="I111" s="43">
        <f>IF(AND(F111&lt;&gt;"",G111&lt;&gt;"",H111&lt;&gt;""),F111+G111-H111,"")</f>
        <v/>
      </c>
      <c r="J111" s="22" t="n"/>
      <c r="K111" s="22" t="n"/>
    </row>
    <row r="112">
      <c r="A112" s="18" t="n"/>
      <c r="B112" s="35">
        <f>IF(A112="","",VALUE(LEFT(A112,4)))</f>
        <v/>
      </c>
      <c r="C112" s="36">
        <f>IF(A112="","",VALUE(RIGHT(A112,2)))</f>
        <v/>
      </c>
      <c r="D112" s="18" t="n"/>
      <c r="E112" s="18" t="n"/>
      <c r="F112" s="38" t="n"/>
      <c r="G112" s="38" t="n"/>
      <c r="H112" s="38" t="n"/>
      <c r="I112" s="43">
        <f>IF(AND(F112&lt;&gt;"",G112&lt;&gt;"",H112&lt;&gt;""),F112+G112-H112,"")</f>
        <v/>
      </c>
      <c r="J112" s="18" t="n"/>
      <c r="K112" s="18" t="n"/>
    </row>
    <row r="113">
      <c r="A113" s="22" t="n"/>
      <c r="B113" s="35">
        <f>IF(A113="","",VALUE(LEFT(A113,4)))</f>
        <v/>
      </c>
      <c r="C113" s="36">
        <f>IF(A113="","",VALUE(RIGHT(A113,2)))</f>
        <v/>
      </c>
      <c r="D113" s="22" t="n"/>
      <c r="E113" s="22" t="n"/>
      <c r="F113" s="42" t="n"/>
      <c r="G113" s="42" t="n"/>
      <c r="H113" s="42" t="n"/>
      <c r="I113" s="43">
        <f>IF(AND(F113&lt;&gt;"",G113&lt;&gt;"",H113&lt;&gt;""),F113+G113-H113,"")</f>
        <v/>
      </c>
      <c r="J113" s="22" t="n"/>
      <c r="K113" s="22" t="n"/>
    </row>
    <row r="114">
      <c r="A114" s="18" t="n"/>
      <c r="B114" s="35">
        <f>IF(A114="","",VALUE(LEFT(A114,4)))</f>
        <v/>
      </c>
      <c r="C114" s="36">
        <f>IF(A114="","",VALUE(RIGHT(A114,2)))</f>
        <v/>
      </c>
      <c r="D114" s="18" t="n"/>
      <c r="E114" s="18" t="n"/>
      <c r="F114" s="38" t="n"/>
      <c r="G114" s="38" t="n"/>
      <c r="H114" s="38" t="n"/>
      <c r="I114" s="43">
        <f>IF(AND(F114&lt;&gt;"",G114&lt;&gt;"",H114&lt;&gt;""),F114+G114-H114,"")</f>
        <v/>
      </c>
      <c r="J114" s="18" t="n"/>
      <c r="K114" s="18" t="n"/>
    </row>
    <row r="115">
      <c r="A115" s="22" t="n"/>
      <c r="B115" s="35">
        <f>IF(A115="","",VALUE(LEFT(A115,4)))</f>
        <v/>
      </c>
      <c r="C115" s="36">
        <f>IF(A115="","",VALUE(RIGHT(A115,2)))</f>
        <v/>
      </c>
      <c r="D115" s="22" t="n"/>
      <c r="E115" s="22" t="n"/>
      <c r="F115" s="42" t="n"/>
      <c r="G115" s="42" t="n"/>
      <c r="H115" s="42" t="n"/>
      <c r="I115" s="43">
        <f>IF(AND(F115&lt;&gt;"",G115&lt;&gt;"",H115&lt;&gt;""),F115+G115-H115,"")</f>
        <v/>
      </c>
      <c r="J115" s="22" t="n"/>
      <c r="K115" s="22" t="n"/>
    </row>
    <row r="116">
      <c r="A116" s="18" t="n"/>
      <c r="B116" s="35">
        <f>IF(A116="","",VALUE(LEFT(A116,4)))</f>
        <v/>
      </c>
      <c r="C116" s="36">
        <f>IF(A116="","",VALUE(RIGHT(A116,2)))</f>
        <v/>
      </c>
      <c r="D116" s="18" t="n"/>
      <c r="E116" s="18" t="n"/>
      <c r="F116" s="38" t="n"/>
      <c r="G116" s="38" t="n"/>
      <c r="H116" s="38" t="n"/>
      <c r="I116" s="43">
        <f>IF(AND(F116&lt;&gt;"",G116&lt;&gt;"",H116&lt;&gt;""),F116+G116-H116,"")</f>
        <v/>
      </c>
      <c r="J116" s="18" t="n"/>
      <c r="K116" s="18" t="n"/>
    </row>
    <row r="117">
      <c r="A117" s="22" t="n"/>
      <c r="B117" s="35">
        <f>IF(A117="","",VALUE(LEFT(A117,4)))</f>
        <v/>
      </c>
      <c r="C117" s="36">
        <f>IF(A117="","",VALUE(RIGHT(A117,2)))</f>
        <v/>
      </c>
      <c r="D117" s="22" t="n"/>
      <c r="E117" s="22" t="n"/>
      <c r="F117" s="42" t="n"/>
      <c r="G117" s="42" t="n"/>
      <c r="H117" s="42" t="n"/>
      <c r="I117" s="43">
        <f>IF(AND(F117&lt;&gt;"",G117&lt;&gt;"",H117&lt;&gt;""),F117+G117-H117,"")</f>
        <v/>
      </c>
      <c r="J117" s="22" t="n"/>
      <c r="K117" s="22" t="n"/>
    </row>
    <row r="118">
      <c r="A118" s="18" t="n"/>
      <c r="B118" s="35">
        <f>IF(A118="","",VALUE(LEFT(A118,4)))</f>
        <v/>
      </c>
      <c r="C118" s="36">
        <f>IF(A118="","",VALUE(RIGHT(A118,2)))</f>
        <v/>
      </c>
      <c r="D118" s="18" t="n"/>
      <c r="E118" s="18" t="n"/>
      <c r="F118" s="38" t="n"/>
      <c r="G118" s="38" t="n"/>
      <c r="H118" s="38" t="n"/>
      <c r="I118" s="43">
        <f>IF(AND(F118&lt;&gt;"",G118&lt;&gt;"",H118&lt;&gt;""),F118+G118-H118,"")</f>
        <v/>
      </c>
      <c r="J118" s="18" t="n"/>
      <c r="K118" s="18" t="n"/>
    </row>
    <row r="119">
      <c r="A119" s="22" t="n"/>
      <c r="B119" s="35">
        <f>IF(A119="","",VALUE(LEFT(A119,4)))</f>
        <v/>
      </c>
      <c r="C119" s="36">
        <f>IF(A119="","",VALUE(RIGHT(A119,2)))</f>
        <v/>
      </c>
      <c r="D119" s="22" t="n"/>
      <c r="E119" s="22" t="n"/>
      <c r="F119" s="42" t="n"/>
      <c r="G119" s="42" t="n"/>
      <c r="H119" s="42" t="n"/>
      <c r="I119" s="43">
        <f>IF(AND(F119&lt;&gt;"",G119&lt;&gt;"",H119&lt;&gt;""),F119+G119-H119,"")</f>
        <v/>
      </c>
      <c r="J119" s="22" t="n"/>
      <c r="K119" s="22" t="n"/>
    </row>
    <row r="120">
      <c r="A120" s="18" t="n"/>
      <c r="B120" s="35">
        <f>IF(A120="","",VALUE(LEFT(A120,4)))</f>
        <v/>
      </c>
      <c r="C120" s="36">
        <f>IF(A120="","",VALUE(RIGHT(A120,2)))</f>
        <v/>
      </c>
      <c r="D120" s="18" t="n"/>
      <c r="E120" s="18" t="n"/>
      <c r="F120" s="38" t="n"/>
      <c r="G120" s="38" t="n"/>
      <c r="H120" s="38" t="n"/>
      <c r="I120" s="43">
        <f>IF(AND(F120&lt;&gt;"",G120&lt;&gt;"",H120&lt;&gt;""),F120+G120-H120,"")</f>
        <v/>
      </c>
      <c r="J120" s="18" t="n"/>
      <c r="K120" s="18" t="n"/>
    </row>
    <row r="121">
      <c r="A121" s="22" t="n"/>
      <c r="B121" s="35">
        <f>IF(A121="","",VALUE(LEFT(A121,4)))</f>
        <v/>
      </c>
      <c r="C121" s="36">
        <f>IF(A121="","",VALUE(RIGHT(A121,2)))</f>
        <v/>
      </c>
      <c r="D121" s="22" t="n"/>
      <c r="E121" s="22" t="n"/>
      <c r="F121" s="42" t="n"/>
      <c r="G121" s="42" t="n"/>
      <c r="H121" s="42" t="n"/>
      <c r="I121" s="43">
        <f>IF(AND(F121&lt;&gt;"",G121&lt;&gt;"",H121&lt;&gt;""),F121+G121-H121,"")</f>
        <v/>
      </c>
      <c r="J121" s="22" t="n"/>
      <c r="K121" s="22" t="n"/>
    </row>
    <row r="122">
      <c r="A122" s="18" t="n"/>
      <c r="B122" s="35">
        <f>IF(A122="","",VALUE(LEFT(A122,4)))</f>
        <v/>
      </c>
      <c r="C122" s="36">
        <f>IF(A122="","",VALUE(RIGHT(A122,2)))</f>
        <v/>
      </c>
      <c r="D122" s="18" t="n"/>
      <c r="E122" s="18" t="n"/>
      <c r="F122" s="38" t="n"/>
      <c r="G122" s="38" t="n"/>
      <c r="H122" s="38" t="n"/>
      <c r="I122" s="43">
        <f>IF(AND(F122&lt;&gt;"",G122&lt;&gt;"",H122&lt;&gt;""),F122+G122-H122,"")</f>
        <v/>
      </c>
      <c r="J122" s="18" t="n"/>
      <c r="K122" s="18" t="n"/>
    </row>
    <row r="123">
      <c r="A123" s="22" t="n"/>
      <c r="B123" s="35">
        <f>IF(A123="","",VALUE(LEFT(A123,4)))</f>
        <v/>
      </c>
      <c r="C123" s="36">
        <f>IF(A123="","",VALUE(RIGHT(A123,2)))</f>
        <v/>
      </c>
      <c r="D123" s="22" t="n"/>
      <c r="E123" s="22" t="n"/>
      <c r="F123" s="42" t="n"/>
      <c r="G123" s="42" t="n"/>
      <c r="H123" s="42" t="n"/>
      <c r="I123" s="43">
        <f>IF(AND(F123&lt;&gt;"",G123&lt;&gt;"",H123&lt;&gt;""),F123+G123-H123,"")</f>
        <v/>
      </c>
      <c r="J123" s="22" t="n"/>
      <c r="K123" s="22" t="n"/>
    </row>
    <row r="124">
      <c r="A124" s="18" t="n"/>
      <c r="B124" s="35">
        <f>IF(A124="","",VALUE(LEFT(A124,4)))</f>
        <v/>
      </c>
      <c r="C124" s="36">
        <f>IF(A124="","",VALUE(RIGHT(A124,2)))</f>
        <v/>
      </c>
      <c r="D124" s="18" t="n"/>
      <c r="E124" s="18" t="n"/>
      <c r="F124" s="38" t="n"/>
      <c r="G124" s="38" t="n"/>
      <c r="H124" s="38" t="n"/>
      <c r="I124" s="43">
        <f>IF(AND(F124&lt;&gt;"",G124&lt;&gt;"",H124&lt;&gt;""),F124+G124-H124,"")</f>
        <v/>
      </c>
      <c r="J124" s="18" t="n"/>
      <c r="K124" s="18" t="n"/>
    </row>
    <row r="125">
      <c r="A125" s="22" t="n"/>
      <c r="B125" s="35">
        <f>IF(A125="","",VALUE(LEFT(A125,4)))</f>
        <v/>
      </c>
      <c r="C125" s="36">
        <f>IF(A125="","",VALUE(RIGHT(A125,2)))</f>
        <v/>
      </c>
      <c r="D125" s="22" t="n"/>
      <c r="E125" s="22" t="n"/>
      <c r="F125" s="42" t="n"/>
      <c r="G125" s="42" t="n"/>
      <c r="H125" s="42" t="n"/>
      <c r="I125" s="43">
        <f>IF(AND(F125&lt;&gt;"",G125&lt;&gt;"",H125&lt;&gt;""),F125+G125-H125,"")</f>
        <v/>
      </c>
      <c r="J125" s="22" t="n"/>
      <c r="K125" s="22" t="n"/>
    </row>
    <row r="126">
      <c r="A126" s="18" t="n"/>
      <c r="B126" s="35">
        <f>IF(A126="","",VALUE(LEFT(A126,4)))</f>
        <v/>
      </c>
      <c r="C126" s="36">
        <f>IF(A126="","",VALUE(RIGHT(A126,2)))</f>
        <v/>
      </c>
      <c r="D126" s="18" t="n"/>
      <c r="E126" s="18" t="n"/>
      <c r="F126" s="38" t="n"/>
      <c r="G126" s="38" t="n"/>
      <c r="H126" s="38" t="n"/>
      <c r="I126" s="43">
        <f>IF(AND(F126&lt;&gt;"",G126&lt;&gt;"",H126&lt;&gt;""),F126+G126-H126,"")</f>
        <v/>
      </c>
      <c r="J126" s="18" t="n"/>
      <c r="K126" s="18" t="n"/>
    </row>
    <row r="127">
      <c r="A127" s="22" t="n"/>
      <c r="B127" s="35">
        <f>IF(A127="","",VALUE(LEFT(A127,4)))</f>
        <v/>
      </c>
      <c r="C127" s="36">
        <f>IF(A127="","",VALUE(RIGHT(A127,2)))</f>
        <v/>
      </c>
      <c r="D127" s="22" t="n"/>
      <c r="E127" s="22" t="n"/>
      <c r="F127" s="42" t="n"/>
      <c r="G127" s="42" t="n"/>
      <c r="H127" s="42" t="n"/>
      <c r="I127" s="43">
        <f>IF(AND(F127&lt;&gt;"",G127&lt;&gt;"",H127&lt;&gt;""),F127+G127-H127,"")</f>
        <v/>
      </c>
      <c r="J127" s="22" t="n"/>
      <c r="K127" s="22" t="n"/>
    </row>
    <row r="128">
      <c r="A128" s="18" t="n"/>
      <c r="B128" s="35">
        <f>IF(A128="","",VALUE(LEFT(A128,4)))</f>
        <v/>
      </c>
      <c r="C128" s="36">
        <f>IF(A128="","",VALUE(RIGHT(A128,2)))</f>
        <v/>
      </c>
      <c r="D128" s="18" t="n"/>
      <c r="E128" s="18" t="n"/>
      <c r="F128" s="38" t="n"/>
      <c r="G128" s="38" t="n"/>
      <c r="H128" s="38" t="n"/>
      <c r="I128" s="43">
        <f>IF(AND(F128&lt;&gt;"",G128&lt;&gt;"",H128&lt;&gt;""),F128+G128-H128,"")</f>
        <v/>
      </c>
      <c r="J128" s="18" t="n"/>
      <c r="K128" s="18" t="n"/>
    </row>
    <row r="129">
      <c r="A129" s="22" t="n"/>
      <c r="B129" s="35">
        <f>IF(A129="","",VALUE(LEFT(A129,4)))</f>
        <v/>
      </c>
      <c r="C129" s="36">
        <f>IF(A129="","",VALUE(RIGHT(A129,2)))</f>
        <v/>
      </c>
      <c r="D129" s="22" t="n"/>
      <c r="E129" s="22" t="n"/>
      <c r="F129" s="42" t="n"/>
      <c r="G129" s="42" t="n"/>
      <c r="H129" s="42" t="n"/>
      <c r="I129" s="43">
        <f>IF(AND(F129&lt;&gt;"",G129&lt;&gt;"",H129&lt;&gt;""),F129+G129-H129,"")</f>
        <v/>
      </c>
      <c r="J129" s="22" t="n"/>
      <c r="K129" s="22" t="n"/>
    </row>
    <row r="130">
      <c r="A130" s="18" t="n"/>
      <c r="B130" s="35">
        <f>IF(A130="","",VALUE(LEFT(A130,4)))</f>
        <v/>
      </c>
      <c r="C130" s="36">
        <f>IF(A130="","",VALUE(RIGHT(A130,2)))</f>
        <v/>
      </c>
      <c r="D130" s="18" t="n"/>
      <c r="E130" s="18" t="n"/>
      <c r="F130" s="38" t="n"/>
      <c r="G130" s="38" t="n"/>
      <c r="H130" s="38" t="n"/>
      <c r="I130" s="43">
        <f>IF(AND(F130&lt;&gt;"",G130&lt;&gt;"",H130&lt;&gt;""),F130+G130-H130,"")</f>
        <v/>
      </c>
      <c r="J130" s="18" t="n"/>
      <c r="K130" s="18" t="n"/>
    </row>
    <row r="131">
      <c r="A131" s="22" t="n"/>
      <c r="B131" s="35">
        <f>IF(A131="","",VALUE(LEFT(A131,4)))</f>
        <v/>
      </c>
      <c r="C131" s="36">
        <f>IF(A131="","",VALUE(RIGHT(A131,2)))</f>
        <v/>
      </c>
      <c r="D131" s="22" t="n"/>
      <c r="E131" s="22" t="n"/>
      <c r="F131" s="42" t="n"/>
      <c r="G131" s="42" t="n"/>
      <c r="H131" s="42" t="n"/>
      <c r="I131" s="43">
        <f>IF(AND(F131&lt;&gt;"",G131&lt;&gt;"",H131&lt;&gt;""),F131+G131-H131,"")</f>
        <v/>
      </c>
      <c r="J131" s="22" t="n"/>
      <c r="K131" s="22" t="n"/>
    </row>
    <row r="132">
      <c r="A132" s="18" t="n"/>
      <c r="B132" s="35">
        <f>IF(A132="","",VALUE(LEFT(A132,4)))</f>
        <v/>
      </c>
      <c r="C132" s="36">
        <f>IF(A132="","",VALUE(RIGHT(A132,2)))</f>
        <v/>
      </c>
      <c r="D132" s="18" t="n"/>
      <c r="E132" s="18" t="n"/>
      <c r="F132" s="38" t="n"/>
      <c r="G132" s="38" t="n"/>
      <c r="H132" s="38" t="n"/>
      <c r="I132" s="43">
        <f>IF(AND(F132&lt;&gt;"",G132&lt;&gt;"",H132&lt;&gt;""),F132+G132-H132,"")</f>
        <v/>
      </c>
      <c r="J132" s="18" t="n"/>
      <c r="K132" s="18" t="n"/>
    </row>
    <row r="133">
      <c r="A133" s="22" t="n"/>
      <c r="B133" s="35">
        <f>IF(A133="","",VALUE(LEFT(A133,4)))</f>
        <v/>
      </c>
      <c r="C133" s="36">
        <f>IF(A133="","",VALUE(RIGHT(A133,2)))</f>
        <v/>
      </c>
      <c r="D133" s="22" t="n"/>
      <c r="E133" s="22" t="n"/>
      <c r="F133" s="42" t="n"/>
      <c r="G133" s="42" t="n"/>
      <c r="H133" s="42" t="n"/>
      <c r="I133" s="43">
        <f>IF(AND(F133&lt;&gt;"",G133&lt;&gt;"",H133&lt;&gt;""),F133+G133-H133,"")</f>
        <v/>
      </c>
      <c r="J133" s="22" t="n"/>
      <c r="K133" s="22" t="n"/>
    </row>
    <row r="134">
      <c r="A134" s="18" t="n"/>
      <c r="B134" s="35">
        <f>IF(A134="","",VALUE(LEFT(A134,4)))</f>
        <v/>
      </c>
      <c r="C134" s="36">
        <f>IF(A134="","",VALUE(RIGHT(A134,2)))</f>
        <v/>
      </c>
      <c r="D134" s="18" t="n"/>
      <c r="E134" s="18" t="n"/>
      <c r="F134" s="38" t="n"/>
      <c r="G134" s="38" t="n"/>
      <c r="H134" s="38" t="n"/>
      <c r="I134" s="43">
        <f>IF(AND(F134&lt;&gt;"",G134&lt;&gt;"",H134&lt;&gt;""),F134+G134-H134,"")</f>
        <v/>
      </c>
      <c r="J134" s="18" t="n"/>
      <c r="K134" s="18" t="n"/>
    </row>
    <row r="135">
      <c r="A135" s="22" t="n"/>
      <c r="B135" s="35">
        <f>IF(A135="","",VALUE(LEFT(A135,4)))</f>
        <v/>
      </c>
      <c r="C135" s="36">
        <f>IF(A135="","",VALUE(RIGHT(A135,2)))</f>
        <v/>
      </c>
      <c r="D135" s="22" t="n"/>
      <c r="E135" s="22" t="n"/>
      <c r="F135" s="42" t="n"/>
      <c r="G135" s="42" t="n"/>
      <c r="H135" s="42" t="n"/>
      <c r="I135" s="43">
        <f>IF(AND(F135&lt;&gt;"",G135&lt;&gt;"",H135&lt;&gt;""),F135+G135-H135,"")</f>
        <v/>
      </c>
      <c r="J135" s="22" t="n"/>
      <c r="K135" s="22" t="n"/>
    </row>
    <row r="136">
      <c r="A136" s="18" t="n"/>
      <c r="B136" s="35">
        <f>IF(A136="","",VALUE(LEFT(A136,4)))</f>
        <v/>
      </c>
      <c r="C136" s="36">
        <f>IF(A136="","",VALUE(RIGHT(A136,2)))</f>
        <v/>
      </c>
      <c r="D136" s="18" t="n"/>
      <c r="E136" s="18" t="n"/>
      <c r="F136" s="38" t="n"/>
      <c r="G136" s="38" t="n"/>
      <c r="H136" s="38" t="n"/>
      <c r="I136" s="43">
        <f>IF(AND(F136&lt;&gt;"",G136&lt;&gt;"",H136&lt;&gt;""),F136+G136-H136,"")</f>
        <v/>
      </c>
      <c r="J136" s="18" t="n"/>
      <c r="K136" s="18" t="n"/>
    </row>
    <row r="137">
      <c r="A137" s="22" t="n"/>
      <c r="B137" s="35">
        <f>IF(A137="","",VALUE(LEFT(A137,4)))</f>
        <v/>
      </c>
      <c r="C137" s="36">
        <f>IF(A137="","",VALUE(RIGHT(A137,2)))</f>
        <v/>
      </c>
      <c r="D137" s="22" t="n"/>
      <c r="E137" s="22" t="n"/>
      <c r="F137" s="42" t="n"/>
      <c r="G137" s="42" t="n"/>
      <c r="H137" s="42" t="n"/>
      <c r="I137" s="43">
        <f>IF(AND(F137&lt;&gt;"",G137&lt;&gt;"",H137&lt;&gt;""),F137+G137-H137,"")</f>
        <v/>
      </c>
      <c r="J137" s="22" t="n"/>
      <c r="K137" s="22" t="n"/>
    </row>
    <row r="138">
      <c r="A138" s="18" t="n"/>
      <c r="B138" s="35">
        <f>IF(A138="","",VALUE(LEFT(A138,4)))</f>
        <v/>
      </c>
      <c r="C138" s="36">
        <f>IF(A138="","",VALUE(RIGHT(A138,2)))</f>
        <v/>
      </c>
      <c r="D138" s="18" t="n"/>
      <c r="E138" s="18" t="n"/>
      <c r="F138" s="38" t="n"/>
      <c r="G138" s="38" t="n"/>
      <c r="H138" s="38" t="n"/>
      <c r="I138" s="43">
        <f>IF(AND(F138&lt;&gt;"",G138&lt;&gt;"",H138&lt;&gt;""),F138+G138-H138,"")</f>
        <v/>
      </c>
      <c r="J138" s="18" t="n"/>
      <c r="K138" s="18" t="n"/>
    </row>
    <row r="139">
      <c r="A139" s="22" t="n"/>
      <c r="B139" s="35">
        <f>IF(A139="","",VALUE(LEFT(A139,4)))</f>
        <v/>
      </c>
      <c r="C139" s="36">
        <f>IF(A139="","",VALUE(RIGHT(A139,2)))</f>
        <v/>
      </c>
      <c r="D139" s="22" t="n"/>
      <c r="E139" s="22" t="n"/>
      <c r="F139" s="42" t="n"/>
      <c r="G139" s="42" t="n"/>
      <c r="H139" s="42" t="n"/>
      <c r="I139" s="43">
        <f>IF(AND(F139&lt;&gt;"",G139&lt;&gt;"",H139&lt;&gt;""),F139+G139-H139,"")</f>
        <v/>
      </c>
      <c r="J139" s="22" t="n"/>
      <c r="K139" s="22" t="n"/>
    </row>
    <row r="140">
      <c r="A140" s="18" t="n"/>
      <c r="B140" s="35">
        <f>IF(A140="","",VALUE(LEFT(A140,4)))</f>
        <v/>
      </c>
      <c r="C140" s="36">
        <f>IF(A140="","",VALUE(RIGHT(A140,2)))</f>
        <v/>
      </c>
      <c r="D140" s="18" t="n"/>
      <c r="E140" s="18" t="n"/>
      <c r="F140" s="38" t="n"/>
      <c r="G140" s="38" t="n"/>
      <c r="H140" s="38" t="n"/>
      <c r="I140" s="43">
        <f>IF(AND(F140&lt;&gt;"",G140&lt;&gt;"",H140&lt;&gt;""),F140+G140-H140,"")</f>
        <v/>
      </c>
      <c r="J140" s="18" t="n"/>
      <c r="K140" s="18" t="n"/>
    </row>
    <row r="141">
      <c r="A141" s="22" t="n"/>
      <c r="B141" s="35">
        <f>IF(A141="","",VALUE(LEFT(A141,4)))</f>
        <v/>
      </c>
      <c r="C141" s="36">
        <f>IF(A141="","",VALUE(RIGHT(A141,2)))</f>
        <v/>
      </c>
      <c r="D141" s="22" t="n"/>
      <c r="E141" s="22" t="n"/>
      <c r="F141" s="42" t="n"/>
      <c r="G141" s="42" t="n"/>
      <c r="H141" s="42" t="n"/>
      <c r="I141" s="43">
        <f>IF(AND(F141&lt;&gt;"",G141&lt;&gt;"",H141&lt;&gt;""),F141+G141-H141,"")</f>
        <v/>
      </c>
      <c r="J141" s="22" t="n"/>
      <c r="K141" s="22" t="n"/>
    </row>
    <row r="142">
      <c r="A142" s="18" t="n"/>
      <c r="B142" s="35">
        <f>IF(A142="","",VALUE(LEFT(A142,4)))</f>
        <v/>
      </c>
      <c r="C142" s="36">
        <f>IF(A142="","",VALUE(RIGHT(A142,2)))</f>
        <v/>
      </c>
      <c r="D142" s="18" t="n"/>
      <c r="E142" s="18" t="n"/>
      <c r="F142" s="38" t="n"/>
      <c r="G142" s="38" t="n"/>
      <c r="H142" s="38" t="n"/>
      <c r="I142" s="43">
        <f>IF(AND(F142&lt;&gt;"",G142&lt;&gt;"",H142&lt;&gt;""),F142+G142-H142,"")</f>
        <v/>
      </c>
      <c r="J142" s="18" t="n"/>
      <c r="K142" s="18" t="n"/>
    </row>
    <row r="143">
      <c r="A143" s="22" t="n"/>
      <c r="B143" s="35">
        <f>IF(A143="","",VALUE(LEFT(A143,4)))</f>
        <v/>
      </c>
      <c r="C143" s="36">
        <f>IF(A143="","",VALUE(RIGHT(A143,2)))</f>
        <v/>
      </c>
      <c r="D143" s="22" t="n"/>
      <c r="E143" s="22" t="n"/>
      <c r="F143" s="42" t="n"/>
      <c r="G143" s="42" t="n"/>
      <c r="H143" s="42" t="n"/>
      <c r="I143" s="43">
        <f>IF(AND(F143&lt;&gt;"",G143&lt;&gt;"",H143&lt;&gt;""),F143+G143-H143,"")</f>
        <v/>
      </c>
      <c r="J143" s="22" t="n"/>
      <c r="K143" s="22" t="n"/>
    </row>
    <row r="144">
      <c r="A144" s="18" t="n"/>
      <c r="B144" s="35">
        <f>IF(A144="","",VALUE(LEFT(A144,4)))</f>
        <v/>
      </c>
      <c r="C144" s="36">
        <f>IF(A144="","",VALUE(RIGHT(A144,2)))</f>
        <v/>
      </c>
      <c r="D144" s="18" t="n"/>
      <c r="E144" s="18" t="n"/>
      <c r="F144" s="38" t="n"/>
      <c r="G144" s="38" t="n"/>
      <c r="H144" s="38" t="n"/>
      <c r="I144" s="43">
        <f>IF(AND(F144&lt;&gt;"",G144&lt;&gt;"",H144&lt;&gt;""),F144+G144-H144,"")</f>
        <v/>
      </c>
      <c r="J144" s="18" t="n"/>
      <c r="K144" s="18" t="n"/>
    </row>
    <row r="145">
      <c r="A145" s="22" t="n"/>
      <c r="B145" s="35">
        <f>IF(A145="","",VALUE(LEFT(A145,4)))</f>
        <v/>
      </c>
      <c r="C145" s="36">
        <f>IF(A145="","",VALUE(RIGHT(A145,2)))</f>
        <v/>
      </c>
      <c r="D145" s="22" t="n"/>
      <c r="E145" s="22" t="n"/>
      <c r="F145" s="42" t="n"/>
      <c r="G145" s="42" t="n"/>
      <c r="H145" s="42" t="n"/>
      <c r="I145" s="43">
        <f>IF(AND(F145&lt;&gt;"",G145&lt;&gt;"",H145&lt;&gt;""),F145+G145-H145,"")</f>
        <v/>
      </c>
      <c r="J145" s="22" t="n"/>
      <c r="K145" s="22" t="n"/>
    </row>
    <row r="146">
      <c r="A146" s="18" t="n"/>
      <c r="B146" s="35">
        <f>IF(A146="","",VALUE(LEFT(A146,4)))</f>
        <v/>
      </c>
      <c r="C146" s="36">
        <f>IF(A146="","",VALUE(RIGHT(A146,2)))</f>
        <v/>
      </c>
      <c r="D146" s="18" t="n"/>
      <c r="E146" s="18" t="n"/>
      <c r="F146" s="38" t="n"/>
      <c r="G146" s="38" t="n"/>
      <c r="H146" s="38" t="n"/>
      <c r="I146" s="43">
        <f>IF(AND(F146&lt;&gt;"",G146&lt;&gt;"",H146&lt;&gt;""),F146+G146-H146,"")</f>
        <v/>
      </c>
      <c r="J146" s="18" t="n"/>
      <c r="K146" s="18" t="n"/>
    </row>
    <row r="147">
      <c r="A147" s="22" t="n"/>
      <c r="B147" s="35">
        <f>IF(A147="","",VALUE(LEFT(A147,4)))</f>
        <v/>
      </c>
      <c r="C147" s="36">
        <f>IF(A147="","",VALUE(RIGHT(A147,2)))</f>
        <v/>
      </c>
      <c r="D147" s="22" t="n"/>
      <c r="E147" s="22" t="n"/>
      <c r="F147" s="42" t="n"/>
      <c r="G147" s="42" t="n"/>
      <c r="H147" s="42" t="n"/>
      <c r="I147" s="43">
        <f>IF(AND(F147&lt;&gt;"",G147&lt;&gt;"",H147&lt;&gt;""),F147+G147-H147,"")</f>
        <v/>
      </c>
      <c r="J147" s="22" t="n"/>
      <c r="K147" s="22" t="n"/>
    </row>
    <row r="148">
      <c r="A148" s="18" t="n"/>
      <c r="B148" s="35">
        <f>IF(A148="","",VALUE(LEFT(A148,4)))</f>
        <v/>
      </c>
      <c r="C148" s="36">
        <f>IF(A148="","",VALUE(RIGHT(A148,2)))</f>
        <v/>
      </c>
      <c r="D148" s="18" t="n"/>
      <c r="E148" s="18" t="n"/>
      <c r="F148" s="38" t="n"/>
      <c r="G148" s="38" t="n"/>
      <c r="H148" s="38" t="n"/>
      <c r="I148" s="43">
        <f>IF(AND(F148&lt;&gt;"",G148&lt;&gt;"",H148&lt;&gt;""),F148+G148-H148,"")</f>
        <v/>
      </c>
      <c r="J148" s="18" t="n"/>
      <c r="K148" s="18" t="n"/>
    </row>
    <row r="149">
      <c r="A149" s="22" t="n"/>
      <c r="B149" s="35">
        <f>IF(A149="","",VALUE(LEFT(A149,4)))</f>
        <v/>
      </c>
      <c r="C149" s="36">
        <f>IF(A149="","",VALUE(RIGHT(A149,2)))</f>
        <v/>
      </c>
      <c r="D149" s="22" t="n"/>
      <c r="E149" s="22" t="n"/>
      <c r="F149" s="42" t="n"/>
      <c r="G149" s="42" t="n"/>
      <c r="H149" s="42" t="n"/>
      <c r="I149" s="43">
        <f>IF(AND(F149&lt;&gt;"",G149&lt;&gt;"",H149&lt;&gt;""),F149+G149-H149,"")</f>
        <v/>
      </c>
      <c r="J149" s="22" t="n"/>
      <c r="K149" s="22" t="n"/>
    </row>
    <row r="150">
      <c r="A150" s="18" t="n"/>
      <c r="B150" s="35">
        <f>IF(A150="","",VALUE(LEFT(A150,4)))</f>
        <v/>
      </c>
      <c r="C150" s="36">
        <f>IF(A150="","",VALUE(RIGHT(A150,2)))</f>
        <v/>
      </c>
      <c r="D150" s="18" t="n"/>
      <c r="E150" s="18" t="n"/>
      <c r="F150" s="38" t="n"/>
      <c r="G150" s="38" t="n"/>
      <c r="H150" s="38" t="n"/>
      <c r="I150" s="43">
        <f>IF(AND(F150&lt;&gt;"",G150&lt;&gt;"",H150&lt;&gt;""),F150+G150-H150,"")</f>
        <v/>
      </c>
      <c r="J150" s="18" t="n"/>
      <c r="K150" s="18" t="n"/>
    </row>
    <row r="151">
      <c r="A151" s="22" t="n"/>
      <c r="B151" s="35">
        <f>IF(A151="","",VALUE(LEFT(A151,4)))</f>
        <v/>
      </c>
      <c r="C151" s="36">
        <f>IF(A151="","",VALUE(RIGHT(A151,2)))</f>
        <v/>
      </c>
      <c r="D151" s="22" t="n"/>
      <c r="E151" s="22" t="n"/>
      <c r="F151" s="42" t="n"/>
      <c r="G151" s="42" t="n"/>
      <c r="H151" s="42" t="n"/>
      <c r="I151" s="43">
        <f>IF(AND(F151&lt;&gt;"",G151&lt;&gt;"",H151&lt;&gt;""),F151+G151-H151,"")</f>
        <v/>
      </c>
      <c r="J151" s="22" t="n"/>
      <c r="K151" s="22" t="n"/>
    </row>
    <row r="152">
      <c r="A152" s="18" t="n"/>
      <c r="B152" s="35">
        <f>IF(A152="","",VALUE(LEFT(A152,4)))</f>
        <v/>
      </c>
      <c r="C152" s="36">
        <f>IF(A152="","",VALUE(RIGHT(A152,2)))</f>
        <v/>
      </c>
      <c r="D152" s="18" t="n"/>
      <c r="E152" s="18" t="n"/>
      <c r="F152" s="38" t="n"/>
      <c r="G152" s="38" t="n"/>
      <c r="H152" s="38" t="n"/>
      <c r="I152" s="43">
        <f>IF(AND(F152&lt;&gt;"",G152&lt;&gt;"",H152&lt;&gt;""),F152+G152-H152,"")</f>
        <v/>
      </c>
      <c r="J152" s="18" t="n"/>
      <c r="K152" s="18" t="n"/>
    </row>
    <row r="153">
      <c r="A153" s="22" t="n"/>
      <c r="B153" s="35">
        <f>IF(A153="","",VALUE(LEFT(A153,4)))</f>
        <v/>
      </c>
      <c r="C153" s="36">
        <f>IF(A153="","",VALUE(RIGHT(A153,2)))</f>
        <v/>
      </c>
      <c r="D153" s="22" t="n"/>
      <c r="E153" s="22" t="n"/>
      <c r="F153" s="42" t="n"/>
      <c r="G153" s="42" t="n"/>
      <c r="H153" s="42" t="n"/>
      <c r="I153" s="43">
        <f>IF(AND(F153&lt;&gt;"",G153&lt;&gt;"",H153&lt;&gt;""),F153+G153-H153,"")</f>
        <v/>
      </c>
      <c r="J153" s="22" t="n"/>
      <c r="K153" s="22" t="n"/>
    </row>
    <row r="154">
      <c r="A154" s="18" t="n"/>
      <c r="B154" s="35">
        <f>IF(A154="","",VALUE(LEFT(A154,4)))</f>
        <v/>
      </c>
      <c r="C154" s="36">
        <f>IF(A154="","",VALUE(RIGHT(A154,2)))</f>
        <v/>
      </c>
      <c r="D154" s="18" t="n"/>
      <c r="E154" s="18" t="n"/>
      <c r="F154" s="38" t="n"/>
      <c r="G154" s="38" t="n"/>
      <c r="H154" s="38" t="n"/>
      <c r="I154" s="43">
        <f>IF(AND(F154&lt;&gt;"",G154&lt;&gt;"",H154&lt;&gt;""),F154+G154-H154,"")</f>
        <v/>
      </c>
      <c r="J154" s="18" t="n"/>
      <c r="K154" s="18" t="n"/>
    </row>
    <row r="155">
      <c r="A155" s="22" t="n"/>
      <c r="B155" s="35">
        <f>IF(A155="","",VALUE(LEFT(A155,4)))</f>
        <v/>
      </c>
      <c r="C155" s="36">
        <f>IF(A155="","",VALUE(RIGHT(A155,2)))</f>
        <v/>
      </c>
      <c r="D155" s="22" t="n"/>
      <c r="E155" s="22" t="n"/>
      <c r="F155" s="42" t="n"/>
      <c r="G155" s="42" t="n"/>
      <c r="H155" s="42" t="n"/>
      <c r="I155" s="43">
        <f>IF(AND(F155&lt;&gt;"",G155&lt;&gt;"",H155&lt;&gt;""),F155+G155-H155,"")</f>
        <v/>
      </c>
      <c r="J155" s="22" t="n"/>
      <c r="K155" s="22" t="n"/>
    </row>
    <row r="156">
      <c r="A156" s="18" t="n"/>
      <c r="B156" s="35">
        <f>IF(A156="","",VALUE(LEFT(A156,4)))</f>
        <v/>
      </c>
      <c r="C156" s="36">
        <f>IF(A156="","",VALUE(RIGHT(A156,2)))</f>
        <v/>
      </c>
      <c r="D156" s="18" t="n"/>
      <c r="E156" s="18" t="n"/>
      <c r="F156" s="38" t="n"/>
      <c r="G156" s="38" t="n"/>
      <c r="H156" s="38" t="n"/>
      <c r="I156" s="43">
        <f>IF(AND(F156&lt;&gt;"",G156&lt;&gt;"",H156&lt;&gt;""),F156+G156-H156,"")</f>
        <v/>
      </c>
      <c r="J156" s="18" t="n"/>
      <c r="K156" s="18" t="n"/>
    </row>
    <row r="157">
      <c r="A157" s="22" t="n"/>
      <c r="B157" s="35">
        <f>IF(A157="","",VALUE(LEFT(A157,4)))</f>
        <v/>
      </c>
      <c r="C157" s="36">
        <f>IF(A157="","",VALUE(RIGHT(A157,2)))</f>
        <v/>
      </c>
      <c r="D157" s="22" t="n"/>
      <c r="E157" s="22" t="n"/>
      <c r="F157" s="42" t="n"/>
      <c r="G157" s="42" t="n"/>
      <c r="H157" s="42" t="n"/>
      <c r="I157" s="43">
        <f>IF(AND(F157&lt;&gt;"",G157&lt;&gt;"",H157&lt;&gt;""),F157+G157-H157,"")</f>
        <v/>
      </c>
      <c r="J157" s="22" t="n"/>
      <c r="K157" s="22" t="n"/>
    </row>
    <row r="158">
      <c r="A158" s="18" t="n"/>
      <c r="B158" s="35">
        <f>IF(A158="","",VALUE(LEFT(A158,4)))</f>
        <v/>
      </c>
      <c r="C158" s="36">
        <f>IF(A158="","",VALUE(RIGHT(A158,2)))</f>
        <v/>
      </c>
      <c r="D158" s="18" t="n"/>
      <c r="E158" s="18" t="n"/>
      <c r="F158" s="38" t="n"/>
      <c r="G158" s="38" t="n"/>
      <c r="H158" s="38" t="n"/>
      <c r="I158" s="43">
        <f>IF(AND(F158&lt;&gt;"",G158&lt;&gt;"",H158&lt;&gt;""),F158+G158-H158,"")</f>
        <v/>
      </c>
      <c r="J158" s="18" t="n"/>
      <c r="K158" s="18" t="n"/>
    </row>
    <row r="159">
      <c r="A159" s="22" t="n"/>
      <c r="B159" s="35">
        <f>IF(A159="","",VALUE(LEFT(A159,4)))</f>
        <v/>
      </c>
      <c r="C159" s="36">
        <f>IF(A159="","",VALUE(RIGHT(A159,2)))</f>
        <v/>
      </c>
      <c r="D159" s="22" t="n"/>
      <c r="E159" s="22" t="n"/>
      <c r="F159" s="42" t="n"/>
      <c r="G159" s="42" t="n"/>
      <c r="H159" s="42" t="n"/>
      <c r="I159" s="43">
        <f>IF(AND(F159&lt;&gt;"",G159&lt;&gt;"",H159&lt;&gt;""),F159+G159-H159,"")</f>
        <v/>
      </c>
      <c r="J159" s="22" t="n"/>
      <c r="K159" s="22" t="n"/>
    </row>
    <row r="160">
      <c r="A160" s="18" t="n"/>
      <c r="B160" s="35">
        <f>IF(A160="","",VALUE(LEFT(A160,4)))</f>
        <v/>
      </c>
      <c r="C160" s="36">
        <f>IF(A160="","",VALUE(RIGHT(A160,2)))</f>
        <v/>
      </c>
      <c r="D160" s="18" t="n"/>
      <c r="E160" s="18" t="n"/>
      <c r="F160" s="38" t="n"/>
      <c r="G160" s="38" t="n"/>
      <c r="H160" s="38" t="n"/>
      <c r="I160" s="43">
        <f>IF(AND(F160&lt;&gt;"",G160&lt;&gt;"",H160&lt;&gt;""),F160+G160-H160,"")</f>
        <v/>
      </c>
      <c r="J160" s="18" t="n"/>
      <c r="K160" s="18" t="n"/>
    </row>
    <row r="161">
      <c r="A161" s="22" t="n"/>
      <c r="B161" s="35">
        <f>IF(A161="","",VALUE(LEFT(A161,4)))</f>
        <v/>
      </c>
      <c r="C161" s="36">
        <f>IF(A161="","",VALUE(RIGHT(A161,2)))</f>
        <v/>
      </c>
      <c r="D161" s="22" t="n"/>
      <c r="E161" s="22" t="n"/>
      <c r="F161" s="42" t="n"/>
      <c r="G161" s="42" t="n"/>
      <c r="H161" s="42" t="n"/>
      <c r="I161" s="43">
        <f>IF(AND(F161&lt;&gt;"",G161&lt;&gt;"",H161&lt;&gt;""),F161+G161-H161,"")</f>
        <v/>
      </c>
      <c r="J161" s="22" t="n"/>
      <c r="K161" s="22" t="n"/>
    </row>
    <row r="162">
      <c r="A162" s="18" t="n"/>
      <c r="B162" s="35">
        <f>IF(A162="","",VALUE(LEFT(A162,4)))</f>
        <v/>
      </c>
      <c r="C162" s="36">
        <f>IF(A162="","",VALUE(RIGHT(A162,2)))</f>
        <v/>
      </c>
      <c r="D162" s="18" t="n"/>
      <c r="E162" s="18" t="n"/>
      <c r="F162" s="38" t="n"/>
      <c r="G162" s="38" t="n"/>
      <c r="H162" s="38" t="n"/>
      <c r="I162" s="43">
        <f>IF(AND(F162&lt;&gt;"",G162&lt;&gt;"",H162&lt;&gt;""),F162+G162-H162,"")</f>
        <v/>
      </c>
      <c r="J162" s="18" t="n"/>
      <c r="K162" s="18" t="n"/>
    </row>
    <row r="163">
      <c r="A163" s="22" t="n"/>
      <c r="B163" s="35">
        <f>IF(A163="","",VALUE(LEFT(A163,4)))</f>
        <v/>
      </c>
      <c r="C163" s="36">
        <f>IF(A163="","",VALUE(RIGHT(A163,2)))</f>
        <v/>
      </c>
      <c r="D163" s="22" t="n"/>
      <c r="E163" s="22" t="n"/>
      <c r="F163" s="42" t="n"/>
      <c r="G163" s="42" t="n"/>
      <c r="H163" s="42" t="n"/>
      <c r="I163" s="43">
        <f>IF(AND(F163&lt;&gt;"",G163&lt;&gt;"",H163&lt;&gt;""),F163+G163-H163,"")</f>
        <v/>
      </c>
      <c r="J163" s="22" t="n"/>
      <c r="K163" s="22" t="n"/>
    </row>
    <row r="164">
      <c r="A164" s="18" t="n"/>
      <c r="B164" s="35">
        <f>IF(A164="","",VALUE(LEFT(A164,4)))</f>
        <v/>
      </c>
      <c r="C164" s="36">
        <f>IF(A164="","",VALUE(RIGHT(A164,2)))</f>
        <v/>
      </c>
      <c r="D164" s="18" t="n"/>
      <c r="E164" s="18" t="n"/>
      <c r="F164" s="38" t="n"/>
      <c r="G164" s="38" t="n"/>
      <c r="H164" s="38" t="n"/>
      <c r="I164" s="43">
        <f>IF(AND(F164&lt;&gt;"",G164&lt;&gt;"",H164&lt;&gt;""),F164+G164-H164,"")</f>
        <v/>
      </c>
      <c r="J164" s="18" t="n"/>
      <c r="K164" s="18" t="n"/>
    </row>
    <row r="165">
      <c r="A165" s="22" t="n"/>
      <c r="B165" s="35">
        <f>IF(A165="","",VALUE(LEFT(A165,4)))</f>
        <v/>
      </c>
      <c r="C165" s="36">
        <f>IF(A165="","",VALUE(RIGHT(A165,2)))</f>
        <v/>
      </c>
      <c r="D165" s="22" t="n"/>
      <c r="E165" s="22" t="n"/>
      <c r="F165" s="42" t="n"/>
      <c r="G165" s="42" t="n"/>
      <c r="H165" s="42" t="n"/>
      <c r="I165" s="43">
        <f>IF(AND(F165&lt;&gt;"",G165&lt;&gt;"",H165&lt;&gt;""),F165+G165-H165,"")</f>
        <v/>
      </c>
      <c r="J165" s="22" t="n"/>
      <c r="K165" s="22" t="n"/>
    </row>
    <row r="166">
      <c r="A166" s="18" t="n"/>
      <c r="B166" s="35">
        <f>IF(A166="","",VALUE(LEFT(A166,4)))</f>
        <v/>
      </c>
      <c r="C166" s="36">
        <f>IF(A166="","",VALUE(RIGHT(A166,2)))</f>
        <v/>
      </c>
      <c r="D166" s="18" t="n"/>
      <c r="E166" s="18" t="n"/>
      <c r="F166" s="38" t="n"/>
      <c r="G166" s="38" t="n"/>
      <c r="H166" s="38" t="n"/>
      <c r="I166" s="43">
        <f>IF(AND(F166&lt;&gt;"",G166&lt;&gt;"",H166&lt;&gt;""),F166+G166-H166,"")</f>
        <v/>
      </c>
      <c r="J166" s="18" t="n"/>
      <c r="K166" s="18" t="n"/>
    </row>
    <row r="167">
      <c r="A167" s="22" t="n"/>
      <c r="B167" s="35">
        <f>IF(A167="","",VALUE(LEFT(A167,4)))</f>
        <v/>
      </c>
      <c r="C167" s="36">
        <f>IF(A167="","",VALUE(RIGHT(A167,2)))</f>
        <v/>
      </c>
      <c r="D167" s="22" t="n"/>
      <c r="E167" s="22" t="n"/>
      <c r="F167" s="42" t="n"/>
      <c r="G167" s="42" t="n"/>
      <c r="H167" s="42" t="n"/>
      <c r="I167" s="43">
        <f>IF(AND(F167&lt;&gt;"",G167&lt;&gt;"",H167&lt;&gt;""),F167+G167-H167,"")</f>
        <v/>
      </c>
      <c r="J167" s="22" t="n"/>
      <c r="K167" s="22" t="n"/>
    </row>
    <row r="168">
      <c r="A168" s="18" t="n"/>
      <c r="B168" s="35">
        <f>IF(A168="","",VALUE(LEFT(A168,4)))</f>
        <v/>
      </c>
      <c r="C168" s="36">
        <f>IF(A168="","",VALUE(RIGHT(A168,2)))</f>
        <v/>
      </c>
      <c r="D168" s="18" t="n"/>
      <c r="E168" s="18" t="n"/>
      <c r="F168" s="38" t="n"/>
      <c r="G168" s="38" t="n"/>
      <c r="H168" s="38" t="n"/>
      <c r="I168" s="43">
        <f>IF(AND(F168&lt;&gt;"",G168&lt;&gt;"",H168&lt;&gt;""),F168+G168-H168,"")</f>
        <v/>
      </c>
      <c r="J168" s="18" t="n"/>
      <c r="K168" s="18" t="n"/>
    </row>
    <row r="169">
      <c r="A169" s="22" t="n"/>
      <c r="B169" s="35">
        <f>IF(A169="","",VALUE(LEFT(A169,4)))</f>
        <v/>
      </c>
      <c r="C169" s="36">
        <f>IF(A169="","",VALUE(RIGHT(A169,2)))</f>
        <v/>
      </c>
      <c r="D169" s="22" t="n"/>
      <c r="E169" s="22" t="n"/>
      <c r="F169" s="42" t="n"/>
      <c r="G169" s="42" t="n"/>
      <c r="H169" s="42" t="n"/>
      <c r="I169" s="43">
        <f>IF(AND(F169&lt;&gt;"",G169&lt;&gt;"",H169&lt;&gt;""),F169+G169-H169,"")</f>
        <v/>
      </c>
      <c r="J169" s="22" t="n"/>
      <c r="K169" s="22" t="n"/>
    </row>
    <row r="170">
      <c r="A170" s="18" t="n"/>
      <c r="B170" s="35">
        <f>IF(A170="","",VALUE(LEFT(A170,4)))</f>
        <v/>
      </c>
      <c r="C170" s="36">
        <f>IF(A170="","",VALUE(RIGHT(A170,2)))</f>
        <v/>
      </c>
      <c r="D170" s="18" t="n"/>
      <c r="E170" s="18" t="n"/>
      <c r="F170" s="38" t="n"/>
      <c r="G170" s="38" t="n"/>
      <c r="H170" s="38" t="n"/>
      <c r="I170" s="43">
        <f>IF(AND(F170&lt;&gt;"",G170&lt;&gt;"",H170&lt;&gt;""),F170+G170-H170,"")</f>
        <v/>
      </c>
      <c r="J170" s="18" t="n"/>
      <c r="K170" s="18" t="n"/>
    </row>
    <row r="171">
      <c r="A171" s="22" t="n"/>
      <c r="B171" s="35">
        <f>IF(A171="","",VALUE(LEFT(A171,4)))</f>
        <v/>
      </c>
      <c r="C171" s="36">
        <f>IF(A171="","",VALUE(RIGHT(A171,2)))</f>
        <v/>
      </c>
      <c r="D171" s="22" t="n"/>
      <c r="E171" s="22" t="n"/>
      <c r="F171" s="42" t="n"/>
      <c r="G171" s="42" t="n"/>
      <c r="H171" s="42" t="n"/>
      <c r="I171" s="43">
        <f>IF(AND(F171&lt;&gt;"",G171&lt;&gt;"",H171&lt;&gt;""),F171+G171-H171,"")</f>
        <v/>
      </c>
      <c r="J171" s="22" t="n"/>
      <c r="K171" s="22" t="n"/>
    </row>
    <row r="172">
      <c r="A172" s="18" t="n"/>
      <c r="B172" s="35">
        <f>IF(A172="","",VALUE(LEFT(A172,4)))</f>
        <v/>
      </c>
      <c r="C172" s="36">
        <f>IF(A172="","",VALUE(RIGHT(A172,2)))</f>
        <v/>
      </c>
      <c r="D172" s="18" t="n"/>
      <c r="E172" s="18" t="n"/>
      <c r="F172" s="38" t="n"/>
      <c r="G172" s="38" t="n"/>
      <c r="H172" s="38" t="n"/>
      <c r="I172" s="43">
        <f>IF(AND(F172&lt;&gt;"",G172&lt;&gt;"",H172&lt;&gt;""),F172+G172-H172,"")</f>
        <v/>
      </c>
      <c r="J172" s="18" t="n"/>
      <c r="K172" s="18" t="n"/>
    </row>
    <row r="173">
      <c r="A173" s="22" t="n"/>
      <c r="B173" s="35">
        <f>IF(A173="","",VALUE(LEFT(A173,4)))</f>
        <v/>
      </c>
      <c r="C173" s="36">
        <f>IF(A173="","",VALUE(RIGHT(A173,2)))</f>
        <v/>
      </c>
      <c r="D173" s="22" t="n"/>
      <c r="E173" s="22" t="n"/>
      <c r="F173" s="42" t="n"/>
      <c r="G173" s="42" t="n"/>
      <c r="H173" s="42" t="n"/>
      <c r="I173" s="43">
        <f>IF(AND(F173&lt;&gt;"",G173&lt;&gt;"",H173&lt;&gt;""),F173+G173-H173,"")</f>
        <v/>
      </c>
      <c r="J173" s="22" t="n"/>
      <c r="K173" s="22" t="n"/>
    </row>
    <row r="174">
      <c r="A174" s="18" t="n"/>
      <c r="B174" s="35">
        <f>IF(A174="","",VALUE(LEFT(A174,4)))</f>
        <v/>
      </c>
      <c r="C174" s="36">
        <f>IF(A174="","",VALUE(RIGHT(A174,2)))</f>
        <v/>
      </c>
      <c r="D174" s="18" t="n"/>
      <c r="E174" s="18" t="n"/>
      <c r="F174" s="38" t="n"/>
      <c r="G174" s="38" t="n"/>
      <c r="H174" s="38" t="n"/>
      <c r="I174" s="43">
        <f>IF(AND(F174&lt;&gt;"",G174&lt;&gt;"",H174&lt;&gt;""),F174+G174-H174,"")</f>
        <v/>
      </c>
      <c r="J174" s="18" t="n"/>
      <c r="K174" s="18" t="n"/>
    </row>
    <row r="175">
      <c r="A175" s="22" t="n"/>
      <c r="B175" s="35">
        <f>IF(A175="","",VALUE(LEFT(A175,4)))</f>
        <v/>
      </c>
      <c r="C175" s="36">
        <f>IF(A175="","",VALUE(RIGHT(A175,2)))</f>
        <v/>
      </c>
      <c r="D175" s="22" t="n"/>
      <c r="E175" s="22" t="n"/>
      <c r="F175" s="42" t="n"/>
      <c r="G175" s="42" t="n"/>
      <c r="H175" s="42" t="n"/>
      <c r="I175" s="43">
        <f>IF(AND(F175&lt;&gt;"",G175&lt;&gt;"",H175&lt;&gt;""),F175+G175-H175,"")</f>
        <v/>
      </c>
      <c r="J175" s="22" t="n"/>
      <c r="K175" s="22" t="n"/>
    </row>
    <row r="176">
      <c r="A176" s="18" t="n"/>
      <c r="B176" s="35">
        <f>IF(A176="","",VALUE(LEFT(A176,4)))</f>
        <v/>
      </c>
      <c r="C176" s="36">
        <f>IF(A176="","",VALUE(RIGHT(A176,2)))</f>
        <v/>
      </c>
      <c r="D176" s="18" t="n"/>
      <c r="E176" s="18" t="n"/>
      <c r="F176" s="38" t="n"/>
      <c r="G176" s="38" t="n"/>
      <c r="H176" s="38" t="n"/>
      <c r="I176" s="43">
        <f>IF(AND(F176&lt;&gt;"",G176&lt;&gt;"",H176&lt;&gt;""),F176+G176-H176,"")</f>
        <v/>
      </c>
      <c r="J176" s="18" t="n"/>
      <c r="K176" s="18" t="n"/>
    </row>
    <row r="177">
      <c r="A177" s="22" t="n"/>
      <c r="B177" s="35">
        <f>IF(A177="","",VALUE(LEFT(A177,4)))</f>
        <v/>
      </c>
      <c r="C177" s="36">
        <f>IF(A177="","",VALUE(RIGHT(A177,2)))</f>
        <v/>
      </c>
      <c r="D177" s="22" t="n"/>
      <c r="E177" s="22" t="n"/>
      <c r="F177" s="42" t="n"/>
      <c r="G177" s="42" t="n"/>
      <c r="H177" s="42" t="n"/>
      <c r="I177" s="43">
        <f>IF(AND(F177&lt;&gt;"",G177&lt;&gt;"",H177&lt;&gt;""),F177+G177-H177,"")</f>
        <v/>
      </c>
      <c r="J177" s="22" t="n"/>
      <c r="K177" s="22" t="n"/>
    </row>
    <row r="178">
      <c r="A178" s="18" t="n"/>
      <c r="B178" s="35">
        <f>IF(A178="","",VALUE(LEFT(A178,4)))</f>
        <v/>
      </c>
      <c r="C178" s="36">
        <f>IF(A178="","",VALUE(RIGHT(A178,2)))</f>
        <v/>
      </c>
      <c r="D178" s="18" t="n"/>
      <c r="E178" s="18" t="n"/>
      <c r="F178" s="38" t="n"/>
      <c r="G178" s="38" t="n"/>
      <c r="H178" s="38" t="n"/>
      <c r="I178" s="43">
        <f>IF(AND(F178&lt;&gt;"",G178&lt;&gt;"",H178&lt;&gt;""),F178+G178-H178,"")</f>
        <v/>
      </c>
      <c r="J178" s="18" t="n"/>
      <c r="K178" s="18" t="n"/>
    </row>
    <row r="179">
      <c r="A179" s="22" t="n"/>
      <c r="B179" s="35">
        <f>IF(A179="","",VALUE(LEFT(A179,4)))</f>
        <v/>
      </c>
      <c r="C179" s="36">
        <f>IF(A179="","",VALUE(RIGHT(A179,2)))</f>
        <v/>
      </c>
      <c r="D179" s="22" t="n"/>
      <c r="E179" s="22" t="n"/>
      <c r="F179" s="42" t="n"/>
      <c r="G179" s="42" t="n"/>
      <c r="H179" s="42" t="n"/>
      <c r="I179" s="43">
        <f>IF(AND(F179&lt;&gt;"",G179&lt;&gt;"",H179&lt;&gt;""),F179+G179-H179,"")</f>
        <v/>
      </c>
      <c r="J179" s="22" t="n"/>
      <c r="K179" s="22" t="n"/>
    </row>
    <row r="180">
      <c r="A180" s="18" t="n"/>
      <c r="B180" s="35">
        <f>IF(A180="","",VALUE(LEFT(A180,4)))</f>
        <v/>
      </c>
      <c r="C180" s="36">
        <f>IF(A180="","",VALUE(RIGHT(A180,2)))</f>
        <v/>
      </c>
      <c r="D180" s="18" t="n"/>
      <c r="E180" s="18" t="n"/>
      <c r="F180" s="38" t="n"/>
      <c r="G180" s="38" t="n"/>
      <c r="H180" s="38" t="n"/>
      <c r="I180" s="43">
        <f>IF(AND(F180&lt;&gt;"",G180&lt;&gt;"",H180&lt;&gt;""),F180+G180-H180,"")</f>
        <v/>
      </c>
      <c r="J180" s="18" t="n"/>
      <c r="K180" s="18" t="n"/>
    </row>
    <row r="181">
      <c r="A181" s="22" t="n"/>
      <c r="B181" s="35">
        <f>IF(A181="","",VALUE(LEFT(A181,4)))</f>
        <v/>
      </c>
      <c r="C181" s="36">
        <f>IF(A181="","",VALUE(RIGHT(A181,2)))</f>
        <v/>
      </c>
      <c r="D181" s="22" t="n"/>
      <c r="E181" s="22" t="n"/>
      <c r="F181" s="42" t="n"/>
      <c r="G181" s="42" t="n"/>
      <c r="H181" s="42" t="n"/>
      <c r="I181" s="43">
        <f>IF(AND(F181&lt;&gt;"",G181&lt;&gt;"",H181&lt;&gt;""),F181+G181-H181,"")</f>
        <v/>
      </c>
      <c r="J181" s="22" t="n"/>
      <c r="K181" s="22" t="n"/>
    </row>
    <row r="182">
      <c r="A182" s="18" t="n"/>
      <c r="B182" s="35">
        <f>IF(A182="","",VALUE(LEFT(A182,4)))</f>
        <v/>
      </c>
      <c r="C182" s="36">
        <f>IF(A182="","",VALUE(RIGHT(A182,2)))</f>
        <v/>
      </c>
      <c r="D182" s="18" t="n"/>
      <c r="E182" s="18" t="n"/>
      <c r="F182" s="38" t="n"/>
      <c r="G182" s="38" t="n"/>
      <c r="H182" s="38" t="n"/>
      <c r="I182" s="43">
        <f>IF(AND(F182&lt;&gt;"",G182&lt;&gt;"",H182&lt;&gt;""),F182+G182-H182,"")</f>
        <v/>
      </c>
      <c r="J182" s="18" t="n"/>
      <c r="K182" s="18" t="n"/>
    </row>
    <row r="183">
      <c r="A183" s="22" t="n"/>
      <c r="B183" s="35">
        <f>IF(A183="","",VALUE(LEFT(A183,4)))</f>
        <v/>
      </c>
      <c r="C183" s="36">
        <f>IF(A183="","",VALUE(RIGHT(A183,2)))</f>
        <v/>
      </c>
      <c r="D183" s="22" t="n"/>
      <c r="E183" s="22" t="n"/>
      <c r="F183" s="42" t="n"/>
      <c r="G183" s="42" t="n"/>
      <c r="H183" s="42" t="n"/>
      <c r="I183" s="43">
        <f>IF(AND(F183&lt;&gt;"",G183&lt;&gt;"",H183&lt;&gt;""),F183+G183-H183,"")</f>
        <v/>
      </c>
      <c r="J183" s="22" t="n"/>
      <c r="K183" s="22" t="n"/>
    </row>
    <row r="184">
      <c r="A184" s="18" t="n"/>
      <c r="B184" s="35">
        <f>IF(A184="","",VALUE(LEFT(A184,4)))</f>
        <v/>
      </c>
      <c r="C184" s="36">
        <f>IF(A184="","",VALUE(RIGHT(A184,2)))</f>
        <v/>
      </c>
      <c r="D184" s="18" t="n"/>
      <c r="E184" s="18" t="n"/>
      <c r="F184" s="38" t="n"/>
      <c r="G184" s="38" t="n"/>
      <c r="H184" s="38" t="n"/>
      <c r="I184" s="43">
        <f>IF(AND(F184&lt;&gt;"",G184&lt;&gt;"",H184&lt;&gt;""),F184+G184-H184,"")</f>
        <v/>
      </c>
      <c r="J184" s="18" t="n"/>
      <c r="K184" s="18" t="n"/>
    </row>
    <row r="185">
      <c r="A185" s="22" t="n"/>
      <c r="B185" s="35">
        <f>IF(A185="","",VALUE(LEFT(A185,4)))</f>
        <v/>
      </c>
      <c r="C185" s="36">
        <f>IF(A185="","",VALUE(RIGHT(A185,2)))</f>
        <v/>
      </c>
      <c r="D185" s="22" t="n"/>
      <c r="E185" s="22" t="n"/>
      <c r="F185" s="42" t="n"/>
      <c r="G185" s="42" t="n"/>
      <c r="H185" s="42" t="n"/>
      <c r="I185" s="43">
        <f>IF(AND(F185&lt;&gt;"",G185&lt;&gt;"",H185&lt;&gt;""),F185+G185-H185,"")</f>
        <v/>
      </c>
      <c r="J185" s="22" t="n"/>
      <c r="K185" s="22" t="n"/>
    </row>
    <row r="186">
      <c r="A186" s="18" t="n"/>
      <c r="B186" s="35">
        <f>IF(A186="","",VALUE(LEFT(A186,4)))</f>
        <v/>
      </c>
      <c r="C186" s="36">
        <f>IF(A186="","",VALUE(RIGHT(A186,2)))</f>
        <v/>
      </c>
      <c r="D186" s="18" t="n"/>
      <c r="E186" s="18" t="n"/>
      <c r="F186" s="38" t="n"/>
      <c r="G186" s="38" t="n"/>
      <c r="H186" s="38" t="n"/>
      <c r="I186" s="43">
        <f>IF(AND(F186&lt;&gt;"",G186&lt;&gt;"",H186&lt;&gt;""),F186+G186-H186,"")</f>
        <v/>
      </c>
      <c r="J186" s="18" t="n"/>
      <c r="K186" s="18" t="n"/>
    </row>
    <row r="187">
      <c r="A187" s="22" t="n"/>
      <c r="B187" s="35">
        <f>IF(A187="","",VALUE(LEFT(A187,4)))</f>
        <v/>
      </c>
      <c r="C187" s="36">
        <f>IF(A187="","",VALUE(RIGHT(A187,2)))</f>
        <v/>
      </c>
      <c r="D187" s="22" t="n"/>
      <c r="E187" s="22" t="n"/>
      <c r="F187" s="42" t="n"/>
      <c r="G187" s="42" t="n"/>
      <c r="H187" s="42" t="n"/>
      <c r="I187" s="43">
        <f>IF(AND(F187&lt;&gt;"",G187&lt;&gt;"",H187&lt;&gt;""),F187+G187-H187,"")</f>
        <v/>
      </c>
      <c r="J187" s="22" t="n"/>
      <c r="K187" s="22" t="n"/>
    </row>
    <row r="188">
      <c r="A188" s="18" t="n"/>
      <c r="B188" s="35">
        <f>IF(A188="","",VALUE(LEFT(A188,4)))</f>
        <v/>
      </c>
      <c r="C188" s="36">
        <f>IF(A188="","",VALUE(RIGHT(A188,2)))</f>
        <v/>
      </c>
      <c r="D188" s="18" t="n"/>
      <c r="E188" s="18" t="n"/>
      <c r="F188" s="38" t="n"/>
      <c r="G188" s="38" t="n"/>
      <c r="H188" s="38" t="n"/>
      <c r="I188" s="43">
        <f>IF(AND(F188&lt;&gt;"",G188&lt;&gt;"",H188&lt;&gt;""),F188+G188-H188,"")</f>
        <v/>
      </c>
      <c r="J188" s="18" t="n"/>
      <c r="K188" s="18" t="n"/>
    </row>
    <row r="189">
      <c r="A189" s="22" t="n"/>
      <c r="B189" s="35">
        <f>IF(A189="","",VALUE(LEFT(A189,4)))</f>
        <v/>
      </c>
      <c r="C189" s="36">
        <f>IF(A189="","",VALUE(RIGHT(A189,2)))</f>
        <v/>
      </c>
      <c r="D189" s="22" t="n"/>
      <c r="E189" s="22" t="n"/>
      <c r="F189" s="42" t="n"/>
      <c r="G189" s="42" t="n"/>
      <c r="H189" s="42" t="n"/>
      <c r="I189" s="43">
        <f>IF(AND(F189&lt;&gt;"",G189&lt;&gt;"",H189&lt;&gt;""),F189+G189-H189,"")</f>
        <v/>
      </c>
      <c r="J189" s="22" t="n"/>
      <c r="K189" s="22" t="n"/>
    </row>
    <row r="190">
      <c r="A190" s="18" t="n"/>
      <c r="B190" s="35">
        <f>IF(A190="","",VALUE(LEFT(A190,4)))</f>
        <v/>
      </c>
      <c r="C190" s="36">
        <f>IF(A190="","",VALUE(RIGHT(A190,2)))</f>
        <v/>
      </c>
      <c r="D190" s="18" t="n"/>
      <c r="E190" s="18" t="n"/>
      <c r="F190" s="38" t="n"/>
      <c r="G190" s="38" t="n"/>
      <c r="H190" s="38" t="n"/>
      <c r="I190" s="43">
        <f>IF(AND(F190&lt;&gt;"",G190&lt;&gt;"",H190&lt;&gt;""),F190+G190-H190,"")</f>
        <v/>
      </c>
      <c r="J190" s="18" t="n"/>
      <c r="K190" s="18" t="n"/>
    </row>
    <row r="191">
      <c r="A191" s="22" t="n"/>
      <c r="B191" s="35">
        <f>IF(A191="","",VALUE(LEFT(A191,4)))</f>
        <v/>
      </c>
      <c r="C191" s="36">
        <f>IF(A191="","",VALUE(RIGHT(A191,2)))</f>
        <v/>
      </c>
      <c r="D191" s="22" t="n"/>
      <c r="E191" s="22" t="n"/>
      <c r="F191" s="42" t="n"/>
      <c r="G191" s="42" t="n"/>
      <c r="H191" s="42" t="n"/>
      <c r="I191" s="43">
        <f>IF(AND(F191&lt;&gt;"",G191&lt;&gt;"",H191&lt;&gt;""),F191+G191-H191,"")</f>
        <v/>
      </c>
      <c r="J191" s="22" t="n"/>
      <c r="K191" s="22" t="n"/>
    </row>
    <row r="192">
      <c r="A192" s="18" t="n"/>
      <c r="B192" s="35">
        <f>IF(A192="","",VALUE(LEFT(A192,4)))</f>
        <v/>
      </c>
      <c r="C192" s="36">
        <f>IF(A192="","",VALUE(RIGHT(A192,2)))</f>
        <v/>
      </c>
      <c r="D192" s="18" t="n"/>
      <c r="E192" s="18" t="n"/>
      <c r="F192" s="38" t="n"/>
      <c r="G192" s="38" t="n"/>
      <c r="H192" s="38" t="n"/>
      <c r="I192" s="43">
        <f>IF(AND(F192&lt;&gt;"",G192&lt;&gt;"",H192&lt;&gt;""),F192+G192-H192,"")</f>
        <v/>
      </c>
      <c r="J192" s="18" t="n"/>
      <c r="K192" s="18" t="n"/>
    </row>
    <row r="193">
      <c r="A193" s="22" t="n"/>
      <c r="B193" s="35">
        <f>IF(A193="","",VALUE(LEFT(A193,4)))</f>
        <v/>
      </c>
      <c r="C193" s="36">
        <f>IF(A193="","",VALUE(RIGHT(A193,2)))</f>
        <v/>
      </c>
      <c r="D193" s="22" t="n"/>
      <c r="E193" s="22" t="n"/>
      <c r="F193" s="42" t="n"/>
      <c r="G193" s="42" t="n"/>
      <c r="H193" s="42" t="n"/>
      <c r="I193" s="43">
        <f>IF(AND(F193&lt;&gt;"",G193&lt;&gt;"",H193&lt;&gt;""),F193+G193-H193,"")</f>
        <v/>
      </c>
      <c r="J193" s="22" t="n"/>
      <c r="K193" s="22" t="n"/>
    </row>
    <row r="194">
      <c r="A194" s="18" t="n"/>
      <c r="B194" s="35">
        <f>IF(A194="","",VALUE(LEFT(A194,4)))</f>
        <v/>
      </c>
      <c r="C194" s="36">
        <f>IF(A194="","",VALUE(RIGHT(A194,2)))</f>
        <v/>
      </c>
      <c r="D194" s="18" t="n"/>
      <c r="E194" s="18" t="n"/>
      <c r="F194" s="38" t="n"/>
      <c r="G194" s="38" t="n"/>
      <c r="H194" s="38" t="n"/>
      <c r="I194" s="43">
        <f>IF(AND(F194&lt;&gt;"",G194&lt;&gt;"",H194&lt;&gt;""),F194+G194-H194,"")</f>
        <v/>
      </c>
      <c r="J194" s="18" t="n"/>
      <c r="K194" s="18" t="n"/>
    </row>
    <row r="195">
      <c r="A195" s="22" t="n"/>
      <c r="B195" s="35">
        <f>IF(A195="","",VALUE(LEFT(A195,4)))</f>
        <v/>
      </c>
      <c r="C195" s="36">
        <f>IF(A195="","",VALUE(RIGHT(A195,2)))</f>
        <v/>
      </c>
      <c r="D195" s="22" t="n"/>
      <c r="E195" s="22" t="n"/>
      <c r="F195" s="42" t="n"/>
      <c r="G195" s="42" t="n"/>
      <c r="H195" s="42" t="n"/>
      <c r="I195" s="43">
        <f>IF(AND(F195&lt;&gt;"",G195&lt;&gt;"",H195&lt;&gt;""),F195+G195-H195,"")</f>
        <v/>
      </c>
      <c r="J195" s="22" t="n"/>
      <c r="K195" s="22" t="n"/>
    </row>
    <row r="196">
      <c r="A196" s="18" t="n"/>
      <c r="B196" s="35">
        <f>IF(A196="","",VALUE(LEFT(A196,4)))</f>
        <v/>
      </c>
      <c r="C196" s="36">
        <f>IF(A196="","",VALUE(RIGHT(A196,2)))</f>
        <v/>
      </c>
      <c r="D196" s="18" t="n"/>
      <c r="E196" s="18" t="n"/>
      <c r="F196" s="38" t="n"/>
      <c r="G196" s="38" t="n"/>
      <c r="H196" s="38" t="n"/>
      <c r="I196" s="43">
        <f>IF(AND(F196&lt;&gt;"",G196&lt;&gt;"",H196&lt;&gt;""),F196+G196-H196,"")</f>
        <v/>
      </c>
      <c r="J196" s="18" t="n"/>
      <c r="K196" s="18" t="n"/>
    </row>
    <row r="197">
      <c r="A197" s="22" t="n"/>
      <c r="B197" s="35">
        <f>IF(A197="","",VALUE(LEFT(A197,4)))</f>
        <v/>
      </c>
      <c r="C197" s="36">
        <f>IF(A197="","",VALUE(RIGHT(A197,2)))</f>
        <v/>
      </c>
      <c r="D197" s="22" t="n"/>
      <c r="E197" s="22" t="n"/>
      <c r="F197" s="42" t="n"/>
      <c r="G197" s="42" t="n"/>
      <c r="H197" s="42" t="n"/>
      <c r="I197" s="43">
        <f>IF(AND(F197&lt;&gt;"",G197&lt;&gt;"",H197&lt;&gt;""),F197+G197-H197,"")</f>
        <v/>
      </c>
      <c r="J197" s="22" t="n"/>
      <c r="K197" s="22" t="n"/>
    </row>
    <row r="198">
      <c r="A198" s="18" t="n"/>
      <c r="B198" s="35">
        <f>IF(A198="","",VALUE(LEFT(A198,4)))</f>
        <v/>
      </c>
      <c r="C198" s="36">
        <f>IF(A198="","",VALUE(RIGHT(A198,2)))</f>
        <v/>
      </c>
      <c r="D198" s="18" t="n"/>
      <c r="E198" s="18" t="n"/>
      <c r="F198" s="38" t="n"/>
      <c r="G198" s="38" t="n"/>
      <c r="H198" s="38" t="n"/>
      <c r="I198" s="43">
        <f>IF(AND(F198&lt;&gt;"",G198&lt;&gt;"",H198&lt;&gt;""),F198+G198-H198,"")</f>
        <v/>
      </c>
      <c r="J198" s="18" t="n"/>
      <c r="K198" s="18" t="n"/>
    </row>
    <row r="199">
      <c r="A199" s="22" t="n"/>
      <c r="B199" s="35">
        <f>IF(A199="","",VALUE(LEFT(A199,4)))</f>
        <v/>
      </c>
      <c r="C199" s="36">
        <f>IF(A199="","",VALUE(RIGHT(A199,2)))</f>
        <v/>
      </c>
      <c r="D199" s="22" t="n"/>
      <c r="E199" s="22" t="n"/>
      <c r="F199" s="42" t="n"/>
      <c r="G199" s="42" t="n"/>
      <c r="H199" s="42" t="n"/>
      <c r="I199" s="43">
        <f>IF(AND(F199&lt;&gt;"",G199&lt;&gt;"",H199&lt;&gt;""),F199+G199-H199,"")</f>
        <v/>
      </c>
      <c r="J199" s="22" t="n"/>
      <c r="K199" s="22" t="n"/>
    </row>
    <row r="200">
      <c r="A200" s="18" t="n"/>
      <c r="B200" s="35">
        <f>IF(A200="","",VALUE(LEFT(A200,4)))</f>
        <v/>
      </c>
      <c r="C200" s="36">
        <f>IF(A200="","",VALUE(RIGHT(A200,2)))</f>
        <v/>
      </c>
      <c r="D200" s="18" t="n"/>
      <c r="E200" s="18" t="n"/>
      <c r="F200" s="38" t="n"/>
      <c r="G200" s="38" t="n"/>
      <c r="H200" s="38" t="n"/>
      <c r="I200" s="43">
        <f>IF(AND(F200&lt;&gt;"",G200&lt;&gt;"",H200&lt;&gt;""),F200+G200-H200,"")</f>
        <v/>
      </c>
      <c r="J200" s="18" t="n"/>
      <c r="K200" s="18" t="n"/>
    </row>
    <row r="201">
      <c r="A201" s="22" t="n"/>
      <c r="B201" s="35">
        <f>IF(A201="","",VALUE(LEFT(A201,4)))</f>
        <v/>
      </c>
      <c r="C201" s="36">
        <f>IF(A201="","",VALUE(RIGHT(A201,2)))</f>
        <v/>
      </c>
      <c r="D201" s="22" t="n"/>
      <c r="E201" s="22" t="n"/>
      <c r="F201" s="42" t="n"/>
      <c r="G201" s="42" t="n"/>
      <c r="H201" s="42" t="n"/>
      <c r="I201" s="43">
        <f>IF(AND(F201&lt;&gt;"",G201&lt;&gt;"",H201&lt;&gt;""),F201+G201-H201,"")</f>
        <v/>
      </c>
      <c r="J201" s="22" t="n"/>
      <c r="K201" s="22" t="n"/>
    </row>
    <row r="202">
      <c r="A202" s="18" t="n"/>
      <c r="B202" s="35">
        <f>IF(A202="","",VALUE(LEFT(A202,4)))</f>
        <v/>
      </c>
      <c r="C202" s="36">
        <f>IF(A202="","",VALUE(RIGHT(A202,2)))</f>
        <v/>
      </c>
      <c r="D202" s="18" t="n"/>
      <c r="E202" s="18" t="n"/>
      <c r="F202" s="38" t="n"/>
      <c r="G202" s="38" t="n"/>
      <c r="H202" s="38" t="n"/>
      <c r="I202" s="43">
        <f>IF(AND(F202&lt;&gt;"",G202&lt;&gt;"",H202&lt;&gt;""),F202+G202-H202,"")</f>
        <v/>
      </c>
      <c r="J202" s="18" t="n"/>
      <c r="K202" s="18" t="n"/>
    </row>
    <row r="203">
      <c r="A203" s="22" t="n"/>
      <c r="B203" s="35">
        <f>IF(A203="","",VALUE(LEFT(A203,4)))</f>
        <v/>
      </c>
      <c r="C203" s="36">
        <f>IF(A203="","",VALUE(RIGHT(A203,2)))</f>
        <v/>
      </c>
      <c r="D203" s="22" t="n"/>
      <c r="E203" s="22" t="n"/>
      <c r="F203" s="42" t="n"/>
      <c r="G203" s="42" t="n"/>
      <c r="H203" s="42" t="n"/>
      <c r="I203" s="43">
        <f>IF(AND(F203&lt;&gt;"",G203&lt;&gt;"",H203&lt;&gt;""),F203+G203-H203,"")</f>
        <v/>
      </c>
      <c r="J203" s="22" t="n"/>
      <c r="K203" s="22" t="n"/>
    </row>
    <row r="204">
      <c r="A204" s="18" t="n"/>
      <c r="B204" s="35">
        <f>IF(A204="","",VALUE(LEFT(A204,4)))</f>
        <v/>
      </c>
      <c r="C204" s="36">
        <f>IF(A204="","",VALUE(RIGHT(A204,2)))</f>
        <v/>
      </c>
      <c r="D204" s="18" t="n"/>
      <c r="E204" s="18" t="n"/>
      <c r="F204" s="38" t="n"/>
      <c r="G204" s="38" t="n"/>
      <c r="H204" s="38" t="n"/>
      <c r="I204" s="43">
        <f>IF(AND(F204&lt;&gt;"",G204&lt;&gt;"",H204&lt;&gt;""),F204+G204-H204,"")</f>
        <v/>
      </c>
      <c r="J204" s="18" t="n"/>
      <c r="K204" s="18" t="n"/>
    </row>
    <row r="205">
      <c r="A205" s="22" t="n"/>
      <c r="B205" s="35">
        <f>IF(A205="","",VALUE(LEFT(A205,4)))</f>
        <v/>
      </c>
      <c r="C205" s="36">
        <f>IF(A205="","",VALUE(RIGHT(A205,2)))</f>
        <v/>
      </c>
      <c r="D205" s="22" t="n"/>
      <c r="E205" s="22" t="n"/>
      <c r="F205" s="42" t="n"/>
      <c r="G205" s="42" t="n"/>
      <c r="H205" s="42" t="n"/>
      <c r="I205" s="43">
        <f>IF(AND(F205&lt;&gt;"",G205&lt;&gt;"",H205&lt;&gt;""),F205+G205-H205,"")</f>
        <v/>
      </c>
      <c r="J205" s="22" t="n"/>
      <c r="K205" s="22" t="n"/>
    </row>
    <row r="206">
      <c r="A206" s="18" t="n"/>
      <c r="B206" s="35">
        <f>IF(A206="","",VALUE(LEFT(A206,4)))</f>
        <v/>
      </c>
      <c r="C206" s="36">
        <f>IF(A206="","",VALUE(RIGHT(A206,2)))</f>
        <v/>
      </c>
      <c r="D206" s="18" t="n"/>
      <c r="E206" s="18" t="n"/>
      <c r="F206" s="38" t="n"/>
      <c r="G206" s="38" t="n"/>
      <c r="H206" s="38" t="n"/>
      <c r="I206" s="43">
        <f>IF(AND(F206&lt;&gt;"",G206&lt;&gt;"",H206&lt;&gt;""),F206+G206-H206,"")</f>
        <v/>
      </c>
      <c r="J206" s="18" t="n"/>
      <c r="K206" s="18" t="n"/>
    </row>
    <row r="207">
      <c r="A207" s="22" t="n"/>
      <c r="B207" s="35">
        <f>IF(A207="","",VALUE(LEFT(A207,4)))</f>
        <v/>
      </c>
      <c r="C207" s="36">
        <f>IF(A207="","",VALUE(RIGHT(A207,2)))</f>
        <v/>
      </c>
      <c r="D207" s="22" t="n"/>
      <c r="E207" s="22" t="n"/>
      <c r="F207" s="42" t="n"/>
      <c r="G207" s="42" t="n"/>
      <c r="H207" s="42" t="n"/>
      <c r="I207" s="43">
        <f>IF(AND(F207&lt;&gt;"",G207&lt;&gt;"",H207&lt;&gt;""),F207+G207-H207,"")</f>
        <v/>
      </c>
      <c r="J207" s="22" t="n"/>
      <c r="K207" s="22" t="n"/>
    </row>
    <row r="208">
      <c r="A208" s="18" t="n"/>
      <c r="B208" s="35">
        <f>IF(A208="","",VALUE(LEFT(A208,4)))</f>
        <v/>
      </c>
      <c r="C208" s="36">
        <f>IF(A208="","",VALUE(RIGHT(A208,2)))</f>
        <v/>
      </c>
      <c r="D208" s="18" t="n"/>
      <c r="E208" s="18" t="n"/>
      <c r="F208" s="38" t="n"/>
      <c r="G208" s="38" t="n"/>
      <c r="H208" s="38" t="n"/>
      <c r="I208" s="43">
        <f>IF(AND(F208&lt;&gt;"",G208&lt;&gt;"",H208&lt;&gt;""),F208+G208-H208,"")</f>
        <v/>
      </c>
      <c r="J208" s="18" t="n"/>
      <c r="K208" s="18" t="n"/>
    </row>
    <row r="209">
      <c r="A209" s="22" t="n"/>
      <c r="B209" s="35">
        <f>IF(A209="","",VALUE(LEFT(A209,4)))</f>
        <v/>
      </c>
      <c r="C209" s="36">
        <f>IF(A209="","",VALUE(RIGHT(A209,2)))</f>
        <v/>
      </c>
      <c r="D209" s="22" t="n"/>
      <c r="E209" s="22" t="n"/>
      <c r="F209" s="42" t="n"/>
      <c r="G209" s="42" t="n"/>
      <c r="H209" s="42" t="n"/>
      <c r="I209" s="43">
        <f>IF(AND(F209&lt;&gt;"",G209&lt;&gt;"",H209&lt;&gt;""),F209+G209-H209,"")</f>
        <v/>
      </c>
      <c r="J209" s="22" t="n"/>
      <c r="K209" s="22" t="n"/>
    </row>
    <row r="210">
      <c r="A210" s="18" t="n"/>
      <c r="B210" s="35">
        <f>IF(A210="","",VALUE(LEFT(A210,4)))</f>
        <v/>
      </c>
      <c r="C210" s="36">
        <f>IF(A210="","",VALUE(RIGHT(A210,2)))</f>
        <v/>
      </c>
      <c r="D210" s="18" t="n"/>
      <c r="E210" s="18" t="n"/>
      <c r="F210" s="38" t="n"/>
      <c r="G210" s="38" t="n"/>
      <c r="H210" s="38" t="n"/>
      <c r="I210" s="43">
        <f>IF(AND(F210&lt;&gt;"",G210&lt;&gt;"",H210&lt;&gt;""),F210+G210-H210,"")</f>
        <v/>
      </c>
      <c r="J210" s="18" t="n"/>
      <c r="K210" s="18" t="n"/>
    </row>
    <row r="211">
      <c r="A211" s="22" t="n"/>
      <c r="B211" s="35">
        <f>IF(A211="","",VALUE(LEFT(A211,4)))</f>
        <v/>
      </c>
      <c r="C211" s="36">
        <f>IF(A211="","",VALUE(RIGHT(A211,2)))</f>
        <v/>
      </c>
      <c r="D211" s="22" t="n"/>
      <c r="E211" s="22" t="n"/>
      <c r="F211" s="42" t="n"/>
      <c r="G211" s="42" t="n"/>
      <c r="H211" s="42" t="n"/>
      <c r="I211" s="43">
        <f>IF(AND(F211&lt;&gt;"",G211&lt;&gt;"",H211&lt;&gt;""),F211+G211-H211,"")</f>
        <v/>
      </c>
      <c r="J211" s="22" t="n"/>
      <c r="K211" s="22" t="n"/>
    </row>
    <row r="212">
      <c r="A212" s="18" t="n"/>
      <c r="B212" s="35">
        <f>IF(A212="","",VALUE(LEFT(A212,4)))</f>
        <v/>
      </c>
      <c r="C212" s="36">
        <f>IF(A212="","",VALUE(RIGHT(A212,2)))</f>
        <v/>
      </c>
      <c r="D212" s="18" t="n"/>
      <c r="E212" s="18" t="n"/>
      <c r="F212" s="38" t="n"/>
      <c r="G212" s="38" t="n"/>
      <c r="H212" s="38" t="n"/>
      <c r="I212" s="43">
        <f>IF(AND(F212&lt;&gt;"",G212&lt;&gt;"",H212&lt;&gt;""),F212+G212-H212,"")</f>
        <v/>
      </c>
      <c r="J212" s="18" t="n"/>
      <c r="K212" s="18" t="n"/>
    </row>
    <row r="213">
      <c r="A213" s="22" t="n"/>
      <c r="B213" s="35">
        <f>IF(A213="","",VALUE(LEFT(A213,4)))</f>
        <v/>
      </c>
      <c r="C213" s="36">
        <f>IF(A213="","",VALUE(RIGHT(A213,2)))</f>
        <v/>
      </c>
      <c r="D213" s="22" t="n"/>
      <c r="E213" s="22" t="n"/>
      <c r="F213" s="42" t="n"/>
      <c r="G213" s="42" t="n"/>
      <c r="H213" s="42" t="n"/>
      <c r="I213" s="43">
        <f>IF(AND(F213&lt;&gt;"",G213&lt;&gt;"",H213&lt;&gt;""),F213+G213-H213,"")</f>
        <v/>
      </c>
      <c r="J213" s="22" t="n"/>
      <c r="K213" s="22" t="n"/>
    </row>
    <row r="214">
      <c r="A214" s="18" t="n"/>
      <c r="B214" s="35">
        <f>IF(A214="","",VALUE(LEFT(A214,4)))</f>
        <v/>
      </c>
      <c r="C214" s="36">
        <f>IF(A214="","",VALUE(RIGHT(A214,2)))</f>
        <v/>
      </c>
      <c r="D214" s="18" t="n"/>
      <c r="E214" s="18" t="n"/>
      <c r="F214" s="38" t="n"/>
      <c r="G214" s="38" t="n"/>
      <c r="H214" s="38" t="n"/>
      <c r="I214" s="43">
        <f>IF(AND(F214&lt;&gt;"",G214&lt;&gt;"",H214&lt;&gt;""),F214+G214-H214,"")</f>
        <v/>
      </c>
      <c r="J214" s="18" t="n"/>
      <c r="K214" s="18" t="n"/>
    </row>
    <row r="215">
      <c r="A215" s="22" t="n"/>
      <c r="B215" s="35">
        <f>IF(A215="","",VALUE(LEFT(A215,4)))</f>
        <v/>
      </c>
      <c r="C215" s="36">
        <f>IF(A215="","",VALUE(RIGHT(A215,2)))</f>
        <v/>
      </c>
      <c r="D215" s="22" t="n"/>
      <c r="E215" s="22" t="n"/>
      <c r="F215" s="42" t="n"/>
      <c r="G215" s="42" t="n"/>
      <c r="H215" s="42" t="n"/>
      <c r="I215" s="43">
        <f>IF(AND(F215&lt;&gt;"",G215&lt;&gt;"",H215&lt;&gt;""),F215+G215-H215,"")</f>
        <v/>
      </c>
      <c r="J215" s="22" t="n"/>
      <c r="K215" s="22" t="n"/>
    </row>
    <row r="216">
      <c r="A216" s="18" t="n"/>
      <c r="B216" s="35">
        <f>IF(A216="","",VALUE(LEFT(A216,4)))</f>
        <v/>
      </c>
      <c r="C216" s="36">
        <f>IF(A216="","",VALUE(RIGHT(A216,2)))</f>
        <v/>
      </c>
      <c r="D216" s="18" t="n"/>
      <c r="E216" s="18" t="n"/>
      <c r="F216" s="38" t="n"/>
      <c r="G216" s="38" t="n"/>
      <c r="H216" s="38" t="n"/>
      <c r="I216" s="43">
        <f>IF(AND(F216&lt;&gt;"",G216&lt;&gt;"",H216&lt;&gt;""),F216+G216-H216,"")</f>
        <v/>
      </c>
      <c r="J216" s="18" t="n"/>
      <c r="K216" s="18" t="n"/>
    </row>
    <row r="217">
      <c r="A217" s="22" t="n"/>
      <c r="B217" s="35">
        <f>IF(A217="","",VALUE(LEFT(A217,4)))</f>
        <v/>
      </c>
      <c r="C217" s="36">
        <f>IF(A217="","",VALUE(RIGHT(A217,2)))</f>
        <v/>
      </c>
      <c r="D217" s="22" t="n"/>
      <c r="E217" s="22" t="n"/>
      <c r="F217" s="42" t="n"/>
      <c r="G217" s="42" t="n"/>
      <c r="H217" s="42" t="n"/>
      <c r="I217" s="43">
        <f>IF(AND(F217&lt;&gt;"",G217&lt;&gt;"",H217&lt;&gt;""),F217+G217-H217,"")</f>
        <v/>
      </c>
      <c r="J217" s="22" t="n"/>
      <c r="K217" s="22" t="n"/>
    </row>
    <row r="218">
      <c r="A218" s="18" t="n"/>
      <c r="B218" s="35">
        <f>IF(A218="","",VALUE(LEFT(A218,4)))</f>
        <v/>
      </c>
      <c r="C218" s="36">
        <f>IF(A218="","",VALUE(RIGHT(A218,2)))</f>
        <v/>
      </c>
      <c r="D218" s="18" t="n"/>
      <c r="E218" s="18" t="n"/>
      <c r="F218" s="38" t="n"/>
      <c r="G218" s="38" t="n"/>
      <c r="H218" s="38" t="n"/>
      <c r="I218" s="43">
        <f>IF(AND(F218&lt;&gt;"",G218&lt;&gt;"",H218&lt;&gt;""),F218+G218-H218,"")</f>
        <v/>
      </c>
      <c r="J218" s="18" t="n"/>
      <c r="K218" s="18" t="n"/>
    </row>
    <row r="219">
      <c r="A219" s="22" t="n"/>
      <c r="B219" s="35">
        <f>IF(A219="","",VALUE(LEFT(A219,4)))</f>
        <v/>
      </c>
      <c r="C219" s="36">
        <f>IF(A219="","",VALUE(RIGHT(A219,2)))</f>
        <v/>
      </c>
      <c r="D219" s="22" t="n"/>
      <c r="E219" s="22" t="n"/>
      <c r="F219" s="42" t="n"/>
      <c r="G219" s="42" t="n"/>
      <c r="H219" s="42" t="n"/>
      <c r="I219" s="43">
        <f>IF(AND(F219&lt;&gt;"",G219&lt;&gt;"",H219&lt;&gt;""),F219+G219-H219,"")</f>
        <v/>
      </c>
      <c r="J219" s="22" t="n"/>
      <c r="K219" s="22" t="n"/>
    </row>
    <row r="220">
      <c r="A220" s="18" t="n"/>
      <c r="B220" s="35">
        <f>IF(A220="","",VALUE(LEFT(A220,4)))</f>
        <v/>
      </c>
      <c r="C220" s="36">
        <f>IF(A220="","",VALUE(RIGHT(A220,2)))</f>
        <v/>
      </c>
      <c r="D220" s="18" t="n"/>
      <c r="E220" s="18" t="n"/>
      <c r="F220" s="38" t="n"/>
      <c r="G220" s="38" t="n"/>
      <c r="H220" s="38" t="n"/>
      <c r="I220" s="43">
        <f>IF(AND(F220&lt;&gt;"",G220&lt;&gt;"",H220&lt;&gt;""),F220+G220-H220,"")</f>
        <v/>
      </c>
      <c r="J220" s="18" t="n"/>
      <c r="K220" s="18" t="n"/>
    </row>
    <row r="221">
      <c r="A221" s="22" t="n"/>
      <c r="B221" s="35">
        <f>IF(A221="","",VALUE(LEFT(A221,4)))</f>
        <v/>
      </c>
      <c r="C221" s="36">
        <f>IF(A221="","",VALUE(RIGHT(A221,2)))</f>
        <v/>
      </c>
      <c r="D221" s="22" t="n"/>
      <c r="E221" s="22" t="n"/>
      <c r="F221" s="42" t="n"/>
      <c r="G221" s="42" t="n"/>
      <c r="H221" s="42" t="n"/>
      <c r="I221" s="43">
        <f>IF(AND(F221&lt;&gt;"",G221&lt;&gt;"",H221&lt;&gt;""),F221+G221-H221,"")</f>
        <v/>
      </c>
      <c r="J221" s="22" t="n"/>
      <c r="K221" s="22" t="n"/>
    </row>
    <row r="222">
      <c r="A222" s="18" t="n"/>
      <c r="B222" s="35">
        <f>IF(A222="","",VALUE(LEFT(A222,4)))</f>
        <v/>
      </c>
      <c r="C222" s="36">
        <f>IF(A222="","",VALUE(RIGHT(A222,2)))</f>
        <v/>
      </c>
      <c r="D222" s="18" t="n"/>
      <c r="E222" s="18" t="n"/>
      <c r="F222" s="38" t="n"/>
      <c r="G222" s="38" t="n"/>
      <c r="H222" s="38" t="n"/>
      <c r="I222" s="43">
        <f>IF(AND(F222&lt;&gt;"",G222&lt;&gt;"",H222&lt;&gt;""),F222+G222-H222,"")</f>
        <v/>
      </c>
      <c r="J222" s="18" t="n"/>
      <c r="K222" s="18" t="n"/>
    </row>
    <row r="223">
      <c r="A223" s="22" t="n"/>
      <c r="B223" s="35">
        <f>IF(A223="","",VALUE(LEFT(A223,4)))</f>
        <v/>
      </c>
      <c r="C223" s="36">
        <f>IF(A223="","",VALUE(RIGHT(A223,2)))</f>
        <v/>
      </c>
      <c r="D223" s="22" t="n"/>
      <c r="E223" s="22" t="n"/>
      <c r="F223" s="42" t="n"/>
      <c r="G223" s="42" t="n"/>
      <c r="H223" s="42" t="n"/>
      <c r="I223" s="43">
        <f>IF(AND(F223&lt;&gt;"",G223&lt;&gt;"",H223&lt;&gt;""),F223+G223-H223,"")</f>
        <v/>
      </c>
      <c r="J223" s="22" t="n"/>
      <c r="K223" s="22" t="n"/>
    </row>
    <row r="224">
      <c r="A224" s="18" t="n"/>
      <c r="B224" s="35">
        <f>IF(A224="","",VALUE(LEFT(A224,4)))</f>
        <v/>
      </c>
      <c r="C224" s="36">
        <f>IF(A224="","",VALUE(RIGHT(A224,2)))</f>
        <v/>
      </c>
      <c r="D224" s="18" t="n"/>
      <c r="E224" s="18" t="n"/>
      <c r="F224" s="38" t="n"/>
      <c r="G224" s="38" t="n"/>
      <c r="H224" s="38" t="n"/>
      <c r="I224" s="43">
        <f>IF(AND(F224&lt;&gt;"",G224&lt;&gt;"",H224&lt;&gt;""),F224+G224-H224,"")</f>
        <v/>
      </c>
      <c r="J224" s="18" t="n"/>
      <c r="K224" s="18" t="n"/>
    </row>
    <row r="225">
      <c r="A225" s="22" t="n"/>
      <c r="B225" s="35">
        <f>IF(A225="","",VALUE(LEFT(A225,4)))</f>
        <v/>
      </c>
      <c r="C225" s="36">
        <f>IF(A225="","",VALUE(RIGHT(A225,2)))</f>
        <v/>
      </c>
      <c r="D225" s="22" t="n"/>
      <c r="E225" s="22" t="n"/>
      <c r="F225" s="42" t="n"/>
      <c r="G225" s="42" t="n"/>
      <c r="H225" s="42" t="n"/>
      <c r="I225" s="43">
        <f>IF(AND(F225&lt;&gt;"",G225&lt;&gt;"",H225&lt;&gt;""),F225+G225-H225,"")</f>
        <v/>
      </c>
      <c r="J225" s="22" t="n"/>
      <c r="K225" s="22" t="n"/>
    </row>
    <row r="226">
      <c r="A226" s="18" t="n"/>
      <c r="B226" s="35">
        <f>IF(A226="","",VALUE(LEFT(A226,4)))</f>
        <v/>
      </c>
      <c r="C226" s="36">
        <f>IF(A226="","",VALUE(RIGHT(A226,2)))</f>
        <v/>
      </c>
      <c r="D226" s="18" t="n"/>
      <c r="E226" s="18" t="n"/>
      <c r="F226" s="38" t="n"/>
      <c r="G226" s="38" t="n"/>
      <c r="H226" s="38" t="n"/>
      <c r="I226" s="43">
        <f>IF(AND(F226&lt;&gt;"",G226&lt;&gt;"",H226&lt;&gt;""),F226+G226-H226,"")</f>
        <v/>
      </c>
      <c r="J226" s="18" t="n"/>
      <c r="K226" s="18" t="n"/>
    </row>
    <row r="227">
      <c r="A227" s="22" t="n"/>
      <c r="B227" s="35">
        <f>IF(A227="","",VALUE(LEFT(A227,4)))</f>
        <v/>
      </c>
      <c r="C227" s="36">
        <f>IF(A227="","",VALUE(RIGHT(A227,2)))</f>
        <v/>
      </c>
      <c r="D227" s="22" t="n"/>
      <c r="E227" s="22" t="n"/>
      <c r="F227" s="42" t="n"/>
      <c r="G227" s="42" t="n"/>
      <c r="H227" s="42" t="n"/>
      <c r="I227" s="43">
        <f>IF(AND(F227&lt;&gt;"",G227&lt;&gt;"",H227&lt;&gt;""),F227+G227-H227,"")</f>
        <v/>
      </c>
      <c r="J227" s="22" t="n"/>
      <c r="K227" s="22" t="n"/>
    </row>
    <row r="228">
      <c r="A228" s="18" t="n"/>
      <c r="B228" s="35">
        <f>IF(A228="","",VALUE(LEFT(A228,4)))</f>
        <v/>
      </c>
      <c r="C228" s="36">
        <f>IF(A228="","",VALUE(RIGHT(A228,2)))</f>
        <v/>
      </c>
      <c r="D228" s="18" t="n"/>
      <c r="E228" s="18" t="n"/>
      <c r="F228" s="38" t="n"/>
      <c r="G228" s="38" t="n"/>
      <c r="H228" s="38" t="n"/>
      <c r="I228" s="43">
        <f>IF(AND(F228&lt;&gt;"",G228&lt;&gt;"",H228&lt;&gt;""),F228+G228-H228,"")</f>
        <v/>
      </c>
      <c r="J228" s="18" t="n"/>
      <c r="K228" s="18" t="n"/>
    </row>
    <row r="229">
      <c r="A229" s="22" t="n"/>
      <c r="B229" s="35">
        <f>IF(A229="","",VALUE(LEFT(A229,4)))</f>
        <v/>
      </c>
      <c r="C229" s="36">
        <f>IF(A229="","",VALUE(RIGHT(A229,2)))</f>
        <v/>
      </c>
      <c r="D229" s="22" t="n"/>
      <c r="E229" s="22" t="n"/>
      <c r="F229" s="42" t="n"/>
      <c r="G229" s="42" t="n"/>
      <c r="H229" s="42" t="n"/>
      <c r="I229" s="43">
        <f>IF(AND(F229&lt;&gt;"",G229&lt;&gt;"",H229&lt;&gt;""),F229+G229-H229,"")</f>
        <v/>
      </c>
      <c r="J229" s="22" t="n"/>
      <c r="K229" s="22" t="n"/>
    </row>
    <row r="230">
      <c r="A230" s="18" t="n"/>
      <c r="B230" s="35">
        <f>IF(A230="","",VALUE(LEFT(A230,4)))</f>
        <v/>
      </c>
      <c r="C230" s="36">
        <f>IF(A230="","",VALUE(RIGHT(A230,2)))</f>
        <v/>
      </c>
      <c r="D230" s="18" t="n"/>
      <c r="E230" s="18" t="n"/>
      <c r="F230" s="38" t="n"/>
      <c r="G230" s="38" t="n"/>
      <c r="H230" s="38" t="n"/>
      <c r="I230" s="43">
        <f>IF(AND(F230&lt;&gt;"",G230&lt;&gt;"",H230&lt;&gt;""),F230+G230-H230,"")</f>
        <v/>
      </c>
      <c r="J230" s="18" t="n"/>
      <c r="K230" s="18" t="n"/>
    </row>
    <row r="231">
      <c r="A231" s="22" t="n"/>
      <c r="B231" s="35">
        <f>IF(A231="","",VALUE(LEFT(A231,4)))</f>
        <v/>
      </c>
      <c r="C231" s="36">
        <f>IF(A231="","",VALUE(RIGHT(A231,2)))</f>
        <v/>
      </c>
      <c r="D231" s="22" t="n"/>
      <c r="E231" s="22" t="n"/>
      <c r="F231" s="42" t="n"/>
      <c r="G231" s="42" t="n"/>
      <c r="H231" s="42" t="n"/>
      <c r="I231" s="43">
        <f>IF(AND(F231&lt;&gt;"",G231&lt;&gt;"",H231&lt;&gt;""),F231+G231-H231,"")</f>
        <v/>
      </c>
      <c r="J231" s="22" t="n"/>
      <c r="K231" s="22" t="n"/>
    </row>
    <row r="232">
      <c r="A232" s="18" t="n"/>
      <c r="B232" s="35">
        <f>IF(A232="","",VALUE(LEFT(A232,4)))</f>
        <v/>
      </c>
      <c r="C232" s="36">
        <f>IF(A232="","",VALUE(RIGHT(A232,2)))</f>
        <v/>
      </c>
      <c r="D232" s="18" t="n"/>
      <c r="E232" s="18" t="n"/>
      <c r="F232" s="38" t="n"/>
      <c r="G232" s="38" t="n"/>
      <c r="H232" s="38" t="n"/>
      <c r="I232" s="43">
        <f>IF(AND(F232&lt;&gt;"",G232&lt;&gt;"",H232&lt;&gt;""),F232+G232-H232,"")</f>
        <v/>
      </c>
      <c r="J232" s="18" t="n"/>
      <c r="K232" s="18" t="n"/>
    </row>
    <row r="233">
      <c r="A233" s="22" t="n"/>
      <c r="B233" s="35">
        <f>IF(A233="","",VALUE(LEFT(A233,4)))</f>
        <v/>
      </c>
      <c r="C233" s="36">
        <f>IF(A233="","",VALUE(RIGHT(A233,2)))</f>
        <v/>
      </c>
      <c r="D233" s="22" t="n"/>
      <c r="E233" s="22" t="n"/>
      <c r="F233" s="42" t="n"/>
      <c r="G233" s="42" t="n"/>
      <c r="H233" s="42" t="n"/>
      <c r="I233" s="43">
        <f>IF(AND(F233&lt;&gt;"",G233&lt;&gt;"",H233&lt;&gt;""),F233+G233-H233,"")</f>
        <v/>
      </c>
      <c r="J233" s="22" t="n"/>
      <c r="K233" s="22" t="n"/>
    </row>
    <row r="234">
      <c r="A234" s="18" t="n"/>
      <c r="B234" s="35">
        <f>IF(A234="","",VALUE(LEFT(A234,4)))</f>
        <v/>
      </c>
      <c r="C234" s="36">
        <f>IF(A234="","",VALUE(RIGHT(A234,2)))</f>
        <v/>
      </c>
      <c r="D234" s="18" t="n"/>
      <c r="E234" s="18" t="n"/>
      <c r="F234" s="38" t="n"/>
      <c r="G234" s="38" t="n"/>
      <c r="H234" s="38" t="n"/>
      <c r="I234" s="43">
        <f>IF(AND(F234&lt;&gt;"",G234&lt;&gt;"",H234&lt;&gt;""),F234+G234-H234,"")</f>
        <v/>
      </c>
      <c r="J234" s="18" t="n"/>
      <c r="K234" s="18" t="n"/>
    </row>
    <row r="235">
      <c r="A235" s="22" t="n"/>
      <c r="B235" s="35">
        <f>IF(A235="","",VALUE(LEFT(A235,4)))</f>
        <v/>
      </c>
      <c r="C235" s="36">
        <f>IF(A235="","",VALUE(RIGHT(A235,2)))</f>
        <v/>
      </c>
      <c r="D235" s="22" t="n"/>
      <c r="E235" s="22" t="n"/>
      <c r="F235" s="42" t="n"/>
      <c r="G235" s="42" t="n"/>
      <c r="H235" s="42" t="n"/>
      <c r="I235" s="43">
        <f>IF(AND(F235&lt;&gt;"",G235&lt;&gt;"",H235&lt;&gt;""),F235+G235-H235,"")</f>
        <v/>
      </c>
      <c r="J235" s="22" t="n"/>
      <c r="K235" s="22" t="n"/>
    </row>
    <row r="236">
      <c r="A236" s="18" t="n"/>
      <c r="B236" s="35">
        <f>IF(A236="","",VALUE(LEFT(A236,4)))</f>
        <v/>
      </c>
      <c r="C236" s="36">
        <f>IF(A236="","",VALUE(RIGHT(A236,2)))</f>
        <v/>
      </c>
      <c r="D236" s="18" t="n"/>
      <c r="E236" s="18" t="n"/>
      <c r="F236" s="38" t="n"/>
      <c r="G236" s="38" t="n"/>
      <c r="H236" s="38" t="n"/>
      <c r="I236" s="43">
        <f>IF(AND(F236&lt;&gt;"",G236&lt;&gt;"",H236&lt;&gt;""),F236+G236-H236,"")</f>
        <v/>
      </c>
      <c r="J236" s="18" t="n"/>
      <c r="K236" s="18" t="n"/>
    </row>
    <row r="237">
      <c r="A237" s="22" t="n"/>
      <c r="B237" s="35">
        <f>IF(A237="","",VALUE(LEFT(A237,4)))</f>
        <v/>
      </c>
      <c r="C237" s="36">
        <f>IF(A237="","",VALUE(RIGHT(A237,2)))</f>
        <v/>
      </c>
      <c r="D237" s="22" t="n"/>
      <c r="E237" s="22" t="n"/>
      <c r="F237" s="42" t="n"/>
      <c r="G237" s="42" t="n"/>
      <c r="H237" s="42" t="n"/>
      <c r="I237" s="43">
        <f>IF(AND(F237&lt;&gt;"",G237&lt;&gt;"",H237&lt;&gt;""),F237+G237-H237,"")</f>
        <v/>
      </c>
      <c r="J237" s="22" t="n"/>
      <c r="K237" s="22" t="n"/>
    </row>
    <row r="238">
      <c r="A238" s="18" t="n"/>
      <c r="B238" s="35">
        <f>IF(A238="","",VALUE(LEFT(A238,4)))</f>
        <v/>
      </c>
      <c r="C238" s="36">
        <f>IF(A238="","",VALUE(RIGHT(A238,2)))</f>
        <v/>
      </c>
      <c r="D238" s="18" t="n"/>
      <c r="E238" s="18" t="n"/>
      <c r="F238" s="38" t="n"/>
      <c r="G238" s="38" t="n"/>
      <c r="H238" s="38" t="n"/>
      <c r="I238" s="43">
        <f>IF(AND(F238&lt;&gt;"",G238&lt;&gt;"",H238&lt;&gt;""),F238+G238-H238,"")</f>
        <v/>
      </c>
      <c r="J238" s="18" t="n"/>
      <c r="K238" s="18" t="n"/>
    </row>
    <row r="239">
      <c r="A239" s="22" t="n"/>
      <c r="B239" s="35">
        <f>IF(A239="","",VALUE(LEFT(A239,4)))</f>
        <v/>
      </c>
      <c r="C239" s="36">
        <f>IF(A239="","",VALUE(RIGHT(A239,2)))</f>
        <v/>
      </c>
      <c r="D239" s="22" t="n"/>
      <c r="E239" s="22" t="n"/>
      <c r="F239" s="42" t="n"/>
      <c r="G239" s="42" t="n"/>
      <c r="H239" s="42" t="n"/>
      <c r="I239" s="43">
        <f>IF(AND(F239&lt;&gt;"",G239&lt;&gt;"",H239&lt;&gt;""),F239+G239-H239,"")</f>
        <v/>
      </c>
      <c r="J239" s="22" t="n"/>
      <c r="K239" s="22" t="n"/>
    </row>
    <row r="240">
      <c r="A240" s="18" t="n"/>
      <c r="B240" s="35">
        <f>IF(A240="","",VALUE(LEFT(A240,4)))</f>
        <v/>
      </c>
      <c r="C240" s="36">
        <f>IF(A240="","",VALUE(RIGHT(A240,2)))</f>
        <v/>
      </c>
      <c r="D240" s="18" t="n"/>
      <c r="E240" s="18" t="n"/>
      <c r="F240" s="38" t="n"/>
      <c r="G240" s="38" t="n"/>
      <c r="H240" s="38" t="n"/>
      <c r="I240" s="43">
        <f>IF(AND(F240&lt;&gt;"",G240&lt;&gt;"",H240&lt;&gt;""),F240+G240-H240,"")</f>
        <v/>
      </c>
      <c r="J240" s="18" t="n"/>
      <c r="K240" s="18" t="n"/>
    </row>
    <row r="241">
      <c r="A241" s="22" t="n"/>
      <c r="B241" s="35">
        <f>IF(A241="","",VALUE(LEFT(A241,4)))</f>
        <v/>
      </c>
      <c r="C241" s="36">
        <f>IF(A241="","",VALUE(RIGHT(A241,2)))</f>
        <v/>
      </c>
      <c r="D241" s="22" t="n"/>
      <c r="E241" s="22" t="n"/>
      <c r="F241" s="42" t="n"/>
      <c r="G241" s="42" t="n"/>
      <c r="H241" s="42" t="n"/>
      <c r="I241" s="43">
        <f>IF(AND(F241&lt;&gt;"",G241&lt;&gt;"",H241&lt;&gt;""),F241+G241-H241,"")</f>
        <v/>
      </c>
      <c r="J241" s="22" t="n"/>
      <c r="K241" s="22" t="n"/>
    </row>
    <row r="242">
      <c r="A242" s="18" t="n"/>
      <c r="B242" s="35">
        <f>IF(A242="","",VALUE(LEFT(A242,4)))</f>
        <v/>
      </c>
      <c r="C242" s="36">
        <f>IF(A242="","",VALUE(RIGHT(A242,2)))</f>
        <v/>
      </c>
      <c r="D242" s="18" t="n"/>
      <c r="E242" s="18" t="n"/>
      <c r="F242" s="38" t="n"/>
      <c r="G242" s="38" t="n"/>
      <c r="H242" s="38" t="n"/>
      <c r="I242" s="43">
        <f>IF(AND(F242&lt;&gt;"",G242&lt;&gt;"",H242&lt;&gt;""),F242+G242-H242,"")</f>
        <v/>
      </c>
      <c r="J242" s="18" t="n"/>
      <c r="K242" s="18" t="n"/>
    </row>
    <row r="243">
      <c r="A243" s="22" t="n"/>
      <c r="B243" s="35">
        <f>IF(A243="","",VALUE(LEFT(A243,4)))</f>
        <v/>
      </c>
      <c r="C243" s="36">
        <f>IF(A243="","",VALUE(RIGHT(A243,2)))</f>
        <v/>
      </c>
      <c r="D243" s="22" t="n"/>
      <c r="E243" s="22" t="n"/>
      <c r="F243" s="42" t="n"/>
      <c r="G243" s="42" t="n"/>
      <c r="H243" s="42" t="n"/>
      <c r="I243" s="43">
        <f>IF(AND(F243&lt;&gt;"",G243&lt;&gt;"",H243&lt;&gt;""),F243+G243-H243,"")</f>
        <v/>
      </c>
      <c r="J243" s="22" t="n"/>
      <c r="K243" s="22" t="n"/>
    </row>
    <row r="244">
      <c r="A244" s="18" t="n"/>
      <c r="B244" s="35">
        <f>IF(A244="","",VALUE(LEFT(A244,4)))</f>
        <v/>
      </c>
      <c r="C244" s="36">
        <f>IF(A244="","",VALUE(RIGHT(A244,2)))</f>
        <v/>
      </c>
      <c r="D244" s="18" t="n"/>
      <c r="E244" s="18" t="n"/>
      <c r="F244" s="38" t="n"/>
      <c r="G244" s="38" t="n"/>
      <c r="H244" s="38" t="n"/>
      <c r="I244" s="43">
        <f>IF(AND(F244&lt;&gt;"",G244&lt;&gt;"",H244&lt;&gt;""),F244+G244-H244,"")</f>
        <v/>
      </c>
      <c r="J244" s="18" t="n"/>
      <c r="K244" s="18" t="n"/>
    </row>
    <row r="245">
      <c r="A245" s="22" t="n"/>
      <c r="B245" s="35">
        <f>IF(A245="","",VALUE(LEFT(A245,4)))</f>
        <v/>
      </c>
      <c r="C245" s="36">
        <f>IF(A245="","",VALUE(RIGHT(A245,2)))</f>
        <v/>
      </c>
      <c r="D245" s="22" t="n"/>
      <c r="E245" s="22" t="n"/>
      <c r="F245" s="42" t="n"/>
      <c r="G245" s="42" t="n"/>
      <c r="H245" s="42" t="n"/>
      <c r="I245" s="43">
        <f>IF(AND(F245&lt;&gt;"",G245&lt;&gt;"",H245&lt;&gt;""),F245+G245-H245,"")</f>
        <v/>
      </c>
      <c r="J245" s="22" t="n"/>
      <c r="K245" s="22" t="n"/>
    </row>
    <row r="246">
      <c r="A246" s="18" t="n"/>
      <c r="B246" s="35">
        <f>IF(A246="","",VALUE(LEFT(A246,4)))</f>
        <v/>
      </c>
      <c r="C246" s="36">
        <f>IF(A246="","",VALUE(RIGHT(A246,2)))</f>
        <v/>
      </c>
      <c r="D246" s="18" t="n"/>
      <c r="E246" s="18" t="n"/>
      <c r="F246" s="38" t="n"/>
      <c r="G246" s="38" t="n"/>
      <c r="H246" s="38" t="n"/>
      <c r="I246" s="43">
        <f>IF(AND(F246&lt;&gt;"",G246&lt;&gt;"",H246&lt;&gt;""),F246+G246-H246,"")</f>
        <v/>
      </c>
      <c r="J246" s="18" t="n"/>
      <c r="K246" s="18" t="n"/>
    </row>
    <row r="247">
      <c r="A247" s="22" t="n"/>
      <c r="B247" s="35">
        <f>IF(A247="","",VALUE(LEFT(A247,4)))</f>
        <v/>
      </c>
      <c r="C247" s="36">
        <f>IF(A247="","",VALUE(RIGHT(A247,2)))</f>
        <v/>
      </c>
      <c r="D247" s="22" t="n"/>
      <c r="E247" s="22" t="n"/>
      <c r="F247" s="42" t="n"/>
      <c r="G247" s="42" t="n"/>
      <c r="H247" s="42" t="n"/>
      <c r="I247" s="43">
        <f>IF(AND(F247&lt;&gt;"",G247&lt;&gt;"",H247&lt;&gt;""),F247+G247-H247,"")</f>
        <v/>
      </c>
      <c r="J247" s="22" t="n"/>
      <c r="K247" s="22" t="n"/>
    </row>
    <row r="248">
      <c r="A248" s="18" t="n"/>
      <c r="B248" s="35">
        <f>IF(A248="","",VALUE(LEFT(A248,4)))</f>
        <v/>
      </c>
      <c r="C248" s="36">
        <f>IF(A248="","",VALUE(RIGHT(A248,2)))</f>
        <v/>
      </c>
      <c r="D248" s="18" t="n"/>
      <c r="E248" s="18" t="n"/>
      <c r="F248" s="38" t="n"/>
      <c r="G248" s="38" t="n"/>
      <c r="H248" s="38" t="n"/>
      <c r="I248" s="43">
        <f>IF(AND(F248&lt;&gt;"",G248&lt;&gt;"",H248&lt;&gt;""),F248+G248-H248,"")</f>
        <v/>
      </c>
      <c r="J248" s="18" t="n"/>
      <c r="K248" s="18" t="n"/>
    </row>
    <row r="249">
      <c r="A249" s="22" t="n"/>
      <c r="B249" s="35">
        <f>IF(A249="","",VALUE(LEFT(A249,4)))</f>
        <v/>
      </c>
      <c r="C249" s="36">
        <f>IF(A249="","",VALUE(RIGHT(A249,2)))</f>
        <v/>
      </c>
      <c r="D249" s="22" t="n"/>
      <c r="E249" s="22" t="n"/>
      <c r="F249" s="42" t="n"/>
      <c r="G249" s="42" t="n"/>
      <c r="H249" s="42" t="n"/>
      <c r="I249" s="43">
        <f>IF(AND(F249&lt;&gt;"",G249&lt;&gt;"",H249&lt;&gt;""),F249+G249-H249,"")</f>
        <v/>
      </c>
      <c r="J249" s="22" t="n"/>
      <c r="K249" s="22" t="n"/>
    </row>
    <row r="250">
      <c r="A250" s="18" t="n"/>
      <c r="B250" s="35">
        <f>IF(A250="","",VALUE(LEFT(A250,4)))</f>
        <v/>
      </c>
      <c r="C250" s="36">
        <f>IF(A250="","",VALUE(RIGHT(A250,2)))</f>
        <v/>
      </c>
      <c r="D250" s="18" t="n"/>
      <c r="E250" s="18" t="n"/>
      <c r="F250" s="38" t="n"/>
      <c r="G250" s="38" t="n"/>
      <c r="H250" s="38" t="n"/>
      <c r="I250" s="43">
        <f>IF(AND(F250&lt;&gt;"",G250&lt;&gt;"",H250&lt;&gt;""),F250+G250-H250,"")</f>
        <v/>
      </c>
      <c r="J250" s="18" t="n"/>
      <c r="K250" s="18" t="n"/>
    </row>
    <row r="251">
      <c r="A251" s="22" t="n"/>
      <c r="B251" s="35">
        <f>IF(A251="","",VALUE(LEFT(A251,4)))</f>
        <v/>
      </c>
      <c r="C251" s="36">
        <f>IF(A251="","",VALUE(RIGHT(A251,2)))</f>
        <v/>
      </c>
      <c r="D251" s="22" t="n"/>
      <c r="E251" s="22" t="n"/>
      <c r="F251" s="42" t="n"/>
      <c r="G251" s="42" t="n"/>
      <c r="H251" s="42" t="n"/>
      <c r="I251" s="43">
        <f>IF(AND(F251&lt;&gt;"",G251&lt;&gt;"",H251&lt;&gt;""),F251+G251-H251,"")</f>
        <v/>
      </c>
      <c r="J251" s="22" t="n"/>
      <c r="K251" s="22" t="n"/>
    </row>
    <row r="252">
      <c r="A252" s="18" t="n"/>
      <c r="B252" s="35">
        <f>IF(A252="","",VALUE(LEFT(A252,4)))</f>
        <v/>
      </c>
      <c r="C252" s="36">
        <f>IF(A252="","",VALUE(RIGHT(A252,2)))</f>
        <v/>
      </c>
      <c r="D252" s="18" t="n"/>
      <c r="E252" s="18" t="n"/>
      <c r="F252" s="38" t="n"/>
      <c r="G252" s="38" t="n"/>
      <c r="H252" s="38" t="n"/>
      <c r="I252" s="43">
        <f>IF(AND(F252&lt;&gt;"",G252&lt;&gt;"",H252&lt;&gt;""),F252+G252-H252,"")</f>
        <v/>
      </c>
      <c r="J252" s="18" t="n"/>
      <c r="K252" s="18" t="n"/>
    </row>
    <row r="253">
      <c r="A253" s="22" t="n"/>
      <c r="B253" s="35">
        <f>IF(A253="","",VALUE(LEFT(A253,4)))</f>
        <v/>
      </c>
      <c r="C253" s="36">
        <f>IF(A253="","",VALUE(RIGHT(A253,2)))</f>
        <v/>
      </c>
      <c r="D253" s="22" t="n"/>
      <c r="E253" s="22" t="n"/>
      <c r="F253" s="42" t="n"/>
      <c r="G253" s="42" t="n"/>
      <c r="H253" s="42" t="n"/>
      <c r="I253" s="43">
        <f>IF(AND(F253&lt;&gt;"",G253&lt;&gt;"",H253&lt;&gt;""),F253+G253-H253,"")</f>
        <v/>
      </c>
      <c r="J253" s="22" t="n"/>
      <c r="K253" s="22" t="n"/>
    </row>
    <row r="254">
      <c r="A254" s="18" t="n"/>
      <c r="B254" s="35">
        <f>IF(A254="","",VALUE(LEFT(A254,4)))</f>
        <v/>
      </c>
      <c r="C254" s="36">
        <f>IF(A254="","",VALUE(RIGHT(A254,2)))</f>
        <v/>
      </c>
      <c r="D254" s="18" t="n"/>
      <c r="E254" s="18" t="n"/>
      <c r="F254" s="38" t="n"/>
      <c r="G254" s="38" t="n"/>
      <c r="H254" s="38" t="n"/>
      <c r="I254" s="43">
        <f>IF(AND(F254&lt;&gt;"",G254&lt;&gt;"",H254&lt;&gt;""),F254+G254-H254,"")</f>
        <v/>
      </c>
      <c r="J254" s="18" t="n"/>
      <c r="K254" s="18" t="n"/>
    </row>
    <row r="255">
      <c r="A255" s="22" t="n"/>
      <c r="B255" s="35">
        <f>IF(A255="","",VALUE(LEFT(A255,4)))</f>
        <v/>
      </c>
      <c r="C255" s="36">
        <f>IF(A255="","",VALUE(RIGHT(A255,2)))</f>
        <v/>
      </c>
      <c r="D255" s="22" t="n"/>
      <c r="E255" s="22" t="n"/>
      <c r="F255" s="42" t="n"/>
      <c r="G255" s="42" t="n"/>
      <c r="H255" s="42" t="n"/>
      <c r="I255" s="43">
        <f>IF(AND(F255&lt;&gt;"",G255&lt;&gt;"",H255&lt;&gt;""),F255+G255-H255,"")</f>
        <v/>
      </c>
      <c r="J255" s="22" t="n"/>
      <c r="K255" s="22" t="n"/>
    </row>
    <row r="256">
      <c r="A256" s="18" t="n"/>
      <c r="B256" s="35">
        <f>IF(A256="","",VALUE(LEFT(A256,4)))</f>
        <v/>
      </c>
      <c r="C256" s="36">
        <f>IF(A256="","",VALUE(RIGHT(A256,2)))</f>
        <v/>
      </c>
      <c r="D256" s="18" t="n"/>
      <c r="E256" s="18" t="n"/>
      <c r="F256" s="38" t="n"/>
      <c r="G256" s="38" t="n"/>
      <c r="H256" s="38" t="n"/>
      <c r="I256" s="43">
        <f>IF(AND(F256&lt;&gt;"",G256&lt;&gt;"",H256&lt;&gt;""),F256+G256-H256,"")</f>
        <v/>
      </c>
      <c r="J256" s="18" t="n"/>
      <c r="K256" s="18" t="n"/>
    </row>
    <row r="257">
      <c r="A257" s="22" t="n"/>
      <c r="B257" s="35">
        <f>IF(A257="","",VALUE(LEFT(A257,4)))</f>
        <v/>
      </c>
      <c r="C257" s="36">
        <f>IF(A257="","",VALUE(RIGHT(A257,2)))</f>
        <v/>
      </c>
      <c r="D257" s="22" t="n"/>
      <c r="E257" s="22" t="n"/>
      <c r="F257" s="42" t="n"/>
      <c r="G257" s="42" t="n"/>
      <c r="H257" s="42" t="n"/>
      <c r="I257" s="43">
        <f>IF(AND(F257&lt;&gt;"",G257&lt;&gt;"",H257&lt;&gt;""),F257+G257-H257,"")</f>
        <v/>
      </c>
      <c r="J257" s="22" t="n"/>
      <c r="K257" s="22" t="n"/>
    </row>
    <row r="258">
      <c r="A258" s="18" t="n"/>
      <c r="B258" s="35">
        <f>IF(A258="","",VALUE(LEFT(A258,4)))</f>
        <v/>
      </c>
      <c r="C258" s="36">
        <f>IF(A258="","",VALUE(RIGHT(A258,2)))</f>
        <v/>
      </c>
      <c r="D258" s="18" t="n"/>
      <c r="E258" s="18" t="n"/>
      <c r="F258" s="38" t="n"/>
      <c r="G258" s="38" t="n"/>
      <c r="H258" s="38" t="n"/>
      <c r="I258" s="43">
        <f>IF(AND(F258&lt;&gt;"",G258&lt;&gt;"",H258&lt;&gt;""),F258+G258-H258,"")</f>
        <v/>
      </c>
      <c r="J258" s="18" t="n"/>
      <c r="K258" s="18" t="n"/>
    </row>
    <row r="259">
      <c r="A259" s="22" t="n"/>
      <c r="B259" s="35">
        <f>IF(A259="","",VALUE(LEFT(A259,4)))</f>
        <v/>
      </c>
      <c r="C259" s="36">
        <f>IF(A259="","",VALUE(RIGHT(A259,2)))</f>
        <v/>
      </c>
      <c r="D259" s="22" t="n"/>
      <c r="E259" s="22" t="n"/>
      <c r="F259" s="42" t="n"/>
      <c r="G259" s="42" t="n"/>
      <c r="H259" s="42" t="n"/>
      <c r="I259" s="43">
        <f>IF(AND(F259&lt;&gt;"",G259&lt;&gt;"",H259&lt;&gt;""),F259+G259-H259,"")</f>
        <v/>
      </c>
      <c r="J259" s="22" t="n"/>
      <c r="K259" s="22" t="n"/>
    </row>
    <row r="260">
      <c r="A260" s="18" t="n"/>
      <c r="B260" s="35">
        <f>IF(A260="","",VALUE(LEFT(A260,4)))</f>
        <v/>
      </c>
      <c r="C260" s="36">
        <f>IF(A260="","",VALUE(RIGHT(A260,2)))</f>
        <v/>
      </c>
      <c r="D260" s="18" t="n"/>
      <c r="E260" s="18" t="n"/>
      <c r="F260" s="38" t="n"/>
      <c r="G260" s="38" t="n"/>
      <c r="H260" s="38" t="n"/>
      <c r="I260" s="43">
        <f>IF(AND(F260&lt;&gt;"",G260&lt;&gt;"",H260&lt;&gt;""),F260+G260-H260,"")</f>
        <v/>
      </c>
      <c r="J260" s="18" t="n"/>
      <c r="K260" s="18" t="n"/>
    </row>
    <row r="261">
      <c r="A261" s="22" t="n"/>
      <c r="B261" s="35">
        <f>IF(A261="","",VALUE(LEFT(A261,4)))</f>
        <v/>
      </c>
      <c r="C261" s="36">
        <f>IF(A261="","",VALUE(RIGHT(A261,2)))</f>
        <v/>
      </c>
      <c r="D261" s="22" t="n"/>
      <c r="E261" s="22" t="n"/>
      <c r="F261" s="42" t="n"/>
      <c r="G261" s="42" t="n"/>
      <c r="H261" s="42" t="n"/>
      <c r="I261" s="43">
        <f>IF(AND(F261&lt;&gt;"",G261&lt;&gt;"",H261&lt;&gt;""),F261+G261-H261,"")</f>
        <v/>
      </c>
      <c r="J261" s="22" t="n"/>
      <c r="K261" s="22" t="n"/>
    </row>
    <row r="262">
      <c r="A262" s="18" t="n"/>
      <c r="B262" s="35">
        <f>IF(A262="","",VALUE(LEFT(A262,4)))</f>
        <v/>
      </c>
      <c r="C262" s="36">
        <f>IF(A262="","",VALUE(RIGHT(A262,2)))</f>
        <v/>
      </c>
      <c r="D262" s="18" t="n"/>
      <c r="E262" s="18" t="n"/>
      <c r="F262" s="38" t="n"/>
      <c r="G262" s="38" t="n"/>
      <c r="H262" s="38" t="n"/>
      <c r="I262" s="43">
        <f>IF(AND(F262&lt;&gt;"",G262&lt;&gt;"",H262&lt;&gt;""),F262+G262-H262,"")</f>
        <v/>
      </c>
      <c r="J262" s="18" t="n"/>
      <c r="K262" s="18" t="n"/>
    </row>
    <row r="263">
      <c r="A263" s="22" t="n"/>
      <c r="B263" s="35">
        <f>IF(A263="","",VALUE(LEFT(A263,4)))</f>
        <v/>
      </c>
      <c r="C263" s="36">
        <f>IF(A263="","",VALUE(RIGHT(A263,2)))</f>
        <v/>
      </c>
      <c r="D263" s="22" t="n"/>
      <c r="E263" s="22" t="n"/>
      <c r="F263" s="42" t="n"/>
      <c r="G263" s="42" t="n"/>
      <c r="H263" s="42" t="n"/>
      <c r="I263" s="43">
        <f>IF(AND(F263&lt;&gt;"",G263&lt;&gt;"",H263&lt;&gt;""),F263+G263-H263,"")</f>
        <v/>
      </c>
      <c r="J263" s="22" t="n"/>
      <c r="K263" s="22" t="n"/>
    </row>
    <row r="264">
      <c r="A264" s="18" t="n"/>
      <c r="B264" s="35">
        <f>IF(A264="","",VALUE(LEFT(A264,4)))</f>
        <v/>
      </c>
      <c r="C264" s="36">
        <f>IF(A264="","",VALUE(RIGHT(A264,2)))</f>
        <v/>
      </c>
      <c r="D264" s="18" t="n"/>
      <c r="E264" s="18" t="n"/>
      <c r="F264" s="38" t="n"/>
      <c r="G264" s="38" t="n"/>
      <c r="H264" s="38" t="n"/>
      <c r="I264" s="43">
        <f>IF(AND(F264&lt;&gt;"",G264&lt;&gt;"",H264&lt;&gt;""),F264+G264-H264,"")</f>
        <v/>
      </c>
      <c r="J264" s="18" t="n"/>
      <c r="K264" s="18" t="n"/>
    </row>
    <row r="265">
      <c r="A265" s="22" t="n"/>
      <c r="B265" s="35">
        <f>IF(A265="","",VALUE(LEFT(A265,4)))</f>
        <v/>
      </c>
      <c r="C265" s="36">
        <f>IF(A265="","",VALUE(RIGHT(A265,2)))</f>
        <v/>
      </c>
      <c r="D265" s="22" t="n"/>
      <c r="E265" s="22" t="n"/>
      <c r="F265" s="42" t="n"/>
      <c r="G265" s="42" t="n"/>
      <c r="H265" s="42" t="n"/>
      <c r="I265" s="43">
        <f>IF(AND(F265&lt;&gt;"",G265&lt;&gt;"",H265&lt;&gt;""),F265+G265-H265,"")</f>
        <v/>
      </c>
      <c r="J265" s="22" t="n"/>
      <c r="K265" s="22" t="n"/>
    </row>
    <row r="266">
      <c r="A266" s="18" t="n"/>
      <c r="B266" s="35">
        <f>IF(A266="","",VALUE(LEFT(A266,4)))</f>
        <v/>
      </c>
      <c r="C266" s="36">
        <f>IF(A266="","",VALUE(RIGHT(A266,2)))</f>
        <v/>
      </c>
      <c r="D266" s="18" t="n"/>
      <c r="E266" s="18" t="n"/>
      <c r="F266" s="38" t="n"/>
      <c r="G266" s="38" t="n"/>
      <c r="H266" s="38" t="n"/>
      <c r="I266" s="43">
        <f>IF(AND(F266&lt;&gt;"",G266&lt;&gt;"",H266&lt;&gt;""),F266+G266-H266,"")</f>
        <v/>
      </c>
      <c r="J266" s="18" t="n"/>
      <c r="K266" s="18" t="n"/>
    </row>
    <row r="267">
      <c r="A267" s="22" t="n"/>
      <c r="B267" s="35">
        <f>IF(A267="","",VALUE(LEFT(A267,4)))</f>
        <v/>
      </c>
      <c r="C267" s="36">
        <f>IF(A267="","",VALUE(RIGHT(A267,2)))</f>
        <v/>
      </c>
      <c r="D267" s="22" t="n"/>
      <c r="E267" s="22" t="n"/>
      <c r="F267" s="42" t="n"/>
      <c r="G267" s="42" t="n"/>
      <c r="H267" s="42" t="n"/>
      <c r="I267" s="43">
        <f>IF(AND(F267&lt;&gt;"",G267&lt;&gt;"",H267&lt;&gt;""),F267+G267-H267,"")</f>
        <v/>
      </c>
      <c r="J267" s="22" t="n"/>
      <c r="K267" s="22" t="n"/>
    </row>
    <row r="268">
      <c r="A268" s="18" t="n"/>
      <c r="B268" s="35">
        <f>IF(A268="","",VALUE(LEFT(A268,4)))</f>
        <v/>
      </c>
      <c r="C268" s="36">
        <f>IF(A268="","",VALUE(RIGHT(A268,2)))</f>
        <v/>
      </c>
      <c r="D268" s="18" t="n"/>
      <c r="E268" s="18" t="n"/>
      <c r="F268" s="38" t="n"/>
      <c r="G268" s="38" t="n"/>
      <c r="H268" s="38" t="n"/>
      <c r="I268" s="43">
        <f>IF(AND(F268&lt;&gt;"",G268&lt;&gt;"",H268&lt;&gt;""),F268+G268-H268,"")</f>
        <v/>
      </c>
      <c r="J268" s="18" t="n"/>
      <c r="K268" s="18" t="n"/>
    </row>
    <row r="269">
      <c r="A269" s="22" t="n"/>
      <c r="B269" s="35">
        <f>IF(A269="","",VALUE(LEFT(A269,4)))</f>
        <v/>
      </c>
      <c r="C269" s="36">
        <f>IF(A269="","",VALUE(RIGHT(A269,2)))</f>
        <v/>
      </c>
      <c r="D269" s="22" t="n"/>
      <c r="E269" s="22" t="n"/>
      <c r="F269" s="42" t="n"/>
      <c r="G269" s="42" t="n"/>
      <c r="H269" s="42" t="n"/>
      <c r="I269" s="43">
        <f>IF(AND(F269&lt;&gt;"",G269&lt;&gt;"",H269&lt;&gt;""),F269+G269-H269,"")</f>
        <v/>
      </c>
      <c r="J269" s="22" t="n"/>
      <c r="K269" s="22" t="n"/>
    </row>
    <row r="270">
      <c r="A270" s="18" t="n"/>
      <c r="B270" s="35">
        <f>IF(A270="","",VALUE(LEFT(A270,4)))</f>
        <v/>
      </c>
      <c r="C270" s="36">
        <f>IF(A270="","",VALUE(RIGHT(A270,2)))</f>
        <v/>
      </c>
      <c r="D270" s="18" t="n"/>
      <c r="E270" s="18" t="n"/>
      <c r="F270" s="38" t="n"/>
      <c r="G270" s="38" t="n"/>
      <c r="H270" s="38" t="n"/>
      <c r="I270" s="43">
        <f>IF(AND(F270&lt;&gt;"",G270&lt;&gt;"",H270&lt;&gt;""),F270+G270-H270,"")</f>
        <v/>
      </c>
      <c r="J270" s="18" t="n"/>
      <c r="K270" s="18" t="n"/>
    </row>
    <row r="271">
      <c r="A271" s="22" t="n"/>
      <c r="B271" s="35">
        <f>IF(A271="","",VALUE(LEFT(A271,4)))</f>
        <v/>
      </c>
      <c r="C271" s="36">
        <f>IF(A271="","",VALUE(RIGHT(A271,2)))</f>
        <v/>
      </c>
      <c r="D271" s="22" t="n"/>
      <c r="E271" s="22" t="n"/>
      <c r="F271" s="42" t="n"/>
      <c r="G271" s="42" t="n"/>
      <c r="H271" s="42" t="n"/>
      <c r="I271" s="43">
        <f>IF(AND(F271&lt;&gt;"",G271&lt;&gt;"",H271&lt;&gt;""),F271+G271-H271,"")</f>
        <v/>
      </c>
      <c r="J271" s="22" t="n"/>
      <c r="K271" s="22" t="n"/>
    </row>
    <row r="272">
      <c r="A272" s="18" t="n"/>
      <c r="B272" s="35">
        <f>IF(A272="","",VALUE(LEFT(A272,4)))</f>
        <v/>
      </c>
      <c r="C272" s="36">
        <f>IF(A272="","",VALUE(RIGHT(A272,2)))</f>
        <v/>
      </c>
      <c r="D272" s="18" t="n"/>
      <c r="E272" s="18" t="n"/>
      <c r="F272" s="38" t="n"/>
      <c r="G272" s="38" t="n"/>
      <c r="H272" s="38" t="n"/>
      <c r="I272" s="43">
        <f>IF(AND(F272&lt;&gt;"",G272&lt;&gt;"",H272&lt;&gt;""),F272+G272-H272,"")</f>
        <v/>
      </c>
      <c r="J272" s="18" t="n"/>
      <c r="K272" s="18" t="n"/>
    </row>
    <row r="273">
      <c r="A273" s="22" t="n"/>
      <c r="B273" s="35">
        <f>IF(A273="","",VALUE(LEFT(A273,4)))</f>
        <v/>
      </c>
      <c r="C273" s="36">
        <f>IF(A273="","",VALUE(RIGHT(A273,2)))</f>
        <v/>
      </c>
      <c r="D273" s="22" t="n"/>
      <c r="E273" s="22" t="n"/>
      <c r="F273" s="42" t="n"/>
      <c r="G273" s="42" t="n"/>
      <c r="H273" s="42" t="n"/>
      <c r="I273" s="43">
        <f>IF(AND(F273&lt;&gt;"",G273&lt;&gt;"",H273&lt;&gt;""),F273+G273-H273,"")</f>
        <v/>
      </c>
      <c r="J273" s="22" t="n"/>
      <c r="K273" s="22" t="n"/>
    </row>
    <row r="274">
      <c r="A274" s="18" t="n"/>
      <c r="B274" s="35">
        <f>IF(A274="","",VALUE(LEFT(A274,4)))</f>
        <v/>
      </c>
      <c r="C274" s="36">
        <f>IF(A274="","",VALUE(RIGHT(A274,2)))</f>
        <v/>
      </c>
      <c r="D274" s="18" t="n"/>
      <c r="E274" s="18" t="n"/>
      <c r="F274" s="38" t="n"/>
      <c r="G274" s="38" t="n"/>
      <c r="H274" s="38" t="n"/>
      <c r="I274" s="43">
        <f>IF(AND(F274&lt;&gt;"",G274&lt;&gt;"",H274&lt;&gt;""),F274+G274-H274,"")</f>
        <v/>
      </c>
      <c r="J274" s="18" t="n"/>
      <c r="K274" s="18" t="n"/>
    </row>
    <row r="275">
      <c r="A275" s="22" t="n"/>
      <c r="B275" s="35">
        <f>IF(A275="","",VALUE(LEFT(A275,4)))</f>
        <v/>
      </c>
      <c r="C275" s="36">
        <f>IF(A275="","",VALUE(RIGHT(A275,2)))</f>
        <v/>
      </c>
      <c r="D275" s="22" t="n"/>
      <c r="E275" s="22" t="n"/>
      <c r="F275" s="42" t="n"/>
      <c r="G275" s="42" t="n"/>
      <c r="H275" s="42" t="n"/>
      <c r="I275" s="43">
        <f>IF(AND(F275&lt;&gt;"",G275&lt;&gt;"",H275&lt;&gt;""),F275+G275-H275,"")</f>
        <v/>
      </c>
      <c r="J275" s="22" t="n"/>
      <c r="K275" s="22" t="n"/>
    </row>
    <row r="276">
      <c r="A276" s="18" t="n"/>
      <c r="B276" s="35">
        <f>IF(A276="","",VALUE(LEFT(A276,4)))</f>
        <v/>
      </c>
      <c r="C276" s="36">
        <f>IF(A276="","",VALUE(RIGHT(A276,2)))</f>
        <v/>
      </c>
      <c r="D276" s="18" t="n"/>
      <c r="E276" s="18" t="n"/>
      <c r="F276" s="38" t="n"/>
      <c r="G276" s="38" t="n"/>
      <c r="H276" s="38" t="n"/>
      <c r="I276" s="43">
        <f>IF(AND(F276&lt;&gt;"",G276&lt;&gt;"",H276&lt;&gt;""),F276+G276-H276,"")</f>
        <v/>
      </c>
      <c r="J276" s="18" t="n"/>
      <c r="K276" s="18" t="n"/>
    </row>
    <row r="277">
      <c r="A277" s="22" t="n"/>
      <c r="B277" s="35">
        <f>IF(A277="","",VALUE(LEFT(A277,4)))</f>
        <v/>
      </c>
      <c r="C277" s="36">
        <f>IF(A277="","",VALUE(RIGHT(A277,2)))</f>
        <v/>
      </c>
      <c r="D277" s="22" t="n"/>
      <c r="E277" s="22" t="n"/>
      <c r="F277" s="42" t="n"/>
      <c r="G277" s="42" t="n"/>
      <c r="H277" s="42" t="n"/>
      <c r="I277" s="43">
        <f>IF(AND(F277&lt;&gt;"",G277&lt;&gt;"",H277&lt;&gt;""),F277+G277-H277,"")</f>
        <v/>
      </c>
      <c r="J277" s="22" t="n"/>
      <c r="K277" s="22" t="n"/>
    </row>
    <row r="278">
      <c r="A278" s="18" t="n"/>
      <c r="B278" s="35">
        <f>IF(A278="","",VALUE(LEFT(A278,4)))</f>
        <v/>
      </c>
      <c r="C278" s="36">
        <f>IF(A278="","",VALUE(RIGHT(A278,2)))</f>
        <v/>
      </c>
      <c r="D278" s="18" t="n"/>
      <c r="E278" s="18" t="n"/>
      <c r="F278" s="38" t="n"/>
      <c r="G278" s="38" t="n"/>
      <c r="H278" s="38" t="n"/>
      <c r="I278" s="43">
        <f>IF(AND(F278&lt;&gt;"",G278&lt;&gt;"",H278&lt;&gt;""),F278+G278-H278,"")</f>
        <v/>
      </c>
      <c r="J278" s="18" t="n"/>
      <c r="K278" s="18" t="n"/>
    </row>
    <row r="279">
      <c r="A279" s="22" t="n"/>
      <c r="B279" s="35">
        <f>IF(A279="","",VALUE(LEFT(A279,4)))</f>
        <v/>
      </c>
      <c r="C279" s="36">
        <f>IF(A279="","",VALUE(RIGHT(A279,2)))</f>
        <v/>
      </c>
      <c r="D279" s="22" t="n"/>
      <c r="E279" s="22" t="n"/>
      <c r="F279" s="42" t="n"/>
      <c r="G279" s="42" t="n"/>
      <c r="H279" s="42" t="n"/>
      <c r="I279" s="43">
        <f>IF(AND(F279&lt;&gt;"",G279&lt;&gt;"",H279&lt;&gt;""),F279+G279-H279,"")</f>
        <v/>
      </c>
      <c r="J279" s="22" t="n"/>
      <c r="K279" s="22" t="n"/>
    </row>
    <row r="280">
      <c r="A280" s="18" t="n"/>
      <c r="B280" s="35">
        <f>IF(A280="","",VALUE(LEFT(A280,4)))</f>
        <v/>
      </c>
      <c r="C280" s="36">
        <f>IF(A280="","",VALUE(RIGHT(A280,2)))</f>
        <v/>
      </c>
      <c r="D280" s="18" t="n"/>
      <c r="E280" s="18" t="n"/>
      <c r="F280" s="38" t="n"/>
      <c r="G280" s="38" t="n"/>
      <c r="H280" s="38" t="n"/>
      <c r="I280" s="43">
        <f>IF(AND(F280&lt;&gt;"",G280&lt;&gt;"",H280&lt;&gt;""),F280+G280-H280,"")</f>
        <v/>
      </c>
      <c r="J280" s="18" t="n"/>
      <c r="K280" s="18" t="n"/>
    </row>
    <row r="281">
      <c r="A281" s="22" t="n"/>
      <c r="B281" s="35">
        <f>IF(A281="","",VALUE(LEFT(A281,4)))</f>
        <v/>
      </c>
      <c r="C281" s="36">
        <f>IF(A281="","",VALUE(RIGHT(A281,2)))</f>
        <v/>
      </c>
      <c r="D281" s="22" t="n"/>
      <c r="E281" s="22" t="n"/>
      <c r="F281" s="42" t="n"/>
      <c r="G281" s="42" t="n"/>
      <c r="H281" s="42" t="n"/>
      <c r="I281" s="43">
        <f>IF(AND(F281&lt;&gt;"",G281&lt;&gt;"",H281&lt;&gt;""),F281+G281-H281,"")</f>
        <v/>
      </c>
      <c r="J281" s="22" t="n"/>
      <c r="K281" s="22" t="n"/>
    </row>
    <row r="282">
      <c r="A282" s="18" t="n"/>
      <c r="B282" s="35">
        <f>IF(A282="","",VALUE(LEFT(A282,4)))</f>
        <v/>
      </c>
      <c r="C282" s="36">
        <f>IF(A282="","",VALUE(RIGHT(A282,2)))</f>
        <v/>
      </c>
      <c r="D282" s="18" t="n"/>
      <c r="E282" s="18" t="n"/>
      <c r="F282" s="38" t="n"/>
      <c r="G282" s="38" t="n"/>
      <c r="H282" s="38" t="n"/>
      <c r="I282" s="43">
        <f>IF(AND(F282&lt;&gt;"",G282&lt;&gt;"",H282&lt;&gt;""),F282+G282-H282,"")</f>
        <v/>
      </c>
      <c r="J282" s="18" t="n"/>
      <c r="K282" s="18" t="n"/>
    </row>
    <row r="283">
      <c r="A283" s="22" t="n"/>
      <c r="B283" s="35">
        <f>IF(A283="","",VALUE(LEFT(A283,4)))</f>
        <v/>
      </c>
      <c r="C283" s="36">
        <f>IF(A283="","",VALUE(RIGHT(A283,2)))</f>
        <v/>
      </c>
      <c r="D283" s="22" t="n"/>
      <c r="E283" s="22" t="n"/>
      <c r="F283" s="42" t="n"/>
      <c r="G283" s="42" t="n"/>
      <c r="H283" s="42" t="n"/>
      <c r="I283" s="43">
        <f>IF(AND(F283&lt;&gt;"",G283&lt;&gt;"",H283&lt;&gt;""),F283+G283-H283,"")</f>
        <v/>
      </c>
      <c r="J283" s="22" t="n"/>
      <c r="K283" s="22" t="n"/>
    </row>
    <row r="284">
      <c r="A284" s="18" t="n"/>
      <c r="B284" s="35">
        <f>IF(A284="","",VALUE(LEFT(A284,4)))</f>
        <v/>
      </c>
      <c r="C284" s="36">
        <f>IF(A284="","",VALUE(RIGHT(A284,2)))</f>
        <v/>
      </c>
      <c r="D284" s="18" t="n"/>
      <c r="E284" s="18" t="n"/>
      <c r="F284" s="38" t="n"/>
      <c r="G284" s="38" t="n"/>
      <c r="H284" s="38" t="n"/>
      <c r="I284" s="43">
        <f>IF(AND(F284&lt;&gt;"",G284&lt;&gt;"",H284&lt;&gt;""),F284+G284-H284,"")</f>
        <v/>
      </c>
      <c r="J284" s="18" t="n"/>
      <c r="K284" s="18" t="n"/>
    </row>
    <row r="285">
      <c r="A285" s="22" t="n"/>
      <c r="B285" s="35">
        <f>IF(A285="","",VALUE(LEFT(A285,4)))</f>
        <v/>
      </c>
      <c r="C285" s="36">
        <f>IF(A285="","",VALUE(RIGHT(A285,2)))</f>
        <v/>
      </c>
      <c r="D285" s="22" t="n"/>
      <c r="E285" s="22" t="n"/>
      <c r="F285" s="42" t="n"/>
      <c r="G285" s="42" t="n"/>
      <c r="H285" s="42" t="n"/>
      <c r="I285" s="43">
        <f>IF(AND(F285&lt;&gt;"",G285&lt;&gt;"",H285&lt;&gt;""),F285+G285-H285,"")</f>
        <v/>
      </c>
      <c r="J285" s="22" t="n"/>
      <c r="K285" s="22" t="n"/>
    </row>
    <row r="286">
      <c r="A286" s="18" t="n"/>
      <c r="B286" s="35">
        <f>IF(A286="","",VALUE(LEFT(A286,4)))</f>
        <v/>
      </c>
      <c r="C286" s="36">
        <f>IF(A286="","",VALUE(RIGHT(A286,2)))</f>
        <v/>
      </c>
      <c r="D286" s="18" t="n"/>
      <c r="E286" s="18" t="n"/>
      <c r="F286" s="38" t="n"/>
      <c r="G286" s="38" t="n"/>
      <c r="H286" s="38" t="n"/>
      <c r="I286" s="43">
        <f>IF(AND(F286&lt;&gt;"",G286&lt;&gt;"",H286&lt;&gt;""),F286+G286-H286,"")</f>
        <v/>
      </c>
      <c r="J286" s="18" t="n"/>
      <c r="K286" s="18" t="n"/>
    </row>
    <row r="287">
      <c r="A287" s="22" t="n"/>
      <c r="B287" s="35">
        <f>IF(A287="","",VALUE(LEFT(A287,4)))</f>
        <v/>
      </c>
      <c r="C287" s="36">
        <f>IF(A287="","",VALUE(RIGHT(A287,2)))</f>
        <v/>
      </c>
      <c r="D287" s="22" t="n"/>
      <c r="E287" s="22" t="n"/>
      <c r="F287" s="42" t="n"/>
      <c r="G287" s="42" t="n"/>
      <c r="H287" s="42" t="n"/>
      <c r="I287" s="43">
        <f>IF(AND(F287&lt;&gt;"",G287&lt;&gt;"",H287&lt;&gt;""),F287+G287-H287,"")</f>
        <v/>
      </c>
      <c r="J287" s="22" t="n"/>
      <c r="K287" s="22" t="n"/>
    </row>
    <row r="288">
      <c r="A288" s="18" t="n"/>
      <c r="B288" s="35">
        <f>IF(A288="","",VALUE(LEFT(A288,4)))</f>
        <v/>
      </c>
      <c r="C288" s="36">
        <f>IF(A288="","",VALUE(RIGHT(A288,2)))</f>
        <v/>
      </c>
      <c r="D288" s="18" t="n"/>
      <c r="E288" s="18" t="n"/>
      <c r="F288" s="38" t="n"/>
      <c r="G288" s="38" t="n"/>
      <c r="H288" s="38" t="n"/>
      <c r="I288" s="43">
        <f>IF(AND(F288&lt;&gt;"",G288&lt;&gt;"",H288&lt;&gt;""),F288+G288-H288,"")</f>
        <v/>
      </c>
      <c r="J288" s="18" t="n"/>
      <c r="K288" s="18" t="n"/>
    </row>
    <row r="289">
      <c r="A289" s="22" t="n"/>
      <c r="B289" s="35">
        <f>IF(A289="","",VALUE(LEFT(A289,4)))</f>
        <v/>
      </c>
      <c r="C289" s="36">
        <f>IF(A289="","",VALUE(RIGHT(A289,2)))</f>
        <v/>
      </c>
      <c r="D289" s="22" t="n"/>
      <c r="E289" s="22" t="n"/>
      <c r="F289" s="42" t="n"/>
      <c r="G289" s="42" t="n"/>
      <c r="H289" s="42" t="n"/>
      <c r="I289" s="43">
        <f>IF(AND(F289&lt;&gt;"",G289&lt;&gt;"",H289&lt;&gt;""),F289+G289-H289,"")</f>
        <v/>
      </c>
      <c r="J289" s="22" t="n"/>
      <c r="K289" s="22" t="n"/>
    </row>
    <row r="290">
      <c r="A290" s="18" t="n"/>
      <c r="B290" s="35">
        <f>IF(A290="","",VALUE(LEFT(A290,4)))</f>
        <v/>
      </c>
      <c r="C290" s="36">
        <f>IF(A290="","",VALUE(RIGHT(A290,2)))</f>
        <v/>
      </c>
      <c r="D290" s="18" t="n"/>
      <c r="E290" s="18" t="n"/>
      <c r="F290" s="38" t="n"/>
      <c r="G290" s="38" t="n"/>
      <c r="H290" s="38" t="n"/>
      <c r="I290" s="43">
        <f>IF(AND(F290&lt;&gt;"",G290&lt;&gt;"",H290&lt;&gt;""),F290+G290-H290,"")</f>
        <v/>
      </c>
      <c r="J290" s="18" t="n"/>
      <c r="K290" s="18" t="n"/>
    </row>
    <row r="291">
      <c r="A291" s="22" t="n"/>
      <c r="B291" s="35">
        <f>IF(A291="","",VALUE(LEFT(A291,4)))</f>
        <v/>
      </c>
      <c r="C291" s="36">
        <f>IF(A291="","",VALUE(RIGHT(A291,2)))</f>
        <v/>
      </c>
      <c r="D291" s="22" t="n"/>
      <c r="E291" s="22" t="n"/>
      <c r="F291" s="42" t="n"/>
      <c r="G291" s="42" t="n"/>
      <c r="H291" s="42" t="n"/>
      <c r="I291" s="43">
        <f>IF(AND(F291&lt;&gt;"",G291&lt;&gt;"",H291&lt;&gt;""),F291+G291-H291,"")</f>
        <v/>
      </c>
      <c r="J291" s="22" t="n"/>
      <c r="K291" s="22" t="n"/>
    </row>
    <row r="292">
      <c r="A292" s="18" t="n"/>
      <c r="B292" s="35">
        <f>IF(A292="","",VALUE(LEFT(A292,4)))</f>
        <v/>
      </c>
      <c r="C292" s="36">
        <f>IF(A292="","",VALUE(RIGHT(A292,2)))</f>
        <v/>
      </c>
      <c r="D292" s="18" t="n"/>
      <c r="E292" s="18" t="n"/>
      <c r="F292" s="38" t="n"/>
      <c r="G292" s="38" t="n"/>
      <c r="H292" s="38" t="n"/>
      <c r="I292" s="43">
        <f>IF(AND(F292&lt;&gt;"",G292&lt;&gt;"",H292&lt;&gt;""),F292+G292-H292,"")</f>
        <v/>
      </c>
      <c r="J292" s="18" t="n"/>
      <c r="K292" s="18" t="n"/>
    </row>
    <row r="293">
      <c r="A293" s="22" t="n"/>
      <c r="B293" s="35">
        <f>IF(A293="","",VALUE(LEFT(A293,4)))</f>
        <v/>
      </c>
      <c r="C293" s="36">
        <f>IF(A293="","",VALUE(RIGHT(A293,2)))</f>
        <v/>
      </c>
      <c r="D293" s="22" t="n"/>
      <c r="E293" s="22" t="n"/>
      <c r="F293" s="42" t="n"/>
      <c r="G293" s="42" t="n"/>
      <c r="H293" s="42" t="n"/>
      <c r="I293" s="43">
        <f>IF(AND(F293&lt;&gt;"",G293&lt;&gt;"",H293&lt;&gt;""),F293+G293-H293,"")</f>
        <v/>
      </c>
      <c r="J293" s="22" t="n"/>
      <c r="K293" s="22" t="n"/>
    </row>
    <row r="294">
      <c r="A294" s="18" t="n"/>
      <c r="B294" s="35">
        <f>IF(A294="","",VALUE(LEFT(A294,4)))</f>
        <v/>
      </c>
      <c r="C294" s="36">
        <f>IF(A294="","",VALUE(RIGHT(A294,2)))</f>
        <v/>
      </c>
      <c r="D294" s="18" t="n"/>
      <c r="E294" s="18" t="n"/>
      <c r="F294" s="38" t="n"/>
      <c r="G294" s="38" t="n"/>
      <c r="H294" s="38" t="n"/>
      <c r="I294" s="43">
        <f>IF(AND(F294&lt;&gt;"",G294&lt;&gt;"",H294&lt;&gt;""),F294+G294-H294,"")</f>
        <v/>
      </c>
      <c r="J294" s="18" t="n"/>
      <c r="K294" s="18" t="n"/>
    </row>
    <row r="295">
      <c r="A295" s="22" t="n"/>
      <c r="B295" s="35">
        <f>IF(A295="","",VALUE(LEFT(A295,4)))</f>
        <v/>
      </c>
      <c r="C295" s="36">
        <f>IF(A295="","",VALUE(RIGHT(A295,2)))</f>
        <v/>
      </c>
      <c r="D295" s="22" t="n"/>
      <c r="E295" s="22" t="n"/>
      <c r="F295" s="42" t="n"/>
      <c r="G295" s="42" t="n"/>
      <c r="H295" s="42" t="n"/>
      <c r="I295" s="43">
        <f>IF(AND(F295&lt;&gt;"",G295&lt;&gt;"",H295&lt;&gt;""),F295+G295-H295,"")</f>
        <v/>
      </c>
      <c r="J295" s="22" t="n"/>
      <c r="K295" s="22" t="n"/>
    </row>
    <row r="296">
      <c r="A296" s="18" t="n"/>
      <c r="B296" s="35">
        <f>IF(A296="","",VALUE(LEFT(A296,4)))</f>
        <v/>
      </c>
      <c r="C296" s="36">
        <f>IF(A296="","",VALUE(RIGHT(A296,2)))</f>
        <v/>
      </c>
      <c r="D296" s="18" t="n"/>
      <c r="E296" s="18" t="n"/>
      <c r="F296" s="38" t="n"/>
      <c r="G296" s="38" t="n"/>
      <c r="H296" s="38" t="n"/>
      <c r="I296" s="43">
        <f>IF(AND(F296&lt;&gt;"",G296&lt;&gt;"",H296&lt;&gt;""),F296+G296-H296,"")</f>
        <v/>
      </c>
      <c r="J296" s="18" t="n"/>
      <c r="K296" s="18" t="n"/>
    </row>
    <row r="297">
      <c r="A297" s="22" t="n"/>
      <c r="B297" s="35">
        <f>IF(A297="","",VALUE(LEFT(A297,4)))</f>
        <v/>
      </c>
      <c r="C297" s="36">
        <f>IF(A297="","",VALUE(RIGHT(A297,2)))</f>
        <v/>
      </c>
      <c r="D297" s="22" t="n"/>
      <c r="E297" s="22" t="n"/>
      <c r="F297" s="42" t="n"/>
      <c r="G297" s="42" t="n"/>
      <c r="H297" s="42" t="n"/>
      <c r="I297" s="43">
        <f>IF(AND(F297&lt;&gt;"",G297&lt;&gt;"",H297&lt;&gt;""),F297+G297-H297,"")</f>
        <v/>
      </c>
      <c r="J297" s="22" t="n"/>
      <c r="K297" s="22" t="n"/>
    </row>
    <row r="298">
      <c r="A298" s="18" t="n"/>
      <c r="B298" s="35">
        <f>IF(A298="","",VALUE(LEFT(A298,4)))</f>
        <v/>
      </c>
      <c r="C298" s="36">
        <f>IF(A298="","",VALUE(RIGHT(A298,2)))</f>
        <v/>
      </c>
      <c r="D298" s="18" t="n"/>
      <c r="E298" s="18" t="n"/>
      <c r="F298" s="38" t="n"/>
      <c r="G298" s="38" t="n"/>
      <c r="H298" s="38" t="n"/>
      <c r="I298" s="43">
        <f>IF(AND(F298&lt;&gt;"",G298&lt;&gt;"",H298&lt;&gt;""),F298+G298-H298,"")</f>
        <v/>
      </c>
      <c r="J298" s="18" t="n"/>
      <c r="K298" s="18" t="n"/>
    </row>
    <row r="299">
      <c r="A299" s="22" t="n"/>
      <c r="B299" s="35">
        <f>IF(A299="","",VALUE(LEFT(A299,4)))</f>
        <v/>
      </c>
      <c r="C299" s="36">
        <f>IF(A299="","",VALUE(RIGHT(A299,2)))</f>
        <v/>
      </c>
      <c r="D299" s="22" t="n"/>
      <c r="E299" s="22" t="n"/>
      <c r="F299" s="42" t="n"/>
      <c r="G299" s="42" t="n"/>
      <c r="H299" s="42" t="n"/>
      <c r="I299" s="43">
        <f>IF(AND(F299&lt;&gt;"",G299&lt;&gt;"",H299&lt;&gt;""),F299+G299-H299,"")</f>
        <v/>
      </c>
      <c r="J299" s="22" t="n"/>
      <c r="K299" s="22" t="n"/>
    </row>
    <row r="300">
      <c r="A300" s="18" t="n"/>
      <c r="B300" s="35">
        <f>IF(A300="","",VALUE(LEFT(A300,4)))</f>
        <v/>
      </c>
      <c r="C300" s="36">
        <f>IF(A300="","",VALUE(RIGHT(A300,2)))</f>
        <v/>
      </c>
      <c r="D300" s="18" t="n"/>
      <c r="E300" s="18" t="n"/>
      <c r="F300" s="38" t="n"/>
      <c r="G300" s="38" t="n"/>
      <c r="H300" s="38" t="n"/>
      <c r="I300" s="43">
        <f>IF(AND(F300&lt;&gt;"",G300&lt;&gt;"",H300&lt;&gt;""),F300+G300-H300,"")</f>
        <v/>
      </c>
      <c r="J300" s="18" t="n"/>
      <c r="K300" s="18" t="n"/>
    </row>
    <row r="301">
      <c r="A301" s="22" t="n"/>
      <c r="B301" s="35">
        <f>IF(A301="","",VALUE(LEFT(A301,4)))</f>
        <v/>
      </c>
      <c r="C301" s="36">
        <f>IF(A301="","",VALUE(RIGHT(A301,2)))</f>
        <v/>
      </c>
      <c r="D301" s="22" t="n"/>
      <c r="E301" s="22" t="n"/>
      <c r="F301" s="42" t="n"/>
      <c r="G301" s="42" t="n"/>
      <c r="H301" s="42" t="n"/>
      <c r="I301" s="43">
        <f>IF(AND(F301&lt;&gt;"",G301&lt;&gt;"",H301&lt;&gt;""),F301+G301-H301,"")</f>
        <v/>
      </c>
      <c r="J301" s="22" t="n"/>
      <c r="K301" s="22" t="n"/>
    </row>
    <row r="302">
      <c r="A302" s="18" t="n"/>
      <c r="B302" s="35">
        <f>IF(A302="","",VALUE(LEFT(A302,4)))</f>
        <v/>
      </c>
      <c r="C302" s="36">
        <f>IF(A302="","",VALUE(RIGHT(A302,2)))</f>
        <v/>
      </c>
      <c r="D302" s="18" t="n"/>
      <c r="E302" s="18" t="n"/>
      <c r="F302" s="38" t="n"/>
      <c r="G302" s="38" t="n"/>
      <c r="H302" s="38" t="n"/>
      <c r="I302" s="43">
        <f>IF(AND(F302&lt;&gt;"",G302&lt;&gt;"",H302&lt;&gt;""),F302+G302-H302,"")</f>
        <v/>
      </c>
      <c r="J302" s="18" t="n"/>
      <c r="K302" s="18" t="n"/>
    </row>
    <row r="303">
      <c r="A303" s="22" t="n"/>
      <c r="B303" s="35">
        <f>IF(A303="","",VALUE(LEFT(A303,4)))</f>
        <v/>
      </c>
      <c r="C303" s="36">
        <f>IF(A303="","",VALUE(RIGHT(A303,2)))</f>
        <v/>
      </c>
      <c r="D303" s="22" t="n"/>
      <c r="E303" s="22" t="n"/>
      <c r="F303" s="42" t="n"/>
      <c r="G303" s="42" t="n"/>
      <c r="H303" s="42" t="n"/>
      <c r="I303" s="43">
        <f>IF(AND(F303&lt;&gt;"",G303&lt;&gt;"",H303&lt;&gt;""),F303+G303-H303,"")</f>
        <v/>
      </c>
      <c r="J303" s="22" t="n"/>
      <c r="K303" s="22" t="n"/>
    </row>
    <row r="304">
      <c r="A304" s="18" t="n"/>
      <c r="B304" s="35">
        <f>IF(A304="","",VALUE(LEFT(A304,4)))</f>
        <v/>
      </c>
      <c r="C304" s="36">
        <f>IF(A304="","",VALUE(RIGHT(A304,2)))</f>
        <v/>
      </c>
      <c r="D304" s="18" t="n"/>
      <c r="E304" s="18" t="n"/>
      <c r="F304" s="38" t="n"/>
      <c r="G304" s="38" t="n"/>
      <c r="H304" s="38" t="n"/>
      <c r="I304" s="43">
        <f>IF(AND(F304&lt;&gt;"",G304&lt;&gt;"",H304&lt;&gt;""),F304+G304-H304,"")</f>
        <v/>
      </c>
      <c r="J304" s="18" t="n"/>
      <c r="K304" s="18" t="n"/>
    </row>
    <row r="305">
      <c r="A305" s="22" t="n"/>
      <c r="B305" s="35">
        <f>IF(A305="","",VALUE(LEFT(A305,4)))</f>
        <v/>
      </c>
      <c r="C305" s="36">
        <f>IF(A305="","",VALUE(RIGHT(A305,2)))</f>
        <v/>
      </c>
      <c r="D305" s="22" t="n"/>
      <c r="E305" s="22" t="n"/>
      <c r="F305" s="42" t="n"/>
      <c r="G305" s="42" t="n"/>
      <c r="H305" s="42" t="n"/>
      <c r="I305" s="43">
        <f>IF(AND(F305&lt;&gt;"",G305&lt;&gt;"",H305&lt;&gt;""),F305+G305-H305,"")</f>
        <v/>
      </c>
      <c r="J305" s="22" t="n"/>
      <c r="K305" s="22" t="n"/>
    </row>
    <row r="306">
      <c r="A306" s="18" t="n"/>
      <c r="B306" s="35">
        <f>IF(A306="","",VALUE(LEFT(A306,4)))</f>
        <v/>
      </c>
      <c r="C306" s="36">
        <f>IF(A306="","",VALUE(RIGHT(A306,2)))</f>
        <v/>
      </c>
      <c r="D306" s="18" t="n"/>
      <c r="E306" s="18" t="n"/>
      <c r="F306" s="38" t="n"/>
      <c r="G306" s="38" t="n"/>
      <c r="H306" s="38" t="n"/>
      <c r="I306" s="43">
        <f>IF(AND(F306&lt;&gt;"",G306&lt;&gt;"",H306&lt;&gt;""),F306+G306-H306,"")</f>
        <v/>
      </c>
      <c r="J306" s="18" t="n"/>
      <c r="K306" s="18" t="n"/>
    </row>
    <row r="307">
      <c r="A307" s="22" t="n"/>
      <c r="B307" s="35">
        <f>IF(A307="","",VALUE(LEFT(A307,4)))</f>
        <v/>
      </c>
      <c r="C307" s="36">
        <f>IF(A307="","",VALUE(RIGHT(A307,2)))</f>
        <v/>
      </c>
      <c r="D307" s="22" t="n"/>
      <c r="E307" s="22" t="n"/>
      <c r="F307" s="42" t="n"/>
      <c r="G307" s="42" t="n"/>
      <c r="H307" s="42" t="n"/>
      <c r="I307" s="43">
        <f>IF(AND(F307&lt;&gt;"",G307&lt;&gt;"",H307&lt;&gt;""),F307+G307-H307,"")</f>
        <v/>
      </c>
      <c r="J307" s="22" t="n"/>
      <c r="K307" s="22" t="n"/>
    </row>
    <row r="308">
      <c r="A308" s="18" t="n"/>
      <c r="B308" s="35">
        <f>IF(A308="","",VALUE(LEFT(A308,4)))</f>
        <v/>
      </c>
      <c r="C308" s="36">
        <f>IF(A308="","",VALUE(RIGHT(A308,2)))</f>
        <v/>
      </c>
      <c r="D308" s="18" t="n"/>
      <c r="E308" s="18" t="n"/>
      <c r="F308" s="38" t="n"/>
      <c r="G308" s="38" t="n"/>
      <c r="H308" s="38" t="n"/>
      <c r="I308" s="43">
        <f>IF(AND(F308&lt;&gt;"",G308&lt;&gt;"",H308&lt;&gt;""),F308+G308-H308,"")</f>
        <v/>
      </c>
      <c r="J308" s="18" t="n"/>
      <c r="K308" s="18" t="n"/>
    </row>
    <row r="309">
      <c r="A309" s="22" t="n"/>
      <c r="B309" s="35">
        <f>IF(A309="","",VALUE(LEFT(A309,4)))</f>
        <v/>
      </c>
      <c r="C309" s="36">
        <f>IF(A309="","",VALUE(RIGHT(A309,2)))</f>
        <v/>
      </c>
      <c r="D309" s="22" t="n"/>
      <c r="E309" s="22" t="n"/>
      <c r="F309" s="42" t="n"/>
      <c r="G309" s="42" t="n"/>
      <c r="H309" s="42" t="n"/>
      <c r="I309" s="43">
        <f>IF(AND(F309&lt;&gt;"",G309&lt;&gt;"",H309&lt;&gt;""),F309+G309-H309,"")</f>
        <v/>
      </c>
      <c r="J309" s="22" t="n"/>
      <c r="K309" s="22" t="n"/>
    </row>
    <row r="310">
      <c r="A310" s="18" t="n"/>
      <c r="B310" s="35">
        <f>IF(A310="","",VALUE(LEFT(A310,4)))</f>
        <v/>
      </c>
      <c r="C310" s="36">
        <f>IF(A310="","",VALUE(RIGHT(A310,2)))</f>
        <v/>
      </c>
      <c r="D310" s="18" t="n"/>
      <c r="E310" s="18" t="n"/>
      <c r="F310" s="38" t="n"/>
      <c r="G310" s="38" t="n"/>
      <c r="H310" s="38" t="n"/>
      <c r="I310" s="43">
        <f>IF(AND(F310&lt;&gt;"",G310&lt;&gt;"",H310&lt;&gt;""),F310+G310-H310,"")</f>
        <v/>
      </c>
      <c r="J310" s="18" t="n"/>
      <c r="K310" s="18" t="n"/>
    </row>
    <row r="311">
      <c r="A311" s="22" t="n"/>
      <c r="B311" s="35">
        <f>IF(A311="","",VALUE(LEFT(A311,4)))</f>
        <v/>
      </c>
      <c r="C311" s="36">
        <f>IF(A311="","",VALUE(RIGHT(A311,2)))</f>
        <v/>
      </c>
      <c r="D311" s="22" t="n"/>
      <c r="E311" s="22" t="n"/>
      <c r="F311" s="42" t="n"/>
      <c r="G311" s="42" t="n"/>
      <c r="H311" s="42" t="n"/>
      <c r="I311" s="43">
        <f>IF(AND(F311&lt;&gt;"",G311&lt;&gt;"",H311&lt;&gt;""),F311+G311-H311,"")</f>
        <v/>
      </c>
      <c r="J311" s="22" t="n"/>
      <c r="K311" s="22" t="n"/>
    </row>
    <row r="312">
      <c r="A312" s="18" t="n"/>
      <c r="B312" s="35">
        <f>IF(A312="","",VALUE(LEFT(A312,4)))</f>
        <v/>
      </c>
      <c r="C312" s="36">
        <f>IF(A312="","",VALUE(RIGHT(A312,2)))</f>
        <v/>
      </c>
      <c r="D312" s="18" t="n"/>
      <c r="E312" s="18" t="n"/>
      <c r="F312" s="38" t="n"/>
      <c r="G312" s="38" t="n"/>
      <c r="H312" s="38" t="n"/>
      <c r="I312" s="43">
        <f>IF(AND(F312&lt;&gt;"",G312&lt;&gt;"",H312&lt;&gt;""),F312+G312-H312,"")</f>
        <v/>
      </c>
      <c r="J312" s="18" t="n"/>
      <c r="K312" s="18" t="n"/>
    </row>
    <row r="313">
      <c r="A313" s="22" t="n"/>
      <c r="B313" s="35">
        <f>IF(A313="","",VALUE(LEFT(A313,4)))</f>
        <v/>
      </c>
      <c r="C313" s="36">
        <f>IF(A313="","",VALUE(RIGHT(A313,2)))</f>
        <v/>
      </c>
      <c r="D313" s="22" t="n"/>
      <c r="E313" s="22" t="n"/>
      <c r="F313" s="42" t="n"/>
      <c r="G313" s="42" t="n"/>
      <c r="H313" s="42" t="n"/>
      <c r="I313" s="43">
        <f>IF(AND(F313&lt;&gt;"",G313&lt;&gt;"",H313&lt;&gt;""),F313+G313-H313,"")</f>
        <v/>
      </c>
      <c r="J313" s="22" t="n"/>
      <c r="K313" s="22" t="n"/>
    </row>
    <row r="314">
      <c r="A314" s="18" t="n"/>
      <c r="B314" s="35">
        <f>IF(A314="","",VALUE(LEFT(A314,4)))</f>
        <v/>
      </c>
      <c r="C314" s="36">
        <f>IF(A314="","",VALUE(RIGHT(A314,2)))</f>
        <v/>
      </c>
      <c r="D314" s="18" t="n"/>
      <c r="E314" s="18" t="n"/>
      <c r="F314" s="38" t="n"/>
      <c r="G314" s="38" t="n"/>
      <c r="H314" s="38" t="n"/>
      <c r="I314" s="43">
        <f>IF(AND(F314&lt;&gt;"",G314&lt;&gt;"",H314&lt;&gt;""),F314+G314-H314,"")</f>
        <v/>
      </c>
      <c r="J314" s="18" t="n"/>
      <c r="K314" s="18" t="n"/>
    </row>
    <row r="315">
      <c r="A315" s="22" t="n"/>
      <c r="B315" s="35">
        <f>IF(A315="","",VALUE(LEFT(A315,4)))</f>
        <v/>
      </c>
      <c r="C315" s="36">
        <f>IF(A315="","",VALUE(RIGHT(A315,2)))</f>
        <v/>
      </c>
      <c r="D315" s="22" t="n"/>
      <c r="E315" s="22" t="n"/>
      <c r="F315" s="42" t="n"/>
      <c r="G315" s="42" t="n"/>
      <c r="H315" s="42" t="n"/>
      <c r="I315" s="43">
        <f>IF(AND(F315&lt;&gt;"",G315&lt;&gt;"",H315&lt;&gt;""),F315+G315-H315,"")</f>
        <v/>
      </c>
      <c r="J315" s="22" t="n"/>
      <c r="K315" s="22" t="n"/>
    </row>
    <row r="316">
      <c r="A316" s="18" t="n"/>
      <c r="B316" s="35">
        <f>IF(A316="","",VALUE(LEFT(A316,4)))</f>
        <v/>
      </c>
      <c r="C316" s="36">
        <f>IF(A316="","",VALUE(RIGHT(A316,2)))</f>
        <v/>
      </c>
      <c r="D316" s="18" t="n"/>
      <c r="E316" s="18" t="n"/>
      <c r="F316" s="38" t="n"/>
      <c r="G316" s="38" t="n"/>
      <c r="H316" s="38" t="n"/>
      <c r="I316" s="43">
        <f>IF(AND(F316&lt;&gt;"",G316&lt;&gt;"",H316&lt;&gt;""),F316+G316-H316,"")</f>
        <v/>
      </c>
      <c r="J316" s="18" t="n"/>
      <c r="K316" s="18" t="n"/>
    </row>
    <row r="317">
      <c r="A317" s="22" t="n"/>
      <c r="B317" s="35">
        <f>IF(A317="","",VALUE(LEFT(A317,4)))</f>
        <v/>
      </c>
      <c r="C317" s="36">
        <f>IF(A317="","",VALUE(RIGHT(A317,2)))</f>
        <v/>
      </c>
      <c r="D317" s="22" t="n"/>
      <c r="E317" s="22" t="n"/>
      <c r="F317" s="42" t="n"/>
      <c r="G317" s="42" t="n"/>
      <c r="H317" s="42" t="n"/>
      <c r="I317" s="43">
        <f>IF(AND(F317&lt;&gt;"",G317&lt;&gt;"",H317&lt;&gt;""),F317+G317-H317,"")</f>
        <v/>
      </c>
      <c r="J317" s="22" t="n"/>
      <c r="K317" s="22" t="n"/>
    </row>
    <row r="318">
      <c r="A318" s="18" t="n"/>
      <c r="B318" s="35">
        <f>IF(A318="","",VALUE(LEFT(A318,4)))</f>
        <v/>
      </c>
      <c r="C318" s="36">
        <f>IF(A318="","",VALUE(RIGHT(A318,2)))</f>
        <v/>
      </c>
      <c r="D318" s="18" t="n"/>
      <c r="E318" s="18" t="n"/>
      <c r="F318" s="38" t="n"/>
      <c r="G318" s="38" t="n"/>
      <c r="H318" s="38" t="n"/>
      <c r="I318" s="43">
        <f>IF(AND(F318&lt;&gt;"",G318&lt;&gt;"",H318&lt;&gt;""),F318+G318-H318,"")</f>
        <v/>
      </c>
      <c r="J318" s="18" t="n"/>
      <c r="K318" s="18" t="n"/>
    </row>
    <row r="319">
      <c r="A319" s="22" t="n"/>
      <c r="B319" s="35">
        <f>IF(A319="","",VALUE(LEFT(A319,4)))</f>
        <v/>
      </c>
      <c r="C319" s="36">
        <f>IF(A319="","",VALUE(RIGHT(A319,2)))</f>
        <v/>
      </c>
      <c r="D319" s="22" t="n"/>
      <c r="E319" s="22" t="n"/>
      <c r="F319" s="42" t="n"/>
      <c r="G319" s="42" t="n"/>
      <c r="H319" s="42" t="n"/>
      <c r="I319" s="43">
        <f>IF(AND(F319&lt;&gt;"",G319&lt;&gt;"",H319&lt;&gt;""),F319+G319-H319,"")</f>
        <v/>
      </c>
      <c r="J319" s="22" t="n"/>
      <c r="K319" s="22" t="n"/>
    </row>
    <row r="320">
      <c r="A320" s="18" t="n"/>
      <c r="B320" s="35">
        <f>IF(A320="","",VALUE(LEFT(A320,4)))</f>
        <v/>
      </c>
      <c r="C320" s="36">
        <f>IF(A320="","",VALUE(RIGHT(A320,2)))</f>
        <v/>
      </c>
      <c r="D320" s="18" t="n"/>
      <c r="E320" s="18" t="n"/>
      <c r="F320" s="38" t="n"/>
      <c r="G320" s="38" t="n"/>
      <c r="H320" s="38" t="n"/>
      <c r="I320" s="43">
        <f>IF(AND(F320&lt;&gt;"",G320&lt;&gt;"",H320&lt;&gt;""),F320+G320-H320,"")</f>
        <v/>
      </c>
      <c r="J320" s="18" t="n"/>
      <c r="K320" s="18" t="n"/>
    </row>
    <row r="321">
      <c r="A321" s="22" t="n"/>
      <c r="B321" s="35">
        <f>IF(A321="","",VALUE(LEFT(A321,4)))</f>
        <v/>
      </c>
      <c r="C321" s="36">
        <f>IF(A321="","",VALUE(RIGHT(A321,2)))</f>
        <v/>
      </c>
      <c r="D321" s="22" t="n"/>
      <c r="E321" s="22" t="n"/>
      <c r="F321" s="42" t="n"/>
      <c r="G321" s="42" t="n"/>
      <c r="H321" s="42" t="n"/>
      <c r="I321" s="43">
        <f>IF(AND(F321&lt;&gt;"",G321&lt;&gt;"",H321&lt;&gt;""),F321+G321-H321,"")</f>
        <v/>
      </c>
      <c r="J321" s="22" t="n"/>
      <c r="K321" s="22" t="n"/>
    </row>
    <row r="322">
      <c r="A322" s="18" t="n"/>
      <c r="B322" s="35">
        <f>IF(A322="","",VALUE(LEFT(A322,4)))</f>
        <v/>
      </c>
      <c r="C322" s="36">
        <f>IF(A322="","",VALUE(RIGHT(A322,2)))</f>
        <v/>
      </c>
      <c r="D322" s="18" t="n"/>
      <c r="E322" s="18" t="n"/>
      <c r="F322" s="38" t="n"/>
      <c r="G322" s="38" t="n"/>
      <c r="H322" s="38" t="n"/>
      <c r="I322" s="43">
        <f>IF(AND(F322&lt;&gt;"",G322&lt;&gt;"",H322&lt;&gt;""),F322+G322-H322,"")</f>
        <v/>
      </c>
      <c r="J322" s="18" t="n"/>
      <c r="K322" s="18" t="n"/>
    </row>
    <row r="323">
      <c r="A323" s="22" t="n"/>
      <c r="B323" s="35">
        <f>IF(A323="","",VALUE(LEFT(A323,4)))</f>
        <v/>
      </c>
      <c r="C323" s="36">
        <f>IF(A323="","",VALUE(RIGHT(A323,2)))</f>
        <v/>
      </c>
      <c r="D323" s="22" t="n"/>
      <c r="E323" s="22" t="n"/>
      <c r="F323" s="42" t="n"/>
      <c r="G323" s="42" t="n"/>
      <c r="H323" s="42" t="n"/>
      <c r="I323" s="43">
        <f>IF(AND(F323&lt;&gt;"",G323&lt;&gt;"",H323&lt;&gt;""),F323+G323-H323,"")</f>
        <v/>
      </c>
      <c r="J323" s="22" t="n"/>
      <c r="K323" s="22" t="n"/>
    </row>
    <row r="324">
      <c r="A324" s="18" t="n"/>
      <c r="B324" s="35">
        <f>IF(A324="","",VALUE(LEFT(A324,4)))</f>
        <v/>
      </c>
      <c r="C324" s="36">
        <f>IF(A324="","",VALUE(RIGHT(A324,2)))</f>
        <v/>
      </c>
      <c r="D324" s="18" t="n"/>
      <c r="E324" s="18" t="n"/>
      <c r="F324" s="38" t="n"/>
      <c r="G324" s="38" t="n"/>
      <c r="H324" s="38" t="n"/>
      <c r="I324" s="43">
        <f>IF(AND(F324&lt;&gt;"",G324&lt;&gt;"",H324&lt;&gt;""),F324+G324-H324,"")</f>
        <v/>
      </c>
      <c r="J324" s="18" t="n"/>
      <c r="K324" s="18" t="n"/>
    </row>
    <row r="325">
      <c r="A325" s="22" t="n"/>
      <c r="B325" s="35">
        <f>IF(A325="","",VALUE(LEFT(A325,4)))</f>
        <v/>
      </c>
      <c r="C325" s="36">
        <f>IF(A325="","",VALUE(RIGHT(A325,2)))</f>
        <v/>
      </c>
      <c r="D325" s="22" t="n"/>
      <c r="E325" s="22" t="n"/>
      <c r="F325" s="42" t="n"/>
      <c r="G325" s="42" t="n"/>
      <c r="H325" s="42" t="n"/>
      <c r="I325" s="43">
        <f>IF(AND(F325&lt;&gt;"",G325&lt;&gt;"",H325&lt;&gt;""),F325+G325-H325,"")</f>
        <v/>
      </c>
      <c r="J325" s="22" t="n"/>
      <c r="K325" s="22" t="n"/>
    </row>
    <row r="326">
      <c r="A326" s="18" t="n"/>
      <c r="B326" s="35">
        <f>IF(A326="","",VALUE(LEFT(A326,4)))</f>
        <v/>
      </c>
      <c r="C326" s="36">
        <f>IF(A326="","",VALUE(RIGHT(A326,2)))</f>
        <v/>
      </c>
      <c r="D326" s="18" t="n"/>
      <c r="E326" s="18" t="n"/>
      <c r="F326" s="38" t="n"/>
      <c r="G326" s="38" t="n"/>
      <c r="H326" s="38" t="n"/>
      <c r="I326" s="43">
        <f>IF(AND(F326&lt;&gt;"",G326&lt;&gt;"",H326&lt;&gt;""),F326+G326-H326,"")</f>
        <v/>
      </c>
      <c r="J326" s="18" t="n"/>
      <c r="K326" s="18" t="n"/>
    </row>
    <row r="327">
      <c r="A327" s="22" t="n"/>
      <c r="B327" s="35">
        <f>IF(A327="","",VALUE(LEFT(A327,4)))</f>
        <v/>
      </c>
      <c r="C327" s="36">
        <f>IF(A327="","",VALUE(RIGHT(A327,2)))</f>
        <v/>
      </c>
      <c r="D327" s="22" t="n"/>
      <c r="E327" s="22" t="n"/>
      <c r="F327" s="42" t="n"/>
      <c r="G327" s="42" t="n"/>
      <c r="H327" s="42" t="n"/>
      <c r="I327" s="43">
        <f>IF(AND(F327&lt;&gt;"",G327&lt;&gt;"",H327&lt;&gt;""),F327+G327-H327,"")</f>
        <v/>
      </c>
      <c r="J327" s="22" t="n"/>
      <c r="K327" s="22" t="n"/>
    </row>
    <row r="328">
      <c r="A328" s="18" t="n"/>
      <c r="B328" s="35">
        <f>IF(A328="","",VALUE(LEFT(A328,4)))</f>
        <v/>
      </c>
      <c r="C328" s="36">
        <f>IF(A328="","",VALUE(RIGHT(A328,2)))</f>
        <v/>
      </c>
      <c r="D328" s="18" t="n"/>
      <c r="E328" s="18" t="n"/>
      <c r="F328" s="38" t="n"/>
      <c r="G328" s="38" t="n"/>
      <c r="H328" s="38" t="n"/>
      <c r="I328" s="43">
        <f>IF(AND(F328&lt;&gt;"",G328&lt;&gt;"",H328&lt;&gt;""),F328+G328-H328,"")</f>
        <v/>
      </c>
      <c r="J328" s="18" t="n"/>
      <c r="K328" s="18" t="n"/>
    </row>
    <row r="329">
      <c r="A329" s="22" t="n"/>
      <c r="B329" s="35">
        <f>IF(A329="","",VALUE(LEFT(A329,4)))</f>
        <v/>
      </c>
      <c r="C329" s="36">
        <f>IF(A329="","",VALUE(RIGHT(A329,2)))</f>
        <v/>
      </c>
      <c r="D329" s="22" t="n"/>
      <c r="E329" s="22" t="n"/>
      <c r="F329" s="42" t="n"/>
      <c r="G329" s="42" t="n"/>
      <c r="H329" s="42" t="n"/>
      <c r="I329" s="43">
        <f>IF(AND(F329&lt;&gt;"",G329&lt;&gt;"",H329&lt;&gt;""),F329+G329-H329,"")</f>
        <v/>
      </c>
      <c r="J329" s="22" t="n"/>
      <c r="K329" s="22" t="n"/>
    </row>
    <row r="330">
      <c r="A330" s="18" t="n"/>
      <c r="B330" s="35">
        <f>IF(A330="","",VALUE(LEFT(A330,4)))</f>
        <v/>
      </c>
      <c r="C330" s="36">
        <f>IF(A330="","",VALUE(RIGHT(A330,2)))</f>
        <v/>
      </c>
      <c r="D330" s="18" t="n"/>
      <c r="E330" s="18" t="n"/>
      <c r="F330" s="38" t="n"/>
      <c r="G330" s="38" t="n"/>
      <c r="H330" s="38" t="n"/>
      <c r="I330" s="43">
        <f>IF(AND(F330&lt;&gt;"",G330&lt;&gt;"",H330&lt;&gt;""),F330+G330-H330,"")</f>
        <v/>
      </c>
      <c r="J330" s="18" t="n"/>
      <c r="K330" s="18" t="n"/>
    </row>
    <row r="331">
      <c r="A331" s="22" t="n"/>
      <c r="B331" s="35">
        <f>IF(A331="","",VALUE(LEFT(A331,4)))</f>
        <v/>
      </c>
      <c r="C331" s="36">
        <f>IF(A331="","",VALUE(RIGHT(A331,2)))</f>
        <v/>
      </c>
      <c r="D331" s="22" t="n"/>
      <c r="E331" s="22" t="n"/>
      <c r="F331" s="42" t="n"/>
      <c r="G331" s="42" t="n"/>
      <c r="H331" s="42" t="n"/>
      <c r="I331" s="43">
        <f>IF(AND(F331&lt;&gt;"",G331&lt;&gt;"",H331&lt;&gt;""),F331+G331-H331,"")</f>
        <v/>
      </c>
      <c r="J331" s="22" t="n"/>
      <c r="K331" s="22" t="n"/>
    </row>
    <row r="332">
      <c r="A332" s="18" t="n"/>
      <c r="B332" s="35">
        <f>IF(A332="","",VALUE(LEFT(A332,4)))</f>
        <v/>
      </c>
      <c r="C332" s="36">
        <f>IF(A332="","",VALUE(RIGHT(A332,2)))</f>
        <v/>
      </c>
      <c r="D332" s="18" t="n"/>
      <c r="E332" s="18" t="n"/>
      <c r="F332" s="38" t="n"/>
      <c r="G332" s="38" t="n"/>
      <c r="H332" s="38" t="n"/>
      <c r="I332" s="43">
        <f>IF(AND(F332&lt;&gt;"",G332&lt;&gt;"",H332&lt;&gt;""),F332+G332-H332,"")</f>
        <v/>
      </c>
      <c r="J332" s="18" t="n"/>
      <c r="K332" s="18" t="n"/>
    </row>
    <row r="333">
      <c r="A333" s="22" t="n"/>
      <c r="B333" s="35">
        <f>IF(A333="","",VALUE(LEFT(A333,4)))</f>
        <v/>
      </c>
      <c r="C333" s="36">
        <f>IF(A333="","",VALUE(RIGHT(A333,2)))</f>
        <v/>
      </c>
      <c r="D333" s="22" t="n"/>
      <c r="E333" s="22" t="n"/>
      <c r="F333" s="42" t="n"/>
      <c r="G333" s="42" t="n"/>
      <c r="H333" s="42" t="n"/>
      <c r="I333" s="43">
        <f>IF(AND(F333&lt;&gt;"",G333&lt;&gt;"",H333&lt;&gt;""),F333+G333-H333,"")</f>
        <v/>
      </c>
      <c r="J333" s="22" t="n"/>
      <c r="K333" s="22" t="n"/>
    </row>
    <row r="334">
      <c r="A334" s="18" t="n"/>
      <c r="B334" s="35">
        <f>IF(A334="","",VALUE(LEFT(A334,4)))</f>
        <v/>
      </c>
      <c r="C334" s="36">
        <f>IF(A334="","",VALUE(RIGHT(A334,2)))</f>
        <v/>
      </c>
      <c r="D334" s="18" t="n"/>
      <c r="E334" s="18" t="n"/>
      <c r="F334" s="38" t="n"/>
      <c r="G334" s="38" t="n"/>
      <c r="H334" s="38" t="n"/>
      <c r="I334" s="43">
        <f>IF(AND(F334&lt;&gt;"",G334&lt;&gt;"",H334&lt;&gt;""),F334+G334-H334,"")</f>
        <v/>
      </c>
      <c r="J334" s="18" t="n"/>
      <c r="K334" s="18" t="n"/>
    </row>
    <row r="335">
      <c r="A335" s="22" t="n"/>
      <c r="B335" s="35">
        <f>IF(A335="","",VALUE(LEFT(A335,4)))</f>
        <v/>
      </c>
      <c r="C335" s="36">
        <f>IF(A335="","",VALUE(RIGHT(A335,2)))</f>
        <v/>
      </c>
      <c r="D335" s="22" t="n"/>
      <c r="E335" s="22" t="n"/>
      <c r="F335" s="42" t="n"/>
      <c r="G335" s="42" t="n"/>
      <c r="H335" s="42" t="n"/>
      <c r="I335" s="43">
        <f>IF(AND(F335&lt;&gt;"",G335&lt;&gt;"",H335&lt;&gt;""),F335+G335-H335,"")</f>
        <v/>
      </c>
      <c r="J335" s="22" t="n"/>
      <c r="K335" s="22" t="n"/>
    </row>
    <row r="336">
      <c r="A336" s="18" t="n"/>
      <c r="B336" s="35">
        <f>IF(A336="","",VALUE(LEFT(A336,4)))</f>
        <v/>
      </c>
      <c r="C336" s="36">
        <f>IF(A336="","",VALUE(RIGHT(A336,2)))</f>
        <v/>
      </c>
      <c r="D336" s="18" t="n"/>
      <c r="E336" s="18" t="n"/>
      <c r="F336" s="38" t="n"/>
      <c r="G336" s="38" t="n"/>
      <c r="H336" s="38" t="n"/>
      <c r="I336" s="43">
        <f>IF(AND(F336&lt;&gt;"",G336&lt;&gt;"",H336&lt;&gt;""),F336+G336-H336,"")</f>
        <v/>
      </c>
      <c r="J336" s="18" t="n"/>
      <c r="K336" s="18" t="n"/>
    </row>
    <row r="337">
      <c r="A337" s="22" t="n"/>
      <c r="B337" s="35">
        <f>IF(A337="","",VALUE(LEFT(A337,4)))</f>
        <v/>
      </c>
      <c r="C337" s="36">
        <f>IF(A337="","",VALUE(RIGHT(A337,2)))</f>
        <v/>
      </c>
      <c r="D337" s="22" t="n"/>
      <c r="E337" s="22" t="n"/>
      <c r="F337" s="42" t="n"/>
      <c r="G337" s="42" t="n"/>
      <c r="H337" s="42" t="n"/>
      <c r="I337" s="43">
        <f>IF(AND(F337&lt;&gt;"",G337&lt;&gt;"",H337&lt;&gt;""),F337+G337-H337,"")</f>
        <v/>
      </c>
      <c r="J337" s="22" t="n"/>
      <c r="K337" s="22" t="n"/>
    </row>
    <row r="338">
      <c r="A338" s="18" t="n"/>
      <c r="B338" s="35">
        <f>IF(A338="","",VALUE(LEFT(A338,4)))</f>
        <v/>
      </c>
      <c r="C338" s="36">
        <f>IF(A338="","",VALUE(RIGHT(A338,2)))</f>
        <v/>
      </c>
      <c r="D338" s="18" t="n"/>
      <c r="E338" s="18" t="n"/>
      <c r="F338" s="38" t="n"/>
      <c r="G338" s="38" t="n"/>
      <c r="H338" s="38" t="n"/>
      <c r="I338" s="43">
        <f>IF(AND(F338&lt;&gt;"",G338&lt;&gt;"",H338&lt;&gt;""),F338+G338-H338,"")</f>
        <v/>
      </c>
      <c r="J338" s="18" t="n"/>
      <c r="K338" s="18" t="n"/>
    </row>
    <row r="339">
      <c r="A339" s="22" t="n"/>
      <c r="B339" s="35">
        <f>IF(A339="","",VALUE(LEFT(A339,4)))</f>
        <v/>
      </c>
      <c r="C339" s="36">
        <f>IF(A339="","",VALUE(RIGHT(A339,2)))</f>
        <v/>
      </c>
      <c r="D339" s="22" t="n"/>
      <c r="E339" s="22" t="n"/>
      <c r="F339" s="42" t="n"/>
      <c r="G339" s="42" t="n"/>
      <c r="H339" s="42" t="n"/>
      <c r="I339" s="43">
        <f>IF(AND(F339&lt;&gt;"",G339&lt;&gt;"",H339&lt;&gt;""),F339+G339-H339,"")</f>
        <v/>
      </c>
      <c r="J339" s="22" t="n"/>
      <c r="K339" s="22" t="n"/>
    </row>
    <row r="340">
      <c r="A340" s="18" t="n"/>
      <c r="B340" s="35">
        <f>IF(A340="","",VALUE(LEFT(A340,4)))</f>
        <v/>
      </c>
      <c r="C340" s="36">
        <f>IF(A340="","",VALUE(RIGHT(A340,2)))</f>
        <v/>
      </c>
      <c r="D340" s="18" t="n"/>
      <c r="E340" s="18" t="n"/>
      <c r="F340" s="38" t="n"/>
      <c r="G340" s="38" t="n"/>
      <c r="H340" s="38" t="n"/>
      <c r="I340" s="43">
        <f>IF(AND(F340&lt;&gt;"",G340&lt;&gt;"",H340&lt;&gt;""),F340+G340-H340,"")</f>
        <v/>
      </c>
      <c r="J340" s="18" t="n"/>
      <c r="K340" s="18" t="n"/>
    </row>
    <row r="341">
      <c r="A341" s="22" t="n"/>
      <c r="B341" s="35">
        <f>IF(A341="","",VALUE(LEFT(A341,4)))</f>
        <v/>
      </c>
      <c r="C341" s="36">
        <f>IF(A341="","",VALUE(RIGHT(A341,2)))</f>
        <v/>
      </c>
      <c r="D341" s="22" t="n"/>
      <c r="E341" s="22" t="n"/>
      <c r="F341" s="42" t="n"/>
      <c r="G341" s="42" t="n"/>
      <c r="H341" s="42" t="n"/>
      <c r="I341" s="43">
        <f>IF(AND(F341&lt;&gt;"",G341&lt;&gt;"",H341&lt;&gt;""),F341+G341-H341,"")</f>
        <v/>
      </c>
      <c r="J341" s="22" t="n"/>
      <c r="K341" s="22" t="n"/>
    </row>
    <row r="342">
      <c r="A342" s="18" t="n"/>
      <c r="B342" s="35">
        <f>IF(A342="","",VALUE(LEFT(A342,4)))</f>
        <v/>
      </c>
      <c r="C342" s="36">
        <f>IF(A342="","",VALUE(RIGHT(A342,2)))</f>
        <v/>
      </c>
      <c r="D342" s="18" t="n"/>
      <c r="E342" s="18" t="n"/>
      <c r="F342" s="38" t="n"/>
      <c r="G342" s="38" t="n"/>
      <c r="H342" s="38" t="n"/>
      <c r="I342" s="43">
        <f>IF(AND(F342&lt;&gt;"",G342&lt;&gt;"",H342&lt;&gt;""),F342+G342-H342,"")</f>
        <v/>
      </c>
      <c r="J342" s="18" t="n"/>
      <c r="K342" s="18" t="n"/>
    </row>
    <row r="343">
      <c r="A343" s="22" t="n"/>
      <c r="B343" s="35">
        <f>IF(A343="","",VALUE(LEFT(A343,4)))</f>
        <v/>
      </c>
      <c r="C343" s="36">
        <f>IF(A343="","",VALUE(RIGHT(A343,2)))</f>
        <v/>
      </c>
      <c r="D343" s="22" t="n"/>
      <c r="E343" s="22" t="n"/>
      <c r="F343" s="42" t="n"/>
      <c r="G343" s="42" t="n"/>
      <c r="H343" s="42" t="n"/>
      <c r="I343" s="43">
        <f>IF(AND(F343&lt;&gt;"",G343&lt;&gt;"",H343&lt;&gt;""),F343+G343-H343,"")</f>
        <v/>
      </c>
      <c r="J343" s="22" t="n"/>
      <c r="K343" s="22" t="n"/>
    </row>
    <row r="344">
      <c r="A344" s="18" t="n"/>
      <c r="B344" s="35">
        <f>IF(A344="","",VALUE(LEFT(A344,4)))</f>
        <v/>
      </c>
      <c r="C344" s="36">
        <f>IF(A344="","",VALUE(RIGHT(A344,2)))</f>
        <v/>
      </c>
      <c r="D344" s="18" t="n"/>
      <c r="E344" s="18" t="n"/>
      <c r="F344" s="38" t="n"/>
      <c r="G344" s="38" t="n"/>
      <c r="H344" s="38" t="n"/>
      <c r="I344" s="43">
        <f>IF(AND(F344&lt;&gt;"",G344&lt;&gt;"",H344&lt;&gt;""),F344+G344-H344,"")</f>
        <v/>
      </c>
      <c r="J344" s="18" t="n"/>
      <c r="K344" s="18" t="n"/>
    </row>
    <row r="345">
      <c r="A345" s="22" t="n"/>
      <c r="B345" s="35">
        <f>IF(A345="","",VALUE(LEFT(A345,4)))</f>
        <v/>
      </c>
      <c r="C345" s="36">
        <f>IF(A345="","",VALUE(RIGHT(A345,2)))</f>
        <v/>
      </c>
      <c r="D345" s="22" t="n"/>
      <c r="E345" s="22" t="n"/>
      <c r="F345" s="42" t="n"/>
      <c r="G345" s="42" t="n"/>
      <c r="H345" s="42" t="n"/>
      <c r="I345" s="43">
        <f>IF(AND(F345&lt;&gt;"",G345&lt;&gt;"",H345&lt;&gt;""),F345+G345-H345,"")</f>
        <v/>
      </c>
      <c r="J345" s="22" t="n"/>
      <c r="K345" s="22" t="n"/>
    </row>
    <row r="346">
      <c r="A346" s="18" t="n"/>
      <c r="B346" s="35">
        <f>IF(A346="","",VALUE(LEFT(A346,4)))</f>
        <v/>
      </c>
      <c r="C346" s="36">
        <f>IF(A346="","",VALUE(RIGHT(A346,2)))</f>
        <v/>
      </c>
      <c r="D346" s="18" t="n"/>
      <c r="E346" s="18" t="n"/>
      <c r="F346" s="38" t="n"/>
      <c r="G346" s="38" t="n"/>
      <c r="H346" s="38" t="n"/>
      <c r="I346" s="43">
        <f>IF(AND(F346&lt;&gt;"",G346&lt;&gt;"",H346&lt;&gt;""),F346+G346-H346,"")</f>
        <v/>
      </c>
      <c r="J346" s="18" t="n"/>
      <c r="K346" s="18" t="n"/>
    </row>
    <row r="347">
      <c r="A347" s="22" t="n"/>
      <c r="B347" s="35">
        <f>IF(A347="","",VALUE(LEFT(A347,4)))</f>
        <v/>
      </c>
      <c r="C347" s="36">
        <f>IF(A347="","",VALUE(RIGHT(A347,2)))</f>
        <v/>
      </c>
      <c r="D347" s="22" t="n"/>
      <c r="E347" s="22" t="n"/>
      <c r="F347" s="42" t="n"/>
      <c r="G347" s="42" t="n"/>
      <c r="H347" s="42" t="n"/>
      <c r="I347" s="43">
        <f>IF(AND(F347&lt;&gt;"",G347&lt;&gt;"",H347&lt;&gt;""),F347+G347-H347,"")</f>
        <v/>
      </c>
      <c r="J347" s="22" t="n"/>
      <c r="K347" s="22" t="n"/>
    </row>
    <row r="348">
      <c r="A348" s="18" t="n"/>
      <c r="B348" s="35">
        <f>IF(A348="","",VALUE(LEFT(A348,4)))</f>
        <v/>
      </c>
      <c r="C348" s="36">
        <f>IF(A348="","",VALUE(RIGHT(A348,2)))</f>
        <v/>
      </c>
      <c r="D348" s="18" t="n"/>
      <c r="E348" s="18" t="n"/>
      <c r="F348" s="38" t="n"/>
      <c r="G348" s="38" t="n"/>
      <c r="H348" s="38" t="n"/>
      <c r="I348" s="43">
        <f>IF(AND(F348&lt;&gt;"",G348&lt;&gt;"",H348&lt;&gt;""),F348+G348-H348,"")</f>
        <v/>
      </c>
      <c r="J348" s="18" t="n"/>
      <c r="K348" s="18" t="n"/>
    </row>
    <row r="349">
      <c r="A349" s="22" t="n"/>
      <c r="B349" s="35">
        <f>IF(A349="","",VALUE(LEFT(A349,4)))</f>
        <v/>
      </c>
      <c r="C349" s="36">
        <f>IF(A349="","",VALUE(RIGHT(A349,2)))</f>
        <v/>
      </c>
      <c r="D349" s="22" t="n"/>
      <c r="E349" s="22" t="n"/>
      <c r="F349" s="42" t="n"/>
      <c r="G349" s="42" t="n"/>
      <c r="H349" s="42" t="n"/>
      <c r="I349" s="43">
        <f>IF(AND(F349&lt;&gt;"",G349&lt;&gt;"",H349&lt;&gt;""),F349+G349-H349,"")</f>
        <v/>
      </c>
      <c r="J349" s="22" t="n"/>
      <c r="K349" s="22" t="n"/>
    </row>
    <row r="350">
      <c r="A350" s="18" t="n"/>
      <c r="B350" s="35">
        <f>IF(A350="","",VALUE(LEFT(A350,4)))</f>
        <v/>
      </c>
      <c r="C350" s="36">
        <f>IF(A350="","",VALUE(RIGHT(A350,2)))</f>
        <v/>
      </c>
      <c r="D350" s="18" t="n"/>
      <c r="E350" s="18" t="n"/>
      <c r="F350" s="38" t="n"/>
      <c r="G350" s="38" t="n"/>
      <c r="H350" s="38" t="n"/>
      <c r="I350" s="43">
        <f>IF(AND(F350&lt;&gt;"",G350&lt;&gt;"",H350&lt;&gt;""),F350+G350-H350,"")</f>
        <v/>
      </c>
      <c r="J350" s="18" t="n"/>
      <c r="K350" s="18" t="n"/>
    </row>
    <row r="351">
      <c r="A351" s="22" t="n"/>
      <c r="B351" s="35">
        <f>IF(A351="","",VALUE(LEFT(A351,4)))</f>
        <v/>
      </c>
      <c r="C351" s="36">
        <f>IF(A351="","",VALUE(RIGHT(A351,2)))</f>
        <v/>
      </c>
      <c r="D351" s="22" t="n"/>
      <c r="E351" s="22" t="n"/>
      <c r="F351" s="42" t="n"/>
      <c r="G351" s="42" t="n"/>
      <c r="H351" s="42" t="n"/>
      <c r="I351" s="43">
        <f>IF(AND(F351&lt;&gt;"",G351&lt;&gt;"",H351&lt;&gt;""),F351+G351-H351,"")</f>
        <v/>
      </c>
      <c r="J351" s="22" t="n"/>
      <c r="K351" s="22" t="n"/>
    </row>
    <row r="352">
      <c r="A352" s="18" t="n"/>
      <c r="B352" s="35">
        <f>IF(A352="","",VALUE(LEFT(A352,4)))</f>
        <v/>
      </c>
      <c r="C352" s="36">
        <f>IF(A352="","",VALUE(RIGHT(A352,2)))</f>
        <v/>
      </c>
      <c r="D352" s="18" t="n"/>
      <c r="E352" s="18" t="n"/>
      <c r="F352" s="38" t="n"/>
      <c r="G352" s="38" t="n"/>
      <c r="H352" s="38" t="n"/>
      <c r="I352" s="43">
        <f>IF(AND(F352&lt;&gt;"",G352&lt;&gt;"",H352&lt;&gt;""),F352+G352-H352,"")</f>
        <v/>
      </c>
      <c r="J352" s="18" t="n"/>
      <c r="K352" s="18" t="n"/>
    </row>
    <row r="353">
      <c r="A353" s="22" t="n"/>
      <c r="B353" s="35">
        <f>IF(A353="","",VALUE(LEFT(A353,4)))</f>
        <v/>
      </c>
      <c r="C353" s="36">
        <f>IF(A353="","",VALUE(RIGHT(A353,2)))</f>
        <v/>
      </c>
      <c r="D353" s="22" t="n"/>
      <c r="E353" s="22" t="n"/>
      <c r="F353" s="42" t="n"/>
      <c r="G353" s="42" t="n"/>
      <c r="H353" s="42" t="n"/>
      <c r="I353" s="43">
        <f>IF(AND(F353&lt;&gt;"",G353&lt;&gt;"",H353&lt;&gt;""),F353+G353-H353,"")</f>
        <v/>
      </c>
      <c r="J353" s="22" t="n"/>
      <c r="K353" s="22" t="n"/>
    </row>
    <row r="354">
      <c r="A354" s="18" t="n"/>
      <c r="B354" s="35">
        <f>IF(A354="","",VALUE(LEFT(A354,4)))</f>
        <v/>
      </c>
      <c r="C354" s="36">
        <f>IF(A354="","",VALUE(RIGHT(A354,2)))</f>
        <v/>
      </c>
      <c r="D354" s="18" t="n"/>
      <c r="E354" s="18" t="n"/>
      <c r="F354" s="38" t="n"/>
      <c r="G354" s="38" t="n"/>
      <c r="H354" s="38" t="n"/>
      <c r="I354" s="43">
        <f>IF(AND(F354&lt;&gt;"",G354&lt;&gt;"",H354&lt;&gt;""),F354+G354-H354,"")</f>
        <v/>
      </c>
      <c r="J354" s="18" t="n"/>
      <c r="K354" s="18" t="n"/>
    </row>
    <row r="355">
      <c r="A355" s="22" t="n"/>
      <c r="B355" s="35">
        <f>IF(A355="","",VALUE(LEFT(A355,4)))</f>
        <v/>
      </c>
      <c r="C355" s="36">
        <f>IF(A355="","",VALUE(RIGHT(A355,2)))</f>
        <v/>
      </c>
      <c r="D355" s="22" t="n"/>
      <c r="E355" s="22" t="n"/>
      <c r="F355" s="42" t="n"/>
      <c r="G355" s="42" t="n"/>
      <c r="H355" s="42" t="n"/>
      <c r="I355" s="43">
        <f>IF(AND(F355&lt;&gt;"",G355&lt;&gt;"",H355&lt;&gt;""),F355+G355-H355,"")</f>
        <v/>
      </c>
      <c r="J355" s="22" t="n"/>
      <c r="K355" s="22" t="n"/>
    </row>
    <row r="356">
      <c r="A356" s="18" t="n"/>
      <c r="B356" s="35">
        <f>IF(A356="","",VALUE(LEFT(A356,4)))</f>
        <v/>
      </c>
      <c r="C356" s="36">
        <f>IF(A356="","",VALUE(RIGHT(A356,2)))</f>
        <v/>
      </c>
      <c r="D356" s="18" t="n"/>
      <c r="E356" s="18" t="n"/>
      <c r="F356" s="38" t="n"/>
      <c r="G356" s="38" t="n"/>
      <c r="H356" s="38" t="n"/>
      <c r="I356" s="43">
        <f>IF(AND(F356&lt;&gt;"",G356&lt;&gt;"",H356&lt;&gt;""),F356+G356-H356,"")</f>
        <v/>
      </c>
      <c r="J356" s="18" t="n"/>
      <c r="K356" s="18" t="n"/>
    </row>
    <row r="357">
      <c r="A357" s="22" t="n"/>
      <c r="B357" s="35">
        <f>IF(A357="","",VALUE(LEFT(A357,4)))</f>
        <v/>
      </c>
      <c r="C357" s="36">
        <f>IF(A357="","",VALUE(RIGHT(A357,2)))</f>
        <v/>
      </c>
      <c r="D357" s="22" t="n"/>
      <c r="E357" s="22" t="n"/>
      <c r="F357" s="42" t="n"/>
      <c r="G357" s="42" t="n"/>
      <c r="H357" s="42" t="n"/>
      <c r="I357" s="43">
        <f>IF(AND(F357&lt;&gt;"",G357&lt;&gt;"",H357&lt;&gt;""),F357+G357-H357,"")</f>
        <v/>
      </c>
      <c r="J357" s="22" t="n"/>
      <c r="K357" s="22" t="n"/>
    </row>
    <row r="358">
      <c r="A358" s="18" t="n"/>
      <c r="B358" s="35">
        <f>IF(A358="","",VALUE(LEFT(A358,4)))</f>
        <v/>
      </c>
      <c r="C358" s="36">
        <f>IF(A358="","",VALUE(RIGHT(A358,2)))</f>
        <v/>
      </c>
      <c r="D358" s="18" t="n"/>
      <c r="E358" s="18" t="n"/>
      <c r="F358" s="38" t="n"/>
      <c r="G358" s="38" t="n"/>
      <c r="H358" s="38" t="n"/>
      <c r="I358" s="43">
        <f>IF(AND(F358&lt;&gt;"",G358&lt;&gt;"",H358&lt;&gt;""),F358+G358-H358,"")</f>
        <v/>
      </c>
      <c r="J358" s="18" t="n"/>
      <c r="K358" s="18" t="n"/>
    </row>
    <row r="359">
      <c r="A359" s="22" t="n"/>
      <c r="B359" s="35">
        <f>IF(A359="","",VALUE(LEFT(A359,4)))</f>
        <v/>
      </c>
      <c r="C359" s="36">
        <f>IF(A359="","",VALUE(RIGHT(A359,2)))</f>
        <v/>
      </c>
      <c r="D359" s="22" t="n"/>
      <c r="E359" s="22" t="n"/>
      <c r="F359" s="42" t="n"/>
      <c r="G359" s="42" t="n"/>
      <c r="H359" s="42" t="n"/>
      <c r="I359" s="43">
        <f>IF(AND(F359&lt;&gt;"",G359&lt;&gt;"",H359&lt;&gt;""),F359+G359-H359,"")</f>
        <v/>
      </c>
      <c r="J359" s="22" t="n"/>
      <c r="K359" s="22" t="n"/>
    </row>
    <row r="360">
      <c r="A360" s="18" t="n"/>
      <c r="B360" s="35">
        <f>IF(A360="","",VALUE(LEFT(A360,4)))</f>
        <v/>
      </c>
      <c r="C360" s="36">
        <f>IF(A360="","",VALUE(RIGHT(A360,2)))</f>
        <v/>
      </c>
      <c r="D360" s="18" t="n"/>
      <c r="E360" s="18" t="n"/>
      <c r="F360" s="38" t="n"/>
      <c r="G360" s="38" t="n"/>
      <c r="H360" s="38" t="n"/>
      <c r="I360" s="43">
        <f>IF(AND(F360&lt;&gt;"",G360&lt;&gt;"",H360&lt;&gt;""),F360+G360-H360,"")</f>
        <v/>
      </c>
      <c r="J360" s="18" t="n"/>
      <c r="K360" s="18" t="n"/>
    </row>
    <row r="361">
      <c r="A361" s="22" t="n"/>
      <c r="B361" s="35">
        <f>IF(A361="","",VALUE(LEFT(A361,4)))</f>
        <v/>
      </c>
      <c r="C361" s="36">
        <f>IF(A361="","",VALUE(RIGHT(A361,2)))</f>
        <v/>
      </c>
      <c r="D361" s="22" t="n"/>
      <c r="E361" s="22" t="n"/>
      <c r="F361" s="42" t="n"/>
      <c r="G361" s="42" t="n"/>
      <c r="H361" s="42" t="n"/>
      <c r="I361" s="43">
        <f>IF(AND(F361&lt;&gt;"",G361&lt;&gt;"",H361&lt;&gt;""),F361+G361-H361,"")</f>
        <v/>
      </c>
      <c r="J361" s="22" t="n"/>
      <c r="K361" s="22" t="n"/>
    </row>
    <row r="362">
      <c r="A362" s="18" t="n"/>
      <c r="B362" s="35">
        <f>IF(A362="","",VALUE(LEFT(A362,4)))</f>
        <v/>
      </c>
      <c r="C362" s="36">
        <f>IF(A362="","",VALUE(RIGHT(A362,2)))</f>
        <v/>
      </c>
      <c r="D362" s="18" t="n"/>
      <c r="E362" s="18" t="n"/>
      <c r="F362" s="38" t="n"/>
      <c r="G362" s="38" t="n"/>
      <c r="H362" s="38" t="n"/>
      <c r="I362" s="43">
        <f>IF(AND(F362&lt;&gt;"",G362&lt;&gt;"",H362&lt;&gt;""),F362+G362-H362,"")</f>
        <v/>
      </c>
      <c r="J362" s="18" t="n"/>
      <c r="K362" s="18" t="n"/>
    </row>
    <row r="363">
      <c r="A363" s="22" t="n"/>
      <c r="B363" s="35">
        <f>IF(A363="","",VALUE(LEFT(A363,4)))</f>
        <v/>
      </c>
      <c r="C363" s="36">
        <f>IF(A363="","",VALUE(RIGHT(A363,2)))</f>
        <v/>
      </c>
      <c r="D363" s="22" t="n"/>
      <c r="E363" s="22" t="n"/>
      <c r="F363" s="42" t="n"/>
      <c r="G363" s="42" t="n"/>
      <c r="H363" s="42" t="n"/>
      <c r="I363" s="43">
        <f>IF(AND(F363&lt;&gt;"",G363&lt;&gt;"",H363&lt;&gt;""),F363+G363-H363,"")</f>
        <v/>
      </c>
      <c r="J363" s="22" t="n"/>
      <c r="K363" s="22" t="n"/>
    </row>
    <row r="364">
      <c r="A364" s="18" t="n"/>
      <c r="B364" s="35">
        <f>IF(A364="","",VALUE(LEFT(A364,4)))</f>
        <v/>
      </c>
      <c r="C364" s="36">
        <f>IF(A364="","",VALUE(RIGHT(A364,2)))</f>
        <v/>
      </c>
      <c r="D364" s="18" t="n"/>
      <c r="E364" s="18" t="n"/>
      <c r="F364" s="38" t="n"/>
      <c r="G364" s="38" t="n"/>
      <c r="H364" s="38" t="n"/>
      <c r="I364" s="43">
        <f>IF(AND(F364&lt;&gt;"",G364&lt;&gt;"",H364&lt;&gt;""),F364+G364-H364,"")</f>
        <v/>
      </c>
      <c r="J364" s="18" t="n"/>
      <c r="K364" s="18" t="n"/>
    </row>
    <row r="365">
      <c r="A365" s="22" t="n"/>
      <c r="B365" s="35">
        <f>IF(A365="","",VALUE(LEFT(A365,4)))</f>
        <v/>
      </c>
      <c r="C365" s="36">
        <f>IF(A365="","",VALUE(RIGHT(A365,2)))</f>
        <v/>
      </c>
      <c r="D365" s="22" t="n"/>
      <c r="E365" s="22" t="n"/>
      <c r="F365" s="42" t="n"/>
      <c r="G365" s="42" t="n"/>
      <c r="H365" s="42" t="n"/>
      <c r="I365" s="43">
        <f>IF(AND(F365&lt;&gt;"",G365&lt;&gt;"",H365&lt;&gt;""),F365+G365-H365,"")</f>
        <v/>
      </c>
      <c r="J365" s="22" t="n"/>
      <c r="K365" s="22" t="n"/>
    </row>
    <row r="366">
      <c r="A366" s="18" t="n"/>
      <c r="B366" s="35">
        <f>IF(A366="","",VALUE(LEFT(A366,4)))</f>
        <v/>
      </c>
      <c r="C366" s="36">
        <f>IF(A366="","",VALUE(RIGHT(A366,2)))</f>
        <v/>
      </c>
      <c r="D366" s="18" t="n"/>
      <c r="E366" s="18" t="n"/>
      <c r="F366" s="38" t="n"/>
      <c r="G366" s="38" t="n"/>
      <c r="H366" s="38" t="n"/>
      <c r="I366" s="43">
        <f>IF(AND(F366&lt;&gt;"",G366&lt;&gt;"",H366&lt;&gt;""),F366+G366-H366,"")</f>
        <v/>
      </c>
      <c r="J366" s="18" t="n"/>
      <c r="K366" s="18" t="n"/>
    </row>
    <row r="367">
      <c r="A367" s="22" t="n"/>
      <c r="B367" s="35">
        <f>IF(A367="","",VALUE(LEFT(A367,4)))</f>
        <v/>
      </c>
      <c r="C367" s="36">
        <f>IF(A367="","",VALUE(RIGHT(A367,2)))</f>
        <v/>
      </c>
      <c r="D367" s="22" t="n"/>
      <c r="E367" s="22" t="n"/>
      <c r="F367" s="42" t="n"/>
      <c r="G367" s="42" t="n"/>
      <c r="H367" s="42" t="n"/>
      <c r="I367" s="43">
        <f>IF(AND(F367&lt;&gt;"",G367&lt;&gt;"",H367&lt;&gt;""),F367+G367-H367,"")</f>
        <v/>
      </c>
      <c r="J367" s="22" t="n"/>
      <c r="K367" s="22" t="n"/>
    </row>
    <row r="368">
      <c r="A368" s="18" t="n"/>
      <c r="B368" s="35">
        <f>IF(A368="","",VALUE(LEFT(A368,4)))</f>
        <v/>
      </c>
      <c r="C368" s="36">
        <f>IF(A368="","",VALUE(RIGHT(A368,2)))</f>
        <v/>
      </c>
      <c r="D368" s="18" t="n"/>
      <c r="E368" s="18" t="n"/>
      <c r="F368" s="38" t="n"/>
      <c r="G368" s="38" t="n"/>
      <c r="H368" s="38" t="n"/>
      <c r="I368" s="43">
        <f>IF(AND(F368&lt;&gt;"",G368&lt;&gt;"",H368&lt;&gt;""),F368+G368-H368,"")</f>
        <v/>
      </c>
      <c r="J368" s="18" t="n"/>
      <c r="K368" s="18" t="n"/>
    </row>
    <row r="369">
      <c r="A369" s="22" t="n"/>
      <c r="B369" s="35">
        <f>IF(A369="","",VALUE(LEFT(A369,4)))</f>
        <v/>
      </c>
      <c r="C369" s="36">
        <f>IF(A369="","",VALUE(RIGHT(A369,2)))</f>
        <v/>
      </c>
      <c r="D369" s="22" t="n"/>
      <c r="E369" s="22" t="n"/>
      <c r="F369" s="42" t="n"/>
      <c r="G369" s="42" t="n"/>
      <c r="H369" s="42" t="n"/>
      <c r="I369" s="43">
        <f>IF(AND(F369&lt;&gt;"",G369&lt;&gt;"",H369&lt;&gt;""),F369+G369-H369,"")</f>
        <v/>
      </c>
      <c r="J369" s="22" t="n"/>
      <c r="K369" s="22" t="n"/>
    </row>
    <row r="370">
      <c r="A370" s="18" t="n"/>
      <c r="B370" s="35">
        <f>IF(A370="","",VALUE(LEFT(A370,4)))</f>
        <v/>
      </c>
      <c r="C370" s="36">
        <f>IF(A370="","",VALUE(RIGHT(A370,2)))</f>
        <v/>
      </c>
      <c r="D370" s="18" t="n"/>
      <c r="E370" s="18" t="n"/>
      <c r="F370" s="38" t="n"/>
      <c r="G370" s="38" t="n"/>
      <c r="H370" s="38" t="n"/>
      <c r="I370" s="43">
        <f>IF(AND(F370&lt;&gt;"",G370&lt;&gt;"",H370&lt;&gt;""),F370+G370-H370,"")</f>
        <v/>
      </c>
      <c r="J370" s="18" t="n"/>
      <c r="K370" s="18" t="n"/>
    </row>
    <row r="371">
      <c r="A371" s="22" t="n"/>
      <c r="B371" s="35">
        <f>IF(A371="","",VALUE(LEFT(A371,4)))</f>
        <v/>
      </c>
      <c r="C371" s="36">
        <f>IF(A371="","",VALUE(RIGHT(A371,2)))</f>
        <v/>
      </c>
      <c r="D371" s="22" t="n"/>
      <c r="E371" s="22" t="n"/>
      <c r="F371" s="42" t="n"/>
      <c r="G371" s="42" t="n"/>
      <c r="H371" s="42" t="n"/>
      <c r="I371" s="43">
        <f>IF(AND(F371&lt;&gt;"",G371&lt;&gt;"",H371&lt;&gt;""),F371+G371-H371,"")</f>
        <v/>
      </c>
      <c r="J371" s="22" t="n"/>
      <c r="K371" s="22" t="n"/>
    </row>
    <row r="372">
      <c r="A372" s="18" t="n"/>
      <c r="B372" s="35">
        <f>IF(A372="","",VALUE(LEFT(A372,4)))</f>
        <v/>
      </c>
      <c r="C372" s="36">
        <f>IF(A372="","",VALUE(RIGHT(A372,2)))</f>
        <v/>
      </c>
      <c r="D372" s="18" t="n"/>
      <c r="E372" s="18" t="n"/>
      <c r="F372" s="38" t="n"/>
      <c r="G372" s="38" t="n"/>
      <c r="H372" s="38" t="n"/>
      <c r="I372" s="43">
        <f>IF(AND(F372&lt;&gt;"",G372&lt;&gt;"",H372&lt;&gt;""),F372+G372-H372,"")</f>
        <v/>
      </c>
      <c r="J372" s="18" t="n"/>
      <c r="K372" s="18" t="n"/>
    </row>
    <row r="373">
      <c r="A373" s="22" t="n"/>
      <c r="B373" s="35">
        <f>IF(A373="","",VALUE(LEFT(A373,4)))</f>
        <v/>
      </c>
      <c r="C373" s="36">
        <f>IF(A373="","",VALUE(RIGHT(A373,2)))</f>
        <v/>
      </c>
      <c r="D373" s="22" t="n"/>
      <c r="E373" s="22" t="n"/>
      <c r="F373" s="42" t="n"/>
      <c r="G373" s="42" t="n"/>
      <c r="H373" s="42" t="n"/>
      <c r="I373" s="43">
        <f>IF(AND(F373&lt;&gt;"",G373&lt;&gt;"",H373&lt;&gt;""),F373+G373-H373,"")</f>
        <v/>
      </c>
      <c r="J373" s="22" t="n"/>
      <c r="K373" s="22" t="n"/>
    </row>
    <row r="374">
      <c r="A374" s="18" t="n"/>
      <c r="B374" s="35">
        <f>IF(A374="","",VALUE(LEFT(A374,4)))</f>
        <v/>
      </c>
      <c r="C374" s="36">
        <f>IF(A374="","",VALUE(RIGHT(A374,2)))</f>
        <v/>
      </c>
      <c r="D374" s="18" t="n"/>
      <c r="E374" s="18" t="n"/>
      <c r="F374" s="38" t="n"/>
      <c r="G374" s="38" t="n"/>
      <c r="H374" s="38" t="n"/>
      <c r="I374" s="43">
        <f>IF(AND(F374&lt;&gt;"",G374&lt;&gt;"",H374&lt;&gt;""),F374+G374-H374,"")</f>
        <v/>
      </c>
      <c r="J374" s="18" t="n"/>
      <c r="K374" s="18" t="n"/>
    </row>
    <row r="375">
      <c r="A375" s="22" t="n"/>
      <c r="B375" s="35">
        <f>IF(A375="","",VALUE(LEFT(A375,4)))</f>
        <v/>
      </c>
      <c r="C375" s="36">
        <f>IF(A375="","",VALUE(RIGHT(A375,2)))</f>
        <v/>
      </c>
      <c r="D375" s="22" t="n"/>
      <c r="E375" s="22" t="n"/>
      <c r="F375" s="42" t="n"/>
      <c r="G375" s="42" t="n"/>
      <c r="H375" s="42" t="n"/>
      <c r="I375" s="43">
        <f>IF(AND(F375&lt;&gt;"",G375&lt;&gt;"",H375&lt;&gt;""),F375+G375-H375,"")</f>
        <v/>
      </c>
      <c r="J375" s="22" t="n"/>
      <c r="K375" s="22" t="n"/>
    </row>
    <row r="376">
      <c r="A376" s="18" t="n"/>
      <c r="B376" s="35">
        <f>IF(A376="","",VALUE(LEFT(A376,4)))</f>
        <v/>
      </c>
      <c r="C376" s="36">
        <f>IF(A376="","",VALUE(RIGHT(A376,2)))</f>
        <v/>
      </c>
      <c r="D376" s="18" t="n"/>
      <c r="E376" s="18" t="n"/>
      <c r="F376" s="38" t="n"/>
      <c r="G376" s="38" t="n"/>
      <c r="H376" s="38" t="n"/>
      <c r="I376" s="43">
        <f>IF(AND(F376&lt;&gt;"",G376&lt;&gt;"",H376&lt;&gt;""),F376+G376-H376,"")</f>
        <v/>
      </c>
      <c r="J376" s="18" t="n"/>
      <c r="K376" s="18" t="n"/>
    </row>
    <row r="377">
      <c r="A377" s="22" t="n"/>
      <c r="B377" s="35">
        <f>IF(A377="","",VALUE(LEFT(A377,4)))</f>
        <v/>
      </c>
      <c r="C377" s="36">
        <f>IF(A377="","",VALUE(RIGHT(A377,2)))</f>
        <v/>
      </c>
      <c r="D377" s="22" t="n"/>
      <c r="E377" s="22" t="n"/>
      <c r="F377" s="42" t="n"/>
      <c r="G377" s="42" t="n"/>
      <c r="H377" s="42" t="n"/>
      <c r="I377" s="43">
        <f>IF(AND(F377&lt;&gt;"",G377&lt;&gt;"",H377&lt;&gt;""),F377+G377-H377,"")</f>
        <v/>
      </c>
      <c r="J377" s="22" t="n"/>
      <c r="K377" s="22" t="n"/>
    </row>
    <row r="378">
      <c r="A378" s="18" t="n"/>
      <c r="B378" s="35">
        <f>IF(A378="","",VALUE(LEFT(A378,4)))</f>
        <v/>
      </c>
      <c r="C378" s="36">
        <f>IF(A378="","",VALUE(RIGHT(A378,2)))</f>
        <v/>
      </c>
      <c r="D378" s="18" t="n"/>
      <c r="E378" s="18" t="n"/>
      <c r="F378" s="38" t="n"/>
      <c r="G378" s="38" t="n"/>
      <c r="H378" s="38" t="n"/>
      <c r="I378" s="43">
        <f>IF(AND(F378&lt;&gt;"",G378&lt;&gt;"",H378&lt;&gt;""),F378+G378-H378,"")</f>
        <v/>
      </c>
      <c r="J378" s="18" t="n"/>
      <c r="K378" s="18" t="n"/>
    </row>
    <row r="379">
      <c r="A379" s="22" t="n"/>
      <c r="B379" s="35">
        <f>IF(A379="","",VALUE(LEFT(A379,4)))</f>
        <v/>
      </c>
      <c r="C379" s="36">
        <f>IF(A379="","",VALUE(RIGHT(A379,2)))</f>
        <v/>
      </c>
      <c r="D379" s="22" t="n"/>
      <c r="E379" s="22" t="n"/>
      <c r="F379" s="42" t="n"/>
      <c r="G379" s="42" t="n"/>
      <c r="H379" s="42" t="n"/>
      <c r="I379" s="43">
        <f>IF(AND(F379&lt;&gt;"",G379&lt;&gt;"",H379&lt;&gt;""),F379+G379-H379,"")</f>
        <v/>
      </c>
      <c r="J379" s="22" t="n"/>
      <c r="K379" s="22" t="n"/>
    </row>
    <row r="380">
      <c r="A380" s="18" t="n"/>
      <c r="B380" s="35">
        <f>IF(A380="","",VALUE(LEFT(A380,4)))</f>
        <v/>
      </c>
      <c r="C380" s="36">
        <f>IF(A380="","",VALUE(RIGHT(A380,2)))</f>
        <v/>
      </c>
      <c r="D380" s="18" t="n"/>
      <c r="E380" s="18" t="n"/>
      <c r="F380" s="38" t="n"/>
      <c r="G380" s="38" t="n"/>
      <c r="H380" s="38" t="n"/>
      <c r="I380" s="43">
        <f>IF(AND(F380&lt;&gt;"",G380&lt;&gt;"",H380&lt;&gt;""),F380+G380-H380,"")</f>
        <v/>
      </c>
      <c r="J380" s="18" t="n"/>
      <c r="K380" s="18" t="n"/>
    </row>
    <row r="381">
      <c r="A381" s="22" t="n"/>
      <c r="B381" s="35">
        <f>IF(A381="","",VALUE(LEFT(A381,4)))</f>
        <v/>
      </c>
      <c r="C381" s="36">
        <f>IF(A381="","",VALUE(RIGHT(A381,2)))</f>
        <v/>
      </c>
      <c r="D381" s="22" t="n"/>
      <c r="E381" s="22" t="n"/>
      <c r="F381" s="42" t="n"/>
      <c r="G381" s="42" t="n"/>
      <c r="H381" s="42" t="n"/>
      <c r="I381" s="43">
        <f>IF(AND(F381&lt;&gt;"",G381&lt;&gt;"",H381&lt;&gt;""),F381+G381-H381,"")</f>
        <v/>
      </c>
      <c r="J381" s="22" t="n"/>
      <c r="K381" s="22" t="n"/>
    </row>
    <row r="382">
      <c r="A382" s="18" t="n"/>
      <c r="B382" s="35">
        <f>IF(A382="","",VALUE(LEFT(A382,4)))</f>
        <v/>
      </c>
      <c r="C382" s="36">
        <f>IF(A382="","",VALUE(RIGHT(A382,2)))</f>
        <v/>
      </c>
      <c r="D382" s="18" t="n"/>
      <c r="E382" s="18" t="n"/>
      <c r="F382" s="38" t="n"/>
      <c r="G382" s="38" t="n"/>
      <c r="H382" s="38" t="n"/>
      <c r="I382" s="43">
        <f>IF(AND(F382&lt;&gt;"",G382&lt;&gt;"",H382&lt;&gt;""),F382+G382-H382,"")</f>
        <v/>
      </c>
      <c r="J382" s="18" t="n"/>
      <c r="K382" s="18" t="n"/>
    </row>
    <row r="383">
      <c r="A383" s="22" t="n"/>
      <c r="B383" s="35">
        <f>IF(A383="","",VALUE(LEFT(A383,4)))</f>
        <v/>
      </c>
      <c r="C383" s="36">
        <f>IF(A383="","",VALUE(RIGHT(A383,2)))</f>
        <v/>
      </c>
      <c r="D383" s="22" t="n"/>
      <c r="E383" s="22" t="n"/>
      <c r="F383" s="42" t="n"/>
      <c r="G383" s="42" t="n"/>
      <c r="H383" s="42" t="n"/>
      <c r="I383" s="43">
        <f>IF(AND(F383&lt;&gt;"",G383&lt;&gt;"",H383&lt;&gt;""),F383+G383-H383,"")</f>
        <v/>
      </c>
      <c r="J383" s="22" t="n"/>
      <c r="K383" s="22" t="n"/>
    </row>
    <row r="384">
      <c r="A384" s="18" t="n"/>
      <c r="B384" s="35">
        <f>IF(A384="","",VALUE(LEFT(A384,4)))</f>
        <v/>
      </c>
      <c r="C384" s="36">
        <f>IF(A384="","",VALUE(RIGHT(A384,2)))</f>
        <v/>
      </c>
      <c r="D384" s="18" t="n"/>
      <c r="E384" s="18" t="n"/>
      <c r="F384" s="38" t="n"/>
      <c r="G384" s="38" t="n"/>
      <c r="H384" s="38" t="n"/>
      <c r="I384" s="43">
        <f>IF(AND(F384&lt;&gt;"",G384&lt;&gt;"",H384&lt;&gt;""),F384+G384-H384,"")</f>
        <v/>
      </c>
      <c r="J384" s="18" t="n"/>
      <c r="K384" s="18" t="n"/>
    </row>
    <row r="385">
      <c r="A385" s="22" t="n"/>
      <c r="B385" s="35">
        <f>IF(A385="","",VALUE(LEFT(A385,4)))</f>
        <v/>
      </c>
      <c r="C385" s="36">
        <f>IF(A385="","",VALUE(RIGHT(A385,2)))</f>
        <v/>
      </c>
      <c r="D385" s="22" t="n"/>
      <c r="E385" s="22" t="n"/>
      <c r="F385" s="42" t="n"/>
      <c r="G385" s="42" t="n"/>
      <c r="H385" s="42" t="n"/>
      <c r="I385" s="43">
        <f>IF(AND(F385&lt;&gt;"",G385&lt;&gt;"",H385&lt;&gt;""),F385+G385-H385,"")</f>
        <v/>
      </c>
      <c r="J385" s="22" t="n"/>
      <c r="K385" s="22" t="n"/>
    </row>
    <row r="386">
      <c r="A386" s="18" t="n"/>
      <c r="B386" s="35">
        <f>IF(A386="","",VALUE(LEFT(A386,4)))</f>
        <v/>
      </c>
      <c r="C386" s="36">
        <f>IF(A386="","",VALUE(RIGHT(A386,2)))</f>
        <v/>
      </c>
      <c r="D386" s="18" t="n"/>
      <c r="E386" s="18" t="n"/>
      <c r="F386" s="38" t="n"/>
      <c r="G386" s="38" t="n"/>
      <c r="H386" s="38" t="n"/>
      <c r="I386" s="43">
        <f>IF(AND(F386&lt;&gt;"",G386&lt;&gt;"",H386&lt;&gt;""),F386+G386-H386,"")</f>
        <v/>
      </c>
      <c r="J386" s="18" t="n"/>
      <c r="K386" s="18" t="n"/>
    </row>
    <row r="387">
      <c r="A387" s="22" t="n"/>
      <c r="B387" s="35">
        <f>IF(A387="","",VALUE(LEFT(A387,4)))</f>
        <v/>
      </c>
      <c r="C387" s="36">
        <f>IF(A387="","",VALUE(RIGHT(A387,2)))</f>
        <v/>
      </c>
      <c r="D387" s="22" t="n"/>
      <c r="E387" s="22" t="n"/>
      <c r="F387" s="42" t="n"/>
      <c r="G387" s="42" t="n"/>
      <c r="H387" s="42" t="n"/>
      <c r="I387" s="43">
        <f>IF(AND(F387&lt;&gt;"",G387&lt;&gt;"",H387&lt;&gt;""),F387+G387-H387,"")</f>
        <v/>
      </c>
      <c r="J387" s="22" t="n"/>
      <c r="K387" s="22" t="n"/>
    </row>
    <row r="388">
      <c r="A388" s="18" t="n"/>
      <c r="B388" s="35">
        <f>IF(A388="","",VALUE(LEFT(A388,4)))</f>
        <v/>
      </c>
      <c r="C388" s="36">
        <f>IF(A388="","",VALUE(RIGHT(A388,2)))</f>
        <v/>
      </c>
      <c r="D388" s="18" t="n"/>
      <c r="E388" s="18" t="n"/>
      <c r="F388" s="38" t="n"/>
      <c r="G388" s="38" t="n"/>
      <c r="H388" s="38" t="n"/>
      <c r="I388" s="43">
        <f>IF(AND(F388&lt;&gt;"",G388&lt;&gt;"",H388&lt;&gt;""),F388+G388-H388,"")</f>
        <v/>
      </c>
      <c r="J388" s="18" t="n"/>
      <c r="K388" s="18" t="n"/>
    </row>
    <row r="389">
      <c r="A389" s="22" t="n"/>
      <c r="B389" s="35">
        <f>IF(A389="","",VALUE(LEFT(A389,4)))</f>
        <v/>
      </c>
      <c r="C389" s="36">
        <f>IF(A389="","",VALUE(RIGHT(A389,2)))</f>
        <v/>
      </c>
      <c r="D389" s="22" t="n"/>
      <c r="E389" s="22" t="n"/>
      <c r="F389" s="42" t="n"/>
      <c r="G389" s="42" t="n"/>
      <c r="H389" s="42" t="n"/>
      <c r="I389" s="43">
        <f>IF(AND(F389&lt;&gt;"",G389&lt;&gt;"",H389&lt;&gt;""),F389+G389-H389,"")</f>
        <v/>
      </c>
      <c r="J389" s="22" t="n"/>
      <c r="K389" s="22" t="n"/>
    </row>
    <row r="390">
      <c r="A390" s="18" t="n"/>
      <c r="B390" s="35">
        <f>IF(A390="","",VALUE(LEFT(A390,4)))</f>
        <v/>
      </c>
      <c r="C390" s="36">
        <f>IF(A390="","",VALUE(RIGHT(A390,2)))</f>
        <v/>
      </c>
      <c r="D390" s="18" t="n"/>
      <c r="E390" s="18" t="n"/>
      <c r="F390" s="38" t="n"/>
      <c r="G390" s="38" t="n"/>
      <c r="H390" s="38" t="n"/>
      <c r="I390" s="43">
        <f>IF(AND(F390&lt;&gt;"",G390&lt;&gt;"",H390&lt;&gt;""),F390+G390-H390,"")</f>
        <v/>
      </c>
      <c r="J390" s="18" t="n"/>
      <c r="K390" s="18" t="n"/>
    </row>
    <row r="391">
      <c r="A391" s="22" t="n"/>
      <c r="B391" s="35">
        <f>IF(A391="","",VALUE(LEFT(A391,4)))</f>
        <v/>
      </c>
      <c r="C391" s="36">
        <f>IF(A391="","",VALUE(RIGHT(A391,2)))</f>
        <v/>
      </c>
      <c r="D391" s="22" t="n"/>
      <c r="E391" s="22" t="n"/>
      <c r="F391" s="42" t="n"/>
      <c r="G391" s="42" t="n"/>
      <c r="H391" s="42" t="n"/>
      <c r="I391" s="43">
        <f>IF(AND(F391&lt;&gt;"",G391&lt;&gt;"",H391&lt;&gt;""),F391+G391-H391,"")</f>
        <v/>
      </c>
      <c r="J391" s="22" t="n"/>
      <c r="K391" s="22" t="n"/>
    </row>
    <row r="392">
      <c r="A392" s="18" t="n"/>
      <c r="B392" s="35">
        <f>IF(A392="","",VALUE(LEFT(A392,4)))</f>
        <v/>
      </c>
      <c r="C392" s="36">
        <f>IF(A392="","",VALUE(RIGHT(A392,2)))</f>
        <v/>
      </c>
      <c r="D392" s="18" t="n"/>
      <c r="E392" s="18" t="n"/>
      <c r="F392" s="38" t="n"/>
      <c r="G392" s="38" t="n"/>
      <c r="H392" s="38" t="n"/>
      <c r="I392" s="43">
        <f>IF(AND(F392&lt;&gt;"",G392&lt;&gt;"",H392&lt;&gt;""),F392+G392-H392,"")</f>
        <v/>
      </c>
      <c r="J392" s="18" t="n"/>
      <c r="K392" s="18" t="n"/>
    </row>
    <row r="393">
      <c r="A393" s="22" t="n"/>
      <c r="B393" s="35">
        <f>IF(A393="","",VALUE(LEFT(A393,4)))</f>
        <v/>
      </c>
      <c r="C393" s="36">
        <f>IF(A393="","",VALUE(RIGHT(A393,2)))</f>
        <v/>
      </c>
      <c r="D393" s="22" t="n"/>
      <c r="E393" s="22" t="n"/>
      <c r="F393" s="42" t="n"/>
      <c r="G393" s="42" t="n"/>
      <c r="H393" s="42" t="n"/>
      <c r="I393" s="43">
        <f>IF(AND(F393&lt;&gt;"",G393&lt;&gt;"",H393&lt;&gt;""),F393+G393-H393,"")</f>
        <v/>
      </c>
      <c r="J393" s="22" t="n"/>
      <c r="K393" s="22" t="n"/>
    </row>
    <row r="394">
      <c r="A394" s="18" t="n"/>
      <c r="B394" s="35">
        <f>IF(A394="","",VALUE(LEFT(A394,4)))</f>
        <v/>
      </c>
      <c r="C394" s="36">
        <f>IF(A394="","",VALUE(RIGHT(A394,2)))</f>
        <v/>
      </c>
      <c r="D394" s="18" t="n"/>
      <c r="E394" s="18" t="n"/>
      <c r="F394" s="38" t="n"/>
      <c r="G394" s="38" t="n"/>
      <c r="H394" s="38" t="n"/>
      <c r="I394" s="43">
        <f>IF(AND(F394&lt;&gt;"",G394&lt;&gt;"",H394&lt;&gt;""),F394+G394-H394,"")</f>
        <v/>
      </c>
      <c r="J394" s="18" t="n"/>
      <c r="K394" s="18" t="n"/>
    </row>
    <row r="395">
      <c r="A395" s="22" t="n"/>
      <c r="B395" s="35">
        <f>IF(A395="","",VALUE(LEFT(A395,4)))</f>
        <v/>
      </c>
      <c r="C395" s="36">
        <f>IF(A395="","",VALUE(RIGHT(A395,2)))</f>
        <v/>
      </c>
      <c r="D395" s="22" t="n"/>
      <c r="E395" s="22" t="n"/>
      <c r="F395" s="42" t="n"/>
      <c r="G395" s="42" t="n"/>
      <c r="H395" s="42" t="n"/>
      <c r="I395" s="43">
        <f>IF(AND(F395&lt;&gt;"",G395&lt;&gt;"",H395&lt;&gt;""),F395+G395-H395,"")</f>
        <v/>
      </c>
      <c r="J395" s="22" t="n"/>
      <c r="K395" s="22" t="n"/>
    </row>
    <row r="396">
      <c r="A396" s="18" t="n"/>
      <c r="B396" s="35">
        <f>IF(A396="","",VALUE(LEFT(A396,4)))</f>
        <v/>
      </c>
      <c r="C396" s="36">
        <f>IF(A396="","",VALUE(RIGHT(A396,2)))</f>
        <v/>
      </c>
      <c r="D396" s="18" t="n"/>
      <c r="E396" s="18" t="n"/>
      <c r="F396" s="38" t="n"/>
      <c r="G396" s="38" t="n"/>
      <c r="H396" s="38" t="n"/>
      <c r="I396" s="43">
        <f>IF(AND(F396&lt;&gt;"",G396&lt;&gt;"",H396&lt;&gt;""),F396+G396-H396,"")</f>
        <v/>
      </c>
      <c r="J396" s="18" t="n"/>
      <c r="K396" s="18" t="n"/>
    </row>
    <row r="397">
      <c r="A397" s="22" t="n"/>
      <c r="B397" s="35">
        <f>IF(A397="","",VALUE(LEFT(A397,4)))</f>
        <v/>
      </c>
      <c r="C397" s="36">
        <f>IF(A397="","",VALUE(RIGHT(A397,2)))</f>
        <v/>
      </c>
      <c r="D397" s="22" t="n"/>
      <c r="E397" s="22" t="n"/>
      <c r="F397" s="42" t="n"/>
      <c r="G397" s="42" t="n"/>
      <c r="H397" s="42" t="n"/>
      <c r="I397" s="43">
        <f>IF(AND(F397&lt;&gt;"",G397&lt;&gt;"",H397&lt;&gt;""),F397+G397-H397,"")</f>
        <v/>
      </c>
      <c r="J397" s="22" t="n"/>
      <c r="K397" s="22" t="n"/>
    </row>
    <row r="398">
      <c r="A398" s="18" t="n"/>
      <c r="B398" s="35">
        <f>IF(A398="","",VALUE(LEFT(A398,4)))</f>
        <v/>
      </c>
      <c r="C398" s="36">
        <f>IF(A398="","",VALUE(RIGHT(A398,2)))</f>
        <v/>
      </c>
      <c r="D398" s="18" t="n"/>
      <c r="E398" s="18" t="n"/>
      <c r="F398" s="38" t="n"/>
      <c r="G398" s="38" t="n"/>
      <c r="H398" s="38" t="n"/>
      <c r="I398" s="43">
        <f>IF(AND(F398&lt;&gt;"",G398&lt;&gt;"",H398&lt;&gt;""),F398+G398-H398,"")</f>
        <v/>
      </c>
      <c r="J398" s="18" t="n"/>
      <c r="K398" s="18" t="n"/>
    </row>
    <row r="399">
      <c r="A399" s="22" t="n"/>
      <c r="B399" s="35">
        <f>IF(A399="","",VALUE(LEFT(A399,4)))</f>
        <v/>
      </c>
      <c r="C399" s="36">
        <f>IF(A399="","",VALUE(RIGHT(A399,2)))</f>
        <v/>
      </c>
      <c r="D399" s="22" t="n"/>
      <c r="E399" s="22" t="n"/>
      <c r="F399" s="42" t="n"/>
      <c r="G399" s="42" t="n"/>
      <c r="H399" s="42" t="n"/>
      <c r="I399" s="43">
        <f>IF(AND(F399&lt;&gt;"",G399&lt;&gt;"",H399&lt;&gt;""),F399+G399-H399,"")</f>
        <v/>
      </c>
      <c r="J399" s="22" t="n"/>
      <c r="K399" s="22" t="n"/>
    </row>
    <row r="400">
      <c r="A400" s="18" t="n"/>
      <c r="B400" s="35">
        <f>IF(A400="","",VALUE(LEFT(A400,4)))</f>
        <v/>
      </c>
      <c r="C400" s="36">
        <f>IF(A400="","",VALUE(RIGHT(A400,2)))</f>
        <v/>
      </c>
      <c r="D400" s="18" t="n"/>
      <c r="E400" s="18" t="n"/>
      <c r="F400" s="38" t="n"/>
      <c r="G400" s="38" t="n"/>
      <c r="H400" s="38" t="n"/>
      <c r="I400" s="43">
        <f>IF(AND(F400&lt;&gt;"",G400&lt;&gt;"",H400&lt;&gt;""),F400+G400-H400,"")</f>
        <v/>
      </c>
      <c r="J400" s="18" t="n"/>
      <c r="K400" s="18" t="n"/>
    </row>
    <row r="401">
      <c r="A401" s="22" t="n"/>
      <c r="B401" s="35">
        <f>IF(A401="","",VALUE(LEFT(A401,4)))</f>
        <v/>
      </c>
      <c r="C401" s="36">
        <f>IF(A401="","",VALUE(RIGHT(A401,2)))</f>
        <v/>
      </c>
      <c r="D401" s="22" t="n"/>
      <c r="E401" s="22" t="n"/>
      <c r="F401" s="42" t="n"/>
      <c r="G401" s="42" t="n"/>
      <c r="H401" s="42" t="n"/>
      <c r="I401" s="43">
        <f>IF(AND(F401&lt;&gt;"",G401&lt;&gt;"",H401&lt;&gt;""),F401+G401-H401,"")</f>
        <v/>
      </c>
      <c r="J401" s="22" t="n"/>
      <c r="K401" s="22" t="n"/>
    </row>
    <row r="402">
      <c r="A402" s="18" t="n"/>
      <c r="B402" s="35">
        <f>IF(A402="","",VALUE(LEFT(A402,4)))</f>
        <v/>
      </c>
      <c r="C402" s="36">
        <f>IF(A402="","",VALUE(RIGHT(A402,2)))</f>
        <v/>
      </c>
      <c r="D402" s="18" t="n"/>
      <c r="E402" s="18" t="n"/>
      <c r="F402" s="38" t="n"/>
      <c r="G402" s="38" t="n"/>
      <c r="H402" s="38" t="n"/>
      <c r="I402" s="43">
        <f>IF(AND(F402&lt;&gt;"",G402&lt;&gt;"",H402&lt;&gt;""),F402+G402-H402,"")</f>
        <v/>
      </c>
      <c r="J402" s="18" t="n"/>
      <c r="K402" s="18" t="n"/>
    </row>
    <row r="403">
      <c r="A403" s="22" t="n"/>
      <c r="B403" s="35">
        <f>IF(A403="","",VALUE(LEFT(A403,4)))</f>
        <v/>
      </c>
      <c r="C403" s="36">
        <f>IF(A403="","",VALUE(RIGHT(A403,2)))</f>
        <v/>
      </c>
      <c r="D403" s="22" t="n"/>
      <c r="E403" s="22" t="n"/>
      <c r="F403" s="42" t="n"/>
      <c r="G403" s="42" t="n"/>
      <c r="H403" s="42" t="n"/>
      <c r="I403" s="43">
        <f>IF(AND(F403&lt;&gt;"",G403&lt;&gt;"",H403&lt;&gt;""),F403+G403-H403,"")</f>
        <v/>
      </c>
      <c r="J403" s="22" t="n"/>
      <c r="K403" s="22" t="n"/>
    </row>
    <row r="404">
      <c r="A404" s="18" t="n"/>
      <c r="B404" s="35">
        <f>IF(A404="","",VALUE(LEFT(A404,4)))</f>
        <v/>
      </c>
      <c r="C404" s="36">
        <f>IF(A404="","",VALUE(RIGHT(A404,2)))</f>
        <v/>
      </c>
      <c r="D404" s="18" t="n"/>
      <c r="E404" s="18" t="n"/>
      <c r="F404" s="38" t="n"/>
      <c r="G404" s="38" t="n"/>
      <c r="H404" s="38" t="n"/>
      <c r="I404" s="43">
        <f>IF(AND(F404&lt;&gt;"",G404&lt;&gt;"",H404&lt;&gt;""),F404+G404-H404,"")</f>
        <v/>
      </c>
      <c r="J404" s="18" t="n"/>
      <c r="K404" s="18" t="n"/>
    </row>
    <row r="405">
      <c r="A405" s="22" t="n"/>
      <c r="B405" s="35">
        <f>IF(A405="","",VALUE(LEFT(A405,4)))</f>
        <v/>
      </c>
      <c r="C405" s="36">
        <f>IF(A405="","",VALUE(RIGHT(A405,2)))</f>
        <v/>
      </c>
      <c r="D405" s="22" t="n"/>
      <c r="E405" s="22" t="n"/>
      <c r="F405" s="42" t="n"/>
      <c r="G405" s="42" t="n"/>
      <c r="H405" s="42" t="n"/>
      <c r="I405" s="43">
        <f>IF(AND(F405&lt;&gt;"",G405&lt;&gt;"",H405&lt;&gt;""),F405+G405-H405,"")</f>
        <v/>
      </c>
      <c r="J405" s="22" t="n"/>
      <c r="K405" s="22" t="n"/>
    </row>
    <row r="406">
      <c r="A406" s="18" t="n"/>
      <c r="B406" s="35">
        <f>IF(A406="","",VALUE(LEFT(A406,4)))</f>
        <v/>
      </c>
      <c r="C406" s="36">
        <f>IF(A406="","",VALUE(RIGHT(A406,2)))</f>
        <v/>
      </c>
      <c r="D406" s="18" t="n"/>
      <c r="E406" s="18" t="n"/>
      <c r="F406" s="38" t="n"/>
      <c r="G406" s="38" t="n"/>
      <c r="H406" s="38" t="n"/>
      <c r="I406" s="43">
        <f>IF(AND(F406&lt;&gt;"",G406&lt;&gt;"",H406&lt;&gt;""),F406+G406-H406,"")</f>
        <v/>
      </c>
      <c r="J406" s="18" t="n"/>
      <c r="K406" s="18" t="n"/>
    </row>
    <row r="407">
      <c r="A407" s="22" t="n"/>
      <c r="B407" s="35">
        <f>IF(A407="","",VALUE(LEFT(A407,4)))</f>
        <v/>
      </c>
      <c r="C407" s="36">
        <f>IF(A407="","",VALUE(RIGHT(A407,2)))</f>
        <v/>
      </c>
      <c r="D407" s="22" t="n"/>
      <c r="E407" s="22" t="n"/>
      <c r="F407" s="42" t="n"/>
      <c r="G407" s="42" t="n"/>
      <c r="H407" s="42" t="n"/>
      <c r="I407" s="43">
        <f>IF(AND(F407&lt;&gt;"",G407&lt;&gt;"",H407&lt;&gt;""),F407+G407-H407,"")</f>
        <v/>
      </c>
      <c r="J407" s="22" t="n"/>
      <c r="K407" s="22" t="n"/>
    </row>
    <row r="408">
      <c r="A408" s="18" t="n"/>
      <c r="B408" s="35">
        <f>IF(A408="","",VALUE(LEFT(A408,4)))</f>
        <v/>
      </c>
      <c r="C408" s="36">
        <f>IF(A408="","",VALUE(RIGHT(A408,2)))</f>
        <v/>
      </c>
      <c r="D408" s="18" t="n"/>
      <c r="E408" s="18" t="n"/>
      <c r="F408" s="38" t="n"/>
      <c r="G408" s="38" t="n"/>
      <c r="H408" s="38" t="n"/>
      <c r="I408" s="43">
        <f>IF(AND(F408&lt;&gt;"",G408&lt;&gt;"",H408&lt;&gt;""),F408+G408-H408,"")</f>
        <v/>
      </c>
      <c r="J408" s="18" t="n"/>
      <c r="K408" s="18" t="n"/>
    </row>
    <row r="409">
      <c r="A409" s="22" t="n"/>
      <c r="B409" s="35">
        <f>IF(A409="","",VALUE(LEFT(A409,4)))</f>
        <v/>
      </c>
      <c r="C409" s="36">
        <f>IF(A409="","",VALUE(RIGHT(A409,2)))</f>
        <v/>
      </c>
      <c r="D409" s="22" t="n"/>
      <c r="E409" s="22" t="n"/>
      <c r="F409" s="42" t="n"/>
      <c r="G409" s="42" t="n"/>
      <c r="H409" s="42" t="n"/>
      <c r="I409" s="43">
        <f>IF(AND(F409&lt;&gt;"",G409&lt;&gt;"",H409&lt;&gt;""),F409+G409-H409,"")</f>
        <v/>
      </c>
      <c r="J409" s="22" t="n"/>
      <c r="K409" s="22" t="n"/>
    </row>
    <row r="410">
      <c r="A410" s="18" t="n"/>
      <c r="B410" s="35">
        <f>IF(A410="","",VALUE(LEFT(A410,4)))</f>
        <v/>
      </c>
      <c r="C410" s="36">
        <f>IF(A410="","",VALUE(RIGHT(A410,2)))</f>
        <v/>
      </c>
      <c r="D410" s="18" t="n"/>
      <c r="E410" s="18" t="n"/>
      <c r="F410" s="38" t="n"/>
      <c r="G410" s="38" t="n"/>
      <c r="H410" s="38" t="n"/>
      <c r="I410" s="43">
        <f>IF(AND(F410&lt;&gt;"",G410&lt;&gt;"",H410&lt;&gt;""),F410+G410-H410,"")</f>
        <v/>
      </c>
      <c r="J410" s="18" t="n"/>
      <c r="K410" s="18" t="n"/>
    </row>
    <row r="411">
      <c r="A411" s="22" t="n"/>
      <c r="B411" s="35">
        <f>IF(A411="","",VALUE(LEFT(A411,4)))</f>
        <v/>
      </c>
      <c r="C411" s="36">
        <f>IF(A411="","",VALUE(RIGHT(A411,2)))</f>
        <v/>
      </c>
      <c r="D411" s="22" t="n"/>
      <c r="E411" s="22" t="n"/>
      <c r="F411" s="42" t="n"/>
      <c r="G411" s="42" t="n"/>
      <c r="H411" s="42" t="n"/>
      <c r="I411" s="43">
        <f>IF(AND(F411&lt;&gt;"",G411&lt;&gt;"",H411&lt;&gt;""),F411+G411-H411,"")</f>
        <v/>
      </c>
      <c r="J411" s="22" t="n"/>
      <c r="K411" s="22" t="n"/>
    </row>
    <row r="412">
      <c r="A412" s="18" t="n"/>
      <c r="B412" s="35">
        <f>IF(A412="","",VALUE(LEFT(A412,4)))</f>
        <v/>
      </c>
      <c r="C412" s="36">
        <f>IF(A412="","",VALUE(RIGHT(A412,2)))</f>
        <v/>
      </c>
      <c r="D412" s="18" t="n"/>
      <c r="E412" s="18" t="n"/>
      <c r="F412" s="38" t="n"/>
      <c r="G412" s="38" t="n"/>
      <c r="H412" s="38" t="n"/>
      <c r="I412" s="43">
        <f>IF(AND(F412&lt;&gt;"",G412&lt;&gt;"",H412&lt;&gt;""),F412+G412-H412,"")</f>
        <v/>
      </c>
      <c r="J412" s="18" t="n"/>
      <c r="K412" s="18" t="n"/>
    </row>
    <row r="413">
      <c r="A413" s="22" t="n"/>
      <c r="B413" s="35">
        <f>IF(A413="","",VALUE(LEFT(A413,4)))</f>
        <v/>
      </c>
      <c r="C413" s="36">
        <f>IF(A413="","",VALUE(RIGHT(A413,2)))</f>
        <v/>
      </c>
      <c r="D413" s="22" t="n"/>
      <c r="E413" s="22" t="n"/>
      <c r="F413" s="42" t="n"/>
      <c r="G413" s="42" t="n"/>
      <c r="H413" s="42" t="n"/>
      <c r="I413" s="43">
        <f>IF(AND(F413&lt;&gt;"",G413&lt;&gt;"",H413&lt;&gt;""),F413+G413-H413,"")</f>
        <v/>
      </c>
      <c r="J413" s="22" t="n"/>
      <c r="K413" s="22" t="n"/>
    </row>
    <row r="414">
      <c r="A414" s="18" t="n"/>
      <c r="B414" s="35">
        <f>IF(A414="","",VALUE(LEFT(A414,4)))</f>
        <v/>
      </c>
      <c r="C414" s="36">
        <f>IF(A414="","",VALUE(RIGHT(A414,2)))</f>
        <v/>
      </c>
      <c r="D414" s="18" t="n"/>
      <c r="E414" s="18" t="n"/>
      <c r="F414" s="38" t="n"/>
      <c r="G414" s="38" t="n"/>
      <c r="H414" s="38" t="n"/>
      <c r="I414" s="43">
        <f>IF(AND(F414&lt;&gt;"",G414&lt;&gt;"",H414&lt;&gt;""),F414+G414-H414,"")</f>
        <v/>
      </c>
      <c r="J414" s="18" t="n"/>
      <c r="K414" s="18" t="n"/>
    </row>
    <row r="415">
      <c r="A415" s="22" t="n"/>
      <c r="B415" s="35">
        <f>IF(A415="","",VALUE(LEFT(A415,4)))</f>
        <v/>
      </c>
      <c r="C415" s="36">
        <f>IF(A415="","",VALUE(RIGHT(A415,2)))</f>
        <v/>
      </c>
      <c r="D415" s="22" t="n"/>
      <c r="E415" s="22" t="n"/>
      <c r="F415" s="42" t="n"/>
      <c r="G415" s="42" t="n"/>
      <c r="H415" s="42" t="n"/>
      <c r="I415" s="43">
        <f>IF(AND(F415&lt;&gt;"",G415&lt;&gt;"",H415&lt;&gt;""),F415+G415-H415,"")</f>
        <v/>
      </c>
      <c r="J415" s="22" t="n"/>
      <c r="K415" s="22" t="n"/>
    </row>
    <row r="416">
      <c r="A416" s="18" t="n"/>
      <c r="B416" s="35">
        <f>IF(A416="","",VALUE(LEFT(A416,4)))</f>
        <v/>
      </c>
      <c r="C416" s="36">
        <f>IF(A416="","",VALUE(RIGHT(A416,2)))</f>
        <v/>
      </c>
      <c r="D416" s="18" t="n"/>
      <c r="E416" s="18" t="n"/>
      <c r="F416" s="38" t="n"/>
      <c r="G416" s="38" t="n"/>
      <c r="H416" s="38" t="n"/>
      <c r="I416" s="43">
        <f>IF(AND(F416&lt;&gt;"",G416&lt;&gt;"",H416&lt;&gt;""),F416+G416-H416,"")</f>
        <v/>
      </c>
      <c r="J416" s="18" t="n"/>
      <c r="K416" s="18" t="n"/>
    </row>
    <row r="417">
      <c r="A417" s="22" t="n"/>
      <c r="B417" s="35">
        <f>IF(A417="","",VALUE(LEFT(A417,4)))</f>
        <v/>
      </c>
      <c r="C417" s="36">
        <f>IF(A417="","",VALUE(RIGHT(A417,2)))</f>
        <v/>
      </c>
      <c r="D417" s="22" t="n"/>
      <c r="E417" s="22" t="n"/>
      <c r="F417" s="42" t="n"/>
      <c r="G417" s="42" t="n"/>
      <c r="H417" s="42" t="n"/>
      <c r="I417" s="43">
        <f>IF(AND(F417&lt;&gt;"",G417&lt;&gt;"",H417&lt;&gt;""),F417+G417-H417,"")</f>
        <v/>
      </c>
      <c r="J417" s="22" t="n"/>
      <c r="K417" s="22" t="n"/>
    </row>
    <row r="418">
      <c r="A418" s="18" t="n"/>
      <c r="B418" s="35">
        <f>IF(A418="","",VALUE(LEFT(A418,4)))</f>
        <v/>
      </c>
      <c r="C418" s="36">
        <f>IF(A418="","",VALUE(RIGHT(A418,2)))</f>
        <v/>
      </c>
      <c r="D418" s="18" t="n"/>
      <c r="E418" s="18" t="n"/>
      <c r="F418" s="38" t="n"/>
      <c r="G418" s="38" t="n"/>
      <c r="H418" s="38" t="n"/>
      <c r="I418" s="43">
        <f>IF(AND(F418&lt;&gt;"",G418&lt;&gt;"",H418&lt;&gt;""),F418+G418-H418,"")</f>
        <v/>
      </c>
      <c r="J418" s="18" t="n"/>
      <c r="K418" s="18" t="n"/>
    </row>
    <row r="419">
      <c r="A419" s="22" t="n"/>
      <c r="B419" s="35">
        <f>IF(A419="","",VALUE(LEFT(A419,4)))</f>
        <v/>
      </c>
      <c r="C419" s="36">
        <f>IF(A419="","",VALUE(RIGHT(A419,2)))</f>
        <v/>
      </c>
      <c r="D419" s="22" t="n"/>
      <c r="E419" s="22" t="n"/>
      <c r="F419" s="42" t="n"/>
      <c r="G419" s="42" t="n"/>
      <c r="H419" s="42" t="n"/>
      <c r="I419" s="43">
        <f>IF(AND(F419&lt;&gt;"",G419&lt;&gt;"",H419&lt;&gt;""),F419+G419-H419,"")</f>
        <v/>
      </c>
      <c r="J419" s="22" t="n"/>
      <c r="K419" s="22" t="n"/>
    </row>
    <row r="420">
      <c r="A420" s="18" t="n"/>
      <c r="B420" s="35">
        <f>IF(A420="","",VALUE(LEFT(A420,4)))</f>
        <v/>
      </c>
      <c r="C420" s="36">
        <f>IF(A420="","",VALUE(RIGHT(A420,2)))</f>
        <v/>
      </c>
      <c r="D420" s="18" t="n"/>
      <c r="E420" s="18" t="n"/>
      <c r="F420" s="38" t="n"/>
      <c r="G420" s="38" t="n"/>
      <c r="H420" s="38" t="n"/>
      <c r="I420" s="43">
        <f>IF(AND(F420&lt;&gt;"",G420&lt;&gt;"",H420&lt;&gt;""),F420+G420-H420,"")</f>
        <v/>
      </c>
      <c r="J420" s="18" t="n"/>
      <c r="K420" s="18" t="n"/>
    </row>
    <row r="421">
      <c r="A421" s="22" t="n"/>
      <c r="B421" s="35">
        <f>IF(A421="","",VALUE(LEFT(A421,4)))</f>
        <v/>
      </c>
      <c r="C421" s="36">
        <f>IF(A421="","",VALUE(RIGHT(A421,2)))</f>
        <v/>
      </c>
      <c r="D421" s="22" t="n"/>
      <c r="E421" s="22" t="n"/>
      <c r="F421" s="42" t="n"/>
      <c r="G421" s="42" t="n"/>
      <c r="H421" s="42" t="n"/>
      <c r="I421" s="43">
        <f>IF(AND(F421&lt;&gt;"",G421&lt;&gt;"",H421&lt;&gt;""),F421+G421-H421,"")</f>
        <v/>
      </c>
      <c r="J421" s="22" t="n"/>
      <c r="K421" s="22" t="n"/>
    </row>
    <row r="422">
      <c r="A422" s="18" t="n"/>
      <c r="B422" s="35">
        <f>IF(A422="","",VALUE(LEFT(A422,4)))</f>
        <v/>
      </c>
      <c r="C422" s="36">
        <f>IF(A422="","",VALUE(RIGHT(A422,2)))</f>
        <v/>
      </c>
      <c r="D422" s="18" t="n"/>
      <c r="E422" s="18" t="n"/>
      <c r="F422" s="38" t="n"/>
      <c r="G422" s="38" t="n"/>
      <c r="H422" s="38" t="n"/>
      <c r="I422" s="43">
        <f>IF(AND(F422&lt;&gt;"",G422&lt;&gt;"",H422&lt;&gt;""),F422+G422-H422,"")</f>
        <v/>
      </c>
      <c r="J422" s="18" t="n"/>
      <c r="K422" s="18" t="n"/>
    </row>
    <row r="423">
      <c r="A423" s="22" t="n"/>
      <c r="B423" s="35">
        <f>IF(A423="","",VALUE(LEFT(A423,4)))</f>
        <v/>
      </c>
      <c r="C423" s="36">
        <f>IF(A423="","",VALUE(RIGHT(A423,2)))</f>
        <v/>
      </c>
      <c r="D423" s="22" t="n"/>
      <c r="E423" s="22" t="n"/>
      <c r="F423" s="42" t="n"/>
      <c r="G423" s="42" t="n"/>
      <c r="H423" s="42" t="n"/>
      <c r="I423" s="43">
        <f>IF(AND(F423&lt;&gt;"",G423&lt;&gt;"",H423&lt;&gt;""),F423+G423-H423,"")</f>
        <v/>
      </c>
      <c r="J423" s="22" t="n"/>
      <c r="K423" s="22" t="n"/>
    </row>
    <row r="424">
      <c r="A424" s="18" t="n"/>
      <c r="B424" s="35">
        <f>IF(A424="","",VALUE(LEFT(A424,4)))</f>
        <v/>
      </c>
      <c r="C424" s="36">
        <f>IF(A424="","",VALUE(RIGHT(A424,2)))</f>
        <v/>
      </c>
      <c r="D424" s="18" t="n"/>
      <c r="E424" s="18" t="n"/>
      <c r="F424" s="38" t="n"/>
      <c r="G424" s="38" t="n"/>
      <c r="H424" s="38" t="n"/>
      <c r="I424" s="43">
        <f>IF(AND(F424&lt;&gt;"",G424&lt;&gt;"",H424&lt;&gt;""),F424+G424-H424,"")</f>
        <v/>
      </c>
      <c r="J424" s="18" t="n"/>
      <c r="K424" s="18" t="n"/>
    </row>
    <row r="425">
      <c r="A425" s="22" t="n"/>
      <c r="B425" s="35">
        <f>IF(A425="","",VALUE(LEFT(A425,4)))</f>
        <v/>
      </c>
      <c r="C425" s="36">
        <f>IF(A425="","",VALUE(RIGHT(A425,2)))</f>
        <v/>
      </c>
      <c r="D425" s="22" t="n"/>
      <c r="E425" s="22" t="n"/>
      <c r="F425" s="42" t="n"/>
      <c r="G425" s="42" t="n"/>
      <c r="H425" s="42" t="n"/>
      <c r="I425" s="43">
        <f>IF(AND(F425&lt;&gt;"",G425&lt;&gt;"",H425&lt;&gt;""),F425+G425-H425,"")</f>
        <v/>
      </c>
      <c r="J425" s="22" t="n"/>
      <c r="K425" s="22" t="n"/>
    </row>
    <row r="426">
      <c r="A426" s="18" t="n"/>
      <c r="B426" s="35">
        <f>IF(A426="","",VALUE(LEFT(A426,4)))</f>
        <v/>
      </c>
      <c r="C426" s="36">
        <f>IF(A426="","",VALUE(RIGHT(A426,2)))</f>
        <v/>
      </c>
      <c r="D426" s="18" t="n"/>
      <c r="E426" s="18" t="n"/>
      <c r="F426" s="38" t="n"/>
      <c r="G426" s="38" t="n"/>
      <c r="H426" s="38" t="n"/>
      <c r="I426" s="43">
        <f>IF(AND(F426&lt;&gt;"",G426&lt;&gt;"",H426&lt;&gt;""),F426+G426-H426,"")</f>
        <v/>
      </c>
      <c r="J426" s="18" t="n"/>
      <c r="K426" s="18" t="n"/>
    </row>
    <row r="427">
      <c r="A427" s="22" t="n"/>
      <c r="B427" s="35">
        <f>IF(A427="","",VALUE(LEFT(A427,4)))</f>
        <v/>
      </c>
      <c r="C427" s="36">
        <f>IF(A427="","",VALUE(RIGHT(A427,2)))</f>
        <v/>
      </c>
      <c r="D427" s="22" t="n"/>
      <c r="E427" s="22" t="n"/>
      <c r="F427" s="42" t="n"/>
      <c r="G427" s="42" t="n"/>
      <c r="H427" s="42" t="n"/>
      <c r="I427" s="43">
        <f>IF(AND(F427&lt;&gt;"",G427&lt;&gt;"",H427&lt;&gt;""),F427+G427-H427,"")</f>
        <v/>
      </c>
      <c r="J427" s="22" t="n"/>
      <c r="K427" s="22" t="n"/>
    </row>
    <row r="428">
      <c r="A428" s="18" t="n"/>
      <c r="B428" s="35">
        <f>IF(A428="","",VALUE(LEFT(A428,4)))</f>
        <v/>
      </c>
      <c r="C428" s="36">
        <f>IF(A428="","",VALUE(RIGHT(A428,2)))</f>
        <v/>
      </c>
      <c r="D428" s="18" t="n"/>
      <c r="E428" s="18" t="n"/>
      <c r="F428" s="38" t="n"/>
      <c r="G428" s="38" t="n"/>
      <c r="H428" s="38" t="n"/>
      <c r="I428" s="43">
        <f>IF(AND(F428&lt;&gt;"",G428&lt;&gt;"",H428&lt;&gt;""),F428+G428-H428,"")</f>
        <v/>
      </c>
      <c r="J428" s="18" t="n"/>
      <c r="K428" s="18" t="n"/>
    </row>
    <row r="429">
      <c r="A429" s="22" t="n"/>
      <c r="B429" s="35">
        <f>IF(A429="","",VALUE(LEFT(A429,4)))</f>
        <v/>
      </c>
      <c r="C429" s="36">
        <f>IF(A429="","",VALUE(RIGHT(A429,2)))</f>
        <v/>
      </c>
      <c r="D429" s="22" t="n"/>
      <c r="E429" s="22" t="n"/>
      <c r="F429" s="42" t="n"/>
      <c r="G429" s="42" t="n"/>
      <c r="H429" s="42" t="n"/>
      <c r="I429" s="43">
        <f>IF(AND(F429&lt;&gt;"",G429&lt;&gt;"",H429&lt;&gt;""),F429+G429-H429,"")</f>
        <v/>
      </c>
      <c r="J429" s="22" t="n"/>
      <c r="K429" s="22" t="n"/>
    </row>
    <row r="430">
      <c r="A430" s="18" t="n"/>
      <c r="B430" s="35">
        <f>IF(A430="","",VALUE(LEFT(A430,4)))</f>
        <v/>
      </c>
      <c r="C430" s="36">
        <f>IF(A430="","",VALUE(RIGHT(A430,2)))</f>
        <v/>
      </c>
      <c r="D430" s="18" t="n"/>
      <c r="E430" s="18" t="n"/>
      <c r="F430" s="38" t="n"/>
      <c r="G430" s="38" t="n"/>
      <c r="H430" s="38" t="n"/>
      <c r="I430" s="43">
        <f>IF(AND(F430&lt;&gt;"",G430&lt;&gt;"",H430&lt;&gt;""),F430+G430-H430,"")</f>
        <v/>
      </c>
      <c r="J430" s="18" t="n"/>
      <c r="K430" s="18" t="n"/>
    </row>
    <row r="431">
      <c r="A431" s="22" t="n"/>
      <c r="B431" s="35">
        <f>IF(A431="","",VALUE(LEFT(A431,4)))</f>
        <v/>
      </c>
      <c r="C431" s="36">
        <f>IF(A431="","",VALUE(RIGHT(A431,2)))</f>
        <v/>
      </c>
      <c r="D431" s="22" t="n"/>
      <c r="E431" s="22" t="n"/>
      <c r="F431" s="42" t="n"/>
      <c r="G431" s="42" t="n"/>
      <c r="H431" s="42" t="n"/>
      <c r="I431" s="43">
        <f>IF(AND(F431&lt;&gt;"",G431&lt;&gt;"",H431&lt;&gt;""),F431+G431-H431,"")</f>
        <v/>
      </c>
      <c r="J431" s="22" t="n"/>
      <c r="K431" s="22" t="n"/>
    </row>
    <row r="432">
      <c r="A432" s="18" t="n"/>
      <c r="B432" s="35">
        <f>IF(A432="","",VALUE(LEFT(A432,4)))</f>
        <v/>
      </c>
      <c r="C432" s="36">
        <f>IF(A432="","",VALUE(RIGHT(A432,2)))</f>
        <v/>
      </c>
      <c r="D432" s="18" t="n"/>
      <c r="E432" s="18" t="n"/>
      <c r="F432" s="38" t="n"/>
      <c r="G432" s="38" t="n"/>
      <c r="H432" s="38" t="n"/>
      <c r="I432" s="43">
        <f>IF(AND(F432&lt;&gt;"",G432&lt;&gt;"",H432&lt;&gt;""),F432+G432-H432,"")</f>
        <v/>
      </c>
      <c r="J432" s="18" t="n"/>
      <c r="K432" s="18" t="n"/>
    </row>
    <row r="433">
      <c r="A433" s="22" t="n"/>
      <c r="B433" s="35">
        <f>IF(A433="","",VALUE(LEFT(A433,4)))</f>
        <v/>
      </c>
      <c r="C433" s="36">
        <f>IF(A433="","",VALUE(RIGHT(A433,2)))</f>
        <v/>
      </c>
      <c r="D433" s="22" t="n"/>
      <c r="E433" s="22" t="n"/>
      <c r="F433" s="42" t="n"/>
      <c r="G433" s="42" t="n"/>
      <c r="H433" s="42" t="n"/>
      <c r="I433" s="43">
        <f>IF(AND(F433&lt;&gt;"",G433&lt;&gt;"",H433&lt;&gt;""),F433+G433-H433,"")</f>
        <v/>
      </c>
      <c r="J433" s="22" t="n"/>
      <c r="K433" s="22" t="n"/>
    </row>
    <row r="434">
      <c r="A434" s="18" t="n"/>
      <c r="B434" s="35">
        <f>IF(A434="","",VALUE(LEFT(A434,4)))</f>
        <v/>
      </c>
      <c r="C434" s="36">
        <f>IF(A434="","",VALUE(RIGHT(A434,2)))</f>
        <v/>
      </c>
      <c r="D434" s="18" t="n"/>
      <c r="E434" s="18" t="n"/>
      <c r="F434" s="38" t="n"/>
      <c r="G434" s="38" t="n"/>
      <c r="H434" s="38" t="n"/>
      <c r="I434" s="43">
        <f>IF(AND(F434&lt;&gt;"",G434&lt;&gt;"",H434&lt;&gt;""),F434+G434-H434,"")</f>
        <v/>
      </c>
      <c r="J434" s="18" t="n"/>
      <c r="K434" s="18" t="n"/>
    </row>
    <row r="435">
      <c r="A435" s="22" t="n"/>
      <c r="B435" s="35">
        <f>IF(A435="","",VALUE(LEFT(A435,4)))</f>
        <v/>
      </c>
      <c r="C435" s="36">
        <f>IF(A435="","",VALUE(RIGHT(A435,2)))</f>
        <v/>
      </c>
      <c r="D435" s="22" t="n"/>
      <c r="E435" s="22" t="n"/>
      <c r="F435" s="42" t="n"/>
      <c r="G435" s="42" t="n"/>
      <c r="H435" s="42" t="n"/>
      <c r="I435" s="43">
        <f>IF(AND(F435&lt;&gt;"",G435&lt;&gt;"",H435&lt;&gt;""),F435+G435-H435,"")</f>
        <v/>
      </c>
      <c r="J435" s="22" t="n"/>
      <c r="K435" s="22" t="n"/>
    </row>
    <row r="436">
      <c r="A436" s="18" t="n"/>
      <c r="B436" s="35">
        <f>IF(A436="","",VALUE(LEFT(A436,4)))</f>
        <v/>
      </c>
      <c r="C436" s="36">
        <f>IF(A436="","",VALUE(RIGHT(A436,2)))</f>
        <v/>
      </c>
      <c r="D436" s="18" t="n"/>
      <c r="E436" s="18" t="n"/>
      <c r="F436" s="38" t="n"/>
      <c r="G436" s="38" t="n"/>
      <c r="H436" s="38" t="n"/>
      <c r="I436" s="43">
        <f>IF(AND(F436&lt;&gt;"",G436&lt;&gt;"",H436&lt;&gt;""),F436+G436-H436,"")</f>
        <v/>
      </c>
      <c r="J436" s="18" t="n"/>
      <c r="K436" s="18" t="n"/>
    </row>
    <row r="437">
      <c r="A437" s="22" t="n"/>
      <c r="B437" s="35">
        <f>IF(A437="","",VALUE(LEFT(A437,4)))</f>
        <v/>
      </c>
      <c r="C437" s="36">
        <f>IF(A437="","",VALUE(RIGHT(A437,2)))</f>
        <v/>
      </c>
      <c r="D437" s="22" t="n"/>
      <c r="E437" s="22" t="n"/>
      <c r="F437" s="42" t="n"/>
      <c r="G437" s="42" t="n"/>
      <c r="H437" s="42" t="n"/>
      <c r="I437" s="43">
        <f>IF(AND(F437&lt;&gt;"",G437&lt;&gt;"",H437&lt;&gt;""),F437+G437-H437,"")</f>
        <v/>
      </c>
      <c r="J437" s="22" t="n"/>
      <c r="K437" s="22" t="n"/>
    </row>
    <row r="438">
      <c r="A438" s="18" t="n"/>
      <c r="B438" s="35">
        <f>IF(A438="","",VALUE(LEFT(A438,4)))</f>
        <v/>
      </c>
      <c r="C438" s="36">
        <f>IF(A438="","",VALUE(RIGHT(A438,2)))</f>
        <v/>
      </c>
      <c r="D438" s="18" t="n"/>
      <c r="E438" s="18" t="n"/>
      <c r="F438" s="38" t="n"/>
      <c r="G438" s="38" t="n"/>
      <c r="H438" s="38" t="n"/>
      <c r="I438" s="43">
        <f>IF(AND(F438&lt;&gt;"",G438&lt;&gt;"",H438&lt;&gt;""),F438+G438-H438,"")</f>
        <v/>
      </c>
      <c r="J438" s="18" t="n"/>
      <c r="K438" s="18" t="n"/>
    </row>
    <row r="439">
      <c r="A439" s="22" t="n"/>
      <c r="B439" s="35">
        <f>IF(A439="","",VALUE(LEFT(A439,4)))</f>
        <v/>
      </c>
      <c r="C439" s="36">
        <f>IF(A439="","",VALUE(RIGHT(A439,2)))</f>
        <v/>
      </c>
      <c r="D439" s="22" t="n"/>
      <c r="E439" s="22" t="n"/>
      <c r="F439" s="42" t="n"/>
      <c r="G439" s="42" t="n"/>
      <c r="H439" s="42" t="n"/>
      <c r="I439" s="43">
        <f>IF(AND(F439&lt;&gt;"",G439&lt;&gt;"",H439&lt;&gt;""),F439+G439-H439,"")</f>
        <v/>
      </c>
      <c r="J439" s="22" t="n"/>
      <c r="K439" s="22" t="n"/>
    </row>
    <row r="440">
      <c r="A440" s="18" t="n"/>
      <c r="B440" s="35">
        <f>IF(A440="","",VALUE(LEFT(A440,4)))</f>
        <v/>
      </c>
      <c r="C440" s="36">
        <f>IF(A440="","",VALUE(RIGHT(A440,2)))</f>
        <v/>
      </c>
      <c r="D440" s="18" t="n"/>
      <c r="E440" s="18" t="n"/>
      <c r="F440" s="38" t="n"/>
      <c r="G440" s="38" t="n"/>
      <c r="H440" s="38" t="n"/>
      <c r="I440" s="43">
        <f>IF(AND(F440&lt;&gt;"",G440&lt;&gt;"",H440&lt;&gt;""),F440+G440-H440,"")</f>
        <v/>
      </c>
      <c r="J440" s="18" t="n"/>
      <c r="K440" s="18" t="n"/>
    </row>
    <row r="441">
      <c r="A441" s="22" t="n"/>
      <c r="B441" s="35">
        <f>IF(A441="","",VALUE(LEFT(A441,4)))</f>
        <v/>
      </c>
      <c r="C441" s="36">
        <f>IF(A441="","",VALUE(RIGHT(A441,2)))</f>
        <v/>
      </c>
      <c r="D441" s="22" t="n"/>
      <c r="E441" s="22" t="n"/>
      <c r="F441" s="42" t="n"/>
      <c r="G441" s="42" t="n"/>
      <c r="H441" s="42" t="n"/>
      <c r="I441" s="43">
        <f>IF(AND(F441&lt;&gt;"",G441&lt;&gt;"",H441&lt;&gt;""),F441+G441-H441,"")</f>
        <v/>
      </c>
      <c r="J441" s="22" t="n"/>
      <c r="K441" s="22" t="n"/>
    </row>
    <row r="442">
      <c r="A442" s="18" t="n"/>
      <c r="B442" s="35">
        <f>IF(A442="","",VALUE(LEFT(A442,4)))</f>
        <v/>
      </c>
      <c r="C442" s="36">
        <f>IF(A442="","",VALUE(RIGHT(A442,2)))</f>
        <v/>
      </c>
      <c r="D442" s="18" t="n"/>
      <c r="E442" s="18" t="n"/>
      <c r="F442" s="38" t="n"/>
      <c r="G442" s="38" t="n"/>
      <c r="H442" s="38" t="n"/>
      <c r="I442" s="43">
        <f>IF(AND(F442&lt;&gt;"",G442&lt;&gt;"",H442&lt;&gt;""),F442+G442-H442,"")</f>
        <v/>
      </c>
      <c r="J442" s="18" t="n"/>
      <c r="K442" s="18" t="n"/>
    </row>
    <row r="443">
      <c r="A443" s="22" t="n"/>
      <c r="B443" s="35">
        <f>IF(A443="","",VALUE(LEFT(A443,4)))</f>
        <v/>
      </c>
      <c r="C443" s="36">
        <f>IF(A443="","",VALUE(RIGHT(A443,2)))</f>
        <v/>
      </c>
      <c r="D443" s="22" t="n"/>
      <c r="E443" s="22" t="n"/>
      <c r="F443" s="42" t="n"/>
      <c r="G443" s="42" t="n"/>
      <c r="H443" s="42" t="n"/>
      <c r="I443" s="43">
        <f>IF(AND(F443&lt;&gt;"",G443&lt;&gt;"",H443&lt;&gt;""),F443+G443-H443,"")</f>
        <v/>
      </c>
      <c r="J443" s="22" t="n"/>
      <c r="K443" s="22" t="n"/>
    </row>
    <row r="444">
      <c r="A444" s="18" t="n"/>
      <c r="B444" s="35">
        <f>IF(A444="","",VALUE(LEFT(A444,4)))</f>
        <v/>
      </c>
      <c r="C444" s="36">
        <f>IF(A444="","",VALUE(RIGHT(A444,2)))</f>
        <v/>
      </c>
      <c r="D444" s="18" t="n"/>
      <c r="E444" s="18" t="n"/>
      <c r="F444" s="38" t="n"/>
      <c r="G444" s="38" t="n"/>
      <c r="H444" s="38" t="n"/>
      <c r="I444" s="43">
        <f>IF(AND(F444&lt;&gt;"",G444&lt;&gt;"",H444&lt;&gt;""),F444+G444-H444,"")</f>
        <v/>
      </c>
      <c r="J444" s="18" t="n"/>
      <c r="K444" s="18" t="n"/>
    </row>
    <row r="445">
      <c r="A445" s="22" t="n"/>
      <c r="B445" s="35">
        <f>IF(A445="","",VALUE(LEFT(A445,4)))</f>
        <v/>
      </c>
      <c r="C445" s="36">
        <f>IF(A445="","",VALUE(RIGHT(A445,2)))</f>
        <v/>
      </c>
      <c r="D445" s="22" t="n"/>
      <c r="E445" s="22" t="n"/>
      <c r="F445" s="42" t="n"/>
      <c r="G445" s="42" t="n"/>
      <c r="H445" s="42" t="n"/>
      <c r="I445" s="43">
        <f>IF(AND(F445&lt;&gt;"",G445&lt;&gt;"",H445&lt;&gt;""),F445+G445-H445,"")</f>
        <v/>
      </c>
      <c r="J445" s="22" t="n"/>
      <c r="K445" s="22" t="n"/>
    </row>
    <row r="446">
      <c r="A446" s="18" t="n"/>
      <c r="B446" s="35">
        <f>IF(A446="","",VALUE(LEFT(A446,4)))</f>
        <v/>
      </c>
      <c r="C446" s="36">
        <f>IF(A446="","",VALUE(RIGHT(A446,2)))</f>
        <v/>
      </c>
      <c r="D446" s="18" t="n"/>
      <c r="E446" s="18" t="n"/>
      <c r="F446" s="38" t="n"/>
      <c r="G446" s="38" t="n"/>
      <c r="H446" s="38" t="n"/>
      <c r="I446" s="43">
        <f>IF(AND(F446&lt;&gt;"",G446&lt;&gt;"",H446&lt;&gt;""),F446+G446-H446,"")</f>
        <v/>
      </c>
      <c r="J446" s="18" t="n"/>
      <c r="K446" s="18" t="n"/>
    </row>
    <row r="447">
      <c r="A447" s="22" t="n"/>
      <c r="B447" s="35">
        <f>IF(A447="","",VALUE(LEFT(A447,4)))</f>
        <v/>
      </c>
      <c r="C447" s="36">
        <f>IF(A447="","",VALUE(RIGHT(A447,2)))</f>
        <v/>
      </c>
      <c r="D447" s="22" t="n"/>
      <c r="E447" s="22" t="n"/>
      <c r="F447" s="42" t="n"/>
      <c r="G447" s="42" t="n"/>
      <c r="H447" s="42" t="n"/>
      <c r="I447" s="43">
        <f>IF(AND(F447&lt;&gt;"",G447&lt;&gt;"",H447&lt;&gt;""),F447+G447-H447,"")</f>
        <v/>
      </c>
      <c r="J447" s="22" t="n"/>
      <c r="K447" s="22" t="n"/>
    </row>
    <row r="448">
      <c r="A448" s="18" t="n"/>
      <c r="B448" s="35">
        <f>IF(A448="","",VALUE(LEFT(A448,4)))</f>
        <v/>
      </c>
      <c r="C448" s="36">
        <f>IF(A448="","",VALUE(RIGHT(A448,2)))</f>
        <v/>
      </c>
      <c r="D448" s="18" t="n"/>
      <c r="E448" s="18" t="n"/>
      <c r="F448" s="38" t="n"/>
      <c r="G448" s="38" t="n"/>
      <c r="H448" s="38" t="n"/>
      <c r="I448" s="43">
        <f>IF(AND(F448&lt;&gt;"",G448&lt;&gt;"",H448&lt;&gt;""),F448+G448-H448,"")</f>
        <v/>
      </c>
      <c r="J448" s="18" t="n"/>
      <c r="K448" s="18" t="n"/>
    </row>
    <row r="449">
      <c r="A449" s="22" t="n"/>
      <c r="B449" s="35">
        <f>IF(A449="","",VALUE(LEFT(A449,4)))</f>
        <v/>
      </c>
      <c r="C449" s="36">
        <f>IF(A449="","",VALUE(RIGHT(A449,2)))</f>
        <v/>
      </c>
      <c r="D449" s="22" t="n"/>
      <c r="E449" s="22" t="n"/>
      <c r="F449" s="42" t="n"/>
      <c r="G449" s="42" t="n"/>
      <c r="H449" s="42" t="n"/>
      <c r="I449" s="43">
        <f>IF(AND(F449&lt;&gt;"",G449&lt;&gt;"",H449&lt;&gt;""),F449+G449-H449,"")</f>
        <v/>
      </c>
      <c r="J449" s="22" t="n"/>
      <c r="K449" s="22" t="n"/>
    </row>
    <row r="450">
      <c r="A450" s="18" t="n"/>
      <c r="B450" s="35">
        <f>IF(A450="","",VALUE(LEFT(A450,4)))</f>
        <v/>
      </c>
      <c r="C450" s="36">
        <f>IF(A450="","",VALUE(RIGHT(A450,2)))</f>
        <v/>
      </c>
      <c r="D450" s="18" t="n"/>
      <c r="E450" s="18" t="n"/>
      <c r="F450" s="38" t="n"/>
      <c r="G450" s="38" t="n"/>
      <c r="H450" s="38" t="n"/>
      <c r="I450" s="43">
        <f>IF(AND(F450&lt;&gt;"",G450&lt;&gt;"",H450&lt;&gt;""),F450+G450-H450,"")</f>
        <v/>
      </c>
      <c r="J450" s="18" t="n"/>
      <c r="K450" s="18" t="n"/>
    </row>
    <row r="451">
      <c r="A451" s="22" t="n"/>
      <c r="B451" s="35">
        <f>IF(A451="","",VALUE(LEFT(A451,4)))</f>
        <v/>
      </c>
      <c r="C451" s="36">
        <f>IF(A451="","",VALUE(RIGHT(A451,2)))</f>
        <v/>
      </c>
      <c r="D451" s="22" t="n"/>
      <c r="E451" s="22" t="n"/>
      <c r="F451" s="42" t="n"/>
      <c r="G451" s="42" t="n"/>
      <c r="H451" s="42" t="n"/>
      <c r="I451" s="43">
        <f>IF(AND(F451&lt;&gt;"",G451&lt;&gt;"",H451&lt;&gt;""),F451+G451-H451,"")</f>
        <v/>
      </c>
      <c r="J451" s="22" t="n"/>
      <c r="K451" s="22" t="n"/>
    </row>
    <row r="452">
      <c r="A452" s="18" t="n"/>
      <c r="B452" s="35">
        <f>IF(A452="","",VALUE(LEFT(A452,4)))</f>
        <v/>
      </c>
      <c r="C452" s="36">
        <f>IF(A452="","",VALUE(RIGHT(A452,2)))</f>
        <v/>
      </c>
      <c r="D452" s="18" t="n"/>
      <c r="E452" s="18" t="n"/>
      <c r="F452" s="38" t="n"/>
      <c r="G452" s="38" t="n"/>
      <c r="H452" s="38" t="n"/>
      <c r="I452" s="43">
        <f>IF(AND(F452&lt;&gt;"",G452&lt;&gt;"",H452&lt;&gt;""),F452+G452-H452,"")</f>
        <v/>
      </c>
      <c r="J452" s="18" t="n"/>
      <c r="K452" s="18" t="n"/>
    </row>
    <row r="453">
      <c r="A453" s="22" t="n"/>
      <c r="B453" s="35">
        <f>IF(A453="","",VALUE(LEFT(A453,4)))</f>
        <v/>
      </c>
      <c r="C453" s="36">
        <f>IF(A453="","",VALUE(RIGHT(A453,2)))</f>
        <v/>
      </c>
      <c r="D453" s="22" t="n"/>
      <c r="E453" s="22" t="n"/>
      <c r="F453" s="42" t="n"/>
      <c r="G453" s="42" t="n"/>
      <c r="H453" s="42" t="n"/>
      <c r="I453" s="43">
        <f>IF(AND(F453&lt;&gt;"",G453&lt;&gt;"",H453&lt;&gt;""),F453+G453-H453,"")</f>
        <v/>
      </c>
      <c r="J453" s="22" t="n"/>
      <c r="K453" s="22" t="n"/>
    </row>
    <row r="454">
      <c r="A454" s="18" t="n"/>
      <c r="B454" s="35">
        <f>IF(A454="","",VALUE(LEFT(A454,4)))</f>
        <v/>
      </c>
      <c r="C454" s="36">
        <f>IF(A454="","",VALUE(RIGHT(A454,2)))</f>
        <v/>
      </c>
      <c r="D454" s="18" t="n"/>
      <c r="E454" s="18" t="n"/>
      <c r="F454" s="38" t="n"/>
      <c r="G454" s="38" t="n"/>
      <c r="H454" s="38" t="n"/>
      <c r="I454" s="43">
        <f>IF(AND(F454&lt;&gt;"",G454&lt;&gt;"",H454&lt;&gt;""),F454+G454-H454,"")</f>
        <v/>
      </c>
      <c r="J454" s="18" t="n"/>
      <c r="K454" s="18" t="n"/>
    </row>
    <row r="455">
      <c r="A455" s="22" t="n"/>
      <c r="B455" s="35">
        <f>IF(A455="","",VALUE(LEFT(A455,4)))</f>
        <v/>
      </c>
      <c r="C455" s="36">
        <f>IF(A455="","",VALUE(RIGHT(A455,2)))</f>
        <v/>
      </c>
      <c r="D455" s="22" t="n"/>
      <c r="E455" s="22" t="n"/>
      <c r="F455" s="42" t="n"/>
      <c r="G455" s="42" t="n"/>
      <c r="H455" s="42" t="n"/>
      <c r="I455" s="43">
        <f>IF(AND(F455&lt;&gt;"",G455&lt;&gt;"",H455&lt;&gt;""),F455+G455-H455,"")</f>
        <v/>
      </c>
      <c r="J455" s="22" t="n"/>
      <c r="K455" s="22" t="n"/>
    </row>
    <row r="456">
      <c r="A456" s="18" t="n"/>
      <c r="B456" s="35">
        <f>IF(A456="","",VALUE(LEFT(A456,4)))</f>
        <v/>
      </c>
      <c r="C456" s="36">
        <f>IF(A456="","",VALUE(RIGHT(A456,2)))</f>
        <v/>
      </c>
      <c r="D456" s="18" t="n"/>
      <c r="E456" s="18" t="n"/>
      <c r="F456" s="38" t="n"/>
      <c r="G456" s="38" t="n"/>
      <c r="H456" s="38" t="n"/>
      <c r="I456" s="43">
        <f>IF(AND(F456&lt;&gt;"",G456&lt;&gt;"",H456&lt;&gt;""),F456+G456-H456,"")</f>
        <v/>
      </c>
      <c r="J456" s="18" t="n"/>
      <c r="K456" s="18" t="n"/>
    </row>
    <row r="457">
      <c r="A457" s="22" t="n"/>
      <c r="B457" s="35">
        <f>IF(A457="","",VALUE(LEFT(A457,4)))</f>
        <v/>
      </c>
      <c r="C457" s="36">
        <f>IF(A457="","",VALUE(RIGHT(A457,2)))</f>
        <v/>
      </c>
      <c r="D457" s="22" t="n"/>
      <c r="E457" s="22" t="n"/>
      <c r="F457" s="42" t="n"/>
      <c r="G457" s="42" t="n"/>
      <c r="H457" s="42" t="n"/>
      <c r="I457" s="43">
        <f>IF(AND(F457&lt;&gt;"",G457&lt;&gt;"",H457&lt;&gt;""),F457+G457-H457,"")</f>
        <v/>
      </c>
      <c r="J457" s="22" t="n"/>
      <c r="K457" s="22" t="n"/>
    </row>
    <row r="458">
      <c r="A458" s="18" t="n"/>
      <c r="B458" s="35">
        <f>IF(A458="","",VALUE(LEFT(A458,4)))</f>
        <v/>
      </c>
      <c r="C458" s="36">
        <f>IF(A458="","",VALUE(RIGHT(A458,2)))</f>
        <v/>
      </c>
      <c r="D458" s="18" t="n"/>
      <c r="E458" s="18" t="n"/>
      <c r="F458" s="38" t="n"/>
      <c r="G458" s="38" t="n"/>
      <c r="H458" s="38" t="n"/>
      <c r="I458" s="43">
        <f>IF(AND(F458&lt;&gt;"",G458&lt;&gt;"",H458&lt;&gt;""),F458+G458-H458,"")</f>
        <v/>
      </c>
      <c r="J458" s="18" t="n"/>
      <c r="K458" s="18" t="n"/>
    </row>
    <row r="459">
      <c r="A459" s="22" t="n"/>
      <c r="B459" s="35">
        <f>IF(A459="","",VALUE(LEFT(A459,4)))</f>
        <v/>
      </c>
      <c r="C459" s="36">
        <f>IF(A459="","",VALUE(RIGHT(A459,2)))</f>
        <v/>
      </c>
      <c r="D459" s="22" t="n"/>
      <c r="E459" s="22" t="n"/>
      <c r="F459" s="42" t="n"/>
      <c r="G459" s="42" t="n"/>
      <c r="H459" s="42" t="n"/>
      <c r="I459" s="43">
        <f>IF(AND(F459&lt;&gt;"",G459&lt;&gt;"",H459&lt;&gt;""),F459+G459-H459,"")</f>
        <v/>
      </c>
      <c r="J459" s="22" t="n"/>
      <c r="K459" s="22" t="n"/>
    </row>
    <row r="460">
      <c r="A460" s="18" t="n"/>
      <c r="B460" s="35">
        <f>IF(A460="","",VALUE(LEFT(A460,4)))</f>
        <v/>
      </c>
      <c r="C460" s="36">
        <f>IF(A460="","",VALUE(RIGHT(A460,2)))</f>
        <v/>
      </c>
      <c r="D460" s="18" t="n"/>
      <c r="E460" s="18" t="n"/>
      <c r="F460" s="38" t="n"/>
      <c r="G460" s="38" t="n"/>
      <c r="H460" s="38" t="n"/>
      <c r="I460" s="43">
        <f>IF(AND(F460&lt;&gt;"",G460&lt;&gt;"",H460&lt;&gt;""),F460+G460-H460,"")</f>
        <v/>
      </c>
      <c r="J460" s="18" t="n"/>
      <c r="K460" s="18" t="n"/>
    </row>
    <row r="461">
      <c r="A461" s="22" t="n"/>
      <c r="B461" s="35">
        <f>IF(A461="","",VALUE(LEFT(A461,4)))</f>
        <v/>
      </c>
      <c r="C461" s="36">
        <f>IF(A461="","",VALUE(RIGHT(A461,2)))</f>
        <v/>
      </c>
      <c r="D461" s="22" t="n"/>
      <c r="E461" s="22" t="n"/>
      <c r="F461" s="42" t="n"/>
      <c r="G461" s="42" t="n"/>
      <c r="H461" s="42" t="n"/>
      <c r="I461" s="43">
        <f>IF(AND(F461&lt;&gt;"",G461&lt;&gt;"",H461&lt;&gt;""),F461+G461-H461,"")</f>
        <v/>
      </c>
      <c r="J461" s="22" t="n"/>
      <c r="K461" s="22" t="n"/>
    </row>
    <row r="462">
      <c r="A462" s="18" t="n"/>
      <c r="B462" s="35">
        <f>IF(A462="","",VALUE(LEFT(A462,4)))</f>
        <v/>
      </c>
      <c r="C462" s="36">
        <f>IF(A462="","",VALUE(RIGHT(A462,2)))</f>
        <v/>
      </c>
      <c r="D462" s="18" t="n"/>
      <c r="E462" s="18" t="n"/>
      <c r="F462" s="38" t="n"/>
      <c r="G462" s="38" t="n"/>
      <c r="H462" s="38" t="n"/>
      <c r="I462" s="43">
        <f>IF(AND(F462&lt;&gt;"",G462&lt;&gt;"",H462&lt;&gt;""),F462+G462-H462,"")</f>
        <v/>
      </c>
      <c r="J462" s="18" t="n"/>
      <c r="K462" s="18" t="n"/>
    </row>
    <row r="463">
      <c r="A463" s="22" t="n"/>
      <c r="B463" s="35">
        <f>IF(A463="","",VALUE(LEFT(A463,4)))</f>
        <v/>
      </c>
      <c r="C463" s="36">
        <f>IF(A463="","",VALUE(RIGHT(A463,2)))</f>
        <v/>
      </c>
      <c r="D463" s="22" t="n"/>
      <c r="E463" s="22" t="n"/>
      <c r="F463" s="42" t="n"/>
      <c r="G463" s="42" t="n"/>
      <c r="H463" s="42" t="n"/>
      <c r="I463" s="43">
        <f>IF(AND(F463&lt;&gt;"",G463&lt;&gt;"",H463&lt;&gt;""),F463+G463-H463,"")</f>
        <v/>
      </c>
      <c r="J463" s="22" t="n"/>
      <c r="K463" s="22" t="n"/>
    </row>
    <row r="464">
      <c r="A464" s="18" t="n"/>
      <c r="B464" s="35">
        <f>IF(A464="","",VALUE(LEFT(A464,4)))</f>
        <v/>
      </c>
      <c r="C464" s="36">
        <f>IF(A464="","",VALUE(RIGHT(A464,2)))</f>
        <v/>
      </c>
      <c r="D464" s="18" t="n"/>
      <c r="E464" s="18" t="n"/>
      <c r="F464" s="38" t="n"/>
      <c r="G464" s="38" t="n"/>
      <c r="H464" s="38" t="n"/>
      <c r="I464" s="43">
        <f>IF(AND(F464&lt;&gt;"",G464&lt;&gt;"",H464&lt;&gt;""),F464+G464-H464,"")</f>
        <v/>
      </c>
      <c r="J464" s="18" t="n"/>
      <c r="K464" s="18" t="n"/>
    </row>
    <row r="465">
      <c r="A465" s="22" t="n"/>
      <c r="B465" s="35">
        <f>IF(A465="","",VALUE(LEFT(A465,4)))</f>
        <v/>
      </c>
      <c r="C465" s="36">
        <f>IF(A465="","",VALUE(RIGHT(A465,2)))</f>
        <v/>
      </c>
      <c r="D465" s="22" t="n"/>
      <c r="E465" s="22" t="n"/>
      <c r="F465" s="42" t="n"/>
      <c r="G465" s="42" t="n"/>
      <c r="H465" s="42" t="n"/>
      <c r="I465" s="43">
        <f>IF(AND(F465&lt;&gt;"",G465&lt;&gt;"",H465&lt;&gt;""),F465+G465-H465,"")</f>
        <v/>
      </c>
      <c r="J465" s="22" t="n"/>
      <c r="K465" s="22" t="n"/>
    </row>
    <row r="466">
      <c r="A466" s="18" t="n"/>
      <c r="B466" s="35">
        <f>IF(A466="","",VALUE(LEFT(A466,4)))</f>
        <v/>
      </c>
      <c r="C466" s="36">
        <f>IF(A466="","",VALUE(RIGHT(A466,2)))</f>
        <v/>
      </c>
      <c r="D466" s="18" t="n"/>
      <c r="E466" s="18" t="n"/>
      <c r="F466" s="38" t="n"/>
      <c r="G466" s="38" t="n"/>
      <c r="H466" s="38" t="n"/>
      <c r="I466" s="43">
        <f>IF(AND(F466&lt;&gt;"",G466&lt;&gt;"",H466&lt;&gt;""),F466+G466-H466,"")</f>
        <v/>
      </c>
      <c r="J466" s="18" t="n"/>
      <c r="K466" s="18" t="n"/>
    </row>
    <row r="467">
      <c r="A467" s="22" t="n"/>
      <c r="B467" s="35">
        <f>IF(A467="","",VALUE(LEFT(A467,4)))</f>
        <v/>
      </c>
      <c r="C467" s="36">
        <f>IF(A467="","",VALUE(RIGHT(A467,2)))</f>
        <v/>
      </c>
      <c r="D467" s="22" t="n"/>
      <c r="E467" s="22" t="n"/>
      <c r="F467" s="42" t="n"/>
      <c r="G467" s="42" t="n"/>
      <c r="H467" s="42" t="n"/>
      <c r="I467" s="43">
        <f>IF(AND(F467&lt;&gt;"",G467&lt;&gt;"",H467&lt;&gt;""),F467+G467-H467,"")</f>
        <v/>
      </c>
      <c r="J467" s="22" t="n"/>
      <c r="K467" s="22" t="n"/>
    </row>
    <row r="468">
      <c r="A468" s="18" t="n"/>
      <c r="B468" s="35">
        <f>IF(A468="","",VALUE(LEFT(A468,4)))</f>
        <v/>
      </c>
      <c r="C468" s="36">
        <f>IF(A468="","",VALUE(RIGHT(A468,2)))</f>
        <v/>
      </c>
      <c r="D468" s="18" t="n"/>
      <c r="E468" s="18" t="n"/>
      <c r="F468" s="38" t="n"/>
      <c r="G468" s="38" t="n"/>
      <c r="H468" s="38" t="n"/>
      <c r="I468" s="43">
        <f>IF(AND(F468&lt;&gt;"",G468&lt;&gt;"",H468&lt;&gt;""),F468+G468-H468,"")</f>
        <v/>
      </c>
      <c r="J468" s="18" t="n"/>
      <c r="K468" s="18" t="n"/>
    </row>
    <row r="469">
      <c r="A469" s="22" t="n"/>
      <c r="B469" s="35">
        <f>IF(A469="","",VALUE(LEFT(A469,4)))</f>
        <v/>
      </c>
      <c r="C469" s="36">
        <f>IF(A469="","",VALUE(RIGHT(A469,2)))</f>
        <v/>
      </c>
      <c r="D469" s="22" t="n"/>
      <c r="E469" s="22" t="n"/>
      <c r="F469" s="42" t="n"/>
      <c r="G469" s="42" t="n"/>
      <c r="H469" s="42" t="n"/>
      <c r="I469" s="43">
        <f>IF(AND(F469&lt;&gt;"",G469&lt;&gt;"",H469&lt;&gt;""),F469+G469-H469,"")</f>
        <v/>
      </c>
      <c r="J469" s="22" t="n"/>
      <c r="K469" s="22" t="n"/>
    </row>
    <row r="470">
      <c r="A470" s="18" t="n"/>
      <c r="B470" s="35">
        <f>IF(A470="","",VALUE(LEFT(A470,4)))</f>
        <v/>
      </c>
      <c r="C470" s="36">
        <f>IF(A470="","",VALUE(RIGHT(A470,2)))</f>
        <v/>
      </c>
      <c r="D470" s="18" t="n"/>
      <c r="E470" s="18" t="n"/>
      <c r="F470" s="38" t="n"/>
      <c r="G470" s="38" t="n"/>
      <c r="H470" s="38" t="n"/>
      <c r="I470" s="43">
        <f>IF(AND(F470&lt;&gt;"",G470&lt;&gt;"",H470&lt;&gt;""),F470+G470-H470,"")</f>
        <v/>
      </c>
      <c r="J470" s="18" t="n"/>
      <c r="K470" s="18" t="n"/>
    </row>
    <row r="471">
      <c r="A471" s="22" t="n"/>
      <c r="B471" s="35">
        <f>IF(A471="","",VALUE(LEFT(A471,4)))</f>
        <v/>
      </c>
      <c r="C471" s="36">
        <f>IF(A471="","",VALUE(RIGHT(A471,2)))</f>
        <v/>
      </c>
      <c r="D471" s="22" t="n"/>
      <c r="E471" s="22" t="n"/>
      <c r="F471" s="42" t="n"/>
      <c r="G471" s="42" t="n"/>
      <c r="H471" s="42" t="n"/>
      <c r="I471" s="43">
        <f>IF(AND(F471&lt;&gt;"",G471&lt;&gt;"",H471&lt;&gt;""),F471+G471-H471,"")</f>
        <v/>
      </c>
      <c r="J471" s="22" t="n"/>
      <c r="K471" s="22" t="n"/>
    </row>
    <row r="472">
      <c r="A472" s="18" t="n"/>
      <c r="B472" s="35">
        <f>IF(A472="","",VALUE(LEFT(A472,4)))</f>
        <v/>
      </c>
      <c r="C472" s="36">
        <f>IF(A472="","",VALUE(RIGHT(A472,2)))</f>
        <v/>
      </c>
      <c r="D472" s="18" t="n"/>
      <c r="E472" s="18" t="n"/>
      <c r="F472" s="38" t="n"/>
      <c r="G472" s="38" t="n"/>
      <c r="H472" s="38" t="n"/>
      <c r="I472" s="43">
        <f>IF(AND(F472&lt;&gt;"",G472&lt;&gt;"",H472&lt;&gt;""),F472+G472-H472,"")</f>
        <v/>
      </c>
      <c r="J472" s="18" t="n"/>
      <c r="K472" s="18" t="n"/>
    </row>
    <row r="473">
      <c r="A473" s="22" t="n"/>
      <c r="B473" s="35">
        <f>IF(A473="","",VALUE(LEFT(A473,4)))</f>
        <v/>
      </c>
      <c r="C473" s="36">
        <f>IF(A473="","",VALUE(RIGHT(A473,2)))</f>
        <v/>
      </c>
      <c r="D473" s="22" t="n"/>
      <c r="E473" s="22" t="n"/>
      <c r="F473" s="42" t="n"/>
      <c r="G473" s="42" t="n"/>
      <c r="H473" s="42" t="n"/>
      <c r="I473" s="43">
        <f>IF(AND(F473&lt;&gt;"",G473&lt;&gt;"",H473&lt;&gt;""),F473+G473-H473,"")</f>
        <v/>
      </c>
      <c r="J473" s="22" t="n"/>
      <c r="K473" s="22" t="n"/>
    </row>
    <row r="474">
      <c r="A474" s="18" t="n"/>
      <c r="B474" s="35">
        <f>IF(A474="","",VALUE(LEFT(A474,4)))</f>
        <v/>
      </c>
      <c r="C474" s="36">
        <f>IF(A474="","",VALUE(RIGHT(A474,2)))</f>
        <v/>
      </c>
      <c r="D474" s="18" t="n"/>
      <c r="E474" s="18" t="n"/>
      <c r="F474" s="38" t="n"/>
      <c r="G474" s="38" t="n"/>
      <c r="H474" s="38" t="n"/>
      <c r="I474" s="43">
        <f>IF(AND(F474&lt;&gt;"",G474&lt;&gt;"",H474&lt;&gt;""),F474+G474-H474,"")</f>
        <v/>
      </c>
      <c r="J474" s="18" t="n"/>
      <c r="K474" s="18" t="n"/>
    </row>
    <row r="475">
      <c r="A475" s="22" t="n"/>
      <c r="B475" s="35">
        <f>IF(A475="","",VALUE(LEFT(A475,4)))</f>
        <v/>
      </c>
      <c r="C475" s="36">
        <f>IF(A475="","",VALUE(RIGHT(A475,2)))</f>
        <v/>
      </c>
      <c r="D475" s="22" t="n"/>
      <c r="E475" s="22" t="n"/>
      <c r="F475" s="42" t="n"/>
      <c r="G475" s="42" t="n"/>
      <c r="H475" s="42" t="n"/>
      <c r="I475" s="43">
        <f>IF(AND(F475&lt;&gt;"",G475&lt;&gt;"",H475&lt;&gt;""),F475+G475-H475,"")</f>
        <v/>
      </c>
      <c r="J475" s="22" t="n"/>
      <c r="K475" s="22" t="n"/>
    </row>
    <row r="476">
      <c r="A476" s="18" t="n"/>
      <c r="B476" s="35">
        <f>IF(A476="","",VALUE(LEFT(A476,4)))</f>
        <v/>
      </c>
      <c r="C476" s="36">
        <f>IF(A476="","",VALUE(RIGHT(A476,2)))</f>
        <v/>
      </c>
      <c r="D476" s="18" t="n"/>
      <c r="E476" s="18" t="n"/>
      <c r="F476" s="38" t="n"/>
      <c r="G476" s="38" t="n"/>
      <c r="H476" s="38" t="n"/>
      <c r="I476" s="43">
        <f>IF(AND(F476&lt;&gt;"",G476&lt;&gt;"",H476&lt;&gt;""),F476+G476-H476,"")</f>
        <v/>
      </c>
      <c r="J476" s="18" t="n"/>
      <c r="K476" s="18" t="n"/>
    </row>
    <row r="477">
      <c r="A477" s="22" t="n"/>
      <c r="B477" s="35">
        <f>IF(A477="","",VALUE(LEFT(A477,4)))</f>
        <v/>
      </c>
      <c r="C477" s="36">
        <f>IF(A477="","",VALUE(RIGHT(A477,2)))</f>
        <v/>
      </c>
      <c r="D477" s="22" t="n"/>
      <c r="E477" s="22" t="n"/>
      <c r="F477" s="42" t="n"/>
      <c r="G477" s="42" t="n"/>
      <c r="H477" s="42" t="n"/>
      <c r="I477" s="43">
        <f>IF(AND(F477&lt;&gt;"",G477&lt;&gt;"",H477&lt;&gt;""),F477+G477-H477,"")</f>
        <v/>
      </c>
      <c r="J477" s="22" t="n"/>
      <c r="K477" s="22" t="n"/>
    </row>
    <row r="478">
      <c r="A478" s="18" t="n"/>
      <c r="B478" s="35">
        <f>IF(A478="","",VALUE(LEFT(A478,4)))</f>
        <v/>
      </c>
      <c r="C478" s="36">
        <f>IF(A478="","",VALUE(RIGHT(A478,2)))</f>
        <v/>
      </c>
      <c r="D478" s="18" t="n"/>
      <c r="E478" s="18" t="n"/>
      <c r="F478" s="38" t="n"/>
      <c r="G478" s="38" t="n"/>
      <c r="H478" s="38" t="n"/>
      <c r="I478" s="43">
        <f>IF(AND(F478&lt;&gt;"",G478&lt;&gt;"",H478&lt;&gt;""),F478+G478-H478,"")</f>
        <v/>
      </c>
      <c r="J478" s="18" t="n"/>
      <c r="K478" s="18" t="n"/>
    </row>
    <row r="479">
      <c r="A479" s="22" t="n"/>
      <c r="B479" s="35">
        <f>IF(A479="","",VALUE(LEFT(A479,4)))</f>
        <v/>
      </c>
      <c r="C479" s="36">
        <f>IF(A479="","",VALUE(RIGHT(A479,2)))</f>
        <v/>
      </c>
      <c r="D479" s="22" t="n"/>
      <c r="E479" s="22" t="n"/>
      <c r="F479" s="42" t="n"/>
      <c r="G479" s="42" t="n"/>
      <c r="H479" s="42" t="n"/>
      <c r="I479" s="43">
        <f>IF(AND(F479&lt;&gt;"",G479&lt;&gt;"",H479&lt;&gt;""),F479+G479-H479,"")</f>
        <v/>
      </c>
      <c r="J479" s="22" t="n"/>
      <c r="K479" s="22" t="n"/>
    </row>
    <row r="480">
      <c r="A480" s="18" t="n"/>
      <c r="B480" s="35">
        <f>IF(A480="","",VALUE(LEFT(A480,4)))</f>
        <v/>
      </c>
      <c r="C480" s="36">
        <f>IF(A480="","",VALUE(RIGHT(A480,2)))</f>
        <v/>
      </c>
      <c r="D480" s="18" t="n"/>
      <c r="E480" s="18" t="n"/>
      <c r="F480" s="38" t="n"/>
      <c r="G480" s="38" t="n"/>
      <c r="H480" s="38" t="n"/>
      <c r="I480" s="43">
        <f>IF(AND(F480&lt;&gt;"",G480&lt;&gt;"",H480&lt;&gt;""),F480+G480-H480,"")</f>
        <v/>
      </c>
      <c r="J480" s="18" t="n"/>
      <c r="K480" s="18" t="n"/>
    </row>
    <row r="481">
      <c r="A481" s="22" t="n"/>
      <c r="B481" s="35">
        <f>IF(A481="","",VALUE(LEFT(A481,4)))</f>
        <v/>
      </c>
      <c r="C481" s="36">
        <f>IF(A481="","",VALUE(RIGHT(A481,2)))</f>
        <v/>
      </c>
      <c r="D481" s="22" t="n"/>
      <c r="E481" s="22" t="n"/>
      <c r="F481" s="42" t="n"/>
      <c r="G481" s="42" t="n"/>
      <c r="H481" s="42" t="n"/>
      <c r="I481" s="43">
        <f>IF(AND(F481&lt;&gt;"",G481&lt;&gt;"",H481&lt;&gt;""),F481+G481-H481,"")</f>
        <v/>
      </c>
      <c r="J481" s="22" t="n"/>
      <c r="K481" s="22" t="n"/>
    </row>
    <row r="482">
      <c r="A482" s="18" t="n"/>
      <c r="B482" s="35">
        <f>IF(A482="","",VALUE(LEFT(A482,4)))</f>
        <v/>
      </c>
      <c r="C482" s="36">
        <f>IF(A482="","",VALUE(RIGHT(A482,2)))</f>
        <v/>
      </c>
      <c r="D482" s="18" t="n"/>
      <c r="E482" s="18" t="n"/>
      <c r="F482" s="38" t="n"/>
      <c r="G482" s="38" t="n"/>
      <c r="H482" s="38" t="n"/>
      <c r="I482" s="43">
        <f>IF(AND(F482&lt;&gt;"",G482&lt;&gt;"",H482&lt;&gt;""),F482+G482-H482,"")</f>
        <v/>
      </c>
      <c r="J482" s="18" t="n"/>
      <c r="K482" s="18" t="n"/>
    </row>
    <row r="483">
      <c r="A483" s="22" t="n"/>
      <c r="B483" s="35">
        <f>IF(A483="","",VALUE(LEFT(A483,4)))</f>
        <v/>
      </c>
      <c r="C483" s="36">
        <f>IF(A483="","",VALUE(RIGHT(A483,2)))</f>
        <v/>
      </c>
      <c r="D483" s="22" t="n"/>
      <c r="E483" s="22" t="n"/>
      <c r="F483" s="42" t="n"/>
      <c r="G483" s="42" t="n"/>
      <c r="H483" s="42" t="n"/>
      <c r="I483" s="43">
        <f>IF(AND(F483&lt;&gt;"",G483&lt;&gt;"",H483&lt;&gt;""),F483+G483-H483,"")</f>
        <v/>
      </c>
      <c r="J483" s="22" t="n"/>
      <c r="K483" s="22" t="n"/>
    </row>
    <row r="484">
      <c r="A484" s="18" t="n"/>
      <c r="B484" s="35">
        <f>IF(A484="","",VALUE(LEFT(A484,4)))</f>
        <v/>
      </c>
      <c r="C484" s="36">
        <f>IF(A484="","",VALUE(RIGHT(A484,2)))</f>
        <v/>
      </c>
      <c r="D484" s="18" t="n"/>
      <c r="E484" s="18" t="n"/>
      <c r="F484" s="38" t="n"/>
      <c r="G484" s="38" t="n"/>
      <c r="H484" s="38" t="n"/>
      <c r="I484" s="43">
        <f>IF(AND(F484&lt;&gt;"",G484&lt;&gt;"",H484&lt;&gt;""),F484+G484-H484,"")</f>
        <v/>
      </c>
      <c r="J484" s="18" t="n"/>
      <c r="K484" s="18" t="n"/>
    </row>
    <row r="485">
      <c r="A485" s="22" t="n"/>
      <c r="B485" s="35">
        <f>IF(A485="","",VALUE(LEFT(A485,4)))</f>
        <v/>
      </c>
      <c r="C485" s="36">
        <f>IF(A485="","",VALUE(RIGHT(A485,2)))</f>
        <v/>
      </c>
      <c r="D485" s="22" t="n"/>
      <c r="E485" s="22" t="n"/>
      <c r="F485" s="42" t="n"/>
      <c r="G485" s="42" t="n"/>
      <c r="H485" s="42" t="n"/>
      <c r="I485" s="43">
        <f>IF(AND(F485&lt;&gt;"",G485&lt;&gt;"",H485&lt;&gt;""),F485+G485-H485,"")</f>
        <v/>
      </c>
      <c r="J485" s="22" t="n"/>
      <c r="K485" s="22" t="n"/>
    </row>
    <row r="486">
      <c r="A486" s="18" t="n"/>
      <c r="B486" s="35">
        <f>IF(A486="","",VALUE(LEFT(A486,4)))</f>
        <v/>
      </c>
      <c r="C486" s="36">
        <f>IF(A486="","",VALUE(RIGHT(A486,2)))</f>
        <v/>
      </c>
      <c r="D486" s="18" t="n"/>
      <c r="E486" s="18" t="n"/>
      <c r="F486" s="38" t="n"/>
      <c r="G486" s="38" t="n"/>
      <c r="H486" s="38" t="n"/>
      <c r="I486" s="43">
        <f>IF(AND(F486&lt;&gt;"",G486&lt;&gt;"",H486&lt;&gt;""),F486+G486-H486,"")</f>
        <v/>
      </c>
      <c r="J486" s="18" t="n"/>
      <c r="K486" s="18" t="n"/>
    </row>
    <row r="487">
      <c r="A487" s="22" t="n"/>
      <c r="B487" s="35">
        <f>IF(A487="","",VALUE(LEFT(A487,4)))</f>
        <v/>
      </c>
      <c r="C487" s="36">
        <f>IF(A487="","",VALUE(RIGHT(A487,2)))</f>
        <v/>
      </c>
      <c r="D487" s="22" t="n"/>
      <c r="E487" s="22" t="n"/>
      <c r="F487" s="42" t="n"/>
      <c r="G487" s="42" t="n"/>
      <c r="H487" s="42" t="n"/>
      <c r="I487" s="43">
        <f>IF(AND(F487&lt;&gt;"",G487&lt;&gt;"",H487&lt;&gt;""),F487+G487-H487,"")</f>
        <v/>
      </c>
      <c r="J487" s="22" t="n"/>
      <c r="K487" s="22" t="n"/>
    </row>
    <row r="488">
      <c r="A488" s="18" t="n"/>
      <c r="B488" s="35">
        <f>IF(A488="","",VALUE(LEFT(A488,4)))</f>
        <v/>
      </c>
      <c r="C488" s="36">
        <f>IF(A488="","",VALUE(RIGHT(A488,2)))</f>
        <v/>
      </c>
      <c r="D488" s="18" t="n"/>
      <c r="E488" s="18" t="n"/>
      <c r="F488" s="38" t="n"/>
      <c r="G488" s="38" t="n"/>
      <c r="H488" s="38" t="n"/>
      <c r="I488" s="43">
        <f>IF(AND(F488&lt;&gt;"",G488&lt;&gt;"",H488&lt;&gt;""),F488+G488-H488,"")</f>
        <v/>
      </c>
      <c r="J488" s="18" t="n"/>
      <c r="K488" s="18" t="n"/>
    </row>
    <row r="489">
      <c r="A489" s="22" t="n"/>
      <c r="B489" s="35">
        <f>IF(A489="","",VALUE(LEFT(A489,4)))</f>
        <v/>
      </c>
      <c r="C489" s="36">
        <f>IF(A489="","",VALUE(RIGHT(A489,2)))</f>
        <v/>
      </c>
      <c r="D489" s="22" t="n"/>
      <c r="E489" s="22" t="n"/>
      <c r="F489" s="42" t="n"/>
      <c r="G489" s="42" t="n"/>
      <c r="H489" s="42" t="n"/>
      <c r="I489" s="43">
        <f>IF(AND(F489&lt;&gt;"",G489&lt;&gt;"",H489&lt;&gt;""),F489+G489-H489,"")</f>
        <v/>
      </c>
      <c r="J489" s="22" t="n"/>
      <c r="K489" s="22" t="n"/>
    </row>
    <row r="490">
      <c r="A490" s="18" t="n"/>
      <c r="B490" s="35">
        <f>IF(A490="","",VALUE(LEFT(A490,4)))</f>
        <v/>
      </c>
      <c r="C490" s="36">
        <f>IF(A490="","",VALUE(RIGHT(A490,2)))</f>
        <v/>
      </c>
      <c r="D490" s="18" t="n"/>
      <c r="E490" s="18" t="n"/>
      <c r="F490" s="38" t="n"/>
      <c r="G490" s="38" t="n"/>
      <c r="H490" s="38" t="n"/>
      <c r="I490" s="43">
        <f>IF(AND(F490&lt;&gt;"",G490&lt;&gt;"",H490&lt;&gt;""),F490+G490-H490,"")</f>
        <v/>
      </c>
      <c r="J490" s="18" t="n"/>
      <c r="K490" s="18" t="n"/>
    </row>
    <row r="491">
      <c r="A491" s="22" t="n"/>
      <c r="B491" s="35">
        <f>IF(A491="","",VALUE(LEFT(A491,4)))</f>
        <v/>
      </c>
      <c r="C491" s="36">
        <f>IF(A491="","",VALUE(RIGHT(A491,2)))</f>
        <v/>
      </c>
      <c r="D491" s="22" t="n"/>
      <c r="E491" s="22" t="n"/>
      <c r="F491" s="42" t="n"/>
      <c r="G491" s="42" t="n"/>
      <c r="H491" s="42" t="n"/>
      <c r="I491" s="43">
        <f>IF(AND(F491&lt;&gt;"",G491&lt;&gt;"",H491&lt;&gt;""),F491+G491-H491,"")</f>
        <v/>
      </c>
      <c r="J491" s="22" t="n"/>
      <c r="K491" s="22" t="n"/>
    </row>
    <row r="492">
      <c r="A492" s="18" t="n"/>
      <c r="B492" s="35">
        <f>IF(A492="","",VALUE(LEFT(A492,4)))</f>
        <v/>
      </c>
      <c r="C492" s="36">
        <f>IF(A492="","",VALUE(RIGHT(A492,2)))</f>
        <v/>
      </c>
      <c r="D492" s="18" t="n"/>
      <c r="E492" s="18" t="n"/>
      <c r="F492" s="38" t="n"/>
      <c r="G492" s="38" t="n"/>
      <c r="H492" s="38" t="n"/>
      <c r="I492" s="43">
        <f>IF(AND(F492&lt;&gt;"",G492&lt;&gt;"",H492&lt;&gt;""),F492+G492-H492,"")</f>
        <v/>
      </c>
      <c r="J492" s="18" t="n"/>
      <c r="K492" s="18" t="n"/>
    </row>
    <row r="493">
      <c r="A493" s="22" t="n"/>
      <c r="B493" s="35">
        <f>IF(A493="","",VALUE(LEFT(A493,4)))</f>
        <v/>
      </c>
      <c r="C493" s="36">
        <f>IF(A493="","",VALUE(RIGHT(A493,2)))</f>
        <v/>
      </c>
      <c r="D493" s="22" t="n"/>
      <c r="E493" s="22" t="n"/>
      <c r="F493" s="42" t="n"/>
      <c r="G493" s="42" t="n"/>
      <c r="H493" s="42" t="n"/>
      <c r="I493" s="43">
        <f>IF(AND(F493&lt;&gt;"",G493&lt;&gt;"",H493&lt;&gt;""),F493+G493-H493,"")</f>
        <v/>
      </c>
      <c r="J493" s="22" t="n"/>
      <c r="K493" s="22" t="n"/>
    </row>
    <row r="494">
      <c r="A494" s="18" t="n"/>
      <c r="B494" s="35">
        <f>IF(A494="","",VALUE(LEFT(A494,4)))</f>
        <v/>
      </c>
      <c r="C494" s="36">
        <f>IF(A494="","",VALUE(RIGHT(A494,2)))</f>
        <v/>
      </c>
      <c r="D494" s="18" t="n"/>
      <c r="E494" s="18" t="n"/>
      <c r="F494" s="38" t="n"/>
      <c r="G494" s="38" t="n"/>
      <c r="H494" s="38" t="n"/>
      <c r="I494" s="43">
        <f>IF(AND(F494&lt;&gt;"",G494&lt;&gt;"",H494&lt;&gt;""),F494+G494-H494,"")</f>
        <v/>
      </c>
      <c r="J494" s="18" t="n"/>
      <c r="K494" s="18" t="n"/>
    </row>
    <row r="495">
      <c r="A495" s="22" t="n"/>
      <c r="B495" s="35">
        <f>IF(A495="","",VALUE(LEFT(A495,4)))</f>
        <v/>
      </c>
      <c r="C495" s="36">
        <f>IF(A495="","",VALUE(RIGHT(A495,2)))</f>
        <v/>
      </c>
      <c r="D495" s="22" t="n"/>
      <c r="E495" s="22" t="n"/>
      <c r="F495" s="42" t="n"/>
      <c r="G495" s="42" t="n"/>
      <c r="H495" s="42" t="n"/>
      <c r="I495" s="43">
        <f>IF(AND(F495&lt;&gt;"",G495&lt;&gt;"",H495&lt;&gt;""),F495+G495-H495,"")</f>
        <v/>
      </c>
      <c r="J495" s="22" t="n"/>
      <c r="K495" s="22" t="n"/>
    </row>
    <row r="496">
      <c r="A496" s="18" t="n"/>
      <c r="B496" s="35">
        <f>IF(A496="","",VALUE(LEFT(A496,4)))</f>
        <v/>
      </c>
      <c r="C496" s="36">
        <f>IF(A496="","",VALUE(RIGHT(A496,2)))</f>
        <v/>
      </c>
      <c r="D496" s="18" t="n"/>
      <c r="E496" s="18" t="n"/>
      <c r="F496" s="38" t="n"/>
      <c r="G496" s="38" t="n"/>
      <c r="H496" s="38" t="n"/>
      <c r="I496" s="43">
        <f>IF(AND(F496&lt;&gt;"",G496&lt;&gt;"",H496&lt;&gt;""),F496+G496-H496,"")</f>
        <v/>
      </c>
      <c r="J496" s="18" t="n"/>
      <c r="K496" s="18" t="n"/>
    </row>
    <row r="497">
      <c r="A497" s="22" t="n"/>
      <c r="B497" s="35">
        <f>IF(A497="","",VALUE(LEFT(A497,4)))</f>
        <v/>
      </c>
      <c r="C497" s="36">
        <f>IF(A497="","",VALUE(RIGHT(A497,2)))</f>
        <v/>
      </c>
      <c r="D497" s="22" t="n"/>
      <c r="E497" s="22" t="n"/>
      <c r="F497" s="42" t="n"/>
      <c r="G497" s="42" t="n"/>
      <c r="H497" s="42" t="n"/>
      <c r="I497" s="43">
        <f>IF(AND(F497&lt;&gt;"",G497&lt;&gt;"",H497&lt;&gt;""),F497+G497-H497,"")</f>
        <v/>
      </c>
      <c r="J497" s="22" t="n"/>
      <c r="K497" s="22" t="n"/>
    </row>
    <row r="498">
      <c r="A498" s="18" t="n"/>
      <c r="B498" s="35">
        <f>IF(A498="","",VALUE(LEFT(A498,4)))</f>
        <v/>
      </c>
      <c r="C498" s="36">
        <f>IF(A498="","",VALUE(RIGHT(A498,2)))</f>
        <v/>
      </c>
      <c r="D498" s="18" t="n"/>
      <c r="E498" s="18" t="n"/>
      <c r="F498" s="38" t="n"/>
      <c r="G498" s="38" t="n"/>
      <c r="H498" s="38" t="n"/>
      <c r="I498" s="43">
        <f>IF(AND(F498&lt;&gt;"",G498&lt;&gt;"",H498&lt;&gt;""),F498+G498-H498,"")</f>
        <v/>
      </c>
      <c r="J498" s="18" t="n"/>
      <c r="K498" s="18" t="n"/>
    </row>
    <row r="499">
      <c r="A499" s="22" t="n"/>
      <c r="B499" s="35">
        <f>IF(A499="","",VALUE(LEFT(A499,4)))</f>
        <v/>
      </c>
      <c r="C499" s="36">
        <f>IF(A499="","",VALUE(RIGHT(A499,2)))</f>
        <v/>
      </c>
      <c r="D499" s="22" t="n"/>
      <c r="E499" s="22" t="n"/>
      <c r="F499" s="42" t="n"/>
      <c r="G499" s="42" t="n"/>
      <c r="H499" s="42" t="n"/>
      <c r="I499" s="43">
        <f>IF(AND(F499&lt;&gt;"",G499&lt;&gt;"",H499&lt;&gt;""),F499+G499-H499,"")</f>
        <v/>
      </c>
      <c r="J499" s="22" t="n"/>
      <c r="K499" s="22" t="n"/>
    </row>
    <row r="500">
      <c r="A500" s="18" t="n"/>
      <c r="B500" s="35">
        <f>IF(A500="","",VALUE(LEFT(A500,4)))</f>
        <v/>
      </c>
      <c r="C500" s="36">
        <f>IF(A500="","",VALUE(RIGHT(A500,2)))</f>
        <v/>
      </c>
      <c r="D500" s="18" t="n"/>
      <c r="E500" s="18" t="n"/>
      <c r="F500" s="38" t="n"/>
      <c r="G500" s="38" t="n"/>
      <c r="H500" s="38" t="n"/>
      <c r="I500" s="43">
        <f>IF(AND(F500&lt;&gt;"",G500&lt;&gt;"",H500&lt;&gt;""),F500+G500-H500,"")</f>
        <v/>
      </c>
      <c r="J500" s="18" t="n"/>
      <c r="K500" s="18" t="n"/>
    </row>
    <row r="501">
      <c r="A501" s="22" t="n"/>
      <c r="B501" s="35">
        <f>IF(A501="","",VALUE(LEFT(A501,4)))</f>
        <v/>
      </c>
      <c r="C501" s="36">
        <f>IF(A501="","",VALUE(RIGHT(A501,2)))</f>
        <v/>
      </c>
      <c r="D501" s="22" t="n"/>
      <c r="E501" s="22" t="n"/>
      <c r="F501" s="42" t="n"/>
      <c r="G501" s="42" t="n"/>
      <c r="H501" s="42" t="n"/>
      <c r="I501" s="43">
        <f>IF(AND(F501&lt;&gt;"",G501&lt;&gt;"",H501&lt;&gt;""),F501+G501-H501,"")</f>
        <v/>
      </c>
      <c r="J501" s="22" t="n"/>
      <c r="K501" s="22" t="n"/>
    </row>
    <row r="502">
      <c r="A502" s="18" t="n"/>
      <c r="B502" s="35">
        <f>IF(A502="","",VALUE(LEFT(A502,4)))</f>
        <v/>
      </c>
      <c r="C502" s="36">
        <f>IF(A502="","",VALUE(RIGHT(A502,2)))</f>
        <v/>
      </c>
      <c r="D502" s="18" t="n"/>
      <c r="E502" s="18" t="n"/>
      <c r="F502" s="38" t="n"/>
      <c r="G502" s="38" t="n"/>
      <c r="H502" s="38" t="n"/>
      <c r="I502" s="43">
        <f>IF(AND(F502&lt;&gt;"",G502&lt;&gt;"",H502&lt;&gt;""),F502+G502-H502,"")</f>
        <v/>
      </c>
      <c r="J502" s="18" t="n"/>
      <c r="K502" s="18" t="n"/>
    </row>
    <row r="503">
      <c r="A503" s="22" t="n"/>
      <c r="B503" s="35">
        <f>IF(A503="","",VALUE(LEFT(A503,4)))</f>
        <v/>
      </c>
      <c r="C503" s="36">
        <f>IF(A503="","",VALUE(RIGHT(A503,2)))</f>
        <v/>
      </c>
      <c r="D503" s="22" t="n"/>
      <c r="E503" s="22" t="n"/>
      <c r="F503" s="42" t="n"/>
      <c r="G503" s="42" t="n"/>
      <c r="H503" s="42" t="n"/>
      <c r="I503" s="43">
        <f>IF(AND(F503&lt;&gt;"",G503&lt;&gt;"",H503&lt;&gt;""),F503+G503-H503,"")</f>
        <v/>
      </c>
      <c r="J503" s="22" t="n"/>
      <c r="K503" s="22" t="n"/>
    </row>
    <row r="504">
      <c r="A504" s="18" t="n"/>
      <c r="B504" s="35">
        <f>IF(A504="","",VALUE(LEFT(A504,4)))</f>
        <v/>
      </c>
      <c r="C504" s="36">
        <f>IF(A504="","",VALUE(RIGHT(A504,2)))</f>
        <v/>
      </c>
      <c r="D504" s="18" t="n"/>
      <c r="E504" s="18" t="n"/>
      <c r="F504" s="38" t="n"/>
      <c r="G504" s="38" t="n"/>
      <c r="H504" s="38" t="n"/>
      <c r="I504" s="43">
        <f>IF(AND(F504&lt;&gt;"",G504&lt;&gt;"",H504&lt;&gt;""),F504+G504-H504,"")</f>
        <v/>
      </c>
      <c r="J504" s="18" t="n"/>
      <c r="K504" s="18" t="n"/>
    </row>
    <row r="505">
      <c r="A505" s="22" t="n"/>
      <c r="B505" s="35">
        <f>IF(A505="","",VALUE(LEFT(A505,4)))</f>
        <v/>
      </c>
      <c r="C505" s="36">
        <f>IF(A505="","",VALUE(RIGHT(A505,2)))</f>
        <v/>
      </c>
      <c r="D505" s="22" t="n"/>
      <c r="E505" s="22" t="n"/>
      <c r="F505" s="42" t="n"/>
      <c r="G505" s="42" t="n"/>
      <c r="H505" s="42" t="n"/>
      <c r="I505" s="43">
        <f>IF(AND(F505&lt;&gt;"",G505&lt;&gt;"",H505&lt;&gt;""),F505+G505-H505,"")</f>
        <v/>
      </c>
      <c r="J505" s="22" t="n"/>
      <c r="K505" s="22" t="n"/>
    </row>
    <row r="506">
      <c r="A506" s="18" t="n"/>
      <c r="B506" s="35">
        <f>IF(A506="","",VALUE(LEFT(A506,4)))</f>
        <v/>
      </c>
      <c r="C506" s="36">
        <f>IF(A506="","",VALUE(RIGHT(A506,2)))</f>
        <v/>
      </c>
      <c r="D506" s="18" t="n"/>
      <c r="E506" s="18" t="n"/>
      <c r="F506" s="38" t="n"/>
      <c r="G506" s="38" t="n"/>
      <c r="H506" s="38" t="n"/>
      <c r="I506" s="43">
        <f>IF(AND(F506&lt;&gt;"",G506&lt;&gt;"",H506&lt;&gt;""),F506+G506-H506,"")</f>
        <v/>
      </c>
      <c r="J506" s="18" t="n"/>
      <c r="K506" s="18" t="n"/>
    </row>
    <row r="507">
      <c r="A507" s="22" t="n"/>
      <c r="B507" s="35">
        <f>IF(A507="","",VALUE(LEFT(A507,4)))</f>
        <v/>
      </c>
      <c r="C507" s="36">
        <f>IF(A507="","",VALUE(RIGHT(A507,2)))</f>
        <v/>
      </c>
      <c r="D507" s="22" t="n"/>
      <c r="E507" s="22" t="n"/>
      <c r="F507" s="42" t="n"/>
      <c r="G507" s="42" t="n"/>
      <c r="H507" s="42" t="n"/>
      <c r="I507" s="43">
        <f>IF(AND(F507&lt;&gt;"",G507&lt;&gt;"",H507&lt;&gt;""),F507+G507-H507,"")</f>
        <v/>
      </c>
      <c r="J507" s="22" t="n"/>
      <c r="K507" s="22" t="n"/>
    </row>
    <row r="508">
      <c r="A508" s="18" t="n"/>
      <c r="B508" s="35">
        <f>IF(A508="","",VALUE(LEFT(A508,4)))</f>
        <v/>
      </c>
      <c r="C508" s="36">
        <f>IF(A508="","",VALUE(RIGHT(A508,2)))</f>
        <v/>
      </c>
      <c r="D508" s="18" t="n"/>
      <c r="E508" s="18" t="n"/>
      <c r="F508" s="38" t="n"/>
      <c r="G508" s="38" t="n"/>
      <c r="H508" s="38" t="n"/>
      <c r="I508" s="43">
        <f>IF(AND(F508&lt;&gt;"",G508&lt;&gt;"",H508&lt;&gt;""),F508+G508-H508,"")</f>
        <v/>
      </c>
      <c r="J508" s="18" t="n"/>
      <c r="K508" s="18" t="n"/>
    </row>
    <row r="509">
      <c r="A509" s="22" t="n"/>
      <c r="B509" s="35">
        <f>IF(A509="","",VALUE(LEFT(A509,4)))</f>
        <v/>
      </c>
      <c r="C509" s="36">
        <f>IF(A509="","",VALUE(RIGHT(A509,2)))</f>
        <v/>
      </c>
      <c r="D509" s="22" t="n"/>
      <c r="E509" s="22" t="n"/>
      <c r="F509" s="42" t="n"/>
      <c r="G509" s="42" t="n"/>
      <c r="H509" s="42" t="n"/>
      <c r="I509" s="43">
        <f>IF(AND(F509&lt;&gt;"",G509&lt;&gt;"",H509&lt;&gt;""),F509+G509-H509,"")</f>
        <v/>
      </c>
      <c r="J509" s="22" t="n"/>
      <c r="K509" s="22" t="n"/>
    </row>
    <row r="510">
      <c r="A510" s="18" t="n"/>
      <c r="B510" s="35">
        <f>IF(A510="","",VALUE(LEFT(A510,4)))</f>
        <v/>
      </c>
      <c r="C510" s="36">
        <f>IF(A510="","",VALUE(RIGHT(A510,2)))</f>
        <v/>
      </c>
      <c r="D510" s="18" t="n"/>
      <c r="E510" s="18" t="n"/>
      <c r="F510" s="38" t="n"/>
      <c r="G510" s="38" t="n"/>
      <c r="H510" s="38" t="n"/>
      <c r="I510" s="43">
        <f>IF(AND(F510&lt;&gt;"",G510&lt;&gt;"",H510&lt;&gt;""),F510+G510-H510,"")</f>
        <v/>
      </c>
      <c r="J510" s="18" t="n"/>
      <c r="K510" s="18" t="n"/>
    </row>
    <row r="511">
      <c r="A511" s="22" t="n"/>
      <c r="B511" s="35">
        <f>IF(A511="","",VALUE(LEFT(A511,4)))</f>
        <v/>
      </c>
      <c r="C511" s="36">
        <f>IF(A511="","",VALUE(RIGHT(A511,2)))</f>
        <v/>
      </c>
      <c r="D511" s="22" t="n"/>
      <c r="E511" s="22" t="n"/>
      <c r="F511" s="42" t="n"/>
      <c r="G511" s="42" t="n"/>
      <c r="H511" s="42" t="n"/>
      <c r="I511" s="43">
        <f>IF(AND(F511&lt;&gt;"",G511&lt;&gt;"",H511&lt;&gt;""),F511+G511-H511,"")</f>
        <v/>
      </c>
      <c r="J511" s="22" t="n"/>
      <c r="K511" s="22" t="n"/>
    </row>
    <row r="512">
      <c r="A512" s="18" t="n"/>
      <c r="B512" s="35">
        <f>IF(A512="","",VALUE(LEFT(A512,4)))</f>
        <v/>
      </c>
      <c r="C512" s="36">
        <f>IF(A512="","",VALUE(RIGHT(A512,2)))</f>
        <v/>
      </c>
      <c r="D512" s="18" t="n"/>
      <c r="E512" s="18" t="n"/>
      <c r="F512" s="38" t="n"/>
      <c r="G512" s="38" t="n"/>
      <c r="H512" s="38" t="n"/>
      <c r="I512" s="43">
        <f>IF(AND(F512&lt;&gt;"",G512&lt;&gt;"",H512&lt;&gt;""),F512+G512-H512,"")</f>
        <v/>
      </c>
      <c r="J512" s="18" t="n"/>
      <c r="K512" s="18" t="n"/>
    </row>
    <row r="513">
      <c r="A513" s="22" t="n"/>
      <c r="B513" s="35">
        <f>IF(A513="","",VALUE(LEFT(A513,4)))</f>
        <v/>
      </c>
      <c r="C513" s="36">
        <f>IF(A513="","",VALUE(RIGHT(A513,2)))</f>
        <v/>
      </c>
      <c r="D513" s="22" t="n"/>
      <c r="E513" s="22" t="n"/>
      <c r="F513" s="42" t="n"/>
      <c r="G513" s="42" t="n"/>
      <c r="H513" s="42" t="n"/>
      <c r="I513" s="43">
        <f>IF(AND(F513&lt;&gt;"",G513&lt;&gt;"",H513&lt;&gt;""),F513+G513-H513,"")</f>
        <v/>
      </c>
      <c r="J513" s="22" t="n"/>
      <c r="K513" s="22" t="n"/>
    </row>
    <row r="514">
      <c r="A514" s="18" t="n"/>
      <c r="B514" s="35">
        <f>IF(A514="","",VALUE(LEFT(A514,4)))</f>
        <v/>
      </c>
      <c r="C514" s="36">
        <f>IF(A514="","",VALUE(RIGHT(A514,2)))</f>
        <v/>
      </c>
      <c r="D514" s="18" t="n"/>
      <c r="E514" s="18" t="n"/>
      <c r="F514" s="38" t="n"/>
      <c r="G514" s="38" t="n"/>
      <c r="H514" s="38" t="n"/>
      <c r="I514" s="43">
        <f>IF(AND(F514&lt;&gt;"",G514&lt;&gt;"",H514&lt;&gt;""),F514+G514-H514,"")</f>
        <v/>
      </c>
      <c r="J514" s="18" t="n"/>
      <c r="K514" s="18" t="n"/>
    </row>
    <row r="515">
      <c r="A515" s="22" t="n"/>
      <c r="B515" s="35">
        <f>IF(A515="","",VALUE(LEFT(A515,4)))</f>
        <v/>
      </c>
      <c r="C515" s="36">
        <f>IF(A515="","",VALUE(RIGHT(A515,2)))</f>
        <v/>
      </c>
      <c r="D515" s="22" t="n"/>
      <c r="E515" s="22" t="n"/>
      <c r="F515" s="42" t="n"/>
      <c r="G515" s="42" t="n"/>
      <c r="H515" s="42" t="n"/>
      <c r="I515" s="43">
        <f>IF(AND(F515&lt;&gt;"",G515&lt;&gt;"",H515&lt;&gt;""),F515+G515-H515,"")</f>
        <v/>
      </c>
      <c r="J515" s="22" t="n"/>
      <c r="K515" s="22" t="n"/>
    </row>
    <row r="516">
      <c r="A516" s="18" t="n"/>
      <c r="B516" s="35">
        <f>IF(A516="","",VALUE(LEFT(A516,4)))</f>
        <v/>
      </c>
      <c r="C516" s="36">
        <f>IF(A516="","",VALUE(RIGHT(A516,2)))</f>
        <v/>
      </c>
      <c r="D516" s="18" t="n"/>
      <c r="E516" s="18" t="n"/>
      <c r="F516" s="38" t="n"/>
      <c r="G516" s="38" t="n"/>
      <c r="H516" s="38" t="n"/>
      <c r="I516" s="43">
        <f>IF(AND(F516&lt;&gt;"",G516&lt;&gt;"",H516&lt;&gt;""),F516+G516-H516,"")</f>
        <v/>
      </c>
      <c r="J516" s="18" t="n"/>
      <c r="K516" s="18" t="n"/>
    </row>
    <row r="517">
      <c r="A517" s="22" t="n"/>
      <c r="B517" s="35">
        <f>IF(A517="","",VALUE(LEFT(A517,4)))</f>
        <v/>
      </c>
      <c r="C517" s="36">
        <f>IF(A517="","",VALUE(RIGHT(A517,2)))</f>
        <v/>
      </c>
      <c r="D517" s="22" t="n"/>
      <c r="E517" s="22" t="n"/>
      <c r="F517" s="42" t="n"/>
      <c r="G517" s="42" t="n"/>
      <c r="H517" s="42" t="n"/>
      <c r="I517" s="43">
        <f>IF(AND(F517&lt;&gt;"",G517&lt;&gt;"",H517&lt;&gt;""),F517+G517-H517,"")</f>
        <v/>
      </c>
      <c r="J517" s="22" t="n"/>
      <c r="K517" s="22" t="n"/>
    </row>
    <row r="518">
      <c r="A518" s="18" t="n"/>
      <c r="B518" s="35">
        <f>IF(A518="","",VALUE(LEFT(A518,4)))</f>
        <v/>
      </c>
      <c r="C518" s="36">
        <f>IF(A518="","",VALUE(RIGHT(A518,2)))</f>
        <v/>
      </c>
      <c r="D518" s="18" t="n"/>
      <c r="E518" s="18" t="n"/>
      <c r="F518" s="38" t="n"/>
      <c r="G518" s="38" t="n"/>
      <c r="H518" s="38" t="n"/>
      <c r="I518" s="43">
        <f>IF(AND(F518&lt;&gt;"",G518&lt;&gt;"",H518&lt;&gt;""),F518+G518-H518,"")</f>
        <v/>
      </c>
      <c r="J518" s="18" t="n"/>
      <c r="K518" s="18" t="n"/>
    </row>
    <row r="519">
      <c r="A519" s="22" t="n"/>
      <c r="B519" s="35">
        <f>IF(A519="","",VALUE(LEFT(A519,4)))</f>
        <v/>
      </c>
      <c r="C519" s="36">
        <f>IF(A519="","",VALUE(RIGHT(A519,2)))</f>
        <v/>
      </c>
      <c r="D519" s="22" t="n"/>
      <c r="E519" s="22" t="n"/>
      <c r="F519" s="42" t="n"/>
      <c r="G519" s="42" t="n"/>
      <c r="H519" s="42" t="n"/>
      <c r="I519" s="43">
        <f>IF(AND(F519&lt;&gt;"",G519&lt;&gt;"",H519&lt;&gt;""),F519+G519-H519,"")</f>
        <v/>
      </c>
      <c r="J519" s="22" t="n"/>
      <c r="K519" s="22" t="n"/>
    </row>
    <row r="520">
      <c r="A520" s="18" t="n"/>
      <c r="B520" s="35">
        <f>IF(A520="","",VALUE(LEFT(A520,4)))</f>
        <v/>
      </c>
      <c r="C520" s="36">
        <f>IF(A520="","",VALUE(RIGHT(A520,2)))</f>
        <v/>
      </c>
      <c r="D520" s="18" t="n"/>
      <c r="E520" s="18" t="n"/>
      <c r="F520" s="38" t="n"/>
      <c r="G520" s="38" t="n"/>
      <c r="H520" s="38" t="n"/>
      <c r="I520" s="43">
        <f>IF(AND(F520&lt;&gt;"",G520&lt;&gt;"",H520&lt;&gt;""),F520+G520-H520,"")</f>
        <v/>
      </c>
      <c r="J520" s="18" t="n"/>
      <c r="K520" s="18" t="n"/>
    </row>
    <row r="521">
      <c r="A521" s="22" t="n"/>
      <c r="B521" s="35">
        <f>IF(A521="","",VALUE(LEFT(A521,4)))</f>
        <v/>
      </c>
      <c r="C521" s="36">
        <f>IF(A521="","",VALUE(RIGHT(A521,2)))</f>
        <v/>
      </c>
      <c r="D521" s="22" t="n"/>
      <c r="E521" s="22" t="n"/>
      <c r="F521" s="42" t="n"/>
      <c r="G521" s="42" t="n"/>
      <c r="H521" s="42" t="n"/>
      <c r="I521" s="43">
        <f>IF(AND(F521&lt;&gt;"",G521&lt;&gt;"",H521&lt;&gt;""),F521+G521-H521,"")</f>
        <v/>
      </c>
      <c r="J521" s="22" t="n"/>
      <c r="K521" s="22" t="n"/>
    </row>
    <row r="522">
      <c r="A522" s="18" t="n"/>
      <c r="B522" s="35">
        <f>IF(A522="","",VALUE(LEFT(A522,4)))</f>
        <v/>
      </c>
      <c r="C522" s="36">
        <f>IF(A522="","",VALUE(RIGHT(A522,2)))</f>
        <v/>
      </c>
      <c r="D522" s="18" t="n"/>
      <c r="E522" s="18" t="n"/>
      <c r="F522" s="38" t="n"/>
      <c r="G522" s="38" t="n"/>
      <c r="H522" s="38" t="n"/>
      <c r="I522" s="43">
        <f>IF(AND(F522&lt;&gt;"",G522&lt;&gt;"",H522&lt;&gt;""),F522+G522-H522,"")</f>
        <v/>
      </c>
      <c r="J522" s="18" t="n"/>
      <c r="K522" s="18" t="n"/>
    </row>
    <row r="523">
      <c r="A523" s="22" t="n"/>
      <c r="B523" s="35">
        <f>IF(A523="","",VALUE(LEFT(A523,4)))</f>
        <v/>
      </c>
      <c r="C523" s="36">
        <f>IF(A523="","",VALUE(RIGHT(A523,2)))</f>
        <v/>
      </c>
      <c r="D523" s="22" t="n"/>
      <c r="E523" s="22" t="n"/>
      <c r="F523" s="42" t="n"/>
      <c r="G523" s="42" t="n"/>
      <c r="H523" s="42" t="n"/>
      <c r="I523" s="43">
        <f>IF(AND(F523&lt;&gt;"",G523&lt;&gt;"",H523&lt;&gt;""),F523+G523-H523,"")</f>
        <v/>
      </c>
      <c r="J523" s="22" t="n"/>
      <c r="K523" s="22" t="n"/>
    </row>
    <row r="524">
      <c r="A524" s="18" t="n"/>
      <c r="B524" s="35">
        <f>IF(A524="","",VALUE(LEFT(A524,4)))</f>
        <v/>
      </c>
      <c r="C524" s="36">
        <f>IF(A524="","",VALUE(RIGHT(A524,2)))</f>
        <v/>
      </c>
      <c r="D524" s="18" t="n"/>
      <c r="E524" s="18" t="n"/>
      <c r="F524" s="38" t="n"/>
      <c r="G524" s="38" t="n"/>
      <c r="H524" s="38" t="n"/>
      <c r="I524" s="43">
        <f>IF(AND(F524&lt;&gt;"",G524&lt;&gt;"",H524&lt;&gt;""),F524+G524-H524,"")</f>
        <v/>
      </c>
      <c r="J524" s="18" t="n"/>
      <c r="K524" s="18" t="n"/>
    </row>
    <row r="525">
      <c r="A525" s="22" t="n"/>
      <c r="B525" s="35">
        <f>IF(A525="","",VALUE(LEFT(A525,4)))</f>
        <v/>
      </c>
      <c r="C525" s="36">
        <f>IF(A525="","",VALUE(RIGHT(A525,2)))</f>
        <v/>
      </c>
      <c r="D525" s="22" t="n"/>
      <c r="E525" s="22" t="n"/>
      <c r="F525" s="42" t="n"/>
      <c r="G525" s="42" t="n"/>
      <c r="H525" s="42" t="n"/>
      <c r="I525" s="43">
        <f>IF(AND(F525&lt;&gt;"",G525&lt;&gt;"",H525&lt;&gt;""),F525+G525-H525,"")</f>
        <v/>
      </c>
      <c r="J525" s="22" t="n"/>
      <c r="K525" s="22" t="n"/>
    </row>
    <row r="526">
      <c r="A526" s="18" t="n"/>
      <c r="B526" s="35">
        <f>IF(A526="","",VALUE(LEFT(A526,4)))</f>
        <v/>
      </c>
      <c r="C526" s="36">
        <f>IF(A526="","",VALUE(RIGHT(A526,2)))</f>
        <v/>
      </c>
      <c r="D526" s="18" t="n"/>
      <c r="E526" s="18" t="n"/>
      <c r="F526" s="38" t="n"/>
      <c r="G526" s="38" t="n"/>
      <c r="H526" s="38" t="n"/>
      <c r="I526" s="43">
        <f>IF(AND(F526&lt;&gt;"",G526&lt;&gt;"",H526&lt;&gt;""),F526+G526-H526,"")</f>
        <v/>
      </c>
      <c r="J526" s="18" t="n"/>
      <c r="K526" s="18" t="n"/>
    </row>
    <row r="527">
      <c r="A527" s="22" t="n"/>
      <c r="B527" s="35">
        <f>IF(A527="","",VALUE(LEFT(A527,4)))</f>
        <v/>
      </c>
      <c r="C527" s="36">
        <f>IF(A527="","",VALUE(RIGHT(A527,2)))</f>
        <v/>
      </c>
      <c r="D527" s="22" t="n"/>
      <c r="E527" s="22" t="n"/>
      <c r="F527" s="42" t="n"/>
      <c r="G527" s="42" t="n"/>
      <c r="H527" s="42" t="n"/>
      <c r="I527" s="43">
        <f>IF(AND(F527&lt;&gt;"",G527&lt;&gt;"",H527&lt;&gt;""),F527+G527-H527,"")</f>
        <v/>
      </c>
      <c r="J527" s="22" t="n"/>
      <c r="K527" s="22" t="n"/>
    </row>
    <row r="528">
      <c r="A528" s="18" t="n"/>
      <c r="B528" s="35">
        <f>IF(A528="","",VALUE(LEFT(A528,4)))</f>
        <v/>
      </c>
      <c r="C528" s="36">
        <f>IF(A528="","",VALUE(RIGHT(A528,2)))</f>
        <v/>
      </c>
      <c r="D528" s="18" t="n"/>
      <c r="E528" s="18" t="n"/>
      <c r="F528" s="38" t="n"/>
      <c r="G528" s="38" t="n"/>
      <c r="H528" s="38" t="n"/>
      <c r="I528" s="43">
        <f>IF(AND(F528&lt;&gt;"",G528&lt;&gt;"",H528&lt;&gt;""),F528+G528-H528,"")</f>
        <v/>
      </c>
      <c r="J528" s="18" t="n"/>
      <c r="K528" s="18" t="n"/>
    </row>
    <row r="529">
      <c r="A529" s="22" t="n"/>
      <c r="B529" s="35">
        <f>IF(A529="","",VALUE(LEFT(A529,4)))</f>
        <v/>
      </c>
      <c r="C529" s="36">
        <f>IF(A529="","",VALUE(RIGHT(A529,2)))</f>
        <v/>
      </c>
      <c r="D529" s="22" t="n"/>
      <c r="E529" s="22" t="n"/>
      <c r="F529" s="42" t="n"/>
      <c r="G529" s="42" t="n"/>
      <c r="H529" s="42" t="n"/>
      <c r="I529" s="43">
        <f>IF(AND(F529&lt;&gt;"",G529&lt;&gt;"",H529&lt;&gt;""),F529+G529-H529,"")</f>
        <v/>
      </c>
      <c r="J529" s="22" t="n"/>
      <c r="K529" s="22" t="n"/>
    </row>
    <row r="530">
      <c r="A530" s="18" t="n"/>
      <c r="B530" s="35">
        <f>IF(A530="","",VALUE(LEFT(A530,4)))</f>
        <v/>
      </c>
      <c r="C530" s="36">
        <f>IF(A530="","",VALUE(RIGHT(A530,2)))</f>
        <v/>
      </c>
      <c r="D530" s="18" t="n"/>
      <c r="E530" s="18" t="n"/>
      <c r="F530" s="38" t="n"/>
      <c r="G530" s="38" t="n"/>
      <c r="H530" s="38" t="n"/>
      <c r="I530" s="43">
        <f>IF(AND(F530&lt;&gt;"",G530&lt;&gt;"",H530&lt;&gt;""),F530+G530-H530,"")</f>
        <v/>
      </c>
      <c r="J530" s="18" t="n"/>
      <c r="K530" s="18" t="n"/>
    </row>
    <row r="531">
      <c r="A531" s="22" t="n"/>
      <c r="B531" s="35">
        <f>IF(A531="","",VALUE(LEFT(A531,4)))</f>
        <v/>
      </c>
      <c r="C531" s="36">
        <f>IF(A531="","",VALUE(RIGHT(A531,2)))</f>
        <v/>
      </c>
      <c r="D531" s="22" t="n"/>
      <c r="E531" s="22" t="n"/>
      <c r="F531" s="42" t="n"/>
      <c r="G531" s="42" t="n"/>
      <c r="H531" s="42" t="n"/>
      <c r="I531" s="43">
        <f>IF(AND(F531&lt;&gt;"",G531&lt;&gt;"",H531&lt;&gt;""),F531+G531-H531,"")</f>
        <v/>
      </c>
      <c r="J531" s="22" t="n"/>
      <c r="K531" s="22" t="n"/>
    </row>
    <row r="532">
      <c r="A532" s="18" t="n"/>
      <c r="B532" s="35">
        <f>IF(A532="","",VALUE(LEFT(A532,4)))</f>
        <v/>
      </c>
      <c r="C532" s="36">
        <f>IF(A532="","",VALUE(RIGHT(A532,2)))</f>
        <v/>
      </c>
      <c r="D532" s="18" t="n"/>
      <c r="E532" s="18" t="n"/>
      <c r="F532" s="38" t="n"/>
      <c r="G532" s="38" t="n"/>
      <c r="H532" s="38" t="n"/>
      <c r="I532" s="43">
        <f>IF(AND(F532&lt;&gt;"",G532&lt;&gt;"",H532&lt;&gt;""),F532+G532-H532,"")</f>
        <v/>
      </c>
      <c r="J532" s="18" t="n"/>
      <c r="K532" s="18" t="n"/>
    </row>
    <row r="533">
      <c r="A533" s="22" t="n"/>
      <c r="B533" s="35">
        <f>IF(A533="","",VALUE(LEFT(A533,4)))</f>
        <v/>
      </c>
      <c r="C533" s="36">
        <f>IF(A533="","",VALUE(RIGHT(A533,2)))</f>
        <v/>
      </c>
      <c r="D533" s="22" t="n"/>
      <c r="E533" s="22" t="n"/>
      <c r="F533" s="42" t="n"/>
      <c r="G533" s="42" t="n"/>
      <c r="H533" s="42" t="n"/>
      <c r="I533" s="43">
        <f>IF(AND(F533&lt;&gt;"",G533&lt;&gt;"",H533&lt;&gt;""),F533+G533-H533,"")</f>
        <v/>
      </c>
      <c r="J533" s="22" t="n"/>
      <c r="K533" s="22" t="n"/>
    </row>
    <row r="534">
      <c r="A534" s="18" t="n"/>
      <c r="B534" s="35">
        <f>IF(A534="","",VALUE(LEFT(A534,4)))</f>
        <v/>
      </c>
      <c r="C534" s="36">
        <f>IF(A534="","",VALUE(RIGHT(A534,2)))</f>
        <v/>
      </c>
      <c r="D534" s="18" t="n"/>
      <c r="E534" s="18" t="n"/>
      <c r="F534" s="38" t="n"/>
      <c r="G534" s="38" t="n"/>
      <c r="H534" s="38" t="n"/>
      <c r="I534" s="43">
        <f>IF(AND(F534&lt;&gt;"",G534&lt;&gt;"",H534&lt;&gt;""),F534+G534-H534,"")</f>
        <v/>
      </c>
      <c r="J534" s="18" t="n"/>
      <c r="K534" s="18" t="n"/>
    </row>
    <row r="535">
      <c r="A535" s="22" t="n"/>
      <c r="B535" s="35">
        <f>IF(A535="","",VALUE(LEFT(A535,4)))</f>
        <v/>
      </c>
      <c r="C535" s="36">
        <f>IF(A535="","",VALUE(RIGHT(A535,2)))</f>
        <v/>
      </c>
      <c r="D535" s="22" t="n"/>
      <c r="E535" s="22" t="n"/>
      <c r="F535" s="42" t="n"/>
      <c r="G535" s="42" t="n"/>
      <c r="H535" s="42" t="n"/>
      <c r="I535" s="43">
        <f>IF(AND(F535&lt;&gt;"",G535&lt;&gt;"",H535&lt;&gt;""),F535+G535-H535,"")</f>
        <v/>
      </c>
      <c r="J535" s="22" t="n"/>
      <c r="K535" s="22" t="n"/>
    </row>
    <row r="536">
      <c r="A536" s="18" t="n"/>
      <c r="B536" s="35">
        <f>IF(A536="","",VALUE(LEFT(A536,4)))</f>
        <v/>
      </c>
      <c r="C536" s="36">
        <f>IF(A536="","",VALUE(RIGHT(A536,2)))</f>
        <v/>
      </c>
      <c r="D536" s="18" t="n"/>
      <c r="E536" s="18" t="n"/>
      <c r="F536" s="38" t="n"/>
      <c r="G536" s="38" t="n"/>
      <c r="H536" s="38" t="n"/>
      <c r="I536" s="43">
        <f>IF(AND(F536&lt;&gt;"",G536&lt;&gt;"",H536&lt;&gt;""),F536+G536-H536,"")</f>
        <v/>
      </c>
      <c r="J536" s="18" t="n"/>
      <c r="K536" s="18" t="n"/>
    </row>
    <row r="537">
      <c r="A537" s="22" t="n"/>
      <c r="B537" s="35">
        <f>IF(A537="","",VALUE(LEFT(A537,4)))</f>
        <v/>
      </c>
      <c r="C537" s="36">
        <f>IF(A537="","",VALUE(RIGHT(A537,2)))</f>
        <v/>
      </c>
      <c r="D537" s="22" t="n"/>
      <c r="E537" s="22" t="n"/>
      <c r="F537" s="42" t="n"/>
      <c r="G537" s="42" t="n"/>
      <c r="H537" s="42" t="n"/>
      <c r="I537" s="43">
        <f>IF(AND(F537&lt;&gt;"",G537&lt;&gt;"",H537&lt;&gt;""),F537+G537-H537,"")</f>
        <v/>
      </c>
      <c r="J537" s="22" t="n"/>
      <c r="K537" s="22" t="n"/>
    </row>
    <row r="538">
      <c r="A538" s="18" t="n"/>
      <c r="B538" s="35">
        <f>IF(A538="","",VALUE(LEFT(A538,4)))</f>
        <v/>
      </c>
      <c r="C538" s="36">
        <f>IF(A538="","",VALUE(RIGHT(A538,2)))</f>
        <v/>
      </c>
      <c r="D538" s="18" t="n"/>
      <c r="E538" s="18" t="n"/>
      <c r="F538" s="38" t="n"/>
      <c r="G538" s="38" t="n"/>
      <c r="H538" s="38" t="n"/>
      <c r="I538" s="43">
        <f>IF(AND(F538&lt;&gt;"",G538&lt;&gt;"",H538&lt;&gt;""),F538+G538-H538,"")</f>
        <v/>
      </c>
      <c r="J538" s="18" t="n"/>
      <c r="K538" s="18" t="n"/>
    </row>
    <row r="539">
      <c r="A539" s="22" t="n"/>
      <c r="B539" s="35">
        <f>IF(A539="","",VALUE(LEFT(A539,4)))</f>
        <v/>
      </c>
      <c r="C539" s="36">
        <f>IF(A539="","",VALUE(RIGHT(A539,2)))</f>
        <v/>
      </c>
      <c r="D539" s="22" t="n"/>
      <c r="E539" s="22" t="n"/>
      <c r="F539" s="42" t="n"/>
      <c r="G539" s="42" t="n"/>
      <c r="H539" s="42" t="n"/>
      <c r="I539" s="43">
        <f>IF(AND(F539&lt;&gt;"",G539&lt;&gt;"",H539&lt;&gt;""),F539+G539-H539,"")</f>
        <v/>
      </c>
      <c r="J539" s="22" t="n"/>
      <c r="K539" s="22" t="n"/>
    </row>
    <row r="540">
      <c r="A540" s="18" t="n"/>
      <c r="B540" s="35">
        <f>IF(A540="","",VALUE(LEFT(A540,4)))</f>
        <v/>
      </c>
      <c r="C540" s="36">
        <f>IF(A540="","",VALUE(RIGHT(A540,2)))</f>
        <v/>
      </c>
      <c r="D540" s="18" t="n"/>
      <c r="E540" s="18" t="n"/>
      <c r="F540" s="38" t="n"/>
      <c r="G540" s="38" t="n"/>
      <c r="H540" s="38" t="n"/>
      <c r="I540" s="43">
        <f>IF(AND(F540&lt;&gt;"",G540&lt;&gt;"",H540&lt;&gt;""),F540+G540-H540,"")</f>
        <v/>
      </c>
      <c r="J540" s="18" t="n"/>
      <c r="K540" s="18" t="n"/>
    </row>
    <row r="541">
      <c r="A541" s="22" t="n"/>
      <c r="B541" s="35">
        <f>IF(A541="","",VALUE(LEFT(A541,4)))</f>
        <v/>
      </c>
      <c r="C541" s="36">
        <f>IF(A541="","",VALUE(RIGHT(A541,2)))</f>
        <v/>
      </c>
      <c r="D541" s="22" t="n"/>
      <c r="E541" s="22" t="n"/>
      <c r="F541" s="42" t="n"/>
      <c r="G541" s="42" t="n"/>
      <c r="H541" s="42" t="n"/>
      <c r="I541" s="43">
        <f>IF(AND(F541&lt;&gt;"",G541&lt;&gt;"",H541&lt;&gt;""),F541+G541-H541,"")</f>
        <v/>
      </c>
      <c r="J541" s="22" t="n"/>
      <c r="K541" s="22" t="n"/>
    </row>
    <row r="542">
      <c r="A542" s="18" t="n"/>
      <c r="B542" s="35">
        <f>IF(A542="","",VALUE(LEFT(A542,4)))</f>
        <v/>
      </c>
      <c r="C542" s="36">
        <f>IF(A542="","",VALUE(RIGHT(A542,2)))</f>
        <v/>
      </c>
      <c r="D542" s="18" t="n"/>
      <c r="E542" s="18" t="n"/>
      <c r="F542" s="38" t="n"/>
      <c r="G542" s="38" t="n"/>
      <c r="H542" s="38" t="n"/>
      <c r="I542" s="43">
        <f>IF(AND(F542&lt;&gt;"",G542&lt;&gt;"",H542&lt;&gt;""),F542+G542-H542,"")</f>
        <v/>
      </c>
      <c r="J542" s="18" t="n"/>
      <c r="K542" s="18" t="n"/>
    </row>
    <row r="543">
      <c r="A543" s="22" t="n"/>
      <c r="B543" s="35">
        <f>IF(A543="","",VALUE(LEFT(A543,4)))</f>
        <v/>
      </c>
      <c r="C543" s="36">
        <f>IF(A543="","",VALUE(RIGHT(A543,2)))</f>
        <v/>
      </c>
      <c r="D543" s="22" t="n"/>
      <c r="E543" s="22" t="n"/>
      <c r="F543" s="42" t="n"/>
      <c r="G543" s="42" t="n"/>
      <c r="H543" s="42" t="n"/>
      <c r="I543" s="43">
        <f>IF(AND(F543&lt;&gt;"",G543&lt;&gt;"",H543&lt;&gt;""),F543+G543-H543,"")</f>
        <v/>
      </c>
      <c r="J543" s="22" t="n"/>
      <c r="K543" s="22" t="n"/>
    </row>
    <row r="544">
      <c r="A544" s="18" t="n"/>
      <c r="B544" s="35">
        <f>IF(A544="","",VALUE(LEFT(A544,4)))</f>
        <v/>
      </c>
      <c r="C544" s="36">
        <f>IF(A544="","",VALUE(RIGHT(A544,2)))</f>
        <v/>
      </c>
      <c r="D544" s="18" t="n"/>
      <c r="E544" s="18" t="n"/>
      <c r="F544" s="38" t="n"/>
      <c r="G544" s="38" t="n"/>
      <c r="H544" s="38" t="n"/>
      <c r="I544" s="43">
        <f>IF(AND(F544&lt;&gt;"",G544&lt;&gt;"",H544&lt;&gt;""),F544+G544-H544,"")</f>
        <v/>
      </c>
      <c r="J544" s="18" t="n"/>
      <c r="K544" s="18" t="n"/>
    </row>
    <row r="545">
      <c r="A545" s="22" t="n"/>
      <c r="B545" s="35">
        <f>IF(A545="","",VALUE(LEFT(A545,4)))</f>
        <v/>
      </c>
      <c r="C545" s="36">
        <f>IF(A545="","",VALUE(RIGHT(A545,2)))</f>
        <v/>
      </c>
      <c r="D545" s="22" t="n"/>
      <c r="E545" s="22" t="n"/>
      <c r="F545" s="42" t="n"/>
      <c r="G545" s="42" t="n"/>
      <c r="H545" s="42" t="n"/>
      <c r="I545" s="43">
        <f>IF(AND(F545&lt;&gt;"",G545&lt;&gt;"",H545&lt;&gt;""),F545+G545-H545,"")</f>
        <v/>
      </c>
      <c r="J545" s="22" t="n"/>
      <c r="K545" s="22" t="n"/>
    </row>
    <row r="546">
      <c r="A546" s="18" t="n"/>
      <c r="B546" s="35">
        <f>IF(A546="","",VALUE(LEFT(A546,4)))</f>
        <v/>
      </c>
      <c r="C546" s="36">
        <f>IF(A546="","",VALUE(RIGHT(A546,2)))</f>
        <v/>
      </c>
      <c r="D546" s="18" t="n"/>
      <c r="E546" s="18" t="n"/>
      <c r="F546" s="38" t="n"/>
      <c r="G546" s="38" t="n"/>
      <c r="H546" s="38" t="n"/>
      <c r="I546" s="43">
        <f>IF(AND(F546&lt;&gt;"",G546&lt;&gt;"",H546&lt;&gt;""),F546+G546-H546,"")</f>
        <v/>
      </c>
      <c r="J546" s="18" t="n"/>
      <c r="K546" s="18" t="n"/>
    </row>
    <row r="547">
      <c r="A547" s="22" t="n"/>
      <c r="B547" s="35">
        <f>IF(A547="","",VALUE(LEFT(A547,4)))</f>
        <v/>
      </c>
      <c r="C547" s="36">
        <f>IF(A547="","",VALUE(RIGHT(A547,2)))</f>
        <v/>
      </c>
      <c r="D547" s="22" t="n"/>
      <c r="E547" s="22" t="n"/>
      <c r="F547" s="42" t="n"/>
      <c r="G547" s="42" t="n"/>
      <c r="H547" s="42" t="n"/>
      <c r="I547" s="43">
        <f>IF(AND(F547&lt;&gt;"",G547&lt;&gt;"",H547&lt;&gt;""),F547+G547-H547,"")</f>
        <v/>
      </c>
      <c r="J547" s="22" t="n"/>
      <c r="K547" s="22" t="n"/>
    </row>
    <row r="548">
      <c r="A548" s="18" t="n"/>
      <c r="B548" s="35">
        <f>IF(A548="","",VALUE(LEFT(A548,4)))</f>
        <v/>
      </c>
      <c r="C548" s="36">
        <f>IF(A548="","",VALUE(RIGHT(A548,2)))</f>
        <v/>
      </c>
      <c r="D548" s="18" t="n"/>
      <c r="E548" s="18" t="n"/>
      <c r="F548" s="38" t="n"/>
      <c r="G548" s="38" t="n"/>
      <c r="H548" s="38" t="n"/>
      <c r="I548" s="43">
        <f>IF(AND(F548&lt;&gt;"",G548&lt;&gt;"",H548&lt;&gt;""),F548+G548-H548,"")</f>
        <v/>
      </c>
      <c r="J548" s="18" t="n"/>
      <c r="K548" s="18" t="n"/>
    </row>
    <row r="549">
      <c r="A549" s="22" t="n"/>
      <c r="B549" s="35">
        <f>IF(A549="","",VALUE(LEFT(A549,4)))</f>
        <v/>
      </c>
      <c r="C549" s="36">
        <f>IF(A549="","",VALUE(RIGHT(A549,2)))</f>
        <v/>
      </c>
      <c r="D549" s="22" t="n"/>
      <c r="E549" s="22" t="n"/>
      <c r="F549" s="42" t="n"/>
      <c r="G549" s="42" t="n"/>
      <c r="H549" s="42" t="n"/>
      <c r="I549" s="43">
        <f>IF(AND(F549&lt;&gt;"",G549&lt;&gt;"",H549&lt;&gt;""),F549+G549-H549,"")</f>
        <v/>
      </c>
      <c r="J549" s="22" t="n"/>
      <c r="K549" s="22" t="n"/>
    </row>
    <row r="550">
      <c r="A550" s="18" t="n"/>
      <c r="B550" s="35">
        <f>IF(A550="","",VALUE(LEFT(A550,4)))</f>
        <v/>
      </c>
      <c r="C550" s="36">
        <f>IF(A550="","",VALUE(RIGHT(A550,2)))</f>
        <v/>
      </c>
      <c r="D550" s="18" t="n"/>
      <c r="E550" s="18" t="n"/>
      <c r="F550" s="38" t="n"/>
      <c r="G550" s="38" t="n"/>
      <c r="H550" s="38" t="n"/>
      <c r="I550" s="43">
        <f>IF(AND(F550&lt;&gt;"",G550&lt;&gt;"",H550&lt;&gt;""),F550+G550-H550,"")</f>
        <v/>
      </c>
      <c r="J550" s="18" t="n"/>
      <c r="K550" s="18" t="n"/>
    </row>
    <row r="551">
      <c r="A551" s="22" t="n"/>
      <c r="B551" s="35">
        <f>IF(A551="","",VALUE(LEFT(A551,4)))</f>
        <v/>
      </c>
      <c r="C551" s="36">
        <f>IF(A551="","",VALUE(RIGHT(A551,2)))</f>
        <v/>
      </c>
      <c r="D551" s="22" t="n"/>
      <c r="E551" s="22" t="n"/>
      <c r="F551" s="42" t="n"/>
      <c r="G551" s="42" t="n"/>
      <c r="H551" s="42" t="n"/>
      <c r="I551" s="43">
        <f>IF(AND(F551&lt;&gt;"",G551&lt;&gt;"",H551&lt;&gt;""),F551+G551-H551,"")</f>
        <v/>
      </c>
      <c r="J551" s="22" t="n"/>
      <c r="K551" s="22" t="n"/>
    </row>
    <row r="552">
      <c r="A552" s="18" t="n"/>
      <c r="B552" s="35">
        <f>IF(A552="","",VALUE(LEFT(A552,4)))</f>
        <v/>
      </c>
      <c r="C552" s="36">
        <f>IF(A552="","",VALUE(RIGHT(A552,2)))</f>
        <v/>
      </c>
      <c r="D552" s="18" t="n"/>
      <c r="E552" s="18" t="n"/>
      <c r="F552" s="38" t="n"/>
      <c r="G552" s="38" t="n"/>
      <c r="H552" s="38" t="n"/>
      <c r="I552" s="43">
        <f>IF(AND(F552&lt;&gt;"",G552&lt;&gt;"",H552&lt;&gt;""),F552+G552-H552,"")</f>
        <v/>
      </c>
      <c r="J552" s="18" t="n"/>
      <c r="K552" s="18" t="n"/>
    </row>
    <row r="553">
      <c r="A553" s="22" t="n"/>
      <c r="B553" s="35">
        <f>IF(A553="","",VALUE(LEFT(A553,4)))</f>
        <v/>
      </c>
      <c r="C553" s="36">
        <f>IF(A553="","",VALUE(RIGHT(A553,2)))</f>
        <v/>
      </c>
      <c r="D553" s="22" t="n"/>
      <c r="E553" s="22" t="n"/>
      <c r="F553" s="42" t="n"/>
      <c r="G553" s="42" t="n"/>
      <c r="H553" s="42" t="n"/>
      <c r="I553" s="43">
        <f>IF(AND(F553&lt;&gt;"",G553&lt;&gt;"",H553&lt;&gt;""),F553+G553-H553,"")</f>
        <v/>
      </c>
      <c r="J553" s="22" t="n"/>
      <c r="K553" s="22" t="n"/>
    </row>
    <row r="554">
      <c r="A554" s="18" t="n"/>
      <c r="B554" s="35">
        <f>IF(A554="","",VALUE(LEFT(A554,4)))</f>
        <v/>
      </c>
      <c r="C554" s="36">
        <f>IF(A554="","",VALUE(RIGHT(A554,2)))</f>
        <v/>
      </c>
      <c r="D554" s="18" t="n"/>
      <c r="E554" s="18" t="n"/>
      <c r="F554" s="38" t="n"/>
      <c r="G554" s="38" t="n"/>
      <c r="H554" s="38" t="n"/>
      <c r="I554" s="43">
        <f>IF(AND(F554&lt;&gt;"",G554&lt;&gt;"",H554&lt;&gt;""),F554+G554-H554,"")</f>
        <v/>
      </c>
      <c r="J554" s="18" t="n"/>
      <c r="K554" s="18" t="n"/>
    </row>
    <row r="555">
      <c r="A555" s="22" t="n"/>
      <c r="B555" s="35">
        <f>IF(A555="","",VALUE(LEFT(A555,4)))</f>
        <v/>
      </c>
      <c r="C555" s="36">
        <f>IF(A555="","",VALUE(RIGHT(A555,2)))</f>
        <v/>
      </c>
      <c r="D555" s="22" t="n"/>
      <c r="E555" s="22" t="n"/>
      <c r="F555" s="42" t="n"/>
      <c r="G555" s="42" t="n"/>
      <c r="H555" s="42" t="n"/>
      <c r="I555" s="43">
        <f>IF(AND(F555&lt;&gt;"",G555&lt;&gt;"",H555&lt;&gt;""),F555+G555-H555,"")</f>
        <v/>
      </c>
      <c r="J555" s="22" t="n"/>
      <c r="K555" s="22" t="n"/>
    </row>
    <row r="556">
      <c r="A556" s="18" t="n"/>
      <c r="B556" s="35">
        <f>IF(A556="","",VALUE(LEFT(A556,4)))</f>
        <v/>
      </c>
      <c r="C556" s="36">
        <f>IF(A556="","",VALUE(RIGHT(A556,2)))</f>
        <v/>
      </c>
      <c r="D556" s="18" t="n"/>
      <c r="E556" s="18" t="n"/>
      <c r="F556" s="38" t="n"/>
      <c r="G556" s="38" t="n"/>
      <c r="H556" s="38" t="n"/>
      <c r="I556" s="43">
        <f>IF(AND(F556&lt;&gt;"",G556&lt;&gt;"",H556&lt;&gt;""),F556+G556-H556,"")</f>
        <v/>
      </c>
      <c r="J556" s="18" t="n"/>
      <c r="K556" s="18" t="n"/>
    </row>
    <row r="557">
      <c r="A557" s="22" t="n"/>
      <c r="B557" s="35">
        <f>IF(A557="","",VALUE(LEFT(A557,4)))</f>
        <v/>
      </c>
      <c r="C557" s="36">
        <f>IF(A557="","",VALUE(RIGHT(A557,2)))</f>
        <v/>
      </c>
      <c r="D557" s="22" t="n"/>
      <c r="E557" s="22" t="n"/>
      <c r="F557" s="42" t="n"/>
      <c r="G557" s="42" t="n"/>
      <c r="H557" s="42" t="n"/>
      <c r="I557" s="43">
        <f>IF(AND(F557&lt;&gt;"",G557&lt;&gt;"",H557&lt;&gt;""),F557+G557-H557,"")</f>
        <v/>
      </c>
      <c r="J557" s="22" t="n"/>
      <c r="K557" s="22" t="n"/>
    </row>
    <row r="558">
      <c r="A558" s="18" t="n"/>
      <c r="B558" s="35">
        <f>IF(A558="","",VALUE(LEFT(A558,4)))</f>
        <v/>
      </c>
      <c r="C558" s="36">
        <f>IF(A558="","",VALUE(RIGHT(A558,2)))</f>
        <v/>
      </c>
      <c r="D558" s="18" t="n"/>
      <c r="E558" s="18" t="n"/>
      <c r="F558" s="38" t="n"/>
      <c r="G558" s="38" t="n"/>
      <c r="H558" s="38" t="n"/>
      <c r="I558" s="43">
        <f>IF(AND(F558&lt;&gt;"",G558&lt;&gt;"",H558&lt;&gt;""),F558+G558-H558,"")</f>
        <v/>
      </c>
      <c r="J558" s="18" t="n"/>
      <c r="K558" s="18" t="n"/>
    </row>
    <row r="559">
      <c r="A559" s="22" t="n"/>
      <c r="B559" s="35">
        <f>IF(A559="","",VALUE(LEFT(A559,4)))</f>
        <v/>
      </c>
      <c r="C559" s="36">
        <f>IF(A559="","",VALUE(RIGHT(A559,2)))</f>
        <v/>
      </c>
      <c r="D559" s="22" t="n"/>
      <c r="E559" s="22" t="n"/>
      <c r="F559" s="42" t="n"/>
      <c r="G559" s="42" t="n"/>
      <c r="H559" s="42" t="n"/>
      <c r="I559" s="43">
        <f>IF(AND(F559&lt;&gt;"",G559&lt;&gt;"",H559&lt;&gt;""),F559+G559-H559,"")</f>
        <v/>
      </c>
      <c r="J559" s="22" t="n"/>
      <c r="K559" s="22" t="n"/>
    </row>
    <row r="560">
      <c r="A560" s="18" t="n"/>
      <c r="B560" s="35">
        <f>IF(A560="","",VALUE(LEFT(A560,4)))</f>
        <v/>
      </c>
      <c r="C560" s="36">
        <f>IF(A560="","",VALUE(RIGHT(A560,2)))</f>
        <v/>
      </c>
      <c r="D560" s="18" t="n"/>
      <c r="E560" s="18" t="n"/>
      <c r="F560" s="38" t="n"/>
      <c r="G560" s="38" t="n"/>
      <c r="H560" s="38" t="n"/>
      <c r="I560" s="43">
        <f>IF(AND(F560&lt;&gt;"",G560&lt;&gt;"",H560&lt;&gt;""),F560+G560-H560,"")</f>
        <v/>
      </c>
      <c r="J560" s="18" t="n"/>
      <c r="K560" s="18" t="n"/>
    </row>
    <row r="561">
      <c r="A561" s="22" t="n"/>
      <c r="B561" s="35">
        <f>IF(A561="","",VALUE(LEFT(A561,4)))</f>
        <v/>
      </c>
      <c r="C561" s="36">
        <f>IF(A561="","",VALUE(RIGHT(A561,2)))</f>
        <v/>
      </c>
      <c r="D561" s="22" t="n"/>
      <c r="E561" s="22" t="n"/>
      <c r="F561" s="42" t="n"/>
      <c r="G561" s="42" t="n"/>
      <c r="H561" s="42" t="n"/>
      <c r="I561" s="43">
        <f>IF(AND(F561&lt;&gt;"",G561&lt;&gt;"",H561&lt;&gt;""),F561+G561-H561,"")</f>
        <v/>
      </c>
      <c r="J561" s="22" t="n"/>
      <c r="K561" s="22" t="n"/>
    </row>
    <row r="562">
      <c r="A562" s="18" t="n"/>
      <c r="B562" s="35">
        <f>IF(A562="","",VALUE(LEFT(A562,4)))</f>
        <v/>
      </c>
      <c r="C562" s="36">
        <f>IF(A562="","",VALUE(RIGHT(A562,2)))</f>
        <v/>
      </c>
      <c r="D562" s="18" t="n"/>
      <c r="E562" s="18" t="n"/>
      <c r="F562" s="38" t="n"/>
      <c r="G562" s="38" t="n"/>
      <c r="H562" s="38" t="n"/>
      <c r="I562" s="43">
        <f>IF(AND(F562&lt;&gt;"",G562&lt;&gt;"",H562&lt;&gt;""),F562+G562-H562,"")</f>
        <v/>
      </c>
      <c r="J562" s="18" t="n"/>
      <c r="K562" s="18" t="n"/>
    </row>
    <row r="563">
      <c r="A563" s="22" t="n"/>
      <c r="B563" s="35">
        <f>IF(A563="","",VALUE(LEFT(A563,4)))</f>
        <v/>
      </c>
      <c r="C563" s="36">
        <f>IF(A563="","",VALUE(RIGHT(A563,2)))</f>
        <v/>
      </c>
      <c r="D563" s="22" t="n"/>
      <c r="E563" s="22" t="n"/>
      <c r="F563" s="42" t="n"/>
      <c r="G563" s="42" t="n"/>
      <c r="H563" s="42" t="n"/>
      <c r="I563" s="43">
        <f>IF(AND(F563&lt;&gt;"",G563&lt;&gt;"",H563&lt;&gt;""),F563+G563-H563,"")</f>
        <v/>
      </c>
      <c r="J563" s="22" t="n"/>
      <c r="K563" s="22" t="n"/>
    </row>
    <row r="564">
      <c r="A564" s="18" t="n"/>
      <c r="B564" s="35">
        <f>IF(A564="","",VALUE(LEFT(A564,4)))</f>
        <v/>
      </c>
      <c r="C564" s="36">
        <f>IF(A564="","",VALUE(RIGHT(A564,2)))</f>
        <v/>
      </c>
      <c r="D564" s="18" t="n"/>
      <c r="E564" s="18" t="n"/>
      <c r="F564" s="38" t="n"/>
      <c r="G564" s="38" t="n"/>
      <c r="H564" s="38" t="n"/>
      <c r="I564" s="43">
        <f>IF(AND(F564&lt;&gt;"",G564&lt;&gt;"",H564&lt;&gt;""),F564+G564-H564,"")</f>
        <v/>
      </c>
      <c r="J564" s="18" t="n"/>
      <c r="K564" s="18" t="n"/>
    </row>
    <row r="565">
      <c r="A565" s="22" t="n"/>
      <c r="B565" s="35">
        <f>IF(A565="","",VALUE(LEFT(A565,4)))</f>
        <v/>
      </c>
      <c r="C565" s="36">
        <f>IF(A565="","",VALUE(RIGHT(A565,2)))</f>
        <v/>
      </c>
      <c r="D565" s="22" t="n"/>
      <c r="E565" s="22" t="n"/>
      <c r="F565" s="42" t="n"/>
      <c r="G565" s="42" t="n"/>
      <c r="H565" s="42" t="n"/>
      <c r="I565" s="43">
        <f>IF(AND(F565&lt;&gt;"",G565&lt;&gt;"",H565&lt;&gt;""),F565+G565-H565,"")</f>
        <v/>
      </c>
      <c r="J565" s="22" t="n"/>
      <c r="K565" s="22" t="n"/>
    </row>
    <row r="566">
      <c r="A566" s="18" t="n"/>
      <c r="B566" s="35">
        <f>IF(A566="","",VALUE(LEFT(A566,4)))</f>
        <v/>
      </c>
      <c r="C566" s="36">
        <f>IF(A566="","",VALUE(RIGHT(A566,2)))</f>
        <v/>
      </c>
      <c r="D566" s="18" t="n"/>
      <c r="E566" s="18" t="n"/>
      <c r="F566" s="38" t="n"/>
      <c r="G566" s="38" t="n"/>
      <c r="H566" s="38" t="n"/>
      <c r="I566" s="43">
        <f>IF(AND(F566&lt;&gt;"",G566&lt;&gt;"",H566&lt;&gt;""),F566+G566-H566,"")</f>
        <v/>
      </c>
      <c r="J566" s="18" t="n"/>
      <c r="K566" s="18" t="n"/>
    </row>
    <row r="567">
      <c r="A567" s="22" t="n"/>
      <c r="B567" s="35">
        <f>IF(A567="","",VALUE(LEFT(A567,4)))</f>
        <v/>
      </c>
      <c r="C567" s="36">
        <f>IF(A567="","",VALUE(RIGHT(A567,2)))</f>
        <v/>
      </c>
      <c r="D567" s="22" t="n"/>
      <c r="E567" s="22" t="n"/>
      <c r="F567" s="42" t="n"/>
      <c r="G567" s="42" t="n"/>
      <c r="H567" s="42" t="n"/>
      <c r="I567" s="43">
        <f>IF(AND(F567&lt;&gt;"",G567&lt;&gt;"",H567&lt;&gt;""),F567+G567-H567,"")</f>
        <v/>
      </c>
      <c r="J567" s="22" t="n"/>
      <c r="K567" s="22" t="n"/>
    </row>
    <row r="568">
      <c r="A568" s="18" t="n"/>
      <c r="B568" s="35">
        <f>IF(A568="","",VALUE(LEFT(A568,4)))</f>
        <v/>
      </c>
      <c r="C568" s="36">
        <f>IF(A568="","",VALUE(RIGHT(A568,2)))</f>
        <v/>
      </c>
      <c r="D568" s="18" t="n"/>
      <c r="E568" s="18" t="n"/>
      <c r="F568" s="38" t="n"/>
      <c r="G568" s="38" t="n"/>
      <c r="H568" s="38" t="n"/>
      <c r="I568" s="43">
        <f>IF(AND(F568&lt;&gt;"",G568&lt;&gt;"",H568&lt;&gt;""),F568+G568-H568,"")</f>
        <v/>
      </c>
      <c r="J568" s="18" t="n"/>
      <c r="K568" s="18" t="n"/>
    </row>
    <row r="569">
      <c r="A569" s="22" t="n"/>
      <c r="B569" s="35">
        <f>IF(A569="","",VALUE(LEFT(A569,4)))</f>
        <v/>
      </c>
      <c r="C569" s="36">
        <f>IF(A569="","",VALUE(RIGHT(A569,2)))</f>
        <v/>
      </c>
      <c r="D569" s="22" t="n"/>
      <c r="E569" s="22" t="n"/>
      <c r="F569" s="42" t="n"/>
      <c r="G569" s="42" t="n"/>
      <c r="H569" s="42" t="n"/>
      <c r="I569" s="43">
        <f>IF(AND(F569&lt;&gt;"",G569&lt;&gt;"",H569&lt;&gt;""),F569+G569-H569,"")</f>
        <v/>
      </c>
      <c r="J569" s="22" t="n"/>
      <c r="K569" s="22" t="n"/>
    </row>
    <row r="570">
      <c r="A570" s="18" t="n"/>
      <c r="B570" s="35">
        <f>IF(A570="","",VALUE(LEFT(A570,4)))</f>
        <v/>
      </c>
      <c r="C570" s="36">
        <f>IF(A570="","",VALUE(RIGHT(A570,2)))</f>
        <v/>
      </c>
      <c r="D570" s="18" t="n"/>
      <c r="E570" s="18" t="n"/>
      <c r="F570" s="38" t="n"/>
      <c r="G570" s="38" t="n"/>
      <c r="H570" s="38" t="n"/>
      <c r="I570" s="43">
        <f>IF(AND(F570&lt;&gt;"",G570&lt;&gt;"",H570&lt;&gt;""),F570+G570-H570,"")</f>
        <v/>
      </c>
      <c r="J570" s="18" t="n"/>
      <c r="K570" s="18" t="n"/>
    </row>
    <row r="571">
      <c r="A571" s="22" t="n"/>
      <c r="B571" s="35">
        <f>IF(A571="","",VALUE(LEFT(A571,4)))</f>
        <v/>
      </c>
      <c r="C571" s="36">
        <f>IF(A571="","",VALUE(RIGHT(A571,2)))</f>
        <v/>
      </c>
      <c r="D571" s="22" t="n"/>
      <c r="E571" s="22" t="n"/>
      <c r="F571" s="42" t="n"/>
      <c r="G571" s="42" t="n"/>
      <c r="H571" s="42" t="n"/>
      <c r="I571" s="43">
        <f>IF(AND(F571&lt;&gt;"",G571&lt;&gt;"",H571&lt;&gt;""),F571+G571-H571,"")</f>
        <v/>
      </c>
      <c r="J571" s="22" t="n"/>
      <c r="K571" s="22" t="n"/>
    </row>
    <row r="572">
      <c r="A572" s="18" t="n"/>
      <c r="B572" s="35">
        <f>IF(A572="","",VALUE(LEFT(A572,4)))</f>
        <v/>
      </c>
      <c r="C572" s="36">
        <f>IF(A572="","",VALUE(RIGHT(A572,2)))</f>
        <v/>
      </c>
      <c r="D572" s="18" t="n"/>
      <c r="E572" s="18" t="n"/>
      <c r="F572" s="38" t="n"/>
      <c r="G572" s="38" t="n"/>
      <c r="H572" s="38" t="n"/>
      <c r="I572" s="43">
        <f>IF(AND(F572&lt;&gt;"",G572&lt;&gt;"",H572&lt;&gt;""),F572+G572-H572,"")</f>
        <v/>
      </c>
      <c r="J572" s="18" t="n"/>
      <c r="K572" s="18" t="n"/>
    </row>
    <row r="573">
      <c r="A573" s="22" t="n"/>
      <c r="B573" s="35">
        <f>IF(A573="","",VALUE(LEFT(A573,4)))</f>
        <v/>
      </c>
      <c r="C573" s="36">
        <f>IF(A573="","",VALUE(RIGHT(A573,2)))</f>
        <v/>
      </c>
      <c r="D573" s="22" t="n"/>
      <c r="E573" s="22" t="n"/>
      <c r="F573" s="42" t="n"/>
      <c r="G573" s="42" t="n"/>
      <c r="H573" s="42" t="n"/>
      <c r="I573" s="43">
        <f>IF(AND(F573&lt;&gt;"",G573&lt;&gt;"",H573&lt;&gt;""),F573+G573-H573,"")</f>
        <v/>
      </c>
      <c r="J573" s="22" t="n"/>
      <c r="K573" s="22" t="n"/>
    </row>
    <row r="574">
      <c r="A574" s="18" t="n"/>
      <c r="B574" s="35">
        <f>IF(A574="","",VALUE(LEFT(A574,4)))</f>
        <v/>
      </c>
      <c r="C574" s="36">
        <f>IF(A574="","",VALUE(RIGHT(A574,2)))</f>
        <v/>
      </c>
      <c r="D574" s="18" t="n"/>
      <c r="E574" s="18" t="n"/>
      <c r="F574" s="38" t="n"/>
      <c r="G574" s="38" t="n"/>
      <c r="H574" s="38" t="n"/>
      <c r="I574" s="43">
        <f>IF(AND(F574&lt;&gt;"",G574&lt;&gt;"",H574&lt;&gt;""),F574+G574-H574,"")</f>
        <v/>
      </c>
      <c r="J574" s="18" t="n"/>
      <c r="K574" s="18" t="n"/>
    </row>
    <row r="575">
      <c r="A575" s="22" t="n"/>
      <c r="B575" s="35">
        <f>IF(A575="","",VALUE(LEFT(A575,4)))</f>
        <v/>
      </c>
      <c r="C575" s="36">
        <f>IF(A575="","",VALUE(RIGHT(A575,2)))</f>
        <v/>
      </c>
      <c r="D575" s="22" t="n"/>
      <c r="E575" s="22" t="n"/>
      <c r="F575" s="42" t="n"/>
      <c r="G575" s="42" t="n"/>
      <c r="H575" s="42" t="n"/>
      <c r="I575" s="43">
        <f>IF(AND(F575&lt;&gt;"",G575&lt;&gt;"",H575&lt;&gt;""),F575+G575-H575,"")</f>
        <v/>
      </c>
      <c r="J575" s="22" t="n"/>
      <c r="K575" s="22" t="n"/>
    </row>
    <row r="576">
      <c r="A576" s="18" t="n"/>
      <c r="B576" s="35">
        <f>IF(A576="","",VALUE(LEFT(A576,4)))</f>
        <v/>
      </c>
      <c r="C576" s="36">
        <f>IF(A576="","",VALUE(RIGHT(A576,2)))</f>
        <v/>
      </c>
      <c r="D576" s="18" t="n"/>
      <c r="E576" s="18" t="n"/>
      <c r="F576" s="38" t="n"/>
      <c r="G576" s="38" t="n"/>
      <c r="H576" s="38" t="n"/>
      <c r="I576" s="43">
        <f>IF(AND(F576&lt;&gt;"",G576&lt;&gt;"",H576&lt;&gt;""),F576+G576-H576,"")</f>
        <v/>
      </c>
      <c r="J576" s="18" t="n"/>
      <c r="K576" s="18" t="n"/>
    </row>
    <row r="577">
      <c r="A577" s="22" t="n"/>
      <c r="B577" s="35">
        <f>IF(A577="","",VALUE(LEFT(A577,4)))</f>
        <v/>
      </c>
      <c r="C577" s="36">
        <f>IF(A577="","",VALUE(RIGHT(A577,2)))</f>
        <v/>
      </c>
      <c r="D577" s="22" t="n"/>
      <c r="E577" s="22" t="n"/>
      <c r="F577" s="42" t="n"/>
      <c r="G577" s="42" t="n"/>
      <c r="H577" s="42" t="n"/>
      <c r="I577" s="43">
        <f>IF(AND(F577&lt;&gt;"",G577&lt;&gt;"",H577&lt;&gt;""),F577+G577-H577,"")</f>
        <v/>
      </c>
      <c r="J577" s="22" t="n"/>
      <c r="K577" s="22" t="n"/>
    </row>
    <row r="578">
      <c r="A578" s="18" t="n"/>
      <c r="B578" s="35">
        <f>IF(A578="","",VALUE(LEFT(A578,4)))</f>
        <v/>
      </c>
      <c r="C578" s="36">
        <f>IF(A578="","",VALUE(RIGHT(A578,2)))</f>
        <v/>
      </c>
      <c r="D578" s="18" t="n"/>
      <c r="E578" s="18" t="n"/>
      <c r="F578" s="38" t="n"/>
      <c r="G578" s="38" t="n"/>
      <c r="H578" s="38" t="n"/>
      <c r="I578" s="43">
        <f>IF(AND(F578&lt;&gt;"",G578&lt;&gt;"",H578&lt;&gt;""),F578+G578-H578,"")</f>
        <v/>
      </c>
      <c r="J578" s="18" t="n"/>
      <c r="K578" s="18" t="n"/>
    </row>
    <row r="579">
      <c r="A579" s="22" t="n"/>
      <c r="B579" s="35">
        <f>IF(A579="","",VALUE(LEFT(A579,4)))</f>
        <v/>
      </c>
      <c r="C579" s="36">
        <f>IF(A579="","",VALUE(RIGHT(A579,2)))</f>
        <v/>
      </c>
      <c r="D579" s="22" t="n"/>
      <c r="E579" s="22" t="n"/>
      <c r="F579" s="42" t="n"/>
      <c r="G579" s="42" t="n"/>
      <c r="H579" s="42" t="n"/>
      <c r="I579" s="43">
        <f>IF(AND(F579&lt;&gt;"",G579&lt;&gt;"",H579&lt;&gt;""),F579+G579-H579,"")</f>
        <v/>
      </c>
      <c r="J579" s="22" t="n"/>
      <c r="K579" s="22" t="n"/>
    </row>
    <row r="580">
      <c r="A580" s="18" t="n"/>
      <c r="B580" s="35">
        <f>IF(A580="","",VALUE(LEFT(A580,4)))</f>
        <v/>
      </c>
      <c r="C580" s="36">
        <f>IF(A580="","",VALUE(RIGHT(A580,2)))</f>
        <v/>
      </c>
      <c r="D580" s="18" t="n"/>
      <c r="E580" s="18" t="n"/>
      <c r="F580" s="38" t="n"/>
      <c r="G580" s="38" t="n"/>
      <c r="H580" s="38" t="n"/>
      <c r="I580" s="43">
        <f>IF(AND(F580&lt;&gt;"",G580&lt;&gt;"",H580&lt;&gt;""),F580+G580-H580,"")</f>
        <v/>
      </c>
      <c r="J580" s="18" t="n"/>
      <c r="K580" s="18" t="n"/>
    </row>
    <row r="581">
      <c r="A581" s="22" t="n"/>
      <c r="B581" s="35">
        <f>IF(A581="","",VALUE(LEFT(A581,4)))</f>
        <v/>
      </c>
      <c r="C581" s="36">
        <f>IF(A581="","",VALUE(RIGHT(A581,2)))</f>
        <v/>
      </c>
      <c r="D581" s="22" t="n"/>
      <c r="E581" s="22" t="n"/>
      <c r="F581" s="42" t="n"/>
      <c r="G581" s="42" t="n"/>
      <c r="H581" s="42" t="n"/>
      <c r="I581" s="43">
        <f>IF(AND(F581&lt;&gt;"",G581&lt;&gt;"",H581&lt;&gt;""),F581+G581-H581,"")</f>
        <v/>
      </c>
      <c r="J581" s="22" t="n"/>
      <c r="K581" s="22" t="n"/>
    </row>
    <row r="582">
      <c r="A582" s="18" t="n"/>
      <c r="B582" s="35">
        <f>IF(A582="","",VALUE(LEFT(A582,4)))</f>
        <v/>
      </c>
      <c r="C582" s="36">
        <f>IF(A582="","",VALUE(RIGHT(A582,2)))</f>
        <v/>
      </c>
      <c r="D582" s="18" t="n"/>
      <c r="E582" s="18" t="n"/>
      <c r="F582" s="38" t="n"/>
      <c r="G582" s="38" t="n"/>
      <c r="H582" s="38" t="n"/>
      <c r="I582" s="43">
        <f>IF(AND(F582&lt;&gt;"",G582&lt;&gt;"",H582&lt;&gt;""),F582+G582-H582,"")</f>
        <v/>
      </c>
      <c r="J582" s="18" t="n"/>
      <c r="K582" s="18" t="n"/>
    </row>
    <row r="583">
      <c r="A583" s="22" t="n"/>
      <c r="B583" s="35">
        <f>IF(A583="","",VALUE(LEFT(A583,4)))</f>
        <v/>
      </c>
      <c r="C583" s="36">
        <f>IF(A583="","",VALUE(RIGHT(A583,2)))</f>
        <v/>
      </c>
      <c r="D583" s="22" t="n"/>
      <c r="E583" s="22" t="n"/>
      <c r="F583" s="42" t="n"/>
      <c r="G583" s="42" t="n"/>
      <c r="H583" s="42" t="n"/>
      <c r="I583" s="43">
        <f>IF(AND(F583&lt;&gt;"",G583&lt;&gt;"",H583&lt;&gt;""),F583+G583-H583,"")</f>
        <v/>
      </c>
      <c r="J583" s="22" t="n"/>
      <c r="K583" s="22" t="n"/>
    </row>
    <row r="584">
      <c r="A584" s="18" t="n"/>
      <c r="B584" s="35">
        <f>IF(A584="","",VALUE(LEFT(A584,4)))</f>
        <v/>
      </c>
      <c r="C584" s="36">
        <f>IF(A584="","",VALUE(RIGHT(A584,2)))</f>
        <v/>
      </c>
      <c r="D584" s="18" t="n"/>
      <c r="E584" s="18" t="n"/>
      <c r="F584" s="38" t="n"/>
      <c r="G584" s="38" t="n"/>
      <c r="H584" s="38" t="n"/>
      <c r="I584" s="43">
        <f>IF(AND(F584&lt;&gt;"",G584&lt;&gt;"",H584&lt;&gt;""),F584+G584-H584,"")</f>
        <v/>
      </c>
      <c r="J584" s="18" t="n"/>
      <c r="K584" s="18" t="n"/>
    </row>
    <row r="585">
      <c r="A585" s="22" t="n"/>
      <c r="B585" s="35">
        <f>IF(A585="","",VALUE(LEFT(A585,4)))</f>
        <v/>
      </c>
      <c r="C585" s="36">
        <f>IF(A585="","",VALUE(RIGHT(A585,2)))</f>
        <v/>
      </c>
      <c r="D585" s="22" t="n"/>
      <c r="E585" s="22" t="n"/>
      <c r="F585" s="42" t="n"/>
      <c r="G585" s="42" t="n"/>
      <c r="H585" s="42" t="n"/>
      <c r="I585" s="43">
        <f>IF(AND(F585&lt;&gt;"",G585&lt;&gt;"",H585&lt;&gt;""),F585+G585-H585,"")</f>
        <v/>
      </c>
      <c r="J585" s="22" t="n"/>
      <c r="K585" s="22" t="n"/>
    </row>
    <row r="586">
      <c r="A586" s="18" t="n"/>
      <c r="B586" s="35">
        <f>IF(A586="","",VALUE(LEFT(A586,4)))</f>
        <v/>
      </c>
      <c r="C586" s="36">
        <f>IF(A586="","",VALUE(RIGHT(A586,2)))</f>
        <v/>
      </c>
      <c r="D586" s="18" t="n"/>
      <c r="E586" s="18" t="n"/>
      <c r="F586" s="38" t="n"/>
      <c r="G586" s="38" t="n"/>
      <c r="H586" s="38" t="n"/>
      <c r="I586" s="43">
        <f>IF(AND(F586&lt;&gt;"",G586&lt;&gt;"",H586&lt;&gt;""),F586+G586-H586,"")</f>
        <v/>
      </c>
      <c r="J586" s="18" t="n"/>
      <c r="K586" s="18" t="n"/>
    </row>
    <row r="587">
      <c r="A587" s="22" t="n"/>
      <c r="B587" s="35">
        <f>IF(A587="","",VALUE(LEFT(A587,4)))</f>
        <v/>
      </c>
      <c r="C587" s="36">
        <f>IF(A587="","",VALUE(RIGHT(A587,2)))</f>
        <v/>
      </c>
      <c r="D587" s="22" t="n"/>
      <c r="E587" s="22" t="n"/>
      <c r="F587" s="42" t="n"/>
      <c r="G587" s="42" t="n"/>
      <c r="H587" s="42" t="n"/>
      <c r="I587" s="43">
        <f>IF(AND(F587&lt;&gt;"",G587&lt;&gt;"",H587&lt;&gt;""),F587+G587-H587,"")</f>
        <v/>
      </c>
      <c r="J587" s="22" t="n"/>
      <c r="K587" s="22" t="n"/>
    </row>
    <row r="588">
      <c r="A588" s="18" t="n"/>
      <c r="B588" s="35">
        <f>IF(A588="","",VALUE(LEFT(A588,4)))</f>
        <v/>
      </c>
      <c r="C588" s="36">
        <f>IF(A588="","",VALUE(RIGHT(A588,2)))</f>
        <v/>
      </c>
      <c r="D588" s="18" t="n"/>
      <c r="E588" s="18" t="n"/>
      <c r="F588" s="38" t="n"/>
      <c r="G588" s="38" t="n"/>
      <c r="H588" s="38" t="n"/>
      <c r="I588" s="43">
        <f>IF(AND(F588&lt;&gt;"",G588&lt;&gt;"",H588&lt;&gt;""),F588+G588-H588,"")</f>
        <v/>
      </c>
      <c r="J588" s="18" t="n"/>
      <c r="K588" s="18" t="n"/>
    </row>
    <row r="589">
      <c r="A589" s="22" t="n"/>
      <c r="B589" s="35">
        <f>IF(A589="","",VALUE(LEFT(A589,4)))</f>
        <v/>
      </c>
      <c r="C589" s="36">
        <f>IF(A589="","",VALUE(RIGHT(A589,2)))</f>
        <v/>
      </c>
      <c r="D589" s="22" t="n"/>
      <c r="E589" s="22" t="n"/>
      <c r="F589" s="42" t="n"/>
      <c r="G589" s="42" t="n"/>
      <c r="H589" s="42" t="n"/>
      <c r="I589" s="43">
        <f>IF(AND(F589&lt;&gt;"",G589&lt;&gt;"",H589&lt;&gt;""),F589+G589-H589,"")</f>
        <v/>
      </c>
      <c r="J589" s="22" t="n"/>
      <c r="K589" s="22" t="n"/>
    </row>
    <row r="590">
      <c r="A590" s="18" t="n"/>
      <c r="B590" s="35">
        <f>IF(A590="","",VALUE(LEFT(A590,4)))</f>
        <v/>
      </c>
      <c r="C590" s="36">
        <f>IF(A590="","",VALUE(RIGHT(A590,2)))</f>
        <v/>
      </c>
      <c r="D590" s="18" t="n"/>
      <c r="E590" s="18" t="n"/>
      <c r="F590" s="38" t="n"/>
      <c r="G590" s="38" t="n"/>
      <c r="H590" s="38" t="n"/>
      <c r="I590" s="43">
        <f>IF(AND(F590&lt;&gt;"",G590&lt;&gt;"",H590&lt;&gt;""),F590+G590-H590,"")</f>
        <v/>
      </c>
      <c r="J590" s="18" t="n"/>
      <c r="K590" s="18" t="n"/>
    </row>
    <row r="591">
      <c r="A591" s="22" t="n"/>
      <c r="B591" s="35">
        <f>IF(A591="","",VALUE(LEFT(A591,4)))</f>
        <v/>
      </c>
      <c r="C591" s="36">
        <f>IF(A591="","",VALUE(RIGHT(A591,2)))</f>
        <v/>
      </c>
      <c r="D591" s="22" t="n"/>
      <c r="E591" s="22" t="n"/>
      <c r="F591" s="42" t="n"/>
      <c r="G591" s="42" t="n"/>
      <c r="H591" s="42" t="n"/>
      <c r="I591" s="43">
        <f>IF(AND(F591&lt;&gt;"",G591&lt;&gt;"",H591&lt;&gt;""),F591+G591-H591,"")</f>
        <v/>
      </c>
      <c r="J591" s="22" t="n"/>
      <c r="K591" s="22" t="n"/>
    </row>
    <row r="592">
      <c r="A592" s="18" t="n"/>
      <c r="B592" s="35">
        <f>IF(A592="","",VALUE(LEFT(A592,4)))</f>
        <v/>
      </c>
      <c r="C592" s="36">
        <f>IF(A592="","",VALUE(RIGHT(A592,2)))</f>
        <v/>
      </c>
      <c r="D592" s="18" t="n"/>
      <c r="E592" s="18" t="n"/>
      <c r="F592" s="38" t="n"/>
      <c r="G592" s="38" t="n"/>
      <c r="H592" s="38" t="n"/>
      <c r="I592" s="43">
        <f>IF(AND(F592&lt;&gt;"",G592&lt;&gt;"",H592&lt;&gt;""),F592+G592-H592,"")</f>
        <v/>
      </c>
      <c r="J592" s="18" t="n"/>
      <c r="K592" s="18" t="n"/>
    </row>
    <row r="593">
      <c r="A593" s="22" t="n"/>
      <c r="B593" s="35">
        <f>IF(A593="","",VALUE(LEFT(A593,4)))</f>
        <v/>
      </c>
      <c r="C593" s="36">
        <f>IF(A593="","",VALUE(RIGHT(A593,2)))</f>
        <v/>
      </c>
      <c r="D593" s="22" t="n"/>
      <c r="E593" s="22" t="n"/>
      <c r="F593" s="42" t="n"/>
      <c r="G593" s="42" t="n"/>
      <c r="H593" s="42" t="n"/>
      <c r="I593" s="43">
        <f>IF(AND(F593&lt;&gt;"",G593&lt;&gt;"",H593&lt;&gt;""),F593+G593-H593,"")</f>
        <v/>
      </c>
      <c r="J593" s="22" t="n"/>
      <c r="K593" s="22" t="n"/>
    </row>
    <row r="594">
      <c r="A594" s="18" t="n"/>
      <c r="B594" s="35">
        <f>IF(A594="","",VALUE(LEFT(A594,4)))</f>
        <v/>
      </c>
      <c r="C594" s="36">
        <f>IF(A594="","",VALUE(RIGHT(A594,2)))</f>
        <v/>
      </c>
      <c r="D594" s="18" t="n"/>
      <c r="E594" s="18" t="n"/>
      <c r="F594" s="38" t="n"/>
      <c r="G594" s="38" t="n"/>
      <c r="H594" s="38" t="n"/>
      <c r="I594" s="43">
        <f>IF(AND(F594&lt;&gt;"",G594&lt;&gt;"",H594&lt;&gt;""),F594+G594-H594,"")</f>
        <v/>
      </c>
      <c r="J594" s="18" t="n"/>
      <c r="K594" s="18" t="n"/>
    </row>
    <row r="595">
      <c r="A595" s="22" t="n"/>
      <c r="B595" s="35">
        <f>IF(A595="","",VALUE(LEFT(A595,4)))</f>
        <v/>
      </c>
      <c r="C595" s="36">
        <f>IF(A595="","",VALUE(RIGHT(A595,2)))</f>
        <v/>
      </c>
      <c r="D595" s="22" t="n"/>
      <c r="E595" s="22" t="n"/>
      <c r="F595" s="42" t="n"/>
      <c r="G595" s="42" t="n"/>
      <c r="H595" s="42" t="n"/>
      <c r="I595" s="43">
        <f>IF(AND(F595&lt;&gt;"",G595&lt;&gt;"",H595&lt;&gt;""),F595+G595-H595,"")</f>
        <v/>
      </c>
      <c r="J595" s="22" t="n"/>
      <c r="K595" s="22" t="n"/>
    </row>
    <row r="596">
      <c r="A596" s="18" t="n"/>
      <c r="B596" s="35">
        <f>IF(A596="","",VALUE(LEFT(A596,4)))</f>
        <v/>
      </c>
      <c r="C596" s="36">
        <f>IF(A596="","",VALUE(RIGHT(A596,2)))</f>
        <v/>
      </c>
      <c r="D596" s="18" t="n"/>
      <c r="E596" s="18" t="n"/>
      <c r="F596" s="38" t="n"/>
      <c r="G596" s="38" t="n"/>
      <c r="H596" s="38" t="n"/>
      <c r="I596" s="43">
        <f>IF(AND(F596&lt;&gt;"",G596&lt;&gt;"",H596&lt;&gt;""),F596+G596-H596,"")</f>
        <v/>
      </c>
      <c r="J596" s="18" t="n"/>
      <c r="K596" s="18" t="n"/>
    </row>
    <row r="597">
      <c r="A597" s="22" t="n"/>
      <c r="B597" s="35">
        <f>IF(A597="","",VALUE(LEFT(A597,4)))</f>
        <v/>
      </c>
      <c r="C597" s="36">
        <f>IF(A597="","",VALUE(RIGHT(A597,2)))</f>
        <v/>
      </c>
      <c r="D597" s="22" t="n"/>
      <c r="E597" s="22" t="n"/>
      <c r="F597" s="42" t="n"/>
      <c r="G597" s="42" t="n"/>
      <c r="H597" s="42" t="n"/>
      <c r="I597" s="43">
        <f>IF(AND(F597&lt;&gt;"",G597&lt;&gt;"",H597&lt;&gt;""),F597+G597-H597,"")</f>
        <v/>
      </c>
      <c r="J597" s="22" t="n"/>
      <c r="K597" s="22" t="n"/>
    </row>
    <row r="598">
      <c r="A598" s="18" t="n"/>
      <c r="B598" s="35">
        <f>IF(A598="","",VALUE(LEFT(A598,4)))</f>
        <v/>
      </c>
      <c r="C598" s="36">
        <f>IF(A598="","",VALUE(RIGHT(A598,2)))</f>
        <v/>
      </c>
      <c r="D598" s="18" t="n"/>
      <c r="E598" s="18" t="n"/>
      <c r="F598" s="38" t="n"/>
      <c r="G598" s="38" t="n"/>
      <c r="H598" s="38" t="n"/>
      <c r="I598" s="43">
        <f>IF(AND(F598&lt;&gt;"",G598&lt;&gt;"",H598&lt;&gt;""),F598+G598-H598,"")</f>
        <v/>
      </c>
      <c r="J598" s="18" t="n"/>
      <c r="K598" s="18" t="n"/>
    </row>
    <row r="599">
      <c r="A599" s="22" t="n"/>
      <c r="B599" s="35">
        <f>IF(A599="","",VALUE(LEFT(A599,4)))</f>
        <v/>
      </c>
      <c r="C599" s="36">
        <f>IF(A599="","",VALUE(RIGHT(A599,2)))</f>
        <v/>
      </c>
      <c r="D599" s="22" t="n"/>
      <c r="E599" s="22" t="n"/>
      <c r="F599" s="42" t="n"/>
      <c r="G599" s="42" t="n"/>
      <c r="H599" s="42" t="n"/>
      <c r="I599" s="43">
        <f>IF(AND(F599&lt;&gt;"",G599&lt;&gt;"",H599&lt;&gt;""),F599+G599-H599,"")</f>
        <v/>
      </c>
      <c r="J599" s="22" t="n"/>
      <c r="K599" s="22" t="n"/>
    </row>
    <row r="600">
      <c r="A600" s="18" t="n"/>
      <c r="B600" s="35">
        <f>IF(A600="","",VALUE(LEFT(A600,4)))</f>
        <v/>
      </c>
      <c r="C600" s="36">
        <f>IF(A600="","",VALUE(RIGHT(A600,2)))</f>
        <v/>
      </c>
      <c r="D600" s="18" t="n"/>
      <c r="E600" s="18" t="n"/>
      <c r="F600" s="38" t="n"/>
      <c r="G600" s="38" t="n"/>
      <c r="H600" s="38" t="n"/>
      <c r="I600" s="43">
        <f>IF(AND(F600&lt;&gt;"",G600&lt;&gt;"",H600&lt;&gt;""),F600+G600-H600,"")</f>
        <v/>
      </c>
      <c r="J600" s="18" t="n"/>
      <c r="K600" s="18" t="n"/>
    </row>
    <row r="601">
      <c r="A601" s="22" t="n"/>
      <c r="B601" s="35">
        <f>IF(A601="","",VALUE(LEFT(A601,4)))</f>
        <v/>
      </c>
      <c r="C601" s="36">
        <f>IF(A601="","",VALUE(RIGHT(A601,2)))</f>
        <v/>
      </c>
      <c r="D601" s="22" t="n"/>
      <c r="E601" s="22" t="n"/>
      <c r="F601" s="42" t="n"/>
      <c r="G601" s="42" t="n"/>
      <c r="H601" s="42" t="n"/>
      <c r="I601" s="43">
        <f>IF(AND(F601&lt;&gt;"",G601&lt;&gt;"",H601&lt;&gt;""),F601+G601-H601,"")</f>
        <v/>
      </c>
      <c r="J601" s="22" t="n"/>
      <c r="K601" s="22" t="n"/>
    </row>
    <row r="602">
      <c r="A602" s="18" t="n"/>
      <c r="B602" s="35">
        <f>IF(A602="","",VALUE(LEFT(A602,4)))</f>
        <v/>
      </c>
      <c r="C602" s="36">
        <f>IF(A602="","",VALUE(RIGHT(A602,2)))</f>
        <v/>
      </c>
      <c r="D602" s="18" t="n"/>
      <c r="E602" s="18" t="n"/>
      <c r="F602" s="38" t="n"/>
      <c r="G602" s="38" t="n"/>
      <c r="H602" s="38" t="n"/>
      <c r="I602" s="43">
        <f>IF(AND(F602&lt;&gt;"",G602&lt;&gt;"",H602&lt;&gt;""),F602+G602-H602,"")</f>
        <v/>
      </c>
      <c r="J602" s="18" t="n"/>
      <c r="K602" s="18" t="n"/>
    </row>
    <row r="603">
      <c r="A603" s="22" t="n"/>
      <c r="B603" s="35">
        <f>IF(A603="","",VALUE(LEFT(A603,4)))</f>
        <v/>
      </c>
      <c r="C603" s="36">
        <f>IF(A603="","",VALUE(RIGHT(A603,2)))</f>
        <v/>
      </c>
      <c r="D603" s="22" t="n"/>
      <c r="E603" s="22" t="n"/>
      <c r="F603" s="42" t="n"/>
      <c r="G603" s="42" t="n"/>
      <c r="H603" s="42" t="n"/>
      <c r="I603" s="43">
        <f>IF(AND(F603&lt;&gt;"",G603&lt;&gt;"",H603&lt;&gt;""),F603+G603-H603,"")</f>
        <v/>
      </c>
      <c r="J603" s="22" t="n"/>
      <c r="K603" s="22" t="n"/>
    </row>
    <row r="604">
      <c r="A604" s="18" t="n"/>
      <c r="B604" s="35">
        <f>IF(A604="","",VALUE(LEFT(A604,4)))</f>
        <v/>
      </c>
      <c r="C604" s="36">
        <f>IF(A604="","",VALUE(RIGHT(A604,2)))</f>
        <v/>
      </c>
      <c r="D604" s="18" t="n"/>
      <c r="E604" s="18" t="n"/>
      <c r="F604" s="38" t="n"/>
      <c r="G604" s="38" t="n"/>
      <c r="H604" s="38" t="n"/>
      <c r="I604" s="43">
        <f>IF(AND(F604&lt;&gt;"",G604&lt;&gt;"",H604&lt;&gt;""),F604+G604-H604,"")</f>
        <v/>
      </c>
      <c r="J604" s="18" t="n"/>
      <c r="K604" s="18" t="n"/>
    </row>
    <row r="605">
      <c r="A605" s="22" t="n"/>
      <c r="B605" s="35">
        <f>IF(A605="","",VALUE(LEFT(A605,4)))</f>
        <v/>
      </c>
      <c r="C605" s="36">
        <f>IF(A605="","",VALUE(RIGHT(A605,2)))</f>
        <v/>
      </c>
      <c r="D605" s="22" t="n"/>
      <c r="E605" s="22" t="n"/>
      <c r="F605" s="42" t="n"/>
      <c r="G605" s="42" t="n"/>
      <c r="H605" s="42" t="n"/>
      <c r="I605" s="43">
        <f>IF(AND(F605&lt;&gt;"",G605&lt;&gt;"",H605&lt;&gt;""),F605+G605-H605,"")</f>
        <v/>
      </c>
      <c r="J605" s="22" t="n"/>
      <c r="K605" s="22" t="n"/>
    </row>
  </sheetData>
  <mergeCells count="2">
    <mergeCell ref="A2:K2"/>
    <mergeCell ref="A1:K1"/>
  </mergeCells>
  <conditionalFormatting sqref="I6:I605">
    <cfRule type="cellIs" priority="1" operator="lessThan" dxfId="0">
      <formula>0</formula>
    </cfRule>
  </conditionalFormatting>
  <dataValidations count="1">
    <dataValidation sqref="D6:D605" showDropDown="0" showInputMessage="0" showErrorMessage="0" allowBlank="1" type="list">
      <formula1>"원료 재고,제품 재고(주류),제품 재고(식초),부산물,용기(병)"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B7E5C"/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6" customWidth="1" min="4" max="4"/>
    <col width="16" customWidth="1" min="5" max="5"/>
    <col width="12" customWidth="1" min="6" max="6"/>
    <col width="8" customWidth="1" min="7" max="7"/>
    <col width="14" customWidth="1" min="8" max="8"/>
    <col width="24" customWidth="1" min="9" max="9"/>
    <col width="14" customWidth="1" min="10" max="10"/>
  </cols>
  <sheetData>
    <row r="1" ht="30" customHeight="1">
      <c r="A1" s="13" t="inlineStr">
        <is>
          <t>05. 부산물·폐기 (v4)</t>
        </is>
      </c>
    </row>
    <row r="2">
      <c r="A2" s="14" t="inlineStr">
        <is>
          <t>법령 §25 ⑥ · 환경 보고용 자료 가능</t>
        </is>
      </c>
    </row>
    <row r="5" ht="32" customHeight="1">
      <c r="A5" s="8" t="inlineStr">
        <is>
          <t>일자</t>
        </is>
      </c>
      <c r="B5" s="32" t="inlineStr">
        <is>
          <t>연도</t>
        </is>
      </c>
      <c r="C5" s="32" t="inlineStr">
        <is>
          <t>월</t>
        </is>
      </c>
      <c r="D5" s="32" t="inlineStr">
        <is>
          <t>분기</t>
        </is>
      </c>
      <c r="E5" s="8" t="inlineStr">
        <is>
          <t>부산물 종류</t>
        </is>
      </c>
      <c r="F5" s="8" t="inlineStr">
        <is>
          <t>수량</t>
        </is>
      </c>
      <c r="G5" s="8" t="inlineStr">
        <is>
          <t>단위</t>
        </is>
      </c>
      <c r="H5" s="8" t="inlineStr">
        <is>
          <t>처리방식</t>
        </is>
      </c>
      <c r="I5" s="8" t="inlineStr">
        <is>
          <t>기록 메모</t>
        </is>
      </c>
      <c r="J5" s="8" t="inlineStr">
        <is>
          <t>관련 배치ID</t>
        </is>
      </c>
    </row>
    <row r="6">
      <c r="A6" s="34" t="n"/>
      <c r="B6" s="35">
        <f>IF(A6="","",YEAR(A6))</f>
        <v/>
      </c>
      <c r="C6" s="36">
        <f>IF(A6="","",MONTH(A6))</f>
        <v/>
      </c>
      <c r="D6" s="37">
        <f>IF(A6="","","Q"&amp;ROUNDUP(MONTH(A6)/3,0))</f>
        <v/>
      </c>
      <c r="E6" s="18" t="n"/>
      <c r="F6" s="38" t="n"/>
      <c r="G6" s="18" t="n"/>
      <c r="H6" s="18" t="n"/>
      <c r="I6" s="18" t="n"/>
      <c r="J6" s="18" t="n"/>
    </row>
    <row r="7">
      <c r="A7" s="41" t="n"/>
      <c r="B7" s="35">
        <f>IF(A7="","",YEAR(A7))</f>
        <v/>
      </c>
      <c r="C7" s="36">
        <f>IF(A7="","",MONTH(A7))</f>
        <v/>
      </c>
      <c r="D7" s="37">
        <f>IF(A7="","","Q"&amp;ROUNDUP(MONTH(A7)/3,0))</f>
        <v/>
      </c>
      <c r="E7" s="22" t="n"/>
      <c r="F7" s="42" t="n"/>
      <c r="G7" s="22" t="n"/>
      <c r="H7" s="22" t="n"/>
      <c r="I7" s="22" t="n"/>
      <c r="J7" s="22" t="n"/>
    </row>
    <row r="8">
      <c r="A8" s="34" t="n"/>
      <c r="B8" s="35">
        <f>IF(A8="","",YEAR(A8))</f>
        <v/>
      </c>
      <c r="C8" s="36">
        <f>IF(A8="","",MONTH(A8))</f>
        <v/>
      </c>
      <c r="D8" s="37">
        <f>IF(A8="","","Q"&amp;ROUNDUP(MONTH(A8)/3,0))</f>
        <v/>
      </c>
      <c r="E8" s="18" t="n"/>
      <c r="F8" s="38" t="n"/>
      <c r="G8" s="18" t="n"/>
      <c r="H8" s="18" t="n"/>
      <c r="I8" s="18" t="n"/>
      <c r="J8" s="18" t="n"/>
    </row>
    <row r="9">
      <c r="A9" s="41" t="n"/>
      <c r="B9" s="35">
        <f>IF(A9="","",YEAR(A9))</f>
        <v/>
      </c>
      <c r="C9" s="36">
        <f>IF(A9="","",MONTH(A9))</f>
        <v/>
      </c>
      <c r="D9" s="37">
        <f>IF(A9="","","Q"&amp;ROUNDUP(MONTH(A9)/3,0))</f>
        <v/>
      </c>
      <c r="E9" s="22" t="n"/>
      <c r="F9" s="42" t="n"/>
      <c r="G9" s="22" t="n"/>
      <c r="H9" s="22" t="n"/>
      <c r="I9" s="22" t="n"/>
      <c r="J9" s="22" t="n"/>
    </row>
    <row r="10">
      <c r="A10" s="34" t="n"/>
      <c r="B10" s="35">
        <f>IF(A10="","",YEAR(A10))</f>
        <v/>
      </c>
      <c r="C10" s="36">
        <f>IF(A10="","",MONTH(A10))</f>
        <v/>
      </c>
      <c r="D10" s="37">
        <f>IF(A10="","","Q"&amp;ROUNDUP(MONTH(A10)/3,0))</f>
        <v/>
      </c>
      <c r="E10" s="18" t="n"/>
      <c r="F10" s="38" t="n"/>
      <c r="G10" s="18" t="n"/>
      <c r="H10" s="18" t="n"/>
      <c r="I10" s="18" t="n"/>
      <c r="J10" s="18" t="n"/>
    </row>
    <row r="11">
      <c r="A11" s="41" t="n"/>
      <c r="B11" s="35">
        <f>IF(A11="","",YEAR(A11))</f>
        <v/>
      </c>
      <c r="C11" s="36">
        <f>IF(A11="","",MONTH(A11))</f>
        <v/>
      </c>
      <c r="D11" s="37">
        <f>IF(A11="","","Q"&amp;ROUNDUP(MONTH(A11)/3,0))</f>
        <v/>
      </c>
      <c r="E11" s="22" t="n"/>
      <c r="F11" s="42" t="n"/>
      <c r="G11" s="22" t="n"/>
      <c r="H11" s="22" t="n"/>
      <c r="I11" s="22" t="n"/>
      <c r="J11" s="22" t="n"/>
    </row>
    <row r="12">
      <c r="A12" s="34" t="n"/>
      <c r="B12" s="35">
        <f>IF(A12="","",YEAR(A12))</f>
        <v/>
      </c>
      <c r="C12" s="36">
        <f>IF(A12="","",MONTH(A12))</f>
        <v/>
      </c>
      <c r="D12" s="37">
        <f>IF(A12="","","Q"&amp;ROUNDUP(MONTH(A12)/3,0))</f>
        <v/>
      </c>
      <c r="E12" s="18" t="n"/>
      <c r="F12" s="38" t="n"/>
      <c r="G12" s="18" t="n"/>
      <c r="H12" s="18" t="n"/>
      <c r="I12" s="18" t="n"/>
      <c r="J12" s="18" t="n"/>
    </row>
    <row r="13">
      <c r="A13" s="41" t="n"/>
      <c r="B13" s="35">
        <f>IF(A13="","",YEAR(A13))</f>
        <v/>
      </c>
      <c r="C13" s="36">
        <f>IF(A13="","",MONTH(A13))</f>
        <v/>
      </c>
      <c r="D13" s="37">
        <f>IF(A13="","","Q"&amp;ROUNDUP(MONTH(A13)/3,0))</f>
        <v/>
      </c>
      <c r="E13" s="22" t="n"/>
      <c r="F13" s="42" t="n"/>
      <c r="G13" s="22" t="n"/>
      <c r="H13" s="22" t="n"/>
      <c r="I13" s="22" t="n"/>
      <c r="J13" s="22" t="n"/>
    </row>
    <row r="14">
      <c r="A14" s="34" t="n"/>
      <c r="B14" s="35">
        <f>IF(A14="","",YEAR(A14))</f>
        <v/>
      </c>
      <c r="C14" s="36">
        <f>IF(A14="","",MONTH(A14))</f>
        <v/>
      </c>
      <c r="D14" s="37">
        <f>IF(A14="","","Q"&amp;ROUNDUP(MONTH(A14)/3,0))</f>
        <v/>
      </c>
      <c r="E14" s="18" t="n"/>
      <c r="F14" s="38" t="n"/>
      <c r="G14" s="18" t="n"/>
      <c r="H14" s="18" t="n"/>
      <c r="I14" s="18" t="n"/>
      <c r="J14" s="18" t="n"/>
    </row>
    <row r="15">
      <c r="A15" s="41" t="n"/>
      <c r="B15" s="35">
        <f>IF(A15="","",YEAR(A15))</f>
        <v/>
      </c>
      <c r="C15" s="36">
        <f>IF(A15="","",MONTH(A15))</f>
        <v/>
      </c>
      <c r="D15" s="37">
        <f>IF(A15="","","Q"&amp;ROUNDUP(MONTH(A15)/3,0))</f>
        <v/>
      </c>
      <c r="E15" s="22" t="n"/>
      <c r="F15" s="42" t="n"/>
      <c r="G15" s="22" t="n"/>
      <c r="H15" s="22" t="n"/>
      <c r="I15" s="22" t="n"/>
      <c r="J15" s="22" t="n"/>
    </row>
    <row r="16">
      <c r="A16" s="34" t="n"/>
      <c r="B16" s="35">
        <f>IF(A16="","",YEAR(A16))</f>
        <v/>
      </c>
      <c r="C16" s="36">
        <f>IF(A16="","",MONTH(A16))</f>
        <v/>
      </c>
      <c r="D16" s="37">
        <f>IF(A16="","","Q"&amp;ROUNDUP(MONTH(A16)/3,0))</f>
        <v/>
      </c>
      <c r="E16" s="18" t="n"/>
      <c r="F16" s="38" t="n"/>
      <c r="G16" s="18" t="n"/>
      <c r="H16" s="18" t="n"/>
      <c r="I16" s="18" t="n"/>
      <c r="J16" s="18" t="n"/>
    </row>
    <row r="17">
      <c r="A17" s="41" t="n"/>
      <c r="B17" s="35">
        <f>IF(A17="","",YEAR(A17))</f>
        <v/>
      </c>
      <c r="C17" s="36">
        <f>IF(A17="","",MONTH(A17))</f>
        <v/>
      </c>
      <c r="D17" s="37">
        <f>IF(A17="","","Q"&amp;ROUNDUP(MONTH(A17)/3,0))</f>
        <v/>
      </c>
      <c r="E17" s="22" t="n"/>
      <c r="F17" s="42" t="n"/>
      <c r="G17" s="22" t="n"/>
      <c r="H17" s="22" t="n"/>
      <c r="I17" s="22" t="n"/>
      <c r="J17" s="22" t="n"/>
    </row>
    <row r="18">
      <c r="A18" s="34" t="n"/>
      <c r="B18" s="35">
        <f>IF(A18="","",YEAR(A18))</f>
        <v/>
      </c>
      <c r="C18" s="36">
        <f>IF(A18="","",MONTH(A18))</f>
        <v/>
      </c>
      <c r="D18" s="37">
        <f>IF(A18="","","Q"&amp;ROUNDUP(MONTH(A18)/3,0))</f>
        <v/>
      </c>
      <c r="E18" s="18" t="n"/>
      <c r="F18" s="38" t="n"/>
      <c r="G18" s="18" t="n"/>
      <c r="H18" s="18" t="n"/>
      <c r="I18" s="18" t="n"/>
      <c r="J18" s="18" t="n"/>
    </row>
    <row r="19">
      <c r="A19" s="41" t="n"/>
      <c r="B19" s="35">
        <f>IF(A19="","",YEAR(A19))</f>
        <v/>
      </c>
      <c r="C19" s="36">
        <f>IF(A19="","",MONTH(A19))</f>
        <v/>
      </c>
      <c r="D19" s="37">
        <f>IF(A19="","","Q"&amp;ROUNDUP(MONTH(A19)/3,0))</f>
        <v/>
      </c>
      <c r="E19" s="22" t="n"/>
      <c r="F19" s="42" t="n"/>
      <c r="G19" s="22" t="n"/>
      <c r="H19" s="22" t="n"/>
      <c r="I19" s="22" t="n"/>
      <c r="J19" s="22" t="n"/>
    </row>
    <row r="20">
      <c r="A20" s="34" t="n"/>
      <c r="B20" s="35">
        <f>IF(A20="","",YEAR(A20))</f>
        <v/>
      </c>
      <c r="C20" s="36">
        <f>IF(A20="","",MONTH(A20))</f>
        <v/>
      </c>
      <c r="D20" s="37">
        <f>IF(A20="","","Q"&amp;ROUNDUP(MONTH(A20)/3,0))</f>
        <v/>
      </c>
      <c r="E20" s="18" t="n"/>
      <c r="F20" s="38" t="n"/>
      <c r="G20" s="18" t="n"/>
      <c r="H20" s="18" t="n"/>
      <c r="I20" s="18" t="n"/>
      <c r="J20" s="18" t="n"/>
    </row>
    <row r="21">
      <c r="A21" s="41" t="n"/>
      <c r="B21" s="35">
        <f>IF(A21="","",YEAR(A21))</f>
        <v/>
      </c>
      <c r="C21" s="36">
        <f>IF(A21="","",MONTH(A21))</f>
        <v/>
      </c>
      <c r="D21" s="37">
        <f>IF(A21="","","Q"&amp;ROUNDUP(MONTH(A21)/3,0))</f>
        <v/>
      </c>
      <c r="E21" s="22" t="n"/>
      <c r="F21" s="42" t="n"/>
      <c r="G21" s="22" t="n"/>
      <c r="H21" s="22" t="n"/>
      <c r="I21" s="22" t="n"/>
      <c r="J21" s="22" t="n"/>
    </row>
    <row r="22">
      <c r="A22" s="34" t="n"/>
      <c r="B22" s="35">
        <f>IF(A22="","",YEAR(A22))</f>
        <v/>
      </c>
      <c r="C22" s="36">
        <f>IF(A22="","",MONTH(A22))</f>
        <v/>
      </c>
      <c r="D22" s="37">
        <f>IF(A22="","","Q"&amp;ROUNDUP(MONTH(A22)/3,0))</f>
        <v/>
      </c>
      <c r="E22" s="18" t="n"/>
      <c r="F22" s="38" t="n"/>
      <c r="G22" s="18" t="n"/>
      <c r="H22" s="18" t="n"/>
      <c r="I22" s="18" t="n"/>
      <c r="J22" s="18" t="n"/>
    </row>
    <row r="23">
      <c r="A23" s="41" t="n"/>
      <c r="B23" s="35">
        <f>IF(A23="","",YEAR(A23))</f>
        <v/>
      </c>
      <c r="C23" s="36">
        <f>IF(A23="","",MONTH(A23))</f>
        <v/>
      </c>
      <c r="D23" s="37">
        <f>IF(A23="","","Q"&amp;ROUNDUP(MONTH(A23)/3,0))</f>
        <v/>
      </c>
      <c r="E23" s="22" t="n"/>
      <c r="F23" s="42" t="n"/>
      <c r="G23" s="22" t="n"/>
      <c r="H23" s="22" t="n"/>
      <c r="I23" s="22" t="n"/>
      <c r="J23" s="22" t="n"/>
    </row>
    <row r="24">
      <c r="A24" s="34" t="n"/>
      <c r="B24" s="35">
        <f>IF(A24="","",YEAR(A24))</f>
        <v/>
      </c>
      <c r="C24" s="36">
        <f>IF(A24="","",MONTH(A24))</f>
        <v/>
      </c>
      <c r="D24" s="37">
        <f>IF(A24="","","Q"&amp;ROUNDUP(MONTH(A24)/3,0))</f>
        <v/>
      </c>
      <c r="E24" s="18" t="n"/>
      <c r="F24" s="38" t="n"/>
      <c r="G24" s="18" t="n"/>
      <c r="H24" s="18" t="n"/>
      <c r="I24" s="18" t="n"/>
      <c r="J24" s="18" t="n"/>
    </row>
    <row r="25">
      <c r="A25" s="41" t="n"/>
      <c r="B25" s="35">
        <f>IF(A25="","",YEAR(A25))</f>
        <v/>
      </c>
      <c r="C25" s="36">
        <f>IF(A25="","",MONTH(A25))</f>
        <v/>
      </c>
      <c r="D25" s="37">
        <f>IF(A25="","","Q"&amp;ROUNDUP(MONTH(A25)/3,0))</f>
        <v/>
      </c>
      <c r="E25" s="22" t="n"/>
      <c r="F25" s="42" t="n"/>
      <c r="G25" s="22" t="n"/>
      <c r="H25" s="22" t="n"/>
      <c r="I25" s="22" t="n"/>
      <c r="J25" s="22" t="n"/>
    </row>
    <row r="26">
      <c r="A26" s="34" t="n"/>
      <c r="B26" s="35">
        <f>IF(A26="","",YEAR(A26))</f>
        <v/>
      </c>
      <c r="C26" s="36">
        <f>IF(A26="","",MONTH(A26))</f>
        <v/>
      </c>
      <c r="D26" s="37">
        <f>IF(A26="","","Q"&amp;ROUNDUP(MONTH(A26)/3,0))</f>
        <v/>
      </c>
      <c r="E26" s="18" t="n"/>
      <c r="F26" s="38" t="n"/>
      <c r="G26" s="18" t="n"/>
      <c r="H26" s="18" t="n"/>
      <c r="I26" s="18" t="n"/>
      <c r="J26" s="18" t="n"/>
    </row>
    <row r="27">
      <c r="A27" s="41" t="n"/>
      <c r="B27" s="35">
        <f>IF(A27="","",YEAR(A27))</f>
        <v/>
      </c>
      <c r="C27" s="36">
        <f>IF(A27="","",MONTH(A27))</f>
        <v/>
      </c>
      <c r="D27" s="37">
        <f>IF(A27="","","Q"&amp;ROUNDUP(MONTH(A27)/3,0))</f>
        <v/>
      </c>
      <c r="E27" s="22" t="n"/>
      <c r="F27" s="42" t="n"/>
      <c r="G27" s="22" t="n"/>
      <c r="H27" s="22" t="n"/>
      <c r="I27" s="22" t="n"/>
      <c r="J27" s="22" t="n"/>
    </row>
    <row r="28">
      <c r="A28" s="34" t="n"/>
      <c r="B28" s="35">
        <f>IF(A28="","",YEAR(A28))</f>
        <v/>
      </c>
      <c r="C28" s="36">
        <f>IF(A28="","",MONTH(A28))</f>
        <v/>
      </c>
      <c r="D28" s="37">
        <f>IF(A28="","","Q"&amp;ROUNDUP(MONTH(A28)/3,0))</f>
        <v/>
      </c>
      <c r="E28" s="18" t="n"/>
      <c r="F28" s="38" t="n"/>
      <c r="G28" s="18" t="n"/>
      <c r="H28" s="18" t="n"/>
      <c r="I28" s="18" t="n"/>
      <c r="J28" s="18" t="n"/>
    </row>
    <row r="29">
      <c r="A29" s="41" t="n"/>
      <c r="B29" s="35">
        <f>IF(A29="","",YEAR(A29))</f>
        <v/>
      </c>
      <c r="C29" s="36">
        <f>IF(A29="","",MONTH(A29))</f>
        <v/>
      </c>
      <c r="D29" s="37">
        <f>IF(A29="","","Q"&amp;ROUNDUP(MONTH(A29)/3,0))</f>
        <v/>
      </c>
      <c r="E29" s="22" t="n"/>
      <c r="F29" s="42" t="n"/>
      <c r="G29" s="22" t="n"/>
      <c r="H29" s="22" t="n"/>
      <c r="I29" s="22" t="n"/>
      <c r="J29" s="22" t="n"/>
    </row>
    <row r="30">
      <c r="A30" s="34" t="n"/>
      <c r="B30" s="35">
        <f>IF(A30="","",YEAR(A30))</f>
        <v/>
      </c>
      <c r="C30" s="36">
        <f>IF(A30="","",MONTH(A30))</f>
        <v/>
      </c>
      <c r="D30" s="37">
        <f>IF(A30="","","Q"&amp;ROUNDUP(MONTH(A30)/3,0))</f>
        <v/>
      </c>
      <c r="E30" s="18" t="n"/>
      <c r="F30" s="38" t="n"/>
      <c r="G30" s="18" t="n"/>
      <c r="H30" s="18" t="n"/>
      <c r="I30" s="18" t="n"/>
      <c r="J30" s="18" t="n"/>
    </row>
    <row r="31">
      <c r="A31" s="41" t="n"/>
      <c r="B31" s="35">
        <f>IF(A31="","",YEAR(A31))</f>
        <v/>
      </c>
      <c r="C31" s="36">
        <f>IF(A31="","",MONTH(A31))</f>
        <v/>
      </c>
      <c r="D31" s="37">
        <f>IF(A31="","","Q"&amp;ROUNDUP(MONTH(A31)/3,0))</f>
        <v/>
      </c>
      <c r="E31" s="22" t="n"/>
      <c r="F31" s="42" t="n"/>
      <c r="G31" s="22" t="n"/>
      <c r="H31" s="22" t="n"/>
      <c r="I31" s="22" t="n"/>
      <c r="J31" s="22" t="n"/>
    </row>
    <row r="32">
      <c r="A32" s="34" t="n"/>
      <c r="B32" s="35">
        <f>IF(A32="","",YEAR(A32))</f>
        <v/>
      </c>
      <c r="C32" s="36">
        <f>IF(A32="","",MONTH(A32))</f>
        <v/>
      </c>
      <c r="D32" s="37">
        <f>IF(A32="","","Q"&amp;ROUNDUP(MONTH(A32)/3,0))</f>
        <v/>
      </c>
      <c r="E32" s="18" t="n"/>
      <c r="F32" s="38" t="n"/>
      <c r="G32" s="18" t="n"/>
      <c r="H32" s="18" t="n"/>
      <c r="I32" s="18" t="n"/>
      <c r="J32" s="18" t="n"/>
    </row>
    <row r="33">
      <c r="A33" s="41" t="n"/>
      <c r="B33" s="35">
        <f>IF(A33="","",YEAR(A33))</f>
        <v/>
      </c>
      <c r="C33" s="36">
        <f>IF(A33="","",MONTH(A33))</f>
        <v/>
      </c>
      <c r="D33" s="37">
        <f>IF(A33="","","Q"&amp;ROUNDUP(MONTH(A33)/3,0))</f>
        <v/>
      </c>
      <c r="E33" s="22" t="n"/>
      <c r="F33" s="42" t="n"/>
      <c r="G33" s="22" t="n"/>
      <c r="H33" s="22" t="n"/>
      <c r="I33" s="22" t="n"/>
      <c r="J33" s="22" t="n"/>
    </row>
    <row r="34">
      <c r="A34" s="34" t="n"/>
      <c r="B34" s="35">
        <f>IF(A34="","",YEAR(A34))</f>
        <v/>
      </c>
      <c r="C34" s="36">
        <f>IF(A34="","",MONTH(A34))</f>
        <v/>
      </c>
      <c r="D34" s="37">
        <f>IF(A34="","","Q"&amp;ROUNDUP(MONTH(A34)/3,0))</f>
        <v/>
      </c>
      <c r="E34" s="18" t="n"/>
      <c r="F34" s="38" t="n"/>
      <c r="G34" s="18" t="n"/>
      <c r="H34" s="18" t="n"/>
      <c r="I34" s="18" t="n"/>
      <c r="J34" s="18" t="n"/>
    </row>
    <row r="35">
      <c r="A35" s="41" t="n"/>
      <c r="B35" s="35">
        <f>IF(A35="","",YEAR(A35))</f>
        <v/>
      </c>
      <c r="C35" s="36">
        <f>IF(A35="","",MONTH(A35))</f>
        <v/>
      </c>
      <c r="D35" s="37">
        <f>IF(A35="","","Q"&amp;ROUNDUP(MONTH(A35)/3,0))</f>
        <v/>
      </c>
      <c r="E35" s="22" t="n"/>
      <c r="F35" s="42" t="n"/>
      <c r="G35" s="22" t="n"/>
      <c r="H35" s="22" t="n"/>
      <c r="I35" s="22" t="n"/>
      <c r="J35" s="22" t="n"/>
    </row>
    <row r="36">
      <c r="A36" s="34" t="n"/>
      <c r="B36" s="35">
        <f>IF(A36="","",YEAR(A36))</f>
        <v/>
      </c>
      <c r="C36" s="36">
        <f>IF(A36="","",MONTH(A36))</f>
        <v/>
      </c>
      <c r="D36" s="37">
        <f>IF(A36="","","Q"&amp;ROUNDUP(MONTH(A36)/3,0))</f>
        <v/>
      </c>
      <c r="E36" s="18" t="n"/>
      <c r="F36" s="38" t="n"/>
      <c r="G36" s="18" t="n"/>
      <c r="H36" s="18" t="n"/>
      <c r="I36" s="18" t="n"/>
      <c r="J36" s="18" t="n"/>
    </row>
    <row r="37">
      <c r="A37" s="41" t="n"/>
      <c r="B37" s="35">
        <f>IF(A37="","",YEAR(A37))</f>
        <v/>
      </c>
      <c r="C37" s="36">
        <f>IF(A37="","",MONTH(A37))</f>
        <v/>
      </c>
      <c r="D37" s="37">
        <f>IF(A37="","","Q"&amp;ROUNDUP(MONTH(A37)/3,0))</f>
        <v/>
      </c>
      <c r="E37" s="22" t="n"/>
      <c r="F37" s="42" t="n"/>
      <c r="G37" s="22" t="n"/>
      <c r="H37" s="22" t="n"/>
      <c r="I37" s="22" t="n"/>
      <c r="J37" s="22" t="n"/>
    </row>
    <row r="38">
      <c r="A38" s="34" t="n"/>
      <c r="B38" s="35">
        <f>IF(A38="","",YEAR(A38))</f>
        <v/>
      </c>
      <c r="C38" s="36">
        <f>IF(A38="","",MONTH(A38))</f>
        <v/>
      </c>
      <c r="D38" s="37">
        <f>IF(A38="","","Q"&amp;ROUNDUP(MONTH(A38)/3,0))</f>
        <v/>
      </c>
      <c r="E38" s="18" t="n"/>
      <c r="F38" s="38" t="n"/>
      <c r="G38" s="18" t="n"/>
      <c r="H38" s="18" t="n"/>
      <c r="I38" s="18" t="n"/>
      <c r="J38" s="18" t="n"/>
    </row>
    <row r="39">
      <c r="A39" s="41" t="n"/>
      <c r="B39" s="35">
        <f>IF(A39="","",YEAR(A39))</f>
        <v/>
      </c>
      <c r="C39" s="36">
        <f>IF(A39="","",MONTH(A39))</f>
        <v/>
      </c>
      <c r="D39" s="37">
        <f>IF(A39="","","Q"&amp;ROUNDUP(MONTH(A39)/3,0))</f>
        <v/>
      </c>
      <c r="E39" s="22" t="n"/>
      <c r="F39" s="42" t="n"/>
      <c r="G39" s="22" t="n"/>
      <c r="H39" s="22" t="n"/>
      <c r="I39" s="22" t="n"/>
      <c r="J39" s="22" t="n"/>
    </row>
    <row r="40">
      <c r="A40" s="34" t="n"/>
      <c r="B40" s="35">
        <f>IF(A40="","",YEAR(A40))</f>
        <v/>
      </c>
      <c r="C40" s="36">
        <f>IF(A40="","",MONTH(A40))</f>
        <v/>
      </c>
      <c r="D40" s="37">
        <f>IF(A40="","","Q"&amp;ROUNDUP(MONTH(A40)/3,0))</f>
        <v/>
      </c>
      <c r="E40" s="18" t="n"/>
      <c r="F40" s="38" t="n"/>
      <c r="G40" s="18" t="n"/>
      <c r="H40" s="18" t="n"/>
      <c r="I40" s="18" t="n"/>
      <c r="J40" s="18" t="n"/>
    </row>
    <row r="41">
      <c r="A41" s="41" t="n"/>
      <c r="B41" s="35">
        <f>IF(A41="","",YEAR(A41))</f>
        <v/>
      </c>
      <c r="C41" s="36">
        <f>IF(A41="","",MONTH(A41))</f>
        <v/>
      </c>
      <c r="D41" s="37">
        <f>IF(A41="","","Q"&amp;ROUNDUP(MONTH(A41)/3,0))</f>
        <v/>
      </c>
      <c r="E41" s="22" t="n"/>
      <c r="F41" s="42" t="n"/>
      <c r="G41" s="22" t="n"/>
      <c r="H41" s="22" t="n"/>
      <c r="I41" s="22" t="n"/>
      <c r="J41" s="22" t="n"/>
    </row>
    <row r="42">
      <c r="A42" s="34" t="n"/>
      <c r="B42" s="35">
        <f>IF(A42="","",YEAR(A42))</f>
        <v/>
      </c>
      <c r="C42" s="36">
        <f>IF(A42="","",MONTH(A42))</f>
        <v/>
      </c>
      <c r="D42" s="37">
        <f>IF(A42="","","Q"&amp;ROUNDUP(MONTH(A42)/3,0))</f>
        <v/>
      </c>
      <c r="E42" s="18" t="n"/>
      <c r="F42" s="38" t="n"/>
      <c r="G42" s="18" t="n"/>
      <c r="H42" s="18" t="n"/>
      <c r="I42" s="18" t="n"/>
      <c r="J42" s="18" t="n"/>
    </row>
    <row r="43">
      <c r="A43" s="41" t="n"/>
      <c r="B43" s="35">
        <f>IF(A43="","",YEAR(A43))</f>
        <v/>
      </c>
      <c r="C43" s="36">
        <f>IF(A43="","",MONTH(A43))</f>
        <v/>
      </c>
      <c r="D43" s="37">
        <f>IF(A43="","","Q"&amp;ROUNDUP(MONTH(A43)/3,0))</f>
        <v/>
      </c>
      <c r="E43" s="22" t="n"/>
      <c r="F43" s="42" t="n"/>
      <c r="G43" s="22" t="n"/>
      <c r="H43" s="22" t="n"/>
      <c r="I43" s="22" t="n"/>
      <c r="J43" s="22" t="n"/>
    </row>
    <row r="44">
      <c r="A44" s="34" t="n"/>
      <c r="B44" s="35">
        <f>IF(A44="","",YEAR(A44))</f>
        <v/>
      </c>
      <c r="C44" s="36">
        <f>IF(A44="","",MONTH(A44))</f>
        <v/>
      </c>
      <c r="D44" s="37">
        <f>IF(A44="","","Q"&amp;ROUNDUP(MONTH(A44)/3,0))</f>
        <v/>
      </c>
      <c r="E44" s="18" t="n"/>
      <c r="F44" s="38" t="n"/>
      <c r="G44" s="18" t="n"/>
      <c r="H44" s="18" t="n"/>
      <c r="I44" s="18" t="n"/>
      <c r="J44" s="18" t="n"/>
    </row>
    <row r="45">
      <c r="A45" s="41" t="n"/>
      <c r="B45" s="35">
        <f>IF(A45="","",YEAR(A45))</f>
        <v/>
      </c>
      <c r="C45" s="36">
        <f>IF(A45="","",MONTH(A45))</f>
        <v/>
      </c>
      <c r="D45" s="37">
        <f>IF(A45="","","Q"&amp;ROUNDUP(MONTH(A45)/3,0))</f>
        <v/>
      </c>
      <c r="E45" s="22" t="n"/>
      <c r="F45" s="42" t="n"/>
      <c r="G45" s="22" t="n"/>
      <c r="H45" s="22" t="n"/>
      <c r="I45" s="22" t="n"/>
      <c r="J45" s="22" t="n"/>
    </row>
    <row r="46">
      <c r="A46" s="34" t="n"/>
      <c r="B46" s="35">
        <f>IF(A46="","",YEAR(A46))</f>
        <v/>
      </c>
      <c r="C46" s="36">
        <f>IF(A46="","",MONTH(A46))</f>
        <v/>
      </c>
      <c r="D46" s="37">
        <f>IF(A46="","","Q"&amp;ROUNDUP(MONTH(A46)/3,0))</f>
        <v/>
      </c>
      <c r="E46" s="18" t="n"/>
      <c r="F46" s="38" t="n"/>
      <c r="G46" s="18" t="n"/>
      <c r="H46" s="18" t="n"/>
      <c r="I46" s="18" t="n"/>
      <c r="J46" s="18" t="n"/>
    </row>
    <row r="47">
      <c r="A47" s="41" t="n"/>
      <c r="B47" s="35">
        <f>IF(A47="","",YEAR(A47))</f>
        <v/>
      </c>
      <c r="C47" s="36">
        <f>IF(A47="","",MONTH(A47))</f>
        <v/>
      </c>
      <c r="D47" s="37">
        <f>IF(A47="","","Q"&amp;ROUNDUP(MONTH(A47)/3,0))</f>
        <v/>
      </c>
      <c r="E47" s="22" t="n"/>
      <c r="F47" s="42" t="n"/>
      <c r="G47" s="22" t="n"/>
      <c r="H47" s="22" t="n"/>
      <c r="I47" s="22" t="n"/>
      <c r="J47" s="22" t="n"/>
    </row>
    <row r="48">
      <c r="A48" s="34" t="n"/>
      <c r="B48" s="35">
        <f>IF(A48="","",YEAR(A48))</f>
        <v/>
      </c>
      <c r="C48" s="36">
        <f>IF(A48="","",MONTH(A48))</f>
        <v/>
      </c>
      <c r="D48" s="37">
        <f>IF(A48="","","Q"&amp;ROUNDUP(MONTH(A48)/3,0))</f>
        <v/>
      </c>
      <c r="E48" s="18" t="n"/>
      <c r="F48" s="38" t="n"/>
      <c r="G48" s="18" t="n"/>
      <c r="H48" s="18" t="n"/>
      <c r="I48" s="18" t="n"/>
      <c r="J48" s="18" t="n"/>
    </row>
    <row r="49">
      <c r="A49" s="41" t="n"/>
      <c r="B49" s="35">
        <f>IF(A49="","",YEAR(A49))</f>
        <v/>
      </c>
      <c r="C49" s="36">
        <f>IF(A49="","",MONTH(A49))</f>
        <v/>
      </c>
      <c r="D49" s="37">
        <f>IF(A49="","","Q"&amp;ROUNDUP(MONTH(A49)/3,0))</f>
        <v/>
      </c>
      <c r="E49" s="22" t="n"/>
      <c r="F49" s="42" t="n"/>
      <c r="G49" s="22" t="n"/>
      <c r="H49" s="22" t="n"/>
      <c r="I49" s="22" t="n"/>
      <c r="J49" s="22" t="n"/>
    </row>
    <row r="50">
      <c r="A50" s="34" t="n"/>
      <c r="B50" s="35">
        <f>IF(A50="","",YEAR(A50))</f>
        <v/>
      </c>
      <c r="C50" s="36">
        <f>IF(A50="","",MONTH(A50))</f>
        <v/>
      </c>
      <c r="D50" s="37">
        <f>IF(A50="","","Q"&amp;ROUNDUP(MONTH(A50)/3,0))</f>
        <v/>
      </c>
      <c r="E50" s="18" t="n"/>
      <c r="F50" s="38" t="n"/>
      <c r="G50" s="18" t="n"/>
      <c r="H50" s="18" t="n"/>
      <c r="I50" s="18" t="n"/>
      <c r="J50" s="18" t="n"/>
    </row>
    <row r="51">
      <c r="A51" s="41" t="n"/>
      <c r="B51" s="35">
        <f>IF(A51="","",YEAR(A51))</f>
        <v/>
      </c>
      <c r="C51" s="36">
        <f>IF(A51="","",MONTH(A51))</f>
        <v/>
      </c>
      <c r="D51" s="37">
        <f>IF(A51="","","Q"&amp;ROUNDUP(MONTH(A51)/3,0))</f>
        <v/>
      </c>
      <c r="E51" s="22" t="n"/>
      <c r="F51" s="42" t="n"/>
      <c r="G51" s="22" t="n"/>
      <c r="H51" s="22" t="n"/>
      <c r="I51" s="22" t="n"/>
      <c r="J51" s="22" t="n"/>
    </row>
    <row r="52">
      <c r="A52" s="34" t="n"/>
      <c r="B52" s="35">
        <f>IF(A52="","",YEAR(A52))</f>
        <v/>
      </c>
      <c r="C52" s="36">
        <f>IF(A52="","",MONTH(A52))</f>
        <v/>
      </c>
      <c r="D52" s="37">
        <f>IF(A52="","","Q"&amp;ROUNDUP(MONTH(A52)/3,0))</f>
        <v/>
      </c>
      <c r="E52" s="18" t="n"/>
      <c r="F52" s="38" t="n"/>
      <c r="G52" s="18" t="n"/>
      <c r="H52" s="18" t="n"/>
      <c r="I52" s="18" t="n"/>
      <c r="J52" s="18" t="n"/>
    </row>
    <row r="53">
      <c r="A53" s="41" t="n"/>
      <c r="B53" s="35">
        <f>IF(A53="","",YEAR(A53))</f>
        <v/>
      </c>
      <c r="C53" s="36">
        <f>IF(A53="","",MONTH(A53))</f>
        <v/>
      </c>
      <c r="D53" s="37">
        <f>IF(A53="","","Q"&amp;ROUNDUP(MONTH(A53)/3,0))</f>
        <v/>
      </c>
      <c r="E53" s="22" t="n"/>
      <c r="F53" s="42" t="n"/>
      <c r="G53" s="22" t="n"/>
      <c r="H53" s="22" t="n"/>
      <c r="I53" s="22" t="n"/>
      <c r="J53" s="22" t="n"/>
    </row>
    <row r="54">
      <c r="A54" s="34" t="n"/>
      <c r="B54" s="35">
        <f>IF(A54="","",YEAR(A54))</f>
        <v/>
      </c>
      <c r="C54" s="36">
        <f>IF(A54="","",MONTH(A54))</f>
        <v/>
      </c>
      <c r="D54" s="37">
        <f>IF(A54="","","Q"&amp;ROUNDUP(MONTH(A54)/3,0))</f>
        <v/>
      </c>
      <c r="E54" s="18" t="n"/>
      <c r="F54" s="38" t="n"/>
      <c r="G54" s="18" t="n"/>
      <c r="H54" s="18" t="n"/>
      <c r="I54" s="18" t="n"/>
      <c r="J54" s="18" t="n"/>
    </row>
    <row r="55">
      <c r="A55" s="41" t="n"/>
      <c r="B55" s="35">
        <f>IF(A55="","",YEAR(A55))</f>
        <v/>
      </c>
      <c r="C55" s="36">
        <f>IF(A55="","",MONTH(A55))</f>
        <v/>
      </c>
      <c r="D55" s="37">
        <f>IF(A55="","","Q"&amp;ROUNDUP(MONTH(A55)/3,0))</f>
        <v/>
      </c>
      <c r="E55" s="22" t="n"/>
      <c r="F55" s="42" t="n"/>
      <c r="G55" s="22" t="n"/>
      <c r="H55" s="22" t="n"/>
      <c r="I55" s="22" t="n"/>
      <c r="J55" s="22" t="n"/>
    </row>
    <row r="56">
      <c r="A56" s="34" t="n"/>
      <c r="B56" s="35">
        <f>IF(A56="","",YEAR(A56))</f>
        <v/>
      </c>
      <c r="C56" s="36">
        <f>IF(A56="","",MONTH(A56))</f>
        <v/>
      </c>
      <c r="D56" s="37">
        <f>IF(A56="","","Q"&amp;ROUNDUP(MONTH(A56)/3,0))</f>
        <v/>
      </c>
      <c r="E56" s="18" t="n"/>
      <c r="F56" s="38" t="n"/>
      <c r="G56" s="18" t="n"/>
      <c r="H56" s="18" t="n"/>
      <c r="I56" s="18" t="n"/>
      <c r="J56" s="18" t="n"/>
    </row>
    <row r="57">
      <c r="A57" s="41" t="n"/>
      <c r="B57" s="35">
        <f>IF(A57="","",YEAR(A57))</f>
        <v/>
      </c>
      <c r="C57" s="36">
        <f>IF(A57="","",MONTH(A57))</f>
        <v/>
      </c>
      <c r="D57" s="37">
        <f>IF(A57="","","Q"&amp;ROUNDUP(MONTH(A57)/3,0))</f>
        <v/>
      </c>
      <c r="E57" s="22" t="n"/>
      <c r="F57" s="42" t="n"/>
      <c r="G57" s="22" t="n"/>
      <c r="H57" s="22" t="n"/>
      <c r="I57" s="22" t="n"/>
      <c r="J57" s="22" t="n"/>
    </row>
    <row r="58">
      <c r="A58" s="34" t="n"/>
      <c r="B58" s="35">
        <f>IF(A58="","",YEAR(A58))</f>
        <v/>
      </c>
      <c r="C58" s="36">
        <f>IF(A58="","",MONTH(A58))</f>
        <v/>
      </c>
      <c r="D58" s="37">
        <f>IF(A58="","","Q"&amp;ROUNDUP(MONTH(A58)/3,0))</f>
        <v/>
      </c>
      <c r="E58" s="18" t="n"/>
      <c r="F58" s="38" t="n"/>
      <c r="G58" s="18" t="n"/>
      <c r="H58" s="18" t="n"/>
      <c r="I58" s="18" t="n"/>
      <c r="J58" s="18" t="n"/>
    </row>
    <row r="59">
      <c r="A59" s="41" t="n"/>
      <c r="B59" s="35">
        <f>IF(A59="","",YEAR(A59))</f>
        <v/>
      </c>
      <c r="C59" s="36">
        <f>IF(A59="","",MONTH(A59))</f>
        <v/>
      </c>
      <c r="D59" s="37">
        <f>IF(A59="","","Q"&amp;ROUNDUP(MONTH(A59)/3,0))</f>
        <v/>
      </c>
      <c r="E59" s="22" t="n"/>
      <c r="F59" s="42" t="n"/>
      <c r="G59" s="22" t="n"/>
      <c r="H59" s="22" t="n"/>
      <c r="I59" s="22" t="n"/>
      <c r="J59" s="22" t="n"/>
    </row>
    <row r="60">
      <c r="A60" s="34" t="n"/>
      <c r="B60" s="35">
        <f>IF(A60="","",YEAR(A60))</f>
        <v/>
      </c>
      <c r="C60" s="36">
        <f>IF(A60="","",MONTH(A60))</f>
        <v/>
      </c>
      <c r="D60" s="37">
        <f>IF(A60="","","Q"&amp;ROUNDUP(MONTH(A60)/3,0))</f>
        <v/>
      </c>
      <c r="E60" s="18" t="n"/>
      <c r="F60" s="38" t="n"/>
      <c r="G60" s="18" t="n"/>
      <c r="H60" s="18" t="n"/>
      <c r="I60" s="18" t="n"/>
      <c r="J60" s="18" t="n"/>
    </row>
    <row r="61">
      <c r="A61" s="41" t="n"/>
      <c r="B61" s="35">
        <f>IF(A61="","",YEAR(A61))</f>
        <v/>
      </c>
      <c r="C61" s="36">
        <f>IF(A61="","",MONTH(A61))</f>
        <v/>
      </c>
      <c r="D61" s="37">
        <f>IF(A61="","","Q"&amp;ROUNDUP(MONTH(A61)/3,0))</f>
        <v/>
      </c>
      <c r="E61" s="22" t="n"/>
      <c r="F61" s="42" t="n"/>
      <c r="G61" s="22" t="n"/>
      <c r="H61" s="22" t="n"/>
      <c r="I61" s="22" t="n"/>
      <c r="J61" s="22" t="n"/>
    </row>
    <row r="62">
      <c r="A62" s="34" t="n"/>
      <c r="B62" s="35">
        <f>IF(A62="","",YEAR(A62))</f>
        <v/>
      </c>
      <c r="C62" s="36">
        <f>IF(A62="","",MONTH(A62))</f>
        <v/>
      </c>
      <c r="D62" s="37">
        <f>IF(A62="","","Q"&amp;ROUNDUP(MONTH(A62)/3,0))</f>
        <v/>
      </c>
      <c r="E62" s="18" t="n"/>
      <c r="F62" s="38" t="n"/>
      <c r="G62" s="18" t="n"/>
      <c r="H62" s="18" t="n"/>
      <c r="I62" s="18" t="n"/>
      <c r="J62" s="18" t="n"/>
    </row>
    <row r="63">
      <c r="A63" s="41" t="n"/>
      <c r="B63" s="35">
        <f>IF(A63="","",YEAR(A63))</f>
        <v/>
      </c>
      <c r="C63" s="36">
        <f>IF(A63="","",MONTH(A63))</f>
        <v/>
      </c>
      <c r="D63" s="37">
        <f>IF(A63="","","Q"&amp;ROUNDUP(MONTH(A63)/3,0))</f>
        <v/>
      </c>
      <c r="E63" s="22" t="n"/>
      <c r="F63" s="42" t="n"/>
      <c r="G63" s="22" t="n"/>
      <c r="H63" s="22" t="n"/>
      <c r="I63" s="22" t="n"/>
      <c r="J63" s="22" t="n"/>
    </row>
    <row r="64">
      <c r="A64" s="34" t="n"/>
      <c r="B64" s="35">
        <f>IF(A64="","",YEAR(A64))</f>
        <v/>
      </c>
      <c r="C64" s="36">
        <f>IF(A64="","",MONTH(A64))</f>
        <v/>
      </c>
      <c r="D64" s="37">
        <f>IF(A64="","","Q"&amp;ROUNDUP(MONTH(A64)/3,0))</f>
        <v/>
      </c>
      <c r="E64" s="18" t="n"/>
      <c r="F64" s="38" t="n"/>
      <c r="G64" s="18" t="n"/>
      <c r="H64" s="18" t="n"/>
      <c r="I64" s="18" t="n"/>
      <c r="J64" s="18" t="n"/>
    </row>
    <row r="65">
      <c r="A65" s="41" t="n"/>
      <c r="B65" s="35">
        <f>IF(A65="","",YEAR(A65))</f>
        <v/>
      </c>
      <c r="C65" s="36">
        <f>IF(A65="","",MONTH(A65))</f>
        <v/>
      </c>
      <c r="D65" s="37">
        <f>IF(A65="","","Q"&amp;ROUNDUP(MONTH(A65)/3,0))</f>
        <v/>
      </c>
      <c r="E65" s="22" t="n"/>
      <c r="F65" s="42" t="n"/>
      <c r="G65" s="22" t="n"/>
      <c r="H65" s="22" t="n"/>
      <c r="I65" s="22" t="n"/>
      <c r="J65" s="22" t="n"/>
    </row>
    <row r="66">
      <c r="A66" s="34" t="n"/>
      <c r="B66" s="35">
        <f>IF(A66="","",YEAR(A66))</f>
        <v/>
      </c>
      <c r="C66" s="36">
        <f>IF(A66="","",MONTH(A66))</f>
        <v/>
      </c>
      <c r="D66" s="37">
        <f>IF(A66="","","Q"&amp;ROUNDUP(MONTH(A66)/3,0))</f>
        <v/>
      </c>
      <c r="E66" s="18" t="n"/>
      <c r="F66" s="38" t="n"/>
      <c r="G66" s="18" t="n"/>
      <c r="H66" s="18" t="n"/>
      <c r="I66" s="18" t="n"/>
      <c r="J66" s="18" t="n"/>
    </row>
    <row r="67">
      <c r="A67" s="41" t="n"/>
      <c r="B67" s="35">
        <f>IF(A67="","",YEAR(A67))</f>
        <v/>
      </c>
      <c r="C67" s="36">
        <f>IF(A67="","",MONTH(A67))</f>
        <v/>
      </c>
      <c r="D67" s="37">
        <f>IF(A67="","","Q"&amp;ROUNDUP(MONTH(A67)/3,0))</f>
        <v/>
      </c>
      <c r="E67" s="22" t="n"/>
      <c r="F67" s="42" t="n"/>
      <c r="G67" s="22" t="n"/>
      <c r="H67" s="22" t="n"/>
      <c r="I67" s="22" t="n"/>
      <c r="J67" s="22" t="n"/>
    </row>
    <row r="68">
      <c r="A68" s="34" t="n"/>
      <c r="B68" s="35">
        <f>IF(A68="","",YEAR(A68))</f>
        <v/>
      </c>
      <c r="C68" s="36">
        <f>IF(A68="","",MONTH(A68))</f>
        <v/>
      </c>
      <c r="D68" s="37">
        <f>IF(A68="","","Q"&amp;ROUNDUP(MONTH(A68)/3,0))</f>
        <v/>
      </c>
      <c r="E68" s="18" t="n"/>
      <c r="F68" s="38" t="n"/>
      <c r="G68" s="18" t="n"/>
      <c r="H68" s="18" t="n"/>
      <c r="I68" s="18" t="n"/>
      <c r="J68" s="18" t="n"/>
    </row>
    <row r="69">
      <c r="A69" s="41" t="n"/>
      <c r="B69" s="35">
        <f>IF(A69="","",YEAR(A69))</f>
        <v/>
      </c>
      <c r="C69" s="36">
        <f>IF(A69="","",MONTH(A69))</f>
        <v/>
      </c>
      <c r="D69" s="37">
        <f>IF(A69="","","Q"&amp;ROUNDUP(MONTH(A69)/3,0))</f>
        <v/>
      </c>
      <c r="E69" s="22" t="n"/>
      <c r="F69" s="42" t="n"/>
      <c r="G69" s="22" t="n"/>
      <c r="H69" s="22" t="n"/>
      <c r="I69" s="22" t="n"/>
      <c r="J69" s="22" t="n"/>
    </row>
    <row r="70">
      <c r="A70" s="34" t="n"/>
      <c r="B70" s="35">
        <f>IF(A70="","",YEAR(A70))</f>
        <v/>
      </c>
      <c r="C70" s="36">
        <f>IF(A70="","",MONTH(A70))</f>
        <v/>
      </c>
      <c r="D70" s="37">
        <f>IF(A70="","","Q"&amp;ROUNDUP(MONTH(A70)/3,0))</f>
        <v/>
      </c>
      <c r="E70" s="18" t="n"/>
      <c r="F70" s="38" t="n"/>
      <c r="G70" s="18" t="n"/>
      <c r="H70" s="18" t="n"/>
      <c r="I70" s="18" t="n"/>
      <c r="J70" s="18" t="n"/>
    </row>
    <row r="71">
      <c r="A71" s="41" t="n"/>
      <c r="B71" s="35">
        <f>IF(A71="","",YEAR(A71))</f>
        <v/>
      </c>
      <c r="C71" s="36">
        <f>IF(A71="","",MONTH(A71))</f>
        <v/>
      </c>
      <c r="D71" s="37">
        <f>IF(A71="","","Q"&amp;ROUNDUP(MONTH(A71)/3,0))</f>
        <v/>
      </c>
      <c r="E71" s="22" t="n"/>
      <c r="F71" s="42" t="n"/>
      <c r="G71" s="22" t="n"/>
      <c r="H71" s="22" t="n"/>
      <c r="I71" s="22" t="n"/>
      <c r="J71" s="22" t="n"/>
    </row>
    <row r="72">
      <c r="A72" s="34" t="n"/>
      <c r="B72" s="35">
        <f>IF(A72="","",YEAR(A72))</f>
        <v/>
      </c>
      <c r="C72" s="36">
        <f>IF(A72="","",MONTH(A72))</f>
        <v/>
      </c>
      <c r="D72" s="37">
        <f>IF(A72="","","Q"&amp;ROUNDUP(MONTH(A72)/3,0))</f>
        <v/>
      </c>
      <c r="E72" s="18" t="n"/>
      <c r="F72" s="38" t="n"/>
      <c r="G72" s="18" t="n"/>
      <c r="H72" s="18" t="n"/>
      <c r="I72" s="18" t="n"/>
      <c r="J72" s="18" t="n"/>
    </row>
    <row r="73">
      <c r="A73" s="41" t="n"/>
      <c r="B73" s="35">
        <f>IF(A73="","",YEAR(A73))</f>
        <v/>
      </c>
      <c r="C73" s="36">
        <f>IF(A73="","",MONTH(A73))</f>
        <v/>
      </c>
      <c r="D73" s="37">
        <f>IF(A73="","","Q"&amp;ROUNDUP(MONTH(A73)/3,0))</f>
        <v/>
      </c>
      <c r="E73" s="22" t="n"/>
      <c r="F73" s="42" t="n"/>
      <c r="G73" s="22" t="n"/>
      <c r="H73" s="22" t="n"/>
      <c r="I73" s="22" t="n"/>
      <c r="J73" s="22" t="n"/>
    </row>
    <row r="74">
      <c r="A74" s="34" t="n"/>
      <c r="B74" s="35">
        <f>IF(A74="","",YEAR(A74))</f>
        <v/>
      </c>
      <c r="C74" s="36">
        <f>IF(A74="","",MONTH(A74))</f>
        <v/>
      </c>
      <c r="D74" s="37">
        <f>IF(A74="","","Q"&amp;ROUNDUP(MONTH(A74)/3,0))</f>
        <v/>
      </c>
      <c r="E74" s="18" t="n"/>
      <c r="F74" s="38" t="n"/>
      <c r="G74" s="18" t="n"/>
      <c r="H74" s="18" t="n"/>
      <c r="I74" s="18" t="n"/>
      <c r="J74" s="18" t="n"/>
    </row>
    <row r="75">
      <c r="A75" s="41" t="n"/>
      <c r="B75" s="35">
        <f>IF(A75="","",YEAR(A75))</f>
        <v/>
      </c>
      <c r="C75" s="36">
        <f>IF(A75="","",MONTH(A75))</f>
        <v/>
      </c>
      <c r="D75" s="37">
        <f>IF(A75="","","Q"&amp;ROUNDUP(MONTH(A75)/3,0))</f>
        <v/>
      </c>
      <c r="E75" s="22" t="n"/>
      <c r="F75" s="42" t="n"/>
      <c r="G75" s="22" t="n"/>
      <c r="H75" s="22" t="n"/>
      <c r="I75" s="22" t="n"/>
      <c r="J75" s="22" t="n"/>
    </row>
    <row r="76">
      <c r="A76" s="34" t="n"/>
      <c r="B76" s="35">
        <f>IF(A76="","",YEAR(A76))</f>
        <v/>
      </c>
      <c r="C76" s="36">
        <f>IF(A76="","",MONTH(A76))</f>
        <v/>
      </c>
      <c r="D76" s="37">
        <f>IF(A76="","","Q"&amp;ROUNDUP(MONTH(A76)/3,0))</f>
        <v/>
      </c>
      <c r="E76" s="18" t="n"/>
      <c r="F76" s="38" t="n"/>
      <c r="G76" s="18" t="n"/>
      <c r="H76" s="18" t="n"/>
      <c r="I76" s="18" t="n"/>
      <c r="J76" s="18" t="n"/>
    </row>
    <row r="77">
      <c r="A77" s="41" t="n"/>
      <c r="B77" s="35">
        <f>IF(A77="","",YEAR(A77))</f>
        <v/>
      </c>
      <c r="C77" s="36">
        <f>IF(A77="","",MONTH(A77))</f>
        <v/>
      </c>
      <c r="D77" s="37">
        <f>IF(A77="","","Q"&amp;ROUNDUP(MONTH(A77)/3,0))</f>
        <v/>
      </c>
      <c r="E77" s="22" t="n"/>
      <c r="F77" s="42" t="n"/>
      <c r="G77" s="22" t="n"/>
      <c r="H77" s="22" t="n"/>
      <c r="I77" s="22" t="n"/>
      <c r="J77" s="22" t="n"/>
    </row>
    <row r="78">
      <c r="A78" s="34" t="n"/>
      <c r="B78" s="35">
        <f>IF(A78="","",YEAR(A78))</f>
        <v/>
      </c>
      <c r="C78" s="36">
        <f>IF(A78="","",MONTH(A78))</f>
        <v/>
      </c>
      <c r="D78" s="37">
        <f>IF(A78="","","Q"&amp;ROUNDUP(MONTH(A78)/3,0))</f>
        <v/>
      </c>
      <c r="E78" s="18" t="n"/>
      <c r="F78" s="38" t="n"/>
      <c r="G78" s="18" t="n"/>
      <c r="H78" s="18" t="n"/>
      <c r="I78" s="18" t="n"/>
      <c r="J78" s="18" t="n"/>
    </row>
    <row r="79">
      <c r="A79" s="41" t="n"/>
      <c r="B79" s="35">
        <f>IF(A79="","",YEAR(A79))</f>
        <v/>
      </c>
      <c r="C79" s="36">
        <f>IF(A79="","",MONTH(A79))</f>
        <v/>
      </c>
      <c r="D79" s="37">
        <f>IF(A79="","","Q"&amp;ROUNDUP(MONTH(A79)/3,0))</f>
        <v/>
      </c>
      <c r="E79" s="22" t="n"/>
      <c r="F79" s="42" t="n"/>
      <c r="G79" s="22" t="n"/>
      <c r="H79" s="22" t="n"/>
      <c r="I79" s="22" t="n"/>
      <c r="J79" s="22" t="n"/>
    </row>
    <row r="80">
      <c r="A80" s="34" t="n"/>
      <c r="B80" s="35">
        <f>IF(A80="","",YEAR(A80))</f>
        <v/>
      </c>
      <c r="C80" s="36">
        <f>IF(A80="","",MONTH(A80))</f>
        <v/>
      </c>
      <c r="D80" s="37">
        <f>IF(A80="","","Q"&amp;ROUNDUP(MONTH(A80)/3,0))</f>
        <v/>
      </c>
      <c r="E80" s="18" t="n"/>
      <c r="F80" s="38" t="n"/>
      <c r="G80" s="18" t="n"/>
      <c r="H80" s="18" t="n"/>
      <c r="I80" s="18" t="n"/>
      <c r="J80" s="18" t="n"/>
    </row>
    <row r="81">
      <c r="A81" s="41" t="n"/>
      <c r="B81" s="35">
        <f>IF(A81="","",YEAR(A81))</f>
        <v/>
      </c>
      <c r="C81" s="36">
        <f>IF(A81="","",MONTH(A81))</f>
        <v/>
      </c>
      <c r="D81" s="37">
        <f>IF(A81="","","Q"&amp;ROUNDUP(MONTH(A81)/3,0))</f>
        <v/>
      </c>
      <c r="E81" s="22" t="n"/>
      <c r="F81" s="42" t="n"/>
      <c r="G81" s="22" t="n"/>
      <c r="H81" s="22" t="n"/>
      <c r="I81" s="22" t="n"/>
      <c r="J81" s="22" t="n"/>
    </row>
    <row r="82">
      <c r="A82" s="34" t="n"/>
      <c r="B82" s="35">
        <f>IF(A82="","",YEAR(A82))</f>
        <v/>
      </c>
      <c r="C82" s="36">
        <f>IF(A82="","",MONTH(A82))</f>
        <v/>
      </c>
      <c r="D82" s="37">
        <f>IF(A82="","","Q"&amp;ROUNDUP(MONTH(A82)/3,0))</f>
        <v/>
      </c>
      <c r="E82" s="18" t="n"/>
      <c r="F82" s="38" t="n"/>
      <c r="G82" s="18" t="n"/>
      <c r="H82" s="18" t="n"/>
      <c r="I82" s="18" t="n"/>
      <c r="J82" s="18" t="n"/>
    </row>
    <row r="83">
      <c r="A83" s="41" t="n"/>
      <c r="B83" s="35">
        <f>IF(A83="","",YEAR(A83))</f>
        <v/>
      </c>
      <c r="C83" s="36">
        <f>IF(A83="","",MONTH(A83))</f>
        <v/>
      </c>
      <c r="D83" s="37">
        <f>IF(A83="","","Q"&amp;ROUNDUP(MONTH(A83)/3,0))</f>
        <v/>
      </c>
      <c r="E83" s="22" t="n"/>
      <c r="F83" s="42" t="n"/>
      <c r="G83" s="22" t="n"/>
      <c r="H83" s="22" t="n"/>
      <c r="I83" s="22" t="n"/>
      <c r="J83" s="22" t="n"/>
    </row>
    <row r="84">
      <c r="A84" s="34" t="n"/>
      <c r="B84" s="35">
        <f>IF(A84="","",YEAR(A84))</f>
        <v/>
      </c>
      <c r="C84" s="36">
        <f>IF(A84="","",MONTH(A84))</f>
        <v/>
      </c>
      <c r="D84" s="37">
        <f>IF(A84="","","Q"&amp;ROUNDUP(MONTH(A84)/3,0))</f>
        <v/>
      </c>
      <c r="E84" s="18" t="n"/>
      <c r="F84" s="38" t="n"/>
      <c r="G84" s="18" t="n"/>
      <c r="H84" s="18" t="n"/>
      <c r="I84" s="18" t="n"/>
      <c r="J84" s="18" t="n"/>
    </row>
    <row r="85">
      <c r="A85" s="41" t="n"/>
      <c r="B85" s="35">
        <f>IF(A85="","",YEAR(A85))</f>
        <v/>
      </c>
      <c r="C85" s="36">
        <f>IF(A85="","",MONTH(A85))</f>
        <v/>
      </c>
      <c r="D85" s="37">
        <f>IF(A85="","","Q"&amp;ROUNDUP(MONTH(A85)/3,0))</f>
        <v/>
      </c>
      <c r="E85" s="22" t="n"/>
      <c r="F85" s="42" t="n"/>
      <c r="G85" s="22" t="n"/>
      <c r="H85" s="22" t="n"/>
      <c r="I85" s="22" t="n"/>
      <c r="J85" s="22" t="n"/>
    </row>
    <row r="86">
      <c r="A86" s="34" t="n"/>
      <c r="B86" s="35">
        <f>IF(A86="","",YEAR(A86))</f>
        <v/>
      </c>
      <c r="C86" s="36">
        <f>IF(A86="","",MONTH(A86))</f>
        <v/>
      </c>
      <c r="D86" s="37">
        <f>IF(A86="","","Q"&amp;ROUNDUP(MONTH(A86)/3,0))</f>
        <v/>
      </c>
      <c r="E86" s="18" t="n"/>
      <c r="F86" s="38" t="n"/>
      <c r="G86" s="18" t="n"/>
      <c r="H86" s="18" t="n"/>
      <c r="I86" s="18" t="n"/>
      <c r="J86" s="18" t="n"/>
    </row>
    <row r="87">
      <c r="A87" s="41" t="n"/>
      <c r="B87" s="35">
        <f>IF(A87="","",YEAR(A87))</f>
        <v/>
      </c>
      <c r="C87" s="36">
        <f>IF(A87="","",MONTH(A87))</f>
        <v/>
      </c>
      <c r="D87" s="37">
        <f>IF(A87="","","Q"&amp;ROUNDUP(MONTH(A87)/3,0))</f>
        <v/>
      </c>
      <c r="E87" s="22" t="n"/>
      <c r="F87" s="42" t="n"/>
      <c r="G87" s="22" t="n"/>
      <c r="H87" s="22" t="n"/>
      <c r="I87" s="22" t="n"/>
      <c r="J87" s="22" t="n"/>
    </row>
    <row r="88">
      <c r="A88" s="34" t="n"/>
      <c r="B88" s="35">
        <f>IF(A88="","",YEAR(A88))</f>
        <v/>
      </c>
      <c r="C88" s="36">
        <f>IF(A88="","",MONTH(A88))</f>
        <v/>
      </c>
      <c r="D88" s="37">
        <f>IF(A88="","","Q"&amp;ROUNDUP(MONTH(A88)/3,0))</f>
        <v/>
      </c>
      <c r="E88" s="18" t="n"/>
      <c r="F88" s="38" t="n"/>
      <c r="G88" s="18" t="n"/>
      <c r="H88" s="18" t="n"/>
      <c r="I88" s="18" t="n"/>
      <c r="J88" s="18" t="n"/>
    </row>
    <row r="89">
      <c r="A89" s="41" t="n"/>
      <c r="B89" s="35">
        <f>IF(A89="","",YEAR(A89))</f>
        <v/>
      </c>
      <c r="C89" s="36">
        <f>IF(A89="","",MONTH(A89))</f>
        <v/>
      </c>
      <c r="D89" s="37">
        <f>IF(A89="","","Q"&amp;ROUNDUP(MONTH(A89)/3,0))</f>
        <v/>
      </c>
      <c r="E89" s="22" t="n"/>
      <c r="F89" s="42" t="n"/>
      <c r="G89" s="22" t="n"/>
      <c r="H89" s="22" t="n"/>
      <c r="I89" s="22" t="n"/>
      <c r="J89" s="22" t="n"/>
    </row>
    <row r="90">
      <c r="A90" s="34" t="n"/>
      <c r="B90" s="35">
        <f>IF(A90="","",YEAR(A90))</f>
        <v/>
      </c>
      <c r="C90" s="36">
        <f>IF(A90="","",MONTH(A90))</f>
        <v/>
      </c>
      <c r="D90" s="37">
        <f>IF(A90="","","Q"&amp;ROUNDUP(MONTH(A90)/3,0))</f>
        <v/>
      </c>
      <c r="E90" s="18" t="n"/>
      <c r="F90" s="38" t="n"/>
      <c r="G90" s="18" t="n"/>
      <c r="H90" s="18" t="n"/>
      <c r="I90" s="18" t="n"/>
      <c r="J90" s="18" t="n"/>
    </row>
    <row r="91">
      <c r="A91" s="41" t="n"/>
      <c r="B91" s="35">
        <f>IF(A91="","",YEAR(A91))</f>
        <v/>
      </c>
      <c r="C91" s="36">
        <f>IF(A91="","",MONTH(A91))</f>
        <v/>
      </c>
      <c r="D91" s="37">
        <f>IF(A91="","","Q"&amp;ROUNDUP(MONTH(A91)/3,0))</f>
        <v/>
      </c>
      <c r="E91" s="22" t="n"/>
      <c r="F91" s="42" t="n"/>
      <c r="G91" s="22" t="n"/>
      <c r="H91" s="22" t="n"/>
      <c r="I91" s="22" t="n"/>
      <c r="J91" s="22" t="n"/>
    </row>
    <row r="92">
      <c r="A92" s="34" t="n"/>
      <c r="B92" s="35">
        <f>IF(A92="","",YEAR(A92))</f>
        <v/>
      </c>
      <c r="C92" s="36">
        <f>IF(A92="","",MONTH(A92))</f>
        <v/>
      </c>
      <c r="D92" s="37">
        <f>IF(A92="","","Q"&amp;ROUNDUP(MONTH(A92)/3,0))</f>
        <v/>
      </c>
      <c r="E92" s="18" t="n"/>
      <c r="F92" s="38" t="n"/>
      <c r="G92" s="18" t="n"/>
      <c r="H92" s="18" t="n"/>
      <c r="I92" s="18" t="n"/>
      <c r="J92" s="18" t="n"/>
    </row>
    <row r="93">
      <c r="A93" s="41" t="n"/>
      <c r="B93" s="35">
        <f>IF(A93="","",YEAR(A93))</f>
        <v/>
      </c>
      <c r="C93" s="36">
        <f>IF(A93="","",MONTH(A93))</f>
        <v/>
      </c>
      <c r="D93" s="37">
        <f>IF(A93="","","Q"&amp;ROUNDUP(MONTH(A93)/3,0))</f>
        <v/>
      </c>
      <c r="E93" s="22" t="n"/>
      <c r="F93" s="42" t="n"/>
      <c r="G93" s="22" t="n"/>
      <c r="H93" s="22" t="n"/>
      <c r="I93" s="22" t="n"/>
      <c r="J93" s="22" t="n"/>
    </row>
    <row r="94">
      <c r="A94" s="34" t="n"/>
      <c r="B94" s="35">
        <f>IF(A94="","",YEAR(A94))</f>
        <v/>
      </c>
      <c r="C94" s="36">
        <f>IF(A94="","",MONTH(A94))</f>
        <v/>
      </c>
      <c r="D94" s="37">
        <f>IF(A94="","","Q"&amp;ROUNDUP(MONTH(A94)/3,0))</f>
        <v/>
      </c>
      <c r="E94" s="18" t="n"/>
      <c r="F94" s="38" t="n"/>
      <c r="G94" s="18" t="n"/>
      <c r="H94" s="18" t="n"/>
      <c r="I94" s="18" t="n"/>
      <c r="J94" s="18" t="n"/>
    </row>
    <row r="95">
      <c r="A95" s="41" t="n"/>
      <c r="B95" s="35">
        <f>IF(A95="","",YEAR(A95))</f>
        <v/>
      </c>
      <c r="C95" s="36">
        <f>IF(A95="","",MONTH(A95))</f>
        <v/>
      </c>
      <c r="D95" s="37">
        <f>IF(A95="","","Q"&amp;ROUNDUP(MONTH(A95)/3,0))</f>
        <v/>
      </c>
      <c r="E95" s="22" t="n"/>
      <c r="F95" s="42" t="n"/>
      <c r="G95" s="22" t="n"/>
      <c r="H95" s="22" t="n"/>
      <c r="I95" s="22" t="n"/>
      <c r="J95" s="22" t="n"/>
    </row>
    <row r="96">
      <c r="A96" s="34" t="n"/>
      <c r="B96" s="35">
        <f>IF(A96="","",YEAR(A96))</f>
        <v/>
      </c>
      <c r="C96" s="36">
        <f>IF(A96="","",MONTH(A96))</f>
        <v/>
      </c>
      <c r="D96" s="37">
        <f>IF(A96="","","Q"&amp;ROUNDUP(MONTH(A96)/3,0))</f>
        <v/>
      </c>
      <c r="E96" s="18" t="n"/>
      <c r="F96" s="38" t="n"/>
      <c r="G96" s="18" t="n"/>
      <c r="H96" s="18" t="n"/>
      <c r="I96" s="18" t="n"/>
      <c r="J96" s="18" t="n"/>
    </row>
    <row r="97">
      <c r="A97" s="41" t="n"/>
      <c r="B97" s="35">
        <f>IF(A97="","",YEAR(A97))</f>
        <v/>
      </c>
      <c r="C97" s="36">
        <f>IF(A97="","",MONTH(A97))</f>
        <v/>
      </c>
      <c r="D97" s="37">
        <f>IF(A97="","","Q"&amp;ROUNDUP(MONTH(A97)/3,0))</f>
        <v/>
      </c>
      <c r="E97" s="22" t="n"/>
      <c r="F97" s="42" t="n"/>
      <c r="G97" s="22" t="n"/>
      <c r="H97" s="22" t="n"/>
      <c r="I97" s="22" t="n"/>
      <c r="J97" s="22" t="n"/>
    </row>
    <row r="98">
      <c r="A98" s="34" t="n"/>
      <c r="B98" s="35">
        <f>IF(A98="","",YEAR(A98))</f>
        <v/>
      </c>
      <c r="C98" s="36">
        <f>IF(A98="","",MONTH(A98))</f>
        <v/>
      </c>
      <c r="D98" s="37">
        <f>IF(A98="","","Q"&amp;ROUNDUP(MONTH(A98)/3,0))</f>
        <v/>
      </c>
      <c r="E98" s="18" t="n"/>
      <c r="F98" s="38" t="n"/>
      <c r="G98" s="18" t="n"/>
      <c r="H98" s="18" t="n"/>
      <c r="I98" s="18" t="n"/>
      <c r="J98" s="18" t="n"/>
    </row>
    <row r="99">
      <c r="A99" s="41" t="n"/>
      <c r="B99" s="35">
        <f>IF(A99="","",YEAR(A99))</f>
        <v/>
      </c>
      <c r="C99" s="36">
        <f>IF(A99="","",MONTH(A99))</f>
        <v/>
      </c>
      <c r="D99" s="37">
        <f>IF(A99="","","Q"&amp;ROUNDUP(MONTH(A99)/3,0))</f>
        <v/>
      </c>
      <c r="E99" s="22" t="n"/>
      <c r="F99" s="42" t="n"/>
      <c r="G99" s="22" t="n"/>
      <c r="H99" s="22" t="n"/>
      <c r="I99" s="22" t="n"/>
      <c r="J99" s="22" t="n"/>
    </row>
    <row r="100">
      <c r="A100" s="34" t="n"/>
      <c r="B100" s="35">
        <f>IF(A100="","",YEAR(A100))</f>
        <v/>
      </c>
      <c r="C100" s="36">
        <f>IF(A100="","",MONTH(A100))</f>
        <v/>
      </c>
      <c r="D100" s="37">
        <f>IF(A100="","","Q"&amp;ROUNDUP(MONTH(A100)/3,0))</f>
        <v/>
      </c>
      <c r="E100" s="18" t="n"/>
      <c r="F100" s="38" t="n"/>
      <c r="G100" s="18" t="n"/>
      <c r="H100" s="18" t="n"/>
      <c r="I100" s="18" t="n"/>
      <c r="J100" s="18" t="n"/>
    </row>
    <row r="101">
      <c r="A101" s="41" t="n"/>
      <c r="B101" s="35">
        <f>IF(A101="","",YEAR(A101))</f>
        <v/>
      </c>
      <c r="C101" s="36">
        <f>IF(A101="","",MONTH(A101))</f>
        <v/>
      </c>
      <c r="D101" s="37">
        <f>IF(A101="","","Q"&amp;ROUNDUP(MONTH(A101)/3,0))</f>
        <v/>
      </c>
      <c r="E101" s="22" t="n"/>
      <c r="F101" s="42" t="n"/>
      <c r="G101" s="22" t="n"/>
      <c r="H101" s="22" t="n"/>
      <c r="I101" s="22" t="n"/>
      <c r="J101" s="22" t="n"/>
    </row>
    <row r="102">
      <c r="A102" s="34" t="n"/>
      <c r="B102" s="35">
        <f>IF(A102="","",YEAR(A102))</f>
        <v/>
      </c>
      <c r="C102" s="36">
        <f>IF(A102="","",MONTH(A102))</f>
        <v/>
      </c>
      <c r="D102" s="37">
        <f>IF(A102="","","Q"&amp;ROUNDUP(MONTH(A102)/3,0))</f>
        <v/>
      </c>
      <c r="E102" s="18" t="n"/>
      <c r="F102" s="38" t="n"/>
      <c r="G102" s="18" t="n"/>
      <c r="H102" s="18" t="n"/>
      <c r="I102" s="18" t="n"/>
      <c r="J102" s="18" t="n"/>
    </row>
    <row r="103">
      <c r="A103" s="41" t="n"/>
      <c r="B103" s="35">
        <f>IF(A103="","",YEAR(A103))</f>
        <v/>
      </c>
      <c r="C103" s="36">
        <f>IF(A103="","",MONTH(A103))</f>
        <v/>
      </c>
      <c r="D103" s="37">
        <f>IF(A103="","","Q"&amp;ROUNDUP(MONTH(A103)/3,0))</f>
        <v/>
      </c>
      <c r="E103" s="22" t="n"/>
      <c r="F103" s="42" t="n"/>
      <c r="G103" s="22" t="n"/>
      <c r="H103" s="22" t="n"/>
      <c r="I103" s="22" t="n"/>
      <c r="J103" s="22" t="n"/>
    </row>
    <row r="104">
      <c r="A104" s="34" t="n"/>
      <c r="B104" s="35">
        <f>IF(A104="","",YEAR(A104))</f>
        <v/>
      </c>
      <c r="C104" s="36">
        <f>IF(A104="","",MONTH(A104))</f>
        <v/>
      </c>
      <c r="D104" s="37">
        <f>IF(A104="","","Q"&amp;ROUNDUP(MONTH(A104)/3,0))</f>
        <v/>
      </c>
      <c r="E104" s="18" t="n"/>
      <c r="F104" s="38" t="n"/>
      <c r="G104" s="18" t="n"/>
      <c r="H104" s="18" t="n"/>
      <c r="I104" s="18" t="n"/>
      <c r="J104" s="18" t="n"/>
    </row>
    <row r="105">
      <c r="A105" s="41" t="n"/>
      <c r="B105" s="35">
        <f>IF(A105="","",YEAR(A105))</f>
        <v/>
      </c>
      <c r="C105" s="36">
        <f>IF(A105="","",MONTH(A105))</f>
        <v/>
      </c>
      <c r="D105" s="37">
        <f>IF(A105="","","Q"&amp;ROUNDUP(MONTH(A105)/3,0))</f>
        <v/>
      </c>
      <c r="E105" s="22" t="n"/>
      <c r="F105" s="42" t="n"/>
      <c r="G105" s="22" t="n"/>
      <c r="H105" s="22" t="n"/>
      <c r="I105" s="22" t="n"/>
      <c r="J105" s="22" t="n"/>
    </row>
    <row r="106">
      <c r="A106" s="34" t="n"/>
      <c r="B106" s="35">
        <f>IF(A106="","",YEAR(A106))</f>
        <v/>
      </c>
      <c r="C106" s="36">
        <f>IF(A106="","",MONTH(A106))</f>
        <v/>
      </c>
      <c r="D106" s="37">
        <f>IF(A106="","","Q"&amp;ROUNDUP(MONTH(A106)/3,0))</f>
        <v/>
      </c>
      <c r="E106" s="18" t="n"/>
      <c r="F106" s="38" t="n"/>
      <c r="G106" s="18" t="n"/>
      <c r="H106" s="18" t="n"/>
      <c r="I106" s="18" t="n"/>
      <c r="J106" s="18" t="n"/>
    </row>
    <row r="107">
      <c r="A107" s="41" t="n"/>
      <c r="B107" s="35">
        <f>IF(A107="","",YEAR(A107))</f>
        <v/>
      </c>
      <c r="C107" s="36">
        <f>IF(A107="","",MONTH(A107))</f>
        <v/>
      </c>
      <c r="D107" s="37">
        <f>IF(A107="","","Q"&amp;ROUNDUP(MONTH(A107)/3,0))</f>
        <v/>
      </c>
      <c r="E107" s="22" t="n"/>
      <c r="F107" s="42" t="n"/>
      <c r="G107" s="22" t="n"/>
      <c r="H107" s="22" t="n"/>
      <c r="I107" s="22" t="n"/>
      <c r="J107" s="22" t="n"/>
    </row>
    <row r="108">
      <c r="A108" s="34" t="n"/>
      <c r="B108" s="35">
        <f>IF(A108="","",YEAR(A108))</f>
        <v/>
      </c>
      <c r="C108" s="36">
        <f>IF(A108="","",MONTH(A108))</f>
        <v/>
      </c>
      <c r="D108" s="37">
        <f>IF(A108="","","Q"&amp;ROUNDUP(MONTH(A108)/3,0))</f>
        <v/>
      </c>
      <c r="E108" s="18" t="n"/>
      <c r="F108" s="38" t="n"/>
      <c r="G108" s="18" t="n"/>
      <c r="H108" s="18" t="n"/>
      <c r="I108" s="18" t="n"/>
      <c r="J108" s="18" t="n"/>
    </row>
    <row r="109">
      <c r="A109" s="41" t="n"/>
      <c r="B109" s="35">
        <f>IF(A109="","",YEAR(A109))</f>
        <v/>
      </c>
      <c r="C109" s="36">
        <f>IF(A109="","",MONTH(A109))</f>
        <v/>
      </c>
      <c r="D109" s="37">
        <f>IF(A109="","","Q"&amp;ROUNDUP(MONTH(A109)/3,0))</f>
        <v/>
      </c>
      <c r="E109" s="22" t="n"/>
      <c r="F109" s="42" t="n"/>
      <c r="G109" s="22" t="n"/>
      <c r="H109" s="22" t="n"/>
      <c r="I109" s="22" t="n"/>
      <c r="J109" s="22" t="n"/>
    </row>
    <row r="110">
      <c r="A110" s="34" t="n"/>
      <c r="B110" s="35">
        <f>IF(A110="","",YEAR(A110))</f>
        <v/>
      </c>
      <c r="C110" s="36">
        <f>IF(A110="","",MONTH(A110))</f>
        <v/>
      </c>
      <c r="D110" s="37">
        <f>IF(A110="","","Q"&amp;ROUNDUP(MONTH(A110)/3,0))</f>
        <v/>
      </c>
      <c r="E110" s="18" t="n"/>
      <c r="F110" s="38" t="n"/>
      <c r="G110" s="18" t="n"/>
      <c r="H110" s="18" t="n"/>
      <c r="I110" s="18" t="n"/>
      <c r="J110" s="18" t="n"/>
    </row>
    <row r="111">
      <c r="A111" s="41" t="n"/>
      <c r="B111" s="35">
        <f>IF(A111="","",YEAR(A111))</f>
        <v/>
      </c>
      <c r="C111" s="36">
        <f>IF(A111="","",MONTH(A111))</f>
        <v/>
      </c>
      <c r="D111" s="37">
        <f>IF(A111="","","Q"&amp;ROUNDUP(MONTH(A111)/3,0))</f>
        <v/>
      </c>
      <c r="E111" s="22" t="n"/>
      <c r="F111" s="42" t="n"/>
      <c r="G111" s="22" t="n"/>
      <c r="H111" s="22" t="n"/>
      <c r="I111" s="22" t="n"/>
      <c r="J111" s="22" t="n"/>
    </row>
    <row r="112">
      <c r="A112" s="34" t="n"/>
      <c r="B112" s="35">
        <f>IF(A112="","",YEAR(A112))</f>
        <v/>
      </c>
      <c r="C112" s="36">
        <f>IF(A112="","",MONTH(A112))</f>
        <v/>
      </c>
      <c r="D112" s="37">
        <f>IF(A112="","","Q"&amp;ROUNDUP(MONTH(A112)/3,0))</f>
        <v/>
      </c>
      <c r="E112" s="18" t="n"/>
      <c r="F112" s="38" t="n"/>
      <c r="G112" s="18" t="n"/>
      <c r="H112" s="18" t="n"/>
      <c r="I112" s="18" t="n"/>
      <c r="J112" s="18" t="n"/>
    </row>
    <row r="113">
      <c r="A113" s="41" t="n"/>
      <c r="B113" s="35">
        <f>IF(A113="","",YEAR(A113))</f>
        <v/>
      </c>
      <c r="C113" s="36">
        <f>IF(A113="","",MONTH(A113))</f>
        <v/>
      </c>
      <c r="D113" s="37">
        <f>IF(A113="","","Q"&amp;ROUNDUP(MONTH(A113)/3,0))</f>
        <v/>
      </c>
      <c r="E113" s="22" t="n"/>
      <c r="F113" s="42" t="n"/>
      <c r="G113" s="22" t="n"/>
      <c r="H113" s="22" t="n"/>
      <c r="I113" s="22" t="n"/>
      <c r="J113" s="22" t="n"/>
    </row>
    <row r="114">
      <c r="A114" s="34" t="n"/>
      <c r="B114" s="35">
        <f>IF(A114="","",YEAR(A114))</f>
        <v/>
      </c>
      <c r="C114" s="36">
        <f>IF(A114="","",MONTH(A114))</f>
        <v/>
      </c>
      <c r="D114" s="37">
        <f>IF(A114="","","Q"&amp;ROUNDUP(MONTH(A114)/3,0))</f>
        <v/>
      </c>
      <c r="E114" s="18" t="n"/>
      <c r="F114" s="38" t="n"/>
      <c r="G114" s="18" t="n"/>
      <c r="H114" s="18" t="n"/>
      <c r="I114" s="18" t="n"/>
      <c r="J114" s="18" t="n"/>
    </row>
    <row r="115">
      <c r="A115" s="41" t="n"/>
      <c r="B115" s="35">
        <f>IF(A115="","",YEAR(A115))</f>
        <v/>
      </c>
      <c r="C115" s="36">
        <f>IF(A115="","",MONTH(A115))</f>
        <v/>
      </c>
      <c r="D115" s="37">
        <f>IF(A115="","","Q"&amp;ROUNDUP(MONTH(A115)/3,0))</f>
        <v/>
      </c>
      <c r="E115" s="22" t="n"/>
      <c r="F115" s="42" t="n"/>
      <c r="G115" s="22" t="n"/>
      <c r="H115" s="22" t="n"/>
      <c r="I115" s="22" t="n"/>
      <c r="J115" s="22" t="n"/>
    </row>
    <row r="116">
      <c r="A116" s="34" t="n"/>
      <c r="B116" s="35">
        <f>IF(A116="","",YEAR(A116))</f>
        <v/>
      </c>
      <c r="C116" s="36">
        <f>IF(A116="","",MONTH(A116))</f>
        <v/>
      </c>
      <c r="D116" s="37">
        <f>IF(A116="","","Q"&amp;ROUNDUP(MONTH(A116)/3,0))</f>
        <v/>
      </c>
      <c r="E116" s="18" t="n"/>
      <c r="F116" s="38" t="n"/>
      <c r="G116" s="18" t="n"/>
      <c r="H116" s="18" t="n"/>
      <c r="I116" s="18" t="n"/>
      <c r="J116" s="18" t="n"/>
    </row>
    <row r="117">
      <c r="A117" s="41" t="n"/>
      <c r="B117" s="35">
        <f>IF(A117="","",YEAR(A117))</f>
        <v/>
      </c>
      <c r="C117" s="36">
        <f>IF(A117="","",MONTH(A117))</f>
        <v/>
      </c>
      <c r="D117" s="37">
        <f>IF(A117="","","Q"&amp;ROUNDUP(MONTH(A117)/3,0))</f>
        <v/>
      </c>
      <c r="E117" s="22" t="n"/>
      <c r="F117" s="42" t="n"/>
      <c r="G117" s="22" t="n"/>
      <c r="H117" s="22" t="n"/>
      <c r="I117" s="22" t="n"/>
      <c r="J117" s="22" t="n"/>
    </row>
    <row r="118">
      <c r="A118" s="34" t="n"/>
      <c r="B118" s="35">
        <f>IF(A118="","",YEAR(A118))</f>
        <v/>
      </c>
      <c r="C118" s="36">
        <f>IF(A118="","",MONTH(A118))</f>
        <v/>
      </c>
      <c r="D118" s="37">
        <f>IF(A118="","","Q"&amp;ROUNDUP(MONTH(A118)/3,0))</f>
        <v/>
      </c>
      <c r="E118" s="18" t="n"/>
      <c r="F118" s="38" t="n"/>
      <c r="G118" s="18" t="n"/>
      <c r="H118" s="18" t="n"/>
      <c r="I118" s="18" t="n"/>
      <c r="J118" s="18" t="n"/>
    </row>
    <row r="119">
      <c r="A119" s="41" t="n"/>
      <c r="B119" s="35">
        <f>IF(A119="","",YEAR(A119))</f>
        <v/>
      </c>
      <c r="C119" s="36">
        <f>IF(A119="","",MONTH(A119))</f>
        <v/>
      </c>
      <c r="D119" s="37">
        <f>IF(A119="","","Q"&amp;ROUNDUP(MONTH(A119)/3,0))</f>
        <v/>
      </c>
      <c r="E119" s="22" t="n"/>
      <c r="F119" s="42" t="n"/>
      <c r="G119" s="22" t="n"/>
      <c r="H119" s="22" t="n"/>
      <c r="I119" s="22" t="n"/>
      <c r="J119" s="22" t="n"/>
    </row>
    <row r="120">
      <c r="A120" s="34" t="n"/>
      <c r="B120" s="35">
        <f>IF(A120="","",YEAR(A120))</f>
        <v/>
      </c>
      <c r="C120" s="36">
        <f>IF(A120="","",MONTH(A120))</f>
        <v/>
      </c>
      <c r="D120" s="37">
        <f>IF(A120="","","Q"&amp;ROUNDUP(MONTH(A120)/3,0))</f>
        <v/>
      </c>
      <c r="E120" s="18" t="n"/>
      <c r="F120" s="38" t="n"/>
      <c r="G120" s="18" t="n"/>
      <c r="H120" s="18" t="n"/>
      <c r="I120" s="18" t="n"/>
      <c r="J120" s="18" t="n"/>
    </row>
    <row r="121">
      <c r="A121" s="41" t="n"/>
      <c r="B121" s="35">
        <f>IF(A121="","",YEAR(A121))</f>
        <v/>
      </c>
      <c r="C121" s="36">
        <f>IF(A121="","",MONTH(A121))</f>
        <v/>
      </c>
      <c r="D121" s="37">
        <f>IF(A121="","","Q"&amp;ROUNDUP(MONTH(A121)/3,0))</f>
        <v/>
      </c>
      <c r="E121" s="22" t="n"/>
      <c r="F121" s="42" t="n"/>
      <c r="G121" s="22" t="n"/>
      <c r="H121" s="22" t="n"/>
      <c r="I121" s="22" t="n"/>
      <c r="J121" s="22" t="n"/>
    </row>
    <row r="122">
      <c r="A122" s="34" t="n"/>
      <c r="B122" s="35">
        <f>IF(A122="","",YEAR(A122))</f>
        <v/>
      </c>
      <c r="C122" s="36">
        <f>IF(A122="","",MONTH(A122))</f>
        <v/>
      </c>
      <c r="D122" s="37">
        <f>IF(A122="","","Q"&amp;ROUNDUP(MONTH(A122)/3,0))</f>
        <v/>
      </c>
      <c r="E122" s="18" t="n"/>
      <c r="F122" s="38" t="n"/>
      <c r="G122" s="18" t="n"/>
      <c r="H122" s="18" t="n"/>
      <c r="I122" s="18" t="n"/>
      <c r="J122" s="18" t="n"/>
    </row>
    <row r="123">
      <c r="A123" s="41" t="n"/>
      <c r="B123" s="35">
        <f>IF(A123="","",YEAR(A123))</f>
        <v/>
      </c>
      <c r="C123" s="36">
        <f>IF(A123="","",MONTH(A123))</f>
        <v/>
      </c>
      <c r="D123" s="37">
        <f>IF(A123="","","Q"&amp;ROUNDUP(MONTH(A123)/3,0))</f>
        <v/>
      </c>
      <c r="E123" s="22" t="n"/>
      <c r="F123" s="42" t="n"/>
      <c r="G123" s="22" t="n"/>
      <c r="H123" s="22" t="n"/>
      <c r="I123" s="22" t="n"/>
      <c r="J123" s="22" t="n"/>
    </row>
    <row r="124">
      <c r="A124" s="34" t="n"/>
      <c r="B124" s="35">
        <f>IF(A124="","",YEAR(A124))</f>
        <v/>
      </c>
      <c r="C124" s="36">
        <f>IF(A124="","",MONTH(A124))</f>
        <v/>
      </c>
      <c r="D124" s="37">
        <f>IF(A124="","","Q"&amp;ROUNDUP(MONTH(A124)/3,0))</f>
        <v/>
      </c>
      <c r="E124" s="18" t="n"/>
      <c r="F124" s="38" t="n"/>
      <c r="G124" s="18" t="n"/>
      <c r="H124" s="18" t="n"/>
      <c r="I124" s="18" t="n"/>
      <c r="J124" s="18" t="n"/>
    </row>
    <row r="125">
      <c r="A125" s="41" t="n"/>
      <c r="B125" s="35">
        <f>IF(A125="","",YEAR(A125))</f>
        <v/>
      </c>
      <c r="C125" s="36">
        <f>IF(A125="","",MONTH(A125))</f>
        <v/>
      </c>
      <c r="D125" s="37">
        <f>IF(A125="","","Q"&amp;ROUNDUP(MONTH(A125)/3,0))</f>
        <v/>
      </c>
      <c r="E125" s="22" t="n"/>
      <c r="F125" s="42" t="n"/>
      <c r="G125" s="22" t="n"/>
      <c r="H125" s="22" t="n"/>
      <c r="I125" s="22" t="n"/>
      <c r="J125" s="22" t="n"/>
    </row>
    <row r="126">
      <c r="A126" s="34" t="n"/>
      <c r="B126" s="35">
        <f>IF(A126="","",YEAR(A126))</f>
        <v/>
      </c>
      <c r="C126" s="36">
        <f>IF(A126="","",MONTH(A126))</f>
        <v/>
      </c>
      <c r="D126" s="37">
        <f>IF(A126="","","Q"&amp;ROUNDUP(MONTH(A126)/3,0))</f>
        <v/>
      </c>
      <c r="E126" s="18" t="n"/>
      <c r="F126" s="38" t="n"/>
      <c r="G126" s="18" t="n"/>
      <c r="H126" s="18" t="n"/>
      <c r="I126" s="18" t="n"/>
      <c r="J126" s="18" t="n"/>
    </row>
    <row r="127">
      <c r="A127" s="41" t="n"/>
      <c r="B127" s="35">
        <f>IF(A127="","",YEAR(A127))</f>
        <v/>
      </c>
      <c r="C127" s="36">
        <f>IF(A127="","",MONTH(A127))</f>
        <v/>
      </c>
      <c r="D127" s="37">
        <f>IF(A127="","","Q"&amp;ROUNDUP(MONTH(A127)/3,0))</f>
        <v/>
      </c>
      <c r="E127" s="22" t="n"/>
      <c r="F127" s="42" t="n"/>
      <c r="G127" s="22" t="n"/>
      <c r="H127" s="22" t="n"/>
      <c r="I127" s="22" t="n"/>
      <c r="J127" s="22" t="n"/>
    </row>
    <row r="128">
      <c r="A128" s="34" t="n"/>
      <c r="B128" s="35">
        <f>IF(A128="","",YEAR(A128))</f>
        <v/>
      </c>
      <c r="C128" s="36">
        <f>IF(A128="","",MONTH(A128))</f>
        <v/>
      </c>
      <c r="D128" s="37">
        <f>IF(A128="","","Q"&amp;ROUNDUP(MONTH(A128)/3,0))</f>
        <v/>
      </c>
      <c r="E128" s="18" t="n"/>
      <c r="F128" s="38" t="n"/>
      <c r="G128" s="18" t="n"/>
      <c r="H128" s="18" t="n"/>
      <c r="I128" s="18" t="n"/>
      <c r="J128" s="18" t="n"/>
    </row>
    <row r="129">
      <c r="A129" s="41" t="n"/>
      <c r="B129" s="35">
        <f>IF(A129="","",YEAR(A129))</f>
        <v/>
      </c>
      <c r="C129" s="36">
        <f>IF(A129="","",MONTH(A129))</f>
        <v/>
      </c>
      <c r="D129" s="37">
        <f>IF(A129="","","Q"&amp;ROUNDUP(MONTH(A129)/3,0))</f>
        <v/>
      </c>
      <c r="E129" s="22" t="n"/>
      <c r="F129" s="42" t="n"/>
      <c r="G129" s="22" t="n"/>
      <c r="H129" s="22" t="n"/>
      <c r="I129" s="22" t="n"/>
      <c r="J129" s="22" t="n"/>
    </row>
    <row r="130">
      <c r="A130" s="34" t="n"/>
      <c r="B130" s="35">
        <f>IF(A130="","",YEAR(A130))</f>
        <v/>
      </c>
      <c r="C130" s="36">
        <f>IF(A130="","",MONTH(A130))</f>
        <v/>
      </c>
      <c r="D130" s="37">
        <f>IF(A130="","","Q"&amp;ROUNDUP(MONTH(A130)/3,0))</f>
        <v/>
      </c>
      <c r="E130" s="18" t="n"/>
      <c r="F130" s="38" t="n"/>
      <c r="G130" s="18" t="n"/>
      <c r="H130" s="18" t="n"/>
      <c r="I130" s="18" t="n"/>
      <c r="J130" s="18" t="n"/>
    </row>
    <row r="131">
      <c r="A131" s="41" t="n"/>
      <c r="B131" s="35">
        <f>IF(A131="","",YEAR(A131))</f>
        <v/>
      </c>
      <c r="C131" s="36">
        <f>IF(A131="","",MONTH(A131))</f>
        <v/>
      </c>
      <c r="D131" s="37">
        <f>IF(A131="","","Q"&amp;ROUNDUP(MONTH(A131)/3,0))</f>
        <v/>
      </c>
      <c r="E131" s="22" t="n"/>
      <c r="F131" s="42" t="n"/>
      <c r="G131" s="22" t="n"/>
      <c r="H131" s="22" t="n"/>
      <c r="I131" s="22" t="n"/>
      <c r="J131" s="22" t="n"/>
    </row>
    <row r="132">
      <c r="A132" s="34" t="n"/>
      <c r="B132" s="35">
        <f>IF(A132="","",YEAR(A132))</f>
        <v/>
      </c>
      <c r="C132" s="36">
        <f>IF(A132="","",MONTH(A132))</f>
        <v/>
      </c>
      <c r="D132" s="37">
        <f>IF(A132="","","Q"&amp;ROUNDUP(MONTH(A132)/3,0))</f>
        <v/>
      </c>
      <c r="E132" s="18" t="n"/>
      <c r="F132" s="38" t="n"/>
      <c r="G132" s="18" t="n"/>
      <c r="H132" s="18" t="n"/>
      <c r="I132" s="18" t="n"/>
      <c r="J132" s="18" t="n"/>
    </row>
    <row r="133">
      <c r="A133" s="41" t="n"/>
      <c r="B133" s="35">
        <f>IF(A133="","",YEAR(A133))</f>
        <v/>
      </c>
      <c r="C133" s="36">
        <f>IF(A133="","",MONTH(A133))</f>
        <v/>
      </c>
      <c r="D133" s="37">
        <f>IF(A133="","","Q"&amp;ROUNDUP(MONTH(A133)/3,0))</f>
        <v/>
      </c>
      <c r="E133" s="22" t="n"/>
      <c r="F133" s="42" t="n"/>
      <c r="G133" s="22" t="n"/>
      <c r="H133" s="22" t="n"/>
      <c r="I133" s="22" t="n"/>
      <c r="J133" s="22" t="n"/>
    </row>
    <row r="134">
      <c r="A134" s="34" t="n"/>
      <c r="B134" s="35">
        <f>IF(A134="","",YEAR(A134))</f>
        <v/>
      </c>
      <c r="C134" s="36">
        <f>IF(A134="","",MONTH(A134))</f>
        <v/>
      </c>
      <c r="D134" s="37">
        <f>IF(A134="","","Q"&amp;ROUNDUP(MONTH(A134)/3,0))</f>
        <v/>
      </c>
      <c r="E134" s="18" t="n"/>
      <c r="F134" s="38" t="n"/>
      <c r="G134" s="18" t="n"/>
      <c r="H134" s="18" t="n"/>
      <c r="I134" s="18" t="n"/>
      <c r="J134" s="18" t="n"/>
    </row>
    <row r="135">
      <c r="A135" s="41" t="n"/>
      <c r="B135" s="35">
        <f>IF(A135="","",YEAR(A135))</f>
        <v/>
      </c>
      <c r="C135" s="36">
        <f>IF(A135="","",MONTH(A135))</f>
        <v/>
      </c>
      <c r="D135" s="37">
        <f>IF(A135="","","Q"&amp;ROUNDUP(MONTH(A135)/3,0))</f>
        <v/>
      </c>
      <c r="E135" s="22" t="n"/>
      <c r="F135" s="42" t="n"/>
      <c r="G135" s="22" t="n"/>
      <c r="H135" s="22" t="n"/>
      <c r="I135" s="22" t="n"/>
      <c r="J135" s="22" t="n"/>
    </row>
    <row r="136">
      <c r="A136" s="34" t="n"/>
      <c r="B136" s="35">
        <f>IF(A136="","",YEAR(A136))</f>
        <v/>
      </c>
      <c r="C136" s="36">
        <f>IF(A136="","",MONTH(A136))</f>
        <v/>
      </c>
      <c r="D136" s="37">
        <f>IF(A136="","","Q"&amp;ROUNDUP(MONTH(A136)/3,0))</f>
        <v/>
      </c>
      <c r="E136" s="18" t="n"/>
      <c r="F136" s="38" t="n"/>
      <c r="G136" s="18" t="n"/>
      <c r="H136" s="18" t="n"/>
      <c r="I136" s="18" t="n"/>
      <c r="J136" s="18" t="n"/>
    </row>
    <row r="137">
      <c r="A137" s="41" t="n"/>
      <c r="B137" s="35">
        <f>IF(A137="","",YEAR(A137))</f>
        <v/>
      </c>
      <c r="C137" s="36">
        <f>IF(A137="","",MONTH(A137))</f>
        <v/>
      </c>
      <c r="D137" s="37">
        <f>IF(A137="","","Q"&amp;ROUNDUP(MONTH(A137)/3,0))</f>
        <v/>
      </c>
      <c r="E137" s="22" t="n"/>
      <c r="F137" s="42" t="n"/>
      <c r="G137" s="22" t="n"/>
      <c r="H137" s="22" t="n"/>
      <c r="I137" s="22" t="n"/>
      <c r="J137" s="22" t="n"/>
    </row>
    <row r="138">
      <c r="A138" s="34" t="n"/>
      <c r="B138" s="35">
        <f>IF(A138="","",YEAR(A138))</f>
        <v/>
      </c>
      <c r="C138" s="36">
        <f>IF(A138="","",MONTH(A138))</f>
        <v/>
      </c>
      <c r="D138" s="37">
        <f>IF(A138="","","Q"&amp;ROUNDUP(MONTH(A138)/3,0))</f>
        <v/>
      </c>
      <c r="E138" s="18" t="n"/>
      <c r="F138" s="38" t="n"/>
      <c r="G138" s="18" t="n"/>
      <c r="H138" s="18" t="n"/>
      <c r="I138" s="18" t="n"/>
      <c r="J138" s="18" t="n"/>
    </row>
    <row r="139">
      <c r="A139" s="41" t="n"/>
      <c r="B139" s="35">
        <f>IF(A139="","",YEAR(A139))</f>
        <v/>
      </c>
      <c r="C139" s="36">
        <f>IF(A139="","",MONTH(A139))</f>
        <v/>
      </c>
      <c r="D139" s="37">
        <f>IF(A139="","","Q"&amp;ROUNDUP(MONTH(A139)/3,0))</f>
        <v/>
      </c>
      <c r="E139" s="22" t="n"/>
      <c r="F139" s="42" t="n"/>
      <c r="G139" s="22" t="n"/>
      <c r="H139" s="22" t="n"/>
      <c r="I139" s="22" t="n"/>
      <c r="J139" s="22" t="n"/>
    </row>
    <row r="140">
      <c r="A140" s="34" t="n"/>
      <c r="B140" s="35">
        <f>IF(A140="","",YEAR(A140))</f>
        <v/>
      </c>
      <c r="C140" s="36">
        <f>IF(A140="","",MONTH(A140))</f>
        <v/>
      </c>
      <c r="D140" s="37">
        <f>IF(A140="","","Q"&amp;ROUNDUP(MONTH(A140)/3,0))</f>
        <v/>
      </c>
      <c r="E140" s="18" t="n"/>
      <c r="F140" s="38" t="n"/>
      <c r="G140" s="18" t="n"/>
      <c r="H140" s="18" t="n"/>
      <c r="I140" s="18" t="n"/>
      <c r="J140" s="18" t="n"/>
    </row>
    <row r="141">
      <c r="A141" s="41" t="n"/>
      <c r="B141" s="35">
        <f>IF(A141="","",YEAR(A141))</f>
        <v/>
      </c>
      <c r="C141" s="36">
        <f>IF(A141="","",MONTH(A141))</f>
        <v/>
      </c>
      <c r="D141" s="37">
        <f>IF(A141="","","Q"&amp;ROUNDUP(MONTH(A141)/3,0))</f>
        <v/>
      </c>
      <c r="E141" s="22" t="n"/>
      <c r="F141" s="42" t="n"/>
      <c r="G141" s="22" t="n"/>
      <c r="H141" s="22" t="n"/>
      <c r="I141" s="22" t="n"/>
      <c r="J141" s="22" t="n"/>
    </row>
    <row r="142">
      <c r="A142" s="34" t="n"/>
      <c r="B142" s="35">
        <f>IF(A142="","",YEAR(A142))</f>
        <v/>
      </c>
      <c r="C142" s="36">
        <f>IF(A142="","",MONTH(A142))</f>
        <v/>
      </c>
      <c r="D142" s="37">
        <f>IF(A142="","","Q"&amp;ROUNDUP(MONTH(A142)/3,0))</f>
        <v/>
      </c>
      <c r="E142" s="18" t="n"/>
      <c r="F142" s="38" t="n"/>
      <c r="G142" s="18" t="n"/>
      <c r="H142" s="18" t="n"/>
      <c r="I142" s="18" t="n"/>
      <c r="J142" s="18" t="n"/>
    </row>
    <row r="143">
      <c r="A143" s="41" t="n"/>
      <c r="B143" s="35">
        <f>IF(A143="","",YEAR(A143))</f>
        <v/>
      </c>
      <c r="C143" s="36">
        <f>IF(A143="","",MONTH(A143))</f>
        <v/>
      </c>
      <c r="D143" s="37">
        <f>IF(A143="","","Q"&amp;ROUNDUP(MONTH(A143)/3,0))</f>
        <v/>
      </c>
      <c r="E143" s="22" t="n"/>
      <c r="F143" s="42" t="n"/>
      <c r="G143" s="22" t="n"/>
      <c r="H143" s="22" t="n"/>
      <c r="I143" s="22" t="n"/>
      <c r="J143" s="22" t="n"/>
    </row>
    <row r="144">
      <c r="A144" s="34" t="n"/>
      <c r="B144" s="35">
        <f>IF(A144="","",YEAR(A144))</f>
        <v/>
      </c>
      <c r="C144" s="36">
        <f>IF(A144="","",MONTH(A144))</f>
        <v/>
      </c>
      <c r="D144" s="37">
        <f>IF(A144="","","Q"&amp;ROUNDUP(MONTH(A144)/3,0))</f>
        <v/>
      </c>
      <c r="E144" s="18" t="n"/>
      <c r="F144" s="38" t="n"/>
      <c r="G144" s="18" t="n"/>
      <c r="H144" s="18" t="n"/>
      <c r="I144" s="18" t="n"/>
      <c r="J144" s="18" t="n"/>
    </row>
    <row r="145">
      <c r="A145" s="41" t="n"/>
      <c r="B145" s="35">
        <f>IF(A145="","",YEAR(A145))</f>
        <v/>
      </c>
      <c r="C145" s="36">
        <f>IF(A145="","",MONTH(A145))</f>
        <v/>
      </c>
      <c r="D145" s="37">
        <f>IF(A145="","","Q"&amp;ROUNDUP(MONTH(A145)/3,0))</f>
        <v/>
      </c>
      <c r="E145" s="22" t="n"/>
      <c r="F145" s="42" t="n"/>
      <c r="G145" s="22" t="n"/>
      <c r="H145" s="22" t="n"/>
      <c r="I145" s="22" t="n"/>
      <c r="J145" s="22" t="n"/>
    </row>
    <row r="146">
      <c r="A146" s="34" t="n"/>
      <c r="B146" s="35">
        <f>IF(A146="","",YEAR(A146))</f>
        <v/>
      </c>
      <c r="C146" s="36">
        <f>IF(A146="","",MONTH(A146))</f>
        <v/>
      </c>
      <c r="D146" s="37">
        <f>IF(A146="","","Q"&amp;ROUNDUP(MONTH(A146)/3,0))</f>
        <v/>
      </c>
      <c r="E146" s="18" t="n"/>
      <c r="F146" s="38" t="n"/>
      <c r="G146" s="18" t="n"/>
      <c r="H146" s="18" t="n"/>
      <c r="I146" s="18" t="n"/>
      <c r="J146" s="18" t="n"/>
    </row>
    <row r="147">
      <c r="A147" s="41" t="n"/>
      <c r="B147" s="35">
        <f>IF(A147="","",YEAR(A147))</f>
        <v/>
      </c>
      <c r="C147" s="36">
        <f>IF(A147="","",MONTH(A147))</f>
        <v/>
      </c>
      <c r="D147" s="37">
        <f>IF(A147="","","Q"&amp;ROUNDUP(MONTH(A147)/3,0))</f>
        <v/>
      </c>
      <c r="E147" s="22" t="n"/>
      <c r="F147" s="42" t="n"/>
      <c r="G147" s="22" t="n"/>
      <c r="H147" s="22" t="n"/>
      <c r="I147" s="22" t="n"/>
      <c r="J147" s="22" t="n"/>
    </row>
    <row r="148">
      <c r="A148" s="34" t="n"/>
      <c r="B148" s="35">
        <f>IF(A148="","",YEAR(A148))</f>
        <v/>
      </c>
      <c r="C148" s="36">
        <f>IF(A148="","",MONTH(A148))</f>
        <v/>
      </c>
      <c r="D148" s="37">
        <f>IF(A148="","","Q"&amp;ROUNDUP(MONTH(A148)/3,0))</f>
        <v/>
      </c>
      <c r="E148" s="18" t="n"/>
      <c r="F148" s="38" t="n"/>
      <c r="G148" s="18" t="n"/>
      <c r="H148" s="18" t="n"/>
      <c r="I148" s="18" t="n"/>
      <c r="J148" s="18" t="n"/>
    </row>
    <row r="149">
      <c r="A149" s="41" t="n"/>
      <c r="B149" s="35">
        <f>IF(A149="","",YEAR(A149))</f>
        <v/>
      </c>
      <c r="C149" s="36">
        <f>IF(A149="","",MONTH(A149))</f>
        <v/>
      </c>
      <c r="D149" s="37">
        <f>IF(A149="","","Q"&amp;ROUNDUP(MONTH(A149)/3,0))</f>
        <v/>
      </c>
      <c r="E149" s="22" t="n"/>
      <c r="F149" s="42" t="n"/>
      <c r="G149" s="22" t="n"/>
      <c r="H149" s="22" t="n"/>
      <c r="I149" s="22" t="n"/>
      <c r="J149" s="22" t="n"/>
    </row>
    <row r="150">
      <c r="A150" s="34" t="n"/>
      <c r="B150" s="35">
        <f>IF(A150="","",YEAR(A150))</f>
        <v/>
      </c>
      <c r="C150" s="36">
        <f>IF(A150="","",MONTH(A150))</f>
        <v/>
      </c>
      <c r="D150" s="37">
        <f>IF(A150="","","Q"&amp;ROUNDUP(MONTH(A150)/3,0))</f>
        <v/>
      </c>
      <c r="E150" s="18" t="n"/>
      <c r="F150" s="38" t="n"/>
      <c r="G150" s="18" t="n"/>
      <c r="H150" s="18" t="n"/>
      <c r="I150" s="18" t="n"/>
      <c r="J150" s="18" t="n"/>
    </row>
    <row r="151">
      <c r="A151" s="41" t="n"/>
      <c r="B151" s="35">
        <f>IF(A151="","",YEAR(A151))</f>
        <v/>
      </c>
      <c r="C151" s="36">
        <f>IF(A151="","",MONTH(A151))</f>
        <v/>
      </c>
      <c r="D151" s="37">
        <f>IF(A151="","","Q"&amp;ROUNDUP(MONTH(A151)/3,0))</f>
        <v/>
      </c>
      <c r="E151" s="22" t="n"/>
      <c r="F151" s="42" t="n"/>
      <c r="G151" s="22" t="n"/>
      <c r="H151" s="22" t="n"/>
      <c r="I151" s="22" t="n"/>
      <c r="J151" s="22" t="n"/>
    </row>
    <row r="152">
      <c r="A152" s="34" t="n"/>
      <c r="B152" s="35">
        <f>IF(A152="","",YEAR(A152))</f>
        <v/>
      </c>
      <c r="C152" s="36">
        <f>IF(A152="","",MONTH(A152))</f>
        <v/>
      </c>
      <c r="D152" s="37">
        <f>IF(A152="","","Q"&amp;ROUNDUP(MONTH(A152)/3,0))</f>
        <v/>
      </c>
      <c r="E152" s="18" t="n"/>
      <c r="F152" s="38" t="n"/>
      <c r="G152" s="18" t="n"/>
      <c r="H152" s="18" t="n"/>
      <c r="I152" s="18" t="n"/>
      <c r="J152" s="18" t="n"/>
    </row>
    <row r="153">
      <c r="A153" s="41" t="n"/>
      <c r="B153" s="35">
        <f>IF(A153="","",YEAR(A153))</f>
        <v/>
      </c>
      <c r="C153" s="36">
        <f>IF(A153="","",MONTH(A153))</f>
        <v/>
      </c>
      <c r="D153" s="37">
        <f>IF(A153="","","Q"&amp;ROUNDUP(MONTH(A153)/3,0))</f>
        <v/>
      </c>
      <c r="E153" s="22" t="n"/>
      <c r="F153" s="42" t="n"/>
      <c r="G153" s="22" t="n"/>
      <c r="H153" s="22" t="n"/>
      <c r="I153" s="22" t="n"/>
      <c r="J153" s="22" t="n"/>
    </row>
    <row r="154">
      <c r="A154" s="34" t="n"/>
      <c r="B154" s="35">
        <f>IF(A154="","",YEAR(A154))</f>
        <v/>
      </c>
      <c r="C154" s="36">
        <f>IF(A154="","",MONTH(A154))</f>
        <v/>
      </c>
      <c r="D154" s="37">
        <f>IF(A154="","","Q"&amp;ROUNDUP(MONTH(A154)/3,0))</f>
        <v/>
      </c>
      <c r="E154" s="18" t="n"/>
      <c r="F154" s="38" t="n"/>
      <c r="G154" s="18" t="n"/>
      <c r="H154" s="18" t="n"/>
      <c r="I154" s="18" t="n"/>
      <c r="J154" s="18" t="n"/>
    </row>
    <row r="155">
      <c r="A155" s="41" t="n"/>
      <c r="B155" s="35">
        <f>IF(A155="","",YEAR(A155))</f>
        <v/>
      </c>
      <c r="C155" s="36">
        <f>IF(A155="","",MONTH(A155))</f>
        <v/>
      </c>
      <c r="D155" s="37">
        <f>IF(A155="","","Q"&amp;ROUNDUP(MONTH(A155)/3,0))</f>
        <v/>
      </c>
      <c r="E155" s="22" t="n"/>
      <c r="F155" s="42" t="n"/>
      <c r="G155" s="22" t="n"/>
      <c r="H155" s="22" t="n"/>
      <c r="I155" s="22" t="n"/>
      <c r="J155" s="22" t="n"/>
    </row>
    <row r="156">
      <c r="A156" s="34" t="n"/>
      <c r="B156" s="35">
        <f>IF(A156="","",YEAR(A156))</f>
        <v/>
      </c>
      <c r="C156" s="36">
        <f>IF(A156="","",MONTH(A156))</f>
        <v/>
      </c>
      <c r="D156" s="37">
        <f>IF(A156="","","Q"&amp;ROUNDUP(MONTH(A156)/3,0))</f>
        <v/>
      </c>
      <c r="E156" s="18" t="n"/>
      <c r="F156" s="38" t="n"/>
      <c r="G156" s="18" t="n"/>
      <c r="H156" s="18" t="n"/>
      <c r="I156" s="18" t="n"/>
      <c r="J156" s="18" t="n"/>
    </row>
    <row r="157">
      <c r="A157" s="41" t="n"/>
      <c r="B157" s="35">
        <f>IF(A157="","",YEAR(A157))</f>
        <v/>
      </c>
      <c r="C157" s="36">
        <f>IF(A157="","",MONTH(A157))</f>
        <v/>
      </c>
      <c r="D157" s="37">
        <f>IF(A157="","","Q"&amp;ROUNDUP(MONTH(A157)/3,0))</f>
        <v/>
      </c>
      <c r="E157" s="22" t="n"/>
      <c r="F157" s="42" t="n"/>
      <c r="G157" s="22" t="n"/>
      <c r="H157" s="22" t="n"/>
      <c r="I157" s="22" t="n"/>
      <c r="J157" s="22" t="n"/>
    </row>
    <row r="158">
      <c r="A158" s="34" t="n"/>
      <c r="B158" s="35">
        <f>IF(A158="","",YEAR(A158))</f>
        <v/>
      </c>
      <c r="C158" s="36">
        <f>IF(A158="","",MONTH(A158))</f>
        <v/>
      </c>
      <c r="D158" s="37">
        <f>IF(A158="","","Q"&amp;ROUNDUP(MONTH(A158)/3,0))</f>
        <v/>
      </c>
      <c r="E158" s="18" t="n"/>
      <c r="F158" s="38" t="n"/>
      <c r="G158" s="18" t="n"/>
      <c r="H158" s="18" t="n"/>
      <c r="I158" s="18" t="n"/>
      <c r="J158" s="18" t="n"/>
    </row>
    <row r="159">
      <c r="A159" s="41" t="n"/>
      <c r="B159" s="35">
        <f>IF(A159="","",YEAR(A159))</f>
        <v/>
      </c>
      <c r="C159" s="36">
        <f>IF(A159="","",MONTH(A159))</f>
        <v/>
      </c>
      <c r="D159" s="37">
        <f>IF(A159="","","Q"&amp;ROUNDUP(MONTH(A159)/3,0))</f>
        <v/>
      </c>
      <c r="E159" s="22" t="n"/>
      <c r="F159" s="42" t="n"/>
      <c r="G159" s="22" t="n"/>
      <c r="H159" s="22" t="n"/>
      <c r="I159" s="22" t="n"/>
      <c r="J159" s="22" t="n"/>
    </row>
    <row r="160">
      <c r="A160" s="34" t="n"/>
      <c r="B160" s="35">
        <f>IF(A160="","",YEAR(A160))</f>
        <v/>
      </c>
      <c r="C160" s="36">
        <f>IF(A160="","",MONTH(A160))</f>
        <v/>
      </c>
      <c r="D160" s="37">
        <f>IF(A160="","","Q"&amp;ROUNDUP(MONTH(A160)/3,0))</f>
        <v/>
      </c>
      <c r="E160" s="18" t="n"/>
      <c r="F160" s="38" t="n"/>
      <c r="G160" s="18" t="n"/>
      <c r="H160" s="18" t="n"/>
      <c r="I160" s="18" t="n"/>
      <c r="J160" s="18" t="n"/>
    </row>
    <row r="161">
      <c r="A161" s="41" t="n"/>
      <c r="B161" s="35">
        <f>IF(A161="","",YEAR(A161))</f>
        <v/>
      </c>
      <c r="C161" s="36">
        <f>IF(A161="","",MONTH(A161))</f>
        <v/>
      </c>
      <c r="D161" s="37">
        <f>IF(A161="","","Q"&amp;ROUNDUP(MONTH(A161)/3,0))</f>
        <v/>
      </c>
      <c r="E161" s="22" t="n"/>
      <c r="F161" s="42" t="n"/>
      <c r="G161" s="22" t="n"/>
      <c r="H161" s="22" t="n"/>
      <c r="I161" s="22" t="n"/>
      <c r="J161" s="22" t="n"/>
    </row>
    <row r="162">
      <c r="A162" s="34" t="n"/>
      <c r="B162" s="35">
        <f>IF(A162="","",YEAR(A162))</f>
        <v/>
      </c>
      <c r="C162" s="36">
        <f>IF(A162="","",MONTH(A162))</f>
        <v/>
      </c>
      <c r="D162" s="37">
        <f>IF(A162="","","Q"&amp;ROUNDUP(MONTH(A162)/3,0))</f>
        <v/>
      </c>
      <c r="E162" s="18" t="n"/>
      <c r="F162" s="38" t="n"/>
      <c r="G162" s="18" t="n"/>
      <c r="H162" s="18" t="n"/>
      <c r="I162" s="18" t="n"/>
      <c r="J162" s="18" t="n"/>
    </row>
    <row r="163">
      <c r="A163" s="41" t="n"/>
      <c r="B163" s="35">
        <f>IF(A163="","",YEAR(A163))</f>
        <v/>
      </c>
      <c r="C163" s="36">
        <f>IF(A163="","",MONTH(A163))</f>
        <v/>
      </c>
      <c r="D163" s="37">
        <f>IF(A163="","","Q"&amp;ROUNDUP(MONTH(A163)/3,0))</f>
        <v/>
      </c>
      <c r="E163" s="22" t="n"/>
      <c r="F163" s="42" t="n"/>
      <c r="G163" s="22" t="n"/>
      <c r="H163" s="22" t="n"/>
      <c r="I163" s="22" t="n"/>
      <c r="J163" s="22" t="n"/>
    </row>
    <row r="164">
      <c r="A164" s="34" t="n"/>
      <c r="B164" s="35">
        <f>IF(A164="","",YEAR(A164))</f>
        <v/>
      </c>
      <c r="C164" s="36">
        <f>IF(A164="","",MONTH(A164))</f>
        <v/>
      </c>
      <c r="D164" s="37">
        <f>IF(A164="","","Q"&amp;ROUNDUP(MONTH(A164)/3,0))</f>
        <v/>
      </c>
      <c r="E164" s="18" t="n"/>
      <c r="F164" s="38" t="n"/>
      <c r="G164" s="18" t="n"/>
      <c r="H164" s="18" t="n"/>
      <c r="I164" s="18" t="n"/>
      <c r="J164" s="18" t="n"/>
    </row>
    <row r="165">
      <c r="A165" s="41" t="n"/>
      <c r="B165" s="35">
        <f>IF(A165="","",YEAR(A165))</f>
        <v/>
      </c>
      <c r="C165" s="36">
        <f>IF(A165="","",MONTH(A165))</f>
        <v/>
      </c>
      <c r="D165" s="37">
        <f>IF(A165="","","Q"&amp;ROUNDUP(MONTH(A165)/3,0))</f>
        <v/>
      </c>
      <c r="E165" s="22" t="n"/>
      <c r="F165" s="42" t="n"/>
      <c r="G165" s="22" t="n"/>
      <c r="H165" s="22" t="n"/>
      <c r="I165" s="22" t="n"/>
      <c r="J165" s="22" t="n"/>
    </row>
    <row r="166">
      <c r="A166" s="34" t="n"/>
      <c r="B166" s="35">
        <f>IF(A166="","",YEAR(A166))</f>
        <v/>
      </c>
      <c r="C166" s="36">
        <f>IF(A166="","",MONTH(A166))</f>
        <v/>
      </c>
      <c r="D166" s="37">
        <f>IF(A166="","","Q"&amp;ROUNDUP(MONTH(A166)/3,0))</f>
        <v/>
      </c>
      <c r="E166" s="18" t="n"/>
      <c r="F166" s="38" t="n"/>
      <c r="G166" s="18" t="n"/>
      <c r="H166" s="18" t="n"/>
      <c r="I166" s="18" t="n"/>
      <c r="J166" s="18" t="n"/>
    </row>
    <row r="167">
      <c r="A167" s="41" t="n"/>
      <c r="B167" s="35">
        <f>IF(A167="","",YEAR(A167))</f>
        <v/>
      </c>
      <c r="C167" s="36">
        <f>IF(A167="","",MONTH(A167))</f>
        <v/>
      </c>
      <c r="D167" s="37">
        <f>IF(A167="","","Q"&amp;ROUNDUP(MONTH(A167)/3,0))</f>
        <v/>
      </c>
      <c r="E167" s="22" t="n"/>
      <c r="F167" s="42" t="n"/>
      <c r="G167" s="22" t="n"/>
      <c r="H167" s="22" t="n"/>
      <c r="I167" s="22" t="n"/>
      <c r="J167" s="22" t="n"/>
    </row>
    <row r="168">
      <c r="A168" s="34" t="n"/>
      <c r="B168" s="35">
        <f>IF(A168="","",YEAR(A168))</f>
        <v/>
      </c>
      <c r="C168" s="36">
        <f>IF(A168="","",MONTH(A168))</f>
        <v/>
      </c>
      <c r="D168" s="37">
        <f>IF(A168="","","Q"&amp;ROUNDUP(MONTH(A168)/3,0))</f>
        <v/>
      </c>
      <c r="E168" s="18" t="n"/>
      <c r="F168" s="38" t="n"/>
      <c r="G168" s="18" t="n"/>
      <c r="H168" s="18" t="n"/>
      <c r="I168" s="18" t="n"/>
      <c r="J168" s="18" t="n"/>
    </row>
    <row r="169">
      <c r="A169" s="41" t="n"/>
      <c r="B169" s="35">
        <f>IF(A169="","",YEAR(A169))</f>
        <v/>
      </c>
      <c r="C169" s="36">
        <f>IF(A169="","",MONTH(A169))</f>
        <v/>
      </c>
      <c r="D169" s="37">
        <f>IF(A169="","","Q"&amp;ROUNDUP(MONTH(A169)/3,0))</f>
        <v/>
      </c>
      <c r="E169" s="22" t="n"/>
      <c r="F169" s="42" t="n"/>
      <c r="G169" s="22" t="n"/>
      <c r="H169" s="22" t="n"/>
      <c r="I169" s="22" t="n"/>
      <c r="J169" s="22" t="n"/>
    </row>
    <row r="170">
      <c r="A170" s="34" t="n"/>
      <c r="B170" s="35">
        <f>IF(A170="","",YEAR(A170))</f>
        <v/>
      </c>
      <c r="C170" s="36">
        <f>IF(A170="","",MONTH(A170))</f>
        <v/>
      </c>
      <c r="D170" s="37">
        <f>IF(A170="","","Q"&amp;ROUNDUP(MONTH(A170)/3,0))</f>
        <v/>
      </c>
      <c r="E170" s="18" t="n"/>
      <c r="F170" s="38" t="n"/>
      <c r="G170" s="18" t="n"/>
      <c r="H170" s="18" t="n"/>
      <c r="I170" s="18" t="n"/>
      <c r="J170" s="18" t="n"/>
    </row>
    <row r="171">
      <c r="A171" s="41" t="n"/>
      <c r="B171" s="35">
        <f>IF(A171="","",YEAR(A171))</f>
        <v/>
      </c>
      <c r="C171" s="36">
        <f>IF(A171="","",MONTH(A171))</f>
        <v/>
      </c>
      <c r="D171" s="37">
        <f>IF(A171="","","Q"&amp;ROUNDUP(MONTH(A171)/3,0))</f>
        <v/>
      </c>
      <c r="E171" s="22" t="n"/>
      <c r="F171" s="42" t="n"/>
      <c r="G171" s="22" t="n"/>
      <c r="H171" s="22" t="n"/>
      <c r="I171" s="22" t="n"/>
      <c r="J171" s="22" t="n"/>
    </row>
    <row r="172">
      <c r="A172" s="34" t="n"/>
      <c r="B172" s="35">
        <f>IF(A172="","",YEAR(A172))</f>
        <v/>
      </c>
      <c r="C172" s="36">
        <f>IF(A172="","",MONTH(A172))</f>
        <v/>
      </c>
      <c r="D172" s="37">
        <f>IF(A172="","","Q"&amp;ROUNDUP(MONTH(A172)/3,0))</f>
        <v/>
      </c>
      <c r="E172" s="18" t="n"/>
      <c r="F172" s="38" t="n"/>
      <c r="G172" s="18" t="n"/>
      <c r="H172" s="18" t="n"/>
      <c r="I172" s="18" t="n"/>
      <c r="J172" s="18" t="n"/>
    </row>
    <row r="173">
      <c r="A173" s="41" t="n"/>
      <c r="B173" s="35">
        <f>IF(A173="","",YEAR(A173))</f>
        <v/>
      </c>
      <c r="C173" s="36">
        <f>IF(A173="","",MONTH(A173))</f>
        <v/>
      </c>
      <c r="D173" s="37">
        <f>IF(A173="","","Q"&amp;ROUNDUP(MONTH(A173)/3,0))</f>
        <v/>
      </c>
      <c r="E173" s="22" t="n"/>
      <c r="F173" s="42" t="n"/>
      <c r="G173" s="22" t="n"/>
      <c r="H173" s="22" t="n"/>
      <c r="I173" s="22" t="n"/>
      <c r="J173" s="22" t="n"/>
    </row>
    <row r="174">
      <c r="A174" s="34" t="n"/>
      <c r="B174" s="35">
        <f>IF(A174="","",YEAR(A174))</f>
        <v/>
      </c>
      <c r="C174" s="36">
        <f>IF(A174="","",MONTH(A174))</f>
        <v/>
      </c>
      <c r="D174" s="37">
        <f>IF(A174="","","Q"&amp;ROUNDUP(MONTH(A174)/3,0))</f>
        <v/>
      </c>
      <c r="E174" s="18" t="n"/>
      <c r="F174" s="38" t="n"/>
      <c r="G174" s="18" t="n"/>
      <c r="H174" s="18" t="n"/>
      <c r="I174" s="18" t="n"/>
      <c r="J174" s="18" t="n"/>
    </row>
    <row r="175">
      <c r="A175" s="41" t="n"/>
      <c r="B175" s="35">
        <f>IF(A175="","",YEAR(A175))</f>
        <v/>
      </c>
      <c r="C175" s="36">
        <f>IF(A175="","",MONTH(A175))</f>
        <v/>
      </c>
      <c r="D175" s="37">
        <f>IF(A175="","","Q"&amp;ROUNDUP(MONTH(A175)/3,0))</f>
        <v/>
      </c>
      <c r="E175" s="22" t="n"/>
      <c r="F175" s="42" t="n"/>
      <c r="G175" s="22" t="n"/>
      <c r="H175" s="22" t="n"/>
      <c r="I175" s="22" t="n"/>
      <c r="J175" s="22" t="n"/>
    </row>
    <row r="176">
      <c r="A176" s="34" t="n"/>
      <c r="B176" s="35">
        <f>IF(A176="","",YEAR(A176))</f>
        <v/>
      </c>
      <c r="C176" s="36">
        <f>IF(A176="","",MONTH(A176))</f>
        <v/>
      </c>
      <c r="D176" s="37">
        <f>IF(A176="","","Q"&amp;ROUNDUP(MONTH(A176)/3,0))</f>
        <v/>
      </c>
      <c r="E176" s="18" t="n"/>
      <c r="F176" s="38" t="n"/>
      <c r="G176" s="18" t="n"/>
      <c r="H176" s="18" t="n"/>
      <c r="I176" s="18" t="n"/>
      <c r="J176" s="18" t="n"/>
    </row>
    <row r="177">
      <c r="A177" s="41" t="n"/>
      <c r="B177" s="35">
        <f>IF(A177="","",YEAR(A177))</f>
        <v/>
      </c>
      <c r="C177" s="36">
        <f>IF(A177="","",MONTH(A177))</f>
        <v/>
      </c>
      <c r="D177" s="37">
        <f>IF(A177="","","Q"&amp;ROUNDUP(MONTH(A177)/3,0))</f>
        <v/>
      </c>
      <c r="E177" s="22" t="n"/>
      <c r="F177" s="42" t="n"/>
      <c r="G177" s="22" t="n"/>
      <c r="H177" s="22" t="n"/>
      <c r="I177" s="22" t="n"/>
      <c r="J177" s="22" t="n"/>
    </row>
    <row r="178">
      <c r="A178" s="34" t="n"/>
      <c r="B178" s="35">
        <f>IF(A178="","",YEAR(A178))</f>
        <v/>
      </c>
      <c r="C178" s="36">
        <f>IF(A178="","",MONTH(A178))</f>
        <v/>
      </c>
      <c r="D178" s="37">
        <f>IF(A178="","","Q"&amp;ROUNDUP(MONTH(A178)/3,0))</f>
        <v/>
      </c>
      <c r="E178" s="18" t="n"/>
      <c r="F178" s="38" t="n"/>
      <c r="G178" s="18" t="n"/>
      <c r="H178" s="18" t="n"/>
      <c r="I178" s="18" t="n"/>
      <c r="J178" s="18" t="n"/>
    </row>
    <row r="179">
      <c r="A179" s="41" t="n"/>
      <c r="B179" s="35">
        <f>IF(A179="","",YEAR(A179))</f>
        <v/>
      </c>
      <c r="C179" s="36">
        <f>IF(A179="","",MONTH(A179))</f>
        <v/>
      </c>
      <c r="D179" s="37">
        <f>IF(A179="","","Q"&amp;ROUNDUP(MONTH(A179)/3,0))</f>
        <v/>
      </c>
      <c r="E179" s="22" t="n"/>
      <c r="F179" s="42" t="n"/>
      <c r="G179" s="22" t="n"/>
      <c r="H179" s="22" t="n"/>
      <c r="I179" s="22" t="n"/>
      <c r="J179" s="22" t="n"/>
    </row>
    <row r="180">
      <c r="A180" s="34" t="n"/>
      <c r="B180" s="35">
        <f>IF(A180="","",YEAR(A180))</f>
        <v/>
      </c>
      <c r="C180" s="36">
        <f>IF(A180="","",MONTH(A180))</f>
        <v/>
      </c>
      <c r="D180" s="37">
        <f>IF(A180="","","Q"&amp;ROUNDUP(MONTH(A180)/3,0))</f>
        <v/>
      </c>
      <c r="E180" s="18" t="n"/>
      <c r="F180" s="38" t="n"/>
      <c r="G180" s="18" t="n"/>
      <c r="H180" s="18" t="n"/>
      <c r="I180" s="18" t="n"/>
      <c r="J180" s="18" t="n"/>
    </row>
    <row r="181">
      <c r="A181" s="41" t="n"/>
      <c r="B181" s="35">
        <f>IF(A181="","",YEAR(A181))</f>
        <v/>
      </c>
      <c r="C181" s="36">
        <f>IF(A181="","",MONTH(A181))</f>
        <v/>
      </c>
      <c r="D181" s="37">
        <f>IF(A181="","","Q"&amp;ROUNDUP(MONTH(A181)/3,0))</f>
        <v/>
      </c>
      <c r="E181" s="22" t="n"/>
      <c r="F181" s="42" t="n"/>
      <c r="G181" s="22" t="n"/>
      <c r="H181" s="22" t="n"/>
      <c r="I181" s="22" t="n"/>
      <c r="J181" s="22" t="n"/>
    </row>
    <row r="182">
      <c r="A182" s="34" t="n"/>
      <c r="B182" s="35">
        <f>IF(A182="","",YEAR(A182))</f>
        <v/>
      </c>
      <c r="C182" s="36">
        <f>IF(A182="","",MONTH(A182))</f>
        <v/>
      </c>
      <c r="D182" s="37">
        <f>IF(A182="","","Q"&amp;ROUNDUP(MONTH(A182)/3,0))</f>
        <v/>
      </c>
      <c r="E182" s="18" t="n"/>
      <c r="F182" s="38" t="n"/>
      <c r="G182" s="18" t="n"/>
      <c r="H182" s="18" t="n"/>
      <c r="I182" s="18" t="n"/>
      <c r="J182" s="18" t="n"/>
    </row>
    <row r="183">
      <c r="A183" s="41" t="n"/>
      <c r="B183" s="35">
        <f>IF(A183="","",YEAR(A183))</f>
        <v/>
      </c>
      <c r="C183" s="36">
        <f>IF(A183="","",MONTH(A183))</f>
        <v/>
      </c>
      <c r="D183" s="37">
        <f>IF(A183="","","Q"&amp;ROUNDUP(MONTH(A183)/3,0))</f>
        <v/>
      </c>
      <c r="E183" s="22" t="n"/>
      <c r="F183" s="42" t="n"/>
      <c r="G183" s="22" t="n"/>
      <c r="H183" s="22" t="n"/>
      <c r="I183" s="22" t="n"/>
      <c r="J183" s="22" t="n"/>
    </row>
    <row r="184">
      <c r="A184" s="34" t="n"/>
      <c r="B184" s="35">
        <f>IF(A184="","",YEAR(A184))</f>
        <v/>
      </c>
      <c r="C184" s="36">
        <f>IF(A184="","",MONTH(A184))</f>
        <v/>
      </c>
      <c r="D184" s="37">
        <f>IF(A184="","","Q"&amp;ROUNDUP(MONTH(A184)/3,0))</f>
        <v/>
      </c>
      <c r="E184" s="18" t="n"/>
      <c r="F184" s="38" t="n"/>
      <c r="G184" s="18" t="n"/>
      <c r="H184" s="18" t="n"/>
      <c r="I184" s="18" t="n"/>
      <c r="J184" s="18" t="n"/>
    </row>
    <row r="185">
      <c r="A185" s="41" t="n"/>
      <c r="B185" s="35">
        <f>IF(A185="","",YEAR(A185))</f>
        <v/>
      </c>
      <c r="C185" s="36">
        <f>IF(A185="","",MONTH(A185))</f>
        <v/>
      </c>
      <c r="D185" s="37">
        <f>IF(A185="","","Q"&amp;ROUNDUP(MONTH(A185)/3,0))</f>
        <v/>
      </c>
      <c r="E185" s="22" t="n"/>
      <c r="F185" s="42" t="n"/>
      <c r="G185" s="22" t="n"/>
      <c r="H185" s="22" t="n"/>
      <c r="I185" s="22" t="n"/>
      <c r="J185" s="22" t="n"/>
    </row>
    <row r="186">
      <c r="A186" s="34" t="n"/>
      <c r="B186" s="35">
        <f>IF(A186="","",YEAR(A186))</f>
        <v/>
      </c>
      <c r="C186" s="36">
        <f>IF(A186="","",MONTH(A186))</f>
        <v/>
      </c>
      <c r="D186" s="37">
        <f>IF(A186="","","Q"&amp;ROUNDUP(MONTH(A186)/3,0))</f>
        <v/>
      </c>
      <c r="E186" s="18" t="n"/>
      <c r="F186" s="38" t="n"/>
      <c r="G186" s="18" t="n"/>
      <c r="H186" s="18" t="n"/>
      <c r="I186" s="18" t="n"/>
      <c r="J186" s="18" t="n"/>
    </row>
    <row r="187">
      <c r="A187" s="41" t="n"/>
      <c r="B187" s="35">
        <f>IF(A187="","",YEAR(A187))</f>
        <v/>
      </c>
      <c r="C187" s="36">
        <f>IF(A187="","",MONTH(A187))</f>
        <v/>
      </c>
      <c r="D187" s="37">
        <f>IF(A187="","","Q"&amp;ROUNDUP(MONTH(A187)/3,0))</f>
        <v/>
      </c>
      <c r="E187" s="22" t="n"/>
      <c r="F187" s="42" t="n"/>
      <c r="G187" s="22" t="n"/>
      <c r="H187" s="22" t="n"/>
      <c r="I187" s="22" t="n"/>
      <c r="J187" s="22" t="n"/>
    </row>
    <row r="188">
      <c r="A188" s="34" t="n"/>
      <c r="B188" s="35">
        <f>IF(A188="","",YEAR(A188))</f>
        <v/>
      </c>
      <c r="C188" s="36">
        <f>IF(A188="","",MONTH(A188))</f>
        <v/>
      </c>
      <c r="D188" s="37">
        <f>IF(A188="","","Q"&amp;ROUNDUP(MONTH(A188)/3,0))</f>
        <v/>
      </c>
      <c r="E188" s="18" t="n"/>
      <c r="F188" s="38" t="n"/>
      <c r="G188" s="18" t="n"/>
      <c r="H188" s="18" t="n"/>
      <c r="I188" s="18" t="n"/>
      <c r="J188" s="18" t="n"/>
    </row>
    <row r="189">
      <c r="A189" s="41" t="n"/>
      <c r="B189" s="35">
        <f>IF(A189="","",YEAR(A189))</f>
        <v/>
      </c>
      <c r="C189" s="36">
        <f>IF(A189="","",MONTH(A189))</f>
        <v/>
      </c>
      <c r="D189" s="37">
        <f>IF(A189="","","Q"&amp;ROUNDUP(MONTH(A189)/3,0))</f>
        <v/>
      </c>
      <c r="E189" s="22" t="n"/>
      <c r="F189" s="42" t="n"/>
      <c r="G189" s="22" t="n"/>
      <c r="H189" s="22" t="n"/>
      <c r="I189" s="22" t="n"/>
      <c r="J189" s="22" t="n"/>
    </row>
    <row r="190">
      <c r="A190" s="34" t="n"/>
      <c r="B190" s="35">
        <f>IF(A190="","",YEAR(A190))</f>
        <v/>
      </c>
      <c r="C190" s="36">
        <f>IF(A190="","",MONTH(A190))</f>
        <v/>
      </c>
      <c r="D190" s="37">
        <f>IF(A190="","","Q"&amp;ROUNDUP(MONTH(A190)/3,0))</f>
        <v/>
      </c>
      <c r="E190" s="18" t="n"/>
      <c r="F190" s="38" t="n"/>
      <c r="G190" s="18" t="n"/>
      <c r="H190" s="18" t="n"/>
      <c r="I190" s="18" t="n"/>
      <c r="J190" s="18" t="n"/>
    </row>
    <row r="191">
      <c r="A191" s="41" t="n"/>
      <c r="B191" s="35">
        <f>IF(A191="","",YEAR(A191))</f>
        <v/>
      </c>
      <c r="C191" s="36">
        <f>IF(A191="","",MONTH(A191))</f>
        <v/>
      </c>
      <c r="D191" s="37">
        <f>IF(A191="","","Q"&amp;ROUNDUP(MONTH(A191)/3,0))</f>
        <v/>
      </c>
      <c r="E191" s="22" t="n"/>
      <c r="F191" s="42" t="n"/>
      <c r="G191" s="22" t="n"/>
      <c r="H191" s="22" t="n"/>
      <c r="I191" s="22" t="n"/>
      <c r="J191" s="22" t="n"/>
    </row>
    <row r="192">
      <c r="A192" s="34" t="n"/>
      <c r="B192" s="35">
        <f>IF(A192="","",YEAR(A192))</f>
        <v/>
      </c>
      <c r="C192" s="36">
        <f>IF(A192="","",MONTH(A192))</f>
        <v/>
      </c>
      <c r="D192" s="37">
        <f>IF(A192="","","Q"&amp;ROUNDUP(MONTH(A192)/3,0))</f>
        <v/>
      </c>
      <c r="E192" s="18" t="n"/>
      <c r="F192" s="38" t="n"/>
      <c r="G192" s="18" t="n"/>
      <c r="H192" s="18" t="n"/>
      <c r="I192" s="18" t="n"/>
      <c r="J192" s="18" t="n"/>
    </row>
    <row r="193">
      <c r="A193" s="41" t="n"/>
      <c r="B193" s="35">
        <f>IF(A193="","",YEAR(A193))</f>
        <v/>
      </c>
      <c r="C193" s="36">
        <f>IF(A193="","",MONTH(A193))</f>
        <v/>
      </c>
      <c r="D193" s="37">
        <f>IF(A193="","","Q"&amp;ROUNDUP(MONTH(A193)/3,0))</f>
        <v/>
      </c>
      <c r="E193" s="22" t="n"/>
      <c r="F193" s="42" t="n"/>
      <c r="G193" s="22" t="n"/>
      <c r="H193" s="22" t="n"/>
      <c r="I193" s="22" t="n"/>
      <c r="J193" s="22" t="n"/>
    </row>
    <row r="194">
      <c r="A194" s="34" t="n"/>
      <c r="B194" s="35">
        <f>IF(A194="","",YEAR(A194))</f>
        <v/>
      </c>
      <c r="C194" s="36">
        <f>IF(A194="","",MONTH(A194))</f>
        <v/>
      </c>
      <c r="D194" s="37">
        <f>IF(A194="","","Q"&amp;ROUNDUP(MONTH(A194)/3,0))</f>
        <v/>
      </c>
      <c r="E194" s="18" t="n"/>
      <c r="F194" s="38" t="n"/>
      <c r="G194" s="18" t="n"/>
      <c r="H194" s="18" t="n"/>
      <c r="I194" s="18" t="n"/>
      <c r="J194" s="18" t="n"/>
    </row>
    <row r="195">
      <c r="A195" s="41" t="n"/>
      <c r="B195" s="35">
        <f>IF(A195="","",YEAR(A195))</f>
        <v/>
      </c>
      <c r="C195" s="36">
        <f>IF(A195="","",MONTH(A195))</f>
        <v/>
      </c>
      <c r="D195" s="37">
        <f>IF(A195="","","Q"&amp;ROUNDUP(MONTH(A195)/3,0))</f>
        <v/>
      </c>
      <c r="E195" s="22" t="n"/>
      <c r="F195" s="42" t="n"/>
      <c r="G195" s="22" t="n"/>
      <c r="H195" s="22" t="n"/>
      <c r="I195" s="22" t="n"/>
      <c r="J195" s="22" t="n"/>
    </row>
    <row r="196">
      <c r="A196" s="34" t="n"/>
      <c r="B196" s="35">
        <f>IF(A196="","",YEAR(A196))</f>
        <v/>
      </c>
      <c r="C196" s="36">
        <f>IF(A196="","",MONTH(A196))</f>
        <v/>
      </c>
      <c r="D196" s="37">
        <f>IF(A196="","","Q"&amp;ROUNDUP(MONTH(A196)/3,0))</f>
        <v/>
      </c>
      <c r="E196" s="18" t="n"/>
      <c r="F196" s="38" t="n"/>
      <c r="G196" s="18" t="n"/>
      <c r="H196" s="18" t="n"/>
      <c r="I196" s="18" t="n"/>
      <c r="J196" s="18" t="n"/>
    </row>
    <row r="197">
      <c r="A197" s="41" t="n"/>
      <c r="B197" s="35">
        <f>IF(A197="","",YEAR(A197))</f>
        <v/>
      </c>
      <c r="C197" s="36">
        <f>IF(A197="","",MONTH(A197))</f>
        <v/>
      </c>
      <c r="D197" s="37">
        <f>IF(A197="","","Q"&amp;ROUNDUP(MONTH(A197)/3,0))</f>
        <v/>
      </c>
      <c r="E197" s="22" t="n"/>
      <c r="F197" s="42" t="n"/>
      <c r="G197" s="22" t="n"/>
      <c r="H197" s="22" t="n"/>
      <c r="I197" s="22" t="n"/>
      <c r="J197" s="22" t="n"/>
    </row>
    <row r="198">
      <c r="A198" s="34" t="n"/>
      <c r="B198" s="35">
        <f>IF(A198="","",YEAR(A198))</f>
        <v/>
      </c>
      <c r="C198" s="36">
        <f>IF(A198="","",MONTH(A198))</f>
        <v/>
      </c>
      <c r="D198" s="37">
        <f>IF(A198="","","Q"&amp;ROUNDUP(MONTH(A198)/3,0))</f>
        <v/>
      </c>
      <c r="E198" s="18" t="n"/>
      <c r="F198" s="38" t="n"/>
      <c r="G198" s="18" t="n"/>
      <c r="H198" s="18" t="n"/>
      <c r="I198" s="18" t="n"/>
      <c r="J198" s="18" t="n"/>
    </row>
    <row r="199">
      <c r="A199" s="41" t="n"/>
      <c r="B199" s="35">
        <f>IF(A199="","",YEAR(A199))</f>
        <v/>
      </c>
      <c r="C199" s="36">
        <f>IF(A199="","",MONTH(A199))</f>
        <v/>
      </c>
      <c r="D199" s="37">
        <f>IF(A199="","","Q"&amp;ROUNDUP(MONTH(A199)/3,0))</f>
        <v/>
      </c>
      <c r="E199" s="22" t="n"/>
      <c r="F199" s="42" t="n"/>
      <c r="G199" s="22" t="n"/>
      <c r="H199" s="22" t="n"/>
      <c r="I199" s="22" t="n"/>
      <c r="J199" s="22" t="n"/>
    </row>
    <row r="200">
      <c r="A200" s="34" t="n"/>
      <c r="B200" s="35">
        <f>IF(A200="","",YEAR(A200))</f>
        <v/>
      </c>
      <c r="C200" s="36">
        <f>IF(A200="","",MONTH(A200))</f>
        <v/>
      </c>
      <c r="D200" s="37">
        <f>IF(A200="","","Q"&amp;ROUNDUP(MONTH(A200)/3,0))</f>
        <v/>
      </c>
      <c r="E200" s="18" t="n"/>
      <c r="F200" s="38" t="n"/>
      <c r="G200" s="18" t="n"/>
      <c r="H200" s="18" t="n"/>
      <c r="I200" s="18" t="n"/>
      <c r="J200" s="18" t="n"/>
    </row>
    <row r="201">
      <c r="A201" s="41" t="n"/>
      <c r="B201" s="35">
        <f>IF(A201="","",YEAR(A201))</f>
        <v/>
      </c>
      <c r="C201" s="36">
        <f>IF(A201="","",MONTH(A201))</f>
        <v/>
      </c>
      <c r="D201" s="37">
        <f>IF(A201="","","Q"&amp;ROUNDUP(MONTH(A201)/3,0))</f>
        <v/>
      </c>
      <c r="E201" s="22" t="n"/>
      <c r="F201" s="42" t="n"/>
      <c r="G201" s="22" t="n"/>
      <c r="H201" s="22" t="n"/>
      <c r="I201" s="22" t="n"/>
      <c r="J201" s="22" t="n"/>
    </row>
    <row r="202">
      <c r="A202" s="34" t="n"/>
      <c r="B202" s="35">
        <f>IF(A202="","",YEAR(A202))</f>
        <v/>
      </c>
      <c r="C202" s="36">
        <f>IF(A202="","",MONTH(A202))</f>
        <v/>
      </c>
      <c r="D202" s="37">
        <f>IF(A202="","","Q"&amp;ROUNDUP(MONTH(A202)/3,0))</f>
        <v/>
      </c>
      <c r="E202" s="18" t="n"/>
      <c r="F202" s="38" t="n"/>
      <c r="G202" s="18" t="n"/>
      <c r="H202" s="18" t="n"/>
      <c r="I202" s="18" t="n"/>
      <c r="J202" s="18" t="n"/>
    </row>
    <row r="203">
      <c r="A203" s="41" t="n"/>
      <c r="B203" s="35">
        <f>IF(A203="","",YEAR(A203))</f>
        <v/>
      </c>
      <c r="C203" s="36">
        <f>IF(A203="","",MONTH(A203))</f>
        <v/>
      </c>
      <c r="D203" s="37">
        <f>IF(A203="","","Q"&amp;ROUNDUP(MONTH(A203)/3,0))</f>
        <v/>
      </c>
      <c r="E203" s="22" t="n"/>
      <c r="F203" s="42" t="n"/>
      <c r="G203" s="22" t="n"/>
      <c r="H203" s="22" t="n"/>
      <c r="I203" s="22" t="n"/>
      <c r="J203" s="22" t="n"/>
    </row>
    <row r="204">
      <c r="A204" s="34" t="n"/>
      <c r="B204" s="35">
        <f>IF(A204="","",YEAR(A204))</f>
        <v/>
      </c>
      <c r="C204" s="36">
        <f>IF(A204="","",MONTH(A204))</f>
        <v/>
      </c>
      <c r="D204" s="37">
        <f>IF(A204="","","Q"&amp;ROUNDUP(MONTH(A204)/3,0))</f>
        <v/>
      </c>
      <c r="E204" s="18" t="n"/>
      <c r="F204" s="38" t="n"/>
      <c r="G204" s="18" t="n"/>
      <c r="H204" s="18" t="n"/>
      <c r="I204" s="18" t="n"/>
      <c r="J204" s="18" t="n"/>
    </row>
    <row r="205">
      <c r="A205" s="41" t="n"/>
      <c r="B205" s="35">
        <f>IF(A205="","",YEAR(A205))</f>
        <v/>
      </c>
      <c r="C205" s="36">
        <f>IF(A205="","",MONTH(A205))</f>
        <v/>
      </c>
      <c r="D205" s="37">
        <f>IF(A205="","","Q"&amp;ROUNDUP(MONTH(A205)/3,0))</f>
        <v/>
      </c>
      <c r="E205" s="22" t="n"/>
      <c r="F205" s="42" t="n"/>
      <c r="G205" s="22" t="n"/>
      <c r="H205" s="22" t="n"/>
      <c r="I205" s="22" t="n"/>
      <c r="J205" s="22" t="n"/>
    </row>
    <row r="206">
      <c r="A206" s="34" t="n"/>
      <c r="B206" s="35">
        <f>IF(A206="","",YEAR(A206))</f>
        <v/>
      </c>
      <c r="C206" s="36">
        <f>IF(A206="","",MONTH(A206))</f>
        <v/>
      </c>
      <c r="D206" s="37">
        <f>IF(A206="","","Q"&amp;ROUNDUP(MONTH(A206)/3,0))</f>
        <v/>
      </c>
      <c r="E206" s="18" t="n"/>
      <c r="F206" s="38" t="n"/>
      <c r="G206" s="18" t="n"/>
      <c r="H206" s="18" t="n"/>
      <c r="I206" s="18" t="n"/>
      <c r="J206" s="18" t="n"/>
    </row>
    <row r="207">
      <c r="A207" s="41" t="n"/>
      <c r="B207" s="35">
        <f>IF(A207="","",YEAR(A207))</f>
        <v/>
      </c>
      <c r="C207" s="36">
        <f>IF(A207="","",MONTH(A207))</f>
        <v/>
      </c>
      <c r="D207" s="37">
        <f>IF(A207="","","Q"&amp;ROUNDUP(MONTH(A207)/3,0))</f>
        <v/>
      </c>
      <c r="E207" s="22" t="n"/>
      <c r="F207" s="42" t="n"/>
      <c r="G207" s="22" t="n"/>
      <c r="H207" s="22" t="n"/>
      <c r="I207" s="22" t="n"/>
      <c r="J207" s="22" t="n"/>
    </row>
    <row r="208">
      <c r="A208" s="34" t="n"/>
      <c r="B208" s="35">
        <f>IF(A208="","",YEAR(A208))</f>
        <v/>
      </c>
      <c r="C208" s="36">
        <f>IF(A208="","",MONTH(A208))</f>
        <v/>
      </c>
      <c r="D208" s="37">
        <f>IF(A208="","","Q"&amp;ROUNDUP(MONTH(A208)/3,0))</f>
        <v/>
      </c>
      <c r="E208" s="18" t="n"/>
      <c r="F208" s="38" t="n"/>
      <c r="G208" s="18" t="n"/>
      <c r="H208" s="18" t="n"/>
      <c r="I208" s="18" t="n"/>
      <c r="J208" s="18" t="n"/>
    </row>
    <row r="209">
      <c r="A209" s="41" t="n"/>
      <c r="B209" s="35">
        <f>IF(A209="","",YEAR(A209))</f>
        <v/>
      </c>
      <c r="C209" s="36">
        <f>IF(A209="","",MONTH(A209))</f>
        <v/>
      </c>
      <c r="D209" s="37">
        <f>IF(A209="","","Q"&amp;ROUNDUP(MONTH(A209)/3,0))</f>
        <v/>
      </c>
      <c r="E209" s="22" t="n"/>
      <c r="F209" s="42" t="n"/>
      <c r="G209" s="22" t="n"/>
      <c r="H209" s="22" t="n"/>
      <c r="I209" s="22" t="n"/>
      <c r="J209" s="22" t="n"/>
    </row>
    <row r="210">
      <c r="A210" s="34" t="n"/>
      <c r="B210" s="35">
        <f>IF(A210="","",YEAR(A210))</f>
        <v/>
      </c>
      <c r="C210" s="36">
        <f>IF(A210="","",MONTH(A210))</f>
        <v/>
      </c>
      <c r="D210" s="37">
        <f>IF(A210="","","Q"&amp;ROUNDUP(MONTH(A210)/3,0))</f>
        <v/>
      </c>
      <c r="E210" s="18" t="n"/>
      <c r="F210" s="38" t="n"/>
      <c r="G210" s="18" t="n"/>
      <c r="H210" s="18" t="n"/>
      <c r="I210" s="18" t="n"/>
      <c r="J210" s="18" t="n"/>
    </row>
    <row r="211">
      <c r="A211" s="41" t="n"/>
      <c r="B211" s="35">
        <f>IF(A211="","",YEAR(A211))</f>
        <v/>
      </c>
      <c r="C211" s="36">
        <f>IF(A211="","",MONTH(A211))</f>
        <v/>
      </c>
      <c r="D211" s="37">
        <f>IF(A211="","","Q"&amp;ROUNDUP(MONTH(A211)/3,0))</f>
        <v/>
      </c>
      <c r="E211" s="22" t="n"/>
      <c r="F211" s="42" t="n"/>
      <c r="G211" s="22" t="n"/>
      <c r="H211" s="22" t="n"/>
      <c r="I211" s="22" t="n"/>
      <c r="J211" s="22" t="n"/>
    </row>
    <row r="212">
      <c r="A212" s="34" t="n"/>
      <c r="B212" s="35">
        <f>IF(A212="","",YEAR(A212))</f>
        <v/>
      </c>
      <c r="C212" s="36">
        <f>IF(A212="","",MONTH(A212))</f>
        <v/>
      </c>
      <c r="D212" s="37">
        <f>IF(A212="","","Q"&amp;ROUNDUP(MONTH(A212)/3,0))</f>
        <v/>
      </c>
      <c r="E212" s="18" t="n"/>
      <c r="F212" s="38" t="n"/>
      <c r="G212" s="18" t="n"/>
      <c r="H212" s="18" t="n"/>
      <c r="I212" s="18" t="n"/>
      <c r="J212" s="18" t="n"/>
    </row>
    <row r="213">
      <c r="A213" s="41" t="n"/>
      <c r="B213" s="35">
        <f>IF(A213="","",YEAR(A213))</f>
        <v/>
      </c>
      <c r="C213" s="36">
        <f>IF(A213="","",MONTH(A213))</f>
        <v/>
      </c>
      <c r="D213" s="37">
        <f>IF(A213="","","Q"&amp;ROUNDUP(MONTH(A213)/3,0))</f>
        <v/>
      </c>
      <c r="E213" s="22" t="n"/>
      <c r="F213" s="42" t="n"/>
      <c r="G213" s="22" t="n"/>
      <c r="H213" s="22" t="n"/>
      <c r="I213" s="22" t="n"/>
      <c r="J213" s="22" t="n"/>
    </row>
    <row r="214">
      <c r="A214" s="34" t="n"/>
      <c r="B214" s="35">
        <f>IF(A214="","",YEAR(A214))</f>
        <v/>
      </c>
      <c r="C214" s="36">
        <f>IF(A214="","",MONTH(A214))</f>
        <v/>
      </c>
      <c r="D214" s="37">
        <f>IF(A214="","","Q"&amp;ROUNDUP(MONTH(A214)/3,0))</f>
        <v/>
      </c>
      <c r="E214" s="18" t="n"/>
      <c r="F214" s="38" t="n"/>
      <c r="G214" s="18" t="n"/>
      <c r="H214" s="18" t="n"/>
      <c r="I214" s="18" t="n"/>
      <c r="J214" s="18" t="n"/>
    </row>
    <row r="215">
      <c r="A215" s="41" t="n"/>
      <c r="B215" s="35">
        <f>IF(A215="","",YEAR(A215))</f>
        <v/>
      </c>
      <c r="C215" s="36">
        <f>IF(A215="","",MONTH(A215))</f>
        <v/>
      </c>
      <c r="D215" s="37">
        <f>IF(A215="","","Q"&amp;ROUNDUP(MONTH(A215)/3,0))</f>
        <v/>
      </c>
      <c r="E215" s="22" t="n"/>
      <c r="F215" s="42" t="n"/>
      <c r="G215" s="22" t="n"/>
      <c r="H215" s="22" t="n"/>
      <c r="I215" s="22" t="n"/>
      <c r="J215" s="22" t="n"/>
    </row>
    <row r="216">
      <c r="A216" s="34" t="n"/>
      <c r="B216" s="35">
        <f>IF(A216="","",YEAR(A216))</f>
        <v/>
      </c>
      <c r="C216" s="36">
        <f>IF(A216="","",MONTH(A216))</f>
        <v/>
      </c>
      <c r="D216" s="37">
        <f>IF(A216="","","Q"&amp;ROUNDUP(MONTH(A216)/3,0))</f>
        <v/>
      </c>
      <c r="E216" s="18" t="n"/>
      <c r="F216" s="38" t="n"/>
      <c r="G216" s="18" t="n"/>
      <c r="H216" s="18" t="n"/>
      <c r="I216" s="18" t="n"/>
      <c r="J216" s="18" t="n"/>
    </row>
    <row r="217">
      <c r="A217" s="41" t="n"/>
      <c r="B217" s="35">
        <f>IF(A217="","",YEAR(A217))</f>
        <v/>
      </c>
      <c r="C217" s="36">
        <f>IF(A217="","",MONTH(A217))</f>
        <v/>
      </c>
      <c r="D217" s="37">
        <f>IF(A217="","","Q"&amp;ROUNDUP(MONTH(A217)/3,0))</f>
        <v/>
      </c>
      <c r="E217" s="22" t="n"/>
      <c r="F217" s="42" t="n"/>
      <c r="G217" s="22" t="n"/>
      <c r="H217" s="22" t="n"/>
      <c r="I217" s="22" t="n"/>
      <c r="J217" s="22" t="n"/>
    </row>
    <row r="218">
      <c r="A218" s="34" t="n"/>
      <c r="B218" s="35">
        <f>IF(A218="","",YEAR(A218))</f>
        <v/>
      </c>
      <c r="C218" s="36">
        <f>IF(A218="","",MONTH(A218))</f>
        <v/>
      </c>
      <c r="D218" s="37">
        <f>IF(A218="","","Q"&amp;ROUNDUP(MONTH(A218)/3,0))</f>
        <v/>
      </c>
      <c r="E218" s="18" t="n"/>
      <c r="F218" s="38" t="n"/>
      <c r="G218" s="18" t="n"/>
      <c r="H218" s="18" t="n"/>
      <c r="I218" s="18" t="n"/>
      <c r="J218" s="18" t="n"/>
    </row>
    <row r="219">
      <c r="A219" s="41" t="n"/>
      <c r="B219" s="35">
        <f>IF(A219="","",YEAR(A219))</f>
        <v/>
      </c>
      <c r="C219" s="36">
        <f>IF(A219="","",MONTH(A219))</f>
        <v/>
      </c>
      <c r="D219" s="37">
        <f>IF(A219="","","Q"&amp;ROUNDUP(MONTH(A219)/3,0))</f>
        <v/>
      </c>
      <c r="E219" s="22" t="n"/>
      <c r="F219" s="42" t="n"/>
      <c r="G219" s="22" t="n"/>
      <c r="H219" s="22" t="n"/>
      <c r="I219" s="22" t="n"/>
      <c r="J219" s="22" t="n"/>
    </row>
    <row r="220">
      <c r="A220" s="34" t="n"/>
      <c r="B220" s="35">
        <f>IF(A220="","",YEAR(A220))</f>
        <v/>
      </c>
      <c r="C220" s="36">
        <f>IF(A220="","",MONTH(A220))</f>
        <v/>
      </c>
      <c r="D220" s="37">
        <f>IF(A220="","","Q"&amp;ROUNDUP(MONTH(A220)/3,0))</f>
        <v/>
      </c>
      <c r="E220" s="18" t="n"/>
      <c r="F220" s="38" t="n"/>
      <c r="G220" s="18" t="n"/>
      <c r="H220" s="18" t="n"/>
      <c r="I220" s="18" t="n"/>
      <c r="J220" s="18" t="n"/>
    </row>
    <row r="221">
      <c r="A221" s="41" t="n"/>
      <c r="B221" s="35">
        <f>IF(A221="","",YEAR(A221))</f>
        <v/>
      </c>
      <c r="C221" s="36">
        <f>IF(A221="","",MONTH(A221))</f>
        <v/>
      </c>
      <c r="D221" s="37">
        <f>IF(A221="","","Q"&amp;ROUNDUP(MONTH(A221)/3,0))</f>
        <v/>
      </c>
      <c r="E221" s="22" t="n"/>
      <c r="F221" s="42" t="n"/>
      <c r="G221" s="22" t="n"/>
      <c r="H221" s="22" t="n"/>
      <c r="I221" s="22" t="n"/>
      <c r="J221" s="22" t="n"/>
    </row>
    <row r="222">
      <c r="A222" s="34" t="n"/>
      <c r="B222" s="35">
        <f>IF(A222="","",YEAR(A222))</f>
        <v/>
      </c>
      <c r="C222" s="36">
        <f>IF(A222="","",MONTH(A222))</f>
        <v/>
      </c>
      <c r="D222" s="37">
        <f>IF(A222="","","Q"&amp;ROUNDUP(MONTH(A222)/3,0))</f>
        <v/>
      </c>
      <c r="E222" s="18" t="n"/>
      <c r="F222" s="38" t="n"/>
      <c r="G222" s="18" t="n"/>
      <c r="H222" s="18" t="n"/>
      <c r="I222" s="18" t="n"/>
      <c r="J222" s="18" t="n"/>
    </row>
    <row r="223">
      <c r="A223" s="41" t="n"/>
      <c r="B223" s="35">
        <f>IF(A223="","",YEAR(A223))</f>
        <v/>
      </c>
      <c r="C223" s="36">
        <f>IF(A223="","",MONTH(A223))</f>
        <v/>
      </c>
      <c r="D223" s="37">
        <f>IF(A223="","","Q"&amp;ROUNDUP(MONTH(A223)/3,0))</f>
        <v/>
      </c>
      <c r="E223" s="22" t="n"/>
      <c r="F223" s="42" t="n"/>
      <c r="G223" s="22" t="n"/>
      <c r="H223" s="22" t="n"/>
      <c r="I223" s="22" t="n"/>
      <c r="J223" s="22" t="n"/>
    </row>
    <row r="224">
      <c r="A224" s="34" t="n"/>
      <c r="B224" s="35">
        <f>IF(A224="","",YEAR(A224))</f>
        <v/>
      </c>
      <c r="C224" s="36">
        <f>IF(A224="","",MONTH(A224))</f>
        <v/>
      </c>
      <c r="D224" s="37">
        <f>IF(A224="","","Q"&amp;ROUNDUP(MONTH(A224)/3,0))</f>
        <v/>
      </c>
      <c r="E224" s="18" t="n"/>
      <c r="F224" s="38" t="n"/>
      <c r="G224" s="18" t="n"/>
      <c r="H224" s="18" t="n"/>
      <c r="I224" s="18" t="n"/>
      <c r="J224" s="18" t="n"/>
    </row>
    <row r="225">
      <c r="A225" s="41" t="n"/>
      <c r="B225" s="35">
        <f>IF(A225="","",YEAR(A225))</f>
        <v/>
      </c>
      <c r="C225" s="36">
        <f>IF(A225="","",MONTH(A225))</f>
        <v/>
      </c>
      <c r="D225" s="37">
        <f>IF(A225="","","Q"&amp;ROUNDUP(MONTH(A225)/3,0))</f>
        <v/>
      </c>
      <c r="E225" s="22" t="n"/>
      <c r="F225" s="42" t="n"/>
      <c r="G225" s="22" t="n"/>
      <c r="H225" s="22" t="n"/>
      <c r="I225" s="22" t="n"/>
      <c r="J225" s="22" t="n"/>
    </row>
    <row r="226">
      <c r="A226" s="34" t="n"/>
      <c r="B226" s="35">
        <f>IF(A226="","",YEAR(A226))</f>
        <v/>
      </c>
      <c r="C226" s="36">
        <f>IF(A226="","",MONTH(A226))</f>
        <v/>
      </c>
      <c r="D226" s="37">
        <f>IF(A226="","","Q"&amp;ROUNDUP(MONTH(A226)/3,0))</f>
        <v/>
      </c>
      <c r="E226" s="18" t="n"/>
      <c r="F226" s="38" t="n"/>
      <c r="G226" s="18" t="n"/>
      <c r="H226" s="18" t="n"/>
      <c r="I226" s="18" t="n"/>
      <c r="J226" s="18" t="n"/>
    </row>
    <row r="227">
      <c r="A227" s="41" t="n"/>
      <c r="B227" s="35">
        <f>IF(A227="","",YEAR(A227))</f>
        <v/>
      </c>
      <c r="C227" s="36">
        <f>IF(A227="","",MONTH(A227))</f>
        <v/>
      </c>
      <c r="D227" s="37">
        <f>IF(A227="","","Q"&amp;ROUNDUP(MONTH(A227)/3,0))</f>
        <v/>
      </c>
      <c r="E227" s="22" t="n"/>
      <c r="F227" s="42" t="n"/>
      <c r="G227" s="22" t="n"/>
      <c r="H227" s="22" t="n"/>
      <c r="I227" s="22" t="n"/>
      <c r="J227" s="22" t="n"/>
    </row>
    <row r="228">
      <c r="A228" s="34" t="n"/>
      <c r="B228" s="35">
        <f>IF(A228="","",YEAR(A228))</f>
        <v/>
      </c>
      <c r="C228" s="36">
        <f>IF(A228="","",MONTH(A228))</f>
        <v/>
      </c>
      <c r="D228" s="37">
        <f>IF(A228="","","Q"&amp;ROUNDUP(MONTH(A228)/3,0))</f>
        <v/>
      </c>
      <c r="E228" s="18" t="n"/>
      <c r="F228" s="38" t="n"/>
      <c r="G228" s="18" t="n"/>
      <c r="H228" s="18" t="n"/>
      <c r="I228" s="18" t="n"/>
      <c r="J228" s="18" t="n"/>
    </row>
    <row r="229">
      <c r="A229" s="41" t="n"/>
      <c r="B229" s="35">
        <f>IF(A229="","",YEAR(A229))</f>
        <v/>
      </c>
      <c r="C229" s="36">
        <f>IF(A229="","",MONTH(A229))</f>
        <v/>
      </c>
      <c r="D229" s="37">
        <f>IF(A229="","","Q"&amp;ROUNDUP(MONTH(A229)/3,0))</f>
        <v/>
      </c>
      <c r="E229" s="22" t="n"/>
      <c r="F229" s="42" t="n"/>
      <c r="G229" s="22" t="n"/>
      <c r="H229" s="22" t="n"/>
      <c r="I229" s="22" t="n"/>
      <c r="J229" s="22" t="n"/>
    </row>
    <row r="230">
      <c r="A230" s="34" t="n"/>
      <c r="B230" s="35">
        <f>IF(A230="","",YEAR(A230))</f>
        <v/>
      </c>
      <c r="C230" s="36">
        <f>IF(A230="","",MONTH(A230))</f>
        <v/>
      </c>
      <c r="D230" s="37">
        <f>IF(A230="","","Q"&amp;ROUNDUP(MONTH(A230)/3,0))</f>
        <v/>
      </c>
      <c r="E230" s="18" t="n"/>
      <c r="F230" s="38" t="n"/>
      <c r="G230" s="18" t="n"/>
      <c r="H230" s="18" t="n"/>
      <c r="I230" s="18" t="n"/>
      <c r="J230" s="18" t="n"/>
    </row>
    <row r="231">
      <c r="A231" s="41" t="n"/>
      <c r="B231" s="35">
        <f>IF(A231="","",YEAR(A231))</f>
        <v/>
      </c>
      <c r="C231" s="36">
        <f>IF(A231="","",MONTH(A231))</f>
        <v/>
      </c>
      <c r="D231" s="37">
        <f>IF(A231="","","Q"&amp;ROUNDUP(MONTH(A231)/3,0))</f>
        <v/>
      </c>
      <c r="E231" s="22" t="n"/>
      <c r="F231" s="42" t="n"/>
      <c r="G231" s="22" t="n"/>
      <c r="H231" s="22" t="n"/>
      <c r="I231" s="22" t="n"/>
      <c r="J231" s="22" t="n"/>
    </row>
    <row r="232">
      <c r="A232" s="34" t="n"/>
      <c r="B232" s="35">
        <f>IF(A232="","",YEAR(A232))</f>
        <v/>
      </c>
      <c r="C232" s="36">
        <f>IF(A232="","",MONTH(A232))</f>
        <v/>
      </c>
      <c r="D232" s="37">
        <f>IF(A232="","","Q"&amp;ROUNDUP(MONTH(A232)/3,0))</f>
        <v/>
      </c>
      <c r="E232" s="18" t="n"/>
      <c r="F232" s="38" t="n"/>
      <c r="G232" s="18" t="n"/>
      <c r="H232" s="18" t="n"/>
      <c r="I232" s="18" t="n"/>
      <c r="J232" s="18" t="n"/>
    </row>
    <row r="233">
      <c r="A233" s="41" t="n"/>
      <c r="B233" s="35">
        <f>IF(A233="","",YEAR(A233))</f>
        <v/>
      </c>
      <c r="C233" s="36">
        <f>IF(A233="","",MONTH(A233))</f>
        <v/>
      </c>
      <c r="D233" s="37">
        <f>IF(A233="","","Q"&amp;ROUNDUP(MONTH(A233)/3,0))</f>
        <v/>
      </c>
      <c r="E233" s="22" t="n"/>
      <c r="F233" s="42" t="n"/>
      <c r="G233" s="22" t="n"/>
      <c r="H233" s="22" t="n"/>
      <c r="I233" s="22" t="n"/>
      <c r="J233" s="22" t="n"/>
    </row>
    <row r="234">
      <c r="A234" s="34" t="n"/>
      <c r="B234" s="35">
        <f>IF(A234="","",YEAR(A234))</f>
        <v/>
      </c>
      <c r="C234" s="36">
        <f>IF(A234="","",MONTH(A234))</f>
        <v/>
      </c>
      <c r="D234" s="37">
        <f>IF(A234="","","Q"&amp;ROUNDUP(MONTH(A234)/3,0))</f>
        <v/>
      </c>
      <c r="E234" s="18" t="n"/>
      <c r="F234" s="38" t="n"/>
      <c r="G234" s="18" t="n"/>
      <c r="H234" s="18" t="n"/>
      <c r="I234" s="18" t="n"/>
      <c r="J234" s="18" t="n"/>
    </row>
    <row r="235">
      <c r="A235" s="41" t="n"/>
      <c r="B235" s="35">
        <f>IF(A235="","",YEAR(A235))</f>
        <v/>
      </c>
      <c r="C235" s="36">
        <f>IF(A235="","",MONTH(A235))</f>
        <v/>
      </c>
      <c r="D235" s="37">
        <f>IF(A235="","","Q"&amp;ROUNDUP(MONTH(A235)/3,0))</f>
        <v/>
      </c>
      <c r="E235" s="22" t="n"/>
      <c r="F235" s="42" t="n"/>
      <c r="G235" s="22" t="n"/>
      <c r="H235" s="22" t="n"/>
      <c r="I235" s="22" t="n"/>
      <c r="J235" s="22" t="n"/>
    </row>
    <row r="236">
      <c r="A236" s="34" t="n"/>
      <c r="B236" s="35">
        <f>IF(A236="","",YEAR(A236))</f>
        <v/>
      </c>
      <c r="C236" s="36">
        <f>IF(A236="","",MONTH(A236))</f>
        <v/>
      </c>
      <c r="D236" s="37">
        <f>IF(A236="","","Q"&amp;ROUNDUP(MONTH(A236)/3,0))</f>
        <v/>
      </c>
      <c r="E236" s="18" t="n"/>
      <c r="F236" s="38" t="n"/>
      <c r="G236" s="18" t="n"/>
      <c r="H236" s="18" t="n"/>
      <c r="I236" s="18" t="n"/>
      <c r="J236" s="18" t="n"/>
    </row>
    <row r="237">
      <c r="A237" s="41" t="n"/>
      <c r="B237" s="35">
        <f>IF(A237="","",YEAR(A237))</f>
        <v/>
      </c>
      <c r="C237" s="36">
        <f>IF(A237="","",MONTH(A237))</f>
        <v/>
      </c>
      <c r="D237" s="37">
        <f>IF(A237="","","Q"&amp;ROUNDUP(MONTH(A237)/3,0))</f>
        <v/>
      </c>
      <c r="E237" s="22" t="n"/>
      <c r="F237" s="42" t="n"/>
      <c r="G237" s="22" t="n"/>
      <c r="H237" s="22" t="n"/>
      <c r="I237" s="22" t="n"/>
      <c r="J237" s="22" t="n"/>
    </row>
    <row r="238">
      <c r="A238" s="34" t="n"/>
      <c r="B238" s="35">
        <f>IF(A238="","",YEAR(A238))</f>
        <v/>
      </c>
      <c r="C238" s="36">
        <f>IF(A238="","",MONTH(A238))</f>
        <v/>
      </c>
      <c r="D238" s="37">
        <f>IF(A238="","","Q"&amp;ROUNDUP(MONTH(A238)/3,0))</f>
        <v/>
      </c>
      <c r="E238" s="18" t="n"/>
      <c r="F238" s="38" t="n"/>
      <c r="G238" s="18" t="n"/>
      <c r="H238" s="18" t="n"/>
      <c r="I238" s="18" t="n"/>
      <c r="J238" s="18" t="n"/>
    </row>
    <row r="239">
      <c r="A239" s="41" t="n"/>
      <c r="B239" s="35">
        <f>IF(A239="","",YEAR(A239))</f>
        <v/>
      </c>
      <c r="C239" s="36">
        <f>IF(A239="","",MONTH(A239))</f>
        <v/>
      </c>
      <c r="D239" s="37">
        <f>IF(A239="","","Q"&amp;ROUNDUP(MONTH(A239)/3,0))</f>
        <v/>
      </c>
      <c r="E239" s="22" t="n"/>
      <c r="F239" s="42" t="n"/>
      <c r="G239" s="22" t="n"/>
      <c r="H239" s="22" t="n"/>
      <c r="I239" s="22" t="n"/>
      <c r="J239" s="22" t="n"/>
    </row>
    <row r="240">
      <c r="A240" s="34" t="n"/>
      <c r="B240" s="35">
        <f>IF(A240="","",YEAR(A240))</f>
        <v/>
      </c>
      <c r="C240" s="36">
        <f>IF(A240="","",MONTH(A240))</f>
        <v/>
      </c>
      <c r="D240" s="37">
        <f>IF(A240="","","Q"&amp;ROUNDUP(MONTH(A240)/3,0))</f>
        <v/>
      </c>
      <c r="E240" s="18" t="n"/>
      <c r="F240" s="38" t="n"/>
      <c r="G240" s="18" t="n"/>
      <c r="H240" s="18" t="n"/>
      <c r="I240" s="18" t="n"/>
      <c r="J240" s="18" t="n"/>
    </row>
    <row r="241">
      <c r="A241" s="41" t="n"/>
      <c r="B241" s="35">
        <f>IF(A241="","",YEAR(A241))</f>
        <v/>
      </c>
      <c r="C241" s="36">
        <f>IF(A241="","",MONTH(A241))</f>
        <v/>
      </c>
      <c r="D241" s="37">
        <f>IF(A241="","","Q"&amp;ROUNDUP(MONTH(A241)/3,0))</f>
        <v/>
      </c>
      <c r="E241" s="22" t="n"/>
      <c r="F241" s="42" t="n"/>
      <c r="G241" s="22" t="n"/>
      <c r="H241" s="22" t="n"/>
      <c r="I241" s="22" t="n"/>
      <c r="J241" s="22" t="n"/>
    </row>
    <row r="242">
      <c r="A242" s="34" t="n"/>
      <c r="B242" s="35">
        <f>IF(A242="","",YEAR(A242))</f>
        <v/>
      </c>
      <c r="C242" s="36">
        <f>IF(A242="","",MONTH(A242))</f>
        <v/>
      </c>
      <c r="D242" s="37">
        <f>IF(A242="","","Q"&amp;ROUNDUP(MONTH(A242)/3,0))</f>
        <v/>
      </c>
      <c r="E242" s="18" t="n"/>
      <c r="F242" s="38" t="n"/>
      <c r="G242" s="18" t="n"/>
      <c r="H242" s="18" t="n"/>
      <c r="I242" s="18" t="n"/>
      <c r="J242" s="18" t="n"/>
    </row>
    <row r="243">
      <c r="A243" s="41" t="n"/>
      <c r="B243" s="35">
        <f>IF(A243="","",YEAR(A243))</f>
        <v/>
      </c>
      <c r="C243" s="36">
        <f>IF(A243="","",MONTH(A243))</f>
        <v/>
      </c>
      <c r="D243" s="37">
        <f>IF(A243="","","Q"&amp;ROUNDUP(MONTH(A243)/3,0))</f>
        <v/>
      </c>
      <c r="E243" s="22" t="n"/>
      <c r="F243" s="42" t="n"/>
      <c r="G243" s="22" t="n"/>
      <c r="H243" s="22" t="n"/>
      <c r="I243" s="22" t="n"/>
      <c r="J243" s="22" t="n"/>
    </row>
    <row r="244">
      <c r="A244" s="34" t="n"/>
      <c r="B244" s="35">
        <f>IF(A244="","",YEAR(A244))</f>
        <v/>
      </c>
      <c r="C244" s="36">
        <f>IF(A244="","",MONTH(A244))</f>
        <v/>
      </c>
      <c r="D244" s="37">
        <f>IF(A244="","","Q"&amp;ROUNDUP(MONTH(A244)/3,0))</f>
        <v/>
      </c>
      <c r="E244" s="18" t="n"/>
      <c r="F244" s="38" t="n"/>
      <c r="G244" s="18" t="n"/>
      <c r="H244" s="18" t="n"/>
      <c r="I244" s="18" t="n"/>
      <c r="J244" s="18" t="n"/>
    </row>
    <row r="245">
      <c r="A245" s="41" t="n"/>
      <c r="B245" s="35">
        <f>IF(A245="","",YEAR(A245))</f>
        <v/>
      </c>
      <c r="C245" s="36">
        <f>IF(A245="","",MONTH(A245))</f>
        <v/>
      </c>
      <c r="D245" s="37">
        <f>IF(A245="","","Q"&amp;ROUNDUP(MONTH(A245)/3,0))</f>
        <v/>
      </c>
      <c r="E245" s="22" t="n"/>
      <c r="F245" s="42" t="n"/>
      <c r="G245" s="22" t="n"/>
      <c r="H245" s="22" t="n"/>
      <c r="I245" s="22" t="n"/>
      <c r="J245" s="22" t="n"/>
    </row>
    <row r="246">
      <c r="A246" s="34" t="n"/>
      <c r="B246" s="35">
        <f>IF(A246="","",YEAR(A246))</f>
        <v/>
      </c>
      <c r="C246" s="36">
        <f>IF(A246="","",MONTH(A246))</f>
        <v/>
      </c>
      <c r="D246" s="37">
        <f>IF(A246="","","Q"&amp;ROUNDUP(MONTH(A246)/3,0))</f>
        <v/>
      </c>
      <c r="E246" s="18" t="n"/>
      <c r="F246" s="38" t="n"/>
      <c r="G246" s="18" t="n"/>
      <c r="H246" s="18" t="n"/>
      <c r="I246" s="18" t="n"/>
      <c r="J246" s="18" t="n"/>
    </row>
    <row r="247">
      <c r="A247" s="41" t="n"/>
      <c r="B247" s="35">
        <f>IF(A247="","",YEAR(A247))</f>
        <v/>
      </c>
      <c r="C247" s="36">
        <f>IF(A247="","",MONTH(A247))</f>
        <v/>
      </c>
      <c r="D247" s="37">
        <f>IF(A247="","","Q"&amp;ROUNDUP(MONTH(A247)/3,0))</f>
        <v/>
      </c>
      <c r="E247" s="22" t="n"/>
      <c r="F247" s="42" t="n"/>
      <c r="G247" s="22" t="n"/>
      <c r="H247" s="22" t="n"/>
      <c r="I247" s="22" t="n"/>
      <c r="J247" s="22" t="n"/>
    </row>
    <row r="248">
      <c r="A248" s="34" t="n"/>
      <c r="B248" s="35">
        <f>IF(A248="","",YEAR(A248))</f>
        <v/>
      </c>
      <c r="C248" s="36">
        <f>IF(A248="","",MONTH(A248))</f>
        <v/>
      </c>
      <c r="D248" s="37">
        <f>IF(A248="","","Q"&amp;ROUNDUP(MONTH(A248)/3,0))</f>
        <v/>
      </c>
      <c r="E248" s="18" t="n"/>
      <c r="F248" s="38" t="n"/>
      <c r="G248" s="18" t="n"/>
      <c r="H248" s="18" t="n"/>
      <c r="I248" s="18" t="n"/>
      <c r="J248" s="18" t="n"/>
    </row>
    <row r="249">
      <c r="A249" s="41" t="n"/>
      <c r="B249" s="35">
        <f>IF(A249="","",YEAR(A249))</f>
        <v/>
      </c>
      <c r="C249" s="36">
        <f>IF(A249="","",MONTH(A249))</f>
        <v/>
      </c>
      <c r="D249" s="37">
        <f>IF(A249="","","Q"&amp;ROUNDUP(MONTH(A249)/3,0))</f>
        <v/>
      </c>
      <c r="E249" s="22" t="n"/>
      <c r="F249" s="42" t="n"/>
      <c r="G249" s="22" t="n"/>
      <c r="H249" s="22" t="n"/>
      <c r="I249" s="22" t="n"/>
      <c r="J249" s="22" t="n"/>
    </row>
    <row r="250">
      <c r="A250" s="34" t="n"/>
      <c r="B250" s="35">
        <f>IF(A250="","",YEAR(A250))</f>
        <v/>
      </c>
      <c r="C250" s="36">
        <f>IF(A250="","",MONTH(A250))</f>
        <v/>
      </c>
      <c r="D250" s="37">
        <f>IF(A250="","","Q"&amp;ROUNDUP(MONTH(A250)/3,0))</f>
        <v/>
      </c>
      <c r="E250" s="18" t="n"/>
      <c r="F250" s="38" t="n"/>
      <c r="G250" s="18" t="n"/>
      <c r="H250" s="18" t="n"/>
      <c r="I250" s="18" t="n"/>
      <c r="J250" s="18" t="n"/>
    </row>
    <row r="251">
      <c r="A251" s="41" t="n"/>
      <c r="B251" s="35">
        <f>IF(A251="","",YEAR(A251))</f>
        <v/>
      </c>
      <c r="C251" s="36">
        <f>IF(A251="","",MONTH(A251))</f>
        <v/>
      </c>
      <c r="D251" s="37">
        <f>IF(A251="","","Q"&amp;ROUNDUP(MONTH(A251)/3,0))</f>
        <v/>
      </c>
      <c r="E251" s="22" t="n"/>
      <c r="F251" s="42" t="n"/>
      <c r="G251" s="22" t="n"/>
      <c r="H251" s="22" t="n"/>
      <c r="I251" s="22" t="n"/>
      <c r="J251" s="22" t="n"/>
    </row>
    <row r="252">
      <c r="A252" s="34" t="n"/>
      <c r="B252" s="35">
        <f>IF(A252="","",YEAR(A252))</f>
        <v/>
      </c>
      <c r="C252" s="36">
        <f>IF(A252="","",MONTH(A252))</f>
        <v/>
      </c>
      <c r="D252" s="37">
        <f>IF(A252="","","Q"&amp;ROUNDUP(MONTH(A252)/3,0))</f>
        <v/>
      </c>
      <c r="E252" s="18" t="n"/>
      <c r="F252" s="38" t="n"/>
      <c r="G252" s="18" t="n"/>
      <c r="H252" s="18" t="n"/>
      <c r="I252" s="18" t="n"/>
      <c r="J252" s="18" t="n"/>
    </row>
    <row r="253">
      <c r="A253" s="41" t="n"/>
      <c r="B253" s="35">
        <f>IF(A253="","",YEAR(A253))</f>
        <v/>
      </c>
      <c r="C253" s="36">
        <f>IF(A253="","",MONTH(A253))</f>
        <v/>
      </c>
      <c r="D253" s="37">
        <f>IF(A253="","","Q"&amp;ROUNDUP(MONTH(A253)/3,0))</f>
        <v/>
      </c>
      <c r="E253" s="22" t="n"/>
      <c r="F253" s="42" t="n"/>
      <c r="G253" s="22" t="n"/>
      <c r="H253" s="22" t="n"/>
      <c r="I253" s="22" t="n"/>
      <c r="J253" s="22" t="n"/>
    </row>
    <row r="254">
      <c r="A254" s="34" t="n"/>
      <c r="B254" s="35">
        <f>IF(A254="","",YEAR(A254))</f>
        <v/>
      </c>
      <c r="C254" s="36">
        <f>IF(A254="","",MONTH(A254))</f>
        <v/>
      </c>
      <c r="D254" s="37">
        <f>IF(A254="","","Q"&amp;ROUNDUP(MONTH(A254)/3,0))</f>
        <v/>
      </c>
      <c r="E254" s="18" t="n"/>
      <c r="F254" s="38" t="n"/>
      <c r="G254" s="18" t="n"/>
      <c r="H254" s="18" t="n"/>
      <c r="I254" s="18" t="n"/>
      <c r="J254" s="18" t="n"/>
    </row>
    <row r="255">
      <c r="A255" s="41" t="n"/>
      <c r="B255" s="35">
        <f>IF(A255="","",YEAR(A255))</f>
        <v/>
      </c>
      <c r="C255" s="36">
        <f>IF(A255="","",MONTH(A255))</f>
        <v/>
      </c>
      <c r="D255" s="37">
        <f>IF(A255="","","Q"&amp;ROUNDUP(MONTH(A255)/3,0))</f>
        <v/>
      </c>
      <c r="E255" s="22" t="n"/>
      <c r="F255" s="42" t="n"/>
      <c r="G255" s="22" t="n"/>
      <c r="H255" s="22" t="n"/>
      <c r="I255" s="22" t="n"/>
      <c r="J255" s="22" t="n"/>
    </row>
    <row r="256">
      <c r="A256" s="34" t="n"/>
      <c r="B256" s="35">
        <f>IF(A256="","",YEAR(A256))</f>
        <v/>
      </c>
      <c r="C256" s="36">
        <f>IF(A256="","",MONTH(A256))</f>
        <v/>
      </c>
      <c r="D256" s="37">
        <f>IF(A256="","","Q"&amp;ROUNDUP(MONTH(A256)/3,0))</f>
        <v/>
      </c>
      <c r="E256" s="18" t="n"/>
      <c r="F256" s="38" t="n"/>
      <c r="G256" s="18" t="n"/>
      <c r="H256" s="18" t="n"/>
      <c r="I256" s="18" t="n"/>
      <c r="J256" s="18" t="n"/>
    </row>
    <row r="257">
      <c r="A257" s="41" t="n"/>
      <c r="B257" s="35">
        <f>IF(A257="","",YEAR(A257))</f>
        <v/>
      </c>
      <c r="C257" s="36">
        <f>IF(A257="","",MONTH(A257))</f>
        <v/>
      </c>
      <c r="D257" s="37">
        <f>IF(A257="","","Q"&amp;ROUNDUP(MONTH(A257)/3,0))</f>
        <v/>
      </c>
      <c r="E257" s="22" t="n"/>
      <c r="F257" s="42" t="n"/>
      <c r="G257" s="22" t="n"/>
      <c r="H257" s="22" t="n"/>
      <c r="I257" s="22" t="n"/>
      <c r="J257" s="22" t="n"/>
    </row>
    <row r="258">
      <c r="A258" s="34" t="n"/>
      <c r="B258" s="35">
        <f>IF(A258="","",YEAR(A258))</f>
        <v/>
      </c>
      <c r="C258" s="36">
        <f>IF(A258="","",MONTH(A258))</f>
        <v/>
      </c>
      <c r="D258" s="37">
        <f>IF(A258="","","Q"&amp;ROUNDUP(MONTH(A258)/3,0))</f>
        <v/>
      </c>
      <c r="E258" s="18" t="n"/>
      <c r="F258" s="38" t="n"/>
      <c r="G258" s="18" t="n"/>
      <c r="H258" s="18" t="n"/>
      <c r="I258" s="18" t="n"/>
      <c r="J258" s="18" t="n"/>
    </row>
    <row r="259">
      <c r="A259" s="41" t="n"/>
      <c r="B259" s="35">
        <f>IF(A259="","",YEAR(A259))</f>
        <v/>
      </c>
      <c r="C259" s="36">
        <f>IF(A259="","",MONTH(A259))</f>
        <v/>
      </c>
      <c r="D259" s="37">
        <f>IF(A259="","","Q"&amp;ROUNDUP(MONTH(A259)/3,0))</f>
        <v/>
      </c>
      <c r="E259" s="22" t="n"/>
      <c r="F259" s="42" t="n"/>
      <c r="G259" s="22" t="n"/>
      <c r="H259" s="22" t="n"/>
      <c r="I259" s="22" t="n"/>
      <c r="J259" s="22" t="n"/>
    </row>
    <row r="260">
      <c r="A260" s="34" t="n"/>
      <c r="B260" s="35">
        <f>IF(A260="","",YEAR(A260))</f>
        <v/>
      </c>
      <c r="C260" s="36">
        <f>IF(A260="","",MONTH(A260))</f>
        <v/>
      </c>
      <c r="D260" s="37">
        <f>IF(A260="","","Q"&amp;ROUNDUP(MONTH(A260)/3,0))</f>
        <v/>
      </c>
      <c r="E260" s="18" t="n"/>
      <c r="F260" s="38" t="n"/>
      <c r="G260" s="18" t="n"/>
      <c r="H260" s="18" t="n"/>
      <c r="I260" s="18" t="n"/>
      <c r="J260" s="18" t="n"/>
    </row>
    <row r="261">
      <c r="A261" s="41" t="n"/>
      <c r="B261" s="35">
        <f>IF(A261="","",YEAR(A261))</f>
        <v/>
      </c>
      <c r="C261" s="36">
        <f>IF(A261="","",MONTH(A261))</f>
        <v/>
      </c>
      <c r="D261" s="37">
        <f>IF(A261="","","Q"&amp;ROUNDUP(MONTH(A261)/3,0))</f>
        <v/>
      </c>
      <c r="E261" s="22" t="n"/>
      <c r="F261" s="42" t="n"/>
      <c r="G261" s="22" t="n"/>
      <c r="H261" s="22" t="n"/>
      <c r="I261" s="22" t="n"/>
      <c r="J261" s="22" t="n"/>
    </row>
    <row r="262">
      <c r="A262" s="34" t="n"/>
      <c r="B262" s="35">
        <f>IF(A262="","",YEAR(A262))</f>
        <v/>
      </c>
      <c r="C262" s="36">
        <f>IF(A262="","",MONTH(A262))</f>
        <v/>
      </c>
      <c r="D262" s="37">
        <f>IF(A262="","","Q"&amp;ROUNDUP(MONTH(A262)/3,0))</f>
        <v/>
      </c>
      <c r="E262" s="18" t="n"/>
      <c r="F262" s="38" t="n"/>
      <c r="G262" s="18" t="n"/>
      <c r="H262" s="18" t="n"/>
      <c r="I262" s="18" t="n"/>
      <c r="J262" s="18" t="n"/>
    </row>
    <row r="263">
      <c r="A263" s="41" t="n"/>
      <c r="B263" s="35">
        <f>IF(A263="","",YEAR(A263))</f>
        <v/>
      </c>
      <c r="C263" s="36">
        <f>IF(A263="","",MONTH(A263))</f>
        <v/>
      </c>
      <c r="D263" s="37">
        <f>IF(A263="","","Q"&amp;ROUNDUP(MONTH(A263)/3,0))</f>
        <v/>
      </c>
      <c r="E263" s="22" t="n"/>
      <c r="F263" s="42" t="n"/>
      <c r="G263" s="22" t="n"/>
      <c r="H263" s="22" t="n"/>
      <c r="I263" s="22" t="n"/>
      <c r="J263" s="22" t="n"/>
    </row>
    <row r="264">
      <c r="A264" s="34" t="n"/>
      <c r="B264" s="35">
        <f>IF(A264="","",YEAR(A264))</f>
        <v/>
      </c>
      <c r="C264" s="36">
        <f>IF(A264="","",MONTH(A264))</f>
        <v/>
      </c>
      <c r="D264" s="37">
        <f>IF(A264="","","Q"&amp;ROUNDUP(MONTH(A264)/3,0))</f>
        <v/>
      </c>
      <c r="E264" s="18" t="n"/>
      <c r="F264" s="38" t="n"/>
      <c r="G264" s="18" t="n"/>
      <c r="H264" s="18" t="n"/>
      <c r="I264" s="18" t="n"/>
      <c r="J264" s="18" t="n"/>
    </row>
    <row r="265">
      <c r="A265" s="41" t="n"/>
      <c r="B265" s="35">
        <f>IF(A265="","",YEAR(A265))</f>
        <v/>
      </c>
      <c r="C265" s="36">
        <f>IF(A265="","",MONTH(A265))</f>
        <v/>
      </c>
      <c r="D265" s="37">
        <f>IF(A265="","","Q"&amp;ROUNDUP(MONTH(A265)/3,0))</f>
        <v/>
      </c>
      <c r="E265" s="22" t="n"/>
      <c r="F265" s="42" t="n"/>
      <c r="G265" s="22" t="n"/>
      <c r="H265" s="22" t="n"/>
      <c r="I265" s="22" t="n"/>
      <c r="J265" s="22" t="n"/>
    </row>
    <row r="266">
      <c r="A266" s="34" t="n"/>
      <c r="B266" s="35">
        <f>IF(A266="","",YEAR(A266))</f>
        <v/>
      </c>
      <c r="C266" s="36">
        <f>IF(A266="","",MONTH(A266))</f>
        <v/>
      </c>
      <c r="D266" s="37">
        <f>IF(A266="","","Q"&amp;ROUNDUP(MONTH(A266)/3,0))</f>
        <v/>
      </c>
      <c r="E266" s="18" t="n"/>
      <c r="F266" s="38" t="n"/>
      <c r="G266" s="18" t="n"/>
      <c r="H266" s="18" t="n"/>
      <c r="I266" s="18" t="n"/>
      <c r="J266" s="18" t="n"/>
    </row>
    <row r="267">
      <c r="A267" s="41" t="n"/>
      <c r="B267" s="35">
        <f>IF(A267="","",YEAR(A267))</f>
        <v/>
      </c>
      <c r="C267" s="36">
        <f>IF(A267="","",MONTH(A267))</f>
        <v/>
      </c>
      <c r="D267" s="37">
        <f>IF(A267="","","Q"&amp;ROUNDUP(MONTH(A267)/3,0))</f>
        <v/>
      </c>
      <c r="E267" s="22" t="n"/>
      <c r="F267" s="42" t="n"/>
      <c r="G267" s="22" t="n"/>
      <c r="H267" s="22" t="n"/>
      <c r="I267" s="22" t="n"/>
      <c r="J267" s="22" t="n"/>
    </row>
    <row r="268">
      <c r="A268" s="34" t="n"/>
      <c r="B268" s="35">
        <f>IF(A268="","",YEAR(A268))</f>
        <v/>
      </c>
      <c r="C268" s="36">
        <f>IF(A268="","",MONTH(A268))</f>
        <v/>
      </c>
      <c r="D268" s="37">
        <f>IF(A268="","","Q"&amp;ROUNDUP(MONTH(A268)/3,0))</f>
        <v/>
      </c>
      <c r="E268" s="18" t="n"/>
      <c r="F268" s="38" t="n"/>
      <c r="G268" s="18" t="n"/>
      <c r="H268" s="18" t="n"/>
      <c r="I268" s="18" t="n"/>
      <c r="J268" s="18" t="n"/>
    </row>
    <row r="269">
      <c r="A269" s="41" t="n"/>
      <c r="B269" s="35">
        <f>IF(A269="","",YEAR(A269))</f>
        <v/>
      </c>
      <c r="C269" s="36">
        <f>IF(A269="","",MONTH(A269))</f>
        <v/>
      </c>
      <c r="D269" s="37">
        <f>IF(A269="","","Q"&amp;ROUNDUP(MONTH(A269)/3,0))</f>
        <v/>
      </c>
      <c r="E269" s="22" t="n"/>
      <c r="F269" s="42" t="n"/>
      <c r="G269" s="22" t="n"/>
      <c r="H269" s="22" t="n"/>
      <c r="I269" s="22" t="n"/>
      <c r="J269" s="22" t="n"/>
    </row>
    <row r="270">
      <c r="A270" s="34" t="n"/>
      <c r="B270" s="35">
        <f>IF(A270="","",YEAR(A270))</f>
        <v/>
      </c>
      <c r="C270" s="36">
        <f>IF(A270="","",MONTH(A270))</f>
        <v/>
      </c>
      <c r="D270" s="37">
        <f>IF(A270="","","Q"&amp;ROUNDUP(MONTH(A270)/3,0))</f>
        <v/>
      </c>
      <c r="E270" s="18" t="n"/>
      <c r="F270" s="38" t="n"/>
      <c r="G270" s="18" t="n"/>
      <c r="H270" s="18" t="n"/>
      <c r="I270" s="18" t="n"/>
      <c r="J270" s="18" t="n"/>
    </row>
    <row r="271">
      <c r="A271" s="41" t="n"/>
      <c r="B271" s="35">
        <f>IF(A271="","",YEAR(A271))</f>
        <v/>
      </c>
      <c r="C271" s="36">
        <f>IF(A271="","",MONTH(A271))</f>
        <v/>
      </c>
      <c r="D271" s="37">
        <f>IF(A271="","","Q"&amp;ROUNDUP(MONTH(A271)/3,0))</f>
        <v/>
      </c>
      <c r="E271" s="22" t="n"/>
      <c r="F271" s="42" t="n"/>
      <c r="G271" s="22" t="n"/>
      <c r="H271" s="22" t="n"/>
      <c r="I271" s="22" t="n"/>
      <c r="J271" s="22" t="n"/>
    </row>
    <row r="272">
      <c r="A272" s="34" t="n"/>
      <c r="B272" s="35">
        <f>IF(A272="","",YEAR(A272))</f>
        <v/>
      </c>
      <c r="C272" s="36">
        <f>IF(A272="","",MONTH(A272))</f>
        <v/>
      </c>
      <c r="D272" s="37">
        <f>IF(A272="","","Q"&amp;ROUNDUP(MONTH(A272)/3,0))</f>
        <v/>
      </c>
      <c r="E272" s="18" t="n"/>
      <c r="F272" s="38" t="n"/>
      <c r="G272" s="18" t="n"/>
      <c r="H272" s="18" t="n"/>
      <c r="I272" s="18" t="n"/>
      <c r="J272" s="18" t="n"/>
    </row>
    <row r="273">
      <c r="A273" s="41" t="n"/>
      <c r="B273" s="35">
        <f>IF(A273="","",YEAR(A273))</f>
        <v/>
      </c>
      <c r="C273" s="36">
        <f>IF(A273="","",MONTH(A273))</f>
        <v/>
      </c>
      <c r="D273" s="37">
        <f>IF(A273="","","Q"&amp;ROUNDUP(MONTH(A273)/3,0))</f>
        <v/>
      </c>
      <c r="E273" s="22" t="n"/>
      <c r="F273" s="42" t="n"/>
      <c r="G273" s="22" t="n"/>
      <c r="H273" s="22" t="n"/>
      <c r="I273" s="22" t="n"/>
      <c r="J273" s="22" t="n"/>
    </row>
    <row r="274">
      <c r="A274" s="34" t="n"/>
      <c r="B274" s="35">
        <f>IF(A274="","",YEAR(A274))</f>
        <v/>
      </c>
      <c r="C274" s="36">
        <f>IF(A274="","",MONTH(A274))</f>
        <v/>
      </c>
      <c r="D274" s="37">
        <f>IF(A274="","","Q"&amp;ROUNDUP(MONTH(A274)/3,0))</f>
        <v/>
      </c>
      <c r="E274" s="18" t="n"/>
      <c r="F274" s="38" t="n"/>
      <c r="G274" s="18" t="n"/>
      <c r="H274" s="18" t="n"/>
      <c r="I274" s="18" t="n"/>
      <c r="J274" s="18" t="n"/>
    </row>
    <row r="275">
      <c r="A275" s="41" t="n"/>
      <c r="B275" s="35">
        <f>IF(A275="","",YEAR(A275))</f>
        <v/>
      </c>
      <c r="C275" s="36">
        <f>IF(A275="","",MONTH(A275))</f>
        <v/>
      </c>
      <c r="D275" s="37">
        <f>IF(A275="","","Q"&amp;ROUNDUP(MONTH(A275)/3,0))</f>
        <v/>
      </c>
      <c r="E275" s="22" t="n"/>
      <c r="F275" s="42" t="n"/>
      <c r="G275" s="22" t="n"/>
      <c r="H275" s="22" t="n"/>
      <c r="I275" s="22" t="n"/>
      <c r="J275" s="22" t="n"/>
    </row>
    <row r="276">
      <c r="A276" s="34" t="n"/>
      <c r="B276" s="35">
        <f>IF(A276="","",YEAR(A276))</f>
        <v/>
      </c>
      <c r="C276" s="36">
        <f>IF(A276="","",MONTH(A276))</f>
        <v/>
      </c>
      <c r="D276" s="37">
        <f>IF(A276="","","Q"&amp;ROUNDUP(MONTH(A276)/3,0))</f>
        <v/>
      </c>
      <c r="E276" s="18" t="n"/>
      <c r="F276" s="38" t="n"/>
      <c r="G276" s="18" t="n"/>
      <c r="H276" s="18" t="n"/>
      <c r="I276" s="18" t="n"/>
      <c r="J276" s="18" t="n"/>
    </row>
    <row r="277">
      <c r="A277" s="41" t="n"/>
      <c r="B277" s="35">
        <f>IF(A277="","",YEAR(A277))</f>
        <v/>
      </c>
      <c r="C277" s="36">
        <f>IF(A277="","",MONTH(A277))</f>
        <v/>
      </c>
      <c r="D277" s="37">
        <f>IF(A277="","","Q"&amp;ROUNDUP(MONTH(A277)/3,0))</f>
        <v/>
      </c>
      <c r="E277" s="22" t="n"/>
      <c r="F277" s="42" t="n"/>
      <c r="G277" s="22" t="n"/>
      <c r="H277" s="22" t="n"/>
      <c r="I277" s="22" t="n"/>
      <c r="J277" s="22" t="n"/>
    </row>
    <row r="278">
      <c r="A278" s="34" t="n"/>
      <c r="B278" s="35">
        <f>IF(A278="","",YEAR(A278))</f>
        <v/>
      </c>
      <c r="C278" s="36">
        <f>IF(A278="","",MONTH(A278))</f>
        <v/>
      </c>
      <c r="D278" s="37">
        <f>IF(A278="","","Q"&amp;ROUNDUP(MONTH(A278)/3,0))</f>
        <v/>
      </c>
      <c r="E278" s="18" t="n"/>
      <c r="F278" s="38" t="n"/>
      <c r="G278" s="18" t="n"/>
      <c r="H278" s="18" t="n"/>
      <c r="I278" s="18" t="n"/>
      <c r="J278" s="18" t="n"/>
    </row>
    <row r="279">
      <c r="A279" s="41" t="n"/>
      <c r="B279" s="35">
        <f>IF(A279="","",YEAR(A279))</f>
        <v/>
      </c>
      <c r="C279" s="36">
        <f>IF(A279="","",MONTH(A279))</f>
        <v/>
      </c>
      <c r="D279" s="37">
        <f>IF(A279="","","Q"&amp;ROUNDUP(MONTH(A279)/3,0))</f>
        <v/>
      </c>
      <c r="E279" s="22" t="n"/>
      <c r="F279" s="42" t="n"/>
      <c r="G279" s="22" t="n"/>
      <c r="H279" s="22" t="n"/>
      <c r="I279" s="22" t="n"/>
      <c r="J279" s="22" t="n"/>
    </row>
    <row r="280">
      <c r="A280" s="34" t="n"/>
      <c r="B280" s="35">
        <f>IF(A280="","",YEAR(A280))</f>
        <v/>
      </c>
      <c r="C280" s="36">
        <f>IF(A280="","",MONTH(A280))</f>
        <v/>
      </c>
      <c r="D280" s="37">
        <f>IF(A280="","","Q"&amp;ROUNDUP(MONTH(A280)/3,0))</f>
        <v/>
      </c>
      <c r="E280" s="18" t="n"/>
      <c r="F280" s="38" t="n"/>
      <c r="G280" s="18" t="n"/>
      <c r="H280" s="18" t="n"/>
      <c r="I280" s="18" t="n"/>
      <c r="J280" s="18" t="n"/>
    </row>
    <row r="281">
      <c r="A281" s="41" t="n"/>
      <c r="B281" s="35">
        <f>IF(A281="","",YEAR(A281))</f>
        <v/>
      </c>
      <c r="C281" s="36">
        <f>IF(A281="","",MONTH(A281))</f>
        <v/>
      </c>
      <c r="D281" s="37">
        <f>IF(A281="","","Q"&amp;ROUNDUP(MONTH(A281)/3,0))</f>
        <v/>
      </c>
      <c r="E281" s="22" t="n"/>
      <c r="F281" s="42" t="n"/>
      <c r="G281" s="22" t="n"/>
      <c r="H281" s="22" t="n"/>
      <c r="I281" s="22" t="n"/>
      <c r="J281" s="22" t="n"/>
    </row>
    <row r="282">
      <c r="A282" s="34" t="n"/>
      <c r="B282" s="35">
        <f>IF(A282="","",YEAR(A282))</f>
        <v/>
      </c>
      <c r="C282" s="36">
        <f>IF(A282="","",MONTH(A282))</f>
        <v/>
      </c>
      <c r="D282" s="37">
        <f>IF(A282="","","Q"&amp;ROUNDUP(MONTH(A282)/3,0))</f>
        <v/>
      </c>
      <c r="E282" s="18" t="n"/>
      <c r="F282" s="38" t="n"/>
      <c r="G282" s="18" t="n"/>
      <c r="H282" s="18" t="n"/>
      <c r="I282" s="18" t="n"/>
      <c r="J282" s="18" t="n"/>
    </row>
    <row r="283">
      <c r="A283" s="41" t="n"/>
      <c r="B283" s="35">
        <f>IF(A283="","",YEAR(A283))</f>
        <v/>
      </c>
      <c r="C283" s="36">
        <f>IF(A283="","",MONTH(A283))</f>
        <v/>
      </c>
      <c r="D283" s="37">
        <f>IF(A283="","","Q"&amp;ROUNDUP(MONTH(A283)/3,0))</f>
        <v/>
      </c>
      <c r="E283" s="22" t="n"/>
      <c r="F283" s="42" t="n"/>
      <c r="G283" s="22" t="n"/>
      <c r="H283" s="22" t="n"/>
      <c r="I283" s="22" t="n"/>
      <c r="J283" s="22" t="n"/>
    </row>
    <row r="284">
      <c r="A284" s="34" t="n"/>
      <c r="B284" s="35">
        <f>IF(A284="","",YEAR(A284))</f>
        <v/>
      </c>
      <c r="C284" s="36">
        <f>IF(A284="","",MONTH(A284))</f>
        <v/>
      </c>
      <c r="D284" s="37">
        <f>IF(A284="","","Q"&amp;ROUNDUP(MONTH(A284)/3,0))</f>
        <v/>
      </c>
      <c r="E284" s="18" t="n"/>
      <c r="F284" s="38" t="n"/>
      <c r="G284" s="18" t="n"/>
      <c r="H284" s="18" t="n"/>
      <c r="I284" s="18" t="n"/>
      <c r="J284" s="18" t="n"/>
    </row>
    <row r="285">
      <c r="A285" s="41" t="n"/>
      <c r="B285" s="35">
        <f>IF(A285="","",YEAR(A285))</f>
        <v/>
      </c>
      <c r="C285" s="36">
        <f>IF(A285="","",MONTH(A285))</f>
        <v/>
      </c>
      <c r="D285" s="37">
        <f>IF(A285="","","Q"&amp;ROUNDUP(MONTH(A285)/3,0))</f>
        <v/>
      </c>
      <c r="E285" s="22" t="n"/>
      <c r="F285" s="42" t="n"/>
      <c r="G285" s="22" t="n"/>
      <c r="H285" s="22" t="n"/>
      <c r="I285" s="22" t="n"/>
      <c r="J285" s="22" t="n"/>
    </row>
    <row r="286">
      <c r="A286" s="34" t="n"/>
      <c r="B286" s="35">
        <f>IF(A286="","",YEAR(A286))</f>
        <v/>
      </c>
      <c r="C286" s="36">
        <f>IF(A286="","",MONTH(A286))</f>
        <v/>
      </c>
      <c r="D286" s="37">
        <f>IF(A286="","","Q"&amp;ROUNDUP(MONTH(A286)/3,0))</f>
        <v/>
      </c>
      <c r="E286" s="18" t="n"/>
      <c r="F286" s="38" t="n"/>
      <c r="G286" s="18" t="n"/>
      <c r="H286" s="18" t="n"/>
      <c r="I286" s="18" t="n"/>
      <c r="J286" s="18" t="n"/>
    </row>
    <row r="287">
      <c r="A287" s="41" t="n"/>
      <c r="B287" s="35">
        <f>IF(A287="","",YEAR(A287))</f>
        <v/>
      </c>
      <c r="C287" s="36">
        <f>IF(A287="","",MONTH(A287))</f>
        <v/>
      </c>
      <c r="D287" s="37">
        <f>IF(A287="","","Q"&amp;ROUNDUP(MONTH(A287)/3,0))</f>
        <v/>
      </c>
      <c r="E287" s="22" t="n"/>
      <c r="F287" s="42" t="n"/>
      <c r="G287" s="22" t="n"/>
      <c r="H287" s="22" t="n"/>
      <c r="I287" s="22" t="n"/>
      <c r="J287" s="22" t="n"/>
    </row>
    <row r="288">
      <c r="A288" s="34" t="n"/>
      <c r="B288" s="35">
        <f>IF(A288="","",YEAR(A288))</f>
        <v/>
      </c>
      <c r="C288" s="36">
        <f>IF(A288="","",MONTH(A288))</f>
        <v/>
      </c>
      <c r="D288" s="37">
        <f>IF(A288="","","Q"&amp;ROUNDUP(MONTH(A288)/3,0))</f>
        <v/>
      </c>
      <c r="E288" s="18" t="n"/>
      <c r="F288" s="38" t="n"/>
      <c r="G288" s="18" t="n"/>
      <c r="H288" s="18" t="n"/>
      <c r="I288" s="18" t="n"/>
      <c r="J288" s="18" t="n"/>
    </row>
    <row r="289">
      <c r="A289" s="41" t="n"/>
      <c r="B289" s="35">
        <f>IF(A289="","",YEAR(A289))</f>
        <v/>
      </c>
      <c r="C289" s="36">
        <f>IF(A289="","",MONTH(A289))</f>
        <v/>
      </c>
      <c r="D289" s="37">
        <f>IF(A289="","","Q"&amp;ROUNDUP(MONTH(A289)/3,0))</f>
        <v/>
      </c>
      <c r="E289" s="22" t="n"/>
      <c r="F289" s="42" t="n"/>
      <c r="G289" s="22" t="n"/>
      <c r="H289" s="22" t="n"/>
      <c r="I289" s="22" t="n"/>
      <c r="J289" s="22" t="n"/>
    </row>
    <row r="290">
      <c r="A290" s="34" t="n"/>
      <c r="B290" s="35">
        <f>IF(A290="","",YEAR(A290))</f>
        <v/>
      </c>
      <c r="C290" s="36">
        <f>IF(A290="","",MONTH(A290))</f>
        <v/>
      </c>
      <c r="D290" s="37">
        <f>IF(A290="","","Q"&amp;ROUNDUP(MONTH(A290)/3,0))</f>
        <v/>
      </c>
      <c r="E290" s="18" t="n"/>
      <c r="F290" s="38" t="n"/>
      <c r="G290" s="18" t="n"/>
      <c r="H290" s="18" t="n"/>
      <c r="I290" s="18" t="n"/>
      <c r="J290" s="18" t="n"/>
    </row>
    <row r="291">
      <c r="A291" s="41" t="n"/>
      <c r="B291" s="35">
        <f>IF(A291="","",YEAR(A291))</f>
        <v/>
      </c>
      <c r="C291" s="36">
        <f>IF(A291="","",MONTH(A291))</f>
        <v/>
      </c>
      <c r="D291" s="37">
        <f>IF(A291="","","Q"&amp;ROUNDUP(MONTH(A291)/3,0))</f>
        <v/>
      </c>
      <c r="E291" s="22" t="n"/>
      <c r="F291" s="42" t="n"/>
      <c r="G291" s="22" t="n"/>
      <c r="H291" s="22" t="n"/>
      <c r="I291" s="22" t="n"/>
      <c r="J291" s="22" t="n"/>
    </row>
    <row r="292">
      <c r="A292" s="34" t="n"/>
      <c r="B292" s="35">
        <f>IF(A292="","",YEAR(A292))</f>
        <v/>
      </c>
      <c r="C292" s="36">
        <f>IF(A292="","",MONTH(A292))</f>
        <v/>
      </c>
      <c r="D292" s="37">
        <f>IF(A292="","","Q"&amp;ROUNDUP(MONTH(A292)/3,0))</f>
        <v/>
      </c>
      <c r="E292" s="18" t="n"/>
      <c r="F292" s="38" t="n"/>
      <c r="G292" s="18" t="n"/>
      <c r="H292" s="18" t="n"/>
      <c r="I292" s="18" t="n"/>
      <c r="J292" s="18" t="n"/>
    </row>
    <row r="293">
      <c r="A293" s="41" t="n"/>
      <c r="B293" s="35">
        <f>IF(A293="","",YEAR(A293))</f>
        <v/>
      </c>
      <c r="C293" s="36">
        <f>IF(A293="","",MONTH(A293))</f>
        <v/>
      </c>
      <c r="D293" s="37">
        <f>IF(A293="","","Q"&amp;ROUNDUP(MONTH(A293)/3,0))</f>
        <v/>
      </c>
      <c r="E293" s="22" t="n"/>
      <c r="F293" s="42" t="n"/>
      <c r="G293" s="22" t="n"/>
      <c r="H293" s="22" t="n"/>
      <c r="I293" s="22" t="n"/>
      <c r="J293" s="22" t="n"/>
    </row>
    <row r="294">
      <c r="A294" s="34" t="n"/>
      <c r="B294" s="35">
        <f>IF(A294="","",YEAR(A294))</f>
        <v/>
      </c>
      <c r="C294" s="36">
        <f>IF(A294="","",MONTH(A294))</f>
        <v/>
      </c>
      <c r="D294" s="37">
        <f>IF(A294="","","Q"&amp;ROUNDUP(MONTH(A294)/3,0))</f>
        <v/>
      </c>
      <c r="E294" s="18" t="n"/>
      <c r="F294" s="38" t="n"/>
      <c r="G294" s="18" t="n"/>
      <c r="H294" s="18" t="n"/>
      <c r="I294" s="18" t="n"/>
      <c r="J294" s="18" t="n"/>
    </row>
    <row r="295">
      <c r="A295" s="41" t="n"/>
      <c r="B295" s="35">
        <f>IF(A295="","",YEAR(A295))</f>
        <v/>
      </c>
      <c r="C295" s="36">
        <f>IF(A295="","",MONTH(A295))</f>
        <v/>
      </c>
      <c r="D295" s="37">
        <f>IF(A295="","","Q"&amp;ROUNDUP(MONTH(A295)/3,0))</f>
        <v/>
      </c>
      <c r="E295" s="22" t="n"/>
      <c r="F295" s="42" t="n"/>
      <c r="G295" s="22" t="n"/>
      <c r="H295" s="22" t="n"/>
      <c r="I295" s="22" t="n"/>
      <c r="J295" s="22" t="n"/>
    </row>
    <row r="296">
      <c r="A296" s="34" t="n"/>
      <c r="B296" s="35">
        <f>IF(A296="","",YEAR(A296))</f>
        <v/>
      </c>
      <c r="C296" s="36">
        <f>IF(A296="","",MONTH(A296))</f>
        <v/>
      </c>
      <c r="D296" s="37">
        <f>IF(A296="","","Q"&amp;ROUNDUP(MONTH(A296)/3,0))</f>
        <v/>
      </c>
      <c r="E296" s="18" t="n"/>
      <c r="F296" s="38" t="n"/>
      <c r="G296" s="18" t="n"/>
      <c r="H296" s="18" t="n"/>
      <c r="I296" s="18" t="n"/>
      <c r="J296" s="18" t="n"/>
    </row>
    <row r="297">
      <c r="A297" s="41" t="n"/>
      <c r="B297" s="35">
        <f>IF(A297="","",YEAR(A297))</f>
        <v/>
      </c>
      <c r="C297" s="36">
        <f>IF(A297="","",MONTH(A297))</f>
        <v/>
      </c>
      <c r="D297" s="37">
        <f>IF(A297="","","Q"&amp;ROUNDUP(MONTH(A297)/3,0))</f>
        <v/>
      </c>
      <c r="E297" s="22" t="n"/>
      <c r="F297" s="42" t="n"/>
      <c r="G297" s="22" t="n"/>
      <c r="H297" s="22" t="n"/>
      <c r="I297" s="22" t="n"/>
      <c r="J297" s="22" t="n"/>
    </row>
    <row r="298">
      <c r="A298" s="34" t="n"/>
      <c r="B298" s="35">
        <f>IF(A298="","",YEAR(A298))</f>
        <v/>
      </c>
      <c r="C298" s="36">
        <f>IF(A298="","",MONTH(A298))</f>
        <v/>
      </c>
      <c r="D298" s="37">
        <f>IF(A298="","","Q"&amp;ROUNDUP(MONTH(A298)/3,0))</f>
        <v/>
      </c>
      <c r="E298" s="18" t="n"/>
      <c r="F298" s="38" t="n"/>
      <c r="G298" s="18" t="n"/>
      <c r="H298" s="18" t="n"/>
      <c r="I298" s="18" t="n"/>
      <c r="J298" s="18" t="n"/>
    </row>
    <row r="299">
      <c r="A299" s="41" t="n"/>
      <c r="B299" s="35">
        <f>IF(A299="","",YEAR(A299))</f>
        <v/>
      </c>
      <c r="C299" s="36">
        <f>IF(A299="","",MONTH(A299))</f>
        <v/>
      </c>
      <c r="D299" s="37">
        <f>IF(A299="","","Q"&amp;ROUNDUP(MONTH(A299)/3,0))</f>
        <v/>
      </c>
      <c r="E299" s="22" t="n"/>
      <c r="F299" s="42" t="n"/>
      <c r="G299" s="22" t="n"/>
      <c r="H299" s="22" t="n"/>
      <c r="I299" s="22" t="n"/>
      <c r="J299" s="22" t="n"/>
    </row>
    <row r="300">
      <c r="A300" s="34" t="n"/>
      <c r="B300" s="35">
        <f>IF(A300="","",YEAR(A300))</f>
        <v/>
      </c>
      <c r="C300" s="36">
        <f>IF(A300="","",MONTH(A300))</f>
        <v/>
      </c>
      <c r="D300" s="37">
        <f>IF(A300="","","Q"&amp;ROUNDUP(MONTH(A300)/3,0))</f>
        <v/>
      </c>
      <c r="E300" s="18" t="n"/>
      <c r="F300" s="38" t="n"/>
      <c r="G300" s="18" t="n"/>
      <c r="H300" s="18" t="n"/>
      <c r="I300" s="18" t="n"/>
      <c r="J300" s="18" t="n"/>
    </row>
    <row r="301">
      <c r="A301" s="41" t="n"/>
      <c r="B301" s="35">
        <f>IF(A301="","",YEAR(A301))</f>
        <v/>
      </c>
      <c r="C301" s="36">
        <f>IF(A301="","",MONTH(A301))</f>
        <v/>
      </c>
      <c r="D301" s="37">
        <f>IF(A301="","","Q"&amp;ROUNDUP(MONTH(A301)/3,0))</f>
        <v/>
      </c>
      <c r="E301" s="22" t="n"/>
      <c r="F301" s="42" t="n"/>
      <c r="G301" s="22" t="n"/>
      <c r="H301" s="22" t="n"/>
      <c r="I301" s="22" t="n"/>
      <c r="J301" s="22" t="n"/>
    </row>
    <row r="302">
      <c r="A302" s="34" t="n"/>
      <c r="B302" s="35">
        <f>IF(A302="","",YEAR(A302))</f>
        <v/>
      </c>
      <c r="C302" s="36">
        <f>IF(A302="","",MONTH(A302))</f>
        <v/>
      </c>
      <c r="D302" s="37">
        <f>IF(A302="","","Q"&amp;ROUNDUP(MONTH(A302)/3,0))</f>
        <v/>
      </c>
      <c r="E302" s="18" t="n"/>
      <c r="F302" s="38" t="n"/>
      <c r="G302" s="18" t="n"/>
      <c r="H302" s="18" t="n"/>
      <c r="I302" s="18" t="n"/>
      <c r="J302" s="18" t="n"/>
    </row>
    <row r="303">
      <c r="A303" s="41" t="n"/>
      <c r="B303" s="35">
        <f>IF(A303="","",YEAR(A303))</f>
        <v/>
      </c>
      <c r="C303" s="36">
        <f>IF(A303="","",MONTH(A303))</f>
        <v/>
      </c>
      <c r="D303" s="37">
        <f>IF(A303="","","Q"&amp;ROUNDUP(MONTH(A303)/3,0))</f>
        <v/>
      </c>
      <c r="E303" s="22" t="n"/>
      <c r="F303" s="42" t="n"/>
      <c r="G303" s="22" t="n"/>
      <c r="H303" s="22" t="n"/>
      <c r="I303" s="22" t="n"/>
      <c r="J303" s="22" t="n"/>
    </row>
    <row r="304">
      <c r="A304" s="34" t="n"/>
      <c r="B304" s="35">
        <f>IF(A304="","",YEAR(A304))</f>
        <v/>
      </c>
      <c r="C304" s="36">
        <f>IF(A304="","",MONTH(A304))</f>
        <v/>
      </c>
      <c r="D304" s="37">
        <f>IF(A304="","","Q"&amp;ROUNDUP(MONTH(A304)/3,0))</f>
        <v/>
      </c>
      <c r="E304" s="18" t="n"/>
      <c r="F304" s="38" t="n"/>
      <c r="G304" s="18" t="n"/>
      <c r="H304" s="18" t="n"/>
      <c r="I304" s="18" t="n"/>
      <c r="J304" s="18" t="n"/>
    </row>
    <row r="305">
      <c r="A305" s="41" t="n"/>
      <c r="B305" s="35">
        <f>IF(A305="","",YEAR(A305))</f>
        <v/>
      </c>
      <c r="C305" s="36">
        <f>IF(A305="","",MONTH(A305))</f>
        <v/>
      </c>
      <c r="D305" s="37">
        <f>IF(A305="","","Q"&amp;ROUNDUP(MONTH(A305)/3,0))</f>
        <v/>
      </c>
      <c r="E305" s="22" t="n"/>
      <c r="F305" s="42" t="n"/>
      <c r="G305" s="22" t="n"/>
      <c r="H305" s="22" t="n"/>
      <c r="I305" s="22" t="n"/>
      <c r="J305" s="22" t="n"/>
    </row>
  </sheetData>
  <mergeCells count="2">
    <mergeCell ref="A1:J1"/>
    <mergeCell ref="A2:J2"/>
  </mergeCells>
  <dataValidations count="2">
    <dataValidation sqref="E6:E305" showDropDown="0" showInputMessage="0" showErrorMessage="0" allowBlank="1" type="list">
      <formula1>"주박(탁주),주박(약주),주박(소주),거름찌꺼기,폐누룩,청소·세척폐수,기타"</formula1>
    </dataValidation>
    <dataValidation sqref="H6:H305" showDropDown="0" showInputMessage="0" showErrorMessage="0" allowBlank="1" type="list">
      <formula1>"자가소비,사료·퇴비활용,식품활용,위탁폐기,기타"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6F47"/>
    <outlinePr summaryBelow="1" summaryRight="1"/>
    <pageSetUpPr/>
  </sheetPr>
  <dimension ref="A1:O305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6" customWidth="1" min="4" max="4"/>
    <col width="14" customWidth="1" min="5" max="5"/>
    <col width="14" customWidth="1" min="6" max="6"/>
    <col width="9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24" customWidth="1" min="15" max="15"/>
  </cols>
  <sheetData>
    <row r="1" ht="30" customHeight="1">
      <c r="A1" s="13" t="inlineStr">
        <is>
          <t>06. 시음·자가품질 (v4)</t>
        </is>
      </c>
    </row>
    <row r="2">
      <c r="A2" s="14" t="inlineStr">
        <is>
          <t>정량 5축 9점 척도 + 종합 자동 → 배치 간 정량 비교 가능</t>
        </is>
      </c>
    </row>
    <row r="3">
      <c r="A3" s="26" t="inlineStr">
        <is>
          <t>💡 향·맛·바디·균형·여운 각 1~9점. 종합 점수 자동 평균. 5년 누적 시 배치 트렌드 분석 가능.</t>
        </is>
      </c>
    </row>
    <row r="5" ht="32" customHeight="1">
      <c r="A5" s="8" t="inlineStr">
        <is>
          <t>일자</t>
        </is>
      </c>
      <c r="B5" s="32" t="inlineStr">
        <is>
          <t>연도</t>
        </is>
      </c>
      <c r="C5" s="32" t="inlineStr">
        <is>
          <t>월</t>
        </is>
      </c>
      <c r="D5" s="32" t="inlineStr">
        <is>
          <t>분기</t>
        </is>
      </c>
      <c r="E5" s="8" t="inlineStr">
        <is>
          <t>구분</t>
        </is>
      </c>
      <c r="F5" s="8" t="inlineStr">
        <is>
          <t>배치ID</t>
        </is>
      </c>
      <c r="G5" s="8" t="inlineStr">
        <is>
          <t>도수(%)</t>
        </is>
      </c>
      <c r="H5" s="8" t="inlineStr">
        <is>
          <t>산도/pH</t>
        </is>
      </c>
      <c r="I5" s="8" t="inlineStr">
        <is>
          <t>향</t>
        </is>
      </c>
      <c r="J5" s="8" t="inlineStr">
        <is>
          <t>맛</t>
        </is>
      </c>
      <c r="K5" s="8" t="inlineStr">
        <is>
          <t>바디</t>
        </is>
      </c>
      <c r="L5" s="8" t="inlineStr">
        <is>
          <t>균형</t>
        </is>
      </c>
      <c r="M5" s="8" t="inlineStr">
        <is>
          <t>여운</t>
        </is>
      </c>
      <c r="N5" s="32" t="inlineStr">
        <is>
          <t>종합(자동)</t>
        </is>
      </c>
      <c r="O5" s="8" t="inlineStr">
        <is>
          <t>메모</t>
        </is>
      </c>
    </row>
    <row r="6">
      <c r="A6" s="34" t="n"/>
      <c r="B6" s="35">
        <f>IF(A6="","",YEAR(A6))</f>
        <v/>
      </c>
      <c r="C6" s="36">
        <f>IF(A6="","",MONTH(A6))</f>
        <v/>
      </c>
      <c r="D6" s="37">
        <f>IF(A6="","","Q"&amp;ROUNDUP(MONTH(A6)/3,0))</f>
        <v/>
      </c>
      <c r="E6" s="18" t="n"/>
      <c r="F6" s="18" t="n"/>
      <c r="G6" s="38" t="n"/>
      <c r="H6" s="38" t="n"/>
      <c r="I6" s="19" t="n"/>
      <c r="J6" s="19" t="n"/>
      <c r="K6" s="19" t="n"/>
      <c r="L6" s="19" t="n"/>
      <c r="M6" s="19" t="n"/>
      <c r="N6" s="43">
        <f>IF(COUNTA(I6:M6)&gt;0,AVERAGE(I6:M6),"")</f>
        <v/>
      </c>
      <c r="O6" s="18" t="n"/>
    </row>
    <row r="7">
      <c r="A7" s="41" t="n"/>
      <c r="B7" s="35">
        <f>IF(A7="","",YEAR(A7))</f>
        <v/>
      </c>
      <c r="C7" s="36">
        <f>IF(A7="","",MONTH(A7))</f>
        <v/>
      </c>
      <c r="D7" s="37">
        <f>IF(A7="","","Q"&amp;ROUNDUP(MONTH(A7)/3,0))</f>
        <v/>
      </c>
      <c r="E7" s="22" t="n"/>
      <c r="F7" s="22" t="n"/>
      <c r="G7" s="42" t="n"/>
      <c r="H7" s="42" t="n"/>
      <c r="I7" s="23" t="n"/>
      <c r="J7" s="23" t="n"/>
      <c r="K7" s="23" t="n"/>
      <c r="L7" s="23" t="n"/>
      <c r="M7" s="23" t="n"/>
      <c r="N7" s="43">
        <f>IF(COUNTA(I7:M7)&gt;0,AVERAGE(I7:M7),"")</f>
        <v/>
      </c>
      <c r="O7" s="22" t="n"/>
    </row>
    <row r="8">
      <c r="A8" s="34" t="n"/>
      <c r="B8" s="35">
        <f>IF(A8="","",YEAR(A8))</f>
        <v/>
      </c>
      <c r="C8" s="36">
        <f>IF(A8="","",MONTH(A8))</f>
        <v/>
      </c>
      <c r="D8" s="37">
        <f>IF(A8="","","Q"&amp;ROUNDUP(MONTH(A8)/3,0))</f>
        <v/>
      </c>
      <c r="E8" s="18" t="n"/>
      <c r="F8" s="18" t="n"/>
      <c r="G8" s="38" t="n"/>
      <c r="H8" s="38" t="n"/>
      <c r="I8" s="19" t="n"/>
      <c r="J8" s="19" t="n"/>
      <c r="K8" s="19" t="n"/>
      <c r="L8" s="19" t="n"/>
      <c r="M8" s="19" t="n"/>
      <c r="N8" s="43">
        <f>IF(COUNTA(I8:M8)&gt;0,AVERAGE(I8:M8),"")</f>
        <v/>
      </c>
      <c r="O8" s="18" t="n"/>
    </row>
    <row r="9">
      <c r="A9" s="41" t="n"/>
      <c r="B9" s="35">
        <f>IF(A9="","",YEAR(A9))</f>
        <v/>
      </c>
      <c r="C9" s="36">
        <f>IF(A9="","",MONTH(A9))</f>
        <v/>
      </c>
      <c r="D9" s="37">
        <f>IF(A9="","","Q"&amp;ROUNDUP(MONTH(A9)/3,0))</f>
        <v/>
      </c>
      <c r="E9" s="22" t="n"/>
      <c r="F9" s="22" t="n"/>
      <c r="G9" s="42" t="n"/>
      <c r="H9" s="42" t="n"/>
      <c r="I9" s="23" t="n"/>
      <c r="J9" s="23" t="n"/>
      <c r="K9" s="23" t="n"/>
      <c r="L9" s="23" t="n"/>
      <c r="M9" s="23" t="n"/>
      <c r="N9" s="43">
        <f>IF(COUNTA(I9:M9)&gt;0,AVERAGE(I9:M9),"")</f>
        <v/>
      </c>
      <c r="O9" s="22" t="n"/>
    </row>
    <row r="10">
      <c r="A10" s="34" t="n"/>
      <c r="B10" s="35">
        <f>IF(A10="","",YEAR(A10))</f>
        <v/>
      </c>
      <c r="C10" s="36">
        <f>IF(A10="","",MONTH(A10))</f>
        <v/>
      </c>
      <c r="D10" s="37">
        <f>IF(A10="","","Q"&amp;ROUNDUP(MONTH(A10)/3,0))</f>
        <v/>
      </c>
      <c r="E10" s="18" t="n"/>
      <c r="F10" s="18" t="n"/>
      <c r="G10" s="38" t="n"/>
      <c r="H10" s="38" t="n"/>
      <c r="I10" s="19" t="n"/>
      <c r="J10" s="19" t="n"/>
      <c r="K10" s="19" t="n"/>
      <c r="L10" s="19" t="n"/>
      <c r="M10" s="19" t="n"/>
      <c r="N10" s="43">
        <f>IF(COUNTA(I10:M10)&gt;0,AVERAGE(I10:M10),"")</f>
        <v/>
      </c>
      <c r="O10" s="18" t="n"/>
    </row>
    <row r="11">
      <c r="A11" s="41" t="n"/>
      <c r="B11" s="35">
        <f>IF(A11="","",YEAR(A11))</f>
        <v/>
      </c>
      <c r="C11" s="36">
        <f>IF(A11="","",MONTH(A11))</f>
        <v/>
      </c>
      <c r="D11" s="37">
        <f>IF(A11="","","Q"&amp;ROUNDUP(MONTH(A11)/3,0))</f>
        <v/>
      </c>
      <c r="E11" s="22" t="n"/>
      <c r="F11" s="22" t="n"/>
      <c r="G11" s="42" t="n"/>
      <c r="H11" s="42" t="n"/>
      <c r="I11" s="23" t="n"/>
      <c r="J11" s="23" t="n"/>
      <c r="K11" s="23" t="n"/>
      <c r="L11" s="23" t="n"/>
      <c r="M11" s="23" t="n"/>
      <c r="N11" s="43">
        <f>IF(COUNTA(I11:M11)&gt;0,AVERAGE(I11:M11),"")</f>
        <v/>
      </c>
      <c r="O11" s="22" t="n"/>
    </row>
    <row r="12">
      <c r="A12" s="34" t="n"/>
      <c r="B12" s="35">
        <f>IF(A12="","",YEAR(A12))</f>
        <v/>
      </c>
      <c r="C12" s="36">
        <f>IF(A12="","",MONTH(A12))</f>
        <v/>
      </c>
      <c r="D12" s="37">
        <f>IF(A12="","","Q"&amp;ROUNDUP(MONTH(A12)/3,0))</f>
        <v/>
      </c>
      <c r="E12" s="18" t="n"/>
      <c r="F12" s="18" t="n"/>
      <c r="G12" s="38" t="n"/>
      <c r="H12" s="38" t="n"/>
      <c r="I12" s="19" t="n"/>
      <c r="J12" s="19" t="n"/>
      <c r="K12" s="19" t="n"/>
      <c r="L12" s="19" t="n"/>
      <c r="M12" s="19" t="n"/>
      <c r="N12" s="43">
        <f>IF(COUNTA(I12:M12)&gt;0,AVERAGE(I12:M12),"")</f>
        <v/>
      </c>
      <c r="O12" s="18" t="n"/>
    </row>
    <row r="13">
      <c r="A13" s="41" t="n"/>
      <c r="B13" s="35">
        <f>IF(A13="","",YEAR(A13))</f>
        <v/>
      </c>
      <c r="C13" s="36">
        <f>IF(A13="","",MONTH(A13))</f>
        <v/>
      </c>
      <c r="D13" s="37">
        <f>IF(A13="","","Q"&amp;ROUNDUP(MONTH(A13)/3,0))</f>
        <v/>
      </c>
      <c r="E13" s="22" t="n"/>
      <c r="F13" s="22" t="n"/>
      <c r="G13" s="42" t="n"/>
      <c r="H13" s="42" t="n"/>
      <c r="I13" s="23" t="n"/>
      <c r="J13" s="23" t="n"/>
      <c r="K13" s="23" t="n"/>
      <c r="L13" s="23" t="n"/>
      <c r="M13" s="23" t="n"/>
      <c r="N13" s="43">
        <f>IF(COUNTA(I13:M13)&gt;0,AVERAGE(I13:M13),"")</f>
        <v/>
      </c>
      <c r="O13" s="22" t="n"/>
    </row>
    <row r="14">
      <c r="A14" s="34" t="n"/>
      <c r="B14" s="35">
        <f>IF(A14="","",YEAR(A14))</f>
        <v/>
      </c>
      <c r="C14" s="36">
        <f>IF(A14="","",MONTH(A14))</f>
        <v/>
      </c>
      <c r="D14" s="37">
        <f>IF(A14="","","Q"&amp;ROUNDUP(MONTH(A14)/3,0))</f>
        <v/>
      </c>
      <c r="E14" s="18" t="n"/>
      <c r="F14" s="18" t="n"/>
      <c r="G14" s="38" t="n"/>
      <c r="H14" s="38" t="n"/>
      <c r="I14" s="19" t="n"/>
      <c r="J14" s="19" t="n"/>
      <c r="K14" s="19" t="n"/>
      <c r="L14" s="19" t="n"/>
      <c r="M14" s="19" t="n"/>
      <c r="N14" s="43">
        <f>IF(COUNTA(I14:M14)&gt;0,AVERAGE(I14:M14),"")</f>
        <v/>
      </c>
      <c r="O14" s="18" t="n"/>
    </row>
    <row r="15">
      <c r="A15" s="41" t="n"/>
      <c r="B15" s="35">
        <f>IF(A15="","",YEAR(A15))</f>
        <v/>
      </c>
      <c r="C15" s="36">
        <f>IF(A15="","",MONTH(A15))</f>
        <v/>
      </c>
      <c r="D15" s="37">
        <f>IF(A15="","","Q"&amp;ROUNDUP(MONTH(A15)/3,0))</f>
        <v/>
      </c>
      <c r="E15" s="22" t="n"/>
      <c r="F15" s="22" t="n"/>
      <c r="G15" s="42" t="n"/>
      <c r="H15" s="42" t="n"/>
      <c r="I15" s="23" t="n"/>
      <c r="J15" s="23" t="n"/>
      <c r="K15" s="23" t="n"/>
      <c r="L15" s="23" t="n"/>
      <c r="M15" s="23" t="n"/>
      <c r="N15" s="43">
        <f>IF(COUNTA(I15:M15)&gt;0,AVERAGE(I15:M15),"")</f>
        <v/>
      </c>
      <c r="O15" s="22" t="n"/>
    </row>
    <row r="16">
      <c r="A16" s="34" t="n"/>
      <c r="B16" s="35">
        <f>IF(A16="","",YEAR(A16))</f>
        <v/>
      </c>
      <c r="C16" s="36">
        <f>IF(A16="","",MONTH(A16))</f>
        <v/>
      </c>
      <c r="D16" s="37">
        <f>IF(A16="","","Q"&amp;ROUNDUP(MONTH(A16)/3,0))</f>
        <v/>
      </c>
      <c r="E16" s="18" t="n"/>
      <c r="F16" s="18" t="n"/>
      <c r="G16" s="38" t="n"/>
      <c r="H16" s="38" t="n"/>
      <c r="I16" s="19" t="n"/>
      <c r="J16" s="19" t="n"/>
      <c r="K16" s="19" t="n"/>
      <c r="L16" s="19" t="n"/>
      <c r="M16" s="19" t="n"/>
      <c r="N16" s="43">
        <f>IF(COUNTA(I16:M16)&gt;0,AVERAGE(I16:M16),"")</f>
        <v/>
      </c>
      <c r="O16" s="18" t="n"/>
    </row>
    <row r="17">
      <c r="A17" s="41" t="n"/>
      <c r="B17" s="35">
        <f>IF(A17="","",YEAR(A17))</f>
        <v/>
      </c>
      <c r="C17" s="36">
        <f>IF(A17="","",MONTH(A17))</f>
        <v/>
      </c>
      <c r="D17" s="37">
        <f>IF(A17="","","Q"&amp;ROUNDUP(MONTH(A17)/3,0))</f>
        <v/>
      </c>
      <c r="E17" s="22" t="n"/>
      <c r="F17" s="22" t="n"/>
      <c r="G17" s="42" t="n"/>
      <c r="H17" s="42" t="n"/>
      <c r="I17" s="23" t="n"/>
      <c r="J17" s="23" t="n"/>
      <c r="K17" s="23" t="n"/>
      <c r="L17" s="23" t="n"/>
      <c r="M17" s="23" t="n"/>
      <c r="N17" s="43">
        <f>IF(COUNTA(I17:M17)&gt;0,AVERAGE(I17:M17),"")</f>
        <v/>
      </c>
      <c r="O17" s="22" t="n"/>
    </row>
    <row r="18">
      <c r="A18" s="34" t="n"/>
      <c r="B18" s="35">
        <f>IF(A18="","",YEAR(A18))</f>
        <v/>
      </c>
      <c r="C18" s="36">
        <f>IF(A18="","",MONTH(A18))</f>
        <v/>
      </c>
      <c r="D18" s="37">
        <f>IF(A18="","","Q"&amp;ROUNDUP(MONTH(A18)/3,0))</f>
        <v/>
      </c>
      <c r="E18" s="18" t="n"/>
      <c r="F18" s="18" t="n"/>
      <c r="G18" s="38" t="n"/>
      <c r="H18" s="38" t="n"/>
      <c r="I18" s="19" t="n"/>
      <c r="J18" s="19" t="n"/>
      <c r="K18" s="19" t="n"/>
      <c r="L18" s="19" t="n"/>
      <c r="M18" s="19" t="n"/>
      <c r="N18" s="43">
        <f>IF(COUNTA(I18:M18)&gt;0,AVERAGE(I18:M18),"")</f>
        <v/>
      </c>
      <c r="O18" s="18" t="n"/>
    </row>
    <row r="19">
      <c r="A19" s="41" t="n"/>
      <c r="B19" s="35">
        <f>IF(A19="","",YEAR(A19))</f>
        <v/>
      </c>
      <c r="C19" s="36">
        <f>IF(A19="","",MONTH(A19))</f>
        <v/>
      </c>
      <c r="D19" s="37">
        <f>IF(A19="","","Q"&amp;ROUNDUP(MONTH(A19)/3,0))</f>
        <v/>
      </c>
      <c r="E19" s="22" t="n"/>
      <c r="F19" s="22" t="n"/>
      <c r="G19" s="42" t="n"/>
      <c r="H19" s="42" t="n"/>
      <c r="I19" s="23" t="n"/>
      <c r="J19" s="23" t="n"/>
      <c r="K19" s="23" t="n"/>
      <c r="L19" s="23" t="n"/>
      <c r="M19" s="23" t="n"/>
      <c r="N19" s="43">
        <f>IF(COUNTA(I19:M19)&gt;0,AVERAGE(I19:M19),"")</f>
        <v/>
      </c>
      <c r="O19" s="22" t="n"/>
    </row>
    <row r="20">
      <c r="A20" s="34" t="n"/>
      <c r="B20" s="35">
        <f>IF(A20="","",YEAR(A20))</f>
        <v/>
      </c>
      <c r="C20" s="36">
        <f>IF(A20="","",MONTH(A20))</f>
        <v/>
      </c>
      <c r="D20" s="37">
        <f>IF(A20="","","Q"&amp;ROUNDUP(MONTH(A20)/3,0))</f>
        <v/>
      </c>
      <c r="E20" s="18" t="n"/>
      <c r="F20" s="18" t="n"/>
      <c r="G20" s="38" t="n"/>
      <c r="H20" s="38" t="n"/>
      <c r="I20" s="19" t="n"/>
      <c r="J20" s="19" t="n"/>
      <c r="K20" s="19" t="n"/>
      <c r="L20" s="19" t="n"/>
      <c r="M20" s="19" t="n"/>
      <c r="N20" s="43">
        <f>IF(COUNTA(I20:M20)&gt;0,AVERAGE(I20:M20),"")</f>
        <v/>
      </c>
      <c r="O20" s="18" t="n"/>
    </row>
    <row r="21">
      <c r="A21" s="41" t="n"/>
      <c r="B21" s="35">
        <f>IF(A21="","",YEAR(A21))</f>
        <v/>
      </c>
      <c r="C21" s="36">
        <f>IF(A21="","",MONTH(A21))</f>
        <v/>
      </c>
      <c r="D21" s="37">
        <f>IF(A21="","","Q"&amp;ROUNDUP(MONTH(A21)/3,0))</f>
        <v/>
      </c>
      <c r="E21" s="22" t="n"/>
      <c r="F21" s="22" t="n"/>
      <c r="G21" s="42" t="n"/>
      <c r="H21" s="42" t="n"/>
      <c r="I21" s="23" t="n"/>
      <c r="J21" s="23" t="n"/>
      <c r="K21" s="23" t="n"/>
      <c r="L21" s="23" t="n"/>
      <c r="M21" s="23" t="n"/>
      <c r="N21" s="43">
        <f>IF(COUNTA(I21:M21)&gt;0,AVERAGE(I21:M21),"")</f>
        <v/>
      </c>
      <c r="O21" s="22" t="n"/>
    </row>
    <row r="22">
      <c r="A22" s="34" t="n"/>
      <c r="B22" s="35">
        <f>IF(A22="","",YEAR(A22))</f>
        <v/>
      </c>
      <c r="C22" s="36">
        <f>IF(A22="","",MONTH(A22))</f>
        <v/>
      </c>
      <c r="D22" s="37">
        <f>IF(A22="","","Q"&amp;ROUNDUP(MONTH(A22)/3,0))</f>
        <v/>
      </c>
      <c r="E22" s="18" t="n"/>
      <c r="F22" s="18" t="n"/>
      <c r="G22" s="38" t="n"/>
      <c r="H22" s="38" t="n"/>
      <c r="I22" s="19" t="n"/>
      <c r="J22" s="19" t="n"/>
      <c r="K22" s="19" t="n"/>
      <c r="L22" s="19" t="n"/>
      <c r="M22" s="19" t="n"/>
      <c r="N22" s="43">
        <f>IF(COUNTA(I22:M22)&gt;0,AVERAGE(I22:M22),"")</f>
        <v/>
      </c>
      <c r="O22" s="18" t="n"/>
    </row>
    <row r="23">
      <c r="A23" s="41" t="n"/>
      <c r="B23" s="35">
        <f>IF(A23="","",YEAR(A23))</f>
        <v/>
      </c>
      <c r="C23" s="36">
        <f>IF(A23="","",MONTH(A23))</f>
        <v/>
      </c>
      <c r="D23" s="37">
        <f>IF(A23="","","Q"&amp;ROUNDUP(MONTH(A23)/3,0))</f>
        <v/>
      </c>
      <c r="E23" s="22" t="n"/>
      <c r="F23" s="22" t="n"/>
      <c r="G23" s="42" t="n"/>
      <c r="H23" s="42" t="n"/>
      <c r="I23" s="23" t="n"/>
      <c r="J23" s="23" t="n"/>
      <c r="K23" s="23" t="n"/>
      <c r="L23" s="23" t="n"/>
      <c r="M23" s="23" t="n"/>
      <c r="N23" s="43">
        <f>IF(COUNTA(I23:M23)&gt;0,AVERAGE(I23:M23),"")</f>
        <v/>
      </c>
      <c r="O23" s="22" t="n"/>
    </row>
    <row r="24">
      <c r="A24" s="34" t="n"/>
      <c r="B24" s="35">
        <f>IF(A24="","",YEAR(A24))</f>
        <v/>
      </c>
      <c r="C24" s="36">
        <f>IF(A24="","",MONTH(A24))</f>
        <v/>
      </c>
      <c r="D24" s="37">
        <f>IF(A24="","","Q"&amp;ROUNDUP(MONTH(A24)/3,0))</f>
        <v/>
      </c>
      <c r="E24" s="18" t="n"/>
      <c r="F24" s="18" t="n"/>
      <c r="G24" s="38" t="n"/>
      <c r="H24" s="38" t="n"/>
      <c r="I24" s="19" t="n"/>
      <c r="J24" s="19" t="n"/>
      <c r="K24" s="19" t="n"/>
      <c r="L24" s="19" t="n"/>
      <c r="M24" s="19" t="n"/>
      <c r="N24" s="43">
        <f>IF(COUNTA(I24:M24)&gt;0,AVERAGE(I24:M24),"")</f>
        <v/>
      </c>
      <c r="O24" s="18" t="n"/>
    </row>
    <row r="25">
      <c r="A25" s="41" t="n"/>
      <c r="B25" s="35">
        <f>IF(A25="","",YEAR(A25))</f>
        <v/>
      </c>
      <c r="C25" s="36">
        <f>IF(A25="","",MONTH(A25))</f>
        <v/>
      </c>
      <c r="D25" s="37">
        <f>IF(A25="","","Q"&amp;ROUNDUP(MONTH(A25)/3,0))</f>
        <v/>
      </c>
      <c r="E25" s="22" t="n"/>
      <c r="F25" s="22" t="n"/>
      <c r="G25" s="42" t="n"/>
      <c r="H25" s="42" t="n"/>
      <c r="I25" s="23" t="n"/>
      <c r="J25" s="23" t="n"/>
      <c r="K25" s="23" t="n"/>
      <c r="L25" s="23" t="n"/>
      <c r="M25" s="23" t="n"/>
      <c r="N25" s="43">
        <f>IF(COUNTA(I25:M25)&gt;0,AVERAGE(I25:M25),"")</f>
        <v/>
      </c>
      <c r="O25" s="22" t="n"/>
    </row>
    <row r="26">
      <c r="A26" s="34" t="n"/>
      <c r="B26" s="35">
        <f>IF(A26="","",YEAR(A26))</f>
        <v/>
      </c>
      <c r="C26" s="36">
        <f>IF(A26="","",MONTH(A26))</f>
        <v/>
      </c>
      <c r="D26" s="37">
        <f>IF(A26="","","Q"&amp;ROUNDUP(MONTH(A26)/3,0))</f>
        <v/>
      </c>
      <c r="E26" s="18" t="n"/>
      <c r="F26" s="18" t="n"/>
      <c r="G26" s="38" t="n"/>
      <c r="H26" s="38" t="n"/>
      <c r="I26" s="19" t="n"/>
      <c r="J26" s="19" t="n"/>
      <c r="K26" s="19" t="n"/>
      <c r="L26" s="19" t="n"/>
      <c r="M26" s="19" t="n"/>
      <c r="N26" s="43">
        <f>IF(COUNTA(I26:M26)&gt;0,AVERAGE(I26:M26),"")</f>
        <v/>
      </c>
      <c r="O26" s="18" t="n"/>
    </row>
    <row r="27">
      <c r="A27" s="41" t="n"/>
      <c r="B27" s="35">
        <f>IF(A27="","",YEAR(A27))</f>
        <v/>
      </c>
      <c r="C27" s="36">
        <f>IF(A27="","",MONTH(A27))</f>
        <v/>
      </c>
      <c r="D27" s="37">
        <f>IF(A27="","","Q"&amp;ROUNDUP(MONTH(A27)/3,0))</f>
        <v/>
      </c>
      <c r="E27" s="22" t="n"/>
      <c r="F27" s="22" t="n"/>
      <c r="G27" s="42" t="n"/>
      <c r="H27" s="42" t="n"/>
      <c r="I27" s="23" t="n"/>
      <c r="J27" s="23" t="n"/>
      <c r="K27" s="23" t="n"/>
      <c r="L27" s="23" t="n"/>
      <c r="M27" s="23" t="n"/>
      <c r="N27" s="43">
        <f>IF(COUNTA(I27:M27)&gt;0,AVERAGE(I27:M27),"")</f>
        <v/>
      </c>
      <c r="O27" s="22" t="n"/>
    </row>
    <row r="28">
      <c r="A28" s="34" t="n"/>
      <c r="B28" s="35">
        <f>IF(A28="","",YEAR(A28))</f>
        <v/>
      </c>
      <c r="C28" s="36">
        <f>IF(A28="","",MONTH(A28))</f>
        <v/>
      </c>
      <c r="D28" s="37">
        <f>IF(A28="","","Q"&amp;ROUNDUP(MONTH(A28)/3,0))</f>
        <v/>
      </c>
      <c r="E28" s="18" t="n"/>
      <c r="F28" s="18" t="n"/>
      <c r="G28" s="38" t="n"/>
      <c r="H28" s="38" t="n"/>
      <c r="I28" s="19" t="n"/>
      <c r="J28" s="19" t="n"/>
      <c r="K28" s="19" t="n"/>
      <c r="L28" s="19" t="n"/>
      <c r="M28" s="19" t="n"/>
      <c r="N28" s="43">
        <f>IF(COUNTA(I28:M28)&gt;0,AVERAGE(I28:M28),"")</f>
        <v/>
      </c>
      <c r="O28" s="18" t="n"/>
    </row>
    <row r="29">
      <c r="A29" s="41" t="n"/>
      <c r="B29" s="35">
        <f>IF(A29="","",YEAR(A29))</f>
        <v/>
      </c>
      <c r="C29" s="36">
        <f>IF(A29="","",MONTH(A29))</f>
        <v/>
      </c>
      <c r="D29" s="37">
        <f>IF(A29="","","Q"&amp;ROUNDUP(MONTH(A29)/3,0))</f>
        <v/>
      </c>
      <c r="E29" s="22" t="n"/>
      <c r="F29" s="22" t="n"/>
      <c r="G29" s="42" t="n"/>
      <c r="H29" s="42" t="n"/>
      <c r="I29" s="23" t="n"/>
      <c r="J29" s="23" t="n"/>
      <c r="K29" s="23" t="n"/>
      <c r="L29" s="23" t="n"/>
      <c r="M29" s="23" t="n"/>
      <c r="N29" s="43">
        <f>IF(COUNTA(I29:M29)&gt;0,AVERAGE(I29:M29),"")</f>
        <v/>
      </c>
      <c r="O29" s="22" t="n"/>
    </row>
    <row r="30">
      <c r="A30" s="34" t="n"/>
      <c r="B30" s="35">
        <f>IF(A30="","",YEAR(A30))</f>
        <v/>
      </c>
      <c r="C30" s="36">
        <f>IF(A30="","",MONTH(A30))</f>
        <v/>
      </c>
      <c r="D30" s="37">
        <f>IF(A30="","","Q"&amp;ROUNDUP(MONTH(A30)/3,0))</f>
        <v/>
      </c>
      <c r="E30" s="18" t="n"/>
      <c r="F30" s="18" t="n"/>
      <c r="G30" s="38" t="n"/>
      <c r="H30" s="38" t="n"/>
      <c r="I30" s="19" t="n"/>
      <c r="J30" s="19" t="n"/>
      <c r="K30" s="19" t="n"/>
      <c r="L30" s="19" t="n"/>
      <c r="M30" s="19" t="n"/>
      <c r="N30" s="43">
        <f>IF(COUNTA(I30:M30)&gt;0,AVERAGE(I30:M30),"")</f>
        <v/>
      </c>
      <c r="O30" s="18" t="n"/>
    </row>
    <row r="31">
      <c r="A31" s="41" t="n"/>
      <c r="B31" s="35">
        <f>IF(A31="","",YEAR(A31))</f>
        <v/>
      </c>
      <c r="C31" s="36">
        <f>IF(A31="","",MONTH(A31))</f>
        <v/>
      </c>
      <c r="D31" s="37">
        <f>IF(A31="","","Q"&amp;ROUNDUP(MONTH(A31)/3,0))</f>
        <v/>
      </c>
      <c r="E31" s="22" t="n"/>
      <c r="F31" s="22" t="n"/>
      <c r="G31" s="42" t="n"/>
      <c r="H31" s="42" t="n"/>
      <c r="I31" s="23" t="n"/>
      <c r="J31" s="23" t="n"/>
      <c r="K31" s="23" t="n"/>
      <c r="L31" s="23" t="n"/>
      <c r="M31" s="23" t="n"/>
      <c r="N31" s="43">
        <f>IF(COUNTA(I31:M31)&gt;0,AVERAGE(I31:M31),"")</f>
        <v/>
      </c>
      <c r="O31" s="22" t="n"/>
    </row>
    <row r="32">
      <c r="A32" s="34" t="n"/>
      <c r="B32" s="35">
        <f>IF(A32="","",YEAR(A32))</f>
        <v/>
      </c>
      <c r="C32" s="36">
        <f>IF(A32="","",MONTH(A32))</f>
        <v/>
      </c>
      <c r="D32" s="37">
        <f>IF(A32="","","Q"&amp;ROUNDUP(MONTH(A32)/3,0))</f>
        <v/>
      </c>
      <c r="E32" s="18" t="n"/>
      <c r="F32" s="18" t="n"/>
      <c r="G32" s="38" t="n"/>
      <c r="H32" s="38" t="n"/>
      <c r="I32" s="19" t="n"/>
      <c r="J32" s="19" t="n"/>
      <c r="K32" s="19" t="n"/>
      <c r="L32" s="19" t="n"/>
      <c r="M32" s="19" t="n"/>
      <c r="N32" s="43">
        <f>IF(COUNTA(I32:M32)&gt;0,AVERAGE(I32:M32),"")</f>
        <v/>
      </c>
      <c r="O32" s="18" t="n"/>
    </row>
    <row r="33">
      <c r="A33" s="41" t="n"/>
      <c r="B33" s="35">
        <f>IF(A33="","",YEAR(A33))</f>
        <v/>
      </c>
      <c r="C33" s="36">
        <f>IF(A33="","",MONTH(A33))</f>
        <v/>
      </c>
      <c r="D33" s="37">
        <f>IF(A33="","","Q"&amp;ROUNDUP(MONTH(A33)/3,0))</f>
        <v/>
      </c>
      <c r="E33" s="22" t="n"/>
      <c r="F33" s="22" t="n"/>
      <c r="G33" s="42" t="n"/>
      <c r="H33" s="42" t="n"/>
      <c r="I33" s="23" t="n"/>
      <c r="J33" s="23" t="n"/>
      <c r="K33" s="23" t="n"/>
      <c r="L33" s="23" t="n"/>
      <c r="M33" s="23" t="n"/>
      <c r="N33" s="43">
        <f>IF(COUNTA(I33:M33)&gt;0,AVERAGE(I33:M33),"")</f>
        <v/>
      </c>
      <c r="O33" s="22" t="n"/>
    </row>
    <row r="34">
      <c r="A34" s="34" t="n"/>
      <c r="B34" s="35">
        <f>IF(A34="","",YEAR(A34))</f>
        <v/>
      </c>
      <c r="C34" s="36">
        <f>IF(A34="","",MONTH(A34))</f>
        <v/>
      </c>
      <c r="D34" s="37">
        <f>IF(A34="","","Q"&amp;ROUNDUP(MONTH(A34)/3,0))</f>
        <v/>
      </c>
      <c r="E34" s="18" t="n"/>
      <c r="F34" s="18" t="n"/>
      <c r="G34" s="38" t="n"/>
      <c r="H34" s="38" t="n"/>
      <c r="I34" s="19" t="n"/>
      <c r="J34" s="19" t="n"/>
      <c r="K34" s="19" t="n"/>
      <c r="L34" s="19" t="n"/>
      <c r="M34" s="19" t="n"/>
      <c r="N34" s="43">
        <f>IF(COUNTA(I34:M34)&gt;0,AVERAGE(I34:M34),"")</f>
        <v/>
      </c>
      <c r="O34" s="18" t="n"/>
    </row>
    <row r="35">
      <c r="A35" s="41" t="n"/>
      <c r="B35" s="35">
        <f>IF(A35="","",YEAR(A35))</f>
        <v/>
      </c>
      <c r="C35" s="36">
        <f>IF(A35="","",MONTH(A35))</f>
        <v/>
      </c>
      <c r="D35" s="37">
        <f>IF(A35="","","Q"&amp;ROUNDUP(MONTH(A35)/3,0))</f>
        <v/>
      </c>
      <c r="E35" s="22" t="n"/>
      <c r="F35" s="22" t="n"/>
      <c r="G35" s="42" t="n"/>
      <c r="H35" s="42" t="n"/>
      <c r="I35" s="23" t="n"/>
      <c r="J35" s="23" t="n"/>
      <c r="K35" s="23" t="n"/>
      <c r="L35" s="23" t="n"/>
      <c r="M35" s="23" t="n"/>
      <c r="N35" s="43">
        <f>IF(COUNTA(I35:M35)&gt;0,AVERAGE(I35:M35),"")</f>
        <v/>
      </c>
      <c r="O35" s="22" t="n"/>
    </row>
    <row r="36">
      <c r="A36" s="34" t="n"/>
      <c r="B36" s="35">
        <f>IF(A36="","",YEAR(A36))</f>
        <v/>
      </c>
      <c r="C36" s="36">
        <f>IF(A36="","",MONTH(A36))</f>
        <v/>
      </c>
      <c r="D36" s="37">
        <f>IF(A36="","","Q"&amp;ROUNDUP(MONTH(A36)/3,0))</f>
        <v/>
      </c>
      <c r="E36" s="18" t="n"/>
      <c r="F36" s="18" t="n"/>
      <c r="G36" s="38" t="n"/>
      <c r="H36" s="38" t="n"/>
      <c r="I36" s="19" t="n"/>
      <c r="J36" s="19" t="n"/>
      <c r="K36" s="19" t="n"/>
      <c r="L36" s="19" t="n"/>
      <c r="M36" s="19" t="n"/>
      <c r="N36" s="43">
        <f>IF(COUNTA(I36:M36)&gt;0,AVERAGE(I36:M36),"")</f>
        <v/>
      </c>
      <c r="O36" s="18" t="n"/>
    </row>
    <row r="37">
      <c r="A37" s="41" t="n"/>
      <c r="B37" s="35">
        <f>IF(A37="","",YEAR(A37))</f>
        <v/>
      </c>
      <c r="C37" s="36">
        <f>IF(A37="","",MONTH(A37))</f>
        <v/>
      </c>
      <c r="D37" s="37">
        <f>IF(A37="","","Q"&amp;ROUNDUP(MONTH(A37)/3,0))</f>
        <v/>
      </c>
      <c r="E37" s="22" t="n"/>
      <c r="F37" s="22" t="n"/>
      <c r="G37" s="42" t="n"/>
      <c r="H37" s="42" t="n"/>
      <c r="I37" s="23" t="n"/>
      <c r="J37" s="23" t="n"/>
      <c r="K37" s="23" t="n"/>
      <c r="L37" s="23" t="n"/>
      <c r="M37" s="23" t="n"/>
      <c r="N37" s="43">
        <f>IF(COUNTA(I37:M37)&gt;0,AVERAGE(I37:M37),"")</f>
        <v/>
      </c>
      <c r="O37" s="22" t="n"/>
    </row>
    <row r="38">
      <c r="A38" s="34" t="n"/>
      <c r="B38" s="35">
        <f>IF(A38="","",YEAR(A38))</f>
        <v/>
      </c>
      <c r="C38" s="36">
        <f>IF(A38="","",MONTH(A38))</f>
        <v/>
      </c>
      <c r="D38" s="37">
        <f>IF(A38="","","Q"&amp;ROUNDUP(MONTH(A38)/3,0))</f>
        <v/>
      </c>
      <c r="E38" s="18" t="n"/>
      <c r="F38" s="18" t="n"/>
      <c r="G38" s="38" t="n"/>
      <c r="H38" s="38" t="n"/>
      <c r="I38" s="19" t="n"/>
      <c r="J38" s="19" t="n"/>
      <c r="K38" s="19" t="n"/>
      <c r="L38" s="19" t="n"/>
      <c r="M38" s="19" t="n"/>
      <c r="N38" s="43">
        <f>IF(COUNTA(I38:M38)&gt;0,AVERAGE(I38:M38),"")</f>
        <v/>
      </c>
      <c r="O38" s="18" t="n"/>
    </row>
    <row r="39">
      <c r="A39" s="41" t="n"/>
      <c r="B39" s="35">
        <f>IF(A39="","",YEAR(A39))</f>
        <v/>
      </c>
      <c r="C39" s="36">
        <f>IF(A39="","",MONTH(A39))</f>
        <v/>
      </c>
      <c r="D39" s="37">
        <f>IF(A39="","","Q"&amp;ROUNDUP(MONTH(A39)/3,0))</f>
        <v/>
      </c>
      <c r="E39" s="22" t="n"/>
      <c r="F39" s="22" t="n"/>
      <c r="G39" s="42" t="n"/>
      <c r="H39" s="42" t="n"/>
      <c r="I39" s="23" t="n"/>
      <c r="J39" s="23" t="n"/>
      <c r="K39" s="23" t="n"/>
      <c r="L39" s="23" t="n"/>
      <c r="M39" s="23" t="n"/>
      <c r="N39" s="43">
        <f>IF(COUNTA(I39:M39)&gt;0,AVERAGE(I39:M39),"")</f>
        <v/>
      </c>
      <c r="O39" s="22" t="n"/>
    </row>
    <row r="40">
      <c r="A40" s="34" t="n"/>
      <c r="B40" s="35">
        <f>IF(A40="","",YEAR(A40))</f>
        <v/>
      </c>
      <c r="C40" s="36">
        <f>IF(A40="","",MONTH(A40))</f>
        <v/>
      </c>
      <c r="D40" s="37">
        <f>IF(A40="","","Q"&amp;ROUNDUP(MONTH(A40)/3,0))</f>
        <v/>
      </c>
      <c r="E40" s="18" t="n"/>
      <c r="F40" s="18" t="n"/>
      <c r="G40" s="38" t="n"/>
      <c r="H40" s="38" t="n"/>
      <c r="I40" s="19" t="n"/>
      <c r="J40" s="19" t="n"/>
      <c r="K40" s="19" t="n"/>
      <c r="L40" s="19" t="n"/>
      <c r="M40" s="19" t="n"/>
      <c r="N40" s="43">
        <f>IF(COUNTA(I40:M40)&gt;0,AVERAGE(I40:M40),"")</f>
        <v/>
      </c>
      <c r="O40" s="18" t="n"/>
    </row>
    <row r="41">
      <c r="A41" s="41" t="n"/>
      <c r="B41" s="35">
        <f>IF(A41="","",YEAR(A41))</f>
        <v/>
      </c>
      <c r="C41" s="36">
        <f>IF(A41="","",MONTH(A41))</f>
        <v/>
      </c>
      <c r="D41" s="37">
        <f>IF(A41="","","Q"&amp;ROUNDUP(MONTH(A41)/3,0))</f>
        <v/>
      </c>
      <c r="E41" s="22" t="n"/>
      <c r="F41" s="22" t="n"/>
      <c r="G41" s="42" t="n"/>
      <c r="H41" s="42" t="n"/>
      <c r="I41" s="23" t="n"/>
      <c r="J41" s="23" t="n"/>
      <c r="K41" s="23" t="n"/>
      <c r="L41" s="23" t="n"/>
      <c r="M41" s="23" t="n"/>
      <c r="N41" s="43">
        <f>IF(COUNTA(I41:M41)&gt;0,AVERAGE(I41:M41),"")</f>
        <v/>
      </c>
      <c r="O41" s="22" t="n"/>
    </row>
    <row r="42">
      <c r="A42" s="34" t="n"/>
      <c r="B42" s="35">
        <f>IF(A42="","",YEAR(A42))</f>
        <v/>
      </c>
      <c r="C42" s="36">
        <f>IF(A42="","",MONTH(A42))</f>
        <v/>
      </c>
      <c r="D42" s="37">
        <f>IF(A42="","","Q"&amp;ROUNDUP(MONTH(A42)/3,0))</f>
        <v/>
      </c>
      <c r="E42" s="18" t="n"/>
      <c r="F42" s="18" t="n"/>
      <c r="G42" s="38" t="n"/>
      <c r="H42" s="38" t="n"/>
      <c r="I42" s="19" t="n"/>
      <c r="J42" s="19" t="n"/>
      <c r="K42" s="19" t="n"/>
      <c r="L42" s="19" t="n"/>
      <c r="M42" s="19" t="n"/>
      <c r="N42" s="43">
        <f>IF(COUNTA(I42:M42)&gt;0,AVERAGE(I42:M42),"")</f>
        <v/>
      </c>
      <c r="O42" s="18" t="n"/>
    </row>
    <row r="43">
      <c r="A43" s="41" t="n"/>
      <c r="B43" s="35">
        <f>IF(A43="","",YEAR(A43))</f>
        <v/>
      </c>
      <c r="C43" s="36">
        <f>IF(A43="","",MONTH(A43))</f>
        <v/>
      </c>
      <c r="D43" s="37">
        <f>IF(A43="","","Q"&amp;ROUNDUP(MONTH(A43)/3,0))</f>
        <v/>
      </c>
      <c r="E43" s="22" t="n"/>
      <c r="F43" s="22" t="n"/>
      <c r="G43" s="42" t="n"/>
      <c r="H43" s="42" t="n"/>
      <c r="I43" s="23" t="n"/>
      <c r="J43" s="23" t="n"/>
      <c r="K43" s="23" t="n"/>
      <c r="L43" s="23" t="n"/>
      <c r="M43" s="23" t="n"/>
      <c r="N43" s="43">
        <f>IF(COUNTA(I43:M43)&gt;0,AVERAGE(I43:M43),"")</f>
        <v/>
      </c>
      <c r="O43" s="22" t="n"/>
    </row>
    <row r="44">
      <c r="A44" s="34" t="n"/>
      <c r="B44" s="35">
        <f>IF(A44="","",YEAR(A44))</f>
        <v/>
      </c>
      <c r="C44" s="36">
        <f>IF(A44="","",MONTH(A44))</f>
        <v/>
      </c>
      <c r="D44" s="37">
        <f>IF(A44="","","Q"&amp;ROUNDUP(MONTH(A44)/3,0))</f>
        <v/>
      </c>
      <c r="E44" s="18" t="n"/>
      <c r="F44" s="18" t="n"/>
      <c r="G44" s="38" t="n"/>
      <c r="H44" s="38" t="n"/>
      <c r="I44" s="19" t="n"/>
      <c r="J44" s="19" t="n"/>
      <c r="K44" s="19" t="n"/>
      <c r="L44" s="19" t="n"/>
      <c r="M44" s="19" t="n"/>
      <c r="N44" s="43">
        <f>IF(COUNTA(I44:M44)&gt;0,AVERAGE(I44:M44),"")</f>
        <v/>
      </c>
      <c r="O44" s="18" t="n"/>
    </row>
    <row r="45">
      <c r="A45" s="41" t="n"/>
      <c r="B45" s="35">
        <f>IF(A45="","",YEAR(A45))</f>
        <v/>
      </c>
      <c r="C45" s="36">
        <f>IF(A45="","",MONTH(A45))</f>
        <v/>
      </c>
      <c r="D45" s="37">
        <f>IF(A45="","","Q"&amp;ROUNDUP(MONTH(A45)/3,0))</f>
        <v/>
      </c>
      <c r="E45" s="22" t="n"/>
      <c r="F45" s="22" t="n"/>
      <c r="G45" s="42" t="n"/>
      <c r="H45" s="42" t="n"/>
      <c r="I45" s="23" t="n"/>
      <c r="J45" s="23" t="n"/>
      <c r="K45" s="23" t="n"/>
      <c r="L45" s="23" t="n"/>
      <c r="M45" s="23" t="n"/>
      <c r="N45" s="43">
        <f>IF(COUNTA(I45:M45)&gt;0,AVERAGE(I45:M45),"")</f>
        <v/>
      </c>
      <c r="O45" s="22" t="n"/>
    </row>
    <row r="46">
      <c r="A46" s="34" t="n"/>
      <c r="B46" s="35">
        <f>IF(A46="","",YEAR(A46))</f>
        <v/>
      </c>
      <c r="C46" s="36">
        <f>IF(A46="","",MONTH(A46))</f>
        <v/>
      </c>
      <c r="D46" s="37">
        <f>IF(A46="","","Q"&amp;ROUNDUP(MONTH(A46)/3,0))</f>
        <v/>
      </c>
      <c r="E46" s="18" t="n"/>
      <c r="F46" s="18" t="n"/>
      <c r="G46" s="38" t="n"/>
      <c r="H46" s="38" t="n"/>
      <c r="I46" s="19" t="n"/>
      <c r="J46" s="19" t="n"/>
      <c r="K46" s="19" t="n"/>
      <c r="L46" s="19" t="n"/>
      <c r="M46" s="19" t="n"/>
      <c r="N46" s="43">
        <f>IF(COUNTA(I46:M46)&gt;0,AVERAGE(I46:M46),"")</f>
        <v/>
      </c>
      <c r="O46" s="18" t="n"/>
    </row>
    <row r="47">
      <c r="A47" s="41" t="n"/>
      <c r="B47" s="35">
        <f>IF(A47="","",YEAR(A47))</f>
        <v/>
      </c>
      <c r="C47" s="36">
        <f>IF(A47="","",MONTH(A47))</f>
        <v/>
      </c>
      <c r="D47" s="37">
        <f>IF(A47="","","Q"&amp;ROUNDUP(MONTH(A47)/3,0))</f>
        <v/>
      </c>
      <c r="E47" s="22" t="n"/>
      <c r="F47" s="22" t="n"/>
      <c r="G47" s="42" t="n"/>
      <c r="H47" s="42" t="n"/>
      <c r="I47" s="23" t="n"/>
      <c r="J47" s="23" t="n"/>
      <c r="K47" s="23" t="n"/>
      <c r="L47" s="23" t="n"/>
      <c r="M47" s="23" t="n"/>
      <c r="N47" s="43">
        <f>IF(COUNTA(I47:M47)&gt;0,AVERAGE(I47:M47),"")</f>
        <v/>
      </c>
      <c r="O47" s="22" t="n"/>
    </row>
    <row r="48">
      <c r="A48" s="34" t="n"/>
      <c r="B48" s="35">
        <f>IF(A48="","",YEAR(A48))</f>
        <v/>
      </c>
      <c r="C48" s="36">
        <f>IF(A48="","",MONTH(A48))</f>
        <v/>
      </c>
      <c r="D48" s="37">
        <f>IF(A48="","","Q"&amp;ROUNDUP(MONTH(A48)/3,0))</f>
        <v/>
      </c>
      <c r="E48" s="18" t="n"/>
      <c r="F48" s="18" t="n"/>
      <c r="G48" s="38" t="n"/>
      <c r="H48" s="38" t="n"/>
      <c r="I48" s="19" t="n"/>
      <c r="J48" s="19" t="n"/>
      <c r="K48" s="19" t="n"/>
      <c r="L48" s="19" t="n"/>
      <c r="M48" s="19" t="n"/>
      <c r="N48" s="43">
        <f>IF(COUNTA(I48:M48)&gt;0,AVERAGE(I48:M48),"")</f>
        <v/>
      </c>
      <c r="O48" s="18" t="n"/>
    </row>
    <row r="49">
      <c r="A49" s="41" t="n"/>
      <c r="B49" s="35">
        <f>IF(A49="","",YEAR(A49))</f>
        <v/>
      </c>
      <c r="C49" s="36">
        <f>IF(A49="","",MONTH(A49))</f>
        <v/>
      </c>
      <c r="D49" s="37">
        <f>IF(A49="","","Q"&amp;ROUNDUP(MONTH(A49)/3,0))</f>
        <v/>
      </c>
      <c r="E49" s="22" t="n"/>
      <c r="F49" s="22" t="n"/>
      <c r="G49" s="42" t="n"/>
      <c r="H49" s="42" t="n"/>
      <c r="I49" s="23" t="n"/>
      <c r="J49" s="23" t="n"/>
      <c r="K49" s="23" t="n"/>
      <c r="L49" s="23" t="n"/>
      <c r="M49" s="23" t="n"/>
      <c r="N49" s="43">
        <f>IF(COUNTA(I49:M49)&gt;0,AVERAGE(I49:M49),"")</f>
        <v/>
      </c>
      <c r="O49" s="22" t="n"/>
    </row>
    <row r="50">
      <c r="A50" s="34" t="n"/>
      <c r="B50" s="35">
        <f>IF(A50="","",YEAR(A50))</f>
        <v/>
      </c>
      <c r="C50" s="36">
        <f>IF(A50="","",MONTH(A50))</f>
        <v/>
      </c>
      <c r="D50" s="37">
        <f>IF(A50="","","Q"&amp;ROUNDUP(MONTH(A50)/3,0))</f>
        <v/>
      </c>
      <c r="E50" s="18" t="n"/>
      <c r="F50" s="18" t="n"/>
      <c r="G50" s="38" t="n"/>
      <c r="H50" s="38" t="n"/>
      <c r="I50" s="19" t="n"/>
      <c r="J50" s="19" t="n"/>
      <c r="K50" s="19" t="n"/>
      <c r="L50" s="19" t="n"/>
      <c r="M50" s="19" t="n"/>
      <c r="N50" s="43">
        <f>IF(COUNTA(I50:M50)&gt;0,AVERAGE(I50:M50),"")</f>
        <v/>
      </c>
      <c r="O50" s="18" t="n"/>
    </row>
    <row r="51">
      <c r="A51" s="41" t="n"/>
      <c r="B51" s="35">
        <f>IF(A51="","",YEAR(A51))</f>
        <v/>
      </c>
      <c r="C51" s="36">
        <f>IF(A51="","",MONTH(A51))</f>
        <v/>
      </c>
      <c r="D51" s="37">
        <f>IF(A51="","","Q"&amp;ROUNDUP(MONTH(A51)/3,0))</f>
        <v/>
      </c>
      <c r="E51" s="22" t="n"/>
      <c r="F51" s="22" t="n"/>
      <c r="G51" s="42" t="n"/>
      <c r="H51" s="42" t="n"/>
      <c r="I51" s="23" t="n"/>
      <c r="J51" s="23" t="n"/>
      <c r="K51" s="23" t="n"/>
      <c r="L51" s="23" t="n"/>
      <c r="M51" s="23" t="n"/>
      <c r="N51" s="43">
        <f>IF(COUNTA(I51:M51)&gt;0,AVERAGE(I51:M51),"")</f>
        <v/>
      </c>
      <c r="O51" s="22" t="n"/>
    </row>
    <row r="52">
      <c r="A52" s="34" t="n"/>
      <c r="B52" s="35">
        <f>IF(A52="","",YEAR(A52))</f>
        <v/>
      </c>
      <c r="C52" s="36">
        <f>IF(A52="","",MONTH(A52))</f>
        <v/>
      </c>
      <c r="D52" s="37">
        <f>IF(A52="","","Q"&amp;ROUNDUP(MONTH(A52)/3,0))</f>
        <v/>
      </c>
      <c r="E52" s="18" t="n"/>
      <c r="F52" s="18" t="n"/>
      <c r="G52" s="38" t="n"/>
      <c r="H52" s="38" t="n"/>
      <c r="I52" s="19" t="n"/>
      <c r="J52" s="19" t="n"/>
      <c r="K52" s="19" t="n"/>
      <c r="L52" s="19" t="n"/>
      <c r="M52" s="19" t="n"/>
      <c r="N52" s="43">
        <f>IF(COUNTA(I52:M52)&gt;0,AVERAGE(I52:M52),"")</f>
        <v/>
      </c>
      <c r="O52" s="18" t="n"/>
    </row>
    <row r="53">
      <c r="A53" s="41" t="n"/>
      <c r="B53" s="35">
        <f>IF(A53="","",YEAR(A53))</f>
        <v/>
      </c>
      <c r="C53" s="36">
        <f>IF(A53="","",MONTH(A53))</f>
        <v/>
      </c>
      <c r="D53" s="37">
        <f>IF(A53="","","Q"&amp;ROUNDUP(MONTH(A53)/3,0))</f>
        <v/>
      </c>
      <c r="E53" s="22" t="n"/>
      <c r="F53" s="22" t="n"/>
      <c r="G53" s="42" t="n"/>
      <c r="H53" s="42" t="n"/>
      <c r="I53" s="23" t="n"/>
      <c r="J53" s="23" t="n"/>
      <c r="K53" s="23" t="n"/>
      <c r="L53" s="23" t="n"/>
      <c r="M53" s="23" t="n"/>
      <c r="N53" s="43">
        <f>IF(COUNTA(I53:M53)&gt;0,AVERAGE(I53:M53),"")</f>
        <v/>
      </c>
      <c r="O53" s="22" t="n"/>
    </row>
    <row r="54">
      <c r="A54" s="34" t="n"/>
      <c r="B54" s="35">
        <f>IF(A54="","",YEAR(A54))</f>
        <v/>
      </c>
      <c r="C54" s="36">
        <f>IF(A54="","",MONTH(A54))</f>
        <v/>
      </c>
      <c r="D54" s="37">
        <f>IF(A54="","","Q"&amp;ROUNDUP(MONTH(A54)/3,0))</f>
        <v/>
      </c>
      <c r="E54" s="18" t="n"/>
      <c r="F54" s="18" t="n"/>
      <c r="G54" s="38" t="n"/>
      <c r="H54" s="38" t="n"/>
      <c r="I54" s="19" t="n"/>
      <c r="J54" s="19" t="n"/>
      <c r="K54" s="19" t="n"/>
      <c r="L54" s="19" t="n"/>
      <c r="M54" s="19" t="n"/>
      <c r="N54" s="43">
        <f>IF(COUNTA(I54:M54)&gt;0,AVERAGE(I54:M54),"")</f>
        <v/>
      </c>
      <c r="O54" s="18" t="n"/>
    </row>
    <row r="55">
      <c r="A55" s="41" t="n"/>
      <c r="B55" s="35">
        <f>IF(A55="","",YEAR(A55))</f>
        <v/>
      </c>
      <c r="C55" s="36">
        <f>IF(A55="","",MONTH(A55))</f>
        <v/>
      </c>
      <c r="D55" s="37">
        <f>IF(A55="","","Q"&amp;ROUNDUP(MONTH(A55)/3,0))</f>
        <v/>
      </c>
      <c r="E55" s="22" t="n"/>
      <c r="F55" s="22" t="n"/>
      <c r="G55" s="42" t="n"/>
      <c r="H55" s="42" t="n"/>
      <c r="I55" s="23" t="n"/>
      <c r="J55" s="23" t="n"/>
      <c r="K55" s="23" t="n"/>
      <c r="L55" s="23" t="n"/>
      <c r="M55" s="23" t="n"/>
      <c r="N55" s="43">
        <f>IF(COUNTA(I55:M55)&gt;0,AVERAGE(I55:M55),"")</f>
        <v/>
      </c>
      <c r="O55" s="22" t="n"/>
    </row>
    <row r="56">
      <c r="A56" s="34" t="n"/>
      <c r="B56" s="35">
        <f>IF(A56="","",YEAR(A56))</f>
        <v/>
      </c>
      <c r="C56" s="36">
        <f>IF(A56="","",MONTH(A56))</f>
        <v/>
      </c>
      <c r="D56" s="37">
        <f>IF(A56="","","Q"&amp;ROUNDUP(MONTH(A56)/3,0))</f>
        <v/>
      </c>
      <c r="E56" s="18" t="n"/>
      <c r="F56" s="18" t="n"/>
      <c r="G56" s="38" t="n"/>
      <c r="H56" s="38" t="n"/>
      <c r="I56" s="19" t="n"/>
      <c r="J56" s="19" t="n"/>
      <c r="K56" s="19" t="n"/>
      <c r="L56" s="19" t="n"/>
      <c r="M56" s="19" t="n"/>
      <c r="N56" s="43">
        <f>IF(COUNTA(I56:M56)&gt;0,AVERAGE(I56:M56),"")</f>
        <v/>
      </c>
      <c r="O56" s="18" t="n"/>
    </row>
    <row r="57">
      <c r="A57" s="41" t="n"/>
      <c r="B57" s="35">
        <f>IF(A57="","",YEAR(A57))</f>
        <v/>
      </c>
      <c r="C57" s="36">
        <f>IF(A57="","",MONTH(A57))</f>
        <v/>
      </c>
      <c r="D57" s="37">
        <f>IF(A57="","","Q"&amp;ROUNDUP(MONTH(A57)/3,0))</f>
        <v/>
      </c>
      <c r="E57" s="22" t="n"/>
      <c r="F57" s="22" t="n"/>
      <c r="G57" s="42" t="n"/>
      <c r="H57" s="42" t="n"/>
      <c r="I57" s="23" t="n"/>
      <c r="J57" s="23" t="n"/>
      <c r="K57" s="23" t="n"/>
      <c r="L57" s="23" t="n"/>
      <c r="M57" s="23" t="n"/>
      <c r="N57" s="43">
        <f>IF(COUNTA(I57:M57)&gt;0,AVERAGE(I57:M57),"")</f>
        <v/>
      </c>
      <c r="O57" s="22" t="n"/>
    </row>
    <row r="58">
      <c r="A58" s="34" t="n"/>
      <c r="B58" s="35">
        <f>IF(A58="","",YEAR(A58))</f>
        <v/>
      </c>
      <c r="C58" s="36">
        <f>IF(A58="","",MONTH(A58))</f>
        <v/>
      </c>
      <c r="D58" s="37">
        <f>IF(A58="","","Q"&amp;ROUNDUP(MONTH(A58)/3,0))</f>
        <v/>
      </c>
      <c r="E58" s="18" t="n"/>
      <c r="F58" s="18" t="n"/>
      <c r="G58" s="38" t="n"/>
      <c r="H58" s="38" t="n"/>
      <c r="I58" s="19" t="n"/>
      <c r="J58" s="19" t="n"/>
      <c r="K58" s="19" t="n"/>
      <c r="L58" s="19" t="n"/>
      <c r="M58" s="19" t="n"/>
      <c r="N58" s="43">
        <f>IF(COUNTA(I58:M58)&gt;0,AVERAGE(I58:M58),"")</f>
        <v/>
      </c>
      <c r="O58" s="18" t="n"/>
    </row>
    <row r="59">
      <c r="A59" s="41" t="n"/>
      <c r="B59" s="35">
        <f>IF(A59="","",YEAR(A59))</f>
        <v/>
      </c>
      <c r="C59" s="36">
        <f>IF(A59="","",MONTH(A59))</f>
        <v/>
      </c>
      <c r="D59" s="37">
        <f>IF(A59="","","Q"&amp;ROUNDUP(MONTH(A59)/3,0))</f>
        <v/>
      </c>
      <c r="E59" s="22" t="n"/>
      <c r="F59" s="22" t="n"/>
      <c r="G59" s="42" t="n"/>
      <c r="H59" s="42" t="n"/>
      <c r="I59" s="23" t="n"/>
      <c r="J59" s="23" t="n"/>
      <c r="K59" s="23" t="n"/>
      <c r="L59" s="23" t="n"/>
      <c r="M59" s="23" t="n"/>
      <c r="N59" s="43">
        <f>IF(COUNTA(I59:M59)&gt;0,AVERAGE(I59:M59),"")</f>
        <v/>
      </c>
      <c r="O59" s="22" t="n"/>
    </row>
    <row r="60">
      <c r="A60" s="34" t="n"/>
      <c r="B60" s="35">
        <f>IF(A60="","",YEAR(A60))</f>
        <v/>
      </c>
      <c r="C60" s="36">
        <f>IF(A60="","",MONTH(A60))</f>
        <v/>
      </c>
      <c r="D60" s="37">
        <f>IF(A60="","","Q"&amp;ROUNDUP(MONTH(A60)/3,0))</f>
        <v/>
      </c>
      <c r="E60" s="18" t="n"/>
      <c r="F60" s="18" t="n"/>
      <c r="G60" s="38" t="n"/>
      <c r="H60" s="38" t="n"/>
      <c r="I60" s="19" t="n"/>
      <c r="J60" s="19" t="n"/>
      <c r="K60" s="19" t="n"/>
      <c r="L60" s="19" t="n"/>
      <c r="M60" s="19" t="n"/>
      <c r="N60" s="43">
        <f>IF(COUNTA(I60:M60)&gt;0,AVERAGE(I60:M60),"")</f>
        <v/>
      </c>
      <c r="O60" s="18" t="n"/>
    </row>
    <row r="61">
      <c r="A61" s="41" t="n"/>
      <c r="B61" s="35">
        <f>IF(A61="","",YEAR(A61))</f>
        <v/>
      </c>
      <c r="C61" s="36">
        <f>IF(A61="","",MONTH(A61))</f>
        <v/>
      </c>
      <c r="D61" s="37">
        <f>IF(A61="","","Q"&amp;ROUNDUP(MONTH(A61)/3,0))</f>
        <v/>
      </c>
      <c r="E61" s="22" t="n"/>
      <c r="F61" s="22" t="n"/>
      <c r="G61" s="42" t="n"/>
      <c r="H61" s="42" t="n"/>
      <c r="I61" s="23" t="n"/>
      <c r="J61" s="23" t="n"/>
      <c r="K61" s="23" t="n"/>
      <c r="L61" s="23" t="n"/>
      <c r="M61" s="23" t="n"/>
      <c r="N61" s="43">
        <f>IF(COUNTA(I61:M61)&gt;0,AVERAGE(I61:M61),"")</f>
        <v/>
      </c>
      <c r="O61" s="22" t="n"/>
    </row>
    <row r="62">
      <c r="A62" s="34" t="n"/>
      <c r="B62" s="35">
        <f>IF(A62="","",YEAR(A62))</f>
        <v/>
      </c>
      <c r="C62" s="36">
        <f>IF(A62="","",MONTH(A62))</f>
        <v/>
      </c>
      <c r="D62" s="37">
        <f>IF(A62="","","Q"&amp;ROUNDUP(MONTH(A62)/3,0))</f>
        <v/>
      </c>
      <c r="E62" s="18" t="n"/>
      <c r="F62" s="18" t="n"/>
      <c r="G62" s="38" t="n"/>
      <c r="H62" s="38" t="n"/>
      <c r="I62" s="19" t="n"/>
      <c r="J62" s="19" t="n"/>
      <c r="K62" s="19" t="n"/>
      <c r="L62" s="19" t="n"/>
      <c r="M62" s="19" t="n"/>
      <c r="N62" s="43">
        <f>IF(COUNTA(I62:M62)&gt;0,AVERAGE(I62:M62),"")</f>
        <v/>
      </c>
      <c r="O62" s="18" t="n"/>
    </row>
    <row r="63">
      <c r="A63" s="41" t="n"/>
      <c r="B63" s="35">
        <f>IF(A63="","",YEAR(A63))</f>
        <v/>
      </c>
      <c r="C63" s="36">
        <f>IF(A63="","",MONTH(A63))</f>
        <v/>
      </c>
      <c r="D63" s="37">
        <f>IF(A63="","","Q"&amp;ROUNDUP(MONTH(A63)/3,0))</f>
        <v/>
      </c>
      <c r="E63" s="22" t="n"/>
      <c r="F63" s="22" t="n"/>
      <c r="G63" s="42" t="n"/>
      <c r="H63" s="42" t="n"/>
      <c r="I63" s="23" t="n"/>
      <c r="J63" s="23" t="n"/>
      <c r="K63" s="23" t="n"/>
      <c r="L63" s="23" t="n"/>
      <c r="M63" s="23" t="n"/>
      <c r="N63" s="43">
        <f>IF(COUNTA(I63:M63)&gt;0,AVERAGE(I63:M63),"")</f>
        <v/>
      </c>
      <c r="O63" s="22" t="n"/>
    </row>
    <row r="64">
      <c r="A64" s="34" t="n"/>
      <c r="B64" s="35">
        <f>IF(A64="","",YEAR(A64))</f>
        <v/>
      </c>
      <c r="C64" s="36">
        <f>IF(A64="","",MONTH(A64))</f>
        <v/>
      </c>
      <c r="D64" s="37">
        <f>IF(A64="","","Q"&amp;ROUNDUP(MONTH(A64)/3,0))</f>
        <v/>
      </c>
      <c r="E64" s="18" t="n"/>
      <c r="F64" s="18" t="n"/>
      <c r="G64" s="38" t="n"/>
      <c r="H64" s="38" t="n"/>
      <c r="I64" s="19" t="n"/>
      <c r="J64" s="19" t="n"/>
      <c r="K64" s="19" t="n"/>
      <c r="L64" s="19" t="n"/>
      <c r="M64" s="19" t="n"/>
      <c r="N64" s="43">
        <f>IF(COUNTA(I64:M64)&gt;0,AVERAGE(I64:M64),"")</f>
        <v/>
      </c>
      <c r="O64" s="18" t="n"/>
    </row>
    <row r="65">
      <c r="A65" s="41" t="n"/>
      <c r="B65" s="35">
        <f>IF(A65="","",YEAR(A65))</f>
        <v/>
      </c>
      <c r="C65" s="36">
        <f>IF(A65="","",MONTH(A65))</f>
        <v/>
      </c>
      <c r="D65" s="37">
        <f>IF(A65="","","Q"&amp;ROUNDUP(MONTH(A65)/3,0))</f>
        <v/>
      </c>
      <c r="E65" s="22" t="n"/>
      <c r="F65" s="22" t="n"/>
      <c r="G65" s="42" t="n"/>
      <c r="H65" s="42" t="n"/>
      <c r="I65" s="23" t="n"/>
      <c r="J65" s="23" t="n"/>
      <c r="K65" s="23" t="n"/>
      <c r="L65" s="23" t="n"/>
      <c r="M65" s="23" t="n"/>
      <c r="N65" s="43">
        <f>IF(COUNTA(I65:M65)&gt;0,AVERAGE(I65:M65),"")</f>
        <v/>
      </c>
      <c r="O65" s="22" t="n"/>
    </row>
    <row r="66">
      <c r="A66" s="34" t="n"/>
      <c r="B66" s="35">
        <f>IF(A66="","",YEAR(A66))</f>
        <v/>
      </c>
      <c r="C66" s="36">
        <f>IF(A66="","",MONTH(A66))</f>
        <v/>
      </c>
      <c r="D66" s="37">
        <f>IF(A66="","","Q"&amp;ROUNDUP(MONTH(A66)/3,0))</f>
        <v/>
      </c>
      <c r="E66" s="18" t="n"/>
      <c r="F66" s="18" t="n"/>
      <c r="G66" s="38" t="n"/>
      <c r="H66" s="38" t="n"/>
      <c r="I66" s="19" t="n"/>
      <c r="J66" s="19" t="n"/>
      <c r="K66" s="19" t="n"/>
      <c r="L66" s="19" t="n"/>
      <c r="M66" s="19" t="n"/>
      <c r="N66" s="43">
        <f>IF(COUNTA(I66:M66)&gt;0,AVERAGE(I66:M66),"")</f>
        <v/>
      </c>
      <c r="O66" s="18" t="n"/>
    </row>
    <row r="67">
      <c r="A67" s="41" t="n"/>
      <c r="B67" s="35">
        <f>IF(A67="","",YEAR(A67))</f>
        <v/>
      </c>
      <c r="C67" s="36">
        <f>IF(A67="","",MONTH(A67))</f>
        <v/>
      </c>
      <c r="D67" s="37">
        <f>IF(A67="","","Q"&amp;ROUNDUP(MONTH(A67)/3,0))</f>
        <v/>
      </c>
      <c r="E67" s="22" t="n"/>
      <c r="F67" s="22" t="n"/>
      <c r="G67" s="42" t="n"/>
      <c r="H67" s="42" t="n"/>
      <c r="I67" s="23" t="n"/>
      <c r="J67" s="23" t="n"/>
      <c r="K67" s="23" t="n"/>
      <c r="L67" s="23" t="n"/>
      <c r="M67" s="23" t="n"/>
      <c r="N67" s="43">
        <f>IF(COUNTA(I67:M67)&gt;0,AVERAGE(I67:M67),"")</f>
        <v/>
      </c>
      <c r="O67" s="22" t="n"/>
    </row>
    <row r="68">
      <c r="A68" s="34" t="n"/>
      <c r="B68" s="35">
        <f>IF(A68="","",YEAR(A68))</f>
        <v/>
      </c>
      <c r="C68" s="36">
        <f>IF(A68="","",MONTH(A68))</f>
        <v/>
      </c>
      <c r="D68" s="37">
        <f>IF(A68="","","Q"&amp;ROUNDUP(MONTH(A68)/3,0))</f>
        <v/>
      </c>
      <c r="E68" s="18" t="n"/>
      <c r="F68" s="18" t="n"/>
      <c r="G68" s="38" t="n"/>
      <c r="H68" s="38" t="n"/>
      <c r="I68" s="19" t="n"/>
      <c r="J68" s="19" t="n"/>
      <c r="K68" s="19" t="n"/>
      <c r="L68" s="19" t="n"/>
      <c r="M68" s="19" t="n"/>
      <c r="N68" s="43">
        <f>IF(COUNTA(I68:M68)&gt;0,AVERAGE(I68:M68),"")</f>
        <v/>
      </c>
      <c r="O68" s="18" t="n"/>
    </row>
    <row r="69">
      <c r="A69" s="41" t="n"/>
      <c r="B69" s="35">
        <f>IF(A69="","",YEAR(A69))</f>
        <v/>
      </c>
      <c r="C69" s="36">
        <f>IF(A69="","",MONTH(A69))</f>
        <v/>
      </c>
      <c r="D69" s="37">
        <f>IF(A69="","","Q"&amp;ROUNDUP(MONTH(A69)/3,0))</f>
        <v/>
      </c>
      <c r="E69" s="22" t="n"/>
      <c r="F69" s="22" t="n"/>
      <c r="G69" s="42" t="n"/>
      <c r="H69" s="42" t="n"/>
      <c r="I69" s="23" t="n"/>
      <c r="J69" s="23" t="n"/>
      <c r="K69" s="23" t="n"/>
      <c r="L69" s="23" t="n"/>
      <c r="M69" s="23" t="n"/>
      <c r="N69" s="43">
        <f>IF(COUNTA(I69:M69)&gt;0,AVERAGE(I69:M69),"")</f>
        <v/>
      </c>
      <c r="O69" s="22" t="n"/>
    </row>
    <row r="70">
      <c r="A70" s="34" t="n"/>
      <c r="B70" s="35">
        <f>IF(A70="","",YEAR(A70))</f>
        <v/>
      </c>
      <c r="C70" s="36">
        <f>IF(A70="","",MONTH(A70))</f>
        <v/>
      </c>
      <c r="D70" s="37">
        <f>IF(A70="","","Q"&amp;ROUNDUP(MONTH(A70)/3,0))</f>
        <v/>
      </c>
      <c r="E70" s="18" t="n"/>
      <c r="F70" s="18" t="n"/>
      <c r="G70" s="38" t="n"/>
      <c r="H70" s="38" t="n"/>
      <c r="I70" s="19" t="n"/>
      <c r="J70" s="19" t="n"/>
      <c r="K70" s="19" t="n"/>
      <c r="L70" s="19" t="n"/>
      <c r="M70" s="19" t="n"/>
      <c r="N70" s="43">
        <f>IF(COUNTA(I70:M70)&gt;0,AVERAGE(I70:M70),"")</f>
        <v/>
      </c>
      <c r="O70" s="18" t="n"/>
    </row>
    <row r="71">
      <c r="A71" s="41" t="n"/>
      <c r="B71" s="35">
        <f>IF(A71="","",YEAR(A71))</f>
        <v/>
      </c>
      <c r="C71" s="36">
        <f>IF(A71="","",MONTH(A71))</f>
        <v/>
      </c>
      <c r="D71" s="37">
        <f>IF(A71="","","Q"&amp;ROUNDUP(MONTH(A71)/3,0))</f>
        <v/>
      </c>
      <c r="E71" s="22" t="n"/>
      <c r="F71" s="22" t="n"/>
      <c r="G71" s="42" t="n"/>
      <c r="H71" s="42" t="n"/>
      <c r="I71" s="23" t="n"/>
      <c r="J71" s="23" t="n"/>
      <c r="K71" s="23" t="n"/>
      <c r="L71" s="23" t="n"/>
      <c r="M71" s="23" t="n"/>
      <c r="N71" s="43">
        <f>IF(COUNTA(I71:M71)&gt;0,AVERAGE(I71:M71),"")</f>
        <v/>
      </c>
      <c r="O71" s="22" t="n"/>
    </row>
    <row r="72">
      <c r="A72" s="34" t="n"/>
      <c r="B72" s="35">
        <f>IF(A72="","",YEAR(A72))</f>
        <v/>
      </c>
      <c r="C72" s="36">
        <f>IF(A72="","",MONTH(A72))</f>
        <v/>
      </c>
      <c r="D72" s="37">
        <f>IF(A72="","","Q"&amp;ROUNDUP(MONTH(A72)/3,0))</f>
        <v/>
      </c>
      <c r="E72" s="18" t="n"/>
      <c r="F72" s="18" t="n"/>
      <c r="G72" s="38" t="n"/>
      <c r="H72" s="38" t="n"/>
      <c r="I72" s="19" t="n"/>
      <c r="J72" s="19" t="n"/>
      <c r="K72" s="19" t="n"/>
      <c r="L72" s="19" t="n"/>
      <c r="M72" s="19" t="n"/>
      <c r="N72" s="43">
        <f>IF(COUNTA(I72:M72)&gt;0,AVERAGE(I72:M72),"")</f>
        <v/>
      </c>
      <c r="O72" s="18" t="n"/>
    </row>
    <row r="73">
      <c r="A73" s="41" t="n"/>
      <c r="B73" s="35">
        <f>IF(A73="","",YEAR(A73))</f>
        <v/>
      </c>
      <c r="C73" s="36">
        <f>IF(A73="","",MONTH(A73))</f>
        <v/>
      </c>
      <c r="D73" s="37">
        <f>IF(A73="","","Q"&amp;ROUNDUP(MONTH(A73)/3,0))</f>
        <v/>
      </c>
      <c r="E73" s="22" t="n"/>
      <c r="F73" s="22" t="n"/>
      <c r="G73" s="42" t="n"/>
      <c r="H73" s="42" t="n"/>
      <c r="I73" s="23" t="n"/>
      <c r="J73" s="23" t="n"/>
      <c r="K73" s="23" t="n"/>
      <c r="L73" s="23" t="n"/>
      <c r="M73" s="23" t="n"/>
      <c r="N73" s="43">
        <f>IF(COUNTA(I73:M73)&gt;0,AVERAGE(I73:M73),"")</f>
        <v/>
      </c>
      <c r="O73" s="22" t="n"/>
    </row>
    <row r="74">
      <c r="A74" s="34" t="n"/>
      <c r="B74" s="35">
        <f>IF(A74="","",YEAR(A74))</f>
        <v/>
      </c>
      <c r="C74" s="36">
        <f>IF(A74="","",MONTH(A74))</f>
        <v/>
      </c>
      <c r="D74" s="37">
        <f>IF(A74="","","Q"&amp;ROUNDUP(MONTH(A74)/3,0))</f>
        <v/>
      </c>
      <c r="E74" s="18" t="n"/>
      <c r="F74" s="18" t="n"/>
      <c r="G74" s="38" t="n"/>
      <c r="H74" s="38" t="n"/>
      <c r="I74" s="19" t="n"/>
      <c r="J74" s="19" t="n"/>
      <c r="K74" s="19" t="n"/>
      <c r="L74" s="19" t="n"/>
      <c r="M74" s="19" t="n"/>
      <c r="N74" s="43">
        <f>IF(COUNTA(I74:M74)&gt;0,AVERAGE(I74:M74),"")</f>
        <v/>
      </c>
      <c r="O74" s="18" t="n"/>
    </row>
    <row r="75">
      <c r="A75" s="41" t="n"/>
      <c r="B75" s="35">
        <f>IF(A75="","",YEAR(A75))</f>
        <v/>
      </c>
      <c r="C75" s="36">
        <f>IF(A75="","",MONTH(A75))</f>
        <v/>
      </c>
      <c r="D75" s="37">
        <f>IF(A75="","","Q"&amp;ROUNDUP(MONTH(A75)/3,0))</f>
        <v/>
      </c>
      <c r="E75" s="22" t="n"/>
      <c r="F75" s="22" t="n"/>
      <c r="G75" s="42" t="n"/>
      <c r="H75" s="42" t="n"/>
      <c r="I75" s="23" t="n"/>
      <c r="J75" s="23" t="n"/>
      <c r="K75" s="23" t="n"/>
      <c r="L75" s="23" t="n"/>
      <c r="M75" s="23" t="n"/>
      <c r="N75" s="43">
        <f>IF(COUNTA(I75:M75)&gt;0,AVERAGE(I75:M75),"")</f>
        <v/>
      </c>
      <c r="O75" s="22" t="n"/>
    </row>
    <row r="76">
      <c r="A76" s="34" t="n"/>
      <c r="B76" s="35">
        <f>IF(A76="","",YEAR(A76))</f>
        <v/>
      </c>
      <c r="C76" s="36">
        <f>IF(A76="","",MONTH(A76))</f>
        <v/>
      </c>
      <c r="D76" s="37">
        <f>IF(A76="","","Q"&amp;ROUNDUP(MONTH(A76)/3,0))</f>
        <v/>
      </c>
      <c r="E76" s="18" t="n"/>
      <c r="F76" s="18" t="n"/>
      <c r="G76" s="38" t="n"/>
      <c r="H76" s="38" t="n"/>
      <c r="I76" s="19" t="n"/>
      <c r="J76" s="19" t="n"/>
      <c r="K76" s="19" t="n"/>
      <c r="L76" s="19" t="n"/>
      <c r="M76" s="19" t="n"/>
      <c r="N76" s="43">
        <f>IF(COUNTA(I76:M76)&gt;0,AVERAGE(I76:M76),"")</f>
        <v/>
      </c>
      <c r="O76" s="18" t="n"/>
    </row>
    <row r="77">
      <c r="A77" s="41" t="n"/>
      <c r="B77" s="35">
        <f>IF(A77="","",YEAR(A77))</f>
        <v/>
      </c>
      <c r="C77" s="36">
        <f>IF(A77="","",MONTH(A77))</f>
        <v/>
      </c>
      <c r="D77" s="37">
        <f>IF(A77="","","Q"&amp;ROUNDUP(MONTH(A77)/3,0))</f>
        <v/>
      </c>
      <c r="E77" s="22" t="n"/>
      <c r="F77" s="22" t="n"/>
      <c r="G77" s="42" t="n"/>
      <c r="H77" s="42" t="n"/>
      <c r="I77" s="23" t="n"/>
      <c r="J77" s="23" t="n"/>
      <c r="K77" s="23" t="n"/>
      <c r="L77" s="23" t="n"/>
      <c r="M77" s="23" t="n"/>
      <c r="N77" s="43">
        <f>IF(COUNTA(I77:M77)&gt;0,AVERAGE(I77:M77),"")</f>
        <v/>
      </c>
      <c r="O77" s="22" t="n"/>
    </row>
    <row r="78">
      <c r="A78" s="34" t="n"/>
      <c r="B78" s="35">
        <f>IF(A78="","",YEAR(A78))</f>
        <v/>
      </c>
      <c r="C78" s="36">
        <f>IF(A78="","",MONTH(A78))</f>
        <v/>
      </c>
      <c r="D78" s="37">
        <f>IF(A78="","","Q"&amp;ROUNDUP(MONTH(A78)/3,0))</f>
        <v/>
      </c>
      <c r="E78" s="18" t="n"/>
      <c r="F78" s="18" t="n"/>
      <c r="G78" s="38" t="n"/>
      <c r="H78" s="38" t="n"/>
      <c r="I78" s="19" t="n"/>
      <c r="J78" s="19" t="n"/>
      <c r="K78" s="19" t="n"/>
      <c r="L78" s="19" t="n"/>
      <c r="M78" s="19" t="n"/>
      <c r="N78" s="43">
        <f>IF(COUNTA(I78:M78)&gt;0,AVERAGE(I78:M78),"")</f>
        <v/>
      </c>
      <c r="O78" s="18" t="n"/>
    </row>
    <row r="79">
      <c r="A79" s="41" t="n"/>
      <c r="B79" s="35">
        <f>IF(A79="","",YEAR(A79))</f>
        <v/>
      </c>
      <c r="C79" s="36">
        <f>IF(A79="","",MONTH(A79))</f>
        <v/>
      </c>
      <c r="D79" s="37">
        <f>IF(A79="","","Q"&amp;ROUNDUP(MONTH(A79)/3,0))</f>
        <v/>
      </c>
      <c r="E79" s="22" t="n"/>
      <c r="F79" s="22" t="n"/>
      <c r="G79" s="42" t="n"/>
      <c r="H79" s="42" t="n"/>
      <c r="I79" s="23" t="n"/>
      <c r="J79" s="23" t="n"/>
      <c r="K79" s="23" t="n"/>
      <c r="L79" s="23" t="n"/>
      <c r="M79" s="23" t="n"/>
      <c r="N79" s="43">
        <f>IF(COUNTA(I79:M79)&gt;0,AVERAGE(I79:M79),"")</f>
        <v/>
      </c>
      <c r="O79" s="22" t="n"/>
    </row>
    <row r="80">
      <c r="A80" s="34" t="n"/>
      <c r="B80" s="35">
        <f>IF(A80="","",YEAR(A80))</f>
        <v/>
      </c>
      <c r="C80" s="36">
        <f>IF(A80="","",MONTH(A80))</f>
        <v/>
      </c>
      <c r="D80" s="37">
        <f>IF(A80="","","Q"&amp;ROUNDUP(MONTH(A80)/3,0))</f>
        <v/>
      </c>
      <c r="E80" s="18" t="n"/>
      <c r="F80" s="18" t="n"/>
      <c r="G80" s="38" t="n"/>
      <c r="H80" s="38" t="n"/>
      <c r="I80" s="19" t="n"/>
      <c r="J80" s="19" t="n"/>
      <c r="K80" s="19" t="n"/>
      <c r="L80" s="19" t="n"/>
      <c r="M80" s="19" t="n"/>
      <c r="N80" s="43">
        <f>IF(COUNTA(I80:M80)&gt;0,AVERAGE(I80:M80),"")</f>
        <v/>
      </c>
      <c r="O80" s="18" t="n"/>
    </row>
    <row r="81">
      <c r="A81" s="41" t="n"/>
      <c r="B81" s="35">
        <f>IF(A81="","",YEAR(A81))</f>
        <v/>
      </c>
      <c r="C81" s="36">
        <f>IF(A81="","",MONTH(A81))</f>
        <v/>
      </c>
      <c r="D81" s="37">
        <f>IF(A81="","","Q"&amp;ROUNDUP(MONTH(A81)/3,0))</f>
        <v/>
      </c>
      <c r="E81" s="22" t="n"/>
      <c r="F81" s="22" t="n"/>
      <c r="G81" s="42" t="n"/>
      <c r="H81" s="42" t="n"/>
      <c r="I81" s="23" t="n"/>
      <c r="J81" s="23" t="n"/>
      <c r="K81" s="23" t="n"/>
      <c r="L81" s="23" t="n"/>
      <c r="M81" s="23" t="n"/>
      <c r="N81" s="43">
        <f>IF(COUNTA(I81:M81)&gt;0,AVERAGE(I81:M81),"")</f>
        <v/>
      </c>
      <c r="O81" s="22" t="n"/>
    </row>
    <row r="82">
      <c r="A82" s="34" t="n"/>
      <c r="B82" s="35">
        <f>IF(A82="","",YEAR(A82))</f>
        <v/>
      </c>
      <c r="C82" s="36">
        <f>IF(A82="","",MONTH(A82))</f>
        <v/>
      </c>
      <c r="D82" s="37">
        <f>IF(A82="","","Q"&amp;ROUNDUP(MONTH(A82)/3,0))</f>
        <v/>
      </c>
      <c r="E82" s="18" t="n"/>
      <c r="F82" s="18" t="n"/>
      <c r="G82" s="38" t="n"/>
      <c r="H82" s="38" t="n"/>
      <c r="I82" s="19" t="n"/>
      <c r="J82" s="19" t="n"/>
      <c r="K82" s="19" t="n"/>
      <c r="L82" s="19" t="n"/>
      <c r="M82" s="19" t="n"/>
      <c r="N82" s="43">
        <f>IF(COUNTA(I82:M82)&gt;0,AVERAGE(I82:M82),"")</f>
        <v/>
      </c>
      <c r="O82" s="18" t="n"/>
    </row>
    <row r="83">
      <c r="A83" s="41" t="n"/>
      <c r="B83" s="35">
        <f>IF(A83="","",YEAR(A83))</f>
        <v/>
      </c>
      <c r="C83" s="36">
        <f>IF(A83="","",MONTH(A83))</f>
        <v/>
      </c>
      <c r="D83" s="37">
        <f>IF(A83="","","Q"&amp;ROUNDUP(MONTH(A83)/3,0))</f>
        <v/>
      </c>
      <c r="E83" s="22" t="n"/>
      <c r="F83" s="22" t="n"/>
      <c r="G83" s="42" t="n"/>
      <c r="H83" s="42" t="n"/>
      <c r="I83" s="23" t="n"/>
      <c r="J83" s="23" t="n"/>
      <c r="K83" s="23" t="n"/>
      <c r="L83" s="23" t="n"/>
      <c r="M83" s="23" t="n"/>
      <c r="N83" s="43">
        <f>IF(COUNTA(I83:M83)&gt;0,AVERAGE(I83:M83),"")</f>
        <v/>
      </c>
      <c r="O83" s="22" t="n"/>
    </row>
    <row r="84">
      <c r="A84" s="34" t="n"/>
      <c r="B84" s="35">
        <f>IF(A84="","",YEAR(A84))</f>
        <v/>
      </c>
      <c r="C84" s="36">
        <f>IF(A84="","",MONTH(A84))</f>
        <v/>
      </c>
      <c r="D84" s="37">
        <f>IF(A84="","","Q"&amp;ROUNDUP(MONTH(A84)/3,0))</f>
        <v/>
      </c>
      <c r="E84" s="18" t="n"/>
      <c r="F84" s="18" t="n"/>
      <c r="G84" s="38" t="n"/>
      <c r="H84" s="38" t="n"/>
      <c r="I84" s="19" t="n"/>
      <c r="J84" s="19" t="n"/>
      <c r="K84" s="19" t="n"/>
      <c r="L84" s="19" t="n"/>
      <c r="M84" s="19" t="n"/>
      <c r="N84" s="43">
        <f>IF(COUNTA(I84:M84)&gt;0,AVERAGE(I84:M84),"")</f>
        <v/>
      </c>
      <c r="O84" s="18" t="n"/>
    </row>
    <row r="85">
      <c r="A85" s="41" t="n"/>
      <c r="B85" s="35">
        <f>IF(A85="","",YEAR(A85))</f>
        <v/>
      </c>
      <c r="C85" s="36">
        <f>IF(A85="","",MONTH(A85))</f>
        <v/>
      </c>
      <c r="D85" s="37">
        <f>IF(A85="","","Q"&amp;ROUNDUP(MONTH(A85)/3,0))</f>
        <v/>
      </c>
      <c r="E85" s="22" t="n"/>
      <c r="F85" s="22" t="n"/>
      <c r="G85" s="42" t="n"/>
      <c r="H85" s="42" t="n"/>
      <c r="I85" s="23" t="n"/>
      <c r="J85" s="23" t="n"/>
      <c r="K85" s="23" t="n"/>
      <c r="L85" s="23" t="n"/>
      <c r="M85" s="23" t="n"/>
      <c r="N85" s="43">
        <f>IF(COUNTA(I85:M85)&gt;0,AVERAGE(I85:M85),"")</f>
        <v/>
      </c>
      <c r="O85" s="22" t="n"/>
    </row>
    <row r="86">
      <c r="A86" s="34" t="n"/>
      <c r="B86" s="35">
        <f>IF(A86="","",YEAR(A86))</f>
        <v/>
      </c>
      <c r="C86" s="36">
        <f>IF(A86="","",MONTH(A86))</f>
        <v/>
      </c>
      <c r="D86" s="37">
        <f>IF(A86="","","Q"&amp;ROUNDUP(MONTH(A86)/3,0))</f>
        <v/>
      </c>
      <c r="E86" s="18" t="n"/>
      <c r="F86" s="18" t="n"/>
      <c r="G86" s="38" t="n"/>
      <c r="H86" s="38" t="n"/>
      <c r="I86" s="19" t="n"/>
      <c r="J86" s="19" t="n"/>
      <c r="K86" s="19" t="n"/>
      <c r="L86" s="19" t="n"/>
      <c r="M86" s="19" t="n"/>
      <c r="N86" s="43">
        <f>IF(COUNTA(I86:M86)&gt;0,AVERAGE(I86:M86),"")</f>
        <v/>
      </c>
      <c r="O86" s="18" t="n"/>
    </row>
    <row r="87">
      <c r="A87" s="41" t="n"/>
      <c r="B87" s="35">
        <f>IF(A87="","",YEAR(A87))</f>
        <v/>
      </c>
      <c r="C87" s="36">
        <f>IF(A87="","",MONTH(A87))</f>
        <v/>
      </c>
      <c r="D87" s="37">
        <f>IF(A87="","","Q"&amp;ROUNDUP(MONTH(A87)/3,0))</f>
        <v/>
      </c>
      <c r="E87" s="22" t="n"/>
      <c r="F87" s="22" t="n"/>
      <c r="G87" s="42" t="n"/>
      <c r="H87" s="42" t="n"/>
      <c r="I87" s="23" t="n"/>
      <c r="J87" s="23" t="n"/>
      <c r="K87" s="23" t="n"/>
      <c r="L87" s="23" t="n"/>
      <c r="M87" s="23" t="n"/>
      <c r="N87" s="43">
        <f>IF(COUNTA(I87:M87)&gt;0,AVERAGE(I87:M87),"")</f>
        <v/>
      </c>
      <c r="O87" s="22" t="n"/>
    </row>
    <row r="88">
      <c r="A88" s="34" t="n"/>
      <c r="B88" s="35">
        <f>IF(A88="","",YEAR(A88))</f>
        <v/>
      </c>
      <c r="C88" s="36">
        <f>IF(A88="","",MONTH(A88))</f>
        <v/>
      </c>
      <c r="D88" s="37">
        <f>IF(A88="","","Q"&amp;ROUNDUP(MONTH(A88)/3,0))</f>
        <v/>
      </c>
      <c r="E88" s="18" t="n"/>
      <c r="F88" s="18" t="n"/>
      <c r="G88" s="38" t="n"/>
      <c r="H88" s="38" t="n"/>
      <c r="I88" s="19" t="n"/>
      <c r="J88" s="19" t="n"/>
      <c r="K88" s="19" t="n"/>
      <c r="L88" s="19" t="n"/>
      <c r="M88" s="19" t="n"/>
      <c r="N88" s="43">
        <f>IF(COUNTA(I88:M88)&gt;0,AVERAGE(I88:M88),"")</f>
        <v/>
      </c>
      <c r="O88" s="18" t="n"/>
    </row>
    <row r="89">
      <c r="A89" s="41" t="n"/>
      <c r="B89" s="35">
        <f>IF(A89="","",YEAR(A89))</f>
        <v/>
      </c>
      <c r="C89" s="36">
        <f>IF(A89="","",MONTH(A89))</f>
        <v/>
      </c>
      <c r="D89" s="37">
        <f>IF(A89="","","Q"&amp;ROUNDUP(MONTH(A89)/3,0))</f>
        <v/>
      </c>
      <c r="E89" s="22" t="n"/>
      <c r="F89" s="22" t="n"/>
      <c r="G89" s="42" t="n"/>
      <c r="H89" s="42" t="n"/>
      <c r="I89" s="23" t="n"/>
      <c r="J89" s="23" t="n"/>
      <c r="K89" s="23" t="n"/>
      <c r="L89" s="23" t="n"/>
      <c r="M89" s="23" t="n"/>
      <c r="N89" s="43">
        <f>IF(COUNTA(I89:M89)&gt;0,AVERAGE(I89:M89),"")</f>
        <v/>
      </c>
      <c r="O89" s="22" t="n"/>
    </row>
    <row r="90">
      <c r="A90" s="34" t="n"/>
      <c r="B90" s="35">
        <f>IF(A90="","",YEAR(A90))</f>
        <v/>
      </c>
      <c r="C90" s="36">
        <f>IF(A90="","",MONTH(A90))</f>
        <v/>
      </c>
      <c r="D90" s="37">
        <f>IF(A90="","","Q"&amp;ROUNDUP(MONTH(A90)/3,0))</f>
        <v/>
      </c>
      <c r="E90" s="18" t="n"/>
      <c r="F90" s="18" t="n"/>
      <c r="G90" s="38" t="n"/>
      <c r="H90" s="38" t="n"/>
      <c r="I90" s="19" t="n"/>
      <c r="J90" s="19" t="n"/>
      <c r="K90" s="19" t="n"/>
      <c r="L90" s="19" t="n"/>
      <c r="M90" s="19" t="n"/>
      <c r="N90" s="43">
        <f>IF(COUNTA(I90:M90)&gt;0,AVERAGE(I90:M90),"")</f>
        <v/>
      </c>
      <c r="O90" s="18" t="n"/>
    </row>
    <row r="91">
      <c r="A91" s="41" t="n"/>
      <c r="B91" s="35">
        <f>IF(A91="","",YEAR(A91))</f>
        <v/>
      </c>
      <c r="C91" s="36">
        <f>IF(A91="","",MONTH(A91))</f>
        <v/>
      </c>
      <c r="D91" s="37">
        <f>IF(A91="","","Q"&amp;ROUNDUP(MONTH(A91)/3,0))</f>
        <v/>
      </c>
      <c r="E91" s="22" t="n"/>
      <c r="F91" s="22" t="n"/>
      <c r="G91" s="42" t="n"/>
      <c r="H91" s="42" t="n"/>
      <c r="I91" s="23" t="n"/>
      <c r="J91" s="23" t="n"/>
      <c r="K91" s="23" t="n"/>
      <c r="L91" s="23" t="n"/>
      <c r="M91" s="23" t="n"/>
      <c r="N91" s="43">
        <f>IF(COUNTA(I91:M91)&gt;0,AVERAGE(I91:M91),"")</f>
        <v/>
      </c>
      <c r="O91" s="22" t="n"/>
    </row>
    <row r="92">
      <c r="A92" s="34" t="n"/>
      <c r="B92" s="35">
        <f>IF(A92="","",YEAR(A92))</f>
        <v/>
      </c>
      <c r="C92" s="36">
        <f>IF(A92="","",MONTH(A92))</f>
        <v/>
      </c>
      <c r="D92" s="37">
        <f>IF(A92="","","Q"&amp;ROUNDUP(MONTH(A92)/3,0))</f>
        <v/>
      </c>
      <c r="E92" s="18" t="n"/>
      <c r="F92" s="18" t="n"/>
      <c r="G92" s="38" t="n"/>
      <c r="H92" s="38" t="n"/>
      <c r="I92" s="19" t="n"/>
      <c r="J92" s="19" t="n"/>
      <c r="K92" s="19" t="n"/>
      <c r="L92" s="19" t="n"/>
      <c r="M92" s="19" t="n"/>
      <c r="N92" s="43">
        <f>IF(COUNTA(I92:M92)&gt;0,AVERAGE(I92:M92),"")</f>
        <v/>
      </c>
      <c r="O92" s="18" t="n"/>
    </row>
    <row r="93">
      <c r="A93" s="41" t="n"/>
      <c r="B93" s="35">
        <f>IF(A93="","",YEAR(A93))</f>
        <v/>
      </c>
      <c r="C93" s="36">
        <f>IF(A93="","",MONTH(A93))</f>
        <v/>
      </c>
      <c r="D93" s="37">
        <f>IF(A93="","","Q"&amp;ROUNDUP(MONTH(A93)/3,0))</f>
        <v/>
      </c>
      <c r="E93" s="22" t="n"/>
      <c r="F93" s="22" t="n"/>
      <c r="G93" s="42" t="n"/>
      <c r="H93" s="42" t="n"/>
      <c r="I93" s="23" t="n"/>
      <c r="J93" s="23" t="n"/>
      <c r="K93" s="23" t="n"/>
      <c r="L93" s="23" t="n"/>
      <c r="M93" s="23" t="n"/>
      <c r="N93" s="43">
        <f>IF(COUNTA(I93:M93)&gt;0,AVERAGE(I93:M93),"")</f>
        <v/>
      </c>
      <c r="O93" s="22" t="n"/>
    </row>
    <row r="94">
      <c r="A94" s="34" t="n"/>
      <c r="B94" s="35">
        <f>IF(A94="","",YEAR(A94))</f>
        <v/>
      </c>
      <c r="C94" s="36">
        <f>IF(A94="","",MONTH(A94))</f>
        <v/>
      </c>
      <c r="D94" s="37">
        <f>IF(A94="","","Q"&amp;ROUNDUP(MONTH(A94)/3,0))</f>
        <v/>
      </c>
      <c r="E94" s="18" t="n"/>
      <c r="F94" s="18" t="n"/>
      <c r="G94" s="38" t="n"/>
      <c r="H94" s="38" t="n"/>
      <c r="I94" s="19" t="n"/>
      <c r="J94" s="19" t="n"/>
      <c r="K94" s="19" t="n"/>
      <c r="L94" s="19" t="n"/>
      <c r="M94" s="19" t="n"/>
      <c r="N94" s="43">
        <f>IF(COUNTA(I94:M94)&gt;0,AVERAGE(I94:M94),"")</f>
        <v/>
      </c>
      <c r="O94" s="18" t="n"/>
    </row>
    <row r="95">
      <c r="A95" s="41" t="n"/>
      <c r="B95" s="35">
        <f>IF(A95="","",YEAR(A95))</f>
        <v/>
      </c>
      <c r="C95" s="36">
        <f>IF(A95="","",MONTH(A95))</f>
        <v/>
      </c>
      <c r="D95" s="37">
        <f>IF(A95="","","Q"&amp;ROUNDUP(MONTH(A95)/3,0))</f>
        <v/>
      </c>
      <c r="E95" s="22" t="n"/>
      <c r="F95" s="22" t="n"/>
      <c r="G95" s="42" t="n"/>
      <c r="H95" s="42" t="n"/>
      <c r="I95" s="23" t="n"/>
      <c r="J95" s="23" t="n"/>
      <c r="K95" s="23" t="n"/>
      <c r="L95" s="23" t="n"/>
      <c r="M95" s="23" t="n"/>
      <c r="N95" s="43">
        <f>IF(COUNTA(I95:M95)&gt;0,AVERAGE(I95:M95),"")</f>
        <v/>
      </c>
      <c r="O95" s="22" t="n"/>
    </row>
    <row r="96">
      <c r="A96" s="34" t="n"/>
      <c r="B96" s="35">
        <f>IF(A96="","",YEAR(A96))</f>
        <v/>
      </c>
      <c r="C96" s="36">
        <f>IF(A96="","",MONTH(A96))</f>
        <v/>
      </c>
      <c r="D96" s="37">
        <f>IF(A96="","","Q"&amp;ROUNDUP(MONTH(A96)/3,0))</f>
        <v/>
      </c>
      <c r="E96" s="18" t="n"/>
      <c r="F96" s="18" t="n"/>
      <c r="G96" s="38" t="n"/>
      <c r="H96" s="38" t="n"/>
      <c r="I96" s="19" t="n"/>
      <c r="J96" s="19" t="n"/>
      <c r="K96" s="19" t="n"/>
      <c r="L96" s="19" t="n"/>
      <c r="M96" s="19" t="n"/>
      <c r="N96" s="43">
        <f>IF(COUNTA(I96:M96)&gt;0,AVERAGE(I96:M96),"")</f>
        <v/>
      </c>
      <c r="O96" s="18" t="n"/>
    </row>
    <row r="97">
      <c r="A97" s="41" t="n"/>
      <c r="B97" s="35">
        <f>IF(A97="","",YEAR(A97))</f>
        <v/>
      </c>
      <c r="C97" s="36">
        <f>IF(A97="","",MONTH(A97))</f>
        <v/>
      </c>
      <c r="D97" s="37">
        <f>IF(A97="","","Q"&amp;ROUNDUP(MONTH(A97)/3,0))</f>
        <v/>
      </c>
      <c r="E97" s="22" t="n"/>
      <c r="F97" s="22" t="n"/>
      <c r="G97" s="42" t="n"/>
      <c r="H97" s="42" t="n"/>
      <c r="I97" s="23" t="n"/>
      <c r="J97" s="23" t="n"/>
      <c r="K97" s="23" t="n"/>
      <c r="L97" s="23" t="n"/>
      <c r="M97" s="23" t="n"/>
      <c r="N97" s="43">
        <f>IF(COUNTA(I97:M97)&gt;0,AVERAGE(I97:M97),"")</f>
        <v/>
      </c>
      <c r="O97" s="22" t="n"/>
    </row>
    <row r="98">
      <c r="A98" s="34" t="n"/>
      <c r="B98" s="35">
        <f>IF(A98="","",YEAR(A98))</f>
        <v/>
      </c>
      <c r="C98" s="36">
        <f>IF(A98="","",MONTH(A98))</f>
        <v/>
      </c>
      <c r="D98" s="37">
        <f>IF(A98="","","Q"&amp;ROUNDUP(MONTH(A98)/3,0))</f>
        <v/>
      </c>
      <c r="E98" s="18" t="n"/>
      <c r="F98" s="18" t="n"/>
      <c r="G98" s="38" t="n"/>
      <c r="H98" s="38" t="n"/>
      <c r="I98" s="19" t="n"/>
      <c r="J98" s="19" t="n"/>
      <c r="K98" s="19" t="n"/>
      <c r="L98" s="19" t="n"/>
      <c r="M98" s="19" t="n"/>
      <c r="N98" s="43">
        <f>IF(COUNTA(I98:M98)&gt;0,AVERAGE(I98:M98),"")</f>
        <v/>
      </c>
      <c r="O98" s="18" t="n"/>
    </row>
    <row r="99">
      <c r="A99" s="41" t="n"/>
      <c r="B99" s="35">
        <f>IF(A99="","",YEAR(A99))</f>
        <v/>
      </c>
      <c r="C99" s="36">
        <f>IF(A99="","",MONTH(A99))</f>
        <v/>
      </c>
      <c r="D99" s="37">
        <f>IF(A99="","","Q"&amp;ROUNDUP(MONTH(A99)/3,0))</f>
        <v/>
      </c>
      <c r="E99" s="22" t="n"/>
      <c r="F99" s="22" t="n"/>
      <c r="G99" s="42" t="n"/>
      <c r="H99" s="42" t="n"/>
      <c r="I99" s="23" t="n"/>
      <c r="J99" s="23" t="n"/>
      <c r="K99" s="23" t="n"/>
      <c r="L99" s="23" t="n"/>
      <c r="M99" s="23" t="n"/>
      <c r="N99" s="43">
        <f>IF(COUNTA(I99:M99)&gt;0,AVERAGE(I99:M99),"")</f>
        <v/>
      </c>
      <c r="O99" s="22" t="n"/>
    </row>
    <row r="100">
      <c r="A100" s="34" t="n"/>
      <c r="B100" s="35">
        <f>IF(A100="","",YEAR(A100))</f>
        <v/>
      </c>
      <c r="C100" s="36">
        <f>IF(A100="","",MONTH(A100))</f>
        <v/>
      </c>
      <c r="D100" s="37">
        <f>IF(A100="","","Q"&amp;ROUNDUP(MONTH(A100)/3,0))</f>
        <v/>
      </c>
      <c r="E100" s="18" t="n"/>
      <c r="F100" s="18" t="n"/>
      <c r="G100" s="38" t="n"/>
      <c r="H100" s="38" t="n"/>
      <c r="I100" s="19" t="n"/>
      <c r="J100" s="19" t="n"/>
      <c r="K100" s="19" t="n"/>
      <c r="L100" s="19" t="n"/>
      <c r="M100" s="19" t="n"/>
      <c r="N100" s="43">
        <f>IF(COUNTA(I100:M100)&gt;0,AVERAGE(I100:M100),"")</f>
        <v/>
      </c>
      <c r="O100" s="18" t="n"/>
    </row>
    <row r="101">
      <c r="A101" s="41" t="n"/>
      <c r="B101" s="35">
        <f>IF(A101="","",YEAR(A101))</f>
        <v/>
      </c>
      <c r="C101" s="36">
        <f>IF(A101="","",MONTH(A101))</f>
        <v/>
      </c>
      <c r="D101" s="37">
        <f>IF(A101="","","Q"&amp;ROUNDUP(MONTH(A101)/3,0))</f>
        <v/>
      </c>
      <c r="E101" s="22" t="n"/>
      <c r="F101" s="22" t="n"/>
      <c r="G101" s="42" t="n"/>
      <c r="H101" s="42" t="n"/>
      <c r="I101" s="23" t="n"/>
      <c r="J101" s="23" t="n"/>
      <c r="K101" s="23" t="n"/>
      <c r="L101" s="23" t="n"/>
      <c r="M101" s="23" t="n"/>
      <c r="N101" s="43">
        <f>IF(COUNTA(I101:M101)&gt;0,AVERAGE(I101:M101),"")</f>
        <v/>
      </c>
      <c r="O101" s="22" t="n"/>
    </row>
    <row r="102">
      <c r="A102" s="34" t="n"/>
      <c r="B102" s="35">
        <f>IF(A102="","",YEAR(A102))</f>
        <v/>
      </c>
      <c r="C102" s="36">
        <f>IF(A102="","",MONTH(A102))</f>
        <v/>
      </c>
      <c r="D102" s="37">
        <f>IF(A102="","","Q"&amp;ROUNDUP(MONTH(A102)/3,0))</f>
        <v/>
      </c>
      <c r="E102" s="18" t="n"/>
      <c r="F102" s="18" t="n"/>
      <c r="G102" s="38" t="n"/>
      <c r="H102" s="38" t="n"/>
      <c r="I102" s="19" t="n"/>
      <c r="J102" s="19" t="n"/>
      <c r="K102" s="19" t="n"/>
      <c r="L102" s="19" t="n"/>
      <c r="M102" s="19" t="n"/>
      <c r="N102" s="43">
        <f>IF(COUNTA(I102:M102)&gt;0,AVERAGE(I102:M102),"")</f>
        <v/>
      </c>
      <c r="O102" s="18" t="n"/>
    </row>
    <row r="103">
      <c r="A103" s="41" t="n"/>
      <c r="B103" s="35">
        <f>IF(A103="","",YEAR(A103))</f>
        <v/>
      </c>
      <c r="C103" s="36">
        <f>IF(A103="","",MONTH(A103))</f>
        <v/>
      </c>
      <c r="D103" s="37">
        <f>IF(A103="","","Q"&amp;ROUNDUP(MONTH(A103)/3,0))</f>
        <v/>
      </c>
      <c r="E103" s="22" t="n"/>
      <c r="F103" s="22" t="n"/>
      <c r="G103" s="42" t="n"/>
      <c r="H103" s="42" t="n"/>
      <c r="I103" s="23" t="n"/>
      <c r="J103" s="23" t="n"/>
      <c r="K103" s="23" t="n"/>
      <c r="L103" s="23" t="n"/>
      <c r="M103" s="23" t="n"/>
      <c r="N103" s="43">
        <f>IF(COUNTA(I103:M103)&gt;0,AVERAGE(I103:M103),"")</f>
        <v/>
      </c>
      <c r="O103" s="22" t="n"/>
    </row>
    <row r="104">
      <c r="A104" s="34" t="n"/>
      <c r="B104" s="35">
        <f>IF(A104="","",YEAR(A104))</f>
        <v/>
      </c>
      <c r="C104" s="36">
        <f>IF(A104="","",MONTH(A104))</f>
        <v/>
      </c>
      <c r="D104" s="37">
        <f>IF(A104="","","Q"&amp;ROUNDUP(MONTH(A104)/3,0))</f>
        <v/>
      </c>
      <c r="E104" s="18" t="n"/>
      <c r="F104" s="18" t="n"/>
      <c r="G104" s="38" t="n"/>
      <c r="H104" s="38" t="n"/>
      <c r="I104" s="19" t="n"/>
      <c r="J104" s="19" t="n"/>
      <c r="K104" s="19" t="n"/>
      <c r="L104" s="19" t="n"/>
      <c r="M104" s="19" t="n"/>
      <c r="N104" s="43">
        <f>IF(COUNTA(I104:M104)&gt;0,AVERAGE(I104:M104),"")</f>
        <v/>
      </c>
      <c r="O104" s="18" t="n"/>
    </row>
    <row r="105">
      <c r="A105" s="41" t="n"/>
      <c r="B105" s="35">
        <f>IF(A105="","",YEAR(A105))</f>
        <v/>
      </c>
      <c r="C105" s="36">
        <f>IF(A105="","",MONTH(A105))</f>
        <v/>
      </c>
      <c r="D105" s="37">
        <f>IF(A105="","","Q"&amp;ROUNDUP(MONTH(A105)/3,0))</f>
        <v/>
      </c>
      <c r="E105" s="22" t="n"/>
      <c r="F105" s="22" t="n"/>
      <c r="G105" s="42" t="n"/>
      <c r="H105" s="42" t="n"/>
      <c r="I105" s="23" t="n"/>
      <c r="J105" s="23" t="n"/>
      <c r="K105" s="23" t="n"/>
      <c r="L105" s="23" t="n"/>
      <c r="M105" s="23" t="n"/>
      <c r="N105" s="43">
        <f>IF(COUNTA(I105:M105)&gt;0,AVERAGE(I105:M105),"")</f>
        <v/>
      </c>
      <c r="O105" s="22" t="n"/>
    </row>
    <row r="106">
      <c r="A106" s="34" t="n"/>
      <c r="B106" s="35">
        <f>IF(A106="","",YEAR(A106))</f>
        <v/>
      </c>
      <c r="C106" s="36">
        <f>IF(A106="","",MONTH(A106))</f>
        <v/>
      </c>
      <c r="D106" s="37">
        <f>IF(A106="","","Q"&amp;ROUNDUP(MONTH(A106)/3,0))</f>
        <v/>
      </c>
      <c r="E106" s="18" t="n"/>
      <c r="F106" s="18" t="n"/>
      <c r="G106" s="38" t="n"/>
      <c r="H106" s="38" t="n"/>
      <c r="I106" s="19" t="n"/>
      <c r="J106" s="19" t="n"/>
      <c r="K106" s="19" t="n"/>
      <c r="L106" s="19" t="n"/>
      <c r="M106" s="19" t="n"/>
      <c r="N106" s="43">
        <f>IF(COUNTA(I106:M106)&gt;0,AVERAGE(I106:M106),"")</f>
        <v/>
      </c>
      <c r="O106" s="18" t="n"/>
    </row>
    <row r="107">
      <c r="A107" s="41" t="n"/>
      <c r="B107" s="35">
        <f>IF(A107="","",YEAR(A107))</f>
        <v/>
      </c>
      <c r="C107" s="36">
        <f>IF(A107="","",MONTH(A107))</f>
        <v/>
      </c>
      <c r="D107" s="37">
        <f>IF(A107="","","Q"&amp;ROUNDUP(MONTH(A107)/3,0))</f>
        <v/>
      </c>
      <c r="E107" s="22" t="n"/>
      <c r="F107" s="22" t="n"/>
      <c r="G107" s="42" t="n"/>
      <c r="H107" s="42" t="n"/>
      <c r="I107" s="23" t="n"/>
      <c r="J107" s="23" t="n"/>
      <c r="K107" s="23" t="n"/>
      <c r="L107" s="23" t="n"/>
      <c r="M107" s="23" t="n"/>
      <c r="N107" s="43">
        <f>IF(COUNTA(I107:M107)&gt;0,AVERAGE(I107:M107),"")</f>
        <v/>
      </c>
      <c r="O107" s="22" t="n"/>
    </row>
    <row r="108">
      <c r="A108" s="34" t="n"/>
      <c r="B108" s="35">
        <f>IF(A108="","",YEAR(A108))</f>
        <v/>
      </c>
      <c r="C108" s="36">
        <f>IF(A108="","",MONTH(A108))</f>
        <v/>
      </c>
      <c r="D108" s="37">
        <f>IF(A108="","","Q"&amp;ROUNDUP(MONTH(A108)/3,0))</f>
        <v/>
      </c>
      <c r="E108" s="18" t="n"/>
      <c r="F108" s="18" t="n"/>
      <c r="G108" s="38" t="n"/>
      <c r="H108" s="38" t="n"/>
      <c r="I108" s="19" t="n"/>
      <c r="J108" s="19" t="n"/>
      <c r="K108" s="19" t="n"/>
      <c r="L108" s="19" t="n"/>
      <c r="M108" s="19" t="n"/>
      <c r="N108" s="43">
        <f>IF(COUNTA(I108:M108)&gt;0,AVERAGE(I108:M108),"")</f>
        <v/>
      </c>
      <c r="O108" s="18" t="n"/>
    </row>
    <row r="109">
      <c r="A109" s="41" t="n"/>
      <c r="B109" s="35">
        <f>IF(A109="","",YEAR(A109))</f>
        <v/>
      </c>
      <c r="C109" s="36">
        <f>IF(A109="","",MONTH(A109))</f>
        <v/>
      </c>
      <c r="D109" s="37">
        <f>IF(A109="","","Q"&amp;ROUNDUP(MONTH(A109)/3,0))</f>
        <v/>
      </c>
      <c r="E109" s="22" t="n"/>
      <c r="F109" s="22" t="n"/>
      <c r="G109" s="42" t="n"/>
      <c r="H109" s="42" t="n"/>
      <c r="I109" s="23" t="n"/>
      <c r="J109" s="23" t="n"/>
      <c r="K109" s="23" t="n"/>
      <c r="L109" s="23" t="n"/>
      <c r="M109" s="23" t="n"/>
      <c r="N109" s="43">
        <f>IF(COUNTA(I109:M109)&gt;0,AVERAGE(I109:M109),"")</f>
        <v/>
      </c>
      <c r="O109" s="22" t="n"/>
    </row>
    <row r="110">
      <c r="A110" s="34" t="n"/>
      <c r="B110" s="35">
        <f>IF(A110="","",YEAR(A110))</f>
        <v/>
      </c>
      <c r="C110" s="36">
        <f>IF(A110="","",MONTH(A110))</f>
        <v/>
      </c>
      <c r="D110" s="37">
        <f>IF(A110="","","Q"&amp;ROUNDUP(MONTH(A110)/3,0))</f>
        <v/>
      </c>
      <c r="E110" s="18" t="n"/>
      <c r="F110" s="18" t="n"/>
      <c r="G110" s="38" t="n"/>
      <c r="H110" s="38" t="n"/>
      <c r="I110" s="19" t="n"/>
      <c r="J110" s="19" t="n"/>
      <c r="K110" s="19" t="n"/>
      <c r="L110" s="19" t="n"/>
      <c r="M110" s="19" t="n"/>
      <c r="N110" s="43">
        <f>IF(COUNTA(I110:M110)&gt;0,AVERAGE(I110:M110),"")</f>
        <v/>
      </c>
      <c r="O110" s="18" t="n"/>
    </row>
    <row r="111">
      <c r="A111" s="41" t="n"/>
      <c r="B111" s="35">
        <f>IF(A111="","",YEAR(A111))</f>
        <v/>
      </c>
      <c r="C111" s="36">
        <f>IF(A111="","",MONTH(A111))</f>
        <v/>
      </c>
      <c r="D111" s="37">
        <f>IF(A111="","","Q"&amp;ROUNDUP(MONTH(A111)/3,0))</f>
        <v/>
      </c>
      <c r="E111" s="22" t="n"/>
      <c r="F111" s="22" t="n"/>
      <c r="G111" s="42" t="n"/>
      <c r="H111" s="42" t="n"/>
      <c r="I111" s="23" t="n"/>
      <c r="J111" s="23" t="n"/>
      <c r="K111" s="23" t="n"/>
      <c r="L111" s="23" t="n"/>
      <c r="M111" s="23" t="n"/>
      <c r="N111" s="43">
        <f>IF(COUNTA(I111:M111)&gt;0,AVERAGE(I111:M111),"")</f>
        <v/>
      </c>
      <c r="O111" s="22" t="n"/>
    </row>
    <row r="112">
      <c r="A112" s="34" t="n"/>
      <c r="B112" s="35">
        <f>IF(A112="","",YEAR(A112))</f>
        <v/>
      </c>
      <c r="C112" s="36">
        <f>IF(A112="","",MONTH(A112))</f>
        <v/>
      </c>
      <c r="D112" s="37">
        <f>IF(A112="","","Q"&amp;ROUNDUP(MONTH(A112)/3,0))</f>
        <v/>
      </c>
      <c r="E112" s="18" t="n"/>
      <c r="F112" s="18" t="n"/>
      <c r="G112" s="38" t="n"/>
      <c r="H112" s="38" t="n"/>
      <c r="I112" s="19" t="n"/>
      <c r="J112" s="19" t="n"/>
      <c r="K112" s="19" t="n"/>
      <c r="L112" s="19" t="n"/>
      <c r="M112" s="19" t="n"/>
      <c r="N112" s="43">
        <f>IF(COUNTA(I112:M112)&gt;0,AVERAGE(I112:M112),"")</f>
        <v/>
      </c>
      <c r="O112" s="18" t="n"/>
    </row>
    <row r="113">
      <c r="A113" s="41" t="n"/>
      <c r="B113" s="35">
        <f>IF(A113="","",YEAR(A113))</f>
        <v/>
      </c>
      <c r="C113" s="36">
        <f>IF(A113="","",MONTH(A113))</f>
        <v/>
      </c>
      <c r="D113" s="37">
        <f>IF(A113="","","Q"&amp;ROUNDUP(MONTH(A113)/3,0))</f>
        <v/>
      </c>
      <c r="E113" s="22" t="n"/>
      <c r="F113" s="22" t="n"/>
      <c r="G113" s="42" t="n"/>
      <c r="H113" s="42" t="n"/>
      <c r="I113" s="23" t="n"/>
      <c r="J113" s="23" t="n"/>
      <c r="K113" s="23" t="n"/>
      <c r="L113" s="23" t="n"/>
      <c r="M113" s="23" t="n"/>
      <c r="N113" s="43">
        <f>IF(COUNTA(I113:M113)&gt;0,AVERAGE(I113:M113),"")</f>
        <v/>
      </c>
      <c r="O113" s="22" t="n"/>
    </row>
    <row r="114">
      <c r="A114" s="34" t="n"/>
      <c r="B114" s="35">
        <f>IF(A114="","",YEAR(A114))</f>
        <v/>
      </c>
      <c r="C114" s="36">
        <f>IF(A114="","",MONTH(A114))</f>
        <v/>
      </c>
      <c r="D114" s="37">
        <f>IF(A114="","","Q"&amp;ROUNDUP(MONTH(A114)/3,0))</f>
        <v/>
      </c>
      <c r="E114" s="18" t="n"/>
      <c r="F114" s="18" t="n"/>
      <c r="G114" s="38" t="n"/>
      <c r="H114" s="38" t="n"/>
      <c r="I114" s="19" t="n"/>
      <c r="J114" s="19" t="n"/>
      <c r="K114" s="19" t="n"/>
      <c r="L114" s="19" t="n"/>
      <c r="M114" s="19" t="n"/>
      <c r="N114" s="43">
        <f>IF(COUNTA(I114:M114)&gt;0,AVERAGE(I114:M114),"")</f>
        <v/>
      </c>
      <c r="O114" s="18" t="n"/>
    </row>
    <row r="115">
      <c r="A115" s="41" t="n"/>
      <c r="B115" s="35">
        <f>IF(A115="","",YEAR(A115))</f>
        <v/>
      </c>
      <c r="C115" s="36">
        <f>IF(A115="","",MONTH(A115))</f>
        <v/>
      </c>
      <c r="D115" s="37">
        <f>IF(A115="","","Q"&amp;ROUNDUP(MONTH(A115)/3,0))</f>
        <v/>
      </c>
      <c r="E115" s="22" t="n"/>
      <c r="F115" s="22" t="n"/>
      <c r="G115" s="42" t="n"/>
      <c r="H115" s="42" t="n"/>
      <c r="I115" s="23" t="n"/>
      <c r="J115" s="23" t="n"/>
      <c r="K115" s="23" t="n"/>
      <c r="L115" s="23" t="n"/>
      <c r="M115" s="23" t="n"/>
      <c r="N115" s="43">
        <f>IF(COUNTA(I115:M115)&gt;0,AVERAGE(I115:M115),"")</f>
        <v/>
      </c>
      <c r="O115" s="22" t="n"/>
    </row>
    <row r="116">
      <c r="A116" s="34" t="n"/>
      <c r="B116" s="35">
        <f>IF(A116="","",YEAR(A116))</f>
        <v/>
      </c>
      <c r="C116" s="36">
        <f>IF(A116="","",MONTH(A116))</f>
        <v/>
      </c>
      <c r="D116" s="37">
        <f>IF(A116="","","Q"&amp;ROUNDUP(MONTH(A116)/3,0))</f>
        <v/>
      </c>
      <c r="E116" s="18" t="n"/>
      <c r="F116" s="18" t="n"/>
      <c r="G116" s="38" t="n"/>
      <c r="H116" s="38" t="n"/>
      <c r="I116" s="19" t="n"/>
      <c r="J116" s="19" t="n"/>
      <c r="K116" s="19" t="n"/>
      <c r="L116" s="19" t="n"/>
      <c r="M116" s="19" t="n"/>
      <c r="N116" s="43">
        <f>IF(COUNTA(I116:M116)&gt;0,AVERAGE(I116:M116),"")</f>
        <v/>
      </c>
      <c r="O116" s="18" t="n"/>
    </row>
    <row r="117">
      <c r="A117" s="41" t="n"/>
      <c r="B117" s="35">
        <f>IF(A117="","",YEAR(A117))</f>
        <v/>
      </c>
      <c r="C117" s="36">
        <f>IF(A117="","",MONTH(A117))</f>
        <v/>
      </c>
      <c r="D117" s="37">
        <f>IF(A117="","","Q"&amp;ROUNDUP(MONTH(A117)/3,0))</f>
        <v/>
      </c>
      <c r="E117" s="22" t="n"/>
      <c r="F117" s="22" t="n"/>
      <c r="G117" s="42" t="n"/>
      <c r="H117" s="42" t="n"/>
      <c r="I117" s="23" t="n"/>
      <c r="J117" s="23" t="n"/>
      <c r="K117" s="23" t="n"/>
      <c r="L117" s="23" t="n"/>
      <c r="M117" s="23" t="n"/>
      <c r="N117" s="43">
        <f>IF(COUNTA(I117:M117)&gt;0,AVERAGE(I117:M117),"")</f>
        <v/>
      </c>
      <c r="O117" s="22" t="n"/>
    </row>
    <row r="118">
      <c r="A118" s="34" t="n"/>
      <c r="B118" s="35">
        <f>IF(A118="","",YEAR(A118))</f>
        <v/>
      </c>
      <c r="C118" s="36">
        <f>IF(A118="","",MONTH(A118))</f>
        <v/>
      </c>
      <c r="D118" s="37">
        <f>IF(A118="","","Q"&amp;ROUNDUP(MONTH(A118)/3,0))</f>
        <v/>
      </c>
      <c r="E118" s="18" t="n"/>
      <c r="F118" s="18" t="n"/>
      <c r="G118" s="38" t="n"/>
      <c r="H118" s="38" t="n"/>
      <c r="I118" s="19" t="n"/>
      <c r="J118" s="19" t="n"/>
      <c r="K118" s="19" t="n"/>
      <c r="L118" s="19" t="n"/>
      <c r="M118" s="19" t="n"/>
      <c r="N118" s="43">
        <f>IF(COUNTA(I118:M118)&gt;0,AVERAGE(I118:M118),"")</f>
        <v/>
      </c>
      <c r="O118" s="18" t="n"/>
    </row>
    <row r="119">
      <c r="A119" s="41" t="n"/>
      <c r="B119" s="35">
        <f>IF(A119="","",YEAR(A119))</f>
        <v/>
      </c>
      <c r="C119" s="36">
        <f>IF(A119="","",MONTH(A119))</f>
        <v/>
      </c>
      <c r="D119" s="37">
        <f>IF(A119="","","Q"&amp;ROUNDUP(MONTH(A119)/3,0))</f>
        <v/>
      </c>
      <c r="E119" s="22" t="n"/>
      <c r="F119" s="22" t="n"/>
      <c r="G119" s="42" t="n"/>
      <c r="H119" s="42" t="n"/>
      <c r="I119" s="23" t="n"/>
      <c r="J119" s="23" t="n"/>
      <c r="K119" s="23" t="n"/>
      <c r="L119" s="23" t="n"/>
      <c r="M119" s="23" t="n"/>
      <c r="N119" s="43">
        <f>IF(COUNTA(I119:M119)&gt;0,AVERAGE(I119:M119),"")</f>
        <v/>
      </c>
      <c r="O119" s="22" t="n"/>
    </row>
    <row r="120">
      <c r="A120" s="34" t="n"/>
      <c r="B120" s="35">
        <f>IF(A120="","",YEAR(A120))</f>
        <v/>
      </c>
      <c r="C120" s="36">
        <f>IF(A120="","",MONTH(A120))</f>
        <v/>
      </c>
      <c r="D120" s="37">
        <f>IF(A120="","","Q"&amp;ROUNDUP(MONTH(A120)/3,0))</f>
        <v/>
      </c>
      <c r="E120" s="18" t="n"/>
      <c r="F120" s="18" t="n"/>
      <c r="G120" s="38" t="n"/>
      <c r="H120" s="38" t="n"/>
      <c r="I120" s="19" t="n"/>
      <c r="J120" s="19" t="n"/>
      <c r="K120" s="19" t="n"/>
      <c r="L120" s="19" t="n"/>
      <c r="M120" s="19" t="n"/>
      <c r="N120" s="43">
        <f>IF(COUNTA(I120:M120)&gt;0,AVERAGE(I120:M120),"")</f>
        <v/>
      </c>
      <c r="O120" s="18" t="n"/>
    </row>
    <row r="121">
      <c r="A121" s="41" t="n"/>
      <c r="B121" s="35">
        <f>IF(A121="","",YEAR(A121))</f>
        <v/>
      </c>
      <c r="C121" s="36">
        <f>IF(A121="","",MONTH(A121))</f>
        <v/>
      </c>
      <c r="D121" s="37">
        <f>IF(A121="","","Q"&amp;ROUNDUP(MONTH(A121)/3,0))</f>
        <v/>
      </c>
      <c r="E121" s="22" t="n"/>
      <c r="F121" s="22" t="n"/>
      <c r="G121" s="42" t="n"/>
      <c r="H121" s="42" t="n"/>
      <c r="I121" s="23" t="n"/>
      <c r="J121" s="23" t="n"/>
      <c r="K121" s="23" t="n"/>
      <c r="L121" s="23" t="n"/>
      <c r="M121" s="23" t="n"/>
      <c r="N121" s="43">
        <f>IF(COUNTA(I121:M121)&gt;0,AVERAGE(I121:M121),"")</f>
        <v/>
      </c>
      <c r="O121" s="22" t="n"/>
    </row>
    <row r="122">
      <c r="A122" s="34" t="n"/>
      <c r="B122" s="35">
        <f>IF(A122="","",YEAR(A122))</f>
        <v/>
      </c>
      <c r="C122" s="36">
        <f>IF(A122="","",MONTH(A122))</f>
        <v/>
      </c>
      <c r="D122" s="37">
        <f>IF(A122="","","Q"&amp;ROUNDUP(MONTH(A122)/3,0))</f>
        <v/>
      </c>
      <c r="E122" s="18" t="n"/>
      <c r="F122" s="18" t="n"/>
      <c r="G122" s="38" t="n"/>
      <c r="H122" s="38" t="n"/>
      <c r="I122" s="19" t="n"/>
      <c r="J122" s="19" t="n"/>
      <c r="K122" s="19" t="n"/>
      <c r="L122" s="19" t="n"/>
      <c r="M122" s="19" t="n"/>
      <c r="N122" s="43">
        <f>IF(COUNTA(I122:M122)&gt;0,AVERAGE(I122:M122),"")</f>
        <v/>
      </c>
      <c r="O122" s="18" t="n"/>
    </row>
    <row r="123">
      <c r="A123" s="41" t="n"/>
      <c r="B123" s="35">
        <f>IF(A123="","",YEAR(A123))</f>
        <v/>
      </c>
      <c r="C123" s="36">
        <f>IF(A123="","",MONTH(A123))</f>
        <v/>
      </c>
      <c r="D123" s="37">
        <f>IF(A123="","","Q"&amp;ROUNDUP(MONTH(A123)/3,0))</f>
        <v/>
      </c>
      <c r="E123" s="22" t="n"/>
      <c r="F123" s="22" t="n"/>
      <c r="G123" s="42" t="n"/>
      <c r="H123" s="42" t="n"/>
      <c r="I123" s="23" t="n"/>
      <c r="J123" s="23" t="n"/>
      <c r="K123" s="23" t="n"/>
      <c r="L123" s="23" t="n"/>
      <c r="M123" s="23" t="n"/>
      <c r="N123" s="43">
        <f>IF(COUNTA(I123:M123)&gt;0,AVERAGE(I123:M123),"")</f>
        <v/>
      </c>
      <c r="O123" s="22" t="n"/>
    </row>
    <row r="124">
      <c r="A124" s="34" t="n"/>
      <c r="B124" s="35">
        <f>IF(A124="","",YEAR(A124))</f>
        <v/>
      </c>
      <c r="C124" s="36">
        <f>IF(A124="","",MONTH(A124))</f>
        <v/>
      </c>
      <c r="D124" s="37">
        <f>IF(A124="","","Q"&amp;ROUNDUP(MONTH(A124)/3,0))</f>
        <v/>
      </c>
      <c r="E124" s="18" t="n"/>
      <c r="F124" s="18" t="n"/>
      <c r="G124" s="38" t="n"/>
      <c r="H124" s="38" t="n"/>
      <c r="I124" s="19" t="n"/>
      <c r="J124" s="19" t="n"/>
      <c r="K124" s="19" t="n"/>
      <c r="L124" s="19" t="n"/>
      <c r="M124" s="19" t="n"/>
      <c r="N124" s="43">
        <f>IF(COUNTA(I124:M124)&gt;0,AVERAGE(I124:M124),"")</f>
        <v/>
      </c>
      <c r="O124" s="18" t="n"/>
    </row>
    <row r="125">
      <c r="A125" s="41" t="n"/>
      <c r="B125" s="35">
        <f>IF(A125="","",YEAR(A125))</f>
        <v/>
      </c>
      <c r="C125" s="36">
        <f>IF(A125="","",MONTH(A125))</f>
        <v/>
      </c>
      <c r="D125" s="37">
        <f>IF(A125="","","Q"&amp;ROUNDUP(MONTH(A125)/3,0))</f>
        <v/>
      </c>
      <c r="E125" s="22" t="n"/>
      <c r="F125" s="22" t="n"/>
      <c r="G125" s="42" t="n"/>
      <c r="H125" s="42" t="n"/>
      <c r="I125" s="23" t="n"/>
      <c r="J125" s="23" t="n"/>
      <c r="K125" s="23" t="n"/>
      <c r="L125" s="23" t="n"/>
      <c r="M125" s="23" t="n"/>
      <c r="N125" s="43">
        <f>IF(COUNTA(I125:M125)&gt;0,AVERAGE(I125:M125),"")</f>
        <v/>
      </c>
      <c r="O125" s="22" t="n"/>
    </row>
    <row r="126">
      <c r="A126" s="34" t="n"/>
      <c r="B126" s="35">
        <f>IF(A126="","",YEAR(A126))</f>
        <v/>
      </c>
      <c r="C126" s="36">
        <f>IF(A126="","",MONTH(A126))</f>
        <v/>
      </c>
      <c r="D126" s="37">
        <f>IF(A126="","","Q"&amp;ROUNDUP(MONTH(A126)/3,0))</f>
        <v/>
      </c>
      <c r="E126" s="18" t="n"/>
      <c r="F126" s="18" t="n"/>
      <c r="G126" s="38" t="n"/>
      <c r="H126" s="38" t="n"/>
      <c r="I126" s="19" t="n"/>
      <c r="J126" s="19" t="n"/>
      <c r="K126" s="19" t="n"/>
      <c r="L126" s="19" t="n"/>
      <c r="M126" s="19" t="n"/>
      <c r="N126" s="43">
        <f>IF(COUNTA(I126:M126)&gt;0,AVERAGE(I126:M126),"")</f>
        <v/>
      </c>
      <c r="O126" s="18" t="n"/>
    </row>
    <row r="127">
      <c r="A127" s="41" t="n"/>
      <c r="B127" s="35">
        <f>IF(A127="","",YEAR(A127))</f>
        <v/>
      </c>
      <c r="C127" s="36">
        <f>IF(A127="","",MONTH(A127))</f>
        <v/>
      </c>
      <c r="D127" s="37">
        <f>IF(A127="","","Q"&amp;ROUNDUP(MONTH(A127)/3,0))</f>
        <v/>
      </c>
      <c r="E127" s="22" t="n"/>
      <c r="F127" s="22" t="n"/>
      <c r="G127" s="42" t="n"/>
      <c r="H127" s="42" t="n"/>
      <c r="I127" s="23" t="n"/>
      <c r="J127" s="23" t="n"/>
      <c r="K127" s="23" t="n"/>
      <c r="L127" s="23" t="n"/>
      <c r="M127" s="23" t="n"/>
      <c r="N127" s="43">
        <f>IF(COUNTA(I127:M127)&gt;0,AVERAGE(I127:M127),"")</f>
        <v/>
      </c>
      <c r="O127" s="22" t="n"/>
    </row>
    <row r="128">
      <c r="A128" s="34" t="n"/>
      <c r="B128" s="35">
        <f>IF(A128="","",YEAR(A128))</f>
        <v/>
      </c>
      <c r="C128" s="36">
        <f>IF(A128="","",MONTH(A128))</f>
        <v/>
      </c>
      <c r="D128" s="37">
        <f>IF(A128="","","Q"&amp;ROUNDUP(MONTH(A128)/3,0))</f>
        <v/>
      </c>
      <c r="E128" s="18" t="n"/>
      <c r="F128" s="18" t="n"/>
      <c r="G128" s="38" t="n"/>
      <c r="H128" s="38" t="n"/>
      <c r="I128" s="19" t="n"/>
      <c r="J128" s="19" t="n"/>
      <c r="K128" s="19" t="n"/>
      <c r="L128" s="19" t="n"/>
      <c r="M128" s="19" t="n"/>
      <c r="N128" s="43">
        <f>IF(COUNTA(I128:M128)&gt;0,AVERAGE(I128:M128),"")</f>
        <v/>
      </c>
      <c r="O128" s="18" t="n"/>
    </row>
    <row r="129">
      <c r="A129" s="41" t="n"/>
      <c r="B129" s="35">
        <f>IF(A129="","",YEAR(A129))</f>
        <v/>
      </c>
      <c r="C129" s="36">
        <f>IF(A129="","",MONTH(A129))</f>
        <v/>
      </c>
      <c r="D129" s="37">
        <f>IF(A129="","","Q"&amp;ROUNDUP(MONTH(A129)/3,0))</f>
        <v/>
      </c>
      <c r="E129" s="22" t="n"/>
      <c r="F129" s="22" t="n"/>
      <c r="G129" s="42" t="n"/>
      <c r="H129" s="42" t="n"/>
      <c r="I129" s="23" t="n"/>
      <c r="J129" s="23" t="n"/>
      <c r="K129" s="23" t="n"/>
      <c r="L129" s="23" t="n"/>
      <c r="M129" s="23" t="n"/>
      <c r="N129" s="43">
        <f>IF(COUNTA(I129:M129)&gt;0,AVERAGE(I129:M129),"")</f>
        <v/>
      </c>
      <c r="O129" s="22" t="n"/>
    </row>
    <row r="130">
      <c r="A130" s="34" t="n"/>
      <c r="B130" s="35">
        <f>IF(A130="","",YEAR(A130))</f>
        <v/>
      </c>
      <c r="C130" s="36">
        <f>IF(A130="","",MONTH(A130))</f>
        <v/>
      </c>
      <c r="D130" s="37">
        <f>IF(A130="","","Q"&amp;ROUNDUP(MONTH(A130)/3,0))</f>
        <v/>
      </c>
      <c r="E130" s="18" t="n"/>
      <c r="F130" s="18" t="n"/>
      <c r="G130" s="38" t="n"/>
      <c r="H130" s="38" t="n"/>
      <c r="I130" s="19" t="n"/>
      <c r="J130" s="19" t="n"/>
      <c r="K130" s="19" t="n"/>
      <c r="L130" s="19" t="n"/>
      <c r="M130" s="19" t="n"/>
      <c r="N130" s="43">
        <f>IF(COUNTA(I130:M130)&gt;0,AVERAGE(I130:M130),"")</f>
        <v/>
      </c>
      <c r="O130" s="18" t="n"/>
    </row>
    <row r="131">
      <c r="A131" s="41" t="n"/>
      <c r="B131" s="35">
        <f>IF(A131="","",YEAR(A131))</f>
        <v/>
      </c>
      <c r="C131" s="36">
        <f>IF(A131="","",MONTH(A131))</f>
        <v/>
      </c>
      <c r="D131" s="37">
        <f>IF(A131="","","Q"&amp;ROUNDUP(MONTH(A131)/3,0))</f>
        <v/>
      </c>
      <c r="E131" s="22" t="n"/>
      <c r="F131" s="22" t="n"/>
      <c r="G131" s="42" t="n"/>
      <c r="H131" s="42" t="n"/>
      <c r="I131" s="23" t="n"/>
      <c r="J131" s="23" t="n"/>
      <c r="K131" s="23" t="n"/>
      <c r="L131" s="23" t="n"/>
      <c r="M131" s="23" t="n"/>
      <c r="N131" s="43">
        <f>IF(COUNTA(I131:M131)&gt;0,AVERAGE(I131:M131),"")</f>
        <v/>
      </c>
      <c r="O131" s="22" t="n"/>
    </row>
    <row r="132">
      <c r="A132" s="34" t="n"/>
      <c r="B132" s="35">
        <f>IF(A132="","",YEAR(A132))</f>
        <v/>
      </c>
      <c r="C132" s="36">
        <f>IF(A132="","",MONTH(A132))</f>
        <v/>
      </c>
      <c r="D132" s="37">
        <f>IF(A132="","","Q"&amp;ROUNDUP(MONTH(A132)/3,0))</f>
        <v/>
      </c>
      <c r="E132" s="18" t="n"/>
      <c r="F132" s="18" t="n"/>
      <c r="G132" s="38" t="n"/>
      <c r="H132" s="38" t="n"/>
      <c r="I132" s="19" t="n"/>
      <c r="J132" s="19" t="n"/>
      <c r="K132" s="19" t="n"/>
      <c r="L132" s="19" t="n"/>
      <c r="M132" s="19" t="n"/>
      <c r="N132" s="43">
        <f>IF(COUNTA(I132:M132)&gt;0,AVERAGE(I132:M132),"")</f>
        <v/>
      </c>
      <c r="O132" s="18" t="n"/>
    </row>
    <row r="133">
      <c r="A133" s="41" t="n"/>
      <c r="B133" s="35">
        <f>IF(A133="","",YEAR(A133))</f>
        <v/>
      </c>
      <c r="C133" s="36">
        <f>IF(A133="","",MONTH(A133))</f>
        <v/>
      </c>
      <c r="D133" s="37">
        <f>IF(A133="","","Q"&amp;ROUNDUP(MONTH(A133)/3,0))</f>
        <v/>
      </c>
      <c r="E133" s="22" t="n"/>
      <c r="F133" s="22" t="n"/>
      <c r="G133" s="42" t="n"/>
      <c r="H133" s="42" t="n"/>
      <c r="I133" s="23" t="n"/>
      <c r="J133" s="23" t="n"/>
      <c r="K133" s="23" t="n"/>
      <c r="L133" s="23" t="n"/>
      <c r="M133" s="23" t="n"/>
      <c r="N133" s="43">
        <f>IF(COUNTA(I133:M133)&gt;0,AVERAGE(I133:M133),"")</f>
        <v/>
      </c>
      <c r="O133" s="22" t="n"/>
    </row>
    <row r="134">
      <c r="A134" s="34" t="n"/>
      <c r="B134" s="35">
        <f>IF(A134="","",YEAR(A134))</f>
        <v/>
      </c>
      <c r="C134" s="36">
        <f>IF(A134="","",MONTH(A134))</f>
        <v/>
      </c>
      <c r="D134" s="37">
        <f>IF(A134="","","Q"&amp;ROUNDUP(MONTH(A134)/3,0))</f>
        <v/>
      </c>
      <c r="E134" s="18" t="n"/>
      <c r="F134" s="18" t="n"/>
      <c r="G134" s="38" t="n"/>
      <c r="H134" s="38" t="n"/>
      <c r="I134" s="19" t="n"/>
      <c r="J134" s="19" t="n"/>
      <c r="K134" s="19" t="n"/>
      <c r="L134" s="19" t="n"/>
      <c r="M134" s="19" t="n"/>
      <c r="N134" s="43">
        <f>IF(COUNTA(I134:M134)&gt;0,AVERAGE(I134:M134),"")</f>
        <v/>
      </c>
      <c r="O134" s="18" t="n"/>
    </row>
    <row r="135">
      <c r="A135" s="41" t="n"/>
      <c r="B135" s="35">
        <f>IF(A135="","",YEAR(A135))</f>
        <v/>
      </c>
      <c r="C135" s="36">
        <f>IF(A135="","",MONTH(A135))</f>
        <v/>
      </c>
      <c r="D135" s="37">
        <f>IF(A135="","","Q"&amp;ROUNDUP(MONTH(A135)/3,0))</f>
        <v/>
      </c>
      <c r="E135" s="22" t="n"/>
      <c r="F135" s="22" t="n"/>
      <c r="G135" s="42" t="n"/>
      <c r="H135" s="42" t="n"/>
      <c r="I135" s="23" t="n"/>
      <c r="J135" s="23" t="n"/>
      <c r="K135" s="23" t="n"/>
      <c r="L135" s="23" t="n"/>
      <c r="M135" s="23" t="n"/>
      <c r="N135" s="43">
        <f>IF(COUNTA(I135:M135)&gt;0,AVERAGE(I135:M135),"")</f>
        <v/>
      </c>
      <c r="O135" s="22" t="n"/>
    </row>
    <row r="136">
      <c r="A136" s="34" t="n"/>
      <c r="B136" s="35">
        <f>IF(A136="","",YEAR(A136))</f>
        <v/>
      </c>
      <c r="C136" s="36">
        <f>IF(A136="","",MONTH(A136))</f>
        <v/>
      </c>
      <c r="D136" s="37">
        <f>IF(A136="","","Q"&amp;ROUNDUP(MONTH(A136)/3,0))</f>
        <v/>
      </c>
      <c r="E136" s="18" t="n"/>
      <c r="F136" s="18" t="n"/>
      <c r="G136" s="38" t="n"/>
      <c r="H136" s="38" t="n"/>
      <c r="I136" s="19" t="n"/>
      <c r="J136" s="19" t="n"/>
      <c r="K136" s="19" t="n"/>
      <c r="L136" s="19" t="n"/>
      <c r="M136" s="19" t="n"/>
      <c r="N136" s="43">
        <f>IF(COUNTA(I136:M136)&gt;0,AVERAGE(I136:M136),"")</f>
        <v/>
      </c>
      <c r="O136" s="18" t="n"/>
    </row>
    <row r="137">
      <c r="A137" s="41" t="n"/>
      <c r="B137" s="35">
        <f>IF(A137="","",YEAR(A137))</f>
        <v/>
      </c>
      <c r="C137" s="36">
        <f>IF(A137="","",MONTH(A137))</f>
        <v/>
      </c>
      <c r="D137" s="37">
        <f>IF(A137="","","Q"&amp;ROUNDUP(MONTH(A137)/3,0))</f>
        <v/>
      </c>
      <c r="E137" s="22" t="n"/>
      <c r="F137" s="22" t="n"/>
      <c r="G137" s="42" t="n"/>
      <c r="H137" s="42" t="n"/>
      <c r="I137" s="23" t="n"/>
      <c r="J137" s="23" t="n"/>
      <c r="K137" s="23" t="n"/>
      <c r="L137" s="23" t="n"/>
      <c r="M137" s="23" t="n"/>
      <c r="N137" s="43">
        <f>IF(COUNTA(I137:M137)&gt;0,AVERAGE(I137:M137),"")</f>
        <v/>
      </c>
      <c r="O137" s="22" t="n"/>
    </row>
    <row r="138">
      <c r="A138" s="34" t="n"/>
      <c r="B138" s="35">
        <f>IF(A138="","",YEAR(A138))</f>
        <v/>
      </c>
      <c r="C138" s="36">
        <f>IF(A138="","",MONTH(A138))</f>
        <v/>
      </c>
      <c r="D138" s="37">
        <f>IF(A138="","","Q"&amp;ROUNDUP(MONTH(A138)/3,0))</f>
        <v/>
      </c>
      <c r="E138" s="18" t="n"/>
      <c r="F138" s="18" t="n"/>
      <c r="G138" s="38" t="n"/>
      <c r="H138" s="38" t="n"/>
      <c r="I138" s="19" t="n"/>
      <c r="J138" s="19" t="n"/>
      <c r="K138" s="19" t="n"/>
      <c r="L138" s="19" t="n"/>
      <c r="M138" s="19" t="n"/>
      <c r="N138" s="43">
        <f>IF(COUNTA(I138:M138)&gt;0,AVERAGE(I138:M138),"")</f>
        <v/>
      </c>
      <c r="O138" s="18" t="n"/>
    </row>
    <row r="139">
      <c r="A139" s="41" t="n"/>
      <c r="B139" s="35">
        <f>IF(A139="","",YEAR(A139))</f>
        <v/>
      </c>
      <c r="C139" s="36">
        <f>IF(A139="","",MONTH(A139))</f>
        <v/>
      </c>
      <c r="D139" s="37">
        <f>IF(A139="","","Q"&amp;ROUNDUP(MONTH(A139)/3,0))</f>
        <v/>
      </c>
      <c r="E139" s="22" t="n"/>
      <c r="F139" s="22" t="n"/>
      <c r="G139" s="42" t="n"/>
      <c r="H139" s="42" t="n"/>
      <c r="I139" s="23" t="n"/>
      <c r="J139" s="23" t="n"/>
      <c r="K139" s="23" t="n"/>
      <c r="L139" s="23" t="n"/>
      <c r="M139" s="23" t="n"/>
      <c r="N139" s="43">
        <f>IF(COUNTA(I139:M139)&gt;0,AVERAGE(I139:M139),"")</f>
        <v/>
      </c>
      <c r="O139" s="22" t="n"/>
    </row>
    <row r="140">
      <c r="A140" s="34" t="n"/>
      <c r="B140" s="35">
        <f>IF(A140="","",YEAR(A140))</f>
        <v/>
      </c>
      <c r="C140" s="36">
        <f>IF(A140="","",MONTH(A140))</f>
        <v/>
      </c>
      <c r="D140" s="37">
        <f>IF(A140="","","Q"&amp;ROUNDUP(MONTH(A140)/3,0))</f>
        <v/>
      </c>
      <c r="E140" s="18" t="n"/>
      <c r="F140" s="18" t="n"/>
      <c r="G140" s="38" t="n"/>
      <c r="H140" s="38" t="n"/>
      <c r="I140" s="19" t="n"/>
      <c r="J140" s="19" t="n"/>
      <c r="K140" s="19" t="n"/>
      <c r="L140" s="19" t="n"/>
      <c r="M140" s="19" t="n"/>
      <c r="N140" s="43">
        <f>IF(COUNTA(I140:M140)&gt;0,AVERAGE(I140:M140),"")</f>
        <v/>
      </c>
      <c r="O140" s="18" t="n"/>
    </row>
    <row r="141">
      <c r="A141" s="41" t="n"/>
      <c r="B141" s="35">
        <f>IF(A141="","",YEAR(A141))</f>
        <v/>
      </c>
      <c r="C141" s="36">
        <f>IF(A141="","",MONTH(A141))</f>
        <v/>
      </c>
      <c r="D141" s="37">
        <f>IF(A141="","","Q"&amp;ROUNDUP(MONTH(A141)/3,0))</f>
        <v/>
      </c>
      <c r="E141" s="22" t="n"/>
      <c r="F141" s="22" t="n"/>
      <c r="G141" s="42" t="n"/>
      <c r="H141" s="42" t="n"/>
      <c r="I141" s="23" t="n"/>
      <c r="J141" s="23" t="n"/>
      <c r="K141" s="23" t="n"/>
      <c r="L141" s="23" t="n"/>
      <c r="M141" s="23" t="n"/>
      <c r="N141" s="43">
        <f>IF(COUNTA(I141:M141)&gt;0,AVERAGE(I141:M141),"")</f>
        <v/>
      </c>
      <c r="O141" s="22" t="n"/>
    </row>
    <row r="142">
      <c r="A142" s="34" t="n"/>
      <c r="B142" s="35">
        <f>IF(A142="","",YEAR(A142))</f>
        <v/>
      </c>
      <c r="C142" s="36">
        <f>IF(A142="","",MONTH(A142))</f>
        <v/>
      </c>
      <c r="D142" s="37">
        <f>IF(A142="","","Q"&amp;ROUNDUP(MONTH(A142)/3,0))</f>
        <v/>
      </c>
      <c r="E142" s="18" t="n"/>
      <c r="F142" s="18" t="n"/>
      <c r="G142" s="38" t="n"/>
      <c r="H142" s="38" t="n"/>
      <c r="I142" s="19" t="n"/>
      <c r="J142" s="19" t="n"/>
      <c r="K142" s="19" t="n"/>
      <c r="L142" s="19" t="n"/>
      <c r="M142" s="19" t="n"/>
      <c r="N142" s="43">
        <f>IF(COUNTA(I142:M142)&gt;0,AVERAGE(I142:M142),"")</f>
        <v/>
      </c>
      <c r="O142" s="18" t="n"/>
    </row>
    <row r="143">
      <c r="A143" s="41" t="n"/>
      <c r="B143" s="35">
        <f>IF(A143="","",YEAR(A143))</f>
        <v/>
      </c>
      <c r="C143" s="36">
        <f>IF(A143="","",MONTH(A143))</f>
        <v/>
      </c>
      <c r="D143" s="37">
        <f>IF(A143="","","Q"&amp;ROUNDUP(MONTH(A143)/3,0))</f>
        <v/>
      </c>
      <c r="E143" s="22" t="n"/>
      <c r="F143" s="22" t="n"/>
      <c r="G143" s="42" t="n"/>
      <c r="H143" s="42" t="n"/>
      <c r="I143" s="23" t="n"/>
      <c r="J143" s="23" t="n"/>
      <c r="K143" s="23" t="n"/>
      <c r="L143" s="23" t="n"/>
      <c r="M143" s="23" t="n"/>
      <c r="N143" s="43">
        <f>IF(COUNTA(I143:M143)&gt;0,AVERAGE(I143:M143),"")</f>
        <v/>
      </c>
      <c r="O143" s="22" t="n"/>
    </row>
    <row r="144">
      <c r="A144" s="34" t="n"/>
      <c r="B144" s="35">
        <f>IF(A144="","",YEAR(A144))</f>
        <v/>
      </c>
      <c r="C144" s="36">
        <f>IF(A144="","",MONTH(A144))</f>
        <v/>
      </c>
      <c r="D144" s="37">
        <f>IF(A144="","","Q"&amp;ROUNDUP(MONTH(A144)/3,0))</f>
        <v/>
      </c>
      <c r="E144" s="18" t="n"/>
      <c r="F144" s="18" t="n"/>
      <c r="G144" s="38" t="n"/>
      <c r="H144" s="38" t="n"/>
      <c r="I144" s="19" t="n"/>
      <c r="J144" s="19" t="n"/>
      <c r="K144" s="19" t="n"/>
      <c r="L144" s="19" t="n"/>
      <c r="M144" s="19" t="n"/>
      <c r="N144" s="43">
        <f>IF(COUNTA(I144:M144)&gt;0,AVERAGE(I144:M144),"")</f>
        <v/>
      </c>
      <c r="O144" s="18" t="n"/>
    </row>
    <row r="145">
      <c r="A145" s="41" t="n"/>
      <c r="B145" s="35">
        <f>IF(A145="","",YEAR(A145))</f>
        <v/>
      </c>
      <c r="C145" s="36">
        <f>IF(A145="","",MONTH(A145))</f>
        <v/>
      </c>
      <c r="D145" s="37">
        <f>IF(A145="","","Q"&amp;ROUNDUP(MONTH(A145)/3,0))</f>
        <v/>
      </c>
      <c r="E145" s="22" t="n"/>
      <c r="F145" s="22" t="n"/>
      <c r="G145" s="42" t="n"/>
      <c r="H145" s="42" t="n"/>
      <c r="I145" s="23" t="n"/>
      <c r="J145" s="23" t="n"/>
      <c r="K145" s="23" t="n"/>
      <c r="L145" s="23" t="n"/>
      <c r="M145" s="23" t="n"/>
      <c r="N145" s="43">
        <f>IF(COUNTA(I145:M145)&gt;0,AVERAGE(I145:M145),"")</f>
        <v/>
      </c>
      <c r="O145" s="22" t="n"/>
    </row>
    <row r="146">
      <c r="A146" s="34" t="n"/>
      <c r="B146" s="35">
        <f>IF(A146="","",YEAR(A146))</f>
        <v/>
      </c>
      <c r="C146" s="36">
        <f>IF(A146="","",MONTH(A146))</f>
        <v/>
      </c>
      <c r="D146" s="37">
        <f>IF(A146="","","Q"&amp;ROUNDUP(MONTH(A146)/3,0))</f>
        <v/>
      </c>
      <c r="E146" s="18" t="n"/>
      <c r="F146" s="18" t="n"/>
      <c r="G146" s="38" t="n"/>
      <c r="H146" s="38" t="n"/>
      <c r="I146" s="19" t="n"/>
      <c r="J146" s="19" t="n"/>
      <c r="K146" s="19" t="n"/>
      <c r="L146" s="19" t="n"/>
      <c r="M146" s="19" t="n"/>
      <c r="N146" s="43">
        <f>IF(COUNTA(I146:M146)&gt;0,AVERAGE(I146:M146),"")</f>
        <v/>
      </c>
      <c r="O146" s="18" t="n"/>
    </row>
    <row r="147">
      <c r="A147" s="41" t="n"/>
      <c r="B147" s="35">
        <f>IF(A147="","",YEAR(A147))</f>
        <v/>
      </c>
      <c r="C147" s="36">
        <f>IF(A147="","",MONTH(A147))</f>
        <v/>
      </c>
      <c r="D147" s="37">
        <f>IF(A147="","","Q"&amp;ROUNDUP(MONTH(A147)/3,0))</f>
        <v/>
      </c>
      <c r="E147" s="22" t="n"/>
      <c r="F147" s="22" t="n"/>
      <c r="G147" s="42" t="n"/>
      <c r="H147" s="42" t="n"/>
      <c r="I147" s="23" t="n"/>
      <c r="J147" s="23" t="n"/>
      <c r="K147" s="23" t="n"/>
      <c r="L147" s="23" t="n"/>
      <c r="M147" s="23" t="n"/>
      <c r="N147" s="43">
        <f>IF(COUNTA(I147:M147)&gt;0,AVERAGE(I147:M147),"")</f>
        <v/>
      </c>
      <c r="O147" s="22" t="n"/>
    </row>
    <row r="148">
      <c r="A148" s="34" t="n"/>
      <c r="B148" s="35">
        <f>IF(A148="","",YEAR(A148))</f>
        <v/>
      </c>
      <c r="C148" s="36">
        <f>IF(A148="","",MONTH(A148))</f>
        <v/>
      </c>
      <c r="D148" s="37">
        <f>IF(A148="","","Q"&amp;ROUNDUP(MONTH(A148)/3,0))</f>
        <v/>
      </c>
      <c r="E148" s="18" t="n"/>
      <c r="F148" s="18" t="n"/>
      <c r="G148" s="38" t="n"/>
      <c r="H148" s="38" t="n"/>
      <c r="I148" s="19" t="n"/>
      <c r="J148" s="19" t="n"/>
      <c r="K148" s="19" t="n"/>
      <c r="L148" s="19" t="n"/>
      <c r="M148" s="19" t="n"/>
      <c r="N148" s="43">
        <f>IF(COUNTA(I148:M148)&gt;0,AVERAGE(I148:M148),"")</f>
        <v/>
      </c>
      <c r="O148" s="18" t="n"/>
    </row>
    <row r="149">
      <c r="A149" s="41" t="n"/>
      <c r="B149" s="35">
        <f>IF(A149="","",YEAR(A149))</f>
        <v/>
      </c>
      <c r="C149" s="36">
        <f>IF(A149="","",MONTH(A149))</f>
        <v/>
      </c>
      <c r="D149" s="37">
        <f>IF(A149="","","Q"&amp;ROUNDUP(MONTH(A149)/3,0))</f>
        <v/>
      </c>
      <c r="E149" s="22" t="n"/>
      <c r="F149" s="22" t="n"/>
      <c r="G149" s="42" t="n"/>
      <c r="H149" s="42" t="n"/>
      <c r="I149" s="23" t="n"/>
      <c r="J149" s="23" t="n"/>
      <c r="K149" s="23" t="n"/>
      <c r="L149" s="23" t="n"/>
      <c r="M149" s="23" t="n"/>
      <c r="N149" s="43">
        <f>IF(COUNTA(I149:M149)&gt;0,AVERAGE(I149:M149),"")</f>
        <v/>
      </c>
      <c r="O149" s="22" t="n"/>
    </row>
    <row r="150">
      <c r="A150" s="34" t="n"/>
      <c r="B150" s="35">
        <f>IF(A150="","",YEAR(A150))</f>
        <v/>
      </c>
      <c r="C150" s="36">
        <f>IF(A150="","",MONTH(A150))</f>
        <v/>
      </c>
      <c r="D150" s="37">
        <f>IF(A150="","","Q"&amp;ROUNDUP(MONTH(A150)/3,0))</f>
        <v/>
      </c>
      <c r="E150" s="18" t="n"/>
      <c r="F150" s="18" t="n"/>
      <c r="G150" s="38" t="n"/>
      <c r="H150" s="38" t="n"/>
      <c r="I150" s="19" t="n"/>
      <c r="J150" s="19" t="n"/>
      <c r="K150" s="19" t="n"/>
      <c r="L150" s="19" t="n"/>
      <c r="M150" s="19" t="n"/>
      <c r="N150" s="43">
        <f>IF(COUNTA(I150:M150)&gt;0,AVERAGE(I150:M150),"")</f>
        <v/>
      </c>
      <c r="O150" s="18" t="n"/>
    </row>
    <row r="151">
      <c r="A151" s="41" t="n"/>
      <c r="B151" s="35">
        <f>IF(A151="","",YEAR(A151))</f>
        <v/>
      </c>
      <c r="C151" s="36">
        <f>IF(A151="","",MONTH(A151))</f>
        <v/>
      </c>
      <c r="D151" s="37">
        <f>IF(A151="","","Q"&amp;ROUNDUP(MONTH(A151)/3,0))</f>
        <v/>
      </c>
      <c r="E151" s="22" t="n"/>
      <c r="F151" s="22" t="n"/>
      <c r="G151" s="42" t="n"/>
      <c r="H151" s="42" t="n"/>
      <c r="I151" s="23" t="n"/>
      <c r="J151" s="23" t="n"/>
      <c r="K151" s="23" t="n"/>
      <c r="L151" s="23" t="n"/>
      <c r="M151" s="23" t="n"/>
      <c r="N151" s="43">
        <f>IF(COUNTA(I151:M151)&gt;0,AVERAGE(I151:M151),"")</f>
        <v/>
      </c>
      <c r="O151" s="22" t="n"/>
    </row>
    <row r="152">
      <c r="A152" s="34" t="n"/>
      <c r="B152" s="35">
        <f>IF(A152="","",YEAR(A152))</f>
        <v/>
      </c>
      <c r="C152" s="36">
        <f>IF(A152="","",MONTH(A152))</f>
        <v/>
      </c>
      <c r="D152" s="37">
        <f>IF(A152="","","Q"&amp;ROUNDUP(MONTH(A152)/3,0))</f>
        <v/>
      </c>
      <c r="E152" s="18" t="n"/>
      <c r="F152" s="18" t="n"/>
      <c r="G152" s="38" t="n"/>
      <c r="H152" s="38" t="n"/>
      <c r="I152" s="19" t="n"/>
      <c r="J152" s="19" t="n"/>
      <c r="K152" s="19" t="n"/>
      <c r="L152" s="19" t="n"/>
      <c r="M152" s="19" t="n"/>
      <c r="N152" s="43">
        <f>IF(COUNTA(I152:M152)&gt;0,AVERAGE(I152:M152),"")</f>
        <v/>
      </c>
      <c r="O152" s="18" t="n"/>
    </row>
    <row r="153">
      <c r="A153" s="41" t="n"/>
      <c r="B153" s="35">
        <f>IF(A153="","",YEAR(A153))</f>
        <v/>
      </c>
      <c r="C153" s="36">
        <f>IF(A153="","",MONTH(A153))</f>
        <v/>
      </c>
      <c r="D153" s="37">
        <f>IF(A153="","","Q"&amp;ROUNDUP(MONTH(A153)/3,0))</f>
        <v/>
      </c>
      <c r="E153" s="22" t="n"/>
      <c r="F153" s="22" t="n"/>
      <c r="G153" s="42" t="n"/>
      <c r="H153" s="42" t="n"/>
      <c r="I153" s="23" t="n"/>
      <c r="J153" s="23" t="n"/>
      <c r="K153" s="23" t="n"/>
      <c r="L153" s="23" t="n"/>
      <c r="M153" s="23" t="n"/>
      <c r="N153" s="43">
        <f>IF(COUNTA(I153:M153)&gt;0,AVERAGE(I153:M153),"")</f>
        <v/>
      </c>
      <c r="O153" s="22" t="n"/>
    </row>
    <row r="154">
      <c r="A154" s="34" t="n"/>
      <c r="B154" s="35">
        <f>IF(A154="","",YEAR(A154))</f>
        <v/>
      </c>
      <c r="C154" s="36">
        <f>IF(A154="","",MONTH(A154))</f>
        <v/>
      </c>
      <c r="D154" s="37">
        <f>IF(A154="","","Q"&amp;ROUNDUP(MONTH(A154)/3,0))</f>
        <v/>
      </c>
      <c r="E154" s="18" t="n"/>
      <c r="F154" s="18" t="n"/>
      <c r="G154" s="38" t="n"/>
      <c r="H154" s="38" t="n"/>
      <c r="I154" s="19" t="n"/>
      <c r="J154" s="19" t="n"/>
      <c r="K154" s="19" t="n"/>
      <c r="L154" s="19" t="n"/>
      <c r="M154" s="19" t="n"/>
      <c r="N154" s="43">
        <f>IF(COUNTA(I154:M154)&gt;0,AVERAGE(I154:M154),"")</f>
        <v/>
      </c>
      <c r="O154" s="18" t="n"/>
    </row>
    <row r="155">
      <c r="A155" s="41" t="n"/>
      <c r="B155" s="35">
        <f>IF(A155="","",YEAR(A155))</f>
        <v/>
      </c>
      <c r="C155" s="36">
        <f>IF(A155="","",MONTH(A155))</f>
        <v/>
      </c>
      <c r="D155" s="37">
        <f>IF(A155="","","Q"&amp;ROUNDUP(MONTH(A155)/3,0))</f>
        <v/>
      </c>
      <c r="E155" s="22" t="n"/>
      <c r="F155" s="22" t="n"/>
      <c r="G155" s="42" t="n"/>
      <c r="H155" s="42" t="n"/>
      <c r="I155" s="23" t="n"/>
      <c r="J155" s="23" t="n"/>
      <c r="K155" s="23" t="n"/>
      <c r="L155" s="23" t="n"/>
      <c r="M155" s="23" t="n"/>
      <c r="N155" s="43">
        <f>IF(COUNTA(I155:M155)&gt;0,AVERAGE(I155:M155),"")</f>
        <v/>
      </c>
      <c r="O155" s="22" t="n"/>
    </row>
    <row r="156">
      <c r="A156" s="34" t="n"/>
      <c r="B156" s="35">
        <f>IF(A156="","",YEAR(A156))</f>
        <v/>
      </c>
      <c r="C156" s="36">
        <f>IF(A156="","",MONTH(A156))</f>
        <v/>
      </c>
      <c r="D156" s="37">
        <f>IF(A156="","","Q"&amp;ROUNDUP(MONTH(A156)/3,0))</f>
        <v/>
      </c>
      <c r="E156" s="18" t="n"/>
      <c r="F156" s="18" t="n"/>
      <c r="G156" s="38" t="n"/>
      <c r="H156" s="38" t="n"/>
      <c r="I156" s="19" t="n"/>
      <c r="J156" s="19" t="n"/>
      <c r="K156" s="19" t="n"/>
      <c r="L156" s="19" t="n"/>
      <c r="M156" s="19" t="n"/>
      <c r="N156" s="43">
        <f>IF(COUNTA(I156:M156)&gt;0,AVERAGE(I156:M156),"")</f>
        <v/>
      </c>
      <c r="O156" s="18" t="n"/>
    </row>
    <row r="157">
      <c r="A157" s="41" t="n"/>
      <c r="B157" s="35">
        <f>IF(A157="","",YEAR(A157))</f>
        <v/>
      </c>
      <c r="C157" s="36">
        <f>IF(A157="","",MONTH(A157))</f>
        <v/>
      </c>
      <c r="D157" s="37">
        <f>IF(A157="","","Q"&amp;ROUNDUP(MONTH(A157)/3,0))</f>
        <v/>
      </c>
      <c r="E157" s="22" t="n"/>
      <c r="F157" s="22" t="n"/>
      <c r="G157" s="42" t="n"/>
      <c r="H157" s="42" t="n"/>
      <c r="I157" s="23" t="n"/>
      <c r="J157" s="23" t="n"/>
      <c r="K157" s="23" t="n"/>
      <c r="L157" s="23" t="n"/>
      <c r="M157" s="23" t="n"/>
      <c r="N157" s="43">
        <f>IF(COUNTA(I157:M157)&gt;0,AVERAGE(I157:M157),"")</f>
        <v/>
      </c>
      <c r="O157" s="22" t="n"/>
    </row>
    <row r="158">
      <c r="A158" s="34" t="n"/>
      <c r="B158" s="35">
        <f>IF(A158="","",YEAR(A158))</f>
        <v/>
      </c>
      <c r="C158" s="36">
        <f>IF(A158="","",MONTH(A158))</f>
        <v/>
      </c>
      <c r="D158" s="37">
        <f>IF(A158="","","Q"&amp;ROUNDUP(MONTH(A158)/3,0))</f>
        <v/>
      </c>
      <c r="E158" s="18" t="n"/>
      <c r="F158" s="18" t="n"/>
      <c r="G158" s="38" t="n"/>
      <c r="H158" s="38" t="n"/>
      <c r="I158" s="19" t="n"/>
      <c r="J158" s="19" t="n"/>
      <c r="K158" s="19" t="n"/>
      <c r="L158" s="19" t="n"/>
      <c r="M158" s="19" t="n"/>
      <c r="N158" s="43">
        <f>IF(COUNTA(I158:M158)&gt;0,AVERAGE(I158:M158),"")</f>
        <v/>
      </c>
      <c r="O158" s="18" t="n"/>
    </row>
    <row r="159">
      <c r="A159" s="41" t="n"/>
      <c r="B159" s="35">
        <f>IF(A159="","",YEAR(A159))</f>
        <v/>
      </c>
      <c r="C159" s="36">
        <f>IF(A159="","",MONTH(A159))</f>
        <v/>
      </c>
      <c r="D159" s="37">
        <f>IF(A159="","","Q"&amp;ROUNDUP(MONTH(A159)/3,0))</f>
        <v/>
      </c>
      <c r="E159" s="22" t="n"/>
      <c r="F159" s="22" t="n"/>
      <c r="G159" s="42" t="n"/>
      <c r="H159" s="42" t="n"/>
      <c r="I159" s="23" t="n"/>
      <c r="J159" s="23" t="n"/>
      <c r="K159" s="23" t="n"/>
      <c r="L159" s="23" t="n"/>
      <c r="M159" s="23" t="n"/>
      <c r="N159" s="43">
        <f>IF(COUNTA(I159:M159)&gt;0,AVERAGE(I159:M159),"")</f>
        <v/>
      </c>
      <c r="O159" s="22" t="n"/>
    </row>
    <row r="160">
      <c r="A160" s="34" t="n"/>
      <c r="B160" s="35">
        <f>IF(A160="","",YEAR(A160))</f>
        <v/>
      </c>
      <c r="C160" s="36">
        <f>IF(A160="","",MONTH(A160))</f>
        <v/>
      </c>
      <c r="D160" s="37">
        <f>IF(A160="","","Q"&amp;ROUNDUP(MONTH(A160)/3,0))</f>
        <v/>
      </c>
      <c r="E160" s="18" t="n"/>
      <c r="F160" s="18" t="n"/>
      <c r="G160" s="38" t="n"/>
      <c r="H160" s="38" t="n"/>
      <c r="I160" s="19" t="n"/>
      <c r="J160" s="19" t="n"/>
      <c r="K160" s="19" t="n"/>
      <c r="L160" s="19" t="n"/>
      <c r="M160" s="19" t="n"/>
      <c r="N160" s="43">
        <f>IF(COUNTA(I160:M160)&gt;0,AVERAGE(I160:M160),"")</f>
        <v/>
      </c>
      <c r="O160" s="18" t="n"/>
    </row>
    <row r="161">
      <c r="A161" s="41" t="n"/>
      <c r="B161" s="35">
        <f>IF(A161="","",YEAR(A161))</f>
        <v/>
      </c>
      <c r="C161" s="36">
        <f>IF(A161="","",MONTH(A161))</f>
        <v/>
      </c>
      <c r="D161" s="37">
        <f>IF(A161="","","Q"&amp;ROUNDUP(MONTH(A161)/3,0))</f>
        <v/>
      </c>
      <c r="E161" s="22" t="n"/>
      <c r="F161" s="22" t="n"/>
      <c r="G161" s="42" t="n"/>
      <c r="H161" s="42" t="n"/>
      <c r="I161" s="23" t="n"/>
      <c r="J161" s="23" t="n"/>
      <c r="K161" s="23" t="n"/>
      <c r="L161" s="23" t="n"/>
      <c r="M161" s="23" t="n"/>
      <c r="N161" s="43">
        <f>IF(COUNTA(I161:M161)&gt;0,AVERAGE(I161:M161),"")</f>
        <v/>
      </c>
      <c r="O161" s="22" t="n"/>
    </row>
    <row r="162">
      <c r="A162" s="34" t="n"/>
      <c r="B162" s="35">
        <f>IF(A162="","",YEAR(A162))</f>
        <v/>
      </c>
      <c r="C162" s="36">
        <f>IF(A162="","",MONTH(A162))</f>
        <v/>
      </c>
      <c r="D162" s="37">
        <f>IF(A162="","","Q"&amp;ROUNDUP(MONTH(A162)/3,0))</f>
        <v/>
      </c>
      <c r="E162" s="18" t="n"/>
      <c r="F162" s="18" t="n"/>
      <c r="G162" s="38" t="n"/>
      <c r="H162" s="38" t="n"/>
      <c r="I162" s="19" t="n"/>
      <c r="J162" s="19" t="n"/>
      <c r="K162" s="19" t="n"/>
      <c r="L162" s="19" t="n"/>
      <c r="M162" s="19" t="n"/>
      <c r="N162" s="43">
        <f>IF(COUNTA(I162:M162)&gt;0,AVERAGE(I162:M162),"")</f>
        <v/>
      </c>
      <c r="O162" s="18" t="n"/>
    </row>
    <row r="163">
      <c r="A163" s="41" t="n"/>
      <c r="B163" s="35">
        <f>IF(A163="","",YEAR(A163))</f>
        <v/>
      </c>
      <c r="C163" s="36">
        <f>IF(A163="","",MONTH(A163))</f>
        <v/>
      </c>
      <c r="D163" s="37">
        <f>IF(A163="","","Q"&amp;ROUNDUP(MONTH(A163)/3,0))</f>
        <v/>
      </c>
      <c r="E163" s="22" t="n"/>
      <c r="F163" s="22" t="n"/>
      <c r="G163" s="42" t="n"/>
      <c r="H163" s="42" t="n"/>
      <c r="I163" s="23" t="n"/>
      <c r="J163" s="23" t="n"/>
      <c r="K163" s="23" t="n"/>
      <c r="L163" s="23" t="n"/>
      <c r="M163" s="23" t="n"/>
      <c r="N163" s="43">
        <f>IF(COUNTA(I163:M163)&gt;0,AVERAGE(I163:M163),"")</f>
        <v/>
      </c>
      <c r="O163" s="22" t="n"/>
    </row>
    <row r="164">
      <c r="A164" s="34" t="n"/>
      <c r="B164" s="35">
        <f>IF(A164="","",YEAR(A164))</f>
        <v/>
      </c>
      <c r="C164" s="36">
        <f>IF(A164="","",MONTH(A164))</f>
        <v/>
      </c>
      <c r="D164" s="37">
        <f>IF(A164="","","Q"&amp;ROUNDUP(MONTH(A164)/3,0))</f>
        <v/>
      </c>
      <c r="E164" s="18" t="n"/>
      <c r="F164" s="18" t="n"/>
      <c r="G164" s="38" t="n"/>
      <c r="H164" s="38" t="n"/>
      <c r="I164" s="19" t="n"/>
      <c r="J164" s="19" t="n"/>
      <c r="K164" s="19" t="n"/>
      <c r="L164" s="19" t="n"/>
      <c r="M164" s="19" t="n"/>
      <c r="N164" s="43">
        <f>IF(COUNTA(I164:M164)&gt;0,AVERAGE(I164:M164),"")</f>
        <v/>
      </c>
      <c r="O164" s="18" t="n"/>
    </row>
    <row r="165">
      <c r="A165" s="41" t="n"/>
      <c r="B165" s="35">
        <f>IF(A165="","",YEAR(A165))</f>
        <v/>
      </c>
      <c r="C165" s="36">
        <f>IF(A165="","",MONTH(A165))</f>
        <v/>
      </c>
      <c r="D165" s="37">
        <f>IF(A165="","","Q"&amp;ROUNDUP(MONTH(A165)/3,0))</f>
        <v/>
      </c>
      <c r="E165" s="22" t="n"/>
      <c r="F165" s="22" t="n"/>
      <c r="G165" s="42" t="n"/>
      <c r="H165" s="42" t="n"/>
      <c r="I165" s="23" t="n"/>
      <c r="J165" s="23" t="n"/>
      <c r="K165" s="23" t="n"/>
      <c r="L165" s="23" t="n"/>
      <c r="M165" s="23" t="n"/>
      <c r="N165" s="43">
        <f>IF(COUNTA(I165:M165)&gt;0,AVERAGE(I165:M165),"")</f>
        <v/>
      </c>
      <c r="O165" s="22" t="n"/>
    </row>
    <row r="166">
      <c r="A166" s="34" t="n"/>
      <c r="B166" s="35">
        <f>IF(A166="","",YEAR(A166))</f>
        <v/>
      </c>
      <c r="C166" s="36">
        <f>IF(A166="","",MONTH(A166))</f>
        <v/>
      </c>
      <c r="D166" s="37">
        <f>IF(A166="","","Q"&amp;ROUNDUP(MONTH(A166)/3,0))</f>
        <v/>
      </c>
      <c r="E166" s="18" t="n"/>
      <c r="F166" s="18" t="n"/>
      <c r="G166" s="38" t="n"/>
      <c r="H166" s="38" t="n"/>
      <c r="I166" s="19" t="n"/>
      <c r="J166" s="19" t="n"/>
      <c r="K166" s="19" t="n"/>
      <c r="L166" s="19" t="n"/>
      <c r="M166" s="19" t="n"/>
      <c r="N166" s="43">
        <f>IF(COUNTA(I166:M166)&gt;0,AVERAGE(I166:M166),"")</f>
        <v/>
      </c>
      <c r="O166" s="18" t="n"/>
    </row>
    <row r="167">
      <c r="A167" s="41" t="n"/>
      <c r="B167" s="35">
        <f>IF(A167="","",YEAR(A167))</f>
        <v/>
      </c>
      <c r="C167" s="36">
        <f>IF(A167="","",MONTH(A167))</f>
        <v/>
      </c>
      <c r="D167" s="37">
        <f>IF(A167="","","Q"&amp;ROUNDUP(MONTH(A167)/3,0))</f>
        <v/>
      </c>
      <c r="E167" s="22" t="n"/>
      <c r="F167" s="22" t="n"/>
      <c r="G167" s="42" t="n"/>
      <c r="H167" s="42" t="n"/>
      <c r="I167" s="23" t="n"/>
      <c r="J167" s="23" t="n"/>
      <c r="K167" s="23" t="n"/>
      <c r="L167" s="23" t="n"/>
      <c r="M167" s="23" t="n"/>
      <c r="N167" s="43">
        <f>IF(COUNTA(I167:M167)&gt;0,AVERAGE(I167:M167),"")</f>
        <v/>
      </c>
      <c r="O167" s="22" t="n"/>
    </row>
    <row r="168">
      <c r="A168" s="34" t="n"/>
      <c r="B168" s="35">
        <f>IF(A168="","",YEAR(A168))</f>
        <v/>
      </c>
      <c r="C168" s="36">
        <f>IF(A168="","",MONTH(A168))</f>
        <v/>
      </c>
      <c r="D168" s="37">
        <f>IF(A168="","","Q"&amp;ROUNDUP(MONTH(A168)/3,0))</f>
        <v/>
      </c>
      <c r="E168" s="18" t="n"/>
      <c r="F168" s="18" t="n"/>
      <c r="G168" s="38" t="n"/>
      <c r="H168" s="38" t="n"/>
      <c r="I168" s="19" t="n"/>
      <c r="J168" s="19" t="n"/>
      <c r="K168" s="19" t="n"/>
      <c r="L168" s="19" t="n"/>
      <c r="M168" s="19" t="n"/>
      <c r="N168" s="43">
        <f>IF(COUNTA(I168:M168)&gt;0,AVERAGE(I168:M168),"")</f>
        <v/>
      </c>
      <c r="O168" s="18" t="n"/>
    </row>
    <row r="169">
      <c r="A169" s="41" t="n"/>
      <c r="B169" s="35">
        <f>IF(A169="","",YEAR(A169))</f>
        <v/>
      </c>
      <c r="C169" s="36">
        <f>IF(A169="","",MONTH(A169))</f>
        <v/>
      </c>
      <c r="D169" s="37">
        <f>IF(A169="","","Q"&amp;ROUNDUP(MONTH(A169)/3,0))</f>
        <v/>
      </c>
      <c r="E169" s="22" t="n"/>
      <c r="F169" s="22" t="n"/>
      <c r="G169" s="42" t="n"/>
      <c r="H169" s="42" t="n"/>
      <c r="I169" s="23" t="n"/>
      <c r="J169" s="23" t="n"/>
      <c r="K169" s="23" t="n"/>
      <c r="L169" s="23" t="n"/>
      <c r="M169" s="23" t="n"/>
      <c r="N169" s="43">
        <f>IF(COUNTA(I169:M169)&gt;0,AVERAGE(I169:M169),"")</f>
        <v/>
      </c>
      <c r="O169" s="22" t="n"/>
    </row>
    <row r="170">
      <c r="A170" s="34" t="n"/>
      <c r="B170" s="35">
        <f>IF(A170="","",YEAR(A170))</f>
        <v/>
      </c>
      <c r="C170" s="36">
        <f>IF(A170="","",MONTH(A170))</f>
        <v/>
      </c>
      <c r="D170" s="37">
        <f>IF(A170="","","Q"&amp;ROUNDUP(MONTH(A170)/3,0))</f>
        <v/>
      </c>
      <c r="E170" s="18" t="n"/>
      <c r="F170" s="18" t="n"/>
      <c r="G170" s="38" t="n"/>
      <c r="H170" s="38" t="n"/>
      <c r="I170" s="19" t="n"/>
      <c r="J170" s="19" t="n"/>
      <c r="K170" s="19" t="n"/>
      <c r="L170" s="19" t="n"/>
      <c r="M170" s="19" t="n"/>
      <c r="N170" s="43">
        <f>IF(COUNTA(I170:M170)&gt;0,AVERAGE(I170:M170),"")</f>
        <v/>
      </c>
      <c r="O170" s="18" t="n"/>
    </row>
    <row r="171">
      <c r="A171" s="41" t="n"/>
      <c r="B171" s="35">
        <f>IF(A171="","",YEAR(A171))</f>
        <v/>
      </c>
      <c r="C171" s="36">
        <f>IF(A171="","",MONTH(A171))</f>
        <v/>
      </c>
      <c r="D171" s="37">
        <f>IF(A171="","","Q"&amp;ROUNDUP(MONTH(A171)/3,0))</f>
        <v/>
      </c>
      <c r="E171" s="22" t="n"/>
      <c r="F171" s="22" t="n"/>
      <c r="G171" s="42" t="n"/>
      <c r="H171" s="42" t="n"/>
      <c r="I171" s="23" t="n"/>
      <c r="J171" s="23" t="n"/>
      <c r="K171" s="23" t="n"/>
      <c r="L171" s="23" t="n"/>
      <c r="M171" s="23" t="n"/>
      <c r="N171" s="43">
        <f>IF(COUNTA(I171:M171)&gt;0,AVERAGE(I171:M171),"")</f>
        <v/>
      </c>
      <c r="O171" s="22" t="n"/>
    </row>
    <row r="172">
      <c r="A172" s="34" t="n"/>
      <c r="B172" s="35">
        <f>IF(A172="","",YEAR(A172))</f>
        <v/>
      </c>
      <c r="C172" s="36">
        <f>IF(A172="","",MONTH(A172))</f>
        <v/>
      </c>
      <c r="D172" s="37">
        <f>IF(A172="","","Q"&amp;ROUNDUP(MONTH(A172)/3,0))</f>
        <v/>
      </c>
      <c r="E172" s="18" t="n"/>
      <c r="F172" s="18" t="n"/>
      <c r="G172" s="38" t="n"/>
      <c r="H172" s="38" t="n"/>
      <c r="I172" s="19" t="n"/>
      <c r="J172" s="19" t="n"/>
      <c r="K172" s="19" t="n"/>
      <c r="L172" s="19" t="n"/>
      <c r="M172" s="19" t="n"/>
      <c r="N172" s="43">
        <f>IF(COUNTA(I172:M172)&gt;0,AVERAGE(I172:M172),"")</f>
        <v/>
      </c>
      <c r="O172" s="18" t="n"/>
    </row>
    <row r="173">
      <c r="A173" s="41" t="n"/>
      <c r="B173" s="35">
        <f>IF(A173="","",YEAR(A173))</f>
        <v/>
      </c>
      <c r="C173" s="36">
        <f>IF(A173="","",MONTH(A173))</f>
        <v/>
      </c>
      <c r="D173" s="37">
        <f>IF(A173="","","Q"&amp;ROUNDUP(MONTH(A173)/3,0))</f>
        <v/>
      </c>
      <c r="E173" s="22" t="n"/>
      <c r="F173" s="22" t="n"/>
      <c r="G173" s="42" t="n"/>
      <c r="H173" s="42" t="n"/>
      <c r="I173" s="23" t="n"/>
      <c r="J173" s="23" t="n"/>
      <c r="K173" s="23" t="n"/>
      <c r="L173" s="23" t="n"/>
      <c r="M173" s="23" t="n"/>
      <c r="N173" s="43">
        <f>IF(COUNTA(I173:M173)&gt;0,AVERAGE(I173:M173),"")</f>
        <v/>
      </c>
      <c r="O173" s="22" t="n"/>
    </row>
    <row r="174">
      <c r="A174" s="34" t="n"/>
      <c r="B174" s="35">
        <f>IF(A174="","",YEAR(A174))</f>
        <v/>
      </c>
      <c r="C174" s="36">
        <f>IF(A174="","",MONTH(A174))</f>
        <v/>
      </c>
      <c r="D174" s="37">
        <f>IF(A174="","","Q"&amp;ROUNDUP(MONTH(A174)/3,0))</f>
        <v/>
      </c>
      <c r="E174" s="18" t="n"/>
      <c r="F174" s="18" t="n"/>
      <c r="G174" s="38" t="n"/>
      <c r="H174" s="38" t="n"/>
      <c r="I174" s="19" t="n"/>
      <c r="J174" s="19" t="n"/>
      <c r="K174" s="19" t="n"/>
      <c r="L174" s="19" t="n"/>
      <c r="M174" s="19" t="n"/>
      <c r="N174" s="43">
        <f>IF(COUNTA(I174:M174)&gt;0,AVERAGE(I174:M174),"")</f>
        <v/>
      </c>
      <c r="O174" s="18" t="n"/>
    </row>
    <row r="175">
      <c r="A175" s="41" t="n"/>
      <c r="B175" s="35">
        <f>IF(A175="","",YEAR(A175))</f>
        <v/>
      </c>
      <c r="C175" s="36">
        <f>IF(A175="","",MONTH(A175))</f>
        <v/>
      </c>
      <c r="D175" s="37">
        <f>IF(A175="","","Q"&amp;ROUNDUP(MONTH(A175)/3,0))</f>
        <v/>
      </c>
      <c r="E175" s="22" t="n"/>
      <c r="F175" s="22" t="n"/>
      <c r="G175" s="42" t="n"/>
      <c r="H175" s="42" t="n"/>
      <c r="I175" s="23" t="n"/>
      <c r="J175" s="23" t="n"/>
      <c r="K175" s="23" t="n"/>
      <c r="L175" s="23" t="n"/>
      <c r="M175" s="23" t="n"/>
      <c r="N175" s="43">
        <f>IF(COUNTA(I175:M175)&gt;0,AVERAGE(I175:M175),"")</f>
        <v/>
      </c>
      <c r="O175" s="22" t="n"/>
    </row>
    <row r="176">
      <c r="A176" s="34" t="n"/>
      <c r="B176" s="35">
        <f>IF(A176="","",YEAR(A176))</f>
        <v/>
      </c>
      <c r="C176" s="36">
        <f>IF(A176="","",MONTH(A176))</f>
        <v/>
      </c>
      <c r="D176" s="37">
        <f>IF(A176="","","Q"&amp;ROUNDUP(MONTH(A176)/3,0))</f>
        <v/>
      </c>
      <c r="E176" s="18" t="n"/>
      <c r="F176" s="18" t="n"/>
      <c r="G176" s="38" t="n"/>
      <c r="H176" s="38" t="n"/>
      <c r="I176" s="19" t="n"/>
      <c r="J176" s="19" t="n"/>
      <c r="K176" s="19" t="n"/>
      <c r="L176" s="19" t="n"/>
      <c r="M176" s="19" t="n"/>
      <c r="N176" s="43">
        <f>IF(COUNTA(I176:M176)&gt;0,AVERAGE(I176:M176),"")</f>
        <v/>
      </c>
      <c r="O176" s="18" t="n"/>
    </row>
    <row r="177">
      <c r="A177" s="41" t="n"/>
      <c r="B177" s="35">
        <f>IF(A177="","",YEAR(A177))</f>
        <v/>
      </c>
      <c r="C177" s="36">
        <f>IF(A177="","",MONTH(A177))</f>
        <v/>
      </c>
      <c r="D177" s="37">
        <f>IF(A177="","","Q"&amp;ROUNDUP(MONTH(A177)/3,0))</f>
        <v/>
      </c>
      <c r="E177" s="22" t="n"/>
      <c r="F177" s="22" t="n"/>
      <c r="G177" s="42" t="n"/>
      <c r="H177" s="42" t="n"/>
      <c r="I177" s="23" t="n"/>
      <c r="J177" s="23" t="n"/>
      <c r="K177" s="23" t="n"/>
      <c r="L177" s="23" t="n"/>
      <c r="M177" s="23" t="n"/>
      <c r="N177" s="43">
        <f>IF(COUNTA(I177:M177)&gt;0,AVERAGE(I177:M177),"")</f>
        <v/>
      </c>
      <c r="O177" s="22" t="n"/>
    </row>
    <row r="178">
      <c r="A178" s="34" t="n"/>
      <c r="B178" s="35">
        <f>IF(A178="","",YEAR(A178))</f>
        <v/>
      </c>
      <c r="C178" s="36">
        <f>IF(A178="","",MONTH(A178))</f>
        <v/>
      </c>
      <c r="D178" s="37">
        <f>IF(A178="","","Q"&amp;ROUNDUP(MONTH(A178)/3,0))</f>
        <v/>
      </c>
      <c r="E178" s="18" t="n"/>
      <c r="F178" s="18" t="n"/>
      <c r="G178" s="38" t="n"/>
      <c r="H178" s="38" t="n"/>
      <c r="I178" s="19" t="n"/>
      <c r="J178" s="19" t="n"/>
      <c r="K178" s="19" t="n"/>
      <c r="L178" s="19" t="n"/>
      <c r="M178" s="19" t="n"/>
      <c r="N178" s="43">
        <f>IF(COUNTA(I178:M178)&gt;0,AVERAGE(I178:M178),"")</f>
        <v/>
      </c>
      <c r="O178" s="18" t="n"/>
    </row>
    <row r="179">
      <c r="A179" s="41" t="n"/>
      <c r="B179" s="35">
        <f>IF(A179="","",YEAR(A179))</f>
        <v/>
      </c>
      <c r="C179" s="36">
        <f>IF(A179="","",MONTH(A179))</f>
        <v/>
      </c>
      <c r="D179" s="37">
        <f>IF(A179="","","Q"&amp;ROUNDUP(MONTH(A179)/3,0))</f>
        <v/>
      </c>
      <c r="E179" s="22" t="n"/>
      <c r="F179" s="22" t="n"/>
      <c r="G179" s="42" t="n"/>
      <c r="H179" s="42" t="n"/>
      <c r="I179" s="23" t="n"/>
      <c r="J179" s="23" t="n"/>
      <c r="K179" s="23" t="n"/>
      <c r="L179" s="23" t="n"/>
      <c r="M179" s="23" t="n"/>
      <c r="N179" s="43">
        <f>IF(COUNTA(I179:M179)&gt;0,AVERAGE(I179:M179),"")</f>
        <v/>
      </c>
      <c r="O179" s="22" t="n"/>
    </row>
    <row r="180">
      <c r="A180" s="34" t="n"/>
      <c r="B180" s="35">
        <f>IF(A180="","",YEAR(A180))</f>
        <v/>
      </c>
      <c r="C180" s="36">
        <f>IF(A180="","",MONTH(A180))</f>
        <v/>
      </c>
      <c r="D180" s="37">
        <f>IF(A180="","","Q"&amp;ROUNDUP(MONTH(A180)/3,0))</f>
        <v/>
      </c>
      <c r="E180" s="18" t="n"/>
      <c r="F180" s="18" t="n"/>
      <c r="G180" s="38" t="n"/>
      <c r="H180" s="38" t="n"/>
      <c r="I180" s="19" t="n"/>
      <c r="J180" s="19" t="n"/>
      <c r="K180" s="19" t="n"/>
      <c r="L180" s="19" t="n"/>
      <c r="M180" s="19" t="n"/>
      <c r="N180" s="43">
        <f>IF(COUNTA(I180:M180)&gt;0,AVERAGE(I180:M180),"")</f>
        <v/>
      </c>
      <c r="O180" s="18" t="n"/>
    </row>
    <row r="181">
      <c r="A181" s="41" t="n"/>
      <c r="B181" s="35">
        <f>IF(A181="","",YEAR(A181))</f>
        <v/>
      </c>
      <c r="C181" s="36">
        <f>IF(A181="","",MONTH(A181))</f>
        <v/>
      </c>
      <c r="D181" s="37">
        <f>IF(A181="","","Q"&amp;ROUNDUP(MONTH(A181)/3,0))</f>
        <v/>
      </c>
      <c r="E181" s="22" t="n"/>
      <c r="F181" s="22" t="n"/>
      <c r="G181" s="42" t="n"/>
      <c r="H181" s="42" t="n"/>
      <c r="I181" s="23" t="n"/>
      <c r="J181" s="23" t="n"/>
      <c r="K181" s="23" t="n"/>
      <c r="L181" s="23" t="n"/>
      <c r="M181" s="23" t="n"/>
      <c r="N181" s="43">
        <f>IF(COUNTA(I181:M181)&gt;0,AVERAGE(I181:M181),"")</f>
        <v/>
      </c>
      <c r="O181" s="22" t="n"/>
    </row>
    <row r="182">
      <c r="A182" s="34" t="n"/>
      <c r="B182" s="35">
        <f>IF(A182="","",YEAR(A182))</f>
        <v/>
      </c>
      <c r="C182" s="36">
        <f>IF(A182="","",MONTH(A182))</f>
        <v/>
      </c>
      <c r="D182" s="37">
        <f>IF(A182="","","Q"&amp;ROUNDUP(MONTH(A182)/3,0))</f>
        <v/>
      </c>
      <c r="E182" s="18" t="n"/>
      <c r="F182" s="18" t="n"/>
      <c r="G182" s="38" t="n"/>
      <c r="H182" s="38" t="n"/>
      <c r="I182" s="19" t="n"/>
      <c r="J182" s="19" t="n"/>
      <c r="K182" s="19" t="n"/>
      <c r="L182" s="19" t="n"/>
      <c r="M182" s="19" t="n"/>
      <c r="N182" s="43">
        <f>IF(COUNTA(I182:M182)&gt;0,AVERAGE(I182:M182),"")</f>
        <v/>
      </c>
      <c r="O182" s="18" t="n"/>
    </row>
    <row r="183">
      <c r="A183" s="41" t="n"/>
      <c r="B183" s="35">
        <f>IF(A183="","",YEAR(A183))</f>
        <v/>
      </c>
      <c r="C183" s="36">
        <f>IF(A183="","",MONTH(A183))</f>
        <v/>
      </c>
      <c r="D183" s="37">
        <f>IF(A183="","","Q"&amp;ROUNDUP(MONTH(A183)/3,0))</f>
        <v/>
      </c>
      <c r="E183" s="22" t="n"/>
      <c r="F183" s="22" t="n"/>
      <c r="G183" s="42" t="n"/>
      <c r="H183" s="42" t="n"/>
      <c r="I183" s="23" t="n"/>
      <c r="J183" s="23" t="n"/>
      <c r="K183" s="23" t="n"/>
      <c r="L183" s="23" t="n"/>
      <c r="M183" s="23" t="n"/>
      <c r="N183" s="43">
        <f>IF(COUNTA(I183:M183)&gt;0,AVERAGE(I183:M183),"")</f>
        <v/>
      </c>
      <c r="O183" s="22" t="n"/>
    </row>
    <row r="184">
      <c r="A184" s="34" t="n"/>
      <c r="B184" s="35">
        <f>IF(A184="","",YEAR(A184))</f>
        <v/>
      </c>
      <c r="C184" s="36">
        <f>IF(A184="","",MONTH(A184))</f>
        <v/>
      </c>
      <c r="D184" s="37">
        <f>IF(A184="","","Q"&amp;ROUNDUP(MONTH(A184)/3,0))</f>
        <v/>
      </c>
      <c r="E184" s="18" t="n"/>
      <c r="F184" s="18" t="n"/>
      <c r="G184" s="38" t="n"/>
      <c r="H184" s="38" t="n"/>
      <c r="I184" s="19" t="n"/>
      <c r="J184" s="19" t="n"/>
      <c r="K184" s="19" t="n"/>
      <c r="L184" s="19" t="n"/>
      <c r="M184" s="19" t="n"/>
      <c r="N184" s="43">
        <f>IF(COUNTA(I184:M184)&gt;0,AVERAGE(I184:M184),"")</f>
        <v/>
      </c>
      <c r="O184" s="18" t="n"/>
    </row>
    <row r="185">
      <c r="A185" s="41" t="n"/>
      <c r="B185" s="35">
        <f>IF(A185="","",YEAR(A185))</f>
        <v/>
      </c>
      <c r="C185" s="36">
        <f>IF(A185="","",MONTH(A185))</f>
        <v/>
      </c>
      <c r="D185" s="37">
        <f>IF(A185="","","Q"&amp;ROUNDUP(MONTH(A185)/3,0))</f>
        <v/>
      </c>
      <c r="E185" s="22" t="n"/>
      <c r="F185" s="22" t="n"/>
      <c r="G185" s="42" t="n"/>
      <c r="H185" s="42" t="n"/>
      <c r="I185" s="23" t="n"/>
      <c r="J185" s="23" t="n"/>
      <c r="K185" s="23" t="n"/>
      <c r="L185" s="23" t="n"/>
      <c r="M185" s="23" t="n"/>
      <c r="N185" s="43">
        <f>IF(COUNTA(I185:M185)&gt;0,AVERAGE(I185:M185),"")</f>
        <v/>
      </c>
      <c r="O185" s="22" t="n"/>
    </row>
    <row r="186">
      <c r="A186" s="34" t="n"/>
      <c r="B186" s="35">
        <f>IF(A186="","",YEAR(A186))</f>
        <v/>
      </c>
      <c r="C186" s="36">
        <f>IF(A186="","",MONTH(A186))</f>
        <v/>
      </c>
      <c r="D186" s="37">
        <f>IF(A186="","","Q"&amp;ROUNDUP(MONTH(A186)/3,0))</f>
        <v/>
      </c>
      <c r="E186" s="18" t="n"/>
      <c r="F186" s="18" t="n"/>
      <c r="G186" s="38" t="n"/>
      <c r="H186" s="38" t="n"/>
      <c r="I186" s="19" t="n"/>
      <c r="J186" s="19" t="n"/>
      <c r="K186" s="19" t="n"/>
      <c r="L186" s="19" t="n"/>
      <c r="M186" s="19" t="n"/>
      <c r="N186" s="43">
        <f>IF(COUNTA(I186:M186)&gt;0,AVERAGE(I186:M186),"")</f>
        <v/>
      </c>
      <c r="O186" s="18" t="n"/>
    </row>
    <row r="187">
      <c r="A187" s="41" t="n"/>
      <c r="B187" s="35">
        <f>IF(A187="","",YEAR(A187))</f>
        <v/>
      </c>
      <c r="C187" s="36">
        <f>IF(A187="","",MONTH(A187))</f>
        <v/>
      </c>
      <c r="D187" s="37">
        <f>IF(A187="","","Q"&amp;ROUNDUP(MONTH(A187)/3,0))</f>
        <v/>
      </c>
      <c r="E187" s="22" t="n"/>
      <c r="F187" s="22" t="n"/>
      <c r="G187" s="42" t="n"/>
      <c r="H187" s="42" t="n"/>
      <c r="I187" s="23" t="n"/>
      <c r="J187" s="23" t="n"/>
      <c r="K187" s="23" t="n"/>
      <c r="L187" s="23" t="n"/>
      <c r="M187" s="23" t="n"/>
      <c r="N187" s="43">
        <f>IF(COUNTA(I187:M187)&gt;0,AVERAGE(I187:M187),"")</f>
        <v/>
      </c>
      <c r="O187" s="22" t="n"/>
    </row>
    <row r="188">
      <c r="A188" s="34" t="n"/>
      <c r="B188" s="35">
        <f>IF(A188="","",YEAR(A188))</f>
        <v/>
      </c>
      <c r="C188" s="36">
        <f>IF(A188="","",MONTH(A188))</f>
        <v/>
      </c>
      <c r="D188" s="37">
        <f>IF(A188="","","Q"&amp;ROUNDUP(MONTH(A188)/3,0))</f>
        <v/>
      </c>
      <c r="E188" s="18" t="n"/>
      <c r="F188" s="18" t="n"/>
      <c r="G188" s="38" t="n"/>
      <c r="H188" s="38" t="n"/>
      <c r="I188" s="19" t="n"/>
      <c r="J188" s="19" t="n"/>
      <c r="K188" s="19" t="n"/>
      <c r="L188" s="19" t="n"/>
      <c r="M188" s="19" t="n"/>
      <c r="N188" s="43">
        <f>IF(COUNTA(I188:M188)&gt;0,AVERAGE(I188:M188),"")</f>
        <v/>
      </c>
      <c r="O188" s="18" t="n"/>
    </row>
    <row r="189">
      <c r="A189" s="41" t="n"/>
      <c r="B189" s="35">
        <f>IF(A189="","",YEAR(A189))</f>
        <v/>
      </c>
      <c r="C189" s="36">
        <f>IF(A189="","",MONTH(A189))</f>
        <v/>
      </c>
      <c r="D189" s="37">
        <f>IF(A189="","","Q"&amp;ROUNDUP(MONTH(A189)/3,0))</f>
        <v/>
      </c>
      <c r="E189" s="22" t="n"/>
      <c r="F189" s="22" t="n"/>
      <c r="G189" s="42" t="n"/>
      <c r="H189" s="42" t="n"/>
      <c r="I189" s="23" t="n"/>
      <c r="J189" s="23" t="n"/>
      <c r="K189" s="23" t="n"/>
      <c r="L189" s="23" t="n"/>
      <c r="M189" s="23" t="n"/>
      <c r="N189" s="43">
        <f>IF(COUNTA(I189:M189)&gt;0,AVERAGE(I189:M189),"")</f>
        <v/>
      </c>
      <c r="O189" s="22" t="n"/>
    </row>
    <row r="190">
      <c r="A190" s="34" t="n"/>
      <c r="B190" s="35">
        <f>IF(A190="","",YEAR(A190))</f>
        <v/>
      </c>
      <c r="C190" s="36">
        <f>IF(A190="","",MONTH(A190))</f>
        <v/>
      </c>
      <c r="D190" s="37">
        <f>IF(A190="","","Q"&amp;ROUNDUP(MONTH(A190)/3,0))</f>
        <v/>
      </c>
      <c r="E190" s="18" t="n"/>
      <c r="F190" s="18" t="n"/>
      <c r="G190" s="38" t="n"/>
      <c r="H190" s="38" t="n"/>
      <c r="I190" s="19" t="n"/>
      <c r="J190" s="19" t="n"/>
      <c r="K190" s="19" t="n"/>
      <c r="L190" s="19" t="n"/>
      <c r="M190" s="19" t="n"/>
      <c r="N190" s="43">
        <f>IF(COUNTA(I190:M190)&gt;0,AVERAGE(I190:M190),"")</f>
        <v/>
      </c>
      <c r="O190" s="18" t="n"/>
    </row>
    <row r="191">
      <c r="A191" s="41" t="n"/>
      <c r="B191" s="35">
        <f>IF(A191="","",YEAR(A191))</f>
        <v/>
      </c>
      <c r="C191" s="36">
        <f>IF(A191="","",MONTH(A191))</f>
        <v/>
      </c>
      <c r="D191" s="37">
        <f>IF(A191="","","Q"&amp;ROUNDUP(MONTH(A191)/3,0))</f>
        <v/>
      </c>
      <c r="E191" s="22" t="n"/>
      <c r="F191" s="22" t="n"/>
      <c r="G191" s="42" t="n"/>
      <c r="H191" s="42" t="n"/>
      <c r="I191" s="23" t="n"/>
      <c r="J191" s="23" t="n"/>
      <c r="K191" s="23" t="n"/>
      <c r="L191" s="23" t="n"/>
      <c r="M191" s="23" t="n"/>
      <c r="N191" s="43">
        <f>IF(COUNTA(I191:M191)&gt;0,AVERAGE(I191:M191),"")</f>
        <v/>
      </c>
      <c r="O191" s="22" t="n"/>
    </row>
    <row r="192">
      <c r="A192" s="34" t="n"/>
      <c r="B192" s="35">
        <f>IF(A192="","",YEAR(A192))</f>
        <v/>
      </c>
      <c r="C192" s="36">
        <f>IF(A192="","",MONTH(A192))</f>
        <v/>
      </c>
      <c r="D192" s="37">
        <f>IF(A192="","","Q"&amp;ROUNDUP(MONTH(A192)/3,0))</f>
        <v/>
      </c>
      <c r="E192" s="18" t="n"/>
      <c r="F192" s="18" t="n"/>
      <c r="G192" s="38" t="n"/>
      <c r="H192" s="38" t="n"/>
      <c r="I192" s="19" t="n"/>
      <c r="J192" s="19" t="n"/>
      <c r="K192" s="19" t="n"/>
      <c r="L192" s="19" t="n"/>
      <c r="M192" s="19" t="n"/>
      <c r="N192" s="43">
        <f>IF(COUNTA(I192:M192)&gt;0,AVERAGE(I192:M192),"")</f>
        <v/>
      </c>
      <c r="O192" s="18" t="n"/>
    </row>
    <row r="193">
      <c r="A193" s="41" t="n"/>
      <c r="B193" s="35">
        <f>IF(A193="","",YEAR(A193))</f>
        <v/>
      </c>
      <c r="C193" s="36">
        <f>IF(A193="","",MONTH(A193))</f>
        <v/>
      </c>
      <c r="D193" s="37">
        <f>IF(A193="","","Q"&amp;ROUNDUP(MONTH(A193)/3,0))</f>
        <v/>
      </c>
      <c r="E193" s="22" t="n"/>
      <c r="F193" s="22" t="n"/>
      <c r="G193" s="42" t="n"/>
      <c r="H193" s="42" t="n"/>
      <c r="I193" s="23" t="n"/>
      <c r="J193" s="23" t="n"/>
      <c r="K193" s="23" t="n"/>
      <c r="L193" s="23" t="n"/>
      <c r="M193" s="23" t="n"/>
      <c r="N193" s="43">
        <f>IF(COUNTA(I193:M193)&gt;0,AVERAGE(I193:M193),"")</f>
        <v/>
      </c>
      <c r="O193" s="22" t="n"/>
    </row>
    <row r="194">
      <c r="A194" s="34" t="n"/>
      <c r="B194" s="35">
        <f>IF(A194="","",YEAR(A194))</f>
        <v/>
      </c>
      <c r="C194" s="36">
        <f>IF(A194="","",MONTH(A194))</f>
        <v/>
      </c>
      <c r="D194" s="37">
        <f>IF(A194="","","Q"&amp;ROUNDUP(MONTH(A194)/3,0))</f>
        <v/>
      </c>
      <c r="E194" s="18" t="n"/>
      <c r="F194" s="18" t="n"/>
      <c r="G194" s="38" t="n"/>
      <c r="H194" s="38" t="n"/>
      <c r="I194" s="19" t="n"/>
      <c r="J194" s="19" t="n"/>
      <c r="K194" s="19" t="n"/>
      <c r="L194" s="19" t="n"/>
      <c r="M194" s="19" t="n"/>
      <c r="N194" s="43">
        <f>IF(COUNTA(I194:M194)&gt;0,AVERAGE(I194:M194),"")</f>
        <v/>
      </c>
      <c r="O194" s="18" t="n"/>
    </row>
    <row r="195">
      <c r="A195" s="41" t="n"/>
      <c r="B195" s="35">
        <f>IF(A195="","",YEAR(A195))</f>
        <v/>
      </c>
      <c r="C195" s="36">
        <f>IF(A195="","",MONTH(A195))</f>
        <v/>
      </c>
      <c r="D195" s="37">
        <f>IF(A195="","","Q"&amp;ROUNDUP(MONTH(A195)/3,0))</f>
        <v/>
      </c>
      <c r="E195" s="22" t="n"/>
      <c r="F195" s="22" t="n"/>
      <c r="G195" s="42" t="n"/>
      <c r="H195" s="42" t="n"/>
      <c r="I195" s="23" t="n"/>
      <c r="J195" s="23" t="n"/>
      <c r="K195" s="23" t="n"/>
      <c r="L195" s="23" t="n"/>
      <c r="M195" s="23" t="n"/>
      <c r="N195" s="43">
        <f>IF(COUNTA(I195:M195)&gt;0,AVERAGE(I195:M195),"")</f>
        <v/>
      </c>
      <c r="O195" s="22" t="n"/>
    </row>
    <row r="196">
      <c r="A196" s="34" t="n"/>
      <c r="B196" s="35">
        <f>IF(A196="","",YEAR(A196))</f>
        <v/>
      </c>
      <c r="C196" s="36">
        <f>IF(A196="","",MONTH(A196))</f>
        <v/>
      </c>
      <c r="D196" s="37">
        <f>IF(A196="","","Q"&amp;ROUNDUP(MONTH(A196)/3,0))</f>
        <v/>
      </c>
      <c r="E196" s="18" t="n"/>
      <c r="F196" s="18" t="n"/>
      <c r="G196" s="38" t="n"/>
      <c r="H196" s="38" t="n"/>
      <c r="I196" s="19" t="n"/>
      <c r="J196" s="19" t="n"/>
      <c r="K196" s="19" t="n"/>
      <c r="L196" s="19" t="n"/>
      <c r="M196" s="19" t="n"/>
      <c r="N196" s="43">
        <f>IF(COUNTA(I196:M196)&gt;0,AVERAGE(I196:M196),"")</f>
        <v/>
      </c>
      <c r="O196" s="18" t="n"/>
    </row>
    <row r="197">
      <c r="A197" s="41" t="n"/>
      <c r="B197" s="35">
        <f>IF(A197="","",YEAR(A197))</f>
        <v/>
      </c>
      <c r="C197" s="36">
        <f>IF(A197="","",MONTH(A197))</f>
        <v/>
      </c>
      <c r="D197" s="37">
        <f>IF(A197="","","Q"&amp;ROUNDUP(MONTH(A197)/3,0))</f>
        <v/>
      </c>
      <c r="E197" s="22" t="n"/>
      <c r="F197" s="22" t="n"/>
      <c r="G197" s="42" t="n"/>
      <c r="H197" s="42" t="n"/>
      <c r="I197" s="23" t="n"/>
      <c r="J197" s="23" t="n"/>
      <c r="K197" s="23" t="n"/>
      <c r="L197" s="23" t="n"/>
      <c r="M197" s="23" t="n"/>
      <c r="N197" s="43">
        <f>IF(COUNTA(I197:M197)&gt;0,AVERAGE(I197:M197),"")</f>
        <v/>
      </c>
      <c r="O197" s="22" t="n"/>
    </row>
    <row r="198">
      <c r="A198" s="34" t="n"/>
      <c r="B198" s="35">
        <f>IF(A198="","",YEAR(A198))</f>
        <v/>
      </c>
      <c r="C198" s="36">
        <f>IF(A198="","",MONTH(A198))</f>
        <v/>
      </c>
      <c r="D198" s="37">
        <f>IF(A198="","","Q"&amp;ROUNDUP(MONTH(A198)/3,0))</f>
        <v/>
      </c>
      <c r="E198" s="18" t="n"/>
      <c r="F198" s="18" t="n"/>
      <c r="G198" s="38" t="n"/>
      <c r="H198" s="38" t="n"/>
      <c r="I198" s="19" t="n"/>
      <c r="J198" s="19" t="n"/>
      <c r="K198" s="19" t="n"/>
      <c r="L198" s="19" t="n"/>
      <c r="M198" s="19" t="n"/>
      <c r="N198" s="43">
        <f>IF(COUNTA(I198:M198)&gt;0,AVERAGE(I198:M198),"")</f>
        <v/>
      </c>
      <c r="O198" s="18" t="n"/>
    </row>
    <row r="199">
      <c r="A199" s="41" t="n"/>
      <c r="B199" s="35">
        <f>IF(A199="","",YEAR(A199))</f>
        <v/>
      </c>
      <c r="C199" s="36">
        <f>IF(A199="","",MONTH(A199))</f>
        <v/>
      </c>
      <c r="D199" s="37">
        <f>IF(A199="","","Q"&amp;ROUNDUP(MONTH(A199)/3,0))</f>
        <v/>
      </c>
      <c r="E199" s="22" t="n"/>
      <c r="F199" s="22" t="n"/>
      <c r="G199" s="42" t="n"/>
      <c r="H199" s="42" t="n"/>
      <c r="I199" s="23" t="n"/>
      <c r="J199" s="23" t="n"/>
      <c r="K199" s="23" t="n"/>
      <c r="L199" s="23" t="n"/>
      <c r="M199" s="23" t="n"/>
      <c r="N199" s="43">
        <f>IF(COUNTA(I199:M199)&gt;0,AVERAGE(I199:M199),"")</f>
        <v/>
      </c>
      <c r="O199" s="22" t="n"/>
    </row>
    <row r="200">
      <c r="A200" s="34" t="n"/>
      <c r="B200" s="35">
        <f>IF(A200="","",YEAR(A200))</f>
        <v/>
      </c>
      <c r="C200" s="36">
        <f>IF(A200="","",MONTH(A200))</f>
        <v/>
      </c>
      <c r="D200" s="37">
        <f>IF(A200="","","Q"&amp;ROUNDUP(MONTH(A200)/3,0))</f>
        <v/>
      </c>
      <c r="E200" s="18" t="n"/>
      <c r="F200" s="18" t="n"/>
      <c r="G200" s="38" t="n"/>
      <c r="H200" s="38" t="n"/>
      <c r="I200" s="19" t="n"/>
      <c r="J200" s="19" t="n"/>
      <c r="K200" s="19" t="n"/>
      <c r="L200" s="19" t="n"/>
      <c r="M200" s="19" t="n"/>
      <c r="N200" s="43">
        <f>IF(COUNTA(I200:M200)&gt;0,AVERAGE(I200:M200),"")</f>
        <v/>
      </c>
      <c r="O200" s="18" t="n"/>
    </row>
    <row r="201">
      <c r="A201" s="41" t="n"/>
      <c r="B201" s="35">
        <f>IF(A201="","",YEAR(A201))</f>
        <v/>
      </c>
      <c r="C201" s="36">
        <f>IF(A201="","",MONTH(A201))</f>
        <v/>
      </c>
      <c r="D201" s="37">
        <f>IF(A201="","","Q"&amp;ROUNDUP(MONTH(A201)/3,0))</f>
        <v/>
      </c>
      <c r="E201" s="22" t="n"/>
      <c r="F201" s="22" t="n"/>
      <c r="G201" s="42" t="n"/>
      <c r="H201" s="42" t="n"/>
      <c r="I201" s="23" t="n"/>
      <c r="J201" s="23" t="n"/>
      <c r="K201" s="23" t="n"/>
      <c r="L201" s="23" t="n"/>
      <c r="M201" s="23" t="n"/>
      <c r="N201" s="43">
        <f>IF(COUNTA(I201:M201)&gt;0,AVERAGE(I201:M201),"")</f>
        <v/>
      </c>
      <c r="O201" s="22" t="n"/>
    </row>
    <row r="202">
      <c r="A202" s="34" t="n"/>
      <c r="B202" s="35">
        <f>IF(A202="","",YEAR(A202))</f>
        <v/>
      </c>
      <c r="C202" s="36">
        <f>IF(A202="","",MONTH(A202))</f>
        <v/>
      </c>
      <c r="D202" s="37">
        <f>IF(A202="","","Q"&amp;ROUNDUP(MONTH(A202)/3,0))</f>
        <v/>
      </c>
      <c r="E202" s="18" t="n"/>
      <c r="F202" s="18" t="n"/>
      <c r="G202" s="38" t="n"/>
      <c r="H202" s="38" t="n"/>
      <c r="I202" s="19" t="n"/>
      <c r="J202" s="19" t="n"/>
      <c r="K202" s="19" t="n"/>
      <c r="L202" s="19" t="n"/>
      <c r="M202" s="19" t="n"/>
      <c r="N202" s="43">
        <f>IF(COUNTA(I202:M202)&gt;0,AVERAGE(I202:M202),"")</f>
        <v/>
      </c>
      <c r="O202" s="18" t="n"/>
    </row>
    <row r="203">
      <c r="A203" s="41" t="n"/>
      <c r="B203" s="35">
        <f>IF(A203="","",YEAR(A203))</f>
        <v/>
      </c>
      <c r="C203" s="36">
        <f>IF(A203="","",MONTH(A203))</f>
        <v/>
      </c>
      <c r="D203" s="37">
        <f>IF(A203="","","Q"&amp;ROUNDUP(MONTH(A203)/3,0))</f>
        <v/>
      </c>
      <c r="E203" s="22" t="n"/>
      <c r="F203" s="22" t="n"/>
      <c r="G203" s="42" t="n"/>
      <c r="H203" s="42" t="n"/>
      <c r="I203" s="23" t="n"/>
      <c r="J203" s="23" t="n"/>
      <c r="K203" s="23" t="n"/>
      <c r="L203" s="23" t="n"/>
      <c r="M203" s="23" t="n"/>
      <c r="N203" s="43">
        <f>IF(COUNTA(I203:M203)&gt;0,AVERAGE(I203:M203),"")</f>
        <v/>
      </c>
      <c r="O203" s="22" t="n"/>
    </row>
    <row r="204">
      <c r="A204" s="34" t="n"/>
      <c r="B204" s="35">
        <f>IF(A204="","",YEAR(A204))</f>
        <v/>
      </c>
      <c r="C204" s="36">
        <f>IF(A204="","",MONTH(A204))</f>
        <v/>
      </c>
      <c r="D204" s="37">
        <f>IF(A204="","","Q"&amp;ROUNDUP(MONTH(A204)/3,0))</f>
        <v/>
      </c>
      <c r="E204" s="18" t="n"/>
      <c r="F204" s="18" t="n"/>
      <c r="G204" s="38" t="n"/>
      <c r="H204" s="38" t="n"/>
      <c r="I204" s="19" t="n"/>
      <c r="J204" s="19" t="n"/>
      <c r="K204" s="19" t="n"/>
      <c r="L204" s="19" t="n"/>
      <c r="M204" s="19" t="n"/>
      <c r="N204" s="43">
        <f>IF(COUNTA(I204:M204)&gt;0,AVERAGE(I204:M204),"")</f>
        <v/>
      </c>
      <c r="O204" s="18" t="n"/>
    </row>
    <row r="205">
      <c r="A205" s="41" t="n"/>
      <c r="B205" s="35">
        <f>IF(A205="","",YEAR(A205))</f>
        <v/>
      </c>
      <c r="C205" s="36">
        <f>IF(A205="","",MONTH(A205))</f>
        <v/>
      </c>
      <c r="D205" s="37">
        <f>IF(A205="","","Q"&amp;ROUNDUP(MONTH(A205)/3,0))</f>
        <v/>
      </c>
      <c r="E205" s="22" t="n"/>
      <c r="F205" s="22" t="n"/>
      <c r="G205" s="42" t="n"/>
      <c r="H205" s="42" t="n"/>
      <c r="I205" s="23" t="n"/>
      <c r="J205" s="23" t="n"/>
      <c r="K205" s="23" t="n"/>
      <c r="L205" s="23" t="n"/>
      <c r="M205" s="23" t="n"/>
      <c r="N205" s="43">
        <f>IF(COUNTA(I205:M205)&gt;0,AVERAGE(I205:M205),"")</f>
        <v/>
      </c>
      <c r="O205" s="22" t="n"/>
    </row>
    <row r="206">
      <c r="A206" s="34" t="n"/>
      <c r="B206" s="35">
        <f>IF(A206="","",YEAR(A206))</f>
        <v/>
      </c>
      <c r="C206" s="36">
        <f>IF(A206="","",MONTH(A206))</f>
        <v/>
      </c>
      <c r="D206" s="37">
        <f>IF(A206="","","Q"&amp;ROUNDUP(MONTH(A206)/3,0))</f>
        <v/>
      </c>
      <c r="E206" s="18" t="n"/>
      <c r="F206" s="18" t="n"/>
      <c r="G206" s="38" t="n"/>
      <c r="H206" s="38" t="n"/>
      <c r="I206" s="19" t="n"/>
      <c r="J206" s="19" t="n"/>
      <c r="K206" s="19" t="n"/>
      <c r="L206" s="19" t="n"/>
      <c r="M206" s="19" t="n"/>
      <c r="N206" s="43">
        <f>IF(COUNTA(I206:M206)&gt;0,AVERAGE(I206:M206),"")</f>
        <v/>
      </c>
      <c r="O206" s="18" t="n"/>
    </row>
    <row r="207">
      <c r="A207" s="41" t="n"/>
      <c r="B207" s="35">
        <f>IF(A207="","",YEAR(A207))</f>
        <v/>
      </c>
      <c r="C207" s="36">
        <f>IF(A207="","",MONTH(A207))</f>
        <v/>
      </c>
      <c r="D207" s="37">
        <f>IF(A207="","","Q"&amp;ROUNDUP(MONTH(A207)/3,0))</f>
        <v/>
      </c>
      <c r="E207" s="22" t="n"/>
      <c r="F207" s="22" t="n"/>
      <c r="G207" s="42" t="n"/>
      <c r="H207" s="42" t="n"/>
      <c r="I207" s="23" t="n"/>
      <c r="J207" s="23" t="n"/>
      <c r="K207" s="23" t="n"/>
      <c r="L207" s="23" t="n"/>
      <c r="M207" s="23" t="n"/>
      <c r="N207" s="43">
        <f>IF(COUNTA(I207:M207)&gt;0,AVERAGE(I207:M207),"")</f>
        <v/>
      </c>
      <c r="O207" s="22" t="n"/>
    </row>
    <row r="208">
      <c r="A208" s="34" t="n"/>
      <c r="B208" s="35">
        <f>IF(A208="","",YEAR(A208))</f>
        <v/>
      </c>
      <c r="C208" s="36">
        <f>IF(A208="","",MONTH(A208))</f>
        <v/>
      </c>
      <c r="D208" s="37">
        <f>IF(A208="","","Q"&amp;ROUNDUP(MONTH(A208)/3,0))</f>
        <v/>
      </c>
      <c r="E208" s="18" t="n"/>
      <c r="F208" s="18" t="n"/>
      <c r="G208" s="38" t="n"/>
      <c r="H208" s="38" t="n"/>
      <c r="I208" s="19" t="n"/>
      <c r="J208" s="19" t="n"/>
      <c r="K208" s="19" t="n"/>
      <c r="L208" s="19" t="n"/>
      <c r="M208" s="19" t="n"/>
      <c r="N208" s="43">
        <f>IF(COUNTA(I208:M208)&gt;0,AVERAGE(I208:M208),"")</f>
        <v/>
      </c>
      <c r="O208" s="18" t="n"/>
    </row>
    <row r="209">
      <c r="A209" s="41" t="n"/>
      <c r="B209" s="35">
        <f>IF(A209="","",YEAR(A209))</f>
        <v/>
      </c>
      <c r="C209" s="36">
        <f>IF(A209="","",MONTH(A209))</f>
        <v/>
      </c>
      <c r="D209" s="37">
        <f>IF(A209="","","Q"&amp;ROUNDUP(MONTH(A209)/3,0))</f>
        <v/>
      </c>
      <c r="E209" s="22" t="n"/>
      <c r="F209" s="22" t="n"/>
      <c r="G209" s="42" t="n"/>
      <c r="H209" s="42" t="n"/>
      <c r="I209" s="23" t="n"/>
      <c r="J209" s="23" t="n"/>
      <c r="K209" s="23" t="n"/>
      <c r="L209" s="23" t="n"/>
      <c r="M209" s="23" t="n"/>
      <c r="N209" s="43">
        <f>IF(COUNTA(I209:M209)&gt;0,AVERAGE(I209:M209),"")</f>
        <v/>
      </c>
      <c r="O209" s="22" t="n"/>
    </row>
    <row r="210">
      <c r="A210" s="34" t="n"/>
      <c r="B210" s="35">
        <f>IF(A210="","",YEAR(A210))</f>
        <v/>
      </c>
      <c r="C210" s="36">
        <f>IF(A210="","",MONTH(A210))</f>
        <v/>
      </c>
      <c r="D210" s="37">
        <f>IF(A210="","","Q"&amp;ROUNDUP(MONTH(A210)/3,0))</f>
        <v/>
      </c>
      <c r="E210" s="18" t="n"/>
      <c r="F210" s="18" t="n"/>
      <c r="G210" s="38" t="n"/>
      <c r="H210" s="38" t="n"/>
      <c r="I210" s="19" t="n"/>
      <c r="J210" s="19" t="n"/>
      <c r="K210" s="19" t="n"/>
      <c r="L210" s="19" t="n"/>
      <c r="M210" s="19" t="n"/>
      <c r="N210" s="43">
        <f>IF(COUNTA(I210:M210)&gt;0,AVERAGE(I210:M210),"")</f>
        <v/>
      </c>
      <c r="O210" s="18" t="n"/>
    </row>
    <row r="211">
      <c r="A211" s="41" t="n"/>
      <c r="B211" s="35">
        <f>IF(A211="","",YEAR(A211))</f>
        <v/>
      </c>
      <c r="C211" s="36">
        <f>IF(A211="","",MONTH(A211))</f>
        <v/>
      </c>
      <c r="D211" s="37">
        <f>IF(A211="","","Q"&amp;ROUNDUP(MONTH(A211)/3,0))</f>
        <v/>
      </c>
      <c r="E211" s="22" t="n"/>
      <c r="F211" s="22" t="n"/>
      <c r="G211" s="42" t="n"/>
      <c r="H211" s="42" t="n"/>
      <c r="I211" s="23" t="n"/>
      <c r="J211" s="23" t="n"/>
      <c r="K211" s="23" t="n"/>
      <c r="L211" s="23" t="n"/>
      <c r="M211" s="23" t="n"/>
      <c r="N211" s="43">
        <f>IF(COUNTA(I211:M211)&gt;0,AVERAGE(I211:M211),"")</f>
        <v/>
      </c>
      <c r="O211" s="22" t="n"/>
    </row>
    <row r="212">
      <c r="A212" s="34" t="n"/>
      <c r="B212" s="35">
        <f>IF(A212="","",YEAR(A212))</f>
        <v/>
      </c>
      <c r="C212" s="36">
        <f>IF(A212="","",MONTH(A212))</f>
        <v/>
      </c>
      <c r="D212" s="37">
        <f>IF(A212="","","Q"&amp;ROUNDUP(MONTH(A212)/3,0))</f>
        <v/>
      </c>
      <c r="E212" s="18" t="n"/>
      <c r="F212" s="18" t="n"/>
      <c r="G212" s="38" t="n"/>
      <c r="H212" s="38" t="n"/>
      <c r="I212" s="19" t="n"/>
      <c r="J212" s="19" t="n"/>
      <c r="K212" s="19" t="n"/>
      <c r="L212" s="19" t="n"/>
      <c r="M212" s="19" t="n"/>
      <c r="N212" s="43">
        <f>IF(COUNTA(I212:M212)&gt;0,AVERAGE(I212:M212),"")</f>
        <v/>
      </c>
      <c r="O212" s="18" t="n"/>
    </row>
    <row r="213">
      <c r="A213" s="41" t="n"/>
      <c r="B213" s="35">
        <f>IF(A213="","",YEAR(A213))</f>
        <v/>
      </c>
      <c r="C213" s="36">
        <f>IF(A213="","",MONTH(A213))</f>
        <v/>
      </c>
      <c r="D213" s="37">
        <f>IF(A213="","","Q"&amp;ROUNDUP(MONTH(A213)/3,0))</f>
        <v/>
      </c>
      <c r="E213" s="22" t="n"/>
      <c r="F213" s="22" t="n"/>
      <c r="G213" s="42" t="n"/>
      <c r="H213" s="42" t="n"/>
      <c r="I213" s="23" t="n"/>
      <c r="J213" s="23" t="n"/>
      <c r="K213" s="23" t="n"/>
      <c r="L213" s="23" t="n"/>
      <c r="M213" s="23" t="n"/>
      <c r="N213" s="43">
        <f>IF(COUNTA(I213:M213)&gt;0,AVERAGE(I213:M213),"")</f>
        <v/>
      </c>
      <c r="O213" s="22" t="n"/>
    </row>
    <row r="214">
      <c r="A214" s="34" t="n"/>
      <c r="B214" s="35">
        <f>IF(A214="","",YEAR(A214))</f>
        <v/>
      </c>
      <c r="C214" s="36">
        <f>IF(A214="","",MONTH(A214))</f>
        <v/>
      </c>
      <c r="D214" s="37">
        <f>IF(A214="","","Q"&amp;ROUNDUP(MONTH(A214)/3,0))</f>
        <v/>
      </c>
      <c r="E214" s="18" t="n"/>
      <c r="F214" s="18" t="n"/>
      <c r="G214" s="38" t="n"/>
      <c r="H214" s="38" t="n"/>
      <c r="I214" s="19" t="n"/>
      <c r="J214" s="19" t="n"/>
      <c r="K214" s="19" t="n"/>
      <c r="L214" s="19" t="n"/>
      <c r="M214" s="19" t="n"/>
      <c r="N214" s="43">
        <f>IF(COUNTA(I214:M214)&gt;0,AVERAGE(I214:M214),"")</f>
        <v/>
      </c>
      <c r="O214" s="18" t="n"/>
    </row>
    <row r="215">
      <c r="A215" s="41" t="n"/>
      <c r="B215" s="35">
        <f>IF(A215="","",YEAR(A215))</f>
        <v/>
      </c>
      <c r="C215" s="36">
        <f>IF(A215="","",MONTH(A215))</f>
        <v/>
      </c>
      <c r="D215" s="37">
        <f>IF(A215="","","Q"&amp;ROUNDUP(MONTH(A215)/3,0))</f>
        <v/>
      </c>
      <c r="E215" s="22" t="n"/>
      <c r="F215" s="22" t="n"/>
      <c r="G215" s="42" t="n"/>
      <c r="H215" s="42" t="n"/>
      <c r="I215" s="23" t="n"/>
      <c r="J215" s="23" t="n"/>
      <c r="K215" s="23" t="n"/>
      <c r="L215" s="23" t="n"/>
      <c r="M215" s="23" t="n"/>
      <c r="N215" s="43">
        <f>IF(COUNTA(I215:M215)&gt;0,AVERAGE(I215:M215),"")</f>
        <v/>
      </c>
      <c r="O215" s="22" t="n"/>
    </row>
    <row r="216">
      <c r="A216" s="34" t="n"/>
      <c r="B216" s="35">
        <f>IF(A216="","",YEAR(A216))</f>
        <v/>
      </c>
      <c r="C216" s="36">
        <f>IF(A216="","",MONTH(A216))</f>
        <v/>
      </c>
      <c r="D216" s="37">
        <f>IF(A216="","","Q"&amp;ROUNDUP(MONTH(A216)/3,0))</f>
        <v/>
      </c>
      <c r="E216" s="18" t="n"/>
      <c r="F216" s="18" t="n"/>
      <c r="G216" s="38" t="n"/>
      <c r="H216" s="38" t="n"/>
      <c r="I216" s="19" t="n"/>
      <c r="J216" s="19" t="n"/>
      <c r="K216" s="19" t="n"/>
      <c r="L216" s="19" t="n"/>
      <c r="M216" s="19" t="n"/>
      <c r="N216" s="43">
        <f>IF(COUNTA(I216:M216)&gt;0,AVERAGE(I216:M216),"")</f>
        <v/>
      </c>
      <c r="O216" s="18" t="n"/>
    </row>
    <row r="217">
      <c r="A217" s="41" t="n"/>
      <c r="B217" s="35">
        <f>IF(A217="","",YEAR(A217))</f>
        <v/>
      </c>
      <c r="C217" s="36">
        <f>IF(A217="","",MONTH(A217))</f>
        <v/>
      </c>
      <c r="D217" s="37">
        <f>IF(A217="","","Q"&amp;ROUNDUP(MONTH(A217)/3,0))</f>
        <v/>
      </c>
      <c r="E217" s="22" t="n"/>
      <c r="F217" s="22" t="n"/>
      <c r="G217" s="42" t="n"/>
      <c r="H217" s="42" t="n"/>
      <c r="I217" s="23" t="n"/>
      <c r="J217" s="23" t="n"/>
      <c r="K217" s="23" t="n"/>
      <c r="L217" s="23" t="n"/>
      <c r="M217" s="23" t="n"/>
      <c r="N217" s="43">
        <f>IF(COUNTA(I217:M217)&gt;0,AVERAGE(I217:M217),"")</f>
        <v/>
      </c>
      <c r="O217" s="22" t="n"/>
    </row>
    <row r="218">
      <c r="A218" s="34" t="n"/>
      <c r="B218" s="35">
        <f>IF(A218="","",YEAR(A218))</f>
        <v/>
      </c>
      <c r="C218" s="36">
        <f>IF(A218="","",MONTH(A218))</f>
        <v/>
      </c>
      <c r="D218" s="37">
        <f>IF(A218="","","Q"&amp;ROUNDUP(MONTH(A218)/3,0))</f>
        <v/>
      </c>
      <c r="E218" s="18" t="n"/>
      <c r="F218" s="18" t="n"/>
      <c r="G218" s="38" t="n"/>
      <c r="H218" s="38" t="n"/>
      <c r="I218" s="19" t="n"/>
      <c r="J218" s="19" t="n"/>
      <c r="K218" s="19" t="n"/>
      <c r="L218" s="19" t="n"/>
      <c r="M218" s="19" t="n"/>
      <c r="N218" s="43">
        <f>IF(COUNTA(I218:M218)&gt;0,AVERAGE(I218:M218),"")</f>
        <v/>
      </c>
      <c r="O218" s="18" t="n"/>
    </row>
    <row r="219">
      <c r="A219" s="41" t="n"/>
      <c r="B219" s="35">
        <f>IF(A219="","",YEAR(A219))</f>
        <v/>
      </c>
      <c r="C219" s="36">
        <f>IF(A219="","",MONTH(A219))</f>
        <v/>
      </c>
      <c r="D219" s="37">
        <f>IF(A219="","","Q"&amp;ROUNDUP(MONTH(A219)/3,0))</f>
        <v/>
      </c>
      <c r="E219" s="22" t="n"/>
      <c r="F219" s="22" t="n"/>
      <c r="G219" s="42" t="n"/>
      <c r="H219" s="42" t="n"/>
      <c r="I219" s="23" t="n"/>
      <c r="J219" s="23" t="n"/>
      <c r="K219" s="23" t="n"/>
      <c r="L219" s="23" t="n"/>
      <c r="M219" s="23" t="n"/>
      <c r="N219" s="43">
        <f>IF(COUNTA(I219:M219)&gt;0,AVERAGE(I219:M219),"")</f>
        <v/>
      </c>
      <c r="O219" s="22" t="n"/>
    </row>
    <row r="220">
      <c r="A220" s="34" t="n"/>
      <c r="B220" s="35">
        <f>IF(A220="","",YEAR(A220))</f>
        <v/>
      </c>
      <c r="C220" s="36">
        <f>IF(A220="","",MONTH(A220))</f>
        <v/>
      </c>
      <c r="D220" s="37">
        <f>IF(A220="","","Q"&amp;ROUNDUP(MONTH(A220)/3,0))</f>
        <v/>
      </c>
      <c r="E220" s="18" t="n"/>
      <c r="F220" s="18" t="n"/>
      <c r="G220" s="38" t="n"/>
      <c r="H220" s="38" t="n"/>
      <c r="I220" s="19" t="n"/>
      <c r="J220" s="19" t="n"/>
      <c r="K220" s="19" t="n"/>
      <c r="L220" s="19" t="n"/>
      <c r="M220" s="19" t="n"/>
      <c r="N220" s="43">
        <f>IF(COUNTA(I220:M220)&gt;0,AVERAGE(I220:M220),"")</f>
        <v/>
      </c>
      <c r="O220" s="18" t="n"/>
    </row>
    <row r="221">
      <c r="A221" s="41" t="n"/>
      <c r="B221" s="35">
        <f>IF(A221="","",YEAR(A221))</f>
        <v/>
      </c>
      <c r="C221" s="36">
        <f>IF(A221="","",MONTH(A221))</f>
        <v/>
      </c>
      <c r="D221" s="37">
        <f>IF(A221="","","Q"&amp;ROUNDUP(MONTH(A221)/3,0))</f>
        <v/>
      </c>
      <c r="E221" s="22" t="n"/>
      <c r="F221" s="22" t="n"/>
      <c r="G221" s="42" t="n"/>
      <c r="H221" s="42" t="n"/>
      <c r="I221" s="23" t="n"/>
      <c r="J221" s="23" t="n"/>
      <c r="K221" s="23" t="n"/>
      <c r="L221" s="23" t="n"/>
      <c r="M221" s="23" t="n"/>
      <c r="N221" s="43">
        <f>IF(COUNTA(I221:M221)&gt;0,AVERAGE(I221:M221),"")</f>
        <v/>
      </c>
      <c r="O221" s="22" t="n"/>
    </row>
    <row r="222">
      <c r="A222" s="34" t="n"/>
      <c r="B222" s="35">
        <f>IF(A222="","",YEAR(A222))</f>
        <v/>
      </c>
      <c r="C222" s="36">
        <f>IF(A222="","",MONTH(A222))</f>
        <v/>
      </c>
      <c r="D222" s="37">
        <f>IF(A222="","","Q"&amp;ROUNDUP(MONTH(A222)/3,0))</f>
        <v/>
      </c>
      <c r="E222" s="18" t="n"/>
      <c r="F222" s="18" t="n"/>
      <c r="G222" s="38" t="n"/>
      <c r="H222" s="38" t="n"/>
      <c r="I222" s="19" t="n"/>
      <c r="J222" s="19" t="n"/>
      <c r="K222" s="19" t="n"/>
      <c r="L222" s="19" t="n"/>
      <c r="M222" s="19" t="n"/>
      <c r="N222" s="43">
        <f>IF(COUNTA(I222:M222)&gt;0,AVERAGE(I222:M222),"")</f>
        <v/>
      </c>
      <c r="O222" s="18" t="n"/>
    </row>
    <row r="223">
      <c r="A223" s="41" t="n"/>
      <c r="B223" s="35">
        <f>IF(A223="","",YEAR(A223))</f>
        <v/>
      </c>
      <c r="C223" s="36">
        <f>IF(A223="","",MONTH(A223))</f>
        <v/>
      </c>
      <c r="D223" s="37">
        <f>IF(A223="","","Q"&amp;ROUNDUP(MONTH(A223)/3,0))</f>
        <v/>
      </c>
      <c r="E223" s="22" t="n"/>
      <c r="F223" s="22" t="n"/>
      <c r="G223" s="42" t="n"/>
      <c r="H223" s="42" t="n"/>
      <c r="I223" s="23" t="n"/>
      <c r="J223" s="23" t="n"/>
      <c r="K223" s="23" t="n"/>
      <c r="L223" s="23" t="n"/>
      <c r="M223" s="23" t="n"/>
      <c r="N223" s="43">
        <f>IF(COUNTA(I223:M223)&gt;0,AVERAGE(I223:M223),"")</f>
        <v/>
      </c>
      <c r="O223" s="22" t="n"/>
    </row>
    <row r="224">
      <c r="A224" s="34" t="n"/>
      <c r="B224" s="35">
        <f>IF(A224="","",YEAR(A224))</f>
        <v/>
      </c>
      <c r="C224" s="36">
        <f>IF(A224="","",MONTH(A224))</f>
        <v/>
      </c>
      <c r="D224" s="37">
        <f>IF(A224="","","Q"&amp;ROUNDUP(MONTH(A224)/3,0))</f>
        <v/>
      </c>
      <c r="E224" s="18" t="n"/>
      <c r="F224" s="18" t="n"/>
      <c r="G224" s="38" t="n"/>
      <c r="H224" s="38" t="n"/>
      <c r="I224" s="19" t="n"/>
      <c r="J224" s="19" t="n"/>
      <c r="K224" s="19" t="n"/>
      <c r="L224" s="19" t="n"/>
      <c r="M224" s="19" t="n"/>
      <c r="N224" s="43">
        <f>IF(COUNTA(I224:M224)&gt;0,AVERAGE(I224:M224),"")</f>
        <v/>
      </c>
      <c r="O224" s="18" t="n"/>
    </row>
    <row r="225">
      <c r="A225" s="41" t="n"/>
      <c r="B225" s="35">
        <f>IF(A225="","",YEAR(A225))</f>
        <v/>
      </c>
      <c r="C225" s="36">
        <f>IF(A225="","",MONTH(A225))</f>
        <v/>
      </c>
      <c r="D225" s="37">
        <f>IF(A225="","","Q"&amp;ROUNDUP(MONTH(A225)/3,0))</f>
        <v/>
      </c>
      <c r="E225" s="22" t="n"/>
      <c r="F225" s="22" t="n"/>
      <c r="G225" s="42" t="n"/>
      <c r="H225" s="42" t="n"/>
      <c r="I225" s="23" t="n"/>
      <c r="J225" s="23" t="n"/>
      <c r="K225" s="23" t="n"/>
      <c r="L225" s="23" t="n"/>
      <c r="M225" s="23" t="n"/>
      <c r="N225" s="43">
        <f>IF(COUNTA(I225:M225)&gt;0,AVERAGE(I225:M225),"")</f>
        <v/>
      </c>
      <c r="O225" s="22" t="n"/>
    </row>
    <row r="226">
      <c r="A226" s="34" t="n"/>
      <c r="B226" s="35">
        <f>IF(A226="","",YEAR(A226))</f>
        <v/>
      </c>
      <c r="C226" s="36">
        <f>IF(A226="","",MONTH(A226))</f>
        <v/>
      </c>
      <c r="D226" s="37">
        <f>IF(A226="","","Q"&amp;ROUNDUP(MONTH(A226)/3,0))</f>
        <v/>
      </c>
      <c r="E226" s="18" t="n"/>
      <c r="F226" s="18" t="n"/>
      <c r="G226" s="38" t="n"/>
      <c r="H226" s="38" t="n"/>
      <c r="I226" s="19" t="n"/>
      <c r="J226" s="19" t="n"/>
      <c r="K226" s="19" t="n"/>
      <c r="L226" s="19" t="n"/>
      <c r="M226" s="19" t="n"/>
      <c r="N226" s="43">
        <f>IF(COUNTA(I226:M226)&gt;0,AVERAGE(I226:M226),"")</f>
        <v/>
      </c>
      <c r="O226" s="18" t="n"/>
    </row>
    <row r="227">
      <c r="A227" s="41" t="n"/>
      <c r="B227" s="35">
        <f>IF(A227="","",YEAR(A227))</f>
        <v/>
      </c>
      <c r="C227" s="36">
        <f>IF(A227="","",MONTH(A227))</f>
        <v/>
      </c>
      <c r="D227" s="37">
        <f>IF(A227="","","Q"&amp;ROUNDUP(MONTH(A227)/3,0))</f>
        <v/>
      </c>
      <c r="E227" s="22" t="n"/>
      <c r="F227" s="22" t="n"/>
      <c r="G227" s="42" t="n"/>
      <c r="H227" s="42" t="n"/>
      <c r="I227" s="23" t="n"/>
      <c r="J227" s="23" t="n"/>
      <c r="K227" s="23" t="n"/>
      <c r="L227" s="23" t="n"/>
      <c r="M227" s="23" t="n"/>
      <c r="N227" s="43">
        <f>IF(COUNTA(I227:M227)&gt;0,AVERAGE(I227:M227),"")</f>
        <v/>
      </c>
      <c r="O227" s="22" t="n"/>
    </row>
    <row r="228">
      <c r="A228" s="34" t="n"/>
      <c r="B228" s="35">
        <f>IF(A228="","",YEAR(A228))</f>
        <v/>
      </c>
      <c r="C228" s="36">
        <f>IF(A228="","",MONTH(A228))</f>
        <v/>
      </c>
      <c r="D228" s="37">
        <f>IF(A228="","","Q"&amp;ROUNDUP(MONTH(A228)/3,0))</f>
        <v/>
      </c>
      <c r="E228" s="18" t="n"/>
      <c r="F228" s="18" t="n"/>
      <c r="G228" s="38" t="n"/>
      <c r="H228" s="38" t="n"/>
      <c r="I228" s="19" t="n"/>
      <c r="J228" s="19" t="n"/>
      <c r="K228" s="19" t="n"/>
      <c r="L228" s="19" t="n"/>
      <c r="M228" s="19" t="n"/>
      <c r="N228" s="43">
        <f>IF(COUNTA(I228:M228)&gt;0,AVERAGE(I228:M228),"")</f>
        <v/>
      </c>
      <c r="O228" s="18" t="n"/>
    </row>
    <row r="229">
      <c r="A229" s="41" t="n"/>
      <c r="B229" s="35">
        <f>IF(A229="","",YEAR(A229))</f>
        <v/>
      </c>
      <c r="C229" s="36">
        <f>IF(A229="","",MONTH(A229))</f>
        <v/>
      </c>
      <c r="D229" s="37">
        <f>IF(A229="","","Q"&amp;ROUNDUP(MONTH(A229)/3,0))</f>
        <v/>
      </c>
      <c r="E229" s="22" t="n"/>
      <c r="F229" s="22" t="n"/>
      <c r="G229" s="42" t="n"/>
      <c r="H229" s="42" t="n"/>
      <c r="I229" s="23" t="n"/>
      <c r="J229" s="23" t="n"/>
      <c r="K229" s="23" t="n"/>
      <c r="L229" s="23" t="n"/>
      <c r="M229" s="23" t="n"/>
      <c r="N229" s="43">
        <f>IF(COUNTA(I229:M229)&gt;0,AVERAGE(I229:M229),"")</f>
        <v/>
      </c>
      <c r="O229" s="22" t="n"/>
    </row>
    <row r="230">
      <c r="A230" s="34" t="n"/>
      <c r="B230" s="35">
        <f>IF(A230="","",YEAR(A230))</f>
        <v/>
      </c>
      <c r="C230" s="36">
        <f>IF(A230="","",MONTH(A230))</f>
        <v/>
      </c>
      <c r="D230" s="37">
        <f>IF(A230="","","Q"&amp;ROUNDUP(MONTH(A230)/3,0))</f>
        <v/>
      </c>
      <c r="E230" s="18" t="n"/>
      <c r="F230" s="18" t="n"/>
      <c r="G230" s="38" t="n"/>
      <c r="H230" s="38" t="n"/>
      <c r="I230" s="19" t="n"/>
      <c r="J230" s="19" t="n"/>
      <c r="K230" s="19" t="n"/>
      <c r="L230" s="19" t="n"/>
      <c r="M230" s="19" t="n"/>
      <c r="N230" s="43">
        <f>IF(COUNTA(I230:M230)&gt;0,AVERAGE(I230:M230),"")</f>
        <v/>
      </c>
      <c r="O230" s="18" t="n"/>
    </row>
    <row r="231">
      <c r="A231" s="41" t="n"/>
      <c r="B231" s="35">
        <f>IF(A231="","",YEAR(A231))</f>
        <v/>
      </c>
      <c r="C231" s="36">
        <f>IF(A231="","",MONTH(A231))</f>
        <v/>
      </c>
      <c r="D231" s="37">
        <f>IF(A231="","","Q"&amp;ROUNDUP(MONTH(A231)/3,0))</f>
        <v/>
      </c>
      <c r="E231" s="22" t="n"/>
      <c r="F231" s="22" t="n"/>
      <c r="G231" s="42" t="n"/>
      <c r="H231" s="42" t="n"/>
      <c r="I231" s="23" t="n"/>
      <c r="J231" s="23" t="n"/>
      <c r="K231" s="23" t="n"/>
      <c r="L231" s="23" t="n"/>
      <c r="M231" s="23" t="n"/>
      <c r="N231" s="43">
        <f>IF(COUNTA(I231:M231)&gt;0,AVERAGE(I231:M231),"")</f>
        <v/>
      </c>
      <c r="O231" s="22" t="n"/>
    </row>
    <row r="232">
      <c r="A232" s="34" t="n"/>
      <c r="B232" s="35">
        <f>IF(A232="","",YEAR(A232))</f>
        <v/>
      </c>
      <c r="C232" s="36">
        <f>IF(A232="","",MONTH(A232))</f>
        <v/>
      </c>
      <c r="D232" s="37">
        <f>IF(A232="","","Q"&amp;ROUNDUP(MONTH(A232)/3,0))</f>
        <v/>
      </c>
      <c r="E232" s="18" t="n"/>
      <c r="F232" s="18" t="n"/>
      <c r="G232" s="38" t="n"/>
      <c r="H232" s="38" t="n"/>
      <c r="I232" s="19" t="n"/>
      <c r="J232" s="19" t="n"/>
      <c r="K232" s="19" t="n"/>
      <c r="L232" s="19" t="n"/>
      <c r="M232" s="19" t="n"/>
      <c r="N232" s="43">
        <f>IF(COUNTA(I232:M232)&gt;0,AVERAGE(I232:M232),"")</f>
        <v/>
      </c>
      <c r="O232" s="18" t="n"/>
    </row>
    <row r="233">
      <c r="A233" s="41" t="n"/>
      <c r="B233" s="35">
        <f>IF(A233="","",YEAR(A233))</f>
        <v/>
      </c>
      <c r="C233" s="36">
        <f>IF(A233="","",MONTH(A233))</f>
        <v/>
      </c>
      <c r="D233" s="37">
        <f>IF(A233="","","Q"&amp;ROUNDUP(MONTH(A233)/3,0))</f>
        <v/>
      </c>
      <c r="E233" s="22" t="n"/>
      <c r="F233" s="22" t="n"/>
      <c r="G233" s="42" t="n"/>
      <c r="H233" s="42" t="n"/>
      <c r="I233" s="23" t="n"/>
      <c r="J233" s="23" t="n"/>
      <c r="K233" s="23" t="n"/>
      <c r="L233" s="23" t="n"/>
      <c r="M233" s="23" t="n"/>
      <c r="N233" s="43">
        <f>IF(COUNTA(I233:M233)&gt;0,AVERAGE(I233:M233),"")</f>
        <v/>
      </c>
      <c r="O233" s="22" t="n"/>
    </row>
    <row r="234">
      <c r="A234" s="34" t="n"/>
      <c r="B234" s="35">
        <f>IF(A234="","",YEAR(A234))</f>
        <v/>
      </c>
      <c r="C234" s="36">
        <f>IF(A234="","",MONTH(A234))</f>
        <v/>
      </c>
      <c r="D234" s="37">
        <f>IF(A234="","","Q"&amp;ROUNDUP(MONTH(A234)/3,0))</f>
        <v/>
      </c>
      <c r="E234" s="18" t="n"/>
      <c r="F234" s="18" t="n"/>
      <c r="G234" s="38" t="n"/>
      <c r="H234" s="38" t="n"/>
      <c r="I234" s="19" t="n"/>
      <c r="J234" s="19" t="n"/>
      <c r="K234" s="19" t="n"/>
      <c r="L234" s="19" t="n"/>
      <c r="M234" s="19" t="n"/>
      <c r="N234" s="43">
        <f>IF(COUNTA(I234:M234)&gt;0,AVERAGE(I234:M234),"")</f>
        <v/>
      </c>
      <c r="O234" s="18" t="n"/>
    </row>
    <row r="235">
      <c r="A235" s="41" t="n"/>
      <c r="B235" s="35">
        <f>IF(A235="","",YEAR(A235))</f>
        <v/>
      </c>
      <c r="C235" s="36">
        <f>IF(A235="","",MONTH(A235))</f>
        <v/>
      </c>
      <c r="D235" s="37">
        <f>IF(A235="","","Q"&amp;ROUNDUP(MONTH(A235)/3,0))</f>
        <v/>
      </c>
      <c r="E235" s="22" t="n"/>
      <c r="F235" s="22" t="n"/>
      <c r="G235" s="42" t="n"/>
      <c r="H235" s="42" t="n"/>
      <c r="I235" s="23" t="n"/>
      <c r="J235" s="23" t="n"/>
      <c r="K235" s="23" t="n"/>
      <c r="L235" s="23" t="n"/>
      <c r="M235" s="23" t="n"/>
      <c r="N235" s="43">
        <f>IF(COUNTA(I235:M235)&gt;0,AVERAGE(I235:M235),"")</f>
        <v/>
      </c>
      <c r="O235" s="22" t="n"/>
    </row>
    <row r="236">
      <c r="A236" s="34" t="n"/>
      <c r="B236" s="35">
        <f>IF(A236="","",YEAR(A236))</f>
        <v/>
      </c>
      <c r="C236" s="36">
        <f>IF(A236="","",MONTH(A236))</f>
        <v/>
      </c>
      <c r="D236" s="37">
        <f>IF(A236="","","Q"&amp;ROUNDUP(MONTH(A236)/3,0))</f>
        <v/>
      </c>
      <c r="E236" s="18" t="n"/>
      <c r="F236" s="18" t="n"/>
      <c r="G236" s="38" t="n"/>
      <c r="H236" s="38" t="n"/>
      <c r="I236" s="19" t="n"/>
      <c r="J236" s="19" t="n"/>
      <c r="K236" s="19" t="n"/>
      <c r="L236" s="19" t="n"/>
      <c r="M236" s="19" t="n"/>
      <c r="N236" s="43">
        <f>IF(COUNTA(I236:M236)&gt;0,AVERAGE(I236:M236),"")</f>
        <v/>
      </c>
      <c r="O236" s="18" t="n"/>
    </row>
    <row r="237">
      <c r="A237" s="41" t="n"/>
      <c r="B237" s="35">
        <f>IF(A237="","",YEAR(A237))</f>
        <v/>
      </c>
      <c r="C237" s="36">
        <f>IF(A237="","",MONTH(A237))</f>
        <v/>
      </c>
      <c r="D237" s="37">
        <f>IF(A237="","","Q"&amp;ROUNDUP(MONTH(A237)/3,0))</f>
        <v/>
      </c>
      <c r="E237" s="22" t="n"/>
      <c r="F237" s="22" t="n"/>
      <c r="G237" s="42" t="n"/>
      <c r="H237" s="42" t="n"/>
      <c r="I237" s="23" t="n"/>
      <c r="J237" s="23" t="n"/>
      <c r="K237" s="23" t="n"/>
      <c r="L237" s="23" t="n"/>
      <c r="M237" s="23" t="n"/>
      <c r="N237" s="43">
        <f>IF(COUNTA(I237:M237)&gt;0,AVERAGE(I237:M237),"")</f>
        <v/>
      </c>
      <c r="O237" s="22" t="n"/>
    </row>
    <row r="238">
      <c r="A238" s="34" t="n"/>
      <c r="B238" s="35">
        <f>IF(A238="","",YEAR(A238))</f>
        <v/>
      </c>
      <c r="C238" s="36">
        <f>IF(A238="","",MONTH(A238))</f>
        <v/>
      </c>
      <c r="D238" s="37">
        <f>IF(A238="","","Q"&amp;ROUNDUP(MONTH(A238)/3,0))</f>
        <v/>
      </c>
      <c r="E238" s="18" t="n"/>
      <c r="F238" s="18" t="n"/>
      <c r="G238" s="38" t="n"/>
      <c r="H238" s="38" t="n"/>
      <c r="I238" s="19" t="n"/>
      <c r="J238" s="19" t="n"/>
      <c r="K238" s="19" t="n"/>
      <c r="L238" s="19" t="n"/>
      <c r="M238" s="19" t="n"/>
      <c r="N238" s="43">
        <f>IF(COUNTA(I238:M238)&gt;0,AVERAGE(I238:M238),"")</f>
        <v/>
      </c>
      <c r="O238" s="18" t="n"/>
    </row>
    <row r="239">
      <c r="A239" s="41" t="n"/>
      <c r="B239" s="35">
        <f>IF(A239="","",YEAR(A239))</f>
        <v/>
      </c>
      <c r="C239" s="36">
        <f>IF(A239="","",MONTH(A239))</f>
        <v/>
      </c>
      <c r="D239" s="37">
        <f>IF(A239="","","Q"&amp;ROUNDUP(MONTH(A239)/3,0))</f>
        <v/>
      </c>
      <c r="E239" s="22" t="n"/>
      <c r="F239" s="22" t="n"/>
      <c r="G239" s="42" t="n"/>
      <c r="H239" s="42" t="n"/>
      <c r="I239" s="23" t="n"/>
      <c r="J239" s="23" t="n"/>
      <c r="K239" s="23" t="n"/>
      <c r="L239" s="23" t="n"/>
      <c r="M239" s="23" t="n"/>
      <c r="N239" s="43">
        <f>IF(COUNTA(I239:M239)&gt;0,AVERAGE(I239:M239),"")</f>
        <v/>
      </c>
      <c r="O239" s="22" t="n"/>
    </row>
    <row r="240">
      <c r="A240" s="34" t="n"/>
      <c r="B240" s="35">
        <f>IF(A240="","",YEAR(A240))</f>
        <v/>
      </c>
      <c r="C240" s="36">
        <f>IF(A240="","",MONTH(A240))</f>
        <v/>
      </c>
      <c r="D240" s="37">
        <f>IF(A240="","","Q"&amp;ROUNDUP(MONTH(A240)/3,0))</f>
        <v/>
      </c>
      <c r="E240" s="18" t="n"/>
      <c r="F240" s="18" t="n"/>
      <c r="G240" s="38" t="n"/>
      <c r="H240" s="38" t="n"/>
      <c r="I240" s="19" t="n"/>
      <c r="J240" s="19" t="n"/>
      <c r="K240" s="19" t="n"/>
      <c r="L240" s="19" t="n"/>
      <c r="M240" s="19" t="n"/>
      <c r="N240" s="43">
        <f>IF(COUNTA(I240:M240)&gt;0,AVERAGE(I240:M240),"")</f>
        <v/>
      </c>
      <c r="O240" s="18" t="n"/>
    </row>
    <row r="241">
      <c r="A241" s="41" t="n"/>
      <c r="B241" s="35">
        <f>IF(A241="","",YEAR(A241))</f>
        <v/>
      </c>
      <c r="C241" s="36">
        <f>IF(A241="","",MONTH(A241))</f>
        <v/>
      </c>
      <c r="D241" s="37">
        <f>IF(A241="","","Q"&amp;ROUNDUP(MONTH(A241)/3,0))</f>
        <v/>
      </c>
      <c r="E241" s="22" t="n"/>
      <c r="F241" s="22" t="n"/>
      <c r="G241" s="42" t="n"/>
      <c r="H241" s="42" t="n"/>
      <c r="I241" s="23" t="n"/>
      <c r="J241" s="23" t="n"/>
      <c r="K241" s="23" t="n"/>
      <c r="L241" s="23" t="n"/>
      <c r="M241" s="23" t="n"/>
      <c r="N241" s="43">
        <f>IF(COUNTA(I241:M241)&gt;0,AVERAGE(I241:M241),"")</f>
        <v/>
      </c>
      <c r="O241" s="22" t="n"/>
    </row>
    <row r="242">
      <c r="A242" s="34" t="n"/>
      <c r="B242" s="35">
        <f>IF(A242="","",YEAR(A242))</f>
        <v/>
      </c>
      <c r="C242" s="36">
        <f>IF(A242="","",MONTH(A242))</f>
        <v/>
      </c>
      <c r="D242" s="37">
        <f>IF(A242="","","Q"&amp;ROUNDUP(MONTH(A242)/3,0))</f>
        <v/>
      </c>
      <c r="E242" s="18" t="n"/>
      <c r="F242" s="18" t="n"/>
      <c r="G242" s="38" t="n"/>
      <c r="H242" s="38" t="n"/>
      <c r="I242" s="19" t="n"/>
      <c r="J242" s="19" t="n"/>
      <c r="K242" s="19" t="n"/>
      <c r="L242" s="19" t="n"/>
      <c r="M242" s="19" t="n"/>
      <c r="N242" s="43">
        <f>IF(COUNTA(I242:M242)&gt;0,AVERAGE(I242:M242),"")</f>
        <v/>
      </c>
      <c r="O242" s="18" t="n"/>
    </row>
    <row r="243">
      <c r="A243" s="41" t="n"/>
      <c r="B243" s="35">
        <f>IF(A243="","",YEAR(A243))</f>
        <v/>
      </c>
      <c r="C243" s="36">
        <f>IF(A243="","",MONTH(A243))</f>
        <v/>
      </c>
      <c r="D243" s="37">
        <f>IF(A243="","","Q"&amp;ROUNDUP(MONTH(A243)/3,0))</f>
        <v/>
      </c>
      <c r="E243" s="22" t="n"/>
      <c r="F243" s="22" t="n"/>
      <c r="G243" s="42" t="n"/>
      <c r="H243" s="42" t="n"/>
      <c r="I243" s="23" t="n"/>
      <c r="J243" s="23" t="n"/>
      <c r="K243" s="23" t="n"/>
      <c r="L243" s="23" t="n"/>
      <c r="M243" s="23" t="n"/>
      <c r="N243" s="43">
        <f>IF(COUNTA(I243:M243)&gt;0,AVERAGE(I243:M243),"")</f>
        <v/>
      </c>
      <c r="O243" s="22" t="n"/>
    </row>
    <row r="244">
      <c r="A244" s="34" t="n"/>
      <c r="B244" s="35">
        <f>IF(A244="","",YEAR(A244))</f>
        <v/>
      </c>
      <c r="C244" s="36">
        <f>IF(A244="","",MONTH(A244))</f>
        <v/>
      </c>
      <c r="D244" s="37">
        <f>IF(A244="","","Q"&amp;ROUNDUP(MONTH(A244)/3,0))</f>
        <v/>
      </c>
      <c r="E244" s="18" t="n"/>
      <c r="F244" s="18" t="n"/>
      <c r="G244" s="38" t="n"/>
      <c r="H244" s="38" t="n"/>
      <c r="I244" s="19" t="n"/>
      <c r="J244" s="19" t="n"/>
      <c r="K244" s="19" t="n"/>
      <c r="L244" s="19" t="n"/>
      <c r="M244" s="19" t="n"/>
      <c r="N244" s="43">
        <f>IF(COUNTA(I244:M244)&gt;0,AVERAGE(I244:M244),"")</f>
        <v/>
      </c>
      <c r="O244" s="18" t="n"/>
    </row>
    <row r="245">
      <c r="A245" s="41" t="n"/>
      <c r="B245" s="35">
        <f>IF(A245="","",YEAR(A245))</f>
        <v/>
      </c>
      <c r="C245" s="36">
        <f>IF(A245="","",MONTH(A245))</f>
        <v/>
      </c>
      <c r="D245" s="37">
        <f>IF(A245="","","Q"&amp;ROUNDUP(MONTH(A245)/3,0))</f>
        <v/>
      </c>
      <c r="E245" s="22" t="n"/>
      <c r="F245" s="22" t="n"/>
      <c r="G245" s="42" t="n"/>
      <c r="H245" s="42" t="n"/>
      <c r="I245" s="23" t="n"/>
      <c r="J245" s="23" t="n"/>
      <c r="K245" s="23" t="n"/>
      <c r="L245" s="23" t="n"/>
      <c r="M245" s="23" t="n"/>
      <c r="N245" s="43">
        <f>IF(COUNTA(I245:M245)&gt;0,AVERAGE(I245:M245),"")</f>
        <v/>
      </c>
      <c r="O245" s="22" t="n"/>
    </row>
    <row r="246">
      <c r="A246" s="34" t="n"/>
      <c r="B246" s="35">
        <f>IF(A246="","",YEAR(A246))</f>
        <v/>
      </c>
      <c r="C246" s="36">
        <f>IF(A246="","",MONTH(A246))</f>
        <v/>
      </c>
      <c r="D246" s="37">
        <f>IF(A246="","","Q"&amp;ROUNDUP(MONTH(A246)/3,0))</f>
        <v/>
      </c>
      <c r="E246" s="18" t="n"/>
      <c r="F246" s="18" t="n"/>
      <c r="G246" s="38" t="n"/>
      <c r="H246" s="38" t="n"/>
      <c r="I246" s="19" t="n"/>
      <c r="J246" s="19" t="n"/>
      <c r="K246" s="19" t="n"/>
      <c r="L246" s="19" t="n"/>
      <c r="M246" s="19" t="n"/>
      <c r="N246" s="43">
        <f>IF(COUNTA(I246:M246)&gt;0,AVERAGE(I246:M246),"")</f>
        <v/>
      </c>
      <c r="O246" s="18" t="n"/>
    </row>
    <row r="247">
      <c r="A247" s="41" t="n"/>
      <c r="B247" s="35">
        <f>IF(A247="","",YEAR(A247))</f>
        <v/>
      </c>
      <c r="C247" s="36">
        <f>IF(A247="","",MONTH(A247))</f>
        <v/>
      </c>
      <c r="D247" s="37">
        <f>IF(A247="","","Q"&amp;ROUNDUP(MONTH(A247)/3,0))</f>
        <v/>
      </c>
      <c r="E247" s="22" t="n"/>
      <c r="F247" s="22" t="n"/>
      <c r="G247" s="42" t="n"/>
      <c r="H247" s="42" t="n"/>
      <c r="I247" s="23" t="n"/>
      <c r="J247" s="23" t="n"/>
      <c r="K247" s="23" t="n"/>
      <c r="L247" s="23" t="n"/>
      <c r="M247" s="23" t="n"/>
      <c r="N247" s="43">
        <f>IF(COUNTA(I247:M247)&gt;0,AVERAGE(I247:M247),"")</f>
        <v/>
      </c>
      <c r="O247" s="22" t="n"/>
    </row>
    <row r="248">
      <c r="A248" s="34" t="n"/>
      <c r="B248" s="35">
        <f>IF(A248="","",YEAR(A248))</f>
        <v/>
      </c>
      <c r="C248" s="36">
        <f>IF(A248="","",MONTH(A248))</f>
        <v/>
      </c>
      <c r="D248" s="37">
        <f>IF(A248="","","Q"&amp;ROUNDUP(MONTH(A248)/3,0))</f>
        <v/>
      </c>
      <c r="E248" s="18" t="n"/>
      <c r="F248" s="18" t="n"/>
      <c r="G248" s="38" t="n"/>
      <c r="H248" s="38" t="n"/>
      <c r="I248" s="19" t="n"/>
      <c r="J248" s="19" t="n"/>
      <c r="K248" s="19" t="n"/>
      <c r="L248" s="19" t="n"/>
      <c r="M248" s="19" t="n"/>
      <c r="N248" s="43">
        <f>IF(COUNTA(I248:M248)&gt;0,AVERAGE(I248:M248),"")</f>
        <v/>
      </c>
      <c r="O248" s="18" t="n"/>
    </row>
    <row r="249">
      <c r="A249" s="41" t="n"/>
      <c r="B249" s="35">
        <f>IF(A249="","",YEAR(A249))</f>
        <v/>
      </c>
      <c r="C249" s="36">
        <f>IF(A249="","",MONTH(A249))</f>
        <v/>
      </c>
      <c r="D249" s="37">
        <f>IF(A249="","","Q"&amp;ROUNDUP(MONTH(A249)/3,0))</f>
        <v/>
      </c>
      <c r="E249" s="22" t="n"/>
      <c r="F249" s="22" t="n"/>
      <c r="G249" s="42" t="n"/>
      <c r="H249" s="42" t="n"/>
      <c r="I249" s="23" t="n"/>
      <c r="J249" s="23" t="n"/>
      <c r="K249" s="23" t="n"/>
      <c r="L249" s="23" t="n"/>
      <c r="M249" s="23" t="n"/>
      <c r="N249" s="43">
        <f>IF(COUNTA(I249:M249)&gt;0,AVERAGE(I249:M249),"")</f>
        <v/>
      </c>
      <c r="O249" s="22" t="n"/>
    </row>
    <row r="250">
      <c r="A250" s="34" t="n"/>
      <c r="B250" s="35">
        <f>IF(A250="","",YEAR(A250))</f>
        <v/>
      </c>
      <c r="C250" s="36">
        <f>IF(A250="","",MONTH(A250))</f>
        <v/>
      </c>
      <c r="D250" s="37">
        <f>IF(A250="","","Q"&amp;ROUNDUP(MONTH(A250)/3,0))</f>
        <v/>
      </c>
      <c r="E250" s="18" t="n"/>
      <c r="F250" s="18" t="n"/>
      <c r="G250" s="38" t="n"/>
      <c r="H250" s="38" t="n"/>
      <c r="I250" s="19" t="n"/>
      <c r="J250" s="19" t="n"/>
      <c r="K250" s="19" t="n"/>
      <c r="L250" s="19" t="n"/>
      <c r="M250" s="19" t="n"/>
      <c r="N250" s="43">
        <f>IF(COUNTA(I250:M250)&gt;0,AVERAGE(I250:M250),"")</f>
        <v/>
      </c>
      <c r="O250" s="18" t="n"/>
    </row>
    <row r="251">
      <c r="A251" s="41" t="n"/>
      <c r="B251" s="35">
        <f>IF(A251="","",YEAR(A251))</f>
        <v/>
      </c>
      <c r="C251" s="36">
        <f>IF(A251="","",MONTH(A251))</f>
        <v/>
      </c>
      <c r="D251" s="37">
        <f>IF(A251="","","Q"&amp;ROUNDUP(MONTH(A251)/3,0))</f>
        <v/>
      </c>
      <c r="E251" s="22" t="n"/>
      <c r="F251" s="22" t="n"/>
      <c r="G251" s="42" t="n"/>
      <c r="H251" s="42" t="n"/>
      <c r="I251" s="23" t="n"/>
      <c r="J251" s="23" t="n"/>
      <c r="K251" s="23" t="n"/>
      <c r="L251" s="23" t="n"/>
      <c r="M251" s="23" t="n"/>
      <c r="N251" s="43">
        <f>IF(COUNTA(I251:M251)&gt;0,AVERAGE(I251:M251),"")</f>
        <v/>
      </c>
      <c r="O251" s="22" t="n"/>
    </row>
    <row r="252">
      <c r="A252" s="34" t="n"/>
      <c r="B252" s="35">
        <f>IF(A252="","",YEAR(A252))</f>
        <v/>
      </c>
      <c r="C252" s="36">
        <f>IF(A252="","",MONTH(A252))</f>
        <v/>
      </c>
      <c r="D252" s="37">
        <f>IF(A252="","","Q"&amp;ROUNDUP(MONTH(A252)/3,0))</f>
        <v/>
      </c>
      <c r="E252" s="18" t="n"/>
      <c r="F252" s="18" t="n"/>
      <c r="G252" s="38" t="n"/>
      <c r="H252" s="38" t="n"/>
      <c r="I252" s="19" t="n"/>
      <c r="J252" s="19" t="n"/>
      <c r="K252" s="19" t="n"/>
      <c r="L252" s="19" t="n"/>
      <c r="M252" s="19" t="n"/>
      <c r="N252" s="43">
        <f>IF(COUNTA(I252:M252)&gt;0,AVERAGE(I252:M252),"")</f>
        <v/>
      </c>
      <c r="O252" s="18" t="n"/>
    </row>
    <row r="253">
      <c r="A253" s="41" t="n"/>
      <c r="B253" s="35">
        <f>IF(A253="","",YEAR(A253))</f>
        <v/>
      </c>
      <c r="C253" s="36">
        <f>IF(A253="","",MONTH(A253))</f>
        <v/>
      </c>
      <c r="D253" s="37">
        <f>IF(A253="","","Q"&amp;ROUNDUP(MONTH(A253)/3,0))</f>
        <v/>
      </c>
      <c r="E253" s="22" t="n"/>
      <c r="F253" s="22" t="n"/>
      <c r="G253" s="42" t="n"/>
      <c r="H253" s="42" t="n"/>
      <c r="I253" s="23" t="n"/>
      <c r="J253" s="23" t="n"/>
      <c r="K253" s="23" t="n"/>
      <c r="L253" s="23" t="n"/>
      <c r="M253" s="23" t="n"/>
      <c r="N253" s="43">
        <f>IF(COUNTA(I253:M253)&gt;0,AVERAGE(I253:M253),"")</f>
        <v/>
      </c>
      <c r="O253" s="22" t="n"/>
    </row>
    <row r="254">
      <c r="A254" s="34" t="n"/>
      <c r="B254" s="35">
        <f>IF(A254="","",YEAR(A254))</f>
        <v/>
      </c>
      <c r="C254" s="36">
        <f>IF(A254="","",MONTH(A254))</f>
        <v/>
      </c>
      <c r="D254" s="37">
        <f>IF(A254="","","Q"&amp;ROUNDUP(MONTH(A254)/3,0))</f>
        <v/>
      </c>
      <c r="E254" s="18" t="n"/>
      <c r="F254" s="18" t="n"/>
      <c r="G254" s="38" t="n"/>
      <c r="H254" s="38" t="n"/>
      <c r="I254" s="19" t="n"/>
      <c r="J254" s="19" t="n"/>
      <c r="K254" s="19" t="n"/>
      <c r="L254" s="19" t="n"/>
      <c r="M254" s="19" t="n"/>
      <c r="N254" s="43">
        <f>IF(COUNTA(I254:M254)&gt;0,AVERAGE(I254:M254),"")</f>
        <v/>
      </c>
      <c r="O254" s="18" t="n"/>
    </row>
    <row r="255">
      <c r="A255" s="41" t="n"/>
      <c r="B255" s="35">
        <f>IF(A255="","",YEAR(A255))</f>
        <v/>
      </c>
      <c r="C255" s="36">
        <f>IF(A255="","",MONTH(A255))</f>
        <v/>
      </c>
      <c r="D255" s="37">
        <f>IF(A255="","","Q"&amp;ROUNDUP(MONTH(A255)/3,0))</f>
        <v/>
      </c>
      <c r="E255" s="22" t="n"/>
      <c r="F255" s="22" t="n"/>
      <c r="G255" s="42" t="n"/>
      <c r="H255" s="42" t="n"/>
      <c r="I255" s="23" t="n"/>
      <c r="J255" s="23" t="n"/>
      <c r="K255" s="23" t="n"/>
      <c r="L255" s="23" t="n"/>
      <c r="M255" s="23" t="n"/>
      <c r="N255" s="43">
        <f>IF(COUNTA(I255:M255)&gt;0,AVERAGE(I255:M255),"")</f>
        <v/>
      </c>
      <c r="O255" s="22" t="n"/>
    </row>
    <row r="256">
      <c r="A256" s="34" t="n"/>
      <c r="B256" s="35">
        <f>IF(A256="","",YEAR(A256))</f>
        <v/>
      </c>
      <c r="C256" s="36">
        <f>IF(A256="","",MONTH(A256))</f>
        <v/>
      </c>
      <c r="D256" s="37">
        <f>IF(A256="","","Q"&amp;ROUNDUP(MONTH(A256)/3,0))</f>
        <v/>
      </c>
      <c r="E256" s="18" t="n"/>
      <c r="F256" s="18" t="n"/>
      <c r="G256" s="38" t="n"/>
      <c r="H256" s="38" t="n"/>
      <c r="I256" s="19" t="n"/>
      <c r="J256" s="19" t="n"/>
      <c r="K256" s="19" t="n"/>
      <c r="L256" s="19" t="n"/>
      <c r="M256" s="19" t="n"/>
      <c r="N256" s="43">
        <f>IF(COUNTA(I256:M256)&gt;0,AVERAGE(I256:M256),"")</f>
        <v/>
      </c>
      <c r="O256" s="18" t="n"/>
    </row>
    <row r="257">
      <c r="A257" s="41" t="n"/>
      <c r="B257" s="35">
        <f>IF(A257="","",YEAR(A257))</f>
        <v/>
      </c>
      <c r="C257" s="36">
        <f>IF(A257="","",MONTH(A257))</f>
        <v/>
      </c>
      <c r="D257" s="37">
        <f>IF(A257="","","Q"&amp;ROUNDUP(MONTH(A257)/3,0))</f>
        <v/>
      </c>
      <c r="E257" s="22" t="n"/>
      <c r="F257" s="22" t="n"/>
      <c r="G257" s="42" t="n"/>
      <c r="H257" s="42" t="n"/>
      <c r="I257" s="23" t="n"/>
      <c r="J257" s="23" t="n"/>
      <c r="K257" s="23" t="n"/>
      <c r="L257" s="23" t="n"/>
      <c r="M257" s="23" t="n"/>
      <c r="N257" s="43">
        <f>IF(COUNTA(I257:M257)&gt;0,AVERAGE(I257:M257),"")</f>
        <v/>
      </c>
      <c r="O257" s="22" t="n"/>
    </row>
    <row r="258">
      <c r="A258" s="34" t="n"/>
      <c r="B258" s="35">
        <f>IF(A258="","",YEAR(A258))</f>
        <v/>
      </c>
      <c r="C258" s="36">
        <f>IF(A258="","",MONTH(A258))</f>
        <v/>
      </c>
      <c r="D258" s="37">
        <f>IF(A258="","","Q"&amp;ROUNDUP(MONTH(A258)/3,0))</f>
        <v/>
      </c>
      <c r="E258" s="18" t="n"/>
      <c r="F258" s="18" t="n"/>
      <c r="G258" s="38" t="n"/>
      <c r="H258" s="38" t="n"/>
      <c r="I258" s="19" t="n"/>
      <c r="J258" s="19" t="n"/>
      <c r="K258" s="19" t="n"/>
      <c r="L258" s="19" t="n"/>
      <c r="M258" s="19" t="n"/>
      <c r="N258" s="43">
        <f>IF(COUNTA(I258:M258)&gt;0,AVERAGE(I258:M258),"")</f>
        <v/>
      </c>
      <c r="O258" s="18" t="n"/>
    </row>
    <row r="259">
      <c r="A259" s="41" t="n"/>
      <c r="B259" s="35">
        <f>IF(A259="","",YEAR(A259))</f>
        <v/>
      </c>
      <c r="C259" s="36">
        <f>IF(A259="","",MONTH(A259))</f>
        <v/>
      </c>
      <c r="D259" s="37">
        <f>IF(A259="","","Q"&amp;ROUNDUP(MONTH(A259)/3,0))</f>
        <v/>
      </c>
      <c r="E259" s="22" t="n"/>
      <c r="F259" s="22" t="n"/>
      <c r="G259" s="42" t="n"/>
      <c r="H259" s="42" t="n"/>
      <c r="I259" s="23" t="n"/>
      <c r="J259" s="23" t="n"/>
      <c r="K259" s="23" t="n"/>
      <c r="L259" s="23" t="n"/>
      <c r="M259" s="23" t="n"/>
      <c r="N259" s="43">
        <f>IF(COUNTA(I259:M259)&gt;0,AVERAGE(I259:M259),"")</f>
        <v/>
      </c>
      <c r="O259" s="22" t="n"/>
    </row>
    <row r="260">
      <c r="A260" s="34" t="n"/>
      <c r="B260" s="35">
        <f>IF(A260="","",YEAR(A260))</f>
        <v/>
      </c>
      <c r="C260" s="36">
        <f>IF(A260="","",MONTH(A260))</f>
        <v/>
      </c>
      <c r="D260" s="37">
        <f>IF(A260="","","Q"&amp;ROUNDUP(MONTH(A260)/3,0))</f>
        <v/>
      </c>
      <c r="E260" s="18" t="n"/>
      <c r="F260" s="18" t="n"/>
      <c r="G260" s="38" t="n"/>
      <c r="H260" s="38" t="n"/>
      <c r="I260" s="19" t="n"/>
      <c r="J260" s="19" t="n"/>
      <c r="K260" s="19" t="n"/>
      <c r="L260" s="19" t="n"/>
      <c r="M260" s="19" t="n"/>
      <c r="N260" s="43">
        <f>IF(COUNTA(I260:M260)&gt;0,AVERAGE(I260:M260),"")</f>
        <v/>
      </c>
      <c r="O260" s="18" t="n"/>
    </row>
    <row r="261">
      <c r="A261" s="41" t="n"/>
      <c r="B261" s="35">
        <f>IF(A261="","",YEAR(A261))</f>
        <v/>
      </c>
      <c r="C261" s="36">
        <f>IF(A261="","",MONTH(A261))</f>
        <v/>
      </c>
      <c r="D261" s="37">
        <f>IF(A261="","","Q"&amp;ROUNDUP(MONTH(A261)/3,0))</f>
        <v/>
      </c>
      <c r="E261" s="22" t="n"/>
      <c r="F261" s="22" t="n"/>
      <c r="G261" s="42" t="n"/>
      <c r="H261" s="42" t="n"/>
      <c r="I261" s="23" t="n"/>
      <c r="J261" s="23" t="n"/>
      <c r="K261" s="23" t="n"/>
      <c r="L261" s="23" t="n"/>
      <c r="M261" s="23" t="n"/>
      <c r="N261" s="43">
        <f>IF(COUNTA(I261:M261)&gt;0,AVERAGE(I261:M261),"")</f>
        <v/>
      </c>
      <c r="O261" s="22" t="n"/>
    </row>
    <row r="262">
      <c r="A262" s="34" t="n"/>
      <c r="B262" s="35">
        <f>IF(A262="","",YEAR(A262))</f>
        <v/>
      </c>
      <c r="C262" s="36">
        <f>IF(A262="","",MONTH(A262))</f>
        <v/>
      </c>
      <c r="D262" s="37">
        <f>IF(A262="","","Q"&amp;ROUNDUP(MONTH(A262)/3,0))</f>
        <v/>
      </c>
      <c r="E262" s="18" t="n"/>
      <c r="F262" s="18" t="n"/>
      <c r="G262" s="38" t="n"/>
      <c r="H262" s="38" t="n"/>
      <c r="I262" s="19" t="n"/>
      <c r="J262" s="19" t="n"/>
      <c r="K262" s="19" t="n"/>
      <c r="L262" s="19" t="n"/>
      <c r="M262" s="19" t="n"/>
      <c r="N262" s="43">
        <f>IF(COUNTA(I262:M262)&gt;0,AVERAGE(I262:M262),"")</f>
        <v/>
      </c>
      <c r="O262" s="18" t="n"/>
    </row>
    <row r="263">
      <c r="A263" s="41" t="n"/>
      <c r="B263" s="35">
        <f>IF(A263="","",YEAR(A263))</f>
        <v/>
      </c>
      <c r="C263" s="36">
        <f>IF(A263="","",MONTH(A263))</f>
        <v/>
      </c>
      <c r="D263" s="37">
        <f>IF(A263="","","Q"&amp;ROUNDUP(MONTH(A263)/3,0))</f>
        <v/>
      </c>
      <c r="E263" s="22" t="n"/>
      <c r="F263" s="22" t="n"/>
      <c r="G263" s="42" t="n"/>
      <c r="H263" s="42" t="n"/>
      <c r="I263" s="23" t="n"/>
      <c r="J263" s="23" t="n"/>
      <c r="K263" s="23" t="n"/>
      <c r="L263" s="23" t="n"/>
      <c r="M263" s="23" t="n"/>
      <c r="N263" s="43">
        <f>IF(COUNTA(I263:M263)&gt;0,AVERAGE(I263:M263),"")</f>
        <v/>
      </c>
      <c r="O263" s="22" t="n"/>
    </row>
    <row r="264">
      <c r="A264" s="34" t="n"/>
      <c r="B264" s="35">
        <f>IF(A264="","",YEAR(A264))</f>
        <v/>
      </c>
      <c r="C264" s="36">
        <f>IF(A264="","",MONTH(A264))</f>
        <v/>
      </c>
      <c r="D264" s="37">
        <f>IF(A264="","","Q"&amp;ROUNDUP(MONTH(A264)/3,0))</f>
        <v/>
      </c>
      <c r="E264" s="18" t="n"/>
      <c r="F264" s="18" t="n"/>
      <c r="G264" s="38" t="n"/>
      <c r="H264" s="38" t="n"/>
      <c r="I264" s="19" t="n"/>
      <c r="J264" s="19" t="n"/>
      <c r="K264" s="19" t="n"/>
      <c r="L264" s="19" t="n"/>
      <c r="M264" s="19" t="n"/>
      <c r="N264" s="43">
        <f>IF(COUNTA(I264:M264)&gt;0,AVERAGE(I264:M264),"")</f>
        <v/>
      </c>
      <c r="O264" s="18" t="n"/>
    </row>
    <row r="265">
      <c r="A265" s="41" t="n"/>
      <c r="B265" s="35">
        <f>IF(A265="","",YEAR(A265))</f>
        <v/>
      </c>
      <c r="C265" s="36">
        <f>IF(A265="","",MONTH(A265))</f>
        <v/>
      </c>
      <c r="D265" s="37">
        <f>IF(A265="","","Q"&amp;ROUNDUP(MONTH(A265)/3,0))</f>
        <v/>
      </c>
      <c r="E265" s="22" t="n"/>
      <c r="F265" s="22" t="n"/>
      <c r="G265" s="42" t="n"/>
      <c r="H265" s="42" t="n"/>
      <c r="I265" s="23" t="n"/>
      <c r="J265" s="23" t="n"/>
      <c r="K265" s="23" t="n"/>
      <c r="L265" s="23" t="n"/>
      <c r="M265" s="23" t="n"/>
      <c r="N265" s="43">
        <f>IF(COUNTA(I265:M265)&gt;0,AVERAGE(I265:M265),"")</f>
        <v/>
      </c>
      <c r="O265" s="22" t="n"/>
    </row>
    <row r="266">
      <c r="A266" s="34" t="n"/>
      <c r="B266" s="35">
        <f>IF(A266="","",YEAR(A266))</f>
        <v/>
      </c>
      <c r="C266" s="36">
        <f>IF(A266="","",MONTH(A266))</f>
        <v/>
      </c>
      <c r="D266" s="37">
        <f>IF(A266="","","Q"&amp;ROUNDUP(MONTH(A266)/3,0))</f>
        <v/>
      </c>
      <c r="E266" s="18" t="n"/>
      <c r="F266" s="18" t="n"/>
      <c r="G266" s="38" t="n"/>
      <c r="H266" s="38" t="n"/>
      <c r="I266" s="19" t="n"/>
      <c r="J266" s="19" t="n"/>
      <c r="K266" s="19" t="n"/>
      <c r="L266" s="19" t="n"/>
      <c r="M266" s="19" t="n"/>
      <c r="N266" s="43">
        <f>IF(COUNTA(I266:M266)&gt;0,AVERAGE(I266:M266),"")</f>
        <v/>
      </c>
      <c r="O266" s="18" t="n"/>
    </row>
    <row r="267">
      <c r="A267" s="41" t="n"/>
      <c r="B267" s="35">
        <f>IF(A267="","",YEAR(A267))</f>
        <v/>
      </c>
      <c r="C267" s="36">
        <f>IF(A267="","",MONTH(A267))</f>
        <v/>
      </c>
      <c r="D267" s="37">
        <f>IF(A267="","","Q"&amp;ROUNDUP(MONTH(A267)/3,0))</f>
        <v/>
      </c>
      <c r="E267" s="22" t="n"/>
      <c r="F267" s="22" t="n"/>
      <c r="G267" s="42" t="n"/>
      <c r="H267" s="42" t="n"/>
      <c r="I267" s="23" t="n"/>
      <c r="J267" s="23" t="n"/>
      <c r="K267" s="23" t="n"/>
      <c r="L267" s="23" t="n"/>
      <c r="M267" s="23" t="n"/>
      <c r="N267" s="43">
        <f>IF(COUNTA(I267:M267)&gt;0,AVERAGE(I267:M267),"")</f>
        <v/>
      </c>
      <c r="O267" s="22" t="n"/>
    </row>
    <row r="268">
      <c r="A268" s="34" t="n"/>
      <c r="B268" s="35">
        <f>IF(A268="","",YEAR(A268))</f>
        <v/>
      </c>
      <c r="C268" s="36">
        <f>IF(A268="","",MONTH(A268))</f>
        <v/>
      </c>
      <c r="D268" s="37">
        <f>IF(A268="","","Q"&amp;ROUNDUP(MONTH(A268)/3,0))</f>
        <v/>
      </c>
      <c r="E268" s="18" t="n"/>
      <c r="F268" s="18" t="n"/>
      <c r="G268" s="38" t="n"/>
      <c r="H268" s="38" t="n"/>
      <c r="I268" s="19" t="n"/>
      <c r="J268" s="19" t="n"/>
      <c r="K268" s="19" t="n"/>
      <c r="L268" s="19" t="n"/>
      <c r="M268" s="19" t="n"/>
      <c r="N268" s="43">
        <f>IF(COUNTA(I268:M268)&gt;0,AVERAGE(I268:M268),"")</f>
        <v/>
      </c>
      <c r="O268" s="18" t="n"/>
    </row>
    <row r="269">
      <c r="A269" s="41" t="n"/>
      <c r="B269" s="35">
        <f>IF(A269="","",YEAR(A269))</f>
        <v/>
      </c>
      <c r="C269" s="36">
        <f>IF(A269="","",MONTH(A269))</f>
        <v/>
      </c>
      <c r="D269" s="37">
        <f>IF(A269="","","Q"&amp;ROUNDUP(MONTH(A269)/3,0))</f>
        <v/>
      </c>
      <c r="E269" s="22" t="n"/>
      <c r="F269" s="22" t="n"/>
      <c r="G269" s="42" t="n"/>
      <c r="H269" s="42" t="n"/>
      <c r="I269" s="23" t="n"/>
      <c r="J269" s="23" t="n"/>
      <c r="K269" s="23" t="n"/>
      <c r="L269" s="23" t="n"/>
      <c r="M269" s="23" t="n"/>
      <c r="N269" s="43">
        <f>IF(COUNTA(I269:M269)&gt;0,AVERAGE(I269:M269),"")</f>
        <v/>
      </c>
      <c r="O269" s="22" t="n"/>
    </row>
    <row r="270">
      <c r="A270" s="34" t="n"/>
      <c r="B270" s="35">
        <f>IF(A270="","",YEAR(A270))</f>
        <v/>
      </c>
      <c r="C270" s="36">
        <f>IF(A270="","",MONTH(A270))</f>
        <v/>
      </c>
      <c r="D270" s="37">
        <f>IF(A270="","","Q"&amp;ROUNDUP(MONTH(A270)/3,0))</f>
        <v/>
      </c>
      <c r="E270" s="18" t="n"/>
      <c r="F270" s="18" t="n"/>
      <c r="G270" s="38" t="n"/>
      <c r="H270" s="38" t="n"/>
      <c r="I270" s="19" t="n"/>
      <c r="J270" s="19" t="n"/>
      <c r="K270" s="19" t="n"/>
      <c r="L270" s="19" t="n"/>
      <c r="M270" s="19" t="n"/>
      <c r="N270" s="43">
        <f>IF(COUNTA(I270:M270)&gt;0,AVERAGE(I270:M270),"")</f>
        <v/>
      </c>
      <c r="O270" s="18" t="n"/>
    </row>
    <row r="271">
      <c r="A271" s="41" t="n"/>
      <c r="B271" s="35">
        <f>IF(A271="","",YEAR(A271))</f>
        <v/>
      </c>
      <c r="C271" s="36">
        <f>IF(A271="","",MONTH(A271))</f>
        <v/>
      </c>
      <c r="D271" s="37">
        <f>IF(A271="","","Q"&amp;ROUNDUP(MONTH(A271)/3,0))</f>
        <v/>
      </c>
      <c r="E271" s="22" t="n"/>
      <c r="F271" s="22" t="n"/>
      <c r="G271" s="42" t="n"/>
      <c r="H271" s="42" t="n"/>
      <c r="I271" s="23" t="n"/>
      <c r="J271" s="23" t="n"/>
      <c r="K271" s="23" t="n"/>
      <c r="L271" s="23" t="n"/>
      <c r="M271" s="23" t="n"/>
      <c r="N271" s="43">
        <f>IF(COUNTA(I271:M271)&gt;0,AVERAGE(I271:M271),"")</f>
        <v/>
      </c>
      <c r="O271" s="22" t="n"/>
    </row>
    <row r="272">
      <c r="A272" s="34" t="n"/>
      <c r="B272" s="35">
        <f>IF(A272="","",YEAR(A272))</f>
        <v/>
      </c>
      <c r="C272" s="36">
        <f>IF(A272="","",MONTH(A272))</f>
        <v/>
      </c>
      <c r="D272" s="37">
        <f>IF(A272="","","Q"&amp;ROUNDUP(MONTH(A272)/3,0))</f>
        <v/>
      </c>
      <c r="E272" s="18" t="n"/>
      <c r="F272" s="18" t="n"/>
      <c r="G272" s="38" t="n"/>
      <c r="H272" s="38" t="n"/>
      <c r="I272" s="19" t="n"/>
      <c r="J272" s="19" t="n"/>
      <c r="K272" s="19" t="n"/>
      <c r="L272" s="19" t="n"/>
      <c r="M272" s="19" t="n"/>
      <c r="N272" s="43">
        <f>IF(COUNTA(I272:M272)&gt;0,AVERAGE(I272:M272),"")</f>
        <v/>
      </c>
      <c r="O272" s="18" t="n"/>
    </row>
    <row r="273">
      <c r="A273" s="41" t="n"/>
      <c r="B273" s="35">
        <f>IF(A273="","",YEAR(A273))</f>
        <v/>
      </c>
      <c r="C273" s="36">
        <f>IF(A273="","",MONTH(A273))</f>
        <v/>
      </c>
      <c r="D273" s="37">
        <f>IF(A273="","","Q"&amp;ROUNDUP(MONTH(A273)/3,0))</f>
        <v/>
      </c>
      <c r="E273" s="22" t="n"/>
      <c r="F273" s="22" t="n"/>
      <c r="G273" s="42" t="n"/>
      <c r="H273" s="42" t="n"/>
      <c r="I273" s="23" t="n"/>
      <c r="J273" s="23" t="n"/>
      <c r="K273" s="23" t="n"/>
      <c r="L273" s="23" t="n"/>
      <c r="M273" s="23" t="n"/>
      <c r="N273" s="43">
        <f>IF(COUNTA(I273:M273)&gt;0,AVERAGE(I273:M273),"")</f>
        <v/>
      </c>
      <c r="O273" s="22" t="n"/>
    </row>
    <row r="274">
      <c r="A274" s="34" t="n"/>
      <c r="B274" s="35">
        <f>IF(A274="","",YEAR(A274))</f>
        <v/>
      </c>
      <c r="C274" s="36">
        <f>IF(A274="","",MONTH(A274))</f>
        <v/>
      </c>
      <c r="D274" s="37">
        <f>IF(A274="","","Q"&amp;ROUNDUP(MONTH(A274)/3,0))</f>
        <v/>
      </c>
      <c r="E274" s="18" t="n"/>
      <c r="F274" s="18" t="n"/>
      <c r="G274" s="38" t="n"/>
      <c r="H274" s="38" t="n"/>
      <c r="I274" s="19" t="n"/>
      <c r="J274" s="19" t="n"/>
      <c r="K274" s="19" t="n"/>
      <c r="L274" s="19" t="n"/>
      <c r="M274" s="19" t="n"/>
      <c r="N274" s="43">
        <f>IF(COUNTA(I274:M274)&gt;0,AVERAGE(I274:M274),"")</f>
        <v/>
      </c>
      <c r="O274" s="18" t="n"/>
    </row>
    <row r="275">
      <c r="A275" s="41" t="n"/>
      <c r="B275" s="35">
        <f>IF(A275="","",YEAR(A275))</f>
        <v/>
      </c>
      <c r="C275" s="36">
        <f>IF(A275="","",MONTH(A275))</f>
        <v/>
      </c>
      <c r="D275" s="37">
        <f>IF(A275="","","Q"&amp;ROUNDUP(MONTH(A275)/3,0))</f>
        <v/>
      </c>
      <c r="E275" s="22" t="n"/>
      <c r="F275" s="22" t="n"/>
      <c r="G275" s="42" t="n"/>
      <c r="H275" s="42" t="n"/>
      <c r="I275" s="23" t="n"/>
      <c r="J275" s="23" t="n"/>
      <c r="K275" s="23" t="n"/>
      <c r="L275" s="23" t="n"/>
      <c r="M275" s="23" t="n"/>
      <c r="N275" s="43">
        <f>IF(COUNTA(I275:M275)&gt;0,AVERAGE(I275:M275),"")</f>
        <v/>
      </c>
      <c r="O275" s="22" t="n"/>
    </row>
    <row r="276">
      <c r="A276" s="34" t="n"/>
      <c r="B276" s="35">
        <f>IF(A276="","",YEAR(A276))</f>
        <v/>
      </c>
      <c r="C276" s="36">
        <f>IF(A276="","",MONTH(A276))</f>
        <v/>
      </c>
      <c r="D276" s="37">
        <f>IF(A276="","","Q"&amp;ROUNDUP(MONTH(A276)/3,0))</f>
        <v/>
      </c>
      <c r="E276" s="18" t="n"/>
      <c r="F276" s="18" t="n"/>
      <c r="G276" s="38" t="n"/>
      <c r="H276" s="38" t="n"/>
      <c r="I276" s="19" t="n"/>
      <c r="J276" s="19" t="n"/>
      <c r="K276" s="19" t="n"/>
      <c r="L276" s="19" t="n"/>
      <c r="M276" s="19" t="n"/>
      <c r="N276" s="43">
        <f>IF(COUNTA(I276:M276)&gt;0,AVERAGE(I276:M276),"")</f>
        <v/>
      </c>
      <c r="O276" s="18" t="n"/>
    </row>
    <row r="277">
      <c r="A277" s="41" t="n"/>
      <c r="B277" s="35">
        <f>IF(A277="","",YEAR(A277))</f>
        <v/>
      </c>
      <c r="C277" s="36">
        <f>IF(A277="","",MONTH(A277))</f>
        <v/>
      </c>
      <c r="D277" s="37">
        <f>IF(A277="","","Q"&amp;ROUNDUP(MONTH(A277)/3,0))</f>
        <v/>
      </c>
      <c r="E277" s="22" t="n"/>
      <c r="F277" s="22" t="n"/>
      <c r="G277" s="42" t="n"/>
      <c r="H277" s="42" t="n"/>
      <c r="I277" s="23" t="n"/>
      <c r="J277" s="23" t="n"/>
      <c r="K277" s="23" t="n"/>
      <c r="L277" s="23" t="n"/>
      <c r="M277" s="23" t="n"/>
      <c r="N277" s="43">
        <f>IF(COUNTA(I277:M277)&gt;0,AVERAGE(I277:M277),"")</f>
        <v/>
      </c>
      <c r="O277" s="22" t="n"/>
    </row>
    <row r="278">
      <c r="A278" s="34" t="n"/>
      <c r="B278" s="35">
        <f>IF(A278="","",YEAR(A278))</f>
        <v/>
      </c>
      <c r="C278" s="36">
        <f>IF(A278="","",MONTH(A278))</f>
        <v/>
      </c>
      <c r="D278" s="37">
        <f>IF(A278="","","Q"&amp;ROUNDUP(MONTH(A278)/3,0))</f>
        <v/>
      </c>
      <c r="E278" s="18" t="n"/>
      <c r="F278" s="18" t="n"/>
      <c r="G278" s="38" t="n"/>
      <c r="H278" s="38" t="n"/>
      <c r="I278" s="19" t="n"/>
      <c r="J278" s="19" t="n"/>
      <c r="K278" s="19" t="n"/>
      <c r="L278" s="19" t="n"/>
      <c r="M278" s="19" t="n"/>
      <c r="N278" s="43">
        <f>IF(COUNTA(I278:M278)&gt;0,AVERAGE(I278:M278),"")</f>
        <v/>
      </c>
      <c r="O278" s="18" t="n"/>
    </row>
    <row r="279">
      <c r="A279" s="41" t="n"/>
      <c r="B279" s="35">
        <f>IF(A279="","",YEAR(A279))</f>
        <v/>
      </c>
      <c r="C279" s="36">
        <f>IF(A279="","",MONTH(A279))</f>
        <v/>
      </c>
      <c r="D279" s="37">
        <f>IF(A279="","","Q"&amp;ROUNDUP(MONTH(A279)/3,0))</f>
        <v/>
      </c>
      <c r="E279" s="22" t="n"/>
      <c r="F279" s="22" t="n"/>
      <c r="G279" s="42" t="n"/>
      <c r="H279" s="42" t="n"/>
      <c r="I279" s="23" t="n"/>
      <c r="J279" s="23" t="n"/>
      <c r="K279" s="23" t="n"/>
      <c r="L279" s="23" t="n"/>
      <c r="M279" s="23" t="n"/>
      <c r="N279" s="43">
        <f>IF(COUNTA(I279:M279)&gt;0,AVERAGE(I279:M279),"")</f>
        <v/>
      </c>
      <c r="O279" s="22" t="n"/>
    </row>
    <row r="280">
      <c r="A280" s="34" t="n"/>
      <c r="B280" s="35">
        <f>IF(A280="","",YEAR(A280))</f>
        <v/>
      </c>
      <c r="C280" s="36">
        <f>IF(A280="","",MONTH(A280))</f>
        <v/>
      </c>
      <c r="D280" s="37">
        <f>IF(A280="","","Q"&amp;ROUNDUP(MONTH(A280)/3,0))</f>
        <v/>
      </c>
      <c r="E280" s="18" t="n"/>
      <c r="F280" s="18" t="n"/>
      <c r="G280" s="38" t="n"/>
      <c r="H280" s="38" t="n"/>
      <c r="I280" s="19" t="n"/>
      <c r="J280" s="19" t="n"/>
      <c r="K280" s="19" t="n"/>
      <c r="L280" s="19" t="n"/>
      <c r="M280" s="19" t="n"/>
      <c r="N280" s="43">
        <f>IF(COUNTA(I280:M280)&gt;0,AVERAGE(I280:M280),"")</f>
        <v/>
      </c>
      <c r="O280" s="18" t="n"/>
    </row>
    <row r="281">
      <c r="A281" s="41" t="n"/>
      <c r="B281" s="35">
        <f>IF(A281="","",YEAR(A281))</f>
        <v/>
      </c>
      <c r="C281" s="36">
        <f>IF(A281="","",MONTH(A281))</f>
        <v/>
      </c>
      <c r="D281" s="37">
        <f>IF(A281="","","Q"&amp;ROUNDUP(MONTH(A281)/3,0))</f>
        <v/>
      </c>
      <c r="E281" s="22" t="n"/>
      <c r="F281" s="22" t="n"/>
      <c r="G281" s="42" t="n"/>
      <c r="H281" s="42" t="n"/>
      <c r="I281" s="23" t="n"/>
      <c r="J281" s="23" t="n"/>
      <c r="K281" s="23" t="n"/>
      <c r="L281" s="23" t="n"/>
      <c r="M281" s="23" t="n"/>
      <c r="N281" s="43">
        <f>IF(COUNTA(I281:M281)&gt;0,AVERAGE(I281:M281),"")</f>
        <v/>
      </c>
      <c r="O281" s="22" t="n"/>
    </row>
    <row r="282">
      <c r="A282" s="34" t="n"/>
      <c r="B282" s="35">
        <f>IF(A282="","",YEAR(A282))</f>
        <v/>
      </c>
      <c r="C282" s="36">
        <f>IF(A282="","",MONTH(A282))</f>
        <v/>
      </c>
      <c r="D282" s="37">
        <f>IF(A282="","","Q"&amp;ROUNDUP(MONTH(A282)/3,0))</f>
        <v/>
      </c>
      <c r="E282" s="18" t="n"/>
      <c r="F282" s="18" t="n"/>
      <c r="G282" s="38" t="n"/>
      <c r="H282" s="38" t="n"/>
      <c r="I282" s="19" t="n"/>
      <c r="J282" s="19" t="n"/>
      <c r="K282" s="19" t="n"/>
      <c r="L282" s="19" t="n"/>
      <c r="M282" s="19" t="n"/>
      <c r="N282" s="43">
        <f>IF(COUNTA(I282:M282)&gt;0,AVERAGE(I282:M282),"")</f>
        <v/>
      </c>
      <c r="O282" s="18" t="n"/>
    </row>
    <row r="283">
      <c r="A283" s="41" t="n"/>
      <c r="B283" s="35">
        <f>IF(A283="","",YEAR(A283))</f>
        <v/>
      </c>
      <c r="C283" s="36">
        <f>IF(A283="","",MONTH(A283))</f>
        <v/>
      </c>
      <c r="D283" s="37">
        <f>IF(A283="","","Q"&amp;ROUNDUP(MONTH(A283)/3,0))</f>
        <v/>
      </c>
      <c r="E283" s="22" t="n"/>
      <c r="F283" s="22" t="n"/>
      <c r="G283" s="42" t="n"/>
      <c r="H283" s="42" t="n"/>
      <c r="I283" s="23" t="n"/>
      <c r="J283" s="23" t="n"/>
      <c r="K283" s="23" t="n"/>
      <c r="L283" s="23" t="n"/>
      <c r="M283" s="23" t="n"/>
      <c r="N283" s="43">
        <f>IF(COUNTA(I283:M283)&gt;0,AVERAGE(I283:M283),"")</f>
        <v/>
      </c>
      <c r="O283" s="22" t="n"/>
    </row>
    <row r="284">
      <c r="A284" s="34" t="n"/>
      <c r="B284" s="35">
        <f>IF(A284="","",YEAR(A284))</f>
        <v/>
      </c>
      <c r="C284" s="36">
        <f>IF(A284="","",MONTH(A284))</f>
        <v/>
      </c>
      <c r="D284" s="37">
        <f>IF(A284="","","Q"&amp;ROUNDUP(MONTH(A284)/3,0))</f>
        <v/>
      </c>
      <c r="E284" s="18" t="n"/>
      <c r="F284" s="18" t="n"/>
      <c r="G284" s="38" t="n"/>
      <c r="H284" s="38" t="n"/>
      <c r="I284" s="19" t="n"/>
      <c r="J284" s="19" t="n"/>
      <c r="K284" s="19" t="n"/>
      <c r="L284" s="19" t="n"/>
      <c r="M284" s="19" t="n"/>
      <c r="N284" s="43">
        <f>IF(COUNTA(I284:M284)&gt;0,AVERAGE(I284:M284),"")</f>
        <v/>
      </c>
      <c r="O284" s="18" t="n"/>
    </row>
    <row r="285">
      <c r="A285" s="41" t="n"/>
      <c r="B285" s="35">
        <f>IF(A285="","",YEAR(A285))</f>
        <v/>
      </c>
      <c r="C285" s="36">
        <f>IF(A285="","",MONTH(A285))</f>
        <v/>
      </c>
      <c r="D285" s="37">
        <f>IF(A285="","","Q"&amp;ROUNDUP(MONTH(A285)/3,0))</f>
        <v/>
      </c>
      <c r="E285" s="22" t="n"/>
      <c r="F285" s="22" t="n"/>
      <c r="G285" s="42" t="n"/>
      <c r="H285" s="42" t="n"/>
      <c r="I285" s="23" t="n"/>
      <c r="J285" s="23" t="n"/>
      <c r="K285" s="23" t="n"/>
      <c r="L285" s="23" t="n"/>
      <c r="M285" s="23" t="n"/>
      <c r="N285" s="43">
        <f>IF(COUNTA(I285:M285)&gt;0,AVERAGE(I285:M285),"")</f>
        <v/>
      </c>
      <c r="O285" s="22" t="n"/>
    </row>
    <row r="286">
      <c r="A286" s="34" t="n"/>
      <c r="B286" s="35">
        <f>IF(A286="","",YEAR(A286))</f>
        <v/>
      </c>
      <c r="C286" s="36">
        <f>IF(A286="","",MONTH(A286))</f>
        <v/>
      </c>
      <c r="D286" s="37">
        <f>IF(A286="","","Q"&amp;ROUNDUP(MONTH(A286)/3,0))</f>
        <v/>
      </c>
      <c r="E286" s="18" t="n"/>
      <c r="F286" s="18" t="n"/>
      <c r="G286" s="38" t="n"/>
      <c r="H286" s="38" t="n"/>
      <c r="I286" s="19" t="n"/>
      <c r="J286" s="19" t="n"/>
      <c r="K286" s="19" t="n"/>
      <c r="L286" s="19" t="n"/>
      <c r="M286" s="19" t="n"/>
      <c r="N286" s="43">
        <f>IF(COUNTA(I286:M286)&gt;0,AVERAGE(I286:M286),"")</f>
        <v/>
      </c>
      <c r="O286" s="18" t="n"/>
    </row>
    <row r="287">
      <c r="A287" s="41" t="n"/>
      <c r="B287" s="35">
        <f>IF(A287="","",YEAR(A287))</f>
        <v/>
      </c>
      <c r="C287" s="36">
        <f>IF(A287="","",MONTH(A287))</f>
        <v/>
      </c>
      <c r="D287" s="37">
        <f>IF(A287="","","Q"&amp;ROUNDUP(MONTH(A287)/3,0))</f>
        <v/>
      </c>
      <c r="E287" s="22" t="n"/>
      <c r="F287" s="22" t="n"/>
      <c r="G287" s="42" t="n"/>
      <c r="H287" s="42" t="n"/>
      <c r="I287" s="23" t="n"/>
      <c r="J287" s="23" t="n"/>
      <c r="K287" s="23" t="n"/>
      <c r="L287" s="23" t="n"/>
      <c r="M287" s="23" t="n"/>
      <c r="N287" s="43">
        <f>IF(COUNTA(I287:M287)&gt;0,AVERAGE(I287:M287),"")</f>
        <v/>
      </c>
      <c r="O287" s="22" t="n"/>
    </row>
    <row r="288">
      <c r="A288" s="34" t="n"/>
      <c r="B288" s="35">
        <f>IF(A288="","",YEAR(A288))</f>
        <v/>
      </c>
      <c r="C288" s="36">
        <f>IF(A288="","",MONTH(A288))</f>
        <v/>
      </c>
      <c r="D288" s="37">
        <f>IF(A288="","","Q"&amp;ROUNDUP(MONTH(A288)/3,0))</f>
        <v/>
      </c>
      <c r="E288" s="18" t="n"/>
      <c r="F288" s="18" t="n"/>
      <c r="G288" s="38" t="n"/>
      <c r="H288" s="38" t="n"/>
      <c r="I288" s="19" t="n"/>
      <c r="J288" s="19" t="n"/>
      <c r="K288" s="19" t="n"/>
      <c r="L288" s="19" t="n"/>
      <c r="M288" s="19" t="n"/>
      <c r="N288" s="43">
        <f>IF(COUNTA(I288:M288)&gt;0,AVERAGE(I288:M288),"")</f>
        <v/>
      </c>
      <c r="O288" s="18" t="n"/>
    </row>
    <row r="289">
      <c r="A289" s="41" t="n"/>
      <c r="B289" s="35">
        <f>IF(A289="","",YEAR(A289))</f>
        <v/>
      </c>
      <c r="C289" s="36">
        <f>IF(A289="","",MONTH(A289))</f>
        <v/>
      </c>
      <c r="D289" s="37">
        <f>IF(A289="","","Q"&amp;ROUNDUP(MONTH(A289)/3,0))</f>
        <v/>
      </c>
      <c r="E289" s="22" t="n"/>
      <c r="F289" s="22" t="n"/>
      <c r="G289" s="42" t="n"/>
      <c r="H289" s="42" t="n"/>
      <c r="I289" s="23" t="n"/>
      <c r="J289" s="23" t="n"/>
      <c r="K289" s="23" t="n"/>
      <c r="L289" s="23" t="n"/>
      <c r="M289" s="23" t="n"/>
      <c r="N289" s="43">
        <f>IF(COUNTA(I289:M289)&gt;0,AVERAGE(I289:M289),"")</f>
        <v/>
      </c>
      <c r="O289" s="22" t="n"/>
    </row>
    <row r="290">
      <c r="A290" s="34" t="n"/>
      <c r="B290" s="35">
        <f>IF(A290="","",YEAR(A290))</f>
        <v/>
      </c>
      <c r="C290" s="36">
        <f>IF(A290="","",MONTH(A290))</f>
        <v/>
      </c>
      <c r="D290" s="37">
        <f>IF(A290="","","Q"&amp;ROUNDUP(MONTH(A290)/3,0))</f>
        <v/>
      </c>
      <c r="E290" s="18" t="n"/>
      <c r="F290" s="18" t="n"/>
      <c r="G290" s="38" t="n"/>
      <c r="H290" s="38" t="n"/>
      <c r="I290" s="19" t="n"/>
      <c r="J290" s="19" t="n"/>
      <c r="K290" s="19" t="n"/>
      <c r="L290" s="19" t="n"/>
      <c r="M290" s="19" t="n"/>
      <c r="N290" s="43">
        <f>IF(COUNTA(I290:M290)&gt;0,AVERAGE(I290:M290),"")</f>
        <v/>
      </c>
      <c r="O290" s="18" t="n"/>
    </row>
    <row r="291">
      <c r="A291" s="41" t="n"/>
      <c r="B291" s="35">
        <f>IF(A291="","",YEAR(A291))</f>
        <v/>
      </c>
      <c r="C291" s="36">
        <f>IF(A291="","",MONTH(A291))</f>
        <v/>
      </c>
      <c r="D291" s="37">
        <f>IF(A291="","","Q"&amp;ROUNDUP(MONTH(A291)/3,0))</f>
        <v/>
      </c>
      <c r="E291" s="22" t="n"/>
      <c r="F291" s="22" t="n"/>
      <c r="G291" s="42" t="n"/>
      <c r="H291" s="42" t="n"/>
      <c r="I291" s="23" t="n"/>
      <c r="J291" s="23" t="n"/>
      <c r="K291" s="23" t="n"/>
      <c r="L291" s="23" t="n"/>
      <c r="M291" s="23" t="n"/>
      <c r="N291" s="43">
        <f>IF(COUNTA(I291:M291)&gt;0,AVERAGE(I291:M291),"")</f>
        <v/>
      </c>
      <c r="O291" s="22" t="n"/>
    </row>
    <row r="292">
      <c r="A292" s="34" t="n"/>
      <c r="B292" s="35">
        <f>IF(A292="","",YEAR(A292))</f>
        <v/>
      </c>
      <c r="C292" s="36">
        <f>IF(A292="","",MONTH(A292))</f>
        <v/>
      </c>
      <c r="D292" s="37">
        <f>IF(A292="","","Q"&amp;ROUNDUP(MONTH(A292)/3,0))</f>
        <v/>
      </c>
      <c r="E292" s="18" t="n"/>
      <c r="F292" s="18" t="n"/>
      <c r="G292" s="38" t="n"/>
      <c r="H292" s="38" t="n"/>
      <c r="I292" s="19" t="n"/>
      <c r="J292" s="19" t="n"/>
      <c r="K292" s="19" t="n"/>
      <c r="L292" s="19" t="n"/>
      <c r="M292" s="19" t="n"/>
      <c r="N292" s="43">
        <f>IF(COUNTA(I292:M292)&gt;0,AVERAGE(I292:M292),"")</f>
        <v/>
      </c>
      <c r="O292" s="18" t="n"/>
    </row>
    <row r="293">
      <c r="A293" s="41" t="n"/>
      <c r="B293" s="35">
        <f>IF(A293="","",YEAR(A293))</f>
        <v/>
      </c>
      <c r="C293" s="36">
        <f>IF(A293="","",MONTH(A293))</f>
        <v/>
      </c>
      <c r="D293" s="37">
        <f>IF(A293="","","Q"&amp;ROUNDUP(MONTH(A293)/3,0))</f>
        <v/>
      </c>
      <c r="E293" s="22" t="n"/>
      <c r="F293" s="22" t="n"/>
      <c r="G293" s="42" t="n"/>
      <c r="H293" s="42" t="n"/>
      <c r="I293" s="23" t="n"/>
      <c r="J293" s="23" t="n"/>
      <c r="K293" s="23" t="n"/>
      <c r="L293" s="23" t="n"/>
      <c r="M293" s="23" t="n"/>
      <c r="N293" s="43">
        <f>IF(COUNTA(I293:M293)&gt;0,AVERAGE(I293:M293),"")</f>
        <v/>
      </c>
      <c r="O293" s="22" t="n"/>
    </row>
    <row r="294">
      <c r="A294" s="34" t="n"/>
      <c r="B294" s="35">
        <f>IF(A294="","",YEAR(A294))</f>
        <v/>
      </c>
      <c r="C294" s="36">
        <f>IF(A294="","",MONTH(A294))</f>
        <v/>
      </c>
      <c r="D294" s="37">
        <f>IF(A294="","","Q"&amp;ROUNDUP(MONTH(A294)/3,0))</f>
        <v/>
      </c>
      <c r="E294" s="18" t="n"/>
      <c r="F294" s="18" t="n"/>
      <c r="G294" s="38" t="n"/>
      <c r="H294" s="38" t="n"/>
      <c r="I294" s="19" t="n"/>
      <c r="J294" s="19" t="n"/>
      <c r="K294" s="19" t="n"/>
      <c r="L294" s="19" t="n"/>
      <c r="M294" s="19" t="n"/>
      <c r="N294" s="43">
        <f>IF(COUNTA(I294:M294)&gt;0,AVERAGE(I294:M294),"")</f>
        <v/>
      </c>
      <c r="O294" s="18" t="n"/>
    </row>
    <row r="295">
      <c r="A295" s="41" t="n"/>
      <c r="B295" s="35">
        <f>IF(A295="","",YEAR(A295))</f>
        <v/>
      </c>
      <c r="C295" s="36">
        <f>IF(A295="","",MONTH(A295))</f>
        <v/>
      </c>
      <c r="D295" s="37">
        <f>IF(A295="","","Q"&amp;ROUNDUP(MONTH(A295)/3,0))</f>
        <v/>
      </c>
      <c r="E295" s="22" t="n"/>
      <c r="F295" s="22" t="n"/>
      <c r="G295" s="42" t="n"/>
      <c r="H295" s="42" t="n"/>
      <c r="I295" s="23" t="n"/>
      <c r="J295" s="23" t="n"/>
      <c r="K295" s="23" t="n"/>
      <c r="L295" s="23" t="n"/>
      <c r="M295" s="23" t="n"/>
      <c r="N295" s="43">
        <f>IF(COUNTA(I295:M295)&gt;0,AVERAGE(I295:M295),"")</f>
        <v/>
      </c>
      <c r="O295" s="22" t="n"/>
    </row>
    <row r="296">
      <c r="A296" s="34" t="n"/>
      <c r="B296" s="35">
        <f>IF(A296="","",YEAR(A296))</f>
        <v/>
      </c>
      <c r="C296" s="36">
        <f>IF(A296="","",MONTH(A296))</f>
        <v/>
      </c>
      <c r="D296" s="37">
        <f>IF(A296="","","Q"&amp;ROUNDUP(MONTH(A296)/3,0))</f>
        <v/>
      </c>
      <c r="E296" s="18" t="n"/>
      <c r="F296" s="18" t="n"/>
      <c r="G296" s="38" t="n"/>
      <c r="H296" s="38" t="n"/>
      <c r="I296" s="19" t="n"/>
      <c r="J296" s="19" t="n"/>
      <c r="K296" s="19" t="n"/>
      <c r="L296" s="19" t="n"/>
      <c r="M296" s="19" t="n"/>
      <c r="N296" s="43">
        <f>IF(COUNTA(I296:M296)&gt;0,AVERAGE(I296:M296),"")</f>
        <v/>
      </c>
      <c r="O296" s="18" t="n"/>
    </row>
    <row r="297">
      <c r="A297" s="41" t="n"/>
      <c r="B297" s="35">
        <f>IF(A297="","",YEAR(A297))</f>
        <v/>
      </c>
      <c r="C297" s="36">
        <f>IF(A297="","",MONTH(A297))</f>
        <v/>
      </c>
      <c r="D297" s="37">
        <f>IF(A297="","","Q"&amp;ROUNDUP(MONTH(A297)/3,0))</f>
        <v/>
      </c>
      <c r="E297" s="22" t="n"/>
      <c r="F297" s="22" t="n"/>
      <c r="G297" s="42" t="n"/>
      <c r="H297" s="42" t="n"/>
      <c r="I297" s="23" t="n"/>
      <c r="J297" s="23" t="n"/>
      <c r="K297" s="23" t="n"/>
      <c r="L297" s="23" t="n"/>
      <c r="M297" s="23" t="n"/>
      <c r="N297" s="43">
        <f>IF(COUNTA(I297:M297)&gt;0,AVERAGE(I297:M297),"")</f>
        <v/>
      </c>
      <c r="O297" s="22" t="n"/>
    </row>
    <row r="298">
      <c r="A298" s="34" t="n"/>
      <c r="B298" s="35">
        <f>IF(A298="","",YEAR(A298))</f>
        <v/>
      </c>
      <c r="C298" s="36">
        <f>IF(A298="","",MONTH(A298))</f>
        <v/>
      </c>
      <c r="D298" s="37">
        <f>IF(A298="","","Q"&amp;ROUNDUP(MONTH(A298)/3,0))</f>
        <v/>
      </c>
      <c r="E298" s="18" t="n"/>
      <c r="F298" s="18" t="n"/>
      <c r="G298" s="38" t="n"/>
      <c r="H298" s="38" t="n"/>
      <c r="I298" s="19" t="n"/>
      <c r="J298" s="19" t="n"/>
      <c r="K298" s="19" t="n"/>
      <c r="L298" s="19" t="n"/>
      <c r="M298" s="19" t="n"/>
      <c r="N298" s="43">
        <f>IF(COUNTA(I298:M298)&gt;0,AVERAGE(I298:M298),"")</f>
        <v/>
      </c>
      <c r="O298" s="18" t="n"/>
    </row>
    <row r="299">
      <c r="A299" s="41" t="n"/>
      <c r="B299" s="35">
        <f>IF(A299="","",YEAR(A299))</f>
        <v/>
      </c>
      <c r="C299" s="36">
        <f>IF(A299="","",MONTH(A299))</f>
        <v/>
      </c>
      <c r="D299" s="37">
        <f>IF(A299="","","Q"&amp;ROUNDUP(MONTH(A299)/3,0))</f>
        <v/>
      </c>
      <c r="E299" s="22" t="n"/>
      <c r="F299" s="22" t="n"/>
      <c r="G299" s="42" t="n"/>
      <c r="H299" s="42" t="n"/>
      <c r="I299" s="23" t="n"/>
      <c r="J299" s="23" t="n"/>
      <c r="K299" s="23" t="n"/>
      <c r="L299" s="23" t="n"/>
      <c r="M299" s="23" t="n"/>
      <c r="N299" s="43">
        <f>IF(COUNTA(I299:M299)&gt;0,AVERAGE(I299:M299),"")</f>
        <v/>
      </c>
      <c r="O299" s="22" t="n"/>
    </row>
    <row r="300">
      <c r="A300" s="34" t="n"/>
      <c r="B300" s="35">
        <f>IF(A300="","",YEAR(A300))</f>
        <v/>
      </c>
      <c r="C300" s="36">
        <f>IF(A300="","",MONTH(A300))</f>
        <v/>
      </c>
      <c r="D300" s="37">
        <f>IF(A300="","","Q"&amp;ROUNDUP(MONTH(A300)/3,0))</f>
        <v/>
      </c>
      <c r="E300" s="18" t="n"/>
      <c r="F300" s="18" t="n"/>
      <c r="G300" s="38" t="n"/>
      <c r="H300" s="38" t="n"/>
      <c r="I300" s="19" t="n"/>
      <c r="J300" s="19" t="n"/>
      <c r="K300" s="19" t="n"/>
      <c r="L300" s="19" t="n"/>
      <c r="M300" s="19" t="n"/>
      <c r="N300" s="43">
        <f>IF(COUNTA(I300:M300)&gt;0,AVERAGE(I300:M300),"")</f>
        <v/>
      </c>
      <c r="O300" s="18" t="n"/>
    </row>
    <row r="301">
      <c r="A301" s="41" t="n"/>
      <c r="B301" s="35">
        <f>IF(A301="","",YEAR(A301))</f>
        <v/>
      </c>
      <c r="C301" s="36">
        <f>IF(A301="","",MONTH(A301))</f>
        <v/>
      </c>
      <c r="D301" s="37">
        <f>IF(A301="","","Q"&amp;ROUNDUP(MONTH(A301)/3,0))</f>
        <v/>
      </c>
      <c r="E301" s="22" t="n"/>
      <c r="F301" s="22" t="n"/>
      <c r="G301" s="42" t="n"/>
      <c r="H301" s="42" t="n"/>
      <c r="I301" s="23" t="n"/>
      <c r="J301" s="23" t="n"/>
      <c r="K301" s="23" t="n"/>
      <c r="L301" s="23" t="n"/>
      <c r="M301" s="23" t="n"/>
      <c r="N301" s="43">
        <f>IF(COUNTA(I301:M301)&gt;0,AVERAGE(I301:M301),"")</f>
        <v/>
      </c>
      <c r="O301" s="22" t="n"/>
    </row>
    <row r="302">
      <c r="A302" s="34" t="n"/>
      <c r="B302" s="35">
        <f>IF(A302="","",YEAR(A302))</f>
        <v/>
      </c>
      <c r="C302" s="36">
        <f>IF(A302="","",MONTH(A302))</f>
        <v/>
      </c>
      <c r="D302" s="37">
        <f>IF(A302="","","Q"&amp;ROUNDUP(MONTH(A302)/3,0))</f>
        <v/>
      </c>
      <c r="E302" s="18" t="n"/>
      <c r="F302" s="18" t="n"/>
      <c r="G302" s="38" t="n"/>
      <c r="H302" s="38" t="n"/>
      <c r="I302" s="19" t="n"/>
      <c r="J302" s="19" t="n"/>
      <c r="K302" s="19" t="n"/>
      <c r="L302" s="19" t="n"/>
      <c r="M302" s="19" t="n"/>
      <c r="N302" s="43">
        <f>IF(COUNTA(I302:M302)&gt;0,AVERAGE(I302:M302),"")</f>
        <v/>
      </c>
      <c r="O302" s="18" t="n"/>
    </row>
    <row r="303">
      <c r="A303" s="41" t="n"/>
      <c r="B303" s="35">
        <f>IF(A303="","",YEAR(A303))</f>
        <v/>
      </c>
      <c r="C303" s="36">
        <f>IF(A303="","",MONTH(A303))</f>
        <v/>
      </c>
      <c r="D303" s="37">
        <f>IF(A303="","","Q"&amp;ROUNDUP(MONTH(A303)/3,0))</f>
        <v/>
      </c>
      <c r="E303" s="22" t="n"/>
      <c r="F303" s="22" t="n"/>
      <c r="G303" s="42" t="n"/>
      <c r="H303" s="42" t="n"/>
      <c r="I303" s="23" t="n"/>
      <c r="J303" s="23" t="n"/>
      <c r="K303" s="23" t="n"/>
      <c r="L303" s="23" t="n"/>
      <c r="M303" s="23" t="n"/>
      <c r="N303" s="43">
        <f>IF(COUNTA(I303:M303)&gt;0,AVERAGE(I303:M303),"")</f>
        <v/>
      </c>
      <c r="O303" s="22" t="n"/>
    </row>
    <row r="304">
      <c r="A304" s="34" t="n"/>
      <c r="B304" s="35">
        <f>IF(A304="","",YEAR(A304))</f>
        <v/>
      </c>
      <c r="C304" s="36">
        <f>IF(A304="","",MONTH(A304))</f>
        <v/>
      </c>
      <c r="D304" s="37">
        <f>IF(A304="","","Q"&amp;ROUNDUP(MONTH(A304)/3,0))</f>
        <v/>
      </c>
      <c r="E304" s="18" t="n"/>
      <c r="F304" s="18" t="n"/>
      <c r="G304" s="38" t="n"/>
      <c r="H304" s="38" t="n"/>
      <c r="I304" s="19" t="n"/>
      <c r="J304" s="19" t="n"/>
      <c r="K304" s="19" t="n"/>
      <c r="L304" s="19" t="n"/>
      <c r="M304" s="19" t="n"/>
      <c r="N304" s="43">
        <f>IF(COUNTA(I304:M304)&gt;0,AVERAGE(I304:M304),"")</f>
        <v/>
      </c>
      <c r="O304" s="18" t="n"/>
    </row>
    <row r="305">
      <c r="A305" s="41" t="n"/>
      <c r="B305" s="35">
        <f>IF(A305="","",YEAR(A305))</f>
        <v/>
      </c>
      <c r="C305" s="36">
        <f>IF(A305="","",MONTH(A305))</f>
        <v/>
      </c>
      <c r="D305" s="37">
        <f>IF(A305="","","Q"&amp;ROUNDUP(MONTH(A305)/3,0))</f>
        <v/>
      </c>
      <c r="E305" s="22" t="n"/>
      <c r="F305" s="22" t="n"/>
      <c r="G305" s="42" t="n"/>
      <c r="H305" s="42" t="n"/>
      <c r="I305" s="23" t="n"/>
      <c r="J305" s="23" t="n"/>
      <c r="K305" s="23" t="n"/>
      <c r="L305" s="23" t="n"/>
      <c r="M305" s="23" t="n"/>
      <c r="N305" s="43">
        <f>IF(COUNTA(I305:M305)&gt;0,AVERAGE(I305:M305),"")</f>
        <v/>
      </c>
      <c r="O305" s="22" t="n"/>
    </row>
  </sheetData>
  <mergeCells count="3">
    <mergeCell ref="A1:O1"/>
    <mergeCell ref="A3:O3"/>
    <mergeCell ref="A2:O2"/>
  </mergeCells>
  <conditionalFormatting sqref="N6:N305">
    <cfRule type="colorScale" priority="1">
      <colorScale>
        <cfvo type="num" val="1"/>
        <cfvo type="num" val="5"/>
        <cfvo type="num" val="9"/>
        <color rgb="00FFCDD2"/>
        <color rgb="00FFE0B2"/>
        <color rgb="00C8E6C9"/>
      </colorScale>
    </cfRule>
  </conditionalFormatting>
  <dataValidations count="6">
    <dataValidation sqref="I6:I305" showDropDown="0" showInputMessage="0" showErrorMessage="1" allowBlank="1" error="1~9 사이만 입력 가능" prompt="1~9점 사이 정수만" type="whole" operator="between">
      <formula1>1</formula1>
      <formula2>9</formula2>
    </dataValidation>
    <dataValidation sqref="J6:J305" showDropDown="0" showInputMessage="0" showErrorMessage="1" allowBlank="1" error="1~9 사이만 입력 가능" prompt="1~9점 사이 정수만" type="whole" operator="between">
      <formula1>1</formula1>
      <formula2>9</formula2>
    </dataValidation>
    <dataValidation sqref="K6:K305" showDropDown="0" showInputMessage="0" showErrorMessage="1" allowBlank="1" error="1~9 사이만 입력 가능" prompt="1~9점 사이 정수만" type="whole" operator="between">
      <formula1>1</formula1>
      <formula2>9</formula2>
    </dataValidation>
    <dataValidation sqref="L6:L305" showDropDown="0" showInputMessage="0" showErrorMessage="1" allowBlank="1" error="1~9 사이만 입력 가능" prompt="1~9점 사이 정수만" type="whole" operator="between">
      <formula1>1</formula1>
      <formula2>9</formula2>
    </dataValidation>
    <dataValidation sqref="M6:M305" showDropDown="0" showInputMessage="0" showErrorMessage="1" allowBlank="1" error="1~9 사이만 입력 가능" prompt="1~9점 사이 정수만" type="whole" operator="between">
      <formula1>1</formula1>
      <formula2>9</formula2>
    </dataValidation>
    <dataValidation sqref="E6:E305" showDropDown="0" showInputMessage="0" showErrorMessage="0" allowBlank="1" type="list">
      <formula1>"시음(가족),시음(외부),자가품질검사,외부 위탁검사,이상 발견"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A5C3E"/>
    <outlinePr summaryBelow="1" summaryRight="1"/>
    <pageSetUpPr/>
  </sheetPr>
  <dimension ref="A1:J1005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12" customWidth="1" min="4" max="4"/>
    <col width="14" customWidth="1" min="5" max="5"/>
    <col width="16" customWidth="1" min="6" max="6"/>
    <col width="16" customWidth="1" min="7" max="7"/>
    <col width="14" customWidth="1" min="8" max="8"/>
    <col width="14" customWidth="1" min="9" max="9"/>
    <col width="22" customWidth="1" min="10" max="10"/>
  </cols>
  <sheetData>
    <row r="1" ht="30" customHeight="1">
      <c r="A1" s="13" t="inlineStr">
        <is>
          <t>07. 고객·체험·시음회 (v4)</t>
        </is>
      </c>
    </row>
    <row r="2">
      <c r="A2" s="14" t="inlineStr">
        <is>
          <t>해시 ID로 개인정보 보호 + 반복 구매 추적 동시 가능</t>
        </is>
      </c>
    </row>
    <row r="3">
      <c r="A3" s="27" t="inlineStr">
        <is>
          <t>⚠️ 개인정보 보호: 마스킹 입력 + 동의 여부 필수. 고객ID는 이름+연락처를 해시한 고유값.</t>
        </is>
      </c>
    </row>
    <row r="5" ht="32" customHeight="1">
      <c r="A5" s="8" t="inlineStr">
        <is>
          <t>일자</t>
        </is>
      </c>
      <c r="B5" s="32" t="inlineStr">
        <is>
          <t>연도</t>
        </is>
      </c>
      <c r="C5" s="32" t="inlineStr">
        <is>
          <t>월</t>
        </is>
      </c>
      <c r="D5" s="8" t="inlineStr">
        <is>
          <t>고객ID(해시)</t>
        </is>
      </c>
      <c r="E5" s="8" t="inlineStr">
        <is>
          <t>이름(마스킹)</t>
        </is>
      </c>
      <c r="F5" s="8" t="inlineStr">
        <is>
          <t>연락처(마스킹)</t>
        </is>
      </c>
      <c r="G5" s="8" t="inlineStr">
        <is>
          <t>행사·구분</t>
        </is>
      </c>
      <c r="H5" s="8" t="inlineStr">
        <is>
          <t>구매·체험 내역</t>
        </is>
      </c>
      <c r="I5" s="8" t="inlineStr">
        <is>
          <t>동의 여부</t>
        </is>
      </c>
      <c r="J5" s="8" t="inlineStr">
        <is>
          <t>비고</t>
        </is>
      </c>
    </row>
    <row r="6">
      <c r="A6" s="34" t="n"/>
      <c r="B6" s="35">
        <f>IF(A6="","",YEAR(A6))</f>
        <v/>
      </c>
      <c r="C6" s="36">
        <f>IF(A6="","",MONTH(A6))</f>
        <v/>
      </c>
      <c r="D6" s="18" t="inlineStr">
        <is>
          <t>H-김선생-01</t>
        </is>
      </c>
      <c r="E6" s="18" t="n"/>
      <c r="F6" s="18" t="n"/>
      <c r="G6" s="18" t="n"/>
      <c r="H6" s="18" t="n"/>
      <c r="I6" s="18" t="n"/>
      <c r="J6" s="18" t="n"/>
    </row>
    <row r="7">
      <c r="A7" s="41" t="n"/>
      <c r="B7" s="35">
        <f>IF(A7="","",YEAR(A7))</f>
        <v/>
      </c>
      <c r="C7" s="36">
        <f>IF(A7="","",MONTH(A7))</f>
        <v/>
      </c>
      <c r="D7" s="22" t="n"/>
      <c r="E7" s="22" t="n"/>
      <c r="F7" s="22" t="n"/>
      <c r="G7" s="22" t="n"/>
      <c r="H7" s="22" t="n"/>
      <c r="I7" s="22" t="n"/>
      <c r="J7" s="22" t="n"/>
    </row>
    <row r="8">
      <c r="A8" s="34" t="n"/>
      <c r="B8" s="35">
        <f>IF(A8="","",YEAR(A8))</f>
        <v/>
      </c>
      <c r="C8" s="36">
        <f>IF(A8="","",MONTH(A8))</f>
        <v/>
      </c>
      <c r="D8" s="18" t="n"/>
      <c r="E8" s="18" t="n"/>
      <c r="F8" s="18" t="n"/>
      <c r="G8" s="18" t="n"/>
      <c r="H8" s="18" t="n"/>
      <c r="I8" s="18" t="n"/>
      <c r="J8" s="18" t="n"/>
    </row>
    <row r="9">
      <c r="A9" s="41" t="n"/>
      <c r="B9" s="35">
        <f>IF(A9="","",YEAR(A9))</f>
        <v/>
      </c>
      <c r="C9" s="36">
        <f>IF(A9="","",MONTH(A9))</f>
        <v/>
      </c>
      <c r="D9" s="22" t="n"/>
      <c r="E9" s="22" t="n"/>
      <c r="F9" s="22" t="n"/>
      <c r="G9" s="22" t="n"/>
      <c r="H9" s="22" t="n"/>
      <c r="I9" s="22" t="n"/>
      <c r="J9" s="22" t="n"/>
    </row>
    <row r="10">
      <c r="A10" s="34" t="n"/>
      <c r="B10" s="35">
        <f>IF(A10="","",YEAR(A10))</f>
        <v/>
      </c>
      <c r="C10" s="36">
        <f>IF(A10="","",MONTH(A10))</f>
        <v/>
      </c>
      <c r="D10" s="18" t="n"/>
      <c r="E10" s="18" t="n"/>
      <c r="F10" s="18" t="n"/>
      <c r="G10" s="18" t="n"/>
      <c r="H10" s="18" t="n"/>
      <c r="I10" s="18" t="n"/>
      <c r="J10" s="18" t="n"/>
    </row>
    <row r="11">
      <c r="A11" s="41" t="n"/>
      <c r="B11" s="35">
        <f>IF(A11="","",YEAR(A11))</f>
        <v/>
      </c>
      <c r="C11" s="36">
        <f>IF(A11="","",MONTH(A11))</f>
        <v/>
      </c>
      <c r="D11" s="22" t="n"/>
      <c r="E11" s="22" t="n"/>
      <c r="F11" s="22" t="n"/>
      <c r="G11" s="22" t="n"/>
      <c r="H11" s="22" t="n"/>
      <c r="I11" s="22" t="n"/>
      <c r="J11" s="22" t="n"/>
    </row>
    <row r="12">
      <c r="A12" s="34" t="n"/>
      <c r="B12" s="35">
        <f>IF(A12="","",YEAR(A12))</f>
        <v/>
      </c>
      <c r="C12" s="36">
        <f>IF(A12="","",MONTH(A12))</f>
        <v/>
      </c>
      <c r="D12" s="18" t="n"/>
      <c r="E12" s="18" t="n"/>
      <c r="F12" s="18" t="n"/>
      <c r="G12" s="18" t="n"/>
      <c r="H12" s="18" t="n"/>
      <c r="I12" s="18" t="n"/>
      <c r="J12" s="18" t="n"/>
    </row>
    <row r="13">
      <c r="A13" s="41" t="n"/>
      <c r="B13" s="35">
        <f>IF(A13="","",YEAR(A13))</f>
        <v/>
      </c>
      <c r="C13" s="36">
        <f>IF(A13="","",MONTH(A13))</f>
        <v/>
      </c>
      <c r="D13" s="22" t="n"/>
      <c r="E13" s="22" t="n"/>
      <c r="F13" s="22" t="n"/>
      <c r="G13" s="22" t="n"/>
      <c r="H13" s="22" t="n"/>
      <c r="I13" s="22" t="n"/>
      <c r="J13" s="22" t="n"/>
    </row>
    <row r="14">
      <c r="A14" s="34" t="n"/>
      <c r="B14" s="35">
        <f>IF(A14="","",YEAR(A14))</f>
        <v/>
      </c>
      <c r="C14" s="36">
        <f>IF(A14="","",MONTH(A14))</f>
        <v/>
      </c>
      <c r="D14" s="18" t="n"/>
      <c r="E14" s="18" t="n"/>
      <c r="F14" s="18" t="n"/>
      <c r="G14" s="18" t="n"/>
      <c r="H14" s="18" t="n"/>
      <c r="I14" s="18" t="n"/>
      <c r="J14" s="18" t="n"/>
    </row>
    <row r="15">
      <c r="A15" s="41" t="n"/>
      <c r="B15" s="35">
        <f>IF(A15="","",YEAR(A15))</f>
        <v/>
      </c>
      <c r="C15" s="36">
        <f>IF(A15="","",MONTH(A15))</f>
        <v/>
      </c>
      <c r="D15" s="22" t="n"/>
      <c r="E15" s="22" t="n"/>
      <c r="F15" s="22" t="n"/>
      <c r="G15" s="22" t="n"/>
      <c r="H15" s="22" t="n"/>
      <c r="I15" s="22" t="n"/>
      <c r="J15" s="22" t="n"/>
    </row>
    <row r="16">
      <c r="A16" s="34" t="n"/>
      <c r="B16" s="35">
        <f>IF(A16="","",YEAR(A16))</f>
        <v/>
      </c>
      <c r="C16" s="36">
        <f>IF(A16="","",MONTH(A16))</f>
        <v/>
      </c>
      <c r="D16" s="18" t="n"/>
      <c r="E16" s="18" t="n"/>
      <c r="F16" s="18" t="n"/>
      <c r="G16" s="18" t="n"/>
      <c r="H16" s="18" t="n"/>
      <c r="I16" s="18" t="n"/>
      <c r="J16" s="18" t="n"/>
    </row>
    <row r="17">
      <c r="A17" s="41" t="n"/>
      <c r="B17" s="35">
        <f>IF(A17="","",YEAR(A17))</f>
        <v/>
      </c>
      <c r="C17" s="36">
        <f>IF(A17="","",MONTH(A17))</f>
        <v/>
      </c>
      <c r="D17" s="22" t="n"/>
      <c r="E17" s="22" t="n"/>
      <c r="F17" s="22" t="n"/>
      <c r="G17" s="22" t="n"/>
      <c r="H17" s="22" t="n"/>
      <c r="I17" s="22" t="n"/>
      <c r="J17" s="22" t="n"/>
    </row>
    <row r="18">
      <c r="A18" s="34" t="n"/>
      <c r="B18" s="35">
        <f>IF(A18="","",YEAR(A18))</f>
        <v/>
      </c>
      <c r="C18" s="36">
        <f>IF(A18="","",MONTH(A18))</f>
        <v/>
      </c>
      <c r="D18" s="18" t="n"/>
      <c r="E18" s="18" t="n"/>
      <c r="F18" s="18" t="n"/>
      <c r="G18" s="18" t="n"/>
      <c r="H18" s="18" t="n"/>
      <c r="I18" s="18" t="n"/>
      <c r="J18" s="18" t="n"/>
    </row>
    <row r="19">
      <c r="A19" s="41" t="n"/>
      <c r="B19" s="35">
        <f>IF(A19="","",YEAR(A19))</f>
        <v/>
      </c>
      <c r="C19" s="36">
        <f>IF(A19="","",MONTH(A19))</f>
        <v/>
      </c>
      <c r="D19" s="22" t="n"/>
      <c r="E19" s="22" t="n"/>
      <c r="F19" s="22" t="n"/>
      <c r="G19" s="22" t="n"/>
      <c r="H19" s="22" t="n"/>
      <c r="I19" s="22" t="n"/>
      <c r="J19" s="22" t="n"/>
    </row>
    <row r="20">
      <c r="A20" s="34" t="n"/>
      <c r="B20" s="35">
        <f>IF(A20="","",YEAR(A20))</f>
        <v/>
      </c>
      <c r="C20" s="36">
        <f>IF(A20="","",MONTH(A20))</f>
        <v/>
      </c>
      <c r="D20" s="18" t="n"/>
      <c r="E20" s="18" t="n"/>
      <c r="F20" s="18" t="n"/>
      <c r="G20" s="18" t="n"/>
      <c r="H20" s="18" t="n"/>
      <c r="I20" s="18" t="n"/>
      <c r="J20" s="18" t="n"/>
    </row>
    <row r="21">
      <c r="A21" s="41" t="n"/>
      <c r="B21" s="35">
        <f>IF(A21="","",YEAR(A21))</f>
        <v/>
      </c>
      <c r="C21" s="36">
        <f>IF(A21="","",MONTH(A21))</f>
        <v/>
      </c>
      <c r="D21" s="22" t="n"/>
      <c r="E21" s="22" t="n"/>
      <c r="F21" s="22" t="n"/>
      <c r="G21" s="22" t="n"/>
      <c r="H21" s="22" t="n"/>
      <c r="I21" s="22" t="n"/>
      <c r="J21" s="22" t="n"/>
    </row>
    <row r="22">
      <c r="A22" s="34" t="n"/>
      <c r="B22" s="35">
        <f>IF(A22="","",YEAR(A22))</f>
        <v/>
      </c>
      <c r="C22" s="36">
        <f>IF(A22="","",MONTH(A22))</f>
        <v/>
      </c>
      <c r="D22" s="18" t="n"/>
      <c r="E22" s="18" t="n"/>
      <c r="F22" s="18" t="n"/>
      <c r="G22" s="18" t="n"/>
      <c r="H22" s="18" t="n"/>
      <c r="I22" s="18" t="n"/>
      <c r="J22" s="18" t="n"/>
    </row>
    <row r="23">
      <c r="A23" s="41" t="n"/>
      <c r="B23" s="35">
        <f>IF(A23="","",YEAR(A23))</f>
        <v/>
      </c>
      <c r="C23" s="36">
        <f>IF(A23="","",MONTH(A23))</f>
        <v/>
      </c>
      <c r="D23" s="22" t="n"/>
      <c r="E23" s="22" t="n"/>
      <c r="F23" s="22" t="n"/>
      <c r="G23" s="22" t="n"/>
      <c r="H23" s="22" t="n"/>
      <c r="I23" s="22" t="n"/>
      <c r="J23" s="22" t="n"/>
    </row>
    <row r="24">
      <c r="A24" s="34" t="n"/>
      <c r="B24" s="35">
        <f>IF(A24="","",YEAR(A24))</f>
        <v/>
      </c>
      <c r="C24" s="36">
        <f>IF(A24="","",MONTH(A24))</f>
        <v/>
      </c>
      <c r="D24" s="18" t="n"/>
      <c r="E24" s="18" t="n"/>
      <c r="F24" s="18" t="n"/>
      <c r="G24" s="18" t="n"/>
      <c r="H24" s="18" t="n"/>
      <c r="I24" s="18" t="n"/>
      <c r="J24" s="18" t="n"/>
    </row>
    <row r="25">
      <c r="A25" s="41" t="n"/>
      <c r="B25" s="35">
        <f>IF(A25="","",YEAR(A25))</f>
        <v/>
      </c>
      <c r="C25" s="36">
        <f>IF(A25="","",MONTH(A25))</f>
        <v/>
      </c>
      <c r="D25" s="22" t="n"/>
      <c r="E25" s="22" t="n"/>
      <c r="F25" s="22" t="n"/>
      <c r="G25" s="22" t="n"/>
      <c r="H25" s="22" t="n"/>
      <c r="I25" s="22" t="n"/>
      <c r="J25" s="22" t="n"/>
    </row>
    <row r="26">
      <c r="A26" s="34" t="n"/>
      <c r="B26" s="35">
        <f>IF(A26="","",YEAR(A26))</f>
        <v/>
      </c>
      <c r="C26" s="36">
        <f>IF(A26="","",MONTH(A26))</f>
        <v/>
      </c>
      <c r="D26" s="18" t="n"/>
      <c r="E26" s="18" t="n"/>
      <c r="F26" s="18" t="n"/>
      <c r="G26" s="18" t="n"/>
      <c r="H26" s="18" t="n"/>
      <c r="I26" s="18" t="n"/>
      <c r="J26" s="18" t="n"/>
    </row>
    <row r="27">
      <c r="A27" s="41" t="n"/>
      <c r="B27" s="35">
        <f>IF(A27="","",YEAR(A27))</f>
        <v/>
      </c>
      <c r="C27" s="36">
        <f>IF(A27="","",MONTH(A27))</f>
        <v/>
      </c>
      <c r="D27" s="22" t="n"/>
      <c r="E27" s="22" t="n"/>
      <c r="F27" s="22" t="n"/>
      <c r="G27" s="22" t="n"/>
      <c r="H27" s="22" t="n"/>
      <c r="I27" s="22" t="n"/>
      <c r="J27" s="22" t="n"/>
    </row>
    <row r="28">
      <c r="A28" s="34" t="n"/>
      <c r="B28" s="35">
        <f>IF(A28="","",YEAR(A28))</f>
        <v/>
      </c>
      <c r="C28" s="36">
        <f>IF(A28="","",MONTH(A28))</f>
        <v/>
      </c>
      <c r="D28" s="18" t="n"/>
      <c r="E28" s="18" t="n"/>
      <c r="F28" s="18" t="n"/>
      <c r="G28" s="18" t="n"/>
      <c r="H28" s="18" t="n"/>
      <c r="I28" s="18" t="n"/>
      <c r="J28" s="18" t="n"/>
    </row>
    <row r="29">
      <c r="A29" s="41" t="n"/>
      <c r="B29" s="35">
        <f>IF(A29="","",YEAR(A29))</f>
        <v/>
      </c>
      <c r="C29" s="36">
        <f>IF(A29="","",MONTH(A29))</f>
        <v/>
      </c>
      <c r="D29" s="22" t="n"/>
      <c r="E29" s="22" t="n"/>
      <c r="F29" s="22" t="n"/>
      <c r="G29" s="22" t="n"/>
      <c r="H29" s="22" t="n"/>
      <c r="I29" s="22" t="n"/>
      <c r="J29" s="22" t="n"/>
    </row>
    <row r="30">
      <c r="A30" s="34" t="n"/>
      <c r="B30" s="35">
        <f>IF(A30="","",YEAR(A30))</f>
        <v/>
      </c>
      <c r="C30" s="36">
        <f>IF(A30="","",MONTH(A30))</f>
        <v/>
      </c>
      <c r="D30" s="18" t="n"/>
      <c r="E30" s="18" t="n"/>
      <c r="F30" s="18" t="n"/>
      <c r="G30" s="18" t="n"/>
      <c r="H30" s="18" t="n"/>
      <c r="I30" s="18" t="n"/>
      <c r="J30" s="18" t="n"/>
    </row>
    <row r="31">
      <c r="A31" s="41" t="n"/>
      <c r="B31" s="35">
        <f>IF(A31="","",YEAR(A31))</f>
        <v/>
      </c>
      <c r="C31" s="36">
        <f>IF(A31="","",MONTH(A31))</f>
        <v/>
      </c>
      <c r="D31" s="22" t="n"/>
      <c r="E31" s="22" t="n"/>
      <c r="F31" s="22" t="n"/>
      <c r="G31" s="22" t="n"/>
      <c r="H31" s="22" t="n"/>
      <c r="I31" s="22" t="n"/>
      <c r="J31" s="22" t="n"/>
    </row>
    <row r="32">
      <c r="A32" s="34" t="n"/>
      <c r="B32" s="35">
        <f>IF(A32="","",YEAR(A32))</f>
        <v/>
      </c>
      <c r="C32" s="36">
        <f>IF(A32="","",MONTH(A32))</f>
        <v/>
      </c>
      <c r="D32" s="18" t="n"/>
      <c r="E32" s="18" t="n"/>
      <c r="F32" s="18" t="n"/>
      <c r="G32" s="18" t="n"/>
      <c r="H32" s="18" t="n"/>
      <c r="I32" s="18" t="n"/>
      <c r="J32" s="18" t="n"/>
    </row>
    <row r="33">
      <c r="A33" s="41" t="n"/>
      <c r="B33" s="35">
        <f>IF(A33="","",YEAR(A33))</f>
        <v/>
      </c>
      <c r="C33" s="36">
        <f>IF(A33="","",MONTH(A33))</f>
        <v/>
      </c>
      <c r="D33" s="22" t="n"/>
      <c r="E33" s="22" t="n"/>
      <c r="F33" s="22" t="n"/>
      <c r="G33" s="22" t="n"/>
      <c r="H33" s="22" t="n"/>
      <c r="I33" s="22" t="n"/>
      <c r="J33" s="22" t="n"/>
    </row>
    <row r="34">
      <c r="A34" s="34" t="n"/>
      <c r="B34" s="35">
        <f>IF(A34="","",YEAR(A34))</f>
        <v/>
      </c>
      <c r="C34" s="36">
        <f>IF(A34="","",MONTH(A34))</f>
        <v/>
      </c>
      <c r="D34" s="18" t="n"/>
      <c r="E34" s="18" t="n"/>
      <c r="F34" s="18" t="n"/>
      <c r="G34" s="18" t="n"/>
      <c r="H34" s="18" t="n"/>
      <c r="I34" s="18" t="n"/>
      <c r="J34" s="18" t="n"/>
    </row>
    <row r="35">
      <c r="A35" s="41" t="n"/>
      <c r="B35" s="35">
        <f>IF(A35="","",YEAR(A35))</f>
        <v/>
      </c>
      <c r="C35" s="36">
        <f>IF(A35="","",MONTH(A35))</f>
        <v/>
      </c>
      <c r="D35" s="22" t="n"/>
      <c r="E35" s="22" t="n"/>
      <c r="F35" s="22" t="n"/>
      <c r="G35" s="22" t="n"/>
      <c r="H35" s="22" t="n"/>
      <c r="I35" s="22" t="n"/>
      <c r="J35" s="22" t="n"/>
    </row>
    <row r="36">
      <c r="A36" s="34" t="n"/>
      <c r="B36" s="35">
        <f>IF(A36="","",YEAR(A36))</f>
        <v/>
      </c>
      <c r="C36" s="36">
        <f>IF(A36="","",MONTH(A36))</f>
        <v/>
      </c>
      <c r="D36" s="18" t="n"/>
      <c r="E36" s="18" t="n"/>
      <c r="F36" s="18" t="n"/>
      <c r="G36" s="18" t="n"/>
      <c r="H36" s="18" t="n"/>
      <c r="I36" s="18" t="n"/>
      <c r="J36" s="18" t="n"/>
    </row>
    <row r="37">
      <c r="A37" s="41" t="n"/>
      <c r="B37" s="35">
        <f>IF(A37="","",YEAR(A37))</f>
        <v/>
      </c>
      <c r="C37" s="36">
        <f>IF(A37="","",MONTH(A37))</f>
        <v/>
      </c>
      <c r="D37" s="22" t="n"/>
      <c r="E37" s="22" t="n"/>
      <c r="F37" s="22" t="n"/>
      <c r="G37" s="22" t="n"/>
      <c r="H37" s="22" t="n"/>
      <c r="I37" s="22" t="n"/>
      <c r="J37" s="22" t="n"/>
    </row>
    <row r="38">
      <c r="A38" s="34" t="n"/>
      <c r="B38" s="35">
        <f>IF(A38="","",YEAR(A38))</f>
        <v/>
      </c>
      <c r="C38" s="36">
        <f>IF(A38="","",MONTH(A38))</f>
        <v/>
      </c>
      <c r="D38" s="18" t="n"/>
      <c r="E38" s="18" t="n"/>
      <c r="F38" s="18" t="n"/>
      <c r="G38" s="18" t="n"/>
      <c r="H38" s="18" t="n"/>
      <c r="I38" s="18" t="n"/>
      <c r="J38" s="18" t="n"/>
    </row>
    <row r="39">
      <c r="A39" s="41" t="n"/>
      <c r="B39" s="35">
        <f>IF(A39="","",YEAR(A39))</f>
        <v/>
      </c>
      <c r="C39" s="36">
        <f>IF(A39="","",MONTH(A39))</f>
        <v/>
      </c>
      <c r="D39" s="22" t="n"/>
      <c r="E39" s="22" t="n"/>
      <c r="F39" s="22" t="n"/>
      <c r="G39" s="22" t="n"/>
      <c r="H39" s="22" t="n"/>
      <c r="I39" s="22" t="n"/>
      <c r="J39" s="22" t="n"/>
    </row>
    <row r="40">
      <c r="A40" s="34" t="n"/>
      <c r="B40" s="35">
        <f>IF(A40="","",YEAR(A40))</f>
        <v/>
      </c>
      <c r="C40" s="36">
        <f>IF(A40="","",MONTH(A40))</f>
        <v/>
      </c>
      <c r="D40" s="18" t="n"/>
      <c r="E40" s="18" t="n"/>
      <c r="F40" s="18" t="n"/>
      <c r="G40" s="18" t="n"/>
      <c r="H40" s="18" t="n"/>
      <c r="I40" s="18" t="n"/>
      <c r="J40" s="18" t="n"/>
    </row>
    <row r="41">
      <c r="A41" s="41" t="n"/>
      <c r="B41" s="35">
        <f>IF(A41="","",YEAR(A41))</f>
        <v/>
      </c>
      <c r="C41" s="36">
        <f>IF(A41="","",MONTH(A41))</f>
        <v/>
      </c>
      <c r="D41" s="22" t="n"/>
      <c r="E41" s="22" t="n"/>
      <c r="F41" s="22" t="n"/>
      <c r="G41" s="22" t="n"/>
      <c r="H41" s="22" t="n"/>
      <c r="I41" s="22" t="n"/>
      <c r="J41" s="22" t="n"/>
    </row>
    <row r="42">
      <c r="A42" s="34" t="n"/>
      <c r="B42" s="35">
        <f>IF(A42="","",YEAR(A42))</f>
        <v/>
      </c>
      <c r="C42" s="36">
        <f>IF(A42="","",MONTH(A42))</f>
        <v/>
      </c>
      <c r="D42" s="18" t="n"/>
      <c r="E42" s="18" t="n"/>
      <c r="F42" s="18" t="n"/>
      <c r="G42" s="18" t="n"/>
      <c r="H42" s="18" t="n"/>
      <c r="I42" s="18" t="n"/>
      <c r="J42" s="18" t="n"/>
    </row>
    <row r="43">
      <c r="A43" s="41" t="n"/>
      <c r="B43" s="35">
        <f>IF(A43="","",YEAR(A43))</f>
        <v/>
      </c>
      <c r="C43" s="36">
        <f>IF(A43="","",MONTH(A43))</f>
        <v/>
      </c>
      <c r="D43" s="22" t="n"/>
      <c r="E43" s="22" t="n"/>
      <c r="F43" s="22" t="n"/>
      <c r="G43" s="22" t="n"/>
      <c r="H43" s="22" t="n"/>
      <c r="I43" s="22" t="n"/>
      <c r="J43" s="22" t="n"/>
    </row>
    <row r="44">
      <c r="A44" s="34" t="n"/>
      <c r="B44" s="35">
        <f>IF(A44="","",YEAR(A44))</f>
        <v/>
      </c>
      <c r="C44" s="36">
        <f>IF(A44="","",MONTH(A44))</f>
        <v/>
      </c>
      <c r="D44" s="18" t="n"/>
      <c r="E44" s="18" t="n"/>
      <c r="F44" s="18" t="n"/>
      <c r="G44" s="18" t="n"/>
      <c r="H44" s="18" t="n"/>
      <c r="I44" s="18" t="n"/>
      <c r="J44" s="18" t="n"/>
    </row>
    <row r="45">
      <c r="A45" s="41" t="n"/>
      <c r="B45" s="35">
        <f>IF(A45="","",YEAR(A45))</f>
        <v/>
      </c>
      <c r="C45" s="36">
        <f>IF(A45="","",MONTH(A45))</f>
        <v/>
      </c>
      <c r="D45" s="22" t="n"/>
      <c r="E45" s="22" t="n"/>
      <c r="F45" s="22" t="n"/>
      <c r="G45" s="22" t="n"/>
      <c r="H45" s="22" t="n"/>
      <c r="I45" s="22" t="n"/>
      <c r="J45" s="22" t="n"/>
    </row>
    <row r="46">
      <c r="A46" s="34" t="n"/>
      <c r="B46" s="35">
        <f>IF(A46="","",YEAR(A46))</f>
        <v/>
      </c>
      <c r="C46" s="36">
        <f>IF(A46="","",MONTH(A46))</f>
        <v/>
      </c>
      <c r="D46" s="18" t="n"/>
      <c r="E46" s="18" t="n"/>
      <c r="F46" s="18" t="n"/>
      <c r="G46" s="18" t="n"/>
      <c r="H46" s="18" t="n"/>
      <c r="I46" s="18" t="n"/>
      <c r="J46" s="18" t="n"/>
    </row>
    <row r="47">
      <c r="A47" s="41" t="n"/>
      <c r="B47" s="35">
        <f>IF(A47="","",YEAR(A47))</f>
        <v/>
      </c>
      <c r="C47" s="36">
        <f>IF(A47="","",MONTH(A47))</f>
        <v/>
      </c>
      <c r="D47" s="22" t="n"/>
      <c r="E47" s="22" t="n"/>
      <c r="F47" s="22" t="n"/>
      <c r="G47" s="22" t="n"/>
      <c r="H47" s="22" t="n"/>
      <c r="I47" s="22" t="n"/>
      <c r="J47" s="22" t="n"/>
    </row>
    <row r="48">
      <c r="A48" s="34" t="n"/>
      <c r="B48" s="35">
        <f>IF(A48="","",YEAR(A48))</f>
        <v/>
      </c>
      <c r="C48" s="36">
        <f>IF(A48="","",MONTH(A48))</f>
        <v/>
      </c>
      <c r="D48" s="18" t="n"/>
      <c r="E48" s="18" t="n"/>
      <c r="F48" s="18" t="n"/>
      <c r="G48" s="18" t="n"/>
      <c r="H48" s="18" t="n"/>
      <c r="I48" s="18" t="n"/>
      <c r="J48" s="18" t="n"/>
    </row>
    <row r="49">
      <c r="A49" s="41" t="n"/>
      <c r="B49" s="35">
        <f>IF(A49="","",YEAR(A49))</f>
        <v/>
      </c>
      <c r="C49" s="36">
        <f>IF(A49="","",MONTH(A49))</f>
        <v/>
      </c>
      <c r="D49" s="22" t="n"/>
      <c r="E49" s="22" t="n"/>
      <c r="F49" s="22" t="n"/>
      <c r="G49" s="22" t="n"/>
      <c r="H49" s="22" t="n"/>
      <c r="I49" s="22" t="n"/>
      <c r="J49" s="22" t="n"/>
    </row>
    <row r="50">
      <c r="A50" s="34" t="n"/>
      <c r="B50" s="35">
        <f>IF(A50="","",YEAR(A50))</f>
        <v/>
      </c>
      <c r="C50" s="36">
        <f>IF(A50="","",MONTH(A50))</f>
        <v/>
      </c>
      <c r="D50" s="18" t="n"/>
      <c r="E50" s="18" t="n"/>
      <c r="F50" s="18" t="n"/>
      <c r="G50" s="18" t="n"/>
      <c r="H50" s="18" t="n"/>
      <c r="I50" s="18" t="n"/>
      <c r="J50" s="18" t="n"/>
    </row>
    <row r="51">
      <c r="A51" s="41" t="n"/>
      <c r="B51" s="35">
        <f>IF(A51="","",YEAR(A51))</f>
        <v/>
      </c>
      <c r="C51" s="36">
        <f>IF(A51="","",MONTH(A51))</f>
        <v/>
      </c>
      <c r="D51" s="22" t="n"/>
      <c r="E51" s="22" t="n"/>
      <c r="F51" s="22" t="n"/>
      <c r="G51" s="22" t="n"/>
      <c r="H51" s="22" t="n"/>
      <c r="I51" s="22" t="n"/>
      <c r="J51" s="22" t="n"/>
    </row>
    <row r="52">
      <c r="A52" s="34" t="n"/>
      <c r="B52" s="35">
        <f>IF(A52="","",YEAR(A52))</f>
        <v/>
      </c>
      <c r="C52" s="36">
        <f>IF(A52="","",MONTH(A52))</f>
        <v/>
      </c>
      <c r="D52" s="18" t="n"/>
      <c r="E52" s="18" t="n"/>
      <c r="F52" s="18" t="n"/>
      <c r="G52" s="18" t="n"/>
      <c r="H52" s="18" t="n"/>
      <c r="I52" s="18" t="n"/>
      <c r="J52" s="18" t="n"/>
    </row>
    <row r="53">
      <c r="A53" s="41" t="n"/>
      <c r="B53" s="35">
        <f>IF(A53="","",YEAR(A53))</f>
        <v/>
      </c>
      <c r="C53" s="36">
        <f>IF(A53="","",MONTH(A53))</f>
        <v/>
      </c>
      <c r="D53" s="22" t="n"/>
      <c r="E53" s="22" t="n"/>
      <c r="F53" s="22" t="n"/>
      <c r="G53" s="22" t="n"/>
      <c r="H53" s="22" t="n"/>
      <c r="I53" s="22" t="n"/>
      <c r="J53" s="22" t="n"/>
    </row>
    <row r="54">
      <c r="A54" s="34" t="n"/>
      <c r="B54" s="35">
        <f>IF(A54="","",YEAR(A54))</f>
        <v/>
      </c>
      <c r="C54" s="36">
        <f>IF(A54="","",MONTH(A54))</f>
        <v/>
      </c>
      <c r="D54" s="18" t="n"/>
      <c r="E54" s="18" t="n"/>
      <c r="F54" s="18" t="n"/>
      <c r="G54" s="18" t="n"/>
      <c r="H54" s="18" t="n"/>
      <c r="I54" s="18" t="n"/>
      <c r="J54" s="18" t="n"/>
    </row>
    <row r="55">
      <c r="A55" s="41" t="n"/>
      <c r="B55" s="35">
        <f>IF(A55="","",YEAR(A55))</f>
        <v/>
      </c>
      <c r="C55" s="36">
        <f>IF(A55="","",MONTH(A55))</f>
        <v/>
      </c>
      <c r="D55" s="22" t="n"/>
      <c r="E55" s="22" t="n"/>
      <c r="F55" s="22" t="n"/>
      <c r="G55" s="22" t="n"/>
      <c r="H55" s="22" t="n"/>
      <c r="I55" s="22" t="n"/>
      <c r="J55" s="22" t="n"/>
    </row>
    <row r="56">
      <c r="A56" s="34" t="n"/>
      <c r="B56" s="35">
        <f>IF(A56="","",YEAR(A56))</f>
        <v/>
      </c>
      <c r="C56" s="36">
        <f>IF(A56="","",MONTH(A56))</f>
        <v/>
      </c>
      <c r="D56" s="18" t="n"/>
      <c r="E56" s="18" t="n"/>
      <c r="F56" s="18" t="n"/>
      <c r="G56" s="18" t="n"/>
      <c r="H56" s="18" t="n"/>
      <c r="I56" s="18" t="n"/>
      <c r="J56" s="18" t="n"/>
    </row>
    <row r="57">
      <c r="A57" s="41" t="n"/>
      <c r="B57" s="35">
        <f>IF(A57="","",YEAR(A57))</f>
        <v/>
      </c>
      <c r="C57" s="36">
        <f>IF(A57="","",MONTH(A57))</f>
        <v/>
      </c>
      <c r="D57" s="22" t="n"/>
      <c r="E57" s="22" t="n"/>
      <c r="F57" s="22" t="n"/>
      <c r="G57" s="22" t="n"/>
      <c r="H57" s="22" t="n"/>
      <c r="I57" s="22" t="n"/>
      <c r="J57" s="22" t="n"/>
    </row>
    <row r="58">
      <c r="A58" s="34" t="n"/>
      <c r="B58" s="35">
        <f>IF(A58="","",YEAR(A58))</f>
        <v/>
      </c>
      <c r="C58" s="36">
        <f>IF(A58="","",MONTH(A58))</f>
        <v/>
      </c>
      <c r="D58" s="18" t="n"/>
      <c r="E58" s="18" t="n"/>
      <c r="F58" s="18" t="n"/>
      <c r="G58" s="18" t="n"/>
      <c r="H58" s="18" t="n"/>
      <c r="I58" s="18" t="n"/>
      <c r="J58" s="18" t="n"/>
    </row>
    <row r="59">
      <c r="A59" s="41" t="n"/>
      <c r="B59" s="35">
        <f>IF(A59="","",YEAR(A59))</f>
        <v/>
      </c>
      <c r="C59" s="36">
        <f>IF(A59="","",MONTH(A59))</f>
        <v/>
      </c>
      <c r="D59" s="22" t="n"/>
      <c r="E59" s="22" t="n"/>
      <c r="F59" s="22" t="n"/>
      <c r="G59" s="22" t="n"/>
      <c r="H59" s="22" t="n"/>
      <c r="I59" s="22" t="n"/>
      <c r="J59" s="22" t="n"/>
    </row>
    <row r="60">
      <c r="A60" s="34" t="n"/>
      <c r="B60" s="35">
        <f>IF(A60="","",YEAR(A60))</f>
        <v/>
      </c>
      <c r="C60" s="36">
        <f>IF(A60="","",MONTH(A60))</f>
        <v/>
      </c>
      <c r="D60" s="18" t="n"/>
      <c r="E60" s="18" t="n"/>
      <c r="F60" s="18" t="n"/>
      <c r="G60" s="18" t="n"/>
      <c r="H60" s="18" t="n"/>
      <c r="I60" s="18" t="n"/>
      <c r="J60" s="18" t="n"/>
    </row>
    <row r="61">
      <c r="A61" s="41" t="n"/>
      <c r="B61" s="35">
        <f>IF(A61="","",YEAR(A61))</f>
        <v/>
      </c>
      <c r="C61" s="36">
        <f>IF(A61="","",MONTH(A61))</f>
        <v/>
      </c>
      <c r="D61" s="22" t="n"/>
      <c r="E61" s="22" t="n"/>
      <c r="F61" s="22" t="n"/>
      <c r="G61" s="22" t="n"/>
      <c r="H61" s="22" t="n"/>
      <c r="I61" s="22" t="n"/>
      <c r="J61" s="22" t="n"/>
    </row>
    <row r="62">
      <c r="A62" s="34" t="n"/>
      <c r="B62" s="35">
        <f>IF(A62="","",YEAR(A62))</f>
        <v/>
      </c>
      <c r="C62" s="36">
        <f>IF(A62="","",MONTH(A62))</f>
        <v/>
      </c>
      <c r="D62" s="18" t="n"/>
      <c r="E62" s="18" t="n"/>
      <c r="F62" s="18" t="n"/>
      <c r="G62" s="18" t="n"/>
      <c r="H62" s="18" t="n"/>
      <c r="I62" s="18" t="n"/>
      <c r="J62" s="18" t="n"/>
    </row>
    <row r="63">
      <c r="A63" s="41" t="n"/>
      <c r="B63" s="35">
        <f>IF(A63="","",YEAR(A63))</f>
        <v/>
      </c>
      <c r="C63" s="36">
        <f>IF(A63="","",MONTH(A63))</f>
        <v/>
      </c>
      <c r="D63" s="22" t="n"/>
      <c r="E63" s="22" t="n"/>
      <c r="F63" s="22" t="n"/>
      <c r="G63" s="22" t="n"/>
      <c r="H63" s="22" t="n"/>
      <c r="I63" s="22" t="n"/>
      <c r="J63" s="22" t="n"/>
    </row>
    <row r="64">
      <c r="A64" s="34" t="n"/>
      <c r="B64" s="35">
        <f>IF(A64="","",YEAR(A64))</f>
        <v/>
      </c>
      <c r="C64" s="36">
        <f>IF(A64="","",MONTH(A64))</f>
        <v/>
      </c>
      <c r="D64" s="18" t="n"/>
      <c r="E64" s="18" t="n"/>
      <c r="F64" s="18" t="n"/>
      <c r="G64" s="18" t="n"/>
      <c r="H64" s="18" t="n"/>
      <c r="I64" s="18" t="n"/>
      <c r="J64" s="18" t="n"/>
    </row>
    <row r="65">
      <c r="A65" s="41" t="n"/>
      <c r="B65" s="35">
        <f>IF(A65="","",YEAR(A65))</f>
        <v/>
      </c>
      <c r="C65" s="36">
        <f>IF(A65="","",MONTH(A65))</f>
        <v/>
      </c>
      <c r="D65" s="22" t="n"/>
      <c r="E65" s="22" t="n"/>
      <c r="F65" s="22" t="n"/>
      <c r="G65" s="22" t="n"/>
      <c r="H65" s="22" t="n"/>
      <c r="I65" s="22" t="n"/>
      <c r="J65" s="22" t="n"/>
    </row>
    <row r="66">
      <c r="A66" s="34" t="n"/>
      <c r="B66" s="35">
        <f>IF(A66="","",YEAR(A66))</f>
        <v/>
      </c>
      <c r="C66" s="36">
        <f>IF(A66="","",MONTH(A66))</f>
        <v/>
      </c>
      <c r="D66" s="18" t="n"/>
      <c r="E66" s="18" t="n"/>
      <c r="F66" s="18" t="n"/>
      <c r="G66" s="18" t="n"/>
      <c r="H66" s="18" t="n"/>
      <c r="I66" s="18" t="n"/>
      <c r="J66" s="18" t="n"/>
    </row>
    <row r="67">
      <c r="A67" s="41" t="n"/>
      <c r="B67" s="35">
        <f>IF(A67="","",YEAR(A67))</f>
        <v/>
      </c>
      <c r="C67" s="36">
        <f>IF(A67="","",MONTH(A67))</f>
        <v/>
      </c>
      <c r="D67" s="22" t="n"/>
      <c r="E67" s="22" t="n"/>
      <c r="F67" s="22" t="n"/>
      <c r="G67" s="22" t="n"/>
      <c r="H67" s="22" t="n"/>
      <c r="I67" s="22" t="n"/>
      <c r="J67" s="22" t="n"/>
    </row>
    <row r="68">
      <c r="A68" s="34" t="n"/>
      <c r="B68" s="35">
        <f>IF(A68="","",YEAR(A68))</f>
        <v/>
      </c>
      <c r="C68" s="36">
        <f>IF(A68="","",MONTH(A68))</f>
        <v/>
      </c>
      <c r="D68" s="18" t="n"/>
      <c r="E68" s="18" t="n"/>
      <c r="F68" s="18" t="n"/>
      <c r="G68" s="18" t="n"/>
      <c r="H68" s="18" t="n"/>
      <c r="I68" s="18" t="n"/>
      <c r="J68" s="18" t="n"/>
    </row>
    <row r="69">
      <c r="A69" s="41" t="n"/>
      <c r="B69" s="35">
        <f>IF(A69="","",YEAR(A69))</f>
        <v/>
      </c>
      <c r="C69" s="36">
        <f>IF(A69="","",MONTH(A69))</f>
        <v/>
      </c>
      <c r="D69" s="22" t="n"/>
      <c r="E69" s="22" t="n"/>
      <c r="F69" s="22" t="n"/>
      <c r="G69" s="22" t="n"/>
      <c r="H69" s="22" t="n"/>
      <c r="I69" s="22" t="n"/>
      <c r="J69" s="22" t="n"/>
    </row>
    <row r="70">
      <c r="A70" s="34" t="n"/>
      <c r="B70" s="35">
        <f>IF(A70="","",YEAR(A70))</f>
        <v/>
      </c>
      <c r="C70" s="36">
        <f>IF(A70="","",MONTH(A70))</f>
        <v/>
      </c>
      <c r="D70" s="18" t="n"/>
      <c r="E70" s="18" t="n"/>
      <c r="F70" s="18" t="n"/>
      <c r="G70" s="18" t="n"/>
      <c r="H70" s="18" t="n"/>
      <c r="I70" s="18" t="n"/>
      <c r="J70" s="18" t="n"/>
    </row>
    <row r="71">
      <c r="A71" s="41" t="n"/>
      <c r="B71" s="35">
        <f>IF(A71="","",YEAR(A71))</f>
        <v/>
      </c>
      <c r="C71" s="36">
        <f>IF(A71="","",MONTH(A71))</f>
        <v/>
      </c>
      <c r="D71" s="22" t="n"/>
      <c r="E71" s="22" t="n"/>
      <c r="F71" s="22" t="n"/>
      <c r="G71" s="22" t="n"/>
      <c r="H71" s="22" t="n"/>
      <c r="I71" s="22" t="n"/>
      <c r="J71" s="22" t="n"/>
    </row>
    <row r="72">
      <c r="A72" s="34" t="n"/>
      <c r="B72" s="35">
        <f>IF(A72="","",YEAR(A72))</f>
        <v/>
      </c>
      <c r="C72" s="36">
        <f>IF(A72="","",MONTH(A72))</f>
        <v/>
      </c>
      <c r="D72" s="18" t="n"/>
      <c r="E72" s="18" t="n"/>
      <c r="F72" s="18" t="n"/>
      <c r="G72" s="18" t="n"/>
      <c r="H72" s="18" t="n"/>
      <c r="I72" s="18" t="n"/>
      <c r="J72" s="18" t="n"/>
    </row>
    <row r="73">
      <c r="A73" s="41" t="n"/>
      <c r="B73" s="35">
        <f>IF(A73="","",YEAR(A73))</f>
        <v/>
      </c>
      <c r="C73" s="36">
        <f>IF(A73="","",MONTH(A73))</f>
        <v/>
      </c>
      <c r="D73" s="22" t="n"/>
      <c r="E73" s="22" t="n"/>
      <c r="F73" s="22" t="n"/>
      <c r="G73" s="22" t="n"/>
      <c r="H73" s="22" t="n"/>
      <c r="I73" s="22" t="n"/>
      <c r="J73" s="22" t="n"/>
    </row>
    <row r="74">
      <c r="A74" s="34" t="n"/>
      <c r="B74" s="35">
        <f>IF(A74="","",YEAR(A74))</f>
        <v/>
      </c>
      <c r="C74" s="36">
        <f>IF(A74="","",MONTH(A74))</f>
        <v/>
      </c>
      <c r="D74" s="18" t="n"/>
      <c r="E74" s="18" t="n"/>
      <c r="F74" s="18" t="n"/>
      <c r="G74" s="18" t="n"/>
      <c r="H74" s="18" t="n"/>
      <c r="I74" s="18" t="n"/>
      <c r="J74" s="18" t="n"/>
    </row>
    <row r="75">
      <c r="A75" s="41" t="n"/>
      <c r="B75" s="35">
        <f>IF(A75="","",YEAR(A75))</f>
        <v/>
      </c>
      <c r="C75" s="36">
        <f>IF(A75="","",MONTH(A75))</f>
        <v/>
      </c>
      <c r="D75" s="22" t="n"/>
      <c r="E75" s="22" t="n"/>
      <c r="F75" s="22" t="n"/>
      <c r="G75" s="22" t="n"/>
      <c r="H75" s="22" t="n"/>
      <c r="I75" s="22" t="n"/>
      <c r="J75" s="22" t="n"/>
    </row>
    <row r="76">
      <c r="A76" s="34" t="n"/>
      <c r="B76" s="35">
        <f>IF(A76="","",YEAR(A76))</f>
        <v/>
      </c>
      <c r="C76" s="36">
        <f>IF(A76="","",MONTH(A76))</f>
        <v/>
      </c>
      <c r="D76" s="18" t="n"/>
      <c r="E76" s="18" t="n"/>
      <c r="F76" s="18" t="n"/>
      <c r="G76" s="18" t="n"/>
      <c r="H76" s="18" t="n"/>
      <c r="I76" s="18" t="n"/>
      <c r="J76" s="18" t="n"/>
    </row>
    <row r="77">
      <c r="A77" s="41" t="n"/>
      <c r="B77" s="35">
        <f>IF(A77="","",YEAR(A77))</f>
        <v/>
      </c>
      <c r="C77" s="36">
        <f>IF(A77="","",MONTH(A77))</f>
        <v/>
      </c>
      <c r="D77" s="22" t="n"/>
      <c r="E77" s="22" t="n"/>
      <c r="F77" s="22" t="n"/>
      <c r="G77" s="22" t="n"/>
      <c r="H77" s="22" t="n"/>
      <c r="I77" s="22" t="n"/>
      <c r="J77" s="22" t="n"/>
    </row>
    <row r="78">
      <c r="A78" s="34" t="n"/>
      <c r="B78" s="35">
        <f>IF(A78="","",YEAR(A78))</f>
        <v/>
      </c>
      <c r="C78" s="36">
        <f>IF(A78="","",MONTH(A78))</f>
        <v/>
      </c>
      <c r="D78" s="18" t="n"/>
      <c r="E78" s="18" t="n"/>
      <c r="F78" s="18" t="n"/>
      <c r="G78" s="18" t="n"/>
      <c r="H78" s="18" t="n"/>
      <c r="I78" s="18" t="n"/>
      <c r="J78" s="18" t="n"/>
    </row>
    <row r="79">
      <c r="A79" s="41" t="n"/>
      <c r="B79" s="35">
        <f>IF(A79="","",YEAR(A79))</f>
        <v/>
      </c>
      <c r="C79" s="36">
        <f>IF(A79="","",MONTH(A79))</f>
        <v/>
      </c>
      <c r="D79" s="22" t="n"/>
      <c r="E79" s="22" t="n"/>
      <c r="F79" s="22" t="n"/>
      <c r="G79" s="22" t="n"/>
      <c r="H79" s="22" t="n"/>
      <c r="I79" s="22" t="n"/>
      <c r="J79" s="22" t="n"/>
    </row>
    <row r="80">
      <c r="A80" s="34" t="n"/>
      <c r="B80" s="35">
        <f>IF(A80="","",YEAR(A80))</f>
        <v/>
      </c>
      <c r="C80" s="36">
        <f>IF(A80="","",MONTH(A80))</f>
        <v/>
      </c>
      <c r="D80" s="18" t="n"/>
      <c r="E80" s="18" t="n"/>
      <c r="F80" s="18" t="n"/>
      <c r="G80" s="18" t="n"/>
      <c r="H80" s="18" t="n"/>
      <c r="I80" s="18" t="n"/>
      <c r="J80" s="18" t="n"/>
    </row>
    <row r="81">
      <c r="A81" s="41" t="n"/>
      <c r="B81" s="35">
        <f>IF(A81="","",YEAR(A81))</f>
        <v/>
      </c>
      <c r="C81" s="36">
        <f>IF(A81="","",MONTH(A81))</f>
        <v/>
      </c>
      <c r="D81" s="22" t="n"/>
      <c r="E81" s="22" t="n"/>
      <c r="F81" s="22" t="n"/>
      <c r="G81" s="22" t="n"/>
      <c r="H81" s="22" t="n"/>
      <c r="I81" s="22" t="n"/>
      <c r="J81" s="22" t="n"/>
    </row>
    <row r="82">
      <c r="A82" s="34" t="n"/>
      <c r="B82" s="35">
        <f>IF(A82="","",YEAR(A82))</f>
        <v/>
      </c>
      <c r="C82" s="36">
        <f>IF(A82="","",MONTH(A82))</f>
        <v/>
      </c>
      <c r="D82" s="18" t="n"/>
      <c r="E82" s="18" t="n"/>
      <c r="F82" s="18" t="n"/>
      <c r="G82" s="18" t="n"/>
      <c r="H82" s="18" t="n"/>
      <c r="I82" s="18" t="n"/>
      <c r="J82" s="18" t="n"/>
    </row>
    <row r="83">
      <c r="A83" s="41" t="n"/>
      <c r="B83" s="35">
        <f>IF(A83="","",YEAR(A83))</f>
        <v/>
      </c>
      <c r="C83" s="36">
        <f>IF(A83="","",MONTH(A83))</f>
        <v/>
      </c>
      <c r="D83" s="22" t="n"/>
      <c r="E83" s="22" t="n"/>
      <c r="F83" s="22" t="n"/>
      <c r="G83" s="22" t="n"/>
      <c r="H83" s="22" t="n"/>
      <c r="I83" s="22" t="n"/>
      <c r="J83" s="22" t="n"/>
    </row>
    <row r="84">
      <c r="A84" s="34" t="n"/>
      <c r="B84" s="35">
        <f>IF(A84="","",YEAR(A84))</f>
        <v/>
      </c>
      <c r="C84" s="36">
        <f>IF(A84="","",MONTH(A84))</f>
        <v/>
      </c>
      <c r="D84" s="18" t="n"/>
      <c r="E84" s="18" t="n"/>
      <c r="F84" s="18" t="n"/>
      <c r="G84" s="18" t="n"/>
      <c r="H84" s="18" t="n"/>
      <c r="I84" s="18" t="n"/>
      <c r="J84" s="18" t="n"/>
    </row>
    <row r="85">
      <c r="A85" s="41" t="n"/>
      <c r="B85" s="35">
        <f>IF(A85="","",YEAR(A85))</f>
        <v/>
      </c>
      <c r="C85" s="36">
        <f>IF(A85="","",MONTH(A85))</f>
        <v/>
      </c>
      <c r="D85" s="22" t="n"/>
      <c r="E85" s="22" t="n"/>
      <c r="F85" s="22" t="n"/>
      <c r="G85" s="22" t="n"/>
      <c r="H85" s="22" t="n"/>
      <c r="I85" s="22" t="n"/>
      <c r="J85" s="22" t="n"/>
    </row>
    <row r="86">
      <c r="A86" s="34" t="n"/>
      <c r="B86" s="35">
        <f>IF(A86="","",YEAR(A86))</f>
        <v/>
      </c>
      <c r="C86" s="36">
        <f>IF(A86="","",MONTH(A86))</f>
        <v/>
      </c>
      <c r="D86" s="18" t="n"/>
      <c r="E86" s="18" t="n"/>
      <c r="F86" s="18" t="n"/>
      <c r="G86" s="18" t="n"/>
      <c r="H86" s="18" t="n"/>
      <c r="I86" s="18" t="n"/>
      <c r="J86" s="18" t="n"/>
    </row>
    <row r="87">
      <c r="A87" s="41" t="n"/>
      <c r="B87" s="35">
        <f>IF(A87="","",YEAR(A87))</f>
        <v/>
      </c>
      <c r="C87" s="36">
        <f>IF(A87="","",MONTH(A87))</f>
        <v/>
      </c>
      <c r="D87" s="22" t="n"/>
      <c r="E87" s="22" t="n"/>
      <c r="F87" s="22" t="n"/>
      <c r="G87" s="22" t="n"/>
      <c r="H87" s="22" t="n"/>
      <c r="I87" s="22" t="n"/>
      <c r="J87" s="22" t="n"/>
    </row>
    <row r="88">
      <c r="A88" s="34" t="n"/>
      <c r="B88" s="35">
        <f>IF(A88="","",YEAR(A88))</f>
        <v/>
      </c>
      <c r="C88" s="36">
        <f>IF(A88="","",MONTH(A88))</f>
        <v/>
      </c>
      <c r="D88" s="18" t="n"/>
      <c r="E88" s="18" t="n"/>
      <c r="F88" s="18" t="n"/>
      <c r="G88" s="18" t="n"/>
      <c r="H88" s="18" t="n"/>
      <c r="I88" s="18" t="n"/>
      <c r="J88" s="18" t="n"/>
    </row>
    <row r="89">
      <c r="A89" s="41" t="n"/>
      <c r="B89" s="35">
        <f>IF(A89="","",YEAR(A89))</f>
        <v/>
      </c>
      <c r="C89" s="36">
        <f>IF(A89="","",MONTH(A89))</f>
        <v/>
      </c>
      <c r="D89" s="22" t="n"/>
      <c r="E89" s="22" t="n"/>
      <c r="F89" s="22" t="n"/>
      <c r="G89" s="22" t="n"/>
      <c r="H89" s="22" t="n"/>
      <c r="I89" s="22" t="n"/>
      <c r="J89" s="22" t="n"/>
    </row>
    <row r="90">
      <c r="A90" s="34" t="n"/>
      <c r="B90" s="35">
        <f>IF(A90="","",YEAR(A90))</f>
        <v/>
      </c>
      <c r="C90" s="36">
        <f>IF(A90="","",MONTH(A90))</f>
        <v/>
      </c>
      <c r="D90" s="18" t="n"/>
      <c r="E90" s="18" t="n"/>
      <c r="F90" s="18" t="n"/>
      <c r="G90" s="18" t="n"/>
      <c r="H90" s="18" t="n"/>
      <c r="I90" s="18" t="n"/>
      <c r="J90" s="18" t="n"/>
    </row>
    <row r="91">
      <c r="A91" s="41" t="n"/>
      <c r="B91" s="35">
        <f>IF(A91="","",YEAR(A91))</f>
        <v/>
      </c>
      <c r="C91" s="36">
        <f>IF(A91="","",MONTH(A91))</f>
        <v/>
      </c>
      <c r="D91" s="22" t="n"/>
      <c r="E91" s="22" t="n"/>
      <c r="F91" s="22" t="n"/>
      <c r="G91" s="22" t="n"/>
      <c r="H91" s="22" t="n"/>
      <c r="I91" s="22" t="n"/>
      <c r="J91" s="22" t="n"/>
    </row>
    <row r="92">
      <c r="A92" s="34" t="n"/>
      <c r="B92" s="35">
        <f>IF(A92="","",YEAR(A92))</f>
        <v/>
      </c>
      <c r="C92" s="36">
        <f>IF(A92="","",MONTH(A92))</f>
        <v/>
      </c>
      <c r="D92" s="18" t="n"/>
      <c r="E92" s="18" t="n"/>
      <c r="F92" s="18" t="n"/>
      <c r="G92" s="18" t="n"/>
      <c r="H92" s="18" t="n"/>
      <c r="I92" s="18" t="n"/>
      <c r="J92" s="18" t="n"/>
    </row>
    <row r="93">
      <c r="A93" s="41" t="n"/>
      <c r="B93" s="35">
        <f>IF(A93="","",YEAR(A93))</f>
        <v/>
      </c>
      <c r="C93" s="36">
        <f>IF(A93="","",MONTH(A93))</f>
        <v/>
      </c>
      <c r="D93" s="22" t="n"/>
      <c r="E93" s="22" t="n"/>
      <c r="F93" s="22" t="n"/>
      <c r="G93" s="22" t="n"/>
      <c r="H93" s="22" t="n"/>
      <c r="I93" s="22" t="n"/>
      <c r="J93" s="22" t="n"/>
    </row>
    <row r="94">
      <c r="A94" s="34" t="n"/>
      <c r="B94" s="35">
        <f>IF(A94="","",YEAR(A94))</f>
        <v/>
      </c>
      <c r="C94" s="36">
        <f>IF(A94="","",MONTH(A94))</f>
        <v/>
      </c>
      <c r="D94" s="18" t="n"/>
      <c r="E94" s="18" t="n"/>
      <c r="F94" s="18" t="n"/>
      <c r="G94" s="18" t="n"/>
      <c r="H94" s="18" t="n"/>
      <c r="I94" s="18" t="n"/>
      <c r="J94" s="18" t="n"/>
    </row>
    <row r="95">
      <c r="A95" s="41" t="n"/>
      <c r="B95" s="35">
        <f>IF(A95="","",YEAR(A95))</f>
        <v/>
      </c>
      <c r="C95" s="36">
        <f>IF(A95="","",MONTH(A95))</f>
        <v/>
      </c>
      <c r="D95" s="22" t="n"/>
      <c r="E95" s="22" t="n"/>
      <c r="F95" s="22" t="n"/>
      <c r="G95" s="22" t="n"/>
      <c r="H95" s="22" t="n"/>
      <c r="I95" s="22" t="n"/>
      <c r="J95" s="22" t="n"/>
    </row>
    <row r="96">
      <c r="A96" s="34" t="n"/>
      <c r="B96" s="35">
        <f>IF(A96="","",YEAR(A96))</f>
        <v/>
      </c>
      <c r="C96" s="36">
        <f>IF(A96="","",MONTH(A96))</f>
        <v/>
      </c>
      <c r="D96" s="18" t="n"/>
      <c r="E96" s="18" t="n"/>
      <c r="F96" s="18" t="n"/>
      <c r="G96" s="18" t="n"/>
      <c r="H96" s="18" t="n"/>
      <c r="I96" s="18" t="n"/>
      <c r="J96" s="18" t="n"/>
    </row>
    <row r="97">
      <c r="A97" s="41" t="n"/>
      <c r="B97" s="35">
        <f>IF(A97="","",YEAR(A97))</f>
        <v/>
      </c>
      <c r="C97" s="36">
        <f>IF(A97="","",MONTH(A97))</f>
        <v/>
      </c>
      <c r="D97" s="22" t="n"/>
      <c r="E97" s="22" t="n"/>
      <c r="F97" s="22" t="n"/>
      <c r="G97" s="22" t="n"/>
      <c r="H97" s="22" t="n"/>
      <c r="I97" s="22" t="n"/>
      <c r="J97" s="22" t="n"/>
    </row>
    <row r="98">
      <c r="A98" s="34" t="n"/>
      <c r="B98" s="35">
        <f>IF(A98="","",YEAR(A98))</f>
        <v/>
      </c>
      <c r="C98" s="36">
        <f>IF(A98="","",MONTH(A98))</f>
        <v/>
      </c>
      <c r="D98" s="18" t="n"/>
      <c r="E98" s="18" t="n"/>
      <c r="F98" s="18" t="n"/>
      <c r="G98" s="18" t="n"/>
      <c r="H98" s="18" t="n"/>
      <c r="I98" s="18" t="n"/>
      <c r="J98" s="18" t="n"/>
    </row>
    <row r="99">
      <c r="A99" s="41" t="n"/>
      <c r="B99" s="35">
        <f>IF(A99="","",YEAR(A99))</f>
        <v/>
      </c>
      <c r="C99" s="36">
        <f>IF(A99="","",MONTH(A99))</f>
        <v/>
      </c>
      <c r="D99" s="22" t="n"/>
      <c r="E99" s="22" t="n"/>
      <c r="F99" s="22" t="n"/>
      <c r="G99" s="22" t="n"/>
      <c r="H99" s="22" t="n"/>
      <c r="I99" s="22" t="n"/>
      <c r="J99" s="22" t="n"/>
    </row>
    <row r="100">
      <c r="A100" s="34" t="n"/>
      <c r="B100" s="35">
        <f>IF(A100="","",YEAR(A100))</f>
        <v/>
      </c>
      <c r="C100" s="36">
        <f>IF(A100="","",MONTH(A100))</f>
        <v/>
      </c>
      <c r="D100" s="18" t="n"/>
      <c r="E100" s="18" t="n"/>
      <c r="F100" s="18" t="n"/>
      <c r="G100" s="18" t="n"/>
      <c r="H100" s="18" t="n"/>
      <c r="I100" s="18" t="n"/>
      <c r="J100" s="18" t="n"/>
    </row>
    <row r="101">
      <c r="A101" s="41" t="n"/>
      <c r="B101" s="35">
        <f>IF(A101="","",YEAR(A101))</f>
        <v/>
      </c>
      <c r="C101" s="36">
        <f>IF(A101="","",MONTH(A101))</f>
        <v/>
      </c>
      <c r="D101" s="22" t="n"/>
      <c r="E101" s="22" t="n"/>
      <c r="F101" s="22" t="n"/>
      <c r="G101" s="22" t="n"/>
      <c r="H101" s="22" t="n"/>
      <c r="I101" s="22" t="n"/>
      <c r="J101" s="22" t="n"/>
    </row>
    <row r="102">
      <c r="A102" s="34" t="n"/>
      <c r="B102" s="35">
        <f>IF(A102="","",YEAR(A102))</f>
        <v/>
      </c>
      <c r="C102" s="36">
        <f>IF(A102="","",MONTH(A102))</f>
        <v/>
      </c>
      <c r="D102" s="18" t="n"/>
      <c r="E102" s="18" t="n"/>
      <c r="F102" s="18" t="n"/>
      <c r="G102" s="18" t="n"/>
      <c r="H102" s="18" t="n"/>
      <c r="I102" s="18" t="n"/>
      <c r="J102" s="18" t="n"/>
    </row>
    <row r="103">
      <c r="A103" s="41" t="n"/>
      <c r="B103" s="35">
        <f>IF(A103="","",YEAR(A103))</f>
        <v/>
      </c>
      <c r="C103" s="36">
        <f>IF(A103="","",MONTH(A103))</f>
        <v/>
      </c>
      <c r="D103" s="22" t="n"/>
      <c r="E103" s="22" t="n"/>
      <c r="F103" s="22" t="n"/>
      <c r="G103" s="22" t="n"/>
      <c r="H103" s="22" t="n"/>
      <c r="I103" s="22" t="n"/>
      <c r="J103" s="22" t="n"/>
    </row>
    <row r="104">
      <c r="A104" s="34" t="n"/>
      <c r="B104" s="35">
        <f>IF(A104="","",YEAR(A104))</f>
        <v/>
      </c>
      <c r="C104" s="36">
        <f>IF(A104="","",MONTH(A104))</f>
        <v/>
      </c>
      <c r="D104" s="18" t="n"/>
      <c r="E104" s="18" t="n"/>
      <c r="F104" s="18" t="n"/>
      <c r="G104" s="18" t="n"/>
      <c r="H104" s="18" t="n"/>
      <c r="I104" s="18" t="n"/>
      <c r="J104" s="18" t="n"/>
    </row>
    <row r="105">
      <c r="A105" s="41" t="n"/>
      <c r="B105" s="35">
        <f>IF(A105="","",YEAR(A105))</f>
        <v/>
      </c>
      <c r="C105" s="36">
        <f>IF(A105="","",MONTH(A105))</f>
        <v/>
      </c>
      <c r="D105" s="22" t="n"/>
      <c r="E105" s="22" t="n"/>
      <c r="F105" s="22" t="n"/>
      <c r="G105" s="22" t="n"/>
      <c r="H105" s="22" t="n"/>
      <c r="I105" s="22" t="n"/>
      <c r="J105" s="22" t="n"/>
    </row>
    <row r="106">
      <c r="A106" s="34" t="n"/>
      <c r="B106" s="35">
        <f>IF(A106="","",YEAR(A106))</f>
        <v/>
      </c>
      <c r="C106" s="36">
        <f>IF(A106="","",MONTH(A106))</f>
        <v/>
      </c>
      <c r="D106" s="18" t="n"/>
      <c r="E106" s="18" t="n"/>
      <c r="F106" s="18" t="n"/>
      <c r="G106" s="18" t="n"/>
      <c r="H106" s="18" t="n"/>
      <c r="I106" s="18" t="n"/>
      <c r="J106" s="18" t="n"/>
    </row>
    <row r="107">
      <c r="A107" s="41" t="n"/>
      <c r="B107" s="35">
        <f>IF(A107="","",YEAR(A107))</f>
        <v/>
      </c>
      <c r="C107" s="36">
        <f>IF(A107="","",MONTH(A107))</f>
        <v/>
      </c>
      <c r="D107" s="22" t="n"/>
      <c r="E107" s="22" t="n"/>
      <c r="F107" s="22" t="n"/>
      <c r="G107" s="22" t="n"/>
      <c r="H107" s="22" t="n"/>
      <c r="I107" s="22" t="n"/>
      <c r="J107" s="22" t="n"/>
    </row>
    <row r="108">
      <c r="A108" s="34" t="n"/>
      <c r="B108" s="35">
        <f>IF(A108="","",YEAR(A108))</f>
        <v/>
      </c>
      <c r="C108" s="36">
        <f>IF(A108="","",MONTH(A108))</f>
        <v/>
      </c>
      <c r="D108" s="18" t="n"/>
      <c r="E108" s="18" t="n"/>
      <c r="F108" s="18" t="n"/>
      <c r="G108" s="18" t="n"/>
      <c r="H108" s="18" t="n"/>
      <c r="I108" s="18" t="n"/>
      <c r="J108" s="18" t="n"/>
    </row>
    <row r="109">
      <c r="A109" s="41" t="n"/>
      <c r="B109" s="35">
        <f>IF(A109="","",YEAR(A109))</f>
        <v/>
      </c>
      <c r="C109" s="36">
        <f>IF(A109="","",MONTH(A109))</f>
        <v/>
      </c>
      <c r="D109" s="22" t="n"/>
      <c r="E109" s="22" t="n"/>
      <c r="F109" s="22" t="n"/>
      <c r="G109" s="22" t="n"/>
      <c r="H109" s="22" t="n"/>
      <c r="I109" s="22" t="n"/>
      <c r="J109" s="22" t="n"/>
    </row>
    <row r="110">
      <c r="A110" s="34" t="n"/>
      <c r="B110" s="35">
        <f>IF(A110="","",YEAR(A110))</f>
        <v/>
      </c>
      <c r="C110" s="36">
        <f>IF(A110="","",MONTH(A110))</f>
        <v/>
      </c>
      <c r="D110" s="18" t="n"/>
      <c r="E110" s="18" t="n"/>
      <c r="F110" s="18" t="n"/>
      <c r="G110" s="18" t="n"/>
      <c r="H110" s="18" t="n"/>
      <c r="I110" s="18" t="n"/>
      <c r="J110" s="18" t="n"/>
    </row>
    <row r="111">
      <c r="A111" s="41" t="n"/>
      <c r="B111" s="35">
        <f>IF(A111="","",YEAR(A111))</f>
        <v/>
      </c>
      <c r="C111" s="36">
        <f>IF(A111="","",MONTH(A111))</f>
        <v/>
      </c>
      <c r="D111" s="22" t="n"/>
      <c r="E111" s="22" t="n"/>
      <c r="F111" s="22" t="n"/>
      <c r="G111" s="22" t="n"/>
      <c r="H111" s="22" t="n"/>
      <c r="I111" s="22" t="n"/>
      <c r="J111" s="22" t="n"/>
    </row>
    <row r="112">
      <c r="A112" s="34" t="n"/>
      <c r="B112" s="35">
        <f>IF(A112="","",YEAR(A112))</f>
        <v/>
      </c>
      <c r="C112" s="36">
        <f>IF(A112="","",MONTH(A112))</f>
        <v/>
      </c>
      <c r="D112" s="18" t="n"/>
      <c r="E112" s="18" t="n"/>
      <c r="F112" s="18" t="n"/>
      <c r="G112" s="18" t="n"/>
      <c r="H112" s="18" t="n"/>
      <c r="I112" s="18" t="n"/>
      <c r="J112" s="18" t="n"/>
    </row>
    <row r="113">
      <c r="A113" s="41" t="n"/>
      <c r="B113" s="35">
        <f>IF(A113="","",YEAR(A113))</f>
        <v/>
      </c>
      <c r="C113" s="36">
        <f>IF(A113="","",MONTH(A113))</f>
        <v/>
      </c>
      <c r="D113" s="22" t="n"/>
      <c r="E113" s="22" t="n"/>
      <c r="F113" s="22" t="n"/>
      <c r="G113" s="22" t="n"/>
      <c r="H113" s="22" t="n"/>
      <c r="I113" s="22" t="n"/>
      <c r="J113" s="22" t="n"/>
    </row>
    <row r="114">
      <c r="A114" s="34" t="n"/>
      <c r="B114" s="35">
        <f>IF(A114="","",YEAR(A114))</f>
        <v/>
      </c>
      <c r="C114" s="36">
        <f>IF(A114="","",MONTH(A114))</f>
        <v/>
      </c>
      <c r="D114" s="18" t="n"/>
      <c r="E114" s="18" t="n"/>
      <c r="F114" s="18" t="n"/>
      <c r="G114" s="18" t="n"/>
      <c r="H114" s="18" t="n"/>
      <c r="I114" s="18" t="n"/>
      <c r="J114" s="18" t="n"/>
    </row>
    <row r="115">
      <c r="A115" s="41" t="n"/>
      <c r="B115" s="35">
        <f>IF(A115="","",YEAR(A115))</f>
        <v/>
      </c>
      <c r="C115" s="36">
        <f>IF(A115="","",MONTH(A115))</f>
        <v/>
      </c>
      <c r="D115" s="22" t="n"/>
      <c r="E115" s="22" t="n"/>
      <c r="F115" s="22" t="n"/>
      <c r="G115" s="22" t="n"/>
      <c r="H115" s="22" t="n"/>
      <c r="I115" s="22" t="n"/>
      <c r="J115" s="22" t="n"/>
    </row>
    <row r="116">
      <c r="A116" s="34" t="n"/>
      <c r="B116" s="35">
        <f>IF(A116="","",YEAR(A116))</f>
        <v/>
      </c>
      <c r="C116" s="36">
        <f>IF(A116="","",MONTH(A116))</f>
        <v/>
      </c>
      <c r="D116" s="18" t="n"/>
      <c r="E116" s="18" t="n"/>
      <c r="F116" s="18" t="n"/>
      <c r="G116" s="18" t="n"/>
      <c r="H116" s="18" t="n"/>
      <c r="I116" s="18" t="n"/>
      <c r="J116" s="18" t="n"/>
    </row>
    <row r="117">
      <c r="A117" s="41" t="n"/>
      <c r="B117" s="35">
        <f>IF(A117="","",YEAR(A117))</f>
        <v/>
      </c>
      <c r="C117" s="36">
        <f>IF(A117="","",MONTH(A117))</f>
        <v/>
      </c>
      <c r="D117" s="22" t="n"/>
      <c r="E117" s="22" t="n"/>
      <c r="F117" s="22" t="n"/>
      <c r="G117" s="22" t="n"/>
      <c r="H117" s="22" t="n"/>
      <c r="I117" s="22" t="n"/>
      <c r="J117" s="22" t="n"/>
    </row>
    <row r="118">
      <c r="A118" s="34" t="n"/>
      <c r="B118" s="35">
        <f>IF(A118="","",YEAR(A118))</f>
        <v/>
      </c>
      <c r="C118" s="36">
        <f>IF(A118="","",MONTH(A118))</f>
        <v/>
      </c>
      <c r="D118" s="18" t="n"/>
      <c r="E118" s="18" t="n"/>
      <c r="F118" s="18" t="n"/>
      <c r="G118" s="18" t="n"/>
      <c r="H118" s="18" t="n"/>
      <c r="I118" s="18" t="n"/>
      <c r="J118" s="18" t="n"/>
    </row>
    <row r="119">
      <c r="A119" s="41" t="n"/>
      <c r="B119" s="35">
        <f>IF(A119="","",YEAR(A119))</f>
        <v/>
      </c>
      <c r="C119" s="36">
        <f>IF(A119="","",MONTH(A119))</f>
        <v/>
      </c>
      <c r="D119" s="22" t="n"/>
      <c r="E119" s="22" t="n"/>
      <c r="F119" s="22" t="n"/>
      <c r="G119" s="22" t="n"/>
      <c r="H119" s="22" t="n"/>
      <c r="I119" s="22" t="n"/>
      <c r="J119" s="22" t="n"/>
    </row>
    <row r="120">
      <c r="A120" s="34" t="n"/>
      <c r="B120" s="35">
        <f>IF(A120="","",YEAR(A120))</f>
        <v/>
      </c>
      <c r="C120" s="36">
        <f>IF(A120="","",MONTH(A120))</f>
        <v/>
      </c>
      <c r="D120" s="18" t="n"/>
      <c r="E120" s="18" t="n"/>
      <c r="F120" s="18" t="n"/>
      <c r="G120" s="18" t="n"/>
      <c r="H120" s="18" t="n"/>
      <c r="I120" s="18" t="n"/>
      <c r="J120" s="18" t="n"/>
    </row>
    <row r="121">
      <c r="A121" s="41" t="n"/>
      <c r="B121" s="35">
        <f>IF(A121="","",YEAR(A121))</f>
        <v/>
      </c>
      <c r="C121" s="36">
        <f>IF(A121="","",MONTH(A121))</f>
        <v/>
      </c>
      <c r="D121" s="22" t="n"/>
      <c r="E121" s="22" t="n"/>
      <c r="F121" s="22" t="n"/>
      <c r="G121" s="22" t="n"/>
      <c r="H121" s="22" t="n"/>
      <c r="I121" s="22" t="n"/>
      <c r="J121" s="22" t="n"/>
    </row>
    <row r="122">
      <c r="A122" s="34" t="n"/>
      <c r="B122" s="35">
        <f>IF(A122="","",YEAR(A122))</f>
        <v/>
      </c>
      <c r="C122" s="36">
        <f>IF(A122="","",MONTH(A122))</f>
        <v/>
      </c>
      <c r="D122" s="18" t="n"/>
      <c r="E122" s="18" t="n"/>
      <c r="F122" s="18" t="n"/>
      <c r="G122" s="18" t="n"/>
      <c r="H122" s="18" t="n"/>
      <c r="I122" s="18" t="n"/>
      <c r="J122" s="18" t="n"/>
    </row>
    <row r="123">
      <c r="A123" s="41" t="n"/>
      <c r="B123" s="35">
        <f>IF(A123="","",YEAR(A123))</f>
        <v/>
      </c>
      <c r="C123" s="36">
        <f>IF(A123="","",MONTH(A123))</f>
        <v/>
      </c>
      <c r="D123" s="22" t="n"/>
      <c r="E123" s="22" t="n"/>
      <c r="F123" s="22" t="n"/>
      <c r="G123" s="22" t="n"/>
      <c r="H123" s="22" t="n"/>
      <c r="I123" s="22" t="n"/>
      <c r="J123" s="22" t="n"/>
    </row>
    <row r="124">
      <c r="A124" s="34" t="n"/>
      <c r="B124" s="35">
        <f>IF(A124="","",YEAR(A124))</f>
        <v/>
      </c>
      <c r="C124" s="36">
        <f>IF(A124="","",MONTH(A124))</f>
        <v/>
      </c>
      <c r="D124" s="18" t="n"/>
      <c r="E124" s="18" t="n"/>
      <c r="F124" s="18" t="n"/>
      <c r="G124" s="18" t="n"/>
      <c r="H124" s="18" t="n"/>
      <c r="I124" s="18" t="n"/>
      <c r="J124" s="18" t="n"/>
    </row>
    <row r="125">
      <c r="A125" s="41" t="n"/>
      <c r="B125" s="35">
        <f>IF(A125="","",YEAR(A125))</f>
        <v/>
      </c>
      <c r="C125" s="36">
        <f>IF(A125="","",MONTH(A125))</f>
        <v/>
      </c>
      <c r="D125" s="22" t="n"/>
      <c r="E125" s="22" t="n"/>
      <c r="F125" s="22" t="n"/>
      <c r="G125" s="22" t="n"/>
      <c r="H125" s="22" t="n"/>
      <c r="I125" s="22" t="n"/>
      <c r="J125" s="22" t="n"/>
    </row>
    <row r="126">
      <c r="A126" s="34" t="n"/>
      <c r="B126" s="35">
        <f>IF(A126="","",YEAR(A126))</f>
        <v/>
      </c>
      <c r="C126" s="36">
        <f>IF(A126="","",MONTH(A126))</f>
        <v/>
      </c>
      <c r="D126" s="18" t="n"/>
      <c r="E126" s="18" t="n"/>
      <c r="F126" s="18" t="n"/>
      <c r="G126" s="18" t="n"/>
      <c r="H126" s="18" t="n"/>
      <c r="I126" s="18" t="n"/>
      <c r="J126" s="18" t="n"/>
    </row>
    <row r="127">
      <c r="A127" s="41" t="n"/>
      <c r="B127" s="35">
        <f>IF(A127="","",YEAR(A127))</f>
        <v/>
      </c>
      <c r="C127" s="36">
        <f>IF(A127="","",MONTH(A127))</f>
        <v/>
      </c>
      <c r="D127" s="22" t="n"/>
      <c r="E127" s="22" t="n"/>
      <c r="F127" s="22" t="n"/>
      <c r="G127" s="22" t="n"/>
      <c r="H127" s="22" t="n"/>
      <c r="I127" s="22" t="n"/>
      <c r="J127" s="22" t="n"/>
    </row>
    <row r="128">
      <c r="A128" s="34" t="n"/>
      <c r="B128" s="35">
        <f>IF(A128="","",YEAR(A128))</f>
        <v/>
      </c>
      <c r="C128" s="36">
        <f>IF(A128="","",MONTH(A128))</f>
        <v/>
      </c>
      <c r="D128" s="18" t="n"/>
      <c r="E128" s="18" t="n"/>
      <c r="F128" s="18" t="n"/>
      <c r="G128" s="18" t="n"/>
      <c r="H128" s="18" t="n"/>
      <c r="I128" s="18" t="n"/>
      <c r="J128" s="18" t="n"/>
    </row>
    <row r="129">
      <c r="A129" s="41" t="n"/>
      <c r="B129" s="35">
        <f>IF(A129="","",YEAR(A129))</f>
        <v/>
      </c>
      <c r="C129" s="36">
        <f>IF(A129="","",MONTH(A129))</f>
        <v/>
      </c>
      <c r="D129" s="22" t="n"/>
      <c r="E129" s="22" t="n"/>
      <c r="F129" s="22" t="n"/>
      <c r="G129" s="22" t="n"/>
      <c r="H129" s="22" t="n"/>
      <c r="I129" s="22" t="n"/>
      <c r="J129" s="22" t="n"/>
    </row>
    <row r="130">
      <c r="A130" s="34" t="n"/>
      <c r="B130" s="35">
        <f>IF(A130="","",YEAR(A130))</f>
        <v/>
      </c>
      <c r="C130" s="36">
        <f>IF(A130="","",MONTH(A130))</f>
        <v/>
      </c>
      <c r="D130" s="18" t="n"/>
      <c r="E130" s="18" t="n"/>
      <c r="F130" s="18" t="n"/>
      <c r="G130" s="18" t="n"/>
      <c r="H130" s="18" t="n"/>
      <c r="I130" s="18" t="n"/>
      <c r="J130" s="18" t="n"/>
    </row>
    <row r="131">
      <c r="A131" s="41" t="n"/>
      <c r="B131" s="35">
        <f>IF(A131="","",YEAR(A131))</f>
        <v/>
      </c>
      <c r="C131" s="36">
        <f>IF(A131="","",MONTH(A131))</f>
        <v/>
      </c>
      <c r="D131" s="22" t="n"/>
      <c r="E131" s="22" t="n"/>
      <c r="F131" s="22" t="n"/>
      <c r="G131" s="22" t="n"/>
      <c r="H131" s="22" t="n"/>
      <c r="I131" s="22" t="n"/>
      <c r="J131" s="22" t="n"/>
    </row>
    <row r="132">
      <c r="A132" s="34" t="n"/>
      <c r="B132" s="35">
        <f>IF(A132="","",YEAR(A132))</f>
        <v/>
      </c>
      <c r="C132" s="36">
        <f>IF(A132="","",MONTH(A132))</f>
        <v/>
      </c>
      <c r="D132" s="18" t="n"/>
      <c r="E132" s="18" t="n"/>
      <c r="F132" s="18" t="n"/>
      <c r="G132" s="18" t="n"/>
      <c r="H132" s="18" t="n"/>
      <c r="I132" s="18" t="n"/>
      <c r="J132" s="18" t="n"/>
    </row>
    <row r="133">
      <c r="A133" s="41" t="n"/>
      <c r="B133" s="35">
        <f>IF(A133="","",YEAR(A133))</f>
        <v/>
      </c>
      <c r="C133" s="36">
        <f>IF(A133="","",MONTH(A133))</f>
        <v/>
      </c>
      <c r="D133" s="22" t="n"/>
      <c r="E133" s="22" t="n"/>
      <c r="F133" s="22" t="n"/>
      <c r="G133" s="22" t="n"/>
      <c r="H133" s="22" t="n"/>
      <c r="I133" s="22" t="n"/>
      <c r="J133" s="22" t="n"/>
    </row>
    <row r="134">
      <c r="A134" s="34" t="n"/>
      <c r="B134" s="35">
        <f>IF(A134="","",YEAR(A134))</f>
        <v/>
      </c>
      <c r="C134" s="36">
        <f>IF(A134="","",MONTH(A134))</f>
        <v/>
      </c>
      <c r="D134" s="18" t="n"/>
      <c r="E134" s="18" t="n"/>
      <c r="F134" s="18" t="n"/>
      <c r="G134" s="18" t="n"/>
      <c r="H134" s="18" t="n"/>
      <c r="I134" s="18" t="n"/>
      <c r="J134" s="18" t="n"/>
    </row>
    <row r="135">
      <c r="A135" s="41" t="n"/>
      <c r="B135" s="35">
        <f>IF(A135="","",YEAR(A135))</f>
        <v/>
      </c>
      <c r="C135" s="36">
        <f>IF(A135="","",MONTH(A135))</f>
        <v/>
      </c>
      <c r="D135" s="22" t="n"/>
      <c r="E135" s="22" t="n"/>
      <c r="F135" s="22" t="n"/>
      <c r="G135" s="22" t="n"/>
      <c r="H135" s="22" t="n"/>
      <c r="I135" s="22" t="n"/>
      <c r="J135" s="22" t="n"/>
    </row>
    <row r="136">
      <c r="A136" s="34" t="n"/>
      <c r="B136" s="35">
        <f>IF(A136="","",YEAR(A136))</f>
        <v/>
      </c>
      <c r="C136" s="36">
        <f>IF(A136="","",MONTH(A136))</f>
        <v/>
      </c>
      <c r="D136" s="18" t="n"/>
      <c r="E136" s="18" t="n"/>
      <c r="F136" s="18" t="n"/>
      <c r="G136" s="18" t="n"/>
      <c r="H136" s="18" t="n"/>
      <c r="I136" s="18" t="n"/>
      <c r="J136" s="18" t="n"/>
    </row>
    <row r="137">
      <c r="A137" s="41" t="n"/>
      <c r="B137" s="35">
        <f>IF(A137="","",YEAR(A137))</f>
        <v/>
      </c>
      <c r="C137" s="36">
        <f>IF(A137="","",MONTH(A137))</f>
        <v/>
      </c>
      <c r="D137" s="22" t="n"/>
      <c r="E137" s="22" t="n"/>
      <c r="F137" s="22" t="n"/>
      <c r="G137" s="22" t="n"/>
      <c r="H137" s="22" t="n"/>
      <c r="I137" s="22" t="n"/>
      <c r="J137" s="22" t="n"/>
    </row>
    <row r="138">
      <c r="A138" s="34" t="n"/>
      <c r="B138" s="35">
        <f>IF(A138="","",YEAR(A138))</f>
        <v/>
      </c>
      <c r="C138" s="36">
        <f>IF(A138="","",MONTH(A138))</f>
        <v/>
      </c>
      <c r="D138" s="18" t="n"/>
      <c r="E138" s="18" t="n"/>
      <c r="F138" s="18" t="n"/>
      <c r="G138" s="18" t="n"/>
      <c r="H138" s="18" t="n"/>
      <c r="I138" s="18" t="n"/>
      <c r="J138" s="18" t="n"/>
    </row>
    <row r="139">
      <c r="A139" s="41" t="n"/>
      <c r="B139" s="35">
        <f>IF(A139="","",YEAR(A139))</f>
        <v/>
      </c>
      <c r="C139" s="36">
        <f>IF(A139="","",MONTH(A139))</f>
        <v/>
      </c>
      <c r="D139" s="22" t="n"/>
      <c r="E139" s="22" t="n"/>
      <c r="F139" s="22" t="n"/>
      <c r="G139" s="22" t="n"/>
      <c r="H139" s="22" t="n"/>
      <c r="I139" s="22" t="n"/>
      <c r="J139" s="22" t="n"/>
    </row>
    <row r="140">
      <c r="A140" s="34" t="n"/>
      <c r="B140" s="35">
        <f>IF(A140="","",YEAR(A140))</f>
        <v/>
      </c>
      <c r="C140" s="36">
        <f>IF(A140="","",MONTH(A140))</f>
        <v/>
      </c>
      <c r="D140" s="18" t="n"/>
      <c r="E140" s="18" t="n"/>
      <c r="F140" s="18" t="n"/>
      <c r="G140" s="18" t="n"/>
      <c r="H140" s="18" t="n"/>
      <c r="I140" s="18" t="n"/>
      <c r="J140" s="18" t="n"/>
    </row>
    <row r="141">
      <c r="A141" s="41" t="n"/>
      <c r="B141" s="35">
        <f>IF(A141="","",YEAR(A141))</f>
        <v/>
      </c>
      <c r="C141" s="36">
        <f>IF(A141="","",MONTH(A141))</f>
        <v/>
      </c>
      <c r="D141" s="22" t="n"/>
      <c r="E141" s="22" t="n"/>
      <c r="F141" s="22" t="n"/>
      <c r="G141" s="22" t="n"/>
      <c r="H141" s="22" t="n"/>
      <c r="I141" s="22" t="n"/>
      <c r="J141" s="22" t="n"/>
    </row>
    <row r="142">
      <c r="A142" s="34" t="n"/>
      <c r="B142" s="35">
        <f>IF(A142="","",YEAR(A142))</f>
        <v/>
      </c>
      <c r="C142" s="36">
        <f>IF(A142="","",MONTH(A142))</f>
        <v/>
      </c>
      <c r="D142" s="18" t="n"/>
      <c r="E142" s="18" t="n"/>
      <c r="F142" s="18" t="n"/>
      <c r="G142" s="18" t="n"/>
      <c r="H142" s="18" t="n"/>
      <c r="I142" s="18" t="n"/>
      <c r="J142" s="18" t="n"/>
    </row>
    <row r="143">
      <c r="A143" s="41" t="n"/>
      <c r="B143" s="35">
        <f>IF(A143="","",YEAR(A143))</f>
        <v/>
      </c>
      <c r="C143" s="36">
        <f>IF(A143="","",MONTH(A143))</f>
        <v/>
      </c>
      <c r="D143" s="22" t="n"/>
      <c r="E143" s="22" t="n"/>
      <c r="F143" s="22" t="n"/>
      <c r="G143" s="22" t="n"/>
      <c r="H143" s="22" t="n"/>
      <c r="I143" s="22" t="n"/>
      <c r="J143" s="22" t="n"/>
    </row>
    <row r="144">
      <c r="A144" s="34" t="n"/>
      <c r="B144" s="35">
        <f>IF(A144="","",YEAR(A144))</f>
        <v/>
      </c>
      <c r="C144" s="36">
        <f>IF(A144="","",MONTH(A144))</f>
        <v/>
      </c>
      <c r="D144" s="18" t="n"/>
      <c r="E144" s="18" t="n"/>
      <c r="F144" s="18" t="n"/>
      <c r="G144" s="18" t="n"/>
      <c r="H144" s="18" t="n"/>
      <c r="I144" s="18" t="n"/>
      <c r="J144" s="18" t="n"/>
    </row>
    <row r="145">
      <c r="A145" s="41" t="n"/>
      <c r="B145" s="35">
        <f>IF(A145="","",YEAR(A145))</f>
        <v/>
      </c>
      <c r="C145" s="36">
        <f>IF(A145="","",MONTH(A145))</f>
        <v/>
      </c>
      <c r="D145" s="22" t="n"/>
      <c r="E145" s="22" t="n"/>
      <c r="F145" s="22" t="n"/>
      <c r="G145" s="22" t="n"/>
      <c r="H145" s="22" t="n"/>
      <c r="I145" s="22" t="n"/>
      <c r="J145" s="22" t="n"/>
    </row>
    <row r="146">
      <c r="A146" s="34" t="n"/>
      <c r="B146" s="35">
        <f>IF(A146="","",YEAR(A146))</f>
        <v/>
      </c>
      <c r="C146" s="36">
        <f>IF(A146="","",MONTH(A146))</f>
        <v/>
      </c>
      <c r="D146" s="18" t="n"/>
      <c r="E146" s="18" t="n"/>
      <c r="F146" s="18" t="n"/>
      <c r="G146" s="18" t="n"/>
      <c r="H146" s="18" t="n"/>
      <c r="I146" s="18" t="n"/>
      <c r="J146" s="18" t="n"/>
    </row>
    <row r="147">
      <c r="A147" s="41" t="n"/>
      <c r="B147" s="35">
        <f>IF(A147="","",YEAR(A147))</f>
        <v/>
      </c>
      <c r="C147" s="36">
        <f>IF(A147="","",MONTH(A147))</f>
        <v/>
      </c>
      <c r="D147" s="22" t="n"/>
      <c r="E147" s="22" t="n"/>
      <c r="F147" s="22" t="n"/>
      <c r="G147" s="22" t="n"/>
      <c r="H147" s="22" t="n"/>
      <c r="I147" s="22" t="n"/>
      <c r="J147" s="22" t="n"/>
    </row>
    <row r="148">
      <c r="A148" s="34" t="n"/>
      <c r="B148" s="35">
        <f>IF(A148="","",YEAR(A148))</f>
        <v/>
      </c>
      <c r="C148" s="36">
        <f>IF(A148="","",MONTH(A148))</f>
        <v/>
      </c>
      <c r="D148" s="18" t="n"/>
      <c r="E148" s="18" t="n"/>
      <c r="F148" s="18" t="n"/>
      <c r="G148" s="18" t="n"/>
      <c r="H148" s="18" t="n"/>
      <c r="I148" s="18" t="n"/>
      <c r="J148" s="18" t="n"/>
    </row>
    <row r="149">
      <c r="A149" s="41" t="n"/>
      <c r="B149" s="35">
        <f>IF(A149="","",YEAR(A149))</f>
        <v/>
      </c>
      <c r="C149" s="36">
        <f>IF(A149="","",MONTH(A149))</f>
        <v/>
      </c>
      <c r="D149" s="22" t="n"/>
      <c r="E149" s="22" t="n"/>
      <c r="F149" s="22" t="n"/>
      <c r="G149" s="22" t="n"/>
      <c r="H149" s="22" t="n"/>
      <c r="I149" s="22" t="n"/>
      <c r="J149" s="22" t="n"/>
    </row>
    <row r="150">
      <c r="A150" s="34" t="n"/>
      <c r="B150" s="35">
        <f>IF(A150="","",YEAR(A150))</f>
        <v/>
      </c>
      <c r="C150" s="36">
        <f>IF(A150="","",MONTH(A150))</f>
        <v/>
      </c>
      <c r="D150" s="18" t="n"/>
      <c r="E150" s="18" t="n"/>
      <c r="F150" s="18" t="n"/>
      <c r="G150" s="18" t="n"/>
      <c r="H150" s="18" t="n"/>
      <c r="I150" s="18" t="n"/>
      <c r="J150" s="18" t="n"/>
    </row>
    <row r="151">
      <c r="A151" s="41" t="n"/>
      <c r="B151" s="35">
        <f>IF(A151="","",YEAR(A151))</f>
        <v/>
      </c>
      <c r="C151" s="36">
        <f>IF(A151="","",MONTH(A151))</f>
        <v/>
      </c>
      <c r="D151" s="22" t="n"/>
      <c r="E151" s="22" t="n"/>
      <c r="F151" s="22" t="n"/>
      <c r="G151" s="22" t="n"/>
      <c r="H151" s="22" t="n"/>
      <c r="I151" s="22" t="n"/>
      <c r="J151" s="22" t="n"/>
    </row>
    <row r="152">
      <c r="A152" s="34" t="n"/>
      <c r="B152" s="35">
        <f>IF(A152="","",YEAR(A152))</f>
        <v/>
      </c>
      <c r="C152" s="36">
        <f>IF(A152="","",MONTH(A152))</f>
        <v/>
      </c>
      <c r="D152" s="18" t="n"/>
      <c r="E152" s="18" t="n"/>
      <c r="F152" s="18" t="n"/>
      <c r="G152" s="18" t="n"/>
      <c r="H152" s="18" t="n"/>
      <c r="I152" s="18" t="n"/>
      <c r="J152" s="18" t="n"/>
    </row>
    <row r="153">
      <c r="A153" s="41" t="n"/>
      <c r="B153" s="35">
        <f>IF(A153="","",YEAR(A153))</f>
        <v/>
      </c>
      <c r="C153" s="36">
        <f>IF(A153="","",MONTH(A153))</f>
        <v/>
      </c>
      <c r="D153" s="22" t="n"/>
      <c r="E153" s="22" t="n"/>
      <c r="F153" s="22" t="n"/>
      <c r="G153" s="22" t="n"/>
      <c r="H153" s="22" t="n"/>
      <c r="I153" s="22" t="n"/>
      <c r="J153" s="22" t="n"/>
    </row>
    <row r="154">
      <c r="A154" s="34" t="n"/>
      <c r="B154" s="35">
        <f>IF(A154="","",YEAR(A154))</f>
        <v/>
      </c>
      <c r="C154" s="36">
        <f>IF(A154="","",MONTH(A154))</f>
        <v/>
      </c>
      <c r="D154" s="18" t="n"/>
      <c r="E154" s="18" t="n"/>
      <c r="F154" s="18" t="n"/>
      <c r="G154" s="18" t="n"/>
      <c r="H154" s="18" t="n"/>
      <c r="I154" s="18" t="n"/>
      <c r="J154" s="18" t="n"/>
    </row>
    <row r="155">
      <c r="A155" s="41" t="n"/>
      <c r="B155" s="35">
        <f>IF(A155="","",YEAR(A155))</f>
        <v/>
      </c>
      <c r="C155" s="36">
        <f>IF(A155="","",MONTH(A155))</f>
        <v/>
      </c>
      <c r="D155" s="22" t="n"/>
      <c r="E155" s="22" t="n"/>
      <c r="F155" s="22" t="n"/>
      <c r="G155" s="22" t="n"/>
      <c r="H155" s="22" t="n"/>
      <c r="I155" s="22" t="n"/>
      <c r="J155" s="22" t="n"/>
    </row>
    <row r="156">
      <c r="A156" s="34" t="n"/>
      <c r="B156" s="35">
        <f>IF(A156="","",YEAR(A156))</f>
        <v/>
      </c>
      <c r="C156" s="36">
        <f>IF(A156="","",MONTH(A156))</f>
        <v/>
      </c>
      <c r="D156" s="18" t="n"/>
      <c r="E156" s="18" t="n"/>
      <c r="F156" s="18" t="n"/>
      <c r="G156" s="18" t="n"/>
      <c r="H156" s="18" t="n"/>
      <c r="I156" s="18" t="n"/>
      <c r="J156" s="18" t="n"/>
    </row>
    <row r="157">
      <c r="A157" s="41" t="n"/>
      <c r="B157" s="35">
        <f>IF(A157="","",YEAR(A157))</f>
        <v/>
      </c>
      <c r="C157" s="36">
        <f>IF(A157="","",MONTH(A157))</f>
        <v/>
      </c>
      <c r="D157" s="22" t="n"/>
      <c r="E157" s="22" t="n"/>
      <c r="F157" s="22" t="n"/>
      <c r="G157" s="22" t="n"/>
      <c r="H157" s="22" t="n"/>
      <c r="I157" s="22" t="n"/>
      <c r="J157" s="22" t="n"/>
    </row>
    <row r="158">
      <c r="A158" s="34" t="n"/>
      <c r="B158" s="35">
        <f>IF(A158="","",YEAR(A158))</f>
        <v/>
      </c>
      <c r="C158" s="36">
        <f>IF(A158="","",MONTH(A158))</f>
        <v/>
      </c>
      <c r="D158" s="18" t="n"/>
      <c r="E158" s="18" t="n"/>
      <c r="F158" s="18" t="n"/>
      <c r="G158" s="18" t="n"/>
      <c r="H158" s="18" t="n"/>
      <c r="I158" s="18" t="n"/>
      <c r="J158" s="18" t="n"/>
    </row>
    <row r="159">
      <c r="A159" s="41" t="n"/>
      <c r="B159" s="35">
        <f>IF(A159="","",YEAR(A159))</f>
        <v/>
      </c>
      <c r="C159" s="36">
        <f>IF(A159="","",MONTH(A159))</f>
        <v/>
      </c>
      <c r="D159" s="22" t="n"/>
      <c r="E159" s="22" t="n"/>
      <c r="F159" s="22" t="n"/>
      <c r="G159" s="22" t="n"/>
      <c r="H159" s="22" t="n"/>
      <c r="I159" s="22" t="n"/>
      <c r="J159" s="22" t="n"/>
    </row>
    <row r="160">
      <c r="A160" s="34" t="n"/>
      <c r="B160" s="35">
        <f>IF(A160="","",YEAR(A160))</f>
        <v/>
      </c>
      <c r="C160" s="36">
        <f>IF(A160="","",MONTH(A160))</f>
        <v/>
      </c>
      <c r="D160" s="18" t="n"/>
      <c r="E160" s="18" t="n"/>
      <c r="F160" s="18" t="n"/>
      <c r="G160" s="18" t="n"/>
      <c r="H160" s="18" t="n"/>
      <c r="I160" s="18" t="n"/>
      <c r="J160" s="18" t="n"/>
    </row>
    <row r="161">
      <c r="A161" s="41" t="n"/>
      <c r="B161" s="35">
        <f>IF(A161="","",YEAR(A161))</f>
        <v/>
      </c>
      <c r="C161" s="36">
        <f>IF(A161="","",MONTH(A161))</f>
        <v/>
      </c>
      <c r="D161" s="22" t="n"/>
      <c r="E161" s="22" t="n"/>
      <c r="F161" s="22" t="n"/>
      <c r="G161" s="22" t="n"/>
      <c r="H161" s="22" t="n"/>
      <c r="I161" s="22" t="n"/>
      <c r="J161" s="22" t="n"/>
    </row>
    <row r="162">
      <c r="A162" s="34" t="n"/>
      <c r="B162" s="35">
        <f>IF(A162="","",YEAR(A162))</f>
        <v/>
      </c>
      <c r="C162" s="36">
        <f>IF(A162="","",MONTH(A162))</f>
        <v/>
      </c>
      <c r="D162" s="18" t="n"/>
      <c r="E162" s="18" t="n"/>
      <c r="F162" s="18" t="n"/>
      <c r="G162" s="18" t="n"/>
      <c r="H162" s="18" t="n"/>
      <c r="I162" s="18" t="n"/>
      <c r="J162" s="18" t="n"/>
    </row>
    <row r="163">
      <c r="A163" s="41" t="n"/>
      <c r="B163" s="35">
        <f>IF(A163="","",YEAR(A163))</f>
        <v/>
      </c>
      <c r="C163" s="36">
        <f>IF(A163="","",MONTH(A163))</f>
        <v/>
      </c>
      <c r="D163" s="22" t="n"/>
      <c r="E163" s="22" t="n"/>
      <c r="F163" s="22" t="n"/>
      <c r="G163" s="22" t="n"/>
      <c r="H163" s="22" t="n"/>
      <c r="I163" s="22" t="n"/>
      <c r="J163" s="22" t="n"/>
    </row>
    <row r="164">
      <c r="A164" s="34" t="n"/>
      <c r="B164" s="35">
        <f>IF(A164="","",YEAR(A164))</f>
        <v/>
      </c>
      <c r="C164" s="36">
        <f>IF(A164="","",MONTH(A164))</f>
        <v/>
      </c>
      <c r="D164" s="18" t="n"/>
      <c r="E164" s="18" t="n"/>
      <c r="F164" s="18" t="n"/>
      <c r="G164" s="18" t="n"/>
      <c r="H164" s="18" t="n"/>
      <c r="I164" s="18" t="n"/>
      <c r="J164" s="18" t="n"/>
    </row>
    <row r="165">
      <c r="A165" s="41" t="n"/>
      <c r="B165" s="35">
        <f>IF(A165="","",YEAR(A165))</f>
        <v/>
      </c>
      <c r="C165" s="36">
        <f>IF(A165="","",MONTH(A165))</f>
        <v/>
      </c>
      <c r="D165" s="22" t="n"/>
      <c r="E165" s="22" t="n"/>
      <c r="F165" s="22" t="n"/>
      <c r="G165" s="22" t="n"/>
      <c r="H165" s="22" t="n"/>
      <c r="I165" s="22" t="n"/>
      <c r="J165" s="22" t="n"/>
    </row>
    <row r="166">
      <c r="A166" s="34" t="n"/>
      <c r="B166" s="35">
        <f>IF(A166="","",YEAR(A166))</f>
        <v/>
      </c>
      <c r="C166" s="36">
        <f>IF(A166="","",MONTH(A166))</f>
        <v/>
      </c>
      <c r="D166" s="18" t="n"/>
      <c r="E166" s="18" t="n"/>
      <c r="F166" s="18" t="n"/>
      <c r="G166" s="18" t="n"/>
      <c r="H166" s="18" t="n"/>
      <c r="I166" s="18" t="n"/>
      <c r="J166" s="18" t="n"/>
    </row>
    <row r="167">
      <c r="A167" s="41" t="n"/>
      <c r="B167" s="35">
        <f>IF(A167="","",YEAR(A167))</f>
        <v/>
      </c>
      <c r="C167" s="36">
        <f>IF(A167="","",MONTH(A167))</f>
        <v/>
      </c>
      <c r="D167" s="22" t="n"/>
      <c r="E167" s="22" t="n"/>
      <c r="F167" s="22" t="n"/>
      <c r="G167" s="22" t="n"/>
      <c r="H167" s="22" t="n"/>
      <c r="I167" s="22" t="n"/>
      <c r="J167" s="22" t="n"/>
    </row>
    <row r="168">
      <c r="A168" s="34" t="n"/>
      <c r="B168" s="35">
        <f>IF(A168="","",YEAR(A168))</f>
        <v/>
      </c>
      <c r="C168" s="36">
        <f>IF(A168="","",MONTH(A168))</f>
        <v/>
      </c>
      <c r="D168" s="18" t="n"/>
      <c r="E168" s="18" t="n"/>
      <c r="F168" s="18" t="n"/>
      <c r="G168" s="18" t="n"/>
      <c r="H168" s="18" t="n"/>
      <c r="I168" s="18" t="n"/>
      <c r="J168" s="18" t="n"/>
    </row>
    <row r="169">
      <c r="A169" s="41" t="n"/>
      <c r="B169" s="35">
        <f>IF(A169="","",YEAR(A169))</f>
        <v/>
      </c>
      <c r="C169" s="36">
        <f>IF(A169="","",MONTH(A169))</f>
        <v/>
      </c>
      <c r="D169" s="22" t="n"/>
      <c r="E169" s="22" t="n"/>
      <c r="F169" s="22" t="n"/>
      <c r="G169" s="22" t="n"/>
      <c r="H169" s="22" t="n"/>
      <c r="I169" s="22" t="n"/>
      <c r="J169" s="22" t="n"/>
    </row>
    <row r="170">
      <c r="A170" s="34" t="n"/>
      <c r="B170" s="35">
        <f>IF(A170="","",YEAR(A170))</f>
        <v/>
      </c>
      <c r="C170" s="36">
        <f>IF(A170="","",MONTH(A170))</f>
        <v/>
      </c>
      <c r="D170" s="18" t="n"/>
      <c r="E170" s="18" t="n"/>
      <c r="F170" s="18" t="n"/>
      <c r="G170" s="18" t="n"/>
      <c r="H170" s="18" t="n"/>
      <c r="I170" s="18" t="n"/>
      <c r="J170" s="18" t="n"/>
    </row>
    <row r="171">
      <c r="A171" s="41" t="n"/>
      <c r="B171" s="35">
        <f>IF(A171="","",YEAR(A171))</f>
        <v/>
      </c>
      <c r="C171" s="36">
        <f>IF(A171="","",MONTH(A171))</f>
        <v/>
      </c>
      <c r="D171" s="22" t="n"/>
      <c r="E171" s="22" t="n"/>
      <c r="F171" s="22" t="n"/>
      <c r="G171" s="22" t="n"/>
      <c r="H171" s="22" t="n"/>
      <c r="I171" s="22" t="n"/>
      <c r="J171" s="22" t="n"/>
    </row>
    <row r="172">
      <c r="A172" s="34" t="n"/>
      <c r="B172" s="35">
        <f>IF(A172="","",YEAR(A172))</f>
        <v/>
      </c>
      <c r="C172" s="36">
        <f>IF(A172="","",MONTH(A172))</f>
        <v/>
      </c>
      <c r="D172" s="18" t="n"/>
      <c r="E172" s="18" t="n"/>
      <c r="F172" s="18" t="n"/>
      <c r="G172" s="18" t="n"/>
      <c r="H172" s="18" t="n"/>
      <c r="I172" s="18" t="n"/>
      <c r="J172" s="18" t="n"/>
    </row>
    <row r="173">
      <c r="A173" s="41" t="n"/>
      <c r="B173" s="35">
        <f>IF(A173="","",YEAR(A173))</f>
        <v/>
      </c>
      <c r="C173" s="36">
        <f>IF(A173="","",MONTH(A173))</f>
        <v/>
      </c>
      <c r="D173" s="22" t="n"/>
      <c r="E173" s="22" t="n"/>
      <c r="F173" s="22" t="n"/>
      <c r="G173" s="22" t="n"/>
      <c r="H173" s="22" t="n"/>
      <c r="I173" s="22" t="n"/>
      <c r="J173" s="22" t="n"/>
    </row>
    <row r="174">
      <c r="A174" s="34" t="n"/>
      <c r="B174" s="35">
        <f>IF(A174="","",YEAR(A174))</f>
        <v/>
      </c>
      <c r="C174" s="36">
        <f>IF(A174="","",MONTH(A174))</f>
        <v/>
      </c>
      <c r="D174" s="18" t="n"/>
      <c r="E174" s="18" t="n"/>
      <c r="F174" s="18" t="n"/>
      <c r="G174" s="18" t="n"/>
      <c r="H174" s="18" t="n"/>
      <c r="I174" s="18" t="n"/>
      <c r="J174" s="18" t="n"/>
    </row>
    <row r="175">
      <c r="A175" s="41" t="n"/>
      <c r="B175" s="35">
        <f>IF(A175="","",YEAR(A175))</f>
        <v/>
      </c>
      <c r="C175" s="36">
        <f>IF(A175="","",MONTH(A175))</f>
        <v/>
      </c>
      <c r="D175" s="22" t="n"/>
      <c r="E175" s="22" t="n"/>
      <c r="F175" s="22" t="n"/>
      <c r="G175" s="22" t="n"/>
      <c r="H175" s="22" t="n"/>
      <c r="I175" s="22" t="n"/>
      <c r="J175" s="22" t="n"/>
    </row>
    <row r="176">
      <c r="A176" s="34" t="n"/>
      <c r="B176" s="35">
        <f>IF(A176="","",YEAR(A176))</f>
        <v/>
      </c>
      <c r="C176" s="36">
        <f>IF(A176="","",MONTH(A176))</f>
        <v/>
      </c>
      <c r="D176" s="18" t="n"/>
      <c r="E176" s="18" t="n"/>
      <c r="F176" s="18" t="n"/>
      <c r="G176" s="18" t="n"/>
      <c r="H176" s="18" t="n"/>
      <c r="I176" s="18" t="n"/>
      <c r="J176" s="18" t="n"/>
    </row>
    <row r="177">
      <c r="A177" s="41" t="n"/>
      <c r="B177" s="35">
        <f>IF(A177="","",YEAR(A177))</f>
        <v/>
      </c>
      <c r="C177" s="36">
        <f>IF(A177="","",MONTH(A177))</f>
        <v/>
      </c>
      <c r="D177" s="22" t="n"/>
      <c r="E177" s="22" t="n"/>
      <c r="F177" s="22" t="n"/>
      <c r="G177" s="22" t="n"/>
      <c r="H177" s="22" t="n"/>
      <c r="I177" s="22" t="n"/>
      <c r="J177" s="22" t="n"/>
    </row>
    <row r="178">
      <c r="A178" s="34" t="n"/>
      <c r="B178" s="35">
        <f>IF(A178="","",YEAR(A178))</f>
        <v/>
      </c>
      <c r="C178" s="36">
        <f>IF(A178="","",MONTH(A178))</f>
        <v/>
      </c>
      <c r="D178" s="18" t="n"/>
      <c r="E178" s="18" t="n"/>
      <c r="F178" s="18" t="n"/>
      <c r="G178" s="18" t="n"/>
      <c r="H178" s="18" t="n"/>
      <c r="I178" s="18" t="n"/>
      <c r="J178" s="18" t="n"/>
    </row>
    <row r="179">
      <c r="A179" s="41" t="n"/>
      <c r="B179" s="35">
        <f>IF(A179="","",YEAR(A179))</f>
        <v/>
      </c>
      <c r="C179" s="36">
        <f>IF(A179="","",MONTH(A179))</f>
        <v/>
      </c>
      <c r="D179" s="22" t="n"/>
      <c r="E179" s="22" t="n"/>
      <c r="F179" s="22" t="n"/>
      <c r="G179" s="22" t="n"/>
      <c r="H179" s="22" t="n"/>
      <c r="I179" s="22" t="n"/>
      <c r="J179" s="22" t="n"/>
    </row>
    <row r="180">
      <c r="A180" s="34" t="n"/>
      <c r="B180" s="35">
        <f>IF(A180="","",YEAR(A180))</f>
        <v/>
      </c>
      <c r="C180" s="36">
        <f>IF(A180="","",MONTH(A180))</f>
        <v/>
      </c>
      <c r="D180" s="18" t="n"/>
      <c r="E180" s="18" t="n"/>
      <c r="F180" s="18" t="n"/>
      <c r="G180" s="18" t="n"/>
      <c r="H180" s="18" t="n"/>
      <c r="I180" s="18" t="n"/>
      <c r="J180" s="18" t="n"/>
    </row>
    <row r="181">
      <c r="A181" s="41" t="n"/>
      <c r="B181" s="35">
        <f>IF(A181="","",YEAR(A181))</f>
        <v/>
      </c>
      <c r="C181" s="36">
        <f>IF(A181="","",MONTH(A181))</f>
        <v/>
      </c>
      <c r="D181" s="22" t="n"/>
      <c r="E181" s="22" t="n"/>
      <c r="F181" s="22" t="n"/>
      <c r="G181" s="22" t="n"/>
      <c r="H181" s="22" t="n"/>
      <c r="I181" s="22" t="n"/>
      <c r="J181" s="22" t="n"/>
    </row>
    <row r="182">
      <c r="A182" s="34" t="n"/>
      <c r="B182" s="35">
        <f>IF(A182="","",YEAR(A182))</f>
        <v/>
      </c>
      <c r="C182" s="36">
        <f>IF(A182="","",MONTH(A182))</f>
        <v/>
      </c>
      <c r="D182" s="18" t="n"/>
      <c r="E182" s="18" t="n"/>
      <c r="F182" s="18" t="n"/>
      <c r="G182" s="18" t="n"/>
      <c r="H182" s="18" t="n"/>
      <c r="I182" s="18" t="n"/>
      <c r="J182" s="18" t="n"/>
    </row>
    <row r="183">
      <c r="A183" s="41" t="n"/>
      <c r="B183" s="35">
        <f>IF(A183="","",YEAR(A183))</f>
        <v/>
      </c>
      <c r="C183" s="36">
        <f>IF(A183="","",MONTH(A183))</f>
        <v/>
      </c>
      <c r="D183" s="22" t="n"/>
      <c r="E183" s="22" t="n"/>
      <c r="F183" s="22" t="n"/>
      <c r="G183" s="22" t="n"/>
      <c r="H183" s="22" t="n"/>
      <c r="I183" s="22" t="n"/>
      <c r="J183" s="22" t="n"/>
    </row>
    <row r="184">
      <c r="A184" s="34" t="n"/>
      <c r="B184" s="35">
        <f>IF(A184="","",YEAR(A184))</f>
        <v/>
      </c>
      <c r="C184" s="36">
        <f>IF(A184="","",MONTH(A184))</f>
        <v/>
      </c>
      <c r="D184" s="18" t="n"/>
      <c r="E184" s="18" t="n"/>
      <c r="F184" s="18" t="n"/>
      <c r="G184" s="18" t="n"/>
      <c r="H184" s="18" t="n"/>
      <c r="I184" s="18" t="n"/>
      <c r="J184" s="18" t="n"/>
    </row>
    <row r="185">
      <c r="A185" s="41" t="n"/>
      <c r="B185" s="35">
        <f>IF(A185="","",YEAR(A185))</f>
        <v/>
      </c>
      <c r="C185" s="36">
        <f>IF(A185="","",MONTH(A185))</f>
        <v/>
      </c>
      <c r="D185" s="22" t="n"/>
      <c r="E185" s="22" t="n"/>
      <c r="F185" s="22" t="n"/>
      <c r="G185" s="22" t="n"/>
      <c r="H185" s="22" t="n"/>
      <c r="I185" s="22" t="n"/>
      <c r="J185" s="22" t="n"/>
    </row>
    <row r="186">
      <c r="A186" s="34" t="n"/>
      <c r="B186" s="35">
        <f>IF(A186="","",YEAR(A186))</f>
        <v/>
      </c>
      <c r="C186" s="36">
        <f>IF(A186="","",MONTH(A186))</f>
        <v/>
      </c>
      <c r="D186" s="18" t="n"/>
      <c r="E186" s="18" t="n"/>
      <c r="F186" s="18" t="n"/>
      <c r="G186" s="18" t="n"/>
      <c r="H186" s="18" t="n"/>
      <c r="I186" s="18" t="n"/>
      <c r="J186" s="18" t="n"/>
    </row>
    <row r="187">
      <c r="A187" s="41" t="n"/>
      <c r="B187" s="35">
        <f>IF(A187="","",YEAR(A187))</f>
        <v/>
      </c>
      <c r="C187" s="36">
        <f>IF(A187="","",MONTH(A187))</f>
        <v/>
      </c>
      <c r="D187" s="22" t="n"/>
      <c r="E187" s="22" t="n"/>
      <c r="F187" s="22" t="n"/>
      <c r="G187" s="22" t="n"/>
      <c r="H187" s="22" t="n"/>
      <c r="I187" s="22" t="n"/>
      <c r="J187" s="22" t="n"/>
    </row>
    <row r="188">
      <c r="A188" s="34" t="n"/>
      <c r="B188" s="35">
        <f>IF(A188="","",YEAR(A188))</f>
        <v/>
      </c>
      <c r="C188" s="36">
        <f>IF(A188="","",MONTH(A188))</f>
        <v/>
      </c>
      <c r="D188" s="18" t="n"/>
      <c r="E188" s="18" t="n"/>
      <c r="F188" s="18" t="n"/>
      <c r="G188" s="18" t="n"/>
      <c r="H188" s="18" t="n"/>
      <c r="I188" s="18" t="n"/>
      <c r="J188" s="18" t="n"/>
    </row>
    <row r="189">
      <c r="A189" s="41" t="n"/>
      <c r="B189" s="35">
        <f>IF(A189="","",YEAR(A189))</f>
        <v/>
      </c>
      <c r="C189" s="36">
        <f>IF(A189="","",MONTH(A189))</f>
        <v/>
      </c>
      <c r="D189" s="22" t="n"/>
      <c r="E189" s="22" t="n"/>
      <c r="F189" s="22" t="n"/>
      <c r="G189" s="22" t="n"/>
      <c r="H189" s="22" t="n"/>
      <c r="I189" s="22" t="n"/>
      <c r="J189" s="22" t="n"/>
    </row>
    <row r="190">
      <c r="A190" s="34" t="n"/>
      <c r="B190" s="35">
        <f>IF(A190="","",YEAR(A190))</f>
        <v/>
      </c>
      <c r="C190" s="36">
        <f>IF(A190="","",MONTH(A190))</f>
        <v/>
      </c>
      <c r="D190" s="18" t="n"/>
      <c r="E190" s="18" t="n"/>
      <c r="F190" s="18" t="n"/>
      <c r="G190" s="18" t="n"/>
      <c r="H190" s="18" t="n"/>
      <c r="I190" s="18" t="n"/>
      <c r="J190" s="18" t="n"/>
    </row>
    <row r="191">
      <c r="A191" s="41" t="n"/>
      <c r="B191" s="35">
        <f>IF(A191="","",YEAR(A191))</f>
        <v/>
      </c>
      <c r="C191" s="36">
        <f>IF(A191="","",MONTH(A191))</f>
        <v/>
      </c>
      <c r="D191" s="22" t="n"/>
      <c r="E191" s="22" t="n"/>
      <c r="F191" s="22" t="n"/>
      <c r="G191" s="22" t="n"/>
      <c r="H191" s="22" t="n"/>
      <c r="I191" s="22" t="n"/>
      <c r="J191" s="22" t="n"/>
    </row>
    <row r="192">
      <c r="A192" s="34" t="n"/>
      <c r="B192" s="35">
        <f>IF(A192="","",YEAR(A192))</f>
        <v/>
      </c>
      <c r="C192" s="36">
        <f>IF(A192="","",MONTH(A192))</f>
        <v/>
      </c>
      <c r="D192" s="18" t="n"/>
      <c r="E192" s="18" t="n"/>
      <c r="F192" s="18" t="n"/>
      <c r="G192" s="18" t="n"/>
      <c r="H192" s="18" t="n"/>
      <c r="I192" s="18" t="n"/>
      <c r="J192" s="18" t="n"/>
    </row>
    <row r="193">
      <c r="A193" s="41" t="n"/>
      <c r="B193" s="35">
        <f>IF(A193="","",YEAR(A193))</f>
        <v/>
      </c>
      <c r="C193" s="36">
        <f>IF(A193="","",MONTH(A193))</f>
        <v/>
      </c>
      <c r="D193" s="22" t="n"/>
      <c r="E193" s="22" t="n"/>
      <c r="F193" s="22" t="n"/>
      <c r="G193" s="22" t="n"/>
      <c r="H193" s="22" t="n"/>
      <c r="I193" s="22" t="n"/>
      <c r="J193" s="22" t="n"/>
    </row>
    <row r="194">
      <c r="A194" s="34" t="n"/>
      <c r="B194" s="35">
        <f>IF(A194="","",YEAR(A194))</f>
        <v/>
      </c>
      <c r="C194" s="36">
        <f>IF(A194="","",MONTH(A194))</f>
        <v/>
      </c>
      <c r="D194" s="18" t="n"/>
      <c r="E194" s="18" t="n"/>
      <c r="F194" s="18" t="n"/>
      <c r="G194" s="18" t="n"/>
      <c r="H194" s="18" t="n"/>
      <c r="I194" s="18" t="n"/>
      <c r="J194" s="18" t="n"/>
    </row>
    <row r="195">
      <c r="A195" s="41" t="n"/>
      <c r="B195" s="35">
        <f>IF(A195="","",YEAR(A195))</f>
        <v/>
      </c>
      <c r="C195" s="36">
        <f>IF(A195="","",MONTH(A195))</f>
        <v/>
      </c>
      <c r="D195" s="22" t="n"/>
      <c r="E195" s="22" t="n"/>
      <c r="F195" s="22" t="n"/>
      <c r="G195" s="22" t="n"/>
      <c r="H195" s="22" t="n"/>
      <c r="I195" s="22" t="n"/>
      <c r="J195" s="22" t="n"/>
    </row>
    <row r="196">
      <c r="A196" s="34" t="n"/>
      <c r="B196" s="35">
        <f>IF(A196="","",YEAR(A196))</f>
        <v/>
      </c>
      <c r="C196" s="36">
        <f>IF(A196="","",MONTH(A196))</f>
        <v/>
      </c>
      <c r="D196" s="18" t="n"/>
      <c r="E196" s="18" t="n"/>
      <c r="F196" s="18" t="n"/>
      <c r="G196" s="18" t="n"/>
      <c r="H196" s="18" t="n"/>
      <c r="I196" s="18" t="n"/>
      <c r="J196" s="18" t="n"/>
    </row>
    <row r="197">
      <c r="A197" s="41" t="n"/>
      <c r="B197" s="35">
        <f>IF(A197="","",YEAR(A197))</f>
        <v/>
      </c>
      <c r="C197" s="36">
        <f>IF(A197="","",MONTH(A197))</f>
        <v/>
      </c>
      <c r="D197" s="22" t="n"/>
      <c r="E197" s="22" t="n"/>
      <c r="F197" s="22" t="n"/>
      <c r="G197" s="22" t="n"/>
      <c r="H197" s="22" t="n"/>
      <c r="I197" s="22" t="n"/>
      <c r="J197" s="22" t="n"/>
    </row>
    <row r="198">
      <c r="A198" s="34" t="n"/>
      <c r="B198" s="35">
        <f>IF(A198="","",YEAR(A198))</f>
        <v/>
      </c>
      <c r="C198" s="36">
        <f>IF(A198="","",MONTH(A198))</f>
        <v/>
      </c>
      <c r="D198" s="18" t="n"/>
      <c r="E198" s="18" t="n"/>
      <c r="F198" s="18" t="n"/>
      <c r="G198" s="18" t="n"/>
      <c r="H198" s="18" t="n"/>
      <c r="I198" s="18" t="n"/>
      <c r="J198" s="18" t="n"/>
    </row>
    <row r="199">
      <c r="A199" s="41" t="n"/>
      <c r="B199" s="35">
        <f>IF(A199="","",YEAR(A199))</f>
        <v/>
      </c>
      <c r="C199" s="36">
        <f>IF(A199="","",MONTH(A199))</f>
        <v/>
      </c>
      <c r="D199" s="22" t="n"/>
      <c r="E199" s="22" t="n"/>
      <c r="F199" s="22" t="n"/>
      <c r="G199" s="22" t="n"/>
      <c r="H199" s="22" t="n"/>
      <c r="I199" s="22" t="n"/>
      <c r="J199" s="22" t="n"/>
    </row>
    <row r="200">
      <c r="A200" s="34" t="n"/>
      <c r="B200" s="35">
        <f>IF(A200="","",YEAR(A200))</f>
        <v/>
      </c>
      <c r="C200" s="36">
        <f>IF(A200="","",MONTH(A200))</f>
        <v/>
      </c>
      <c r="D200" s="18" t="n"/>
      <c r="E200" s="18" t="n"/>
      <c r="F200" s="18" t="n"/>
      <c r="G200" s="18" t="n"/>
      <c r="H200" s="18" t="n"/>
      <c r="I200" s="18" t="n"/>
      <c r="J200" s="18" t="n"/>
    </row>
    <row r="201">
      <c r="A201" s="41" t="n"/>
      <c r="B201" s="35">
        <f>IF(A201="","",YEAR(A201))</f>
        <v/>
      </c>
      <c r="C201" s="36">
        <f>IF(A201="","",MONTH(A201))</f>
        <v/>
      </c>
      <c r="D201" s="22" t="n"/>
      <c r="E201" s="22" t="n"/>
      <c r="F201" s="22" t="n"/>
      <c r="G201" s="22" t="n"/>
      <c r="H201" s="22" t="n"/>
      <c r="I201" s="22" t="n"/>
      <c r="J201" s="22" t="n"/>
    </row>
    <row r="202">
      <c r="A202" s="34" t="n"/>
      <c r="B202" s="35">
        <f>IF(A202="","",YEAR(A202))</f>
        <v/>
      </c>
      <c r="C202" s="36">
        <f>IF(A202="","",MONTH(A202))</f>
        <v/>
      </c>
      <c r="D202" s="18" t="n"/>
      <c r="E202" s="18" t="n"/>
      <c r="F202" s="18" t="n"/>
      <c r="G202" s="18" t="n"/>
      <c r="H202" s="18" t="n"/>
      <c r="I202" s="18" t="n"/>
      <c r="J202" s="18" t="n"/>
    </row>
    <row r="203">
      <c r="A203" s="41" t="n"/>
      <c r="B203" s="35">
        <f>IF(A203="","",YEAR(A203))</f>
        <v/>
      </c>
      <c r="C203" s="36">
        <f>IF(A203="","",MONTH(A203))</f>
        <v/>
      </c>
      <c r="D203" s="22" t="n"/>
      <c r="E203" s="22" t="n"/>
      <c r="F203" s="22" t="n"/>
      <c r="G203" s="22" t="n"/>
      <c r="H203" s="22" t="n"/>
      <c r="I203" s="22" t="n"/>
      <c r="J203" s="22" t="n"/>
    </row>
    <row r="204">
      <c r="A204" s="34" t="n"/>
      <c r="B204" s="35">
        <f>IF(A204="","",YEAR(A204))</f>
        <v/>
      </c>
      <c r="C204" s="36">
        <f>IF(A204="","",MONTH(A204))</f>
        <v/>
      </c>
      <c r="D204" s="18" t="n"/>
      <c r="E204" s="18" t="n"/>
      <c r="F204" s="18" t="n"/>
      <c r="G204" s="18" t="n"/>
      <c r="H204" s="18" t="n"/>
      <c r="I204" s="18" t="n"/>
      <c r="J204" s="18" t="n"/>
    </row>
    <row r="205">
      <c r="A205" s="41" t="n"/>
      <c r="B205" s="35">
        <f>IF(A205="","",YEAR(A205))</f>
        <v/>
      </c>
      <c r="C205" s="36">
        <f>IF(A205="","",MONTH(A205))</f>
        <v/>
      </c>
      <c r="D205" s="22" t="n"/>
      <c r="E205" s="22" t="n"/>
      <c r="F205" s="22" t="n"/>
      <c r="G205" s="22" t="n"/>
      <c r="H205" s="22" t="n"/>
      <c r="I205" s="22" t="n"/>
      <c r="J205" s="22" t="n"/>
    </row>
    <row r="206">
      <c r="A206" s="34" t="n"/>
      <c r="B206" s="35">
        <f>IF(A206="","",YEAR(A206))</f>
        <v/>
      </c>
      <c r="C206" s="36">
        <f>IF(A206="","",MONTH(A206))</f>
        <v/>
      </c>
      <c r="D206" s="18" t="n"/>
      <c r="E206" s="18" t="n"/>
      <c r="F206" s="18" t="n"/>
      <c r="G206" s="18" t="n"/>
      <c r="H206" s="18" t="n"/>
      <c r="I206" s="18" t="n"/>
      <c r="J206" s="18" t="n"/>
    </row>
    <row r="207">
      <c r="A207" s="41" t="n"/>
      <c r="B207" s="35">
        <f>IF(A207="","",YEAR(A207))</f>
        <v/>
      </c>
      <c r="C207" s="36">
        <f>IF(A207="","",MONTH(A207))</f>
        <v/>
      </c>
      <c r="D207" s="22" t="n"/>
      <c r="E207" s="22" t="n"/>
      <c r="F207" s="22" t="n"/>
      <c r="G207" s="22" t="n"/>
      <c r="H207" s="22" t="n"/>
      <c r="I207" s="22" t="n"/>
      <c r="J207" s="22" t="n"/>
    </row>
    <row r="208">
      <c r="A208" s="34" t="n"/>
      <c r="B208" s="35">
        <f>IF(A208="","",YEAR(A208))</f>
        <v/>
      </c>
      <c r="C208" s="36">
        <f>IF(A208="","",MONTH(A208))</f>
        <v/>
      </c>
      <c r="D208" s="18" t="n"/>
      <c r="E208" s="18" t="n"/>
      <c r="F208" s="18" t="n"/>
      <c r="G208" s="18" t="n"/>
      <c r="H208" s="18" t="n"/>
      <c r="I208" s="18" t="n"/>
      <c r="J208" s="18" t="n"/>
    </row>
    <row r="209">
      <c r="A209" s="41" t="n"/>
      <c r="B209" s="35">
        <f>IF(A209="","",YEAR(A209))</f>
        <v/>
      </c>
      <c r="C209" s="36">
        <f>IF(A209="","",MONTH(A209))</f>
        <v/>
      </c>
      <c r="D209" s="22" t="n"/>
      <c r="E209" s="22" t="n"/>
      <c r="F209" s="22" t="n"/>
      <c r="G209" s="22" t="n"/>
      <c r="H209" s="22" t="n"/>
      <c r="I209" s="22" t="n"/>
      <c r="J209" s="22" t="n"/>
    </row>
    <row r="210">
      <c r="A210" s="34" t="n"/>
      <c r="B210" s="35">
        <f>IF(A210="","",YEAR(A210))</f>
        <v/>
      </c>
      <c r="C210" s="36">
        <f>IF(A210="","",MONTH(A210))</f>
        <v/>
      </c>
      <c r="D210" s="18" t="n"/>
      <c r="E210" s="18" t="n"/>
      <c r="F210" s="18" t="n"/>
      <c r="G210" s="18" t="n"/>
      <c r="H210" s="18" t="n"/>
      <c r="I210" s="18" t="n"/>
      <c r="J210" s="18" t="n"/>
    </row>
    <row r="211">
      <c r="A211" s="41" t="n"/>
      <c r="B211" s="35">
        <f>IF(A211="","",YEAR(A211))</f>
        <v/>
      </c>
      <c r="C211" s="36">
        <f>IF(A211="","",MONTH(A211))</f>
        <v/>
      </c>
      <c r="D211" s="22" t="n"/>
      <c r="E211" s="22" t="n"/>
      <c r="F211" s="22" t="n"/>
      <c r="G211" s="22" t="n"/>
      <c r="H211" s="22" t="n"/>
      <c r="I211" s="22" t="n"/>
      <c r="J211" s="22" t="n"/>
    </row>
    <row r="212">
      <c r="A212" s="34" t="n"/>
      <c r="B212" s="35">
        <f>IF(A212="","",YEAR(A212))</f>
        <v/>
      </c>
      <c r="C212" s="36">
        <f>IF(A212="","",MONTH(A212))</f>
        <v/>
      </c>
      <c r="D212" s="18" t="n"/>
      <c r="E212" s="18" t="n"/>
      <c r="F212" s="18" t="n"/>
      <c r="G212" s="18" t="n"/>
      <c r="H212" s="18" t="n"/>
      <c r="I212" s="18" t="n"/>
      <c r="J212" s="18" t="n"/>
    </row>
    <row r="213">
      <c r="A213" s="41" t="n"/>
      <c r="B213" s="35">
        <f>IF(A213="","",YEAR(A213))</f>
        <v/>
      </c>
      <c r="C213" s="36">
        <f>IF(A213="","",MONTH(A213))</f>
        <v/>
      </c>
      <c r="D213" s="22" t="n"/>
      <c r="E213" s="22" t="n"/>
      <c r="F213" s="22" t="n"/>
      <c r="G213" s="22" t="n"/>
      <c r="H213" s="22" t="n"/>
      <c r="I213" s="22" t="n"/>
      <c r="J213" s="22" t="n"/>
    </row>
    <row r="214">
      <c r="A214" s="34" t="n"/>
      <c r="B214" s="35">
        <f>IF(A214="","",YEAR(A214))</f>
        <v/>
      </c>
      <c r="C214" s="36">
        <f>IF(A214="","",MONTH(A214))</f>
        <v/>
      </c>
      <c r="D214" s="18" t="n"/>
      <c r="E214" s="18" t="n"/>
      <c r="F214" s="18" t="n"/>
      <c r="G214" s="18" t="n"/>
      <c r="H214" s="18" t="n"/>
      <c r="I214" s="18" t="n"/>
      <c r="J214" s="18" t="n"/>
    </row>
    <row r="215">
      <c r="A215" s="41" t="n"/>
      <c r="B215" s="35">
        <f>IF(A215="","",YEAR(A215))</f>
        <v/>
      </c>
      <c r="C215" s="36">
        <f>IF(A215="","",MONTH(A215))</f>
        <v/>
      </c>
      <c r="D215" s="22" t="n"/>
      <c r="E215" s="22" t="n"/>
      <c r="F215" s="22" t="n"/>
      <c r="G215" s="22" t="n"/>
      <c r="H215" s="22" t="n"/>
      <c r="I215" s="22" t="n"/>
      <c r="J215" s="22" t="n"/>
    </row>
    <row r="216">
      <c r="A216" s="34" t="n"/>
      <c r="B216" s="35">
        <f>IF(A216="","",YEAR(A216))</f>
        <v/>
      </c>
      <c r="C216" s="36">
        <f>IF(A216="","",MONTH(A216))</f>
        <v/>
      </c>
      <c r="D216" s="18" t="n"/>
      <c r="E216" s="18" t="n"/>
      <c r="F216" s="18" t="n"/>
      <c r="G216" s="18" t="n"/>
      <c r="H216" s="18" t="n"/>
      <c r="I216" s="18" t="n"/>
      <c r="J216" s="18" t="n"/>
    </row>
    <row r="217">
      <c r="A217" s="41" t="n"/>
      <c r="B217" s="35">
        <f>IF(A217="","",YEAR(A217))</f>
        <v/>
      </c>
      <c r="C217" s="36">
        <f>IF(A217="","",MONTH(A217))</f>
        <v/>
      </c>
      <c r="D217" s="22" t="n"/>
      <c r="E217" s="22" t="n"/>
      <c r="F217" s="22" t="n"/>
      <c r="G217" s="22" t="n"/>
      <c r="H217" s="22" t="n"/>
      <c r="I217" s="22" t="n"/>
      <c r="J217" s="22" t="n"/>
    </row>
    <row r="218">
      <c r="A218" s="34" t="n"/>
      <c r="B218" s="35">
        <f>IF(A218="","",YEAR(A218))</f>
        <v/>
      </c>
      <c r="C218" s="36">
        <f>IF(A218="","",MONTH(A218))</f>
        <v/>
      </c>
      <c r="D218" s="18" t="n"/>
      <c r="E218" s="18" t="n"/>
      <c r="F218" s="18" t="n"/>
      <c r="G218" s="18" t="n"/>
      <c r="H218" s="18" t="n"/>
      <c r="I218" s="18" t="n"/>
      <c r="J218" s="18" t="n"/>
    </row>
    <row r="219">
      <c r="A219" s="41" t="n"/>
      <c r="B219" s="35">
        <f>IF(A219="","",YEAR(A219))</f>
        <v/>
      </c>
      <c r="C219" s="36">
        <f>IF(A219="","",MONTH(A219))</f>
        <v/>
      </c>
      <c r="D219" s="22" t="n"/>
      <c r="E219" s="22" t="n"/>
      <c r="F219" s="22" t="n"/>
      <c r="G219" s="22" t="n"/>
      <c r="H219" s="22" t="n"/>
      <c r="I219" s="22" t="n"/>
      <c r="J219" s="22" t="n"/>
    </row>
    <row r="220">
      <c r="A220" s="34" t="n"/>
      <c r="B220" s="35">
        <f>IF(A220="","",YEAR(A220))</f>
        <v/>
      </c>
      <c r="C220" s="36">
        <f>IF(A220="","",MONTH(A220))</f>
        <v/>
      </c>
      <c r="D220" s="18" t="n"/>
      <c r="E220" s="18" t="n"/>
      <c r="F220" s="18" t="n"/>
      <c r="G220" s="18" t="n"/>
      <c r="H220" s="18" t="n"/>
      <c r="I220" s="18" t="n"/>
      <c r="J220" s="18" t="n"/>
    </row>
    <row r="221">
      <c r="A221" s="41" t="n"/>
      <c r="B221" s="35">
        <f>IF(A221="","",YEAR(A221))</f>
        <v/>
      </c>
      <c r="C221" s="36">
        <f>IF(A221="","",MONTH(A221))</f>
        <v/>
      </c>
      <c r="D221" s="22" t="n"/>
      <c r="E221" s="22" t="n"/>
      <c r="F221" s="22" t="n"/>
      <c r="G221" s="22" t="n"/>
      <c r="H221" s="22" t="n"/>
      <c r="I221" s="22" t="n"/>
      <c r="J221" s="22" t="n"/>
    </row>
    <row r="222">
      <c r="A222" s="34" t="n"/>
      <c r="B222" s="35">
        <f>IF(A222="","",YEAR(A222))</f>
        <v/>
      </c>
      <c r="C222" s="36">
        <f>IF(A222="","",MONTH(A222))</f>
        <v/>
      </c>
      <c r="D222" s="18" t="n"/>
      <c r="E222" s="18" t="n"/>
      <c r="F222" s="18" t="n"/>
      <c r="G222" s="18" t="n"/>
      <c r="H222" s="18" t="n"/>
      <c r="I222" s="18" t="n"/>
      <c r="J222" s="18" t="n"/>
    </row>
    <row r="223">
      <c r="A223" s="41" t="n"/>
      <c r="B223" s="35">
        <f>IF(A223="","",YEAR(A223))</f>
        <v/>
      </c>
      <c r="C223" s="36">
        <f>IF(A223="","",MONTH(A223))</f>
        <v/>
      </c>
      <c r="D223" s="22" t="n"/>
      <c r="E223" s="22" t="n"/>
      <c r="F223" s="22" t="n"/>
      <c r="G223" s="22" t="n"/>
      <c r="H223" s="22" t="n"/>
      <c r="I223" s="22" t="n"/>
      <c r="J223" s="22" t="n"/>
    </row>
    <row r="224">
      <c r="A224" s="34" t="n"/>
      <c r="B224" s="35">
        <f>IF(A224="","",YEAR(A224))</f>
        <v/>
      </c>
      <c r="C224" s="36">
        <f>IF(A224="","",MONTH(A224))</f>
        <v/>
      </c>
      <c r="D224" s="18" t="n"/>
      <c r="E224" s="18" t="n"/>
      <c r="F224" s="18" t="n"/>
      <c r="G224" s="18" t="n"/>
      <c r="H224" s="18" t="n"/>
      <c r="I224" s="18" t="n"/>
      <c r="J224" s="18" t="n"/>
    </row>
    <row r="225">
      <c r="A225" s="41" t="n"/>
      <c r="B225" s="35">
        <f>IF(A225="","",YEAR(A225))</f>
        <v/>
      </c>
      <c r="C225" s="36">
        <f>IF(A225="","",MONTH(A225))</f>
        <v/>
      </c>
      <c r="D225" s="22" t="n"/>
      <c r="E225" s="22" t="n"/>
      <c r="F225" s="22" t="n"/>
      <c r="G225" s="22" t="n"/>
      <c r="H225" s="22" t="n"/>
      <c r="I225" s="22" t="n"/>
      <c r="J225" s="22" t="n"/>
    </row>
    <row r="226">
      <c r="A226" s="34" t="n"/>
      <c r="B226" s="35">
        <f>IF(A226="","",YEAR(A226))</f>
        <v/>
      </c>
      <c r="C226" s="36">
        <f>IF(A226="","",MONTH(A226))</f>
        <v/>
      </c>
      <c r="D226" s="18" t="n"/>
      <c r="E226" s="18" t="n"/>
      <c r="F226" s="18" t="n"/>
      <c r="G226" s="18" t="n"/>
      <c r="H226" s="18" t="n"/>
      <c r="I226" s="18" t="n"/>
      <c r="J226" s="18" t="n"/>
    </row>
    <row r="227">
      <c r="A227" s="41" t="n"/>
      <c r="B227" s="35">
        <f>IF(A227="","",YEAR(A227))</f>
        <v/>
      </c>
      <c r="C227" s="36">
        <f>IF(A227="","",MONTH(A227))</f>
        <v/>
      </c>
      <c r="D227" s="22" t="n"/>
      <c r="E227" s="22" t="n"/>
      <c r="F227" s="22" t="n"/>
      <c r="G227" s="22" t="n"/>
      <c r="H227" s="22" t="n"/>
      <c r="I227" s="22" t="n"/>
      <c r="J227" s="22" t="n"/>
    </row>
    <row r="228">
      <c r="A228" s="34" t="n"/>
      <c r="B228" s="35">
        <f>IF(A228="","",YEAR(A228))</f>
        <v/>
      </c>
      <c r="C228" s="36">
        <f>IF(A228="","",MONTH(A228))</f>
        <v/>
      </c>
      <c r="D228" s="18" t="n"/>
      <c r="E228" s="18" t="n"/>
      <c r="F228" s="18" t="n"/>
      <c r="G228" s="18" t="n"/>
      <c r="H228" s="18" t="n"/>
      <c r="I228" s="18" t="n"/>
      <c r="J228" s="18" t="n"/>
    </row>
    <row r="229">
      <c r="A229" s="41" t="n"/>
      <c r="B229" s="35">
        <f>IF(A229="","",YEAR(A229))</f>
        <v/>
      </c>
      <c r="C229" s="36">
        <f>IF(A229="","",MONTH(A229))</f>
        <v/>
      </c>
      <c r="D229" s="22" t="n"/>
      <c r="E229" s="22" t="n"/>
      <c r="F229" s="22" t="n"/>
      <c r="G229" s="22" t="n"/>
      <c r="H229" s="22" t="n"/>
      <c r="I229" s="22" t="n"/>
      <c r="J229" s="22" t="n"/>
    </row>
    <row r="230">
      <c r="A230" s="34" t="n"/>
      <c r="B230" s="35">
        <f>IF(A230="","",YEAR(A230))</f>
        <v/>
      </c>
      <c r="C230" s="36">
        <f>IF(A230="","",MONTH(A230))</f>
        <v/>
      </c>
      <c r="D230" s="18" t="n"/>
      <c r="E230" s="18" t="n"/>
      <c r="F230" s="18" t="n"/>
      <c r="G230" s="18" t="n"/>
      <c r="H230" s="18" t="n"/>
      <c r="I230" s="18" t="n"/>
      <c r="J230" s="18" t="n"/>
    </row>
    <row r="231">
      <c r="A231" s="41" t="n"/>
      <c r="B231" s="35">
        <f>IF(A231="","",YEAR(A231))</f>
        <v/>
      </c>
      <c r="C231" s="36">
        <f>IF(A231="","",MONTH(A231))</f>
        <v/>
      </c>
      <c r="D231" s="22" t="n"/>
      <c r="E231" s="22" t="n"/>
      <c r="F231" s="22" t="n"/>
      <c r="G231" s="22" t="n"/>
      <c r="H231" s="22" t="n"/>
      <c r="I231" s="22" t="n"/>
      <c r="J231" s="22" t="n"/>
    </row>
    <row r="232">
      <c r="A232" s="34" t="n"/>
      <c r="B232" s="35">
        <f>IF(A232="","",YEAR(A232))</f>
        <v/>
      </c>
      <c r="C232" s="36">
        <f>IF(A232="","",MONTH(A232))</f>
        <v/>
      </c>
      <c r="D232" s="18" t="n"/>
      <c r="E232" s="18" t="n"/>
      <c r="F232" s="18" t="n"/>
      <c r="G232" s="18" t="n"/>
      <c r="H232" s="18" t="n"/>
      <c r="I232" s="18" t="n"/>
      <c r="J232" s="18" t="n"/>
    </row>
    <row r="233">
      <c r="A233" s="41" t="n"/>
      <c r="B233" s="35">
        <f>IF(A233="","",YEAR(A233))</f>
        <v/>
      </c>
      <c r="C233" s="36">
        <f>IF(A233="","",MONTH(A233))</f>
        <v/>
      </c>
      <c r="D233" s="22" t="n"/>
      <c r="E233" s="22" t="n"/>
      <c r="F233" s="22" t="n"/>
      <c r="G233" s="22" t="n"/>
      <c r="H233" s="22" t="n"/>
      <c r="I233" s="22" t="n"/>
      <c r="J233" s="22" t="n"/>
    </row>
    <row r="234">
      <c r="A234" s="34" t="n"/>
      <c r="B234" s="35">
        <f>IF(A234="","",YEAR(A234))</f>
        <v/>
      </c>
      <c r="C234" s="36">
        <f>IF(A234="","",MONTH(A234))</f>
        <v/>
      </c>
      <c r="D234" s="18" t="n"/>
      <c r="E234" s="18" t="n"/>
      <c r="F234" s="18" t="n"/>
      <c r="G234" s="18" t="n"/>
      <c r="H234" s="18" t="n"/>
      <c r="I234" s="18" t="n"/>
      <c r="J234" s="18" t="n"/>
    </row>
    <row r="235">
      <c r="A235" s="41" t="n"/>
      <c r="B235" s="35">
        <f>IF(A235="","",YEAR(A235))</f>
        <v/>
      </c>
      <c r="C235" s="36">
        <f>IF(A235="","",MONTH(A235))</f>
        <v/>
      </c>
      <c r="D235" s="22" t="n"/>
      <c r="E235" s="22" t="n"/>
      <c r="F235" s="22" t="n"/>
      <c r="G235" s="22" t="n"/>
      <c r="H235" s="22" t="n"/>
      <c r="I235" s="22" t="n"/>
      <c r="J235" s="22" t="n"/>
    </row>
    <row r="236">
      <c r="A236" s="34" t="n"/>
      <c r="B236" s="35">
        <f>IF(A236="","",YEAR(A236))</f>
        <v/>
      </c>
      <c r="C236" s="36">
        <f>IF(A236="","",MONTH(A236))</f>
        <v/>
      </c>
      <c r="D236" s="18" t="n"/>
      <c r="E236" s="18" t="n"/>
      <c r="F236" s="18" t="n"/>
      <c r="G236" s="18" t="n"/>
      <c r="H236" s="18" t="n"/>
      <c r="I236" s="18" t="n"/>
      <c r="J236" s="18" t="n"/>
    </row>
    <row r="237">
      <c r="A237" s="41" t="n"/>
      <c r="B237" s="35">
        <f>IF(A237="","",YEAR(A237))</f>
        <v/>
      </c>
      <c r="C237" s="36">
        <f>IF(A237="","",MONTH(A237))</f>
        <v/>
      </c>
      <c r="D237" s="22" t="n"/>
      <c r="E237" s="22" t="n"/>
      <c r="F237" s="22" t="n"/>
      <c r="G237" s="22" t="n"/>
      <c r="H237" s="22" t="n"/>
      <c r="I237" s="22" t="n"/>
      <c r="J237" s="22" t="n"/>
    </row>
    <row r="238">
      <c r="A238" s="34" t="n"/>
      <c r="B238" s="35">
        <f>IF(A238="","",YEAR(A238))</f>
        <v/>
      </c>
      <c r="C238" s="36">
        <f>IF(A238="","",MONTH(A238))</f>
        <v/>
      </c>
      <c r="D238" s="18" t="n"/>
      <c r="E238" s="18" t="n"/>
      <c r="F238" s="18" t="n"/>
      <c r="G238" s="18" t="n"/>
      <c r="H238" s="18" t="n"/>
      <c r="I238" s="18" t="n"/>
      <c r="J238" s="18" t="n"/>
    </row>
    <row r="239">
      <c r="A239" s="41" t="n"/>
      <c r="B239" s="35">
        <f>IF(A239="","",YEAR(A239))</f>
        <v/>
      </c>
      <c r="C239" s="36">
        <f>IF(A239="","",MONTH(A239))</f>
        <v/>
      </c>
      <c r="D239" s="22" t="n"/>
      <c r="E239" s="22" t="n"/>
      <c r="F239" s="22" t="n"/>
      <c r="G239" s="22" t="n"/>
      <c r="H239" s="22" t="n"/>
      <c r="I239" s="22" t="n"/>
      <c r="J239" s="22" t="n"/>
    </row>
    <row r="240">
      <c r="A240" s="34" t="n"/>
      <c r="B240" s="35">
        <f>IF(A240="","",YEAR(A240))</f>
        <v/>
      </c>
      <c r="C240" s="36">
        <f>IF(A240="","",MONTH(A240))</f>
        <v/>
      </c>
      <c r="D240" s="18" t="n"/>
      <c r="E240" s="18" t="n"/>
      <c r="F240" s="18" t="n"/>
      <c r="G240" s="18" t="n"/>
      <c r="H240" s="18" t="n"/>
      <c r="I240" s="18" t="n"/>
      <c r="J240" s="18" t="n"/>
    </row>
    <row r="241">
      <c r="A241" s="41" t="n"/>
      <c r="B241" s="35">
        <f>IF(A241="","",YEAR(A241))</f>
        <v/>
      </c>
      <c r="C241" s="36">
        <f>IF(A241="","",MONTH(A241))</f>
        <v/>
      </c>
      <c r="D241" s="22" t="n"/>
      <c r="E241" s="22" t="n"/>
      <c r="F241" s="22" t="n"/>
      <c r="G241" s="22" t="n"/>
      <c r="H241" s="22" t="n"/>
      <c r="I241" s="22" t="n"/>
      <c r="J241" s="22" t="n"/>
    </row>
    <row r="242">
      <c r="A242" s="34" t="n"/>
      <c r="B242" s="35">
        <f>IF(A242="","",YEAR(A242))</f>
        <v/>
      </c>
      <c r="C242" s="36">
        <f>IF(A242="","",MONTH(A242))</f>
        <v/>
      </c>
      <c r="D242" s="18" t="n"/>
      <c r="E242" s="18" t="n"/>
      <c r="F242" s="18" t="n"/>
      <c r="G242" s="18" t="n"/>
      <c r="H242" s="18" t="n"/>
      <c r="I242" s="18" t="n"/>
      <c r="J242" s="18" t="n"/>
    </row>
    <row r="243">
      <c r="A243" s="41" t="n"/>
      <c r="B243" s="35">
        <f>IF(A243="","",YEAR(A243))</f>
        <v/>
      </c>
      <c r="C243" s="36">
        <f>IF(A243="","",MONTH(A243))</f>
        <v/>
      </c>
      <c r="D243" s="22" t="n"/>
      <c r="E243" s="22" t="n"/>
      <c r="F243" s="22" t="n"/>
      <c r="G243" s="22" t="n"/>
      <c r="H243" s="22" t="n"/>
      <c r="I243" s="22" t="n"/>
      <c r="J243" s="22" t="n"/>
    </row>
    <row r="244">
      <c r="A244" s="34" t="n"/>
      <c r="B244" s="35">
        <f>IF(A244="","",YEAR(A244))</f>
        <v/>
      </c>
      <c r="C244" s="36">
        <f>IF(A244="","",MONTH(A244))</f>
        <v/>
      </c>
      <c r="D244" s="18" t="n"/>
      <c r="E244" s="18" t="n"/>
      <c r="F244" s="18" t="n"/>
      <c r="G244" s="18" t="n"/>
      <c r="H244" s="18" t="n"/>
      <c r="I244" s="18" t="n"/>
      <c r="J244" s="18" t="n"/>
    </row>
    <row r="245">
      <c r="A245" s="41" t="n"/>
      <c r="B245" s="35">
        <f>IF(A245="","",YEAR(A245))</f>
        <v/>
      </c>
      <c r="C245" s="36">
        <f>IF(A245="","",MONTH(A245))</f>
        <v/>
      </c>
      <c r="D245" s="22" t="n"/>
      <c r="E245" s="22" t="n"/>
      <c r="F245" s="22" t="n"/>
      <c r="G245" s="22" t="n"/>
      <c r="H245" s="22" t="n"/>
      <c r="I245" s="22" t="n"/>
      <c r="J245" s="22" t="n"/>
    </row>
    <row r="246">
      <c r="A246" s="34" t="n"/>
      <c r="B246" s="35">
        <f>IF(A246="","",YEAR(A246))</f>
        <v/>
      </c>
      <c r="C246" s="36">
        <f>IF(A246="","",MONTH(A246))</f>
        <v/>
      </c>
      <c r="D246" s="18" t="n"/>
      <c r="E246" s="18" t="n"/>
      <c r="F246" s="18" t="n"/>
      <c r="G246" s="18" t="n"/>
      <c r="H246" s="18" t="n"/>
      <c r="I246" s="18" t="n"/>
      <c r="J246" s="18" t="n"/>
    </row>
    <row r="247">
      <c r="A247" s="41" t="n"/>
      <c r="B247" s="35">
        <f>IF(A247="","",YEAR(A247))</f>
        <v/>
      </c>
      <c r="C247" s="36">
        <f>IF(A247="","",MONTH(A247))</f>
        <v/>
      </c>
      <c r="D247" s="22" t="n"/>
      <c r="E247" s="22" t="n"/>
      <c r="F247" s="22" t="n"/>
      <c r="G247" s="22" t="n"/>
      <c r="H247" s="22" t="n"/>
      <c r="I247" s="22" t="n"/>
      <c r="J247" s="22" t="n"/>
    </row>
    <row r="248">
      <c r="A248" s="34" t="n"/>
      <c r="B248" s="35">
        <f>IF(A248="","",YEAR(A248))</f>
        <v/>
      </c>
      <c r="C248" s="36">
        <f>IF(A248="","",MONTH(A248))</f>
        <v/>
      </c>
      <c r="D248" s="18" t="n"/>
      <c r="E248" s="18" t="n"/>
      <c r="F248" s="18" t="n"/>
      <c r="G248" s="18" t="n"/>
      <c r="H248" s="18" t="n"/>
      <c r="I248" s="18" t="n"/>
      <c r="J248" s="18" t="n"/>
    </row>
    <row r="249">
      <c r="A249" s="41" t="n"/>
      <c r="B249" s="35">
        <f>IF(A249="","",YEAR(A249))</f>
        <v/>
      </c>
      <c r="C249" s="36">
        <f>IF(A249="","",MONTH(A249))</f>
        <v/>
      </c>
      <c r="D249" s="22" t="n"/>
      <c r="E249" s="22" t="n"/>
      <c r="F249" s="22" t="n"/>
      <c r="G249" s="22" t="n"/>
      <c r="H249" s="22" t="n"/>
      <c r="I249" s="22" t="n"/>
      <c r="J249" s="22" t="n"/>
    </row>
    <row r="250">
      <c r="A250" s="34" t="n"/>
      <c r="B250" s="35">
        <f>IF(A250="","",YEAR(A250))</f>
        <v/>
      </c>
      <c r="C250" s="36">
        <f>IF(A250="","",MONTH(A250))</f>
        <v/>
      </c>
      <c r="D250" s="18" t="n"/>
      <c r="E250" s="18" t="n"/>
      <c r="F250" s="18" t="n"/>
      <c r="G250" s="18" t="n"/>
      <c r="H250" s="18" t="n"/>
      <c r="I250" s="18" t="n"/>
      <c r="J250" s="18" t="n"/>
    </row>
    <row r="251">
      <c r="A251" s="41" t="n"/>
      <c r="B251" s="35">
        <f>IF(A251="","",YEAR(A251))</f>
        <v/>
      </c>
      <c r="C251" s="36">
        <f>IF(A251="","",MONTH(A251))</f>
        <v/>
      </c>
      <c r="D251" s="22" t="n"/>
      <c r="E251" s="22" t="n"/>
      <c r="F251" s="22" t="n"/>
      <c r="G251" s="22" t="n"/>
      <c r="H251" s="22" t="n"/>
      <c r="I251" s="22" t="n"/>
      <c r="J251" s="22" t="n"/>
    </row>
    <row r="252">
      <c r="A252" s="34" t="n"/>
      <c r="B252" s="35">
        <f>IF(A252="","",YEAR(A252))</f>
        <v/>
      </c>
      <c r="C252" s="36">
        <f>IF(A252="","",MONTH(A252))</f>
        <v/>
      </c>
      <c r="D252" s="18" t="n"/>
      <c r="E252" s="18" t="n"/>
      <c r="F252" s="18" t="n"/>
      <c r="G252" s="18" t="n"/>
      <c r="H252" s="18" t="n"/>
      <c r="I252" s="18" t="n"/>
      <c r="J252" s="18" t="n"/>
    </row>
    <row r="253">
      <c r="A253" s="41" t="n"/>
      <c r="B253" s="35">
        <f>IF(A253="","",YEAR(A253))</f>
        <v/>
      </c>
      <c r="C253" s="36">
        <f>IF(A253="","",MONTH(A253))</f>
        <v/>
      </c>
      <c r="D253" s="22" t="n"/>
      <c r="E253" s="22" t="n"/>
      <c r="F253" s="22" t="n"/>
      <c r="G253" s="22" t="n"/>
      <c r="H253" s="22" t="n"/>
      <c r="I253" s="22" t="n"/>
      <c r="J253" s="22" t="n"/>
    </row>
    <row r="254">
      <c r="A254" s="34" t="n"/>
      <c r="B254" s="35">
        <f>IF(A254="","",YEAR(A254))</f>
        <v/>
      </c>
      <c r="C254" s="36">
        <f>IF(A254="","",MONTH(A254))</f>
        <v/>
      </c>
      <c r="D254" s="18" t="n"/>
      <c r="E254" s="18" t="n"/>
      <c r="F254" s="18" t="n"/>
      <c r="G254" s="18" t="n"/>
      <c r="H254" s="18" t="n"/>
      <c r="I254" s="18" t="n"/>
      <c r="J254" s="18" t="n"/>
    </row>
    <row r="255">
      <c r="A255" s="41" t="n"/>
      <c r="B255" s="35">
        <f>IF(A255="","",YEAR(A255))</f>
        <v/>
      </c>
      <c r="C255" s="36">
        <f>IF(A255="","",MONTH(A255))</f>
        <v/>
      </c>
      <c r="D255" s="22" t="n"/>
      <c r="E255" s="22" t="n"/>
      <c r="F255" s="22" t="n"/>
      <c r="G255" s="22" t="n"/>
      <c r="H255" s="22" t="n"/>
      <c r="I255" s="22" t="n"/>
      <c r="J255" s="22" t="n"/>
    </row>
    <row r="256">
      <c r="A256" s="34" t="n"/>
      <c r="B256" s="35">
        <f>IF(A256="","",YEAR(A256))</f>
        <v/>
      </c>
      <c r="C256" s="36">
        <f>IF(A256="","",MONTH(A256))</f>
        <v/>
      </c>
      <c r="D256" s="18" t="n"/>
      <c r="E256" s="18" t="n"/>
      <c r="F256" s="18" t="n"/>
      <c r="G256" s="18" t="n"/>
      <c r="H256" s="18" t="n"/>
      <c r="I256" s="18" t="n"/>
      <c r="J256" s="18" t="n"/>
    </row>
    <row r="257">
      <c r="A257" s="41" t="n"/>
      <c r="B257" s="35">
        <f>IF(A257="","",YEAR(A257))</f>
        <v/>
      </c>
      <c r="C257" s="36">
        <f>IF(A257="","",MONTH(A257))</f>
        <v/>
      </c>
      <c r="D257" s="22" t="n"/>
      <c r="E257" s="22" t="n"/>
      <c r="F257" s="22" t="n"/>
      <c r="G257" s="22" t="n"/>
      <c r="H257" s="22" t="n"/>
      <c r="I257" s="22" t="n"/>
      <c r="J257" s="22" t="n"/>
    </row>
    <row r="258">
      <c r="A258" s="34" t="n"/>
      <c r="B258" s="35">
        <f>IF(A258="","",YEAR(A258))</f>
        <v/>
      </c>
      <c r="C258" s="36">
        <f>IF(A258="","",MONTH(A258))</f>
        <v/>
      </c>
      <c r="D258" s="18" t="n"/>
      <c r="E258" s="18" t="n"/>
      <c r="F258" s="18" t="n"/>
      <c r="G258" s="18" t="n"/>
      <c r="H258" s="18" t="n"/>
      <c r="I258" s="18" t="n"/>
      <c r="J258" s="18" t="n"/>
    </row>
    <row r="259">
      <c r="A259" s="41" t="n"/>
      <c r="B259" s="35">
        <f>IF(A259="","",YEAR(A259))</f>
        <v/>
      </c>
      <c r="C259" s="36">
        <f>IF(A259="","",MONTH(A259))</f>
        <v/>
      </c>
      <c r="D259" s="22" t="n"/>
      <c r="E259" s="22" t="n"/>
      <c r="F259" s="22" t="n"/>
      <c r="G259" s="22" t="n"/>
      <c r="H259" s="22" t="n"/>
      <c r="I259" s="22" t="n"/>
      <c r="J259" s="22" t="n"/>
    </row>
    <row r="260">
      <c r="A260" s="34" t="n"/>
      <c r="B260" s="35">
        <f>IF(A260="","",YEAR(A260))</f>
        <v/>
      </c>
      <c r="C260" s="36">
        <f>IF(A260="","",MONTH(A260))</f>
        <v/>
      </c>
      <c r="D260" s="18" t="n"/>
      <c r="E260" s="18" t="n"/>
      <c r="F260" s="18" t="n"/>
      <c r="G260" s="18" t="n"/>
      <c r="H260" s="18" t="n"/>
      <c r="I260" s="18" t="n"/>
      <c r="J260" s="18" t="n"/>
    </row>
    <row r="261">
      <c r="A261" s="41" t="n"/>
      <c r="B261" s="35">
        <f>IF(A261="","",YEAR(A261))</f>
        <v/>
      </c>
      <c r="C261" s="36">
        <f>IF(A261="","",MONTH(A261))</f>
        <v/>
      </c>
      <c r="D261" s="22" t="n"/>
      <c r="E261" s="22" t="n"/>
      <c r="F261" s="22" t="n"/>
      <c r="G261" s="22" t="n"/>
      <c r="H261" s="22" t="n"/>
      <c r="I261" s="22" t="n"/>
      <c r="J261" s="22" t="n"/>
    </row>
    <row r="262">
      <c r="A262" s="34" t="n"/>
      <c r="B262" s="35">
        <f>IF(A262="","",YEAR(A262))</f>
        <v/>
      </c>
      <c r="C262" s="36">
        <f>IF(A262="","",MONTH(A262))</f>
        <v/>
      </c>
      <c r="D262" s="18" t="n"/>
      <c r="E262" s="18" t="n"/>
      <c r="F262" s="18" t="n"/>
      <c r="G262" s="18" t="n"/>
      <c r="H262" s="18" t="n"/>
      <c r="I262" s="18" t="n"/>
      <c r="J262" s="18" t="n"/>
    </row>
    <row r="263">
      <c r="A263" s="41" t="n"/>
      <c r="B263" s="35">
        <f>IF(A263="","",YEAR(A263))</f>
        <v/>
      </c>
      <c r="C263" s="36">
        <f>IF(A263="","",MONTH(A263))</f>
        <v/>
      </c>
      <c r="D263" s="22" t="n"/>
      <c r="E263" s="22" t="n"/>
      <c r="F263" s="22" t="n"/>
      <c r="G263" s="22" t="n"/>
      <c r="H263" s="22" t="n"/>
      <c r="I263" s="22" t="n"/>
      <c r="J263" s="22" t="n"/>
    </row>
    <row r="264">
      <c r="A264" s="34" t="n"/>
      <c r="B264" s="35">
        <f>IF(A264="","",YEAR(A264))</f>
        <v/>
      </c>
      <c r="C264" s="36">
        <f>IF(A264="","",MONTH(A264))</f>
        <v/>
      </c>
      <c r="D264" s="18" t="n"/>
      <c r="E264" s="18" t="n"/>
      <c r="F264" s="18" t="n"/>
      <c r="G264" s="18" t="n"/>
      <c r="H264" s="18" t="n"/>
      <c r="I264" s="18" t="n"/>
      <c r="J264" s="18" t="n"/>
    </row>
    <row r="265">
      <c r="A265" s="41" t="n"/>
      <c r="B265" s="35">
        <f>IF(A265="","",YEAR(A265))</f>
        <v/>
      </c>
      <c r="C265" s="36">
        <f>IF(A265="","",MONTH(A265))</f>
        <v/>
      </c>
      <c r="D265" s="22" t="n"/>
      <c r="E265" s="22" t="n"/>
      <c r="F265" s="22" t="n"/>
      <c r="G265" s="22" t="n"/>
      <c r="H265" s="22" t="n"/>
      <c r="I265" s="22" t="n"/>
      <c r="J265" s="22" t="n"/>
    </row>
    <row r="266">
      <c r="A266" s="34" t="n"/>
      <c r="B266" s="35">
        <f>IF(A266="","",YEAR(A266))</f>
        <v/>
      </c>
      <c r="C266" s="36">
        <f>IF(A266="","",MONTH(A266))</f>
        <v/>
      </c>
      <c r="D266" s="18" t="n"/>
      <c r="E266" s="18" t="n"/>
      <c r="F266" s="18" t="n"/>
      <c r="G266" s="18" t="n"/>
      <c r="H266" s="18" t="n"/>
      <c r="I266" s="18" t="n"/>
      <c r="J266" s="18" t="n"/>
    </row>
    <row r="267">
      <c r="A267" s="41" t="n"/>
      <c r="B267" s="35">
        <f>IF(A267="","",YEAR(A267))</f>
        <v/>
      </c>
      <c r="C267" s="36">
        <f>IF(A267="","",MONTH(A267))</f>
        <v/>
      </c>
      <c r="D267" s="22" t="n"/>
      <c r="E267" s="22" t="n"/>
      <c r="F267" s="22" t="n"/>
      <c r="G267" s="22" t="n"/>
      <c r="H267" s="22" t="n"/>
      <c r="I267" s="22" t="n"/>
      <c r="J267" s="22" t="n"/>
    </row>
    <row r="268">
      <c r="A268" s="34" t="n"/>
      <c r="B268" s="35">
        <f>IF(A268="","",YEAR(A268))</f>
        <v/>
      </c>
      <c r="C268" s="36">
        <f>IF(A268="","",MONTH(A268))</f>
        <v/>
      </c>
      <c r="D268" s="18" t="n"/>
      <c r="E268" s="18" t="n"/>
      <c r="F268" s="18" t="n"/>
      <c r="G268" s="18" t="n"/>
      <c r="H268" s="18" t="n"/>
      <c r="I268" s="18" t="n"/>
      <c r="J268" s="18" t="n"/>
    </row>
    <row r="269">
      <c r="A269" s="41" t="n"/>
      <c r="B269" s="35">
        <f>IF(A269="","",YEAR(A269))</f>
        <v/>
      </c>
      <c r="C269" s="36">
        <f>IF(A269="","",MONTH(A269))</f>
        <v/>
      </c>
      <c r="D269" s="22" t="n"/>
      <c r="E269" s="22" t="n"/>
      <c r="F269" s="22" t="n"/>
      <c r="G269" s="22" t="n"/>
      <c r="H269" s="22" t="n"/>
      <c r="I269" s="22" t="n"/>
      <c r="J269" s="22" t="n"/>
    </row>
    <row r="270">
      <c r="A270" s="34" t="n"/>
      <c r="B270" s="35">
        <f>IF(A270="","",YEAR(A270))</f>
        <v/>
      </c>
      <c r="C270" s="36">
        <f>IF(A270="","",MONTH(A270))</f>
        <v/>
      </c>
      <c r="D270" s="18" t="n"/>
      <c r="E270" s="18" t="n"/>
      <c r="F270" s="18" t="n"/>
      <c r="G270" s="18" t="n"/>
      <c r="H270" s="18" t="n"/>
      <c r="I270" s="18" t="n"/>
      <c r="J270" s="18" t="n"/>
    </row>
    <row r="271">
      <c r="A271" s="41" t="n"/>
      <c r="B271" s="35">
        <f>IF(A271="","",YEAR(A271))</f>
        <v/>
      </c>
      <c r="C271" s="36">
        <f>IF(A271="","",MONTH(A271))</f>
        <v/>
      </c>
      <c r="D271" s="22" t="n"/>
      <c r="E271" s="22" t="n"/>
      <c r="F271" s="22" t="n"/>
      <c r="G271" s="22" t="n"/>
      <c r="H271" s="22" t="n"/>
      <c r="I271" s="22" t="n"/>
      <c r="J271" s="22" t="n"/>
    </row>
    <row r="272">
      <c r="A272" s="34" t="n"/>
      <c r="B272" s="35">
        <f>IF(A272="","",YEAR(A272))</f>
        <v/>
      </c>
      <c r="C272" s="36">
        <f>IF(A272="","",MONTH(A272))</f>
        <v/>
      </c>
      <c r="D272" s="18" t="n"/>
      <c r="E272" s="18" t="n"/>
      <c r="F272" s="18" t="n"/>
      <c r="G272" s="18" t="n"/>
      <c r="H272" s="18" t="n"/>
      <c r="I272" s="18" t="n"/>
      <c r="J272" s="18" t="n"/>
    </row>
    <row r="273">
      <c r="A273" s="41" t="n"/>
      <c r="B273" s="35">
        <f>IF(A273="","",YEAR(A273))</f>
        <v/>
      </c>
      <c r="C273" s="36">
        <f>IF(A273="","",MONTH(A273))</f>
        <v/>
      </c>
      <c r="D273" s="22" t="n"/>
      <c r="E273" s="22" t="n"/>
      <c r="F273" s="22" t="n"/>
      <c r="G273" s="22" t="n"/>
      <c r="H273" s="22" t="n"/>
      <c r="I273" s="22" t="n"/>
      <c r="J273" s="22" t="n"/>
    </row>
    <row r="274">
      <c r="A274" s="34" t="n"/>
      <c r="B274" s="35">
        <f>IF(A274="","",YEAR(A274))</f>
        <v/>
      </c>
      <c r="C274" s="36">
        <f>IF(A274="","",MONTH(A274))</f>
        <v/>
      </c>
      <c r="D274" s="18" t="n"/>
      <c r="E274" s="18" t="n"/>
      <c r="F274" s="18" t="n"/>
      <c r="G274" s="18" t="n"/>
      <c r="H274" s="18" t="n"/>
      <c r="I274" s="18" t="n"/>
      <c r="J274" s="18" t="n"/>
    </row>
    <row r="275">
      <c r="A275" s="41" t="n"/>
      <c r="B275" s="35">
        <f>IF(A275="","",YEAR(A275))</f>
        <v/>
      </c>
      <c r="C275" s="36">
        <f>IF(A275="","",MONTH(A275))</f>
        <v/>
      </c>
      <c r="D275" s="22" t="n"/>
      <c r="E275" s="22" t="n"/>
      <c r="F275" s="22" t="n"/>
      <c r="G275" s="22" t="n"/>
      <c r="H275" s="22" t="n"/>
      <c r="I275" s="22" t="n"/>
      <c r="J275" s="22" t="n"/>
    </row>
    <row r="276">
      <c r="A276" s="34" t="n"/>
      <c r="B276" s="35">
        <f>IF(A276="","",YEAR(A276))</f>
        <v/>
      </c>
      <c r="C276" s="36">
        <f>IF(A276="","",MONTH(A276))</f>
        <v/>
      </c>
      <c r="D276" s="18" t="n"/>
      <c r="E276" s="18" t="n"/>
      <c r="F276" s="18" t="n"/>
      <c r="G276" s="18" t="n"/>
      <c r="H276" s="18" t="n"/>
      <c r="I276" s="18" t="n"/>
      <c r="J276" s="18" t="n"/>
    </row>
    <row r="277">
      <c r="A277" s="41" t="n"/>
      <c r="B277" s="35">
        <f>IF(A277="","",YEAR(A277))</f>
        <v/>
      </c>
      <c r="C277" s="36">
        <f>IF(A277="","",MONTH(A277))</f>
        <v/>
      </c>
      <c r="D277" s="22" t="n"/>
      <c r="E277" s="22" t="n"/>
      <c r="F277" s="22" t="n"/>
      <c r="G277" s="22" t="n"/>
      <c r="H277" s="22" t="n"/>
      <c r="I277" s="22" t="n"/>
      <c r="J277" s="22" t="n"/>
    </row>
    <row r="278">
      <c r="A278" s="34" t="n"/>
      <c r="B278" s="35">
        <f>IF(A278="","",YEAR(A278))</f>
        <v/>
      </c>
      <c r="C278" s="36">
        <f>IF(A278="","",MONTH(A278))</f>
        <v/>
      </c>
      <c r="D278" s="18" t="n"/>
      <c r="E278" s="18" t="n"/>
      <c r="F278" s="18" t="n"/>
      <c r="G278" s="18" t="n"/>
      <c r="H278" s="18" t="n"/>
      <c r="I278" s="18" t="n"/>
      <c r="J278" s="18" t="n"/>
    </row>
    <row r="279">
      <c r="A279" s="41" t="n"/>
      <c r="B279" s="35">
        <f>IF(A279="","",YEAR(A279))</f>
        <v/>
      </c>
      <c r="C279" s="36">
        <f>IF(A279="","",MONTH(A279))</f>
        <v/>
      </c>
      <c r="D279" s="22" t="n"/>
      <c r="E279" s="22" t="n"/>
      <c r="F279" s="22" t="n"/>
      <c r="G279" s="22" t="n"/>
      <c r="H279" s="22" t="n"/>
      <c r="I279" s="22" t="n"/>
      <c r="J279" s="22" t="n"/>
    </row>
    <row r="280">
      <c r="A280" s="34" t="n"/>
      <c r="B280" s="35">
        <f>IF(A280="","",YEAR(A280))</f>
        <v/>
      </c>
      <c r="C280" s="36">
        <f>IF(A280="","",MONTH(A280))</f>
        <v/>
      </c>
      <c r="D280" s="18" t="n"/>
      <c r="E280" s="18" t="n"/>
      <c r="F280" s="18" t="n"/>
      <c r="G280" s="18" t="n"/>
      <c r="H280" s="18" t="n"/>
      <c r="I280" s="18" t="n"/>
      <c r="J280" s="18" t="n"/>
    </row>
    <row r="281">
      <c r="A281" s="41" t="n"/>
      <c r="B281" s="35">
        <f>IF(A281="","",YEAR(A281))</f>
        <v/>
      </c>
      <c r="C281" s="36">
        <f>IF(A281="","",MONTH(A281))</f>
        <v/>
      </c>
      <c r="D281" s="22" t="n"/>
      <c r="E281" s="22" t="n"/>
      <c r="F281" s="22" t="n"/>
      <c r="G281" s="22" t="n"/>
      <c r="H281" s="22" t="n"/>
      <c r="I281" s="22" t="n"/>
      <c r="J281" s="22" t="n"/>
    </row>
    <row r="282">
      <c r="A282" s="34" t="n"/>
      <c r="B282" s="35">
        <f>IF(A282="","",YEAR(A282))</f>
        <v/>
      </c>
      <c r="C282" s="36">
        <f>IF(A282="","",MONTH(A282))</f>
        <v/>
      </c>
      <c r="D282" s="18" t="n"/>
      <c r="E282" s="18" t="n"/>
      <c r="F282" s="18" t="n"/>
      <c r="G282" s="18" t="n"/>
      <c r="H282" s="18" t="n"/>
      <c r="I282" s="18" t="n"/>
      <c r="J282" s="18" t="n"/>
    </row>
    <row r="283">
      <c r="A283" s="41" t="n"/>
      <c r="B283" s="35">
        <f>IF(A283="","",YEAR(A283))</f>
        <v/>
      </c>
      <c r="C283" s="36">
        <f>IF(A283="","",MONTH(A283))</f>
        <v/>
      </c>
      <c r="D283" s="22" t="n"/>
      <c r="E283" s="22" t="n"/>
      <c r="F283" s="22" t="n"/>
      <c r="G283" s="22" t="n"/>
      <c r="H283" s="22" t="n"/>
      <c r="I283" s="22" t="n"/>
      <c r="J283" s="22" t="n"/>
    </row>
    <row r="284">
      <c r="A284" s="34" t="n"/>
      <c r="B284" s="35">
        <f>IF(A284="","",YEAR(A284))</f>
        <v/>
      </c>
      <c r="C284" s="36">
        <f>IF(A284="","",MONTH(A284))</f>
        <v/>
      </c>
      <c r="D284" s="18" t="n"/>
      <c r="E284" s="18" t="n"/>
      <c r="F284" s="18" t="n"/>
      <c r="G284" s="18" t="n"/>
      <c r="H284" s="18" t="n"/>
      <c r="I284" s="18" t="n"/>
      <c r="J284" s="18" t="n"/>
    </row>
    <row r="285">
      <c r="A285" s="41" t="n"/>
      <c r="B285" s="35">
        <f>IF(A285="","",YEAR(A285))</f>
        <v/>
      </c>
      <c r="C285" s="36">
        <f>IF(A285="","",MONTH(A285))</f>
        <v/>
      </c>
      <c r="D285" s="22" t="n"/>
      <c r="E285" s="22" t="n"/>
      <c r="F285" s="22" t="n"/>
      <c r="G285" s="22" t="n"/>
      <c r="H285" s="22" t="n"/>
      <c r="I285" s="22" t="n"/>
      <c r="J285" s="22" t="n"/>
    </row>
    <row r="286">
      <c r="A286" s="34" t="n"/>
      <c r="B286" s="35">
        <f>IF(A286="","",YEAR(A286))</f>
        <v/>
      </c>
      <c r="C286" s="36">
        <f>IF(A286="","",MONTH(A286))</f>
        <v/>
      </c>
      <c r="D286" s="18" t="n"/>
      <c r="E286" s="18" t="n"/>
      <c r="F286" s="18" t="n"/>
      <c r="G286" s="18" t="n"/>
      <c r="H286" s="18" t="n"/>
      <c r="I286" s="18" t="n"/>
      <c r="J286" s="18" t="n"/>
    </row>
    <row r="287">
      <c r="A287" s="41" t="n"/>
      <c r="B287" s="35">
        <f>IF(A287="","",YEAR(A287))</f>
        <v/>
      </c>
      <c r="C287" s="36">
        <f>IF(A287="","",MONTH(A287))</f>
        <v/>
      </c>
      <c r="D287" s="22" t="n"/>
      <c r="E287" s="22" t="n"/>
      <c r="F287" s="22" t="n"/>
      <c r="G287" s="22" t="n"/>
      <c r="H287" s="22" t="n"/>
      <c r="I287" s="22" t="n"/>
      <c r="J287" s="22" t="n"/>
    </row>
    <row r="288">
      <c r="A288" s="34" t="n"/>
      <c r="B288" s="35">
        <f>IF(A288="","",YEAR(A288))</f>
        <v/>
      </c>
      <c r="C288" s="36">
        <f>IF(A288="","",MONTH(A288))</f>
        <v/>
      </c>
      <c r="D288" s="18" t="n"/>
      <c r="E288" s="18" t="n"/>
      <c r="F288" s="18" t="n"/>
      <c r="G288" s="18" t="n"/>
      <c r="H288" s="18" t="n"/>
      <c r="I288" s="18" t="n"/>
      <c r="J288" s="18" t="n"/>
    </row>
    <row r="289">
      <c r="A289" s="41" t="n"/>
      <c r="B289" s="35">
        <f>IF(A289="","",YEAR(A289))</f>
        <v/>
      </c>
      <c r="C289" s="36">
        <f>IF(A289="","",MONTH(A289))</f>
        <v/>
      </c>
      <c r="D289" s="22" t="n"/>
      <c r="E289" s="22" t="n"/>
      <c r="F289" s="22" t="n"/>
      <c r="G289" s="22" t="n"/>
      <c r="H289" s="22" t="n"/>
      <c r="I289" s="22" t="n"/>
      <c r="J289" s="22" t="n"/>
    </row>
    <row r="290">
      <c r="A290" s="34" t="n"/>
      <c r="B290" s="35">
        <f>IF(A290="","",YEAR(A290))</f>
        <v/>
      </c>
      <c r="C290" s="36">
        <f>IF(A290="","",MONTH(A290))</f>
        <v/>
      </c>
      <c r="D290" s="18" t="n"/>
      <c r="E290" s="18" t="n"/>
      <c r="F290" s="18" t="n"/>
      <c r="G290" s="18" t="n"/>
      <c r="H290" s="18" t="n"/>
      <c r="I290" s="18" t="n"/>
      <c r="J290" s="18" t="n"/>
    </row>
    <row r="291">
      <c r="A291" s="41" t="n"/>
      <c r="B291" s="35">
        <f>IF(A291="","",YEAR(A291))</f>
        <v/>
      </c>
      <c r="C291" s="36">
        <f>IF(A291="","",MONTH(A291))</f>
        <v/>
      </c>
      <c r="D291" s="22" t="n"/>
      <c r="E291" s="22" t="n"/>
      <c r="F291" s="22" t="n"/>
      <c r="G291" s="22" t="n"/>
      <c r="H291" s="22" t="n"/>
      <c r="I291" s="22" t="n"/>
      <c r="J291" s="22" t="n"/>
    </row>
    <row r="292">
      <c r="A292" s="34" t="n"/>
      <c r="B292" s="35">
        <f>IF(A292="","",YEAR(A292))</f>
        <v/>
      </c>
      <c r="C292" s="36">
        <f>IF(A292="","",MONTH(A292))</f>
        <v/>
      </c>
      <c r="D292" s="18" t="n"/>
      <c r="E292" s="18" t="n"/>
      <c r="F292" s="18" t="n"/>
      <c r="G292" s="18" t="n"/>
      <c r="H292" s="18" t="n"/>
      <c r="I292" s="18" t="n"/>
      <c r="J292" s="18" t="n"/>
    </row>
    <row r="293">
      <c r="A293" s="41" t="n"/>
      <c r="B293" s="35">
        <f>IF(A293="","",YEAR(A293))</f>
        <v/>
      </c>
      <c r="C293" s="36">
        <f>IF(A293="","",MONTH(A293))</f>
        <v/>
      </c>
      <c r="D293" s="22" t="n"/>
      <c r="E293" s="22" t="n"/>
      <c r="F293" s="22" t="n"/>
      <c r="G293" s="22" t="n"/>
      <c r="H293" s="22" t="n"/>
      <c r="I293" s="22" t="n"/>
      <c r="J293" s="22" t="n"/>
    </row>
    <row r="294">
      <c r="A294" s="34" t="n"/>
      <c r="B294" s="35">
        <f>IF(A294="","",YEAR(A294))</f>
        <v/>
      </c>
      <c r="C294" s="36">
        <f>IF(A294="","",MONTH(A294))</f>
        <v/>
      </c>
      <c r="D294" s="18" t="n"/>
      <c r="E294" s="18" t="n"/>
      <c r="F294" s="18" t="n"/>
      <c r="G294" s="18" t="n"/>
      <c r="H294" s="18" t="n"/>
      <c r="I294" s="18" t="n"/>
      <c r="J294" s="18" t="n"/>
    </row>
    <row r="295">
      <c r="A295" s="41" t="n"/>
      <c r="B295" s="35">
        <f>IF(A295="","",YEAR(A295))</f>
        <v/>
      </c>
      <c r="C295" s="36">
        <f>IF(A295="","",MONTH(A295))</f>
        <v/>
      </c>
      <c r="D295" s="22" t="n"/>
      <c r="E295" s="22" t="n"/>
      <c r="F295" s="22" t="n"/>
      <c r="G295" s="22" t="n"/>
      <c r="H295" s="22" t="n"/>
      <c r="I295" s="22" t="n"/>
      <c r="J295" s="22" t="n"/>
    </row>
    <row r="296">
      <c r="A296" s="34" t="n"/>
      <c r="B296" s="35">
        <f>IF(A296="","",YEAR(A296))</f>
        <v/>
      </c>
      <c r="C296" s="36">
        <f>IF(A296="","",MONTH(A296))</f>
        <v/>
      </c>
      <c r="D296" s="18" t="n"/>
      <c r="E296" s="18" t="n"/>
      <c r="F296" s="18" t="n"/>
      <c r="G296" s="18" t="n"/>
      <c r="H296" s="18" t="n"/>
      <c r="I296" s="18" t="n"/>
      <c r="J296" s="18" t="n"/>
    </row>
    <row r="297">
      <c r="A297" s="41" t="n"/>
      <c r="B297" s="35">
        <f>IF(A297="","",YEAR(A297))</f>
        <v/>
      </c>
      <c r="C297" s="36">
        <f>IF(A297="","",MONTH(A297))</f>
        <v/>
      </c>
      <c r="D297" s="22" t="n"/>
      <c r="E297" s="22" t="n"/>
      <c r="F297" s="22" t="n"/>
      <c r="G297" s="22" t="n"/>
      <c r="H297" s="22" t="n"/>
      <c r="I297" s="22" t="n"/>
      <c r="J297" s="22" t="n"/>
    </row>
    <row r="298">
      <c r="A298" s="34" t="n"/>
      <c r="B298" s="35">
        <f>IF(A298="","",YEAR(A298))</f>
        <v/>
      </c>
      <c r="C298" s="36">
        <f>IF(A298="","",MONTH(A298))</f>
        <v/>
      </c>
      <c r="D298" s="18" t="n"/>
      <c r="E298" s="18" t="n"/>
      <c r="F298" s="18" t="n"/>
      <c r="G298" s="18" t="n"/>
      <c r="H298" s="18" t="n"/>
      <c r="I298" s="18" t="n"/>
      <c r="J298" s="18" t="n"/>
    </row>
    <row r="299">
      <c r="A299" s="41" t="n"/>
      <c r="B299" s="35">
        <f>IF(A299="","",YEAR(A299))</f>
        <v/>
      </c>
      <c r="C299" s="36">
        <f>IF(A299="","",MONTH(A299))</f>
        <v/>
      </c>
      <c r="D299" s="22" t="n"/>
      <c r="E299" s="22" t="n"/>
      <c r="F299" s="22" t="n"/>
      <c r="G299" s="22" t="n"/>
      <c r="H299" s="22" t="n"/>
      <c r="I299" s="22" t="n"/>
      <c r="J299" s="22" t="n"/>
    </row>
    <row r="300">
      <c r="A300" s="34" t="n"/>
      <c r="B300" s="35">
        <f>IF(A300="","",YEAR(A300))</f>
        <v/>
      </c>
      <c r="C300" s="36">
        <f>IF(A300="","",MONTH(A300))</f>
        <v/>
      </c>
      <c r="D300" s="18" t="n"/>
      <c r="E300" s="18" t="n"/>
      <c r="F300" s="18" t="n"/>
      <c r="G300" s="18" t="n"/>
      <c r="H300" s="18" t="n"/>
      <c r="I300" s="18" t="n"/>
      <c r="J300" s="18" t="n"/>
    </row>
    <row r="301">
      <c r="A301" s="41" t="n"/>
      <c r="B301" s="35">
        <f>IF(A301="","",YEAR(A301))</f>
        <v/>
      </c>
      <c r="C301" s="36">
        <f>IF(A301="","",MONTH(A301))</f>
        <v/>
      </c>
      <c r="D301" s="22" t="n"/>
      <c r="E301" s="22" t="n"/>
      <c r="F301" s="22" t="n"/>
      <c r="G301" s="22" t="n"/>
      <c r="H301" s="22" t="n"/>
      <c r="I301" s="22" t="n"/>
      <c r="J301" s="22" t="n"/>
    </row>
    <row r="302">
      <c r="A302" s="34" t="n"/>
      <c r="B302" s="35">
        <f>IF(A302="","",YEAR(A302))</f>
        <v/>
      </c>
      <c r="C302" s="36">
        <f>IF(A302="","",MONTH(A302))</f>
        <v/>
      </c>
      <c r="D302" s="18" t="n"/>
      <c r="E302" s="18" t="n"/>
      <c r="F302" s="18" t="n"/>
      <c r="G302" s="18" t="n"/>
      <c r="H302" s="18" t="n"/>
      <c r="I302" s="18" t="n"/>
      <c r="J302" s="18" t="n"/>
    </row>
    <row r="303">
      <c r="A303" s="41" t="n"/>
      <c r="B303" s="35">
        <f>IF(A303="","",YEAR(A303))</f>
        <v/>
      </c>
      <c r="C303" s="36">
        <f>IF(A303="","",MONTH(A303))</f>
        <v/>
      </c>
      <c r="D303" s="22" t="n"/>
      <c r="E303" s="22" t="n"/>
      <c r="F303" s="22" t="n"/>
      <c r="G303" s="22" t="n"/>
      <c r="H303" s="22" t="n"/>
      <c r="I303" s="22" t="n"/>
      <c r="J303" s="22" t="n"/>
    </row>
    <row r="304">
      <c r="A304" s="34" t="n"/>
      <c r="B304" s="35">
        <f>IF(A304="","",YEAR(A304))</f>
        <v/>
      </c>
      <c r="C304" s="36">
        <f>IF(A304="","",MONTH(A304))</f>
        <v/>
      </c>
      <c r="D304" s="18" t="n"/>
      <c r="E304" s="18" t="n"/>
      <c r="F304" s="18" t="n"/>
      <c r="G304" s="18" t="n"/>
      <c r="H304" s="18" t="n"/>
      <c r="I304" s="18" t="n"/>
      <c r="J304" s="18" t="n"/>
    </row>
    <row r="305">
      <c r="A305" s="41" t="n"/>
      <c r="B305" s="35">
        <f>IF(A305="","",YEAR(A305))</f>
        <v/>
      </c>
      <c r="C305" s="36">
        <f>IF(A305="","",MONTH(A305))</f>
        <v/>
      </c>
      <c r="D305" s="22" t="n"/>
      <c r="E305" s="22" t="n"/>
      <c r="F305" s="22" t="n"/>
      <c r="G305" s="22" t="n"/>
      <c r="H305" s="22" t="n"/>
      <c r="I305" s="22" t="n"/>
      <c r="J305" s="22" t="n"/>
    </row>
    <row r="306">
      <c r="A306" s="34" t="n"/>
      <c r="B306" s="35">
        <f>IF(A306="","",YEAR(A306))</f>
        <v/>
      </c>
      <c r="C306" s="36">
        <f>IF(A306="","",MONTH(A306))</f>
        <v/>
      </c>
      <c r="D306" s="18" t="n"/>
      <c r="E306" s="18" t="n"/>
      <c r="F306" s="18" t="n"/>
      <c r="G306" s="18" t="n"/>
      <c r="H306" s="18" t="n"/>
      <c r="I306" s="18" t="n"/>
      <c r="J306" s="18" t="n"/>
    </row>
    <row r="307">
      <c r="A307" s="41" t="n"/>
      <c r="B307" s="35">
        <f>IF(A307="","",YEAR(A307))</f>
        <v/>
      </c>
      <c r="C307" s="36">
        <f>IF(A307="","",MONTH(A307))</f>
        <v/>
      </c>
      <c r="D307" s="22" t="n"/>
      <c r="E307" s="22" t="n"/>
      <c r="F307" s="22" t="n"/>
      <c r="G307" s="22" t="n"/>
      <c r="H307" s="22" t="n"/>
      <c r="I307" s="22" t="n"/>
      <c r="J307" s="22" t="n"/>
    </row>
    <row r="308">
      <c r="A308" s="34" t="n"/>
      <c r="B308" s="35">
        <f>IF(A308="","",YEAR(A308))</f>
        <v/>
      </c>
      <c r="C308" s="36">
        <f>IF(A308="","",MONTH(A308))</f>
        <v/>
      </c>
      <c r="D308" s="18" t="n"/>
      <c r="E308" s="18" t="n"/>
      <c r="F308" s="18" t="n"/>
      <c r="G308" s="18" t="n"/>
      <c r="H308" s="18" t="n"/>
      <c r="I308" s="18" t="n"/>
      <c r="J308" s="18" t="n"/>
    </row>
    <row r="309">
      <c r="A309" s="41" t="n"/>
      <c r="B309" s="35">
        <f>IF(A309="","",YEAR(A309))</f>
        <v/>
      </c>
      <c r="C309" s="36">
        <f>IF(A309="","",MONTH(A309))</f>
        <v/>
      </c>
      <c r="D309" s="22" t="n"/>
      <c r="E309" s="22" t="n"/>
      <c r="F309" s="22" t="n"/>
      <c r="G309" s="22" t="n"/>
      <c r="H309" s="22" t="n"/>
      <c r="I309" s="22" t="n"/>
      <c r="J309" s="22" t="n"/>
    </row>
    <row r="310">
      <c r="A310" s="34" t="n"/>
      <c r="B310" s="35">
        <f>IF(A310="","",YEAR(A310))</f>
        <v/>
      </c>
      <c r="C310" s="36">
        <f>IF(A310="","",MONTH(A310))</f>
        <v/>
      </c>
      <c r="D310" s="18" t="n"/>
      <c r="E310" s="18" t="n"/>
      <c r="F310" s="18" t="n"/>
      <c r="G310" s="18" t="n"/>
      <c r="H310" s="18" t="n"/>
      <c r="I310" s="18" t="n"/>
      <c r="J310" s="18" t="n"/>
    </row>
    <row r="311">
      <c r="A311" s="41" t="n"/>
      <c r="B311" s="35">
        <f>IF(A311="","",YEAR(A311))</f>
        <v/>
      </c>
      <c r="C311" s="36">
        <f>IF(A311="","",MONTH(A311))</f>
        <v/>
      </c>
      <c r="D311" s="22" t="n"/>
      <c r="E311" s="22" t="n"/>
      <c r="F311" s="22" t="n"/>
      <c r="G311" s="22" t="n"/>
      <c r="H311" s="22" t="n"/>
      <c r="I311" s="22" t="n"/>
      <c r="J311" s="22" t="n"/>
    </row>
    <row r="312">
      <c r="A312" s="34" t="n"/>
      <c r="B312" s="35">
        <f>IF(A312="","",YEAR(A312))</f>
        <v/>
      </c>
      <c r="C312" s="36">
        <f>IF(A312="","",MONTH(A312))</f>
        <v/>
      </c>
      <c r="D312" s="18" t="n"/>
      <c r="E312" s="18" t="n"/>
      <c r="F312" s="18" t="n"/>
      <c r="G312" s="18" t="n"/>
      <c r="H312" s="18" t="n"/>
      <c r="I312" s="18" t="n"/>
      <c r="J312" s="18" t="n"/>
    </row>
    <row r="313">
      <c r="A313" s="41" t="n"/>
      <c r="B313" s="35">
        <f>IF(A313="","",YEAR(A313))</f>
        <v/>
      </c>
      <c r="C313" s="36">
        <f>IF(A313="","",MONTH(A313))</f>
        <v/>
      </c>
      <c r="D313" s="22" t="n"/>
      <c r="E313" s="22" t="n"/>
      <c r="F313" s="22" t="n"/>
      <c r="G313" s="22" t="n"/>
      <c r="H313" s="22" t="n"/>
      <c r="I313" s="22" t="n"/>
      <c r="J313" s="22" t="n"/>
    </row>
    <row r="314">
      <c r="A314" s="34" t="n"/>
      <c r="B314" s="35">
        <f>IF(A314="","",YEAR(A314))</f>
        <v/>
      </c>
      <c r="C314" s="36">
        <f>IF(A314="","",MONTH(A314))</f>
        <v/>
      </c>
      <c r="D314" s="18" t="n"/>
      <c r="E314" s="18" t="n"/>
      <c r="F314" s="18" t="n"/>
      <c r="G314" s="18" t="n"/>
      <c r="H314" s="18" t="n"/>
      <c r="I314" s="18" t="n"/>
      <c r="J314" s="18" t="n"/>
    </row>
    <row r="315">
      <c r="A315" s="41" t="n"/>
      <c r="B315" s="35">
        <f>IF(A315="","",YEAR(A315))</f>
        <v/>
      </c>
      <c r="C315" s="36">
        <f>IF(A315="","",MONTH(A315))</f>
        <v/>
      </c>
      <c r="D315" s="22" t="n"/>
      <c r="E315" s="22" t="n"/>
      <c r="F315" s="22" t="n"/>
      <c r="G315" s="22" t="n"/>
      <c r="H315" s="22" t="n"/>
      <c r="I315" s="22" t="n"/>
      <c r="J315" s="22" t="n"/>
    </row>
    <row r="316">
      <c r="A316" s="34" t="n"/>
      <c r="B316" s="35">
        <f>IF(A316="","",YEAR(A316))</f>
        <v/>
      </c>
      <c r="C316" s="36">
        <f>IF(A316="","",MONTH(A316))</f>
        <v/>
      </c>
      <c r="D316" s="18" t="n"/>
      <c r="E316" s="18" t="n"/>
      <c r="F316" s="18" t="n"/>
      <c r="G316" s="18" t="n"/>
      <c r="H316" s="18" t="n"/>
      <c r="I316" s="18" t="n"/>
      <c r="J316" s="18" t="n"/>
    </row>
    <row r="317">
      <c r="A317" s="41" t="n"/>
      <c r="B317" s="35">
        <f>IF(A317="","",YEAR(A317))</f>
        <v/>
      </c>
      <c r="C317" s="36">
        <f>IF(A317="","",MONTH(A317))</f>
        <v/>
      </c>
      <c r="D317" s="22" t="n"/>
      <c r="E317" s="22" t="n"/>
      <c r="F317" s="22" t="n"/>
      <c r="G317" s="22" t="n"/>
      <c r="H317" s="22" t="n"/>
      <c r="I317" s="22" t="n"/>
      <c r="J317" s="22" t="n"/>
    </row>
    <row r="318">
      <c r="A318" s="34" t="n"/>
      <c r="B318" s="35">
        <f>IF(A318="","",YEAR(A318))</f>
        <v/>
      </c>
      <c r="C318" s="36">
        <f>IF(A318="","",MONTH(A318))</f>
        <v/>
      </c>
      <c r="D318" s="18" t="n"/>
      <c r="E318" s="18" t="n"/>
      <c r="F318" s="18" t="n"/>
      <c r="G318" s="18" t="n"/>
      <c r="H318" s="18" t="n"/>
      <c r="I318" s="18" t="n"/>
      <c r="J318" s="18" t="n"/>
    </row>
    <row r="319">
      <c r="A319" s="41" t="n"/>
      <c r="B319" s="35">
        <f>IF(A319="","",YEAR(A319))</f>
        <v/>
      </c>
      <c r="C319" s="36">
        <f>IF(A319="","",MONTH(A319))</f>
        <v/>
      </c>
      <c r="D319" s="22" t="n"/>
      <c r="E319" s="22" t="n"/>
      <c r="F319" s="22" t="n"/>
      <c r="G319" s="22" t="n"/>
      <c r="H319" s="22" t="n"/>
      <c r="I319" s="22" t="n"/>
      <c r="J319" s="22" t="n"/>
    </row>
    <row r="320">
      <c r="A320" s="34" t="n"/>
      <c r="B320" s="35">
        <f>IF(A320="","",YEAR(A320))</f>
        <v/>
      </c>
      <c r="C320" s="36">
        <f>IF(A320="","",MONTH(A320))</f>
        <v/>
      </c>
      <c r="D320" s="18" t="n"/>
      <c r="E320" s="18" t="n"/>
      <c r="F320" s="18" t="n"/>
      <c r="G320" s="18" t="n"/>
      <c r="H320" s="18" t="n"/>
      <c r="I320" s="18" t="n"/>
      <c r="J320" s="18" t="n"/>
    </row>
    <row r="321">
      <c r="A321" s="41" t="n"/>
      <c r="B321" s="35">
        <f>IF(A321="","",YEAR(A321))</f>
        <v/>
      </c>
      <c r="C321" s="36">
        <f>IF(A321="","",MONTH(A321))</f>
        <v/>
      </c>
      <c r="D321" s="22" t="n"/>
      <c r="E321" s="22" t="n"/>
      <c r="F321" s="22" t="n"/>
      <c r="G321" s="22" t="n"/>
      <c r="H321" s="22" t="n"/>
      <c r="I321" s="22" t="n"/>
      <c r="J321" s="22" t="n"/>
    </row>
    <row r="322">
      <c r="A322" s="34" t="n"/>
      <c r="B322" s="35">
        <f>IF(A322="","",YEAR(A322))</f>
        <v/>
      </c>
      <c r="C322" s="36">
        <f>IF(A322="","",MONTH(A322))</f>
        <v/>
      </c>
      <c r="D322" s="18" t="n"/>
      <c r="E322" s="18" t="n"/>
      <c r="F322" s="18" t="n"/>
      <c r="G322" s="18" t="n"/>
      <c r="H322" s="18" t="n"/>
      <c r="I322" s="18" t="n"/>
      <c r="J322" s="18" t="n"/>
    </row>
    <row r="323">
      <c r="A323" s="41" t="n"/>
      <c r="B323" s="35">
        <f>IF(A323="","",YEAR(A323))</f>
        <v/>
      </c>
      <c r="C323" s="36">
        <f>IF(A323="","",MONTH(A323))</f>
        <v/>
      </c>
      <c r="D323" s="22" t="n"/>
      <c r="E323" s="22" t="n"/>
      <c r="F323" s="22" t="n"/>
      <c r="G323" s="22" t="n"/>
      <c r="H323" s="22" t="n"/>
      <c r="I323" s="22" t="n"/>
      <c r="J323" s="22" t="n"/>
    </row>
    <row r="324">
      <c r="A324" s="34" t="n"/>
      <c r="B324" s="35">
        <f>IF(A324="","",YEAR(A324))</f>
        <v/>
      </c>
      <c r="C324" s="36">
        <f>IF(A324="","",MONTH(A324))</f>
        <v/>
      </c>
      <c r="D324" s="18" t="n"/>
      <c r="E324" s="18" t="n"/>
      <c r="F324" s="18" t="n"/>
      <c r="G324" s="18" t="n"/>
      <c r="H324" s="18" t="n"/>
      <c r="I324" s="18" t="n"/>
      <c r="J324" s="18" t="n"/>
    </row>
    <row r="325">
      <c r="A325" s="41" t="n"/>
      <c r="B325" s="35">
        <f>IF(A325="","",YEAR(A325))</f>
        <v/>
      </c>
      <c r="C325" s="36">
        <f>IF(A325="","",MONTH(A325))</f>
        <v/>
      </c>
      <c r="D325" s="22" t="n"/>
      <c r="E325" s="22" t="n"/>
      <c r="F325" s="22" t="n"/>
      <c r="G325" s="22" t="n"/>
      <c r="H325" s="22" t="n"/>
      <c r="I325" s="22" t="n"/>
      <c r="J325" s="22" t="n"/>
    </row>
    <row r="326">
      <c r="A326" s="34" t="n"/>
      <c r="B326" s="35">
        <f>IF(A326="","",YEAR(A326))</f>
        <v/>
      </c>
      <c r="C326" s="36">
        <f>IF(A326="","",MONTH(A326))</f>
        <v/>
      </c>
      <c r="D326" s="18" t="n"/>
      <c r="E326" s="18" t="n"/>
      <c r="F326" s="18" t="n"/>
      <c r="G326" s="18" t="n"/>
      <c r="H326" s="18" t="n"/>
      <c r="I326" s="18" t="n"/>
      <c r="J326" s="18" t="n"/>
    </row>
    <row r="327">
      <c r="A327" s="41" t="n"/>
      <c r="B327" s="35">
        <f>IF(A327="","",YEAR(A327))</f>
        <v/>
      </c>
      <c r="C327" s="36">
        <f>IF(A327="","",MONTH(A327))</f>
        <v/>
      </c>
      <c r="D327" s="22" t="n"/>
      <c r="E327" s="22" t="n"/>
      <c r="F327" s="22" t="n"/>
      <c r="G327" s="22" t="n"/>
      <c r="H327" s="22" t="n"/>
      <c r="I327" s="22" t="n"/>
      <c r="J327" s="22" t="n"/>
    </row>
    <row r="328">
      <c r="A328" s="34" t="n"/>
      <c r="B328" s="35">
        <f>IF(A328="","",YEAR(A328))</f>
        <v/>
      </c>
      <c r="C328" s="36">
        <f>IF(A328="","",MONTH(A328))</f>
        <v/>
      </c>
      <c r="D328" s="18" t="n"/>
      <c r="E328" s="18" t="n"/>
      <c r="F328" s="18" t="n"/>
      <c r="G328" s="18" t="n"/>
      <c r="H328" s="18" t="n"/>
      <c r="I328" s="18" t="n"/>
      <c r="J328" s="18" t="n"/>
    </row>
    <row r="329">
      <c r="A329" s="41" t="n"/>
      <c r="B329" s="35">
        <f>IF(A329="","",YEAR(A329))</f>
        <v/>
      </c>
      <c r="C329" s="36">
        <f>IF(A329="","",MONTH(A329))</f>
        <v/>
      </c>
      <c r="D329" s="22" t="n"/>
      <c r="E329" s="22" t="n"/>
      <c r="F329" s="22" t="n"/>
      <c r="G329" s="22" t="n"/>
      <c r="H329" s="22" t="n"/>
      <c r="I329" s="22" t="n"/>
      <c r="J329" s="22" t="n"/>
    </row>
    <row r="330">
      <c r="A330" s="34" t="n"/>
      <c r="B330" s="35">
        <f>IF(A330="","",YEAR(A330))</f>
        <v/>
      </c>
      <c r="C330" s="36">
        <f>IF(A330="","",MONTH(A330))</f>
        <v/>
      </c>
      <c r="D330" s="18" t="n"/>
      <c r="E330" s="18" t="n"/>
      <c r="F330" s="18" t="n"/>
      <c r="G330" s="18" t="n"/>
      <c r="H330" s="18" t="n"/>
      <c r="I330" s="18" t="n"/>
      <c r="J330" s="18" t="n"/>
    </row>
    <row r="331">
      <c r="A331" s="41" t="n"/>
      <c r="B331" s="35">
        <f>IF(A331="","",YEAR(A331))</f>
        <v/>
      </c>
      <c r="C331" s="36">
        <f>IF(A331="","",MONTH(A331))</f>
        <v/>
      </c>
      <c r="D331" s="22" t="n"/>
      <c r="E331" s="22" t="n"/>
      <c r="F331" s="22" t="n"/>
      <c r="G331" s="22" t="n"/>
      <c r="H331" s="22" t="n"/>
      <c r="I331" s="22" t="n"/>
      <c r="J331" s="22" t="n"/>
    </row>
    <row r="332">
      <c r="A332" s="34" t="n"/>
      <c r="B332" s="35">
        <f>IF(A332="","",YEAR(A332))</f>
        <v/>
      </c>
      <c r="C332" s="36">
        <f>IF(A332="","",MONTH(A332))</f>
        <v/>
      </c>
      <c r="D332" s="18" t="n"/>
      <c r="E332" s="18" t="n"/>
      <c r="F332" s="18" t="n"/>
      <c r="G332" s="18" t="n"/>
      <c r="H332" s="18" t="n"/>
      <c r="I332" s="18" t="n"/>
      <c r="J332" s="18" t="n"/>
    </row>
    <row r="333">
      <c r="A333" s="41" t="n"/>
      <c r="B333" s="35">
        <f>IF(A333="","",YEAR(A333))</f>
        <v/>
      </c>
      <c r="C333" s="36">
        <f>IF(A333="","",MONTH(A333))</f>
        <v/>
      </c>
      <c r="D333" s="22" t="n"/>
      <c r="E333" s="22" t="n"/>
      <c r="F333" s="22" t="n"/>
      <c r="G333" s="22" t="n"/>
      <c r="H333" s="22" t="n"/>
      <c r="I333" s="22" t="n"/>
      <c r="J333" s="22" t="n"/>
    </row>
    <row r="334">
      <c r="A334" s="34" t="n"/>
      <c r="B334" s="35">
        <f>IF(A334="","",YEAR(A334))</f>
        <v/>
      </c>
      <c r="C334" s="36">
        <f>IF(A334="","",MONTH(A334))</f>
        <v/>
      </c>
      <c r="D334" s="18" t="n"/>
      <c r="E334" s="18" t="n"/>
      <c r="F334" s="18" t="n"/>
      <c r="G334" s="18" t="n"/>
      <c r="H334" s="18" t="n"/>
      <c r="I334" s="18" t="n"/>
      <c r="J334" s="18" t="n"/>
    </row>
    <row r="335">
      <c r="A335" s="41" t="n"/>
      <c r="B335" s="35">
        <f>IF(A335="","",YEAR(A335))</f>
        <v/>
      </c>
      <c r="C335" s="36">
        <f>IF(A335="","",MONTH(A335))</f>
        <v/>
      </c>
      <c r="D335" s="22" t="n"/>
      <c r="E335" s="22" t="n"/>
      <c r="F335" s="22" t="n"/>
      <c r="G335" s="22" t="n"/>
      <c r="H335" s="22" t="n"/>
      <c r="I335" s="22" t="n"/>
      <c r="J335" s="22" t="n"/>
    </row>
    <row r="336">
      <c r="A336" s="34" t="n"/>
      <c r="B336" s="35">
        <f>IF(A336="","",YEAR(A336))</f>
        <v/>
      </c>
      <c r="C336" s="36">
        <f>IF(A336="","",MONTH(A336))</f>
        <v/>
      </c>
      <c r="D336" s="18" t="n"/>
      <c r="E336" s="18" t="n"/>
      <c r="F336" s="18" t="n"/>
      <c r="G336" s="18" t="n"/>
      <c r="H336" s="18" t="n"/>
      <c r="I336" s="18" t="n"/>
      <c r="J336" s="18" t="n"/>
    </row>
    <row r="337">
      <c r="A337" s="41" t="n"/>
      <c r="B337" s="35">
        <f>IF(A337="","",YEAR(A337))</f>
        <v/>
      </c>
      <c r="C337" s="36">
        <f>IF(A337="","",MONTH(A337))</f>
        <v/>
      </c>
      <c r="D337" s="22" t="n"/>
      <c r="E337" s="22" t="n"/>
      <c r="F337" s="22" t="n"/>
      <c r="G337" s="22" t="n"/>
      <c r="H337" s="22" t="n"/>
      <c r="I337" s="22" t="n"/>
      <c r="J337" s="22" t="n"/>
    </row>
    <row r="338">
      <c r="A338" s="34" t="n"/>
      <c r="B338" s="35">
        <f>IF(A338="","",YEAR(A338))</f>
        <v/>
      </c>
      <c r="C338" s="36">
        <f>IF(A338="","",MONTH(A338))</f>
        <v/>
      </c>
      <c r="D338" s="18" t="n"/>
      <c r="E338" s="18" t="n"/>
      <c r="F338" s="18" t="n"/>
      <c r="G338" s="18" t="n"/>
      <c r="H338" s="18" t="n"/>
      <c r="I338" s="18" t="n"/>
      <c r="J338" s="18" t="n"/>
    </row>
    <row r="339">
      <c r="A339" s="41" t="n"/>
      <c r="B339" s="35">
        <f>IF(A339="","",YEAR(A339))</f>
        <v/>
      </c>
      <c r="C339" s="36">
        <f>IF(A339="","",MONTH(A339))</f>
        <v/>
      </c>
      <c r="D339" s="22" t="n"/>
      <c r="E339" s="22" t="n"/>
      <c r="F339" s="22" t="n"/>
      <c r="G339" s="22" t="n"/>
      <c r="H339" s="22" t="n"/>
      <c r="I339" s="22" t="n"/>
      <c r="J339" s="22" t="n"/>
    </row>
    <row r="340">
      <c r="A340" s="34" t="n"/>
      <c r="B340" s="35">
        <f>IF(A340="","",YEAR(A340))</f>
        <v/>
      </c>
      <c r="C340" s="36">
        <f>IF(A340="","",MONTH(A340))</f>
        <v/>
      </c>
      <c r="D340" s="18" t="n"/>
      <c r="E340" s="18" t="n"/>
      <c r="F340" s="18" t="n"/>
      <c r="G340" s="18" t="n"/>
      <c r="H340" s="18" t="n"/>
      <c r="I340" s="18" t="n"/>
      <c r="J340" s="18" t="n"/>
    </row>
    <row r="341">
      <c r="A341" s="41" t="n"/>
      <c r="B341" s="35">
        <f>IF(A341="","",YEAR(A341))</f>
        <v/>
      </c>
      <c r="C341" s="36">
        <f>IF(A341="","",MONTH(A341))</f>
        <v/>
      </c>
      <c r="D341" s="22" t="n"/>
      <c r="E341" s="22" t="n"/>
      <c r="F341" s="22" t="n"/>
      <c r="G341" s="22" t="n"/>
      <c r="H341" s="22" t="n"/>
      <c r="I341" s="22" t="n"/>
      <c r="J341" s="22" t="n"/>
    </row>
    <row r="342">
      <c r="A342" s="34" t="n"/>
      <c r="B342" s="35">
        <f>IF(A342="","",YEAR(A342))</f>
        <v/>
      </c>
      <c r="C342" s="36">
        <f>IF(A342="","",MONTH(A342))</f>
        <v/>
      </c>
      <c r="D342" s="18" t="n"/>
      <c r="E342" s="18" t="n"/>
      <c r="F342" s="18" t="n"/>
      <c r="G342" s="18" t="n"/>
      <c r="H342" s="18" t="n"/>
      <c r="I342" s="18" t="n"/>
      <c r="J342" s="18" t="n"/>
    </row>
    <row r="343">
      <c r="A343" s="41" t="n"/>
      <c r="B343" s="35">
        <f>IF(A343="","",YEAR(A343))</f>
        <v/>
      </c>
      <c r="C343" s="36">
        <f>IF(A343="","",MONTH(A343))</f>
        <v/>
      </c>
      <c r="D343" s="22" t="n"/>
      <c r="E343" s="22" t="n"/>
      <c r="F343" s="22" t="n"/>
      <c r="G343" s="22" t="n"/>
      <c r="H343" s="22" t="n"/>
      <c r="I343" s="22" t="n"/>
      <c r="J343" s="22" t="n"/>
    </row>
    <row r="344">
      <c r="A344" s="34" t="n"/>
      <c r="B344" s="35">
        <f>IF(A344="","",YEAR(A344))</f>
        <v/>
      </c>
      <c r="C344" s="36">
        <f>IF(A344="","",MONTH(A344))</f>
        <v/>
      </c>
      <c r="D344" s="18" t="n"/>
      <c r="E344" s="18" t="n"/>
      <c r="F344" s="18" t="n"/>
      <c r="G344" s="18" t="n"/>
      <c r="H344" s="18" t="n"/>
      <c r="I344" s="18" t="n"/>
      <c r="J344" s="18" t="n"/>
    </row>
    <row r="345">
      <c r="A345" s="41" t="n"/>
      <c r="B345" s="35">
        <f>IF(A345="","",YEAR(A345))</f>
        <v/>
      </c>
      <c r="C345" s="36">
        <f>IF(A345="","",MONTH(A345))</f>
        <v/>
      </c>
      <c r="D345" s="22" t="n"/>
      <c r="E345" s="22" t="n"/>
      <c r="F345" s="22" t="n"/>
      <c r="G345" s="22" t="n"/>
      <c r="H345" s="22" t="n"/>
      <c r="I345" s="22" t="n"/>
      <c r="J345" s="22" t="n"/>
    </row>
    <row r="346">
      <c r="A346" s="34" t="n"/>
      <c r="B346" s="35">
        <f>IF(A346="","",YEAR(A346))</f>
        <v/>
      </c>
      <c r="C346" s="36">
        <f>IF(A346="","",MONTH(A346))</f>
        <v/>
      </c>
      <c r="D346" s="18" t="n"/>
      <c r="E346" s="18" t="n"/>
      <c r="F346" s="18" t="n"/>
      <c r="G346" s="18" t="n"/>
      <c r="H346" s="18" t="n"/>
      <c r="I346" s="18" t="n"/>
      <c r="J346" s="18" t="n"/>
    </row>
    <row r="347">
      <c r="A347" s="41" t="n"/>
      <c r="B347" s="35">
        <f>IF(A347="","",YEAR(A347))</f>
        <v/>
      </c>
      <c r="C347" s="36">
        <f>IF(A347="","",MONTH(A347))</f>
        <v/>
      </c>
      <c r="D347" s="22" t="n"/>
      <c r="E347" s="22" t="n"/>
      <c r="F347" s="22" t="n"/>
      <c r="G347" s="22" t="n"/>
      <c r="H347" s="22" t="n"/>
      <c r="I347" s="22" t="n"/>
      <c r="J347" s="22" t="n"/>
    </row>
    <row r="348">
      <c r="A348" s="34" t="n"/>
      <c r="B348" s="35">
        <f>IF(A348="","",YEAR(A348))</f>
        <v/>
      </c>
      <c r="C348" s="36">
        <f>IF(A348="","",MONTH(A348))</f>
        <v/>
      </c>
      <c r="D348" s="18" t="n"/>
      <c r="E348" s="18" t="n"/>
      <c r="F348" s="18" t="n"/>
      <c r="G348" s="18" t="n"/>
      <c r="H348" s="18" t="n"/>
      <c r="I348" s="18" t="n"/>
      <c r="J348" s="18" t="n"/>
    </row>
    <row r="349">
      <c r="A349" s="41" t="n"/>
      <c r="B349" s="35">
        <f>IF(A349="","",YEAR(A349))</f>
        <v/>
      </c>
      <c r="C349" s="36">
        <f>IF(A349="","",MONTH(A349))</f>
        <v/>
      </c>
      <c r="D349" s="22" t="n"/>
      <c r="E349" s="22" t="n"/>
      <c r="F349" s="22" t="n"/>
      <c r="G349" s="22" t="n"/>
      <c r="H349" s="22" t="n"/>
      <c r="I349" s="22" t="n"/>
      <c r="J349" s="22" t="n"/>
    </row>
    <row r="350">
      <c r="A350" s="34" t="n"/>
      <c r="B350" s="35">
        <f>IF(A350="","",YEAR(A350))</f>
        <v/>
      </c>
      <c r="C350" s="36">
        <f>IF(A350="","",MONTH(A350))</f>
        <v/>
      </c>
      <c r="D350" s="18" t="n"/>
      <c r="E350" s="18" t="n"/>
      <c r="F350" s="18" t="n"/>
      <c r="G350" s="18" t="n"/>
      <c r="H350" s="18" t="n"/>
      <c r="I350" s="18" t="n"/>
      <c r="J350" s="18" t="n"/>
    </row>
    <row r="351">
      <c r="A351" s="41" t="n"/>
      <c r="B351" s="35">
        <f>IF(A351="","",YEAR(A351))</f>
        <v/>
      </c>
      <c r="C351" s="36">
        <f>IF(A351="","",MONTH(A351))</f>
        <v/>
      </c>
      <c r="D351" s="22" t="n"/>
      <c r="E351" s="22" t="n"/>
      <c r="F351" s="22" t="n"/>
      <c r="G351" s="22" t="n"/>
      <c r="H351" s="22" t="n"/>
      <c r="I351" s="22" t="n"/>
      <c r="J351" s="22" t="n"/>
    </row>
    <row r="352">
      <c r="A352" s="34" t="n"/>
      <c r="B352" s="35">
        <f>IF(A352="","",YEAR(A352))</f>
        <v/>
      </c>
      <c r="C352" s="36">
        <f>IF(A352="","",MONTH(A352))</f>
        <v/>
      </c>
      <c r="D352" s="18" t="n"/>
      <c r="E352" s="18" t="n"/>
      <c r="F352" s="18" t="n"/>
      <c r="G352" s="18" t="n"/>
      <c r="H352" s="18" t="n"/>
      <c r="I352" s="18" t="n"/>
      <c r="J352" s="18" t="n"/>
    </row>
    <row r="353">
      <c r="A353" s="41" t="n"/>
      <c r="B353" s="35">
        <f>IF(A353="","",YEAR(A353))</f>
        <v/>
      </c>
      <c r="C353" s="36">
        <f>IF(A353="","",MONTH(A353))</f>
        <v/>
      </c>
      <c r="D353" s="22" t="n"/>
      <c r="E353" s="22" t="n"/>
      <c r="F353" s="22" t="n"/>
      <c r="G353" s="22" t="n"/>
      <c r="H353" s="22" t="n"/>
      <c r="I353" s="22" t="n"/>
      <c r="J353" s="22" t="n"/>
    </row>
    <row r="354">
      <c r="A354" s="34" t="n"/>
      <c r="B354" s="35">
        <f>IF(A354="","",YEAR(A354))</f>
        <v/>
      </c>
      <c r="C354" s="36">
        <f>IF(A354="","",MONTH(A354))</f>
        <v/>
      </c>
      <c r="D354" s="18" t="n"/>
      <c r="E354" s="18" t="n"/>
      <c r="F354" s="18" t="n"/>
      <c r="G354" s="18" t="n"/>
      <c r="H354" s="18" t="n"/>
      <c r="I354" s="18" t="n"/>
      <c r="J354" s="18" t="n"/>
    </row>
    <row r="355">
      <c r="A355" s="41" t="n"/>
      <c r="B355" s="35">
        <f>IF(A355="","",YEAR(A355))</f>
        <v/>
      </c>
      <c r="C355" s="36">
        <f>IF(A355="","",MONTH(A355))</f>
        <v/>
      </c>
      <c r="D355" s="22" t="n"/>
      <c r="E355" s="22" t="n"/>
      <c r="F355" s="22" t="n"/>
      <c r="G355" s="22" t="n"/>
      <c r="H355" s="22" t="n"/>
      <c r="I355" s="22" t="n"/>
      <c r="J355" s="22" t="n"/>
    </row>
    <row r="356">
      <c r="A356" s="34" t="n"/>
      <c r="B356" s="35">
        <f>IF(A356="","",YEAR(A356))</f>
        <v/>
      </c>
      <c r="C356" s="36">
        <f>IF(A356="","",MONTH(A356))</f>
        <v/>
      </c>
      <c r="D356" s="18" t="n"/>
      <c r="E356" s="18" t="n"/>
      <c r="F356" s="18" t="n"/>
      <c r="G356" s="18" t="n"/>
      <c r="H356" s="18" t="n"/>
      <c r="I356" s="18" t="n"/>
      <c r="J356" s="18" t="n"/>
    </row>
    <row r="357">
      <c r="A357" s="41" t="n"/>
      <c r="B357" s="35">
        <f>IF(A357="","",YEAR(A357))</f>
        <v/>
      </c>
      <c r="C357" s="36">
        <f>IF(A357="","",MONTH(A357))</f>
        <v/>
      </c>
      <c r="D357" s="22" t="n"/>
      <c r="E357" s="22" t="n"/>
      <c r="F357" s="22" t="n"/>
      <c r="G357" s="22" t="n"/>
      <c r="H357" s="22" t="n"/>
      <c r="I357" s="22" t="n"/>
      <c r="J357" s="22" t="n"/>
    </row>
    <row r="358">
      <c r="A358" s="34" t="n"/>
      <c r="B358" s="35">
        <f>IF(A358="","",YEAR(A358))</f>
        <v/>
      </c>
      <c r="C358" s="36">
        <f>IF(A358="","",MONTH(A358))</f>
        <v/>
      </c>
      <c r="D358" s="18" t="n"/>
      <c r="E358" s="18" t="n"/>
      <c r="F358" s="18" t="n"/>
      <c r="G358" s="18" t="n"/>
      <c r="H358" s="18" t="n"/>
      <c r="I358" s="18" t="n"/>
      <c r="J358" s="18" t="n"/>
    </row>
    <row r="359">
      <c r="A359" s="41" t="n"/>
      <c r="B359" s="35">
        <f>IF(A359="","",YEAR(A359))</f>
        <v/>
      </c>
      <c r="C359" s="36">
        <f>IF(A359="","",MONTH(A359))</f>
        <v/>
      </c>
      <c r="D359" s="22" t="n"/>
      <c r="E359" s="22" t="n"/>
      <c r="F359" s="22" t="n"/>
      <c r="G359" s="22" t="n"/>
      <c r="H359" s="22" t="n"/>
      <c r="I359" s="22" t="n"/>
      <c r="J359" s="22" t="n"/>
    </row>
    <row r="360">
      <c r="A360" s="34" t="n"/>
      <c r="B360" s="35">
        <f>IF(A360="","",YEAR(A360))</f>
        <v/>
      </c>
      <c r="C360" s="36">
        <f>IF(A360="","",MONTH(A360))</f>
        <v/>
      </c>
      <c r="D360" s="18" t="n"/>
      <c r="E360" s="18" t="n"/>
      <c r="F360" s="18" t="n"/>
      <c r="G360" s="18" t="n"/>
      <c r="H360" s="18" t="n"/>
      <c r="I360" s="18" t="n"/>
      <c r="J360" s="18" t="n"/>
    </row>
    <row r="361">
      <c r="A361" s="41" t="n"/>
      <c r="B361" s="35">
        <f>IF(A361="","",YEAR(A361))</f>
        <v/>
      </c>
      <c r="C361" s="36">
        <f>IF(A361="","",MONTH(A361))</f>
        <v/>
      </c>
      <c r="D361" s="22" t="n"/>
      <c r="E361" s="22" t="n"/>
      <c r="F361" s="22" t="n"/>
      <c r="G361" s="22" t="n"/>
      <c r="H361" s="22" t="n"/>
      <c r="I361" s="22" t="n"/>
      <c r="J361" s="22" t="n"/>
    </row>
    <row r="362">
      <c r="A362" s="34" t="n"/>
      <c r="B362" s="35">
        <f>IF(A362="","",YEAR(A362))</f>
        <v/>
      </c>
      <c r="C362" s="36">
        <f>IF(A362="","",MONTH(A362))</f>
        <v/>
      </c>
      <c r="D362" s="18" t="n"/>
      <c r="E362" s="18" t="n"/>
      <c r="F362" s="18" t="n"/>
      <c r="G362" s="18" t="n"/>
      <c r="H362" s="18" t="n"/>
      <c r="I362" s="18" t="n"/>
      <c r="J362" s="18" t="n"/>
    </row>
    <row r="363">
      <c r="A363" s="41" t="n"/>
      <c r="B363" s="35">
        <f>IF(A363="","",YEAR(A363))</f>
        <v/>
      </c>
      <c r="C363" s="36">
        <f>IF(A363="","",MONTH(A363))</f>
        <v/>
      </c>
      <c r="D363" s="22" t="n"/>
      <c r="E363" s="22" t="n"/>
      <c r="F363" s="22" t="n"/>
      <c r="G363" s="22" t="n"/>
      <c r="H363" s="22" t="n"/>
      <c r="I363" s="22" t="n"/>
      <c r="J363" s="22" t="n"/>
    </row>
    <row r="364">
      <c r="A364" s="34" t="n"/>
      <c r="B364" s="35">
        <f>IF(A364="","",YEAR(A364))</f>
        <v/>
      </c>
      <c r="C364" s="36">
        <f>IF(A364="","",MONTH(A364))</f>
        <v/>
      </c>
      <c r="D364" s="18" t="n"/>
      <c r="E364" s="18" t="n"/>
      <c r="F364" s="18" t="n"/>
      <c r="G364" s="18" t="n"/>
      <c r="H364" s="18" t="n"/>
      <c r="I364" s="18" t="n"/>
      <c r="J364" s="18" t="n"/>
    </row>
    <row r="365">
      <c r="A365" s="41" t="n"/>
      <c r="B365" s="35">
        <f>IF(A365="","",YEAR(A365))</f>
        <v/>
      </c>
      <c r="C365" s="36">
        <f>IF(A365="","",MONTH(A365))</f>
        <v/>
      </c>
      <c r="D365" s="22" t="n"/>
      <c r="E365" s="22" t="n"/>
      <c r="F365" s="22" t="n"/>
      <c r="G365" s="22" t="n"/>
      <c r="H365" s="22" t="n"/>
      <c r="I365" s="22" t="n"/>
      <c r="J365" s="22" t="n"/>
    </row>
    <row r="366">
      <c r="A366" s="34" t="n"/>
      <c r="B366" s="35">
        <f>IF(A366="","",YEAR(A366))</f>
        <v/>
      </c>
      <c r="C366" s="36">
        <f>IF(A366="","",MONTH(A366))</f>
        <v/>
      </c>
      <c r="D366" s="18" t="n"/>
      <c r="E366" s="18" t="n"/>
      <c r="F366" s="18" t="n"/>
      <c r="G366" s="18" t="n"/>
      <c r="H366" s="18" t="n"/>
      <c r="I366" s="18" t="n"/>
      <c r="J366" s="18" t="n"/>
    </row>
    <row r="367">
      <c r="A367" s="41" t="n"/>
      <c r="B367" s="35">
        <f>IF(A367="","",YEAR(A367))</f>
        <v/>
      </c>
      <c r="C367" s="36">
        <f>IF(A367="","",MONTH(A367))</f>
        <v/>
      </c>
      <c r="D367" s="22" t="n"/>
      <c r="E367" s="22" t="n"/>
      <c r="F367" s="22" t="n"/>
      <c r="G367" s="22" t="n"/>
      <c r="H367" s="22" t="n"/>
      <c r="I367" s="22" t="n"/>
      <c r="J367" s="22" t="n"/>
    </row>
    <row r="368">
      <c r="A368" s="34" t="n"/>
      <c r="B368" s="35">
        <f>IF(A368="","",YEAR(A368))</f>
        <v/>
      </c>
      <c r="C368" s="36">
        <f>IF(A368="","",MONTH(A368))</f>
        <v/>
      </c>
      <c r="D368" s="18" t="n"/>
      <c r="E368" s="18" t="n"/>
      <c r="F368" s="18" t="n"/>
      <c r="G368" s="18" t="n"/>
      <c r="H368" s="18" t="n"/>
      <c r="I368" s="18" t="n"/>
      <c r="J368" s="18" t="n"/>
    </row>
    <row r="369">
      <c r="A369" s="41" t="n"/>
      <c r="B369" s="35">
        <f>IF(A369="","",YEAR(A369))</f>
        <v/>
      </c>
      <c r="C369" s="36">
        <f>IF(A369="","",MONTH(A369))</f>
        <v/>
      </c>
      <c r="D369" s="22" t="n"/>
      <c r="E369" s="22" t="n"/>
      <c r="F369" s="22" t="n"/>
      <c r="G369" s="22" t="n"/>
      <c r="H369" s="22" t="n"/>
      <c r="I369" s="22" t="n"/>
      <c r="J369" s="22" t="n"/>
    </row>
    <row r="370">
      <c r="A370" s="34" t="n"/>
      <c r="B370" s="35">
        <f>IF(A370="","",YEAR(A370))</f>
        <v/>
      </c>
      <c r="C370" s="36">
        <f>IF(A370="","",MONTH(A370))</f>
        <v/>
      </c>
      <c r="D370" s="18" t="n"/>
      <c r="E370" s="18" t="n"/>
      <c r="F370" s="18" t="n"/>
      <c r="G370" s="18" t="n"/>
      <c r="H370" s="18" t="n"/>
      <c r="I370" s="18" t="n"/>
      <c r="J370" s="18" t="n"/>
    </row>
    <row r="371">
      <c r="A371" s="41" t="n"/>
      <c r="B371" s="35">
        <f>IF(A371="","",YEAR(A371))</f>
        <v/>
      </c>
      <c r="C371" s="36">
        <f>IF(A371="","",MONTH(A371))</f>
        <v/>
      </c>
      <c r="D371" s="22" t="n"/>
      <c r="E371" s="22" t="n"/>
      <c r="F371" s="22" t="n"/>
      <c r="G371" s="22" t="n"/>
      <c r="H371" s="22" t="n"/>
      <c r="I371" s="22" t="n"/>
      <c r="J371" s="22" t="n"/>
    </row>
    <row r="372">
      <c r="A372" s="34" t="n"/>
      <c r="B372" s="35">
        <f>IF(A372="","",YEAR(A372))</f>
        <v/>
      </c>
      <c r="C372" s="36">
        <f>IF(A372="","",MONTH(A372))</f>
        <v/>
      </c>
      <c r="D372" s="18" t="n"/>
      <c r="E372" s="18" t="n"/>
      <c r="F372" s="18" t="n"/>
      <c r="G372" s="18" t="n"/>
      <c r="H372" s="18" t="n"/>
      <c r="I372" s="18" t="n"/>
      <c r="J372" s="18" t="n"/>
    </row>
    <row r="373">
      <c r="A373" s="41" t="n"/>
      <c r="B373" s="35">
        <f>IF(A373="","",YEAR(A373))</f>
        <v/>
      </c>
      <c r="C373" s="36">
        <f>IF(A373="","",MONTH(A373))</f>
        <v/>
      </c>
      <c r="D373" s="22" t="n"/>
      <c r="E373" s="22" t="n"/>
      <c r="F373" s="22" t="n"/>
      <c r="G373" s="22" t="n"/>
      <c r="H373" s="22" t="n"/>
      <c r="I373" s="22" t="n"/>
      <c r="J373" s="22" t="n"/>
    </row>
    <row r="374">
      <c r="A374" s="34" t="n"/>
      <c r="B374" s="35">
        <f>IF(A374="","",YEAR(A374))</f>
        <v/>
      </c>
      <c r="C374" s="36">
        <f>IF(A374="","",MONTH(A374))</f>
        <v/>
      </c>
      <c r="D374" s="18" t="n"/>
      <c r="E374" s="18" t="n"/>
      <c r="F374" s="18" t="n"/>
      <c r="G374" s="18" t="n"/>
      <c r="H374" s="18" t="n"/>
      <c r="I374" s="18" t="n"/>
      <c r="J374" s="18" t="n"/>
    </row>
    <row r="375">
      <c r="A375" s="41" t="n"/>
      <c r="B375" s="35">
        <f>IF(A375="","",YEAR(A375))</f>
        <v/>
      </c>
      <c r="C375" s="36">
        <f>IF(A375="","",MONTH(A375))</f>
        <v/>
      </c>
      <c r="D375" s="22" t="n"/>
      <c r="E375" s="22" t="n"/>
      <c r="F375" s="22" t="n"/>
      <c r="G375" s="22" t="n"/>
      <c r="H375" s="22" t="n"/>
      <c r="I375" s="22" t="n"/>
      <c r="J375" s="22" t="n"/>
    </row>
    <row r="376">
      <c r="A376" s="34" t="n"/>
      <c r="B376" s="35">
        <f>IF(A376="","",YEAR(A376))</f>
        <v/>
      </c>
      <c r="C376" s="36">
        <f>IF(A376="","",MONTH(A376))</f>
        <v/>
      </c>
      <c r="D376" s="18" t="n"/>
      <c r="E376" s="18" t="n"/>
      <c r="F376" s="18" t="n"/>
      <c r="G376" s="18" t="n"/>
      <c r="H376" s="18" t="n"/>
      <c r="I376" s="18" t="n"/>
      <c r="J376" s="18" t="n"/>
    </row>
    <row r="377">
      <c r="A377" s="41" t="n"/>
      <c r="B377" s="35">
        <f>IF(A377="","",YEAR(A377))</f>
        <v/>
      </c>
      <c r="C377" s="36">
        <f>IF(A377="","",MONTH(A377))</f>
        <v/>
      </c>
      <c r="D377" s="22" t="n"/>
      <c r="E377" s="22" t="n"/>
      <c r="F377" s="22" t="n"/>
      <c r="G377" s="22" t="n"/>
      <c r="H377" s="22" t="n"/>
      <c r="I377" s="22" t="n"/>
      <c r="J377" s="22" t="n"/>
    </row>
    <row r="378">
      <c r="A378" s="34" t="n"/>
      <c r="B378" s="35">
        <f>IF(A378="","",YEAR(A378))</f>
        <v/>
      </c>
      <c r="C378" s="36">
        <f>IF(A378="","",MONTH(A378))</f>
        <v/>
      </c>
      <c r="D378" s="18" t="n"/>
      <c r="E378" s="18" t="n"/>
      <c r="F378" s="18" t="n"/>
      <c r="G378" s="18" t="n"/>
      <c r="H378" s="18" t="n"/>
      <c r="I378" s="18" t="n"/>
      <c r="J378" s="18" t="n"/>
    </row>
    <row r="379">
      <c r="A379" s="41" t="n"/>
      <c r="B379" s="35">
        <f>IF(A379="","",YEAR(A379))</f>
        <v/>
      </c>
      <c r="C379" s="36">
        <f>IF(A379="","",MONTH(A379))</f>
        <v/>
      </c>
      <c r="D379" s="22" t="n"/>
      <c r="E379" s="22" t="n"/>
      <c r="F379" s="22" t="n"/>
      <c r="G379" s="22" t="n"/>
      <c r="H379" s="22" t="n"/>
      <c r="I379" s="22" t="n"/>
      <c r="J379" s="22" t="n"/>
    </row>
    <row r="380">
      <c r="A380" s="34" t="n"/>
      <c r="B380" s="35">
        <f>IF(A380="","",YEAR(A380))</f>
        <v/>
      </c>
      <c r="C380" s="36">
        <f>IF(A380="","",MONTH(A380))</f>
        <v/>
      </c>
      <c r="D380" s="18" t="n"/>
      <c r="E380" s="18" t="n"/>
      <c r="F380" s="18" t="n"/>
      <c r="G380" s="18" t="n"/>
      <c r="H380" s="18" t="n"/>
      <c r="I380" s="18" t="n"/>
      <c r="J380" s="18" t="n"/>
    </row>
    <row r="381">
      <c r="A381" s="41" t="n"/>
      <c r="B381" s="35">
        <f>IF(A381="","",YEAR(A381))</f>
        <v/>
      </c>
      <c r="C381" s="36">
        <f>IF(A381="","",MONTH(A381))</f>
        <v/>
      </c>
      <c r="D381" s="22" t="n"/>
      <c r="E381" s="22" t="n"/>
      <c r="F381" s="22" t="n"/>
      <c r="G381" s="22" t="n"/>
      <c r="H381" s="22" t="n"/>
      <c r="I381" s="22" t="n"/>
      <c r="J381" s="22" t="n"/>
    </row>
    <row r="382">
      <c r="A382" s="34" t="n"/>
      <c r="B382" s="35">
        <f>IF(A382="","",YEAR(A382))</f>
        <v/>
      </c>
      <c r="C382" s="36">
        <f>IF(A382="","",MONTH(A382))</f>
        <v/>
      </c>
      <c r="D382" s="18" t="n"/>
      <c r="E382" s="18" t="n"/>
      <c r="F382" s="18" t="n"/>
      <c r="G382" s="18" t="n"/>
      <c r="H382" s="18" t="n"/>
      <c r="I382" s="18" t="n"/>
      <c r="J382" s="18" t="n"/>
    </row>
    <row r="383">
      <c r="A383" s="41" t="n"/>
      <c r="B383" s="35">
        <f>IF(A383="","",YEAR(A383))</f>
        <v/>
      </c>
      <c r="C383" s="36">
        <f>IF(A383="","",MONTH(A383))</f>
        <v/>
      </c>
      <c r="D383" s="22" t="n"/>
      <c r="E383" s="22" t="n"/>
      <c r="F383" s="22" t="n"/>
      <c r="G383" s="22" t="n"/>
      <c r="H383" s="22" t="n"/>
      <c r="I383" s="22" t="n"/>
      <c r="J383" s="22" t="n"/>
    </row>
    <row r="384">
      <c r="A384" s="34" t="n"/>
      <c r="B384" s="35">
        <f>IF(A384="","",YEAR(A384))</f>
        <v/>
      </c>
      <c r="C384" s="36">
        <f>IF(A384="","",MONTH(A384))</f>
        <v/>
      </c>
      <c r="D384" s="18" t="n"/>
      <c r="E384" s="18" t="n"/>
      <c r="F384" s="18" t="n"/>
      <c r="G384" s="18" t="n"/>
      <c r="H384" s="18" t="n"/>
      <c r="I384" s="18" t="n"/>
      <c r="J384" s="18" t="n"/>
    </row>
    <row r="385">
      <c r="A385" s="41" t="n"/>
      <c r="B385" s="35">
        <f>IF(A385="","",YEAR(A385))</f>
        <v/>
      </c>
      <c r="C385" s="36">
        <f>IF(A385="","",MONTH(A385))</f>
        <v/>
      </c>
      <c r="D385" s="22" t="n"/>
      <c r="E385" s="22" t="n"/>
      <c r="F385" s="22" t="n"/>
      <c r="G385" s="22" t="n"/>
      <c r="H385" s="22" t="n"/>
      <c r="I385" s="22" t="n"/>
      <c r="J385" s="22" t="n"/>
    </row>
    <row r="386">
      <c r="A386" s="34" t="n"/>
      <c r="B386" s="35">
        <f>IF(A386="","",YEAR(A386))</f>
        <v/>
      </c>
      <c r="C386" s="36">
        <f>IF(A386="","",MONTH(A386))</f>
        <v/>
      </c>
      <c r="D386" s="18" t="n"/>
      <c r="E386" s="18" t="n"/>
      <c r="F386" s="18" t="n"/>
      <c r="G386" s="18" t="n"/>
      <c r="H386" s="18" t="n"/>
      <c r="I386" s="18" t="n"/>
      <c r="J386" s="18" t="n"/>
    </row>
    <row r="387">
      <c r="A387" s="41" t="n"/>
      <c r="B387" s="35">
        <f>IF(A387="","",YEAR(A387))</f>
        <v/>
      </c>
      <c r="C387" s="36">
        <f>IF(A387="","",MONTH(A387))</f>
        <v/>
      </c>
      <c r="D387" s="22" t="n"/>
      <c r="E387" s="22" t="n"/>
      <c r="F387" s="22" t="n"/>
      <c r="G387" s="22" t="n"/>
      <c r="H387" s="22" t="n"/>
      <c r="I387" s="22" t="n"/>
      <c r="J387" s="22" t="n"/>
    </row>
    <row r="388">
      <c r="A388" s="34" t="n"/>
      <c r="B388" s="35">
        <f>IF(A388="","",YEAR(A388))</f>
        <v/>
      </c>
      <c r="C388" s="36">
        <f>IF(A388="","",MONTH(A388))</f>
        <v/>
      </c>
      <c r="D388" s="18" t="n"/>
      <c r="E388" s="18" t="n"/>
      <c r="F388" s="18" t="n"/>
      <c r="G388" s="18" t="n"/>
      <c r="H388" s="18" t="n"/>
      <c r="I388" s="18" t="n"/>
      <c r="J388" s="18" t="n"/>
    </row>
    <row r="389">
      <c r="A389" s="41" t="n"/>
      <c r="B389" s="35">
        <f>IF(A389="","",YEAR(A389))</f>
        <v/>
      </c>
      <c r="C389" s="36">
        <f>IF(A389="","",MONTH(A389))</f>
        <v/>
      </c>
      <c r="D389" s="22" t="n"/>
      <c r="E389" s="22" t="n"/>
      <c r="F389" s="22" t="n"/>
      <c r="G389" s="22" t="n"/>
      <c r="H389" s="22" t="n"/>
      <c r="I389" s="22" t="n"/>
      <c r="J389" s="22" t="n"/>
    </row>
    <row r="390">
      <c r="A390" s="34" t="n"/>
      <c r="B390" s="35">
        <f>IF(A390="","",YEAR(A390))</f>
        <v/>
      </c>
      <c r="C390" s="36">
        <f>IF(A390="","",MONTH(A390))</f>
        <v/>
      </c>
      <c r="D390" s="18" t="n"/>
      <c r="E390" s="18" t="n"/>
      <c r="F390" s="18" t="n"/>
      <c r="G390" s="18" t="n"/>
      <c r="H390" s="18" t="n"/>
      <c r="I390" s="18" t="n"/>
      <c r="J390" s="18" t="n"/>
    </row>
    <row r="391">
      <c r="A391" s="41" t="n"/>
      <c r="B391" s="35">
        <f>IF(A391="","",YEAR(A391))</f>
        <v/>
      </c>
      <c r="C391" s="36">
        <f>IF(A391="","",MONTH(A391))</f>
        <v/>
      </c>
      <c r="D391" s="22" t="n"/>
      <c r="E391" s="22" t="n"/>
      <c r="F391" s="22" t="n"/>
      <c r="G391" s="22" t="n"/>
      <c r="H391" s="22" t="n"/>
      <c r="I391" s="22" t="n"/>
      <c r="J391" s="22" t="n"/>
    </row>
    <row r="392">
      <c r="A392" s="34" t="n"/>
      <c r="B392" s="35">
        <f>IF(A392="","",YEAR(A392))</f>
        <v/>
      </c>
      <c r="C392" s="36">
        <f>IF(A392="","",MONTH(A392))</f>
        <v/>
      </c>
      <c r="D392" s="18" t="n"/>
      <c r="E392" s="18" t="n"/>
      <c r="F392" s="18" t="n"/>
      <c r="G392" s="18" t="n"/>
      <c r="H392" s="18" t="n"/>
      <c r="I392" s="18" t="n"/>
      <c r="J392" s="18" t="n"/>
    </row>
    <row r="393">
      <c r="A393" s="41" t="n"/>
      <c r="B393" s="35">
        <f>IF(A393="","",YEAR(A393))</f>
        <v/>
      </c>
      <c r="C393" s="36">
        <f>IF(A393="","",MONTH(A393))</f>
        <v/>
      </c>
      <c r="D393" s="22" t="n"/>
      <c r="E393" s="22" t="n"/>
      <c r="F393" s="22" t="n"/>
      <c r="G393" s="22" t="n"/>
      <c r="H393" s="22" t="n"/>
      <c r="I393" s="22" t="n"/>
      <c r="J393" s="22" t="n"/>
    </row>
    <row r="394">
      <c r="A394" s="34" t="n"/>
      <c r="B394" s="35">
        <f>IF(A394="","",YEAR(A394))</f>
        <v/>
      </c>
      <c r="C394" s="36">
        <f>IF(A394="","",MONTH(A394))</f>
        <v/>
      </c>
      <c r="D394" s="18" t="n"/>
      <c r="E394" s="18" t="n"/>
      <c r="F394" s="18" t="n"/>
      <c r="G394" s="18" t="n"/>
      <c r="H394" s="18" t="n"/>
      <c r="I394" s="18" t="n"/>
      <c r="J394" s="18" t="n"/>
    </row>
    <row r="395">
      <c r="A395" s="41" t="n"/>
      <c r="B395" s="35">
        <f>IF(A395="","",YEAR(A395))</f>
        <v/>
      </c>
      <c r="C395" s="36">
        <f>IF(A395="","",MONTH(A395))</f>
        <v/>
      </c>
      <c r="D395" s="22" t="n"/>
      <c r="E395" s="22" t="n"/>
      <c r="F395" s="22" t="n"/>
      <c r="G395" s="22" t="n"/>
      <c r="H395" s="22" t="n"/>
      <c r="I395" s="22" t="n"/>
      <c r="J395" s="22" t="n"/>
    </row>
    <row r="396">
      <c r="A396" s="34" t="n"/>
      <c r="B396" s="35">
        <f>IF(A396="","",YEAR(A396))</f>
        <v/>
      </c>
      <c r="C396" s="36">
        <f>IF(A396="","",MONTH(A396))</f>
        <v/>
      </c>
      <c r="D396" s="18" t="n"/>
      <c r="E396" s="18" t="n"/>
      <c r="F396" s="18" t="n"/>
      <c r="G396" s="18" t="n"/>
      <c r="H396" s="18" t="n"/>
      <c r="I396" s="18" t="n"/>
      <c r="J396" s="18" t="n"/>
    </row>
    <row r="397">
      <c r="A397" s="41" t="n"/>
      <c r="B397" s="35">
        <f>IF(A397="","",YEAR(A397))</f>
        <v/>
      </c>
      <c r="C397" s="36">
        <f>IF(A397="","",MONTH(A397))</f>
        <v/>
      </c>
      <c r="D397" s="22" t="n"/>
      <c r="E397" s="22" t="n"/>
      <c r="F397" s="22" t="n"/>
      <c r="G397" s="22" t="n"/>
      <c r="H397" s="22" t="n"/>
      <c r="I397" s="22" t="n"/>
      <c r="J397" s="22" t="n"/>
    </row>
    <row r="398">
      <c r="A398" s="34" t="n"/>
      <c r="B398" s="35">
        <f>IF(A398="","",YEAR(A398))</f>
        <v/>
      </c>
      <c r="C398" s="36">
        <f>IF(A398="","",MONTH(A398))</f>
        <v/>
      </c>
      <c r="D398" s="18" t="n"/>
      <c r="E398" s="18" t="n"/>
      <c r="F398" s="18" t="n"/>
      <c r="G398" s="18" t="n"/>
      <c r="H398" s="18" t="n"/>
      <c r="I398" s="18" t="n"/>
      <c r="J398" s="18" t="n"/>
    </row>
    <row r="399">
      <c r="A399" s="41" t="n"/>
      <c r="B399" s="35">
        <f>IF(A399="","",YEAR(A399))</f>
        <v/>
      </c>
      <c r="C399" s="36">
        <f>IF(A399="","",MONTH(A399))</f>
        <v/>
      </c>
      <c r="D399" s="22" t="n"/>
      <c r="E399" s="22" t="n"/>
      <c r="F399" s="22" t="n"/>
      <c r="G399" s="22" t="n"/>
      <c r="H399" s="22" t="n"/>
      <c r="I399" s="22" t="n"/>
      <c r="J399" s="22" t="n"/>
    </row>
    <row r="400">
      <c r="A400" s="34" t="n"/>
      <c r="B400" s="35">
        <f>IF(A400="","",YEAR(A400))</f>
        <v/>
      </c>
      <c r="C400" s="36">
        <f>IF(A400="","",MONTH(A400))</f>
        <v/>
      </c>
      <c r="D400" s="18" t="n"/>
      <c r="E400" s="18" t="n"/>
      <c r="F400" s="18" t="n"/>
      <c r="G400" s="18" t="n"/>
      <c r="H400" s="18" t="n"/>
      <c r="I400" s="18" t="n"/>
      <c r="J400" s="18" t="n"/>
    </row>
    <row r="401">
      <c r="A401" s="41" t="n"/>
      <c r="B401" s="35">
        <f>IF(A401="","",YEAR(A401))</f>
        <v/>
      </c>
      <c r="C401" s="36">
        <f>IF(A401="","",MONTH(A401))</f>
        <v/>
      </c>
      <c r="D401" s="22" t="n"/>
      <c r="E401" s="22" t="n"/>
      <c r="F401" s="22" t="n"/>
      <c r="G401" s="22" t="n"/>
      <c r="H401" s="22" t="n"/>
      <c r="I401" s="22" t="n"/>
      <c r="J401" s="22" t="n"/>
    </row>
    <row r="402">
      <c r="A402" s="34" t="n"/>
      <c r="B402" s="35">
        <f>IF(A402="","",YEAR(A402))</f>
        <v/>
      </c>
      <c r="C402" s="36">
        <f>IF(A402="","",MONTH(A402))</f>
        <v/>
      </c>
      <c r="D402" s="18" t="n"/>
      <c r="E402" s="18" t="n"/>
      <c r="F402" s="18" t="n"/>
      <c r="G402" s="18" t="n"/>
      <c r="H402" s="18" t="n"/>
      <c r="I402" s="18" t="n"/>
      <c r="J402" s="18" t="n"/>
    </row>
    <row r="403">
      <c r="A403" s="41" t="n"/>
      <c r="B403" s="35">
        <f>IF(A403="","",YEAR(A403))</f>
        <v/>
      </c>
      <c r="C403" s="36">
        <f>IF(A403="","",MONTH(A403))</f>
        <v/>
      </c>
      <c r="D403" s="22" t="n"/>
      <c r="E403" s="22" t="n"/>
      <c r="F403" s="22" t="n"/>
      <c r="G403" s="22" t="n"/>
      <c r="H403" s="22" t="n"/>
      <c r="I403" s="22" t="n"/>
      <c r="J403" s="22" t="n"/>
    </row>
    <row r="404">
      <c r="A404" s="34" t="n"/>
      <c r="B404" s="35">
        <f>IF(A404="","",YEAR(A404))</f>
        <v/>
      </c>
      <c r="C404" s="36">
        <f>IF(A404="","",MONTH(A404))</f>
        <v/>
      </c>
      <c r="D404" s="18" t="n"/>
      <c r="E404" s="18" t="n"/>
      <c r="F404" s="18" t="n"/>
      <c r="G404" s="18" t="n"/>
      <c r="H404" s="18" t="n"/>
      <c r="I404" s="18" t="n"/>
      <c r="J404" s="18" t="n"/>
    </row>
    <row r="405">
      <c r="A405" s="41" t="n"/>
      <c r="B405" s="35">
        <f>IF(A405="","",YEAR(A405))</f>
        <v/>
      </c>
      <c r="C405" s="36">
        <f>IF(A405="","",MONTH(A405))</f>
        <v/>
      </c>
      <c r="D405" s="22" t="n"/>
      <c r="E405" s="22" t="n"/>
      <c r="F405" s="22" t="n"/>
      <c r="G405" s="22" t="n"/>
      <c r="H405" s="22" t="n"/>
      <c r="I405" s="22" t="n"/>
      <c r="J405" s="22" t="n"/>
    </row>
    <row r="406">
      <c r="A406" s="34" t="n"/>
      <c r="B406" s="35">
        <f>IF(A406="","",YEAR(A406))</f>
        <v/>
      </c>
      <c r="C406" s="36">
        <f>IF(A406="","",MONTH(A406))</f>
        <v/>
      </c>
      <c r="D406" s="18" t="n"/>
      <c r="E406" s="18" t="n"/>
      <c r="F406" s="18" t="n"/>
      <c r="G406" s="18" t="n"/>
      <c r="H406" s="18" t="n"/>
      <c r="I406" s="18" t="n"/>
      <c r="J406" s="18" t="n"/>
    </row>
    <row r="407">
      <c r="A407" s="41" t="n"/>
      <c r="B407" s="35">
        <f>IF(A407="","",YEAR(A407))</f>
        <v/>
      </c>
      <c r="C407" s="36">
        <f>IF(A407="","",MONTH(A407))</f>
        <v/>
      </c>
      <c r="D407" s="22" t="n"/>
      <c r="E407" s="22" t="n"/>
      <c r="F407" s="22" t="n"/>
      <c r="G407" s="22" t="n"/>
      <c r="H407" s="22" t="n"/>
      <c r="I407" s="22" t="n"/>
      <c r="J407" s="22" t="n"/>
    </row>
    <row r="408">
      <c r="A408" s="34" t="n"/>
      <c r="B408" s="35">
        <f>IF(A408="","",YEAR(A408))</f>
        <v/>
      </c>
      <c r="C408" s="36">
        <f>IF(A408="","",MONTH(A408))</f>
        <v/>
      </c>
      <c r="D408" s="18" t="n"/>
      <c r="E408" s="18" t="n"/>
      <c r="F408" s="18" t="n"/>
      <c r="G408" s="18" t="n"/>
      <c r="H408" s="18" t="n"/>
      <c r="I408" s="18" t="n"/>
      <c r="J408" s="18" t="n"/>
    </row>
    <row r="409">
      <c r="A409" s="41" t="n"/>
      <c r="B409" s="35">
        <f>IF(A409="","",YEAR(A409))</f>
        <v/>
      </c>
      <c r="C409" s="36">
        <f>IF(A409="","",MONTH(A409))</f>
        <v/>
      </c>
      <c r="D409" s="22" t="n"/>
      <c r="E409" s="22" t="n"/>
      <c r="F409" s="22" t="n"/>
      <c r="G409" s="22" t="n"/>
      <c r="H409" s="22" t="n"/>
      <c r="I409" s="22" t="n"/>
      <c r="J409" s="22" t="n"/>
    </row>
    <row r="410">
      <c r="A410" s="34" t="n"/>
      <c r="B410" s="35">
        <f>IF(A410="","",YEAR(A410))</f>
        <v/>
      </c>
      <c r="C410" s="36">
        <f>IF(A410="","",MONTH(A410))</f>
        <v/>
      </c>
      <c r="D410" s="18" t="n"/>
      <c r="E410" s="18" t="n"/>
      <c r="F410" s="18" t="n"/>
      <c r="G410" s="18" t="n"/>
      <c r="H410" s="18" t="n"/>
      <c r="I410" s="18" t="n"/>
      <c r="J410" s="18" t="n"/>
    </row>
    <row r="411">
      <c r="A411" s="41" t="n"/>
      <c r="B411" s="35">
        <f>IF(A411="","",YEAR(A411))</f>
        <v/>
      </c>
      <c r="C411" s="36">
        <f>IF(A411="","",MONTH(A411))</f>
        <v/>
      </c>
      <c r="D411" s="22" t="n"/>
      <c r="E411" s="22" t="n"/>
      <c r="F411" s="22" t="n"/>
      <c r="G411" s="22" t="n"/>
      <c r="H411" s="22" t="n"/>
      <c r="I411" s="22" t="n"/>
      <c r="J411" s="22" t="n"/>
    </row>
    <row r="412">
      <c r="A412" s="34" t="n"/>
      <c r="B412" s="35">
        <f>IF(A412="","",YEAR(A412))</f>
        <v/>
      </c>
      <c r="C412" s="36">
        <f>IF(A412="","",MONTH(A412))</f>
        <v/>
      </c>
      <c r="D412" s="18" t="n"/>
      <c r="E412" s="18" t="n"/>
      <c r="F412" s="18" t="n"/>
      <c r="G412" s="18" t="n"/>
      <c r="H412" s="18" t="n"/>
      <c r="I412" s="18" t="n"/>
      <c r="J412" s="18" t="n"/>
    </row>
    <row r="413">
      <c r="A413" s="41" t="n"/>
      <c r="B413" s="35">
        <f>IF(A413="","",YEAR(A413))</f>
        <v/>
      </c>
      <c r="C413" s="36">
        <f>IF(A413="","",MONTH(A413))</f>
        <v/>
      </c>
      <c r="D413" s="22" t="n"/>
      <c r="E413" s="22" t="n"/>
      <c r="F413" s="22" t="n"/>
      <c r="G413" s="22" t="n"/>
      <c r="H413" s="22" t="n"/>
      <c r="I413" s="22" t="n"/>
      <c r="J413" s="22" t="n"/>
    </row>
    <row r="414">
      <c r="A414" s="34" t="n"/>
      <c r="B414" s="35">
        <f>IF(A414="","",YEAR(A414))</f>
        <v/>
      </c>
      <c r="C414" s="36">
        <f>IF(A414="","",MONTH(A414))</f>
        <v/>
      </c>
      <c r="D414" s="18" t="n"/>
      <c r="E414" s="18" t="n"/>
      <c r="F414" s="18" t="n"/>
      <c r="G414" s="18" t="n"/>
      <c r="H414" s="18" t="n"/>
      <c r="I414" s="18" t="n"/>
      <c r="J414" s="18" t="n"/>
    </row>
    <row r="415">
      <c r="A415" s="41" t="n"/>
      <c r="B415" s="35">
        <f>IF(A415="","",YEAR(A415))</f>
        <v/>
      </c>
      <c r="C415" s="36">
        <f>IF(A415="","",MONTH(A415))</f>
        <v/>
      </c>
      <c r="D415" s="22" t="n"/>
      <c r="E415" s="22" t="n"/>
      <c r="F415" s="22" t="n"/>
      <c r="G415" s="22" t="n"/>
      <c r="H415" s="22" t="n"/>
      <c r="I415" s="22" t="n"/>
      <c r="J415" s="22" t="n"/>
    </row>
    <row r="416">
      <c r="A416" s="34" t="n"/>
      <c r="B416" s="35">
        <f>IF(A416="","",YEAR(A416))</f>
        <v/>
      </c>
      <c r="C416" s="36">
        <f>IF(A416="","",MONTH(A416))</f>
        <v/>
      </c>
      <c r="D416" s="18" t="n"/>
      <c r="E416" s="18" t="n"/>
      <c r="F416" s="18" t="n"/>
      <c r="G416" s="18" t="n"/>
      <c r="H416" s="18" t="n"/>
      <c r="I416" s="18" t="n"/>
      <c r="J416" s="18" t="n"/>
    </row>
    <row r="417">
      <c r="A417" s="41" t="n"/>
      <c r="B417" s="35">
        <f>IF(A417="","",YEAR(A417))</f>
        <v/>
      </c>
      <c r="C417" s="36">
        <f>IF(A417="","",MONTH(A417))</f>
        <v/>
      </c>
      <c r="D417" s="22" t="n"/>
      <c r="E417" s="22" t="n"/>
      <c r="F417" s="22" t="n"/>
      <c r="G417" s="22" t="n"/>
      <c r="H417" s="22" t="n"/>
      <c r="I417" s="22" t="n"/>
      <c r="J417" s="22" t="n"/>
    </row>
    <row r="418">
      <c r="A418" s="34" t="n"/>
      <c r="B418" s="35">
        <f>IF(A418="","",YEAR(A418))</f>
        <v/>
      </c>
      <c r="C418" s="36">
        <f>IF(A418="","",MONTH(A418))</f>
        <v/>
      </c>
      <c r="D418" s="18" t="n"/>
      <c r="E418" s="18" t="n"/>
      <c r="F418" s="18" t="n"/>
      <c r="G418" s="18" t="n"/>
      <c r="H418" s="18" t="n"/>
      <c r="I418" s="18" t="n"/>
      <c r="J418" s="18" t="n"/>
    </row>
    <row r="419">
      <c r="A419" s="41" t="n"/>
      <c r="B419" s="35">
        <f>IF(A419="","",YEAR(A419))</f>
        <v/>
      </c>
      <c r="C419" s="36">
        <f>IF(A419="","",MONTH(A419))</f>
        <v/>
      </c>
      <c r="D419" s="22" t="n"/>
      <c r="E419" s="22" t="n"/>
      <c r="F419" s="22" t="n"/>
      <c r="G419" s="22" t="n"/>
      <c r="H419" s="22" t="n"/>
      <c r="I419" s="22" t="n"/>
      <c r="J419" s="22" t="n"/>
    </row>
    <row r="420">
      <c r="A420" s="34" t="n"/>
      <c r="B420" s="35">
        <f>IF(A420="","",YEAR(A420))</f>
        <v/>
      </c>
      <c r="C420" s="36">
        <f>IF(A420="","",MONTH(A420))</f>
        <v/>
      </c>
      <c r="D420" s="18" t="n"/>
      <c r="E420" s="18" t="n"/>
      <c r="F420" s="18" t="n"/>
      <c r="G420" s="18" t="n"/>
      <c r="H420" s="18" t="n"/>
      <c r="I420" s="18" t="n"/>
      <c r="J420" s="18" t="n"/>
    </row>
    <row r="421">
      <c r="A421" s="41" t="n"/>
      <c r="B421" s="35">
        <f>IF(A421="","",YEAR(A421))</f>
        <v/>
      </c>
      <c r="C421" s="36">
        <f>IF(A421="","",MONTH(A421))</f>
        <v/>
      </c>
      <c r="D421" s="22" t="n"/>
      <c r="E421" s="22" t="n"/>
      <c r="F421" s="22" t="n"/>
      <c r="G421" s="22" t="n"/>
      <c r="H421" s="22" t="n"/>
      <c r="I421" s="22" t="n"/>
      <c r="J421" s="22" t="n"/>
    </row>
    <row r="422">
      <c r="A422" s="34" t="n"/>
      <c r="B422" s="35">
        <f>IF(A422="","",YEAR(A422))</f>
        <v/>
      </c>
      <c r="C422" s="36">
        <f>IF(A422="","",MONTH(A422))</f>
        <v/>
      </c>
      <c r="D422" s="18" t="n"/>
      <c r="E422" s="18" t="n"/>
      <c r="F422" s="18" t="n"/>
      <c r="G422" s="18" t="n"/>
      <c r="H422" s="18" t="n"/>
      <c r="I422" s="18" t="n"/>
      <c r="J422" s="18" t="n"/>
    </row>
    <row r="423">
      <c r="A423" s="41" t="n"/>
      <c r="B423" s="35">
        <f>IF(A423="","",YEAR(A423))</f>
        <v/>
      </c>
      <c r="C423" s="36">
        <f>IF(A423="","",MONTH(A423))</f>
        <v/>
      </c>
      <c r="D423" s="22" t="n"/>
      <c r="E423" s="22" t="n"/>
      <c r="F423" s="22" t="n"/>
      <c r="G423" s="22" t="n"/>
      <c r="H423" s="22" t="n"/>
      <c r="I423" s="22" t="n"/>
      <c r="J423" s="22" t="n"/>
    </row>
    <row r="424">
      <c r="A424" s="34" t="n"/>
      <c r="B424" s="35">
        <f>IF(A424="","",YEAR(A424))</f>
        <v/>
      </c>
      <c r="C424" s="36">
        <f>IF(A424="","",MONTH(A424))</f>
        <v/>
      </c>
      <c r="D424" s="18" t="n"/>
      <c r="E424" s="18" t="n"/>
      <c r="F424" s="18" t="n"/>
      <c r="G424" s="18" t="n"/>
      <c r="H424" s="18" t="n"/>
      <c r="I424" s="18" t="n"/>
      <c r="J424" s="18" t="n"/>
    </row>
    <row r="425">
      <c r="A425" s="41" t="n"/>
      <c r="B425" s="35">
        <f>IF(A425="","",YEAR(A425))</f>
        <v/>
      </c>
      <c r="C425" s="36">
        <f>IF(A425="","",MONTH(A425))</f>
        <v/>
      </c>
      <c r="D425" s="22" t="n"/>
      <c r="E425" s="22" t="n"/>
      <c r="F425" s="22" t="n"/>
      <c r="G425" s="22" t="n"/>
      <c r="H425" s="22" t="n"/>
      <c r="I425" s="22" t="n"/>
      <c r="J425" s="22" t="n"/>
    </row>
    <row r="426">
      <c r="A426" s="34" t="n"/>
      <c r="B426" s="35">
        <f>IF(A426="","",YEAR(A426))</f>
        <v/>
      </c>
      <c r="C426" s="36">
        <f>IF(A426="","",MONTH(A426))</f>
        <v/>
      </c>
      <c r="D426" s="18" t="n"/>
      <c r="E426" s="18" t="n"/>
      <c r="F426" s="18" t="n"/>
      <c r="G426" s="18" t="n"/>
      <c r="H426" s="18" t="n"/>
      <c r="I426" s="18" t="n"/>
      <c r="J426" s="18" t="n"/>
    </row>
    <row r="427">
      <c r="A427" s="41" t="n"/>
      <c r="B427" s="35">
        <f>IF(A427="","",YEAR(A427))</f>
        <v/>
      </c>
      <c r="C427" s="36">
        <f>IF(A427="","",MONTH(A427))</f>
        <v/>
      </c>
      <c r="D427" s="22" t="n"/>
      <c r="E427" s="22" t="n"/>
      <c r="F427" s="22" t="n"/>
      <c r="G427" s="22" t="n"/>
      <c r="H427" s="22" t="n"/>
      <c r="I427" s="22" t="n"/>
      <c r="J427" s="22" t="n"/>
    </row>
    <row r="428">
      <c r="A428" s="34" t="n"/>
      <c r="B428" s="35">
        <f>IF(A428="","",YEAR(A428))</f>
        <v/>
      </c>
      <c r="C428" s="36">
        <f>IF(A428="","",MONTH(A428))</f>
        <v/>
      </c>
      <c r="D428" s="18" t="n"/>
      <c r="E428" s="18" t="n"/>
      <c r="F428" s="18" t="n"/>
      <c r="G428" s="18" t="n"/>
      <c r="H428" s="18" t="n"/>
      <c r="I428" s="18" t="n"/>
      <c r="J428" s="18" t="n"/>
    </row>
    <row r="429">
      <c r="A429" s="41" t="n"/>
      <c r="B429" s="35">
        <f>IF(A429="","",YEAR(A429))</f>
        <v/>
      </c>
      <c r="C429" s="36">
        <f>IF(A429="","",MONTH(A429))</f>
        <v/>
      </c>
      <c r="D429" s="22" t="n"/>
      <c r="E429" s="22" t="n"/>
      <c r="F429" s="22" t="n"/>
      <c r="G429" s="22" t="n"/>
      <c r="H429" s="22" t="n"/>
      <c r="I429" s="22" t="n"/>
      <c r="J429" s="22" t="n"/>
    </row>
    <row r="430">
      <c r="A430" s="34" t="n"/>
      <c r="B430" s="35">
        <f>IF(A430="","",YEAR(A430))</f>
        <v/>
      </c>
      <c r="C430" s="36">
        <f>IF(A430="","",MONTH(A430))</f>
        <v/>
      </c>
      <c r="D430" s="18" t="n"/>
      <c r="E430" s="18" t="n"/>
      <c r="F430" s="18" t="n"/>
      <c r="G430" s="18" t="n"/>
      <c r="H430" s="18" t="n"/>
      <c r="I430" s="18" t="n"/>
      <c r="J430" s="18" t="n"/>
    </row>
    <row r="431">
      <c r="A431" s="41" t="n"/>
      <c r="B431" s="35">
        <f>IF(A431="","",YEAR(A431))</f>
        <v/>
      </c>
      <c r="C431" s="36">
        <f>IF(A431="","",MONTH(A431))</f>
        <v/>
      </c>
      <c r="D431" s="22" t="n"/>
      <c r="E431" s="22" t="n"/>
      <c r="F431" s="22" t="n"/>
      <c r="G431" s="22" t="n"/>
      <c r="H431" s="22" t="n"/>
      <c r="I431" s="22" t="n"/>
      <c r="J431" s="22" t="n"/>
    </row>
    <row r="432">
      <c r="A432" s="34" t="n"/>
      <c r="B432" s="35">
        <f>IF(A432="","",YEAR(A432))</f>
        <v/>
      </c>
      <c r="C432" s="36">
        <f>IF(A432="","",MONTH(A432))</f>
        <v/>
      </c>
      <c r="D432" s="18" t="n"/>
      <c r="E432" s="18" t="n"/>
      <c r="F432" s="18" t="n"/>
      <c r="G432" s="18" t="n"/>
      <c r="H432" s="18" t="n"/>
      <c r="I432" s="18" t="n"/>
      <c r="J432" s="18" t="n"/>
    </row>
    <row r="433">
      <c r="A433" s="41" t="n"/>
      <c r="B433" s="35">
        <f>IF(A433="","",YEAR(A433))</f>
        <v/>
      </c>
      <c r="C433" s="36">
        <f>IF(A433="","",MONTH(A433))</f>
        <v/>
      </c>
      <c r="D433" s="22" t="n"/>
      <c r="E433" s="22" t="n"/>
      <c r="F433" s="22" t="n"/>
      <c r="G433" s="22" t="n"/>
      <c r="H433" s="22" t="n"/>
      <c r="I433" s="22" t="n"/>
      <c r="J433" s="22" t="n"/>
    </row>
    <row r="434">
      <c r="A434" s="34" t="n"/>
      <c r="B434" s="35">
        <f>IF(A434="","",YEAR(A434))</f>
        <v/>
      </c>
      <c r="C434" s="36">
        <f>IF(A434="","",MONTH(A434))</f>
        <v/>
      </c>
      <c r="D434" s="18" t="n"/>
      <c r="E434" s="18" t="n"/>
      <c r="F434" s="18" t="n"/>
      <c r="G434" s="18" t="n"/>
      <c r="H434" s="18" t="n"/>
      <c r="I434" s="18" t="n"/>
      <c r="J434" s="18" t="n"/>
    </row>
    <row r="435">
      <c r="A435" s="41" t="n"/>
      <c r="B435" s="35">
        <f>IF(A435="","",YEAR(A435))</f>
        <v/>
      </c>
      <c r="C435" s="36">
        <f>IF(A435="","",MONTH(A435))</f>
        <v/>
      </c>
      <c r="D435" s="22" t="n"/>
      <c r="E435" s="22" t="n"/>
      <c r="F435" s="22" t="n"/>
      <c r="G435" s="22" t="n"/>
      <c r="H435" s="22" t="n"/>
      <c r="I435" s="22" t="n"/>
      <c r="J435" s="22" t="n"/>
    </row>
    <row r="436">
      <c r="A436" s="34" t="n"/>
      <c r="B436" s="35">
        <f>IF(A436="","",YEAR(A436))</f>
        <v/>
      </c>
      <c r="C436" s="36">
        <f>IF(A436="","",MONTH(A436))</f>
        <v/>
      </c>
      <c r="D436" s="18" t="n"/>
      <c r="E436" s="18" t="n"/>
      <c r="F436" s="18" t="n"/>
      <c r="G436" s="18" t="n"/>
      <c r="H436" s="18" t="n"/>
      <c r="I436" s="18" t="n"/>
      <c r="J436" s="18" t="n"/>
    </row>
    <row r="437">
      <c r="A437" s="41" t="n"/>
      <c r="B437" s="35">
        <f>IF(A437="","",YEAR(A437))</f>
        <v/>
      </c>
      <c r="C437" s="36">
        <f>IF(A437="","",MONTH(A437))</f>
        <v/>
      </c>
      <c r="D437" s="22" t="n"/>
      <c r="E437" s="22" t="n"/>
      <c r="F437" s="22" t="n"/>
      <c r="G437" s="22" t="n"/>
      <c r="H437" s="22" t="n"/>
      <c r="I437" s="22" t="n"/>
      <c r="J437" s="22" t="n"/>
    </row>
    <row r="438">
      <c r="A438" s="34" t="n"/>
      <c r="B438" s="35">
        <f>IF(A438="","",YEAR(A438))</f>
        <v/>
      </c>
      <c r="C438" s="36">
        <f>IF(A438="","",MONTH(A438))</f>
        <v/>
      </c>
      <c r="D438" s="18" t="n"/>
      <c r="E438" s="18" t="n"/>
      <c r="F438" s="18" t="n"/>
      <c r="G438" s="18" t="n"/>
      <c r="H438" s="18" t="n"/>
      <c r="I438" s="18" t="n"/>
      <c r="J438" s="18" t="n"/>
    </row>
    <row r="439">
      <c r="A439" s="41" t="n"/>
      <c r="B439" s="35">
        <f>IF(A439="","",YEAR(A439))</f>
        <v/>
      </c>
      <c r="C439" s="36">
        <f>IF(A439="","",MONTH(A439))</f>
        <v/>
      </c>
      <c r="D439" s="22" t="n"/>
      <c r="E439" s="22" t="n"/>
      <c r="F439" s="22" t="n"/>
      <c r="G439" s="22" t="n"/>
      <c r="H439" s="22" t="n"/>
      <c r="I439" s="22" t="n"/>
      <c r="J439" s="22" t="n"/>
    </row>
    <row r="440">
      <c r="A440" s="34" t="n"/>
      <c r="B440" s="35">
        <f>IF(A440="","",YEAR(A440))</f>
        <v/>
      </c>
      <c r="C440" s="36">
        <f>IF(A440="","",MONTH(A440))</f>
        <v/>
      </c>
      <c r="D440" s="18" t="n"/>
      <c r="E440" s="18" t="n"/>
      <c r="F440" s="18" t="n"/>
      <c r="G440" s="18" t="n"/>
      <c r="H440" s="18" t="n"/>
      <c r="I440" s="18" t="n"/>
      <c r="J440" s="18" t="n"/>
    </row>
    <row r="441">
      <c r="A441" s="41" t="n"/>
      <c r="B441" s="35">
        <f>IF(A441="","",YEAR(A441))</f>
        <v/>
      </c>
      <c r="C441" s="36">
        <f>IF(A441="","",MONTH(A441))</f>
        <v/>
      </c>
      <c r="D441" s="22" t="n"/>
      <c r="E441" s="22" t="n"/>
      <c r="F441" s="22" t="n"/>
      <c r="G441" s="22" t="n"/>
      <c r="H441" s="22" t="n"/>
      <c r="I441" s="22" t="n"/>
      <c r="J441" s="22" t="n"/>
    </row>
    <row r="442">
      <c r="A442" s="34" t="n"/>
      <c r="B442" s="35">
        <f>IF(A442="","",YEAR(A442))</f>
        <v/>
      </c>
      <c r="C442" s="36">
        <f>IF(A442="","",MONTH(A442))</f>
        <v/>
      </c>
      <c r="D442" s="18" t="n"/>
      <c r="E442" s="18" t="n"/>
      <c r="F442" s="18" t="n"/>
      <c r="G442" s="18" t="n"/>
      <c r="H442" s="18" t="n"/>
      <c r="I442" s="18" t="n"/>
      <c r="J442" s="18" t="n"/>
    </row>
    <row r="443">
      <c r="A443" s="41" t="n"/>
      <c r="B443" s="35">
        <f>IF(A443="","",YEAR(A443))</f>
        <v/>
      </c>
      <c r="C443" s="36">
        <f>IF(A443="","",MONTH(A443))</f>
        <v/>
      </c>
      <c r="D443" s="22" t="n"/>
      <c r="E443" s="22" t="n"/>
      <c r="F443" s="22" t="n"/>
      <c r="G443" s="22" t="n"/>
      <c r="H443" s="22" t="n"/>
      <c r="I443" s="22" t="n"/>
      <c r="J443" s="22" t="n"/>
    </row>
    <row r="444">
      <c r="A444" s="34" t="n"/>
      <c r="B444" s="35">
        <f>IF(A444="","",YEAR(A444))</f>
        <v/>
      </c>
      <c r="C444" s="36">
        <f>IF(A444="","",MONTH(A444))</f>
        <v/>
      </c>
      <c r="D444" s="18" t="n"/>
      <c r="E444" s="18" t="n"/>
      <c r="F444" s="18" t="n"/>
      <c r="G444" s="18" t="n"/>
      <c r="H444" s="18" t="n"/>
      <c r="I444" s="18" t="n"/>
      <c r="J444" s="18" t="n"/>
    </row>
    <row r="445">
      <c r="A445" s="41" t="n"/>
      <c r="B445" s="35">
        <f>IF(A445="","",YEAR(A445))</f>
        <v/>
      </c>
      <c r="C445" s="36">
        <f>IF(A445="","",MONTH(A445))</f>
        <v/>
      </c>
      <c r="D445" s="22" t="n"/>
      <c r="E445" s="22" t="n"/>
      <c r="F445" s="22" t="n"/>
      <c r="G445" s="22" t="n"/>
      <c r="H445" s="22" t="n"/>
      <c r="I445" s="22" t="n"/>
      <c r="J445" s="22" t="n"/>
    </row>
    <row r="446">
      <c r="A446" s="34" t="n"/>
      <c r="B446" s="35">
        <f>IF(A446="","",YEAR(A446))</f>
        <v/>
      </c>
      <c r="C446" s="36">
        <f>IF(A446="","",MONTH(A446))</f>
        <v/>
      </c>
      <c r="D446" s="18" t="n"/>
      <c r="E446" s="18" t="n"/>
      <c r="F446" s="18" t="n"/>
      <c r="G446" s="18" t="n"/>
      <c r="H446" s="18" t="n"/>
      <c r="I446" s="18" t="n"/>
      <c r="J446" s="18" t="n"/>
    </row>
    <row r="447">
      <c r="A447" s="41" t="n"/>
      <c r="B447" s="35">
        <f>IF(A447="","",YEAR(A447))</f>
        <v/>
      </c>
      <c r="C447" s="36">
        <f>IF(A447="","",MONTH(A447))</f>
        <v/>
      </c>
      <c r="D447" s="22" t="n"/>
      <c r="E447" s="22" t="n"/>
      <c r="F447" s="22" t="n"/>
      <c r="G447" s="22" t="n"/>
      <c r="H447" s="22" t="n"/>
      <c r="I447" s="22" t="n"/>
      <c r="J447" s="22" t="n"/>
    </row>
    <row r="448">
      <c r="A448" s="34" t="n"/>
      <c r="B448" s="35">
        <f>IF(A448="","",YEAR(A448))</f>
        <v/>
      </c>
      <c r="C448" s="36">
        <f>IF(A448="","",MONTH(A448))</f>
        <v/>
      </c>
      <c r="D448" s="18" t="n"/>
      <c r="E448" s="18" t="n"/>
      <c r="F448" s="18" t="n"/>
      <c r="G448" s="18" t="n"/>
      <c r="H448" s="18" t="n"/>
      <c r="I448" s="18" t="n"/>
      <c r="J448" s="18" t="n"/>
    </row>
    <row r="449">
      <c r="A449" s="41" t="n"/>
      <c r="B449" s="35">
        <f>IF(A449="","",YEAR(A449))</f>
        <v/>
      </c>
      <c r="C449" s="36">
        <f>IF(A449="","",MONTH(A449))</f>
        <v/>
      </c>
      <c r="D449" s="22" t="n"/>
      <c r="E449" s="22" t="n"/>
      <c r="F449" s="22" t="n"/>
      <c r="G449" s="22" t="n"/>
      <c r="H449" s="22" t="n"/>
      <c r="I449" s="22" t="n"/>
      <c r="J449" s="22" t="n"/>
    </row>
    <row r="450">
      <c r="A450" s="34" t="n"/>
      <c r="B450" s="35">
        <f>IF(A450="","",YEAR(A450))</f>
        <v/>
      </c>
      <c r="C450" s="36">
        <f>IF(A450="","",MONTH(A450))</f>
        <v/>
      </c>
      <c r="D450" s="18" t="n"/>
      <c r="E450" s="18" t="n"/>
      <c r="F450" s="18" t="n"/>
      <c r="G450" s="18" t="n"/>
      <c r="H450" s="18" t="n"/>
      <c r="I450" s="18" t="n"/>
      <c r="J450" s="18" t="n"/>
    </row>
    <row r="451">
      <c r="A451" s="41" t="n"/>
      <c r="B451" s="35">
        <f>IF(A451="","",YEAR(A451))</f>
        <v/>
      </c>
      <c r="C451" s="36">
        <f>IF(A451="","",MONTH(A451))</f>
        <v/>
      </c>
      <c r="D451" s="22" t="n"/>
      <c r="E451" s="22" t="n"/>
      <c r="F451" s="22" t="n"/>
      <c r="G451" s="22" t="n"/>
      <c r="H451" s="22" t="n"/>
      <c r="I451" s="22" t="n"/>
      <c r="J451" s="22" t="n"/>
    </row>
    <row r="452">
      <c r="A452" s="34" t="n"/>
      <c r="B452" s="35">
        <f>IF(A452="","",YEAR(A452))</f>
        <v/>
      </c>
      <c r="C452" s="36">
        <f>IF(A452="","",MONTH(A452))</f>
        <v/>
      </c>
      <c r="D452" s="18" t="n"/>
      <c r="E452" s="18" t="n"/>
      <c r="F452" s="18" t="n"/>
      <c r="G452" s="18" t="n"/>
      <c r="H452" s="18" t="n"/>
      <c r="I452" s="18" t="n"/>
      <c r="J452" s="18" t="n"/>
    </row>
    <row r="453">
      <c r="A453" s="41" t="n"/>
      <c r="B453" s="35">
        <f>IF(A453="","",YEAR(A453))</f>
        <v/>
      </c>
      <c r="C453" s="36">
        <f>IF(A453="","",MONTH(A453))</f>
        <v/>
      </c>
      <c r="D453" s="22" t="n"/>
      <c r="E453" s="22" t="n"/>
      <c r="F453" s="22" t="n"/>
      <c r="G453" s="22" t="n"/>
      <c r="H453" s="22" t="n"/>
      <c r="I453" s="22" t="n"/>
      <c r="J453" s="22" t="n"/>
    </row>
    <row r="454">
      <c r="A454" s="34" t="n"/>
      <c r="B454" s="35">
        <f>IF(A454="","",YEAR(A454))</f>
        <v/>
      </c>
      <c r="C454" s="36">
        <f>IF(A454="","",MONTH(A454))</f>
        <v/>
      </c>
      <c r="D454" s="18" t="n"/>
      <c r="E454" s="18" t="n"/>
      <c r="F454" s="18" t="n"/>
      <c r="G454" s="18" t="n"/>
      <c r="H454" s="18" t="n"/>
      <c r="I454" s="18" t="n"/>
      <c r="J454" s="18" t="n"/>
    </row>
    <row r="455">
      <c r="A455" s="41" t="n"/>
      <c r="B455" s="35">
        <f>IF(A455="","",YEAR(A455))</f>
        <v/>
      </c>
      <c r="C455" s="36">
        <f>IF(A455="","",MONTH(A455))</f>
        <v/>
      </c>
      <c r="D455" s="22" t="n"/>
      <c r="E455" s="22" t="n"/>
      <c r="F455" s="22" t="n"/>
      <c r="G455" s="22" t="n"/>
      <c r="H455" s="22" t="n"/>
      <c r="I455" s="22" t="n"/>
      <c r="J455" s="22" t="n"/>
    </row>
    <row r="456">
      <c r="A456" s="34" t="n"/>
      <c r="B456" s="35">
        <f>IF(A456="","",YEAR(A456))</f>
        <v/>
      </c>
      <c r="C456" s="36">
        <f>IF(A456="","",MONTH(A456))</f>
        <v/>
      </c>
      <c r="D456" s="18" t="n"/>
      <c r="E456" s="18" t="n"/>
      <c r="F456" s="18" t="n"/>
      <c r="G456" s="18" t="n"/>
      <c r="H456" s="18" t="n"/>
      <c r="I456" s="18" t="n"/>
      <c r="J456" s="18" t="n"/>
    </row>
    <row r="457">
      <c r="A457" s="41" t="n"/>
      <c r="B457" s="35">
        <f>IF(A457="","",YEAR(A457))</f>
        <v/>
      </c>
      <c r="C457" s="36">
        <f>IF(A457="","",MONTH(A457))</f>
        <v/>
      </c>
      <c r="D457" s="22" t="n"/>
      <c r="E457" s="22" t="n"/>
      <c r="F457" s="22" t="n"/>
      <c r="G457" s="22" t="n"/>
      <c r="H457" s="22" t="n"/>
      <c r="I457" s="22" t="n"/>
      <c r="J457" s="22" t="n"/>
    </row>
    <row r="458">
      <c r="A458" s="34" t="n"/>
      <c r="B458" s="35">
        <f>IF(A458="","",YEAR(A458))</f>
        <v/>
      </c>
      <c r="C458" s="36">
        <f>IF(A458="","",MONTH(A458))</f>
        <v/>
      </c>
      <c r="D458" s="18" t="n"/>
      <c r="E458" s="18" t="n"/>
      <c r="F458" s="18" t="n"/>
      <c r="G458" s="18" t="n"/>
      <c r="H458" s="18" t="n"/>
      <c r="I458" s="18" t="n"/>
      <c r="J458" s="18" t="n"/>
    </row>
    <row r="459">
      <c r="A459" s="41" t="n"/>
      <c r="B459" s="35">
        <f>IF(A459="","",YEAR(A459))</f>
        <v/>
      </c>
      <c r="C459" s="36">
        <f>IF(A459="","",MONTH(A459))</f>
        <v/>
      </c>
      <c r="D459" s="22" t="n"/>
      <c r="E459" s="22" t="n"/>
      <c r="F459" s="22" t="n"/>
      <c r="G459" s="22" t="n"/>
      <c r="H459" s="22" t="n"/>
      <c r="I459" s="22" t="n"/>
      <c r="J459" s="22" t="n"/>
    </row>
    <row r="460">
      <c r="A460" s="34" t="n"/>
      <c r="B460" s="35">
        <f>IF(A460="","",YEAR(A460))</f>
        <v/>
      </c>
      <c r="C460" s="36">
        <f>IF(A460="","",MONTH(A460))</f>
        <v/>
      </c>
      <c r="D460" s="18" t="n"/>
      <c r="E460" s="18" t="n"/>
      <c r="F460" s="18" t="n"/>
      <c r="G460" s="18" t="n"/>
      <c r="H460" s="18" t="n"/>
      <c r="I460" s="18" t="n"/>
      <c r="J460" s="18" t="n"/>
    </row>
    <row r="461">
      <c r="A461" s="41" t="n"/>
      <c r="B461" s="35">
        <f>IF(A461="","",YEAR(A461))</f>
        <v/>
      </c>
      <c r="C461" s="36">
        <f>IF(A461="","",MONTH(A461))</f>
        <v/>
      </c>
      <c r="D461" s="22" t="n"/>
      <c r="E461" s="22" t="n"/>
      <c r="F461" s="22" t="n"/>
      <c r="G461" s="22" t="n"/>
      <c r="H461" s="22" t="n"/>
      <c r="I461" s="22" t="n"/>
      <c r="J461" s="22" t="n"/>
    </row>
    <row r="462">
      <c r="A462" s="34" t="n"/>
      <c r="B462" s="35">
        <f>IF(A462="","",YEAR(A462))</f>
        <v/>
      </c>
      <c r="C462" s="36">
        <f>IF(A462="","",MONTH(A462))</f>
        <v/>
      </c>
      <c r="D462" s="18" t="n"/>
      <c r="E462" s="18" t="n"/>
      <c r="F462" s="18" t="n"/>
      <c r="G462" s="18" t="n"/>
      <c r="H462" s="18" t="n"/>
      <c r="I462" s="18" t="n"/>
      <c r="J462" s="18" t="n"/>
    </row>
    <row r="463">
      <c r="A463" s="41" t="n"/>
      <c r="B463" s="35">
        <f>IF(A463="","",YEAR(A463))</f>
        <v/>
      </c>
      <c r="C463" s="36">
        <f>IF(A463="","",MONTH(A463))</f>
        <v/>
      </c>
      <c r="D463" s="22" t="n"/>
      <c r="E463" s="22" t="n"/>
      <c r="F463" s="22" t="n"/>
      <c r="G463" s="22" t="n"/>
      <c r="H463" s="22" t="n"/>
      <c r="I463" s="22" t="n"/>
      <c r="J463" s="22" t="n"/>
    </row>
    <row r="464">
      <c r="A464" s="34" t="n"/>
      <c r="B464" s="35">
        <f>IF(A464="","",YEAR(A464))</f>
        <v/>
      </c>
      <c r="C464" s="36">
        <f>IF(A464="","",MONTH(A464))</f>
        <v/>
      </c>
      <c r="D464" s="18" t="n"/>
      <c r="E464" s="18" t="n"/>
      <c r="F464" s="18" t="n"/>
      <c r="G464" s="18" t="n"/>
      <c r="H464" s="18" t="n"/>
      <c r="I464" s="18" t="n"/>
      <c r="J464" s="18" t="n"/>
    </row>
    <row r="465">
      <c r="A465" s="41" t="n"/>
      <c r="B465" s="35">
        <f>IF(A465="","",YEAR(A465))</f>
        <v/>
      </c>
      <c r="C465" s="36">
        <f>IF(A465="","",MONTH(A465))</f>
        <v/>
      </c>
      <c r="D465" s="22" t="n"/>
      <c r="E465" s="22" t="n"/>
      <c r="F465" s="22" t="n"/>
      <c r="G465" s="22" t="n"/>
      <c r="H465" s="22" t="n"/>
      <c r="I465" s="22" t="n"/>
      <c r="J465" s="22" t="n"/>
    </row>
    <row r="466">
      <c r="A466" s="34" t="n"/>
      <c r="B466" s="35">
        <f>IF(A466="","",YEAR(A466))</f>
        <v/>
      </c>
      <c r="C466" s="36">
        <f>IF(A466="","",MONTH(A466))</f>
        <v/>
      </c>
      <c r="D466" s="18" t="n"/>
      <c r="E466" s="18" t="n"/>
      <c r="F466" s="18" t="n"/>
      <c r="G466" s="18" t="n"/>
      <c r="H466" s="18" t="n"/>
      <c r="I466" s="18" t="n"/>
      <c r="J466" s="18" t="n"/>
    </row>
    <row r="467">
      <c r="A467" s="41" t="n"/>
      <c r="B467" s="35">
        <f>IF(A467="","",YEAR(A467))</f>
        <v/>
      </c>
      <c r="C467" s="36">
        <f>IF(A467="","",MONTH(A467))</f>
        <v/>
      </c>
      <c r="D467" s="22" t="n"/>
      <c r="E467" s="22" t="n"/>
      <c r="F467" s="22" t="n"/>
      <c r="G467" s="22" t="n"/>
      <c r="H467" s="22" t="n"/>
      <c r="I467" s="22" t="n"/>
      <c r="J467" s="22" t="n"/>
    </row>
    <row r="468">
      <c r="A468" s="34" t="n"/>
      <c r="B468" s="35">
        <f>IF(A468="","",YEAR(A468))</f>
        <v/>
      </c>
      <c r="C468" s="36">
        <f>IF(A468="","",MONTH(A468))</f>
        <v/>
      </c>
      <c r="D468" s="18" t="n"/>
      <c r="E468" s="18" t="n"/>
      <c r="F468" s="18" t="n"/>
      <c r="G468" s="18" t="n"/>
      <c r="H468" s="18" t="n"/>
      <c r="I468" s="18" t="n"/>
      <c r="J468" s="18" t="n"/>
    </row>
    <row r="469">
      <c r="A469" s="41" t="n"/>
      <c r="B469" s="35">
        <f>IF(A469="","",YEAR(A469))</f>
        <v/>
      </c>
      <c r="C469" s="36">
        <f>IF(A469="","",MONTH(A469))</f>
        <v/>
      </c>
      <c r="D469" s="22" t="n"/>
      <c r="E469" s="22" t="n"/>
      <c r="F469" s="22" t="n"/>
      <c r="G469" s="22" t="n"/>
      <c r="H469" s="22" t="n"/>
      <c r="I469" s="22" t="n"/>
      <c r="J469" s="22" t="n"/>
    </row>
    <row r="470">
      <c r="A470" s="34" t="n"/>
      <c r="B470" s="35">
        <f>IF(A470="","",YEAR(A470))</f>
        <v/>
      </c>
      <c r="C470" s="36">
        <f>IF(A470="","",MONTH(A470))</f>
        <v/>
      </c>
      <c r="D470" s="18" t="n"/>
      <c r="E470" s="18" t="n"/>
      <c r="F470" s="18" t="n"/>
      <c r="G470" s="18" t="n"/>
      <c r="H470" s="18" t="n"/>
      <c r="I470" s="18" t="n"/>
      <c r="J470" s="18" t="n"/>
    </row>
    <row r="471">
      <c r="A471" s="41" t="n"/>
      <c r="B471" s="35">
        <f>IF(A471="","",YEAR(A471))</f>
        <v/>
      </c>
      <c r="C471" s="36">
        <f>IF(A471="","",MONTH(A471))</f>
        <v/>
      </c>
      <c r="D471" s="22" t="n"/>
      <c r="E471" s="22" t="n"/>
      <c r="F471" s="22" t="n"/>
      <c r="G471" s="22" t="n"/>
      <c r="H471" s="22" t="n"/>
      <c r="I471" s="22" t="n"/>
      <c r="J471" s="22" t="n"/>
    </row>
    <row r="472">
      <c r="A472" s="34" t="n"/>
      <c r="B472" s="35">
        <f>IF(A472="","",YEAR(A472))</f>
        <v/>
      </c>
      <c r="C472" s="36">
        <f>IF(A472="","",MONTH(A472))</f>
        <v/>
      </c>
      <c r="D472" s="18" t="n"/>
      <c r="E472" s="18" t="n"/>
      <c r="F472" s="18" t="n"/>
      <c r="G472" s="18" t="n"/>
      <c r="H472" s="18" t="n"/>
      <c r="I472" s="18" t="n"/>
      <c r="J472" s="18" t="n"/>
    </row>
    <row r="473">
      <c r="A473" s="41" t="n"/>
      <c r="B473" s="35">
        <f>IF(A473="","",YEAR(A473))</f>
        <v/>
      </c>
      <c r="C473" s="36">
        <f>IF(A473="","",MONTH(A473))</f>
        <v/>
      </c>
      <c r="D473" s="22" t="n"/>
      <c r="E473" s="22" t="n"/>
      <c r="F473" s="22" t="n"/>
      <c r="G473" s="22" t="n"/>
      <c r="H473" s="22" t="n"/>
      <c r="I473" s="22" t="n"/>
      <c r="J473" s="22" t="n"/>
    </row>
    <row r="474">
      <c r="A474" s="34" t="n"/>
      <c r="B474" s="35">
        <f>IF(A474="","",YEAR(A474))</f>
        <v/>
      </c>
      <c r="C474" s="36">
        <f>IF(A474="","",MONTH(A474))</f>
        <v/>
      </c>
      <c r="D474" s="18" t="n"/>
      <c r="E474" s="18" t="n"/>
      <c r="F474" s="18" t="n"/>
      <c r="G474" s="18" t="n"/>
      <c r="H474" s="18" t="n"/>
      <c r="I474" s="18" t="n"/>
      <c r="J474" s="18" t="n"/>
    </row>
    <row r="475">
      <c r="A475" s="41" t="n"/>
      <c r="B475" s="35">
        <f>IF(A475="","",YEAR(A475))</f>
        <v/>
      </c>
      <c r="C475" s="36">
        <f>IF(A475="","",MONTH(A475))</f>
        <v/>
      </c>
      <c r="D475" s="22" t="n"/>
      <c r="E475" s="22" t="n"/>
      <c r="F475" s="22" t="n"/>
      <c r="G475" s="22" t="n"/>
      <c r="H475" s="22" t="n"/>
      <c r="I475" s="22" t="n"/>
      <c r="J475" s="22" t="n"/>
    </row>
    <row r="476">
      <c r="A476" s="34" t="n"/>
      <c r="B476" s="35">
        <f>IF(A476="","",YEAR(A476))</f>
        <v/>
      </c>
      <c r="C476" s="36">
        <f>IF(A476="","",MONTH(A476))</f>
        <v/>
      </c>
      <c r="D476" s="18" t="n"/>
      <c r="E476" s="18" t="n"/>
      <c r="F476" s="18" t="n"/>
      <c r="G476" s="18" t="n"/>
      <c r="H476" s="18" t="n"/>
      <c r="I476" s="18" t="n"/>
      <c r="J476" s="18" t="n"/>
    </row>
    <row r="477">
      <c r="A477" s="41" t="n"/>
      <c r="B477" s="35">
        <f>IF(A477="","",YEAR(A477))</f>
        <v/>
      </c>
      <c r="C477" s="36">
        <f>IF(A477="","",MONTH(A477))</f>
        <v/>
      </c>
      <c r="D477" s="22" t="n"/>
      <c r="E477" s="22" t="n"/>
      <c r="F477" s="22" t="n"/>
      <c r="G477" s="22" t="n"/>
      <c r="H477" s="22" t="n"/>
      <c r="I477" s="22" t="n"/>
      <c r="J477" s="22" t="n"/>
    </row>
    <row r="478">
      <c r="A478" s="34" t="n"/>
      <c r="B478" s="35">
        <f>IF(A478="","",YEAR(A478))</f>
        <v/>
      </c>
      <c r="C478" s="36">
        <f>IF(A478="","",MONTH(A478))</f>
        <v/>
      </c>
      <c r="D478" s="18" t="n"/>
      <c r="E478" s="18" t="n"/>
      <c r="F478" s="18" t="n"/>
      <c r="G478" s="18" t="n"/>
      <c r="H478" s="18" t="n"/>
      <c r="I478" s="18" t="n"/>
      <c r="J478" s="18" t="n"/>
    </row>
    <row r="479">
      <c r="A479" s="41" t="n"/>
      <c r="B479" s="35">
        <f>IF(A479="","",YEAR(A479))</f>
        <v/>
      </c>
      <c r="C479" s="36">
        <f>IF(A479="","",MONTH(A479))</f>
        <v/>
      </c>
      <c r="D479" s="22" t="n"/>
      <c r="E479" s="22" t="n"/>
      <c r="F479" s="22" t="n"/>
      <c r="G479" s="22" t="n"/>
      <c r="H479" s="22" t="n"/>
      <c r="I479" s="22" t="n"/>
      <c r="J479" s="22" t="n"/>
    </row>
    <row r="480">
      <c r="A480" s="34" t="n"/>
      <c r="B480" s="35">
        <f>IF(A480="","",YEAR(A480))</f>
        <v/>
      </c>
      <c r="C480" s="36">
        <f>IF(A480="","",MONTH(A480))</f>
        <v/>
      </c>
      <c r="D480" s="18" t="n"/>
      <c r="E480" s="18" t="n"/>
      <c r="F480" s="18" t="n"/>
      <c r="G480" s="18" t="n"/>
      <c r="H480" s="18" t="n"/>
      <c r="I480" s="18" t="n"/>
      <c r="J480" s="18" t="n"/>
    </row>
    <row r="481">
      <c r="A481" s="41" t="n"/>
      <c r="B481" s="35">
        <f>IF(A481="","",YEAR(A481))</f>
        <v/>
      </c>
      <c r="C481" s="36">
        <f>IF(A481="","",MONTH(A481))</f>
        <v/>
      </c>
      <c r="D481" s="22" t="n"/>
      <c r="E481" s="22" t="n"/>
      <c r="F481" s="22" t="n"/>
      <c r="G481" s="22" t="n"/>
      <c r="H481" s="22" t="n"/>
      <c r="I481" s="22" t="n"/>
      <c r="J481" s="22" t="n"/>
    </row>
    <row r="482">
      <c r="A482" s="34" t="n"/>
      <c r="B482" s="35">
        <f>IF(A482="","",YEAR(A482))</f>
        <v/>
      </c>
      <c r="C482" s="36">
        <f>IF(A482="","",MONTH(A482))</f>
        <v/>
      </c>
      <c r="D482" s="18" t="n"/>
      <c r="E482" s="18" t="n"/>
      <c r="F482" s="18" t="n"/>
      <c r="G482" s="18" t="n"/>
      <c r="H482" s="18" t="n"/>
      <c r="I482" s="18" t="n"/>
      <c r="J482" s="18" t="n"/>
    </row>
    <row r="483">
      <c r="A483" s="41" t="n"/>
      <c r="B483" s="35">
        <f>IF(A483="","",YEAR(A483))</f>
        <v/>
      </c>
      <c r="C483" s="36">
        <f>IF(A483="","",MONTH(A483))</f>
        <v/>
      </c>
      <c r="D483" s="22" t="n"/>
      <c r="E483" s="22" t="n"/>
      <c r="F483" s="22" t="n"/>
      <c r="G483" s="22" t="n"/>
      <c r="H483" s="22" t="n"/>
      <c r="I483" s="22" t="n"/>
      <c r="J483" s="22" t="n"/>
    </row>
    <row r="484">
      <c r="A484" s="34" t="n"/>
      <c r="B484" s="35">
        <f>IF(A484="","",YEAR(A484))</f>
        <v/>
      </c>
      <c r="C484" s="36">
        <f>IF(A484="","",MONTH(A484))</f>
        <v/>
      </c>
      <c r="D484" s="18" t="n"/>
      <c r="E484" s="18" t="n"/>
      <c r="F484" s="18" t="n"/>
      <c r="G484" s="18" t="n"/>
      <c r="H484" s="18" t="n"/>
      <c r="I484" s="18" t="n"/>
      <c r="J484" s="18" t="n"/>
    </row>
    <row r="485">
      <c r="A485" s="41" t="n"/>
      <c r="B485" s="35">
        <f>IF(A485="","",YEAR(A485))</f>
        <v/>
      </c>
      <c r="C485" s="36">
        <f>IF(A485="","",MONTH(A485))</f>
        <v/>
      </c>
      <c r="D485" s="22" t="n"/>
      <c r="E485" s="22" t="n"/>
      <c r="F485" s="22" t="n"/>
      <c r="G485" s="22" t="n"/>
      <c r="H485" s="22" t="n"/>
      <c r="I485" s="22" t="n"/>
      <c r="J485" s="22" t="n"/>
    </row>
    <row r="486">
      <c r="A486" s="34" t="n"/>
      <c r="B486" s="35">
        <f>IF(A486="","",YEAR(A486))</f>
        <v/>
      </c>
      <c r="C486" s="36">
        <f>IF(A486="","",MONTH(A486))</f>
        <v/>
      </c>
      <c r="D486" s="18" t="n"/>
      <c r="E486" s="18" t="n"/>
      <c r="F486" s="18" t="n"/>
      <c r="G486" s="18" t="n"/>
      <c r="H486" s="18" t="n"/>
      <c r="I486" s="18" t="n"/>
      <c r="J486" s="18" t="n"/>
    </row>
    <row r="487">
      <c r="A487" s="41" t="n"/>
      <c r="B487" s="35">
        <f>IF(A487="","",YEAR(A487))</f>
        <v/>
      </c>
      <c r="C487" s="36">
        <f>IF(A487="","",MONTH(A487))</f>
        <v/>
      </c>
      <c r="D487" s="22" t="n"/>
      <c r="E487" s="22" t="n"/>
      <c r="F487" s="22" t="n"/>
      <c r="G487" s="22" t="n"/>
      <c r="H487" s="22" t="n"/>
      <c r="I487" s="22" t="n"/>
      <c r="J487" s="22" t="n"/>
    </row>
    <row r="488">
      <c r="A488" s="34" t="n"/>
      <c r="B488" s="35">
        <f>IF(A488="","",YEAR(A488))</f>
        <v/>
      </c>
      <c r="C488" s="36">
        <f>IF(A488="","",MONTH(A488))</f>
        <v/>
      </c>
      <c r="D488" s="18" t="n"/>
      <c r="E488" s="18" t="n"/>
      <c r="F488" s="18" t="n"/>
      <c r="G488" s="18" t="n"/>
      <c r="H488" s="18" t="n"/>
      <c r="I488" s="18" t="n"/>
      <c r="J488" s="18" t="n"/>
    </row>
    <row r="489">
      <c r="A489" s="41" t="n"/>
      <c r="B489" s="35">
        <f>IF(A489="","",YEAR(A489))</f>
        <v/>
      </c>
      <c r="C489" s="36">
        <f>IF(A489="","",MONTH(A489))</f>
        <v/>
      </c>
      <c r="D489" s="22" t="n"/>
      <c r="E489" s="22" t="n"/>
      <c r="F489" s="22" t="n"/>
      <c r="G489" s="22" t="n"/>
      <c r="H489" s="22" t="n"/>
      <c r="I489" s="22" t="n"/>
      <c r="J489" s="22" t="n"/>
    </row>
    <row r="490">
      <c r="A490" s="34" t="n"/>
      <c r="B490" s="35">
        <f>IF(A490="","",YEAR(A490))</f>
        <v/>
      </c>
      <c r="C490" s="36">
        <f>IF(A490="","",MONTH(A490))</f>
        <v/>
      </c>
      <c r="D490" s="18" t="n"/>
      <c r="E490" s="18" t="n"/>
      <c r="F490" s="18" t="n"/>
      <c r="G490" s="18" t="n"/>
      <c r="H490" s="18" t="n"/>
      <c r="I490" s="18" t="n"/>
      <c r="J490" s="18" t="n"/>
    </row>
    <row r="491">
      <c r="A491" s="41" t="n"/>
      <c r="B491" s="35">
        <f>IF(A491="","",YEAR(A491))</f>
        <v/>
      </c>
      <c r="C491" s="36">
        <f>IF(A491="","",MONTH(A491))</f>
        <v/>
      </c>
      <c r="D491" s="22" t="n"/>
      <c r="E491" s="22" t="n"/>
      <c r="F491" s="22" t="n"/>
      <c r="G491" s="22" t="n"/>
      <c r="H491" s="22" t="n"/>
      <c r="I491" s="22" t="n"/>
      <c r="J491" s="22" t="n"/>
    </row>
    <row r="492">
      <c r="A492" s="34" t="n"/>
      <c r="B492" s="35">
        <f>IF(A492="","",YEAR(A492))</f>
        <v/>
      </c>
      <c r="C492" s="36">
        <f>IF(A492="","",MONTH(A492))</f>
        <v/>
      </c>
      <c r="D492" s="18" t="n"/>
      <c r="E492" s="18" t="n"/>
      <c r="F492" s="18" t="n"/>
      <c r="G492" s="18" t="n"/>
      <c r="H492" s="18" t="n"/>
      <c r="I492" s="18" t="n"/>
      <c r="J492" s="18" t="n"/>
    </row>
    <row r="493">
      <c r="A493" s="41" t="n"/>
      <c r="B493" s="35">
        <f>IF(A493="","",YEAR(A493))</f>
        <v/>
      </c>
      <c r="C493" s="36">
        <f>IF(A493="","",MONTH(A493))</f>
        <v/>
      </c>
      <c r="D493" s="22" t="n"/>
      <c r="E493" s="22" t="n"/>
      <c r="F493" s="22" t="n"/>
      <c r="G493" s="22" t="n"/>
      <c r="H493" s="22" t="n"/>
      <c r="I493" s="22" t="n"/>
      <c r="J493" s="22" t="n"/>
    </row>
    <row r="494">
      <c r="A494" s="34" t="n"/>
      <c r="B494" s="35">
        <f>IF(A494="","",YEAR(A494))</f>
        <v/>
      </c>
      <c r="C494" s="36">
        <f>IF(A494="","",MONTH(A494))</f>
        <v/>
      </c>
      <c r="D494" s="18" t="n"/>
      <c r="E494" s="18" t="n"/>
      <c r="F494" s="18" t="n"/>
      <c r="G494" s="18" t="n"/>
      <c r="H494" s="18" t="n"/>
      <c r="I494" s="18" t="n"/>
      <c r="J494" s="18" t="n"/>
    </row>
    <row r="495">
      <c r="A495" s="41" t="n"/>
      <c r="B495" s="35">
        <f>IF(A495="","",YEAR(A495))</f>
        <v/>
      </c>
      <c r="C495" s="36">
        <f>IF(A495="","",MONTH(A495))</f>
        <v/>
      </c>
      <c r="D495" s="22" t="n"/>
      <c r="E495" s="22" t="n"/>
      <c r="F495" s="22" t="n"/>
      <c r="G495" s="22" t="n"/>
      <c r="H495" s="22" t="n"/>
      <c r="I495" s="22" t="n"/>
      <c r="J495" s="22" t="n"/>
    </row>
    <row r="496">
      <c r="A496" s="34" t="n"/>
      <c r="B496" s="35">
        <f>IF(A496="","",YEAR(A496))</f>
        <v/>
      </c>
      <c r="C496" s="36">
        <f>IF(A496="","",MONTH(A496))</f>
        <v/>
      </c>
      <c r="D496" s="18" t="n"/>
      <c r="E496" s="18" t="n"/>
      <c r="F496" s="18" t="n"/>
      <c r="G496" s="18" t="n"/>
      <c r="H496" s="18" t="n"/>
      <c r="I496" s="18" t="n"/>
      <c r="J496" s="18" t="n"/>
    </row>
    <row r="497">
      <c r="A497" s="41" t="n"/>
      <c r="B497" s="35">
        <f>IF(A497="","",YEAR(A497))</f>
        <v/>
      </c>
      <c r="C497" s="36">
        <f>IF(A497="","",MONTH(A497))</f>
        <v/>
      </c>
      <c r="D497" s="22" t="n"/>
      <c r="E497" s="22" t="n"/>
      <c r="F497" s="22" t="n"/>
      <c r="G497" s="22" t="n"/>
      <c r="H497" s="22" t="n"/>
      <c r="I497" s="22" t="n"/>
      <c r="J497" s="22" t="n"/>
    </row>
    <row r="498">
      <c r="A498" s="34" t="n"/>
      <c r="B498" s="35">
        <f>IF(A498="","",YEAR(A498))</f>
        <v/>
      </c>
      <c r="C498" s="36">
        <f>IF(A498="","",MONTH(A498))</f>
        <v/>
      </c>
      <c r="D498" s="18" t="n"/>
      <c r="E498" s="18" t="n"/>
      <c r="F498" s="18" t="n"/>
      <c r="G498" s="18" t="n"/>
      <c r="H498" s="18" t="n"/>
      <c r="I498" s="18" t="n"/>
      <c r="J498" s="18" t="n"/>
    </row>
    <row r="499">
      <c r="A499" s="41" t="n"/>
      <c r="B499" s="35">
        <f>IF(A499="","",YEAR(A499))</f>
        <v/>
      </c>
      <c r="C499" s="36">
        <f>IF(A499="","",MONTH(A499))</f>
        <v/>
      </c>
      <c r="D499" s="22" t="n"/>
      <c r="E499" s="22" t="n"/>
      <c r="F499" s="22" t="n"/>
      <c r="G499" s="22" t="n"/>
      <c r="H499" s="22" t="n"/>
      <c r="I499" s="22" t="n"/>
      <c r="J499" s="22" t="n"/>
    </row>
    <row r="500">
      <c r="A500" s="34" t="n"/>
      <c r="B500" s="35">
        <f>IF(A500="","",YEAR(A500))</f>
        <v/>
      </c>
      <c r="C500" s="36">
        <f>IF(A500="","",MONTH(A500))</f>
        <v/>
      </c>
      <c r="D500" s="18" t="n"/>
      <c r="E500" s="18" t="n"/>
      <c r="F500" s="18" t="n"/>
      <c r="G500" s="18" t="n"/>
      <c r="H500" s="18" t="n"/>
      <c r="I500" s="18" t="n"/>
      <c r="J500" s="18" t="n"/>
    </row>
    <row r="501">
      <c r="A501" s="41" t="n"/>
      <c r="B501" s="35">
        <f>IF(A501="","",YEAR(A501))</f>
        <v/>
      </c>
      <c r="C501" s="36">
        <f>IF(A501="","",MONTH(A501))</f>
        <v/>
      </c>
      <c r="D501" s="22" t="n"/>
      <c r="E501" s="22" t="n"/>
      <c r="F501" s="22" t="n"/>
      <c r="G501" s="22" t="n"/>
      <c r="H501" s="22" t="n"/>
      <c r="I501" s="22" t="n"/>
      <c r="J501" s="22" t="n"/>
    </row>
    <row r="502">
      <c r="A502" s="34" t="n"/>
      <c r="B502" s="35">
        <f>IF(A502="","",YEAR(A502))</f>
        <v/>
      </c>
      <c r="C502" s="36">
        <f>IF(A502="","",MONTH(A502))</f>
        <v/>
      </c>
      <c r="D502" s="18" t="n"/>
      <c r="E502" s="18" t="n"/>
      <c r="F502" s="18" t="n"/>
      <c r="G502" s="18" t="n"/>
      <c r="H502" s="18" t="n"/>
      <c r="I502" s="18" t="n"/>
      <c r="J502" s="18" t="n"/>
    </row>
    <row r="503">
      <c r="A503" s="41" t="n"/>
      <c r="B503" s="35">
        <f>IF(A503="","",YEAR(A503))</f>
        <v/>
      </c>
      <c r="C503" s="36">
        <f>IF(A503="","",MONTH(A503))</f>
        <v/>
      </c>
      <c r="D503" s="22" t="n"/>
      <c r="E503" s="22" t="n"/>
      <c r="F503" s="22" t="n"/>
      <c r="G503" s="22" t="n"/>
      <c r="H503" s="22" t="n"/>
      <c r="I503" s="22" t="n"/>
      <c r="J503" s="22" t="n"/>
    </row>
    <row r="504">
      <c r="A504" s="34" t="n"/>
      <c r="B504" s="35">
        <f>IF(A504="","",YEAR(A504))</f>
        <v/>
      </c>
      <c r="C504" s="36">
        <f>IF(A504="","",MONTH(A504))</f>
        <v/>
      </c>
      <c r="D504" s="18" t="n"/>
      <c r="E504" s="18" t="n"/>
      <c r="F504" s="18" t="n"/>
      <c r="G504" s="18" t="n"/>
      <c r="H504" s="18" t="n"/>
      <c r="I504" s="18" t="n"/>
      <c r="J504" s="18" t="n"/>
    </row>
    <row r="505">
      <c r="A505" s="41" t="n"/>
      <c r="B505" s="35">
        <f>IF(A505="","",YEAR(A505))</f>
        <v/>
      </c>
      <c r="C505" s="36">
        <f>IF(A505="","",MONTH(A505))</f>
        <v/>
      </c>
      <c r="D505" s="22" t="n"/>
      <c r="E505" s="22" t="n"/>
      <c r="F505" s="22" t="n"/>
      <c r="G505" s="22" t="n"/>
      <c r="H505" s="22" t="n"/>
      <c r="I505" s="22" t="n"/>
      <c r="J505" s="22" t="n"/>
    </row>
    <row r="506">
      <c r="A506" s="34" t="n"/>
      <c r="B506" s="35">
        <f>IF(A506="","",YEAR(A506))</f>
        <v/>
      </c>
      <c r="C506" s="36">
        <f>IF(A506="","",MONTH(A506))</f>
        <v/>
      </c>
      <c r="D506" s="18" t="n"/>
      <c r="E506" s="18" t="n"/>
      <c r="F506" s="18" t="n"/>
      <c r="G506" s="18" t="n"/>
      <c r="H506" s="18" t="n"/>
      <c r="I506" s="18" t="n"/>
      <c r="J506" s="18" t="n"/>
    </row>
    <row r="507">
      <c r="A507" s="41" t="n"/>
      <c r="B507" s="35">
        <f>IF(A507="","",YEAR(A507))</f>
        <v/>
      </c>
      <c r="C507" s="36">
        <f>IF(A507="","",MONTH(A507))</f>
        <v/>
      </c>
      <c r="D507" s="22" t="n"/>
      <c r="E507" s="22" t="n"/>
      <c r="F507" s="22" t="n"/>
      <c r="G507" s="22" t="n"/>
      <c r="H507" s="22" t="n"/>
      <c r="I507" s="22" t="n"/>
      <c r="J507" s="22" t="n"/>
    </row>
    <row r="508">
      <c r="A508" s="34" t="n"/>
      <c r="B508" s="35">
        <f>IF(A508="","",YEAR(A508))</f>
        <v/>
      </c>
      <c r="C508" s="36">
        <f>IF(A508="","",MONTH(A508))</f>
        <v/>
      </c>
      <c r="D508" s="18" t="n"/>
      <c r="E508" s="18" t="n"/>
      <c r="F508" s="18" t="n"/>
      <c r="G508" s="18" t="n"/>
      <c r="H508" s="18" t="n"/>
      <c r="I508" s="18" t="n"/>
      <c r="J508" s="18" t="n"/>
    </row>
    <row r="509">
      <c r="A509" s="41" t="n"/>
      <c r="B509" s="35">
        <f>IF(A509="","",YEAR(A509))</f>
        <v/>
      </c>
      <c r="C509" s="36">
        <f>IF(A509="","",MONTH(A509))</f>
        <v/>
      </c>
      <c r="D509" s="22" t="n"/>
      <c r="E509" s="22" t="n"/>
      <c r="F509" s="22" t="n"/>
      <c r="G509" s="22" t="n"/>
      <c r="H509" s="22" t="n"/>
      <c r="I509" s="22" t="n"/>
      <c r="J509" s="22" t="n"/>
    </row>
    <row r="510">
      <c r="A510" s="34" t="n"/>
      <c r="B510" s="35">
        <f>IF(A510="","",YEAR(A510))</f>
        <v/>
      </c>
      <c r="C510" s="36">
        <f>IF(A510="","",MONTH(A510))</f>
        <v/>
      </c>
      <c r="D510" s="18" t="n"/>
      <c r="E510" s="18" t="n"/>
      <c r="F510" s="18" t="n"/>
      <c r="G510" s="18" t="n"/>
      <c r="H510" s="18" t="n"/>
      <c r="I510" s="18" t="n"/>
      <c r="J510" s="18" t="n"/>
    </row>
    <row r="511">
      <c r="A511" s="41" t="n"/>
      <c r="B511" s="35">
        <f>IF(A511="","",YEAR(A511))</f>
        <v/>
      </c>
      <c r="C511" s="36">
        <f>IF(A511="","",MONTH(A511))</f>
        <v/>
      </c>
      <c r="D511" s="22" t="n"/>
      <c r="E511" s="22" t="n"/>
      <c r="F511" s="22" t="n"/>
      <c r="G511" s="22" t="n"/>
      <c r="H511" s="22" t="n"/>
      <c r="I511" s="22" t="n"/>
      <c r="J511" s="22" t="n"/>
    </row>
    <row r="512">
      <c r="A512" s="34" t="n"/>
      <c r="B512" s="35">
        <f>IF(A512="","",YEAR(A512))</f>
        <v/>
      </c>
      <c r="C512" s="36">
        <f>IF(A512="","",MONTH(A512))</f>
        <v/>
      </c>
      <c r="D512" s="18" t="n"/>
      <c r="E512" s="18" t="n"/>
      <c r="F512" s="18" t="n"/>
      <c r="G512" s="18" t="n"/>
      <c r="H512" s="18" t="n"/>
      <c r="I512" s="18" t="n"/>
      <c r="J512" s="18" t="n"/>
    </row>
    <row r="513">
      <c r="A513" s="41" t="n"/>
      <c r="B513" s="35">
        <f>IF(A513="","",YEAR(A513))</f>
        <v/>
      </c>
      <c r="C513" s="36">
        <f>IF(A513="","",MONTH(A513))</f>
        <v/>
      </c>
      <c r="D513" s="22" t="n"/>
      <c r="E513" s="22" t="n"/>
      <c r="F513" s="22" t="n"/>
      <c r="G513" s="22" t="n"/>
      <c r="H513" s="22" t="n"/>
      <c r="I513" s="22" t="n"/>
      <c r="J513" s="22" t="n"/>
    </row>
    <row r="514">
      <c r="A514" s="34" t="n"/>
      <c r="B514" s="35">
        <f>IF(A514="","",YEAR(A514))</f>
        <v/>
      </c>
      <c r="C514" s="36">
        <f>IF(A514="","",MONTH(A514))</f>
        <v/>
      </c>
      <c r="D514" s="18" t="n"/>
      <c r="E514" s="18" t="n"/>
      <c r="F514" s="18" t="n"/>
      <c r="G514" s="18" t="n"/>
      <c r="H514" s="18" t="n"/>
      <c r="I514" s="18" t="n"/>
      <c r="J514" s="18" t="n"/>
    </row>
    <row r="515">
      <c r="A515" s="41" t="n"/>
      <c r="B515" s="35">
        <f>IF(A515="","",YEAR(A515))</f>
        <v/>
      </c>
      <c r="C515" s="36">
        <f>IF(A515="","",MONTH(A515))</f>
        <v/>
      </c>
      <c r="D515" s="22" t="n"/>
      <c r="E515" s="22" t="n"/>
      <c r="F515" s="22" t="n"/>
      <c r="G515" s="22" t="n"/>
      <c r="H515" s="22" t="n"/>
      <c r="I515" s="22" t="n"/>
      <c r="J515" s="22" t="n"/>
    </row>
    <row r="516">
      <c r="A516" s="34" t="n"/>
      <c r="B516" s="35">
        <f>IF(A516="","",YEAR(A516))</f>
        <v/>
      </c>
      <c r="C516" s="36">
        <f>IF(A516="","",MONTH(A516))</f>
        <v/>
      </c>
      <c r="D516" s="18" t="n"/>
      <c r="E516" s="18" t="n"/>
      <c r="F516" s="18" t="n"/>
      <c r="G516" s="18" t="n"/>
      <c r="H516" s="18" t="n"/>
      <c r="I516" s="18" t="n"/>
      <c r="J516" s="18" t="n"/>
    </row>
    <row r="517">
      <c r="A517" s="41" t="n"/>
      <c r="B517" s="35">
        <f>IF(A517="","",YEAR(A517))</f>
        <v/>
      </c>
      <c r="C517" s="36">
        <f>IF(A517="","",MONTH(A517))</f>
        <v/>
      </c>
      <c r="D517" s="22" t="n"/>
      <c r="E517" s="22" t="n"/>
      <c r="F517" s="22" t="n"/>
      <c r="G517" s="22" t="n"/>
      <c r="H517" s="22" t="n"/>
      <c r="I517" s="22" t="n"/>
      <c r="J517" s="22" t="n"/>
    </row>
    <row r="518">
      <c r="A518" s="34" t="n"/>
      <c r="B518" s="35">
        <f>IF(A518="","",YEAR(A518))</f>
        <v/>
      </c>
      <c r="C518" s="36">
        <f>IF(A518="","",MONTH(A518))</f>
        <v/>
      </c>
      <c r="D518" s="18" t="n"/>
      <c r="E518" s="18" t="n"/>
      <c r="F518" s="18" t="n"/>
      <c r="G518" s="18" t="n"/>
      <c r="H518" s="18" t="n"/>
      <c r="I518" s="18" t="n"/>
      <c r="J518" s="18" t="n"/>
    </row>
    <row r="519">
      <c r="A519" s="41" t="n"/>
      <c r="B519" s="35">
        <f>IF(A519="","",YEAR(A519))</f>
        <v/>
      </c>
      <c r="C519" s="36">
        <f>IF(A519="","",MONTH(A519))</f>
        <v/>
      </c>
      <c r="D519" s="22" t="n"/>
      <c r="E519" s="22" t="n"/>
      <c r="F519" s="22" t="n"/>
      <c r="G519" s="22" t="n"/>
      <c r="H519" s="22" t="n"/>
      <c r="I519" s="22" t="n"/>
      <c r="J519" s="22" t="n"/>
    </row>
    <row r="520">
      <c r="A520" s="34" t="n"/>
      <c r="B520" s="35">
        <f>IF(A520="","",YEAR(A520))</f>
        <v/>
      </c>
      <c r="C520" s="36">
        <f>IF(A520="","",MONTH(A520))</f>
        <v/>
      </c>
      <c r="D520" s="18" t="n"/>
      <c r="E520" s="18" t="n"/>
      <c r="F520" s="18" t="n"/>
      <c r="G520" s="18" t="n"/>
      <c r="H520" s="18" t="n"/>
      <c r="I520" s="18" t="n"/>
      <c r="J520" s="18" t="n"/>
    </row>
    <row r="521">
      <c r="A521" s="41" t="n"/>
      <c r="B521" s="35">
        <f>IF(A521="","",YEAR(A521))</f>
        <v/>
      </c>
      <c r="C521" s="36">
        <f>IF(A521="","",MONTH(A521))</f>
        <v/>
      </c>
      <c r="D521" s="22" t="n"/>
      <c r="E521" s="22" t="n"/>
      <c r="F521" s="22" t="n"/>
      <c r="G521" s="22" t="n"/>
      <c r="H521" s="22" t="n"/>
      <c r="I521" s="22" t="n"/>
      <c r="J521" s="22" t="n"/>
    </row>
    <row r="522">
      <c r="A522" s="34" t="n"/>
      <c r="B522" s="35">
        <f>IF(A522="","",YEAR(A522))</f>
        <v/>
      </c>
      <c r="C522" s="36">
        <f>IF(A522="","",MONTH(A522))</f>
        <v/>
      </c>
      <c r="D522" s="18" t="n"/>
      <c r="E522" s="18" t="n"/>
      <c r="F522" s="18" t="n"/>
      <c r="G522" s="18" t="n"/>
      <c r="H522" s="18" t="n"/>
      <c r="I522" s="18" t="n"/>
      <c r="J522" s="18" t="n"/>
    </row>
    <row r="523">
      <c r="A523" s="41" t="n"/>
      <c r="B523" s="35">
        <f>IF(A523="","",YEAR(A523))</f>
        <v/>
      </c>
      <c r="C523" s="36">
        <f>IF(A523="","",MONTH(A523))</f>
        <v/>
      </c>
      <c r="D523" s="22" t="n"/>
      <c r="E523" s="22" t="n"/>
      <c r="F523" s="22" t="n"/>
      <c r="G523" s="22" t="n"/>
      <c r="H523" s="22" t="n"/>
      <c r="I523" s="22" t="n"/>
      <c r="J523" s="22" t="n"/>
    </row>
    <row r="524">
      <c r="A524" s="34" t="n"/>
      <c r="B524" s="35">
        <f>IF(A524="","",YEAR(A524))</f>
        <v/>
      </c>
      <c r="C524" s="36">
        <f>IF(A524="","",MONTH(A524))</f>
        <v/>
      </c>
      <c r="D524" s="18" t="n"/>
      <c r="E524" s="18" t="n"/>
      <c r="F524" s="18" t="n"/>
      <c r="G524" s="18" t="n"/>
      <c r="H524" s="18" t="n"/>
      <c r="I524" s="18" t="n"/>
      <c r="J524" s="18" t="n"/>
    </row>
    <row r="525">
      <c r="A525" s="41" t="n"/>
      <c r="B525" s="35">
        <f>IF(A525="","",YEAR(A525))</f>
        <v/>
      </c>
      <c r="C525" s="36">
        <f>IF(A525="","",MONTH(A525))</f>
        <v/>
      </c>
      <c r="D525" s="22" t="n"/>
      <c r="E525" s="22" t="n"/>
      <c r="F525" s="22" t="n"/>
      <c r="G525" s="22" t="n"/>
      <c r="H525" s="22" t="n"/>
      <c r="I525" s="22" t="n"/>
      <c r="J525" s="22" t="n"/>
    </row>
    <row r="526">
      <c r="A526" s="34" t="n"/>
      <c r="B526" s="35">
        <f>IF(A526="","",YEAR(A526))</f>
        <v/>
      </c>
      <c r="C526" s="36">
        <f>IF(A526="","",MONTH(A526))</f>
        <v/>
      </c>
      <c r="D526" s="18" t="n"/>
      <c r="E526" s="18" t="n"/>
      <c r="F526" s="18" t="n"/>
      <c r="G526" s="18" t="n"/>
      <c r="H526" s="18" t="n"/>
      <c r="I526" s="18" t="n"/>
      <c r="J526" s="18" t="n"/>
    </row>
    <row r="527">
      <c r="A527" s="41" t="n"/>
      <c r="B527" s="35">
        <f>IF(A527="","",YEAR(A527))</f>
        <v/>
      </c>
      <c r="C527" s="36">
        <f>IF(A527="","",MONTH(A527))</f>
        <v/>
      </c>
      <c r="D527" s="22" t="n"/>
      <c r="E527" s="22" t="n"/>
      <c r="F527" s="22" t="n"/>
      <c r="G527" s="22" t="n"/>
      <c r="H527" s="22" t="n"/>
      <c r="I527" s="22" t="n"/>
      <c r="J527" s="22" t="n"/>
    </row>
    <row r="528">
      <c r="A528" s="34" t="n"/>
      <c r="B528" s="35">
        <f>IF(A528="","",YEAR(A528))</f>
        <v/>
      </c>
      <c r="C528" s="36">
        <f>IF(A528="","",MONTH(A528))</f>
        <v/>
      </c>
      <c r="D528" s="18" t="n"/>
      <c r="E528" s="18" t="n"/>
      <c r="F528" s="18" t="n"/>
      <c r="G528" s="18" t="n"/>
      <c r="H528" s="18" t="n"/>
      <c r="I528" s="18" t="n"/>
      <c r="J528" s="18" t="n"/>
    </row>
    <row r="529">
      <c r="A529" s="41" t="n"/>
      <c r="B529" s="35">
        <f>IF(A529="","",YEAR(A529))</f>
        <v/>
      </c>
      <c r="C529" s="36">
        <f>IF(A529="","",MONTH(A529))</f>
        <v/>
      </c>
      <c r="D529" s="22" t="n"/>
      <c r="E529" s="22" t="n"/>
      <c r="F529" s="22" t="n"/>
      <c r="G529" s="22" t="n"/>
      <c r="H529" s="22" t="n"/>
      <c r="I529" s="22" t="n"/>
      <c r="J529" s="22" t="n"/>
    </row>
    <row r="530">
      <c r="A530" s="34" t="n"/>
      <c r="B530" s="35">
        <f>IF(A530="","",YEAR(A530))</f>
        <v/>
      </c>
      <c r="C530" s="36">
        <f>IF(A530="","",MONTH(A530))</f>
        <v/>
      </c>
      <c r="D530" s="18" t="n"/>
      <c r="E530" s="18" t="n"/>
      <c r="F530" s="18" t="n"/>
      <c r="G530" s="18" t="n"/>
      <c r="H530" s="18" t="n"/>
      <c r="I530" s="18" t="n"/>
      <c r="J530" s="18" t="n"/>
    </row>
    <row r="531">
      <c r="A531" s="41" t="n"/>
      <c r="B531" s="35">
        <f>IF(A531="","",YEAR(A531))</f>
        <v/>
      </c>
      <c r="C531" s="36">
        <f>IF(A531="","",MONTH(A531))</f>
        <v/>
      </c>
      <c r="D531" s="22" t="n"/>
      <c r="E531" s="22" t="n"/>
      <c r="F531" s="22" t="n"/>
      <c r="G531" s="22" t="n"/>
      <c r="H531" s="22" t="n"/>
      <c r="I531" s="22" t="n"/>
      <c r="J531" s="22" t="n"/>
    </row>
    <row r="532">
      <c r="A532" s="34" t="n"/>
      <c r="B532" s="35">
        <f>IF(A532="","",YEAR(A532))</f>
        <v/>
      </c>
      <c r="C532" s="36">
        <f>IF(A532="","",MONTH(A532))</f>
        <v/>
      </c>
      <c r="D532" s="18" t="n"/>
      <c r="E532" s="18" t="n"/>
      <c r="F532" s="18" t="n"/>
      <c r="G532" s="18" t="n"/>
      <c r="H532" s="18" t="n"/>
      <c r="I532" s="18" t="n"/>
      <c r="J532" s="18" t="n"/>
    </row>
    <row r="533">
      <c r="A533" s="41" t="n"/>
      <c r="B533" s="35">
        <f>IF(A533="","",YEAR(A533))</f>
        <v/>
      </c>
      <c r="C533" s="36">
        <f>IF(A533="","",MONTH(A533))</f>
        <v/>
      </c>
      <c r="D533" s="22" t="n"/>
      <c r="E533" s="22" t="n"/>
      <c r="F533" s="22" t="n"/>
      <c r="G533" s="22" t="n"/>
      <c r="H533" s="22" t="n"/>
      <c r="I533" s="22" t="n"/>
      <c r="J533" s="22" t="n"/>
    </row>
    <row r="534">
      <c r="A534" s="34" t="n"/>
      <c r="B534" s="35">
        <f>IF(A534="","",YEAR(A534))</f>
        <v/>
      </c>
      <c r="C534" s="36">
        <f>IF(A534="","",MONTH(A534))</f>
        <v/>
      </c>
      <c r="D534" s="18" t="n"/>
      <c r="E534" s="18" t="n"/>
      <c r="F534" s="18" t="n"/>
      <c r="G534" s="18" t="n"/>
      <c r="H534" s="18" t="n"/>
      <c r="I534" s="18" t="n"/>
      <c r="J534" s="18" t="n"/>
    </row>
    <row r="535">
      <c r="A535" s="41" t="n"/>
      <c r="B535" s="35">
        <f>IF(A535="","",YEAR(A535))</f>
        <v/>
      </c>
      <c r="C535" s="36">
        <f>IF(A535="","",MONTH(A535))</f>
        <v/>
      </c>
      <c r="D535" s="22" t="n"/>
      <c r="E535" s="22" t="n"/>
      <c r="F535" s="22" t="n"/>
      <c r="G535" s="22" t="n"/>
      <c r="H535" s="22" t="n"/>
      <c r="I535" s="22" t="n"/>
      <c r="J535" s="22" t="n"/>
    </row>
    <row r="536">
      <c r="A536" s="34" t="n"/>
      <c r="B536" s="35">
        <f>IF(A536="","",YEAR(A536))</f>
        <v/>
      </c>
      <c r="C536" s="36">
        <f>IF(A536="","",MONTH(A536))</f>
        <v/>
      </c>
      <c r="D536" s="18" t="n"/>
      <c r="E536" s="18" t="n"/>
      <c r="F536" s="18" t="n"/>
      <c r="G536" s="18" t="n"/>
      <c r="H536" s="18" t="n"/>
      <c r="I536" s="18" t="n"/>
      <c r="J536" s="18" t="n"/>
    </row>
    <row r="537">
      <c r="A537" s="41" t="n"/>
      <c r="B537" s="35">
        <f>IF(A537="","",YEAR(A537))</f>
        <v/>
      </c>
      <c r="C537" s="36">
        <f>IF(A537="","",MONTH(A537))</f>
        <v/>
      </c>
      <c r="D537" s="22" t="n"/>
      <c r="E537" s="22" t="n"/>
      <c r="F537" s="22" t="n"/>
      <c r="G537" s="22" t="n"/>
      <c r="H537" s="22" t="n"/>
      <c r="I537" s="22" t="n"/>
      <c r="J537" s="22" t="n"/>
    </row>
    <row r="538">
      <c r="A538" s="34" t="n"/>
      <c r="B538" s="35">
        <f>IF(A538="","",YEAR(A538))</f>
        <v/>
      </c>
      <c r="C538" s="36">
        <f>IF(A538="","",MONTH(A538))</f>
        <v/>
      </c>
      <c r="D538" s="18" t="n"/>
      <c r="E538" s="18" t="n"/>
      <c r="F538" s="18" t="n"/>
      <c r="G538" s="18" t="n"/>
      <c r="H538" s="18" t="n"/>
      <c r="I538" s="18" t="n"/>
      <c r="J538" s="18" t="n"/>
    </row>
    <row r="539">
      <c r="A539" s="41" t="n"/>
      <c r="B539" s="35">
        <f>IF(A539="","",YEAR(A539))</f>
        <v/>
      </c>
      <c r="C539" s="36">
        <f>IF(A539="","",MONTH(A539))</f>
        <v/>
      </c>
      <c r="D539" s="22" t="n"/>
      <c r="E539" s="22" t="n"/>
      <c r="F539" s="22" t="n"/>
      <c r="G539" s="22" t="n"/>
      <c r="H539" s="22" t="n"/>
      <c r="I539" s="22" t="n"/>
      <c r="J539" s="22" t="n"/>
    </row>
    <row r="540">
      <c r="A540" s="34" t="n"/>
      <c r="B540" s="35">
        <f>IF(A540="","",YEAR(A540))</f>
        <v/>
      </c>
      <c r="C540" s="36">
        <f>IF(A540="","",MONTH(A540))</f>
        <v/>
      </c>
      <c r="D540" s="18" t="n"/>
      <c r="E540" s="18" t="n"/>
      <c r="F540" s="18" t="n"/>
      <c r="G540" s="18" t="n"/>
      <c r="H540" s="18" t="n"/>
      <c r="I540" s="18" t="n"/>
      <c r="J540" s="18" t="n"/>
    </row>
    <row r="541">
      <c r="A541" s="41" t="n"/>
      <c r="B541" s="35">
        <f>IF(A541="","",YEAR(A541))</f>
        <v/>
      </c>
      <c r="C541" s="36">
        <f>IF(A541="","",MONTH(A541))</f>
        <v/>
      </c>
      <c r="D541" s="22" t="n"/>
      <c r="E541" s="22" t="n"/>
      <c r="F541" s="22" t="n"/>
      <c r="G541" s="22" t="n"/>
      <c r="H541" s="22" t="n"/>
      <c r="I541" s="22" t="n"/>
      <c r="J541" s="22" t="n"/>
    </row>
    <row r="542">
      <c r="A542" s="34" t="n"/>
      <c r="B542" s="35">
        <f>IF(A542="","",YEAR(A542))</f>
        <v/>
      </c>
      <c r="C542" s="36">
        <f>IF(A542="","",MONTH(A542))</f>
        <v/>
      </c>
      <c r="D542" s="18" t="n"/>
      <c r="E542" s="18" t="n"/>
      <c r="F542" s="18" t="n"/>
      <c r="G542" s="18" t="n"/>
      <c r="H542" s="18" t="n"/>
      <c r="I542" s="18" t="n"/>
      <c r="J542" s="18" t="n"/>
    </row>
    <row r="543">
      <c r="A543" s="41" t="n"/>
      <c r="B543" s="35">
        <f>IF(A543="","",YEAR(A543))</f>
        <v/>
      </c>
      <c r="C543" s="36">
        <f>IF(A543="","",MONTH(A543))</f>
        <v/>
      </c>
      <c r="D543" s="22" t="n"/>
      <c r="E543" s="22" t="n"/>
      <c r="F543" s="22" t="n"/>
      <c r="G543" s="22" t="n"/>
      <c r="H543" s="22" t="n"/>
      <c r="I543" s="22" t="n"/>
      <c r="J543" s="22" t="n"/>
    </row>
    <row r="544">
      <c r="A544" s="34" t="n"/>
      <c r="B544" s="35">
        <f>IF(A544="","",YEAR(A544))</f>
        <v/>
      </c>
      <c r="C544" s="36">
        <f>IF(A544="","",MONTH(A544))</f>
        <v/>
      </c>
      <c r="D544" s="18" t="n"/>
      <c r="E544" s="18" t="n"/>
      <c r="F544" s="18" t="n"/>
      <c r="G544" s="18" t="n"/>
      <c r="H544" s="18" t="n"/>
      <c r="I544" s="18" t="n"/>
      <c r="J544" s="18" t="n"/>
    </row>
    <row r="545">
      <c r="A545" s="41" t="n"/>
      <c r="B545" s="35">
        <f>IF(A545="","",YEAR(A545))</f>
        <v/>
      </c>
      <c r="C545" s="36">
        <f>IF(A545="","",MONTH(A545))</f>
        <v/>
      </c>
      <c r="D545" s="22" t="n"/>
      <c r="E545" s="22" t="n"/>
      <c r="F545" s="22" t="n"/>
      <c r="G545" s="22" t="n"/>
      <c r="H545" s="22" t="n"/>
      <c r="I545" s="22" t="n"/>
      <c r="J545" s="22" t="n"/>
    </row>
    <row r="546">
      <c r="A546" s="34" t="n"/>
      <c r="B546" s="35">
        <f>IF(A546="","",YEAR(A546))</f>
        <v/>
      </c>
      <c r="C546" s="36">
        <f>IF(A546="","",MONTH(A546))</f>
        <v/>
      </c>
      <c r="D546" s="18" t="n"/>
      <c r="E546" s="18" t="n"/>
      <c r="F546" s="18" t="n"/>
      <c r="G546" s="18" t="n"/>
      <c r="H546" s="18" t="n"/>
      <c r="I546" s="18" t="n"/>
      <c r="J546" s="18" t="n"/>
    </row>
    <row r="547">
      <c r="A547" s="41" t="n"/>
      <c r="B547" s="35">
        <f>IF(A547="","",YEAR(A547))</f>
        <v/>
      </c>
      <c r="C547" s="36">
        <f>IF(A547="","",MONTH(A547))</f>
        <v/>
      </c>
      <c r="D547" s="22" t="n"/>
      <c r="E547" s="22" t="n"/>
      <c r="F547" s="22" t="n"/>
      <c r="G547" s="22" t="n"/>
      <c r="H547" s="22" t="n"/>
      <c r="I547" s="22" t="n"/>
      <c r="J547" s="22" t="n"/>
    </row>
    <row r="548">
      <c r="A548" s="34" t="n"/>
      <c r="B548" s="35">
        <f>IF(A548="","",YEAR(A548))</f>
        <v/>
      </c>
      <c r="C548" s="36">
        <f>IF(A548="","",MONTH(A548))</f>
        <v/>
      </c>
      <c r="D548" s="18" t="n"/>
      <c r="E548" s="18" t="n"/>
      <c r="F548" s="18" t="n"/>
      <c r="G548" s="18" t="n"/>
      <c r="H548" s="18" t="n"/>
      <c r="I548" s="18" t="n"/>
      <c r="J548" s="18" t="n"/>
    </row>
    <row r="549">
      <c r="A549" s="41" t="n"/>
      <c r="B549" s="35">
        <f>IF(A549="","",YEAR(A549))</f>
        <v/>
      </c>
      <c r="C549" s="36">
        <f>IF(A549="","",MONTH(A549))</f>
        <v/>
      </c>
      <c r="D549" s="22" t="n"/>
      <c r="E549" s="22" t="n"/>
      <c r="F549" s="22" t="n"/>
      <c r="G549" s="22" t="n"/>
      <c r="H549" s="22" t="n"/>
      <c r="I549" s="22" t="n"/>
      <c r="J549" s="22" t="n"/>
    </row>
    <row r="550">
      <c r="A550" s="34" t="n"/>
      <c r="B550" s="35">
        <f>IF(A550="","",YEAR(A550))</f>
        <v/>
      </c>
      <c r="C550" s="36">
        <f>IF(A550="","",MONTH(A550))</f>
        <v/>
      </c>
      <c r="D550" s="18" t="n"/>
      <c r="E550" s="18" t="n"/>
      <c r="F550" s="18" t="n"/>
      <c r="G550" s="18" t="n"/>
      <c r="H550" s="18" t="n"/>
      <c r="I550" s="18" t="n"/>
      <c r="J550" s="18" t="n"/>
    </row>
    <row r="551">
      <c r="A551" s="41" t="n"/>
      <c r="B551" s="35">
        <f>IF(A551="","",YEAR(A551))</f>
        <v/>
      </c>
      <c r="C551" s="36">
        <f>IF(A551="","",MONTH(A551))</f>
        <v/>
      </c>
      <c r="D551" s="22" t="n"/>
      <c r="E551" s="22" t="n"/>
      <c r="F551" s="22" t="n"/>
      <c r="G551" s="22" t="n"/>
      <c r="H551" s="22" t="n"/>
      <c r="I551" s="22" t="n"/>
      <c r="J551" s="22" t="n"/>
    </row>
    <row r="552">
      <c r="A552" s="34" t="n"/>
      <c r="B552" s="35">
        <f>IF(A552="","",YEAR(A552))</f>
        <v/>
      </c>
      <c r="C552" s="36">
        <f>IF(A552="","",MONTH(A552))</f>
        <v/>
      </c>
      <c r="D552" s="18" t="n"/>
      <c r="E552" s="18" t="n"/>
      <c r="F552" s="18" t="n"/>
      <c r="G552" s="18" t="n"/>
      <c r="H552" s="18" t="n"/>
      <c r="I552" s="18" t="n"/>
      <c r="J552" s="18" t="n"/>
    </row>
    <row r="553">
      <c r="A553" s="41" t="n"/>
      <c r="B553" s="35">
        <f>IF(A553="","",YEAR(A553))</f>
        <v/>
      </c>
      <c r="C553" s="36">
        <f>IF(A553="","",MONTH(A553))</f>
        <v/>
      </c>
      <c r="D553" s="22" t="n"/>
      <c r="E553" s="22" t="n"/>
      <c r="F553" s="22" t="n"/>
      <c r="G553" s="22" t="n"/>
      <c r="H553" s="22" t="n"/>
      <c r="I553" s="22" t="n"/>
      <c r="J553" s="22" t="n"/>
    </row>
    <row r="554">
      <c r="A554" s="34" t="n"/>
      <c r="B554" s="35">
        <f>IF(A554="","",YEAR(A554))</f>
        <v/>
      </c>
      <c r="C554" s="36">
        <f>IF(A554="","",MONTH(A554))</f>
        <v/>
      </c>
      <c r="D554" s="18" t="n"/>
      <c r="E554" s="18" t="n"/>
      <c r="F554" s="18" t="n"/>
      <c r="G554" s="18" t="n"/>
      <c r="H554" s="18" t="n"/>
      <c r="I554" s="18" t="n"/>
      <c r="J554" s="18" t="n"/>
    </row>
    <row r="555">
      <c r="A555" s="41" t="n"/>
      <c r="B555" s="35">
        <f>IF(A555="","",YEAR(A555))</f>
        <v/>
      </c>
      <c r="C555" s="36">
        <f>IF(A555="","",MONTH(A555))</f>
        <v/>
      </c>
      <c r="D555" s="22" t="n"/>
      <c r="E555" s="22" t="n"/>
      <c r="F555" s="22" t="n"/>
      <c r="G555" s="22" t="n"/>
      <c r="H555" s="22" t="n"/>
      <c r="I555" s="22" t="n"/>
      <c r="J555" s="22" t="n"/>
    </row>
    <row r="556">
      <c r="A556" s="34" t="n"/>
      <c r="B556" s="35">
        <f>IF(A556="","",YEAR(A556))</f>
        <v/>
      </c>
      <c r="C556" s="36">
        <f>IF(A556="","",MONTH(A556))</f>
        <v/>
      </c>
      <c r="D556" s="18" t="n"/>
      <c r="E556" s="18" t="n"/>
      <c r="F556" s="18" t="n"/>
      <c r="G556" s="18" t="n"/>
      <c r="H556" s="18" t="n"/>
      <c r="I556" s="18" t="n"/>
      <c r="J556" s="18" t="n"/>
    </row>
    <row r="557">
      <c r="A557" s="41" t="n"/>
      <c r="B557" s="35">
        <f>IF(A557="","",YEAR(A557))</f>
        <v/>
      </c>
      <c r="C557" s="36">
        <f>IF(A557="","",MONTH(A557))</f>
        <v/>
      </c>
      <c r="D557" s="22" t="n"/>
      <c r="E557" s="22" t="n"/>
      <c r="F557" s="22" t="n"/>
      <c r="G557" s="22" t="n"/>
      <c r="H557" s="22" t="n"/>
      <c r="I557" s="22" t="n"/>
      <c r="J557" s="22" t="n"/>
    </row>
    <row r="558">
      <c r="A558" s="34" t="n"/>
      <c r="B558" s="35">
        <f>IF(A558="","",YEAR(A558))</f>
        <v/>
      </c>
      <c r="C558" s="36">
        <f>IF(A558="","",MONTH(A558))</f>
        <v/>
      </c>
      <c r="D558" s="18" t="n"/>
      <c r="E558" s="18" t="n"/>
      <c r="F558" s="18" t="n"/>
      <c r="G558" s="18" t="n"/>
      <c r="H558" s="18" t="n"/>
      <c r="I558" s="18" t="n"/>
      <c r="J558" s="18" t="n"/>
    </row>
    <row r="559">
      <c r="A559" s="41" t="n"/>
      <c r="B559" s="35">
        <f>IF(A559="","",YEAR(A559))</f>
        <v/>
      </c>
      <c r="C559" s="36">
        <f>IF(A559="","",MONTH(A559))</f>
        <v/>
      </c>
      <c r="D559" s="22" t="n"/>
      <c r="E559" s="22" t="n"/>
      <c r="F559" s="22" t="n"/>
      <c r="G559" s="22" t="n"/>
      <c r="H559" s="22" t="n"/>
      <c r="I559" s="22" t="n"/>
      <c r="J559" s="22" t="n"/>
    </row>
    <row r="560">
      <c r="A560" s="34" t="n"/>
      <c r="B560" s="35">
        <f>IF(A560="","",YEAR(A560))</f>
        <v/>
      </c>
      <c r="C560" s="36">
        <f>IF(A560="","",MONTH(A560))</f>
        <v/>
      </c>
      <c r="D560" s="18" t="n"/>
      <c r="E560" s="18" t="n"/>
      <c r="F560" s="18" t="n"/>
      <c r="G560" s="18" t="n"/>
      <c r="H560" s="18" t="n"/>
      <c r="I560" s="18" t="n"/>
      <c r="J560" s="18" t="n"/>
    </row>
    <row r="561">
      <c r="A561" s="41" t="n"/>
      <c r="B561" s="35">
        <f>IF(A561="","",YEAR(A561))</f>
        <v/>
      </c>
      <c r="C561" s="36">
        <f>IF(A561="","",MONTH(A561))</f>
        <v/>
      </c>
      <c r="D561" s="22" t="n"/>
      <c r="E561" s="22" t="n"/>
      <c r="F561" s="22" t="n"/>
      <c r="G561" s="22" t="n"/>
      <c r="H561" s="22" t="n"/>
      <c r="I561" s="22" t="n"/>
      <c r="J561" s="22" t="n"/>
    </row>
    <row r="562">
      <c r="A562" s="34" t="n"/>
      <c r="B562" s="35">
        <f>IF(A562="","",YEAR(A562))</f>
        <v/>
      </c>
      <c r="C562" s="36">
        <f>IF(A562="","",MONTH(A562))</f>
        <v/>
      </c>
      <c r="D562" s="18" t="n"/>
      <c r="E562" s="18" t="n"/>
      <c r="F562" s="18" t="n"/>
      <c r="G562" s="18" t="n"/>
      <c r="H562" s="18" t="n"/>
      <c r="I562" s="18" t="n"/>
      <c r="J562" s="18" t="n"/>
    </row>
    <row r="563">
      <c r="A563" s="41" t="n"/>
      <c r="B563" s="35">
        <f>IF(A563="","",YEAR(A563))</f>
        <v/>
      </c>
      <c r="C563" s="36">
        <f>IF(A563="","",MONTH(A563))</f>
        <v/>
      </c>
      <c r="D563" s="22" t="n"/>
      <c r="E563" s="22" t="n"/>
      <c r="F563" s="22" t="n"/>
      <c r="G563" s="22" t="n"/>
      <c r="H563" s="22" t="n"/>
      <c r="I563" s="22" t="n"/>
      <c r="J563" s="22" t="n"/>
    </row>
    <row r="564">
      <c r="A564" s="34" t="n"/>
      <c r="B564" s="35">
        <f>IF(A564="","",YEAR(A564))</f>
        <v/>
      </c>
      <c r="C564" s="36">
        <f>IF(A564="","",MONTH(A564))</f>
        <v/>
      </c>
      <c r="D564" s="18" t="n"/>
      <c r="E564" s="18" t="n"/>
      <c r="F564" s="18" t="n"/>
      <c r="G564" s="18" t="n"/>
      <c r="H564" s="18" t="n"/>
      <c r="I564" s="18" t="n"/>
      <c r="J564" s="18" t="n"/>
    </row>
    <row r="565">
      <c r="A565" s="41" t="n"/>
      <c r="B565" s="35">
        <f>IF(A565="","",YEAR(A565))</f>
        <v/>
      </c>
      <c r="C565" s="36">
        <f>IF(A565="","",MONTH(A565))</f>
        <v/>
      </c>
      <c r="D565" s="22" t="n"/>
      <c r="E565" s="22" t="n"/>
      <c r="F565" s="22" t="n"/>
      <c r="G565" s="22" t="n"/>
      <c r="H565" s="22" t="n"/>
      <c r="I565" s="22" t="n"/>
      <c r="J565" s="22" t="n"/>
    </row>
    <row r="566">
      <c r="A566" s="34" t="n"/>
      <c r="B566" s="35">
        <f>IF(A566="","",YEAR(A566))</f>
        <v/>
      </c>
      <c r="C566" s="36">
        <f>IF(A566="","",MONTH(A566))</f>
        <v/>
      </c>
      <c r="D566" s="18" t="n"/>
      <c r="E566" s="18" t="n"/>
      <c r="F566" s="18" t="n"/>
      <c r="G566" s="18" t="n"/>
      <c r="H566" s="18" t="n"/>
      <c r="I566" s="18" t="n"/>
      <c r="J566" s="18" t="n"/>
    </row>
    <row r="567">
      <c r="A567" s="41" t="n"/>
      <c r="B567" s="35">
        <f>IF(A567="","",YEAR(A567))</f>
        <v/>
      </c>
      <c r="C567" s="36">
        <f>IF(A567="","",MONTH(A567))</f>
        <v/>
      </c>
      <c r="D567" s="22" t="n"/>
      <c r="E567" s="22" t="n"/>
      <c r="F567" s="22" t="n"/>
      <c r="G567" s="22" t="n"/>
      <c r="H567" s="22" t="n"/>
      <c r="I567" s="22" t="n"/>
      <c r="J567" s="22" t="n"/>
    </row>
    <row r="568">
      <c r="A568" s="34" t="n"/>
      <c r="B568" s="35">
        <f>IF(A568="","",YEAR(A568))</f>
        <v/>
      </c>
      <c r="C568" s="36">
        <f>IF(A568="","",MONTH(A568))</f>
        <v/>
      </c>
      <c r="D568" s="18" t="n"/>
      <c r="E568" s="18" t="n"/>
      <c r="F568" s="18" t="n"/>
      <c r="G568" s="18" t="n"/>
      <c r="H568" s="18" t="n"/>
      <c r="I568" s="18" t="n"/>
      <c r="J568" s="18" t="n"/>
    </row>
    <row r="569">
      <c r="A569" s="41" t="n"/>
      <c r="B569" s="35">
        <f>IF(A569="","",YEAR(A569))</f>
        <v/>
      </c>
      <c r="C569" s="36">
        <f>IF(A569="","",MONTH(A569))</f>
        <v/>
      </c>
      <c r="D569" s="22" t="n"/>
      <c r="E569" s="22" t="n"/>
      <c r="F569" s="22" t="n"/>
      <c r="G569" s="22" t="n"/>
      <c r="H569" s="22" t="n"/>
      <c r="I569" s="22" t="n"/>
      <c r="J569" s="22" t="n"/>
    </row>
    <row r="570">
      <c r="A570" s="34" t="n"/>
      <c r="B570" s="35">
        <f>IF(A570="","",YEAR(A570))</f>
        <v/>
      </c>
      <c r="C570" s="36">
        <f>IF(A570="","",MONTH(A570))</f>
        <v/>
      </c>
      <c r="D570" s="18" t="n"/>
      <c r="E570" s="18" t="n"/>
      <c r="F570" s="18" t="n"/>
      <c r="G570" s="18" t="n"/>
      <c r="H570" s="18" t="n"/>
      <c r="I570" s="18" t="n"/>
      <c r="J570" s="18" t="n"/>
    </row>
    <row r="571">
      <c r="A571" s="41" t="n"/>
      <c r="B571" s="35">
        <f>IF(A571="","",YEAR(A571))</f>
        <v/>
      </c>
      <c r="C571" s="36">
        <f>IF(A571="","",MONTH(A571))</f>
        <v/>
      </c>
      <c r="D571" s="22" t="n"/>
      <c r="E571" s="22" t="n"/>
      <c r="F571" s="22" t="n"/>
      <c r="G571" s="22" t="n"/>
      <c r="H571" s="22" t="n"/>
      <c r="I571" s="22" t="n"/>
      <c r="J571" s="22" t="n"/>
    </row>
    <row r="572">
      <c r="A572" s="34" t="n"/>
      <c r="B572" s="35">
        <f>IF(A572="","",YEAR(A572))</f>
        <v/>
      </c>
      <c r="C572" s="36">
        <f>IF(A572="","",MONTH(A572))</f>
        <v/>
      </c>
      <c r="D572" s="18" t="n"/>
      <c r="E572" s="18" t="n"/>
      <c r="F572" s="18" t="n"/>
      <c r="G572" s="18" t="n"/>
      <c r="H572" s="18" t="n"/>
      <c r="I572" s="18" t="n"/>
      <c r="J572" s="18" t="n"/>
    </row>
    <row r="573">
      <c r="A573" s="41" t="n"/>
      <c r="B573" s="35">
        <f>IF(A573="","",YEAR(A573))</f>
        <v/>
      </c>
      <c r="C573" s="36">
        <f>IF(A573="","",MONTH(A573))</f>
        <v/>
      </c>
      <c r="D573" s="22" t="n"/>
      <c r="E573" s="22" t="n"/>
      <c r="F573" s="22" t="n"/>
      <c r="G573" s="22" t="n"/>
      <c r="H573" s="22" t="n"/>
      <c r="I573" s="22" t="n"/>
      <c r="J573" s="22" t="n"/>
    </row>
    <row r="574">
      <c r="A574" s="34" t="n"/>
      <c r="B574" s="35">
        <f>IF(A574="","",YEAR(A574))</f>
        <v/>
      </c>
      <c r="C574" s="36">
        <f>IF(A574="","",MONTH(A574))</f>
        <v/>
      </c>
      <c r="D574" s="18" t="n"/>
      <c r="E574" s="18" t="n"/>
      <c r="F574" s="18" t="n"/>
      <c r="G574" s="18" t="n"/>
      <c r="H574" s="18" t="n"/>
      <c r="I574" s="18" t="n"/>
      <c r="J574" s="18" t="n"/>
    </row>
    <row r="575">
      <c r="A575" s="41" t="n"/>
      <c r="B575" s="35">
        <f>IF(A575="","",YEAR(A575))</f>
        <v/>
      </c>
      <c r="C575" s="36">
        <f>IF(A575="","",MONTH(A575))</f>
        <v/>
      </c>
      <c r="D575" s="22" t="n"/>
      <c r="E575" s="22" t="n"/>
      <c r="F575" s="22" t="n"/>
      <c r="G575" s="22" t="n"/>
      <c r="H575" s="22" t="n"/>
      <c r="I575" s="22" t="n"/>
      <c r="J575" s="22" t="n"/>
    </row>
    <row r="576">
      <c r="A576" s="34" t="n"/>
      <c r="B576" s="35">
        <f>IF(A576="","",YEAR(A576))</f>
        <v/>
      </c>
      <c r="C576" s="36">
        <f>IF(A576="","",MONTH(A576))</f>
        <v/>
      </c>
      <c r="D576" s="18" t="n"/>
      <c r="E576" s="18" t="n"/>
      <c r="F576" s="18" t="n"/>
      <c r="G576" s="18" t="n"/>
      <c r="H576" s="18" t="n"/>
      <c r="I576" s="18" t="n"/>
      <c r="J576" s="18" t="n"/>
    </row>
    <row r="577">
      <c r="A577" s="41" t="n"/>
      <c r="B577" s="35">
        <f>IF(A577="","",YEAR(A577))</f>
        <v/>
      </c>
      <c r="C577" s="36">
        <f>IF(A577="","",MONTH(A577))</f>
        <v/>
      </c>
      <c r="D577" s="22" t="n"/>
      <c r="E577" s="22" t="n"/>
      <c r="F577" s="22" t="n"/>
      <c r="G577" s="22" t="n"/>
      <c r="H577" s="22" t="n"/>
      <c r="I577" s="22" t="n"/>
      <c r="J577" s="22" t="n"/>
    </row>
    <row r="578">
      <c r="A578" s="34" t="n"/>
      <c r="B578" s="35">
        <f>IF(A578="","",YEAR(A578))</f>
        <v/>
      </c>
      <c r="C578" s="36">
        <f>IF(A578="","",MONTH(A578))</f>
        <v/>
      </c>
      <c r="D578" s="18" t="n"/>
      <c r="E578" s="18" t="n"/>
      <c r="F578" s="18" t="n"/>
      <c r="G578" s="18" t="n"/>
      <c r="H578" s="18" t="n"/>
      <c r="I578" s="18" t="n"/>
      <c r="J578" s="18" t="n"/>
    </row>
    <row r="579">
      <c r="A579" s="41" t="n"/>
      <c r="B579" s="35">
        <f>IF(A579="","",YEAR(A579))</f>
        <v/>
      </c>
      <c r="C579" s="36">
        <f>IF(A579="","",MONTH(A579))</f>
        <v/>
      </c>
      <c r="D579" s="22" t="n"/>
      <c r="E579" s="22" t="n"/>
      <c r="F579" s="22" t="n"/>
      <c r="G579" s="22" t="n"/>
      <c r="H579" s="22" t="n"/>
      <c r="I579" s="22" t="n"/>
      <c r="J579" s="22" t="n"/>
    </row>
    <row r="580">
      <c r="A580" s="34" t="n"/>
      <c r="B580" s="35">
        <f>IF(A580="","",YEAR(A580))</f>
        <v/>
      </c>
      <c r="C580" s="36">
        <f>IF(A580="","",MONTH(A580))</f>
        <v/>
      </c>
      <c r="D580" s="18" t="n"/>
      <c r="E580" s="18" t="n"/>
      <c r="F580" s="18" t="n"/>
      <c r="G580" s="18" t="n"/>
      <c r="H580" s="18" t="n"/>
      <c r="I580" s="18" t="n"/>
      <c r="J580" s="18" t="n"/>
    </row>
    <row r="581">
      <c r="A581" s="41" t="n"/>
      <c r="B581" s="35">
        <f>IF(A581="","",YEAR(A581))</f>
        <v/>
      </c>
      <c r="C581" s="36">
        <f>IF(A581="","",MONTH(A581))</f>
        <v/>
      </c>
      <c r="D581" s="22" t="n"/>
      <c r="E581" s="22" t="n"/>
      <c r="F581" s="22" t="n"/>
      <c r="G581" s="22" t="n"/>
      <c r="H581" s="22" t="n"/>
      <c r="I581" s="22" t="n"/>
      <c r="J581" s="22" t="n"/>
    </row>
    <row r="582">
      <c r="A582" s="34" t="n"/>
      <c r="B582" s="35">
        <f>IF(A582="","",YEAR(A582))</f>
        <v/>
      </c>
      <c r="C582" s="36">
        <f>IF(A582="","",MONTH(A582))</f>
        <v/>
      </c>
      <c r="D582" s="18" t="n"/>
      <c r="E582" s="18" t="n"/>
      <c r="F582" s="18" t="n"/>
      <c r="G582" s="18" t="n"/>
      <c r="H582" s="18" t="n"/>
      <c r="I582" s="18" t="n"/>
      <c r="J582" s="18" t="n"/>
    </row>
    <row r="583">
      <c r="A583" s="41" t="n"/>
      <c r="B583" s="35">
        <f>IF(A583="","",YEAR(A583))</f>
        <v/>
      </c>
      <c r="C583" s="36">
        <f>IF(A583="","",MONTH(A583))</f>
        <v/>
      </c>
      <c r="D583" s="22" t="n"/>
      <c r="E583" s="22" t="n"/>
      <c r="F583" s="22" t="n"/>
      <c r="G583" s="22" t="n"/>
      <c r="H583" s="22" t="n"/>
      <c r="I583" s="22" t="n"/>
      <c r="J583" s="22" t="n"/>
    </row>
    <row r="584">
      <c r="A584" s="34" t="n"/>
      <c r="B584" s="35">
        <f>IF(A584="","",YEAR(A584))</f>
        <v/>
      </c>
      <c r="C584" s="36">
        <f>IF(A584="","",MONTH(A584))</f>
        <v/>
      </c>
      <c r="D584" s="18" t="n"/>
      <c r="E584" s="18" t="n"/>
      <c r="F584" s="18" t="n"/>
      <c r="G584" s="18" t="n"/>
      <c r="H584" s="18" t="n"/>
      <c r="I584" s="18" t="n"/>
      <c r="J584" s="18" t="n"/>
    </row>
    <row r="585">
      <c r="A585" s="41" t="n"/>
      <c r="B585" s="35">
        <f>IF(A585="","",YEAR(A585))</f>
        <v/>
      </c>
      <c r="C585" s="36">
        <f>IF(A585="","",MONTH(A585))</f>
        <v/>
      </c>
      <c r="D585" s="22" t="n"/>
      <c r="E585" s="22" t="n"/>
      <c r="F585" s="22" t="n"/>
      <c r="G585" s="22" t="n"/>
      <c r="H585" s="22" t="n"/>
      <c r="I585" s="22" t="n"/>
      <c r="J585" s="22" t="n"/>
    </row>
    <row r="586">
      <c r="A586" s="34" t="n"/>
      <c r="B586" s="35">
        <f>IF(A586="","",YEAR(A586))</f>
        <v/>
      </c>
      <c r="C586" s="36">
        <f>IF(A586="","",MONTH(A586))</f>
        <v/>
      </c>
      <c r="D586" s="18" t="n"/>
      <c r="E586" s="18" t="n"/>
      <c r="F586" s="18" t="n"/>
      <c r="G586" s="18" t="n"/>
      <c r="H586" s="18" t="n"/>
      <c r="I586" s="18" t="n"/>
      <c r="J586" s="18" t="n"/>
    </row>
    <row r="587">
      <c r="A587" s="41" t="n"/>
      <c r="B587" s="35">
        <f>IF(A587="","",YEAR(A587))</f>
        <v/>
      </c>
      <c r="C587" s="36">
        <f>IF(A587="","",MONTH(A587))</f>
        <v/>
      </c>
      <c r="D587" s="22" t="n"/>
      <c r="E587" s="22" t="n"/>
      <c r="F587" s="22" t="n"/>
      <c r="G587" s="22" t="n"/>
      <c r="H587" s="22" t="n"/>
      <c r="I587" s="22" t="n"/>
      <c r="J587" s="22" t="n"/>
    </row>
    <row r="588">
      <c r="A588" s="34" t="n"/>
      <c r="B588" s="35">
        <f>IF(A588="","",YEAR(A588))</f>
        <v/>
      </c>
      <c r="C588" s="36">
        <f>IF(A588="","",MONTH(A588))</f>
        <v/>
      </c>
      <c r="D588" s="18" t="n"/>
      <c r="E588" s="18" t="n"/>
      <c r="F588" s="18" t="n"/>
      <c r="G588" s="18" t="n"/>
      <c r="H588" s="18" t="n"/>
      <c r="I588" s="18" t="n"/>
      <c r="J588" s="18" t="n"/>
    </row>
    <row r="589">
      <c r="A589" s="41" t="n"/>
      <c r="B589" s="35">
        <f>IF(A589="","",YEAR(A589))</f>
        <v/>
      </c>
      <c r="C589" s="36">
        <f>IF(A589="","",MONTH(A589))</f>
        <v/>
      </c>
      <c r="D589" s="22" t="n"/>
      <c r="E589" s="22" t="n"/>
      <c r="F589" s="22" t="n"/>
      <c r="G589" s="22" t="n"/>
      <c r="H589" s="22" t="n"/>
      <c r="I589" s="22" t="n"/>
      <c r="J589" s="22" t="n"/>
    </row>
    <row r="590">
      <c r="A590" s="34" t="n"/>
      <c r="B590" s="35">
        <f>IF(A590="","",YEAR(A590))</f>
        <v/>
      </c>
      <c r="C590" s="36">
        <f>IF(A590="","",MONTH(A590))</f>
        <v/>
      </c>
      <c r="D590" s="18" t="n"/>
      <c r="E590" s="18" t="n"/>
      <c r="F590" s="18" t="n"/>
      <c r="G590" s="18" t="n"/>
      <c r="H590" s="18" t="n"/>
      <c r="I590" s="18" t="n"/>
      <c r="J590" s="18" t="n"/>
    </row>
    <row r="591">
      <c r="A591" s="41" t="n"/>
      <c r="B591" s="35">
        <f>IF(A591="","",YEAR(A591))</f>
        <v/>
      </c>
      <c r="C591" s="36">
        <f>IF(A591="","",MONTH(A591))</f>
        <v/>
      </c>
      <c r="D591" s="22" t="n"/>
      <c r="E591" s="22" t="n"/>
      <c r="F591" s="22" t="n"/>
      <c r="G591" s="22" t="n"/>
      <c r="H591" s="22" t="n"/>
      <c r="I591" s="22" t="n"/>
      <c r="J591" s="22" t="n"/>
    </row>
    <row r="592">
      <c r="A592" s="34" t="n"/>
      <c r="B592" s="35">
        <f>IF(A592="","",YEAR(A592))</f>
        <v/>
      </c>
      <c r="C592" s="36">
        <f>IF(A592="","",MONTH(A592))</f>
        <v/>
      </c>
      <c r="D592" s="18" t="n"/>
      <c r="E592" s="18" t="n"/>
      <c r="F592" s="18" t="n"/>
      <c r="G592" s="18" t="n"/>
      <c r="H592" s="18" t="n"/>
      <c r="I592" s="18" t="n"/>
      <c r="J592" s="18" t="n"/>
    </row>
    <row r="593">
      <c r="A593" s="41" t="n"/>
      <c r="B593" s="35">
        <f>IF(A593="","",YEAR(A593))</f>
        <v/>
      </c>
      <c r="C593" s="36">
        <f>IF(A593="","",MONTH(A593))</f>
        <v/>
      </c>
      <c r="D593" s="22" t="n"/>
      <c r="E593" s="22" t="n"/>
      <c r="F593" s="22" t="n"/>
      <c r="G593" s="22" t="n"/>
      <c r="H593" s="22" t="n"/>
      <c r="I593" s="22" t="n"/>
      <c r="J593" s="22" t="n"/>
    </row>
    <row r="594">
      <c r="A594" s="34" t="n"/>
      <c r="B594" s="35">
        <f>IF(A594="","",YEAR(A594))</f>
        <v/>
      </c>
      <c r="C594" s="36">
        <f>IF(A594="","",MONTH(A594))</f>
        <v/>
      </c>
      <c r="D594" s="18" t="n"/>
      <c r="E594" s="18" t="n"/>
      <c r="F594" s="18" t="n"/>
      <c r="G594" s="18" t="n"/>
      <c r="H594" s="18" t="n"/>
      <c r="I594" s="18" t="n"/>
      <c r="J594" s="18" t="n"/>
    </row>
    <row r="595">
      <c r="A595" s="41" t="n"/>
      <c r="B595" s="35">
        <f>IF(A595="","",YEAR(A595))</f>
        <v/>
      </c>
      <c r="C595" s="36">
        <f>IF(A595="","",MONTH(A595))</f>
        <v/>
      </c>
      <c r="D595" s="22" t="n"/>
      <c r="E595" s="22" t="n"/>
      <c r="F595" s="22" t="n"/>
      <c r="G595" s="22" t="n"/>
      <c r="H595" s="22" t="n"/>
      <c r="I595" s="22" t="n"/>
      <c r="J595" s="22" t="n"/>
    </row>
    <row r="596">
      <c r="A596" s="34" t="n"/>
      <c r="B596" s="35">
        <f>IF(A596="","",YEAR(A596))</f>
        <v/>
      </c>
      <c r="C596" s="36">
        <f>IF(A596="","",MONTH(A596))</f>
        <v/>
      </c>
      <c r="D596" s="18" t="n"/>
      <c r="E596" s="18" t="n"/>
      <c r="F596" s="18" t="n"/>
      <c r="G596" s="18" t="n"/>
      <c r="H596" s="18" t="n"/>
      <c r="I596" s="18" t="n"/>
      <c r="J596" s="18" t="n"/>
    </row>
    <row r="597">
      <c r="A597" s="41" t="n"/>
      <c r="B597" s="35">
        <f>IF(A597="","",YEAR(A597))</f>
        <v/>
      </c>
      <c r="C597" s="36">
        <f>IF(A597="","",MONTH(A597))</f>
        <v/>
      </c>
      <c r="D597" s="22" t="n"/>
      <c r="E597" s="22" t="n"/>
      <c r="F597" s="22" t="n"/>
      <c r="G597" s="22" t="n"/>
      <c r="H597" s="22" t="n"/>
      <c r="I597" s="22" t="n"/>
      <c r="J597" s="22" t="n"/>
    </row>
    <row r="598">
      <c r="A598" s="34" t="n"/>
      <c r="B598" s="35">
        <f>IF(A598="","",YEAR(A598))</f>
        <v/>
      </c>
      <c r="C598" s="36">
        <f>IF(A598="","",MONTH(A598))</f>
        <v/>
      </c>
      <c r="D598" s="18" t="n"/>
      <c r="E598" s="18" t="n"/>
      <c r="F598" s="18" t="n"/>
      <c r="G598" s="18" t="n"/>
      <c r="H598" s="18" t="n"/>
      <c r="I598" s="18" t="n"/>
      <c r="J598" s="18" t="n"/>
    </row>
    <row r="599">
      <c r="A599" s="41" t="n"/>
      <c r="B599" s="35">
        <f>IF(A599="","",YEAR(A599))</f>
        <v/>
      </c>
      <c r="C599" s="36">
        <f>IF(A599="","",MONTH(A599))</f>
        <v/>
      </c>
      <c r="D599" s="22" t="n"/>
      <c r="E599" s="22" t="n"/>
      <c r="F599" s="22" t="n"/>
      <c r="G599" s="22" t="n"/>
      <c r="H599" s="22" t="n"/>
      <c r="I599" s="22" t="n"/>
      <c r="J599" s="22" t="n"/>
    </row>
    <row r="600">
      <c r="A600" s="34" t="n"/>
      <c r="B600" s="35">
        <f>IF(A600="","",YEAR(A600))</f>
        <v/>
      </c>
      <c r="C600" s="36">
        <f>IF(A600="","",MONTH(A600))</f>
        <v/>
      </c>
      <c r="D600" s="18" t="n"/>
      <c r="E600" s="18" t="n"/>
      <c r="F600" s="18" t="n"/>
      <c r="G600" s="18" t="n"/>
      <c r="H600" s="18" t="n"/>
      <c r="I600" s="18" t="n"/>
      <c r="J600" s="18" t="n"/>
    </row>
    <row r="601">
      <c r="A601" s="41" t="n"/>
      <c r="B601" s="35">
        <f>IF(A601="","",YEAR(A601))</f>
        <v/>
      </c>
      <c r="C601" s="36">
        <f>IF(A601="","",MONTH(A601))</f>
        <v/>
      </c>
      <c r="D601" s="22" t="n"/>
      <c r="E601" s="22" t="n"/>
      <c r="F601" s="22" t="n"/>
      <c r="G601" s="22" t="n"/>
      <c r="H601" s="22" t="n"/>
      <c r="I601" s="22" t="n"/>
      <c r="J601" s="22" t="n"/>
    </row>
    <row r="602">
      <c r="A602" s="34" t="n"/>
      <c r="B602" s="35">
        <f>IF(A602="","",YEAR(A602))</f>
        <v/>
      </c>
      <c r="C602" s="36">
        <f>IF(A602="","",MONTH(A602))</f>
        <v/>
      </c>
      <c r="D602" s="18" t="n"/>
      <c r="E602" s="18" t="n"/>
      <c r="F602" s="18" t="n"/>
      <c r="G602" s="18" t="n"/>
      <c r="H602" s="18" t="n"/>
      <c r="I602" s="18" t="n"/>
      <c r="J602" s="18" t="n"/>
    </row>
    <row r="603">
      <c r="A603" s="41" t="n"/>
      <c r="B603" s="35">
        <f>IF(A603="","",YEAR(A603))</f>
        <v/>
      </c>
      <c r="C603" s="36">
        <f>IF(A603="","",MONTH(A603))</f>
        <v/>
      </c>
      <c r="D603" s="22" t="n"/>
      <c r="E603" s="22" t="n"/>
      <c r="F603" s="22" t="n"/>
      <c r="G603" s="22" t="n"/>
      <c r="H603" s="22" t="n"/>
      <c r="I603" s="22" t="n"/>
      <c r="J603" s="22" t="n"/>
    </row>
    <row r="604">
      <c r="A604" s="34" t="n"/>
      <c r="B604" s="35">
        <f>IF(A604="","",YEAR(A604))</f>
        <v/>
      </c>
      <c r="C604" s="36">
        <f>IF(A604="","",MONTH(A604))</f>
        <v/>
      </c>
      <c r="D604" s="18" t="n"/>
      <c r="E604" s="18" t="n"/>
      <c r="F604" s="18" t="n"/>
      <c r="G604" s="18" t="n"/>
      <c r="H604" s="18" t="n"/>
      <c r="I604" s="18" t="n"/>
      <c r="J604" s="18" t="n"/>
    </row>
    <row r="605">
      <c r="A605" s="41" t="n"/>
      <c r="B605" s="35">
        <f>IF(A605="","",YEAR(A605))</f>
        <v/>
      </c>
      <c r="C605" s="36">
        <f>IF(A605="","",MONTH(A605))</f>
        <v/>
      </c>
      <c r="D605" s="22" t="n"/>
      <c r="E605" s="22" t="n"/>
      <c r="F605" s="22" t="n"/>
      <c r="G605" s="22" t="n"/>
      <c r="H605" s="22" t="n"/>
      <c r="I605" s="22" t="n"/>
      <c r="J605" s="22" t="n"/>
    </row>
    <row r="606">
      <c r="A606" s="34" t="n"/>
      <c r="B606" s="35">
        <f>IF(A606="","",YEAR(A606))</f>
        <v/>
      </c>
      <c r="C606" s="36">
        <f>IF(A606="","",MONTH(A606))</f>
        <v/>
      </c>
      <c r="D606" s="18" t="n"/>
      <c r="E606" s="18" t="n"/>
      <c r="F606" s="18" t="n"/>
      <c r="G606" s="18" t="n"/>
      <c r="H606" s="18" t="n"/>
      <c r="I606" s="18" t="n"/>
      <c r="J606" s="18" t="n"/>
    </row>
    <row r="607">
      <c r="A607" s="41" t="n"/>
      <c r="B607" s="35">
        <f>IF(A607="","",YEAR(A607))</f>
        <v/>
      </c>
      <c r="C607" s="36">
        <f>IF(A607="","",MONTH(A607))</f>
        <v/>
      </c>
      <c r="D607" s="22" t="n"/>
      <c r="E607" s="22" t="n"/>
      <c r="F607" s="22" t="n"/>
      <c r="G607" s="22" t="n"/>
      <c r="H607" s="22" t="n"/>
      <c r="I607" s="22" t="n"/>
      <c r="J607" s="22" t="n"/>
    </row>
    <row r="608">
      <c r="A608" s="34" t="n"/>
      <c r="B608" s="35">
        <f>IF(A608="","",YEAR(A608))</f>
        <v/>
      </c>
      <c r="C608" s="36">
        <f>IF(A608="","",MONTH(A608))</f>
        <v/>
      </c>
      <c r="D608" s="18" t="n"/>
      <c r="E608" s="18" t="n"/>
      <c r="F608" s="18" t="n"/>
      <c r="G608" s="18" t="n"/>
      <c r="H608" s="18" t="n"/>
      <c r="I608" s="18" t="n"/>
      <c r="J608" s="18" t="n"/>
    </row>
    <row r="609">
      <c r="A609" s="41" t="n"/>
      <c r="B609" s="35">
        <f>IF(A609="","",YEAR(A609))</f>
        <v/>
      </c>
      <c r="C609" s="36">
        <f>IF(A609="","",MONTH(A609))</f>
        <v/>
      </c>
      <c r="D609" s="22" t="n"/>
      <c r="E609" s="22" t="n"/>
      <c r="F609" s="22" t="n"/>
      <c r="G609" s="22" t="n"/>
      <c r="H609" s="22" t="n"/>
      <c r="I609" s="22" t="n"/>
      <c r="J609" s="22" t="n"/>
    </row>
    <row r="610">
      <c r="A610" s="34" t="n"/>
      <c r="B610" s="35">
        <f>IF(A610="","",YEAR(A610))</f>
        <v/>
      </c>
      <c r="C610" s="36">
        <f>IF(A610="","",MONTH(A610))</f>
        <v/>
      </c>
      <c r="D610" s="18" t="n"/>
      <c r="E610" s="18" t="n"/>
      <c r="F610" s="18" t="n"/>
      <c r="G610" s="18" t="n"/>
      <c r="H610" s="18" t="n"/>
      <c r="I610" s="18" t="n"/>
      <c r="J610" s="18" t="n"/>
    </row>
    <row r="611">
      <c r="A611" s="41" t="n"/>
      <c r="B611" s="35">
        <f>IF(A611="","",YEAR(A611))</f>
        <v/>
      </c>
      <c r="C611" s="36">
        <f>IF(A611="","",MONTH(A611))</f>
        <v/>
      </c>
      <c r="D611" s="22" t="n"/>
      <c r="E611" s="22" t="n"/>
      <c r="F611" s="22" t="n"/>
      <c r="G611" s="22" t="n"/>
      <c r="H611" s="22" t="n"/>
      <c r="I611" s="22" t="n"/>
      <c r="J611" s="22" t="n"/>
    </row>
    <row r="612">
      <c r="A612" s="34" t="n"/>
      <c r="B612" s="35">
        <f>IF(A612="","",YEAR(A612))</f>
        <v/>
      </c>
      <c r="C612" s="36">
        <f>IF(A612="","",MONTH(A612))</f>
        <v/>
      </c>
      <c r="D612" s="18" t="n"/>
      <c r="E612" s="18" t="n"/>
      <c r="F612" s="18" t="n"/>
      <c r="G612" s="18" t="n"/>
      <c r="H612" s="18" t="n"/>
      <c r="I612" s="18" t="n"/>
      <c r="J612" s="18" t="n"/>
    </row>
    <row r="613">
      <c r="A613" s="41" t="n"/>
      <c r="B613" s="35">
        <f>IF(A613="","",YEAR(A613))</f>
        <v/>
      </c>
      <c r="C613" s="36">
        <f>IF(A613="","",MONTH(A613))</f>
        <v/>
      </c>
      <c r="D613" s="22" t="n"/>
      <c r="E613" s="22" t="n"/>
      <c r="F613" s="22" t="n"/>
      <c r="G613" s="22" t="n"/>
      <c r="H613" s="22" t="n"/>
      <c r="I613" s="22" t="n"/>
      <c r="J613" s="22" t="n"/>
    </row>
    <row r="614">
      <c r="A614" s="34" t="n"/>
      <c r="B614" s="35">
        <f>IF(A614="","",YEAR(A614))</f>
        <v/>
      </c>
      <c r="C614" s="36">
        <f>IF(A614="","",MONTH(A614))</f>
        <v/>
      </c>
      <c r="D614" s="18" t="n"/>
      <c r="E614" s="18" t="n"/>
      <c r="F614" s="18" t="n"/>
      <c r="G614" s="18" t="n"/>
      <c r="H614" s="18" t="n"/>
      <c r="I614" s="18" t="n"/>
      <c r="J614" s="18" t="n"/>
    </row>
    <row r="615">
      <c r="A615" s="41" t="n"/>
      <c r="B615" s="35">
        <f>IF(A615="","",YEAR(A615))</f>
        <v/>
      </c>
      <c r="C615" s="36">
        <f>IF(A615="","",MONTH(A615))</f>
        <v/>
      </c>
      <c r="D615" s="22" t="n"/>
      <c r="E615" s="22" t="n"/>
      <c r="F615" s="22" t="n"/>
      <c r="G615" s="22" t="n"/>
      <c r="H615" s="22" t="n"/>
      <c r="I615" s="22" t="n"/>
      <c r="J615" s="22" t="n"/>
    </row>
    <row r="616">
      <c r="A616" s="34" t="n"/>
      <c r="B616" s="35">
        <f>IF(A616="","",YEAR(A616))</f>
        <v/>
      </c>
      <c r="C616" s="36">
        <f>IF(A616="","",MONTH(A616))</f>
        <v/>
      </c>
      <c r="D616" s="18" t="n"/>
      <c r="E616" s="18" t="n"/>
      <c r="F616" s="18" t="n"/>
      <c r="G616" s="18" t="n"/>
      <c r="H616" s="18" t="n"/>
      <c r="I616" s="18" t="n"/>
      <c r="J616" s="18" t="n"/>
    </row>
    <row r="617">
      <c r="A617" s="41" t="n"/>
      <c r="B617" s="35">
        <f>IF(A617="","",YEAR(A617))</f>
        <v/>
      </c>
      <c r="C617" s="36">
        <f>IF(A617="","",MONTH(A617))</f>
        <v/>
      </c>
      <c r="D617" s="22" t="n"/>
      <c r="E617" s="22" t="n"/>
      <c r="F617" s="22" t="n"/>
      <c r="G617" s="22" t="n"/>
      <c r="H617" s="22" t="n"/>
      <c r="I617" s="22" t="n"/>
      <c r="J617" s="22" t="n"/>
    </row>
    <row r="618">
      <c r="A618" s="34" t="n"/>
      <c r="B618" s="35">
        <f>IF(A618="","",YEAR(A618))</f>
        <v/>
      </c>
      <c r="C618" s="36">
        <f>IF(A618="","",MONTH(A618))</f>
        <v/>
      </c>
      <c r="D618" s="18" t="n"/>
      <c r="E618" s="18" t="n"/>
      <c r="F618" s="18" t="n"/>
      <c r="G618" s="18" t="n"/>
      <c r="H618" s="18" t="n"/>
      <c r="I618" s="18" t="n"/>
      <c r="J618" s="18" t="n"/>
    </row>
    <row r="619">
      <c r="A619" s="41" t="n"/>
      <c r="B619" s="35">
        <f>IF(A619="","",YEAR(A619))</f>
        <v/>
      </c>
      <c r="C619" s="36">
        <f>IF(A619="","",MONTH(A619))</f>
        <v/>
      </c>
      <c r="D619" s="22" t="n"/>
      <c r="E619" s="22" t="n"/>
      <c r="F619" s="22" t="n"/>
      <c r="G619" s="22" t="n"/>
      <c r="H619" s="22" t="n"/>
      <c r="I619" s="22" t="n"/>
      <c r="J619" s="22" t="n"/>
    </row>
    <row r="620">
      <c r="A620" s="34" t="n"/>
      <c r="B620" s="35">
        <f>IF(A620="","",YEAR(A620))</f>
        <v/>
      </c>
      <c r="C620" s="36">
        <f>IF(A620="","",MONTH(A620))</f>
        <v/>
      </c>
      <c r="D620" s="18" t="n"/>
      <c r="E620" s="18" t="n"/>
      <c r="F620" s="18" t="n"/>
      <c r="G620" s="18" t="n"/>
      <c r="H620" s="18" t="n"/>
      <c r="I620" s="18" t="n"/>
      <c r="J620" s="18" t="n"/>
    </row>
    <row r="621">
      <c r="A621" s="41" t="n"/>
      <c r="B621" s="35">
        <f>IF(A621="","",YEAR(A621))</f>
        <v/>
      </c>
      <c r="C621" s="36">
        <f>IF(A621="","",MONTH(A621))</f>
        <v/>
      </c>
      <c r="D621" s="22" t="n"/>
      <c r="E621" s="22" t="n"/>
      <c r="F621" s="22" t="n"/>
      <c r="G621" s="22" t="n"/>
      <c r="H621" s="22" t="n"/>
      <c r="I621" s="22" t="n"/>
      <c r="J621" s="22" t="n"/>
    </row>
    <row r="622">
      <c r="A622" s="34" t="n"/>
      <c r="B622" s="35">
        <f>IF(A622="","",YEAR(A622))</f>
        <v/>
      </c>
      <c r="C622" s="36">
        <f>IF(A622="","",MONTH(A622))</f>
        <v/>
      </c>
      <c r="D622" s="18" t="n"/>
      <c r="E622" s="18" t="n"/>
      <c r="F622" s="18" t="n"/>
      <c r="G622" s="18" t="n"/>
      <c r="H622" s="18" t="n"/>
      <c r="I622" s="18" t="n"/>
      <c r="J622" s="18" t="n"/>
    </row>
    <row r="623">
      <c r="A623" s="41" t="n"/>
      <c r="B623" s="35">
        <f>IF(A623="","",YEAR(A623))</f>
        <v/>
      </c>
      <c r="C623" s="36">
        <f>IF(A623="","",MONTH(A623))</f>
        <v/>
      </c>
      <c r="D623" s="22" t="n"/>
      <c r="E623" s="22" t="n"/>
      <c r="F623" s="22" t="n"/>
      <c r="G623" s="22" t="n"/>
      <c r="H623" s="22" t="n"/>
      <c r="I623" s="22" t="n"/>
      <c r="J623" s="22" t="n"/>
    </row>
    <row r="624">
      <c r="A624" s="34" t="n"/>
      <c r="B624" s="35">
        <f>IF(A624="","",YEAR(A624))</f>
        <v/>
      </c>
      <c r="C624" s="36">
        <f>IF(A624="","",MONTH(A624))</f>
        <v/>
      </c>
      <c r="D624" s="18" t="n"/>
      <c r="E624" s="18" t="n"/>
      <c r="F624" s="18" t="n"/>
      <c r="G624" s="18" t="n"/>
      <c r="H624" s="18" t="n"/>
      <c r="I624" s="18" t="n"/>
      <c r="J624" s="18" t="n"/>
    </row>
    <row r="625">
      <c r="A625" s="41" t="n"/>
      <c r="B625" s="35">
        <f>IF(A625="","",YEAR(A625))</f>
        <v/>
      </c>
      <c r="C625" s="36">
        <f>IF(A625="","",MONTH(A625))</f>
        <v/>
      </c>
      <c r="D625" s="22" t="n"/>
      <c r="E625" s="22" t="n"/>
      <c r="F625" s="22" t="n"/>
      <c r="G625" s="22" t="n"/>
      <c r="H625" s="22" t="n"/>
      <c r="I625" s="22" t="n"/>
      <c r="J625" s="22" t="n"/>
    </row>
    <row r="626">
      <c r="A626" s="34" t="n"/>
      <c r="B626" s="35">
        <f>IF(A626="","",YEAR(A626))</f>
        <v/>
      </c>
      <c r="C626" s="36">
        <f>IF(A626="","",MONTH(A626))</f>
        <v/>
      </c>
      <c r="D626" s="18" t="n"/>
      <c r="E626" s="18" t="n"/>
      <c r="F626" s="18" t="n"/>
      <c r="G626" s="18" t="n"/>
      <c r="H626" s="18" t="n"/>
      <c r="I626" s="18" t="n"/>
      <c r="J626" s="18" t="n"/>
    </row>
    <row r="627">
      <c r="A627" s="41" t="n"/>
      <c r="B627" s="35">
        <f>IF(A627="","",YEAR(A627))</f>
        <v/>
      </c>
      <c r="C627" s="36">
        <f>IF(A627="","",MONTH(A627))</f>
        <v/>
      </c>
      <c r="D627" s="22" t="n"/>
      <c r="E627" s="22" t="n"/>
      <c r="F627" s="22" t="n"/>
      <c r="G627" s="22" t="n"/>
      <c r="H627" s="22" t="n"/>
      <c r="I627" s="22" t="n"/>
      <c r="J627" s="22" t="n"/>
    </row>
    <row r="628">
      <c r="A628" s="34" t="n"/>
      <c r="B628" s="35">
        <f>IF(A628="","",YEAR(A628))</f>
        <v/>
      </c>
      <c r="C628" s="36">
        <f>IF(A628="","",MONTH(A628))</f>
        <v/>
      </c>
      <c r="D628" s="18" t="n"/>
      <c r="E628" s="18" t="n"/>
      <c r="F628" s="18" t="n"/>
      <c r="G628" s="18" t="n"/>
      <c r="H628" s="18" t="n"/>
      <c r="I628" s="18" t="n"/>
      <c r="J628" s="18" t="n"/>
    </row>
    <row r="629">
      <c r="A629" s="41" t="n"/>
      <c r="B629" s="35">
        <f>IF(A629="","",YEAR(A629))</f>
        <v/>
      </c>
      <c r="C629" s="36">
        <f>IF(A629="","",MONTH(A629))</f>
        <v/>
      </c>
      <c r="D629" s="22" t="n"/>
      <c r="E629" s="22" t="n"/>
      <c r="F629" s="22" t="n"/>
      <c r="G629" s="22" t="n"/>
      <c r="H629" s="22" t="n"/>
      <c r="I629" s="22" t="n"/>
      <c r="J629" s="22" t="n"/>
    </row>
    <row r="630">
      <c r="A630" s="34" t="n"/>
      <c r="B630" s="35">
        <f>IF(A630="","",YEAR(A630))</f>
        <v/>
      </c>
      <c r="C630" s="36">
        <f>IF(A630="","",MONTH(A630))</f>
        <v/>
      </c>
      <c r="D630" s="18" t="n"/>
      <c r="E630" s="18" t="n"/>
      <c r="F630" s="18" t="n"/>
      <c r="G630" s="18" t="n"/>
      <c r="H630" s="18" t="n"/>
      <c r="I630" s="18" t="n"/>
      <c r="J630" s="18" t="n"/>
    </row>
    <row r="631">
      <c r="A631" s="41" t="n"/>
      <c r="B631" s="35">
        <f>IF(A631="","",YEAR(A631))</f>
        <v/>
      </c>
      <c r="C631" s="36">
        <f>IF(A631="","",MONTH(A631))</f>
        <v/>
      </c>
      <c r="D631" s="22" t="n"/>
      <c r="E631" s="22" t="n"/>
      <c r="F631" s="22" t="n"/>
      <c r="G631" s="22" t="n"/>
      <c r="H631" s="22" t="n"/>
      <c r="I631" s="22" t="n"/>
      <c r="J631" s="22" t="n"/>
    </row>
    <row r="632">
      <c r="A632" s="34" t="n"/>
      <c r="B632" s="35">
        <f>IF(A632="","",YEAR(A632))</f>
        <v/>
      </c>
      <c r="C632" s="36">
        <f>IF(A632="","",MONTH(A632))</f>
        <v/>
      </c>
      <c r="D632" s="18" t="n"/>
      <c r="E632" s="18" t="n"/>
      <c r="F632" s="18" t="n"/>
      <c r="G632" s="18" t="n"/>
      <c r="H632" s="18" t="n"/>
      <c r="I632" s="18" t="n"/>
      <c r="J632" s="18" t="n"/>
    </row>
    <row r="633">
      <c r="A633" s="41" t="n"/>
      <c r="B633" s="35">
        <f>IF(A633="","",YEAR(A633))</f>
        <v/>
      </c>
      <c r="C633" s="36">
        <f>IF(A633="","",MONTH(A633))</f>
        <v/>
      </c>
      <c r="D633" s="22" t="n"/>
      <c r="E633" s="22" t="n"/>
      <c r="F633" s="22" t="n"/>
      <c r="G633" s="22" t="n"/>
      <c r="H633" s="22" t="n"/>
      <c r="I633" s="22" t="n"/>
      <c r="J633" s="22" t="n"/>
    </row>
    <row r="634">
      <c r="A634" s="34" t="n"/>
      <c r="B634" s="35">
        <f>IF(A634="","",YEAR(A634))</f>
        <v/>
      </c>
      <c r="C634" s="36">
        <f>IF(A634="","",MONTH(A634))</f>
        <v/>
      </c>
      <c r="D634" s="18" t="n"/>
      <c r="E634" s="18" t="n"/>
      <c r="F634" s="18" t="n"/>
      <c r="G634" s="18" t="n"/>
      <c r="H634" s="18" t="n"/>
      <c r="I634" s="18" t="n"/>
      <c r="J634" s="18" t="n"/>
    </row>
    <row r="635">
      <c r="A635" s="41" t="n"/>
      <c r="B635" s="35">
        <f>IF(A635="","",YEAR(A635))</f>
        <v/>
      </c>
      <c r="C635" s="36">
        <f>IF(A635="","",MONTH(A635))</f>
        <v/>
      </c>
      <c r="D635" s="22" t="n"/>
      <c r="E635" s="22" t="n"/>
      <c r="F635" s="22" t="n"/>
      <c r="G635" s="22" t="n"/>
      <c r="H635" s="22" t="n"/>
      <c r="I635" s="22" t="n"/>
      <c r="J635" s="22" t="n"/>
    </row>
    <row r="636">
      <c r="A636" s="34" t="n"/>
      <c r="B636" s="35">
        <f>IF(A636="","",YEAR(A636))</f>
        <v/>
      </c>
      <c r="C636" s="36">
        <f>IF(A636="","",MONTH(A636))</f>
        <v/>
      </c>
      <c r="D636" s="18" t="n"/>
      <c r="E636" s="18" t="n"/>
      <c r="F636" s="18" t="n"/>
      <c r="G636" s="18" t="n"/>
      <c r="H636" s="18" t="n"/>
      <c r="I636" s="18" t="n"/>
      <c r="J636" s="18" t="n"/>
    </row>
    <row r="637">
      <c r="A637" s="41" t="n"/>
      <c r="B637" s="35">
        <f>IF(A637="","",YEAR(A637))</f>
        <v/>
      </c>
      <c r="C637" s="36">
        <f>IF(A637="","",MONTH(A637))</f>
        <v/>
      </c>
      <c r="D637" s="22" t="n"/>
      <c r="E637" s="22" t="n"/>
      <c r="F637" s="22" t="n"/>
      <c r="G637" s="22" t="n"/>
      <c r="H637" s="22" t="n"/>
      <c r="I637" s="22" t="n"/>
      <c r="J637" s="22" t="n"/>
    </row>
    <row r="638">
      <c r="A638" s="34" t="n"/>
      <c r="B638" s="35">
        <f>IF(A638="","",YEAR(A638))</f>
        <v/>
      </c>
      <c r="C638" s="36">
        <f>IF(A638="","",MONTH(A638))</f>
        <v/>
      </c>
      <c r="D638" s="18" t="n"/>
      <c r="E638" s="18" t="n"/>
      <c r="F638" s="18" t="n"/>
      <c r="G638" s="18" t="n"/>
      <c r="H638" s="18" t="n"/>
      <c r="I638" s="18" t="n"/>
      <c r="J638" s="18" t="n"/>
    </row>
    <row r="639">
      <c r="A639" s="41" t="n"/>
      <c r="B639" s="35">
        <f>IF(A639="","",YEAR(A639))</f>
        <v/>
      </c>
      <c r="C639" s="36">
        <f>IF(A639="","",MONTH(A639))</f>
        <v/>
      </c>
      <c r="D639" s="22" t="n"/>
      <c r="E639" s="22" t="n"/>
      <c r="F639" s="22" t="n"/>
      <c r="G639" s="22" t="n"/>
      <c r="H639" s="22" t="n"/>
      <c r="I639" s="22" t="n"/>
      <c r="J639" s="22" t="n"/>
    </row>
    <row r="640">
      <c r="A640" s="34" t="n"/>
      <c r="B640" s="35">
        <f>IF(A640="","",YEAR(A640))</f>
        <v/>
      </c>
      <c r="C640" s="36">
        <f>IF(A640="","",MONTH(A640))</f>
        <v/>
      </c>
      <c r="D640" s="18" t="n"/>
      <c r="E640" s="18" t="n"/>
      <c r="F640" s="18" t="n"/>
      <c r="G640" s="18" t="n"/>
      <c r="H640" s="18" t="n"/>
      <c r="I640" s="18" t="n"/>
      <c r="J640" s="18" t="n"/>
    </row>
    <row r="641">
      <c r="A641" s="41" t="n"/>
      <c r="B641" s="35">
        <f>IF(A641="","",YEAR(A641))</f>
        <v/>
      </c>
      <c r="C641" s="36">
        <f>IF(A641="","",MONTH(A641))</f>
        <v/>
      </c>
      <c r="D641" s="22" t="n"/>
      <c r="E641" s="22" t="n"/>
      <c r="F641" s="22" t="n"/>
      <c r="G641" s="22" t="n"/>
      <c r="H641" s="22" t="n"/>
      <c r="I641" s="22" t="n"/>
      <c r="J641" s="22" t="n"/>
    </row>
    <row r="642">
      <c r="A642" s="34" t="n"/>
      <c r="B642" s="35">
        <f>IF(A642="","",YEAR(A642))</f>
        <v/>
      </c>
      <c r="C642" s="36">
        <f>IF(A642="","",MONTH(A642))</f>
        <v/>
      </c>
      <c r="D642" s="18" t="n"/>
      <c r="E642" s="18" t="n"/>
      <c r="F642" s="18" t="n"/>
      <c r="G642" s="18" t="n"/>
      <c r="H642" s="18" t="n"/>
      <c r="I642" s="18" t="n"/>
      <c r="J642" s="18" t="n"/>
    </row>
    <row r="643">
      <c r="A643" s="41" t="n"/>
      <c r="B643" s="35">
        <f>IF(A643="","",YEAR(A643))</f>
        <v/>
      </c>
      <c r="C643" s="36">
        <f>IF(A643="","",MONTH(A643))</f>
        <v/>
      </c>
      <c r="D643" s="22" t="n"/>
      <c r="E643" s="22" t="n"/>
      <c r="F643" s="22" t="n"/>
      <c r="G643" s="22" t="n"/>
      <c r="H643" s="22" t="n"/>
      <c r="I643" s="22" t="n"/>
      <c r="J643" s="22" t="n"/>
    </row>
    <row r="644">
      <c r="A644" s="34" t="n"/>
      <c r="B644" s="35">
        <f>IF(A644="","",YEAR(A644))</f>
        <v/>
      </c>
      <c r="C644" s="36">
        <f>IF(A644="","",MONTH(A644))</f>
        <v/>
      </c>
      <c r="D644" s="18" t="n"/>
      <c r="E644" s="18" t="n"/>
      <c r="F644" s="18" t="n"/>
      <c r="G644" s="18" t="n"/>
      <c r="H644" s="18" t="n"/>
      <c r="I644" s="18" t="n"/>
      <c r="J644" s="18" t="n"/>
    </row>
    <row r="645">
      <c r="A645" s="41" t="n"/>
      <c r="B645" s="35">
        <f>IF(A645="","",YEAR(A645))</f>
        <v/>
      </c>
      <c r="C645" s="36">
        <f>IF(A645="","",MONTH(A645))</f>
        <v/>
      </c>
      <c r="D645" s="22" t="n"/>
      <c r="E645" s="22" t="n"/>
      <c r="F645" s="22" t="n"/>
      <c r="G645" s="22" t="n"/>
      <c r="H645" s="22" t="n"/>
      <c r="I645" s="22" t="n"/>
      <c r="J645" s="22" t="n"/>
    </row>
    <row r="646">
      <c r="A646" s="34" t="n"/>
      <c r="B646" s="35">
        <f>IF(A646="","",YEAR(A646))</f>
        <v/>
      </c>
      <c r="C646" s="36">
        <f>IF(A646="","",MONTH(A646))</f>
        <v/>
      </c>
      <c r="D646" s="18" t="n"/>
      <c r="E646" s="18" t="n"/>
      <c r="F646" s="18" t="n"/>
      <c r="G646" s="18" t="n"/>
      <c r="H646" s="18" t="n"/>
      <c r="I646" s="18" t="n"/>
      <c r="J646" s="18" t="n"/>
    </row>
    <row r="647">
      <c r="A647" s="41" t="n"/>
      <c r="B647" s="35">
        <f>IF(A647="","",YEAR(A647))</f>
        <v/>
      </c>
      <c r="C647" s="36">
        <f>IF(A647="","",MONTH(A647))</f>
        <v/>
      </c>
      <c r="D647" s="22" t="n"/>
      <c r="E647" s="22" t="n"/>
      <c r="F647" s="22" t="n"/>
      <c r="G647" s="22" t="n"/>
      <c r="H647" s="22" t="n"/>
      <c r="I647" s="22" t="n"/>
      <c r="J647" s="22" t="n"/>
    </row>
    <row r="648">
      <c r="A648" s="34" t="n"/>
      <c r="B648" s="35">
        <f>IF(A648="","",YEAR(A648))</f>
        <v/>
      </c>
      <c r="C648" s="36">
        <f>IF(A648="","",MONTH(A648))</f>
        <v/>
      </c>
      <c r="D648" s="18" t="n"/>
      <c r="E648" s="18" t="n"/>
      <c r="F648" s="18" t="n"/>
      <c r="G648" s="18" t="n"/>
      <c r="H648" s="18" t="n"/>
      <c r="I648" s="18" t="n"/>
      <c r="J648" s="18" t="n"/>
    </row>
    <row r="649">
      <c r="A649" s="41" t="n"/>
      <c r="B649" s="35">
        <f>IF(A649="","",YEAR(A649))</f>
        <v/>
      </c>
      <c r="C649" s="36">
        <f>IF(A649="","",MONTH(A649))</f>
        <v/>
      </c>
      <c r="D649" s="22" t="n"/>
      <c r="E649" s="22" t="n"/>
      <c r="F649" s="22" t="n"/>
      <c r="G649" s="22" t="n"/>
      <c r="H649" s="22" t="n"/>
      <c r="I649" s="22" t="n"/>
      <c r="J649" s="22" t="n"/>
    </row>
    <row r="650">
      <c r="A650" s="34" t="n"/>
      <c r="B650" s="35">
        <f>IF(A650="","",YEAR(A650))</f>
        <v/>
      </c>
      <c r="C650" s="36">
        <f>IF(A650="","",MONTH(A650))</f>
        <v/>
      </c>
      <c r="D650" s="18" t="n"/>
      <c r="E650" s="18" t="n"/>
      <c r="F650" s="18" t="n"/>
      <c r="G650" s="18" t="n"/>
      <c r="H650" s="18" t="n"/>
      <c r="I650" s="18" t="n"/>
      <c r="J650" s="18" t="n"/>
    </row>
    <row r="651">
      <c r="A651" s="41" t="n"/>
      <c r="B651" s="35">
        <f>IF(A651="","",YEAR(A651))</f>
        <v/>
      </c>
      <c r="C651" s="36">
        <f>IF(A651="","",MONTH(A651))</f>
        <v/>
      </c>
      <c r="D651" s="22" t="n"/>
      <c r="E651" s="22" t="n"/>
      <c r="F651" s="22" t="n"/>
      <c r="G651" s="22" t="n"/>
      <c r="H651" s="22" t="n"/>
      <c r="I651" s="22" t="n"/>
      <c r="J651" s="22" t="n"/>
    </row>
    <row r="652">
      <c r="A652" s="34" t="n"/>
      <c r="B652" s="35">
        <f>IF(A652="","",YEAR(A652))</f>
        <v/>
      </c>
      <c r="C652" s="36">
        <f>IF(A652="","",MONTH(A652))</f>
        <v/>
      </c>
      <c r="D652" s="18" t="n"/>
      <c r="E652" s="18" t="n"/>
      <c r="F652" s="18" t="n"/>
      <c r="G652" s="18" t="n"/>
      <c r="H652" s="18" t="n"/>
      <c r="I652" s="18" t="n"/>
      <c r="J652" s="18" t="n"/>
    </row>
    <row r="653">
      <c r="A653" s="41" t="n"/>
      <c r="B653" s="35">
        <f>IF(A653="","",YEAR(A653))</f>
        <v/>
      </c>
      <c r="C653" s="36">
        <f>IF(A653="","",MONTH(A653))</f>
        <v/>
      </c>
      <c r="D653" s="22" t="n"/>
      <c r="E653" s="22" t="n"/>
      <c r="F653" s="22" t="n"/>
      <c r="G653" s="22" t="n"/>
      <c r="H653" s="22" t="n"/>
      <c r="I653" s="22" t="n"/>
      <c r="J653" s="22" t="n"/>
    </row>
    <row r="654">
      <c r="A654" s="34" t="n"/>
      <c r="B654" s="35">
        <f>IF(A654="","",YEAR(A654))</f>
        <v/>
      </c>
      <c r="C654" s="36">
        <f>IF(A654="","",MONTH(A654))</f>
        <v/>
      </c>
      <c r="D654" s="18" t="n"/>
      <c r="E654" s="18" t="n"/>
      <c r="F654" s="18" t="n"/>
      <c r="G654" s="18" t="n"/>
      <c r="H654" s="18" t="n"/>
      <c r="I654" s="18" t="n"/>
      <c r="J654" s="18" t="n"/>
    </row>
    <row r="655">
      <c r="A655" s="41" t="n"/>
      <c r="B655" s="35">
        <f>IF(A655="","",YEAR(A655))</f>
        <v/>
      </c>
      <c r="C655" s="36">
        <f>IF(A655="","",MONTH(A655))</f>
        <v/>
      </c>
      <c r="D655" s="22" t="n"/>
      <c r="E655" s="22" t="n"/>
      <c r="F655" s="22" t="n"/>
      <c r="G655" s="22" t="n"/>
      <c r="H655" s="22" t="n"/>
      <c r="I655" s="22" t="n"/>
      <c r="J655" s="22" t="n"/>
    </row>
    <row r="656">
      <c r="A656" s="34" t="n"/>
      <c r="B656" s="35">
        <f>IF(A656="","",YEAR(A656))</f>
        <v/>
      </c>
      <c r="C656" s="36">
        <f>IF(A656="","",MONTH(A656))</f>
        <v/>
      </c>
      <c r="D656" s="18" t="n"/>
      <c r="E656" s="18" t="n"/>
      <c r="F656" s="18" t="n"/>
      <c r="G656" s="18" t="n"/>
      <c r="H656" s="18" t="n"/>
      <c r="I656" s="18" t="n"/>
      <c r="J656" s="18" t="n"/>
    </row>
    <row r="657">
      <c r="A657" s="41" t="n"/>
      <c r="B657" s="35">
        <f>IF(A657="","",YEAR(A657))</f>
        <v/>
      </c>
      <c r="C657" s="36">
        <f>IF(A657="","",MONTH(A657))</f>
        <v/>
      </c>
      <c r="D657" s="22" t="n"/>
      <c r="E657" s="22" t="n"/>
      <c r="F657" s="22" t="n"/>
      <c r="G657" s="22" t="n"/>
      <c r="H657" s="22" t="n"/>
      <c r="I657" s="22" t="n"/>
      <c r="J657" s="22" t="n"/>
    </row>
    <row r="658">
      <c r="A658" s="34" t="n"/>
      <c r="B658" s="35">
        <f>IF(A658="","",YEAR(A658))</f>
        <v/>
      </c>
      <c r="C658" s="36">
        <f>IF(A658="","",MONTH(A658))</f>
        <v/>
      </c>
      <c r="D658" s="18" t="n"/>
      <c r="E658" s="18" t="n"/>
      <c r="F658" s="18" t="n"/>
      <c r="G658" s="18" t="n"/>
      <c r="H658" s="18" t="n"/>
      <c r="I658" s="18" t="n"/>
      <c r="J658" s="18" t="n"/>
    </row>
    <row r="659">
      <c r="A659" s="41" t="n"/>
      <c r="B659" s="35">
        <f>IF(A659="","",YEAR(A659))</f>
        <v/>
      </c>
      <c r="C659" s="36">
        <f>IF(A659="","",MONTH(A659))</f>
        <v/>
      </c>
      <c r="D659" s="22" t="n"/>
      <c r="E659" s="22" t="n"/>
      <c r="F659" s="22" t="n"/>
      <c r="G659" s="22" t="n"/>
      <c r="H659" s="22" t="n"/>
      <c r="I659" s="22" t="n"/>
      <c r="J659" s="22" t="n"/>
    </row>
    <row r="660">
      <c r="A660" s="34" t="n"/>
      <c r="B660" s="35">
        <f>IF(A660="","",YEAR(A660))</f>
        <v/>
      </c>
      <c r="C660" s="36">
        <f>IF(A660="","",MONTH(A660))</f>
        <v/>
      </c>
      <c r="D660" s="18" t="n"/>
      <c r="E660" s="18" t="n"/>
      <c r="F660" s="18" t="n"/>
      <c r="G660" s="18" t="n"/>
      <c r="H660" s="18" t="n"/>
      <c r="I660" s="18" t="n"/>
      <c r="J660" s="18" t="n"/>
    </row>
    <row r="661">
      <c r="A661" s="41" t="n"/>
      <c r="B661" s="35">
        <f>IF(A661="","",YEAR(A661))</f>
        <v/>
      </c>
      <c r="C661" s="36">
        <f>IF(A661="","",MONTH(A661))</f>
        <v/>
      </c>
      <c r="D661" s="22" t="n"/>
      <c r="E661" s="22" t="n"/>
      <c r="F661" s="22" t="n"/>
      <c r="G661" s="22" t="n"/>
      <c r="H661" s="22" t="n"/>
      <c r="I661" s="22" t="n"/>
      <c r="J661" s="22" t="n"/>
    </row>
    <row r="662">
      <c r="A662" s="34" t="n"/>
      <c r="B662" s="35">
        <f>IF(A662="","",YEAR(A662))</f>
        <v/>
      </c>
      <c r="C662" s="36">
        <f>IF(A662="","",MONTH(A662))</f>
        <v/>
      </c>
      <c r="D662" s="18" t="n"/>
      <c r="E662" s="18" t="n"/>
      <c r="F662" s="18" t="n"/>
      <c r="G662" s="18" t="n"/>
      <c r="H662" s="18" t="n"/>
      <c r="I662" s="18" t="n"/>
      <c r="J662" s="18" t="n"/>
    </row>
    <row r="663">
      <c r="A663" s="41" t="n"/>
      <c r="B663" s="35">
        <f>IF(A663="","",YEAR(A663))</f>
        <v/>
      </c>
      <c r="C663" s="36">
        <f>IF(A663="","",MONTH(A663))</f>
        <v/>
      </c>
      <c r="D663" s="22" t="n"/>
      <c r="E663" s="22" t="n"/>
      <c r="F663" s="22" t="n"/>
      <c r="G663" s="22" t="n"/>
      <c r="H663" s="22" t="n"/>
      <c r="I663" s="22" t="n"/>
      <c r="J663" s="22" t="n"/>
    </row>
    <row r="664">
      <c r="A664" s="34" t="n"/>
      <c r="B664" s="35">
        <f>IF(A664="","",YEAR(A664))</f>
        <v/>
      </c>
      <c r="C664" s="36">
        <f>IF(A664="","",MONTH(A664))</f>
        <v/>
      </c>
      <c r="D664" s="18" t="n"/>
      <c r="E664" s="18" t="n"/>
      <c r="F664" s="18" t="n"/>
      <c r="G664" s="18" t="n"/>
      <c r="H664" s="18" t="n"/>
      <c r="I664" s="18" t="n"/>
      <c r="J664" s="18" t="n"/>
    </row>
    <row r="665">
      <c r="A665" s="41" t="n"/>
      <c r="B665" s="35">
        <f>IF(A665="","",YEAR(A665))</f>
        <v/>
      </c>
      <c r="C665" s="36">
        <f>IF(A665="","",MONTH(A665))</f>
        <v/>
      </c>
      <c r="D665" s="22" t="n"/>
      <c r="E665" s="22" t="n"/>
      <c r="F665" s="22" t="n"/>
      <c r="G665" s="22" t="n"/>
      <c r="H665" s="22" t="n"/>
      <c r="I665" s="22" t="n"/>
      <c r="J665" s="22" t="n"/>
    </row>
    <row r="666">
      <c r="A666" s="34" t="n"/>
      <c r="B666" s="35">
        <f>IF(A666="","",YEAR(A666))</f>
        <v/>
      </c>
      <c r="C666" s="36">
        <f>IF(A666="","",MONTH(A666))</f>
        <v/>
      </c>
      <c r="D666" s="18" t="n"/>
      <c r="E666" s="18" t="n"/>
      <c r="F666" s="18" t="n"/>
      <c r="G666" s="18" t="n"/>
      <c r="H666" s="18" t="n"/>
      <c r="I666" s="18" t="n"/>
      <c r="J666" s="18" t="n"/>
    </row>
    <row r="667">
      <c r="A667" s="41" t="n"/>
      <c r="B667" s="35">
        <f>IF(A667="","",YEAR(A667))</f>
        <v/>
      </c>
      <c r="C667" s="36">
        <f>IF(A667="","",MONTH(A667))</f>
        <v/>
      </c>
      <c r="D667" s="22" t="n"/>
      <c r="E667" s="22" t="n"/>
      <c r="F667" s="22" t="n"/>
      <c r="G667" s="22" t="n"/>
      <c r="H667" s="22" t="n"/>
      <c r="I667" s="22" t="n"/>
      <c r="J667" s="22" t="n"/>
    </row>
    <row r="668">
      <c r="A668" s="34" t="n"/>
      <c r="B668" s="35">
        <f>IF(A668="","",YEAR(A668))</f>
        <v/>
      </c>
      <c r="C668" s="36">
        <f>IF(A668="","",MONTH(A668))</f>
        <v/>
      </c>
      <c r="D668" s="18" t="n"/>
      <c r="E668" s="18" t="n"/>
      <c r="F668" s="18" t="n"/>
      <c r="G668" s="18" t="n"/>
      <c r="H668" s="18" t="n"/>
      <c r="I668" s="18" t="n"/>
      <c r="J668" s="18" t="n"/>
    </row>
    <row r="669">
      <c r="A669" s="41" t="n"/>
      <c r="B669" s="35">
        <f>IF(A669="","",YEAR(A669))</f>
        <v/>
      </c>
      <c r="C669" s="36">
        <f>IF(A669="","",MONTH(A669))</f>
        <v/>
      </c>
      <c r="D669" s="22" t="n"/>
      <c r="E669" s="22" t="n"/>
      <c r="F669" s="22" t="n"/>
      <c r="G669" s="22" t="n"/>
      <c r="H669" s="22" t="n"/>
      <c r="I669" s="22" t="n"/>
      <c r="J669" s="22" t="n"/>
    </row>
    <row r="670">
      <c r="A670" s="34" t="n"/>
      <c r="B670" s="35">
        <f>IF(A670="","",YEAR(A670))</f>
        <v/>
      </c>
      <c r="C670" s="36">
        <f>IF(A670="","",MONTH(A670))</f>
        <v/>
      </c>
      <c r="D670" s="18" t="n"/>
      <c r="E670" s="18" t="n"/>
      <c r="F670" s="18" t="n"/>
      <c r="G670" s="18" t="n"/>
      <c r="H670" s="18" t="n"/>
      <c r="I670" s="18" t="n"/>
      <c r="J670" s="18" t="n"/>
    </row>
    <row r="671">
      <c r="A671" s="41" t="n"/>
      <c r="B671" s="35">
        <f>IF(A671="","",YEAR(A671))</f>
        <v/>
      </c>
      <c r="C671" s="36">
        <f>IF(A671="","",MONTH(A671))</f>
        <v/>
      </c>
      <c r="D671" s="22" t="n"/>
      <c r="E671" s="22" t="n"/>
      <c r="F671" s="22" t="n"/>
      <c r="G671" s="22" t="n"/>
      <c r="H671" s="22" t="n"/>
      <c r="I671" s="22" t="n"/>
      <c r="J671" s="22" t="n"/>
    </row>
    <row r="672">
      <c r="A672" s="34" t="n"/>
      <c r="B672" s="35">
        <f>IF(A672="","",YEAR(A672))</f>
        <v/>
      </c>
      <c r="C672" s="36">
        <f>IF(A672="","",MONTH(A672))</f>
        <v/>
      </c>
      <c r="D672" s="18" t="n"/>
      <c r="E672" s="18" t="n"/>
      <c r="F672" s="18" t="n"/>
      <c r="G672" s="18" t="n"/>
      <c r="H672" s="18" t="n"/>
      <c r="I672" s="18" t="n"/>
      <c r="J672" s="18" t="n"/>
    </row>
    <row r="673">
      <c r="A673" s="41" t="n"/>
      <c r="B673" s="35">
        <f>IF(A673="","",YEAR(A673))</f>
        <v/>
      </c>
      <c r="C673" s="36">
        <f>IF(A673="","",MONTH(A673))</f>
        <v/>
      </c>
      <c r="D673" s="22" t="n"/>
      <c r="E673" s="22" t="n"/>
      <c r="F673" s="22" t="n"/>
      <c r="G673" s="22" t="n"/>
      <c r="H673" s="22" t="n"/>
      <c r="I673" s="22" t="n"/>
      <c r="J673" s="22" t="n"/>
    </row>
    <row r="674">
      <c r="A674" s="34" t="n"/>
      <c r="B674" s="35">
        <f>IF(A674="","",YEAR(A674))</f>
        <v/>
      </c>
      <c r="C674" s="36">
        <f>IF(A674="","",MONTH(A674))</f>
        <v/>
      </c>
      <c r="D674" s="18" t="n"/>
      <c r="E674" s="18" t="n"/>
      <c r="F674" s="18" t="n"/>
      <c r="G674" s="18" t="n"/>
      <c r="H674" s="18" t="n"/>
      <c r="I674" s="18" t="n"/>
      <c r="J674" s="18" t="n"/>
    </row>
    <row r="675">
      <c r="A675" s="41" t="n"/>
      <c r="B675" s="35">
        <f>IF(A675="","",YEAR(A675))</f>
        <v/>
      </c>
      <c r="C675" s="36">
        <f>IF(A675="","",MONTH(A675))</f>
        <v/>
      </c>
      <c r="D675" s="22" t="n"/>
      <c r="E675" s="22" t="n"/>
      <c r="F675" s="22" t="n"/>
      <c r="G675" s="22" t="n"/>
      <c r="H675" s="22" t="n"/>
      <c r="I675" s="22" t="n"/>
      <c r="J675" s="22" t="n"/>
    </row>
    <row r="676">
      <c r="A676" s="34" t="n"/>
      <c r="B676" s="35">
        <f>IF(A676="","",YEAR(A676))</f>
        <v/>
      </c>
      <c r="C676" s="36">
        <f>IF(A676="","",MONTH(A676))</f>
        <v/>
      </c>
      <c r="D676" s="18" t="n"/>
      <c r="E676" s="18" t="n"/>
      <c r="F676" s="18" t="n"/>
      <c r="G676" s="18" t="n"/>
      <c r="H676" s="18" t="n"/>
      <c r="I676" s="18" t="n"/>
      <c r="J676" s="18" t="n"/>
    </row>
    <row r="677">
      <c r="A677" s="41" t="n"/>
      <c r="B677" s="35">
        <f>IF(A677="","",YEAR(A677))</f>
        <v/>
      </c>
      <c r="C677" s="36">
        <f>IF(A677="","",MONTH(A677))</f>
        <v/>
      </c>
      <c r="D677" s="22" t="n"/>
      <c r="E677" s="22" t="n"/>
      <c r="F677" s="22" t="n"/>
      <c r="G677" s="22" t="n"/>
      <c r="H677" s="22" t="n"/>
      <c r="I677" s="22" t="n"/>
      <c r="J677" s="22" t="n"/>
    </row>
    <row r="678">
      <c r="A678" s="34" t="n"/>
      <c r="B678" s="35">
        <f>IF(A678="","",YEAR(A678))</f>
        <v/>
      </c>
      <c r="C678" s="36">
        <f>IF(A678="","",MONTH(A678))</f>
        <v/>
      </c>
      <c r="D678" s="18" t="n"/>
      <c r="E678" s="18" t="n"/>
      <c r="F678" s="18" t="n"/>
      <c r="G678" s="18" t="n"/>
      <c r="H678" s="18" t="n"/>
      <c r="I678" s="18" t="n"/>
      <c r="J678" s="18" t="n"/>
    </row>
    <row r="679">
      <c r="A679" s="41" t="n"/>
      <c r="B679" s="35">
        <f>IF(A679="","",YEAR(A679))</f>
        <v/>
      </c>
      <c r="C679" s="36">
        <f>IF(A679="","",MONTH(A679))</f>
        <v/>
      </c>
      <c r="D679" s="22" t="n"/>
      <c r="E679" s="22" t="n"/>
      <c r="F679" s="22" t="n"/>
      <c r="G679" s="22" t="n"/>
      <c r="H679" s="22" t="n"/>
      <c r="I679" s="22" t="n"/>
      <c r="J679" s="22" t="n"/>
    </row>
    <row r="680">
      <c r="A680" s="34" t="n"/>
      <c r="B680" s="35">
        <f>IF(A680="","",YEAR(A680))</f>
        <v/>
      </c>
      <c r="C680" s="36">
        <f>IF(A680="","",MONTH(A680))</f>
        <v/>
      </c>
      <c r="D680" s="18" t="n"/>
      <c r="E680" s="18" t="n"/>
      <c r="F680" s="18" t="n"/>
      <c r="G680" s="18" t="n"/>
      <c r="H680" s="18" t="n"/>
      <c r="I680" s="18" t="n"/>
      <c r="J680" s="18" t="n"/>
    </row>
    <row r="681">
      <c r="A681" s="41" t="n"/>
      <c r="B681" s="35">
        <f>IF(A681="","",YEAR(A681))</f>
        <v/>
      </c>
      <c r="C681" s="36">
        <f>IF(A681="","",MONTH(A681))</f>
        <v/>
      </c>
      <c r="D681" s="22" t="n"/>
      <c r="E681" s="22" t="n"/>
      <c r="F681" s="22" t="n"/>
      <c r="G681" s="22" t="n"/>
      <c r="H681" s="22" t="n"/>
      <c r="I681" s="22" t="n"/>
      <c r="J681" s="22" t="n"/>
    </row>
    <row r="682">
      <c r="A682" s="34" t="n"/>
      <c r="B682" s="35">
        <f>IF(A682="","",YEAR(A682))</f>
        <v/>
      </c>
      <c r="C682" s="36">
        <f>IF(A682="","",MONTH(A682))</f>
        <v/>
      </c>
      <c r="D682" s="18" t="n"/>
      <c r="E682" s="18" t="n"/>
      <c r="F682" s="18" t="n"/>
      <c r="G682" s="18" t="n"/>
      <c r="H682" s="18" t="n"/>
      <c r="I682" s="18" t="n"/>
      <c r="J682" s="18" t="n"/>
    </row>
    <row r="683">
      <c r="A683" s="41" t="n"/>
      <c r="B683" s="35">
        <f>IF(A683="","",YEAR(A683))</f>
        <v/>
      </c>
      <c r="C683" s="36">
        <f>IF(A683="","",MONTH(A683))</f>
        <v/>
      </c>
      <c r="D683" s="22" t="n"/>
      <c r="E683" s="22" t="n"/>
      <c r="F683" s="22" t="n"/>
      <c r="G683" s="22" t="n"/>
      <c r="H683" s="22" t="n"/>
      <c r="I683" s="22" t="n"/>
      <c r="J683" s="22" t="n"/>
    </row>
    <row r="684">
      <c r="A684" s="34" t="n"/>
      <c r="B684" s="35">
        <f>IF(A684="","",YEAR(A684))</f>
        <v/>
      </c>
      <c r="C684" s="36">
        <f>IF(A684="","",MONTH(A684))</f>
        <v/>
      </c>
      <c r="D684" s="18" t="n"/>
      <c r="E684" s="18" t="n"/>
      <c r="F684" s="18" t="n"/>
      <c r="G684" s="18" t="n"/>
      <c r="H684" s="18" t="n"/>
      <c r="I684" s="18" t="n"/>
      <c r="J684" s="18" t="n"/>
    </row>
    <row r="685">
      <c r="A685" s="41" t="n"/>
      <c r="B685" s="35">
        <f>IF(A685="","",YEAR(A685))</f>
        <v/>
      </c>
      <c r="C685" s="36">
        <f>IF(A685="","",MONTH(A685))</f>
        <v/>
      </c>
      <c r="D685" s="22" t="n"/>
      <c r="E685" s="22" t="n"/>
      <c r="F685" s="22" t="n"/>
      <c r="G685" s="22" t="n"/>
      <c r="H685" s="22" t="n"/>
      <c r="I685" s="22" t="n"/>
      <c r="J685" s="22" t="n"/>
    </row>
    <row r="686">
      <c r="A686" s="34" t="n"/>
      <c r="B686" s="35">
        <f>IF(A686="","",YEAR(A686))</f>
        <v/>
      </c>
      <c r="C686" s="36">
        <f>IF(A686="","",MONTH(A686))</f>
        <v/>
      </c>
      <c r="D686" s="18" t="n"/>
      <c r="E686" s="18" t="n"/>
      <c r="F686" s="18" t="n"/>
      <c r="G686" s="18" t="n"/>
      <c r="H686" s="18" t="n"/>
      <c r="I686" s="18" t="n"/>
      <c r="J686" s="18" t="n"/>
    </row>
    <row r="687">
      <c r="A687" s="41" t="n"/>
      <c r="B687" s="35">
        <f>IF(A687="","",YEAR(A687))</f>
        <v/>
      </c>
      <c r="C687" s="36">
        <f>IF(A687="","",MONTH(A687))</f>
        <v/>
      </c>
      <c r="D687" s="22" t="n"/>
      <c r="E687" s="22" t="n"/>
      <c r="F687" s="22" t="n"/>
      <c r="G687" s="22" t="n"/>
      <c r="H687" s="22" t="n"/>
      <c r="I687" s="22" t="n"/>
      <c r="J687" s="22" t="n"/>
    </row>
    <row r="688">
      <c r="A688" s="34" t="n"/>
      <c r="B688" s="35">
        <f>IF(A688="","",YEAR(A688))</f>
        <v/>
      </c>
      <c r="C688" s="36">
        <f>IF(A688="","",MONTH(A688))</f>
        <v/>
      </c>
      <c r="D688" s="18" t="n"/>
      <c r="E688" s="18" t="n"/>
      <c r="F688" s="18" t="n"/>
      <c r="G688" s="18" t="n"/>
      <c r="H688" s="18" t="n"/>
      <c r="I688" s="18" t="n"/>
      <c r="J688" s="18" t="n"/>
    </row>
    <row r="689">
      <c r="A689" s="41" t="n"/>
      <c r="B689" s="35">
        <f>IF(A689="","",YEAR(A689))</f>
        <v/>
      </c>
      <c r="C689" s="36">
        <f>IF(A689="","",MONTH(A689))</f>
        <v/>
      </c>
      <c r="D689" s="22" t="n"/>
      <c r="E689" s="22" t="n"/>
      <c r="F689" s="22" t="n"/>
      <c r="G689" s="22" t="n"/>
      <c r="H689" s="22" t="n"/>
      <c r="I689" s="22" t="n"/>
      <c r="J689" s="22" t="n"/>
    </row>
    <row r="690">
      <c r="A690" s="34" t="n"/>
      <c r="B690" s="35">
        <f>IF(A690="","",YEAR(A690))</f>
        <v/>
      </c>
      <c r="C690" s="36">
        <f>IF(A690="","",MONTH(A690))</f>
        <v/>
      </c>
      <c r="D690" s="18" t="n"/>
      <c r="E690" s="18" t="n"/>
      <c r="F690" s="18" t="n"/>
      <c r="G690" s="18" t="n"/>
      <c r="H690" s="18" t="n"/>
      <c r="I690" s="18" t="n"/>
      <c r="J690" s="18" t="n"/>
    </row>
    <row r="691">
      <c r="A691" s="41" t="n"/>
      <c r="B691" s="35">
        <f>IF(A691="","",YEAR(A691))</f>
        <v/>
      </c>
      <c r="C691" s="36">
        <f>IF(A691="","",MONTH(A691))</f>
        <v/>
      </c>
      <c r="D691" s="22" t="n"/>
      <c r="E691" s="22" t="n"/>
      <c r="F691" s="22" t="n"/>
      <c r="G691" s="22" t="n"/>
      <c r="H691" s="22" t="n"/>
      <c r="I691" s="22" t="n"/>
      <c r="J691" s="22" t="n"/>
    </row>
    <row r="692">
      <c r="A692" s="34" t="n"/>
      <c r="B692" s="35">
        <f>IF(A692="","",YEAR(A692))</f>
        <v/>
      </c>
      <c r="C692" s="36">
        <f>IF(A692="","",MONTH(A692))</f>
        <v/>
      </c>
      <c r="D692" s="18" t="n"/>
      <c r="E692" s="18" t="n"/>
      <c r="F692" s="18" t="n"/>
      <c r="G692" s="18" t="n"/>
      <c r="H692" s="18" t="n"/>
      <c r="I692" s="18" t="n"/>
      <c r="J692" s="18" t="n"/>
    </row>
    <row r="693">
      <c r="A693" s="41" t="n"/>
      <c r="B693" s="35">
        <f>IF(A693="","",YEAR(A693))</f>
        <v/>
      </c>
      <c r="C693" s="36">
        <f>IF(A693="","",MONTH(A693))</f>
        <v/>
      </c>
      <c r="D693" s="22" t="n"/>
      <c r="E693" s="22" t="n"/>
      <c r="F693" s="22" t="n"/>
      <c r="G693" s="22" t="n"/>
      <c r="H693" s="22" t="n"/>
      <c r="I693" s="22" t="n"/>
      <c r="J693" s="22" t="n"/>
    </row>
    <row r="694">
      <c r="A694" s="34" t="n"/>
      <c r="B694" s="35">
        <f>IF(A694="","",YEAR(A694))</f>
        <v/>
      </c>
      <c r="C694" s="36">
        <f>IF(A694="","",MONTH(A694))</f>
        <v/>
      </c>
      <c r="D694" s="18" t="n"/>
      <c r="E694" s="18" t="n"/>
      <c r="F694" s="18" t="n"/>
      <c r="G694" s="18" t="n"/>
      <c r="H694" s="18" t="n"/>
      <c r="I694" s="18" t="n"/>
      <c r="J694" s="18" t="n"/>
    </row>
    <row r="695">
      <c r="A695" s="41" t="n"/>
      <c r="B695" s="35">
        <f>IF(A695="","",YEAR(A695))</f>
        <v/>
      </c>
      <c r="C695" s="36">
        <f>IF(A695="","",MONTH(A695))</f>
        <v/>
      </c>
      <c r="D695" s="22" t="n"/>
      <c r="E695" s="22" t="n"/>
      <c r="F695" s="22" t="n"/>
      <c r="G695" s="22" t="n"/>
      <c r="H695" s="22" t="n"/>
      <c r="I695" s="22" t="n"/>
      <c r="J695" s="22" t="n"/>
    </row>
    <row r="696">
      <c r="A696" s="34" t="n"/>
      <c r="B696" s="35">
        <f>IF(A696="","",YEAR(A696))</f>
        <v/>
      </c>
      <c r="C696" s="36">
        <f>IF(A696="","",MONTH(A696))</f>
        <v/>
      </c>
      <c r="D696" s="18" t="n"/>
      <c r="E696" s="18" t="n"/>
      <c r="F696" s="18" t="n"/>
      <c r="G696" s="18" t="n"/>
      <c r="H696" s="18" t="n"/>
      <c r="I696" s="18" t="n"/>
      <c r="J696" s="18" t="n"/>
    </row>
    <row r="697">
      <c r="A697" s="41" t="n"/>
      <c r="B697" s="35">
        <f>IF(A697="","",YEAR(A697))</f>
        <v/>
      </c>
      <c r="C697" s="36">
        <f>IF(A697="","",MONTH(A697))</f>
        <v/>
      </c>
      <c r="D697" s="22" t="n"/>
      <c r="E697" s="22" t="n"/>
      <c r="F697" s="22" t="n"/>
      <c r="G697" s="22" t="n"/>
      <c r="H697" s="22" t="n"/>
      <c r="I697" s="22" t="n"/>
      <c r="J697" s="22" t="n"/>
    </row>
    <row r="698">
      <c r="A698" s="34" t="n"/>
      <c r="B698" s="35">
        <f>IF(A698="","",YEAR(A698))</f>
        <v/>
      </c>
      <c r="C698" s="36">
        <f>IF(A698="","",MONTH(A698))</f>
        <v/>
      </c>
      <c r="D698" s="18" t="n"/>
      <c r="E698" s="18" t="n"/>
      <c r="F698" s="18" t="n"/>
      <c r="G698" s="18" t="n"/>
      <c r="H698" s="18" t="n"/>
      <c r="I698" s="18" t="n"/>
      <c r="J698" s="18" t="n"/>
    </row>
    <row r="699">
      <c r="A699" s="41" t="n"/>
      <c r="B699" s="35">
        <f>IF(A699="","",YEAR(A699))</f>
        <v/>
      </c>
      <c r="C699" s="36">
        <f>IF(A699="","",MONTH(A699))</f>
        <v/>
      </c>
      <c r="D699" s="22" t="n"/>
      <c r="E699" s="22" t="n"/>
      <c r="F699" s="22" t="n"/>
      <c r="G699" s="22" t="n"/>
      <c r="H699" s="22" t="n"/>
      <c r="I699" s="22" t="n"/>
      <c r="J699" s="22" t="n"/>
    </row>
    <row r="700">
      <c r="A700" s="34" t="n"/>
      <c r="B700" s="35">
        <f>IF(A700="","",YEAR(A700))</f>
        <v/>
      </c>
      <c r="C700" s="36">
        <f>IF(A700="","",MONTH(A700))</f>
        <v/>
      </c>
      <c r="D700" s="18" t="n"/>
      <c r="E700" s="18" t="n"/>
      <c r="F700" s="18" t="n"/>
      <c r="G700" s="18" t="n"/>
      <c r="H700" s="18" t="n"/>
      <c r="I700" s="18" t="n"/>
      <c r="J700" s="18" t="n"/>
    </row>
    <row r="701">
      <c r="A701" s="41" t="n"/>
      <c r="B701" s="35">
        <f>IF(A701="","",YEAR(A701))</f>
        <v/>
      </c>
      <c r="C701" s="36">
        <f>IF(A701="","",MONTH(A701))</f>
        <v/>
      </c>
      <c r="D701" s="22" t="n"/>
      <c r="E701" s="22" t="n"/>
      <c r="F701" s="22" t="n"/>
      <c r="G701" s="22" t="n"/>
      <c r="H701" s="22" t="n"/>
      <c r="I701" s="22" t="n"/>
      <c r="J701" s="22" t="n"/>
    </row>
    <row r="702">
      <c r="A702" s="34" t="n"/>
      <c r="B702" s="35">
        <f>IF(A702="","",YEAR(A702))</f>
        <v/>
      </c>
      <c r="C702" s="36">
        <f>IF(A702="","",MONTH(A702))</f>
        <v/>
      </c>
      <c r="D702" s="18" t="n"/>
      <c r="E702" s="18" t="n"/>
      <c r="F702" s="18" t="n"/>
      <c r="G702" s="18" t="n"/>
      <c r="H702" s="18" t="n"/>
      <c r="I702" s="18" t="n"/>
      <c r="J702" s="18" t="n"/>
    </row>
    <row r="703">
      <c r="A703" s="41" t="n"/>
      <c r="B703" s="35">
        <f>IF(A703="","",YEAR(A703))</f>
        <v/>
      </c>
      <c r="C703" s="36">
        <f>IF(A703="","",MONTH(A703))</f>
        <v/>
      </c>
      <c r="D703" s="22" t="n"/>
      <c r="E703" s="22" t="n"/>
      <c r="F703" s="22" t="n"/>
      <c r="G703" s="22" t="n"/>
      <c r="H703" s="22" t="n"/>
      <c r="I703" s="22" t="n"/>
      <c r="J703" s="22" t="n"/>
    </row>
    <row r="704">
      <c r="A704" s="34" t="n"/>
      <c r="B704" s="35">
        <f>IF(A704="","",YEAR(A704))</f>
        <v/>
      </c>
      <c r="C704" s="36">
        <f>IF(A704="","",MONTH(A704))</f>
        <v/>
      </c>
      <c r="D704" s="18" t="n"/>
      <c r="E704" s="18" t="n"/>
      <c r="F704" s="18" t="n"/>
      <c r="G704" s="18" t="n"/>
      <c r="H704" s="18" t="n"/>
      <c r="I704" s="18" t="n"/>
      <c r="J704" s="18" t="n"/>
    </row>
    <row r="705">
      <c r="A705" s="41" t="n"/>
      <c r="B705" s="35">
        <f>IF(A705="","",YEAR(A705))</f>
        <v/>
      </c>
      <c r="C705" s="36">
        <f>IF(A705="","",MONTH(A705))</f>
        <v/>
      </c>
      <c r="D705" s="22" t="n"/>
      <c r="E705" s="22" t="n"/>
      <c r="F705" s="22" t="n"/>
      <c r="G705" s="22" t="n"/>
      <c r="H705" s="22" t="n"/>
      <c r="I705" s="22" t="n"/>
      <c r="J705" s="22" t="n"/>
    </row>
    <row r="706">
      <c r="A706" s="34" t="n"/>
      <c r="B706" s="35">
        <f>IF(A706="","",YEAR(A706))</f>
        <v/>
      </c>
      <c r="C706" s="36">
        <f>IF(A706="","",MONTH(A706))</f>
        <v/>
      </c>
      <c r="D706" s="18" t="n"/>
      <c r="E706" s="18" t="n"/>
      <c r="F706" s="18" t="n"/>
      <c r="G706" s="18" t="n"/>
      <c r="H706" s="18" t="n"/>
      <c r="I706" s="18" t="n"/>
      <c r="J706" s="18" t="n"/>
    </row>
    <row r="707">
      <c r="A707" s="41" t="n"/>
      <c r="B707" s="35">
        <f>IF(A707="","",YEAR(A707))</f>
        <v/>
      </c>
      <c r="C707" s="36">
        <f>IF(A707="","",MONTH(A707))</f>
        <v/>
      </c>
      <c r="D707" s="22" t="n"/>
      <c r="E707" s="22" t="n"/>
      <c r="F707" s="22" t="n"/>
      <c r="G707" s="22" t="n"/>
      <c r="H707" s="22" t="n"/>
      <c r="I707" s="22" t="n"/>
      <c r="J707" s="22" t="n"/>
    </row>
    <row r="708">
      <c r="A708" s="34" t="n"/>
      <c r="B708" s="35">
        <f>IF(A708="","",YEAR(A708))</f>
        <v/>
      </c>
      <c r="C708" s="36">
        <f>IF(A708="","",MONTH(A708))</f>
        <v/>
      </c>
      <c r="D708" s="18" t="n"/>
      <c r="E708" s="18" t="n"/>
      <c r="F708" s="18" t="n"/>
      <c r="G708" s="18" t="n"/>
      <c r="H708" s="18" t="n"/>
      <c r="I708" s="18" t="n"/>
      <c r="J708" s="18" t="n"/>
    </row>
    <row r="709">
      <c r="A709" s="41" t="n"/>
      <c r="B709" s="35">
        <f>IF(A709="","",YEAR(A709))</f>
        <v/>
      </c>
      <c r="C709" s="36">
        <f>IF(A709="","",MONTH(A709))</f>
        <v/>
      </c>
      <c r="D709" s="22" t="n"/>
      <c r="E709" s="22" t="n"/>
      <c r="F709" s="22" t="n"/>
      <c r="G709" s="22" t="n"/>
      <c r="H709" s="22" t="n"/>
      <c r="I709" s="22" t="n"/>
      <c r="J709" s="22" t="n"/>
    </row>
    <row r="710">
      <c r="A710" s="34" t="n"/>
      <c r="B710" s="35">
        <f>IF(A710="","",YEAR(A710))</f>
        <v/>
      </c>
      <c r="C710" s="36">
        <f>IF(A710="","",MONTH(A710))</f>
        <v/>
      </c>
      <c r="D710" s="18" t="n"/>
      <c r="E710" s="18" t="n"/>
      <c r="F710" s="18" t="n"/>
      <c r="G710" s="18" t="n"/>
      <c r="H710" s="18" t="n"/>
      <c r="I710" s="18" t="n"/>
      <c r="J710" s="18" t="n"/>
    </row>
    <row r="711">
      <c r="A711" s="41" t="n"/>
      <c r="B711" s="35">
        <f>IF(A711="","",YEAR(A711))</f>
        <v/>
      </c>
      <c r="C711" s="36">
        <f>IF(A711="","",MONTH(A711))</f>
        <v/>
      </c>
      <c r="D711" s="22" t="n"/>
      <c r="E711" s="22" t="n"/>
      <c r="F711" s="22" t="n"/>
      <c r="G711" s="22" t="n"/>
      <c r="H711" s="22" t="n"/>
      <c r="I711" s="22" t="n"/>
      <c r="J711" s="22" t="n"/>
    </row>
    <row r="712">
      <c r="A712" s="34" t="n"/>
      <c r="B712" s="35">
        <f>IF(A712="","",YEAR(A712))</f>
        <v/>
      </c>
      <c r="C712" s="36">
        <f>IF(A712="","",MONTH(A712))</f>
        <v/>
      </c>
      <c r="D712" s="18" t="n"/>
      <c r="E712" s="18" t="n"/>
      <c r="F712" s="18" t="n"/>
      <c r="G712" s="18" t="n"/>
      <c r="H712" s="18" t="n"/>
      <c r="I712" s="18" t="n"/>
      <c r="J712" s="18" t="n"/>
    </row>
    <row r="713">
      <c r="A713" s="41" t="n"/>
      <c r="B713" s="35">
        <f>IF(A713="","",YEAR(A713))</f>
        <v/>
      </c>
      <c r="C713" s="36">
        <f>IF(A713="","",MONTH(A713))</f>
        <v/>
      </c>
      <c r="D713" s="22" t="n"/>
      <c r="E713" s="22" t="n"/>
      <c r="F713" s="22" t="n"/>
      <c r="G713" s="22" t="n"/>
      <c r="H713" s="22" t="n"/>
      <c r="I713" s="22" t="n"/>
      <c r="J713" s="22" t="n"/>
    </row>
    <row r="714">
      <c r="A714" s="34" t="n"/>
      <c r="B714" s="35">
        <f>IF(A714="","",YEAR(A714))</f>
        <v/>
      </c>
      <c r="C714" s="36">
        <f>IF(A714="","",MONTH(A714))</f>
        <v/>
      </c>
      <c r="D714" s="18" t="n"/>
      <c r="E714" s="18" t="n"/>
      <c r="F714" s="18" t="n"/>
      <c r="G714" s="18" t="n"/>
      <c r="H714" s="18" t="n"/>
      <c r="I714" s="18" t="n"/>
      <c r="J714" s="18" t="n"/>
    </row>
    <row r="715">
      <c r="A715" s="41" t="n"/>
      <c r="B715" s="35">
        <f>IF(A715="","",YEAR(A715))</f>
        <v/>
      </c>
      <c r="C715" s="36">
        <f>IF(A715="","",MONTH(A715))</f>
        <v/>
      </c>
      <c r="D715" s="22" t="n"/>
      <c r="E715" s="22" t="n"/>
      <c r="F715" s="22" t="n"/>
      <c r="G715" s="22" t="n"/>
      <c r="H715" s="22" t="n"/>
      <c r="I715" s="22" t="n"/>
      <c r="J715" s="22" t="n"/>
    </row>
    <row r="716">
      <c r="A716" s="34" t="n"/>
      <c r="B716" s="35">
        <f>IF(A716="","",YEAR(A716))</f>
        <v/>
      </c>
      <c r="C716" s="36">
        <f>IF(A716="","",MONTH(A716))</f>
        <v/>
      </c>
      <c r="D716" s="18" t="n"/>
      <c r="E716" s="18" t="n"/>
      <c r="F716" s="18" t="n"/>
      <c r="G716" s="18" t="n"/>
      <c r="H716" s="18" t="n"/>
      <c r="I716" s="18" t="n"/>
      <c r="J716" s="18" t="n"/>
    </row>
    <row r="717">
      <c r="A717" s="41" t="n"/>
      <c r="B717" s="35">
        <f>IF(A717="","",YEAR(A717))</f>
        <v/>
      </c>
      <c r="C717" s="36">
        <f>IF(A717="","",MONTH(A717))</f>
        <v/>
      </c>
      <c r="D717" s="22" t="n"/>
      <c r="E717" s="22" t="n"/>
      <c r="F717" s="22" t="n"/>
      <c r="G717" s="22" t="n"/>
      <c r="H717" s="22" t="n"/>
      <c r="I717" s="22" t="n"/>
      <c r="J717" s="22" t="n"/>
    </row>
    <row r="718">
      <c r="A718" s="34" t="n"/>
      <c r="B718" s="35">
        <f>IF(A718="","",YEAR(A718))</f>
        <v/>
      </c>
      <c r="C718" s="36">
        <f>IF(A718="","",MONTH(A718))</f>
        <v/>
      </c>
      <c r="D718" s="18" t="n"/>
      <c r="E718" s="18" t="n"/>
      <c r="F718" s="18" t="n"/>
      <c r="G718" s="18" t="n"/>
      <c r="H718" s="18" t="n"/>
      <c r="I718" s="18" t="n"/>
      <c r="J718" s="18" t="n"/>
    </row>
    <row r="719">
      <c r="A719" s="41" t="n"/>
      <c r="B719" s="35">
        <f>IF(A719="","",YEAR(A719))</f>
        <v/>
      </c>
      <c r="C719" s="36">
        <f>IF(A719="","",MONTH(A719))</f>
        <v/>
      </c>
      <c r="D719" s="22" t="n"/>
      <c r="E719" s="22" t="n"/>
      <c r="F719" s="22" t="n"/>
      <c r="G719" s="22" t="n"/>
      <c r="H719" s="22" t="n"/>
      <c r="I719" s="22" t="n"/>
      <c r="J719" s="22" t="n"/>
    </row>
    <row r="720">
      <c r="A720" s="34" t="n"/>
      <c r="B720" s="35">
        <f>IF(A720="","",YEAR(A720))</f>
        <v/>
      </c>
      <c r="C720" s="36">
        <f>IF(A720="","",MONTH(A720))</f>
        <v/>
      </c>
      <c r="D720" s="18" t="n"/>
      <c r="E720" s="18" t="n"/>
      <c r="F720" s="18" t="n"/>
      <c r="G720" s="18" t="n"/>
      <c r="H720" s="18" t="n"/>
      <c r="I720" s="18" t="n"/>
      <c r="J720" s="18" t="n"/>
    </row>
    <row r="721">
      <c r="A721" s="41" t="n"/>
      <c r="B721" s="35">
        <f>IF(A721="","",YEAR(A721))</f>
        <v/>
      </c>
      <c r="C721" s="36">
        <f>IF(A721="","",MONTH(A721))</f>
        <v/>
      </c>
      <c r="D721" s="22" t="n"/>
      <c r="E721" s="22" t="n"/>
      <c r="F721" s="22" t="n"/>
      <c r="G721" s="22" t="n"/>
      <c r="H721" s="22" t="n"/>
      <c r="I721" s="22" t="n"/>
      <c r="J721" s="22" t="n"/>
    </row>
    <row r="722">
      <c r="A722" s="34" t="n"/>
      <c r="B722" s="35">
        <f>IF(A722="","",YEAR(A722))</f>
        <v/>
      </c>
      <c r="C722" s="36">
        <f>IF(A722="","",MONTH(A722))</f>
        <v/>
      </c>
      <c r="D722" s="18" t="n"/>
      <c r="E722" s="18" t="n"/>
      <c r="F722" s="18" t="n"/>
      <c r="G722" s="18" t="n"/>
      <c r="H722" s="18" t="n"/>
      <c r="I722" s="18" t="n"/>
      <c r="J722" s="18" t="n"/>
    </row>
    <row r="723">
      <c r="A723" s="41" t="n"/>
      <c r="B723" s="35">
        <f>IF(A723="","",YEAR(A723))</f>
        <v/>
      </c>
      <c r="C723" s="36">
        <f>IF(A723="","",MONTH(A723))</f>
        <v/>
      </c>
      <c r="D723" s="22" t="n"/>
      <c r="E723" s="22" t="n"/>
      <c r="F723" s="22" t="n"/>
      <c r="G723" s="22" t="n"/>
      <c r="H723" s="22" t="n"/>
      <c r="I723" s="22" t="n"/>
      <c r="J723" s="22" t="n"/>
    </row>
    <row r="724">
      <c r="A724" s="34" t="n"/>
      <c r="B724" s="35">
        <f>IF(A724="","",YEAR(A724))</f>
        <v/>
      </c>
      <c r="C724" s="36">
        <f>IF(A724="","",MONTH(A724))</f>
        <v/>
      </c>
      <c r="D724" s="18" t="n"/>
      <c r="E724" s="18" t="n"/>
      <c r="F724" s="18" t="n"/>
      <c r="G724" s="18" t="n"/>
      <c r="H724" s="18" t="n"/>
      <c r="I724" s="18" t="n"/>
      <c r="J724" s="18" t="n"/>
    </row>
    <row r="725">
      <c r="A725" s="41" t="n"/>
      <c r="B725" s="35">
        <f>IF(A725="","",YEAR(A725))</f>
        <v/>
      </c>
      <c r="C725" s="36">
        <f>IF(A725="","",MONTH(A725))</f>
        <v/>
      </c>
      <c r="D725" s="22" t="n"/>
      <c r="E725" s="22" t="n"/>
      <c r="F725" s="22" t="n"/>
      <c r="G725" s="22" t="n"/>
      <c r="H725" s="22" t="n"/>
      <c r="I725" s="22" t="n"/>
      <c r="J725" s="22" t="n"/>
    </row>
    <row r="726">
      <c r="A726" s="34" t="n"/>
      <c r="B726" s="35">
        <f>IF(A726="","",YEAR(A726))</f>
        <v/>
      </c>
      <c r="C726" s="36">
        <f>IF(A726="","",MONTH(A726))</f>
        <v/>
      </c>
      <c r="D726" s="18" t="n"/>
      <c r="E726" s="18" t="n"/>
      <c r="F726" s="18" t="n"/>
      <c r="G726" s="18" t="n"/>
      <c r="H726" s="18" t="n"/>
      <c r="I726" s="18" t="n"/>
      <c r="J726" s="18" t="n"/>
    </row>
    <row r="727">
      <c r="A727" s="41" t="n"/>
      <c r="B727" s="35">
        <f>IF(A727="","",YEAR(A727))</f>
        <v/>
      </c>
      <c r="C727" s="36">
        <f>IF(A727="","",MONTH(A727))</f>
        <v/>
      </c>
      <c r="D727" s="22" t="n"/>
      <c r="E727" s="22" t="n"/>
      <c r="F727" s="22" t="n"/>
      <c r="G727" s="22" t="n"/>
      <c r="H727" s="22" t="n"/>
      <c r="I727" s="22" t="n"/>
      <c r="J727" s="22" t="n"/>
    </row>
    <row r="728">
      <c r="A728" s="34" t="n"/>
      <c r="B728" s="35">
        <f>IF(A728="","",YEAR(A728))</f>
        <v/>
      </c>
      <c r="C728" s="36">
        <f>IF(A728="","",MONTH(A728))</f>
        <v/>
      </c>
      <c r="D728" s="18" t="n"/>
      <c r="E728" s="18" t="n"/>
      <c r="F728" s="18" t="n"/>
      <c r="G728" s="18" t="n"/>
      <c r="H728" s="18" t="n"/>
      <c r="I728" s="18" t="n"/>
      <c r="J728" s="18" t="n"/>
    </row>
    <row r="729">
      <c r="A729" s="41" t="n"/>
      <c r="B729" s="35">
        <f>IF(A729="","",YEAR(A729))</f>
        <v/>
      </c>
      <c r="C729" s="36">
        <f>IF(A729="","",MONTH(A729))</f>
        <v/>
      </c>
      <c r="D729" s="22" t="n"/>
      <c r="E729" s="22" t="n"/>
      <c r="F729" s="22" t="n"/>
      <c r="G729" s="22" t="n"/>
      <c r="H729" s="22" t="n"/>
      <c r="I729" s="22" t="n"/>
      <c r="J729" s="22" t="n"/>
    </row>
    <row r="730">
      <c r="A730" s="34" t="n"/>
      <c r="B730" s="35">
        <f>IF(A730="","",YEAR(A730))</f>
        <v/>
      </c>
      <c r="C730" s="36">
        <f>IF(A730="","",MONTH(A730))</f>
        <v/>
      </c>
      <c r="D730" s="18" t="n"/>
      <c r="E730" s="18" t="n"/>
      <c r="F730" s="18" t="n"/>
      <c r="G730" s="18" t="n"/>
      <c r="H730" s="18" t="n"/>
      <c r="I730" s="18" t="n"/>
      <c r="J730" s="18" t="n"/>
    </row>
    <row r="731">
      <c r="A731" s="41" t="n"/>
      <c r="B731" s="35">
        <f>IF(A731="","",YEAR(A731))</f>
        <v/>
      </c>
      <c r="C731" s="36">
        <f>IF(A731="","",MONTH(A731))</f>
        <v/>
      </c>
      <c r="D731" s="22" t="n"/>
      <c r="E731" s="22" t="n"/>
      <c r="F731" s="22" t="n"/>
      <c r="G731" s="22" t="n"/>
      <c r="H731" s="22" t="n"/>
      <c r="I731" s="22" t="n"/>
      <c r="J731" s="22" t="n"/>
    </row>
    <row r="732">
      <c r="A732" s="34" t="n"/>
      <c r="B732" s="35">
        <f>IF(A732="","",YEAR(A732))</f>
        <v/>
      </c>
      <c r="C732" s="36">
        <f>IF(A732="","",MONTH(A732))</f>
        <v/>
      </c>
      <c r="D732" s="18" t="n"/>
      <c r="E732" s="18" t="n"/>
      <c r="F732" s="18" t="n"/>
      <c r="G732" s="18" t="n"/>
      <c r="H732" s="18" t="n"/>
      <c r="I732" s="18" t="n"/>
      <c r="J732" s="18" t="n"/>
    </row>
    <row r="733">
      <c r="A733" s="41" t="n"/>
      <c r="B733" s="35">
        <f>IF(A733="","",YEAR(A733))</f>
        <v/>
      </c>
      <c r="C733" s="36">
        <f>IF(A733="","",MONTH(A733))</f>
        <v/>
      </c>
      <c r="D733" s="22" t="n"/>
      <c r="E733" s="22" t="n"/>
      <c r="F733" s="22" t="n"/>
      <c r="G733" s="22" t="n"/>
      <c r="H733" s="22" t="n"/>
      <c r="I733" s="22" t="n"/>
      <c r="J733" s="22" t="n"/>
    </row>
    <row r="734">
      <c r="A734" s="34" t="n"/>
      <c r="B734" s="35">
        <f>IF(A734="","",YEAR(A734))</f>
        <v/>
      </c>
      <c r="C734" s="36">
        <f>IF(A734="","",MONTH(A734))</f>
        <v/>
      </c>
      <c r="D734" s="18" t="n"/>
      <c r="E734" s="18" t="n"/>
      <c r="F734" s="18" t="n"/>
      <c r="G734" s="18" t="n"/>
      <c r="H734" s="18" t="n"/>
      <c r="I734" s="18" t="n"/>
      <c r="J734" s="18" t="n"/>
    </row>
    <row r="735">
      <c r="A735" s="41" t="n"/>
      <c r="B735" s="35">
        <f>IF(A735="","",YEAR(A735))</f>
        <v/>
      </c>
      <c r="C735" s="36">
        <f>IF(A735="","",MONTH(A735))</f>
        <v/>
      </c>
      <c r="D735" s="22" t="n"/>
      <c r="E735" s="22" t="n"/>
      <c r="F735" s="22" t="n"/>
      <c r="G735" s="22" t="n"/>
      <c r="H735" s="22" t="n"/>
      <c r="I735" s="22" t="n"/>
      <c r="J735" s="22" t="n"/>
    </row>
    <row r="736">
      <c r="A736" s="34" t="n"/>
      <c r="B736" s="35">
        <f>IF(A736="","",YEAR(A736))</f>
        <v/>
      </c>
      <c r="C736" s="36">
        <f>IF(A736="","",MONTH(A736))</f>
        <v/>
      </c>
      <c r="D736" s="18" t="n"/>
      <c r="E736" s="18" t="n"/>
      <c r="F736" s="18" t="n"/>
      <c r="G736" s="18" t="n"/>
      <c r="H736" s="18" t="n"/>
      <c r="I736" s="18" t="n"/>
      <c r="J736" s="18" t="n"/>
    </row>
    <row r="737">
      <c r="A737" s="41" t="n"/>
      <c r="B737" s="35">
        <f>IF(A737="","",YEAR(A737))</f>
        <v/>
      </c>
      <c r="C737" s="36">
        <f>IF(A737="","",MONTH(A737))</f>
        <v/>
      </c>
      <c r="D737" s="22" t="n"/>
      <c r="E737" s="22" t="n"/>
      <c r="F737" s="22" t="n"/>
      <c r="G737" s="22" t="n"/>
      <c r="H737" s="22" t="n"/>
      <c r="I737" s="22" t="n"/>
      <c r="J737" s="22" t="n"/>
    </row>
    <row r="738">
      <c r="A738" s="34" t="n"/>
      <c r="B738" s="35">
        <f>IF(A738="","",YEAR(A738))</f>
        <v/>
      </c>
      <c r="C738" s="36">
        <f>IF(A738="","",MONTH(A738))</f>
        <v/>
      </c>
      <c r="D738" s="18" t="n"/>
      <c r="E738" s="18" t="n"/>
      <c r="F738" s="18" t="n"/>
      <c r="G738" s="18" t="n"/>
      <c r="H738" s="18" t="n"/>
      <c r="I738" s="18" t="n"/>
      <c r="J738" s="18" t="n"/>
    </row>
    <row r="739">
      <c r="A739" s="41" t="n"/>
      <c r="B739" s="35">
        <f>IF(A739="","",YEAR(A739))</f>
        <v/>
      </c>
      <c r="C739" s="36">
        <f>IF(A739="","",MONTH(A739))</f>
        <v/>
      </c>
      <c r="D739" s="22" t="n"/>
      <c r="E739" s="22" t="n"/>
      <c r="F739" s="22" t="n"/>
      <c r="G739" s="22" t="n"/>
      <c r="H739" s="22" t="n"/>
      <c r="I739" s="22" t="n"/>
      <c r="J739" s="22" t="n"/>
    </row>
    <row r="740">
      <c r="A740" s="34" t="n"/>
      <c r="B740" s="35">
        <f>IF(A740="","",YEAR(A740))</f>
        <v/>
      </c>
      <c r="C740" s="36">
        <f>IF(A740="","",MONTH(A740))</f>
        <v/>
      </c>
      <c r="D740" s="18" t="n"/>
      <c r="E740" s="18" t="n"/>
      <c r="F740" s="18" t="n"/>
      <c r="G740" s="18" t="n"/>
      <c r="H740" s="18" t="n"/>
      <c r="I740" s="18" t="n"/>
      <c r="J740" s="18" t="n"/>
    </row>
    <row r="741">
      <c r="A741" s="41" t="n"/>
      <c r="B741" s="35">
        <f>IF(A741="","",YEAR(A741))</f>
        <v/>
      </c>
      <c r="C741" s="36">
        <f>IF(A741="","",MONTH(A741))</f>
        <v/>
      </c>
      <c r="D741" s="22" t="n"/>
      <c r="E741" s="22" t="n"/>
      <c r="F741" s="22" t="n"/>
      <c r="G741" s="22" t="n"/>
      <c r="H741" s="22" t="n"/>
      <c r="I741" s="22" t="n"/>
      <c r="J741" s="22" t="n"/>
    </row>
    <row r="742">
      <c r="A742" s="34" t="n"/>
      <c r="B742" s="35">
        <f>IF(A742="","",YEAR(A742))</f>
        <v/>
      </c>
      <c r="C742" s="36">
        <f>IF(A742="","",MONTH(A742))</f>
        <v/>
      </c>
      <c r="D742" s="18" t="n"/>
      <c r="E742" s="18" t="n"/>
      <c r="F742" s="18" t="n"/>
      <c r="G742" s="18" t="n"/>
      <c r="H742" s="18" t="n"/>
      <c r="I742" s="18" t="n"/>
      <c r="J742" s="18" t="n"/>
    </row>
    <row r="743">
      <c r="A743" s="41" t="n"/>
      <c r="B743" s="35">
        <f>IF(A743="","",YEAR(A743))</f>
        <v/>
      </c>
      <c r="C743" s="36">
        <f>IF(A743="","",MONTH(A743))</f>
        <v/>
      </c>
      <c r="D743" s="22" t="n"/>
      <c r="E743" s="22" t="n"/>
      <c r="F743" s="22" t="n"/>
      <c r="G743" s="22" t="n"/>
      <c r="H743" s="22" t="n"/>
      <c r="I743" s="22" t="n"/>
      <c r="J743" s="22" t="n"/>
    </row>
    <row r="744">
      <c r="A744" s="34" t="n"/>
      <c r="B744" s="35">
        <f>IF(A744="","",YEAR(A744))</f>
        <v/>
      </c>
      <c r="C744" s="36">
        <f>IF(A744="","",MONTH(A744))</f>
        <v/>
      </c>
      <c r="D744" s="18" t="n"/>
      <c r="E744" s="18" t="n"/>
      <c r="F744" s="18" t="n"/>
      <c r="G744" s="18" t="n"/>
      <c r="H744" s="18" t="n"/>
      <c r="I744" s="18" t="n"/>
      <c r="J744" s="18" t="n"/>
    </row>
    <row r="745">
      <c r="A745" s="41" t="n"/>
      <c r="B745" s="35">
        <f>IF(A745="","",YEAR(A745))</f>
        <v/>
      </c>
      <c r="C745" s="36">
        <f>IF(A745="","",MONTH(A745))</f>
        <v/>
      </c>
      <c r="D745" s="22" t="n"/>
      <c r="E745" s="22" t="n"/>
      <c r="F745" s="22" t="n"/>
      <c r="G745" s="22" t="n"/>
      <c r="H745" s="22" t="n"/>
      <c r="I745" s="22" t="n"/>
      <c r="J745" s="22" t="n"/>
    </row>
    <row r="746">
      <c r="A746" s="34" t="n"/>
      <c r="B746" s="35">
        <f>IF(A746="","",YEAR(A746))</f>
        <v/>
      </c>
      <c r="C746" s="36">
        <f>IF(A746="","",MONTH(A746))</f>
        <v/>
      </c>
      <c r="D746" s="18" t="n"/>
      <c r="E746" s="18" t="n"/>
      <c r="F746" s="18" t="n"/>
      <c r="G746" s="18" t="n"/>
      <c r="H746" s="18" t="n"/>
      <c r="I746" s="18" t="n"/>
      <c r="J746" s="18" t="n"/>
    </row>
    <row r="747">
      <c r="A747" s="41" t="n"/>
      <c r="B747" s="35">
        <f>IF(A747="","",YEAR(A747))</f>
        <v/>
      </c>
      <c r="C747" s="36">
        <f>IF(A747="","",MONTH(A747))</f>
        <v/>
      </c>
      <c r="D747" s="22" t="n"/>
      <c r="E747" s="22" t="n"/>
      <c r="F747" s="22" t="n"/>
      <c r="G747" s="22" t="n"/>
      <c r="H747" s="22" t="n"/>
      <c r="I747" s="22" t="n"/>
      <c r="J747" s="22" t="n"/>
    </row>
    <row r="748">
      <c r="A748" s="34" t="n"/>
      <c r="B748" s="35">
        <f>IF(A748="","",YEAR(A748))</f>
        <v/>
      </c>
      <c r="C748" s="36">
        <f>IF(A748="","",MONTH(A748))</f>
        <v/>
      </c>
      <c r="D748" s="18" t="n"/>
      <c r="E748" s="18" t="n"/>
      <c r="F748" s="18" t="n"/>
      <c r="G748" s="18" t="n"/>
      <c r="H748" s="18" t="n"/>
      <c r="I748" s="18" t="n"/>
      <c r="J748" s="18" t="n"/>
    </row>
    <row r="749">
      <c r="A749" s="41" t="n"/>
      <c r="B749" s="35">
        <f>IF(A749="","",YEAR(A749))</f>
        <v/>
      </c>
      <c r="C749" s="36">
        <f>IF(A749="","",MONTH(A749))</f>
        <v/>
      </c>
      <c r="D749" s="22" t="n"/>
      <c r="E749" s="22" t="n"/>
      <c r="F749" s="22" t="n"/>
      <c r="G749" s="22" t="n"/>
      <c r="H749" s="22" t="n"/>
      <c r="I749" s="22" t="n"/>
      <c r="J749" s="22" t="n"/>
    </row>
    <row r="750">
      <c r="A750" s="34" t="n"/>
      <c r="B750" s="35">
        <f>IF(A750="","",YEAR(A750))</f>
        <v/>
      </c>
      <c r="C750" s="36">
        <f>IF(A750="","",MONTH(A750))</f>
        <v/>
      </c>
      <c r="D750" s="18" t="n"/>
      <c r="E750" s="18" t="n"/>
      <c r="F750" s="18" t="n"/>
      <c r="G750" s="18" t="n"/>
      <c r="H750" s="18" t="n"/>
      <c r="I750" s="18" t="n"/>
      <c r="J750" s="18" t="n"/>
    </row>
    <row r="751">
      <c r="A751" s="41" t="n"/>
      <c r="B751" s="35">
        <f>IF(A751="","",YEAR(A751))</f>
        <v/>
      </c>
      <c r="C751" s="36">
        <f>IF(A751="","",MONTH(A751))</f>
        <v/>
      </c>
      <c r="D751" s="22" t="n"/>
      <c r="E751" s="22" t="n"/>
      <c r="F751" s="22" t="n"/>
      <c r="G751" s="22" t="n"/>
      <c r="H751" s="22" t="n"/>
      <c r="I751" s="22" t="n"/>
      <c r="J751" s="22" t="n"/>
    </row>
    <row r="752">
      <c r="A752" s="34" t="n"/>
      <c r="B752" s="35">
        <f>IF(A752="","",YEAR(A752))</f>
        <v/>
      </c>
      <c r="C752" s="36">
        <f>IF(A752="","",MONTH(A752))</f>
        <v/>
      </c>
      <c r="D752" s="18" t="n"/>
      <c r="E752" s="18" t="n"/>
      <c r="F752" s="18" t="n"/>
      <c r="G752" s="18" t="n"/>
      <c r="H752" s="18" t="n"/>
      <c r="I752" s="18" t="n"/>
      <c r="J752" s="18" t="n"/>
    </row>
    <row r="753">
      <c r="A753" s="41" t="n"/>
      <c r="B753" s="35">
        <f>IF(A753="","",YEAR(A753))</f>
        <v/>
      </c>
      <c r="C753" s="36">
        <f>IF(A753="","",MONTH(A753))</f>
        <v/>
      </c>
      <c r="D753" s="22" t="n"/>
      <c r="E753" s="22" t="n"/>
      <c r="F753" s="22" t="n"/>
      <c r="G753" s="22" t="n"/>
      <c r="H753" s="22" t="n"/>
      <c r="I753" s="22" t="n"/>
      <c r="J753" s="22" t="n"/>
    </row>
    <row r="754">
      <c r="A754" s="34" t="n"/>
      <c r="B754" s="35">
        <f>IF(A754="","",YEAR(A754))</f>
        <v/>
      </c>
      <c r="C754" s="36">
        <f>IF(A754="","",MONTH(A754))</f>
        <v/>
      </c>
      <c r="D754" s="18" t="n"/>
      <c r="E754" s="18" t="n"/>
      <c r="F754" s="18" t="n"/>
      <c r="G754" s="18" t="n"/>
      <c r="H754" s="18" t="n"/>
      <c r="I754" s="18" t="n"/>
      <c r="J754" s="18" t="n"/>
    </row>
    <row r="755">
      <c r="A755" s="41" t="n"/>
      <c r="B755" s="35">
        <f>IF(A755="","",YEAR(A755))</f>
        <v/>
      </c>
      <c r="C755" s="36">
        <f>IF(A755="","",MONTH(A755))</f>
        <v/>
      </c>
      <c r="D755" s="22" t="n"/>
      <c r="E755" s="22" t="n"/>
      <c r="F755" s="22" t="n"/>
      <c r="G755" s="22" t="n"/>
      <c r="H755" s="22" t="n"/>
      <c r="I755" s="22" t="n"/>
      <c r="J755" s="22" t="n"/>
    </row>
    <row r="756">
      <c r="A756" s="34" t="n"/>
      <c r="B756" s="35">
        <f>IF(A756="","",YEAR(A756))</f>
        <v/>
      </c>
      <c r="C756" s="36">
        <f>IF(A756="","",MONTH(A756))</f>
        <v/>
      </c>
      <c r="D756" s="18" t="n"/>
      <c r="E756" s="18" t="n"/>
      <c r="F756" s="18" t="n"/>
      <c r="G756" s="18" t="n"/>
      <c r="H756" s="18" t="n"/>
      <c r="I756" s="18" t="n"/>
      <c r="J756" s="18" t="n"/>
    </row>
    <row r="757">
      <c r="A757" s="41" t="n"/>
      <c r="B757" s="35">
        <f>IF(A757="","",YEAR(A757))</f>
        <v/>
      </c>
      <c r="C757" s="36">
        <f>IF(A757="","",MONTH(A757))</f>
        <v/>
      </c>
      <c r="D757" s="22" t="n"/>
      <c r="E757" s="22" t="n"/>
      <c r="F757" s="22" t="n"/>
      <c r="G757" s="22" t="n"/>
      <c r="H757" s="22" t="n"/>
      <c r="I757" s="22" t="n"/>
      <c r="J757" s="22" t="n"/>
    </row>
    <row r="758">
      <c r="A758" s="34" t="n"/>
      <c r="B758" s="35">
        <f>IF(A758="","",YEAR(A758))</f>
        <v/>
      </c>
      <c r="C758" s="36">
        <f>IF(A758="","",MONTH(A758))</f>
        <v/>
      </c>
      <c r="D758" s="18" t="n"/>
      <c r="E758" s="18" t="n"/>
      <c r="F758" s="18" t="n"/>
      <c r="G758" s="18" t="n"/>
      <c r="H758" s="18" t="n"/>
      <c r="I758" s="18" t="n"/>
      <c r="J758" s="18" t="n"/>
    </row>
    <row r="759">
      <c r="A759" s="41" t="n"/>
      <c r="B759" s="35">
        <f>IF(A759="","",YEAR(A759))</f>
        <v/>
      </c>
      <c r="C759" s="36">
        <f>IF(A759="","",MONTH(A759))</f>
        <v/>
      </c>
      <c r="D759" s="22" t="n"/>
      <c r="E759" s="22" t="n"/>
      <c r="F759" s="22" t="n"/>
      <c r="G759" s="22" t="n"/>
      <c r="H759" s="22" t="n"/>
      <c r="I759" s="22" t="n"/>
      <c r="J759" s="22" t="n"/>
    </row>
    <row r="760">
      <c r="A760" s="34" t="n"/>
      <c r="B760" s="35">
        <f>IF(A760="","",YEAR(A760))</f>
        <v/>
      </c>
      <c r="C760" s="36">
        <f>IF(A760="","",MONTH(A760))</f>
        <v/>
      </c>
      <c r="D760" s="18" t="n"/>
      <c r="E760" s="18" t="n"/>
      <c r="F760" s="18" t="n"/>
      <c r="G760" s="18" t="n"/>
      <c r="H760" s="18" t="n"/>
      <c r="I760" s="18" t="n"/>
      <c r="J760" s="18" t="n"/>
    </row>
    <row r="761">
      <c r="A761" s="41" t="n"/>
      <c r="B761" s="35">
        <f>IF(A761="","",YEAR(A761))</f>
        <v/>
      </c>
      <c r="C761" s="36">
        <f>IF(A761="","",MONTH(A761))</f>
        <v/>
      </c>
      <c r="D761" s="22" t="n"/>
      <c r="E761" s="22" t="n"/>
      <c r="F761" s="22" t="n"/>
      <c r="G761" s="22" t="n"/>
      <c r="H761" s="22" t="n"/>
      <c r="I761" s="22" t="n"/>
      <c r="J761" s="22" t="n"/>
    </row>
    <row r="762">
      <c r="A762" s="34" t="n"/>
      <c r="B762" s="35">
        <f>IF(A762="","",YEAR(A762))</f>
        <v/>
      </c>
      <c r="C762" s="36">
        <f>IF(A762="","",MONTH(A762))</f>
        <v/>
      </c>
      <c r="D762" s="18" t="n"/>
      <c r="E762" s="18" t="n"/>
      <c r="F762" s="18" t="n"/>
      <c r="G762" s="18" t="n"/>
      <c r="H762" s="18" t="n"/>
      <c r="I762" s="18" t="n"/>
      <c r="J762" s="18" t="n"/>
    </row>
    <row r="763">
      <c r="A763" s="41" t="n"/>
      <c r="B763" s="35">
        <f>IF(A763="","",YEAR(A763))</f>
        <v/>
      </c>
      <c r="C763" s="36">
        <f>IF(A763="","",MONTH(A763))</f>
        <v/>
      </c>
      <c r="D763" s="22" t="n"/>
      <c r="E763" s="22" t="n"/>
      <c r="F763" s="22" t="n"/>
      <c r="G763" s="22" t="n"/>
      <c r="H763" s="22" t="n"/>
      <c r="I763" s="22" t="n"/>
      <c r="J763" s="22" t="n"/>
    </row>
    <row r="764">
      <c r="A764" s="34" t="n"/>
      <c r="B764" s="35">
        <f>IF(A764="","",YEAR(A764))</f>
        <v/>
      </c>
      <c r="C764" s="36">
        <f>IF(A764="","",MONTH(A764))</f>
        <v/>
      </c>
      <c r="D764" s="18" t="n"/>
      <c r="E764" s="18" t="n"/>
      <c r="F764" s="18" t="n"/>
      <c r="G764" s="18" t="n"/>
      <c r="H764" s="18" t="n"/>
      <c r="I764" s="18" t="n"/>
      <c r="J764" s="18" t="n"/>
    </row>
    <row r="765">
      <c r="A765" s="41" t="n"/>
      <c r="B765" s="35">
        <f>IF(A765="","",YEAR(A765))</f>
        <v/>
      </c>
      <c r="C765" s="36">
        <f>IF(A765="","",MONTH(A765))</f>
        <v/>
      </c>
      <c r="D765" s="22" t="n"/>
      <c r="E765" s="22" t="n"/>
      <c r="F765" s="22" t="n"/>
      <c r="G765" s="22" t="n"/>
      <c r="H765" s="22" t="n"/>
      <c r="I765" s="22" t="n"/>
      <c r="J765" s="22" t="n"/>
    </row>
    <row r="766">
      <c r="A766" s="34" t="n"/>
      <c r="B766" s="35">
        <f>IF(A766="","",YEAR(A766))</f>
        <v/>
      </c>
      <c r="C766" s="36">
        <f>IF(A766="","",MONTH(A766))</f>
        <v/>
      </c>
      <c r="D766" s="18" t="n"/>
      <c r="E766" s="18" t="n"/>
      <c r="F766" s="18" t="n"/>
      <c r="G766" s="18" t="n"/>
      <c r="H766" s="18" t="n"/>
      <c r="I766" s="18" t="n"/>
      <c r="J766" s="18" t="n"/>
    </row>
    <row r="767">
      <c r="A767" s="41" t="n"/>
      <c r="B767" s="35">
        <f>IF(A767="","",YEAR(A767))</f>
        <v/>
      </c>
      <c r="C767" s="36">
        <f>IF(A767="","",MONTH(A767))</f>
        <v/>
      </c>
      <c r="D767" s="22" t="n"/>
      <c r="E767" s="22" t="n"/>
      <c r="F767" s="22" t="n"/>
      <c r="G767" s="22" t="n"/>
      <c r="H767" s="22" t="n"/>
      <c r="I767" s="22" t="n"/>
      <c r="J767" s="22" t="n"/>
    </row>
    <row r="768">
      <c r="A768" s="34" t="n"/>
      <c r="B768" s="35">
        <f>IF(A768="","",YEAR(A768))</f>
        <v/>
      </c>
      <c r="C768" s="36">
        <f>IF(A768="","",MONTH(A768))</f>
        <v/>
      </c>
      <c r="D768" s="18" t="n"/>
      <c r="E768" s="18" t="n"/>
      <c r="F768" s="18" t="n"/>
      <c r="G768" s="18" t="n"/>
      <c r="H768" s="18" t="n"/>
      <c r="I768" s="18" t="n"/>
      <c r="J768" s="18" t="n"/>
    </row>
    <row r="769">
      <c r="A769" s="41" t="n"/>
      <c r="B769" s="35">
        <f>IF(A769="","",YEAR(A769))</f>
        <v/>
      </c>
      <c r="C769" s="36">
        <f>IF(A769="","",MONTH(A769))</f>
        <v/>
      </c>
      <c r="D769" s="22" t="n"/>
      <c r="E769" s="22" t="n"/>
      <c r="F769" s="22" t="n"/>
      <c r="G769" s="22" t="n"/>
      <c r="H769" s="22" t="n"/>
      <c r="I769" s="22" t="n"/>
      <c r="J769" s="22" t="n"/>
    </row>
    <row r="770">
      <c r="A770" s="34" t="n"/>
      <c r="B770" s="35">
        <f>IF(A770="","",YEAR(A770))</f>
        <v/>
      </c>
      <c r="C770" s="36">
        <f>IF(A770="","",MONTH(A770))</f>
        <v/>
      </c>
      <c r="D770" s="18" t="n"/>
      <c r="E770" s="18" t="n"/>
      <c r="F770" s="18" t="n"/>
      <c r="G770" s="18" t="n"/>
      <c r="H770" s="18" t="n"/>
      <c r="I770" s="18" t="n"/>
      <c r="J770" s="18" t="n"/>
    </row>
    <row r="771">
      <c r="A771" s="41" t="n"/>
      <c r="B771" s="35">
        <f>IF(A771="","",YEAR(A771))</f>
        <v/>
      </c>
      <c r="C771" s="36">
        <f>IF(A771="","",MONTH(A771))</f>
        <v/>
      </c>
      <c r="D771" s="22" t="n"/>
      <c r="E771" s="22" t="n"/>
      <c r="F771" s="22" t="n"/>
      <c r="G771" s="22" t="n"/>
      <c r="H771" s="22" t="n"/>
      <c r="I771" s="22" t="n"/>
      <c r="J771" s="22" t="n"/>
    </row>
    <row r="772">
      <c r="A772" s="34" t="n"/>
      <c r="B772" s="35">
        <f>IF(A772="","",YEAR(A772))</f>
        <v/>
      </c>
      <c r="C772" s="36">
        <f>IF(A772="","",MONTH(A772))</f>
        <v/>
      </c>
      <c r="D772" s="18" t="n"/>
      <c r="E772" s="18" t="n"/>
      <c r="F772" s="18" t="n"/>
      <c r="G772" s="18" t="n"/>
      <c r="H772" s="18" t="n"/>
      <c r="I772" s="18" t="n"/>
      <c r="J772" s="18" t="n"/>
    </row>
    <row r="773">
      <c r="A773" s="41" t="n"/>
      <c r="B773" s="35">
        <f>IF(A773="","",YEAR(A773))</f>
        <v/>
      </c>
      <c r="C773" s="36">
        <f>IF(A773="","",MONTH(A773))</f>
        <v/>
      </c>
      <c r="D773" s="22" t="n"/>
      <c r="E773" s="22" t="n"/>
      <c r="F773" s="22" t="n"/>
      <c r="G773" s="22" t="n"/>
      <c r="H773" s="22" t="n"/>
      <c r="I773" s="22" t="n"/>
      <c r="J773" s="22" t="n"/>
    </row>
    <row r="774">
      <c r="A774" s="34" t="n"/>
      <c r="B774" s="35">
        <f>IF(A774="","",YEAR(A774))</f>
        <v/>
      </c>
      <c r="C774" s="36">
        <f>IF(A774="","",MONTH(A774))</f>
        <v/>
      </c>
      <c r="D774" s="18" t="n"/>
      <c r="E774" s="18" t="n"/>
      <c r="F774" s="18" t="n"/>
      <c r="G774" s="18" t="n"/>
      <c r="H774" s="18" t="n"/>
      <c r="I774" s="18" t="n"/>
      <c r="J774" s="18" t="n"/>
    </row>
    <row r="775">
      <c r="A775" s="41" t="n"/>
      <c r="B775" s="35">
        <f>IF(A775="","",YEAR(A775))</f>
        <v/>
      </c>
      <c r="C775" s="36">
        <f>IF(A775="","",MONTH(A775))</f>
        <v/>
      </c>
      <c r="D775" s="22" t="n"/>
      <c r="E775" s="22" t="n"/>
      <c r="F775" s="22" t="n"/>
      <c r="G775" s="22" t="n"/>
      <c r="H775" s="22" t="n"/>
      <c r="I775" s="22" t="n"/>
      <c r="J775" s="22" t="n"/>
    </row>
    <row r="776">
      <c r="A776" s="34" t="n"/>
      <c r="B776" s="35">
        <f>IF(A776="","",YEAR(A776))</f>
        <v/>
      </c>
      <c r="C776" s="36">
        <f>IF(A776="","",MONTH(A776))</f>
        <v/>
      </c>
      <c r="D776" s="18" t="n"/>
      <c r="E776" s="18" t="n"/>
      <c r="F776" s="18" t="n"/>
      <c r="G776" s="18" t="n"/>
      <c r="H776" s="18" t="n"/>
      <c r="I776" s="18" t="n"/>
      <c r="J776" s="18" t="n"/>
    </row>
    <row r="777">
      <c r="A777" s="41" t="n"/>
      <c r="B777" s="35">
        <f>IF(A777="","",YEAR(A777))</f>
        <v/>
      </c>
      <c r="C777" s="36">
        <f>IF(A777="","",MONTH(A777))</f>
        <v/>
      </c>
      <c r="D777" s="22" t="n"/>
      <c r="E777" s="22" t="n"/>
      <c r="F777" s="22" t="n"/>
      <c r="G777" s="22" t="n"/>
      <c r="H777" s="22" t="n"/>
      <c r="I777" s="22" t="n"/>
      <c r="J777" s="22" t="n"/>
    </row>
    <row r="778">
      <c r="A778" s="34" t="n"/>
      <c r="B778" s="35">
        <f>IF(A778="","",YEAR(A778))</f>
        <v/>
      </c>
      <c r="C778" s="36">
        <f>IF(A778="","",MONTH(A778))</f>
        <v/>
      </c>
      <c r="D778" s="18" t="n"/>
      <c r="E778" s="18" t="n"/>
      <c r="F778" s="18" t="n"/>
      <c r="G778" s="18" t="n"/>
      <c r="H778" s="18" t="n"/>
      <c r="I778" s="18" t="n"/>
      <c r="J778" s="18" t="n"/>
    </row>
    <row r="779">
      <c r="A779" s="41" t="n"/>
      <c r="B779" s="35">
        <f>IF(A779="","",YEAR(A779))</f>
        <v/>
      </c>
      <c r="C779" s="36">
        <f>IF(A779="","",MONTH(A779))</f>
        <v/>
      </c>
      <c r="D779" s="22" t="n"/>
      <c r="E779" s="22" t="n"/>
      <c r="F779" s="22" t="n"/>
      <c r="G779" s="22" t="n"/>
      <c r="H779" s="22" t="n"/>
      <c r="I779" s="22" t="n"/>
      <c r="J779" s="22" t="n"/>
    </row>
    <row r="780">
      <c r="A780" s="34" t="n"/>
      <c r="B780" s="35">
        <f>IF(A780="","",YEAR(A780))</f>
        <v/>
      </c>
      <c r="C780" s="36">
        <f>IF(A780="","",MONTH(A780))</f>
        <v/>
      </c>
      <c r="D780" s="18" t="n"/>
      <c r="E780" s="18" t="n"/>
      <c r="F780" s="18" t="n"/>
      <c r="G780" s="18" t="n"/>
      <c r="H780" s="18" t="n"/>
      <c r="I780" s="18" t="n"/>
      <c r="J780" s="18" t="n"/>
    </row>
    <row r="781">
      <c r="A781" s="41" t="n"/>
      <c r="B781" s="35">
        <f>IF(A781="","",YEAR(A781))</f>
        <v/>
      </c>
      <c r="C781" s="36">
        <f>IF(A781="","",MONTH(A781))</f>
        <v/>
      </c>
      <c r="D781" s="22" t="n"/>
      <c r="E781" s="22" t="n"/>
      <c r="F781" s="22" t="n"/>
      <c r="G781" s="22" t="n"/>
      <c r="H781" s="22" t="n"/>
      <c r="I781" s="22" t="n"/>
      <c r="J781" s="22" t="n"/>
    </row>
    <row r="782">
      <c r="A782" s="34" t="n"/>
      <c r="B782" s="35">
        <f>IF(A782="","",YEAR(A782))</f>
        <v/>
      </c>
      <c r="C782" s="36">
        <f>IF(A782="","",MONTH(A782))</f>
        <v/>
      </c>
      <c r="D782" s="18" t="n"/>
      <c r="E782" s="18" t="n"/>
      <c r="F782" s="18" t="n"/>
      <c r="G782" s="18" t="n"/>
      <c r="H782" s="18" t="n"/>
      <c r="I782" s="18" t="n"/>
      <c r="J782" s="18" t="n"/>
    </row>
    <row r="783">
      <c r="A783" s="41" t="n"/>
      <c r="B783" s="35">
        <f>IF(A783="","",YEAR(A783))</f>
        <v/>
      </c>
      <c r="C783" s="36">
        <f>IF(A783="","",MONTH(A783))</f>
        <v/>
      </c>
      <c r="D783" s="22" t="n"/>
      <c r="E783" s="22" t="n"/>
      <c r="F783" s="22" t="n"/>
      <c r="G783" s="22" t="n"/>
      <c r="H783" s="22" t="n"/>
      <c r="I783" s="22" t="n"/>
      <c r="J783" s="22" t="n"/>
    </row>
    <row r="784">
      <c r="A784" s="34" t="n"/>
      <c r="B784" s="35">
        <f>IF(A784="","",YEAR(A784))</f>
        <v/>
      </c>
      <c r="C784" s="36">
        <f>IF(A784="","",MONTH(A784))</f>
        <v/>
      </c>
      <c r="D784" s="18" t="n"/>
      <c r="E784" s="18" t="n"/>
      <c r="F784" s="18" t="n"/>
      <c r="G784" s="18" t="n"/>
      <c r="H784" s="18" t="n"/>
      <c r="I784" s="18" t="n"/>
      <c r="J784" s="18" t="n"/>
    </row>
    <row r="785">
      <c r="A785" s="41" t="n"/>
      <c r="B785" s="35">
        <f>IF(A785="","",YEAR(A785))</f>
        <v/>
      </c>
      <c r="C785" s="36">
        <f>IF(A785="","",MONTH(A785))</f>
        <v/>
      </c>
      <c r="D785" s="22" t="n"/>
      <c r="E785" s="22" t="n"/>
      <c r="F785" s="22" t="n"/>
      <c r="G785" s="22" t="n"/>
      <c r="H785" s="22" t="n"/>
      <c r="I785" s="22" t="n"/>
      <c r="J785" s="22" t="n"/>
    </row>
    <row r="786">
      <c r="A786" s="34" t="n"/>
      <c r="B786" s="35">
        <f>IF(A786="","",YEAR(A786))</f>
        <v/>
      </c>
      <c r="C786" s="36">
        <f>IF(A786="","",MONTH(A786))</f>
        <v/>
      </c>
      <c r="D786" s="18" t="n"/>
      <c r="E786" s="18" t="n"/>
      <c r="F786" s="18" t="n"/>
      <c r="G786" s="18" t="n"/>
      <c r="H786" s="18" t="n"/>
      <c r="I786" s="18" t="n"/>
      <c r="J786" s="18" t="n"/>
    </row>
    <row r="787">
      <c r="A787" s="41" t="n"/>
      <c r="B787" s="35">
        <f>IF(A787="","",YEAR(A787))</f>
        <v/>
      </c>
      <c r="C787" s="36">
        <f>IF(A787="","",MONTH(A787))</f>
        <v/>
      </c>
      <c r="D787" s="22" t="n"/>
      <c r="E787" s="22" t="n"/>
      <c r="F787" s="22" t="n"/>
      <c r="G787" s="22" t="n"/>
      <c r="H787" s="22" t="n"/>
      <c r="I787" s="22" t="n"/>
      <c r="J787" s="22" t="n"/>
    </row>
    <row r="788">
      <c r="A788" s="34" t="n"/>
      <c r="B788" s="35">
        <f>IF(A788="","",YEAR(A788))</f>
        <v/>
      </c>
      <c r="C788" s="36">
        <f>IF(A788="","",MONTH(A788))</f>
        <v/>
      </c>
      <c r="D788" s="18" t="n"/>
      <c r="E788" s="18" t="n"/>
      <c r="F788" s="18" t="n"/>
      <c r="G788" s="18" t="n"/>
      <c r="H788" s="18" t="n"/>
      <c r="I788" s="18" t="n"/>
      <c r="J788" s="18" t="n"/>
    </row>
    <row r="789">
      <c r="A789" s="41" t="n"/>
      <c r="B789" s="35">
        <f>IF(A789="","",YEAR(A789))</f>
        <v/>
      </c>
      <c r="C789" s="36">
        <f>IF(A789="","",MONTH(A789))</f>
        <v/>
      </c>
      <c r="D789" s="22" t="n"/>
      <c r="E789" s="22" t="n"/>
      <c r="F789" s="22" t="n"/>
      <c r="G789" s="22" t="n"/>
      <c r="H789" s="22" t="n"/>
      <c r="I789" s="22" t="n"/>
      <c r="J789" s="22" t="n"/>
    </row>
    <row r="790">
      <c r="A790" s="34" t="n"/>
      <c r="B790" s="35">
        <f>IF(A790="","",YEAR(A790))</f>
        <v/>
      </c>
      <c r="C790" s="36">
        <f>IF(A790="","",MONTH(A790))</f>
        <v/>
      </c>
      <c r="D790" s="18" t="n"/>
      <c r="E790" s="18" t="n"/>
      <c r="F790" s="18" t="n"/>
      <c r="G790" s="18" t="n"/>
      <c r="H790" s="18" t="n"/>
      <c r="I790" s="18" t="n"/>
      <c r="J790" s="18" t="n"/>
    </row>
    <row r="791">
      <c r="A791" s="41" t="n"/>
      <c r="B791" s="35">
        <f>IF(A791="","",YEAR(A791))</f>
        <v/>
      </c>
      <c r="C791" s="36">
        <f>IF(A791="","",MONTH(A791))</f>
        <v/>
      </c>
      <c r="D791" s="22" t="n"/>
      <c r="E791" s="22" t="n"/>
      <c r="F791" s="22" t="n"/>
      <c r="G791" s="22" t="n"/>
      <c r="H791" s="22" t="n"/>
      <c r="I791" s="22" t="n"/>
      <c r="J791" s="22" t="n"/>
    </row>
    <row r="792">
      <c r="A792" s="34" t="n"/>
      <c r="B792" s="35">
        <f>IF(A792="","",YEAR(A792))</f>
        <v/>
      </c>
      <c r="C792" s="36">
        <f>IF(A792="","",MONTH(A792))</f>
        <v/>
      </c>
      <c r="D792" s="18" t="n"/>
      <c r="E792" s="18" t="n"/>
      <c r="F792" s="18" t="n"/>
      <c r="G792" s="18" t="n"/>
      <c r="H792" s="18" t="n"/>
      <c r="I792" s="18" t="n"/>
      <c r="J792" s="18" t="n"/>
    </row>
    <row r="793">
      <c r="A793" s="41" t="n"/>
      <c r="B793" s="35">
        <f>IF(A793="","",YEAR(A793))</f>
        <v/>
      </c>
      <c r="C793" s="36">
        <f>IF(A793="","",MONTH(A793))</f>
        <v/>
      </c>
      <c r="D793" s="22" t="n"/>
      <c r="E793" s="22" t="n"/>
      <c r="F793" s="22" t="n"/>
      <c r="G793" s="22" t="n"/>
      <c r="H793" s="22" t="n"/>
      <c r="I793" s="22" t="n"/>
      <c r="J793" s="22" t="n"/>
    </row>
    <row r="794">
      <c r="A794" s="34" t="n"/>
      <c r="B794" s="35">
        <f>IF(A794="","",YEAR(A794))</f>
        <v/>
      </c>
      <c r="C794" s="36">
        <f>IF(A794="","",MONTH(A794))</f>
        <v/>
      </c>
      <c r="D794" s="18" t="n"/>
      <c r="E794" s="18" t="n"/>
      <c r="F794" s="18" t="n"/>
      <c r="G794" s="18" t="n"/>
      <c r="H794" s="18" t="n"/>
      <c r="I794" s="18" t="n"/>
      <c r="J794" s="18" t="n"/>
    </row>
    <row r="795">
      <c r="A795" s="41" t="n"/>
      <c r="B795" s="35">
        <f>IF(A795="","",YEAR(A795))</f>
        <v/>
      </c>
      <c r="C795" s="36">
        <f>IF(A795="","",MONTH(A795))</f>
        <v/>
      </c>
      <c r="D795" s="22" t="n"/>
      <c r="E795" s="22" t="n"/>
      <c r="F795" s="22" t="n"/>
      <c r="G795" s="22" t="n"/>
      <c r="H795" s="22" t="n"/>
      <c r="I795" s="22" t="n"/>
      <c r="J795" s="22" t="n"/>
    </row>
    <row r="796">
      <c r="A796" s="34" t="n"/>
      <c r="B796" s="35">
        <f>IF(A796="","",YEAR(A796))</f>
        <v/>
      </c>
      <c r="C796" s="36">
        <f>IF(A796="","",MONTH(A796))</f>
        <v/>
      </c>
      <c r="D796" s="18" t="n"/>
      <c r="E796" s="18" t="n"/>
      <c r="F796" s="18" t="n"/>
      <c r="G796" s="18" t="n"/>
      <c r="H796" s="18" t="n"/>
      <c r="I796" s="18" t="n"/>
      <c r="J796" s="18" t="n"/>
    </row>
    <row r="797">
      <c r="A797" s="41" t="n"/>
      <c r="B797" s="35">
        <f>IF(A797="","",YEAR(A797))</f>
        <v/>
      </c>
      <c r="C797" s="36">
        <f>IF(A797="","",MONTH(A797))</f>
        <v/>
      </c>
      <c r="D797" s="22" t="n"/>
      <c r="E797" s="22" t="n"/>
      <c r="F797" s="22" t="n"/>
      <c r="G797" s="22" t="n"/>
      <c r="H797" s="22" t="n"/>
      <c r="I797" s="22" t="n"/>
      <c r="J797" s="22" t="n"/>
    </row>
    <row r="798">
      <c r="A798" s="34" t="n"/>
      <c r="B798" s="35">
        <f>IF(A798="","",YEAR(A798))</f>
        <v/>
      </c>
      <c r="C798" s="36">
        <f>IF(A798="","",MONTH(A798))</f>
        <v/>
      </c>
      <c r="D798" s="18" t="n"/>
      <c r="E798" s="18" t="n"/>
      <c r="F798" s="18" t="n"/>
      <c r="G798" s="18" t="n"/>
      <c r="H798" s="18" t="n"/>
      <c r="I798" s="18" t="n"/>
      <c r="J798" s="18" t="n"/>
    </row>
    <row r="799">
      <c r="A799" s="41" t="n"/>
      <c r="B799" s="35">
        <f>IF(A799="","",YEAR(A799))</f>
        <v/>
      </c>
      <c r="C799" s="36">
        <f>IF(A799="","",MONTH(A799))</f>
        <v/>
      </c>
      <c r="D799" s="22" t="n"/>
      <c r="E799" s="22" t="n"/>
      <c r="F799" s="22" t="n"/>
      <c r="G799" s="22" t="n"/>
      <c r="H799" s="22" t="n"/>
      <c r="I799" s="22" t="n"/>
      <c r="J799" s="22" t="n"/>
    </row>
    <row r="800">
      <c r="A800" s="34" t="n"/>
      <c r="B800" s="35">
        <f>IF(A800="","",YEAR(A800))</f>
        <v/>
      </c>
      <c r="C800" s="36">
        <f>IF(A800="","",MONTH(A800))</f>
        <v/>
      </c>
      <c r="D800" s="18" t="n"/>
      <c r="E800" s="18" t="n"/>
      <c r="F800" s="18" t="n"/>
      <c r="G800" s="18" t="n"/>
      <c r="H800" s="18" t="n"/>
      <c r="I800" s="18" t="n"/>
      <c r="J800" s="18" t="n"/>
    </row>
    <row r="801">
      <c r="A801" s="41" t="n"/>
      <c r="B801" s="35">
        <f>IF(A801="","",YEAR(A801))</f>
        <v/>
      </c>
      <c r="C801" s="36">
        <f>IF(A801="","",MONTH(A801))</f>
        <v/>
      </c>
      <c r="D801" s="22" t="n"/>
      <c r="E801" s="22" t="n"/>
      <c r="F801" s="22" t="n"/>
      <c r="G801" s="22" t="n"/>
      <c r="H801" s="22" t="n"/>
      <c r="I801" s="22" t="n"/>
      <c r="J801" s="22" t="n"/>
    </row>
    <row r="802">
      <c r="A802" s="34" t="n"/>
      <c r="B802" s="35">
        <f>IF(A802="","",YEAR(A802))</f>
        <v/>
      </c>
      <c r="C802" s="36">
        <f>IF(A802="","",MONTH(A802))</f>
        <v/>
      </c>
      <c r="D802" s="18" t="n"/>
      <c r="E802" s="18" t="n"/>
      <c r="F802" s="18" t="n"/>
      <c r="G802" s="18" t="n"/>
      <c r="H802" s="18" t="n"/>
      <c r="I802" s="18" t="n"/>
      <c r="J802" s="18" t="n"/>
    </row>
    <row r="803">
      <c r="A803" s="41" t="n"/>
      <c r="B803" s="35">
        <f>IF(A803="","",YEAR(A803))</f>
        <v/>
      </c>
      <c r="C803" s="36">
        <f>IF(A803="","",MONTH(A803))</f>
        <v/>
      </c>
      <c r="D803" s="22" t="n"/>
      <c r="E803" s="22" t="n"/>
      <c r="F803" s="22" t="n"/>
      <c r="G803" s="22" t="n"/>
      <c r="H803" s="22" t="n"/>
      <c r="I803" s="22" t="n"/>
      <c r="J803" s="22" t="n"/>
    </row>
    <row r="804">
      <c r="A804" s="34" t="n"/>
      <c r="B804" s="35">
        <f>IF(A804="","",YEAR(A804))</f>
        <v/>
      </c>
      <c r="C804" s="36">
        <f>IF(A804="","",MONTH(A804))</f>
        <v/>
      </c>
      <c r="D804" s="18" t="n"/>
      <c r="E804" s="18" t="n"/>
      <c r="F804" s="18" t="n"/>
      <c r="G804" s="18" t="n"/>
      <c r="H804" s="18" t="n"/>
      <c r="I804" s="18" t="n"/>
      <c r="J804" s="18" t="n"/>
    </row>
    <row r="805">
      <c r="A805" s="41" t="n"/>
      <c r="B805" s="35">
        <f>IF(A805="","",YEAR(A805))</f>
        <v/>
      </c>
      <c r="C805" s="36">
        <f>IF(A805="","",MONTH(A805))</f>
        <v/>
      </c>
      <c r="D805" s="22" t="n"/>
      <c r="E805" s="22" t="n"/>
      <c r="F805" s="22" t="n"/>
      <c r="G805" s="22" t="n"/>
      <c r="H805" s="22" t="n"/>
      <c r="I805" s="22" t="n"/>
      <c r="J805" s="22" t="n"/>
    </row>
    <row r="806">
      <c r="A806" s="34" t="n"/>
      <c r="B806" s="35">
        <f>IF(A806="","",YEAR(A806))</f>
        <v/>
      </c>
      <c r="C806" s="36">
        <f>IF(A806="","",MONTH(A806))</f>
        <v/>
      </c>
      <c r="D806" s="18" t="n"/>
      <c r="E806" s="18" t="n"/>
      <c r="F806" s="18" t="n"/>
      <c r="G806" s="18" t="n"/>
      <c r="H806" s="18" t="n"/>
      <c r="I806" s="18" t="n"/>
      <c r="J806" s="18" t="n"/>
    </row>
    <row r="807">
      <c r="A807" s="41" t="n"/>
      <c r="B807" s="35">
        <f>IF(A807="","",YEAR(A807))</f>
        <v/>
      </c>
      <c r="C807" s="36">
        <f>IF(A807="","",MONTH(A807))</f>
        <v/>
      </c>
      <c r="D807" s="22" t="n"/>
      <c r="E807" s="22" t="n"/>
      <c r="F807" s="22" t="n"/>
      <c r="G807" s="22" t="n"/>
      <c r="H807" s="22" t="n"/>
      <c r="I807" s="22" t="n"/>
      <c r="J807" s="22" t="n"/>
    </row>
    <row r="808">
      <c r="A808" s="34" t="n"/>
      <c r="B808" s="35">
        <f>IF(A808="","",YEAR(A808))</f>
        <v/>
      </c>
      <c r="C808" s="36">
        <f>IF(A808="","",MONTH(A808))</f>
        <v/>
      </c>
      <c r="D808" s="18" t="n"/>
      <c r="E808" s="18" t="n"/>
      <c r="F808" s="18" t="n"/>
      <c r="G808" s="18" t="n"/>
      <c r="H808" s="18" t="n"/>
      <c r="I808" s="18" t="n"/>
      <c r="J808" s="18" t="n"/>
    </row>
    <row r="809">
      <c r="A809" s="41" t="n"/>
      <c r="B809" s="35">
        <f>IF(A809="","",YEAR(A809))</f>
        <v/>
      </c>
      <c r="C809" s="36">
        <f>IF(A809="","",MONTH(A809))</f>
        <v/>
      </c>
      <c r="D809" s="22" t="n"/>
      <c r="E809" s="22" t="n"/>
      <c r="F809" s="22" t="n"/>
      <c r="G809" s="22" t="n"/>
      <c r="H809" s="22" t="n"/>
      <c r="I809" s="22" t="n"/>
      <c r="J809" s="22" t="n"/>
    </row>
    <row r="810">
      <c r="A810" s="34" t="n"/>
      <c r="B810" s="35">
        <f>IF(A810="","",YEAR(A810))</f>
        <v/>
      </c>
      <c r="C810" s="36">
        <f>IF(A810="","",MONTH(A810))</f>
        <v/>
      </c>
      <c r="D810" s="18" t="n"/>
      <c r="E810" s="18" t="n"/>
      <c r="F810" s="18" t="n"/>
      <c r="G810" s="18" t="n"/>
      <c r="H810" s="18" t="n"/>
      <c r="I810" s="18" t="n"/>
      <c r="J810" s="18" t="n"/>
    </row>
    <row r="811">
      <c r="A811" s="41" t="n"/>
      <c r="B811" s="35">
        <f>IF(A811="","",YEAR(A811))</f>
        <v/>
      </c>
      <c r="C811" s="36">
        <f>IF(A811="","",MONTH(A811))</f>
        <v/>
      </c>
      <c r="D811" s="22" t="n"/>
      <c r="E811" s="22" t="n"/>
      <c r="F811" s="22" t="n"/>
      <c r="G811" s="22" t="n"/>
      <c r="H811" s="22" t="n"/>
      <c r="I811" s="22" t="n"/>
      <c r="J811" s="22" t="n"/>
    </row>
    <row r="812">
      <c r="A812" s="34" t="n"/>
      <c r="B812" s="35">
        <f>IF(A812="","",YEAR(A812))</f>
        <v/>
      </c>
      <c r="C812" s="36">
        <f>IF(A812="","",MONTH(A812))</f>
        <v/>
      </c>
      <c r="D812" s="18" t="n"/>
      <c r="E812" s="18" t="n"/>
      <c r="F812" s="18" t="n"/>
      <c r="G812" s="18" t="n"/>
      <c r="H812" s="18" t="n"/>
      <c r="I812" s="18" t="n"/>
      <c r="J812" s="18" t="n"/>
    </row>
    <row r="813">
      <c r="A813" s="41" t="n"/>
      <c r="B813" s="35">
        <f>IF(A813="","",YEAR(A813))</f>
        <v/>
      </c>
      <c r="C813" s="36">
        <f>IF(A813="","",MONTH(A813))</f>
        <v/>
      </c>
      <c r="D813" s="22" t="n"/>
      <c r="E813" s="22" t="n"/>
      <c r="F813" s="22" t="n"/>
      <c r="G813" s="22" t="n"/>
      <c r="H813" s="22" t="n"/>
      <c r="I813" s="22" t="n"/>
      <c r="J813" s="22" t="n"/>
    </row>
    <row r="814">
      <c r="A814" s="34" t="n"/>
      <c r="B814" s="35">
        <f>IF(A814="","",YEAR(A814))</f>
        <v/>
      </c>
      <c r="C814" s="36">
        <f>IF(A814="","",MONTH(A814))</f>
        <v/>
      </c>
      <c r="D814" s="18" t="n"/>
      <c r="E814" s="18" t="n"/>
      <c r="F814" s="18" t="n"/>
      <c r="G814" s="18" t="n"/>
      <c r="H814" s="18" t="n"/>
      <c r="I814" s="18" t="n"/>
      <c r="J814" s="18" t="n"/>
    </row>
    <row r="815">
      <c r="A815" s="41" t="n"/>
      <c r="B815" s="35">
        <f>IF(A815="","",YEAR(A815))</f>
        <v/>
      </c>
      <c r="C815" s="36">
        <f>IF(A815="","",MONTH(A815))</f>
        <v/>
      </c>
      <c r="D815" s="22" t="n"/>
      <c r="E815" s="22" t="n"/>
      <c r="F815" s="22" t="n"/>
      <c r="G815" s="22" t="n"/>
      <c r="H815" s="22" t="n"/>
      <c r="I815" s="22" t="n"/>
      <c r="J815" s="22" t="n"/>
    </row>
    <row r="816">
      <c r="A816" s="34" t="n"/>
      <c r="B816" s="35">
        <f>IF(A816="","",YEAR(A816))</f>
        <v/>
      </c>
      <c r="C816" s="36">
        <f>IF(A816="","",MONTH(A816))</f>
        <v/>
      </c>
      <c r="D816" s="18" t="n"/>
      <c r="E816" s="18" t="n"/>
      <c r="F816" s="18" t="n"/>
      <c r="G816" s="18" t="n"/>
      <c r="H816" s="18" t="n"/>
      <c r="I816" s="18" t="n"/>
      <c r="J816" s="18" t="n"/>
    </row>
    <row r="817">
      <c r="A817" s="41" t="n"/>
      <c r="B817" s="35">
        <f>IF(A817="","",YEAR(A817))</f>
        <v/>
      </c>
      <c r="C817" s="36">
        <f>IF(A817="","",MONTH(A817))</f>
        <v/>
      </c>
      <c r="D817" s="22" t="n"/>
      <c r="E817" s="22" t="n"/>
      <c r="F817" s="22" t="n"/>
      <c r="G817" s="22" t="n"/>
      <c r="H817" s="22" t="n"/>
      <c r="I817" s="22" t="n"/>
      <c r="J817" s="22" t="n"/>
    </row>
    <row r="818">
      <c r="A818" s="34" t="n"/>
      <c r="B818" s="35">
        <f>IF(A818="","",YEAR(A818))</f>
        <v/>
      </c>
      <c r="C818" s="36">
        <f>IF(A818="","",MONTH(A818))</f>
        <v/>
      </c>
      <c r="D818" s="18" t="n"/>
      <c r="E818" s="18" t="n"/>
      <c r="F818" s="18" t="n"/>
      <c r="G818" s="18" t="n"/>
      <c r="H818" s="18" t="n"/>
      <c r="I818" s="18" t="n"/>
      <c r="J818" s="18" t="n"/>
    </row>
    <row r="819">
      <c r="A819" s="41" t="n"/>
      <c r="B819" s="35">
        <f>IF(A819="","",YEAR(A819))</f>
        <v/>
      </c>
      <c r="C819" s="36">
        <f>IF(A819="","",MONTH(A819))</f>
        <v/>
      </c>
      <c r="D819" s="22" t="n"/>
      <c r="E819" s="22" t="n"/>
      <c r="F819" s="22" t="n"/>
      <c r="G819" s="22" t="n"/>
      <c r="H819" s="22" t="n"/>
      <c r="I819" s="22" t="n"/>
      <c r="J819" s="22" t="n"/>
    </row>
    <row r="820">
      <c r="A820" s="34" t="n"/>
      <c r="B820" s="35">
        <f>IF(A820="","",YEAR(A820))</f>
        <v/>
      </c>
      <c r="C820" s="36">
        <f>IF(A820="","",MONTH(A820))</f>
        <v/>
      </c>
      <c r="D820" s="18" t="n"/>
      <c r="E820" s="18" t="n"/>
      <c r="F820" s="18" t="n"/>
      <c r="G820" s="18" t="n"/>
      <c r="H820" s="18" t="n"/>
      <c r="I820" s="18" t="n"/>
      <c r="J820" s="18" t="n"/>
    </row>
    <row r="821">
      <c r="A821" s="41" t="n"/>
      <c r="B821" s="35">
        <f>IF(A821="","",YEAR(A821))</f>
        <v/>
      </c>
      <c r="C821" s="36">
        <f>IF(A821="","",MONTH(A821))</f>
        <v/>
      </c>
      <c r="D821" s="22" t="n"/>
      <c r="E821" s="22" t="n"/>
      <c r="F821" s="22" t="n"/>
      <c r="G821" s="22" t="n"/>
      <c r="H821" s="22" t="n"/>
      <c r="I821" s="22" t="n"/>
      <c r="J821" s="22" t="n"/>
    </row>
    <row r="822">
      <c r="A822" s="34" t="n"/>
      <c r="B822" s="35">
        <f>IF(A822="","",YEAR(A822))</f>
        <v/>
      </c>
      <c r="C822" s="36">
        <f>IF(A822="","",MONTH(A822))</f>
        <v/>
      </c>
      <c r="D822" s="18" t="n"/>
      <c r="E822" s="18" t="n"/>
      <c r="F822" s="18" t="n"/>
      <c r="G822" s="18" t="n"/>
      <c r="H822" s="18" t="n"/>
      <c r="I822" s="18" t="n"/>
      <c r="J822" s="18" t="n"/>
    </row>
    <row r="823">
      <c r="A823" s="41" t="n"/>
      <c r="B823" s="35">
        <f>IF(A823="","",YEAR(A823))</f>
        <v/>
      </c>
      <c r="C823" s="36">
        <f>IF(A823="","",MONTH(A823))</f>
        <v/>
      </c>
      <c r="D823" s="22" t="n"/>
      <c r="E823" s="22" t="n"/>
      <c r="F823" s="22" t="n"/>
      <c r="G823" s="22" t="n"/>
      <c r="H823" s="22" t="n"/>
      <c r="I823" s="22" t="n"/>
      <c r="J823" s="22" t="n"/>
    </row>
    <row r="824">
      <c r="A824" s="34" t="n"/>
      <c r="B824" s="35">
        <f>IF(A824="","",YEAR(A824))</f>
        <v/>
      </c>
      <c r="C824" s="36">
        <f>IF(A824="","",MONTH(A824))</f>
        <v/>
      </c>
      <c r="D824" s="18" t="n"/>
      <c r="E824" s="18" t="n"/>
      <c r="F824" s="18" t="n"/>
      <c r="G824" s="18" t="n"/>
      <c r="H824" s="18" t="n"/>
      <c r="I824" s="18" t="n"/>
      <c r="J824" s="18" t="n"/>
    </row>
    <row r="825">
      <c r="A825" s="41" t="n"/>
      <c r="B825" s="35">
        <f>IF(A825="","",YEAR(A825))</f>
        <v/>
      </c>
      <c r="C825" s="36">
        <f>IF(A825="","",MONTH(A825))</f>
        <v/>
      </c>
      <c r="D825" s="22" t="n"/>
      <c r="E825" s="22" t="n"/>
      <c r="F825" s="22" t="n"/>
      <c r="G825" s="22" t="n"/>
      <c r="H825" s="22" t="n"/>
      <c r="I825" s="22" t="n"/>
      <c r="J825" s="22" t="n"/>
    </row>
    <row r="826">
      <c r="A826" s="34" t="n"/>
      <c r="B826" s="35">
        <f>IF(A826="","",YEAR(A826))</f>
        <v/>
      </c>
      <c r="C826" s="36">
        <f>IF(A826="","",MONTH(A826))</f>
        <v/>
      </c>
      <c r="D826" s="18" t="n"/>
      <c r="E826" s="18" t="n"/>
      <c r="F826" s="18" t="n"/>
      <c r="G826" s="18" t="n"/>
      <c r="H826" s="18" t="n"/>
      <c r="I826" s="18" t="n"/>
      <c r="J826" s="18" t="n"/>
    </row>
    <row r="827">
      <c r="A827" s="41" t="n"/>
      <c r="B827" s="35">
        <f>IF(A827="","",YEAR(A827))</f>
        <v/>
      </c>
      <c r="C827" s="36">
        <f>IF(A827="","",MONTH(A827))</f>
        <v/>
      </c>
      <c r="D827" s="22" t="n"/>
      <c r="E827" s="22" t="n"/>
      <c r="F827" s="22" t="n"/>
      <c r="G827" s="22" t="n"/>
      <c r="H827" s="22" t="n"/>
      <c r="I827" s="22" t="n"/>
      <c r="J827" s="22" t="n"/>
    </row>
    <row r="828">
      <c r="A828" s="34" t="n"/>
      <c r="B828" s="35">
        <f>IF(A828="","",YEAR(A828))</f>
        <v/>
      </c>
      <c r="C828" s="36">
        <f>IF(A828="","",MONTH(A828))</f>
        <v/>
      </c>
      <c r="D828" s="18" t="n"/>
      <c r="E828" s="18" t="n"/>
      <c r="F828" s="18" t="n"/>
      <c r="G828" s="18" t="n"/>
      <c r="H828" s="18" t="n"/>
      <c r="I828" s="18" t="n"/>
      <c r="J828" s="18" t="n"/>
    </row>
    <row r="829">
      <c r="A829" s="41" t="n"/>
      <c r="B829" s="35">
        <f>IF(A829="","",YEAR(A829))</f>
        <v/>
      </c>
      <c r="C829" s="36">
        <f>IF(A829="","",MONTH(A829))</f>
        <v/>
      </c>
      <c r="D829" s="22" t="n"/>
      <c r="E829" s="22" t="n"/>
      <c r="F829" s="22" t="n"/>
      <c r="G829" s="22" t="n"/>
      <c r="H829" s="22" t="n"/>
      <c r="I829" s="22" t="n"/>
      <c r="J829" s="22" t="n"/>
    </row>
    <row r="830">
      <c r="A830" s="34" t="n"/>
      <c r="B830" s="35">
        <f>IF(A830="","",YEAR(A830))</f>
        <v/>
      </c>
      <c r="C830" s="36">
        <f>IF(A830="","",MONTH(A830))</f>
        <v/>
      </c>
      <c r="D830" s="18" t="n"/>
      <c r="E830" s="18" t="n"/>
      <c r="F830" s="18" t="n"/>
      <c r="G830" s="18" t="n"/>
      <c r="H830" s="18" t="n"/>
      <c r="I830" s="18" t="n"/>
      <c r="J830" s="18" t="n"/>
    </row>
    <row r="831">
      <c r="A831" s="41" t="n"/>
      <c r="B831" s="35">
        <f>IF(A831="","",YEAR(A831))</f>
        <v/>
      </c>
      <c r="C831" s="36">
        <f>IF(A831="","",MONTH(A831))</f>
        <v/>
      </c>
      <c r="D831" s="22" t="n"/>
      <c r="E831" s="22" t="n"/>
      <c r="F831" s="22" t="n"/>
      <c r="G831" s="22" t="n"/>
      <c r="H831" s="22" t="n"/>
      <c r="I831" s="22" t="n"/>
      <c r="J831" s="22" t="n"/>
    </row>
    <row r="832">
      <c r="A832" s="34" t="n"/>
      <c r="B832" s="35">
        <f>IF(A832="","",YEAR(A832))</f>
        <v/>
      </c>
      <c r="C832" s="36">
        <f>IF(A832="","",MONTH(A832))</f>
        <v/>
      </c>
      <c r="D832" s="18" t="n"/>
      <c r="E832" s="18" t="n"/>
      <c r="F832" s="18" t="n"/>
      <c r="G832" s="18" t="n"/>
      <c r="H832" s="18" t="n"/>
      <c r="I832" s="18" t="n"/>
      <c r="J832" s="18" t="n"/>
    </row>
    <row r="833">
      <c r="A833" s="41" t="n"/>
      <c r="B833" s="35">
        <f>IF(A833="","",YEAR(A833))</f>
        <v/>
      </c>
      <c r="C833" s="36">
        <f>IF(A833="","",MONTH(A833))</f>
        <v/>
      </c>
      <c r="D833" s="22" t="n"/>
      <c r="E833" s="22" t="n"/>
      <c r="F833" s="22" t="n"/>
      <c r="G833" s="22" t="n"/>
      <c r="H833" s="22" t="n"/>
      <c r="I833" s="22" t="n"/>
      <c r="J833" s="22" t="n"/>
    </row>
    <row r="834">
      <c r="A834" s="34" t="n"/>
      <c r="B834" s="35">
        <f>IF(A834="","",YEAR(A834))</f>
        <v/>
      </c>
      <c r="C834" s="36">
        <f>IF(A834="","",MONTH(A834))</f>
        <v/>
      </c>
      <c r="D834" s="18" t="n"/>
      <c r="E834" s="18" t="n"/>
      <c r="F834" s="18" t="n"/>
      <c r="G834" s="18" t="n"/>
      <c r="H834" s="18" t="n"/>
      <c r="I834" s="18" t="n"/>
      <c r="J834" s="18" t="n"/>
    </row>
    <row r="835">
      <c r="A835" s="41" t="n"/>
      <c r="B835" s="35">
        <f>IF(A835="","",YEAR(A835))</f>
        <v/>
      </c>
      <c r="C835" s="36">
        <f>IF(A835="","",MONTH(A835))</f>
        <v/>
      </c>
      <c r="D835" s="22" t="n"/>
      <c r="E835" s="22" t="n"/>
      <c r="F835" s="22" t="n"/>
      <c r="G835" s="22" t="n"/>
      <c r="H835" s="22" t="n"/>
      <c r="I835" s="22" t="n"/>
      <c r="J835" s="22" t="n"/>
    </row>
    <row r="836">
      <c r="A836" s="34" t="n"/>
      <c r="B836" s="35">
        <f>IF(A836="","",YEAR(A836))</f>
        <v/>
      </c>
      <c r="C836" s="36">
        <f>IF(A836="","",MONTH(A836))</f>
        <v/>
      </c>
      <c r="D836" s="18" t="n"/>
      <c r="E836" s="18" t="n"/>
      <c r="F836" s="18" t="n"/>
      <c r="G836" s="18" t="n"/>
      <c r="H836" s="18" t="n"/>
      <c r="I836" s="18" t="n"/>
      <c r="J836" s="18" t="n"/>
    </row>
    <row r="837">
      <c r="A837" s="41" t="n"/>
      <c r="B837" s="35">
        <f>IF(A837="","",YEAR(A837))</f>
        <v/>
      </c>
      <c r="C837" s="36">
        <f>IF(A837="","",MONTH(A837))</f>
        <v/>
      </c>
      <c r="D837" s="22" t="n"/>
      <c r="E837" s="22" t="n"/>
      <c r="F837" s="22" t="n"/>
      <c r="G837" s="22" t="n"/>
      <c r="H837" s="22" t="n"/>
      <c r="I837" s="22" t="n"/>
      <c r="J837" s="22" t="n"/>
    </row>
    <row r="838">
      <c r="A838" s="34" t="n"/>
      <c r="B838" s="35">
        <f>IF(A838="","",YEAR(A838))</f>
        <v/>
      </c>
      <c r="C838" s="36">
        <f>IF(A838="","",MONTH(A838))</f>
        <v/>
      </c>
      <c r="D838" s="18" t="n"/>
      <c r="E838" s="18" t="n"/>
      <c r="F838" s="18" t="n"/>
      <c r="G838" s="18" t="n"/>
      <c r="H838" s="18" t="n"/>
      <c r="I838" s="18" t="n"/>
      <c r="J838" s="18" t="n"/>
    </row>
    <row r="839">
      <c r="A839" s="41" t="n"/>
      <c r="B839" s="35">
        <f>IF(A839="","",YEAR(A839))</f>
        <v/>
      </c>
      <c r="C839" s="36">
        <f>IF(A839="","",MONTH(A839))</f>
        <v/>
      </c>
      <c r="D839" s="22" t="n"/>
      <c r="E839" s="22" t="n"/>
      <c r="F839" s="22" t="n"/>
      <c r="G839" s="22" t="n"/>
      <c r="H839" s="22" t="n"/>
      <c r="I839" s="22" t="n"/>
      <c r="J839" s="22" t="n"/>
    </row>
    <row r="840">
      <c r="A840" s="34" t="n"/>
      <c r="B840" s="35">
        <f>IF(A840="","",YEAR(A840))</f>
        <v/>
      </c>
      <c r="C840" s="36">
        <f>IF(A840="","",MONTH(A840))</f>
        <v/>
      </c>
      <c r="D840" s="18" t="n"/>
      <c r="E840" s="18" t="n"/>
      <c r="F840" s="18" t="n"/>
      <c r="G840" s="18" t="n"/>
      <c r="H840" s="18" t="n"/>
      <c r="I840" s="18" t="n"/>
      <c r="J840" s="18" t="n"/>
    </row>
    <row r="841">
      <c r="A841" s="41" t="n"/>
      <c r="B841" s="35">
        <f>IF(A841="","",YEAR(A841))</f>
        <v/>
      </c>
      <c r="C841" s="36">
        <f>IF(A841="","",MONTH(A841))</f>
        <v/>
      </c>
      <c r="D841" s="22" t="n"/>
      <c r="E841" s="22" t="n"/>
      <c r="F841" s="22" t="n"/>
      <c r="G841" s="22" t="n"/>
      <c r="H841" s="22" t="n"/>
      <c r="I841" s="22" t="n"/>
      <c r="J841" s="22" t="n"/>
    </row>
    <row r="842">
      <c r="A842" s="34" t="n"/>
      <c r="B842" s="35">
        <f>IF(A842="","",YEAR(A842))</f>
        <v/>
      </c>
      <c r="C842" s="36">
        <f>IF(A842="","",MONTH(A842))</f>
        <v/>
      </c>
      <c r="D842" s="18" t="n"/>
      <c r="E842" s="18" t="n"/>
      <c r="F842" s="18" t="n"/>
      <c r="G842" s="18" t="n"/>
      <c r="H842" s="18" t="n"/>
      <c r="I842" s="18" t="n"/>
      <c r="J842" s="18" t="n"/>
    </row>
    <row r="843">
      <c r="A843" s="41" t="n"/>
      <c r="B843" s="35">
        <f>IF(A843="","",YEAR(A843))</f>
        <v/>
      </c>
      <c r="C843" s="36">
        <f>IF(A843="","",MONTH(A843))</f>
        <v/>
      </c>
      <c r="D843" s="22" t="n"/>
      <c r="E843" s="22" t="n"/>
      <c r="F843" s="22" t="n"/>
      <c r="G843" s="22" t="n"/>
      <c r="H843" s="22" t="n"/>
      <c r="I843" s="22" t="n"/>
      <c r="J843" s="22" t="n"/>
    </row>
    <row r="844">
      <c r="A844" s="34" t="n"/>
      <c r="B844" s="35">
        <f>IF(A844="","",YEAR(A844))</f>
        <v/>
      </c>
      <c r="C844" s="36">
        <f>IF(A844="","",MONTH(A844))</f>
        <v/>
      </c>
      <c r="D844" s="18" t="n"/>
      <c r="E844" s="18" t="n"/>
      <c r="F844" s="18" t="n"/>
      <c r="G844" s="18" t="n"/>
      <c r="H844" s="18" t="n"/>
      <c r="I844" s="18" t="n"/>
      <c r="J844" s="18" t="n"/>
    </row>
    <row r="845">
      <c r="A845" s="41" t="n"/>
      <c r="B845" s="35">
        <f>IF(A845="","",YEAR(A845))</f>
        <v/>
      </c>
      <c r="C845" s="36">
        <f>IF(A845="","",MONTH(A845))</f>
        <v/>
      </c>
      <c r="D845" s="22" t="n"/>
      <c r="E845" s="22" t="n"/>
      <c r="F845" s="22" t="n"/>
      <c r="G845" s="22" t="n"/>
      <c r="H845" s="22" t="n"/>
      <c r="I845" s="22" t="n"/>
      <c r="J845" s="22" t="n"/>
    </row>
    <row r="846">
      <c r="A846" s="34" t="n"/>
      <c r="B846" s="35">
        <f>IF(A846="","",YEAR(A846))</f>
        <v/>
      </c>
      <c r="C846" s="36">
        <f>IF(A846="","",MONTH(A846))</f>
        <v/>
      </c>
      <c r="D846" s="18" t="n"/>
      <c r="E846" s="18" t="n"/>
      <c r="F846" s="18" t="n"/>
      <c r="G846" s="18" t="n"/>
      <c r="H846" s="18" t="n"/>
      <c r="I846" s="18" t="n"/>
      <c r="J846" s="18" t="n"/>
    </row>
    <row r="847">
      <c r="A847" s="41" t="n"/>
      <c r="B847" s="35">
        <f>IF(A847="","",YEAR(A847))</f>
        <v/>
      </c>
      <c r="C847" s="36">
        <f>IF(A847="","",MONTH(A847))</f>
        <v/>
      </c>
      <c r="D847" s="22" t="n"/>
      <c r="E847" s="22" t="n"/>
      <c r="F847" s="22" t="n"/>
      <c r="G847" s="22" t="n"/>
      <c r="H847" s="22" t="n"/>
      <c r="I847" s="22" t="n"/>
      <c r="J847" s="22" t="n"/>
    </row>
    <row r="848">
      <c r="A848" s="34" t="n"/>
      <c r="B848" s="35">
        <f>IF(A848="","",YEAR(A848))</f>
        <v/>
      </c>
      <c r="C848" s="36">
        <f>IF(A848="","",MONTH(A848))</f>
        <v/>
      </c>
      <c r="D848" s="18" t="n"/>
      <c r="E848" s="18" t="n"/>
      <c r="F848" s="18" t="n"/>
      <c r="G848" s="18" t="n"/>
      <c r="H848" s="18" t="n"/>
      <c r="I848" s="18" t="n"/>
      <c r="J848" s="18" t="n"/>
    </row>
    <row r="849">
      <c r="A849" s="41" t="n"/>
      <c r="B849" s="35">
        <f>IF(A849="","",YEAR(A849))</f>
        <v/>
      </c>
      <c r="C849" s="36">
        <f>IF(A849="","",MONTH(A849))</f>
        <v/>
      </c>
      <c r="D849" s="22" t="n"/>
      <c r="E849" s="22" t="n"/>
      <c r="F849" s="22" t="n"/>
      <c r="G849" s="22" t="n"/>
      <c r="H849" s="22" t="n"/>
      <c r="I849" s="22" t="n"/>
      <c r="J849" s="22" t="n"/>
    </row>
    <row r="850">
      <c r="A850" s="34" t="n"/>
      <c r="B850" s="35">
        <f>IF(A850="","",YEAR(A850))</f>
        <v/>
      </c>
      <c r="C850" s="36">
        <f>IF(A850="","",MONTH(A850))</f>
        <v/>
      </c>
      <c r="D850" s="18" t="n"/>
      <c r="E850" s="18" t="n"/>
      <c r="F850" s="18" t="n"/>
      <c r="G850" s="18" t="n"/>
      <c r="H850" s="18" t="n"/>
      <c r="I850" s="18" t="n"/>
      <c r="J850" s="18" t="n"/>
    </row>
    <row r="851">
      <c r="A851" s="41" t="n"/>
      <c r="B851" s="35">
        <f>IF(A851="","",YEAR(A851))</f>
        <v/>
      </c>
      <c r="C851" s="36">
        <f>IF(A851="","",MONTH(A851))</f>
        <v/>
      </c>
      <c r="D851" s="22" t="n"/>
      <c r="E851" s="22" t="n"/>
      <c r="F851" s="22" t="n"/>
      <c r="G851" s="22" t="n"/>
      <c r="H851" s="22" t="n"/>
      <c r="I851" s="22" t="n"/>
      <c r="J851" s="22" t="n"/>
    </row>
    <row r="852">
      <c r="A852" s="34" t="n"/>
      <c r="B852" s="35">
        <f>IF(A852="","",YEAR(A852))</f>
        <v/>
      </c>
      <c r="C852" s="36">
        <f>IF(A852="","",MONTH(A852))</f>
        <v/>
      </c>
      <c r="D852" s="18" t="n"/>
      <c r="E852" s="18" t="n"/>
      <c r="F852" s="18" t="n"/>
      <c r="G852" s="18" t="n"/>
      <c r="H852" s="18" t="n"/>
      <c r="I852" s="18" t="n"/>
      <c r="J852" s="18" t="n"/>
    </row>
    <row r="853">
      <c r="A853" s="41" t="n"/>
      <c r="B853" s="35">
        <f>IF(A853="","",YEAR(A853))</f>
        <v/>
      </c>
      <c r="C853" s="36">
        <f>IF(A853="","",MONTH(A853))</f>
        <v/>
      </c>
      <c r="D853" s="22" t="n"/>
      <c r="E853" s="22" t="n"/>
      <c r="F853" s="22" t="n"/>
      <c r="G853" s="22" t="n"/>
      <c r="H853" s="22" t="n"/>
      <c r="I853" s="22" t="n"/>
      <c r="J853" s="22" t="n"/>
    </row>
    <row r="854">
      <c r="A854" s="34" t="n"/>
      <c r="B854" s="35">
        <f>IF(A854="","",YEAR(A854))</f>
        <v/>
      </c>
      <c r="C854" s="36">
        <f>IF(A854="","",MONTH(A854))</f>
        <v/>
      </c>
      <c r="D854" s="18" t="n"/>
      <c r="E854" s="18" t="n"/>
      <c r="F854" s="18" t="n"/>
      <c r="G854" s="18" t="n"/>
      <c r="H854" s="18" t="n"/>
      <c r="I854" s="18" t="n"/>
      <c r="J854" s="18" t="n"/>
    </row>
    <row r="855">
      <c r="A855" s="41" t="n"/>
      <c r="B855" s="35">
        <f>IF(A855="","",YEAR(A855))</f>
        <v/>
      </c>
      <c r="C855" s="36">
        <f>IF(A855="","",MONTH(A855))</f>
        <v/>
      </c>
      <c r="D855" s="22" t="n"/>
      <c r="E855" s="22" t="n"/>
      <c r="F855" s="22" t="n"/>
      <c r="G855" s="22" t="n"/>
      <c r="H855" s="22" t="n"/>
      <c r="I855" s="22" t="n"/>
      <c r="J855" s="22" t="n"/>
    </row>
    <row r="856">
      <c r="A856" s="34" t="n"/>
      <c r="B856" s="35">
        <f>IF(A856="","",YEAR(A856))</f>
        <v/>
      </c>
      <c r="C856" s="36">
        <f>IF(A856="","",MONTH(A856))</f>
        <v/>
      </c>
      <c r="D856" s="18" t="n"/>
      <c r="E856" s="18" t="n"/>
      <c r="F856" s="18" t="n"/>
      <c r="G856" s="18" t="n"/>
      <c r="H856" s="18" t="n"/>
      <c r="I856" s="18" t="n"/>
      <c r="J856" s="18" t="n"/>
    </row>
    <row r="857">
      <c r="A857" s="41" t="n"/>
      <c r="B857" s="35">
        <f>IF(A857="","",YEAR(A857))</f>
        <v/>
      </c>
      <c r="C857" s="36">
        <f>IF(A857="","",MONTH(A857))</f>
        <v/>
      </c>
      <c r="D857" s="22" t="n"/>
      <c r="E857" s="22" t="n"/>
      <c r="F857" s="22" t="n"/>
      <c r="G857" s="22" t="n"/>
      <c r="H857" s="22" t="n"/>
      <c r="I857" s="22" t="n"/>
      <c r="J857" s="22" t="n"/>
    </row>
    <row r="858">
      <c r="A858" s="34" t="n"/>
      <c r="B858" s="35">
        <f>IF(A858="","",YEAR(A858))</f>
        <v/>
      </c>
      <c r="C858" s="36">
        <f>IF(A858="","",MONTH(A858))</f>
        <v/>
      </c>
      <c r="D858" s="18" t="n"/>
      <c r="E858" s="18" t="n"/>
      <c r="F858" s="18" t="n"/>
      <c r="G858" s="18" t="n"/>
      <c r="H858" s="18" t="n"/>
      <c r="I858" s="18" t="n"/>
      <c r="J858" s="18" t="n"/>
    </row>
    <row r="859">
      <c r="A859" s="41" t="n"/>
      <c r="B859" s="35">
        <f>IF(A859="","",YEAR(A859))</f>
        <v/>
      </c>
      <c r="C859" s="36">
        <f>IF(A859="","",MONTH(A859))</f>
        <v/>
      </c>
      <c r="D859" s="22" t="n"/>
      <c r="E859" s="22" t="n"/>
      <c r="F859" s="22" t="n"/>
      <c r="G859" s="22" t="n"/>
      <c r="H859" s="22" t="n"/>
      <c r="I859" s="22" t="n"/>
      <c r="J859" s="22" t="n"/>
    </row>
    <row r="860">
      <c r="A860" s="34" t="n"/>
      <c r="B860" s="35">
        <f>IF(A860="","",YEAR(A860))</f>
        <v/>
      </c>
      <c r="C860" s="36">
        <f>IF(A860="","",MONTH(A860))</f>
        <v/>
      </c>
      <c r="D860" s="18" t="n"/>
      <c r="E860" s="18" t="n"/>
      <c r="F860" s="18" t="n"/>
      <c r="G860" s="18" t="n"/>
      <c r="H860" s="18" t="n"/>
      <c r="I860" s="18" t="n"/>
      <c r="J860" s="18" t="n"/>
    </row>
    <row r="861">
      <c r="A861" s="41" t="n"/>
      <c r="B861" s="35">
        <f>IF(A861="","",YEAR(A861))</f>
        <v/>
      </c>
      <c r="C861" s="36">
        <f>IF(A861="","",MONTH(A861))</f>
        <v/>
      </c>
      <c r="D861" s="22" t="n"/>
      <c r="E861" s="22" t="n"/>
      <c r="F861" s="22" t="n"/>
      <c r="G861" s="22" t="n"/>
      <c r="H861" s="22" t="n"/>
      <c r="I861" s="22" t="n"/>
      <c r="J861" s="22" t="n"/>
    </row>
    <row r="862">
      <c r="A862" s="34" t="n"/>
      <c r="B862" s="35">
        <f>IF(A862="","",YEAR(A862))</f>
        <v/>
      </c>
      <c r="C862" s="36">
        <f>IF(A862="","",MONTH(A862))</f>
        <v/>
      </c>
      <c r="D862" s="18" t="n"/>
      <c r="E862" s="18" t="n"/>
      <c r="F862" s="18" t="n"/>
      <c r="G862" s="18" t="n"/>
      <c r="H862" s="18" t="n"/>
      <c r="I862" s="18" t="n"/>
      <c r="J862" s="18" t="n"/>
    </row>
    <row r="863">
      <c r="A863" s="41" t="n"/>
      <c r="B863" s="35">
        <f>IF(A863="","",YEAR(A863))</f>
        <v/>
      </c>
      <c r="C863" s="36">
        <f>IF(A863="","",MONTH(A863))</f>
        <v/>
      </c>
      <c r="D863" s="22" t="n"/>
      <c r="E863" s="22" t="n"/>
      <c r="F863" s="22" t="n"/>
      <c r="G863" s="22" t="n"/>
      <c r="H863" s="22" t="n"/>
      <c r="I863" s="22" t="n"/>
      <c r="J863" s="22" t="n"/>
    </row>
    <row r="864">
      <c r="A864" s="34" t="n"/>
      <c r="B864" s="35">
        <f>IF(A864="","",YEAR(A864))</f>
        <v/>
      </c>
      <c r="C864" s="36">
        <f>IF(A864="","",MONTH(A864))</f>
        <v/>
      </c>
      <c r="D864" s="18" t="n"/>
      <c r="E864" s="18" t="n"/>
      <c r="F864" s="18" t="n"/>
      <c r="G864" s="18" t="n"/>
      <c r="H864" s="18" t="n"/>
      <c r="I864" s="18" t="n"/>
      <c r="J864" s="18" t="n"/>
    </row>
    <row r="865">
      <c r="A865" s="41" t="n"/>
      <c r="B865" s="35">
        <f>IF(A865="","",YEAR(A865))</f>
        <v/>
      </c>
      <c r="C865" s="36">
        <f>IF(A865="","",MONTH(A865))</f>
        <v/>
      </c>
      <c r="D865" s="22" t="n"/>
      <c r="E865" s="22" t="n"/>
      <c r="F865" s="22" t="n"/>
      <c r="G865" s="22" t="n"/>
      <c r="H865" s="22" t="n"/>
      <c r="I865" s="22" t="n"/>
      <c r="J865" s="22" t="n"/>
    </row>
    <row r="866">
      <c r="A866" s="34" t="n"/>
      <c r="B866" s="35">
        <f>IF(A866="","",YEAR(A866))</f>
        <v/>
      </c>
      <c r="C866" s="36">
        <f>IF(A866="","",MONTH(A866))</f>
        <v/>
      </c>
      <c r="D866" s="18" t="n"/>
      <c r="E866" s="18" t="n"/>
      <c r="F866" s="18" t="n"/>
      <c r="G866" s="18" t="n"/>
      <c r="H866" s="18" t="n"/>
      <c r="I866" s="18" t="n"/>
      <c r="J866" s="18" t="n"/>
    </row>
    <row r="867">
      <c r="A867" s="41" t="n"/>
      <c r="B867" s="35">
        <f>IF(A867="","",YEAR(A867))</f>
        <v/>
      </c>
      <c r="C867" s="36">
        <f>IF(A867="","",MONTH(A867))</f>
        <v/>
      </c>
      <c r="D867" s="22" t="n"/>
      <c r="E867" s="22" t="n"/>
      <c r="F867" s="22" t="n"/>
      <c r="G867" s="22" t="n"/>
      <c r="H867" s="22" t="n"/>
      <c r="I867" s="22" t="n"/>
      <c r="J867" s="22" t="n"/>
    </row>
    <row r="868">
      <c r="A868" s="34" t="n"/>
      <c r="B868" s="35">
        <f>IF(A868="","",YEAR(A868))</f>
        <v/>
      </c>
      <c r="C868" s="36">
        <f>IF(A868="","",MONTH(A868))</f>
        <v/>
      </c>
      <c r="D868" s="18" t="n"/>
      <c r="E868" s="18" t="n"/>
      <c r="F868" s="18" t="n"/>
      <c r="G868" s="18" t="n"/>
      <c r="H868" s="18" t="n"/>
      <c r="I868" s="18" t="n"/>
      <c r="J868" s="18" t="n"/>
    </row>
    <row r="869">
      <c r="A869" s="41" t="n"/>
      <c r="B869" s="35">
        <f>IF(A869="","",YEAR(A869))</f>
        <v/>
      </c>
      <c r="C869" s="36">
        <f>IF(A869="","",MONTH(A869))</f>
        <v/>
      </c>
      <c r="D869" s="22" t="n"/>
      <c r="E869" s="22" t="n"/>
      <c r="F869" s="22" t="n"/>
      <c r="G869" s="22" t="n"/>
      <c r="H869" s="22" t="n"/>
      <c r="I869" s="22" t="n"/>
      <c r="J869" s="22" t="n"/>
    </row>
    <row r="870">
      <c r="A870" s="34" t="n"/>
      <c r="B870" s="35">
        <f>IF(A870="","",YEAR(A870))</f>
        <v/>
      </c>
      <c r="C870" s="36">
        <f>IF(A870="","",MONTH(A870))</f>
        <v/>
      </c>
      <c r="D870" s="18" t="n"/>
      <c r="E870" s="18" t="n"/>
      <c r="F870" s="18" t="n"/>
      <c r="G870" s="18" t="n"/>
      <c r="H870" s="18" t="n"/>
      <c r="I870" s="18" t="n"/>
      <c r="J870" s="18" t="n"/>
    </row>
    <row r="871">
      <c r="A871" s="41" t="n"/>
      <c r="B871" s="35">
        <f>IF(A871="","",YEAR(A871))</f>
        <v/>
      </c>
      <c r="C871" s="36">
        <f>IF(A871="","",MONTH(A871))</f>
        <v/>
      </c>
      <c r="D871" s="22" t="n"/>
      <c r="E871" s="22" t="n"/>
      <c r="F871" s="22" t="n"/>
      <c r="G871" s="22" t="n"/>
      <c r="H871" s="22" t="n"/>
      <c r="I871" s="22" t="n"/>
      <c r="J871" s="22" t="n"/>
    </row>
    <row r="872">
      <c r="A872" s="34" t="n"/>
      <c r="B872" s="35">
        <f>IF(A872="","",YEAR(A872))</f>
        <v/>
      </c>
      <c r="C872" s="36">
        <f>IF(A872="","",MONTH(A872))</f>
        <v/>
      </c>
      <c r="D872" s="18" t="n"/>
      <c r="E872" s="18" t="n"/>
      <c r="F872" s="18" t="n"/>
      <c r="G872" s="18" t="n"/>
      <c r="H872" s="18" t="n"/>
      <c r="I872" s="18" t="n"/>
      <c r="J872" s="18" t="n"/>
    </row>
    <row r="873">
      <c r="A873" s="41" t="n"/>
      <c r="B873" s="35">
        <f>IF(A873="","",YEAR(A873))</f>
        <v/>
      </c>
      <c r="C873" s="36">
        <f>IF(A873="","",MONTH(A873))</f>
        <v/>
      </c>
      <c r="D873" s="22" t="n"/>
      <c r="E873" s="22" t="n"/>
      <c r="F873" s="22" t="n"/>
      <c r="G873" s="22" t="n"/>
      <c r="H873" s="22" t="n"/>
      <c r="I873" s="22" t="n"/>
      <c r="J873" s="22" t="n"/>
    </row>
    <row r="874">
      <c r="A874" s="34" t="n"/>
      <c r="B874" s="35">
        <f>IF(A874="","",YEAR(A874))</f>
        <v/>
      </c>
      <c r="C874" s="36">
        <f>IF(A874="","",MONTH(A874))</f>
        <v/>
      </c>
      <c r="D874" s="18" t="n"/>
      <c r="E874" s="18" t="n"/>
      <c r="F874" s="18" t="n"/>
      <c r="G874" s="18" t="n"/>
      <c r="H874" s="18" t="n"/>
      <c r="I874" s="18" t="n"/>
      <c r="J874" s="18" t="n"/>
    </row>
    <row r="875">
      <c r="A875" s="41" t="n"/>
      <c r="B875" s="35">
        <f>IF(A875="","",YEAR(A875))</f>
        <v/>
      </c>
      <c r="C875" s="36">
        <f>IF(A875="","",MONTH(A875))</f>
        <v/>
      </c>
      <c r="D875" s="22" t="n"/>
      <c r="E875" s="22" t="n"/>
      <c r="F875" s="22" t="n"/>
      <c r="G875" s="22" t="n"/>
      <c r="H875" s="22" t="n"/>
      <c r="I875" s="22" t="n"/>
      <c r="J875" s="22" t="n"/>
    </row>
    <row r="876">
      <c r="A876" s="34" t="n"/>
      <c r="B876" s="35">
        <f>IF(A876="","",YEAR(A876))</f>
        <v/>
      </c>
      <c r="C876" s="36">
        <f>IF(A876="","",MONTH(A876))</f>
        <v/>
      </c>
      <c r="D876" s="18" t="n"/>
      <c r="E876" s="18" t="n"/>
      <c r="F876" s="18" t="n"/>
      <c r="G876" s="18" t="n"/>
      <c r="H876" s="18" t="n"/>
      <c r="I876" s="18" t="n"/>
      <c r="J876" s="18" t="n"/>
    </row>
    <row r="877">
      <c r="A877" s="41" t="n"/>
      <c r="B877" s="35">
        <f>IF(A877="","",YEAR(A877))</f>
        <v/>
      </c>
      <c r="C877" s="36">
        <f>IF(A877="","",MONTH(A877))</f>
        <v/>
      </c>
      <c r="D877" s="22" t="n"/>
      <c r="E877" s="22" t="n"/>
      <c r="F877" s="22" t="n"/>
      <c r="G877" s="22" t="n"/>
      <c r="H877" s="22" t="n"/>
      <c r="I877" s="22" t="n"/>
      <c r="J877" s="22" t="n"/>
    </row>
    <row r="878">
      <c r="A878" s="34" t="n"/>
      <c r="B878" s="35">
        <f>IF(A878="","",YEAR(A878))</f>
        <v/>
      </c>
      <c r="C878" s="36">
        <f>IF(A878="","",MONTH(A878))</f>
        <v/>
      </c>
      <c r="D878" s="18" t="n"/>
      <c r="E878" s="18" t="n"/>
      <c r="F878" s="18" t="n"/>
      <c r="G878" s="18" t="n"/>
      <c r="H878" s="18" t="n"/>
      <c r="I878" s="18" t="n"/>
      <c r="J878" s="18" t="n"/>
    </row>
    <row r="879">
      <c r="A879" s="41" t="n"/>
      <c r="B879" s="35">
        <f>IF(A879="","",YEAR(A879))</f>
        <v/>
      </c>
      <c r="C879" s="36">
        <f>IF(A879="","",MONTH(A879))</f>
        <v/>
      </c>
      <c r="D879" s="22" t="n"/>
      <c r="E879" s="22" t="n"/>
      <c r="F879" s="22" t="n"/>
      <c r="G879" s="22" t="n"/>
      <c r="H879" s="22" t="n"/>
      <c r="I879" s="22" t="n"/>
      <c r="J879" s="22" t="n"/>
    </row>
    <row r="880">
      <c r="A880" s="34" t="n"/>
      <c r="B880" s="35">
        <f>IF(A880="","",YEAR(A880))</f>
        <v/>
      </c>
      <c r="C880" s="36">
        <f>IF(A880="","",MONTH(A880))</f>
        <v/>
      </c>
      <c r="D880" s="18" t="n"/>
      <c r="E880" s="18" t="n"/>
      <c r="F880" s="18" t="n"/>
      <c r="G880" s="18" t="n"/>
      <c r="H880" s="18" t="n"/>
      <c r="I880" s="18" t="n"/>
      <c r="J880" s="18" t="n"/>
    </row>
    <row r="881">
      <c r="A881" s="41" t="n"/>
      <c r="B881" s="35">
        <f>IF(A881="","",YEAR(A881))</f>
        <v/>
      </c>
      <c r="C881" s="36">
        <f>IF(A881="","",MONTH(A881))</f>
        <v/>
      </c>
      <c r="D881" s="22" t="n"/>
      <c r="E881" s="22" t="n"/>
      <c r="F881" s="22" t="n"/>
      <c r="G881" s="22" t="n"/>
      <c r="H881" s="22" t="n"/>
      <c r="I881" s="22" t="n"/>
      <c r="J881" s="22" t="n"/>
    </row>
    <row r="882">
      <c r="A882" s="34" t="n"/>
      <c r="B882" s="35">
        <f>IF(A882="","",YEAR(A882))</f>
        <v/>
      </c>
      <c r="C882" s="36">
        <f>IF(A882="","",MONTH(A882))</f>
        <v/>
      </c>
      <c r="D882" s="18" t="n"/>
      <c r="E882" s="18" t="n"/>
      <c r="F882" s="18" t="n"/>
      <c r="G882" s="18" t="n"/>
      <c r="H882" s="18" t="n"/>
      <c r="I882" s="18" t="n"/>
      <c r="J882" s="18" t="n"/>
    </row>
    <row r="883">
      <c r="A883" s="41" t="n"/>
      <c r="B883" s="35">
        <f>IF(A883="","",YEAR(A883))</f>
        <v/>
      </c>
      <c r="C883" s="36">
        <f>IF(A883="","",MONTH(A883))</f>
        <v/>
      </c>
      <c r="D883" s="22" t="n"/>
      <c r="E883" s="22" t="n"/>
      <c r="F883" s="22" t="n"/>
      <c r="G883" s="22" t="n"/>
      <c r="H883" s="22" t="n"/>
      <c r="I883" s="22" t="n"/>
      <c r="J883" s="22" t="n"/>
    </row>
    <row r="884">
      <c r="A884" s="34" t="n"/>
      <c r="B884" s="35">
        <f>IF(A884="","",YEAR(A884))</f>
        <v/>
      </c>
      <c r="C884" s="36">
        <f>IF(A884="","",MONTH(A884))</f>
        <v/>
      </c>
      <c r="D884" s="18" t="n"/>
      <c r="E884" s="18" t="n"/>
      <c r="F884" s="18" t="n"/>
      <c r="G884" s="18" t="n"/>
      <c r="H884" s="18" t="n"/>
      <c r="I884" s="18" t="n"/>
      <c r="J884" s="18" t="n"/>
    </row>
    <row r="885">
      <c r="A885" s="41" t="n"/>
      <c r="B885" s="35">
        <f>IF(A885="","",YEAR(A885))</f>
        <v/>
      </c>
      <c r="C885" s="36">
        <f>IF(A885="","",MONTH(A885))</f>
        <v/>
      </c>
      <c r="D885" s="22" t="n"/>
      <c r="E885" s="22" t="n"/>
      <c r="F885" s="22" t="n"/>
      <c r="G885" s="22" t="n"/>
      <c r="H885" s="22" t="n"/>
      <c r="I885" s="22" t="n"/>
      <c r="J885" s="22" t="n"/>
    </row>
    <row r="886">
      <c r="A886" s="34" t="n"/>
      <c r="B886" s="35">
        <f>IF(A886="","",YEAR(A886))</f>
        <v/>
      </c>
      <c r="C886" s="36">
        <f>IF(A886="","",MONTH(A886))</f>
        <v/>
      </c>
      <c r="D886" s="18" t="n"/>
      <c r="E886" s="18" t="n"/>
      <c r="F886" s="18" t="n"/>
      <c r="G886" s="18" t="n"/>
      <c r="H886" s="18" t="n"/>
      <c r="I886" s="18" t="n"/>
      <c r="J886" s="18" t="n"/>
    </row>
    <row r="887">
      <c r="A887" s="41" t="n"/>
      <c r="B887" s="35">
        <f>IF(A887="","",YEAR(A887))</f>
        <v/>
      </c>
      <c r="C887" s="36">
        <f>IF(A887="","",MONTH(A887))</f>
        <v/>
      </c>
      <c r="D887" s="22" t="n"/>
      <c r="E887" s="22" t="n"/>
      <c r="F887" s="22" t="n"/>
      <c r="G887" s="22" t="n"/>
      <c r="H887" s="22" t="n"/>
      <c r="I887" s="22" t="n"/>
      <c r="J887" s="22" t="n"/>
    </row>
    <row r="888">
      <c r="A888" s="34" t="n"/>
      <c r="B888" s="35">
        <f>IF(A888="","",YEAR(A888))</f>
        <v/>
      </c>
      <c r="C888" s="36">
        <f>IF(A888="","",MONTH(A888))</f>
        <v/>
      </c>
      <c r="D888" s="18" t="n"/>
      <c r="E888" s="18" t="n"/>
      <c r="F888" s="18" t="n"/>
      <c r="G888" s="18" t="n"/>
      <c r="H888" s="18" t="n"/>
      <c r="I888" s="18" t="n"/>
      <c r="J888" s="18" t="n"/>
    </row>
    <row r="889">
      <c r="A889" s="41" t="n"/>
      <c r="B889" s="35">
        <f>IF(A889="","",YEAR(A889))</f>
        <v/>
      </c>
      <c r="C889" s="36">
        <f>IF(A889="","",MONTH(A889))</f>
        <v/>
      </c>
      <c r="D889" s="22" t="n"/>
      <c r="E889" s="22" t="n"/>
      <c r="F889" s="22" t="n"/>
      <c r="G889" s="22" t="n"/>
      <c r="H889" s="22" t="n"/>
      <c r="I889" s="22" t="n"/>
      <c r="J889" s="22" t="n"/>
    </row>
    <row r="890">
      <c r="A890" s="34" t="n"/>
      <c r="B890" s="35">
        <f>IF(A890="","",YEAR(A890))</f>
        <v/>
      </c>
      <c r="C890" s="36">
        <f>IF(A890="","",MONTH(A890))</f>
        <v/>
      </c>
      <c r="D890" s="18" t="n"/>
      <c r="E890" s="18" t="n"/>
      <c r="F890" s="18" t="n"/>
      <c r="G890" s="18" t="n"/>
      <c r="H890" s="18" t="n"/>
      <c r="I890" s="18" t="n"/>
      <c r="J890" s="18" t="n"/>
    </row>
    <row r="891">
      <c r="A891" s="41" t="n"/>
      <c r="B891" s="35">
        <f>IF(A891="","",YEAR(A891))</f>
        <v/>
      </c>
      <c r="C891" s="36">
        <f>IF(A891="","",MONTH(A891))</f>
        <v/>
      </c>
      <c r="D891" s="22" t="n"/>
      <c r="E891" s="22" t="n"/>
      <c r="F891" s="22" t="n"/>
      <c r="G891" s="22" t="n"/>
      <c r="H891" s="22" t="n"/>
      <c r="I891" s="22" t="n"/>
      <c r="J891" s="22" t="n"/>
    </row>
    <row r="892">
      <c r="A892" s="34" t="n"/>
      <c r="B892" s="35">
        <f>IF(A892="","",YEAR(A892))</f>
        <v/>
      </c>
      <c r="C892" s="36">
        <f>IF(A892="","",MONTH(A892))</f>
        <v/>
      </c>
      <c r="D892" s="18" t="n"/>
      <c r="E892" s="18" t="n"/>
      <c r="F892" s="18" t="n"/>
      <c r="G892" s="18" t="n"/>
      <c r="H892" s="18" t="n"/>
      <c r="I892" s="18" t="n"/>
      <c r="J892" s="18" t="n"/>
    </row>
    <row r="893">
      <c r="A893" s="41" t="n"/>
      <c r="B893" s="35">
        <f>IF(A893="","",YEAR(A893))</f>
        <v/>
      </c>
      <c r="C893" s="36">
        <f>IF(A893="","",MONTH(A893))</f>
        <v/>
      </c>
      <c r="D893" s="22" t="n"/>
      <c r="E893" s="22" t="n"/>
      <c r="F893" s="22" t="n"/>
      <c r="G893" s="22" t="n"/>
      <c r="H893" s="22" t="n"/>
      <c r="I893" s="22" t="n"/>
      <c r="J893" s="22" t="n"/>
    </row>
    <row r="894">
      <c r="A894" s="34" t="n"/>
      <c r="B894" s="35">
        <f>IF(A894="","",YEAR(A894))</f>
        <v/>
      </c>
      <c r="C894" s="36">
        <f>IF(A894="","",MONTH(A894))</f>
        <v/>
      </c>
      <c r="D894" s="18" t="n"/>
      <c r="E894" s="18" t="n"/>
      <c r="F894" s="18" t="n"/>
      <c r="G894" s="18" t="n"/>
      <c r="H894" s="18" t="n"/>
      <c r="I894" s="18" t="n"/>
      <c r="J894" s="18" t="n"/>
    </row>
    <row r="895">
      <c r="A895" s="41" t="n"/>
      <c r="B895" s="35">
        <f>IF(A895="","",YEAR(A895))</f>
        <v/>
      </c>
      <c r="C895" s="36">
        <f>IF(A895="","",MONTH(A895))</f>
        <v/>
      </c>
      <c r="D895" s="22" t="n"/>
      <c r="E895" s="22" t="n"/>
      <c r="F895" s="22" t="n"/>
      <c r="G895" s="22" t="n"/>
      <c r="H895" s="22" t="n"/>
      <c r="I895" s="22" t="n"/>
      <c r="J895" s="22" t="n"/>
    </row>
    <row r="896">
      <c r="A896" s="34" t="n"/>
      <c r="B896" s="35">
        <f>IF(A896="","",YEAR(A896))</f>
        <v/>
      </c>
      <c r="C896" s="36">
        <f>IF(A896="","",MONTH(A896))</f>
        <v/>
      </c>
      <c r="D896" s="18" t="n"/>
      <c r="E896" s="18" t="n"/>
      <c r="F896" s="18" t="n"/>
      <c r="G896" s="18" t="n"/>
      <c r="H896" s="18" t="n"/>
      <c r="I896" s="18" t="n"/>
      <c r="J896" s="18" t="n"/>
    </row>
    <row r="897">
      <c r="A897" s="41" t="n"/>
      <c r="B897" s="35">
        <f>IF(A897="","",YEAR(A897))</f>
        <v/>
      </c>
      <c r="C897" s="36">
        <f>IF(A897="","",MONTH(A897))</f>
        <v/>
      </c>
      <c r="D897" s="22" t="n"/>
      <c r="E897" s="22" t="n"/>
      <c r="F897" s="22" t="n"/>
      <c r="G897" s="22" t="n"/>
      <c r="H897" s="22" t="n"/>
      <c r="I897" s="22" t="n"/>
      <c r="J897" s="22" t="n"/>
    </row>
    <row r="898">
      <c r="A898" s="34" t="n"/>
      <c r="B898" s="35">
        <f>IF(A898="","",YEAR(A898))</f>
        <v/>
      </c>
      <c r="C898" s="36">
        <f>IF(A898="","",MONTH(A898))</f>
        <v/>
      </c>
      <c r="D898" s="18" t="n"/>
      <c r="E898" s="18" t="n"/>
      <c r="F898" s="18" t="n"/>
      <c r="G898" s="18" t="n"/>
      <c r="H898" s="18" t="n"/>
      <c r="I898" s="18" t="n"/>
      <c r="J898" s="18" t="n"/>
    </row>
    <row r="899">
      <c r="A899" s="41" t="n"/>
      <c r="B899" s="35">
        <f>IF(A899="","",YEAR(A899))</f>
        <v/>
      </c>
      <c r="C899" s="36">
        <f>IF(A899="","",MONTH(A899))</f>
        <v/>
      </c>
      <c r="D899" s="22" t="n"/>
      <c r="E899" s="22" t="n"/>
      <c r="F899" s="22" t="n"/>
      <c r="G899" s="22" t="n"/>
      <c r="H899" s="22" t="n"/>
      <c r="I899" s="22" t="n"/>
      <c r="J899" s="22" t="n"/>
    </row>
    <row r="900">
      <c r="A900" s="34" t="n"/>
      <c r="B900" s="35">
        <f>IF(A900="","",YEAR(A900))</f>
        <v/>
      </c>
      <c r="C900" s="36">
        <f>IF(A900="","",MONTH(A900))</f>
        <v/>
      </c>
      <c r="D900" s="18" t="n"/>
      <c r="E900" s="18" t="n"/>
      <c r="F900" s="18" t="n"/>
      <c r="G900" s="18" t="n"/>
      <c r="H900" s="18" t="n"/>
      <c r="I900" s="18" t="n"/>
      <c r="J900" s="18" t="n"/>
    </row>
    <row r="901">
      <c r="A901" s="41" t="n"/>
      <c r="B901" s="35">
        <f>IF(A901="","",YEAR(A901))</f>
        <v/>
      </c>
      <c r="C901" s="36">
        <f>IF(A901="","",MONTH(A901))</f>
        <v/>
      </c>
      <c r="D901" s="22" t="n"/>
      <c r="E901" s="22" t="n"/>
      <c r="F901" s="22" t="n"/>
      <c r="G901" s="22" t="n"/>
      <c r="H901" s="22" t="n"/>
      <c r="I901" s="22" t="n"/>
      <c r="J901" s="22" t="n"/>
    </row>
    <row r="902">
      <c r="A902" s="34" t="n"/>
      <c r="B902" s="35">
        <f>IF(A902="","",YEAR(A902))</f>
        <v/>
      </c>
      <c r="C902" s="36">
        <f>IF(A902="","",MONTH(A902))</f>
        <v/>
      </c>
      <c r="D902" s="18" t="n"/>
      <c r="E902" s="18" t="n"/>
      <c r="F902" s="18" t="n"/>
      <c r="G902" s="18" t="n"/>
      <c r="H902" s="18" t="n"/>
      <c r="I902" s="18" t="n"/>
      <c r="J902" s="18" t="n"/>
    </row>
    <row r="903">
      <c r="A903" s="41" t="n"/>
      <c r="B903" s="35">
        <f>IF(A903="","",YEAR(A903))</f>
        <v/>
      </c>
      <c r="C903" s="36">
        <f>IF(A903="","",MONTH(A903))</f>
        <v/>
      </c>
      <c r="D903" s="22" t="n"/>
      <c r="E903" s="22" t="n"/>
      <c r="F903" s="22" t="n"/>
      <c r="G903" s="22" t="n"/>
      <c r="H903" s="22" t="n"/>
      <c r="I903" s="22" t="n"/>
      <c r="J903" s="22" t="n"/>
    </row>
    <row r="904">
      <c r="A904" s="34" t="n"/>
      <c r="B904" s="35">
        <f>IF(A904="","",YEAR(A904))</f>
        <v/>
      </c>
      <c r="C904" s="36">
        <f>IF(A904="","",MONTH(A904))</f>
        <v/>
      </c>
      <c r="D904" s="18" t="n"/>
      <c r="E904" s="18" t="n"/>
      <c r="F904" s="18" t="n"/>
      <c r="G904" s="18" t="n"/>
      <c r="H904" s="18" t="n"/>
      <c r="I904" s="18" t="n"/>
      <c r="J904" s="18" t="n"/>
    </row>
    <row r="905">
      <c r="A905" s="41" t="n"/>
      <c r="B905" s="35">
        <f>IF(A905="","",YEAR(A905))</f>
        <v/>
      </c>
      <c r="C905" s="36">
        <f>IF(A905="","",MONTH(A905))</f>
        <v/>
      </c>
      <c r="D905" s="22" t="n"/>
      <c r="E905" s="22" t="n"/>
      <c r="F905" s="22" t="n"/>
      <c r="G905" s="22" t="n"/>
      <c r="H905" s="22" t="n"/>
      <c r="I905" s="22" t="n"/>
      <c r="J905" s="22" t="n"/>
    </row>
    <row r="906">
      <c r="A906" s="34" t="n"/>
      <c r="B906" s="35">
        <f>IF(A906="","",YEAR(A906))</f>
        <v/>
      </c>
      <c r="C906" s="36">
        <f>IF(A906="","",MONTH(A906))</f>
        <v/>
      </c>
      <c r="D906" s="18" t="n"/>
      <c r="E906" s="18" t="n"/>
      <c r="F906" s="18" t="n"/>
      <c r="G906" s="18" t="n"/>
      <c r="H906" s="18" t="n"/>
      <c r="I906" s="18" t="n"/>
      <c r="J906" s="18" t="n"/>
    </row>
    <row r="907">
      <c r="A907" s="41" t="n"/>
      <c r="B907" s="35">
        <f>IF(A907="","",YEAR(A907))</f>
        <v/>
      </c>
      <c r="C907" s="36">
        <f>IF(A907="","",MONTH(A907))</f>
        <v/>
      </c>
      <c r="D907" s="22" t="n"/>
      <c r="E907" s="22" t="n"/>
      <c r="F907" s="22" t="n"/>
      <c r="G907" s="22" t="n"/>
      <c r="H907" s="22" t="n"/>
      <c r="I907" s="22" t="n"/>
      <c r="J907" s="22" t="n"/>
    </row>
    <row r="908">
      <c r="A908" s="34" t="n"/>
      <c r="B908" s="35">
        <f>IF(A908="","",YEAR(A908))</f>
        <v/>
      </c>
      <c r="C908" s="36">
        <f>IF(A908="","",MONTH(A908))</f>
        <v/>
      </c>
      <c r="D908" s="18" t="n"/>
      <c r="E908" s="18" t="n"/>
      <c r="F908" s="18" t="n"/>
      <c r="G908" s="18" t="n"/>
      <c r="H908" s="18" t="n"/>
      <c r="I908" s="18" t="n"/>
      <c r="J908" s="18" t="n"/>
    </row>
    <row r="909">
      <c r="A909" s="41" t="n"/>
      <c r="B909" s="35">
        <f>IF(A909="","",YEAR(A909))</f>
        <v/>
      </c>
      <c r="C909" s="36">
        <f>IF(A909="","",MONTH(A909))</f>
        <v/>
      </c>
      <c r="D909" s="22" t="n"/>
      <c r="E909" s="22" t="n"/>
      <c r="F909" s="22" t="n"/>
      <c r="G909" s="22" t="n"/>
      <c r="H909" s="22" t="n"/>
      <c r="I909" s="22" t="n"/>
      <c r="J909" s="22" t="n"/>
    </row>
    <row r="910">
      <c r="A910" s="34" t="n"/>
      <c r="B910" s="35">
        <f>IF(A910="","",YEAR(A910))</f>
        <v/>
      </c>
      <c r="C910" s="36">
        <f>IF(A910="","",MONTH(A910))</f>
        <v/>
      </c>
      <c r="D910" s="18" t="n"/>
      <c r="E910" s="18" t="n"/>
      <c r="F910" s="18" t="n"/>
      <c r="G910" s="18" t="n"/>
      <c r="H910" s="18" t="n"/>
      <c r="I910" s="18" t="n"/>
      <c r="J910" s="18" t="n"/>
    </row>
    <row r="911">
      <c r="A911" s="41" t="n"/>
      <c r="B911" s="35">
        <f>IF(A911="","",YEAR(A911))</f>
        <v/>
      </c>
      <c r="C911" s="36">
        <f>IF(A911="","",MONTH(A911))</f>
        <v/>
      </c>
      <c r="D911" s="22" t="n"/>
      <c r="E911" s="22" t="n"/>
      <c r="F911" s="22" t="n"/>
      <c r="G911" s="22" t="n"/>
      <c r="H911" s="22" t="n"/>
      <c r="I911" s="22" t="n"/>
      <c r="J911" s="22" t="n"/>
    </row>
    <row r="912">
      <c r="A912" s="34" t="n"/>
      <c r="B912" s="35">
        <f>IF(A912="","",YEAR(A912))</f>
        <v/>
      </c>
      <c r="C912" s="36">
        <f>IF(A912="","",MONTH(A912))</f>
        <v/>
      </c>
      <c r="D912" s="18" t="n"/>
      <c r="E912" s="18" t="n"/>
      <c r="F912" s="18" t="n"/>
      <c r="G912" s="18" t="n"/>
      <c r="H912" s="18" t="n"/>
      <c r="I912" s="18" t="n"/>
      <c r="J912" s="18" t="n"/>
    </row>
    <row r="913">
      <c r="A913" s="41" t="n"/>
      <c r="B913" s="35">
        <f>IF(A913="","",YEAR(A913))</f>
        <v/>
      </c>
      <c r="C913" s="36">
        <f>IF(A913="","",MONTH(A913))</f>
        <v/>
      </c>
      <c r="D913" s="22" t="n"/>
      <c r="E913" s="22" t="n"/>
      <c r="F913" s="22" t="n"/>
      <c r="G913" s="22" t="n"/>
      <c r="H913" s="22" t="n"/>
      <c r="I913" s="22" t="n"/>
      <c r="J913" s="22" t="n"/>
    </row>
    <row r="914">
      <c r="A914" s="34" t="n"/>
      <c r="B914" s="35">
        <f>IF(A914="","",YEAR(A914))</f>
        <v/>
      </c>
      <c r="C914" s="36">
        <f>IF(A914="","",MONTH(A914))</f>
        <v/>
      </c>
      <c r="D914" s="18" t="n"/>
      <c r="E914" s="18" t="n"/>
      <c r="F914" s="18" t="n"/>
      <c r="G914" s="18" t="n"/>
      <c r="H914" s="18" t="n"/>
      <c r="I914" s="18" t="n"/>
      <c r="J914" s="18" t="n"/>
    </row>
    <row r="915">
      <c r="A915" s="41" t="n"/>
      <c r="B915" s="35">
        <f>IF(A915="","",YEAR(A915))</f>
        <v/>
      </c>
      <c r="C915" s="36">
        <f>IF(A915="","",MONTH(A915))</f>
        <v/>
      </c>
      <c r="D915" s="22" t="n"/>
      <c r="E915" s="22" t="n"/>
      <c r="F915" s="22" t="n"/>
      <c r="G915" s="22" t="n"/>
      <c r="H915" s="22" t="n"/>
      <c r="I915" s="22" t="n"/>
      <c r="J915" s="22" t="n"/>
    </row>
    <row r="916">
      <c r="A916" s="34" t="n"/>
      <c r="B916" s="35">
        <f>IF(A916="","",YEAR(A916))</f>
        <v/>
      </c>
      <c r="C916" s="36">
        <f>IF(A916="","",MONTH(A916))</f>
        <v/>
      </c>
      <c r="D916" s="18" t="n"/>
      <c r="E916" s="18" t="n"/>
      <c r="F916" s="18" t="n"/>
      <c r="G916" s="18" t="n"/>
      <c r="H916" s="18" t="n"/>
      <c r="I916" s="18" t="n"/>
      <c r="J916" s="18" t="n"/>
    </row>
    <row r="917">
      <c r="A917" s="41" t="n"/>
      <c r="B917" s="35">
        <f>IF(A917="","",YEAR(A917))</f>
        <v/>
      </c>
      <c r="C917" s="36">
        <f>IF(A917="","",MONTH(A917))</f>
        <v/>
      </c>
      <c r="D917" s="22" t="n"/>
      <c r="E917" s="22" t="n"/>
      <c r="F917" s="22" t="n"/>
      <c r="G917" s="22" t="n"/>
      <c r="H917" s="22" t="n"/>
      <c r="I917" s="22" t="n"/>
      <c r="J917" s="22" t="n"/>
    </row>
    <row r="918">
      <c r="A918" s="34" t="n"/>
      <c r="B918" s="35">
        <f>IF(A918="","",YEAR(A918))</f>
        <v/>
      </c>
      <c r="C918" s="36">
        <f>IF(A918="","",MONTH(A918))</f>
        <v/>
      </c>
      <c r="D918" s="18" t="n"/>
      <c r="E918" s="18" t="n"/>
      <c r="F918" s="18" t="n"/>
      <c r="G918" s="18" t="n"/>
      <c r="H918" s="18" t="n"/>
      <c r="I918" s="18" t="n"/>
      <c r="J918" s="18" t="n"/>
    </row>
    <row r="919">
      <c r="A919" s="41" t="n"/>
      <c r="B919" s="35">
        <f>IF(A919="","",YEAR(A919))</f>
        <v/>
      </c>
      <c r="C919" s="36">
        <f>IF(A919="","",MONTH(A919))</f>
        <v/>
      </c>
      <c r="D919" s="22" t="n"/>
      <c r="E919" s="22" t="n"/>
      <c r="F919" s="22" t="n"/>
      <c r="G919" s="22" t="n"/>
      <c r="H919" s="22" t="n"/>
      <c r="I919" s="22" t="n"/>
      <c r="J919" s="22" t="n"/>
    </row>
    <row r="920">
      <c r="A920" s="34" t="n"/>
      <c r="B920" s="35">
        <f>IF(A920="","",YEAR(A920))</f>
        <v/>
      </c>
      <c r="C920" s="36">
        <f>IF(A920="","",MONTH(A920))</f>
        <v/>
      </c>
      <c r="D920" s="18" t="n"/>
      <c r="E920" s="18" t="n"/>
      <c r="F920" s="18" t="n"/>
      <c r="G920" s="18" t="n"/>
      <c r="H920" s="18" t="n"/>
      <c r="I920" s="18" t="n"/>
      <c r="J920" s="18" t="n"/>
    </row>
    <row r="921">
      <c r="A921" s="41" t="n"/>
      <c r="B921" s="35">
        <f>IF(A921="","",YEAR(A921))</f>
        <v/>
      </c>
      <c r="C921" s="36">
        <f>IF(A921="","",MONTH(A921))</f>
        <v/>
      </c>
      <c r="D921" s="22" t="n"/>
      <c r="E921" s="22" t="n"/>
      <c r="F921" s="22" t="n"/>
      <c r="G921" s="22" t="n"/>
      <c r="H921" s="22" t="n"/>
      <c r="I921" s="22" t="n"/>
      <c r="J921" s="22" t="n"/>
    </row>
    <row r="922">
      <c r="A922" s="34" t="n"/>
      <c r="B922" s="35">
        <f>IF(A922="","",YEAR(A922))</f>
        <v/>
      </c>
      <c r="C922" s="36">
        <f>IF(A922="","",MONTH(A922))</f>
        <v/>
      </c>
      <c r="D922" s="18" t="n"/>
      <c r="E922" s="18" t="n"/>
      <c r="F922" s="18" t="n"/>
      <c r="G922" s="18" t="n"/>
      <c r="H922" s="18" t="n"/>
      <c r="I922" s="18" t="n"/>
      <c r="J922" s="18" t="n"/>
    </row>
    <row r="923">
      <c r="A923" s="41" t="n"/>
      <c r="B923" s="35">
        <f>IF(A923="","",YEAR(A923))</f>
        <v/>
      </c>
      <c r="C923" s="36">
        <f>IF(A923="","",MONTH(A923))</f>
        <v/>
      </c>
      <c r="D923" s="22" t="n"/>
      <c r="E923" s="22" t="n"/>
      <c r="F923" s="22" t="n"/>
      <c r="G923" s="22" t="n"/>
      <c r="H923" s="22" t="n"/>
      <c r="I923" s="22" t="n"/>
      <c r="J923" s="22" t="n"/>
    </row>
    <row r="924">
      <c r="A924" s="34" t="n"/>
      <c r="B924" s="35">
        <f>IF(A924="","",YEAR(A924))</f>
        <v/>
      </c>
      <c r="C924" s="36">
        <f>IF(A924="","",MONTH(A924))</f>
        <v/>
      </c>
      <c r="D924" s="18" t="n"/>
      <c r="E924" s="18" t="n"/>
      <c r="F924" s="18" t="n"/>
      <c r="G924" s="18" t="n"/>
      <c r="H924" s="18" t="n"/>
      <c r="I924" s="18" t="n"/>
      <c r="J924" s="18" t="n"/>
    </row>
    <row r="925">
      <c r="A925" s="41" t="n"/>
      <c r="B925" s="35">
        <f>IF(A925="","",YEAR(A925))</f>
        <v/>
      </c>
      <c r="C925" s="36">
        <f>IF(A925="","",MONTH(A925))</f>
        <v/>
      </c>
      <c r="D925" s="22" t="n"/>
      <c r="E925" s="22" t="n"/>
      <c r="F925" s="22" t="n"/>
      <c r="G925" s="22" t="n"/>
      <c r="H925" s="22" t="n"/>
      <c r="I925" s="22" t="n"/>
      <c r="J925" s="22" t="n"/>
    </row>
    <row r="926">
      <c r="A926" s="34" t="n"/>
      <c r="B926" s="35">
        <f>IF(A926="","",YEAR(A926))</f>
        <v/>
      </c>
      <c r="C926" s="36">
        <f>IF(A926="","",MONTH(A926))</f>
        <v/>
      </c>
      <c r="D926" s="18" t="n"/>
      <c r="E926" s="18" t="n"/>
      <c r="F926" s="18" t="n"/>
      <c r="G926" s="18" t="n"/>
      <c r="H926" s="18" t="n"/>
      <c r="I926" s="18" t="n"/>
      <c r="J926" s="18" t="n"/>
    </row>
    <row r="927">
      <c r="A927" s="41" t="n"/>
      <c r="B927" s="35">
        <f>IF(A927="","",YEAR(A927))</f>
        <v/>
      </c>
      <c r="C927" s="36">
        <f>IF(A927="","",MONTH(A927))</f>
        <v/>
      </c>
      <c r="D927" s="22" t="n"/>
      <c r="E927" s="22" t="n"/>
      <c r="F927" s="22" t="n"/>
      <c r="G927" s="22" t="n"/>
      <c r="H927" s="22" t="n"/>
      <c r="I927" s="22" t="n"/>
      <c r="J927" s="22" t="n"/>
    </row>
    <row r="928">
      <c r="A928" s="34" t="n"/>
      <c r="B928" s="35">
        <f>IF(A928="","",YEAR(A928))</f>
        <v/>
      </c>
      <c r="C928" s="36">
        <f>IF(A928="","",MONTH(A928))</f>
        <v/>
      </c>
      <c r="D928" s="18" t="n"/>
      <c r="E928" s="18" t="n"/>
      <c r="F928" s="18" t="n"/>
      <c r="G928" s="18" t="n"/>
      <c r="H928" s="18" t="n"/>
      <c r="I928" s="18" t="n"/>
      <c r="J928" s="18" t="n"/>
    </row>
    <row r="929">
      <c r="A929" s="41" t="n"/>
      <c r="B929" s="35">
        <f>IF(A929="","",YEAR(A929))</f>
        <v/>
      </c>
      <c r="C929" s="36">
        <f>IF(A929="","",MONTH(A929))</f>
        <v/>
      </c>
      <c r="D929" s="22" t="n"/>
      <c r="E929" s="22" t="n"/>
      <c r="F929" s="22" t="n"/>
      <c r="G929" s="22" t="n"/>
      <c r="H929" s="22" t="n"/>
      <c r="I929" s="22" t="n"/>
      <c r="J929" s="22" t="n"/>
    </row>
    <row r="930">
      <c r="A930" s="34" t="n"/>
      <c r="B930" s="35">
        <f>IF(A930="","",YEAR(A930))</f>
        <v/>
      </c>
      <c r="C930" s="36">
        <f>IF(A930="","",MONTH(A930))</f>
        <v/>
      </c>
      <c r="D930" s="18" t="n"/>
      <c r="E930" s="18" t="n"/>
      <c r="F930" s="18" t="n"/>
      <c r="G930" s="18" t="n"/>
      <c r="H930" s="18" t="n"/>
      <c r="I930" s="18" t="n"/>
      <c r="J930" s="18" t="n"/>
    </row>
    <row r="931">
      <c r="A931" s="41" t="n"/>
      <c r="B931" s="35">
        <f>IF(A931="","",YEAR(A931))</f>
        <v/>
      </c>
      <c r="C931" s="36">
        <f>IF(A931="","",MONTH(A931))</f>
        <v/>
      </c>
      <c r="D931" s="22" t="n"/>
      <c r="E931" s="22" t="n"/>
      <c r="F931" s="22" t="n"/>
      <c r="G931" s="22" t="n"/>
      <c r="H931" s="22" t="n"/>
      <c r="I931" s="22" t="n"/>
      <c r="J931" s="22" t="n"/>
    </row>
    <row r="932">
      <c r="A932" s="34" t="n"/>
      <c r="B932" s="35">
        <f>IF(A932="","",YEAR(A932))</f>
        <v/>
      </c>
      <c r="C932" s="36">
        <f>IF(A932="","",MONTH(A932))</f>
        <v/>
      </c>
      <c r="D932" s="18" t="n"/>
      <c r="E932" s="18" t="n"/>
      <c r="F932" s="18" t="n"/>
      <c r="G932" s="18" t="n"/>
      <c r="H932" s="18" t="n"/>
      <c r="I932" s="18" t="n"/>
      <c r="J932" s="18" t="n"/>
    </row>
    <row r="933">
      <c r="A933" s="41" t="n"/>
      <c r="B933" s="35">
        <f>IF(A933="","",YEAR(A933))</f>
        <v/>
      </c>
      <c r="C933" s="36">
        <f>IF(A933="","",MONTH(A933))</f>
        <v/>
      </c>
      <c r="D933" s="22" t="n"/>
      <c r="E933" s="22" t="n"/>
      <c r="F933" s="22" t="n"/>
      <c r="G933" s="22" t="n"/>
      <c r="H933" s="22" t="n"/>
      <c r="I933" s="22" t="n"/>
      <c r="J933" s="22" t="n"/>
    </row>
    <row r="934">
      <c r="A934" s="34" t="n"/>
      <c r="B934" s="35">
        <f>IF(A934="","",YEAR(A934))</f>
        <v/>
      </c>
      <c r="C934" s="36">
        <f>IF(A934="","",MONTH(A934))</f>
        <v/>
      </c>
      <c r="D934" s="18" t="n"/>
      <c r="E934" s="18" t="n"/>
      <c r="F934" s="18" t="n"/>
      <c r="G934" s="18" t="n"/>
      <c r="H934" s="18" t="n"/>
      <c r="I934" s="18" t="n"/>
      <c r="J934" s="18" t="n"/>
    </row>
    <row r="935">
      <c r="A935" s="41" t="n"/>
      <c r="B935" s="35">
        <f>IF(A935="","",YEAR(A935))</f>
        <v/>
      </c>
      <c r="C935" s="36">
        <f>IF(A935="","",MONTH(A935))</f>
        <v/>
      </c>
      <c r="D935" s="22" t="n"/>
      <c r="E935" s="22" t="n"/>
      <c r="F935" s="22" t="n"/>
      <c r="G935" s="22" t="n"/>
      <c r="H935" s="22" t="n"/>
      <c r="I935" s="22" t="n"/>
      <c r="J935" s="22" t="n"/>
    </row>
    <row r="936">
      <c r="A936" s="34" t="n"/>
      <c r="B936" s="35">
        <f>IF(A936="","",YEAR(A936))</f>
        <v/>
      </c>
      <c r="C936" s="36">
        <f>IF(A936="","",MONTH(A936))</f>
        <v/>
      </c>
      <c r="D936" s="18" t="n"/>
      <c r="E936" s="18" t="n"/>
      <c r="F936" s="18" t="n"/>
      <c r="G936" s="18" t="n"/>
      <c r="H936" s="18" t="n"/>
      <c r="I936" s="18" t="n"/>
      <c r="J936" s="18" t="n"/>
    </row>
    <row r="937">
      <c r="A937" s="41" t="n"/>
      <c r="B937" s="35">
        <f>IF(A937="","",YEAR(A937))</f>
        <v/>
      </c>
      <c r="C937" s="36">
        <f>IF(A937="","",MONTH(A937))</f>
        <v/>
      </c>
      <c r="D937" s="22" t="n"/>
      <c r="E937" s="22" t="n"/>
      <c r="F937" s="22" t="n"/>
      <c r="G937" s="22" t="n"/>
      <c r="H937" s="22" t="n"/>
      <c r="I937" s="22" t="n"/>
      <c r="J937" s="22" t="n"/>
    </row>
    <row r="938">
      <c r="A938" s="34" t="n"/>
      <c r="B938" s="35">
        <f>IF(A938="","",YEAR(A938))</f>
        <v/>
      </c>
      <c r="C938" s="36">
        <f>IF(A938="","",MONTH(A938))</f>
        <v/>
      </c>
      <c r="D938" s="18" t="n"/>
      <c r="E938" s="18" t="n"/>
      <c r="F938" s="18" t="n"/>
      <c r="G938" s="18" t="n"/>
      <c r="H938" s="18" t="n"/>
      <c r="I938" s="18" t="n"/>
      <c r="J938" s="18" t="n"/>
    </row>
    <row r="939">
      <c r="A939" s="41" t="n"/>
      <c r="B939" s="35">
        <f>IF(A939="","",YEAR(A939))</f>
        <v/>
      </c>
      <c r="C939" s="36">
        <f>IF(A939="","",MONTH(A939))</f>
        <v/>
      </c>
      <c r="D939" s="22" t="n"/>
      <c r="E939" s="22" t="n"/>
      <c r="F939" s="22" t="n"/>
      <c r="G939" s="22" t="n"/>
      <c r="H939" s="22" t="n"/>
      <c r="I939" s="22" t="n"/>
      <c r="J939" s="22" t="n"/>
    </row>
    <row r="940">
      <c r="A940" s="34" t="n"/>
      <c r="B940" s="35">
        <f>IF(A940="","",YEAR(A940))</f>
        <v/>
      </c>
      <c r="C940" s="36">
        <f>IF(A940="","",MONTH(A940))</f>
        <v/>
      </c>
      <c r="D940" s="18" t="n"/>
      <c r="E940" s="18" t="n"/>
      <c r="F940" s="18" t="n"/>
      <c r="G940" s="18" t="n"/>
      <c r="H940" s="18" t="n"/>
      <c r="I940" s="18" t="n"/>
      <c r="J940" s="18" t="n"/>
    </row>
    <row r="941">
      <c r="A941" s="41" t="n"/>
      <c r="B941" s="35">
        <f>IF(A941="","",YEAR(A941))</f>
        <v/>
      </c>
      <c r="C941" s="36">
        <f>IF(A941="","",MONTH(A941))</f>
        <v/>
      </c>
      <c r="D941" s="22" t="n"/>
      <c r="E941" s="22" t="n"/>
      <c r="F941" s="22" t="n"/>
      <c r="G941" s="22" t="n"/>
      <c r="H941" s="22" t="n"/>
      <c r="I941" s="22" t="n"/>
      <c r="J941" s="22" t="n"/>
    </row>
    <row r="942">
      <c r="A942" s="34" t="n"/>
      <c r="B942" s="35">
        <f>IF(A942="","",YEAR(A942))</f>
        <v/>
      </c>
      <c r="C942" s="36">
        <f>IF(A942="","",MONTH(A942))</f>
        <v/>
      </c>
      <c r="D942" s="18" t="n"/>
      <c r="E942" s="18" t="n"/>
      <c r="F942" s="18" t="n"/>
      <c r="G942" s="18" t="n"/>
      <c r="H942" s="18" t="n"/>
      <c r="I942" s="18" t="n"/>
      <c r="J942" s="18" t="n"/>
    </row>
    <row r="943">
      <c r="A943" s="41" t="n"/>
      <c r="B943" s="35">
        <f>IF(A943="","",YEAR(A943))</f>
        <v/>
      </c>
      <c r="C943" s="36">
        <f>IF(A943="","",MONTH(A943))</f>
        <v/>
      </c>
      <c r="D943" s="22" t="n"/>
      <c r="E943" s="22" t="n"/>
      <c r="F943" s="22" t="n"/>
      <c r="G943" s="22" t="n"/>
      <c r="H943" s="22" t="n"/>
      <c r="I943" s="22" t="n"/>
      <c r="J943" s="22" t="n"/>
    </row>
    <row r="944">
      <c r="A944" s="34" t="n"/>
      <c r="B944" s="35">
        <f>IF(A944="","",YEAR(A944))</f>
        <v/>
      </c>
      <c r="C944" s="36">
        <f>IF(A944="","",MONTH(A944))</f>
        <v/>
      </c>
      <c r="D944" s="18" t="n"/>
      <c r="E944" s="18" t="n"/>
      <c r="F944" s="18" t="n"/>
      <c r="G944" s="18" t="n"/>
      <c r="H944" s="18" t="n"/>
      <c r="I944" s="18" t="n"/>
      <c r="J944" s="18" t="n"/>
    </row>
    <row r="945">
      <c r="A945" s="41" t="n"/>
      <c r="B945" s="35">
        <f>IF(A945="","",YEAR(A945))</f>
        <v/>
      </c>
      <c r="C945" s="36">
        <f>IF(A945="","",MONTH(A945))</f>
        <v/>
      </c>
      <c r="D945" s="22" t="n"/>
      <c r="E945" s="22" t="n"/>
      <c r="F945" s="22" t="n"/>
      <c r="G945" s="22" t="n"/>
      <c r="H945" s="22" t="n"/>
      <c r="I945" s="22" t="n"/>
      <c r="J945" s="22" t="n"/>
    </row>
    <row r="946">
      <c r="A946" s="34" t="n"/>
      <c r="B946" s="35">
        <f>IF(A946="","",YEAR(A946))</f>
        <v/>
      </c>
      <c r="C946" s="36">
        <f>IF(A946="","",MONTH(A946))</f>
        <v/>
      </c>
      <c r="D946" s="18" t="n"/>
      <c r="E946" s="18" t="n"/>
      <c r="F946" s="18" t="n"/>
      <c r="G946" s="18" t="n"/>
      <c r="H946" s="18" t="n"/>
      <c r="I946" s="18" t="n"/>
      <c r="J946" s="18" t="n"/>
    </row>
    <row r="947">
      <c r="A947" s="41" t="n"/>
      <c r="B947" s="35">
        <f>IF(A947="","",YEAR(A947))</f>
        <v/>
      </c>
      <c r="C947" s="36">
        <f>IF(A947="","",MONTH(A947))</f>
        <v/>
      </c>
      <c r="D947" s="22" t="n"/>
      <c r="E947" s="22" t="n"/>
      <c r="F947" s="22" t="n"/>
      <c r="G947" s="22" t="n"/>
      <c r="H947" s="22" t="n"/>
      <c r="I947" s="22" t="n"/>
      <c r="J947" s="22" t="n"/>
    </row>
    <row r="948">
      <c r="A948" s="34" t="n"/>
      <c r="B948" s="35">
        <f>IF(A948="","",YEAR(A948))</f>
        <v/>
      </c>
      <c r="C948" s="36">
        <f>IF(A948="","",MONTH(A948))</f>
        <v/>
      </c>
      <c r="D948" s="18" t="n"/>
      <c r="E948" s="18" t="n"/>
      <c r="F948" s="18" t="n"/>
      <c r="G948" s="18" t="n"/>
      <c r="H948" s="18" t="n"/>
      <c r="I948" s="18" t="n"/>
      <c r="J948" s="18" t="n"/>
    </row>
    <row r="949">
      <c r="A949" s="41" t="n"/>
      <c r="B949" s="35">
        <f>IF(A949="","",YEAR(A949))</f>
        <v/>
      </c>
      <c r="C949" s="36">
        <f>IF(A949="","",MONTH(A949))</f>
        <v/>
      </c>
      <c r="D949" s="22" t="n"/>
      <c r="E949" s="22" t="n"/>
      <c r="F949" s="22" t="n"/>
      <c r="G949" s="22" t="n"/>
      <c r="H949" s="22" t="n"/>
      <c r="I949" s="22" t="n"/>
      <c r="J949" s="22" t="n"/>
    </row>
    <row r="950">
      <c r="A950" s="34" t="n"/>
      <c r="B950" s="35">
        <f>IF(A950="","",YEAR(A950))</f>
        <v/>
      </c>
      <c r="C950" s="36">
        <f>IF(A950="","",MONTH(A950))</f>
        <v/>
      </c>
      <c r="D950" s="18" t="n"/>
      <c r="E950" s="18" t="n"/>
      <c r="F950" s="18" t="n"/>
      <c r="G950" s="18" t="n"/>
      <c r="H950" s="18" t="n"/>
      <c r="I950" s="18" t="n"/>
      <c r="J950" s="18" t="n"/>
    </row>
    <row r="951">
      <c r="A951" s="41" t="n"/>
      <c r="B951" s="35">
        <f>IF(A951="","",YEAR(A951))</f>
        <v/>
      </c>
      <c r="C951" s="36">
        <f>IF(A951="","",MONTH(A951))</f>
        <v/>
      </c>
      <c r="D951" s="22" t="n"/>
      <c r="E951" s="22" t="n"/>
      <c r="F951" s="22" t="n"/>
      <c r="G951" s="22" t="n"/>
      <c r="H951" s="22" t="n"/>
      <c r="I951" s="22" t="n"/>
      <c r="J951" s="22" t="n"/>
    </row>
    <row r="952">
      <c r="A952" s="34" t="n"/>
      <c r="B952" s="35">
        <f>IF(A952="","",YEAR(A952))</f>
        <v/>
      </c>
      <c r="C952" s="36">
        <f>IF(A952="","",MONTH(A952))</f>
        <v/>
      </c>
      <c r="D952" s="18" t="n"/>
      <c r="E952" s="18" t="n"/>
      <c r="F952" s="18" t="n"/>
      <c r="G952" s="18" t="n"/>
      <c r="H952" s="18" t="n"/>
      <c r="I952" s="18" t="n"/>
      <c r="J952" s="18" t="n"/>
    </row>
    <row r="953">
      <c r="A953" s="41" t="n"/>
      <c r="B953" s="35">
        <f>IF(A953="","",YEAR(A953))</f>
        <v/>
      </c>
      <c r="C953" s="36">
        <f>IF(A953="","",MONTH(A953))</f>
        <v/>
      </c>
      <c r="D953" s="22" t="n"/>
      <c r="E953" s="22" t="n"/>
      <c r="F953" s="22" t="n"/>
      <c r="G953" s="22" t="n"/>
      <c r="H953" s="22" t="n"/>
      <c r="I953" s="22" t="n"/>
      <c r="J953" s="22" t="n"/>
    </row>
    <row r="954">
      <c r="A954" s="34" t="n"/>
      <c r="B954" s="35">
        <f>IF(A954="","",YEAR(A954))</f>
        <v/>
      </c>
      <c r="C954" s="36">
        <f>IF(A954="","",MONTH(A954))</f>
        <v/>
      </c>
      <c r="D954" s="18" t="n"/>
      <c r="E954" s="18" t="n"/>
      <c r="F954" s="18" t="n"/>
      <c r="G954" s="18" t="n"/>
      <c r="H954" s="18" t="n"/>
      <c r="I954" s="18" t="n"/>
      <c r="J954" s="18" t="n"/>
    </row>
    <row r="955">
      <c r="A955" s="41" t="n"/>
      <c r="B955" s="35">
        <f>IF(A955="","",YEAR(A955))</f>
        <v/>
      </c>
      <c r="C955" s="36">
        <f>IF(A955="","",MONTH(A955))</f>
        <v/>
      </c>
      <c r="D955" s="22" t="n"/>
      <c r="E955" s="22" t="n"/>
      <c r="F955" s="22" t="n"/>
      <c r="G955" s="22" t="n"/>
      <c r="H955" s="22" t="n"/>
      <c r="I955" s="22" t="n"/>
      <c r="J955" s="22" t="n"/>
    </row>
    <row r="956">
      <c r="A956" s="34" t="n"/>
      <c r="B956" s="35">
        <f>IF(A956="","",YEAR(A956))</f>
        <v/>
      </c>
      <c r="C956" s="36">
        <f>IF(A956="","",MONTH(A956))</f>
        <v/>
      </c>
      <c r="D956" s="18" t="n"/>
      <c r="E956" s="18" t="n"/>
      <c r="F956" s="18" t="n"/>
      <c r="G956" s="18" t="n"/>
      <c r="H956" s="18" t="n"/>
      <c r="I956" s="18" t="n"/>
      <c r="J956" s="18" t="n"/>
    </row>
    <row r="957">
      <c r="A957" s="41" t="n"/>
      <c r="B957" s="35">
        <f>IF(A957="","",YEAR(A957))</f>
        <v/>
      </c>
      <c r="C957" s="36">
        <f>IF(A957="","",MONTH(A957))</f>
        <v/>
      </c>
      <c r="D957" s="22" t="n"/>
      <c r="E957" s="22" t="n"/>
      <c r="F957" s="22" t="n"/>
      <c r="G957" s="22" t="n"/>
      <c r="H957" s="22" t="n"/>
      <c r="I957" s="22" t="n"/>
      <c r="J957" s="22" t="n"/>
    </row>
    <row r="958">
      <c r="A958" s="34" t="n"/>
      <c r="B958" s="35">
        <f>IF(A958="","",YEAR(A958))</f>
        <v/>
      </c>
      <c r="C958" s="36">
        <f>IF(A958="","",MONTH(A958))</f>
        <v/>
      </c>
      <c r="D958" s="18" t="n"/>
      <c r="E958" s="18" t="n"/>
      <c r="F958" s="18" t="n"/>
      <c r="G958" s="18" t="n"/>
      <c r="H958" s="18" t="n"/>
      <c r="I958" s="18" t="n"/>
      <c r="J958" s="18" t="n"/>
    </row>
    <row r="959">
      <c r="A959" s="41" t="n"/>
      <c r="B959" s="35">
        <f>IF(A959="","",YEAR(A959))</f>
        <v/>
      </c>
      <c r="C959" s="36">
        <f>IF(A959="","",MONTH(A959))</f>
        <v/>
      </c>
      <c r="D959" s="22" t="n"/>
      <c r="E959" s="22" t="n"/>
      <c r="F959" s="22" t="n"/>
      <c r="G959" s="22" t="n"/>
      <c r="H959" s="22" t="n"/>
      <c r="I959" s="22" t="n"/>
      <c r="J959" s="22" t="n"/>
    </row>
    <row r="960">
      <c r="A960" s="34" t="n"/>
      <c r="B960" s="35">
        <f>IF(A960="","",YEAR(A960))</f>
        <v/>
      </c>
      <c r="C960" s="36">
        <f>IF(A960="","",MONTH(A960))</f>
        <v/>
      </c>
      <c r="D960" s="18" t="n"/>
      <c r="E960" s="18" t="n"/>
      <c r="F960" s="18" t="n"/>
      <c r="G960" s="18" t="n"/>
      <c r="H960" s="18" t="n"/>
      <c r="I960" s="18" t="n"/>
      <c r="J960" s="18" t="n"/>
    </row>
    <row r="961">
      <c r="A961" s="41" t="n"/>
      <c r="B961" s="35">
        <f>IF(A961="","",YEAR(A961))</f>
        <v/>
      </c>
      <c r="C961" s="36">
        <f>IF(A961="","",MONTH(A961))</f>
        <v/>
      </c>
      <c r="D961" s="22" t="n"/>
      <c r="E961" s="22" t="n"/>
      <c r="F961" s="22" t="n"/>
      <c r="G961" s="22" t="n"/>
      <c r="H961" s="22" t="n"/>
      <c r="I961" s="22" t="n"/>
      <c r="J961" s="22" t="n"/>
    </row>
    <row r="962">
      <c r="A962" s="34" t="n"/>
      <c r="B962" s="35">
        <f>IF(A962="","",YEAR(A962))</f>
        <v/>
      </c>
      <c r="C962" s="36">
        <f>IF(A962="","",MONTH(A962))</f>
        <v/>
      </c>
      <c r="D962" s="18" t="n"/>
      <c r="E962" s="18" t="n"/>
      <c r="F962" s="18" t="n"/>
      <c r="G962" s="18" t="n"/>
      <c r="H962" s="18" t="n"/>
      <c r="I962" s="18" t="n"/>
      <c r="J962" s="18" t="n"/>
    </row>
    <row r="963">
      <c r="A963" s="41" t="n"/>
      <c r="B963" s="35">
        <f>IF(A963="","",YEAR(A963))</f>
        <v/>
      </c>
      <c r="C963" s="36">
        <f>IF(A963="","",MONTH(A963))</f>
        <v/>
      </c>
      <c r="D963" s="22" t="n"/>
      <c r="E963" s="22" t="n"/>
      <c r="F963" s="22" t="n"/>
      <c r="G963" s="22" t="n"/>
      <c r="H963" s="22" t="n"/>
      <c r="I963" s="22" t="n"/>
      <c r="J963" s="22" t="n"/>
    </row>
    <row r="964">
      <c r="A964" s="34" t="n"/>
      <c r="B964" s="35">
        <f>IF(A964="","",YEAR(A964))</f>
        <v/>
      </c>
      <c r="C964" s="36">
        <f>IF(A964="","",MONTH(A964))</f>
        <v/>
      </c>
      <c r="D964" s="18" t="n"/>
      <c r="E964" s="18" t="n"/>
      <c r="F964" s="18" t="n"/>
      <c r="G964" s="18" t="n"/>
      <c r="H964" s="18" t="n"/>
      <c r="I964" s="18" t="n"/>
      <c r="J964" s="18" t="n"/>
    </row>
    <row r="965">
      <c r="A965" s="41" t="n"/>
      <c r="B965" s="35">
        <f>IF(A965="","",YEAR(A965))</f>
        <v/>
      </c>
      <c r="C965" s="36">
        <f>IF(A965="","",MONTH(A965))</f>
        <v/>
      </c>
      <c r="D965" s="22" t="n"/>
      <c r="E965" s="22" t="n"/>
      <c r="F965" s="22" t="n"/>
      <c r="G965" s="22" t="n"/>
      <c r="H965" s="22" t="n"/>
      <c r="I965" s="22" t="n"/>
      <c r="J965" s="22" t="n"/>
    </row>
    <row r="966">
      <c r="A966" s="34" t="n"/>
      <c r="B966" s="35">
        <f>IF(A966="","",YEAR(A966))</f>
        <v/>
      </c>
      <c r="C966" s="36">
        <f>IF(A966="","",MONTH(A966))</f>
        <v/>
      </c>
      <c r="D966" s="18" t="n"/>
      <c r="E966" s="18" t="n"/>
      <c r="F966" s="18" t="n"/>
      <c r="G966" s="18" t="n"/>
      <c r="H966" s="18" t="n"/>
      <c r="I966" s="18" t="n"/>
      <c r="J966" s="18" t="n"/>
    </row>
    <row r="967">
      <c r="A967" s="41" t="n"/>
      <c r="B967" s="35">
        <f>IF(A967="","",YEAR(A967))</f>
        <v/>
      </c>
      <c r="C967" s="36">
        <f>IF(A967="","",MONTH(A967))</f>
        <v/>
      </c>
      <c r="D967" s="22" t="n"/>
      <c r="E967" s="22" t="n"/>
      <c r="F967" s="22" t="n"/>
      <c r="G967" s="22" t="n"/>
      <c r="H967" s="22" t="n"/>
      <c r="I967" s="22" t="n"/>
      <c r="J967" s="22" t="n"/>
    </row>
    <row r="968">
      <c r="A968" s="34" t="n"/>
      <c r="B968" s="35">
        <f>IF(A968="","",YEAR(A968))</f>
        <v/>
      </c>
      <c r="C968" s="36">
        <f>IF(A968="","",MONTH(A968))</f>
        <v/>
      </c>
      <c r="D968" s="18" t="n"/>
      <c r="E968" s="18" t="n"/>
      <c r="F968" s="18" t="n"/>
      <c r="G968" s="18" t="n"/>
      <c r="H968" s="18" t="n"/>
      <c r="I968" s="18" t="n"/>
      <c r="J968" s="18" t="n"/>
    </row>
    <row r="969">
      <c r="A969" s="41" t="n"/>
      <c r="B969" s="35">
        <f>IF(A969="","",YEAR(A969))</f>
        <v/>
      </c>
      <c r="C969" s="36">
        <f>IF(A969="","",MONTH(A969))</f>
        <v/>
      </c>
      <c r="D969" s="22" t="n"/>
      <c r="E969" s="22" t="n"/>
      <c r="F969" s="22" t="n"/>
      <c r="G969" s="22" t="n"/>
      <c r="H969" s="22" t="n"/>
      <c r="I969" s="22" t="n"/>
      <c r="J969" s="22" t="n"/>
    </row>
    <row r="970">
      <c r="A970" s="34" t="n"/>
      <c r="B970" s="35">
        <f>IF(A970="","",YEAR(A970))</f>
        <v/>
      </c>
      <c r="C970" s="36">
        <f>IF(A970="","",MONTH(A970))</f>
        <v/>
      </c>
      <c r="D970" s="18" t="n"/>
      <c r="E970" s="18" t="n"/>
      <c r="F970" s="18" t="n"/>
      <c r="G970" s="18" t="n"/>
      <c r="H970" s="18" t="n"/>
      <c r="I970" s="18" t="n"/>
      <c r="J970" s="18" t="n"/>
    </row>
    <row r="971">
      <c r="A971" s="41" t="n"/>
      <c r="B971" s="35">
        <f>IF(A971="","",YEAR(A971))</f>
        <v/>
      </c>
      <c r="C971" s="36">
        <f>IF(A971="","",MONTH(A971))</f>
        <v/>
      </c>
      <c r="D971" s="22" t="n"/>
      <c r="E971" s="22" t="n"/>
      <c r="F971" s="22" t="n"/>
      <c r="G971" s="22" t="n"/>
      <c r="H971" s="22" t="n"/>
      <c r="I971" s="22" t="n"/>
      <c r="J971" s="22" t="n"/>
    </row>
    <row r="972">
      <c r="A972" s="34" t="n"/>
      <c r="B972" s="35">
        <f>IF(A972="","",YEAR(A972))</f>
        <v/>
      </c>
      <c r="C972" s="36">
        <f>IF(A972="","",MONTH(A972))</f>
        <v/>
      </c>
      <c r="D972" s="18" t="n"/>
      <c r="E972" s="18" t="n"/>
      <c r="F972" s="18" t="n"/>
      <c r="G972" s="18" t="n"/>
      <c r="H972" s="18" t="n"/>
      <c r="I972" s="18" t="n"/>
      <c r="J972" s="18" t="n"/>
    </row>
    <row r="973">
      <c r="A973" s="41" t="n"/>
      <c r="B973" s="35">
        <f>IF(A973="","",YEAR(A973))</f>
        <v/>
      </c>
      <c r="C973" s="36">
        <f>IF(A973="","",MONTH(A973))</f>
        <v/>
      </c>
      <c r="D973" s="22" t="n"/>
      <c r="E973" s="22" t="n"/>
      <c r="F973" s="22" t="n"/>
      <c r="G973" s="22" t="n"/>
      <c r="H973" s="22" t="n"/>
      <c r="I973" s="22" t="n"/>
      <c r="J973" s="22" t="n"/>
    </row>
    <row r="974">
      <c r="A974" s="34" t="n"/>
      <c r="B974" s="35">
        <f>IF(A974="","",YEAR(A974))</f>
        <v/>
      </c>
      <c r="C974" s="36">
        <f>IF(A974="","",MONTH(A974))</f>
        <v/>
      </c>
      <c r="D974" s="18" t="n"/>
      <c r="E974" s="18" t="n"/>
      <c r="F974" s="18" t="n"/>
      <c r="G974" s="18" t="n"/>
      <c r="H974" s="18" t="n"/>
      <c r="I974" s="18" t="n"/>
      <c r="J974" s="18" t="n"/>
    </row>
    <row r="975">
      <c r="A975" s="41" t="n"/>
      <c r="B975" s="35">
        <f>IF(A975="","",YEAR(A975))</f>
        <v/>
      </c>
      <c r="C975" s="36">
        <f>IF(A975="","",MONTH(A975))</f>
        <v/>
      </c>
      <c r="D975" s="22" t="n"/>
      <c r="E975" s="22" t="n"/>
      <c r="F975" s="22" t="n"/>
      <c r="G975" s="22" t="n"/>
      <c r="H975" s="22" t="n"/>
      <c r="I975" s="22" t="n"/>
      <c r="J975" s="22" t="n"/>
    </row>
    <row r="976">
      <c r="A976" s="34" t="n"/>
      <c r="B976" s="35">
        <f>IF(A976="","",YEAR(A976))</f>
        <v/>
      </c>
      <c r="C976" s="36">
        <f>IF(A976="","",MONTH(A976))</f>
        <v/>
      </c>
      <c r="D976" s="18" t="n"/>
      <c r="E976" s="18" t="n"/>
      <c r="F976" s="18" t="n"/>
      <c r="G976" s="18" t="n"/>
      <c r="H976" s="18" t="n"/>
      <c r="I976" s="18" t="n"/>
      <c r="J976" s="18" t="n"/>
    </row>
    <row r="977">
      <c r="A977" s="41" t="n"/>
      <c r="B977" s="35">
        <f>IF(A977="","",YEAR(A977))</f>
        <v/>
      </c>
      <c r="C977" s="36">
        <f>IF(A977="","",MONTH(A977))</f>
        <v/>
      </c>
      <c r="D977" s="22" t="n"/>
      <c r="E977" s="22" t="n"/>
      <c r="F977" s="22" t="n"/>
      <c r="G977" s="22" t="n"/>
      <c r="H977" s="22" t="n"/>
      <c r="I977" s="22" t="n"/>
      <c r="J977" s="22" t="n"/>
    </row>
    <row r="978">
      <c r="A978" s="34" t="n"/>
      <c r="B978" s="35">
        <f>IF(A978="","",YEAR(A978))</f>
        <v/>
      </c>
      <c r="C978" s="36">
        <f>IF(A978="","",MONTH(A978))</f>
        <v/>
      </c>
      <c r="D978" s="18" t="n"/>
      <c r="E978" s="18" t="n"/>
      <c r="F978" s="18" t="n"/>
      <c r="G978" s="18" t="n"/>
      <c r="H978" s="18" t="n"/>
      <c r="I978" s="18" t="n"/>
      <c r="J978" s="18" t="n"/>
    </row>
    <row r="979">
      <c r="A979" s="41" t="n"/>
      <c r="B979" s="35">
        <f>IF(A979="","",YEAR(A979))</f>
        <v/>
      </c>
      <c r="C979" s="36">
        <f>IF(A979="","",MONTH(A979))</f>
        <v/>
      </c>
      <c r="D979" s="22" t="n"/>
      <c r="E979" s="22" t="n"/>
      <c r="F979" s="22" t="n"/>
      <c r="G979" s="22" t="n"/>
      <c r="H979" s="22" t="n"/>
      <c r="I979" s="22" t="n"/>
      <c r="J979" s="22" t="n"/>
    </row>
    <row r="980">
      <c r="A980" s="34" t="n"/>
      <c r="B980" s="35">
        <f>IF(A980="","",YEAR(A980))</f>
        <v/>
      </c>
      <c r="C980" s="36">
        <f>IF(A980="","",MONTH(A980))</f>
        <v/>
      </c>
      <c r="D980" s="18" t="n"/>
      <c r="E980" s="18" t="n"/>
      <c r="F980" s="18" t="n"/>
      <c r="G980" s="18" t="n"/>
      <c r="H980" s="18" t="n"/>
      <c r="I980" s="18" t="n"/>
      <c r="J980" s="18" t="n"/>
    </row>
    <row r="981">
      <c r="A981" s="41" t="n"/>
      <c r="B981" s="35">
        <f>IF(A981="","",YEAR(A981))</f>
        <v/>
      </c>
      <c r="C981" s="36">
        <f>IF(A981="","",MONTH(A981))</f>
        <v/>
      </c>
      <c r="D981" s="22" t="n"/>
      <c r="E981" s="22" t="n"/>
      <c r="F981" s="22" t="n"/>
      <c r="G981" s="22" t="n"/>
      <c r="H981" s="22" t="n"/>
      <c r="I981" s="22" t="n"/>
      <c r="J981" s="22" t="n"/>
    </row>
    <row r="982">
      <c r="A982" s="34" t="n"/>
      <c r="B982" s="35">
        <f>IF(A982="","",YEAR(A982))</f>
        <v/>
      </c>
      <c r="C982" s="36">
        <f>IF(A982="","",MONTH(A982))</f>
        <v/>
      </c>
      <c r="D982" s="18" t="n"/>
      <c r="E982" s="18" t="n"/>
      <c r="F982" s="18" t="n"/>
      <c r="G982" s="18" t="n"/>
      <c r="H982" s="18" t="n"/>
      <c r="I982" s="18" t="n"/>
      <c r="J982" s="18" t="n"/>
    </row>
    <row r="983">
      <c r="A983" s="41" t="n"/>
      <c r="B983" s="35">
        <f>IF(A983="","",YEAR(A983))</f>
        <v/>
      </c>
      <c r="C983" s="36">
        <f>IF(A983="","",MONTH(A983))</f>
        <v/>
      </c>
      <c r="D983" s="22" t="n"/>
      <c r="E983" s="22" t="n"/>
      <c r="F983" s="22" t="n"/>
      <c r="G983" s="22" t="n"/>
      <c r="H983" s="22" t="n"/>
      <c r="I983" s="22" t="n"/>
      <c r="J983" s="22" t="n"/>
    </row>
    <row r="984">
      <c r="A984" s="34" t="n"/>
      <c r="B984" s="35">
        <f>IF(A984="","",YEAR(A984))</f>
        <v/>
      </c>
      <c r="C984" s="36">
        <f>IF(A984="","",MONTH(A984))</f>
        <v/>
      </c>
      <c r="D984" s="18" t="n"/>
      <c r="E984" s="18" t="n"/>
      <c r="F984" s="18" t="n"/>
      <c r="G984" s="18" t="n"/>
      <c r="H984" s="18" t="n"/>
      <c r="I984" s="18" t="n"/>
      <c r="J984" s="18" t="n"/>
    </row>
    <row r="985">
      <c r="A985" s="41" t="n"/>
      <c r="B985" s="35">
        <f>IF(A985="","",YEAR(A985))</f>
        <v/>
      </c>
      <c r="C985" s="36">
        <f>IF(A985="","",MONTH(A985))</f>
        <v/>
      </c>
      <c r="D985" s="22" t="n"/>
      <c r="E985" s="22" t="n"/>
      <c r="F985" s="22" t="n"/>
      <c r="G985" s="22" t="n"/>
      <c r="H985" s="22" t="n"/>
      <c r="I985" s="22" t="n"/>
      <c r="J985" s="22" t="n"/>
    </row>
    <row r="986">
      <c r="A986" s="34" t="n"/>
      <c r="B986" s="35">
        <f>IF(A986="","",YEAR(A986))</f>
        <v/>
      </c>
      <c r="C986" s="36">
        <f>IF(A986="","",MONTH(A986))</f>
        <v/>
      </c>
      <c r="D986" s="18" t="n"/>
      <c r="E986" s="18" t="n"/>
      <c r="F986" s="18" t="n"/>
      <c r="G986" s="18" t="n"/>
      <c r="H986" s="18" t="n"/>
      <c r="I986" s="18" t="n"/>
      <c r="J986" s="18" t="n"/>
    </row>
    <row r="987">
      <c r="A987" s="41" t="n"/>
      <c r="B987" s="35">
        <f>IF(A987="","",YEAR(A987))</f>
        <v/>
      </c>
      <c r="C987" s="36">
        <f>IF(A987="","",MONTH(A987))</f>
        <v/>
      </c>
      <c r="D987" s="22" t="n"/>
      <c r="E987" s="22" t="n"/>
      <c r="F987" s="22" t="n"/>
      <c r="G987" s="22" t="n"/>
      <c r="H987" s="22" t="n"/>
      <c r="I987" s="22" t="n"/>
      <c r="J987" s="22" t="n"/>
    </row>
    <row r="988">
      <c r="A988" s="34" t="n"/>
      <c r="B988" s="35">
        <f>IF(A988="","",YEAR(A988))</f>
        <v/>
      </c>
      <c r="C988" s="36">
        <f>IF(A988="","",MONTH(A988))</f>
        <v/>
      </c>
      <c r="D988" s="18" t="n"/>
      <c r="E988" s="18" t="n"/>
      <c r="F988" s="18" t="n"/>
      <c r="G988" s="18" t="n"/>
      <c r="H988" s="18" t="n"/>
      <c r="I988" s="18" t="n"/>
      <c r="J988" s="18" t="n"/>
    </row>
    <row r="989">
      <c r="A989" s="41" t="n"/>
      <c r="B989" s="35">
        <f>IF(A989="","",YEAR(A989))</f>
        <v/>
      </c>
      <c r="C989" s="36">
        <f>IF(A989="","",MONTH(A989))</f>
        <v/>
      </c>
      <c r="D989" s="22" t="n"/>
      <c r="E989" s="22" t="n"/>
      <c r="F989" s="22" t="n"/>
      <c r="G989" s="22" t="n"/>
      <c r="H989" s="22" t="n"/>
      <c r="I989" s="22" t="n"/>
      <c r="J989" s="22" t="n"/>
    </row>
    <row r="990">
      <c r="A990" s="34" t="n"/>
      <c r="B990" s="35">
        <f>IF(A990="","",YEAR(A990))</f>
        <v/>
      </c>
      <c r="C990" s="36">
        <f>IF(A990="","",MONTH(A990))</f>
        <v/>
      </c>
      <c r="D990" s="18" t="n"/>
      <c r="E990" s="18" t="n"/>
      <c r="F990" s="18" t="n"/>
      <c r="G990" s="18" t="n"/>
      <c r="H990" s="18" t="n"/>
      <c r="I990" s="18" t="n"/>
      <c r="J990" s="18" t="n"/>
    </row>
    <row r="991">
      <c r="A991" s="41" t="n"/>
      <c r="B991" s="35">
        <f>IF(A991="","",YEAR(A991))</f>
        <v/>
      </c>
      <c r="C991" s="36">
        <f>IF(A991="","",MONTH(A991))</f>
        <v/>
      </c>
      <c r="D991" s="22" t="n"/>
      <c r="E991" s="22" t="n"/>
      <c r="F991" s="22" t="n"/>
      <c r="G991" s="22" t="n"/>
      <c r="H991" s="22" t="n"/>
      <c r="I991" s="22" t="n"/>
      <c r="J991" s="22" t="n"/>
    </row>
    <row r="992">
      <c r="A992" s="34" t="n"/>
      <c r="B992" s="35">
        <f>IF(A992="","",YEAR(A992))</f>
        <v/>
      </c>
      <c r="C992" s="36">
        <f>IF(A992="","",MONTH(A992))</f>
        <v/>
      </c>
      <c r="D992" s="18" t="n"/>
      <c r="E992" s="18" t="n"/>
      <c r="F992" s="18" t="n"/>
      <c r="G992" s="18" t="n"/>
      <c r="H992" s="18" t="n"/>
      <c r="I992" s="18" t="n"/>
      <c r="J992" s="18" t="n"/>
    </row>
    <row r="993">
      <c r="A993" s="41" t="n"/>
      <c r="B993" s="35">
        <f>IF(A993="","",YEAR(A993))</f>
        <v/>
      </c>
      <c r="C993" s="36">
        <f>IF(A993="","",MONTH(A993))</f>
        <v/>
      </c>
      <c r="D993" s="22" t="n"/>
      <c r="E993" s="22" t="n"/>
      <c r="F993" s="22" t="n"/>
      <c r="G993" s="22" t="n"/>
      <c r="H993" s="22" t="n"/>
      <c r="I993" s="22" t="n"/>
      <c r="J993" s="22" t="n"/>
    </row>
    <row r="994">
      <c r="A994" s="34" t="n"/>
      <c r="B994" s="35">
        <f>IF(A994="","",YEAR(A994))</f>
        <v/>
      </c>
      <c r="C994" s="36">
        <f>IF(A994="","",MONTH(A994))</f>
        <v/>
      </c>
      <c r="D994" s="18" t="n"/>
      <c r="E994" s="18" t="n"/>
      <c r="F994" s="18" t="n"/>
      <c r="G994" s="18" t="n"/>
      <c r="H994" s="18" t="n"/>
      <c r="I994" s="18" t="n"/>
      <c r="J994" s="18" t="n"/>
    </row>
    <row r="995">
      <c r="A995" s="41" t="n"/>
      <c r="B995" s="35">
        <f>IF(A995="","",YEAR(A995))</f>
        <v/>
      </c>
      <c r="C995" s="36">
        <f>IF(A995="","",MONTH(A995))</f>
        <v/>
      </c>
      <c r="D995" s="22" t="n"/>
      <c r="E995" s="22" t="n"/>
      <c r="F995" s="22" t="n"/>
      <c r="G995" s="22" t="n"/>
      <c r="H995" s="22" t="n"/>
      <c r="I995" s="22" t="n"/>
      <c r="J995" s="22" t="n"/>
    </row>
    <row r="996">
      <c r="A996" s="34" t="n"/>
      <c r="B996" s="35">
        <f>IF(A996="","",YEAR(A996))</f>
        <v/>
      </c>
      <c r="C996" s="36">
        <f>IF(A996="","",MONTH(A996))</f>
        <v/>
      </c>
      <c r="D996" s="18" t="n"/>
      <c r="E996" s="18" t="n"/>
      <c r="F996" s="18" t="n"/>
      <c r="G996" s="18" t="n"/>
      <c r="H996" s="18" t="n"/>
      <c r="I996" s="18" t="n"/>
      <c r="J996" s="18" t="n"/>
    </row>
    <row r="997">
      <c r="A997" s="41" t="n"/>
      <c r="B997" s="35">
        <f>IF(A997="","",YEAR(A997))</f>
        <v/>
      </c>
      <c r="C997" s="36">
        <f>IF(A997="","",MONTH(A997))</f>
        <v/>
      </c>
      <c r="D997" s="22" t="n"/>
      <c r="E997" s="22" t="n"/>
      <c r="F997" s="22" t="n"/>
      <c r="G997" s="22" t="n"/>
      <c r="H997" s="22" t="n"/>
      <c r="I997" s="22" t="n"/>
      <c r="J997" s="22" t="n"/>
    </row>
    <row r="998">
      <c r="A998" s="34" t="n"/>
      <c r="B998" s="35">
        <f>IF(A998="","",YEAR(A998))</f>
        <v/>
      </c>
      <c r="C998" s="36">
        <f>IF(A998="","",MONTH(A998))</f>
        <v/>
      </c>
      <c r="D998" s="18" t="n"/>
      <c r="E998" s="18" t="n"/>
      <c r="F998" s="18" t="n"/>
      <c r="G998" s="18" t="n"/>
      <c r="H998" s="18" t="n"/>
      <c r="I998" s="18" t="n"/>
      <c r="J998" s="18" t="n"/>
    </row>
    <row r="999">
      <c r="A999" s="41" t="n"/>
      <c r="B999" s="35">
        <f>IF(A999="","",YEAR(A999))</f>
        <v/>
      </c>
      <c r="C999" s="36">
        <f>IF(A999="","",MONTH(A999))</f>
        <v/>
      </c>
      <c r="D999" s="22" t="n"/>
      <c r="E999" s="22" t="n"/>
      <c r="F999" s="22" t="n"/>
      <c r="G999" s="22" t="n"/>
      <c r="H999" s="22" t="n"/>
      <c r="I999" s="22" t="n"/>
      <c r="J999" s="22" t="n"/>
    </row>
    <row r="1000">
      <c r="A1000" s="34" t="n"/>
      <c r="B1000" s="35">
        <f>IF(A1000="","",YEAR(A1000))</f>
        <v/>
      </c>
      <c r="C1000" s="36">
        <f>IF(A1000="","",MONTH(A1000))</f>
        <v/>
      </c>
      <c r="D1000" s="18" t="n"/>
      <c r="E1000" s="18" t="n"/>
      <c r="F1000" s="18" t="n"/>
      <c r="G1000" s="18" t="n"/>
      <c r="H1000" s="18" t="n"/>
      <c r="I1000" s="18" t="n"/>
      <c r="J1000" s="18" t="n"/>
    </row>
    <row r="1001">
      <c r="A1001" s="41" t="n"/>
      <c r="B1001" s="35">
        <f>IF(A1001="","",YEAR(A1001))</f>
        <v/>
      </c>
      <c r="C1001" s="36">
        <f>IF(A1001="","",MONTH(A1001))</f>
        <v/>
      </c>
      <c r="D1001" s="22" t="n"/>
      <c r="E1001" s="22" t="n"/>
      <c r="F1001" s="22" t="n"/>
      <c r="G1001" s="22" t="n"/>
      <c r="H1001" s="22" t="n"/>
      <c r="I1001" s="22" t="n"/>
      <c r="J1001" s="22" t="n"/>
    </row>
    <row r="1002">
      <c r="A1002" s="34" t="n"/>
      <c r="B1002" s="35">
        <f>IF(A1002="","",YEAR(A1002))</f>
        <v/>
      </c>
      <c r="C1002" s="36">
        <f>IF(A1002="","",MONTH(A1002))</f>
        <v/>
      </c>
      <c r="D1002" s="18" t="n"/>
      <c r="E1002" s="18" t="n"/>
      <c r="F1002" s="18" t="n"/>
      <c r="G1002" s="18" t="n"/>
      <c r="H1002" s="18" t="n"/>
      <c r="I1002" s="18" t="n"/>
      <c r="J1002" s="18" t="n"/>
    </row>
    <row r="1003">
      <c r="A1003" s="41" t="n"/>
      <c r="B1003" s="35">
        <f>IF(A1003="","",YEAR(A1003))</f>
        <v/>
      </c>
      <c r="C1003" s="36">
        <f>IF(A1003="","",MONTH(A1003))</f>
        <v/>
      </c>
      <c r="D1003" s="22" t="n"/>
      <c r="E1003" s="22" t="n"/>
      <c r="F1003" s="22" t="n"/>
      <c r="G1003" s="22" t="n"/>
      <c r="H1003" s="22" t="n"/>
      <c r="I1003" s="22" t="n"/>
      <c r="J1003" s="22" t="n"/>
    </row>
    <row r="1004">
      <c r="A1004" s="34" t="n"/>
      <c r="B1004" s="35">
        <f>IF(A1004="","",YEAR(A1004))</f>
        <v/>
      </c>
      <c r="C1004" s="36">
        <f>IF(A1004="","",MONTH(A1004))</f>
        <v/>
      </c>
      <c r="D1004" s="18" t="n"/>
      <c r="E1004" s="18" t="n"/>
      <c r="F1004" s="18" t="n"/>
      <c r="G1004" s="18" t="n"/>
      <c r="H1004" s="18" t="n"/>
      <c r="I1004" s="18" t="n"/>
      <c r="J1004" s="18" t="n"/>
    </row>
    <row r="1005">
      <c r="A1005" s="41" t="n"/>
      <c r="B1005" s="35">
        <f>IF(A1005="","",YEAR(A1005))</f>
        <v/>
      </c>
      <c r="C1005" s="36">
        <f>IF(A1005="","",MONTH(A1005))</f>
        <v/>
      </c>
      <c r="D1005" s="22" t="n"/>
      <c r="E1005" s="22" t="n"/>
      <c r="F1005" s="22" t="n"/>
      <c r="G1005" s="22" t="n"/>
      <c r="H1005" s="22" t="n"/>
      <c r="I1005" s="22" t="n"/>
      <c r="J1005" s="22" t="n"/>
    </row>
  </sheetData>
  <mergeCells count="3">
    <mergeCell ref="A1:J1"/>
    <mergeCell ref="A3:J3"/>
    <mergeCell ref="A2:J2"/>
  </mergeCells>
  <dataValidations count="2">
    <dataValidation sqref="G6:G1005" showDropDown="0" showInputMessage="0" showErrorMessage="0" allowBlank="1" type="list">
      <formula1>"양조장 방문,시음회,체험 클래스,주문(개인),단골 정기,기타"</formula1>
    </dataValidation>
    <dataValidation sqref="I6:I1005" showDropDown="0" showInputMessage="0" showErrorMessage="0" allowBlank="1" type="list">
      <formula1>"동의(연락 OK),미동의,확인필요"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E7A4D"/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3" t="inlineStr">
        <is>
          <t>08. 월별 요약 (자동)</t>
        </is>
      </c>
    </row>
    <row r="2">
      <c r="A2" s="14" t="inlineStr">
        <is>
          <t>03 출고판매 데이터 → 월별 매출·SKU·채널 자동 집계</t>
        </is>
      </c>
    </row>
    <row r="5" ht="32" customHeight="1">
      <c r="A5" s="8" t="inlineStr">
        <is>
          <t>연도</t>
        </is>
      </c>
      <c r="B5" s="8" t="inlineStr">
        <is>
          <t>월</t>
        </is>
      </c>
      <c r="C5" s="8" t="inlineStr">
        <is>
          <t>총 매출(원)</t>
        </is>
      </c>
      <c r="D5" s="8" t="inlineStr">
        <is>
          <t>병 수</t>
        </is>
      </c>
      <c r="E5" s="8" t="inlineStr">
        <is>
          <t>주세 합계</t>
        </is>
      </c>
      <c r="F5" s="8" t="inlineStr">
        <is>
          <t>교육세 합계</t>
        </is>
      </c>
      <c r="G5" s="8" t="inlineStr">
        <is>
          <t>거래 건수</t>
        </is>
      </c>
      <c r="H5" s="8" t="inlineStr"/>
    </row>
    <row r="6">
      <c r="A6" s="44" t="n">
        <v>2026</v>
      </c>
      <c r="B6" s="44" t="n">
        <v>1</v>
      </c>
      <c r="C6" s="45">
        <f>IFERROR(SUMIFS('03_출고판매기록'!K:K,'03_출고판매기록'!B:B,A6,'03_출고판매기록'!C:C,B6),0)</f>
        <v/>
      </c>
      <c r="D6" s="46">
        <f>IFERROR(SUMIFS('03_출고판매기록'!I:I,'03_출고판매기록'!B:B,A6,'03_출고판매기록'!C:C,B6),0)</f>
        <v/>
      </c>
      <c r="E6" s="45">
        <f>IFERROR(SUMIFS('03_출고판매기록'!N:N,'03_출고판매기록'!B:B,A6,'03_출고판매기록'!C:C,B6),0)</f>
        <v/>
      </c>
      <c r="F6" s="45">
        <f>IFERROR(SUMIFS('03_출고판매기록'!O:O,'03_출고판매기록'!B:B,A6,'03_출고판매기록'!C:C,B6),0)</f>
        <v/>
      </c>
      <c r="G6" s="47">
        <f>IFERROR(COUNTIFS('03_출고판매기록'!B:B,A6,'03_출고판매기록'!C:C,B6),0)</f>
        <v/>
      </c>
    </row>
    <row r="7">
      <c r="A7" s="44" t="n">
        <v>2026</v>
      </c>
      <c r="B7" s="44" t="n">
        <v>2</v>
      </c>
      <c r="C7" s="45">
        <f>IFERROR(SUMIFS('03_출고판매기록'!K:K,'03_출고판매기록'!B:B,A7,'03_출고판매기록'!C:C,B7),0)</f>
        <v/>
      </c>
      <c r="D7" s="46">
        <f>IFERROR(SUMIFS('03_출고판매기록'!I:I,'03_출고판매기록'!B:B,A7,'03_출고판매기록'!C:C,B7),0)</f>
        <v/>
      </c>
      <c r="E7" s="45">
        <f>IFERROR(SUMIFS('03_출고판매기록'!N:N,'03_출고판매기록'!B:B,A7,'03_출고판매기록'!C:C,B7),0)</f>
        <v/>
      </c>
      <c r="F7" s="45">
        <f>IFERROR(SUMIFS('03_출고판매기록'!O:O,'03_출고판매기록'!B:B,A7,'03_출고판매기록'!C:C,B7),0)</f>
        <v/>
      </c>
      <c r="G7" s="47">
        <f>IFERROR(COUNTIFS('03_출고판매기록'!B:B,A7,'03_출고판매기록'!C:C,B7),0)</f>
        <v/>
      </c>
    </row>
    <row r="8">
      <c r="A8" s="44" t="n">
        <v>2026</v>
      </c>
      <c r="B8" s="44" t="n">
        <v>3</v>
      </c>
      <c r="C8" s="45">
        <f>IFERROR(SUMIFS('03_출고판매기록'!K:K,'03_출고판매기록'!B:B,A8,'03_출고판매기록'!C:C,B8),0)</f>
        <v/>
      </c>
      <c r="D8" s="46">
        <f>IFERROR(SUMIFS('03_출고판매기록'!I:I,'03_출고판매기록'!B:B,A8,'03_출고판매기록'!C:C,B8),0)</f>
        <v/>
      </c>
      <c r="E8" s="45">
        <f>IFERROR(SUMIFS('03_출고판매기록'!N:N,'03_출고판매기록'!B:B,A8,'03_출고판매기록'!C:C,B8),0)</f>
        <v/>
      </c>
      <c r="F8" s="45">
        <f>IFERROR(SUMIFS('03_출고판매기록'!O:O,'03_출고판매기록'!B:B,A8,'03_출고판매기록'!C:C,B8),0)</f>
        <v/>
      </c>
      <c r="G8" s="47">
        <f>IFERROR(COUNTIFS('03_출고판매기록'!B:B,A8,'03_출고판매기록'!C:C,B8),0)</f>
        <v/>
      </c>
    </row>
    <row r="9">
      <c r="A9" s="44" t="n">
        <v>2026</v>
      </c>
      <c r="B9" s="44" t="n">
        <v>4</v>
      </c>
      <c r="C9" s="45">
        <f>IFERROR(SUMIFS('03_출고판매기록'!K:K,'03_출고판매기록'!B:B,A9,'03_출고판매기록'!C:C,B9),0)</f>
        <v/>
      </c>
      <c r="D9" s="46">
        <f>IFERROR(SUMIFS('03_출고판매기록'!I:I,'03_출고판매기록'!B:B,A9,'03_출고판매기록'!C:C,B9),0)</f>
        <v/>
      </c>
      <c r="E9" s="45">
        <f>IFERROR(SUMIFS('03_출고판매기록'!N:N,'03_출고판매기록'!B:B,A9,'03_출고판매기록'!C:C,B9),0)</f>
        <v/>
      </c>
      <c r="F9" s="45">
        <f>IFERROR(SUMIFS('03_출고판매기록'!O:O,'03_출고판매기록'!B:B,A9,'03_출고판매기록'!C:C,B9),0)</f>
        <v/>
      </c>
      <c r="G9" s="47">
        <f>IFERROR(COUNTIFS('03_출고판매기록'!B:B,A9,'03_출고판매기록'!C:C,B9),0)</f>
        <v/>
      </c>
    </row>
    <row r="10">
      <c r="A10" s="44" t="n">
        <v>2026</v>
      </c>
      <c r="B10" s="44" t="n">
        <v>5</v>
      </c>
      <c r="C10" s="45">
        <f>IFERROR(SUMIFS('03_출고판매기록'!K:K,'03_출고판매기록'!B:B,A10,'03_출고판매기록'!C:C,B10),0)</f>
        <v/>
      </c>
      <c r="D10" s="46">
        <f>IFERROR(SUMIFS('03_출고판매기록'!I:I,'03_출고판매기록'!B:B,A10,'03_출고판매기록'!C:C,B10),0)</f>
        <v/>
      </c>
      <c r="E10" s="45">
        <f>IFERROR(SUMIFS('03_출고판매기록'!N:N,'03_출고판매기록'!B:B,A10,'03_출고판매기록'!C:C,B10),0)</f>
        <v/>
      </c>
      <c r="F10" s="45">
        <f>IFERROR(SUMIFS('03_출고판매기록'!O:O,'03_출고판매기록'!B:B,A10,'03_출고판매기록'!C:C,B10),0)</f>
        <v/>
      </c>
      <c r="G10" s="47">
        <f>IFERROR(COUNTIFS('03_출고판매기록'!B:B,A10,'03_출고판매기록'!C:C,B10),0)</f>
        <v/>
      </c>
    </row>
    <row r="11">
      <c r="A11" s="44" t="n">
        <v>2026</v>
      </c>
      <c r="B11" s="44" t="n">
        <v>6</v>
      </c>
      <c r="C11" s="45">
        <f>IFERROR(SUMIFS('03_출고판매기록'!K:K,'03_출고판매기록'!B:B,A11,'03_출고판매기록'!C:C,B11),0)</f>
        <v/>
      </c>
      <c r="D11" s="46">
        <f>IFERROR(SUMIFS('03_출고판매기록'!I:I,'03_출고판매기록'!B:B,A11,'03_출고판매기록'!C:C,B11),0)</f>
        <v/>
      </c>
      <c r="E11" s="45">
        <f>IFERROR(SUMIFS('03_출고판매기록'!N:N,'03_출고판매기록'!B:B,A11,'03_출고판매기록'!C:C,B11),0)</f>
        <v/>
      </c>
      <c r="F11" s="45">
        <f>IFERROR(SUMIFS('03_출고판매기록'!O:O,'03_출고판매기록'!B:B,A11,'03_출고판매기록'!C:C,B11),0)</f>
        <v/>
      </c>
      <c r="G11" s="47">
        <f>IFERROR(COUNTIFS('03_출고판매기록'!B:B,A11,'03_출고판매기록'!C:C,B11),0)</f>
        <v/>
      </c>
    </row>
    <row r="12">
      <c r="A12" s="44" t="n">
        <v>2026</v>
      </c>
      <c r="B12" s="44" t="n">
        <v>7</v>
      </c>
      <c r="C12" s="45">
        <f>IFERROR(SUMIFS('03_출고판매기록'!K:K,'03_출고판매기록'!B:B,A12,'03_출고판매기록'!C:C,B12),0)</f>
        <v/>
      </c>
      <c r="D12" s="46">
        <f>IFERROR(SUMIFS('03_출고판매기록'!I:I,'03_출고판매기록'!B:B,A12,'03_출고판매기록'!C:C,B12),0)</f>
        <v/>
      </c>
      <c r="E12" s="45">
        <f>IFERROR(SUMIFS('03_출고판매기록'!N:N,'03_출고판매기록'!B:B,A12,'03_출고판매기록'!C:C,B12),0)</f>
        <v/>
      </c>
      <c r="F12" s="45">
        <f>IFERROR(SUMIFS('03_출고판매기록'!O:O,'03_출고판매기록'!B:B,A12,'03_출고판매기록'!C:C,B12),0)</f>
        <v/>
      </c>
      <c r="G12" s="47">
        <f>IFERROR(COUNTIFS('03_출고판매기록'!B:B,A12,'03_출고판매기록'!C:C,B12),0)</f>
        <v/>
      </c>
    </row>
    <row r="13">
      <c r="A13" s="44" t="n">
        <v>2026</v>
      </c>
      <c r="B13" s="44" t="n">
        <v>8</v>
      </c>
      <c r="C13" s="45">
        <f>IFERROR(SUMIFS('03_출고판매기록'!K:K,'03_출고판매기록'!B:B,A13,'03_출고판매기록'!C:C,B13),0)</f>
        <v/>
      </c>
      <c r="D13" s="46">
        <f>IFERROR(SUMIFS('03_출고판매기록'!I:I,'03_출고판매기록'!B:B,A13,'03_출고판매기록'!C:C,B13),0)</f>
        <v/>
      </c>
      <c r="E13" s="45">
        <f>IFERROR(SUMIFS('03_출고판매기록'!N:N,'03_출고판매기록'!B:B,A13,'03_출고판매기록'!C:C,B13),0)</f>
        <v/>
      </c>
      <c r="F13" s="45">
        <f>IFERROR(SUMIFS('03_출고판매기록'!O:O,'03_출고판매기록'!B:B,A13,'03_출고판매기록'!C:C,B13),0)</f>
        <v/>
      </c>
      <c r="G13" s="47">
        <f>IFERROR(COUNTIFS('03_출고판매기록'!B:B,A13,'03_출고판매기록'!C:C,B13),0)</f>
        <v/>
      </c>
    </row>
    <row r="14">
      <c r="A14" s="44" t="n">
        <v>2026</v>
      </c>
      <c r="B14" s="44" t="n">
        <v>9</v>
      </c>
      <c r="C14" s="45">
        <f>IFERROR(SUMIFS('03_출고판매기록'!K:K,'03_출고판매기록'!B:B,A14,'03_출고판매기록'!C:C,B14),0)</f>
        <v/>
      </c>
      <c r="D14" s="46">
        <f>IFERROR(SUMIFS('03_출고판매기록'!I:I,'03_출고판매기록'!B:B,A14,'03_출고판매기록'!C:C,B14),0)</f>
        <v/>
      </c>
      <c r="E14" s="45">
        <f>IFERROR(SUMIFS('03_출고판매기록'!N:N,'03_출고판매기록'!B:B,A14,'03_출고판매기록'!C:C,B14),0)</f>
        <v/>
      </c>
      <c r="F14" s="45">
        <f>IFERROR(SUMIFS('03_출고판매기록'!O:O,'03_출고판매기록'!B:B,A14,'03_출고판매기록'!C:C,B14),0)</f>
        <v/>
      </c>
      <c r="G14" s="47">
        <f>IFERROR(COUNTIFS('03_출고판매기록'!B:B,A14,'03_출고판매기록'!C:C,B14),0)</f>
        <v/>
      </c>
    </row>
    <row r="15">
      <c r="A15" s="44" t="n">
        <v>2026</v>
      </c>
      <c r="B15" s="44" t="n">
        <v>10</v>
      </c>
      <c r="C15" s="45">
        <f>IFERROR(SUMIFS('03_출고판매기록'!K:K,'03_출고판매기록'!B:B,A15,'03_출고판매기록'!C:C,B15),0)</f>
        <v/>
      </c>
      <c r="D15" s="46">
        <f>IFERROR(SUMIFS('03_출고판매기록'!I:I,'03_출고판매기록'!B:B,A15,'03_출고판매기록'!C:C,B15),0)</f>
        <v/>
      </c>
      <c r="E15" s="45">
        <f>IFERROR(SUMIFS('03_출고판매기록'!N:N,'03_출고판매기록'!B:B,A15,'03_출고판매기록'!C:C,B15),0)</f>
        <v/>
      </c>
      <c r="F15" s="45">
        <f>IFERROR(SUMIFS('03_출고판매기록'!O:O,'03_출고판매기록'!B:B,A15,'03_출고판매기록'!C:C,B15),0)</f>
        <v/>
      </c>
      <c r="G15" s="47">
        <f>IFERROR(COUNTIFS('03_출고판매기록'!B:B,A15,'03_출고판매기록'!C:C,B15),0)</f>
        <v/>
      </c>
    </row>
    <row r="16">
      <c r="A16" s="44" t="n">
        <v>2026</v>
      </c>
      <c r="B16" s="44" t="n">
        <v>11</v>
      </c>
      <c r="C16" s="45">
        <f>IFERROR(SUMIFS('03_출고판매기록'!K:K,'03_출고판매기록'!B:B,A16,'03_출고판매기록'!C:C,B16),0)</f>
        <v/>
      </c>
      <c r="D16" s="46">
        <f>IFERROR(SUMIFS('03_출고판매기록'!I:I,'03_출고판매기록'!B:B,A16,'03_출고판매기록'!C:C,B16),0)</f>
        <v/>
      </c>
      <c r="E16" s="45">
        <f>IFERROR(SUMIFS('03_출고판매기록'!N:N,'03_출고판매기록'!B:B,A16,'03_출고판매기록'!C:C,B16),0)</f>
        <v/>
      </c>
      <c r="F16" s="45">
        <f>IFERROR(SUMIFS('03_출고판매기록'!O:O,'03_출고판매기록'!B:B,A16,'03_출고판매기록'!C:C,B16),0)</f>
        <v/>
      </c>
      <c r="G16" s="47">
        <f>IFERROR(COUNTIFS('03_출고판매기록'!B:B,A16,'03_출고판매기록'!C:C,B16),0)</f>
        <v/>
      </c>
    </row>
    <row r="17">
      <c r="A17" s="44" t="n">
        <v>2026</v>
      </c>
      <c r="B17" s="44" t="n">
        <v>12</v>
      </c>
      <c r="C17" s="45">
        <f>IFERROR(SUMIFS('03_출고판매기록'!K:K,'03_출고판매기록'!B:B,A17,'03_출고판매기록'!C:C,B17),0)</f>
        <v/>
      </c>
      <c r="D17" s="46">
        <f>IFERROR(SUMIFS('03_출고판매기록'!I:I,'03_출고판매기록'!B:B,A17,'03_출고판매기록'!C:C,B17),0)</f>
        <v/>
      </c>
      <c r="E17" s="45">
        <f>IFERROR(SUMIFS('03_출고판매기록'!N:N,'03_출고판매기록'!B:B,A17,'03_출고판매기록'!C:C,B17),0)</f>
        <v/>
      </c>
      <c r="F17" s="45">
        <f>IFERROR(SUMIFS('03_출고판매기록'!O:O,'03_출고판매기록'!B:B,A17,'03_출고판매기록'!C:C,B17),0)</f>
        <v/>
      </c>
      <c r="G17" s="47">
        <f>IFERROR(COUNTIFS('03_출고판매기록'!B:B,A17,'03_출고판매기록'!C:C,B17),0)</f>
        <v/>
      </c>
    </row>
    <row r="18">
      <c r="A18" s="44" t="n">
        <v>2027</v>
      </c>
      <c r="B18" s="44" t="n">
        <v>1</v>
      </c>
      <c r="C18" s="45">
        <f>IFERROR(SUMIFS('03_출고판매기록'!K:K,'03_출고판매기록'!B:B,A18,'03_출고판매기록'!C:C,B18),0)</f>
        <v/>
      </c>
      <c r="D18" s="46">
        <f>IFERROR(SUMIFS('03_출고판매기록'!I:I,'03_출고판매기록'!B:B,A18,'03_출고판매기록'!C:C,B18),0)</f>
        <v/>
      </c>
      <c r="E18" s="45">
        <f>IFERROR(SUMIFS('03_출고판매기록'!N:N,'03_출고판매기록'!B:B,A18,'03_출고판매기록'!C:C,B18),0)</f>
        <v/>
      </c>
      <c r="F18" s="45">
        <f>IFERROR(SUMIFS('03_출고판매기록'!O:O,'03_출고판매기록'!B:B,A18,'03_출고판매기록'!C:C,B18),0)</f>
        <v/>
      </c>
      <c r="G18" s="47">
        <f>IFERROR(COUNTIFS('03_출고판매기록'!B:B,A18,'03_출고판매기록'!C:C,B18),0)</f>
        <v/>
      </c>
    </row>
    <row r="19">
      <c r="A19" s="44" t="n">
        <v>2027</v>
      </c>
      <c r="B19" s="44" t="n">
        <v>2</v>
      </c>
      <c r="C19" s="45">
        <f>IFERROR(SUMIFS('03_출고판매기록'!K:K,'03_출고판매기록'!B:B,A19,'03_출고판매기록'!C:C,B19),0)</f>
        <v/>
      </c>
      <c r="D19" s="46">
        <f>IFERROR(SUMIFS('03_출고판매기록'!I:I,'03_출고판매기록'!B:B,A19,'03_출고판매기록'!C:C,B19),0)</f>
        <v/>
      </c>
      <c r="E19" s="45">
        <f>IFERROR(SUMIFS('03_출고판매기록'!N:N,'03_출고판매기록'!B:B,A19,'03_출고판매기록'!C:C,B19),0)</f>
        <v/>
      </c>
      <c r="F19" s="45">
        <f>IFERROR(SUMIFS('03_출고판매기록'!O:O,'03_출고판매기록'!B:B,A19,'03_출고판매기록'!C:C,B19),0)</f>
        <v/>
      </c>
      <c r="G19" s="47">
        <f>IFERROR(COUNTIFS('03_출고판매기록'!B:B,A19,'03_출고판매기록'!C:C,B19),0)</f>
        <v/>
      </c>
    </row>
    <row r="20">
      <c r="A20" s="44" t="n">
        <v>2027</v>
      </c>
      <c r="B20" s="44" t="n">
        <v>3</v>
      </c>
      <c r="C20" s="45">
        <f>IFERROR(SUMIFS('03_출고판매기록'!K:K,'03_출고판매기록'!B:B,A20,'03_출고판매기록'!C:C,B20),0)</f>
        <v/>
      </c>
      <c r="D20" s="46">
        <f>IFERROR(SUMIFS('03_출고판매기록'!I:I,'03_출고판매기록'!B:B,A20,'03_출고판매기록'!C:C,B20),0)</f>
        <v/>
      </c>
      <c r="E20" s="45">
        <f>IFERROR(SUMIFS('03_출고판매기록'!N:N,'03_출고판매기록'!B:B,A20,'03_출고판매기록'!C:C,B20),0)</f>
        <v/>
      </c>
      <c r="F20" s="45">
        <f>IFERROR(SUMIFS('03_출고판매기록'!O:O,'03_출고판매기록'!B:B,A20,'03_출고판매기록'!C:C,B20),0)</f>
        <v/>
      </c>
      <c r="G20" s="47">
        <f>IFERROR(COUNTIFS('03_출고판매기록'!B:B,A20,'03_출고판매기록'!C:C,B20),0)</f>
        <v/>
      </c>
    </row>
    <row r="21">
      <c r="A21" s="44" t="n">
        <v>2027</v>
      </c>
      <c r="B21" s="44" t="n">
        <v>4</v>
      </c>
      <c r="C21" s="45">
        <f>IFERROR(SUMIFS('03_출고판매기록'!K:K,'03_출고판매기록'!B:B,A21,'03_출고판매기록'!C:C,B21),0)</f>
        <v/>
      </c>
      <c r="D21" s="46">
        <f>IFERROR(SUMIFS('03_출고판매기록'!I:I,'03_출고판매기록'!B:B,A21,'03_출고판매기록'!C:C,B21),0)</f>
        <v/>
      </c>
      <c r="E21" s="45">
        <f>IFERROR(SUMIFS('03_출고판매기록'!N:N,'03_출고판매기록'!B:B,A21,'03_출고판매기록'!C:C,B21),0)</f>
        <v/>
      </c>
      <c r="F21" s="45">
        <f>IFERROR(SUMIFS('03_출고판매기록'!O:O,'03_출고판매기록'!B:B,A21,'03_출고판매기록'!C:C,B21),0)</f>
        <v/>
      </c>
      <c r="G21" s="47">
        <f>IFERROR(COUNTIFS('03_출고판매기록'!B:B,A21,'03_출고판매기록'!C:C,B21),0)</f>
        <v/>
      </c>
    </row>
    <row r="22">
      <c r="A22" s="44" t="n">
        <v>2027</v>
      </c>
      <c r="B22" s="44" t="n">
        <v>5</v>
      </c>
      <c r="C22" s="45">
        <f>IFERROR(SUMIFS('03_출고판매기록'!K:K,'03_출고판매기록'!B:B,A22,'03_출고판매기록'!C:C,B22),0)</f>
        <v/>
      </c>
      <c r="D22" s="46">
        <f>IFERROR(SUMIFS('03_출고판매기록'!I:I,'03_출고판매기록'!B:B,A22,'03_출고판매기록'!C:C,B22),0)</f>
        <v/>
      </c>
      <c r="E22" s="45">
        <f>IFERROR(SUMIFS('03_출고판매기록'!N:N,'03_출고판매기록'!B:B,A22,'03_출고판매기록'!C:C,B22),0)</f>
        <v/>
      </c>
      <c r="F22" s="45">
        <f>IFERROR(SUMIFS('03_출고판매기록'!O:O,'03_출고판매기록'!B:B,A22,'03_출고판매기록'!C:C,B22),0)</f>
        <v/>
      </c>
      <c r="G22" s="47">
        <f>IFERROR(COUNTIFS('03_출고판매기록'!B:B,A22,'03_출고판매기록'!C:C,B22),0)</f>
        <v/>
      </c>
    </row>
    <row r="23">
      <c r="A23" s="44" t="n">
        <v>2027</v>
      </c>
      <c r="B23" s="44" t="n">
        <v>6</v>
      </c>
      <c r="C23" s="45">
        <f>IFERROR(SUMIFS('03_출고판매기록'!K:K,'03_출고판매기록'!B:B,A23,'03_출고판매기록'!C:C,B23),0)</f>
        <v/>
      </c>
      <c r="D23" s="46">
        <f>IFERROR(SUMIFS('03_출고판매기록'!I:I,'03_출고판매기록'!B:B,A23,'03_출고판매기록'!C:C,B23),0)</f>
        <v/>
      </c>
      <c r="E23" s="45">
        <f>IFERROR(SUMIFS('03_출고판매기록'!N:N,'03_출고판매기록'!B:B,A23,'03_출고판매기록'!C:C,B23),0)</f>
        <v/>
      </c>
      <c r="F23" s="45">
        <f>IFERROR(SUMIFS('03_출고판매기록'!O:O,'03_출고판매기록'!B:B,A23,'03_출고판매기록'!C:C,B23),0)</f>
        <v/>
      </c>
      <c r="G23" s="47">
        <f>IFERROR(COUNTIFS('03_출고판매기록'!B:B,A23,'03_출고판매기록'!C:C,B23),0)</f>
        <v/>
      </c>
    </row>
    <row r="24">
      <c r="A24" s="44" t="n">
        <v>2027</v>
      </c>
      <c r="B24" s="44" t="n">
        <v>7</v>
      </c>
      <c r="C24" s="45">
        <f>IFERROR(SUMIFS('03_출고판매기록'!K:K,'03_출고판매기록'!B:B,A24,'03_출고판매기록'!C:C,B24),0)</f>
        <v/>
      </c>
      <c r="D24" s="46">
        <f>IFERROR(SUMIFS('03_출고판매기록'!I:I,'03_출고판매기록'!B:B,A24,'03_출고판매기록'!C:C,B24),0)</f>
        <v/>
      </c>
      <c r="E24" s="45">
        <f>IFERROR(SUMIFS('03_출고판매기록'!N:N,'03_출고판매기록'!B:B,A24,'03_출고판매기록'!C:C,B24),0)</f>
        <v/>
      </c>
      <c r="F24" s="45">
        <f>IFERROR(SUMIFS('03_출고판매기록'!O:O,'03_출고판매기록'!B:B,A24,'03_출고판매기록'!C:C,B24),0)</f>
        <v/>
      </c>
      <c r="G24" s="47">
        <f>IFERROR(COUNTIFS('03_출고판매기록'!B:B,A24,'03_출고판매기록'!C:C,B24),0)</f>
        <v/>
      </c>
    </row>
    <row r="25">
      <c r="A25" s="44" t="n">
        <v>2027</v>
      </c>
      <c r="B25" s="44" t="n">
        <v>8</v>
      </c>
      <c r="C25" s="45">
        <f>IFERROR(SUMIFS('03_출고판매기록'!K:K,'03_출고판매기록'!B:B,A25,'03_출고판매기록'!C:C,B25),0)</f>
        <v/>
      </c>
      <c r="D25" s="46">
        <f>IFERROR(SUMIFS('03_출고판매기록'!I:I,'03_출고판매기록'!B:B,A25,'03_출고판매기록'!C:C,B25),0)</f>
        <v/>
      </c>
      <c r="E25" s="45">
        <f>IFERROR(SUMIFS('03_출고판매기록'!N:N,'03_출고판매기록'!B:B,A25,'03_출고판매기록'!C:C,B25),0)</f>
        <v/>
      </c>
      <c r="F25" s="45">
        <f>IFERROR(SUMIFS('03_출고판매기록'!O:O,'03_출고판매기록'!B:B,A25,'03_출고판매기록'!C:C,B25),0)</f>
        <v/>
      </c>
      <c r="G25" s="47">
        <f>IFERROR(COUNTIFS('03_출고판매기록'!B:B,A25,'03_출고판매기록'!C:C,B25),0)</f>
        <v/>
      </c>
    </row>
    <row r="26">
      <c r="A26" s="44" t="n">
        <v>2027</v>
      </c>
      <c r="B26" s="44" t="n">
        <v>9</v>
      </c>
      <c r="C26" s="45">
        <f>IFERROR(SUMIFS('03_출고판매기록'!K:K,'03_출고판매기록'!B:B,A26,'03_출고판매기록'!C:C,B26),0)</f>
        <v/>
      </c>
      <c r="D26" s="46">
        <f>IFERROR(SUMIFS('03_출고판매기록'!I:I,'03_출고판매기록'!B:B,A26,'03_출고판매기록'!C:C,B26),0)</f>
        <v/>
      </c>
      <c r="E26" s="45">
        <f>IFERROR(SUMIFS('03_출고판매기록'!N:N,'03_출고판매기록'!B:B,A26,'03_출고판매기록'!C:C,B26),0)</f>
        <v/>
      </c>
      <c r="F26" s="45">
        <f>IFERROR(SUMIFS('03_출고판매기록'!O:O,'03_출고판매기록'!B:B,A26,'03_출고판매기록'!C:C,B26),0)</f>
        <v/>
      </c>
      <c r="G26" s="47">
        <f>IFERROR(COUNTIFS('03_출고판매기록'!B:B,A26,'03_출고판매기록'!C:C,B26),0)</f>
        <v/>
      </c>
    </row>
    <row r="27">
      <c r="A27" s="44" t="n">
        <v>2027</v>
      </c>
      <c r="B27" s="44" t="n">
        <v>10</v>
      </c>
      <c r="C27" s="45">
        <f>IFERROR(SUMIFS('03_출고판매기록'!K:K,'03_출고판매기록'!B:B,A27,'03_출고판매기록'!C:C,B27),0)</f>
        <v/>
      </c>
      <c r="D27" s="46">
        <f>IFERROR(SUMIFS('03_출고판매기록'!I:I,'03_출고판매기록'!B:B,A27,'03_출고판매기록'!C:C,B27),0)</f>
        <v/>
      </c>
      <c r="E27" s="45">
        <f>IFERROR(SUMIFS('03_출고판매기록'!N:N,'03_출고판매기록'!B:B,A27,'03_출고판매기록'!C:C,B27),0)</f>
        <v/>
      </c>
      <c r="F27" s="45">
        <f>IFERROR(SUMIFS('03_출고판매기록'!O:O,'03_출고판매기록'!B:B,A27,'03_출고판매기록'!C:C,B27),0)</f>
        <v/>
      </c>
      <c r="G27" s="47">
        <f>IFERROR(COUNTIFS('03_출고판매기록'!B:B,A27,'03_출고판매기록'!C:C,B27),0)</f>
        <v/>
      </c>
    </row>
    <row r="28">
      <c r="A28" s="44" t="n">
        <v>2027</v>
      </c>
      <c r="B28" s="44" t="n">
        <v>11</v>
      </c>
      <c r="C28" s="45">
        <f>IFERROR(SUMIFS('03_출고판매기록'!K:K,'03_출고판매기록'!B:B,A28,'03_출고판매기록'!C:C,B28),0)</f>
        <v/>
      </c>
      <c r="D28" s="46">
        <f>IFERROR(SUMIFS('03_출고판매기록'!I:I,'03_출고판매기록'!B:B,A28,'03_출고판매기록'!C:C,B28),0)</f>
        <v/>
      </c>
      <c r="E28" s="45">
        <f>IFERROR(SUMIFS('03_출고판매기록'!N:N,'03_출고판매기록'!B:B,A28,'03_출고판매기록'!C:C,B28),0)</f>
        <v/>
      </c>
      <c r="F28" s="45">
        <f>IFERROR(SUMIFS('03_출고판매기록'!O:O,'03_출고판매기록'!B:B,A28,'03_출고판매기록'!C:C,B28),0)</f>
        <v/>
      </c>
      <c r="G28" s="47">
        <f>IFERROR(COUNTIFS('03_출고판매기록'!B:B,A28,'03_출고판매기록'!C:C,B28),0)</f>
        <v/>
      </c>
    </row>
    <row r="29">
      <c r="A29" s="44" t="n">
        <v>2027</v>
      </c>
      <c r="B29" s="44" t="n">
        <v>12</v>
      </c>
      <c r="C29" s="45">
        <f>IFERROR(SUMIFS('03_출고판매기록'!K:K,'03_출고판매기록'!B:B,A29,'03_출고판매기록'!C:C,B29),0)</f>
        <v/>
      </c>
      <c r="D29" s="46">
        <f>IFERROR(SUMIFS('03_출고판매기록'!I:I,'03_출고판매기록'!B:B,A29,'03_출고판매기록'!C:C,B29),0)</f>
        <v/>
      </c>
      <c r="E29" s="45">
        <f>IFERROR(SUMIFS('03_출고판매기록'!N:N,'03_출고판매기록'!B:B,A29,'03_출고판매기록'!C:C,B29),0)</f>
        <v/>
      </c>
      <c r="F29" s="45">
        <f>IFERROR(SUMIFS('03_출고판매기록'!O:O,'03_출고판매기록'!B:B,A29,'03_출고판매기록'!C:C,B29),0)</f>
        <v/>
      </c>
      <c r="G29" s="47">
        <f>IFERROR(COUNTIFS('03_출고판매기록'!B:B,A29,'03_출고판매기록'!C:C,B29),0)</f>
        <v/>
      </c>
    </row>
    <row r="30">
      <c r="A30" s="44" t="n">
        <v>2028</v>
      </c>
      <c r="B30" s="44" t="n">
        <v>1</v>
      </c>
      <c r="C30" s="45">
        <f>IFERROR(SUMIFS('03_출고판매기록'!K:K,'03_출고판매기록'!B:B,A30,'03_출고판매기록'!C:C,B30),0)</f>
        <v/>
      </c>
      <c r="D30" s="46">
        <f>IFERROR(SUMIFS('03_출고판매기록'!I:I,'03_출고판매기록'!B:B,A30,'03_출고판매기록'!C:C,B30),0)</f>
        <v/>
      </c>
      <c r="E30" s="45">
        <f>IFERROR(SUMIFS('03_출고판매기록'!N:N,'03_출고판매기록'!B:B,A30,'03_출고판매기록'!C:C,B30),0)</f>
        <v/>
      </c>
      <c r="F30" s="45">
        <f>IFERROR(SUMIFS('03_출고판매기록'!O:O,'03_출고판매기록'!B:B,A30,'03_출고판매기록'!C:C,B30),0)</f>
        <v/>
      </c>
      <c r="G30" s="47">
        <f>IFERROR(COUNTIFS('03_출고판매기록'!B:B,A30,'03_출고판매기록'!C:C,B30),0)</f>
        <v/>
      </c>
    </row>
    <row r="31">
      <c r="A31" s="44" t="n">
        <v>2028</v>
      </c>
      <c r="B31" s="44" t="n">
        <v>2</v>
      </c>
      <c r="C31" s="45">
        <f>IFERROR(SUMIFS('03_출고판매기록'!K:K,'03_출고판매기록'!B:B,A31,'03_출고판매기록'!C:C,B31),0)</f>
        <v/>
      </c>
      <c r="D31" s="46">
        <f>IFERROR(SUMIFS('03_출고판매기록'!I:I,'03_출고판매기록'!B:B,A31,'03_출고판매기록'!C:C,B31),0)</f>
        <v/>
      </c>
      <c r="E31" s="45">
        <f>IFERROR(SUMIFS('03_출고판매기록'!N:N,'03_출고판매기록'!B:B,A31,'03_출고판매기록'!C:C,B31),0)</f>
        <v/>
      </c>
      <c r="F31" s="45">
        <f>IFERROR(SUMIFS('03_출고판매기록'!O:O,'03_출고판매기록'!B:B,A31,'03_출고판매기록'!C:C,B31),0)</f>
        <v/>
      </c>
      <c r="G31" s="47">
        <f>IFERROR(COUNTIFS('03_출고판매기록'!B:B,A31,'03_출고판매기록'!C:C,B31),0)</f>
        <v/>
      </c>
    </row>
    <row r="32">
      <c r="A32" s="44" t="n">
        <v>2028</v>
      </c>
      <c r="B32" s="44" t="n">
        <v>3</v>
      </c>
      <c r="C32" s="45">
        <f>IFERROR(SUMIFS('03_출고판매기록'!K:K,'03_출고판매기록'!B:B,A32,'03_출고판매기록'!C:C,B32),0)</f>
        <v/>
      </c>
      <c r="D32" s="46">
        <f>IFERROR(SUMIFS('03_출고판매기록'!I:I,'03_출고판매기록'!B:B,A32,'03_출고판매기록'!C:C,B32),0)</f>
        <v/>
      </c>
      <c r="E32" s="45">
        <f>IFERROR(SUMIFS('03_출고판매기록'!N:N,'03_출고판매기록'!B:B,A32,'03_출고판매기록'!C:C,B32),0)</f>
        <v/>
      </c>
      <c r="F32" s="45">
        <f>IFERROR(SUMIFS('03_출고판매기록'!O:O,'03_출고판매기록'!B:B,A32,'03_출고판매기록'!C:C,B32),0)</f>
        <v/>
      </c>
      <c r="G32" s="47">
        <f>IFERROR(COUNTIFS('03_출고판매기록'!B:B,A32,'03_출고판매기록'!C:C,B32),0)</f>
        <v/>
      </c>
    </row>
    <row r="33">
      <c r="A33" s="44" t="n">
        <v>2028</v>
      </c>
      <c r="B33" s="44" t="n">
        <v>4</v>
      </c>
      <c r="C33" s="45">
        <f>IFERROR(SUMIFS('03_출고판매기록'!K:K,'03_출고판매기록'!B:B,A33,'03_출고판매기록'!C:C,B33),0)</f>
        <v/>
      </c>
      <c r="D33" s="46">
        <f>IFERROR(SUMIFS('03_출고판매기록'!I:I,'03_출고판매기록'!B:B,A33,'03_출고판매기록'!C:C,B33),0)</f>
        <v/>
      </c>
      <c r="E33" s="45">
        <f>IFERROR(SUMIFS('03_출고판매기록'!N:N,'03_출고판매기록'!B:B,A33,'03_출고판매기록'!C:C,B33),0)</f>
        <v/>
      </c>
      <c r="F33" s="45">
        <f>IFERROR(SUMIFS('03_출고판매기록'!O:O,'03_출고판매기록'!B:B,A33,'03_출고판매기록'!C:C,B33),0)</f>
        <v/>
      </c>
      <c r="G33" s="47">
        <f>IFERROR(COUNTIFS('03_출고판매기록'!B:B,A33,'03_출고판매기록'!C:C,B33),0)</f>
        <v/>
      </c>
    </row>
    <row r="34">
      <c r="A34" s="44" t="n">
        <v>2028</v>
      </c>
      <c r="B34" s="44" t="n">
        <v>5</v>
      </c>
      <c r="C34" s="45">
        <f>IFERROR(SUMIFS('03_출고판매기록'!K:K,'03_출고판매기록'!B:B,A34,'03_출고판매기록'!C:C,B34),0)</f>
        <v/>
      </c>
      <c r="D34" s="46">
        <f>IFERROR(SUMIFS('03_출고판매기록'!I:I,'03_출고판매기록'!B:B,A34,'03_출고판매기록'!C:C,B34),0)</f>
        <v/>
      </c>
      <c r="E34" s="45">
        <f>IFERROR(SUMIFS('03_출고판매기록'!N:N,'03_출고판매기록'!B:B,A34,'03_출고판매기록'!C:C,B34),0)</f>
        <v/>
      </c>
      <c r="F34" s="45">
        <f>IFERROR(SUMIFS('03_출고판매기록'!O:O,'03_출고판매기록'!B:B,A34,'03_출고판매기록'!C:C,B34),0)</f>
        <v/>
      </c>
      <c r="G34" s="47">
        <f>IFERROR(COUNTIFS('03_출고판매기록'!B:B,A34,'03_출고판매기록'!C:C,B34),0)</f>
        <v/>
      </c>
    </row>
    <row r="35">
      <c r="A35" s="44" t="n">
        <v>2028</v>
      </c>
      <c r="B35" s="44" t="n">
        <v>6</v>
      </c>
      <c r="C35" s="45">
        <f>IFERROR(SUMIFS('03_출고판매기록'!K:K,'03_출고판매기록'!B:B,A35,'03_출고판매기록'!C:C,B35),0)</f>
        <v/>
      </c>
      <c r="D35" s="46">
        <f>IFERROR(SUMIFS('03_출고판매기록'!I:I,'03_출고판매기록'!B:B,A35,'03_출고판매기록'!C:C,B35),0)</f>
        <v/>
      </c>
      <c r="E35" s="45">
        <f>IFERROR(SUMIFS('03_출고판매기록'!N:N,'03_출고판매기록'!B:B,A35,'03_출고판매기록'!C:C,B35),0)</f>
        <v/>
      </c>
      <c r="F35" s="45">
        <f>IFERROR(SUMIFS('03_출고판매기록'!O:O,'03_출고판매기록'!B:B,A35,'03_출고판매기록'!C:C,B35),0)</f>
        <v/>
      </c>
      <c r="G35" s="47">
        <f>IFERROR(COUNTIFS('03_출고판매기록'!B:B,A35,'03_출고판매기록'!C:C,B35),0)</f>
        <v/>
      </c>
    </row>
    <row r="36">
      <c r="A36" s="44" t="n">
        <v>2028</v>
      </c>
      <c r="B36" s="44" t="n">
        <v>7</v>
      </c>
      <c r="C36" s="45">
        <f>IFERROR(SUMIFS('03_출고판매기록'!K:K,'03_출고판매기록'!B:B,A36,'03_출고판매기록'!C:C,B36),0)</f>
        <v/>
      </c>
      <c r="D36" s="46">
        <f>IFERROR(SUMIFS('03_출고판매기록'!I:I,'03_출고판매기록'!B:B,A36,'03_출고판매기록'!C:C,B36),0)</f>
        <v/>
      </c>
      <c r="E36" s="45">
        <f>IFERROR(SUMIFS('03_출고판매기록'!N:N,'03_출고판매기록'!B:B,A36,'03_출고판매기록'!C:C,B36),0)</f>
        <v/>
      </c>
      <c r="F36" s="45">
        <f>IFERROR(SUMIFS('03_출고판매기록'!O:O,'03_출고판매기록'!B:B,A36,'03_출고판매기록'!C:C,B36),0)</f>
        <v/>
      </c>
      <c r="G36" s="47">
        <f>IFERROR(COUNTIFS('03_출고판매기록'!B:B,A36,'03_출고판매기록'!C:C,B36),0)</f>
        <v/>
      </c>
    </row>
    <row r="37">
      <c r="A37" s="44" t="n">
        <v>2028</v>
      </c>
      <c r="B37" s="44" t="n">
        <v>8</v>
      </c>
      <c r="C37" s="45">
        <f>IFERROR(SUMIFS('03_출고판매기록'!K:K,'03_출고판매기록'!B:B,A37,'03_출고판매기록'!C:C,B37),0)</f>
        <v/>
      </c>
      <c r="D37" s="46">
        <f>IFERROR(SUMIFS('03_출고판매기록'!I:I,'03_출고판매기록'!B:B,A37,'03_출고판매기록'!C:C,B37),0)</f>
        <v/>
      </c>
      <c r="E37" s="45">
        <f>IFERROR(SUMIFS('03_출고판매기록'!N:N,'03_출고판매기록'!B:B,A37,'03_출고판매기록'!C:C,B37),0)</f>
        <v/>
      </c>
      <c r="F37" s="45">
        <f>IFERROR(SUMIFS('03_출고판매기록'!O:O,'03_출고판매기록'!B:B,A37,'03_출고판매기록'!C:C,B37),0)</f>
        <v/>
      </c>
      <c r="G37" s="47">
        <f>IFERROR(COUNTIFS('03_출고판매기록'!B:B,A37,'03_출고판매기록'!C:C,B37),0)</f>
        <v/>
      </c>
    </row>
    <row r="38">
      <c r="A38" s="44" t="n">
        <v>2028</v>
      </c>
      <c r="B38" s="44" t="n">
        <v>9</v>
      </c>
      <c r="C38" s="45">
        <f>IFERROR(SUMIFS('03_출고판매기록'!K:K,'03_출고판매기록'!B:B,A38,'03_출고판매기록'!C:C,B38),0)</f>
        <v/>
      </c>
      <c r="D38" s="46">
        <f>IFERROR(SUMIFS('03_출고판매기록'!I:I,'03_출고판매기록'!B:B,A38,'03_출고판매기록'!C:C,B38),0)</f>
        <v/>
      </c>
      <c r="E38" s="45">
        <f>IFERROR(SUMIFS('03_출고판매기록'!N:N,'03_출고판매기록'!B:B,A38,'03_출고판매기록'!C:C,B38),0)</f>
        <v/>
      </c>
      <c r="F38" s="45">
        <f>IFERROR(SUMIFS('03_출고판매기록'!O:O,'03_출고판매기록'!B:B,A38,'03_출고판매기록'!C:C,B38),0)</f>
        <v/>
      </c>
      <c r="G38" s="47">
        <f>IFERROR(COUNTIFS('03_출고판매기록'!B:B,A38,'03_출고판매기록'!C:C,B38),0)</f>
        <v/>
      </c>
    </row>
    <row r="39">
      <c r="A39" s="44" t="n">
        <v>2028</v>
      </c>
      <c r="B39" s="44" t="n">
        <v>10</v>
      </c>
      <c r="C39" s="45">
        <f>IFERROR(SUMIFS('03_출고판매기록'!K:K,'03_출고판매기록'!B:B,A39,'03_출고판매기록'!C:C,B39),0)</f>
        <v/>
      </c>
      <c r="D39" s="46">
        <f>IFERROR(SUMIFS('03_출고판매기록'!I:I,'03_출고판매기록'!B:B,A39,'03_출고판매기록'!C:C,B39),0)</f>
        <v/>
      </c>
      <c r="E39" s="45">
        <f>IFERROR(SUMIFS('03_출고판매기록'!N:N,'03_출고판매기록'!B:B,A39,'03_출고판매기록'!C:C,B39),0)</f>
        <v/>
      </c>
      <c r="F39" s="45">
        <f>IFERROR(SUMIFS('03_출고판매기록'!O:O,'03_출고판매기록'!B:B,A39,'03_출고판매기록'!C:C,B39),0)</f>
        <v/>
      </c>
      <c r="G39" s="47">
        <f>IFERROR(COUNTIFS('03_출고판매기록'!B:B,A39,'03_출고판매기록'!C:C,B39),0)</f>
        <v/>
      </c>
    </row>
    <row r="40">
      <c r="A40" s="44" t="n">
        <v>2028</v>
      </c>
      <c r="B40" s="44" t="n">
        <v>11</v>
      </c>
      <c r="C40" s="45">
        <f>IFERROR(SUMIFS('03_출고판매기록'!K:K,'03_출고판매기록'!B:B,A40,'03_출고판매기록'!C:C,B40),0)</f>
        <v/>
      </c>
      <c r="D40" s="46">
        <f>IFERROR(SUMIFS('03_출고판매기록'!I:I,'03_출고판매기록'!B:B,A40,'03_출고판매기록'!C:C,B40),0)</f>
        <v/>
      </c>
      <c r="E40" s="45">
        <f>IFERROR(SUMIFS('03_출고판매기록'!N:N,'03_출고판매기록'!B:B,A40,'03_출고판매기록'!C:C,B40),0)</f>
        <v/>
      </c>
      <c r="F40" s="45">
        <f>IFERROR(SUMIFS('03_출고판매기록'!O:O,'03_출고판매기록'!B:B,A40,'03_출고판매기록'!C:C,B40),0)</f>
        <v/>
      </c>
      <c r="G40" s="47">
        <f>IFERROR(COUNTIFS('03_출고판매기록'!B:B,A40,'03_출고판매기록'!C:C,B40),0)</f>
        <v/>
      </c>
    </row>
    <row r="41">
      <c r="A41" s="44" t="n">
        <v>2028</v>
      </c>
      <c r="B41" s="44" t="n">
        <v>12</v>
      </c>
      <c r="C41" s="45">
        <f>IFERROR(SUMIFS('03_출고판매기록'!K:K,'03_출고판매기록'!B:B,A41,'03_출고판매기록'!C:C,B41),0)</f>
        <v/>
      </c>
      <c r="D41" s="46">
        <f>IFERROR(SUMIFS('03_출고판매기록'!I:I,'03_출고판매기록'!B:B,A41,'03_출고판매기록'!C:C,B41),0)</f>
        <v/>
      </c>
      <c r="E41" s="45">
        <f>IFERROR(SUMIFS('03_출고판매기록'!N:N,'03_출고판매기록'!B:B,A41,'03_출고판매기록'!C:C,B41),0)</f>
        <v/>
      </c>
      <c r="F41" s="45">
        <f>IFERROR(SUMIFS('03_출고판매기록'!O:O,'03_출고판매기록'!B:B,A41,'03_출고판매기록'!C:C,B41),0)</f>
        <v/>
      </c>
      <c r="G41" s="47">
        <f>IFERROR(COUNTIFS('03_출고판매기록'!B:B,A41,'03_출고판매기록'!C:C,B41),0)</f>
        <v/>
      </c>
    </row>
    <row r="42">
      <c r="A42" s="44" t="n">
        <v>2029</v>
      </c>
      <c r="B42" s="44" t="n">
        <v>1</v>
      </c>
      <c r="C42" s="45">
        <f>IFERROR(SUMIFS('03_출고판매기록'!K:K,'03_출고판매기록'!B:B,A42,'03_출고판매기록'!C:C,B42),0)</f>
        <v/>
      </c>
      <c r="D42" s="46">
        <f>IFERROR(SUMIFS('03_출고판매기록'!I:I,'03_출고판매기록'!B:B,A42,'03_출고판매기록'!C:C,B42),0)</f>
        <v/>
      </c>
      <c r="E42" s="45">
        <f>IFERROR(SUMIFS('03_출고판매기록'!N:N,'03_출고판매기록'!B:B,A42,'03_출고판매기록'!C:C,B42),0)</f>
        <v/>
      </c>
      <c r="F42" s="45">
        <f>IFERROR(SUMIFS('03_출고판매기록'!O:O,'03_출고판매기록'!B:B,A42,'03_출고판매기록'!C:C,B42),0)</f>
        <v/>
      </c>
      <c r="G42" s="47">
        <f>IFERROR(COUNTIFS('03_출고판매기록'!B:B,A42,'03_출고판매기록'!C:C,B42),0)</f>
        <v/>
      </c>
    </row>
    <row r="43">
      <c r="A43" s="44" t="n">
        <v>2029</v>
      </c>
      <c r="B43" s="44" t="n">
        <v>2</v>
      </c>
      <c r="C43" s="45">
        <f>IFERROR(SUMIFS('03_출고판매기록'!K:K,'03_출고판매기록'!B:B,A43,'03_출고판매기록'!C:C,B43),0)</f>
        <v/>
      </c>
      <c r="D43" s="46">
        <f>IFERROR(SUMIFS('03_출고판매기록'!I:I,'03_출고판매기록'!B:B,A43,'03_출고판매기록'!C:C,B43),0)</f>
        <v/>
      </c>
      <c r="E43" s="45">
        <f>IFERROR(SUMIFS('03_출고판매기록'!N:N,'03_출고판매기록'!B:B,A43,'03_출고판매기록'!C:C,B43),0)</f>
        <v/>
      </c>
      <c r="F43" s="45">
        <f>IFERROR(SUMIFS('03_출고판매기록'!O:O,'03_출고판매기록'!B:B,A43,'03_출고판매기록'!C:C,B43),0)</f>
        <v/>
      </c>
      <c r="G43" s="47">
        <f>IFERROR(COUNTIFS('03_출고판매기록'!B:B,A43,'03_출고판매기록'!C:C,B43),0)</f>
        <v/>
      </c>
    </row>
    <row r="44">
      <c r="A44" s="44" t="n">
        <v>2029</v>
      </c>
      <c r="B44" s="44" t="n">
        <v>3</v>
      </c>
      <c r="C44" s="45">
        <f>IFERROR(SUMIFS('03_출고판매기록'!K:K,'03_출고판매기록'!B:B,A44,'03_출고판매기록'!C:C,B44),0)</f>
        <v/>
      </c>
      <c r="D44" s="46">
        <f>IFERROR(SUMIFS('03_출고판매기록'!I:I,'03_출고판매기록'!B:B,A44,'03_출고판매기록'!C:C,B44),0)</f>
        <v/>
      </c>
      <c r="E44" s="45">
        <f>IFERROR(SUMIFS('03_출고판매기록'!N:N,'03_출고판매기록'!B:B,A44,'03_출고판매기록'!C:C,B44),0)</f>
        <v/>
      </c>
      <c r="F44" s="45">
        <f>IFERROR(SUMIFS('03_출고판매기록'!O:O,'03_출고판매기록'!B:B,A44,'03_출고판매기록'!C:C,B44),0)</f>
        <v/>
      </c>
      <c r="G44" s="47">
        <f>IFERROR(COUNTIFS('03_출고판매기록'!B:B,A44,'03_출고판매기록'!C:C,B44),0)</f>
        <v/>
      </c>
    </row>
    <row r="45">
      <c r="A45" s="44" t="n">
        <v>2029</v>
      </c>
      <c r="B45" s="44" t="n">
        <v>4</v>
      </c>
      <c r="C45" s="45">
        <f>IFERROR(SUMIFS('03_출고판매기록'!K:K,'03_출고판매기록'!B:B,A45,'03_출고판매기록'!C:C,B45),0)</f>
        <v/>
      </c>
      <c r="D45" s="46">
        <f>IFERROR(SUMIFS('03_출고판매기록'!I:I,'03_출고판매기록'!B:B,A45,'03_출고판매기록'!C:C,B45),0)</f>
        <v/>
      </c>
      <c r="E45" s="45">
        <f>IFERROR(SUMIFS('03_출고판매기록'!N:N,'03_출고판매기록'!B:B,A45,'03_출고판매기록'!C:C,B45),0)</f>
        <v/>
      </c>
      <c r="F45" s="45">
        <f>IFERROR(SUMIFS('03_출고판매기록'!O:O,'03_출고판매기록'!B:B,A45,'03_출고판매기록'!C:C,B45),0)</f>
        <v/>
      </c>
      <c r="G45" s="47">
        <f>IFERROR(COUNTIFS('03_출고판매기록'!B:B,A45,'03_출고판매기록'!C:C,B45),0)</f>
        <v/>
      </c>
    </row>
    <row r="46">
      <c r="A46" s="44" t="n">
        <v>2029</v>
      </c>
      <c r="B46" s="44" t="n">
        <v>5</v>
      </c>
      <c r="C46" s="45">
        <f>IFERROR(SUMIFS('03_출고판매기록'!K:K,'03_출고판매기록'!B:B,A46,'03_출고판매기록'!C:C,B46),0)</f>
        <v/>
      </c>
      <c r="D46" s="46">
        <f>IFERROR(SUMIFS('03_출고판매기록'!I:I,'03_출고판매기록'!B:B,A46,'03_출고판매기록'!C:C,B46),0)</f>
        <v/>
      </c>
      <c r="E46" s="45">
        <f>IFERROR(SUMIFS('03_출고판매기록'!N:N,'03_출고판매기록'!B:B,A46,'03_출고판매기록'!C:C,B46),0)</f>
        <v/>
      </c>
      <c r="F46" s="45">
        <f>IFERROR(SUMIFS('03_출고판매기록'!O:O,'03_출고판매기록'!B:B,A46,'03_출고판매기록'!C:C,B46),0)</f>
        <v/>
      </c>
      <c r="G46" s="47">
        <f>IFERROR(COUNTIFS('03_출고판매기록'!B:B,A46,'03_출고판매기록'!C:C,B46),0)</f>
        <v/>
      </c>
    </row>
    <row r="47">
      <c r="A47" s="44" t="n">
        <v>2029</v>
      </c>
      <c r="B47" s="44" t="n">
        <v>6</v>
      </c>
      <c r="C47" s="45">
        <f>IFERROR(SUMIFS('03_출고판매기록'!K:K,'03_출고판매기록'!B:B,A47,'03_출고판매기록'!C:C,B47),0)</f>
        <v/>
      </c>
      <c r="D47" s="46">
        <f>IFERROR(SUMIFS('03_출고판매기록'!I:I,'03_출고판매기록'!B:B,A47,'03_출고판매기록'!C:C,B47),0)</f>
        <v/>
      </c>
      <c r="E47" s="45">
        <f>IFERROR(SUMIFS('03_출고판매기록'!N:N,'03_출고판매기록'!B:B,A47,'03_출고판매기록'!C:C,B47),0)</f>
        <v/>
      </c>
      <c r="F47" s="45">
        <f>IFERROR(SUMIFS('03_출고판매기록'!O:O,'03_출고판매기록'!B:B,A47,'03_출고판매기록'!C:C,B47),0)</f>
        <v/>
      </c>
      <c r="G47" s="47">
        <f>IFERROR(COUNTIFS('03_출고판매기록'!B:B,A47,'03_출고판매기록'!C:C,B47),0)</f>
        <v/>
      </c>
    </row>
    <row r="48">
      <c r="A48" s="44" t="n">
        <v>2029</v>
      </c>
      <c r="B48" s="44" t="n">
        <v>7</v>
      </c>
      <c r="C48" s="45">
        <f>IFERROR(SUMIFS('03_출고판매기록'!K:K,'03_출고판매기록'!B:B,A48,'03_출고판매기록'!C:C,B48),0)</f>
        <v/>
      </c>
      <c r="D48" s="46">
        <f>IFERROR(SUMIFS('03_출고판매기록'!I:I,'03_출고판매기록'!B:B,A48,'03_출고판매기록'!C:C,B48),0)</f>
        <v/>
      </c>
      <c r="E48" s="45">
        <f>IFERROR(SUMIFS('03_출고판매기록'!N:N,'03_출고판매기록'!B:B,A48,'03_출고판매기록'!C:C,B48),0)</f>
        <v/>
      </c>
      <c r="F48" s="45">
        <f>IFERROR(SUMIFS('03_출고판매기록'!O:O,'03_출고판매기록'!B:B,A48,'03_출고판매기록'!C:C,B48),0)</f>
        <v/>
      </c>
      <c r="G48" s="47">
        <f>IFERROR(COUNTIFS('03_출고판매기록'!B:B,A48,'03_출고판매기록'!C:C,B48),0)</f>
        <v/>
      </c>
    </row>
    <row r="49">
      <c r="A49" s="44" t="n">
        <v>2029</v>
      </c>
      <c r="B49" s="44" t="n">
        <v>8</v>
      </c>
      <c r="C49" s="45">
        <f>IFERROR(SUMIFS('03_출고판매기록'!K:K,'03_출고판매기록'!B:B,A49,'03_출고판매기록'!C:C,B49),0)</f>
        <v/>
      </c>
      <c r="D49" s="46">
        <f>IFERROR(SUMIFS('03_출고판매기록'!I:I,'03_출고판매기록'!B:B,A49,'03_출고판매기록'!C:C,B49),0)</f>
        <v/>
      </c>
      <c r="E49" s="45">
        <f>IFERROR(SUMIFS('03_출고판매기록'!N:N,'03_출고판매기록'!B:B,A49,'03_출고판매기록'!C:C,B49),0)</f>
        <v/>
      </c>
      <c r="F49" s="45">
        <f>IFERROR(SUMIFS('03_출고판매기록'!O:O,'03_출고판매기록'!B:B,A49,'03_출고판매기록'!C:C,B49),0)</f>
        <v/>
      </c>
      <c r="G49" s="47">
        <f>IFERROR(COUNTIFS('03_출고판매기록'!B:B,A49,'03_출고판매기록'!C:C,B49),0)</f>
        <v/>
      </c>
    </row>
    <row r="50">
      <c r="A50" s="44" t="n">
        <v>2029</v>
      </c>
      <c r="B50" s="44" t="n">
        <v>9</v>
      </c>
      <c r="C50" s="45">
        <f>IFERROR(SUMIFS('03_출고판매기록'!K:K,'03_출고판매기록'!B:B,A50,'03_출고판매기록'!C:C,B50),0)</f>
        <v/>
      </c>
      <c r="D50" s="46">
        <f>IFERROR(SUMIFS('03_출고판매기록'!I:I,'03_출고판매기록'!B:B,A50,'03_출고판매기록'!C:C,B50),0)</f>
        <v/>
      </c>
      <c r="E50" s="45">
        <f>IFERROR(SUMIFS('03_출고판매기록'!N:N,'03_출고판매기록'!B:B,A50,'03_출고판매기록'!C:C,B50),0)</f>
        <v/>
      </c>
      <c r="F50" s="45">
        <f>IFERROR(SUMIFS('03_출고판매기록'!O:O,'03_출고판매기록'!B:B,A50,'03_출고판매기록'!C:C,B50),0)</f>
        <v/>
      </c>
      <c r="G50" s="47">
        <f>IFERROR(COUNTIFS('03_출고판매기록'!B:B,A50,'03_출고판매기록'!C:C,B50),0)</f>
        <v/>
      </c>
    </row>
    <row r="51">
      <c r="A51" s="44" t="n">
        <v>2029</v>
      </c>
      <c r="B51" s="44" t="n">
        <v>10</v>
      </c>
      <c r="C51" s="45">
        <f>IFERROR(SUMIFS('03_출고판매기록'!K:K,'03_출고판매기록'!B:B,A51,'03_출고판매기록'!C:C,B51),0)</f>
        <v/>
      </c>
      <c r="D51" s="46">
        <f>IFERROR(SUMIFS('03_출고판매기록'!I:I,'03_출고판매기록'!B:B,A51,'03_출고판매기록'!C:C,B51),0)</f>
        <v/>
      </c>
      <c r="E51" s="45">
        <f>IFERROR(SUMIFS('03_출고판매기록'!N:N,'03_출고판매기록'!B:B,A51,'03_출고판매기록'!C:C,B51),0)</f>
        <v/>
      </c>
      <c r="F51" s="45">
        <f>IFERROR(SUMIFS('03_출고판매기록'!O:O,'03_출고판매기록'!B:B,A51,'03_출고판매기록'!C:C,B51),0)</f>
        <v/>
      </c>
      <c r="G51" s="47">
        <f>IFERROR(COUNTIFS('03_출고판매기록'!B:B,A51,'03_출고판매기록'!C:C,B51),0)</f>
        <v/>
      </c>
    </row>
    <row r="52">
      <c r="A52" s="44" t="n">
        <v>2029</v>
      </c>
      <c r="B52" s="44" t="n">
        <v>11</v>
      </c>
      <c r="C52" s="45">
        <f>IFERROR(SUMIFS('03_출고판매기록'!K:K,'03_출고판매기록'!B:B,A52,'03_출고판매기록'!C:C,B52),0)</f>
        <v/>
      </c>
      <c r="D52" s="46">
        <f>IFERROR(SUMIFS('03_출고판매기록'!I:I,'03_출고판매기록'!B:B,A52,'03_출고판매기록'!C:C,B52),0)</f>
        <v/>
      </c>
      <c r="E52" s="45">
        <f>IFERROR(SUMIFS('03_출고판매기록'!N:N,'03_출고판매기록'!B:B,A52,'03_출고판매기록'!C:C,B52),0)</f>
        <v/>
      </c>
      <c r="F52" s="45">
        <f>IFERROR(SUMIFS('03_출고판매기록'!O:O,'03_출고판매기록'!B:B,A52,'03_출고판매기록'!C:C,B52),0)</f>
        <v/>
      </c>
      <c r="G52" s="47">
        <f>IFERROR(COUNTIFS('03_출고판매기록'!B:B,A52,'03_출고판매기록'!C:C,B52),0)</f>
        <v/>
      </c>
    </row>
    <row r="53">
      <c r="A53" s="44" t="n">
        <v>2029</v>
      </c>
      <c r="B53" s="44" t="n">
        <v>12</v>
      </c>
      <c r="C53" s="45">
        <f>IFERROR(SUMIFS('03_출고판매기록'!K:K,'03_출고판매기록'!B:B,A53,'03_출고판매기록'!C:C,B53),0)</f>
        <v/>
      </c>
      <c r="D53" s="46">
        <f>IFERROR(SUMIFS('03_출고판매기록'!I:I,'03_출고판매기록'!B:B,A53,'03_출고판매기록'!C:C,B53),0)</f>
        <v/>
      </c>
      <c r="E53" s="45">
        <f>IFERROR(SUMIFS('03_출고판매기록'!N:N,'03_출고판매기록'!B:B,A53,'03_출고판매기록'!C:C,B53),0)</f>
        <v/>
      </c>
      <c r="F53" s="45">
        <f>IFERROR(SUMIFS('03_출고판매기록'!O:O,'03_출고판매기록'!B:B,A53,'03_출고판매기록'!C:C,B53),0)</f>
        <v/>
      </c>
      <c r="G53" s="47">
        <f>IFERROR(COUNTIFS('03_출고판매기록'!B:B,A53,'03_출고판매기록'!C:C,B53),0)</f>
        <v/>
      </c>
    </row>
    <row r="54">
      <c r="A54" s="44" t="n">
        <v>2030</v>
      </c>
      <c r="B54" s="44" t="n">
        <v>1</v>
      </c>
      <c r="C54" s="45">
        <f>IFERROR(SUMIFS('03_출고판매기록'!K:K,'03_출고판매기록'!B:B,A54,'03_출고판매기록'!C:C,B54),0)</f>
        <v/>
      </c>
      <c r="D54" s="46">
        <f>IFERROR(SUMIFS('03_출고판매기록'!I:I,'03_출고판매기록'!B:B,A54,'03_출고판매기록'!C:C,B54),0)</f>
        <v/>
      </c>
      <c r="E54" s="45">
        <f>IFERROR(SUMIFS('03_출고판매기록'!N:N,'03_출고판매기록'!B:B,A54,'03_출고판매기록'!C:C,B54),0)</f>
        <v/>
      </c>
      <c r="F54" s="45">
        <f>IFERROR(SUMIFS('03_출고판매기록'!O:O,'03_출고판매기록'!B:B,A54,'03_출고판매기록'!C:C,B54),0)</f>
        <v/>
      </c>
      <c r="G54" s="47">
        <f>IFERROR(COUNTIFS('03_출고판매기록'!B:B,A54,'03_출고판매기록'!C:C,B54),0)</f>
        <v/>
      </c>
    </row>
    <row r="55">
      <c r="A55" s="44" t="n">
        <v>2030</v>
      </c>
      <c r="B55" s="44" t="n">
        <v>2</v>
      </c>
      <c r="C55" s="45">
        <f>IFERROR(SUMIFS('03_출고판매기록'!K:K,'03_출고판매기록'!B:B,A55,'03_출고판매기록'!C:C,B55),0)</f>
        <v/>
      </c>
      <c r="D55" s="46">
        <f>IFERROR(SUMIFS('03_출고판매기록'!I:I,'03_출고판매기록'!B:B,A55,'03_출고판매기록'!C:C,B55),0)</f>
        <v/>
      </c>
      <c r="E55" s="45">
        <f>IFERROR(SUMIFS('03_출고판매기록'!N:N,'03_출고판매기록'!B:B,A55,'03_출고판매기록'!C:C,B55),0)</f>
        <v/>
      </c>
      <c r="F55" s="45">
        <f>IFERROR(SUMIFS('03_출고판매기록'!O:O,'03_출고판매기록'!B:B,A55,'03_출고판매기록'!C:C,B55),0)</f>
        <v/>
      </c>
      <c r="G55" s="47">
        <f>IFERROR(COUNTIFS('03_출고판매기록'!B:B,A55,'03_출고판매기록'!C:C,B55),0)</f>
        <v/>
      </c>
    </row>
    <row r="56">
      <c r="A56" s="44" t="n">
        <v>2030</v>
      </c>
      <c r="B56" s="44" t="n">
        <v>3</v>
      </c>
      <c r="C56" s="45">
        <f>IFERROR(SUMIFS('03_출고판매기록'!K:K,'03_출고판매기록'!B:B,A56,'03_출고판매기록'!C:C,B56),0)</f>
        <v/>
      </c>
      <c r="D56" s="46">
        <f>IFERROR(SUMIFS('03_출고판매기록'!I:I,'03_출고판매기록'!B:B,A56,'03_출고판매기록'!C:C,B56),0)</f>
        <v/>
      </c>
      <c r="E56" s="45">
        <f>IFERROR(SUMIFS('03_출고판매기록'!N:N,'03_출고판매기록'!B:B,A56,'03_출고판매기록'!C:C,B56),0)</f>
        <v/>
      </c>
      <c r="F56" s="45">
        <f>IFERROR(SUMIFS('03_출고판매기록'!O:O,'03_출고판매기록'!B:B,A56,'03_출고판매기록'!C:C,B56),0)</f>
        <v/>
      </c>
      <c r="G56" s="47">
        <f>IFERROR(COUNTIFS('03_출고판매기록'!B:B,A56,'03_출고판매기록'!C:C,B56),0)</f>
        <v/>
      </c>
    </row>
    <row r="57">
      <c r="A57" s="44" t="n">
        <v>2030</v>
      </c>
      <c r="B57" s="44" t="n">
        <v>4</v>
      </c>
      <c r="C57" s="45">
        <f>IFERROR(SUMIFS('03_출고판매기록'!K:K,'03_출고판매기록'!B:B,A57,'03_출고판매기록'!C:C,B57),0)</f>
        <v/>
      </c>
      <c r="D57" s="46">
        <f>IFERROR(SUMIFS('03_출고판매기록'!I:I,'03_출고판매기록'!B:B,A57,'03_출고판매기록'!C:C,B57),0)</f>
        <v/>
      </c>
      <c r="E57" s="45">
        <f>IFERROR(SUMIFS('03_출고판매기록'!N:N,'03_출고판매기록'!B:B,A57,'03_출고판매기록'!C:C,B57),0)</f>
        <v/>
      </c>
      <c r="F57" s="45">
        <f>IFERROR(SUMIFS('03_출고판매기록'!O:O,'03_출고판매기록'!B:B,A57,'03_출고판매기록'!C:C,B57),0)</f>
        <v/>
      </c>
      <c r="G57" s="47">
        <f>IFERROR(COUNTIFS('03_출고판매기록'!B:B,A57,'03_출고판매기록'!C:C,B57),0)</f>
        <v/>
      </c>
    </row>
    <row r="58">
      <c r="A58" s="44" t="n">
        <v>2030</v>
      </c>
      <c r="B58" s="44" t="n">
        <v>5</v>
      </c>
      <c r="C58" s="45">
        <f>IFERROR(SUMIFS('03_출고판매기록'!K:K,'03_출고판매기록'!B:B,A58,'03_출고판매기록'!C:C,B58),0)</f>
        <v/>
      </c>
      <c r="D58" s="46">
        <f>IFERROR(SUMIFS('03_출고판매기록'!I:I,'03_출고판매기록'!B:B,A58,'03_출고판매기록'!C:C,B58),0)</f>
        <v/>
      </c>
      <c r="E58" s="45">
        <f>IFERROR(SUMIFS('03_출고판매기록'!N:N,'03_출고판매기록'!B:B,A58,'03_출고판매기록'!C:C,B58),0)</f>
        <v/>
      </c>
      <c r="F58" s="45">
        <f>IFERROR(SUMIFS('03_출고판매기록'!O:O,'03_출고판매기록'!B:B,A58,'03_출고판매기록'!C:C,B58),0)</f>
        <v/>
      </c>
      <c r="G58" s="47">
        <f>IFERROR(COUNTIFS('03_출고판매기록'!B:B,A58,'03_출고판매기록'!C:C,B58),0)</f>
        <v/>
      </c>
    </row>
    <row r="59">
      <c r="A59" s="44" t="n">
        <v>2030</v>
      </c>
      <c r="B59" s="44" t="n">
        <v>6</v>
      </c>
      <c r="C59" s="45">
        <f>IFERROR(SUMIFS('03_출고판매기록'!K:K,'03_출고판매기록'!B:B,A59,'03_출고판매기록'!C:C,B59),0)</f>
        <v/>
      </c>
      <c r="D59" s="46">
        <f>IFERROR(SUMIFS('03_출고판매기록'!I:I,'03_출고판매기록'!B:B,A59,'03_출고판매기록'!C:C,B59),0)</f>
        <v/>
      </c>
      <c r="E59" s="45">
        <f>IFERROR(SUMIFS('03_출고판매기록'!N:N,'03_출고판매기록'!B:B,A59,'03_출고판매기록'!C:C,B59),0)</f>
        <v/>
      </c>
      <c r="F59" s="45">
        <f>IFERROR(SUMIFS('03_출고판매기록'!O:O,'03_출고판매기록'!B:B,A59,'03_출고판매기록'!C:C,B59),0)</f>
        <v/>
      </c>
      <c r="G59" s="47">
        <f>IFERROR(COUNTIFS('03_출고판매기록'!B:B,A59,'03_출고판매기록'!C:C,B59),0)</f>
        <v/>
      </c>
    </row>
    <row r="60">
      <c r="A60" s="44" t="n">
        <v>2030</v>
      </c>
      <c r="B60" s="44" t="n">
        <v>7</v>
      </c>
      <c r="C60" s="45">
        <f>IFERROR(SUMIFS('03_출고판매기록'!K:K,'03_출고판매기록'!B:B,A60,'03_출고판매기록'!C:C,B60),0)</f>
        <v/>
      </c>
      <c r="D60" s="46">
        <f>IFERROR(SUMIFS('03_출고판매기록'!I:I,'03_출고판매기록'!B:B,A60,'03_출고판매기록'!C:C,B60),0)</f>
        <v/>
      </c>
      <c r="E60" s="45">
        <f>IFERROR(SUMIFS('03_출고판매기록'!N:N,'03_출고판매기록'!B:B,A60,'03_출고판매기록'!C:C,B60),0)</f>
        <v/>
      </c>
      <c r="F60" s="45">
        <f>IFERROR(SUMIFS('03_출고판매기록'!O:O,'03_출고판매기록'!B:B,A60,'03_출고판매기록'!C:C,B60),0)</f>
        <v/>
      </c>
      <c r="G60" s="47">
        <f>IFERROR(COUNTIFS('03_출고판매기록'!B:B,A60,'03_출고판매기록'!C:C,B60),0)</f>
        <v/>
      </c>
    </row>
    <row r="61">
      <c r="A61" s="44" t="n">
        <v>2030</v>
      </c>
      <c r="B61" s="44" t="n">
        <v>8</v>
      </c>
      <c r="C61" s="45">
        <f>IFERROR(SUMIFS('03_출고판매기록'!K:K,'03_출고판매기록'!B:B,A61,'03_출고판매기록'!C:C,B61),0)</f>
        <v/>
      </c>
      <c r="D61" s="46">
        <f>IFERROR(SUMIFS('03_출고판매기록'!I:I,'03_출고판매기록'!B:B,A61,'03_출고판매기록'!C:C,B61),0)</f>
        <v/>
      </c>
      <c r="E61" s="45">
        <f>IFERROR(SUMIFS('03_출고판매기록'!N:N,'03_출고판매기록'!B:B,A61,'03_출고판매기록'!C:C,B61),0)</f>
        <v/>
      </c>
      <c r="F61" s="45">
        <f>IFERROR(SUMIFS('03_출고판매기록'!O:O,'03_출고판매기록'!B:B,A61,'03_출고판매기록'!C:C,B61),0)</f>
        <v/>
      </c>
      <c r="G61" s="47">
        <f>IFERROR(COUNTIFS('03_출고판매기록'!B:B,A61,'03_출고판매기록'!C:C,B61),0)</f>
        <v/>
      </c>
    </row>
    <row r="62">
      <c r="A62" s="44" t="n">
        <v>2030</v>
      </c>
      <c r="B62" s="44" t="n">
        <v>9</v>
      </c>
      <c r="C62" s="45">
        <f>IFERROR(SUMIFS('03_출고판매기록'!K:K,'03_출고판매기록'!B:B,A62,'03_출고판매기록'!C:C,B62),0)</f>
        <v/>
      </c>
      <c r="D62" s="46">
        <f>IFERROR(SUMIFS('03_출고판매기록'!I:I,'03_출고판매기록'!B:B,A62,'03_출고판매기록'!C:C,B62),0)</f>
        <v/>
      </c>
      <c r="E62" s="45">
        <f>IFERROR(SUMIFS('03_출고판매기록'!N:N,'03_출고판매기록'!B:B,A62,'03_출고판매기록'!C:C,B62),0)</f>
        <v/>
      </c>
      <c r="F62" s="45">
        <f>IFERROR(SUMIFS('03_출고판매기록'!O:O,'03_출고판매기록'!B:B,A62,'03_출고판매기록'!C:C,B62),0)</f>
        <v/>
      </c>
      <c r="G62" s="47">
        <f>IFERROR(COUNTIFS('03_출고판매기록'!B:B,A62,'03_출고판매기록'!C:C,B62),0)</f>
        <v/>
      </c>
    </row>
    <row r="63">
      <c r="A63" s="44" t="n">
        <v>2030</v>
      </c>
      <c r="B63" s="44" t="n">
        <v>10</v>
      </c>
      <c r="C63" s="45">
        <f>IFERROR(SUMIFS('03_출고판매기록'!K:K,'03_출고판매기록'!B:B,A63,'03_출고판매기록'!C:C,B63),0)</f>
        <v/>
      </c>
      <c r="D63" s="46">
        <f>IFERROR(SUMIFS('03_출고판매기록'!I:I,'03_출고판매기록'!B:B,A63,'03_출고판매기록'!C:C,B63),0)</f>
        <v/>
      </c>
      <c r="E63" s="45">
        <f>IFERROR(SUMIFS('03_출고판매기록'!N:N,'03_출고판매기록'!B:B,A63,'03_출고판매기록'!C:C,B63),0)</f>
        <v/>
      </c>
      <c r="F63" s="45">
        <f>IFERROR(SUMIFS('03_출고판매기록'!O:O,'03_출고판매기록'!B:B,A63,'03_출고판매기록'!C:C,B63),0)</f>
        <v/>
      </c>
      <c r="G63" s="47">
        <f>IFERROR(COUNTIFS('03_출고판매기록'!B:B,A63,'03_출고판매기록'!C:C,B63),0)</f>
        <v/>
      </c>
    </row>
    <row r="64">
      <c r="A64" s="44" t="n">
        <v>2030</v>
      </c>
      <c r="B64" s="44" t="n">
        <v>11</v>
      </c>
      <c r="C64" s="45">
        <f>IFERROR(SUMIFS('03_출고판매기록'!K:K,'03_출고판매기록'!B:B,A64,'03_출고판매기록'!C:C,B64),0)</f>
        <v/>
      </c>
      <c r="D64" s="46">
        <f>IFERROR(SUMIFS('03_출고판매기록'!I:I,'03_출고판매기록'!B:B,A64,'03_출고판매기록'!C:C,B64),0)</f>
        <v/>
      </c>
      <c r="E64" s="45">
        <f>IFERROR(SUMIFS('03_출고판매기록'!N:N,'03_출고판매기록'!B:B,A64,'03_출고판매기록'!C:C,B64),0)</f>
        <v/>
      </c>
      <c r="F64" s="45">
        <f>IFERROR(SUMIFS('03_출고판매기록'!O:O,'03_출고판매기록'!B:B,A64,'03_출고판매기록'!C:C,B64),0)</f>
        <v/>
      </c>
      <c r="G64" s="47">
        <f>IFERROR(COUNTIFS('03_출고판매기록'!B:B,A64,'03_출고판매기록'!C:C,B64),0)</f>
        <v/>
      </c>
    </row>
    <row r="65">
      <c r="A65" s="44" t="n">
        <v>2030</v>
      </c>
      <c r="B65" s="44" t="n">
        <v>12</v>
      </c>
      <c r="C65" s="45">
        <f>IFERROR(SUMIFS('03_출고판매기록'!K:K,'03_출고판매기록'!B:B,A65,'03_출고판매기록'!C:C,B65),0)</f>
        <v/>
      </c>
      <c r="D65" s="46">
        <f>IFERROR(SUMIFS('03_출고판매기록'!I:I,'03_출고판매기록'!B:B,A65,'03_출고판매기록'!C:C,B65),0)</f>
        <v/>
      </c>
      <c r="E65" s="45">
        <f>IFERROR(SUMIFS('03_출고판매기록'!N:N,'03_출고판매기록'!B:B,A65,'03_출고판매기록'!C:C,B65),0)</f>
        <v/>
      </c>
      <c r="F65" s="45">
        <f>IFERROR(SUMIFS('03_출고판매기록'!O:O,'03_출고판매기록'!B:B,A65,'03_출고판매기록'!C:C,B65),0)</f>
        <v/>
      </c>
      <c r="G65" s="47">
        <f>IFERROR(COUNTIFS('03_출고판매기록'!B:B,A65,'03_출고판매기록'!C:C,B65),0)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E7A4D"/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30" customHeight="1">
      <c r="A1" s="13" t="inlineStr">
        <is>
          <t>09. 분기 요약 — 주세 신고 baseline (v4)</t>
        </is>
      </c>
    </row>
    <row r="2">
      <c r="A2" s="14" t="inlineStr">
        <is>
          <t>분기 종료 다음 달 25일까지 본 시트 값을 신고서에 사용</t>
        </is>
      </c>
    </row>
    <row r="5" ht="32" customHeight="1">
      <c r="A5" s="8" t="inlineStr">
        <is>
          <t>연도</t>
        </is>
      </c>
      <c r="B5" s="8" t="inlineStr">
        <is>
          <t>분기</t>
        </is>
      </c>
      <c r="C5" s="8" t="inlineStr">
        <is>
          <t>신고 기한</t>
        </is>
      </c>
      <c r="D5" s="8" t="inlineStr">
        <is>
          <t>총 매출(원)</t>
        </is>
      </c>
      <c r="E5" s="8" t="inlineStr">
        <is>
          <t>병 수</t>
        </is>
      </c>
      <c r="F5" s="8" t="inlineStr">
        <is>
          <t>주세 합계(원)</t>
        </is>
      </c>
      <c r="G5" s="8" t="inlineStr">
        <is>
          <t>교육세 합계(원)</t>
        </is>
      </c>
      <c r="H5" s="8" t="inlineStr">
        <is>
          <t>신고 상태</t>
        </is>
      </c>
    </row>
    <row r="6">
      <c r="A6" s="44" t="n">
        <v>2026</v>
      </c>
      <c r="B6" s="44" t="inlineStr">
        <is>
          <t>Q1</t>
        </is>
      </c>
      <c r="C6" s="48" t="inlineStr">
        <is>
          <t>4월 25일</t>
        </is>
      </c>
      <c r="D6" s="45">
        <f>IFERROR(SUMIFS('03_출고판매기록'!K:K,'03_출고판매기록'!B:B,A6,'03_출고판매기록'!D:D,B6),0)</f>
        <v/>
      </c>
      <c r="E6" s="46">
        <f>IFERROR(SUMIFS('03_출고판매기록'!I:I,'03_출고판매기록'!B:B,A6,'03_출고판매기록'!D:D,B6),0)</f>
        <v/>
      </c>
      <c r="F6" s="45">
        <f>IFERROR(SUMIFS('03_출고판매기록'!N:N,'03_출고판매기록'!B:B,A6,'03_출고판매기록'!D:D,B6),0)</f>
        <v/>
      </c>
      <c r="G6" s="45">
        <f>IFERROR(SUMIFS('03_출고판매기록'!O:O,'03_출고판매기록'!B:B,A6,'03_출고판매기록'!D:D,B6),0)</f>
        <v/>
      </c>
      <c r="H6" s="44" t="inlineStr"/>
    </row>
    <row r="7">
      <c r="A7" s="44" t="n">
        <v>2026</v>
      </c>
      <c r="B7" s="44" t="inlineStr">
        <is>
          <t>Q2</t>
        </is>
      </c>
      <c r="C7" s="48" t="inlineStr">
        <is>
          <t>7월 25일</t>
        </is>
      </c>
      <c r="D7" s="45">
        <f>IFERROR(SUMIFS('03_출고판매기록'!K:K,'03_출고판매기록'!B:B,A7,'03_출고판매기록'!D:D,B7),0)</f>
        <v/>
      </c>
      <c r="E7" s="46">
        <f>IFERROR(SUMIFS('03_출고판매기록'!I:I,'03_출고판매기록'!B:B,A7,'03_출고판매기록'!D:D,B7),0)</f>
        <v/>
      </c>
      <c r="F7" s="45">
        <f>IFERROR(SUMIFS('03_출고판매기록'!N:N,'03_출고판매기록'!B:B,A7,'03_출고판매기록'!D:D,B7),0)</f>
        <v/>
      </c>
      <c r="G7" s="45">
        <f>IFERROR(SUMIFS('03_출고판매기록'!O:O,'03_출고판매기록'!B:B,A7,'03_출고판매기록'!D:D,B7),0)</f>
        <v/>
      </c>
      <c r="H7" s="44" t="inlineStr"/>
    </row>
    <row r="8">
      <c r="A8" s="44" t="n">
        <v>2026</v>
      </c>
      <c r="B8" s="44" t="inlineStr">
        <is>
          <t>Q3</t>
        </is>
      </c>
      <c r="C8" s="48" t="inlineStr">
        <is>
          <t>10월 25일</t>
        </is>
      </c>
      <c r="D8" s="45">
        <f>IFERROR(SUMIFS('03_출고판매기록'!K:K,'03_출고판매기록'!B:B,A8,'03_출고판매기록'!D:D,B8),0)</f>
        <v/>
      </c>
      <c r="E8" s="46">
        <f>IFERROR(SUMIFS('03_출고판매기록'!I:I,'03_출고판매기록'!B:B,A8,'03_출고판매기록'!D:D,B8),0)</f>
        <v/>
      </c>
      <c r="F8" s="45">
        <f>IFERROR(SUMIFS('03_출고판매기록'!N:N,'03_출고판매기록'!B:B,A8,'03_출고판매기록'!D:D,B8),0)</f>
        <v/>
      </c>
      <c r="G8" s="45">
        <f>IFERROR(SUMIFS('03_출고판매기록'!O:O,'03_출고판매기록'!B:B,A8,'03_출고판매기록'!D:D,B8),0)</f>
        <v/>
      </c>
      <c r="H8" s="44" t="inlineStr"/>
    </row>
    <row r="9">
      <c r="A9" s="44" t="n">
        <v>2026</v>
      </c>
      <c r="B9" s="44" t="inlineStr">
        <is>
          <t>Q4</t>
        </is>
      </c>
      <c r="C9" s="48" t="inlineStr">
        <is>
          <t>다음해 1월 25일</t>
        </is>
      </c>
      <c r="D9" s="45">
        <f>IFERROR(SUMIFS('03_출고판매기록'!K:K,'03_출고판매기록'!B:B,A9,'03_출고판매기록'!D:D,B9),0)</f>
        <v/>
      </c>
      <c r="E9" s="46">
        <f>IFERROR(SUMIFS('03_출고판매기록'!I:I,'03_출고판매기록'!B:B,A9,'03_출고판매기록'!D:D,B9),0)</f>
        <v/>
      </c>
      <c r="F9" s="45">
        <f>IFERROR(SUMIFS('03_출고판매기록'!N:N,'03_출고판매기록'!B:B,A9,'03_출고판매기록'!D:D,B9),0)</f>
        <v/>
      </c>
      <c r="G9" s="45">
        <f>IFERROR(SUMIFS('03_출고판매기록'!O:O,'03_출고판매기록'!B:B,A9,'03_출고판매기록'!D:D,B9),0)</f>
        <v/>
      </c>
      <c r="H9" s="44" t="inlineStr"/>
    </row>
    <row r="10">
      <c r="A10" s="44" t="n">
        <v>2027</v>
      </c>
      <c r="B10" s="44" t="inlineStr">
        <is>
          <t>Q1</t>
        </is>
      </c>
      <c r="C10" s="48" t="inlineStr">
        <is>
          <t>4월 25일</t>
        </is>
      </c>
      <c r="D10" s="45">
        <f>IFERROR(SUMIFS('03_출고판매기록'!K:K,'03_출고판매기록'!B:B,A10,'03_출고판매기록'!D:D,B10),0)</f>
        <v/>
      </c>
      <c r="E10" s="46">
        <f>IFERROR(SUMIFS('03_출고판매기록'!I:I,'03_출고판매기록'!B:B,A10,'03_출고판매기록'!D:D,B10),0)</f>
        <v/>
      </c>
      <c r="F10" s="45">
        <f>IFERROR(SUMIFS('03_출고판매기록'!N:N,'03_출고판매기록'!B:B,A10,'03_출고판매기록'!D:D,B10),0)</f>
        <v/>
      </c>
      <c r="G10" s="45">
        <f>IFERROR(SUMIFS('03_출고판매기록'!O:O,'03_출고판매기록'!B:B,A10,'03_출고판매기록'!D:D,B10),0)</f>
        <v/>
      </c>
      <c r="H10" s="44" t="inlineStr"/>
    </row>
    <row r="11">
      <c r="A11" s="44" t="n">
        <v>2027</v>
      </c>
      <c r="B11" s="44" t="inlineStr">
        <is>
          <t>Q2</t>
        </is>
      </c>
      <c r="C11" s="48" t="inlineStr">
        <is>
          <t>7월 25일</t>
        </is>
      </c>
      <c r="D11" s="45">
        <f>IFERROR(SUMIFS('03_출고판매기록'!K:K,'03_출고판매기록'!B:B,A11,'03_출고판매기록'!D:D,B11),0)</f>
        <v/>
      </c>
      <c r="E11" s="46">
        <f>IFERROR(SUMIFS('03_출고판매기록'!I:I,'03_출고판매기록'!B:B,A11,'03_출고판매기록'!D:D,B11),0)</f>
        <v/>
      </c>
      <c r="F11" s="45">
        <f>IFERROR(SUMIFS('03_출고판매기록'!N:N,'03_출고판매기록'!B:B,A11,'03_출고판매기록'!D:D,B11),0)</f>
        <v/>
      </c>
      <c r="G11" s="45">
        <f>IFERROR(SUMIFS('03_출고판매기록'!O:O,'03_출고판매기록'!B:B,A11,'03_출고판매기록'!D:D,B11),0)</f>
        <v/>
      </c>
      <c r="H11" s="44" t="inlineStr"/>
    </row>
    <row r="12">
      <c r="A12" s="44" t="n">
        <v>2027</v>
      </c>
      <c r="B12" s="44" t="inlineStr">
        <is>
          <t>Q3</t>
        </is>
      </c>
      <c r="C12" s="48" t="inlineStr">
        <is>
          <t>10월 25일</t>
        </is>
      </c>
      <c r="D12" s="45">
        <f>IFERROR(SUMIFS('03_출고판매기록'!K:K,'03_출고판매기록'!B:B,A12,'03_출고판매기록'!D:D,B12),0)</f>
        <v/>
      </c>
      <c r="E12" s="46">
        <f>IFERROR(SUMIFS('03_출고판매기록'!I:I,'03_출고판매기록'!B:B,A12,'03_출고판매기록'!D:D,B12),0)</f>
        <v/>
      </c>
      <c r="F12" s="45">
        <f>IFERROR(SUMIFS('03_출고판매기록'!N:N,'03_출고판매기록'!B:B,A12,'03_출고판매기록'!D:D,B12),0)</f>
        <v/>
      </c>
      <c r="G12" s="45">
        <f>IFERROR(SUMIFS('03_출고판매기록'!O:O,'03_출고판매기록'!B:B,A12,'03_출고판매기록'!D:D,B12),0)</f>
        <v/>
      </c>
      <c r="H12" s="44" t="inlineStr"/>
    </row>
    <row r="13">
      <c r="A13" s="44" t="n">
        <v>2027</v>
      </c>
      <c r="B13" s="44" t="inlineStr">
        <is>
          <t>Q4</t>
        </is>
      </c>
      <c r="C13" s="48" t="inlineStr">
        <is>
          <t>다음해 1월 25일</t>
        </is>
      </c>
      <c r="D13" s="45">
        <f>IFERROR(SUMIFS('03_출고판매기록'!K:K,'03_출고판매기록'!B:B,A13,'03_출고판매기록'!D:D,B13),0)</f>
        <v/>
      </c>
      <c r="E13" s="46">
        <f>IFERROR(SUMIFS('03_출고판매기록'!I:I,'03_출고판매기록'!B:B,A13,'03_출고판매기록'!D:D,B13),0)</f>
        <v/>
      </c>
      <c r="F13" s="45">
        <f>IFERROR(SUMIFS('03_출고판매기록'!N:N,'03_출고판매기록'!B:B,A13,'03_출고판매기록'!D:D,B13),0)</f>
        <v/>
      </c>
      <c r="G13" s="45">
        <f>IFERROR(SUMIFS('03_출고판매기록'!O:O,'03_출고판매기록'!B:B,A13,'03_출고판매기록'!D:D,B13),0)</f>
        <v/>
      </c>
      <c r="H13" s="44" t="inlineStr"/>
    </row>
    <row r="14">
      <c r="A14" s="44" t="n">
        <v>2028</v>
      </c>
      <c r="B14" s="44" t="inlineStr">
        <is>
          <t>Q1</t>
        </is>
      </c>
      <c r="C14" s="48" t="inlineStr">
        <is>
          <t>4월 25일</t>
        </is>
      </c>
      <c r="D14" s="45">
        <f>IFERROR(SUMIFS('03_출고판매기록'!K:K,'03_출고판매기록'!B:B,A14,'03_출고판매기록'!D:D,B14),0)</f>
        <v/>
      </c>
      <c r="E14" s="46">
        <f>IFERROR(SUMIFS('03_출고판매기록'!I:I,'03_출고판매기록'!B:B,A14,'03_출고판매기록'!D:D,B14),0)</f>
        <v/>
      </c>
      <c r="F14" s="45">
        <f>IFERROR(SUMIFS('03_출고판매기록'!N:N,'03_출고판매기록'!B:B,A14,'03_출고판매기록'!D:D,B14),0)</f>
        <v/>
      </c>
      <c r="G14" s="45">
        <f>IFERROR(SUMIFS('03_출고판매기록'!O:O,'03_출고판매기록'!B:B,A14,'03_출고판매기록'!D:D,B14),0)</f>
        <v/>
      </c>
      <c r="H14" s="44" t="inlineStr"/>
    </row>
    <row r="15">
      <c r="A15" s="44" t="n">
        <v>2028</v>
      </c>
      <c r="B15" s="44" t="inlineStr">
        <is>
          <t>Q2</t>
        </is>
      </c>
      <c r="C15" s="48" t="inlineStr">
        <is>
          <t>7월 25일</t>
        </is>
      </c>
      <c r="D15" s="45">
        <f>IFERROR(SUMIFS('03_출고판매기록'!K:K,'03_출고판매기록'!B:B,A15,'03_출고판매기록'!D:D,B15),0)</f>
        <v/>
      </c>
      <c r="E15" s="46">
        <f>IFERROR(SUMIFS('03_출고판매기록'!I:I,'03_출고판매기록'!B:B,A15,'03_출고판매기록'!D:D,B15),0)</f>
        <v/>
      </c>
      <c r="F15" s="45">
        <f>IFERROR(SUMIFS('03_출고판매기록'!N:N,'03_출고판매기록'!B:B,A15,'03_출고판매기록'!D:D,B15),0)</f>
        <v/>
      </c>
      <c r="G15" s="45">
        <f>IFERROR(SUMIFS('03_출고판매기록'!O:O,'03_출고판매기록'!B:B,A15,'03_출고판매기록'!D:D,B15),0)</f>
        <v/>
      </c>
      <c r="H15" s="44" t="inlineStr"/>
    </row>
    <row r="16">
      <c r="A16" s="44" t="n">
        <v>2028</v>
      </c>
      <c r="B16" s="44" t="inlineStr">
        <is>
          <t>Q3</t>
        </is>
      </c>
      <c r="C16" s="48" t="inlineStr">
        <is>
          <t>10월 25일</t>
        </is>
      </c>
      <c r="D16" s="45">
        <f>IFERROR(SUMIFS('03_출고판매기록'!K:K,'03_출고판매기록'!B:B,A16,'03_출고판매기록'!D:D,B16),0)</f>
        <v/>
      </c>
      <c r="E16" s="46">
        <f>IFERROR(SUMIFS('03_출고판매기록'!I:I,'03_출고판매기록'!B:B,A16,'03_출고판매기록'!D:D,B16),0)</f>
        <v/>
      </c>
      <c r="F16" s="45">
        <f>IFERROR(SUMIFS('03_출고판매기록'!N:N,'03_출고판매기록'!B:B,A16,'03_출고판매기록'!D:D,B16),0)</f>
        <v/>
      </c>
      <c r="G16" s="45">
        <f>IFERROR(SUMIFS('03_출고판매기록'!O:O,'03_출고판매기록'!B:B,A16,'03_출고판매기록'!D:D,B16),0)</f>
        <v/>
      </c>
      <c r="H16" s="44" t="inlineStr"/>
    </row>
    <row r="17">
      <c r="A17" s="44" t="n">
        <v>2028</v>
      </c>
      <c r="B17" s="44" t="inlineStr">
        <is>
          <t>Q4</t>
        </is>
      </c>
      <c r="C17" s="48" t="inlineStr">
        <is>
          <t>다음해 1월 25일</t>
        </is>
      </c>
      <c r="D17" s="45">
        <f>IFERROR(SUMIFS('03_출고판매기록'!K:K,'03_출고판매기록'!B:B,A17,'03_출고판매기록'!D:D,B17),0)</f>
        <v/>
      </c>
      <c r="E17" s="46">
        <f>IFERROR(SUMIFS('03_출고판매기록'!I:I,'03_출고판매기록'!B:B,A17,'03_출고판매기록'!D:D,B17),0)</f>
        <v/>
      </c>
      <c r="F17" s="45">
        <f>IFERROR(SUMIFS('03_출고판매기록'!N:N,'03_출고판매기록'!B:B,A17,'03_출고판매기록'!D:D,B17),0)</f>
        <v/>
      </c>
      <c r="G17" s="45">
        <f>IFERROR(SUMIFS('03_출고판매기록'!O:O,'03_출고판매기록'!B:B,A17,'03_출고판매기록'!D:D,B17),0)</f>
        <v/>
      </c>
      <c r="H17" s="44" t="inlineStr"/>
    </row>
    <row r="18">
      <c r="A18" s="44" t="n">
        <v>2029</v>
      </c>
      <c r="B18" s="44" t="inlineStr">
        <is>
          <t>Q1</t>
        </is>
      </c>
      <c r="C18" s="48" t="inlineStr">
        <is>
          <t>4월 25일</t>
        </is>
      </c>
      <c r="D18" s="45">
        <f>IFERROR(SUMIFS('03_출고판매기록'!K:K,'03_출고판매기록'!B:B,A18,'03_출고판매기록'!D:D,B18),0)</f>
        <v/>
      </c>
      <c r="E18" s="46">
        <f>IFERROR(SUMIFS('03_출고판매기록'!I:I,'03_출고판매기록'!B:B,A18,'03_출고판매기록'!D:D,B18),0)</f>
        <v/>
      </c>
      <c r="F18" s="45">
        <f>IFERROR(SUMIFS('03_출고판매기록'!N:N,'03_출고판매기록'!B:B,A18,'03_출고판매기록'!D:D,B18),0)</f>
        <v/>
      </c>
      <c r="G18" s="45">
        <f>IFERROR(SUMIFS('03_출고판매기록'!O:O,'03_출고판매기록'!B:B,A18,'03_출고판매기록'!D:D,B18),0)</f>
        <v/>
      </c>
      <c r="H18" s="44" t="inlineStr"/>
    </row>
    <row r="19">
      <c r="A19" s="44" t="n">
        <v>2029</v>
      </c>
      <c r="B19" s="44" t="inlineStr">
        <is>
          <t>Q2</t>
        </is>
      </c>
      <c r="C19" s="48" t="inlineStr">
        <is>
          <t>7월 25일</t>
        </is>
      </c>
      <c r="D19" s="45">
        <f>IFERROR(SUMIFS('03_출고판매기록'!K:K,'03_출고판매기록'!B:B,A19,'03_출고판매기록'!D:D,B19),0)</f>
        <v/>
      </c>
      <c r="E19" s="46">
        <f>IFERROR(SUMIFS('03_출고판매기록'!I:I,'03_출고판매기록'!B:B,A19,'03_출고판매기록'!D:D,B19),0)</f>
        <v/>
      </c>
      <c r="F19" s="45">
        <f>IFERROR(SUMIFS('03_출고판매기록'!N:N,'03_출고판매기록'!B:B,A19,'03_출고판매기록'!D:D,B19),0)</f>
        <v/>
      </c>
      <c r="G19" s="45">
        <f>IFERROR(SUMIFS('03_출고판매기록'!O:O,'03_출고판매기록'!B:B,A19,'03_출고판매기록'!D:D,B19),0)</f>
        <v/>
      </c>
      <c r="H19" s="44" t="inlineStr"/>
    </row>
    <row r="20">
      <c r="A20" s="44" t="n">
        <v>2029</v>
      </c>
      <c r="B20" s="44" t="inlineStr">
        <is>
          <t>Q3</t>
        </is>
      </c>
      <c r="C20" s="48" t="inlineStr">
        <is>
          <t>10월 25일</t>
        </is>
      </c>
      <c r="D20" s="45">
        <f>IFERROR(SUMIFS('03_출고판매기록'!K:K,'03_출고판매기록'!B:B,A20,'03_출고판매기록'!D:D,B20),0)</f>
        <v/>
      </c>
      <c r="E20" s="46">
        <f>IFERROR(SUMIFS('03_출고판매기록'!I:I,'03_출고판매기록'!B:B,A20,'03_출고판매기록'!D:D,B20),0)</f>
        <v/>
      </c>
      <c r="F20" s="45">
        <f>IFERROR(SUMIFS('03_출고판매기록'!N:N,'03_출고판매기록'!B:B,A20,'03_출고판매기록'!D:D,B20),0)</f>
        <v/>
      </c>
      <c r="G20" s="45">
        <f>IFERROR(SUMIFS('03_출고판매기록'!O:O,'03_출고판매기록'!B:B,A20,'03_출고판매기록'!D:D,B20),0)</f>
        <v/>
      </c>
      <c r="H20" s="44" t="inlineStr"/>
    </row>
    <row r="21">
      <c r="A21" s="44" t="n">
        <v>2029</v>
      </c>
      <c r="B21" s="44" t="inlineStr">
        <is>
          <t>Q4</t>
        </is>
      </c>
      <c r="C21" s="48" t="inlineStr">
        <is>
          <t>다음해 1월 25일</t>
        </is>
      </c>
      <c r="D21" s="45">
        <f>IFERROR(SUMIFS('03_출고판매기록'!K:K,'03_출고판매기록'!B:B,A21,'03_출고판매기록'!D:D,B21),0)</f>
        <v/>
      </c>
      <c r="E21" s="46">
        <f>IFERROR(SUMIFS('03_출고판매기록'!I:I,'03_출고판매기록'!B:B,A21,'03_출고판매기록'!D:D,B21),0)</f>
        <v/>
      </c>
      <c r="F21" s="45">
        <f>IFERROR(SUMIFS('03_출고판매기록'!N:N,'03_출고판매기록'!B:B,A21,'03_출고판매기록'!D:D,B21),0)</f>
        <v/>
      </c>
      <c r="G21" s="45">
        <f>IFERROR(SUMIFS('03_출고판매기록'!O:O,'03_출고판매기록'!B:B,A21,'03_출고판매기록'!D:D,B21),0)</f>
        <v/>
      </c>
      <c r="H21" s="44" t="inlineStr"/>
    </row>
    <row r="22">
      <c r="A22" s="44" t="n">
        <v>2030</v>
      </c>
      <c r="B22" s="44" t="inlineStr">
        <is>
          <t>Q1</t>
        </is>
      </c>
      <c r="C22" s="48" t="inlineStr">
        <is>
          <t>4월 25일</t>
        </is>
      </c>
      <c r="D22" s="45">
        <f>IFERROR(SUMIFS('03_출고판매기록'!K:K,'03_출고판매기록'!B:B,A22,'03_출고판매기록'!D:D,B22),0)</f>
        <v/>
      </c>
      <c r="E22" s="46">
        <f>IFERROR(SUMIFS('03_출고판매기록'!I:I,'03_출고판매기록'!B:B,A22,'03_출고판매기록'!D:D,B22),0)</f>
        <v/>
      </c>
      <c r="F22" s="45">
        <f>IFERROR(SUMIFS('03_출고판매기록'!N:N,'03_출고판매기록'!B:B,A22,'03_출고판매기록'!D:D,B22),0)</f>
        <v/>
      </c>
      <c r="G22" s="45">
        <f>IFERROR(SUMIFS('03_출고판매기록'!O:O,'03_출고판매기록'!B:B,A22,'03_출고판매기록'!D:D,B22),0)</f>
        <v/>
      </c>
      <c r="H22" s="44" t="inlineStr"/>
    </row>
    <row r="23">
      <c r="A23" s="44" t="n">
        <v>2030</v>
      </c>
      <c r="B23" s="44" t="inlineStr">
        <is>
          <t>Q2</t>
        </is>
      </c>
      <c r="C23" s="48" t="inlineStr">
        <is>
          <t>7월 25일</t>
        </is>
      </c>
      <c r="D23" s="45">
        <f>IFERROR(SUMIFS('03_출고판매기록'!K:K,'03_출고판매기록'!B:B,A23,'03_출고판매기록'!D:D,B23),0)</f>
        <v/>
      </c>
      <c r="E23" s="46">
        <f>IFERROR(SUMIFS('03_출고판매기록'!I:I,'03_출고판매기록'!B:B,A23,'03_출고판매기록'!D:D,B23),0)</f>
        <v/>
      </c>
      <c r="F23" s="45">
        <f>IFERROR(SUMIFS('03_출고판매기록'!N:N,'03_출고판매기록'!B:B,A23,'03_출고판매기록'!D:D,B23),0)</f>
        <v/>
      </c>
      <c r="G23" s="45">
        <f>IFERROR(SUMIFS('03_출고판매기록'!O:O,'03_출고판매기록'!B:B,A23,'03_출고판매기록'!D:D,B23),0)</f>
        <v/>
      </c>
      <c r="H23" s="44" t="inlineStr"/>
    </row>
    <row r="24">
      <c r="A24" s="44" t="n">
        <v>2030</v>
      </c>
      <c r="B24" s="44" t="inlineStr">
        <is>
          <t>Q3</t>
        </is>
      </c>
      <c r="C24" s="48" t="inlineStr">
        <is>
          <t>10월 25일</t>
        </is>
      </c>
      <c r="D24" s="45">
        <f>IFERROR(SUMIFS('03_출고판매기록'!K:K,'03_출고판매기록'!B:B,A24,'03_출고판매기록'!D:D,B24),0)</f>
        <v/>
      </c>
      <c r="E24" s="46">
        <f>IFERROR(SUMIFS('03_출고판매기록'!I:I,'03_출고판매기록'!B:B,A24,'03_출고판매기록'!D:D,B24),0)</f>
        <v/>
      </c>
      <c r="F24" s="45">
        <f>IFERROR(SUMIFS('03_출고판매기록'!N:N,'03_출고판매기록'!B:B,A24,'03_출고판매기록'!D:D,B24),0)</f>
        <v/>
      </c>
      <c r="G24" s="45">
        <f>IFERROR(SUMIFS('03_출고판매기록'!O:O,'03_출고판매기록'!B:B,A24,'03_출고판매기록'!D:D,B24),0)</f>
        <v/>
      </c>
      <c r="H24" s="44" t="inlineStr"/>
    </row>
    <row r="25">
      <c r="A25" s="44" t="n">
        <v>2030</v>
      </c>
      <c r="B25" s="44" t="inlineStr">
        <is>
          <t>Q4</t>
        </is>
      </c>
      <c r="C25" s="48" t="inlineStr">
        <is>
          <t>다음해 1월 25일</t>
        </is>
      </c>
      <c r="D25" s="45">
        <f>IFERROR(SUMIFS('03_출고판매기록'!K:K,'03_출고판매기록'!B:B,A25,'03_출고판매기록'!D:D,B25),0)</f>
        <v/>
      </c>
      <c r="E25" s="46">
        <f>IFERROR(SUMIFS('03_출고판매기록'!I:I,'03_출고판매기록'!B:B,A25,'03_출고판매기록'!D:D,B25),0)</f>
        <v/>
      </c>
      <c r="F25" s="45">
        <f>IFERROR(SUMIFS('03_출고판매기록'!N:N,'03_출고판매기록'!B:B,A25,'03_출고판매기록'!D:D,B25),0)</f>
        <v/>
      </c>
      <c r="G25" s="45">
        <f>IFERROR(SUMIFS('03_출고판매기록'!O:O,'03_출고판매기록'!B:B,A25,'03_출고판매기록'!D:D,B25),0)</f>
        <v/>
      </c>
      <c r="H25" s="44" t="inlineStr"/>
    </row>
  </sheetData>
  <mergeCells count="2">
    <mergeCell ref="A2:H2"/>
    <mergeCell ref="A1:H1"/>
  </mergeCells>
  <dataValidations count="1">
    <dataValidation sqref="H6:H25" showDropDown="0" showInputMessage="0" showErrorMessage="0" allowBlank="1" type="list">
      <formula1>"미진행,진행중,신고완료,수정신고"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E7A4D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30" customHeight="1">
      <c r="A1" s="13" t="inlineStr">
        <is>
          <t>10. 연도 요약 — KPI 대시보드</t>
        </is>
      </c>
    </row>
    <row r="2">
      <c r="A2" s="14" t="inlineStr">
        <is>
          <t>전 연도 비교 + SKU별 매출 분포</t>
        </is>
      </c>
    </row>
    <row r="5">
      <c r="A5" s="49" t="inlineStr">
        <is>
          <t>▶ 연도별 전체 매출·생산·세금</t>
        </is>
      </c>
    </row>
    <row r="6" ht="32" customHeight="1">
      <c r="A6" s="8" t="inlineStr">
        <is>
          <t>연도</t>
        </is>
      </c>
      <c r="B6" s="8" t="inlineStr">
        <is>
          <t>총 매출(원)</t>
        </is>
      </c>
      <c r="C6" s="8" t="inlineStr">
        <is>
          <t>총 출고(병)</t>
        </is>
      </c>
      <c r="D6" s="8" t="inlineStr">
        <is>
          <t>주세 납부</t>
        </is>
      </c>
      <c r="E6" s="8" t="inlineStr">
        <is>
          <t>교육세</t>
        </is>
      </c>
      <c r="F6" s="8" t="inlineStr">
        <is>
          <t>생산 배치 수</t>
        </is>
      </c>
      <c r="G6" s="8" t="inlineStr">
        <is>
          <t>원료 매입(원)</t>
        </is>
      </c>
      <c r="H6" s="8" t="inlineStr">
        <is>
          <t>비고</t>
        </is>
      </c>
    </row>
    <row r="7">
      <c r="A7" s="44" t="n">
        <v>2026</v>
      </c>
      <c r="B7" s="45">
        <f>IFERROR(SUMIFS('03_출고판매기록'!K:K,'03_출고판매기록'!B:B,A7),0)</f>
        <v/>
      </c>
      <c r="C7" s="46">
        <f>IFERROR(SUMIFS('03_출고판매기록'!I:I,'03_출고판매기록'!B:B,A7),0)</f>
        <v/>
      </c>
      <c r="D7" s="45">
        <f>IFERROR(SUMIFS('03_출고판매기록'!N:N,'03_출고판매기록'!B:B,A7),0)</f>
        <v/>
      </c>
      <c r="E7" s="45">
        <f>IFERROR(SUMIFS('03_출고판매기록'!O:O,'03_출고판매기록'!B:B,A7),0)</f>
        <v/>
      </c>
      <c r="F7" s="46">
        <f>IFERROR(COUNTIFS('02_양조일지'!B:B,A7,'02_양조일지'!E:E,"&lt;&gt;"),0)</f>
        <v/>
      </c>
      <c r="G7" s="45">
        <f>IFERROR(SUMIFS('01_원료수불부'!I:I,'01_원료수불부'!B:B,A7,'01_원료수불부'!E:E,"입고(원료)"),0)</f>
        <v/>
      </c>
      <c r="H7" s="10" t="n"/>
    </row>
    <row r="8">
      <c r="A8" s="44" t="n">
        <v>2027</v>
      </c>
      <c r="B8" s="45">
        <f>IFERROR(SUMIFS('03_출고판매기록'!K:K,'03_출고판매기록'!B:B,A8),0)</f>
        <v/>
      </c>
      <c r="C8" s="46">
        <f>IFERROR(SUMIFS('03_출고판매기록'!I:I,'03_출고판매기록'!B:B,A8),0)</f>
        <v/>
      </c>
      <c r="D8" s="45">
        <f>IFERROR(SUMIFS('03_출고판매기록'!N:N,'03_출고판매기록'!B:B,A8),0)</f>
        <v/>
      </c>
      <c r="E8" s="45">
        <f>IFERROR(SUMIFS('03_출고판매기록'!O:O,'03_출고판매기록'!B:B,A8),0)</f>
        <v/>
      </c>
      <c r="F8" s="46">
        <f>IFERROR(COUNTIFS('02_양조일지'!B:B,A8,'02_양조일지'!E:E,"&lt;&gt;"),0)</f>
        <v/>
      </c>
      <c r="G8" s="45">
        <f>IFERROR(SUMIFS('01_원료수불부'!I:I,'01_원료수불부'!B:B,A8,'01_원료수불부'!E:E,"입고(원료)"),0)</f>
        <v/>
      </c>
      <c r="H8" s="10" t="n"/>
    </row>
    <row r="9">
      <c r="A9" s="44" t="n">
        <v>2028</v>
      </c>
      <c r="B9" s="45">
        <f>IFERROR(SUMIFS('03_출고판매기록'!K:K,'03_출고판매기록'!B:B,A9),0)</f>
        <v/>
      </c>
      <c r="C9" s="46">
        <f>IFERROR(SUMIFS('03_출고판매기록'!I:I,'03_출고판매기록'!B:B,A9),0)</f>
        <v/>
      </c>
      <c r="D9" s="45">
        <f>IFERROR(SUMIFS('03_출고판매기록'!N:N,'03_출고판매기록'!B:B,A9),0)</f>
        <v/>
      </c>
      <c r="E9" s="45">
        <f>IFERROR(SUMIFS('03_출고판매기록'!O:O,'03_출고판매기록'!B:B,A9),0)</f>
        <v/>
      </c>
      <c r="F9" s="46">
        <f>IFERROR(COUNTIFS('02_양조일지'!B:B,A9,'02_양조일지'!E:E,"&lt;&gt;"),0)</f>
        <v/>
      </c>
      <c r="G9" s="45">
        <f>IFERROR(SUMIFS('01_원료수불부'!I:I,'01_원료수불부'!B:B,A9,'01_원료수불부'!E:E,"입고(원료)"),0)</f>
        <v/>
      </c>
      <c r="H9" s="10" t="n"/>
    </row>
    <row r="10">
      <c r="A10" s="44" t="n">
        <v>2029</v>
      </c>
      <c r="B10" s="45">
        <f>IFERROR(SUMIFS('03_출고판매기록'!K:K,'03_출고판매기록'!B:B,A10),0)</f>
        <v/>
      </c>
      <c r="C10" s="46">
        <f>IFERROR(SUMIFS('03_출고판매기록'!I:I,'03_출고판매기록'!B:B,A10),0)</f>
        <v/>
      </c>
      <c r="D10" s="45">
        <f>IFERROR(SUMIFS('03_출고판매기록'!N:N,'03_출고판매기록'!B:B,A10),0)</f>
        <v/>
      </c>
      <c r="E10" s="45">
        <f>IFERROR(SUMIFS('03_출고판매기록'!O:O,'03_출고판매기록'!B:B,A10),0)</f>
        <v/>
      </c>
      <c r="F10" s="46">
        <f>IFERROR(COUNTIFS('02_양조일지'!B:B,A10,'02_양조일지'!E:E,"&lt;&gt;"),0)</f>
        <v/>
      </c>
      <c r="G10" s="45">
        <f>IFERROR(SUMIFS('01_원료수불부'!I:I,'01_원료수불부'!B:B,A10,'01_원료수불부'!E:E,"입고(원료)"),0)</f>
        <v/>
      </c>
      <c r="H10" s="10" t="n"/>
    </row>
    <row r="11">
      <c r="A11" s="44" t="n">
        <v>2030</v>
      </c>
      <c r="B11" s="45">
        <f>IFERROR(SUMIFS('03_출고판매기록'!K:K,'03_출고판매기록'!B:B,A11),0)</f>
        <v/>
      </c>
      <c r="C11" s="46">
        <f>IFERROR(SUMIFS('03_출고판매기록'!I:I,'03_출고판매기록'!B:B,A11),0)</f>
        <v/>
      </c>
      <c r="D11" s="45">
        <f>IFERROR(SUMIFS('03_출고판매기록'!N:N,'03_출고판매기록'!B:B,A11),0)</f>
        <v/>
      </c>
      <c r="E11" s="45">
        <f>IFERROR(SUMIFS('03_출고판매기록'!O:O,'03_출고판매기록'!B:B,A11),0)</f>
        <v/>
      </c>
      <c r="F11" s="46">
        <f>IFERROR(COUNTIFS('02_양조일지'!B:B,A11,'02_양조일지'!E:E,"&lt;&gt;"),0)</f>
        <v/>
      </c>
      <c r="G11" s="45">
        <f>IFERROR(SUMIFS('01_원료수불부'!I:I,'01_원료수불부'!B:B,A11,'01_원료수불부'!E:E,"입고(원료)"),0)</f>
        <v/>
      </c>
      <c r="H11" s="10" t="n"/>
    </row>
    <row r="14">
      <c r="A14" s="49" t="inlineStr">
        <is>
          <t>▶ SKU별 매출 (선택 연도)</t>
        </is>
      </c>
    </row>
    <row r="15">
      <c r="A15" t="inlineStr">
        <is>
          <t>연도 선택:</t>
        </is>
      </c>
      <c r="B15" s="50" t="n">
        <v>2026</v>
      </c>
    </row>
    <row r="17" ht="32" customHeight="1">
      <c r="A17" s="8" t="inlineStr">
        <is>
          <t>SKU ID</t>
        </is>
      </c>
      <c r="B17" s="8" t="inlineStr">
        <is>
          <t>매출(원)</t>
        </is>
      </c>
      <c r="C17" s="8" t="inlineStr">
        <is>
          <t>병 수</t>
        </is>
      </c>
      <c r="D17" s="8" t="inlineStr">
        <is>
          <t>평균가(원)</t>
        </is>
      </c>
      <c r="E17" s="8" t="inlineStr"/>
      <c r="F17" s="8" t="inlineStr"/>
      <c r="G17" s="8" t="inlineStr"/>
      <c r="H17" s="8" t="inlineStr"/>
    </row>
    <row r="18">
      <c r="A18" s="29" t="inlineStr">
        <is>
          <t>WG-TJ-500</t>
        </is>
      </c>
      <c r="B18" s="45">
        <f>IFERROR(SUMIFS('03_출고판매기록'!K:K,'03_출고판매기록'!B:B,$B$15,'03_출고판매기록'!H:H,A18),0)</f>
        <v/>
      </c>
      <c r="C18" s="46">
        <f>IFERROR(SUMIFS('03_출고판매기록'!I:I,'03_출고판매기록'!B:B,$B$15,'03_출고판매기록'!H:H,A18),0)</f>
        <v/>
      </c>
      <c r="D18" s="45">
        <f>IFERROR(B18/C18,0)</f>
        <v/>
      </c>
    </row>
    <row r="19">
      <c r="A19" s="29" t="inlineStr">
        <is>
          <t>WG-YJ-375</t>
        </is>
      </c>
      <c r="B19" s="45">
        <f>IFERROR(SUMIFS('03_출고판매기록'!K:K,'03_출고판매기록'!B:B,$B$15,'03_출고판매기록'!H:H,A19),0)</f>
        <v/>
      </c>
      <c r="C19" s="46">
        <f>IFERROR(SUMIFS('03_출고판매기록'!I:I,'03_출고판매기록'!B:B,$B$15,'03_출고판매기록'!H:H,A19),0)</f>
        <v/>
      </c>
      <c r="D19" s="45">
        <f>IFERROR(B19/C19,0)</f>
        <v/>
      </c>
    </row>
    <row r="20">
      <c r="A20" s="29" t="inlineStr">
        <is>
          <t>WG-SJ-375</t>
        </is>
      </c>
      <c r="B20" s="45">
        <f>IFERROR(SUMIFS('03_출고판매기록'!K:K,'03_출고판매기록'!B:B,$B$15,'03_출고판매기록'!H:H,A20),0)</f>
        <v/>
      </c>
      <c r="C20" s="46">
        <f>IFERROR(SUMIFS('03_출고판매기록'!I:I,'03_출고판매기록'!B:B,$B$15,'03_출고판매기록'!H:H,A20),0)</f>
        <v/>
      </c>
      <c r="D20" s="45">
        <f>IFERROR(B20/C20,0)</f>
        <v/>
      </c>
    </row>
    <row r="21">
      <c r="A21" s="29" t="inlineStr">
        <is>
          <t>WG-VG-250</t>
        </is>
      </c>
      <c r="B21" s="45">
        <f>IFERROR(SUMIFS('03_출고판매기록'!K:K,'03_출고판매기록'!B:B,$B$15,'03_출고판매기록'!H:H,A21),0)</f>
        <v/>
      </c>
      <c r="C21" s="46">
        <f>IFERROR(SUMIFS('03_출고판매기록'!I:I,'03_출고판매기록'!B:B,$B$15,'03_출고판매기록'!H:H,A21),0)</f>
        <v/>
      </c>
      <c r="D21" s="45">
        <f>IFERROR(B21/C21,0)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A7FBF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3" t="inlineStr">
        <is>
          <t>11. 📊 시각화 대시보드</t>
        </is>
      </c>
    </row>
    <row r="2">
      <c r="A2" s="14" t="inlineStr">
        <is>
          <t>차트는 데이터 입력 시 자동 갱신. 한 화면에 KPI 추세</t>
        </is>
      </c>
    </row>
    <row r="5">
      <c r="A5" s="49" t="inlineStr">
        <is>
          <t>▶ 월별 매출 추세 (2026)</t>
        </is>
      </c>
    </row>
    <row r="6" ht="32" customHeight="1">
      <c r="A6" s="8" t="inlineStr">
        <is>
          <t>월</t>
        </is>
      </c>
      <c r="B6" s="8" t="inlineStr">
        <is>
          <t>매출(원)</t>
        </is>
      </c>
      <c r="C6" s="8" t="inlineStr">
        <is>
          <t>병 수</t>
        </is>
      </c>
      <c r="D6" s="8" t="inlineStr">
        <is>
          <t>거래 건수</t>
        </is>
      </c>
      <c r="E6" s="8" t="inlineStr"/>
      <c r="F6" s="8" t="inlineStr"/>
      <c r="G6" s="8" t="inlineStr"/>
      <c r="H6" s="8" t="inlineStr"/>
    </row>
    <row r="7">
      <c r="A7" s="44" t="inlineStr">
        <is>
          <t>1월</t>
        </is>
      </c>
      <c r="B7" s="45">
        <f>IFERROR(SUMIFS('03_출고판매기록'!K:K,'03_출고판매기록'!B:B,2026,'03_출고판매기록'!C:C,1),0)</f>
        <v/>
      </c>
      <c r="C7" s="47">
        <f>IFERROR(SUMIFS('03_출고판매기록'!I:I,'03_출고판매기록'!B:B,2026,'03_출고판매기록'!C:C,1),0)</f>
        <v/>
      </c>
      <c r="D7" s="47">
        <f>IFERROR(COUNTIFS('03_출고판매기록'!B:B,2026,'03_출고판매기록'!C:C,1),0)</f>
        <v/>
      </c>
    </row>
    <row r="8">
      <c r="A8" s="44" t="inlineStr">
        <is>
          <t>2월</t>
        </is>
      </c>
      <c r="B8" s="45">
        <f>IFERROR(SUMIFS('03_출고판매기록'!K:K,'03_출고판매기록'!B:B,2026,'03_출고판매기록'!C:C,2),0)</f>
        <v/>
      </c>
      <c r="C8" s="47">
        <f>IFERROR(SUMIFS('03_출고판매기록'!I:I,'03_출고판매기록'!B:B,2026,'03_출고판매기록'!C:C,2),0)</f>
        <v/>
      </c>
      <c r="D8" s="47">
        <f>IFERROR(COUNTIFS('03_출고판매기록'!B:B,2026,'03_출고판매기록'!C:C,2),0)</f>
        <v/>
      </c>
    </row>
    <row r="9">
      <c r="A9" s="44" t="inlineStr">
        <is>
          <t>3월</t>
        </is>
      </c>
      <c r="B9" s="45">
        <f>IFERROR(SUMIFS('03_출고판매기록'!K:K,'03_출고판매기록'!B:B,2026,'03_출고판매기록'!C:C,3),0)</f>
        <v/>
      </c>
      <c r="C9" s="47">
        <f>IFERROR(SUMIFS('03_출고판매기록'!I:I,'03_출고판매기록'!B:B,2026,'03_출고판매기록'!C:C,3),0)</f>
        <v/>
      </c>
      <c r="D9" s="47">
        <f>IFERROR(COUNTIFS('03_출고판매기록'!B:B,2026,'03_출고판매기록'!C:C,3),0)</f>
        <v/>
      </c>
    </row>
    <row r="10">
      <c r="A10" s="44" t="inlineStr">
        <is>
          <t>4월</t>
        </is>
      </c>
      <c r="B10" s="45">
        <f>IFERROR(SUMIFS('03_출고판매기록'!K:K,'03_출고판매기록'!B:B,2026,'03_출고판매기록'!C:C,4),0)</f>
        <v/>
      </c>
      <c r="C10" s="47">
        <f>IFERROR(SUMIFS('03_출고판매기록'!I:I,'03_출고판매기록'!B:B,2026,'03_출고판매기록'!C:C,4),0)</f>
        <v/>
      </c>
      <c r="D10" s="47">
        <f>IFERROR(COUNTIFS('03_출고판매기록'!B:B,2026,'03_출고판매기록'!C:C,4),0)</f>
        <v/>
      </c>
    </row>
    <row r="11">
      <c r="A11" s="44" t="inlineStr">
        <is>
          <t>5월</t>
        </is>
      </c>
      <c r="B11" s="45">
        <f>IFERROR(SUMIFS('03_출고판매기록'!K:K,'03_출고판매기록'!B:B,2026,'03_출고판매기록'!C:C,5),0)</f>
        <v/>
      </c>
      <c r="C11" s="47">
        <f>IFERROR(SUMIFS('03_출고판매기록'!I:I,'03_출고판매기록'!B:B,2026,'03_출고판매기록'!C:C,5),0)</f>
        <v/>
      </c>
      <c r="D11" s="47">
        <f>IFERROR(COUNTIFS('03_출고판매기록'!B:B,2026,'03_출고판매기록'!C:C,5),0)</f>
        <v/>
      </c>
    </row>
    <row r="12">
      <c r="A12" s="44" t="inlineStr">
        <is>
          <t>6월</t>
        </is>
      </c>
      <c r="B12" s="45">
        <f>IFERROR(SUMIFS('03_출고판매기록'!K:K,'03_출고판매기록'!B:B,2026,'03_출고판매기록'!C:C,6),0)</f>
        <v/>
      </c>
      <c r="C12" s="47">
        <f>IFERROR(SUMIFS('03_출고판매기록'!I:I,'03_출고판매기록'!B:B,2026,'03_출고판매기록'!C:C,6),0)</f>
        <v/>
      </c>
      <c r="D12" s="47">
        <f>IFERROR(COUNTIFS('03_출고판매기록'!B:B,2026,'03_출고판매기록'!C:C,6),0)</f>
        <v/>
      </c>
    </row>
    <row r="13">
      <c r="A13" s="44" t="inlineStr">
        <is>
          <t>7월</t>
        </is>
      </c>
      <c r="B13" s="45">
        <f>IFERROR(SUMIFS('03_출고판매기록'!K:K,'03_출고판매기록'!B:B,2026,'03_출고판매기록'!C:C,7),0)</f>
        <v/>
      </c>
      <c r="C13" s="47">
        <f>IFERROR(SUMIFS('03_출고판매기록'!I:I,'03_출고판매기록'!B:B,2026,'03_출고판매기록'!C:C,7),0)</f>
        <v/>
      </c>
      <c r="D13" s="47">
        <f>IFERROR(COUNTIFS('03_출고판매기록'!B:B,2026,'03_출고판매기록'!C:C,7),0)</f>
        <v/>
      </c>
    </row>
    <row r="14">
      <c r="A14" s="44" t="inlineStr">
        <is>
          <t>8월</t>
        </is>
      </c>
      <c r="B14" s="45">
        <f>IFERROR(SUMIFS('03_출고판매기록'!K:K,'03_출고판매기록'!B:B,2026,'03_출고판매기록'!C:C,8),0)</f>
        <v/>
      </c>
      <c r="C14" s="47">
        <f>IFERROR(SUMIFS('03_출고판매기록'!I:I,'03_출고판매기록'!B:B,2026,'03_출고판매기록'!C:C,8),0)</f>
        <v/>
      </c>
      <c r="D14" s="47">
        <f>IFERROR(COUNTIFS('03_출고판매기록'!B:B,2026,'03_출고판매기록'!C:C,8),0)</f>
        <v/>
      </c>
    </row>
    <row r="15">
      <c r="A15" s="44" t="inlineStr">
        <is>
          <t>9월</t>
        </is>
      </c>
      <c r="B15" s="45">
        <f>IFERROR(SUMIFS('03_출고판매기록'!K:K,'03_출고판매기록'!B:B,2026,'03_출고판매기록'!C:C,9),0)</f>
        <v/>
      </c>
      <c r="C15" s="47">
        <f>IFERROR(SUMIFS('03_출고판매기록'!I:I,'03_출고판매기록'!B:B,2026,'03_출고판매기록'!C:C,9),0)</f>
        <v/>
      </c>
      <c r="D15" s="47">
        <f>IFERROR(COUNTIFS('03_출고판매기록'!B:B,2026,'03_출고판매기록'!C:C,9),0)</f>
        <v/>
      </c>
    </row>
    <row r="16">
      <c r="A16" s="44" t="inlineStr">
        <is>
          <t>10월</t>
        </is>
      </c>
      <c r="B16" s="45">
        <f>IFERROR(SUMIFS('03_출고판매기록'!K:K,'03_출고판매기록'!B:B,2026,'03_출고판매기록'!C:C,10),0)</f>
        <v/>
      </c>
      <c r="C16" s="47">
        <f>IFERROR(SUMIFS('03_출고판매기록'!I:I,'03_출고판매기록'!B:B,2026,'03_출고판매기록'!C:C,10),0)</f>
        <v/>
      </c>
      <c r="D16" s="47">
        <f>IFERROR(COUNTIFS('03_출고판매기록'!B:B,2026,'03_출고판매기록'!C:C,10),0)</f>
        <v/>
      </c>
    </row>
    <row r="17">
      <c r="A17" s="44" t="inlineStr">
        <is>
          <t>11월</t>
        </is>
      </c>
      <c r="B17" s="45">
        <f>IFERROR(SUMIFS('03_출고판매기록'!K:K,'03_출고판매기록'!B:B,2026,'03_출고판매기록'!C:C,11),0)</f>
        <v/>
      </c>
      <c r="C17" s="47">
        <f>IFERROR(SUMIFS('03_출고판매기록'!I:I,'03_출고판매기록'!B:B,2026,'03_출고판매기록'!C:C,11),0)</f>
        <v/>
      </c>
      <c r="D17" s="47">
        <f>IFERROR(COUNTIFS('03_출고판매기록'!B:B,2026,'03_출고판매기록'!C:C,11),0)</f>
        <v/>
      </c>
    </row>
    <row r="18">
      <c r="A18" s="44" t="inlineStr">
        <is>
          <t>12월</t>
        </is>
      </c>
      <c r="B18" s="45">
        <f>IFERROR(SUMIFS('03_출고판매기록'!K:K,'03_출고판매기록'!B:B,2026,'03_출고판매기록'!C:C,12),0)</f>
        <v/>
      </c>
      <c r="C18" s="47">
        <f>IFERROR(SUMIFS('03_출고판매기록'!I:I,'03_출고판매기록'!B:B,2026,'03_출고판매기록'!C:C,12),0)</f>
        <v/>
      </c>
      <c r="D18" s="47">
        <f>IFERROR(COUNTIFS('03_출고판매기록'!B:B,2026,'03_출고판매기록'!C:C,12),0)</f>
        <v/>
      </c>
    </row>
    <row r="22">
      <c r="A22" s="49" t="inlineStr">
        <is>
          <t>▶ 2026 SKU별 매출 분포</t>
        </is>
      </c>
    </row>
    <row r="23" ht="32" customHeight="1">
      <c r="A23" s="8" t="inlineStr">
        <is>
          <t>SKU</t>
        </is>
      </c>
      <c r="B23" s="8" t="inlineStr">
        <is>
          <t>매출(원)</t>
        </is>
      </c>
      <c r="C23" s="8" t="inlineStr">
        <is>
          <t>병 수</t>
        </is>
      </c>
      <c r="D23" s="8" t="inlineStr"/>
      <c r="E23" s="8" t="inlineStr"/>
      <c r="F23" s="8" t="inlineStr"/>
      <c r="G23" s="8" t="inlineStr"/>
      <c r="H23" s="8" t="inlineStr"/>
    </row>
    <row r="24">
      <c r="A24" s="29" t="inlineStr">
        <is>
          <t>국화주 탁주 500ml</t>
        </is>
      </c>
      <c r="B24" s="45">
        <f>IFERROR(SUMIFS('03_출고판매기록'!K:K,'03_출고판매기록'!B:B,2026,'03_출고판매기록'!H:H,"WG-TJ-500"),0)</f>
        <v/>
      </c>
      <c r="C24" s="47">
        <f>IFERROR(SUMIFS('03_출고판매기록'!I:I,'03_출고판매기록'!B:B,2026,'03_출고판매기록'!H:H,"WG-TJ-500"),0)</f>
        <v/>
      </c>
    </row>
    <row r="25">
      <c r="A25" s="29" t="inlineStr">
        <is>
          <t>국화주 약주 375ml</t>
        </is>
      </c>
      <c r="B25" s="45">
        <f>IFERROR(SUMIFS('03_출고판매기록'!K:K,'03_출고판매기록'!B:B,2026,'03_출고판매기록'!H:H,"WG-YJ-375"),0)</f>
        <v/>
      </c>
      <c r="C25" s="47">
        <f>IFERROR(SUMIFS('03_출고판매기록'!I:I,'03_출고판매기록'!B:B,2026,'03_출고판매기록'!H:H,"WG-YJ-375"),0)</f>
        <v/>
      </c>
    </row>
    <row r="26">
      <c r="A26" s="29" t="inlineStr">
        <is>
          <t>사계주 소주 375ml</t>
        </is>
      </c>
      <c r="B26" s="45">
        <f>IFERROR(SUMIFS('03_출고판매기록'!K:K,'03_출고판매기록'!B:B,2026,'03_출고판매기록'!H:H,"WG-SJ-375"),0)</f>
        <v/>
      </c>
      <c r="C26" s="47">
        <f>IFERROR(SUMIFS('03_출고판매기록'!I:I,'03_출고판매기록'!B:B,2026,'03_출고판매기록'!H:H,"WG-SJ-375"),0)</f>
        <v/>
      </c>
    </row>
    <row r="27">
      <c r="A27" s="29" t="inlineStr">
        <is>
          <t>현미식초 250ml</t>
        </is>
      </c>
      <c r="B27" s="45">
        <f>IFERROR(SUMIFS('03_출고판매기록'!K:K,'03_출고판매기록'!B:B,2026,'03_출고판매기록'!H:H,"WG-VG-250"),0)</f>
        <v/>
      </c>
      <c r="C27" s="47">
        <f>IFERROR(SUMIFS('03_출고판매기록'!I:I,'03_출고판매기록'!B:B,2026,'03_출고판매기록'!H:H,"WG-VG-250"),0)</f>
        <v/>
      </c>
    </row>
    <row r="39">
      <c r="A39" s="49" t="inlineStr">
        <is>
          <t>▶ 2026 채널별 매출</t>
        </is>
      </c>
    </row>
    <row r="40" ht="32" customHeight="1">
      <c r="A40" s="8" t="inlineStr">
        <is>
          <t>채널</t>
        </is>
      </c>
      <c r="B40" s="8" t="inlineStr">
        <is>
          <t>매출(원)</t>
        </is>
      </c>
      <c r="C40" s="8" t="inlineStr">
        <is>
          <t>건수</t>
        </is>
      </c>
      <c r="D40" s="8" t="inlineStr"/>
      <c r="E40" s="8" t="inlineStr"/>
      <c r="F40" s="8" t="inlineStr"/>
      <c r="G40" s="8" t="inlineStr"/>
      <c r="H40" s="8" t="inlineStr"/>
    </row>
    <row r="41">
      <c r="A41" s="29" t="inlineStr">
        <is>
          <t>양조장직판</t>
        </is>
      </c>
      <c r="B41" s="45">
        <f>IFERROR(SUMIFS('03_출고판매기록'!K:K,'03_출고판매기록'!B:B,2026,'03_출고판매기록'!E:E,"양조장직판"),0)</f>
        <v/>
      </c>
      <c r="C41" s="47">
        <f>IFERROR(COUNTIFS('03_출고판매기록'!B:B,2026,'03_출고판매기록'!E:E,"양조장직판"),0)</f>
        <v/>
      </c>
    </row>
    <row r="42">
      <c r="A42" s="29" t="inlineStr">
        <is>
          <t>D2C(스마트스토어)</t>
        </is>
      </c>
      <c r="B42" s="45">
        <f>IFERROR(SUMIFS('03_출고판매기록'!K:K,'03_출고판매기록'!B:B,2026,'03_출고판매기록'!E:E,"D2C(스마트스토어)"),0)</f>
        <v/>
      </c>
      <c r="C42" s="47">
        <f>IFERROR(COUNTIFS('03_출고판매기록'!B:B,2026,'03_출고판매기록'!E:E,"D2C(스마트스토어)"),0)</f>
        <v/>
      </c>
    </row>
    <row r="43">
      <c r="A43" s="29" t="inlineStr">
        <is>
          <t>전통주채널</t>
        </is>
      </c>
      <c r="B43" s="45">
        <f>IFERROR(SUMIFS('03_출고판매기록'!K:K,'03_출고판매기록'!B:B,2026,'03_출고판매기록'!E:E,"전통주채널"),0)</f>
        <v/>
      </c>
      <c r="C43" s="47">
        <f>IFERROR(COUNTIFS('03_출고판매기록'!B:B,2026,'03_출고판매기록'!E:E,"전통주채널"),0)</f>
        <v/>
      </c>
    </row>
    <row r="44">
      <c r="A44" s="29" t="inlineStr">
        <is>
          <t>도매</t>
        </is>
      </c>
      <c r="B44" s="45">
        <f>IFERROR(SUMIFS('03_출고판매기록'!K:K,'03_출고판매기록'!B:B,2026,'03_출고판매기록'!E:E,"도매"),0)</f>
        <v/>
      </c>
      <c r="C44" s="47">
        <f>IFERROR(COUNTIFS('03_출고판매기록'!B:B,2026,'03_출고판매기록'!E:E,"도매"),0)</f>
        <v/>
      </c>
    </row>
    <row r="45">
      <c r="A45" s="29" t="inlineStr">
        <is>
          <t>B2B(레스토랑/호텔)</t>
        </is>
      </c>
      <c r="B45" s="45">
        <f>IFERROR(SUMIFS('03_출고판매기록'!K:K,'03_출고판매기록'!B:B,2026,'03_출고판매기록'!E:E,"B2B(레스토랑/호텔)"),0)</f>
        <v/>
      </c>
      <c r="C45" s="47">
        <f>IFERROR(COUNTIFS('03_출고판매기록'!B:B,2026,'03_출고판매기록'!E:E,"B2B(레스토랑/호텔)"),0)</f>
        <v/>
      </c>
    </row>
    <row r="46">
      <c r="A46" s="29" t="inlineStr">
        <is>
          <t>체험·시음</t>
        </is>
      </c>
      <c r="B46" s="45">
        <f>IFERROR(SUMIFS('03_출고판매기록'!K:K,'03_출고판매기록'!B:B,2026,'03_출고판매기록'!E:E,"체험·시음"),0)</f>
        <v/>
      </c>
      <c r="C46" s="47">
        <f>IFERROR(COUNTIFS('03_출고판매기록'!B:B,2026,'03_출고판매기록'!E:E,"체험·시음"),0)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2026-05-13T05:35:23Z</dcterms:created>
  <dcterms:modified xmlns:dcterms="http://purl.org/dc/terms/" xmlns:xsi="http://www.w3.org/2001/XMLSchema-instance" xsi:type="dcterms:W3CDTF">2026-05-13T05:35:25Z</dcterms:modified>
</cp:coreProperties>
</file>