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직접재료비" sheetId="2" state="visible" r:id="rId2"/>
    <sheet xmlns:r="http://schemas.openxmlformats.org/officeDocument/2006/relationships" name="02_주종별_수율" sheetId="3" state="visible" r:id="rId3"/>
    <sheet xmlns:r="http://schemas.openxmlformats.org/officeDocument/2006/relationships" name="03_제품별_원가" sheetId="4" state="visible" r:id="rId4"/>
    <sheet xmlns:r="http://schemas.openxmlformats.org/officeDocument/2006/relationships" name="04_세액명세" sheetId="5" state="visible" r:id="rId5"/>
    <sheet xmlns:r="http://schemas.openxmlformats.org/officeDocument/2006/relationships" name="05_마진_분석" sheetId="6" state="visible" r:id="rId6"/>
    <sheet xmlns:r="http://schemas.openxmlformats.org/officeDocument/2006/relationships" name="06_갱신_필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"/>
    <numFmt numFmtId="166" formatCode="0.0%"/>
  </numFmts>
  <fonts count="12">
    <font>
      <name val="Calibri"/>
      <family val="2"/>
      <color theme="1"/>
      <sz val="11"/>
      <scheme val="minor"/>
    </font>
    <font>
      <name val="맑은 고딕"/>
      <b val="1"/>
      <color rgb="003D2914"/>
      <sz val="18"/>
    </font>
    <font>
      <name val="맑은 고딕"/>
      <i val="1"/>
      <color rgb="00888888"/>
      <sz val="10"/>
    </font>
    <font>
      <name val="맑은 고딕"/>
      <b val="1"/>
      <color rgb="00FFF5E1"/>
      <sz val="11"/>
    </font>
    <font>
      <name val="맑은 고딕"/>
      <b val="1"/>
      <color rgb="003D2914"/>
      <sz val="10"/>
    </font>
    <font>
      <name val="맑은 고딕"/>
      <sz val="10"/>
    </font>
    <font>
      <name val="맑은 고딕"/>
      <b val="1"/>
      <color rgb="003D2914"/>
      <sz val="12"/>
    </font>
    <font>
      <name val="맑은 고딕"/>
      <b val="1"/>
      <color rgb="003D2914"/>
      <sz val="14"/>
    </font>
    <font>
      <name val="맑은 고딕"/>
      <b val="1"/>
      <sz val="10"/>
    </font>
    <font>
      <name val="맑은 고딕"/>
      <i val="1"/>
      <color rgb="00B0660C"/>
      <sz val="10"/>
    </font>
    <font>
      <name val="맑은 고딕"/>
      <i val="1"/>
      <color rgb="00555555"/>
      <sz val="10"/>
    </font>
    <font>
      <name val="맑은 고딕"/>
      <b val="1"/>
      <color rgb="005E3D1F"/>
      <sz val="12"/>
    </font>
  </fonts>
  <fills count="5">
    <fill>
      <patternFill/>
    </fill>
    <fill>
      <patternFill patternType="gray125"/>
    </fill>
    <fill>
      <patternFill patternType="solid">
        <fgColor rgb="003D2914"/>
      </patternFill>
    </fill>
    <fill>
      <patternFill patternType="solid">
        <fgColor rgb="00F5E9D2"/>
      </patternFill>
    </fill>
    <fill>
      <patternFill patternType="solid">
        <fgColor rgb="00FFF4D6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164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165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165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49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월인가 술빚는날 — 주류 제조원가계산서</t>
        </is>
      </c>
    </row>
    <row r="2">
      <c r="A2" s="2" t="inlineStr">
        <is>
          <t>신고일 2026-03-01 · 디지털 변환 v1 (재무 매니저)</t>
        </is>
      </c>
    </row>
    <row r="4" ht="22" customHeight="1">
      <c r="A4" s="3" t="inlineStr">
        <is>
          <t>항목</t>
        </is>
      </c>
      <c r="B4" s="3" t="inlineStr">
        <is>
          <t>내용</t>
        </is>
      </c>
      <c r="C4" s="4" t="n"/>
      <c r="D4" s="4" t="n"/>
      <c r="E4" s="4" t="n"/>
      <c r="F4" s="5" t="n"/>
    </row>
    <row r="5" ht="22" customHeight="1">
      <c r="A5" s="6" t="inlineStr">
        <is>
          <t>상호</t>
        </is>
      </c>
      <c r="B5" s="7" t="inlineStr">
        <is>
          <t>월인가술빚는날 (대표: 김지은)</t>
        </is>
      </c>
      <c r="C5" s="4" t="n"/>
      <c r="D5" s="4" t="n"/>
      <c r="E5" s="4" t="n"/>
      <c r="F5" s="5" t="n"/>
    </row>
    <row r="6" ht="22" customHeight="1">
      <c r="A6" s="6" t="inlineStr">
        <is>
          <t>사업자번호</t>
        </is>
      </c>
      <c r="B6" s="7" t="inlineStr">
        <is>
          <t>358-34-01806</t>
        </is>
      </c>
      <c r="C6" s="4" t="n"/>
      <c r="D6" s="4" t="n"/>
      <c r="E6" s="4" t="n"/>
      <c r="F6" s="5" t="n"/>
    </row>
    <row r="7" ht="22" customHeight="1">
      <c r="A7" s="6" t="inlineStr">
        <is>
          <t>소재지</t>
        </is>
      </c>
      <c r="B7" s="7" t="inlineStr">
        <is>
          <t>충남 천안시 동남구 다가말2길 81-1 (다가동)</t>
        </is>
      </c>
      <c r="C7" s="4" t="n"/>
      <c r="D7" s="4" t="n"/>
      <c r="E7" s="4" t="n"/>
      <c r="F7" s="5" t="n"/>
    </row>
    <row r="8" ht="22" customHeight="1">
      <c r="A8" s="6" t="inlineStr">
        <is>
          <t>면허종류</t>
        </is>
      </c>
      <c r="B8" s="7" t="inlineStr">
        <is>
          <t>전통주(지역특산주) — 탁주·약주·증류식소주</t>
        </is>
      </c>
      <c r="C8" s="4" t="n"/>
      <c r="D8" s="4" t="n"/>
      <c r="E8" s="4" t="n"/>
      <c r="F8" s="5" t="n"/>
    </row>
    <row r="9" ht="22" customHeight="1">
      <c r="A9" s="6" t="inlineStr">
        <is>
          <t>신고제품</t>
        </is>
      </c>
      <c r="B9" s="7" t="inlineStr">
        <is>
          <t>월인가 국화주(탁주 2종·약주 2종), 월인가 사계주(소주 2종)</t>
        </is>
      </c>
      <c r="C9" s="4" t="n"/>
      <c r="D9" s="4" t="n"/>
      <c r="E9" s="4" t="n"/>
      <c r="F9" s="5" t="n"/>
    </row>
    <row r="10" ht="22" customHeight="1">
      <c r="A10" s="6" t="inlineStr">
        <is>
          <t>세제 혜택</t>
        </is>
      </c>
      <c r="B10" s="7" t="inlineStr">
        <is>
          <t>지역특산주 주세 50% 감면 (농업경영체, 지역 농산물 주원료)</t>
        </is>
      </c>
      <c r="C10" s="4" t="n"/>
      <c r="D10" s="4" t="n"/>
      <c r="E10" s="4" t="n"/>
      <c r="F10" s="5" t="n"/>
    </row>
    <row r="12">
      <c r="A12" s="8" t="inlineStr">
        <is>
          <t>6종 SKU 요약</t>
        </is>
      </c>
    </row>
    <row r="13" ht="22" customHeight="1">
      <c r="A13" s="3" t="inlineStr">
        <is>
          <t>제품</t>
        </is>
      </c>
      <c r="B13" s="3" t="inlineStr">
        <is>
          <t>분류</t>
        </is>
      </c>
      <c r="C13" s="3" t="inlineStr">
        <is>
          <t>규격</t>
        </is>
      </c>
      <c r="D13" s="3" t="inlineStr">
        <is>
          <t>도수</t>
        </is>
      </c>
      <c r="E13" s="3" t="inlineStr">
        <is>
          <t>제조장판매가</t>
        </is>
      </c>
      <c r="F13" s="3" t="inlineStr">
        <is>
          <t>출고가(세금포함)</t>
        </is>
      </c>
    </row>
    <row r="14">
      <c r="A14" s="7" t="inlineStr">
        <is>
          <t>월인가 국화주</t>
        </is>
      </c>
      <c r="B14" s="7" t="inlineStr">
        <is>
          <t>탁주</t>
        </is>
      </c>
      <c r="C14" s="7" t="inlineStr">
        <is>
          <t>500ml</t>
        </is>
      </c>
      <c r="D14" s="7" t="inlineStr">
        <is>
          <t>10%</t>
        </is>
      </c>
      <c r="E14" s="9" t="n">
        <v>8000</v>
      </c>
      <c r="F14" s="9" t="n">
        <v>8011</v>
      </c>
    </row>
    <row r="15">
      <c r="A15" s="7" t="inlineStr">
        <is>
          <t>월인가 국화주</t>
        </is>
      </c>
      <c r="B15" s="7" t="inlineStr">
        <is>
          <t>탁주</t>
        </is>
      </c>
      <c r="C15" s="7" t="inlineStr">
        <is>
          <t>750ml</t>
        </is>
      </c>
      <c r="D15" s="7" t="inlineStr">
        <is>
          <t>10%</t>
        </is>
      </c>
      <c r="E15" s="9" t="n">
        <v>12000</v>
      </c>
      <c r="F15" s="9" t="n">
        <v>12017</v>
      </c>
    </row>
    <row r="16">
      <c r="A16" s="7" t="inlineStr">
        <is>
          <t>월인가 국화주</t>
        </is>
      </c>
      <c r="B16" s="7" t="inlineStr">
        <is>
          <t>약주</t>
        </is>
      </c>
      <c r="C16" s="7" t="inlineStr">
        <is>
          <t>375ml</t>
        </is>
      </c>
      <c r="D16" s="7" t="inlineStr">
        <is>
          <t>15%</t>
        </is>
      </c>
      <c r="E16" s="9" t="n">
        <v>12000</v>
      </c>
      <c r="F16" s="9" t="n">
        <v>13980</v>
      </c>
    </row>
    <row r="17">
      <c r="A17" s="7" t="inlineStr">
        <is>
          <t>월인가 국화주</t>
        </is>
      </c>
      <c r="B17" s="7" t="inlineStr">
        <is>
          <t>약주</t>
        </is>
      </c>
      <c r="C17" s="7" t="inlineStr">
        <is>
          <t>500ml</t>
        </is>
      </c>
      <c r="D17" s="7" t="inlineStr">
        <is>
          <t>15%</t>
        </is>
      </c>
      <c r="E17" s="9" t="n">
        <v>15000</v>
      </c>
      <c r="F17" s="9" t="n">
        <v>17475</v>
      </c>
    </row>
    <row r="18">
      <c r="A18" s="7" t="inlineStr">
        <is>
          <t>월인가 사계주</t>
        </is>
      </c>
      <c r="B18" s="7" t="inlineStr">
        <is>
          <t>소주</t>
        </is>
      </c>
      <c r="C18" s="7" t="inlineStr">
        <is>
          <t>375ml</t>
        </is>
      </c>
      <c r="D18" s="7" t="inlineStr">
        <is>
          <t>43%</t>
        </is>
      </c>
      <c r="E18" s="9" t="n">
        <v>25000</v>
      </c>
      <c r="F18" s="9" t="n">
        <v>36700</v>
      </c>
    </row>
    <row r="19">
      <c r="A19" s="7" t="inlineStr">
        <is>
          <t>월인가 사계주</t>
        </is>
      </c>
      <c r="B19" s="7" t="inlineStr">
        <is>
          <t>소주</t>
        </is>
      </c>
      <c r="C19" s="7" t="inlineStr">
        <is>
          <t>500ml</t>
        </is>
      </c>
      <c r="D19" s="7" t="inlineStr">
        <is>
          <t>43%</t>
        </is>
      </c>
      <c r="E19" s="9" t="n">
        <v>35000</v>
      </c>
      <c r="F19" s="9" t="n">
        <v>51380</v>
      </c>
    </row>
  </sheetData>
  <mergeCells count="10">
    <mergeCell ref="B4:F4"/>
    <mergeCell ref="A2:F2"/>
    <mergeCell ref="B7:F7"/>
    <mergeCell ref="B6:F6"/>
    <mergeCell ref="B10:F10"/>
    <mergeCell ref="A1:F1"/>
    <mergeCell ref="B5:F5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 ht="26" customHeight="1">
      <c r="A1" s="10" t="inlineStr">
        <is>
          <t>직접재료비 산출 근거 (1배치 75kg 기준)</t>
        </is>
      </c>
    </row>
    <row r="3" ht="22" customHeight="1">
      <c r="A3" s="3" t="inlineStr">
        <is>
          <t>원료명</t>
        </is>
      </c>
      <c r="B3" s="3" t="inlineStr">
        <is>
          <t>매입단가(원/kg)</t>
        </is>
      </c>
      <c r="C3" s="3" t="inlineStr">
        <is>
          <t>투입량(kg)</t>
        </is>
      </c>
      <c r="D3" s="3" t="inlineStr">
        <is>
          <t>금액(원)</t>
        </is>
      </c>
      <c r="E3" s="3" t="inlineStr">
        <is>
          <t>비고</t>
        </is>
      </c>
    </row>
    <row r="4">
      <c r="A4" s="7" t="inlineStr">
        <is>
          <t>멥쌀</t>
        </is>
      </c>
      <c r="B4" s="9" t="n">
        <v>3750</v>
      </c>
      <c r="C4" s="11" t="n">
        <v>22.5</v>
      </c>
      <c r="D4" s="9" t="n">
        <v>84375</v>
      </c>
      <c r="E4" s="7" t="inlineStr">
        <is>
          <t>국내산(천안)</t>
        </is>
      </c>
    </row>
    <row r="5">
      <c r="A5" s="7" t="inlineStr">
        <is>
          <t>찹쌀</t>
        </is>
      </c>
      <c r="B5" s="9" t="n">
        <v>4375</v>
      </c>
      <c r="C5" s="11" t="n">
        <v>52.5</v>
      </c>
      <c r="D5" s="9" t="n">
        <v>229688</v>
      </c>
      <c r="E5" s="7" t="inlineStr">
        <is>
          <t>국내산(천안)</t>
        </is>
      </c>
    </row>
    <row r="6">
      <c r="A6" s="7" t="inlineStr">
        <is>
          <t>누룩</t>
        </is>
      </c>
      <c r="B6" s="9" t="n">
        <v>3000</v>
      </c>
      <c r="C6" s="11" t="n">
        <v>5.2</v>
      </c>
      <c r="D6" s="9" t="n">
        <v>15600</v>
      </c>
      <c r="E6" s="7" t="inlineStr">
        <is>
          <t>개량누룩 외</t>
        </is>
      </c>
    </row>
    <row r="7">
      <c r="A7" s="7" t="inlineStr">
        <is>
          <t>부재료(국화)</t>
        </is>
      </c>
      <c r="B7" s="9" t="n">
        <v>0</v>
      </c>
      <c r="C7" s="12" t="n"/>
      <c r="D7" s="9" t="n">
        <v>0</v>
      </c>
      <c r="E7" s="7" t="inlineStr">
        <is>
          <t>자가채취</t>
        </is>
      </c>
    </row>
    <row r="8">
      <c r="A8" s="13" t="inlineStr">
        <is>
          <t>합계</t>
        </is>
      </c>
      <c r="B8" s="13" t="inlineStr"/>
      <c r="C8" s="14" t="n">
        <v>80.2</v>
      </c>
      <c r="D8" s="15" t="n">
        <v>329663</v>
      </c>
      <c r="E8" s="13" t="inlineStr"/>
    </row>
    <row r="10">
      <c r="A10" s="16" t="inlineStr">
        <is>
          <t>💡 부재료 '국화'는 자가채취로 원가 0이지만 월인가의 시그니처 — 콘텐츠·스토리텔링 자산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26" customHeight="1">
      <c r="A1" s="10" t="inlineStr">
        <is>
          <t>주종별 수율 및 단위 원가 (1L당)</t>
        </is>
      </c>
    </row>
    <row r="3" ht="22" customHeight="1">
      <c r="A3" s="3" t="inlineStr">
        <is>
          <t>주종</t>
        </is>
      </c>
      <c r="B3" s="3" t="inlineStr">
        <is>
          <t>배치당 생산량(L)</t>
        </is>
      </c>
      <c r="C3" s="3" t="inlineStr">
        <is>
          <t>원재료비(원/L)</t>
        </is>
      </c>
      <c r="D3" s="3" t="inlineStr">
        <is>
          <t>제조경비(원/L)</t>
        </is>
      </c>
      <c r="E3" s="3" t="inlineStr">
        <is>
          <t>비고</t>
        </is>
      </c>
    </row>
    <row r="4">
      <c r="A4" s="7" t="inlineStr">
        <is>
          <t>탁주(10%)</t>
        </is>
      </c>
      <c r="B4" s="11" t="n">
        <v>187.5</v>
      </c>
      <c r="C4" s="9" t="n">
        <v>1758</v>
      </c>
      <c r="D4" s="9" t="n">
        <v>309</v>
      </c>
      <c r="E4" s="7" t="inlineStr">
        <is>
          <t>가수 및 제성 후</t>
        </is>
      </c>
    </row>
    <row r="5">
      <c r="A5" s="7" t="inlineStr">
        <is>
          <t>약주(15%)</t>
        </is>
      </c>
      <c r="B5" s="11" t="n">
        <v>125</v>
      </c>
      <c r="C5" s="9" t="n">
        <v>2637</v>
      </c>
      <c r="D5" s="9" t="n">
        <v>309</v>
      </c>
      <c r="E5" s="7" t="inlineStr">
        <is>
          <t>압착 및 여과 후</t>
        </is>
      </c>
    </row>
    <row r="6">
      <c r="A6" s="7" t="inlineStr">
        <is>
          <t>소주(43%)</t>
        </is>
      </c>
      <c r="B6" s="11" t="n">
        <v>75</v>
      </c>
      <c r="C6" s="9" t="n">
        <v>4396</v>
      </c>
      <c r="D6" s="9" t="n">
        <v>309</v>
      </c>
      <c r="E6" s="7" t="inlineStr">
        <is>
          <t>증류 및 숙성 후</t>
        </is>
      </c>
    </row>
    <row r="8">
      <c r="A8" s="17" t="inlineStr">
        <is>
          <t>※ 제조경비(전기/수도/가스) = 월평균 340,000원 ÷ 월 예정 생산량 1,100L = 309원/L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0" t="inlineStr">
        <is>
          <t>제품별 최종 원가 및 가격 신고 (6종)</t>
        </is>
      </c>
    </row>
    <row r="3">
      <c r="A3" s="18" t="inlineStr">
        <is>
          <t>가. 탁주 및 약주 (발효주류)</t>
        </is>
      </c>
    </row>
    <row r="4" ht="22" customHeight="1">
      <c r="A4" s="3" t="inlineStr">
        <is>
          <t>항목</t>
        </is>
      </c>
      <c r="B4" s="3" t="inlineStr">
        <is>
          <t>탁주 500ml</t>
        </is>
      </c>
      <c r="C4" s="3" t="inlineStr">
        <is>
          <t>탁주 750ml</t>
        </is>
      </c>
      <c r="D4" s="3" t="inlineStr">
        <is>
          <t>약주 375ml</t>
        </is>
      </c>
      <c r="E4" s="3" t="inlineStr">
        <is>
          <t>약주 500ml</t>
        </is>
      </c>
      <c r="F4" s="3" t="inlineStr"/>
      <c r="G4" s="5" t="n"/>
    </row>
    <row r="5">
      <c r="A5" s="7" t="inlineStr">
        <is>
          <t>① 직접재료비</t>
        </is>
      </c>
      <c r="B5" s="9" t="n">
        <v>879</v>
      </c>
      <c r="C5" s="9" t="n">
        <v>1319</v>
      </c>
      <c r="D5" s="9" t="n">
        <v>989</v>
      </c>
      <c r="E5" s="9" t="n">
        <v>1319</v>
      </c>
    </row>
    <row r="6">
      <c r="A6" s="7" t="inlineStr">
        <is>
          <t>② 직접부자재비</t>
        </is>
      </c>
      <c r="B6" s="9" t="n">
        <v>2420</v>
      </c>
      <c r="C6" s="9" t="n">
        <v>2420</v>
      </c>
      <c r="D6" s="9" t="n">
        <v>2420</v>
      </c>
      <c r="E6" s="9" t="n">
        <v>2420</v>
      </c>
    </row>
    <row r="7">
      <c r="A7" s="7" t="inlineStr">
        <is>
          <t>③ 제조경비</t>
        </is>
      </c>
      <c r="B7" s="9" t="n">
        <v>155</v>
      </c>
      <c r="C7" s="9" t="n">
        <v>232</v>
      </c>
      <c r="D7" s="9" t="n">
        <v>116</v>
      </c>
      <c r="E7" s="9" t="n">
        <v>155</v>
      </c>
    </row>
    <row r="8">
      <c r="A8" s="13" t="inlineStr">
        <is>
          <t>(A) 제조원가</t>
        </is>
      </c>
      <c r="B8" s="15" t="n">
        <v>3454</v>
      </c>
      <c r="C8" s="15" t="n">
        <v>3971</v>
      </c>
      <c r="D8" s="15" t="n">
        <v>3525</v>
      </c>
      <c r="E8" s="15" t="n">
        <v>3894</v>
      </c>
    </row>
    <row r="9">
      <c r="A9" s="19" t="inlineStr">
        <is>
          <t>(B) 판관비 및 이익</t>
        </is>
      </c>
      <c r="B9" s="20" t="n">
        <v>4546</v>
      </c>
      <c r="C9" s="20" t="n">
        <v>8029</v>
      </c>
      <c r="D9" s="20" t="n">
        <v>8475</v>
      </c>
      <c r="E9" s="20" t="n">
        <v>11106</v>
      </c>
    </row>
    <row r="10">
      <c r="A10" s="13" t="inlineStr">
        <is>
          <t>(C) 제조장판매가</t>
        </is>
      </c>
      <c r="B10" s="15" t="n">
        <v>8000</v>
      </c>
      <c r="C10" s="15" t="n">
        <v>12000</v>
      </c>
      <c r="D10" s="15" t="n">
        <v>12000</v>
      </c>
      <c r="E10" s="15" t="n">
        <v>15000</v>
      </c>
    </row>
    <row r="13">
      <c r="A13" s="18" t="inlineStr">
        <is>
          <t>나. 증류식소주 (증류주류)</t>
        </is>
      </c>
    </row>
    <row r="14" ht="22" customHeight="1">
      <c r="A14" s="3" t="inlineStr">
        <is>
          <t>항목</t>
        </is>
      </c>
      <c r="B14" s="3" t="inlineStr">
        <is>
          <t>소주 375ml</t>
        </is>
      </c>
      <c r="C14" s="3" t="inlineStr">
        <is>
          <t>소주 500ml</t>
        </is>
      </c>
      <c r="D14" s="3" t="inlineStr"/>
      <c r="E14" s="4" t="n"/>
      <c r="F14" s="4" t="n"/>
      <c r="G14" s="5" t="n"/>
    </row>
    <row r="15">
      <c r="A15" s="7" t="inlineStr">
        <is>
          <t>① 직접재료비</t>
        </is>
      </c>
      <c r="B15" s="9" t="n">
        <v>1648</v>
      </c>
      <c r="C15" s="9" t="n">
        <v>2198</v>
      </c>
    </row>
    <row r="16">
      <c r="A16" s="7" t="inlineStr">
        <is>
          <t>② 직접부자재비</t>
        </is>
      </c>
      <c r="B16" s="9" t="n">
        <v>2420</v>
      </c>
      <c r="C16" s="9" t="n">
        <v>2420</v>
      </c>
    </row>
    <row r="17">
      <c r="A17" s="7" t="inlineStr">
        <is>
          <t>③ 제조경비</t>
        </is>
      </c>
      <c r="B17" s="9" t="n">
        <v>116</v>
      </c>
      <c r="C17" s="9" t="n">
        <v>155</v>
      </c>
    </row>
    <row r="18">
      <c r="A18" s="13" t="inlineStr">
        <is>
          <t>(A) 제조원가</t>
        </is>
      </c>
      <c r="B18" s="15" t="n">
        <v>4184</v>
      </c>
      <c r="C18" s="15" t="n">
        <v>4773</v>
      </c>
    </row>
    <row r="19">
      <c r="A19" s="19" t="inlineStr">
        <is>
          <t>(B) 판관비 및 이익</t>
        </is>
      </c>
      <c r="B19" s="20" t="n">
        <v>20816</v>
      </c>
      <c r="C19" s="20" t="n">
        <v>30227</v>
      </c>
    </row>
    <row r="20">
      <c r="A20" s="13" t="inlineStr">
        <is>
          <t>(C) 제조장판매가</t>
        </is>
      </c>
      <c r="B20" s="15" t="n">
        <v>25000</v>
      </c>
      <c r="C20" s="15" t="n">
        <v>35000</v>
      </c>
    </row>
  </sheetData>
  <mergeCells count="5">
    <mergeCell ref="F4:G4"/>
    <mergeCell ref="A13:G13"/>
    <mergeCell ref="A1:G1"/>
    <mergeCell ref="A3:G3"/>
    <mergeCell ref="D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 ht="26" customHeight="1">
      <c r="A1" s="10" t="inlineStr">
        <is>
          <t>주종별 산출세액 명세 (지역특산주 50% 감면 적용)</t>
        </is>
      </c>
    </row>
    <row r="3" ht="22" customHeight="1">
      <c r="A3" s="3" t="inlineStr">
        <is>
          <t>제품명</t>
        </is>
      </c>
      <c r="B3" s="3" t="inlineStr">
        <is>
          <t>규격</t>
        </is>
      </c>
      <c r="C3" s="3" t="inlineStr">
        <is>
          <t>제조장판매가</t>
        </is>
      </c>
      <c r="D3" s="3" t="inlineStr">
        <is>
          <t>주세(50%감면)</t>
        </is>
      </c>
      <c r="E3" s="3" t="inlineStr">
        <is>
          <t>교육세</t>
        </is>
      </c>
      <c r="F3" s="3" t="inlineStr">
        <is>
          <t>출고가격</t>
        </is>
      </c>
    </row>
    <row r="4">
      <c r="A4" s="7" t="inlineStr">
        <is>
          <t>월인가 국화주(탁주)</t>
        </is>
      </c>
      <c r="B4" s="7" t="inlineStr">
        <is>
          <t>500ml</t>
        </is>
      </c>
      <c r="C4" s="9" t="n">
        <v>8000</v>
      </c>
      <c r="D4" s="9" t="n">
        <v>11</v>
      </c>
      <c r="E4" s="9" t="n">
        <v>0</v>
      </c>
      <c r="F4" s="9" t="n">
        <v>8011</v>
      </c>
    </row>
    <row r="5">
      <c r="A5" s="7" t="inlineStr">
        <is>
          <t>월인가 국화주(탁주)</t>
        </is>
      </c>
      <c r="B5" s="7" t="inlineStr">
        <is>
          <t>750ml</t>
        </is>
      </c>
      <c r="C5" s="9" t="n">
        <v>12000</v>
      </c>
      <c r="D5" s="9" t="n">
        <v>17</v>
      </c>
      <c r="E5" s="9" t="n">
        <v>0</v>
      </c>
      <c r="F5" s="9" t="n">
        <v>12017</v>
      </c>
    </row>
    <row r="6">
      <c r="A6" s="7" t="inlineStr">
        <is>
          <t>월인가 국화주(약주)</t>
        </is>
      </c>
      <c r="B6" s="7" t="inlineStr">
        <is>
          <t>375ml</t>
        </is>
      </c>
      <c r="C6" s="9" t="n">
        <v>12000</v>
      </c>
      <c r="D6" s="9" t="n">
        <v>1800</v>
      </c>
      <c r="E6" s="9" t="n">
        <v>180</v>
      </c>
      <c r="F6" s="9" t="n">
        <v>13980</v>
      </c>
    </row>
    <row r="7">
      <c r="A7" s="7" t="inlineStr">
        <is>
          <t>월인가 국화주(약주)</t>
        </is>
      </c>
      <c r="B7" s="7" t="inlineStr">
        <is>
          <t>500ml</t>
        </is>
      </c>
      <c r="C7" s="9" t="n">
        <v>15000</v>
      </c>
      <c r="D7" s="9" t="n">
        <v>2250</v>
      </c>
      <c r="E7" s="9" t="n">
        <v>225</v>
      </c>
      <c r="F7" s="9" t="n">
        <v>17475</v>
      </c>
    </row>
    <row r="8">
      <c r="A8" s="7" t="inlineStr">
        <is>
          <t>월인가 사계주(소주)</t>
        </is>
      </c>
      <c r="B8" s="7" t="inlineStr">
        <is>
          <t>375ml</t>
        </is>
      </c>
      <c r="C8" s="9" t="n">
        <v>25000</v>
      </c>
      <c r="D8" s="9" t="n">
        <v>9000</v>
      </c>
      <c r="E8" s="9" t="n">
        <v>2700</v>
      </c>
      <c r="F8" s="9" t="n">
        <v>36700</v>
      </c>
    </row>
    <row r="9">
      <c r="A9" s="7" t="inlineStr">
        <is>
          <t>월인가 사계주(소주)</t>
        </is>
      </c>
      <c r="B9" s="7" t="inlineStr">
        <is>
          <t>500ml</t>
        </is>
      </c>
      <c r="C9" s="9" t="n">
        <v>35000</v>
      </c>
      <c r="D9" s="9" t="n">
        <v>12600</v>
      </c>
      <c r="E9" s="9" t="n">
        <v>3780</v>
      </c>
      <c r="F9" s="9" t="n">
        <v>51380</v>
      </c>
    </row>
    <row r="11">
      <c r="A11" s="17" t="inlineStr">
        <is>
          <t>「주세법」 제19조 및 동법 시행령에 따라 산출 / 농업경영체로서 50% 감면 적용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0" t="inlineStr">
        <is>
          <t>마진·수익성 분석 (재무 매니저)</t>
        </is>
      </c>
    </row>
    <row r="3" ht="22" customHeight="1">
      <c r="A3" s="3" t="inlineStr">
        <is>
          <t>SKU</t>
        </is>
      </c>
      <c r="B3" s="3" t="inlineStr">
        <is>
          <t>제조원가</t>
        </is>
      </c>
      <c r="C3" s="3" t="inlineStr">
        <is>
          <t>판매가</t>
        </is>
      </c>
      <c r="D3" s="3" t="inlineStr">
        <is>
          <t>판관·이익</t>
        </is>
      </c>
      <c r="E3" s="3" t="inlineStr">
        <is>
          <t>마진율</t>
        </is>
      </c>
      <c r="F3" s="3" t="inlineStr">
        <is>
          <t>이익/원가비</t>
        </is>
      </c>
      <c r="G3" s="3" t="inlineStr">
        <is>
          <t>비고</t>
        </is>
      </c>
    </row>
    <row r="4">
      <c r="A4" s="7" t="inlineStr">
        <is>
          <t>탁주 500ml</t>
        </is>
      </c>
      <c r="B4" s="9" t="n">
        <v>3454</v>
      </c>
      <c r="C4" s="9" t="n">
        <v>8000</v>
      </c>
      <c r="D4" s="9" t="n">
        <v>4546</v>
      </c>
      <c r="E4" s="21" t="n">
        <v>0.56825</v>
      </c>
      <c r="F4" s="22" t="n">
        <v>1.316155182397221</v>
      </c>
      <c r="G4" s="23" t="inlineStr">
        <is>
          <t>마진율 가장 박함</t>
        </is>
      </c>
    </row>
    <row r="5">
      <c r="A5" s="7" t="inlineStr">
        <is>
          <t>탁주 750ml</t>
        </is>
      </c>
      <c r="B5" s="9" t="n">
        <v>3971</v>
      </c>
      <c r="C5" s="9" t="n">
        <v>12000</v>
      </c>
      <c r="D5" s="9" t="n">
        <v>8029</v>
      </c>
      <c r="E5" s="21" t="n">
        <v>0.6690833333333334</v>
      </c>
      <c r="F5" s="22" t="n">
        <v>2.021908839083354</v>
      </c>
      <c r="G5" s="23" t="inlineStr">
        <is>
          <t>큰 용량이 마진율 더 높음</t>
        </is>
      </c>
    </row>
    <row r="6">
      <c r="A6" s="7" t="inlineStr">
        <is>
          <t>약주 375ml</t>
        </is>
      </c>
      <c r="B6" s="9" t="n">
        <v>3525</v>
      </c>
      <c r="C6" s="9" t="n">
        <v>12000</v>
      </c>
      <c r="D6" s="9" t="n">
        <v>8475</v>
      </c>
      <c r="E6" s="21" t="n">
        <v>0.70625</v>
      </c>
      <c r="F6" s="22" t="n">
        <v>2.404255319148936</v>
      </c>
      <c r="G6" s="23" t="inlineStr">
        <is>
          <t>도수 대비 마진 양호</t>
        </is>
      </c>
    </row>
    <row r="7">
      <c r="A7" s="7" t="inlineStr">
        <is>
          <t>약주 500ml</t>
        </is>
      </c>
      <c r="B7" s="9" t="n">
        <v>3894</v>
      </c>
      <c r="C7" s="9" t="n">
        <v>15000</v>
      </c>
      <c r="D7" s="9" t="n">
        <v>11106</v>
      </c>
      <c r="E7" s="21" t="n">
        <v>0.7403999999999999</v>
      </c>
      <c r="F7" s="22" t="n">
        <v>2.852080123266564</v>
      </c>
      <c r="G7" s="23" t="inlineStr">
        <is>
          <t>약주 라인 최고 마진</t>
        </is>
      </c>
    </row>
    <row r="8">
      <c r="A8" s="7" t="inlineStr">
        <is>
          <t>소주 375ml</t>
        </is>
      </c>
      <c r="B8" s="9" t="n">
        <v>4184</v>
      </c>
      <c r="C8" s="9" t="n">
        <v>25000</v>
      </c>
      <c r="D8" s="9" t="n">
        <v>20816</v>
      </c>
      <c r="E8" s="21" t="n">
        <v>0.83264</v>
      </c>
      <c r="F8" s="22" t="n">
        <v>4.975143403441683</v>
      </c>
      <c r="G8" s="23" t="inlineStr">
        <is>
          <t>증류주 시그니처</t>
        </is>
      </c>
    </row>
    <row r="9">
      <c r="A9" s="7" t="inlineStr">
        <is>
          <t>소주 500ml</t>
        </is>
      </c>
      <c r="B9" s="9" t="n">
        <v>4773</v>
      </c>
      <c r="C9" s="9" t="n">
        <v>35000</v>
      </c>
      <c r="D9" s="9" t="n">
        <v>30227</v>
      </c>
      <c r="E9" s="21" t="n">
        <v>0.8636285714285714</v>
      </c>
      <c r="F9" s="22" t="n">
        <v>6.332914309658496</v>
      </c>
      <c r="G9" s="23" t="inlineStr">
        <is>
          <t>전 제품 최고 절대 이익</t>
        </is>
      </c>
    </row>
    <row r="12">
      <c r="A12" s="8" t="inlineStr">
        <is>
          <t>📌 핵심 인사이트</t>
        </is>
      </c>
    </row>
    <row r="13" ht="22" customHeight="1">
      <c r="A13" s="24" t="inlineStr">
        <is>
          <t>1. 부자재(병당 1,620원)가 직접재료비보다 큼 — 용기 단가 협상이 단일 최대 비용 절감 레버리지</t>
        </is>
      </c>
    </row>
    <row r="14" ht="22" customHeight="1">
      <c r="A14" s="24" t="inlineStr">
        <is>
          <t>2. 탁주는 마진율 56% 수준으로 가장 박함 — 양적 회전 채널(체험·세트·B2B) 결합 필요</t>
        </is>
      </c>
    </row>
    <row r="15" ht="22" customHeight="1">
      <c r="A15" s="24" t="inlineStr">
        <is>
          <t>3. 약주·소주는 마진 충분 — 프리미엄 콘텐츠·기프트 세트로 ASP 유지 전략 권장</t>
        </is>
      </c>
    </row>
    <row r="16" ht="22" customHeight="1">
      <c r="A16" s="24" t="inlineStr">
        <is>
          <t>4. 지역특산주 50% 주세 감면 = 큰 경쟁력 — 농업경영체 자격·천안 농산물 비중 유지가 사업의 토대</t>
        </is>
      </c>
    </row>
    <row r="17" ht="22" customHeight="1">
      <c r="A17" s="24" t="inlineStr">
        <is>
          <t>5. 6종 동시 운영 — 채널·시즌별 SKU 전략 분리 권장 (예: 탁주=오프라인 회전, 약주=D2C 메인, 소주=프리미엄 기프트)</t>
        </is>
      </c>
    </row>
  </sheetData>
  <mergeCells count="7">
    <mergeCell ref="A13:G13"/>
    <mergeCell ref="A14:G14"/>
    <mergeCell ref="A1:G1"/>
    <mergeCell ref="A17:G17"/>
    <mergeCell ref="A12:G12"/>
    <mergeCell ref="A16:G16"/>
    <mergeCell ref="A15:G15"/>
  </mergeCells>
  <conditionalFormatting sqref="E4:E9">
    <cfRule type="colorScale" priority="1">
      <colorScale>
        <cfvo type="min"/>
        <cfvo type="percentile" val="50"/>
        <cfvo type="max"/>
        <color rgb="00FFE4B5"/>
        <color rgb="00FFD580"/>
        <color rgb="00D6A458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36" customWidth="1" min="4" max="4"/>
  </cols>
  <sheetData>
    <row r="1" ht="26" customHeight="1">
      <c r="A1" s="10" t="inlineStr">
        <is>
          <t>26년 진행 중 갱신 필요 항목 체크리스트</t>
        </is>
      </c>
    </row>
    <row r="3" ht="22" customHeight="1">
      <c r="A3" s="3" t="inlineStr">
        <is>
          <t>항목</t>
        </is>
      </c>
      <c r="B3" s="3" t="inlineStr">
        <is>
          <t>현재 값</t>
        </is>
      </c>
      <c r="C3" s="3" t="inlineStr">
        <is>
          <t>갱신 주기</t>
        </is>
      </c>
      <c r="D3" s="3" t="inlineStr">
        <is>
          <t>갱신 트리거</t>
        </is>
      </c>
    </row>
    <row r="4">
      <c r="A4" s="7" t="inlineStr">
        <is>
          <t>멥쌀 단가</t>
        </is>
      </c>
      <c r="B4" s="7" t="inlineStr">
        <is>
          <t>3,750원/kg</t>
        </is>
      </c>
      <c r="C4" s="7" t="inlineStr">
        <is>
          <t>분기</t>
        </is>
      </c>
      <c r="D4" s="7" t="inlineStr">
        <is>
          <t>벼 작황·계약가 변동 시</t>
        </is>
      </c>
    </row>
    <row r="5">
      <c r="A5" s="7" t="inlineStr">
        <is>
          <t>찹쌀 단가</t>
        </is>
      </c>
      <c r="B5" s="7" t="inlineStr">
        <is>
          <t>4,375원/kg</t>
        </is>
      </c>
      <c r="C5" s="7" t="inlineStr">
        <is>
          <t>분기</t>
        </is>
      </c>
      <c r="D5" s="7" t="inlineStr">
        <is>
          <t>계약 농가 단가 변동 시</t>
        </is>
      </c>
    </row>
    <row r="6">
      <c r="A6" s="7" t="inlineStr">
        <is>
          <t>누룩 단가</t>
        </is>
      </c>
      <c r="B6" s="7" t="inlineStr">
        <is>
          <t>3,000원/kg</t>
        </is>
      </c>
      <c r="C6" s="7" t="inlineStr">
        <is>
          <t>반기</t>
        </is>
      </c>
      <c r="D6" s="7" t="inlineStr">
        <is>
          <t>공급처 변경 시</t>
        </is>
      </c>
    </row>
    <row r="7">
      <c r="A7" s="7" t="inlineStr">
        <is>
          <t>병(부자재) 단가</t>
        </is>
      </c>
      <c r="B7" s="7" t="inlineStr">
        <is>
          <t>1,620원/병</t>
        </is>
      </c>
      <c r="C7" s="7" t="inlineStr">
        <is>
          <t>반기</t>
        </is>
      </c>
      <c r="D7" s="7" t="inlineStr">
        <is>
          <t>용기 사양·공급처 변경 시</t>
        </is>
      </c>
    </row>
    <row r="8">
      <c r="A8" s="7" t="inlineStr">
        <is>
          <t>월 평균 제조경비</t>
        </is>
      </c>
      <c r="B8" s="7" t="inlineStr">
        <is>
          <t>340,000원/월</t>
        </is>
      </c>
      <c r="C8" s="7" t="inlineStr">
        <is>
          <t>분기</t>
        </is>
      </c>
      <c r="D8" s="7" t="inlineStr">
        <is>
          <t>공과금 상승·생산량 변경 시</t>
        </is>
      </c>
    </row>
    <row r="9">
      <c r="A9" s="7" t="inlineStr">
        <is>
          <t>월 예정 생산량</t>
        </is>
      </c>
      <c r="B9" s="7" t="inlineStr">
        <is>
          <t>1,100L/월</t>
        </is>
      </c>
      <c r="C9" s="7" t="inlineStr">
        <is>
          <t>반기</t>
        </is>
      </c>
      <c r="D9" s="7" t="inlineStr">
        <is>
          <t>수요 증가·라인 확장 시</t>
        </is>
      </c>
    </row>
    <row r="10">
      <c r="A10" s="7" t="inlineStr">
        <is>
          <t>판관비·이익 구조</t>
        </is>
      </c>
      <c r="B10" s="7" t="inlineStr">
        <is>
          <t>각 SKU별 상이</t>
        </is>
      </c>
      <c r="C10" s="7" t="inlineStr">
        <is>
          <t>연 1회</t>
        </is>
      </c>
      <c r="D10" s="7" t="inlineStr">
        <is>
          <t>가격 인상·시장 재포지셔닝 시</t>
        </is>
      </c>
    </row>
    <row r="11">
      <c r="A11" s="7" t="inlineStr">
        <is>
          <t>주세율 (감면 적용)</t>
        </is>
      </c>
      <c r="B11" s="7" t="inlineStr">
        <is>
          <t>50% 감면</t>
        </is>
      </c>
      <c r="C11" s="7" t="inlineStr">
        <is>
          <t>연 1회</t>
        </is>
      </c>
      <c r="D11" s="7" t="inlineStr">
        <is>
          <t>법령·자격 변경 시 즉시</t>
        </is>
      </c>
    </row>
    <row r="12">
      <c r="A12" s="7" t="inlineStr">
        <is>
          <t>교육세</t>
        </is>
      </c>
      <c r="B12" s="7" t="inlineStr">
        <is>
          <t>주세의 30%</t>
        </is>
      </c>
      <c r="C12" s="7" t="inlineStr">
        <is>
          <t>법령 변경 시</t>
        </is>
      </c>
      <c r="D12" s="7" t="inlineStr">
        <is>
          <t>법령 개정 시</t>
        </is>
      </c>
    </row>
    <row r="13">
      <c r="A13" s="7" t="inlineStr">
        <is>
          <t>신규 SKU 추가</t>
        </is>
      </c>
      <c r="B13" s="7" t="inlineStr">
        <is>
          <t>—</t>
        </is>
      </c>
      <c r="C13" s="7" t="inlineStr">
        <is>
          <t>출시 시점</t>
        </is>
      </c>
      <c r="D13" s="7" t="inlineStr">
        <is>
          <t>신제품 신고 직전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2026-05-09T04:33:01Z</dcterms:created>
  <dcterms:modified xmlns:dcterms="http://purl.org/dc/terms/" xmlns:xsi="http://www.w3.org/2001/XMLSchema-instance" xsi:type="dcterms:W3CDTF">2026-05-09T04:33:01Z</dcterms:modified>
</cp:coreProperties>
</file>