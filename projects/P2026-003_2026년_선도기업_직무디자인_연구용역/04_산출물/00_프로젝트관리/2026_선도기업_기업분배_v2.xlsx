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6553f64e91d015d/vrin_AI_hub/projects/P2026-003_2026년_선도기업_직무디자인_연구용역/outputs/"/>
    </mc:Choice>
  </mc:AlternateContent>
  <xr:revisionPtr revIDLastSave="83" documentId="11_B209B27A88A8DB422A0C114460AD94748B197A1C" xr6:coauthVersionLast="47" xr6:coauthVersionMax="47" xr10:uidLastSave="{C3DDB200-0DE1-4FFE-8E88-B21F959B3D04}"/>
  <bookViews>
    <workbookView xWindow="-98" yWindow="-98" windowWidth="21795" windowHeight="12975" xr2:uid="{00000000-000D-0000-FFFF-FFFF00000000}"/>
  </bookViews>
  <sheets>
    <sheet name="기업현황 종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I13" i="1"/>
  <c r="H13" i="1"/>
  <c r="G13" i="1"/>
</calcChain>
</file>

<file path=xl/sharedStrings.xml><?xml version="1.0" encoding="utf-8"?>
<sst xmlns="http://schemas.openxmlformats.org/spreadsheetml/2006/main" count="114" uniqueCount="81">
  <si>
    <t>2026년 선도기업 전략직종 직무개발 - 참여기업 현황 종합</t>
  </si>
  <si>
    <t>기업명 가나다순 | 기준일: 2026.04.15 | 대우인력경영컨설팅 HR솔루션팀</t>
  </si>
  <si>
    <t>No</t>
  </si>
  <si>
    <t>기업명</t>
  </si>
  <si>
    <t>기업형태</t>
  </si>
  <si>
    <t>업종</t>
  </si>
  <si>
    <t>소재지(본사)</t>
  </si>
  <si>
    <t>기업규모</t>
  </si>
  <si>
    <t>상시
근로자수</t>
  </si>
  <si>
    <t>장애인
근로자</t>
  </si>
  <si>
    <t>장애인고용률
(2배수)</t>
  </si>
  <si>
    <t>고용
예정인원</t>
  </si>
  <si>
    <t>채용시기</t>
  </si>
  <si>
    <t>신청사유</t>
  </si>
  <si>
    <t>Main
컨설턴트</t>
  </si>
  <si>
    <t>Sub
컨설턴트</t>
  </si>
  <si>
    <t>성불복지회</t>
  </si>
  <si>
    <t>사회복지법인</t>
  </si>
  <si>
    <t>사회복지사업</t>
  </si>
  <si>
    <t>300~1,000인</t>
  </si>
  <si>
    <t>수시</t>
  </si>
  <si>
    <t>적합직무 부족</t>
  </si>
  <si>
    <t>어보브반도체㈜</t>
  </si>
  <si>
    <t>민간기업</t>
  </si>
  <si>
    <t>반도체제조
(MCU 설계)</t>
  </si>
  <si>
    <t>300인 미만</t>
  </si>
  <si>
    <t>'26 상반기</t>
  </si>
  <si>
    <t>장애인력 부족</t>
  </si>
  <si>
    <t>오티스서비스엑스퍼트</t>
  </si>
  <si>
    <t>승강기
유지보수</t>
  </si>
  <si>
    <t>연중 상시</t>
  </si>
  <si>
    <t>적합직무 부족
장애인력 부족</t>
  </si>
  <si>
    <t>인천국제공항보안㈜</t>
  </si>
  <si>
    <t>특수경비
(보안검색)</t>
  </si>
  <si>
    <t>1,000인 이상</t>
  </si>
  <si>
    <t>2·3·4분기</t>
  </si>
  <si>
    <t>자동차손해배상진흥원</t>
  </si>
  <si>
    <t>공공기관</t>
  </si>
  <si>
    <t>정책연구
기금운용</t>
  </si>
  <si>
    <t>즉시 채용</t>
  </si>
  <si>
    <t>적합직무 부족
장애인력 부족
고용노하우 부족</t>
  </si>
  <si>
    <t>케이블설치
(방송통신)</t>
  </si>
  <si>
    <t>'26년 상시</t>
  </si>
  <si>
    <t>국제교류
(공공외교)</t>
  </si>
  <si>
    <t>'26년 3/4분기</t>
  </si>
  <si>
    <t>환경
엔지니어링</t>
  </si>
  <si>
    <t>'26년 하반기</t>
  </si>
  <si>
    <t>합계 / 평균</t>
  </si>
  <si>
    <t>희망직무분야</t>
    <phoneticPr fontId="7" type="noConversion"/>
  </si>
  <si>
    <t>IT/AI 활용
사무분야</t>
  </si>
  <si>
    <t>사업분야 관련
맞춤형 직무</t>
  </si>
  <si>
    <t>AI·디지털 활용
ESG경영
해양환경교육</t>
  </si>
  <si>
    <t>안정적 장애인
고용직무</t>
  </si>
  <si>
    <t>사무/행정 지원
고객응대 보조</t>
  </si>
  <si>
    <t>승강기 유지보수
기술자 또는 Admin</t>
  </si>
  <si>
    <t>일본어 매뉴얼
번역(영→일)</t>
  </si>
  <si>
    <t>국제교류 사무행정
AI 활용 직무</t>
  </si>
  <si>
    <t>이석주</t>
    <phoneticPr fontId="7" type="noConversion"/>
  </si>
  <si>
    <t>조예슬</t>
    <phoneticPr fontId="7" type="noConversion"/>
  </si>
  <si>
    <t>황다원</t>
    <phoneticPr fontId="7" type="noConversion"/>
  </si>
  <si>
    <t>유승현</t>
    <phoneticPr fontId="7" type="noConversion"/>
  </si>
  <si>
    <t>안은하</t>
    <phoneticPr fontId="7" type="noConversion"/>
  </si>
  <si>
    <t>허상희</t>
    <phoneticPr fontId="7" type="noConversion"/>
  </si>
  <si>
    <t>이수연</t>
    <phoneticPr fontId="7" type="noConversion"/>
  </si>
  <si>
    <t>컨설팅 포인트</t>
    <phoneticPr fontId="7" type="noConversion"/>
  </si>
  <si>
    <t>14개 산하기관 대상 표준모델
부담금 88백만→절감 시급</t>
  </si>
  <si>
    <t>현장→사무 전환 가능 직무 발굴
IT분야 전문인력 채용 연계</t>
  </si>
  <si>
    <t>경비업법 제약 우회 직무 필수
의무고용 격차 매우 큼(104명)</t>
  </si>
  <si>
    <t>25년 개별컨설팅 후속 사업
경력개발계획(CDP) 연계</t>
  </si>
  <si>
    <t>공공기관 신규지정 → 모범사례
8명 즉시 채용 의지 높음</t>
  </si>
  <si>
    <t>현장직 중심 → 사무/기술지원
다양성 가치 강조 기업문화</t>
  </si>
  <si>
    <t>구체적 희망직무 명확
1~2명 소규모 → 집중 컨설팅</t>
  </si>
  <si>
    <t>장애인 인식개선 선도기관
제주 소재 근무환경 고려</t>
  </si>
  <si>
    <t>케이티서비스남부</t>
    <phoneticPr fontId="7" type="noConversion"/>
  </si>
  <si>
    <t>한국국제교류재단</t>
    <phoneticPr fontId="7" type="noConversion"/>
  </si>
  <si>
    <t>대전</t>
    <phoneticPr fontId="7" type="noConversion"/>
  </si>
  <si>
    <t>제주</t>
    <phoneticPr fontId="7" type="noConversion"/>
  </si>
  <si>
    <t>서울</t>
    <phoneticPr fontId="7" type="noConversion"/>
  </si>
  <si>
    <t>인천</t>
    <phoneticPr fontId="7" type="noConversion"/>
  </si>
  <si>
    <t>원주</t>
    <phoneticPr fontId="7" type="noConversion"/>
  </si>
  <si>
    <t>해양환경공단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</si>
</sst>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sz val="9"/>
      <color rgb="FF666666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1F4E79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B4C6E7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3" fontId="6" fillId="3" borderId="1" xfId="0" applyNumberFormat="1" applyFont="1" applyFill="1" applyBorder="1" applyAlignment="1">
      <alignment horizontal="center" vertical="center" wrapText="1"/>
    </xf>
    <xf numFmtId="2" fontId="6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zoomScale="85" zoomScaleNormal="85" workbookViewId="0">
      <selection sqref="A1:O1"/>
    </sheetView>
  </sheetViews>
  <sheetFormatPr defaultRowHeight="16.899999999999999" x14ac:dyDescent="0.6"/>
  <cols>
    <col min="1" max="1" width="4" style="10" customWidth="1"/>
    <col min="2" max="2" width="18.6875" style="10" bestFit="1" customWidth="1"/>
    <col min="3" max="3" width="11.5625" style="10" hidden="1" customWidth="1"/>
    <col min="4" max="4" width="11.5625" style="10" bestFit="1" customWidth="1"/>
    <col min="5" max="5" width="11.75" style="10" bestFit="1" customWidth="1"/>
    <col min="6" max="6" width="13" style="10" customWidth="1"/>
    <col min="7" max="7" width="10" style="10" customWidth="1"/>
    <col min="8" max="8" width="9" style="10" customWidth="1"/>
    <col min="9" max="9" width="12" style="10" customWidth="1"/>
    <col min="10" max="10" width="8" style="10" customWidth="1"/>
    <col min="11" max="11" width="11" style="10" customWidth="1"/>
    <col min="12" max="13" width="16" style="10" customWidth="1"/>
    <col min="14" max="15" width="14" style="10" customWidth="1"/>
    <col min="16" max="16" width="27.0625" style="10" bestFit="1" customWidth="1"/>
    <col min="17" max="16384" width="9" style="10"/>
  </cols>
  <sheetData>
    <row r="1" spans="1:18" x14ac:dyDescent="0.6">
      <c r="A1" s="14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8" x14ac:dyDescent="0.6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4" spans="1:18" ht="33.75" x14ac:dyDescent="0.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48</v>
      </c>
      <c r="N4" s="1" t="s">
        <v>14</v>
      </c>
      <c r="O4" s="1" t="s">
        <v>15</v>
      </c>
      <c r="P4" s="1" t="s">
        <v>64</v>
      </c>
    </row>
    <row r="5" spans="1:18" ht="46.5" customHeight="1" x14ac:dyDescent="0.6">
      <c r="A5" s="5">
        <v>1</v>
      </c>
      <c r="B5" s="5" t="s">
        <v>16</v>
      </c>
      <c r="C5" s="5" t="s">
        <v>17</v>
      </c>
      <c r="D5" s="5" t="s">
        <v>18</v>
      </c>
      <c r="E5" s="5" t="s">
        <v>79</v>
      </c>
      <c r="F5" s="5" t="s">
        <v>19</v>
      </c>
      <c r="G5" s="6">
        <v>549</v>
      </c>
      <c r="H5" s="5">
        <v>3</v>
      </c>
      <c r="I5" s="7">
        <v>0.54</v>
      </c>
      <c r="J5" s="5">
        <v>14</v>
      </c>
      <c r="K5" s="5" t="s">
        <v>20</v>
      </c>
      <c r="L5" s="5" t="s">
        <v>21</v>
      </c>
      <c r="M5" s="5" t="s">
        <v>52</v>
      </c>
      <c r="N5" s="9" t="s">
        <v>59</v>
      </c>
      <c r="O5" s="9" t="s">
        <v>61</v>
      </c>
      <c r="P5" s="8" t="s">
        <v>65</v>
      </c>
      <c r="R5" s="10" t="s">
        <v>57</v>
      </c>
    </row>
    <row r="6" spans="1:18" ht="46.5" customHeight="1" x14ac:dyDescent="0.6">
      <c r="A6" s="5">
        <v>2</v>
      </c>
      <c r="B6" s="5" t="s">
        <v>22</v>
      </c>
      <c r="C6" s="5" t="s">
        <v>23</v>
      </c>
      <c r="D6" s="5" t="s">
        <v>24</v>
      </c>
      <c r="E6" s="5" t="s">
        <v>77</v>
      </c>
      <c r="F6" s="5" t="s">
        <v>25</v>
      </c>
      <c r="G6" s="6">
        <v>220</v>
      </c>
      <c r="H6" s="5">
        <v>2</v>
      </c>
      <c r="I6" s="7">
        <v>0.9</v>
      </c>
      <c r="J6" s="5">
        <v>2</v>
      </c>
      <c r="K6" s="5" t="s">
        <v>26</v>
      </c>
      <c r="L6" s="5" t="s">
        <v>27</v>
      </c>
      <c r="M6" s="5" t="s">
        <v>55</v>
      </c>
      <c r="N6" s="9" t="s">
        <v>59</v>
      </c>
      <c r="O6" s="9" t="s">
        <v>61</v>
      </c>
      <c r="P6" s="8" t="s">
        <v>71</v>
      </c>
      <c r="R6" s="10" t="s">
        <v>58</v>
      </c>
    </row>
    <row r="7" spans="1:18" ht="46.5" customHeight="1" x14ac:dyDescent="0.6">
      <c r="A7" s="5">
        <v>3</v>
      </c>
      <c r="B7" s="5" t="s">
        <v>28</v>
      </c>
      <c r="C7" s="5" t="s">
        <v>23</v>
      </c>
      <c r="D7" s="5" t="s">
        <v>29</v>
      </c>
      <c r="E7" s="5" t="s">
        <v>77</v>
      </c>
      <c r="F7" s="5" t="s">
        <v>19</v>
      </c>
      <c r="G7" s="6">
        <v>558</v>
      </c>
      <c r="H7" s="5">
        <v>2</v>
      </c>
      <c r="I7" s="7">
        <v>0.35</v>
      </c>
      <c r="J7" s="5">
        <v>3</v>
      </c>
      <c r="K7" s="5" t="s">
        <v>30</v>
      </c>
      <c r="L7" s="5" t="s">
        <v>31</v>
      </c>
      <c r="M7" s="5" t="s">
        <v>54</v>
      </c>
      <c r="N7" s="9" t="s">
        <v>60</v>
      </c>
      <c r="O7" s="9" t="s">
        <v>61</v>
      </c>
      <c r="P7" s="8" t="s">
        <v>70</v>
      </c>
      <c r="R7" s="10" t="s">
        <v>59</v>
      </c>
    </row>
    <row r="8" spans="1:18" ht="46.5" customHeight="1" x14ac:dyDescent="0.6">
      <c r="A8" s="5">
        <v>4</v>
      </c>
      <c r="B8" s="5" t="s">
        <v>32</v>
      </c>
      <c r="C8" s="5" t="s">
        <v>23</v>
      </c>
      <c r="D8" s="5" t="s">
        <v>33</v>
      </c>
      <c r="E8" s="5" t="s">
        <v>78</v>
      </c>
      <c r="F8" s="5" t="s">
        <v>34</v>
      </c>
      <c r="G8" s="6">
        <v>3794</v>
      </c>
      <c r="H8" s="5">
        <v>10</v>
      </c>
      <c r="I8" s="7">
        <v>0.21</v>
      </c>
      <c r="J8" s="5">
        <v>6</v>
      </c>
      <c r="K8" s="5" t="s">
        <v>35</v>
      </c>
      <c r="L8" s="5" t="s">
        <v>31</v>
      </c>
      <c r="M8" s="5" t="s">
        <v>50</v>
      </c>
      <c r="N8" s="9" t="s">
        <v>57</v>
      </c>
      <c r="O8" s="9" t="s">
        <v>62</v>
      </c>
      <c r="P8" s="8" t="s">
        <v>67</v>
      </c>
      <c r="R8" s="10" t="s">
        <v>60</v>
      </c>
    </row>
    <row r="9" spans="1:18" ht="46.5" customHeight="1" x14ac:dyDescent="0.6">
      <c r="A9" s="5">
        <v>5</v>
      </c>
      <c r="B9" s="5" t="s">
        <v>36</v>
      </c>
      <c r="C9" s="5" t="s">
        <v>37</v>
      </c>
      <c r="D9" s="5" t="s">
        <v>38</v>
      </c>
      <c r="E9" s="5" t="s">
        <v>77</v>
      </c>
      <c r="F9" s="5" t="s">
        <v>25</v>
      </c>
      <c r="G9" s="6">
        <v>104</v>
      </c>
      <c r="H9" s="5">
        <v>1</v>
      </c>
      <c r="I9" s="7">
        <v>0.96</v>
      </c>
      <c r="J9" s="5">
        <v>8</v>
      </c>
      <c r="K9" s="5" t="s">
        <v>39</v>
      </c>
      <c r="L9" s="5" t="s">
        <v>40</v>
      </c>
      <c r="M9" s="5" t="s">
        <v>53</v>
      </c>
      <c r="N9" s="9" t="s">
        <v>58</v>
      </c>
      <c r="O9" s="9" t="s">
        <v>62</v>
      </c>
      <c r="P9" s="8" t="s">
        <v>69</v>
      </c>
      <c r="R9" s="10" t="s">
        <v>61</v>
      </c>
    </row>
    <row r="10" spans="1:18" ht="46.5" customHeight="1" x14ac:dyDescent="0.6">
      <c r="A10" s="5">
        <v>6</v>
      </c>
      <c r="B10" s="5" t="s">
        <v>73</v>
      </c>
      <c r="C10" s="5" t="s">
        <v>23</v>
      </c>
      <c r="D10" s="5" t="s">
        <v>41</v>
      </c>
      <c r="E10" s="5" t="s">
        <v>75</v>
      </c>
      <c r="F10" s="5" t="s">
        <v>34</v>
      </c>
      <c r="G10" s="6">
        <v>2180</v>
      </c>
      <c r="H10" s="5">
        <v>52</v>
      </c>
      <c r="I10" s="7">
        <v>2.7</v>
      </c>
      <c r="J10" s="5">
        <v>15</v>
      </c>
      <c r="K10" s="5" t="s">
        <v>42</v>
      </c>
      <c r="L10" s="5" t="s">
        <v>40</v>
      </c>
      <c r="M10" s="5" t="s">
        <v>49</v>
      </c>
      <c r="N10" s="9" t="s">
        <v>58</v>
      </c>
      <c r="O10" s="9" t="s">
        <v>62</v>
      </c>
      <c r="P10" s="8" t="s">
        <v>66</v>
      </c>
      <c r="R10" s="10" t="s">
        <v>62</v>
      </c>
    </row>
    <row r="11" spans="1:18" ht="46.5" customHeight="1" x14ac:dyDescent="0.6">
      <c r="A11" s="5">
        <v>7</v>
      </c>
      <c r="B11" s="5" t="s">
        <v>74</v>
      </c>
      <c r="C11" s="5" t="s">
        <v>37</v>
      </c>
      <c r="D11" s="5" t="s">
        <v>43</v>
      </c>
      <c r="E11" s="5" t="s">
        <v>76</v>
      </c>
      <c r="F11" s="5" t="s">
        <v>25</v>
      </c>
      <c r="G11" s="6">
        <v>144</v>
      </c>
      <c r="H11" s="5">
        <v>3</v>
      </c>
      <c r="I11" s="7">
        <v>4.16</v>
      </c>
      <c r="J11" s="5">
        <v>2</v>
      </c>
      <c r="K11" s="5" t="s">
        <v>44</v>
      </c>
      <c r="L11" s="5" t="s">
        <v>31</v>
      </c>
      <c r="M11" s="5" t="s">
        <v>56</v>
      </c>
      <c r="N11" s="9" t="s">
        <v>57</v>
      </c>
      <c r="O11" s="9" t="s">
        <v>62</v>
      </c>
      <c r="P11" s="8" t="s">
        <v>72</v>
      </c>
      <c r="R11" s="10" t="s">
        <v>63</v>
      </c>
    </row>
    <row r="12" spans="1:18" ht="46.5" customHeight="1" x14ac:dyDescent="0.6">
      <c r="A12" s="5">
        <v>8</v>
      </c>
      <c r="B12" s="5" t="s">
        <v>80</v>
      </c>
      <c r="C12" s="5" t="s">
        <v>37</v>
      </c>
      <c r="D12" s="5" t="s">
        <v>45</v>
      </c>
      <c r="E12" s="5" t="s">
        <v>77</v>
      </c>
      <c r="F12" s="5" t="s">
        <v>19</v>
      </c>
      <c r="G12" s="6">
        <v>725</v>
      </c>
      <c r="H12" s="5">
        <v>29</v>
      </c>
      <c r="I12" s="7">
        <v>5.79</v>
      </c>
      <c r="J12" s="5">
        <v>2</v>
      </c>
      <c r="K12" s="5" t="s">
        <v>46</v>
      </c>
      <c r="L12" s="5" t="s">
        <v>21</v>
      </c>
      <c r="M12" s="5" t="s">
        <v>51</v>
      </c>
      <c r="N12" s="9" t="s">
        <v>61</v>
      </c>
      <c r="O12" s="9" t="s">
        <v>61</v>
      </c>
      <c r="P12" s="8" t="s">
        <v>68</v>
      </c>
    </row>
    <row r="13" spans="1:18" x14ac:dyDescent="0.6">
      <c r="A13" s="13" t="s">
        <v>47</v>
      </c>
      <c r="B13" s="13"/>
      <c r="C13" s="13"/>
      <c r="D13" s="13"/>
      <c r="E13" s="13"/>
      <c r="F13" s="2"/>
      <c r="G13" s="3">
        <f>SUM(G5:G12)</f>
        <v>8274</v>
      </c>
      <c r="H13" s="2">
        <f>SUM(H5:H12)</f>
        <v>102</v>
      </c>
      <c r="I13" s="4">
        <f>AVERAGE(I5:I12)</f>
        <v>1.9512499999999999</v>
      </c>
      <c r="J13" s="2">
        <f>SUM(J5:J12)</f>
        <v>52</v>
      </c>
      <c r="K13" s="2"/>
      <c r="L13" s="2"/>
      <c r="M13" s="2"/>
      <c r="N13" s="2"/>
      <c r="O13" s="2"/>
      <c r="P13" s="2"/>
    </row>
  </sheetData>
  <mergeCells count="3">
    <mergeCell ref="A2:O2"/>
    <mergeCell ref="A13:E13"/>
    <mergeCell ref="A1:O1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기업현황 종합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석주 이</cp:lastModifiedBy>
  <dcterms:created xsi:type="dcterms:W3CDTF">2026-04-15T04:37:14Z</dcterms:created>
  <dcterms:modified xsi:type="dcterms:W3CDTF">2026-04-17T02:24:46Z</dcterms:modified>
</cp:coreProperties>
</file>