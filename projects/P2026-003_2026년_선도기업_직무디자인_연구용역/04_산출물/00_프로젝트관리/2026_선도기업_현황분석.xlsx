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"/>
    </mc:Choice>
  </mc:AlternateContent>
  <xr:revisionPtr revIDLastSave="5" documentId="11_86ED28050E42668C8175A2D12B50D160AC1D2D66" xr6:coauthVersionLast="47" xr6:coauthVersionMax="47" xr10:uidLastSave="{53CCCC89-6ED8-4075-B3D3-4641562B0293}"/>
  <bookViews>
    <workbookView xWindow="-19305" yWindow="-16230" windowWidth="19410" windowHeight="20985" activeTab="2" xr2:uid="{00000000-000D-0000-FFFF-FFFF00000000}"/>
  </bookViews>
  <sheets>
    <sheet name="기업현황 종합" sheetId="1" r:id="rId1"/>
    <sheet name="장애인고용 분석" sheetId="2" r:id="rId2"/>
    <sheet name="컨설팅 전략 시사점" sheetId="3" r:id="rId3"/>
    <sheet name="통계 요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</calcChain>
</file>

<file path=xl/sharedStrings.xml><?xml version="1.0" encoding="utf-8"?>
<sst xmlns="http://schemas.openxmlformats.org/spreadsheetml/2006/main" count="232" uniqueCount="170">
  <si>
    <t>2026년 선도기업 전략직종 직무개발 - 참여기업 현황 종합 분석</t>
  </si>
  <si>
    <t>분석 기준일: 2026.04.15 | 작성: 대우인력경영컨설팅</t>
  </si>
  <si>
    <t>연번</t>
  </si>
  <si>
    <t>기업명</t>
  </si>
  <si>
    <t>기업형태</t>
  </si>
  <si>
    <t>업종</t>
  </si>
  <si>
    <t>기업규모</t>
  </si>
  <si>
    <t>상시근로자수</t>
  </si>
  <si>
    <t>장애인근로자</t>
  </si>
  <si>
    <t>장애인고용률
(2배수)</t>
  </si>
  <si>
    <t>고용예정인원</t>
  </si>
  <si>
    <t>채용시기</t>
  </si>
  <si>
    <t>신청사유</t>
  </si>
  <si>
    <t>희망직무분야</t>
  </si>
  <si>
    <t>케이티서비스남부</t>
  </si>
  <si>
    <t>민간기업</t>
  </si>
  <si>
    <t>케이블설치
(방송통신)</t>
  </si>
  <si>
    <t>1,000인 이상</t>
  </si>
  <si>
    <t>'26년 상시</t>
  </si>
  <si>
    <t>적합직무 부족
장애인력 부족
고용노하우 부족</t>
  </si>
  <si>
    <t>IT/AI 활용
사무분야</t>
  </si>
  <si>
    <t>인천국제공항보안㈜</t>
  </si>
  <si>
    <t>특수경비
(보안검색)</t>
  </si>
  <si>
    <t>2·3·4분기</t>
  </si>
  <si>
    <t>적합직무 부족
장애인력 부족</t>
  </si>
  <si>
    <t>사업분야 관련
맞춤형 직무</t>
  </si>
  <si>
    <t>해양환경공단</t>
  </si>
  <si>
    <t>공공기관</t>
  </si>
  <si>
    <t>환경
엔지니어링</t>
  </si>
  <si>
    <t>300~1,000인</t>
  </si>
  <si>
    <t>'26년 하반기</t>
  </si>
  <si>
    <t>적합직무 부족</t>
  </si>
  <si>
    <t>AI·디지털 활용
ESG경영
해양환경교육</t>
  </si>
  <si>
    <t>성불복지회</t>
  </si>
  <si>
    <t>사회복지법인</t>
  </si>
  <si>
    <t>사회복지사업</t>
  </si>
  <si>
    <t>수시</t>
  </si>
  <si>
    <t>안정적 장애인
고용직무</t>
  </si>
  <si>
    <t>자동차손해배상진흥원</t>
  </si>
  <si>
    <t>정책연구
기금운용</t>
  </si>
  <si>
    <t>300인 미만</t>
  </si>
  <si>
    <t>즉시 채용</t>
  </si>
  <si>
    <t>사무/행정 지원
고객응대 보조</t>
  </si>
  <si>
    <t>오티스서비스엑스퍼트</t>
  </si>
  <si>
    <t>승강기
유지보수</t>
  </si>
  <si>
    <t>연중 상시</t>
  </si>
  <si>
    <t>승강기 유지보수
기술자 또는 Admin</t>
  </si>
  <si>
    <t>어보브반도체㈜</t>
  </si>
  <si>
    <t>반도체제조
(MCU 설계)</t>
  </si>
  <si>
    <t>'26 상반기</t>
  </si>
  <si>
    <t>장애인력 부족</t>
  </si>
  <si>
    <t>일본어 매뉴얼
번역(영→일)</t>
  </si>
  <si>
    <t>한국국제교류재단</t>
  </si>
  <si>
    <t>국제교류
(공공외교)</t>
  </si>
  <si>
    <t>'26년 3/4분기</t>
  </si>
  <si>
    <t>국제교류 사무행정
AI 활용 직무</t>
  </si>
  <si>
    <t>합계/평균</t>
  </si>
  <si>
    <t>장애인 고용 현황 심층 분석</t>
  </si>
  <si>
    <t>장애인
근로자수</t>
  </si>
  <si>
    <t>의무고용
인원(추정)</t>
  </si>
  <si>
    <t>고용률
(2배수)</t>
  </si>
  <si>
    <t>고용률 수준</t>
  </si>
  <si>
    <t>주요 장애유형</t>
  </si>
  <si>
    <t>현재 고용직무</t>
  </si>
  <si>
    <t>핵심 애로사항</t>
  </si>
  <si>
    <t>미달(의무 미충족)</t>
  </si>
  <si>
    <t>지체29, 시각11,
청각4, 장루요루1,
간2, 신장1, 국가유공4</t>
  </si>
  <si>
    <t>현장엔지니어19
현장지원24
사무9</t>
  </si>
  <si>
    <t>육체적 업무 비중 높아
직무 다양성 부족</t>
  </si>
  <si>
    <t>심각 미달</t>
  </si>
  <si>
    <t>국가유공4, 지체3,
신장/청각/뇌병변 각1</t>
  </si>
  <si>
    <t>보안경비
보안검색</t>
  </si>
  <si>
    <t>경비업법상 신체조건 제한
적합직무 절대 부족</t>
  </si>
  <si>
    <t>초과 달성</t>
  </si>
  <si>
    <t>지체, 청각 등
중증8/경증21</t>
  </si>
  <si>
    <t>사무행정, 선박,
경비, 미화, 시설</t>
  </si>
  <si>
    <t>사업특성 연계 직무 부재
부서 비선호, 잦은 면직</t>
  </si>
  <si>
    <t>(미상)</t>
  </si>
  <si>
    <t>시니어클럽
아이돌봄 등</t>
  </si>
  <si>
    <t>법령상 자격/교육이수 요구
돌봄직종 고용 불안정</t>
  </si>
  <si>
    <t>경증 1명</t>
  </si>
  <si>
    <t>(일반사무 추정)</t>
  </si>
  <si>
    <t>공공기관 신규지정(2025.2)
고용노하우 전무</t>
  </si>
  <si>
    <t>지체(중증1,경증1)</t>
  </si>
  <si>
    <t>승강기 유지보수
기술자</t>
  </si>
  <si>
    <t>현장직 체력 요구
장애인 지원자 부족
사무직 채용수요 적음</t>
  </si>
  <si>
    <t>(미상, 추정 지체)</t>
  </si>
  <si>
    <t>SCM/총무(중증1)
미화(경증1)</t>
  </si>
  <si>
    <t>적합직무 부족
근로자 관리 어려움</t>
  </si>
  <si>
    <t>지체2, 신장1</t>
  </si>
  <si>
    <t>경영관리(회계/출납,
시설관리)
국제교류사업</t>
  </si>
  <si>
    <t>제주 소재 근로인력 부족
사무행정 외 직무 부족</t>
  </si>
  <si>
    <t>기업별 컨설팅 전략 방향 및 주요 시사점</t>
  </si>
  <si>
    <t>컨설팅 난이도</t>
  </si>
  <si>
    <t>직무발굴 방향
(실행가능형)</t>
  </si>
  <si>
    <t>직무발굴 방향
(전략확산형)</t>
  </si>
  <si>
    <t>핵심 컨설팅 포인트</t>
  </si>
  <si>
    <t>중</t>
  </si>
  <si>
    <t>사무직 IT/AI 활용 직무
재구성(데이터 정리 등)</t>
  </si>
  <si>
    <t>AI 기반 네트워크 모니터링
디지털 품질관리 직무</t>
  </si>
  <si>
    <t>현장→사무 전환 가능 직무 발굴
IT분야 전문인력 채용 연계</t>
  </si>
  <si>
    <t>상</t>
  </si>
  <si>
    <t>보안 관제 모니터링
보안 행정지원</t>
  </si>
  <si>
    <t>AI 기반 보안검색
데이터 분석 직무</t>
  </si>
  <si>
    <t>경비업법 제약 우회 직무 필수
의무고용 격차 매우 큼(104명)</t>
  </si>
  <si>
    <t>AI·디지털 활용 행정
고객관리(부담금/채권)</t>
  </si>
  <si>
    <t>해양환경교육 콘텐츠
ESG경영 데이터 관리</t>
  </si>
  <si>
    <t>25년 개별컨설팅 후속 사업
경력개발계획(CDP) 연계</t>
  </si>
  <si>
    <t>시설 사무행정 보조
급식/영양 관리 지원</t>
  </si>
  <si>
    <t>사회복지 데이터 관리
디지털 콘텐츠 제작</t>
  </si>
  <si>
    <t>14개 산하기관 대상 표준모델
부담금 88백만→절감 시급</t>
  </si>
  <si>
    <t>중하</t>
  </si>
  <si>
    <t>보상데이터 분석
디지털 아카이빙</t>
  </si>
  <si>
    <t>공공기관 신규지정 → 모범사례
8명 즉시 채용 의지 높음</t>
  </si>
  <si>
    <t>중상</t>
  </si>
  <si>
    <t>기술자료 관리/정리
Admin 업무 재설계</t>
  </si>
  <si>
    <t>승강기 IoT 데이터
분석/모니터링</t>
  </si>
  <si>
    <t>현장직 중심 → 사무/기술지원
다양성 가치 강조 기업문화</t>
  </si>
  <si>
    <t>일본어 매뉴얼 번역
(영→일)</t>
  </si>
  <si>
    <t>반도체 기술문서
AI 번역 품질관리</t>
  </si>
  <si>
    <t>구체적 희망직무 명확
1~2명 소규모 → 집중 컨설팅</t>
  </si>
  <si>
    <t>국제교류 사무행정 지원
AI 활용 업무</t>
  </si>
  <si>
    <t>공공외교 배리어프리
콘텐츠 기획</t>
  </si>
  <si>
    <t>장애인 인식개선 선도기관
제주 소재 근무환경 고려</t>
  </si>
  <si>
    <t>8개 선도기업 주요 통계</t>
  </si>
  <si>
    <t>구분</t>
  </si>
  <si>
    <t>수치</t>
  </si>
  <si>
    <t>비고</t>
  </si>
  <si>
    <t>■ 기업 유형 분포</t>
  </si>
  <si>
    <t>4개소</t>
  </si>
  <si>
    <t>케이티서비스남부, 인천국제공항보안, 오티스, 어보브반도체</t>
  </si>
  <si>
    <t>50%</t>
  </si>
  <si>
    <t>3개소</t>
  </si>
  <si>
    <t>해양환경공단, 자동차손해배상진흥원, 한국국제교류재단</t>
  </si>
  <si>
    <t>37.5%</t>
  </si>
  <si>
    <t>1개소</t>
  </si>
  <si>
    <t>12.5%</t>
  </si>
  <si>
    <t>■ 기업 규모 분포</t>
  </si>
  <si>
    <t>2개소</t>
  </si>
  <si>
    <t>케이티서비스남부, 인천국제공항보안</t>
  </si>
  <si>
    <t>25%</t>
  </si>
  <si>
    <t>해양환경공단, 성불복지회, 오티스</t>
  </si>
  <si>
    <t>자동차손배진흥원, 어보브반도체, 한국국제교류재단</t>
  </si>
  <si>
    <t>■ 고용 현황 핵심 지표</t>
  </si>
  <si>
    <t>총 상시근로자 수</t>
  </si>
  <si>
    <t>8,274명</t>
  </si>
  <si>
    <t>8개 기업 합계</t>
  </si>
  <si>
    <t>총 장애인근로자 수</t>
  </si>
  <si>
    <t>102명</t>
  </si>
  <si>
    <t>평균 장애인고용률(2배수)</t>
  </si>
  <si>
    <t>1.96%</t>
  </si>
  <si>
    <t>법정 의무 고용률 3.1% 대비 저조</t>
  </si>
  <si>
    <t>의무 초과 달성 기업</t>
  </si>
  <si>
    <t>해양환경공단(5.79%), 한국국제교류재단(4.16%)</t>
  </si>
  <si>
    <t>심각 미달 기업(1% 미만)</t>
  </si>
  <si>
    <t>인천국제공항보안, 성불복지회, 자동차손배진흥원, 오티스</t>
  </si>
  <si>
    <t>■ 고용 계획</t>
  </si>
  <si>
    <t>총 고용예정인원</t>
  </si>
  <si>
    <t>52명</t>
  </si>
  <si>
    <t>최다 고용 계획</t>
  </si>
  <si>
    <t>15명</t>
  </si>
  <si>
    <t>즉시/상시 채용</t>
  </si>
  <si>
    <t>자동차손배진흥원, 오티스, 성불복지회</t>
  </si>
  <si>
    <t>■ 신청 사유 분석 (복수응답)</t>
  </si>
  <si>
    <t>7개소</t>
  </si>
  <si>
    <t>87.5%</t>
  </si>
  <si>
    <t>채용직무 적합 장애인력 부족</t>
  </si>
  <si>
    <t>6개소</t>
  </si>
  <si>
    <t>75.0%</t>
  </si>
  <si>
    <t>장애인고용 노하우 부족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</si>
</sst>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B4C6E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3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M12" sqref="M12"/>
    </sheetView>
  </sheetViews>
  <sheetFormatPr defaultRowHeight="16.899999999999999" x14ac:dyDescent="0.6"/>
  <cols>
    <col min="1" max="1" width="5" customWidth="1"/>
    <col min="2" max="2" width="22" customWidth="1"/>
    <col min="3" max="3" width="12" customWidth="1"/>
    <col min="4" max="6" width="14" customWidth="1"/>
    <col min="7" max="10" width="21.125" customWidth="1"/>
    <col min="11" max="11" width="12" customWidth="1"/>
    <col min="12" max="12" width="18" customWidth="1"/>
    <col min="13" max="13" width="16.3125" bestFit="1" customWidth="1"/>
  </cols>
  <sheetData>
    <row r="1" spans="1:13" ht="20.65" x14ac:dyDescent="0.6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6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33.75" x14ac:dyDescent="0.6">
      <c r="A4" s="1" t="s">
        <v>2</v>
      </c>
      <c r="B4" s="1" t="s">
        <v>3</v>
      </c>
      <c r="C4" s="1" t="s">
        <v>4</v>
      </c>
      <c r="D4" s="1" t="s">
        <v>5</v>
      </c>
      <c r="E4" s="1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47.25" x14ac:dyDescent="0.6">
      <c r="A5" s="2">
        <v>1</v>
      </c>
      <c r="B5" s="2" t="s">
        <v>14</v>
      </c>
      <c r="C5" s="2" t="s">
        <v>15</v>
      </c>
      <c r="D5" s="2" t="s">
        <v>16</v>
      </c>
      <c r="E5" s="2"/>
      <c r="F5" s="2" t="s">
        <v>17</v>
      </c>
      <c r="G5" s="3">
        <v>2180</v>
      </c>
      <c r="H5" s="2">
        <v>52</v>
      </c>
      <c r="I5" s="4">
        <v>2.7</v>
      </c>
      <c r="J5" s="2">
        <v>15</v>
      </c>
      <c r="K5" s="2" t="s">
        <v>18</v>
      </c>
      <c r="L5" s="5" t="s">
        <v>19</v>
      </c>
      <c r="M5" s="5" t="s">
        <v>20</v>
      </c>
    </row>
    <row r="6" spans="1:13" ht="31.5" x14ac:dyDescent="0.6">
      <c r="A6" s="6">
        <v>2</v>
      </c>
      <c r="B6" s="6" t="s">
        <v>21</v>
      </c>
      <c r="C6" s="6" t="s">
        <v>15</v>
      </c>
      <c r="D6" s="6" t="s">
        <v>22</v>
      </c>
      <c r="E6" s="6"/>
      <c r="F6" s="6" t="s">
        <v>17</v>
      </c>
      <c r="G6" s="7">
        <v>3794</v>
      </c>
      <c r="H6" s="6">
        <v>10</v>
      </c>
      <c r="I6" s="8">
        <v>0.21</v>
      </c>
      <c r="J6" s="6">
        <v>6</v>
      </c>
      <c r="K6" s="6" t="s">
        <v>23</v>
      </c>
      <c r="L6" s="9" t="s">
        <v>24</v>
      </c>
      <c r="M6" s="9" t="s">
        <v>25</v>
      </c>
    </row>
    <row r="7" spans="1:13" ht="47.25" x14ac:dyDescent="0.6">
      <c r="A7" s="2">
        <v>3</v>
      </c>
      <c r="B7" s="2" t="s">
        <v>26</v>
      </c>
      <c r="C7" s="2" t="s">
        <v>27</v>
      </c>
      <c r="D7" s="2" t="s">
        <v>28</v>
      </c>
      <c r="E7" s="2"/>
      <c r="F7" s="2" t="s">
        <v>29</v>
      </c>
      <c r="G7" s="3">
        <v>725</v>
      </c>
      <c r="H7" s="2">
        <v>29</v>
      </c>
      <c r="I7" s="4">
        <v>5.79</v>
      </c>
      <c r="J7" s="2">
        <v>2</v>
      </c>
      <c r="K7" s="2" t="s">
        <v>30</v>
      </c>
      <c r="L7" s="5" t="s">
        <v>31</v>
      </c>
      <c r="M7" s="5" t="s">
        <v>32</v>
      </c>
    </row>
    <row r="8" spans="1:13" ht="31.5" x14ac:dyDescent="0.6">
      <c r="A8" s="6">
        <v>4</v>
      </c>
      <c r="B8" s="6" t="s">
        <v>33</v>
      </c>
      <c r="C8" s="6" t="s">
        <v>34</v>
      </c>
      <c r="D8" s="6" t="s">
        <v>35</v>
      </c>
      <c r="E8" s="6"/>
      <c r="F8" s="6" t="s">
        <v>29</v>
      </c>
      <c r="G8" s="7">
        <v>549</v>
      </c>
      <c r="H8" s="6">
        <v>3</v>
      </c>
      <c r="I8" s="8">
        <v>0.54</v>
      </c>
      <c r="J8" s="6">
        <v>14</v>
      </c>
      <c r="K8" s="6" t="s">
        <v>36</v>
      </c>
      <c r="L8" s="9" t="s">
        <v>31</v>
      </c>
      <c r="M8" s="9" t="s">
        <v>37</v>
      </c>
    </row>
    <row r="9" spans="1:13" ht="47.25" x14ac:dyDescent="0.6">
      <c r="A9" s="2">
        <v>5</v>
      </c>
      <c r="B9" s="2" t="s">
        <v>38</v>
      </c>
      <c r="C9" s="2" t="s">
        <v>27</v>
      </c>
      <c r="D9" s="2" t="s">
        <v>39</v>
      </c>
      <c r="E9" s="2"/>
      <c r="F9" s="2" t="s">
        <v>40</v>
      </c>
      <c r="G9" s="3">
        <v>104</v>
      </c>
      <c r="H9" s="2">
        <v>1</v>
      </c>
      <c r="I9" s="4">
        <v>0.96</v>
      </c>
      <c r="J9" s="2">
        <v>8</v>
      </c>
      <c r="K9" s="2" t="s">
        <v>41</v>
      </c>
      <c r="L9" s="5" t="s">
        <v>19</v>
      </c>
      <c r="M9" s="5" t="s">
        <v>42</v>
      </c>
    </row>
    <row r="10" spans="1:13" ht="31.5" x14ac:dyDescent="0.6">
      <c r="A10" s="6">
        <v>6</v>
      </c>
      <c r="B10" s="6" t="s">
        <v>43</v>
      </c>
      <c r="C10" s="6" t="s">
        <v>15</v>
      </c>
      <c r="D10" s="6" t="s">
        <v>44</v>
      </c>
      <c r="E10" s="6"/>
      <c r="F10" s="6" t="s">
        <v>29</v>
      </c>
      <c r="G10" s="7">
        <v>558</v>
      </c>
      <c r="H10" s="6">
        <v>2</v>
      </c>
      <c r="I10" s="8">
        <v>0.35</v>
      </c>
      <c r="J10" s="6">
        <v>3</v>
      </c>
      <c r="K10" s="6" t="s">
        <v>45</v>
      </c>
      <c r="L10" s="9" t="s">
        <v>24</v>
      </c>
      <c r="M10" s="9" t="s">
        <v>46</v>
      </c>
    </row>
    <row r="11" spans="1:13" ht="31.5" x14ac:dyDescent="0.6">
      <c r="A11" s="2">
        <v>7</v>
      </c>
      <c r="B11" s="2" t="s">
        <v>47</v>
      </c>
      <c r="C11" s="2" t="s">
        <v>15</v>
      </c>
      <c r="D11" s="2" t="s">
        <v>48</v>
      </c>
      <c r="E11" s="2"/>
      <c r="F11" s="2" t="s">
        <v>40</v>
      </c>
      <c r="G11" s="3">
        <v>220</v>
      </c>
      <c r="H11" s="2">
        <v>2</v>
      </c>
      <c r="I11" s="4">
        <v>0.9</v>
      </c>
      <c r="J11" s="2">
        <v>2</v>
      </c>
      <c r="K11" s="2" t="s">
        <v>49</v>
      </c>
      <c r="L11" s="5" t="s">
        <v>50</v>
      </c>
      <c r="M11" s="5" t="s">
        <v>51</v>
      </c>
    </row>
    <row r="12" spans="1:13" ht="31.5" x14ac:dyDescent="0.6">
      <c r="A12" s="6">
        <v>8</v>
      </c>
      <c r="B12" s="6" t="s">
        <v>52</v>
      </c>
      <c r="C12" s="6" t="s">
        <v>27</v>
      </c>
      <c r="D12" s="6" t="s">
        <v>53</v>
      </c>
      <c r="E12" s="6"/>
      <c r="F12" s="6" t="s">
        <v>40</v>
      </c>
      <c r="G12" s="7">
        <v>144</v>
      </c>
      <c r="H12" s="6">
        <v>3</v>
      </c>
      <c r="I12" s="8">
        <v>4.16</v>
      </c>
      <c r="J12" s="6">
        <v>2</v>
      </c>
      <c r="K12" s="6" t="s">
        <v>54</v>
      </c>
      <c r="L12" s="9" t="s">
        <v>24</v>
      </c>
      <c r="M12" s="9" t="s">
        <v>55</v>
      </c>
    </row>
    <row r="13" spans="1:13" x14ac:dyDescent="0.6">
      <c r="A13" s="24" t="s">
        <v>56</v>
      </c>
      <c r="B13" s="25"/>
      <c r="C13" s="25"/>
      <c r="D13" s="25"/>
      <c r="E13" s="11"/>
      <c r="F13" s="11"/>
      <c r="G13" s="12">
        <f>SUM(G5:G12)</f>
        <v>8274</v>
      </c>
      <c r="H13" s="10">
        <f>SUM(H5:H12)</f>
        <v>102</v>
      </c>
      <c r="I13" s="13">
        <f>AVERAGE(I5:I12)</f>
        <v>1.9512499999999999</v>
      </c>
      <c r="J13" s="10">
        <f>SUM(J5:J12)</f>
        <v>52</v>
      </c>
      <c r="K13" s="11"/>
      <c r="L13" s="11"/>
      <c r="M13" s="11"/>
    </row>
  </sheetData>
  <mergeCells count="3">
    <mergeCell ref="A2:M2"/>
    <mergeCell ref="A1:M1"/>
    <mergeCell ref="A13:D13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H11" sqref="H11"/>
    </sheetView>
  </sheetViews>
  <sheetFormatPr defaultRowHeight="16.899999999999999" x14ac:dyDescent="0.6"/>
  <cols>
    <col min="1" max="1" width="22" customWidth="1"/>
    <col min="2" max="2" width="10" customWidth="1"/>
    <col min="3" max="3" width="12" customWidth="1"/>
    <col min="4" max="4" width="10" customWidth="1"/>
    <col min="5" max="5" width="16" customWidth="1"/>
    <col min="6" max="7" width="18" customWidth="1"/>
    <col min="8" max="8" width="22" customWidth="1"/>
  </cols>
  <sheetData>
    <row r="1" spans="1:8" ht="20.65" x14ac:dyDescent="0.7">
      <c r="A1" s="26" t="s">
        <v>57</v>
      </c>
      <c r="B1" s="22"/>
      <c r="C1" s="22"/>
      <c r="D1" s="22"/>
      <c r="E1" s="22"/>
      <c r="F1" s="22"/>
      <c r="G1" s="22"/>
      <c r="H1" s="22"/>
    </row>
    <row r="3" spans="1:8" ht="33.75" x14ac:dyDescent="0.6">
      <c r="A3" s="1" t="s">
        <v>3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</row>
    <row r="4" spans="1:8" ht="47.25" x14ac:dyDescent="0.6">
      <c r="A4" s="6" t="s">
        <v>14</v>
      </c>
      <c r="B4" s="6">
        <v>52</v>
      </c>
      <c r="C4" s="6">
        <v>65</v>
      </c>
      <c r="D4" s="6">
        <v>2.7</v>
      </c>
      <c r="E4" s="14" t="s">
        <v>65</v>
      </c>
      <c r="F4" s="9" t="s">
        <v>66</v>
      </c>
      <c r="G4" s="9" t="s">
        <v>67</v>
      </c>
      <c r="H4" s="9" t="s">
        <v>68</v>
      </c>
    </row>
    <row r="5" spans="1:8" ht="31.5" x14ac:dyDescent="0.6">
      <c r="A5" s="6" t="s">
        <v>21</v>
      </c>
      <c r="B5" s="6">
        <v>10</v>
      </c>
      <c r="C5" s="6">
        <v>114</v>
      </c>
      <c r="D5" s="6">
        <v>0.21</v>
      </c>
      <c r="E5" s="15" t="s">
        <v>69</v>
      </c>
      <c r="F5" s="9" t="s">
        <v>70</v>
      </c>
      <c r="G5" s="9" t="s">
        <v>71</v>
      </c>
      <c r="H5" s="9" t="s">
        <v>72</v>
      </c>
    </row>
    <row r="6" spans="1:8" ht="31.5" x14ac:dyDescent="0.6">
      <c r="A6" s="6" t="s">
        <v>26</v>
      </c>
      <c r="B6" s="6">
        <v>29</v>
      </c>
      <c r="C6" s="6">
        <v>22</v>
      </c>
      <c r="D6" s="6">
        <v>5.79</v>
      </c>
      <c r="E6" s="16" t="s">
        <v>73</v>
      </c>
      <c r="F6" s="9" t="s">
        <v>74</v>
      </c>
      <c r="G6" s="9" t="s">
        <v>75</v>
      </c>
      <c r="H6" s="9" t="s">
        <v>76</v>
      </c>
    </row>
    <row r="7" spans="1:8" ht="31.5" x14ac:dyDescent="0.6">
      <c r="A7" s="6" t="s">
        <v>33</v>
      </c>
      <c r="B7" s="6">
        <v>3</v>
      </c>
      <c r="C7" s="6">
        <v>16</v>
      </c>
      <c r="D7" s="6">
        <v>0.54</v>
      </c>
      <c r="E7" s="15" t="s">
        <v>69</v>
      </c>
      <c r="F7" s="9" t="s">
        <v>77</v>
      </c>
      <c r="G7" s="9" t="s">
        <v>78</v>
      </c>
      <c r="H7" s="9" t="s">
        <v>79</v>
      </c>
    </row>
    <row r="8" spans="1:8" ht="31.5" x14ac:dyDescent="0.6">
      <c r="A8" s="6" t="s">
        <v>38</v>
      </c>
      <c r="B8" s="6">
        <v>1</v>
      </c>
      <c r="C8" s="6">
        <v>3</v>
      </c>
      <c r="D8" s="6">
        <v>0.96</v>
      </c>
      <c r="E8" s="15" t="s">
        <v>69</v>
      </c>
      <c r="F8" s="9" t="s">
        <v>80</v>
      </c>
      <c r="G8" s="9" t="s">
        <v>81</v>
      </c>
      <c r="H8" s="9" t="s">
        <v>82</v>
      </c>
    </row>
    <row r="9" spans="1:8" ht="47.25" x14ac:dyDescent="0.6">
      <c r="A9" s="6" t="s">
        <v>43</v>
      </c>
      <c r="B9" s="6">
        <v>2</v>
      </c>
      <c r="C9" s="6">
        <v>17</v>
      </c>
      <c r="D9" s="6">
        <v>0.35</v>
      </c>
      <c r="E9" s="15" t="s">
        <v>69</v>
      </c>
      <c r="F9" s="9" t="s">
        <v>83</v>
      </c>
      <c r="G9" s="9" t="s">
        <v>84</v>
      </c>
      <c r="H9" s="9" t="s">
        <v>85</v>
      </c>
    </row>
    <row r="10" spans="1:8" ht="31.5" x14ac:dyDescent="0.6">
      <c r="A10" s="6" t="s">
        <v>47</v>
      </c>
      <c r="B10" s="6">
        <v>2</v>
      </c>
      <c r="C10" s="6">
        <v>7</v>
      </c>
      <c r="D10" s="6">
        <v>0.9</v>
      </c>
      <c r="E10" s="15" t="s">
        <v>69</v>
      </c>
      <c r="F10" s="9" t="s">
        <v>86</v>
      </c>
      <c r="G10" s="9" t="s">
        <v>87</v>
      </c>
      <c r="H10" s="9" t="s">
        <v>88</v>
      </c>
    </row>
    <row r="11" spans="1:8" ht="47.25" x14ac:dyDescent="0.6">
      <c r="A11" s="6" t="s">
        <v>52</v>
      </c>
      <c r="B11" s="6">
        <v>3</v>
      </c>
      <c r="C11" s="6">
        <v>4</v>
      </c>
      <c r="D11" s="6">
        <v>4.16</v>
      </c>
      <c r="E11" s="16" t="s">
        <v>73</v>
      </c>
      <c r="F11" s="9" t="s">
        <v>89</v>
      </c>
      <c r="G11" s="9" t="s">
        <v>90</v>
      </c>
      <c r="H11" s="9" t="s">
        <v>91</v>
      </c>
    </row>
  </sheetData>
  <mergeCells count="1">
    <mergeCell ref="A1:H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B11" sqref="B11"/>
    </sheetView>
  </sheetViews>
  <sheetFormatPr defaultRowHeight="16.899999999999999" x14ac:dyDescent="0.6"/>
  <cols>
    <col min="1" max="1" width="22" customWidth="1"/>
    <col min="2" max="2" width="12" customWidth="1"/>
    <col min="3" max="4" width="24" customWidth="1"/>
    <col min="5" max="5" width="28" customWidth="1"/>
  </cols>
  <sheetData>
    <row r="1" spans="1:5" ht="20.65" x14ac:dyDescent="0.7">
      <c r="A1" s="26" t="s">
        <v>92</v>
      </c>
      <c r="B1" s="22"/>
      <c r="C1" s="22"/>
      <c r="D1" s="22"/>
      <c r="E1" s="22"/>
    </row>
    <row r="3" spans="1:5" ht="33.75" x14ac:dyDescent="0.6">
      <c r="A3" s="1" t="s">
        <v>3</v>
      </c>
      <c r="B3" s="1" t="s">
        <v>93</v>
      </c>
      <c r="C3" s="1" t="s">
        <v>94</v>
      </c>
      <c r="D3" s="1" t="s">
        <v>95</v>
      </c>
      <c r="E3" s="1" t="s">
        <v>96</v>
      </c>
    </row>
    <row r="4" spans="1:5" ht="31.5" x14ac:dyDescent="0.6">
      <c r="A4" s="2" t="s">
        <v>14</v>
      </c>
      <c r="B4" s="2" t="s">
        <v>97</v>
      </c>
      <c r="C4" s="5" t="s">
        <v>98</v>
      </c>
      <c r="D4" s="5" t="s">
        <v>99</v>
      </c>
      <c r="E4" s="5" t="s">
        <v>100</v>
      </c>
    </row>
    <row r="5" spans="1:5" ht="31.5" x14ac:dyDescent="0.6">
      <c r="A5" s="6" t="s">
        <v>21</v>
      </c>
      <c r="B5" s="17" t="s">
        <v>101</v>
      </c>
      <c r="C5" s="9" t="s">
        <v>102</v>
      </c>
      <c r="D5" s="9" t="s">
        <v>103</v>
      </c>
      <c r="E5" s="9" t="s">
        <v>104</v>
      </c>
    </row>
    <row r="6" spans="1:5" ht="31.5" x14ac:dyDescent="0.6">
      <c r="A6" s="2" t="s">
        <v>26</v>
      </c>
      <c r="B6" s="2" t="s">
        <v>97</v>
      </c>
      <c r="C6" s="5" t="s">
        <v>105</v>
      </c>
      <c r="D6" s="5" t="s">
        <v>106</v>
      </c>
      <c r="E6" s="5" t="s">
        <v>107</v>
      </c>
    </row>
    <row r="7" spans="1:5" ht="31.5" x14ac:dyDescent="0.6">
      <c r="A7" s="6" t="s">
        <v>33</v>
      </c>
      <c r="B7" s="17" t="s">
        <v>101</v>
      </c>
      <c r="C7" s="9" t="s">
        <v>108</v>
      </c>
      <c r="D7" s="9" t="s">
        <v>109</v>
      </c>
      <c r="E7" s="9" t="s">
        <v>110</v>
      </c>
    </row>
    <row r="8" spans="1:5" ht="31.5" x14ac:dyDescent="0.6">
      <c r="A8" s="2" t="s">
        <v>38</v>
      </c>
      <c r="B8" s="18" t="s">
        <v>111</v>
      </c>
      <c r="C8" s="5" t="s">
        <v>42</v>
      </c>
      <c r="D8" s="5" t="s">
        <v>112</v>
      </c>
      <c r="E8" s="5" t="s">
        <v>113</v>
      </c>
    </row>
    <row r="9" spans="1:5" ht="31.5" x14ac:dyDescent="0.6">
      <c r="A9" s="6" t="s">
        <v>43</v>
      </c>
      <c r="B9" s="6" t="s">
        <v>114</v>
      </c>
      <c r="C9" s="9" t="s">
        <v>115</v>
      </c>
      <c r="D9" s="9" t="s">
        <v>116</v>
      </c>
      <c r="E9" s="9" t="s">
        <v>117</v>
      </c>
    </row>
    <row r="10" spans="1:5" ht="31.5" x14ac:dyDescent="0.6">
      <c r="A10" s="2" t="s">
        <v>47</v>
      </c>
      <c r="B10" s="18" t="s">
        <v>111</v>
      </c>
      <c r="C10" s="5" t="s">
        <v>118</v>
      </c>
      <c r="D10" s="5" t="s">
        <v>119</v>
      </c>
      <c r="E10" s="5" t="s">
        <v>120</v>
      </c>
    </row>
    <row r="11" spans="1:5" ht="31.5" x14ac:dyDescent="0.6">
      <c r="A11" s="6" t="s">
        <v>52</v>
      </c>
      <c r="B11" s="6" t="s">
        <v>97</v>
      </c>
      <c r="C11" s="9" t="s">
        <v>121</v>
      </c>
      <c r="D11" s="9" t="s">
        <v>122</v>
      </c>
      <c r="E11" s="9" t="s">
        <v>123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E17" sqref="E17"/>
    </sheetView>
  </sheetViews>
  <sheetFormatPr defaultRowHeight="16.899999999999999" x14ac:dyDescent="0.6"/>
  <cols>
    <col min="1" max="1" width="28" customWidth="1"/>
    <col min="2" max="2" width="14" customWidth="1"/>
    <col min="3" max="3" width="42" customWidth="1"/>
    <col min="4" max="4" width="10" customWidth="1"/>
  </cols>
  <sheetData>
    <row r="1" spans="1:4" ht="20.65" x14ac:dyDescent="0.7">
      <c r="A1" s="26" t="s">
        <v>124</v>
      </c>
      <c r="B1" s="22"/>
      <c r="C1" s="22"/>
      <c r="D1" s="22"/>
    </row>
    <row r="3" spans="1:4" x14ac:dyDescent="0.6">
      <c r="A3" s="9" t="s">
        <v>125</v>
      </c>
      <c r="B3" s="9" t="s">
        <v>126</v>
      </c>
      <c r="C3" s="9" t="s">
        <v>127</v>
      </c>
      <c r="D3" s="9"/>
    </row>
    <row r="4" spans="1:4" x14ac:dyDescent="0.6">
      <c r="A4" s="9"/>
      <c r="B4" s="9"/>
      <c r="C4" s="9"/>
      <c r="D4" s="9"/>
    </row>
    <row r="5" spans="1:4" x14ac:dyDescent="0.6">
      <c r="A5" s="19" t="s">
        <v>128</v>
      </c>
      <c r="B5" s="20"/>
      <c r="C5" s="20"/>
      <c r="D5" s="20"/>
    </row>
    <row r="6" spans="1:4" ht="31.5" x14ac:dyDescent="0.6">
      <c r="A6" s="9" t="s">
        <v>15</v>
      </c>
      <c r="B6" s="9" t="s">
        <v>129</v>
      </c>
      <c r="C6" s="9" t="s">
        <v>130</v>
      </c>
      <c r="D6" s="9" t="s">
        <v>131</v>
      </c>
    </row>
    <row r="7" spans="1:4" ht="31.5" x14ac:dyDescent="0.6">
      <c r="A7" s="9" t="s">
        <v>27</v>
      </c>
      <c r="B7" s="9" t="s">
        <v>132</v>
      </c>
      <c r="C7" s="9" t="s">
        <v>133</v>
      </c>
      <c r="D7" s="9" t="s">
        <v>134</v>
      </c>
    </row>
    <row r="8" spans="1:4" x14ac:dyDescent="0.6">
      <c r="A8" s="9" t="s">
        <v>34</v>
      </c>
      <c r="B8" s="9" t="s">
        <v>135</v>
      </c>
      <c r="C8" s="9" t="s">
        <v>33</v>
      </c>
      <c r="D8" s="9" t="s">
        <v>136</v>
      </c>
    </row>
    <row r="9" spans="1:4" x14ac:dyDescent="0.6">
      <c r="A9" s="9"/>
      <c r="B9" s="9"/>
      <c r="C9" s="9"/>
      <c r="D9" s="9"/>
    </row>
    <row r="10" spans="1:4" x14ac:dyDescent="0.6">
      <c r="A10" s="19" t="s">
        <v>137</v>
      </c>
      <c r="B10" s="20"/>
      <c r="C10" s="20"/>
      <c r="D10" s="20"/>
    </row>
    <row r="11" spans="1:4" x14ac:dyDescent="0.6">
      <c r="A11" s="9" t="s">
        <v>17</v>
      </c>
      <c r="B11" s="9" t="s">
        <v>138</v>
      </c>
      <c r="C11" s="9" t="s">
        <v>139</v>
      </c>
      <c r="D11" s="9" t="s">
        <v>140</v>
      </c>
    </row>
    <row r="12" spans="1:4" x14ac:dyDescent="0.6">
      <c r="A12" s="9" t="s">
        <v>29</v>
      </c>
      <c r="B12" s="9" t="s">
        <v>132</v>
      </c>
      <c r="C12" s="9" t="s">
        <v>141</v>
      </c>
      <c r="D12" s="9" t="s">
        <v>134</v>
      </c>
    </row>
    <row r="13" spans="1:4" x14ac:dyDescent="0.6">
      <c r="A13" s="9" t="s">
        <v>40</v>
      </c>
      <c r="B13" s="9" t="s">
        <v>132</v>
      </c>
      <c r="C13" s="9" t="s">
        <v>142</v>
      </c>
      <c r="D13" s="9" t="s">
        <v>134</v>
      </c>
    </row>
    <row r="14" spans="1:4" x14ac:dyDescent="0.6">
      <c r="A14" s="9"/>
      <c r="B14" s="9"/>
      <c r="C14" s="9"/>
      <c r="D14" s="9"/>
    </row>
    <row r="15" spans="1:4" x14ac:dyDescent="0.6">
      <c r="A15" s="19" t="s">
        <v>143</v>
      </c>
      <c r="B15" s="20"/>
      <c r="C15" s="20"/>
      <c r="D15" s="20"/>
    </row>
    <row r="16" spans="1:4" x14ac:dyDescent="0.6">
      <c r="A16" s="9" t="s">
        <v>144</v>
      </c>
      <c r="B16" s="9" t="s">
        <v>145</v>
      </c>
      <c r="C16" s="9" t="s">
        <v>146</v>
      </c>
      <c r="D16" s="9"/>
    </row>
    <row r="17" spans="1:4" x14ac:dyDescent="0.6">
      <c r="A17" s="9" t="s">
        <v>147</v>
      </c>
      <c r="B17" s="9" t="s">
        <v>148</v>
      </c>
      <c r="C17" s="9" t="s">
        <v>146</v>
      </c>
      <c r="D17" s="9"/>
    </row>
    <row r="18" spans="1:4" x14ac:dyDescent="0.6">
      <c r="A18" s="9" t="s">
        <v>149</v>
      </c>
      <c r="B18" s="9" t="s">
        <v>150</v>
      </c>
      <c r="C18" s="9" t="s">
        <v>151</v>
      </c>
      <c r="D18" s="9"/>
    </row>
    <row r="19" spans="1:4" x14ac:dyDescent="0.6">
      <c r="A19" s="9" t="s">
        <v>152</v>
      </c>
      <c r="B19" s="9" t="s">
        <v>138</v>
      </c>
      <c r="C19" s="9" t="s">
        <v>153</v>
      </c>
      <c r="D19" s="9"/>
    </row>
    <row r="20" spans="1:4" ht="31.5" x14ac:dyDescent="0.6">
      <c r="A20" s="9" t="s">
        <v>154</v>
      </c>
      <c r="B20" s="9" t="s">
        <v>129</v>
      </c>
      <c r="C20" s="9" t="s">
        <v>155</v>
      </c>
      <c r="D20" s="9"/>
    </row>
    <row r="21" spans="1:4" x14ac:dyDescent="0.6">
      <c r="A21" s="9"/>
      <c r="B21" s="9"/>
      <c r="C21" s="9"/>
      <c r="D21" s="9"/>
    </row>
    <row r="22" spans="1:4" x14ac:dyDescent="0.6">
      <c r="A22" s="19" t="s">
        <v>156</v>
      </c>
      <c r="B22" s="20"/>
      <c r="C22" s="20"/>
      <c r="D22" s="20"/>
    </row>
    <row r="23" spans="1:4" x14ac:dyDescent="0.6">
      <c r="A23" s="9" t="s">
        <v>157</v>
      </c>
      <c r="B23" s="9" t="s">
        <v>158</v>
      </c>
      <c r="C23" s="9" t="s">
        <v>146</v>
      </c>
      <c r="D23" s="9"/>
    </row>
    <row r="24" spans="1:4" x14ac:dyDescent="0.6">
      <c r="A24" s="9" t="s">
        <v>159</v>
      </c>
      <c r="B24" s="9" t="s">
        <v>160</v>
      </c>
      <c r="C24" s="9" t="s">
        <v>14</v>
      </c>
      <c r="D24" s="9"/>
    </row>
    <row r="25" spans="1:4" x14ac:dyDescent="0.6">
      <c r="A25" s="9" t="s">
        <v>161</v>
      </c>
      <c r="B25" s="9" t="s">
        <v>132</v>
      </c>
      <c r="C25" s="9" t="s">
        <v>162</v>
      </c>
      <c r="D25" s="9"/>
    </row>
    <row r="26" spans="1:4" x14ac:dyDescent="0.6">
      <c r="A26" s="9"/>
      <c r="B26" s="9"/>
      <c r="C26" s="9"/>
      <c r="D26" s="9"/>
    </row>
    <row r="27" spans="1:4" x14ac:dyDescent="0.6">
      <c r="A27" s="19" t="s">
        <v>163</v>
      </c>
      <c r="B27" s="20"/>
      <c r="C27" s="20"/>
      <c r="D27" s="20"/>
    </row>
    <row r="28" spans="1:4" x14ac:dyDescent="0.6">
      <c r="A28" s="9" t="s">
        <v>31</v>
      </c>
      <c r="B28" s="9" t="s">
        <v>164</v>
      </c>
      <c r="C28" s="9" t="s">
        <v>165</v>
      </c>
      <c r="D28" s="9"/>
    </row>
    <row r="29" spans="1:4" x14ac:dyDescent="0.6">
      <c r="A29" s="9" t="s">
        <v>166</v>
      </c>
      <c r="B29" s="9" t="s">
        <v>167</v>
      </c>
      <c r="C29" s="9" t="s">
        <v>168</v>
      </c>
      <c r="D29" s="9"/>
    </row>
    <row r="30" spans="1:4" x14ac:dyDescent="0.6">
      <c r="A30" s="9" t="s">
        <v>169</v>
      </c>
      <c r="B30" s="9" t="s">
        <v>132</v>
      </c>
      <c r="C30" s="9" t="s">
        <v>134</v>
      </c>
      <c r="D30" s="9"/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기업현황 종합</vt:lpstr>
      <vt:lpstr>장애인고용 분석</vt:lpstr>
      <vt:lpstr>컨설팅 전략 시사점</vt:lpstr>
      <vt:lpstr>통계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2026-04-15T03:46:00Z</dcterms:created>
  <dcterms:modified xsi:type="dcterms:W3CDTF">2026-04-15T04:43:03Z</dcterms:modified>
</cp:coreProperties>
</file>