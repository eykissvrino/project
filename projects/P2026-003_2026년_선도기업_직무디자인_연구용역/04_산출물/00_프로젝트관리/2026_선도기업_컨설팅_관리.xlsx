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b6553f64e91d015d/vrin_AI_hub/projects/P2026-003_2026년_선도기업_직무디자인_연구용역/outputs/project-mgmt/"/>
    </mc:Choice>
  </mc:AlternateContent>
  <xr:revisionPtr revIDLastSave="24" documentId="11_C89293B9E4775BABFA7867722FBFD95A0E8D7E97" xr6:coauthVersionLast="47" xr6:coauthVersionMax="47" xr10:uidLastSave="{C494522D-D7B6-46DB-9852-FE9DBF8F1FC6}"/>
  <bookViews>
    <workbookView xWindow="-38520" yWindow="-16350" windowWidth="38640" windowHeight="21120" tabRatio="500" activeTab="1" xr2:uid="{00000000-000D-0000-FFFF-FFFF00000000}"/>
  </bookViews>
  <sheets>
    <sheet name="컨설턴트 배정" sheetId="1" r:id="rId1"/>
    <sheet name="컨설팅 진행 현황" sheetId="2" r:id="rId2"/>
    <sheet name="범례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I14" i="2" l="1"/>
  <c r="AJ14" i="2" s="1"/>
  <c r="AI13" i="2"/>
  <c r="AJ13" i="2" s="1"/>
  <c r="AI12" i="2"/>
  <c r="AJ12" i="2" s="1"/>
  <c r="AI11" i="2"/>
  <c r="AJ11" i="2" s="1"/>
  <c r="AI10" i="2"/>
  <c r="AJ10" i="2" s="1"/>
  <c r="AI9" i="2"/>
  <c r="AJ9" i="2" s="1"/>
  <c r="AI8" i="2"/>
  <c r="AJ8" i="2" s="1"/>
  <c r="AI7" i="2"/>
  <c r="AJ7" i="2" s="1"/>
  <c r="J13" i="1"/>
  <c r="I13" i="1"/>
  <c r="H13" i="1"/>
  <c r="G13" i="1"/>
</calcChain>
</file>

<file path=xl/sharedStrings.xml><?xml version="1.0" encoding="utf-8"?>
<sst xmlns="http://schemas.openxmlformats.org/spreadsheetml/2006/main" count="264" uniqueCount="163">
  <si>
    <r>
      <rPr>
        <b/>
        <sz val="14"/>
        <rFont val="맑은 고딕"/>
        <family val="3"/>
        <charset val="129"/>
      </rPr>
      <t>2026</t>
    </r>
    <r>
      <rPr>
        <b/>
        <sz val="14"/>
        <rFont val="DejaVu Sans"/>
        <family val="2"/>
      </rPr>
      <t xml:space="preserve">년 선도기업 전략직종 직무개발 </t>
    </r>
    <r>
      <rPr>
        <b/>
        <sz val="14"/>
        <rFont val="맑은 고딕"/>
        <family val="3"/>
        <charset val="129"/>
      </rPr>
      <t xml:space="preserve">| </t>
    </r>
    <r>
      <rPr>
        <b/>
        <sz val="14"/>
        <rFont val="DejaVu Sans"/>
        <family val="2"/>
      </rPr>
      <t>컨설턴트 배정 현황</t>
    </r>
  </si>
  <si>
    <r>
      <rPr>
        <i/>
        <sz val="9"/>
        <color rgb="FF666666"/>
        <rFont val="DejaVu Sans"/>
        <family val="2"/>
      </rPr>
      <t>기준일</t>
    </r>
    <r>
      <rPr>
        <i/>
        <sz val="9"/>
        <color rgb="FF666666"/>
        <rFont val="맑은 고딕"/>
        <family val="3"/>
        <charset val="129"/>
      </rPr>
      <t xml:space="preserve">: 2026-04-15 | </t>
    </r>
    <r>
      <rPr>
        <i/>
        <sz val="9"/>
        <color rgb="FF666666"/>
        <rFont val="DejaVu Sans"/>
        <family val="2"/>
      </rPr>
      <t xml:space="preserve">기업명 가나다순 </t>
    </r>
    <r>
      <rPr>
        <i/>
        <sz val="9"/>
        <color rgb="FF666666"/>
        <rFont val="맑은 고딕"/>
        <family val="3"/>
        <charset val="129"/>
      </rPr>
      <t xml:space="preserve">| </t>
    </r>
    <r>
      <rPr>
        <i/>
        <sz val="9"/>
        <color rgb="FF666666"/>
        <rFont val="DejaVu Sans"/>
        <family val="2"/>
      </rPr>
      <t xml:space="preserve">대우인력경영컨설팅 </t>
    </r>
    <r>
      <rPr>
        <i/>
        <sz val="9"/>
        <color rgb="FF666666"/>
        <rFont val="맑은 고딕"/>
        <family val="3"/>
        <charset val="129"/>
      </rPr>
      <t>HR</t>
    </r>
    <r>
      <rPr>
        <i/>
        <sz val="9"/>
        <color rgb="FF666666"/>
        <rFont val="DejaVu Sans"/>
        <family val="2"/>
      </rPr>
      <t>솔루션팀</t>
    </r>
  </si>
  <si>
    <t>No</t>
  </si>
  <si>
    <t>기업명</t>
  </si>
  <si>
    <t>기업형태</t>
  </si>
  <si>
    <t>업종</t>
  </si>
  <si>
    <t>소재지</t>
  </si>
  <si>
    <t>기업규모</t>
  </si>
  <si>
    <t>상시근로자</t>
  </si>
  <si>
    <t>장애인근로자</t>
  </si>
  <si>
    <r>
      <rPr>
        <b/>
        <sz val="10"/>
        <color rgb="FFFFFFFF"/>
        <rFont val="DejaVu Sans"/>
        <family val="2"/>
      </rPr>
      <t>고용률</t>
    </r>
    <r>
      <rPr>
        <b/>
        <sz val="10"/>
        <color rgb="FFFFFFFF"/>
        <rFont val="맑은 고딕"/>
        <family val="3"/>
        <charset val="129"/>
      </rPr>
      <t>%(2</t>
    </r>
    <r>
      <rPr>
        <b/>
        <sz val="10"/>
        <color rgb="FFFFFFFF"/>
        <rFont val="DejaVu Sans"/>
        <family val="2"/>
      </rPr>
      <t>배수</t>
    </r>
    <r>
      <rPr>
        <b/>
        <sz val="10"/>
        <color rgb="FFFFFFFF"/>
        <rFont val="맑은 고딕"/>
        <family val="3"/>
        <charset val="129"/>
      </rPr>
      <t>)</t>
    </r>
  </si>
  <si>
    <t>고용예정인원</t>
  </si>
  <si>
    <t>채용시기</t>
  </si>
  <si>
    <t>신청사유</t>
  </si>
  <si>
    <t>희망직무분야</t>
  </si>
  <si>
    <t>Main</t>
  </si>
  <si>
    <t>Sub</t>
  </si>
  <si>
    <t>컨설팅 포인트</t>
  </si>
  <si>
    <t>성불복지회</t>
  </si>
  <si>
    <t>사회복지법인</t>
  </si>
  <si>
    <t>사회복지사업</t>
  </si>
  <si>
    <t>원주</t>
  </si>
  <si>
    <r>
      <rPr>
        <sz val="10"/>
        <rFont val="맑은 고딕"/>
        <family val="3"/>
        <charset val="129"/>
      </rPr>
      <t>300~1,000</t>
    </r>
    <r>
      <rPr>
        <sz val="10"/>
        <rFont val="DejaVu Sans"/>
        <family val="2"/>
      </rPr>
      <t>인</t>
    </r>
  </si>
  <si>
    <t>수시</t>
  </si>
  <si>
    <t>적합직무 부족</t>
  </si>
  <si>
    <t>안정적 장애인 고용직무</t>
  </si>
  <si>
    <t>황다원</t>
  </si>
  <si>
    <t>안은하</t>
  </si>
  <si>
    <r>
      <rPr>
        <sz val="10"/>
        <rFont val="맑은 고딕"/>
        <family val="3"/>
        <charset val="129"/>
      </rPr>
      <t>14</t>
    </r>
    <r>
      <rPr>
        <sz val="10"/>
        <rFont val="DejaVu Sans"/>
        <family val="2"/>
      </rPr>
      <t xml:space="preserve">개 산하기관 표준모델 </t>
    </r>
    <r>
      <rPr>
        <sz val="10"/>
        <rFont val="맑은 고딕"/>
        <family val="3"/>
        <charset val="129"/>
      </rPr>
      <t xml:space="preserve">/ </t>
    </r>
    <r>
      <rPr>
        <sz val="10"/>
        <rFont val="DejaVu Sans"/>
        <family val="2"/>
      </rPr>
      <t xml:space="preserve">부담금 </t>
    </r>
    <r>
      <rPr>
        <sz val="10"/>
        <rFont val="맑은 고딕"/>
        <family val="3"/>
        <charset val="129"/>
      </rPr>
      <t>88</t>
    </r>
    <r>
      <rPr>
        <sz val="10"/>
        <rFont val="DejaVu Sans"/>
        <family val="2"/>
      </rPr>
      <t>백만 절감 시급</t>
    </r>
  </si>
  <si>
    <t>어보브반도체㈜</t>
  </si>
  <si>
    <t>민간기업</t>
  </si>
  <si>
    <r>
      <rPr>
        <sz val="10"/>
        <rFont val="DejaVu Sans"/>
        <family val="2"/>
      </rPr>
      <t>반도체제조</t>
    </r>
    <r>
      <rPr>
        <sz val="10"/>
        <rFont val="맑은 고딕"/>
        <family val="3"/>
        <charset val="129"/>
      </rPr>
      <t xml:space="preserve">(MCU </t>
    </r>
    <r>
      <rPr>
        <sz val="10"/>
        <rFont val="DejaVu Sans"/>
        <family val="2"/>
      </rPr>
      <t>설계</t>
    </r>
    <r>
      <rPr>
        <sz val="10"/>
        <rFont val="맑은 고딕"/>
        <family val="3"/>
        <charset val="129"/>
      </rPr>
      <t>)</t>
    </r>
  </si>
  <si>
    <t>서울</t>
  </si>
  <si>
    <r>
      <rPr>
        <sz val="10"/>
        <rFont val="맑은 고딕"/>
        <family val="3"/>
        <charset val="129"/>
      </rPr>
      <t>300</t>
    </r>
    <r>
      <rPr>
        <sz val="10"/>
        <rFont val="DejaVu Sans"/>
        <family val="2"/>
      </rPr>
      <t>인 미만</t>
    </r>
  </si>
  <si>
    <r>
      <rPr>
        <sz val="10"/>
        <rFont val="맑은 고딕"/>
        <family val="3"/>
        <charset val="129"/>
      </rPr>
      <t xml:space="preserve">'26 </t>
    </r>
    <r>
      <rPr>
        <sz val="10"/>
        <rFont val="DejaVu Sans"/>
        <family val="2"/>
      </rPr>
      <t>상반기</t>
    </r>
  </si>
  <si>
    <t>장애인력 부족</t>
  </si>
  <si>
    <r>
      <rPr>
        <sz val="10"/>
        <rFont val="DejaVu Sans"/>
        <family val="2"/>
      </rPr>
      <t>일본어 매뉴얼 번역</t>
    </r>
    <r>
      <rPr>
        <sz val="10"/>
        <rFont val="맑은 고딕"/>
        <family val="3"/>
        <charset val="129"/>
      </rPr>
      <t>(</t>
    </r>
    <r>
      <rPr>
        <sz val="10"/>
        <rFont val="DejaVu Sans"/>
        <family val="2"/>
      </rPr>
      <t>영→일</t>
    </r>
    <r>
      <rPr>
        <sz val="10"/>
        <rFont val="맑은 고딕"/>
        <family val="3"/>
        <charset val="129"/>
      </rPr>
      <t>)</t>
    </r>
  </si>
  <si>
    <r>
      <rPr>
        <sz val="10"/>
        <rFont val="DejaVu Sans"/>
        <family val="2"/>
      </rPr>
      <t xml:space="preserve">구체적 희망직무 명확 </t>
    </r>
    <r>
      <rPr>
        <sz val="10"/>
        <rFont val="맑은 고딕"/>
        <family val="3"/>
        <charset val="129"/>
      </rPr>
      <t>/ 1~2</t>
    </r>
    <r>
      <rPr>
        <sz val="10"/>
        <rFont val="DejaVu Sans"/>
        <family val="2"/>
      </rPr>
      <t>명 소규모→집중 컨설팅</t>
    </r>
  </si>
  <si>
    <t>오티스서비스엑스퍼트</t>
  </si>
  <si>
    <t>승강기 유지보수</t>
  </si>
  <si>
    <t>연중 상시</t>
  </si>
  <si>
    <r>
      <rPr>
        <sz val="10"/>
        <rFont val="DejaVu Sans"/>
        <family val="2"/>
      </rPr>
      <t xml:space="preserve">적합직무 부족 </t>
    </r>
    <r>
      <rPr>
        <sz val="10"/>
        <rFont val="맑은 고딕"/>
        <family val="3"/>
        <charset val="129"/>
      </rPr>
      <t xml:space="preserve">/ </t>
    </r>
    <r>
      <rPr>
        <sz val="10"/>
        <rFont val="DejaVu Sans"/>
        <family val="2"/>
      </rPr>
      <t>장애인력 부족</t>
    </r>
  </si>
  <si>
    <r>
      <rPr>
        <sz val="10"/>
        <rFont val="DejaVu Sans"/>
        <family val="2"/>
      </rPr>
      <t xml:space="preserve">승강기 유지보수 기술자 또는 </t>
    </r>
    <r>
      <rPr>
        <sz val="10"/>
        <rFont val="맑은 고딕"/>
        <family val="3"/>
        <charset val="129"/>
      </rPr>
      <t>Admin</t>
    </r>
  </si>
  <si>
    <t>유승현</t>
  </si>
  <si>
    <r>
      <rPr>
        <sz val="10"/>
        <rFont val="DejaVu Sans"/>
        <family val="2"/>
      </rPr>
      <t>현장직→사무</t>
    </r>
    <r>
      <rPr>
        <sz val="10"/>
        <rFont val="맑은 고딕"/>
        <family val="3"/>
        <charset val="129"/>
      </rPr>
      <t>/</t>
    </r>
    <r>
      <rPr>
        <sz val="10"/>
        <rFont val="DejaVu Sans"/>
        <family val="2"/>
      </rPr>
      <t xml:space="preserve">기술지원 </t>
    </r>
    <r>
      <rPr>
        <sz val="10"/>
        <rFont val="맑은 고딕"/>
        <family val="3"/>
        <charset val="129"/>
      </rPr>
      <t xml:space="preserve">/ </t>
    </r>
    <r>
      <rPr>
        <sz val="10"/>
        <rFont val="DejaVu Sans"/>
        <family val="2"/>
      </rPr>
      <t>다양성 가치 강조 기업문화</t>
    </r>
  </si>
  <si>
    <t>인천국제공항보안㈜</t>
  </si>
  <si>
    <r>
      <rPr>
        <sz val="10"/>
        <rFont val="DejaVu Sans"/>
        <family val="2"/>
      </rPr>
      <t>특수경비</t>
    </r>
    <r>
      <rPr>
        <sz val="10"/>
        <rFont val="맑은 고딕"/>
        <family val="3"/>
        <charset val="129"/>
      </rPr>
      <t>(</t>
    </r>
    <r>
      <rPr>
        <sz val="10"/>
        <rFont val="DejaVu Sans"/>
        <family val="2"/>
      </rPr>
      <t>보안검색</t>
    </r>
    <r>
      <rPr>
        <sz val="10"/>
        <rFont val="맑은 고딕"/>
        <family val="3"/>
        <charset val="129"/>
      </rPr>
      <t>)</t>
    </r>
  </si>
  <si>
    <t>인천</t>
  </si>
  <si>
    <r>
      <rPr>
        <sz val="10"/>
        <rFont val="맑은 고딕"/>
        <family val="3"/>
        <charset val="129"/>
      </rPr>
      <t>1,000</t>
    </r>
    <r>
      <rPr>
        <sz val="10"/>
        <rFont val="DejaVu Sans"/>
        <family val="2"/>
      </rPr>
      <t>인 이상</t>
    </r>
  </si>
  <si>
    <r>
      <rPr>
        <sz val="10"/>
        <rFont val="맑은 고딕"/>
        <family val="3"/>
        <charset val="129"/>
      </rPr>
      <t>2·3·4</t>
    </r>
    <r>
      <rPr>
        <sz val="10"/>
        <rFont val="DejaVu Sans"/>
        <family val="2"/>
      </rPr>
      <t>분기</t>
    </r>
  </si>
  <si>
    <t>사업분야 관련 맞춤형 직무</t>
  </si>
  <si>
    <t>이석주</t>
  </si>
  <si>
    <t>허상희</t>
  </si>
  <si>
    <r>
      <rPr>
        <sz val="10"/>
        <rFont val="DejaVu Sans"/>
        <family val="2"/>
      </rPr>
      <t xml:space="preserve">경비업법 제약 우회 직무 필수 </t>
    </r>
    <r>
      <rPr>
        <sz val="10"/>
        <rFont val="맑은 고딕"/>
        <family val="3"/>
        <charset val="129"/>
      </rPr>
      <t xml:space="preserve">/ </t>
    </r>
    <r>
      <rPr>
        <sz val="10"/>
        <rFont val="DejaVu Sans"/>
        <family val="2"/>
      </rPr>
      <t>의무고용 격차 매우 큼</t>
    </r>
    <r>
      <rPr>
        <sz val="10"/>
        <rFont val="맑은 고딕"/>
        <family val="3"/>
        <charset val="129"/>
      </rPr>
      <t>(104</t>
    </r>
    <r>
      <rPr>
        <sz val="10"/>
        <rFont val="DejaVu Sans"/>
        <family val="2"/>
      </rPr>
      <t>명</t>
    </r>
    <r>
      <rPr>
        <sz val="10"/>
        <rFont val="맑은 고딕"/>
        <family val="3"/>
        <charset val="129"/>
      </rPr>
      <t>)</t>
    </r>
  </si>
  <si>
    <t>자동차손해배상진흥원</t>
  </si>
  <si>
    <t>공공기관</t>
  </si>
  <si>
    <r>
      <rPr>
        <sz val="10"/>
        <rFont val="DejaVu Sans"/>
        <family val="2"/>
      </rPr>
      <t>정책연구</t>
    </r>
    <r>
      <rPr>
        <sz val="10"/>
        <rFont val="맑은 고딕"/>
        <family val="3"/>
        <charset val="129"/>
      </rPr>
      <t>/</t>
    </r>
    <r>
      <rPr>
        <sz val="10"/>
        <rFont val="DejaVu Sans"/>
        <family val="2"/>
      </rPr>
      <t>기금운용</t>
    </r>
  </si>
  <si>
    <t>즉시 채용</t>
  </si>
  <si>
    <r>
      <rPr>
        <sz val="10"/>
        <rFont val="DejaVu Sans"/>
        <family val="2"/>
      </rPr>
      <t xml:space="preserve">적합직무 부족 </t>
    </r>
    <r>
      <rPr>
        <sz val="10"/>
        <rFont val="맑은 고딕"/>
        <family val="3"/>
        <charset val="129"/>
      </rPr>
      <t xml:space="preserve">/ </t>
    </r>
    <r>
      <rPr>
        <sz val="10"/>
        <rFont val="DejaVu Sans"/>
        <family val="2"/>
      </rPr>
      <t xml:space="preserve">장애인력 부족 </t>
    </r>
    <r>
      <rPr>
        <sz val="10"/>
        <rFont val="맑은 고딕"/>
        <family val="3"/>
        <charset val="129"/>
      </rPr>
      <t xml:space="preserve">/ </t>
    </r>
    <r>
      <rPr>
        <sz val="10"/>
        <rFont val="DejaVu Sans"/>
        <family val="2"/>
      </rPr>
      <t>고용노하우 부족</t>
    </r>
  </si>
  <si>
    <r>
      <rPr>
        <sz val="10"/>
        <rFont val="DejaVu Sans"/>
        <family val="2"/>
      </rPr>
      <t>사무</t>
    </r>
    <r>
      <rPr>
        <sz val="10"/>
        <rFont val="맑은 고딕"/>
        <family val="3"/>
        <charset val="129"/>
      </rPr>
      <t>·</t>
    </r>
    <r>
      <rPr>
        <sz val="10"/>
        <rFont val="DejaVu Sans"/>
        <family val="2"/>
      </rPr>
      <t>행정 지원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고객응대 보조</t>
    </r>
  </si>
  <si>
    <t>조예슬</t>
  </si>
  <si>
    <r>
      <rPr>
        <sz val="10"/>
        <rFont val="DejaVu Sans"/>
        <family val="2"/>
      </rPr>
      <t xml:space="preserve">공공기관 신규지정→모범사례 </t>
    </r>
    <r>
      <rPr>
        <sz val="10"/>
        <rFont val="맑은 고딕"/>
        <family val="3"/>
        <charset val="129"/>
      </rPr>
      <t>/ 8</t>
    </r>
    <r>
      <rPr>
        <sz val="10"/>
        <rFont val="DejaVu Sans"/>
        <family val="2"/>
      </rPr>
      <t>명 즉시 채용 의지 높음</t>
    </r>
  </si>
  <si>
    <t>케이티서비스남부</t>
  </si>
  <si>
    <r>
      <rPr>
        <sz val="10"/>
        <rFont val="DejaVu Sans"/>
        <family val="2"/>
      </rPr>
      <t>케이블설치</t>
    </r>
    <r>
      <rPr>
        <sz val="10"/>
        <rFont val="맑은 고딕"/>
        <family val="3"/>
        <charset val="129"/>
      </rPr>
      <t>(</t>
    </r>
    <r>
      <rPr>
        <sz val="10"/>
        <rFont val="DejaVu Sans"/>
        <family val="2"/>
      </rPr>
      <t>방송통신</t>
    </r>
    <r>
      <rPr>
        <sz val="10"/>
        <rFont val="맑은 고딕"/>
        <family val="3"/>
        <charset val="129"/>
      </rPr>
      <t>)</t>
    </r>
  </si>
  <si>
    <t>대전</t>
  </si>
  <si>
    <r>
      <rPr>
        <sz val="10"/>
        <rFont val="맑은 고딕"/>
        <family val="3"/>
        <charset val="129"/>
      </rPr>
      <t>'26</t>
    </r>
    <r>
      <rPr>
        <sz val="10"/>
        <rFont val="DejaVu Sans"/>
        <family val="2"/>
      </rPr>
      <t>년 상시</t>
    </r>
  </si>
  <si>
    <r>
      <rPr>
        <sz val="10"/>
        <rFont val="맑은 고딕"/>
        <family val="3"/>
        <charset val="129"/>
      </rPr>
      <t xml:space="preserve">IT/AI </t>
    </r>
    <r>
      <rPr>
        <sz val="10"/>
        <rFont val="DejaVu Sans"/>
        <family val="2"/>
      </rPr>
      <t>활용 사무분야</t>
    </r>
  </si>
  <si>
    <r>
      <rPr>
        <sz val="10"/>
        <rFont val="DejaVu Sans"/>
        <family val="2"/>
      </rPr>
      <t xml:space="preserve">현장→사무 전환 가능 직무 발굴 </t>
    </r>
    <r>
      <rPr>
        <sz val="10"/>
        <rFont val="맑은 고딕"/>
        <family val="3"/>
        <charset val="129"/>
      </rPr>
      <t>/ IT</t>
    </r>
    <r>
      <rPr>
        <sz val="10"/>
        <rFont val="DejaVu Sans"/>
        <family val="2"/>
      </rPr>
      <t>분야 전문인력 채용 연계</t>
    </r>
  </si>
  <si>
    <t>한국국제교류재단</t>
  </si>
  <si>
    <r>
      <rPr>
        <sz val="10"/>
        <rFont val="DejaVu Sans"/>
        <family val="2"/>
      </rPr>
      <t>국제교류</t>
    </r>
    <r>
      <rPr>
        <sz val="10"/>
        <rFont val="맑은 고딕"/>
        <family val="3"/>
        <charset val="129"/>
      </rPr>
      <t>(</t>
    </r>
    <r>
      <rPr>
        <sz val="10"/>
        <rFont val="DejaVu Sans"/>
        <family val="2"/>
      </rPr>
      <t>공공외교</t>
    </r>
    <r>
      <rPr>
        <sz val="10"/>
        <rFont val="맑은 고딕"/>
        <family val="3"/>
        <charset val="129"/>
      </rPr>
      <t>)</t>
    </r>
  </si>
  <si>
    <t>제주</t>
  </si>
  <si>
    <r>
      <rPr>
        <sz val="10"/>
        <rFont val="맑은 고딕"/>
        <family val="3"/>
        <charset val="129"/>
      </rPr>
      <t>'26</t>
    </r>
    <r>
      <rPr>
        <sz val="10"/>
        <rFont val="DejaVu Sans"/>
        <family val="2"/>
      </rPr>
      <t xml:space="preserve">년 </t>
    </r>
    <r>
      <rPr>
        <sz val="10"/>
        <rFont val="맑은 고딕"/>
        <family val="3"/>
        <charset val="129"/>
      </rPr>
      <t>3/4</t>
    </r>
    <r>
      <rPr>
        <sz val="10"/>
        <rFont val="DejaVu Sans"/>
        <family val="2"/>
      </rPr>
      <t>분기</t>
    </r>
  </si>
  <si>
    <r>
      <rPr>
        <sz val="10"/>
        <rFont val="DejaVu Sans"/>
        <family val="2"/>
      </rPr>
      <t>국제교류 사무행정</t>
    </r>
    <r>
      <rPr>
        <sz val="10"/>
        <rFont val="맑은 고딕"/>
        <family val="3"/>
        <charset val="129"/>
      </rPr>
      <t xml:space="preserve">, AI </t>
    </r>
    <r>
      <rPr>
        <sz val="10"/>
        <rFont val="DejaVu Sans"/>
        <family val="2"/>
      </rPr>
      <t>활용 직무</t>
    </r>
  </si>
  <si>
    <r>
      <rPr>
        <sz val="10"/>
        <rFont val="DejaVu Sans"/>
        <family val="2"/>
      </rPr>
      <t xml:space="preserve">장애인 인식개선 선도기관 </t>
    </r>
    <r>
      <rPr>
        <sz val="10"/>
        <rFont val="맑은 고딕"/>
        <family val="3"/>
        <charset val="129"/>
      </rPr>
      <t xml:space="preserve">/ </t>
    </r>
    <r>
      <rPr>
        <sz val="10"/>
        <rFont val="DejaVu Sans"/>
        <family val="2"/>
      </rPr>
      <t>제주 소재 근무환경 고려</t>
    </r>
  </si>
  <si>
    <t>해양환경공단</t>
  </si>
  <si>
    <t>환경 엔지니어링</t>
  </si>
  <si>
    <r>
      <rPr>
        <sz val="10"/>
        <rFont val="맑은 고딕"/>
        <family val="3"/>
        <charset val="129"/>
      </rPr>
      <t>'26</t>
    </r>
    <r>
      <rPr>
        <sz val="10"/>
        <rFont val="DejaVu Sans"/>
        <family val="2"/>
      </rPr>
      <t>년 하반기</t>
    </r>
  </si>
  <si>
    <r>
      <rPr>
        <sz val="10"/>
        <rFont val="맑은 고딕"/>
        <family val="3"/>
        <charset val="129"/>
      </rPr>
      <t>AI·</t>
    </r>
    <r>
      <rPr>
        <sz val="10"/>
        <rFont val="DejaVu Sans"/>
        <family val="2"/>
      </rPr>
      <t>디지털 활용</t>
    </r>
    <r>
      <rPr>
        <sz val="10"/>
        <rFont val="맑은 고딕"/>
        <family val="3"/>
        <charset val="129"/>
      </rPr>
      <t>, ESG</t>
    </r>
    <r>
      <rPr>
        <sz val="10"/>
        <rFont val="DejaVu Sans"/>
        <family val="2"/>
      </rPr>
      <t>경영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해양환경교육</t>
    </r>
  </si>
  <si>
    <r>
      <rPr>
        <sz val="10"/>
        <rFont val="맑은 고딕"/>
        <family val="3"/>
        <charset val="129"/>
      </rPr>
      <t>25</t>
    </r>
    <r>
      <rPr>
        <sz val="10"/>
        <rFont val="DejaVu Sans"/>
        <family val="2"/>
      </rPr>
      <t xml:space="preserve">년 개별컨설팅 후속사업 </t>
    </r>
    <r>
      <rPr>
        <sz val="10"/>
        <rFont val="맑은 고딕"/>
        <family val="3"/>
        <charset val="129"/>
      </rPr>
      <t xml:space="preserve">/ </t>
    </r>
    <r>
      <rPr>
        <sz val="10"/>
        <rFont val="DejaVu Sans"/>
        <family val="2"/>
      </rPr>
      <t>경력개발계획</t>
    </r>
    <r>
      <rPr>
        <sz val="10"/>
        <rFont val="맑은 고딕"/>
        <family val="3"/>
        <charset val="129"/>
      </rPr>
      <t xml:space="preserve">(CDP) </t>
    </r>
    <r>
      <rPr>
        <sz val="10"/>
        <rFont val="DejaVu Sans"/>
        <family val="2"/>
      </rPr>
      <t>연계</t>
    </r>
  </si>
  <si>
    <r>
      <rPr>
        <b/>
        <sz val="10"/>
        <rFont val="DejaVu Sans"/>
        <family val="2"/>
      </rPr>
      <t>합계</t>
    </r>
    <r>
      <rPr>
        <b/>
        <sz val="10"/>
        <rFont val="맑은 고딕"/>
        <family val="3"/>
        <charset val="129"/>
      </rPr>
      <t>/</t>
    </r>
    <r>
      <rPr>
        <b/>
        <sz val="10"/>
        <rFont val="DejaVu Sans"/>
        <family val="2"/>
      </rPr>
      <t>평균</t>
    </r>
  </si>
  <si>
    <r>
      <rPr>
        <b/>
        <sz val="14"/>
        <rFont val="맑은 고딕"/>
        <family val="3"/>
        <charset val="129"/>
      </rPr>
      <t>2026</t>
    </r>
    <r>
      <rPr>
        <b/>
        <sz val="14"/>
        <rFont val="DejaVu Sans"/>
        <family val="2"/>
      </rPr>
      <t xml:space="preserve">년 선도기업 컨설팅 진행 현황 </t>
    </r>
    <r>
      <rPr>
        <b/>
        <sz val="14"/>
        <rFont val="맑은 고딕"/>
        <family val="3"/>
        <charset val="129"/>
      </rPr>
      <t xml:space="preserve">(5M·10S </t>
    </r>
    <r>
      <rPr>
        <b/>
        <sz val="14"/>
        <rFont val="DejaVu Sans"/>
        <family val="2"/>
      </rPr>
      <t>기반</t>
    </r>
    <r>
      <rPr>
        <b/>
        <sz val="14"/>
        <rFont val="맑은 고딕"/>
        <family val="3"/>
        <charset val="129"/>
      </rPr>
      <t>)</t>
    </r>
  </si>
  <si>
    <r>
      <rPr>
        <i/>
        <sz val="9"/>
        <color rgb="FF666666"/>
        <rFont val="DejaVu Sans"/>
        <family val="2"/>
      </rPr>
      <t>상태</t>
    </r>
    <r>
      <rPr>
        <i/>
        <sz val="9"/>
        <color rgb="FF666666"/>
        <rFont val="맑은 고딕"/>
        <family val="3"/>
        <charset val="129"/>
      </rPr>
      <t xml:space="preserve">: ① </t>
    </r>
    <r>
      <rPr>
        <i/>
        <sz val="9"/>
        <color rgb="FF666666"/>
        <rFont val="DejaVu Sans"/>
        <family val="2"/>
      </rPr>
      <t xml:space="preserve">대기  ② 일정확정  ③ 진행중  ④ 완료  ⑤ 지연  </t>
    </r>
    <r>
      <rPr>
        <i/>
        <sz val="9"/>
        <color rgb="FF666666"/>
        <rFont val="맑은 고딕"/>
        <family val="3"/>
        <charset val="129"/>
      </rPr>
      <t xml:space="preserve">|  % </t>
    </r>
    <r>
      <rPr>
        <i/>
        <sz val="9"/>
        <color rgb="FF666666"/>
        <rFont val="DejaVu Sans"/>
        <family val="2"/>
      </rPr>
      <t xml:space="preserve">는 </t>
    </r>
    <r>
      <rPr>
        <i/>
        <sz val="9"/>
        <color rgb="FF666666"/>
        <rFont val="맑은 고딕"/>
        <family val="3"/>
        <charset val="129"/>
      </rPr>
      <t>10</t>
    </r>
    <r>
      <rPr>
        <i/>
        <sz val="9"/>
        <color rgb="FF666666"/>
        <rFont val="DejaVu Sans"/>
        <family val="2"/>
      </rPr>
      <t xml:space="preserve">단계 중 완료 단계 </t>
    </r>
    <r>
      <rPr>
        <i/>
        <sz val="9"/>
        <color rgb="FF666666"/>
        <rFont val="맑은 고딕"/>
        <family val="3"/>
        <charset val="129"/>
      </rPr>
      <t>÷ 10</t>
    </r>
  </si>
  <si>
    <t>고객사 정보</t>
  </si>
  <si>
    <r>
      <rPr>
        <b/>
        <sz val="10"/>
        <color rgb="FF1F2937"/>
        <rFont val="맑은 고딕"/>
        <family val="3"/>
        <charset val="129"/>
      </rPr>
      <t xml:space="preserve">M1. </t>
    </r>
    <r>
      <rPr>
        <b/>
        <sz val="10"/>
        <color rgb="FF1F2937"/>
        <rFont val="DejaVu Sans"/>
        <family val="2"/>
      </rPr>
      <t>요구분석</t>
    </r>
  </si>
  <si>
    <r>
      <rPr>
        <b/>
        <sz val="10"/>
        <color rgb="FF1F2937"/>
        <rFont val="맑은 고딕"/>
        <family val="3"/>
        <charset val="129"/>
      </rPr>
      <t xml:space="preserve">M2. </t>
    </r>
    <r>
      <rPr>
        <b/>
        <sz val="10"/>
        <color rgb="FF1F2937"/>
        <rFont val="DejaVu Sans"/>
        <family val="2"/>
      </rPr>
      <t>적합 직무 발굴</t>
    </r>
  </si>
  <si>
    <r>
      <rPr>
        <b/>
        <sz val="10"/>
        <color rgb="FF1F2937"/>
        <rFont val="맑은 고딕"/>
        <family val="3"/>
        <charset val="129"/>
      </rPr>
      <t xml:space="preserve">M3. </t>
    </r>
    <r>
      <rPr>
        <b/>
        <sz val="10"/>
        <color rgb="FF1F2937"/>
        <rFont val="DejaVu Sans"/>
        <family val="2"/>
      </rPr>
      <t>적합 직무 선정</t>
    </r>
  </si>
  <si>
    <r>
      <rPr>
        <b/>
        <sz val="10"/>
        <color rgb="FF1F2937"/>
        <rFont val="맑은 고딕"/>
        <family val="3"/>
        <charset val="129"/>
      </rPr>
      <t xml:space="preserve">M4. </t>
    </r>
    <r>
      <rPr>
        <b/>
        <sz val="10"/>
        <color rgb="FF1F2937"/>
        <rFont val="DejaVu Sans"/>
        <family val="2"/>
      </rPr>
      <t>직무분석</t>
    </r>
    <r>
      <rPr>
        <b/>
        <sz val="10"/>
        <color rgb="FF1F2937"/>
        <rFont val="맑은 고딕"/>
        <family val="3"/>
        <charset val="129"/>
      </rPr>
      <t>·</t>
    </r>
    <r>
      <rPr>
        <b/>
        <sz val="10"/>
        <color rgb="FF1F2937"/>
        <rFont val="DejaVu Sans"/>
        <family val="2"/>
      </rPr>
      <t>프로파일</t>
    </r>
  </si>
  <si>
    <r>
      <rPr>
        <b/>
        <sz val="10"/>
        <color rgb="FF1F2937"/>
        <rFont val="맑은 고딕"/>
        <family val="3"/>
        <charset val="129"/>
      </rPr>
      <t xml:space="preserve">M5. </t>
    </r>
    <r>
      <rPr>
        <b/>
        <sz val="10"/>
        <color rgb="FF1F2937"/>
        <rFont val="DejaVu Sans"/>
        <family val="2"/>
      </rPr>
      <t>활용</t>
    </r>
    <r>
      <rPr>
        <b/>
        <sz val="10"/>
        <color rgb="FF1F2937"/>
        <rFont val="맑은 고딕"/>
        <family val="3"/>
        <charset val="129"/>
      </rPr>
      <t>·</t>
    </r>
    <r>
      <rPr>
        <b/>
        <sz val="10"/>
        <color rgb="FF1F2937"/>
        <rFont val="DejaVu Sans"/>
        <family val="2"/>
      </rPr>
      <t>확산</t>
    </r>
  </si>
  <si>
    <t>진척도</t>
  </si>
  <si>
    <r>
      <rPr>
        <b/>
        <sz val="10"/>
        <color rgb="FFFFFFFF"/>
        <rFont val="맑은 고딕"/>
        <family val="3"/>
        <charset val="129"/>
      </rPr>
      <t>S1.</t>
    </r>
    <r>
      <rPr>
        <b/>
        <sz val="10"/>
        <color rgb="FFFFFFFF"/>
        <rFont val="DejaVu Sans"/>
        <family val="2"/>
      </rPr>
      <t xml:space="preserve">요구분석 </t>
    </r>
    <r>
      <rPr>
        <b/>
        <sz val="10"/>
        <color rgb="FFFFFFFF"/>
        <rFont val="맑은 고딕"/>
        <family val="3"/>
        <charset val="129"/>
      </rPr>
      <t>W/S</t>
    </r>
  </si>
  <si>
    <r>
      <rPr>
        <b/>
        <sz val="10"/>
        <color rgb="FFFFFFFF"/>
        <rFont val="맑은 고딕"/>
        <family val="3"/>
        <charset val="129"/>
      </rPr>
      <t>S2.</t>
    </r>
    <r>
      <rPr>
        <b/>
        <sz val="10"/>
        <color rgb="FFFFFFFF"/>
        <rFont val="DejaVu Sans"/>
        <family val="2"/>
      </rPr>
      <t>전략방향 수립</t>
    </r>
  </si>
  <si>
    <r>
      <rPr>
        <b/>
        <sz val="10"/>
        <color rgb="FFFFFFFF"/>
        <rFont val="맑은 고딕"/>
        <family val="3"/>
        <charset val="129"/>
      </rPr>
      <t>S3.</t>
    </r>
    <r>
      <rPr>
        <b/>
        <sz val="10"/>
        <color rgb="FFFFFFFF"/>
        <rFont val="DejaVu Sans"/>
        <family val="2"/>
      </rPr>
      <t xml:space="preserve">후보 발굴 </t>
    </r>
    <r>
      <rPr>
        <b/>
        <sz val="10"/>
        <color rgb="FFFFFFFF"/>
        <rFont val="맑은 고딕"/>
        <family val="3"/>
        <charset val="129"/>
      </rPr>
      <t>W/S</t>
    </r>
  </si>
  <si>
    <r>
      <rPr>
        <b/>
        <sz val="10"/>
        <color rgb="FFFFFFFF"/>
        <rFont val="맑은 고딕"/>
        <family val="3"/>
        <charset val="129"/>
      </rPr>
      <t>S4.</t>
    </r>
    <r>
      <rPr>
        <b/>
        <sz val="10"/>
        <color rgb="FFFFFFFF"/>
        <rFont val="DejaVu Sans"/>
        <family val="2"/>
      </rPr>
      <t>후보군 도출</t>
    </r>
  </si>
  <si>
    <r>
      <rPr>
        <b/>
        <sz val="10"/>
        <color rgb="FFFFFFFF"/>
        <rFont val="맑은 고딕"/>
        <family val="3"/>
        <charset val="129"/>
      </rPr>
      <t>S5.</t>
    </r>
    <r>
      <rPr>
        <b/>
        <sz val="10"/>
        <color rgb="FFFFFFFF"/>
        <rFont val="DejaVu Sans"/>
        <family val="2"/>
      </rPr>
      <t xml:space="preserve">평가 </t>
    </r>
    <r>
      <rPr>
        <b/>
        <sz val="10"/>
        <color rgb="FFFFFFFF"/>
        <rFont val="맑은 고딕"/>
        <family val="3"/>
        <charset val="129"/>
      </rPr>
      <t>W/S</t>
    </r>
  </si>
  <si>
    <r>
      <rPr>
        <b/>
        <sz val="10"/>
        <color rgb="FFFFFFFF"/>
        <rFont val="맑은 고딕"/>
        <family val="3"/>
        <charset val="129"/>
      </rPr>
      <t>S6.</t>
    </r>
    <r>
      <rPr>
        <b/>
        <sz val="10"/>
        <color rgb="FFFFFFFF"/>
        <rFont val="DejaVu Sans"/>
        <family val="2"/>
      </rPr>
      <t>개발대상 선정</t>
    </r>
  </si>
  <si>
    <r>
      <rPr>
        <b/>
        <sz val="10"/>
        <color rgb="FFFFFFFF"/>
        <rFont val="맑은 고딕"/>
        <family val="3"/>
        <charset val="129"/>
      </rPr>
      <t>S7.</t>
    </r>
    <r>
      <rPr>
        <b/>
        <sz val="10"/>
        <color rgb="FFFFFFFF"/>
        <rFont val="DejaVu Sans"/>
        <family val="2"/>
      </rPr>
      <t xml:space="preserve">직무분석 </t>
    </r>
    <r>
      <rPr>
        <b/>
        <sz val="10"/>
        <color rgb="FFFFFFFF"/>
        <rFont val="맑은 고딕"/>
        <family val="3"/>
        <charset val="129"/>
      </rPr>
      <t>W/S</t>
    </r>
  </si>
  <si>
    <r>
      <rPr>
        <b/>
        <sz val="10"/>
        <color rgb="FFFFFFFF"/>
        <rFont val="맑은 고딕"/>
        <family val="3"/>
        <charset val="129"/>
      </rPr>
      <t>S8.</t>
    </r>
    <r>
      <rPr>
        <b/>
        <sz val="10"/>
        <color rgb="FFFFFFFF"/>
        <rFont val="DejaVu Sans"/>
        <family val="2"/>
      </rPr>
      <t>프로파일 개발</t>
    </r>
  </si>
  <si>
    <r>
      <rPr>
        <b/>
        <sz val="10"/>
        <color rgb="FFFFFFFF"/>
        <rFont val="맑은 고딕"/>
        <family val="3"/>
        <charset val="129"/>
      </rPr>
      <t>S9.</t>
    </r>
    <r>
      <rPr>
        <b/>
        <sz val="10"/>
        <color rgb="FFFFFFFF"/>
        <rFont val="DejaVu Sans"/>
        <family val="2"/>
      </rPr>
      <t xml:space="preserve">확산 </t>
    </r>
    <r>
      <rPr>
        <b/>
        <sz val="10"/>
        <color rgb="FFFFFFFF"/>
        <rFont val="맑은 고딕"/>
        <family val="3"/>
        <charset val="129"/>
      </rPr>
      <t>W/S</t>
    </r>
  </si>
  <si>
    <r>
      <rPr>
        <b/>
        <sz val="10"/>
        <color rgb="FFFFFFFF"/>
        <rFont val="맑은 고딕"/>
        <family val="3"/>
        <charset val="129"/>
      </rPr>
      <t>S10.</t>
    </r>
    <r>
      <rPr>
        <b/>
        <sz val="10"/>
        <color rgb="FFFFFFFF"/>
        <rFont val="DejaVu Sans"/>
        <family val="2"/>
      </rPr>
      <t>확산 도구 개발</t>
    </r>
  </si>
  <si>
    <t>완료단계</t>
  </si>
  <si>
    <r>
      <rPr>
        <b/>
        <sz val="10"/>
        <color rgb="FFFFFFFF"/>
        <rFont val="DejaVu Sans"/>
        <family val="2"/>
      </rPr>
      <t>진행률</t>
    </r>
    <r>
      <rPr>
        <b/>
        <sz val="10"/>
        <color rgb="FFFFFFFF"/>
        <rFont val="맑은 고딕"/>
        <family val="3"/>
        <charset val="129"/>
      </rPr>
      <t>%</t>
    </r>
  </si>
  <si>
    <t>비고</t>
  </si>
  <si>
    <t>계획일</t>
  </si>
  <si>
    <t>실시일</t>
  </si>
  <si>
    <t>상태</t>
  </si>
  <si>
    <t>범례 및 작업 가이드</t>
  </si>
  <si>
    <t>구분</t>
  </si>
  <si>
    <t>코드</t>
  </si>
  <si>
    <t>의미</t>
  </si>
  <si>
    <t>모듈</t>
  </si>
  <si>
    <t>M1</t>
  </si>
  <si>
    <t>요구분석</t>
  </si>
  <si>
    <r>
      <rPr>
        <sz val="10"/>
        <rFont val="맑은 고딕"/>
        <family val="3"/>
        <charset val="129"/>
      </rPr>
      <t xml:space="preserve">S1 </t>
    </r>
    <r>
      <rPr>
        <sz val="10"/>
        <rFont val="DejaVu Sans"/>
        <family val="2"/>
      </rPr>
      <t xml:space="preserve">요구분석 </t>
    </r>
    <r>
      <rPr>
        <sz val="10"/>
        <rFont val="맑은 고딕"/>
        <family val="3"/>
        <charset val="129"/>
      </rPr>
      <t xml:space="preserve">W/S, S2 </t>
    </r>
    <r>
      <rPr>
        <sz val="10"/>
        <rFont val="DejaVu Sans"/>
        <family val="2"/>
      </rPr>
      <t>전략방향 수립</t>
    </r>
  </si>
  <si>
    <t>M2</t>
  </si>
  <si>
    <t>적합 직무 발굴</t>
  </si>
  <si>
    <r>
      <rPr>
        <sz val="10"/>
        <rFont val="맑은 고딕"/>
        <family val="3"/>
        <charset val="129"/>
      </rPr>
      <t xml:space="preserve">S3 </t>
    </r>
    <r>
      <rPr>
        <sz val="10"/>
        <rFont val="DejaVu Sans"/>
        <family val="2"/>
      </rPr>
      <t xml:space="preserve">후보 발굴 </t>
    </r>
    <r>
      <rPr>
        <sz val="10"/>
        <rFont val="맑은 고딕"/>
        <family val="3"/>
        <charset val="129"/>
      </rPr>
      <t xml:space="preserve">W/S, S4 </t>
    </r>
    <r>
      <rPr>
        <sz val="10"/>
        <rFont val="DejaVu Sans"/>
        <family val="2"/>
      </rPr>
      <t>후보군 도출</t>
    </r>
  </si>
  <si>
    <t>M3</t>
  </si>
  <si>
    <t>적합 직무 선정</t>
  </si>
  <si>
    <r>
      <rPr>
        <sz val="10"/>
        <rFont val="맑은 고딕"/>
        <family val="3"/>
        <charset val="129"/>
      </rPr>
      <t xml:space="preserve">S5 </t>
    </r>
    <r>
      <rPr>
        <sz val="10"/>
        <rFont val="DejaVu Sans"/>
        <family val="2"/>
      </rPr>
      <t xml:space="preserve">평가 </t>
    </r>
    <r>
      <rPr>
        <sz val="10"/>
        <rFont val="맑은 고딕"/>
        <family val="3"/>
        <charset val="129"/>
      </rPr>
      <t xml:space="preserve">W/S, S6 </t>
    </r>
    <r>
      <rPr>
        <sz val="10"/>
        <rFont val="DejaVu Sans"/>
        <family val="2"/>
      </rPr>
      <t>개발대상 선정</t>
    </r>
  </si>
  <si>
    <t>M4</t>
  </si>
  <si>
    <r>
      <rPr>
        <sz val="10"/>
        <rFont val="DejaVu Sans"/>
        <family val="2"/>
      </rPr>
      <t>직무분석</t>
    </r>
    <r>
      <rPr>
        <sz val="10"/>
        <rFont val="맑은 고딕"/>
        <family val="3"/>
        <charset val="129"/>
      </rPr>
      <t>·</t>
    </r>
    <r>
      <rPr>
        <sz val="10"/>
        <rFont val="DejaVu Sans"/>
        <family val="2"/>
      </rPr>
      <t>프로파일</t>
    </r>
  </si>
  <si>
    <r>
      <rPr>
        <sz val="10"/>
        <rFont val="맑은 고딕"/>
        <family val="3"/>
        <charset val="129"/>
      </rPr>
      <t xml:space="preserve">S7 </t>
    </r>
    <r>
      <rPr>
        <sz val="10"/>
        <rFont val="DejaVu Sans"/>
        <family val="2"/>
      </rPr>
      <t xml:space="preserve">직무분석 </t>
    </r>
    <r>
      <rPr>
        <sz val="10"/>
        <rFont val="맑은 고딕"/>
        <family val="3"/>
        <charset val="129"/>
      </rPr>
      <t xml:space="preserve">W/S, S8 </t>
    </r>
    <r>
      <rPr>
        <sz val="10"/>
        <rFont val="DejaVu Sans"/>
        <family val="2"/>
      </rPr>
      <t>프로파일 개발</t>
    </r>
  </si>
  <si>
    <t>M5</t>
  </si>
  <si>
    <r>
      <rPr>
        <sz val="10"/>
        <rFont val="DejaVu Sans"/>
        <family val="2"/>
      </rPr>
      <t>활용</t>
    </r>
    <r>
      <rPr>
        <sz val="10"/>
        <rFont val="맑은 고딕"/>
        <family val="3"/>
        <charset val="129"/>
      </rPr>
      <t>·</t>
    </r>
    <r>
      <rPr>
        <sz val="10"/>
        <rFont val="DejaVu Sans"/>
        <family val="2"/>
      </rPr>
      <t>확산</t>
    </r>
  </si>
  <si>
    <r>
      <rPr>
        <sz val="10"/>
        <rFont val="맑은 고딕"/>
        <family val="3"/>
        <charset val="129"/>
      </rPr>
      <t xml:space="preserve">S9 </t>
    </r>
    <r>
      <rPr>
        <sz val="10"/>
        <rFont val="DejaVu Sans"/>
        <family val="2"/>
      </rPr>
      <t xml:space="preserve">확산 </t>
    </r>
    <r>
      <rPr>
        <sz val="10"/>
        <rFont val="맑은 고딕"/>
        <family val="3"/>
        <charset val="129"/>
      </rPr>
      <t xml:space="preserve">W/S, S10 </t>
    </r>
    <r>
      <rPr>
        <sz val="10"/>
        <rFont val="DejaVu Sans"/>
        <family val="2"/>
      </rPr>
      <t>확산 도구 개발</t>
    </r>
  </si>
  <si>
    <t>① 대기</t>
  </si>
  <si>
    <t>아직 착수 전</t>
  </si>
  <si>
    <t>회색</t>
  </si>
  <si>
    <t>② 일정확정</t>
  </si>
  <si>
    <t>일정 합의 완료</t>
  </si>
  <si>
    <t>파랑</t>
  </si>
  <si>
    <t>③ 진행중</t>
  </si>
  <si>
    <r>
      <rPr>
        <sz val="10"/>
        <rFont val="맑은 고딕"/>
        <family val="3"/>
        <charset val="129"/>
      </rPr>
      <t xml:space="preserve">W/S </t>
    </r>
    <r>
      <rPr>
        <sz val="10"/>
        <rFont val="DejaVu Sans"/>
        <family val="2"/>
      </rPr>
      <t>진행</t>
    </r>
    <r>
      <rPr>
        <sz val="10"/>
        <rFont val="맑은 고딕"/>
        <family val="3"/>
        <charset val="129"/>
      </rPr>
      <t>/</t>
    </r>
    <r>
      <rPr>
        <sz val="10"/>
        <rFont val="DejaVu Sans"/>
        <family val="2"/>
      </rPr>
      <t>분석 중</t>
    </r>
  </si>
  <si>
    <t>노랑</t>
  </si>
  <si>
    <t>④ 완료</t>
  </si>
  <si>
    <t>산출물 확정</t>
  </si>
  <si>
    <t>초록</t>
  </si>
  <si>
    <t>⑤ 지연</t>
  </si>
  <si>
    <t>원래 일정 대비 지연</t>
  </si>
  <si>
    <t>빨강</t>
  </si>
  <si>
    <t>컨설턴트</t>
  </si>
  <si>
    <t>PL</t>
  </si>
  <si>
    <r>
      <rPr>
        <sz val="10"/>
        <rFont val="DejaVu Sans"/>
        <family val="2"/>
      </rPr>
      <t>인천국제공항보안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한국국제교류재단</t>
    </r>
  </si>
  <si>
    <r>
      <rPr>
        <sz val="10"/>
        <rFont val="DejaVu Sans"/>
        <family val="2"/>
      </rPr>
      <t>자동차손해배상진흥원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케이티서비스남부</t>
    </r>
  </si>
  <si>
    <r>
      <rPr>
        <sz val="10"/>
        <rFont val="DejaVu Sans"/>
        <family val="2"/>
      </rPr>
      <t>성불복지회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어보브반도체</t>
    </r>
  </si>
  <si>
    <r>
      <rPr>
        <sz val="10"/>
        <rFont val="DejaVu Sans"/>
        <family val="2"/>
      </rPr>
      <t>해양환경공단</t>
    </r>
    <r>
      <rPr>
        <sz val="10"/>
        <rFont val="맑은 고딕"/>
        <family val="3"/>
        <charset val="129"/>
      </rPr>
      <t>(Main), 1~3</t>
    </r>
    <r>
      <rPr>
        <sz val="10"/>
        <rFont val="DejaVu Sans"/>
        <family val="2"/>
      </rPr>
      <t xml:space="preserve">번 </t>
    </r>
    <r>
      <rPr>
        <sz val="10"/>
        <rFont val="맑은 고딕"/>
        <family val="3"/>
        <charset val="129"/>
      </rPr>
      <t>Sub</t>
    </r>
  </si>
  <si>
    <t>PA</t>
  </si>
  <si>
    <r>
      <rPr>
        <sz val="10"/>
        <rFont val="맑은 고딕"/>
        <family val="3"/>
        <charset val="129"/>
      </rPr>
      <t>4~7</t>
    </r>
    <r>
      <rPr>
        <sz val="10"/>
        <rFont val="DejaVu Sans"/>
        <family val="2"/>
      </rPr>
      <t xml:space="preserve">번 </t>
    </r>
    <r>
      <rPr>
        <sz val="10"/>
        <rFont val="맑은 고딕"/>
        <family val="3"/>
        <charset val="129"/>
      </rPr>
      <t>Sub</t>
    </r>
  </si>
  <si>
    <t>작업 가이드</t>
  </si>
  <si>
    <t>1</t>
  </si>
  <si>
    <t>진행 현황 시트의 상태 셀은 드롭다운으로 선택 가능</t>
  </si>
  <si>
    <t>2</t>
  </si>
  <si>
    <r>
      <rPr>
        <sz val="10"/>
        <rFont val="DejaVu Sans"/>
        <family val="2"/>
      </rPr>
      <t>완료단계</t>
    </r>
    <r>
      <rPr>
        <sz val="10"/>
        <rFont val="맑은 고딕"/>
        <family val="3"/>
        <charset val="129"/>
      </rPr>
      <t>·</t>
    </r>
    <r>
      <rPr>
        <sz val="10"/>
        <rFont val="DejaVu Sans"/>
        <family val="2"/>
      </rPr>
      <t>진행률은 자동 계산</t>
    </r>
    <r>
      <rPr>
        <sz val="10"/>
        <rFont val="맑은 고딕"/>
        <family val="3"/>
        <charset val="129"/>
      </rPr>
      <t>(</t>
    </r>
    <r>
      <rPr>
        <sz val="10"/>
        <rFont val="DejaVu Sans"/>
        <family val="2"/>
      </rPr>
      <t>상태 셀 기준</t>
    </r>
    <r>
      <rPr>
        <sz val="10"/>
        <rFont val="맑은 고딕"/>
        <family val="3"/>
        <charset val="129"/>
      </rPr>
      <t>)</t>
    </r>
  </si>
  <si>
    <t>3</t>
  </si>
  <si>
    <r>
      <rPr>
        <sz val="10"/>
        <rFont val="DejaVu Sans"/>
        <family val="2"/>
      </rPr>
      <t xml:space="preserve">날짜는 </t>
    </r>
    <r>
      <rPr>
        <sz val="10"/>
        <rFont val="맑은 고딕"/>
        <family val="3"/>
        <charset val="129"/>
      </rPr>
      <t xml:space="preserve">yyyy-mm-dd </t>
    </r>
    <r>
      <rPr>
        <sz val="10"/>
        <rFont val="DejaVu Sans"/>
        <family val="2"/>
      </rPr>
      <t>형식으로 입력</t>
    </r>
  </si>
  <si>
    <t>4</t>
  </si>
  <si>
    <r>
      <rPr>
        <sz val="10"/>
        <rFont val="DejaVu Sans"/>
        <family val="2"/>
      </rPr>
      <t>기업명 가나다순 번호는 프로젝트 공식 번호</t>
    </r>
    <r>
      <rPr>
        <sz val="10"/>
        <rFont val="맑은 고딕"/>
        <family val="3"/>
        <charset val="129"/>
      </rPr>
      <t>(01~08)</t>
    </r>
  </si>
  <si>
    <t>이탈</t>
    <phoneticPr fontId="14" type="noConversion"/>
  </si>
  <si>
    <t>태광</t>
    <phoneticPr fontId="14" type="noConversion"/>
  </si>
  <si>
    <t>인천국제공항보안</t>
    <phoneticPr fontId="14" type="noConversion"/>
  </si>
  <si>
    <t>어보브반도체</t>
    <phoneticPr fontId="14" type="noConversion"/>
  </si>
  <si>
    <t>유승현</t>
    <phoneticPr fontId="14" type="noConversion"/>
  </si>
  <si>
    <t>안은하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</si>
</sst>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16">
    <font>
      <sz val="11"/>
      <color theme="1"/>
      <name val="Calibri"/>
      <family val="2"/>
      <charset val="1"/>
    </font>
    <font>
      <b/>
      <sz val="14"/>
      <name val="맑은 고딕"/>
      <family val="3"/>
      <charset val="129"/>
    </font>
    <font>
      <b/>
      <sz val="14"/>
      <name val="DejaVu Sans"/>
      <family val="2"/>
    </font>
    <font>
      <i/>
      <sz val="9"/>
      <color rgb="FF666666"/>
      <name val="DejaVu Sans"/>
      <family val="2"/>
    </font>
    <font>
      <i/>
      <sz val="9"/>
      <color rgb="FF666666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10"/>
      <color rgb="FFFFFFFF"/>
      <name val="DejaVu Sans"/>
      <family val="2"/>
    </font>
    <font>
      <sz val="10"/>
      <name val="맑은 고딕"/>
      <family val="3"/>
      <charset val="129"/>
    </font>
    <font>
      <sz val="10"/>
      <name val="DejaVu Sans"/>
      <family val="2"/>
    </font>
    <font>
      <b/>
      <sz val="10"/>
      <name val="DejaVu Sans"/>
      <family val="2"/>
    </font>
    <font>
      <b/>
      <sz val="10"/>
      <name val="맑은 고딕"/>
      <family val="3"/>
      <charset val="129"/>
    </font>
    <font>
      <b/>
      <sz val="10"/>
      <color rgb="FF1F2937"/>
      <name val="맑은 고딕"/>
      <family val="3"/>
      <charset val="129"/>
    </font>
    <font>
      <b/>
      <sz val="10"/>
      <color rgb="FF1F2937"/>
      <name val="DejaVu Sans"/>
      <family val="2"/>
    </font>
    <font>
      <b/>
      <sz val="9"/>
      <color rgb="FFFFFFFF"/>
      <name val="DejaVu Sans"/>
      <family val="2"/>
    </font>
    <font>
      <sz val="8"/>
      <name val="돋움"/>
      <family val="3"/>
      <charset val="129"/>
    </font>
    <font>
      <sz val="11"/>
      <color theme="1"/>
      <name val="맑은 고딕"/>
      <family val="2"/>
      <charset val="129"/>
    </font>
  </fonts>
  <fills count="10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D9D9"/>
        <bgColor rgb="FFDEEBF7"/>
      </patternFill>
    </fill>
    <fill>
      <patternFill patternType="solid">
        <fgColor rgb="FFE7F3FF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DEEBF7"/>
      </patternFill>
    </fill>
    <fill>
      <patternFill patternType="solid">
        <fgColor rgb="FFEDE7F6"/>
        <bgColor rgb="FFDEEBF7"/>
      </patternFill>
    </fill>
    <fill>
      <patternFill patternType="solid">
        <fgColor rgb="FF2E75B6"/>
        <bgColor rgb="FF0066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3" fontId="7" fillId="0" borderId="1" xfId="0" applyNumberFormat="1" applyFont="1" applyBorder="1" applyAlignment="1">
      <alignment horizontal="right" vertical="center" wrapText="1"/>
    </xf>
    <xf numFmtId="2" fontId="7" fillId="0" borderId="1" xfId="0" applyNumberFormat="1" applyFont="1" applyBorder="1" applyAlignment="1">
      <alignment horizontal="right" vertical="center" wrapText="1"/>
    </xf>
    <xf numFmtId="0" fontId="7" fillId="0" borderId="1" xfId="0" applyFont="1" applyBorder="1" applyAlignment="1">
      <alignment horizontal="left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/>
    <xf numFmtId="3" fontId="10" fillId="3" borderId="1" xfId="0" applyNumberFormat="1" applyFont="1" applyFill="1" applyBorder="1" applyAlignment="1">
      <alignment horizontal="right" vertical="center" wrapText="1"/>
    </xf>
    <xf numFmtId="2" fontId="10" fillId="3" borderId="1" xfId="0" applyNumberFormat="1" applyFont="1" applyFill="1" applyBorder="1" applyAlignment="1">
      <alignment horizontal="right" vertical="center" wrapText="1"/>
    </xf>
    <xf numFmtId="0" fontId="13" fillId="9" borderId="1" xfId="0" applyFont="1" applyFill="1" applyBorder="1" applyAlignment="1">
      <alignment horizontal="center" vertical="center" wrapText="1"/>
    </xf>
    <xf numFmtId="176" fontId="7" fillId="4" borderId="1" xfId="0" applyNumberFormat="1" applyFont="1" applyFill="1" applyBorder="1" applyAlignment="1">
      <alignment horizontal="center" vertical="center" wrapText="1"/>
    </xf>
    <xf numFmtId="176" fontId="7" fillId="5" borderId="1" xfId="0" applyNumberFormat="1" applyFont="1" applyFill="1" applyBorder="1" applyAlignment="1">
      <alignment horizontal="center" vertical="center" wrapText="1"/>
    </xf>
    <xf numFmtId="176" fontId="7" fillId="6" borderId="1" xfId="0" applyNumberFormat="1" applyFont="1" applyFill="1" applyBorder="1" applyAlignment="1">
      <alignment horizontal="center" vertical="center" wrapText="1"/>
    </xf>
    <xf numFmtId="176" fontId="7" fillId="7" borderId="1" xfId="0" applyNumberFormat="1" applyFont="1" applyFill="1" applyBorder="1" applyAlignment="1">
      <alignment horizontal="center" vertical="center" wrapText="1"/>
    </xf>
    <xf numFmtId="176" fontId="7" fillId="8" borderId="1" xfId="0" applyNumberFormat="1" applyFont="1" applyFill="1" applyBorder="1" applyAlignment="1">
      <alignment horizontal="center" vertical="center" wrapText="1"/>
    </xf>
    <xf numFmtId="1" fontId="7" fillId="0" borderId="1" xfId="0" applyNumberFormat="1" applyFont="1" applyBorder="1" applyAlignment="1">
      <alignment horizontal="center" vertical="center" wrapText="1"/>
    </xf>
    <xf numFmtId="9" fontId="7" fillId="0" borderId="1" xfId="0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1" fillId="0" borderId="0" xfId="0" applyFont="1"/>
    <xf numFmtId="0" fontId="3" fillId="0" borderId="0" xfId="0" applyFont="1"/>
    <xf numFmtId="0" fontId="6" fillId="9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2" fillId="0" borderId="0" xfId="0" applyFont="1"/>
    <xf numFmtId="0" fontId="15" fillId="0" borderId="0" xfId="0" applyFont="1"/>
  </cellXfs>
  <cellStyles count="1">
    <cellStyle name="표준" xfId="0" builtinId="0"/>
  </cellStyles>
  <dxfs count="50">
    <dxf>
      <font>
        <b/>
        <sz val="10"/>
        <color rgb="FF9C0006"/>
        <name val="맑은 고딕"/>
        <charset val="1"/>
      </font>
      <fill>
        <patternFill>
          <bgColor rgb="FFFFC7CE"/>
        </patternFill>
      </fill>
    </dxf>
    <dxf>
      <font>
        <b/>
        <sz val="10"/>
        <color rgb="FF006100"/>
        <name val="맑은 고딕"/>
        <charset val="1"/>
      </font>
      <fill>
        <patternFill>
          <bgColor rgb="FFC6EFCE"/>
        </patternFill>
      </fill>
    </dxf>
    <dxf>
      <font>
        <b/>
        <sz val="10"/>
        <color rgb="FF7F6000"/>
        <name val="맑은 고딕"/>
        <charset val="1"/>
      </font>
      <fill>
        <patternFill>
          <bgColor rgb="FFFFF2CC"/>
        </patternFill>
      </fill>
    </dxf>
    <dxf>
      <font>
        <b/>
        <sz val="10"/>
        <color rgb="FF1F4E78"/>
        <name val="맑은 고딕"/>
        <charset val="1"/>
      </font>
      <fill>
        <patternFill>
          <bgColor rgb="FFDEEBF7"/>
        </patternFill>
      </fill>
    </dxf>
    <dxf>
      <font>
        <b/>
        <sz val="10"/>
        <color rgb="FF595959"/>
        <name val="맑은 고딕"/>
        <charset val="1"/>
      </font>
      <fill>
        <patternFill>
          <bgColor rgb="FFF2F2F2"/>
        </patternFill>
      </fill>
    </dxf>
    <dxf>
      <font>
        <b/>
        <sz val="10"/>
        <color rgb="FF9C0006"/>
        <name val="맑은 고딕"/>
        <charset val="1"/>
      </font>
      <fill>
        <patternFill>
          <bgColor rgb="FFFFC7CE"/>
        </patternFill>
      </fill>
    </dxf>
    <dxf>
      <font>
        <b/>
        <sz val="10"/>
        <color rgb="FF006100"/>
        <name val="맑은 고딕"/>
        <charset val="1"/>
      </font>
      <fill>
        <patternFill>
          <bgColor rgb="FFC6EFCE"/>
        </patternFill>
      </fill>
    </dxf>
    <dxf>
      <font>
        <b/>
        <sz val="10"/>
        <color rgb="FF7F6000"/>
        <name val="맑은 고딕"/>
        <charset val="1"/>
      </font>
      <fill>
        <patternFill>
          <bgColor rgb="FFFFF2CC"/>
        </patternFill>
      </fill>
    </dxf>
    <dxf>
      <font>
        <b/>
        <sz val="10"/>
        <color rgb="FF1F4E78"/>
        <name val="맑은 고딕"/>
        <charset val="1"/>
      </font>
      <fill>
        <patternFill>
          <bgColor rgb="FFDEEBF7"/>
        </patternFill>
      </fill>
    </dxf>
    <dxf>
      <font>
        <b/>
        <sz val="10"/>
        <color rgb="FF595959"/>
        <name val="맑은 고딕"/>
        <charset val="1"/>
      </font>
      <fill>
        <patternFill>
          <bgColor rgb="FFF2F2F2"/>
        </patternFill>
      </fill>
    </dxf>
    <dxf>
      <font>
        <b/>
        <sz val="10"/>
        <color rgb="FF9C0006"/>
        <name val="맑은 고딕"/>
        <charset val="1"/>
      </font>
      <fill>
        <patternFill>
          <bgColor rgb="FFFFC7CE"/>
        </patternFill>
      </fill>
    </dxf>
    <dxf>
      <font>
        <b/>
        <sz val="10"/>
        <color rgb="FF006100"/>
        <name val="맑은 고딕"/>
        <charset val="1"/>
      </font>
      <fill>
        <patternFill>
          <bgColor rgb="FFC6EFCE"/>
        </patternFill>
      </fill>
    </dxf>
    <dxf>
      <font>
        <b/>
        <sz val="10"/>
        <color rgb="FF7F6000"/>
        <name val="맑은 고딕"/>
        <charset val="1"/>
      </font>
      <fill>
        <patternFill>
          <bgColor rgb="FFFFF2CC"/>
        </patternFill>
      </fill>
    </dxf>
    <dxf>
      <font>
        <b/>
        <sz val="10"/>
        <color rgb="FF1F4E78"/>
        <name val="맑은 고딕"/>
        <charset val="1"/>
      </font>
      <fill>
        <patternFill>
          <bgColor rgb="FFDEEBF7"/>
        </patternFill>
      </fill>
    </dxf>
    <dxf>
      <font>
        <b/>
        <sz val="10"/>
        <color rgb="FF595959"/>
        <name val="맑은 고딕"/>
        <charset val="1"/>
      </font>
      <fill>
        <patternFill>
          <bgColor rgb="FFF2F2F2"/>
        </patternFill>
      </fill>
    </dxf>
    <dxf>
      <font>
        <b/>
        <sz val="10"/>
        <color rgb="FF9C0006"/>
        <name val="맑은 고딕"/>
        <charset val="1"/>
      </font>
      <fill>
        <patternFill>
          <bgColor rgb="FFFFC7CE"/>
        </patternFill>
      </fill>
    </dxf>
    <dxf>
      <font>
        <b/>
        <sz val="10"/>
        <color rgb="FF006100"/>
        <name val="맑은 고딕"/>
        <charset val="1"/>
      </font>
      <fill>
        <patternFill>
          <bgColor rgb="FFC6EFCE"/>
        </patternFill>
      </fill>
    </dxf>
    <dxf>
      <font>
        <b/>
        <sz val="10"/>
        <color rgb="FF7F6000"/>
        <name val="맑은 고딕"/>
        <charset val="1"/>
      </font>
      <fill>
        <patternFill>
          <bgColor rgb="FFFFF2CC"/>
        </patternFill>
      </fill>
    </dxf>
    <dxf>
      <font>
        <b/>
        <sz val="10"/>
        <color rgb="FF1F4E78"/>
        <name val="맑은 고딕"/>
        <charset val="1"/>
      </font>
      <fill>
        <patternFill>
          <bgColor rgb="FFDEEBF7"/>
        </patternFill>
      </fill>
    </dxf>
    <dxf>
      <font>
        <b/>
        <sz val="10"/>
        <color rgb="FF595959"/>
        <name val="맑은 고딕"/>
        <charset val="1"/>
      </font>
      <fill>
        <patternFill>
          <bgColor rgb="FFF2F2F2"/>
        </patternFill>
      </fill>
    </dxf>
    <dxf>
      <font>
        <b/>
        <sz val="10"/>
        <color rgb="FF9C0006"/>
        <name val="맑은 고딕"/>
        <charset val="1"/>
      </font>
      <fill>
        <patternFill>
          <bgColor rgb="FFFFC7CE"/>
        </patternFill>
      </fill>
    </dxf>
    <dxf>
      <font>
        <b/>
        <sz val="10"/>
        <color rgb="FF006100"/>
        <name val="맑은 고딕"/>
        <charset val="1"/>
      </font>
      <fill>
        <patternFill>
          <bgColor rgb="FFC6EFCE"/>
        </patternFill>
      </fill>
    </dxf>
    <dxf>
      <font>
        <b/>
        <sz val="10"/>
        <color rgb="FF7F6000"/>
        <name val="맑은 고딕"/>
        <charset val="1"/>
      </font>
      <fill>
        <patternFill>
          <bgColor rgb="FFFFF2CC"/>
        </patternFill>
      </fill>
    </dxf>
    <dxf>
      <font>
        <b/>
        <sz val="10"/>
        <color rgb="FF1F4E78"/>
        <name val="맑은 고딕"/>
        <charset val="1"/>
      </font>
      <fill>
        <patternFill>
          <bgColor rgb="FFDEEBF7"/>
        </patternFill>
      </fill>
    </dxf>
    <dxf>
      <font>
        <b/>
        <sz val="10"/>
        <color rgb="FF595959"/>
        <name val="맑은 고딕"/>
        <charset val="1"/>
      </font>
      <fill>
        <patternFill>
          <bgColor rgb="FFF2F2F2"/>
        </patternFill>
      </fill>
    </dxf>
    <dxf>
      <font>
        <b/>
        <sz val="10"/>
        <color rgb="FF9C0006"/>
        <name val="맑은 고딕"/>
        <charset val="1"/>
      </font>
      <fill>
        <patternFill>
          <bgColor rgb="FFFFC7CE"/>
        </patternFill>
      </fill>
    </dxf>
    <dxf>
      <font>
        <b/>
        <sz val="10"/>
        <color rgb="FF006100"/>
        <name val="맑은 고딕"/>
        <charset val="1"/>
      </font>
      <fill>
        <patternFill>
          <bgColor rgb="FFC6EFCE"/>
        </patternFill>
      </fill>
    </dxf>
    <dxf>
      <font>
        <b/>
        <sz val="10"/>
        <color rgb="FF7F6000"/>
        <name val="맑은 고딕"/>
        <charset val="1"/>
      </font>
      <fill>
        <patternFill>
          <bgColor rgb="FFFFF2CC"/>
        </patternFill>
      </fill>
    </dxf>
    <dxf>
      <font>
        <b/>
        <sz val="10"/>
        <color rgb="FF1F4E78"/>
        <name val="맑은 고딕"/>
        <charset val="1"/>
      </font>
      <fill>
        <patternFill>
          <bgColor rgb="FFDEEBF7"/>
        </patternFill>
      </fill>
    </dxf>
    <dxf>
      <font>
        <b/>
        <sz val="10"/>
        <color rgb="FF595959"/>
        <name val="맑은 고딕"/>
        <charset val="1"/>
      </font>
      <fill>
        <patternFill>
          <bgColor rgb="FFF2F2F2"/>
        </patternFill>
      </fill>
    </dxf>
    <dxf>
      <font>
        <b/>
        <sz val="10"/>
        <color rgb="FF9C0006"/>
        <name val="맑은 고딕"/>
        <charset val="1"/>
      </font>
      <fill>
        <patternFill>
          <bgColor rgb="FFFFC7CE"/>
        </patternFill>
      </fill>
    </dxf>
    <dxf>
      <font>
        <b/>
        <sz val="10"/>
        <color rgb="FF006100"/>
        <name val="맑은 고딕"/>
        <charset val="1"/>
      </font>
      <fill>
        <patternFill>
          <bgColor rgb="FFC6EFCE"/>
        </patternFill>
      </fill>
    </dxf>
    <dxf>
      <font>
        <b/>
        <sz val="10"/>
        <color rgb="FF7F6000"/>
        <name val="맑은 고딕"/>
        <charset val="1"/>
      </font>
      <fill>
        <patternFill>
          <bgColor rgb="FFFFF2CC"/>
        </patternFill>
      </fill>
    </dxf>
    <dxf>
      <font>
        <b/>
        <sz val="10"/>
        <color rgb="FF1F4E78"/>
        <name val="맑은 고딕"/>
        <charset val="1"/>
      </font>
      <fill>
        <patternFill>
          <bgColor rgb="FFDEEBF7"/>
        </patternFill>
      </fill>
    </dxf>
    <dxf>
      <font>
        <b/>
        <sz val="10"/>
        <color rgb="FF595959"/>
        <name val="맑은 고딕"/>
        <charset val="1"/>
      </font>
      <fill>
        <patternFill>
          <bgColor rgb="FFF2F2F2"/>
        </patternFill>
      </fill>
    </dxf>
    <dxf>
      <font>
        <b/>
        <sz val="10"/>
        <color rgb="FF9C0006"/>
        <name val="맑은 고딕"/>
        <charset val="1"/>
      </font>
      <fill>
        <patternFill>
          <bgColor rgb="FFFFC7CE"/>
        </patternFill>
      </fill>
    </dxf>
    <dxf>
      <font>
        <b/>
        <sz val="10"/>
        <color rgb="FF006100"/>
        <name val="맑은 고딕"/>
        <charset val="1"/>
      </font>
      <fill>
        <patternFill>
          <bgColor rgb="FFC6EFCE"/>
        </patternFill>
      </fill>
    </dxf>
    <dxf>
      <font>
        <b/>
        <sz val="10"/>
        <color rgb="FF7F6000"/>
        <name val="맑은 고딕"/>
        <charset val="1"/>
      </font>
      <fill>
        <patternFill>
          <bgColor rgb="FFFFF2CC"/>
        </patternFill>
      </fill>
    </dxf>
    <dxf>
      <font>
        <b/>
        <sz val="10"/>
        <color rgb="FF1F4E78"/>
        <name val="맑은 고딕"/>
        <charset val="1"/>
      </font>
      <fill>
        <patternFill>
          <bgColor rgb="FFDEEBF7"/>
        </patternFill>
      </fill>
    </dxf>
    <dxf>
      <font>
        <b/>
        <sz val="10"/>
        <color rgb="FF595959"/>
        <name val="맑은 고딕"/>
        <charset val="1"/>
      </font>
      <fill>
        <patternFill>
          <bgColor rgb="FFF2F2F2"/>
        </patternFill>
      </fill>
    </dxf>
    <dxf>
      <font>
        <b/>
        <sz val="10"/>
        <color rgb="FF9C0006"/>
        <name val="맑은 고딕"/>
        <charset val="1"/>
      </font>
      <fill>
        <patternFill>
          <bgColor rgb="FFFFC7CE"/>
        </patternFill>
      </fill>
    </dxf>
    <dxf>
      <font>
        <b/>
        <sz val="10"/>
        <color rgb="FF006100"/>
        <name val="맑은 고딕"/>
        <charset val="1"/>
      </font>
      <fill>
        <patternFill>
          <bgColor rgb="FFC6EFCE"/>
        </patternFill>
      </fill>
    </dxf>
    <dxf>
      <font>
        <b/>
        <sz val="10"/>
        <color rgb="FF7F6000"/>
        <name val="맑은 고딕"/>
        <charset val="1"/>
      </font>
      <fill>
        <patternFill>
          <bgColor rgb="FFFFF2CC"/>
        </patternFill>
      </fill>
    </dxf>
    <dxf>
      <font>
        <b/>
        <sz val="10"/>
        <color rgb="FF1F4E78"/>
        <name val="맑은 고딕"/>
        <charset val="1"/>
      </font>
      <fill>
        <patternFill>
          <bgColor rgb="FFDEEBF7"/>
        </patternFill>
      </fill>
    </dxf>
    <dxf>
      <font>
        <b/>
        <sz val="10"/>
        <color rgb="FF595959"/>
        <name val="맑은 고딕"/>
        <charset val="1"/>
      </font>
      <fill>
        <patternFill>
          <bgColor rgb="FFF2F2F2"/>
        </patternFill>
      </fill>
    </dxf>
    <dxf>
      <font>
        <b/>
        <sz val="10"/>
        <color rgb="FF9C0006"/>
        <name val="맑은 고딕"/>
        <charset val="1"/>
      </font>
      <fill>
        <patternFill>
          <bgColor rgb="FFFFC7CE"/>
        </patternFill>
      </fill>
    </dxf>
    <dxf>
      <font>
        <b/>
        <sz val="10"/>
        <color rgb="FF006100"/>
        <name val="맑은 고딕"/>
        <charset val="1"/>
      </font>
      <fill>
        <patternFill>
          <bgColor rgb="FFC6EFCE"/>
        </patternFill>
      </fill>
    </dxf>
    <dxf>
      <font>
        <b/>
        <sz val="10"/>
        <color rgb="FF7F6000"/>
        <name val="맑은 고딕"/>
        <charset val="1"/>
      </font>
      <fill>
        <patternFill>
          <bgColor rgb="FFFFF2CC"/>
        </patternFill>
      </fill>
    </dxf>
    <dxf>
      <font>
        <b/>
        <sz val="10"/>
        <color rgb="FF1F4E78"/>
        <name val="맑은 고딕"/>
        <charset val="1"/>
      </font>
      <fill>
        <patternFill>
          <bgColor rgb="FFDEEBF7"/>
        </patternFill>
      </fill>
    </dxf>
    <dxf>
      <font>
        <b/>
        <sz val="10"/>
        <color rgb="FF595959"/>
        <name val="맑은 고딕"/>
        <charset val="1"/>
      </font>
      <fill>
        <patternFill>
          <bgColor rgb="FFF2F2F2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7F6000"/>
      <rgbColor rgb="FF800080"/>
      <rgbColor rgb="FF008080"/>
      <rgbColor rgb="FFBFBFBF"/>
      <rgbColor rgb="FF595959"/>
      <rgbColor rgb="FF9999FF"/>
      <rgbColor rgb="FF993366"/>
      <rgbColor rgb="FFFFF2CC"/>
      <rgbColor rgb="FFE7F3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BF7"/>
      <rgbColor rgb="FFC6EFCE"/>
      <rgbColor rgb="FFFCE4D6"/>
      <rgbColor rgb="FFE2EFDA"/>
      <rgbColor rgb="FFEDE7F6"/>
      <rgbColor rgb="FFF2F2F2"/>
      <rgbColor rgb="FFFFC7CE"/>
      <rgbColor rgb="FF2E75B6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D38" sqref="D38"/>
    </sheetView>
  </sheetViews>
  <sheetFormatPr defaultColWidth="8.6640625" defaultRowHeight="14.25"/>
  <cols>
    <col min="1" max="1" width="4" customWidth="1"/>
    <col min="2" max="2" width="18" customWidth="1"/>
    <col min="3" max="3" width="10" customWidth="1"/>
    <col min="4" max="4" width="20" customWidth="1"/>
    <col min="5" max="5" width="6" customWidth="1"/>
    <col min="6" max="6" width="12" customWidth="1"/>
    <col min="7" max="8" width="8" customWidth="1"/>
    <col min="9" max="9" width="10" customWidth="1"/>
    <col min="10" max="10" width="8" customWidth="1"/>
    <col min="11" max="11" width="12" customWidth="1"/>
    <col min="12" max="12" width="25.796875" bestFit="1" customWidth="1"/>
    <col min="13" max="13" width="26" customWidth="1"/>
    <col min="14" max="15" width="7" customWidth="1"/>
    <col min="16" max="16" width="42" customWidth="1"/>
  </cols>
  <sheetData>
    <row r="1" spans="1:16" ht="21.75" customHeight="1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</row>
    <row r="2" spans="1:16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</row>
    <row r="4" spans="1:16" ht="33.75" customHeight="1">
      <c r="A4" s="2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2" t="s">
        <v>15</v>
      </c>
      <c r="O4" s="2" t="s">
        <v>16</v>
      </c>
      <c r="P4" s="1" t="s">
        <v>17</v>
      </c>
    </row>
    <row r="5" spans="1:16" ht="43.5" customHeight="1">
      <c r="A5" s="3">
        <v>1</v>
      </c>
      <c r="B5" s="4" t="s">
        <v>18</v>
      </c>
      <c r="C5" s="5" t="s">
        <v>19</v>
      </c>
      <c r="D5" s="4" t="s">
        <v>20</v>
      </c>
      <c r="E5" s="4" t="s">
        <v>21</v>
      </c>
      <c r="F5" s="3" t="s">
        <v>22</v>
      </c>
      <c r="G5" s="6">
        <v>549</v>
      </c>
      <c r="H5" s="6">
        <v>3</v>
      </c>
      <c r="I5" s="7">
        <v>0.54</v>
      </c>
      <c r="J5" s="6">
        <v>14</v>
      </c>
      <c r="K5" s="5" t="s">
        <v>23</v>
      </c>
      <c r="L5" s="4" t="s">
        <v>24</v>
      </c>
      <c r="M5" s="4" t="s">
        <v>25</v>
      </c>
      <c r="N5" s="5" t="s">
        <v>26</v>
      </c>
      <c r="O5" s="5" t="s">
        <v>27</v>
      </c>
      <c r="P5" s="8" t="s">
        <v>28</v>
      </c>
    </row>
    <row r="6" spans="1:16" ht="43.5" customHeight="1">
      <c r="A6" s="3">
        <v>2</v>
      </c>
      <c r="B6" s="4" t="s">
        <v>29</v>
      </c>
      <c r="C6" s="5" t="s">
        <v>30</v>
      </c>
      <c r="D6" s="4" t="s">
        <v>31</v>
      </c>
      <c r="E6" s="4" t="s">
        <v>32</v>
      </c>
      <c r="F6" s="3" t="s">
        <v>33</v>
      </c>
      <c r="G6" s="6">
        <v>220</v>
      </c>
      <c r="H6" s="6">
        <v>2</v>
      </c>
      <c r="I6" s="7">
        <v>0.9</v>
      </c>
      <c r="J6" s="6">
        <v>2</v>
      </c>
      <c r="K6" s="3" t="s">
        <v>34</v>
      </c>
      <c r="L6" s="4" t="s">
        <v>35</v>
      </c>
      <c r="M6" s="4" t="s">
        <v>36</v>
      </c>
      <c r="N6" s="5" t="s">
        <v>26</v>
      </c>
      <c r="O6" s="5" t="s">
        <v>27</v>
      </c>
      <c r="P6" s="4" t="s">
        <v>37</v>
      </c>
    </row>
    <row r="7" spans="1:16" ht="43.5" customHeight="1">
      <c r="A7" s="3">
        <v>3</v>
      </c>
      <c r="B7" s="4" t="s">
        <v>38</v>
      </c>
      <c r="C7" s="5" t="s">
        <v>30</v>
      </c>
      <c r="D7" s="4" t="s">
        <v>39</v>
      </c>
      <c r="E7" s="4" t="s">
        <v>32</v>
      </c>
      <c r="F7" s="3" t="s">
        <v>22</v>
      </c>
      <c r="G7" s="6">
        <v>558</v>
      </c>
      <c r="H7" s="6">
        <v>2</v>
      </c>
      <c r="I7" s="7">
        <v>0.35</v>
      </c>
      <c r="J7" s="6">
        <v>3</v>
      </c>
      <c r="K7" s="5" t="s">
        <v>40</v>
      </c>
      <c r="L7" s="4" t="s">
        <v>41</v>
      </c>
      <c r="M7" s="4" t="s">
        <v>42</v>
      </c>
      <c r="N7" s="5" t="s">
        <v>43</v>
      </c>
      <c r="O7" s="5" t="s">
        <v>27</v>
      </c>
      <c r="P7" s="4" t="s">
        <v>44</v>
      </c>
    </row>
    <row r="8" spans="1:16" ht="43.5" customHeight="1">
      <c r="A8" s="3">
        <v>4</v>
      </c>
      <c r="B8" s="4" t="s">
        <v>45</v>
      </c>
      <c r="C8" s="5" t="s">
        <v>30</v>
      </c>
      <c r="D8" s="4" t="s">
        <v>46</v>
      </c>
      <c r="E8" s="4" t="s">
        <v>47</v>
      </c>
      <c r="F8" s="3" t="s">
        <v>48</v>
      </c>
      <c r="G8" s="6">
        <v>3794</v>
      </c>
      <c r="H8" s="6">
        <v>10</v>
      </c>
      <c r="I8" s="7">
        <v>0.21</v>
      </c>
      <c r="J8" s="6">
        <v>6</v>
      </c>
      <c r="K8" s="3" t="s">
        <v>49</v>
      </c>
      <c r="L8" s="4" t="s">
        <v>41</v>
      </c>
      <c r="M8" s="4" t="s">
        <v>50</v>
      </c>
      <c r="N8" s="5" t="s">
        <v>51</v>
      </c>
      <c r="O8" s="5" t="s">
        <v>52</v>
      </c>
      <c r="P8" s="4" t="s">
        <v>53</v>
      </c>
    </row>
    <row r="9" spans="1:16" ht="43.5" customHeight="1">
      <c r="A9" s="3">
        <v>5</v>
      </c>
      <c r="B9" s="4" t="s">
        <v>54</v>
      </c>
      <c r="C9" s="5" t="s">
        <v>55</v>
      </c>
      <c r="D9" s="4" t="s">
        <v>56</v>
      </c>
      <c r="E9" s="4" t="s">
        <v>32</v>
      </c>
      <c r="F9" s="3" t="s">
        <v>33</v>
      </c>
      <c r="G9" s="6">
        <v>104</v>
      </c>
      <c r="H9" s="6">
        <v>1</v>
      </c>
      <c r="I9" s="7">
        <v>0.96</v>
      </c>
      <c r="J9" s="6">
        <v>8</v>
      </c>
      <c r="K9" s="5" t="s">
        <v>57</v>
      </c>
      <c r="L9" s="4" t="s">
        <v>58</v>
      </c>
      <c r="M9" s="4" t="s">
        <v>59</v>
      </c>
      <c r="N9" s="5" t="s">
        <v>60</v>
      </c>
      <c r="O9" s="5" t="s">
        <v>52</v>
      </c>
      <c r="P9" s="4" t="s">
        <v>61</v>
      </c>
    </row>
    <row r="10" spans="1:16" ht="43.5" customHeight="1">
      <c r="A10" s="3">
        <v>6</v>
      </c>
      <c r="B10" s="4" t="s">
        <v>62</v>
      </c>
      <c r="C10" s="5" t="s">
        <v>30</v>
      </c>
      <c r="D10" s="4" t="s">
        <v>63</v>
      </c>
      <c r="E10" s="4" t="s">
        <v>64</v>
      </c>
      <c r="F10" s="3" t="s">
        <v>48</v>
      </c>
      <c r="G10" s="6">
        <v>2180</v>
      </c>
      <c r="H10" s="6">
        <v>52</v>
      </c>
      <c r="I10" s="7">
        <v>2.7</v>
      </c>
      <c r="J10" s="6">
        <v>15</v>
      </c>
      <c r="K10" s="3" t="s">
        <v>65</v>
      </c>
      <c r="L10" s="4" t="s">
        <v>58</v>
      </c>
      <c r="M10" s="8" t="s">
        <v>66</v>
      </c>
      <c r="N10" s="5" t="s">
        <v>60</v>
      </c>
      <c r="O10" s="5" t="s">
        <v>52</v>
      </c>
      <c r="P10" s="4" t="s">
        <v>67</v>
      </c>
    </row>
    <row r="11" spans="1:16" ht="43.5" customHeight="1">
      <c r="A11" s="3">
        <v>7</v>
      </c>
      <c r="B11" s="4" t="s">
        <v>68</v>
      </c>
      <c r="C11" s="5" t="s">
        <v>55</v>
      </c>
      <c r="D11" s="4" t="s">
        <v>69</v>
      </c>
      <c r="E11" s="4" t="s">
        <v>70</v>
      </c>
      <c r="F11" s="3" t="s">
        <v>33</v>
      </c>
      <c r="G11" s="6">
        <v>144</v>
      </c>
      <c r="H11" s="6">
        <v>3</v>
      </c>
      <c r="I11" s="7">
        <v>4.16</v>
      </c>
      <c r="J11" s="6">
        <v>2</v>
      </c>
      <c r="K11" s="3" t="s">
        <v>71</v>
      </c>
      <c r="L11" s="4" t="s">
        <v>41</v>
      </c>
      <c r="M11" s="4" t="s">
        <v>72</v>
      </c>
      <c r="N11" s="5" t="s">
        <v>51</v>
      </c>
      <c r="O11" s="5" t="s">
        <v>52</v>
      </c>
      <c r="P11" s="4" t="s">
        <v>73</v>
      </c>
    </row>
    <row r="12" spans="1:16" ht="43.5" customHeight="1">
      <c r="A12" s="3">
        <v>8</v>
      </c>
      <c r="B12" s="4" t="s">
        <v>74</v>
      </c>
      <c r="C12" s="5" t="s">
        <v>55</v>
      </c>
      <c r="D12" s="4" t="s">
        <v>75</v>
      </c>
      <c r="E12" s="4" t="s">
        <v>32</v>
      </c>
      <c r="F12" s="3" t="s">
        <v>22</v>
      </c>
      <c r="G12" s="6">
        <v>725</v>
      </c>
      <c r="H12" s="6">
        <v>29</v>
      </c>
      <c r="I12" s="7">
        <v>5.79</v>
      </c>
      <c r="J12" s="6">
        <v>2</v>
      </c>
      <c r="K12" s="3" t="s">
        <v>76</v>
      </c>
      <c r="L12" s="4" t="s">
        <v>24</v>
      </c>
      <c r="M12" s="8" t="s">
        <v>77</v>
      </c>
      <c r="N12" s="5" t="s">
        <v>27</v>
      </c>
      <c r="O12" s="5" t="s">
        <v>27</v>
      </c>
      <c r="P12" s="8" t="s">
        <v>78</v>
      </c>
    </row>
    <row r="13" spans="1:16" ht="43.5" customHeight="1">
      <c r="A13" s="9" t="s">
        <v>79</v>
      </c>
      <c r="B13" s="10"/>
      <c r="C13" s="10"/>
      <c r="D13" s="10"/>
      <c r="E13" s="10"/>
      <c r="F13" s="10"/>
      <c r="G13" s="11">
        <f>SUM(G5:G12)</f>
        <v>8274</v>
      </c>
      <c r="H13" s="11">
        <f>SUM(H5:H12)</f>
        <v>102</v>
      </c>
      <c r="I13" s="12">
        <f>AVERAGE(I5:I12)</f>
        <v>1.9512499999999999</v>
      </c>
      <c r="J13" s="11">
        <f>SUM(J5:J12)</f>
        <v>52</v>
      </c>
      <c r="K13" s="10"/>
      <c r="L13" s="10"/>
      <c r="M13" s="10"/>
      <c r="N13" s="10"/>
      <c r="O13" s="10"/>
      <c r="P13" s="10"/>
    </row>
  </sheetData>
  <mergeCells count="2">
    <mergeCell ref="A1:P1"/>
    <mergeCell ref="A2:P2"/>
  </mergeCells>
  <phoneticPr fontId="14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17"/>
  <sheetViews>
    <sheetView tabSelected="1" zoomScale="85" zoomScaleNormal="85" workbookViewId="0">
      <pane xSplit="4" ySplit="6" topLeftCell="E7" activePane="bottomRight" state="frozen"/>
      <selection pane="topRight" activeCell="E1" sqref="E1"/>
      <selection pane="bottomLeft" activeCell="A7" sqref="A7"/>
      <selection pane="bottomRight" activeCell="G7" sqref="G7"/>
    </sheetView>
  </sheetViews>
  <sheetFormatPr defaultColWidth="8.6640625" defaultRowHeight="14.25"/>
  <cols>
    <col min="1" max="1" width="7.06640625" customWidth="1"/>
    <col min="2" max="2" width="25.86328125" customWidth="1"/>
    <col min="3" max="4" width="11.6640625" customWidth="1"/>
    <col min="5" max="6" width="11" customWidth="1"/>
    <col min="7" max="7" width="10" customWidth="1"/>
    <col min="8" max="9" width="11" customWidth="1"/>
    <col min="10" max="10" width="10" customWidth="1"/>
    <col min="11" max="12" width="11" customWidth="1"/>
    <col min="13" max="13" width="10" customWidth="1"/>
    <col min="14" max="15" width="11" customWidth="1"/>
    <col min="16" max="16" width="10" customWidth="1"/>
    <col min="17" max="18" width="11" customWidth="1"/>
    <col min="19" max="19" width="10" customWidth="1"/>
    <col min="20" max="21" width="11" customWidth="1"/>
    <col min="22" max="22" width="10" customWidth="1"/>
    <col min="23" max="24" width="11" customWidth="1"/>
    <col min="25" max="25" width="10" customWidth="1"/>
    <col min="26" max="27" width="11" customWidth="1"/>
    <col min="28" max="28" width="10" customWidth="1"/>
    <col min="29" max="30" width="11" customWidth="1"/>
    <col min="31" max="31" width="10" customWidth="1"/>
    <col min="32" max="33" width="11" customWidth="1"/>
    <col min="34" max="36" width="10" customWidth="1"/>
    <col min="37" max="37" width="28" customWidth="1"/>
  </cols>
  <sheetData>
    <row r="1" spans="1:37" ht="21.75" customHeight="1">
      <c r="A1" s="24" t="s">
        <v>80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</row>
    <row r="2" spans="1:37">
      <c r="A2" s="25" t="s">
        <v>81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</row>
    <row r="4" spans="1:37" ht="27.75" customHeight="1">
      <c r="A4" s="28" t="s">
        <v>82</v>
      </c>
      <c r="B4" s="28"/>
      <c r="C4" s="28"/>
      <c r="D4" s="28"/>
      <c r="E4" s="29" t="s">
        <v>83</v>
      </c>
      <c r="F4" s="29"/>
      <c r="G4" s="29"/>
      <c r="H4" s="29"/>
      <c r="I4" s="29"/>
      <c r="J4" s="29"/>
      <c r="K4" s="30" t="s">
        <v>84</v>
      </c>
      <c r="L4" s="30"/>
      <c r="M4" s="30"/>
      <c r="N4" s="30"/>
      <c r="O4" s="30"/>
      <c r="P4" s="30"/>
      <c r="Q4" s="31" t="s">
        <v>85</v>
      </c>
      <c r="R4" s="31"/>
      <c r="S4" s="31"/>
      <c r="T4" s="31"/>
      <c r="U4" s="31"/>
      <c r="V4" s="31"/>
      <c r="W4" s="32" t="s">
        <v>86</v>
      </c>
      <c r="X4" s="32"/>
      <c r="Y4" s="32"/>
      <c r="Z4" s="32"/>
      <c r="AA4" s="32"/>
      <c r="AB4" s="32"/>
      <c r="AC4" s="33" t="s">
        <v>87</v>
      </c>
      <c r="AD4" s="33"/>
      <c r="AE4" s="33"/>
      <c r="AF4" s="33"/>
      <c r="AG4" s="33"/>
      <c r="AH4" s="33"/>
      <c r="AI4" s="28" t="s">
        <v>88</v>
      </c>
      <c r="AJ4" s="28"/>
      <c r="AK4" s="28"/>
    </row>
    <row r="5" spans="1:37" ht="25.5" customHeight="1">
      <c r="A5" s="27" t="s">
        <v>2</v>
      </c>
      <c r="B5" s="26" t="s">
        <v>3</v>
      </c>
      <c r="C5" s="27" t="s">
        <v>15</v>
      </c>
      <c r="D5" s="27" t="s">
        <v>16</v>
      </c>
      <c r="E5" s="27" t="s">
        <v>89</v>
      </c>
      <c r="F5" s="27"/>
      <c r="G5" s="27"/>
      <c r="H5" s="27" t="s">
        <v>90</v>
      </c>
      <c r="I5" s="27"/>
      <c r="J5" s="27"/>
      <c r="K5" s="27" t="s">
        <v>91</v>
      </c>
      <c r="L5" s="27"/>
      <c r="M5" s="27"/>
      <c r="N5" s="27" t="s">
        <v>92</v>
      </c>
      <c r="O5" s="27"/>
      <c r="P5" s="27"/>
      <c r="Q5" s="27" t="s">
        <v>93</v>
      </c>
      <c r="R5" s="27"/>
      <c r="S5" s="27"/>
      <c r="T5" s="27" t="s">
        <v>94</v>
      </c>
      <c r="U5" s="27"/>
      <c r="V5" s="27"/>
      <c r="W5" s="27" t="s">
        <v>95</v>
      </c>
      <c r="X5" s="27"/>
      <c r="Y5" s="27"/>
      <c r="Z5" s="27" t="s">
        <v>96</v>
      </c>
      <c r="AA5" s="27"/>
      <c r="AB5" s="27"/>
      <c r="AC5" s="27" t="s">
        <v>97</v>
      </c>
      <c r="AD5" s="27"/>
      <c r="AE5" s="27"/>
      <c r="AF5" s="27" t="s">
        <v>98</v>
      </c>
      <c r="AG5" s="27"/>
      <c r="AH5" s="27"/>
      <c r="AI5" s="26" t="s">
        <v>99</v>
      </c>
      <c r="AJ5" s="26" t="s">
        <v>100</v>
      </c>
      <c r="AK5" s="26" t="s">
        <v>101</v>
      </c>
    </row>
    <row r="6" spans="1:37" ht="18" customHeight="1">
      <c r="A6" s="27"/>
      <c r="B6" s="27"/>
      <c r="C6" s="27"/>
      <c r="D6" s="27"/>
      <c r="E6" s="13" t="s">
        <v>102</v>
      </c>
      <c r="F6" s="13" t="s">
        <v>103</v>
      </c>
      <c r="G6" s="13" t="s">
        <v>104</v>
      </c>
      <c r="H6" s="13" t="s">
        <v>102</v>
      </c>
      <c r="I6" s="13" t="s">
        <v>103</v>
      </c>
      <c r="J6" s="13" t="s">
        <v>104</v>
      </c>
      <c r="K6" s="13" t="s">
        <v>102</v>
      </c>
      <c r="L6" s="13" t="s">
        <v>103</v>
      </c>
      <c r="M6" s="13" t="s">
        <v>104</v>
      </c>
      <c r="N6" s="13" t="s">
        <v>102</v>
      </c>
      <c r="O6" s="13" t="s">
        <v>103</v>
      </c>
      <c r="P6" s="13" t="s">
        <v>104</v>
      </c>
      <c r="Q6" s="13" t="s">
        <v>102</v>
      </c>
      <c r="R6" s="13" t="s">
        <v>103</v>
      </c>
      <c r="S6" s="13" t="s">
        <v>104</v>
      </c>
      <c r="T6" s="13" t="s">
        <v>102</v>
      </c>
      <c r="U6" s="13" t="s">
        <v>103</v>
      </c>
      <c r="V6" s="13" t="s">
        <v>104</v>
      </c>
      <c r="W6" s="13" t="s">
        <v>102</v>
      </c>
      <c r="X6" s="13" t="s">
        <v>103</v>
      </c>
      <c r="Y6" s="13" t="s">
        <v>104</v>
      </c>
      <c r="Z6" s="13" t="s">
        <v>102</v>
      </c>
      <c r="AA6" s="13" t="s">
        <v>103</v>
      </c>
      <c r="AB6" s="13" t="s">
        <v>104</v>
      </c>
      <c r="AC6" s="13" t="s">
        <v>102</v>
      </c>
      <c r="AD6" s="13" t="s">
        <v>103</v>
      </c>
      <c r="AE6" s="13" t="s">
        <v>104</v>
      </c>
      <c r="AF6" s="13" t="s">
        <v>102</v>
      </c>
      <c r="AG6" s="13" t="s">
        <v>103</v>
      </c>
      <c r="AH6" s="13" t="s">
        <v>104</v>
      </c>
      <c r="AI6" s="26"/>
      <c r="AJ6" s="26"/>
      <c r="AK6" s="26"/>
    </row>
    <row r="7" spans="1:37" ht="27.75" customHeight="1">
      <c r="A7" s="3">
        <v>1</v>
      </c>
      <c r="B7" s="4" t="s">
        <v>18</v>
      </c>
      <c r="C7" s="5" t="s">
        <v>26</v>
      </c>
      <c r="D7" s="5" t="s">
        <v>27</v>
      </c>
      <c r="E7" s="14"/>
      <c r="F7" s="14"/>
      <c r="G7" s="3" t="s">
        <v>134</v>
      </c>
      <c r="H7" s="14"/>
      <c r="I7" s="14"/>
      <c r="J7" s="3"/>
      <c r="K7" s="15"/>
      <c r="L7" s="15"/>
      <c r="M7" s="3"/>
      <c r="N7" s="15"/>
      <c r="O7" s="15"/>
      <c r="P7" s="3"/>
      <c r="Q7" s="16"/>
      <c r="R7" s="16"/>
      <c r="S7" s="3"/>
      <c r="T7" s="16"/>
      <c r="U7" s="16"/>
      <c r="V7" s="3"/>
      <c r="W7" s="17"/>
      <c r="X7" s="17"/>
      <c r="Y7" s="3"/>
      <c r="Z7" s="17"/>
      <c r="AA7" s="17"/>
      <c r="AB7" s="3"/>
      <c r="AC7" s="18"/>
      <c r="AD7" s="18"/>
      <c r="AE7" s="3"/>
      <c r="AF7" s="18"/>
      <c r="AG7" s="18"/>
      <c r="AH7" s="3"/>
      <c r="AI7" s="19">
        <f t="shared" ref="AI7:AI14" si="0">IF(G7="④ 완료",1,0)+IF(J7="④ 완료",1,0)+IF(M7="④ 완료",1,0)+IF(P7="④ 완료",1,0)+IF(S7="④ 완료",1,0)+IF(V7="④ 완료",1,0)+IF(Y7="④ 완료",1,0)+IF(AB7="④ 완료",1,0)+IF(AE7="④ 완료",1,0)+IF(AH7="④ 완료",1,0)</f>
        <v>1</v>
      </c>
      <c r="AJ7" s="20">
        <f t="shared" ref="AJ7:AJ14" si="1">AI7/10</f>
        <v>0.1</v>
      </c>
      <c r="AK7" s="3"/>
    </row>
    <row r="8" spans="1:37" ht="27.75" customHeight="1">
      <c r="A8" s="3">
        <v>2</v>
      </c>
      <c r="B8" s="4" t="s">
        <v>160</v>
      </c>
      <c r="C8" s="5" t="s">
        <v>26</v>
      </c>
      <c r="D8" s="5" t="s">
        <v>27</v>
      </c>
      <c r="E8" s="14"/>
      <c r="F8" s="14"/>
      <c r="G8" s="3"/>
      <c r="H8" s="14"/>
      <c r="I8" s="14"/>
      <c r="J8" s="3"/>
      <c r="K8" s="15"/>
      <c r="L8" s="15"/>
      <c r="M8" s="3"/>
      <c r="N8" s="15"/>
      <c r="O8" s="15"/>
      <c r="P8" s="3"/>
      <c r="Q8" s="16"/>
      <c r="R8" s="16"/>
      <c r="S8" s="3"/>
      <c r="T8" s="16"/>
      <c r="U8" s="16"/>
      <c r="V8" s="3"/>
      <c r="W8" s="17"/>
      <c r="X8" s="17"/>
      <c r="Y8" s="3"/>
      <c r="Z8" s="17"/>
      <c r="AA8" s="17"/>
      <c r="AB8" s="3"/>
      <c r="AC8" s="18"/>
      <c r="AD8" s="18"/>
      <c r="AE8" s="3"/>
      <c r="AF8" s="18"/>
      <c r="AG8" s="18"/>
      <c r="AH8" s="3"/>
      <c r="AI8" s="19">
        <f t="shared" si="0"/>
        <v>0</v>
      </c>
      <c r="AJ8" s="20">
        <f t="shared" si="1"/>
        <v>0</v>
      </c>
      <c r="AK8" s="3"/>
    </row>
    <row r="9" spans="1:37" ht="27.75" customHeight="1">
      <c r="A9" s="3">
        <v>3</v>
      </c>
      <c r="B9" s="4" t="s">
        <v>159</v>
      </c>
      <c r="C9" s="5" t="s">
        <v>51</v>
      </c>
      <c r="D9" s="5" t="s">
        <v>52</v>
      </c>
      <c r="E9" s="14"/>
      <c r="F9" s="14"/>
      <c r="G9" s="3"/>
      <c r="H9" s="14"/>
      <c r="I9" s="14"/>
      <c r="J9" s="3"/>
      <c r="K9" s="15"/>
      <c r="L9" s="15"/>
      <c r="M9" s="3"/>
      <c r="N9" s="15"/>
      <c r="O9" s="15"/>
      <c r="P9" s="3"/>
      <c r="Q9" s="16"/>
      <c r="R9" s="16"/>
      <c r="S9" s="3"/>
      <c r="T9" s="16"/>
      <c r="U9" s="16"/>
      <c r="V9" s="3"/>
      <c r="W9" s="17"/>
      <c r="X9" s="17"/>
      <c r="Y9" s="3"/>
      <c r="Z9" s="17"/>
      <c r="AA9" s="17"/>
      <c r="AB9" s="3"/>
      <c r="AC9" s="18"/>
      <c r="AD9" s="18"/>
      <c r="AE9" s="3"/>
      <c r="AF9" s="18"/>
      <c r="AG9" s="18"/>
      <c r="AH9" s="3"/>
      <c r="AI9" s="19">
        <f t="shared" si="0"/>
        <v>0</v>
      </c>
      <c r="AJ9" s="20">
        <f t="shared" si="1"/>
        <v>0</v>
      </c>
      <c r="AK9" s="3"/>
    </row>
    <row r="10" spans="1:37" ht="27.75" customHeight="1">
      <c r="A10" s="3">
        <v>4</v>
      </c>
      <c r="B10" s="4" t="s">
        <v>54</v>
      </c>
      <c r="C10" s="5" t="s">
        <v>60</v>
      </c>
      <c r="D10" s="5" t="s">
        <v>52</v>
      </c>
      <c r="E10" s="14"/>
      <c r="F10" s="14"/>
      <c r="G10" s="3"/>
      <c r="H10" s="14"/>
      <c r="I10" s="14"/>
      <c r="J10" s="3"/>
      <c r="K10" s="15"/>
      <c r="L10" s="15"/>
      <c r="M10" s="3"/>
      <c r="N10" s="15"/>
      <c r="O10" s="15"/>
      <c r="P10" s="3"/>
      <c r="Q10" s="16"/>
      <c r="R10" s="16"/>
      <c r="S10" s="3"/>
      <c r="T10" s="16"/>
      <c r="U10" s="16"/>
      <c r="V10" s="3"/>
      <c r="W10" s="17"/>
      <c r="X10" s="17"/>
      <c r="Y10" s="3"/>
      <c r="Z10" s="17"/>
      <c r="AA10" s="17"/>
      <c r="AB10" s="3"/>
      <c r="AC10" s="18"/>
      <c r="AD10" s="18"/>
      <c r="AE10" s="3"/>
      <c r="AF10" s="18"/>
      <c r="AG10" s="18"/>
      <c r="AH10" s="3"/>
      <c r="AI10" s="19">
        <f t="shared" si="0"/>
        <v>0</v>
      </c>
      <c r="AJ10" s="20">
        <f t="shared" si="1"/>
        <v>0</v>
      </c>
      <c r="AK10" s="3"/>
    </row>
    <row r="11" spans="1:37" ht="27.75" customHeight="1">
      <c r="A11" s="3">
        <v>5</v>
      </c>
      <c r="B11" s="4" t="s">
        <v>62</v>
      </c>
      <c r="C11" s="5" t="s">
        <v>60</v>
      </c>
      <c r="D11" s="5" t="s">
        <v>52</v>
      </c>
      <c r="E11" s="14"/>
      <c r="F11" s="14"/>
      <c r="G11" s="3"/>
      <c r="H11" s="14"/>
      <c r="I11" s="14"/>
      <c r="J11" s="3"/>
      <c r="K11" s="15"/>
      <c r="L11" s="15"/>
      <c r="M11" s="3"/>
      <c r="N11" s="15"/>
      <c r="O11" s="15"/>
      <c r="P11" s="3"/>
      <c r="Q11" s="16"/>
      <c r="R11" s="16"/>
      <c r="S11" s="3"/>
      <c r="T11" s="16"/>
      <c r="U11" s="16"/>
      <c r="V11" s="3"/>
      <c r="W11" s="17"/>
      <c r="X11" s="17"/>
      <c r="Y11" s="3"/>
      <c r="Z11" s="17"/>
      <c r="AA11" s="17"/>
      <c r="AB11" s="3"/>
      <c r="AC11" s="18"/>
      <c r="AD11" s="18"/>
      <c r="AE11" s="3"/>
      <c r="AF11" s="18"/>
      <c r="AG11" s="18"/>
      <c r="AH11" s="3"/>
      <c r="AI11" s="19">
        <f t="shared" si="0"/>
        <v>0</v>
      </c>
      <c r="AJ11" s="20">
        <f t="shared" si="1"/>
        <v>0</v>
      </c>
      <c r="AK11" s="3"/>
    </row>
    <row r="12" spans="1:37" ht="27.75" customHeight="1">
      <c r="A12" s="3">
        <v>6</v>
      </c>
      <c r="B12" s="4" t="s">
        <v>158</v>
      </c>
      <c r="C12" s="5" t="s">
        <v>161</v>
      </c>
      <c r="D12" s="5" t="s">
        <v>162</v>
      </c>
      <c r="E12" s="14"/>
      <c r="F12" s="14"/>
      <c r="G12" s="3"/>
      <c r="H12" s="14"/>
      <c r="I12" s="14"/>
      <c r="J12" s="3"/>
      <c r="K12" s="15"/>
      <c r="L12" s="15"/>
      <c r="M12" s="3"/>
      <c r="N12" s="15"/>
      <c r="O12" s="15"/>
      <c r="P12" s="3"/>
      <c r="Q12" s="16"/>
      <c r="R12" s="16"/>
      <c r="S12" s="3"/>
      <c r="T12" s="16"/>
      <c r="U12" s="16"/>
      <c r="V12" s="3"/>
      <c r="W12" s="17"/>
      <c r="X12" s="17"/>
      <c r="Y12" s="3"/>
      <c r="Z12" s="17"/>
      <c r="AA12" s="17"/>
      <c r="AB12" s="3"/>
      <c r="AC12" s="18"/>
      <c r="AD12" s="18"/>
      <c r="AE12" s="3"/>
      <c r="AF12" s="18"/>
      <c r="AG12" s="18"/>
      <c r="AH12" s="3"/>
      <c r="AI12" s="19">
        <f t="shared" si="0"/>
        <v>0</v>
      </c>
      <c r="AJ12" s="20">
        <f t="shared" si="1"/>
        <v>0</v>
      </c>
      <c r="AK12" s="3"/>
    </row>
    <row r="13" spans="1:37" ht="27.75" customHeight="1">
      <c r="A13" s="3">
        <v>7</v>
      </c>
      <c r="B13" s="4" t="s">
        <v>68</v>
      </c>
      <c r="C13" s="5" t="s">
        <v>51</v>
      </c>
      <c r="D13" s="5" t="s">
        <v>52</v>
      </c>
      <c r="E13" s="14"/>
      <c r="F13" s="14"/>
      <c r="G13" s="3"/>
      <c r="H13" s="14"/>
      <c r="I13" s="14"/>
      <c r="J13" s="3"/>
      <c r="K13" s="15"/>
      <c r="L13" s="15"/>
      <c r="M13" s="3"/>
      <c r="N13" s="15"/>
      <c r="O13" s="15"/>
      <c r="P13" s="3"/>
      <c r="Q13" s="16"/>
      <c r="R13" s="16"/>
      <c r="S13" s="3"/>
      <c r="T13" s="16"/>
      <c r="U13" s="16"/>
      <c r="V13" s="3"/>
      <c r="W13" s="17"/>
      <c r="X13" s="17"/>
      <c r="Y13" s="3"/>
      <c r="Z13" s="17"/>
      <c r="AA13" s="17"/>
      <c r="AB13" s="3"/>
      <c r="AC13" s="18"/>
      <c r="AD13" s="18"/>
      <c r="AE13" s="3"/>
      <c r="AF13" s="18"/>
      <c r="AG13" s="18"/>
      <c r="AH13" s="3"/>
      <c r="AI13" s="19">
        <f t="shared" si="0"/>
        <v>0</v>
      </c>
      <c r="AJ13" s="20">
        <f t="shared" si="1"/>
        <v>0</v>
      </c>
      <c r="AK13" s="3"/>
    </row>
    <row r="14" spans="1:37" ht="27.75" customHeight="1">
      <c r="A14" s="3">
        <v>8</v>
      </c>
      <c r="B14" s="4" t="s">
        <v>74</v>
      </c>
      <c r="C14" s="5" t="s">
        <v>27</v>
      </c>
      <c r="D14" s="5" t="s">
        <v>27</v>
      </c>
      <c r="E14" s="14"/>
      <c r="F14" s="14"/>
      <c r="G14" s="3"/>
      <c r="H14" s="14"/>
      <c r="I14" s="14"/>
      <c r="J14" s="3"/>
      <c r="K14" s="15"/>
      <c r="L14" s="15"/>
      <c r="M14" s="3"/>
      <c r="N14" s="15"/>
      <c r="O14" s="15"/>
      <c r="P14" s="3"/>
      <c r="Q14" s="16"/>
      <c r="R14" s="16"/>
      <c r="S14" s="3"/>
      <c r="T14" s="16"/>
      <c r="U14" s="16"/>
      <c r="V14" s="3"/>
      <c r="W14" s="17"/>
      <c r="X14" s="17"/>
      <c r="Y14" s="3"/>
      <c r="Z14" s="17"/>
      <c r="AA14" s="17"/>
      <c r="AB14" s="3"/>
      <c r="AC14" s="18"/>
      <c r="AD14" s="18"/>
      <c r="AE14" s="3"/>
      <c r="AF14" s="18"/>
      <c r="AG14" s="18"/>
      <c r="AH14" s="3"/>
      <c r="AI14" s="19">
        <f t="shared" si="0"/>
        <v>0</v>
      </c>
      <c r="AJ14" s="20">
        <f t="shared" si="1"/>
        <v>0</v>
      </c>
      <c r="AK14" s="3"/>
    </row>
    <row r="15" spans="1:37">
      <c r="C15" s="5"/>
      <c r="D15" s="5"/>
    </row>
    <row r="17" spans="1:2" ht="16.899999999999999">
      <c r="A17" s="35" t="s">
        <v>157</v>
      </c>
      <c r="B17" s="4" t="s">
        <v>38</v>
      </c>
    </row>
  </sheetData>
  <mergeCells count="26">
    <mergeCell ref="A1:AK1"/>
    <mergeCell ref="A2:AK2"/>
    <mergeCell ref="A4:D4"/>
    <mergeCell ref="E4:J4"/>
    <mergeCell ref="K4:P4"/>
    <mergeCell ref="Q4:V4"/>
    <mergeCell ref="W4:AB4"/>
    <mergeCell ref="AC4:AH4"/>
    <mergeCell ref="AI4:AK4"/>
    <mergeCell ref="A5:A6"/>
    <mergeCell ref="B5:B6"/>
    <mergeCell ref="C5:C6"/>
    <mergeCell ref="D5:D6"/>
    <mergeCell ref="E5:G5"/>
    <mergeCell ref="H5:J5"/>
    <mergeCell ref="K5:M5"/>
    <mergeCell ref="N5:P5"/>
    <mergeCell ref="Q5:S5"/>
    <mergeCell ref="T5:V5"/>
    <mergeCell ref="AJ5:AJ6"/>
    <mergeCell ref="AK5:AK6"/>
    <mergeCell ref="W5:Y5"/>
    <mergeCell ref="Z5:AB5"/>
    <mergeCell ref="AC5:AE5"/>
    <mergeCell ref="AF5:AH5"/>
    <mergeCell ref="AI5:AI6"/>
  </mergeCells>
  <phoneticPr fontId="14" type="noConversion"/>
  <conditionalFormatting sqref="G7:G14">
    <cfRule type="expression" dxfId="49" priority="2">
      <formula>EXACT(G7,"① 대기")</formula>
    </cfRule>
    <cfRule type="expression" dxfId="48" priority="3">
      <formula>EXACT(G7,"② 일정확정")</formula>
    </cfRule>
    <cfRule type="expression" dxfId="47" priority="4">
      <formula>EXACT(G7,"③ 진행중")</formula>
    </cfRule>
    <cfRule type="expression" dxfId="46" priority="5">
      <formula>EXACT(G7,"④ 완료")</formula>
    </cfRule>
    <cfRule type="expression" dxfId="45" priority="6">
      <formula>EXACT(G7,"⑤ 지연")</formula>
    </cfRule>
  </conditionalFormatting>
  <conditionalFormatting sqref="J7:J14">
    <cfRule type="expression" dxfId="44" priority="7">
      <formula>EXACT(J7,"① 대기")</formula>
    </cfRule>
    <cfRule type="expression" dxfId="43" priority="8">
      <formula>EXACT(J7,"② 일정확정")</formula>
    </cfRule>
    <cfRule type="expression" dxfId="42" priority="9">
      <formula>EXACT(J7,"③ 진행중")</formula>
    </cfRule>
    <cfRule type="expression" dxfId="41" priority="10">
      <formula>EXACT(J7,"④ 완료")</formula>
    </cfRule>
    <cfRule type="expression" dxfId="40" priority="11">
      <formula>EXACT(J7,"⑤ 지연")</formula>
    </cfRule>
  </conditionalFormatting>
  <conditionalFormatting sqref="M7:M14">
    <cfRule type="expression" dxfId="39" priority="12">
      <formula>EXACT(M7,"① 대기")</formula>
    </cfRule>
    <cfRule type="expression" dxfId="38" priority="13">
      <formula>EXACT(M7,"② 일정확정")</formula>
    </cfRule>
    <cfRule type="expression" dxfId="37" priority="14">
      <formula>EXACT(M7,"③ 진행중")</formula>
    </cfRule>
    <cfRule type="expression" dxfId="36" priority="15">
      <formula>EXACT(M7,"④ 완료")</formula>
    </cfRule>
    <cfRule type="expression" dxfId="35" priority="16">
      <formula>EXACT(M7,"⑤ 지연")</formula>
    </cfRule>
  </conditionalFormatting>
  <conditionalFormatting sqref="P7:P14">
    <cfRule type="expression" dxfId="34" priority="17">
      <formula>EXACT(P7,"① 대기")</formula>
    </cfRule>
    <cfRule type="expression" dxfId="33" priority="18">
      <formula>EXACT(P7,"② 일정확정")</formula>
    </cfRule>
    <cfRule type="expression" dxfId="32" priority="19">
      <formula>EXACT(P7,"③ 진행중")</formula>
    </cfRule>
    <cfRule type="expression" dxfId="31" priority="20">
      <formula>EXACT(P7,"④ 완료")</formula>
    </cfRule>
    <cfRule type="expression" dxfId="30" priority="21">
      <formula>EXACT(P7,"⑤ 지연")</formula>
    </cfRule>
  </conditionalFormatting>
  <conditionalFormatting sqref="S7:S14">
    <cfRule type="expression" dxfId="29" priority="22">
      <formula>EXACT(S7,"① 대기")</formula>
    </cfRule>
    <cfRule type="expression" dxfId="28" priority="23">
      <formula>EXACT(S7,"② 일정확정")</formula>
    </cfRule>
    <cfRule type="expression" dxfId="27" priority="24">
      <formula>EXACT(S7,"③ 진행중")</formula>
    </cfRule>
    <cfRule type="expression" dxfId="26" priority="25">
      <formula>EXACT(S7,"④ 완료")</formula>
    </cfRule>
    <cfRule type="expression" dxfId="25" priority="26">
      <formula>EXACT(S7,"⑤ 지연")</formula>
    </cfRule>
  </conditionalFormatting>
  <conditionalFormatting sqref="V7:V14">
    <cfRule type="expression" dxfId="24" priority="27">
      <formula>EXACT(V7,"① 대기")</formula>
    </cfRule>
    <cfRule type="expression" dxfId="23" priority="28">
      <formula>EXACT(V7,"② 일정확정")</formula>
    </cfRule>
    <cfRule type="expression" dxfId="22" priority="29">
      <formula>EXACT(V7,"③ 진행중")</formula>
    </cfRule>
    <cfRule type="expression" dxfId="21" priority="30">
      <formula>EXACT(V7,"④ 완료")</formula>
    </cfRule>
    <cfRule type="expression" dxfId="20" priority="31">
      <formula>EXACT(V7,"⑤ 지연")</formula>
    </cfRule>
  </conditionalFormatting>
  <conditionalFormatting sqref="Y7:Y14">
    <cfRule type="expression" dxfId="19" priority="32">
      <formula>EXACT(Y7,"① 대기")</formula>
    </cfRule>
    <cfRule type="expression" dxfId="18" priority="33">
      <formula>EXACT(Y7,"② 일정확정")</formula>
    </cfRule>
    <cfRule type="expression" dxfId="17" priority="34">
      <formula>EXACT(Y7,"③ 진행중")</formula>
    </cfRule>
    <cfRule type="expression" dxfId="16" priority="35">
      <formula>EXACT(Y7,"④ 완료")</formula>
    </cfRule>
    <cfRule type="expression" dxfId="15" priority="36">
      <formula>EXACT(Y7,"⑤ 지연")</formula>
    </cfRule>
  </conditionalFormatting>
  <conditionalFormatting sqref="AB7:AB14">
    <cfRule type="expression" dxfId="14" priority="37">
      <formula>EXACT(AB7,"① 대기")</formula>
    </cfRule>
    <cfRule type="expression" dxfId="13" priority="38">
      <formula>EXACT(AB7,"② 일정확정")</formula>
    </cfRule>
    <cfRule type="expression" dxfId="12" priority="39">
      <formula>EXACT(AB7,"③ 진행중")</formula>
    </cfRule>
    <cfRule type="expression" dxfId="11" priority="40">
      <formula>EXACT(AB7,"④ 완료")</formula>
    </cfRule>
    <cfRule type="expression" dxfId="10" priority="41">
      <formula>EXACT(AB7,"⑤ 지연")</formula>
    </cfRule>
  </conditionalFormatting>
  <conditionalFormatting sqref="AE7:AE14">
    <cfRule type="expression" dxfId="9" priority="42">
      <formula>EXACT(AE7,"① 대기")</formula>
    </cfRule>
    <cfRule type="expression" dxfId="8" priority="43">
      <formula>EXACT(AE7,"② 일정확정")</formula>
    </cfRule>
    <cfRule type="expression" dxfId="7" priority="44">
      <formula>EXACT(AE7,"③ 진행중")</formula>
    </cfRule>
    <cfRule type="expression" dxfId="6" priority="45">
      <formula>EXACT(AE7,"④ 완료")</formula>
    </cfRule>
    <cfRule type="expression" dxfId="5" priority="46">
      <formula>EXACT(AE7,"⑤ 지연")</formula>
    </cfRule>
  </conditionalFormatting>
  <conditionalFormatting sqref="AH7:AH14">
    <cfRule type="expression" dxfId="4" priority="47">
      <formula>EXACT(AH7,"① 대기")</formula>
    </cfRule>
    <cfRule type="expression" dxfId="3" priority="48">
      <formula>EXACT(AH7,"② 일정확정")</formula>
    </cfRule>
    <cfRule type="expression" dxfId="2" priority="49">
      <formula>EXACT(AH7,"③ 진행중")</formula>
    </cfRule>
    <cfRule type="expression" dxfId="1" priority="50">
      <formula>EXACT(AH7,"④ 완료")</formula>
    </cfRule>
    <cfRule type="expression" dxfId="0" priority="51">
      <formula>EXACT(AH7,"⑤ 지연")</formula>
    </cfRule>
  </conditionalFormatting>
  <conditionalFormatting sqref="AJ7:AJ14">
    <cfRule type="dataBar" priority="52">
      <dataBar>
        <cfvo type="num" val="0"/>
        <cfvo type="num" val="1"/>
        <color rgb="FF4472C4"/>
      </dataBar>
      <extLst>
        <ext xmlns:x14="http://schemas.microsoft.com/office/spreadsheetml/2009/9/main" uri="{B025F937-C7B1-47D3-B67F-A62EFF666E3E}">
          <x14:id>{64F5F0B0-FC4B-4A89-87AC-3C9A194DFC1A}</x14:id>
        </ext>
      </extLst>
    </cfRule>
  </conditionalFormatting>
  <dataValidations count="1">
    <dataValidation type="list" allowBlank="1" promptTitle="진행 상태" prompt="상태를 선택하세요" sqref="G7:G14 J7:J14 M7:M14 P7:P14 S7:S14 V7:V14 Y7:Y14 AB7:AB14 AE7:AE14 AH7:AH14" xr:uid="{00000000-0002-0000-0100-000000000000}">
      <formula1>"① 대기,② 일정확정,③ 진행중,④ 완료,⑤ 지연"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4F5F0B0-FC4B-4A89-87AC-3C9A194DFC1A}">
            <x14:dataBar axisPosition="none">
              <x14:cfvo type="num">
                <xm:f>0</xm:f>
              </x14:cfvo>
              <x14:cfvo type="num">
                <xm:f>1</xm:f>
              </x14:cfvo>
              <x14:negativeFillColor rgb="FF4472C4"/>
            </x14:dataBar>
          </x14:cfRule>
          <xm:sqref>AJ7:AJ14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7"/>
  <sheetViews>
    <sheetView zoomScaleNormal="100" workbookViewId="0">
      <selection activeCell="D21" sqref="D21"/>
    </sheetView>
  </sheetViews>
  <sheetFormatPr defaultColWidth="8.6640625" defaultRowHeight="14.25"/>
  <cols>
    <col min="1" max="1" width="12" customWidth="1"/>
    <col min="2" max="2" width="14" customWidth="1"/>
    <col min="3" max="3" width="22" customWidth="1"/>
    <col min="4" max="4" width="50" customWidth="1"/>
  </cols>
  <sheetData>
    <row r="1" spans="1:4" ht="17.649999999999999">
      <c r="A1" s="34" t="s">
        <v>105</v>
      </c>
      <c r="B1" s="34"/>
      <c r="C1" s="34"/>
      <c r="D1" s="34"/>
    </row>
    <row r="2" spans="1:4" ht="15.75">
      <c r="A2" s="21"/>
      <c r="B2" s="21"/>
      <c r="C2" s="21"/>
      <c r="D2" s="21"/>
    </row>
    <row r="3" spans="1:4">
      <c r="A3" s="22" t="s">
        <v>106</v>
      </c>
      <c r="B3" s="22" t="s">
        <v>107</v>
      </c>
      <c r="C3" s="22" t="s">
        <v>108</v>
      </c>
      <c r="D3" s="22" t="s">
        <v>101</v>
      </c>
    </row>
    <row r="4" spans="1:4" ht="15.75">
      <c r="A4" s="23" t="s">
        <v>109</v>
      </c>
      <c r="B4" s="21" t="s">
        <v>110</v>
      </c>
      <c r="C4" s="23" t="s">
        <v>111</v>
      </c>
      <c r="D4" s="21" t="s">
        <v>112</v>
      </c>
    </row>
    <row r="5" spans="1:4" ht="15.75">
      <c r="A5" s="23" t="s">
        <v>109</v>
      </c>
      <c r="B5" s="21" t="s">
        <v>113</v>
      </c>
      <c r="C5" s="23" t="s">
        <v>114</v>
      </c>
      <c r="D5" s="21" t="s">
        <v>115</v>
      </c>
    </row>
    <row r="6" spans="1:4" ht="15.75">
      <c r="A6" s="23" t="s">
        <v>109</v>
      </c>
      <c r="B6" s="21" t="s">
        <v>116</v>
      </c>
      <c r="C6" s="23" t="s">
        <v>117</v>
      </c>
      <c r="D6" s="21" t="s">
        <v>118</v>
      </c>
    </row>
    <row r="7" spans="1:4" ht="15.75">
      <c r="A7" s="23" t="s">
        <v>109</v>
      </c>
      <c r="B7" s="21" t="s">
        <v>119</v>
      </c>
      <c r="C7" s="23" t="s">
        <v>120</v>
      </c>
      <c r="D7" s="21" t="s">
        <v>121</v>
      </c>
    </row>
    <row r="8" spans="1:4" ht="15.75">
      <c r="A8" s="23" t="s">
        <v>109</v>
      </c>
      <c r="B8" s="21" t="s">
        <v>122</v>
      </c>
      <c r="C8" s="23" t="s">
        <v>123</v>
      </c>
      <c r="D8" s="21" t="s">
        <v>124</v>
      </c>
    </row>
    <row r="9" spans="1:4" ht="15.75">
      <c r="A9" s="21"/>
      <c r="B9" s="21"/>
      <c r="C9" s="21"/>
      <c r="D9" s="21"/>
    </row>
    <row r="10" spans="1:4">
      <c r="A10" s="23" t="s">
        <v>104</v>
      </c>
      <c r="B10" s="23" t="s">
        <v>125</v>
      </c>
      <c r="C10" s="23" t="s">
        <v>126</v>
      </c>
      <c r="D10" s="23" t="s">
        <v>127</v>
      </c>
    </row>
    <row r="11" spans="1:4">
      <c r="A11" s="23" t="s">
        <v>104</v>
      </c>
      <c r="B11" s="23" t="s">
        <v>128</v>
      </c>
      <c r="C11" s="23" t="s">
        <v>129</v>
      </c>
      <c r="D11" s="23" t="s">
        <v>130</v>
      </c>
    </row>
    <row r="12" spans="1:4" ht="15.75">
      <c r="A12" s="23" t="s">
        <v>104</v>
      </c>
      <c r="B12" s="23" t="s">
        <v>131</v>
      </c>
      <c r="C12" s="21" t="s">
        <v>132</v>
      </c>
      <c r="D12" s="23" t="s">
        <v>133</v>
      </c>
    </row>
    <row r="13" spans="1:4">
      <c r="A13" s="23" t="s">
        <v>104</v>
      </c>
      <c r="B13" s="23" t="s">
        <v>134</v>
      </c>
      <c r="C13" s="23" t="s">
        <v>135</v>
      </c>
      <c r="D13" s="23" t="s">
        <v>136</v>
      </c>
    </row>
    <row r="14" spans="1:4">
      <c r="A14" s="23" t="s">
        <v>104</v>
      </c>
      <c r="B14" s="23" t="s">
        <v>137</v>
      </c>
      <c r="C14" s="23" t="s">
        <v>138</v>
      </c>
      <c r="D14" s="23" t="s">
        <v>139</v>
      </c>
    </row>
    <row r="15" spans="1:4" ht="15.75">
      <c r="A15" s="21"/>
      <c r="B15" s="21"/>
      <c r="C15" s="21"/>
      <c r="D15" s="21"/>
    </row>
    <row r="16" spans="1:4" ht="15.75">
      <c r="A16" s="23" t="s">
        <v>140</v>
      </c>
      <c r="B16" s="23" t="s">
        <v>51</v>
      </c>
      <c r="C16" s="21" t="s">
        <v>141</v>
      </c>
      <c r="D16" s="23" t="s">
        <v>142</v>
      </c>
    </row>
    <row r="17" spans="1:4" ht="15.75">
      <c r="A17" s="23" t="s">
        <v>140</v>
      </c>
      <c r="B17" s="23" t="s">
        <v>60</v>
      </c>
      <c r="C17" s="21"/>
      <c r="D17" s="23" t="s">
        <v>143</v>
      </c>
    </row>
    <row r="18" spans="1:4" ht="15.75">
      <c r="A18" s="23" t="s">
        <v>140</v>
      </c>
      <c r="B18" s="23" t="s">
        <v>26</v>
      </c>
      <c r="C18" s="21"/>
      <c r="D18" s="23" t="s">
        <v>144</v>
      </c>
    </row>
    <row r="19" spans="1:4" ht="15.75">
      <c r="A19" s="23" t="s">
        <v>140</v>
      </c>
      <c r="B19" s="23" t="s">
        <v>43</v>
      </c>
      <c r="C19" s="21"/>
      <c r="D19" s="23" t="s">
        <v>38</v>
      </c>
    </row>
    <row r="20" spans="1:4" ht="15.75">
      <c r="A20" s="23" t="s">
        <v>140</v>
      </c>
      <c r="B20" s="23" t="s">
        <v>27</v>
      </c>
      <c r="C20" s="21"/>
      <c r="D20" s="23" t="s">
        <v>145</v>
      </c>
    </row>
    <row r="21" spans="1:4" ht="15.75">
      <c r="A21" s="23" t="s">
        <v>140</v>
      </c>
      <c r="B21" s="23" t="s">
        <v>52</v>
      </c>
      <c r="C21" s="21" t="s">
        <v>146</v>
      </c>
      <c r="D21" s="21" t="s">
        <v>147</v>
      </c>
    </row>
    <row r="22" spans="1:4" ht="15.75">
      <c r="A22" s="21"/>
      <c r="B22" s="21"/>
      <c r="C22" s="21"/>
      <c r="D22" s="21"/>
    </row>
    <row r="23" spans="1:4" ht="15.75">
      <c r="A23" s="23" t="s">
        <v>148</v>
      </c>
      <c r="B23" s="21"/>
      <c r="C23" s="21"/>
      <c r="D23" s="21"/>
    </row>
    <row r="24" spans="1:4" ht="51">
      <c r="A24" s="21" t="s">
        <v>149</v>
      </c>
      <c r="B24" s="23" t="s">
        <v>150</v>
      </c>
      <c r="C24" s="21"/>
      <c r="D24" s="21"/>
    </row>
    <row r="25" spans="1:4" ht="47.25">
      <c r="A25" s="21" t="s">
        <v>151</v>
      </c>
      <c r="B25" s="23" t="s">
        <v>152</v>
      </c>
      <c r="C25" s="21"/>
      <c r="D25" s="21"/>
    </row>
    <row r="26" spans="1:4" ht="44.25">
      <c r="A26" s="21" t="s">
        <v>153</v>
      </c>
      <c r="B26" s="23" t="s">
        <v>154</v>
      </c>
      <c r="C26" s="21"/>
      <c r="D26" s="21"/>
    </row>
    <row r="27" spans="1:4" ht="54">
      <c r="A27" s="21" t="s">
        <v>155</v>
      </c>
      <c r="B27" s="23" t="s">
        <v>156</v>
      </c>
      <c r="C27" s="21"/>
      <c r="D27" s="21"/>
    </row>
  </sheetData>
  <mergeCells count="1">
    <mergeCell ref="A1:D1"/>
  </mergeCells>
  <phoneticPr fontId="14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컨설턴트 배정</vt:lpstr>
      <vt:lpstr>컨설팅 진행 현황</vt:lpstr>
      <vt:lpstr>범례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석주 이</cp:lastModifiedBy>
  <cp:revision>0</cp:revision>
  <dcterms:created xsi:type="dcterms:W3CDTF">2026-04-17T04:23:48Z</dcterms:created>
  <dcterms:modified xsi:type="dcterms:W3CDTF">2026-05-14T03:55:19Z</dcterms:modified>
  <dc:language>en-US</dc:language>
</cp:coreProperties>
</file>