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시앤피\Desktop\4월\4월\그림카드\"/>
    </mc:Choice>
  </mc:AlternateContent>
  <xr:revisionPtr revIDLastSave="0" documentId="13_ncr:1_{F6194601-8AF0-42FE-98FA-E91314B4F081}" xr6:coauthVersionLast="47" xr6:coauthVersionMax="47" xr10:uidLastSave="{00000000-0000-0000-0000-000000000000}"/>
  <bookViews>
    <workbookView xWindow="40440" yWindow="0" windowWidth="17400" windowHeight="15585" firstSheet="1" activeTab="2" xr2:uid="{00000000-000D-0000-FFFF-FFFF00000000}"/>
  </bookViews>
  <sheets>
    <sheet name="게임" sheetId="1" r:id="rId1"/>
    <sheet name="의료, 보건복지" sheetId="6" r:id="rId2"/>
    <sheet name="숙박(호텔)" sheetId="2" r:id="rId3"/>
    <sheet name="인쇄,세차" sheetId="3" r:id="rId4"/>
    <sheet name="택배,물류,운송" sheetId="4" r:id="rId5"/>
    <sheet name="식품업,제조업" sheetId="5" r:id="rId6"/>
    <sheet name="토지(건설)" sheetId="7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  <c r="B10" i="2"/>
  <c r="B11" i="2"/>
  <c r="B12" i="2"/>
  <c r="B13" i="2"/>
  <c r="B14" i="2"/>
  <c r="B15" i="2"/>
  <c r="B16" i="2"/>
  <c r="B17" i="2"/>
  <c r="B18" i="2"/>
  <c r="B19" i="2"/>
  <c r="B20" i="2"/>
  <c r="B21" i="2"/>
  <c r="B9" i="2"/>
  <c r="B7" i="6"/>
  <c r="B19" i="6"/>
  <c r="B4" i="6"/>
  <c r="B3" i="6"/>
  <c r="B22" i="1"/>
  <c r="B18" i="1"/>
  <c r="B19" i="1"/>
  <c r="B17" i="1"/>
  <c r="B14" i="1"/>
  <c r="B15" i="1"/>
  <c r="B4" i="1"/>
  <c r="B5" i="1"/>
  <c r="B6" i="1"/>
  <c r="B7" i="1"/>
  <c r="B8" i="1"/>
  <c r="B9" i="1"/>
  <c r="B10" i="1"/>
  <c r="B11" i="1"/>
  <c r="B12" i="1"/>
  <c r="B13" i="1"/>
  <c r="B16" i="1"/>
  <c r="B20" i="1"/>
  <c r="B21" i="1"/>
  <c r="B4" i="2"/>
  <c r="B5" i="2"/>
  <c r="B6" i="2"/>
  <c r="B7" i="2"/>
  <c r="B8" i="2"/>
  <c r="B4" i="7"/>
  <c r="B5" i="7"/>
  <c r="B6" i="7"/>
  <c r="B7" i="7"/>
  <c r="B8" i="7"/>
  <c r="B3" i="7"/>
  <c r="B6" i="6"/>
  <c r="B8" i="6"/>
  <c r="B9" i="6"/>
  <c r="B10" i="6"/>
  <c r="B11" i="6"/>
  <c r="B12" i="6"/>
  <c r="B13" i="6"/>
  <c r="B14" i="6"/>
  <c r="B15" i="6"/>
  <c r="B16" i="6"/>
  <c r="B17" i="6"/>
  <c r="B18" i="6"/>
  <c r="B20" i="6"/>
  <c r="B21" i="6"/>
  <c r="B22" i="6"/>
  <c r="B5" i="6"/>
  <c r="B4" i="5"/>
  <c r="B5" i="5"/>
  <c r="B3" i="5"/>
  <c r="B4" i="4"/>
  <c r="B5" i="4"/>
  <c r="B6" i="4"/>
  <c r="B7" i="4"/>
  <c r="B8" i="4"/>
  <c r="B9" i="4"/>
  <c r="B10" i="4"/>
  <c r="B11" i="4"/>
  <c r="B3" i="4"/>
  <c r="B4" i="3"/>
  <c r="B5" i="3"/>
  <c r="B6" i="3"/>
  <c r="B7" i="3"/>
  <c r="B8" i="3"/>
  <c r="B9" i="3"/>
  <c r="B10" i="3"/>
  <c r="B11" i="3"/>
  <c r="B12" i="3"/>
  <c r="B3" i="3"/>
  <c r="B3" i="2"/>
  <c r="B3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</calcChain>
</file>

<file path=xl/sharedStrings.xml><?xml version="1.0" encoding="utf-8"?>
<sst xmlns="http://schemas.openxmlformats.org/spreadsheetml/2006/main" count="767" uniqueCount="521">
  <si>
    <t>회사명</t>
    <phoneticPr fontId="1" type="noConversion"/>
  </si>
  <si>
    <t>산업</t>
    <phoneticPr fontId="1" type="noConversion"/>
  </si>
  <si>
    <t>URL</t>
    <phoneticPr fontId="1" type="noConversion"/>
  </si>
  <si>
    <t>직무명(원어)</t>
    <phoneticPr fontId="1" type="noConversion"/>
  </si>
  <si>
    <t>국가</t>
    <phoneticPr fontId="1" type="noConversion"/>
  </si>
  <si>
    <t>일본</t>
    <phoneticPr fontId="1" type="noConversion"/>
  </si>
  <si>
    <t>야마토 하우스 그룹</t>
    <phoneticPr fontId="1" type="noConversion"/>
  </si>
  <si>
    <t>부동산</t>
    <phoneticPr fontId="1" type="noConversion"/>
  </si>
  <si>
    <t>https://www.clover-navi.com/detail/employment/v/2/id/51526</t>
    <phoneticPr fontId="1" type="noConversion"/>
  </si>
  <si>
    <t>아마존 재팬</t>
    <phoneticPr fontId="1" type="noConversion"/>
  </si>
  <si>
    <t>유통</t>
    <phoneticPr fontId="1" type="noConversion"/>
  </si>
  <si>
    <t>본사 혹은 아마존 재팬의 물류 거점에서 공정관리(출입고, 재고관리 등)
인재육성 등을 통해서 수십명이 되는 팀을 리드하는 일</t>
    <phoneticPr fontId="1" type="noConversion"/>
  </si>
  <si>
    <t>https://www.clover-navi.com/detail/employment/v/3/id/50396</t>
    <phoneticPr fontId="1" type="noConversion"/>
  </si>
  <si>
    <t>아마존 홈페이지의 개발 및 기능 개선 작업</t>
    <phoneticPr fontId="1" type="noConversion"/>
  </si>
  <si>
    <t>AWS(Amazon Web services - 클라우드 서비스)를 사용하고 있는 고객의 IT를 지원하는 일</t>
    <phoneticPr fontId="1" type="noConversion"/>
  </si>
  <si>
    <t>하트라이프케어</t>
    <phoneticPr fontId="1" type="noConversion"/>
  </si>
  <si>
    <t>의료/복지</t>
    <phoneticPr fontId="1" type="noConversion"/>
  </si>
  <si>
    <t>SBC 메디컬 그룹</t>
    <phoneticPr fontId="1" type="noConversion"/>
  </si>
  <si>
    <t>https://www.atgp.jp/search/top/search_result_detail/a07600000000q1624x</t>
    <phoneticPr fontId="1" type="noConversion"/>
  </si>
  <si>
    <t>하트풀케어</t>
    <phoneticPr fontId="1" type="noConversion"/>
  </si>
  <si>
    <t>https://www.atgp.jp/search/top/search_result_detail/a07600000000pnkj9v</t>
    <phoneticPr fontId="1" type="noConversion"/>
  </si>
  <si>
    <t>미와운수공업</t>
    <phoneticPr fontId="1" type="noConversion"/>
  </si>
  <si>
    <t>운수/물류/창고</t>
    <phoneticPr fontId="1" type="noConversion"/>
  </si>
  <si>
    <t>https://www.atgp.jp/search/top/search_result_detail/a07600000000nqmoci</t>
    <phoneticPr fontId="1" type="noConversion"/>
  </si>
  <si>
    <t>토치유키</t>
    <phoneticPr fontId="1" type="noConversion"/>
  </si>
  <si>
    <t>https://www.atgp.jp/search/top/search_result_detail/a07600000000maly46</t>
    <phoneticPr fontId="1" type="noConversion"/>
  </si>
  <si>
    <t>No.</t>
    <phoneticPr fontId="1" type="noConversion"/>
  </si>
  <si>
    <t>세부 직무 및 수행내용</t>
    <phoneticPr fontId="1" type="noConversion"/>
  </si>
  <si>
    <t>장애유형</t>
    <phoneticPr fontId="1" type="noConversion"/>
  </si>
  <si>
    <t>간병직(介護職)</t>
    <phoneticPr fontId="1" type="noConversion"/>
  </si>
  <si>
    <t>경증, 청각, 신장</t>
    <phoneticPr fontId="1" type="noConversion"/>
  </si>
  <si>
    <t>제한없음</t>
    <phoneticPr fontId="1" type="noConversion"/>
  </si>
  <si>
    <t>경증, 신체, 정신</t>
    <phoneticPr fontId="1" type="noConversion"/>
  </si>
  <si>
    <t>신체, 청각</t>
    <phoneticPr fontId="1" type="noConversion"/>
  </si>
  <si>
    <t>신체, 내부, 정신</t>
    <phoneticPr fontId="1" type="noConversion"/>
  </si>
  <si>
    <t>경증 지체, 정신, 지적, 청각, 신장</t>
    <phoneticPr fontId="1" type="noConversion"/>
  </si>
  <si>
    <t>미국</t>
    <phoneticPr fontId="1" type="noConversion"/>
  </si>
  <si>
    <t>호텔</t>
    <phoneticPr fontId="1" type="noConversion"/>
  </si>
  <si>
    <t>페어몬트 호텔</t>
    <phoneticPr fontId="1" type="noConversion"/>
  </si>
  <si>
    <t>청각, 언어, 경증 지체, 경증 지적, 경증 발달</t>
    <phoneticPr fontId="1" type="noConversion"/>
  </si>
  <si>
    <t>https://jobs.localjobnetwork.com/job/detail/83445695/Laundry-Attendant-Sorter</t>
    <phoneticPr fontId="1" type="noConversion"/>
  </si>
  <si>
    <t>청각, 언어, 경증 지체</t>
    <phoneticPr fontId="1" type="noConversion"/>
  </si>
  <si>
    <t>Twenty Four Seven 호텔</t>
    <phoneticPr fontId="1" type="noConversion"/>
  </si>
  <si>
    <t>https://jobs.localjobnetwork.com/job/detail/83445231/NIGHT-AUDITOR-ROOMS</t>
    <phoneticPr fontId="1" type="noConversion"/>
  </si>
  <si>
    <t>객실층, 복도, 현관, 계단 등의 청결 유지
고객이 필요로하는 세탁물과 물품 공급
세탁물 분류, 운반 업무</t>
    <phoneticPr fontId="1" type="noConversion"/>
  </si>
  <si>
    <t>크레센트 호텔</t>
    <phoneticPr fontId="1" type="noConversion"/>
  </si>
  <si>
    <t>https://jobs.localjobnetwork.com/job/detail/83444388/Housekeeping-Houseperson</t>
    <phoneticPr fontId="1" type="noConversion"/>
  </si>
  <si>
    <t>https://jobs.localjobnetwork.com/job/detail/83444376/Mixologist-Bartender-Seasonal</t>
    <phoneticPr fontId="1" type="noConversion"/>
  </si>
  <si>
    <t>메드스타 힐스</t>
    <phoneticPr fontId="1" type="noConversion"/>
  </si>
  <si>
    <t>의료/제약</t>
    <phoneticPr fontId="1" type="noConversion"/>
  </si>
  <si>
    <t>https://jobs.localjobnetwork.com/job/detail/83432020/Hospitality-Asst-Part-time</t>
    <phoneticPr fontId="1" type="noConversion"/>
  </si>
  <si>
    <t>컴퍼스 그룹</t>
    <phoneticPr fontId="1" type="noConversion"/>
  </si>
  <si>
    <t>서비스</t>
    <phoneticPr fontId="1" type="noConversion"/>
  </si>
  <si>
    <t>https://jobs.localjobnetwork.com/job/detail/83443366/ARRIVAL-AMBASSADOR</t>
    <phoneticPr fontId="1" type="noConversion"/>
  </si>
  <si>
    <t>라이브 콘텐츠 및 캠페인 설계 및 운영
내부/외부 피드백과 핵심지표를 분석하여 게임 품질 지속 개선</t>
    <phoneticPr fontId="1" type="noConversion"/>
  </si>
  <si>
    <t>일렉트로닉 아츠</t>
    <phoneticPr fontId="1" type="noConversion"/>
  </si>
  <si>
    <t>소프트웨어</t>
    <phoneticPr fontId="1" type="noConversion"/>
  </si>
  <si>
    <t>https://jobs.localjobnetwork.com/job/detail/83436301/Lead-Game-Product-Manager-Madden</t>
    <phoneticPr fontId="1" type="noConversion"/>
  </si>
  <si>
    <t>직무 정의</t>
    <phoneticPr fontId="1" type="noConversion"/>
  </si>
  <si>
    <t>간호 어시스턴트 (介護アシスタント)</t>
    <phoneticPr fontId="1" type="noConversion"/>
  </si>
  <si>
    <t>기능직 (技能職)</t>
    <phoneticPr fontId="1" type="noConversion"/>
  </si>
  <si>
    <t>세탁 도우미-소터 (The Laundry Attendant-Sorter)</t>
    <phoneticPr fontId="1" type="noConversion"/>
  </si>
  <si>
    <t>야간 감사 (NIGHT AUDITOR)</t>
    <phoneticPr fontId="1" type="noConversion"/>
  </si>
  <si>
    <t>객실관리 지원담당자 (HouseKeeping Houseperson)</t>
    <phoneticPr fontId="1" type="noConversion"/>
  </si>
  <si>
    <t>칵테일 전문 바텐더 (Mixologist / Bartender)</t>
    <phoneticPr fontId="1" type="noConversion"/>
  </si>
  <si>
    <t>환자 식사 서비스 보조원 (Hospitality Assistant)</t>
    <phoneticPr fontId="1" type="noConversion"/>
  </si>
  <si>
    <t>고객 환영 서비스 담당자 (Arrival Ambassador)</t>
    <phoneticPr fontId="1" type="noConversion"/>
  </si>
  <si>
    <t>게임 프로덕트 매니저 (Lead Game Product Manager)</t>
    <phoneticPr fontId="1" type="noConversion"/>
  </si>
  <si>
    <t>기업 부동산 법률 보조원(Corporate Real Estate Paralegal)</t>
    <phoneticPr fontId="1" type="noConversion"/>
  </si>
  <si>
    <t>부동산 거래의 법적 절차를 지원하는 법률 보조 전문가</t>
    <phoneticPr fontId="1" type="noConversion"/>
  </si>
  <si>
    <t>청각, 언어, 경증 지체, 경증 시각</t>
    <phoneticPr fontId="1" type="noConversion"/>
  </si>
  <si>
    <t>그룹 Ⅱ</t>
    <phoneticPr fontId="1" type="noConversion"/>
  </si>
  <si>
    <t>법률 서비스</t>
    <phoneticPr fontId="1" type="noConversion"/>
  </si>
  <si>
    <t>https://jobs.localjobnetwork.com/job/detail/83447110/Corporate-Real-Estate-Paralegal</t>
    <phoneticPr fontId="1" type="noConversion"/>
  </si>
  <si>
    <t>시설 운영 관리자(Facilities Manager)</t>
    <phoneticPr fontId="1" type="noConversion"/>
  </si>
  <si>
    <t>담당 부동산 및 시설물의 운영, 유지관리를 총괄하는 책임자</t>
    <phoneticPr fontId="1" type="noConversion"/>
  </si>
  <si>
    <t>JLL</t>
    <phoneticPr fontId="1" type="noConversion"/>
  </si>
  <si>
    <t>https://jobs.localjobnetwork.com/job/detail/83453760/Facilities-Manager</t>
    <phoneticPr fontId="1" type="noConversion"/>
  </si>
  <si>
    <t>임대 컨설턴트(Leasing Consultant)</t>
    <phoneticPr fontId="1" type="noConversion"/>
  </si>
  <si>
    <t>잠재적 입주자에게 주택을 소개하고 마케팅 활동을 통해 입주율을 높이는 담당자</t>
    <phoneticPr fontId="1" type="noConversion"/>
  </si>
  <si>
    <t>언어, 경증 지체</t>
    <phoneticPr fontId="1" type="noConversion"/>
  </si>
  <si>
    <t>그리피스 레지덴셜</t>
    <phoneticPr fontId="1" type="noConversion"/>
  </si>
  <si>
    <t>https://jobs.localjobnetwork.com/job/detail/83449079/Leasing-Consultant</t>
    <phoneticPr fontId="1" type="noConversion"/>
  </si>
  <si>
    <t>위생 관리 보조원(Sanitation Associate)</t>
    <phoneticPr fontId="1" type="noConversion"/>
  </si>
  <si>
    <t>물류센터의 청결과 안전을 유지하기 위해 지정된 구역을 청소하고 위생 상태를 관리하는 직무</t>
    <phoneticPr fontId="1" type="noConversion"/>
  </si>
  <si>
    <t>청각, 언어, 경증 지체, 경증 시각, 경증 지적, 경증 발달</t>
    <phoneticPr fontId="1" type="noConversion"/>
  </si>
  <si>
    <t>ADUSA</t>
    <phoneticPr fontId="1" type="noConversion"/>
  </si>
  <si>
    <t>유통 및 운송</t>
    <phoneticPr fontId="1" type="noConversion"/>
  </si>
  <si>
    <t>https://abilitylinks.org/jobs/130634997-sanitation-associate</t>
    <phoneticPr fontId="1" type="noConversion"/>
  </si>
  <si>
    <t>해충 방제 관리원(Pesticide Controller)</t>
    <phoneticPr fontId="1" type="noConversion"/>
  </si>
  <si>
    <t>물류센터의 해충을 관리하고 방제 프로그램을 운영하여 물품의 품질과 안전을 유지하는 직무</t>
    <phoneticPr fontId="1" type="noConversion"/>
  </si>
  <si>
    <t>https://abilitylinks.org/jobs/115775727-pesticide-controller</t>
    <phoneticPr fontId="1" type="noConversion"/>
  </si>
  <si>
    <t>게임의 라이프 서비스를 운영하여 사용자 경험의 수익성을 극대화하는 직무</t>
    <phoneticPr fontId="1" type="noConversion"/>
  </si>
  <si>
    <t>VIP 고객에게 최고의 고객 경험을 제공하는 안내 지원 직무</t>
    <phoneticPr fontId="1" type="noConversion"/>
  </si>
  <si>
    <t xml:space="preserve">병원 환자의 식사 제공과 관련한 지원 업무를 수행하는 직무 </t>
    <phoneticPr fontId="1" type="noConversion"/>
  </si>
  <si>
    <t>바에서 전문적으로 칵테일을 제조하고 고객에게 음료 제공의 서비스를 하는 직무</t>
    <phoneticPr fontId="1" type="noConversion"/>
  </si>
  <si>
    <t>호텔 공용구역을 청소하고 쾌적한 환경을 유지관리하는 직무</t>
    <phoneticPr fontId="1" type="noConversion"/>
  </si>
  <si>
    <t>야간 프론트 데스크 근무를 맡아 고객 서비스를 제공하는 직무</t>
    <phoneticPr fontId="1" type="noConversion"/>
  </si>
  <si>
    <t>호텔이나 시설에서 세탁물을 수거하고 분류하여 적절한 처리를 지원하는 직무</t>
    <phoneticPr fontId="1" type="noConversion"/>
  </si>
  <si>
    <t>대형 편의점 물류센터에서 램프 지시나 리스트에 따라 분류하고 적재 작업을 수행하는 직무</t>
    <phoneticPr fontId="1" type="noConversion"/>
  </si>
  <si>
    <t>제조 공정 지원 작업을 수행하는 기능직 담당자</t>
    <phoneticPr fontId="1" type="noConversion"/>
  </si>
  <si>
    <t>요양시설 내에서 입소자의 생활지원을 위한 간접적인 업무를 수행하는 직무</t>
    <phoneticPr fontId="1" type="noConversion"/>
  </si>
  <si>
    <t>클리닉 내 청결관리, 비품 보충 등의 간단한 시설 정비 직무</t>
    <phoneticPr fontId="1" type="noConversion"/>
  </si>
  <si>
    <t>https://www.atgp.jp/search/top/search_result_detail/a07600000000hh5i92</t>
    <phoneticPr fontId="1" type="noConversion"/>
  </si>
  <si>
    <t>시설 내 청결관리, 세탁물 관리의 생활 지원 직무</t>
    <phoneticPr fontId="1" type="noConversion"/>
  </si>
  <si>
    <t>안정적인 클라우드 서비스 이용을 지원하도록 기술적 문의 대응, 문제 해결하는 직무</t>
    <phoneticPr fontId="1" type="noConversion"/>
  </si>
  <si>
    <t>웹사이트 및 관련 시스템의 개발과 기능 개선을 통해 품질 향상을 지원하는 직무</t>
    <phoneticPr fontId="1" type="noConversion"/>
  </si>
  <si>
    <t>상품 입고, 재고 관리, 출고 등의 프로세스를 운영하여 품질 향상을 주도하는 직무</t>
    <phoneticPr fontId="1" type="noConversion"/>
  </si>
  <si>
    <t>건출 기술직(建築技術職)</t>
    <phoneticPr fontId="1" type="noConversion"/>
  </si>
  <si>
    <t>상업 시설의 설계, 시공 관리 및 유지보수를 통해 시설의 품질과 안전성을 확보하는 직무</t>
    <phoneticPr fontId="1" type="noConversion"/>
  </si>
  <si>
    <t>프랑스</t>
    <phoneticPr fontId="1" type="noConversion"/>
  </si>
  <si>
    <t>포장 작업자(Conditionneur)</t>
    <phoneticPr fontId="1" type="noConversion"/>
  </si>
  <si>
    <t>의약품 제조 환경에서 포장작업을 반복적으로 담당하는 장애인 지원자 전용 직무</t>
    <phoneticPr fontId="1" type="noConversion"/>
  </si>
  <si>
    <t>청각, 언어</t>
    <phoneticPr fontId="1" type="noConversion"/>
  </si>
  <si>
    <t>Kliff par Randstad</t>
    <phoneticPr fontId="1" type="noConversion"/>
  </si>
  <si>
    <t>인적 자원 서비스</t>
    <phoneticPr fontId="1" type="noConversion"/>
  </si>
  <si>
    <t>https://www.handicap-job.com/recherche/detail/oid/6202352/conditionneur-hf-uniquement-en-situation-dhandicap.html</t>
    <phoneticPr fontId="1" type="noConversion"/>
  </si>
  <si>
    <t>간호 관리자(Cadre de santé)</t>
    <phoneticPr fontId="1" type="noConversion"/>
  </si>
  <si>
    <t>요양 시설 내 간호 서비스의 품질을 보장하기 위해 간호팀을 관리하고 진료 및 위생활동을 감독하는 관리자 직무</t>
    <phoneticPr fontId="1" type="noConversion"/>
  </si>
  <si>
    <t>VYV3</t>
    <phoneticPr fontId="1" type="noConversion"/>
  </si>
  <si>
    <t>보건복지서비스</t>
    <phoneticPr fontId="1" type="noConversion"/>
  </si>
  <si>
    <t>https://www.handicap-job.com/recherche/detail/oid/6215384/cadre-de-sante-idec-fh.html</t>
    <phoneticPr fontId="1" type="noConversion"/>
  </si>
  <si>
    <t>재가요양보조원(Aide à domicile)</t>
    <phoneticPr fontId="1" type="noConversion"/>
  </si>
  <si>
    <t>고령자, 취약계층 대상으로 개인 맞춤형 지원과 일상생활 보조를 제공하는 재택 돌봄 서비스 직무</t>
    <phoneticPr fontId="1" type="noConversion"/>
  </si>
  <si>
    <t>https://www.handicap-job.com/recherche/detail/oid/6215380/aide-a-domicile-fh.html</t>
    <phoneticPr fontId="1" type="noConversion"/>
  </si>
  <si>
    <t>물리치료사(Casual Physiotherapist)</t>
    <phoneticPr fontId="1" type="noConversion"/>
  </si>
  <si>
    <t>노인 요양 시설 대상으로 환자 중심의 평가, 치료 및 재활 서비스 제공 직무</t>
    <phoneticPr fontId="1" type="noConversion"/>
  </si>
  <si>
    <t>청각, 경증 지체</t>
    <phoneticPr fontId="1" type="noConversion"/>
  </si>
  <si>
    <t>Healthcare Australia</t>
  </si>
  <si>
    <t>의료 인력 서비스</t>
    <phoneticPr fontId="1" type="noConversion"/>
  </si>
  <si>
    <t>https://healthcareaustralia.com.au/find-a-job/home-care-support-worker-8-2/</t>
    <phoneticPr fontId="1" type="noConversion"/>
  </si>
  <si>
    <t>호주</t>
    <phoneticPr fontId="1" type="noConversion"/>
  </si>
  <si>
    <t>사이버 보안 관리자(Cyber Security Manager)</t>
    <phoneticPr fontId="1" type="noConversion"/>
  </si>
  <si>
    <t>IT보안을 전략 수립부터 실행까지 총괄하는 중간관리자급 보안 전문가</t>
    <phoneticPr fontId="1" type="noConversion"/>
  </si>
  <si>
    <t>청각, 경증 지체, 내부</t>
    <phoneticPr fontId="1" type="noConversion"/>
  </si>
  <si>
    <t>Creative Australia</t>
  </si>
  <si>
    <t>공공/예술/문화산업</t>
    <phoneticPr fontId="1" type="noConversion"/>
  </si>
  <si>
    <t>https://www.toozly.com.au/component/jsjobs/toozlyjob/viewjob/job-cyber-security-manager-54311/nav-15?Itemid=</t>
    <phoneticPr fontId="1" type="noConversion"/>
  </si>
  <si>
    <t>세입자나 오너의 건물 관련한 문의 대응
물건에 이상이 없는지 확인, 수선이 필요한 경우는 공사 준비
상황 보고서 작성 : 건물의 상황이나 공사 내용에 대해 세입자나 오너에게 보고</t>
    <phoneticPr fontId="1" type="noConversion"/>
  </si>
  <si>
    <t>세탁, 청소, 정리정돈 지원
식사, 배설, 탈착의, 목욕, 양치질 지원</t>
    <phoneticPr fontId="1" type="noConversion"/>
  </si>
  <si>
    <t>청소(오페실, 기계전개실, 의국 쓰레기 모으기 등)
소품 및 튜브류 설거지
의료비품 보충(장갑, 수액, 주사기침 등)
다림질을 비롯한 세탁
패킹 작업
재고의 정수관리</t>
    <phoneticPr fontId="1" type="noConversion"/>
  </si>
  <si>
    <t>이용자의 말동무
식당 청소와 빨래 개어 놓기
식사의 밑반찬 배식이나 차 우림 등</t>
    <phoneticPr fontId="1" type="noConversion"/>
  </si>
  <si>
    <t>구슬걸이(크레인을 이용하여 물건을 들어올릴 때 와이어로프, 체인, 벨트) 검수
철강 제품의 입고, 재배치, 적재 작업
천장 크레인 조작, 철강 제품 이동</t>
    <phoneticPr fontId="1" type="noConversion"/>
  </si>
  <si>
    <t>상품 선반 위의 램프가 깜빡이는 위치를 보고 상품을 냉동 보관 상자에 담기
아이스크림, 냉동식품 등의 상품 카트 정리</t>
    <phoneticPr fontId="1" type="noConversion"/>
  </si>
  <si>
    <t>수건, 시트, 린넨 등 종류별 세탁물 분류
세탁시설, 장비 정리정돈
타사 세탁 시설이 세탁물을 픽업할 수 있도록 세탁물 배치</t>
    <phoneticPr fontId="1" type="noConversion"/>
  </si>
  <si>
    <t>환자 식단 정보에 따라 점심, 저녁 식사 트레이 준비
식사 트레이 배달 및 회수
신규 입원자나 식단 변경 환자의 메뉴 업데이트, 식단 집계표 작성 등의 사무 행정</t>
    <phoneticPr fontId="1" type="noConversion"/>
  </si>
  <si>
    <t>방문하는 VIP 고객을 방문 목적지까지 동행하거나 편의 제공
방문객 등록 절차와 기록 관리</t>
    <phoneticPr fontId="1" type="noConversion"/>
  </si>
  <si>
    <t>상업용 부동산 계약서(매매계약서, 임대조건서 등) 초안 작성 및 준비
계약 관련 서류 검토
부동산 거래 클로징 패키지 준비 및 클로징 명세서 검토</t>
    <phoneticPr fontId="1" type="noConversion"/>
  </si>
  <si>
    <t>보고 직원들의 업무 성과 및 결과 관리
부동산 소유주와 입주자 간의 소통 관리
표준 절차 및 정책에 따른 시설 서비스 제공
지정된 지역 및 시설 내에서 시설관리 서비스 운영</t>
    <phoneticPr fontId="1" type="noConversion"/>
  </si>
  <si>
    <t>현장 투어를 통한 아파트 단지의 특징 및 편의시설 소개
입주 지원서 작성 및 심사지원
임대 계약 문서 준비
신규 입사자 유치를 위한 커뮤니티 마케팅</t>
    <phoneticPr fontId="1" type="noConversion"/>
  </si>
  <si>
    <t>폐기물 수거
슬롯, 복도, 창고 외부의 바닥 청소
랙, 문, 조명의 진공 청소, 먼지 제거
청소 장비의 오일 보충 작업</t>
    <phoneticPr fontId="1" type="noConversion"/>
  </si>
  <si>
    <t>작업장 내외부의 해충 모니터링 장치인 트랩과 미끼 교체
해중 방제 기록
잠재적 해충 문제 분석</t>
    <phoneticPr fontId="1" type="noConversion"/>
  </si>
  <si>
    <t>포장 박스 조립
제품에 뚜껑 또는 캡 씌우기</t>
    <phoneticPr fontId="1" type="noConversion"/>
  </si>
  <si>
    <t>간호 인력 감독 및 교육
간호 기록 및 의무기록 관리
입소 관련 서류 검토
가족 상담 및 입소 절차 조율</t>
    <phoneticPr fontId="1" type="noConversion"/>
  </si>
  <si>
    <t>청소, 세탁, 집안 정비 작업
옷 갈아입기, 화장실 이용, 이동 보조
신뢰 기반의 정서적 관계 형성</t>
    <phoneticPr fontId="1" type="noConversion"/>
  </si>
  <si>
    <t>개인별 기능 회복 및 재활 프로그램 제공
통증관리, 낙상 예방, 근거 기반 운동 프로그램 시행
보조기구 처방 안전성 평가</t>
    <phoneticPr fontId="1" type="noConversion"/>
  </si>
  <si>
    <t>조직의 사이버 보안 정책, 표준, 절차 수립 및 관리
주요 사이버 보안 프로젝트 리딩
보안 위협 식별 및 대응 전략 수립</t>
    <phoneticPr fontId="1" type="noConversion"/>
  </si>
  <si>
    <t>택배/물류</t>
    <phoneticPr fontId="1" type="noConversion"/>
  </si>
  <si>
    <t>소포 서비스 전문직(Parcel Specialist)</t>
    <phoneticPr fontId="1" type="noConversion"/>
  </si>
  <si>
    <t>소포 수발신 처리, 포장, 고객 안내, 시스템 인력 등의 다양한 고객응대 및 물류지원을 수행하는 기능직</t>
    <phoneticPr fontId="1" type="noConversion"/>
  </si>
  <si>
    <t>배달 기사용 픽업 준비
배달 기사용 분류 작업
고객 물품을 포장지에 넣고 라벨링
적절한 포장 방법 추천</t>
    <phoneticPr fontId="1" type="noConversion"/>
  </si>
  <si>
    <t>FedEx</t>
  </si>
  <si>
    <t>https://jobs.localjobnetwork.com/job/detail/82660191/Customer-Service-Parcel-Specialist?keywords=Parcel%2bService</t>
    <phoneticPr fontId="1" type="noConversion"/>
  </si>
  <si>
    <t>식품 제조</t>
    <phoneticPr fontId="1" type="noConversion"/>
  </si>
  <si>
    <t>야간 식품 제조 설비관리 감독자(Night Shift Food Manufacturing Maintenance Supervisor)</t>
    <phoneticPr fontId="1" type="noConversion"/>
  </si>
  <si>
    <t>설비 운영, 유지 보수를 총괄하며 작업자들을 교육 관리하는 기술 감독직</t>
    <phoneticPr fontId="1" type="noConversion"/>
  </si>
  <si>
    <t>설비/공정 작업자의 활동을 감독 및 절차 준수 관리
작업 지시, 정비 계획, 기술 지원 제공
부품 요청, 재고 유지, 긴급 수리 요청 대응</t>
    <phoneticPr fontId="1" type="noConversion"/>
  </si>
  <si>
    <t>청각, 언어, 정신</t>
    <phoneticPr fontId="1" type="noConversion"/>
  </si>
  <si>
    <t>Shearer’s Foods</t>
    <phoneticPr fontId="1" type="noConversion"/>
  </si>
  <si>
    <t>https://jobs.localjobnetwork.com/job/detail/83462020/Night-Shift-Food-Manufacturing-Maintenance-Supervisor?keywords=food%2bmanufacturing</t>
    <phoneticPr fontId="1" type="noConversion"/>
  </si>
  <si>
    <t>식품 제조 공장 생산 관리자</t>
    <phoneticPr fontId="1" type="noConversion"/>
  </si>
  <si>
    <t>공장에서 생산 직원의 작업을 계획, 지휘, 조정하며 품질기준을 준수하도록 관리하는 총괄 관리자 직무</t>
    <phoneticPr fontId="1" type="noConversion"/>
  </si>
  <si>
    <t>생산 일정 및 직원 근무계획 수립 및 조정
품질 및 식품안전 기준 준수 여부 점검
공정 라인 내 안전 및 위생 확인</t>
    <phoneticPr fontId="1" type="noConversion"/>
  </si>
  <si>
    <t>Compass Group</t>
    <phoneticPr fontId="1" type="noConversion"/>
  </si>
  <si>
    <t>https://jobs.localjobnetwork.com/job/detail/82977592/PRODUCTION-MANAGER-FOOD-MANUFACTURING-PLANT-LONGVIEW-TX?keywords=food%2bmanufacturing</t>
    <phoneticPr fontId="1" type="noConversion"/>
  </si>
  <si>
    <t>제조 및 인쇄</t>
    <phoneticPr fontId="1" type="noConversion"/>
  </si>
  <si>
    <t>자재 취급원 1급(Material Handler I)</t>
    <phoneticPr fontId="1" type="noConversion"/>
  </si>
  <si>
    <t>인쇄 품질 및 생산 문서 기준을 준수하며 고품질 출력물을 생산하는 생산현장 운영 보조직</t>
    <phoneticPr fontId="1" type="noConversion"/>
  </si>
  <si>
    <t>인쇄기 운영 및 유지보수 조정
인쇄 방식에 대한 기능 숙지
인쇄품질 확보를 위한 부품 조정 및 세팅
자재의 라벨링, 용지 롤 적절한 표기</t>
    <phoneticPr fontId="1" type="noConversion"/>
  </si>
  <si>
    <t>Equiliem(아웃소싱)</t>
    <phoneticPr fontId="1" type="noConversion"/>
  </si>
  <si>
    <t>https://jobs.localjobnetwork.com/job/detail/83447253/Material-Handler-I?keywords=Printed</t>
    <phoneticPr fontId="1" type="noConversion"/>
  </si>
  <si>
    <t>인쇄</t>
    <phoneticPr fontId="1" type="noConversion"/>
  </si>
  <si>
    <t>스키드 코디네이터(Skid Coordinator)</t>
    <phoneticPr fontId="1" type="noConversion"/>
  </si>
  <si>
    <t>출하 전 생산품을 고객 사양에 맞게 팔레트에 적재하고 정확히 포장 및 라벨링하여 배송 준비가 완료되도록 관리하는 야간 생산 출하 지원 직무</t>
    <phoneticPr fontId="1" type="noConversion"/>
  </si>
  <si>
    <t>고객 사양에 맞는 팔레트 적재 조건 확인
상자에 있는 바코드 스캔 및 라벨링, 시스템 입력
출하용 문서(운송장, 시트) 출력 및 확인
스키드 재포장, 재배치 시 물품 정확성 확인</t>
    <phoneticPr fontId="1" type="noConversion"/>
  </si>
  <si>
    <t>Multi-Color Corporation</t>
  </si>
  <si>
    <t>https://jobs.localjobnetwork.com/job/detail/82921248/Skid-Coordinator?keywords=Printed</t>
  </si>
  <si>
    <t>입출고 관리 사무원(Shipping/Receiving Clerk)</t>
    <phoneticPr fontId="1" type="noConversion"/>
  </si>
  <si>
    <t>창고에서 제품의 입 출고를 기록·정리·적재하며 주문 대응과 배송 준비를 보조하는 현장형 물류 지원 사무직</t>
    <phoneticPr fontId="1" type="noConversion"/>
  </si>
  <si>
    <t>자재 및 품목을 지정장소로 운반
자재 및 품목을 선반·랙·상자 적재
출고 문서와 배송지 라벨 생성
포장 및 출하준비</t>
    <phoneticPr fontId="1" type="noConversion"/>
  </si>
  <si>
    <t>INX International Ink Co.</t>
    <phoneticPr fontId="1" type="noConversion"/>
  </si>
  <si>
    <t>https://jobs.localjobnetwork.com/job/detail/83213457/Shipping-Receiving-Clerk?keywords=Printed</t>
    <phoneticPr fontId="1" type="noConversion"/>
  </si>
  <si>
    <t>유통 및 소매산업</t>
    <phoneticPr fontId="1" type="noConversion"/>
  </si>
  <si>
    <t>세차장 현장 운영 보조원(Car Wash Attendant)</t>
    <phoneticPr fontId="1" type="noConversion"/>
  </si>
  <si>
    <t>세차장의 청결, 장비 작동, 고객 응대, 안전 상태 유지 등을 전반적으로 관리하여 세차 서비스를 제공하는 현장 지원직</t>
    <phoneticPr fontId="1" type="noConversion"/>
  </si>
  <si>
    <t>세차 장비 상태 확인 및 유지관리
비누, 왁스 등 소모품 보충 여부 확인
세차장 건물 정리정돈, 잔해물 제거</t>
    <phoneticPr fontId="1" type="noConversion"/>
  </si>
  <si>
    <t>창각, 언어</t>
    <phoneticPr fontId="1" type="noConversion"/>
  </si>
  <si>
    <t>Global Partners LP</t>
  </si>
  <si>
    <t>https://jobs.localjobnetwork.com/job/detail/56384444/Car-Wash-Attendant?keywords=car%2bwash</t>
  </si>
  <si>
    <t>차량 리마케팅 산업</t>
    <phoneticPr fontId="1" type="noConversion"/>
  </si>
  <si>
    <t>차량 디테일링 담당자(Detail Technician)</t>
    <phoneticPr fontId="1" type="noConversion"/>
  </si>
  <si>
    <t>자동차의 외관·내부를 고압세척, 광택, 진공청소, 정비용 화학제품으로 세척 및 정돈하는 전문 차량 클리닉 직무</t>
    <phoneticPr fontId="1" type="noConversion"/>
  </si>
  <si>
    <t>재떨이, 대시볻, 도어패널 등 내부 쓰레기 제거
트렁크 및 엔진룸 내부 세척
휠커버, 매트, 벨트정리, 차량 스페어타이어 분해
클리너, 왁스, 폴리싱 후 로터리 버퍼로 광택 처리
타이어, 몰딩, 사이드미러 주변 등을 디테일 브러쉬로 세척</t>
    <phoneticPr fontId="1" type="noConversion"/>
  </si>
  <si>
    <t>청각, 언어, 경증 지적, 경증 자폐성, 경증 정신</t>
    <phoneticPr fontId="1" type="noConversion"/>
  </si>
  <si>
    <t>Cox</t>
  </si>
  <si>
    <t>https://jobs.localjobnetwork.com/job/detail/82812341/Detail-Technician-I-Manheim?keywords=car%2bwash</t>
  </si>
  <si>
    <t>자동차 유통</t>
    <phoneticPr fontId="1" type="noConversion"/>
  </si>
  <si>
    <t>차량 세차 담당 직원(Car Washer)</t>
    <phoneticPr fontId="1" type="noConversion"/>
  </si>
  <si>
    <t>차량의 외관 및 내부를 세차, 청소, 정돈하여 차량 상태를 완벽하게 유지·관리하는 직무</t>
    <phoneticPr fontId="1" type="noConversion"/>
  </si>
  <si>
    <t>차량 외부 세척
타이어 드레싱
유리, 유광 부품, 전면 유리 청소
스티커 테이프 제거</t>
    <phoneticPr fontId="1" type="noConversion"/>
  </si>
  <si>
    <t>청각, 언어, 경증 지체, 정신</t>
    <phoneticPr fontId="1" type="noConversion"/>
  </si>
  <si>
    <t>https://jobs.localjobnetwork.com/job/detail/76308327/Car-Washer?keywords=car%2bwash</t>
  </si>
  <si>
    <t>The Friedkin Group</t>
  </si>
  <si>
    <t>의료/복지/제약</t>
    <phoneticPr fontId="1" type="noConversion"/>
  </si>
  <si>
    <t>복지 분석 담당자(Analyst)</t>
    <phoneticPr fontId="1" type="noConversion"/>
  </si>
  <si>
    <t>직원 복지제도 및 프로그램에 대해 재무 및 데이터 분석을 수행하는 관리지원 분석직</t>
    <phoneticPr fontId="1" type="noConversion"/>
  </si>
  <si>
    <t>복리후생제도 재무 모니터링 및 데이터 분석
복지예산 월 단위 분석 및 보고
내부 성과지표 개발 및 유지</t>
    <phoneticPr fontId="1" type="noConversion"/>
  </si>
  <si>
    <t>Vantive</t>
  </si>
  <si>
    <t>https://jobs.localjobnetwork.com/job/detail/83421068/Analyst-Health-Welfare-Benefits-and-Mobility?keywords=Health%2band%2bWelfare</t>
  </si>
  <si>
    <t>실무간호사((Licensed Practical Nurse : LPN)</t>
    <phoneticPr fontId="1" type="noConversion"/>
  </si>
  <si>
    <t>시니어 요양시설 내에서 노인 대상의 일상 간호 업무, 투약 보조, 건강 모니터링, 정서적 지지 등을 수행하는 간호 실무자</t>
    <phoneticPr fontId="1" type="noConversion"/>
  </si>
  <si>
    <t>입소 노인의 개인 간호 업무 수행
의사·간호 관리자 지시에 따라 투약 및 기본처치 수행</t>
    <phoneticPr fontId="1" type="noConversion"/>
  </si>
  <si>
    <t>경증 청각, 경증 언어</t>
    <phoneticPr fontId="1" type="noConversion"/>
  </si>
  <si>
    <t>Meridian Senior Living</t>
  </si>
  <si>
    <t>https://jobs.localjobnetwork.com/job/detail/81634801/LPN?keywords=welfare%2bof%2bthe%2belderly</t>
  </si>
  <si>
    <t>Eskaton Properties, Inc.</t>
  </si>
  <si>
    <t>생활활동 지원 보조원(Life Enrichment Assistant)</t>
    <phoneticPr fontId="1" type="noConversion"/>
  </si>
  <si>
    <t>노인의 사회적·신체적·정서적·인지적 건강 증진을 위한 프로그램 기획·운영을 수행하는 직무</t>
    <phoneticPr fontId="1" type="noConversion"/>
  </si>
  <si>
    <t>생활활동 프로그램(게임, 예술, 운동 등) 기획 및 실행 보조
일정표 작성, 개인의 일정에 맞 춘 계획 조정
소모품 관리, 활동 결과 보고서 작성 등 행정보조
신체·정신적 제한을 고려한 개별 맞춤형 활동 설계</t>
    <phoneticPr fontId="1" type="noConversion"/>
  </si>
  <si>
    <t>https://jobs.localjobnetwork.com/job/detail/83375640/Life-Enrichment-Assistant?keywords=welfare%2bof%2bthe%2belderly</t>
  </si>
  <si>
    <t>주거복지</t>
    <phoneticPr fontId="1" type="noConversion"/>
  </si>
  <si>
    <t>생명 강화 보조원(Life Enrichment Assistant-On call)</t>
    <phoneticPr fontId="1" type="noConversion"/>
  </si>
  <si>
    <t>노인의 사회적·신체적·정서적 건강 증진을 위한 프로그램 기획·운영을 수행하며 필요시 호출되는 보조 인력</t>
    <phoneticPr fontId="1" type="noConversion"/>
  </si>
  <si>
    <t>생활 향상 프로그램 기획 및 운영 지원
개별 입소자의 관심사, 능력에 맞춘 활동 설계
활동 참여율 기록 및 장비 유지관리</t>
    <phoneticPr fontId="1" type="noConversion"/>
  </si>
  <si>
    <t>https://jobs.localjobnetwork.com/job/detail/83375638/Life-Enrichment-Assistant-On-Call?keywords=welfare%2bof%2bthe%2belderly</t>
    <phoneticPr fontId="1" type="noConversion"/>
  </si>
  <si>
    <t>Eskaton Properties, Inc.</t>
    <phoneticPr fontId="1" type="noConversion"/>
  </si>
  <si>
    <t>장애인 직원으로 구성된 센터에서 팀의 리더로서 업무지원 및 진행관리 담당</t>
    <phoneticPr fontId="1" type="noConversion"/>
  </si>
  <si>
    <t>주택 사업 관련 시스템에 정보 등록
주택 판매 촉진 자료 작성
팀원 업무 지원 및 진행 상황 관리</t>
    <phoneticPr fontId="1" type="noConversion"/>
  </si>
  <si>
    <t>청각, 언어, 지체</t>
    <phoneticPr fontId="1" type="noConversion"/>
  </si>
  <si>
    <t>오픈하우스</t>
    <phoneticPr fontId="1" type="noConversion"/>
  </si>
  <si>
    <t>https://syogai-koyo-bank.com/job/detail/oiM3esqi3yqBbaORIHVNFZGe5gQ09c0P/</t>
  </si>
  <si>
    <t>호텔/서비스</t>
    <phoneticPr fontId="1" type="noConversion"/>
  </si>
  <si>
    <t>https://www.clover-navi.com/detail/employment/v/3/id/51527</t>
  </si>
  <si>
    <t>호텔 프론트 직원(ホテルフロントスタッフ)</t>
    <phoneticPr fontId="1" type="noConversion"/>
  </si>
  <si>
    <t>프론트 데스크에서 고객 응대, 체크인·체크아웃 절차, 시설 안내 등 프론트 전반의 접객 서비스 수행</t>
    <phoneticPr fontId="1" type="noConversion"/>
  </si>
  <si>
    <t>호텔 내 편의시설 안내
전화 및 인터넷을 통한 숙박 예약 접수
체크인·체크아웃 응대</t>
    <phoneticPr fontId="1" type="noConversion"/>
  </si>
  <si>
    <t>청각, 경증 시각, 지체, 정신</t>
    <phoneticPr fontId="1" type="noConversion"/>
  </si>
  <si>
    <t>다이와로이넷호텔</t>
    <phoneticPr fontId="1" type="noConversion"/>
  </si>
  <si>
    <t>광고 인쇄, 마케팅</t>
    <phoneticPr fontId="1" type="noConversion"/>
  </si>
  <si>
    <t>클라이언트의 니즈를 분석하고 맞춤형 인쇄물을 기획·제안 영업 수행 직무</t>
    <phoneticPr fontId="1" type="noConversion"/>
  </si>
  <si>
    <t>클라이언트 커뮤니케이션 및 니즈분석
인쇄물 기획안 작성, 제안
프로젝트 진행 관리 및 납기 조정</t>
    <phoneticPr fontId="1" type="noConversion"/>
  </si>
  <si>
    <t>라쿠텐 소시오비즈니스</t>
    <phoneticPr fontId="1" type="noConversion"/>
  </si>
  <si>
    <t>https://www.atgp.jp/search/top/search_result_detail/a07600000000s43dxf</t>
  </si>
  <si>
    <t>오피스 환경 정비원(オフィス環境整備)</t>
    <phoneticPr fontId="1" type="noConversion"/>
  </si>
  <si>
    <t>그룹의 건물 내·외부의 청결과 쾌적한 근무 환경 유지하기 위한 청소 및 환경 정비업무 수행</t>
    <phoneticPr fontId="1" type="noConversion"/>
  </si>
  <si>
    <t>회의실, 식당 등 공용공간 청소
아크릴 패널 소독 작업
바닥, 테이블 청소
오피스 비품 보충 작업</t>
    <phoneticPr fontId="1" type="noConversion"/>
  </si>
  <si>
    <t>청각, 언어, 시각, 정신, 발달</t>
    <phoneticPr fontId="1" type="noConversion"/>
  </si>
  <si>
    <t>소니 희망·빛</t>
    <phoneticPr fontId="1" type="noConversion"/>
  </si>
  <si>
    <t>https://www.atgp.jp/search/top/search_result_detail/a07600000000o61u36</t>
  </si>
  <si>
    <t>인쇄물 제작</t>
    <phoneticPr fontId="1" type="noConversion"/>
  </si>
  <si>
    <t>인쇄보조원(印刷補助作業員)</t>
    <phoneticPr fontId="1" type="noConversion"/>
  </si>
  <si>
    <t>인쇄물 제작을 위한 인쇄 데이터 작성, 대형 인쇄물 출력 및 후가공 작업 수행 직무</t>
    <phoneticPr fontId="1" type="noConversion"/>
  </si>
  <si>
    <t>인쇄물의 연결, 절단 작업
인쇄 데이터 작성
대형 인쇄물 출력
인쇄기 세팅
인쇄물 후가공</t>
    <phoneticPr fontId="1" type="noConversion"/>
  </si>
  <si>
    <t>청각, 언어, 정신, 발달</t>
    <phoneticPr fontId="1" type="noConversion"/>
  </si>
  <si>
    <t>트피 실업 주식회사</t>
    <phoneticPr fontId="1" type="noConversion"/>
  </si>
  <si>
    <t>https://www.atgp.jp/search/top/search_result_detail/a076000000008jg000</t>
  </si>
  <si>
    <t>세차</t>
    <phoneticPr fontId="1" type="noConversion"/>
  </si>
  <si>
    <t>자동차 판매 매장에서 전시 차랑 및 매장 내외부의 청결을 유지하는 업무 수행</t>
    <phoneticPr fontId="1" type="noConversion"/>
  </si>
  <si>
    <t>전시차량 및 매입 차량의 세차
매장 내외부 청소</t>
    <phoneticPr fontId="1" type="noConversion"/>
  </si>
  <si>
    <t>IDOM 비즈니스 서포트</t>
    <phoneticPr fontId="1" type="noConversion"/>
  </si>
  <si>
    <t>https://www.atgp.jp/search/top/search_result?free_word=%E6%B4%97%E8%BB%8A</t>
  </si>
  <si>
    <t>엔터테인먼트</t>
    <phoneticPr fontId="1" type="noConversion"/>
  </si>
  <si>
    <t>본사 내 직원들을 대상으로 안마서비스를 제공하는 업무 수행</t>
    <phoneticPr fontId="1" type="noConversion"/>
  </si>
  <si>
    <t>1회당 45분, 하루 최대 6명 대응 안마 시술
안마시술 기록 관리
예약 및 접수 업무</t>
    <phoneticPr fontId="1" type="noConversion"/>
  </si>
  <si>
    <t>청각, 시각, 언어, 정신, 발달</t>
    <phoneticPr fontId="1" type="noConversion"/>
  </si>
  <si>
    <t>부시로드</t>
    <phoneticPr fontId="1" type="noConversion"/>
  </si>
  <si>
    <t>https://www.atgp.jp/search/top/search_result_detail/a07600000000o9x40f</t>
  </si>
  <si>
    <t>게임 출시 전에 버그를 찾아내고 보고하는 업무를 수행하는 직무</t>
    <phoneticPr fontId="1" type="noConversion"/>
  </si>
  <si>
    <t>스마트폰, 콘솔, PC 등 플랫폼의 게임 디버깅
버그 리포트 작성
테스터 관리 및 교육, 작업 지시
테스트 케이스 작성</t>
    <phoneticPr fontId="1" type="noConversion"/>
  </si>
  <si>
    <t>청각, 언어, 정신, 발달, 지체</t>
    <phoneticPr fontId="1" type="noConversion"/>
  </si>
  <si>
    <t>IMAGICA GEEQ</t>
  </si>
  <si>
    <t>https://www.atgp.jp/search/top/search_result_detail/a07600000000mkcoei</t>
  </si>
  <si>
    <t>식품 제조 보조원(食品製造補助)</t>
    <phoneticPr fontId="1" type="noConversion"/>
  </si>
  <si>
    <t>식품 공장에서 사용되는 용기의 세척 및 청소 업무를 수행하는 직무</t>
    <phoneticPr fontId="1" type="noConversion"/>
  </si>
  <si>
    <t>공장 내에서 사용되는 용기 세척
공장 외부에서 반환된 용기 세척
식재료 포장에 라벨 부착</t>
    <phoneticPr fontId="1" type="noConversion"/>
  </si>
  <si>
    <t>실버라이프</t>
    <phoneticPr fontId="1" type="noConversion"/>
  </si>
  <si>
    <t>https://www.atgp.jp/search/top/search_result_detail/a07600000000ll33k4</t>
  </si>
  <si>
    <t>게임에 대한 공략 정보를 작성하고 관련 콘텐츠를 제작하는 업무 수행하는 직무</t>
    <phoneticPr fontId="1" type="noConversion"/>
  </si>
  <si>
    <t>청각, 언어, 발달, 지체</t>
    <phoneticPr fontId="1" type="noConversion"/>
  </si>
  <si>
    <t>게임에이트</t>
    <phoneticPr fontId="1" type="noConversion"/>
  </si>
  <si>
    <t>https://www.atgp.jp/search/top/search_result_detail/a07600000000ih5l3x</t>
  </si>
  <si>
    <t>게임 플레이 공략
공략 기사 작성
공략 관련 데이터 분석
공략 영상 촬영 및 편집</t>
    <phoneticPr fontId="1" type="noConversion"/>
  </si>
  <si>
    <t>게임 개발/엔진 개발 부서에서 기술적 문제 해결 및 효율화, 그래픽 기능 개발 담당</t>
    <phoneticPr fontId="1" type="noConversion"/>
  </si>
  <si>
    <t>캐릭터 모델링, 애니메이션 프로젝트의 기술적 문제 해결
그래픽 파이프 라인 구축
새로운 표현 개발을 위한 연구</t>
    <phoneticPr fontId="1" type="noConversion"/>
  </si>
  <si>
    <t>플래티넘게임즈</t>
    <phoneticPr fontId="1" type="noConversion"/>
  </si>
  <si>
    <t>https://www.atgp.jp/search/top/search_result_detail/a076000000007ar000</t>
  </si>
  <si>
    <t>프론트, 게스트 서비스 수행
객실 어메니티 정비</t>
    <phoneticPr fontId="1" type="noConversion"/>
  </si>
  <si>
    <t>호텔 운영 현장에서 서비스를 제공하며 투숙객에게 쾌적한 체류 경험을 제공하는 직무</t>
    <phoneticPr fontId="1" type="noConversion"/>
  </si>
  <si>
    <t>청각, 언어, 정신, 경증 지체</t>
    <phoneticPr fontId="1" type="noConversion"/>
  </si>
  <si>
    <t>미리아르 리조트 호텔</t>
    <phoneticPr fontId="1" type="noConversion"/>
  </si>
  <si>
    <t>https://www.milialresorthotels.co.jp/recruit/stage/mid-career/recruitinfo/diversity.html?utm_source=chatgpt.com</t>
  </si>
  <si>
    <t>자동차 판매</t>
    <phoneticPr fontId="1" type="noConversion"/>
  </si>
  <si>
    <t>세차작업 스태프(洗車スタッフ)</t>
    <phoneticPr fontId="1" type="noConversion"/>
  </si>
  <si>
    <t>세차 스태프(洗車スタッフ)</t>
    <phoneticPr fontId="1" type="noConversion"/>
  </si>
  <si>
    <t>고객 차량 전시 및 차량의 외부·내부 세차를 통해 차량을 청결하게 유지하고 쾌적한 서비스를 제공하는 직무</t>
    <phoneticPr fontId="1" type="noConversion"/>
  </si>
  <si>
    <t>전시 차량, 입고 차량의 외장 세차
진공청소기를 사용한 차량 내부 청소
세차 장비 및 타월 정리</t>
    <phoneticPr fontId="1" type="noConversion"/>
  </si>
  <si>
    <t>넷츠 도요타 뉴리</t>
    <phoneticPr fontId="1" type="noConversion"/>
  </si>
  <si>
    <t>https://www.atgp.jp/search/top/search_result_detail/a076000000008ovyb8?utm_source=chatgpt.com</t>
  </si>
  <si>
    <t>의료/보건</t>
    <phoneticPr fontId="1" type="noConversion"/>
  </si>
  <si>
    <t>고령자 요양 시설 내에서 안전하고 만족도 높은 생활 환경을 제공하는 것을 목표로 하는 관리자 직무</t>
    <phoneticPr fontId="1" type="noConversion"/>
  </si>
  <si>
    <t>식사 제공, 하우스 피킹, 세탁 서비스 운영 총괄
식단 품질 및 영양 기준 관리</t>
    <phoneticPr fontId="1" type="noConversion"/>
  </si>
  <si>
    <t>호텔 운영 관리자(Hospitality Manager)</t>
    <phoneticPr fontId="1" type="noConversion"/>
  </si>
  <si>
    <t>Mercy Health</t>
  </si>
  <si>
    <t>https://www.seek.com.au/hospitality-disability-jobs?utm_source=chatgpt.com&amp;jobId=83842636&amp;type=promoted</t>
    <phoneticPr fontId="1" type="noConversion"/>
  </si>
  <si>
    <t>사회복지서비스</t>
    <phoneticPr fontId="1" type="noConversion"/>
  </si>
  <si>
    <t>환대 서비스 담당자(Hospitality Officer)</t>
    <phoneticPr fontId="1" type="noConversion"/>
  </si>
  <si>
    <t>요양시설에 거주하는 노인분들의 삶의 질 향상을 위해 일상환경을 청결하고 안전하게 유지하는 실무형 서비스 직무</t>
    <phoneticPr fontId="1" type="noConversion"/>
  </si>
  <si>
    <t>객실청소, 침구 교체, 세탁물 관리
이외 클리닝 업무 수행</t>
    <phoneticPr fontId="1" type="noConversion"/>
  </si>
  <si>
    <t>BlueCare</t>
  </si>
  <si>
    <t>https://www.seek.com.au/hospitality-disability-jobs?utm_source=chatgpt.com&amp;jobId=83765228&amp;type=standard</t>
    <phoneticPr fontId="1" type="noConversion"/>
  </si>
  <si>
    <t>식품 물류</t>
    <phoneticPr fontId="1" type="noConversion"/>
  </si>
  <si>
    <t>주문 준비원(Préparateur de Commandes)</t>
    <phoneticPr fontId="1" type="noConversion"/>
  </si>
  <si>
    <t>매장에 출고될 상품을 음성 안내 시스템을 통해 피킹, 포장, 출고 준비하는 물류직</t>
    <phoneticPr fontId="1" type="noConversion"/>
  </si>
  <si>
    <t>음성 인식 시스템을 활용하여 상품 피킹
팔레트 위에 적재 및 포장정리
출하 전 품질 및 수량 확인</t>
    <phoneticPr fontId="1" type="noConversion"/>
  </si>
  <si>
    <t>언어,시각</t>
    <phoneticPr fontId="1" type="noConversion"/>
  </si>
  <si>
    <t>Les Mousquetaires</t>
  </si>
  <si>
    <t>https://www.handicap-job.com/recherche/detail/oid/6197885/preparateur-de-commandes-hf.html</t>
  </si>
  <si>
    <r>
      <t>장애인 고용팀 리더(障がい者雇用チ</t>
    </r>
    <r>
      <rPr>
        <b/>
        <sz val="11"/>
        <color theme="1"/>
        <rFont val="Yu Gothic"/>
        <family val="2"/>
        <charset val="128"/>
      </rPr>
      <t>ームのリーダー候補</t>
    </r>
    <r>
      <rPr>
        <b/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</si>
  <si>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>호텔 매니지먼트(ホテルオペレ</t>
    </r>
    <r>
      <rPr>
        <b/>
        <sz val="11"/>
        <color theme="1"/>
        <rFont val="Yu Gothic"/>
        <family val="2"/>
        <charset val="128"/>
      </rPr>
      <t>ーション関連</t>
    </r>
    <r>
      <rPr>
        <b/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</si>
  <si>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>인쇄 및 광고 제안 영업(印刷</t>
    </r>
    <r>
      <rPr>
        <b/>
        <sz val="11"/>
        <color theme="1"/>
        <rFont val="Yu Gothic"/>
        <family val="2"/>
        <charset val="128"/>
      </rPr>
      <t>・広告関連の提案営業</t>
    </r>
    <r>
      <rPr>
        <b/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</si>
  <si>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>헬스키퍼(ヘルスキ</t>
    </r>
    <r>
      <rPr>
        <b/>
        <sz val="11"/>
        <color theme="1"/>
        <rFont val="Yu Gothic"/>
        <family val="2"/>
        <charset val="128"/>
      </rPr>
      <t>ーパー</t>
    </r>
    <r>
      <rPr>
        <b/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</si>
  <si>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>게임 디버깅 담당자(ゲ</t>
    </r>
    <r>
      <rPr>
        <b/>
        <sz val="11"/>
        <color theme="1"/>
        <rFont val="Yu Gothic"/>
        <family val="2"/>
        <charset val="128"/>
      </rPr>
      <t>ームのデバッグ</t>
    </r>
    <r>
      <rPr>
        <b/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</si>
  <si>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>게임 공략 작가(ゲ</t>
    </r>
    <r>
      <rPr>
        <b/>
        <sz val="11"/>
        <color theme="1"/>
        <rFont val="Yu Gothic"/>
        <family val="2"/>
        <charset val="128"/>
      </rPr>
      <t>ーム攻略ライター</t>
    </r>
    <r>
      <rPr>
        <b/>
        <sz val="11"/>
        <color theme="1"/>
        <rFont val="맑은 고딕"/>
        <family val="2"/>
        <charset val="129"/>
        <scheme val="minor"/>
      </rPr>
      <t>0</t>
    </r>
    <phoneticPr fontId="1" type="noConversion"/>
  </si>
  <si>
    <r>
      <t>테크니컬 아티스트(テクニカルア</t>
    </r>
    <r>
      <rPr>
        <b/>
        <sz val="11"/>
        <color theme="1"/>
        <rFont val="Yu Gothic"/>
        <family val="2"/>
        <charset val="128"/>
      </rPr>
      <t>ーティスト</t>
    </r>
    <r>
      <rPr>
        <b/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</si>
  <si>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>오퍼레이션 종합직 (オペレ</t>
    </r>
    <r>
      <rPr>
        <b/>
        <sz val="11"/>
        <color theme="1"/>
        <rFont val="Yu Gothic"/>
        <family val="2"/>
        <charset val="128"/>
      </rPr>
      <t>ーション総合職</t>
    </r>
    <r>
      <rPr>
        <b/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</si>
  <si>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>소프트웨어 개발 엔지니어 (ソフトウェア開</t>
    </r>
    <r>
      <rPr>
        <b/>
        <sz val="11"/>
        <color theme="1"/>
        <rFont val="Yu Gothic"/>
        <family val="2"/>
        <charset val="128"/>
      </rPr>
      <t>発エンジニア</t>
    </r>
    <r>
      <rPr>
        <b/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</si>
  <si>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>클라우드 지원 엔지니어 (クラウドサポ</t>
    </r>
    <r>
      <rPr>
        <b/>
        <sz val="11"/>
        <color theme="1"/>
        <rFont val="Yu Gothic"/>
        <family val="2"/>
        <charset val="128"/>
      </rPr>
      <t>ートエンジニア</t>
    </r>
    <r>
      <rPr>
        <b/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</si>
  <si>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>메디컬 서포터 (メディカルサポ</t>
    </r>
    <r>
      <rPr>
        <b/>
        <sz val="11"/>
        <color theme="1"/>
        <rFont val="Yu Gothic"/>
        <family val="2"/>
        <charset val="128"/>
      </rPr>
      <t>ーター</t>
    </r>
    <r>
      <rPr>
        <b/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</si>
  <si>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>경작업직원 (</t>
    </r>
    <r>
      <rPr>
        <b/>
        <sz val="11"/>
        <color theme="1"/>
        <rFont val="Yu Gothic"/>
        <family val="2"/>
        <charset val="128"/>
      </rPr>
      <t>軽作業スタッフ</t>
    </r>
    <r>
      <rPr>
        <b/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</si>
  <si>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린넨 분배 보조원(Linen Distribution Assistant)</t>
    <phoneticPr fontId="1" type="noConversion"/>
  </si>
  <si>
    <t>병원 내 각 부서에 깨끗한 린넨을 공급하고 사용된 린넨을 회수하여 세탁 준비 업무를 수행하는 직무</t>
    <phoneticPr fontId="1" type="noConversion"/>
  </si>
  <si>
    <t xml:space="preserve">청각, 언어, 경증 지적 </t>
    <phoneticPr fontId="1" type="noConversion"/>
  </si>
  <si>
    <t>Froedtert Health</t>
  </si>
  <si>
    <t>https://jobs.localjobnetwork.com/job/detail/83534910/Linen-Distribution-Assistant-Night?keywords=Distribution</t>
  </si>
  <si>
    <t>간호 부서마다 사용된 린넨 수거
수거한 오염된 린넨을 카트로 룸에 운반
외부 세탁업체로부터 받은 린넨을 부서마다 배치
린넨의 재고 관리</t>
    <phoneticPr fontId="1" type="noConversion"/>
  </si>
  <si>
    <t>중환자 이송 구급대원(Critical Care Transport Paramedic)</t>
    <phoneticPr fontId="1" type="noConversion"/>
  </si>
  <si>
    <t>중환자 또는 중상자를 병원 간 또는 사고 현장에서 병원으로 안전하게 이송하며 이송 중 고급 생명 유지 치료를 제공하는 응급의료 전문가</t>
    <phoneticPr fontId="1" type="noConversion"/>
  </si>
  <si>
    <t>환자 상태 모니터링
필요시 생명 유지 치료/처치 제공
의료 장비 조작
환자 상태, 치료 내용 기록</t>
    <phoneticPr fontId="1" type="noConversion"/>
  </si>
  <si>
    <t>https://jobs.localjobnetwork.com/job/detail/82901503/Critical-Care-Transport-Paramedic-Ground-Transport-Team?keywords=Transport</t>
  </si>
  <si>
    <t>Mercyhealth</t>
  </si>
  <si>
    <t>비디오 게임 개발</t>
    <phoneticPr fontId="1" type="noConversion"/>
  </si>
  <si>
    <t>콘텐츠 디자이너(Content Designer)</t>
    <phoneticPr fontId="1" type="noConversion"/>
  </si>
  <si>
    <t>게임 콘텐츠를 기획하고 구현하여 게임을 유지하고 라이브 서비스 기능을 통해 플레이어를 즐겁게 하는 역할 수행</t>
    <phoneticPr fontId="1" type="noConversion"/>
  </si>
  <si>
    <t>게임 서비스의 모든 디자인 측면 유지 관리
게임 디자인 및 프로토타입 생성
새로운 게임 장르, 디자인 방법 등의 업계 동향 파악</t>
    <phoneticPr fontId="1" type="noConversion"/>
  </si>
  <si>
    <t>https://jobs.localjobnetwork.com/job/detail/83187374/Content-Designer?keywords=game</t>
  </si>
  <si>
    <t>디지털 콘텐츠</t>
    <phoneticPr fontId="1" type="noConversion"/>
  </si>
  <si>
    <t>수석 애니메이터(Senior Animator)</t>
    <phoneticPr fontId="1" type="noConversion"/>
  </si>
  <si>
    <t>캐릭터의 생동감 있는 움직임을 구현하기 위해 모션 캡쳐, 데이터 편집, 다양한 스타일의 에니메이션 제작 하는 직무</t>
    <phoneticPr fontId="1" type="noConversion"/>
  </si>
  <si>
    <t>게임 플레이 애니메이션 및 시네마틱 애니메이션 제작
모션 캡쳐 데이터 정리
캐릭터 리깅, 블렌드 쉐입 등의 기술 애니메이션 작업</t>
    <phoneticPr fontId="1" type="noConversion"/>
  </si>
  <si>
    <t>Epic Games</t>
  </si>
  <si>
    <t>캐나다</t>
    <phoneticPr fontId="1" type="noConversion"/>
  </si>
  <si>
    <t>https://startup.jobs/senior-animator-epic-games-6705441</t>
    <phoneticPr fontId="1" type="noConversion"/>
  </si>
  <si>
    <t>오디오 디자니어 - 보이스 담당(Audio Designer – Voiceover)</t>
    <phoneticPr fontId="1" type="noConversion"/>
  </si>
  <si>
    <t>보이스오버 콘텐츠를 기획하고 제작하는 역할 담당</t>
    <phoneticPr fontId="1" type="noConversion"/>
  </si>
  <si>
    <t>보이스 오버 콘텐츠의 녹음, 편집, 믹싱
음성 연기 디렉션</t>
    <phoneticPr fontId="1" type="noConversion"/>
  </si>
  <si>
    <t>언어, 지체</t>
    <phoneticPr fontId="1" type="noConversion"/>
  </si>
  <si>
    <t>https://startup.jobs/audio-designer-voiceover-epic-games-6671279</t>
    <phoneticPr fontId="1" type="noConversion"/>
  </si>
  <si>
    <t>아트디렉터(Art Director)</t>
    <phoneticPr fontId="1" type="noConversion"/>
  </si>
  <si>
    <t>비주얼 스타일의 방향성 설정, 아트 품질 관리, 실시간 게임 환경 구현을 위한 시각적 설계 전반을 책임지는 직무</t>
    <phoneticPr fontId="1" type="noConversion"/>
  </si>
  <si>
    <t>캐릭터, 환경, UI, 차량 모델 등의 시각적 스타일 개발
아티스트 팀 관리 및 피드백 제공
스타일 가이드 작성</t>
    <phoneticPr fontId="1" type="noConversion"/>
  </si>
  <si>
    <t>게임 소프트웨어 개발</t>
    <phoneticPr fontId="1" type="noConversion"/>
  </si>
  <si>
    <t>Epic Games (Psyonix Studio)</t>
    <phoneticPr fontId="1" type="noConversion"/>
  </si>
  <si>
    <t>https://startup.jobs/art-director-rocket-league-epic-games-6624028</t>
    <phoneticPr fontId="1" type="noConversion"/>
  </si>
  <si>
    <t>모바일 게임 개발</t>
    <phoneticPr fontId="1" type="noConversion"/>
  </si>
  <si>
    <t>게임 디자이너(Game Designer)</t>
    <phoneticPr fontId="1" type="noConversion"/>
  </si>
  <si>
    <t>다양한 장르의 모바일 게임 기획에 참여하여 게임의 구조, 메커니즘, 사용자 경험을 설계하는 직무</t>
    <phoneticPr fontId="1" type="noConversion"/>
  </si>
  <si>
    <t>게임 컨셉 설계
수익화 구조(인앱 결제, 광고) 설계</t>
    <phoneticPr fontId="1" type="noConversion"/>
  </si>
  <si>
    <t>https://www.indeed.com/viewjob?jk=a475588bcddd6971&amp;from=shareddesktop_copy</t>
    <phoneticPr fontId="1" type="noConversion"/>
  </si>
  <si>
    <t>고스트펀치 게임즈</t>
    <phoneticPr fontId="1" type="noConversion"/>
  </si>
  <si>
    <t>모바일 및 기타 플랫폼용 게임 기획 전반을 감독 및 설계하며 게임플레이 기획, 사용자 경험 설계를 주도하는 역할</t>
    <phoneticPr fontId="1" type="noConversion"/>
  </si>
  <si>
    <t>게임 디자인 방향 수립 및 문서화
유저 중심의 UX 설계
게임 컨셉/시스템의 밸런싱 테스트</t>
    <phoneticPr fontId="1" type="noConversion"/>
  </si>
  <si>
    <t>넷플릭스 게임즈</t>
    <phoneticPr fontId="1" type="noConversion"/>
  </si>
  <si>
    <t>https://www.indeed.com/q-game-development-jobs.html?from=relatedQueries&amp;saIdx=5&amp;rqf=1&amp;parentQnorm=Video+Game+Developer&amp;vjk=66723b5080e0a899</t>
    <phoneticPr fontId="1" type="noConversion"/>
  </si>
  <si>
    <t>게임 컨트롤러(Game Controller)</t>
    <phoneticPr fontId="1" type="noConversion"/>
  </si>
  <si>
    <t>플레이어 지원 리드(Player Support Lead)</t>
    <phoneticPr fontId="1" type="noConversion"/>
  </si>
  <si>
    <t>게임 사용자들이 겪는 문제 해결을 총괄하는 고객경험 책임자</t>
    <phoneticPr fontId="1" type="noConversion"/>
  </si>
  <si>
    <t>플레이어 지원 전략 및 운영 방안 수립
사용자 요청(버그, 환불 등) 대응 프로세스 구축
고객 불만 데이터 분석
신제품에 따른 고객 지원 시나리오 계획</t>
    <phoneticPr fontId="1" type="noConversion"/>
  </si>
  <si>
    <t>https://www.indeed.com/q-game-development-jobs.html?from=relatedQueries&amp;saIdx=5&amp;rqf=1&amp;parentQnorm=Video+Game+Developer&amp;vjk=2e146c8254205bf2</t>
    <phoneticPr fontId="1" type="noConversion"/>
  </si>
  <si>
    <t>게임플레이 카메라 디자이너(Gameplay Camera Designer)</t>
    <phoneticPr fontId="1" type="noConversion"/>
  </si>
  <si>
    <t>게임플레이 중 카메라의 움직임, 시점, 전환 효과 등을 설계하여 몰입감 있는 경험을 구현하는 역할 수행</t>
    <phoneticPr fontId="1" type="noConversion"/>
  </si>
  <si>
    <t>다양한 게임 상황별 카메라 조정
카메라의 위치, 각도, 줌, 트래킹 방식 설계
사용자 피드백 기반으로 카메라 몰입도 개선</t>
    <phoneticPr fontId="1" type="noConversion"/>
  </si>
  <si>
    <t>Riot Games</t>
  </si>
  <si>
    <t>https://www.indeed.com/jobs?q=game+development&amp;rqf=1&amp;start=60&amp;vjk=e08fb9147d199783</t>
    <phoneticPr fontId="1" type="noConversion"/>
  </si>
  <si>
    <t>커뮤니티 옹호 관리자(Community Advocacy Manager)</t>
    <phoneticPr fontId="1" type="noConversion"/>
  </si>
  <si>
    <t>게임 커뮤니티 구성원들의 목소리를 수렴하고 플레이어 권익 보호 및 신뢰형성을 위한 전략을 수립하고 실행하는 책임자</t>
    <phoneticPr fontId="1" type="noConversion"/>
  </si>
  <si>
    <t>커뮤니티 내 이슈 분석
커뮤니티 지침 정비
커뮤니티 지침 교육자료 제작
커뮤니티 안전성 정책 개발</t>
    <phoneticPr fontId="1" type="noConversion"/>
  </si>
  <si>
    <t>Ubisoft</t>
  </si>
  <si>
    <t>https://www.ubisoft.com/fr-fr/company/careers/search/744000056969650-community-advocacy-manager</t>
    <phoneticPr fontId="1" type="noConversion"/>
  </si>
  <si>
    <t>주니어 게임 디자이너(Junior Game Designer)</t>
    <phoneticPr fontId="1" type="noConversion"/>
  </si>
  <si>
    <t>게임의 캐릭터, 콘텐츠를 설계하고 구현하는 직무 수행</t>
    <phoneticPr fontId="1" type="noConversion"/>
  </si>
  <si>
    <t>배정 받은 게임을 위한 독특한 캐릭터 설계
게임 콘텐츠 기획</t>
    <phoneticPr fontId="1" type="noConversion"/>
  </si>
  <si>
    <t>https://www.indeed.com/jobs?q=game&amp;start=30&amp;vjk=5dc4c47c534c7b09</t>
  </si>
  <si>
    <t>Rumble Entertainment</t>
  </si>
  <si>
    <t>캐릭터 테크니컬 아티스트(Character Technical Artist)</t>
    <phoneticPr fontId="1" type="noConversion"/>
  </si>
  <si>
    <t>게임 개발을 위해 캐릭터, 생물, 무기, 차량 등 다양한 아트 자산의 제작을 담당하는 역할</t>
    <phoneticPr fontId="1" type="noConversion"/>
  </si>
  <si>
    <t>캐릭터의 의상 및 근육의 정교한 변형 시스템 개발
캐릭터의 머리카락 구현을 위한 물리 시스템 개발
아트 자산 파이프라인 유지 관리</t>
    <phoneticPr fontId="1" type="noConversion"/>
  </si>
  <si>
    <t>Activision</t>
  </si>
  <si>
    <t>https://careers.activision.com/job/R025075/Senior-Character-Technical-Artist-Treyarch-Los-Angeles</t>
  </si>
  <si>
    <t>AI 애니메이터(AI Animator)</t>
    <phoneticPr fontId="1" type="noConversion"/>
  </si>
  <si>
    <t>3인칭 NPC의 애니메이션을 제작 담당</t>
    <phoneticPr fontId="1" type="noConversion"/>
  </si>
  <si>
    <t>모션 캡쳐
수작업 키프레임 기법 활용한 NPC 애니메이션 제작
애니메이션 유지 관리</t>
    <phoneticPr fontId="1" type="noConversion"/>
  </si>
  <si>
    <t>https://careers.activision.com/job/R022959/Senior-AI-Animator-Infinity-Ward</t>
  </si>
  <si>
    <t>영국</t>
    <phoneticPr fontId="1" type="noConversion"/>
  </si>
  <si>
    <t>VFX 파괴 아티스트(VFX Destruction Artist)</t>
    <phoneticPr fontId="1" type="noConversion"/>
  </si>
  <si>
    <t>게임플레이와 시네마틱 경험 향상을 위해 파괴 기반의 시각 효과를 개발하는 직무</t>
    <phoneticPr fontId="1" type="noConversion"/>
  </si>
  <si>
    <t>파괴 생성 파이프라인 개발
파괴 기반 시각 효과 생성</t>
    <phoneticPr fontId="1" type="noConversion"/>
  </si>
  <si>
    <t>https://careers.activision.com/job/R024501/Senior-VFX-Destruction-Artist</t>
    <phoneticPr fontId="1" type="noConversion"/>
  </si>
  <si>
    <t>의료</t>
    <phoneticPr fontId="1" type="noConversion"/>
  </si>
  <si>
    <t>독일</t>
    <phoneticPr fontId="1" type="noConversion"/>
  </si>
  <si>
    <t>의료 촉각 검사자(Medizinisch-Taktile:r Untersucher:in)</t>
    <phoneticPr fontId="1" type="noConversion"/>
  </si>
  <si>
    <t>고도로 훈련된 촉각 능력을 활용하여 여성의 유방을 정밀하게 촉진하여 유방암 조기 발견에 기여하는 의료 보조 전문가</t>
    <phoneticPr fontId="1" type="noConversion"/>
  </si>
  <si>
    <t>촉각 검사법을 사용하여 유방의 미세한 조직 변화 감지
유방 건강에 대한 환자 상담
검사 결과를 문서화하여 담당 의사 전달</t>
    <phoneticPr fontId="1" type="noConversion"/>
  </si>
  <si>
    <t>중증 시각</t>
    <phoneticPr fontId="1" type="noConversion"/>
  </si>
  <si>
    <t>discovering hands</t>
  </si>
  <si>
    <t>https://www.myability.jobs/de/job/medizinisch-taktiler-untersucherin-mtu-m-w-d</t>
    <phoneticPr fontId="1" type="noConversion"/>
  </si>
  <si>
    <t>헌혈 센터 관리자(Center Manager)</t>
    <phoneticPr fontId="1" type="noConversion"/>
  </si>
  <si>
    <t>헌혈 및 혈장 수집 센터의 전반적인 운영 담당</t>
    <phoneticPr fontId="1" type="noConversion"/>
  </si>
  <si>
    <t>직원 면담
헌혈 센터 홍보 활동
연간 운영 계획 수립
의료-비의료 인력 조직 관리</t>
    <phoneticPr fontId="1" type="noConversion"/>
  </si>
  <si>
    <t>Haema Blut- und Plasmaspendedienst GmbH</t>
    <phoneticPr fontId="1" type="noConversion"/>
  </si>
  <si>
    <t>https://www.myability.jobs/de/job/leitung-eines-spendezentrums</t>
  </si>
  <si>
    <t>산부인과 간호사(Sage-femme en centre de santé)</t>
    <phoneticPr fontId="1" type="noConversion"/>
  </si>
  <si>
    <t>여성의 임신, 출산 및 사후관리에 더불어 여성 건강 전반에 대한 의료 서비스를 제공하는 전문 의료인</t>
    <phoneticPr fontId="1" type="noConversion"/>
  </si>
  <si>
    <t>임신 전 상담
여성의 건강평가
분만 지원
출산 후 산모와 신생아 건강관리
피임 상담</t>
    <phoneticPr fontId="1" type="noConversion"/>
  </si>
  <si>
    <t>Fed 그룹</t>
    <phoneticPr fontId="1" type="noConversion"/>
  </si>
  <si>
    <t>https://www.handicap-job.com/recherche/detail/oid/6221699/sage-femme-en-centre-de-sante-cdi.html</t>
  </si>
  <si>
    <t>의료 서비스</t>
    <phoneticPr fontId="1" type="noConversion"/>
  </si>
  <si>
    <t>기업 혹슨 입소자에게 안마, 마사지 서비스를 제공하는 전문가</t>
    <phoneticPr fontId="1" type="noConversion"/>
  </si>
  <si>
    <t>직원 대상 안마·마사지 시술
시술 예약 접수·스케줄 관리
건강 상태 파악 기록 정리</t>
    <phoneticPr fontId="1" type="noConversion"/>
  </si>
  <si>
    <t>시각, 경증 지체</t>
    <phoneticPr fontId="1" type="noConversion"/>
  </si>
  <si>
    <t>파소나 하트풀</t>
    <phoneticPr fontId="1" type="noConversion"/>
  </si>
  <si>
    <t>https://www.atgp.jp/search/top/search_result_detail/a07600000000cl2ec2</t>
  </si>
  <si>
    <t>고급 객실 정비 직원(Employé Entretien Hébergement)</t>
    <phoneticPr fontId="1" type="noConversion"/>
  </si>
  <si>
    <t>호텔/리조트/고급숙박</t>
    <phoneticPr fontId="1" type="noConversion"/>
  </si>
  <si>
    <t>고급 숙박 시설에서 고객에게 쾌적하고 청결한 객실 환경 제공하는 역할 수행</t>
    <phoneticPr fontId="1" type="noConversion"/>
  </si>
  <si>
    <t>객실, 세금 및 기타요금을 투숙객에게 부과
일일 현금 및 카드 거래 정산 및 계수</t>
    <phoneticPr fontId="1" type="noConversion"/>
  </si>
  <si>
    <t>칵테일 제조 지식을 바탕으로 고객에게 음료 및 음식 제공
주문 입력 및 결제 관리</t>
    <phoneticPr fontId="1" type="noConversion"/>
  </si>
  <si>
    <t>객실 및 공용 공간 청소
객실 내 장비 작동 점검
장비 고장 보고
소모품 보충
체크아웃 이후 객실 정비</t>
    <phoneticPr fontId="1" type="noConversion"/>
  </si>
  <si>
    <t>청각</t>
    <phoneticPr fontId="1" type="noConversion"/>
  </si>
  <si>
    <t>청각, 경증 정신</t>
    <phoneticPr fontId="1" type="noConversion"/>
  </si>
  <si>
    <t>Club Med</t>
  </si>
  <si>
    <t>https://www.handi-hotellerie-restauration.fr/emploi/ClubMed-R-46122</t>
    <phoneticPr fontId="1" type="noConversion"/>
  </si>
  <si>
    <t>호텔/리조트/식음료</t>
    <phoneticPr fontId="1" type="noConversion"/>
  </si>
  <si>
    <t>제과 셰프(Pâtissier)</t>
    <phoneticPr fontId="1" type="noConversion"/>
  </si>
  <si>
    <t>제과 팀 관리 및 교육
고객 맞춤형 디저트 구성 및 제공
디저트 뷔페 준비
디저트 파트 품질관리</t>
    <phoneticPr fontId="1" type="noConversion"/>
  </si>
  <si>
    <t>언어</t>
    <phoneticPr fontId="1" type="noConversion"/>
  </si>
  <si>
    <t>https://www.handi-hotellerie-restauration.fr/emploi/ClubMed-R-567</t>
    <phoneticPr fontId="1" type="noConversion"/>
  </si>
  <si>
    <t>호텔/관광</t>
    <phoneticPr fontId="1" type="noConversion"/>
  </si>
  <si>
    <t>호텔객실정비원(Femme de Chambre)</t>
    <phoneticPr fontId="1" type="noConversion"/>
  </si>
  <si>
    <t>디저트 메뉴의 기획, 제작, 품질관리 및 팀 리더 역할 수행</t>
    <phoneticPr fontId="1" type="noConversion"/>
  </si>
  <si>
    <t>고객 객실, 공용 공간의 위생과 정리를 담당하는 직무</t>
    <phoneticPr fontId="1" type="noConversion"/>
  </si>
  <si>
    <t>객실, 화장실, 공용공간 청소
침구 교체, 수건 등 린넨류 교체
객실 비품 및 소모품 확인
린넨 카트 정비, 보충
장비 소독 및 탈취</t>
    <phoneticPr fontId="1" type="noConversion"/>
  </si>
  <si>
    <t>Terres de France</t>
  </si>
  <si>
    <t>https://www.handicap-job.com/recherche/detail/oid/6218009/valet-femme-de-chambre-hotel-hf-a-saumur.html</t>
    <phoneticPr fontId="1" type="noConversion"/>
  </si>
  <si>
    <t>호텔/관광/외식업</t>
    <phoneticPr fontId="1" type="noConversion"/>
  </si>
  <si>
    <t>부주방장(Second de Cuisine)</t>
    <phoneticPr fontId="1" type="noConversion"/>
  </si>
  <si>
    <t>주방장의 지휘 아래 음식 조리 총괄 보조</t>
    <phoneticPr fontId="1" type="noConversion"/>
  </si>
  <si>
    <t>식재료 준비
식자재 및 주방기구 준비
신메뉴 개발 보조
주방 환경 정돈</t>
    <phoneticPr fontId="1" type="noConversion"/>
  </si>
  <si>
    <t>Randstad</t>
  </si>
  <si>
    <t>https://www.handicap-job.com/recherche/detail/oid/5934186/second-de-cuisine-fh.html</t>
    <phoneticPr fontId="1" type="noConversion"/>
  </si>
  <si>
    <t>호텔/숙박</t>
    <phoneticPr fontId="1" type="noConversion"/>
  </si>
  <si>
    <t>객실 정비원(Employé de Ménage0</t>
    <phoneticPr fontId="1" type="noConversion"/>
  </si>
  <si>
    <t>호텔 객실 공용공간의 청소와 정리 담당</t>
    <phoneticPr fontId="1" type="noConversion"/>
  </si>
  <si>
    <t>침대 정리
시트 및 수건 교체
진공청소기로 객실 청소
욕실·화장실 소독
오염된 린넨 세탁소 전달
객실 예약 현황 체크 및 보고</t>
    <phoneticPr fontId="1" type="noConversion"/>
  </si>
  <si>
    <t>https://www.handicap-job.com/recherche/detail/oid/6207910/employe-de-menage-fh.html</t>
    <phoneticPr fontId="1" type="noConversion"/>
  </si>
  <si>
    <t>안내·접수·전화 응대 담당자(Hôtesse d’accueil standardiste)</t>
    <phoneticPr fontId="1" type="noConversion"/>
  </si>
  <si>
    <t>고객 및 방문객을 맞이하고 대표 전화를 관리하며 사무지원 업무 수행하는 프런트 데스크 담당</t>
    <phoneticPr fontId="1" type="noConversion"/>
  </si>
  <si>
    <t>고객 및 전화응대
비즈니스 공간 상태 점검
소모품·사무비품 재고관리 및 발주
방문자 배식 트레이 정리
유니폼 세탁물 관리
택시·기차·비행기 등 이동 예약</t>
    <phoneticPr fontId="1" type="noConversion"/>
  </si>
  <si>
    <t>지체</t>
    <phoneticPr fontId="1" type="noConversion"/>
  </si>
  <si>
    <t>PHONE REGIE</t>
  </si>
  <si>
    <t>https://www.handicap-job.com/recherche/detail/oid/6193697/hote-hotesse-daccueil-standardiste.html</t>
    <phoneticPr fontId="1" type="noConversion"/>
  </si>
  <si>
    <t>객실 외 주변의 정비 및 지원 업무 수행</t>
    <phoneticPr fontId="1" type="noConversion"/>
  </si>
  <si>
    <t>침구 세팅
비품 보충
청소 보조 및 보고
린넨 운반</t>
    <phoneticPr fontId="1" type="noConversion"/>
  </si>
  <si>
    <t>청각, 언어, 경증 정신</t>
    <phoneticPr fontId="1" type="noConversion"/>
  </si>
  <si>
    <t>Hospitality Disability Network WA (HDNWA)</t>
  </si>
  <si>
    <t>https://hdnwa.org.au/hdnwa-opportunities/?utm_source=chatgpt.com</t>
    <phoneticPr fontId="1" type="noConversion"/>
  </si>
  <si>
    <t>정비원(Houseperson)</t>
    <phoneticPr fontId="1" type="noConversion"/>
  </si>
  <si>
    <t>객실 정비원(Room Attendant)</t>
    <phoneticPr fontId="1" type="noConversion"/>
  </si>
  <si>
    <t>호텔 객실의 청결 및 린넨 정비 업무 담당</t>
    <phoneticPr fontId="1" type="noConversion"/>
  </si>
  <si>
    <t>침구 교체
욕실 청소
비품 보충
세탁물 정리</t>
    <phoneticPr fontId="1" type="noConversion"/>
  </si>
  <si>
    <t>공용구역청소원(Public Area Attendant)</t>
    <phoneticPr fontId="1" type="noConversion"/>
  </si>
  <si>
    <t>호텔 내 공공 공간의 청결 관리</t>
    <phoneticPr fontId="1" type="noConversion"/>
  </si>
  <si>
    <t>복도·출입문·로비 정비
고객 안전과 위생 집중
유지보수 보조</t>
    <phoneticPr fontId="1" type="noConversion"/>
  </si>
  <si>
    <t>호스피탈리티 담당자(Hospitality Officer)</t>
    <phoneticPr fontId="1" type="noConversion"/>
  </si>
  <si>
    <t>고객 존중 기반의 환대 서비스 제공</t>
    <phoneticPr fontId="1" type="noConversion"/>
  </si>
  <si>
    <t>고객방 및 시설 청소
식사 서빙</t>
    <phoneticPr fontId="1" type="noConversion"/>
  </si>
  <si>
    <t>청각, 언어, 경증 정신, 경증 지체</t>
    <phoneticPr fontId="1" type="noConversion"/>
  </si>
  <si>
    <t>https://www.seek.com.au/hospitality-disability-jobs?jobId=83765228&amp;type=promoted</t>
    <phoneticPr fontId="1" type="noConversion"/>
  </si>
  <si>
    <t>이벤트 호스피탈리티 담당자(Event Hospitality Staff)</t>
    <phoneticPr fontId="1" type="noConversion"/>
  </si>
  <si>
    <t>주요 행사장에서 고객 응대 등 환대 서비스 제공하는 직무</t>
    <phoneticPr fontId="1" type="noConversion"/>
  </si>
  <si>
    <t>행사장 세팅 및 정리
트레이 서빙
입장 티켓 검수
거리 청소 및 쓰레기 사후 처리
행사장 품목 재고 보충</t>
    <phoneticPr fontId="1" type="noConversion"/>
  </si>
  <si>
    <t>https://www.seek.com.au/hospitality-disability-jobs?jobId=84024431&amp;type=standard</t>
    <phoneticPr fontId="1" type="noConversion"/>
  </si>
  <si>
    <t>Woods &amp; Co</t>
  </si>
  <si>
    <t>호텔/공연</t>
    <phoneticPr fontId="1" type="noConversion"/>
  </si>
  <si>
    <t>공연장 프론트 서비스 담당자(Front of House Attendant)</t>
    <phoneticPr fontId="1" type="noConversion"/>
  </si>
  <si>
    <t>공연장 입구에서 고객을 맞이하고 좌석을 안내하는 등 전반적인 서비스 제공을 담당하는 직무</t>
    <phoneticPr fontId="1" type="noConversion"/>
  </si>
  <si>
    <t>입장객 티켓 검수
입장 관객 좌석 안내
공연 중 질서유지
공연 시작 전/후 고객 서비스 제공
안전 매뉴얼에 따른 비상 대응</t>
    <phoneticPr fontId="1" type="noConversion"/>
  </si>
  <si>
    <t>청각, 경증 정신, 경증 지체</t>
    <phoneticPr fontId="1" type="noConversion"/>
  </si>
  <si>
    <t>https://www.seek.com.au/hospitality-disability-jobs?jobId=84057665&amp;type=standard</t>
    <phoneticPr fontId="1" type="noConversion"/>
  </si>
  <si>
    <t>크라운 리조트 리미티드</t>
    <phoneticPr fontId="1" type="noConversion"/>
  </si>
  <si>
    <t>호텔/식음료</t>
    <phoneticPr fontId="1" type="noConversion"/>
  </si>
  <si>
    <t>바리스타(Barista)</t>
    <phoneticPr fontId="1" type="noConversion"/>
  </si>
  <si>
    <t>시설 내 커뮤니티 카페에서 방문객에게 음료 및 가벼운 식사 제공하는 직무</t>
    <phoneticPr fontId="1" type="noConversion"/>
  </si>
  <si>
    <t>커피 및 음료 제조
샌드위치 등 간단한 식사 제조
고객 응대 및 요청사항 처리</t>
    <phoneticPr fontId="1" type="noConversion"/>
  </si>
  <si>
    <t>청각, 지체</t>
    <phoneticPr fontId="1" type="noConversion"/>
  </si>
  <si>
    <t>St Luke’s Care</t>
  </si>
  <si>
    <t>https://www.seek.com.au/hospitality-disability-jobs?page=2&amp;jobId=84045116&amp;type=standard</t>
    <phoneticPr fontId="1" type="noConversion"/>
  </si>
  <si>
    <t>발렛 주차 안내원(Valet Parking Attendant)</t>
    <phoneticPr fontId="1" type="noConversion"/>
  </si>
  <si>
    <t>고객의 차량을 주차해주는 프리미엄 발렛 서비스 제공</t>
    <phoneticPr fontId="1" type="noConversion"/>
  </si>
  <si>
    <t>고객 도착시 발렛 서비스 안내 및 차량 인수
고객의 차량을 주차구역에 주차
현장 내 차량 이동 동선 관리
고객 요청 시 차량 전달</t>
    <phoneticPr fontId="1" type="noConversion"/>
  </si>
  <si>
    <t>https://www.seek.com.au/hospitality-disability-jobs?page=5&amp;jobId=84014432&amp;type=standard</t>
    <phoneticPr fontId="1" type="noConversion"/>
  </si>
  <si>
    <t>채드스톤 쇼핑센터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</si>
</sst>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Yu Gothic"/>
      <family val="2"/>
      <charset val="128"/>
    </font>
    <font>
      <u/>
      <sz val="11"/>
      <color theme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1" xfId="2" applyFont="1" applyBorder="1" applyAlignment="1">
      <alignment horizontal="center" vertical="center"/>
    </xf>
    <xf numFmtId="0" fontId="3" fillId="0" borderId="0" xfId="1" applyFill="1" applyBorder="1" applyAlignment="1">
      <alignment horizontal="left" vertical="center"/>
    </xf>
    <xf numFmtId="0" fontId="3" fillId="0" borderId="0" xfId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/>
    </xf>
    <xf numFmtId="0" fontId="8" fillId="0" borderId="0" xfId="2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2" fillId="0" borderId="0" xfId="2" applyFont="1" applyFill="1" applyBorder="1" applyAlignment="1">
      <alignment horizontal="center" vertical="center"/>
    </xf>
    <xf numFmtId="0" fontId="2" fillId="0" borderId="0" xfId="2" applyFont="1" applyFill="1" applyBorder="1" applyAlignment="1">
      <alignment horizontal="left" vertical="center"/>
    </xf>
    <xf numFmtId="0" fontId="2" fillId="0" borderId="0" xfId="2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1" fillId="0" borderId="0" xfId="1" applyFont="1" applyFill="1" applyBorder="1" applyAlignment="1">
      <alignment horizontal="left" vertical="center"/>
    </xf>
    <xf numFmtId="0" fontId="3" fillId="0" borderId="0" xfId="1">
      <alignment vertical="center"/>
    </xf>
  </cellXfs>
  <cellStyles count="3">
    <cellStyle name="60% - 강조색3" xfId="2" builtinId="40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deed.com/q-game-development-jobs.html?from=relatedQueries&amp;saIdx=5&amp;rqf=1&amp;parentQnorm=Video+Game+Developer&amp;vjk=2e146c8254205bf2" TargetMode="External"/><Relationship Id="rId3" Type="http://schemas.openxmlformats.org/officeDocument/2006/relationships/hyperlink" Target="https://startup.jobs/senior-animator-epic-games-6705441" TargetMode="External"/><Relationship Id="rId7" Type="http://schemas.openxmlformats.org/officeDocument/2006/relationships/hyperlink" Target="https://www.indeed.com/q-game-development-jobs.html?from=relatedQueries&amp;saIdx=5&amp;rqf=1&amp;parentQnorm=Video+Game+Developer&amp;vjk=66723b5080e0a899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toozly.com.au/component/jsjobs/toozlyjob/viewjob/job-cyber-security-manager-54311/nav-15?Itemid=" TargetMode="External"/><Relationship Id="rId1" Type="http://schemas.openxmlformats.org/officeDocument/2006/relationships/hyperlink" Target="https://jobs.localjobnetwork.com/job/detail/83436301/Lead-Game-Product-Manager-Madden" TargetMode="External"/><Relationship Id="rId6" Type="http://schemas.openxmlformats.org/officeDocument/2006/relationships/hyperlink" Target="https://www.indeed.com/viewjob?jk=a475588bcddd6971&amp;from=shareddesktop_copy" TargetMode="External"/><Relationship Id="rId11" Type="http://schemas.openxmlformats.org/officeDocument/2006/relationships/hyperlink" Target="https://careers.activision.com/job/R024501/Senior-VFX-Destruction-Artist" TargetMode="External"/><Relationship Id="rId5" Type="http://schemas.openxmlformats.org/officeDocument/2006/relationships/hyperlink" Target="https://startup.jobs/art-director-rocket-league-epic-games-6624028" TargetMode="External"/><Relationship Id="rId10" Type="http://schemas.openxmlformats.org/officeDocument/2006/relationships/hyperlink" Target="https://www.ubisoft.com/fr-fr/company/careers/search/744000056969650-community-advocacy-manager" TargetMode="External"/><Relationship Id="rId4" Type="http://schemas.openxmlformats.org/officeDocument/2006/relationships/hyperlink" Target="https://startup.jobs/audio-designer-voiceover-epic-games-6671279" TargetMode="External"/><Relationship Id="rId9" Type="http://schemas.openxmlformats.org/officeDocument/2006/relationships/hyperlink" Target="https://www.indeed.com/jobs?q=game+development&amp;rqf=1&amp;start=60&amp;vjk=e08fb9147d19978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andicap-job.com/recherche/detail/oid/6215380/aide-a-domicile-fh.html" TargetMode="External"/><Relationship Id="rId3" Type="http://schemas.openxmlformats.org/officeDocument/2006/relationships/hyperlink" Target="https://www.atgp.jp/search/top/search_result_detail/a07600000000hh5i92" TargetMode="External"/><Relationship Id="rId7" Type="http://schemas.openxmlformats.org/officeDocument/2006/relationships/hyperlink" Target="https://www.handicap-job.com/recherche/detail/oid/6215384/cadre-de-sante-idec-fh.html" TargetMode="External"/><Relationship Id="rId12" Type="http://schemas.openxmlformats.org/officeDocument/2006/relationships/hyperlink" Target="https://www.myability.jobs/de/job/medizinisch-taktiler-untersucherin-mtu-m-w-d" TargetMode="External"/><Relationship Id="rId2" Type="http://schemas.openxmlformats.org/officeDocument/2006/relationships/hyperlink" Target="https://www.atgp.jp/search/top/search_result_detail/a07600000000pnkj9v" TargetMode="External"/><Relationship Id="rId1" Type="http://schemas.openxmlformats.org/officeDocument/2006/relationships/hyperlink" Target="https://www.atgp.jp/search/top/search_result_detail/a07600000000q1624x" TargetMode="External"/><Relationship Id="rId6" Type="http://schemas.openxmlformats.org/officeDocument/2006/relationships/hyperlink" Target="https://www.handicap-job.com/recherche/detail/oid/6202352/conditionneur-hf-uniquement-en-situation-dhandicap.html" TargetMode="External"/><Relationship Id="rId11" Type="http://schemas.openxmlformats.org/officeDocument/2006/relationships/hyperlink" Target="https://www.seek.com.au/hospitality-disability-jobs?utm_source=chatgpt.com&amp;jobId=83765228&amp;type=standard" TargetMode="External"/><Relationship Id="rId5" Type="http://schemas.openxmlformats.org/officeDocument/2006/relationships/hyperlink" Target="https://jobs.localjobnetwork.com/job/detail/83375638/Life-Enrichment-Assistant-On-Call?keywords=welfare%2bof%2bthe%2belderly" TargetMode="External"/><Relationship Id="rId10" Type="http://schemas.openxmlformats.org/officeDocument/2006/relationships/hyperlink" Target="https://www.seek.com.au/hospitality-disability-jobs?utm_source=chatgpt.com&amp;jobId=83842636&amp;type=promoted" TargetMode="External"/><Relationship Id="rId4" Type="http://schemas.openxmlformats.org/officeDocument/2006/relationships/hyperlink" Target="https://jobs.localjobnetwork.com/job/detail/83432020/Hospitality-Asst-Part-time" TargetMode="External"/><Relationship Id="rId9" Type="http://schemas.openxmlformats.org/officeDocument/2006/relationships/hyperlink" Target="https://healthcareaustralia.com.au/find-a-job/home-care-support-worker-8-2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andicap-job.com/recherche/detail/oid/5934186/second-de-cuisine-fh.html" TargetMode="External"/><Relationship Id="rId13" Type="http://schemas.openxmlformats.org/officeDocument/2006/relationships/hyperlink" Target="https://hdnwa.org.au/hdnwa-opportunities/?utm_source=chatgpt.com" TargetMode="External"/><Relationship Id="rId18" Type="http://schemas.openxmlformats.org/officeDocument/2006/relationships/hyperlink" Target="https://www.seek.com.au/hospitality-disability-jobs?page=5&amp;jobId=84014432&amp;type=standard" TargetMode="External"/><Relationship Id="rId3" Type="http://schemas.openxmlformats.org/officeDocument/2006/relationships/hyperlink" Target="https://jobs.localjobnetwork.com/job/detail/83444388/Housekeeping-Houseperson" TargetMode="External"/><Relationship Id="rId7" Type="http://schemas.openxmlformats.org/officeDocument/2006/relationships/hyperlink" Target="https://www.handicap-job.com/recherche/detail/oid/6218009/valet-femme-de-chambre-hotel-hf-a-saumur.html" TargetMode="External"/><Relationship Id="rId12" Type="http://schemas.openxmlformats.org/officeDocument/2006/relationships/hyperlink" Target="https://hdnwa.org.au/hdnwa-opportunities/?utm_source=chatgpt.com" TargetMode="External"/><Relationship Id="rId17" Type="http://schemas.openxmlformats.org/officeDocument/2006/relationships/hyperlink" Target="https://www.seek.com.au/hospitality-disability-jobs?page=2&amp;jobId=84045116&amp;type=standard" TargetMode="External"/><Relationship Id="rId2" Type="http://schemas.openxmlformats.org/officeDocument/2006/relationships/hyperlink" Target="https://jobs.localjobnetwork.com/job/detail/83445231/NIGHT-AUDITOR-ROOMS" TargetMode="External"/><Relationship Id="rId16" Type="http://schemas.openxmlformats.org/officeDocument/2006/relationships/hyperlink" Target="https://www.seek.com.au/hospitality-disability-jobs?jobId=84057665&amp;type=standard" TargetMode="External"/><Relationship Id="rId1" Type="http://schemas.openxmlformats.org/officeDocument/2006/relationships/hyperlink" Target="https://jobs.localjobnetwork.com/job/detail/83445695/Laundry-Attendant-Sorter" TargetMode="External"/><Relationship Id="rId6" Type="http://schemas.openxmlformats.org/officeDocument/2006/relationships/hyperlink" Target="https://www.handi-hotellerie-restauration.fr/emploi/ClubMed-R-567" TargetMode="External"/><Relationship Id="rId11" Type="http://schemas.openxmlformats.org/officeDocument/2006/relationships/hyperlink" Target="https://hdnwa.org.au/hdnwa-opportunities/?utm_source=chatgpt.com" TargetMode="External"/><Relationship Id="rId5" Type="http://schemas.openxmlformats.org/officeDocument/2006/relationships/hyperlink" Target="https://www.handi-hotellerie-restauration.fr/emploi/ClubMed-R-46122" TargetMode="External"/><Relationship Id="rId15" Type="http://schemas.openxmlformats.org/officeDocument/2006/relationships/hyperlink" Target="https://www.seek.com.au/hospitality-disability-jobs?jobId=84024431&amp;type=standard" TargetMode="External"/><Relationship Id="rId10" Type="http://schemas.openxmlformats.org/officeDocument/2006/relationships/hyperlink" Target="https://www.handicap-job.com/recherche/detail/oid/6193697/hote-hotesse-daccueil-standardiste.html" TargetMode="External"/><Relationship Id="rId4" Type="http://schemas.openxmlformats.org/officeDocument/2006/relationships/hyperlink" Target="https://jobs.localjobnetwork.com/job/detail/83444376/Mixologist-Bartender-Seasonal" TargetMode="External"/><Relationship Id="rId9" Type="http://schemas.openxmlformats.org/officeDocument/2006/relationships/hyperlink" Target="https://www.handicap-job.com/recherche/detail/oid/6207910/employe-de-menage-fh.html" TargetMode="External"/><Relationship Id="rId14" Type="http://schemas.openxmlformats.org/officeDocument/2006/relationships/hyperlink" Target="https://www.seek.com.au/hospitality-disability-jobs?jobId=83765228&amp;type=promoted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jobs.localjobnetwork.com/job/detail/83213457/Shipping-Receiving-Clerk?keywords=Printed" TargetMode="External"/><Relationship Id="rId1" Type="http://schemas.openxmlformats.org/officeDocument/2006/relationships/hyperlink" Target="https://jobs.localjobnetwork.com/job/detail/83447253/Material-Handler-I?keywords=Printed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bilitylinks.org/jobs/115775727-pesticide-controller" TargetMode="External"/><Relationship Id="rId3" Type="http://schemas.openxmlformats.org/officeDocument/2006/relationships/hyperlink" Target="https://www.clover-navi.com/detail/employment/v/3/id/50396" TargetMode="External"/><Relationship Id="rId7" Type="http://schemas.openxmlformats.org/officeDocument/2006/relationships/hyperlink" Target="https://abilitylinks.org/jobs/130634997-sanitation-associate" TargetMode="External"/><Relationship Id="rId2" Type="http://schemas.openxmlformats.org/officeDocument/2006/relationships/hyperlink" Target="https://www.atgp.jp/search/top/search_result_detail/a07600000000maly46" TargetMode="External"/><Relationship Id="rId1" Type="http://schemas.openxmlformats.org/officeDocument/2006/relationships/hyperlink" Target="https://www.atgp.jp/search/top/search_result_detail/a07600000000nqmoci" TargetMode="External"/><Relationship Id="rId6" Type="http://schemas.openxmlformats.org/officeDocument/2006/relationships/hyperlink" Target="https://jobs.localjobnetwork.com/job/detail/82660191/Customer-Service-Parcel-Specialist?keywords=Parcel%2bService" TargetMode="External"/><Relationship Id="rId5" Type="http://schemas.openxmlformats.org/officeDocument/2006/relationships/hyperlink" Target="https://www.clover-navi.com/detail/employment/v/3/id/50396" TargetMode="External"/><Relationship Id="rId4" Type="http://schemas.openxmlformats.org/officeDocument/2006/relationships/hyperlink" Target="https://www.clover-navi.com/detail/employment/v/3/id/50396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jobs.localjobnetwork.com/job/detail/82977592/PRODUCTION-MANAGER-FOOD-MANUFACTURING-PLANT-LONGVIEW-TX?keywords=food%2bmanufacturing" TargetMode="External"/><Relationship Id="rId1" Type="http://schemas.openxmlformats.org/officeDocument/2006/relationships/hyperlink" Target="https://jobs.localjobnetwork.com/job/detail/83462020/Night-Shift-Food-Manufacturing-Maintenance-Supervisor?keywords=food%2bmanufacturin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jobs.localjobnetwork.com/job/detail/83447110/Corporate-Real-Estate-Paralegal" TargetMode="External"/><Relationship Id="rId2" Type="http://schemas.openxmlformats.org/officeDocument/2006/relationships/hyperlink" Target="https://jobs.localjobnetwork.com/job/detail/83443366/ARRIVAL-AMBASSADOR" TargetMode="External"/><Relationship Id="rId1" Type="http://schemas.openxmlformats.org/officeDocument/2006/relationships/hyperlink" Target="https://www.clover-navi.com/detail/employment/v/2/id/51526" TargetMode="External"/><Relationship Id="rId5" Type="http://schemas.openxmlformats.org/officeDocument/2006/relationships/hyperlink" Target="https://jobs.localjobnetwork.com/job/detail/83449079/Leasing-Consultant" TargetMode="External"/><Relationship Id="rId4" Type="http://schemas.openxmlformats.org/officeDocument/2006/relationships/hyperlink" Target="https://jobs.localjobnetwork.com/job/detail/83453760/Facilities-Manag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78"/>
  <sheetViews>
    <sheetView topLeftCell="A11" zoomScale="70" zoomScaleNormal="70" workbookViewId="0">
      <selection activeCell="E23" sqref="E23"/>
    </sheetView>
  </sheetViews>
  <sheetFormatPr defaultRowHeight="17.399999999999999" x14ac:dyDescent="0.4"/>
  <cols>
    <col min="1" max="1" width="2.296875" customWidth="1"/>
    <col min="2" max="2" width="7" style="1" customWidth="1"/>
    <col min="3" max="3" width="19.69921875" style="1" customWidth="1"/>
    <col min="4" max="4" width="8.5" style="1" customWidth="1"/>
    <col min="5" max="5" width="54.296875" style="15" customWidth="1"/>
    <col min="6" max="6" width="97.19921875" style="2" customWidth="1"/>
    <col min="7" max="7" width="59.69921875" style="2" customWidth="1"/>
    <col min="8" max="8" width="29.19921875" style="1" customWidth="1"/>
    <col min="9" max="9" width="24.59765625" style="1" customWidth="1"/>
    <col min="10" max="10" width="132.796875" style="2" customWidth="1"/>
    <col min="11" max="20" width="9" style="1"/>
  </cols>
  <sheetData>
    <row r="1" spans="2:10" x14ac:dyDescent="0.4">
      <c r="E1" s="1"/>
      <c r="F1" s="1"/>
      <c r="H1" s="2"/>
      <c r="J1" s="1"/>
    </row>
    <row r="2" spans="2:10" x14ac:dyDescent="0.4">
      <c r="B2" s="12" t="s">
        <v>26</v>
      </c>
      <c r="C2" s="12" t="s">
        <v>1</v>
      </c>
      <c r="D2" s="12" t="s">
        <v>4</v>
      </c>
      <c r="E2" s="12" t="s">
        <v>3</v>
      </c>
      <c r="F2" s="12" t="s">
        <v>58</v>
      </c>
      <c r="G2" s="12" t="s">
        <v>27</v>
      </c>
      <c r="H2" s="12" t="s">
        <v>28</v>
      </c>
      <c r="I2" s="12" t="s">
        <v>0</v>
      </c>
      <c r="J2" s="12" t="s">
        <v>2</v>
      </c>
    </row>
    <row r="3" spans="2:10" s="1" customFormat="1" ht="69.599999999999994" x14ac:dyDescent="0.4">
      <c r="B3" s="1">
        <f>IF(C3&lt;&gt;"", ROW()-2, "")</f>
        <v>1</v>
      </c>
      <c r="C3" s="1" t="s">
        <v>52</v>
      </c>
      <c r="D3" s="1" t="s">
        <v>5</v>
      </c>
      <c r="E3" s="15" t="s">
        <v>253</v>
      </c>
      <c r="F3" s="2" t="s">
        <v>254</v>
      </c>
      <c r="G3" s="4" t="s">
        <v>255</v>
      </c>
      <c r="H3" s="8" t="s">
        <v>256</v>
      </c>
      <c r="I3" s="1" t="s">
        <v>257</v>
      </c>
      <c r="J3" s="13" t="s">
        <v>258</v>
      </c>
    </row>
    <row r="4" spans="2:10" ht="52.2" x14ac:dyDescent="0.4">
      <c r="B4" s="1">
        <f t="shared" ref="B4:B15" si="0">IF(C4&lt;&gt;"", ROW()-2, "")</f>
        <v>2</v>
      </c>
      <c r="C4" s="1" t="s">
        <v>271</v>
      </c>
      <c r="D4" s="1" t="s">
        <v>5</v>
      </c>
      <c r="E4" s="15" t="s">
        <v>330</v>
      </c>
      <c r="F4" s="2" t="s">
        <v>272</v>
      </c>
      <c r="G4" s="4" t="s">
        <v>273</v>
      </c>
      <c r="H4" s="8" t="s">
        <v>274</v>
      </c>
      <c r="I4" s="1" t="s">
        <v>275</v>
      </c>
      <c r="J4" s="13" t="s">
        <v>276</v>
      </c>
    </row>
    <row r="5" spans="2:10" ht="69.599999999999994" x14ac:dyDescent="0.4">
      <c r="B5" s="1">
        <f t="shared" si="0"/>
        <v>3</v>
      </c>
      <c r="C5" s="1" t="s">
        <v>271</v>
      </c>
      <c r="D5" s="1" t="s">
        <v>5</v>
      </c>
      <c r="E5" s="15" t="s">
        <v>331</v>
      </c>
      <c r="F5" s="2" t="s">
        <v>277</v>
      </c>
      <c r="G5" s="4" t="s">
        <v>278</v>
      </c>
      <c r="H5" s="8" t="s">
        <v>279</v>
      </c>
      <c r="I5" s="1" t="s">
        <v>280</v>
      </c>
      <c r="J5" s="13" t="s">
        <v>281</v>
      </c>
    </row>
    <row r="6" spans="2:10" ht="69.599999999999994" x14ac:dyDescent="0.4">
      <c r="B6" s="1">
        <f t="shared" si="0"/>
        <v>4</v>
      </c>
      <c r="C6" s="1" t="s">
        <v>271</v>
      </c>
      <c r="D6" s="1" t="s">
        <v>5</v>
      </c>
      <c r="E6" s="15" t="s">
        <v>332</v>
      </c>
      <c r="F6" s="2" t="s">
        <v>287</v>
      </c>
      <c r="G6" s="4" t="s">
        <v>291</v>
      </c>
      <c r="H6" s="8" t="s">
        <v>288</v>
      </c>
      <c r="I6" s="1" t="s">
        <v>289</v>
      </c>
      <c r="J6" s="13" t="s">
        <v>290</v>
      </c>
    </row>
    <row r="7" spans="2:10" ht="52.2" x14ac:dyDescent="0.4">
      <c r="B7" s="1">
        <f t="shared" si="0"/>
        <v>5</v>
      </c>
      <c r="C7" s="1" t="s">
        <v>271</v>
      </c>
      <c r="D7" s="1" t="s">
        <v>5</v>
      </c>
      <c r="E7" s="15" t="s">
        <v>333</v>
      </c>
      <c r="F7" s="2" t="s">
        <v>292</v>
      </c>
      <c r="G7" s="4" t="s">
        <v>293</v>
      </c>
      <c r="H7" s="8" t="s">
        <v>279</v>
      </c>
      <c r="I7" s="1" t="s">
        <v>294</v>
      </c>
      <c r="J7" s="13" t="s">
        <v>295</v>
      </c>
    </row>
    <row r="8" spans="2:10" ht="52.2" x14ac:dyDescent="0.4">
      <c r="B8" s="1">
        <f t="shared" si="0"/>
        <v>6</v>
      </c>
      <c r="C8" s="1" t="s">
        <v>136</v>
      </c>
      <c r="D8" s="1" t="s">
        <v>131</v>
      </c>
      <c r="E8" s="15" t="s">
        <v>132</v>
      </c>
      <c r="F8" s="2" t="s">
        <v>133</v>
      </c>
      <c r="G8" s="7" t="s">
        <v>156</v>
      </c>
      <c r="H8" s="1" t="s">
        <v>134</v>
      </c>
      <c r="I8" s="1" t="s">
        <v>135</v>
      </c>
      <c r="J8" s="14" t="s">
        <v>137</v>
      </c>
    </row>
    <row r="9" spans="2:10" ht="52.2" x14ac:dyDescent="0.4">
      <c r="B9" s="1">
        <f t="shared" si="0"/>
        <v>7</v>
      </c>
      <c r="C9" s="1" t="s">
        <v>350</v>
      </c>
      <c r="D9" s="1" t="s">
        <v>360</v>
      </c>
      <c r="E9" s="16" t="s">
        <v>356</v>
      </c>
      <c r="F9" s="7" t="s">
        <v>357</v>
      </c>
      <c r="G9" s="7" t="s">
        <v>358</v>
      </c>
      <c r="H9" s="1" t="s">
        <v>238</v>
      </c>
      <c r="I9" s="1" t="s">
        <v>359</v>
      </c>
      <c r="J9" s="14" t="s">
        <v>361</v>
      </c>
    </row>
    <row r="10" spans="2:10" ht="34.799999999999997" x14ac:dyDescent="0.4">
      <c r="B10" s="1">
        <f t="shared" si="0"/>
        <v>8</v>
      </c>
      <c r="C10" s="1" t="s">
        <v>350</v>
      </c>
      <c r="D10" s="1" t="s">
        <v>360</v>
      </c>
      <c r="E10" s="16" t="s">
        <v>362</v>
      </c>
      <c r="F10" s="2" t="s">
        <v>363</v>
      </c>
      <c r="G10" s="7" t="s">
        <v>364</v>
      </c>
      <c r="H10" s="1" t="s">
        <v>365</v>
      </c>
      <c r="I10" s="1" t="s">
        <v>359</v>
      </c>
      <c r="J10" s="14" t="s">
        <v>366</v>
      </c>
    </row>
    <row r="11" spans="2:10" ht="52.2" x14ac:dyDescent="0.4">
      <c r="B11" s="1">
        <f t="shared" si="0"/>
        <v>9</v>
      </c>
      <c r="C11" s="1" t="s">
        <v>370</v>
      </c>
      <c r="D11" s="1" t="s">
        <v>360</v>
      </c>
      <c r="E11" s="15" t="s">
        <v>367</v>
      </c>
      <c r="F11" s="2" t="s">
        <v>368</v>
      </c>
      <c r="G11" s="7" t="s">
        <v>369</v>
      </c>
      <c r="H11" s="1" t="s">
        <v>238</v>
      </c>
      <c r="I11" s="1" t="s">
        <v>371</v>
      </c>
      <c r="J11" s="14" t="s">
        <v>372</v>
      </c>
    </row>
    <row r="12" spans="2:10" ht="34.799999999999997" x14ac:dyDescent="0.4">
      <c r="B12" s="1">
        <f t="shared" si="0"/>
        <v>10</v>
      </c>
      <c r="C12" s="1" t="s">
        <v>373</v>
      </c>
      <c r="D12" s="1" t="s">
        <v>36</v>
      </c>
      <c r="E12" s="15" t="s">
        <v>374</v>
      </c>
      <c r="F12" s="2" t="s">
        <v>375</v>
      </c>
      <c r="G12" s="7" t="s">
        <v>376</v>
      </c>
      <c r="H12" s="1" t="s">
        <v>238</v>
      </c>
      <c r="I12" s="1" t="s">
        <v>378</v>
      </c>
      <c r="J12" s="14" t="s">
        <v>377</v>
      </c>
    </row>
    <row r="13" spans="2:10" ht="52.2" x14ac:dyDescent="0.4">
      <c r="B13" s="1">
        <f t="shared" si="0"/>
        <v>11</v>
      </c>
      <c r="C13" s="1" t="s">
        <v>355</v>
      </c>
      <c r="D13" s="1" t="s">
        <v>36</v>
      </c>
      <c r="E13" s="15" t="s">
        <v>383</v>
      </c>
      <c r="F13" s="2" t="s">
        <v>379</v>
      </c>
      <c r="G13" s="7" t="s">
        <v>380</v>
      </c>
      <c r="H13" s="1" t="s">
        <v>238</v>
      </c>
      <c r="I13" s="1" t="s">
        <v>381</v>
      </c>
      <c r="J13" s="14" t="s">
        <v>382</v>
      </c>
    </row>
    <row r="14" spans="2:10" ht="34.799999999999997" x14ac:dyDescent="0.4">
      <c r="B14" s="1">
        <f>IF(C14&lt;&gt;"", ROW()-2, "")</f>
        <v>12</v>
      </c>
      <c r="C14" s="1" t="s">
        <v>56</v>
      </c>
      <c r="D14" s="1" t="s">
        <v>36</v>
      </c>
      <c r="E14" s="16" t="s">
        <v>67</v>
      </c>
      <c r="F14" s="7" t="s">
        <v>92</v>
      </c>
      <c r="G14" s="7" t="s">
        <v>54</v>
      </c>
      <c r="H14" s="1" t="s">
        <v>41</v>
      </c>
      <c r="I14" s="1" t="s">
        <v>55</v>
      </c>
      <c r="J14" s="14" t="s">
        <v>57</v>
      </c>
    </row>
    <row r="15" spans="2:10" ht="52.2" x14ac:dyDescent="0.4">
      <c r="B15" s="1">
        <f t="shared" si="0"/>
        <v>13</v>
      </c>
      <c r="C15" s="1" t="s">
        <v>350</v>
      </c>
      <c r="D15" s="1" t="s">
        <v>36</v>
      </c>
      <c r="E15" s="16" t="s">
        <v>351</v>
      </c>
      <c r="F15" s="7" t="s">
        <v>352</v>
      </c>
      <c r="G15" s="7" t="s">
        <v>353</v>
      </c>
      <c r="H15" s="1" t="s">
        <v>41</v>
      </c>
      <c r="I15" s="1" t="s">
        <v>55</v>
      </c>
      <c r="J15" s="14" t="s">
        <v>354</v>
      </c>
    </row>
    <row r="16" spans="2:10" ht="69.599999999999994" x14ac:dyDescent="0.4">
      <c r="B16" s="1">
        <f t="shared" ref="B16:B22" si="1">IF(C16&lt;&gt;"", ROW()-2, "")</f>
        <v>14</v>
      </c>
      <c r="C16" s="1" t="s">
        <v>355</v>
      </c>
      <c r="D16" s="1" t="s">
        <v>36</v>
      </c>
      <c r="E16" s="15" t="s">
        <v>384</v>
      </c>
      <c r="F16" s="2" t="s">
        <v>385</v>
      </c>
      <c r="G16" s="7" t="s">
        <v>386</v>
      </c>
      <c r="H16" s="1" t="s">
        <v>238</v>
      </c>
      <c r="I16" s="1" t="s">
        <v>381</v>
      </c>
      <c r="J16" s="14" t="s">
        <v>387</v>
      </c>
    </row>
    <row r="17" spans="2:10" ht="34.799999999999997" x14ac:dyDescent="0.4">
      <c r="B17" s="1">
        <f>IF(C17&lt;&gt;"", ROW()-2, "")</f>
        <v>15</v>
      </c>
      <c r="C17" s="1" t="s">
        <v>370</v>
      </c>
      <c r="D17" s="1" t="s">
        <v>36</v>
      </c>
      <c r="E17" s="15" t="s">
        <v>398</v>
      </c>
      <c r="F17" s="2" t="s">
        <v>399</v>
      </c>
      <c r="G17" s="7" t="s">
        <v>400</v>
      </c>
      <c r="H17" s="1" t="s">
        <v>238</v>
      </c>
      <c r="I17" s="1" t="s">
        <v>402</v>
      </c>
      <c r="J17" s="14" t="s">
        <v>401</v>
      </c>
    </row>
    <row r="18" spans="2:10" ht="52.2" x14ac:dyDescent="0.4">
      <c r="B18" s="1">
        <f>IF(C18&lt;&gt;"", ROW()-2, "")</f>
        <v>16</v>
      </c>
      <c r="C18" s="1" t="s">
        <v>350</v>
      </c>
      <c r="D18" s="1" t="s">
        <v>36</v>
      </c>
      <c r="E18" s="15" t="s">
        <v>408</v>
      </c>
      <c r="F18" s="2" t="s">
        <v>409</v>
      </c>
      <c r="G18" s="7" t="s">
        <v>410</v>
      </c>
      <c r="H18" s="1" t="s">
        <v>238</v>
      </c>
      <c r="I18" s="1" t="s">
        <v>406</v>
      </c>
      <c r="J18" s="14" t="s">
        <v>411</v>
      </c>
    </row>
    <row r="19" spans="2:10" ht="52.2" x14ac:dyDescent="0.4">
      <c r="B19" s="1">
        <f>IF(C19&lt;&gt;"", ROW()-2, "")</f>
        <v>17</v>
      </c>
      <c r="C19" s="1" t="s">
        <v>350</v>
      </c>
      <c r="D19" s="1" t="s">
        <v>36</v>
      </c>
      <c r="E19" s="15" t="s">
        <v>403</v>
      </c>
      <c r="F19" s="2" t="s">
        <v>404</v>
      </c>
      <c r="G19" s="7" t="s">
        <v>405</v>
      </c>
      <c r="H19" s="1" t="s">
        <v>238</v>
      </c>
      <c r="I19" s="1" t="s">
        <v>406</v>
      </c>
      <c r="J19" s="14" t="s">
        <v>407</v>
      </c>
    </row>
    <row r="20" spans="2:10" ht="52.2" x14ac:dyDescent="0.4">
      <c r="B20" s="1">
        <f t="shared" si="1"/>
        <v>18</v>
      </c>
      <c r="C20" s="1" t="s">
        <v>370</v>
      </c>
      <c r="D20" s="1" t="s">
        <v>36</v>
      </c>
      <c r="E20" s="15" t="s">
        <v>388</v>
      </c>
      <c r="F20" s="2" t="s">
        <v>389</v>
      </c>
      <c r="G20" s="7" t="s">
        <v>390</v>
      </c>
      <c r="H20" s="1" t="s">
        <v>238</v>
      </c>
      <c r="I20" s="1" t="s">
        <v>391</v>
      </c>
      <c r="J20" s="14" t="s">
        <v>392</v>
      </c>
    </row>
    <row r="21" spans="2:10" ht="69.599999999999994" x14ac:dyDescent="0.4">
      <c r="B21" s="1">
        <f t="shared" si="1"/>
        <v>19</v>
      </c>
      <c r="C21" s="1" t="s">
        <v>355</v>
      </c>
      <c r="D21" s="1" t="s">
        <v>110</v>
      </c>
      <c r="E21" s="15" t="s">
        <v>393</v>
      </c>
      <c r="F21" s="2" t="s">
        <v>394</v>
      </c>
      <c r="G21" s="7" t="s">
        <v>395</v>
      </c>
      <c r="H21" s="1" t="s">
        <v>238</v>
      </c>
      <c r="I21" s="1" t="s">
        <v>396</v>
      </c>
      <c r="J21" s="14" t="s">
        <v>397</v>
      </c>
    </row>
    <row r="22" spans="2:10" ht="34.799999999999997" x14ac:dyDescent="0.4">
      <c r="B22" s="1">
        <f>IF(E22&lt;&gt;"", ROW()-2, "")</f>
        <v>20</v>
      </c>
      <c r="C22" s="1" t="s">
        <v>350</v>
      </c>
      <c r="D22" s="1" t="s">
        <v>412</v>
      </c>
      <c r="E22" s="19" t="s">
        <v>413</v>
      </c>
      <c r="F22" s="2" t="s">
        <v>414</v>
      </c>
      <c r="G22" s="7" t="s">
        <v>415</v>
      </c>
      <c r="H22" s="1" t="s">
        <v>238</v>
      </c>
      <c r="I22" s="1" t="s">
        <v>406</v>
      </c>
      <c r="J22" s="14" t="s">
        <v>416</v>
      </c>
    </row>
    <row r="66" spans="2:2" x14ac:dyDescent="0.4">
      <c r="B66" s="1" t="str">
        <f>IF(C66&lt;&gt;"", ROW()-3, "")</f>
        <v/>
      </c>
    </row>
    <row r="67" spans="2:2" x14ac:dyDescent="0.4">
      <c r="B67" s="1" t="str">
        <f>IF(C67&lt;&gt;"", ROW()-3, "")</f>
        <v/>
      </c>
    </row>
    <row r="68" spans="2:2" x14ac:dyDescent="0.4">
      <c r="B68" s="1" t="str">
        <f>IF(C68&lt;&gt;"", ROW()-3, "")</f>
        <v/>
      </c>
    </row>
    <row r="69" spans="2:2" x14ac:dyDescent="0.4">
      <c r="B69" s="1" t="str">
        <f>IF(C69&lt;&gt;"", ROW()-3, "")</f>
        <v/>
      </c>
    </row>
    <row r="70" spans="2:2" x14ac:dyDescent="0.4">
      <c r="B70" s="1" t="str">
        <f>IF(C70&lt;&gt;"", ROW()-3, "")</f>
        <v/>
      </c>
    </row>
    <row r="71" spans="2:2" x14ac:dyDescent="0.4">
      <c r="B71" s="1" t="str">
        <f>IF(C71&lt;&gt;"", ROW()-3, "")</f>
        <v/>
      </c>
    </row>
    <row r="72" spans="2:2" x14ac:dyDescent="0.4">
      <c r="B72" s="1" t="str">
        <f>IF(C72&lt;&gt;"", ROW()-3, "")</f>
        <v/>
      </c>
    </row>
    <row r="73" spans="2:2" x14ac:dyDescent="0.4">
      <c r="B73" s="1" t="str">
        <f>IF(C73&lt;&gt;"", ROW()-3, "")</f>
        <v/>
      </c>
    </row>
    <row r="74" spans="2:2" x14ac:dyDescent="0.4">
      <c r="B74" s="1" t="str">
        <f>IF(C74&lt;&gt;"", ROW()-3, "")</f>
        <v/>
      </c>
    </row>
    <row r="75" spans="2:2" x14ac:dyDescent="0.4">
      <c r="B75" s="1" t="str">
        <f>IF(C75&lt;&gt;"", ROW()-3, "")</f>
        <v/>
      </c>
    </row>
    <row r="76" spans="2:2" x14ac:dyDescent="0.4">
      <c r="B76" s="1" t="str">
        <f t="shared" ref="B76:B78" si="2">IF(C76&lt;&gt;"", ROW()-3, "")</f>
        <v/>
      </c>
    </row>
    <row r="77" spans="2:2" x14ac:dyDescent="0.4">
      <c r="B77" s="1" t="str">
        <f t="shared" si="2"/>
        <v/>
      </c>
    </row>
    <row r="78" spans="2:2" x14ac:dyDescent="0.4">
      <c r="B78" s="1" t="str">
        <f t="shared" si="2"/>
        <v/>
      </c>
    </row>
  </sheetData>
  <phoneticPr fontId="1" type="noConversion"/>
  <hyperlinks>
    <hyperlink ref="J14" r:id="rId1" xr:uid="{E36F65BA-2B4C-439C-A849-4C74BB7DB830}"/>
    <hyperlink ref="J8" r:id="rId2" xr:uid="{3EE84AC4-2201-4AC4-9E26-6E940C62831E}"/>
    <hyperlink ref="J9" r:id="rId3" xr:uid="{C0368228-400D-419E-A4DB-730FC0E7704A}"/>
    <hyperlink ref="J10" r:id="rId4" xr:uid="{7F9D53CF-FA64-488A-B547-C253088DECF7}"/>
    <hyperlink ref="J11" r:id="rId5" xr:uid="{0285321A-0CE5-42B6-AC66-A5D8DF57BA57}"/>
    <hyperlink ref="J12" r:id="rId6" xr:uid="{4EB9F49F-DDDD-4EC5-B143-459297F5E8FC}"/>
    <hyperlink ref="J13" r:id="rId7" xr:uid="{6C21A7B0-AC81-42F2-A277-DC64F4578F43}"/>
    <hyperlink ref="J16" r:id="rId8" xr:uid="{88EF7B71-F5B5-4A47-8E7C-915A68ECDAD9}"/>
    <hyperlink ref="J20" r:id="rId9" xr:uid="{47524849-A86D-41DF-A608-309D952B35B4}"/>
    <hyperlink ref="J21" r:id="rId10" xr:uid="{6EA3BC23-887D-43EA-BF85-671A513AE8CF}"/>
    <hyperlink ref="J22" r:id="rId11" xr:uid="{101CD1A9-C2FB-4E7C-B29A-0224B6833B92}"/>
  </hyperlinks>
  <pageMargins left="0.7" right="0.7" top="0.75" bottom="0.75" header="0.3" footer="0.3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22CE1-A2CF-4953-B0D2-6EE11D941257}">
  <dimension ref="B1:J23"/>
  <sheetViews>
    <sheetView topLeftCell="A11" zoomScale="70" zoomScaleNormal="70" workbookViewId="0">
      <selection activeCell="F10" sqref="F10"/>
    </sheetView>
  </sheetViews>
  <sheetFormatPr defaultRowHeight="17.399999999999999" x14ac:dyDescent="0.4"/>
  <cols>
    <col min="1" max="1" width="2.8984375" customWidth="1"/>
    <col min="3" max="3" width="16.59765625" customWidth="1"/>
    <col min="5" max="5" width="47.5" customWidth="1"/>
    <col min="6" max="6" width="69.5" style="18" customWidth="1"/>
    <col min="7" max="7" width="65.296875" customWidth="1"/>
    <col min="8" max="8" width="20.09765625" bestFit="1" customWidth="1"/>
    <col min="9" max="9" width="38.19921875" customWidth="1"/>
    <col min="10" max="10" width="124.8984375" bestFit="1" customWidth="1"/>
  </cols>
  <sheetData>
    <row r="1" spans="2:10" x14ac:dyDescent="0.4">
      <c r="F1"/>
    </row>
    <row r="2" spans="2:10" x14ac:dyDescent="0.4">
      <c r="B2" s="12" t="s">
        <v>26</v>
      </c>
      <c r="C2" s="12" t="s">
        <v>1</v>
      </c>
      <c r="D2" s="12" t="s">
        <v>4</v>
      </c>
      <c r="E2" s="12" t="s">
        <v>3</v>
      </c>
      <c r="F2" s="12" t="s">
        <v>58</v>
      </c>
      <c r="G2" s="12" t="s">
        <v>27</v>
      </c>
      <c r="H2" s="12" t="s">
        <v>28</v>
      </c>
      <c r="I2" s="12" t="s">
        <v>0</v>
      </c>
      <c r="J2" s="12" t="s">
        <v>2</v>
      </c>
    </row>
    <row r="3" spans="2:10" s="21" customFormat="1" ht="52.2" x14ac:dyDescent="0.4">
      <c r="B3" s="25">
        <f>IF(C3&lt;&gt;"", ROW()-2, "")</f>
        <v>1</v>
      </c>
      <c r="C3" s="22" t="s">
        <v>417</v>
      </c>
      <c r="D3" s="22" t="s">
        <v>418</v>
      </c>
      <c r="E3" s="20" t="s">
        <v>419</v>
      </c>
      <c r="F3" s="23" t="s">
        <v>420</v>
      </c>
      <c r="G3" s="24" t="s">
        <v>421</v>
      </c>
      <c r="H3" s="22" t="s">
        <v>422</v>
      </c>
      <c r="I3" s="25" t="s">
        <v>423</v>
      </c>
      <c r="J3" s="26" t="s">
        <v>424</v>
      </c>
    </row>
    <row r="4" spans="2:10" s="21" customFormat="1" ht="69.599999999999994" x14ac:dyDescent="0.4">
      <c r="B4" s="25">
        <f>IF(C4&lt;&gt;"", ROW()-2, "")</f>
        <v>2</v>
      </c>
      <c r="C4" s="1" t="s">
        <v>49</v>
      </c>
      <c r="D4" s="22" t="s">
        <v>418</v>
      </c>
      <c r="E4" s="20" t="s">
        <v>425</v>
      </c>
      <c r="F4" s="23" t="s">
        <v>426</v>
      </c>
      <c r="G4" s="24" t="s">
        <v>427</v>
      </c>
      <c r="H4" s="22" t="s">
        <v>238</v>
      </c>
      <c r="I4" s="1" t="s">
        <v>428</v>
      </c>
      <c r="J4" s="26" t="s">
        <v>429</v>
      </c>
    </row>
    <row r="5" spans="2:10" ht="34.799999999999997" x14ac:dyDescent="0.4">
      <c r="B5" s="1">
        <f>IF(C5&lt;&gt;"", ROW()-2, "")</f>
        <v>3</v>
      </c>
      <c r="C5" s="1" t="s">
        <v>16</v>
      </c>
      <c r="D5" s="1" t="s">
        <v>5</v>
      </c>
      <c r="E5" s="16" t="s">
        <v>29</v>
      </c>
      <c r="F5" s="7" t="s">
        <v>104</v>
      </c>
      <c r="G5" s="7" t="s">
        <v>139</v>
      </c>
      <c r="H5" s="1" t="s">
        <v>30</v>
      </c>
      <c r="I5" s="1" t="s">
        <v>15</v>
      </c>
      <c r="J5" s="14" t="s">
        <v>103</v>
      </c>
    </row>
    <row r="6" spans="2:10" ht="104.4" x14ac:dyDescent="0.4">
      <c r="B6" s="1">
        <f t="shared" ref="B6:B23" si="0">IF(C6&lt;&gt;"", ROW()-2, "")</f>
        <v>4</v>
      </c>
      <c r="C6" s="1" t="s">
        <v>16</v>
      </c>
      <c r="D6" s="1" t="s">
        <v>5</v>
      </c>
      <c r="E6" s="16" t="s">
        <v>337</v>
      </c>
      <c r="F6" s="7" t="s">
        <v>102</v>
      </c>
      <c r="G6" s="7" t="s">
        <v>140</v>
      </c>
      <c r="H6" s="5" t="s">
        <v>32</v>
      </c>
      <c r="I6" s="1" t="s">
        <v>17</v>
      </c>
      <c r="J6" s="14" t="s">
        <v>18</v>
      </c>
    </row>
    <row r="7" spans="2:10" ht="52.2" x14ac:dyDescent="0.4">
      <c r="B7" s="1">
        <f t="shared" si="0"/>
        <v>5</v>
      </c>
      <c r="C7" s="1" t="s">
        <v>435</v>
      </c>
      <c r="D7" s="1" t="s">
        <v>5</v>
      </c>
      <c r="E7" s="16" t="s">
        <v>330</v>
      </c>
      <c r="F7" s="7" t="s">
        <v>436</v>
      </c>
      <c r="G7" s="7" t="s">
        <v>437</v>
      </c>
      <c r="H7" s="5" t="s">
        <v>438</v>
      </c>
      <c r="I7" s="1" t="s">
        <v>439</v>
      </c>
      <c r="J7" s="14" t="s">
        <v>440</v>
      </c>
    </row>
    <row r="8" spans="2:10" ht="52.2" x14ac:dyDescent="0.4">
      <c r="B8" s="1">
        <f t="shared" si="0"/>
        <v>6</v>
      </c>
      <c r="C8" s="1" t="s">
        <v>16</v>
      </c>
      <c r="D8" s="1" t="s">
        <v>5</v>
      </c>
      <c r="E8" s="16" t="s">
        <v>59</v>
      </c>
      <c r="F8" s="7" t="s">
        <v>101</v>
      </c>
      <c r="G8" s="7" t="s">
        <v>141</v>
      </c>
      <c r="H8" s="5" t="s">
        <v>33</v>
      </c>
      <c r="I8" s="1" t="s">
        <v>19</v>
      </c>
      <c r="J8" s="14" t="s">
        <v>20</v>
      </c>
    </row>
    <row r="9" spans="2:10" ht="69.599999999999994" x14ac:dyDescent="0.4">
      <c r="B9" s="1">
        <f t="shared" si="0"/>
        <v>7</v>
      </c>
      <c r="C9" s="1" t="s">
        <v>49</v>
      </c>
      <c r="D9" s="1" t="s">
        <v>36</v>
      </c>
      <c r="E9" s="16" t="s">
        <v>65</v>
      </c>
      <c r="F9" s="7" t="s">
        <v>94</v>
      </c>
      <c r="G9" s="7" t="s">
        <v>145</v>
      </c>
      <c r="H9" s="1" t="s">
        <v>41</v>
      </c>
      <c r="I9" s="1" t="s">
        <v>48</v>
      </c>
      <c r="J9" s="14" t="s">
        <v>50</v>
      </c>
    </row>
    <row r="10" spans="2:10" ht="34.799999999999997" x14ac:dyDescent="0.4">
      <c r="B10" s="1">
        <f t="shared" si="0"/>
        <v>8</v>
      </c>
      <c r="C10" s="1" t="s">
        <v>16</v>
      </c>
      <c r="D10" s="1" t="s">
        <v>36</v>
      </c>
      <c r="E10" s="16" t="s">
        <v>219</v>
      </c>
      <c r="F10" s="7" t="s">
        <v>220</v>
      </c>
      <c r="G10" s="7" t="s">
        <v>221</v>
      </c>
      <c r="H10" s="1" t="s">
        <v>222</v>
      </c>
      <c r="I10" s="1" t="s">
        <v>223</v>
      </c>
      <c r="J10" s="14" t="s">
        <v>224</v>
      </c>
    </row>
    <row r="11" spans="2:10" ht="87" x14ac:dyDescent="0.4">
      <c r="B11" s="1">
        <f t="shared" si="0"/>
        <v>9</v>
      </c>
      <c r="C11" s="1" t="s">
        <v>213</v>
      </c>
      <c r="D11" s="1" t="s">
        <v>36</v>
      </c>
      <c r="E11" s="16" t="s">
        <v>226</v>
      </c>
      <c r="F11" s="7" t="s">
        <v>227</v>
      </c>
      <c r="G11" s="7" t="s">
        <v>228</v>
      </c>
      <c r="H11" s="1" t="s">
        <v>113</v>
      </c>
      <c r="I11" s="1" t="s">
        <v>225</v>
      </c>
      <c r="J11" s="14" t="s">
        <v>229</v>
      </c>
    </row>
    <row r="12" spans="2:10" ht="52.2" x14ac:dyDescent="0.4">
      <c r="B12" s="1">
        <f t="shared" si="0"/>
        <v>10</v>
      </c>
      <c r="C12" s="1" t="s">
        <v>213</v>
      </c>
      <c r="D12" s="1" t="s">
        <v>36</v>
      </c>
      <c r="E12" s="16" t="s">
        <v>214</v>
      </c>
      <c r="F12" s="7" t="s">
        <v>215</v>
      </c>
      <c r="G12" s="7" t="s">
        <v>216</v>
      </c>
      <c r="H12" s="1" t="s">
        <v>41</v>
      </c>
      <c r="I12" s="1" t="s">
        <v>217</v>
      </c>
      <c r="J12" s="14" t="s">
        <v>218</v>
      </c>
    </row>
    <row r="13" spans="2:10" ht="69.599999999999994" x14ac:dyDescent="0.4">
      <c r="B13" s="1">
        <f t="shared" si="0"/>
        <v>11</v>
      </c>
      <c r="C13" s="1" t="s">
        <v>308</v>
      </c>
      <c r="D13" s="1" t="s">
        <v>36</v>
      </c>
      <c r="E13" s="16" t="s">
        <v>345</v>
      </c>
      <c r="F13" s="7" t="s">
        <v>346</v>
      </c>
      <c r="G13" s="7" t="s">
        <v>347</v>
      </c>
      <c r="H13" s="1" t="s">
        <v>127</v>
      </c>
      <c r="I13" s="1" t="s">
        <v>349</v>
      </c>
      <c r="J13" s="14" t="s">
        <v>348</v>
      </c>
    </row>
    <row r="14" spans="2:10" ht="69.599999999999994" x14ac:dyDescent="0.4">
      <c r="B14" s="1">
        <f t="shared" si="0"/>
        <v>12</v>
      </c>
      <c r="C14" s="1" t="s">
        <v>308</v>
      </c>
      <c r="D14" s="1" t="s">
        <v>36</v>
      </c>
      <c r="E14" s="16" t="s">
        <v>339</v>
      </c>
      <c r="F14" s="7" t="s">
        <v>340</v>
      </c>
      <c r="G14" s="7" t="s">
        <v>344</v>
      </c>
      <c r="H14" s="1" t="s">
        <v>341</v>
      </c>
      <c r="I14" s="1" t="s">
        <v>342</v>
      </c>
      <c r="J14" s="14" t="s">
        <v>343</v>
      </c>
    </row>
    <row r="15" spans="2:10" ht="52.2" x14ac:dyDescent="0.4">
      <c r="B15" s="1">
        <f t="shared" si="0"/>
        <v>13</v>
      </c>
      <c r="C15" s="1" t="s">
        <v>230</v>
      </c>
      <c r="D15" s="1" t="s">
        <v>36</v>
      </c>
      <c r="E15" s="16" t="s">
        <v>231</v>
      </c>
      <c r="F15" s="7" t="s">
        <v>232</v>
      </c>
      <c r="G15" s="7" t="s">
        <v>233</v>
      </c>
      <c r="H15" s="1" t="s">
        <v>113</v>
      </c>
      <c r="I15" s="1" t="s">
        <v>235</v>
      </c>
      <c r="J15" s="3" t="s">
        <v>234</v>
      </c>
    </row>
    <row r="16" spans="2:10" ht="34.799999999999997" x14ac:dyDescent="0.4">
      <c r="B16" s="1">
        <f t="shared" si="0"/>
        <v>14</v>
      </c>
      <c r="C16" s="1" t="s">
        <v>115</v>
      </c>
      <c r="D16" s="1" t="s">
        <v>110</v>
      </c>
      <c r="E16" s="15" t="s">
        <v>111</v>
      </c>
      <c r="F16" s="7" t="s">
        <v>112</v>
      </c>
      <c r="G16" s="7" t="s">
        <v>152</v>
      </c>
      <c r="H16" s="1" t="s">
        <v>113</v>
      </c>
      <c r="I16" s="1" t="s">
        <v>114</v>
      </c>
      <c r="J16" s="14" t="s">
        <v>116</v>
      </c>
    </row>
    <row r="17" spans="2:10" ht="69.599999999999994" x14ac:dyDescent="0.4">
      <c r="B17" s="1">
        <f t="shared" si="0"/>
        <v>15</v>
      </c>
      <c r="C17" s="1" t="s">
        <v>120</v>
      </c>
      <c r="D17" s="1" t="s">
        <v>110</v>
      </c>
      <c r="E17" s="15" t="s">
        <v>117</v>
      </c>
      <c r="F17" s="7" t="s">
        <v>118</v>
      </c>
      <c r="G17" s="7" t="s">
        <v>153</v>
      </c>
      <c r="H17" s="1" t="s">
        <v>41</v>
      </c>
      <c r="I17" s="1" t="s">
        <v>119</v>
      </c>
      <c r="J17" s="14" t="s">
        <v>121</v>
      </c>
    </row>
    <row r="18" spans="2:10" ht="52.2" x14ac:dyDescent="0.4">
      <c r="B18" s="1">
        <f t="shared" si="0"/>
        <v>16</v>
      </c>
      <c r="C18" s="1" t="s">
        <v>120</v>
      </c>
      <c r="D18" s="1" t="s">
        <v>110</v>
      </c>
      <c r="E18" s="15" t="s">
        <v>122</v>
      </c>
      <c r="F18" s="7" t="s">
        <v>123</v>
      </c>
      <c r="G18" s="7" t="s">
        <v>154</v>
      </c>
      <c r="H18" s="1" t="s">
        <v>41</v>
      </c>
      <c r="I18" s="1" t="s">
        <v>119</v>
      </c>
      <c r="J18" s="14" t="s">
        <v>124</v>
      </c>
    </row>
    <row r="19" spans="2:10" ht="87" x14ac:dyDescent="0.4">
      <c r="B19" s="1">
        <f t="shared" si="0"/>
        <v>17</v>
      </c>
      <c r="C19" s="1" t="s">
        <v>308</v>
      </c>
      <c r="D19" s="1" t="s">
        <v>110</v>
      </c>
      <c r="E19" s="15" t="s">
        <v>430</v>
      </c>
      <c r="F19" s="7" t="s">
        <v>431</v>
      </c>
      <c r="G19" s="7" t="s">
        <v>432</v>
      </c>
      <c r="H19" s="1" t="s">
        <v>238</v>
      </c>
      <c r="I19" s="1" t="s">
        <v>433</v>
      </c>
      <c r="J19" s="14" t="s">
        <v>434</v>
      </c>
    </row>
    <row r="20" spans="2:10" ht="52.2" x14ac:dyDescent="0.4">
      <c r="B20" s="1">
        <f t="shared" si="0"/>
        <v>18</v>
      </c>
      <c r="C20" s="1" t="s">
        <v>129</v>
      </c>
      <c r="D20" s="1" t="s">
        <v>131</v>
      </c>
      <c r="E20" s="15" t="s">
        <v>125</v>
      </c>
      <c r="F20" s="7" t="s">
        <v>126</v>
      </c>
      <c r="G20" s="7" t="s">
        <v>155</v>
      </c>
      <c r="H20" s="1" t="s">
        <v>127</v>
      </c>
      <c r="I20" s="1" t="s">
        <v>128</v>
      </c>
      <c r="J20" s="14" t="s">
        <v>130</v>
      </c>
    </row>
    <row r="21" spans="2:10" ht="34.799999999999997" x14ac:dyDescent="0.4">
      <c r="B21" s="1">
        <f t="shared" si="0"/>
        <v>19</v>
      </c>
      <c r="C21" s="1" t="s">
        <v>308</v>
      </c>
      <c r="D21" s="1" t="s">
        <v>131</v>
      </c>
      <c r="E21" s="15" t="s">
        <v>311</v>
      </c>
      <c r="F21" s="7" t="s">
        <v>309</v>
      </c>
      <c r="G21" s="7" t="s">
        <v>310</v>
      </c>
      <c r="H21" s="1" t="s">
        <v>113</v>
      </c>
      <c r="I21" s="1" t="s">
        <v>312</v>
      </c>
      <c r="J21" s="14" t="s">
        <v>313</v>
      </c>
    </row>
    <row r="22" spans="2:10" ht="34.799999999999997" x14ac:dyDescent="0.4">
      <c r="B22" s="1">
        <f t="shared" si="0"/>
        <v>20</v>
      </c>
      <c r="C22" s="1" t="s">
        <v>314</v>
      </c>
      <c r="D22" s="1" t="s">
        <v>131</v>
      </c>
      <c r="E22" s="15" t="s">
        <v>315</v>
      </c>
      <c r="F22" s="7" t="s">
        <v>316</v>
      </c>
      <c r="G22" s="7" t="s">
        <v>317</v>
      </c>
      <c r="H22" s="1" t="s">
        <v>263</v>
      </c>
      <c r="I22" s="1" t="s">
        <v>318</v>
      </c>
      <c r="J22" s="14" t="s">
        <v>319</v>
      </c>
    </row>
    <row r="23" spans="2:10" x14ac:dyDescent="0.4">
      <c r="B23" s="1"/>
    </row>
  </sheetData>
  <phoneticPr fontId="1" type="noConversion"/>
  <hyperlinks>
    <hyperlink ref="J6" r:id="rId1" xr:uid="{1FFAD95F-6512-48FE-90E4-9A9CE1FD26EE}"/>
    <hyperlink ref="J8" r:id="rId2" xr:uid="{53C88234-6F0C-44F0-AFF1-36AFB27143AE}"/>
    <hyperlink ref="J5" r:id="rId3" xr:uid="{8606B739-0853-4716-9571-4D864D5FC7FE}"/>
    <hyperlink ref="J9" r:id="rId4" xr:uid="{77D550AA-E695-42CC-96B4-3765585F3F3D}"/>
    <hyperlink ref="J15" r:id="rId5" xr:uid="{FB81B5B1-E00A-4792-A353-3B325CFE7011}"/>
    <hyperlink ref="J16" r:id="rId6" xr:uid="{BC0D9833-8808-476E-9DFF-ED51914C04DB}"/>
    <hyperlink ref="J17" r:id="rId7" xr:uid="{D42DA6AB-8C8B-439E-B5A7-398B07B3C184}"/>
    <hyperlink ref="J18" r:id="rId8" xr:uid="{11485499-43BE-4243-B3EB-B64530B76AA6}"/>
    <hyperlink ref="J20" r:id="rId9" xr:uid="{8B0BCB7A-5176-472A-BE6E-270BB905E6B7}"/>
    <hyperlink ref="J21" r:id="rId10" xr:uid="{EBB6DCBA-7B12-4626-BC5F-AC20CCDE7FB2}"/>
    <hyperlink ref="J22" r:id="rId11" xr:uid="{87BCF1E0-9C51-4967-9038-D78BFD3CC72E}"/>
    <hyperlink ref="J3" r:id="rId12" xr:uid="{CBD67487-D3D3-4399-9F0D-1B63015B6A6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BC31-91F2-48A9-9325-CE2998EA60D8}">
  <dimension ref="B1:J22"/>
  <sheetViews>
    <sheetView tabSelected="1" zoomScale="70" zoomScaleNormal="70" workbookViewId="0">
      <selection activeCell="E9" sqref="E9"/>
    </sheetView>
  </sheetViews>
  <sheetFormatPr defaultRowHeight="17.399999999999999" x14ac:dyDescent="0.4"/>
  <cols>
    <col min="1" max="1" width="2.69921875" customWidth="1"/>
    <col min="2" max="2" width="5" style="1" customWidth="1"/>
    <col min="3" max="3" width="19.19921875" customWidth="1"/>
    <col min="5" max="5" width="45.59765625" bestFit="1" customWidth="1"/>
    <col min="6" max="6" width="85.59765625" customWidth="1"/>
    <col min="7" max="7" width="59.296875" customWidth="1"/>
    <col min="8" max="8" width="40.3984375" customWidth="1"/>
    <col min="9" max="9" width="41.3984375" customWidth="1"/>
    <col min="10" max="10" width="100.19921875" customWidth="1"/>
  </cols>
  <sheetData>
    <row r="1" spans="2:10" x14ac:dyDescent="0.4">
      <c r="B1"/>
    </row>
    <row r="2" spans="2:10" x14ac:dyDescent="0.4">
      <c r="B2" s="12" t="s">
        <v>26</v>
      </c>
      <c r="C2" s="12" t="s">
        <v>1</v>
      </c>
      <c r="D2" s="12" t="s">
        <v>4</v>
      </c>
      <c r="E2" s="12" t="s">
        <v>3</v>
      </c>
      <c r="F2" s="12" t="s">
        <v>58</v>
      </c>
      <c r="G2" s="12" t="s">
        <v>27</v>
      </c>
      <c r="H2" s="12" t="s">
        <v>28</v>
      </c>
      <c r="I2" s="12" t="s">
        <v>0</v>
      </c>
      <c r="J2" s="12" t="s">
        <v>2</v>
      </c>
    </row>
    <row r="3" spans="2:10" ht="52.2" x14ac:dyDescent="0.4">
      <c r="B3" s="1">
        <f>IF(C3&lt;&gt;"", ROW()-2, "")</f>
        <v>1</v>
      </c>
      <c r="C3" s="1" t="s">
        <v>241</v>
      </c>
      <c r="D3" s="1" t="s">
        <v>5</v>
      </c>
      <c r="E3" s="15" t="s">
        <v>243</v>
      </c>
      <c r="F3" s="2" t="s">
        <v>244</v>
      </c>
      <c r="G3" s="4" t="s">
        <v>245</v>
      </c>
      <c r="H3" s="8" t="s">
        <v>246</v>
      </c>
      <c r="I3" s="1" t="s">
        <v>247</v>
      </c>
      <c r="J3" s="13" t="s">
        <v>242</v>
      </c>
    </row>
    <row r="4" spans="2:10" ht="34.799999999999997" x14ac:dyDescent="0.4">
      <c r="B4" s="1">
        <f t="shared" ref="B4:B19" si="0">IF(C4&lt;&gt;"", ROW()-2, "")</f>
        <v>2</v>
      </c>
      <c r="C4" s="1" t="s">
        <v>241</v>
      </c>
      <c r="D4" s="1" t="s">
        <v>5</v>
      </c>
      <c r="E4" s="15" t="s">
        <v>328</v>
      </c>
      <c r="F4" s="7" t="s">
        <v>297</v>
      </c>
      <c r="G4" s="4" t="s">
        <v>296</v>
      </c>
      <c r="H4" s="8" t="s">
        <v>298</v>
      </c>
      <c r="I4" s="1" t="s">
        <v>299</v>
      </c>
      <c r="J4" s="13" t="s">
        <v>300</v>
      </c>
    </row>
    <row r="5" spans="2:10" ht="52.2" x14ac:dyDescent="0.4">
      <c r="B5" s="1">
        <f t="shared" si="0"/>
        <v>3</v>
      </c>
      <c r="C5" s="1" t="s">
        <v>37</v>
      </c>
      <c r="D5" s="1" t="s">
        <v>36</v>
      </c>
      <c r="E5" s="16" t="s">
        <v>61</v>
      </c>
      <c r="F5" s="7" t="s">
        <v>98</v>
      </c>
      <c r="G5" s="7" t="s">
        <v>144</v>
      </c>
      <c r="H5" s="1" t="s">
        <v>39</v>
      </c>
      <c r="I5" s="1" t="s">
        <v>38</v>
      </c>
      <c r="J5" s="14" t="s">
        <v>40</v>
      </c>
    </row>
    <row r="6" spans="2:10" ht="34.799999999999997" x14ac:dyDescent="0.4">
      <c r="B6" s="1">
        <f t="shared" si="0"/>
        <v>4</v>
      </c>
      <c r="C6" s="1" t="s">
        <v>37</v>
      </c>
      <c r="D6" s="1" t="s">
        <v>36</v>
      </c>
      <c r="E6" s="16" t="s">
        <v>62</v>
      </c>
      <c r="F6" s="7" t="s">
        <v>97</v>
      </c>
      <c r="G6" s="7" t="s">
        <v>444</v>
      </c>
      <c r="H6" s="1" t="s">
        <v>41</v>
      </c>
      <c r="I6" s="10" t="s">
        <v>42</v>
      </c>
      <c r="J6" s="14" t="s">
        <v>43</v>
      </c>
    </row>
    <row r="7" spans="2:10" ht="52.2" x14ac:dyDescent="0.4">
      <c r="B7" s="1">
        <f t="shared" si="0"/>
        <v>5</v>
      </c>
      <c r="C7" s="11" t="s">
        <v>37</v>
      </c>
      <c r="D7" s="1" t="s">
        <v>36</v>
      </c>
      <c r="E7" s="17" t="s">
        <v>63</v>
      </c>
      <c r="F7" s="7" t="s">
        <v>96</v>
      </c>
      <c r="G7" s="7" t="s">
        <v>44</v>
      </c>
      <c r="H7" s="1" t="s">
        <v>39</v>
      </c>
      <c r="I7" s="1" t="s">
        <v>45</v>
      </c>
      <c r="J7" s="14" t="s">
        <v>46</v>
      </c>
    </row>
    <row r="8" spans="2:10" ht="34.799999999999997" x14ac:dyDescent="0.4">
      <c r="B8" s="1">
        <f t="shared" si="0"/>
        <v>6</v>
      </c>
      <c r="C8" s="1" t="s">
        <v>37</v>
      </c>
      <c r="D8" s="1" t="s">
        <v>36</v>
      </c>
      <c r="E8" s="16" t="s">
        <v>64</v>
      </c>
      <c r="F8" s="7" t="s">
        <v>95</v>
      </c>
      <c r="G8" s="7" t="s">
        <v>445</v>
      </c>
      <c r="H8" s="1" t="s">
        <v>41</v>
      </c>
      <c r="I8" s="1" t="s">
        <v>45</v>
      </c>
      <c r="J8" s="14" t="s">
        <v>47</v>
      </c>
    </row>
    <row r="9" spans="2:10" ht="87" x14ac:dyDescent="0.4">
      <c r="B9" s="1">
        <f t="shared" si="0"/>
        <v>7</v>
      </c>
      <c r="C9" s="1" t="s">
        <v>442</v>
      </c>
      <c r="D9" s="1" t="s">
        <v>110</v>
      </c>
      <c r="E9" s="16" t="s">
        <v>441</v>
      </c>
      <c r="F9" s="7" t="s">
        <v>443</v>
      </c>
      <c r="G9" s="18" t="s">
        <v>446</v>
      </c>
      <c r="H9" s="1" t="s">
        <v>448</v>
      </c>
      <c r="I9" s="1" t="s">
        <v>449</v>
      </c>
      <c r="J9" s="27" t="s">
        <v>450</v>
      </c>
    </row>
    <row r="10" spans="2:10" ht="69.599999999999994" x14ac:dyDescent="0.4">
      <c r="B10" s="1">
        <f t="shared" si="0"/>
        <v>8</v>
      </c>
      <c r="C10" s="1" t="s">
        <v>451</v>
      </c>
      <c r="D10" s="1" t="s">
        <v>110</v>
      </c>
      <c r="E10" s="16" t="s">
        <v>452</v>
      </c>
      <c r="F10" s="7" t="s">
        <v>458</v>
      </c>
      <c r="G10" s="18" t="s">
        <v>453</v>
      </c>
      <c r="H10" s="1" t="s">
        <v>454</v>
      </c>
      <c r="I10" s="1" t="s">
        <v>449</v>
      </c>
      <c r="J10" s="27" t="s">
        <v>455</v>
      </c>
    </row>
    <row r="11" spans="2:10" ht="87" x14ac:dyDescent="0.4">
      <c r="B11" s="1">
        <f t="shared" si="0"/>
        <v>9</v>
      </c>
      <c r="C11" s="1" t="s">
        <v>456</v>
      </c>
      <c r="D11" s="1" t="s">
        <v>110</v>
      </c>
      <c r="E11" s="16" t="s">
        <v>457</v>
      </c>
      <c r="F11" s="7" t="s">
        <v>459</v>
      </c>
      <c r="G11" s="18" t="s">
        <v>460</v>
      </c>
      <c r="H11" s="1" t="s">
        <v>447</v>
      </c>
      <c r="I11" s="1" t="s">
        <v>461</v>
      </c>
      <c r="J11" s="27" t="s">
        <v>462</v>
      </c>
    </row>
    <row r="12" spans="2:10" ht="69.599999999999994" x14ac:dyDescent="0.4">
      <c r="B12" s="1">
        <f t="shared" si="0"/>
        <v>10</v>
      </c>
      <c r="C12" s="1" t="s">
        <v>463</v>
      </c>
      <c r="D12" s="1" t="s">
        <v>110</v>
      </c>
      <c r="E12" s="16" t="s">
        <v>464</v>
      </c>
      <c r="F12" s="7" t="s">
        <v>465</v>
      </c>
      <c r="G12" s="18" t="s">
        <v>466</v>
      </c>
      <c r="H12" s="1" t="s">
        <v>454</v>
      </c>
      <c r="I12" s="1" t="s">
        <v>467</v>
      </c>
      <c r="J12" s="27" t="s">
        <v>468</v>
      </c>
    </row>
    <row r="13" spans="2:10" ht="104.4" x14ac:dyDescent="0.4">
      <c r="B13" s="1">
        <f t="shared" si="0"/>
        <v>11</v>
      </c>
      <c r="C13" s="1" t="s">
        <v>469</v>
      </c>
      <c r="D13" s="1" t="s">
        <v>110</v>
      </c>
      <c r="E13" s="16" t="s">
        <v>470</v>
      </c>
      <c r="F13" s="7" t="s">
        <v>471</v>
      </c>
      <c r="G13" s="18" t="s">
        <v>472</v>
      </c>
      <c r="H13" s="1" t="s">
        <v>447</v>
      </c>
      <c r="I13" s="1" t="s">
        <v>467</v>
      </c>
      <c r="J13" s="27" t="s">
        <v>473</v>
      </c>
    </row>
    <row r="14" spans="2:10" ht="104.4" x14ac:dyDescent="0.4">
      <c r="B14" s="1">
        <f t="shared" si="0"/>
        <v>12</v>
      </c>
      <c r="C14" s="1" t="s">
        <v>52</v>
      </c>
      <c r="D14" s="1" t="s">
        <v>110</v>
      </c>
      <c r="E14" s="16" t="s">
        <v>474</v>
      </c>
      <c r="F14" s="7" t="s">
        <v>475</v>
      </c>
      <c r="G14" s="18" t="s">
        <v>476</v>
      </c>
      <c r="H14" s="1" t="s">
        <v>477</v>
      </c>
      <c r="I14" s="1" t="s">
        <v>478</v>
      </c>
      <c r="J14" s="27" t="s">
        <v>479</v>
      </c>
    </row>
    <row r="15" spans="2:10" ht="69.599999999999994" x14ac:dyDescent="0.4">
      <c r="B15" s="1">
        <f t="shared" si="0"/>
        <v>13</v>
      </c>
      <c r="C15" s="1" t="s">
        <v>456</v>
      </c>
      <c r="D15" s="1" t="s">
        <v>131</v>
      </c>
      <c r="E15" s="16" t="s">
        <v>485</v>
      </c>
      <c r="F15" s="7" t="s">
        <v>480</v>
      </c>
      <c r="G15" s="18" t="s">
        <v>481</v>
      </c>
      <c r="H15" s="1" t="s">
        <v>482</v>
      </c>
      <c r="I15" s="1" t="s">
        <v>483</v>
      </c>
      <c r="J15" s="27" t="s">
        <v>484</v>
      </c>
    </row>
    <row r="16" spans="2:10" ht="69.599999999999994" x14ac:dyDescent="0.4">
      <c r="B16" s="1">
        <f t="shared" si="0"/>
        <v>14</v>
      </c>
      <c r="C16" s="1" t="s">
        <v>456</v>
      </c>
      <c r="D16" s="1" t="s">
        <v>131</v>
      </c>
      <c r="E16" s="16" t="s">
        <v>486</v>
      </c>
      <c r="F16" s="7" t="s">
        <v>487</v>
      </c>
      <c r="G16" s="18" t="s">
        <v>488</v>
      </c>
      <c r="H16" s="1" t="s">
        <v>482</v>
      </c>
      <c r="I16" s="1" t="s">
        <v>483</v>
      </c>
      <c r="J16" s="27" t="s">
        <v>484</v>
      </c>
    </row>
    <row r="17" spans="2:10" ht="52.2" x14ac:dyDescent="0.4">
      <c r="B17" s="1">
        <f t="shared" si="0"/>
        <v>15</v>
      </c>
      <c r="C17" s="1" t="s">
        <v>456</v>
      </c>
      <c r="D17" s="1" t="s">
        <v>131</v>
      </c>
      <c r="E17" s="16" t="s">
        <v>489</v>
      </c>
      <c r="F17" s="7" t="s">
        <v>490</v>
      </c>
      <c r="G17" s="18" t="s">
        <v>491</v>
      </c>
      <c r="H17" s="1" t="s">
        <v>482</v>
      </c>
      <c r="I17" s="1" t="s">
        <v>483</v>
      </c>
      <c r="J17" s="27" t="s">
        <v>484</v>
      </c>
    </row>
    <row r="18" spans="2:10" ht="34.799999999999997" x14ac:dyDescent="0.4">
      <c r="B18" s="1">
        <f t="shared" si="0"/>
        <v>16</v>
      </c>
      <c r="C18" s="1" t="s">
        <v>456</v>
      </c>
      <c r="D18" s="1" t="s">
        <v>131</v>
      </c>
      <c r="E18" s="16" t="s">
        <v>492</v>
      </c>
      <c r="F18" s="7" t="s">
        <v>493</v>
      </c>
      <c r="G18" s="18" t="s">
        <v>494</v>
      </c>
      <c r="H18" s="1" t="s">
        <v>495</v>
      </c>
      <c r="I18" s="1" t="s">
        <v>318</v>
      </c>
      <c r="J18" s="27" t="s">
        <v>496</v>
      </c>
    </row>
    <row r="19" spans="2:10" ht="87" x14ac:dyDescent="0.4">
      <c r="B19" s="1">
        <f t="shared" si="0"/>
        <v>17</v>
      </c>
      <c r="C19" s="1" t="s">
        <v>456</v>
      </c>
      <c r="D19" s="1" t="s">
        <v>131</v>
      </c>
      <c r="E19" s="16" t="s">
        <v>497</v>
      </c>
      <c r="F19" s="7" t="s">
        <v>498</v>
      </c>
      <c r="G19" s="18" t="s">
        <v>499</v>
      </c>
      <c r="H19" s="1" t="s">
        <v>448</v>
      </c>
      <c r="I19" s="1" t="s">
        <v>501</v>
      </c>
      <c r="J19" s="27" t="s">
        <v>500</v>
      </c>
    </row>
    <row r="20" spans="2:10" ht="87" x14ac:dyDescent="0.4">
      <c r="B20" s="1">
        <f>IF(C20&lt;&gt;"", ROW()-2, "")</f>
        <v>18</v>
      </c>
      <c r="C20" s="1" t="s">
        <v>502</v>
      </c>
      <c r="D20" s="1" t="s">
        <v>131</v>
      </c>
      <c r="E20" s="16" t="s">
        <v>503</v>
      </c>
      <c r="F20" s="7" t="s">
        <v>504</v>
      </c>
      <c r="G20" s="18" t="s">
        <v>505</v>
      </c>
      <c r="H20" s="1" t="s">
        <v>506</v>
      </c>
      <c r="I20" s="1" t="s">
        <v>508</v>
      </c>
      <c r="J20" s="27" t="s">
        <v>507</v>
      </c>
    </row>
    <row r="21" spans="2:10" ht="52.2" x14ac:dyDescent="0.4">
      <c r="B21" s="1">
        <f>IF(C21&lt;&gt;"", ROW()-2, "")</f>
        <v>19</v>
      </c>
      <c r="C21" s="1" t="s">
        <v>509</v>
      </c>
      <c r="D21" s="1" t="s">
        <v>131</v>
      </c>
      <c r="E21" s="16" t="s">
        <v>510</v>
      </c>
      <c r="F21" s="7" t="s">
        <v>511</v>
      </c>
      <c r="G21" s="18" t="s">
        <v>512</v>
      </c>
      <c r="H21" s="1" t="s">
        <v>513</v>
      </c>
      <c r="I21" s="1" t="s">
        <v>514</v>
      </c>
      <c r="J21" s="27" t="s">
        <v>515</v>
      </c>
    </row>
    <row r="22" spans="2:10" ht="69.599999999999994" x14ac:dyDescent="0.4">
      <c r="B22" s="1">
        <f>IF(C22&lt;&gt;"", ROW()-2, "")</f>
        <v>20</v>
      </c>
      <c r="C22" s="1" t="s">
        <v>456</v>
      </c>
      <c r="D22" s="1" t="s">
        <v>131</v>
      </c>
      <c r="E22" s="16" t="s">
        <v>516</v>
      </c>
      <c r="F22" s="7" t="s">
        <v>517</v>
      </c>
      <c r="G22" s="18" t="s">
        <v>518</v>
      </c>
      <c r="H22" s="1" t="s">
        <v>447</v>
      </c>
      <c r="I22" s="1" t="s">
        <v>520</v>
      </c>
      <c r="J22" s="27" t="s">
        <v>519</v>
      </c>
    </row>
  </sheetData>
  <phoneticPr fontId="1" type="noConversion"/>
  <hyperlinks>
    <hyperlink ref="J5" r:id="rId1" xr:uid="{9A7BA77D-494A-4F4A-BF08-CB8DF593BFD4}"/>
    <hyperlink ref="J6" r:id="rId2" xr:uid="{09D3EFC3-1509-409D-AB00-09951056A483}"/>
    <hyperlink ref="J7" r:id="rId3" xr:uid="{08B8419A-20DA-4C69-90C0-A036CB7EDD0B}"/>
    <hyperlink ref="J8" r:id="rId4" xr:uid="{C28E47B4-5027-4A65-985A-62BFFF695BC0}"/>
    <hyperlink ref="J9" r:id="rId5" xr:uid="{AC76BA77-EB0E-4825-8845-B961DE5569AA}"/>
    <hyperlink ref="J10" r:id="rId6" xr:uid="{7426AC83-52D3-4D90-95E0-C8636AB2D986}"/>
    <hyperlink ref="J11" r:id="rId7" xr:uid="{DBFCBE39-2ED6-43C4-A9D4-B294F7A388A8}"/>
    <hyperlink ref="J12" r:id="rId8" xr:uid="{2081335A-AD78-4E5A-A0E9-CEB75122E899}"/>
    <hyperlink ref="J13" r:id="rId9" xr:uid="{F9330548-53EE-45E3-A7D8-5792E9AA1CF0}"/>
    <hyperlink ref="J14" r:id="rId10" xr:uid="{60FED4E6-4F30-4CA3-BC6C-320B8272E03F}"/>
    <hyperlink ref="J15" r:id="rId11" xr:uid="{E0E87835-776D-4E8A-853A-2A3FD3E0B55B}"/>
    <hyperlink ref="J16" r:id="rId12" xr:uid="{A69AC463-3F63-45FB-91AA-63E71AF395C1}"/>
    <hyperlink ref="J17" r:id="rId13" xr:uid="{46B1DB25-56D0-456A-9B57-43C68B5B14B0}"/>
    <hyperlink ref="J18" r:id="rId14" xr:uid="{128E9F4C-A61E-4DC8-AE1B-BB0315E16512}"/>
    <hyperlink ref="J19" r:id="rId15" xr:uid="{ACF53ECE-2B71-4733-877D-4E602B7618DC}"/>
    <hyperlink ref="J20" r:id="rId16" xr:uid="{0B7E2E72-1E15-44CD-87AF-775CBE6C56E7}"/>
    <hyperlink ref="J21" r:id="rId17" xr:uid="{5DDCCB9F-0164-46BF-8477-D0645BA25DC9}"/>
    <hyperlink ref="J22" r:id="rId18" xr:uid="{8D4F78FA-5223-46F3-9B32-4EDBB4497E8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EE8D-2A94-436B-A370-D0C76EAEA12E}">
  <dimension ref="B2:J12"/>
  <sheetViews>
    <sheetView zoomScale="70" zoomScaleNormal="70" workbookViewId="0">
      <selection activeCell="G18" sqref="G18"/>
    </sheetView>
  </sheetViews>
  <sheetFormatPr defaultRowHeight="17.399999999999999" x14ac:dyDescent="0.4"/>
  <cols>
    <col min="1" max="1" width="3.296875" customWidth="1"/>
    <col min="2" max="2" width="6" customWidth="1"/>
    <col min="3" max="3" width="18.19921875" bestFit="1" customWidth="1"/>
    <col min="5" max="5" width="52.3984375" bestFit="1" customWidth="1"/>
    <col min="6" max="6" width="74.19921875" bestFit="1" customWidth="1"/>
    <col min="7" max="7" width="49.59765625" customWidth="1"/>
    <col min="8" max="8" width="40.5" customWidth="1"/>
    <col min="9" max="9" width="22.69921875" customWidth="1"/>
    <col min="10" max="10" width="62.3984375" customWidth="1"/>
  </cols>
  <sheetData>
    <row r="2" spans="2:10" x14ac:dyDescent="0.4">
      <c r="B2" s="12" t="s">
        <v>26</v>
      </c>
      <c r="C2" s="12" t="s">
        <v>1</v>
      </c>
      <c r="D2" s="12" t="s">
        <v>4</v>
      </c>
      <c r="E2" s="12" t="s">
        <v>3</v>
      </c>
      <c r="F2" s="12" t="s">
        <v>58</v>
      </c>
      <c r="G2" s="12" t="s">
        <v>27</v>
      </c>
      <c r="H2" s="12" t="s">
        <v>28</v>
      </c>
      <c r="I2" s="12" t="s">
        <v>0</v>
      </c>
      <c r="J2" s="12" t="s">
        <v>2</v>
      </c>
    </row>
    <row r="3" spans="2:10" ht="52.2" x14ac:dyDescent="0.4">
      <c r="B3" s="1">
        <f>IF(C3&lt;&gt;"", ROW()-2, "")</f>
        <v>1</v>
      </c>
      <c r="C3" s="1" t="s">
        <v>248</v>
      </c>
      <c r="D3" s="1" t="s">
        <v>5</v>
      </c>
      <c r="E3" s="15" t="s">
        <v>329</v>
      </c>
      <c r="F3" s="2" t="s">
        <v>249</v>
      </c>
      <c r="G3" s="4" t="s">
        <v>250</v>
      </c>
      <c r="H3" s="8" t="s">
        <v>238</v>
      </c>
      <c r="I3" s="1" t="s">
        <v>251</v>
      </c>
      <c r="J3" s="13" t="s">
        <v>252</v>
      </c>
    </row>
    <row r="4" spans="2:10" ht="87" x14ac:dyDescent="0.4">
      <c r="B4" s="1">
        <f t="shared" ref="B4:B12" si="0">IF(C4&lt;&gt;"", ROW()-2, "")</f>
        <v>2</v>
      </c>
      <c r="C4" s="1" t="s">
        <v>259</v>
      </c>
      <c r="D4" s="1" t="s">
        <v>5</v>
      </c>
      <c r="E4" s="15" t="s">
        <v>260</v>
      </c>
      <c r="F4" s="2" t="s">
        <v>261</v>
      </c>
      <c r="G4" s="4" t="s">
        <v>262</v>
      </c>
      <c r="H4" s="8" t="s">
        <v>263</v>
      </c>
      <c r="I4" s="1" t="s">
        <v>264</v>
      </c>
      <c r="J4" s="13" t="s">
        <v>265</v>
      </c>
    </row>
    <row r="5" spans="2:10" ht="34.799999999999997" x14ac:dyDescent="0.4">
      <c r="B5" s="1">
        <f t="shared" si="0"/>
        <v>3</v>
      </c>
      <c r="C5" s="1" t="s">
        <v>266</v>
      </c>
      <c r="D5" s="1" t="s">
        <v>5</v>
      </c>
      <c r="E5" s="15" t="s">
        <v>302</v>
      </c>
      <c r="F5" s="2" t="s">
        <v>267</v>
      </c>
      <c r="G5" s="4" t="s">
        <v>268</v>
      </c>
      <c r="H5" s="8" t="s">
        <v>263</v>
      </c>
      <c r="I5" s="1" t="s">
        <v>269</v>
      </c>
      <c r="J5" s="13" t="s">
        <v>270</v>
      </c>
    </row>
    <row r="6" spans="2:10" ht="52.2" x14ac:dyDescent="0.4">
      <c r="B6" s="1">
        <f t="shared" si="0"/>
        <v>4</v>
      </c>
      <c r="C6" s="1" t="s">
        <v>301</v>
      </c>
      <c r="D6" s="1" t="s">
        <v>5</v>
      </c>
      <c r="E6" s="15" t="s">
        <v>303</v>
      </c>
      <c r="F6" s="2" t="s">
        <v>304</v>
      </c>
      <c r="G6" s="4" t="s">
        <v>305</v>
      </c>
      <c r="H6" s="8" t="s">
        <v>263</v>
      </c>
      <c r="I6" s="1" t="s">
        <v>306</v>
      </c>
      <c r="J6" s="13" t="s">
        <v>307</v>
      </c>
    </row>
    <row r="7" spans="2:10" ht="69.599999999999994" x14ac:dyDescent="0.4">
      <c r="B7" s="1">
        <f t="shared" si="0"/>
        <v>5</v>
      </c>
      <c r="C7" s="1" t="s">
        <v>175</v>
      </c>
      <c r="D7" s="1" t="s">
        <v>36</v>
      </c>
      <c r="E7" s="16" t="s">
        <v>176</v>
      </c>
      <c r="F7" s="7" t="s">
        <v>177</v>
      </c>
      <c r="G7" s="7" t="s">
        <v>178</v>
      </c>
      <c r="H7" s="1" t="s">
        <v>113</v>
      </c>
      <c r="I7" s="1" t="s">
        <v>179</v>
      </c>
      <c r="J7" s="14" t="s">
        <v>180</v>
      </c>
    </row>
    <row r="8" spans="2:10" ht="69.599999999999994" x14ac:dyDescent="0.4">
      <c r="B8" s="1">
        <f t="shared" si="0"/>
        <v>6</v>
      </c>
      <c r="C8" s="1" t="s">
        <v>175</v>
      </c>
      <c r="D8" s="1" t="s">
        <v>36</v>
      </c>
      <c r="E8" s="16" t="s">
        <v>187</v>
      </c>
      <c r="F8" s="7" t="s">
        <v>188</v>
      </c>
      <c r="G8" s="7" t="s">
        <v>189</v>
      </c>
      <c r="H8" s="1" t="s">
        <v>41</v>
      </c>
      <c r="I8" s="1" t="s">
        <v>190</v>
      </c>
      <c r="J8" s="14" t="s">
        <v>191</v>
      </c>
    </row>
    <row r="9" spans="2:10" ht="87" x14ac:dyDescent="0.4">
      <c r="B9" s="1">
        <f t="shared" si="0"/>
        <v>7</v>
      </c>
      <c r="C9" s="1" t="s">
        <v>181</v>
      </c>
      <c r="D9" s="1" t="s">
        <v>36</v>
      </c>
      <c r="E9" s="16" t="s">
        <v>182</v>
      </c>
      <c r="F9" s="7" t="s">
        <v>183</v>
      </c>
      <c r="G9" s="7" t="s">
        <v>184</v>
      </c>
      <c r="H9" s="1" t="s">
        <v>196</v>
      </c>
      <c r="I9" s="1" t="s">
        <v>185</v>
      </c>
      <c r="J9" s="14" t="s">
        <v>186</v>
      </c>
    </row>
    <row r="10" spans="2:10" ht="52.2" x14ac:dyDescent="0.4">
      <c r="B10" s="1">
        <f t="shared" si="0"/>
        <v>8</v>
      </c>
      <c r="C10" s="1" t="s">
        <v>192</v>
      </c>
      <c r="D10" s="1" t="s">
        <v>36</v>
      </c>
      <c r="E10" s="16" t="s">
        <v>193</v>
      </c>
      <c r="F10" s="7" t="s">
        <v>194</v>
      </c>
      <c r="G10" s="7" t="s">
        <v>195</v>
      </c>
      <c r="H10" s="1" t="s">
        <v>113</v>
      </c>
      <c r="I10" s="1" t="s">
        <v>197</v>
      </c>
      <c r="J10" s="14" t="s">
        <v>198</v>
      </c>
    </row>
    <row r="11" spans="2:10" ht="69.599999999999994" x14ac:dyDescent="0.4">
      <c r="B11" s="1">
        <f t="shared" si="0"/>
        <v>9</v>
      </c>
      <c r="C11" s="1" t="s">
        <v>206</v>
      </c>
      <c r="D11" s="1" t="s">
        <v>36</v>
      </c>
      <c r="E11" s="16" t="s">
        <v>207</v>
      </c>
      <c r="F11" s="7" t="s">
        <v>208</v>
      </c>
      <c r="G11" s="7" t="s">
        <v>209</v>
      </c>
      <c r="H11" s="1" t="s">
        <v>210</v>
      </c>
      <c r="I11" s="1" t="s">
        <v>212</v>
      </c>
      <c r="J11" s="14" t="s">
        <v>211</v>
      </c>
    </row>
    <row r="12" spans="2:10" ht="139.19999999999999" x14ac:dyDescent="0.4">
      <c r="B12" s="1">
        <f t="shared" si="0"/>
        <v>10</v>
      </c>
      <c r="C12" s="1" t="s">
        <v>199</v>
      </c>
      <c r="D12" s="1" t="s">
        <v>36</v>
      </c>
      <c r="E12" s="16" t="s">
        <v>200</v>
      </c>
      <c r="F12" s="7" t="s">
        <v>201</v>
      </c>
      <c r="G12" s="7" t="s">
        <v>202</v>
      </c>
      <c r="H12" s="1" t="s">
        <v>203</v>
      </c>
      <c r="I12" s="1" t="s">
        <v>204</v>
      </c>
      <c r="J12" s="14" t="s">
        <v>205</v>
      </c>
    </row>
  </sheetData>
  <phoneticPr fontId="1" type="noConversion"/>
  <hyperlinks>
    <hyperlink ref="J7" r:id="rId1" xr:uid="{89959757-369C-47D0-BB45-C30A4DFE0785}"/>
    <hyperlink ref="J8" r:id="rId2" xr:uid="{0FCC4873-A544-4F09-9B21-F3498E888A4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3DDD-56E7-4913-B57D-19055458C2BD}">
  <dimension ref="B2:J11"/>
  <sheetViews>
    <sheetView zoomScale="70" zoomScaleNormal="70" workbookViewId="0">
      <selection activeCell="G30" sqref="G30"/>
    </sheetView>
  </sheetViews>
  <sheetFormatPr defaultRowHeight="17.399999999999999" x14ac:dyDescent="0.4"/>
  <cols>
    <col min="1" max="1" width="3.296875" customWidth="1"/>
    <col min="2" max="2" width="5.59765625" bestFit="1" customWidth="1"/>
    <col min="3" max="3" width="21.796875" customWidth="1"/>
    <col min="4" max="4" width="7.59765625" bestFit="1" customWidth="1"/>
    <col min="5" max="5" width="40" customWidth="1"/>
    <col min="6" max="6" width="77.09765625" customWidth="1"/>
    <col min="7" max="7" width="69.3984375" customWidth="1"/>
    <col min="8" max="8" width="29.59765625" customWidth="1"/>
    <col min="9" max="9" width="19" bestFit="1" customWidth="1"/>
    <col min="10" max="10" width="119" bestFit="1" customWidth="1"/>
  </cols>
  <sheetData>
    <row r="2" spans="2:10" x14ac:dyDescent="0.4">
      <c r="B2" s="12" t="s">
        <v>26</v>
      </c>
      <c r="C2" s="12" t="s">
        <v>1</v>
      </c>
      <c r="D2" s="12" t="s">
        <v>4</v>
      </c>
      <c r="E2" s="12" t="s">
        <v>3</v>
      </c>
      <c r="F2" s="12" t="s">
        <v>58</v>
      </c>
      <c r="G2" s="12" t="s">
        <v>27</v>
      </c>
      <c r="H2" s="12" t="s">
        <v>28</v>
      </c>
      <c r="I2" s="12" t="s">
        <v>0</v>
      </c>
      <c r="J2" s="12" t="s">
        <v>2</v>
      </c>
    </row>
    <row r="3" spans="2:10" ht="52.2" x14ac:dyDescent="0.4">
      <c r="B3" s="1">
        <f>IF(C3&lt;&gt;"", ROW()-2, "")</f>
        <v>1</v>
      </c>
      <c r="C3" s="1" t="s">
        <v>22</v>
      </c>
      <c r="D3" s="1" t="s">
        <v>5</v>
      </c>
      <c r="E3" s="16" t="s">
        <v>60</v>
      </c>
      <c r="F3" s="7" t="s">
        <v>100</v>
      </c>
      <c r="G3" s="7" t="s">
        <v>142</v>
      </c>
      <c r="H3" s="5" t="s">
        <v>34</v>
      </c>
      <c r="I3" s="1" t="s">
        <v>21</v>
      </c>
      <c r="J3" s="14" t="s">
        <v>23</v>
      </c>
    </row>
    <row r="4" spans="2:10" ht="34.799999999999997" x14ac:dyDescent="0.4">
      <c r="B4" s="1">
        <f t="shared" ref="B4:B11" si="0">IF(C4&lt;&gt;"", ROW()-2, "")</f>
        <v>2</v>
      </c>
      <c r="C4" s="1" t="s">
        <v>22</v>
      </c>
      <c r="D4" s="1" t="s">
        <v>5</v>
      </c>
      <c r="E4" s="16" t="s">
        <v>338</v>
      </c>
      <c r="F4" s="7" t="s">
        <v>99</v>
      </c>
      <c r="G4" s="7" t="s">
        <v>143</v>
      </c>
      <c r="H4" s="1" t="s">
        <v>35</v>
      </c>
      <c r="I4" s="1" t="s">
        <v>24</v>
      </c>
      <c r="J4" s="14" t="s">
        <v>25</v>
      </c>
    </row>
    <row r="5" spans="2:10" ht="34.799999999999997" x14ac:dyDescent="0.4">
      <c r="B5" s="1">
        <f t="shared" si="0"/>
        <v>3</v>
      </c>
      <c r="C5" s="1" t="s">
        <v>10</v>
      </c>
      <c r="D5" s="1" t="s">
        <v>5</v>
      </c>
      <c r="E5" s="16" t="s">
        <v>334</v>
      </c>
      <c r="F5" s="7" t="s">
        <v>107</v>
      </c>
      <c r="G5" s="6" t="s">
        <v>11</v>
      </c>
      <c r="H5" s="9" t="s">
        <v>31</v>
      </c>
      <c r="I5" s="1" t="s">
        <v>9</v>
      </c>
      <c r="J5" s="14" t="s">
        <v>12</v>
      </c>
    </row>
    <row r="6" spans="2:10" ht="36" x14ac:dyDescent="0.4">
      <c r="B6" s="1">
        <f t="shared" si="0"/>
        <v>4</v>
      </c>
      <c r="C6" s="1" t="s">
        <v>10</v>
      </c>
      <c r="D6" s="1" t="s">
        <v>5</v>
      </c>
      <c r="E6" s="16" t="s">
        <v>335</v>
      </c>
      <c r="F6" s="7" t="s">
        <v>106</v>
      </c>
      <c r="G6" s="2" t="s">
        <v>13</v>
      </c>
      <c r="H6" s="1" t="s">
        <v>31</v>
      </c>
      <c r="I6" s="1" t="s">
        <v>9</v>
      </c>
      <c r="J6" s="14" t="s">
        <v>12</v>
      </c>
    </row>
    <row r="7" spans="2:10" ht="36" x14ac:dyDescent="0.4">
      <c r="B7" s="1">
        <f t="shared" si="0"/>
        <v>5</v>
      </c>
      <c r="C7" s="1" t="s">
        <v>10</v>
      </c>
      <c r="D7" s="1" t="s">
        <v>5</v>
      </c>
      <c r="E7" s="16" t="s">
        <v>336</v>
      </c>
      <c r="F7" s="7" t="s">
        <v>105</v>
      </c>
      <c r="G7" s="2" t="s">
        <v>14</v>
      </c>
      <c r="H7" s="1" t="s">
        <v>31</v>
      </c>
      <c r="I7" s="1" t="s">
        <v>9</v>
      </c>
      <c r="J7" s="14" t="s">
        <v>12</v>
      </c>
    </row>
    <row r="8" spans="2:10" ht="69.599999999999994" x14ac:dyDescent="0.4">
      <c r="B8" s="1">
        <f t="shared" si="0"/>
        <v>6</v>
      </c>
      <c r="C8" s="1" t="s">
        <v>157</v>
      </c>
      <c r="D8" s="1" t="s">
        <v>36</v>
      </c>
      <c r="E8" s="16" t="s">
        <v>158</v>
      </c>
      <c r="F8" s="7" t="s">
        <v>159</v>
      </c>
      <c r="G8" s="7" t="s">
        <v>160</v>
      </c>
      <c r="H8" s="1" t="s">
        <v>41</v>
      </c>
      <c r="I8" s="1" t="s">
        <v>161</v>
      </c>
      <c r="J8" s="14" t="s">
        <v>162</v>
      </c>
    </row>
    <row r="9" spans="2:10" ht="69.599999999999994" x14ac:dyDescent="0.4">
      <c r="B9" s="1">
        <f t="shared" si="0"/>
        <v>7</v>
      </c>
      <c r="C9" s="1" t="s">
        <v>87</v>
      </c>
      <c r="D9" s="1" t="s">
        <v>36</v>
      </c>
      <c r="E9" s="15" t="s">
        <v>83</v>
      </c>
      <c r="F9" s="2" t="s">
        <v>84</v>
      </c>
      <c r="G9" s="7" t="s">
        <v>150</v>
      </c>
      <c r="H9" s="1" t="s">
        <v>85</v>
      </c>
      <c r="I9" s="1" t="s">
        <v>86</v>
      </c>
      <c r="J9" s="14" t="s">
        <v>88</v>
      </c>
    </row>
    <row r="10" spans="2:10" ht="52.2" x14ac:dyDescent="0.4">
      <c r="B10" s="1">
        <f t="shared" si="0"/>
        <v>8</v>
      </c>
      <c r="C10" s="1" t="s">
        <v>87</v>
      </c>
      <c r="D10" s="1" t="s">
        <v>36</v>
      </c>
      <c r="E10" s="15" t="s">
        <v>89</v>
      </c>
      <c r="F10" s="2" t="s">
        <v>90</v>
      </c>
      <c r="G10" s="7" t="s">
        <v>151</v>
      </c>
      <c r="H10" s="1" t="s">
        <v>41</v>
      </c>
      <c r="I10" s="1" t="s">
        <v>86</v>
      </c>
      <c r="J10" s="14" t="s">
        <v>91</v>
      </c>
    </row>
    <row r="11" spans="2:10" ht="52.2" x14ac:dyDescent="0.4">
      <c r="B11" s="1">
        <f t="shared" si="0"/>
        <v>9</v>
      </c>
      <c r="C11" s="1" t="s">
        <v>320</v>
      </c>
      <c r="D11" s="1" t="s">
        <v>110</v>
      </c>
      <c r="E11" s="15" t="s">
        <v>321</v>
      </c>
      <c r="F11" s="2" t="s">
        <v>322</v>
      </c>
      <c r="G11" s="7" t="s">
        <v>323</v>
      </c>
      <c r="H11" s="1" t="s">
        <v>324</v>
      </c>
      <c r="I11" s="1" t="s">
        <v>325</v>
      </c>
      <c r="J11" s="14" t="s">
        <v>326</v>
      </c>
    </row>
  </sheetData>
  <phoneticPr fontId="1" type="noConversion"/>
  <hyperlinks>
    <hyperlink ref="J3" r:id="rId1" xr:uid="{28F6AC11-1A0F-4042-BC65-FCFE2B2A0F75}"/>
    <hyperlink ref="J4" r:id="rId2" xr:uid="{C0B0AF42-D194-4375-A220-3A37CC57257F}"/>
    <hyperlink ref="J7" r:id="rId3" xr:uid="{A5519C4E-98DC-4771-9B2D-056AC7BCAE5B}"/>
    <hyperlink ref="J6" r:id="rId4" xr:uid="{6035E7CE-E54C-43A2-BEA3-8FE654497B18}"/>
    <hyperlink ref="J5" r:id="rId5" xr:uid="{170BF9FE-BC42-47BA-A132-0334C2326D77}"/>
    <hyperlink ref="J8" r:id="rId6" xr:uid="{976156B3-3DFC-414D-AD35-9CF6F6B22FB1}"/>
    <hyperlink ref="J9" r:id="rId7" xr:uid="{160F127F-9B97-4B0C-BBFC-3976DD29B814}"/>
    <hyperlink ref="J10" r:id="rId8" xr:uid="{721F7046-B720-4964-8C92-8D9C1DF8B46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C021-AF48-495F-9378-21585CB3E1F0}">
  <dimension ref="B1:J5"/>
  <sheetViews>
    <sheetView zoomScale="70" zoomScaleNormal="70" workbookViewId="0">
      <selection activeCell="G36" sqref="G36"/>
    </sheetView>
  </sheetViews>
  <sheetFormatPr defaultRowHeight="17.399999999999999" x14ac:dyDescent="0.4"/>
  <cols>
    <col min="1" max="1" width="4" customWidth="1"/>
    <col min="2" max="2" width="5.69921875" style="1" customWidth="1"/>
    <col min="3" max="3" width="10.09765625" bestFit="1" customWidth="1"/>
    <col min="4" max="4" width="6.19921875" bestFit="1" customWidth="1"/>
    <col min="5" max="5" width="42.3984375" customWidth="1"/>
    <col min="6" max="6" width="71.59765625" style="18" customWidth="1"/>
    <col min="7" max="7" width="42.59765625" customWidth="1"/>
    <col min="8" max="8" width="29.19921875" customWidth="1"/>
    <col min="9" max="9" width="16.8984375" customWidth="1"/>
    <col min="10" max="10" width="166.69921875" bestFit="1" customWidth="1"/>
  </cols>
  <sheetData>
    <row r="1" spans="2:10" x14ac:dyDescent="0.4">
      <c r="B1"/>
      <c r="F1"/>
    </row>
    <row r="2" spans="2:10" x14ac:dyDescent="0.4">
      <c r="B2" s="12" t="s">
        <v>26</v>
      </c>
      <c r="C2" s="12" t="s">
        <v>1</v>
      </c>
      <c r="D2" s="12" t="s">
        <v>4</v>
      </c>
      <c r="E2" s="12" t="s">
        <v>3</v>
      </c>
      <c r="F2" s="12" t="s">
        <v>58</v>
      </c>
      <c r="G2" s="12" t="s">
        <v>27</v>
      </c>
      <c r="H2" s="12" t="s">
        <v>28</v>
      </c>
      <c r="I2" s="12" t="s">
        <v>0</v>
      </c>
      <c r="J2" s="12" t="s">
        <v>2</v>
      </c>
    </row>
    <row r="3" spans="2:10" ht="52.2" x14ac:dyDescent="0.4">
      <c r="B3" s="1">
        <f>IF(C3&lt;&gt;"", ROW()-2, "")</f>
        <v>1</v>
      </c>
      <c r="C3" s="1" t="s">
        <v>163</v>
      </c>
      <c r="D3" s="1" t="s">
        <v>5</v>
      </c>
      <c r="E3" s="15" t="s">
        <v>282</v>
      </c>
      <c r="F3" s="7" t="s">
        <v>283</v>
      </c>
      <c r="G3" s="4" t="s">
        <v>284</v>
      </c>
      <c r="H3" s="8" t="s">
        <v>279</v>
      </c>
      <c r="I3" s="1" t="s">
        <v>285</v>
      </c>
      <c r="J3" s="13" t="s">
        <v>286</v>
      </c>
    </row>
    <row r="4" spans="2:10" ht="52.2" x14ac:dyDescent="0.4">
      <c r="B4" s="1">
        <f t="shared" ref="B4:B5" si="0">IF(C4&lt;&gt;"", ROW()-2, "")</f>
        <v>2</v>
      </c>
      <c r="C4" s="1" t="s">
        <v>163</v>
      </c>
      <c r="D4" s="1" t="s">
        <v>36</v>
      </c>
      <c r="E4" s="16" t="s">
        <v>170</v>
      </c>
      <c r="F4" s="7" t="s">
        <v>171</v>
      </c>
      <c r="G4" s="7" t="s">
        <v>172</v>
      </c>
      <c r="H4" s="1" t="s">
        <v>41</v>
      </c>
      <c r="I4" s="1" t="s">
        <v>173</v>
      </c>
      <c r="J4" s="14" t="s">
        <v>174</v>
      </c>
    </row>
    <row r="5" spans="2:10" ht="52.2" x14ac:dyDescent="0.4">
      <c r="B5" s="1">
        <f t="shared" si="0"/>
        <v>3</v>
      </c>
      <c r="C5" s="1" t="s">
        <v>163</v>
      </c>
      <c r="D5" s="1" t="s">
        <v>36</v>
      </c>
      <c r="E5" s="16" t="s">
        <v>164</v>
      </c>
      <c r="F5" s="7" t="s">
        <v>165</v>
      </c>
      <c r="G5" s="7" t="s">
        <v>166</v>
      </c>
      <c r="H5" s="1" t="s">
        <v>167</v>
      </c>
      <c r="I5" s="1" t="s">
        <v>168</v>
      </c>
      <c r="J5" s="14" t="s">
        <v>169</v>
      </c>
    </row>
  </sheetData>
  <phoneticPr fontId="1" type="noConversion"/>
  <hyperlinks>
    <hyperlink ref="J5" r:id="rId1" xr:uid="{4FB03C6F-A4AF-42E9-AD97-811F877A0EA7}"/>
    <hyperlink ref="J4" r:id="rId2" xr:uid="{C5D7A5E5-B435-46BA-8949-B20427F3F5F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3770-688A-42C3-9244-68EBEF8E1943}">
  <dimension ref="B1:J8"/>
  <sheetViews>
    <sheetView zoomScale="70" zoomScaleNormal="70" workbookViewId="0">
      <selection activeCell="F19" sqref="F19"/>
    </sheetView>
  </sheetViews>
  <sheetFormatPr defaultRowHeight="17.399999999999999" x14ac:dyDescent="0.4"/>
  <cols>
    <col min="1" max="1" width="3.296875" customWidth="1"/>
    <col min="2" max="2" width="3.5" customWidth="1"/>
    <col min="3" max="3" width="16.296875" customWidth="1"/>
    <col min="4" max="4" width="8.19921875" customWidth="1"/>
    <col min="5" max="5" width="55.19921875" customWidth="1"/>
    <col min="6" max="6" width="81.69921875" customWidth="1"/>
    <col min="7" max="7" width="65.796875" style="18" customWidth="1"/>
    <col min="8" max="8" width="30.09765625" customWidth="1"/>
    <col min="9" max="9" width="20.5" customWidth="1"/>
    <col min="10" max="10" width="104.8984375" customWidth="1"/>
  </cols>
  <sheetData>
    <row r="1" spans="2:10" x14ac:dyDescent="0.4">
      <c r="G1"/>
    </row>
    <row r="2" spans="2:10" x14ac:dyDescent="0.4">
      <c r="B2" s="12" t="s">
        <v>26</v>
      </c>
      <c r="C2" s="12" t="s">
        <v>1</v>
      </c>
      <c r="D2" s="12" t="s">
        <v>4</v>
      </c>
      <c r="E2" s="12" t="s">
        <v>3</v>
      </c>
      <c r="F2" s="12" t="s">
        <v>58</v>
      </c>
      <c r="G2" s="12" t="s">
        <v>27</v>
      </c>
      <c r="H2" s="12" t="s">
        <v>28</v>
      </c>
      <c r="I2" s="12" t="s">
        <v>0</v>
      </c>
      <c r="J2" s="12" t="s">
        <v>2</v>
      </c>
    </row>
    <row r="3" spans="2:10" ht="52.2" x14ac:dyDescent="0.4">
      <c r="B3" s="1">
        <f>IF(C2&lt;&gt;"", ROW()-2, "")</f>
        <v>1</v>
      </c>
      <c r="C3" s="1" t="s">
        <v>7</v>
      </c>
      <c r="D3" s="1" t="s">
        <v>5</v>
      </c>
      <c r="E3" s="15" t="s">
        <v>108</v>
      </c>
      <c r="F3" s="2" t="s">
        <v>109</v>
      </c>
      <c r="G3" s="4" t="s">
        <v>138</v>
      </c>
      <c r="H3" s="8" t="s">
        <v>31</v>
      </c>
      <c r="I3" s="1" t="s">
        <v>6</v>
      </c>
      <c r="J3" s="13" t="s">
        <v>8</v>
      </c>
    </row>
    <row r="4" spans="2:10" ht="63" customHeight="1" x14ac:dyDescent="0.4">
      <c r="B4" s="1">
        <f t="shared" ref="B4:B8" si="0">IF(C3&lt;&gt;"", ROW()-2, "")</f>
        <v>2</v>
      </c>
      <c r="C4" s="1" t="s">
        <v>7</v>
      </c>
      <c r="D4" s="1" t="s">
        <v>5</v>
      </c>
      <c r="E4" s="15" t="s">
        <v>327</v>
      </c>
      <c r="F4" s="2" t="s">
        <v>236</v>
      </c>
      <c r="G4" s="4" t="s">
        <v>237</v>
      </c>
      <c r="H4" s="8" t="s">
        <v>238</v>
      </c>
      <c r="I4" s="1" t="s">
        <v>239</v>
      </c>
      <c r="J4" s="13" t="s">
        <v>240</v>
      </c>
    </row>
    <row r="5" spans="2:10" ht="34.799999999999997" x14ac:dyDescent="0.4">
      <c r="B5" s="1">
        <f t="shared" si="0"/>
        <v>3</v>
      </c>
      <c r="C5" s="1" t="s">
        <v>52</v>
      </c>
      <c r="D5" s="1" t="s">
        <v>36</v>
      </c>
      <c r="E5" s="16" t="s">
        <v>66</v>
      </c>
      <c r="F5" s="7" t="s">
        <v>93</v>
      </c>
      <c r="G5" s="7" t="s">
        <v>146</v>
      </c>
      <c r="H5" s="1" t="s">
        <v>41</v>
      </c>
      <c r="I5" s="1" t="s">
        <v>51</v>
      </c>
      <c r="J5" s="14" t="s">
        <v>53</v>
      </c>
    </row>
    <row r="6" spans="2:10" ht="52.2" x14ac:dyDescent="0.4">
      <c r="B6" s="1">
        <f t="shared" si="0"/>
        <v>4</v>
      </c>
      <c r="C6" s="1" t="s">
        <v>72</v>
      </c>
      <c r="D6" s="1" t="s">
        <v>36</v>
      </c>
      <c r="E6" s="15" t="s">
        <v>68</v>
      </c>
      <c r="F6" s="2" t="s">
        <v>69</v>
      </c>
      <c r="G6" s="7" t="s">
        <v>147</v>
      </c>
      <c r="H6" s="1" t="s">
        <v>70</v>
      </c>
      <c r="I6" s="1" t="s">
        <v>71</v>
      </c>
      <c r="J6" s="14" t="s">
        <v>73</v>
      </c>
    </row>
    <row r="7" spans="2:10" ht="69.599999999999994" x14ac:dyDescent="0.4">
      <c r="B7" s="1">
        <f t="shared" si="0"/>
        <v>5</v>
      </c>
      <c r="C7" s="1" t="s">
        <v>7</v>
      </c>
      <c r="D7" s="1" t="s">
        <v>36</v>
      </c>
      <c r="E7" s="15" t="s">
        <v>74</v>
      </c>
      <c r="F7" s="2" t="s">
        <v>75</v>
      </c>
      <c r="G7" s="7" t="s">
        <v>148</v>
      </c>
      <c r="H7" s="1" t="s">
        <v>41</v>
      </c>
      <c r="I7" s="1" t="s">
        <v>76</v>
      </c>
      <c r="J7" s="14" t="s">
        <v>77</v>
      </c>
    </row>
    <row r="8" spans="2:10" ht="69.599999999999994" x14ac:dyDescent="0.4">
      <c r="B8" s="1">
        <f t="shared" si="0"/>
        <v>6</v>
      </c>
      <c r="C8" s="1" t="s">
        <v>7</v>
      </c>
      <c r="D8" s="1" t="s">
        <v>36</v>
      </c>
      <c r="E8" s="15" t="s">
        <v>78</v>
      </c>
      <c r="F8" s="2" t="s">
        <v>79</v>
      </c>
      <c r="G8" s="7" t="s">
        <v>149</v>
      </c>
      <c r="H8" s="1" t="s">
        <v>80</v>
      </c>
      <c r="I8" s="1" t="s">
        <v>81</v>
      </c>
      <c r="J8" s="14" t="s">
        <v>82</v>
      </c>
    </row>
  </sheetData>
  <phoneticPr fontId="1" type="noConversion"/>
  <hyperlinks>
    <hyperlink ref="J3" r:id="rId1" xr:uid="{7DB5EB83-5C77-4A27-91E7-8518D43B9FB9}"/>
    <hyperlink ref="J5" r:id="rId2" xr:uid="{45901E6A-C0C3-421B-8C11-CB34B923DCE3}"/>
    <hyperlink ref="J6" r:id="rId3" xr:uid="{2FB1A2A5-0657-444C-B659-15E88832DEA1}"/>
    <hyperlink ref="J7" r:id="rId4" xr:uid="{88AEC403-9948-4206-A1C5-5BF62EF9CE58}"/>
    <hyperlink ref="J8" r:id="rId5" xr:uid="{B119F473-BD96-4C0F-BAC9-7C2DEBC38F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게임</vt:lpstr>
      <vt:lpstr>의료, 보건복지</vt:lpstr>
      <vt:lpstr>숙박(호텔)</vt:lpstr>
      <vt:lpstr>인쇄,세차</vt:lpstr>
      <vt:lpstr>택배,물류,운송</vt:lpstr>
      <vt:lpstr>식품업,제조업</vt:lpstr>
      <vt:lpstr>토지(건설)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시앤피에이치알랩14</dc:creator>
  <cp:lastModifiedBy>수연 이</cp:lastModifiedBy>
  <dcterms:created xsi:type="dcterms:W3CDTF">2025-04-24T00:55:32Z</dcterms:created>
  <dcterms:modified xsi:type="dcterms:W3CDTF">2025-05-07T09:55:53Z</dcterms:modified>
</cp:coreProperties>
</file>