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553f64e91d015d/바탕 화면/대학원_MBA/[1-1] 2025년 2학기/02_HR애널리틱스^0핵심인력관리/"/>
    </mc:Choice>
  </mc:AlternateContent>
  <xr:revisionPtr revIDLastSave="191" documentId="13_ncr:1_{54E6BAF7-B8F0-4DF3-96A4-B9E26077527C}" xr6:coauthVersionLast="47" xr6:coauthVersionMax="47" xr10:uidLastSave="{0451AA92-0693-4664-BE38-E5AC24D0A6E8}"/>
  <bookViews>
    <workbookView xWindow="-38520" yWindow="-16470" windowWidth="38640" windowHeight="21120" activeTab="2" xr2:uid="{42C674BF-E2ED-4E5F-82E0-062CD258FECF}"/>
  </bookViews>
  <sheets>
    <sheet name="Sheet1" sheetId="1" r:id="rId1"/>
    <sheet name="Sheet1 (2)" sheetId="2" r:id="rId2"/>
    <sheet name="Sheet1 (3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3" l="1"/>
  <c r="D58" i="3"/>
  <c r="E58" i="3"/>
  <c r="F58" i="3"/>
  <c r="G58" i="3"/>
  <c r="G96" i="3"/>
  <c r="G97" i="3"/>
  <c r="G98" i="3"/>
  <c r="G99" i="3"/>
  <c r="G100" i="3"/>
  <c r="G102" i="3"/>
  <c r="G103" i="3"/>
  <c r="G104" i="3"/>
  <c r="G105" i="3"/>
  <c r="G107" i="3"/>
  <c r="G108" i="3"/>
  <c r="G109" i="3"/>
  <c r="G110" i="3"/>
  <c r="G111" i="3"/>
  <c r="G112" i="3"/>
  <c r="G114" i="3"/>
  <c r="G115" i="3"/>
  <c r="G117" i="3"/>
  <c r="G118" i="3"/>
  <c r="G119" i="3"/>
  <c r="G120" i="3"/>
  <c r="G95" i="3"/>
  <c r="E90" i="3"/>
  <c r="E89" i="3"/>
  <c r="E88" i="3"/>
  <c r="E87" i="3"/>
  <c r="E86" i="3"/>
  <c r="E85" i="3"/>
  <c r="D91" i="3"/>
  <c r="C91" i="3"/>
  <c r="B91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D59" i="3"/>
  <c r="D60" i="3"/>
  <c r="M60" i="3" s="1"/>
  <c r="U60" i="3" s="1"/>
  <c r="D61" i="3"/>
  <c r="D62" i="3"/>
  <c r="D63" i="3"/>
  <c r="D64" i="3"/>
  <c r="D65" i="3"/>
  <c r="D66" i="3"/>
  <c r="Q60" i="3" s="1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M58" i="3"/>
  <c r="U58" i="3" s="1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59" i="3"/>
  <c r="C60" i="3"/>
  <c r="C61" i="3"/>
  <c r="C62" i="3"/>
  <c r="C63" i="3"/>
  <c r="M63" i="3" l="1"/>
  <c r="U63" i="3" s="1"/>
  <c r="Q61" i="3"/>
  <c r="Q59" i="3"/>
  <c r="AC58" i="3"/>
  <c r="Y59" i="3"/>
  <c r="Q58" i="3"/>
  <c r="AC61" i="3"/>
  <c r="M61" i="3"/>
  <c r="U61" i="3" s="1"/>
  <c r="M62" i="3"/>
  <c r="U62" i="3" s="1"/>
  <c r="AC60" i="3"/>
  <c r="AC59" i="3"/>
  <c r="Y58" i="3"/>
  <c r="E91" i="3"/>
  <c r="M59" i="3"/>
  <c r="U59" i="3" s="1"/>
</calcChain>
</file>

<file path=xl/sharedStrings.xml><?xml version="1.0" encoding="utf-8"?>
<sst xmlns="http://schemas.openxmlformats.org/spreadsheetml/2006/main" count="430" uniqueCount="106">
  <si>
    <t>변수</t>
  </si>
  <si>
    <t>구분</t>
  </si>
  <si>
    <t>N</t>
  </si>
  <si>
    <t>AI 업무 활용 현황</t>
  </si>
  <si>
    <t>평균</t>
  </si>
  <si>
    <t>전체</t>
  </si>
  <si>
    <t>일반현황</t>
  </si>
  <si>
    <t>에이텍</t>
  </si>
  <si>
    <t>에이텍모빌리티</t>
  </si>
  <si>
    <t>에이텍시스템</t>
  </si>
  <si>
    <t>에이텍씨엔</t>
  </si>
  <si>
    <t>에이텍오토</t>
  </si>
  <si>
    <t>에이텍컴퓨터</t>
  </si>
  <si>
    <t>경영·관리</t>
  </si>
  <si>
    <t>영업·지원</t>
  </si>
  <si>
    <t>기술·개발</t>
  </si>
  <si>
    <t>기타</t>
  </si>
  <si>
    <t>대표이사/임원</t>
  </si>
  <si>
    <t>수석</t>
  </si>
  <si>
    <t>책임</t>
  </si>
  <si>
    <t>선임</t>
  </si>
  <si>
    <t>사원</t>
  </si>
  <si>
    <t>관리자(대표/임원/센터장/파트장/팀장)</t>
  </si>
  <si>
    <t>팀원</t>
  </si>
  <si>
    <t>20대</t>
  </si>
  <si>
    <t>30대</t>
  </si>
  <si>
    <t>40대</t>
  </si>
  <si>
    <t>50대 이상</t>
  </si>
  <si>
    <t>AI 업무 활용 현황_AI활용업무효율개선경험</t>
  </si>
  <si>
    <t>AI 업무 활용 현황_AI활용업무자동화시도</t>
  </si>
  <si>
    <t>AI 업무 활용 현황_맞춤형챗본및에이전트개발경험</t>
  </si>
  <si>
    <t>AI 이해도 및 활용_AI기본개념이해도</t>
  </si>
  <si>
    <t>AI 이해도 및 활용_AI작동원리이해도</t>
  </si>
  <si>
    <t>AI 이해도 및 활용_AI활용업무효율화</t>
  </si>
  <si>
    <t>AI 이해도 및 활용_직무적합AI기술및도구이해도</t>
  </si>
  <si>
    <t>AI 이해도 및 활용_AI분석결과검토·판단경험</t>
  </si>
  <si>
    <t>AI 이해도 및 활용_AI분석결과기반의사결정검험</t>
  </si>
  <si>
    <t>AI 윤리 및 보안 인식_AI활용개인정보·보안인식</t>
  </si>
  <si>
    <t>AI 윤리 및 보안 인식_AI편향성및리스크인식</t>
  </si>
  <si>
    <t>AI 윤리 및 보안 인식_AI업로드가능데이터인식</t>
  </si>
  <si>
    <t>AI 윤리 및 보안 인식_AI활용윤리문제인식</t>
  </si>
  <si>
    <t>AI 활용 학습 및 성장 의지_AI등신기술관심도</t>
  </si>
  <si>
    <t>AI 활용 학습 및 성장 의지_AI업무활용기대감</t>
  </si>
  <si>
    <t>AI 활용 학습 및 성장 의지_AI등신기술대응및성장마인드</t>
  </si>
  <si>
    <t>AI 활용 학습 및 성장 의지_AI활용커리어개발의지</t>
  </si>
  <si>
    <t>AI 활용 학습 및 성장 의지_AI활용프로젝트참여의지</t>
  </si>
  <si>
    <t>AI 활용 학습 및 성장 의지_AI활용직무가치창출의지</t>
  </si>
  <si>
    <t>AI 활용 학습 및 성장 의지_AI교육훈련업무적용의지</t>
  </si>
  <si>
    <t>조직 문화 및 협업 환경_AI활용을위한협업의지</t>
  </si>
  <si>
    <t>조직 문화 및 협업 환경_AI활용준비도</t>
  </si>
  <si>
    <t>조직 문화 및 협업 환경_AI학습환경및제도</t>
  </si>
  <si>
    <t>조직 문화 및 협업 환경_리더의AI활용</t>
  </si>
  <si>
    <t>조직 문화 및 협업 환경_AI활용협업구조</t>
  </si>
  <si>
    <t>기업명</t>
  </si>
  <si>
    <t>직군</t>
  </si>
  <si>
    <t>직급</t>
  </si>
  <si>
    <t>직책</t>
  </si>
  <si>
    <t>연령</t>
  </si>
  <si>
    <r>
      <t xml:space="preserve">AI </t>
    </r>
    <r>
      <rPr>
        <b/>
        <sz val="9"/>
        <rFont val="맑은 고딕"/>
        <family val="3"/>
        <charset val="129"/>
      </rPr>
      <t>업무 활용 현황</t>
    </r>
    <phoneticPr fontId="6" type="noConversion"/>
  </si>
  <si>
    <r>
      <t xml:space="preserve">AI </t>
    </r>
    <r>
      <rPr>
        <b/>
        <sz val="9"/>
        <rFont val="맑은 고딕"/>
        <family val="3"/>
        <charset val="129"/>
      </rPr>
      <t>활용 역량 진단결과</t>
    </r>
    <phoneticPr fontId="6" type="noConversion"/>
  </si>
  <si>
    <t>AI 이해도 및 활용</t>
  </si>
  <si>
    <t>AI 윤리 및 보안 인식</t>
  </si>
  <si>
    <t>AI 활용 학습 및 성장 의지</t>
  </si>
  <si>
    <t>조직 문화 및 협업 환경</t>
  </si>
  <si>
    <r>
      <t xml:space="preserve">AI </t>
    </r>
    <r>
      <rPr>
        <b/>
        <sz val="9"/>
        <rFont val="맑은 고딕"/>
        <family val="3"/>
        <charset val="129"/>
      </rPr>
      <t>업무</t>
    </r>
    <r>
      <rPr>
        <b/>
        <sz val="9"/>
        <rFont val="Arial"/>
        <family val="3"/>
      </rPr>
      <t xml:space="preserve"> </t>
    </r>
    <r>
      <rPr>
        <b/>
        <sz val="9"/>
        <rFont val="맑은 고딕"/>
        <family val="3"/>
        <charset val="129"/>
      </rPr>
      <t>활용</t>
    </r>
    <r>
      <rPr>
        <b/>
        <sz val="9"/>
        <rFont val="Arial"/>
        <family val="3"/>
      </rPr>
      <t xml:space="preserve"> </t>
    </r>
    <r>
      <rPr>
        <b/>
        <sz val="9"/>
        <rFont val="맑은 고딕"/>
        <family val="3"/>
        <charset val="129"/>
      </rPr>
      <t>현황</t>
    </r>
    <phoneticPr fontId="6" type="noConversion"/>
  </si>
  <si>
    <t>AI 기본 개념 이해도</t>
  </si>
  <si>
    <t>AI 작동 원리 이해도</t>
  </si>
  <si>
    <t>AI 활용 업무 효율화</t>
  </si>
  <si>
    <t>직무 적합 AI 기술 및 도구 이해도</t>
  </si>
  <si>
    <t>AI 분석 결과 검토·판단 경험</t>
  </si>
  <si>
    <t>AI 분석 결과 기반 의사결정 검험</t>
  </si>
  <si>
    <t>AI 활용 개인정보·보안 인식</t>
  </si>
  <si>
    <t>AI 편향성 및 리스크 인식</t>
  </si>
  <si>
    <t>AI 업로드 가능 데이터 인식</t>
  </si>
  <si>
    <t>AI 활용 윤리문제 인식</t>
  </si>
  <si>
    <t>AI 등 신기술 관심도</t>
  </si>
  <si>
    <t>AI 업무 활용 기대감</t>
  </si>
  <si>
    <t>AI 등 신기술 대응 및 성장 마인드</t>
  </si>
  <si>
    <t>AI 활용 커리어 개발 의지</t>
  </si>
  <si>
    <t>AI 활용 프로젝트 참여 의지</t>
  </si>
  <si>
    <t>AI 활용 직무 가치 창출 의지</t>
  </si>
  <si>
    <t>AI 교육훈련 업무 적용 의지</t>
  </si>
  <si>
    <t>AI 활용을 위한 협업 의지</t>
  </si>
  <si>
    <t>AI 활용 준비도</t>
  </si>
  <si>
    <t>AI 학습 환경 및 제도</t>
  </si>
  <si>
    <t xml:space="preserve">리더의 AI 활용 </t>
  </si>
  <si>
    <t>AI 활용 협업 구조</t>
  </si>
  <si>
    <t>AI 활용 업무 효율 개선 경험</t>
    <phoneticPr fontId="6" type="noConversion"/>
  </si>
  <si>
    <t>AI 활용 업무 자동화 시도</t>
    <phoneticPr fontId="6" type="noConversion"/>
  </si>
  <si>
    <t>맞춤형 챗본 및 에이전트 개발 경험</t>
    <phoneticPr fontId="6" type="noConversion"/>
  </si>
  <si>
    <t>구분</t>
    <phoneticPr fontId="6" type="noConversion"/>
  </si>
  <si>
    <r>
      <t xml:space="preserve">AI </t>
    </r>
    <r>
      <rPr>
        <b/>
        <sz val="9"/>
        <rFont val="맑은 고딕"/>
        <family val="3"/>
        <charset val="129"/>
      </rPr>
      <t>활용</t>
    </r>
    <r>
      <rPr>
        <b/>
        <sz val="9"/>
        <rFont val="Arial"/>
        <family val="3"/>
      </rPr>
      <t xml:space="preserve"> </t>
    </r>
    <r>
      <rPr>
        <b/>
        <sz val="9"/>
        <rFont val="맑은 고딕"/>
        <family val="3"/>
        <charset val="129"/>
      </rPr>
      <t>역량</t>
    </r>
    <r>
      <rPr>
        <b/>
        <sz val="9"/>
        <rFont val="Arial"/>
        <family val="3"/>
      </rPr>
      <t xml:space="preserve"> </t>
    </r>
    <r>
      <rPr>
        <b/>
        <sz val="9"/>
        <rFont val="맑은 고딕"/>
        <family val="3"/>
        <charset val="129"/>
      </rPr>
      <t>진단결과</t>
    </r>
    <phoneticPr fontId="6" type="noConversion"/>
  </si>
  <si>
    <t>AI 업무 활용 현황</t>
    <phoneticPr fontId="6" type="noConversion"/>
  </si>
  <si>
    <t>에이텍</t>
    <phoneticPr fontId="6" type="noConversion"/>
  </si>
  <si>
    <t>에이텍모빌리티</t>
    <phoneticPr fontId="6" type="noConversion"/>
  </si>
  <si>
    <t>에이텍시스템</t>
    <phoneticPr fontId="6" type="noConversion"/>
  </si>
  <si>
    <t>에이텍씨엔</t>
    <phoneticPr fontId="6" type="noConversion"/>
  </si>
  <si>
    <t>에이텍오토</t>
    <phoneticPr fontId="6" type="noConversion"/>
  </si>
  <si>
    <t>에이텍컴퓨터</t>
    <phoneticPr fontId="6" type="noConversion"/>
  </si>
  <si>
    <r>
      <rPr>
        <b/>
        <sz val="9"/>
        <rFont val="맑은 고딕"/>
        <family val="2"/>
        <charset val="129"/>
      </rPr>
      <t>평균</t>
    </r>
    <phoneticPr fontId="6" type="noConversion"/>
  </si>
  <si>
    <t>종합</t>
    <phoneticPr fontId="6" type="noConversion"/>
  </si>
  <si>
    <t>AI 활용 학습 및 성장 의지</t>
    <phoneticPr fontId="6" type="noConversion"/>
  </si>
  <si>
    <t>조직 문화 및 협업 환경</t>
    <phoneticPr fontId="6" type="noConversion"/>
  </si>
  <si>
    <t>AI 이해도 및 활용</t>
    <phoneticPr fontId="6" type="noConversion"/>
  </si>
  <si>
    <t>AI 윤리 및 보안 인식</t>
    <phoneticPr fontId="6" type="noConversion"/>
  </si>
  <si>
    <t>관리자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</si>
</sst>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b/>
      <sz val="5"/>
      <color rgb="FF333333"/>
      <name val="Arial"/>
      <family val="2"/>
    </font>
    <font>
      <b/>
      <sz val="5"/>
      <color rgb="FF524946"/>
      <name val="Arial"/>
      <family val="2"/>
    </font>
    <font>
      <sz val="5"/>
      <color rgb="FF1266E3"/>
      <name val="Arial"/>
      <family val="2"/>
    </font>
    <font>
      <sz val="5"/>
      <color rgb="FF1266E3"/>
      <name val="Arial"/>
      <family val="2"/>
    </font>
    <font>
      <sz val="6"/>
      <color rgb="FF464646"/>
      <name val="Arial"/>
      <family val="2"/>
    </font>
    <font>
      <sz val="8"/>
      <name val="맑은 고딕"/>
      <family val="2"/>
      <charset val="129"/>
      <scheme val="minor"/>
    </font>
    <font>
      <b/>
      <sz val="9"/>
      <name val="Arial"/>
      <family val="3"/>
    </font>
    <font>
      <b/>
      <sz val="9"/>
      <name val="맑은 고딕"/>
      <family val="3"/>
      <charset val="129"/>
    </font>
    <font>
      <b/>
      <sz val="10"/>
      <color rgb="FFFFFF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5"/>
      <name val="Arial"/>
      <family val="2"/>
    </font>
    <font>
      <b/>
      <sz val="10"/>
      <name val="맑은 고딕"/>
      <family val="3"/>
      <charset val="129"/>
      <scheme val="minor"/>
    </font>
    <font>
      <sz val="6"/>
      <name val="Arial"/>
      <family val="2"/>
    </font>
    <font>
      <sz val="5"/>
      <name val="Arial"/>
      <family val="2"/>
    </font>
    <font>
      <b/>
      <sz val="9"/>
      <name val="맑은 고딕"/>
      <family val="2"/>
      <charset val="129"/>
    </font>
    <font>
      <sz val="6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DF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right" vertical="center" wrapText="1"/>
    </xf>
    <xf numFmtId="0" fontId="5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right" vertical="center" wrapText="1"/>
    </xf>
    <xf numFmtId="0" fontId="5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right" vertical="center" wrapText="1"/>
    </xf>
    <xf numFmtId="2" fontId="4" fillId="5" borderId="1" xfId="0" applyNumberFormat="1" applyFont="1" applyFill="1" applyBorder="1" applyAlignment="1">
      <alignment horizontal="right" vertical="center" wrapText="1"/>
    </xf>
    <xf numFmtId="2" fontId="5" fillId="2" borderId="1" xfId="0" applyNumberFormat="1" applyFont="1" applyFill="1" applyBorder="1" applyAlignment="1">
      <alignment horizontal="right" vertical="center" wrapText="1"/>
    </xf>
    <xf numFmtId="2" fontId="5" fillId="7" borderId="1" xfId="0" applyNumberFormat="1" applyFont="1" applyFill="1" applyBorder="1" applyAlignment="1">
      <alignment horizontal="right" vertical="center" wrapText="1"/>
    </xf>
    <xf numFmtId="0" fontId="10" fillId="13" borderId="1" xfId="0" applyFont="1" applyFill="1" applyBorder="1">
      <alignment vertical="center"/>
    </xf>
    <xf numFmtId="0" fontId="11" fillId="1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2" fontId="13" fillId="2" borderId="1" xfId="0" applyNumberFormat="1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13" fillId="7" borderId="1" xfId="0" applyFont="1" applyFill="1" applyBorder="1" applyAlignment="1">
      <alignment horizontal="left" vertical="center" wrapText="1"/>
    </xf>
    <xf numFmtId="2" fontId="13" fillId="7" borderId="1" xfId="0" applyNumberFormat="1" applyFont="1" applyFill="1" applyBorder="1" applyAlignment="1">
      <alignment horizontal="right" vertical="center" wrapText="1"/>
    </xf>
    <xf numFmtId="0" fontId="13" fillId="7" borderId="1" xfId="0" applyFont="1" applyFill="1" applyBorder="1" applyAlignment="1">
      <alignment horizontal="right" vertical="center" wrapText="1"/>
    </xf>
    <xf numFmtId="2" fontId="14" fillId="5" borderId="1" xfId="0" applyNumberFormat="1" applyFont="1" applyFill="1" applyBorder="1" applyAlignment="1">
      <alignment horizontal="right" vertical="center" wrapText="1"/>
    </xf>
    <xf numFmtId="0" fontId="14" fillId="5" borderId="1" xfId="0" applyFont="1" applyFill="1" applyBorder="1" applyAlignment="1">
      <alignment horizontal="right" vertical="center" wrapText="1"/>
    </xf>
    <xf numFmtId="0" fontId="7" fillId="13" borderId="1" xfId="0" applyFont="1" applyFill="1" applyBorder="1">
      <alignment vertical="center"/>
    </xf>
    <xf numFmtId="0" fontId="12" fillId="13" borderId="1" xfId="0" applyFont="1" applyFill="1" applyBorder="1">
      <alignment vertical="center"/>
    </xf>
    <xf numFmtId="2" fontId="0" fillId="0" borderId="0" xfId="0" applyNumberFormat="1">
      <alignment vertical="center"/>
    </xf>
    <xf numFmtId="2" fontId="0" fillId="0" borderId="1" xfId="0" applyNumberFormat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13" fillId="6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 wrapText="1"/>
    </xf>
    <xf numFmtId="0" fontId="7" fillId="13" borderId="7" xfId="0" applyFont="1" applyFill="1" applyBorder="1" applyAlignment="1">
      <alignment horizontal="center" vertical="center"/>
    </xf>
    <xf numFmtId="0" fontId="8" fillId="13" borderId="7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'Sheet1 (2)'!$F$29:$AA$30</c:f>
              <c:multiLvlStrCache>
                <c:ptCount val="22"/>
                <c:lvl>
                  <c:pt idx="0">
                    <c:v>AI 기본 개념 이해도</c:v>
                  </c:pt>
                  <c:pt idx="1">
                    <c:v>AI 작동 원리 이해도</c:v>
                  </c:pt>
                  <c:pt idx="2">
                    <c:v>AI 활용 업무 효율화</c:v>
                  </c:pt>
                  <c:pt idx="3">
                    <c:v>직무 적합 AI 기술 및 도구 이해도</c:v>
                  </c:pt>
                  <c:pt idx="4">
                    <c:v>AI 분석 결과 검토·판단 경험</c:v>
                  </c:pt>
                  <c:pt idx="5">
                    <c:v>AI 분석 결과 기반 의사결정 검험</c:v>
                  </c:pt>
                  <c:pt idx="6">
                    <c:v>AI 활용 개인정보·보안 인식</c:v>
                  </c:pt>
                  <c:pt idx="7">
                    <c:v>AI 편향성 및 리스크 인식</c:v>
                  </c:pt>
                  <c:pt idx="8">
                    <c:v>AI 업로드 가능 데이터 인식</c:v>
                  </c:pt>
                  <c:pt idx="9">
                    <c:v>AI 활용 윤리문제 인식</c:v>
                  </c:pt>
                  <c:pt idx="10">
                    <c:v>AI 등 신기술 관심도</c:v>
                  </c:pt>
                  <c:pt idx="11">
                    <c:v>AI 업무 활용 기대감</c:v>
                  </c:pt>
                  <c:pt idx="12">
                    <c:v>AI 등 신기술 대응 및 성장 마인드</c:v>
                  </c:pt>
                  <c:pt idx="13">
                    <c:v>AI 활용 커리어 개발 의지</c:v>
                  </c:pt>
                  <c:pt idx="14">
                    <c:v>AI 활용 프로젝트 참여 의지</c:v>
                  </c:pt>
                  <c:pt idx="15">
                    <c:v>AI 활용 직무 가치 창출 의지</c:v>
                  </c:pt>
                  <c:pt idx="16">
                    <c:v>AI 교육훈련 업무 적용 의지</c:v>
                  </c:pt>
                  <c:pt idx="17">
                    <c:v>AI 활용을 위한 협업 의지</c:v>
                  </c:pt>
                  <c:pt idx="18">
                    <c:v>AI 활용 준비도</c:v>
                  </c:pt>
                  <c:pt idx="19">
                    <c:v>AI 학습 환경 및 제도</c:v>
                  </c:pt>
                  <c:pt idx="20">
                    <c:v>리더의 AI 활용 </c:v>
                  </c:pt>
                  <c:pt idx="21">
                    <c:v>AI 활용 협업 구조</c:v>
                  </c:pt>
                </c:lvl>
                <c:lvl>
                  <c:pt idx="0">
                    <c:v>AI 이해도 및 활용</c:v>
                  </c:pt>
                  <c:pt idx="6">
                    <c:v>AI 윤리 및 보안 인식</c:v>
                  </c:pt>
                  <c:pt idx="10">
                    <c:v>AI 활용 학습 및 성장 의지</c:v>
                  </c:pt>
                  <c:pt idx="17">
                    <c:v>조직 문화 및 협업 환경</c:v>
                  </c:pt>
                </c:lvl>
              </c:multiLvlStrCache>
            </c:multiLvlStrRef>
          </c:cat>
          <c:val>
            <c:numRef>
              <c:f>'Sheet1 (2)'!$F$53:$AA$53</c:f>
              <c:numCache>
                <c:formatCode>0.00</c:formatCode>
                <c:ptCount val="22"/>
                <c:pt idx="0">
                  <c:v>3.03</c:v>
                </c:pt>
                <c:pt idx="1">
                  <c:v>2.52</c:v>
                </c:pt>
                <c:pt idx="2">
                  <c:v>2.83</c:v>
                </c:pt>
                <c:pt idx="3">
                  <c:v>2.64</c:v>
                </c:pt>
                <c:pt idx="4">
                  <c:v>2.97</c:v>
                </c:pt>
                <c:pt idx="5">
                  <c:v>2.94</c:v>
                </c:pt>
                <c:pt idx="6">
                  <c:v>3.59</c:v>
                </c:pt>
                <c:pt idx="7">
                  <c:v>3.33</c:v>
                </c:pt>
                <c:pt idx="8">
                  <c:v>3.02</c:v>
                </c:pt>
                <c:pt idx="9">
                  <c:v>3.1</c:v>
                </c:pt>
                <c:pt idx="10">
                  <c:v>3.39</c:v>
                </c:pt>
                <c:pt idx="11">
                  <c:v>3.69</c:v>
                </c:pt>
                <c:pt idx="12">
                  <c:v>3.68</c:v>
                </c:pt>
                <c:pt idx="13">
                  <c:v>3.67</c:v>
                </c:pt>
                <c:pt idx="14">
                  <c:v>3.37</c:v>
                </c:pt>
                <c:pt idx="15">
                  <c:v>3.69</c:v>
                </c:pt>
                <c:pt idx="16">
                  <c:v>3.41</c:v>
                </c:pt>
                <c:pt idx="17">
                  <c:v>3.58</c:v>
                </c:pt>
                <c:pt idx="18">
                  <c:v>2.95</c:v>
                </c:pt>
                <c:pt idx="19">
                  <c:v>2.82</c:v>
                </c:pt>
                <c:pt idx="20">
                  <c:v>3.18</c:v>
                </c:pt>
                <c:pt idx="21">
                  <c:v>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7-4189-9AD2-4030FB7C3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143791"/>
        <c:axId val="721145711"/>
      </c:barChart>
      <c:catAx>
        <c:axId val="72114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1145711"/>
        <c:crosses val="autoZero"/>
        <c:auto val="1"/>
        <c:lblAlgn val="ctr"/>
        <c:lblOffset val="100"/>
        <c:noMultiLvlLbl val="0"/>
      </c:catAx>
      <c:valAx>
        <c:axId val="72114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114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(2)'!$C$29:$C$30</c:f>
              <c:strCache>
                <c:ptCount val="2"/>
                <c:pt idx="0">
                  <c:v>AI 업무 활용 현황</c:v>
                </c:pt>
                <c:pt idx="1">
                  <c:v>AI 활용 업무 효율 개선 경험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(2)'!$B$37:$B$40</c:f>
              <c:strCache>
                <c:ptCount val="4"/>
                <c:pt idx="0">
                  <c:v>경영·관리</c:v>
                </c:pt>
                <c:pt idx="1">
                  <c:v>영업·지원</c:v>
                </c:pt>
                <c:pt idx="2">
                  <c:v>기술·개발</c:v>
                </c:pt>
                <c:pt idx="3">
                  <c:v>기타</c:v>
                </c:pt>
              </c:strCache>
            </c:strRef>
          </c:cat>
          <c:val>
            <c:numRef>
              <c:f>'Sheet1 (2)'!$C$37:$C$40</c:f>
              <c:numCache>
                <c:formatCode>0.00</c:formatCode>
                <c:ptCount val="4"/>
                <c:pt idx="0">
                  <c:v>3.02</c:v>
                </c:pt>
                <c:pt idx="1">
                  <c:v>2.86</c:v>
                </c:pt>
                <c:pt idx="2">
                  <c:v>3.09</c:v>
                </c:pt>
                <c:pt idx="3">
                  <c:v>2.58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0-4522-9C8D-A3EF5C649D20}"/>
            </c:ext>
          </c:extLst>
        </c:ser>
        <c:ser>
          <c:idx val="1"/>
          <c:order val="1"/>
          <c:tx>
            <c:strRef>
              <c:f>'Sheet1 (2)'!$D$29:$D$30</c:f>
              <c:strCache>
                <c:ptCount val="2"/>
                <c:pt idx="0">
                  <c:v>AI 업무 활용 현황</c:v>
                </c:pt>
                <c:pt idx="1">
                  <c:v>AI 활용 업무 자동화 시도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'Sheet1 (2)'!$B$37:$B$40</c:f>
              <c:strCache>
                <c:ptCount val="4"/>
                <c:pt idx="0">
                  <c:v>경영·관리</c:v>
                </c:pt>
                <c:pt idx="1">
                  <c:v>영업·지원</c:v>
                </c:pt>
                <c:pt idx="2">
                  <c:v>기술·개발</c:v>
                </c:pt>
                <c:pt idx="3">
                  <c:v>기타</c:v>
                </c:pt>
              </c:strCache>
            </c:strRef>
          </c:cat>
          <c:val>
            <c:numRef>
              <c:f>'Sheet1 (2)'!$D$37:$D$40</c:f>
              <c:numCache>
                <c:formatCode>0.00</c:formatCode>
                <c:ptCount val="4"/>
                <c:pt idx="0">
                  <c:v>2.8</c:v>
                </c:pt>
                <c:pt idx="1">
                  <c:v>2.12</c:v>
                </c:pt>
                <c:pt idx="2">
                  <c:v>2.5099999999999998</c:v>
                </c:pt>
                <c:pt idx="3">
                  <c:v>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0-4522-9C8D-A3EF5C649D20}"/>
            </c:ext>
          </c:extLst>
        </c:ser>
        <c:ser>
          <c:idx val="2"/>
          <c:order val="2"/>
          <c:tx>
            <c:strRef>
              <c:f>'Sheet1 (2)'!$E$29:$E$30</c:f>
              <c:strCache>
                <c:ptCount val="2"/>
                <c:pt idx="0">
                  <c:v>AI 업무 활용 현황</c:v>
                </c:pt>
                <c:pt idx="1">
                  <c:v>맞춤형 챗본 및 에이전트 개발 경험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'Sheet1 (2)'!$B$37:$B$40</c:f>
              <c:strCache>
                <c:ptCount val="4"/>
                <c:pt idx="0">
                  <c:v>경영·관리</c:v>
                </c:pt>
                <c:pt idx="1">
                  <c:v>영업·지원</c:v>
                </c:pt>
                <c:pt idx="2">
                  <c:v>기술·개발</c:v>
                </c:pt>
                <c:pt idx="3">
                  <c:v>기타</c:v>
                </c:pt>
              </c:strCache>
            </c:strRef>
          </c:cat>
          <c:val>
            <c:numRef>
              <c:f>'Sheet1 (2)'!$E$37:$E$40</c:f>
              <c:numCache>
                <c:formatCode>0.00</c:formatCode>
                <c:ptCount val="4"/>
                <c:pt idx="0">
                  <c:v>2.14</c:v>
                </c:pt>
                <c:pt idx="1">
                  <c:v>1.93</c:v>
                </c:pt>
                <c:pt idx="2">
                  <c:v>2.0299999999999998</c:v>
                </c:pt>
                <c:pt idx="3">
                  <c:v>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0-4522-9C8D-A3EF5C649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6195359"/>
        <c:axId val="956192479"/>
      </c:barChart>
      <c:catAx>
        <c:axId val="95619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6192479"/>
        <c:crosses val="autoZero"/>
        <c:auto val="1"/>
        <c:lblAlgn val="ctr"/>
        <c:lblOffset val="100"/>
        <c:noMultiLvlLbl val="0"/>
      </c:catAx>
      <c:valAx>
        <c:axId val="95619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619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(2)'!$C$29:$C$30</c:f>
              <c:strCache>
                <c:ptCount val="2"/>
                <c:pt idx="0">
                  <c:v>AI 업무 활용 현황</c:v>
                </c:pt>
                <c:pt idx="1">
                  <c:v>AI 활용 업무 효율 개선 경험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(2)'!$B$31:$B$36</c:f>
              <c:strCache>
                <c:ptCount val="6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</c:strCache>
            </c:strRef>
          </c:cat>
          <c:val>
            <c:numRef>
              <c:f>'Sheet1 (2)'!$C$31:$C$36</c:f>
              <c:numCache>
                <c:formatCode>0.00</c:formatCode>
                <c:ptCount val="6"/>
                <c:pt idx="0">
                  <c:v>2.88</c:v>
                </c:pt>
                <c:pt idx="1">
                  <c:v>2.97</c:v>
                </c:pt>
                <c:pt idx="2">
                  <c:v>2.95</c:v>
                </c:pt>
                <c:pt idx="3">
                  <c:v>2.9</c:v>
                </c:pt>
                <c:pt idx="4">
                  <c:v>3.16</c:v>
                </c:pt>
                <c:pt idx="5">
                  <c:v>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C-447A-A6A3-79252B369A53}"/>
            </c:ext>
          </c:extLst>
        </c:ser>
        <c:ser>
          <c:idx val="1"/>
          <c:order val="1"/>
          <c:tx>
            <c:strRef>
              <c:f>'Sheet1 (2)'!$D$29:$D$30</c:f>
              <c:strCache>
                <c:ptCount val="2"/>
                <c:pt idx="0">
                  <c:v>AI 업무 활용 현황</c:v>
                </c:pt>
                <c:pt idx="1">
                  <c:v>AI 활용 업무 자동화 시도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'Sheet1 (2)'!$B$31:$B$36</c:f>
              <c:strCache>
                <c:ptCount val="6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</c:strCache>
            </c:strRef>
          </c:cat>
          <c:val>
            <c:numRef>
              <c:f>'Sheet1 (2)'!$D$31:$D$36</c:f>
              <c:numCache>
                <c:formatCode>0.00</c:formatCode>
                <c:ptCount val="6"/>
                <c:pt idx="0">
                  <c:v>2.29</c:v>
                </c:pt>
                <c:pt idx="1">
                  <c:v>2.41</c:v>
                </c:pt>
                <c:pt idx="2">
                  <c:v>2.25</c:v>
                </c:pt>
                <c:pt idx="3">
                  <c:v>2.21</c:v>
                </c:pt>
                <c:pt idx="4">
                  <c:v>2.6</c:v>
                </c:pt>
                <c:pt idx="5">
                  <c:v>2.58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C-447A-A6A3-79252B369A53}"/>
            </c:ext>
          </c:extLst>
        </c:ser>
        <c:ser>
          <c:idx val="2"/>
          <c:order val="2"/>
          <c:tx>
            <c:strRef>
              <c:f>'Sheet1 (2)'!$E$29:$E$30</c:f>
              <c:strCache>
                <c:ptCount val="2"/>
                <c:pt idx="0">
                  <c:v>AI 업무 활용 현황</c:v>
                </c:pt>
                <c:pt idx="1">
                  <c:v>맞춤형 챗본 및 에이전트 개발 경험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'Sheet1 (2)'!$B$31:$B$36</c:f>
              <c:strCache>
                <c:ptCount val="6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</c:strCache>
            </c:strRef>
          </c:cat>
          <c:val>
            <c:numRef>
              <c:f>'Sheet1 (2)'!$E$31:$E$36</c:f>
              <c:numCache>
                <c:formatCode>0.00</c:formatCode>
                <c:ptCount val="6"/>
                <c:pt idx="0">
                  <c:v>1.93</c:v>
                </c:pt>
                <c:pt idx="1">
                  <c:v>1.99</c:v>
                </c:pt>
                <c:pt idx="2">
                  <c:v>1.87</c:v>
                </c:pt>
                <c:pt idx="3">
                  <c:v>2.0099999999999998</c:v>
                </c:pt>
                <c:pt idx="4">
                  <c:v>2.04</c:v>
                </c:pt>
                <c:pt idx="5">
                  <c:v>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7C-447A-A6A3-79252B369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826863"/>
        <c:axId val="955827823"/>
      </c:barChart>
      <c:catAx>
        <c:axId val="95582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5827823"/>
        <c:crosses val="autoZero"/>
        <c:auto val="1"/>
        <c:lblAlgn val="ctr"/>
        <c:lblOffset val="100"/>
        <c:noMultiLvlLbl val="0"/>
      </c:catAx>
      <c:valAx>
        <c:axId val="95582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582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(2)'!$C$29:$C$30</c:f>
              <c:strCache>
                <c:ptCount val="2"/>
                <c:pt idx="0">
                  <c:v>AI 업무 활용 현황</c:v>
                </c:pt>
                <c:pt idx="1">
                  <c:v>AI 활용 업무 효율 개선 경험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(2)'!$B$41:$B$45</c:f>
              <c:strCache>
                <c:ptCount val="5"/>
                <c:pt idx="0">
                  <c:v>대표이사/임원</c:v>
                </c:pt>
                <c:pt idx="1">
                  <c:v>수석</c:v>
                </c:pt>
                <c:pt idx="2">
                  <c:v>책임</c:v>
                </c:pt>
                <c:pt idx="3">
                  <c:v>선임</c:v>
                </c:pt>
                <c:pt idx="4">
                  <c:v>사원</c:v>
                </c:pt>
              </c:strCache>
            </c:strRef>
          </c:cat>
          <c:val>
            <c:numRef>
              <c:f>'Sheet1 (2)'!$C$41:$C$45</c:f>
              <c:numCache>
                <c:formatCode>0.00</c:formatCode>
                <c:ptCount val="5"/>
                <c:pt idx="0">
                  <c:v>3.15</c:v>
                </c:pt>
                <c:pt idx="1">
                  <c:v>2.74</c:v>
                </c:pt>
                <c:pt idx="2">
                  <c:v>2.85</c:v>
                </c:pt>
                <c:pt idx="3">
                  <c:v>2.91</c:v>
                </c:pt>
                <c:pt idx="4">
                  <c:v>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2-4DD5-8BDF-9E06A4634229}"/>
            </c:ext>
          </c:extLst>
        </c:ser>
        <c:ser>
          <c:idx val="1"/>
          <c:order val="1"/>
          <c:tx>
            <c:strRef>
              <c:f>'Sheet1 (2)'!$D$29:$D$30</c:f>
              <c:strCache>
                <c:ptCount val="2"/>
                <c:pt idx="0">
                  <c:v>AI 업무 활용 현황</c:v>
                </c:pt>
                <c:pt idx="1">
                  <c:v>AI 활용 업무 자동화 시도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'Sheet1 (2)'!$B$41:$B$45</c:f>
              <c:strCache>
                <c:ptCount val="5"/>
                <c:pt idx="0">
                  <c:v>대표이사/임원</c:v>
                </c:pt>
                <c:pt idx="1">
                  <c:v>수석</c:v>
                </c:pt>
                <c:pt idx="2">
                  <c:v>책임</c:v>
                </c:pt>
                <c:pt idx="3">
                  <c:v>선임</c:v>
                </c:pt>
                <c:pt idx="4">
                  <c:v>사원</c:v>
                </c:pt>
              </c:strCache>
            </c:strRef>
          </c:cat>
          <c:val>
            <c:numRef>
              <c:f>'Sheet1 (2)'!$D$41:$D$45</c:f>
              <c:numCache>
                <c:formatCode>0.00</c:formatCode>
                <c:ptCount val="5"/>
                <c:pt idx="0">
                  <c:v>2.65</c:v>
                </c:pt>
                <c:pt idx="1">
                  <c:v>2.37</c:v>
                </c:pt>
                <c:pt idx="2">
                  <c:v>2.2999999999999998</c:v>
                </c:pt>
                <c:pt idx="3">
                  <c:v>2.3199999999999998</c:v>
                </c:pt>
                <c:pt idx="4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2-4DD5-8BDF-9E06A4634229}"/>
            </c:ext>
          </c:extLst>
        </c:ser>
        <c:ser>
          <c:idx val="2"/>
          <c:order val="2"/>
          <c:tx>
            <c:strRef>
              <c:f>'Sheet1 (2)'!$E$29:$E$30</c:f>
              <c:strCache>
                <c:ptCount val="2"/>
                <c:pt idx="0">
                  <c:v>AI 업무 활용 현황</c:v>
                </c:pt>
                <c:pt idx="1">
                  <c:v>맞춤형 챗본 및 에이전트 개발 경험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'Sheet1 (2)'!$B$41:$B$45</c:f>
              <c:strCache>
                <c:ptCount val="5"/>
                <c:pt idx="0">
                  <c:v>대표이사/임원</c:v>
                </c:pt>
                <c:pt idx="1">
                  <c:v>수석</c:v>
                </c:pt>
                <c:pt idx="2">
                  <c:v>책임</c:v>
                </c:pt>
                <c:pt idx="3">
                  <c:v>선임</c:v>
                </c:pt>
                <c:pt idx="4">
                  <c:v>사원</c:v>
                </c:pt>
              </c:strCache>
            </c:strRef>
          </c:cat>
          <c:val>
            <c:numRef>
              <c:f>'Sheet1 (2)'!$E$41:$E$45</c:f>
              <c:numCache>
                <c:formatCode>0.00</c:formatCode>
                <c:ptCount val="5"/>
                <c:pt idx="0">
                  <c:v>2.15</c:v>
                </c:pt>
                <c:pt idx="1">
                  <c:v>2</c:v>
                </c:pt>
                <c:pt idx="2">
                  <c:v>1.95</c:v>
                </c:pt>
                <c:pt idx="3">
                  <c:v>2.04</c:v>
                </c:pt>
                <c:pt idx="4">
                  <c:v>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82-4DD5-8BDF-9E06A4634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725791"/>
        <c:axId val="955726271"/>
      </c:barChart>
      <c:catAx>
        <c:axId val="95572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5726271"/>
        <c:crosses val="autoZero"/>
        <c:auto val="1"/>
        <c:lblAlgn val="ctr"/>
        <c:lblOffset val="100"/>
        <c:noMultiLvlLbl val="0"/>
      </c:catAx>
      <c:valAx>
        <c:axId val="95572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572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(2)'!$B$47</c:f>
              <c:strCache>
                <c:ptCount val="1"/>
                <c:pt idx="0">
                  <c:v>관리자(대표/임원/센터장/파트장/팀장)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'Sheet1 (2)'!$C$29:$E$30</c:f>
              <c:multiLvlStrCache>
                <c:ptCount val="3"/>
                <c:lvl>
                  <c:pt idx="0">
                    <c:v>AI 활용 업무 효율 개선 경험</c:v>
                  </c:pt>
                  <c:pt idx="1">
                    <c:v>AI 활용 업무 자동화 시도</c:v>
                  </c:pt>
                  <c:pt idx="2">
                    <c:v>맞춤형 챗본 및 에이전트 개발 경험</c:v>
                  </c:pt>
                </c:lvl>
                <c:lvl>
                  <c:pt idx="0">
                    <c:v>AI 업무 활용 현황</c:v>
                  </c:pt>
                </c:lvl>
              </c:multiLvlStrCache>
            </c:multiLvlStrRef>
          </c:cat>
          <c:val>
            <c:numRef>
              <c:f>'Sheet1 (2)'!$C$47:$E$47</c:f>
              <c:numCache>
                <c:formatCode>0.00</c:formatCode>
                <c:ptCount val="3"/>
                <c:pt idx="0">
                  <c:v>3.04</c:v>
                </c:pt>
                <c:pt idx="1">
                  <c:v>2.41</c:v>
                </c:pt>
                <c:pt idx="2">
                  <c:v>2.14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0-4BA0-AA4C-8359041E8986}"/>
            </c:ext>
          </c:extLst>
        </c:ser>
        <c:ser>
          <c:idx val="1"/>
          <c:order val="1"/>
          <c:tx>
            <c:strRef>
              <c:f>'Sheet1 (2)'!$B$48</c:f>
              <c:strCache>
                <c:ptCount val="1"/>
                <c:pt idx="0">
                  <c:v>팀원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'Sheet1 (2)'!$C$29:$E$30</c:f>
              <c:multiLvlStrCache>
                <c:ptCount val="3"/>
                <c:lvl>
                  <c:pt idx="0">
                    <c:v>AI 활용 업무 효율 개선 경험</c:v>
                  </c:pt>
                  <c:pt idx="1">
                    <c:v>AI 활용 업무 자동화 시도</c:v>
                  </c:pt>
                  <c:pt idx="2">
                    <c:v>맞춤형 챗본 및 에이전트 개발 경험</c:v>
                  </c:pt>
                </c:lvl>
                <c:lvl>
                  <c:pt idx="0">
                    <c:v>AI 업무 활용 현황</c:v>
                  </c:pt>
                </c:lvl>
              </c:multiLvlStrCache>
            </c:multiLvlStrRef>
          </c:cat>
          <c:val>
            <c:numRef>
              <c:f>'Sheet1 (2)'!$C$48:$E$48</c:f>
              <c:numCache>
                <c:formatCode>0.00</c:formatCode>
                <c:ptCount val="3"/>
                <c:pt idx="0">
                  <c:v>2.89</c:v>
                </c:pt>
                <c:pt idx="1">
                  <c:v>2.2799999999999998</c:v>
                </c:pt>
                <c:pt idx="2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70-4BA0-AA4C-8359041E8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6965119"/>
        <c:axId val="966964159"/>
      </c:barChart>
      <c:catAx>
        <c:axId val="96696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6964159"/>
        <c:crosses val="autoZero"/>
        <c:auto val="1"/>
        <c:lblAlgn val="ctr"/>
        <c:lblOffset val="100"/>
        <c:noMultiLvlLbl val="0"/>
      </c:catAx>
      <c:valAx>
        <c:axId val="96696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696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(2)'!$C$29:$C$30</c:f>
              <c:strCache>
                <c:ptCount val="2"/>
                <c:pt idx="0">
                  <c:v>AI 업무 활용 현황</c:v>
                </c:pt>
                <c:pt idx="1">
                  <c:v>AI 활용 업무 효율 개선 경험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(2)'!$B$49:$B$52</c:f>
              <c:strCache>
                <c:ptCount val="4"/>
                <c:pt idx="0">
                  <c:v>20대</c:v>
                </c:pt>
                <c:pt idx="1">
                  <c:v>30대</c:v>
                </c:pt>
                <c:pt idx="2">
                  <c:v>40대</c:v>
                </c:pt>
                <c:pt idx="3">
                  <c:v>50대 이상</c:v>
                </c:pt>
              </c:strCache>
            </c:strRef>
          </c:cat>
          <c:val>
            <c:numRef>
              <c:f>'Sheet1 (2)'!$C$49:$C$52</c:f>
              <c:numCache>
                <c:formatCode>0.00</c:formatCode>
                <c:ptCount val="4"/>
                <c:pt idx="0">
                  <c:v>2.96</c:v>
                </c:pt>
                <c:pt idx="1">
                  <c:v>3.11</c:v>
                </c:pt>
                <c:pt idx="2">
                  <c:v>2.75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3-4533-8386-CE5490029D30}"/>
            </c:ext>
          </c:extLst>
        </c:ser>
        <c:ser>
          <c:idx val="1"/>
          <c:order val="1"/>
          <c:tx>
            <c:strRef>
              <c:f>'Sheet1 (2)'!$D$29:$D$30</c:f>
              <c:strCache>
                <c:ptCount val="2"/>
                <c:pt idx="0">
                  <c:v>AI 업무 활용 현황</c:v>
                </c:pt>
                <c:pt idx="1">
                  <c:v>AI 활용 업무 자동화 시도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'Sheet1 (2)'!$B$49:$B$52</c:f>
              <c:strCache>
                <c:ptCount val="4"/>
                <c:pt idx="0">
                  <c:v>20대</c:v>
                </c:pt>
                <c:pt idx="1">
                  <c:v>30대</c:v>
                </c:pt>
                <c:pt idx="2">
                  <c:v>40대</c:v>
                </c:pt>
                <c:pt idx="3">
                  <c:v>50대 이상</c:v>
                </c:pt>
              </c:strCache>
            </c:strRef>
          </c:cat>
          <c:val>
            <c:numRef>
              <c:f>'Sheet1 (2)'!$D$49:$D$52</c:f>
              <c:numCache>
                <c:formatCode>0.00</c:formatCode>
                <c:ptCount val="4"/>
                <c:pt idx="0">
                  <c:v>2.21</c:v>
                </c:pt>
                <c:pt idx="1">
                  <c:v>2.37</c:v>
                </c:pt>
                <c:pt idx="2">
                  <c:v>2.25</c:v>
                </c:pt>
                <c:pt idx="3">
                  <c:v>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73-4533-8386-CE5490029D30}"/>
            </c:ext>
          </c:extLst>
        </c:ser>
        <c:ser>
          <c:idx val="2"/>
          <c:order val="2"/>
          <c:tx>
            <c:strRef>
              <c:f>'Sheet1 (2)'!$E$29:$E$30</c:f>
              <c:strCache>
                <c:ptCount val="2"/>
                <c:pt idx="0">
                  <c:v>AI 업무 활용 현황</c:v>
                </c:pt>
                <c:pt idx="1">
                  <c:v>맞춤형 챗본 및 에이전트 개발 경험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'Sheet1 (2)'!$B$49:$B$52</c:f>
              <c:strCache>
                <c:ptCount val="4"/>
                <c:pt idx="0">
                  <c:v>20대</c:v>
                </c:pt>
                <c:pt idx="1">
                  <c:v>30대</c:v>
                </c:pt>
                <c:pt idx="2">
                  <c:v>40대</c:v>
                </c:pt>
                <c:pt idx="3">
                  <c:v>50대 이상</c:v>
                </c:pt>
              </c:strCache>
            </c:strRef>
          </c:cat>
          <c:val>
            <c:numRef>
              <c:f>'Sheet1 (2)'!$E$49:$E$52</c:f>
              <c:numCache>
                <c:formatCode>0.00</c:formatCode>
                <c:ptCount val="4"/>
                <c:pt idx="0">
                  <c:v>1.98</c:v>
                </c:pt>
                <c:pt idx="1">
                  <c:v>2.02</c:v>
                </c:pt>
                <c:pt idx="2">
                  <c:v>1.89</c:v>
                </c:pt>
                <c:pt idx="3">
                  <c:v>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73-4533-8386-CE5490029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291007"/>
        <c:axId val="965292447"/>
      </c:barChart>
      <c:catAx>
        <c:axId val="96529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5292447"/>
        <c:crosses val="autoZero"/>
        <c:auto val="1"/>
        <c:lblAlgn val="ctr"/>
        <c:lblOffset val="100"/>
        <c:noMultiLvlLbl val="0"/>
      </c:catAx>
      <c:valAx>
        <c:axId val="96529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529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'Sheet1 (2)'!$F$29:$AA$30</c:f>
              <c:multiLvlStrCache>
                <c:ptCount val="22"/>
                <c:lvl>
                  <c:pt idx="0">
                    <c:v>AI 기본 개념 이해도</c:v>
                  </c:pt>
                  <c:pt idx="1">
                    <c:v>AI 작동 원리 이해도</c:v>
                  </c:pt>
                  <c:pt idx="2">
                    <c:v>AI 활용 업무 효율화</c:v>
                  </c:pt>
                  <c:pt idx="3">
                    <c:v>직무 적합 AI 기술 및 도구 이해도</c:v>
                  </c:pt>
                  <c:pt idx="4">
                    <c:v>AI 분석 결과 검토·판단 경험</c:v>
                  </c:pt>
                  <c:pt idx="5">
                    <c:v>AI 분석 결과 기반 의사결정 검험</c:v>
                  </c:pt>
                  <c:pt idx="6">
                    <c:v>AI 활용 개인정보·보안 인식</c:v>
                  </c:pt>
                  <c:pt idx="7">
                    <c:v>AI 편향성 및 리스크 인식</c:v>
                  </c:pt>
                  <c:pt idx="8">
                    <c:v>AI 업로드 가능 데이터 인식</c:v>
                  </c:pt>
                  <c:pt idx="9">
                    <c:v>AI 활용 윤리문제 인식</c:v>
                  </c:pt>
                  <c:pt idx="10">
                    <c:v>AI 등 신기술 관심도</c:v>
                  </c:pt>
                  <c:pt idx="11">
                    <c:v>AI 업무 활용 기대감</c:v>
                  </c:pt>
                  <c:pt idx="12">
                    <c:v>AI 등 신기술 대응 및 성장 마인드</c:v>
                  </c:pt>
                  <c:pt idx="13">
                    <c:v>AI 활용 커리어 개발 의지</c:v>
                  </c:pt>
                  <c:pt idx="14">
                    <c:v>AI 활용 프로젝트 참여 의지</c:v>
                  </c:pt>
                  <c:pt idx="15">
                    <c:v>AI 활용 직무 가치 창출 의지</c:v>
                  </c:pt>
                  <c:pt idx="16">
                    <c:v>AI 교육훈련 업무 적용 의지</c:v>
                  </c:pt>
                  <c:pt idx="17">
                    <c:v>AI 활용을 위한 협업 의지</c:v>
                  </c:pt>
                  <c:pt idx="18">
                    <c:v>AI 활용 준비도</c:v>
                  </c:pt>
                  <c:pt idx="19">
                    <c:v>AI 학습 환경 및 제도</c:v>
                  </c:pt>
                  <c:pt idx="20">
                    <c:v>리더의 AI 활용 </c:v>
                  </c:pt>
                  <c:pt idx="21">
                    <c:v>AI 활용 협업 구조</c:v>
                  </c:pt>
                </c:lvl>
                <c:lvl>
                  <c:pt idx="0">
                    <c:v>AI 이해도 및 활용</c:v>
                  </c:pt>
                  <c:pt idx="6">
                    <c:v>AI 윤리 및 보안 인식</c:v>
                  </c:pt>
                  <c:pt idx="10">
                    <c:v>AI 활용 학습 및 성장 의지</c:v>
                  </c:pt>
                  <c:pt idx="17">
                    <c:v>조직 문화 및 협업 환경</c:v>
                  </c:pt>
                </c:lvl>
              </c:multiLvlStrCache>
            </c:multiLvlStrRef>
          </c:cat>
          <c:val>
            <c:numRef>
              <c:f>'Sheet1 (2)'!$F$31:$AA$31</c:f>
              <c:numCache>
                <c:formatCode>0.00</c:formatCode>
                <c:ptCount val="22"/>
                <c:pt idx="0">
                  <c:v>3.03</c:v>
                </c:pt>
                <c:pt idx="1">
                  <c:v>2.4700000000000002</c:v>
                </c:pt>
                <c:pt idx="2">
                  <c:v>2.76</c:v>
                </c:pt>
                <c:pt idx="3">
                  <c:v>2.56</c:v>
                </c:pt>
                <c:pt idx="4">
                  <c:v>2.87</c:v>
                </c:pt>
                <c:pt idx="5">
                  <c:v>2.79</c:v>
                </c:pt>
                <c:pt idx="6">
                  <c:v>3.46</c:v>
                </c:pt>
                <c:pt idx="7">
                  <c:v>3.22</c:v>
                </c:pt>
                <c:pt idx="8">
                  <c:v>2.96</c:v>
                </c:pt>
                <c:pt idx="9">
                  <c:v>3.01</c:v>
                </c:pt>
                <c:pt idx="10">
                  <c:v>3.34</c:v>
                </c:pt>
                <c:pt idx="11">
                  <c:v>3.73</c:v>
                </c:pt>
                <c:pt idx="12">
                  <c:v>3.66</c:v>
                </c:pt>
                <c:pt idx="13">
                  <c:v>3.63</c:v>
                </c:pt>
                <c:pt idx="14">
                  <c:v>3.26</c:v>
                </c:pt>
                <c:pt idx="15">
                  <c:v>3.63</c:v>
                </c:pt>
                <c:pt idx="16">
                  <c:v>3.34</c:v>
                </c:pt>
                <c:pt idx="17">
                  <c:v>3.56</c:v>
                </c:pt>
                <c:pt idx="18">
                  <c:v>2.9</c:v>
                </c:pt>
                <c:pt idx="19">
                  <c:v>2.71</c:v>
                </c:pt>
                <c:pt idx="20">
                  <c:v>3.17</c:v>
                </c:pt>
                <c:pt idx="21">
                  <c:v>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7-4A0E-9A5C-1B06E75F7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986223"/>
        <c:axId val="526988143"/>
      </c:barChart>
      <c:catAx>
        <c:axId val="52698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6988143"/>
        <c:crosses val="autoZero"/>
        <c:auto val="1"/>
        <c:lblAlgn val="ctr"/>
        <c:lblOffset val="100"/>
        <c:noMultiLvlLbl val="0"/>
      </c:catAx>
      <c:valAx>
        <c:axId val="52698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698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(3)'!$M$57</c:f>
              <c:strCache>
                <c:ptCount val="1"/>
                <c:pt idx="0">
                  <c:v>AI 활용 역량 진단결과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4" panose="02020600000000000000" pitchFamily="18" charset="-127"/>
                    <a:ea typeface="a고딕14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(3)'!$L$58:$L$63</c:f>
              <c:strCache>
                <c:ptCount val="6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</c:strCache>
            </c:strRef>
          </c:cat>
          <c:val>
            <c:numRef>
              <c:f>'Sheet1 (3)'!$M$58:$M$63</c:f>
              <c:numCache>
                <c:formatCode>0.00</c:formatCode>
                <c:ptCount val="6"/>
                <c:pt idx="0">
                  <c:v>3.1110059523809523</c:v>
                </c:pt>
                <c:pt idx="1">
                  <c:v>3.2672857142857148</c:v>
                </c:pt>
                <c:pt idx="2">
                  <c:v>3.206982142857143</c:v>
                </c:pt>
                <c:pt idx="3">
                  <c:v>3.0980714285714286</c:v>
                </c:pt>
                <c:pt idx="4">
                  <c:v>3.5176428571428575</c:v>
                </c:pt>
                <c:pt idx="5">
                  <c:v>3.2945952380952379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1-46C9-8ABF-04D78AB55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898047"/>
        <c:axId val="1614895167"/>
      </c:barChart>
      <c:catAx>
        <c:axId val="161489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4" panose="02020600000000000000" pitchFamily="18" charset="-127"/>
                <a:ea typeface="a고딕14" panose="02020600000000000000" pitchFamily="18" charset="-127"/>
                <a:cs typeface="+mn-cs"/>
              </a:defRPr>
            </a:pPr>
            <a:endParaRPr lang="ko-KR"/>
          </a:p>
        </c:txPr>
        <c:crossAx val="1614895167"/>
        <c:crosses val="autoZero"/>
        <c:auto val="1"/>
        <c:lblAlgn val="ctr"/>
        <c:lblOffset val="100"/>
        <c:noMultiLvlLbl val="0"/>
      </c:catAx>
      <c:valAx>
        <c:axId val="1614895167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4" panose="02020600000000000000" pitchFamily="18" charset="-127"/>
                <a:ea typeface="a고딕14" panose="02020600000000000000" pitchFamily="18" charset="-127"/>
                <a:cs typeface="+mn-cs"/>
              </a:defRPr>
            </a:pPr>
            <a:endParaRPr lang="ko-KR"/>
          </a:p>
        </c:txPr>
        <c:crossAx val="161489804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고딕14" panose="02020600000000000000" pitchFamily="18" charset="-127"/>
          <a:ea typeface="a고딕14" panose="02020600000000000000" pitchFamily="18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(3)'!$Q$57</c:f>
              <c:strCache>
                <c:ptCount val="1"/>
                <c:pt idx="0">
                  <c:v>AI 활용 역량 진단결과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4" panose="02020600000000000000" pitchFamily="18" charset="-127"/>
                    <a:ea typeface="a고딕14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(3)'!$P$58:$P$61</c:f>
              <c:strCache>
                <c:ptCount val="4"/>
                <c:pt idx="0">
                  <c:v>경영·관리</c:v>
                </c:pt>
                <c:pt idx="1">
                  <c:v>영업·지원</c:v>
                </c:pt>
                <c:pt idx="2">
                  <c:v>기술·개발</c:v>
                </c:pt>
                <c:pt idx="3">
                  <c:v>기타</c:v>
                </c:pt>
              </c:strCache>
            </c:strRef>
          </c:cat>
          <c:val>
            <c:numRef>
              <c:f>'Sheet1 (3)'!$Q$58:$Q$61</c:f>
              <c:numCache>
                <c:formatCode>0.00</c:formatCode>
                <c:ptCount val="4"/>
                <c:pt idx="0">
                  <c:v>3.4198869047619049</c:v>
                </c:pt>
                <c:pt idx="1">
                  <c:v>3.0592261904761906</c:v>
                </c:pt>
                <c:pt idx="2">
                  <c:v>3.3510654761904766</c:v>
                </c:pt>
                <c:pt idx="3">
                  <c:v>2.8209999999999997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E-409D-B031-3EB12602D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6959711"/>
        <c:axId val="986959231"/>
      </c:barChart>
      <c:catAx>
        <c:axId val="98695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4" panose="02020600000000000000" pitchFamily="18" charset="-127"/>
                <a:ea typeface="a고딕14" panose="02020600000000000000" pitchFamily="18" charset="-127"/>
                <a:cs typeface="+mn-cs"/>
              </a:defRPr>
            </a:pPr>
            <a:endParaRPr lang="ko-KR"/>
          </a:p>
        </c:txPr>
        <c:crossAx val="986959231"/>
        <c:crosses val="autoZero"/>
        <c:auto val="1"/>
        <c:lblAlgn val="ctr"/>
        <c:lblOffset val="100"/>
        <c:noMultiLvlLbl val="0"/>
      </c:catAx>
      <c:valAx>
        <c:axId val="986959231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4" panose="02020600000000000000" pitchFamily="18" charset="-127"/>
                <a:ea typeface="a고딕14" panose="02020600000000000000" pitchFamily="18" charset="-127"/>
                <a:cs typeface="+mn-cs"/>
              </a:defRPr>
            </a:pPr>
            <a:endParaRPr lang="ko-KR"/>
          </a:p>
        </c:txPr>
        <c:crossAx val="9869597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고딕14" panose="02020600000000000000" pitchFamily="18" charset="-127"/>
          <a:ea typeface="a고딕14" panose="02020600000000000000" pitchFamily="18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(3)'!$U$57</c:f>
              <c:strCache>
                <c:ptCount val="1"/>
                <c:pt idx="0">
                  <c:v>AI 활용 역량 진단결과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4" panose="02020600000000000000" pitchFamily="18" charset="-127"/>
                    <a:ea typeface="a고딕14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(3)'!$T$58:$T$63</c:f>
              <c:strCache>
                <c:ptCount val="6"/>
                <c:pt idx="0">
                  <c:v>대표이사/임원</c:v>
                </c:pt>
                <c:pt idx="1">
                  <c:v>수석</c:v>
                </c:pt>
                <c:pt idx="2">
                  <c:v>책임</c:v>
                </c:pt>
                <c:pt idx="3">
                  <c:v>선임</c:v>
                </c:pt>
                <c:pt idx="4">
                  <c:v>사원</c:v>
                </c:pt>
                <c:pt idx="5">
                  <c:v>기타</c:v>
                </c:pt>
              </c:strCache>
            </c:strRef>
          </c:cat>
          <c:val>
            <c:numRef>
              <c:f>'Sheet1 (3)'!$U$58:$U$63</c:f>
              <c:numCache>
                <c:formatCode>0.00</c:formatCode>
                <c:ptCount val="6"/>
                <c:pt idx="0">
                  <c:v>3.1110059523809523</c:v>
                </c:pt>
                <c:pt idx="1">
                  <c:v>3.2672857142857148</c:v>
                </c:pt>
                <c:pt idx="2">
                  <c:v>3.206982142857143</c:v>
                </c:pt>
                <c:pt idx="3">
                  <c:v>3.0980714285714286</c:v>
                </c:pt>
                <c:pt idx="4">
                  <c:v>3.5176428571428575</c:v>
                </c:pt>
                <c:pt idx="5">
                  <c:v>3.2945952380952379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2-4755-9BA4-2DC77B4E3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5556463"/>
        <c:axId val="845556943"/>
      </c:barChart>
      <c:catAx>
        <c:axId val="84555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4" panose="02020600000000000000" pitchFamily="18" charset="-127"/>
                <a:ea typeface="a고딕14" panose="02020600000000000000" pitchFamily="18" charset="-127"/>
                <a:cs typeface="+mn-cs"/>
              </a:defRPr>
            </a:pPr>
            <a:endParaRPr lang="ko-KR"/>
          </a:p>
        </c:txPr>
        <c:crossAx val="845556943"/>
        <c:crosses val="autoZero"/>
        <c:auto val="1"/>
        <c:lblAlgn val="ctr"/>
        <c:lblOffset val="100"/>
        <c:noMultiLvlLbl val="0"/>
      </c:catAx>
      <c:valAx>
        <c:axId val="845556943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4" panose="02020600000000000000" pitchFamily="18" charset="-127"/>
                <a:ea typeface="a고딕14" panose="02020600000000000000" pitchFamily="18" charset="-127"/>
                <a:cs typeface="+mn-cs"/>
              </a:defRPr>
            </a:pPr>
            <a:endParaRPr lang="ko-KR"/>
          </a:p>
        </c:txPr>
        <c:crossAx val="84555646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고딕14" panose="02020600000000000000" pitchFamily="18" charset="-127"/>
          <a:ea typeface="a고딕14" panose="02020600000000000000" pitchFamily="18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(3)'!$Y$57</c:f>
              <c:strCache>
                <c:ptCount val="1"/>
                <c:pt idx="0">
                  <c:v>AI 활용 역량 진단결과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4" panose="02020600000000000000" pitchFamily="18" charset="-127"/>
                    <a:ea typeface="a고딕14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(3)'!$X$58:$X$59</c:f>
              <c:strCache>
                <c:ptCount val="2"/>
                <c:pt idx="0">
                  <c:v>관리자</c:v>
                </c:pt>
                <c:pt idx="1">
                  <c:v>팀원</c:v>
                </c:pt>
              </c:strCache>
            </c:strRef>
          </c:cat>
          <c:val>
            <c:numRef>
              <c:f>'Sheet1 (3)'!$Y$58:$Y$59</c:f>
              <c:numCache>
                <c:formatCode>0.00</c:formatCode>
                <c:ptCount val="2"/>
                <c:pt idx="0">
                  <c:v>3.3632261904761909</c:v>
                </c:pt>
                <c:pt idx="1">
                  <c:v>3.098869047619047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8-4DCC-BD94-4102E8F51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042511"/>
        <c:axId val="847043471"/>
      </c:barChart>
      <c:catAx>
        <c:axId val="84704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4" panose="02020600000000000000" pitchFamily="18" charset="-127"/>
                <a:ea typeface="a고딕14" panose="02020600000000000000" pitchFamily="18" charset="-127"/>
                <a:cs typeface="+mn-cs"/>
              </a:defRPr>
            </a:pPr>
            <a:endParaRPr lang="ko-KR"/>
          </a:p>
        </c:txPr>
        <c:crossAx val="847043471"/>
        <c:crosses val="autoZero"/>
        <c:auto val="1"/>
        <c:lblAlgn val="ctr"/>
        <c:lblOffset val="100"/>
        <c:noMultiLvlLbl val="0"/>
      </c:catAx>
      <c:valAx>
        <c:axId val="847043471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4" panose="02020600000000000000" pitchFamily="18" charset="-127"/>
                <a:ea typeface="a고딕14" panose="02020600000000000000" pitchFamily="18" charset="-127"/>
                <a:cs typeface="+mn-cs"/>
              </a:defRPr>
            </a:pPr>
            <a:endParaRPr lang="ko-KR"/>
          </a:p>
        </c:txPr>
        <c:crossAx val="8470425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고딕14" panose="02020600000000000000" pitchFamily="18" charset="-127"/>
          <a:ea typeface="a고딕14" panose="02020600000000000000" pitchFamily="18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(3)'!$AC$57</c:f>
              <c:strCache>
                <c:ptCount val="1"/>
                <c:pt idx="0">
                  <c:v>AI 활용 역량 진단결과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4" panose="02020600000000000000" pitchFamily="18" charset="-127"/>
                    <a:ea typeface="a고딕14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(3)'!$AB$58:$AB$61</c:f>
              <c:strCache>
                <c:ptCount val="4"/>
                <c:pt idx="0">
                  <c:v>20대</c:v>
                </c:pt>
                <c:pt idx="1">
                  <c:v>30대</c:v>
                </c:pt>
                <c:pt idx="2">
                  <c:v>40대</c:v>
                </c:pt>
                <c:pt idx="3">
                  <c:v>50대 이상</c:v>
                </c:pt>
              </c:strCache>
            </c:strRef>
          </c:cat>
          <c:val>
            <c:numRef>
              <c:f>'Sheet1 (3)'!$AC$58:$AC$61</c:f>
              <c:numCache>
                <c:formatCode>0.00</c:formatCode>
                <c:ptCount val="4"/>
                <c:pt idx="0">
                  <c:v>3.312678571428572</c:v>
                </c:pt>
                <c:pt idx="1">
                  <c:v>3.1658571428571429</c:v>
                </c:pt>
                <c:pt idx="2">
                  <c:v>3.1171785714285716</c:v>
                </c:pt>
                <c:pt idx="3">
                  <c:v>3.2049940476190479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1-4EBE-8117-BC7B5C779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5684015"/>
        <c:axId val="845685935"/>
      </c:barChart>
      <c:catAx>
        <c:axId val="84568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4" panose="02020600000000000000" pitchFamily="18" charset="-127"/>
                <a:ea typeface="a고딕14" panose="02020600000000000000" pitchFamily="18" charset="-127"/>
                <a:cs typeface="+mn-cs"/>
              </a:defRPr>
            </a:pPr>
            <a:endParaRPr lang="ko-KR"/>
          </a:p>
        </c:txPr>
        <c:crossAx val="845685935"/>
        <c:crosses val="autoZero"/>
        <c:auto val="1"/>
        <c:lblAlgn val="ctr"/>
        <c:lblOffset val="100"/>
        <c:noMultiLvlLbl val="0"/>
      </c:catAx>
      <c:valAx>
        <c:axId val="845685935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4" panose="02020600000000000000" pitchFamily="18" charset="-127"/>
                <a:ea typeface="a고딕14" panose="02020600000000000000" pitchFamily="18" charset="-127"/>
                <a:cs typeface="+mn-cs"/>
              </a:defRPr>
            </a:pPr>
            <a:endParaRPr lang="ko-KR"/>
          </a:p>
        </c:txPr>
        <c:crossAx val="84568401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고딕14" panose="02020600000000000000" pitchFamily="18" charset="-127"/>
          <a:ea typeface="a고딕14" panose="02020600000000000000" pitchFamily="18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(3)'!$B$84</c:f>
              <c:strCache>
                <c:ptCount val="1"/>
                <c:pt idx="0">
                  <c:v>AI 활용 업무 효율 개선 경험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(3)'!$A$85:$A$91</c:f>
              <c:strCache>
                <c:ptCount val="7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  <c:pt idx="6">
                  <c:v>종합</c:v>
                </c:pt>
              </c:strCache>
            </c:strRef>
          </c:cat>
          <c:val>
            <c:numRef>
              <c:f>'Sheet1 (3)'!$B$85:$B$91</c:f>
              <c:numCache>
                <c:formatCode>0.00</c:formatCode>
                <c:ptCount val="7"/>
                <c:pt idx="0">
                  <c:v>2.88</c:v>
                </c:pt>
                <c:pt idx="1">
                  <c:v>2.97</c:v>
                </c:pt>
                <c:pt idx="2">
                  <c:v>2.95</c:v>
                </c:pt>
                <c:pt idx="3">
                  <c:v>2.9</c:v>
                </c:pt>
                <c:pt idx="4">
                  <c:v>3.16</c:v>
                </c:pt>
                <c:pt idx="5">
                  <c:v>3.08</c:v>
                </c:pt>
                <c:pt idx="6">
                  <c:v>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0-4A98-8666-B7706043B708}"/>
            </c:ext>
          </c:extLst>
        </c:ser>
        <c:ser>
          <c:idx val="1"/>
          <c:order val="1"/>
          <c:tx>
            <c:strRef>
              <c:f>'Sheet1 (3)'!$C$84</c:f>
              <c:strCache>
                <c:ptCount val="1"/>
                <c:pt idx="0">
                  <c:v>AI 활용 업무 자동화 시도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'Sheet1 (3)'!$A$85:$A$91</c:f>
              <c:strCache>
                <c:ptCount val="7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  <c:pt idx="6">
                  <c:v>종합</c:v>
                </c:pt>
              </c:strCache>
            </c:strRef>
          </c:cat>
          <c:val>
            <c:numRef>
              <c:f>'Sheet1 (3)'!$C$85:$C$91</c:f>
              <c:numCache>
                <c:formatCode>0.00</c:formatCode>
                <c:ptCount val="7"/>
                <c:pt idx="0">
                  <c:v>2.29</c:v>
                </c:pt>
                <c:pt idx="1">
                  <c:v>2.41</c:v>
                </c:pt>
                <c:pt idx="2">
                  <c:v>2.25</c:v>
                </c:pt>
                <c:pt idx="3">
                  <c:v>2.21</c:v>
                </c:pt>
                <c:pt idx="4">
                  <c:v>2.6</c:v>
                </c:pt>
                <c:pt idx="5">
                  <c:v>2.58</c:v>
                </c:pt>
                <c:pt idx="6">
                  <c:v>2.39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0-4A98-8666-B7706043B708}"/>
            </c:ext>
          </c:extLst>
        </c:ser>
        <c:ser>
          <c:idx val="2"/>
          <c:order val="2"/>
          <c:tx>
            <c:strRef>
              <c:f>'Sheet1 (3)'!$D$84</c:f>
              <c:strCache>
                <c:ptCount val="1"/>
                <c:pt idx="0">
                  <c:v>맞춤형 챗본 및 에이전트 개발 경험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'Sheet1 (3)'!$A$85:$A$91</c:f>
              <c:strCache>
                <c:ptCount val="7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  <c:pt idx="6">
                  <c:v>종합</c:v>
                </c:pt>
              </c:strCache>
            </c:strRef>
          </c:cat>
          <c:val>
            <c:numRef>
              <c:f>'Sheet1 (3)'!$D$85:$D$91</c:f>
              <c:numCache>
                <c:formatCode>0.00</c:formatCode>
                <c:ptCount val="7"/>
                <c:pt idx="0">
                  <c:v>1.93</c:v>
                </c:pt>
                <c:pt idx="1">
                  <c:v>1.99</c:v>
                </c:pt>
                <c:pt idx="2">
                  <c:v>1.87</c:v>
                </c:pt>
                <c:pt idx="3">
                  <c:v>2.0099999999999998</c:v>
                </c:pt>
                <c:pt idx="4">
                  <c:v>2.04</c:v>
                </c:pt>
                <c:pt idx="5">
                  <c:v>2.15</c:v>
                </c:pt>
                <c:pt idx="6">
                  <c:v>1.9983333333333333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A0-4A98-8666-B7706043B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261887"/>
        <c:axId val="758263327"/>
      </c:barChart>
      <c:lineChart>
        <c:grouping val="standard"/>
        <c:varyColors val="0"/>
        <c:ser>
          <c:idx val="3"/>
          <c:order val="3"/>
          <c:tx>
            <c:strRef>
              <c:f>'Sheet1 (3)'!$E$84</c:f>
              <c:strCache>
                <c:ptCount val="1"/>
                <c:pt idx="0">
                  <c:v>평균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(3)'!$A$85:$A$91</c:f>
              <c:strCache>
                <c:ptCount val="7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  <c:pt idx="6">
                  <c:v>종합</c:v>
                </c:pt>
              </c:strCache>
            </c:strRef>
          </c:cat>
          <c:val>
            <c:numRef>
              <c:f>'Sheet1 (3)'!$E$85:$E$91</c:f>
              <c:numCache>
                <c:formatCode>0.00</c:formatCode>
                <c:ptCount val="7"/>
                <c:pt idx="0">
                  <c:v>2.3666666666666667</c:v>
                </c:pt>
                <c:pt idx="1">
                  <c:v>2.456666666666667</c:v>
                </c:pt>
                <c:pt idx="2">
                  <c:v>2.3566666666666669</c:v>
                </c:pt>
                <c:pt idx="3">
                  <c:v>2.3733333333333331</c:v>
                </c:pt>
                <c:pt idx="4">
                  <c:v>2.6</c:v>
                </c:pt>
                <c:pt idx="5">
                  <c:v>2.6033333333333335</c:v>
                </c:pt>
                <c:pt idx="6">
                  <c:v>2.4594444444444448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A0-4A98-8666-B7706043B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8261887"/>
        <c:axId val="758263327"/>
      </c:lineChart>
      <c:catAx>
        <c:axId val="75826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8263327"/>
        <c:crosses val="autoZero"/>
        <c:auto val="1"/>
        <c:lblAlgn val="ctr"/>
        <c:lblOffset val="100"/>
        <c:noMultiLvlLbl val="0"/>
      </c:catAx>
      <c:valAx>
        <c:axId val="758263327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826188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(3)'!$B$84</c:f>
              <c:strCache>
                <c:ptCount val="1"/>
                <c:pt idx="0">
                  <c:v>AI 활용 업무 효율 개선 경험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(3)'!$A$85:$A$90</c:f>
              <c:strCache>
                <c:ptCount val="6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</c:strCache>
            </c:strRef>
          </c:cat>
          <c:val>
            <c:numRef>
              <c:f>'Sheet1 (3)'!$B$85:$B$90</c:f>
              <c:numCache>
                <c:formatCode>0.00</c:formatCode>
                <c:ptCount val="6"/>
                <c:pt idx="0">
                  <c:v>2.88</c:v>
                </c:pt>
                <c:pt idx="1">
                  <c:v>2.97</c:v>
                </c:pt>
                <c:pt idx="2">
                  <c:v>2.95</c:v>
                </c:pt>
                <c:pt idx="3">
                  <c:v>2.9</c:v>
                </c:pt>
                <c:pt idx="4">
                  <c:v>3.16</c:v>
                </c:pt>
                <c:pt idx="5">
                  <c:v>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9-431B-A323-919D0EEAD185}"/>
            </c:ext>
          </c:extLst>
        </c:ser>
        <c:ser>
          <c:idx val="1"/>
          <c:order val="1"/>
          <c:tx>
            <c:strRef>
              <c:f>'Sheet1 (3)'!$C$84</c:f>
              <c:strCache>
                <c:ptCount val="1"/>
                <c:pt idx="0">
                  <c:v>AI 활용 업무 자동화 시도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'Sheet1 (3)'!$A$85:$A$90</c:f>
              <c:strCache>
                <c:ptCount val="6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</c:strCache>
            </c:strRef>
          </c:cat>
          <c:val>
            <c:numRef>
              <c:f>'Sheet1 (3)'!$C$85:$C$90</c:f>
              <c:numCache>
                <c:formatCode>0.00</c:formatCode>
                <c:ptCount val="6"/>
                <c:pt idx="0">
                  <c:v>2.29</c:v>
                </c:pt>
                <c:pt idx="1">
                  <c:v>2.41</c:v>
                </c:pt>
                <c:pt idx="2">
                  <c:v>2.25</c:v>
                </c:pt>
                <c:pt idx="3">
                  <c:v>2.21</c:v>
                </c:pt>
                <c:pt idx="4">
                  <c:v>2.6</c:v>
                </c:pt>
                <c:pt idx="5">
                  <c:v>2.58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79-431B-A323-919D0EEAD185}"/>
            </c:ext>
          </c:extLst>
        </c:ser>
        <c:ser>
          <c:idx val="2"/>
          <c:order val="2"/>
          <c:tx>
            <c:strRef>
              <c:f>'Sheet1 (3)'!$D$84</c:f>
              <c:strCache>
                <c:ptCount val="1"/>
                <c:pt idx="0">
                  <c:v>맞춤형 챗본 및 에이전트 개발 경험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'Sheet1 (3)'!$A$85:$A$90</c:f>
              <c:strCache>
                <c:ptCount val="6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</c:strCache>
            </c:strRef>
          </c:cat>
          <c:val>
            <c:numRef>
              <c:f>'Sheet1 (3)'!$D$85:$D$90</c:f>
              <c:numCache>
                <c:formatCode>0.00</c:formatCode>
                <c:ptCount val="6"/>
                <c:pt idx="0">
                  <c:v>1.93</c:v>
                </c:pt>
                <c:pt idx="1">
                  <c:v>1.99</c:v>
                </c:pt>
                <c:pt idx="2">
                  <c:v>1.87</c:v>
                </c:pt>
                <c:pt idx="3">
                  <c:v>2.0099999999999998</c:v>
                </c:pt>
                <c:pt idx="4">
                  <c:v>2.04</c:v>
                </c:pt>
                <c:pt idx="5">
                  <c:v>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79-431B-A323-919D0EEAD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95823"/>
        <c:axId val="42196783"/>
      </c:barChart>
      <c:lineChart>
        <c:grouping val="standard"/>
        <c:varyColors val="0"/>
        <c:ser>
          <c:idx val="3"/>
          <c:order val="3"/>
          <c:tx>
            <c:strRef>
              <c:f>'Sheet1 (3)'!$E$84</c:f>
              <c:strCache>
                <c:ptCount val="1"/>
                <c:pt idx="0">
                  <c:v>평균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'Sheet1 (3)'!$A$85:$A$90</c:f>
              <c:strCache>
                <c:ptCount val="6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</c:strCache>
            </c:strRef>
          </c:cat>
          <c:val>
            <c:numRef>
              <c:f>'Sheet1 (3)'!$E$85:$E$90</c:f>
              <c:numCache>
                <c:formatCode>0.00</c:formatCode>
                <c:ptCount val="6"/>
                <c:pt idx="0">
                  <c:v>2.3666666666666667</c:v>
                </c:pt>
                <c:pt idx="1">
                  <c:v>2.456666666666667</c:v>
                </c:pt>
                <c:pt idx="2">
                  <c:v>2.3566666666666669</c:v>
                </c:pt>
                <c:pt idx="3">
                  <c:v>2.3733333333333331</c:v>
                </c:pt>
                <c:pt idx="4">
                  <c:v>2.6</c:v>
                </c:pt>
                <c:pt idx="5">
                  <c:v>2.6033333333333335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79-431B-A323-919D0EEAD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5823"/>
        <c:axId val="42196783"/>
      </c:lineChart>
      <c:catAx>
        <c:axId val="4219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196783"/>
        <c:crosses val="autoZero"/>
        <c:auto val="1"/>
        <c:lblAlgn val="ctr"/>
        <c:lblOffset val="100"/>
        <c:noMultiLvlLbl val="0"/>
      </c:catAx>
      <c:valAx>
        <c:axId val="4219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19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(3)'!$A$85:$A$90</c:f>
              <c:strCache>
                <c:ptCount val="6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</c:strCache>
            </c:strRef>
          </c:cat>
          <c:val>
            <c:numRef>
              <c:f>'Sheet1 (3)'!$E$85:$E$90</c:f>
              <c:numCache>
                <c:formatCode>0.00</c:formatCode>
                <c:ptCount val="6"/>
                <c:pt idx="0">
                  <c:v>2.3666666666666667</c:v>
                </c:pt>
                <c:pt idx="1">
                  <c:v>2.456666666666667</c:v>
                </c:pt>
                <c:pt idx="2">
                  <c:v>2.3566666666666669</c:v>
                </c:pt>
                <c:pt idx="3">
                  <c:v>2.3733333333333331</c:v>
                </c:pt>
                <c:pt idx="4">
                  <c:v>2.6</c:v>
                </c:pt>
                <c:pt idx="5">
                  <c:v>2.6033333333333335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4-4585-824C-7440F7905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3224416"/>
        <c:axId val="2143236416"/>
      </c:barChart>
      <c:catAx>
        <c:axId val="214322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43236416"/>
        <c:crosses val="autoZero"/>
        <c:auto val="1"/>
        <c:lblAlgn val="ctr"/>
        <c:lblOffset val="100"/>
        <c:noMultiLvlLbl val="0"/>
      </c:catAx>
      <c:valAx>
        <c:axId val="214323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4322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(3)'!$B$84:$D$84</c:f>
              <c:strCache>
                <c:ptCount val="3"/>
                <c:pt idx="0">
                  <c:v>AI 활용 업무 효율 개선 경험</c:v>
                </c:pt>
                <c:pt idx="1">
                  <c:v>AI 활용 업무 자동화 시도</c:v>
                </c:pt>
                <c:pt idx="2">
                  <c:v>맞춤형 챗본 및 에이전트 개발 경험</c:v>
                </c:pt>
              </c:strCache>
            </c:strRef>
          </c:cat>
          <c:val>
            <c:numRef>
              <c:f>'Sheet1 (3)'!$B$91:$D$91</c:f>
              <c:numCache>
                <c:formatCode>0.00</c:formatCode>
                <c:ptCount val="3"/>
                <c:pt idx="0">
                  <c:v>2.99</c:v>
                </c:pt>
                <c:pt idx="1">
                  <c:v>2.39</c:v>
                </c:pt>
                <c:pt idx="2">
                  <c:v>1.9983333333333333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D-4B89-ABFD-ECAB445E5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759951"/>
        <c:axId val="175764271"/>
      </c:barChart>
      <c:catAx>
        <c:axId val="17575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5764271"/>
        <c:crosses val="autoZero"/>
        <c:auto val="1"/>
        <c:lblAlgn val="ctr"/>
        <c:lblOffset val="100"/>
        <c:noMultiLvlLbl val="0"/>
      </c:catAx>
      <c:valAx>
        <c:axId val="175764271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575995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(3)'!$C$94</c:f>
              <c:strCache>
                <c:ptCount val="1"/>
                <c:pt idx="0">
                  <c:v>AI 이해도 및 활용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(3)'!$B$95:$B$100</c:f>
              <c:strCache>
                <c:ptCount val="6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</c:strCache>
            </c:strRef>
          </c:cat>
          <c:val>
            <c:numRef>
              <c:f>'Sheet1 (3)'!$C$95:$C$100</c:f>
              <c:numCache>
                <c:formatCode>0.00</c:formatCode>
                <c:ptCount val="6"/>
                <c:pt idx="0">
                  <c:v>2.7466666666666666</c:v>
                </c:pt>
                <c:pt idx="1">
                  <c:v>2.9500000000000006</c:v>
                </c:pt>
                <c:pt idx="2">
                  <c:v>2.8350000000000004</c:v>
                </c:pt>
                <c:pt idx="3">
                  <c:v>2.7399999999999998</c:v>
                </c:pt>
                <c:pt idx="4">
                  <c:v>3.06</c:v>
                </c:pt>
                <c:pt idx="5">
                  <c:v>2.9816666666666669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2-4C95-90FD-1C655EC884F7}"/>
            </c:ext>
          </c:extLst>
        </c:ser>
        <c:ser>
          <c:idx val="1"/>
          <c:order val="1"/>
          <c:tx>
            <c:strRef>
              <c:f>'Sheet1 (3)'!$D$94</c:f>
              <c:strCache>
                <c:ptCount val="1"/>
                <c:pt idx="0">
                  <c:v>AI 윤리 및 보안 인식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'Sheet1 (3)'!$B$95:$B$100</c:f>
              <c:strCache>
                <c:ptCount val="6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</c:strCache>
            </c:strRef>
          </c:cat>
          <c:val>
            <c:numRef>
              <c:f>'Sheet1 (3)'!$D$95:$D$100</c:f>
              <c:numCache>
                <c:formatCode>0.00</c:formatCode>
                <c:ptCount val="6"/>
                <c:pt idx="0">
                  <c:v>3.1625000000000001</c:v>
                </c:pt>
                <c:pt idx="1">
                  <c:v>3.31</c:v>
                </c:pt>
                <c:pt idx="2">
                  <c:v>3.3575000000000004</c:v>
                </c:pt>
                <c:pt idx="3">
                  <c:v>3.2399999999999998</c:v>
                </c:pt>
                <c:pt idx="4">
                  <c:v>3.51</c:v>
                </c:pt>
                <c:pt idx="5">
                  <c:v>3.3449999999999998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2-4C95-90FD-1C655EC884F7}"/>
            </c:ext>
          </c:extLst>
        </c:ser>
        <c:ser>
          <c:idx val="2"/>
          <c:order val="2"/>
          <c:tx>
            <c:strRef>
              <c:f>'Sheet1 (3)'!$E$94</c:f>
              <c:strCache>
                <c:ptCount val="1"/>
                <c:pt idx="0">
                  <c:v>AI 활용 학습 및 성장 의지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'Sheet1 (3)'!$B$95:$B$100</c:f>
              <c:strCache>
                <c:ptCount val="6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</c:strCache>
            </c:strRef>
          </c:cat>
          <c:val>
            <c:numRef>
              <c:f>'Sheet1 (3)'!$E$95:$E$100</c:f>
              <c:numCache>
                <c:formatCode>0.00</c:formatCode>
                <c:ptCount val="6"/>
                <c:pt idx="0">
                  <c:v>3.5128571428571425</c:v>
                </c:pt>
                <c:pt idx="1">
                  <c:v>3.6971428571428575</c:v>
                </c:pt>
                <c:pt idx="2">
                  <c:v>3.5914285714285716</c:v>
                </c:pt>
                <c:pt idx="3">
                  <c:v>3.3642857142857143</c:v>
                </c:pt>
                <c:pt idx="4">
                  <c:v>4.1485714285714286</c:v>
                </c:pt>
                <c:pt idx="5">
                  <c:v>3.6757142857142853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12-4C95-90FD-1C655EC884F7}"/>
            </c:ext>
          </c:extLst>
        </c:ser>
        <c:ser>
          <c:idx val="3"/>
          <c:order val="3"/>
          <c:tx>
            <c:strRef>
              <c:f>'Sheet1 (3)'!$F$94</c:f>
              <c:strCache>
                <c:ptCount val="1"/>
                <c:pt idx="0">
                  <c:v>조직 문화 및 협업 환경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'Sheet1 (3)'!$B$95:$B$100</c:f>
              <c:strCache>
                <c:ptCount val="6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  <c:pt idx="5">
                  <c:v>에이텍컴퓨터</c:v>
                </c:pt>
              </c:strCache>
            </c:strRef>
          </c:cat>
          <c:val>
            <c:numRef>
              <c:f>'Sheet1 (3)'!$F$95:$F$100</c:f>
              <c:numCache>
                <c:formatCode>0.00</c:formatCode>
                <c:ptCount val="6"/>
                <c:pt idx="0">
                  <c:v>3.0219999999999998</c:v>
                </c:pt>
                <c:pt idx="1">
                  <c:v>3.1120000000000001</c:v>
                </c:pt>
                <c:pt idx="2">
                  <c:v>3.0439999999999996</c:v>
                </c:pt>
                <c:pt idx="3">
                  <c:v>3.048</c:v>
                </c:pt>
                <c:pt idx="4">
                  <c:v>3.3519999999999994</c:v>
                </c:pt>
                <c:pt idx="5">
                  <c:v>3.1760000000000002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12-4C95-90FD-1C655EC88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958319"/>
        <c:axId val="477948239"/>
      </c:barChart>
      <c:lineChart>
        <c:grouping val="standard"/>
        <c:varyColors val="0"/>
        <c:ser>
          <c:idx val="4"/>
          <c:order val="4"/>
          <c:tx>
            <c:strRef>
              <c:f>'Sheet1 (3)'!$G$94</c:f>
              <c:strCache>
                <c:ptCount val="1"/>
                <c:pt idx="0">
                  <c:v>평균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(3)'!$B$95:$B$99</c:f>
              <c:strCache>
                <c:ptCount val="5"/>
                <c:pt idx="0">
                  <c:v>에이텍</c:v>
                </c:pt>
                <c:pt idx="1">
                  <c:v>에이텍모빌리티</c:v>
                </c:pt>
                <c:pt idx="2">
                  <c:v>에이텍시스템</c:v>
                </c:pt>
                <c:pt idx="3">
                  <c:v>에이텍씨엔</c:v>
                </c:pt>
                <c:pt idx="4">
                  <c:v>에이텍오토</c:v>
                </c:pt>
              </c:strCache>
            </c:strRef>
          </c:cat>
          <c:val>
            <c:numRef>
              <c:f>'Sheet1 (3)'!$G$95:$G$100</c:f>
              <c:numCache>
                <c:formatCode>0.00</c:formatCode>
                <c:ptCount val="6"/>
                <c:pt idx="0">
                  <c:v>3.1110059523809523</c:v>
                </c:pt>
                <c:pt idx="1">
                  <c:v>3.2672857142857148</c:v>
                </c:pt>
                <c:pt idx="2">
                  <c:v>3.206982142857143</c:v>
                </c:pt>
                <c:pt idx="3">
                  <c:v>3.0980714285714286</c:v>
                </c:pt>
                <c:pt idx="4">
                  <c:v>3.5176428571428575</c:v>
                </c:pt>
                <c:pt idx="5">
                  <c:v>3.2945952380952379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12-4C95-90FD-1C655EC88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3349823"/>
        <c:axId val="953345023"/>
      </c:lineChart>
      <c:catAx>
        <c:axId val="47795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948239"/>
        <c:crosses val="autoZero"/>
        <c:auto val="1"/>
        <c:lblAlgn val="ctr"/>
        <c:lblOffset val="100"/>
        <c:noMultiLvlLbl val="0"/>
      </c:catAx>
      <c:valAx>
        <c:axId val="477948239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958319"/>
        <c:crosses val="autoZero"/>
        <c:crossBetween val="between"/>
        <c:majorUnit val="1"/>
      </c:valAx>
      <c:valAx>
        <c:axId val="953345023"/>
        <c:scaling>
          <c:orientation val="minMax"/>
          <c:max val="4"/>
          <c:min val="1"/>
        </c:scaling>
        <c:delete val="0"/>
        <c:axPos val="r"/>
        <c:numFmt formatCode="#,##0.00_);[Red]\(#,##0.0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3349823"/>
        <c:crosses val="max"/>
        <c:crossBetween val="between"/>
        <c:majorUnit val="1"/>
      </c:valAx>
      <c:catAx>
        <c:axId val="9533498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334502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(3)'!$C$101</c:f>
              <c:strCache>
                <c:ptCount val="1"/>
                <c:pt idx="0">
                  <c:v>AI 이해도 및 활용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(3)'!$B$102:$B$105</c:f>
              <c:strCache>
                <c:ptCount val="4"/>
                <c:pt idx="0">
                  <c:v>경영·관리</c:v>
                </c:pt>
                <c:pt idx="1">
                  <c:v>영업·지원</c:v>
                </c:pt>
                <c:pt idx="2">
                  <c:v>기술·개발</c:v>
                </c:pt>
                <c:pt idx="3">
                  <c:v>기타</c:v>
                </c:pt>
              </c:strCache>
            </c:strRef>
          </c:cat>
          <c:val>
            <c:numRef>
              <c:f>'Sheet1 (3)'!$C$102:$C$105</c:f>
              <c:numCache>
                <c:formatCode>0.00</c:formatCode>
                <c:ptCount val="4"/>
                <c:pt idx="0">
                  <c:v>3.0283333333333338</c:v>
                </c:pt>
                <c:pt idx="1">
                  <c:v>2.6833333333333331</c:v>
                </c:pt>
                <c:pt idx="2">
                  <c:v>3.0383333333333336</c:v>
                </c:pt>
                <c:pt idx="3">
                  <c:v>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5-4A6F-BEA4-5B5F32E32DC9}"/>
            </c:ext>
          </c:extLst>
        </c:ser>
        <c:ser>
          <c:idx val="1"/>
          <c:order val="1"/>
          <c:tx>
            <c:strRef>
              <c:f>'Sheet1 (3)'!$D$101</c:f>
              <c:strCache>
                <c:ptCount val="1"/>
                <c:pt idx="0">
                  <c:v>AI 윤리 및 보안 인식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'Sheet1 (3)'!$B$102:$B$105</c:f>
              <c:strCache>
                <c:ptCount val="4"/>
                <c:pt idx="0">
                  <c:v>경영·관리</c:v>
                </c:pt>
                <c:pt idx="1">
                  <c:v>영업·지원</c:v>
                </c:pt>
                <c:pt idx="2">
                  <c:v>기술·개발</c:v>
                </c:pt>
                <c:pt idx="3">
                  <c:v>기타</c:v>
                </c:pt>
              </c:strCache>
            </c:strRef>
          </c:cat>
          <c:val>
            <c:numRef>
              <c:f>'Sheet1 (3)'!$D$102:$D$105</c:f>
              <c:numCache>
                <c:formatCode>0.00</c:formatCode>
                <c:ptCount val="4"/>
                <c:pt idx="0">
                  <c:v>3.4375</c:v>
                </c:pt>
                <c:pt idx="1">
                  <c:v>3.145</c:v>
                </c:pt>
                <c:pt idx="2">
                  <c:v>3.4624999999999995</c:v>
                </c:pt>
                <c:pt idx="3">
                  <c:v>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75-4A6F-BEA4-5B5F32E32DC9}"/>
            </c:ext>
          </c:extLst>
        </c:ser>
        <c:ser>
          <c:idx val="2"/>
          <c:order val="2"/>
          <c:tx>
            <c:strRef>
              <c:f>'Sheet1 (3)'!$E$101</c:f>
              <c:strCache>
                <c:ptCount val="1"/>
                <c:pt idx="0">
                  <c:v>AI 활용 학습 및 성장 의지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'Sheet1 (3)'!$B$102:$B$105</c:f>
              <c:strCache>
                <c:ptCount val="4"/>
                <c:pt idx="0">
                  <c:v>경영·관리</c:v>
                </c:pt>
                <c:pt idx="1">
                  <c:v>영업·지원</c:v>
                </c:pt>
                <c:pt idx="2">
                  <c:v>기술·개발</c:v>
                </c:pt>
                <c:pt idx="3">
                  <c:v>기타</c:v>
                </c:pt>
              </c:strCache>
            </c:strRef>
          </c:cat>
          <c:val>
            <c:numRef>
              <c:f>'Sheet1 (3)'!$E$102:$E$105</c:f>
              <c:numCache>
                <c:formatCode>0.00</c:formatCode>
                <c:ptCount val="4"/>
                <c:pt idx="0">
                  <c:v>3.8557142857142854</c:v>
                </c:pt>
                <c:pt idx="1">
                  <c:v>3.3985714285714286</c:v>
                </c:pt>
                <c:pt idx="2">
                  <c:v>3.7514285714285718</c:v>
                </c:pt>
                <c:pt idx="3">
                  <c:v>3.2600000000000002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75-4A6F-BEA4-5B5F32E32DC9}"/>
            </c:ext>
          </c:extLst>
        </c:ser>
        <c:ser>
          <c:idx val="3"/>
          <c:order val="3"/>
          <c:tx>
            <c:strRef>
              <c:f>'Sheet1 (3)'!$F$101</c:f>
              <c:strCache>
                <c:ptCount val="1"/>
                <c:pt idx="0">
                  <c:v>조직 문화 및 협업 환경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'Sheet1 (3)'!$B$102:$B$105</c:f>
              <c:strCache>
                <c:ptCount val="4"/>
                <c:pt idx="0">
                  <c:v>경영·관리</c:v>
                </c:pt>
                <c:pt idx="1">
                  <c:v>영업·지원</c:v>
                </c:pt>
                <c:pt idx="2">
                  <c:v>기술·개발</c:v>
                </c:pt>
                <c:pt idx="3">
                  <c:v>기타</c:v>
                </c:pt>
              </c:strCache>
            </c:strRef>
          </c:cat>
          <c:val>
            <c:numRef>
              <c:f>'Sheet1 (3)'!$F$102:$F$105</c:f>
              <c:numCache>
                <c:formatCode>0.00</c:formatCode>
                <c:ptCount val="4"/>
                <c:pt idx="0">
                  <c:v>3.3580000000000005</c:v>
                </c:pt>
                <c:pt idx="1">
                  <c:v>3.0100000000000002</c:v>
                </c:pt>
                <c:pt idx="2">
                  <c:v>3.1520000000000001</c:v>
                </c:pt>
                <c:pt idx="3">
                  <c:v>2.7540000000000004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75-4A6F-BEA4-5B5F32E32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977519"/>
        <c:axId val="477981359"/>
      </c:barChart>
      <c:lineChart>
        <c:grouping val="standard"/>
        <c:varyColors val="0"/>
        <c:ser>
          <c:idx val="4"/>
          <c:order val="4"/>
          <c:tx>
            <c:strRef>
              <c:f>'Sheet1 (3)'!$G$101</c:f>
              <c:strCache>
                <c:ptCount val="1"/>
                <c:pt idx="0">
                  <c:v>평균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(3)'!$B$102:$B$105</c:f>
              <c:strCache>
                <c:ptCount val="4"/>
                <c:pt idx="0">
                  <c:v>경영·관리</c:v>
                </c:pt>
                <c:pt idx="1">
                  <c:v>영업·지원</c:v>
                </c:pt>
                <c:pt idx="2">
                  <c:v>기술·개발</c:v>
                </c:pt>
                <c:pt idx="3">
                  <c:v>기타</c:v>
                </c:pt>
              </c:strCache>
            </c:strRef>
          </c:cat>
          <c:val>
            <c:numRef>
              <c:f>'Sheet1 (3)'!$G$102:$G$105</c:f>
              <c:numCache>
                <c:formatCode>0.00</c:formatCode>
                <c:ptCount val="4"/>
                <c:pt idx="0">
                  <c:v>3.4198869047619049</c:v>
                </c:pt>
                <c:pt idx="1">
                  <c:v>3.0592261904761906</c:v>
                </c:pt>
                <c:pt idx="2">
                  <c:v>3.3510654761904766</c:v>
                </c:pt>
                <c:pt idx="3">
                  <c:v>2.8209999999999997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75-4A6F-BEA4-5B5F32E32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173183"/>
        <c:axId val="426168383"/>
      </c:lineChart>
      <c:catAx>
        <c:axId val="47797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981359"/>
        <c:crosses val="autoZero"/>
        <c:auto val="1"/>
        <c:lblAlgn val="ctr"/>
        <c:lblOffset val="100"/>
        <c:noMultiLvlLbl val="0"/>
      </c:catAx>
      <c:valAx>
        <c:axId val="477981359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977519"/>
        <c:crosses val="autoZero"/>
        <c:crossBetween val="between"/>
        <c:majorUnit val="1"/>
      </c:valAx>
      <c:valAx>
        <c:axId val="426168383"/>
        <c:scaling>
          <c:orientation val="minMax"/>
          <c:max val="4"/>
          <c:min val="1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6173183"/>
        <c:crosses val="max"/>
        <c:crossBetween val="between"/>
        <c:majorUnit val="1"/>
      </c:valAx>
      <c:catAx>
        <c:axId val="426173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61683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(3)'!$C$106</c:f>
              <c:strCache>
                <c:ptCount val="1"/>
                <c:pt idx="0">
                  <c:v>AI 이해도 및 활용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(3)'!$B$107:$B$112</c:f>
              <c:strCache>
                <c:ptCount val="6"/>
                <c:pt idx="0">
                  <c:v>대표이사/임원</c:v>
                </c:pt>
                <c:pt idx="1">
                  <c:v>수석</c:v>
                </c:pt>
                <c:pt idx="2">
                  <c:v>책임</c:v>
                </c:pt>
                <c:pt idx="3">
                  <c:v>선임</c:v>
                </c:pt>
                <c:pt idx="4">
                  <c:v>사원</c:v>
                </c:pt>
                <c:pt idx="5">
                  <c:v>기타</c:v>
                </c:pt>
              </c:strCache>
            </c:strRef>
          </c:cat>
          <c:val>
            <c:numRef>
              <c:f>'Sheet1 (3)'!$C$107:$C$112</c:f>
              <c:numCache>
                <c:formatCode>0.00</c:formatCode>
                <c:ptCount val="6"/>
                <c:pt idx="0">
                  <c:v>3.1916666666666664</c:v>
                </c:pt>
                <c:pt idx="1">
                  <c:v>2.8683333333333336</c:v>
                </c:pt>
                <c:pt idx="2">
                  <c:v>2.7716666666666665</c:v>
                </c:pt>
                <c:pt idx="3">
                  <c:v>2.7616666666666667</c:v>
                </c:pt>
                <c:pt idx="4">
                  <c:v>2.8183333333333334</c:v>
                </c:pt>
                <c:pt idx="5">
                  <c:v>4.166666666666667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E-47A2-B19F-B92CBBC7102D}"/>
            </c:ext>
          </c:extLst>
        </c:ser>
        <c:ser>
          <c:idx val="1"/>
          <c:order val="1"/>
          <c:tx>
            <c:strRef>
              <c:f>'Sheet1 (3)'!$D$106</c:f>
              <c:strCache>
                <c:ptCount val="1"/>
                <c:pt idx="0">
                  <c:v>AI 윤리 및 보안 인식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'Sheet1 (3)'!$B$107:$B$112</c:f>
              <c:strCache>
                <c:ptCount val="6"/>
                <c:pt idx="0">
                  <c:v>대표이사/임원</c:v>
                </c:pt>
                <c:pt idx="1">
                  <c:v>수석</c:v>
                </c:pt>
                <c:pt idx="2">
                  <c:v>책임</c:v>
                </c:pt>
                <c:pt idx="3">
                  <c:v>선임</c:v>
                </c:pt>
                <c:pt idx="4">
                  <c:v>사원</c:v>
                </c:pt>
                <c:pt idx="5">
                  <c:v>기타</c:v>
                </c:pt>
              </c:strCache>
            </c:strRef>
          </c:cat>
          <c:val>
            <c:numRef>
              <c:f>'Sheet1 (3)'!$D$107:$D$112</c:f>
              <c:numCache>
                <c:formatCode>0.00</c:formatCode>
                <c:ptCount val="6"/>
                <c:pt idx="0">
                  <c:v>3.52</c:v>
                </c:pt>
                <c:pt idx="1">
                  <c:v>3.25</c:v>
                </c:pt>
                <c:pt idx="2">
                  <c:v>3.0775000000000001</c:v>
                </c:pt>
                <c:pt idx="3">
                  <c:v>3.2349999999999999</c:v>
                </c:pt>
                <c:pt idx="4">
                  <c:v>3.3899999999999997</c:v>
                </c:pt>
                <c:pt idx="5">
                  <c:v>4.125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5E-47A2-B19F-B92CBBC7102D}"/>
            </c:ext>
          </c:extLst>
        </c:ser>
        <c:ser>
          <c:idx val="2"/>
          <c:order val="2"/>
          <c:tx>
            <c:strRef>
              <c:f>'Sheet1 (3)'!$E$106</c:f>
              <c:strCache>
                <c:ptCount val="1"/>
                <c:pt idx="0">
                  <c:v>AI 활용 학습 및 성장 의지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'Sheet1 (3)'!$B$107:$B$112</c:f>
              <c:strCache>
                <c:ptCount val="6"/>
                <c:pt idx="0">
                  <c:v>대표이사/임원</c:v>
                </c:pt>
                <c:pt idx="1">
                  <c:v>수석</c:v>
                </c:pt>
                <c:pt idx="2">
                  <c:v>책임</c:v>
                </c:pt>
                <c:pt idx="3">
                  <c:v>선임</c:v>
                </c:pt>
                <c:pt idx="4">
                  <c:v>사원</c:v>
                </c:pt>
                <c:pt idx="5">
                  <c:v>기타</c:v>
                </c:pt>
              </c:strCache>
            </c:strRef>
          </c:cat>
          <c:val>
            <c:numRef>
              <c:f>'Sheet1 (3)'!$E$107:$E$112</c:f>
              <c:numCache>
                <c:formatCode>0.00</c:formatCode>
                <c:ptCount val="6"/>
                <c:pt idx="0">
                  <c:v>4.01</c:v>
                </c:pt>
                <c:pt idx="1">
                  <c:v>3.6271428571428572</c:v>
                </c:pt>
                <c:pt idx="2">
                  <c:v>3.597142857142857</c:v>
                </c:pt>
                <c:pt idx="3">
                  <c:v>3.4242857142857139</c:v>
                </c:pt>
                <c:pt idx="4">
                  <c:v>3.5514285714285712</c:v>
                </c:pt>
                <c:pt idx="5">
                  <c:v>4.1428571428571432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5E-47A2-B19F-B92CBBC7102D}"/>
            </c:ext>
          </c:extLst>
        </c:ser>
        <c:ser>
          <c:idx val="3"/>
          <c:order val="3"/>
          <c:tx>
            <c:strRef>
              <c:f>'Sheet1 (3)'!$F$106</c:f>
              <c:strCache>
                <c:ptCount val="1"/>
                <c:pt idx="0">
                  <c:v>조직 문화 및 협업 환경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'Sheet1 (3)'!$B$107:$B$112</c:f>
              <c:strCache>
                <c:ptCount val="6"/>
                <c:pt idx="0">
                  <c:v>대표이사/임원</c:v>
                </c:pt>
                <c:pt idx="1">
                  <c:v>수석</c:v>
                </c:pt>
                <c:pt idx="2">
                  <c:v>책임</c:v>
                </c:pt>
                <c:pt idx="3">
                  <c:v>선임</c:v>
                </c:pt>
                <c:pt idx="4">
                  <c:v>사원</c:v>
                </c:pt>
                <c:pt idx="5">
                  <c:v>기타</c:v>
                </c:pt>
              </c:strCache>
            </c:strRef>
          </c:cat>
          <c:val>
            <c:numRef>
              <c:f>'Sheet1 (3)'!$F$107:$F$112</c:f>
              <c:numCache>
                <c:formatCode>0.00</c:formatCode>
                <c:ptCount val="6"/>
                <c:pt idx="0">
                  <c:v>3.5780000000000003</c:v>
                </c:pt>
                <c:pt idx="1">
                  <c:v>3.2039999999999997</c:v>
                </c:pt>
                <c:pt idx="2">
                  <c:v>3.0220000000000002</c:v>
                </c:pt>
                <c:pt idx="3">
                  <c:v>3.02</c:v>
                </c:pt>
                <c:pt idx="4">
                  <c:v>3.0380000000000003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5E-47A2-B19F-B92CBBC71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913199"/>
        <c:axId val="477929519"/>
      </c:barChart>
      <c:lineChart>
        <c:grouping val="standard"/>
        <c:varyColors val="0"/>
        <c:ser>
          <c:idx val="4"/>
          <c:order val="4"/>
          <c:tx>
            <c:strRef>
              <c:f>'Sheet1 (3)'!$G$106</c:f>
              <c:strCache>
                <c:ptCount val="1"/>
                <c:pt idx="0">
                  <c:v>평균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(3)'!$B$107:$B$112</c:f>
              <c:strCache>
                <c:ptCount val="6"/>
                <c:pt idx="0">
                  <c:v>대표이사/임원</c:v>
                </c:pt>
                <c:pt idx="1">
                  <c:v>수석</c:v>
                </c:pt>
                <c:pt idx="2">
                  <c:v>책임</c:v>
                </c:pt>
                <c:pt idx="3">
                  <c:v>선임</c:v>
                </c:pt>
                <c:pt idx="4">
                  <c:v>사원</c:v>
                </c:pt>
                <c:pt idx="5">
                  <c:v>기타</c:v>
                </c:pt>
              </c:strCache>
            </c:strRef>
          </c:cat>
          <c:val>
            <c:numRef>
              <c:f>'Sheet1 (3)'!$G$107:$G$112</c:f>
              <c:numCache>
                <c:formatCode>0.00</c:formatCode>
                <c:ptCount val="6"/>
                <c:pt idx="0">
                  <c:v>3.5749166666666667</c:v>
                </c:pt>
                <c:pt idx="1">
                  <c:v>3.2373690476190475</c:v>
                </c:pt>
                <c:pt idx="2">
                  <c:v>3.1170773809523813</c:v>
                </c:pt>
                <c:pt idx="3">
                  <c:v>3.110238095238095</c:v>
                </c:pt>
                <c:pt idx="4">
                  <c:v>3.199440476190476</c:v>
                </c:pt>
                <c:pt idx="5">
                  <c:v>3.8586309523809526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5E-47A2-B19F-B92CBBC71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9771487"/>
        <c:axId val="429782527"/>
      </c:lineChart>
      <c:catAx>
        <c:axId val="47791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929519"/>
        <c:crosses val="autoZero"/>
        <c:auto val="1"/>
        <c:lblAlgn val="ctr"/>
        <c:lblOffset val="100"/>
        <c:noMultiLvlLbl val="0"/>
      </c:catAx>
      <c:valAx>
        <c:axId val="477929519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7913199"/>
        <c:crosses val="autoZero"/>
        <c:crossBetween val="between"/>
        <c:majorUnit val="1"/>
      </c:valAx>
      <c:valAx>
        <c:axId val="429782527"/>
        <c:scaling>
          <c:orientation val="minMax"/>
          <c:max val="4"/>
          <c:min val="1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29771487"/>
        <c:crosses val="max"/>
        <c:crossBetween val="between"/>
        <c:majorUnit val="1"/>
      </c:valAx>
      <c:catAx>
        <c:axId val="4297714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97825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(3)'!$C$113</c:f>
              <c:strCache>
                <c:ptCount val="1"/>
                <c:pt idx="0">
                  <c:v>AI 이해도 및 활용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(3)'!$B$114:$B$115</c:f>
              <c:strCache>
                <c:ptCount val="2"/>
                <c:pt idx="0">
                  <c:v>관리자</c:v>
                </c:pt>
                <c:pt idx="1">
                  <c:v>팀원</c:v>
                </c:pt>
              </c:strCache>
            </c:strRef>
          </c:cat>
          <c:val>
            <c:numRef>
              <c:f>'Sheet1 (3)'!$C$114:$C$115</c:f>
              <c:numCache>
                <c:formatCode>0.00</c:formatCode>
                <c:ptCount val="2"/>
                <c:pt idx="0">
                  <c:v>2.9633333333333334</c:v>
                </c:pt>
                <c:pt idx="1">
                  <c:v>2.7583333333333329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5-432F-98EA-8B61928662B5}"/>
            </c:ext>
          </c:extLst>
        </c:ser>
        <c:ser>
          <c:idx val="1"/>
          <c:order val="1"/>
          <c:tx>
            <c:strRef>
              <c:f>'Sheet1 (3)'!$D$113</c:f>
              <c:strCache>
                <c:ptCount val="1"/>
                <c:pt idx="0">
                  <c:v>AI 윤리 및 보안 인식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'Sheet1 (3)'!$B$114:$B$115</c:f>
              <c:strCache>
                <c:ptCount val="2"/>
                <c:pt idx="0">
                  <c:v>관리자</c:v>
                </c:pt>
                <c:pt idx="1">
                  <c:v>팀원</c:v>
                </c:pt>
              </c:strCache>
            </c:strRef>
          </c:cat>
          <c:val>
            <c:numRef>
              <c:f>'Sheet1 (3)'!$D$114:$D$115</c:f>
              <c:numCache>
                <c:formatCode>0.00</c:formatCode>
                <c:ptCount val="2"/>
                <c:pt idx="0">
                  <c:v>3.4049999999999998</c:v>
                </c:pt>
                <c:pt idx="1">
                  <c:v>3.1999999999999997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A5-432F-98EA-8B61928662B5}"/>
            </c:ext>
          </c:extLst>
        </c:ser>
        <c:ser>
          <c:idx val="2"/>
          <c:order val="2"/>
          <c:tx>
            <c:strRef>
              <c:f>'Sheet1 (3)'!$E$113</c:f>
              <c:strCache>
                <c:ptCount val="1"/>
                <c:pt idx="0">
                  <c:v>AI 활용 학습 및 성장 의지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'Sheet1 (3)'!$B$114:$B$115</c:f>
              <c:strCache>
                <c:ptCount val="2"/>
                <c:pt idx="0">
                  <c:v>관리자</c:v>
                </c:pt>
                <c:pt idx="1">
                  <c:v>팀원</c:v>
                </c:pt>
              </c:strCache>
            </c:strRef>
          </c:cat>
          <c:val>
            <c:numRef>
              <c:f>'Sheet1 (3)'!$E$114:$E$115</c:f>
              <c:numCache>
                <c:formatCode>0.00</c:formatCode>
                <c:ptCount val="2"/>
                <c:pt idx="0">
                  <c:v>3.7685714285714291</c:v>
                </c:pt>
                <c:pt idx="1">
                  <c:v>3.4671428571428575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A5-432F-98EA-8B61928662B5}"/>
            </c:ext>
          </c:extLst>
        </c:ser>
        <c:ser>
          <c:idx val="3"/>
          <c:order val="3"/>
          <c:tx>
            <c:strRef>
              <c:f>'Sheet1 (3)'!$F$113</c:f>
              <c:strCache>
                <c:ptCount val="1"/>
                <c:pt idx="0">
                  <c:v>조직 문화 및 협업 환경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'Sheet1 (3)'!$B$114:$B$115</c:f>
              <c:strCache>
                <c:ptCount val="2"/>
                <c:pt idx="0">
                  <c:v>관리자</c:v>
                </c:pt>
                <c:pt idx="1">
                  <c:v>팀원</c:v>
                </c:pt>
              </c:strCache>
            </c:strRef>
          </c:cat>
          <c:val>
            <c:numRef>
              <c:f>'Sheet1 (3)'!$F$114:$F$115</c:f>
              <c:numCache>
                <c:formatCode>0.00</c:formatCode>
                <c:ptCount val="2"/>
                <c:pt idx="0">
                  <c:v>3.3160000000000003</c:v>
                </c:pt>
                <c:pt idx="1">
                  <c:v>2.9699999999999998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A5-432F-98EA-8B6192866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11455183"/>
        <c:axId val="311456623"/>
      </c:barChart>
      <c:lineChart>
        <c:grouping val="standard"/>
        <c:varyColors val="0"/>
        <c:ser>
          <c:idx val="4"/>
          <c:order val="4"/>
          <c:tx>
            <c:strRef>
              <c:f>'Sheet1 (3)'!$G$113</c:f>
              <c:strCache>
                <c:ptCount val="1"/>
                <c:pt idx="0">
                  <c:v>평균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(3)'!$B$114:$B$115</c:f>
              <c:strCache>
                <c:ptCount val="2"/>
                <c:pt idx="0">
                  <c:v>관리자</c:v>
                </c:pt>
                <c:pt idx="1">
                  <c:v>팀원</c:v>
                </c:pt>
              </c:strCache>
            </c:strRef>
          </c:cat>
          <c:val>
            <c:numRef>
              <c:f>'Sheet1 (3)'!$G$114:$G$115</c:f>
              <c:numCache>
                <c:formatCode>0.00</c:formatCode>
                <c:ptCount val="2"/>
                <c:pt idx="0">
                  <c:v>3.3632261904761909</c:v>
                </c:pt>
                <c:pt idx="1">
                  <c:v>3.098869047619047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8A5-432F-98EA-8B6192866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474383"/>
        <c:axId val="311468623"/>
      </c:lineChart>
      <c:catAx>
        <c:axId val="31145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1456623"/>
        <c:crosses val="autoZero"/>
        <c:auto val="1"/>
        <c:lblAlgn val="ctr"/>
        <c:lblOffset val="100"/>
        <c:noMultiLvlLbl val="0"/>
      </c:catAx>
      <c:valAx>
        <c:axId val="311456623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1455183"/>
        <c:crosses val="autoZero"/>
        <c:crossBetween val="between"/>
        <c:majorUnit val="1"/>
      </c:valAx>
      <c:valAx>
        <c:axId val="311468623"/>
        <c:scaling>
          <c:orientation val="minMax"/>
          <c:max val="4"/>
          <c:min val="1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1474383"/>
        <c:crosses val="max"/>
        <c:crossBetween val="between"/>
      </c:valAx>
      <c:catAx>
        <c:axId val="3114743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146862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(3)'!$C$116</c:f>
              <c:strCache>
                <c:ptCount val="1"/>
                <c:pt idx="0">
                  <c:v>AI 이해도 및 활용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(3)'!$B$117:$B$120</c:f>
              <c:strCache>
                <c:ptCount val="4"/>
                <c:pt idx="0">
                  <c:v>20대</c:v>
                </c:pt>
                <c:pt idx="1">
                  <c:v>30대</c:v>
                </c:pt>
                <c:pt idx="2">
                  <c:v>40대</c:v>
                </c:pt>
                <c:pt idx="3">
                  <c:v>50대 이상</c:v>
                </c:pt>
              </c:strCache>
            </c:strRef>
          </c:cat>
          <c:val>
            <c:numRef>
              <c:f>'Sheet1 (3)'!$C$117:$C$120</c:f>
              <c:numCache>
                <c:formatCode>0.00</c:formatCode>
                <c:ptCount val="4"/>
                <c:pt idx="0">
                  <c:v>2.9600000000000004</c:v>
                </c:pt>
                <c:pt idx="1">
                  <c:v>2.84</c:v>
                </c:pt>
                <c:pt idx="2">
                  <c:v>2.7550000000000003</c:v>
                </c:pt>
                <c:pt idx="3">
                  <c:v>2.7783333333333338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A-490C-A59D-E9A428F164B2}"/>
            </c:ext>
          </c:extLst>
        </c:ser>
        <c:ser>
          <c:idx val="1"/>
          <c:order val="1"/>
          <c:tx>
            <c:strRef>
              <c:f>'Sheet1 (3)'!$D$116</c:f>
              <c:strCache>
                <c:ptCount val="1"/>
                <c:pt idx="0">
                  <c:v>AI 윤리 및 보안 인식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'Sheet1 (3)'!$B$117:$B$120</c:f>
              <c:strCache>
                <c:ptCount val="4"/>
                <c:pt idx="0">
                  <c:v>20대</c:v>
                </c:pt>
                <c:pt idx="1">
                  <c:v>30대</c:v>
                </c:pt>
                <c:pt idx="2">
                  <c:v>40대</c:v>
                </c:pt>
                <c:pt idx="3">
                  <c:v>50대 이상</c:v>
                </c:pt>
              </c:strCache>
            </c:strRef>
          </c:cat>
          <c:val>
            <c:numRef>
              <c:f>'Sheet1 (3)'!$D$117:$D$120</c:f>
              <c:numCache>
                <c:formatCode>0.00</c:formatCode>
                <c:ptCount val="4"/>
                <c:pt idx="0">
                  <c:v>3.5250000000000004</c:v>
                </c:pt>
                <c:pt idx="1">
                  <c:v>3.3000000000000003</c:v>
                </c:pt>
                <c:pt idx="2">
                  <c:v>3.2</c:v>
                </c:pt>
                <c:pt idx="3">
                  <c:v>3.0825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BA-490C-A59D-E9A428F164B2}"/>
            </c:ext>
          </c:extLst>
        </c:ser>
        <c:ser>
          <c:idx val="2"/>
          <c:order val="2"/>
          <c:tx>
            <c:strRef>
              <c:f>'Sheet1 (3)'!$E$116</c:f>
              <c:strCache>
                <c:ptCount val="1"/>
                <c:pt idx="0">
                  <c:v>AI 활용 학습 및 성장 의지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'Sheet1 (3)'!$B$117:$B$120</c:f>
              <c:strCache>
                <c:ptCount val="4"/>
                <c:pt idx="0">
                  <c:v>20대</c:v>
                </c:pt>
                <c:pt idx="1">
                  <c:v>30대</c:v>
                </c:pt>
                <c:pt idx="2">
                  <c:v>40대</c:v>
                </c:pt>
                <c:pt idx="3">
                  <c:v>50대 이상</c:v>
                </c:pt>
              </c:strCache>
            </c:strRef>
          </c:cat>
          <c:val>
            <c:numRef>
              <c:f>'Sheet1 (3)'!$E$117:$E$120</c:f>
              <c:numCache>
                <c:formatCode>0.00</c:formatCode>
                <c:ptCount val="4"/>
                <c:pt idx="0">
                  <c:v>3.6157142857142861</c:v>
                </c:pt>
                <c:pt idx="1">
                  <c:v>3.4814285714285718</c:v>
                </c:pt>
                <c:pt idx="2">
                  <c:v>3.5557142857142856</c:v>
                </c:pt>
                <c:pt idx="3">
                  <c:v>3.6871428571428573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BA-490C-A59D-E9A428F164B2}"/>
            </c:ext>
          </c:extLst>
        </c:ser>
        <c:ser>
          <c:idx val="3"/>
          <c:order val="3"/>
          <c:tx>
            <c:strRef>
              <c:f>'Sheet1 (3)'!$F$116</c:f>
              <c:strCache>
                <c:ptCount val="1"/>
                <c:pt idx="0">
                  <c:v>조직 문화 및 협업 환경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'Sheet1 (3)'!$B$117:$B$120</c:f>
              <c:strCache>
                <c:ptCount val="4"/>
                <c:pt idx="0">
                  <c:v>20대</c:v>
                </c:pt>
                <c:pt idx="1">
                  <c:v>30대</c:v>
                </c:pt>
                <c:pt idx="2">
                  <c:v>40대</c:v>
                </c:pt>
                <c:pt idx="3">
                  <c:v>50대 이상</c:v>
                </c:pt>
              </c:strCache>
            </c:strRef>
          </c:cat>
          <c:val>
            <c:numRef>
              <c:f>'Sheet1 (3)'!$F$117:$F$120</c:f>
              <c:numCache>
                <c:formatCode>0.00</c:formatCode>
                <c:ptCount val="4"/>
                <c:pt idx="0">
                  <c:v>3.15</c:v>
                </c:pt>
                <c:pt idx="1">
                  <c:v>3.0419999999999998</c:v>
                </c:pt>
                <c:pt idx="2">
                  <c:v>2.9579999999999997</c:v>
                </c:pt>
                <c:pt idx="3">
                  <c:v>3.2719999999999998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BA-490C-A59D-E9A428F16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212495"/>
        <c:axId val="471214415"/>
      </c:barChart>
      <c:lineChart>
        <c:grouping val="standard"/>
        <c:varyColors val="0"/>
        <c:ser>
          <c:idx val="4"/>
          <c:order val="4"/>
          <c:tx>
            <c:strRef>
              <c:f>'Sheet1 (3)'!$G$116</c:f>
              <c:strCache>
                <c:ptCount val="1"/>
                <c:pt idx="0">
                  <c:v>평균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(3)'!$B$117:$B$120</c:f>
              <c:strCache>
                <c:ptCount val="4"/>
                <c:pt idx="0">
                  <c:v>20대</c:v>
                </c:pt>
                <c:pt idx="1">
                  <c:v>30대</c:v>
                </c:pt>
                <c:pt idx="2">
                  <c:v>40대</c:v>
                </c:pt>
                <c:pt idx="3">
                  <c:v>50대 이상</c:v>
                </c:pt>
              </c:strCache>
            </c:strRef>
          </c:cat>
          <c:val>
            <c:numRef>
              <c:f>'Sheet1 (3)'!$G$117:$G$120</c:f>
              <c:numCache>
                <c:formatCode>0.00</c:formatCode>
                <c:ptCount val="4"/>
                <c:pt idx="0">
                  <c:v>3.312678571428572</c:v>
                </c:pt>
                <c:pt idx="1">
                  <c:v>3.1658571428571429</c:v>
                </c:pt>
                <c:pt idx="2">
                  <c:v>3.1171785714285716</c:v>
                </c:pt>
                <c:pt idx="3">
                  <c:v>3.2049940476190479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BA-490C-A59D-E9A428F16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431663"/>
        <c:axId val="311427343"/>
      </c:lineChart>
      <c:catAx>
        <c:axId val="47121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1214415"/>
        <c:crosses val="autoZero"/>
        <c:auto val="1"/>
        <c:lblAlgn val="ctr"/>
        <c:lblOffset val="100"/>
        <c:noMultiLvlLbl val="0"/>
      </c:catAx>
      <c:valAx>
        <c:axId val="471214415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71212495"/>
        <c:crosses val="autoZero"/>
        <c:crossBetween val="between"/>
        <c:majorUnit val="1"/>
      </c:valAx>
      <c:valAx>
        <c:axId val="311427343"/>
        <c:scaling>
          <c:orientation val="minMax"/>
          <c:max val="4"/>
          <c:min val="1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1431663"/>
        <c:crosses val="max"/>
        <c:crossBetween val="between"/>
        <c:majorUnit val="1"/>
      </c:valAx>
      <c:catAx>
        <c:axId val="3114316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14273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'Sheet1 (3)'!$B$58</c:f>
              <c:strCache>
                <c:ptCount val="1"/>
                <c:pt idx="0">
                  <c:v>에이텍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4" panose="02020600000000000000" pitchFamily="18" charset="-127"/>
                    <a:ea typeface="a고딕14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(3)'!$C$57:$G$57</c:f>
              <c:strCache>
                <c:ptCount val="5"/>
                <c:pt idx="0">
                  <c:v>AI 업무 활용 현황</c:v>
                </c:pt>
                <c:pt idx="1">
                  <c:v>AI 이해도 및 활용</c:v>
                </c:pt>
                <c:pt idx="2">
                  <c:v>AI 윤리 및 보안 인식</c:v>
                </c:pt>
                <c:pt idx="3">
                  <c:v>AI 활용 학습 및 성장 의지</c:v>
                </c:pt>
                <c:pt idx="4">
                  <c:v>조직 문화 및 협업 환경</c:v>
                </c:pt>
              </c:strCache>
            </c:strRef>
          </c:cat>
          <c:val>
            <c:numRef>
              <c:f>'Sheet1 (3)'!$C$58:$G$58</c:f>
              <c:numCache>
                <c:formatCode>0.00</c:formatCode>
                <c:ptCount val="5"/>
                <c:pt idx="0">
                  <c:v>2.3666666666666667</c:v>
                </c:pt>
                <c:pt idx="1">
                  <c:v>2.7466666666666666</c:v>
                </c:pt>
                <c:pt idx="2">
                  <c:v>3.1625000000000001</c:v>
                </c:pt>
                <c:pt idx="3">
                  <c:v>3.5128571428571425</c:v>
                </c:pt>
                <c:pt idx="4">
                  <c:v>3.0219999999999998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F-45F8-8FDE-F26F2F92D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06223"/>
        <c:axId val="311398543"/>
      </c:radarChart>
      <c:catAx>
        <c:axId val="31140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4" panose="02020600000000000000" pitchFamily="18" charset="-127"/>
                <a:ea typeface="a고딕14" panose="02020600000000000000" pitchFamily="18" charset="-127"/>
                <a:cs typeface="+mn-cs"/>
              </a:defRPr>
            </a:pPr>
            <a:endParaRPr lang="ko-KR"/>
          </a:p>
        </c:txPr>
        <c:crossAx val="311398543"/>
        <c:crosses val="autoZero"/>
        <c:auto val="1"/>
        <c:lblAlgn val="ctr"/>
        <c:lblOffset val="100"/>
        <c:noMultiLvlLbl val="0"/>
      </c:catAx>
      <c:valAx>
        <c:axId val="311398543"/>
        <c:scaling>
          <c:orientation val="minMax"/>
          <c:max val="5"/>
          <c:min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3114062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고딕14" panose="02020600000000000000" pitchFamily="18" charset="-127"/>
          <a:ea typeface="a고딕14" panose="02020600000000000000" pitchFamily="18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13" Type="http://schemas.openxmlformats.org/officeDocument/2006/relationships/chart" Target="../charts/chart20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12" Type="http://schemas.openxmlformats.org/officeDocument/2006/relationships/chart" Target="../charts/chart19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chart" Target="../charts/chart18.xml"/><Relationship Id="rId5" Type="http://schemas.openxmlformats.org/officeDocument/2006/relationships/chart" Target="../charts/chart12.xml"/><Relationship Id="rId15" Type="http://schemas.openxmlformats.org/officeDocument/2006/relationships/chart" Target="../charts/chart2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Relationship Id="rId1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620361</xdr:colOff>
      <xdr:row>128</xdr:row>
      <xdr:rowOff>219077</xdr:rowOff>
    </xdr:from>
    <xdr:to>
      <xdr:col>16</xdr:col>
      <xdr:colOff>213507</xdr:colOff>
      <xdr:row>151</xdr:row>
      <xdr:rowOff>235524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F6DCCE6-9EAE-D30D-6ACC-2A652CF61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672810</xdr:colOff>
      <xdr:row>68</xdr:row>
      <xdr:rowOff>17317</xdr:rowOff>
    </xdr:from>
    <xdr:to>
      <xdr:col>7</xdr:col>
      <xdr:colOff>454601</xdr:colOff>
      <xdr:row>80</xdr:row>
      <xdr:rowOff>176643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E30EFA3-3F8A-4C6E-0926-C6BD42F3E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12987</xdr:colOff>
      <xdr:row>54</xdr:row>
      <xdr:rowOff>152399</xdr:rowOff>
    </xdr:from>
    <xdr:to>
      <xdr:col>7</xdr:col>
      <xdr:colOff>480578</xdr:colOff>
      <xdr:row>67</xdr:row>
      <xdr:rowOff>81393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A88E574-EEFC-3270-365A-009295265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86589</xdr:colOff>
      <xdr:row>79</xdr:row>
      <xdr:rowOff>169716</xdr:rowOff>
    </xdr:from>
    <xdr:to>
      <xdr:col>7</xdr:col>
      <xdr:colOff>560673</xdr:colOff>
      <xdr:row>92</xdr:row>
      <xdr:rowOff>98712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E5AE159-751F-AC70-38ED-B7ABEBEEB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46433</xdr:colOff>
      <xdr:row>92</xdr:row>
      <xdr:rowOff>198836</xdr:rowOff>
    </xdr:from>
    <xdr:to>
      <xdr:col>7</xdr:col>
      <xdr:colOff>470295</xdr:colOff>
      <xdr:row>105</xdr:row>
      <xdr:rowOff>160734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FF8EE1AF-5239-85E7-0B50-4E8DE1559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66333</xdr:colOff>
      <xdr:row>105</xdr:row>
      <xdr:rowOff>138792</xdr:rowOff>
    </xdr:from>
    <xdr:to>
      <xdr:col>7</xdr:col>
      <xdr:colOff>518770</xdr:colOff>
      <xdr:row>118</xdr:row>
      <xdr:rowOff>51708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85B86518-AE01-50C4-41E0-BD713F080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598672</xdr:colOff>
      <xdr:row>54</xdr:row>
      <xdr:rowOff>168088</xdr:rowOff>
    </xdr:from>
    <xdr:to>
      <xdr:col>25</xdr:col>
      <xdr:colOff>313763</xdr:colOff>
      <xdr:row>72</xdr:row>
      <xdr:rowOff>9245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750A7D0-1AB5-7952-51A3-DBFAF5CDB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82260</xdr:colOff>
      <xdr:row>66</xdr:row>
      <xdr:rowOff>91785</xdr:rowOff>
    </xdr:from>
    <xdr:to>
      <xdr:col>14</xdr:col>
      <xdr:colOff>549850</xdr:colOff>
      <xdr:row>78</xdr:row>
      <xdr:rowOff>167984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8C4921D8-B3DA-EC94-2026-1E6CD47E9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168850</xdr:colOff>
      <xdr:row>66</xdr:row>
      <xdr:rowOff>22512</xdr:rowOff>
    </xdr:from>
    <xdr:to>
      <xdr:col>21</xdr:col>
      <xdr:colOff>636441</xdr:colOff>
      <xdr:row>78</xdr:row>
      <xdr:rowOff>98712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4C80E080-AF4B-563A-6F15-8507D466A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238124</xdr:colOff>
      <xdr:row>66</xdr:row>
      <xdr:rowOff>13853</xdr:rowOff>
    </xdr:from>
    <xdr:to>
      <xdr:col>29</xdr:col>
      <xdr:colOff>21646</xdr:colOff>
      <xdr:row>79</xdr:row>
      <xdr:rowOff>8659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DA14DB6F-1DAE-B3FE-3438-DC36D6A46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402646</xdr:colOff>
      <xdr:row>65</xdr:row>
      <xdr:rowOff>152397</xdr:rowOff>
    </xdr:from>
    <xdr:to>
      <xdr:col>36</xdr:col>
      <xdr:colOff>186169</xdr:colOff>
      <xdr:row>79</xdr:row>
      <xdr:rowOff>25976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F606DB40-41E3-8094-238A-D899A132C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361516</xdr:colOff>
      <xdr:row>65</xdr:row>
      <xdr:rowOff>128586</xdr:rowOff>
    </xdr:from>
    <xdr:to>
      <xdr:col>43</xdr:col>
      <xdr:colOff>145038</xdr:colOff>
      <xdr:row>77</xdr:row>
      <xdr:rowOff>200455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F7F3D9BF-198B-404C-D537-446BFCFE3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209550</xdr:colOff>
      <xdr:row>79</xdr:row>
      <xdr:rowOff>150717</xdr:rowOff>
    </xdr:from>
    <xdr:to>
      <xdr:col>18</xdr:col>
      <xdr:colOff>94408</xdr:colOff>
      <xdr:row>92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EAEF952-FE69-B66A-2DDD-82EC86E93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381000</xdr:colOff>
      <xdr:row>81</xdr:row>
      <xdr:rowOff>123825</xdr:rowOff>
    </xdr:from>
    <xdr:to>
      <xdr:col>25</xdr:col>
      <xdr:colOff>152400</xdr:colOff>
      <xdr:row>94</xdr:row>
      <xdr:rowOff>19050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C0BC368-2388-3633-7379-307D00ACF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257175</xdr:colOff>
      <xdr:row>81</xdr:row>
      <xdr:rowOff>9525</xdr:rowOff>
    </xdr:from>
    <xdr:to>
      <xdr:col>32</xdr:col>
      <xdr:colOff>28575</xdr:colOff>
      <xdr:row>93</xdr:row>
      <xdr:rowOff>123825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0657FE4-388A-48CF-0283-0E09593AA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266380</xdr:colOff>
      <xdr:row>94</xdr:row>
      <xdr:rowOff>131108</xdr:rowOff>
    </xdr:from>
    <xdr:to>
      <xdr:col>33</xdr:col>
      <xdr:colOff>285710</xdr:colOff>
      <xdr:row>110</xdr:row>
      <xdr:rowOff>30815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67A29CD5-B450-EB6F-62D4-A988BB048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239244</xdr:colOff>
      <xdr:row>95</xdr:row>
      <xdr:rowOff>201984</xdr:rowOff>
    </xdr:from>
    <xdr:to>
      <xdr:col>17</xdr:col>
      <xdr:colOff>369794</xdr:colOff>
      <xdr:row>110</xdr:row>
      <xdr:rowOff>44823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415D146-8F2B-4098-619B-2F197E4C1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398928</xdr:colOff>
      <xdr:row>111</xdr:row>
      <xdr:rowOff>67516</xdr:rowOff>
    </xdr:from>
    <xdr:to>
      <xdr:col>15</xdr:col>
      <xdr:colOff>181254</xdr:colOff>
      <xdr:row>123</xdr:row>
      <xdr:rowOff>116542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E125CC3B-FACB-3B25-8A7F-303F67549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424982</xdr:colOff>
      <xdr:row>125</xdr:row>
      <xdr:rowOff>6724</xdr:rowOff>
    </xdr:from>
    <xdr:to>
      <xdr:col>15</xdr:col>
      <xdr:colOff>207308</xdr:colOff>
      <xdr:row>137</xdr:row>
      <xdr:rowOff>60512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215BDCC7-B0C4-0588-1C36-4C3915566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548247</xdr:colOff>
      <xdr:row>138</xdr:row>
      <xdr:rowOff>6724</xdr:rowOff>
    </xdr:from>
    <xdr:to>
      <xdr:col>15</xdr:col>
      <xdr:colOff>335335</xdr:colOff>
      <xdr:row>150</xdr:row>
      <xdr:rowOff>60512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3C97CB16-D739-B431-1595-3F0A0BD47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523834</xdr:colOff>
      <xdr:row>150</xdr:row>
      <xdr:rowOff>192219</xdr:rowOff>
    </xdr:from>
    <xdr:to>
      <xdr:col>15</xdr:col>
      <xdr:colOff>306160</xdr:colOff>
      <xdr:row>163</xdr:row>
      <xdr:rowOff>28294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3D853AEC-64BF-1B41-439E-7455158A2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390523</xdr:colOff>
      <xdr:row>55</xdr:row>
      <xdr:rowOff>104776</xdr:rowOff>
    </xdr:from>
    <xdr:to>
      <xdr:col>15</xdr:col>
      <xdr:colOff>9524</xdr:colOff>
      <xdr:row>70</xdr:row>
      <xdr:rowOff>209551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9E39217B-E917-235E-DC6D-D83B9FCE6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05C2-DA7A-439F-873A-661A90036F13}">
  <dimension ref="A1:AB53"/>
  <sheetViews>
    <sheetView topLeftCell="A16" zoomScaleNormal="100" workbookViewId="0">
      <selection activeCell="A42" sqref="A42:AB47"/>
    </sheetView>
  </sheetViews>
  <sheetFormatPr defaultRowHeight="16.899999999999999"/>
  <sheetData>
    <row r="1" spans="1:6">
      <c r="A1" s="1"/>
      <c r="B1" s="1"/>
      <c r="C1" s="1"/>
      <c r="D1" s="1"/>
      <c r="E1" s="1"/>
      <c r="F1" s="1"/>
    </row>
    <row r="2" spans="1:6">
      <c r="A2" s="41" t="s">
        <v>0</v>
      </c>
      <c r="B2" s="41" t="s">
        <v>1</v>
      </c>
      <c r="C2" s="41" t="s">
        <v>2</v>
      </c>
      <c r="D2" s="2" t="s">
        <v>3</v>
      </c>
      <c r="E2" s="2" t="s">
        <v>3</v>
      </c>
      <c r="F2" s="2" t="s">
        <v>3</v>
      </c>
    </row>
    <row r="3" spans="1:6">
      <c r="A3" s="41"/>
      <c r="B3" s="41"/>
      <c r="C3" s="41"/>
      <c r="D3" s="3" t="s">
        <v>4</v>
      </c>
      <c r="E3" s="3" t="s">
        <v>4</v>
      </c>
      <c r="F3" s="3" t="s">
        <v>4</v>
      </c>
    </row>
    <row r="4" spans="1:6">
      <c r="A4" s="42" t="s">
        <v>5</v>
      </c>
      <c r="B4" s="42"/>
      <c r="C4" s="4">
        <v>456</v>
      </c>
      <c r="D4" s="4">
        <v>2.93</v>
      </c>
      <c r="E4" s="4">
        <v>2.3199999999999998</v>
      </c>
      <c r="F4" s="4">
        <v>1.97</v>
      </c>
    </row>
    <row r="5" spans="1:6">
      <c r="A5" s="38" t="s">
        <v>6</v>
      </c>
      <c r="B5" s="5" t="s">
        <v>7</v>
      </c>
      <c r="C5" s="6">
        <v>150</v>
      </c>
      <c r="D5" s="6">
        <v>2.88</v>
      </c>
      <c r="E5" s="6">
        <v>2.29</v>
      </c>
      <c r="F5" s="6">
        <v>1.93</v>
      </c>
    </row>
    <row r="6" spans="1:6">
      <c r="A6" s="38"/>
      <c r="B6" s="7" t="s">
        <v>8</v>
      </c>
      <c r="C6" s="8">
        <v>70</v>
      </c>
      <c r="D6" s="8">
        <v>2.97</v>
      </c>
      <c r="E6" s="8">
        <v>2.41</v>
      </c>
      <c r="F6" s="8">
        <v>1.99</v>
      </c>
    </row>
    <row r="7" spans="1:6">
      <c r="A7" s="38"/>
      <c r="B7" s="5" t="s">
        <v>9</v>
      </c>
      <c r="C7" s="6">
        <v>60</v>
      </c>
      <c r="D7" s="6">
        <v>2.95</v>
      </c>
      <c r="E7" s="6">
        <v>2.25</v>
      </c>
      <c r="F7" s="6">
        <v>1.87</v>
      </c>
    </row>
    <row r="8" spans="1:6">
      <c r="A8" s="38"/>
      <c r="B8" s="7" t="s">
        <v>10</v>
      </c>
      <c r="C8" s="8">
        <v>125</v>
      </c>
      <c r="D8" s="8">
        <v>2.9</v>
      </c>
      <c r="E8" s="8">
        <v>2.21</v>
      </c>
      <c r="F8" s="8">
        <v>2.0099999999999998</v>
      </c>
    </row>
    <row r="9" spans="1:6">
      <c r="A9" s="38"/>
      <c r="B9" s="5" t="s">
        <v>11</v>
      </c>
      <c r="C9" s="6">
        <v>25</v>
      </c>
      <c r="D9" s="6">
        <v>3.16</v>
      </c>
      <c r="E9" s="6">
        <v>2.6</v>
      </c>
      <c r="F9" s="6">
        <v>2.04</v>
      </c>
    </row>
    <row r="10" spans="1:6">
      <c r="A10" s="38"/>
      <c r="B10" s="7" t="s">
        <v>12</v>
      </c>
      <c r="C10" s="8">
        <v>26</v>
      </c>
      <c r="D10" s="8">
        <v>3.08</v>
      </c>
      <c r="E10" s="8">
        <v>2.58</v>
      </c>
      <c r="F10" s="8">
        <v>2.15</v>
      </c>
    </row>
    <row r="11" spans="1:6">
      <c r="A11" s="38" t="s">
        <v>6</v>
      </c>
      <c r="B11" s="5" t="s">
        <v>13</v>
      </c>
      <c r="C11" s="6">
        <v>44</v>
      </c>
      <c r="D11" s="6">
        <v>3.02</v>
      </c>
      <c r="E11" s="6">
        <v>2.8</v>
      </c>
      <c r="F11" s="6">
        <v>2.14</v>
      </c>
    </row>
    <row r="12" spans="1:6">
      <c r="A12" s="38"/>
      <c r="B12" s="7" t="s">
        <v>14</v>
      </c>
      <c r="C12" s="8">
        <v>217</v>
      </c>
      <c r="D12" s="8">
        <v>2.86</v>
      </c>
      <c r="E12" s="8">
        <v>2.12</v>
      </c>
      <c r="F12" s="8">
        <v>1.93</v>
      </c>
    </row>
    <row r="13" spans="1:6">
      <c r="A13" s="38"/>
      <c r="B13" s="5" t="s">
        <v>15</v>
      </c>
      <c r="C13" s="6">
        <v>159</v>
      </c>
      <c r="D13" s="6">
        <v>3.09</v>
      </c>
      <c r="E13" s="6">
        <v>2.5099999999999998</v>
      </c>
      <c r="F13" s="6">
        <v>2.0299999999999998</v>
      </c>
    </row>
    <row r="14" spans="1:6">
      <c r="A14" s="38"/>
      <c r="B14" s="7" t="s">
        <v>16</v>
      </c>
      <c r="C14" s="8">
        <v>36</v>
      </c>
      <c r="D14" s="8">
        <v>2.58</v>
      </c>
      <c r="E14" s="8">
        <v>2.08</v>
      </c>
      <c r="F14" s="8">
        <v>1.78</v>
      </c>
    </row>
    <row r="15" spans="1:6">
      <c r="A15" s="38" t="s">
        <v>6</v>
      </c>
      <c r="B15" s="5" t="s">
        <v>17</v>
      </c>
      <c r="C15" s="6">
        <v>26</v>
      </c>
      <c r="D15" s="6">
        <v>3.15</v>
      </c>
      <c r="E15" s="6">
        <v>2.65</v>
      </c>
      <c r="F15" s="6">
        <v>2.15</v>
      </c>
    </row>
    <row r="16" spans="1:6">
      <c r="A16" s="38"/>
      <c r="B16" s="7" t="s">
        <v>18</v>
      </c>
      <c r="C16" s="8">
        <v>38</v>
      </c>
      <c r="D16" s="8">
        <v>2.74</v>
      </c>
      <c r="E16" s="8">
        <v>2.37</v>
      </c>
      <c r="F16" s="8">
        <v>2</v>
      </c>
    </row>
    <row r="17" spans="1:28">
      <c r="A17" s="38"/>
      <c r="B17" s="5" t="s">
        <v>19</v>
      </c>
      <c r="C17" s="6">
        <v>110</v>
      </c>
      <c r="D17" s="6">
        <v>2.85</v>
      </c>
      <c r="E17" s="6">
        <v>2.2999999999999998</v>
      </c>
      <c r="F17" s="6">
        <v>1.95</v>
      </c>
    </row>
    <row r="18" spans="1:28">
      <c r="A18" s="38"/>
      <c r="B18" s="7" t="s">
        <v>20</v>
      </c>
      <c r="C18" s="8">
        <v>153</v>
      </c>
      <c r="D18" s="8">
        <v>2.91</v>
      </c>
      <c r="E18" s="8">
        <v>2.3199999999999998</v>
      </c>
      <c r="F18" s="8">
        <v>2.04</v>
      </c>
    </row>
    <row r="19" spans="1:28">
      <c r="A19" s="38"/>
      <c r="B19" s="5" t="s">
        <v>21</v>
      </c>
      <c r="C19" s="6">
        <v>127</v>
      </c>
      <c r="D19" s="6">
        <v>3.06</v>
      </c>
      <c r="E19" s="6">
        <v>2.25</v>
      </c>
      <c r="F19" s="6">
        <v>1.87</v>
      </c>
    </row>
    <row r="20" spans="1:28">
      <c r="A20" s="38"/>
      <c r="B20" s="7" t="s">
        <v>16</v>
      </c>
      <c r="C20" s="8">
        <v>2</v>
      </c>
      <c r="D20" s="8">
        <v>2.5</v>
      </c>
      <c r="E20" s="8">
        <v>1.5</v>
      </c>
      <c r="F20" s="8">
        <v>1.5</v>
      </c>
    </row>
    <row r="21" spans="1:28" ht="22.5">
      <c r="A21" s="38" t="s">
        <v>6</v>
      </c>
      <c r="B21" s="5" t="s">
        <v>22</v>
      </c>
      <c r="C21" s="6">
        <v>133</v>
      </c>
      <c r="D21" s="6">
        <v>3.04</v>
      </c>
      <c r="E21" s="6">
        <v>2.41</v>
      </c>
      <c r="F21" s="6">
        <v>2.14</v>
      </c>
    </row>
    <row r="22" spans="1:28">
      <c r="A22" s="38"/>
      <c r="B22" s="7" t="s">
        <v>23</v>
      </c>
      <c r="C22" s="8">
        <v>323</v>
      </c>
      <c r="D22" s="8">
        <v>2.89</v>
      </c>
      <c r="E22" s="8">
        <v>2.2799999999999998</v>
      </c>
      <c r="F22" s="8">
        <v>1.9</v>
      </c>
    </row>
    <row r="23" spans="1:28">
      <c r="A23" s="38" t="s">
        <v>6</v>
      </c>
      <c r="B23" s="5" t="s">
        <v>24</v>
      </c>
      <c r="C23" s="6">
        <v>57</v>
      </c>
      <c r="D23" s="6">
        <v>2.96</v>
      </c>
      <c r="E23" s="6">
        <v>2.21</v>
      </c>
      <c r="F23" s="6">
        <v>1.98</v>
      </c>
    </row>
    <row r="24" spans="1:28">
      <c r="A24" s="38"/>
      <c r="B24" s="7" t="s">
        <v>25</v>
      </c>
      <c r="C24" s="8">
        <v>188</v>
      </c>
      <c r="D24" s="8">
        <v>3.11</v>
      </c>
      <c r="E24" s="8">
        <v>2.37</v>
      </c>
      <c r="F24" s="8">
        <v>2.02</v>
      </c>
    </row>
    <row r="25" spans="1:28">
      <c r="A25" s="38"/>
      <c r="B25" s="5" t="s">
        <v>26</v>
      </c>
      <c r="C25" s="6">
        <v>130</v>
      </c>
      <c r="D25" s="6">
        <v>2.75</v>
      </c>
      <c r="E25" s="6">
        <v>2.25</v>
      </c>
      <c r="F25" s="6">
        <v>1.89</v>
      </c>
    </row>
    <row r="26" spans="1:28">
      <c r="A26" s="38"/>
      <c r="B26" s="9" t="s">
        <v>27</v>
      </c>
      <c r="C26" s="10">
        <v>81</v>
      </c>
      <c r="D26" s="10">
        <v>2.8</v>
      </c>
      <c r="E26" s="10">
        <v>2.36</v>
      </c>
      <c r="F26" s="10"/>
    </row>
    <row r="30" spans="1:28" ht="19.149999999999999">
      <c r="A30" s="11" t="s">
        <v>0</v>
      </c>
      <c r="B30" s="11" t="s">
        <v>1</v>
      </c>
      <c r="C30" s="11" t="s">
        <v>2</v>
      </c>
      <c r="D30" s="11" t="s">
        <v>28</v>
      </c>
      <c r="E30" s="11" t="s">
        <v>29</v>
      </c>
      <c r="F30" s="11" t="s">
        <v>30</v>
      </c>
      <c r="G30" s="11" t="s">
        <v>31</v>
      </c>
      <c r="H30" s="11" t="s">
        <v>32</v>
      </c>
      <c r="I30" s="11" t="s">
        <v>33</v>
      </c>
      <c r="J30" s="11" t="s">
        <v>34</v>
      </c>
      <c r="K30" s="11" t="s">
        <v>35</v>
      </c>
      <c r="L30" s="11" t="s">
        <v>36</v>
      </c>
      <c r="M30" s="11" t="s">
        <v>37</v>
      </c>
      <c r="N30" s="11" t="s">
        <v>38</v>
      </c>
      <c r="O30" s="11" t="s">
        <v>39</v>
      </c>
      <c r="P30" s="11" t="s">
        <v>40</v>
      </c>
      <c r="Q30" s="11" t="s">
        <v>41</v>
      </c>
      <c r="R30" s="11" t="s">
        <v>42</v>
      </c>
      <c r="S30" s="11" t="s">
        <v>43</v>
      </c>
      <c r="T30" s="11" t="s">
        <v>44</v>
      </c>
      <c r="U30" s="11" t="s">
        <v>45</v>
      </c>
      <c r="V30" s="11" t="s">
        <v>46</v>
      </c>
      <c r="W30" s="11" t="s">
        <v>47</v>
      </c>
      <c r="X30" s="11" t="s">
        <v>48</v>
      </c>
      <c r="Y30" s="11" t="s">
        <v>49</v>
      </c>
      <c r="Z30" s="11" t="s">
        <v>50</v>
      </c>
      <c r="AA30" s="11" t="s">
        <v>51</v>
      </c>
      <c r="AB30" s="11" t="s">
        <v>52</v>
      </c>
    </row>
    <row r="31" spans="1:28">
      <c r="A31" s="40" t="s">
        <v>5</v>
      </c>
      <c r="B31" s="40"/>
      <c r="C31" s="12">
        <v>456</v>
      </c>
      <c r="D31" s="17">
        <v>2.93</v>
      </c>
      <c r="E31" s="17">
        <v>2.3199999999999998</v>
      </c>
      <c r="F31" s="17">
        <v>1.97</v>
      </c>
      <c r="G31" s="17">
        <v>3.03</v>
      </c>
      <c r="H31" s="17">
        <v>2.52</v>
      </c>
      <c r="I31" s="17">
        <v>2.83</v>
      </c>
      <c r="J31" s="17">
        <v>2.64</v>
      </c>
      <c r="K31" s="17">
        <v>2.97</v>
      </c>
      <c r="L31" s="17">
        <v>2.94</v>
      </c>
      <c r="M31" s="17">
        <v>3.59</v>
      </c>
      <c r="N31" s="17">
        <v>3.33</v>
      </c>
      <c r="O31" s="17">
        <v>3.02</v>
      </c>
      <c r="P31" s="17">
        <v>3.1</v>
      </c>
      <c r="Q31" s="17">
        <v>3.39</v>
      </c>
      <c r="R31" s="17">
        <v>3.69</v>
      </c>
      <c r="S31" s="17">
        <v>3.68</v>
      </c>
      <c r="T31" s="17">
        <v>3.67</v>
      </c>
      <c r="U31" s="17">
        <v>3.37</v>
      </c>
      <c r="V31" s="17">
        <v>3.69</v>
      </c>
      <c r="W31" s="17">
        <v>3.41</v>
      </c>
      <c r="X31" s="17">
        <v>3.58</v>
      </c>
      <c r="Y31" s="17">
        <v>2.95</v>
      </c>
      <c r="Z31" s="17">
        <v>2.82</v>
      </c>
      <c r="AA31" s="17">
        <v>3.18</v>
      </c>
      <c r="AB31" s="17">
        <v>2.82</v>
      </c>
    </row>
    <row r="32" spans="1:28">
      <c r="A32" s="39" t="s">
        <v>53</v>
      </c>
      <c r="B32" s="13" t="s">
        <v>7</v>
      </c>
      <c r="C32" s="14">
        <v>150</v>
      </c>
      <c r="D32" s="18">
        <v>2.88</v>
      </c>
      <c r="E32" s="18">
        <v>2.29</v>
      </c>
      <c r="F32" s="18">
        <v>1.93</v>
      </c>
      <c r="G32" s="18">
        <v>3.03</v>
      </c>
      <c r="H32" s="18">
        <v>2.4700000000000002</v>
      </c>
      <c r="I32" s="18">
        <v>2.76</v>
      </c>
      <c r="J32" s="18">
        <v>2.56</v>
      </c>
      <c r="K32" s="18">
        <v>2.87</v>
      </c>
      <c r="L32" s="18">
        <v>2.79</v>
      </c>
      <c r="M32" s="18">
        <v>3.46</v>
      </c>
      <c r="N32" s="18">
        <v>3.22</v>
      </c>
      <c r="O32" s="18">
        <v>2.96</v>
      </c>
      <c r="P32" s="18">
        <v>3.01</v>
      </c>
      <c r="Q32" s="18">
        <v>3.34</v>
      </c>
      <c r="R32" s="18">
        <v>3.73</v>
      </c>
      <c r="S32" s="18">
        <v>3.66</v>
      </c>
      <c r="T32" s="18">
        <v>3.63</v>
      </c>
      <c r="U32" s="18">
        <v>3.26</v>
      </c>
      <c r="V32" s="18">
        <v>3.63</v>
      </c>
      <c r="W32" s="18">
        <v>3.34</v>
      </c>
      <c r="X32" s="18">
        <v>3.56</v>
      </c>
      <c r="Y32" s="18">
        <v>2.9</v>
      </c>
      <c r="Z32" s="18">
        <v>2.71</v>
      </c>
      <c r="AA32" s="18">
        <v>3.17</v>
      </c>
      <c r="AB32" s="18">
        <v>2.77</v>
      </c>
    </row>
    <row r="33" spans="1:28">
      <c r="A33" s="39"/>
      <c r="B33" s="15" t="s">
        <v>8</v>
      </c>
      <c r="C33" s="16">
        <v>70</v>
      </c>
      <c r="D33" s="19">
        <v>2.97</v>
      </c>
      <c r="E33" s="19">
        <v>2.41</v>
      </c>
      <c r="F33" s="19">
        <v>1.99</v>
      </c>
      <c r="G33" s="19">
        <v>3.14</v>
      </c>
      <c r="H33" s="19">
        <v>2.73</v>
      </c>
      <c r="I33" s="19">
        <v>2.91</v>
      </c>
      <c r="J33" s="19">
        <v>2.71</v>
      </c>
      <c r="K33" s="19">
        <v>3.17</v>
      </c>
      <c r="L33" s="19">
        <v>3.04</v>
      </c>
      <c r="M33" s="19">
        <v>3.6</v>
      </c>
      <c r="N33" s="19">
        <v>3.4</v>
      </c>
      <c r="O33" s="19">
        <v>3.14</v>
      </c>
      <c r="P33" s="19">
        <v>3.1</v>
      </c>
      <c r="Q33" s="19">
        <v>3.4</v>
      </c>
      <c r="R33" s="19">
        <v>3.74</v>
      </c>
      <c r="S33" s="19">
        <v>3.81</v>
      </c>
      <c r="T33" s="19">
        <v>3.91</v>
      </c>
      <c r="U33" s="19">
        <v>3.61</v>
      </c>
      <c r="V33" s="19">
        <v>3.9</v>
      </c>
      <c r="W33" s="19">
        <v>3.51</v>
      </c>
      <c r="X33" s="19">
        <v>3.69</v>
      </c>
      <c r="Y33" s="19">
        <v>2.97</v>
      </c>
      <c r="Z33" s="19">
        <v>2.93</v>
      </c>
      <c r="AA33" s="19">
        <v>3.24</v>
      </c>
      <c r="AB33" s="19">
        <v>2.73</v>
      </c>
    </row>
    <row r="34" spans="1:28">
      <c r="A34" s="39"/>
      <c r="B34" s="13" t="s">
        <v>9</v>
      </c>
      <c r="C34" s="14">
        <v>60</v>
      </c>
      <c r="D34" s="18">
        <v>2.95</v>
      </c>
      <c r="E34" s="18">
        <v>2.25</v>
      </c>
      <c r="F34" s="18">
        <v>1.87</v>
      </c>
      <c r="G34" s="18">
        <v>2.98</v>
      </c>
      <c r="H34" s="18">
        <v>2.52</v>
      </c>
      <c r="I34" s="18">
        <v>2.83</v>
      </c>
      <c r="J34" s="18">
        <v>2.68</v>
      </c>
      <c r="K34" s="18">
        <v>2.95</v>
      </c>
      <c r="L34" s="18">
        <v>3.05</v>
      </c>
      <c r="M34" s="18">
        <v>3.7</v>
      </c>
      <c r="N34" s="18">
        <v>3.43</v>
      </c>
      <c r="O34" s="18">
        <v>3.08</v>
      </c>
      <c r="P34" s="18">
        <v>3.22</v>
      </c>
      <c r="Q34" s="18">
        <v>3.57</v>
      </c>
      <c r="R34" s="18">
        <v>3.63</v>
      </c>
      <c r="S34" s="18">
        <v>3.82</v>
      </c>
      <c r="T34" s="18">
        <v>3.7</v>
      </c>
      <c r="U34" s="18">
        <v>3.47</v>
      </c>
      <c r="V34" s="18">
        <v>3.67</v>
      </c>
      <c r="W34" s="18">
        <v>3.28</v>
      </c>
      <c r="X34" s="18">
        <v>3.65</v>
      </c>
      <c r="Y34" s="18">
        <v>2.82</v>
      </c>
      <c r="Z34" s="18">
        <v>2.78</v>
      </c>
      <c r="AA34" s="18">
        <v>3.17</v>
      </c>
      <c r="AB34" s="18">
        <v>2.8</v>
      </c>
    </row>
    <row r="35" spans="1:28">
      <c r="A35" s="39"/>
      <c r="B35" s="15" t="s">
        <v>10</v>
      </c>
      <c r="C35" s="16">
        <v>125</v>
      </c>
      <c r="D35" s="19">
        <v>2.9</v>
      </c>
      <c r="E35" s="19">
        <v>2.21</v>
      </c>
      <c r="F35" s="19">
        <v>2.0099999999999998</v>
      </c>
      <c r="G35" s="19">
        <v>2.95</v>
      </c>
      <c r="H35" s="19">
        <v>2.4300000000000002</v>
      </c>
      <c r="I35" s="19">
        <v>2.78</v>
      </c>
      <c r="J35" s="19">
        <v>2.59</v>
      </c>
      <c r="K35" s="19">
        <v>2.79</v>
      </c>
      <c r="L35" s="19">
        <v>2.9</v>
      </c>
      <c r="M35" s="19">
        <v>3.6</v>
      </c>
      <c r="N35" s="19">
        <v>3.34</v>
      </c>
      <c r="O35" s="19">
        <v>2.96</v>
      </c>
      <c r="P35" s="19">
        <v>3.06</v>
      </c>
      <c r="Q35" s="19">
        <v>3.26</v>
      </c>
      <c r="R35" s="19">
        <v>3.5</v>
      </c>
      <c r="S35" s="19">
        <v>3.42</v>
      </c>
      <c r="T35" s="19">
        <v>3.43</v>
      </c>
      <c r="U35" s="19">
        <v>3.12</v>
      </c>
      <c r="V35" s="19">
        <v>3.52</v>
      </c>
      <c r="W35" s="19">
        <v>3.3</v>
      </c>
      <c r="X35" s="19">
        <v>3.37</v>
      </c>
      <c r="Y35" s="19">
        <v>3.02</v>
      </c>
      <c r="Z35" s="19">
        <v>2.85</v>
      </c>
      <c r="AA35" s="19">
        <v>3.1</v>
      </c>
      <c r="AB35" s="19">
        <v>2.9</v>
      </c>
    </row>
    <row r="36" spans="1:28">
      <c r="A36" s="39"/>
      <c r="B36" s="13" t="s">
        <v>11</v>
      </c>
      <c r="C36" s="14">
        <v>25</v>
      </c>
      <c r="D36" s="18">
        <v>3.16</v>
      </c>
      <c r="E36" s="18">
        <v>2.6</v>
      </c>
      <c r="F36" s="18">
        <v>2.04</v>
      </c>
      <c r="G36" s="18">
        <v>3.12</v>
      </c>
      <c r="H36" s="18">
        <v>2.56</v>
      </c>
      <c r="I36" s="18">
        <v>3.08</v>
      </c>
      <c r="J36" s="18">
        <v>2.8</v>
      </c>
      <c r="K36" s="18">
        <v>3.52</v>
      </c>
      <c r="L36" s="18">
        <v>3.28</v>
      </c>
      <c r="M36" s="18">
        <v>3.84</v>
      </c>
      <c r="N36" s="18">
        <v>3.44</v>
      </c>
      <c r="O36" s="18">
        <v>3.32</v>
      </c>
      <c r="P36" s="18">
        <v>3.44</v>
      </c>
      <c r="Q36" s="18">
        <v>3.84</v>
      </c>
      <c r="R36" s="18">
        <v>4.28</v>
      </c>
      <c r="S36" s="18">
        <v>4.28</v>
      </c>
      <c r="T36" s="18">
        <v>4.12</v>
      </c>
      <c r="U36" s="18">
        <v>4.2</v>
      </c>
      <c r="V36" s="18">
        <v>4.24</v>
      </c>
      <c r="W36" s="18">
        <v>4.08</v>
      </c>
      <c r="X36" s="18">
        <v>4.16</v>
      </c>
      <c r="Y36" s="18">
        <v>3.16</v>
      </c>
      <c r="Z36" s="18">
        <v>3.04</v>
      </c>
      <c r="AA36" s="18">
        <v>3.52</v>
      </c>
      <c r="AB36" s="18">
        <v>2.88</v>
      </c>
    </row>
    <row r="37" spans="1:28">
      <c r="A37" s="39"/>
      <c r="B37" s="15" t="s">
        <v>12</v>
      </c>
      <c r="C37" s="16">
        <v>26</v>
      </c>
      <c r="D37" s="19">
        <v>3.08</v>
      </c>
      <c r="E37" s="19">
        <v>2.58</v>
      </c>
      <c r="F37" s="19">
        <v>2.15</v>
      </c>
      <c r="G37" s="19">
        <v>3.12</v>
      </c>
      <c r="H37" s="19">
        <v>2.54</v>
      </c>
      <c r="I37" s="19">
        <v>2.92</v>
      </c>
      <c r="J37" s="19">
        <v>2.81</v>
      </c>
      <c r="K37" s="19">
        <v>3.31</v>
      </c>
      <c r="L37" s="19">
        <v>3.19</v>
      </c>
      <c r="M37" s="19">
        <v>3.77</v>
      </c>
      <c r="N37" s="19">
        <v>3.42</v>
      </c>
      <c r="O37" s="19">
        <v>2.92</v>
      </c>
      <c r="P37" s="19">
        <v>3.27</v>
      </c>
      <c r="Q37" s="19">
        <v>3.46</v>
      </c>
      <c r="R37" s="19">
        <v>3.81</v>
      </c>
      <c r="S37" s="19">
        <v>3.77</v>
      </c>
      <c r="T37" s="19">
        <v>3.85</v>
      </c>
      <c r="U37" s="19">
        <v>3.46</v>
      </c>
      <c r="V37" s="19">
        <v>3.73</v>
      </c>
      <c r="W37" s="19">
        <v>3.65</v>
      </c>
      <c r="X37" s="19">
        <v>3.77</v>
      </c>
      <c r="Y37" s="19">
        <v>3</v>
      </c>
      <c r="Z37" s="19">
        <v>2.96</v>
      </c>
      <c r="AA37" s="19">
        <v>3.23</v>
      </c>
      <c r="AB37" s="19">
        <v>2.92</v>
      </c>
    </row>
    <row r="38" spans="1:28">
      <c r="A38" s="39" t="s">
        <v>54</v>
      </c>
      <c r="B38" s="13" t="s">
        <v>13</v>
      </c>
      <c r="C38" s="14">
        <v>44</v>
      </c>
      <c r="D38" s="18">
        <v>3.02</v>
      </c>
      <c r="E38" s="18">
        <v>2.8</v>
      </c>
      <c r="F38" s="18">
        <v>2.14</v>
      </c>
      <c r="G38" s="18">
        <v>3.16</v>
      </c>
      <c r="H38" s="18">
        <v>2.61</v>
      </c>
      <c r="I38" s="18">
        <v>2.98</v>
      </c>
      <c r="J38" s="18">
        <v>2.8</v>
      </c>
      <c r="K38" s="18">
        <v>3.39</v>
      </c>
      <c r="L38" s="18">
        <v>3.23</v>
      </c>
      <c r="M38" s="18">
        <v>3.73</v>
      </c>
      <c r="N38" s="18">
        <v>3.52</v>
      </c>
      <c r="O38" s="18">
        <v>3.23</v>
      </c>
      <c r="P38" s="18">
        <v>3.27</v>
      </c>
      <c r="Q38" s="18">
        <v>3.43</v>
      </c>
      <c r="R38" s="18">
        <v>4</v>
      </c>
      <c r="S38" s="18">
        <v>3.95</v>
      </c>
      <c r="T38" s="18">
        <v>3.93</v>
      </c>
      <c r="U38" s="18">
        <v>3.82</v>
      </c>
      <c r="V38" s="18">
        <v>4</v>
      </c>
      <c r="W38" s="18">
        <v>3.86</v>
      </c>
      <c r="X38" s="18">
        <v>3.95</v>
      </c>
      <c r="Y38" s="18">
        <v>3.11</v>
      </c>
      <c r="Z38" s="18">
        <v>3.14</v>
      </c>
      <c r="AA38" s="18">
        <v>3.48</v>
      </c>
      <c r="AB38" s="18">
        <v>3.11</v>
      </c>
    </row>
    <row r="39" spans="1:28">
      <c r="A39" s="39"/>
      <c r="B39" s="15" t="s">
        <v>14</v>
      </c>
      <c r="C39" s="16">
        <v>217</v>
      </c>
      <c r="D39" s="19">
        <v>2.86</v>
      </c>
      <c r="E39" s="19">
        <v>2.12</v>
      </c>
      <c r="F39" s="19">
        <v>1.93</v>
      </c>
      <c r="G39" s="19">
        <v>2.9</v>
      </c>
      <c r="H39" s="19">
        <v>2.36</v>
      </c>
      <c r="I39" s="19">
        <v>2.73</v>
      </c>
      <c r="J39" s="19">
        <v>2.52</v>
      </c>
      <c r="K39" s="19">
        <v>2.77</v>
      </c>
      <c r="L39" s="19">
        <v>2.82</v>
      </c>
      <c r="M39" s="19">
        <v>3.51</v>
      </c>
      <c r="N39" s="19">
        <v>3.21</v>
      </c>
      <c r="O39" s="19">
        <v>2.87</v>
      </c>
      <c r="P39" s="19">
        <v>2.99</v>
      </c>
      <c r="Q39" s="19">
        <v>3.3</v>
      </c>
      <c r="R39" s="19">
        <v>3.57</v>
      </c>
      <c r="S39" s="19">
        <v>3.52</v>
      </c>
      <c r="T39" s="19">
        <v>3.47</v>
      </c>
      <c r="U39" s="19">
        <v>3.16</v>
      </c>
      <c r="V39" s="19">
        <v>3.53</v>
      </c>
      <c r="W39" s="19">
        <v>3.24</v>
      </c>
      <c r="X39" s="19">
        <v>3.45</v>
      </c>
      <c r="Y39" s="19">
        <v>2.9</v>
      </c>
      <c r="Z39" s="19">
        <v>2.79</v>
      </c>
      <c r="AA39" s="19">
        <v>3.11</v>
      </c>
      <c r="AB39" s="19">
        <v>2.8</v>
      </c>
    </row>
    <row r="40" spans="1:28">
      <c r="A40" s="39"/>
      <c r="B40" s="13" t="s">
        <v>15</v>
      </c>
      <c r="C40" s="14">
        <v>159</v>
      </c>
      <c r="D40" s="18">
        <v>3.09</v>
      </c>
      <c r="E40" s="18">
        <v>2.5099999999999998</v>
      </c>
      <c r="F40" s="18">
        <v>2.0299999999999998</v>
      </c>
      <c r="G40" s="18">
        <v>3.28</v>
      </c>
      <c r="H40" s="18">
        <v>2.77</v>
      </c>
      <c r="I40" s="18">
        <v>3</v>
      </c>
      <c r="J40" s="18">
        <v>2.82</v>
      </c>
      <c r="K40" s="18">
        <v>3.22</v>
      </c>
      <c r="L40" s="18">
        <v>3.14</v>
      </c>
      <c r="M40" s="18">
        <v>3.75</v>
      </c>
      <c r="N40" s="18">
        <v>3.53</v>
      </c>
      <c r="O40" s="18">
        <v>3.28</v>
      </c>
      <c r="P40" s="18">
        <v>3.29</v>
      </c>
      <c r="Q40" s="18">
        <v>3.6</v>
      </c>
      <c r="R40" s="18">
        <v>3.87</v>
      </c>
      <c r="S40" s="18">
        <v>3.92</v>
      </c>
      <c r="T40" s="18">
        <v>3.92</v>
      </c>
      <c r="U40" s="18">
        <v>3.58</v>
      </c>
      <c r="V40" s="18">
        <v>3.82</v>
      </c>
      <c r="W40" s="18">
        <v>3.55</v>
      </c>
      <c r="X40" s="18">
        <v>3.72</v>
      </c>
      <c r="Y40" s="18">
        <v>3.05</v>
      </c>
      <c r="Z40" s="18">
        <v>2.87</v>
      </c>
      <c r="AA40" s="18">
        <v>3.25</v>
      </c>
      <c r="AB40" s="18">
        <v>2.87</v>
      </c>
    </row>
    <row r="41" spans="1:28">
      <c r="A41" s="39"/>
      <c r="B41" s="15" t="s">
        <v>16</v>
      </c>
      <c r="C41" s="16">
        <v>36</v>
      </c>
      <c r="D41" s="19">
        <v>2.58</v>
      </c>
      <c r="E41" s="19">
        <v>2.08</v>
      </c>
      <c r="F41" s="19">
        <v>1.78</v>
      </c>
      <c r="G41" s="19">
        <v>2.5</v>
      </c>
      <c r="H41" s="19">
        <v>2.2200000000000002</v>
      </c>
      <c r="I41" s="19">
        <v>2.4700000000000002</v>
      </c>
      <c r="J41" s="19">
        <v>2.33</v>
      </c>
      <c r="K41" s="19">
        <v>2.5</v>
      </c>
      <c r="L41" s="19">
        <v>2.44</v>
      </c>
      <c r="M41" s="19">
        <v>3.19</v>
      </c>
      <c r="N41" s="19">
        <v>2.94</v>
      </c>
      <c r="O41" s="19">
        <v>2.56</v>
      </c>
      <c r="P41" s="19">
        <v>2.75</v>
      </c>
      <c r="Q41" s="19">
        <v>2.97</v>
      </c>
      <c r="R41" s="19">
        <v>3.22</v>
      </c>
      <c r="S41" s="19">
        <v>3.22</v>
      </c>
      <c r="T41" s="19">
        <v>3.44</v>
      </c>
      <c r="U41" s="19">
        <v>3.14</v>
      </c>
      <c r="V41" s="19">
        <v>3.61</v>
      </c>
      <c r="W41" s="19">
        <v>3.22</v>
      </c>
      <c r="X41" s="19">
        <v>3.33</v>
      </c>
      <c r="Y41" s="19">
        <v>2.64</v>
      </c>
      <c r="Z41" s="19">
        <v>2.4700000000000002</v>
      </c>
      <c r="AA41" s="19">
        <v>2.97</v>
      </c>
      <c r="AB41" s="19">
        <v>2.36</v>
      </c>
    </row>
    <row r="42" spans="1:28">
      <c r="A42" s="39" t="s">
        <v>55</v>
      </c>
      <c r="B42" s="13" t="s">
        <v>17</v>
      </c>
      <c r="C42" s="14">
        <v>26</v>
      </c>
      <c r="D42" s="18">
        <v>3.15</v>
      </c>
      <c r="E42" s="18">
        <v>2.65</v>
      </c>
      <c r="F42" s="18">
        <v>2.15</v>
      </c>
      <c r="G42" s="18">
        <v>3.54</v>
      </c>
      <c r="H42" s="18">
        <v>2.92</v>
      </c>
      <c r="I42" s="18">
        <v>3.08</v>
      </c>
      <c r="J42" s="18">
        <v>2.96</v>
      </c>
      <c r="K42" s="18">
        <v>3.38</v>
      </c>
      <c r="L42" s="18">
        <v>3.27</v>
      </c>
      <c r="M42" s="18">
        <v>3.96</v>
      </c>
      <c r="N42" s="18">
        <v>3.62</v>
      </c>
      <c r="O42" s="18">
        <v>3.35</v>
      </c>
      <c r="P42" s="18">
        <v>3.15</v>
      </c>
      <c r="Q42" s="18">
        <v>3.85</v>
      </c>
      <c r="R42" s="18">
        <v>4.08</v>
      </c>
      <c r="S42" s="18">
        <v>4.1500000000000004</v>
      </c>
      <c r="T42" s="18">
        <v>4.1900000000000004</v>
      </c>
      <c r="U42" s="18">
        <v>3.88</v>
      </c>
      <c r="V42" s="18">
        <v>4.1500000000000004</v>
      </c>
      <c r="W42" s="18">
        <v>3.77</v>
      </c>
      <c r="X42" s="18">
        <v>4</v>
      </c>
      <c r="Y42" s="18">
        <v>3.35</v>
      </c>
      <c r="Z42" s="18">
        <v>3.23</v>
      </c>
      <c r="AA42" s="18">
        <v>3.85</v>
      </c>
      <c r="AB42" s="18">
        <v>3.46</v>
      </c>
    </row>
    <row r="43" spans="1:28">
      <c r="A43" s="39"/>
      <c r="B43" s="15" t="s">
        <v>18</v>
      </c>
      <c r="C43" s="16">
        <v>38</v>
      </c>
      <c r="D43" s="19">
        <v>2.74</v>
      </c>
      <c r="E43" s="19">
        <v>2.37</v>
      </c>
      <c r="F43" s="19">
        <v>2</v>
      </c>
      <c r="G43" s="19">
        <v>3.37</v>
      </c>
      <c r="H43" s="19">
        <v>2.68</v>
      </c>
      <c r="I43" s="19">
        <v>2.79</v>
      </c>
      <c r="J43" s="19">
        <v>2.58</v>
      </c>
      <c r="K43" s="19">
        <v>2.92</v>
      </c>
      <c r="L43" s="19">
        <v>2.87</v>
      </c>
      <c r="M43" s="19">
        <v>3.53</v>
      </c>
      <c r="N43" s="19">
        <v>3.39</v>
      </c>
      <c r="O43" s="19">
        <v>3</v>
      </c>
      <c r="P43" s="19">
        <v>3.08</v>
      </c>
      <c r="Q43" s="19">
        <v>3.63</v>
      </c>
      <c r="R43" s="19">
        <v>3.76</v>
      </c>
      <c r="S43" s="19">
        <v>3.79</v>
      </c>
      <c r="T43" s="19">
        <v>3.84</v>
      </c>
      <c r="U43" s="19">
        <v>3.37</v>
      </c>
      <c r="V43" s="19">
        <v>3.68</v>
      </c>
      <c r="W43" s="19">
        <v>3.32</v>
      </c>
      <c r="X43" s="19">
        <v>3.76</v>
      </c>
      <c r="Y43" s="19">
        <v>3.18</v>
      </c>
      <c r="Z43" s="19">
        <v>2.79</v>
      </c>
      <c r="AA43" s="19">
        <v>3.42</v>
      </c>
      <c r="AB43" s="19">
        <v>2.87</v>
      </c>
    </row>
    <row r="44" spans="1:28">
      <c r="A44" s="39"/>
      <c r="B44" s="13" t="s">
        <v>19</v>
      </c>
      <c r="C44" s="14">
        <v>110</v>
      </c>
      <c r="D44" s="18">
        <v>2.85</v>
      </c>
      <c r="E44" s="18">
        <v>2.2999999999999998</v>
      </c>
      <c r="F44" s="18">
        <v>1.95</v>
      </c>
      <c r="G44" s="18">
        <v>3.05</v>
      </c>
      <c r="H44" s="18">
        <v>2.5499999999999998</v>
      </c>
      <c r="I44" s="18">
        <v>2.76</v>
      </c>
      <c r="J44" s="18">
        <v>2.62</v>
      </c>
      <c r="K44" s="18">
        <v>2.85</v>
      </c>
      <c r="L44" s="18">
        <v>2.8</v>
      </c>
      <c r="M44" s="18">
        <v>3.42</v>
      </c>
      <c r="N44" s="18">
        <v>3.17</v>
      </c>
      <c r="O44" s="18">
        <v>2.8</v>
      </c>
      <c r="P44" s="18">
        <v>2.92</v>
      </c>
      <c r="Q44" s="18">
        <v>3.45</v>
      </c>
      <c r="R44" s="18">
        <v>3.76</v>
      </c>
      <c r="S44" s="18">
        <v>3.67</v>
      </c>
      <c r="T44" s="18">
        <v>3.77</v>
      </c>
      <c r="U44" s="18">
        <v>3.37</v>
      </c>
      <c r="V44" s="18">
        <v>3.72</v>
      </c>
      <c r="W44" s="18">
        <v>3.44</v>
      </c>
      <c r="X44" s="18">
        <v>3.64</v>
      </c>
      <c r="Y44" s="18">
        <v>2.84</v>
      </c>
      <c r="Z44" s="18">
        <v>2.74</v>
      </c>
      <c r="AA44" s="18">
        <v>3.17</v>
      </c>
      <c r="AB44" s="18">
        <v>2.72</v>
      </c>
    </row>
    <row r="45" spans="1:28">
      <c r="A45" s="39"/>
      <c r="B45" s="15" t="s">
        <v>20</v>
      </c>
      <c r="C45" s="16">
        <v>153</v>
      </c>
      <c r="D45" s="19">
        <v>2.91</v>
      </c>
      <c r="E45" s="19">
        <v>2.3199999999999998</v>
      </c>
      <c r="F45" s="19">
        <v>2.04</v>
      </c>
      <c r="G45" s="19">
        <v>2.92</v>
      </c>
      <c r="H45" s="19">
        <v>2.46</v>
      </c>
      <c r="I45" s="19">
        <v>2.77</v>
      </c>
      <c r="J45" s="19">
        <v>2.52</v>
      </c>
      <c r="K45" s="19">
        <v>2.92</v>
      </c>
      <c r="L45" s="19">
        <v>2.98</v>
      </c>
      <c r="M45" s="19">
        <v>3.61</v>
      </c>
      <c r="N45" s="19">
        <v>3.27</v>
      </c>
      <c r="O45" s="19">
        <v>2.98</v>
      </c>
      <c r="P45" s="19">
        <v>3.08</v>
      </c>
      <c r="Q45" s="19">
        <v>3.25</v>
      </c>
      <c r="R45" s="19">
        <v>3.59</v>
      </c>
      <c r="S45" s="19">
        <v>3.52</v>
      </c>
      <c r="T45" s="19">
        <v>3.47</v>
      </c>
      <c r="U45" s="19">
        <v>3.25</v>
      </c>
      <c r="V45" s="19">
        <v>3.56</v>
      </c>
      <c r="W45" s="19">
        <v>3.33</v>
      </c>
      <c r="X45" s="19">
        <v>3.44</v>
      </c>
      <c r="Y45" s="19">
        <v>2.96</v>
      </c>
      <c r="Z45" s="19">
        <v>2.86</v>
      </c>
      <c r="AA45" s="19">
        <v>3.08</v>
      </c>
      <c r="AB45" s="19">
        <v>2.76</v>
      </c>
    </row>
    <row r="46" spans="1:28">
      <c r="A46" s="39"/>
      <c r="B46" s="13" t="s">
        <v>21</v>
      </c>
      <c r="C46" s="14">
        <v>127</v>
      </c>
      <c r="D46" s="18">
        <v>3.06</v>
      </c>
      <c r="E46" s="18">
        <v>2.25</v>
      </c>
      <c r="F46" s="18">
        <v>1.87</v>
      </c>
      <c r="G46" s="18">
        <v>2.91</v>
      </c>
      <c r="H46" s="18">
        <v>2.39</v>
      </c>
      <c r="I46" s="18">
        <v>2.9</v>
      </c>
      <c r="J46" s="18">
        <v>2.73</v>
      </c>
      <c r="K46" s="18">
        <v>3.03</v>
      </c>
      <c r="L46" s="18">
        <v>2.95</v>
      </c>
      <c r="M46" s="18">
        <v>3.65</v>
      </c>
      <c r="N46" s="18">
        <v>3.45</v>
      </c>
      <c r="O46" s="18">
        <v>3.19</v>
      </c>
      <c r="P46" s="18">
        <v>3.27</v>
      </c>
      <c r="Q46" s="18">
        <v>3.33</v>
      </c>
      <c r="R46" s="18">
        <v>3.65</v>
      </c>
      <c r="S46" s="18">
        <v>3.73</v>
      </c>
      <c r="T46" s="18">
        <v>3.65</v>
      </c>
      <c r="U46" s="18">
        <v>3.38</v>
      </c>
      <c r="V46" s="18">
        <v>3.7</v>
      </c>
      <c r="W46" s="18">
        <v>3.42</v>
      </c>
      <c r="X46" s="18">
        <v>3.56</v>
      </c>
      <c r="Y46" s="18">
        <v>2.91</v>
      </c>
      <c r="Z46" s="18">
        <v>2.79</v>
      </c>
      <c r="AA46" s="18">
        <v>3.11</v>
      </c>
      <c r="AB46" s="18">
        <v>2.82</v>
      </c>
    </row>
    <row r="47" spans="1:28">
      <c r="A47" s="39"/>
      <c r="B47" s="15" t="s">
        <v>16</v>
      </c>
      <c r="C47" s="16">
        <v>2</v>
      </c>
      <c r="D47" s="19">
        <v>2.5</v>
      </c>
      <c r="E47" s="19">
        <v>1.5</v>
      </c>
      <c r="F47" s="19">
        <v>1.5</v>
      </c>
      <c r="G47" s="19">
        <v>4.5</v>
      </c>
      <c r="H47" s="19">
        <v>4.5</v>
      </c>
      <c r="I47" s="19">
        <v>3.5</v>
      </c>
      <c r="J47" s="19">
        <v>3.5</v>
      </c>
      <c r="K47" s="19">
        <v>4.5</v>
      </c>
      <c r="L47" s="19">
        <v>4.5</v>
      </c>
      <c r="M47" s="19">
        <v>4.5</v>
      </c>
      <c r="N47" s="19">
        <v>4</v>
      </c>
      <c r="O47" s="19">
        <v>4</v>
      </c>
      <c r="P47" s="19">
        <v>4</v>
      </c>
      <c r="Q47" s="19">
        <v>4</v>
      </c>
      <c r="R47" s="19">
        <v>3</v>
      </c>
      <c r="S47" s="19">
        <v>4.5</v>
      </c>
      <c r="T47" s="19">
        <v>4.5</v>
      </c>
      <c r="U47" s="19">
        <v>4.5</v>
      </c>
      <c r="V47" s="19">
        <v>4.5</v>
      </c>
      <c r="W47" s="19">
        <v>4</v>
      </c>
      <c r="X47" s="19">
        <v>4.5</v>
      </c>
      <c r="Y47" s="19">
        <v>2.5</v>
      </c>
      <c r="Z47" s="19">
        <v>2.5</v>
      </c>
      <c r="AA47" s="19">
        <v>2.5</v>
      </c>
      <c r="AB47" s="19">
        <v>3</v>
      </c>
    </row>
    <row r="48" spans="1:28" ht="22.5">
      <c r="A48" s="39" t="s">
        <v>56</v>
      </c>
      <c r="B48" s="13" t="s">
        <v>22</v>
      </c>
      <c r="C48" s="14">
        <v>133</v>
      </c>
      <c r="D48" s="18">
        <v>3.04</v>
      </c>
      <c r="E48" s="18">
        <v>2.41</v>
      </c>
      <c r="F48" s="18">
        <v>2.14</v>
      </c>
      <c r="G48" s="18">
        <v>3.24</v>
      </c>
      <c r="H48" s="18">
        <v>2.74</v>
      </c>
      <c r="I48" s="18">
        <v>2.95</v>
      </c>
      <c r="J48" s="18">
        <v>2.75</v>
      </c>
      <c r="K48" s="18">
        <v>3.08</v>
      </c>
      <c r="L48" s="18">
        <v>3.02</v>
      </c>
      <c r="M48" s="18">
        <v>3.74</v>
      </c>
      <c r="N48" s="18">
        <v>3.5</v>
      </c>
      <c r="O48" s="18">
        <v>3.11</v>
      </c>
      <c r="P48" s="18">
        <v>3.27</v>
      </c>
      <c r="Q48" s="18">
        <v>3.64</v>
      </c>
      <c r="R48" s="18">
        <v>3.92</v>
      </c>
      <c r="S48" s="18">
        <v>3.9</v>
      </c>
      <c r="T48" s="18">
        <v>3.9</v>
      </c>
      <c r="U48" s="18">
        <v>3.58</v>
      </c>
      <c r="V48" s="18">
        <v>3.84</v>
      </c>
      <c r="W48" s="18">
        <v>3.6</v>
      </c>
      <c r="X48" s="18">
        <v>3.83</v>
      </c>
      <c r="Y48" s="18">
        <v>3.17</v>
      </c>
      <c r="Z48" s="18">
        <v>2.98</v>
      </c>
      <c r="AA48" s="18">
        <v>3.5</v>
      </c>
      <c r="AB48" s="18">
        <v>3.1</v>
      </c>
    </row>
    <row r="49" spans="1:28">
      <c r="A49" s="39"/>
      <c r="B49" s="15" t="s">
        <v>23</v>
      </c>
      <c r="C49" s="16">
        <v>323</v>
      </c>
      <c r="D49" s="19">
        <v>2.89</v>
      </c>
      <c r="E49" s="19">
        <v>2.2799999999999998</v>
      </c>
      <c r="F49" s="19">
        <v>1.9</v>
      </c>
      <c r="G49" s="19">
        <v>2.94</v>
      </c>
      <c r="H49" s="19">
        <v>2.42</v>
      </c>
      <c r="I49" s="19">
        <v>2.77</v>
      </c>
      <c r="J49" s="19">
        <v>2.59</v>
      </c>
      <c r="K49" s="19">
        <v>2.92</v>
      </c>
      <c r="L49" s="19">
        <v>2.91</v>
      </c>
      <c r="M49" s="19">
        <v>3.53</v>
      </c>
      <c r="N49" s="19">
        <v>3.26</v>
      </c>
      <c r="O49" s="19">
        <v>2.98</v>
      </c>
      <c r="P49" s="19">
        <v>3.03</v>
      </c>
      <c r="Q49" s="19">
        <v>3.29</v>
      </c>
      <c r="R49" s="19">
        <v>3.59</v>
      </c>
      <c r="S49" s="19">
        <v>3.59</v>
      </c>
      <c r="T49" s="19">
        <v>3.57</v>
      </c>
      <c r="U49" s="19">
        <v>3.28</v>
      </c>
      <c r="V49" s="19">
        <v>3.62</v>
      </c>
      <c r="W49" s="19">
        <v>3.33</v>
      </c>
      <c r="X49" s="19">
        <v>3.48</v>
      </c>
      <c r="Y49" s="19">
        <v>2.86</v>
      </c>
      <c r="Z49" s="19">
        <v>2.76</v>
      </c>
      <c r="AA49" s="19">
        <v>3.05</v>
      </c>
      <c r="AB49" s="19">
        <v>2.7</v>
      </c>
    </row>
    <row r="50" spans="1:28">
      <c r="A50" s="39" t="s">
        <v>57</v>
      </c>
      <c r="B50" s="13" t="s">
        <v>24</v>
      </c>
      <c r="C50" s="14">
        <v>57</v>
      </c>
      <c r="D50" s="18">
        <v>2.96</v>
      </c>
      <c r="E50" s="18">
        <v>2.21</v>
      </c>
      <c r="F50" s="18">
        <v>1.98</v>
      </c>
      <c r="G50" s="18">
        <v>3.09</v>
      </c>
      <c r="H50" s="18">
        <v>2.46</v>
      </c>
      <c r="I50" s="18">
        <v>2.98</v>
      </c>
      <c r="J50" s="18">
        <v>2.82</v>
      </c>
      <c r="K50" s="18">
        <v>3.23</v>
      </c>
      <c r="L50" s="18">
        <v>3.18</v>
      </c>
      <c r="M50" s="18">
        <v>3.75</v>
      </c>
      <c r="N50" s="18">
        <v>3.54</v>
      </c>
      <c r="O50" s="18">
        <v>3.35</v>
      </c>
      <c r="P50" s="18">
        <v>3.46</v>
      </c>
      <c r="Q50" s="18">
        <v>3.26</v>
      </c>
      <c r="R50" s="18">
        <v>3.74</v>
      </c>
      <c r="S50" s="18">
        <v>3.82</v>
      </c>
      <c r="T50" s="18">
        <v>3.74</v>
      </c>
      <c r="U50" s="18">
        <v>3.49</v>
      </c>
      <c r="V50" s="18">
        <v>3.75</v>
      </c>
      <c r="W50" s="18">
        <v>3.51</v>
      </c>
      <c r="X50" s="18">
        <v>3.61</v>
      </c>
      <c r="Y50" s="18">
        <v>3.04</v>
      </c>
      <c r="Z50" s="18">
        <v>2.98</v>
      </c>
      <c r="AA50" s="18">
        <v>3.21</v>
      </c>
      <c r="AB50" s="18">
        <v>2.91</v>
      </c>
    </row>
    <row r="51" spans="1:28">
      <c r="A51" s="39"/>
      <c r="B51" s="15" t="s">
        <v>25</v>
      </c>
      <c r="C51" s="16">
        <v>188</v>
      </c>
      <c r="D51" s="19">
        <v>3.11</v>
      </c>
      <c r="E51" s="19">
        <v>2.37</v>
      </c>
      <c r="F51" s="19">
        <v>2.02</v>
      </c>
      <c r="G51" s="19">
        <v>2.92</v>
      </c>
      <c r="H51" s="19">
        <v>2.4900000000000002</v>
      </c>
      <c r="I51" s="19">
        <v>2.9</v>
      </c>
      <c r="J51" s="19">
        <v>2.66</v>
      </c>
      <c r="K51" s="19">
        <v>3.05</v>
      </c>
      <c r="L51" s="19">
        <v>3.02</v>
      </c>
      <c r="M51" s="19">
        <v>3.6</v>
      </c>
      <c r="N51" s="19">
        <v>3.37</v>
      </c>
      <c r="O51" s="19">
        <v>3.09</v>
      </c>
      <c r="P51" s="19">
        <v>3.14</v>
      </c>
      <c r="Q51" s="19">
        <v>3.35</v>
      </c>
      <c r="R51" s="19">
        <v>3.6</v>
      </c>
      <c r="S51" s="19">
        <v>3.62</v>
      </c>
      <c r="T51" s="19">
        <v>3.53</v>
      </c>
      <c r="U51" s="19">
        <v>3.29</v>
      </c>
      <c r="V51" s="19">
        <v>3.6</v>
      </c>
      <c r="W51" s="19">
        <v>3.38</v>
      </c>
      <c r="X51" s="19">
        <v>3.49</v>
      </c>
      <c r="Y51" s="19">
        <v>2.92</v>
      </c>
      <c r="Z51" s="19">
        <v>2.85</v>
      </c>
      <c r="AA51" s="19">
        <v>3.12</v>
      </c>
      <c r="AB51" s="19">
        <v>2.83</v>
      </c>
    </row>
    <row r="52" spans="1:28">
      <c r="A52" s="39"/>
      <c r="B52" s="13" t="s">
        <v>26</v>
      </c>
      <c r="C52" s="14">
        <v>130</v>
      </c>
      <c r="D52" s="18">
        <v>2.75</v>
      </c>
      <c r="E52" s="18">
        <v>2.25</v>
      </c>
      <c r="F52" s="18">
        <v>1.89</v>
      </c>
      <c r="G52" s="18">
        <v>3.04</v>
      </c>
      <c r="H52" s="18">
        <v>2.5299999999999998</v>
      </c>
      <c r="I52" s="18">
        <v>2.72</v>
      </c>
      <c r="J52" s="18">
        <v>2.56</v>
      </c>
      <c r="K52" s="18">
        <v>2.85</v>
      </c>
      <c r="L52" s="18">
        <v>2.83</v>
      </c>
      <c r="M52" s="18">
        <v>3.55</v>
      </c>
      <c r="N52" s="18">
        <v>3.28</v>
      </c>
      <c r="O52" s="18">
        <v>2.92</v>
      </c>
      <c r="P52" s="18">
        <v>3.05</v>
      </c>
      <c r="Q52" s="18">
        <v>3.4</v>
      </c>
      <c r="R52" s="18">
        <v>3.72</v>
      </c>
      <c r="S52" s="18">
        <v>3.62</v>
      </c>
      <c r="T52" s="18">
        <v>3.74</v>
      </c>
      <c r="U52" s="18">
        <v>3.3</v>
      </c>
      <c r="V52" s="18">
        <v>3.72</v>
      </c>
      <c r="W52" s="18">
        <v>3.39</v>
      </c>
      <c r="X52" s="18">
        <v>3.57</v>
      </c>
      <c r="Y52" s="18">
        <v>2.81</v>
      </c>
      <c r="Z52" s="18">
        <v>2.66</v>
      </c>
      <c r="AA52" s="18">
        <v>3.14</v>
      </c>
      <c r="AB52" s="18">
        <v>2.61</v>
      </c>
    </row>
    <row r="53" spans="1:28">
      <c r="A53" s="39"/>
      <c r="B53" s="15" t="s">
        <v>27</v>
      </c>
      <c r="C53" s="16">
        <v>81</v>
      </c>
      <c r="D53" s="19">
        <v>2.8</v>
      </c>
      <c r="E53" s="19">
        <v>2.36</v>
      </c>
      <c r="F53" s="19">
        <v>1.99</v>
      </c>
      <c r="G53" s="19">
        <v>3.22</v>
      </c>
      <c r="H53" s="19">
        <v>2.58</v>
      </c>
      <c r="I53" s="19">
        <v>2.72</v>
      </c>
      <c r="J53" s="19">
        <v>2.57</v>
      </c>
      <c r="K53" s="19">
        <v>2.79</v>
      </c>
      <c r="L53" s="19">
        <v>2.79</v>
      </c>
      <c r="M53" s="19">
        <v>3.52</v>
      </c>
      <c r="N53" s="19">
        <v>3.16</v>
      </c>
      <c r="O53" s="19">
        <v>2.8</v>
      </c>
      <c r="P53" s="19">
        <v>2.85</v>
      </c>
      <c r="Q53" s="19">
        <v>3.58</v>
      </c>
      <c r="R53" s="19">
        <v>3.81</v>
      </c>
      <c r="S53" s="19">
        <v>3.81</v>
      </c>
      <c r="T53" s="19">
        <v>3.84</v>
      </c>
      <c r="U53" s="19">
        <v>3.56</v>
      </c>
      <c r="V53" s="19">
        <v>3.79</v>
      </c>
      <c r="W53" s="19">
        <v>3.42</v>
      </c>
      <c r="X53" s="19">
        <v>3.8</v>
      </c>
      <c r="Y53" s="19">
        <v>3.21</v>
      </c>
      <c r="Z53" s="19">
        <v>2.91</v>
      </c>
      <c r="AA53" s="19">
        <v>3.38</v>
      </c>
      <c r="AB53" s="19">
        <v>3.06</v>
      </c>
    </row>
  </sheetData>
  <mergeCells count="15">
    <mergeCell ref="A2:A3"/>
    <mergeCell ref="B2:B3"/>
    <mergeCell ref="C2:C3"/>
    <mergeCell ref="A4:B4"/>
    <mergeCell ref="A5:A10"/>
    <mergeCell ref="A11:A14"/>
    <mergeCell ref="A50:A53"/>
    <mergeCell ref="A15:A20"/>
    <mergeCell ref="A21:A22"/>
    <mergeCell ref="A23:A26"/>
    <mergeCell ref="A31:B31"/>
    <mergeCell ref="A32:A37"/>
    <mergeCell ref="A38:A41"/>
    <mergeCell ref="A42:A47"/>
    <mergeCell ref="A48:A49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EA16-574D-4AD0-A4F0-9C1FA4261F07}">
  <dimension ref="A1:AB53"/>
  <sheetViews>
    <sheetView topLeftCell="A22" zoomScale="85" zoomScaleNormal="85" workbookViewId="0">
      <selection activeCell="K52" sqref="K52"/>
    </sheetView>
  </sheetViews>
  <sheetFormatPr defaultRowHeight="16.899999999999999"/>
  <sheetData>
    <row r="1" spans="1:6">
      <c r="A1" s="1"/>
      <c r="B1" s="1"/>
      <c r="C1" s="1"/>
      <c r="D1" s="1"/>
      <c r="E1" s="1"/>
      <c r="F1" s="1"/>
    </row>
    <row r="2" spans="1:6">
      <c r="A2" s="41" t="s">
        <v>0</v>
      </c>
      <c r="B2" s="41" t="s">
        <v>1</v>
      </c>
      <c r="C2" s="41" t="s">
        <v>2</v>
      </c>
      <c r="D2" s="2" t="s">
        <v>3</v>
      </c>
      <c r="E2" s="2" t="s">
        <v>3</v>
      </c>
      <c r="F2" s="2" t="s">
        <v>3</v>
      </c>
    </row>
    <row r="3" spans="1:6">
      <c r="A3" s="41"/>
      <c r="B3" s="41"/>
      <c r="C3" s="41"/>
      <c r="D3" s="3" t="s">
        <v>4</v>
      </c>
      <c r="E3" s="3" t="s">
        <v>4</v>
      </c>
      <c r="F3" s="3" t="s">
        <v>4</v>
      </c>
    </row>
    <row r="4" spans="1:6">
      <c r="A4" s="42" t="s">
        <v>5</v>
      </c>
      <c r="B4" s="42"/>
      <c r="C4" s="4">
        <v>456</v>
      </c>
      <c r="D4" s="4">
        <v>2.93</v>
      </c>
      <c r="E4" s="4">
        <v>2.3199999999999998</v>
      </c>
      <c r="F4" s="4">
        <v>1.97</v>
      </c>
    </row>
    <row r="5" spans="1:6">
      <c r="A5" s="38" t="s">
        <v>6</v>
      </c>
      <c r="B5" s="5" t="s">
        <v>7</v>
      </c>
      <c r="C5" s="6">
        <v>150</v>
      </c>
      <c r="D5" s="6">
        <v>2.88</v>
      </c>
      <c r="E5" s="6">
        <v>2.29</v>
      </c>
      <c r="F5" s="6">
        <v>1.93</v>
      </c>
    </row>
    <row r="6" spans="1:6">
      <c r="A6" s="38"/>
      <c r="B6" s="7" t="s">
        <v>8</v>
      </c>
      <c r="C6" s="8">
        <v>70</v>
      </c>
      <c r="D6" s="8">
        <v>2.97</v>
      </c>
      <c r="E6" s="8">
        <v>2.41</v>
      </c>
      <c r="F6" s="8">
        <v>1.99</v>
      </c>
    </row>
    <row r="7" spans="1:6">
      <c r="A7" s="38"/>
      <c r="B7" s="5" t="s">
        <v>9</v>
      </c>
      <c r="C7" s="6">
        <v>60</v>
      </c>
      <c r="D7" s="6">
        <v>2.95</v>
      </c>
      <c r="E7" s="6">
        <v>2.25</v>
      </c>
      <c r="F7" s="6">
        <v>1.87</v>
      </c>
    </row>
    <row r="8" spans="1:6">
      <c r="A8" s="38"/>
      <c r="B8" s="7" t="s">
        <v>10</v>
      </c>
      <c r="C8" s="8">
        <v>125</v>
      </c>
      <c r="D8" s="8">
        <v>2.9</v>
      </c>
      <c r="E8" s="8">
        <v>2.21</v>
      </c>
      <c r="F8" s="8">
        <v>2.0099999999999998</v>
      </c>
    </row>
    <row r="9" spans="1:6">
      <c r="A9" s="38"/>
      <c r="B9" s="5" t="s">
        <v>11</v>
      </c>
      <c r="C9" s="6">
        <v>25</v>
      </c>
      <c r="D9" s="6">
        <v>3.16</v>
      </c>
      <c r="E9" s="6">
        <v>2.6</v>
      </c>
      <c r="F9" s="6">
        <v>2.04</v>
      </c>
    </row>
    <row r="10" spans="1:6">
      <c r="A10" s="38"/>
      <c r="B10" s="7" t="s">
        <v>12</v>
      </c>
      <c r="C10" s="8">
        <v>26</v>
      </c>
      <c r="D10" s="8">
        <v>3.08</v>
      </c>
      <c r="E10" s="8">
        <v>2.58</v>
      </c>
      <c r="F10" s="8">
        <v>2.15</v>
      </c>
    </row>
    <row r="11" spans="1:6">
      <c r="A11" s="38" t="s">
        <v>6</v>
      </c>
      <c r="B11" s="5" t="s">
        <v>13</v>
      </c>
      <c r="C11" s="6">
        <v>44</v>
      </c>
      <c r="D11" s="6">
        <v>3.02</v>
      </c>
      <c r="E11" s="6">
        <v>2.8</v>
      </c>
      <c r="F11" s="6">
        <v>2.14</v>
      </c>
    </row>
    <row r="12" spans="1:6">
      <c r="A12" s="38"/>
      <c r="B12" s="7" t="s">
        <v>14</v>
      </c>
      <c r="C12" s="8">
        <v>217</v>
      </c>
      <c r="D12" s="8">
        <v>2.86</v>
      </c>
      <c r="E12" s="8">
        <v>2.12</v>
      </c>
      <c r="F12" s="8">
        <v>1.93</v>
      </c>
    </row>
    <row r="13" spans="1:6">
      <c r="A13" s="38"/>
      <c r="B13" s="5" t="s">
        <v>15</v>
      </c>
      <c r="C13" s="6">
        <v>159</v>
      </c>
      <c r="D13" s="6">
        <v>3.09</v>
      </c>
      <c r="E13" s="6">
        <v>2.5099999999999998</v>
      </c>
      <c r="F13" s="6">
        <v>2.0299999999999998</v>
      </c>
    </row>
    <row r="14" spans="1:6">
      <c r="A14" s="38"/>
      <c r="B14" s="7" t="s">
        <v>16</v>
      </c>
      <c r="C14" s="8">
        <v>36</v>
      </c>
      <c r="D14" s="8">
        <v>2.58</v>
      </c>
      <c r="E14" s="8">
        <v>2.08</v>
      </c>
      <c r="F14" s="8">
        <v>1.78</v>
      </c>
    </row>
    <row r="15" spans="1:6">
      <c r="A15" s="38" t="s">
        <v>6</v>
      </c>
      <c r="B15" s="5" t="s">
        <v>17</v>
      </c>
      <c r="C15" s="6">
        <v>26</v>
      </c>
      <c r="D15" s="6">
        <v>3.15</v>
      </c>
      <c r="E15" s="6">
        <v>2.65</v>
      </c>
      <c r="F15" s="6">
        <v>2.15</v>
      </c>
    </row>
    <row r="16" spans="1:6">
      <c r="A16" s="38"/>
      <c r="B16" s="7" t="s">
        <v>18</v>
      </c>
      <c r="C16" s="8">
        <v>38</v>
      </c>
      <c r="D16" s="8">
        <v>2.74</v>
      </c>
      <c r="E16" s="8">
        <v>2.37</v>
      </c>
      <c r="F16" s="8">
        <v>2</v>
      </c>
    </row>
    <row r="17" spans="1:28">
      <c r="A17" s="38"/>
      <c r="B17" s="5" t="s">
        <v>19</v>
      </c>
      <c r="C17" s="6">
        <v>110</v>
      </c>
      <c r="D17" s="6">
        <v>2.85</v>
      </c>
      <c r="E17" s="6">
        <v>2.2999999999999998</v>
      </c>
      <c r="F17" s="6">
        <v>1.95</v>
      </c>
    </row>
    <row r="18" spans="1:28">
      <c r="A18" s="38"/>
      <c r="B18" s="7" t="s">
        <v>20</v>
      </c>
      <c r="C18" s="8">
        <v>153</v>
      </c>
      <c r="D18" s="8">
        <v>2.91</v>
      </c>
      <c r="E18" s="8">
        <v>2.3199999999999998</v>
      </c>
      <c r="F18" s="8">
        <v>2.04</v>
      </c>
    </row>
    <row r="19" spans="1:28">
      <c r="A19" s="38"/>
      <c r="B19" s="5" t="s">
        <v>21</v>
      </c>
      <c r="C19" s="6">
        <v>127</v>
      </c>
      <c r="D19" s="6">
        <v>3.06</v>
      </c>
      <c r="E19" s="6">
        <v>2.25</v>
      </c>
      <c r="F19" s="6">
        <v>1.87</v>
      </c>
    </row>
    <row r="20" spans="1:28">
      <c r="A20" s="38"/>
      <c r="B20" s="7" t="s">
        <v>16</v>
      </c>
      <c r="C20" s="8">
        <v>2</v>
      </c>
      <c r="D20" s="8">
        <v>2.5</v>
      </c>
      <c r="E20" s="8">
        <v>1.5</v>
      </c>
      <c r="F20" s="8">
        <v>1.5</v>
      </c>
    </row>
    <row r="21" spans="1:28" ht="22.5">
      <c r="A21" s="38" t="s">
        <v>6</v>
      </c>
      <c r="B21" s="5" t="s">
        <v>22</v>
      </c>
      <c r="C21" s="6">
        <v>133</v>
      </c>
      <c r="D21" s="6">
        <v>3.04</v>
      </c>
      <c r="E21" s="6">
        <v>2.41</v>
      </c>
      <c r="F21" s="6">
        <v>2.14</v>
      </c>
    </row>
    <row r="22" spans="1:28">
      <c r="A22" s="38"/>
      <c r="B22" s="7" t="s">
        <v>23</v>
      </c>
      <c r="C22" s="8">
        <v>323</v>
      </c>
      <c r="D22" s="8">
        <v>2.89</v>
      </c>
      <c r="E22" s="8">
        <v>2.2799999999999998</v>
      </c>
      <c r="F22" s="8">
        <v>1.9</v>
      </c>
    </row>
    <row r="23" spans="1:28">
      <c r="A23" s="38" t="s">
        <v>6</v>
      </c>
      <c r="B23" s="5" t="s">
        <v>24</v>
      </c>
      <c r="C23" s="6">
        <v>57</v>
      </c>
      <c r="D23" s="6">
        <v>2.96</v>
      </c>
      <c r="E23" s="6">
        <v>2.21</v>
      </c>
      <c r="F23" s="6">
        <v>1.98</v>
      </c>
    </row>
    <row r="24" spans="1:28">
      <c r="A24" s="38"/>
      <c r="B24" s="7" t="s">
        <v>25</v>
      </c>
      <c r="C24" s="8">
        <v>188</v>
      </c>
      <c r="D24" s="8">
        <v>3.11</v>
      </c>
      <c r="E24" s="8">
        <v>2.37</v>
      </c>
      <c r="F24" s="8">
        <v>2.02</v>
      </c>
    </row>
    <row r="25" spans="1:28">
      <c r="A25" s="38"/>
      <c r="B25" s="5" t="s">
        <v>26</v>
      </c>
      <c r="C25" s="6">
        <v>130</v>
      </c>
      <c r="D25" s="6">
        <v>2.75</v>
      </c>
      <c r="E25" s="6">
        <v>2.25</v>
      </c>
      <c r="F25" s="6">
        <v>1.89</v>
      </c>
    </row>
    <row r="26" spans="1:28">
      <c r="A26" s="38"/>
      <c r="B26" s="9" t="s">
        <v>27</v>
      </c>
      <c r="C26" s="10">
        <v>81</v>
      </c>
      <c r="D26" s="10">
        <v>2.8</v>
      </c>
      <c r="E26" s="10">
        <v>2.36</v>
      </c>
      <c r="F26" s="10"/>
    </row>
    <row r="28" spans="1:28">
      <c r="C28" s="45" t="s">
        <v>58</v>
      </c>
      <c r="D28" s="46"/>
      <c r="E28" s="46"/>
      <c r="F28" s="47" t="s">
        <v>59</v>
      </c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spans="1:28">
      <c r="B29" s="49" t="s">
        <v>1</v>
      </c>
      <c r="C29" s="43" t="s">
        <v>64</v>
      </c>
      <c r="D29" s="44"/>
      <c r="E29" s="44"/>
      <c r="F29" s="48" t="s">
        <v>60</v>
      </c>
      <c r="G29" s="48"/>
      <c r="H29" s="48"/>
      <c r="I29" s="48"/>
      <c r="J29" s="48"/>
      <c r="K29" s="48"/>
      <c r="L29" s="48" t="s">
        <v>61</v>
      </c>
      <c r="M29" s="48"/>
      <c r="N29" s="48"/>
      <c r="O29" s="48"/>
      <c r="P29" s="48" t="s">
        <v>62</v>
      </c>
      <c r="Q29" s="48"/>
      <c r="R29" s="48"/>
      <c r="S29" s="48"/>
      <c r="T29" s="48"/>
      <c r="U29" s="48"/>
      <c r="V29" s="48"/>
      <c r="W29" s="48" t="s">
        <v>63</v>
      </c>
      <c r="X29" s="48"/>
      <c r="Y29" s="48"/>
      <c r="Z29" s="48"/>
      <c r="AA29" s="48"/>
    </row>
    <row r="30" spans="1:28">
      <c r="A30" s="11" t="s">
        <v>0</v>
      </c>
      <c r="B30" s="50"/>
      <c r="C30" s="11" t="s">
        <v>87</v>
      </c>
      <c r="D30" s="11" t="s">
        <v>88</v>
      </c>
      <c r="E30" s="11" t="s">
        <v>89</v>
      </c>
      <c r="F30" s="11" t="s">
        <v>65</v>
      </c>
      <c r="G30" s="11" t="s">
        <v>66</v>
      </c>
      <c r="H30" s="11" t="s">
        <v>67</v>
      </c>
      <c r="I30" s="11" t="s">
        <v>68</v>
      </c>
      <c r="J30" s="11" t="s">
        <v>69</v>
      </c>
      <c r="K30" s="11" t="s">
        <v>70</v>
      </c>
      <c r="L30" s="11" t="s">
        <v>71</v>
      </c>
      <c r="M30" s="11" t="s">
        <v>72</v>
      </c>
      <c r="N30" s="11" t="s">
        <v>73</v>
      </c>
      <c r="O30" s="11" t="s">
        <v>74</v>
      </c>
      <c r="P30" s="11" t="s">
        <v>75</v>
      </c>
      <c r="Q30" s="11" t="s">
        <v>76</v>
      </c>
      <c r="R30" s="11" t="s">
        <v>77</v>
      </c>
      <c r="S30" s="11" t="s">
        <v>78</v>
      </c>
      <c r="T30" s="11" t="s">
        <v>79</v>
      </c>
      <c r="U30" s="11" t="s">
        <v>80</v>
      </c>
      <c r="V30" s="11" t="s">
        <v>81</v>
      </c>
      <c r="W30" s="11" t="s">
        <v>82</v>
      </c>
      <c r="X30" s="11" t="s">
        <v>83</v>
      </c>
      <c r="Y30" s="11" t="s">
        <v>84</v>
      </c>
      <c r="Z30" s="11" t="s">
        <v>85</v>
      </c>
      <c r="AA30" s="11" t="s">
        <v>86</v>
      </c>
      <c r="AB30" s="11" t="s">
        <v>2</v>
      </c>
    </row>
    <row r="31" spans="1:28">
      <c r="A31" s="39" t="s">
        <v>53</v>
      </c>
      <c r="B31" s="13" t="s">
        <v>7</v>
      </c>
      <c r="C31" s="18">
        <v>2.88</v>
      </c>
      <c r="D31" s="18">
        <v>2.29</v>
      </c>
      <c r="E31" s="18">
        <v>1.93</v>
      </c>
      <c r="F31" s="18">
        <v>3.03</v>
      </c>
      <c r="G31" s="18">
        <v>2.4700000000000002</v>
      </c>
      <c r="H31" s="18">
        <v>2.76</v>
      </c>
      <c r="I31" s="18">
        <v>2.56</v>
      </c>
      <c r="J31" s="18">
        <v>2.87</v>
      </c>
      <c r="K31" s="18">
        <v>2.79</v>
      </c>
      <c r="L31" s="18">
        <v>3.46</v>
      </c>
      <c r="M31" s="18">
        <v>3.22</v>
      </c>
      <c r="N31" s="18">
        <v>2.96</v>
      </c>
      <c r="O31" s="18">
        <v>3.01</v>
      </c>
      <c r="P31" s="18">
        <v>3.34</v>
      </c>
      <c r="Q31" s="18">
        <v>3.73</v>
      </c>
      <c r="R31" s="18">
        <v>3.66</v>
      </c>
      <c r="S31" s="18">
        <v>3.63</v>
      </c>
      <c r="T31" s="18">
        <v>3.26</v>
      </c>
      <c r="U31" s="18">
        <v>3.63</v>
      </c>
      <c r="V31" s="18">
        <v>3.34</v>
      </c>
      <c r="W31" s="18">
        <v>3.56</v>
      </c>
      <c r="X31" s="18">
        <v>2.9</v>
      </c>
      <c r="Y31" s="18">
        <v>2.71</v>
      </c>
      <c r="Z31" s="18">
        <v>3.17</v>
      </c>
      <c r="AA31" s="18">
        <v>2.77</v>
      </c>
      <c r="AB31" s="14">
        <v>150</v>
      </c>
    </row>
    <row r="32" spans="1:28">
      <c r="A32" s="39"/>
      <c r="B32" s="15" t="s">
        <v>8</v>
      </c>
      <c r="C32" s="19">
        <v>2.97</v>
      </c>
      <c r="D32" s="19">
        <v>2.41</v>
      </c>
      <c r="E32" s="19">
        <v>1.99</v>
      </c>
      <c r="F32" s="19">
        <v>3.14</v>
      </c>
      <c r="G32" s="19">
        <v>2.73</v>
      </c>
      <c r="H32" s="19">
        <v>2.91</v>
      </c>
      <c r="I32" s="19">
        <v>2.71</v>
      </c>
      <c r="J32" s="19">
        <v>3.17</v>
      </c>
      <c r="K32" s="19">
        <v>3.04</v>
      </c>
      <c r="L32" s="19">
        <v>3.6</v>
      </c>
      <c r="M32" s="19">
        <v>3.4</v>
      </c>
      <c r="N32" s="19">
        <v>3.14</v>
      </c>
      <c r="O32" s="19">
        <v>3.1</v>
      </c>
      <c r="P32" s="19">
        <v>3.4</v>
      </c>
      <c r="Q32" s="19">
        <v>3.74</v>
      </c>
      <c r="R32" s="19">
        <v>3.81</v>
      </c>
      <c r="S32" s="19">
        <v>3.91</v>
      </c>
      <c r="T32" s="19">
        <v>3.61</v>
      </c>
      <c r="U32" s="19">
        <v>3.9</v>
      </c>
      <c r="V32" s="19">
        <v>3.51</v>
      </c>
      <c r="W32" s="19">
        <v>3.69</v>
      </c>
      <c r="X32" s="19">
        <v>2.97</v>
      </c>
      <c r="Y32" s="19">
        <v>2.93</v>
      </c>
      <c r="Z32" s="19">
        <v>3.24</v>
      </c>
      <c r="AA32" s="19">
        <v>2.73</v>
      </c>
      <c r="AB32" s="16">
        <v>70</v>
      </c>
    </row>
    <row r="33" spans="1:28">
      <c r="A33" s="39"/>
      <c r="B33" s="13" t="s">
        <v>9</v>
      </c>
      <c r="C33" s="18">
        <v>2.95</v>
      </c>
      <c r="D33" s="18">
        <v>2.25</v>
      </c>
      <c r="E33" s="18">
        <v>1.87</v>
      </c>
      <c r="F33" s="18">
        <v>2.98</v>
      </c>
      <c r="G33" s="18">
        <v>2.52</v>
      </c>
      <c r="H33" s="18">
        <v>2.83</v>
      </c>
      <c r="I33" s="18">
        <v>2.68</v>
      </c>
      <c r="J33" s="18">
        <v>2.95</v>
      </c>
      <c r="K33" s="18">
        <v>3.05</v>
      </c>
      <c r="L33" s="18">
        <v>3.7</v>
      </c>
      <c r="M33" s="18">
        <v>3.43</v>
      </c>
      <c r="N33" s="18">
        <v>3.08</v>
      </c>
      <c r="O33" s="18">
        <v>3.22</v>
      </c>
      <c r="P33" s="18">
        <v>3.57</v>
      </c>
      <c r="Q33" s="18">
        <v>3.63</v>
      </c>
      <c r="R33" s="18">
        <v>3.82</v>
      </c>
      <c r="S33" s="18">
        <v>3.7</v>
      </c>
      <c r="T33" s="18">
        <v>3.47</v>
      </c>
      <c r="U33" s="18">
        <v>3.67</v>
      </c>
      <c r="V33" s="18">
        <v>3.28</v>
      </c>
      <c r="W33" s="18">
        <v>3.65</v>
      </c>
      <c r="X33" s="18">
        <v>2.82</v>
      </c>
      <c r="Y33" s="18">
        <v>2.78</v>
      </c>
      <c r="Z33" s="18">
        <v>3.17</v>
      </c>
      <c r="AA33" s="18">
        <v>2.8</v>
      </c>
      <c r="AB33" s="14">
        <v>60</v>
      </c>
    </row>
    <row r="34" spans="1:28">
      <c r="A34" s="39"/>
      <c r="B34" s="15" t="s">
        <v>10</v>
      </c>
      <c r="C34" s="19">
        <v>2.9</v>
      </c>
      <c r="D34" s="19">
        <v>2.21</v>
      </c>
      <c r="E34" s="19">
        <v>2.0099999999999998</v>
      </c>
      <c r="F34" s="19">
        <v>2.95</v>
      </c>
      <c r="G34" s="19">
        <v>2.4300000000000002</v>
      </c>
      <c r="H34" s="19">
        <v>2.78</v>
      </c>
      <c r="I34" s="19">
        <v>2.59</v>
      </c>
      <c r="J34" s="19">
        <v>2.79</v>
      </c>
      <c r="K34" s="19">
        <v>2.9</v>
      </c>
      <c r="L34" s="19">
        <v>3.6</v>
      </c>
      <c r="M34" s="19">
        <v>3.34</v>
      </c>
      <c r="N34" s="19">
        <v>2.96</v>
      </c>
      <c r="O34" s="19">
        <v>3.06</v>
      </c>
      <c r="P34" s="19">
        <v>3.26</v>
      </c>
      <c r="Q34" s="19">
        <v>3.5</v>
      </c>
      <c r="R34" s="19">
        <v>3.42</v>
      </c>
      <c r="S34" s="19">
        <v>3.43</v>
      </c>
      <c r="T34" s="19">
        <v>3.12</v>
      </c>
      <c r="U34" s="19">
        <v>3.52</v>
      </c>
      <c r="V34" s="19">
        <v>3.3</v>
      </c>
      <c r="W34" s="19">
        <v>3.37</v>
      </c>
      <c r="X34" s="19">
        <v>3.02</v>
      </c>
      <c r="Y34" s="19">
        <v>2.85</v>
      </c>
      <c r="Z34" s="19">
        <v>3.1</v>
      </c>
      <c r="AA34" s="19">
        <v>2.9</v>
      </c>
      <c r="AB34" s="16">
        <v>125</v>
      </c>
    </row>
    <row r="35" spans="1:28">
      <c r="A35" s="39"/>
      <c r="B35" s="13" t="s">
        <v>11</v>
      </c>
      <c r="C35" s="18">
        <v>3.16</v>
      </c>
      <c r="D35" s="18">
        <v>2.6</v>
      </c>
      <c r="E35" s="18">
        <v>2.04</v>
      </c>
      <c r="F35" s="18">
        <v>3.12</v>
      </c>
      <c r="G35" s="18">
        <v>2.56</v>
      </c>
      <c r="H35" s="18">
        <v>3.08</v>
      </c>
      <c r="I35" s="18">
        <v>2.8</v>
      </c>
      <c r="J35" s="18">
        <v>3.52</v>
      </c>
      <c r="K35" s="18">
        <v>3.28</v>
      </c>
      <c r="L35" s="18">
        <v>3.84</v>
      </c>
      <c r="M35" s="18">
        <v>3.44</v>
      </c>
      <c r="N35" s="18">
        <v>3.32</v>
      </c>
      <c r="O35" s="18">
        <v>3.44</v>
      </c>
      <c r="P35" s="18">
        <v>3.84</v>
      </c>
      <c r="Q35" s="18">
        <v>4.28</v>
      </c>
      <c r="R35" s="18">
        <v>4.28</v>
      </c>
      <c r="S35" s="18">
        <v>4.12</v>
      </c>
      <c r="T35" s="18">
        <v>4.2</v>
      </c>
      <c r="U35" s="18">
        <v>4.24</v>
      </c>
      <c r="V35" s="18">
        <v>4.08</v>
      </c>
      <c r="W35" s="18">
        <v>4.16</v>
      </c>
      <c r="X35" s="18">
        <v>3.16</v>
      </c>
      <c r="Y35" s="18">
        <v>3.04</v>
      </c>
      <c r="Z35" s="18">
        <v>3.52</v>
      </c>
      <c r="AA35" s="18">
        <v>2.88</v>
      </c>
      <c r="AB35" s="14">
        <v>25</v>
      </c>
    </row>
    <row r="36" spans="1:28">
      <c r="A36" s="39"/>
      <c r="B36" s="15" t="s">
        <v>12</v>
      </c>
      <c r="C36" s="19">
        <v>3.08</v>
      </c>
      <c r="D36" s="19">
        <v>2.58</v>
      </c>
      <c r="E36" s="19">
        <v>2.15</v>
      </c>
      <c r="F36" s="19">
        <v>3.12</v>
      </c>
      <c r="G36" s="19">
        <v>2.54</v>
      </c>
      <c r="H36" s="19">
        <v>2.92</v>
      </c>
      <c r="I36" s="19">
        <v>2.81</v>
      </c>
      <c r="J36" s="19">
        <v>3.31</v>
      </c>
      <c r="K36" s="19">
        <v>3.19</v>
      </c>
      <c r="L36" s="19">
        <v>3.77</v>
      </c>
      <c r="M36" s="19">
        <v>3.42</v>
      </c>
      <c r="N36" s="19">
        <v>2.92</v>
      </c>
      <c r="O36" s="19">
        <v>3.27</v>
      </c>
      <c r="P36" s="19">
        <v>3.46</v>
      </c>
      <c r="Q36" s="19">
        <v>3.81</v>
      </c>
      <c r="R36" s="19">
        <v>3.77</v>
      </c>
      <c r="S36" s="19">
        <v>3.85</v>
      </c>
      <c r="T36" s="19">
        <v>3.46</v>
      </c>
      <c r="U36" s="19">
        <v>3.73</v>
      </c>
      <c r="V36" s="19">
        <v>3.65</v>
      </c>
      <c r="W36" s="19">
        <v>3.77</v>
      </c>
      <c r="X36" s="19">
        <v>3</v>
      </c>
      <c r="Y36" s="19">
        <v>2.96</v>
      </c>
      <c r="Z36" s="19">
        <v>3.23</v>
      </c>
      <c r="AA36" s="19">
        <v>2.92</v>
      </c>
      <c r="AB36" s="16">
        <v>26</v>
      </c>
    </row>
    <row r="37" spans="1:28">
      <c r="A37" s="39" t="s">
        <v>54</v>
      </c>
      <c r="B37" s="13" t="s">
        <v>13</v>
      </c>
      <c r="C37" s="18">
        <v>3.02</v>
      </c>
      <c r="D37" s="18">
        <v>2.8</v>
      </c>
      <c r="E37" s="18">
        <v>2.14</v>
      </c>
      <c r="F37" s="18">
        <v>3.16</v>
      </c>
      <c r="G37" s="18">
        <v>2.61</v>
      </c>
      <c r="H37" s="18">
        <v>2.98</v>
      </c>
      <c r="I37" s="18">
        <v>2.8</v>
      </c>
      <c r="J37" s="18">
        <v>3.39</v>
      </c>
      <c r="K37" s="18">
        <v>3.23</v>
      </c>
      <c r="L37" s="18">
        <v>3.73</v>
      </c>
      <c r="M37" s="18">
        <v>3.52</v>
      </c>
      <c r="N37" s="18">
        <v>3.23</v>
      </c>
      <c r="O37" s="18">
        <v>3.27</v>
      </c>
      <c r="P37" s="18">
        <v>3.43</v>
      </c>
      <c r="Q37" s="18">
        <v>4</v>
      </c>
      <c r="R37" s="18">
        <v>3.95</v>
      </c>
      <c r="S37" s="18">
        <v>3.93</v>
      </c>
      <c r="T37" s="18">
        <v>3.82</v>
      </c>
      <c r="U37" s="18">
        <v>4</v>
      </c>
      <c r="V37" s="18">
        <v>3.86</v>
      </c>
      <c r="W37" s="18">
        <v>3.95</v>
      </c>
      <c r="X37" s="18">
        <v>3.11</v>
      </c>
      <c r="Y37" s="18">
        <v>3.14</v>
      </c>
      <c r="Z37" s="18">
        <v>3.48</v>
      </c>
      <c r="AA37" s="18">
        <v>3.11</v>
      </c>
      <c r="AB37" s="14">
        <v>44</v>
      </c>
    </row>
    <row r="38" spans="1:28">
      <c r="A38" s="39"/>
      <c r="B38" s="15" t="s">
        <v>14</v>
      </c>
      <c r="C38" s="19">
        <v>2.86</v>
      </c>
      <c r="D38" s="19">
        <v>2.12</v>
      </c>
      <c r="E38" s="19">
        <v>1.93</v>
      </c>
      <c r="F38" s="19">
        <v>2.9</v>
      </c>
      <c r="G38" s="19">
        <v>2.36</v>
      </c>
      <c r="H38" s="19">
        <v>2.73</v>
      </c>
      <c r="I38" s="19">
        <v>2.52</v>
      </c>
      <c r="J38" s="19">
        <v>2.77</v>
      </c>
      <c r="K38" s="19">
        <v>2.82</v>
      </c>
      <c r="L38" s="19">
        <v>3.51</v>
      </c>
      <c r="M38" s="19">
        <v>3.21</v>
      </c>
      <c r="N38" s="19">
        <v>2.87</v>
      </c>
      <c r="O38" s="19">
        <v>2.99</v>
      </c>
      <c r="P38" s="19">
        <v>3.3</v>
      </c>
      <c r="Q38" s="19">
        <v>3.57</v>
      </c>
      <c r="R38" s="19">
        <v>3.52</v>
      </c>
      <c r="S38" s="19">
        <v>3.47</v>
      </c>
      <c r="T38" s="19">
        <v>3.16</v>
      </c>
      <c r="U38" s="19">
        <v>3.53</v>
      </c>
      <c r="V38" s="19">
        <v>3.24</v>
      </c>
      <c r="W38" s="19">
        <v>3.45</v>
      </c>
      <c r="X38" s="19">
        <v>2.9</v>
      </c>
      <c r="Y38" s="19">
        <v>2.79</v>
      </c>
      <c r="Z38" s="19">
        <v>3.11</v>
      </c>
      <c r="AA38" s="19">
        <v>2.8</v>
      </c>
      <c r="AB38" s="16">
        <v>217</v>
      </c>
    </row>
    <row r="39" spans="1:28">
      <c r="A39" s="39"/>
      <c r="B39" s="13" t="s">
        <v>15</v>
      </c>
      <c r="C39" s="18">
        <v>3.09</v>
      </c>
      <c r="D39" s="18">
        <v>2.5099999999999998</v>
      </c>
      <c r="E39" s="18">
        <v>2.0299999999999998</v>
      </c>
      <c r="F39" s="18">
        <v>3.28</v>
      </c>
      <c r="G39" s="18">
        <v>2.77</v>
      </c>
      <c r="H39" s="18">
        <v>3</v>
      </c>
      <c r="I39" s="18">
        <v>2.82</v>
      </c>
      <c r="J39" s="18">
        <v>3.22</v>
      </c>
      <c r="K39" s="18">
        <v>3.14</v>
      </c>
      <c r="L39" s="18">
        <v>3.75</v>
      </c>
      <c r="M39" s="18">
        <v>3.53</v>
      </c>
      <c r="N39" s="18">
        <v>3.28</v>
      </c>
      <c r="O39" s="18">
        <v>3.29</v>
      </c>
      <c r="P39" s="18">
        <v>3.6</v>
      </c>
      <c r="Q39" s="18">
        <v>3.87</v>
      </c>
      <c r="R39" s="18">
        <v>3.92</v>
      </c>
      <c r="S39" s="18">
        <v>3.92</v>
      </c>
      <c r="T39" s="18">
        <v>3.58</v>
      </c>
      <c r="U39" s="18">
        <v>3.82</v>
      </c>
      <c r="V39" s="18">
        <v>3.55</v>
      </c>
      <c r="W39" s="18">
        <v>3.72</v>
      </c>
      <c r="X39" s="18">
        <v>3.05</v>
      </c>
      <c r="Y39" s="18">
        <v>2.87</v>
      </c>
      <c r="Z39" s="18">
        <v>3.25</v>
      </c>
      <c r="AA39" s="18">
        <v>2.87</v>
      </c>
      <c r="AB39" s="14">
        <v>159</v>
      </c>
    </row>
    <row r="40" spans="1:28">
      <c r="A40" s="39"/>
      <c r="B40" s="15" t="s">
        <v>16</v>
      </c>
      <c r="C40" s="19">
        <v>2.58</v>
      </c>
      <c r="D40" s="19">
        <v>2.08</v>
      </c>
      <c r="E40" s="19">
        <v>1.78</v>
      </c>
      <c r="F40" s="19">
        <v>2.5</v>
      </c>
      <c r="G40" s="19">
        <v>2.2200000000000002</v>
      </c>
      <c r="H40" s="19">
        <v>2.4700000000000002</v>
      </c>
      <c r="I40" s="19">
        <v>2.33</v>
      </c>
      <c r="J40" s="19">
        <v>2.5</v>
      </c>
      <c r="K40" s="19">
        <v>2.44</v>
      </c>
      <c r="L40" s="19">
        <v>3.19</v>
      </c>
      <c r="M40" s="19">
        <v>2.94</v>
      </c>
      <c r="N40" s="19">
        <v>2.56</v>
      </c>
      <c r="O40" s="19">
        <v>2.75</v>
      </c>
      <c r="P40" s="19">
        <v>2.97</v>
      </c>
      <c r="Q40" s="19">
        <v>3.22</v>
      </c>
      <c r="R40" s="19">
        <v>3.22</v>
      </c>
      <c r="S40" s="19">
        <v>3.44</v>
      </c>
      <c r="T40" s="19">
        <v>3.14</v>
      </c>
      <c r="U40" s="19">
        <v>3.61</v>
      </c>
      <c r="V40" s="19">
        <v>3.22</v>
      </c>
      <c r="W40" s="19">
        <v>3.33</v>
      </c>
      <c r="X40" s="19">
        <v>2.64</v>
      </c>
      <c r="Y40" s="19">
        <v>2.4700000000000002</v>
      </c>
      <c r="Z40" s="19">
        <v>2.97</v>
      </c>
      <c r="AA40" s="19">
        <v>2.36</v>
      </c>
      <c r="AB40" s="16">
        <v>36</v>
      </c>
    </row>
    <row r="41" spans="1:28">
      <c r="A41" s="39" t="s">
        <v>55</v>
      </c>
      <c r="B41" s="13" t="s">
        <v>17</v>
      </c>
      <c r="C41" s="18">
        <v>3.15</v>
      </c>
      <c r="D41" s="18">
        <v>2.65</v>
      </c>
      <c r="E41" s="18">
        <v>2.15</v>
      </c>
      <c r="F41" s="18">
        <v>3.54</v>
      </c>
      <c r="G41" s="18">
        <v>2.92</v>
      </c>
      <c r="H41" s="18">
        <v>3.08</v>
      </c>
      <c r="I41" s="18">
        <v>2.96</v>
      </c>
      <c r="J41" s="18">
        <v>3.38</v>
      </c>
      <c r="K41" s="18">
        <v>3.27</v>
      </c>
      <c r="L41" s="18">
        <v>3.96</v>
      </c>
      <c r="M41" s="18">
        <v>3.62</v>
      </c>
      <c r="N41" s="18">
        <v>3.35</v>
      </c>
      <c r="O41" s="18">
        <v>3.15</v>
      </c>
      <c r="P41" s="18">
        <v>3.85</v>
      </c>
      <c r="Q41" s="18">
        <v>4.08</v>
      </c>
      <c r="R41" s="18">
        <v>4.1500000000000004</v>
      </c>
      <c r="S41" s="18">
        <v>4.1900000000000004</v>
      </c>
      <c r="T41" s="18">
        <v>3.88</v>
      </c>
      <c r="U41" s="18">
        <v>4.1500000000000004</v>
      </c>
      <c r="V41" s="18">
        <v>3.77</v>
      </c>
      <c r="W41" s="18">
        <v>4</v>
      </c>
      <c r="X41" s="18">
        <v>3.35</v>
      </c>
      <c r="Y41" s="18">
        <v>3.23</v>
      </c>
      <c r="Z41" s="18">
        <v>3.85</v>
      </c>
      <c r="AA41" s="18">
        <v>3.46</v>
      </c>
      <c r="AB41" s="14">
        <v>26</v>
      </c>
    </row>
    <row r="42" spans="1:28">
      <c r="A42" s="39"/>
      <c r="B42" s="15" t="s">
        <v>18</v>
      </c>
      <c r="C42" s="19">
        <v>2.74</v>
      </c>
      <c r="D42" s="19">
        <v>2.37</v>
      </c>
      <c r="E42" s="19">
        <v>2</v>
      </c>
      <c r="F42" s="19">
        <v>3.37</v>
      </c>
      <c r="G42" s="19">
        <v>2.68</v>
      </c>
      <c r="H42" s="19">
        <v>2.79</v>
      </c>
      <c r="I42" s="19">
        <v>2.58</v>
      </c>
      <c r="J42" s="19">
        <v>2.92</v>
      </c>
      <c r="K42" s="19">
        <v>2.87</v>
      </c>
      <c r="L42" s="19">
        <v>3.53</v>
      </c>
      <c r="M42" s="19">
        <v>3.39</v>
      </c>
      <c r="N42" s="19">
        <v>3</v>
      </c>
      <c r="O42" s="19">
        <v>3.08</v>
      </c>
      <c r="P42" s="19">
        <v>3.63</v>
      </c>
      <c r="Q42" s="19">
        <v>3.76</v>
      </c>
      <c r="R42" s="19">
        <v>3.79</v>
      </c>
      <c r="S42" s="19">
        <v>3.84</v>
      </c>
      <c r="T42" s="19">
        <v>3.37</v>
      </c>
      <c r="U42" s="19">
        <v>3.68</v>
      </c>
      <c r="V42" s="19">
        <v>3.32</v>
      </c>
      <c r="W42" s="19">
        <v>3.76</v>
      </c>
      <c r="X42" s="19">
        <v>3.18</v>
      </c>
      <c r="Y42" s="19">
        <v>2.79</v>
      </c>
      <c r="Z42" s="19">
        <v>3.42</v>
      </c>
      <c r="AA42" s="19">
        <v>2.87</v>
      </c>
      <c r="AB42" s="16">
        <v>38</v>
      </c>
    </row>
    <row r="43" spans="1:28">
      <c r="A43" s="39"/>
      <c r="B43" s="13" t="s">
        <v>19</v>
      </c>
      <c r="C43" s="18">
        <v>2.85</v>
      </c>
      <c r="D43" s="18">
        <v>2.2999999999999998</v>
      </c>
      <c r="E43" s="18">
        <v>1.95</v>
      </c>
      <c r="F43" s="18">
        <v>3.05</v>
      </c>
      <c r="G43" s="18">
        <v>2.5499999999999998</v>
      </c>
      <c r="H43" s="18">
        <v>2.76</v>
      </c>
      <c r="I43" s="18">
        <v>2.62</v>
      </c>
      <c r="J43" s="18">
        <v>2.85</v>
      </c>
      <c r="K43" s="18">
        <v>2.8</v>
      </c>
      <c r="L43" s="18">
        <v>3.42</v>
      </c>
      <c r="M43" s="18">
        <v>3.17</v>
      </c>
      <c r="N43" s="18">
        <v>2.8</v>
      </c>
      <c r="O43" s="18">
        <v>2.92</v>
      </c>
      <c r="P43" s="18">
        <v>3.45</v>
      </c>
      <c r="Q43" s="18">
        <v>3.76</v>
      </c>
      <c r="R43" s="18">
        <v>3.67</v>
      </c>
      <c r="S43" s="18">
        <v>3.77</v>
      </c>
      <c r="T43" s="18">
        <v>3.37</v>
      </c>
      <c r="U43" s="18">
        <v>3.72</v>
      </c>
      <c r="V43" s="18">
        <v>3.44</v>
      </c>
      <c r="W43" s="18">
        <v>3.64</v>
      </c>
      <c r="X43" s="18">
        <v>2.84</v>
      </c>
      <c r="Y43" s="18">
        <v>2.74</v>
      </c>
      <c r="Z43" s="18">
        <v>3.17</v>
      </c>
      <c r="AA43" s="18">
        <v>2.72</v>
      </c>
      <c r="AB43" s="14">
        <v>110</v>
      </c>
    </row>
    <row r="44" spans="1:28">
      <c r="A44" s="39"/>
      <c r="B44" s="15" t="s">
        <v>20</v>
      </c>
      <c r="C44" s="19">
        <v>2.91</v>
      </c>
      <c r="D44" s="19">
        <v>2.3199999999999998</v>
      </c>
      <c r="E44" s="19">
        <v>2.04</v>
      </c>
      <c r="F44" s="19">
        <v>2.92</v>
      </c>
      <c r="G44" s="19">
        <v>2.46</v>
      </c>
      <c r="H44" s="19">
        <v>2.77</v>
      </c>
      <c r="I44" s="19">
        <v>2.52</v>
      </c>
      <c r="J44" s="19">
        <v>2.92</v>
      </c>
      <c r="K44" s="19">
        <v>2.98</v>
      </c>
      <c r="L44" s="19">
        <v>3.61</v>
      </c>
      <c r="M44" s="19">
        <v>3.27</v>
      </c>
      <c r="N44" s="19">
        <v>2.98</v>
      </c>
      <c r="O44" s="19">
        <v>3.08</v>
      </c>
      <c r="P44" s="19">
        <v>3.25</v>
      </c>
      <c r="Q44" s="19">
        <v>3.59</v>
      </c>
      <c r="R44" s="19">
        <v>3.52</v>
      </c>
      <c r="S44" s="19">
        <v>3.47</v>
      </c>
      <c r="T44" s="19">
        <v>3.25</v>
      </c>
      <c r="U44" s="19">
        <v>3.56</v>
      </c>
      <c r="V44" s="19">
        <v>3.33</v>
      </c>
      <c r="W44" s="19">
        <v>3.44</v>
      </c>
      <c r="X44" s="19">
        <v>2.96</v>
      </c>
      <c r="Y44" s="19">
        <v>2.86</v>
      </c>
      <c r="Z44" s="19">
        <v>3.08</v>
      </c>
      <c r="AA44" s="19">
        <v>2.76</v>
      </c>
      <c r="AB44" s="16">
        <v>153</v>
      </c>
    </row>
    <row r="45" spans="1:28">
      <c r="A45" s="39"/>
      <c r="B45" s="13" t="s">
        <v>21</v>
      </c>
      <c r="C45" s="18">
        <v>3.06</v>
      </c>
      <c r="D45" s="18">
        <v>2.25</v>
      </c>
      <c r="E45" s="18">
        <v>1.87</v>
      </c>
      <c r="F45" s="18">
        <v>2.91</v>
      </c>
      <c r="G45" s="18">
        <v>2.39</v>
      </c>
      <c r="H45" s="18">
        <v>2.9</v>
      </c>
      <c r="I45" s="18">
        <v>2.73</v>
      </c>
      <c r="J45" s="18">
        <v>3.03</v>
      </c>
      <c r="K45" s="18">
        <v>2.95</v>
      </c>
      <c r="L45" s="18">
        <v>3.65</v>
      </c>
      <c r="M45" s="18">
        <v>3.45</v>
      </c>
      <c r="N45" s="18">
        <v>3.19</v>
      </c>
      <c r="O45" s="18">
        <v>3.27</v>
      </c>
      <c r="P45" s="18">
        <v>3.33</v>
      </c>
      <c r="Q45" s="18">
        <v>3.65</v>
      </c>
      <c r="R45" s="18">
        <v>3.73</v>
      </c>
      <c r="S45" s="18">
        <v>3.65</v>
      </c>
      <c r="T45" s="18">
        <v>3.38</v>
      </c>
      <c r="U45" s="18">
        <v>3.7</v>
      </c>
      <c r="V45" s="18">
        <v>3.42</v>
      </c>
      <c r="W45" s="18">
        <v>3.56</v>
      </c>
      <c r="X45" s="18">
        <v>2.91</v>
      </c>
      <c r="Y45" s="18">
        <v>2.79</v>
      </c>
      <c r="Z45" s="18">
        <v>3.11</v>
      </c>
      <c r="AA45" s="18">
        <v>2.82</v>
      </c>
      <c r="AB45" s="14">
        <v>127</v>
      </c>
    </row>
    <row r="46" spans="1:28">
      <c r="A46" s="39"/>
      <c r="B46" s="15" t="s">
        <v>16</v>
      </c>
      <c r="C46" s="19">
        <v>2.5</v>
      </c>
      <c r="D46" s="19">
        <v>1.5</v>
      </c>
      <c r="E46" s="19">
        <v>1.5</v>
      </c>
      <c r="F46" s="19">
        <v>4.5</v>
      </c>
      <c r="G46" s="19">
        <v>4.5</v>
      </c>
      <c r="H46" s="19">
        <v>3.5</v>
      </c>
      <c r="I46" s="19">
        <v>3.5</v>
      </c>
      <c r="J46" s="19">
        <v>4.5</v>
      </c>
      <c r="K46" s="19">
        <v>4.5</v>
      </c>
      <c r="L46" s="19">
        <v>4.5</v>
      </c>
      <c r="M46" s="19">
        <v>4</v>
      </c>
      <c r="N46" s="19">
        <v>4</v>
      </c>
      <c r="O46" s="19">
        <v>4</v>
      </c>
      <c r="P46" s="19">
        <v>4</v>
      </c>
      <c r="Q46" s="19">
        <v>3</v>
      </c>
      <c r="R46" s="19">
        <v>4.5</v>
      </c>
      <c r="S46" s="19">
        <v>4.5</v>
      </c>
      <c r="T46" s="19">
        <v>4.5</v>
      </c>
      <c r="U46" s="19">
        <v>4.5</v>
      </c>
      <c r="V46" s="19">
        <v>4</v>
      </c>
      <c r="W46" s="19">
        <v>4.5</v>
      </c>
      <c r="X46" s="19">
        <v>2.5</v>
      </c>
      <c r="Y46" s="19">
        <v>2.5</v>
      </c>
      <c r="Z46" s="19">
        <v>2.5</v>
      </c>
      <c r="AA46" s="19">
        <v>3</v>
      </c>
      <c r="AB46" s="16">
        <v>2</v>
      </c>
    </row>
    <row r="47" spans="1:28" ht="22.5">
      <c r="A47" s="39" t="s">
        <v>56</v>
      </c>
      <c r="B47" s="13" t="s">
        <v>22</v>
      </c>
      <c r="C47" s="18">
        <v>3.04</v>
      </c>
      <c r="D47" s="18">
        <v>2.41</v>
      </c>
      <c r="E47" s="18">
        <v>2.14</v>
      </c>
      <c r="F47" s="18">
        <v>3.24</v>
      </c>
      <c r="G47" s="18">
        <v>2.74</v>
      </c>
      <c r="H47" s="18">
        <v>2.95</v>
      </c>
      <c r="I47" s="18">
        <v>2.75</v>
      </c>
      <c r="J47" s="18">
        <v>3.08</v>
      </c>
      <c r="K47" s="18">
        <v>3.02</v>
      </c>
      <c r="L47" s="18">
        <v>3.74</v>
      </c>
      <c r="M47" s="18">
        <v>3.5</v>
      </c>
      <c r="N47" s="18">
        <v>3.11</v>
      </c>
      <c r="O47" s="18">
        <v>3.27</v>
      </c>
      <c r="P47" s="18">
        <v>3.64</v>
      </c>
      <c r="Q47" s="18">
        <v>3.92</v>
      </c>
      <c r="R47" s="18">
        <v>3.9</v>
      </c>
      <c r="S47" s="18">
        <v>3.9</v>
      </c>
      <c r="T47" s="18">
        <v>3.58</v>
      </c>
      <c r="U47" s="18">
        <v>3.84</v>
      </c>
      <c r="V47" s="18">
        <v>3.6</v>
      </c>
      <c r="W47" s="18">
        <v>3.83</v>
      </c>
      <c r="X47" s="18">
        <v>3.17</v>
      </c>
      <c r="Y47" s="18">
        <v>2.98</v>
      </c>
      <c r="Z47" s="18">
        <v>3.5</v>
      </c>
      <c r="AA47" s="18">
        <v>3.1</v>
      </c>
      <c r="AB47" s="14">
        <v>133</v>
      </c>
    </row>
    <row r="48" spans="1:28">
      <c r="A48" s="39"/>
      <c r="B48" s="15" t="s">
        <v>23</v>
      </c>
      <c r="C48" s="19">
        <v>2.89</v>
      </c>
      <c r="D48" s="19">
        <v>2.2799999999999998</v>
      </c>
      <c r="E48" s="19">
        <v>1.9</v>
      </c>
      <c r="F48" s="19">
        <v>2.94</v>
      </c>
      <c r="G48" s="19">
        <v>2.42</v>
      </c>
      <c r="H48" s="19">
        <v>2.77</v>
      </c>
      <c r="I48" s="19">
        <v>2.59</v>
      </c>
      <c r="J48" s="19">
        <v>2.92</v>
      </c>
      <c r="K48" s="19">
        <v>2.91</v>
      </c>
      <c r="L48" s="19">
        <v>3.53</v>
      </c>
      <c r="M48" s="19">
        <v>3.26</v>
      </c>
      <c r="N48" s="19">
        <v>2.98</v>
      </c>
      <c r="O48" s="19">
        <v>3.03</v>
      </c>
      <c r="P48" s="19">
        <v>3.29</v>
      </c>
      <c r="Q48" s="19">
        <v>3.59</v>
      </c>
      <c r="R48" s="19">
        <v>3.59</v>
      </c>
      <c r="S48" s="19">
        <v>3.57</v>
      </c>
      <c r="T48" s="19">
        <v>3.28</v>
      </c>
      <c r="U48" s="19">
        <v>3.62</v>
      </c>
      <c r="V48" s="19">
        <v>3.33</v>
      </c>
      <c r="W48" s="19">
        <v>3.48</v>
      </c>
      <c r="X48" s="19">
        <v>2.86</v>
      </c>
      <c r="Y48" s="19">
        <v>2.76</v>
      </c>
      <c r="Z48" s="19">
        <v>3.05</v>
      </c>
      <c r="AA48" s="19">
        <v>2.7</v>
      </c>
      <c r="AB48" s="16">
        <v>323</v>
      </c>
    </row>
    <row r="49" spans="1:28">
      <c r="A49" s="39" t="s">
        <v>57</v>
      </c>
      <c r="B49" s="13" t="s">
        <v>24</v>
      </c>
      <c r="C49" s="18">
        <v>2.96</v>
      </c>
      <c r="D49" s="18">
        <v>2.21</v>
      </c>
      <c r="E49" s="18">
        <v>1.98</v>
      </c>
      <c r="F49" s="18">
        <v>3.09</v>
      </c>
      <c r="G49" s="18">
        <v>2.46</v>
      </c>
      <c r="H49" s="18">
        <v>2.98</v>
      </c>
      <c r="I49" s="18">
        <v>2.82</v>
      </c>
      <c r="J49" s="18">
        <v>3.23</v>
      </c>
      <c r="K49" s="18">
        <v>3.18</v>
      </c>
      <c r="L49" s="18">
        <v>3.75</v>
      </c>
      <c r="M49" s="18">
        <v>3.54</v>
      </c>
      <c r="N49" s="18">
        <v>3.35</v>
      </c>
      <c r="O49" s="18">
        <v>3.46</v>
      </c>
      <c r="P49" s="18">
        <v>3.26</v>
      </c>
      <c r="Q49" s="18">
        <v>3.74</v>
      </c>
      <c r="R49" s="18">
        <v>3.82</v>
      </c>
      <c r="S49" s="18">
        <v>3.74</v>
      </c>
      <c r="T49" s="18">
        <v>3.49</v>
      </c>
      <c r="U49" s="18">
        <v>3.75</v>
      </c>
      <c r="V49" s="18">
        <v>3.51</v>
      </c>
      <c r="W49" s="18">
        <v>3.61</v>
      </c>
      <c r="X49" s="18">
        <v>3.04</v>
      </c>
      <c r="Y49" s="18">
        <v>2.98</v>
      </c>
      <c r="Z49" s="18">
        <v>3.21</v>
      </c>
      <c r="AA49" s="18">
        <v>2.91</v>
      </c>
      <c r="AB49" s="14">
        <v>57</v>
      </c>
    </row>
    <row r="50" spans="1:28">
      <c r="A50" s="39"/>
      <c r="B50" s="15" t="s">
        <v>25</v>
      </c>
      <c r="C50" s="19">
        <v>3.11</v>
      </c>
      <c r="D50" s="19">
        <v>2.37</v>
      </c>
      <c r="E50" s="19">
        <v>2.02</v>
      </c>
      <c r="F50" s="19">
        <v>2.92</v>
      </c>
      <c r="G50" s="19">
        <v>2.4900000000000002</v>
      </c>
      <c r="H50" s="19">
        <v>2.9</v>
      </c>
      <c r="I50" s="19">
        <v>2.66</v>
      </c>
      <c r="J50" s="19">
        <v>3.05</v>
      </c>
      <c r="K50" s="19">
        <v>3.02</v>
      </c>
      <c r="L50" s="19">
        <v>3.6</v>
      </c>
      <c r="M50" s="19">
        <v>3.37</v>
      </c>
      <c r="N50" s="19">
        <v>3.09</v>
      </c>
      <c r="O50" s="19">
        <v>3.14</v>
      </c>
      <c r="P50" s="19">
        <v>3.35</v>
      </c>
      <c r="Q50" s="19">
        <v>3.6</v>
      </c>
      <c r="R50" s="19">
        <v>3.62</v>
      </c>
      <c r="S50" s="19">
        <v>3.53</v>
      </c>
      <c r="T50" s="19">
        <v>3.29</v>
      </c>
      <c r="U50" s="19">
        <v>3.6</v>
      </c>
      <c r="V50" s="19">
        <v>3.38</v>
      </c>
      <c r="W50" s="19">
        <v>3.49</v>
      </c>
      <c r="X50" s="19">
        <v>2.92</v>
      </c>
      <c r="Y50" s="19">
        <v>2.85</v>
      </c>
      <c r="Z50" s="19">
        <v>3.12</v>
      </c>
      <c r="AA50" s="19">
        <v>2.83</v>
      </c>
      <c r="AB50" s="16">
        <v>188</v>
      </c>
    </row>
    <row r="51" spans="1:28">
      <c r="A51" s="39"/>
      <c r="B51" s="13" t="s">
        <v>26</v>
      </c>
      <c r="C51" s="18">
        <v>2.75</v>
      </c>
      <c r="D51" s="18">
        <v>2.25</v>
      </c>
      <c r="E51" s="18">
        <v>1.89</v>
      </c>
      <c r="F51" s="18">
        <v>3.04</v>
      </c>
      <c r="G51" s="18">
        <v>2.5299999999999998</v>
      </c>
      <c r="H51" s="18">
        <v>2.72</v>
      </c>
      <c r="I51" s="18">
        <v>2.56</v>
      </c>
      <c r="J51" s="18">
        <v>2.85</v>
      </c>
      <c r="K51" s="18">
        <v>2.83</v>
      </c>
      <c r="L51" s="18">
        <v>3.55</v>
      </c>
      <c r="M51" s="18">
        <v>3.28</v>
      </c>
      <c r="N51" s="18">
        <v>2.92</v>
      </c>
      <c r="O51" s="18">
        <v>3.05</v>
      </c>
      <c r="P51" s="18">
        <v>3.4</v>
      </c>
      <c r="Q51" s="18">
        <v>3.72</v>
      </c>
      <c r="R51" s="18">
        <v>3.62</v>
      </c>
      <c r="S51" s="18">
        <v>3.74</v>
      </c>
      <c r="T51" s="18">
        <v>3.3</v>
      </c>
      <c r="U51" s="18">
        <v>3.72</v>
      </c>
      <c r="V51" s="18">
        <v>3.39</v>
      </c>
      <c r="W51" s="18">
        <v>3.57</v>
      </c>
      <c r="X51" s="18">
        <v>2.81</v>
      </c>
      <c r="Y51" s="18">
        <v>2.66</v>
      </c>
      <c r="Z51" s="18">
        <v>3.14</v>
      </c>
      <c r="AA51" s="18">
        <v>2.61</v>
      </c>
      <c r="AB51" s="14">
        <v>130</v>
      </c>
    </row>
    <row r="52" spans="1:28">
      <c r="A52" s="39"/>
      <c r="B52" s="15" t="s">
        <v>27</v>
      </c>
      <c r="C52" s="19">
        <v>2.8</v>
      </c>
      <c r="D52" s="19">
        <v>2.36</v>
      </c>
      <c r="E52" s="19">
        <v>1.99</v>
      </c>
      <c r="F52" s="19">
        <v>3.22</v>
      </c>
      <c r="G52" s="19">
        <v>2.58</v>
      </c>
      <c r="H52" s="19">
        <v>2.72</v>
      </c>
      <c r="I52" s="19">
        <v>2.57</v>
      </c>
      <c r="J52" s="19">
        <v>2.79</v>
      </c>
      <c r="K52" s="19">
        <v>2.79</v>
      </c>
      <c r="L52" s="19">
        <v>3.52</v>
      </c>
      <c r="M52" s="19">
        <v>3.16</v>
      </c>
      <c r="N52" s="19">
        <v>2.8</v>
      </c>
      <c r="O52" s="19">
        <v>2.85</v>
      </c>
      <c r="P52" s="19">
        <v>3.58</v>
      </c>
      <c r="Q52" s="19">
        <v>3.81</v>
      </c>
      <c r="R52" s="19">
        <v>3.81</v>
      </c>
      <c r="S52" s="19">
        <v>3.84</v>
      </c>
      <c r="T52" s="19">
        <v>3.56</v>
      </c>
      <c r="U52" s="19">
        <v>3.79</v>
      </c>
      <c r="V52" s="19">
        <v>3.42</v>
      </c>
      <c r="W52" s="19">
        <v>3.8</v>
      </c>
      <c r="X52" s="19">
        <v>3.21</v>
      </c>
      <c r="Y52" s="19">
        <v>2.91</v>
      </c>
      <c r="Z52" s="19">
        <v>3.38</v>
      </c>
      <c r="AA52" s="19">
        <v>3.06</v>
      </c>
      <c r="AB52" s="16">
        <v>81</v>
      </c>
    </row>
    <row r="53" spans="1:28">
      <c r="A53" s="40" t="s">
        <v>5</v>
      </c>
      <c r="B53" s="40"/>
      <c r="C53" s="17">
        <v>2.93</v>
      </c>
      <c r="D53" s="17">
        <v>2.3199999999999998</v>
      </c>
      <c r="E53" s="17">
        <v>1.97</v>
      </c>
      <c r="F53" s="17">
        <v>3.03</v>
      </c>
      <c r="G53" s="17">
        <v>2.52</v>
      </c>
      <c r="H53" s="17">
        <v>2.83</v>
      </c>
      <c r="I53" s="17">
        <v>2.64</v>
      </c>
      <c r="J53" s="17">
        <v>2.97</v>
      </c>
      <c r="K53" s="17">
        <v>2.94</v>
      </c>
      <c r="L53" s="17">
        <v>3.59</v>
      </c>
      <c r="M53" s="17">
        <v>3.33</v>
      </c>
      <c r="N53" s="17">
        <v>3.02</v>
      </c>
      <c r="O53" s="17">
        <v>3.1</v>
      </c>
      <c r="P53" s="17">
        <v>3.39</v>
      </c>
      <c r="Q53" s="17">
        <v>3.69</v>
      </c>
      <c r="R53" s="17">
        <v>3.68</v>
      </c>
      <c r="S53" s="17">
        <v>3.67</v>
      </c>
      <c r="T53" s="17">
        <v>3.37</v>
      </c>
      <c r="U53" s="17">
        <v>3.69</v>
      </c>
      <c r="V53" s="17">
        <v>3.41</v>
      </c>
      <c r="W53" s="17">
        <v>3.58</v>
      </c>
      <c r="X53" s="17">
        <v>2.95</v>
      </c>
      <c r="Y53" s="17">
        <v>2.82</v>
      </c>
      <c r="Z53" s="17">
        <v>3.18</v>
      </c>
      <c r="AA53" s="17">
        <v>2.82</v>
      </c>
      <c r="AB53" s="12">
        <v>456</v>
      </c>
    </row>
  </sheetData>
  <mergeCells count="23">
    <mergeCell ref="C29:E29"/>
    <mergeCell ref="C28:E28"/>
    <mergeCell ref="F28:AA28"/>
    <mergeCell ref="F29:K29"/>
    <mergeCell ref="L29:O29"/>
    <mergeCell ref="P29:V29"/>
    <mergeCell ref="W29:AA29"/>
    <mergeCell ref="A15:A20"/>
    <mergeCell ref="A21:A22"/>
    <mergeCell ref="A23:A26"/>
    <mergeCell ref="A53:B53"/>
    <mergeCell ref="A31:A36"/>
    <mergeCell ref="A37:A40"/>
    <mergeCell ref="A49:A52"/>
    <mergeCell ref="B29:B30"/>
    <mergeCell ref="A41:A46"/>
    <mergeCell ref="A47:A48"/>
    <mergeCell ref="A11:A14"/>
    <mergeCell ref="A2:A3"/>
    <mergeCell ref="B2:B3"/>
    <mergeCell ref="C2:C3"/>
    <mergeCell ref="A4:B4"/>
    <mergeCell ref="A5:A10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93B6-126A-48BE-83A2-D6EA3FA8C10F}">
  <dimension ref="A1:AC120"/>
  <sheetViews>
    <sheetView tabSelected="1" topLeftCell="A111" zoomScaleNormal="100" workbookViewId="0">
      <selection activeCell="T24" sqref="T24"/>
    </sheetView>
  </sheetViews>
  <sheetFormatPr defaultRowHeight="16.899999999999999"/>
  <cols>
    <col min="2" max="2" width="11.5625" bestFit="1" customWidth="1"/>
    <col min="3" max="6" width="12.6875" bestFit="1" customWidth="1"/>
  </cols>
  <sheetData>
    <row r="1" spans="1:6">
      <c r="A1" s="1"/>
      <c r="B1" s="1"/>
      <c r="C1" s="1"/>
      <c r="D1" s="1"/>
      <c r="E1" s="1"/>
      <c r="F1" s="1"/>
    </row>
    <row r="2" spans="1:6">
      <c r="A2" s="41" t="s">
        <v>0</v>
      </c>
      <c r="B2" s="41" t="s">
        <v>1</v>
      </c>
      <c r="C2" s="41" t="s">
        <v>2</v>
      </c>
      <c r="D2" s="2" t="s">
        <v>3</v>
      </c>
      <c r="E2" s="2" t="s">
        <v>3</v>
      </c>
      <c r="F2" s="2" t="s">
        <v>3</v>
      </c>
    </row>
    <row r="3" spans="1:6">
      <c r="A3" s="41"/>
      <c r="B3" s="41"/>
      <c r="C3" s="41"/>
      <c r="D3" s="3" t="s">
        <v>4</v>
      </c>
      <c r="E3" s="3" t="s">
        <v>4</v>
      </c>
      <c r="F3" s="3" t="s">
        <v>4</v>
      </c>
    </row>
    <row r="4" spans="1:6">
      <c r="A4" s="42" t="s">
        <v>5</v>
      </c>
      <c r="B4" s="42"/>
      <c r="C4" s="4">
        <v>456</v>
      </c>
      <c r="D4" s="4">
        <v>2.93</v>
      </c>
      <c r="E4" s="4">
        <v>2.3199999999999998</v>
      </c>
      <c r="F4" s="4">
        <v>1.97</v>
      </c>
    </row>
    <row r="5" spans="1:6">
      <c r="A5" s="38" t="s">
        <v>6</v>
      </c>
      <c r="B5" s="5" t="s">
        <v>7</v>
      </c>
      <c r="C5" s="6">
        <v>150</v>
      </c>
      <c r="D5" s="6">
        <v>2.88</v>
      </c>
      <c r="E5" s="6">
        <v>2.29</v>
      </c>
      <c r="F5" s="6">
        <v>1.93</v>
      </c>
    </row>
    <row r="6" spans="1:6">
      <c r="A6" s="38"/>
      <c r="B6" s="7" t="s">
        <v>8</v>
      </c>
      <c r="C6" s="8">
        <v>70</v>
      </c>
      <c r="D6" s="8">
        <v>2.97</v>
      </c>
      <c r="E6" s="8">
        <v>2.41</v>
      </c>
      <c r="F6" s="8">
        <v>1.99</v>
      </c>
    </row>
    <row r="7" spans="1:6">
      <c r="A7" s="38"/>
      <c r="B7" s="5" t="s">
        <v>9</v>
      </c>
      <c r="C7" s="6">
        <v>60</v>
      </c>
      <c r="D7" s="6">
        <v>2.95</v>
      </c>
      <c r="E7" s="6">
        <v>2.25</v>
      </c>
      <c r="F7" s="6">
        <v>1.87</v>
      </c>
    </row>
    <row r="8" spans="1:6">
      <c r="A8" s="38"/>
      <c r="B8" s="7" t="s">
        <v>10</v>
      </c>
      <c r="C8" s="8">
        <v>125</v>
      </c>
      <c r="D8" s="8">
        <v>2.9</v>
      </c>
      <c r="E8" s="8">
        <v>2.21</v>
      </c>
      <c r="F8" s="8">
        <v>2.0099999999999998</v>
      </c>
    </row>
    <row r="9" spans="1:6">
      <c r="A9" s="38"/>
      <c r="B9" s="5" t="s">
        <v>11</v>
      </c>
      <c r="C9" s="6">
        <v>25</v>
      </c>
      <c r="D9" s="6">
        <v>3.16</v>
      </c>
      <c r="E9" s="6">
        <v>2.6</v>
      </c>
      <c r="F9" s="6">
        <v>2.04</v>
      </c>
    </row>
    <row r="10" spans="1:6">
      <c r="A10" s="38"/>
      <c r="B10" s="7" t="s">
        <v>12</v>
      </c>
      <c r="C10" s="8">
        <v>26</v>
      </c>
      <c r="D10" s="8">
        <v>3.08</v>
      </c>
      <c r="E10" s="8">
        <v>2.58</v>
      </c>
      <c r="F10" s="8">
        <v>2.15</v>
      </c>
    </row>
    <row r="11" spans="1:6">
      <c r="A11" s="38" t="s">
        <v>6</v>
      </c>
      <c r="B11" s="5" t="s">
        <v>13</v>
      </c>
      <c r="C11" s="6">
        <v>44</v>
      </c>
      <c r="D11" s="6">
        <v>3.02</v>
      </c>
      <c r="E11" s="6">
        <v>2.8</v>
      </c>
      <c r="F11" s="6">
        <v>2.14</v>
      </c>
    </row>
    <row r="12" spans="1:6">
      <c r="A12" s="38"/>
      <c r="B12" s="7" t="s">
        <v>14</v>
      </c>
      <c r="C12" s="8">
        <v>217</v>
      </c>
      <c r="D12" s="8">
        <v>2.86</v>
      </c>
      <c r="E12" s="8">
        <v>2.12</v>
      </c>
      <c r="F12" s="8">
        <v>1.93</v>
      </c>
    </row>
    <row r="13" spans="1:6">
      <c r="A13" s="38"/>
      <c r="B13" s="5" t="s">
        <v>15</v>
      </c>
      <c r="C13" s="6">
        <v>159</v>
      </c>
      <c r="D13" s="6">
        <v>3.09</v>
      </c>
      <c r="E13" s="6">
        <v>2.5099999999999998</v>
      </c>
      <c r="F13" s="6">
        <v>2.0299999999999998</v>
      </c>
    </row>
    <row r="14" spans="1:6">
      <c r="A14" s="38"/>
      <c r="B14" s="7" t="s">
        <v>16</v>
      </c>
      <c r="C14" s="8">
        <v>36</v>
      </c>
      <c r="D14" s="8">
        <v>2.58</v>
      </c>
      <c r="E14" s="8">
        <v>2.08</v>
      </c>
      <c r="F14" s="8">
        <v>1.78</v>
      </c>
    </row>
    <row r="15" spans="1:6">
      <c r="A15" s="38" t="s">
        <v>6</v>
      </c>
      <c r="B15" s="5" t="s">
        <v>17</v>
      </c>
      <c r="C15" s="6">
        <v>26</v>
      </c>
      <c r="D15" s="6">
        <v>3.15</v>
      </c>
      <c r="E15" s="6">
        <v>2.65</v>
      </c>
      <c r="F15" s="6">
        <v>2.15</v>
      </c>
    </row>
    <row r="16" spans="1:6">
      <c r="A16" s="38"/>
      <c r="B16" s="7" t="s">
        <v>18</v>
      </c>
      <c r="C16" s="8">
        <v>38</v>
      </c>
      <c r="D16" s="8">
        <v>2.74</v>
      </c>
      <c r="E16" s="8">
        <v>2.37</v>
      </c>
      <c r="F16" s="8">
        <v>2</v>
      </c>
    </row>
    <row r="17" spans="1:28">
      <c r="A17" s="38"/>
      <c r="B17" s="5" t="s">
        <v>19</v>
      </c>
      <c r="C17" s="6">
        <v>110</v>
      </c>
      <c r="D17" s="6">
        <v>2.85</v>
      </c>
      <c r="E17" s="6">
        <v>2.2999999999999998</v>
      </c>
      <c r="F17" s="6">
        <v>1.95</v>
      </c>
    </row>
    <row r="18" spans="1:28">
      <c r="A18" s="38"/>
      <c r="B18" s="7" t="s">
        <v>20</v>
      </c>
      <c r="C18" s="8">
        <v>153</v>
      </c>
      <c r="D18" s="8">
        <v>2.91</v>
      </c>
      <c r="E18" s="8">
        <v>2.3199999999999998</v>
      </c>
      <c r="F18" s="8">
        <v>2.04</v>
      </c>
    </row>
    <row r="19" spans="1:28">
      <c r="A19" s="38"/>
      <c r="B19" s="5" t="s">
        <v>21</v>
      </c>
      <c r="C19" s="6">
        <v>127</v>
      </c>
      <c r="D19" s="6">
        <v>3.06</v>
      </c>
      <c r="E19" s="6">
        <v>2.25</v>
      </c>
      <c r="F19" s="6">
        <v>1.87</v>
      </c>
    </row>
    <row r="20" spans="1:28">
      <c r="A20" s="38"/>
      <c r="B20" s="7" t="s">
        <v>16</v>
      </c>
      <c r="C20" s="8">
        <v>2</v>
      </c>
      <c r="D20" s="8">
        <v>2.5</v>
      </c>
      <c r="E20" s="8">
        <v>1.5</v>
      </c>
      <c r="F20" s="8">
        <v>1.5</v>
      </c>
    </row>
    <row r="21" spans="1:28" ht="22.5">
      <c r="A21" s="38" t="s">
        <v>6</v>
      </c>
      <c r="B21" s="5" t="s">
        <v>22</v>
      </c>
      <c r="C21" s="6">
        <v>133</v>
      </c>
      <c r="D21" s="6">
        <v>3.04</v>
      </c>
      <c r="E21" s="6">
        <v>2.41</v>
      </c>
      <c r="F21" s="6">
        <v>2.14</v>
      </c>
    </row>
    <row r="22" spans="1:28">
      <c r="A22" s="38"/>
      <c r="B22" s="7" t="s">
        <v>23</v>
      </c>
      <c r="C22" s="8">
        <v>323</v>
      </c>
      <c r="D22" s="8">
        <v>2.89</v>
      </c>
      <c r="E22" s="8">
        <v>2.2799999999999998</v>
      </c>
      <c r="F22" s="8">
        <v>1.9</v>
      </c>
    </row>
    <row r="23" spans="1:28">
      <c r="A23" s="38" t="s">
        <v>6</v>
      </c>
      <c r="B23" s="5" t="s">
        <v>24</v>
      </c>
      <c r="C23" s="6">
        <v>57</v>
      </c>
      <c r="D23" s="6">
        <v>2.96</v>
      </c>
      <c r="E23" s="6">
        <v>2.21</v>
      </c>
      <c r="F23" s="6">
        <v>1.98</v>
      </c>
    </row>
    <row r="24" spans="1:28">
      <c r="A24" s="38"/>
      <c r="B24" s="7" t="s">
        <v>25</v>
      </c>
      <c r="C24" s="8">
        <v>188</v>
      </c>
      <c r="D24" s="8">
        <v>3.11</v>
      </c>
      <c r="E24" s="8">
        <v>2.37</v>
      </c>
      <c r="F24" s="8">
        <v>2.02</v>
      </c>
    </row>
    <row r="25" spans="1:28">
      <c r="A25" s="38"/>
      <c r="B25" s="5" t="s">
        <v>26</v>
      </c>
      <c r="C25" s="6">
        <v>130</v>
      </c>
      <c r="D25" s="6">
        <v>2.75</v>
      </c>
      <c r="E25" s="6">
        <v>2.25</v>
      </c>
      <c r="F25" s="6">
        <v>1.89</v>
      </c>
    </row>
    <row r="26" spans="1:28">
      <c r="A26" s="38"/>
      <c r="B26" s="9" t="s">
        <v>27</v>
      </c>
      <c r="C26" s="10">
        <v>81</v>
      </c>
      <c r="D26" s="10">
        <v>2.8</v>
      </c>
      <c r="E26" s="10">
        <v>2.36</v>
      </c>
      <c r="F26" s="10"/>
    </row>
    <row r="28" spans="1:28">
      <c r="A28" s="20"/>
      <c r="B28" s="20"/>
      <c r="C28" s="51" t="s">
        <v>58</v>
      </c>
      <c r="D28" s="51"/>
      <c r="E28" s="51"/>
      <c r="F28" s="51" t="s">
        <v>59</v>
      </c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20"/>
    </row>
    <row r="29" spans="1:28">
      <c r="A29" s="20"/>
      <c r="B29" s="55" t="s">
        <v>1</v>
      </c>
      <c r="C29" s="51" t="s">
        <v>64</v>
      </c>
      <c r="D29" s="51"/>
      <c r="E29" s="51"/>
      <c r="F29" s="54" t="s">
        <v>60</v>
      </c>
      <c r="G29" s="54"/>
      <c r="H29" s="54"/>
      <c r="I29" s="54"/>
      <c r="J29" s="54"/>
      <c r="K29" s="54"/>
      <c r="L29" s="54" t="s">
        <v>61</v>
      </c>
      <c r="M29" s="54"/>
      <c r="N29" s="54"/>
      <c r="O29" s="54"/>
      <c r="P29" s="54" t="s">
        <v>101</v>
      </c>
      <c r="Q29" s="54"/>
      <c r="R29" s="54"/>
      <c r="S29" s="54"/>
      <c r="T29" s="54"/>
      <c r="U29" s="54"/>
      <c r="V29" s="54"/>
      <c r="W29" s="54" t="s">
        <v>102</v>
      </c>
      <c r="X29" s="54"/>
      <c r="Y29" s="54"/>
      <c r="Z29" s="54"/>
      <c r="AA29" s="54"/>
      <c r="AB29" s="20"/>
    </row>
    <row r="30" spans="1:28">
      <c r="A30" s="21" t="s">
        <v>0</v>
      </c>
      <c r="B30" s="55"/>
      <c r="C30" s="21" t="s">
        <v>87</v>
      </c>
      <c r="D30" s="21" t="s">
        <v>88</v>
      </c>
      <c r="E30" s="21" t="s">
        <v>89</v>
      </c>
      <c r="F30" s="21" t="s">
        <v>65</v>
      </c>
      <c r="G30" s="21" t="s">
        <v>66</v>
      </c>
      <c r="H30" s="21" t="s">
        <v>67</v>
      </c>
      <c r="I30" s="21" t="s">
        <v>68</v>
      </c>
      <c r="J30" s="21" t="s">
        <v>69</v>
      </c>
      <c r="K30" s="21" t="s">
        <v>70</v>
      </c>
      <c r="L30" s="21" t="s">
        <v>71</v>
      </c>
      <c r="M30" s="21" t="s">
        <v>72</v>
      </c>
      <c r="N30" s="21" t="s">
        <v>73</v>
      </c>
      <c r="O30" s="21" t="s">
        <v>74</v>
      </c>
      <c r="P30" s="21" t="s">
        <v>75</v>
      </c>
      <c r="Q30" s="21" t="s">
        <v>76</v>
      </c>
      <c r="R30" s="21" t="s">
        <v>77</v>
      </c>
      <c r="S30" s="21" t="s">
        <v>78</v>
      </c>
      <c r="T30" s="21" t="s">
        <v>79</v>
      </c>
      <c r="U30" s="21" t="s">
        <v>80</v>
      </c>
      <c r="V30" s="21" t="s">
        <v>81</v>
      </c>
      <c r="W30" s="21" t="s">
        <v>82</v>
      </c>
      <c r="X30" s="21" t="s">
        <v>83</v>
      </c>
      <c r="Y30" s="21" t="s">
        <v>84</v>
      </c>
      <c r="Z30" s="21" t="s">
        <v>85</v>
      </c>
      <c r="AA30" s="21" t="s">
        <v>86</v>
      </c>
      <c r="AB30" s="21" t="s">
        <v>2</v>
      </c>
    </row>
    <row r="31" spans="1:28">
      <c r="A31" s="52" t="s">
        <v>53</v>
      </c>
      <c r="B31" s="22" t="s">
        <v>7</v>
      </c>
      <c r="C31" s="23">
        <v>2.88</v>
      </c>
      <c r="D31" s="23">
        <v>2.29</v>
      </c>
      <c r="E31" s="23">
        <v>1.93</v>
      </c>
      <c r="F31" s="23">
        <v>3.03</v>
      </c>
      <c r="G31" s="23">
        <v>2.4700000000000002</v>
      </c>
      <c r="H31" s="23">
        <v>2.76</v>
      </c>
      <c r="I31" s="23">
        <v>2.56</v>
      </c>
      <c r="J31" s="23">
        <v>2.87</v>
      </c>
      <c r="K31" s="23">
        <v>2.79</v>
      </c>
      <c r="L31" s="23">
        <v>3.46</v>
      </c>
      <c r="M31" s="23">
        <v>3.22</v>
      </c>
      <c r="N31" s="23">
        <v>2.96</v>
      </c>
      <c r="O31" s="23">
        <v>3.01</v>
      </c>
      <c r="P31" s="23">
        <v>3.34</v>
      </c>
      <c r="Q31" s="23">
        <v>3.73</v>
      </c>
      <c r="R31" s="23">
        <v>3.66</v>
      </c>
      <c r="S31" s="23">
        <v>3.63</v>
      </c>
      <c r="T31" s="23">
        <v>3.26</v>
      </c>
      <c r="U31" s="23">
        <v>3.63</v>
      </c>
      <c r="V31" s="23">
        <v>3.34</v>
      </c>
      <c r="W31" s="23">
        <v>3.56</v>
      </c>
      <c r="X31" s="23">
        <v>2.9</v>
      </c>
      <c r="Y31" s="23">
        <v>2.71</v>
      </c>
      <c r="Z31" s="23">
        <v>3.17</v>
      </c>
      <c r="AA31" s="23">
        <v>2.77</v>
      </c>
      <c r="AB31" s="24">
        <v>150</v>
      </c>
    </row>
    <row r="32" spans="1:28">
      <c r="A32" s="52"/>
      <c r="B32" s="25" t="s">
        <v>8</v>
      </c>
      <c r="C32" s="26">
        <v>2.97</v>
      </c>
      <c r="D32" s="26">
        <v>2.41</v>
      </c>
      <c r="E32" s="26">
        <v>1.99</v>
      </c>
      <c r="F32" s="26">
        <v>3.14</v>
      </c>
      <c r="G32" s="26">
        <v>2.73</v>
      </c>
      <c r="H32" s="26">
        <v>2.91</v>
      </c>
      <c r="I32" s="26">
        <v>2.71</v>
      </c>
      <c r="J32" s="26">
        <v>3.17</v>
      </c>
      <c r="K32" s="26">
        <v>3.04</v>
      </c>
      <c r="L32" s="26">
        <v>3.6</v>
      </c>
      <c r="M32" s="26">
        <v>3.4</v>
      </c>
      <c r="N32" s="26">
        <v>3.14</v>
      </c>
      <c r="O32" s="26">
        <v>3.1</v>
      </c>
      <c r="P32" s="26">
        <v>3.4</v>
      </c>
      <c r="Q32" s="26">
        <v>3.74</v>
      </c>
      <c r="R32" s="26">
        <v>3.81</v>
      </c>
      <c r="S32" s="26">
        <v>3.91</v>
      </c>
      <c r="T32" s="26">
        <v>3.61</v>
      </c>
      <c r="U32" s="26">
        <v>3.9</v>
      </c>
      <c r="V32" s="26">
        <v>3.51</v>
      </c>
      <c r="W32" s="26">
        <v>3.69</v>
      </c>
      <c r="X32" s="26">
        <v>2.97</v>
      </c>
      <c r="Y32" s="26">
        <v>2.93</v>
      </c>
      <c r="Z32" s="26">
        <v>3.24</v>
      </c>
      <c r="AA32" s="26">
        <v>2.73</v>
      </c>
      <c r="AB32" s="27">
        <v>70</v>
      </c>
    </row>
    <row r="33" spans="1:28">
      <c r="A33" s="52"/>
      <c r="B33" s="22" t="s">
        <v>9</v>
      </c>
      <c r="C33" s="23">
        <v>2.95</v>
      </c>
      <c r="D33" s="23">
        <v>2.25</v>
      </c>
      <c r="E33" s="23">
        <v>1.87</v>
      </c>
      <c r="F33" s="23">
        <v>2.98</v>
      </c>
      <c r="G33" s="23">
        <v>2.52</v>
      </c>
      <c r="H33" s="23">
        <v>2.83</v>
      </c>
      <c r="I33" s="23">
        <v>2.68</v>
      </c>
      <c r="J33" s="23">
        <v>2.95</v>
      </c>
      <c r="K33" s="23">
        <v>3.05</v>
      </c>
      <c r="L33" s="23">
        <v>3.7</v>
      </c>
      <c r="M33" s="23">
        <v>3.43</v>
      </c>
      <c r="N33" s="23">
        <v>3.08</v>
      </c>
      <c r="O33" s="23">
        <v>3.22</v>
      </c>
      <c r="P33" s="23">
        <v>3.57</v>
      </c>
      <c r="Q33" s="23">
        <v>3.63</v>
      </c>
      <c r="R33" s="23">
        <v>3.82</v>
      </c>
      <c r="S33" s="23">
        <v>3.7</v>
      </c>
      <c r="T33" s="23">
        <v>3.47</v>
      </c>
      <c r="U33" s="23">
        <v>3.67</v>
      </c>
      <c r="V33" s="23">
        <v>3.28</v>
      </c>
      <c r="W33" s="23">
        <v>3.65</v>
      </c>
      <c r="X33" s="23">
        <v>2.82</v>
      </c>
      <c r="Y33" s="23">
        <v>2.78</v>
      </c>
      <c r="Z33" s="23">
        <v>3.17</v>
      </c>
      <c r="AA33" s="23">
        <v>2.8</v>
      </c>
      <c r="AB33" s="24">
        <v>60</v>
      </c>
    </row>
    <row r="34" spans="1:28">
      <c r="A34" s="52"/>
      <c r="B34" s="25" t="s">
        <v>10</v>
      </c>
      <c r="C34" s="26">
        <v>2.9</v>
      </c>
      <c r="D34" s="26">
        <v>2.21</v>
      </c>
      <c r="E34" s="26">
        <v>2.0099999999999998</v>
      </c>
      <c r="F34" s="26">
        <v>2.95</v>
      </c>
      <c r="G34" s="26">
        <v>2.4300000000000002</v>
      </c>
      <c r="H34" s="26">
        <v>2.78</v>
      </c>
      <c r="I34" s="26">
        <v>2.59</v>
      </c>
      <c r="J34" s="26">
        <v>2.79</v>
      </c>
      <c r="K34" s="26">
        <v>2.9</v>
      </c>
      <c r="L34" s="26">
        <v>3.6</v>
      </c>
      <c r="M34" s="26">
        <v>3.34</v>
      </c>
      <c r="N34" s="26">
        <v>2.96</v>
      </c>
      <c r="O34" s="26">
        <v>3.06</v>
      </c>
      <c r="P34" s="26">
        <v>3.26</v>
      </c>
      <c r="Q34" s="26">
        <v>3.5</v>
      </c>
      <c r="R34" s="26">
        <v>3.42</v>
      </c>
      <c r="S34" s="26">
        <v>3.43</v>
      </c>
      <c r="T34" s="26">
        <v>3.12</v>
      </c>
      <c r="U34" s="26">
        <v>3.52</v>
      </c>
      <c r="V34" s="26">
        <v>3.3</v>
      </c>
      <c r="W34" s="26">
        <v>3.37</v>
      </c>
      <c r="X34" s="26">
        <v>3.02</v>
      </c>
      <c r="Y34" s="26">
        <v>2.85</v>
      </c>
      <c r="Z34" s="26">
        <v>3.1</v>
      </c>
      <c r="AA34" s="26">
        <v>2.9</v>
      </c>
      <c r="AB34" s="27">
        <v>125</v>
      </c>
    </row>
    <row r="35" spans="1:28">
      <c r="A35" s="52"/>
      <c r="B35" s="22" t="s">
        <v>11</v>
      </c>
      <c r="C35" s="23">
        <v>3.16</v>
      </c>
      <c r="D35" s="23">
        <v>2.6</v>
      </c>
      <c r="E35" s="23">
        <v>2.04</v>
      </c>
      <c r="F35" s="23">
        <v>3.12</v>
      </c>
      <c r="G35" s="23">
        <v>2.56</v>
      </c>
      <c r="H35" s="23">
        <v>3.08</v>
      </c>
      <c r="I35" s="23">
        <v>2.8</v>
      </c>
      <c r="J35" s="23">
        <v>3.52</v>
      </c>
      <c r="K35" s="23">
        <v>3.28</v>
      </c>
      <c r="L35" s="23">
        <v>3.84</v>
      </c>
      <c r="M35" s="23">
        <v>3.44</v>
      </c>
      <c r="N35" s="23">
        <v>3.32</v>
      </c>
      <c r="O35" s="23">
        <v>3.44</v>
      </c>
      <c r="P35" s="23">
        <v>3.84</v>
      </c>
      <c r="Q35" s="23">
        <v>4.28</v>
      </c>
      <c r="R35" s="23">
        <v>4.28</v>
      </c>
      <c r="S35" s="23">
        <v>4.12</v>
      </c>
      <c r="T35" s="23">
        <v>4.2</v>
      </c>
      <c r="U35" s="23">
        <v>4.24</v>
      </c>
      <c r="V35" s="23">
        <v>4.08</v>
      </c>
      <c r="W35" s="23">
        <v>4.16</v>
      </c>
      <c r="X35" s="23">
        <v>3.16</v>
      </c>
      <c r="Y35" s="23">
        <v>3.04</v>
      </c>
      <c r="Z35" s="23">
        <v>3.52</v>
      </c>
      <c r="AA35" s="23">
        <v>2.88</v>
      </c>
      <c r="AB35" s="24">
        <v>25</v>
      </c>
    </row>
    <row r="36" spans="1:28">
      <c r="A36" s="52"/>
      <c r="B36" s="25" t="s">
        <v>12</v>
      </c>
      <c r="C36" s="26">
        <v>3.08</v>
      </c>
      <c r="D36" s="26">
        <v>2.58</v>
      </c>
      <c r="E36" s="26">
        <v>2.15</v>
      </c>
      <c r="F36" s="26">
        <v>3.12</v>
      </c>
      <c r="G36" s="26">
        <v>2.54</v>
      </c>
      <c r="H36" s="26">
        <v>2.92</v>
      </c>
      <c r="I36" s="26">
        <v>2.81</v>
      </c>
      <c r="J36" s="26">
        <v>3.31</v>
      </c>
      <c r="K36" s="26">
        <v>3.19</v>
      </c>
      <c r="L36" s="26">
        <v>3.77</v>
      </c>
      <c r="M36" s="26">
        <v>3.42</v>
      </c>
      <c r="N36" s="26">
        <v>2.92</v>
      </c>
      <c r="O36" s="26">
        <v>3.27</v>
      </c>
      <c r="P36" s="26">
        <v>3.46</v>
      </c>
      <c r="Q36" s="26">
        <v>3.81</v>
      </c>
      <c r="R36" s="26">
        <v>3.77</v>
      </c>
      <c r="S36" s="26">
        <v>3.85</v>
      </c>
      <c r="T36" s="26">
        <v>3.46</v>
      </c>
      <c r="U36" s="26">
        <v>3.73</v>
      </c>
      <c r="V36" s="26">
        <v>3.65</v>
      </c>
      <c r="W36" s="26">
        <v>3.77</v>
      </c>
      <c r="X36" s="26">
        <v>3</v>
      </c>
      <c r="Y36" s="26">
        <v>2.96</v>
      </c>
      <c r="Z36" s="26">
        <v>3.23</v>
      </c>
      <c r="AA36" s="26">
        <v>2.92</v>
      </c>
      <c r="AB36" s="27">
        <v>26</v>
      </c>
    </row>
    <row r="37" spans="1:28">
      <c r="A37" s="52" t="s">
        <v>54</v>
      </c>
      <c r="B37" s="22" t="s">
        <v>13</v>
      </c>
      <c r="C37" s="23">
        <v>3.02</v>
      </c>
      <c r="D37" s="23">
        <v>2.8</v>
      </c>
      <c r="E37" s="23">
        <v>2.14</v>
      </c>
      <c r="F37" s="23">
        <v>3.16</v>
      </c>
      <c r="G37" s="23">
        <v>2.61</v>
      </c>
      <c r="H37" s="23">
        <v>2.98</v>
      </c>
      <c r="I37" s="23">
        <v>2.8</v>
      </c>
      <c r="J37" s="23">
        <v>3.39</v>
      </c>
      <c r="K37" s="23">
        <v>3.23</v>
      </c>
      <c r="L37" s="23">
        <v>3.73</v>
      </c>
      <c r="M37" s="23">
        <v>3.52</v>
      </c>
      <c r="N37" s="23">
        <v>3.23</v>
      </c>
      <c r="O37" s="23">
        <v>3.27</v>
      </c>
      <c r="P37" s="23">
        <v>3.43</v>
      </c>
      <c r="Q37" s="23">
        <v>4</v>
      </c>
      <c r="R37" s="23">
        <v>3.95</v>
      </c>
      <c r="S37" s="23">
        <v>3.93</v>
      </c>
      <c r="T37" s="23">
        <v>3.82</v>
      </c>
      <c r="U37" s="23">
        <v>4</v>
      </c>
      <c r="V37" s="23">
        <v>3.86</v>
      </c>
      <c r="W37" s="23">
        <v>3.95</v>
      </c>
      <c r="X37" s="23">
        <v>3.11</v>
      </c>
      <c r="Y37" s="23">
        <v>3.14</v>
      </c>
      <c r="Z37" s="23">
        <v>3.48</v>
      </c>
      <c r="AA37" s="23">
        <v>3.11</v>
      </c>
      <c r="AB37" s="24">
        <v>44</v>
      </c>
    </row>
    <row r="38" spans="1:28">
      <c r="A38" s="52"/>
      <c r="B38" s="25" t="s">
        <v>14</v>
      </c>
      <c r="C38" s="26">
        <v>2.86</v>
      </c>
      <c r="D38" s="26">
        <v>2.12</v>
      </c>
      <c r="E38" s="26">
        <v>1.93</v>
      </c>
      <c r="F38" s="26">
        <v>2.9</v>
      </c>
      <c r="G38" s="26">
        <v>2.36</v>
      </c>
      <c r="H38" s="26">
        <v>2.73</v>
      </c>
      <c r="I38" s="26">
        <v>2.52</v>
      </c>
      <c r="J38" s="26">
        <v>2.77</v>
      </c>
      <c r="K38" s="26">
        <v>2.82</v>
      </c>
      <c r="L38" s="26">
        <v>3.51</v>
      </c>
      <c r="M38" s="26">
        <v>3.21</v>
      </c>
      <c r="N38" s="26">
        <v>2.87</v>
      </c>
      <c r="O38" s="26">
        <v>2.99</v>
      </c>
      <c r="P38" s="26">
        <v>3.3</v>
      </c>
      <c r="Q38" s="26">
        <v>3.57</v>
      </c>
      <c r="R38" s="26">
        <v>3.52</v>
      </c>
      <c r="S38" s="26">
        <v>3.47</v>
      </c>
      <c r="T38" s="26">
        <v>3.16</v>
      </c>
      <c r="U38" s="26">
        <v>3.53</v>
      </c>
      <c r="V38" s="26">
        <v>3.24</v>
      </c>
      <c r="W38" s="26">
        <v>3.45</v>
      </c>
      <c r="X38" s="26">
        <v>2.9</v>
      </c>
      <c r="Y38" s="26">
        <v>2.79</v>
      </c>
      <c r="Z38" s="26">
        <v>3.11</v>
      </c>
      <c r="AA38" s="26">
        <v>2.8</v>
      </c>
      <c r="AB38" s="27">
        <v>217</v>
      </c>
    </row>
    <row r="39" spans="1:28">
      <c r="A39" s="52"/>
      <c r="B39" s="22" t="s">
        <v>15</v>
      </c>
      <c r="C39" s="23">
        <v>3.09</v>
      </c>
      <c r="D39" s="23">
        <v>2.5099999999999998</v>
      </c>
      <c r="E39" s="23">
        <v>2.0299999999999998</v>
      </c>
      <c r="F39" s="23">
        <v>3.28</v>
      </c>
      <c r="G39" s="23">
        <v>2.77</v>
      </c>
      <c r="H39" s="23">
        <v>3</v>
      </c>
      <c r="I39" s="23">
        <v>2.82</v>
      </c>
      <c r="J39" s="23">
        <v>3.22</v>
      </c>
      <c r="K39" s="23">
        <v>3.14</v>
      </c>
      <c r="L39" s="23">
        <v>3.75</v>
      </c>
      <c r="M39" s="23">
        <v>3.53</v>
      </c>
      <c r="N39" s="23">
        <v>3.28</v>
      </c>
      <c r="O39" s="23">
        <v>3.29</v>
      </c>
      <c r="P39" s="23">
        <v>3.6</v>
      </c>
      <c r="Q39" s="23">
        <v>3.87</v>
      </c>
      <c r="R39" s="23">
        <v>3.92</v>
      </c>
      <c r="S39" s="23">
        <v>3.92</v>
      </c>
      <c r="T39" s="23">
        <v>3.58</v>
      </c>
      <c r="U39" s="23">
        <v>3.82</v>
      </c>
      <c r="V39" s="23">
        <v>3.55</v>
      </c>
      <c r="W39" s="23">
        <v>3.72</v>
      </c>
      <c r="X39" s="23">
        <v>3.05</v>
      </c>
      <c r="Y39" s="23">
        <v>2.87</v>
      </c>
      <c r="Z39" s="23">
        <v>3.25</v>
      </c>
      <c r="AA39" s="23">
        <v>2.87</v>
      </c>
      <c r="AB39" s="24">
        <v>159</v>
      </c>
    </row>
    <row r="40" spans="1:28">
      <c r="A40" s="52"/>
      <c r="B40" s="25" t="s">
        <v>16</v>
      </c>
      <c r="C40" s="26">
        <v>2.58</v>
      </c>
      <c r="D40" s="26">
        <v>2.08</v>
      </c>
      <c r="E40" s="26">
        <v>1.78</v>
      </c>
      <c r="F40" s="26">
        <v>2.5</v>
      </c>
      <c r="G40" s="26">
        <v>2.2200000000000002</v>
      </c>
      <c r="H40" s="26">
        <v>2.4700000000000002</v>
      </c>
      <c r="I40" s="26">
        <v>2.33</v>
      </c>
      <c r="J40" s="26">
        <v>2.5</v>
      </c>
      <c r="K40" s="26">
        <v>2.44</v>
      </c>
      <c r="L40" s="26">
        <v>3.19</v>
      </c>
      <c r="M40" s="26">
        <v>2.94</v>
      </c>
      <c r="N40" s="26">
        <v>2.56</v>
      </c>
      <c r="O40" s="26">
        <v>2.75</v>
      </c>
      <c r="P40" s="26">
        <v>2.97</v>
      </c>
      <c r="Q40" s="26">
        <v>3.22</v>
      </c>
      <c r="R40" s="26">
        <v>3.22</v>
      </c>
      <c r="S40" s="26">
        <v>3.44</v>
      </c>
      <c r="T40" s="26">
        <v>3.14</v>
      </c>
      <c r="U40" s="26">
        <v>3.61</v>
      </c>
      <c r="V40" s="26">
        <v>3.22</v>
      </c>
      <c r="W40" s="26">
        <v>3.33</v>
      </c>
      <c r="X40" s="26">
        <v>2.64</v>
      </c>
      <c r="Y40" s="26">
        <v>2.4700000000000002</v>
      </c>
      <c r="Z40" s="26">
        <v>2.97</v>
      </c>
      <c r="AA40" s="26">
        <v>2.36</v>
      </c>
      <c r="AB40" s="27">
        <v>36</v>
      </c>
    </row>
    <row r="41" spans="1:28">
      <c r="A41" s="52" t="s">
        <v>55</v>
      </c>
      <c r="B41" s="22" t="s">
        <v>17</v>
      </c>
      <c r="C41" s="23">
        <v>3.15</v>
      </c>
      <c r="D41" s="23">
        <v>2.65</v>
      </c>
      <c r="E41" s="23">
        <v>2.15</v>
      </c>
      <c r="F41" s="23">
        <v>3.54</v>
      </c>
      <c r="G41" s="23">
        <v>2.92</v>
      </c>
      <c r="H41" s="23">
        <v>3.08</v>
      </c>
      <c r="I41" s="23">
        <v>2.96</v>
      </c>
      <c r="J41" s="23">
        <v>3.38</v>
      </c>
      <c r="K41" s="23">
        <v>3.27</v>
      </c>
      <c r="L41" s="23">
        <v>3.96</v>
      </c>
      <c r="M41" s="23">
        <v>3.62</v>
      </c>
      <c r="N41" s="23">
        <v>3.35</v>
      </c>
      <c r="O41" s="23">
        <v>3.15</v>
      </c>
      <c r="P41" s="23">
        <v>3.85</v>
      </c>
      <c r="Q41" s="23">
        <v>4.08</v>
      </c>
      <c r="R41" s="23">
        <v>4.1500000000000004</v>
      </c>
      <c r="S41" s="23">
        <v>4.1900000000000004</v>
      </c>
      <c r="T41" s="23">
        <v>3.88</v>
      </c>
      <c r="U41" s="23">
        <v>4.1500000000000004</v>
      </c>
      <c r="V41" s="23">
        <v>3.77</v>
      </c>
      <c r="W41" s="23">
        <v>4</v>
      </c>
      <c r="X41" s="23">
        <v>3.35</v>
      </c>
      <c r="Y41" s="23">
        <v>3.23</v>
      </c>
      <c r="Z41" s="23">
        <v>3.85</v>
      </c>
      <c r="AA41" s="23">
        <v>3.46</v>
      </c>
      <c r="AB41" s="24">
        <v>26</v>
      </c>
    </row>
    <row r="42" spans="1:28">
      <c r="A42" s="52"/>
      <c r="B42" s="25" t="s">
        <v>18</v>
      </c>
      <c r="C42" s="26">
        <v>2.74</v>
      </c>
      <c r="D42" s="26">
        <v>2.37</v>
      </c>
      <c r="E42" s="26">
        <v>2</v>
      </c>
      <c r="F42" s="26">
        <v>3.37</v>
      </c>
      <c r="G42" s="26">
        <v>2.68</v>
      </c>
      <c r="H42" s="26">
        <v>2.79</v>
      </c>
      <c r="I42" s="26">
        <v>2.58</v>
      </c>
      <c r="J42" s="26">
        <v>2.92</v>
      </c>
      <c r="K42" s="26">
        <v>2.87</v>
      </c>
      <c r="L42" s="26">
        <v>3.53</v>
      </c>
      <c r="M42" s="26">
        <v>3.39</v>
      </c>
      <c r="N42" s="26">
        <v>3</v>
      </c>
      <c r="O42" s="26">
        <v>3.08</v>
      </c>
      <c r="P42" s="26">
        <v>3.63</v>
      </c>
      <c r="Q42" s="26">
        <v>3.76</v>
      </c>
      <c r="R42" s="26">
        <v>3.79</v>
      </c>
      <c r="S42" s="26">
        <v>3.84</v>
      </c>
      <c r="T42" s="26">
        <v>3.37</v>
      </c>
      <c r="U42" s="26">
        <v>3.68</v>
      </c>
      <c r="V42" s="26">
        <v>3.32</v>
      </c>
      <c r="W42" s="26">
        <v>3.76</v>
      </c>
      <c r="X42" s="26">
        <v>3.18</v>
      </c>
      <c r="Y42" s="26">
        <v>2.79</v>
      </c>
      <c r="Z42" s="26">
        <v>3.42</v>
      </c>
      <c r="AA42" s="26">
        <v>2.87</v>
      </c>
      <c r="AB42" s="27">
        <v>38</v>
      </c>
    </row>
    <row r="43" spans="1:28">
      <c r="A43" s="52"/>
      <c r="B43" s="22" t="s">
        <v>19</v>
      </c>
      <c r="C43" s="23">
        <v>2.85</v>
      </c>
      <c r="D43" s="23">
        <v>2.2999999999999998</v>
      </c>
      <c r="E43" s="23">
        <v>1.95</v>
      </c>
      <c r="F43" s="23">
        <v>3.05</v>
      </c>
      <c r="G43" s="23">
        <v>2.5499999999999998</v>
      </c>
      <c r="H43" s="23">
        <v>2.76</v>
      </c>
      <c r="I43" s="23">
        <v>2.62</v>
      </c>
      <c r="J43" s="23">
        <v>2.85</v>
      </c>
      <c r="K43" s="23">
        <v>2.8</v>
      </c>
      <c r="L43" s="23">
        <v>3.42</v>
      </c>
      <c r="M43" s="23">
        <v>3.17</v>
      </c>
      <c r="N43" s="23">
        <v>2.8</v>
      </c>
      <c r="O43" s="23">
        <v>2.92</v>
      </c>
      <c r="P43" s="23">
        <v>3.45</v>
      </c>
      <c r="Q43" s="23">
        <v>3.76</v>
      </c>
      <c r="R43" s="23">
        <v>3.67</v>
      </c>
      <c r="S43" s="23">
        <v>3.77</v>
      </c>
      <c r="T43" s="23">
        <v>3.37</v>
      </c>
      <c r="U43" s="23">
        <v>3.72</v>
      </c>
      <c r="V43" s="23">
        <v>3.44</v>
      </c>
      <c r="W43" s="23">
        <v>3.64</v>
      </c>
      <c r="X43" s="23">
        <v>2.84</v>
      </c>
      <c r="Y43" s="23">
        <v>2.74</v>
      </c>
      <c r="Z43" s="23">
        <v>3.17</v>
      </c>
      <c r="AA43" s="23">
        <v>2.72</v>
      </c>
      <c r="AB43" s="24">
        <v>110</v>
      </c>
    </row>
    <row r="44" spans="1:28">
      <c r="A44" s="52"/>
      <c r="B44" s="25" t="s">
        <v>20</v>
      </c>
      <c r="C44" s="26">
        <v>2.91</v>
      </c>
      <c r="D44" s="26">
        <v>2.3199999999999998</v>
      </c>
      <c r="E44" s="26">
        <v>2.04</v>
      </c>
      <c r="F44" s="26">
        <v>2.92</v>
      </c>
      <c r="G44" s="26">
        <v>2.46</v>
      </c>
      <c r="H44" s="26">
        <v>2.77</v>
      </c>
      <c r="I44" s="26">
        <v>2.52</v>
      </c>
      <c r="J44" s="26">
        <v>2.92</v>
      </c>
      <c r="K44" s="26">
        <v>2.98</v>
      </c>
      <c r="L44" s="26">
        <v>3.61</v>
      </c>
      <c r="M44" s="26">
        <v>3.27</v>
      </c>
      <c r="N44" s="26">
        <v>2.98</v>
      </c>
      <c r="O44" s="26">
        <v>3.08</v>
      </c>
      <c r="P44" s="26">
        <v>3.25</v>
      </c>
      <c r="Q44" s="26">
        <v>3.59</v>
      </c>
      <c r="R44" s="26">
        <v>3.52</v>
      </c>
      <c r="S44" s="26">
        <v>3.47</v>
      </c>
      <c r="T44" s="26">
        <v>3.25</v>
      </c>
      <c r="U44" s="26">
        <v>3.56</v>
      </c>
      <c r="V44" s="26">
        <v>3.33</v>
      </c>
      <c r="W44" s="26">
        <v>3.44</v>
      </c>
      <c r="X44" s="26">
        <v>2.96</v>
      </c>
      <c r="Y44" s="26">
        <v>2.86</v>
      </c>
      <c r="Z44" s="26">
        <v>3.08</v>
      </c>
      <c r="AA44" s="26">
        <v>2.76</v>
      </c>
      <c r="AB44" s="27">
        <v>153</v>
      </c>
    </row>
    <row r="45" spans="1:28">
      <c r="A45" s="52"/>
      <c r="B45" s="22" t="s">
        <v>21</v>
      </c>
      <c r="C45" s="23">
        <v>3.06</v>
      </c>
      <c r="D45" s="23">
        <v>2.25</v>
      </c>
      <c r="E45" s="23">
        <v>1.87</v>
      </c>
      <c r="F45" s="23">
        <v>2.91</v>
      </c>
      <c r="G45" s="23">
        <v>2.39</v>
      </c>
      <c r="H45" s="23">
        <v>2.9</v>
      </c>
      <c r="I45" s="23">
        <v>2.73</v>
      </c>
      <c r="J45" s="23">
        <v>3.03</v>
      </c>
      <c r="K45" s="23">
        <v>2.95</v>
      </c>
      <c r="L45" s="23">
        <v>3.65</v>
      </c>
      <c r="M45" s="23">
        <v>3.45</v>
      </c>
      <c r="N45" s="23">
        <v>3.19</v>
      </c>
      <c r="O45" s="23">
        <v>3.27</v>
      </c>
      <c r="P45" s="23">
        <v>3.33</v>
      </c>
      <c r="Q45" s="23">
        <v>3.65</v>
      </c>
      <c r="R45" s="23">
        <v>3.73</v>
      </c>
      <c r="S45" s="23">
        <v>3.65</v>
      </c>
      <c r="T45" s="23">
        <v>3.38</v>
      </c>
      <c r="U45" s="23">
        <v>3.7</v>
      </c>
      <c r="V45" s="23">
        <v>3.42</v>
      </c>
      <c r="W45" s="23">
        <v>3.56</v>
      </c>
      <c r="X45" s="23">
        <v>2.91</v>
      </c>
      <c r="Y45" s="23">
        <v>2.79</v>
      </c>
      <c r="Z45" s="23">
        <v>3.11</v>
      </c>
      <c r="AA45" s="23">
        <v>2.82</v>
      </c>
      <c r="AB45" s="24">
        <v>127</v>
      </c>
    </row>
    <row r="46" spans="1:28">
      <c r="A46" s="52"/>
      <c r="B46" s="25" t="s">
        <v>16</v>
      </c>
      <c r="C46" s="26">
        <v>2.5</v>
      </c>
      <c r="D46" s="26">
        <v>1.5</v>
      </c>
      <c r="E46" s="26">
        <v>1.5</v>
      </c>
      <c r="F46" s="26">
        <v>4.5</v>
      </c>
      <c r="G46" s="26">
        <v>4.5</v>
      </c>
      <c r="H46" s="26">
        <v>3.5</v>
      </c>
      <c r="I46" s="26">
        <v>3.5</v>
      </c>
      <c r="J46" s="26">
        <v>4.5</v>
      </c>
      <c r="K46" s="26">
        <v>4.5</v>
      </c>
      <c r="L46" s="26">
        <v>4.5</v>
      </c>
      <c r="M46" s="26">
        <v>4</v>
      </c>
      <c r="N46" s="26">
        <v>4</v>
      </c>
      <c r="O46" s="26">
        <v>4</v>
      </c>
      <c r="P46" s="26">
        <v>4</v>
      </c>
      <c r="Q46" s="26">
        <v>3</v>
      </c>
      <c r="R46" s="26">
        <v>4.5</v>
      </c>
      <c r="S46" s="26">
        <v>4.5</v>
      </c>
      <c r="T46" s="26">
        <v>4.5</v>
      </c>
      <c r="U46" s="26">
        <v>4.5</v>
      </c>
      <c r="V46" s="26">
        <v>4</v>
      </c>
      <c r="W46" s="26">
        <v>4.5</v>
      </c>
      <c r="X46" s="26">
        <v>2.5</v>
      </c>
      <c r="Y46" s="26">
        <v>2.5</v>
      </c>
      <c r="Z46" s="26">
        <v>2.5</v>
      </c>
      <c r="AA46" s="26">
        <v>3</v>
      </c>
      <c r="AB46" s="27">
        <v>2</v>
      </c>
    </row>
    <row r="47" spans="1:28" ht="22.5">
      <c r="A47" s="52" t="s">
        <v>56</v>
      </c>
      <c r="B47" s="22" t="s">
        <v>22</v>
      </c>
      <c r="C47" s="23">
        <v>3.04</v>
      </c>
      <c r="D47" s="23">
        <v>2.41</v>
      </c>
      <c r="E47" s="23">
        <v>2.14</v>
      </c>
      <c r="F47" s="23">
        <v>3.24</v>
      </c>
      <c r="G47" s="23">
        <v>2.74</v>
      </c>
      <c r="H47" s="23">
        <v>2.95</v>
      </c>
      <c r="I47" s="23">
        <v>2.75</v>
      </c>
      <c r="J47" s="23">
        <v>3.08</v>
      </c>
      <c r="K47" s="23">
        <v>3.02</v>
      </c>
      <c r="L47" s="23">
        <v>3.74</v>
      </c>
      <c r="M47" s="23">
        <v>3.5</v>
      </c>
      <c r="N47" s="23">
        <v>3.11</v>
      </c>
      <c r="O47" s="23">
        <v>3.27</v>
      </c>
      <c r="P47" s="23">
        <v>3.64</v>
      </c>
      <c r="Q47" s="23">
        <v>3.92</v>
      </c>
      <c r="R47" s="23">
        <v>3.9</v>
      </c>
      <c r="S47" s="23">
        <v>3.9</v>
      </c>
      <c r="T47" s="23">
        <v>3.58</v>
      </c>
      <c r="U47" s="23">
        <v>3.84</v>
      </c>
      <c r="V47" s="23">
        <v>3.6</v>
      </c>
      <c r="W47" s="23">
        <v>3.83</v>
      </c>
      <c r="X47" s="23">
        <v>3.17</v>
      </c>
      <c r="Y47" s="23">
        <v>2.98</v>
      </c>
      <c r="Z47" s="23">
        <v>3.5</v>
      </c>
      <c r="AA47" s="23">
        <v>3.1</v>
      </c>
      <c r="AB47" s="24">
        <v>133</v>
      </c>
    </row>
    <row r="48" spans="1:28">
      <c r="A48" s="52"/>
      <c r="B48" s="25" t="s">
        <v>23</v>
      </c>
      <c r="C48" s="26">
        <v>2.89</v>
      </c>
      <c r="D48" s="26">
        <v>2.2799999999999998</v>
      </c>
      <c r="E48" s="26">
        <v>1.9</v>
      </c>
      <c r="F48" s="26">
        <v>2.94</v>
      </c>
      <c r="G48" s="26">
        <v>2.42</v>
      </c>
      <c r="H48" s="26">
        <v>2.77</v>
      </c>
      <c r="I48" s="26">
        <v>2.59</v>
      </c>
      <c r="J48" s="26">
        <v>2.92</v>
      </c>
      <c r="K48" s="26">
        <v>2.91</v>
      </c>
      <c r="L48" s="26">
        <v>3.53</v>
      </c>
      <c r="M48" s="26">
        <v>3.26</v>
      </c>
      <c r="N48" s="26">
        <v>2.98</v>
      </c>
      <c r="O48" s="26">
        <v>3.03</v>
      </c>
      <c r="P48" s="26">
        <v>3.29</v>
      </c>
      <c r="Q48" s="26">
        <v>3.59</v>
      </c>
      <c r="R48" s="26">
        <v>3.59</v>
      </c>
      <c r="S48" s="26">
        <v>3.57</v>
      </c>
      <c r="T48" s="26">
        <v>3.28</v>
      </c>
      <c r="U48" s="26">
        <v>3.62</v>
      </c>
      <c r="V48" s="26">
        <v>3.33</v>
      </c>
      <c r="W48" s="26">
        <v>3.48</v>
      </c>
      <c r="X48" s="26">
        <v>2.86</v>
      </c>
      <c r="Y48" s="26">
        <v>2.76</v>
      </c>
      <c r="Z48" s="26">
        <v>3.05</v>
      </c>
      <c r="AA48" s="26">
        <v>2.7</v>
      </c>
      <c r="AB48" s="27">
        <v>323</v>
      </c>
    </row>
    <row r="49" spans="1:29">
      <c r="A49" s="52" t="s">
        <v>57</v>
      </c>
      <c r="B49" s="22" t="s">
        <v>24</v>
      </c>
      <c r="C49" s="23">
        <v>2.96</v>
      </c>
      <c r="D49" s="23">
        <v>2.21</v>
      </c>
      <c r="E49" s="23">
        <v>1.98</v>
      </c>
      <c r="F49" s="23">
        <v>3.09</v>
      </c>
      <c r="G49" s="23">
        <v>2.46</v>
      </c>
      <c r="H49" s="23">
        <v>2.98</v>
      </c>
      <c r="I49" s="23">
        <v>2.82</v>
      </c>
      <c r="J49" s="23">
        <v>3.23</v>
      </c>
      <c r="K49" s="23">
        <v>3.18</v>
      </c>
      <c r="L49" s="23">
        <v>3.75</v>
      </c>
      <c r="M49" s="23">
        <v>3.54</v>
      </c>
      <c r="N49" s="23">
        <v>3.35</v>
      </c>
      <c r="O49" s="23">
        <v>3.46</v>
      </c>
      <c r="P49" s="23">
        <v>3.26</v>
      </c>
      <c r="Q49" s="23">
        <v>3.74</v>
      </c>
      <c r="R49" s="23">
        <v>3.82</v>
      </c>
      <c r="S49" s="23">
        <v>3.74</v>
      </c>
      <c r="T49" s="23">
        <v>3.49</v>
      </c>
      <c r="U49" s="23">
        <v>3.75</v>
      </c>
      <c r="V49" s="23">
        <v>3.51</v>
      </c>
      <c r="W49" s="23">
        <v>3.61</v>
      </c>
      <c r="X49" s="23">
        <v>3.04</v>
      </c>
      <c r="Y49" s="23">
        <v>2.98</v>
      </c>
      <c r="Z49" s="23">
        <v>3.21</v>
      </c>
      <c r="AA49" s="23">
        <v>2.91</v>
      </c>
      <c r="AB49" s="24">
        <v>57</v>
      </c>
    </row>
    <row r="50" spans="1:29">
      <c r="A50" s="52"/>
      <c r="B50" s="25" t="s">
        <v>25</v>
      </c>
      <c r="C50" s="26">
        <v>3.11</v>
      </c>
      <c r="D50" s="26">
        <v>2.37</v>
      </c>
      <c r="E50" s="26">
        <v>2.02</v>
      </c>
      <c r="F50" s="26">
        <v>2.92</v>
      </c>
      <c r="G50" s="26">
        <v>2.4900000000000002</v>
      </c>
      <c r="H50" s="26">
        <v>2.9</v>
      </c>
      <c r="I50" s="26">
        <v>2.66</v>
      </c>
      <c r="J50" s="26">
        <v>3.05</v>
      </c>
      <c r="K50" s="26">
        <v>3.02</v>
      </c>
      <c r="L50" s="26">
        <v>3.6</v>
      </c>
      <c r="M50" s="26">
        <v>3.37</v>
      </c>
      <c r="N50" s="26">
        <v>3.09</v>
      </c>
      <c r="O50" s="26">
        <v>3.14</v>
      </c>
      <c r="P50" s="26">
        <v>3.35</v>
      </c>
      <c r="Q50" s="26">
        <v>3.6</v>
      </c>
      <c r="R50" s="26">
        <v>3.62</v>
      </c>
      <c r="S50" s="26">
        <v>3.53</v>
      </c>
      <c r="T50" s="26">
        <v>3.29</v>
      </c>
      <c r="U50" s="26">
        <v>3.6</v>
      </c>
      <c r="V50" s="26">
        <v>3.38</v>
      </c>
      <c r="W50" s="26">
        <v>3.49</v>
      </c>
      <c r="X50" s="26">
        <v>2.92</v>
      </c>
      <c r="Y50" s="26">
        <v>2.85</v>
      </c>
      <c r="Z50" s="26">
        <v>3.12</v>
      </c>
      <c r="AA50" s="26">
        <v>2.83</v>
      </c>
      <c r="AB50" s="27">
        <v>188</v>
      </c>
    </row>
    <row r="51" spans="1:29">
      <c r="A51" s="52"/>
      <c r="B51" s="22" t="s">
        <v>26</v>
      </c>
      <c r="C51" s="23">
        <v>2.75</v>
      </c>
      <c r="D51" s="23">
        <v>2.25</v>
      </c>
      <c r="E51" s="23">
        <v>1.89</v>
      </c>
      <c r="F51" s="23">
        <v>3.04</v>
      </c>
      <c r="G51" s="23">
        <v>2.5299999999999998</v>
      </c>
      <c r="H51" s="23">
        <v>2.72</v>
      </c>
      <c r="I51" s="23">
        <v>2.56</v>
      </c>
      <c r="J51" s="23">
        <v>2.85</v>
      </c>
      <c r="K51" s="23">
        <v>2.83</v>
      </c>
      <c r="L51" s="23">
        <v>3.55</v>
      </c>
      <c r="M51" s="23">
        <v>3.28</v>
      </c>
      <c r="N51" s="23">
        <v>2.92</v>
      </c>
      <c r="O51" s="23">
        <v>3.05</v>
      </c>
      <c r="P51" s="23">
        <v>3.4</v>
      </c>
      <c r="Q51" s="23">
        <v>3.72</v>
      </c>
      <c r="R51" s="23">
        <v>3.62</v>
      </c>
      <c r="S51" s="23">
        <v>3.74</v>
      </c>
      <c r="T51" s="23">
        <v>3.3</v>
      </c>
      <c r="U51" s="23">
        <v>3.72</v>
      </c>
      <c r="V51" s="23">
        <v>3.39</v>
      </c>
      <c r="W51" s="23">
        <v>3.57</v>
      </c>
      <c r="X51" s="23">
        <v>2.81</v>
      </c>
      <c r="Y51" s="23">
        <v>2.66</v>
      </c>
      <c r="Z51" s="23">
        <v>3.14</v>
      </c>
      <c r="AA51" s="23">
        <v>2.61</v>
      </c>
      <c r="AB51" s="24">
        <v>130</v>
      </c>
    </row>
    <row r="52" spans="1:29">
      <c r="A52" s="52"/>
      <c r="B52" s="25" t="s">
        <v>27</v>
      </c>
      <c r="C52" s="26">
        <v>2.8</v>
      </c>
      <c r="D52" s="26">
        <v>2.36</v>
      </c>
      <c r="E52" s="26">
        <v>1.99</v>
      </c>
      <c r="F52" s="26">
        <v>3.22</v>
      </c>
      <c r="G52" s="26">
        <v>2.58</v>
      </c>
      <c r="H52" s="26">
        <v>2.72</v>
      </c>
      <c r="I52" s="26">
        <v>2.57</v>
      </c>
      <c r="J52" s="26">
        <v>2.79</v>
      </c>
      <c r="K52" s="26">
        <v>2.79</v>
      </c>
      <c r="L52" s="26">
        <v>3.52</v>
      </c>
      <c r="M52" s="26">
        <v>3.16</v>
      </c>
      <c r="N52" s="26">
        <v>2.8</v>
      </c>
      <c r="O52" s="26">
        <v>2.85</v>
      </c>
      <c r="P52" s="26">
        <v>3.58</v>
      </c>
      <c r="Q52" s="26">
        <v>3.81</v>
      </c>
      <c r="R52" s="26">
        <v>3.81</v>
      </c>
      <c r="S52" s="26">
        <v>3.84</v>
      </c>
      <c r="T52" s="26">
        <v>3.56</v>
      </c>
      <c r="U52" s="26">
        <v>3.79</v>
      </c>
      <c r="V52" s="26">
        <v>3.42</v>
      </c>
      <c r="W52" s="26">
        <v>3.8</v>
      </c>
      <c r="X52" s="26">
        <v>3.21</v>
      </c>
      <c r="Y52" s="26">
        <v>2.91</v>
      </c>
      <c r="Z52" s="26">
        <v>3.38</v>
      </c>
      <c r="AA52" s="26">
        <v>3.06</v>
      </c>
      <c r="AB52" s="27">
        <v>81</v>
      </c>
    </row>
    <row r="53" spans="1:29">
      <c r="A53" s="53" t="s">
        <v>5</v>
      </c>
      <c r="B53" s="53"/>
      <c r="C53" s="28">
        <v>2.93</v>
      </c>
      <c r="D53" s="28">
        <v>2.3199999999999998</v>
      </c>
      <c r="E53" s="28">
        <v>1.97</v>
      </c>
      <c r="F53" s="28">
        <v>3.03</v>
      </c>
      <c r="G53" s="28">
        <v>2.52</v>
      </c>
      <c r="H53" s="28">
        <v>2.83</v>
      </c>
      <c r="I53" s="28">
        <v>2.64</v>
      </c>
      <c r="J53" s="28">
        <v>2.97</v>
      </c>
      <c r="K53" s="28">
        <v>2.94</v>
      </c>
      <c r="L53" s="28">
        <v>3.59</v>
      </c>
      <c r="M53" s="28">
        <v>3.33</v>
      </c>
      <c r="N53" s="28">
        <v>3.02</v>
      </c>
      <c r="O53" s="28">
        <v>3.1</v>
      </c>
      <c r="P53" s="28">
        <v>3.39</v>
      </c>
      <c r="Q53" s="28">
        <v>3.69</v>
      </c>
      <c r="R53" s="28">
        <v>3.68</v>
      </c>
      <c r="S53" s="28">
        <v>3.67</v>
      </c>
      <c r="T53" s="28">
        <v>3.37</v>
      </c>
      <c r="U53" s="28">
        <v>3.69</v>
      </c>
      <c r="V53" s="28">
        <v>3.41</v>
      </c>
      <c r="W53" s="28">
        <v>3.58</v>
      </c>
      <c r="X53" s="28">
        <v>2.95</v>
      </c>
      <c r="Y53" s="28">
        <v>2.82</v>
      </c>
      <c r="Z53" s="28">
        <v>3.18</v>
      </c>
      <c r="AA53" s="28">
        <v>2.82</v>
      </c>
      <c r="AB53" s="29">
        <v>456</v>
      </c>
    </row>
    <row r="56" spans="1:29">
      <c r="A56" s="60" t="s">
        <v>90</v>
      </c>
      <c r="B56" s="60" t="s">
        <v>90</v>
      </c>
      <c r="C56" s="30" t="s">
        <v>58</v>
      </c>
      <c r="D56" s="51" t="s">
        <v>91</v>
      </c>
      <c r="E56" s="51"/>
      <c r="F56" s="51"/>
      <c r="G56" s="51"/>
    </row>
    <row r="57" spans="1:29">
      <c r="A57" s="60" t="s">
        <v>90</v>
      </c>
      <c r="B57" s="60" t="s">
        <v>90</v>
      </c>
      <c r="C57" s="30" t="s">
        <v>64</v>
      </c>
      <c r="D57" s="31" t="s">
        <v>60</v>
      </c>
      <c r="E57" s="31" t="s">
        <v>61</v>
      </c>
      <c r="F57" s="31" t="s">
        <v>62</v>
      </c>
      <c r="G57" s="31" t="s">
        <v>63</v>
      </c>
      <c r="K57" s="34" t="s">
        <v>90</v>
      </c>
      <c r="L57" s="35"/>
      <c r="M57" s="30" t="s">
        <v>91</v>
      </c>
      <c r="Q57" s="30" t="s">
        <v>91</v>
      </c>
      <c r="U57" s="30" t="s">
        <v>91</v>
      </c>
      <c r="Y57" s="30" t="s">
        <v>91</v>
      </c>
      <c r="AC57" s="30" t="s">
        <v>91</v>
      </c>
    </row>
    <row r="58" spans="1:29">
      <c r="A58" s="52" t="s">
        <v>53</v>
      </c>
      <c r="B58" s="22" t="s">
        <v>7</v>
      </c>
      <c r="C58" s="33">
        <f>AVERAGE(C31:E31)</f>
        <v>2.3666666666666667</v>
      </c>
      <c r="D58" s="33">
        <f>AVERAGE(F31:K31)</f>
        <v>2.7466666666666666</v>
      </c>
      <c r="E58" s="33">
        <f>AVERAGE(L31:O31)</f>
        <v>3.1625000000000001</v>
      </c>
      <c r="F58" s="33">
        <f>AVERAGE(P31:V31)</f>
        <v>3.5128571428571425</v>
      </c>
      <c r="G58" s="33">
        <f>AVERAGE(W31:AA31)</f>
        <v>3.0219999999999998</v>
      </c>
      <c r="K58" s="52" t="s">
        <v>53</v>
      </c>
      <c r="L58" s="22" t="s">
        <v>7</v>
      </c>
      <c r="M58" s="32">
        <f t="shared" ref="M58:M63" si="0">AVERAGE(D58:G58)</f>
        <v>3.1110059523809523</v>
      </c>
      <c r="O58" s="52" t="s">
        <v>54</v>
      </c>
      <c r="P58" s="22" t="s">
        <v>13</v>
      </c>
      <c r="Q58" s="32">
        <f>AVERAGE(D64:G64)</f>
        <v>3.4198869047619049</v>
      </c>
      <c r="S58" s="52" t="s">
        <v>55</v>
      </c>
      <c r="T58" s="22" t="s">
        <v>17</v>
      </c>
      <c r="U58" s="32">
        <f t="shared" ref="U58:U63" si="1">AVERAGE(L58:O58)</f>
        <v>3.1110059523809523</v>
      </c>
      <c r="W58" s="52" t="s">
        <v>56</v>
      </c>
      <c r="X58" s="59" t="s">
        <v>105</v>
      </c>
      <c r="Y58" s="32">
        <f>AVERAGE(D74:G74)</f>
        <v>3.3632261904761909</v>
      </c>
      <c r="AA58" s="52" t="s">
        <v>57</v>
      </c>
      <c r="AB58" s="22" t="s">
        <v>24</v>
      </c>
      <c r="AC58" s="32">
        <f>AVERAGE(D76:G76)</f>
        <v>3.312678571428572</v>
      </c>
    </row>
    <row r="59" spans="1:29">
      <c r="A59" s="52"/>
      <c r="B59" s="25" t="s">
        <v>8</v>
      </c>
      <c r="C59" s="33">
        <f t="shared" ref="C59:C79" si="2">AVERAGE(C32:E32)</f>
        <v>2.456666666666667</v>
      </c>
      <c r="D59" s="33">
        <f t="shared" ref="D59:D79" si="3">AVERAGE(F32:K32)</f>
        <v>2.9500000000000006</v>
      </c>
      <c r="E59" s="33">
        <f t="shared" ref="E59:E79" si="4">AVERAGE(L32:O32)</f>
        <v>3.31</v>
      </c>
      <c r="F59" s="33">
        <f t="shared" ref="F59:F79" si="5">AVERAGE(P32:V32)</f>
        <v>3.6971428571428575</v>
      </c>
      <c r="G59" s="33">
        <f t="shared" ref="G59:G79" si="6">AVERAGE(W32:AA32)</f>
        <v>3.1120000000000001</v>
      </c>
      <c r="K59" s="52"/>
      <c r="L59" s="25" t="s">
        <v>8</v>
      </c>
      <c r="M59" s="32">
        <f t="shared" si="0"/>
        <v>3.2672857142857148</v>
      </c>
      <c r="O59" s="52"/>
      <c r="P59" s="25" t="s">
        <v>14</v>
      </c>
      <c r="Q59" s="32">
        <f>AVERAGE(D65:G65)</f>
        <v>3.0592261904761906</v>
      </c>
      <c r="S59" s="52"/>
      <c r="T59" s="25" t="s">
        <v>18</v>
      </c>
      <c r="U59" s="32">
        <f t="shared" si="1"/>
        <v>3.2672857142857148</v>
      </c>
      <c r="W59" s="52"/>
      <c r="X59" s="25" t="s">
        <v>23</v>
      </c>
      <c r="Y59" s="32">
        <f>AVERAGE(D75:G75)</f>
        <v>3.098869047619047</v>
      </c>
      <c r="AA59" s="52"/>
      <c r="AB59" s="25" t="s">
        <v>25</v>
      </c>
      <c r="AC59" s="32">
        <f>AVERAGE(D77:G77)</f>
        <v>3.1658571428571429</v>
      </c>
    </row>
    <row r="60" spans="1:29">
      <c r="A60" s="52"/>
      <c r="B60" s="22" t="s">
        <v>9</v>
      </c>
      <c r="C60" s="33">
        <f t="shared" si="2"/>
        <v>2.3566666666666669</v>
      </c>
      <c r="D60" s="33">
        <f t="shared" si="3"/>
        <v>2.8350000000000004</v>
      </c>
      <c r="E60" s="33">
        <f t="shared" si="4"/>
        <v>3.3575000000000004</v>
      </c>
      <c r="F60" s="33">
        <f t="shared" si="5"/>
        <v>3.5914285714285716</v>
      </c>
      <c r="G60" s="33">
        <f t="shared" si="6"/>
        <v>3.0439999999999996</v>
      </c>
      <c r="K60" s="52"/>
      <c r="L60" s="22" t="s">
        <v>9</v>
      </c>
      <c r="M60" s="32">
        <f t="shared" si="0"/>
        <v>3.206982142857143</v>
      </c>
      <c r="O60" s="52"/>
      <c r="P60" s="22" t="s">
        <v>15</v>
      </c>
      <c r="Q60" s="32">
        <f>AVERAGE(D66:G66)</f>
        <v>3.3510654761904766</v>
      </c>
      <c r="S60" s="52"/>
      <c r="T60" s="22" t="s">
        <v>19</v>
      </c>
      <c r="U60" s="32">
        <f t="shared" si="1"/>
        <v>3.206982142857143</v>
      </c>
      <c r="AA60" s="52"/>
      <c r="AB60" s="22" t="s">
        <v>26</v>
      </c>
      <c r="AC60" s="32">
        <f>AVERAGE(D78:G78)</f>
        <v>3.1171785714285716</v>
      </c>
    </row>
    <row r="61" spans="1:29">
      <c r="A61" s="52"/>
      <c r="B61" s="25" t="s">
        <v>10</v>
      </c>
      <c r="C61" s="33">
        <f t="shared" si="2"/>
        <v>2.3733333333333331</v>
      </c>
      <c r="D61" s="33">
        <f t="shared" si="3"/>
        <v>2.7399999999999998</v>
      </c>
      <c r="E61" s="33">
        <f t="shared" si="4"/>
        <v>3.2399999999999998</v>
      </c>
      <c r="F61" s="33">
        <f t="shared" si="5"/>
        <v>3.3642857142857143</v>
      </c>
      <c r="G61" s="33">
        <f t="shared" si="6"/>
        <v>3.048</v>
      </c>
      <c r="K61" s="52"/>
      <c r="L61" s="25" t="s">
        <v>10</v>
      </c>
      <c r="M61" s="32">
        <f t="shared" si="0"/>
        <v>3.0980714285714286</v>
      </c>
      <c r="O61" s="52"/>
      <c r="P61" s="25" t="s">
        <v>16</v>
      </c>
      <c r="Q61" s="32">
        <f>AVERAGE(D67:G67)</f>
        <v>2.8209999999999997</v>
      </c>
      <c r="S61" s="52"/>
      <c r="T61" s="25" t="s">
        <v>20</v>
      </c>
      <c r="U61" s="32">
        <f t="shared" si="1"/>
        <v>3.0980714285714286</v>
      </c>
      <c r="AA61" s="52"/>
      <c r="AB61" s="25" t="s">
        <v>27</v>
      </c>
      <c r="AC61" s="32">
        <f>AVERAGE(D79:G79)</f>
        <v>3.2049940476190479</v>
      </c>
    </row>
    <row r="62" spans="1:29">
      <c r="A62" s="52"/>
      <c r="B62" s="22" t="s">
        <v>11</v>
      </c>
      <c r="C62" s="33">
        <f t="shared" si="2"/>
        <v>2.6</v>
      </c>
      <c r="D62" s="33">
        <f t="shared" si="3"/>
        <v>3.06</v>
      </c>
      <c r="E62" s="33">
        <f t="shared" si="4"/>
        <v>3.51</v>
      </c>
      <c r="F62" s="33">
        <f t="shared" si="5"/>
        <v>4.1485714285714286</v>
      </c>
      <c r="G62" s="33">
        <f t="shared" si="6"/>
        <v>3.3519999999999994</v>
      </c>
      <c r="K62" s="52"/>
      <c r="L62" s="22" t="s">
        <v>11</v>
      </c>
      <c r="M62" s="32">
        <f t="shared" si="0"/>
        <v>3.5176428571428575</v>
      </c>
      <c r="S62" s="52"/>
      <c r="T62" s="22" t="s">
        <v>21</v>
      </c>
      <c r="U62" s="32">
        <f t="shared" si="1"/>
        <v>3.5176428571428575</v>
      </c>
    </row>
    <row r="63" spans="1:29">
      <c r="A63" s="52"/>
      <c r="B63" s="25" t="s">
        <v>12</v>
      </c>
      <c r="C63" s="33">
        <f t="shared" si="2"/>
        <v>2.6033333333333335</v>
      </c>
      <c r="D63" s="33">
        <f t="shared" si="3"/>
        <v>2.9816666666666669</v>
      </c>
      <c r="E63" s="33">
        <f t="shared" si="4"/>
        <v>3.3449999999999998</v>
      </c>
      <c r="F63" s="33">
        <f t="shared" si="5"/>
        <v>3.6757142857142853</v>
      </c>
      <c r="G63" s="33">
        <f t="shared" si="6"/>
        <v>3.1760000000000002</v>
      </c>
      <c r="K63" s="52"/>
      <c r="L63" s="25" t="s">
        <v>12</v>
      </c>
      <c r="M63" s="32">
        <f t="shared" si="0"/>
        <v>3.2945952380952379</v>
      </c>
      <c r="S63" s="52"/>
      <c r="T63" s="25" t="s">
        <v>16</v>
      </c>
      <c r="U63" s="32">
        <f t="shared" si="1"/>
        <v>3.2945952380952379</v>
      </c>
    </row>
    <row r="64" spans="1:29">
      <c r="A64" s="52" t="s">
        <v>54</v>
      </c>
      <c r="B64" s="22" t="s">
        <v>13</v>
      </c>
      <c r="C64" s="33">
        <f t="shared" si="2"/>
        <v>2.6533333333333338</v>
      </c>
      <c r="D64" s="33">
        <f t="shared" si="3"/>
        <v>3.0283333333333338</v>
      </c>
      <c r="E64" s="33">
        <f t="shared" si="4"/>
        <v>3.4375</v>
      </c>
      <c r="F64" s="33">
        <f t="shared" si="5"/>
        <v>3.8557142857142854</v>
      </c>
      <c r="G64" s="33">
        <f t="shared" si="6"/>
        <v>3.3580000000000005</v>
      </c>
    </row>
    <row r="65" spans="1:7">
      <c r="A65" s="52"/>
      <c r="B65" s="25" t="s">
        <v>14</v>
      </c>
      <c r="C65" s="33">
        <f t="shared" si="2"/>
        <v>2.3033333333333332</v>
      </c>
      <c r="D65" s="33">
        <f t="shared" si="3"/>
        <v>2.6833333333333331</v>
      </c>
      <c r="E65" s="33">
        <f t="shared" si="4"/>
        <v>3.145</v>
      </c>
      <c r="F65" s="33">
        <f t="shared" si="5"/>
        <v>3.3985714285714286</v>
      </c>
      <c r="G65" s="33">
        <f t="shared" si="6"/>
        <v>3.0100000000000002</v>
      </c>
    </row>
    <row r="66" spans="1:7">
      <c r="A66" s="52"/>
      <c r="B66" s="22" t="s">
        <v>15</v>
      </c>
      <c r="C66" s="33">
        <f t="shared" si="2"/>
        <v>2.543333333333333</v>
      </c>
      <c r="D66" s="33">
        <f t="shared" si="3"/>
        <v>3.0383333333333336</v>
      </c>
      <c r="E66" s="33">
        <f t="shared" si="4"/>
        <v>3.4624999999999995</v>
      </c>
      <c r="F66" s="33">
        <f t="shared" si="5"/>
        <v>3.7514285714285718</v>
      </c>
      <c r="G66" s="33">
        <f t="shared" si="6"/>
        <v>3.1520000000000001</v>
      </c>
    </row>
    <row r="67" spans="1:7">
      <c r="A67" s="52"/>
      <c r="B67" s="25" t="s">
        <v>16</v>
      </c>
      <c r="C67" s="33">
        <f t="shared" si="2"/>
        <v>2.1466666666666669</v>
      </c>
      <c r="D67" s="33">
        <f t="shared" si="3"/>
        <v>2.41</v>
      </c>
      <c r="E67" s="33">
        <f t="shared" si="4"/>
        <v>2.86</v>
      </c>
      <c r="F67" s="33">
        <f t="shared" si="5"/>
        <v>3.2600000000000002</v>
      </c>
      <c r="G67" s="33">
        <f t="shared" si="6"/>
        <v>2.7540000000000004</v>
      </c>
    </row>
    <row r="68" spans="1:7">
      <c r="A68" s="52" t="s">
        <v>55</v>
      </c>
      <c r="B68" s="22" t="s">
        <v>17</v>
      </c>
      <c r="C68" s="33">
        <f t="shared" si="2"/>
        <v>2.65</v>
      </c>
      <c r="D68" s="33">
        <f t="shared" si="3"/>
        <v>3.1916666666666664</v>
      </c>
      <c r="E68" s="33">
        <f t="shared" si="4"/>
        <v>3.52</v>
      </c>
      <c r="F68" s="33">
        <f t="shared" si="5"/>
        <v>4.01</v>
      </c>
      <c r="G68" s="33">
        <f t="shared" si="6"/>
        <v>3.5780000000000003</v>
      </c>
    </row>
    <row r="69" spans="1:7">
      <c r="A69" s="52"/>
      <c r="B69" s="25" t="s">
        <v>18</v>
      </c>
      <c r="C69" s="33">
        <f t="shared" si="2"/>
        <v>2.37</v>
      </c>
      <c r="D69" s="33">
        <f t="shared" si="3"/>
        <v>2.8683333333333336</v>
      </c>
      <c r="E69" s="33">
        <f t="shared" si="4"/>
        <v>3.25</v>
      </c>
      <c r="F69" s="33">
        <f t="shared" si="5"/>
        <v>3.6271428571428572</v>
      </c>
      <c r="G69" s="33">
        <f t="shared" si="6"/>
        <v>3.2039999999999997</v>
      </c>
    </row>
    <row r="70" spans="1:7">
      <c r="A70" s="52"/>
      <c r="B70" s="22" t="s">
        <v>19</v>
      </c>
      <c r="C70" s="33">
        <f t="shared" si="2"/>
        <v>2.3666666666666667</v>
      </c>
      <c r="D70" s="33">
        <f t="shared" si="3"/>
        <v>2.7716666666666665</v>
      </c>
      <c r="E70" s="33">
        <f t="shared" si="4"/>
        <v>3.0775000000000001</v>
      </c>
      <c r="F70" s="33">
        <f t="shared" si="5"/>
        <v>3.597142857142857</v>
      </c>
      <c r="G70" s="33">
        <f t="shared" si="6"/>
        <v>3.0220000000000002</v>
      </c>
    </row>
    <row r="71" spans="1:7">
      <c r="A71" s="52"/>
      <c r="B71" s="25" t="s">
        <v>20</v>
      </c>
      <c r="C71" s="33">
        <f t="shared" si="2"/>
        <v>2.4233333333333333</v>
      </c>
      <c r="D71" s="33">
        <f t="shared" si="3"/>
        <v>2.7616666666666667</v>
      </c>
      <c r="E71" s="33">
        <f t="shared" si="4"/>
        <v>3.2349999999999999</v>
      </c>
      <c r="F71" s="33">
        <f t="shared" si="5"/>
        <v>3.4242857142857139</v>
      </c>
      <c r="G71" s="33">
        <f t="shared" si="6"/>
        <v>3.02</v>
      </c>
    </row>
    <row r="72" spans="1:7">
      <c r="A72" s="52"/>
      <c r="B72" s="22" t="s">
        <v>21</v>
      </c>
      <c r="C72" s="33">
        <f t="shared" si="2"/>
        <v>2.3933333333333335</v>
      </c>
      <c r="D72" s="33">
        <f t="shared" si="3"/>
        <v>2.8183333333333334</v>
      </c>
      <c r="E72" s="33">
        <f t="shared" si="4"/>
        <v>3.3899999999999997</v>
      </c>
      <c r="F72" s="33">
        <f t="shared" si="5"/>
        <v>3.5514285714285712</v>
      </c>
      <c r="G72" s="33">
        <f t="shared" si="6"/>
        <v>3.0380000000000003</v>
      </c>
    </row>
    <row r="73" spans="1:7">
      <c r="A73" s="52"/>
      <c r="B73" s="25" t="s">
        <v>16</v>
      </c>
      <c r="C73" s="33">
        <f t="shared" si="2"/>
        <v>1.8333333333333333</v>
      </c>
      <c r="D73" s="33">
        <f t="shared" si="3"/>
        <v>4.166666666666667</v>
      </c>
      <c r="E73" s="33">
        <f t="shared" si="4"/>
        <v>4.125</v>
      </c>
      <c r="F73" s="33">
        <f t="shared" si="5"/>
        <v>4.1428571428571432</v>
      </c>
      <c r="G73" s="33">
        <f t="shared" si="6"/>
        <v>3</v>
      </c>
    </row>
    <row r="74" spans="1:7" ht="22.5">
      <c r="A74" s="52" t="s">
        <v>56</v>
      </c>
      <c r="B74" s="22" t="s">
        <v>22</v>
      </c>
      <c r="C74" s="33">
        <f t="shared" si="2"/>
        <v>2.5299999999999998</v>
      </c>
      <c r="D74" s="33">
        <f t="shared" si="3"/>
        <v>2.9633333333333334</v>
      </c>
      <c r="E74" s="33">
        <f t="shared" si="4"/>
        <v>3.4049999999999998</v>
      </c>
      <c r="F74" s="33">
        <f t="shared" si="5"/>
        <v>3.7685714285714291</v>
      </c>
      <c r="G74" s="33">
        <f t="shared" si="6"/>
        <v>3.3160000000000003</v>
      </c>
    </row>
    <row r="75" spans="1:7">
      <c r="A75" s="52"/>
      <c r="B75" s="25" t="s">
        <v>23</v>
      </c>
      <c r="C75" s="33">
        <f t="shared" si="2"/>
        <v>2.3566666666666669</v>
      </c>
      <c r="D75" s="33">
        <f t="shared" si="3"/>
        <v>2.7583333333333329</v>
      </c>
      <c r="E75" s="33">
        <f t="shared" si="4"/>
        <v>3.1999999999999997</v>
      </c>
      <c r="F75" s="33">
        <f t="shared" si="5"/>
        <v>3.4671428571428575</v>
      </c>
      <c r="G75" s="33">
        <f t="shared" si="6"/>
        <v>2.9699999999999998</v>
      </c>
    </row>
    <row r="76" spans="1:7">
      <c r="A76" s="52" t="s">
        <v>57</v>
      </c>
      <c r="B76" s="22" t="s">
        <v>24</v>
      </c>
      <c r="C76" s="33">
        <f t="shared" si="2"/>
        <v>2.3833333333333333</v>
      </c>
      <c r="D76" s="33">
        <f t="shared" si="3"/>
        <v>2.9600000000000004</v>
      </c>
      <c r="E76" s="33">
        <f t="shared" si="4"/>
        <v>3.5250000000000004</v>
      </c>
      <c r="F76" s="33">
        <f t="shared" si="5"/>
        <v>3.6157142857142861</v>
      </c>
      <c r="G76" s="33">
        <f t="shared" si="6"/>
        <v>3.15</v>
      </c>
    </row>
    <row r="77" spans="1:7">
      <c r="A77" s="52"/>
      <c r="B77" s="25" t="s">
        <v>25</v>
      </c>
      <c r="C77" s="33">
        <f t="shared" si="2"/>
        <v>2.5</v>
      </c>
      <c r="D77" s="33">
        <f t="shared" si="3"/>
        <v>2.84</v>
      </c>
      <c r="E77" s="33">
        <f t="shared" si="4"/>
        <v>3.3000000000000003</v>
      </c>
      <c r="F77" s="33">
        <f t="shared" si="5"/>
        <v>3.4814285714285718</v>
      </c>
      <c r="G77" s="33">
        <f t="shared" si="6"/>
        <v>3.0419999999999998</v>
      </c>
    </row>
    <row r="78" spans="1:7">
      <c r="A78" s="52"/>
      <c r="B78" s="22" t="s">
        <v>26</v>
      </c>
      <c r="C78" s="33">
        <f t="shared" si="2"/>
        <v>2.2966666666666664</v>
      </c>
      <c r="D78" s="33">
        <f t="shared" si="3"/>
        <v>2.7550000000000003</v>
      </c>
      <c r="E78" s="33">
        <f t="shared" si="4"/>
        <v>3.2</v>
      </c>
      <c r="F78" s="33">
        <f t="shared" si="5"/>
        <v>3.5557142857142856</v>
      </c>
      <c r="G78" s="33">
        <f t="shared" si="6"/>
        <v>2.9579999999999997</v>
      </c>
    </row>
    <row r="79" spans="1:7">
      <c r="A79" s="52"/>
      <c r="B79" s="25" t="s">
        <v>27</v>
      </c>
      <c r="C79" s="33">
        <f t="shared" si="2"/>
        <v>2.3833333333333333</v>
      </c>
      <c r="D79" s="33">
        <f t="shared" si="3"/>
        <v>2.7783333333333338</v>
      </c>
      <c r="E79" s="33">
        <f t="shared" si="4"/>
        <v>3.0825</v>
      </c>
      <c r="F79" s="33">
        <f t="shared" si="5"/>
        <v>3.6871428571428573</v>
      </c>
      <c r="G79" s="33">
        <f t="shared" si="6"/>
        <v>3.2719999999999998</v>
      </c>
    </row>
    <row r="83" spans="1:7">
      <c r="A83" s="58" t="s">
        <v>90</v>
      </c>
      <c r="B83" s="51" t="s">
        <v>92</v>
      </c>
      <c r="C83" s="51"/>
      <c r="D83" s="51"/>
    </row>
    <row r="84" spans="1:7">
      <c r="A84" s="58" t="s">
        <v>90</v>
      </c>
      <c r="B84" s="30" t="s">
        <v>87</v>
      </c>
      <c r="C84" s="30" t="s">
        <v>88</v>
      </c>
      <c r="D84" s="30" t="s">
        <v>89</v>
      </c>
      <c r="E84" s="56" t="s">
        <v>99</v>
      </c>
    </row>
    <row r="85" spans="1:7">
      <c r="A85" s="37" t="s">
        <v>93</v>
      </c>
      <c r="B85" s="33">
        <v>2.88</v>
      </c>
      <c r="C85" s="33">
        <v>2.29</v>
      </c>
      <c r="D85" s="33">
        <v>1.93</v>
      </c>
      <c r="E85" s="32">
        <f>AVERAGE(B85:D85)</f>
        <v>2.3666666666666667</v>
      </c>
    </row>
    <row r="86" spans="1:7">
      <c r="A86" s="37" t="s">
        <v>94</v>
      </c>
      <c r="B86" s="33">
        <v>2.97</v>
      </c>
      <c r="C86" s="33">
        <v>2.41</v>
      </c>
      <c r="D86" s="33">
        <v>1.99</v>
      </c>
      <c r="E86" s="32">
        <f t="shared" ref="E86:E91" si="7">AVERAGE(B86:D86)</f>
        <v>2.456666666666667</v>
      </c>
    </row>
    <row r="87" spans="1:7">
      <c r="A87" s="37" t="s">
        <v>95</v>
      </c>
      <c r="B87" s="33">
        <v>2.95</v>
      </c>
      <c r="C87" s="33">
        <v>2.25</v>
      </c>
      <c r="D87" s="33">
        <v>1.87</v>
      </c>
      <c r="E87" s="32">
        <f t="shared" si="7"/>
        <v>2.3566666666666669</v>
      </c>
    </row>
    <row r="88" spans="1:7">
      <c r="A88" s="37" t="s">
        <v>96</v>
      </c>
      <c r="B88" s="33">
        <v>2.9</v>
      </c>
      <c r="C88" s="33">
        <v>2.21</v>
      </c>
      <c r="D88" s="33">
        <v>2.0099999999999998</v>
      </c>
      <c r="E88" s="32">
        <f t="shared" si="7"/>
        <v>2.3733333333333331</v>
      </c>
    </row>
    <row r="89" spans="1:7">
      <c r="A89" s="37" t="s">
        <v>97</v>
      </c>
      <c r="B89" s="33">
        <v>3.16</v>
      </c>
      <c r="C89" s="33">
        <v>2.6</v>
      </c>
      <c r="D89" s="33">
        <v>2.04</v>
      </c>
      <c r="E89" s="32">
        <f t="shared" si="7"/>
        <v>2.6</v>
      </c>
    </row>
    <row r="90" spans="1:7">
      <c r="A90" s="37" t="s">
        <v>98</v>
      </c>
      <c r="B90" s="33">
        <v>3.08</v>
      </c>
      <c r="C90" s="33">
        <v>2.58</v>
      </c>
      <c r="D90" s="33">
        <v>2.15</v>
      </c>
      <c r="E90" s="32">
        <f t="shared" si="7"/>
        <v>2.6033333333333335</v>
      </c>
    </row>
    <row r="91" spans="1:7">
      <c r="A91" s="57" t="s">
        <v>100</v>
      </c>
      <c r="B91" s="32">
        <f>AVERAGE(B85:B90)</f>
        <v>2.99</v>
      </c>
      <c r="C91" s="32">
        <f t="shared" ref="C91:D91" si="8">AVERAGE(C85:C90)</f>
        <v>2.39</v>
      </c>
      <c r="D91" s="32">
        <f t="shared" si="8"/>
        <v>1.9983333333333333</v>
      </c>
      <c r="E91" s="32">
        <f t="shared" si="7"/>
        <v>2.4594444444444448</v>
      </c>
    </row>
    <row r="94" spans="1:7">
      <c r="C94" s="56" t="s">
        <v>103</v>
      </c>
      <c r="D94" s="56" t="s">
        <v>104</v>
      </c>
      <c r="E94" s="56" t="s">
        <v>101</v>
      </c>
      <c r="F94" s="56" t="s">
        <v>102</v>
      </c>
      <c r="G94" s="56" t="s">
        <v>99</v>
      </c>
    </row>
    <row r="95" spans="1:7">
      <c r="A95" s="52" t="s">
        <v>53</v>
      </c>
      <c r="B95" s="22" t="s">
        <v>7</v>
      </c>
      <c r="C95" s="32">
        <v>2.7466666666666666</v>
      </c>
      <c r="D95" s="32">
        <v>3.1625000000000001</v>
      </c>
      <c r="E95" s="32">
        <v>3.5128571428571425</v>
      </c>
      <c r="F95" s="32">
        <v>3.0219999999999998</v>
      </c>
      <c r="G95" s="32">
        <f>AVERAGE(C95:F95)</f>
        <v>3.1110059523809523</v>
      </c>
    </row>
    <row r="96" spans="1:7">
      <c r="A96" s="52"/>
      <c r="B96" s="25" t="s">
        <v>8</v>
      </c>
      <c r="C96" s="32">
        <v>2.9500000000000006</v>
      </c>
      <c r="D96" s="32">
        <v>3.31</v>
      </c>
      <c r="E96" s="32">
        <v>3.6971428571428575</v>
      </c>
      <c r="F96" s="32">
        <v>3.1120000000000001</v>
      </c>
      <c r="G96" s="32">
        <f t="shared" ref="G96:G120" si="9">AVERAGE(C96:F96)</f>
        <v>3.2672857142857148</v>
      </c>
    </row>
    <row r="97" spans="1:7">
      <c r="A97" s="52"/>
      <c r="B97" s="22" t="s">
        <v>9</v>
      </c>
      <c r="C97" s="32">
        <v>2.8350000000000004</v>
      </c>
      <c r="D97" s="32">
        <v>3.3575000000000004</v>
      </c>
      <c r="E97" s="32">
        <v>3.5914285714285716</v>
      </c>
      <c r="F97" s="32">
        <v>3.0439999999999996</v>
      </c>
      <c r="G97" s="32">
        <f t="shared" si="9"/>
        <v>3.206982142857143</v>
      </c>
    </row>
    <row r="98" spans="1:7">
      <c r="A98" s="52"/>
      <c r="B98" s="25" t="s">
        <v>10</v>
      </c>
      <c r="C98" s="32">
        <v>2.7399999999999998</v>
      </c>
      <c r="D98" s="32">
        <v>3.2399999999999998</v>
      </c>
      <c r="E98" s="32">
        <v>3.3642857142857143</v>
      </c>
      <c r="F98" s="32">
        <v>3.048</v>
      </c>
      <c r="G98" s="32">
        <f t="shared" si="9"/>
        <v>3.0980714285714286</v>
      </c>
    </row>
    <row r="99" spans="1:7">
      <c r="A99" s="52"/>
      <c r="B99" s="22" t="s">
        <v>11</v>
      </c>
      <c r="C99" s="32">
        <v>3.06</v>
      </c>
      <c r="D99" s="32">
        <v>3.51</v>
      </c>
      <c r="E99" s="32">
        <v>4.1485714285714286</v>
      </c>
      <c r="F99" s="32">
        <v>3.3519999999999994</v>
      </c>
      <c r="G99" s="32">
        <f t="shared" si="9"/>
        <v>3.5176428571428575</v>
      </c>
    </row>
    <row r="100" spans="1:7">
      <c r="A100" s="52"/>
      <c r="B100" s="25" t="s">
        <v>12</v>
      </c>
      <c r="C100" s="32">
        <v>2.9816666666666669</v>
      </c>
      <c r="D100" s="32">
        <v>3.3449999999999998</v>
      </c>
      <c r="E100" s="32">
        <v>3.6757142857142853</v>
      </c>
      <c r="F100" s="32">
        <v>3.1760000000000002</v>
      </c>
      <c r="G100" s="32">
        <f t="shared" si="9"/>
        <v>3.2945952380952379</v>
      </c>
    </row>
    <row r="101" spans="1:7">
      <c r="A101" s="36"/>
      <c r="B101" s="25"/>
      <c r="C101" s="56" t="s">
        <v>103</v>
      </c>
      <c r="D101" s="56" t="s">
        <v>104</v>
      </c>
      <c r="E101" s="56" t="s">
        <v>101</v>
      </c>
      <c r="F101" s="56" t="s">
        <v>102</v>
      </c>
      <c r="G101" s="56" t="s">
        <v>99</v>
      </c>
    </row>
    <row r="102" spans="1:7">
      <c r="A102" s="52" t="s">
        <v>54</v>
      </c>
      <c r="B102" s="22" t="s">
        <v>13</v>
      </c>
      <c r="C102" s="32">
        <v>3.0283333333333338</v>
      </c>
      <c r="D102" s="32">
        <v>3.4375</v>
      </c>
      <c r="E102" s="32">
        <v>3.8557142857142854</v>
      </c>
      <c r="F102" s="32">
        <v>3.3580000000000005</v>
      </c>
      <c r="G102" s="32">
        <f t="shared" si="9"/>
        <v>3.4198869047619049</v>
      </c>
    </row>
    <row r="103" spans="1:7">
      <c r="A103" s="52"/>
      <c r="B103" s="25" t="s">
        <v>14</v>
      </c>
      <c r="C103" s="32">
        <v>2.6833333333333331</v>
      </c>
      <c r="D103" s="32">
        <v>3.145</v>
      </c>
      <c r="E103" s="32">
        <v>3.3985714285714286</v>
      </c>
      <c r="F103" s="32">
        <v>3.0100000000000002</v>
      </c>
      <c r="G103" s="32">
        <f t="shared" si="9"/>
        <v>3.0592261904761906</v>
      </c>
    </row>
    <row r="104" spans="1:7">
      <c r="A104" s="52"/>
      <c r="B104" s="22" t="s">
        <v>15</v>
      </c>
      <c r="C104" s="32">
        <v>3.0383333333333336</v>
      </c>
      <c r="D104" s="32">
        <v>3.4624999999999995</v>
      </c>
      <c r="E104" s="32">
        <v>3.7514285714285718</v>
      </c>
      <c r="F104" s="32">
        <v>3.1520000000000001</v>
      </c>
      <c r="G104" s="32">
        <f t="shared" si="9"/>
        <v>3.3510654761904766</v>
      </c>
    </row>
    <row r="105" spans="1:7">
      <c r="A105" s="52"/>
      <c r="B105" s="25" t="s">
        <v>16</v>
      </c>
      <c r="C105" s="32">
        <v>2.41</v>
      </c>
      <c r="D105" s="32">
        <v>2.86</v>
      </c>
      <c r="E105" s="32">
        <v>3.2600000000000002</v>
      </c>
      <c r="F105" s="32">
        <v>2.7540000000000004</v>
      </c>
      <c r="G105" s="32">
        <f t="shared" si="9"/>
        <v>2.8209999999999997</v>
      </c>
    </row>
    <row r="106" spans="1:7">
      <c r="A106" s="36"/>
      <c r="B106" s="25"/>
      <c r="C106" s="56" t="s">
        <v>103</v>
      </c>
      <c r="D106" s="56" t="s">
        <v>104</v>
      </c>
      <c r="E106" s="56" t="s">
        <v>101</v>
      </c>
      <c r="F106" s="56" t="s">
        <v>102</v>
      </c>
      <c r="G106" s="56" t="s">
        <v>99</v>
      </c>
    </row>
    <row r="107" spans="1:7">
      <c r="A107" s="52" t="s">
        <v>55</v>
      </c>
      <c r="B107" s="22" t="s">
        <v>17</v>
      </c>
      <c r="C107" s="32">
        <v>3.1916666666666664</v>
      </c>
      <c r="D107" s="32">
        <v>3.52</v>
      </c>
      <c r="E107" s="32">
        <v>4.01</v>
      </c>
      <c r="F107" s="32">
        <v>3.5780000000000003</v>
      </c>
      <c r="G107" s="32">
        <f t="shared" si="9"/>
        <v>3.5749166666666667</v>
      </c>
    </row>
    <row r="108" spans="1:7">
      <c r="A108" s="52"/>
      <c r="B108" s="25" t="s">
        <v>18</v>
      </c>
      <c r="C108" s="32">
        <v>2.8683333333333336</v>
      </c>
      <c r="D108" s="32">
        <v>3.25</v>
      </c>
      <c r="E108" s="32">
        <v>3.6271428571428572</v>
      </c>
      <c r="F108" s="32">
        <v>3.2039999999999997</v>
      </c>
      <c r="G108" s="32">
        <f t="shared" si="9"/>
        <v>3.2373690476190475</v>
      </c>
    </row>
    <row r="109" spans="1:7">
      <c r="A109" s="52"/>
      <c r="B109" s="22" t="s">
        <v>19</v>
      </c>
      <c r="C109" s="32">
        <v>2.7716666666666665</v>
      </c>
      <c r="D109" s="32">
        <v>3.0775000000000001</v>
      </c>
      <c r="E109" s="32">
        <v>3.597142857142857</v>
      </c>
      <c r="F109" s="32">
        <v>3.0220000000000002</v>
      </c>
      <c r="G109" s="32">
        <f t="shared" si="9"/>
        <v>3.1170773809523813</v>
      </c>
    </row>
    <row r="110" spans="1:7">
      <c r="A110" s="52"/>
      <c r="B110" s="25" t="s">
        <v>20</v>
      </c>
      <c r="C110" s="32">
        <v>2.7616666666666667</v>
      </c>
      <c r="D110" s="32">
        <v>3.2349999999999999</v>
      </c>
      <c r="E110" s="32">
        <v>3.4242857142857139</v>
      </c>
      <c r="F110" s="32">
        <v>3.02</v>
      </c>
      <c r="G110" s="32">
        <f t="shared" si="9"/>
        <v>3.110238095238095</v>
      </c>
    </row>
    <row r="111" spans="1:7">
      <c r="A111" s="52"/>
      <c r="B111" s="22" t="s">
        <v>21</v>
      </c>
      <c r="C111" s="32">
        <v>2.8183333333333334</v>
      </c>
      <c r="D111" s="32">
        <v>3.3899999999999997</v>
      </c>
      <c r="E111" s="32">
        <v>3.5514285714285712</v>
      </c>
      <c r="F111" s="32">
        <v>3.0380000000000003</v>
      </c>
      <c r="G111" s="32">
        <f t="shared" si="9"/>
        <v>3.199440476190476</v>
      </c>
    </row>
    <row r="112" spans="1:7">
      <c r="A112" s="52"/>
      <c r="B112" s="25" t="s">
        <v>16</v>
      </c>
      <c r="C112" s="32">
        <v>4.166666666666667</v>
      </c>
      <c r="D112" s="32">
        <v>4.125</v>
      </c>
      <c r="E112" s="32">
        <v>4.1428571428571432</v>
      </c>
      <c r="F112" s="32">
        <v>3</v>
      </c>
      <c r="G112" s="32">
        <f t="shared" si="9"/>
        <v>3.8586309523809526</v>
      </c>
    </row>
    <row r="113" spans="1:7">
      <c r="A113" s="36"/>
      <c r="B113" s="25"/>
      <c r="C113" s="56" t="s">
        <v>103</v>
      </c>
      <c r="D113" s="56" t="s">
        <v>104</v>
      </c>
      <c r="E113" s="56" t="s">
        <v>101</v>
      </c>
      <c r="F113" s="56" t="s">
        <v>102</v>
      </c>
      <c r="G113" s="56" t="s">
        <v>99</v>
      </c>
    </row>
    <row r="114" spans="1:7">
      <c r="A114" s="52" t="s">
        <v>56</v>
      </c>
      <c r="B114" s="59" t="s">
        <v>105</v>
      </c>
      <c r="C114" s="32">
        <v>2.9633333333333334</v>
      </c>
      <c r="D114" s="32">
        <v>3.4049999999999998</v>
      </c>
      <c r="E114" s="32">
        <v>3.7685714285714291</v>
      </c>
      <c r="F114" s="32">
        <v>3.3160000000000003</v>
      </c>
      <c r="G114" s="32">
        <f t="shared" si="9"/>
        <v>3.3632261904761909</v>
      </c>
    </row>
    <row r="115" spans="1:7">
      <c r="A115" s="52"/>
      <c r="B115" s="25" t="s">
        <v>23</v>
      </c>
      <c r="C115" s="32">
        <v>2.7583333333333329</v>
      </c>
      <c r="D115" s="32">
        <v>3.1999999999999997</v>
      </c>
      <c r="E115" s="32">
        <v>3.4671428571428575</v>
      </c>
      <c r="F115" s="32">
        <v>2.9699999999999998</v>
      </c>
      <c r="G115" s="32">
        <f t="shared" si="9"/>
        <v>3.098869047619047</v>
      </c>
    </row>
    <row r="116" spans="1:7">
      <c r="A116" s="36"/>
      <c r="B116" s="25"/>
      <c r="C116" s="56" t="s">
        <v>103</v>
      </c>
      <c r="D116" s="56" t="s">
        <v>104</v>
      </c>
      <c r="E116" s="56" t="s">
        <v>101</v>
      </c>
      <c r="F116" s="56" t="s">
        <v>102</v>
      </c>
      <c r="G116" s="56" t="s">
        <v>99</v>
      </c>
    </row>
    <row r="117" spans="1:7">
      <c r="A117" s="52" t="s">
        <v>57</v>
      </c>
      <c r="B117" s="22" t="s">
        <v>24</v>
      </c>
      <c r="C117" s="32">
        <v>2.9600000000000004</v>
      </c>
      <c r="D117" s="32">
        <v>3.5250000000000004</v>
      </c>
      <c r="E117" s="32">
        <v>3.6157142857142861</v>
      </c>
      <c r="F117" s="32">
        <v>3.15</v>
      </c>
      <c r="G117" s="32">
        <f t="shared" si="9"/>
        <v>3.312678571428572</v>
      </c>
    </row>
    <row r="118" spans="1:7">
      <c r="A118" s="52"/>
      <c r="B118" s="25" t="s">
        <v>25</v>
      </c>
      <c r="C118" s="32">
        <v>2.84</v>
      </c>
      <c r="D118" s="32">
        <v>3.3000000000000003</v>
      </c>
      <c r="E118" s="32">
        <v>3.4814285714285718</v>
      </c>
      <c r="F118" s="32">
        <v>3.0419999999999998</v>
      </c>
      <c r="G118" s="32">
        <f t="shared" si="9"/>
        <v>3.1658571428571429</v>
      </c>
    </row>
    <row r="119" spans="1:7">
      <c r="A119" s="52"/>
      <c r="B119" s="22" t="s">
        <v>26</v>
      </c>
      <c r="C119" s="32">
        <v>2.7550000000000003</v>
      </c>
      <c r="D119" s="32">
        <v>3.2</v>
      </c>
      <c r="E119" s="32">
        <v>3.5557142857142856</v>
      </c>
      <c r="F119" s="32">
        <v>2.9579999999999997</v>
      </c>
      <c r="G119" s="32">
        <f t="shared" si="9"/>
        <v>3.1171785714285716</v>
      </c>
    </row>
    <row r="120" spans="1:7">
      <c r="A120" s="52"/>
      <c r="B120" s="25" t="s">
        <v>27</v>
      </c>
      <c r="C120" s="32">
        <v>2.7783333333333338</v>
      </c>
      <c r="D120" s="32">
        <v>3.0825</v>
      </c>
      <c r="E120" s="32">
        <v>3.6871428571428573</v>
      </c>
      <c r="F120" s="32">
        <v>3.2719999999999998</v>
      </c>
      <c r="G120" s="32">
        <f t="shared" si="9"/>
        <v>3.2049940476190479</v>
      </c>
    </row>
  </sheetData>
  <mergeCells count="40">
    <mergeCell ref="A102:A105"/>
    <mergeCell ref="A107:A112"/>
    <mergeCell ref="A114:A115"/>
    <mergeCell ref="A117:A120"/>
    <mergeCell ref="W58:W59"/>
    <mergeCell ref="AA58:AA61"/>
    <mergeCell ref="B83:D83"/>
    <mergeCell ref="A95:A100"/>
    <mergeCell ref="A64:A67"/>
    <mergeCell ref="A68:A73"/>
    <mergeCell ref="A74:A75"/>
    <mergeCell ref="S58:S63"/>
    <mergeCell ref="K58:K63"/>
    <mergeCell ref="O58:O61"/>
    <mergeCell ref="A76:A79"/>
    <mergeCell ref="A53:B53"/>
    <mergeCell ref="W29:AA29"/>
    <mergeCell ref="A31:A36"/>
    <mergeCell ref="A37:A40"/>
    <mergeCell ref="A41:A46"/>
    <mergeCell ref="A47:A48"/>
    <mergeCell ref="A49:A52"/>
    <mergeCell ref="B29:B30"/>
    <mergeCell ref="C29:E29"/>
    <mergeCell ref="F29:K29"/>
    <mergeCell ref="L29:O29"/>
    <mergeCell ref="P29:V29"/>
    <mergeCell ref="D56:G56"/>
    <mergeCell ref="A58:A63"/>
    <mergeCell ref="A15:A20"/>
    <mergeCell ref="A21:A22"/>
    <mergeCell ref="A23:A26"/>
    <mergeCell ref="C28:E28"/>
    <mergeCell ref="F28:AA28"/>
    <mergeCell ref="A11:A14"/>
    <mergeCell ref="A2:A3"/>
    <mergeCell ref="B2:B3"/>
    <mergeCell ref="C2:C3"/>
    <mergeCell ref="A4:B4"/>
    <mergeCell ref="A5:A10"/>
  </mergeCells>
  <phoneticPr fontId="6" type="noConversion"/>
  <pageMargins left="0.7" right="0.7" top="0.75" bottom="0.75" header="0.3" footer="0.3"/>
  <ignoredErrors>
    <ignoredError sqref="C58:C63 C64:C79 D58:D79 E58:E79 F58:F79 G58:G79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석주 이</dc:creator>
  <cp:lastModifiedBy>석주 이</cp:lastModifiedBy>
  <dcterms:created xsi:type="dcterms:W3CDTF">2025-09-11T12:51:18Z</dcterms:created>
  <dcterms:modified xsi:type="dcterms:W3CDTF">2025-09-29T12:38:55Z</dcterms:modified>
</cp:coreProperties>
</file>