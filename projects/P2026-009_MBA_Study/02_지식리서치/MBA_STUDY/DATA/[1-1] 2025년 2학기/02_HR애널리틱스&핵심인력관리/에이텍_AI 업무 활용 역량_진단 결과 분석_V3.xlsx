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b6553f64e91d015d/바탕 화면/대학원_MBA/[1-1] 2025년 2학기/02_HR애널리틱스^0핵심인력관리/"/>
    </mc:Choice>
  </mc:AlternateContent>
  <xr:revisionPtr revIDLastSave="0" documentId="13_ncr:1_{3A9B3CF0-B5B4-4775-AC2B-12915ED69C9C}" xr6:coauthVersionLast="47" xr6:coauthVersionMax="47" xr10:uidLastSave="{00000000-0000-0000-0000-000000000000}"/>
  <bookViews>
    <workbookView minimized="1" xWindow="1455" yWindow="-14370" windowWidth="28800" windowHeight="15105" xr2:uid="{745E8780-FAAD-47A5-ACF1-A65B84CBFBC6}"/>
  </bookViews>
  <sheets>
    <sheet name="Sheet7" sheetId="7" r:id="rId1"/>
    <sheet name="에이텍" sheetId="1" r:id="rId2"/>
    <sheet name="에이텍모빌리티" sheetId="2" r:id="rId3"/>
    <sheet name="에이텍시스템" sheetId="3" r:id="rId4"/>
    <sheet name="에이텍씨엔" sheetId="4" r:id="rId5"/>
    <sheet name="에이텍오토" sheetId="5" r:id="rId6"/>
    <sheet name="에이텍컴퓨터"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2" i="7" l="1"/>
  <c r="Y71" i="7"/>
  <c r="Y70" i="7"/>
  <c r="Y69" i="7"/>
  <c r="Y68" i="7"/>
  <c r="Y67" i="7"/>
  <c r="Y66" i="7"/>
  <c r="G112" i="7"/>
  <c r="G111" i="7"/>
  <c r="G110" i="7"/>
  <c r="G109" i="7"/>
  <c r="G108" i="7"/>
  <c r="G107" i="7"/>
  <c r="G106" i="7"/>
  <c r="R23" i="7"/>
  <c r="R22" i="7"/>
  <c r="R21" i="7"/>
  <c r="R20" i="7"/>
  <c r="R19" i="7"/>
  <c r="R18" i="7"/>
  <c r="R17" i="7"/>
  <c r="L22" i="7"/>
  <c r="L23" i="7"/>
  <c r="L21" i="7"/>
  <c r="L20" i="7"/>
  <c r="L19" i="7"/>
  <c r="L18" i="7"/>
  <c r="L17" i="7"/>
  <c r="F30" i="7"/>
  <c r="F29" i="7"/>
  <c r="F28" i="7"/>
  <c r="F27" i="7"/>
  <c r="F26" i="7"/>
  <c r="F25" i="7"/>
  <c r="F24" i="7"/>
  <c r="F23" i="7"/>
  <c r="F22" i="7"/>
  <c r="F21" i="7"/>
  <c r="F20" i="7"/>
  <c r="F19" i="7"/>
  <c r="F18" i="7"/>
  <c r="F17" i="7"/>
  <c r="T43" i="6"/>
  <c r="S43" i="6"/>
  <c r="R43" i="6"/>
  <c r="Q43" i="6"/>
  <c r="AP35" i="6"/>
  <c r="AP36" i="6"/>
  <c r="AP34" i="6"/>
  <c r="AO35" i="6"/>
  <c r="AO34" i="6"/>
  <c r="R34" i="6"/>
  <c r="S34" i="6"/>
  <c r="T34" i="6"/>
  <c r="U34" i="6"/>
  <c r="V34" i="6"/>
  <c r="W34" i="6"/>
  <c r="X34" i="6"/>
  <c r="Y34" i="6"/>
  <c r="Z34" i="6"/>
  <c r="AA34" i="6"/>
  <c r="AB34" i="6"/>
  <c r="S42" i="6" s="1"/>
  <c r="AC34" i="6"/>
  <c r="AD34" i="6"/>
  <c r="AE34" i="6"/>
  <c r="AF34" i="6"/>
  <c r="AG34" i="6"/>
  <c r="AH34" i="6"/>
  <c r="T42" i="6" s="1"/>
  <c r="AI34" i="6"/>
  <c r="AJ34" i="6"/>
  <c r="AK34" i="6"/>
  <c r="AL34" i="6"/>
  <c r="R35" i="6"/>
  <c r="S35" i="6"/>
  <c r="T35" i="6"/>
  <c r="U35" i="6"/>
  <c r="V35" i="6"/>
  <c r="W35" i="6"/>
  <c r="X35" i="6"/>
  <c r="Y35" i="6"/>
  <c r="Z35" i="6"/>
  <c r="AA35" i="6"/>
  <c r="AB35" i="6"/>
  <c r="AC35" i="6"/>
  <c r="AD35" i="6"/>
  <c r="AE35" i="6"/>
  <c r="AF35" i="6"/>
  <c r="AG35" i="6"/>
  <c r="AH35" i="6"/>
  <c r="AI35" i="6"/>
  <c r="AJ35" i="6"/>
  <c r="AK35" i="6"/>
  <c r="AL35" i="6"/>
  <c r="Q35" i="6"/>
  <c r="Q34" i="6"/>
  <c r="O35" i="6"/>
  <c r="O36" i="6"/>
  <c r="O37" i="6"/>
  <c r="O38" i="6"/>
  <c r="O39" i="6"/>
  <c r="O34" i="6"/>
  <c r="N38" i="6"/>
  <c r="N37" i="6"/>
  <c r="N36" i="6"/>
  <c r="N35" i="6"/>
  <c r="N34" i="6"/>
  <c r="J43" i="6"/>
  <c r="K34" i="6"/>
  <c r="L34" i="6"/>
  <c r="K35" i="6"/>
  <c r="L35" i="6"/>
  <c r="J35" i="6"/>
  <c r="J34" i="6"/>
  <c r="H35" i="6"/>
  <c r="H36" i="6"/>
  <c r="H37" i="6"/>
  <c r="H38" i="6"/>
  <c r="H34" i="6"/>
  <c r="G37" i="6"/>
  <c r="G36" i="6"/>
  <c r="G35" i="6"/>
  <c r="G34" i="6"/>
  <c r="R42" i="6"/>
  <c r="Q42" i="6"/>
  <c r="J42" i="6"/>
  <c r="AP34" i="5"/>
  <c r="AP35" i="5"/>
  <c r="AP33" i="5"/>
  <c r="AO34" i="5"/>
  <c r="AO33" i="5"/>
  <c r="T42" i="5"/>
  <c r="S42" i="5"/>
  <c r="R42" i="5"/>
  <c r="Q42" i="5"/>
  <c r="R33" i="5"/>
  <c r="S33" i="5"/>
  <c r="T33" i="5"/>
  <c r="U33" i="5"/>
  <c r="V33" i="5"/>
  <c r="W33" i="5"/>
  <c r="X33" i="5"/>
  <c r="Y33" i="5"/>
  <c r="Z33" i="5"/>
  <c r="AA33" i="5"/>
  <c r="AB33" i="5"/>
  <c r="AC33" i="5"/>
  <c r="AD33" i="5"/>
  <c r="AE33" i="5"/>
  <c r="AF33" i="5"/>
  <c r="AG33" i="5"/>
  <c r="AH33" i="5"/>
  <c r="AI33" i="5"/>
  <c r="AJ33" i="5"/>
  <c r="AK33" i="5"/>
  <c r="AL33" i="5"/>
  <c r="R34" i="5"/>
  <c r="S34" i="5"/>
  <c r="T34" i="5"/>
  <c r="U34" i="5"/>
  <c r="V34" i="5"/>
  <c r="W34" i="5"/>
  <c r="X34" i="5"/>
  <c r="Y34" i="5"/>
  <c r="Z34" i="5"/>
  <c r="AA34" i="5"/>
  <c r="AB34" i="5"/>
  <c r="AC34" i="5"/>
  <c r="AD34" i="5"/>
  <c r="AE34" i="5"/>
  <c r="AF34" i="5"/>
  <c r="AG34" i="5"/>
  <c r="AH34" i="5"/>
  <c r="AI34" i="5"/>
  <c r="AJ34" i="5"/>
  <c r="AK34" i="5"/>
  <c r="AL34" i="5"/>
  <c r="Q34" i="5"/>
  <c r="Q33" i="5"/>
  <c r="O34" i="5"/>
  <c r="O35" i="5"/>
  <c r="O36" i="5"/>
  <c r="O37" i="5"/>
  <c r="O38" i="5"/>
  <c r="O33" i="5"/>
  <c r="N37" i="5"/>
  <c r="N36" i="5"/>
  <c r="N35" i="5"/>
  <c r="N34" i="5"/>
  <c r="N33" i="5"/>
  <c r="J42" i="5"/>
  <c r="K33" i="5"/>
  <c r="L33" i="5"/>
  <c r="K34" i="5"/>
  <c r="L34" i="5"/>
  <c r="J34" i="5"/>
  <c r="J33" i="5"/>
  <c r="H34" i="5"/>
  <c r="H35" i="5"/>
  <c r="H36" i="5"/>
  <c r="H37" i="5"/>
  <c r="H33" i="5"/>
  <c r="G36" i="5"/>
  <c r="G35" i="5"/>
  <c r="G34" i="5"/>
  <c r="G33" i="5"/>
  <c r="AP134" i="4"/>
  <c r="AP135" i="4"/>
  <c r="AP133" i="4"/>
  <c r="AO134" i="4"/>
  <c r="AO133" i="4"/>
  <c r="T142" i="4"/>
  <c r="S142" i="4"/>
  <c r="R142" i="4"/>
  <c r="Q142" i="4"/>
  <c r="R133" i="4"/>
  <c r="S133" i="4"/>
  <c r="T133" i="4"/>
  <c r="U133" i="4"/>
  <c r="V133" i="4"/>
  <c r="W133" i="4"/>
  <c r="X133" i="4"/>
  <c r="Y133" i="4"/>
  <c r="Z133" i="4"/>
  <c r="AA133" i="4"/>
  <c r="AB133" i="4"/>
  <c r="AC133" i="4"/>
  <c r="S141" i="4" s="1"/>
  <c r="AD133" i="4"/>
  <c r="AE133" i="4"/>
  <c r="AF133" i="4"/>
  <c r="AG133" i="4"/>
  <c r="AH133" i="4"/>
  <c r="T141" i="4" s="1"/>
  <c r="AI133" i="4"/>
  <c r="AJ133" i="4"/>
  <c r="AK133" i="4"/>
  <c r="AL133" i="4"/>
  <c r="R134" i="4"/>
  <c r="S134" i="4"/>
  <c r="T134" i="4"/>
  <c r="U134" i="4"/>
  <c r="V134" i="4"/>
  <c r="W134" i="4"/>
  <c r="X134" i="4"/>
  <c r="Y134" i="4"/>
  <c r="Z134" i="4"/>
  <c r="AA134" i="4"/>
  <c r="AB134" i="4"/>
  <c r="AC134" i="4"/>
  <c r="AD134" i="4"/>
  <c r="AE134" i="4"/>
  <c r="AF134" i="4"/>
  <c r="AG134" i="4"/>
  <c r="AH134" i="4"/>
  <c r="AI134" i="4"/>
  <c r="AJ134" i="4"/>
  <c r="AK134" i="4"/>
  <c r="AL134" i="4"/>
  <c r="Q134" i="4"/>
  <c r="Q133" i="4"/>
  <c r="N137" i="4"/>
  <c r="N136" i="4"/>
  <c r="N135" i="4"/>
  <c r="N134" i="4"/>
  <c r="N133" i="4"/>
  <c r="J142" i="4"/>
  <c r="K133" i="4"/>
  <c r="L133" i="4"/>
  <c r="K134" i="4"/>
  <c r="L134" i="4"/>
  <c r="L69" i="3"/>
  <c r="K69" i="3"/>
  <c r="J69" i="3"/>
  <c r="J134" i="4"/>
  <c r="J133" i="4"/>
  <c r="H137" i="4"/>
  <c r="H136" i="4"/>
  <c r="H135" i="4"/>
  <c r="H134" i="4"/>
  <c r="H133" i="4"/>
  <c r="G136" i="4"/>
  <c r="G135" i="4"/>
  <c r="G134" i="4"/>
  <c r="G133" i="4"/>
  <c r="R141" i="4"/>
  <c r="Q141" i="4"/>
  <c r="J141" i="4"/>
  <c r="G137" i="4"/>
  <c r="T77" i="3"/>
  <c r="S77" i="3"/>
  <c r="R77" i="3"/>
  <c r="Q77" i="3"/>
  <c r="AP70" i="3"/>
  <c r="AP69" i="3"/>
  <c r="AP68" i="3"/>
  <c r="AO69" i="3"/>
  <c r="AO68" i="3"/>
  <c r="R68" i="3"/>
  <c r="S68" i="3"/>
  <c r="T68" i="3"/>
  <c r="U68" i="3"/>
  <c r="V68" i="3"/>
  <c r="W68" i="3"/>
  <c r="X68" i="3"/>
  <c r="Y68" i="3"/>
  <c r="Z68" i="3"/>
  <c r="AA68" i="3"/>
  <c r="AB68" i="3"/>
  <c r="AC68" i="3"/>
  <c r="AD68" i="3"/>
  <c r="AE68" i="3"/>
  <c r="AF68" i="3"/>
  <c r="AG68" i="3"/>
  <c r="AH68" i="3"/>
  <c r="AI68" i="3"/>
  <c r="AJ68" i="3"/>
  <c r="AK68" i="3"/>
  <c r="AL68" i="3"/>
  <c r="R69" i="3"/>
  <c r="S69" i="3"/>
  <c r="T69" i="3"/>
  <c r="U69" i="3"/>
  <c r="V69" i="3"/>
  <c r="W69" i="3"/>
  <c r="X69" i="3"/>
  <c r="Y69" i="3"/>
  <c r="Z69" i="3"/>
  <c r="AA69" i="3"/>
  <c r="AB69" i="3"/>
  <c r="AC69" i="3"/>
  <c r="AD69" i="3"/>
  <c r="AE69" i="3"/>
  <c r="AF69" i="3"/>
  <c r="AG69" i="3"/>
  <c r="AH69" i="3"/>
  <c r="AI69" i="3"/>
  <c r="AJ69" i="3"/>
  <c r="AK69" i="3"/>
  <c r="AL69" i="3"/>
  <c r="Q69" i="3"/>
  <c r="Q68" i="3"/>
  <c r="AP79" i="2"/>
  <c r="AP80" i="2"/>
  <c r="AP78" i="2"/>
  <c r="AO79" i="2"/>
  <c r="AO78" i="2"/>
  <c r="O79" i="2"/>
  <c r="O80" i="2"/>
  <c r="O81" i="2"/>
  <c r="O82" i="2"/>
  <c r="O83" i="2"/>
  <c r="O78" i="2"/>
  <c r="N72" i="3"/>
  <c r="N71" i="3"/>
  <c r="N70" i="3"/>
  <c r="N69" i="3"/>
  <c r="N68" i="3"/>
  <c r="K68" i="3"/>
  <c r="L68" i="3"/>
  <c r="J77" i="3"/>
  <c r="K78" i="2"/>
  <c r="L78" i="2"/>
  <c r="K79" i="2"/>
  <c r="L79" i="2"/>
  <c r="J79" i="2"/>
  <c r="J78" i="2"/>
  <c r="J68" i="3"/>
  <c r="G71" i="3"/>
  <c r="G70" i="3"/>
  <c r="G69" i="3"/>
  <c r="G68" i="3"/>
  <c r="T87" i="2"/>
  <c r="S87" i="2"/>
  <c r="R87" i="2"/>
  <c r="Q87" i="2"/>
  <c r="R78" i="2"/>
  <c r="S78" i="2"/>
  <c r="T78" i="2"/>
  <c r="U78" i="2"/>
  <c r="V78" i="2"/>
  <c r="W78" i="2"/>
  <c r="X78" i="2"/>
  <c r="Y78" i="2"/>
  <c r="Z78" i="2"/>
  <c r="AA78" i="2"/>
  <c r="AB78" i="2"/>
  <c r="AC78" i="2"/>
  <c r="AD78" i="2"/>
  <c r="AE78" i="2"/>
  <c r="AF78" i="2"/>
  <c r="AG78" i="2"/>
  <c r="AH78" i="2"/>
  <c r="AI78" i="2"/>
  <c r="AJ78" i="2"/>
  <c r="AK78" i="2"/>
  <c r="AL78" i="2"/>
  <c r="R79" i="2"/>
  <c r="S79" i="2"/>
  <c r="T79" i="2"/>
  <c r="U79" i="2"/>
  <c r="V79" i="2"/>
  <c r="W79" i="2"/>
  <c r="X79" i="2"/>
  <c r="Y79" i="2"/>
  <c r="Z79" i="2"/>
  <c r="AA79" i="2"/>
  <c r="AB79" i="2"/>
  <c r="AC79" i="2"/>
  <c r="AD79" i="2"/>
  <c r="AE79" i="2"/>
  <c r="AF79" i="2"/>
  <c r="AG79" i="2"/>
  <c r="AH79" i="2"/>
  <c r="AI79" i="2"/>
  <c r="AJ79" i="2"/>
  <c r="AK79" i="2"/>
  <c r="AL79" i="2"/>
  <c r="Q79" i="2"/>
  <c r="Q78" i="2"/>
  <c r="N82" i="2"/>
  <c r="N81" i="2"/>
  <c r="N80" i="2"/>
  <c r="N79" i="2"/>
  <c r="N78" i="2"/>
  <c r="J87" i="2"/>
  <c r="G81" i="2"/>
  <c r="G80" i="2"/>
  <c r="G79" i="2"/>
  <c r="G78" i="2"/>
  <c r="AO160" i="1"/>
  <c r="AP159" i="1"/>
  <c r="AP160" i="1"/>
  <c r="AP158" i="1"/>
  <c r="O159" i="1"/>
  <c r="O160" i="1"/>
  <c r="O161" i="1"/>
  <c r="O162" i="1"/>
  <c r="O163" i="1"/>
  <c r="O158" i="1"/>
  <c r="H159" i="1"/>
  <c r="H160" i="1"/>
  <c r="H161" i="1"/>
  <c r="H162" i="1"/>
  <c r="H158" i="1"/>
  <c r="T167" i="1"/>
  <c r="S167" i="1"/>
  <c r="R167" i="1"/>
  <c r="Q167" i="1"/>
  <c r="AO159" i="1"/>
  <c r="AO158" i="1"/>
  <c r="R158" i="1"/>
  <c r="S158" i="1"/>
  <c r="T158" i="1"/>
  <c r="U158" i="1"/>
  <c r="V158" i="1"/>
  <c r="W158" i="1"/>
  <c r="X158" i="1"/>
  <c r="Y158" i="1"/>
  <c r="Z158" i="1"/>
  <c r="AA158" i="1"/>
  <c r="AB158" i="1"/>
  <c r="AC158" i="1"/>
  <c r="AD158" i="1"/>
  <c r="AE158" i="1"/>
  <c r="AF158" i="1"/>
  <c r="AG158" i="1"/>
  <c r="AH158" i="1"/>
  <c r="AI158" i="1"/>
  <c r="AJ158" i="1"/>
  <c r="AK158" i="1"/>
  <c r="AL158" i="1"/>
  <c r="R159" i="1"/>
  <c r="S159" i="1"/>
  <c r="T159" i="1"/>
  <c r="U159" i="1"/>
  <c r="V159" i="1"/>
  <c r="W159" i="1"/>
  <c r="X159" i="1"/>
  <c r="Y159" i="1"/>
  <c r="Z159" i="1"/>
  <c r="AA159" i="1"/>
  <c r="AB159" i="1"/>
  <c r="AC159" i="1"/>
  <c r="AD159" i="1"/>
  <c r="AE159" i="1"/>
  <c r="AF159" i="1"/>
  <c r="AG159" i="1"/>
  <c r="AH159" i="1"/>
  <c r="AI159" i="1"/>
  <c r="AJ159" i="1"/>
  <c r="AK159" i="1"/>
  <c r="AL159" i="1"/>
  <c r="Q159" i="1"/>
  <c r="Q158" i="1"/>
  <c r="N162" i="1"/>
  <c r="N161" i="1"/>
  <c r="N160" i="1"/>
  <c r="N159" i="1"/>
  <c r="N158" i="1"/>
  <c r="J167" i="1"/>
  <c r="L159" i="1"/>
  <c r="K159" i="1"/>
  <c r="L158" i="1"/>
  <c r="K158" i="1"/>
  <c r="J159" i="1"/>
  <c r="J158" i="1"/>
  <c r="G161" i="1"/>
  <c r="G160" i="1"/>
  <c r="G159" i="1"/>
  <c r="G158" i="1"/>
  <c r="G38" i="6" l="1"/>
  <c r="AO36" i="6"/>
  <c r="N39" i="6"/>
  <c r="AO135" i="4"/>
  <c r="N138" i="4"/>
  <c r="O137" i="4" s="1"/>
  <c r="O134" i="4"/>
  <c r="O135" i="4"/>
  <c r="O136" i="4"/>
  <c r="O133" i="4"/>
  <c r="H81" i="2"/>
  <c r="G162" i="1"/>
  <c r="J166" i="1"/>
  <c r="N163" i="1"/>
  <c r="R166" i="1"/>
  <c r="S166" i="1"/>
  <c r="Q166" i="1"/>
  <c r="T166" i="1"/>
  <c r="G82" i="2"/>
  <c r="H82" i="2" s="1"/>
  <c r="N83" i="2"/>
  <c r="S86" i="2"/>
  <c r="Q86" i="2"/>
  <c r="T86" i="2"/>
  <c r="R86" i="2"/>
  <c r="G72" i="3"/>
  <c r="H72" i="3" s="1"/>
  <c r="J86" i="2"/>
  <c r="J76" i="3"/>
  <c r="N73" i="3"/>
  <c r="O73" i="3" s="1"/>
  <c r="O138" i="4" l="1"/>
  <c r="O70" i="3"/>
  <c r="H69" i="3"/>
  <c r="O72" i="3"/>
  <c r="O69" i="3"/>
  <c r="H68" i="3"/>
  <c r="O71" i="3"/>
  <c r="O68" i="3"/>
  <c r="H71" i="3"/>
  <c r="H70" i="3"/>
  <c r="H80" i="2"/>
  <c r="H79" i="2"/>
  <c r="H78" i="2"/>
  <c r="AO80" i="2"/>
  <c r="R76" i="3"/>
  <c r="S76" i="3"/>
  <c r="T76" i="3"/>
  <c r="Q76" i="3"/>
  <c r="AO70" i="3"/>
  <c r="G37" i="5"/>
  <c r="J41" i="5"/>
  <c r="N38" i="5"/>
  <c r="T41" i="5"/>
  <c r="S41" i="5"/>
  <c r="Q41" i="5"/>
  <c r="R41" i="5"/>
  <c r="AO35" i="5"/>
</calcChain>
</file>

<file path=xl/sharedStrings.xml><?xml version="1.0" encoding="utf-8"?>
<sst xmlns="http://schemas.openxmlformats.org/spreadsheetml/2006/main" count="6430" uniqueCount="1547">
  <si>
    <t>구분</t>
    <phoneticPr fontId="3" type="noConversion"/>
  </si>
  <si>
    <t>기본정보</t>
    <phoneticPr fontId="3" type="noConversion"/>
  </si>
  <si>
    <r>
      <t xml:space="preserve">AI </t>
    </r>
    <r>
      <rPr>
        <b/>
        <sz val="9"/>
        <rFont val="맑은 고딕"/>
        <family val="3"/>
        <charset val="129"/>
      </rPr>
      <t>업무 활용 현황</t>
    </r>
    <phoneticPr fontId="3" type="noConversion"/>
  </si>
  <si>
    <r>
      <t xml:space="preserve">AI </t>
    </r>
    <r>
      <rPr>
        <b/>
        <sz val="9"/>
        <rFont val="맑은 고딕"/>
        <family val="3"/>
        <charset val="129"/>
      </rPr>
      <t>지식 수준</t>
    </r>
    <phoneticPr fontId="3" type="noConversion"/>
  </si>
  <si>
    <r>
      <t xml:space="preserve">AI </t>
    </r>
    <r>
      <rPr>
        <b/>
        <sz val="9"/>
        <rFont val="맑은 고딕"/>
        <family val="3"/>
        <charset val="129"/>
      </rPr>
      <t>활용 역량 진단결과</t>
    </r>
    <phoneticPr fontId="3" type="noConversion"/>
  </si>
  <si>
    <t>AI 관련 교육훈련 요구사항</t>
    <phoneticPr fontId="3" type="noConversion"/>
  </si>
  <si>
    <t>AI 업무 활용 요구사항</t>
    <phoneticPr fontId="3" type="noConversion"/>
  </si>
  <si>
    <t>영역</t>
    <phoneticPr fontId="3" type="noConversion"/>
  </si>
  <si>
    <r>
      <t xml:space="preserve">AI </t>
    </r>
    <r>
      <rPr>
        <b/>
        <sz val="9"/>
        <rFont val="맑은 고딕"/>
        <family val="3"/>
        <charset val="129"/>
      </rPr>
      <t>업무</t>
    </r>
    <r>
      <rPr>
        <b/>
        <sz val="9"/>
        <rFont val="Arial"/>
        <family val="3"/>
      </rPr>
      <t xml:space="preserve"> </t>
    </r>
    <r>
      <rPr>
        <b/>
        <sz val="9"/>
        <rFont val="맑은 고딕"/>
        <family val="3"/>
        <charset val="129"/>
      </rPr>
      <t>활용</t>
    </r>
    <r>
      <rPr>
        <b/>
        <sz val="9"/>
        <rFont val="Arial"/>
        <family val="3"/>
      </rPr>
      <t xml:space="preserve"> </t>
    </r>
    <r>
      <rPr>
        <b/>
        <sz val="9"/>
        <rFont val="맑은 고딕"/>
        <family val="3"/>
        <charset val="129"/>
      </rPr>
      <t>현황</t>
    </r>
    <phoneticPr fontId="3" type="noConversion"/>
  </si>
  <si>
    <r>
      <t xml:space="preserve">AI </t>
    </r>
    <r>
      <rPr>
        <b/>
        <sz val="9"/>
        <rFont val="맑은 고딕"/>
        <family val="3"/>
        <charset val="129"/>
      </rPr>
      <t>이해도 및 활용</t>
    </r>
    <phoneticPr fontId="3" type="noConversion"/>
  </si>
  <si>
    <r>
      <t xml:space="preserve">AI </t>
    </r>
    <r>
      <rPr>
        <b/>
        <sz val="9"/>
        <rFont val="맑은 고딕"/>
        <family val="3"/>
        <charset val="129"/>
      </rPr>
      <t>윤리 및 보안 인식</t>
    </r>
    <phoneticPr fontId="3" type="noConversion"/>
  </si>
  <si>
    <t>AI 활용 학습 및 성장 의지</t>
    <phoneticPr fontId="3" type="noConversion"/>
  </si>
  <si>
    <t>조직 문화 및 협업 환경</t>
    <phoneticPr fontId="3" type="noConversion"/>
  </si>
  <si>
    <r>
      <t xml:space="preserve">AI </t>
    </r>
    <r>
      <rPr>
        <b/>
        <sz val="9"/>
        <rFont val="맑은 고딕"/>
        <family val="2"/>
        <charset val="129"/>
      </rPr>
      <t>관련</t>
    </r>
    <r>
      <rPr>
        <b/>
        <sz val="9"/>
        <rFont val="Arial"/>
        <family val="2"/>
      </rPr>
      <t xml:space="preserve"> </t>
    </r>
    <r>
      <rPr>
        <b/>
        <sz val="9"/>
        <rFont val="맑은 고딕"/>
        <family val="2"/>
        <charset val="129"/>
      </rPr>
      <t>교육 경험</t>
    </r>
    <phoneticPr fontId="3" type="noConversion"/>
  </si>
  <si>
    <r>
      <t xml:space="preserve">AI </t>
    </r>
    <r>
      <rPr>
        <b/>
        <sz val="9"/>
        <rFont val="맑은 고딕"/>
        <family val="2"/>
        <charset val="129"/>
      </rPr>
      <t>업무 활용 어려움</t>
    </r>
    <phoneticPr fontId="3" type="noConversion"/>
  </si>
  <si>
    <r>
      <t xml:space="preserve">AI </t>
    </r>
    <r>
      <rPr>
        <b/>
        <sz val="9"/>
        <rFont val="맑은 고딕"/>
        <family val="2"/>
        <charset val="129"/>
      </rPr>
      <t>업무 활용 아이디어 및 기대효과</t>
    </r>
    <phoneticPr fontId="3" type="noConversion"/>
  </si>
  <si>
    <t>항목</t>
    <phoneticPr fontId="3" type="noConversion"/>
  </si>
  <si>
    <t>기업</t>
    <phoneticPr fontId="3" type="noConversion"/>
  </si>
  <si>
    <t>직무</t>
    <phoneticPr fontId="3" type="noConversion"/>
  </si>
  <si>
    <t>직급</t>
    <phoneticPr fontId="3" type="noConversion"/>
  </si>
  <si>
    <t>직책</t>
    <phoneticPr fontId="3" type="noConversion"/>
  </si>
  <si>
    <t>연령</t>
    <phoneticPr fontId="3" type="noConversion"/>
  </si>
  <si>
    <r>
      <t xml:space="preserve">AI </t>
    </r>
    <r>
      <rPr>
        <b/>
        <sz val="9"/>
        <rFont val="맑은 고딕"/>
        <family val="2"/>
        <charset val="129"/>
      </rPr>
      <t>활용 빈도</t>
    </r>
    <phoneticPr fontId="3" type="noConversion"/>
  </si>
  <si>
    <r>
      <t xml:space="preserve">AI </t>
    </r>
    <r>
      <rPr>
        <b/>
        <sz val="9"/>
        <rFont val="맑은 고딕"/>
        <family val="2"/>
        <charset val="129"/>
      </rPr>
      <t>활용 업무 효율 개선 경험</t>
    </r>
    <phoneticPr fontId="3" type="noConversion"/>
  </si>
  <si>
    <r>
      <t xml:space="preserve">AI </t>
    </r>
    <r>
      <rPr>
        <b/>
        <sz val="9"/>
        <rFont val="맑은 고딕"/>
        <family val="2"/>
        <charset val="129"/>
      </rPr>
      <t>활용 업무 자동화 시도</t>
    </r>
    <phoneticPr fontId="3" type="noConversion"/>
  </si>
  <si>
    <r>
      <rPr>
        <b/>
        <sz val="9"/>
        <rFont val="맑은 고딕"/>
        <family val="2"/>
        <charset val="129"/>
      </rPr>
      <t>맞춤형</t>
    </r>
    <r>
      <rPr>
        <b/>
        <sz val="9"/>
        <rFont val="Arial"/>
        <family val="2"/>
      </rPr>
      <t xml:space="preserve"> </t>
    </r>
    <r>
      <rPr>
        <b/>
        <sz val="9"/>
        <rFont val="맑은 고딕"/>
        <family val="2"/>
        <charset val="129"/>
      </rPr>
      <t>챗본 및 에이전트 개발 경험</t>
    </r>
    <phoneticPr fontId="3" type="noConversion"/>
  </si>
  <si>
    <r>
      <t xml:space="preserve">AI </t>
    </r>
    <r>
      <rPr>
        <b/>
        <sz val="9"/>
        <rFont val="맑은 고딕"/>
        <family val="2"/>
        <charset val="129"/>
      </rPr>
      <t>기본 개념 이해도</t>
    </r>
    <phoneticPr fontId="3" type="noConversion"/>
  </si>
  <si>
    <r>
      <t xml:space="preserve">AI </t>
    </r>
    <r>
      <rPr>
        <b/>
        <sz val="9"/>
        <rFont val="맑은 고딕"/>
        <family val="3"/>
        <charset val="129"/>
      </rPr>
      <t>작동 원리 이해도</t>
    </r>
    <phoneticPr fontId="3" type="noConversion"/>
  </si>
  <si>
    <r>
      <t xml:space="preserve">AI </t>
    </r>
    <r>
      <rPr>
        <b/>
        <sz val="9"/>
        <rFont val="맑은 고딕"/>
        <family val="3"/>
        <charset val="129"/>
      </rPr>
      <t>활용 업무 효율화</t>
    </r>
    <phoneticPr fontId="3" type="noConversion"/>
  </si>
  <si>
    <r>
      <rPr>
        <b/>
        <sz val="9"/>
        <rFont val="맑은 고딕"/>
        <family val="3"/>
        <charset val="129"/>
      </rPr>
      <t xml:space="preserve">직무 적합 </t>
    </r>
    <r>
      <rPr>
        <b/>
        <sz val="9"/>
        <rFont val="Arial"/>
        <family val="3"/>
      </rPr>
      <t xml:space="preserve">AI </t>
    </r>
    <r>
      <rPr>
        <b/>
        <sz val="9"/>
        <rFont val="맑은 고딕"/>
        <family val="3"/>
        <charset val="129"/>
      </rPr>
      <t>기술 및 도구 이해도</t>
    </r>
    <phoneticPr fontId="3" type="noConversion"/>
  </si>
  <si>
    <r>
      <t xml:space="preserve">AI </t>
    </r>
    <r>
      <rPr>
        <b/>
        <sz val="9"/>
        <rFont val="맑은 고딕"/>
        <family val="2"/>
        <charset val="129"/>
      </rPr>
      <t>분석 결과 검토</t>
    </r>
    <r>
      <rPr>
        <b/>
        <sz val="9"/>
        <rFont val="Arial"/>
        <family val="2"/>
      </rPr>
      <t>·</t>
    </r>
    <r>
      <rPr>
        <b/>
        <sz val="9"/>
        <rFont val="맑은 고딕"/>
        <family val="2"/>
        <charset val="129"/>
      </rPr>
      <t>판단 경험</t>
    </r>
    <phoneticPr fontId="3" type="noConversion"/>
  </si>
  <si>
    <r>
      <t xml:space="preserve">AI </t>
    </r>
    <r>
      <rPr>
        <b/>
        <sz val="9"/>
        <rFont val="맑은 고딕"/>
        <family val="3"/>
        <charset val="129"/>
      </rPr>
      <t>분석 결과 기반 의사결정 검험</t>
    </r>
    <phoneticPr fontId="3" type="noConversion"/>
  </si>
  <si>
    <r>
      <t xml:space="preserve">AI </t>
    </r>
    <r>
      <rPr>
        <b/>
        <sz val="9"/>
        <rFont val="맑은 고딕"/>
        <family val="2"/>
        <charset val="129"/>
      </rPr>
      <t>활용 개인정보</t>
    </r>
    <r>
      <rPr>
        <b/>
        <sz val="9"/>
        <rFont val="Arial"/>
        <family val="2"/>
      </rPr>
      <t>·</t>
    </r>
    <r>
      <rPr>
        <b/>
        <sz val="9"/>
        <rFont val="맑은 고딕"/>
        <family val="2"/>
        <charset val="129"/>
      </rPr>
      <t>보안 인식</t>
    </r>
    <phoneticPr fontId="3" type="noConversion"/>
  </si>
  <si>
    <r>
      <t xml:space="preserve">AI </t>
    </r>
    <r>
      <rPr>
        <b/>
        <sz val="9"/>
        <rFont val="맑은 고딕"/>
        <family val="2"/>
        <charset val="129"/>
      </rPr>
      <t>편향성 및 리스크 인식</t>
    </r>
    <phoneticPr fontId="3" type="noConversion"/>
  </si>
  <si>
    <r>
      <t xml:space="preserve">AI </t>
    </r>
    <r>
      <rPr>
        <b/>
        <sz val="9"/>
        <rFont val="맑은 고딕"/>
        <family val="2"/>
        <charset val="129"/>
      </rPr>
      <t>업로드 가능 데이터 인식</t>
    </r>
    <phoneticPr fontId="3" type="noConversion"/>
  </si>
  <si>
    <r>
      <t xml:space="preserve">AI </t>
    </r>
    <r>
      <rPr>
        <b/>
        <sz val="9"/>
        <rFont val="맑은 고딕"/>
        <family val="2"/>
        <charset val="129"/>
      </rPr>
      <t>활용 윤리문제 인식</t>
    </r>
    <phoneticPr fontId="3" type="noConversion"/>
  </si>
  <si>
    <r>
      <t xml:space="preserve">AI </t>
    </r>
    <r>
      <rPr>
        <b/>
        <sz val="9"/>
        <rFont val="맑은 고딕"/>
        <family val="2"/>
        <charset val="129"/>
      </rPr>
      <t>등</t>
    </r>
    <r>
      <rPr>
        <b/>
        <sz val="9"/>
        <rFont val="Arial"/>
        <family val="2"/>
      </rPr>
      <t xml:space="preserve"> </t>
    </r>
    <r>
      <rPr>
        <b/>
        <sz val="9"/>
        <rFont val="맑은 고딕"/>
        <family val="2"/>
        <charset val="129"/>
      </rPr>
      <t>신기술</t>
    </r>
    <r>
      <rPr>
        <b/>
        <sz val="9"/>
        <rFont val="Arial"/>
        <family val="2"/>
      </rPr>
      <t xml:space="preserve"> </t>
    </r>
    <r>
      <rPr>
        <b/>
        <sz val="9"/>
        <rFont val="맑은 고딕"/>
        <family val="2"/>
        <charset val="129"/>
      </rPr>
      <t>관심도</t>
    </r>
    <phoneticPr fontId="3" type="noConversion"/>
  </si>
  <si>
    <r>
      <t xml:space="preserve">AI </t>
    </r>
    <r>
      <rPr>
        <b/>
        <sz val="9"/>
        <rFont val="맑은 고딕"/>
        <family val="2"/>
        <charset val="129"/>
      </rPr>
      <t>업무</t>
    </r>
    <r>
      <rPr>
        <b/>
        <sz val="9"/>
        <rFont val="Arial"/>
        <family val="2"/>
      </rPr>
      <t xml:space="preserve"> </t>
    </r>
    <r>
      <rPr>
        <b/>
        <sz val="9"/>
        <rFont val="맑은 고딕"/>
        <family val="2"/>
        <charset val="129"/>
      </rPr>
      <t>활용</t>
    </r>
    <r>
      <rPr>
        <b/>
        <sz val="9"/>
        <rFont val="Arial"/>
        <family val="2"/>
      </rPr>
      <t xml:space="preserve"> </t>
    </r>
    <r>
      <rPr>
        <b/>
        <sz val="9"/>
        <rFont val="맑은 고딕"/>
        <family val="2"/>
        <charset val="129"/>
      </rPr>
      <t>기대감</t>
    </r>
    <phoneticPr fontId="3" type="noConversion"/>
  </si>
  <si>
    <r>
      <t xml:space="preserve">AI </t>
    </r>
    <r>
      <rPr>
        <b/>
        <sz val="9"/>
        <rFont val="맑은 고딕"/>
        <family val="2"/>
        <charset val="129"/>
      </rPr>
      <t>등</t>
    </r>
    <r>
      <rPr>
        <b/>
        <sz val="9"/>
        <rFont val="Arial"/>
        <family val="2"/>
      </rPr>
      <t xml:space="preserve"> </t>
    </r>
    <r>
      <rPr>
        <b/>
        <sz val="9"/>
        <rFont val="맑은 고딕"/>
        <family val="2"/>
        <charset val="129"/>
      </rPr>
      <t>신기술</t>
    </r>
    <r>
      <rPr>
        <b/>
        <sz val="9"/>
        <rFont val="Arial"/>
        <family val="2"/>
      </rPr>
      <t xml:space="preserve"> </t>
    </r>
    <r>
      <rPr>
        <b/>
        <sz val="9"/>
        <rFont val="맑은 고딕"/>
        <family val="2"/>
        <charset val="129"/>
      </rPr>
      <t>대응</t>
    </r>
    <r>
      <rPr>
        <b/>
        <sz val="9"/>
        <rFont val="Arial"/>
        <family val="2"/>
      </rPr>
      <t xml:space="preserve"> </t>
    </r>
    <r>
      <rPr>
        <b/>
        <sz val="9"/>
        <rFont val="맑은 고딕"/>
        <family val="2"/>
        <charset val="129"/>
      </rPr>
      <t>및</t>
    </r>
    <r>
      <rPr>
        <b/>
        <sz val="9"/>
        <rFont val="Arial"/>
        <family val="2"/>
      </rPr>
      <t xml:space="preserve"> </t>
    </r>
    <r>
      <rPr>
        <b/>
        <sz val="9"/>
        <rFont val="맑은 고딕"/>
        <family val="2"/>
        <charset val="129"/>
      </rPr>
      <t>성장</t>
    </r>
    <r>
      <rPr>
        <b/>
        <sz val="9"/>
        <rFont val="Arial"/>
        <family val="2"/>
      </rPr>
      <t xml:space="preserve"> </t>
    </r>
    <r>
      <rPr>
        <b/>
        <sz val="9"/>
        <rFont val="맑은 고딕"/>
        <family val="2"/>
        <charset val="129"/>
      </rPr>
      <t>마인드</t>
    </r>
    <phoneticPr fontId="3" type="noConversion"/>
  </si>
  <si>
    <r>
      <t xml:space="preserve">AI </t>
    </r>
    <r>
      <rPr>
        <b/>
        <sz val="9"/>
        <rFont val="맑은 고딕"/>
        <family val="2"/>
        <charset val="129"/>
      </rPr>
      <t>활용 커리어 개발 의지</t>
    </r>
    <phoneticPr fontId="3" type="noConversion"/>
  </si>
  <si>
    <r>
      <t xml:space="preserve">AI </t>
    </r>
    <r>
      <rPr>
        <b/>
        <sz val="9"/>
        <rFont val="맑은 고딕"/>
        <family val="2"/>
        <charset val="129"/>
      </rPr>
      <t>활용</t>
    </r>
    <r>
      <rPr>
        <b/>
        <sz val="9"/>
        <rFont val="Arial"/>
        <family val="2"/>
      </rPr>
      <t xml:space="preserve"> </t>
    </r>
    <r>
      <rPr>
        <b/>
        <sz val="9"/>
        <rFont val="맑은 고딕"/>
        <family val="2"/>
        <charset val="129"/>
      </rPr>
      <t>프로젝트</t>
    </r>
    <r>
      <rPr>
        <b/>
        <sz val="9"/>
        <rFont val="Arial"/>
        <family val="2"/>
      </rPr>
      <t xml:space="preserve"> </t>
    </r>
    <r>
      <rPr>
        <b/>
        <sz val="9"/>
        <rFont val="맑은 고딕"/>
        <family val="2"/>
        <charset val="129"/>
      </rPr>
      <t>참여</t>
    </r>
    <r>
      <rPr>
        <b/>
        <sz val="9"/>
        <rFont val="Arial"/>
        <family val="2"/>
      </rPr>
      <t xml:space="preserve"> </t>
    </r>
    <r>
      <rPr>
        <b/>
        <sz val="9"/>
        <rFont val="맑은 고딕"/>
        <family val="2"/>
        <charset val="129"/>
      </rPr>
      <t>의지</t>
    </r>
    <phoneticPr fontId="3" type="noConversion"/>
  </si>
  <si>
    <r>
      <t xml:space="preserve">AI </t>
    </r>
    <r>
      <rPr>
        <b/>
        <sz val="9"/>
        <rFont val="맑은 고딕"/>
        <family val="2"/>
        <charset val="129"/>
      </rPr>
      <t>활용</t>
    </r>
    <r>
      <rPr>
        <b/>
        <sz val="9"/>
        <rFont val="Arial"/>
        <family val="2"/>
      </rPr>
      <t xml:space="preserve"> </t>
    </r>
    <r>
      <rPr>
        <b/>
        <sz val="9"/>
        <rFont val="맑은 고딕"/>
        <family val="2"/>
        <charset val="129"/>
      </rPr>
      <t>직무 가치</t>
    </r>
    <r>
      <rPr>
        <b/>
        <sz val="9"/>
        <rFont val="Arial"/>
        <family val="2"/>
      </rPr>
      <t xml:space="preserve"> </t>
    </r>
    <r>
      <rPr>
        <b/>
        <sz val="9"/>
        <rFont val="맑은 고딕"/>
        <family val="2"/>
        <charset val="129"/>
      </rPr>
      <t>창출</t>
    </r>
    <r>
      <rPr>
        <b/>
        <sz val="9"/>
        <rFont val="Arial"/>
        <family val="2"/>
      </rPr>
      <t xml:space="preserve"> </t>
    </r>
    <r>
      <rPr>
        <b/>
        <sz val="9"/>
        <rFont val="맑은 고딕"/>
        <family val="2"/>
        <charset val="129"/>
      </rPr>
      <t>의지</t>
    </r>
    <phoneticPr fontId="3" type="noConversion"/>
  </si>
  <si>
    <r>
      <t xml:space="preserve">AI </t>
    </r>
    <r>
      <rPr>
        <b/>
        <sz val="9"/>
        <rFont val="맑은 고딕"/>
        <family val="2"/>
        <charset val="129"/>
      </rPr>
      <t>교육훈련</t>
    </r>
    <r>
      <rPr>
        <b/>
        <sz val="9"/>
        <rFont val="Arial"/>
        <family val="2"/>
      </rPr>
      <t xml:space="preserve"> </t>
    </r>
    <r>
      <rPr>
        <b/>
        <sz val="9"/>
        <rFont val="맑은 고딕"/>
        <family val="2"/>
        <charset val="129"/>
      </rPr>
      <t>업무</t>
    </r>
    <r>
      <rPr>
        <b/>
        <sz val="9"/>
        <rFont val="Arial"/>
        <family val="2"/>
      </rPr>
      <t xml:space="preserve"> </t>
    </r>
    <r>
      <rPr>
        <b/>
        <sz val="9"/>
        <rFont val="맑은 고딕"/>
        <family val="2"/>
        <charset val="129"/>
      </rPr>
      <t>적용</t>
    </r>
    <r>
      <rPr>
        <b/>
        <sz val="9"/>
        <rFont val="Arial"/>
        <family val="2"/>
      </rPr>
      <t xml:space="preserve"> </t>
    </r>
    <r>
      <rPr>
        <b/>
        <sz val="9"/>
        <rFont val="맑은 고딕"/>
        <family val="2"/>
        <charset val="129"/>
      </rPr>
      <t>의지</t>
    </r>
    <phoneticPr fontId="3" type="noConversion"/>
  </si>
  <si>
    <r>
      <t xml:space="preserve">AI </t>
    </r>
    <r>
      <rPr>
        <b/>
        <sz val="9"/>
        <rFont val="맑은 고딕"/>
        <family val="2"/>
        <charset val="129"/>
      </rPr>
      <t>활용을 위한 협업 의지</t>
    </r>
    <phoneticPr fontId="3" type="noConversion"/>
  </si>
  <si>
    <r>
      <t xml:space="preserve">AI </t>
    </r>
    <r>
      <rPr>
        <b/>
        <sz val="9"/>
        <rFont val="맑은 고딕"/>
        <family val="2"/>
        <charset val="129"/>
      </rPr>
      <t>활용</t>
    </r>
    <r>
      <rPr>
        <b/>
        <sz val="9"/>
        <rFont val="Arial"/>
        <family val="2"/>
      </rPr>
      <t xml:space="preserve"> </t>
    </r>
    <r>
      <rPr>
        <b/>
        <sz val="9"/>
        <rFont val="맑은 고딕"/>
        <family val="2"/>
        <charset val="129"/>
      </rPr>
      <t>준비도</t>
    </r>
    <phoneticPr fontId="3" type="noConversion"/>
  </si>
  <si>
    <r>
      <t xml:space="preserve">AI </t>
    </r>
    <r>
      <rPr>
        <b/>
        <sz val="9"/>
        <rFont val="맑은 고딕"/>
        <family val="2"/>
        <charset val="129"/>
      </rPr>
      <t>학습 환경 및 제도</t>
    </r>
    <phoneticPr fontId="3" type="noConversion"/>
  </si>
  <si>
    <r>
      <rPr>
        <b/>
        <sz val="9"/>
        <rFont val="맑은 고딕"/>
        <family val="2"/>
        <charset val="129"/>
      </rPr>
      <t>리더의</t>
    </r>
    <r>
      <rPr>
        <b/>
        <sz val="9"/>
        <rFont val="Arial"/>
        <family val="2"/>
      </rPr>
      <t xml:space="preserve"> AI </t>
    </r>
    <r>
      <rPr>
        <b/>
        <sz val="9"/>
        <rFont val="맑은 고딕"/>
        <family val="2"/>
        <charset val="129"/>
      </rPr>
      <t>활용</t>
    </r>
    <r>
      <rPr>
        <b/>
        <sz val="9"/>
        <rFont val="Arial"/>
        <family val="2"/>
      </rPr>
      <t xml:space="preserve"> </t>
    </r>
    <phoneticPr fontId="3" type="noConversion"/>
  </si>
  <si>
    <r>
      <t xml:space="preserve">AI </t>
    </r>
    <r>
      <rPr>
        <b/>
        <sz val="9"/>
        <rFont val="맑은 고딕"/>
        <family val="2"/>
        <charset val="129"/>
      </rPr>
      <t>활용</t>
    </r>
    <r>
      <rPr>
        <b/>
        <sz val="9"/>
        <rFont val="Arial"/>
        <family val="2"/>
      </rPr>
      <t xml:space="preserve"> </t>
    </r>
    <r>
      <rPr>
        <b/>
        <sz val="9"/>
        <rFont val="맑은 고딕"/>
        <family val="2"/>
        <charset val="129"/>
      </rPr>
      <t>협업</t>
    </r>
    <r>
      <rPr>
        <b/>
        <sz val="9"/>
        <rFont val="Arial"/>
        <family val="2"/>
      </rPr>
      <t xml:space="preserve"> </t>
    </r>
    <r>
      <rPr>
        <b/>
        <sz val="9"/>
        <rFont val="맑은 고딕"/>
        <family val="2"/>
        <charset val="129"/>
      </rPr>
      <t>구조</t>
    </r>
    <phoneticPr fontId="3" type="noConversion"/>
  </si>
  <si>
    <r>
      <t xml:space="preserve">AI </t>
    </r>
    <r>
      <rPr>
        <b/>
        <sz val="9"/>
        <rFont val="맑은 고딕"/>
        <family val="2"/>
        <charset val="129"/>
      </rPr>
      <t>관련</t>
    </r>
    <r>
      <rPr>
        <b/>
        <sz val="9"/>
        <rFont val="Arial"/>
        <family val="2"/>
      </rPr>
      <t xml:space="preserve"> </t>
    </r>
    <r>
      <rPr>
        <b/>
        <sz val="9"/>
        <rFont val="맑은 고딕"/>
        <family val="2"/>
        <charset val="129"/>
      </rPr>
      <t>교육참여를</t>
    </r>
    <r>
      <rPr>
        <b/>
        <sz val="9"/>
        <rFont val="Arial"/>
        <family val="2"/>
      </rPr>
      <t xml:space="preserve"> </t>
    </r>
    <r>
      <rPr>
        <b/>
        <sz val="9"/>
        <rFont val="맑은 고딕"/>
        <family val="2"/>
        <charset val="129"/>
      </rPr>
      <t>통한</t>
    </r>
    <r>
      <rPr>
        <b/>
        <sz val="9"/>
        <rFont val="Arial"/>
        <family val="2"/>
      </rPr>
      <t xml:space="preserve"> AI </t>
    </r>
    <r>
      <rPr>
        <b/>
        <sz val="9"/>
        <rFont val="맑은 고딕"/>
        <family val="2"/>
        <charset val="129"/>
      </rPr>
      <t>업무</t>
    </r>
    <r>
      <rPr>
        <b/>
        <sz val="9"/>
        <rFont val="Arial"/>
        <family val="2"/>
      </rPr>
      <t xml:space="preserve"> </t>
    </r>
    <r>
      <rPr>
        <b/>
        <sz val="9"/>
        <rFont val="맑은 고딕"/>
        <family val="2"/>
        <charset val="129"/>
      </rPr>
      <t>활용</t>
    </r>
    <r>
      <rPr>
        <b/>
        <sz val="9"/>
        <rFont val="Arial"/>
        <family val="2"/>
      </rPr>
      <t xml:space="preserve"> </t>
    </r>
    <r>
      <rPr>
        <b/>
        <sz val="9"/>
        <rFont val="맑은 고딕"/>
        <family val="2"/>
        <charset val="129"/>
      </rPr>
      <t>역량</t>
    </r>
    <r>
      <rPr>
        <b/>
        <sz val="9"/>
        <rFont val="Arial"/>
        <family val="2"/>
      </rPr>
      <t xml:space="preserve"> </t>
    </r>
    <r>
      <rPr>
        <b/>
        <sz val="9"/>
        <rFont val="맑은 고딕"/>
        <family val="2"/>
        <charset val="129"/>
      </rPr>
      <t>개발</t>
    </r>
    <r>
      <rPr>
        <b/>
        <sz val="9"/>
        <rFont val="Arial"/>
        <family val="2"/>
      </rPr>
      <t xml:space="preserve"> </t>
    </r>
    <r>
      <rPr>
        <b/>
        <sz val="9"/>
        <rFont val="맑은 고딕"/>
        <family val="2"/>
        <charset val="129"/>
      </rPr>
      <t>경험</t>
    </r>
    <phoneticPr fontId="3" type="noConversion"/>
  </si>
  <si>
    <r>
      <t xml:space="preserve">AI </t>
    </r>
    <r>
      <rPr>
        <b/>
        <sz val="9"/>
        <rFont val="맑은 고딕"/>
        <family val="2"/>
        <charset val="129"/>
      </rPr>
      <t>활용 어려움</t>
    </r>
    <phoneticPr fontId="3" type="noConversion"/>
  </si>
  <si>
    <r>
      <t xml:space="preserve">AI </t>
    </r>
    <r>
      <rPr>
        <b/>
        <sz val="9"/>
        <rFont val="맑은 고딕"/>
        <family val="2"/>
        <charset val="129"/>
      </rPr>
      <t>업무 활용시 예상 문제점</t>
    </r>
    <phoneticPr fontId="3" type="noConversion"/>
  </si>
  <si>
    <t>2</t>
  </si>
  <si>
    <t>에이텍</t>
  </si>
  <si>
    <t>기술·개발</t>
  </si>
  <si>
    <t>책임</t>
  </si>
  <si>
    <t>팀원</t>
  </si>
  <si>
    <t>40대</t>
  </si>
  <si>
    <t>업무에 자주 활용한다</t>
  </si>
  <si>
    <t>기본 개념 인지</t>
  </si>
  <si>
    <t>없다</t>
  </si>
  <si>
    <t xml:space="preserve">엉뚱한 결과가 도출됐을때 그 결과값이 판단이 안될때
</t>
  </si>
  <si>
    <t>설계 적인 요소를 글로 설명하는것</t>
  </si>
  <si>
    <t>설계적인 이미지로 AI가 판단하여 계산 할 수 있는 수준이면
프로젝트 일정 단축에 도움이 될 것 같다.</t>
  </si>
  <si>
    <t>4</t>
  </si>
  <si>
    <t>선임</t>
  </si>
  <si>
    <t>30대</t>
  </si>
  <si>
    <t>AI 도구 선택 활용 가능</t>
  </si>
  <si>
    <t>지식이 없는 분야에 대해 물었을때 AI 환각으로 인한 결과물이 사실인지 판단근거 부족.</t>
  </si>
  <si>
    <t>프롬프트 스킬</t>
  </si>
  <si>
    <t>현재 양산중인 문제 해결을 빠르고 쉽게 접근하기위해 자사제품의 데이터를 학습한 에이텍만의 AI를 만든다면 좋을 것 같아요</t>
  </si>
  <si>
    <t>9</t>
  </si>
  <si>
    <t>수석</t>
  </si>
  <si>
    <t>관리자(대표/임원/센터장/파트장/팀장)</t>
  </si>
  <si>
    <t>50대 이상</t>
  </si>
  <si>
    <t>있다</t>
  </si>
  <si>
    <t>질문의 구체화</t>
  </si>
  <si>
    <t>데이타 오픈의 범위</t>
  </si>
  <si>
    <t>소스 검증이나 예제</t>
  </si>
  <si>
    <t>13</t>
  </si>
  <si>
    <t>경영·관리</t>
  </si>
  <si>
    <t>가끔 사용한다</t>
  </si>
  <si>
    <t>비용</t>
  </si>
  <si>
    <t xml:space="preserve">창의력 상실
</t>
  </si>
  <si>
    <t>중복업무 삭제
업무의 표준화 등</t>
  </si>
  <si>
    <t>20</t>
  </si>
  <si>
    <t>잘 모름</t>
  </si>
  <si>
    <t>정확한 정보가 아닐 경우가 많아서 참조용으로만 사용</t>
  </si>
  <si>
    <t>정확히 동일한 환경이 아닌데도 비슷한 케이스에서도 무조건적으로 정답일 거라 확신하고 작업하는 사람들이 많아질 우려</t>
  </si>
  <si>
    <t>알지 못하는 기술에 대하여 참조하여 이해를 도와주는데 활용하면 좋다고 생각</t>
  </si>
  <si>
    <t>29</t>
  </si>
  <si>
    <t>기타</t>
  </si>
  <si>
    <t>실험 및 구현 가능</t>
  </si>
  <si>
    <t>없음</t>
  </si>
  <si>
    <t>효율적인 BV 개발 가능</t>
  </si>
  <si>
    <t>31</t>
  </si>
  <si>
    <t>영업·지원</t>
  </si>
  <si>
    <t>사용하지 않는다</t>
  </si>
  <si>
    <t>35</t>
  </si>
  <si>
    <t>사원</t>
  </si>
  <si>
    <t xml:space="preserve">프롬프트 엔지니어링 </t>
  </si>
  <si>
    <t>raw data의 범위</t>
  </si>
  <si>
    <t xml:space="preserve">혁신활동을 통해 제안 </t>
  </si>
  <si>
    <t>39</t>
  </si>
  <si>
    <t>구체적으로 사용해야하는 방법</t>
  </si>
  <si>
    <t>ㅇ</t>
  </si>
  <si>
    <t>40</t>
  </si>
  <si>
    <t>대표이사/임원</t>
  </si>
  <si>
    <t>프롬프트 만들기</t>
  </si>
  <si>
    <t>현재 업무와 어떻게 연동하여 활용할지 판단하는것</t>
  </si>
  <si>
    <t>좀 더 고민해 보겠습니다.</t>
  </si>
  <si>
    <t>42</t>
  </si>
  <si>
    <t>활용법</t>
  </si>
  <si>
    <t>현장적용</t>
  </si>
  <si>
    <t>생각해본적 없음</t>
  </si>
  <si>
    <t>44</t>
  </si>
  <si>
    <t>AI 도구 교차 사용 가능</t>
  </si>
  <si>
    <t>AI를 제품에 직접 적용하기 어려움
전문인력과 경험 부족</t>
  </si>
  <si>
    <t>AI 활용 경험 부족에 의한 시행착오</t>
  </si>
  <si>
    <t>코드 작성 시 반복 작업 생산성 향상
코드 리뷰 AI 활용
코드 최적화</t>
  </si>
  <si>
    <t>45</t>
  </si>
  <si>
    <t>-</t>
  </si>
  <si>
    <t>47</t>
  </si>
  <si>
    <t>코딩의 어려움</t>
  </si>
  <si>
    <t>업무 활용 방안과 현장 적용의 어려움</t>
  </si>
  <si>
    <t>ai 활용한 장애 파악</t>
  </si>
  <si>
    <t>49</t>
  </si>
  <si>
    <t>업무적용에 제한이많음</t>
  </si>
  <si>
    <t>아직없습니다</t>
  </si>
  <si>
    <t>50</t>
  </si>
  <si>
    <t>거의 사용하지 않는다</t>
  </si>
  <si>
    <t>활용을 위한 교육일정 필요하면.</t>
  </si>
  <si>
    <t>교육 바디 기회 부족</t>
  </si>
  <si>
    <t>정보 공유</t>
  </si>
  <si>
    <t>51</t>
  </si>
  <si>
    <t>현장 활용도</t>
  </si>
  <si>
    <t>52</t>
  </si>
  <si>
    <t>20대</t>
  </si>
  <si>
    <t>없습니다.</t>
  </si>
  <si>
    <t>54</t>
  </si>
  <si>
    <t>어떠한 질문을 했을 때에 원하는 답을 찾는 것</t>
  </si>
  <si>
    <t>보안</t>
  </si>
  <si>
    <t xml:space="preserve">지금 현재 하고 있는 일 업무가 각 사람마다 능력이 다르기에 데이터 하나만으로도 신입과 대리와 과장의 격차를 줄일 수 있을 뿐더러 각자의 기술력과 조치를 같이 함께 해나갈수 있다고 생각함.  </t>
  </si>
  <si>
    <t>55</t>
  </si>
  <si>
    <t>사용방법 미숙</t>
  </si>
  <si>
    <t>큰 맥락에서의 문제점 보단 작은 맥락의 문제점의 대한 해결능률</t>
  </si>
  <si>
    <t>57</t>
  </si>
  <si>
    <t>없습니다</t>
  </si>
  <si>
    <t>아직 없습니다</t>
  </si>
  <si>
    <t>58</t>
  </si>
  <si>
    <t>아직 잘 모르고 있다.</t>
  </si>
  <si>
    <t>빨리 배우고 싶다.</t>
  </si>
  <si>
    <t xml:space="preserve">배울 수 있는 기회가 있기를 바랍니다.
</t>
  </si>
  <si>
    <t>59</t>
  </si>
  <si>
    <t>무료버전일 경우 활용도의 한계</t>
  </si>
  <si>
    <t>AI에만 의존하게 될것 같음</t>
  </si>
  <si>
    <t>아직은 없음</t>
  </si>
  <si>
    <t>62</t>
  </si>
  <si>
    <t>모르겠음</t>
  </si>
  <si>
    <t>중복적인 장애건 대응</t>
  </si>
  <si>
    <t>63</t>
  </si>
  <si>
    <t>잘 모르겠음</t>
  </si>
  <si>
    <t>64</t>
  </si>
  <si>
    <t>범위가광범위하다</t>
  </si>
  <si>
    <t>결과물을 맹신하면 안되고 참고자료로만 활용해야한다</t>
  </si>
  <si>
    <t>업무의 간소화 / 일 처리 시간 단축</t>
  </si>
  <si>
    <t>68</t>
  </si>
  <si>
    <t>모름</t>
  </si>
  <si>
    <t>73</t>
  </si>
  <si>
    <t>빠르게 변화하는 기술 트렌드</t>
  </si>
  <si>
    <t>,</t>
  </si>
  <si>
    <t>74</t>
  </si>
  <si>
    <t>아직없음</t>
  </si>
  <si>
    <t>아직모름</t>
  </si>
  <si>
    <t>시간 효율화</t>
  </si>
  <si>
    <t>76</t>
  </si>
  <si>
    <t>78</t>
  </si>
  <si>
    <t>79</t>
  </si>
  <si>
    <t xml:space="preserve">질문의 구체화의 어려움 
결과물에 대한 검증 절차 </t>
  </si>
  <si>
    <t>검증</t>
  </si>
  <si>
    <t xml:space="preserve">방대한 내용에 대한 요약 정리 </t>
  </si>
  <si>
    <t>85</t>
  </si>
  <si>
    <t>정확한 정보인지 확인이 필요한 경우가 있다.</t>
  </si>
  <si>
    <t>AI 에서 받은 정보가 정확한 것인지 잘못된 정보인지가 어려움입니다.</t>
  </si>
  <si>
    <t>시간 단축에 의한 업무 효율성 개선</t>
  </si>
  <si>
    <t>92</t>
  </si>
  <si>
    <t>여러 컴퓨터 언어에 대한 무지함으로 이해가 어려움.</t>
  </si>
  <si>
    <t>업무에 적용하지 않을 것이다.</t>
  </si>
  <si>
    <t>효율적인 데이터 분석</t>
  </si>
  <si>
    <t>100</t>
  </si>
  <si>
    <t>109</t>
  </si>
  <si>
    <t>아직 모름</t>
  </si>
  <si>
    <t>.아직 모름</t>
  </si>
  <si>
    <t>115</t>
  </si>
  <si>
    <t xml:space="preserve">없음 </t>
  </si>
  <si>
    <t>117</t>
  </si>
  <si>
    <t>문제 해결을 위해 일시적으로 AI를 활용하는것은 쉬지만, 제대로 활용하기 위한 지식 습득 및 업무에 적용하는 것이 어렵다고 느껴집니다.</t>
  </si>
  <si>
    <t>AI를 활용할 수 있는 환경의 준비</t>
  </si>
  <si>
    <t>업무 시간을 단축할 수 있습니다.</t>
  </si>
  <si>
    <t>118</t>
  </si>
  <si>
    <t>아직 활용이 미미함</t>
  </si>
  <si>
    <t>정보 분석</t>
  </si>
  <si>
    <t>125</t>
  </si>
  <si>
    <t>AI활용에 대한 충분한 가이드가 없음</t>
  </si>
  <si>
    <t>가이드 불충분</t>
  </si>
  <si>
    <t>노션에 대한 충분한 가이드 있으면 좋겠습니다</t>
  </si>
  <si>
    <t>129</t>
  </si>
  <si>
    <t>원하는 내용을 표현하는것에 좀 어려웠으나 여러가지 방법으로 질문하다보니 좀더 순서있게 물어보게 되었습니다. 
교육은 여러가지 받았으나 실전 으로 하는 것이 중요한것 같습니다.</t>
  </si>
  <si>
    <t>tool 구매 등 비용 발생 / 활용방법 습득</t>
  </si>
  <si>
    <t>많은 부분에서 접목을 통한 업무 신속성을 찾는 것</t>
  </si>
  <si>
    <t>132</t>
  </si>
  <si>
    <t>특별히 없음</t>
  </si>
  <si>
    <t>.프롬프트 구체화</t>
  </si>
  <si>
    <t>현재는 없음</t>
  </si>
  <si>
    <t>133</t>
  </si>
  <si>
    <t>아직없습니다.</t>
  </si>
  <si>
    <t>아직 경험이 없습니다.</t>
  </si>
  <si>
    <t>업무 효율 개선</t>
  </si>
  <si>
    <t>135</t>
  </si>
  <si>
    <t>프로그램 숙련도 부족</t>
  </si>
  <si>
    <t>136</t>
  </si>
  <si>
    <t>AI를 활용한 데이터 전처리 과정이 가장 어려웠음</t>
  </si>
  <si>
    <t>업무 툴(ERP, MES 등)과 연동할 수 없는 환경이기에
데이터 분석과 자동화에 한계가 있을거라고 생각함</t>
  </si>
  <si>
    <t>MS Office와 MS Teams 를 사용하고 있는 환경이므로 Copilot 을 도입하면 보다 효율적인 환경에서 업무를 진행 할 수 있을 것 같음</t>
  </si>
  <si>
    <t>146</t>
  </si>
  <si>
    <t>필요한 AI 프로그램과 정확히 매칭이 안됨</t>
  </si>
  <si>
    <t>AI 활용 능력이 떨어짐 (OFF-line 교육 필요)</t>
  </si>
  <si>
    <t>업무효율화</t>
  </si>
  <si>
    <t>148</t>
  </si>
  <si>
    <t>(내용없음)</t>
  </si>
  <si>
    <t>155</t>
  </si>
  <si>
    <t>기본적인 지식을 가질수있는 기본이 토대가 되어야지 발전이 있을수 있다고 생각함.</t>
  </si>
  <si>
    <t>160</t>
  </si>
  <si>
    <t>프롬프트 작성</t>
  </si>
  <si>
    <t>변화에 대한 대응, 초기 업무적용 시 진입장벽. 프롬프트 작성법. 데이터의 무결성, 신뢰성 판단방법.</t>
  </si>
  <si>
    <t>업무 자동화 기능</t>
  </si>
  <si>
    <t>161</t>
  </si>
  <si>
    <t>프롬프트를 체계적으로 설계하는 방법, 생성형 AI의 사용과 실제 만들어내야 하는 산출물의 간극을 좁히는 것</t>
  </si>
  <si>
    <t>생성형 AI의 사용과 실제 만들어내야 하는 산출물의 간극을 좁히는 것</t>
  </si>
  <si>
    <t>교육을 통해 아이디어를 도출해보고 싶습니다.</t>
  </si>
  <si>
    <t>162</t>
  </si>
  <si>
    <t>12</t>
  </si>
  <si>
    <t>32</t>
  </si>
  <si>
    <t>165</t>
  </si>
  <si>
    <t>x</t>
  </si>
  <si>
    <t>168</t>
  </si>
  <si>
    <t>완전히 익숙하지 않아  어려움이 있으나 금방 해소 됩니다.</t>
  </si>
  <si>
    <t>아직 익숙하지 않아 어떤어려움인지 인지가 안됩니다.</t>
  </si>
  <si>
    <t>169</t>
  </si>
  <si>
    <t>AI를 이용 업무 적용하여 사용하는 방법을 모름</t>
  </si>
  <si>
    <t>.AI를 이용 업무 적용하여 사용하는 방법을 모름</t>
  </si>
  <si>
    <t xml:space="preserve">반복적 데이터 수집 정리 </t>
  </si>
  <si>
    <t>171</t>
  </si>
  <si>
    <t>.잘 모르겟음</t>
  </si>
  <si>
    <t>172</t>
  </si>
  <si>
    <t>업무의 한계</t>
  </si>
  <si>
    <t>교육부족</t>
  </si>
  <si>
    <t>고객관리 장애관리 등</t>
  </si>
  <si>
    <t>174</t>
  </si>
  <si>
    <t>176</t>
  </si>
  <si>
    <t>경험이 없다</t>
  </si>
  <si>
    <t>자동화 장애 코드를 분석해 정확한 장애진단 및 해결책 제시</t>
  </si>
  <si>
    <t>179</t>
  </si>
  <si>
    <t xml:space="preserve">공통 계정으로 유료 버전을 사용하다 보면 질문하는데 있어서 아무래도 어려움이 있습니다. 
그래서 개인 무료 버전을 사용하게 됩니다. </t>
  </si>
  <si>
    <t xml:space="preserve">기존 개발 코드와의 연동이나 사이드 이펙트에 대한 충분한 검증이 필요하기 때문에 무조건적인 사용보다는 충분한 검증과 데이터 분석이 필요할 것 같습니다. </t>
  </si>
  <si>
    <t xml:space="preserve">개발 업무에 있어서 개발한 코드에 대한 검증 및 신규 개발 슈도코드 작성 등 다양한 분야에서 도움이 될 것으로 보입니다. </t>
  </si>
  <si>
    <t>185</t>
  </si>
  <si>
    <t>습득 시간</t>
  </si>
  <si>
    <t>효율적으로 일할수있을것 같다</t>
  </si>
  <si>
    <t>188</t>
  </si>
  <si>
    <t>활용법에 대한 실무위주의 교육이 많았으면 함.</t>
  </si>
  <si>
    <t>사용법이 익숙하지 않음</t>
  </si>
  <si>
    <t>아직 잘 모르겠음</t>
  </si>
  <si>
    <t>189</t>
  </si>
  <si>
    <t>195</t>
  </si>
  <si>
    <t>현장 활용에 대한 궁금증</t>
  </si>
  <si>
    <t>서비스업무에 대한 활용이 있을까</t>
  </si>
  <si>
    <t>장애처리에 대한 원인분석 
고객만족도에 대한 고객요구 활용</t>
  </si>
  <si>
    <t>198</t>
  </si>
  <si>
    <t>잘모르겠음.</t>
  </si>
  <si>
    <t xml:space="preserve"> 잘모르겠음.</t>
  </si>
  <si>
    <t>어떻게 활용하느냐에 따라 모든 업무 에서 도움이 될 거같습니다.</t>
  </si>
  <si>
    <t>205</t>
  </si>
  <si>
    <t>유료</t>
  </si>
  <si>
    <t>아이디어 : 유료 GPT 제공
효과 : 회사에서 받았으니, 업무에 당연히 활용하게됨.</t>
  </si>
  <si>
    <t>209</t>
  </si>
  <si>
    <t>사용법</t>
  </si>
  <si>
    <t>212</t>
  </si>
  <si>
    <t>구체적인 질문의 어려움이 있다</t>
  </si>
  <si>
    <t>원하는 답을 찾기 위한 과정이 어려움</t>
  </si>
  <si>
    <t>시간절약 할수 있다</t>
  </si>
  <si>
    <t>213</t>
  </si>
  <si>
    <t>215</t>
  </si>
  <si>
    <t>많이 접하지 않음</t>
  </si>
  <si>
    <t>접근성</t>
  </si>
  <si>
    <t>시간 단축 및 업무 효율 극대화</t>
  </si>
  <si>
    <t>216</t>
  </si>
  <si>
    <t>217</t>
  </si>
  <si>
    <t>현재는 챗GPT를 통한 개발 기간 단축 또는 검증</t>
  </si>
  <si>
    <t>219</t>
  </si>
  <si>
    <t>정보보안</t>
  </si>
  <si>
    <t>보고서 등 잦은 문서 작업에 활용</t>
  </si>
  <si>
    <t>222</t>
  </si>
  <si>
    <t>225</t>
  </si>
  <si>
    <t>크게 어렵지 않았다</t>
  </si>
  <si>
    <t xml:space="preserve"> 크게 어렵지 않았다</t>
  </si>
  <si>
    <t>반복 및 일정한 패턴부터 자동화 시키기</t>
  </si>
  <si>
    <t>230</t>
  </si>
  <si>
    <t>습득 시간이 좀 필요하다</t>
  </si>
  <si>
    <t>낯설음</t>
  </si>
  <si>
    <t>보고서 및 품질개선 활용</t>
  </si>
  <si>
    <t>233</t>
  </si>
  <si>
    <t>몇번 사용은 해 보았지만, 어떻게 구현이 되는지, 또 얼마나 정확한지 의문이 들 때가 있다.</t>
  </si>
  <si>
    <t>내가 원하는 것을 얼마나 정확히 피드백을 해 주는지 알수가 없다.</t>
  </si>
  <si>
    <t>일정 틀 안에서 답을 찾을때보다 광범위한 자료를 바탕으로 추출하기 때문에 다양한 자료를 취할 수 있다.</t>
  </si>
  <si>
    <t>240</t>
  </si>
  <si>
    <t>추천한 제품의 사양이 맞지 않는 경우가 많아서 참고용으만 사용했습니다.</t>
  </si>
  <si>
    <t>직무에 활용 가능한 부분이 제한적입니다.</t>
  </si>
  <si>
    <t>243</t>
  </si>
  <si>
    <t>결과의 신뢰성</t>
  </si>
  <si>
    <t>245</t>
  </si>
  <si>
    <t>찾으려 하지 않아서 잘 모르겠음</t>
  </si>
  <si>
    <t>유상 프로그램</t>
  </si>
  <si>
    <t>적용사례없음</t>
  </si>
  <si>
    <t>253</t>
  </si>
  <si>
    <t>내부 데이터 노출에 따른 리스크로 인하여 활용에 대한 고민</t>
  </si>
  <si>
    <t>AI 활용을 위한 세팅 및 신뢰도 있는 근거자료 확인</t>
  </si>
  <si>
    <t>AI를 통한 월별 데이터베이스 정리</t>
  </si>
  <si>
    <t>254</t>
  </si>
  <si>
    <t>겪어본적 없습니다</t>
  </si>
  <si>
    <t>이해하기 어려울거 같습니다</t>
  </si>
  <si>
    <t>255</t>
  </si>
  <si>
    <t>전문적 툴을 사용하는 법에 아직 익숙치 않음</t>
  </si>
  <si>
    <t>충분한 교육시간 확보</t>
  </si>
  <si>
    <t>아직 특별한 개선 아이디어는 떠오르지 않음</t>
  </si>
  <si>
    <t>260</t>
  </si>
  <si>
    <t>원하는 값이나 결과를 얻기까지 질문을 유도하는게 더 힘듬</t>
  </si>
  <si>
    <t>AI활용을 개인의 역량과 의지에 의존하는 점
회사 업무에 반영하고 싶다면 어떤 AI툴과 어떤 업무에 활용하라는 명확한 지침이 있었으면 함</t>
  </si>
  <si>
    <t>누적 데이터 관리
제안서 작업 효율화</t>
  </si>
  <si>
    <t>262</t>
  </si>
  <si>
    <t>묻는 질문에 이상한 답변</t>
  </si>
  <si>
    <t>같은 데이터</t>
  </si>
  <si>
    <t>경험을 토대로한 답</t>
  </si>
  <si>
    <t>266</t>
  </si>
  <si>
    <t>정보 보안</t>
  </si>
  <si>
    <t>267</t>
  </si>
  <si>
    <t>데이터의 정확성</t>
  </si>
  <si>
    <t>269</t>
  </si>
  <si>
    <t>보안 이슈</t>
  </si>
  <si>
    <t>해킹, 정보 누출</t>
  </si>
  <si>
    <t>AI로 회의록 요약과 보고서 초안 작성을 자동화하여 단순 반복 업무 시간을 줄일 수 있고 이를 통해 확보된 시간은 핵심적인 업무에 집중하게 하여, 전반적인 업무 효율성과 창의성을 극대화하는 효과를 기대할 수 있습니다.</t>
  </si>
  <si>
    <t>272</t>
  </si>
  <si>
    <t>월 단위 구독</t>
  </si>
  <si>
    <t>사이트 개발 실 인터넷 불가로 원격 접속으로 AI 활용</t>
  </si>
  <si>
    <t>286</t>
  </si>
  <si>
    <t>정보의 정확성에 대한 판단</t>
  </si>
  <si>
    <t>AI기술 변화에 대한 대응</t>
  </si>
  <si>
    <t>고민 중에 있습니다.</t>
  </si>
  <si>
    <t>293</t>
  </si>
  <si>
    <t>ChatGPT 답변 내용의 검증 시간이 필요하며, 결과에 대한 불확실성이 있다.</t>
  </si>
  <si>
    <t>검증 절차</t>
  </si>
  <si>
    <t>전문 용어 검색 및 영작 문서 편의성 증대 효과</t>
  </si>
  <si>
    <t>298</t>
  </si>
  <si>
    <t>유료버전 사용의 필요성, 활용 가능한 AI의 선택 기준, AI에 사용할 데이터의 보안 문제 등</t>
  </si>
  <si>
    <t>스스로 필요성을 느껴야 사용하게 됨.
그 필요성은 AI 관련 기술에 대한 트랜드나 활용법에 대한 기초 지식이 있어야 가능</t>
  </si>
  <si>
    <t>품질관리 및 개선에 도움이 될 수 있다고 봄</t>
  </si>
  <si>
    <t>299</t>
  </si>
  <si>
    <t>상황에 맞는 생성형 AI 선택, 적절한 프롬프트 생성 등</t>
  </si>
  <si>
    <t>AI가 생성한 결과물에 대한 세부 검증</t>
  </si>
  <si>
    <t>AI를 통해 개인별 업무 프로세스를 검증해서 실수를 검출하고 효율적인 방식의 공통된 결과물을 도출함</t>
  </si>
  <si>
    <t>300</t>
  </si>
  <si>
    <t>다양한 방법으로 활용할 수 있는 방안에 대한 가이드가 있으면 좋겠습니다.</t>
  </si>
  <si>
    <t>조직 전반에서 업무활용의 기본적인 툴로서 인식하는 부분</t>
  </si>
  <si>
    <t>지금 답할수 있는 부분은 없습니다.</t>
  </si>
  <si>
    <t>303</t>
  </si>
  <si>
    <t>결과물에 대한 판단이 쉽지 않은 적이 있음</t>
  </si>
  <si>
    <t xml:space="preserve">기존의 일하는 방식을 고쳐나가면서 조직 문화를 만드는 것.
AI 활용 결과물에 대한 신뢰성 검증 </t>
  </si>
  <si>
    <t>출근 후 업무 준비에서 기술등 업무와 관계된 트랜드에 대한 정보를 얻어 현업에 지속적으로 반영하는 것.</t>
  </si>
  <si>
    <t>306</t>
  </si>
  <si>
    <t>307</t>
  </si>
  <si>
    <t>시간</t>
  </si>
  <si>
    <t>활용 범위</t>
  </si>
  <si>
    <t>반복되는 자료 정리 개선</t>
  </si>
  <si>
    <t>309</t>
  </si>
  <si>
    <t>생성형 AI 의 결과물에 대한 사실확인 및 교차검증</t>
  </si>
  <si>
    <t>광범위한 시장조사 및 분석에 대한 시간 절약</t>
  </si>
  <si>
    <t>311</t>
  </si>
  <si>
    <t>보안 리스크로 인한 데이터 업로드 제약에 따라 업무 활용도 저하</t>
  </si>
  <si>
    <t>ERP 등 기존 레거시 시스템의 노후화로 데이터 수집과 신뢰성이 낮아 AI 활용도가 떨어짐</t>
  </si>
  <si>
    <t>현업 적용 사례 발표 활성화</t>
  </si>
  <si>
    <t>315</t>
  </si>
  <si>
    <t>어려움 없었습니다.</t>
  </si>
  <si>
    <t>정확성</t>
  </si>
  <si>
    <t>320</t>
  </si>
  <si>
    <t>321</t>
  </si>
  <si>
    <t>업무에 직접적으로 연결하기 힘들다</t>
  </si>
  <si>
    <t>적절한 AI 툴을 적시에 사용하는 방법</t>
  </si>
  <si>
    <t>아직 없음</t>
  </si>
  <si>
    <t>322</t>
  </si>
  <si>
    <t>업무 연관성</t>
  </si>
  <si>
    <t>일상업무에 빠져있슴.</t>
  </si>
  <si>
    <t>신규사업 제안서 작성</t>
  </si>
  <si>
    <t>328</t>
  </si>
  <si>
    <t>파이썬 코딩</t>
  </si>
  <si>
    <t>활용방안에 대해 고민중이다</t>
  </si>
  <si>
    <t>332</t>
  </si>
  <si>
    <t>유료버전 사용에 대한 고민</t>
  </si>
  <si>
    <t xml:space="preserve">디자인 렌더링 시 COLOR 등을 쉽게 바꾸어 확인 할 수 있다. </t>
  </si>
  <si>
    <t>336</t>
  </si>
  <si>
    <t>독학으로 익히다보니 정보의 편향성이 심하다고 생각된다.
더 많은 활용사례와 더 나은 방법들에 대한 정보가 부족하다.</t>
  </si>
  <si>
    <t>물어볼 사람이 AI밖에 없다는게 가장 어려움
AI가 내놓은 답이 확실한가에 대한 검증을 매번 해야한다는 것도 어려움</t>
  </si>
  <si>
    <t>지금은 특별한 아이디어 없음</t>
  </si>
  <si>
    <t>337</t>
  </si>
  <si>
    <t>적용 방법 및 적확한 답변 판다 유무</t>
  </si>
  <si>
    <t>339</t>
  </si>
  <si>
    <t>API  연동을 통해 내부 적용하기 위한 기초 자료를 일일이 수작업으로 입력하여 만들어야 하는데 시간이 많이 소요 됩니다.</t>
  </si>
  <si>
    <t>실제 업무에서 데이타 수집 자동화가 필요합니다.
전화나 상담으로 이루어지는 내용이 자동으로 데이타로 만들어져 활용할 수 있었으면 합니다.</t>
  </si>
  <si>
    <t>대화 내용을 분석 헤서 자동 요약 및 기록을 저장하고 분석 할 수 있는 툴이 있었으면 합니다.</t>
  </si>
  <si>
    <t>340</t>
  </si>
  <si>
    <t xml:space="preserve">아직 원하는 수준까지 자료가 생성되거나 요약 정리가 되지 않음.. 엑셀 정리 취합, 자료 분석... </t>
  </si>
  <si>
    <t>개인정보, 기업정보 보안....
원하는 수준까지 자료 정리가 어려움</t>
  </si>
  <si>
    <t>엑셀 자료 분석 및 요약</t>
  </si>
  <si>
    <t>341</t>
  </si>
  <si>
    <t>어려움을 인식할 만큼 접하지 못했습니다.</t>
  </si>
  <si>
    <t>업무에 아직 활용하고 있지 못합니다.</t>
  </si>
  <si>
    <t>아직 업무 활용에 대한 경험이 없습니다.</t>
  </si>
  <si>
    <t>343</t>
  </si>
  <si>
    <t>n/a</t>
  </si>
  <si>
    <t>344</t>
  </si>
  <si>
    <t>348</t>
  </si>
  <si>
    <t>체계적 사용방법과
보다 깊은 학습을 위한 방향성을 잡기 어려움</t>
  </si>
  <si>
    <t>체계적 방향성이 어려움</t>
  </si>
  <si>
    <t>기존 업무의 백데이터 부족으로
기존 백데이터 통합및 관리가 필요함</t>
  </si>
  <si>
    <t>354</t>
  </si>
  <si>
    <t>어느 부분에 적용해야할지 아직 잘 모르겠음</t>
  </si>
  <si>
    <t>업무에 맞춰서 자동화가 가능한지가 가장큰 어려움이라고 생각함</t>
  </si>
  <si>
    <t>업무를 하는데 있어 시간적인 절약이 많이 될거같음</t>
  </si>
  <si>
    <t>355</t>
  </si>
  <si>
    <t>질문이나 원하는 답변을 얻기위해 고민</t>
  </si>
  <si>
    <t>356</t>
  </si>
  <si>
    <t>기본 구성 쳬계를 확보하는데 어려움</t>
  </si>
  <si>
    <t>방법을 아는 것</t>
  </si>
  <si>
    <t>반복 업무를 효율성 있게 처리 가능</t>
  </si>
  <si>
    <t>357</t>
  </si>
  <si>
    <t>홍보를 많이 하였으면 좋을 것 같다</t>
  </si>
  <si>
    <t>지나친 AI의존</t>
  </si>
  <si>
    <t>358</t>
  </si>
  <si>
    <t>원하는 답에 안나왔을때</t>
  </si>
  <si>
    <t>적절한 활용 방법</t>
  </si>
  <si>
    <t>업무 효율화</t>
  </si>
  <si>
    <t>360</t>
  </si>
  <si>
    <t>사용 안함</t>
  </si>
  <si>
    <t>361</t>
  </si>
  <si>
    <t>없다.</t>
  </si>
  <si>
    <t>정확성 부족</t>
  </si>
  <si>
    <t>362</t>
  </si>
  <si>
    <t>실무중심 교육부족</t>
  </si>
  <si>
    <t>활용능력</t>
  </si>
  <si>
    <t>데이타 확인</t>
  </si>
  <si>
    <t>363</t>
  </si>
  <si>
    <t>아직 접하지 못함</t>
  </si>
  <si>
    <t>366</t>
  </si>
  <si>
    <t>사용 경험이 없음</t>
  </si>
  <si>
    <t>데이터 수집 및 분석하여 업무적용</t>
  </si>
  <si>
    <t>367</t>
  </si>
  <si>
    <t>처음 사용하는것이므로 교육이 필요함</t>
  </si>
  <si>
    <t>368</t>
  </si>
  <si>
    <t>생성형 AI 영상 프롬프트를 만들때
text to video를 실행하면 원하는 장면이 안나올때가 있어서
몇번이고 프롬프트값을 수정해서 사용했던 경험이 있습니다</t>
  </si>
  <si>
    <t>AI 사용시 결과물에 대해 인간의 감정이 대입되지 않는 장점과 단점이 같이 존재하는것 같습니다.</t>
  </si>
  <si>
    <t>1. AI를 활용한 고객만족도 및 해피콜 조사 (AI 챗봇을 이용하여 고객사가 평가항목을 입력하고 그에 맞는 결과는 실시간 클라우드 방식으로 데이터베이스에 저장되어 2차 수정이 필요없이 바로 양식에 맞게 해당 저장소에 등록되어 데이터를 관리함)
2. AI를 활용한 직접적인 콜접수 프라이버시 기능
팀스라는 어플을 활용하여 현장에서 콜처리를 하는 반면
전화로 고객사에게 요청을 받아 처리하는 부분도 있음
휴가나 연차일 경우에도 고객의 전화를 받아야 하는 업무적 스트레스가 잔존되어 있음
물론 고객사의 요청을 받아 대직자에게 전달하여 업무를 하면 되지만 연차가 낮은 사원으로서는 연차가 높은 선배에게 업무 전달을 하여 부담을 주기가 상당히 애매한 입장임
그렇다고 본인이 휴가를 다녀와서 업무를 모두 소화하기에는 그것또한 너무 부담이 된다고 생각함
그래서 생각한 방안이 팀스에서 연차나 휴가일시 스케쥴 등록을 하면 케이스가 지정한 직원에게 접수가 되는 기능이 있는데
해당 스케쥴 등록 기간에 저장되어 있는 번호가 아닐시에 착신을 했을때 휴가중이라는 멘트와 함께 "KT 통화비서" 같은 기능으로  1차적으로 AI가 착신된 전화에 대해서 소화를 한 뒤 2차적으로 직접 전화를 받아도 된다고 ai가 판단하면 착신을 정상적으로 받고 직접 전화를 받아도 되지 않다고 판단하면 고객센터 안내나 지정된 문자 내용으로 고객에게 전달함, 일반 전화로 착신했을 경우에는 휴가중인 직원에게 매너콜 같은 안내 톡이나 문자로 전화를 발신 한 곳의 정보와 음성으로 녹음된 내용을 변환한 접수내용을 알려줌</t>
  </si>
  <si>
    <t>371</t>
  </si>
  <si>
    <t>372</t>
  </si>
  <si>
    <t>사전 지식 및 활용방법 부족</t>
  </si>
  <si>
    <t>데이터 유출로 인한 보안</t>
  </si>
  <si>
    <t>물동~생산계획 최적 일정 수립</t>
  </si>
  <si>
    <t>373</t>
  </si>
  <si>
    <t>편리함</t>
  </si>
  <si>
    <t>많음</t>
  </si>
  <si>
    <t>376</t>
  </si>
  <si>
    <t>부정확한 정보에 대한 검증</t>
  </si>
  <si>
    <t>통합적이지 않은 너무 다양한 툴 존재</t>
  </si>
  <si>
    <t>시장, 경쟁, 고객에 대한 분석 고도화</t>
  </si>
  <si>
    <t>377</t>
  </si>
  <si>
    <t>프롬프트를 잘 작성하는 법</t>
  </si>
  <si>
    <t>올바른 결과인지 판단하는 점</t>
  </si>
  <si>
    <t>잘 모르는 기술도 체계적으로 가르쳐줘서 도움이 많이 됩니다.</t>
  </si>
  <si>
    <t>378</t>
  </si>
  <si>
    <t>.없음</t>
  </si>
  <si>
    <t>381</t>
  </si>
  <si>
    <t>스터디 필요함</t>
  </si>
  <si>
    <t>382</t>
  </si>
  <si>
    <t>파이썬, 크롤링등 연계 툴 사용하기가 어렵습니다.</t>
  </si>
  <si>
    <t>데이터의 정확성 및 검증 능력을 갖추는 것이 가장 어렵다고 생각합니다.</t>
  </si>
  <si>
    <t>복수 견적 검토 방법 및 시간 단축
반복적인 수기 원가관리를 자동화</t>
  </si>
  <si>
    <t>386</t>
  </si>
  <si>
    <t xml:space="preserve">사용 모델의 선정 및 수학적 통계학의 이해가 잘 와 닿지는 않음.
데이터 분석가 및 AI 사이언서 등으로 전문 영역이 나눠져 있으나, 그 전문 영역을 깊게 이해하긴 어려움이 큼. </t>
  </si>
  <si>
    <t>일반적인 사용에는 프롬프트를 잘 정의하고 전달하면 큰 무리가 없으나, 보다 세밀한 영역에서 사용하긴 아직 오류가 많아 오히려 디버깅에 시간이 많이 소요됩니다.</t>
  </si>
  <si>
    <t xml:space="preserve">우리 팀의 반복적인 개발업무 프로세스를 AI 사용으로 개선의 여지는 있다고 생각됨. </t>
  </si>
  <si>
    <t>388</t>
  </si>
  <si>
    <t>잘 모르겠습니다</t>
  </si>
  <si>
    <t>389</t>
  </si>
  <si>
    <t>알고리즘 개선을 위한 수학식의 변경</t>
  </si>
  <si>
    <t>데이터의 신뢰성</t>
  </si>
  <si>
    <t>1. 운용장애관련 데이터 자동 수집 및 분석, 결과 리포팅
2. 엔지니어의 장애조치에 대한 학습패턴을 학습하고 추후 장애유사시 수정여부 질의 및 수행</t>
  </si>
  <si>
    <t>390</t>
  </si>
  <si>
    <t>부정확한 자료일때가 많다.</t>
  </si>
  <si>
    <t>자동화 등 기초틀을 만드는게 복잡하다</t>
  </si>
  <si>
    <t>391</t>
  </si>
  <si>
    <t>비용, 사용방법</t>
  </si>
  <si>
    <t>반복 자료 정리</t>
  </si>
  <si>
    <t>396</t>
  </si>
  <si>
    <t>코드 최적화 및 업무 문서 작성</t>
  </si>
  <si>
    <t>404</t>
  </si>
  <si>
    <t>사람이 판단하여야 하는 작업을 AI를 부분 활용하는 방향으로 활용하고자 하였지만 어려웠습니다.</t>
  </si>
  <si>
    <t>데이터 오류 및 AI 데이터가 잘못되었을 경우, 오류를 검출하는 부분이 가장 어려울 것으로 생각됩니다.</t>
  </si>
  <si>
    <t>.....</t>
  </si>
  <si>
    <t>405</t>
  </si>
  <si>
    <t>활용방법 인지 부족, 내부 교육은 본사만 진행하고 있어서 공장은  접할 수 있는 기회가 없음,</t>
  </si>
  <si>
    <t>인프라 부족</t>
  </si>
  <si>
    <t>407</t>
  </si>
  <si>
    <t>AI 접한적 없습니다</t>
  </si>
  <si>
    <t>AI 활용한적 없습니다.</t>
  </si>
  <si>
    <t>AI 활용으로 인해 업무의 빠른처리가 가능하다</t>
  </si>
  <si>
    <t>409</t>
  </si>
  <si>
    <t>접한적이 없음</t>
  </si>
  <si>
    <t>인간의 창의성이 무뎌질 것 같음</t>
  </si>
  <si>
    <t>신규 아이템이 나왔을때 BOM 오류 검사</t>
  </si>
  <si>
    <t>410</t>
  </si>
  <si>
    <t>잘모르겠습니다</t>
  </si>
  <si>
    <t>416</t>
  </si>
  <si>
    <t>없었음</t>
  </si>
  <si>
    <t>실제 목표에 부합하는지 확인을 위한 크로스 체킹</t>
  </si>
  <si>
    <t>423</t>
  </si>
  <si>
    <t>처음 접해보는 것이라 잘 모름</t>
  </si>
  <si>
    <t>자동시스템에 대한 시간적 여유가 생김</t>
  </si>
  <si>
    <t>428</t>
  </si>
  <si>
    <t>434</t>
  </si>
  <si>
    <t>아직 AI관련 경험이 없습니다.</t>
  </si>
  <si>
    <t>아직 기회가 없었으며 배워보고 싶습니다.</t>
  </si>
  <si>
    <t>반복업무에 대한 개선</t>
  </si>
  <si>
    <t>443</t>
  </si>
  <si>
    <t>어떻게 적용해야하는지 잘모르겠음</t>
  </si>
  <si>
    <t>업무에 적용 가능한 범위와 적용방법에 대한 상세한 자료를 찾는데 어려움이 있음</t>
  </si>
  <si>
    <t>아직 없다</t>
  </si>
  <si>
    <t>453</t>
  </si>
  <si>
    <t>도출 데이터 근거 타당성 검토 과정 생략 후 보고하여 근거자료 미확보하여 어려움을 겪었던 경험</t>
  </si>
  <si>
    <t>데이터 신뢰 및 보안</t>
  </si>
  <si>
    <t>없음.</t>
  </si>
  <si>
    <t>454</t>
  </si>
  <si>
    <t>AI가 잘못된 정보로 오염되었을 경우 때문에 오는 낮은 신뢰도</t>
  </si>
  <si>
    <t>정보 찾기</t>
  </si>
  <si>
    <t>1</t>
  </si>
  <si>
    <t>에이텍모빌리티</t>
  </si>
  <si>
    <t>AI에 너무 의지하게 되는점</t>
  </si>
  <si>
    <t>업무자동화</t>
  </si>
  <si>
    <t>10</t>
  </si>
  <si>
    <t>AI 모델에 대한 진입장벽이 크다고 생각했고, 실생활에 어떻게 적용해야 할지, 데이터 정제는 어떤 식으로 해야할지 등 장기적으로 봐야할 부분들이 어렵게 느껴졌습니다.</t>
  </si>
  <si>
    <t>결국엔 비용측면에서 투자가 가능하냐 아니냐의 차이가 나기 때문에 설득이 쉽지 않습니다.</t>
  </si>
  <si>
    <t xml:space="preserve">어떤 주제를 가지고 만들 수는 있으나 결국 유지가 가능하냐도 중요하다고 볼 수 있는데, 이런 내용은 회사는 이윤을 추구하는 입장에서는 ai비용이 너무 크기 때문에 리스크가 있다고 느껴집니다. </t>
  </si>
  <si>
    <t>21</t>
  </si>
  <si>
    <t>원하는 결과가 도출되지 않아 비슷한 질문을 지속적으로 한적이 있다.100%는 아니지만 50~60%정도 결과물로 만족해야 할때가 많다.</t>
  </si>
  <si>
    <t>원하는 결과를 도출 할때까지 비슷한 질문을 계속 하게 되는것.</t>
  </si>
  <si>
    <t>아직은 어떤업무에 적용해야 할지 고민 중.</t>
  </si>
  <si>
    <t>26</t>
  </si>
  <si>
    <t xml:space="preserve">부정확한 응답으로 인하여 잘 못된 정보를 얻은 결과가 있다. 다른 AI 도구를 이용하여 크로스 체크하여 확인할 수 있었다. </t>
  </si>
  <si>
    <t>AI에 대한 무한 신뢰를 가지는 오류로 인해 잘못된 정보가 활용될 수 있는 소지가 있다.</t>
  </si>
  <si>
    <t>AI를 통한 소스 분석을 통해 사전에 오류를 진단하고 개선 코드에 대한 가이드를 제공하여 소스 품질의 향상을 기대할 수 있을 거라 생각된다.</t>
  </si>
  <si>
    <t>36</t>
  </si>
  <si>
    <t>아직 실질적으로 업무에 활용한 경험이 없습니다.</t>
  </si>
  <si>
    <t xml:space="preserve">내부 정보 유출 </t>
  </si>
  <si>
    <t>AI로 소스를 검사하여 예상하지 못한 오류나 이상사태 방지.</t>
  </si>
  <si>
    <t>56</t>
  </si>
  <si>
    <t>65</t>
  </si>
  <si>
    <t>처음이라서 느끼고 생각되어지는 심리적인 부담감이 주요 내용이다</t>
  </si>
  <si>
    <t>아직은 큰 어려움은 없다</t>
  </si>
  <si>
    <t>제안서 작성시 참고할만한 자료를 효율적으로 구현가능할 것으로 보인다.</t>
  </si>
  <si>
    <t>66</t>
  </si>
  <si>
    <t>편향된 데이터</t>
  </si>
  <si>
    <t>67</t>
  </si>
  <si>
    <t>적극적으로 다양한 기능을 사용해보기 위해서는 유료 결제가 필수라 활용에 어려움이 있음</t>
  </si>
  <si>
    <t>초기 내용을 학습하는데 시간이 필요하며 이해가 쉬운 교육을 접하기 어려움</t>
  </si>
  <si>
    <t>사내  LLM 을 구축하여 제안서/사업계획서 작성에 도움을 기대</t>
  </si>
  <si>
    <t>81</t>
  </si>
  <si>
    <t>내 커리어에 도움이 되는 길을 모름</t>
  </si>
  <si>
    <t>82</t>
  </si>
  <si>
    <t>메뉴얼이 없음</t>
  </si>
  <si>
    <t>별도 없음</t>
  </si>
  <si>
    <t>84</t>
  </si>
  <si>
    <t>AI가 잘못된 정보를 전달</t>
  </si>
  <si>
    <t>86</t>
  </si>
  <si>
    <t>잘 사용하지 않는다</t>
  </si>
  <si>
    <t>고민해보겠다</t>
  </si>
  <si>
    <t>111</t>
  </si>
  <si>
    <t>113</t>
  </si>
  <si>
    <t>생성형 AI의 활용을 하고자하나 프리웨어로는 한계가 있어. 데이터는 다입력하고 준비를 하고도 낮은 질의 자료를 작성받은경우</t>
  </si>
  <si>
    <t xml:space="preserve">AI의적절한활용 및 효과적인 자료 작성을 학습시키는 커맨드와 작성요령 </t>
  </si>
  <si>
    <t>124</t>
  </si>
  <si>
    <t>정보의 정확성을 확인할수 없었다.</t>
  </si>
  <si>
    <t>정보의 정확성을 확인할수 없음. 재검토가 필요함</t>
  </si>
  <si>
    <t>문서작성 시 효율적으로 사용할수 있을것으로 기대한다.</t>
  </si>
  <si>
    <t>127</t>
  </si>
  <si>
    <t>자료 수집</t>
  </si>
  <si>
    <t>업무에 적용시키기</t>
  </si>
  <si>
    <t>로그수집 및 분석</t>
  </si>
  <si>
    <t>128</t>
  </si>
  <si>
    <t>활용하고자 하는 의욕 대비 사용에 익숙하지 않음</t>
  </si>
  <si>
    <t>원하는 결과를 얻기 위한 적절한 입력 방법 어려움.</t>
  </si>
  <si>
    <t>일부 업무(보고서, 입찰 검색) 간소화 및 자동화</t>
  </si>
  <si>
    <t>130</t>
  </si>
  <si>
    <t xml:space="preserve">모르겠음 </t>
  </si>
  <si>
    <t>164</t>
  </si>
  <si>
    <t>업무에 활용하기가 어려움</t>
  </si>
  <si>
    <t>환경셋팅</t>
  </si>
  <si>
    <t>177</t>
  </si>
  <si>
    <t>정확하지 않은 정보를 참고해서 잘못된 결정내린 적 있음</t>
  </si>
  <si>
    <t>검색엔진 수준밖에 못 쓰고 있음</t>
  </si>
  <si>
    <t>업무시간 단축 기대</t>
  </si>
  <si>
    <t>182</t>
  </si>
  <si>
    <t>없었습니다.</t>
  </si>
  <si>
    <t>아직은 잘 모르겠습니다.</t>
  </si>
  <si>
    <t>업무의 간편화</t>
  </si>
  <si>
    <t>190</t>
  </si>
  <si>
    <t>아직까지 생각해 본적이 없음</t>
  </si>
  <si>
    <t>193</t>
  </si>
  <si>
    <t>206</t>
  </si>
  <si>
    <t>210</t>
  </si>
  <si>
    <t>잘 몰라서 활용이 어려운 것 같습니다.</t>
  </si>
  <si>
    <t>아직 잘 모르겠습니다.</t>
  </si>
  <si>
    <t>반복적인 업무에 할애하는 시간을 다른 업무에 사용할 수 있지 않을까 싶습니다.</t>
  </si>
  <si>
    <t>218</t>
  </si>
  <si>
    <t>단순 질답 외에는 어떻게 사용해야하는지 모르겠음</t>
  </si>
  <si>
    <t>234</t>
  </si>
  <si>
    <t>간단한 내용만 확인해서 아직은 어려운 부분을 느끼지 못함.</t>
  </si>
  <si>
    <t>적용 범위에 따른 여러가지 절차.</t>
  </si>
  <si>
    <t xml:space="preserve">아직 개선 부분에 대한 검토 중입니다. </t>
  </si>
  <si>
    <t>237</t>
  </si>
  <si>
    <t>질문에 대한 엉뚱한 답변을 할때</t>
  </si>
  <si>
    <t>월 결제비용</t>
  </si>
  <si>
    <t>반복적인 작업 및 취합 업무에 대한 시간을 줄일 수 있습니다.</t>
  </si>
  <si>
    <t>239</t>
  </si>
  <si>
    <t>무료로 사용하고 있어 용량의 한계가 있는 플랫폼도 있고 최신 데이터를 지원하지 않아 이용할 수 없을 때도 있음</t>
  </si>
  <si>
    <t>아직 큰 어려움을 없다.</t>
  </si>
  <si>
    <t>저희 개발자는 새로운 기술이나 프로그램 개발 속도 향상에 도움이 되고 있지만 AI에 너무 의존하면 자신만의 S/W 역량 향상에는 한계가 있다고 봅니다.</t>
  </si>
  <si>
    <t>242</t>
  </si>
  <si>
    <t>..</t>
  </si>
  <si>
    <t>246</t>
  </si>
  <si>
    <t>잘 모르겠다</t>
  </si>
  <si>
    <t>247</t>
  </si>
  <si>
    <t>코드가 복잡하면, 정확성이 떨어짐</t>
  </si>
  <si>
    <t>내가 작성한 소스 코드의 피드백을 받을 수 있다.</t>
  </si>
  <si>
    <t>248</t>
  </si>
  <si>
    <t xml:space="preserve">1. 이론이 어려움
2. 사용은 알겠는데 튜닝이나 커스터마이징하는법을 모름
</t>
  </si>
  <si>
    <t xml:space="preserve">  실무소스 검토에 활용시 어디까지 ai에 소스를 제공해야하는지</t>
  </si>
  <si>
    <t>현재 구글링 대신 사용중</t>
  </si>
  <si>
    <t>249</t>
  </si>
  <si>
    <t>학습시키는데 에포트가 너무 많이드는 듯 함</t>
  </si>
  <si>
    <t>정보유출/aj 의존도 과다</t>
  </si>
  <si>
    <t>반복적인 문서 작성을 ai를 활용하여 시간 절약</t>
  </si>
  <si>
    <t>256</t>
  </si>
  <si>
    <t>263</t>
  </si>
  <si>
    <t>사용 데이터 제한 (무료버전)</t>
  </si>
  <si>
    <t>팩트 검증</t>
  </si>
  <si>
    <t>보고 자료 작성시간 단축 기대</t>
  </si>
  <si>
    <t>264</t>
  </si>
  <si>
    <t>265</t>
  </si>
  <si>
    <t>챗 지피티 이외의 ai를 써본적이 없고 어떻게 활용해야 되는지에 대해 파악을 잘 못하고 있다고 생각함</t>
  </si>
  <si>
    <t>정보의 정확성 판단</t>
  </si>
  <si>
    <t>반복적인 업무 해결</t>
  </si>
  <si>
    <t>275</t>
  </si>
  <si>
    <t>2가지 도구를 비교하여 사용했을 때 서로 결과가 달라서 추가적인 확인이 필요한 경험이 있음</t>
  </si>
  <si>
    <t>데이터의 보안 문제와 결과에 대한 신뢰성 확보</t>
  </si>
  <si>
    <t>개발 업무에 적용할 수 있는 AI 기술이 필요해 보임</t>
  </si>
  <si>
    <t>279</t>
  </si>
  <si>
    <t>정보의 진위여부 판단</t>
  </si>
  <si>
    <t>반복 업무 자동화</t>
  </si>
  <si>
    <t>284</t>
  </si>
  <si>
    <t>인간 수준의 업무 처리능력을 가진 LLM 모델을 활용하려면 개인 차원에서는 비용 부담의 문제가 있음. 200$ / Month</t>
  </si>
  <si>
    <t>보안 관련 문제, 정확하지 않은 데이터 bias 등</t>
  </si>
  <si>
    <t>반복적인 공지문 작성의 고민 시간 대폭 감소.
낮선 산업 분야에 대한 지식 습득 단 기간내에 가능.</t>
  </si>
  <si>
    <t>287</t>
  </si>
  <si>
    <t>사용경험 적음</t>
  </si>
  <si>
    <t>적용범위 및 활용</t>
  </si>
  <si>
    <t>304</t>
  </si>
  <si>
    <t>Chat GPT만 사용해 봐서 다른 AI에 대한 경험 및 다양한 활용 부족</t>
  </si>
  <si>
    <t>활용코저 하는 Data 보안에 대한 회사 가이드</t>
  </si>
  <si>
    <t>기초자료를 활용한 업무보고서 자동생성</t>
  </si>
  <si>
    <t>305</t>
  </si>
  <si>
    <t>아직은 잘 모겠음.</t>
  </si>
  <si>
    <t>업무 시간 단축</t>
  </si>
  <si>
    <t>312</t>
  </si>
  <si>
    <t xml:space="preserve">모델 학습에 쓰거나, AI서비스로 활용 될만한 에이텍 데이터셋과 API가 전무하다.  
</t>
  </si>
  <si>
    <t>데이터셋 구축</t>
  </si>
  <si>
    <t xml:space="preserve">- 개발 단계에서의 모든 불량 보고서 들을 한데 모아 챗봇만들어서 LLM 으로 돌리기. 
- 재료비 산출 근거 자료들 싹다모아서 평균 가격 책정하기 
- NotebookLM을 활용한 각 실의 지식 정보 공유 (팟캐스트,동영상 자동생성)
 오픈소스 AI 를 활용한 작업메뉴얼 자동생성 
1. 사내문서 , 사내 위키, 사내 통합 메일 검색 (Haystack +FAISS)
2. 모든 회의 회의록 자동 작성 AI (회의 음성 자동으로 텍스트화 및 요약) 
3. 사내 문서, 장비 메뉴얼의 다국어 번역
</t>
  </si>
  <si>
    <t>313</t>
  </si>
  <si>
    <t>교육 부재</t>
  </si>
  <si>
    <t>지식</t>
  </si>
  <si>
    <t>없슴</t>
  </si>
  <si>
    <t>314</t>
  </si>
  <si>
    <t>반복작업 개선</t>
  </si>
  <si>
    <t>319</t>
  </si>
  <si>
    <t>제한적 서비스(무료 사용자)</t>
  </si>
  <si>
    <t>도출결과에 대한 정확도, 신뢰도에 대한 의구심</t>
  </si>
  <si>
    <t>325</t>
  </si>
  <si>
    <t>석사학위 중 데이터의 레이어가 복잡해질수록 다양한 ai를 통해서 교차검증 방식으로 1차적인 결론을 도출할때 까지의 시간이 오래걸림
직접 사용한 chat gpt나 클로드, 라마등의 ai는 토큰의 한계때문에 원하는 결론을 도출하기 어려움
비용을 지불한다고 하더라도 제한된 토큰에서 원하는 답변을 얻어내는 과정이 설명을 한다고 하여도 결론에 도달하지 못하는 경우 대부분 이었으며, 예시로 로우데이터 가공에서도 사용자의 의도를 전달하는 과정도 원하는 만큼 나오지 않을 경우가 많음
ai관련 대학에서 강의도 듣고 전문강의도 참석해서 들어봤지만 결국 사용자가 ai에 대해 이해를 완벽하게 한다고 해도 제한점이 생길수 밖에 없다고 생각함. 무제한의 토큰이 주어지거나 기업용 ai를 사용하는것이 아닌 일반 사용자로써의 한계점이 제일 문제였음</t>
  </si>
  <si>
    <t>이해도, 토큰, 프로세스등</t>
  </si>
  <si>
    <t>1. 음성자동 요약기능
- 전화상으로 들어오는 버스관련 내용들(필요한 a/s종류, 기점지, 도착시간, 출발시간등 a/s에 필요한 내용들) 자동요약 및 자동등록
2. 서비스내용 자동등록
- 서비스 후 일정양식에 맞춰 필드(ex. excel, notion등)에 등록하면 전산에 자동입력되도록 하는 기능
3. 업무일지 자동화
- 2번에 연동된 내용으로 필요 내요미 등록되면 자동으로 업무일지 내용 전달
A/S관련 AI는 제한적인 부분이 많아 이정도밖에 생각이 안납니다</t>
  </si>
  <si>
    <t>330</t>
  </si>
  <si>
    <t>모르겠다</t>
  </si>
  <si>
    <t>333</t>
  </si>
  <si>
    <t xml:space="preserve">정확성 </t>
  </si>
  <si>
    <t xml:space="preserve">  ..</t>
  </si>
  <si>
    <t>334</t>
  </si>
  <si>
    <t>다양한 기능을 모르고 있어서 활용을 하지 못하는 점</t>
  </si>
  <si>
    <t>만들어진 결과물에 대한 판단력</t>
  </si>
  <si>
    <t>1. 반복적이고 확실한 양식이 있는 보고서 및 문서 작성의 효율 증대
2. 연구/개발 업무에 필요한  데이터 시트 내용 빠른 분석
3. 데이터 시트 외 연구/개발 업무에 필요한 지식, 이론, 정보 등에 대한 정확도 높은 질의 응답</t>
  </si>
  <si>
    <t>345</t>
  </si>
  <si>
    <t>351</t>
  </si>
  <si>
    <t>크게 어려움 없음.</t>
  </si>
  <si>
    <t>큰 어려움 없음.</t>
  </si>
  <si>
    <t>업무 자동화</t>
  </si>
  <si>
    <t>365</t>
  </si>
  <si>
    <t>접해본적 없음</t>
  </si>
  <si>
    <t>정보의 다양성</t>
  </si>
  <si>
    <t>아직은 잘 모르겠음</t>
  </si>
  <si>
    <t>380</t>
  </si>
  <si>
    <t>잘못된 정보 전달</t>
  </si>
  <si>
    <t>적절한 툴 선택</t>
  </si>
  <si>
    <t>403</t>
  </si>
  <si>
    <t>활용을 애초에 못하게 합니다</t>
  </si>
  <si>
    <t>ai 관련 회사 문화부터 변경되어야 한다고 생각합니다</t>
  </si>
  <si>
    <t>408</t>
  </si>
  <si>
    <t>유료화 비용</t>
  </si>
  <si>
    <t>비용 문제</t>
  </si>
  <si>
    <t>아직 잘 모르겠다</t>
  </si>
  <si>
    <t>411</t>
  </si>
  <si>
    <t>가끔 말을 안들음</t>
  </si>
  <si>
    <t>빠른 업무처리</t>
  </si>
  <si>
    <t>412</t>
  </si>
  <si>
    <t>파이썬 등과 같은 코딩 요청시 여러번의 시행착오를 거쳐야만 내가 원하는바를 만들수 있다. 즉, 내가 원하고자 하는 방향을 프롬프트로 전달하는데 한계성을 느끼곤 한다.</t>
  </si>
  <si>
    <t>데이터의 신뢰도가 어느정도인지 판단하기 어려움.</t>
  </si>
  <si>
    <t>시간을 장기간 투입해야하는 업무를 최소화하고 싶다.
부품 선정의 적정성 판단 및 Part List 작성 등의 업무들.</t>
  </si>
  <si>
    <t>417</t>
  </si>
  <si>
    <t>데이터 기반이기 때문에 데이터가 부족하면 부정확한 결과가 나올것으로 예상</t>
  </si>
  <si>
    <t>430</t>
  </si>
  <si>
    <t xml:space="preserve">질문을 정확하게 이해하지 못하고 재차 물어보는 경험과 데이터의 정형화를 위해 사용했지만 해당 규칙을 지키지못하고 다른 형태로 반환했을때 </t>
  </si>
  <si>
    <t>비용이 가장 큰 문제가 생각합니다.</t>
  </si>
  <si>
    <t>단순 반복되는 코딩 또는 설계단계에서 활용하면 생산성을 증대시킬 수 있습니다.</t>
  </si>
  <si>
    <t>431</t>
  </si>
  <si>
    <t>환각 현상으로 인한 데이터 검증</t>
  </si>
  <si>
    <t>업무 적용에 대한 지식 부족</t>
  </si>
  <si>
    <t>사전형식의 자동 메뉴얼 작성</t>
  </si>
  <si>
    <t>433</t>
  </si>
  <si>
    <t>개념에 대한 접근이 어려웠다</t>
  </si>
  <si>
    <t>데이터의 정확성과 신뢰도</t>
  </si>
  <si>
    <t>반복되는 업무에 대해 AI 자동화로 처리 가능하면 좋을 것 같다</t>
  </si>
  <si>
    <t>435</t>
  </si>
  <si>
    <t>최신화된 정보(도구사용법)</t>
  </si>
  <si>
    <t>반복작업 개선(분석)</t>
  </si>
  <si>
    <t>436</t>
  </si>
  <si>
    <t>원하는 대답을 얻지 못함</t>
  </si>
  <si>
    <t>많이 배워보고싶음</t>
  </si>
  <si>
    <t>440</t>
  </si>
  <si>
    <t>사용방법에 대한 교육이 추가적으로 필요함</t>
  </si>
  <si>
    <t>441</t>
  </si>
  <si>
    <t>간혈적 음석 인식 에러</t>
  </si>
  <si>
    <t>질문의 대한 답변 부족</t>
  </si>
  <si>
    <t>442</t>
  </si>
  <si>
    <t xml:space="preserve">  없음</t>
  </si>
  <si>
    <t>23</t>
  </si>
  <si>
    <t>에이텍시스템</t>
  </si>
  <si>
    <t>MCP, 프롬포트 등.. 학습해놓는 부분</t>
  </si>
  <si>
    <t>업무 접목, 학습 방법</t>
  </si>
  <si>
    <t>반복 자동화로 인한 업무 가중치 해소</t>
  </si>
  <si>
    <t>27</t>
  </si>
  <si>
    <t>프롬프트 작성법 활용방법
최적의 프롬프트 만들기</t>
  </si>
  <si>
    <t>토큰 소진의 대응법
저작권
어떤 사업아이템을 활용할것인지</t>
  </si>
  <si>
    <t>기대됩니다</t>
  </si>
  <si>
    <t>28</t>
  </si>
  <si>
    <t>아직 경험이 많지 않습니다.</t>
  </si>
  <si>
    <t>실제 업무에 활용가능한지
데이터베이스 저장공간</t>
  </si>
  <si>
    <t xml:space="preserve">가능하다면 활용하면 좋을것 같습니다.
</t>
  </si>
  <si>
    <t>30</t>
  </si>
  <si>
    <t>37</t>
  </si>
  <si>
    <t>무료서비스 이용으로 인한 질문 및 사용 제약</t>
  </si>
  <si>
    <t>내부 정보에 대한 노출 관리
( 프라이빗 AI  구축?)</t>
  </si>
  <si>
    <t xml:space="preserve">고객지원 및 영업진행시 기술적인 분석 및 제안을 전문석 증대.
</t>
  </si>
  <si>
    <t>46</t>
  </si>
  <si>
    <t>69</t>
  </si>
  <si>
    <t>70</t>
  </si>
  <si>
    <t>아직까진 없습니다</t>
  </si>
  <si>
    <t>고객 대응이 된다면 효과가 클 것 같습니다</t>
  </si>
  <si>
    <t>71</t>
  </si>
  <si>
    <t>다양한 앱의 심층활용방법</t>
  </si>
  <si>
    <t>신뢰성</t>
  </si>
  <si>
    <t>일일업무일지 및 주간회의 취합</t>
  </si>
  <si>
    <t>72</t>
  </si>
  <si>
    <t>업무자동화와 활용법에 대한 지식부족으로 체계적인 공식을
사전에 인지하고 적절한 사용이 이뤄져야 업무효율의 극대화
및 활용도가 높을걸로 보임</t>
  </si>
  <si>
    <t>업무활용시 ai중심적 정보 단면만을 보고 판단하게 되며
보다 다양한 시각을 볼수 없는 단점은 있는것 같음</t>
  </si>
  <si>
    <t xml:space="preserve">반복적인 문서 작성 및 정형화 된 틀 마련 및 데이터 분석을  활용한 문제점 개선 및 방안 해결 등 </t>
  </si>
  <si>
    <t>77</t>
  </si>
  <si>
    <t>현장에서 접해보지 못했지만 활용할 기대는 있다.</t>
  </si>
  <si>
    <t>AI 기반이 되는 기본 데이터의 활용 방안에 대해 잘 모르겠다</t>
  </si>
  <si>
    <t>챗봇을 이용한 업무 활동 범위나 업무 노하우 습득 등 업무에 도움이 되는 것이 기대된다</t>
  </si>
  <si>
    <t>88</t>
  </si>
  <si>
    <t>저작권 관련 문제</t>
  </si>
  <si>
    <t>93</t>
  </si>
  <si>
    <t>Chat gpt 를 이용하여 질문시 적절한 해결이 어려웠던 경험이 있습니다</t>
  </si>
  <si>
    <t>개인정보 유출</t>
  </si>
  <si>
    <t>적극 활용하면 좋을거 같습니다</t>
  </si>
  <si>
    <t>114</t>
  </si>
  <si>
    <t>데이터 분석</t>
  </si>
  <si>
    <t>119</t>
  </si>
  <si>
    <t>접해 본적이 없어 답변이 불가함</t>
  </si>
  <si>
    <t>서비스 업무에서 활용 유무 자체가 의구심이 든다</t>
  </si>
  <si>
    <t>142</t>
  </si>
  <si>
    <t>최소한의 코딩 지식이 있어야 함</t>
  </si>
  <si>
    <t>교육을 위한 시간과 비용의 투자</t>
  </si>
  <si>
    <t>정기점검 등 루틴한 엄부 결과 작성</t>
  </si>
  <si>
    <t>144</t>
  </si>
  <si>
    <t>....</t>
  </si>
  <si>
    <t>145</t>
  </si>
  <si>
    <t>이미지가 필요해서 요청을 했는데 한국어가 이상하게 출력이 많이 되었습니다</t>
  </si>
  <si>
    <t>비용 문제 및 배우는 기간이 오래 걸릴 것으로 보입니다.</t>
  </si>
  <si>
    <t>필드 직원들의 자재 이해력을 돕기 위해 AI를 사용하는 것을 생각 중입니다.</t>
  </si>
  <si>
    <t>150</t>
  </si>
  <si>
    <t>AI를 활용하여 자료(정보)를 검색 후 정확한 내용의 자료인지 검증하는것</t>
  </si>
  <si>
    <t>자료의 정확성 확인</t>
  </si>
  <si>
    <t>장애데이터 분석을 통한 품질관리</t>
  </si>
  <si>
    <t>152</t>
  </si>
  <si>
    <t>무료 버전에 대한 기능의 한계</t>
  </si>
  <si>
    <t>개발 프로그램 언어 활용</t>
  </si>
  <si>
    <t>입찰 공고 검색 자동화 : 검색시간 단축과, RFP 검토 시간 집중</t>
  </si>
  <si>
    <t>158</t>
  </si>
  <si>
    <t xml:space="preserve">사용 목적에 따른 툴 구분 부족 </t>
  </si>
  <si>
    <t>기본 개발 프로그램에 대한 이해 부족, ai 활용에 대한 동료들의 적극적인 협조 등</t>
  </si>
  <si>
    <t>상동</t>
  </si>
  <si>
    <t>163</t>
  </si>
  <si>
    <t>170</t>
  </si>
  <si>
    <t>딱히</t>
  </si>
  <si>
    <t>199</t>
  </si>
  <si>
    <t>특별히 없긴하지만 AI에 너무 의지하여 터무니 없는 답변을 그대로 믿고 실천해버리면 그 결과가 좋지않았던 적은 있었습니다.</t>
  </si>
  <si>
    <t>나의 정보가 어디에 노출이 될 지 모른다는 점이라고 느낍니다.</t>
  </si>
  <si>
    <t>문서작업에 있어 액셀 등 어떤 수식을 써야할 지 잘 모를때 AI의 도움을 받곤 했었고 특정 자산관리 등 관리문서를 만들 때 AI에게 질문하여 수식 등을 체계화 시켜 완성도 높은 문서를 만들 수 있는 점입니다.</t>
  </si>
  <si>
    <t>203</t>
  </si>
  <si>
    <t>최소한 전체적인 그림이 머리에 있어야 효과 있음</t>
  </si>
  <si>
    <t>너도 나도 쓰면 결국 같은 결론이 나온다</t>
  </si>
  <si>
    <t>208</t>
  </si>
  <si>
    <t>214</t>
  </si>
  <si>
    <t>정확한 정보가 아닌 경우가 많습니다.</t>
  </si>
  <si>
    <t>타당성, 개인정보 문제</t>
  </si>
  <si>
    <t>반복적인 업무가 자동화될 수 있어 업무 효율이 높아질 것 같습니다.</t>
  </si>
  <si>
    <t>238</t>
  </si>
  <si>
    <t>쓸만한 기능은 대부분 유료화로 개인이 접근하기엔 어려움이 있음</t>
  </si>
  <si>
    <t>244</t>
  </si>
  <si>
    <t>데이터 전처리 시 이상치 분류</t>
  </si>
  <si>
    <t xml:space="preserve">잘못된 데이터로 인한 오판단 </t>
  </si>
  <si>
    <t>데이터 분석으로 자재 수명, 불량율 등 파악하여 최대한 금액 손실을 막는다.</t>
  </si>
  <si>
    <t>250</t>
  </si>
  <si>
    <t>접해보지 않아 잘모르겠음</t>
  </si>
  <si>
    <t>현장에서 생성된 데이터를 활용하여 보고서를 만들면 업무의 효율성이 올라갈수 있을거 같습니다.</t>
  </si>
  <si>
    <t>268</t>
  </si>
  <si>
    <t>상사도 담당자도 모르는 이슈 증상을 ai에게 물어보니 해결됨</t>
  </si>
  <si>
    <t>270</t>
  </si>
  <si>
    <t>결과물의 정확성에 대한 교차 검증</t>
  </si>
  <si>
    <t>업무 자동화 및 자료 입력량의 최소화</t>
  </si>
  <si>
    <t>276</t>
  </si>
  <si>
    <t>정보에 대한 보호를 막을 수 있다면 그것으로 인한 부가가치를 누릴수 있다고 생각함.</t>
  </si>
  <si>
    <t>290</t>
  </si>
  <si>
    <t xml:space="preserve">커뮤니케이션 문제 </t>
  </si>
  <si>
    <t>잘모르겠음</t>
  </si>
  <si>
    <t>292</t>
  </si>
  <si>
    <t>사용 하는법을 잘 모름</t>
  </si>
  <si>
    <t>AI 활용으로 가능할지는 모르겠지만 반복적으로 작성해야되는 부분을 줄일 수 있었으면 좋겠습니다.
ex)현재 출하처리 -&gt; 매출등록 -&gt;전표 작성을 하는데 출하 하자마자 전표까지 자동 작성된다면 사람이 해서 틀릴일은 줄지않을까 싶습니다.</t>
  </si>
  <si>
    <t>297</t>
  </si>
  <si>
    <t xml:space="preserve">업무활용 교육없음 </t>
  </si>
  <si>
    <t xml:space="preserve"> H/W 서비스 시  ERP 자동화 </t>
  </si>
  <si>
    <t xml:space="preserve">AI를 통한 ERP 업무 환경개선 </t>
  </si>
  <si>
    <t>302</t>
  </si>
  <si>
    <t>아직 배우는중입니다.</t>
  </si>
  <si>
    <t>반복업무 , 자재회전율 확인</t>
  </si>
  <si>
    <t>316</t>
  </si>
  <si>
    <t>317</t>
  </si>
  <si>
    <t xml:space="preserve">조금 전문적인 영역(코딩) 등은 어려움이 존재한다 </t>
  </si>
  <si>
    <t xml:space="preserve">AI결과물의 신뢰도(약간 의 오류를 잡아낼 수 있는지) </t>
  </si>
  <si>
    <t>업무의 효율성 제고</t>
  </si>
  <si>
    <t>323</t>
  </si>
  <si>
    <t xml:space="preserve"> 차량 일지를 GPT로 자동화 시도 하였지만 기존에 데이터를 GPT가 이해하지 못하여 실패함</t>
  </si>
  <si>
    <t>기존 업무를 어디까지 적용할 수 있는지 범위의 문재가 있습니다.</t>
  </si>
  <si>
    <t xml:space="preserve"> 고객이 AS접수를 할 때 AI가 1차적으로 대응 후 현장기사이게 접수되면 전화상으로 해결될 접수건이 줄어들 것으로 판단됩니다.
 다만, 콜센터 접수 중 AI로 넘어갈 경우 대다수의 이용자가 불편을 격을 것 같습니다. (삼성전자 AI상담사, KT AI 상담사 등 대기업 상담건에서 불편접수가 늘었다는 기사 확인 )
 대책으로 인터넷 접수가 진행될 때 1차적으로 시도해 보는것이 좋을 것 같습니다.</t>
  </si>
  <si>
    <t>331</t>
  </si>
  <si>
    <t>편향적인 답변과 잘못된 오답</t>
  </si>
  <si>
    <t>문제 분석 및 해결 방안 재시</t>
  </si>
  <si>
    <t>335</t>
  </si>
  <si>
    <t>변화가 너무 빠름</t>
  </si>
  <si>
    <t xml:space="preserve">유료결제 미지원 .
컴퓨터 도입 초반 업무에는 컴퓨터가 필요하니  써야한다 말하면서 제대로된 컴퓨터는 너돈으로 사야한다 하는거랑 같은거 아닌지 ? </t>
  </si>
  <si>
    <t>정기적 보고자료 자동화</t>
  </si>
  <si>
    <t>349</t>
  </si>
  <si>
    <t>AI를 제대로 활용한 적이 없습니다.</t>
  </si>
  <si>
    <t>개인정보의 위험성으로 AI 활용을 믿을 수가 없습니다.</t>
  </si>
  <si>
    <t>AI를 통해 고객이 PC가 안되는 이유를 AI 답변으로 나뉘어 이러한 증상은 어떤 문제로 증상이 발현되고 문제의 시발점을 예방할 수 있게 하면 서비스의 만족도가 올라가지 않을까 합니다.(연령층의 나뉨도 있어야 한다고 생각합니다.)</t>
  </si>
  <si>
    <t>353</t>
  </si>
  <si>
    <t>유선으로 대부분의 협의가 이루어지는 직군의 실무 적용</t>
  </si>
  <si>
    <t>정기적인 보고 자료 자동화</t>
  </si>
  <si>
    <t>364</t>
  </si>
  <si>
    <t>370</t>
  </si>
  <si>
    <t>실무에 적용하는 것</t>
  </si>
  <si>
    <t>사용 시 필요한 지식이나 기술이 부족할 때 자문을 받을 수 있는 창구가 없어 중도에 포기하는 경우가 발생합니다.</t>
  </si>
  <si>
    <t>아이디어가 생기면 적극적으로 도전해보겠습니다.</t>
  </si>
  <si>
    <t>379</t>
  </si>
  <si>
    <t>AI 할루시네이션</t>
  </si>
  <si>
    <t>완벽한 AI를 만드는 것과, 그 AI를 정확한 테두리 안에 두는 것</t>
  </si>
  <si>
    <t>392</t>
  </si>
  <si>
    <t>두리뭉실한 답변을 제공하였을 때</t>
  </si>
  <si>
    <t>...</t>
  </si>
  <si>
    <t>393</t>
  </si>
  <si>
    <t>방대한 데이터 분석법</t>
  </si>
  <si>
    <t>399</t>
  </si>
  <si>
    <t>업무에 적용해본적이 없어서 모르겠음.</t>
  </si>
  <si>
    <t>활용 할 대상이 적음.</t>
  </si>
  <si>
    <t>400</t>
  </si>
  <si>
    <t>현장일은 AI를 접목시키기가 아직까지는 어떻게 접근해야하는건지 모르겠습니다.</t>
  </si>
  <si>
    <t>신뢰성의 확보</t>
  </si>
  <si>
    <t>전국프로젝트 진행시 매뉴얼 제작</t>
  </si>
  <si>
    <t>406</t>
  </si>
  <si>
    <t>정확한 결과를 얻기 위한 질문을 어떠식으로 해야 되는지 정확히 알수가 없다</t>
  </si>
  <si>
    <t>업무 자동화 시 확실히 구현이 되는 건지
정확성이 어느정도 인지 알기 싶지 않다</t>
  </si>
  <si>
    <t>반복적인 문서 작성이나 단순 작업들을 자동화 할 수 있다면 너무 편하고 좋을 듯 하다</t>
  </si>
  <si>
    <t>414</t>
  </si>
  <si>
    <t>420</t>
  </si>
  <si>
    <t>생각하는 것과 다른 방향을 제시한적도 있지만 반복적인 데이터를 가진 통계는 일리가 있어 활용 가능할 것 갔습니다.</t>
  </si>
  <si>
    <t>사용 비용 이 꾸준히 들것 같고.
진실과 거짓의 명확한 구분없이 사용되는 허점을 간파할수 없읏듯 합니다.</t>
  </si>
  <si>
    <t>직접적인 사용은 보고서 정도이어서 꾸준히 생각하고는 있지만 아직 능숙하진 않습니다.</t>
  </si>
  <si>
    <t>421</t>
  </si>
  <si>
    <t>개방형 데이터 연동</t>
  </si>
  <si>
    <t>실무와연 연동</t>
  </si>
  <si>
    <t>많은 업무에 적용되멌으면 합니다.</t>
  </si>
  <si>
    <t>422</t>
  </si>
  <si>
    <t>개인비용으로 pro 버전 사용하는 어려움</t>
  </si>
  <si>
    <t>어렵지는 않으나 질의를 잘해야 결과값도 정확성이 올라가는 측면</t>
  </si>
  <si>
    <t xml:space="preserve">루틴한 업무 자동화, 문서 요약, 기술적 해결책 분석 </t>
  </si>
  <si>
    <t>424</t>
  </si>
  <si>
    <t>445</t>
  </si>
  <si>
    <t>잘 모르겠습니다.</t>
  </si>
  <si>
    <t>전부 어렵습니다.</t>
  </si>
  <si>
    <t>449</t>
  </si>
  <si>
    <t>단편적인 답변은 AI에서 받을 수 있으나, 종합하고 단계별 결과물은 합치는 능력이 많이 부족하다고 생각합니다.</t>
  </si>
  <si>
    <t>AI 도구들이 많아 각각을 익히고 업무에 적용하는 것이 현재는  개인의 역량의 몫이며, 회사 기밀 유지 측면에서 안전하게 쓸 수 있는 툴을 선택해 주는 것이 옳다고 생각합니다.</t>
  </si>
  <si>
    <t>반복 , 수집, 자동화, 콘텐츠 활용 측면에서 도움이 많을 것을 판단합니다.</t>
  </si>
  <si>
    <t>456</t>
  </si>
  <si>
    <t>5</t>
  </si>
  <si>
    <t>에이텍씨엔</t>
  </si>
  <si>
    <t>정보의 정확성 및 불필요한 정보제공</t>
  </si>
  <si>
    <t>생소한 증상 내지 오류코드 분석하기에 용이함</t>
  </si>
  <si>
    <t>6</t>
  </si>
  <si>
    <t>AI를 다루는 기술이 미흡하여 원하는 결과를 도출하는데 시간이 오래걸린 일</t>
  </si>
  <si>
    <t>업무에 적용하기까지의 시간이 소요될 점</t>
  </si>
  <si>
    <t>현재 생각해 둔 아이디어는 따로 없습니다.</t>
  </si>
  <si>
    <t>7</t>
  </si>
  <si>
    <t>어떤 부분을 어떤도구를 활용해서 개선시킬 수 있을지 모르겠다</t>
  </si>
  <si>
    <t>반복업무를 최소화하고 싶음</t>
  </si>
  <si>
    <t>11</t>
  </si>
  <si>
    <t>개인적인 용도로 사용해본 적이 있으나 AI가 이해하지 못하는 경우 정보를 지어내서 제공하는 것을 발견한 적이 있어서 데이터 유효성 검사를 한번 더 해야함.</t>
  </si>
  <si>
    <t>데이터의 유효성과 데이터 편향으로 인한 판단 오류 등.</t>
  </si>
  <si>
    <t>아직은 잘 모르겠음.</t>
  </si>
  <si>
    <t>큰 어려움은 없었습니다.</t>
  </si>
  <si>
    <t>현재 유행하고 있는 정보력의 속도를 예민하게 따라가고 그 정보력을 바탕으로 센스있게 추천할 수 있는지 궁금합니다.</t>
  </si>
  <si>
    <t>영문 메일을 보내야할 경우 직독직해 보다는 업무에 실질적으로 활용할 수 있는 표현들을 알려준다.</t>
  </si>
  <si>
    <t>14</t>
  </si>
  <si>
    <t>AI 도구툴을 많이 다뤄봐야 어려움이 없다고 생각합니다.</t>
  </si>
  <si>
    <t>보안 문제가 가장 리스크가 있다고 봅니다.</t>
  </si>
  <si>
    <t>반복적인 업무가 있다면 생성형AI를 통해 업무의 질을 높일수 있다 생각합니다.</t>
  </si>
  <si>
    <t>15</t>
  </si>
  <si>
    <t>- 내가 원하는 작업물이 안나왔을 때
- 유료버전..?</t>
  </si>
  <si>
    <t>생각해보겠습니다아</t>
  </si>
  <si>
    <t>16</t>
  </si>
  <si>
    <t>새로운 분야</t>
  </si>
  <si>
    <t>코드 언어</t>
  </si>
  <si>
    <t>좋은 교육 부탁드립니다.</t>
  </si>
  <si>
    <t>17</t>
  </si>
  <si>
    <t>신뢰도</t>
  </si>
  <si>
    <t>18</t>
  </si>
  <si>
    <t>19</t>
  </si>
  <si>
    <t>겪어보지않았습니다.</t>
  </si>
  <si>
    <t>사용자들의 이해력</t>
  </si>
  <si>
    <t>아직은모르겠습니다</t>
  </si>
  <si>
    <t>22</t>
  </si>
  <si>
    <t>생성형 AI의 가짜정보 생성</t>
  </si>
  <si>
    <t>34</t>
  </si>
  <si>
    <t>정확한 정보가 아닌경우가 있어, 교차검증이 필요</t>
  </si>
  <si>
    <t>활용 범위가 넒어져 실제 구동까지 자원이 부족해지는 상황 발생할거같음</t>
  </si>
  <si>
    <t>PC as 현장 실무이다보니 장애에 대한 경우의 수가 많아 적용하기는 쉽지 않아보임. 다만 자료 취합 업무의 경우 자동으로 데이터를 모아 정리를 할수 있을것으로 보임.</t>
  </si>
  <si>
    <t>38</t>
  </si>
  <si>
    <t>사내보안/데이터 유출</t>
  </si>
  <si>
    <t>사내보안위반</t>
  </si>
  <si>
    <t xml:space="preserve"> 자동제안서 (모델추천,가격비교) </t>
  </si>
  <si>
    <t>43</t>
  </si>
  <si>
    <t xml:space="preserve">인력 부족 및 인력 채용의 어려움을 느낀다. </t>
  </si>
  <si>
    <t xml:space="preserve">직원 경험 향상에 기어해 생산성을 높일 수 있다. </t>
  </si>
  <si>
    <t>53</t>
  </si>
  <si>
    <t>정확하게 어떻게 활용을 해야하는지 잘 모르겠고, 어떨때 쓰면 유용할지 판단이 잘 안됨. 그리고 이 자료를 어디까지 믿고 쓸 수 있는지 의문이 듬.</t>
  </si>
  <si>
    <t>데이터 분석의 믿음과 고객에게 최대한 자연스럽게 전달 할 수 있게 만드는것?</t>
  </si>
  <si>
    <t>영업으로써 고객을 만나거나 고객을 상대하는 업무를 해야하는데 반복되는 업무를 일일이 수작업으로 하는거와 워크샵때마다 데이터를 뽑아서 분석을 해야하는 부담을 덜 수 있지 않을까 생각함.</t>
  </si>
  <si>
    <t>60</t>
  </si>
  <si>
    <t>활용 범위 없음</t>
  </si>
  <si>
    <t>자주 있는 질의 응답이나, 간단한 장애처리 관련 활용 여부</t>
  </si>
  <si>
    <t>61</t>
  </si>
  <si>
    <t xml:space="preserve">혁신과 보안의 균형.  ROI 산출. </t>
  </si>
  <si>
    <t>레거시 시스템과 연계...
변화를 꺼리는 조직문화...</t>
  </si>
  <si>
    <t>고민 해 보겠습니다.</t>
  </si>
  <si>
    <t>75</t>
  </si>
  <si>
    <t>잘못된 정보를 사실처럼 전달하는 일이 잦아 크로스체크와 팩트체크가 필수적임.</t>
  </si>
  <si>
    <t>위의 설문대로 진행하면 충분하다고 생각함.</t>
  </si>
  <si>
    <t>80</t>
  </si>
  <si>
    <t>AI를 통해 뽑아낸 데이터의 진위여부</t>
  </si>
  <si>
    <t>회사 내부 정보 유출</t>
  </si>
  <si>
    <t>루틴한 업무에 대한 자동화를 통해 업무시간을 절감하고 그외 업무의 집중을 통한 성과 창출</t>
  </si>
  <si>
    <t>83</t>
  </si>
  <si>
    <t>개인정보보호</t>
  </si>
  <si>
    <t>시대의 변함에 따라 우리 회사도 뒤처지지않게 앞서 나가야한다고 생각합니다.</t>
  </si>
  <si>
    <t>87</t>
  </si>
  <si>
    <t>90</t>
  </si>
  <si>
    <t>범죄 예방</t>
  </si>
  <si>
    <t>업무 단일화</t>
  </si>
  <si>
    <t>96</t>
  </si>
  <si>
    <t>AI 관련 기술이 너무 많고, 복잡하다 생각이 듭니다. 업무를 분석하여 AI에 접목하는 부분이 어려운 것 같습니다.</t>
  </si>
  <si>
    <t>업무 분속과 업무에 맞는 AI 선택</t>
  </si>
  <si>
    <t>문서 관련 작업을 AI가 생성할 수 있을까? 라는 의문이 있습니다.</t>
  </si>
  <si>
    <t>97</t>
  </si>
  <si>
    <t>98</t>
  </si>
  <si>
    <t>딱히 없습니다.</t>
  </si>
  <si>
    <t>검색을할때 AI가 정확한 정보가 아닌 자기 의견대로 답변을 할때</t>
  </si>
  <si>
    <t>고객문의에대해 챗GPT로 확인후 문의내용을 처리한적이 많아서 고객지원팀분들이 사용하면 좋을 것 같습니다.</t>
  </si>
  <si>
    <t>99</t>
  </si>
  <si>
    <t>프롬포트 설계</t>
  </si>
  <si>
    <t>루틴업무 시간을 효과적으로 줄 일 수 있을 것 같다.</t>
  </si>
  <si>
    <t>101</t>
  </si>
  <si>
    <t>모르겠습니다</t>
  </si>
  <si>
    <t xml:space="preserve">없습니다 </t>
  </si>
  <si>
    <t>103</t>
  </si>
  <si>
    <t>유튜브나 인터넷 서칭을 통해 여러 AI툴 장점을 확인하였으나, 실 업무 적용 또는 개인적 운용능력 부족으로 실제 활용하지 않음.
즉, 진입장벽이 높음.</t>
  </si>
  <si>
    <t xml:space="preserve"> - 구독권 또는 이용권 개인별 안분 여부
  → 1개 계정으로 공용 운영은 개인의 업무 노출 및 개인정보 보호 유출 위험이 큼.
 - 수 많은 AI 툴을 활용법에 대한 진입장벽이 높음</t>
  </si>
  <si>
    <t xml:space="preserve"> ChatpGPT를 통한 엑셀VBA 생성하여 간단한 반복업무 자동화처리 만듬.
이에 업무처리 시간 간소화 완료</t>
  </si>
  <si>
    <t>104</t>
  </si>
  <si>
    <t>딱히 어려움은 없었습니다</t>
  </si>
  <si>
    <t>AI에도 없는 정보를 찾을수 없는것</t>
  </si>
  <si>
    <t>업무에서 찾기 어려운 정보들을 발견할수 있는것</t>
  </si>
  <si>
    <t>106</t>
  </si>
  <si>
    <t>107</t>
  </si>
  <si>
    <t>내가 원하는대로 나오지 않는점?</t>
  </si>
  <si>
    <t>고객 대응 챗봇으로 접수받기</t>
  </si>
  <si>
    <t>108</t>
  </si>
  <si>
    <t>제가 습득하는 속도보다 기술발전이 너무 빠름</t>
  </si>
  <si>
    <t>AI를 통해 획득한 정보의 신뢰성</t>
  </si>
  <si>
    <t>일상적인 반복작업에 활용</t>
  </si>
  <si>
    <t>110</t>
  </si>
  <si>
    <t>정확하게 물어보지 않으면 정확한 답변이 나오지 않음</t>
  </si>
  <si>
    <t>100% 믿어도 되는지</t>
  </si>
  <si>
    <t>빠른 일처리</t>
  </si>
  <si>
    <t>112</t>
  </si>
  <si>
    <t>AI를 많이 접하지 않았습니다.</t>
  </si>
  <si>
    <t>AI 데이터 입력 및 분석</t>
  </si>
  <si>
    <t>잘모르겠습니다.</t>
  </si>
  <si>
    <t>116</t>
  </si>
  <si>
    <t>데이터 활용</t>
  </si>
  <si>
    <t>데이터의 정확성 판별</t>
  </si>
  <si>
    <t xml:space="preserve">법무 검토
계약서 작성
</t>
  </si>
  <si>
    <t>120</t>
  </si>
  <si>
    <t>결과물의 신뢰성</t>
  </si>
  <si>
    <t>122</t>
  </si>
  <si>
    <t xml:space="preserve">없음
</t>
  </si>
  <si>
    <t xml:space="preserve">편리함. </t>
  </si>
  <si>
    <t>123</t>
  </si>
  <si>
    <t>정보 공개 범위의 제한</t>
  </si>
  <si>
    <t>회사, 개인 정보 유출</t>
  </si>
  <si>
    <t>기본적이고 반복적인 사소한 업무 (메일 작성, 보고서 등)</t>
  </si>
  <si>
    <t>126</t>
  </si>
  <si>
    <t>유료모델 미사용</t>
  </si>
  <si>
    <t>좀 더 사용해 봐야 알것 같습니다.</t>
  </si>
  <si>
    <t>좀 더 사용해봐야 알것 같습니다.</t>
  </si>
  <si>
    <t>131</t>
  </si>
  <si>
    <t>업무와 연결성</t>
  </si>
  <si>
    <t>134</t>
  </si>
  <si>
    <t>데이터 베이스 기반이라고 하더라도 100퍼센트를 장담할 수가 있을까?</t>
  </si>
  <si>
    <t>AI FIX 툴을 활용하여 고객과의 업무협업성 증대</t>
  </si>
  <si>
    <t>137</t>
  </si>
  <si>
    <t>너무 정확한 답변을 받아 오해를 일으킴</t>
  </si>
  <si>
    <t>138</t>
  </si>
  <si>
    <t>139</t>
  </si>
  <si>
    <t>검색 방법</t>
  </si>
  <si>
    <t>반복적인 작업</t>
  </si>
  <si>
    <t>140</t>
  </si>
  <si>
    <t>141</t>
  </si>
  <si>
    <t>147</t>
  </si>
  <si>
    <t>예상치 못한 답</t>
  </si>
  <si>
    <t>지나친 의존성</t>
  </si>
  <si>
    <t>149</t>
  </si>
  <si>
    <t xml:space="preserve">국가핵심시설이 있는  회사라 접할 수 없다 </t>
  </si>
  <si>
    <t>운영할수 있는 성능</t>
  </si>
  <si>
    <t xml:space="preserve">AI 에 관해 접근 자체를 못한다. </t>
  </si>
  <si>
    <t>151</t>
  </si>
  <si>
    <t>AI가 산출한 데이터의 정확성을 신뢰하기 어려워서 스스로 검토를 진행 해야한다</t>
  </si>
  <si>
    <t>신뢰성이라 생각험</t>
  </si>
  <si>
    <t>지금은 생각나는 아이디어가 없음</t>
  </si>
  <si>
    <t>153</t>
  </si>
  <si>
    <t>확실하지 않은 데이터를 주었을 때
(예를들면 질문의 요지가 희귀한 경우라 AI마다 답변이 다름)</t>
  </si>
  <si>
    <t>정보의 정확성이 전문성이 짙은 분야인 경우 오답일 수 있다는 점입니다.</t>
  </si>
  <si>
    <t>고객지원팀에있다보니 문의오는게 엄청 다양한데 그 중 일부분은 자주 오는항목인데, 그 여러번 문의오는 항목들을 AI가 정리해서 문서로 작성해준 뒤 메뉴얼로 만들면 좋을 것 같습니다.</t>
  </si>
  <si>
    <t>154</t>
  </si>
  <si>
    <t>잘못된 정보로 인하여 신뢰도 상실</t>
  </si>
  <si>
    <t>정확한 정보인지 이중 확인이 필요하다</t>
  </si>
  <si>
    <t>불필요한 시간 감소로 업무 효율 증대</t>
  </si>
  <si>
    <t>156</t>
  </si>
  <si>
    <t>159</t>
  </si>
  <si>
    <t xml:space="preserve">아직 구축이 덜 된거 같다. </t>
  </si>
  <si>
    <t>없다/</t>
  </si>
  <si>
    <t xml:space="preserve">없다. </t>
  </si>
  <si>
    <t>166</t>
  </si>
  <si>
    <t xml:space="preserve">다양한 도구들을 사용하면서 깊이 있는 활용력이 다소 부족함. 또한 신규 버전의 빠른 전개와 소개로, 새로운 것을 배우는 상황에서 변화속도를 따라가지 못하는 것에 대한 두려움과 피로감이 발생함. </t>
  </si>
  <si>
    <t>외부로의 사내 데이터 유출에 대한 보안 우려로 직관적인 데이터 분석이나 시사점을 도출하기 어려움. 추후 기업내 우리만의 LLM 구축과 데이터셋이 필요함.</t>
  </si>
  <si>
    <t>바이브코딩을 통한 개인 직무상 루틴한 업무용 앱을 만들어 개인의 업무생산성을 높이고자 함(정부지원사업 크롤링, 혁신과제관리시스템 대시보드 등)</t>
  </si>
  <si>
    <t>175</t>
  </si>
  <si>
    <t>딱히 없습니다</t>
  </si>
  <si>
    <t>질문 활용법</t>
  </si>
  <si>
    <t>데이터 수집</t>
  </si>
  <si>
    <t>178</t>
  </si>
  <si>
    <t>AI 종류가 너무 많고, 일반적인 사람들은 AI 하면 무조건 챗GPT만 찾아서 이 부분에 대해 너무 괴리감이 느껴지고 이상하다 생각해서 힘들었음</t>
  </si>
  <si>
    <t>AI=챗GPT라 생각하는 일반적인 시각들</t>
  </si>
  <si>
    <t>181</t>
  </si>
  <si>
    <t>AI 와 업무의 연관성</t>
  </si>
  <si>
    <t>사실 여부 판단이 제일 어렵다고 생각하며, 질문이 올바른가에 대한 어려움도 있다고 생각합니다.</t>
  </si>
  <si>
    <t>실 업무에 직접적인 도입이 가능할까 싶습니다</t>
  </si>
  <si>
    <t>183</t>
  </si>
  <si>
    <t>회의록 학습을 이용한 업무 활용</t>
  </si>
  <si>
    <t>184</t>
  </si>
  <si>
    <t>프롬프트 작성에 시간이 다소 걸린다.</t>
  </si>
  <si>
    <t>예상되는 어려움은 없다</t>
  </si>
  <si>
    <t>홈페이지에 안내 챗봇을 적용하면 방문자 친밀도를 향상시킬 수 있을 것으로 판단된다.</t>
  </si>
  <si>
    <t>187</t>
  </si>
  <si>
    <t>거짓 정보 필터링</t>
  </si>
  <si>
    <t>정보가 방대하고 정확한 데이터 추출의 어려움</t>
  </si>
  <si>
    <t>문서 작업이나 
데이터를 추출해서 정리할떄 유효할 것으로 보입니다.</t>
  </si>
  <si>
    <t>191</t>
  </si>
  <si>
    <t>정확도</t>
  </si>
  <si>
    <t>192</t>
  </si>
  <si>
    <t>아직 더 배워야 합니다.</t>
  </si>
  <si>
    <t>아직 잘 모르고 있습니다.
배우고 싶습니다.</t>
  </si>
  <si>
    <t>더 배우고 얘기하겠습니다.</t>
  </si>
  <si>
    <t>194</t>
  </si>
  <si>
    <t>거짓정보, 부정확한 내용, 사실 확인이 어려움, 신뢰성 의문</t>
  </si>
  <si>
    <t>거짓정보, 오류 검증</t>
  </si>
  <si>
    <t>196</t>
  </si>
  <si>
    <t>업무와 크게 맞지않음</t>
  </si>
  <si>
    <t>197</t>
  </si>
  <si>
    <t>AI 관련 사이트가 많은데 더 효율적으로 사용하기 위해 다양한 사이트를 활용하는 방업</t>
  </si>
  <si>
    <t>복잡한 데이터를 산출하게 만드는 방법</t>
  </si>
  <si>
    <t>고객 상담 등은 챗봇 활용하여 기본적인 정보 제공 가능.</t>
  </si>
  <si>
    <t>200</t>
  </si>
  <si>
    <t>201</t>
  </si>
  <si>
    <t>접하지 못한 용어를 알수있어서 좋음</t>
  </si>
  <si>
    <t>202</t>
  </si>
  <si>
    <t>결과값 상이</t>
  </si>
  <si>
    <t>211</t>
  </si>
  <si>
    <t>회사 보안정책으로 ai프로그램을 쓸수있는 기회가 없는데 어떻게 사용을 합니다.</t>
  </si>
  <si>
    <t>220</t>
  </si>
  <si>
    <t>현재는 없습니다.</t>
  </si>
  <si>
    <t>반복적인 업무는 AI를 활용하면
효율적이고 간편하게 업무를 할 수 있을 것 같습니다.</t>
  </si>
  <si>
    <t>221</t>
  </si>
  <si>
    <t>질문에 대한 AI 답변의 신뢰도</t>
  </si>
  <si>
    <t>시간 절약 및 업무 효율성 증대</t>
  </si>
  <si>
    <t>223</t>
  </si>
  <si>
    <t>원하는답변과 미묘하게 달라서 같은질문을 여러번해야하는 경우가 있습니다.</t>
  </si>
  <si>
    <t>결과물이 제대로된 결과물인지 확인절차에 시간이 걸립니다.</t>
  </si>
  <si>
    <t>AI를통해 반복작업을 프로그램화해서 자동배포하여 시간절약을 하고있습니다.</t>
  </si>
  <si>
    <t>224</t>
  </si>
  <si>
    <t>자료가 너무 방대하여 판단하기가 어렵다</t>
  </si>
  <si>
    <t>교육을 받고 현업에 응용하는 것이 어렵습니다</t>
  </si>
  <si>
    <t>226</t>
  </si>
  <si>
    <t>229</t>
  </si>
  <si>
    <t>빠르고 다양한 정보 수집</t>
  </si>
  <si>
    <t>231</t>
  </si>
  <si>
    <t>AI 교육시킬 프롬프트 작성이 어렵다</t>
  </si>
  <si>
    <t>나의 정보가 AI학습에 사용되어 개인정보 유출이 발생될 수 있는 것</t>
  </si>
  <si>
    <t>조금 더 고객에게 정중한 메신저를 보낼 수 있다</t>
  </si>
  <si>
    <t>232</t>
  </si>
  <si>
    <t>아직까진 모르겠습니다.</t>
  </si>
  <si>
    <t>241</t>
  </si>
  <si>
    <t>다양한 활용방법에 대한 정보 부족</t>
  </si>
  <si>
    <t>적합한 AI를 선택하는것</t>
  </si>
  <si>
    <t>반복적인 문서 작업의 간소화</t>
  </si>
  <si>
    <t>258</t>
  </si>
  <si>
    <t>교차검증 필요</t>
  </si>
  <si>
    <t>자동화 크롤링</t>
  </si>
  <si>
    <t>259</t>
  </si>
  <si>
    <t>261</t>
  </si>
  <si>
    <t>고객사 보안으로 인한 제한적 이용</t>
  </si>
  <si>
    <t>- 고객사 문의 간편대응 및 정보제공
- 고객사 자산 재고관리 및 현업납품 건 빈도에 따른 매출 추이 확보</t>
  </si>
  <si>
    <t>271</t>
  </si>
  <si>
    <t>잘못된 답변으로 인한 업무 공백</t>
  </si>
  <si>
    <t>질문방법</t>
  </si>
  <si>
    <t>274</t>
  </si>
  <si>
    <t>278</t>
  </si>
  <si>
    <t>실제 업무 활용 불가능한 수준</t>
  </si>
  <si>
    <t>실제 업무 환경과 너무 다름</t>
  </si>
  <si>
    <t>282</t>
  </si>
  <si>
    <t>활용시 적응시간</t>
  </si>
  <si>
    <t>고객 대응 업무의 다양화 분석</t>
  </si>
  <si>
    <t>283</t>
  </si>
  <si>
    <t>무료버전의 한계</t>
  </si>
  <si>
    <t>AI에서 추출되는 데이터의 중복</t>
  </si>
  <si>
    <t>반복적인 문서검토에 활용가능할것 같습니다.</t>
  </si>
  <si>
    <t>285</t>
  </si>
  <si>
    <t>데이터 검색하는데 있어 정확하게 문제를 주지 않으면 내가 알고자 하는 내용이 안나와서 어려움</t>
  </si>
  <si>
    <t>288</t>
  </si>
  <si>
    <t>AI의 한계가 분명히 있다</t>
  </si>
  <si>
    <t>AI로는 얻을수있는 한계가 있다</t>
  </si>
  <si>
    <t>내가 모르는 제품의 정보를 얻을수 있다</t>
  </si>
  <si>
    <t>289</t>
  </si>
  <si>
    <t>291</t>
  </si>
  <si>
    <t>감정을 포함하여 질문시 할루시네이션이 심해지는 현상</t>
  </si>
  <si>
    <t>모르는 분야에 잘못된 정보(할루시네이션)를 받을시 판단이 어려움</t>
  </si>
  <si>
    <t xml:space="preserve">전산장비에 대한 모니터링툴 개발
장애 패턴 학습 및 개선점 도출
</t>
  </si>
  <si>
    <t>294</t>
  </si>
  <si>
    <t>가끔 정확하지 않은 정보를 제공할 때가 있다.</t>
  </si>
  <si>
    <t>업무에 적용시키는 것</t>
  </si>
  <si>
    <t>아직 잘 모르겠습니다</t>
  </si>
  <si>
    <t>301</t>
  </si>
  <si>
    <t xml:space="preserve">질문을 어떻게 해야될지 ?
</t>
  </si>
  <si>
    <t xml:space="preserve">적용방법
</t>
  </si>
  <si>
    <t>편리함 정확함</t>
  </si>
  <si>
    <t>310</t>
  </si>
  <si>
    <t>318</t>
  </si>
  <si>
    <t>데이터를 불러오는시간이 다소길다</t>
  </si>
  <si>
    <t>일자리소멸</t>
  </si>
  <si>
    <t>324</t>
  </si>
  <si>
    <t>프롬프트 작성이 생소해서 작성하기가 어렵다</t>
  </si>
  <si>
    <t>다양한 변수에 대해서 각 상황마다 알맞는 명령을 내릴수 있을지?</t>
  </si>
  <si>
    <t>같은조건에서 반복적인 업무를 해야하는 경우에는 해당 작업을 자동으로 할수있는 그런 툴이 있으면 좋을것 같다</t>
  </si>
  <si>
    <t>359</t>
  </si>
  <si>
    <t xml:space="preserve"> 없음</t>
  </si>
  <si>
    <t>369</t>
  </si>
  <si>
    <t>개인정보</t>
  </si>
  <si>
    <t>374</t>
  </si>
  <si>
    <t>접한적이 없어 모르겠습니다.</t>
  </si>
  <si>
    <t>375</t>
  </si>
  <si>
    <t>잘못된 결과를 가르쳐줄때</t>
  </si>
  <si>
    <t>383</t>
  </si>
  <si>
    <t xml:space="preserve">어려움은 없고 업무 효율 극대화를 위해 많은 교육이 필요할 것 같다. </t>
  </si>
  <si>
    <t xml:space="preserve">사내 정보 보안에 대한 취약점 </t>
  </si>
  <si>
    <t>전사 팀원 대상 AI활용 &gt; 업무 프로세스 개선 사례와 툴 적용방법 공유  (시상포함)
기대효과: 전 임직원 AI활용 스킬 향상에 기여할 것으로 판단됨.</t>
  </si>
  <si>
    <t>384</t>
  </si>
  <si>
    <t>생소함</t>
  </si>
  <si>
    <t>반복적인 문서 작성 및 요약 간소화</t>
  </si>
  <si>
    <t>385</t>
  </si>
  <si>
    <t>추가적인 교육을 통해 아이디어를 얻고싶습니다</t>
  </si>
  <si>
    <t>387</t>
  </si>
  <si>
    <t>자유도가 높지 않고 정해져있는 딱딱한 면이 있는 것 같다.</t>
  </si>
  <si>
    <t>자유의지?</t>
  </si>
  <si>
    <t>반복되어지는 활동이나 업무에 대해 효율이 좋을 것 같다.</t>
  </si>
  <si>
    <t>394</t>
  </si>
  <si>
    <t>395</t>
  </si>
  <si>
    <t>아직 AI에 대해 어떻게 수행을 하는지 방법을 제대로 모르니 활용할 수 없었습니다.</t>
  </si>
  <si>
    <t>아직 AI에 대해 잘 모르겠습니다.</t>
  </si>
  <si>
    <t>AI를 통해 공통적으로 수행할 수 있는 업무를 대체할 수 있을 것 같습니다.</t>
  </si>
  <si>
    <t>397</t>
  </si>
  <si>
    <t xml:space="preserve">요즘 너무 많은 툴들이 있다보니 (GPT 외) 어떤 툴을 써야 적합한 답변이 나올지 몰라 GPT를 위주로 쓰고 있다. 이 점이 편하면서도 다른 것들을 쓰기 어려움이 있다. </t>
  </si>
  <si>
    <t>아무래도 초기 드는 시간과 노력 같다. 업무자동화를 하고 싶지만 코딩에 막힐 것 같고, 전문성이 요구될 것 같아 주저하게 된다.</t>
  </si>
  <si>
    <t xml:space="preserve">영업 제품에 대한 카달로그를 만드는데 쓰면 좋을 것 같고, 
메일을 자동으로 적어주면 좋을 것 같다.
</t>
  </si>
  <si>
    <t>398</t>
  </si>
  <si>
    <t>상주처 보안리스크로 인한 통제</t>
  </si>
  <si>
    <t>AI에 대한 이해</t>
  </si>
  <si>
    <t>401</t>
  </si>
  <si>
    <t>정보가 확실한건지 교차검증의 번거로움은 있습니다.</t>
  </si>
  <si>
    <t>크게 없는거 같습니다.</t>
  </si>
  <si>
    <t>비용절감</t>
  </si>
  <si>
    <t>402</t>
  </si>
  <si>
    <t>원하는 답변</t>
  </si>
  <si>
    <t>418</t>
  </si>
  <si>
    <t>419</t>
  </si>
  <si>
    <t>사용법을 모름</t>
  </si>
  <si>
    <t>426</t>
  </si>
  <si>
    <t xml:space="preserve">보안 및 비용 문제로 AI 환경 구축 불가능
 - AI 활용에 비용 발생
 - 프로프트 입력시 외부서버에 데이터 유출 우려에 의해 업무환경에서 AI 사용 불가
-&gt; 사내망 AI 환경 구축 필요
</t>
  </si>
  <si>
    <t>정확도 향상을 위한 데이터 학습</t>
  </si>
  <si>
    <t>패킷 수집, 분석으로 악성 패턴 파악
차단 정책 적용 자동화, 차단 사유 등의 리포트 자동 생성</t>
  </si>
  <si>
    <t>427</t>
  </si>
  <si>
    <t>GPT는 비싼가격과 질문에 답변을 어디까지 믿을수 있는지 어려움</t>
  </si>
  <si>
    <t>AI를 활용해 배운 지식이 잘못된지 확인이 되지않아 
오해가 생길 가능성이 있다고 생각합니다.</t>
  </si>
  <si>
    <t>사실 AI를 제 업무에 어떻게 써야 할지 잘모르겠습니다.</t>
  </si>
  <si>
    <t>429</t>
  </si>
  <si>
    <t xml:space="preserve">보안 </t>
  </si>
  <si>
    <t>432</t>
  </si>
  <si>
    <t>현재는 AI관련하여 경험이 없습니다.
AI를 접하고, 활용하고 싶은 의지는 있습니다.</t>
  </si>
  <si>
    <t>생성형 AI 입문자가 겪는 어려움은
따라가기 식의 단순한 도구 사용이나 툴을 익히는 것은
가능하지만 활용 하는 단계에서는 결코 쉽지 않다는 것이며,
이를 위한 방법은 언어를 익히듯이
반복적이고, 지속적인 학습을 해야만 합니다.
AI를 접목하여 업무 처리나, 활용 시
AI에만 의존하여 인간의 독창성이나 창의성이 떨어져
독자적인 개발이 아니고서는 다 같은 결과만 도출하게 되어
한계에 부딪히게 될 것으로 예상합니다.</t>
  </si>
  <si>
    <t>먼저 내가 어떠한 일을 하고 있는가에 대한
과정과 시간과 에너지를 낭비하는 파악 및 목록화,
프로그래밍에 준하여 입력-&gt;처리-&gt;결과 등으로
표현하여, 어떤 툴과 시간 효율에 대한 계산을 하여
각 업무에 맞는 AI 툴을 선택해
더 빠르고, 간결하고, 정확한 업무 효율을 내는 것을
기대해 볼 수 있습니다.</t>
  </si>
  <si>
    <t>438</t>
  </si>
  <si>
    <t>실전 활용방안 접목</t>
  </si>
  <si>
    <t>활용방안 접목부분</t>
  </si>
  <si>
    <t>439</t>
  </si>
  <si>
    <t>444</t>
  </si>
  <si>
    <t>아직 제대로 활용하지 않아 어려움을 모르겠다.</t>
  </si>
  <si>
    <t>고객사 사내정책으로 AI적용이 어렵다 스마트폰으로 하는 것은 가능한데 적용할수 있는것이 제한적이다.</t>
  </si>
  <si>
    <t>현재까지 없다</t>
  </si>
  <si>
    <t>446</t>
  </si>
  <si>
    <t>업무적으로 사용을 못함</t>
  </si>
  <si>
    <t>상주처에서는 보안상 협력사 직원은 AI관련하여 프로그램을 사용할 수가 없습니다. 직장에서라도 업무적으로 사용할 수 있게 지원을 해주었으면 좋겠습니다.</t>
  </si>
  <si>
    <t>448</t>
  </si>
  <si>
    <t>효율적인 명령어 사용이 어려움</t>
  </si>
  <si>
    <t>사용에 대한 부담감</t>
  </si>
  <si>
    <t>450</t>
  </si>
  <si>
    <t xml:space="preserve">문서작업 </t>
  </si>
  <si>
    <t>451</t>
  </si>
  <si>
    <t>명확하게 설명하지 않는이상 자체적인 판단이 힘든단계임</t>
  </si>
  <si>
    <t>알잘딱</t>
  </si>
  <si>
    <t>딱히 없음</t>
  </si>
  <si>
    <t>452</t>
  </si>
  <si>
    <t>.-</t>
  </si>
  <si>
    <t>455</t>
  </si>
  <si>
    <t>결과물이 입력대로 나오지않음</t>
  </si>
  <si>
    <t>저작권 디테일</t>
  </si>
  <si>
    <t>아직 떠오르지않음</t>
  </si>
  <si>
    <t>3</t>
  </si>
  <si>
    <t>에이텍오토</t>
  </si>
  <si>
    <t xml:space="preserve">검색어 </t>
  </si>
  <si>
    <t>아직 모르겠음</t>
  </si>
  <si>
    <t>8</t>
  </si>
  <si>
    <r>
      <rPr>
        <sz val="10"/>
        <rFont val="맑은 고딕"/>
        <family val="3"/>
        <charset val="129"/>
      </rPr>
      <t>관리자</t>
    </r>
    <r>
      <rPr>
        <sz val="10"/>
        <rFont val="Arial"/>
        <family val="2"/>
      </rPr>
      <t>(</t>
    </r>
    <r>
      <rPr>
        <sz val="10"/>
        <rFont val="맑은 고딕"/>
        <family val="3"/>
        <charset val="129"/>
      </rPr>
      <t>대표</t>
    </r>
    <r>
      <rPr>
        <sz val="10"/>
        <rFont val="Arial"/>
        <family val="2"/>
      </rPr>
      <t>/</t>
    </r>
    <r>
      <rPr>
        <sz val="10"/>
        <rFont val="맑은 고딕"/>
        <family val="3"/>
        <charset val="129"/>
      </rPr>
      <t>임원</t>
    </r>
    <r>
      <rPr>
        <sz val="10"/>
        <rFont val="Arial"/>
        <family val="2"/>
      </rPr>
      <t>/</t>
    </r>
    <r>
      <rPr>
        <sz val="10"/>
        <rFont val="맑은 고딕"/>
        <family val="3"/>
        <charset val="129"/>
      </rPr>
      <t>센터장</t>
    </r>
    <r>
      <rPr>
        <sz val="10"/>
        <rFont val="Arial"/>
        <family val="2"/>
      </rPr>
      <t>/</t>
    </r>
    <r>
      <rPr>
        <sz val="10"/>
        <rFont val="맑은 고딕"/>
        <family val="3"/>
        <charset val="129"/>
      </rPr>
      <t>파트장</t>
    </r>
    <r>
      <rPr>
        <sz val="10"/>
        <rFont val="Arial"/>
        <family val="2"/>
      </rPr>
      <t>/</t>
    </r>
    <r>
      <rPr>
        <sz val="10"/>
        <rFont val="맑은 고딕"/>
        <family val="3"/>
        <charset val="129"/>
      </rPr>
      <t>팀장</t>
    </r>
    <r>
      <rPr>
        <sz val="10"/>
        <rFont val="Arial"/>
        <family val="2"/>
      </rPr>
      <t>)</t>
    </r>
    <phoneticPr fontId="3" type="noConversion"/>
  </si>
  <si>
    <t>고급 문서 작성 시, 유료 요구가 많이 발생합니다.</t>
  </si>
  <si>
    <t>체계화된 자료 취합이 별도 결재하여야만 가능합니다.</t>
  </si>
  <si>
    <t>체계화된 자료 취합</t>
  </si>
  <si>
    <t>24</t>
  </si>
  <si>
    <t>짧은 교육시간으로 인해 세부적인 실습이 이루어지지 않아 쉽게 접근하기가 쉽지 안음</t>
  </si>
  <si>
    <t>데이터분석을 위한 적용방법</t>
  </si>
  <si>
    <t>데이터 분석 및 수집</t>
  </si>
  <si>
    <t>실제 업무에 적용을 어떤방식으로 해야 하는지 잘 모르겠음
AI를 활용하여 업무를 하는 실무자가 교육을 진행 해줬으면 함</t>
  </si>
  <si>
    <t>실제 업무에 대한 활용</t>
  </si>
  <si>
    <t>구매팀 업무에 활용할 수 있는 툴</t>
  </si>
  <si>
    <t>94</t>
  </si>
  <si>
    <t>원하는 결과를 얻기 위한  프롬프트 작성</t>
  </si>
  <si>
    <t>실제 업무에 적용하고 자동화 하는 부분</t>
  </si>
  <si>
    <t>프로그램에 AI 기술 적용</t>
  </si>
  <si>
    <t>95</t>
  </si>
  <si>
    <t>단순 서칭용으로 사용함</t>
  </si>
  <si>
    <t>사용법 및 언어</t>
  </si>
  <si>
    <t>102</t>
  </si>
  <si>
    <t>문서를 만들어 주는데 양식에 따라 정리가 안된 느낌</t>
  </si>
  <si>
    <t>AI에 의지하게 되는것.</t>
  </si>
  <si>
    <t>오래된 이론적인 지식을 다시 한번 확인 할 수 있는 부분</t>
  </si>
  <si>
    <t>121</t>
  </si>
  <si>
    <t>유료버전이 아니라서 좀더 업데이트 된 자료를 못봄
다양한 AI 프로그램 경험이 필요</t>
  </si>
  <si>
    <t>사용법 및 보안사항</t>
  </si>
  <si>
    <t>아이디어 창출, 설계 적용</t>
  </si>
  <si>
    <t>143</t>
  </si>
  <si>
    <t>성과창출 방법을 독학으로 진행하여 올바른 것인지에 대한 의문</t>
  </si>
  <si>
    <t>옳바른 프롬프트구성</t>
  </si>
  <si>
    <t>업무 Process 준수와 품질업무 내실화</t>
  </si>
  <si>
    <t>167</t>
  </si>
  <si>
    <t>204</t>
  </si>
  <si>
    <t>자비로 교육을 받고자 준비 중이다.
다만, 어떤 교육을 순서대로 할지, 가이드가 있으면 좋겠다,</t>
  </si>
  <si>
    <t>지속적인 내부정보를 공유할 수 있는 툴을 만들려고 한다.</t>
  </si>
  <si>
    <t>227</t>
  </si>
  <si>
    <t>보고서 개선</t>
  </si>
  <si>
    <t>228</t>
  </si>
  <si>
    <t>VBA 프로그램의 장애 시 장애분석</t>
  </si>
  <si>
    <t>유료건에 대한 비용부담</t>
  </si>
  <si>
    <t>251</t>
  </si>
  <si>
    <t>원하는 답변을 못 얻는 상황</t>
  </si>
  <si>
    <t>각종 자료 수집에 활용</t>
  </si>
  <si>
    <t>252</t>
  </si>
  <si>
    <t>257</t>
  </si>
  <si>
    <t>종종 잘못된 정보를 제공하는데 사실 여부를 확인하는데 시간이 많이 걸렸던 적이 있음.</t>
  </si>
  <si>
    <t>정확한 정보를 판별하는 것.</t>
  </si>
  <si>
    <t>설계 검토(예를 들면 취약한 부분 보완 또는 동력 계산등)</t>
  </si>
  <si>
    <t>273</t>
  </si>
  <si>
    <t>정보의 불확실성, 할루시네이션</t>
  </si>
  <si>
    <t>정보의 불확실성</t>
  </si>
  <si>
    <t>데이터 시각화</t>
  </si>
  <si>
    <t>277</t>
  </si>
  <si>
    <t>AI의 거짓말</t>
  </si>
  <si>
    <t>AI의 오류</t>
  </si>
  <si>
    <t>반복적인 문서 작성 및 요약</t>
  </si>
  <si>
    <t>280</t>
  </si>
  <si>
    <t>사용해본 경험이 드물다</t>
  </si>
  <si>
    <t>내 직무와의 접점</t>
  </si>
  <si>
    <t>주기적이고 반복적인 업무 개선</t>
  </si>
  <si>
    <t>296</t>
  </si>
  <si>
    <t>내가 원하는 자료를 추출하는데 있어, 정확도를 높히기 위한 맵핑과 의도를 정확히 인지하고 여러번의 검토를 진행하는것이 AI를 활용하는데 있어 실무적인 활용방안인거 같다</t>
  </si>
  <si>
    <t>업무에 본질을 파악하지 못하고, 답변만 원하는 경우</t>
  </si>
  <si>
    <t xml:space="preserve">현재 내가 진행하고 있는 프로젝트에서 발생하는 모든 이슈들을  AI로 VBA 코드를 작성해서 자동화문서를 활용하고, 차이가 발생하는것들은 대조 시트를 만들어 데일리로 확인이 가능한상태다.
우리가 평상시에하는 반복적인 업무나 스케줄등은 충분히 AI로 시간을 활용이 가능하다 </t>
  </si>
  <si>
    <t>308</t>
  </si>
  <si>
    <t xml:space="preserve">몇번 질문하면 끝~~~무료의 한계점 </t>
  </si>
  <si>
    <t>질문하는 방법, 조건 명시 등</t>
  </si>
  <si>
    <t>필요한 정보를 인터넷 서치 보다 AI가 더 빠르게 분석해 줌</t>
  </si>
  <si>
    <t>347</t>
  </si>
  <si>
    <t>활용방법</t>
  </si>
  <si>
    <t>아직없다</t>
  </si>
  <si>
    <t>352</t>
  </si>
  <si>
    <t>업무 적용 범위 정의 (어떤 업무에 어떻게 적용할 것인가?)</t>
  </si>
  <si>
    <t>공정자동화 개발 업무에 활용 (다양한 고객과 고객이 원하는 Layout, 이에 맞는 장비의 다양함 등)</t>
  </si>
  <si>
    <t>기존 장비에 대한 플랫폼 구축</t>
  </si>
  <si>
    <t>413</t>
  </si>
  <si>
    <t>무료버전이라 한계존재</t>
  </si>
  <si>
    <t xml:space="preserve">정확성 부족 </t>
  </si>
  <si>
    <t>데이터 수집이 편해진다</t>
  </si>
  <si>
    <t>425</t>
  </si>
  <si>
    <t xml:space="preserve">자료 노출 </t>
  </si>
  <si>
    <t>25</t>
  </si>
  <si>
    <t>에이텍컴퓨터</t>
  </si>
  <si>
    <t>정확성에 대한 의문이 있음</t>
  </si>
  <si>
    <t>보완</t>
  </si>
  <si>
    <t>자금 수지 예측</t>
  </si>
  <si>
    <t>33</t>
  </si>
  <si>
    <t>AI 의존으로 인한 실무자의 전문성 감소 우려
결과 값에 대한 무한한 신뢰 우려</t>
  </si>
  <si>
    <t>반복적인 단순 업무의 효율화</t>
  </si>
  <si>
    <t>41</t>
  </si>
  <si>
    <t>정보의 신뢰성이 어느정도인지 감안하기 어렵다.</t>
  </si>
  <si>
    <t>.정보의 신뢰성이 어느정도인지 감안하기 어렵다.</t>
  </si>
  <si>
    <t>아직없다.</t>
  </si>
  <si>
    <t>48</t>
  </si>
  <si>
    <t>개발로 치우치면 인공지능 학습에 장벽을 느낀다.</t>
  </si>
  <si>
    <t>클라우드 활용법, 데이터 전처리</t>
  </si>
  <si>
    <t>RPA 활용되면 좋을 듯 합니다.</t>
  </si>
  <si>
    <t>89</t>
  </si>
  <si>
    <t>업무적용점 찾기</t>
  </si>
  <si>
    <t>91</t>
  </si>
  <si>
    <t>인력의 필요성</t>
  </si>
  <si>
    <t>105</t>
  </si>
  <si>
    <t>157</t>
  </si>
  <si>
    <t>중간 중간 어려운 단어가 나온다.</t>
  </si>
  <si>
    <t>매일 궁굼한 사항에 대하여 물어볼 관리자 없음</t>
  </si>
  <si>
    <t>매일 반복적인 일보 작성</t>
  </si>
  <si>
    <t>173</t>
  </si>
  <si>
    <t>180</t>
  </si>
  <si>
    <t>기초적인 업무 활용이라 아직은 없음</t>
  </si>
  <si>
    <t>1. 데이터 보안 및 개인정보 보호 문제
2. 정확성 부족</t>
  </si>
  <si>
    <t>문서 자동화 및 정리, 데이터 분석</t>
  </si>
  <si>
    <t>186</t>
  </si>
  <si>
    <t>기대중이다.</t>
  </si>
  <si>
    <t>207</t>
  </si>
  <si>
    <t>자료 활용 시 추후 문제점 발생 여부(저작권 등)
정확성 판단 여부(근거 자료 )</t>
  </si>
  <si>
    <t>자료 사용 가능  여부 판단</t>
  </si>
  <si>
    <t>신사업 개척</t>
  </si>
  <si>
    <t>235</t>
  </si>
  <si>
    <t xml:space="preserve">코딩을 해야하는데 너무 하나도 모르고 배운다 한들 일부분만 배워서 업무에 활용하기 어렵다
</t>
  </si>
  <si>
    <t>인력대체</t>
  </si>
  <si>
    <t xml:space="preserve">매크로를 생성해 파일 만들어 자료를 자동화했으며, 중복 데이터를 거르는 수식으로 효율성을 높였다.
</t>
  </si>
  <si>
    <t>236</t>
  </si>
  <si>
    <t>사내에서는 별도 시간을 내서 해야하는 부분</t>
  </si>
  <si>
    <t>잘 사용하기 위해서는 이해도가 높아야하는데 아직 그런 수준이 안됩니다</t>
  </si>
  <si>
    <t>데이타 표준화가 필요함.... 아직 표준화된 데이타 수집이 어려움</t>
  </si>
  <si>
    <t>281</t>
  </si>
  <si>
    <t>API를 연동하여 데이터 자동 처리 및 분석 툴을 만들고 싶은데 방법을 모름</t>
  </si>
  <si>
    <t>생성형 AI가 제공한 정보의 진위 여부 판단</t>
  </si>
  <si>
    <t>데이터 자동 수집 및 분석 툴</t>
  </si>
  <si>
    <t>295</t>
  </si>
  <si>
    <t>데이터의 신빙성과 검증에 대한 판단</t>
  </si>
  <si>
    <t>데이터의 객관화, 주관적인 의사결정이 필요한 상황과의 충돌, AI가 전담할 업무의 범위설정 등</t>
  </si>
  <si>
    <t>반복업무나 정형화된 포맷에 따르는 업무의 대체
시간이 많이 걸리거나 비효율적으로 처리되었던 업무의 간소화 등</t>
  </si>
  <si>
    <t>326</t>
  </si>
  <si>
    <t>활용방법을 잘 모르겠음</t>
  </si>
  <si>
    <t>사고력 저하</t>
  </si>
  <si>
    <t>327</t>
  </si>
  <si>
    <t xml:space="preserve">기존 것에 대한 집착으로 활용도가 저조함
</t>
  </si>
  <si>
    <t>회의자료 작성</t>
  </si>
  <si>
    <t>329</t>
  </si>
  <si>
    <t>스스로 생각하거나 조사하는 과정이 줄고, AI에 의존하는 사항 발생</t>
  </si>
  <si>
    <t>개인정보 노출의 위험성 및 편향성, 향후 일자리의 불안 등</t>
  </si>
  <si>
    <t>기대 효과 있음</t>
  </si>
  <si>
    <t>338</t>
  </si>
  <si>
    <t>유료 서비스로 인한 AI 지원 한계</t>
  </si>
  <si>
    <t>유료 서비스의 부담</t>
  </si>
  <si>
    <t>N/Y</t>
  </si>
  <si>
    <t>342</t>
  </si>
  <si>
    <t>챗지피티 등 활용하는 것은 어렵지 않게 할 수 있으나, AI 도구가 결과값을 추출하는 원리 등의 기술적인 이해도는 부족하다.</t>
  </si>
  <si>
    <t xml:space="preserve">사람이 직접 보고 듣고 판단할 수 있는것이 업무에서는 가장 정확하다고 아직은 느끼기 때문에, AI 툴 활용에 대한 의존도가 커진다면 데이터의 불/합에 대한 판단이 가장 중요할 것 같다. </t>
  </si>
  <si>
    <t>고객이 요청하는 하드웨어 군의 비교표 작성, 제품에 대한 소개 등 챗지피티를 활용하여 데이터 추출 후 자료 가공 및 전달</t>
  </si>
  <si>
    <t>346</t>
  </si>
  <si>
    <t>데이터의 사실여부와 정확성</t>
  </si>
  <si>
    <t>직장생활 내 개인 윤리적문재</t>
  </si>
  <si>
    <t>350</t>
  </si>
  <si>
    <t>종류가 다양하여 현재 직무와 연결된 AI를 잘 모르겠음.</t>
  </si>
  <si>
    <t>다양한 사람을 만나는 영업이라는 직무에서 AI가 실질적으로 도움이 될지 잘 모르겠음.</t>
  </si>
  <si>
    <t>잘 모르겠음.</t>
  </si>
  <si>
    <t>415</t>
  </si>
  <si>
    <t>437</t>
  </si>
  <si>
    <t>AI에 의존하게 되면서 사고의 질적 양적 저하를 가져오는 점은 어려움으로 고려됩니다.</t>
  </si>
  <si>
    <t>AI 접목한 프로젝트의 경우, 많은 자원의 투입(프로그램 활용 비용 및 개인의 시간)이 필요하나 현업에서 업무를 병행하며 프로젝트로서 결과물을 만드는 것이 도전을 주저하게 만드는 요인으로 생각합니다.</t>
  </si>
  <si>
    <t>설문 자료를 AI를 활용해 인사이트를 도출할 수 있다고 생각합니다. 통계 툴 등의 사용료도 절감하며, 직관적으로 결과값을 얻을 수 있습니다.</t>
  </si>
  <si>
    <t>447</t>
  </si>
  <si>
    <t>적은 사용 빈도로 서투른 사용</t>
  </si>
  <si>
    <t>제안서 작성 효율화</t>
  </si>
  <si>
    <r>
      <t xml:space="preserve">AI </t>
    </r>
    <r>
      <rPr>
        <sz val="10"/>
        <rFont val="맑은 고딕"/>
        <family val="2"/>
        <charset val="129"/>
      </rPr>
      <t>활용</t>
    </r>
    <r>
      <rPr>
        <sz val="10"/>
        <rFont val="Arial"/>
        <family val="2"/>
      </rPr>
      <t xml:space="preserve"> </t>
    </r>
    <r>
      <rPr>
        <sz val="10"/>
        <rFont val="맑은 고딕"/>
        <family val="2"/>
        <charset val="129"/>
      </rPr>
      <t>빈도</t>
    </r>
    <phoneticPr fontId="3" type="noConversion"/>
  </si>
  <si>
    <r>
      <rPr>
        <sz val="10"/>
        <rFont val="맑은 고딕"/>
        <family val="2"/>
        <charset val="129"/>
      </rPr>
      <t>구분</t>
    </r>
    <phoneticPr fontId="3" type="noConversion"/>
  </si>
  <si>
    <r>
      <rPr>
        <sz val="10"/>
        <rFont val="맑은 고딕"/>
        <family val="2"/>
        <charset val="129"/>
      </rPr>
      <t>응답</t>
    </r>
    <phoneticPr fontId="3" type="noConversion"/>
  </si>
  <si>
    <t>평균</t>
    <phoneticPr fontId="3" type="noConversion"/>
  </si>
  <si>
    <t>기본 개념 인지</t>
    <phoneticPr fontId="3" type="noConversion"/>
  </si>
  <si>
    <t>있다</t>
    <phoneticPr fontId="3" type="noConversion"/>
  </si>
  <si>
    <t>거의 사용하지 않는다</t>
    <phoneticPr fontId="3" type="noConversion"/>
  </si>
  <si>
    <t>표춘편차</t>
    <phoneticPr fontId="3" type="noConversion"/>
  </si>
  <si>
    <t>AI 도구 선택 활용 가능</t>
    <phoneticPr fontId="3" type="noConversion"/>
  </si>
  <si>
    <t>없다</t>
    <phoneticPr fontId="3" type="noConversion"/>
  </si>
  <si>
    <t>사용하지 않는다</t>
    <phoneticPr fontId="3" type="noConversion"/>
  </si>
  <si>
    <t>AI 도구 교차 사용 가능</t>
    <phoneticPr fontId="3" type="noConversion"/>
  </si>
  <si>
    <t>업무에 자주 활용한다</t>
    <phoneticPr fontId="3" type="noConversion"/>
  </si>
  <si>
    <t>실험 및 구현 가능</t>
    <phoneticPr fontId="3" type="noConversion"/>
  </si>
  <si>
    <t>잘 모름</t>
    <phoneticPr fontId="3" type="noConversion"/>
  </si>
  <si>
    <t>AI 업무 활용 현황</t>
    <phoneticPr fontId="3" type="noConversion"/>
  </si>
  <si>
    <t>비율</t>
    <phoneticPr fontId="3" type="noConversion"/>
  </si>
  <si>
    <t>합계</t>
    <phoneticPr fontId="3" type="noConversion"/>
  </si>
  <si>
    <t>이이텍 그룹</t>
    <phoneticPr fontId="3" type="noConversion"/>
  </si>
  <si>
    <t>에이텍</t>
    <phoneticPr fontId="3" type="noConversion"/>
  </si>
  <si>
    <t>에이텍모빌리티</t>
    <phoneticPr fontId="3" type="noConversion"/>
  </si>
  <si>
    <t>에이텍시스템</t>
    <phoneticPr fontId="3" type="noConversion"/>
  </si>
  <si>
    <t>에이텍씨엔</t>
    <phoneticPr fontId="3" type="noConversion"/>
  </si>
  <si>
    <t>에이텍오토</t>
    <phoneticPr fontId="3" type="noConversion"/>
  </si>
  <si>
    <t>에이텍컴퓨터</t>
    <phoneticPr fontId="3" type="noConversion"/>
  </si>
  <si>
    <r>
      <t xml:space="preserve">AI </t>
    </r>
    <r>
      <rPr>
        <b/>
        <sz val="9"/>
        <rFont val="맑은 고딕"/>
        <family val="3"/>
        <charset val="129"/>
      </rPr>
      <t>업무</t>
    </r>
    <r>
      <rPr>
        <b/>
        <sz val="9"/>
        <rFont val="Arial"/>
        <family val="3"/>
      </rPr>
      <t xml:space="preserve"> </t>
    </r>
    <r>
      <rPr>
        <b/>
        <sz val="9"/>
        <rFont val="맑은 고딕"/>
        <family val="3"/>
        <charset val="129"/>
      </rPr>
      <t>활용</t>
    </r>
    <r>
      <rPr>
        <b/>
        <sz val="9"/>
        <rFont val="Arial"/>
        <family val="3"/>
      </rPr>
      <t xml:space="preserve"> </t>
    </r>
    <r>
      <rPr>
        <b/>
        <sz val="9"/>
        <rFont val="맑은 고딕"/>
        <family val="3"/>
        <charset val="129"/>
      </rPr>
      <t>빈도</t>
    </r>
    <phoneticPr fontId="3" type="noConversion"/>
  </si>
  <si>
    <r>
      <t xml:space="preserve">AI </t>
    </r>
    <r>
      <rPr>
        <b/>
        <sz val="9"/>
        <rFont val="맑은 고딕"/>
        <family val="3"/>
        <charset val="129"/>
      </rPr>
      <t>업무</t>
    </r>
    <r>
      <rPr>
        <b/>
        <sz val="9"/>
        <rFont val="Arial"/>
        <family val="3"/>
      </rPr>
      <t xml:space="preserve"> </t>
    </r>
    <r>
      <rPr>
        <b/>
        <sz val="9"/>
        <rFont val="맑은 고딕"/>
        <family val="3"/>
        <charset val="129"/>
      </rPr>
      <t>활용 현황</t>
    </r>
    <phoneticPr fontId="3" type="noConversion"/>
  </si>
  <si>
    <t>AI 활용 업무 효율 개선 경험</t>
    <phoneticPr fontId="3" type="noConversion"/>
  </si>
  <si>
    <t>AI 활용 업무 자동화 시도</t>
    <phoneticPr fontId="3" type="noConversion"/>
  </si>
  <si>
    <t>맞춤형 챗본 및 에이전트 개발 경험</t>
    <phoneticPr fontId="3" type="noConversion"/>
  </si>
  <si>
    <t>표준편차</t>
    <phoneticPr fontId="3" type="noConversion"/>
  </si>
  <si>
    <t>종합</t>
    <phoneticPr fontId="3" type="noConversion"/>
  </si>
  <si>
    <t>AI 이해도 및 활용</t>
  </si>
  <si>
    <t>AI 윤리 및 보안 인식</t>
  </si>
  <si>
    <t>AI 활용 학습 및 성장 의지</t>
  </si>
  <si>
    <t>조직 문화 및 협업 환경</t>
  </si>
  <si>
    <t>AI 기본 개념 이해도</t>
  </si>
  <si>
    <t>AI 작동 원리 이해도</t>
  </si>
  <si>
    <t>AI 활용 업무 효율화</t>
  </si>
  <si>
    <t>직무 적합 AI 기술 및 도구 이해도</t>
  </si>
  <si>
    <t>AI 분석 결과 검토·판단 경험</t>
  </si>
  <si>
    <t>AI 분석 결과 기반 의사결정 검험</t>
  </si>
  <si>
    <t>AI 활용 개인정보·보안 인식</t>
  </si>
  <si>
    <t>AI 편향성 및 리스크 인식</t>
  </si>
  <si>
    <t>AI 업로드 가능 데이터 인식</t>
  </si>
  <si>
    <t>AI 활용 윤리문제 인식</t>
  </si>
  <si>
    <t>AI 등 신기술 관심도</t>
  </si>
  <si>
    <t>AI 업무 활용 기대감</t>
  </si>
  <si>
    <t>AI 등 신기술 대응 및 성장 마인드</t>
  </si>
  <si>
    <t>AI 활용 커리어 개발 의지</t>
  </si>
  <si>
    <t>AI 활용 프로젝트 참여 의지</t>
  </si>
  <si>
    <t>AI 활용 직무 가치 창출 의지</t>
  </si>
  <si>
    <t>AI 교육훈련 업무 적용 의지</t>
  </si>
  <si>
    <t>AI 활용을 위한 협업 의지</t>
  </si>
  <si>
    <t>AI 활용 준비도</t>
  </si>
  <si>
    <t>AI 학습 환경 및 제도</t>
  </si>
  <si>
    <t xml:space="preserve">리더의 AI 활용 </t>
  </si>
  <si>
    <t>AI 활용 협업 구조</t>
  </si>
  <si>
    <t>AI 업무 활용 역량</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</si>
</sst>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0_);[Red]\(0.00\)"/>
  </numFmts>
  <fonts count="18">
    <font>
      <sz val="11"/>
      <color theme="1"/>
      <name val="맑은 고딕"/>
      <family val="2"/>
      <charset val="129"/>
      <scheme val="minor"/>
    </font>
    <font>
      <sz val="11"/>
      <color theme="1"/>
      <name val="맑은 고딕"/>
      <family val="2"/>
      <charset val="129"/>
      <scheme val="minor"/>
    </font>
    <font>
      <b/>
      <sz val="11"/>
      <name val="맑은 고딕"/>
      <family val="3"/>
      <charset val="129"/>
    </font>
    <font>
      <sz val="8"/>
      <name val="맑은 고딕"/>
      <family val="2"/>
      <charset val="129"/>
      <scheme val="minor"/>
    </font>
    <font>
      <b/>
      <sz val="11"/>
      <name val="맑은 고딕"/>
      <family val="2"/>
      <charset val="129"/>
      <scheme val="minor"/>
    </font>
    <font>
      <b/>
      <sz val="9"/>
      <name val="Arial"/>
      <family val="3"/>
    </font>
    <font>
      <b/>
      <sz val="9"/>
      <name val="맑은 고딕"/>
      <family val="3"/>
      <charset val="129"/>
    </font>
    <font>
      <b/>
      <sz val="9"/>
      <name val="Arial"/>
      <family val="2"/>
    </font>
    <font>
      <b/>
      <sz val="9"/>
      <name val="맑은 고딕"/>
      <family val="2"/>
      <charset val="129"/>
    </font>
    <font>
      <b/>
      <sz val="9"/>
      <name val="Arial"/>
      <family val="2"/>
      <charset val="129"/>
    </font>
    <font>
      <b/>
      <sz val="9"/>
      <name val="Arial"/>
      <family val="3"/>
      <charset val="129"/>
    </font>
    <font>
      <sz val="10"/>
      <name val="Arial"/>
      <family val="2"/>
    </font>
    <font>
      <sz val="10"/>
      <name val="Arial"/>
      <family val="3"/>
      <charset val="129"/>
    </font>
    <font>
      <sz val="10"/>
      <name val="맑은 고딕"/>
      <family val="3"/>
      <charset val="129"/>
    </font>
    <font>
      <sz val="10"/>
      <name val="맑은 고딕"/>
      <family val="2"/>
      <charset val="129"/>
    </font>
    <font>
      <b/>
      <sz val="9"/>
      <name val="Malgun Gothic"/>
      <family val="2"/>
      <charset val="129"/>
    </font>
    <font>
      <sz val="10"/>
      <color theme="1"/>
      <name val="맑은 고딕"/>
      <family val="3"/>
      <charset val="129"/>
      <scheme val="minor"/>
    </font>
    <font>
      <b/>
      <sz val="10"/>
      <color rgb="FFFFFF00"/>
      <name val="맑은 고딕"/>
      <family val="3"/>
      <charset val="129"/>
      <scheme val="minor"/>
    </font>
  </fonts>
  <fills count="19">
    <fill>
      <patternFill patternType="none"/>
    </fill>
    <fill>
      <patternFill patternType="gray125"/>
    </fill>
    <fill>
      <patternFill patternType="solid">
        <fgColor theme="3" tint="0.249977111117893"/>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4"/>
        <bgColor indexed="64"/>
      </patternFill>
    </fill>
    <fill>
      <patternFill patternType="solid">
        <fgColor theme="3" tint="0.49998474074526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3"/>
        <bgColor indexed="64"/>
      </patternFill>
    </fill>
    <fill>
      <patternFill patternType="solid">
        <fgColor theme="9"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7" borderId="1" xfId="0" applyFont="1" applyFill="1" applyBorder="1" applyAlignment="1">
      <alignment horizontal="center"/>
    </xf>
    <xf numFmtId="0" fontId="2"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4" borderId="2" xfId="0" applyFont="1" applyFill="1" applyBorder="1" applyAlignment="1">
      <alignment horizontal="center" vertical="center"/>
    </xf>
    <xf numFmtId="0" fontId="4" fillId="10" borderId="4" xfId="0" applyFont="1" applyFill="1" applyBorder="1" applyAlignment="1">
      <alignment horizontal="center"/>
    </xf>
    <xf numFmtId="0" fontId="7" fillId="11" borderId="1" xfId="0" applyFont="1" applyFill="1" applyBorder="1" applyAlignment="1">
      <alignment horizontal="center" vertical="center"/>
    </xf>
    <xf numFmtId="0" fontId="7" fillId="12" borderId="1" xfId="0" applyFont="1" applyFill="1" applyBorder="1" applyAlignment="1">
      <alignment horizontal="center" vertical="center"/>
    </xf>
    <xf numFmtId="0" fontId="2" fillId="13" borderId="1" xfId="0" applyFont="1" applyFill="1" applyBorder="1" applyAlignment="1">
      <alignment horizontal="center" vertical="center"/>
    </xf>
    <xf numFmtId="0" fontId="8" fillId="13" borderId="1" xfId="0" applyFont="1" applyFill="1" applyBorder="1" applyAlignment="1">
      <alignment horizontal="center" vertical="center"/>
    </xf>
    <xf numFmtId="0" fontId="6"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9" fillId="14" borderId="1" xfId="0" applyFont="1" applyFill="1" applyBorder="1" applyAlignment="1">
      <alignment horizontal="center" vertical="center"/>
    </xf>
    <xf numFmtId="0" fontId="7"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7" fillId="15" borderId="1" xfId="0" applyFont="1" applyFill="1" applyBorder="1" applyAlignment="1">
      <alignment horizontal="center" vertical="center"/>
    </xf>
    <xf numFmtId="0" fontId="7" fillId="16" borderId="1" xfId="0" applyFont="1" applyFill="1" applyBorder="1" applyAlignment="1">
      <alignment horizontal="center" vertical="center"/>
    </xf>
    <xf numFmtId="0" fontId="11" fillId="0" borderId="1" xfId="0" applyFont="1" applyBorder="1" applyAlignment="1">
      <alignment horizontal="center" vertical="center"/>
    </xf>
    <xf numFmtId="0" fontId="0" fillId="0" borderId="0" xfId="0" applyAlignment="1"/>
    <xf numFmtId="176" fontId="11" fillId="0" borderId="1" xfId="0" applyNumberFormat="1" applyFont="1" applyBorder="1" applyAlignment="1">
      <alignment horizontal="center" vertical="center"/>
    </xf>
    <xf numFmtId="0" fontId="12" fillId="0" borderId="1" xfId="0" applyFont="1" applyBorder="1" applyAlignment="1">
      <alignment horizontal="center" vertical="center"/>
    </xf>
    <xf numFmtId="0" fontId="7" fillId="14" borderId="0" xfId="0" applyFont="1" applyFill="1" applyAlignment="1">
      <alignment horizontal="center" vertical="center"/>
    </xf>
    <xf numFmtId="0" fontId="4" fillId="10" borderId="0" xfId="0" applyFont="1" applyFill="1" applyAlignment="1">
      <alignment horizontal="center"/>
    </xf>
    <xf numFmtId="0" fontId="0" fillId="0" borderId="1" xfId="0" applyBorder="1" applyAlignment="1"/>
    <xf numFmtId="177" fontId="0" fillId="0" borderId="0" xfId="0" applyNumberFormat="1" applyAlignment="1"/>
    <xf numFmtId="0" fontId="5" fillId="10" borderId="1" xfId="0" applyFont="1" applyFill="1" applyBorder="1" applyAlignment="1">
      <alignment horizontal="center" vertical="center"/>
    </xf>
    <xf numFmtId="177" fontId="0" fillId="0" borderId="1" xfId="0" applyNumberFormat="1" applyBorder="1" applyAlignment="1"/>
    <xf numFmtId="2" fontId="0" fillId="0" borderId="1" xfId="0" applyNumberFormat="1" applyBorder="1" applyAlignment="1"/>
    <xf numFmtId="0" fontId="15" fillId="14" borderId="1" xfId="0" applyFont="1" applyFill="1" applyBorder="1" applyAlignment="1">
      <alignment horizontal="center" vertical="center"/>
    </xf>
    <xf numFmtId="9" fontId="0" fillId="0" borderId="0" xfId="1" applyFont="1" applyAlignment="1"/>
    <xf numFmtId="0" fontId="16" fillId="0" borderId="0" xfId="0" applyFont="1" applyAlignment="1"/>
    <xf numFmtId="0" fontId="17" fillId="17" borderId="1" xfId="0" applyFont="1" applyFill="1" applyBorder="1" applyAlignment="1">
      <alignment horizontal="center"/>
    </xf>
    <xf numFmtId="0" fontId="16" fillId="0" borderId="1" xfId="0" applyFont="1" applyBorder="1" applyAlignment="1"/>
    <xf numFmtId="2" fontId="16" fillId="0" borderId="1" xfId="0" applyNumberFormat="1" applyFont="1" applyBorder="1" applyAlignment="1"/>
    <xf numFmtId="2" fontId="0" fillId="0" borderId="1" xfId="0" applyNumberFormat="1" applyBorder="1">
      <alignment vertical="center"/>
    </xf>
    <xf numFmtId="0" fontId="17" fillId="17" borderId="1" xfId="0" applyFont="1" applyFill="1" applyBorder="1" applyAlignment="1">
      <alignment horizontal="center" vertical="center"/>
    </xf>
    <xf numFmtId="0" fontId="0" fillId="0" borderId="1" xfId="0" applyBorder="1">
      <alignment vertical="center"/>
    </xf>
    <xf numFmtId="2" fontId="16" fillId="0" borderId="1" xfId="0" applyNumberFormat="1" applyFont="1" applyBorder="1">
      <alignment vertical="center"/>
    </xf>
    <xf numFmtId="0" fontId="17" fillId="17" borderId="8" xfId="0" applyFont="1" applyFill="1" applyBorder="1">
      <alignment vertical="center"/>
    </xf>
    <xf numFmtId="0" fontId="17" fillId="17" borderId="10" xfId="0" applyFont="1" applyFill="1" applyBorder="1">
      <alignment vertical="center"/>
    </xf>
    <xf numFmtId="0" fontId="17" fillId="17" borderId="6" xfId="0" applyFont="1" applyFill="1" applyBorder="1">
      <alignment vertical="center"/>
    </xf>
    <xf numFmtId="2" fontId="0" fillId="0" borderId="0" xfId="0" applyNumberFormat="1">
      <alignment vertical="center"/>
    </xf>
    <xf numFmtId="0" fontId="5" fillId="3" borderId="5" xfId="0" applyFont="1" applyFill="1" applyBorder="1" applyAlignment="1">
      <alignment horizontal="center" vertical="center"/>
    </xf>
    <xf numFmtId="0" fontId="5" fillId="3" borderId="0" xfId="0" applyFont="1" applyFill="1" applyAlignment="1">
      <alignment horizontal="center" vertical="center"/>
    </xf>
    <xf numFmtId="0" fontId="5" fillId="9" borderId="5" xfId="0" applyFont="1" applyFill="1" applyBorder="1" applyAlignment="1">
      <alignment horizontal="center" vertical="center"/>
    </xf>
    <xf numFmtId="0" fontId="5" fillId="9" borderId="0" xfId="0" applyFont="1" applyFill="1" applyAlignment="1">
      <alignment horizontal="center" vertical="center"/>
    </xf>
    <xf numFmtId="0" fontId="17" fillId="17" borderId="1" xfId="0" applyFont="1" applyFill="1" applyBorder="1" applyAlignment="1">
      <alignment horizontal="center" vertical="center"/>
    </xf>
    <xf numFmtId="0" fontId="17" fillId="17" borderId="8" xfId="0" applyFont="1" applyFill="1" applyBorder="1" applyAlignment="1">
      <alignment horizontal="center" vertical="center"/>
    </xf>
    <xf numFmtId="0" fontId="17" fillId="17" borderId="9" xfId="0" applyFont="1" applyFill="1" applyBorder="1" applyAlignment="1">
      <alignment horizontal="center" vertical="center"/>
    </xf>
    <xf numFmtId="0" fontId="17" fillId="17" borderId="10" xfId="0" applyFont="1" applyFill="1" applyBorder="1" applyAlignment="1">
      <alignment horizontal="center" vertical="center"/>
    </xf>
    <xf numFmtId="0" fontId="17" fillId="17" borderId="11" xfId="0" applyFont="1" applyFill="1" applyBorder="1" applyAlignment="1">
      <alignment horizontal="center" vertical="center"/>
    </xf>
    <xf numFmtId="0" fontId="5" fillId="5" borderId="1" xfId="0" applyFont="1" applyFill="1" applyBorder="1" applyAlignment="1">
      <alignment horizontal="center" vertical="center"/>
    </xf>
    <xf numFmtId="0" fontId="5" fillId="18" borderId="5" xfId="0" applyFont="1" applyFill="1" applyBorder="1" applyAlignment="1">
      <alignment horizontal="center" vertical="center"/>
    </xf>
    <xf numFmtId="0" fontId="5" fillId="18" borderId="0" xfId="0" applyFont="1" applyFill="1" applyAlignment="1">
      <alignment horizontal="center" vertical="center"/>
    </xf>
    <xf numFmtId="0" fontId="17" fillId="17" borderId="7" xfId="0" applyFont="1" applyFill="1" applyBorder="1" applyAlignment="1">
      <alignment horizontal="center" vertical="center"/>
    </xf>
    <xf numFmtId="0" fontId="4" fillId="2" borderId="1" xfId="0" applyFont="1" applyFill="1" applyBorder="1" applyAlignment="1">
      <alignment horizontal="center"/>
    </xf>
    <xf numFmtId="0" fontId="5" fillId="3" borderId="1" xfId="0" applyFont="1" applyFill="1" applyBorder="1" applyAlignment="1">
      <alignment horizontal="center" vertical="center"/>
    </xf>
    <xf numFmtId="0" fontId="4" fillId="6" borderId="1" xfId="0" applyFont="1" applyFill="1" applyBorder="1" applyAlignment="1">
      <alignment horizontal="center"/>
    </xf>
    <xf numFmtId="0" fontId="4" fillId="8" borderId="1" xfId="0" applyFont="1" applyFill="1" applyBorder="1" applyAlignment="1">
      <alignment horizontal="center"/>
    </xf>
    <xf numFmtId="0" fontId="5" fillId="9" borderId="1" xfId="0" applyFont="1" applyFill="1" applyBorder="1" applyAlignment="1">
      <alignment horizontal="center" vertical="center"/>
    </xf>
    <xf numFmtId="0" fontId="5" fillId="10" borderId="2" xfId="0" applyFont="1" applyFill="1" applyBorder="1" applyAlignment="1">
      <alignment horizontal="center" vertical="center"/>
    </xf>
    <xf numFmtId="0" fontId="5" fillId="10" borderId="3" xfId="0" applyFont="1" applyFill="1" applyBorder="1" applyAlignment="1">
      <alignment horizontal="center" vertical="center"/>
    </xf>
    <xf numFmtId="0" fontId="5" fillId="10" borderId="4" xfId="0" applyFont="1" applyFill="1" applyBorder="1" applyAlignment="1">
      <alignment horizontal="center" vertical="center"/>
    </xf>
    <xf numFmtId="0" fontId="4" fillId="10" borderId="2" xfId="0" applyFont="1" applyFill="1" applyBorder="1" applyAlignment="1">
      <alignment horizontal="center"/>
    </xf>
    <xf numFmtId="0" fontId="4" fillId="10" borderId="3" xfId="0" applyFont="1" applyFill="1" applyBorder="1" applyAlignment="1">
      <alignment horizontal="center"/>
    </xf>
    <xf numFmtId="0" fontId="4" fillId="10" borderId="4" xfId="0" applyFont="1" applyFill="1" applyBorder="1" applyAlignment="1">
      <alignment horizontal="center"/>
    </xf>
    <xf numFmtId="0" fontId="7" fillId="11" borderId="1" xfId="0" applyFont="1" applyFill="1" applyBorder="1" applyAlignment="1">
      <alignment horizontal="center" vertical="center"/>
    </xf>
  </cellXfs>
  <cellStyles count="2">
    <cellStyle name="백분율" xfId="1" builtinId="5"/>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Sheet7!$B$107</c:f>
              <c:strCache>
                <c:ptCount val="1"/>
                <c:pt idx="0">
                  <c:v>에이텍</c:v>
                </c:pt>
              </c:strCache>
            </c:strRef>
          </c:tx>
          <c:spPr>
            <a:ln w="28575" cap="rnd">
              <a:solidFill>
                <a:schemeClr val="accent1"/>
              </a:solidFill>
              <a:round/>
            </a:ln>
            <a:effectLst/>
          </c:spPr>
          <c:marker>
            <c:symbol val="none"/>
          </c:marker>
          <c:cat>
            <c:strRef>
              <c:f>Sheet7!$C$105:$F$105</c:f>
              <c:strCache>
                <c:ptCount val="4"/>
                <c:pt idx="0">
                  <c:v>AI 이해도 및 활용</c:v>
                </c:pt>
                <c:pt idx="1">
                  <c:v>AI 윤리 및 보안 인식</c:v>
                </c:pt>
                <c:pt idx="2">
                  <c:v>AI 활용 학습 및 성장 의지</c:v>
                </c:pt>
                <c:pt idx="3">
                  <c:v>조직 문화 및 협업 환경</c:v>
                </c:pt>
              </c:strCache>
            </c:strRef>
          </c:cat>
          <c:val>
            <c:numRef>
              <c:f>Sheet7!$C$107:$F$107</c:f>
              <c:numCache>
                <c:formatCode>0.00</c:formatCode>
                <c:ptCount val="4"/>
                <c:pt idx="0">
                  <c:v>2.7466666666666666</c:v>
                </c:pt>
                <c:pt idx="1">
                  <c:v>3.1616666666666671</c:v>
                </c:pt>
                <c:pt idx="2">
                  <c:v>3.5133333333333328</c:v>
                </c:pt>
                <c:pt idx="3">
                  <c:v>3.0213333333333332</c:v>
                </c:pt>
              </c:numCache>
            </c:numRef>
          </c:val>
          <c:extLst>
            <c:ext xmlns:c16="http://schemas.microsoft.com/office/drawing/2014/chart" uri="{C3380CC4-5D6E-409C-BE32-E72D297353CC}">
              <c16:uniqueId val="{00000000-27DF-4421-A907-4CFF4E8D1F89}"/>
            </c:ext>
          </c:extLst>
        </c:ser>
        <c:ser>
          <c:idx val="1"/>
          <c:order val="1"/>
          <c:tx>
            <c:strRef>
              <c:f>Sheet7!$B$108</c:f>
              <c:strCache>
                <c:ptCount val="1"/>
                <c:pt idx="0">
                  <c:v>에이텍모빌리티</c:v>
                </c:pt>
              </c:strCache>
            </c:strRef>
          </c:tx>
          <c:spPr>
            <a:ln w="28575" cap="rnd">
              <a:solidFill>
                <a:schemeClr val="accent2"/>
              </a:solidFill>
              <a:round/>
            </a:ln>
            <a:effectLst/>
          </c:spPr>
          <c:marker>
            <c:symbol val="none"/>
          </c:marker>
          <c:cat>
            <c:strRef>
              <c:f>Sheet7!$C$105:$F$105</c:f>
              <c:strCache>
                <c:ptCount val="4"/>
                <c:pt idx="0">
                  <c:v>AI 이해도 및 활용</c:v>
                </c:pt>
                <c:pt idx="1">
                  <c:v>AI 윤리 및 보안 인식</c:v>
                </c:pt>
                <c:pt idx="2">
                  <c:v>AI 활용 학습 및 성장 의지</c:v>
                </c:pt>
                <c:pt idx="3">
                  <c:v>조직 문화 및 협업 환경</c:v>
                </c:pt>
              </c:strCache>
            </c:strRef>
          </c:cat>
          <c:val>
            <c:numRef>
              <c:f>Sheet7!$C$108:$F$108</c:f>
              <c:numCache>
                <c:formatCode>0.00</c:formatCode>
                <c:ptCount val="4"/>
                <c:pt idx="0">
                  <c:v>2.9523809523809526</c:v>
                </c:pt>
                <c:pt idx="1">
                  <c:v>3.3107142857142855</c:v>
                </c:pt>
                <c:pt idx="2">
                  <c:v>3.6999999999999997</c:v>
                </c:pt>
                <c:pt idx="3">
                  <c:v>3.1114285714285712</c:v>
                </c:pt>
              </c:numCache>
            </c:numRef>
          </c:val>
          <c:extLst>
            <c:ext xmlns:c16="http://schemas.microsoft.com/office/drawing/2014/chart" uri="{C3380CC4-5D6E-409C-BE32-E72D297353CC}">
              <c16:uniqueId val="{00000001-27DF-4421-A907-4CFF4E8D1F89}"/>
            </c:ext>
          </c:extLst>
        </c:ser>
        <c:ser>
          <c:idx val="2"/>
          <c:order val="2"/>
          <c:tx>
            <c:strRef>
              <c:f>Sheet7!$B$109</c:f>
              <c:strCache>
                <c:ptCount val="1"/>
                <c:pt idx="0">
                  <c:v>에이텍시스템</c:v>
                </c:pt>
              </c:strCache>
            </c:strRef>
          </c:tx>
          <c:spPr>
            <a:ln w="28575" cap="rnd">
              <a:solidFill>
                <a:schemeClr val="accent3"/>
              </a:solidFill>
              <a:round/>
            </a:ln>
            <a:effectLst/>
          </c:spPr>
          <c:marker>
            <c:symbol val="none"/>
          </c:marker>
          <c:cat>
            <c:strRef>
              <c:f>Sheet7!$C$105:$F$105</c:f>
              <c:strCache>
                <c:ptCount val="4"/>
                <c:pt idx="0">
                  <c:v>AI 이해도 및 활용</c:v>
                </c:pt>
                <c:pt idx="1">
                  <c:v>AI 윤리 및 보안 인식</c:v>
                </c:pt>
                <c:pt idx="2">
                  <c:v>AI 활용 학습 및 성장 의지</c:v>
                </c:pt>
                <c:pt idx="3">
                  <c:v>조직 문화 및 협업 환경</c:v>
                </c:pt>
              </c:strCache>
            </c:strRef>
          </c:cat>
          <c:val>
            <c:numRef>
              <c:f>Sheet7!$C$109:$F$109</c:f>
              <c:numCache>
                <c:formatCode>0.00</c:formatCode>
                <c:ptCount val="4"/>
                <c:pt idx="0">
                  <c:v>2.8361111111111117</c:v>
                </c:pt>
                <c:pt idx="1">
                  <c:v>3.3583333333333334</c:v>
                </c:pt>
                <c:pt idx="2">
                  <c:v>3.5904761904761915</c:v>
                </c:pt>
                <c:pt idx="3">
                  <c:v>3.043333333333333</c:v>
                </c:pt>
              </c:numCache>
            </c:numRef>
          </c:val>
          <c:extLst>
            <c:ext xmlns:c16="http://schemas.microsoft.com/office/drawing/2014/chart" uri="{C3380CC4-5D6E-409C-BE32-E72D297353CC}">
              <c16:uniqueId val="{00000002-27DF-4421-A907-4CFF4E8D1F89}"/>
            </c:ext>
          </c:extLst>
        </c:ser>
        <c:ser>
          <c:idx val="3"/>
          <c:order val="3"/>
          <c:tx>
            <c:strRef>
              <c:f>Sheet7!$B$110</c:f>
              <c:strCache>
                <c:ptCount val="1"/>
                <c:pt idx="0">
                  <c:v>에이텍씨엔</c:v>
                </c:pt>
              </c:strCache>
            </c:strRef>
          </c:tx>
          <c:spPr>
            <a:ln w="28575" cap="rnd">
              <a:solidFill>
                <a:schemeClr val="accent4"/>
              </a:solidFill>
              <a:round/>
            </a:ln>
            <a:effectLst/>
          </c:spPr>
          <c:marker>
            <c:symbol val="none"/>
          </c:marker>
          <c:cat>
            <c:strRef>
              <c:f>Sheet7!$C$105:$F$105</c:f>
              <c:strCache>
                <c:ptCount val="4"/>
                <c:pt idx="0">
                  <c:v>AI 이해도 및 활용</c:v>
                </c:pt>
                <c:pt idx="1">
                  <c:v>AI 윤리 및 보안 인식</c:v>
                </c:pt>
                <c:pt idx="2">
                  <c:v>AI 활용 학습 및 성장 의지</c:v>
                </c:pt>
                <c:pt idx="3">
                  <c:v>조직 문화 및 협업 환경</c:v>
                </c:pt>
              </c:strCache>
            </c:strRef>
          </c:cat>
          <c:val>
            <c:numRef>
              <c:f>Sheet7!$C$110:$F$110</c:f>
              <c:numCache>
                <c:formatCode>0.00</c:formatCode>
                <c:ptCount val="4"/>
                <c:pt idx="0">
                  <c:v>2.7426666666666666</c:v>
                </c:pt>
                <c:pt idx="1">
                  <c:v>3.2380000000000004</c:v>
                </c:pt>
                <c:pt idx="2">
                  <c:v>3.3645714285714283</c:v>
                </c:pt>
                <c:pt idx="3">
                  <c:v>3.0479999999999996</c:v>
                </c:pt>
              </c:numCache>
            </c:numRef>
          </c:val>
          <c:extLst>
            <c:ext xmlns:c16="http://schemas.microsoft.com/office/drawing/2014/chart" uri="{C3380CC4-5D6E-409C-BE32-E72D297353CC}">
              <c16:uniqueId val="{00000003-27DF-4421-A907-4CFF4E8D1F89}"/>
            </c:ext>
          </c:extLst>
        </c:ser>
        <c:ser>
          <c:idx val="4"/>
          <c:order val="4"/>
          <c:tx>
            <c:strRef>
              <c:f>Sheet7!$B$111</c:f>
              <c:strCache>
                <c:ptCount val="1"/>
                <c:pt idx="0">
                  <c:v>에이텍오토</c:v>
                </c:pt>
              </c:strCache>
            </c:strRef>
          </c:tx>
          <c:spPr>
            <a:ln w="28575" cap="rnd">
              <a:solidFill>
                <a:schemeClr val="accent5"/>
              </a:solidFill>
              <a:round/>
            </a:ln>
            <a:effectLst/>
          </c:spPr>
          <c:marker>
            <c:symbol val="none"/>
          </c:marker>
          <c:cat>
            <c:strRef>
              <c:f>Sheet7!$C$105:$F$105</c:f>
              <c:strCache>
                <c:ptCount val="4"/>
                <c:pt idx="0">
                  <c:v>AI 이해도 및 활용</c:v>
                </c:pt>
                <c:pt idx="1">
                  <c:v>AI 윤리 및 보안 인식</c:v>
                </c:pt>
                <c:pt idx="2">
                  <c:v>AI 활용 학습 및 성장 의지</c:v>
                </c:pt>
                <c:pt idx="3">
                  <c:v>조직 문화 및 협업 환경</c:v>
                </c:pt>
              </c:strCache>
            </c:strRef>
          </c:cat>
          <c:val>
            <c:numRef>
              <c:f>Sheet7!$C$111:$F$111</c:f>
              <c:numCache>
                <c:formatCode>0.00</c:formatCode>
                <c:ptCount val="4"/>
                <c:pt idx="0">
                  <c:v>3.06</c:v>
                </c:pt>
                <c:pt idx="1">
                  <c:v>3.51</c:v>
                </c:pt>
                <c:pt idx="2">
                  <c:v>4.1485714285714286</c:v>
                </c:pt>
                <c:pt idx="3">
                  <c:v>3.3519999999999994</c:v>
                </c:pt>
              </c:numCache>
            </c:numRef>
          </c:val>
          <c:extLst>
            <c:ext xmlns:c16="http://schemas.microsoft.com/office/drawing/2014/chart" uri="{C3380CC4-5D6E-409C-BE32-E72D297353CC}">
              <c16:uniqueId val="{00000004-27DF-4421-A907-4CFF4E8D1F89}"/>
            </c:ext>
          </c:extLst>
        </c:ser>
        <c:ser>
          <c:idx val="5"/>
          <c:order val="5"/>
          <c:tx>
            <c:strRef>
              <c:f>Sheet7!$B$112</c:f>
              <c:strCache>
                <c:ptCount val="1"/>
                <c:pt idx="0">
                  <c:v>에이텍컴퓨터</c:v>
                </c:pt>
              </c:strCache>
            </c:strRef>
          </c:tx>
          <c:spPr>
            <a:ln w="28575" cap="rnd">
              <a:solidFill>
                <a:schemeClr val="accent6"/>
              </a:solidFill>
              <a:round/>
            </a:ln>
            <a:effectLst/>
          </c:spPr>
          <c:marker>
            <c:symbol val="none"/>
          </c:marker>
          <c:cat>
            <c:strRef>
              <c:f>Sheet7!$C$105:$F$105</c:f>
              <c:strCache>
                <c:ptCount val="4"/>
                <c:pt idx="0">
                  <c:v>AI 이해도 및 활용</c:v>
                </c:pt>
                <c:pt idx="1">
                  <c:v>AI 윤리 및 보안 인식</c:v>
                </c:pt>
                <c:pt idx="2">
                  <c:v>AI 활용 학습 및 성장 의지</c:v>
                </c:pt>
                <c:pt idx="3">
                  <c:v>조직 문화 및 협업 환경</c:v>
                </c:pt>
              </c:strCache>
            </c:strRef>
          </c:cat>
          <c:val>
            <c:numRef>
              <c:f>Sheet7!$C$112:$F$112</c:f>
              <c:numCache>
                <c:formatCode>0.00</c:formatCode>
                <c:ptCount val="4"/>
                <c:pt idx="0">
                  <c:v>2.9807692307692304</c:v>
                </c:pt>
                <c:pt idx="1">
                  <c:v>3.3461538461538458</c:v>
                </c:pt>
                <c:pt idx="2">
                  <c:v>3.6758241758241756</c:v>
                </c:pt>
                <c:pt idx="3">
                  <c:v>3.1769230769230767</c:v>
                </c:pt>
              </c:numCache>
            </c:numRef>
          </c:val>
          <c:extLst>
            <c:ext xmlns:c16="http://schemas.microsoft.com/office/drawing/2014/chart" uri="{C3380CC4-5D6E-409C-BE32-E72D297353CC}">
              <c16:uniqueId val="{00000005-27DF-4421-A907-4CFF4E8D1F89}"/>
            </c:ext>
          </c:extLst>
        </c:ser>
        <c:dLbls>
          <c:showLegendKey val="0"/>
          <c:showVal val="0"/>
          <c:showCatName val="0"/>
          <c:showSerName val="0"/>
          <c:showPercent val="0"/>
          <c:showBubbleSize val="0"/>
        </c:dLbls>
        <c:axId val="2008442991"/>
        <c:axId val="2008430511"/>
      </c:radarChart>
      <c:catAx>
        <c:axId val="200844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008430511"/>
        <c:crosses val="autoZero"/>
        <c:auto val="1"/>
        <c:lblAlgn val="ctr"/>
        <c:lblOffset val="100"/>
        <c:noMultiLvlLbl val="0"/>
      </c:catAx>
      <c:valAx>
        <c:axId val="2008430511"/>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008442991"/>
        <c:crosses val="autoZero"/>
        <c:crossBetween val="between"/>
        <c:majorUnit val="1"/>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845251</xdr:colOff>
      <xdr:row>103</xdr:row>
      <xdr:rowOff>2570</xdr:rowOff>
    </xdr:from>
    <xdr:to>
      <xdr:col>15</xdr:col>
      <xdr:colOff>665421</xdr:colOff>
      <xdr:row>129</xdr:row>
      <xdr:rowOff>122670</xdr:rowOff>
    </xdr:to>
    <xdr:graphicFrame macro="">
      <xdr:nvGraphicFramePr>
        <xdr:cNvPr id="7" name="차트 6">
          <a:extLst>
            <a:ext uri="{FF2B5EF4-FFF2-40B4-BE49-F238E27FC236}">
              <a16:creationId xmlns:a16="http://schemas.microsoft.com/office/drawing/2014/main" id="{79F0E6CE-A75C-010F-729A-5B540E70A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465E5-F728-4CC0-B684-76DDB21A5B79}">
  <dimension ref="A1:Y112"/>
  <sheetViews>
    <sheetView tabSelected="1" topLeftCell="A88" zoomScale="55" zoomScaleNormal="55" workbookViewId="0">
      <selection activeCell="W23" sqref="W23"/>
    </sheetView>
  </sheetViews>
  <sheetFormatPr defaultRowHeight="16.899999999999999"/>
  <cols>
    <col min="1" max="8" width="15.75" customWidth="1"/>
    <col min="9" max="24" width="11.8125" bestFit="1" customWidth="1"/>
  </cols>
  <sheetData>
    <row r="1" spans="1:18">
      <c r="A1" s="47" t="s">
        <v>2</v>
      </c>
      <c r="B1" s="48"/>
      <c r="C1" s="48"/>
      <c r="D1" s="48"/>
      <c r="E1" s="48"/>
      <c r="F1" s="48"/>
      <c r="G1" s="48"/>
      <c r="H1" s="48"/>
    </row>
    <row r="2" spans="1:18">
      <c r="A2" s="49" t="s">
        <v>8</v>
      </c>
      <c r="B2" s="50"/>
      <c r="C2" s="50"/>
      <c r="D2" s="50"/>
      <c r="E2" s="50"/>
      <c r="F2" s="50"/>
      <c r="G2" s="50"/>
      <c r="H2" s="50"/>
    </row>
    <row r="3" spans="1:18">
      <c r="A3" s="49" t="s">
        <v>1513</v>
      </c>
      <c r="B3" s="50"/>
      <c r="C3" s="50"/>
      <c r="D3" s="50"/>
      <c r="E3" s="50"/>
      <c r="F3" s="50"/>
      <c r="G3" s="50"/>
      <c r="H3" s="50"/>
    </row>
    <row r="5" spans="1:18">
      <c r="A5" s="36" t="s">
        <v>0</v>
      </c>
      <c r="B5" s="36" t="s">
        <v>1506</v>
      </c>
      <c r="C5" s="36" t="s">
        <v>1507</v>
      </c>
      <c r="D5" s="36" t="s">
        <v>1508</v>
      </c>
      <c r="E5" s="36" t="s">
        <v>1509</v>
      </c>
      <c r="F5" s="36" t="s">
        <v>1510</v>
      </c>
      <c r="G5" s="36" t="s">
        <v>1511</v>
      </c>
      <c r="H5" s="36" t="s">
        <v>1512</v>
      </c>
    </row>
    <row r="6" spans="1:18">
      <c r="A6" s="37" t="s">
        <v>80</v>
      </c>
      <c r="B6" s="37">
        <v>181</v>
      </c>
      <c r="C6" s="37">
        <v>54</v>
      </c>
      <c r="D6" s="37">
        <v>26</v>
      </c>
      <c r="E6" s="37">
        <v>27</v>
      </c>
      <c r="F6" s="37">
        <v>52</v>
      </c>
      <c r="G6" s="37">
        <v>8</v>
      </c>
      <c r="H6" s="37">
        <v>14</v>
      </c>
    </row>
    <row r="7" spans="1:18">
      <c r="A7" s="37" t="s">
        <v>129</v>
      </c>
      <c r="B7" s="37">
        <v>66</v>
      </c>
      <c r="C7" s="37">
        <v>25</v>
      </c>
      <c r="D7" s="37">
        <v>8</v>
      </c>
      <c r="E7" s="37">
        <v>8</v>
      </c>
      <c r="F7" s="37">
        <v>22</v>
      </c>
      <c r="G7" s="37">
        <v>1</v>
      </c>
      <c r="H7" s="37">
        <v>2</v>
      </c>
    </row>
    <row r="8" spans="1:18">
      <c r="A8" s="37" t="s">
        <v>96</v>
      </c>
      <c r="B8" s="37">
        <v>64</v>
      </c>
      <c r="C8" s="37">
        <v>25</v>
      </c>
      <c r="D8" s="37">
        <v>7</v>
      </c>
      <c r="E8" s="37">
        <v>9</v>
      </c>
      <c r="F8" s="37">
        <v>20</v>
      </c>
      <c r="G8" s="37">
        <v>2</v>
      </c>
      <c r="H8" s="37">
        <v>1</v>
      </c>
    </row>
    <row r="9" spans="1:18">
      <c r="A9" s="37" t="s">
        <v>57</v>
      </c>
      <c r="B9" s="37">
        <v>145</v>
      </c>
      <c r="C9" s="37">
        <v>46</v>
      </c>
      <c r="D9" s="37">
        <v>29</v>
      </c>
      <c r="E9" s="37">
        <v>16</v>
      </c>
      <c r="F9" s="37">
        <v>31</v>
      </c>
      <c r="G9" s="37">
        <v>14</v>
      </c>
      <c r="H9" s="37">
        <v>9</v>
      </c>
    </row>
    <row r="10" spans="1:18">
      <c r="A10" s="37" t="s">
        <v>1505</v>
      </c>
      <c r="B10" s="37">
        <v>456</v>
      </c>
      <c r="C10" s="37">
        <v>150</v>
      </c>
      <c r="D10" s="37">
        <v>70</v>
      </c>
      <c r="E10" s="37">
        <v>60</v>
      </c>
      <c r="F10" s="37">
        <v>125</v>
      </c>
      <c r="G10" s="37">
        <v>25</v>
      </c>
      <c r="H10" s="37">
        <v>26</v>
      </c>
    </row>
    <row r="13" spans="1:18">
      <c r="A13" s="49" t="s">
        <v>1514</v>
      </c>
      <c r="B13" s="50"/>
      <c r="C13" s="50"/>
      <c r="D13" s="50"/>
      <c r="E13" s="50"/>
      <c r="F13" s="50"/>
      <c r="G13" s="50"/>
      <c r="H13" s="50"/>
    </row>
    <row r="15" spans="1:18">
      <c r="H15" t="s">
        <v>1491</v>
      </c>
      <c r="N15" t="s">
        <v>1518</v>
      </c>
    </row>
    <row r="16" spans="1:18">
      <c r="A16" s="40" t="s">
        <v>0</v>
      </c>
      <c r="B16" s="40"/>
      <c r="C16" s="40" t="s">
        <v>1515</v>
      </c>
      <c r="D16" s="40" t="s">
        <v>1516</v>
      </c>
      <c r="E16" s="40" t="s">
        <v>1517</v>
      </c>
      <c r="F16" s="40" t="s">
        <v>1519</v>
      </c>
      <c r="H16" s="36" t="s">
        <v>0</v>
      </c>
      <c r="I16" s="36" t="s">
        <v>1515</v>
      </c>
      <c r="J16" s="36" t="s">
        <v>1516</v>
      </c>
      <c r="K16" s="36" t="s">
        <v>1517</v>
      </c>
      <c r="L16" s="36" t="s">
        <v>1519</v>
      </c>
      <c r="N16" s="36" t="s">
        <v>0</v>
      </c>
      <c r="O16" s="36" t="s">
        <v>1515</v>
      </c>
      <c r="P16" s="36" t="s">
        <v>1516</v>
      </c>
      <c r="Q16" s="36" t="s">
        <v>1517</v>
      </c>
      <c r="R16" s="36" t="s">
        <v>1519</v>
      </c>
    </row>
    <row r="17" spans="1:18">
      <c r="A17" s="51" t="s">
        <v>1506</v>
      </c>
      <c r="B17" s="41" t="s">
        <v>1491</v>
      </c>
      <c r="C17" s="42">
        <v>2.9342105263157894</v>
      </c>
      <c r="D17" s="42">
        <v>2.3157894736842106</v>
      </c>
      <c r="E17" s="42">
        <v>1.9714912280701755</v>
      </c>
      <c r="F17" s="39">
        <f>AVERAGE(C17:E17)</f>
        <v>2.4071637426900585</v>
      </c>
      <c r="H17" s="36" t="s">
        <v>1506</v>
      </c>
      <c r="I17" s="38">
        <v>2.9342105263157894</v>
      </c>
      <c r="J17" s="38">
        <v>2.3157894736842106</v>
      </c>
      <c r="K17" s="38">
        <v>1.9714912280701755</v>
      </c>
      <c r="L17" s="39">
        <f>AVERAGE(I17:K17)</f>
        <v>2.4071637426900585</v>
      </c>
      <c r="N17" s="36" t="s">
        <v>1506</v>
      </c>
      <c r="O17" s="38">
        <v>1.2350435466713987</v>
      </c>
      <c r="P17" s="38">
        <v>1.1450095405231142</v>
      </c>
      <c r="Q17" s="38">
        <v>1.0105263408922944</v>
      </c>
      <c r="R17" s="39">
        <f>AVERAGE(O17:Q17)</f>
        <v>1.1301931426956024</v>
      </c>
    </row>
    <row r="18" spans="1:18">
      <c r="A18" s="51"/>
      <c r="B18" s="41" t="s">
        <v>1518</v>
      </c>
      <c r="C18" s="42">
        <v>1.2350435466713987</v>
      </c>
      <c r="D18" s="42">
        <v>1.1450095405231142</v>
      </c>
      <c r="E18" s="42">
        <v>1.0105263408922944</v>
      </c>
      <c r="F18" s="39">
        <f t="shared" ref="F18:F30" si="0">AVERAGE(C18:E18)</f>
        <v>1.1301931426956024</v>
      </c>
      <c r="H18" s="36" t="s">
        <v>1507</v>
      </c>
      <c r="I18" s="38">
        <v>2.88</v>
      </c>
      <c r="J18" s="38">
        <v>2.2933333333333334</v>
      </c>
      <c r="K18" s="38">
        <v>1.9333333333333333</v>
      </c>
      <c r="L18" s="39">
        <f t="shared" ref="L18:L23" si="1">AVERAGE(I18:K18)</f>
        <v>2.3688888888888893</v>
      </c>
      <c r="N18" s="36" t="s">
        <v>1507</v>
      </c>
      <c r="O18" s="38">
        <v>1.2365789569528194</v>
      </c>
      <c r="P18" s="38">
        <v>1.1383885152412201</v>
      </c>
      <c r="Q18" s="38">
        <v>0.93884597636556333</v>
      </c>
      <c r="R18" s="39">
        <f t="shared" ref="R18:R23" si="2">AVERAGE(O18:Q18)</f>
        <v>1.1046044828532009</v>
      </c>
    </row>
    <row r="19" spans="1:18">
      <c r="A19" s="51" t="s">
        <v>1507</v>
      </c>
      <c r="B19" s="41" t="s">
        <v>1491</v>
      </c>
      <c r="C19" s="42">
        <v>2.88</v>
      </c>
      <c r="D19" s="42">
        <v>2.2933333333333334</v>
      </c>
      <c r="E19" s="42">
        <v>1.9333333333333333</v>
      </c>
      <c r="F19" s="39">
        <f t="shared" si="0"/>
        <v>2.3688888888888893</v>
      </c>
      <c r="H19" s="36" t="s">
        <v>1508</v>
      </c>
      <c r="I19" s="38">
        <v>2.9714285714285715</v>
      </c>
      <c r="J19" s="38">
        <v>2.4142857142857141</v>
      </c>
      <c r="K19" s="38">
        <v>1.9857142857142858</v>
      </c>
      <c r="L19" s="39">
        <f t="shared" si="1"/>
        <v>2.4571428571428573</v>
      </c>
      <c r="N19" s="36" t="s">
        <v>1508</v>
      </c>
      <c r="O19" s="38">
        <v>1.2273623016296771</v>
      </c>
      <c r="P19" s="38">
        <v>1.2567828394715064</v>
      </c>
      <c r="Q19" s="38">
        <v>1.1356267138132554</v>
      </c>
      <c r="R19" s="39">
        <f t="shared" si="2"/>
        <v>1.206590618304813</v>
      </c>
    </row>
    <row r="20" spans="1:18">
      <c r="A20" s="51"/>
      <c r="B20" s="41" t="s">
        <v>1518</v>
      </c>
      <c r="C20" s="42">
        <v>1.2365789569528194</v>
      </c>
      <c r="D20" s="42">
        <v>1.1383885152412201</v>
      </c>
      <c r="E20" s="42">
        <v>0.93884597636556333</v>
      </c>
      <c r="F20" s="39">
        <f t="shared" si="0"/>
        <v>1.1046044828532009</v>
      </c>
      <c r="H20" s="36" t="s">
        <v>1509</v>
      </c>
      <c r="I20" s="38">
        <v>2.95</v>
      </c>
      <c r="J20" s="38">
        <v>2.25</v>
      </c>
      <c r="K20" s="38">
        <v>1.8666666666666667</v>
      </c>
      <c r="L20" s="39">
        <f t="shared" si="1"/>
        <v>2.3555555555555556</v>
      </c>
      <c r="N20" s="36" t="s">
        <v>1509</v>
      </c>
      <c r="O20" s="38">
        <v>1.1850051848559962</v>
      </c>
      <c r="P20" s="38">
        <v>1.0353906983864036</v>
      </c>
      <c r="Q20" s="38">
        <v>0.81233429427158721</v>
      </c>
      <c r="R20" s="39">
        <f t="shared" si="2"/>
        <v>1.0109100591713291</v>
      </c>
    </row>
    <row r="21" spans="1:18">
      <c r="A21" s="51" t="s">
        <v>1508</v>
      </c>
      <c r="B21" s="41" t="s">
        <v>1491</v>
      </c>
      <c r="C21" s="42">
        <v>2.9714285714285715</v>
      </c>
      <c r="D21" s="42">
        <v>2.4142857142857141</v>
      </c>
      <c r="E21" s="42">
        <v>1.9857142857142858</v>
      </c>
      <c r="F21" s="39">
        <f t="shared" si="0"/>
        <v>2.4571428571428573</v>
      </c>
      <c r="H21" s="36" t="s">
        <v>1510</v>
      </c>
      <c r="I21" s="38">
        <v>2.8959999999999999</v>
      </c>
      <c r="J21" s="38">
        <v>2.2080000000000002</v>
      </c>
      <c r="K21" s="38">
        <v>2.008</v>
      </c>
      <c r="L21" s="39">
        <f t="shared" si="1"/>
        <v>2.3706666666666667</v>
      </c>
      <c r="N21" s="36" t="s">
        <v>1510</v>
      </c>
      <c r="O21" s="38">
        <v>1.2432008635360472</v>
      </c>
      <c r="P21" s="38">
        <v>1.1309145599626365</v>
      </c>
      <c r="Q21" s="38">
        <v>1.0738534771199377</v>
      </c>
      <c r="R21" s="39">
        <f t="shared" si="2"/>
        <v>1.1493229668728739</v>
      </c>
    </row>
    <row r="22" spans="1:18">
      <c r="A22" s="51"/>
      <c r="B22" s="41" t="s">
        <v>1518</v>
      </c>
      <c r="C22" s="42">
        <v>1.2273623016296771</v>
      </c>
      <c r="D22" s="42">
        <v>1.2567828394715064</v>
      </c>
      <c r="E22" s="42">
        <v>1.1356267138132554</v>
      </c>
      <c r="F22" s="39">
        <f t="shared" si="0"/>
        <v>1.206590618304813</v>
      </c>
      <c r="H22" s="36" t="s">
        <v>1511</v>
      </c>
      <c r="I22" s="38">
        <v>3.16</v>
      </c>
      <c r="J22" s="38">
        <v>2.6</v>
      </c>
      <c r="K22" s="38">
        <v>2.04</v>
      </c>
      <c r="L22" s="39">
        <f t="shared" si="1"/>
        <v>2.6</v>
      </c>
      <c r="N22" s="36" t="s">
        <v>1511</v>
      </c>
      <c r="O22" s="38">
        <v>1.4047538337136987</v>
      </c>
      <c r="P22" s="38">
        <v>1.2909944487358056</v>
      </c>
      <c r="Q22" s="38">
        <v>1.171893055416463</v>
      </c>
      <c r="R22" s="39">
        <f t="shared" si="2"/>
        <v>1.2892137792886558</v>
      </c>
    </row>
    <row r="23" spans="1:18">
      <c r="A23" s="51" t="s">
        <v>1509</v>
      </c>
      <c r="B23" s="41" t="s">
        <v>1491</v>
      </c>
      <c r="C23" s="42">
        <v>2.95</v>
      </c>
      <c r="D23" s="42">
        <v>2.25</v>
      </c>
      <c r="E23" s="42">
        <v>1.8666666666666667</v>
      </c>
      <c r="F23" s="39">
        <f t="shared" si="0"/>
        <v>2.3555555555555556</v>
      </c>
      <c r="H23" s="36" t="s">
        <v>1512</v>
      </c>
      <c r="I23" s="38">
        <v>3.0769230769230771</v>
      </c>
      <c r="J23" s="38">
        <v>2.5769230769230771</v>
      </c>
      <c r="K23" s="38">
        <v>2.1538461538461537</v>
      </c>
      <c r="L23" s="39">
        <f t="shared" si="1"/>
        <v>2.6025641025641026</v>
      </c>
      <c r="N23" s="36" t="s">
        <v>1512</v>
      </c>
      <c r="O23" s="38">
        <v>1.2303845552696742</v>
      </c>
      <c r="P23" s="38">
        <v>1.0265700920278915</v>
      </c>
      <c r="Q23" s="38">
        <v>1.0466062370273814</v>
      </c>
      <c r="R23" s="39">
        <f t="shared" si="2"/>
        <v>1.101186961441649</v>
      </c>
    </row>
    <row r="24" spans="1:18">
      <c r="A24" s="51"/>
      <c r="B24" s="41" t="s">
        <v>1518</v>
      </c>
      <c r="C24" s="42">
        <v>1.1850051848559962</v>
      </c>
      <c r="D24" s="42">
        <v>1.0353906983864036</v>
      </c>
      <c r="E24" s="42">
        <v>0.81233429427158721</v>
      </c>
      <c r="F24" s="39">
        <f t="shared" si="0"/>
        <v>1.0109100591713291</v>
      </c>
      <c r="H24" s="35"/>
      <c r="I24" s="35"/>
      <c r="J24" s="35"/>
      <c r="N24" s="35"/>
      <c r="O24" s="35"/>
      <c r="P24" s="35"/>
    </row>
    <row r="25" spans="1:18">
      <c r="A25" s="51" t="s">
        <v>1510</v>
      </c>
      <c r="B25" s="41" t="s">
        <v>1491</v>
      </c>
      <c r="C25" s="42">
        <v>2.8959999999999999</v>
      </c>
      <c r="D25" s="42">
        <v>2.2080000000000002</v>
      </c>
      <c r="E25" s="42">
        <v>2.008</v>
      </c>
      <c r="F25" s="39">
        <f t="shared" si="0"/>
        <v>2.3706666666666667</v>
      </c>
    </row>
    <row r="26" spans="1:18">
      <c r="A26" s="51"/>
      <c r="B26" s="41" t="s">
        <v>1518</v>
      </c>
      <c r="C26" s="42">
        <v>1.2432008635360472</v>
      </c>
      <c r="D26" s="42">
        <v>1.1309145599626365</v>
      </c>
      <c r="E26" s="42">
        <v>1.0738534771199377</v>
      </c>
      <c r="F26" s="39">
        <f t="shared" si="0"/>
        <v>1.1493229668728739</v>
      </c>
      <c r="H26" s="35"/>
      <c r="I26" s="35"/>
      <c r="J26" s="35"/>
      <c r="N26" s="35"/>
      <c r="O26" s="35"/>
      <c r="P26" s="35"/>
    </row>
    <row r="27" spans="1:18">
      <c r="A27" s="51" t="s">
        <v>1511</v>
      </c>
      <c r="B27" s="41" t="s">
        <v>1491</v>
      </c>
      <c r="C27" s="42">
        <v>3.16</v>
      </c>
      <c r="D27" s="42">
        <v>2.6</v>
      </c>
      <c r="E27" s="42">
        <v>2.04</v>
      </c>
      <c r="F27" s="39">
        <f t="shared" si="0"/>
        <v>2.6</v>
      </c>
    </row>
    <row r="28" spans="1:18">
      <c r="A28" s="51"/>
      <c r="B28" s="41" t="s">
        <v>1518</v>
      </c>
      <c r="C28" s="42">
        <v>1.4047538337136987</v>
      </c>
      <c r="D28" s="42">
        <v>1.2909944487358056</v>
      </c>
      <c r="E28" s="42">
        <v>1.171893055416463</v>
      </c>
      <c r="F28" s="39">
        <f t="shared" si="0"/>
        <v>1.2892137792886558</v>
      </c>
      <c r="H28" s="35"/>
      <c r="I28" s="35"/>
      <c r="J28" s="35"/>
      <c r="N28" s="35"/>
      <c r="O28" s="35"/>
      <c r="P28" s="35"/>
    </row>
    <row r="29" spans="1:18">
      <c r="A29" s="51" t="s">
        <v>1512</v>
      </c>
      <c r="B29" s="41" t="s">
        <v>1491</v>
      </c>
      <c r="C29" s="42">
        <v>3.0769230769230771</v>
      </c>
      <c r="D29" s="42">
        <v>2.5769230769230771</v>
      </c>
      <c r="E29" s="42">
        <v>2.1538461538461537</v>
      </c>
      <c r="F29" s="39">
        <f t="shared" si="0"/>
        <v>2.6025641025641026</v>
      </c>
    </row>
    <row r="30" spans="1:18">
      <c r="A30" s="51"/>
      <c r="B30" s="41" t="s">
        <v>1518</v>
      </c>
      <c r="C30" s="42">
        <v>1.2303845552696742</v>
      </c>
      <c r="D30" s="42">
        <v>1.0265700920278915</v>
      </c>
      <c r="E30" s="42">
        <v>1.0466062370273814</v>
      </c>
      <c r="F30" s="39">
        <f t="shared" si="0"/>
        <v>1.101186961441649</v>
      </c>
      <c r="I30" s="35"/>
      <c r="J30" s="35"/>
      <c r="K30" s="35"/>
    </row>
    <row r="33" spans="1:24">
      <c r="A33" s="56" t="s">
        <v>4</v>
      </c>
      <c r="B33" s="56"/>
      <c r="C33" s="56"/>
      <c r="D33" s="56"/>
      <c r="E33" s="56"/>
      <c r="F33" s="56"/>
      <c r="G33" s="56"/>
      <c r="H33" s="56"/>
      <c r="I33" s="56"/>
      <c r="J33" s="56"/>
      <c r="K33" s="56"/>
      <c r="L33" s="56"/>
      <c r="M33" s="56"/>
      <c r="N33" s="56"/>
      <c r="O33" s="56"/>
      <c r="P33" s="56"/>
      <c r="Q33" s="56"/>
      <c r="R33" s="56"/>
      <c r="S33" s="56"/>
      <c r="T33" s="56"/>
      <c r="U33" s="56"/>
      <c r="V33" s="56"/>
    </row>
    <row r="35" spans="1:24">
      <c r="A35" s="57" t="s">
        <v>3</v>
      </c>
      <c r="B35" s="58"/>
      <c r="C35" s="58"/>
      <c r="D35" s="58"/>
      <c r="E35" s="58"/>
      <c r="F35" s="58"/>
      <c r="G35" s="58"/>
      <c r="H35" s="58"/>
    </row>
    <row r="37" spans="1:24">
      <c r="A37" s="36" t="s">
        <v>0</v>
      </c>
      <c r="B37" s="36" t="s">
        <v>1506</v>
      </c>
      <c r="C37" s="36" t="s">
        <v>1507</v>
      </c>
      <c r="D37" s="36" t="s">
        <v>1508</v>
      </c>
      <c r="E37" s="36" t="s">
        <v>1509</v>
      </c>
      <c r="F37" s="36" t="s">
        <v>1510</v>
      </c>
      <c r="G37" s="36" t="s">
        <v>1511</v>
      </c>
      <c r="H37" s="36" t="s">
        <v>1512</v>
      </c>
    </row>
    <row r="38" spans="1:24">
      <c r="A38" s="37" t="s">
        <v>58</v>
      </c>
      <c r="B38" s="37">
        <v>212</v>
      </c>
      <c r="C38" s="37">
        <v>63</v>
      </c>
      <c r="D38" s="37">
        <v>33</v>
      </c>
      <c r="E38" s="37">
        <v>30</v>
      </c>
      <c r="F38" s="37">
        <v>60</v>
      </c>
      <c r="G38" s="37">
        <v>12</v>
      </c>
      <c r="H38" s="37">
        <v>14</v>
      </c>
    </row>
    <row r="39" spans="1:24">
      <c r="A39" s="37" t="s">
        <v>66</v>
      </c>
      <c r="B39" s="37">
        <v>77</v>
      </c>
      <c r="C39" s="37">
        <v>22</v>
      </c>
      <c r="D39" s="37">
        <v>12</v>
      </c>
      <c r="E39" s="37">
        <v>15</v>
      </c>
      <c r="F39" s="37">
        <v>19</v>
      </c>
      <c r="G39" s="37">
        <v>3</v>
      </c>
      <c r="H39" s="37">
        <v>6</v>
      </c>
    </row>
    <row r="40" spans="1:24">
      <c r="A40" s="37" t="s">
        <v>115</v>
      </c>
      <c r="B40" s="37">
        <v>39</v>
      </c>
      <c r="C40" s="37">
        <v>14</v>
      </c>
      <c r="D40" s="37">
        <v>8</v>
      </c>
      <c r="E40" s="37">
        <v>2</v>
      </c>
      <c r="F40" s="37">
        <v>12</v>
      </c>
      <c r="G40" s="37">
        <v>2</v>
      </c>
      <c r="H40" s="37">
        <v>1</v>
      </c>
    </row>
    <row r="41" spans="1:24">
      <c r="A41" s="37" t="s">
        <v>91</v>
      </c>
      <c r="B41" s="37">
        <v>11</v>
      </c>
      <c r="C41" s="37">
        <v>4</v>
      </c>
      <c r="D41" s="37">
        <v>2</v>
      </c>
      <c r="E41" s="37">
        <v>1</v>
      </c>
      <c r="F41" s="37">
        <v>2</v>
      </c>
      <c r="G41" s="37">
        <v>2</v>
      </c>
      <c r="H41" s="37">
        <v>0</v>
      </c>
    </row>
    <row r="42" spans="1:24">
      <c r="A42" s="37" t="s">
        <v>85</v>
      </c>
      <c r="B42" s="37">
        <v>117</v>
      </c>
      <c r="C42" s="37">
        <v>47</v>
      </c>
      <c r="D42" s="37">
        <v>15</v>
      </c>
      <c r="E42" s="37">
        <v>12</v>
      </c>
      <c r="F42" s="37">
        <v>32</v>
      </c>
      <c r="G42" s="37">
        <v>6</v>
      </c>
      <c r="H42" s="37">
        <v>5</v>
      </c>
    </row>
    <row r="43" spans="1:24">
      <c r="A43" s="37" t="s">
        <v>1505</v>
      </c>
      <c r="B43" s="37">
        <v>456</v>
      </c>
      <c r="C43" s="37">
        <v>150</v>
      </c>
      <c r="D43" s="37">
        <v>70</v>
      </c>
      <c r="E43" s="37">
        <v>60</v>
      </c>
      <c r="F43" s="37">
        <v>125</v>
      </c>
      <c r="G43" s="37">
        <v>25</v>
      </c>
      <c r="H43" s="37">
        <v>26</v>
      </c>
    </row>
    <row r="46" spans="1:24">
      <c r="A46" s="52" t="s">
        <v>0</v>
      </c>
      <c r="B46" s="53"/>
      <c r="C46" s="51" t="s">
        <v>1520</v>
      </c>
      <c r="D46" s="51"/>
      <c r="E46" s="51"/>
      <c r="F46" s="51"/>
      <c r="G46" s="51"/>
      <c r="H46" s="51"/>
      <c r="I46" s="51" t="s">
        <v>1521</v>
      </c>
      <c r="J46" s="51"/>
      <c r="K46" s="51"/>
      <c r="L46" s="51"/>
      <c r="M46" s="51" t="s">
        <v>1522</v>
      </c>
      <c r="N46" s="51"/>
      <c r="O46" s="51"/>
      <c r="P46" s="51"/>
      <c r="Q46" s="51"/>
      <c r="R46" s="51"/>
      <c r="S46" s="51"/>
      <c r="T46" s="51" t="s">
        <v>1523</v>
      </c>
      <c r="U46" s="51"/>
      <c r="V46" s="51"/>
      <c r="W46" s="51"/>
      <c r="X46" s="51"/>
    </row>
    <row r="47" spans="1:24">
      <c r="A47" s="54"/>
      <c r="B47" s="55"/>
      <c r="C47" s="40" t="s">
        <v>1524</v>
      </c>
      <c r="D47" s="40" t="s">
        <v>1525</v>
      </c>
      <c r="E47" s="40" t="s">
        <v>1526</v>
      </c>
      <c r="F47" s="40" t="s">
        <v>1527</v>
      </c>
      <c r="G47" s="40" t="s">
        <v>1528</v>
      </c>
      <c r="H47" s="40" t="s">
        <v>1529</v>
      </c>
      <c r="I47" s="40" t="s">
        <v>1530</v>
      </c>
      <c r="J47" s="40" t="s">
        <v>1531</v>
      </c>
      <c r="K47" s="40" t="s">
        <v>1532</v>
      </c>
      <c r="L47" s="40" t="s">
        <v>1533</v>
      </c>
      <c r="M47" s="40" t="s">
        <v>1534</v>
      </c>
      <c r="N47" s="40" t="s">
        <v>1535</v>
      </c>
      <c r="O47" s="40" t="s">
        <v>1536</v>
      </c>
      <c r="P47" s="40" t="s">
        <v>1537</v>
      </c>
      <c r="Q47" s="40" t="s">
        <v>1538</v>
      </c>
      <c r="R47" s="40" t="s">
        <v>1539</v>
      </c>
      <c r="S47" s="40" t="s">
        <v>1540</v>
      </c>
      <c r="T47" s="40" t="s">
        <v>1541</v>
      </c>
      <c r="U47" s="40" t="s">
        <v>1542</v>
      </c>
      <c r="V47" s="40" t="s">
        <v>1543</v>
      </c>
      <c r="W47" s="40" t="s">
        <v>1544</v>
      </c>
      <c r="X47" s="40" t="s">
        <v>1545</v>
      </c>
    </row>
    <row r="48" spans="1:24">
      <c r="A48" s="51" t="s">
        <v>1506</v>
      </c>
      <c r="B48" s="41" t="s">
        <v>1491</v>
      </c>
      <c r="C48" s="38">
        <v>3.0285087719298245</v>
      </c>
      <c r="D48" s="38">
        <v>2.5153508771929824</v>
      </c>
      <c r="E48" s="38">
        <v>2.8267543859649122</v>
      </c>
      <c r="F48" s="38">
        <v>2.6359649122807016</v>
      </c>
      <c r="G48" s="38">
        <v>2.9671052631578947</v>
      </c>
      <c r="H48" s="38">
        <v>2.942982456140351</v>
      </c>
      <c r="I48" s="38">
        <v>3.5899122807017543</v>
      </c>
      <c r="J48" s="38">
        <v>3.3311403508771931</v>
      </c>
      <c r="K48" s="38">
        <v>3.0219298245614037</v>
      </c>
      <c r="L48" s="38">
        <v>3.1008771929824563</v>
      </c>
      <c r="M48" s="38">
        <v>3.3925438596491229</v>
      </c>
      <c r="N48" s="38">
        <v>3.6885964912280702</v>
      </c>
      <c r="O48" s="38">
        <v>3.6776315789473686</v>
      </c>
      <c r="P48" s="38">
        <v>3.6688596491228069</v>
      </c>
      <c r="Q48" s="38">
        <v>3.3662280701754388</v>
      </c>
      <c r="R48" s="38">
        <v>3.6864035087719298</v>
      </c>
      <c r="S48" s="38">
        <v>3.4078947368421053</v>
      </c>
      <c r="T48" s="38">
        <v>3.5833333333333335</v>
      </c>
      <c r="U48" s="38">
        <v>2.9539473684210527</v>
      </c>
      <c r="V48" s="38">
        <v>2.8245614035087718</v>
      </c>
      <c r="W48" s="38">
        <v>3.182017543859649</v>
      </c>
      <c r="X48" s="38">
        <v>2.817982456140351</v>
      </c>
    </row>
    <row r="49" spans="1:25">
      <c r="A49" s="51"/>
      <c r="B49" s="41" t="s">
        <v>1518</v>
      </c>
      <c r="C49" s="38">
        <v>0.98853803249097383</v>
      </c>
      <c r="D49" s="38">
        <v>0.98325825686415513</v>
      </c>
      <c r="E49" s="38">
        <v>0.98037175780272479</v>
      </c>
      <c r="F49" s="38">
        <v>0.99401525121361534</v>
      </c>
      <c r="G49" s="38">
        <v>1.1059346193613384</v>
      </c>
      <c r="H49" s="38">
        <v>1.0879131589652635</v>
      </c>
      <c r="I49" s="38">
        <v>0.97475113362754984</v>
      </c>
      <c r="J49" s="38">
        <v>1.032438495113585</v>
      </c>
      <c r="K49" s="38">
        <v>1.0247280011706839</v>
      </c>
      <c r="L49" s="38">
        <v>1.0003951407481662</v>
      </c>
      <c r="M49" s="38">
        <v>0.95932055754999734</v>
      </c>
      <c r="N49" s="38">
        <v>0.93735740513141164</v>
      </c>
      <c r="O49" s="38">
        <v>0.94881284077775563</v>
      </c>
      <c r="P49" s="38">
        <v>0.92937153173238629</v>
      </c>
      <c r="Q49" s="38">
        <v>0.97195838589603689</v>
      </c>
      <c r="R49" s="38">
        <v>0.91165313163901374</v>
      </c>
      <c r="S49" s="38">
        <v>0.95403317258354303</v>
      </c>
      <c r="T49" s="38">
        <v>0.84233236286148294</v>
      </c>
      <c r="U49" s="38">
        <v>0.95161273720954009</v>
      </c>
      <c r="V49" s="38">
        <v>0.9210182042093733</v>
      </c>
      <c r="W49" s="38">
        <v>0.95605938463271367</v>
      </c>
      <c r="X49" s="38">
        <v>0.96064600958703461</v>
      </c>
    </row>
    <row r="50" spans="1:25">
      <c r="A50" s="51" t="s">
        <v>1507</v>
      </c>
      <c r="B50" s="41" t="s">
        <v>1491</v>
      </c>
      <c r="C50" s="38">
        <v>3.0266666666666668</v>
      </c>
      <c r="D50" s="38">
        <v>2.4733333333333332</v>
      </c>
      <c r="E50" s="38">
        <v>2.76</v>
      </c>
      <c r="F50" s="38">
        <v>2.56</v>
      </c>
      <c r="G50" s="38">
        <v>2.8733333333333335</v>
      </c>
      <c r="H50" s="38">
        <v>2.7866666666666666</v>
      </c>
      <c r="I50" s="38">
        <v>3.46</v>
      </c>
      <c r="J50" s="38">
        <v>3.22</v>
      </c>
      <c r="K50" s="38">
        <v>2.96</v>
      </c>
      <c r="L50" s="38">
        <v>3.0066666666666668</v>
      </c>
      <c r="M50" s="38">
        <v>3.34</v>
      </c>
      <c r="N50" s="38">
        <v>3.7266666666666666</v>
      </c>
      <c r="O50" s="38">
        <v>3.66</v>
      </c>
      <c r="P50" s="38">
        <v>3.6333333333333333</v>
      </c>
      <c r="Q50" s="38">
        <v>3.26</v>
      </c>
      <c r="R50" s="38">
        <v>3.6333333333333333</v>
      </c>
      <c r="S50" s="38">
        <v>3.34</v>
      </c>
      <c r="T50" s="38">
        <v>3.56</v>
      </c>
      <c r="U50" s="38">
        <v>2.9</v>
      </c>
      <c r="V50" s="38">
        <v>2.7133333333333334</v>
      </c>
      <c r="W50" s="38">
        <v>3.1666666666666665</v>
      </c>
      <c r="X50" s="38">
        <v>2.7666666666666666</v>
      </c>
    </row>
    <row r="51" spans="1:25">
      <c r="A51" s="51"/>
      <c r="B51" s="41" t="s">
        <v>1518</v>
      </c>
      <c r="C51" s="38">
        <v>1.0359100442059637</v>
      </c>
      <c r="D51" s="38">
        <v>0.97413990055910216</v>
      </c>
      <c r="E51" s="38">
        <v>0.93176602184405</v>
      </c>
      <c r="F51" s="38">
        <v>0.99313076925056298</v>
      </c>
      <c r="G51" s="38">
        <v>1.100924972095485</v>
      </c>
      <c r="H51" s="38">
        <v>1.0842785413616147</v>
      </c>
      <c r="I51" s="38">
        <v>0.95979583958843828</v>
      </c>
      <c r="J51" s="38">
        <v>1.0024801459146313</v>
      </c>
      <c r="K51" s="38">
        <v>1.022432945242268</v>
      </c>
      <c r="L51" s="38">
        <v>0.99997762838510218</v>
      </c>
      <c r="M51" s="38">
        <v>0.92562331619829752</v>
      </c>
      <c r="N51" s="38">
        <v>0.88913400796299114</v>
      </c>
      <c r="O51" s="38">
        <v>0.89615135346778796</v>
      </c>
      <c r="P51" s="38">
        <v>0.90053426846516449</v>
      </c>
      <c r="Q51" s="38">
        <v>0.90063363228191451</v>
      </c>
      <c r="R51" s="38">
        <v>0.89305047443475594</v>
      </c>
      <c r="S51" s="38">
        <v>0.88104574837987593</v>
      </c>
      <c r="T51" s="38">
        <v>0.77268815175707983</v>
      </c>
      <c r="U51" s="38">
        <v>0.92504307898960969</v>
      </c>
      <c r="V51" s="38">
        <v>0.84612552947722242</v>
      </c>
      <c r="W51" s="38">
        <v>0.93705712880262559</v>
      </c>
      <c r="X51" s="38">
        <v>0.90795637971878096</v>
      </c>
    </row>
    <row r="52" spans="1:25">
      <c r="A52" s="51" t="s">
        <v>1508</v>
      </c>
      <c r="B52" s="41" t="s">
        <v>1491</v>
      </c>
      <c r="C52" s="38">
        <v>3.1428571428571428</v>
      </c>
      <c r="D52" s="38">
        <v>2.7285714285714286</v>
      </c>
      <c r="E52" s="38">
        <v>2.9142857142857141</v>
      </c>
      <c r="F52" s="38">
        <v>2.7142857142857144</v>
      </c>
      <c r="G52" s="38">
        <v>3.1714285714285713</v>
      </c>
      <c r="H52" s="38">
        <v>3.0428571428571427</v>
      </c>
      <c r="I52" s="38">
        <v>3.6</v>
      </c>
      <c r="J52" s="38">
        <v>3.4</v>
      </c>
      <c r="K52" s="38">
        <v>3.1428571428571428</v>
      </c>
      <c r="L52" s="38">
        <v>3.1</v>
      </c>
      <c r="M52" s="38">
        <v>3.4</v>
      </c>
      <c r="N52" s="38">
        <v>3.7428571428571429</v>
      </c>
      <c r="O52" s="38">
        <v>3.8142857142857145</v>
      </c>
      <c r="P52" s="38">
        <v>3.9142857142857141</v>
      </c>
      <c r="Q52" s="38">
        <v>3.6142857142857143</v>
      </c>
      <c r="R52" s="38">
        <v>3.9</v>
      </c>
      <c r="S52" s="38">
        <v>3.5142857142857142</v>
      </c>
      <c r="T52" s="38">
        <v>3.6857142857142855</v>
      </c>
      <c r="U52" s="38">
        <v>2.9714285714285715</v>
      </c>
      <c r="V52" s="38">
        <v>2.9285714285714284</v>
      </c>
      <c r="W52" s="38">
        <v>3.2428571428571429</v>
      </c>
      <c r="X52" s="38">
        <v>2.7285714285714286</v>
      </c>
    </row>
    <row r="53" spans="1:25">
      <c r="A53" s="51"/>
      <c r="B53" s="41" t="s">
        <v>1518</v>
      </c>
      <c r="C53" s="38">
        <v>0.98224401888196766</v>
      </c>
      <c r="D53" s="38">
        <v>1.0757057484009542</v>
      </c>
      <c r="E53" s="38">
        <v>0.98896604098813368</v>
      </c>
      <c r="F53" s="38">
        <v>0.96523417813168066</v>
      </c>
      <c r="G53" s="38">
        <v>1.2154968993030471</v>
      </c>
      <c r="H53" s="38">
        <v>1.1601563398608203</v>
      </c>
      <c r="I53" s="38">
        <v>1.027167203413405</v>
      </c>
      <c r="J53" s="38">
        <v>1.0550087574332589</v>
      </c>
      <c r="K53" s="38">
        <v>0.98224401888196766</v>
      </c>
      <c r="L53" s="38">
        <v>0.90329509518512641</v>
      </c>
      <c r="M53" s="38">
        <v>1.0821342304694102</v>
      </c>
      <c r="N53" s="38">
        <v>1.0170390995535543</v>
      </c>
      <c r="O53" s="38">
        <v>0.96748376974525885</v>
      </c>
      <c r="P53" s="38">
        <v>0.89673897358678578</v>
      </c>
      <c r="Q53" s="38">
        <v>0.95238612835032421</v>
      </c>
      <c r="R53" s="38">
        <v>0.76423685531024488</v>
      </c>
      <c r="S53" s="38">
        <v>0.92849975834258336</v>
      </c>
      <c r="T53" s="38">
        <v>0.86044910994634283</v>
      </c>
      <c r="U53" s="38">
        <v>0.96265677919711445</v>
      </c>
      <c r="V53" s="38">
        <v>0.9528208093991315</v>
      </c>
      <c r="W53" s="38">
        <v>0.87535854824849868</v>
      </c>
      <c r="X53" s="38">
        <v>0.93128287038852442</v>
      </c>
    </row>
    <row r="54" spans="1:25">
      <c r="A54" s="51" t="s">
        <v>1509</v>
      </c>
      <c r="B54" s="41" t="s">
        <v>1491</v>
      </c>
      <c r="C54" s="38">
        <v>2.9833333333333334</v>
      </c>
      <c r="D54" s="38">
        <v>2.5166666666666666</v>
      </c>
      <c r="E54" s="38">
        <v>2.8333333333333335</v>
      </c>
      <c r="F54" s="38">
        <v>2.6833333333333331</v>
      </c>
      <c r="G54" s="38">
        <v>2.95</v>
      </c>
      <c r="H54" s="38">
        <v>3.05</v>
      </c>
      <c r="I54" s="38">
        <v>3.7</v>
      </c>
      <c r="J54" s="38">
        <v>3.4333333333333331</v>
      </c>
      <c r="K54" s="38">
        <v>3.0833333333333335</v>
      </c>
      <c r="L54" s="38">
        <v>3.2166666666666668</v>
      </c>
      <c r="M54" s="38">
        <v>3.5666666666666669</v>
      </c>
      <c r="N54" s="38">
        <v>3.6333333333333333</v>
      </c>
      <c r="O54" s="38">
        <v>3.8166666666666669</v>
      </c>
      <c r="P54" s="38">
        <v>3.7</v>
      </c>
      <c r="Q54" s="38">
        <v>3.4666666666666668</v>
      </c>
      <c r="R54" s="38">
        <v>3.6666666666666665</v>
      </c>
      <c r="S54" s="38">
        <v>3.2833333333333332</v>
      </c>
      <c r="T54" s="38">
        <v>3.65</v>
      </c>
      <c r="U54" s="38">
        <v>2.8166666666666669</v>
      </c>
      <c r="V54" s="38">
        <v>2.7833333333333332</v>
      </c>
      <c r="W54" s="38">
        <v>3.1666666666666665</v>
      </c>
      <c r="X54" s="38">
        <v>2.8</v>
      </c>
    </row>
    <row r="55" spans="1:25">
      <c r="A55" s="51"/>
      <c r="B55" s="41" t="s">
        <v>1518</v>
      </c>
      <c r="C55" s="38">
        <v>0.85354031741115077</v>
      </c>
      <c r="D55" s="38">
        <v>0.83344632002402064</v>
      </c>
      <c r="E55" s="38">
        <v>0.9771398364036773</v>
      </c>
      <c r="F55" s="38">
        <v>0.94764054307002754</v>
      </c>
      <c r="G55" s="38">
        <v>0.94644741632296037</v>
      </c>
      <c r="H55" s="38">
        <v>0.98161057555116971</v>
      </c>
      <c r="I55" s="38">
        <v>0.86944361714249818</v>
      </c>
      <c r="J55" s="38">
        <v>0.96316333807885846</v>
      </c>
      <c r="K55" s="38">
        <v>0.92592906465255875</v>
      </c>
      <c r="L55" s="38">
        <v>0.97583804343018354</v>
      </c>
      <c r="M55" s="38">
        <v>0.81024513274764154</v>
      </c>
      <c r="N55" s="38">
        <v>0.90134864427205552</v>
      </c>
      <c r="O55" s="38">
        <v>0.89237194241852957</v>
      </c>
      <c r="P55" s="38">
        <v>0.849725778298555</v>
      </c>
      <c r="Q55" s="38">
        <v>0.83293775922001656</v>
      </c>
      <c r="R55" s="38">
        <v>0.91441685903661907</v>
      </c>
      <c r="S55" s="38">
        <v>0.99305497938955756</v>
      </c>
      <c r="T55" s="38">
        <v>0.79883389588846232</v>
      </c>
      <c r="U55" s="38">
        <v>0.91116737688558913</v>
      </c>
      <c r="V55" s="38">
        <v>0.88474197457898485</v>
      </c>
      <c r="W55" s="38">
        <v>1.0278604842785053</v>
      </c>
      <c r="X55" s="38">
        <v>0.8791367106043313</v>
      </c>
    </row>
    <row r="56" spans="1:25">
      <c r="A56" s="51" t="s">
        <v>1510</v>
      </c>
      <c r="B56" s="41" t="s">
        <v>1491</v>
      </c>
      <c r="C56" s="38">
        <v>2.952</v>
      </c>
      <c r="D56" s="38">
        <v>2.4319999999999999</v>
      </c>
      <c r="E56" s="38">
        <v>2.7839999999999998</v>
      </c>
      <c r="F56" s="38">
        <v>2.5920000000000001</v>
      </c>
      <c r="G56" s="38">
        <v>2.7919999999999998</v>
      </c>
      <c r="H56" s="38">
        <v>2.9039999999999999</v>
      </c>
      <c r="I56" s="38">
        <v>3.6</v>
      </c>
      <c r="J56" s="38">
        <v>3.3359999999999999</v>
      </c>
      <c r="K56" s="38">
        <v>2.96</v>
      </c>
      <c r="L56" s="38">
        <v>3.056</v>
      </c>
      <c r="M56" s="38">
        <v>3.2639999999999998</v>
      </c>
      <c r="N56" s="38">
        <v>3.496</v>
      </c>
      <c r="O56" s="38">
        <v>3.4159999999999999</v>
      </c>
      <c r="P56" s="38">
        <v>3.4319999999999999</v>
      </c>
      <c r="Q56" s="38">
        <v>3.12</v>
      </c>
      <c r="R56" s="38">
        <v>3.52</v>
      </c>
      <c r="S56" s="38">
        <v>3.3039999999999998</v>
      </c>
      <c r="T56" s="38">
        <v>3.3679999999999999</v>
      </c>
      <c r="U56" s="38">
        <v>3.024</v>
      </c>
      <c r="V56" s="38">
        <v>2.8479999999999999</v>
      </c>
      <c r="W56" s="38">
        <v>3.0960000000000001</v>
      </c>
      <c r="X56" s="38">
        <v>2.9039999999999999</v>
      </c>
    </row>
    <row r="57" spans="1:25">
      <c r="A57" s="51"/>
      <c r="B57" s="41" t="s">
        <v>1518</v>
      </c>
      <c r="C57" s="38">
        <v>1.0384231221641598</v>
      </c>
      <c r="D57" s="38">
        <v>1.0265507545235664</v>
      </c>
      <c r="E57" s="38">
        <v>1.05939727234176</v>
      </c>
      <c r="F57" s="38">
        <v>1.0402853206630847</v>
      </c>
      <c r="G57" s="38">
        <v>1.1093153948094698</v>
      </c>
      <c r="H57" s="38">
        <v>1.1389298882383323</v>
      </c>
      <c r="I57" s="38">
        <v>1.0549422855334085</v>
      </c>
      <c r="J57" s="38">
        <v>1.0846732821602354</v>
      </c>
      <c r="K57" s="38">
        <v>1.0880583475815693</v>
      </c>
      <c r="L57" s="38">
        <v>1.0572636622966396</v>
      </c>
      <c r="M57" s="38">
        <v>1.048378163733654</v>
      </c>
      <c r="N57" s="38">
        <v>1.0209420065043664</v>
      </c>
      <c r="O57" s="38">
        <v>1.0563479387691987</v>
      </c>
      <c r="P57" s="38">
        <v>1.0651063857208003</v>
      </c>
      <c r="Q57" s="38">
        <v>1.0746342213411129</v>
      </c>
      <c r="R57" s="38">
        <v>1.0518800373156751</v>
      </c>
      <c r="S57" s="38">
        <v>1.0412771314669931</v>
      </c>
      <c r="T57" s="38">
        <v>0.94643644027682605</v>
      </c>
      <c r="U57" s="38">
        <v>0.99566803640052559</v>
      </c>
      <c r="V57" s="38">
        <v>0.97596932791571778</v>
      </c>
      <c r="W57" s="38">
        <v>0.9790054202624342</v>
      </c>
      <c r="X57" s="38">
        <v>1.0505298202458635</v>
      </c>
    </row>
    <row r="58" spans="1:25">
      <c r="A58" s="51" t="s">
        <v>1511</v>
      </c>
      <c r="B58" s="41" t="s">
        <v>1491</v>
      </c>
      <c r="C58" s="38">
        <v>3.12</v>
      </c>
      <c r="D58" s="38">
        <v>2.56</v>
      </c>
      <c r="E58" s="38">
        <v>3.08</v>
      </c>
      <c r="F58" s="38">
        <v>2.8</v>
      </c>
      <c r="G58" s="38">
        <v>3.52</v>
      </c>
      <c r="H58" s="38">
        <v>3.28</v>
      </c>
      <c r="I58" s="38">
        <v>3.84</v>
      </c>
      <c r="J58" s="38">
        <v>3.44</v>
      </c>
      <c r="K58" s="38">
        <v>3.32</v>
      </c>
      <c r="L58" s="38">
        <v>3.44</v>
      </c>
      <c r="M58" s="38">
        <v>3.84</v>
      </c>
      <c r="N58" s="38">
        <v>4.28</v>
      </c>
      <c r="O58" s="38">
        <v>4.28</v>
      </c>
      <c r="P58" s="38">
        <v>4.12</v>
      </c>
      <c r="Q58" s="38">
        <v>4.2</v>
      </c>
      <c r="R58" s="38">
        <v>4.24</v>
      </c>
      <c r="S58" s="38">
        <v>4.08</v>
      </c>
      <c r="T58" s="38">
        <v>4.16</v>
      </c>
      <c r="U58" s="38">
        <v>3.16</v>
      </c>
      <c r="V58" s="38">
        <v>3.04</v>
      </c>
      <c r="W58" s="38">
        <v>3.52</v>
      </c>
      <c r="X58" s="38">
        <v>2.88</v>
      </c>
    </row>
    <row r="59" spans="1:25">
      <c r="A59" s="51"/>
      <c r="B59" s="41" t="s">
        <v>1518</v>
      </c>
      <c r="C59" s="38">
        <v>0.88128693776015199</v>
      </c>
      <c r="D59" s="38">
        <v>0.86986589004665915</v>
      </c>
      <c r="E59" s="38">
        <v>0.99666109251507029</v>
      </c>
      <c r="F59" s="38">
        <v>1</v>
      </c>
      <c r="G59" s="38">
        <v>1.1224972160321827</v>
      </c>
      <c r="H59" s="38">
        <v>1.1000000000000003</v>
      </c>
      <c r="I59" s="38">
        <v>0.85049005481153861</v>
      </c>
      <c r="J59" s="38">
        <v>1.1930353445448858</v>
      </c>
      <c r="K59" s="38">
        <v>1.1445523142259597</v>
      </c>
      <c r="L59" s="38">
        <v>1.0832051206181286</v>
      </c>
      <c r="M59" s="38">
        <v>0.80000000000000038</v>
      </c>
      <c r="N59" s="38">
        <v>0.61373175465073304</v>
      </c>
      <c r="O59" s="38">
        <v>0.67823299831252748</v>
      </c>
      <c r="P59" s="38">
        <v>0.66583281184793885</v>
      </c>
      <c r="Q59" s="38">
        <v>0.81649658092772603</v>
      </c>
      <c r="R59" s="38">
        <v>0.66332495807108005</v>
      </c>
      <c r="S59" s="38">
        <v>0.86216781042517021</v>
      </c>
      <c r="T59" s="38">
        <v>0.68799224801834347</v>
      </c>
      <c r="U59" s="38">
        <v>1.0677078252031313</v>
      </c>
      <c r="V59" s="38">
        <v>1.0984838035522722</v>
      </c>
      <c r="W59" s="38">
        <v>1.0456258094238751</v>
      </c>
      <c r="X59" s="38">
        <v>1.2688577540449517</v>
      </c>
    </row>
    <row r="60" spans="1:25">
      <c r="A60" s="51" t="s">
        <v>1512</v>
      </c>
      <c r="B60" s="41" t="s">
        <v>1491</v>
      </c>
      <c r="C60" s="38">
        <v>3.1153846153846154</v>
      </c>
      <c r="D60" s="38">
        <v>2.5384615384615383</v>
      </c>
      <c r="E60" s="38">
        <v>2.9230769230769229</v>
      </c>
      <c r="F60" s="38">
        <v>2.8076923076923075</v>
      </c>
      <c r="G60" s="38">
        <v>3.3076923076923075</v>
      </c>
      <c r="H60" s="38">
        <v>3.1923076923076925</v>
      </c>
      <c r="I60" s="38">
        <v>3.7692307692307692</v>
      </c>
      <c r="J60" s="38">
        <v>3.4230769230769229</v>
      </c>
      <c r="K60" s="38">
        <v>2.9230769230769229</v>
      </c>
      <c r="L60" s="38">
        <v>3.2692307692307692</v>
      </c>
      <c r="M60" s="38">
        <v>3.4615384615384617</v>
      </c>
      <c r="N60" s="38">
        <v>3.8076923076923075</v>
      </c>
      <c r="O60" s="38">
        <v>3.7692307692307692</v>
      </c>
      <c r="P60" s="38">
        <v>3.8461538461538463</v>
      </c>
      <c r="Q60" s="38">
        <v>3.4615384615384617</v>
      </c>
      <c r="R60" s="38">
        <v>3.7307692307692308</v>
      </c>
      <c r="S60" s="38">
        <v>3.6538461538461537</v>
      </c>
      <c r="T60" s="38">
        <v>3.7692307692307692</v>
      </c>
      <c r="U60" s="38">
        <v>3</v>
      </c>
      <c r="V60" s="38">
        <v>2.9615384615384617</v>
      </c>
      <c r="W60" s="38">
        <v>3.2307692307692308</v>
      </c>
      <c r="X60" s="38">
        <v>2.9230769230769229</v>
      </c>
    </row>
    <row r="61" spans="1:25">
      <c r="A61" s="51"/>
      <c r="B61" s="41" t="s">
        <v>1518</v>
      </c>
      <c r="C61" s="38">
        <v>0.90893005569947261</v>
      </c>
      <c r="D61" s="38">
        <v>0.98917214804175424</v>
      </c>
      <c r="E61" s="38">
        <v>0.84489416724590638</v>
      </c>
      <c r="F61" s="38">
        <v>0.98058067569092033</v>
      </c>
      <c r="G61" s="38">
        <v>0.88404663991130117</v>
      </c>
      <c r="H61" s="38">
        <v>0.74935870018200357</v>
      </c>
      <c r="I61" s="38">
        <v>0.81523946458410956</v>
      </c>
      <c r="J61" s="38">
        <v>0.90213422163564705</v>
      </c>
      <c r="K61" s="38">
        <v>0.93479738652081912</v>
      </c>
      <c r="L61" s="38">
        <v>0.91902958854184102</v>
      </c>
      <c r="M61" s="38">
        <v>0.64688603205011164</v>
      </c>
      <c r="N61" s="38">
        <v>0.6336706254344302</v>
      </c>
      <c r="O61" s="38">
        <v>0.58703950856427511</v>
      </c>
      <c r="P61" s="38">
        <v>0.464095480892256</v>
      </c>
      <c r="Q61" s="38">
        <v>0.76056659041897057</v>
      </c>
      <c r="R61" s="38">
        <v>0.53349356567383799</v>
      </c>
      <c r="S61" s="38">
        <v>0.68948141047066258</v>
      </c>
      <c r="T61" s="38">
        <v>0.51440779991693908</v>
      </c>
      <c r="U61" s="38">
        <v>0.84852813742385702</v>
      </c>
      <c r="V61" s="38">
        <v>0.87089697350578621</v>
      </c>
      <c r="W61" s="38">
        <v>0.90808335774607474</v>
      </c>
      <c r="X61" s="38">
        <v>0.74420840753525053</v>
      </c>
    </row>
    <row r="64" spans="1:25">
      <c r="B64" s="52" t="s">
        <v>0</v>
      </c>
      <c r="C64" s="51" t="s">
        <v>1520</v>
      </c>
      <c r="D64" s="51"/>
      <c r="E64" s="51"/>
      <c r="F64" s="51"/>
      <c r="G64" s="51"/>
      <c r="H64" s="51"/>
      <c r="I64" s="51" t="s">
        <v>1521</v>
      </c>
      <c r="J64" s="51"/>
      <c r="K64" s="51"/>
      <c r="L64" s="51"/>
      <c r="M64" s="51" t="s">
        <v>1522</v>
      </c>
      <c r="N64" s="51"/>
      <c r="O64" s="51"/>
      <c r="P64" s="51"/>
      <c r="Q64" s="51"/>
      <c r="R64" s="51"/>
      <c r="S64" s="51"/>
      <c r="T64" s="51" t="s">
        <v>1523</v>
      </c>
      <c r="U64" s="51"/>
      <c r="V64" s="51"/>
      <c r="W64" s="51"/>
      <c r="X64" s="51"/>
      <c r="Y64" s="59" t="s">
        <v>1519</v>
      </c>
    </row>
    <row r="65" spans="2:25">
      <c r="B65" s="54"/>
      <c r="C65" s="40" t="s">
        <v>1524</v>
      </c>
      <c r="D65" s="40" t="s">
        <v>1525</v>
      </c>
      <c r="E65" s="40" t="s">
        <v>1526</v>
      </c>
      <c r="F65" s="40" t="s">
        <v>1527</v>
      </c>
      <c r="G65" s="40" t="s">
        <v>1528</v>
      </c>
      <c r="H65" s="40" t="s">
        <v>1529</v>
      </c>
      <c r="I65" s="40" t="s">
        <v>1530</v>
      </c>
      <c r="J65" s="40" t="s">
        <v>1531</v>
      </c>
      <c r="K65" s="40" t="s">
        <v>1532</v>
      </c>
      <c r="L65" s="40" t="s">
        <v>1533</v>
      </c>
      <c r="M65" s="40" t="s">
        <v>1534</v>
      </c>
      <c r="N65" s="40" t="s">
        <v>1535</v>
      </c>
      <c r="O65" s="40" t="s">
        <v>1536</v>
      </c>
      <c r="P65" s="40" t="s">
        <v>1537</v>
      </c>
      <c r="Q65" s="40" t="s">
        <v>1538</v>
      </c>
      <c r="R65" s="40" t="s">
        <v>1539</v>
      </c>
      <c r="S65" s="40" t="s">
        <v>1540</v>
      </c>
      <c r="T65" s="40" t="s">
        <v>1541</v>
      </c>
      <c r="U65" s="40" t="s">
        <v>1542</v>
      </c>
      <c r="V65" s="40" t="s">
        <v>1543</v>
      </c>
      <c r="W65" s="40" t="s">
        <v>1544</v>
      </c>
      <c r="X65" s="40" t="s">
        <v>1545</v>
      </c>
      <c r="Y65" s="59"/>
    </row>
    <row r="66" spans="2:25">
      <c r="B66" s="40" t="s">
        <v>1506</v>
      </c>
      <c r="C66" s="38">
        <v>3.0285087719298245</v>
      </c>
      <c r="D66" s="38">
        <v>2.5153508771929824</v>
      </c>
      <c r="E66" s="38">
        <v>2.8267543859649122</v>
      </c>
      <c r="F66" s="38">
        <v>2.6359649122807016</v>
      </c>
      <c r="G66" s="38">
        <v>2.9671052631578947</v>
      </c>
      <c r="H66" s="38">
        <v>2.942982456140351</v>
      </c>
      <c r="I66" s="38">
        <v>3.5899122807017543</v>
      </c>
      <c r="J66" s="38">
        <v>3.3311403508771931</v>
      </c>
      <c r="K66" s="38">
        <v>3.0219298245614037</v>
      </c>
      <c r="L66" s="38">
        <v>3.1008771929824563</v>
      </c>
      <c r="M66" s="38">
        <v>3.3925438596491229</v>
      </c>
      <c r="N66" s="38">
        <v>3.6885964912280702</v>
      </c>
      <c r="O66" s="38">
        <v>3.6776315789473686</v>
      </c>
      <c r="P66" s="38">
        <v>3.6688596491228069</v>
      </c>
      <c r="Q66" s="38">
        <v>3.3662280701754388</v>
      </c>
      <c r="R66" s="38">
        <v>3.6864035087719298</v>
      </c>
      <c r="S66" s="38">
        <v>3.4078947368421053</v>
      </c>
      <c r="T66" s="38">
        <v>3.5833333333333335</v>
      </c>
      <c r="U66" s="38">
        <v>2.9539473684210527</v>
      </c>
      <c r="V66" s="38">
        <v>2.8245614035087718</v>
      </c>
      <c r="W66" s="38">
        <v>3.182017543859649</v>
      </c>
      <c r="X66" s="38">
        <v>2.817982456140351</v>
      </c>
      <c r="Y66" s="46">
        <f>AVERAGE(C66:X66)</f>
        <v>3.1913875598086121</v>
      </c>
    </row>
    <row r="67" spans="2:25">
      <c r="B67" s="40" t="s">
        <v>1507</v>
      </c>
      <c r="C67" s="38">
        <v>3.0266666666666668</v>
      </c>
      <c r="D67" s="38">
        <v>2.4733333333333332</v>
      </c>
      <c r="E67" s="38">
        <v>2.76</v>
      </c>
      <c r="F67" s="38">
        <v>2.56</v>
      </c>
      <c r="G67" s="38">
        <v>2.8733333333333335</v>
      </c>
      <c r="H67" s="38">
        <v>2.7866666666666666</v>
      </c>
      <c r="I67" s="38">
        <v>3.46</v>
      </c>
      <c r="J67" s="38">
        <v>3.22</v>
      </c>
      <c r="K67" s="38">
        <v>2.96</v>
      </c>
      <c r="L67" s="38">
        <v>3.0066666666666668</v>
      </c>
      <c r="M67" s="38">
        <v>3.34</v>
      </c>
      <c r="N67" s="38">
        <v>3.7266666666666666</v>
      </c>
      <c r="O67" s="38">
        <v>3.66</v>
      </c>
      <c r="P67" s="38">
        <v>3.6333333333333333</v>
      </c>
      <c r="Q67" s="38">
        <v>3.26</v>
      </c>
      <c r="R67" s="38">
        <v>3.6333333333333333</v>
      </c>
      <c r="S67" s="38">
        <v>3.34</v>
      </c>
      <c r="T67" s="38">
        <v>3.56</v>
      </c>
      <c r="U67" s="38">
        <v>2.9</v>
      </c>
      <c r="V67" s="38">
        <v>2.7133333333333334</v>
      </c>
      <c r="W67" s="38">
        <v>3.1666666666666665</v>
      </c>
      <c r="X67" s="38">
        <v>2.7666666666666666</v>
      </c>
      <c r="Y67" s="46">
        <f t="shared" ref="Y67:Y72" si="3">AVERAGE(C67:X67)</f>
        <v>3.1284848484848484</v>
      </c>
    </row>
    <row r="68" spans="2:25">
      <c r="B68" s="40" t="s">
        <v>1508</v>
      </c>
      <c r="C68" s="38">
        <v>3.1428571428571428</v>
      </c>
      <c r="D68" s="38">
        <v>2.7285714285714286</v>
      </c>
      <c r="E68" s="38">
        <v>2.9142857142857141</v>
      </c>
      <c r="F68" s="38">
        <v>2.7142857142857144</v>
      </c>
      <c r="G68" s="38">
        <v>3.1714285714285713</v>
      </c>
      <c r="H68" s="38">
        <v>3.0428571428571427</v>
      </c>
      <c r="I68" s="38">
        <v>3.6</v>
      </c>
      <c r="J68" s="38">
        <v>3.4</v>
      </c>
      <c r="K68" s="38">
        <v>3.1428571428571428</v>
      </c>
      <c r="L68" s="38">
        <v>3.1</v>
      </c>
      <c r="M68" s="38">
        <v>3.4</v>
      </c>
      <c r="N68" s="38">
        <v>3.7428571428571429</v>
      </c>
      <c r="O68" s="38">
        <v>3.8142857142857145</v>
      </c>
      <c r="P68" s="38">
        <v>3.9142857142857141</v>
      </c>
      <c r="Q68" s="38">
        <v>3.6142857142857143</v>
      </c>
      <c r="R68" s="38">
        <v>3.9</v>
      </c>
      <c r="S68" s="38">
        <v>3.5142857142857142</v>
      </c>
      <c r="T68" s="38">
        <v>3.6857142857142855</v>
      </c>
      <c r="U68" s="38">
        <v>2.9714285714285715</v>
      </c>
      <c r="V68" s="38">
        <v>2.9285714285714284</v>
      </c>
      <c r="W68" s="38">
        <v>3.2428571428571429</v>
      </c>
      <c r="X68" s="38">
        <v>2.7285714285714286</v>
      </c>
      <c r="Y68" s="46">
        <f t="shared" si="3"/>
        <v>3.2915584415584416</v>
      </c>
    </row>
    <row r="69" spans="2:25">
      <c r="B69" s="40" t="s">
        <v>1509</v>
      </c>
      <c r="C69" s="38">
        <v>2.9833333333333334</v>
      </c>
      <c r="D69" s="38">
        <v>2.5166666666666666</v>
      </c>
      <c r="E69" s="38">
        <v>2.8333333333333335</v>
      </c>
      <c r="F69" s="38">
        <v>2.6833333333333331</v>
      </c>
      <c r="G69" s="38">
        <v>2.95</v>
      </c>
      <c r="H69" s="38">
        <v>3.05</v>
      </c>
      <c r="I69" s="38">
        <v>3.7</v>
      </c>
      <c r="J69" s="38">
        <v>3.4333333333333331</v>
      </c>
      <c r="K69" s="38">
        <v>3.0833333333333335</v>
      </c>
      <c r="L69" s="38">
        <v>3.2166666666666668</v>
      </c>
      <c r="M69" s="38">
        <v>3.5666666666666669</v>
      </c>
      <c r="N69" s="38">
        <v>3.6333333333333333</v>
      </c>
      <c r="O69" s="38">
        <v>3.8166666666666669</v>
      </c>
      <c r="P69" s="38">
        <v>3.7</v>
      </c>
      <c r="Q69" s="38">
        <v>3.4666666666666668</v>
      </c>
      <c r="R69" s="38">
        <v>3.6666666666666665</v>
      </c>
      <c r="S69" s="38">
        <v>3.2833333333333332</v>
      </c>
      <c r="T69" s="38">
        <v>3.65</v>
      </c>
      <c r="U69" s="38">
        <v>2.8166666666666669</v>
      </c>
      <c r="V69" s="38">
        <v>2.7833333333333332</v>
      </c>
      <c r="W69" s="38">
        <v>3.1666666666666665</v>
      </c>
      <c r="X69" s="38">
        <v>2.8</v>
      </c>
      <c r="Y69" s="46">
        <f t="shared" si="3"/>
        <v>3.2181818181818187</v>
      </c>
    </row>
    <row r="70" spans="2:25">
      <c r="B70" s="40" t="s">
        <v>1510</v>
      </c>
      <c r="C70" s="38">
        <v>2.952</v>
      </c>
      <c r="D70" s="38">
        <v>2.4319999999999999</v>
      </c>
      <c r="E70" s="38">
        <v>2.7839999999999998</v>
      </c>
      <c r="F70" s="38">
        <v>2.5920000000000001</v>
      </c>
      <c r="G70" s="38">
        <v>2.7919999999999998</v>
      </c>
      <c r="H70" s="38">
        <v>2.9039999999999999</v>
      </c>
      <c r="I70" s="38">
        <v>3.6</v>
      </c>
      <c r="J70" s="38">
        <v>3.3359999999999999</v>
      </c>
      <c r="K70" s="38">
        <v>2.96</v>
      </c>
      <c r="L70" s="38">
        <v>3.056</v>
      </c>
      <c r="M70" s="38">
        <v>3.2639999999999998</v>
      </c>
      <c r="N70" s="38">
        <v>3.496</v>
      </c>
      <c r="O70" s="38">
        <v>3.4159999999999999</v>
      </c>
      <c r="P70" s="38">
        <v>3.4319999999999999</v>
      </c>
      <c r="Q70" s="38">
        <v>3.12</v>
      </c>
      <c r="R70" s="38">
        <v>3.52</v>
      </c>
      <c r="S70" s="38">
        <v>3.3039999999999998</v>
      </c>
      <c r="T70" s="38">
        <v>3.3679999999999999</v>
      </c>
      <c r="U70" s="38">
        <v>3.024</v>
      </c>
      <c r="V70" s="38">
        <v>2.8479999999999999</v>
      </c>
      <c r="W70" s="38">
        <v>3.0960000000000001</v>
      </c>
      <c r="X70" s="38">
        <v>2.9039999999999999</v>
      </c>
      <c r="Y70" s="46">
        <f t="shared" si="3"/>
        <v>3.1</v>
      </c>
    </row>
    <row r="71" spans="2:25">
      <c r="B71" s="40" t="s">
        <v>1511</v>
      </c>
      <c r="C71" s="38">
        <v>3.12</v>
      </c>
      <c r="D71" s="38">
        <v>2.56</v>
      </c>
      <c r="E71" s="38">
        <v>3.08</v>
      </c>
      <c r="F71" s="38">
        <v>2.8</v>
      </c>
      <c r="G71" s="38">
        <v>3.52</v>
      </c>
      <c r="H71" s="38">
        <v>3.28</v>
      </c>
      <c r="I71" s="38">
        <v>3.84</v>
      </c>
      <c r="J71" s="38">
        <v>3.44</v>
      </c>
      <c r="K71" s="38">
        <v>3.32</v>
      </c>
      <c r="L71" s="38">
        <v>3.44</v>
      </c>
      <c r="M71" s="38">
        <v>3.84</v>
      </c>
      <c r="N71" s="38">
        <v>4.28</v>
      </c>
      <c r="O71" s="38">
        <v>4.28</v>
      </c>
      <c r="P71" s="38">
        <v>4.12</v>
      </c>
      <c r="Q71" s="38">
        <v>4.2</v>
      </c>
      <c r="R71" s="38">
        <v>4.24</v>
      </c>
      <c r="S71" s="38">
        <v>4.08</v>
      </c>
      <c r="T71" s="38">
        <v>4.16</v>
      </c>
      <c r="U71" s="38">
        <v>3.16</v>
      </c>
      <c r="V71" s="38">
        <v>3.04</v>
      </c>
      <c r="W71" s="38">
        <v>3.52</v>
      </c>
      <c r="X71" s="38">
        <v>2.88</v>
      </c>
      <c r="Y71" s="46">
        <f t="shared" si="3"/>
        <v>3.5545454545454542</v>
      </c>
    </row>
    <row r="72" spans="2:25">
      <c r="B72" s="40" t="s">
        <v>1512</v>
      </c>
      <c r="C72" s="38">
        <v>3.1153846153846154</v>
      </c>
      <c r="D72" s="38">
        <v>2.5384615384615383</v>
      </c>
      <c r="E72" s="38">
        <v>2.9230769230769229</v>
      </c>
      <c r="F72" s="38">
        <v>2.8076923076923075</v>
      </c>
      <c r="G72" s="38">
        <v>3.3076923076923075</v>
      </c>
      <c r="H72" s="38">
        <v>3.1923076923076925</v>
      </c>
      <c r="I72" s="38">
        <v>3.7692307692307692</v>
      </c>
      <c r="J72" s="38">
        <v>3.4230769230769229</v>
      </c>
      <c r="K72" s="38">
        <v>2.9230769230769229</v>
      </c>
      <c r="L72" s="38">
        <v>3.2692307692307692</v>
      </c>
      <c r="M72" s="38">
        <v>3.4615384615384617</v>
      </c>
      <c r="N72" s="38">
        <v>3.8076923076923075</v>
      </c>
      <c r="O72" s="38">
        <v>3.7692307692307692</v>
      </c>
      <c r="P72" s="38">
        <v>3.8461538461538463</v>
      </c>
      <c r="Q72" s="38">
        <v>3.4615384615384617</v>
      </c>
      <c r="R72" s="38">
        <v>3.7307692307692308</v>
      </c>
      <c r="S72" s="38">
        <v>3.6538461538461537</v>
      </c>
      <c r="T72" s="38">
        <v>3.7692307692307692</v>
      </c>
      <c r="U72" s="38">
        <v>3</v>
      </c>
      <c r="V72" s="38">
        <v>2.9615384615384617</v>
      </c>
      <c r="W72" s="38">
        <v>3.2307692307692308</v>
      </c>
      <c r="X72" s="38">
        <v>2.9230769230769229</v>
      </c>
      <c r="Y72" s="46">
        <f t="shared" si="3"/>
        <v>3.3129370629370625</v>
      </c>
    </row>
    <row r="75" spans="2:25">
      <c r="B75" s="52" t="s">
        <v>0</v>
      </c>
      <c r="C75" s="51" t="s">
        <v>1520</v>
      </c>
      <c r="D75" s="51"/>
      <c r="E75" s="51"/>
      <c r="F75" s="51"/>
      <c r="G75" s="51"/>
      <c r="H75" s="51"/>
      <c r="I75" s="51" t="s">
        <v>1521</v>
      </c>
      <c r="J75" s="51"/>
      <c r="K75" s="51"/>
      <c r="L75" s="51"/>
      <c r="M75" s="51" t="s">
        <v>1522</v>
      </c>
      <c r="N75" s="51"/>
      <c r="O75" s="51"/>
      <c r="P75" s="51"/>
      <c r="Q75" s="51"/>
      <c r="R75" s="51"/>
      <c r="S75" s="51"/>
      <c r="T75" s="51" t="s">
        <v>1523</v>
      </c>
      <c r="U75" s="51"/>
      <c r="V75" s="51"/>
      <c r="W75" s="51"/>
      <c r="X75" s="51"/>
    </row>
    <row r="76" spans="2:25">
      <c r="B76" s="54"/>
      <c r="C76" s="40" t="s">
        <v>1524</v>
      </c>
      <c r="D76" s="40" t="s">
        <v>1525</v>
      </c>
      <c r="E76" s="40" t="s">
        <v>1526</v>
      </c>
      <c r="F76" s="40" t="s">
        <v>1527</v>
      </c>
      <c r="G76" s="40" t="s">
        <v>1528</v>
      </c>
      <c r="H76" s="40" t="s">
        <v>1529</v>
      </c>
      <c r="I76" s="40" t="s">
        <v>1530</v>
      </c>
      <c r="J76" s="40" t="s">
        <v>1531</v>
      </c>
      <c r="K76" s="40" t="s">
        <v>1532</v>
      </c>
      <c r="L76" s="40" t="s">
        <v>1533</v>
      </c>
      <c r="M76" s="40" t="s">
        <v>1534</v>
      </c>
      <c r="N76" s="40" t="s">
        <v>1535</v>
      </c>
      <c r="O76" s="40" t="s">
        <v>1536</v>
      </c>
      <c r="P76" s="40" t="s">
        <v>1537</v>
      </c>
      <c r="Q76" s="40" t="s">
        <v>1538</v>
      </c>
      <c r="R76" s="40" t="s">
        <v>1539</v>
      </c>
      <c r="S76" s="40" t="s">
        <v>1540</v>
      </c>
      <c r="T76" s="40" t="s">
        <v>1541</v>
      </c>
      <c r="U76" s="40" t="s">
        <v>1542</v>
      </c>
      <c r="V76" s="40" t="s">
        <v>1543</v>
      </c>
      <c r="W76" s="40" t="s">
        <v>1544</v>
      </c>
      <c r="X76" s="40" t="s">
        <v>1545</v>
      </c>
    </row>
    <row r="77" spans="2:25">
      <c r="B77" s="40" t="s">
        <v>1506</v>
      </c>
      <c r="C77" s="38">
        <v>0.98853803249097383</v>
      </c>
      <c r="D77" s="38">
        <v>0.98325825686415513</v>
      </c>
      <c r="E77" s="38">
        <v>0.98037175780272479</v>
      </c>
      <c r="F77" s="38">
        <v>0.99401525121361534</v>
      </c>
      <c r="G77" s="38">
        <v>1.1059346193613384</v>
      </c>
      <c r="H77" s="38">
        <v>1.0879131589652635</v>
      </c>
      <c r="I77" s="38">
        <v>0.97475113362754984</v>
      </c>
      <c r="J77" s="38">
        <v>1.032438495113585</v>
      </c>
      <c r="K77" s="38">
        <v>1.0247280011706839</v>
      </c>
      <c r="L77" s="38">
        <v>1.0003951407481662</v>
      </c>
      <c r="M77" s="38">
        <v>0.95932055754999734</v>
      </c>
      <c r="N77" s="38">
        <v>0.93735740513141164</v>
      </c>
      <c r="O77" s="38">
        <v>0.94881284077775563</v>
      </c>
      <c r="P77" s="38">
        <v>0.92937153173238629</v>
      </c>
      <c r="Q77" s="38">
        <v>0.97195838589603689</v>
      </c>
      <c r="R77" s="38">
        <v>0.91165313163901374</v>
      </c>
      <c r="S77" s="38">
        <v>0.95403317258354303</v>
      </c>
      <c r="T77" s="38">
        <v>0.84233236286148294</v>
      </c>
      <c r="U77" s="38">
        <v>0.95161273720954009</v>
      </c>
      <c r="V77" s="38">
        <v>0.9210182042093733</v>
      </c>
      <c r="W77" s="38">
        <v>0.95605938463271367</v>
      </c>
      <c r="X77" s="38">
        <v>0.96064600958703461</v>
      </c>
    </row>
    <row r="78" spans="2:25">
      <c r="B78" s="40" t="s">
        <v>1507</v>
      </c>
      <c r="C78" s="38">
        <v>1.0359100442059637</v>
      </c>
      <c r="D78" s="38">
        <v>0.97413990055910216</v>
      </c>
      <c r="E78" s="38">
        <v>0.93176602184405</v>
      </c>
      <c r="F78" s="38">
        <v>0.99313076925056298</v>
      </c>
      <c r="G78" s="38">
        <v>1.100924972095485</v>
      </c>
      <c r="H78" s="38">
        <v>1.0842785413616147</v>
      </c>
      <c r="I78" s="38">
        <v>0.95979583958843828</v>
      </c>
      <c r="J78" s="38">
        <v>1.0024801459146313</v>
      </c>
      <c r="K78" s="38">
        <v>1.022432945242268</v>
      </c>
      <c r="L78" s="38">
        <v>0.99997762838510218</v>
      </c>
      <c r="M78" s="38">
        <v>0.92562331619829752</v>
      </c>
      <c r="N78" s="38">
        <v>0.88913400796299114</v>
      </c>
      <c r="O78" s="38">
        <v>0.89615135346778796</v>
      </c>
      <c r="P78" s="38">
        <v>0.90053426846516449</v>
      </c>
      <c r="Q78" s="38">
        <v>0.90063363228191451</v>
      </c>
      <c r="R78" s="38">
        <v>0.89305047443475594</v>
      </c>
      <c r="S78" s="38">
        <v>0.88104574837987593</v>
      </c>
      <c r="T78" s="38">
        <v>0.77268815175707983</v>
      </c>
      <c r="U78" s="38">
        <v>0.92504307898960969</v>
      </c>
      <c r="V78" s="38">
        <v>0.84612552947722242</v>
      </c>
      <c r="W78" s="38">
        <v>0.93705712880262559</v>
      </c>
      <c r="X78" s="38">
        <v>0.90795637971878096</v>
      </c>
    </row>
    <row r="79" spans="2:25">
      <c r="B79" s="40" t="s">
        <v>1508</v>
      </c>
      <c r="C79" s="38">
        <v>0.98224401888196766</v>
      </c>
      <c r="D79" s="38">
        <v>1.0757057484009542</v>
      </c>
      <c r="E79" s="38">
        <v>0.98896604098813368</v>
      </c>
      <c r="F79" s="38">
        <v>0.96523417813168066</v>
      </c>
      <c r="G79" s="38">
        <v>1.2154968993030471</v>
      </c>
      <c r="H79" s="38">
        <v>1.1601563398608203</v>
      </c>
      <c r="I79" s="38">
        <v>1.027167203413405</v>
      </c>
      <c r="J79" s="38">
        <v>1.0550087574332589</v>
      </c>
      <c r="K79" s="38">
        <v>0.98224401888196766</v>
      </c>
      <c r="L79" s="38">
        <v>0.90329509518512641</v>
      </c>
      <c r="M79" s="38">
        <v>1.0821342304694102</v>
      </c>
      <c r="N79" s="38">
        <v>1.0170390995535543</v>
      </c>
      <c r="O79" s="38">
        <v>0.96748376974525885</v>
      </c>
      <c r="P79" s="38">
        <v>0.89673897358678578</v>
      </c>
      <c r="Q79" s="38">
        <v>0.95238612835032421</v>
      </c>
      <c r="R79" s="38">
        <v>0.76423685531024488</v>
      </c>
      <c r="S79" s="38">
        <v>0.92849975834258336</v>
      </c>
      <c r="T79" s="38">
        <v>0.86044910994634283</v>
      </c>
      <c r="U79" s="38">
        <v>0.96265677919711445</v>
      </c>
      <c r="V79" s="38">
        <v>0.9528208093991315</v>
      </c>
      <c r="W79" s="38">
        <v>0.87535854824849868</v>
      </c>
      <c r="X79" s="38">
        <v>0.93128287038852442</v>
      </c>
    </row>
    <row r="80" spans="2:25">
      <c r="B80" s="40" t="s">
        <v>1509</v>
      </c>
      <c r="C80" s="38">
        <v>0.85354031741115077</v>
      </c>
      <c r="D80" s="38">
        <v>0.83344632002402064</v>
      </c>
      <c r="E80" s="38">
        <v>0.9771398364036773</v>
      </c>
      <c r="F80" s="38">
        <v>0.94764054307002754</v>
      </c>
      <c r="G80" s="38">
        <v>0.94644741632296037</v>
      </c>
      <c r="H80" s="38">
        <v>0.98161057555116971</v>
      </c>
      <c r="I80" s="38">
        <v>0.86944361714249818</v>
      </c>
      <c r="J80" s="38">
        <v>0.96316333807885846</v>
      </c>
      <c r="K80" s="38">
        <v>0.92592906465255875</v>
      </c>
      <c r="L80" s="38">
        <v>0.97583804343018354</v>
      </c>
      <c r="M80" s="38">
        <v>0.81024513274764154</v>
      </c>
      <c r="N80" s="38">
        <v>0.90134864427205552</v>
      </c>
      <c r="O80" s="38">
        <v>0.89237194241852957</v>
      </c>
      <c r="P80" s="38">
        <v>0.849725778298555</v>
      </c>
      <c r="Q80" s="38">
        <v>0.83293775922001656</v>
      </c>
      <c r="R80" s="38">
        <v>0.91441685903661907</v>
      </c>
      <c r="S80" s="38">
        <v>0.99305497938955756</v>
      </c>
      <c r="T80" s="38">
        <v>0.79883389588846232</v>
      </c>
      <c r="U80" s="38">
        <v>0.91116737688558913</v>
      </c>
      <c r="V80" s="38">
        <v>0.88474197457898485</v>
      </c>
      <c r="W80" s="38">
        <v>1.0278604842785053</v>
      </c>
      <c r="X80" s="38">
        <v>0.8791367106043313</v>
      </c>
    </row>
    <row r="81" spans="1:24">
      <c r="B81" s="40" t="s">
        <v>1510</v>
      </c>
      <c r="C81" s="38">
        <v>1.0384231221641598</v>
      </c>
      <c r="D81" s="38">
        <v>1.0265507545235664</v>
      </c>
      <c r="E81" s="38">
        <v>1.05939727234176</v>
      </c>
      <c r="F81" s="38">
        <v>1.0402853206630847</v>
      </c>
      <c r="G81" s="38">
        <v>1.1093153948094698</v>
      </c>
      <c r="H81" s="38">
        <v>1.1389298882383323</v>
      </c>
      <c r="I81" s="38">
        <v>1.0549422855334085</v>
      </c>
      <c r="J81" s="38">
        <v>1.0846732821602354</v>
      </c>
      <c r="K81" s="38">
        <v>1.0880583475815693</v>
      </c>
      <c r="L81" s="38">
        <v>1.0572636622966396</v>
      </c>
      <c r="M81" s="38">
        <v>1.048378163733654</v>
      </c>
      <c r="N81" s="38">
        <v>1.0209420065043664</v>
      </c>
      <c r="O81" s="38">
        <v>1.0563479387691987</v>
      </c>
      <c r="P81" s="38">
        <v>1.0651063857208003</v>
      </c>
      <c r="Q81" s="38">
        <v>1.0746342213411129</v>
      </c>
      <c r="R81" s="38">
        <v>1.0518800373156751</v>
      </c>
      <c r="S81" s="38">
        <v>1.0412771314669931</v>
      </c>
      <c r="T81" s="38">
        <v>0.94643644027682605</v>
      </c>
      <c r="U81" s="38">
        <v>0.99566803640052559</v>
      </c>
      <c r="V81" s="38">
        <v>0.97596932791571778</v>
      </c>
      <c r="W81" s="38">
        <v>0.9790054202624342</v>
      </c>
      <c r="X81" s="38">
        <v>1.0505298202458635</v>
      </c>
    </row>
    <row r="82" spans="1:24">
      <c r="B82" s="40" t="s">
        <v>1511</v>
      </c>
      <c r="C82" s="38">
        <v>0.88128693776015199</v>
      </c>
      <c r="D82" s="38">
        <v>0.86986589004665915</v>
      </c>
      <c r="E82" s="38">
        <v>0.99666109251507029</v>
      </c>
      <c r="F82" s="38">
        <v>1</v>
      </c>
      <c r="G82" s="38">
        <v>1.1224972160321827</v>
      </c>
      <c r="H82" s="38">
        <v>1.1000000000000003</v>
      </c>
      <c r="I82" s="38">
        <v>0.85049005481153861</v>
      </c>
      <c r="J82" s="38">
        <v>1.1930353445448858</v>
      </c>
      <c r="K82" s="38">
        <v>1.1445523142259597</v>
      </c>
      <c r="L82" s="38">
        <v>1.0832051206181286</v>
      </c>
      <c r="M82" s="38">
        <v>0.80000000000000038</v>
      </c>
      <c r="N82" s="38">
        <v>0.61373175465073304</v>
      </c>
      <c r="O82" s="38">
        <v>0.67823299831252748</v>
      </c>
      <c r="P82" s="38">
        <v>0.66583281184793885</v>
      </c>
      <c r="Q82" s="38">
        <v>0.81649658092772603</v>
      </c>
      <c r="R82" s="38">
        <v>0.66332495807108005</v>
      </c>
      <c r="S82" s="38">
        <v>0.86216781042517021</v>
      </c>
      <c r="T82" s="38">
        <v>0.68799224801834347</v>
      </c>
      <c r="U82" s="38">
        <v>1.0677078252031313</v>
      </c>
      <c r="V82" s="38">
        <v>1.0984838035522722</v>
      </c>
      <c r="W82" s="38">
        <v>1.0456258094238751</v>
      </c>
      <c r="X82" s="38">
        <v>1.2688577540449517</v>
      </c>
    </row>
    <row r="83" spans="1:24">
      <c r="B83" s="40" t="s">
        <v>1512</v>
      </c>
      <c r="C83" s="38">
        <v>0.90893005569947261</v>
      </c>
      <c r="D83" s="38">
        <v>0.98917214804175424</v>
      </c>
      <c r="E83" s="38">
        <v>0.84489416724590638</v>
      </c>
      <c r="F83" s="38">
        <v>0.98058067569092033</v>
      </c>
      <c r="G83" s="38">
        <v>0.88404663991130117</v>
      </c>
      <c r="H83" s="38">
        <v>0.74935870018200357</v>
      </c>
      <c r="I83" s="38">
        <v>0.81523946458410956</v>
      </c>
      <c r="J83" s="38">
        <v>0.90213422163564705</v>
      </c>
      <c r="K83" s="38">
        <v>0.93479738652081912</v>
      </c>
      <c r="L83" s="38">
        <v>0.91902958854184102</v>
      </c>
      <c r="M83" s="38">
        <v>0.64688603205011164</v>
      </c>
      <c r="N83" s="38">
        <v>0.6336706254344302</v>
      </c>
      <c r="O83" s="38">
        <v>0.58703950856427511</v>
      </c>
      <c r="P83" s="38">
        <v>0.464095480892256</v>
      </c>
      <c r="Q83" s="38">
        <v>0.76056659041897057</v>
      </c>
      <c r="R83" s="38">
        <v>0.53349356567383799</v>
      </c>
      <c r="S83" s="38">
        <v>0.68948141047066258</v>
      </c>
      <c r="T83" s="38">
        <v>0.51440779991693908</v>
      </c>
      <c r="U83" s="38">
        <v>0.84852813742385702</v>
      </c>
      <c r="V83" s="38">
        <v>0.87089697350578621</v>
      </c>
      <c r="W83" s="38">
        <v>0.90808335774607474</v>
      </c>
      <c r="X83" s="38">
        <v>0.74420840753525053</v>
      </c>
    </row>
    <row r="86" spans="1:24">
      <c r="A86" s="51" t="s">
        <v>0</v>
      </c>
      <c r="B86" s="51"/>
      <c r="C86" s="51" t="s">
        <v>1546</v>
      </c>
      <c r="D86" s="51"/>
      <c r="E86" s="51"/>
      <c r="F86" s="51"/>
    </row>
    <row r="87" spans="1:24">
      <c r="A87" s="51"/>
      <c r="B87" s="51"/>
      <c r="C87" s="40" t="s">
        <v>1520</v>
      </c>
      <c r="D87" s="40" t="s">
        <v>1521</v>
      </c>
      <c r="E87" s="40" t="s">
        <v>1522</v>
      </c>
      <c r="F87" s="40" t="s">
        <v>1523</v>
      </c>
    </row>
    <row r="88" spans="1:24">
      <c r="A88" s="51" t="s">
        <v>1506</v>
      </c>
      <c r="B88" s="41" t="s">
        <v>1491</v>
      </c>
      <c r="C88" s="38">
        <v>2.8194444444444442</v>
      </c>
      <c r="D88" s="38">
        <v>3.2609649122807021</v>
      </c>
      <c r="E88" s="38">
        <v>3.5554511278195493</v>
      </c>
      <c r="F88" s="38">
        <v>3.0723684210526314</v>
      </c>
    </row>
    <row r="89" spans="1:24">
      <c r="A89" s="51"/>
      <c r="B89" s="41" t="s">
        <v>1518</v>
      </c>
      <c r="C89" s="38">
        <v>1.040462131109344</v>
      </c>
      <c r="D89" s="38">
        <v>1.0315326596627188</v>
      </c>
      <c r="E89" s="38">
        <v>0.95498578704362092</v>
      </c>
      <c r="F89" s="38">
        <v>0.97016919278377911</v>
      </c>
    </row>
    <row r="90" spans="1:24">
      <c r="A90" s="51" t="s">
        <v>1507</v>
      </c>
      <c r="B90" s="41" t="s">
        <v>1491</v>
      </c>
      <c r="C90" s="38">
        <v>2.7466666666666666</v>
      </c>
      <c r="D90" s="38">
        <v>3.1616666666666671</v>
      </c>
      <c r="E90" s="38">
        <v>3.5133333333333328</v>
      </c>
      <c r="F90" s="38">
        <v>3.0213333333333332</v>
      </c>
    </row>
    <row r="91" spans="1:24">
      <c r="A91" s="51"/>
      <c r="B91" s="41" t="s">
        <v>1518</v>
      </c>
      <c r="C91" s="38">
        <v>1.0356493237050692</v>
      </c>
      <c r="D91" s="38">
        <v>1.0135297857487411</v>
      </c>
      <c r="E91" s="38">
        <v>0.91294750617482012</v>
      </c>
      <c r="F91" s="38">
        <v>0.93132596134969503</v>
      </c>
    </row>
    <row r="92" spans="1:24">
      <c r="A92" s="51" t="s">
        <v>1508</v>
      </c>
      <c r="B92" s="41" t="s">
        <v>1491</v>
      </c>
      <c r="C92" s="38">
        <v>2.9523809523809526</v>
      </c>
      <c r="D92" s="38">
        <v>3.3107142857142855</v>
      </c>
      <c r="E92" s="38">
        <v>3.6999999999999997</v>
      </c>
      <c r="F92" s="38">
        <v>3.1114285714285712</v>
      </c>
    </row>
    <row r="93" spans="1:24">
      <c r="A93" s="51"/>
      <c r="B93" s="41" t="s">
        <v>1518</v>
      </c>
      <c r="C93" s="38">
        <v>1.0781487924815394</v>
      </c>
      <c r="D93" s="38">
        <v>1.0088636873136694</v>
      </c>
      <c r="E93" s="38">
        <v>0.96025303413764407</v>
      </c>
      <c r="F93" s="38">
        <v>0.97041373877137294</v>
      </c>
    </row>
    <row r="94" spans="1:24">
      <c r="A94" s="51" t="s">
        <v>1509</v>
      </c>
      <c r="B94" s="41" t="s">
        <v>1491</v>
      </c>
      <c r="C94" s="38">
        <v>2.8361111111111117</v>
      </c>
      <c r="D94" s="38">
        <v>3.3583333333333334</v>
      </c>
      <c r="E94" s="38">
        <v>3.5904761904761915</v>
      </c>
      <c r="F94" s="38">
        <v>3.043333333333333</v>
      </c>
    </row>
    <row r="95" spans="1:24">
      <c r="A95" s="51"/>
      <c r="B95" s="41" t="s">
        <v>1518</v>
      </c>
      <c r="C95" s="38">
        <v>0.93720760425292893</v>
      </c>
      <c r="D95" s="38">
        <v>0.95764559034567054</v>
      </c>
      <c r="E95" s="38">
        <v>0.89490990301554141</v>
      </c>
      <c r="F95" s="38">
        <v>0.95804404048068526</v>
      </c>
    </row>
    <row r="96" spans="1:24">
      <c r="A96" s="51" t="s">
        <v>1510</v>
      </c>
      <c r="B96" s="41" t="s">
        <v>1491</v>
      </c>
      <c r="C96" s="38">
        <v>2.7426666666666666</v>
      </c>
      <c r="D96" s="38">
        <v>3.2380000000000004</v>
      </c>
      <c r="E96" s="38">
        <v>3.3645714285714283</v>
      </c>
      <c r="F96" s="38">
        <v>3.0479999999999996</v>
      </c>
    </row>
    <row r="97" spans="1:13">
      <c r="A97" s="51"/>
      <c r="B97" s="41" t="s">
        <v>1518</v>
      </c>
      <c r="C97" s="38">
        <v>1.0810509317534251</v>
      </c>
      <c r="D97" s="38">
        <v>1.0971615774598142</v>
      </c>
      <c r="E97" s="38">
        <v>1.0560394655171041</v>
      </c>
      <c r="F97" s="38">
        <v>1.0036471951376604</v>
      </c>
    </row>
    <row r="98" spans="1:13">
      <c r="A98" s="51" t="s">
        <v>1511</v>
      </c>
      <c r="B98" s="41" t="s">
        <v>1491</v>
      </c>
      <c r="C98" s="38">
        <v>3.06</v>
      </c>
      <c r="D98" s="38">
        <v>3.51</v>
      </c>
      <c r="E98" s="38">
        <v>4.1485714285714286</v>
      </c>
      <c r="F98" s="38">
        <v>3.3519999999999994</v>
      </c>
    </row>
    <row r="99" spans="1:13">
      <c r="A99" s="51"/>
      <c r="B99" s="41" t="s">
        <v>1518</v>
      </c>
      <c r="C99" s="38">
        <v>1.0312564825909731</v>
      </c>
      <c r="D99" s="38">
        <v>1.0777361233229363</v>
      </c>
      <c r="E99" s="38">
        <v>0.73553930037583504</v>
      </c>
      <c r="F99" s="38">
        <v>1.1306292852412592</v>
      </c>
    </row>
    <row r="100" spans="1:13">
      <c r="A100" s="51" t="s">
        <v>1512</v>
      </c>
      <c r="B100" s="41" t="s">
        <v>1491</v>
      </c>
      <c r="C100" s="38">
        <v>2.9807692307692304</v>
      </c>
      <c r="D100" s="38">
        <v>3.3461538461538458</v>
      </c>
      <c r="E100" s="38">
        <v>3.6758241758241756</v>
      </c>
      <c r="F100" s="38">
        <v>3.1769230769230767</v>
      </c>
    </row>
    <row r="101" spans="1:13">
      <c r="A101" s="51"/>
      <c r="B101" s="41" t="s">
        <v>1518</v>
      </c>
      <c r="C101" s="38">
        <v>0.91912408405277668</v>
      </c>
      <c r="D101" s="38">
        <v>0.93236551407145185</v>
      </c>
      <c r="E101" s="38">
        <v>0.63015225018865517</v>
      </c>
      <c r="F101" s="38">
        <v>0.8395770863711397</v>
      </c>
    </row>
    <row r="104" spans="1:13">
      <c r="B104" s="44" t="s">
        <v>1546</v>
      </c>
      <c r="D104" s="45"/>
      <c r="E104" s="45"/>
      <c r="F104" s="45"/>
      <c r="G104" s="45"/>
      <c r="I104" s="52" t="s">
        <v>0</v>
      </c>
      <c r="J104" s="51" t="s">
        <v>1546</v>
      </c>
      <c r="K104" s="51"/>
      <c r="L104" s="51"/>
      <c r="M104" s="51"/>
    </row>
    <row r="105" spans="1:13">
      <c r="B105" s="43" t="s">
        <v>0</v>
      </c>
      <c r="C105" s="40" t="s">
        <v>1520</v>
      </c>
      <c r="D105" s="40" t="s">
        <v>1521</v>
      </c>
      <c r="E105" s="40" t="s">
        <v>1522</v>
      </c>
      <c r="F105" s="40" t="s">
        <v>1523</v>
      </c>
      <c r="G105" s="36" t="s">
        <v>1519</v>
      </c>
      <c r="I105" s="54"/>
      <c r="J105" s="40" t="s">
        <v>1520</v>
      </c>
      <c r="K105" s="40" t="s">
        <v>1521</v>
      </c>
      <c r="L105" s="40" t="s">
        <v>1522</v>
      </c>
      <c r="M105" s="40" t="s">
        <v>1523</v>
      </c>
    </row>
    <row r="106" spans="1:13">
      <c r="B106" s="40" t="s">
        <v>1506</v>
      </c>
      <c r="C106" s="38">
        <v>2.8194444444444442</v>
      </c>
      <c r="D106" s="38">
        <v>3.2609649122807021</v>
      </c>
      <c r="E106" s="38">
        <v>3.5554511278195493</v>
      </c>
      <c r="F106" s="38">
        <v>3.0723684210526314</v>
      </c>
      <c r="G106" s="39">
        <f>AVERAGE(C106:F106)</f>
        <v>3.1770572263993322</v>
      </c>
      <c r="I106" s="40" t="s">
        <v>1506</v>
      </c>
      <c r="J106" s="38">
        <v>1.040462131109344</v>
      </c>
      <c r="K106" s="38">
        <v>1.0315326596627188</v>
      </c>
      <c r="L106" s="38">
        <v>0.95498578704362092</v>
      </c>
      <c r="M106" s="38">
        <v>0.97016919278377911</v>
      </c>
    </row>
    <row r="107" spans="1:13">
      <c r="B107" s="40" t="s">
        <v>1507</v>
      </c>
      <c r="C107" s="38">
        <v>2.7466666666666666</v>
      </c>
      <c r="D107" s="38">
        <v>3.1616666666666671</v>
      </c>
      <c r="E107" s="38">
        <v>3.5133333333333328</v>
      </c>
      <c r="F107" s="38">
        <v>3.0213333333333332</v>
      </c>
      <c r="G107" s="39">
        <f t="shared" ref="G107:G112" si="4">AVERAGE(C107:F107)</f>
        <v>3.1107499999999999</v>
      </c>
      <c r="I107" s="40" t="s">
        <v>1507</v>
      </c>
      <c r="J107" s="38">
        <v>1.0356493237050692</v>
      </c>
      <c r="K107" s="38">
        <v>1.0135297857487411</v>
      </c>
      <c r="L107" s="38">
        <v>0.91294750617482012</v>
      </c>
      <c r="M107" s="38">
        <v>0.93132596134969503</v>
      </c>
    </row>
    <row r="108" spans="1:13">
      <c r="B108" s="40" t="s">
        <v>1508</v>
      </c>
      <c r="C108" s="38">
        <v>2.9523809523809526</v>
      </c>
      <c r="D108" s="38">
        <v>3.3107142857142855</v>
      </c>
      <c r="E108" s="38">
        <v>3.6999999999999997</v>
      </c>
      <c r="F108" s="38">
        <v>3.1114285714285712</v>
      </c>
      <c r="G108" s="39">
        <f t="shared" si="4"/>
        <v>3.2686309523809518</v>
      </c>
      <c r="I108" s="40" t="s">
        <v>1508</v>
      </c>
      <c r="J108" s="38">
        <v>1.0781487924815394</v>
      </c>
      <c r="K108" s="38">
        <v>1.0088636873136694</v>
      </c>
      <c r="L108" s="38">
        <v>0.96025303413764407</v>
      </c>
      <c r="M108" s="38">
        <v>0.97041373877137294</v>
      </c>
    </row>
    <row r="109" spans="1:13">
      <c r="B109" s="40" t="s">
        <v>1509</v>
      </c>
      <c r="C109" s="38">
        <v>2.8361111111111117</v>
      </c>
      <c r="D109" s="38">
        <v>3.3583333333333334</v>
      </c>
      <c r="E109" s="38">
        <v>3.5904761904761915</v>
      </c>
      <c r="F109" s="38">
        <v>3.043333333333333</v>
      </c>
      <c r="G109" s="39">
        <f t="shared" si="4"/>
        <v>3.2070634920634924</v>
      </c>
      <c r="I109" s="40" t="s">
        <v>1509</v>
      </c>
      <c r="J109" s="38">
        <v>0.93720760425292893</v>
      </c>
      <c r="K109" s="38">
        <v>0.95764559034567054</v>
      </c>
      <c r="L109" s="38">
        <v>0.89490990301554141</v>
      </c>
      <c r="M109" s="38">
        <v>0.95804404048068526</v>
      </c>
    </row>
    <row r="110" spans="1:13">
      <c r="B110" s="40" t="s">
        <v>1510</v>
      </c>
      <c r="C110" s="38">
        <v>2.7426666666666666</v>
      </c>
      <c r="D110" s="38">
        <v>3.2380000000000004</v>
      </c>
      <c r="E110" s="38">
        <v>3.3645714285714283</v>
      </c>
      <c r="F110" s="38">
        <v>3.0479999999999996</v>
      </c>
      <c r="G110" s="39">
        <f t="shared" si="4"/>
        <v>3.0983095238095237</v>
      </c>
      <c r="I110" s="40" t="s">
        <v>1510</v>
      </c>
      <c r="J110" s="38">
        <v>1.0810509317534251</v>
      </c>
      <c r="K110" s="38">
        <v>1.0971615774598142</v>
      </c>
      <c r="L110" s="38">
        <v>1.0560394655171041</v>
      </c>
      <c r="M110" s="38">
        <v>1.0036471951376604</v>
      </c>
    </row>
    <row r="111" spans="1:13">
      <c r="B111" s="40" t="s">
        <v>1511</v>
      </c>
      <c r="C111" s="38">
        <v>3.06</v>
      </c>
      <c r="D111" s="38">
        <v>3.51</v>
      </c>
      <c r="E111" s="38">
        <v>4.1485714285714286</v>
      </c>
      <c r="F111" s="38">
        <v>3.3519999999999994</v>
      </c>
      <c r="G111" s="39">
        <f t="shared" si="4"/>
        <v>3.5176428571428575</v>
      </c>
      <c r="I111" s="40" t="s">
        <v>1511</v>
      </c>
      <c r="J111" s="38">
        <v>1.0312564825909731</v>
      </c>
      <c r="K111" s="38">
        <v>1.0777361233229363</v>
      </c>
      <c r="L111" s="38">
        <v>0.73553930037583504</v>
      </c>
      <c r="M111" s="38">
        <v>1.1306292852412592</v>
      </c>
    </row>
    <row r="112" spans="1:13">
      <c r="B112" s="40" t="s">
        <v>1512</v>
      </c>
      <c r="C112" s="38">
        <v>2.9807692307692304</v>
      </c>
      <c r="D112" s="38">
        <v>3.3461538461538458</v>
      </c>
      <c r="E112" s="38">
        <v>3.6758241758241756</v>
      </c>
      <c r="F112" s="38">
        <v>3.1769230769230767</v>
      </c>
      <c r="G112" s="39">
        <f t="shared" si="4"/>
        <v>3.294917582417582</v>
      </c>
      <c r="I112" s="40" t="s">
        <v>1512</v>
      </c>
      <c r="J112" s="38">
        <v>0.91912408405277668</v>
      </c>
      <c r="K112" s="38">
        <v>0.93236551407145185</v>
      </c>
      <c r="L112" s="38">
        <v>0.63015225018865517</v>
      </c>
      <c r="M112" s="38">
        <v>0.8395770863711397</v>
      </c>
    </row>
  </sheetData>
  <mergeCells count="47">
    <mergeCell ref="I104:I105"/>
    <mergeCell ref="J104:M104"/>
    <mergeCell ref="Y64:Y65"/>
    <mergeCell ref="A92:A93"/>
    <mergeCell ref="A94:A95"/>
    <mergeCell ref="A96:A97"/>
    <mergeCell ref="A98:A99"/>
    <mergeCell ref="A100:A101"/>
    <mergeCell ref="C86:F86"/>
    <mergeCell ref="B75:B76"/>
    <mergeCell ref="A86:B87"/>
    <mergeCell ref="A88:A89"/>
    <mergeCell ref="A90:A91"/>
    <mergeCell ref="C75:H75"/>
    <mergeCell ref="I75:L75"/>
    <mergeCell ref="M75:S75"/>
    <mergeCell ref="T75:X75"/>
    <mergeCell ref="C64:H64"/>
    <mergeCell ref="I64:L64"/>
    <mergeCell ref="M64:S64"/>
    <mergeCell ref="T64:X64"/>
    <mergeCell ref="B64:B65"/>
    <mergeCell ref="A54:A55"/>
    <mergeCell ref="A56:A57"/>
    <mergeCell ref="A58:A59"/>
    <mergeCell ref="A60:A61"/>
    <mergeCell ref="A50:A51"/>
    <mergeCell ref="A52:A53"/>
    <mergeCell ref="I46:L46"/>
    <mergeCell ref="M46:S46"/>
    <mergeCell ref="C46:H46"/>
    <mergeCell ref="A46:B47"/>
    <mergeCell ref="A19:A20"/>
    <mergeCell ref="A21:A22"/>
    <mergeCell ref="A23:A24"/>
    <mergeCell ref="A25:A26"/>
    <mergeCell ref="A48:A49"/>
    <mergeCell ref="A27:A28"/>
    <mergeCell ref="A29:A30"/>
    <mergeCell ref="A33:V33"/>
    <mergeCell ref="T46:X46"/>
    <mergeCell ref="A35:H35"/>
    <mergeCell ref="A1:H1"/>
    <mergeCell ref="A2:H2"/>
    <mergeCell ref="A3:H3"/>
    <mergeCell ref="A13:H13"/>
    <mergeCell ref="A17:A18"/>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00EA-5F92-48D2-9B7B-6C708F6405F2}">
  <dimension ref="A1:AR170"/>
  <sheetViews>
    <sheetView zoomScale="85" zoomScaleNormal="85" workbookViewId="0">
      <selection activeCell="J4" sqref="J4:L4"/>
    </sheetView>
  </sheetViews>
  <sheetFormatPr defaultRowHeight="16.899999999999999"/>
  <sheetData>
    <row r="1" spans="1:44">
      <c r="A1" s="1" t="s">
        <v>0</v>
      </c>
      <c r="B1" s="60" t="s">
        <v>1</v>
      </c>
      <c r="C1" s="60"/>
      <c r="D1" s="60"/>
      <c r="E1" s="60"/>
      <c r="F1" s="60"/>
      <c r="G1" s="61" t="s">
        <v>2</v>
      </c>
      <c r="H1" s="61"/>
      <c r="I1" s="61"/>
      <c r="J1" s="61"/>
      <c r="K1" s="61"/>
      <c r="L1" s="61"/>
      <c r="M1" s="2"/>
      <c r="N1" s="3" t="s">
        <v>3</v>
      </c>
      <c r="O1" s="3"/>
      <c r="P1" s="3"/>
      <c r="Q1" s="56" t="s">
        <v>4</v>
      </c>
      <c r="R1" s="56"/>
      <c r="S1" s="56"/>
      <c r="T1" s="56"/>
      <c r="U1" s="56"/>
      <c r="V1" s="56"/>
      <c r="W1" s="56"/>
      <c r="X1" s="56"/>
      <c r="Y1" s="56"/>
      <c r="Z1" s="56"/>
      <c r="AA1" s="56"/>
      <c r="AB1" s="56"/>
      <c r="AC1" s="56"/>
      <c r="AD1" s="56"/>
      <c r="AE1" s="56"/>
      <c r="AF1" s="56"/>
      <c r="AG1" s="56"/>
      <c r="AH1" s="56"/>
      <c r="AI1" s="56"/>
      <c r="AJ1" s="56"/>
      <c r="AK1" s="56"/>
      <c r="AL1" s="56"/>
      <c r="AM1" s="4"/>
      <c r="AN1" s="4"/>
      <c r="AO1" s="62" t="s">
        <v>5</v>
      </c>
      <c r="AP1" s="62"/>
      <c r="AQ1" s="62"/>
      <c r="AR1" s="5" t="s">
        <v>6</v>
      </c>
    </row>
    <row r="2" spans="1:44">
      <c r="A2" s="6" t="s">
        <v>7</v>
      </c>
      <c r="B2" s="63" t="s">
        <v>1</v>
      </c>
      <c r="C2" s="63"/>
      <c r="D2" s="63"/>
      <c r="E2" s="63"/>
      <c r="F2" s="63"/>
      <c r="G2" s="64" t="s">
        <v>8</v>
      </c>
      <c r="H2" s="64"/>
      <c r="I2" s="64"/>
      <c r="J2" s="64"/>
      <c r="K2" s="64"/>
      <c r="L2" s="64"/>
      <c r="M2" s="7"/>
      <c r="N2" s="3" t="s">
        <v>3</v>
      </c>
      <c r="O2" s="8"/>
      <c r="P2" s="8"/>
      <c r="Q2" s="65" t="s">
        <v>9</v>
      </c>
      <c r="R2" s="66"/>
      <c r="S2" s="66"/>
      <c r="T2" s="66"/>
      <c r="U2" s="66"/>
      <c r="V2" s="67"/>
      <c r="W2" s="65" t="s">
        <v>10</v>
      </c>
      <c r="X2" s="66"/>
      <c r="Y2" s="66"/>
      <c r="Z2" s="67"/>
      <c r="AA2" s="68" t="s">
        <v>11</v>
      </c>
      <c r="AB2" s="69"/>
      <c r="AC2" s="69"/>
      <c r="AD2" s="69"/>
      <c r="AE2" s="69"/>
      <c r="AF2" s="69"/>
      <c r="AG2" s="70"/>
      <c r="AH2" s="68" t="s">
        <v>12</v>
      </c>
      <c r="AI2" s="69"/>
      <c r="AJ2" s="69"/>
      <c r="AK2" s="69"/>
      <c r="AL2" s="70"/>
      <c r="AM2" s="9"/>
      <c r="AN2" s="9"/>
      <c r="AO2" s="10" t="s">
        <v>13</v>
      </c>
      <c r="AP2" s="71" t="s">
        <v>14</v>
      </c>
      <c r="AQ2" s="71"/>
      <c r="AR2" s="11" t="s">
        <v>15</v>
      </c>
    </row>
    <row r="3" spans="1:44">
      <c r="A3" s="12" t="s">
        <v>16</v>
      </c>
      <c r="B3" s="13" t="s">
        <v>17</v>
      </c>
      <c r="C3" s="14" t="s">
        <v>18</v>
      </c>
      <c r="D3" s="14" t="s">
        <v>19</v>
      </c>
      <c r="E3" s="14" t="s">
        <v>20</v>
      </c>
      <c r="F3" s="14" t="s">
        <v>21</v>
      </c>
      <c r="G3" s="15" t="s">
        <v>22</v>
      </c>
      <c r="H3" s="15"/>
      <c r="I3" s="15"/>
      <c r="J3" s="15" t="s">
        <v>23</v>
      </c>
      <c r="K3" s="15" t="s">
        <v>24</v>
      </c>
      <c r="L3" s="16" t="s">
        <v>25</v>
      </c>
      <c r="M3" s="16"/>
      <c r="N3" s="3" t="s">
        <v>3</v>
      </c>
      <c r="O3" s="3"/>
      <c r="P3" s="3"/>
      <c r="Q3" s="17" t="s">
        <v>26</v>
      </c>
      <c r="R3" s="3" t="s">
        <v>27</v>
      </c>
      <c r="S3" s="3" t="s">
        <v>28</v>
      </c>
      <c r="T3" s="18" t="s">
        <v>29</v>
      </c>
      <c r="U3" s="17" t="s">
        <v>30</v>
      </c>
      <c r="V3" s="3" t="s">
        <v>31</v>
      </c>
      <c r="W3" s="17" t="s">
        <v>32</v>
      </c>
      <c r="X3" s="17" t="s">
        <v>33</v>
      </c>
      <c r="Y3" s="17" t="s">
        <v>34</v>
      </c>
      <c r="Z3" s="17" t="s">
        <v>35</v>
      </c>
      <c r="AA3" s="17" t="s">
        <v>36</v>
      </c>
      <c r="AB3" s="17" t="s">
        <v>37</v>
      </c>
      <c r="AC3" s="17" t="s">
        <v>38</v>
      </c>
      <c r="AD3" s="17" t="s">
        <v>39</v>
      </c>
      <c r="AE3" s="17" t="s">
        <v>40</v>
      </c>
      <c r="AF3" s="17" t="s">
        <v>41</v>
      </c>
      <c r="AG3" s="17" t="s">
        <v>42</v>
      </c>
      <c r="AH3" s="17" t="s">
        <v>43</v>
      </c>
      <c r="AI3" s="17" t="s">
        <v>44</v>
      </c>
      <c r="AJ3" s="17" t="s">
        <v>45</v>
      </c>
      <c r="AK3" s="19" t="s">
        <v>46</v>
      </c>
      <c r="AL3" s="19" t="s">
        <v>47</v>
      </c>
      <c r="AM3" s="19"/>
      <c r="AN3" s="19"/>
      <c r="AO3" s="20" t="s">
        <v>48</v>
      </c>
      <c r="AP3" s="20" t="s">
        <v>49</v>
      </c>
      <c r="AQ3" s="20" t="s">
        <v>50</v>
      </c>
      <c r="AR3" s="21" t="s">
        <v>15</v>
      </c>
    </row>
    <row r="4" spans="1:44">
      <c r="A4" s="22" t="s">
        <v>51</v>
      </c>
      <c r="B4" s="22" t="s">
        <v>52</v>
      </c>
      <c r="C4" s="22" t="s">
        <v>53</v>
      </c>
      <c r="D4" s="22" t="s">
        <v>54</v>
      </c>
      <c r="E4" s="22" t="s">
        <v>55</v>
      </c>
      <c r="F4" s="22" t="s">
        <v>56</v>
      </c>
      <c r="G4" s="22" t="s">
        <v>57</v>
      </c>
      <c r="H4" s="23"/>
      <c r="I4" s="23"/>
      <c r="J4" s="22">
        <v>3</v>
      </c>
      <c r="K4" s="22">
        <v>1</v>
      </c>
      <c r="L4" s="22">
        <v>1</v>
      </c>
      <c r="M4" s="23"/>
      <c r="N4" s="22" t="s">
        <v>58</v>
      </c>
      <c r="O4" s="23"/>
      <c r="P4" s="23"/>
      <c r="Q4" s="24">
        <v>3</v>
      </c>
      <c r="R4" s="24">
        <v>1</v>
      </c>
      <c r="S4" s="24">
        <v>2</v>
      </c>
      <c r="T4" s="24">
        <v>2</v>
      </c>
      <c r="U4" s="24">
        <v>4</v>
      </c>
      <c r="V4" s="24">
        <v>3</v>
      </c>
      <c r="W4" s="24">
        <v>4</v>
      </c>
      <c r="X4" s="24">
        <v>3</v>
      </c>
      <c r="Y4" s="24">
        <v>3</v>
      </c>
      <c r="Z4" s="24">
        <v>3</v>
      </c>
      <c r="AA4" s="24">
        <v>4</v>
      </c>
      <c r="AB4" s="24">
        <v>5</v>
      </c>
      <c r="AC4" s="24">
        <v>4</v>
      </c>
      <c r="AD4" s="24">
        <v>4</v>
      </c>
      <c r="AE4" s="24">
        <v>3</v>
      </c>
      <c r="AF4" s="24">
        <v>3</v>
      </c>
      <c r="AG4" s="24">
        <v>3</v>
      </c>
      <c r="AH4" s="24">
        <v>4</v>
      </c>
      <c r="AI4" s="24">
        <v>1</v>
      </c>
      <c r="AJ4" s="24">
        <v>1</v>
      </c>
      <c r="AK4" s="24">
        <v>1</v>
      </c>
      <c r="AL4" s="24">
        <v>1</v>
      </c>
      <c r="AM4" s="23"/>
      <c r="AN4" s="23"/>
      <c r="AO4" s="22" t="s">
        <v>59</v>
      </c>
      <c r="AP4" s="22" t="s">
        <v>60</v>
      </c>
      <c r="AQ4" s="22" t="s">
        <v>61</v>
      </c>
      <c r="AR4" s="22" t="s">
        <v>62</v>
      </c>
    </row>
    <row r="5" spans="1:44">
      <c r="A5" s="22" t="s">
        <v>63</v>
      </c>
      <c r="B5" s="22" t="s">
        <v>52</v>
      </c>
      <c r="C5" s="22" t="s">
        <v>53</v>
      </c>
      <c r="D5" s="22" t="s">
        <v>64</v>
      </c>
      <c r="E5" s="22" t="s">
        <v>55</v>
      </c>
      <c r="F5" s="22" t="s">
        <v>65</v>
      </c>
      <c r="G5" s="22" t="s">
        <v>57</v>
      </c>
      <c r="H5" s="23"/>
      <c r="I5" s="23"/>
      <c r="J5" s="22">
        <v>3</v>
      </c>
      <c r="K5" s="22">
        <v>3</v>
      </c>
      <c r="L5" s="22">
        <v>4</v>
      </c>
      <c r="M5" s="23"/>
      <c r="N5" s="22" t="s">
        <v>66</v>
      </c>
      <c r="O5" s="23"/>
      <c r="P5" s="23"/>
      <c r="Q5" s="24">
        <v>3</v>
      </c>
      <c r="R5" s="24">
        <v>3</v>
      </c>
      <c r="S5" s="24">
        <v>4</v>
      </c>
      <c r="T5" s="24">
        <v>4</v>
      </c>
      <c r="U5" s="24">
        <v>4</v>
      </c>
      <c r="V5" s="24">
        <v>4</v>
      </c>
      <c r="W5" s="24">
        <v>4</v>
      </c>
      <c r="X5" s="24">
        <v>4</v>
      </c>
      <c r="Y5" s="24">
        <v>4</v>
      </c>
      <c r="Z5" s="24">
        <v>4</v>
      </c>
      <c r="AA5" s="24">
        <v>4</v>
      </c>
      <c r="AB5" s="24">
        <v>4</v>
      </c>
      <c r="AC5" s="24">
        <v>4</v>
      </c>
      <c r="AD5" s="24">
        <v>4</v>
      </c>
      <c r="AE5" s="24">
        <v>4</v>
      </c>
      <c r="AF5" s="24">
        <v>4</v>
      </c>
      <c r="AG5" s="24">
        <v>4</v>
      </c>
      <c r="AH5" s="24">
        <v>4</v>
      </c>
      <c r="AI5" s="24">
        <v>2</v>
      </c>
      <c r="AJ5" s="24">
        <v>2</v>
      </c>
      <c r="AK5" s="24">
        <v>3</v>
      </c>
      <c r="AL5" s="24">
        <v>2</v>
      </c>
      <c r="AM5" s="23"/>
      <c r="AN5" s="23"/>
      <c r="AO5" s="22" t="s">
        <v>59</v>
      </c>
      <c r="AP5" s="22" t="s">
        <v>67</v>
      </c>
      <c r="AQ5" s="22" t="s">
        <v>68</v>
      </c>
      <c r="AR5" s="22" t="s">
        <v>69</v>
      </c>
    </row>
    <row r="6" spans="1:44" hidden="1">
      <c r="A6" s="22" t="s">
        <v>70</v>
      </c>
      <c r="B6" s="22" t="s">
        <v>52</v>
      </c>
      <c r="C6" s="22" t="s">
        <v>53</v>
      </c>
      <c r="D6" s="22" t="s">
        <v>71</v>
      </c>
      <c r="E6" s="22" t="s">
        <v>72</v>
      </c>
      <c r="F6" s="22" t="s">
        <v>73</v>
      </c>
      <c r="G6" s="22" t="s">
        <v>57</v>
      </c>
      <c r="H6" s="23"/>
      <c r="I6" s="23"/>
      <c r="J6" s="22">
        <v>4</v>
      </c>
      <c r="K6" s="22">
        <v>3</v>
      </c>
      <c r="L6" s="22">
        <v>2</v>
      </c>
      <c r="M6" s="23"/>
      <c r="N6" s="22" t="s">
        <v>66</v>
      </c>
      <c r="O6" s="23"/>
      <c r="P6" s="23"/>
      <c r="Q6" s="24">
        <v>4</v>
      </c>
      <c r="R6" s="24">
        <v>4</v>
      </c>
      <c r="S6" s="24">
        <v>4</v>
      </c>
      <c r="T6" s="24">
        <v>3</v>
      </c>
      <c r="U6" s="24">
        <v>4</v>
      </c>
      <c r="V6" s="24">
        <v>4</v>
      </c>
      <c r="W6" s="24">
        <v>3</v>
      </c>
      <c r="X6" s="24">
        <v>4</v>
      </c>
      <c r="Y6" s="24">
        <v>4</v>
      </c>
      <c r="Z6" s="24">
        <v>3</v>
      </c>
      <c r="AA6" s="24">
        <v>4</v>
      </c>
      <c r="AB6" s="24">
        <v>4</v>
      </c>
      <c r="AC6" s="24">
        <v>4</v>
      </c>
      <c r="AD6" s="24">
        <v>4</v>
      </c>
      <c r="AE6" s="24">
        <v>4</v>
      </c>
      <c r="AF6" s="24">
        <v>4</v>
      </c>
      <c r="AG6" s="24">
        <v>4</v>
      </c>
      <c r="AH6" s="24">
        <v>4</v>
      </c>
      <c r="AI6" s="24">
        <v>3</v>
      </c>
      <c r="AJ6" s="24">
        <v>3</v>
      </c>
      <c r="AK6" s="24">
        <v>3</v>
      </c>
      <c r="AL6" s="24">
        <v>3</v>
      </c>
      <c r="AM6" s="23"/>
      <c r="AN6" s="23"/>
      <c r="AO6" s="22" t="s">
        <v>74</v>
      </c>
      <c r="AP6" s="22" t="s">
        <v>75</v>
      </c>
      <c r="AQ6" s="22" t="s">
        <v>76</v>
      </c>
      <c r="AR6" s="22" t="s">
        <v>77</v>
      </c>
    </row>
    <row r="7" spans="1:44" hidden="1">
      <c r="A7" s="22" t="s">
        <v>78</v>
      </c>
      <c r="B7" s="22" t="s">
        <v>52</v>
      </c>
      <c r="C7" s="22" t="s">
        <v>79</v>
      </c>
      <c r="D7" s="22" t="s">
        <v>54</v>
      </c>
      <c r="E7" s="22" t="s">
        <v>55</v>
      </c>
      <c r="F7" s="22" t="s">
        <v>56</v>
      </c>
      <c r="G7" s="22" t="s">
        <v>80</v>
      </c>
      <c r="H7" s="23"/>
      <c r="I7" s="23"/>
      <c r="J7" s="22">
        <v>3</v>
      </c>
      <c r="K7" s="22">
        <v>1</v>
      </c>
      <c r="L7" s="22">
        <v>2</v>
      </c>
      <c r="M7" s="23"/>
      <c r="N7" s="22" t="s">
        <v>58</v>
      </c>
      <c r="O7" s="23"/>
      <c r="P7" s="23"/>
      <c r="Q7" s="24">
        <v>3</v>
      </c>
      <c r="R7" s="24">
        <v>2</v>
      </c>
      <c r="S7" s="24">
        <v>4</v>
      </c>
      <c r="T7" s="24">
        <v>3</v>
      </c>
      <c r="U7" s="24">
        <v>3</v>
      </c>
      <c r="V7" s="24">
        <v>3</v>
      </c>
      <c r="W7" s="24">
        <v>4</v>
      </c>
      <c r="X7" s="24">
        <v>3</v>
      </c>
      <c r="Y7" s="24">
        <v>3</v>
      </c>
      <c r="Z7" s="24">
        <v>3</v>
      </c>
      <c r="AA7" s="24">
        <v>3</v>
      </c>
      <c r="AB7" s="24">
        <v>4</v>
      </c>
      <c r="AC7" s="24">
        <v>4</v>
      </c>
      <c r="AD7" s="24">
        <v>3</v>
      </c>
      <c r="AE7" s="24">
        <v>3</v>
      </c>
      <c r="AF7" s="24">
        <v>3</v>
      </c>
      <c r="AG7" s="24">
        <v>3</v>
      </c>
      <c r="AH7" s="24">
        <v>3</v>
      </c>
      <c r="AI7" s="24">
        <v>3</v>
      </c>
      <c r="AJ7" s="24">
        <v>3</v>
      </c>
      <c r="AK7" s="24">
        <v>4</v>
      </c>
      <c r="AL7" s="24">
        <v>3</v>
      </c>
      <c r="AM7" s="23"/>
      <c r="AN7" s="23"/>
      <c r="AO7" s="22" t="s">
        <v>59</v>
      </c>
      <c r="AP7" s="22" t="s">
        <v>81</v>
      </c>
      <c r="AQ7" s="22" t="s">
        <v>82</v>
      </c>
      <c r="AR7" s="22" t="s">
        <v>83</v>
      </c>
    </row>
    <row r="8" spans="1:44" hidden="1">
      <c r="A8" s="22" t="s">
        <v>84</v>
      </c>
      <c r="B8" s="22" t="s">
        <v>52</v>
      </c>
      <c r="C8" s="22" t="s">
        <v>53</v>
      </c>
      <c r="D8" s="22" t="s">
        <v>64</v>
      </c>
      <c r="E8" s="22" t="s">
        <v>55</v>
      </c>
      <c r="F8" s="22" t="s">
        <v>56</v>
      </c>
      <c r="G8" s="22" t="s">
        <v>80</v>
      </c>
      <c r="H8" s="23"/>
      <c r="I8" s="23"/>
      <c r="J8" s="22">
        <v>1</v>
      </c>
      <c r="K8" s="22">
        <v>1</v>
      </c>
      <c r="L8" s="22">
        <v>1</v>
      </c>
      <c r="M8" s="23"/>
      <c r="N8" s="22" t="s">
        <v>85</v>
      </c>
      <c r="O8" s="23"/>
      <c r="P8" s="23"/>
      <c r="Q8" s="24">
        <v>4</v>
      </c>
      <c r="R8" s="24">
        <v>1</v>
      </c>
      <c r="S8" s="24">
        <v>2</v>
      </c>
      <c r="T8" s="24">
        <v>2</v>
      </c>
      <c r="U8" s="24">
        <v>2</v>
      </c>
      <c r="V8" s="24">
        <v>2</v>
      </c>
      <c r="W8" s="24">
        <v>5</v>
      </c>
      <c r="X8" s="24">
        <v>4</v>
      </c>
      <c r="Y8" s="24">
        <v>4</v>
      </c>
      <c r="Z8" s="24">
        <v>4</v>
      </c>
      <c r="AA8" s="24">
        <v>3</v>
      </c>
      <c r="AB8" s="24">
        <v>3</v>
      </c>
      <c r="AC8" s="24">
        <v>4</v>
      </c>
      <c r="AD8" s="24">
        <v>2</v>
      </c>
      <c r="AE8" s="24">
        <v>3</v>
      </c>
      <c r="AF8" s="24">
        <v>3</v>
      </c>
      <c r="AG8" s="24">
        <v>3</v>
      </c>
      <c r="AH8" s="24">
        <v>3</v>
      </c>
      <c r="AI8" s="24">
        <v>2</v>
      </c>
      <c r="AJ8" s="24">
        <v>2</v>
      </c>
      <c r="AK8" s="24">
        <v>2</v>
      </c>
      <c r="AL8" s="24">
        <v>2</v>
      </c>
      <c r="AM8" s="23"/>
      <c r="AN8" s="23"/>
      <c r="AO8" s="22" t="s">
        <v>59</v>
      </c>
      <c r="AP8" s="22" t="s">
        <v>86</v>
      </c>
      <c r="AQ8" s="22" t="s">
        <v>87</v>
      </c>
      <c r="AR8" s="22" t="s">
        <v>88</v>
      </c>
    </row>
    <row r="9" spans="1:44" hidden="1">
      <c r="A9" s="22" t="s">
        <v>89</v>
      </c>
      <c r="B9" s="22" t="s">
        <v>52</v>
      </c>
      <c r="C9" s="22" t="s">
        <v>53</v>
      </c>
      <c r="D9" s="22" t="s">
        <v>90</v>
      </c>
      <c r="E9" s="22" t="s">
        <v>55</v>
      </c>
      <c r="F9" s="22" t="s">
        <v>73</v>
      </c>
      <c r="G9" s="22" t="s">
        <v>80</v>
      </c>
      <c r="H9" s="23"/>
      <c r="I9" s="23"/>
      <c r="J9" s="22">
        <v>4</v>
      </c>
      <c r="K9" s="22">
        <v>2</v>
      </c>
      <c r="L9" s="22">
        <v>2</v>
      </c>
      <c r="M9" s="23"/>
      <c r="N9" s="22" t="s">
        <v>91</v>
      </c>
      <c r="O9" s="23"/>
      <c r="P9" s="23"/>
      <c r="Q9" s="24">
        <v>4</v>
      </c>
      <c r="R9" s="24">
        <v>4</v>
      </c>
      <c r="S9" s="24">
        <v>4</v>
      </c>
      <c r="T9" s="24">
        <v>4</v>
      </c>
      <c r="U9" s="24">
        <v>4</v>
      </c>
      <c r="V9" s="24">
        <v>4</v>
      </c>
      <c r="W9" s="24">
        <v>4</v>
      </c>
      <c r="X9" s="24">
        <v>4</v>
      </c>
      <c r="Y9" s="24">
        <v>4</v>
      </c>
      <c r="Z9" s="24">
        <v>4</v>
      </c>
      <c r="AA9" s="24">
        <v>4</v>
      </c>
      <c r="AB9" s="24">
        <v>4</v>
      </c>
      <c r="AC9" s="24">
        <v>4</v>
      </c>
      <c r="AD9" s="24">
        <v>4</v>
      </c>
      <c r="AE9" s="24">
        <v>4</v>
      </c>
      <c r="AF9" s="24">
        <v>4</v>
      </c>
      <c r="AG9" s="24">
        <v>4</v>
      </c>
      <c r="AH9" s="24">
        <v>4</v>
      </c>
      <c r="AI9" s="24">
        <v>3</v>
      </c>
      <c r="AJ9" s="24">
        <v>3</v>
      </c>
      <c r="AK9" s="24">
        <v>3</v>
      </c>
      <c r="AL9" s="24">
        <v>4</v>
      </c>
      <c r="AM9" s="23"/>
      <c r="AN9" s="23"/>
      <c r="AO9" s="22" t="s">
        <v>74</v>
      </c>
      <c r="AP9" s="22" t="s">
        <v>92</v>
      </c>
      <c r="AQ9" s="22" t="s">
        <v>92</v>
      </c>
      <c r="AR9" s="22" t="s">
        <v>93</v>
      </c>
    </row>
    <row r="10" spans="1:44" hidden="1">
      <c r="A10" s="22" t="s">
        <v>94</v>
      </c>
      <c r="B10" s="22" t="s">
        <v>52</v>
      </c>
      <c r="C10" s="22" t="s">
        <v>95</v>
      </c>
      <c r="D10" s="22" t="s">
        <v>64</v>
      </c>
      <c r="E10" s="22" t="s">
        <v>55</v>
      </c>
      <c r="F10" s="22" t="s">
        <v>56</v>
      </c>
      <c r="G10" s="22" t="s">
        <v>96</v>
      </c>
      <c r="H10" s="23"/>
      <c r="I10" s="23"/>
      <c r="J10" s="22">
        <v>3</v>
      </c>
      <c r="K10" s="22">
        <v>3</v>
      </c>
      <c r="L10" s="22">
        <v>3</v>
      </c>
      <c r="M10" s="23"/>
      <c r="N10" s="22" t="s">
        <v>85</v>
      </c>
      <c r="O10" s="23"/>
      <c r="P10" s="23"/>
      <c r="Q10" s="24">
        <v>1</v>
      </c>
      <c r="R10" s="24">
        <v>1</v>
      </c>
      <c r="S10" s="24">
        <v>1</v>
      </c>
      <c r="T10" s="24">
        <v>1</v>
      </c>
      <c r="U10" s="24">
        <v>1</v>
      </c>
      <c r="V10" s="24">
        <v>1</v>
      </c>
      <c r="W10" s="24">
        <v>3</v>
      </c>
      <c r="X10" s="24">
        <v>1</v>
      </c>
      <c r="Y10" s="24">
        <v>3</v>
      </c>
      <c r="Z10" s="24">
        <v>3</v>
      </c>
      <c r="AA10" s="24">
        <v>1</v>
      </c>
      <c r="AB10" s="24">
        <v>3</v>
      </c>
      <c r="AC10" s="24">
        <v>3</v>
      </c>
      <c r="AD10" s="24">
        <v>3</v>
      </c>
      <c r="AE10" s="24">
        <v>2</v>
      </c>
      <c r="AF10" s="24">
        <v>3</v>
      </c>
      <c r="AG10" s="24">
        <v>3</v>
      </c>
      <c r="AH10" s="24">
        <v>4</v>
      </c>
      <c r="AI10" s="24">
        <v>3</v>
      </c>
      <c r="AJ10" s="24">
        <v>3</v>
      </c>
      <c r="AK10" s="24">
        <v>5</v>
      </c>
      <c r="AL10" s="24">
        <v>5</v>
      </c>
      <c r="AM10" s="23"/>
      <c r="AN10" s="23"/>
      <c r="AO10" s="22" t="s">
        <v>59</v>
      </c>
      <c r="AP10" s="22" t="s">
        <v>92</v>
      </c>
      <c r="AQ10" s="22" t="s">
        <v>92</v>
      </c>
      <c r="AR10" s="22" t="s">
        <v>92</v>
      </c>
    </row>
    <row r="11" spans="1:44" hidden="1">
      <c r="A11" s="22" t="s">
        <v>97</v>
      </c>
      <c r="B11" s="22" t="s">
        <v>52</v>
      </c>
      <c r="C11" s="22" t="s">
        <v>90</v>
      </c>
      <c r="D11" s="22" t="s">
        <v>98</v>
      </c>
      <c r="E11" s="22" t="s">
        <v>55</v>
      </c>
      <c r="F11" s="22" t="s">
        <v>65</v>
      </c>
      <c r="G11" s="22" t="s">
        <v>57</v>
      </c>
      <c r="H11" s="23"/>
      <c r="I11" s="23"/>
      <c r="J11" s="22">
        <v>4</v>
      </c>
      <c r="K11" s="22">
        <v>4</v>
      </c>
      <c r="L11" s="22">
        <v>4</v>
      </c>
      <c r="M11" s="23"/>
      <c r="N11" s="22" t="s">
        <v>66</v>
      </c>
      <c r="O11" s="23"/>
      <c r="P11" s="23"/>
      <c r="Q11" s="24">
        <v>4</v>
      </c>
      <c r="R11" s="24">
        <v>4</v>
      </c>
      <c r="S11" s="24">
        <v>4</v>
      </c>
      <c r="T11" s="24">
        <v>4</v>
      </c>
      <c r="U11" s="24">
        <v>4</v>
      </c>
      <c r="V11" s="24">
        <v>4</v>
      </c>
      <c r="W11" s="24">
        <v>5</v>
      </c>
      <c r="X11" s="24">
        <v>4</v>
      </c>
      <c r="Y11" s="24">
        <v>4</v>
      </c>
      <c r="Z11" s="24">
        <v>4</v>
      </c>
      <c r="AA11" s="24">
        <v>5</v>
      </c>
      <c r="AB11" s="24">
        <v>5</v>
      </c>
      <c r="AC11" s="24">
        <v>5</v>
      </c>
      <c r="AD11" s="24">
        <v>5</v>
      </c>
      <c r="AE11" s="24">
        <v>4</v>
      </c>
      <c r="AF11" s="24">
        <v>5</v>
      </c>
      <c r="AG11" s="24">
        <v>4</v>
      </c>
      <c r="AH11" s="24">
        <v>4</v>
      </c>
      <c r="AI11" s="24">
        <v>1</v>
      </c>
      <c r="AJ11" s="24">
        <v>2</v>
      </c>
      <c r="AK11" s="24">
        <v>2</v>
      </c>
      <c r="AL11" s="24">
        <v>2</v>
      </c>
      <c r="AM11" s="23"/>
      <c r="AN11" s="23"/>
      <c r="AO11" s="22" t="s">
        <v>74</v>
      </c>
      <c r="AP11" s="22" t="s">
        <v>99</v>
      </c>
      <c r="AQ11" s="22" t="s">
        <v>100</v>
      </c>
      <c r="AR11" s="22" t="s">
        <v>101</v>
      </c>
    </row>
    <row r="12" spans="1:44" hidden="1">
      <c r="A12" s="22" t="s">
        <v>102</v>
      </c>
      <c r="B12" s="22" t="s">
        <v>52</v>
      </c>
      <c r="C12" s="22" t="s">
        <v>53</v>
      </c>
      <c r="D12" s="22" t="s">
        <v>64</v>
      </c>
      <c r="E12" s="22" t="s">
        <v>55</v>
      </c>
      <c r="F12" s="22" t="s">
        <v>65</v>
      </c>
      <c r="G12" s="22" t="s">
        <v>57</v>
      </c>
      <c r="H12" s="23"/>
      <c r="I12" s="23"/>
      <c r="J12" s="22">
        <v>5</v>
      </c>
      <c r="K12" s="22">
        <v>2</v>
      </c>
      <c r="L12" s="22">
        <v>2</v>
      </c>
      <c r="M12" s="23"/>
      <c r="N12" s="22" t="s">
        <v>58</v>
      </c>
      <c r="O12" s="23"/>
      <c r="P12" s="23"/>
      <c r="Q12" s="24">
        <v>4</v>
      </c>
      <c r="R12" s="24">
        <v>3</v>
      </c>
      <c r="S12" s="24">
        <v>3</v>
      </c>
      <c r="T12" s="24">
        <v>2</v>
      </c>
      <c r="U12" s="24">
        <v>3</v>
      </c>
      <c r="V12" s="24">
        <v>3</v>
      </c>
      <c r="W12" s="24">
        <v>4</v>
      </c>
      <c r="X12" s="24">
        <v>4</v>
      </c>
      <c r="Y12" s="24">
        <v>4</v>
      </c>
      <c r="Z12" s="24">
        <v>4</v>
      </c>
      <c r="AA12" s="24">
        <v>3</v>
      </c>
      <c r="AB12" s="24">
        <v>4</v>
      </c>
      <c r="AC12" s="24">
        <v>3</v>
      </c>
      <c r="AD12" s="24">
        <v>3</v>
      </c>
      <c r="AE12" s="24">
        <v>4</v>
      </c>
      <c r="AF12" s="24">
        <v>4</v>
      </c>
      <c r="AG12" s="24">
        <v>4</v>
      </c>
      <c r="AH12" s="24">
        <v>2</v>
      </c>
      <c r="AI12" s="24">
        <v>2</v>
      </c>
      <c r="AJ12" s="24">
        <v>2</v>
      </c>
      <c r="AK12" s="24">
        <v>1</v>
      </c>
      <c r="AL12" s="24">
        <v>2</v>
      </c>
      <c r="AM12" s="23"/>
      <c r="AN12" s="23"/>
      <c r="AO12" s="22" t="s">
        <v>74</v>
      </c>
      <c r="AP12" s="22" t="s">
        <v>103</v>
      </c>
      <c r="AQ12" s="22" t="s">
        <v>103</v>
      </c>
      <c r="AR12" s="22" t="s">
        <v>104</v>
      </c>
    </row>
    <row r="13" spans="1:44" hidden="1">
      <c r="A13" s="22" t="s">
        <v>105</v>
      </c>
      <c r="B13" s="22" t="s">
        <v>52</v>
      </c>
      <c r="C13" s="22" t="s">
        <v>95</v>
      </c>
      <c r="D13" s="22" t="s">
        <v>106</v>
      </c>
      <c r="E13" s="22" t="s">
        <v>72</v>
      </c>
      <c r="F13" s="22" t="s">
        <v>73</v>
      </c>
      <c r="G13" s="22" t="s">
        <v>80</v>
      </c>
      <c r="H13" s="23"/>
      <c r="I13" s="23"/>
      <c r="J13" s="22">
        <v>3</v>
      </c>
      <c r="K13" s="22">
        <v>1</v>
      </c>
      <c r="L13" s="22">
        <v>1</v>
      </c>
      <c r="M13" s="23"/>
      <c r="N13" s="22" t="s">
        <v>66</v>
      </c>
      <c r="O13" s="23"/>
      <c r="P13" s="23"/>
      <c r="Q13" s="24">
        <v>3</v>
      </c>
      <c r="R13" s="24">
        <v>3</v>
      </c>
      <c r="S13" s="24">
        <v>3</v>
      </c>
      <c r="T13" s="24">
        <v>2</v>
      </c>
      <c r="U13" s="24">
        <v>2</v>
      </c>
      <c r="V13" s="24">
        <v>2</v>
      </c>
      <c r="W13" s="24">
        <v>5</v>
      </c>
      <c r="X13" s="24">
        <v>2</v>
      </c>
      <c r="Y13" s="24">
        <v>2</v>
      </c>
      <c r="Z13" s="24">
        <v>2</v>
      </c>
      <c r="AA13" s="24">
        <v>3</v>
      </c>
      <c r="AB13" s="24">
        <v>4</v>
      </c>
      <c r="AC13" s="24">
        <v>4</v>
      </c>
      <c r="AD13" s="24">
        <v>4</v>
      </c>
      <c r="AE13" s="24">
        <v>3</v>
      </c>
      <c r="AF13" s="24">
        <v>4</v>
      </c>
      <c r="AG13" s="24">
        <v>3</v>
      </c>
      <c r="AH13" s="24">
        <v>3</v>
      </c>
      <c r="AI13" s="24">
        <v>2</v>
      </c>
      <c r="AJ13" s="24">
        <v>2</v>
      </c>
      <c r="AK13" s="24">
        <v>4</v>
      </c>
      <c r="AL13" s="24">
        <v>3</v>
      </c>
      <c r="AM13" s="23"/>
      <c r="AN13" s="23"/>
      <c r="AO13" s="22" t="s">
        <v>59</v>
      </c>
      <c r="AP13" s="22" t="s">
        <v>107</v>
      </c>
      <c r="AQ13" s="22" t="s">
        <v>108</v>
      </c>
      <c r="AR13" s="22" t="s">
        <v>109</v>
      </c>
    </row>
    <row r="14" spans="1:44" hidden="1">
      <c r="A14" s="22" t="s">
        <v>110</v>
      </c>
      <c r="B14" s="22" t="s">
        <v>52</v>
      </c>
      <c r="C14" s="22" t="s">
        <v>95</v>
      </c>
      <c r="D14" s="22" t="s">
        <v>54</v>
      </c>
      <c r="E14" s="22" t="s">
        <v>72</v>
      </c>
      <c r="F14" s="22" t="s">
        <v>65</v>
      </c>
      <c r="G14" s="22" t="s">
        <v>80</v>
      </c>
      <c r="H14" s="23"/>
      <c r="I14" s="23"/>
      <c r="J14" s="22">
        <v>3</v>
      </c>
      <c r="K14" s="22">
        <v>3</v>
      </c>
      <c r="L14" s="22">
        <v>2</v>
      </c>
      <c r="M14" s="23"/>
      <c r="N14" s="22" t="s">
        <v>66</v>
      </c>
      <c r="O14" s="23"/>
      <c r="P14" s="23"/>
      <c r="Q14" s="24">
        <v>2</v>
      </c>
      <c r="R14" s="24">
        <v>2</v>
      </c>
      <c r="S14" s="24">
        <v>2</v>
      </c>
      <c r="T14" s="24">
        <v>2</v>
      </c>
      <c r="U14" s="24">
        <v>2</v>
      </c>
      <c r="V14" s="24">
        <v>2</v>
      </c>
      <c r="W14" s="24">
        <v>2</v>
      </c>
      <c r="X14" s="24">
        <v>2</v>
      </c>
      <c r="Y14" s="24">
        <v>2</v>
      </c>
      <c r="Z14" s="24">
        <v>2</v>
      </c>
      <c r="AA14" s="24">
        <v>2</v>
      </c>
      <c r="AB14" s="24">
        <v>2</v>
      </c>
      <c r="AC14" s="24">
        <v>3</v>
      </c>
      <c r="AD14" s="24">
        <v>2</v>
      </c>
      <c r="AE14" s="24">
        <v>3</v>
      </c>
      <c r="AF14" s="24">
        <v>3</v>
      </c>
      <c r="AG14" s="24">
        <v>3</v>
      </c>
      <c r="AH14" s="24">
        <v>3</v>
      </c>
      <c r="AI14" s="24">
        <v>2</v>
      </c>
      <c r="AJ14" s="24">
        <v>2</v>
      </c>
      <c r="AK14" s="24">
        <v>2</v>
      </c>
      <c r="AL14" s="24">
        <v>2</v>
      </c>
      <c r="AM14" s="23"/>
      <c r="AN14" s="23"/>
      <c r="AO14" s="22" t="s">
        <v>59</v>
      </c>
      <c r="AP14" s="22" t="s">
        <v>111</v>
      </c>
      <c r="AQ14" s="22" t="s">
        <v>112</v>
      </c>
      <c r="AR14" s="22" t="s">
        <v>113</v>
      </c>
    </row>
    <row r="15" spans="1:44" hidden="1">
      <c r="A15" s="22" t="s">
        <v>114</v>
      </c>
      <c r="B15" s="22" t="s">
        <v>52</v>
      </c>
      <c r="C15" s="22" t="s">
        <v>53</v>
      </c>
      <c r="D15" s="22" t="s">
        <v>54</v>
      </c>
      <c r="E15" s="22" t="s">
        <v>55</v>
      </c>
      <c r="F15" s="22" t="s">
        <v>56</v>
      </c>
      <c r="G15" s="22" t="s">
        <v>57</v>
      </c>
      <c r="H15" s="23"/>
      <c r="I15" s="23"/>
      <c r="J15" s="22">
        <v>5</v>
      </c>
      <c r="K15" s="22">
        <v>5</v>
      </c>
      <c r="L15" s="22">
        <v>2</v>
      </c>
      <c r="M15" s="23"/>
      <c r="N15" s="22" t="s">
        <v>115</v>
      </c>
      <c r="O15" s="23"/>
      <c r="P15" s="23"/>
      <c r="Q15" s="24">
        <v>4</v>
      </c>
      <c r="R15" s="24">
        <v>2</v>
      </c>
      <c r="S15" s="24">
        <v>4</v>
      </c>
      <c r="T15" s="24">
        <v>4</v>
      </c>
      <c r="U15" s="24">
        <v>4</v>
      </c>
      <c r="V15" s="24">
        <v>4</v>
      </c>
      <c r="W15" s="24">
        <v>4</v>
      </c>
      <c r="X15" s="24">
        <v>4</v>
      </c>
      <c r="Y15" s="24">
        <v>4</v>
      </c>
      <c r="Z15" s="24">
        <v>4</v>
      </c>
      <c r="AA15" s="24">
        <v>5</v>
      </c>
      <c r="AB15" s="24">
        <v>5</v>
      </c>
      <c r="AC15" s="24">
        <v>5</v>
      </c>
      <c r="AD15" s="24">
        <v>5</v>
      </c>
      <c r="AE15" s="24">
        <v>5</v>
      </c>
      <c r="AF15" s="24">
        <v>5</v>
      </c>
      <c r="AG15" s="24">
        <v>5</v>
      </c>
      <c r="AH15" s="24">
        <v>5</v>
      </c>
      <c r="AI15" s="24">
        <v>4</v>
      </c>
      <c r="AJ15" s="24">
        <v>4</v>
      </c>
      <c r="AK15" s="24">
        <v>4</v>
      </c>
      <c r="AL15" s="24">
        <v>4</v>
      </c>
      <c r="AM15" s="23"/>
      <c r="AN15" s="23"/>
      <c r="AO15" s="22" t="s">
        <v>74</v>
      </c>
      <c r="AP15" s="22" t="s">
        <v>116</v>
      </c>
      <c r="AQ15" s="22" t="s">
        <v>117</v>
      </c>
      <c r="AR15" s="22" t="s">
        <v>118</v>
      </c>
    </row>
    <row r="16" spans="1:44" hidden="1">
      <c r="A16" s="22" t="s">
        <v>119</v>
      </c>
      <c r="B16" s="22" t="s">
        <v>52</v>
      </c>
      <c r="C16" s="22" t="s">
        <v>95</v>
      </c>
      <c r="D16" s="22" t="s">
        <v>64</v>
      </c>
      <c r="E16" s="22" t="s">
        <v>55</v>
      </c>
      <c r="F16" s="22" t="s">
        <v>65</v>
      </c>
      <c r="G16" s="22" t="s">
        <v>80</v>
      </c>
      <c r="H16" s="23"/>
      <c r="I16" s="23"/>
      <c r="J16" s="22">
        <v>1</v>
      </c>
      <c r="K16" s="22">
        <v>1</v>
      </c>
      <c r="L16" s="22">
        <v>1</v>
      </c>
      <c r="M16" s="23"/>
      <c r="N16" s="22" t="s">
        <v>85</v>
      </c>
      <c r="O16" s="23"/>
      <c r="P16" s="23"/>
      <c r="Q16" s="24">
        <v>1</v>
      </c>
      <c r="R16" s="24">
        <v>1</v>
      </c>
      <c r="S16" s="24">
        <v>2</v>
      </c>
      <c r="T16" s="24">
        <v>1</v>
      </c>
      <c r="U16" s="24">
        <v>1</v>
      </c>
      <c r="V16" s="24">
        <v>3</v>
      </c>
      <c r="W16" s="24">
        <v>3</v>
      </c>
      <c r="X16" s="24">
        <v>2</v>
      </c>
      <c r="Y16" s="24">
        <v>1</v>
      </c>
      <c r="Z16" s="24">
        <v>1</v>
      </c>
      <c r="AA16" s="24">
        <v>3</v>
      </c>
      <c r="AB16" s="24">
        <v>3</v>
      </c>
      <c r="AC16" s="24">
        <v>4</v>
      </c>
      <c r="AD16" s="24">
        <v>3</v>
      </c>
      <c r="AE16" s="24">
        <v>3</v>
      </c>
      <c r="AF16" s="24">
        <v>3</v>
      </c>
      <c r="AG16" s="24">
        <v>3</v>
      </c>
      <c r="AH16" s="24">
        <v>3</v>
      </c>
      <c r="AI16" s="24">
        <v>4</v>
      </c>
      <c r="AJ16" s="24">
        <v>3</v>
      </c>
      <c r="AK16" s="24">
        <v>3</v>
      </c>
      <c r="AL16" s="24">
        <v>3</v>
      </c>
      <c r="AM16" s="23"/>
      <c r="AN16" s="23"/>
      <c r="AO16" s="22" t="s">
        <v>59</v>
      </c>
      <c r="AP16" s="22" t="s">
        <v>120</v>
      </c>
      <c r="AQ16" s="22" t="s">
        <v>120</v>
      </c>
      <c r="AR16" s="22" t="s">
        <v>120</v>
      </c>
    </row>
    <row r="17" spans="1:44" hidden="1">
      <c r="A17" s="22" t="s">
        <v>121</v>
      </c>
      <c r="B17" s="22" t="s">
        <v>52</v>
      </c>
      <c r="C17" s="22" t="s">
        <v>95</v>
      </c>
      <c r="D17" s="22" t="s">
        <v>98</v>
      </c>
      <c r="E17" s="22" t="s">
        <v>55</v>
      </c>
      <c r="F17" s="22" t="s">
        <v>65</v>
      </c>
      <c r="G17" s="22" t="s">
        <v>96</v>
      </c>
      <c r="H17" s="23"/>
      <c r="I17" s="23"/>
      <c r="J17" s="22">
        <v>1</v>
      </c>
      <c r="K17" s="22">
        <v>1</v>
      </c>
      <c r="L17" s="22">
        <v>1</v>
      </c>
      <c r="M17" s="23"/>
      <c r="N17" s="22" t="s">
        <v>58</v>
      </c>
      <c r="O17" s="23"/>
      <c r="P17" s="23"/>
      <c r="Q17" s="24">
        <v>3</v>
      </c>
      <c r="R17" s="24">
        <v>3</v>
      </c>
      <c r="S17" s="24">
        <v>3</v>
      </c>
      <c r="T17" s="24">
        <v>2</v>
      </c>
      <c r="U17" s="24">
        <v>2</v>
      </c>
      <c r="V17" s="24">
        <v>2</v>
      </c>
      <c r="W17" s="24">
        <v>3</v>
      </c>
      <c r="X17" s="24">
        <v>3</v>
      </c>
      <c r="Y17" s="24">
        <v>3</v>
      </c>
      <c r="Z17" s="24">
        <v>3</v>
      </c>
      <c r="AA17" s="24">
        <v>3</v>
      </c>
      <c r="AB17" s="24">
        <v>2</v>
      </c>
      <c r="AC17" s="24">
        <v>3</v>
      </c>
      <c r="AD17" s="24">
        <v>3</v>
      </c>
      <c r="AE17" s="24">
        <v>3</v>
      </c>
      <c r="AF17" s="24">
        <v>3</v>
      </c>
      <c r="AG17" s="24">
        <v>3</v>
      </c>
      <c r="AH17" s="24">
        <v>3</v>
      </c>
      <c r="AI17" s="24">
        <v>2</v>
      </c>
      <c r="AJ17" s="24">
        <v>1</v>
      </c>
      <c r="AK17" s="24">
        <v>2</v>
      </c>
      <c r="AL17" s="24">
        <v>1</v>
      </c>
      <c r="AM17" s="23"/>
      <c r="AN17" s="23"/>
      <c r="AO17" s="22" t="s">
        <v>74</v>
      </c>
      <c r="AP17" s="22" t="s">
        <v>122</v>
      </c>
      <c r="AQ17" s="22" t="s">
        <v>123</v>
      </c>
      <c r="AR17" s="22" t="s">
        <v>124</v>
      </c>
    </row>
    <row r="18" spans="1:44" hidden="1">
      <c r="A18" s="22" t="s">
        <v>125</v>
      </c>
      <c r="B18" s="22" t="s">
        <v>52</v>
      </c>
      <c r="C18" s="22" t="s">
        <v>53</v>
      </c>
      <c r="D18" s="22" t="s">
        <v>64</v>
      </c>
      <c r="E18" s="22" t="s">
        <v>55</v>
      </c>
      <c r="F18" s="22" t="s">
        <v>65</v>
      </c>
      <c r="G18" s="22" t="s">
        <v>80</v>
      </c>
      <c r="H18" s="23"/>
      <c r="I18" s="23"/>
      <c r="J18" s="22">
        <v>3</v>
      </c>
      <c r="K18" s="22">
        <v>3</v>
      </c>
      <c r="L18" s="22">
        <v>2</v>
      </c>
      <c r="M18" s="23"/>
      <c r="N18" s="22" t="s">
        <v>58</v>
      </c>
      <c r="O18" s="23"/>
      <c r="P18" s="23"/>
      <c r="Q18" s="24">
        <v>2</v>
      </c>
      <c r="R18" s="24">
        <v>2</v>
      </c>
      <c r="S18" s="24">
        <v>3</v>
      </c>
      <c r="T18" s="24">
        <v>3</v>
      </c>
      <c r="U18" s="24">
        <v>3</v>
      </c>
      <c r="V18" s="24">
        <v>3</v>
      </c>
      <c r="W18" s="24">
        <v>3</v>
      </c>
      <c r="X18" s="24">
        <v>2</v>
      </c>
      <c r="Y18" s="24">
        <v>3</v>
      </c>
      <c r="Z18" s="24">
        <v>3</v>
      </c>
      <c r="AA18" s="24">
        <v>3</v>
      </c>
      <c r="AB18" s="24">
        <v>3</v>
      </c>
      <c r="AC18" s="24">
        <v>3</v>
      </c>
      <c r="AD18" s="24">
        <v>3</v>
      </c>
      <c r="AE18" s="24">
        <v>3</v>
      </c>
      <c r="AF18" s="24">
        <v>4</v>
      </c>
      <c r="AG18" s="24">
        <v>3</v>
      </c>
      <c r="AH18" s="24">
        <v>4</v>
      </c>
      <c r="AI18" s="24">
        <v>3</v>
      </c>
      <c r="AJ18" s="24">
        <v>3</v>
      </c>
      <c r="AK18" s="24">
        <v>3</v>
      </c>
      <c r="AL18" s="24">
        <v>3</v>
      </c>
      <c r="AM18" s="23"/>
      <c r="AN18" s="23"/>
      <c r="AO18" s="22" t="s">
        <v>59</v>
      </c>
      <c r="AP18" s="22" t="s">
        <v>126</v>
      </c>
      <c r="AQ18" s="22" t="s">
        <v>112</v>
      </c>
      <c r="AR18" s="22" t="s">
        <v>127</v>
      </c>
    </row>
    <row r="19" spans="1:44" hidden="1">
      <c r="A19" s="22" t="s">
        <v>128</v>
      </c>
      <c r="B19" s="22" t="s">
        <v>52</v>
      </c>
      <c r="C19" s="22" t="s">
        <v>95</v>
      </c>
      <c r="D19" s="22" t="s">
        <v>54</v>
      </c>
      <c r="E19" s="22" t="s">
        <v>55</v>
      </c>
      <c r="F19" s="22" t="s">
        <v>73</v>
      </c>
      <c r="G19" s="22" t="s">
        <v>129</v>
      </c>
      <c r="H19" s="23"/>
      <c r="I19" s="23"/>
      <c r="J19" s="22">
        <v>3</v>
      </c>
      <c r="K19" s="22">
        <v>3</v>
      </c>
      <c r="L19" s="22">
        <v>3</v>
      </c>
      <c r="M19" s="23"/>
      <c r="N19" s="22" t="s">
        <v>66</v>
      </c>
      <c r="O19" s="23"/>
      <c r="P19" s="23"/>
      <c r="Q19" s="24">
        <v>4</v>
      </c>
      <c r="R19" s="24">
        <v>4</v>
      </c>
      <c r="S19" s="24">
        <v>4</v>
      </c>
      <c r="T19" s="24">
        <v>4</v>
      </c>
      <c r="U19" s="24">
        <v>4</v>
      </c>
      <c r="V19" s="24">
        <v>4</v>
      </c>
      <c r="W19" s="24">
        <v>5</v>
      </c>
      <c r="X19" s="24">
        <v>4</v>
      </c>
      <c r="Y19" s="24">
        <v>3</v>
      </c>
      <c r="Z19" s="24">
        <v>3</v>
      </c>
      <c r="AA19" s="24">
        <v>4</v>
      </c>
      <c r="AB19" s="24">
        <v>4</v>
      </c>
      <c r="AC19" s="24">
        <v>4</v>
      </c>
      <c r="AD19" s="24">
        <v>4</v>
      </c>
      <c r="AE19" s="24">
        <v>4</v>
      </c>
      <c r="AF19" s="24">
        <v>4</v>
      </c>
      <c r="AG19" s="24">
        <v>4</v>
      </c>
      <c r="AH19" s="24">
        <v>4</v>
      </c>
      <c r="AI19" s="24">
        <v>4</v>
      </c>
      <c r="AJ19" s="24">
        <v>4</v>
      </c>
      <c r="AK19" s="24">
        <v>3</v>
      </c>
      <c r="AL19" s="24">
        <v>3</v>
      </c>
      <c r="AM19" s="23"/>
      <c r="AN19" s="23"/>
      <c r="AO19" s="22" t="s">
        <v>59</v>
      </c>
      <c r="AP19" s="22" t="s">
        <v>130</v>
      </c>
      <c r="AQ19" s="22" t="s">
        <v>131</v>
      </c>
      <c r="AR19" s="22" t="s">
        <v>132</v>
      </c>
    </row>
    <row r="20" spans="1:44" hidden="1">
      <c r="A20" s="22" t="s">
        <v>133</v>
      </c>
      <c r="B20" s="22" t="s">
        <v>52</v>
      </c>
      <c r="C20" s="22" t="s">
        <v>95</v>
      </c>
      <c r="D20" s="22" t="s">
        <v>98</v>
      </c>
      <c r="E20" s="22" t="s">
        <v>55</v>
      </c>
      <c r="F20" s="22" t="s">
        <v>65</v>
      </c>
      <c r="G20" s="22" t="s">
        <v>96</v>
      </c>
      <c r="H20" s="23"/>
      <c r="I20" s="23"/>
      <c r="J20" s="22">
        <v>1</v>
      </c>
      <c r="K20" s="22">
        <v>1</v>
      </c>
      <c r="L20" s="22">
        <v>1</v>
      </c>
      <c r="M20" s="23"/>
      <c r="N20" s="22" t="s">
        <v>58</v>
      </c>
      <c r="O20" s="23"/>
      <c r="P20" s="23"/>
      <c r="Q20" s="24">
        <v>1</v>
      </c>
      <c r="R20" s="24">
        <v>1</v>
      </c>
      <c r="S20" s="24">
        <v>1</v>
      </c>
      <c r="T20" s="24">
        <v>1</v>
      </c>
      <c r="U20" s="24">
        <v>4</v>
      </c>
      <c r="V20" s="24">
        <v>1</v>
      </c>
      <c r="W20" s="24">
        <v>4</v>
      </c>
      <c r="X20" s="24">
        <v>1</v>
      </c>
      <c r="Y20" s="24">
        <v>4</v>
      </c>
      <c r="Z20" s="24">
        <v>1</v>
      </c>
      <c r="AA20" s="24">
        <v>4</v>
      </c>
      <c r="AB20" s="24">
        <v>3</v>
      </c>
      <c r="AC20" s="24">
        <v>3</v>
      </c>
      <c r="AD20" s="24">
        <v>3</v>
      </c>
      <c r="AE20" s="24">
        <v>1</v>
      </c>
      <c r="AF20" s="24">
        <v>4</v>
      </c>
      <c r="AG20" s="24">
        <v>3</v>
      </c>
      <c r="AH20" s="24">
        <v>5</v>
      </c>
      <c r="AI20" s="24">
        <v>3</v>
      </c>
      <c r="AJ20" s="24">
        <v>4</v>
      </c>
      <c r="AK20" s="24">
        <v>4</v>
      </c>
      <c r="AL20" s="24">
        <v>3</v>
      </c>
      <c r="AM20" s="23"/>
      <c r="AN20" s="23"/>
      <c r="AO20" s="22" t="s">
        <v>59</v>
      </c>
      <c r="AP20" s="22" t="s">
        <v>92</v>
      </c>
      <c r="AQ20" s="22" t="s">
        <v>134</v>
      </c>
      <c r="AR20" s="22" t="s">
        <v>92</v>
      </c>
    </row>
    <row r="21" spans="1:44" hidden="1">
      <c r="A21" s="22" t="s">
        <v>135</v>
      </c>
      <c r="B21" s="22" t="s">
        <v>52</v>
      </c>
      <c r="C21" s="22" t="s">
        <v>95</v>
      </c>
      <c r="D21" s="22" t="s">
        <v>98</v>
      </c>
      <c r="E21" s="22" t="s">
        <v>72</v>
      </c>
      <c r="F21" s="22" t="s">
        <v>136</v>
      </c>
      <c r="G21" s="22" t="s">
        <v>80</v>
      </c>
      <c r="H21" s="23"/>
      <c r="I21" s="23"/>
      <c r="J21" s="22">
        <v>3</v>
      </c>
      <c r="K21" s="22">
        <v>2</v>
      </c>
      <c r="L21" s="22">
        <v>2</v>
      </c>
      <c r="M21" s="23"/>
      <c r="N21" s="22" t="s">
        <v>85</v>
      </c>
      <c r="O21" s="23"/>
      <c r="P21" s="23"/>
      <c r="Q21" s="24">
        <v>3</v>
      </c>
      <c r="R21" s="24">
        <v>1</v>
      </c>
      <c r="S21" s="24">
        <v>3</v>
      </c>
      <c r="T21" s="24">
        <v>2</v>
      </c>
      <c r="U21" s="24">
        <v>2</v>
      </c>
      <c r="V21" s="24">
        <v>2</v>
      </c>
      <c r="W21" s="24">
        <v>4</v>
      </c>
      <c r="X21" s="24">
        <v>3</v>
      </c>
      <c r="Y21" s="24">
        <v>3</v>
      </c>
      <c r="Z21" s="24">
        <v>3</v>
      </c>
      <c r="AA21" s="24">
        <v>3</v>
      </c>
      <c r="AB21" s="24">
        <v>4</v>
      </c>
      <c r="AC21" s="24">
        <v>4</v>
      </c>
      <c r="AD21" s="24">
        <v>4</v>
      </c>
      <c r="AE21" s="24">
        <v>4</v>
      </c>
      <c r="AF21" s="24">
        <v>4</v>
      </c>
      <c r="AG21" s="24">
        <v>4</v>
      </c>
      <c r="AH21" s="24">
        <v>4</v>
      </c>
      <c r="AI21" s="24">
        <v>4</v>
      </c>
      <c r="AJ21" s="24">
        <v>4</v>
      </c>
      <c r="AK21" s="24">
        <v>4</v>
      </c>
      <c r="AL21" s="24">
        <v>4</v>
      </c>
      <c r="AM21" s="23"/>
      <c r="AN21" s="23"/>
      <c r="AO21" s="22" t="s">
        <v>59</v>
      </c>
      <c r="AP21" s="22" t="s">
        <v>137</v>
      </c>
      <c r="AQ21" s="22" t="s">
        <v>92</v>
      </c>
      <c r="AR21" s="22" t="s">
        <v>137</v>
      </c>
    </row>
    <row r="22" spans="1:44" hidden="1">
      <c r="A22" s="22" t="s">
        <v>138</v>
      </c>
      <c r="B22" s="22" t="s">
        <v>52</v>
      </c>
      <c r="C22" s="22" t="s">
        <v>95</v>
      </c>
      <c r="D22" s="22" t="s">
        <v>98</v>
      </c>
      <c r="E22" s="22" t="s">
        <v>55</v>
      </c>
      <c r="F22" s="22" t="s">
        <v>136</v>
      </c>
      <c r="G22" s="22" t="s">
        <v>80</v>
      </c>
      <c r="H22" s="23"/>
      <c r="I22" s="23"/>
      <c r="J22" s="22">
        <v>3</v>
      </c>
      <c r="K22" s="22">
        <v>1</v>
      </c>
      <c r="L22" s="22">
        <v>1</v>
      </c>
      <c r="M22" s="23"/>
      <c r="N22" s="22" t="s">
        <v>58</v>
      </c>
      <c r="O22" s="23"/>
      <c r="P22" s="23"/>
      <c r="Q22" s="24">
        <v>4</v>
      </c>
      <c r="R22" s="24">
        <v>2</v>
      </c>
      <c r="S22" s="24">
        <v>4</v>
      </c>
      <c r="T22" s="24">
        <v>3</v>
      </c>
      <c r="U22" s="24">
        <v>3</v>
      </c>
      <c r="V22" s="24">
        <v>2</v>
      </c>
      <c r="W22" s="24">
        <v>4</v>
      </c>
      <c r="X22" s="24">
        <v>4</v>
      </c>
      <c r="Y22" s="24">
        <v>4</v>
      </c>
      <c r="Z22" s="24">
        <v>4</v>
      </c>
      <c r="AA22" s="24">
        <v>3</v>
      </c>
      <c r="AB22" s="24">
        <v>4</v>
      </c>
      <c r="AC22" s="24">
        <v>4</v>
      </c>
      <c r="AD22" s="24">
        <v>4</v>
      </c>
      <c r="AE22" s="24">
        <v>4</v>
      </c>
      <c r="AF22" s="24">
        <v>4</v>
      </c>
      <c r="AG22" s="24">
        <v>4</v>
      </c>
      <c r="AH22" s="24">
        <v>4</v>
      </c>
      <c r="AI22" s="24">
        <v>2</v>
      </c>
      <c r="AJ22" s="24">
        <v>2</v>
      </c>
      <c r="AK22" s="24">
        <v>3</v>
      </c>
      <c r="AL22" s="24">
        <v>2</v>
      </c>
      <c r="AM22" s="23"/>
      <c r="AN22" s="23"/>
      <c r="AO22" s="22" t="s">
        <v>74</v>
      </c>
      <c r="AP22" s="22" t="s">
        <v>139</v>
      </c>
      <c r="AQ22" s="22" t="s">
        <v>140</v>
      </c>
      <c r="AR22" s="22" t="s">
        <v>141</v>
      </c>
    </row>
    <row r="23" spans="1:44" hidden="1">
      <c r="A23" s="22" t="s">
        <v>142</v>
      </c>
      <c r="B23" s="22" t="s">
        <v>52</v>
      </c>
      <c r="C23" s="22" t="s">
        <v>95</v>
      </c>
      <c r="D23" s="22" t="s">
        <v>64</v>
      </c>
      <c r="E23" s="22" t="s">
        <v>55</v>
      </c>
      <c r="F23" s="22" t="s">
        <v>65</v>
      </c>
      <c r="G23" s="22" t="s">
        <v>129</v>
      </c>
      <c r="H23" s="23"/>
      <c r="I23" s="23"/>
      <c r="J23" s="22">
        <v>2</v>
      </c>
      <c r="K23" s="22">
        <v>2</v>
      </c>
      <c r="L23" s="22">
        <v>2</v>
      </c>
      <c r="M23" s="23"/>
      <c r="N23" s="22" t="s">
        <v>115</v>
      </c>
      <c r="O23" s="23"/>
      <c r="P23" s="23"/>
      <c r="Q23" s="24">
        <v>2</v>
      </c>
      <c r="R23" s="24">
        <v>3</v>
      </c>
      <c r="S23" s="24">
        <v>3</v>
      </c>
      <c r="T23" s="24">
        <v>2</v>
      </c>
      <c r="U23" s="24">
        <v>3</v>
      </c>
      <c r="V23" s="24">
        <v>3</v>
      </c>
      <c r="W23" s="24">
        <v>2</v>
      </c>
      <c r="X23" s="24">
        <v>4</v>
      </c>
      <c r="Y23" s="24">
        <v>1</v>
      </c>
      <c r="Z23" s="24">
        <v>2</v>
      </c>
      <c r="AA23" s="24">
        <v>4</v>
      </c>
      <c r="AB23" s="24">
        <v>5</v>
      </c>
      <c r="AC23" s="24">
        <v>5</v>
      </c>
      <c r="AD23" s="24">
        <v>3</v>
      </c>
      <c r="AE23" s="24">
        <v>3</v>
      </c>
      <c r="AF23" s="24">
        <v>4</v>
      </c>
      <c r="AG23" s="24">
        <v>3</v>
      </c>
      <c r="AH23" s="24">
        <v>4</v>
      </c>
      <c r="AI23" s="24">
        <v>3</v>
      </c>
      <c r="AJ23" s="24">
        <v>4</v>
      </c>
      <c r="AK23" s="24">
        <v>3</v>
      </c>
      <c r="AL23" s="24">
        <v>4</v>
      </c>
      <c r="AM23" s="23"/>
      <c r="AN23" s="23"/>
      <c r="AO23" s="22" t="s">
        <v>74</v>
      </c>
      <c r="AP23" s="22" t="s">
        <v>143</v>
      </c>
      <c r="AQ23" s="22" t="s">
        <v>144</v>
      </c>
      <c r="AR23" s="22" t="s">
        <v>92</v>
      </c>
    </row>
    <row r="24" spans="1:44" hidden="1">
      <c r="A24" s="22" t="s">
        <v>145</v>
      </c>
      <c r="B24" s="22" t="s">
        <v>52</v>
      </c>
      <c r="C24" s="22" t="s">
        <v>95</v>
      </c>
      <c r="D24" s="22" t="s">
        <v>54</v>
      </c>
      <c r="E24" s="22" t="s">
        <v>55</v>
      </c>
      <c r="F24" s="22" t="s">
        <v>56</v>
      </c>
      <c r="G24" s="22" t="s">
        <v>96</v>
      </c>
      <c r="H24" s="23"/>
      <c r="I24" s="23"/>
      <c r="J24" s="22">
        <v>2</v>
      </c>
      <c r="K24" s="22">
        <v>1</v>
      </c>
      <c r="L24" s="22">
        <v>1</v>
      </c>
      <c r="M24" s="23"/>
      <c r="N24" s="22" t="s">
        <v>85</v>
      </c>
      <c r="O24" s="23"/>
      <c r="P24" s="23"/>
      <c r="Q24" s="24">
        <v>1</v>
      </c>
      <c r="R24" s="24">
        <v>1</v>
      </c>
      <c r="S24" s="24">
        <v>2</v>
      </c>
      <c r="T24" s="24">
        <v>2</v>
      </c>
      <c r="U24" s="24">
        <v>2</v>
      </c>
      <c r="V24" s="24">
        <v>2</v>
      </c>
      <c r="W24" s="24">
        <v>4</v>
      </c>
      <c r="X24" s="24">
        <v>2</v>
      </c>
      <c r="Y24" s="24">
        <v>2</v>
      </c>
      <c r="Z24" s="24">
        <v>2</v>
      </c>
      <c r="AA24" s="24">
        <v>2</v>
      </c>
      <c r="AB24" s="24">
        <v>3</v>
      </c>
      <c r="AC24" s="24">
        <v>3</v>
      </c>
      <c r="AD24" s="24">
        <v>4</v>
      </c>
      <c r="AE24" s="24">
        <v>3</v>
      </c>
      <c r="AF24" s="24">
        <v>3</v>
      </c>
      <c r="AG24" s="24">
        <v>3</v>
      </c>
      <c r="AH24" s="24">
        <v>4</v>
      </c>
      <c r="AI24" s="24">
        <v>3</v>
      </c>
      <c r="AJ24" s="24">
        <v>3</v>
      </c>
      <c r="AK24" s="24">
        <v>3</v>
      </c>
      <c r="AL24" s="24">
        <v>3</v>
      </c>
      <c r="AM24" s="23"/>
      <c r="AN24" s="23"/>
      <c r="AO24" s="22" t="s">
        <v>59</v>
      </c>
      <c r="AP24" s="22" t="s">
        <v>146</v>
      </c>
      <c r="AQ24" s="22" t="s">
        <v>111</v>
      </c>
      <c r="AR24" s="22" t="s">
        <v>147</v>
      </c>
    </row>
    <row r="25" spans="1:44" hidden="1">
      <c r="A25" s="22" t="s">
        <v>148</v>
      </c>
      <c r="B25" s="22" t="s">
        <v>52</v>
      </c>
      <c r="C25" s="22" t="s">
        <v>79</v>
      </c>
      <c r="D25" s="22" t="s">
        <v>106</v>
      </c>
      <c r="E25" s="22" t="s">
        <v>72</v>
      </c>
      <c r="F25" s="22" t="s">
        <v>73</v>
      </c>
      <c r="G25" s="22" t="s">
        <v>80</v>
      </c>
      <c r="H25" s="23"/>
      <c r="I25" s="23"/>
      <c r="J25" s="22">
        <v>4</v>
      </c>
      <c r="K25" s="22">
        <v>4</v>
      </c>
      <c r="L25" s="22">
        <v>2</v>
      </c>
      <c r="M25" s="23"/>
      <c r="N25" s="22" t="s">
        <v>91</v>
      </c>
      <c r="O25" s="23"/>
      <c r="P25" s="23"/>
      <c r="Q25" s="24">
        <v>2</v>
      </c>
      <c r="R25" s="24">
        <v>2</v>
      </c>
      <c r="S25" s="24">
        <v>2</v>
      </c>
      <c r="T25" s="24">
        <v>3</v>
      </c>
      <c r="U25" s="24">
        <v>3</v>
      </c>
      <c r="V25" s="24">
        <v>3</v>
      </c>
      <c r="W25" s="24">
        <v>4</v>
      </c>
      <c r="X25" s="24">
        <v>3</v>
      </c>
      <c r="Y25" s="24">
        <v>3</v>
      </c>
      <c r="Z25" s="24">
        <v>3</v>
      </c>
      <c r="AA25" s="24">
        <v>4</v>
      </c>
      <c r="AB25" s="24">
        <v>4</v>
      </c>
      <c r="AC25" s="24">
        <v>4</v>
      </c>
      <c r="AD25" s="24">
        <v>4</v>
      </c>
      <c r="AE25" s="24">
        <v>4</v>
      </c>
      <c r="AF25" s="24">
        <v>4</v>
      </c>
      <c r="AG25" s="24">
        <v>3</v>
      </c>
      <c r="AH25" s="24">
        <v>4</v>
      </c>
      <c r="AI25" s="24">
        <v>3</v>
      </c>
      <c r="AJ25" s="24">
        <v>4</v>
      </c>
      <c r="AK25" s="24">
        <v>3</v>
      </c>
      <c r="AL25" s="24">
        <v>4</v>
      </c>
      <c r="AM25" s="23"/>
      <c r="AN25" s="23"/>
      <c r="AO25" s="22" t="s">
        <v>74</v>
      </c>
      <c r="AP25" s="22" t="s">
        <v>149</v>
      </c>
      <c r="AQ25" s="22" t="s">
        <v>150</v>
      </c>
      <c r="AR25" s="22" t="s">
        <v>151</v>
      </c>
    </row>
    <row r="26" spans="1:44" hidden="1">
      <c r="A26" s="22" t="s">
        <v>152</v>
      </c>
      <c r="B26" s="22" t="s">
        <v>52</v>
      </c>
      <c r="C26" s="22" t="s">
        <v>53</v>
      </c>
      <c r="D26" s="22" t="s">
        <v>54</v>
      </c>
      <c r="E26" s="22" t="s">
        <v>72</v>
      </c>
      <c r="F26" s="22" t="s">
        <v>56</v>
      </c>
      <c r="G26" s="22" t="s">
        <v>57</v>
      </c>
      <c r="H26" s="23"/>
      <c r="I26" s="23"/>
      <c r="J26" s="22">
        <v>4</v>
      </c>
      <c r="K26" s="22">
        <v>2</v>
      </c>
      <c r="L26" s="22">
        <v>2</v>
      </c>
      <c r="M26" s="23"/>
      <c r="N26" s="22" t="s">
        <v>66</v>
      </c>
      <c r="O26" s="23"/>
      <c r="P26" s="23"/>
      <c r="Q26" s="24">
        <v>4</v>
      </c>
      <c r="R26" s="24">
        <v>4</v>
      </c>
      <c r="S26" s="24">
        <v>3</v>
      </c>
      <c r="T26" s="24">
        <v>3</v>
      </c>
      <c r="U26" s="24">
        <v>4</v>
      </c>
      <c r="V26" s="24">
        <v>4</v>
      </c>
      <c r="W26" s="24">
        <v>2</v>
      </c>
      <c r="X26" s="24">
        <v>2</v>
      </c>
      <c r="Y26" s="24">
        <v>2</v>
      </c>
      <c r="Z26" s="24">
        <v>2</v>
      </c>
      <c r="AA26" s="24">
        <v>3</v>
      </c>
      <c r="AB26" s="24">
        <v>4</v>
      </c>
      <c r="AC26" s="24">
        <v>4</v>
      </c>
      <c r="AD26" s="24">
        <v>4</v>
      </c>
      <c r="AE26" s="24">
        <v>3</v>
      </c>
      <c r="AF26" s="24">
        <v>3</v>
      </c>
      <c r="AG26" s="24">
        <v>3</v>
      </c>
      <c r="AH26" s="24">
        <v>4</v>
      </c>
      <c r="AI26" s="24">
        <v>3</v>
      </c>
      <c r="AJ26" s="24">
        <v>3</v>
      </c>
      <c r="AK26" s="24">
        <v>4</v>
      </c>
      <c r="AL26" s="24">
        <v>4</v>
      </c>
      <c r="AM26" s="23"/>
      <c r="AN26" s="23"/>
      <c r="AO26" s="22" t="s">
        <v>59</v>
      </c>
      <c r="AP26" s="22" t="s">
        <v>153</v>
      </c>
      <c r="AQ26" s="22" t="s">
        <v>154</v>
      </c>
      <c r="AR26" s="22" t="s">
        <v>155</v>
      </c>
    </row>
    <row r="27" spans="1:44" hidden="1">
      <c r="A27" s="22" t="s">
        <v>156</v>
      </c>
      <c r="B27" s="22" t="s">
        <v>52</v>
      </c>
      <c r="C27" s="22" t="s">
        <v>53</v>
      </c>
      <c r="D27" s="22" t="s">
        <v>64</v>
      </c>
      <c r="E27" s="22" t="s">
        <v>72</v>
      </c>
      <c r="F27" s="22" t="s">
        <v>65</v>
      </c>
      <c r="G27" s="22" t="s">
        <v>96</v>
      </c>
      <c r="H27" s="23"/>
      <c r="I27" s="23"/>
      <c r="J27" s="22">
        <v>4</v>
      </c>
      <c r="K27" s="22">
        <v>1</v>
      </c>
      <c r="L27" s="22">
        <v>1</v>
      </c>
      <c r="M27" s="23"/>
      <c r="N27" s="22" t="s">
        <v>85</v>
      </c>
      <c r="O27" s="23"/>
      <c r="P27" s="23"/>
      <c r="Q27" s="24">
        <v>2</v>
      </c>
      <c r="R27" s="24">
        <v>2</v>
      </c>
      <c r="S27" s="24">
        <v>1</v>
      </c>
      <c r="T27" s="24">
        <v>1</v>
      </c>
      <c r="U27" s="24">
        <v>1</v>
      </c>
      <c r="V27" s="24">
        <v>1</v>
      </c>
      <c r="W27" s="24">
        <v>4</v>
      </c>
      <c r="X27" s="24">
        <v>4</v>
      </c>
      <c r="Y27" s="24">
        <v>2</v>
      </c>
      <c r="Z27" s="24">
        <v>2</v>
      </c>
      <c r="AA27" s="24">
        <v>2</v>
      </c>
      <c r="AB27" s="24">
        <v>5</v>
      </c>
      <c r="AC27" s="24">
        <v>5</v>
      </c>
      <c r="AD27" s="24">
        <v>5</v>
      </c>
      <c r="AE27" s="24">
        <v>3</v>
      </c>
      <c r="AF27" s="24">
        <v>4</v>
      </c>
      <c r="AG27" s="24">
        <v>3</v>
      </c>
      <c r="AH27" s="24">
        <v>4</v>
      </c>
      <c r="AI27" s="24">
        <v>4</v>
      </c>
      <c r="AJ27" s="24">
        <v>3</v>
      </c>
      <c r="AK27" s="24">
        <v>3</v>
      </c>
      <c r="AL27" s="24">
        <v>2</v>
      </c>
      <c r="AM27" s="23"/>
      <c r="AN27" s="23"/>
      <c r="AO27" s="22" t="s">
        <v>59</v>
      </c>
      <c r="AP27" s="22" t="s">
        <v>59</v>
      </c>
      <c r="AQ27" s="22" t="s">
        <v>157</v>
      </c>
      <c r="AR27" s="22" t="s">
        <v>158</v>
      </c>
    </row>
    <row r="28" spans="1:44" hidden="1">
      <c r="A28" s="22" t="s">
        <v>159</v>
      </c>
      <c r="B28" s="22" t="s">
        <v>52</v>
      </c>
      <c r="C28" s="22" t="s">
        <v>53</v>
      </c>
      <c r="D28" s="22" t="s">
        <v>106</v>
      </c>
      <c r="E28" s="22" t="s">
        <v>72</v>
      </c>
      <c r="F28" s="22" t="s">
        <v>73</v>
      </c>
      <c r="G28" s="22" t="s">
        <v>57</v>
      </c>
      <c r="H28" s="23"/>
      <c r="I28" s="23"/>
      <c r="J28" s="22">
        <v>3</v>
      </c>
      <c r="K28" s="22">
        <v>3</v>
      </c>
      <c r="L28" s="22">
        <v>2</v>
      </c>
      <c r="M28" s="23"/>
      <c r="N28" s="22" t="s">
        <v>58</v>
      </c>
      <c r="O28" s="23"/>
      <c r="P28" s="23"/>
      <c r="Q28" s="24">
        <v>4</v>
      </c>
      <c r="R28" s="24">
        <v>4</v>
      </c>
      <c r="S28" s="24">
        <v>3</v>
      </c>
      <c r="T28" s="24">
        <v>3</v>
      </c>
      <c r="U28" s="24">
        <v>3</v>
      </c>
      <c r="V28" s="24">
        <v>3</v>
      </c>
      <c r="W28" s="24">
        <v>4</v>
      </c>
      <c r="X28" s="24">
        <v>4</v>
      </c>
      <c r="Y28" s="24">
        <v>3</v>
      </c>
      <c r="Z28" s="24">
        <v>2</v>
      </c>
      <c r="AA28" s="24">
        <v>4</v>
      </c>
      <c r="AB28" s="24">
        <v>4</v>
      </c>
      <c r="AC28" s="24">
        <v>5</v>
      </c>
      <c r="AD28" s="24">
        <v>5</v>
      </c>
      <c r="AE28" s="24">
        <v>4</v>
      </c>
      <c r="AF28" s="24">
        <v>4</v>
      </c>
      <c r="AG28" s="24">
        <v>4</v>
      </c>
      <c r="AH28" s="24">
        <v>4</v>
      </c>
      <c r="AI28" s="24">
        <v>4</v>
      </c>
      <c r="AJ28" s="24">
        <v>4</v>
      </c>
      <c r="AK28" s="24">
        <v>4</v>
      </c>
      <c r="AL28" s="24">
        <v>4</v>
      </c>
      <c r="AM28" s="23"/>
      <c r="AN28" s="23"/>
      <c r="AO28" s="22" t="s">
        <v>59</v>
      </c>
      <c r="AP28" s="22" t="s">
        <v>92</v>
      </c>
      <c r="AQ28" s="22" t="s">
        <v>160</v>
      </c>
      <c r="AR28" s="22" t="s">
        <v>92</v>
      </c>
    </row>
    <row r="29" spans="1:44" hidden="1">
      <c r="A29" s="22" t="s">
        <v>161</v>
      </c>
      <c r="B29" s="22" t="s">
        <v>52</v>
      </c>
      <c r="C29" s="22" t="s">
        <v>95</v>
      </c>
      <c r="D29" s="22" t="s">
        <v>71</v>
      </c>
      <c r="E29" s="22" t="s">
        <v>72</v>
      </c>
      <c r="F29" s="22" t="s">
        <v>73</v>
      </c>
      <c r="G29" s="22" t="s">
        <v>129</v>
      </c>
      <c r="H29" s="23"/>
      <c r="I29" s="23"/>
      <c r="J29" s="22">
        <v>2</v>
      </c>
      <c r="K29" s="22">
        <v>1</v>
      </c>
      <c r="L29" s="22">
        <v>1</v>
      </c>
      <c r="M29" s="23"/>
      <c r="N29" s="22" t="s">
        <v>58</v>
      </c>
      <c r="O29" s="23"/>
      <c r="P29" s="23"/>
      <c r="Q29" s="24">
        <v>3</v>
      </c>
      <c r="R29" s="24">
        <v>3</v>
      </c>
      <c r="S29" s="24">
        <v>3</v>
      </c>
      <c r="T29" s="24">
        <v>2</v>
      </c>
      <c r="U29" s="24">
        <v>3</v>
      </c>
      <c r="V29" s="24">
        <v>2</v>
      </c>
      <c r="W29" s="24">
        <v>3</v>
      </c>
      <c r="X29" s="24">
        <v>3</v>
      </c>
      <c r="Y29" s="24">
        <v>2</v>
      </c>
      <c r="Z29" s="24">
        <v>3</v>
      </c>
      <c r="AA29" s="24">
        <v>3</v>
      </c>
      <c r="AB29" s="24">
        <v>4</v>
      </c>
      <c r="AC29" s="24">
        <v>3</v>
      </c>
      <c r="AD29" s="24">
        <v>4</v>
      </c>
      <c r="AE29" s="24">
        <v>4</v>
      </c>
      <c r="AF29" s="24">
        <v>4</v>
      </c>
      <c r="AG29" s="24">
        <v>4</v>
      </c>
      <c r="AH29" s="24">
        <v>4</v>
      </c>
      <c r="AI29" s="24">
        <v>4</v>
      </c>
      <c r="AJ29" s="24">
        <v>4</v>
      </c>
      <c r="AK29" s="24">
        <v>3</v>
      </c>
      <c r="AL29" s="24">
        <v>3</v>
      </c>
      <c r="AM29" s="23"/>
      <c r="AN29" s="23"/>
      <c r="AO29" s="22" t="s">
        <v>59</v>
      </c>
      <c r="AP29" s="22" t="s">
        <v>162</v>
      </c>
      <c r="AQ29" s="22" t="s">
        <v>163</v>
      </c>
      <c r="AR29" s="22" t="s">
        <v>164</v>
      </c>
    </row>
    <row r="30" spans="1:44" hidden="1">
      <c r="A30" s="22" t="s">
        <v>165</v>
      </c>
      <c r="B30" s="22" t="s">
        <v>52</v>
      </c>
      <c r="C30" s="22" t="s">
        <v>53</v>
      </c>
      <c r="D30" s="22" t="s">
        <v>64</v>
      </c>
      <c r="E30" s="22" t="s">
        <v>55</v>
      </c>
      <c r="F30" s="22" t="s">
        <v>56</v>
      </c>
      <c r="G30" s="22" t="s">
        <v>80</v>
      </c>
      <c r="H30" s="23"/>
      <c r="I30" s="23"/>
      <c r="J30" s="22">
        <v>2</v>
      </c>
      <c r="K30" s="22">
        <v>2</v>
      </c>
      <c r="L30" s="22">
        <v>2</v>
      </c>
      <c r="M30" s="23"/>
      <c r="N30" s="22" t="s">
        <v>85</v>
      </c>
      <c r="O30" s="23"/>
      <c r="P30" s="23"/>
      <c r="Q30" s="24">
        <v>2</v>
      </c>
      <c r="R30" s="24">
        <v>2</v>
      </c>
      <c r="S30" s="24">
        <v>3</v>
      </c>
      <c r="T30" s="24">
        <v>1</v>
      </c>
      <c r="U30" s="24">
        <v>3</v>
      </c>
      <c r="V30" s="24">
        <v>3</v>
      </c>
      <c r="W30" s="24">
        <v>3</v>
      </c>
      <c r="X30" s="24">
        <v>3</v>
      </c>
      <c r="Y30" s="24">
        <v>3</v>
      </c>
      <c r="Z30" s="24">
        <v>3</v>
      </c>
      <c r="AA30" s="24">
        <v>1</v>
      </c>
      <c r="AB30" s="24">
        <v>2</v>
      </c>
      <c r="AC30" s="24">
        <v>2</v>
      </c>
      <c r="AD30" s="24">
        <v>3</v>
      </c>
      <c r="AE30" s="24">
        <v>2</v>
      </c>
      <c r="AF30" s="24">
        <v>2</v>
      </c>
      <c r="AG30" s="24">
        <v>1</v>
      </c>
      <c r="AH30" s="24">
        <v>2</v>
      </c>
      <c r="AI30" s="24">
        <v>2</v>
      </c>
      <c r="AJ30" s="24">
        <v>2</v>
      </c>
      <c r="AK30" s="24">
        <v>2</v>
      </c>
      <c r="AL30" s="24">
        <v>2</v>
      </c>
      <c r="AM30" s="23"/>
      <c r="AN30" s="23"/>
      <c r="AO30" s="22" t="s">
        <v>59</v>
      </c>
      <c r="AP30" s="22" t="s">
        <v>92</v>
      </c>
      <c r="AQ30" s="22" t="s">
        <v>166</v>
      </c>
      <c r="AR30" s="22" t="s">
        <v>92</v>
      </c>
    </row>
    <row r="31" spans="1:44" hidden="1">
      <c r="A31" s="22" t="s">
        <v>167</v>
      </c>
      <c r="B31" s="22" t="s">
        <v>52</v>
      </c>
      <c r="C31" s="22" t="s">
        <v>53</v>
      </c>
      <c r="D31" s="22" t="s">
        <v>98</v>
      </c>
      <c r="E31" s="22" t="s">
        <v>55</v>
      </c>
      <c r="F31" s="22" t="s">
        <v>136</v>
      </c>
      <c r="G31" s="22" t="s">
        <v>57</v>
      </c>
      <c r="H31" s="23"/>
      <c r="I31" s="23"/>
      <c r="J31" s="22">
        <v>3</v>
      </c>
      <c r="K31" s="22">
        <v>2</v>
      </c>
      <c r="L31" s="22">
        <v>4</v>
      </c>
      <c r="M31" s="23"/>
      <c r="N31" s="22" t="s">
        <v>91</v>
      </c>
      <c r="O31" s="23"/>
      <c r="P31" s="23"/>
      <c r="Q31" s="24">
        <v>4</v>
      </c>
      <c r="R31" s="24">
        <v>4</v>
      </c>
      <c r="S31" s="24">
        <v>4</v>
      </c>
      <c r="T31" s="24">
        <v>4</v>
      </c>
      <c r="U31" s="24">
        <v>4</v>
      </c>
      <c r="V31" s="24">
        <v>4</v>
      </c>
      <c r="W31" s="24">
        <v>4</v>
      </c>
      <c r="X31" s="24">
        <v>4</v>
      </c>
      <c r="Y31" s="24">
        <v>4</v>
      </c>
      <c r="Z31" s="24">
        <v>4</v>
      </c>
      <c r="AA31" s="24">
        <v>4</v>
      </c>
      <c r="AB31" s="24">
        <v>4</v>
      </c>
      <c r="AC31" s="24">
        <v>4</v>
      </c>
      <c r="AD31" s="24">
        <v>4</v>
      </c>
      <c r="AE31" s="24">
        <v>4</v>
      </c>
      <c r="AF31" s="24">
        <v>4</v>
      </c>
      <c r="AG31" s="24">
        <v>4</v>
      </c>
      <c r="AH31" s="24">
        <v>4</v>
      </c>
      <c r="AI31" s="24">
        <v>1</v>
      </c>
      <c r="AJ31" s="24">
        <v>1</v>
      </c>
      <c r="AK31" s="24">
        <v>1</v>
      </c>
      <c r="AL31" s="24">
        <v>1</v>
      </c>
      <c r="AM31" s="23"/>
      <c r="AN31" s="23"/>
      <c r="AO31" s="22" t="s">
        <v>59</v>
      </c>
      <c r="AP31" s="22" t="s">
        <v>168</v>
      </c>
      <c r="AQ31" s="22" t="s">
        <v>168</v>
      </c>
      <c r="AR31" s="22" t="s">
        <v>169</v>
      </c>
    </row>
    <row r="32" spans="1:44" hidden="1">
      <c r="A32" s="22" t="s">
        <v>170</v>
      </c>
      <c r="B32" s="22" t="s">
        <v>52</v>
      </c>
      <c r="C32" s="22" t="s">
        <v>53</v>
      </c>
      <c r="D32" s="22" t="s">
        <v>71</v>
      </c>
      <c r="E32" s="22" t="s">
        <v>72</v>
      </c>
      <c r="F32" s="22" t="s">
        <v>73</v>
      </c>
      <c r="G32" s="22" t="s">
        <v>80</v>
      </c>
      <c r="H32" s="23"/>
      <c r="I32" s="23"/>
      <c r="J32" s="22">
        <v>5</v>
      </c>
      <c r="K32" s="22">
        <v>4</v>
      </c>
      <c r="L32" s="22">
        <v>3</v>
      </c>
      <c r="M32" s="23"/>
      <c r="N32" s="22" t="s">
        <v>58</v>
      </c>
      <c r="O32" s="23"/>
      <c r="P32" s="23"/>
      <c r="Q32" s="24">
        <v>4</v>
      </c>
      <c r="R32" s="24">
        <v>3</v>
      </c>
      <c r="S32" s="24">
        <v>3</v>
      </c>
      <c r="T32" s="24">
        <v>3</v>
      </c>
      <c r="U32" s="24">
        <v>3</v>
      </c>
      <c r="V32" s="24">
        <v>3</v>
      </c>
      <c r="W32" s="24">
        <v>4</v>
      </c>
      <c r="X32" s="24">
        <v>4</v>
      </c>
      <c r="Y32" s="24">
        <v>4</v>
      </c>
      <c r="Z32" s="24">
        <v>4</v>
      </c>
      <c r="AA32" s="24">
        <v>3</v>
      </c>
      <c r="AB32" s="24">
        <v>4</v>
      </c>
      <c r="AC32" s="24">
        <v>4</v>
      </c>
      <c r="AD32" s="24">
        <v>3</v>
      </c>
      <c r="AE32" s="24">
        <v>3</v>
      </c>
      <c r="AF32" s="24">
        <v>3</v>
      </c>
      <c r="AG32" s="24">
        <v>3</v>
      </c>
      <c r="AH32" s="24">
        <v>4</v>
      </c>
      <c r="AI32" s="24">
        <v>3</v>
      </c>
      <c r="AJ32" s="24">
        <v>3</v>
      </c>
      <c r="AK32" s="24">
        <v>3</v>
      </c>
      <c r="AL32" s="24">
        <v>3</v>
      </c>
      <c r="AM32" s="23"/>
      <c r="AN32" s="23"/>
      <c r="AO32" s="22" t="s">
        <v>59</v>
      </c>
      <c r="AP32" s="22" t="s">
        <v>171</v>
      </c>
      <c r="AQ32" s="22" t="s">
        <v>172</v>
      </c>
      <c r="AR32" s="22" t="s">
        <v>173</v>
      </c>
    </row>
    <row r="33" spans="1:44" hidden="1">
      <c r="A33" s="22" t="s">
        <v>174</v>
      </c>
      <c r="B33" s="22" t="s">
        <v>52</v>
      </c>
      <c r="C33" s="22" t="s">
        <v>53</v>
      </c>
      <c r="D33" s="22" t="s">
        <v>98</v>
      </c>
      <c r="E33" s="22" t="s">
        <v>55</v>
      </c>
      <c r="F33" s="22" t="s">
        <v>136</v>
      </c>
      <c r="G33" s="22" t="s">
        <v>57</v>
      </c>
      <c r="H33" s="23"/>
      <c r="I33" s="23"/>
      <c r="J33" s="22">
        <v>4</v>
      </c>
      <c r="K33" s="22">
        <v>4</v>
      </c>
      <c r="L33" s="22">
        <v>3</v>
      </c>
      <c r="M33" s="23"/>
      <c r="N33" s="22" t="s">
        <v>58</v>
      </c>
      <c r="O33" s="23"/>
      <c r="P33" s="23"/>
      <c r="Q33" s="24">
        <v>4</v>
      </c>
      <c r="R33" s="24">
        <v>4</v>
      </c>
      <c r="S33" s="24">
        <v>3</v>
      </c>
      <c r="T33" s="24">
        <v>3</v>
      </c>
      <c r="U33" s="24">
        <v>4</v>
      </c>
      <c r="V33" s="24">
        <v>4</v>
      </c>
      <c r="W33" s="24">
        <v>4</v>
      </c>
      <c r="X33" s="24">
        <v>4</v>
      </c>
      <c r="Y33" s="24">
        <v>4</v>
      </c>
      <c r="Z33" s="24">
        <v>4</v>
      </c>
      <c r="AA33" s="24">
        <v>4</v>
      </c>
      <c r="AB33" s="24">
        <v>4</v>
      </c>
      <c r="AC33" s="24">
        <v>4</v>
      </c>
      <c r="AD33" s="24">
        <v>4</v>
      </c>
      <c r="AE33" s="24">
        <v>4</v>
      </c>
      <c r="AF33" s="24">
        <v>4</v>
      </c>
      <c r="AG33" s="24">
        <v>3</v>
      </c>
      <c r="AH33" s="24">
        <v>4</v>
      </c>
      <c r="AI33" s="24">
        <v>3</v>
      </c>
      <c r="AJ33" s="24">
        <v>3</v>
      </c>
      <c r="AK33" s="24">
        <v>3</v>
      </c>
      <c r="AL33" s="24">
        <v>3</v>
      </c>
      <c r="AM33" s="23"/>
      <c r="AN33" s="23"/>
      <c r="AO33" s="22" t="s">
        <v>59</v>
      </c>
      <c r="AP33" s="22" t="s">
        <v>92</v>
      </c>
      <c r="AQ33" s="22" t="s">
        <v>92</v>
      </c>
      <c r="AR33" s="22" t="s">
        <v>92</v>
      </c>
    </row>
    <row r="34" spans="1:44" hidden="1">
      <c r="A34" s="22" t="s">
        <v>175</v>
      </c>
      <c r="B34" s="22" t="s">
        <v>52</v>
      </c>
      <c r="C34" s="22" t="s">
        <v>53</v>
      </c>
      <c r="D34" s="22" t="s">
        <v>98</v>
      </c>
      <c r="E34" s="22" t="s">
        <v>55</v>
      </c>
      <c r="F34" s="22" t="s">
        <v>136</v>
      </c>
      <c r="G34" s="22" t="s">
        <v>57</v>
      </c>
      <c r="H34" s="23"/>
      <c r="I34" s="23"/>
      <c r="J34" s="22">
        <v>5</v>
      </c>
      <c r="K34" s="22">
        <v>4</v>
      </c>
      <c r="L34" s="22">
        <v>2</v>
      </c>
      <c r="M34" s="23"/>
      <c r="N34" s="22" t="s">
        <v>58</v>
      </c>
      <c r="O34" s="23"/>
      <c r="P34" s="23"/>
      <c r="Q34" s="24">
        <v>3</v>
      </c>
      <c r="R34" s="24">
        <v>3</v>
      </c>
      <c r="S34" s="24">
        <v>3</v>
      </c>
      <c r="T34" s="24">
        <v>3</v>
      </c>
      <c r="U34" s="24">
        <v>3</v>
      </c>
      <c r="V34" s="24">
        <v>3</v>
      </c>
      <c r="W34" s="24">
        <v>3</v>
      </c>
      <c r="X34" s="24">
        <v>3</v>
      </c>
      <c r="Y34" s="24">
        <v>3</v>
      </c>
      <c r="Z34" s="24">
        <v>3</v>
      </c>
      <c r="AA34" s="24">
        <v>3</v>
      </c>
      <c r="AB34" s="24">
        <v>3</v>
      </c>
      <c r="AC34" s="24">
        <v>3</v>
      </c>
      <c r="AD34" s="24">
        <v>3</v>
      </c>
      <c r="AE34" s="24">
        <v>3</v>
      </c>
      <c r="AF34" s="24">
        <v>3</v>
      </c>
      <c r="AG34" s="24">
        <v>3</v>
      </c>
      <c r="AH34" s="24">
        <v>3</v>
      </c>
      <c r="AI34" s="24">
        <v>3</v>
      </c>
      <c r="AJ34" s="24">
        <v>3</v>
      </c>
      <c r="AK34" s="24">
        <v>3</v>
      </c>
      <c r="AL34" s="24">
        <v>3</v>
      </c>
      <c r="AM34" s="23"/>
      <c r="AN34" s="23"/>
      <c r="AO34" s="22" t="s">
        <v>74</v>
      </c>
      <c r="AP34" s="22" t="s">
        <v>120</v>
      </c>
      <c r="AQ34" s="22" t="s">
        <v>120</v>
      </c>
      <c r="AR34" s="22" t="s">
        <v>120</v>
      </c>
    </row>
    <row r="35" spans="1:44" hidden="1">
      <c r="A35" s="22" t="s">
        <v>176</v>
      </c>
      <c r="B35" s="22" t="s">
        <v>52</v>
      </c>
      <c r="C35" s="22" t="s">
        <v>53</v>
      </c>
      <c r="D35" s="22" t="s">
        <v>64</v>
      </c>
      <c r="E35" s="22" t="s">
        <v>55</v>
      </c>
      <c r="F35" s="22" t="s">
        <v>65</v>
      </c>
      <c r="G35" s="22" t="s">
        <v>80</v>
      </c>
      <c r="H35" s="23"/>
      <c r="I35" s="23"/>
      <c r="J35" s="22">
        <v>3</v>
      </c>
      <c r="K35" s="22">
        <v>3</v>
      </c>
      <c r="L35" s="22">
        <v>1</v>
      </c>
      <c r="M35" s="23"/>
      <c r="N35" s="22" t="s">
        <v>58</v>
      </c>
      <c r="O35" s="23"/>
      <c r="P35" s="23"/>
      <c r="Q35" s="24">
        <v>3</v>
      </c>
      <c r="R35" s="24">
        <v>3</v>
      </c>
      <c r="S35" s="24">
        <v>3</v>
      </c>
      <c r="T35" s="24">
        <v>4</v>
      </c>
      <c r="U35" s="24">
        <v>4</v>
      </c>
      <c r="V35" s="24">
        <v>2</v>
      </c>
      <c r="W35" s="24">
        <v>4</v>
      </c>
      <c r="X35" s="24">
        <v>4</v>
      </c>
      <c r="Y35" s="24">
        <v>4</v>
      </c>
      <c r="Z35" s="24">
        <v>3</v>
      </c>
      <c r="AA35" s="24">
        <v>2</v>
      </c>
      <c r="AB35" s="24">
        <v>4</v>
      </c>
      <c r="AC35" s="24">
        <v>3</v>
      </c>
      <c r="AD35" s="24">
        <v>4</v>
      </c>
      <c r="AE35" s="24">
        <v>3</v>
      </c>
      <c r="AF35" s="24">
        <v>4</v>
      </c>
      <c r="AG35" s="24">
        <v>3</v>
      </c>
      <c r="AH35" s="24">
        <v>2</v>
      </c>
      <c r="AI35" s="24">
        <v>1</v>
      </c>
      <c r="AJ35" s="24">
        <v>1</v>
      </c>
      <c r="AK35" s="24">
        <v>1</v>
      </c>
      <c r="AL35" s="24">
        <v>3</v>
      </c>
      <c r="AM35" s="23"/>
      <c r="AN35" s="23"/>
      <c r="AO35" s="22" t="s">
        <v>59</v>
      </c>
      <c r="AP35" s="22" t="s">
        <v>177</v>
      </c>
      <c r="AQ35" s="22" t="s">
        <v>178</v>
      </c>
      <c r="AR35" s="22" t="s">
        <v>179</v>
      </c>
    </row>
    <row r="36" spans="1:44" hidden="1">
      <c r="A36" s="22" t="s">
        <v>180</v>
      </c>
      <c r="B36" s="22" t="s">
        <v>52</v>
      </c>
      <c r="C36" s="22" t="s">
        <v>95</v>
      </c>
      <c r="D36" s="22" t="s">
        <v>71</v>
      </c>
      <c r="E36" s="22" t="s">
        <v>55</v>
      </c>
      <c r="F36" s="22" t="s">
        <v>73</v>
      </c>
      <c r="G36" s="22" t="s">
        <v>57</v>
      </c>
      <c r="H36" s="23"/>
      <c r="I36" s="23"/>
      <c r="J36" s="22">
        <v>4</v>
      </c>
      <c r="K36" s="22">
        <v>4</v>
      </c>
      <c r="L36" s="22">
        <v>2</v>
      </c>
      <c r="M36" s="23"/>
      <c r="N36" s="22" t="s">
        <v>58</v>
      </c>
      <c r="O36" s="23"/>
      <c r="P36" s="23"/>
      <c r="Q36" s="24">
        <v>5</v>
      </c>
      <c r="R36" s="24">
        <v>3</v>
      </c>
      <c r="S36" s="24">
        <v>3</v>
      </c>
      <c r="T36" s="24">
        <v>4</v>
      </c>
      <c r="U36" s="24">
        <v>4</v>
      </c>
      <c r="V36" s="24">
        <v>4</v>
      </c>
      <c r="W36" s="24">
        <v>5</v>
      </c>
      <c r="X36" s="24">
        <v>5</v>
      </c>
      <c r="Y36" s="24">
        <v>4</v>
      </c>
      <c r="Z36" s="24">
        <v>4</v>
      </c>
      <c r="AA36" s="24">
        <v>5</v>
      </c>
      <c r="AB36" s="24">
        <v>5</v>
      </c>
      <c r="AC36" s="24">
        <v>5</v>
      </c>
      <c r="AD36" s="24">
        <v>5</v>
      </c>
      <c r="AE36" s="24">
        <v>5</v>
      </c>
      <c r="AF36" s="24">
        <v>5</v>
      </c>
      <c r="AG36" s="24">
        <v>5</v>
      </c>
      <c r="AH36" s="24">
        <v>5</v>
      </c>
      <c r="AI36" s="24">
        <v>5</v>
      </c>
      <c r="AJ36" s="24">
        <v>4</v>
      </c>
      <c r="AK36" s="24">
        <v>5</v>
      </c>
      <c r="AL36" s="24">
        <v>5</v>
      </c>
      <c r="AM36" s="23"/>
      <c r="AN36" s="23"/>
      <c r="AO36" s="22" t="s">
        <v>74</v>
      </c>
      <c r="AP36" s="22" t="s">
        <v>181</v>
      </c>
      <c r="AQ36" s="22" t="s">
        <v>182</v>
      </c>
      <c r="AR36" s="22" t="s">
        <v>183</v>
      </c>
    </row>
    <row r="37" spans="1:44" hidden="1">
      <c r="A37" s="22" t="s">
        <v>184</v>
      </c>
      <c r="B37" s="22" t="s">
        <v>52</v>
      </c>
      <c r="C37" s="22" t="s">
        <v>53</v>
      </c>
      <c r="D37" s="22" t="s">
        <v>98</v>
      </c>
      <c r="E37" s="22" t="s">
        <v>55</v>
      </c>
      <c r="F37" s="22" t="s">
        <v>136</v>
      </c>
      <c r="G37" s="22" t="s">
        <v>57</v>
      </c>
      <c r="H37" s="23"/>
      <c r="I37" s="23"/>
      <c r="J37" s="22">
        <v>4</v>
      </c>
      <c r="K37" s="22">
        <v>4</v>
      </c>
      <c r="L37" s="22">
        <v>3</v>
      </c>
      <c r="M37" s="23"/>
      <c r="N37" s="22" t="s">
        <v>58</v>
      </c>
      <c r="O37" s="23"/>
      <c r="P37" s="23"/>
      <c r="Q37" s="24">
        <v>4</v>
      </c>
      <c r="R37" s="24">
        <v>3</v>
      </c>
      <c r="S37" s="24">
        <v>4</v>
      </c>
      <c r="T37" s="24">
        <v>2</v>
      </c>
      <c r="U37" s="24">
        <v>3</v>
      </c>
      <c r="V37" s="24">
        <v>4</v>
      </c>
      <c r="W37" s="24">
        <v>4</v>
      </c>
      <c r="X37" s="24">
        <v>4</v>
      </c>
      <c r="Y37" s="24">
        <v>4</v>
      </c>
      <c r="Z37" s="24">
        <v>4</v>
      </c>
      <c r="AA37" s="24">
        <v>3</v>
      </c>
      <c r="AB37" s="24">
        <v>4</v>
      </c>
      <c r="AC37" s="24">
        <v>4</v>
      </c>
      <c r="AD37" s="24">
        <v>4</v>
      </c>
      <c r="AE37" s="24">
        <v>4</v>
      </c>
      <c r="AF37" s="24">
        <v>4</v>
      </c>
      <c r="AG37" s="24">
        <v>4</v>
      </c>
      <c r="AH37" s="24">
        <v>3</v>
      </c>
      <c r="AI37" s="24">
        <v>2</v>
      </c>
      <c r="AJ37" s="24">
        <v>3</v>
      </c>
      <c r="AK37" s="24">
        <v>2</v>
      </c>
      <c r="AL37" s="24">
        <v>2</v>
      </c>
      <c r="AM37" s="23"/>
      <c r="AN37" s="23"/>
      <c r="AO37" s="22" t="s">
        <v>74</v>
      </c>
      <c r="AP37" s="22" t="s">
        <v>185</v>
      </c>
      <c r="AQ37" s="22" t="s">
        <v>186</v>
      </c>
      <c r="AR37" s="22" t="s">
        <v>187</v>
      </c>
    </row>
    <row r="38" spans="1:44" hidden="1">
      <c r="A38" s="22" t="s">
        <v>188</v>
      </c>
      <c r="B38" s="22" t="s">
        <v>52</v>
      </c>
      <c r="C38" s="22" t="s">
        <v>95</v>
      </c>
      <c r="D38" s="22" t="s">
        <v>64</v>
      </c>
      <c r="E38" s="22" t="s">
        <v>55</v>
      </c>
      <c r="F38" s="22" t="s">
        <v>65</v>
      </c>
      <c r="G38" s="22" t="s">
        <v>80</v>
      </c>
      <c r="H38" s="23"/>
      <c r="I38" s="23"/>
      <c r="J38" s="22">
        <v>3</v>
      </c>
      <c r="K38" s="22">
        <v>2</v>
      </c>
      <c r="L38" s="22">
        <v>3</v>
      </c>
      <c r="M38" s="23"/>
      <c r="N38" s="22" t="s">
        <v>58</v>
      </c>
      <c r="O38" s="23"/>
      <c r="P38" s="23"/>
      <c r="Q38" s="24">
        <v>3</v>
      </c>
      <c r="R38" s="24">
        <v>2</v>
      </c>
      <c r="S38" s="24">
        <v>3</v>
      </c>
      <c r="T38" s="24">
        <v>3</v>
      </c>
      <c r="U38" s="24">
        <v>3</v>
      </c>
      <c r="V38" s="24">
        <v>3</v>
      </c>
      <c r="W38" s="24">
        <v>3</v>
      </c>
      <c r="X38" s="24">
        <v>3</v>
      </c>
      <c r="Y38" s="24">
        <v>3</v>
      </c>
      <c r="Z38" s="24">
        <v>3</v>
      </c>
      <c r="AA38" s="24">
        <v>3</v>
      </c>
      <c r="AB38" s="24">
        <v>4</v>
      </c>
      <c r="AC38" s="24">
        <v>4</v>
      </c>
      <c r="AD38" s="24">
        <v>3</v>
      </c>
      <c r="AE38" s="24">
        <v>3</v>
      </c>
      <c r="AF38" s="24">
        <v>3</v>
      </c>
      <c r="AG38" s="24">
        <v>3</v>
      </c>
      <c r="AH38" s="24">
        <v>3</v>
      </c>
      <c r="AI38" s="24">
        <v>3</v>
      </c>
      <c r="AJ38" s="24">
        <v>3</v>
      </c>
      <c r="AK38" s="24">
        <v>3</v>
      </c>
      <c r="AL38" s="24">
        <v>3</v>
      </c>
      <c r="AM38" s="23"/>
      <c r="AN38" s="23"/>
      <c r="AO38" s="22" t="s">
        <v>74</v>
      </c>
      <c r="AP38" s="22" t="s">
        <v>92</v>
      </c>
      <c r="AQ38" s="22" t="s">
        <v>92</v>
      </c>
      <c r="AR38" s="22" t="s">
        <v>92</v>
      </c>
    </row>
    <row r="39" spans="1:44" hidden="1">
      <c r="A39" s="22" t="s">
        <v>189</v>
      </c>
      <c r="B39" s="22" t="s">
        <v>52</v>
      </c>
      <c r="C39" s="22" t="s">
        <v>95</v>
      </c>
      <c r="D39" s="22" t="s">
        <v>106</v>
      </c>
      <c r="E39" s="22" t="s">
        <v>72</v>
      </c>
      <c r="F39" s="22" t="s">
        <v>73</v>
      </c>
      <c r="G39" s="22" t="s">
        <v>57</v>
      </c>
      <c r="H39" s="23"/>
      <c r="I39" s="23"/>
      <c r="J39" s="22">
        <v>4</v>
      </c>
      <c r="K39" s="22">
        <v>4</v>
      </c>
      <c r="L39" s="22">
        <v>2</v>
      </c>
      <c r="M39" s="23"/>
      <c r="N39" s="22" t="s">
        <v>58</v>
      </c>
      <c r="O39" s="23"/>
      <c r="P39" s="23"/>
      <c r="Q39" s="24">
        <v>4</v>
      </c>
      <c r="R39" s="24">
        <v>2</v>
      </c>
      <c r="S39" s="24">
        <v>3</v>
      </c>
      <c r="T39" s="24">
        <v>3</v>
      </c>
      <c r="U39" s="24">
        <v>3</v>
      </c>
      <c r="V39" s="24">
        <v>4</v>
      </c>
      <c r="W39" s="24">
        <v>4</v>
      </c>
      <c r="X39" s="24">
        <v>3</v>
      </c>
      <c r="Y39" s="24">
        <v>4</v>
      </c>
      <c r="Z39" s="24">
        <v>4</v>
      </c>
      <c r="AA39" s="24">
        <v>4</v>
      </c>
      <c r="AB39" s="24">
        <v>4</v>
      </c>
      <c r="AC39" s="24">
        <v>4</v>
      </c>
      <c r="AD39" s="24">
        <v>4</v>
      </c>
      <c r="AE39" s="24">
        <v>3</v>
      </c>
      <c r="AF39" s="24">
        <v>4</v>
      </c>
      <c r="AG39" s="24">
        <v>4</v>
      </c>
      <c r="AH39" s="24">
        <v>4</v>
      </c>
      <c r="AI39" s="24">
        <v>4</v>
      </c>
      <c r="AJ39" s="24">
        <v>2</v>
      </c>
      <c r="AK39" s="24">
        <v>4</v>
      </c>
      <c r="AL39" s="24">
        <v>2</v>
      </c>
      <c r="AM39" s="23"/>
      <c r="AN39" s="23"/>
      <c r="AO39" s="22" t="s">
        <v>74</v>
      </c>
      <c r="AP39" s="22" t="s">
        <v>190</v>
      </c>
      <c r="AQ39" s="22" t="s">
        <v>191</v>
      </c>
      <c r="AR39" s="22" t="s">
        <v>190</v>
      </c>
    </row>
    <row r="40" spans="1:44" hidden="1">
      <c r="A40" s="22" t="s">
        <v>192</v>
      </c>
      <c r="B40" s="22" t="s">
        <v>52</v>
      </c>
      <c r="C40" s="22" t="s">
        <v>95</v>
      </c>
      <c r="D40" s="22" t="s">
        <v>54</v>
      </c>
      <c r="E40" s="22" t="s">
        <v>55</v>
      </c>
      <c r="F40" s="22" t="s">
        <v>56</v>
      </c>
      <c r="G40" s="22" t="s">
        <v>96</v>
      </c>
      <c r="H40" s="23"/>
      <c r="I40" s="23"/>
      <c r="J40" s="22">
        <v>2</v>
      </c>
      <c r="K40" s="22">
        <v>1</v>
      </c>
      <c r="L40" s="22">
        <v>1</v>
      </c>
      <c r="M40" s="23"/>
      <c r="N40" s="22" t="s">
        <v>85</v>
      </c>
      <c r="O40" s="23"/>
      <c r="P40" s="23"/>
      <c r="Q40" s="24">
        <v>1</v>
      </c>
      <c r="R40" s="24">
        <v>1</v>
      </c>
      <c r="S40" s="24">
        <v>2</v>
      </c>
      <c r="T40" s="24">
        <v>2</v>
      </c>
      <c r="U40" s="24">
        <v>2</v>
      </c>
      <c r="V40" s="24">
        <v>2</v>
      </c>
      <c r="W40" s="24">
        <v>4</v>
      </c>
      <c r="X40" s="24">
        <v>4</v>
      </c>
      <c r="Y40" s="24">
        <v>2</v>
      </c>
      <c r="Z40" s="24">
        <v>2</v>
      </c>
      <c r="AA40" s="24">
        <v>3</v>
      </c>
      <c r="AB40" s="24">
        <v>4</v>
      </c>
      <c r="AC40" s="24">
        <v>4</v>
      </c>
      <c r="AD40" s="24">
        <v>4</v>
      </c>
      <c r="AE40" s="24">
        <v>3</v>
      </c>
      <c r="AF40" s="24">
        <v>3</v>
      </c>
      <c r="AG40" s="24">
        <v>3</v>
      </c>
      <c r="AH40" s="24">
        <v>3</v>
      </c>
      <c r="AI40" s="24">
        <v>3</v>
      </c>
      <c r="AJ40" s="24">
        <v>3</v>
      </c>
      <c r="AK40" s="24">
        <v>3</v>
      </c>
      <c r="AL40" s="24">
        <v>3</v>
      </c>
      <c r="AM40" s="23"/>
      <c r="AN40" s="23"/>
      <c r="AO40" s="22" t="s">
        <v>59</v>
      </c>
      <c r="AP40" s="22" t="s">
        <v>193</v>
      </c>
      <c r="AQ40" s="22" t="s">
        <v>92</v>
      </c>
      <c r="AR40" s="22" t="s">
        <v>92</v>
      </c>
    </row>
    <row r="41" spans="1:44" hidden="1">
      <c r="A41" s="22" t="s">
        <v>194</v>
      </c>
      <c r="B41" s="22" t="s">
        <v>52</v>
      </c>
      <c r="C41" s="22" t="s">
        <v>53</v>
      </c>
      <c r="D41" s="22" t="s">
        <v>54</v>
      </c>
      <c r="E41" s="22" t="s">
        <v>55</v>
      </c>
      <c r="F41" s="22" t="s">
        <v>65</v>
      </c>
      <c r="G41" s="22" t="s">
        <v>57</v>
      </c>
      <c r="H41" s="23"/>
      <c r="I41" s="23"/>
      <c r="J41" s="22">
        <v>4</v>
      </c>
      <c r="K41" s="22">
        <v>1</v>
      </c>
      <c r="L41" s="22">
        <v>1</v>
      </c>
      <c r="M41" s="23"/>
      <c r="N41" s="22" t="s">
        <v>58</v>
      </c>
      <c r="O41" s="23"/>
      <c r="P41" s="23"/>
      <c r="Q41" s="24">
        <v>3</v>
      </c>
      <c r="R41" s="24">
        <v>3</v>
      </c>
      <c r="S41" s="24">
        <v>2</v>
      </c>
      <c r="T41" s="24">
        <v>2</v>
      </c>
      <c r="U41" s="24">
        <v>3</v>
      </c>
      <c r="V41" s="24">
        <v>3</v>
      </c>
      <c r="W41" s="24">
        <v>3</v>
      </c>
      <c r="X41" s="24">
        <v>3</v>
      </c>
      <c r="Y41" s="24">
        <v>3</v>
      </c>
      <c r="Z41" s="24">
        <v>3</v>
      </c>
      <c r="AA41" s="24">
        <v>3</v>
      </c>
      <c r="AB41" s="24">
        <v>4</v>
      </c>
      <c r="AC41" s="24">
        <v>4</v>
      </c>
      <c r="AD41" s="24">
        <v>4</v>
      </c>
      <c r="AE41" s="24">
        <v>4</v>
      </c>
      <c r="AF41" s="24">
        <v>4</v>
      </c>
      <c r="AG41" s="24">
        <v>4</v>
      </c>
      <c r="AH41" s="24">
        <v>4</v>
      </c>
      <c r="AI41" s="24">
        <v>2</v>
      </c>
      <c r="AJ41" s="24">
        <v>2</v>
      </c>
      <c r="AK41" s="24">
        <v>4</v>
      </c>
      <c r="AL41" s="24">
        <v>2</v>
      </c>
      <c r="AM41" s="23"/>
      <c r="AN41" s="23"/>
      <c r="AO41" s="22" t="s">
        <v>59</v>
      </c>
      <c r="AP41" s="22" t="s">
        <v>195</v>
      </c>
      <c r="AQ41" s="22" t="s">
        <v>196</v>
      </c>
      <c r="AR41" s="22" t="s">
        <v>197</v>
      </c>
    </row>
    <row r="42" spans="1:44" hidden="1">
      <c r="A42" s="22" t="s">
        <v>198</v>
      </c>
      <c r="B42" s="22" t="s">
        <v>52</v>
      </c>
      <c r="C42" s="22" t="s">
        <v>53</v>
      </c>
      <c r="D42" s="22" t="s">
        <v>54</v>
      </c>
      <c r="E42" s="22" t="s">
        <v>72</v>
      </c>
      <c r="F42" s="22" t="s">
        <v>56</v>
      </c>
      <c r="G42" s="22" t="s">
        <v>80</v>
      </c>
      <c r="H42" s="23"/>
      <c r="I42" s="23"/>
      <c r="J42" s="22">
        <v>3</v>
      </c>
      <c r="K42" s="22">
        <v>3</v>
      </c>
      <c r="L42" s="22">
        <v>2</v>
      </c>
      <c r="M42" s="23"/>
      <c r="N42" s="22" t="s">
        <v>58</v>
      </c>
      <c r="O42" s="23"/>
      <c r="P42" s="23"/>
      <c r="Q42" s="24">
        <v>4</v>
      </c>
      <c r="R42" s="24">
        <v>3</v>
      </c>
      <c r="S42" s="24">
        <v>3</v>
      </c>
      <c r="T42" s="24">
        <v>3</v>
      </c>
      <c r="U42" s="24">
        <v>3</v>
      </c>
      <c r="V42" s="24">
        <v>3</v>
      </c>
      <c r="W42" s="24">
        <v>4</v>
      </c>
      <c r="X42" s="24">
        <v>3</v>
      </c>
      <c r="Y42" s="24">
        <v>3</v>
      </c>
      <c r="Z42" s="24">
        <v>3</v>
      </c>
      <c r="AA42" s="24">
        <v>4</v>
      </c>
      <c r="AB42" s="24">
        <v>4</v>
      </c>
      <c r="AC42" s="24">
        <v>4</v>
      </c>
      <c r="AD42" s="24">
        <v>4</v>
      </c>
      <c r="AE42" s="24">
        <v>4</v>
      </c>
      <c r="AF42" s="24">
        <v>4</v>
      </c>
      <c r="AG42" s="24">
        <v>4</v>
      </c>
      <c r="AH42" s="24">
        <v>4</v>
      </c>
      <c r="AI42" s="24">
        <v>3</v>
      </c>
      <c r="AJ42" s="24">
        <v>3</v>
      </c>
      <c r="AK42" s="24">
        <v>4</v>
      </c>
      <c r="AL42" s="24">
        <v>3</v>
      </c>
      <c r="AM42" s="23"/>
      <c r="AN42" s="23"/>
      <c r="AO42" s="22" t="s">
        <v>74</v>
      </c>
      <c r="AP42" s="22" t="s">
        <v>199</v>
      </c>
      <c r="AQ42" s="22" t="s">
        <v>199</v>
      </c>
      <c r="AR42" s="22" t="s">
        <v>200</v>
      </c>
    </row>
    <row r="43" spans="1:44" hidden="1">
      <c r="A43" s="22" t="s">
        <v>201</v>
      </c>
      <c r="B43" s="22" t="s">
        <v>52</v>
      </c>
      <c r="C43" s="22" t="s">
        <v>79</v>
      </c>
      <c r="D43" s="22" t="s">
        <v>98</v>
      </c>
      <c r="E43" s="22" t="s">
        <v>55</v>
      </c>
      <c r="F43" s="22" t="s">
        <v>65</v>
      </c>
      <c r="G43" s="22" t="s">
        <v>80</v>
      </c>
      <c r="H43" s="23"/>
      <c r="I43" s="23"/>
      <c r="J43" s="22">
        <v>4</v>
      </c>
      <c r="K43" s="22">
        <v>5</v>
      </c>
      <c r="L43" s="22">
        <v>4</v>
      </c>
      <c r="M43" s="23"/>
      <c r="N43" s="22" t="s">
        <v>66</v>
      </c>
      <c r="O43" s="23"/>
      <c r="P43" s="23"/>
      <c r="Q43" s="24">
        <v>4</v>
      </c>
      <c r="R43" s="24">
        <v>4</v>
      </c>
      <c r="S43" s="24">
        <v>4</v>
      </c>
      <c r="T43" s="24">
        <v>4</v>
      </c>
      <c r="U43" s="24">
        <v>4</v>
      </c>
      <c r="V43" s="24">
        <v>4</v>
      </c>
      <c r="W43" s="24">
        <v>4</v>
      </c>
      <c r="X43" s="24">
        <v>4</v>
      </c>
      <c r="Y43" s="24">
        <v>4</v>
      </c>
      <c r="Z43" s="24">
        <v>4</v>
      </c>
      <c r="AA43" s="24">
        <v>4</v>
      </c>
      <c r="AB43" s="24">
        <v>5</v>
      </c>
      <c r="AC43" s="24">
        <v>4</v>
      </c>
      <c r="AD43" s="24">
        <v>4</v>
      </c>
      <c r="AE43" s="24">
        <v>4</v>
      </c>
      <c r="AF43" s="24">
        <v>4</v>
      </c>
      <c r="AG43" s="24">
        <v>4</v>
      </c>
      <c r="AH43" s="24">
        <v>4</v>
      </c>
      <c r="AI43" s="24">
        <v>3</v>
      </c>
      <c r="AJ43" s="24">
        <v>4</v>
      </c>
      <c r="AK43" s="24">
        <v>3</v>
      </c>
      <c r="AL43" s="24">
        <v>3</v>
      </c>
      <c r="AM43" s="23"/>
      <c r="AN43" s="23"/>
      <c r="AO43" s="22" t="s">
        <v>74</v>
      </c>
      <c r="AP43" s="22" t="s">
        <v>202</v>
      </c>
      <c r="AQ43" s="22" t="s">
        <v>203</v>
      </c>
      <c r="AR43" s="22" t="s">
        <v>204</v>
      </c>
    </row>
    <row r="44" spans="1:44" hidden="1">
      <c r="A44" s="22" t="s">
        <v>205</v>
      </c>
      <c r="B44" s="22" t="s">
        <v>52</v>
      </c>
      <c r="C44" s="22" t="s">
        <v>95</v>
      </c>
      <c r="D44" s="22" t="s">
        <v>54</v>
      </c>
      <c r="E44" s="22" t="s">
        <v>72</v>
      </c>
      <c r="F44" s="22" t="s">
        <v>73</v>
      </c>
      <c r="G44" s="22" t="s">
        <v>57</v>
      </c>
      <c r="H44" s="23"/>
      <c r="I44" s="23"/>
      <c r="J44" s="22">
        <v>4</v>
      </c>
      <c r="K44" s="22">
        <v>2</v>
      </c>
      <c r="L44" s="22">
        <v>2</v>
      </c>
      <c r="M44" s="23"/>
      <c r="N44" s="22" t="s">
        <v>66</v>
      </c>
      <c r="O44" s="23"/>
      <c r="P44" s="23"/>
      <c r="Q44" s="24">
        <v>3</v>
      </c>
      <c r="R44" s="24">
        <v>3</v>
      </c>
      <c r="S44" s="24">
        <v>3</v>
      </c>
      <c r="T44" s="24">
        <v>3</v>
      </c>
      <c r="U44" s="24">
        <v>3</v>
      </c>
      <c r="V44" s="24">
        <v>4</v>
      </c>
      <c r="W44" s="24">
        <v>4</v>
      </c>
      <c r="X44" s="24">
        <v>3</v>
      </c>
      <c r="Y44" s="24">
        <v>3</v>
      </c>
      <c r="Z44" s="24">
        <v>3</v>
      </c>
      <c r="AA44" s="24">
        <v>5</v>
      </c>
      <c r="AB44" s="24">
        <v>5</v>
      </c>
      <c r="AC44" s="24">
        <v>4</v>
      </c>
      <c r="AD44" s="24">
        <v>5</v>
      </c>
      <c r="AE44" s="24">
        <v>4</v>
      </c>
      <c r="AF44" s="24">
        <v>3</v>
      </c>
      <c r="AG44" s="24">
        <v>4</v>
      </c>
      <c r="AH44" s="24">
        <v>4</v>
      </c>
      <c r="AI44" s="24">
        <v>3</v>
      </c>
      <c r="AJ44" s="24">
        <v>3</v>
      </c>
      <c r="AK44" s="24">
        <v>4</v>
      </c>
      <c r="AL44" s="24">
        <v>3</v>
      </c>
      <c r="AM44" s="23"/>
      <c r="AN44" s="23"/>
      <c r="AO44" s="22" t="s">
        <v>74</v>
      </c>
      <c r="AP44" s="22" t="s">
        <v>206</v>
      </c>
      <c r="AQ44" s="22" t="s">
        <v>207</v>
      </c>
      <c r="AR44" s="22" t="s">
        <v>208</v>
      </c>
    </row>
    <row r="45" spans="1:44" hidden="1">
      <c r="A45" s="22" t="s">
        <v>209</v>
      </c>
      <c r="B45" s="22" t="s">
        <v>52</v>
      </c>
      <c r="C45" s="22" t="s">
        <v>53</v>
      </c>
      <c r="D45" s="22" t="s">
        <v>64</v>
      </c>
      <c r="E45" s="22" t="s">
        <v>55</v>
      </c>
      <c r="F45" s="22" t="s">
        <v>56</v>
      </c>
      <c r="G45" s="22" t="s">
        <v>57</v>
      </c>
      <c r="H45" s="23"/>
      <c r="I45" s="23"/>
      <c r="J45" s="22">
        <v>5</v>
      </c>
      <c r="K45" s="22">
        <v>5</v>
      </c>
      <c r="L45" s="22">
        <v>1</v>
      </c>
      <c r="M45" s="23"/>
      <c r="N45" s="22" t="s">
        <v>66</v>
      </c>
      <c r="O45" s="23"/>
      <c r="P45" s="23"/>
      <c r="Q45" s="24">
        <v>4</v>
      </c>
      <c r="R45" s="24">
        <v>3</v>
      </c>
      <c r="S45" s="24">
        <v>3</v>
      </c>
      <c r="T45" s="24">
        <v>3</v>
      </c>
      <c r="U45" s="24">
        <v>4</v>
      </c>
      <c r="V45" s="24">
        <v>4</v>
      </c>
      <c r="W45" s="24">
        <v>5</v>
      </c>
      <c r="X45" s="24">
        <v>4</v>
      </c>
      <c r="Y45" s="24">
        <v>2</v>
      </c>
      <c r="Z45" s="24">
        <v>3</v>
      </c>
      <c r="AA45" s="24">
        <v>4</v>
      </c>
      <c r="AB45" s="24">
        <v>5</v>
      </c>
      <c r="AC45" s="24">
        <v>4</v>
      </c>
      <c r="AD45" s="24">
        <v>4</v>
      </c>
      <c r="AE45" s="24">
        <v>4</v>
      </c>
      <c r="AF45" s="24">
        <v>4</v>
      </c>
      <c r="AG45" s="24">
        <v>4</v>
      </c>
      <c r="AH45" s="24">
        <v>3</v>
      </c>
      <c r="AI45" s="24">
        <v>3</v>
      </c>
      <c r="AJ45" s="24">
        <v>3</v>
      </c>
      <c r="AK45" s="24">
        <v>3</v>
      </c>
      <c r="AL45" s="24">
        <v>3</v>
      </c>
      <c r="AM45" s="23"/>
      <c r="AN45" s="23"/>
      <c r="AO45" s="22" t="s">
        <v>74</v>
      </c>
      <c r="AP45" s="22" t="s">
        <v>210</v>
      </c>
      <c r="AQ45" s="22" t="s">
        <v>211</v>
      </c>
      <c r="AR45" s="22" t="s">
        <v>212</v>
      </c>
    </row>
    <row r="46" spans="1:44" hidden="1">
      <c r="A46" s="22" t="s">
        <v>213</v>
      </c>
      <c r="B46" s="22" t="s">
        <v>52</v>
      </c>
      <c r="C46" s="22" t="s">
        <v>53</v>
      </c>
      <c r="D46" s="22" t="s">
        <v>64</v>
      </c>
      <c r="E46" s="22" t="s">
        <v>55</v>
      </c>
      <c r="F46" s="22" t="s">
        <v>65</v>
      </c>
      <c r="G46" s="22" t="s">
        <v>96</v>
      </c>
      <c r="H46" s="23"/>
      <c r="I46" s="23"/>
      <c r="J46" s="22">
        <v>3</v>
      </c>
      <c r="K46" s="22">
        <v>3</v>
      </c>
      <c r="L46" s="22">
        <v>2</v>
      </c>
      <c r="M46" s="23"/>
      <c r="N46" s="22" t="s">
        <v>58</v>
      </c>
      <c r="O46" s="23"/>
      <c r="P46" s="23"/>
      <c r="Q46" s="24">
        <v>3</v>
      </c>
      <c r="R46" s="24">
        <v>3</v>
      </c>
      <c r="S46" s="24">
        <v>3</v>
      </c>
      <c r="T46" s="24">
        <v>3</v>
      </c>
      <c r="U46" s="24">
        <v>3</v>
      </c>
      <c r="V46" s="24">
        <v>3</v>
      </c>
      <c r="W46" s="24">
        <v>3</v>
      </c>
      <c r="X46" s="24">
        <v>3</v>
      </c>
      <c r="Y46" s="24">
        <v>3</v>
      </c>
      <c r="Z46" s="24">
        <v>3</v>
      </c>
      <c r="AA46" s="24">
        <v>3</v>
      </c>
      <c r="AB46" s="24">
        <v>3</v>
      </c>
      <c r="AC46" s="24">
        <v>3</v>
      </c>
      <c r="AD46" s="24">
        <v>3</v>
      </c>
      <c r="AE46" s="24">
        <v>3</v>
      </c>
      <c r="AF46" s="24">
        <v>3</v>
      </c>
      <c r="AG46" s="24">
        <v>3</v>
      </c>
      <c r="AH46" s="24">
        <v>3</v>
      </c>
      <c r="AI46" s="24">
        <v>3</v>
      </c>
      <c r="AJ46" s="24">
        <v>3</v>
      </c>
      <c r="AK46" s="24">
        <v>3</v>
      </c>
      <c r="AL46" s="24">
        <v>3</v>
      </c>
      <c r="AM46" s="23"/>
      <c r="AN46" s="23"/>
      <c r="AO46" s="22" t="s">
        <v>59</v>
      </c>
      <c r="AP46" s="22" t="s">
        <v>214</v>
      </c>
      <c r="AQ46" s="22" t="s">
        <v>215</v>
      </c>
      <c r="AR46" s="22" t="s">
        <v>216</v>
      </c>
    </row>
    <row r="47" spans="1:44" hidden="1">
      <c r="A47" s="22" t="s">
        <v>217</v>
      </c>
      <c r="B47" s="22" t="s">
        <v>52</v>
      </c>
      <c r="C47" s="22" t="s">
        <v>95</v>
      </c>
      <c r="D47" s="22" t="s">
        <v>64</v>
      </c>
      <c r="E47" s="22" t="s">
        <v>55</v>
      </c>
      <c r="F47" s="22" t="s">
        <v>56</v>
      </c>
      <c r="G47" s="22" t="s">
        <v>80</v>
      </c>
      <c r="H47" s="23"/>
      <c r="I47" s="23"/>
      <c r="J47" s="22">
        <v>2</v>
      </c>
      <c r="K47" s="22">
        <v>1</v>
      </c>
      <c r="L47" s="22">
        <v>2</v>
      </c>
      <c r="M47" s="23"/>
      <c r="N47" s="22" t="s">
        <v>85</v>
      </c>
      <c r="O47" s="23"/>
      <c r="P47" s="23"/>
      <c r="Q47" s="24">
        <v>2</v>
      </c>
      <c r="R47" s="24">
        <v>1</v>
      </c>
      <c r="S47" s="24">
        <v>2</v>
      </c>
      <c r="T47" s="24">
        <v>1</v>
      </c>
      <c r="U47" s="24">
        <v>4</v>
      </c>
      <c r="V47" s="24">
        <v>2</v>
      </c>
      <c r="W47" s="24">
        <v>1</v>
      </c>
      <c r="X47" s="24">
        <v>4</v>
      </c>
      <c r="Y47" s="24">
        <v>3</v>
      </c>
      <c r="Z47" s="24">
        <v>4</v>
      </c>
      <c r="AA47" s="24">
        <v>4</v>
      </c>
      <c r="AB47" s="24">
        <v>5</v>
      </c>
      <c r="AC47" s="24">
        <v>4</v>
      </c>
      <c r="AD47" s="24">
        <v>2</v>
      </c>
      <c r="AE47" s="24">
        <v>4</v>
      </c>
      <c r="AF47" s="24">
        <v>5</v>
      </c>
      <c r="AG47" s="24">
        <v>4</v>
      </c>
      <c r="AH47" s="24">
        <v>4</v>
      </c>
      <c r="AI47" s="24">
        <v>1</v>
      </c>
      <c r="AJ47" s="24">
        <v>2</v>
      </c>
      <c r="AK47" s="24">
        <v>2</v>
      </c>
      <c r="AL47" s="24">
        <v>1</v>
      </c>
      <c r="AM47" s="23"/>
      <c r="AN47" s="23"/>
      <c r="AO47" s="22" t="s">
        <v>59</v>
      </c>
      <c r="AP47" s="22" t="s">
        <v>92</v>
      </c>
      <c r="AQ47" s="22" t="s">
        <v>218</v>
      </c>
      <c r="AR47" s="22" t="s">
        <v>92</v>
      </c>
    </row>
    <row r="48" spans="1:44" hidden="1">
      <c r="A48" s="22" t="s">
        <v>219</v>
      </c>
      <c r="B48" s="22" t="s">
        <v>52</v>
      </c>
      <c r="C48" s="22" t="s">
        <v>79</v>
      </c>
      <c r="D48" s="22" t="s">
        <v>98</v>
      </c>
      <c r="E48" s="22" t="s">
        <v>55</v>
      </c>
      <c r="F48" s="22" t="s">
        <v>65</v>
      </c>
      <c r="G48" s="22" t="s">
        <v>57</v>
      </c>
      <c r="H48" s="23"/>
      <c r="I48" s="23"/>
      <c r="J48" s="22">
        <v>4</v>
      </c>
      <c r="K48" s="22">
        <v>4</v>
      </c>
      <c r="L48" s="22">
        <v>1</v>
      </c>
      <c r="M48" s="23"/>
      <c r="N48" s="22" t="s">
        <v>66</v>
      </c>
      <c r="O48" s="23"/>
      <c r="P48" s="23"/>
      <c r="Q48" s="24">
        <v>4</v>
      </c>
      <c r="R48" s="24">
        <v>3</v>
      </c>
      <c r="S48" s="24">
        <v>3</v>
      </c>
      <c r="T48" s="24">
        <v>3</v>
      </c>
      <c r="U48" s="24">
        <v>4</v>
      </c>
      <c r="V48" s="24">
        <v>3</v>
      </c>
      <c r="W48" s="24">
        <v>3</v>
      </c>
      <c r="X48" s="24">
        <v>3</v>
      </c>
      <c r="Y48" s="24">
        <v>3</v>
      </c>
      <c r="Z48" s="24">
        <v>3</v>
      </c>
      <c r="AA48" s="24">
        <v>4</v>
      </c>
      <c r="AB48" s="24">
        <v>4</v>
      </c>
      <c r="AC48" s="24">
        <v>5</v>
      </c>
      <c r="AD48" s="24">
        <v>5</v>
      </c>
      <c r="AE48" s="24">
        <v>4</v>
      </c>
      <c r="AF48" s="24">
        <v>5</v>
      </c>
      <c r="AG48" s="24">
        <v>4</v>
      </c>
      <c r="AH48" s="24">
        <v>4</v>
      </c>
      <c r="AI48" s="24">
        <v>3</v>
      </c>
      <c r="AJ48" s="24">
        <v>2</v>
      </c>
      <c r="AK48" s="24">
        <v>4</v>
      </c>
      <c r="AL48" s="24">
        <v>2</v>
      </c>
      <c r="AM48" s="23"/>
      <c r="AN48" s="23"/>
      <c r="AO48" s="22" t="s">
        <v>59</v>
      </c>
      <c r="AP48" s="22" t="s">
        <v>220</v>
      </c>
      <c r="AQ48" s="22" t="s">
        <v>221</v>
      </c>
      <c r="AR48" s="22" t="s">
        <v>222</v>
      </c>
    </row>
    <row r="49" spans="1:44" hidden="1">
      <c r="A49" s="22" t="s">
        <v>223</v>
      </c>
      <c r="B49" s="22" t="s">
        <v>52</v>
      </c>
      <c r="C49" s="22" t="s">
        <v>95</v>
      </c>
      <c r="D49" s="22" t="s">
        <v>71</v>
      </c>
      <c r="E49" s="22" t="s">
        <v>72</v>
      </c>
      <c r="F49" s="22" t="s">
        <v>73</v>
      </c>
      <c r="G49" s="22" t="s">
        <v>80</v>
      </c>
      <c r="H49" s="23"/>
      <c r="I49" s="23"/>
      <c r="J49" s="22">
        <v>2</v>
      </c>
      <c r="K49" s="22">
        <v>2</v>
      </c>
      <c r="L49" s="22">
        <v>2</v>
      </c>
      <c r="M49" s="23"/>
      <c r="N49" s="22" t="s">
        <v>58</v>
      </c>
      <c r="O49" s="23"/>
      <c r="P49" s="23"/>
      <c r="Q49" s="24">
        <v>4</v>
      </c>
      <c r="R49" s="24">
        <v>3</v>
      </c>
      <c r="S49" s="24">
        <v>3</v>
      </c>
      <c r="T49" s="24">
        <v>2</v>
      </c>
      <c r="U49" s="24">
        <v>2</v>
      </c>
      <c r="V49" s="24">
        <v>2</v>
      </c>
      <c r="W49" s="24">
        <v>3</v>
      </c>
      <c r="X49" s="24">
        <v>3</v>
      </c>
      <c r="Y49" s="24">
        <v>3</v>
      </c>
      <c r="Z49" s="24">
        <v>3</v>
      </c>
      <c r="AA49" s="24">
        <v>3</v>
      </c>
      <c r="AB49" s="24">
        <v>3</v>
      </c>
      <c r="AC49" s="24">
        <v>3</v>
      </c>
      <c r="AD49" s="24">
        <v>3</v>
      </c>
      <c r="AE49" s="24">
        <v>3</v>
      </c>
      <c r="AF49" s="24">
        <v>3</v>
      </c>
      <c r="AG49" s="24">
        <v>3</v>
      </c>
      <c r="AH49" s="24">
        <v>3</v>
      </c>
      <c r="AI49" s="24">
        <v>3</v>
      </c>
      <c r="AJ49" s="24">
        <v>3</v>
      </c>
      <c r="AK49" s="24">
        <v>3</v>
      </c>
      <c r="AL49" s="24">
        <v>3</v>
      </c>
      <c r="AM49" s="23"/>
      <c r="AN49" s="23"/>
      <c r="AO49" s="22" t="s">
        <v>74</v>
      </c>
      <c r="AP49" s="22" t="s">
        <v>224</v>
      </c>
      <c r="AQ49" s="22" t="s">
        <v>225</v>
      </c>
      <c r="AR49" s="22" t="s">
        <v>226</v>
      </c>
    </row>
    <row r="50" spans="1:44" hidden="1">
      <c r="A50" s="22" t="s">
        <v>227</v>
      </c>
      <c r="B50" s="22" t="s">
        <v>52</v>
      </c>
      <c r="C50" s="22" t="s">
        <v>53</v>
      </c>
      <c r="D50" s="22" t="s">
        <v>54</v>
      </c>
      <c r="E50" s="22" t="s">
        <v>55</v>
      </c>
      <c r="F50" s="22" t="s">
        <v>56</v>
      </c>
      <c r="G50" s="22" t="s">
        <v>57</v>
      </c>
      <c r="H50" s="23"/>
      <c r="I50" s="23"/>
      <c r="J50" s="22">
        <v>5</v>
      </c>
      <c r="K50" s="22">
        <v>4</v>
      </c>
      <c r="L50" s="22">
        <v>1</v>
      </c>
      <c r="M50" s="23"/>
      <c r="N50" s="22" t="s">
        <v>85</v>
      </c>
      <c r="O50" s="23"/>
      <c r="P50" s="23"/>
      <c r="Q50" s="24">
        <v>3</v>
      </c>
      <c r="R50" s="24">
        <v>3</v>
      </c>
      <c r="S50" s="24">
        <v>3</v>
      </c>
      <c r="T50" s="24">
        <v>3</v>
      </c>
      <c r="U50" s="24">
        <v>3</v>
      </c>
      <c r="V50" s="24">
        <v>5</v>
      </c>
      <c r="W50" s="24">
        <v>3</v>
      </c>
      <c r="X50" s="24">
        <v>3</v>
      </c>
      <c r="Y50" s="24">
        <v>3</v>
      </c>
      <c r="Z50" s="24">
        <v>3</v>
      </c>
      <c r="AA50" s="24">
        <v>4</v>
      </c>
      <c r="AB50" s="24">
        <v>5</v>
      </c>
      <c r="AC50" s="24">
        <v>5</v>
      </c>
      <c r="AD50" s="24">
        <v>5</v>
      </c>
      <c r="AE50" s="24">
        <v>3</v>
      </c>
      <c r="AF50" s="24">
        <v>5</v>
      </c>
      <c r="AG50" s="24">
        <v>3</v>
      </c>
      <c r="AH50" s="24">
        <v>3</v>
      </c>
      <c r="AI50" s="24">
        <v>2</v>
      </c>
      <c r="AJ50" s="24">
        <v>2</v>
      </c>
      <c r="AK50" s="24">
        <v>2</v>
      </c>
      <c r="AL50" s="24">
        <v>2</v>
      </c>
      <c r="AM50" s="23"/>
      <c r="AN50" s="23"/>
      <c r="AO50" s="22" t="s">
        <v>59</v>
      </c>
      <c r="AP50" s="22" t="s">
        <v>228</v>
      </c>
      <c r="AQ50" s="22" t="s">
        <v>228</v>
      </c>
      <c r="AR50" s="22" t="s">
        <v>228</v>
      </c>
    </row>
    <row r="51" spans="1:44" hidden="1">
      <c r="A51" s="22" t="s">
        <v>229</v>
      </c>
      <c r="B51" s="22" t="s">
        <v>52</v>
      </c>
      <c r="C51" s="22" t="s">
        <v>95</v>
      </c>
      <c r="D51" s="22" t="s">
        <v>54</v>
      </c>
      <c r="E51" s="22" t="s">
        <v>72</v>
      </c>
      <c r="F51" s="22" t="s">
        <v>73</v>
      </c>
      <c r="G51" s="22" t="s">
        <v>129</v>
      </c>
      <c r="H51" s="23"/>
      <c r="I51" s="23"/>
      <c r="J51" s="22">
        <v>5</v>
      </c>
      <c r="K51" s="22">
        <v>1</v>
      </c>
      <c r="L51" s="22">
        <v>1</v>
      </c>
      <c r="M51" s="23"/>
      <c r="N51" s="22" t="s">
        <v>85</v>
      </c>
      <c r="O51" s="23"/>
      <c r="P51" s="23"/>
      <c r="Q51" s="24">
        <v>3</v>
      </c>
      <c r="R51" s="24">
        <v>2</v>
      </c>
      <c r="S51" s="24">
        <v>4</v>
      </c>
      <c r="T51" s="24">
        <v>1</v>
      </c>
      <c r="U51" s="24">
        <v>1</v>
      </c>
      <c r="V51" s="24">
        <v>1</v>
      </c>
      <c r="W51" s="24">
        <v>4</v>
      </c>
      <c r="X51" s="24">
        <v>4</v>
      </c>
      <c r="Y51" s="24">
        <v>1</v>
      </c>
      <c r="Z51" s="24">
        <v>1</v>
      </c>
      <c r="AA51" s="24">
        <v>3</v>
      </c>
      <c r="AB51" s="24">
        <v>5</v>
      </c>
      <c r="AC51" s="24">
        <v>4</v>
      </c>
      <c r="AD51" s="24">
        <v>4</v>
      </c>
      <c r="AE51" s="24">
        <v>4</v>
      </c>
      <c r="AF51" s="24">
        <v>5</v>
      </c>
      <c r="AG51" s="24">
        <v>3</v>
      </c>
      <c r="AH51" s="24">
        <v>4</v>
      </c>
      <c r="AI51" s="24">
        <v>5</v>
      </c>
      <c r="AJ51" s="24">
        <v>3</v>
      </c>
      <c r="AK51" s="24">
        <v>4</v>
      </c>
      <c r="AL51" s="24">
        <v>4</v>
      </c>
      <c r="AM51" s="23"/>
      <c r="AN51" s="23"/>
      <c r="AO51" s="22" t="s">
        <v>59</v>
      </c>
      <c r="AP51" s="22" t="s">
        <v>137</v>
      </c>
      <c r="AQ51" s="22" t="s">
        <v>230</v>
      </c>
      <c r="AR51" s="22" t="s">
        <v>157</v>
      </c>
    </row>
    <row r="52" spans="1:44" hidden="1">
      <c r="A52" s="22" t="s">
        <v>231</v>
      </c>
      <c r="B52" s="22" t="s">
        <v>52</v>
      </c>
      <c r="C52" s="22" t="s">
        <v>53</v>
      </c>
      <c r="D52" s="22" t="s">
        <v>64</v>
      </c>
      <c r="E52" s="22" t="s">
        <v>55</v>
      </c>
      <c r="F52" s="22" t="s">
        <v>65</v>
      </c>
      <c r="G52" s="22" t="s">
        <v>80</v>
      </c>
      <c r="H52" s="23"/>
      <c r="I52" s="23"/>
      <c r="J52" s="22">
        <v>3</v>
      </c>
      <c r="K52" s="22">
        <v>3</v>
      </c>
      <c r="L52" s="22">
        <v>2</v>
      </c>
      <c r="M52" s="23"/>
      <c r="N52" s="22" t="s">
        <v>58</v>
      </c>
      <c r="O52" s="23"/>
      <c r="P52" s="23"/>
      <c r="Q52" s="24">
        <v>3</v>
      </c>
      <c r="R52" s="24">
        <v>2</v>
      </c>
      <c r="S52" s="24">
        <v>3</v>
      </c>
      <c r="T52" s="24">
        <v>2</v>
      </c>
      <c r="U52" s="24">
        <v>2</v>
      </c>
      <c r="V52" s="24">
        <v>3</v>
      </c>
      <c r="W52" s="24">
        <v>4</v>
      </c>
      <c r="X52" s="24">
        <v>3</v>
      </c>
      <c r="Y52" s="24">
        <v>2</v>
      </c>
      <c r="Z52" s="24">
        <v>3</v>
      </c>
      <c r="AA52" s="24">
        <v>4</v>
      </c>
      <c r="AB52" s="24">
        <v>4</v>
      </c>
      <c r="AC52" s="24">
        <v>3</v>
      </c>
      <c r="AD52" s="24">
        <v>4</v>
      </c>
      <c r="AE52" s="24">
        <v>4</v>
      </c>
      <c r="AF52" s="24">
        <v>4</v>
      </c>
      <c r="AG52" s="24">
        <v>4</v>
      </c>
      <c r="AH52" s="24">
        <v>4</v>
      </c>
      <c r="AI52" s="24">
        <v>3</v>
      </c>
      <c r="AJ52" s="24">
        <v>2</v>
      </c>
      <c r="AK52" s="24">
        <v>3</v>
      </c>
      <c r="AL52" s="24">
        <v>3</v>
      </c>
      <c r="AM52" s="23"/>
      <c r="AN52" s="23"/>
      <c r="AO52" s="22" t="s">
        <v>59</v>
      </c>
      <c r="AP52" s="22" t="s">
        <v>232</v>
      </c>
      <c r="AQ52" s="22" t="s">
        <v>233</v>
      </c>
      <c r="AR52" s="22" t="s">
        <v>234</v>
      </c>
    </row>
    <row r="53" spans="1:44" hidden="1">
      <c r="A53" s="22" t="s">
        <v>235</v>
      </c>
      <c r="B53" s="22" t="s">
        <v>52</v>
      </c>
      <c r="C53" s="22" t="s">
        <v>95</v>
      </c>
      <c r="D53" s="22" t="s">
        <v>54</v>
      </c>
      <c r="E53" s="22" t="s">
        <v>72</v>
      </c>
      <c r="F53" s="22" t="s">
        <v>56</v>
      </c>
      <c r="G53" s="22" t="s">
        <v>57</v>
      </c>
      <c r="H53" s="23"/>
      <c r="I53" s="23"/>
      <c r="J53" s="22">
        <v>4</v>
      </c>
      <c r="K53" s="22">
        <v>2</v>
      </c>
      <c r="L53" s="22">
        <v>2</v>
      </c>
      <c r="M53" s="23"/>
      <c r="N53" s="22" t="s">
        <v>58</v>
      </c>
      <c r="O53" s="23"/>
      <c r="P53" s="23"/>
      <c r="Q53" s="24">
        <v>4</v>
      </c>
      <c r="R53" s="24">
        <v>4</v>
      </c>
      <c r="S53" s="24">
        <v>3</v>
      </c>
      <c r="T53" s="24">
        <v>3</v>
      </c>
      <c r="U53" s="24">
        <v>3</v>
      </c>
      <c r="V53" s="24">
        <v>3</v>
      </c>
      <c r="W53" s="24">
        <v>4</v>
      </c>
      <c r="X53" s="24">
        <v>4</v>
      </c>
      <c r="Y53" s="24">
        <v>3</v>
      </c>
      <c r="Z53" s="24">
        <v>3</v>
      </c>
      <c r="AA53" s="24">
        <v>3</v>
      </c>
      <c r="AB53" s="24">
        <v>5</v>
      </c>
      <c r="AC53" s="24">
        <v>4</v>
      </c>
      <c r="AD53" s="24">
        <v>4</v>
      </c>
      <c r="AE53" s="24">
        <v>4</v>
      </c>
      <c r="AF53" s="24">
        <v>5</v>
      </c>
      <c r="AG53" s="24">
        <v>4</v>
      </c>
      <c r="AH53" s="24">
        <v>4</v>
      </c>
      <c r="AI53" s="24">
        <v>4</v>
      </c>
      <c r="AJ53" s="24">
        <v>3</v>
      </c>
      <c r="AK53" s="24">
        <v>4</v>
      </c>
      <c r="AL53" s="24">
        <v>4</v>
      </c>
      <c r="AM53" s="23"/>
      <c r="AN53" s="23"/>
      <c r="AO53" s="22" t="s">
        <v>59</v>
      </c>
      <c r="AP53" s="22" t="s">
        <v>236</v>
      </c>
      <c r="AQ53" s="22" t="s">
        <v>237</v>
      </c>
      <c r="AR53" s="22" t="s">
        <v>238</v>
      </c>
    </row>
    <row r="54" spans="1:44" hidden="1">
      <c r="A54" s="22" t="s">
        <v>239</v>
      </c>
      <c r="B54" s="22" t="s">
        <v>52</v>
      </c>
      <c r="C54" s="22" t="s">
        <v>95</v>
      </c>
      <c r="D54" s="22" t="s">
        <v>64</v>
      </c>
      <c r="E54" s="22" t="s">
        <v>55</v>
      </c>
      <c r="F54" s="22" t="s">
        <v>65</v>
      </c>
      <c r="G54" s="22" t="s">
        <v>80</v>
      </c>
      <c r="H54" s="23"/>
      <c r="I54" s="23"/>
      <c r="J54" s="22">
        <v>3</v>
      </c>
      <c r="K54" s="22">
        <v>2</v>
      </c>
      <c r="L54" s="22">
        <v>1</v>
      </c>
      <c r="M54" s="23"/>
      <c r="N54" s="22" t="s">
        <v>58</v>
      </c>
      <c r="O54" s="23"/>
      <c r="P54" s="23"/>
      <c r="Q54" s="24">
        <v>3</v>
      </c>
      <c r="R54" s="24">
        <v>2</v>
      </c>
      <c r="S54" s="24">
        <v>1</v>
      </c>
      <c r="T54" s="24">
        <v>1</v>
      </c>
      <c r="U54" s="24">
        <v>3</v>
      </c>
      <c r="V54" s="24">
        <v>4</v>
      </c>
      <c r="W54" s="24">
        <v>3</v>
      </c>
      <c r="X54" s="24">
        <v>2</v>
      </c>
      <c r="Y54" s="24">
        <v>2</v>
      </c>
      <c r="Z54" s="24">
        <v>3</v>
      </c>
      <c r="AA54" s="24">
        <v>3</v>
      </c>
      <c r="AB54" s="24">
        <v>3</v>
      </c>
      <c r="AC54" s="24">
        <v>3</v>
      </c>
      <c r="AD54" s="24">
        <v>2</v>
      </c>
      <c r="AE54" s="24">
        <v>1</v>
      </c>
      <c r="AF54" s="24">
        <v>2</v>
      </c>
      <c r="AG54" s="24">
        <v>3</v>
      </c>
      <c r="AH54" s="24">
        <v>3</v>
      </c>
      <c r="AI54" s="24">
        <v>3</v>
      </c>
      <c r="AJ54" s="24">
        <v>3</v>
      </c>
      <c r="AK54" s="24">
        <v>4</v>
      </c>
      <c r="AL54" s="24">
        <v>3</v>
      </c>
      <c r="AM54" s="23"/>
      <c r="AN54" s="23"/>
      <c r="AO54" s="22" t="s">
        <v>59</v>
      </c>
      <c r="AP54" s="22" t="s">
        <v>240</v>
      </c>
      <c r="AQ54" s="22" t="s">
        <v>241</v>
      </c>
      <c r="AR54" s="22" t="s">
        <v>240</v>
      </c>
    </row>
    <row r="55" spans="1:44" hidden="1">
      <c r="A55" s="22" t="s">
        <v>242</v>
      </c>
      <c r="B55" s="22" t="s">
        <v>52</v>
      </c>
      <c r="C55" s="22" t="s">
        <v>53</v>
      </c>
      <c r="D55" s="22" t="s">
        <v>98</v>
      </c>
      <c r="E55" s="22" t="s">
        <v>55</v>
      </c>
      <c r="F55" s="22" t="s">
        <v>136</v>
      </c>
      <c r="G55" s="22" t="s">
        <v>80</v>
      </c>
      <c r="H55" s="23"/>
      <c r="I55" s="23"/>
      <c r="J55" s="22">
        <v>1</v>
      </c>
      <c r="K55" s="22">
        <v>1</v>
      </c>
      <c r="L55" s="22">
        <v>1</v>
      </c>
      <c r="M55" s="23"/>
      <c r="N55" s="22" t="s">
        <v>58</v>
      </c>
      <c r="O55" s="23"/>
      <c r="P55" s="23"/>
      <c r="Q55" s="24">
        <v>4</v>
      </c>
      <c r="R55" s="24">
        <v>3</v>
      </c>
      <c r="S55" s="24">
        <v>3</v>
      </c>
      <c r="T55" s="24">
        <v>1</v>
      </c>
      <c r="U55" s="24">
        <v>1</v>
      </c>
      <c r="V55" s="24">
        <v>1</v>
      </c>
      <c r="W55" s="24">
        <v>5</v>
      </c>
      <c r="X55" s="24">
        <v>3</v>
      </c>
      <c r="Y55" s="24">
        <v>5</v>
      </c>
      <c r="Z55" s="24">
        <v>4</v>
      </c>
      <c r="AA55" s="24">
        <v>3</v>
      </c>
      <c r="AB55" s="24">
        <v>3</v>
      </c>
      <c r="AC55" s="24">
        <v>3</v>
      </c>
      <c r="AD55" s="24">
        <v>5</v>
      </c>
      <c r="AE55" s="24">
        <v>3</v>
      </c>
      <c r="AF55" s="24">
        <v>5</v>
      </c>
      <c r="AG55" s="24">
        <v>1</v>
      </c>
      <c r="AH55" s="24">
        <v>3</v>
      </c>
      <c r="AI55" s="24">
        <v>3</v>
      </c>
      <c r="AJ55" s="24">
        <v>4</v>
      </c>
      <c r="AK55" s="24">
        <v>4</v>
      </c>
      <c r="AL55" s="24">
        <v>4</v>
      </c>
      <c r="AM55" s="23"/>
      <c r="AN55" s="23"/>
      <c r="AO55" s="22" t="s">
        <v>59</v>
      </c>
      <c r="AP55" s="22" t="s">
        <v>243</v>
      </c>
      <c r="AQ55" s="22" t="s">
        <v>243</v>
      </c>
      <c r="AR55" s="22" t="s">
        <v>243</v>
      </c>
    </row>
    <row r="56" spans="1:44" hidden="1">
      <c r="A56" s="22" t="s">
        <v>244</v>
      </c>
      <c r="B56" s="22" t="s">
        <v>52</v>
      </c>
      <c r="C56" s="22" t="s">
        <v>95</v>
      </c>
      <c r="D56" s="22" t="s">
        <v>64</v>
      </c>
      <c r="E56" s="22" t="s">
        <v>55</v>
      </c>
      <c r="F56" s="22" t="s">
        <v>65</v>
      </c>
      <c r="G56" s="22" t="s">
        <v>129</v>
      </c>
      <c r="H56" s="23"/>
      <c r="I56" s="23"/>
      <c r="J56" s="22">
        <v>3</v>
      </c>
      <c r="K56" s="22">
        <v>3</v>
      </c>
      <c r="L56" s="22">
        <v>3</v>
      </c>
      <c r="M56" s="23"/>
      <c r="N56" s="22" t="s">
        <v>58</v>
      </c>
      <c r="O56" s="23"/>
      <c r="P56" s="23"/>
      <c r="Q56" s="24">
        <v>3</v>
      </c>
      <c r="R56" s="24">
        <v>3</v>
      </c>
      <c r="S56" s="24">
        <v>3</v>
      </c>
      <c r="T56" s="24">
        <v>3</v>
      </c>
      <c r="U56" s="24">
        <v>3</v>
      </c>
      <c r="V56" s="24">
        <v>3</v>
      </c>
      <c r="W56" s="24">
        <v>3</v>
      </c>
      <c r="X56" s="24">
        <v>3</v>
      </c>
      <c r="Y56" s="24">
        <v>3</v>
      </c>
      <c r="Z56" s="24">
        <v>3</v>
      </c>
      <c r="AA56" s="24">
        <v>3</v>
      </c>
      <c r="AB56" s="24">
        <v>3</v>
      </c>
      <c r="AC56" s="24">
        <v>3</v>
      </c>
      <c r="AD56" s="24">
        <v>3</v>
      </c>
      <c r="AE56" s="24">
        <v>3</v>
      </c>
      <c r="AF56" s="24">
        <v>3</v>
      </c>
      <c r="AG56" s="24">
        <v>3</v>
      </c>
      <c r="AH56" s="24">
        <v>3</v>
      </c>
      <c r="AI56" s="24">
        <v>3</v>
      </c>
      <c r="AJ56" s="24">
        <v>3</v>
      </c>
      <c r="AK56" s="24">
        <v>3</v>
      </c>
      <c r="AL56" s="24">
        <v>3</v>
      </c>
      <c r="AM56" s="23"/>
      <c r="AN56" s="23"/>
      <c r="AO56" s="22" t="s">
        <v>59</v>
      </c>
      <c r="AP56" s="22" t="s">
        <v>245</v>
      </c>
      <c r="AQ56" s="22" t="s">
        <v>246</v>
      </c>
      <c r="AR56" s="22" t="s">
        <v>214</v>
      </c>
    </row>
    <row r="57" spans="1:44" hidden="1">
      <c r="A57" s="22" t="s">
        <v>247</v>
      </c>
      <c r="B57" s="22" t="s">
        <v>52</v>
      </c>
      <c r="C57" s="22" t="s">
        <v>95</v>
      </c>
      <c r="D57" s="22" t="s">
        <v>54</v>
      </c>
      <c r="E57" s="22" t="s">
        <v>72</v>
      </c>
      <c r="F57" s="22" t="s">
        <v>73</v>
      </c>
      <c r="G57" s="22" t="s">
        <v>96</v>
      </c>
      <c r="H57" s="23"/>
      <c r="I57" s="23"/>
      <c r="J57" s="22">
        <v>2</v>
      </c>
      <c r="K57" s="22">
        <v>2</v>
      </c>
      <c r="L57" s="22">
        <v>2</v>
      </c>
      <c r="M57" s="23"/>
      <c r="N57" s="22" t="s">
        <v>85</v>
      </c>
      <c r="O57" s="23"/>
      <c r="P57" s="23"/>
      <c r="Q57" s="24">
        <v>2</v>
      </c>
      <c r="R57" s="24">
        <v>2</v>
      </c>
      <c r="S57" s="24">
        <v>2</v>
      </c>
      <c r="T57" s="24">
        <v>2</v>
      </c>
      <c r="U57" s="24">
        <v>3</v>
      </c>
      <c r="V57" s="24">
        <v>2</v>
      </c>
      <c r="W57" s="24">
        <v>4</v>
      </c>
      <c r="X57" s="24">
        <v>3</v>
      </c>
      <c r="Y57" s="24">
        <v>2</v>
      </c>
      <c r="Z57" s="24">
        <v>2</v>
      </c>
      <c r="AA57" s="24">
        <v>4</v>
      </c>
      <c r="AB57" s="24">
        <v>4</v>
      </c>
      <c r="AC57" s="24">
        <v>4</v>
      </c>
      <c r="AD57" s="24">
        <v>4</v>
      </c>
      <c r="AE57" s="24">
        <v>4</v>
      </c>
      <c r="AF57" s="24">
        <v>4</v>
      </c>
      <c r="AG57" s="24">
        <v>4</v>
      </c>
      <c r="AH57" s="24">
        <v>4</v>
      </c>
      <c r="AI57" s="24">
        <v>3</v>
      </c>
      <c r="AJ57" s="24">
        <v>3</v>
      </c>
      <c r="AK57" s="24">
        <v>4</v>
      </c>
      <c r="AL57" s="24">
        <v>3</v>
      </c>
      <c r="AM57" s="23"/>
      <c r="AN57" s="23"/>
      <c r="AO57" s="22" t="s">
        <v>59</v>
      </c>
      <c r="AP57" s="22" t="s">
        <v>248</v>
      </c>
      <c r="AQ57" s="22" t="s">
        <v>249</v>
      </c>
      <c r="AR57" s="22" t="s">
        <v>250</v>
      </c>
    </row>
    <row r="58" spans="1:44" hidden="1">
      <c r="A58" s="22" t="s">
        <v>251</v>
      </c>
      <c r="B58" s="22" t="s">
        <v>52</v>
      </c>
      <c r="C58" s="22" t="s">
        <v>53</v>
      </c>
      <c r="D58" s="22" t="s">
        <v>54</v>
      </c>
      <c r="E58" s="22" t="s">
        <v>72</v>
      </c>
      <c r="F58" s="22" t="s">
        <v>56</v>
      </c>
      <c r="G58" s="22" t="s">
        <v>129</v>
      </c>
      <c r="H58" s="23"/>
      <c r="I58" s="23"/>
      <c r="J58" s="22">
        <v>3</v>
      </c>
      <c r="K58" s="22">
        <v>3</v>
      </c>
      <c r="L58" s="22">
        <v>3</v>
      </c>
      <c r="M58" s="23"/>
      <c r="N58" s="22" t="s">
        <v>85</v>
      </c>
      <c r="O58" s="23"/>
      <c r="P58" s="23"/>
      <c r="Q58" s="24">
        <v>3</v>
      </c>
      <c r="R58" s="24">
        <v>3</v>
      </c>
      <c r="S58" s="24">
        <v>3</v>
      </c>
      <c r="T58" s="24">
        <v>3</v>
      </c>
      <c r="U58" s="24">
        <v>3</v>
      </c>
      <c r="V58" s="24">
        <v>3</v>
      </c>
      <c r="W58" s="24">
        <v>3</v>
      </c>
      <c r="X58" s="24">
        <v>3</v>
      </c>
      <c r="Y58" s="24">
        <v>3</v>
      </c>
      <c r="Z58" s="24">
        <v>3</v>
      </c>
      <c r="AA58" s="24">
        <v>3</v>
      </c>
      <c r="AB58" s="24">
        <v>3</v>
      </c>
      <c r="AC58" s="24">
        <v>3</v>
      </c>
      <c r="AD58" s="24">
        <v>3</v>
      </c>
      <c r="AE58" s="24">
        <v>3</v>
      </c>
      <c r="AF58" s="24">
        <v>3</v>
      </c>
      <c r="AG58" s="24">
        <v>3</v>
      </c>
      <c r="AH58" s="24">
        <v>3</v>
      </c>
      <c r="AI58" s="24">
        <v>3</v>
      </c>
      <c r="AJ58" s="24">
        <v>3</v>
      </c>
      <c r="AK58" s="24">
        <v>3</v>
      </c>
      <c r="AL58" s="24">
        <v>3</v>
      </c>
      <c r="AM58" s="23"/>
      <c r="AN58" s="23"/>
      <c r="AO58" s="22" t="s">
        <v>59</v>
      </c>
      <c r="AP58" s="22" t="s">
        <v>160</v>
      </c>
      <c r="AQ58" s="22" t="s">
        <v>252</v>
      </c>
      <c r="AR58" s="22" t="s">
        <v>160</v>
      </c>
    </row>
    <row r="59" spans="1:44" hidden="1">
      <c r="A59" s="22" t="s">
        <v>253</v>
      </c>
      <c r="B59" s="22" t="s">
        <v>52</v>
      </c>
      <c r="C59" s="22" t="s">
        <v>95</v>
      </c>
      <c r="D59" s="22" t="s">
        <v>54</v>
      </c>
      <c r="E59" s="22" t="s">
        <v>55</v>
      </c>
      <c r="F59" s="22" t="s">
        <v>73</v>
      </c>
      <c r="G59" s="22" t="s">
        <v>96</v>
      </c>
      <c r="H59" s="23"/>
      <c r="I59" s="23"/>
      <c r="J59" s="22">
        <v>1</v>
      </c>
      <c r="K59" s="22">
        <v>1</v>
      </c>
      <c r="L59" s="22">
        <v>1</v>
      </c>
      <c r="M59" s="23"/>
      <c r="N59" s="22" t="s">
        <v>85</v>
      </c>
      <c r="O59" s="23"/>
      <c r="P59" s="23"/>
      <c r="Q59" s="24">
        <v>1</v>
      </c>
      <c r="R59" s="24">
        <v>1</v>
      </c>
      <c r="S59" s="24">
        <v>1</v>
      </c>
      <c r="T59" s="24">
        <v>3</v>
      </c>
      <c r="U59" s="24">
        <v>1</v>
      </c>
      <c r="V59" s="24">
        <v>1</v>
      </c>
      <c r="W59" s="24">
        <v>1</v>
      </c>
      <c r="X59" s="24">
        <v>1</v>
      </c>
      <c r="Y59" s="24">
        <v>1</v>
      </c>
      <c r="Z59" s="24">
        <v>1</v>
      </c>
      <c r="AA59" s="24">
        <v>1</v>
      </c>
      <c r="AB59" s="24">
        <v>1</v>
      </c>
      <c r="AC59" s="24">
        <v>1</v>
      </c>
      <c r="AD59" s="24">
        <v>1</v>
      </c>
      <c r="AE59" s="24">
        <v>1</v>
      </c>
      <c r="AF59" s="24">
        <v>1</v>
      </c>
      <c r="AG59" s="24">
        <v>1</v>
      </c>
      <c r="AH59" s="24">
        <v>1</v>
      </c>
      <c r="AI59" s="24">
        <v>1</v>
      </c>
      <c r="AJ59" s="24">
        <v>1</v>
      </c>
      <c r="AK59" s="24">
        <v>1</v>
      </c>
      <c r="AL59" s="24">
        <v>1</v>
      </c>
      <c r="AM59" s="23"/>
      <c r="AN59" s="23"/>
      <c r="AO59" s="22" t="s">
        <v>59</v>
      </c>
      <c r="AP59" s="22" t="s">
        <v>254</v>
      </c>
      <c r="AQ59" s="22" t="s">
        <v>255</v>
      </c>
      <c r="AR59" s="22" t="s">
        <v>256</v>
      </c>
    </row>
    <row r="60" spans="1:44" hidden="1">
      <c r="A60" s="22" t="s">
        <v>257</v>
      </c>
      <c r="B60" s="22" t="s">
        <v>52</v>
      </c>
      <c r="C60" s="22" t="s">
        <v>53</v>
      </c>
      <c r="D60" s="22" t="s">
        <v>64</v>
      </c>
      <c r="E60" s="22" t="s">
        <v>55</v>
      </c>
      <c r="F60" s="22" t="s">
        <v>56</v>
      </c>
      <c r="G60" s="22" t="s">
        <v>80</v>
      </c>
      <c r="H60" s="23"/>
      <c r="I60" s="23"/>
      <c r="J60" s="22">
        <v>4</v>
      </c>
      <c r="K60" s="22">
        <v>3</v>
      </c>
      <c r="L60" s="22">
        <v>1</v>
      </c>
      <c r="M60" s="23"/>
      <c r="N60" s="22" t="s">
        <v>115</v>
      </c>
      <c r="O60" s="23"/>
      <c r="P60" s="23"/>
      <c r="Q60" s="24">
        <v>2</v>
      </c>
      <c r="R60" s="24">
        <v>3</v>
      </c>
      <c r="S60" s="24">
        <v>3</v>
      </c>
      <c r="T60" s="24">
        <v>3</v>
      </c>
      <c r="U60" s="24">
        <v>4</v>
      </c>
      <c r="V60" s="24">
        <v>3</v>
      </c>
      <c r="W60" s="24">
        <v>4</v>
      </c>
      <c r="X60" s="24">
        <v>4</v>
      </c>
      <c r="Y60" s="24">
        <v>4</v>
      </c>
      <c r="Z60" s="24">
        <v>4</v>
      </c>
      <c r="AA60" s="24">
        <v>4</v>
      </c>
      <c r="AB60" s="24">
        <v>4</v>
      </c>
      <c r="AC60" s="24">
        <v>4</v>
      </c>
      <c r="AD60" s="24">
        <v>4</v>
      </c>
      <c r="AE60" s="24">
        <v>3</v>
      </c>
      <c r="AF60" s="24">
        <v>3</v>
      </c>
      <c r="AG60" s="24">
        <v>3</v>
      </c>
      <c r="AH60" s="24">
        <v>3</v>
      </c>
      <c r="AI60" s="24">
        <v>3</v>
      </c>
      <c r="AJ60" s="24">
        <v>3</v>
      </c>
      <c r="AK60" s="24">
        <v>3</v>
      </c>
      <c r="AL60" s="24">
        <v>3</v>
      </c>
      <c r="AM60" s="23"/>
      <c r="AN60" s="23"/>
      <c r="AO60" s="22" t="s">
        <v>59</v>
      </c>
      <c r="AP60" s="22" t="s">
        <v>92</v>
      </c>
      <c r="AQ60" s="22" t="s">
        <v>92</v>
      </c>
      <c r="AR60" s="22" t="s">
        <v>92</v>
      </c>
    </row>
    <row r="61" spans="1:44" hidden="1">
      <c r="A61" s="22" t="s">
        <v>258</v>
      </c>
      <c r="B61" s="22" t="s">
        <v>52</v>
      </c>
      <c r="C61" s="22" t="s">
        <v>95</v>
      </c>
      <c r="D61" s="22" t="s">
        <v>54</v>
      </c>
      <c r="E61" s="22" t="s">
        <v>55</v>
      </c>
      <c r="F61" s="22" t="s">
        <v>56</v>
      </c>
      <c r="G61" s="22" t="s">
        <v>96</v>
      </c>
      <c r="H61" s="23"/>
      <c r="I61" s="23"/>
      <c r="J61" s="22">
        <v>1</v>
      </c>
      <c r="K61" s="22">
        <v>1</v>
      </c>
      <c r="L61" s="22">
        <v>1</v>
      </c>
      <c r="M61" s="23"/>
      <c r="N61" s="22" t="s">
        <v>85</v>
      </c>
      <c r="O61" s="23"/>
      <c r="P61" s="23"/>
      <c r="Q61" s="24">
        <v>3</v>
      </c>
      <c r="R61" s="24">
        <v>1</v>
      </c>
      <c r="S61" s="24">
        <v>1</v>
      </c>
      <c r="T61" s="24">
        <v>1</v>
      </c>
      <c r="U61" s="24">
        <v>1</v>
      </c>
      <c r="V61" s="24">
        <v>1</v>
      </c>
      <c r="W61" s="24">
        <v>1</v>
      </c>
      <c r="X61" s="24">
        <v>1</v>
      </c>
      <c r="Y61" s="24">
        <v>1</v>
      </c>
      <c r="Z61" s="24">
        <v>1</v>
      </c>
      <c r="AA61" s="24">
        <v>1</v>
      </c>
      <c r="AB61" s="24">
        <v>5</v>
      </c>
      <c r="AC61" s="24">
        <v>1</v>
      </c>
      <c r="AD61" s="24">
        <v>5</v>
      </c>
      <c r="AE61" s="24">
        <v>1</v>
      </c>
      <c r="AF61" s="24">
        <v>5</v>
      </c>
      <c r="AG61" s="24">
        <v>3</v>
      </c>
      <c r="AH61" s="24">
        <v>3</v>
      </c>
      <c r="AI61" s="24">
        <v>3</v>
      </c>
      <c r="AJ61" s="24">
        <v>1</v>
      </c>
      <c r="AK61" s="24">
        <v>1</v>
      </c>
      <c r="AL61" s="24">
        <v>1</v>
      </c>
      <c r="AM61" s="23"/>
      <c r="AN61" s="23"/>
      <c r="AO61" s="22" t="s">
        <v>59</v>
      </c>
      <c r="AP61" s="22" t="s">
        <v>259</v>
      </c>
      <c r="AQ61" s="22" t="s">
        <v>259</v>
      </c>
      <c r="AR61" s="22" t="s">
        <v>260</v>
      </c>
    </row>
    <row r="62" spans="1:44" hidden="1">
      <c r="A62" s="22" t="s">
        <v>261</v>
      </c>
      <c r="B62" s="22" t="s">
        <v>52</v>
      </c>
      <c r="C62" s="22" t="s">
        <v>53</v>
      </c>
      <c r="D62" s="22" t="s">
        <v>54</v>
      </c>
      <c r="E62" s="22" t="s">
        <v>55</v>
      </c>
      <c r="F62" s="22" t="s">
        <v>65</v>
      </c>
      <c r="G62" s="22" t="s">
        <v>80</v>
      </c>
      <c r="H62" s="23"/>
      <c r="I62" s="23"/>
      <c r="J62" s="22">
        <v>4</v>
      </c>
      <c r="K62" s="22">
        <v>3</v>
      </c>
      <c r="L62" s="22">
        <v>2</v>
      </c>
      <c r="M62" s="23"/>
      <c r="N62" s="22" t="s">
        <v>58</v>
      </c>
      <c r="O62" s="23"/>
      <c r="P62" s="23"/>
      <c r="Q62" s="24">
        <v>2</v>
      </c>
      <c r="R62" s="24">
        <v>2</v>
      </c>
      <c r="S62" s="24">
        <v>3</v>
      </c>
      <c r="T62" s="24">
        <v>3</v>
      </c>
      <c r="U62" s="24">
        <v>4</v>
      </c>
      <c r="V62" s="24">
        <v>3</v>
      </c>
      <c r="W62" s="24">
        <v>3</v>
      </c>
      <c r="X62" s="24">
        <v>4</v>
      </c>
      <c r="Y62" s="24">
        <v>3</v>
      </c>
      <c r="Z62" s="24">
        <v>4</v>
      </c>
      <c r="AA62" s="24">
        <v>4</v>
      </c>
      <c r="AB62" s="24">
        <v>4</v>
      </c>
      <c r="AC62" s="24">
        <v>4</v>
      </c>
      <c r="AD62" s="24">
        <v>4</v>
      </c>
      <c r="AE62" s="24">
        <v>3</v>
      </c>
      <c r="AF62" s="24">
        <v>4</v>
      </c>
      <c r="AG62" s="24">
        <v>4</v>
      </c>
      <c r="AH62" s="24">
        <v>4</v>
      </c>
      <c r="AI62" s="24">
        <v>4</v>
      </c>
      <c r="AJ62" s="24">
        <v>4</v>
      </c>
      <c r="AK62" s="24">
        <v>4</v>
      </c>
      <c r="AL62" s="24">
        <v>4</v>
      </c>
      <c r="AM62" s="23"/>
      <c r="AN62" s="23"/>
      <c r="AO62" s="22" t="s">
        <v>74</v>
      </c>
      <c r="AP62" s="22" t="s">
        <v>262</v>
      </c>
      <c r="AQ62" s="22" t="s">
        <v>263</v>
      </c>
      <c r="AR62" s="22" t="s">
        <v>264</v>
      </c>
    </row>
    <row r="63" spans="1:44" hidden="1">
      <c r="A63" s="22" t="s">
        <v>265</v>
      </c>
      <c r="B63" s="22" t="s">
        <v>52</v>
      </c>
      <c r="C63" s="22" t="s">
        <v>95</v>
      </c>
      <c r="D63" s="22" t="s">
        <v>98</v>
      </c>
      <c r="E63" s="22" t="s">
        <v>55</v>
      </c>
      <c r="F63" s="22" t="s">
        <v>65</v>
      </c>
      <c r="G63" s="22" t="s">
        <v>57</v>
      </c>
      <c r="H63" s="23"/>
      <c r="I63" s="23"/>
      <c r="J63" s="22">
        <v>4</v>
      </c>
      <c r="K63" s="22">
        <v>2</v>
      </c>
      <c r="L63" s="22">
        <v>2</v>
      </c>
      <c r="M63" s="23"/>
      <c r="N63" s="22" t="s">
        <v>85</v>
      </c>
      <c r="O63" s="23"/>
      <c r="P63" s="23"/>
      <c r="Q63" s="24">
        <v>2</v>
      </c>
      <c r="R63" s="24">
        <v>2</v>
      </c>
      <c r="S63" s="24">
        <v>3</v>
      </c>
      <c r="T63" s="24">
        <v>2</v>
      </c>
      <c r="U63" s="24">
        <v>2</v>
      </c>
      <c r="V63" s="24">
        <v>2</v>
      </c>
      <c r="W63" s="24">
        <v>2</v>
      </c>
      <c r="X63" s="24">
        <v>2</v>
      </c>
      <c r="Y63" s="24">
        <v>2</v>
      </c>
      <c r="Z63" s="24">
        <v>2</v>
      </c>
      <c r="AA63" s="24">
        <v>2</v>
      </c>
      <c r="AB63" s="24">
        <v>2</v>
      </c>
      <c r="AC63" s="24">
        <v>2</v>
      </c>
      <c r="AD63" s="24">
        <v>2</v>
      </c>
      <c r="AE63" s="24">
        <v>2</v>
      </c>
      <c r="AF63" s="24">
        <v>2</v>
      </c>
      <c r="AG63" s="24">
        <v>2</v>
      </c>
      <c r="AH63" s="24">
        <v>2</v>
      </c>
      <c r="AI63" s="24">
        <v>2</v>
      </c>
      <c r="AJ63" s="24">
        <v>2</v>
      </c>
      <c r="AK63" s="24">
        <v>2</v>
      </c>
      <c r="AL63" s="24">
        <v>2</v>
      </c>
      <c r="AM63" s="23"/>
      <c r="AN63" s="23"/>
      <c r="AO63" s="22" t="s">
        <v>59</v>
      </c>
      <c r="AP63" s="22" t="s">
        <v>92</v>
      </c>
      <c r="AQ63" s="22" t="s">
        <v>266</v>
      </c>
      <c r="AR63" s="22" t="s">
        <v>267</v>
      </c>
    </row>
    <row r="64" spans="1:44" hidden="1">
      <c r="A64" s="22" t="s">
        <v>268</v>
      </c>
      <c r="B64" s="22" t="s">
        <v>52</v>
      </c>
      <c r="C64" s="22" t="s">
        <v>53</v>
      </c>
      <c r="D64" s="22" t="s">
        <v>54</v>
      </c>
      <c r="E64" s="22" t="s">
        <v>72</v>
      </c>
      <c r="F64" s="22" t="s">
        <v>73</v>
      </c>
      <c r="G64" s="22" t="s">
        <v>80</v>
      </c>
      <c r="H64" s="23"/>
      <c r="I64" s="23"/>
      <c r="J64" s="22">
        <v>2</v>
      </c>
      <c r="K64" s="22">
        <v>2</v>
      </c>
      <c r="L64" s="22">
        <v>2</v>
      </c>
      <c r="M64" s="23"/>
      <c r="N64" s="22" t="s">
        <v>58</v>
      </c>
      <c r="O64" s="23"/>
      <c r="P64" s="23"/>
      <c r="Q64" s="24">
        <v>3</v>
      </c>
      <c r="R64" s="24">
        <v>3</v>
      </c>
      <c r="S64" s="24">
        <v>2</v>
      </c>
      <c r="T64" s="24">
        <v>2</v>
      </c>
      <c r="U64" s="24">
        <v>2</v>
      </c>
      <c r="V64" s="24">
        <v>1</v>
      </c>
      <c r="W64" s="24">
        <v>3</v>
      </c>
      <c r="X64" s="24">
        <v>3</v>
      </c>
      <c r="Y64" s="24">
        <v>2</v>
      </c>
      <c r="Z64" s="24">
        <v>3</v>
      </c>
      <c r="AA64" s="24">
        <v>4</v>
      </c>
      <c r="AB64" s="24">
        <v>3</v>
      </c>
      <c r="AC64" s="24">
        <v>4</v>
      </c>
      <c r="AD64" s="24">
        <v>4</v>
      </c>
      <c r="AE64" s="24">
        <v>4</v>
      </c>
      <c r="AF64" s="24">
        <v>4</v>
      </c>
      <c r="AG64" s="24">
        <v>4</v>
      </c>
      <c r="AH64" s="24">
        <v>3</v>
      </c>
      <c r="AI64" s="24">
        <v>3</v>
      </c>
      <c r="AJ64" s="24">
        <v>3</v>
      </c>
      <c r="AK64" s="24">
        <v>4</v>
      </c>
      <c r="AL64" s="24">
        <v>2</v>
      </c>
      <c r="AM64" s="23"/>
      <c r="AN64" s="23"/>
      <c r="AO64" s="22" t="s">
        <v>59</v>
      </c>
      <c r="AP64" s="22" t="s">
        <v>269</v>
      </c>
      <c r="AQ64" s="22" t="s">
        <v>270</v>
      </c>
      <c r="AR64" s="22" t="s">
        <v>271</v>
      </c>
    </row>
    <row r="65" spans="1:44" hidden="1">
      <c r="A65" s="22" t="s">
        <v>272</v>
      </c>
      <c r="B65" s="22" t="s">
        <v>52</v>
      </c>
      <c r="C65" s="22" t="s">
        <v>90</v>
      </c>
      <c r="D65" s="22" t="s">
        <v>54</v>
      </c>
      <c r="E65" s="22" t="s">
        <v>55</v>
      </c>
      <c r="F65" s="22" t="s">
        <v>73</v>
      </c>
      <c r="G65" s="22" t="s">
        <v>129</v>
      </c>
      <c r="H65" s="23"/>
      <c r="I65" s="23"/>
      <c r="J65" s="22">
        <v>2</v>
      </c>
      <c r="K65" s="22">
        <v>2</v>
      </c>
      <c r="L65" s="22">
        <v>2</v>
      </c>
      <c r="M65" s="23"/>
      <c r="N65" s="22" t="s">
        <v>85</v>
      </c>
      <c r="O65" s="23"/>
      <c r="P65" s="23"/>
      <c r="Q65" s="24">
        <v>2</v>
      </c>
      <c r="R65" s="24">
        <v>2</v>
      </c>
      <c r="S65" s="24">
        <v>2</v>
      </c>
      <c r="T65" s="24">
        <v>2</v>
      </c>
      <c r="U65" s="24">
        <v>2</v>
      </c>
      <c r="V65" s="24">
        <v>2</v>
      </c>
      <c r="W65" s="24">
        <v>2</v>
      </c>
      <c r="X65" s="24">
        <v>2</v>
      </c>
      <c r="Y65" s="24">
        <v>2</v>
      </c>
      <c r="Z65" s="24">
        <v>2</v>
      </c>
      <c r="AA65" s="24">
        <v>2</v>
      </c>
      <c r="AB65" s="24">
        <v>2</v>
      </c>
      <c r="AC65" s="24">
        <v>2</v>
      </c>
      <c r="AD65" s="24">
        <v>2</v>
      </c>
      <c r="AE65" s="24">
        <v>2</v>
      </c>
      <c r="AF65" s="24">
        <v>2</v>
      </c>
      <c r="AG65" s="24">
        <v>2</v>
      </c>
      <c r="AH65" s="24">
        <v>3</v>
      </c>
      <c r="AI65" s="24">
        <v>3</v>
      </c>
      <c r="AJ65" s="24">
        <v>3</v>
      </c>
      <c r="AK65" s="24">
        <v>3</v>
      </c>
      <c r="AL65" s="24">
        <v>3</v>
      </c>
      <c r="AM65" s="23"/>
      <c r="AN65" s="23"/>
      <c r="AO65" s="22" t="s">
        <v>59</v>
      </c>
      <c r="AP65" s="22" t="s">
        <v>59</v>
      </c>
      <c r="AQ65" s="22" t="s">
        <v>166</v>
      </c>
      <c r="AR65" s="22" t="s">
        <v>59</v>
      </c>
    </row>
    <row r="66" spans="1:44" hidden="1">
      <c r="A66" s="22" t="s">
        <v>273</v>
      </c>
      <c r="B66" s="22" t="s">
        <v>52</v>
      </c>
      <c r="C66" s="22" t="s">
        <v>95</v>
      </c>
      <c r="D66" s="22" t="s">
        <v>71</v>
      </c>
      <c r="E66" s="22" t="s">
        <v>55</v>
      </c>
      <c r="F66" s="22" t="s">
        <v>73</v>
      </c>
      <c r="G66" s="22" t="s">
        <v>129</v>
      </c>
      <c r="H66" s="23"/>
      <c r="I66" s="23"/>
      <c r="J66" s="22">
        <v>1</v>
      </c>
      <c r="K66" s="22">
        <v>1</v>
      </c>
      <c r="L66" s="22">
        <v>1</v>
      </c>
      <c r="M66" s="23"/>
      <c r="N66" s="22" t="s">
        <v>85</v>
      </c>
      <c r="O66" s="23"/>
      <c r="P66" s="23"/>
      <c r="Q66" s="24">
        <v>3</v>
      </c>
      <c r="R66" s="24">
        <v>1</v>
      </c>
      <c r="S66" s="24">
        <v>2</v>
      </c>
      <c r="T66" s="24">
        <v>1</v>
      </c>
      <c r="U66" s="24">
        <v>1</v>
      </c>
      <c r="V66" s="24">
        <v>1</v>
      </c>
      <c r="W66" s="24">
        <v>3</v>
      </c>
      <c r="X66" s="24">
        <v>3</v>
      </c>
      <c r="Y66" s="24">
        <v>2</v>
      </c>
      <c r="Z66" s="24">
        <v>2</v>
      </c>
      <c r="AA66" s="24">
        <v>4</v>
      </c>
      <c r="AB66" s="24">
        <v>3</v>
      </c>
      <c r="AC66" s="24">
        <v>3</v>
      </c>
      <c r="AD66" s="24">
        <v>3</v>
      </c>
      <c r="AE66" s="24">
        <v>2</v>
      </c>
      <c r="AF66" s="24">
        <v>3</v>
      </c>
      <c r="AG66" s="24">
        <v>3</v>
      </c>
      <c r="AH66" s="24">
        <v>4</v>
      </c>
      <c r="AI66" s="24">
        <v>1</v>
      </c>
      <c r="AJ66" s="24">
        <v>1</v>
      </c>
      <c r="AK66" s="24">
        <v>1</v>
      </c>
      <c r="AL66" s="24">
        <v>1</v>
      </c>
      <c r="AM66" s="23"/>
      <c r="AN66" s="23"/>
      <c r="AO66" s="22" t="s">
        <v>59</v>
      </c>
      <c r="AP66" s="22" t="s">
        <v>274</v>
      </c>
      <c r="AQ66" s="22" t="s">
        <v>275</v>
      </c>
      <c r="AR66" s="22" t="s">
        <v>276</v>
      </c>
    </row>
    <row r="67" spans="1:44" hidden="1">
      <c r="A67" s="22" t="s">
        <v>277</v>
      </c>
      <c r="B67" s="22" t="s">
        <v>52</v>
      </c>
      <c r="C67" s="22" t="s">
        <v>95</v>
      </c>
      <c r="D67" s="22" t="s">
        <v>54</v>
      </c>
      <c r="E67" s="22" t="s">
        <v>72</v>
      </c>
      <c r="F67" s="22" t="s">
        <v>56</v>
      </c>
      <c r="G67" s="22" t="s">
        <v>80</v>
      </c>
      <c r="H67" s="23"/>
      <c r="I67" s="23"/>
      <c r="J67" s="22">
        <v>4</v>
      </c>
      <c r="K67" s="22">
        <v>2</v>
      </c>
      <c r="L67" s="22">
        <v>1</v>
      </c>
      <c r="M67" s="23"/>
      <c r="N67" s="22" t="s">
        <v>58</v>
      </c>
      <c r="O67" s="23"/>
      <c r="P67" s="23"/>
      <c r="Q67" s="24">
        <v>3</v>
      </c>
      <c r="R67" s="24">
        <v>3</v>
      </c>
      <c r="S67" s="24">
        <v>3</v>
      </c>
      <c r="T67" s="24">
        <v>2</v>
      </c>
      <c r="U67" s="24">
        <v>3</v>
      </c>
      <c r="V67" s="24">
        <v>3</v>
      </c>
      <c r="W67" s="24">
        <v>5</v>
      </c>
      <c r="X67" s="24">
        <v>5</v>
      </c>
      <c r="Y67" s="24">
        <v>2</v>
      </c>
      <c r="Z67" s="24">
        <v>3</v>
      </c>
      <c r="AA67" s="24">
        <v>5</v>
      </c>
      <c r="AB67" s="24">
        <v>5</v>
      </c>
      <c r="AC67" s="24">
        <v>4</v>
      </c>
      <c r="AD67" s="24">
        <v>5</v>
      </c>
      <c r="AE67" s="24">
        <v>4</v>
      </c>
      <c r="AF67" s="24">
        <v>5</v>
      </c>
      <c r="AG67" s="24">
        <v>5</v>
      </c>
      <c r="AH67" s="24">
        <v>5</v>
      </c>
      <c r="AI67" s="24">
        <v>4</v>
      </c>
      <c r="AJ67" s="24">
        <v>3</v>
      </c>
      <c r="AK67" s="24">
        <v>5</v>
      </c>
      <c r="AL67" s="24">
        <v>4</v>
      </c>
      <c r="AM67" s="23"/>
      <c r="AN67" s="23"/>
      <c r="AO67" s="22" t="s">
        <v>59</v>
      </c>
      <c r="AP67" s="22" t="s">
        <v>278</v>
      </c>
      <c r="AQ67" s="22" t="s">
        <v>279</v>
      </c>
      <c r="AR67" s="22" t="s">
        <v>280</v>
      </c>
    </row>
    <row r="68" spans="1:44" hidden="1">
      <c r="A68" s="22" t="s">
        <v>281</v>
      </c>
      <c r="B68" s="22" t="s">
        <v>52</v>
      </c>
      <c r="C68" s="22" t="s">
        <v>53</v>
      </c>
      <c r="D68" s="22" t="s">
        <v>64</v>
      </c>
      <c r="E68" s="22" t="s">
        <v>55</v>
      </c>
      <c r="F68" s="22" t="s">
        <v>65</v>
      </c>
      <c r="G68" s="22" t="s">
        <v>80</v>
      </c>
      <c r="H68" s="23"/>
      <c r="I68" s="23"/>
      <c r="J68" s="22">
        <v>3</v>
      </c>
      <c r="K68" s="22">
        <v>3</v>
      </c>
      <c r="L68" s="22">
        <v>2</v>
      </c>
      <c r="M68" s="23"/>
      <c r="N68" s="22" t="s">
        <v>115</v>
      </c>
      <c r="O68" s="23"/>
      <c r="P68" s="23"/>
      <c r="Q68" s="24">
        <v>4</v>
      </c>
      <c r="R68" s="24">
        <v>4</v>
      </c>
      <c r="S68" s="24">
        <v>4</v>
      </c>
      <c r="T68" s="24">
        <v>4</v>
      </c>
      <c r="U68" s="24">
        <v>4</v>
      </c>
      <c r="V68" s="24">
        <v>4</v>
      </c>
      <c r="W68" s="24">
        <v>5</v>
      </c>
      <c r="X68" s="24">
        <v>5</v>
      </c>
      <c r="Y68" s="24">
        <v>5</v>
      </c>
      <c r="Z68" s="24">
        <v>5</v>
      </c>
      <c r="AA68" s="24">
        <v>3</v>
      </c>
      <c r="AB68" s="24">
        <v>4</v>
      </c>
      <c r="AC68" s="24">
        <v>4</v>
      </c>
      <c r="AD68" s="24">
        <v>3</v>
      </c>
      <c r="AE68" s="24">
        <v>2</v>
      </c>
      <c r="AF68" s="24">
        <v>3</v>
      </c>
      <c r="AG68" s="24">
        <v>2</v>
      </c>
      <c r="AH68" s="24">
        <v>3</v>
      </c>
      <c r="AI68" s="24">
        <v>4</v>
      </c>
      <c r="AJ68" s="24">
        <v>3</v>
      </c>
      <c r="AK68" s="24">
        <v>4</v>
      </c>
      <c r="AL68" s="24">
        <v>4</v>
      </c>
      <c r="AM68" s="23"/>
      <c r="AN68" s="23"/>
      <c r="AO68" s="22" t="s">
        <v>59</v>
      </c>
      <c r="AP68" s="22" t="s">
        <v>282</v>
      </c>
      <c r="AQ68" s="22" t="s">
        <v>282</v>
      </c>
      <c r="AR68" s="22" t="s">
        <v>283</v>
      </c>
    </row>
    <row r="69" spans="1:44" hidden="1">
      <c r="A69" s="22" t="s">
        <v>284</v>
      </c>
      <c r="B69" s="22" t="s">
        <v>52</v>
      </c>
      <c r="C69" s="22" t="s">
        <v>53</v>
      </c>
      <c r="D69" s="22" t="s">
        <v>71</v>
      </c>
      <c r="E69" s="22" t="s">
        <v>55</v>
      </c>
      <c r="F69" s="22" t="s">
        <v>73</v>
      </c>
      <c r="G69" s="22" t="s">
        <v>80</v>
      </c>
      <c r="H69" s="23"/>
      <c r="I69" s="23"/>
      <c r="J69" s="22">
        <v>2</v>
      </c>
      <c r="K69" s="22">
        <v>2</v>
      </c>
      <c r="L69" s="22">
        <v>2</v>
      </c>
      <c r="M69" s="23"/>
      <c r="N69" s="22" t="s">
        <v>58</v>
      </c>
      <c r="O69" s="23"/>
      <c r="P69" s="23"/>
      <c r="Q69" s="24">
        <v>2</v>
      </c>
      <c r="R69" s="24">
        <v>2</v>
      </c>
      <c r="S69" s="24">
        <v>3</v>
      </c>
      <c r="T69" s="24">
        <v>3</v>
      </c>
      <c r="U69" s="24">
        <v>3</v>
      </c>
      <c r="V69" s="24">
        <v>3</v>
      </c>
      <c r="W69" s="24">
        <v>3</v>
      </c>
      <c r="X69" s="24">
        <v>3</v>
      </c>
      <c r="Y69" s="24">
        <v>2</v>
      </c>
      <c r="Z69" s="24">
        <v>2</v>
      </c>
      <c r="AA69" s="24">
        <v>3</v>
      </c>
      <c r="AB69" s="24">
        <v>3</v>
      </c>
      <c r="AC69" s="24">
        <v>3</v>
      </c>
      <c r="AD69" s="24">
        <v>3</v>
      </c>
      <c r="AE69" s="24">
        <v>2</v>
      </c>
      <c r="AF69" s="24">
        <v>3</v>
      </c>
      <c r="AG69" s="24">
        <v>2</v>
      </c>
      <c r="AH69" s="24">
        <v>2</v>
      </c>
      <c r="AI69" s="24">
        <v>2</v>
      </c>
      <c r="AJ69" s="24">
        <v>2</v>
      </c>
      <c r="AK69" s="24">
        <v>3</v>
      </c>
      <c r="AL69" s="24">
        <v>2</v>
      </c>
      <c r="AM69" s="23"/>
      <c r="AN69" s="23"/>
      <c r="AO69" s="22" t="s">
        <v>59</v>
      </c>
      <c r="AP69" s="22" t="s">
        <v>92</v>
      </c>
      <c r="AQ69" s="22" t="s">
        <v>285</v>
      </c>
      <c r="AR69" s="22" t="s">
        <v>92</v>
      </c>
    </row>
    <row r="70" spans="1:44" hidden="1">
      <c r="A70" s="22" t="s">
        <v>286</v>
      </c>
      <c r="B70" s="22" t="s">
        <v>52</v>
      </c>
      <c r="C70" s="22" t="s">
        <v>53</v>
      </c>
      <c r="D70" s="22" t="s">
        <v>71</v>
      </c>
      <c r="E70" s="22" t="s">
        <v>55</v>
      </c>
      <c r="F70" s="22" t="s">
        <v>73</v>
      </c>
      <c r="G70" s="22" t="s">
        <v>57</v>
      </c>
      <c r="H70" s="23"/>
      <c r="I70" s="23"/>
      <c r="J70" s="22">
        <v>4</v>
      </c>
      <c r="K70" s="22">
        <v>4</v>
      </c>
      <c r="L70" s="22">
        <v>3</v>
      </c>
      <c r="M70" s="23"/>
      <c r="N70" s="22" t="s">
        <v>58</v>
      </c>
      <c r="O70" s="23"/>
      <c r="P70" s="23"/>
      <c r="Q70" s="24">
        <v>3</v>
      </c>
      <c r="R70" s="24">
        <v>3</v>
      </c>
      <c r="S70" s="24">
        <v>3</v>
      </c>
      <c r="T70" s="24">
        <v>3</v>
      </c>
      <c r="U70" s="24">
        <v>4</v>
      </c>
      <c r="V70" s="24">
        <v>4</v>
      </c>
      <c r="W70" s="24">
        <v>3</v>
      </c>
      <c r="X70" s="24">
        <v>3</v>
      </c>
      <c r="Y70" s="24">
        <v>3</v>
      </c>
      <c r="Z70" s="24">
        <v>3</v>
      </c>
      <c r="AA70" s="24">
        <v>3</v>
      </c>
      <c r="AB70" s="24">
        <v>4</v>
      </c>
      <c r="AC70" s="24">
        <v>4</v>
      </c>
      <c r="AD70" s="24">
        <v>4</v>
      </c>
      <c r="AE70" s="24">
        <v>4</v>
      </c>
      <c r="AF70" s="24">
        <v>4</v>
      </c>
      <c r="AG70" s="24">
        <v>4</v>
      </c>
      <c r="AH70" s="24">
        <v>4</v>
      </c>
      <c r="AI70" s="24">
        <v>3</v>
      </c>
      <c r="AJ70" s="24">
        <v>3</v>
      </c>
      <c r="AK70" s="24">
        <v>4</v>
      </c>
      <c r="AL70" s="24">
        <v>4</v>
      </c>
      <c r="AM70" s="23"/>
      <c r="AN70" s="23"/>
      <c r="AO70" s="22" t="s">
        <v>74</v>
      </c>
      <c r="AP70" s="22" t="s">
        <v>287</v>
      </c>
      <c r="AQ70" s="22" t="s">
        <v>288</v>
      </c>
      <c r="AR70" s="22" t="s">
        <v>289</v>
      </c>
    </row>
    <row r="71" spans="1:44" hidden="1">
      <c r="A71" s="22" t="s">
        <v>290</v>
      </c>
      <c r="B71" s="22" t="s">
        <v>52</v>
      </c>
      <c r="C71" s="22" t="s">
        <v>79</v>
      </c>
      <c r="D71" s="22" t="s">
        <v>64</v>
      </c>
      <c r="E71" s="22" t="s">
        <v>55</v>
      </c>
      <c r="F71" s="22" t="s">
        <v>65</v>
      </c>
      <c r="G71" s="22" t="s">
        <v>80</v>
      </c>
      <c r="H71" s="23"/>
      <c r="I71" s="23"/>
      <c r="J71" s="22">
        <v>2</v>
      </c>
      <c r="K71" s="22">
        <v>2</v>
      </c>
      <c r="L71" s="22">
        <v>2</v>
      </c>
      <c r="M71" s="23"/>
      <c r="N71" s="22" t="s">
        <v>85</v>
      </c>
      <c r="O71" s="23"/>
      <c r="P71" s="23"/>
      <c r="Q71" s="24">
        <v>1</v>
      </c>
      <c r="R71" s="24">
        <v>1</v>
      </c>
      <c r="S71" s="24">
        <v>1</v>
      </c>
      <c r="T71" s="24">
        <v>1</v>
      </c>
      <c r="U71" s="24">
        <v>1</v>
      </c>
      <c r="V71" s="24">
        <v>3</v>
      </c>
      <c r="W71" s="24">
        <v>3</v>
      </c>
      <c r="X71" s="24">
        <v>2</v>
      </c>
      <c r="Y71" s="24">
        <v>2</v>
      </c>
      <c r="Z71" s="24">
        <v>2</v>
      </c>
      <c r="AA71" s="24">
        <v>3</v>
      </c>
      <c r="AB71" s="24">
        <v>4</v>
      </c>
      <c r="AC71" s="24">
        <v>4</v>
      </c>
      <c r="AD71" s="24">
        <v>4</v>
      </c>
      <c r="AE71" s="24">
        <v>3</v>
      </c>
      <c r="AF71" s="24">
        <v>4</v>
      </c>
      <c r="AG71" s="24">
        <v>3</v>
      </c>
      <c r="AH71" s="24">
        <v>4</v>
      </c>
      <c r="AI71" s="24">
        <v>3</v>
      </c>
      <c r="AJ71" s="24">
        <v>3</v>
      </c>
      <c r="AK71" s="24">
        <v>2</v>
      </c>
      <c r="AL71" s="24">
        <v>2</v>
      </c>
      <c r="AM71" s="23"/>
      <c r="AN71" s="23"/>
      <c r="AO71" s="22" t="s">
        <v>59</v>
      </c>
      <c r="AP71" s="22" t="s">
        <v>92</v>
      </c>
      <c r="AQ71" s="22" t="s">
        <v>92</v>
      </c>
      <c r="AR71" s="22" t="s">
        <v>92</v>
      </c>
    </row>
    <row r="72" spans="1:44" hidden="1">
      <c r="A72" s="22" t="s">
        <v>291</v>
      </c>
      <c r="B72" s="22" t="s">
        <v>52</v>
      </c>
      <c r="C72" s="22" t="s">
        <v>53</v>
      </c>
      <c r="D72" s="22" t="s">
        <v>54</v>
      </c>
      <c r="E72" s="22" t="s">
        <v>55</v>
      </c>
      <c r="F72" s="22" t="s">
        <v>73</v>
      </c>
      <c r="G72" s="22" t="s">
        <v>129</v>
      </c>
      <c r="H72" s="23"/>
      <c r="I72" s="23"/>
      <c r="J72" s="22">
        <v>1</v>
      </c>
      <c r="K72" s="22">
        <v>1</v>
      </c>
      <c r="L72" s="22">
        <v>1</v>
      </c>
      <c r="M72" s="23"/>
      <c r="N72" s="22" t="s">
        <v>85</v>
      </c>
      <c r="O72" s="23"/>
      <c r="P72" s="23"/>
      <c r="Q72" s="24">
        <v>3</v>
      </c>
      <c r="R72" s="24">
        <v>2</v>
      </c>
      <c r="S72" s="24">
        <v>2</v>
      </c>
      <c r="T72" s="24">
        <v>2</v>
      </c>
      <c r="U72" s="24">
        <v>2</v>
      </c>
      <c r="V72" s="24">
        <v>2</v>
      </c>
      <c r="W72" s="24">
        <v>4</v>
      </c>
      <c r="X72" s="24">
        <v>4</v>
      </c>
      <c r="Y72" s="24">
        <v>3</v>
      </c>
      <c r="Z72" s="24">
        <v>4</v>
      </c>
      <c r="AA72" s="24">
        <v>3</v>
      </c>
      <c r="AB72" s="24">
        <v>4</v>
      </c>
      <c r="AC72" s="24">
        <v>3</v>
      </c>
      <c r="AD72" s="24">
        <v>3</v>
      </c>
      <c r="AE72" s="24">
        <v>3</v>
      </c>
      <c r="AF72" s="24">
        <v>4</v>
      </c>
      <c r="AG72" s="24">
        <v>3</v>
      </c>
      <c r="AH72" s="24">
        <v>3</v>
      </c>
      <c r="AI72" s="24">
        <v>3</v>
      </c>
      <c r="AJ72" s="24">
        <v>3</v>
      </c>
      <c r="AK72" s="24">
        <v>2</v>
      </c>
      <c r="AL72" s="24">
        <v>2</v>
      </c>
      <c r="AM72" s="23"/>
      <c r="AN72" s="23"/>
      <c r="AO72" s="22" t="s">
        <v>59</v>
      </c>
      <c r="AP72" s="22" t="s">
        <v>292</v>
      </c>
      <c r="AQ72" s="22" t="s">
        <v>293</v>
      </c>
      <c r="AR72" s="22" t="s">
        <v>294</v>
      </c>
    </row>
    <row r="73" spans="1:44" hidden="1">
      <c r="A73" s="22" t="s">
        <v>295</v>
      </c>
      <c r="B73" s="22" t="s">
        <v>52</v>
      </c>
      <c r="C73" s="22" t="s">
        <v>95</v>
      </c>
      <c r="D73" s="22" t="s">
        <v>64</v>
      </c>
      <c r="E73" s="22" t="s">
        <v>55</v>
      </c>
      <c r="F73" s="22" t="s">
        <v>65</v>
      </c>
      <c r="G73" s="22" t="s">
        <v>80</v>
      </c>
      <c r="H73" s="23"/>
      <c r="I73" s="23"/>
      <c r="J73" s="22">
        <v>3</v>
      </c>
      <c r="K73" s="22">
        <v>1</v>
      </c>
      <c r="L73" s="22">
        <v>1</v>
      </c>
      <c r="M73" s="23"/>
      <c r="N73" s="22" t="s">
        <v>58</v>
      </c>
      <c r="O73" s="23"/>
      <c r="P73" s="23"/>
      <c r="Q73" s="24">
        <v>4</v>
      </c>
      <c r="R73" s="24">
        <v>2</v>
      </c>
      <c r="S73" s="24">
        <v>2</v>
      </c>
      <c r="T73" s="24">
        <v>2</v>
      </c>
      <c r="U73" s="24">
        <v>2</v>
      </c>
      <c r="V73" s="24">
        <v>4</v>
      </c>
      <c r="W73" s="24">
        <v>2</v>
      </c>
      <c r="X73" s="24">
        <v>3</v>
      </c>
      <c r="Y73" s="24">
        <v>3</v>
      </c>
      <c r="Z73" s="24">
        <v>2</v>
      </c>
      <c r="AA73" s="24">
        <v>3</v>
      </c>
      <c r="AB73" s="24">
        <v>4</v>
      </c>
      <c r="AC73" s="24">
        <v>4</v>
      </c>
      <c r="AD73" s="24">
        <v>4</v>
      </c>
      <c r="AE73" s="24">
        <v>2</v>
      </c>
      <c r="AF73" s="24">
        <v>4</v>
      </c>
      <c r="AG73" s="24">
        <v>4</v>
      </c>
      <c r="AH73" s="24">
        <v>3</v>
      </c>
      <c r="AI73" s="24">
        <v>2</v>
      </c>
      <c r="AJ73" s="24">
        <v>2</v>
      </c>
      <c r="AK73" s="24">
        <v>2</v>
      </c>
      <c r="AL73" s="24">
        <v>2</v>
      </c>
      <c r="AM73" s="23"/>
      <c r="AN73" s="23"/>
      <c r="AO73" s="22" t="s">
        <v>59</v>
      </c>
      <c r="AP73" s="22" t="s">
        <v>232</v>
      </c>
      <c r="AQ73" s="22" t="s">
        <v>140</v>
      </c>
      <c r="AR73" s="22" t="s">
        <v>92</v>
      </c>
    </row>
    <row r="74" spans="1:44" hidden="1">
      <c r="A74" s="22" t="s">
        <v>296</v>
      </c>
      <c r="B74" s="22" t="s">
        <v>52</v>
      </c>
      <c r="C74" s="22" t="s">
        <v>53</v>
      </c>
      <c r="D74" s="22" t="s">
        <v>54</v>
      </c>
      <c r="E74" s="22" t="s">
        <v>72</v>
      </c>
      <c r="F74" s="22" t="s">
        <v>73</v>
      </c>
      <c r="G74" s="22" t="s">
        <v>57</v>
      </c>
      <c r="H74" s="23"/>
      <c r="I74" s="23"/>
      <c r="J74" s="22">
        <v>3</v>
      </c>
      <c r="K74" s="22">
        <v>3</v>
      </c>
      <c r="L74" s="22">
        <v>3</v>
      </c>
      <c r="M74" s="23"/>
      <c r="N74" s="22" t="s">
        <v>66</v>
      </c>
      <c r="O74" s="23"/>
      <c r="P74" s="23"/>
      <c r="Q74" s="24">
        <v>4</v>
      </c>
      <c r="R74" s="24">
        <v>4</v>
      </c>
      <c r="S74" s="24">
        <v>3</v>
      </c>
      <c r="T74" s="24">
        <v>4</v>
      </c>
      <c r="U74" s="24">
        <v>3</v>
      </c>
      <c r="V74" s="24">
        <v>3</v>
      </c>
      <c r="W74" s="24">
        <v>4</v>
      </c>
      <c r="X74" s="24">
        <v>4</v>
      </c>
      <c r="Y74" s="24">
        <v>4</v>
      </c>
      <c r="Z74" s="24">
        <v>4</v>
      </c>
      <c r="AA74" s="24">
        <v>4</v>
      </c>
      <c r="AB74" s="24">
        <v>4</v>
      </c>
      <c r="AC74" s="24">
        <v>4</v>
      </c>
      <c r="AD74" s="24">
        <v>3</v>
      </c>
      <c r="AE74" s="24">
        <v>3</v>
      </c>
      <c r="AF74" s="24">
        <v>3</v>
      </c>
      <c r="AG74" s="24">
        <v>3</v>
      </c>
      <c r="AH74" s="24">
        <v>4</v>
      </c>
      <c r="AI74" s="24">
        <v>3</v>
      </c>
      <c r="AJ74" s="24">
        <v>3</v>
      </c>
      <c r="AK74" s="24">
        <v>3</v>
      </c>
      <c r="AL74" s="24">
        <v>3</v>
      </c>
      <c r="AM74" s="23"/>
      <c r="AN74" s="23"/>
      <c r="AO74" s="22" t="s">
        <v>59</v>
      </c>
      <c r="AP74" s="22" t="s">
        <v>81</v>
      </c>
      <c r="AQ74" s="22" t="s">
        <v>81</v>
      </c>
      <c r="AR74" s="22" t="s">
        <v>297</v>
      </c>
    </row>
    <row r="75" spans="1:44" hidden="1">
      <c r="A75" s="22" t="s">
        <v>298</v>
      </c>
      <c r="B75" s="22" t="s">
        <v>52</v>
      </c>
      <c r="C75" s="22" t="s">
        <v>53</v>
      </c>
      <c r="D75" s="22" t="s">
        <v>98</v>
      </c>
      <c r="E75" s="22" t="s">
        <v>55</v>
      </c>
      <c r="F75" s="22" t="s">
        <v>136</v>
      </c>
      <c r="G75" s="22" t="s">
        <v>129</v>
      </c>
      <c r="H75" s="23"/>
      <c r="I75" s="23"/>
      <c r="J75" s="22">
        <v>3</v>
      </c>
      <c r="K75" s="22">
        <v>3</v>
      </c>
      <c r="L75" s="22">
        <v>3</v>
      </c>
      <c r="M75" s="23"/>
      <c r="N75" s="22" t="s">
        <v>58</v>
      </c>
      <c r="O75" s="23"/>
      <c r="P75" s="23"/>
      <c r="Q75" s="24">
        <v>3</v>
      </c>
      <c r="R75" s="24">
        <v>3</v>
      </c>
      <c r="S75" s="24">
        <v>3</v>
      </c>
      <c r="T75" s="24">
        <v>3</v>
      </c>
      <c r="U75" s="24">
        <v>4</v>
      </c>
      <c r="V75" s="24">
        <v>4</v>
      </c>
      <c r="W75" s="24">
        <v>4</v>
      </c>
      <c r="X75" s="24">
        <v>4</v>
      </c>
      <c r="Y75" s="24">
        <v>4</v>
      </c>
      <c r="Z75" s="24">
        <v>4</v>
      </c>
      <c r="AA75" s="24">
        <v>3</v>
      </c>
      <c r="AB75" s="24">
        <v>4</v>
      </c>
      <c r="AC75" s="24">
        <v>4</v>
      </c>
      <c r="AD75" s="24">
        <v>4</v>
      </c>
      <c r="AE75" s="24">
        <v>3</v>
      </c>
      <c r="AF75" s="24">
        <v>4</v>
      </c>
      <c r="AG75" s="24">
        <v>4</v>
      </c>
      <c r="AH75" s="24">
        <v>4</v>
      </c>
      <c r="AI75" s="24">
        <v>3</v>
      </c>
      <c r="AJ75" s="24">
        <v>3</v>
      </c>
      <c r="AK75" s="24">
        <v>3</v>
      </c>
      <c r="AL75" s="24">
        <v>3</v>
      </c>
      <c r="AM75" s="23"/>
      <c r="AN75" s="23"/>
      <c r="AO75" s="22" t="s">
        <v>74</v>
      </c>
      <c r="AP75" s="22" t="s">
        <v>92</v>
      </c>
      <c r="AQ75" s="22" t="s">
        <v>299</v>
      </c>
      <c r="AR75" s="22" t="s">
        <v>300</v>
      </c>
    </row>
    <row r="76" spans="1:44" hidden="1">
      <c r="A76" s="22" t="s">
        <v>301</v>
      </c>
      <c r="B76" s="22" t="s">
        <v>52</v>
      </c>
      <c r="C76" s="22" t="s">
        <v>53</v>
      </c>
      <c r="D76" s="22" t="s">
        <v>98</v>
      </c>
      <c r="E76" s="22" t="s">
        <v>55</v>
      </c>
      <c r="F76" s="22" t="s">
        <v>65</v>
      </c>
      <c r="G76" s="22" t="s">
        <v>57</v>
      </c>
      <c r="H76" s="23"/>
      <c r="I76" s="23"/>
      <c r="J76" s="22">
        <v>4</v>
      </c>
      <c r="K76" s="22">
        <v>1</v>
      </c>
      <c r="L76" s="22">
        <v>1</v>
      </c>
      <c r="M76" s="23"/>
      <c r="N76" s="22" t="s">
        <v>58</v>
      </c>
      <c r="O76" s="23"/>
      <c r="P76" s="23"/>
      <c r="Q76" s="24">
        <v>4</v>
      </c>
      <c r="R76" s="24">
        <v>3</v>
      </c>
      <c r="S76" s="24">
        <v>4</v>
      </c>
      <c r="T76" s="24">
        <v>2</v>
      </c>
      <c r="U76" s="24">
        <v>5</v>
      </c>
      <c r="V76" s="24">
        <v>4</v>
      </c>
      <c r="W76" s="24">
        <v>4</v>
      </c>
      <c r="X76" s="24">
        <v>5</v>
      </c>
      <c r="Y76" s="24">
        <v>4</v>
      </c>
      <c r="Z76" s="24">
        <v>4</v>
      </c>
      <c r="AA76" s="24">
        <v>4</v>
      </c>
      <c r="AB76" s="24">
        <v>4</v>
      </c>
      <c r="AC76" s="24">
        <v>4</v>
      </c>
      <c r="AD76" s="24">
        <v>4</v>
      </c>
      <c r="AE76" s="24">
        <v>4</v>
      </c>
      <c r="AF76" s="24">
        <v>4</v>
      </c>
      <c r="AG76" s="24">
        <v>4</v>
      </c>
      <c r="AH76" s="24">
        <v>4</v>
      </c>
      <c r="AI76" s="24">
        <v>4</v>
      </c>
      <c r="AJ76" s="24">
        <v>3</v>
      </c>
      <c r="AK76" s="24">
        <v>4</v>
      </c>
      <c r="AL76" s="24">
        <v>4</v>
      </c>
      <c r="AM76" s="23"/>
      <c r="AN76" s="23"/>
      <c r="AO76" s="22" t="s">
        <v>59</v>
      </c>
      <c r="AP76" s="22" t="s">
        <v>169</v>
      </c>
      <c r="AQ76" s="22" t="s">
        <v>169</v>
      </c>
      <c r="AR76" s="22" t="s">
        <v>169</v>
      </c>
    </row>
    <row r="77" spans="1:44" hidden="1">
      <c r="A77" s="22" t="s">
        <v>302</v>
      </c>
      <c r="B77" s="22" t="s">
        <v>52</v>
      </c>
      <c r="C77" s="22" t="s">
        <v>79</v>
      </c>
      <c r="D77" s="22" t="s">
        <v>64</v>
      </c>
      <c r="E77" s="22" t="s">
        <v>72</v>
      </c>
      <c r="F77" s="22" t="s">
        <v>65</v>
      </c>
      <c r="G77" s="22" t="s">
        <v>57</v>
      </c>
      <c r="H77" s="23"/>
      <c r="I77" s="23"/>
      <c r="J77" s="22">
        <v>5</v>
      </c>
      <c r="K77" s="22">
        <v>5</v>
      </c>
      <c r="L77" s="22">
        <v>5</v>
      </c>
      <c r="M77" s="23"/>
      <c r="N77" s="22" t="s">
        <v>115</v>
      </c>
      <c r="O77" s="23"/>
      <c r="P77" s="23"/>
      <c r="Q77" s="24">
        <v>3</v>
      </c>
      <c r="R77" s="24">
        <v>3</v>
      </c>
      <c r="S77" s="24">
        <v>4</v>
      </c>
      <c r="T77" s="24">
        <v>4</v>
      </c>
      <c r="U77" s="24">
        <v>4</v>
      </c>
      <c r="V77" s="24">
        <v>4</v>
      </c>
      <c r="W77" s="24">
        <v>4</v>
      </c>
      <c r="X77" s="24">
        <v>4</v>
      </c>
      <c r="Y77" s="24">
        <v>4</v>
      </c>
      <c r="Z77" s="24">
        <v>5</v>
      </c>
      <c r="AA77" s="24">
        <v>5</v>
      </c>
      <c r="AB77" s="24">
        <v>5</v>
      </c>
      <c r="AC77" s="24">
        <v>5</v>
      </c>
      <c r="AD77" s="24">
        <v>4</v>
      </c>
      <c r="AE77" s="24">
        <v>4</v>
      </c>
      <c r="AF77" s="24">
        <v>4</v>
      </c>
      <c r="AG77" s="24">
        <v>5</v>
      </c>
      <c r="AH77" s="24">
        <v>5</v>
      </c>
      <c r="AI77" s="24">
        <v>3</v>
      </c>
      <c r="AJ77" s="24">
        <v>3</v>
      </c>
      <c r="AK77" s="24">
        <v>4</v>
      </c>
      <c r="AL77" s="24">
        <v>4</v>
      </c>
      <c r="AM77" s="23"/>
      <c r="AN77" s="23"/>
      <c r="AO77" s="22" t="s">
        <v>59</v>
      </c>
      <c r="AP77" s="22" t="s">
        <v>303</v>
      </c>
      <c r="AQ77" s="22" t="s">
        <v>304</v>
      </c>
      <c r="AR77" s="22" t="s">
        <v>305</v>
      </c>
    </row>
    <row r="78" spans="1:44" hidden="1">
      <c r="A78" s="22" t="s">
        <v>306</v>
      </c>
      <c r="B78" s="22" t="s">
        <v>52</v>
      </c>
      <c r="C78" s="22" t="s">
        <v>95</v>
      </c>
      <c r="D78" s="22" t="s">
        <v>71</v>
      </c>
      <c r="E78" s="22" t="s">
        <v>72</v>
      </c>
      <c r="F78" s="22" t="s">
        <v>73</v>
      </c>
      <c r="G78" s="22" t="s">
        <v>129</v>
      </c>
      <c r="H78" s="23"/>
      <c r="I78" s="23"/>
      <c r="J78" s="22">
        <v>3</v>
      </c>
      <c r="K78" s="22">
        <v>1</v>
      </c>
      <c r="L78" s="22">
        <v>1</v>
      </c>
      <c r="M78" s="23"/>
      <c r="N78" s="22" t="s">
        <v>85</v>
      </c>
      <c r="O78" s="23"/>
      <c r="P78" s="23"/>
      <c r="Q78" s="24">
        <v>3</v>
      </c>
      <c r="R78" s="24">
        <v>2</v>
      </c>
      <c r="S78" s="24">
        <v>3</v>
      </c>
      <c r="T78" s="24">
        <v>3</v>
      </c>
      <c r="U78" s="24">
        <v>3</v>
      </c>
      <c r="V78" s="24">
        <v>3</v>
      </c>
      <c r="W78" s="24">
        <v>4</v>
      </c>
      <c r="X78" s="24">
        <v>3</v>
      </c>
      <c r="Y78" s="24">
        <v>3</v>
      </c>
      <c r="Z78" s="24">
        <v>3</v>
      </c>
      <c r="AA78" s="24">
        <v>4</v>
      </c>
      <c r="AB78" s="24">
        <v>5</v>
      </c>
      <c r="AC78" s="24">
        <v>5</v>
      </c>
      <c r="AD78" s="24">
        <v>5</v>
      </c>
      <c r="AE78" s="24">
        <v>4</v>
      </c>
      <c r="AF78" s="24">
        <v>5</v>
      </c>
      <c r="AG78" s="24">
        <v>4</v>
      </c>
      <c r="AH78" s="24">
        <v>4</v>
      </c>
      <c r="AI78" s="24">
        <v>4</v>
      </c>
      <c r="AJ78" s="24">
        <v>3</v>
      </c>
      <c r="AK78" s="24">
        <v>4</v>
      </c>
      <c r="AL78" s="24">
        <v>3</v>
      </c>
      <c r="AM78" s="23"/>
      <c r="AN78" s="23"/>
      <c r="AO78" s="22" t="s">
        <v>59</v>
      </c>
      <c r="AP78" s="22" t="s">
        <v>307</v>
      </c>
      <c r="AQ78" s="22" t="s">
        <v>308</v>
      </c>
      <c r="AR78" s="22" t="s">
        <v>309</v>
      </c>
    </row>
    <row r="79" spans="1:44" hidden="1">
      <c r="A79" s="22" t="s">
        <v>310</v>
      </c>
      <c r="B79" s="22" t="s">
        <v>52</v>
      </c>
      <c r="C79" s="22" t="s">
        <v>95</v>
      </c>
      <c r="D79" s="22" t="s">
        <v>54</v>
      </c>
      <c r="E79" s="22" t="s">
        <v>55</v>
      </c>
      <c r="F79" s="22" t="s">
        <v>73</v>
      </c>
      <c r="G79" s="22" t="s">
        <v>80</v>
      </c>
      <c r="H79" s="23"/>
      <c r="I79" s="23"/>
      <c r="J79" s="22">
        <v>3</v>
      </c>
      <c r="K79" s="22">
        <v>3</v>
      </c>
      <c r="L79" s="22">
        <v>2</v>
      </c>
      <c r="M79" s="23"/>
      <c r="N79" s="22" t="s">
        <v>58</v>
      </c>
      <c r="O79" s="23"/>
      <c r="P79" s="23"/>
      <c r="Q79" s="24">
        <v>2</v>
      </c>
      <c r="R79" s="24">
        <v>2</v>
      </c>
      <c r="S79" s="24">
        <v>3</v>
      </c>
      <c r="T79" s="24">
        <v>2</v>
      </c>
      <c r="U79" s="24">
        <v>3</v>
      </c>
      <c r="V79" s="24">
        <v>3</v>
      </c>
      <c r="W79" s="24">
        <v>3</v>
      </c>
      <c r="X79" s="24">
        <v>2</v>
      </c>
      <c r="Y79" s="24">
        <v>2</v>
      </c>
      <c r="Z79" s="24">
        <v>2</v>
      </c>
      <c r="AA79" s="24">
        <v>3</v>
      </c>
      <c r="AB79" s="24">
        <v>3</v>
      </c>
      <c r="AC79" s="24">
        <v>2</v>
      </c>
      <c r="AD79" s="24">
        <v>2</v>
      </c>
      <c r="AE79" s="24">
        <v>2</v>
      </c>
      <c r="AF79" s="24">
        <v>3</v>
      </c>
      <c r="AG79" s="24">
        <v>2</v>
      </c>
      <c r="AH79" s="24">
        <v>3</v>
      </c>
      <c r="AI79" s="24">
        <v>3</v>
      </c>
      <c r="AJ79" s="24">
        <v>3</v>
      </c>
      <c r="AK79" s="24">
        <v>3</v>
      </c>
      <c r="AL79" s="24">
        <v>2</v>
      </c>
      <c r="AM79" s="23"/>
      <c r="AN79" s="23"/>
      <c r="AO79" s="22" t="s">
        <v>59</v>
      </c>
      <c r="AP79" s="22" t="s">
        <v>311</v>
      </c>
      <c r="AQ79" s="22" t="s">
        <v>312</v>
      </c>
      <c r="AR79" s="22" t="s">
        <v>313</v>
      </c>
    </row>
    <row r="80" spans="1:44" hidden="1">
      <c r="A80" s="22" t="s">
        <v>314</v>
      </c>
      <c r="B80" s="22" t="s">
        <v>52</v>
      </c>
      <c r="C80" s="22" t="s">
        <v>53</v>
      </c>
      <c r="D80" s="22" t="s">
        <v>54</v>
      </c>
      <c r="E80" s="22" t="s">
        <v>55</v>
      </c>
      <c r="F80" s="22" t="s">
        <v>56</v>
      </c>
      <c r="G80" s="22" t="s">
        <v>80</v>
      </c>
      <c r="H80" s="23"/>
      <c r="I80" s="23"/>
      <c r="J80" s="22">
        <v>1</v>
      </c>
      <c r="K80" s="22">
        <v>1</v>
      </c>
      <c r="L80" s="22">
        <v>1</v>
      </c>
      <c r="M80" s="23"/>
      <c r="N80" s="22" t="s">
        <v>85</v>
      </c>
      <c r="O80" s="23"/>
      <c r="P80" s="23"/>
      <c r="Q80" s="24">
        <v>2</v>
      </c>
      <c r="R80" s="24">
        <v>2</v>
      </c>
      <c r="S80" s="24">
        <v>2</v>
      </c>
      <c r="T80" s="24">
        <v>2</v>
      </c>
      <c r="U80" s="24">
        <v>2</v>
      </c>
      <c r="V80" s="24">
        <v>2</v>
      </c>
      <c r="W80" s="24">
        <v>4</v>
      </c>
      <c r="X80" s="24">
        <v>2</v>
      </c>
      <c r="Y80" s="24">
        <v>2</v>
      </c>
      <c r="Z80" s="24">
        <v>2</v>
      </c>
      <c r="AA80" s="24">
        <v>3</v>
      </c>
      <c r="AB80" s="24">
        <v>3</v>
      </c>
      <c r="AC80" s="24">
        <v>2</v>
      </c>
      <c r="AD80" s="24">
        <v>3</v>
      </c>
      <c r="AE80" s="24">
        <v>2</v>
      </c>
      <c r="AF80" s="24">
        <v>3</v>
      </c>
      <c r="AG80" s="24">
        <v>3</v>
      </c>
      <c r="AH80" s="24">
        <v>3</v>
      </c>
      <c r="AI80" s="24">
        <v>2</v>
      </c>
      <c r="AJ80" s="24">
        <v>2</v>
      </c>
      <c r="AK80" s="24">
        <v>3</v>
      </c>
      <c r="AL80" s="24">
        <v>2</v>
      </c>
      <c r="AM80" s="23"/>
      <c r="AN80" s="23"/>
      <c r="AO80" s="22" t="s">
        <v>59</v>
      </c>
      <c r="AP80" s="22" t="s">
        <v>315</v>
      </c>
      <c r="AQ80" s="22" t="s">
        <v>316</v>
      </c>
      <c r="AR80" s="22" t="s">
        <v>137</v>
      </c>
    </row>
    <row r="81" spans="1:44" hidden="1">
      <c r="A81" s="22" t="s">
        <v>317</v>
      </c>
      <c r="B81" s="22" t="s">
        <v>52</v>
      </c>
      <c r="C81" s="22" t="s">
        <v>53</v>
      </c>
      <c r="D81" s="22" t="s">
        <v>54</v>
      </c>
      <c r="E81" s="22" t="s">
        <v>55</v>
      </c>
      <c r="F81" s="22" t="s">
        <v>56</v>
      </c>
      <c r="G81" s="22" t="s">
        <v>80</v>
      </c>
      <c r="H81" s="23"/>
      <c r="I81" s="23"/>
      <c r="J81" s="22">
        <v>2</v>
      </c>
      <c r="K81" s="22">
        <v>2</v>
      </c>
      <c r="L81" s="22">
        <v>2</v>
      </c>
      <c r="M81" s="23"/>
      <c r="N81" s="22" t="s">
        <v>58</v>
      </c>
      <c r="O81" s="23"/>
      <c r="P81" s="23"/>
      <c r="Q81" s="24">
        <v>4</v>
      </c>
      <c r="R81" s="24">
        <v>3</v>
      </c>
      <c r="S81" s="24">
        <v>2</v>
      </c>
      <c r="T81" s="24">
        <v>2</v>
      </c>
      <c r="U81" s="24">
        <v>2</v>
      </c>
      <c r="V81" s="24">
        <v>3</v>
      </c>
      <c r="W81" s="24">
        <v>5</v>
      </c>
      <c r="X81" s="24">
        <v>4</v>
      </c>
      <c r="Y81" s="24">
        <v>3</v>
      </c>
      <c r="Z81" s="24">
        <v>4</v>
      </c>
      <c r="AA81" s="24">
        <v>3</v>
      </c>
      <c r="AB81" s="24">
        <v>4</v>
      </c>
      <c r="AC81" s="24">
        <v>4</v>
      </c>
      <c r="AD81" s="24">
        <v>3</v>
      </c>
      <c r="AE81" s="24">
        <v>4</v>
      </c>
      <c r="AF81" s="24">
        <v>4</v>
      </c>
      <c r="AG81" s="24">
        <v>4</v>
      </c>
      <c r="AH81" s="24">
        <v>4</v>
      </c>
      <c r="AI81" s="24">
        <v>2</v>
      </c>
      <c r="AJ81" s="24">
        <v>2</v>
      </c>
      <c r="AK81" s="24">
        <v>4</v>
      </c>
      <c r="AL81" s="24">
        <v>2</v>
      </c>
      <c r="AM81" s="23"/>
      <c r="AN81" s="23"/>
      <c r="AO81" s="22" t="s">
        <v>59</v>
      </c>
      <c r="AP81" s="22" t="s">
        <v>92</v>
      </c>
      <c r="AQ81" s="22" t="s">
        <v>318</v>
      </c>
      <c r="AR81" s="22" t="s">
        <v>92</v>
      </c>
    </row>
    <row r="82" spans="1:44" hidden="1">
      <c r="A82" s="22" t="s">
        <v>319</v>
      </c>
      <c r="B82" s="22" t="s">
        <v>52</v>
      </c>
      <c r="C82" s="22" t="s">
        <v>79</v>
      </c>
      <c r="D82" s="22" t="s">
        <v>106</v>
      </c>
      <c r="E82" s="22" t="s">
        <v>72</v>
      </c>
      <c r="F82" s="22" t="s">
        <v>73</v>
      </c>
      <c r="G82" s="22" t="s">
        <v>129</v>
      </c>
      <c r="H82" s="23"/>
      <c r="I82" s="23"/>
      <c r="J82" s="22">
        <v>2</v>
      </c>
      <c r="K82" s="22">
        <v>2</v>
      </c>
      <c r="L82" s="22">
        <v>2</v>
      </c>
      <c r="M82" s="23"/>
      <c r="N82" s="22" t="s">
        <v>85</v>
      </c>
      <c r="O82" s="23"/>
      <c r="P82" s="23"/>
      <c r="Q82" s="24">
        <v>4</v>
      </c>
      <c r="R82" s="24">
        <v>2</v>
      </c>
      <c r="S82" s="24">
        <v>3</v>
      </c>
      <c r="T82" s="24">
        <v>2</v>
      </c>
      <c r="U82" s="24">
        <v>2</v>
      </c>
      <c r="V82" s="24">
        <v>2</v>
      </c>
      <c r="W82" s="24">
        <v>4</v>
      </c>
      <c r="X82" s="24">
        <v>3</v>
      </c>
      <c r="Y82" s="24">
        <v>2</v>
      </c>
      <c r="Z82" s="24">
        <v>2</v>
      </c>
      <c r="AA82" s="24">
        <v>2</v>
      </c>
      <c r="AB82" s="24">
        <v>3</v>
      </c>
      <c r="AC82" s="24">
        <v>2</v>
      </c>
      <c r="AD82" s="24">
        <v>3</v>
      </c>
      <c r="AE82" s="24">
        <v>2</v>
      </c>
      <c r="AF82" s="24">
        <v>2</v>
      </c>
      <c r="AG82" s="24">
        <v>2</v>
      </c>
      <c r="AH82" s="24">
        <v>3</v>
      </c>
      <c r="AI82" s="24">
        <v>3</v>
      </c>
      <c r="AJ82" s="24">
        <v>3</v>
      </c>
      <c r="AK82" s="24">
        <v>3</v>
      </c>
      <c r="AL82" s="24">
        <v>2</v>
      </c>
      <c r="AM82" s="23"/>
      <c r="AN82" s="23"/>
      <c r="AO82" s="22" t="s">
        <v>74</v>
      </c>
      <c r="AP82" s="22" t="s">
        <v>320</v>
      </c>
      <c r="AQ82" s="22" t="s">
        <v>321</v>
      </c>
      <c r="AR82" s="22" t="s">
        <v>322</v>
      </c>
    </row>
    <row r="83" spans="1:44" hidden="1">
      <c r="A83" s="22" t="s">
        <v>323</v>
      </c>
      <c r="B83" s="22" t="s">
        <v>52</v>
      </c>
      <c r="C83" s="22" t="s">
        <v>53</v>
      </c>
      <c r="D83" s="22" t="s">
        <v>98</v>
      </c>
      <c r="E83" s="22" t="s">
        <v>55</v>
      </c>
      <c r="F83" s="22" t="s">
        <v>65</v>
      </c>
      <c r="G83" s="22" t="s">
        <v>96</v>
      </c>
      <c r="H83" s="23"/>
      <c r="I83" s="23"/>
      <c r="J83" s="22">
        <v>2</v>
      </c>
      <c r="K83" s="22">
        <v>1</v>
      </c>
      <c r="L83" s="22">
        <v>1</v>
      </c>
      <c r="M83" s="23"/>
      <c r="N83" s="22" t="s">
        <v>58</v>
      </c>
      <c r="O83" s="23"/>
      <c r="P83" s="23"/>
      <c r="Q83" s="24">
        <v>1</v>
      </c>
      <c r="R83" s="24">
        <v>1</v>
      </c>
      <c r="S83" s="24">
        <v>2</v>
      </c>
      <c r="T83" s="24">
        <v>1</v>
      </c>
      <c r="U83" s="24">
        <v>4</v>
      </c>
      <c r="V83" s="24">
        <v>1</v>
      </c>
      <c r="W83" s="24">
        <v>3</v>
      </c>
      <c r="X83" s="24">
        <v>4</v>
      </c>
      <c r="Y83" s="24">
        <v>2</v>
      </c>
      <c r="Z83" s="24">
        <v>3</v>
      </c>
      <c r="AA83" s="24">
        <v>2</v>
      </c>
      <c r="AB83" s="24">
        <v>3</v>
      </c>
      <c r="AC83" s="24">
        <v>4</v>
      </c>
      <c r="AD83" s="24">
        <v>4</v>
      </c>
      <c r="AE83" s="24">
        <v>3</v>
      </c>
      <c r="AF83" s="24">
        <v>3</v>
      </c>
      <c r="AG83" s="24">
        <v>4</v>
      </c>
      <c r="AH83" s="24">
        <v>4</v>
      </c>
      <c r="AI83" s="24">
        <v>3</v>
      </c>
      <c r="AJ83" s="24">
        <v>3</v>
      </c>
      <c r="AK83" s="24">
        <v>4</v>
      </c>
      <c r="AL83" s="24">
        <v>4</v>
      </c>
      <c r="AM83" s="23"/>
      <c r="AN83" s="23"/>
      <c r="AO83" s="22" t="s">
        <v>59</v>
      </c>
      <c r="AP83" s="22" t="s">
        <v>324</v>
      </c>
      <c r="AQ83" s="22" t="s">
        <v>325</v>
      </c>
      <c r="AR83" s="22" t="s">
        <v>326</v>
      </c>
    </row>
    <row r="84" spans="1:44" hidden="1">
      <c r="A84" s="22" t="s">
        <v>327</v>
      </c>
      <c r="B84" s="22" t="s">
        <v>52</v>
      </c>
      <c r="C84" s="22" t="s">
        <v>53</v>
      </c>
      <c r="D84" s="22" t="s">
        <v>54</v>
      </c>
      <c r="E84" s="22" t="s">
        <v>55</v>
      </c>
      <c r="F84" s="22" t="s">
        <v>56</v>
      </c>
      <c r="G84" s="22" t="s">
        <v>96</v>
      </c>
      <c r="H84" s="23"/>
      <c r="I84" s="23"/>
      <c r="J84" s="22">
        <v>1</v>
      </c>
      <c r="K84" s="22">
        <v>1</v>
      </c>
      <c r="L84" s="22">
        <v>1</v>
      </c>
      <c r="M84" s="23"/>
      <c r="N84" s="22" t="s">
        <v>85</v>
      </c>
      <c r="O84" s="23"/>
      <c r="P84" s="23"/>
      <c r="Q84" s="24">
        <v>1</v>
      </c>
      <c r="R84" s="24">
        <v>1</v>
      </c>
      <c r="S84" s="24">
        <v>1</v>
      </c>
      <c r="T84" s="24">
        <v>1</v>
      </c>
      <c r="U84" s="24">
        <v>1</v>
      </c>
      <c r="V84" s="24">
        <v>1</v>
      </c>
      <c r="W84" s="24">
        <v>1</v>
      </c>
      <c r="X84" s="24">
        <v>1</v>
      </c>
      <c r="Y84" s="24">
        <v>1</v>
      </c>
      <c r="Z84" s="24">
        <v>1</v>
      </c>
      <c r="AA84" s="24">
        <v>3</v>
      </c>
      <c r="AB84" s="24">
        <v>3</v>
      </c>
      <c r="AC84" s="24">
        <v>3</v>
      </c>
      <c r="AD84" s="24">
        <v>3</v>
      </c>
      <c r="AE84" s="24">
        <v>3</v>
      </c>
      <c r="AF84" s="24">
        <v>3</v>
      </c>
      <c r="AG84" s="24">
        <v>3</v>
      </c>
      <c r="AH84" s="24">
        <v>3</v>
      </c>
      <c r="AI84" s="24">
        <v>2</v>
      </c>
      <c r="AJ84" s="24">
        <v>2</v>
      </c>
      <c r="AK84" s="24">
        <v>3</v>
      </c>
      <c r="AL84" s="24">
        <v>1</v>
      </c>
      <c r="AM84" s="23"/>
      <c r="AN84" s="23"/>
      <c r="AO84" s="22" t="s">
        <v>59</v>
      </c>
      <c r="AP84" s="22" t="s">
        <v>328</v>
      </c>
      <c r="AQ84" s="22" t="s">
        <v>329</v>
      </c>
      <c r="AR84" s="22" t="s">
        <v>146</v>
      </c>
    </row>
    <row r="85" spans="1:44" hidden="1">
      <c r="A85" s="22" t="s">
        <v>330</v>
      </c>
      <c r="B85" s="22" t="s">
        <v>52</v>
      </c>
      <c r="C85" s="22" t="s">
        <v>95</v>
      </c>
      <c r="D85" s="22" t="s">
        <v>71</v>
      </c>
      <c r="E85" s="22" t="s">
        <v>72</v>
      </c>
      <c r="F85" s="22" t="s">
        <v>73</v>
      </c>
      <c r="G85" s="22" t="s">
        <v>80</v>
      </c>
      <c r="H85" s="23"/>
      <c r="I85" s="23"/>
      <c r="J85" s="22">
        <v>3</v>
      </c>
      <c r="K85" s="22">
        <v>2</v>
      </c>
      <c r="L85" s="22">
        <v>2</v>
      </c>
      <c r="M85" s="23"/>
      <c r="N85" s="22" t="s">
        <v>66</v>
      </c>
      <c r="O85" s="23"/>
      <c r="P85" s="23"/>
      <c r="Q85" s="24">
        <v>4</v>
      </c>
      <c r="R85" s="24">
        <v>3</v>
      </c>
      <c r="S85" s="24">
        <v>3</v>
      </c>
      <c r="T85" s="24">
        <v>4</v>
      </c>
      <c r="U85" s="24">
        <v>4</v>
      </c>
      <c r="V85" s="24">
        <v>4</v>
      </c>
      <c r="W85" s="24">
        <v>4</v>
      </c>
      <c r="X85" s="24">
        <v>4</v>
      </c>
      <c r="Y85" s="24">
        <v>3</v>
      </c>
      <c r="Z85" s="24">
        <v>3</v>
      </c>
      <c r="AA85" s="24">
        <v>4</v>
      </c>
      <c r="AB85" s="24">
        <v>4</v>
      </c>
      <c r="AC85" s="24">
        <v>4</v>
      </c>
      <c r="AD85" s="24">
        <v>4</v>
      </c>
      <c r="AE85" s="24">
        <v>4</v>
      </c>
      <c r="AF85" s="24">
        <v>4</v>
      </c>
      <c r="AG85" s="24">
        <v>3</v>
      </c>
      <c r="AH85" s="24">
        <v>4</v>
      </c>
      <c r="AI85" s="24">
        <v>4</v>
      </c>
      <c r="AJ85" s="24">
        <v>3</v>
      </c>
      <c r="AK85" s="24">
        <v>4</v>
      </c>
      <c r="AL85" s="24">
        <v>4</v>
      </c>
      <c r="AM85" s="23"/>
      <c r="AN85" s="23"/>
      <c r="AO85" s="22" t="s">
        <v>74</v>
      </c>
      <c r="AP85" s="22" t="s">
        <v>331</v>
      </c>
      <c r="AQ85" s="22" t="s">
        <v>332</v>
      </c>
      <c r="AR85" s="22" t="s">
        <v>333</v>
      </c>
    </row>
    <row r="86" spans="1:44" hidden="1">
      <c r="A86" s="22" t="s">
        <v>334</v>
      </c>
      <c r="B86" s="22" t="s">
        <v>52</v>
      </c>
      <c r="C86" s="22" t="s">
        <v>95</v>
      </c>
      <c r="D86" s="22" t="s">
        <v>54</v>
      </c>
      <c r="E86" s="22" t="s">
        <v>55</v>
      </c>
      <c r="F86" s="22" t="s">
        <v>56</v>
      </c>
      <c r="G86" s="22" t="s">
        <v>96</v>
      </c>
      <c r="H86" s="23"/>
      <c r="I86" s="23"/>
      <c r="J86" s="22">
        <v>1</v>
      </c>
      <c r="K86" s="22">
        <v>1</v>
      </c>
      <c r="L86" s="22">
        <v>1</v>
      </c>
      <c r="M86" s="23"/>
      <c r="N86" s="22" t="s">
        <v>85</v>
      </c>
      <c r="O86" s="23"/>
      <c r="P86" s="23"/>
      <c r="Q86" s="24">
        <v>2</v>
      </c>
      <c r="R86" s="24">
        <v>2</v>
      </c>
      <c r="S86" s="24">
        <v>2</v>
      </c>
      <c r="T86" s="24">
        <v>2</v>
      </c>
      <c r="U86" s="24">
        <v>3</v>
      </c>
      <c r="V86" s="24">
        <v>1</v>
      </c>
      <c r="W86" s="24">
        <v>3</v>
      </c>
      <c r="X86" s="24">
        <v>3</v>
      </c>
      <c r="Y86" s="24">
        <v>2</v>
      </c>
      <c r="Z86" s="24">
        <v>4</v>
      </c>
      <c r="AA86" s="24">
        <v>3</v>
      </c>
      <c r="AB86" s="24">
        <v>3</v>
      </c>
      <c r="AC86" s="24">
        <v>3</v>
      </c>
      <c r="AD86" s="24">
        <v>3</v>
      </c>
      <c r="AE86" s="24">
        <v>3</v>
      </c>
      <c r="AF86" s="24">
        <v>3</v>
      </c>
      <c r="AG86" s="24">
        <v>2</v>
      </c>
      <c r="AH86" s="24">
        <v>3</v>
      </c>
      <c r="AI86" s="24">
        <v>2</v>
      </c>
      <c r="AJ86" s="24">
        <v>3</v>
      </c>
      <c r="AK86" s="24">
        <v>3</v>
      </c>
      <c r="AL86" s="24">
        <v>2</v>
      </c>
      <c r="AM86" s="23"/>
      <c r="AN86" s="23"/>
      <c r="AO86" s="22" t="s">
        <v>74</v>
      </c>
      <c r="AP86" s="22" t="s">
        <v>335</v>
      </c>
      <c r="AQ86" s="22" t="s">
        <v>336</v>
      </c>
      <c r="AR86" s="22" t="s">
        <v>337</v>
      </c>
    </row>
    <row r="87" spans="1:44" hidden="1">
      <c r="A87" s="22" t="s">
        <v>338</v>
      </c>
      <c r="B87" s="22" t="s">
        <v>52</v>
      </c>
      <c r="C87" s="22" t="s">
        <v>95</v>
      </c>
      <c r="D87" s="22" t="s">
        <v>64</v>
      </c>
      <c r="E87" s="22" t="s">
        <v>55</v>
      </c>
      <c r="F87" s="22" t="s">
        <v>56</v>
      </c>
      <c r="G87" s="22" t="s">
        <v>129</v>
      </c>
      <c r="H87" s="23"/>
      <c r="I87" s="23"/>
      <c r="J87" s="22">
        <v>2</v>
      </c>
      <c r="K87" s="22">
        <v>2</v>
      </c>
      <c r="L87" s="22">
        <v>2</v>
      </c>
      <c r="M87" s="23"/>
      <c r="N87" s="22" t="s">
        <v>58</v>
      </c>
      <c r="O87" s="23"/>
      <c r="P87" s="23"/>
      <c r="Q87" s="24">
        <v>4</v>
      </c>
      <c r="R87" s="24">
        <v>3</v>
      </c>
      <c r="S87" s="24">
        <v>3</v>
      </c>
      <c r="T87" s="24">
        <v>3</v>
      </c>
      <c r="U87" s="24">
        <v>4</v>
      </c>
      <c r="V87" s="24">
        <v>4</v>
      </c>
      <c r="W87" s="24">
        <v>4</v>
      </c>
      <c r="X87" s="24">
        <v>2</v>
      </c>
      <c r="Y87" s="24">
        <v>4</v>
      </c>
      <c r="Z87" s="24">
        <v>4</v>
      </c>
      <c r="AA87" s="24">
        <v>3</v>
      </c>
      <c r="AB87" s="24">
        <v>4</v>
      </c>
      <c r="AC87" s="24">
        <v>5</v>
      </c>
      <c r="AD87" s="24">
        <v>5</v>
      </c>
      <c r="AE87" s="24">
        <v>5</v>
      </c>
      <c r="AF87" s="24">
        <v>5</v>
      </c>
      <c r="AG87" s="24">
        <v>4</v>
      </c>
      <c r="AH87" s="24">
        <v>4</v>
      </c>
      <c r="AI87" s="24">
        <v>5</v>
      </c>
      <c r="AJ87" s="24">
        <v>5</v>
      </c>
      <c r="AK87" s="24">
        <v>4</v>
      </c>
      <c r="AL87" s="24">
        <v>4</v>
      </c>
      <c r="AM87" s="23"/>
      <c r="AN87" s="23"/>
      <c r="AO87" s="22" t="s">
        <v>74</v>
      </c>
      <c r="AP87" s="22" t="s">
        <v>339</v>
      </c>
      <c r="AQ87" s="22" t="s">
        <v>340</v>
      </c>
      <c r="AR87" s="22" t="s">
        <v>341</v>
      </c>
    </row>
    <row r="88" spans="1:44" hidden="1">
      <c r="A88" s="22" t="s">
        <v>342</v>
      </c>
      <c r="B88" s="22" t="s">
        <v>52</v>
      </c>
      <c r="C88" s="22" t="s">
        <v>53</v>
      </c>
      <c r="D88" s="22" t="s">
        <v>64</v>
      </c>
      <c r="E88" s="22" t="s">
        <v>55</v>
      </c>
      <c r="F88" s="22" t="s">
        <v>65</v>
      </c>
      <c r="G88" s="22" t="s">
        <v>57</v>
      </c>
      <c r="H88" s="23"/>
      <c r="I88" s="23"/>
      <c r="J88" s="22">
        <v>5</v>
      </c>
      <c r="K88" s="22">
        <v>1</v>
      </c>
      <c r="L88" s="22">
        <v>5</v>
      </c>
      <c r="M88" s="23"/>
      <c r="N88" s="22" t="s">
        <v>115</v>
      </c>
      <c r="O88" s="23"/>
      <c r="P88" s="23"/>
      <c r="Q88" s="24">
        <v>5</v>
      </c>
      <c r="R88" s="24">
        <v>2</v>
      </c>
      <c r="S88" s="24">
        <v>4</v>
      </c>
      <c r="T88" s="24">
        <v>4</v>
      </c>
      <c r="U88" s="24">
        <v>5</v>
      </c>
      <c r="V88" s="24">
        <v>4</v>
      </c>
      <c r="W88" s="24">
        <v>5</v>
      </c>
      <c r="X88" s="24">
        <v>5</v>
      </c>
      <c r="Y88" s="24">
        <v>5</v>
      </c>
      <c r="Z88" s="24">
        <v>4</v>
      </c>
      <c r="AA88" s="24">
        <v>5</v>
      </c>
      <c r="AB88" s="24">
        <v>5</v>
      </c>
      <c r="AC88" s="24">
        <v>5</v>
      </c>
      <c r="AD88" s="24">
        <v>5</v>
      </c>
      <c r="AE88" s="24">
        <v>4</v>
      </c>
      <c r="AF88" s="24">
        <v>4</v>
      </c>
      <c r="AG88" s="24">
        <v>4</v>
      </c>
      <c r="AH88" s="24">
        <v>4</v>
      </c>
      <c r="AI88" s="24">
        <v>3</v>
      </c>
      <c r="AJ88" s="24">
        <v>3</v>
      </c>
      <c r="AK88" s="24">
        <v>4</v>
      </c>
      <c r="AL88" s="24">
        <v>3</v>
      </c>
      <c r="AM88" s="23"/>
      <c r="AN88" s="23"/>
      <c r="AO88" s="22" t="s">
        <v>74</v>
      </c>
      <c r="AP88" s="22" t="s">
        <v>92</v>
      </c>
      <c r="AQ88" s="22" t="s">
        <v>343</v>
      </c>
      <c r="AR88" s="22" t="s">
        <v>92</v>
      </c>
    </row>
    <row r="89" spans="1:44" hidden="1">
      <c r="A89" s="22" t="s">
        <v>344</v>
      </c>
      <c r="B89" s="22" t="s">
        <v>52</v>
      </c>
      <c r="C89" s="22" t="s">
        <v>53</v>
      </c>
      <c r="D89" s="22" t="s">
        <v>54</v>
      </c>
      <c r="E89" s="22" t="s">
        <v>55</v>
      </c>
      <c r="F89" s="22" t="s">
        <v>56</v>
      </c>
      <c r="G89" s="22" t="s">
        <v>57</v>
      </c>
      <c r="H89" s="23"/>
      <c r="I89" s="23"/>
      <c r="J89" s="22">
        <v>4</v>
      </c>
      <c r="K89" s="22">
        <v>2</v>
      </c>
      <c r="L89" s="22">
        <v>2</v>
      </c>
      <c r="M89" s="23"/>
      <c r="N89" s="22" t="s">
        <v>58</v>
      </c>
      <c r="O89" s="23"/>
      <c r="P89" s="23"/>
      <c r="Q89" s="24">
        <v>3</v>
      </c>
      <c r="R89" s="24">
        <v>3</v>
      </c>
      <c r="S89" s="24">
        <v>3</v>
      </c>
      <c r="T89" s="24">
        <v>3</v>
      </c>
      <c r="U89" s="24">
        <v>4</v>
      </c>
      <c r="V89" s="24">
        <v>2</v>
      </c>
      <c r="W89" s="24">
        <v>4</v>
      </c>
      <c r="X89" s="24">
        <v>4</v>
      </c>
      <c r="Y89" s="24">
        <v>4</v>
      </c>
      <c r="Z89" s="24">
        <v>4</v>
      </c>
      <c r="AA89" s="24">
        <v>4</v>
      </c>
      <c r="AB89" s="24">
        <v>4</v>
      </c>
      <c r="AC89" s="24">
        <v>4</v>
      </c>
      <c r="AD89" s="24">
        <v>4</v>
      </c>
      <c r="AE89" s="24">
        <v>3</v>
      </c>
      <c r="AF89" s="24">
        <v>4</v>
      </c>
      <c r="AG89" s="24">
        <v>3</v>
      </c>
      <c r="AH89" s="24">
        <v>3</v>
      </c>
      <c r="AI89" s="24">
        <v>3</v>
      </c>
      <c r="AJ89" s="24">
        <v>3</v>
      </c>
      <c r="AK89" s="24">
        <v>3</v>
      </c>
      <c r="AL89" s="24">
        <v>3</v>
      </c>
      <c r="AM89" s="23"/>
      <c r="AN89" s="23"/>
      <c r="AO89" s="22" t="s">
        <v>74</v>
      </c>
      <c r="AP89" s="22" t="s">
        <v>92</v>
      </c>
      <c r="AQ89" s="22" t="s">
        <v>345</v>
      </c>
      <c r="AR89" s="22" t="s">
        <v>92</v>
      </c>
    </row>
    <row r="90" spans="1:44" hidden="1">
      <c r="A90" s="22" t="s">
        <v>346</v>
      </c>
      <c r="B90" s="22" t="s">
        <v>52</v>
      </c>
      <c r="C90" s="22" t="s">
        <v>53</v>
      </c>
      <c r="D90" s="22" t="s">
        <v>64</v>
      </c>
      <c r="E90" s="22" t="s">
        <v>55</v>
      </c>
      <c r="F90" s="22" t="s">
        <v>65</v>
      </c>
      <c r="G90" s="22" t="s">
        <v>57</v>
      </c>
      <c r="H90" s="23"/>
      <c r="I90" s="23"/>
      <c r="J90" s="22">
        <v>4</v>
      </c>
      <c r="K90" s="22">
        <v>3</v>
      </c>
      <c r="L90" s="22">
        <v>4</v>
      </c>
      <c r="M90" s="23"/>
      <c r="N90" s="22" t="s">
        <v>115</v>
      </c>
      <c r="O90" s="23"/>
      <c r="P90" s="23"/>
      <c r="Q90" s="24">
        <v>3</v>
      </c>
      <c r="R90" s="24">
        <v>3</v>
      </c>
      <c r="S90" s="24">
        <v>4</v>
      </c>
      <c r="T90" s="24">
        <v>4</v>
      </c>
      <c r="U90" s="24">
        <v>4</v>
      </c>
      <c r="V90" s="24">
        <v>4</v>
      </c>
      <c r="W90" s="24">
        <v>4</v>
      </c>
      <c r="X90" s="24">
        <v>4</v>
      </c>
      <c r="Y90" s="24">
        <v>4</v>
      </c>
      <c r="Z90" s="24">
        <v>4</v>
      </c>
      <c r="AA90" s="24">
        <v>4</v>
      </c>
      <c r="AB90" s="24">
        <v>4</v>
      </c>
      <c r="AC90" s="24">
        <v>4</v>
      </c>
      <c r="AD90" s="24">
        <v>4</v>
      </c>
      <c r="AE90" s="24">
        <v>4</v>
      </c>
      <c r="AF90" s="24">
        <v>4</v>
      </c>
      <c r="AG90" s="24">
        <v>4</v>
      </c>
      <c r="AH90" s="24">
        <v>4</v>
      </c>
      <c r="AI90" s="24">
        <v>4</v>
      </c>
      <c r="AJ90" s="24">
        <v>4</v>
      </c>
      <c r="AK90" s="24">
        <v>4</v>
      </c>
      <c r="AL90" s="24">
        <v>4</v>
      </c>
      <c r="AM90" s="23"/>
      <c r="AN90" s="23"/>
      <c r="AO90" s="22" t="s">
        <v>74</v>
      </c>
      <c r="AP90" s="22" t="s">
        <v>347</v>
      </c>
      <c r="AQ90" s="22" t="s">
        <v>348</v>
      </c>
      <c r="AR90" s="22" t="s">
        <v>349</v>
      </c>
    </row>
    <row r="91" spans="1:44" hidden="1">
      <c r="A91" s="22" t="s">
        <v>350</v>
      </c>
      <c r="B91" s="22" t="s">
        <v>52</v>
      </c>
      <c r="C91" s="22" t="s">
        <v>53</v>
      </c>
      <c r="D91" s="22" t="s">
        <v>64</v>
      </c>
      <c r="E91" s="22" t="s">
        <v>55</v>
      </c>
      <c r="F91" s="22" t="s">
        <v>56</v>
      </c>
      <c r="G91" s="22" t="s">
        <v>80</v>
      </c>
      <c r="H91" s="23"/>
      <c r="I91" s="23"/>
      <c r="J91" s="22">
        <v>3</v>
      </c>
      <c r="K91" s="22">
        <v>3</v>
      </c>
      <c r="L91" s="22">
        <v>3</v>
      </c>
      <c r="M91" s="23"/>
      <c r="N91" s="22" t="s">
        <v>66</v>
      </c>
      <c r="O91" s="23"/>
      <c r="P91" s="23"/>
      <c r="Q91" s="24">
        <v>4</v>
      </c>
      <c r="R91" s="24">
        <v>3</v>
      </c>
      <c r="S91" s="24">
        <v>3</v>
      </c>
      <c r="T91" s="24">
        <v>4</v>
      </c>
      <c r="U91" s="24">
        <v>5</v>
      </c>
      <c r="V91" s="24">
        <v>3</v>
      </c>
      <c r="W91" s="24">
        <v>4</v>
      </c>
      <c r="X91" s="24">
        <v>4</v>
      </c>
      <c r="Y91" s="24">
        <v>3</v>
      </c>
      <c r="Z91" s="24">
        <v>4</v>
      </c>
      <c r="AA91" s="24">
        <v>4</v>
      </c>
      <c r="AB91" s="24">
        <v>4</v>
      </c>
      <c r="AC91" s="24">
        <v>5</v>
      </c>
      <c r="AD91" s="24">
        <v>5</v>
      </c>
      <c r="AE91" s="24">
        <v>5</v>
      </c>
      <c r="AF91" s="24">
        <v>5</v>
      </c>
      <c r="AG91" s="24">
        <v>5</v>
      </c>
      <c r="AH91" s="24">
        <v>5</v>
      </c>
      <c r="AI91" s="24">
        <v>5</v>
      </c>
      <c r="AJ91" s="24">
        <v>2</v>
      </c>
      <c r="AK91" s="24">
        <v>4</v>
      </c>
      <c r="AL91" s="24">
        <v>2</v>
      </c>
      <c r="AM91" s="23"/>
      <c r="AN91" s="23"/>
      <c r="AO91" s="22" t="s">
        <v>74</v>
      </c>
      <c r="AP91" s="22" t="s">
        <v>351</v>
      </c>
      <c r="AQ91" s="22" t="s">
        <v>352</v>
      </c>
      <c r="AR91" s="22" t="s">
        <v>212</v>
      </c>
    </row>
    <row r="92" spans="1:44" hidden="1">
      <c r="A92" s="22" t="s">
        <v>353</v>
      </c>
      <c r="B92" s="22" t="s">
        <v>52</v>
      </c>
      <c r="C92" s="22" t="s">
        <v>79</v>
      </c>
      <c r="D92" s="22" t="s">
        <v>54</v>
      </c>
      <c r="E92" s="22" t="s">
        <v>72</v>
      </c>
      <c r="F92" s="22" t="s">
        <v>56</v>
      </c>
      <c r="G92" s="22" t="s">
        <v>57</v>
      </c>
      <c r="H92" s="23"/>
      <c r="I92" s="23"/>
      <c r="J92" s="22">
        <v>5</v>
      </c>
      <c r="K92" s="22">
        <v>2</v>
      </c>
      <c r="L92" s="22">
        <v>2</v>
      </c>
      <c r="M92" s="23"/>
      <c r="N92" s="22" t="s">
        <v>66</v>
      </c>
      <c r="O92" s="23"/>
      <c r="P92" s="23"/>
      <c r="Q92" s="24">
        <v>4</v>
      </c>
      <c r="R92" s="24">
        <v>3</v>
      </c>
      <c r="S92" s="24">
        <v>4</v>
      </c>
      <c r="T92" s="24">
        <v>4</v>
      </c>
      <c r="U92" s="24">
        <v>4</v>
      </c>
      <c r="V92" s="24">
        <v>4</v>
      </c>
      <c r="W92" s="24">
        <v>4</v>
      </c>
      <c r="X92" s="24">
        <v>4</v>
      </c>
      <c r="Y92" s="24">
        <v>4</v>
      </c>
      <c r="Z92" s="24">
        <v>4</v>
      </c>
      <c r="AA92" s="24">
        <v>4</v>
      </c>
      <c r="AB92" s="24">
        <v>4</v>
      </c>
      <c r="AC92" s="24">
        <v>5</v>
      </c>
      <c r="AD92" s="24">
        <v>4</v>
      </c>
      <c r="AE92" s="24">
        <v>3</v>
      </c>
      <c r="AF92" s="24">
        <v>4</v>
      </c>
      <c r="AG92" s="24">
        <v>4</v>
      </c>
      <c r="AH92" s="24">
        <v>4</v>
      </c>
      <c r="AI92" s="24">
        <v>4</v>
      </c>
      <c r="AJ92" s="24">
        <v>4</v>
      </c>
      <c r="AK92" s="24">
        <v>5</v>
      </c>
      <c r="AL92" s="24">
        <v>4</v>
      </c>
      <c r="AM92" s="23"/>
      <c r="AN92" s="23"/>
      <c r="AO92" s="22" t="s">
        <v>74</v>
      </c>
      <c r="AP92" s="22" t="s">
        <v>354</v>
      </c>
      <c r="AQ92" s="22" t="s">
        <v>355</v>
      </c>
      <c r="AR92" s="22" t="s">
        <v>356</v>
      </c>
    </row>
    <row r="93" spans="1:44" hidden="1">
      <c r="A93" s="22" t="s">
        <v>357</v>
      </c>
      <c r="B93" s="22" t="s">
        <v>52</v>
      </c>
      <c r="C93" s="22" t="s">
        <v>53</v>
      </c>
      <c r="D93" s="22" t="s">
        <v>64</v>
      </c>
      <c r="E93" s="22" t="s">
        <v>55</v>
      </c>
      <c r="F93" s="22" t="s">
        <v>65</v>
      </c>
      <c r="G93" s="22" t="s">
        <v>57</v>
      </c>
      <c r="H93" s="23"/>
      <c r="I93" s="23"/>
      <c r="J93" s="22">
        <v>2</v>
      </c>
      <c r="K93" s="22">
        <v>2</v>
      </c>
      <c r="L93" s="22">
        <v>2</v>
      </c>
      <c r="M93" s="23"/>
      <c r="N93" s="22" t="s">
        <v>58</v>
      </c>
      <c r="O93" s="23"/>
      <c r="P93" s="23"/>
      <c r="Q93" s="24">
        <v>4</v>
      </c>
      <c r="R93" s="24">
        <v>3</v>
      </c>
      <c r="S93" s="24">
        <v>4</v>
      </c>
      <c r="T93" s="24">
        <v>4</v>
      </c>
      <c r="U93" s="24">
        <v>4</v>
      </c>
      <c r="V93" s="24">
        <v>4</v>
      </c>
      <c r="W93" s="24">
        <v>4</v>
      </c>
      <c r="X93" s="24">
        <v>4</v>
      </c>
      <c r="Y93" s="24">
        <v>4</v>
      </c>
      <c r="Z93" s="24">
        <v>4</v>
      </c>
      <c r="AA93" s="24">
        <v>2</v>
      </c>
      <c r="AB93" s="24">
        <v>4</v>
      </c>
      <c r="AC93" s="24">
        <v>4</v>
      </c>
      <c r="AD93" s="24">
        <v>2</v>
      </c>
      <c r="AE93" s="24">
        <v>2</v>
      </c>
      <c r="AF93" s="24">
        <v>3</v>
      </c>
      <c r="AG93" s="24">
        <v>3</v>
      </c>
      <c r="AH93" s="24">
        <v>4</v>
      </c>
      <c r="AI93" s="24">
        <v>4</v>
      </c>
      <c r="AJ93" s="24">
        <v>4</v>
      </c>
      <c r="AK93" s="24">
        <v>4</v>
      </c>
      <c r="AL93" s="24">
        <v>4</v>
      </c>
      <c r="AM93" s="23"/>
      <c r="AN93" s="23"/>
      <c r="AO93" s="22" t="s">
        <v>59</v>
      </c>
      <c r="AP93" s="22" t="s">
        <v>358</v>
      </c>
      <c r="AQ93" s="22" t="s">
        <v>359</v>
      </c>
      <c r="AR93" s="22" t="s">
        <v>360</v>
      </c>
    </row>
    <row r="94" spans="1:44" hidden="1">
      <c r="A94" s="22" t="s">
        <v>361</v>
      </c>
      <c r="B94" s="22" t="s">
        <v>52</v>
      </c>
      <c r="C94" s="22" t="s">
        <v>53</v>
      </c>
      <c r="D94" s="22" t="s">
        <v>106</v>
      </c>
      <c r="E94" s="22" t="s">
        <v>72</v>
      </c>
      <c r="F94" s="22" t="s">
        <v>73</v>
      </c>
      <c r="G94" s="22" t="s">
        <v>57</v>
      </c>
      <c r="H94" s="23"/>
      <c r="I94" s="23"/>
      <c r="J94" s="22">
        <v>4</v>
      </c>
      <c r="K94" s="22">
        <v>2</v>
      </c>
      <c r="L94" s="22">
        <v>3</v>
      </c>
      <c r="M94" s="23"/>
      <c r="N94" s="22" t="s">
        <v>66</v>
      </c>
      <c r="O94" s="23"/>
      <c r="P94" s="23"/>
      <c r="Q94" s="24">
        <v>4</v>
      </c>
      <c r="R94" s="24">
        <v>4</v>
      </c>
      <c r="S94" s="24">
        <v>4</v>
      </c>
      <c r="T94" s="24">
        <v>4</v>
      </c>
      <c r="U94" s="24">
        <v>4</v>
      </c>
      <c r="V94" s="24">
        <v>4</v>
      </c>
      <c r="W94" s="24">
        <v>4</v>
      </c>
      <c r="X94" s="24">
        <v>4</v>
      </c>
      <c r="Y94" s="24">
        <v>4</v>
      </c>
      <c r="Z94" s="24">
        <v>4</v>
      </c>
      <c r="AA94" s="24">
        <v>4</v>
      </c>
      <c r="AB94" s="24">
        <v>4</v>
      </c>
      <c r="AC94" s="24">
        <v>4</v>
      </c>
      <c r="AD94" s="24">
        <v>4</v>
      </c>
      <c r="AE94" s="24">
        <v>3</v>
      </c>
      <c r="AF94" s="24">
        <v>3</v>
      </c>
      <c r="AG94" s="24">
        <v>4</v>
      </c>
      <c r="AH94" s="24">
        <v>3</v>
      </c>
      <c r="AI94" s="24">
        <v>3</v>
      </c>
      <c r="AJ94" s="24">
        <v>3</v>
      </c>
      <c r="AK94" s="24">
        <v>4</v>
      </c>
      <c r="AL94" s="24">
        <v>3</v>
      </c>
      <c r="AM94" s="23"/>
      <c r="AN94" s="23"/>
      <c r="AO94" s="22" t="s">
        <v>74</v>
      </c>
      <c r="AP94" s="22" t="s">
        <v>362</v>
      </c>
      <c r="AQ94" s="22" t="s">
        <v>363</v>
      </c>
      <c r="AR94" s="22" t="s">
        <v>364</v>
      </c>
    </row>
    <row r="95" spans="1:44" hidden="1">
      <c r="A95" s="22" t="s">
        <v>365</v>
      </c>
      <c r="B95" s="22" t="s">
        <v>52</v>
      </c>
      <c r="C95" s="22" t="s">
        <v>53</v>
      </c>
      <c r="D95" s="22" t="s">
        <v>71</v>
      </c>
      <c r="E95" s="22" t="s">
        <v>72</v>
      </c>
      <c r="F95" s="22" t="s">
        <v>56</v>
      </c>
      <c r="G95" s="22" t="s">
        <v>57</v>
      </c>
      <c r="H95" s="23"/>
      <c r="I95" s="23"/>
      <c r="J95" s="22">
        <v>4</v>
      </c>
      <c r="K95" s="22">
        <v>2</v>
      </c>
      <c r="L95" s="22">
        <v>4</v>
      </c>
      <c r="M95" s="23"/>
      <c r="N95" s="22" t="s">
        <v>66</v>
      </c>
      <c r="O95" s="23"/>
      <c r="P95" s="23"/>
      <c r="Q95" s="24">
        <v>3</v>
      </c>
      <c r="R95" s="24">
        <v>3</v>
      </c>
      <c r="S95" s="24">
        <v>3</v>
      </c>
      <c r="T95" s="24">
        <v>3</v>
      </c>
      <c r="U95" s="24">
        <v>4</v>
      </c>
      <c r="V95" s="24">
        <v>4</v>
      </c>
      <c r="W95" s="24">
        <v>4</v>
      </c>
      <c r="X95" s="24">
        <v>4</v>
      </c>
      <c r="Y95" s="24">
        <v>4</v>
      </c>
      <c r="Z95" s="24">
        <v>4</v>
      </c>
      <c r="AA95" s="24">
        <v>4</v>
      </c>
      <c r="AB95" s="24">
        <v>4</v>
      </c>
      <c r="AC95" s="24">
        <v>4</v>
      </c>
      <c r="AD95" s="24">
        <v>4</v>
      </c>
      <c r="AE95" s="24">
        <v>4</v>
      </c>
      <c r="AF95" s="24">
        <v>4</v>
      </c>
      <c r="AG95" s="24">
        <v>4</v>
      </c>
      <c r="AH95" s="24">
        <v>4</v>
      </c>
      <c r="AI95" s="24">
        <v>3</v>
      </c>
      <c r="AJ95" s="24">
        <v>3</v>
      </c>
      <c r="AK95" s="24">
        <v>4</v>
      </c>
      <c r="AL95" s="24">
        <v>4</v>
      </c>
      <c r="AM95" s="23"/>
      <c r="AN95" s="23"/>
      <c r="AO95" s="22" t="s">
        <v>59</v>
      </c>
      <c r="AP95" s="22" t="s">
        <v>366</v>
      </c>
      <c r="AQ95" s="22" t="s">
        <v>367</v>
      </c>
      <c r="AR95" s="22" t="s">
        <v>368</v>
      </c>
    </row>
    <row r="96" spans="1:44" hidden="1">
      <c r="A96" s="22" t="s">
        <v>369</v>
      </c>
      <c r="B96" s="22" t="s">
        <v>52</v>
      </c>
      <c r="C96" s="22" t="s">
        <v>53</v>
      </c>
      <c r="D96" s="22" t="s">
        <v>106</v>
      </c>
      <c r="E96" s="22" t="s">
        <v>72</v>
      </c>
      <c r="F96" s="22" t="s">
        <v>73</v>
      </c>
      <c r="G96" s="22" t="s">
        <v>57</v>
      </c>
      <c r="H96" s="23"/>
      <c r="I96" s="23"/>
      <c r="J96" s="22">
        <v>3</v>
      </c>
      <c r="K96" s="22">
        <v>2</v>
      </c>
      <c r="L96" s="22">
        <v>2</v>
      </c>
      <c r="M96" s="23"/>
      <c r="N96" s="22" t="s">
        <v>58</v>
      </c>
      <c r="O96" s="23"/>
      <c r="P96" s="23"/>
      <c r="Q96" s="24">
        <v>4</v>
      </c>
      <c r="R96" s="24">
        <v>4</v>
      </c>
      <c r="S96" s="24">
        <v>3</v>
      </c>
      <c r="T96" s="24">
        <v>3</v>
      </c>
      <c r="U96" s="24">
        <v>3</v>
      </c>
      <c r="V96" s="24">
        <v>4</v>
      </c>
      <c r="W96" s="24">
        <v>4</v>
      </c>
      <c r="X96" s="24">
        <v>4</v>
      </c>
      <c r="Y96" s="24">
        <v>4</v>
      </c>
      <c r="Z96" s="24">
        <v>4</v>
      </c>
      <c r="AA96" s="24">
        <v>4</v>
      </c>
      <c r="AB96" s="24">
        <v>4</v>
      </c>
      <c r="AC96" s="24">
        <v>4</v>
      </c>
      <c r="AD96" s="24">
        <v>4</v>
      </c>
      <c r="AE96" s="24">
        <v>4</v>
      </c>
      <c r="AF96" s="24">
        <v>4</v>
      </c>
      <c r="AG96" s="24">
        <v>4</v>
      </c>
      <c r="AH96" s="24">
        <v>4</v>
      </c>
      <c r="AI96" s="24">
        <v>4</v>
      </c>
      <c r="AJ96" s="24">
        <v>2</v>
      </c>
      <c r="AK96" s="24">
        <v>3</v>
      </c>
      <c r="AL96" s="24">
        <v>3</v>
      </c>
      <c r="AM96" s="23"/>
      <c r="AN96" s="23"/>
      <c r="AO96" s="22" t="s">
        <v>59</v>
      </c>
      <c r="AP96" s="22" t="s">
        <v>370</v>
      </c>
      <c r="AQ96" s="22" t="s">
        <v>371</v>
      </c>
      <c r="AR96" s="22" t="s">
        <v>372</v>
      </c>
    </row>
    <row r="97" spans="1:44" hidden="1">
      <c r="A97" s="22" t="s">
        <v>373</v>
      </c>
      <c r="B97" s="22" t="s">
        <v>52</v>
      </c>
      <c r="C97" s="22" t="s">
        <v>53</v>
      </c>
      <c r="D97" s="22" t="s">
        <v>106</v>
      </c>
      <c r="E97" s="22" t="s">
        <v>72</v>
      </c>
      <c r="F97" s="22" t="s">
        <v>73</v>
      </c>
      <c r="G97" s="22" t="s">
        <v>80</v>
      </c>
      <c r="H97" s="23"/>
      <c r="I97" s="23"/>
      <c r="J97" s="22">
        <v>2</v>
      </c>
      <c r="K97" s="22">
        <v>2</v>
      </c>
      <c r="L97" s="22">
        <v>2</v>
      </c>
      <c r="M97" s="23"/>
      <c r="N97" s="22" t="s">
        <v>66</v>
      </c>
      <c r="O97" s="23"/>
      <c r="P97" s="23"/>
      <c r="Q97" s="24">
        <v>4</v>
      </c>
      <c r="R97" s="24">
        <v>3</v>
      </c>
      <c r="S97" s="24">
        <v>3</v>
      </c>
      <c r="T97" s="24">
        <v>2</v>
      </c>
      <c r="U97" s="24">
        <v>4</v>
      </c>
      <c r="V97" s="24">
        <v>4</v>
      </c>
      <c r="W97" s="24">
        <v>3</v>
      </c>
      <c r="X97" s="24">
        <v>4</v>
      </c>
      <c r="Y97" s="24">
        <v>3</v>
      </c>
      <c r="Z97" s="24">
        <v>3</v>
      </c>
      <c r="AA97" s="24">
        <v>3</v>
      </c>
      <c r="AB97" s="24">
        <v>4</v>
      </c>
      <c r="AC97" s="24">
        <v>4</v>
      </c>
      <c r="AD97" s="24">
        <v>5</v>
      </c>
      <c r="AE97" s="24">
        <v>4</v>
      </c>
      <c r="AF97" s="24">
        <v>4</v>
      </c>
      <c r="AG97" s="24">
        <v>3</v>
      </c>
      <c r="AH97" s="24">
        <v>4</v>
      </c>
      <c r="AI97" s="24">
        <v>2</v>
      </c>
      <c r="AJ97" s="24">
        <v>2</v>
      </c>
      <c r="AK97" s="24">
        <v>3</v>
      </c>
      <c r="AL97" s="24">
        <v>3</v>
      </c>
      <c r="AM97" s="23"/>
      <c r="AN97" s="23"/>
      <c r="AO97" s="22" t="s">
        <v>74</v>
      </c>
      <c r="AP97" s="22" t="s">
        <v>374</v>
      </c>
      <c r="AQ97" s="22" t="s">
        <v>375</v>
      </c>
      <c r="AR97" s="22" t="s">
        <v>376</v>
      </c>
    </row>
    <row r="98" spans="1:44" hidden="1">
      <c r="A98" s="22" t="s">
        <v>377</v>
      </c>
      <c r="B98" s="22" t="s">
        <v>52</v>
      </c>
      <c r="C98" s="22" t="s">
        <v>95</v>
      </c>
      <c r="D98" s="22" t="s">
        <v>98</v>
      </c>
      <c r="E98" s="22" t="s">
        <v>72</v>
      </c>
      <c r="F98" s="22" t="s">
        <v>65</v>
      </c>
      <c r="G98" s="22" t="s">
        <v>129</v>
      </c>
      <c r="H98" s="23"/>
      <c r="I98" s="23"/>
      <c r="J98" s="22">
        <v>1</v>
      </c>
      <c r="K98" s="22">
        <v>1</v>
      </c>
      <c r="L98" s="22">
        <v>1</v>
      </c>
      <c r="M98" s="23"/>
      <c r="N98" s="22" t="s">
        <v>85</v>
      </c>
      <c r="O98" s="23"/>
      <c r="P98" s="23"/>
      <c r="Q98" s="24">
        <v>1</v>
      </c>
      <c r="R98" s="24">
        <v>1</v>
      </c>
      <c r="S98" s="24">
        <v>1</v>
      </c>
      <c r="T98" s="24">
        <v>1</v>
      </c>
      <c r="U98" s="24">
        <v>1</v>
      </c>
      <c r="V98" s="24">
        <v>1</v>
      </c>
      <c r="W98" s="24">
        <v>4</v>
      </c>
      <c r="X98" s="24">
        <v>3</v>
      </c>
      <c r="Y98" s="24">
        <v>3</v>
      </c>
      <c r="Z98" s="24">
        <v>3</v>
      </c>
      <c r="AA98" s="24">
        <v>3</v>
      </c>
      <c r="AB98" s="24">
        <v>3</v>
      </c>
      <c r="AC98" s="24">
        <v>3</v>
      </c>
      <c r="AD98" s="24">
        <v>2</v>
      </c>
      <c r="AE98" s="24">
        <v>2</v>
      </c>
      <c r="AF98" s="24">
        <v>2</v>
      </c>
      <c r="AG98" s="24">
        <v>2</v>
      </c>
      <c r="AH98" s="24">
        <v>3</v>
      </c>
      <c r="AI98" s="24">
        <v>3</v>
      </c>
      <c r="AJ98" s="24">
        <v>3</v>
      </c>
      <c r="AK98" s="24">
        <v>3</v>
      </c>
      <c r="AL98" s="24">
        <v>3</v>
      </c>
      <c r="AM98" s="23"/>
      <c r="AN98" s="23"/>
      <c r="AO98" s="22" t="s">
        <v>59</v>
      </c>
      <c r="AP98" s="22" t="s">
        <v>146</v>
      </c>
      <c r="AQ98" s="22" t="s">
        <v>146</v>
      </c>
      <c r="AR98" s="22" t="s">
        <v>146</v>
      </c>
    </row>
    <row r="99" spans="1:44" hidden="1">
      <c r="A99" s="22" t="s">
        <v>378</v>
      </c>
      <c r="B99" s="22" t="s">
        <v>52</v>
      </c>
      <c r="C99" s="22" t="s">
        <v>95</v>
      </c>
      <c r="D99" s="22" t="s">
        <v>71</v>
      </c>
      <c r="E99" s="22" t="s">
        <v>55</v>
      </c>
      <c r="F99" s="22" t="s">
        <v>73</v>
      </c>
      <c r="G99" s="22" t="s">
        <v>57</v>
      </c>
      <c r="H99" s="23"/>
      <c r="I99" s="23"/>
      <c r="J99" s="22">
        <v>4</v>
      </c>
      <c r="K99" s="22">
        <v>2</v>
      </c>
      <c r="L99" s="22">
        <v>2</v>
      </c>
      <c r="M99" s="23"/>
      <c r="N99" s="22" t="s">
        <v>58</v>
      </c>
      <c r="O99" s="23"/>
      <c r="P99" s="23"/>
      <c r="Q99" s="24">
        <v>4</v>
      </c>
      <c r="R99" s="24">
        <v>3</v>
      </c>
      <c r="S99" s="24">
        <v>3</v>
      </c>
      <c r="T99" s="24">
        <v>3</v>
      </c>
      <c r="U99" s="24">
        <v>3</v>
      </c>
      <c r="V99" s="24">
        <v>4</v>
      </c>
      <c r="W99" s="24">
        <v>4</v>
      </c>
      <c r="X99" s="24">
        <v>4</v>
      </c>
      <c r="Y99" s="24">
        <v>4</v>
      </c>
      <c r="Z99" s="24">
        <v>4</v>
      </c>
      <c r="AA99" s="24">
        <v>3</v>
      </c>
      <c r="AB99" s="24">
        <v>4</v>
      </c>
      <c r="AC99" s="24">
        <v>4</v>
      </c>
      <c r="AD99" s="24">
        <v>4</v>
      </c>
      <c r="AE99" s="24">
        <v>4</v>
      </c>
      <c r="AF99" s="24">
        <v>4</v>
      </c>
      <c r="AG99" s="24">
        <v>4</v>
      </c>
      <c r="AH99" s="24">
        <v>4</v>
      </c>
      <c r="AI99" s="24">
        <v>3</v>
      </c>
      <c r="AJ99" s="24">
        <v>3</v>
      </c>
      <c r="AK99" s="24">
        <v>4</v>
      </c>
      <c r="AL99" s="24">
        <v>3</v>
      </c>
      <c r="AM99" s="23"/>
      <c r="AN99" s="23"/>
      <c r="AO99" s="22" t="s">
        <v>59</v>
      </c>
      <c r="AP99" s="22" t="s">
        <v>379</v>
      </c>
      <c r="AQ99" s="22" t="s">
        <v>380</v>
      </c>
      <c r="AR99" s="22" t="s">
        <v>381</v>
      </c>
    </row>
    <row r="100" spans="1:44" hidden="1">
      <c r="A100" s="22" t="s">
        <v>382</v>
      </c>
      <c r="B100" s="22" t="s">
        <v>52</v>
      </c>
      <c r="C100" s="22" t="s">
        <v>95</v>
      </c>
      <c r="D100" s="22" t="s">
        <v>54</v>
      </c>
      <c r="E100" s="22" t="s">
        <v>72</v>
      </c>
      <c r="F100" s="22" t="s">
        <v>56</v>
      </c>
      <c r="G100" s="22" t="s">
        <v>57</v>
      </c>
      <c r="H100" s="23"/>
      <c r="I100" s="23"/>
      <c r="J100" s="22">
        <v>4</v>
      </c>
      <c r="K100" s="22">
        <v>2</v>
      </c>
      <c r="L100" s="22">
        <v>2</v>
      </c>
      <c r="M100" s="23"/>
      <c r="N100" s="22" t="s">
        <v>115</v>
      </c>
      <c r="O100" s="23"/>
      <c r="P100" s="23"/>
      <c r="Q100" s="24">
        <v>4</v>
      </c>
      <c r="R100" s="24">
        <v>4</v>
      </c>
      <c r="S100" s="24">
        <v>4</v>
      </c>
      <c r="T100" s="24">
        <v>4</v>
      </c>
      <c r="U100" s="24">
        <v>5</v>
      </c>
      <c r="V100" s="24">
        <v>4</v>
      </c>
      <c r="W100" s="24">
        <v>4</v>
      </c>
      <c r="X100" s="24">
        <v>5</v>
      </c>
      <c r="Y100" s="24">
        <v>5</v>
      </c>
      <c r="Z100" s="24">
        <v>5</v>
      </c>
      <c r="AA100" s="24">
        <v>4</v>
      </c>
      <c r="AB100" s="24">
        <v>5</v>
      </c>
      <c r="AC100" s="24">
        <v>4</v>
      </c>
      <c r="AD100" s="24">
        <v>4</v>
      </c>
      <c r="AE100" s="24">
        <v>3</v>
      </c>
      <c r="AF100" s="24">
        <v>4</v>
      </c>
      <c r="AG100" s="24">
        <v>4</v>
      </c>
      <c r="AH100" s="24">
        <v>3</v>
      </c>
      <c r="AI100" s="24">
        <v>3</v>
      </c>
      <c r="AJ100" s="24">
        <v>3</v>
      </c>
      <c r="AK100" s="24">
        <v>4</v>
      </c>
      <c r="AL100" s="24">
        <v>2</v>
      </c>
      <c r="AM100" s="23"/>
      <c r="AN100" s="23"/>
      <c r="AO100" s="22" t="s">
        <v>74</v>
      </c>
      <c r="AP100" s="22" t="s">
        <v>383</v>
      </c>
      <c r="AQ100" s="22" t="s">
        <v>383</v>
      </c>
      <c r="AR100" s="22" t="s">
        <v>384</v>
      </c>
    </row>
    <row r="101" spans="1:44" hidden="1">
      <c r="A101" s="22" t="s">
        <v>385</v>
      </c>
      <c r="B101" s="22" t="s">
        <v>52</v>
      </c>
      <c r="C101" s="22" t="s">
        <v>95</v>
      </c>
      <c r="D101" s="22" t="s">
        <v>106</v>
      </c>
      <c r="E101" s="22" t="s">
        <v>72</v>
      </c>
      <c r="F101" s="22" t="s">
        <v>73</v>
      </c>
      <c r="G101" s="22" t="s">
        <v>57</v>
      </c>
      <c r="H101" s="23"/>
      <c r="I101" s="23"/>
      <c r="J101" s="22">
        <v>5</v>
      </c>
      <c r="K101" s="22">
        <v>4</v>
      </c>
      <c r="L101" s="22">
        <v>4</v>
      </c>
      <c r="M101" s="23"/>
      <c r="N101" s="22" t="s">
        <v>115</v>
      </c>
      <c r="O101" s="23"/>
      <c r="P101" s="23"/>
      <c r="Q101" s="24">
        <v>4</v>
      </c>
      <c r="R101" s="24">
        <v>4</v>
      </c>
      <c r="S101" s="24">
        <v>5</v>
      </c>
      <c r="T101" s="24">
        <v>5</v>
      </c>
      <c r="U101" s="24">
        <v>5</v>
      </c>
      <c r="V101" s="24">
        <v>5</v>
      </c>
      <c r="W101" s="24">
        <v>5</v>
      </c>
      <c r="X101" s="24">
        <v>5</v>
      </c>
      <c r="Y101" s="24">
        <v>5</v>
      </c>
      <c r="Z101" s="24">
        <v>5</v>
      </c>
      <c r="AA101" s="24">
        <v>5</v>
      </c>
      <c r="AB101" s="24">
        <v>5</v>
      </c>
      <c r="AC101" s="24">
        <v>5</v>
      </c>
      <c r="AD101" s="24">
        <v>5</v>
      </c>
      <c r="AE101" s="24">
        <v>4</v>
      </c>
      <c r="AF101" s="24">
        <v>5</v>
      </c>
      <c r="AG101" s="24">
        <v>4</v>
      </c>
      <c r="AH101" s="24">
        <v>4</v>
      </c>
      <c r="AI101" s="24">
        <v>4</v>
      </c>
      <c r="AJ101" s="24">
        <v>4</v>
      </c>
      <c r="AK101" s="24">
        <v>4</v>
      </c>
      <c r="AL101" s="24">
        <v>4</v>
      </c>
      <c r="AM101" s="23"/>
      <c r="AN101" s="23"/>
      <c r="AO101" s="22" t="s">
        <v>74</v>
      </c>
      <c r="AP101" s="22" t="s">
        <v>386</v>
      </c>
      <c r="AQ101" s="22" t="s">
        <v>387</v>
      </c>
      <c r="AR101" s="22" t="s">
        <v>388</v>
      </c>
    </row>
    <row r="102" spans="1:44" hidden="1">
      <c r="A102" s="22" t="s">
        <v>389</v>
      </c>
      <c r="B102" s="22" t="s">
        <v>52</v>
      </c>
      <c r="C102" s="22" t="s">
        <v>95</v>
      </c>
      <c r="D102" s="22" t="s">
        <v>98</v>
      </c>
      <c r="E102" s="22" t="s">
        <v>55</v>
      </c>
      <c r="F102" s="22" t="s">
        <v>136</v>
      </c>
      <c r="G102" s="22" t="s">
        <v>80</v>
      </c>
      <c r="H102" s="23"/>
      <c r="I102" s="23"/>
      <c r="J102" s="22">
        <v>3</v>
      </c>
      <c r="K102" s="22">
        <v>3</v>
      </c>
      <c r="L102" s="22">
        <v>1</v>
      </c>
      <c r="M102" s="23"/>
      <c r="N102" s="22" t="s">
        <v>58</v>
      </c>
      <c r="O102" s="23"/>
      <c r="P102" s="23"/>
      <c r="Q102" s="24">
        <v>2</v>
      </c>
      <c r="R102" s="24">
        <v>1</v>
      </c>
      <c r="S102" s="24">
        <v>3</v>
      </c>
      <c r="T102" s="24">
        <v>3</v>
      </c>
      <c r="U102" s="24">
        <v>3</v>
      </c>
      <c r="V102" s="24">
        <v>3</v>
      </c>
      <c r="W102" s="24">
        <v>3</v>
      </c>
      <c r="X102" s="24">
        <v>3</v>
      </c>
      <c r="Y102" s="24">
        <v>3</v>
      </c>
      <c r="Z102" s="24">
        <v>3</v>
      </c>
      <c r="AA102" s="24">
        <v>3</v>
      </c>
      <c r="AB102" s="24">
        <v>3</v>
      </c>
      <c r="AC102" s="24">
        <v>3</v>
      </c>
      <c r="AD102" s="24">
        <v>3</v>
      </c>
      <c r="AE102" s="24">
        <v>3</v>
      </c>
      <c r="AF102" s="24">
        <v>3</v>
      </c>
      <c r="AG102" s="24">
        <v>4</v>
      </c>
      <c r="AH102" s="24">
        <v>3</v>
      </c>
      <c r="AI102" s="24">
        <v>3</v>
      </c>
      <c r="AJ102" s="24">
        <v>3</v>
      </c>
      <c r="AK102" s="24">
        <v>3</v>
      </c>
      <c r="AL102" s="24">
        <v>3</v>
      </c>
      <c r="AM102" s="23"/>
      <c r="AN102" s="23"/>
      <c r="AO102" s="22" t="s">
        <v>74</v>
      </c>
      <c r="AP102" s="22" t="s">
        <v>390</v>
      </c>
      <c r="AQ102" s="22" t="s">
        <v>391</v>
      </c>
      <c r="AR102" s="22" t="s">
        <v>137</v>
      </c>
    </row>
    <row r="103" spans="1:44" hidden="1">
      <c r="A103" s="22" t="s">
        <v>392</v>
      </c>
      <c r="B103" s="22" t="s">
        <v>52</v>
      </c>
      <c r="C103" s="22" t="s">
        <v>53</v>
      </c>
      <c r="D103" s="22" t="s">
        <v>64</v>
      </c>
      <c r="E103" s="22" t="s">
        <v>55</v>
      </c>
      <c r="F103" s="22" t="s">
        <v>65</v>
      </c>
      <c r="G103" s="22" t="s">
        <v>57</v>
      </c>
      <c r="H103" s="23"/>
      <c r="I103" s="23"/>
      <c r="J103" s="22">
        <v>4</v>
      </c>
      <c r="K103" s="22">
        <v>3</v>
      </c>
      <c r="L103" s="22">
        <v>2</v>
      </c>
      <c r="M103" s="23"/>
      <c r="N103" s="22" t="s">
        <v>115</v>
      </c>
      <c r="O103" s="23"/>
      <c r="P103" s="23"/>
      <c r="Q103" s="24">
        <v>3</v>
      </c>
      <c r="R103" s="24">
        <v>2</v>
      </c>
      <c r="S103" s="24">
        <v>3</v>
      </c>
      <c r="T103" s="24">
        <v>4</v>
      </c>
      <c r="U103" s="24">
        <v>4</v>
      </c>
      <c r="V103" s="24">
        <v>3</v>
      </c>
      <c r="W103" s="24">
        <v>4</v>
      </c>
      <c r="X103" s="24">
        <v>4</v>
      </c>
      <c r="Y103" s="24">
        <v>3</v>
      </c>
      <c r="Z103" s="24">
        <v>3</v>
      </c>
      <c r="AA103" s="24">
        <v>3</v>
      </c>
      <c r="AB103" s="24">
        <v>3</v>
      </c>
      <c r="AC103" s="24">
        <v>3</v>
      </c>
      <c r="AD103" s="24">
        <v>3</v>
      </c>
      <c r="AE103" s="24">
        <v>3</v>
      </c>
      <c r="AF103" s="24">
        <v>3</v>
      </c>
      <c r="AG103" s="24">
        <v>3</v>
      </c>
      <c r="AH103" s="24">
        <v>3</v>
      </c>
      <c r="AI103" s="24">
        <v>3</v>
      </c>
      <c r="AJ103" s="24">
        <v>3</v>
      </c>
      <c r="AK103" s="24">
        <v>3</v>
      </c>
      <c r="AL103" s="24">
        <v>3</v>
      </c>
      <c r="AM103" s="23"/>
      <c r="AN103" s="23"/>
      <c r="AO103" s="22" t="s">
        <v>59</v>
      </c>
      <c r="AP103" s="22" t="s">
        <v>92</v>
      </c>
      <c r="AQ103" s="22" t="s">
        <v>92</v>
      </c>
      <c r="AR103" s="22" t="s">
        <v>92</v>
      </c>
    </row>
    <row r="104" spans="1:44" hidden="1">
      <c r="A104" s="22" t="s">
        <v>393</v>
      </c>
      <c r="B104" s="22" t="s">
        <v>52</v>
      </c>
      <c r="C104" s="22" t="s">
        <v>53</v>
      </c>
      <c r="D104" s="22" t="s">
        <v>106</v>
      </c>
      <c r="E104" s="22" t="s">
        <v>72</v>
      </c>
      <c r="F104" s="22" t="s">
        <v>73</v>
      </c>
      <c r="G104" s="22" t="s">
        <v>80</v>
      </c>
      <c r="H104" s="23"/>
      <c r="I104" s="23"/>
      <c r="J104" s="22">
        <v>2</v>
      </c>
      <c r="K104" s="22">
        <v>2</v>
      </c>
      <c r="L104" s="22">
        <v>2</v>
      </c>
      <c r="M104" s="23"/>
      <c r="N104" s="22" t="s">
        <v>58</v>
      </c>
      <c r="O104" s="23"/>
      <c r="P104" s="23"/>
      <c r="Q104" s="24">
        <v>3</v>
      </c>
      <c r="R104" s="24">
        <v>3</v>
      </c>
      <c r="S104" s="24">
        <v>2</v>
      </c>
      <c r="T104" s="24">
        <v>2</v>
      </c>
      <c r="U104" s="24">
        <v>3</v>
      </c>
      <c r="V104" s="24">
        <v>3</v>
      </c>
      <c r="W104" s="24">
        <v>4</v>
      </c>
      <c r="X104" s="24">
        <v>4</v>
      </c>
      <c r="Y104" s="24">
        <v>4</v>
      </c>
      <c r="Z104" s="24">
        <v>4</v>
      </c>
      <c r="AA104" s="24">
        <v>4</v>
      </c>
      <c r="AB104" s="24">
        <v>4</v>
      </c>
      <c r="AC104" s="24">
        <v>4</v>
      </c>
      <c r="AD104" s="24">
        <v>4</v>
      </c>
      <c r="AE104" s="24">
        <v>4</v>
      </c>
      <c r="AF104" s="24">
        <v>4</v>
      </c>
      <c r="AG104" s="24">
        <v>3</v>
      </c>
      <c r="AH104" s="24">
        <v>3</v>
      </c>
      <c r="AI104" s="24">
        <v>2</v>
      </c>
      <c r="AJ104" s="24">
        <v>3</v>
      </c>
      <c r="AK104" s="24">
        <v>3</v>
      </c>
      <c r="AL104" s="24">
        <v>3</v>
      </c>
      <c r="AM104" s="23"/>
      <c r="AN104" s="23"/>
      <c r="AO104" s="22" t="s">
        <v>74</v>
      </c>
      <c r="AP104" s="22" t="s">
        <v>394</v>
      </c>
      <c r="AQ104" s="22" t="s">
        <v>395</v>
      </c>
      <c r="AR104" s="22" t="s">
        <v>396</v>
      </c>
    </row>
    <row r="105" spans="1:44" hidden="1">
      <c r="A105" s="22" t="s">
        <v>397</v>
      </c>
      <c r="B105" s="22" t="s">
        <v>52</v>
      </c>
      <c r="C105" s="22" t="s">
        <v>53</v>
      </c>
      <c r="D105" s="22" t="s">
        <v>71</v>
      </c>
      <c r="E105" s="22" t="s">
        <v>72</v>
      </c>
      <c r="F105" s="22" t="s">
        <v>73</v>
      </c>
      <c r="G105" s="22" t="s">
        <v>80</v>
      </c>
      <c r="H105" s="23"/>
      <c r="I105" s="23"/>
      <c r="J105" s="22">
        <v>3</v>
      </c>
      <c r="K105" s="22">
        <v>4</v>
      </c>
      <c r="L105" s="22">
        <v>2</v>
      </c>
      <c r="M105" s="23"/>
      <c r="N105" s="22" t="s">
        <v>58</v>
      </c>
      <c r="O105" s="23"/>
      <c r="P105" s="23"/>
      <c r="Q105" s="24">
        <v>4</v>
      </c>
      <c r="R105" s="24">
        <v>4</v>
      </c>
      <c r="S105" s="24">
        <v>2</v>
      </c>
      <c r="T105" s="24">
        <v>2</v>
      </c>
      <c r="U105" s="24">
        <v>2</v>
      </c>
      <c r="V105" s="24">
        <v>2</v>
      </c>
      <c r="W105" s="24">
        <v>4</v>
      </c>
      <c r="X105" s="24">
        <v>3</v>
      </c>
      <c r="Y105" s="24">
        <v>3</v>
      </c>
      <c r="Z105" s="24">
        <v>2</v>
      </c>
      <c r="AA105" s="24">
        <v>3</v>
      </c>
      <c r="AB105" s="24">
        <v>4</v>
      </c>
      <c r="AC105" s="24">
        <v>3</v>
      </c>
      <c r="AD105" s="24">
        <v>4</v>
      </c>
      <c r="AE105" s="24">
        <v>3</v>
      </c>
      <c r="AF105" s="24">
        <v>4</v>
      </c>
      <c r="AG105" s="24">
        <v>2</v>
      </c>
      <c r="AH105" s="24">
        <v>4</v>
      </c>
      <c r="AI105" s="24">
        <v>3</v>
      </c>
      <c r="AJ105" s="24">
        <v>3</v>
      </c>
      <c r="AK105" s="24">
        <v>4</v>
      </c>
      <c r="AL105" s="24">
        <v>3</v>
      </c>
      <c r="AM105" s="23"/>
      <c r="AN105" s="23"/>
      <c r="AO105" s="22" t="s">
        <v>74</v>
      </c>
      <c r="AP105" s="22" t="s">
        <v>398</v>
      </c>
      <c r="AQ105" s="22" t="s">
        <v>399</v>
      </c>
      <c r="AR105" s="22" t="s">
        <v>400</v>
      </c>
    </row>
    <row r="106" spans="1:44" hidden="1">
      <c r="A106" s="22" t="s">
        <v>401</v>
      </c>
      <c r="B106" s="22" t="s">
        <v>52</v>
      </c>
      <c r="C106" s="22" t="s">
        <v>53</v>
      </c>
      <c r="D106" s="22" t="s">
        <v>64</v>
      </c>
      <c r="E106" s="22" t="s">
        <v>55</v>
      </c>
      <c r="F106" s="22" t="s">
        <v>65</v>
      </c>
      <c r="G106" s="22" t="s">
        <v>80</v>
      </c>
      <c r="H106" s="23"/>
      <c r="I106" s="23"/>
      <c r="J106" s="22">
        <v>3</v>
      </c>
      <c r="K106" s="22">
        <v>3</v>
      </c>
      <c r="L106" s="22">
        <v>3</v>
      </c>
      <c r="M106" s="23"/>
      <c r="N106" s="22" t="s">
        <v>58</v>
      </c>
      <c r="O106" s="23"/>
      <c r="P106" s="23"/>
      <c r="Q106" s="24">
        <v>3</v>
      </c>
      <c r="R106" s="24">
        <v>3</v>
      </c>
      <c r="S106" s="24">
        <v>3</v>
      </c>
      <c r="T106" s="24">
        <v>3</v>
      </c>
      <c r="U106" s="24">
        <v>3</v>
      </c>
      <c r="V106" s="24">
        <v>3</v>
      </c>
      <c r="W106" s="24">
        <v>3</v>
      </c>
      <c r="X106" s="24">
        <v>3</v>
      </c>
      <c r="Y106" s="24">
        <v>3</v>
      </c>
      <c r="Z106" s="24">
        <v>3</v>
      </c>
      <c r="AA106" s="24">
        <v>3</v>
      </c>
      <c r="AB106" s="24">
        <v>3</v>
      </c>
      <c r="AC106" s="24">
        <v>3</v>
      </c>
      <c r="AD106" s="24">
        <v>3</v>
      </c>
      <c r="AE106" s="24">
        <v>3</v>
      </c>
      <c r="AF106" s="24">
        <v>3</v>
      </c>
      <c r="AG106" s="24">
        <v>3</v>
      </c>
      <c r="AH106" s="24">
        <v>3</v>
      </c>
      <c r="AI106" s="24">
        <v>3</v>
      </c>
      <c r="AJ106" s="24">
        <v>3</v>
      </c>
      <c r="AK106" s="24">
        <v>3</v>
      </c>
      <c r="AL106" s="24">
        <v>3</v>
      </c>
      <c r="AM106" s="23"/>
      <c r="AN106" s="23"/>
      <c r="AO106" s="22" t="s">
        <v>74</v>
      </c>
      <c r="AP106" s="22" t="s">
        <v>59</v>
      </c>
      <c r="AQ106" s="22" t="s">
        <v>402</v>
      </c>
      <c r="AR106" s="22" t="s">
        <v>403</v>
      </c>
    </row>
    <row r="107" spans="1:44" hidden="1">
      <c r="A107" s="22" t="s">
        <v>404</v>
      </c>
      <c r="B107" s="22" t="s">
        <v>52</v>
      </c>
      <c r="C107" s="22" t="s">
        <v>53</v>
      </c>
      <c r="D107" s="22" t="s">
        <v>71</v>
      </c>
      <c r="E107" s="22" t="s">
        <v>72</v>
      </c>
      <c r="F107" s="22" t="s">
        <v>73</v>
      </c>
      <c r="G107" s="22" t="s">
        <v>57</v>
      </c>
      <c r="H107" s="23"/>
      <c r="I107" s="23"/>
      <c r="J107" s="22">
        <v>2</v>
      </c>
      <c r="K107" s="22">
        <v>1</v>
      </c>
      <c r="L107" s="22">
        <v>1</v>
      </c>
      <c r="M107" s="23"/>
      <c r="N107" s="22" t="s">
        <v>58</v>
      </c>
      <c r="O107" s="23"/>
      <c r="P107" s="23"/>
      <c r="Q107" s="24">
        <v>3</v>
      </c>
      <c r="R107" s="24">
        <v>2</v>
      </c>
      <c r="S107" s="24">
        <v>2</v>
      </c>
      <c r="T107" s="24">
        <v>2</v>
      </c>
      <c r="U107" s="24">
        <v>2</v>
      </c>
      <c r="V107" s="24">
        <v>3</v>
      </c>
      <c r="W107" s="24">
        <v>3</v>
      </c>
      <c r="X107" s="24">
        <v>3</v>
      </c>
      <c r="Y107" s="24">
        <v>2</v>
      </c>
      <c r="Z107" s="24">
        <v>2</v>
      </c>
      <c r="AA107" s="24">
        <v>4</v>
      </c>
      <c r="AB107" s="24">
        <v>4</v>
      </c>
      <c r="AC107" s="24">
        <v>4</v>
      </c>
      <c r="AD107" s="24">
        <v>4</v>
      </c>
      <c r="AE107" s="24">
        <v>3</v>
      </c>
      <c r="AF107" s="24">
        <v>3</v>
      </c>
      <c r="AG107" s="24">
        <v>3</v>
      </c>
      <c r="AH107" s="24">
        <v>4</v>
      </c>
      <c r="AI107" s="24">
        <v>5</v>
      </c>
      <c r="AJ107" s="24">
        <v>2</v>
      </c>
      <c r="AK107" s="24">
        <v>3</v>
      </c>
      <c r="AL107" s="24">
        <v>3</v>
      </c>
      <c r="AM107" s="23"/>
      <c r="AN107" s="23"/>
      <c r="AO107" s="22" t="s">
        <v>74</v>
      </c>
      <c r="AP107" s="22" t="s">
        <v>405</v>
      </c>
      <c r="AQ107" s="22" t="s">
        <v>81</v>
      </c>
      <c r="AR107" s="22" t="s">
        <v>406</v>
      </c>
    </row>
    <row r="108" spans="1:44" hidden="1">
      <c r="A108" s="22" t="s">
        <v>407</v>
      </c>
      <c r="B108" s="22" t="s">
        <v>52</v>
      </c>
      <c r="C108" s="22" t="s">
        <v>53</v>
      </c>
      <c r="D108" s="22" t="s">
        <v>54</v>
      </c>
      <c r="E108" s="22" t="s">
        <v>55</v>
      </c>
      <c r="F108" s="22" t="s">
        <v>56</v>
      </c>
      <c r="G108" s="22" t="s">
        <v>57</v>
      </c>
      <c r="H108" s="23"/>
      <c r="I108" s="23"/>
      <c r="J108" s="22">
        <v>4</v>
      </c>
      <c r="K108" s="22">
        <v>4</v>
      </c>
      <c r="L108" s="22">
        <v>2</v>
      </c>
      <c r="M108" s="23"/>
      <c r="N108" s="22" t="s">
        <v>58</v>
      </c>
      <c r="O108" s="23"/>
      <c r="P108" s="23"/>
      <c r="Q108" s="24">
        <v>3</v>
      </c>
      <c r="R108" s="24">
        <v>2</v>
      </c>
      <c r="S108" s="24">
        <v>3</v>
      </c>
      <c r="T108" s="24">
        <v>3</v>
      </c>
      <c r="U108" s="24">
        <v>3</v>
      </c>
      <c r="V108" s="24">
        <v>4</v>
      </c>
      <c r="W108" s="24">
        <v>2</v>
      </c>
      <c r="X108" s="24">
        <v>2</v>
      </c>
      <c r="Y108" s="24">
        <v>3</v>
      </c>
      <c r="Z108" s="24">
        <v>3</v>
      </c>
      <c r="AA108" s="24">
        <v>4</v>
      </c>
      <c r="AB108" s="24">
        <v>4</v>
      </c>
      <c r="AC108" s="24">
        <v>4</v>
      </c>
      <c r="AD108" s="24">
        <v>4</v>
      </c>
      <c r="AE108" s="24">
        <v>4</v>
      </c>
      <c r="AF108" s="24">
        <v>4</v>
      </c>
      <c r="AG108" s="24">
        <v>4</v>
      </c>
      <c r="AH108" s="24">
        <v>4</v>
      </c>
      <c r="AI108" s="24">
        <v>3</v>
      </c>
      <c r="AJ108" s="24">
        <v>2</v>
      </c>
      <c r="AK108" s="24">
        <v>4</v>
      </c>
      <c r="AL108" s="24">
        <v>2</v>
      </c>
      <c r="AM108" s="23"/>
      <c r="AN108" s="23"/>
      <c r="AO108" s="22" t="s">
        <v>59</v>
      </c>
      <c r="AP108" s="22" t="s">
        <v>408</v>
      </c>
      <c r="AQ108" s="22" t="s">
        <v>409</v>
      </c>
      <c r="AR108" s="22" t="s">
        <v>410</v>
      </c>
    </row>
    <row r="109" spans="1:44" hidden="1">
      <c r="A109" s="22" t="s">
        <v>411</v>
      </c>
      <c r="B109" s="22" t="s">
        <v>52</v>
      </c>
      <c r="C109" s="22" t="s">
        <v>53</v>
      </c>
      <c r="D109" s="22" t="s">
        <v>71</v>
      </c>
      <c r="E109" s="22" t="s">
        <v>72</v>
      </c>
      <c r="F109" s="22" t="s">
        <v>73</v>
      </c>
      <c r="G109" s="22" t="s">
        <v>129</v>
      </c>
      <c r="H109" s="23"/>
      <c r="I109" s="23"/>
      <c r="J109" s="22">
        <v>2</v>
      </c>
      <c r="K109" s="22">
        <v>2</v>
      </c>
      <c r="L109" s="22">
        <v>2</v>
      </c>
      <c r="M109" s="23"/>
      <c r="N109" s="22" t="s">
        <v>58</v>
      </c>
      <c r="O109" s="23"/>
      <c r="P109" s="23"/>
      <c r="Q109" s="24">
        <v>3</v>
      </c>
      <c r="R109" s="24">
        <v>2</v>
      </c>
      <c r="S109" s="24">
        <v>3</v>
      </c>
      <c r="T109" s="24">
        <v>2</v>
      </c>
      <c r="U109" s="24">
        <v>2</v>
      </c>
      <c r="V109" s="24">
        <v>2</v>
      </c>
      <c r="W109" s="24">
        <v>3</v>
      </c>
      <c r="X109" s="24">
        <v>3</v>
      </c>
      <c r="Y109" s="24">
        <v>3</v>
      </c>
      <c r="Z109" s="24">
        <v>4</v>
      </c>
      <c r="AA109" s="24">
        <v>3</v>
      </c>
      <c r="AB109" s="24">
        <v>3</v>
      </c>
      <c r="AC109" s="24">
        <v>2</v>
      </c>
      <c r="AD109" s="24">
        <v>3</v>
      </c>
      <c r="AE109" s="24">
        <v>3</v>
      </c>
      <c r="AF109" s="24">
        <v>3</v>
      </c>
      <c r="AG109" s="24">
        <v>2</v>
      </c>
      <c r="AH109" s="24">
        <v>3</v>
      </c>
      <c r="AI109" s="24">
        <v>3</v>
      </c>
      <c r="AJ109" s="24">
        <v>2</v>
      </c>
      <c r="AK109" s="24">
        <v>3</v>
      </c>
      <c r="AL109" s="24">
        <v>2</v>
      </c>
      <c r="AM109" s="23"/>
      <c r="AN109" s="23"/>
      <c r="AO109" s="22" t="s">
        <v>59</v>
      </c>
      <c r="AP109" s="22" t="s">
        <v>412</v>
      </c>
      <c r="AQ109" s="22" t="s">
        <v>81</v>
      </c>
      <c r="AR109" s="22" t="s">
        <v>120</v>
      </c>
    </row>
    <row r="110" spans="1:44" hidden="1">
      <c r="A110" s="22" t="s">
        <v>413</v>
      </c>
      <c r="B110" s="22" t="s">
        <v>52</v>
      </c>
      <c r="C110" s="22" t="s">
        <v>95</v>
      </c>
      <c r="D110" s="22" t="s">
        <v>71</v>
      </c>
      <c r="E110" s="22" t="s">
        <v>72</v>
      </c>
      <c r="F110" s="22" t="s">
        <v>73</v>
      </c>
      <c r="G110" s="22" t="s">
        <v>80</v>
      </c>
      <c r="H110" s="23"/>
      <c r="I110" s="23"/>
      <c r="J110" s="22">
        <v>3</v>
      </c>
      <c r="K110" s="22">
        <v>3</v>
      </c>
      <c r="L110" s="22">
        <v>2</v>
      </c>
      <c r="M110" s="23"/>
      <c r="N110" s="22" t="s">
        <v>66</v>
      </c>
      <c r="O110" s="23"/>
      <c r="P110" s="23"/>
      <c r="Q110" s="24">
        <v>3</v>
      </c>
      <c r="R110" s="24">
        <v>3</v>
      </c>
      <c r="S110" s="24">
        <v>3</v>
      </c>
      <c r="T110" s="24">
        <v>2</v>
      </c>
      <c r="U110" s="24">
        <v>3</v>
      </c>
      <c r="V110" s="24">
        <v>3</v>
      </c>
      <c r="W110" s="24">
        <v>3</v>
      </c>
      <c r="X110" s="24">
        <v>3</v>
      </c>
      <c r="Y110" s="24">
        <v>3</v>
      </c>
      <c r="Z110" s="24">
        <v>2</v>
      </c>
      <c r="AA110" s="24">
        <v>4</v>
      </c>
      <c r="AB110" s="24">
        <v>3</v>
      </c>
      <c r="AC110" s="24">
        <v>4</v>
      </c>
      <c r="AD110" s="24">
        <v>4</v>
      </c>
      <c r="AE110" s="24">
        <v>4</v>
      </c>
      <c r="AF110" s="24">
        <v>4</v>
      </c>
      <c r="AG110" s="24">
        <v>3</v>
      </c>
      <c r="AH110" s="24">
        <v>4</v>
      </c>
      <c r="AI110" s="24">
        <v>3</v>
      </c>
      <c r="AJ110" s="24">
        <v>3</v>
      </c>
      <c r="AK110" s="24">
        <v>3</v>
      </c>
      <c r="AL110" s="24">
        <v>3</v>
      </c>
      <c r="AM110" s="23"/>
      <c r="AN110" s="23"/>
      <c r="AO110" s="22" t="s">
        <v>74</v>
      </c>
      <c r="AP110" s="22" t="s">
        <v>414</v>
      </c>
      <c r="AQ110" s="22" t="s">
        <v>415</v>
      </c>
      <c r="AR110" s="22" t="s">
        <v>416</v>
      </c>
    </row>
    <row r="111" spans="1:44" hidden="1">
      <c r="A111" s="22" t="s">
        <v>417</v>
      </c>
      <c r="B111" s="22" t="s">
        <v>52</v>
      </c>
      <c r="C111" s="22" t="s">
        <v>79</v>
      </c>
      <c r="D111" s="22" t="s">
        <v>54</v>
      </c>
      <c r="E111" s="22" t="s">
        <v>72</v>
      </c>
      <c r="F111" s="22" t="s">
        <v>56</v>
      </c>
      <c r="G111" s="22" t="s">
        <v>80</v>
      </c>
      <c r="H111" s="23"/>
      <c r="I111" s="23"/>
      <c r="J111" s="22">
        <v>3</v>
      </c>
      <c r="K111" s="22">
        <v>3</v>
      </c>
      <c r="L111" s="22">
        <v>2</v>
      </c>
      <c r="M111" s="23"/>
      <c r="N111" s="22" t="s">
        <v>58</v>
      </c>
      <c r="O111" s="23"/>
      <c r="P111" s="23"/>
      <c r="Q111" s="24">
        <v>3</v>
      </c>
      <c r="R111" s="24">
        <v>2</v>
      </c>
      <c r="S111" s="24">
        <v>3</v>
      </c>
      <c r="T111" s="24">
        <v>2</v>
      </c>
      <c r="U111" s="24">
        <v>3</v>
      </c>
      <c r="V111" s="24">
        <v>2</v>
      </c>
      <c r="W111" s="24">
        <v>4</v>
      </c>
      <c r="X111" s="24">
        <v>3</v>
      </c>
      <c r="Y111" s="24">
        <v>4</v>
      </c>
      <c r="Z111" s="24">
        <v>4</v>
      </c>
      <c r="AA111" s="24">
        <v>4</v>
      </c>
      <c r="AB111" s="24">
        <v>4</v>
      </c>
      <c r="AC111" s="24">
        <v>4</v>
      </c>
      <c r="AD111" s="24">
        <v>4</v>
      </c>
      <c r="AE111" s="24">
        <v>4</v>
      </c>
      <c r="AF111" s="24">
        <v>4</v>
      </c>
      <c r="AG111" s="24">
        <v>4</v>
      </c>
      <c r="AH111" s="24">
        <v>4</v>
      </c>
      <c r="AI111" s="24">
        <v>3</v>
      </c>
      <c r="AJ111" s="24">
        <v>3</v>
      </c>
      <c r="AK111" s="24">
        <v>4</v>
      </c>
      <c r="AL111" s="24">
        <v>3</v>
      </c>
      <c r="AM111" s="23"/>
      <c r="AN111" s="23"/>
      <c r="AO111" s="22" t="s">
        <v>59</v>
      </c>
      <c r="AP111" s="22" t="s">
        <v>418</v>
      </c>
      <c r="AQ111" s="22" t="s">
        <v>419</v>
      </c>
      <c r="AR111" s="22" t="s">
        <v>420</v>
      </c>
    </row>
    <row r="112" spans="1:44" hidden="1">
      <c r="A112" s="22" t="s">
        <v>421</v>
      </c>
      <c r="B112" s="22" t="s">
        <v>52</v>
      </c>
      <c r="C112" s="22" t="s">
        <v>53</v>
      </c>
      <c r="D112" s="22" t="s">
        <v>54</v>
      </c>
      <c r="E112" s="22" t="s">
        <v>55</v>
      </c>
      <c r="F112" s="22" t="s">
        <v>73</v>
      </c>
      <c r="G112" s="22" t="s">
        <v>96</v>
      </c>
      <c r="H112" s="23"/>
      <c r="I112" s="23"/>
      <c r="J112" s="22">
        <v>1</v>
      </c>
      <c r="K112" s="22">
        <v>1</v>
      </c>
      <c r="L112" s="22">
        <v>1</v>
      </c>
      <c r="M112" s="23"/>
      <c r="N112" s="22" t="s">
        <v>85</v>
      </c>
      <c r="O112" s="23"/>
      <c r="P112" s="23"/>
      <c r="Q112" s="24">
        <v>1</v>
      </c>
      <c r="R112" s="24">
        <v>1</v>
      </c>
      <c r="S112" s="24">
        <v>1</v>
      </c>
      <c r="T112" s="24">
        <v>1</v>
      </c>
      <c r="U112" s="24">
        <v>1</v>
      </c>
      <c r="V112" s="24">
        <v>1</v>
      </c>
      <c r="W112" s="24">
        <v>2</v>
      </c>
      <c r="X112" s="24">
        <v>1</v>
      </c>
      <c r="Y112" s="24">
        <v>1</v>
      </c>
      <c r="Z112" s="24">
        <v>1</v>
      </c>
      <c r="AA112" s="24">
        <v>2</v>
      </c>
      <c r="AB112" s="24">
        <v>3</v>
      </c>
      <c r="AC112" s="24">
        <v>3</v>
      </c>
      <c r="AD112" s="24">
        <v>3</v>
      </c>
      <c r="AE112" s="24">
        <v>3</v>
      </c>
      <c r="AF112" s="24">
        <v>3</v>
      </c>
      <c r="AG112" s="24">
        <v>3</v>
      </c>
      <c r="AH112" s="24">
        <v>4</v>
      </c>
      <c r="AI112" s="24">
        <v>3</v>
      </c>
      <c r="AJ112" s="24">
        <v>3</v>
      </c>
      <c r="AK112" s="24">
        <v>2</v>
      </c>
      <c r="AL112" s="24">
        <v>2</v>
      </c>
      <c r="AM112" s="23"/>
      <c r="AN112" s="23"/>
      <c r="AO112" s="22" t="s">
        <v>59</v>
      </c>
      <c r="AP112" s="22" t="s">
        <v>422</v>
      </c>
      <c r="AQ112" s="22" t="s">
        <v>423</v>
      </c>
      <c r="AR112" s="22" t="s">
        <v>424</v>
      </c>
    </row>
    <row r="113" spans="1:44" hidden="1">
      <c r="A113" s="22" t="s">
        <v>425</v>
      </c>
      <c r="B113" s="22" t="s">
        <v>52</v>
      </c>
      <c r="C113" s="22" t="s">
        <v>53</v>
      </c>
      <c r="D113" s="22" t="s">
        <v>71</v>
      </c>
      <c r="E113" s="22" t="s">
        <v>55</v>
      </c>
      <c r="F113" s="22" t="s">
        <v>73</v>
      </c>
      <c r="G113" s="22" t="s">
        <v>129</v>
      </c>
      <c r="H113" s="23"/>
      <c r="I113" s="23"/>
      <c r="J113" s="22">
        <v>1</v>
      </c>
      <c r="K113" s="22">
        <v>1</v>
      </c>
      <c r="L113" s="22">
        <v>1</v>
      </c>
      <c r="M113" s="23"/>
      <c r="N113" s="22" t="s">
        <v>85</v>
      </c>
      <c r="O113" s="23"/>
      <c r="P113" s="23"/>
      <c r="Q113" s="24">
        <v>3</v>
      </c>
      <c r="R113" s="24">
        <v>1</v>
      </c>
      <c r="S113" s="24">
        <v>1</v>
      </c>
      <c r="T113" s="24">
        <v>1</v>
      </c>
      <c r="U113" s="24">
        <v>1</v>
      </c>
      <c r="V113" s="24">
        <v>1</v>
      </c>
      <c r="W113" s="24">
        <v>3</v>
      </c>
      <c r="X113" s="24">
        <v>3</v>
      </c>
      <c r="Y113" s="24">
        <v>1</v>
      </c>
      <c r="Z113" s="24">
        <v>2</v>
      </c>
      <c r="AA113" s="24">
        <v>3</v>
      </c>
      <c r="AB113" s="24">
        <v>1</v>
      </c>
      <c r="AC113" s="24">
        <v>3</v>
      </c>
      <c r="AD113" s="24">
        <v>2</v>
      </c>
      <c r="AE113" s="24">
        <v>2</v>
      </c>
      <c r="AF113" s="24">
        <v>3</v>
      </c>
      <c r="AG113" s="24">
        <v>1</v>
      </c>
      <c r="AH113" s="24">
        <v>3</v>
      </c>
      <c r="AI113" s="24">
        <v>3</v>
      </c>
      <c r="AJ113" s="24">
        <v>2</v>
      </c>
      <c r="AK113" s="24">
        <v>4</v>
      </c>
      <c r="AL113" s="24">
        <v>2</v>
      </c>
      <c r="AM113" s="23"/>
      <c r="AN113" s="23"/>
      <c r="AO113" s="22" t="s">
        <v>59</v>
      </c>
      <c r="AP113" s="22" t="s">
        <v>426</v>
      </c>
      <c r="AQ113" s="22" t="s">
        <v>426</v>
      </c>
      <c r="AR113" s="22" t="s">
        <v>426</v>
      </c>
    </row>
    <row r="114" spans="1:44" hidden="1">
      <c r="A114" s="22" t="s">
        <v>427</v>
      </c>
      <c r="B114" s="22" t="s">
        <v>52</v>
      </c>
      <c r="C114" s="22" t="s">
        <v>53</v>
      </c>
      <c r="D114" s="22" t="s">
        <v>64</v>
      </c>
      <c r="E114" s="22" t="s">
        <v>55</v>
      </c>
      <c r="F114" s="22" t="s">
        <v>65</v>
      </c>
      <c r="G114" s="22" t="s">
        <v>96</v>
      </c>
      <c r="H114" s="23"/>
      <c r="I114" s="23"/>
      <c r="J114" s="22">
        <v>3</v>
      </c>
      <c r="K114" s="22">
        <v>2</v>
      </c>
      <c r="L114" s="22">
        <v>1</v>
      </c>
      <c r="M114" s="23"/>
      <c r="N114" s="22" t="s">
        <v>115</v>
      </c>
      <c r="O114" s="23"/>
      <c r="P114" s="23"/>
      <c r="Q114" s="24">
        <v>5</v>
      </c>
      <c r="R114" s="24">
        <v>2</v>
      </c>
      <c r="S114" s="24">
        <v>3</v>
      </c>
      <c r="T114" s="24">
        <v>2</v>
      </c>
      <c r="U114" s="24">
        <v>3</v>
      </c>
      <c r="V114" s="24">
        <v>4</v>
      </c>
      <c r="W114" s="24">
        <v>4</v>
      </c>
      <c r="X114" s="24">
        <v>4</v>
      </c>
      <c r="Y114" s="24">
        <v>4</v>
      </c>
      <c r="Z114" s="24">
        <v>3</v>
      </c>
      <c r="AA114" s="24">
        <v>4</v>
      </c>
      <c r="AB114" s="24">
        <v>4</v>
      </c>
      <c r="AC114" s="24">
        <v>4</v>
      </c>
      <c r="AD114" s="24">
        <v>4</v>
      </c>
      <c r="AE114" s="24">
        <v>3</v>
      </c>
      <c r="AF114" s="24">
        <v>4</v>
      </c>
      <c r="AG114" s="24">
        <v>4</v>
      </c>
      <c r="AH114" s="24">
        <v>4</v>
      </c>
      <c r="AI114" s="24">
        <v>4</v>
      </c>
      <c r="AJ114" s="24">
        <v>4</v>
      </c>
      <c r="AK114" s="24">
        <v>4</v>
      </c>
      <c r="AL114" s="24">
        <v>4</v>
      </c>
      <c r="AM114" s="23"/>
      <c r="AN114" s="23"/>
      <c r="AO114" s="22" t="s">
        <v>59</v>
      </c>
      <c r="AP114" s="22" t="s">
        <v>137</v>
      </c>
      <c r="AQ114" s="22" t="s">
        <v>391</v>
      </c>
      <c r="AR114" s="22" t="s">
        <v>137</v>
      </c>
    </row>
    <row r="115" spans="1:44" hidden="1">
      <c r="A115" s="22" t="s">
        <v>428</v>
      </c>
      <c r="B115" s="22" t="s">
        <v>52</v>
      </c>
      <c r="C115" s="22" t="s">
        <v>95</v>
      </c>
      <c r="D115" s="22" t="s">
        <v>54</v>
      </c>
      <c r="E115" s="22" t="s">
        <v>72</v>
      </c>
      <c r="F115" s="22" t="s">
        <v>73</v>
      </c>
      <c r="G115" s="22" t="s">
        <v>80</v>
      </c>
      <c r="H115" s="23"/>
      <c r="I115" s="23"/>
      <c r="J115" s="22">
        <v>2</v>
      </c>
      <c r="K115" s="22">
        <v>2</v>
      </c>
      <c r="L115" s="22">
        <v>2</v>
      </c>
      <c r="M115" s="23"/>
      <c r="N115" s="22" t="s">
        <v>85</v>
      </c>
      <c r="O115" s="23"/>
      <c r="P115" s="23"/>
      <c r="Q115" s="24">
        <v>4</v>
      </c>
      <c r="R115" s="24">
        <v>3</v>
      </c>
      <c r="S115" s="24">
        <v>2</v>
      </c>
      <c r="T115" s="24">
        <v>2</v>
      </c>
      <c r="U115" s="24">
        <v>3</v>
      </c>
      <c r="V115" s="24">
        <v>3</v>
      </c>
      <c r="W115" s="24">
        <v>3</v>
      </c>
      <c r="X115" s="24">
        <v>4</v>
      </c>
      <c r="Y115" s="24">
        <v>3</v>
      </c>
      <c r="Z115" s="24">
        <v>3</v>
      </c>
      <c r="AA115" s="24">
        <v>4</v>
      </c>
      <c r="AB115" s="24">
        <v>5</v>
      </c>
      <c r="AC115" s="24">
        <v>4</v>
      </c>
      <c r="AD115" s="24">
        <v>4</v>
      </c>
      <c r="AE115" s="24">
        <v>3</v>
      </c>
      <c r="AF115" s="24">
        <v>5</v>
      </c>
      <c r="AG115" s="24">
        <v>4</v>
      </c>
      <c r="AH115" s="24">
        <v>4</v>
      </c>
      <c r="AI115" s="24">
        <v>2</v>
      </c>
      <c r="AJ115" s="24">
        <v>2</v>
      </c>
      <c r="AK115" s="24">
        <v>3</v>
      </c>
      <c r="AL115" s="24">
        <v>3</v>
      </c>
      <c r="AM115" s="23"/>
      <c r="AN115" s="23"/>
      <c r="AO115" s="22" t="s">
        <v>74</v>
      </c>
      <c r="AP115" s="22" t="s">
        <v>429</v>
      </c>
      <c r="AQ115" s="22" t="s">
        <v>430</v>
      </c>
      <c r="AR115" s="22" t="s">
        <v>431</v>
      </c>
    </row>
    <row r="116" spans="1:44" hidden="1">
      <c r="A116" s="22" t="s">
        <v>432</v>
      </c>
      <c r="B116" s="22" t="s">
        <v>52</v>
      </c>
      <c r="C116" s="22" t="s">
        <v>90</v>
      </c>
      <c r="D116" s="22" t="s">
        <v>54</v>
      </c>
      <c r="E116" s="22" t="s">
        <v>55</v>
      </c>
      <c r="F116" s="22" t="s">
        <v>56</v>
      </c>
      <c r="G116" s="22" t="s">
        <v>129</v>
      </c>
      <c r="H116" s="23"/>
      <c r="I116" s="23"/>
      <c r="J116" s="22">
        <v>2</v>
      </c>
      <c r="K116" s="22">
        <v>2</v>
      </c>
      <c r="L116" s="22">
        <v>3</v>
      </c>
      <c r="M116" s="23"/>
      <c r="N116" s="22" t="s">
        <v>85</v>
      </c>
      <c r="O116" s="23"/>
      <c r="P116" s="23"/>
      <c r="Q116" s="24">
        <v>4</v>
      </c>
      <c r="R116" s="24">
        <v>3</v>
      </c>
      <c r="S116" s="24">
        <v>3</v>
      </c>
      <c r="T116" s="24">
        <v>3</v>
      </c>
      <c r="U116" s="24">
        <v>3</v>
      </c>
      <c r="V116" s="24">
        <v>2</v>
      </c>
      <c r="W116" s="24">
        <v>4</v>
      </c>
      <c r="X116" s="24">
        <v>3</v>
      </c>
      <c r="Y116" s="24">
        <v>3</v>
      </c>
      <c r="Z116" s="24">
        <v>3</v>
      </c>
      <c r="AA116" s="24">
        <v>3</v>
      </c>
      <c r="AB116" s="24">
        <v>3</v>
      </c>
      <c r="AC116" s="24">
        <v>3</v>
      </c>
      <c r="AD116" s="24">
        <v>3</v>
      </c>
      <c r="AE116" s="24">
        <v>3</v>
      </c>
      <c r="AF116" s="24">
        <v>4</v>
      </c>
      <c r="AG116" s="24">
        <v>3</v>
      </c>
      <c r="AH116" s="24">
        <v>4</v>
      </c>
      <c r="AI116" s="24">
        <v>3</v>
      </c>
      <c r="AJ116" s="24">
        <v>2</v>
      </c>
      <c r="AK116" s="24">
        <v>4</v>
      </c>
      <c r="AL116" s="24">
        <v>2</v>
      </c>
      <c r="AM116" s="23"/>
      <c r="AN116" s="23"/>
      <c r="AO116" s="22" t="s">
        <v>59</v>
      </c>
      <c r="AP116" s="22" t="s">
        <v>433</v>
      </c>
      <c r="AQ116" s="22" t="s">
        <v>434</v>
      </c>
      <c r="AR116" s="22" t="s">
        <v>435</v>
      </c>
    </row>
    <row r="117" spans="1:44" hidden="1">
      <c r="A117" s="22" t="s">
        <v>436</v>
      </c>
      <c r="B117" s="22" t="s">
        <v>52</v>
      </c>
      <c r="C117" s="22" t="s">
        <v>95</v>
      </c>
      <c r="D117" s="22" t="s">
        <v>64</v>
      </c>
      <c r="E117" s="22" t="s">
        <v>55</v>
      </c>
      <c r="F117" s="22" t="s">
        <v>65</v>
      </c>
      <c r="G117" s="22" t="s">
        <v>80</v>
      </c>
      <c r="H117" s="23"/>
      <c r="I117" s="23"/>
      <c r="J117" s="22">
        <v>3</v>
      </c>
      <c r="K117" s="22">
        <v>2</v>
      </c>
      <c r="L117" s="22">
        <v>2</v>
      </c>
      <c r="M117" s="23"/>
      <c r="N117" s="22" t="s">
        <v>85</v>
      </c>
      <c r="O117" s="23"/>
      <c r="P117" s="23"/>
      <c r="Q117" s="24">
        <v>3</v>
      </c>
      <c r="R117" s="24">
        <v>2</v>
      </c>
      <c r="S117" s="24">
        <v>3</v>
      </c>
      <c r="T117" s="24">
        <v>2</v>
      </c>
      <c r="U117" s="24">
        <v>2</v>
      </c>
      <c r="V117" s="24">
        <v>3</v>
      </c>
      <c r="W117" s="24">
        <v>3</v>
      </c>
      <c r="X117" s="24">
        <v>4</v>
      </c>
      <c r="Y117" s="24">
        <v>2</v>
      </c>
      <c r="Z117" s="24">
        <v>3</v>
      </c>
      <c r="AA117" s="24">
        <v>3</v>
      </c>
      <c r="AB117" s="24">
        <v>3</v>
      </c>
      <c r="AC117" s="24">
        <v>3</v>
      </c>
      <c r="AD117" s="24">
        <v>3</v>
      </c>
      <c r="AE117" s="24">
        <v>2</v>
      </c>
      <c r="AF117" s="24">
        <v>3</v>
      </c>
      <c r="AG117" s="24">
        <v>2</v>
      </c>
      <c r="AH117" s="24">
        <v>3</v>
      </c>
      <c r="AI117" s="24">
        <v>2</v>
      </c>
      <c r="AJ117" s="24">
        <v>3</v>
      </c>
      <c r="AK117" s="24">
        <v>2</v>
      </c>
      <c r="AL117" s="24">
        <v>3</v>
      </c>
      <c r="AM117" s="23"/>
      <c r="AN117" s="23"/>
      <c r="AO117" s="22" t="s">
        <v>74</v>
      </c>
      <c r="AP117" s="22" t="s">
        <v>437</v>
      </c>
      <c r="AQ117" s="22" t="s">
        <v>437</v>
      </c>
      <c r="AR117" s="22" t="s">
        <v>396</v>
      </c>
    </row>
    <row r="118" spans="1:44" hidden="1">
      <c r="A118" s="22" t="s">
        <v>438</v>
      </c>
      <c r="B118" s="22" t="s">
        <v>52</v>
      </c>
      <c r="C118" s="22" t="s">
        <v>53</v>
      </c>
      <c r="D118" s="22" t="s">
        <v>98</v>
      </c>
      <c r="E118" s="22" t="s">
        <v>55</v>
      </c>
      <c r="F118" s="22" t="s">
        <v>65</v>
      </c>
      <c r="G118" s="22" t="s">
        <v>57</v>
      </c>
      <c r="H118" s="23"/>
      <c r="I118" s="23"/>
      <c r="J118" s="22">
        <v>5</v>
      </c>
      <c r="K118" s="22">
        <v>4</v>
      </c>
      <c r="L118" s="22">
        <v>4</v>
      </c>
      <c r="M118" s="23"/>
      <c r="N118" s="22" t="s">
        <v>58</v>
      </c>
      <c r="O118" s="23"/>
      <c r="P118" s="23"/>
      <c r="Q118" s="24">
        <v>3</v>
      </c>
      <c r="R118" s="24">
        <v>3</v>
      </c>
      <c r="S118" s="24">
        <v>4</v>
      </c>
      <c r="T118" s="24">
        <v>4</v>
      </c>
      <c r="U118" s="24">
        <v>4</v>
      </c>
      <c r="V118" s="24">
        <v>4</v>
      </c>
      <c r="W118" s="24">
        <v>4</v>
      </c>
      <c r="X118" s="24">
        <v>4</v>
      </c>
      <c r="Y118" s="24">
        <v>4</v>
      </c>
      <c r="Z118" s="24">
        <v>4</v>
      </c>
      <c r="AA118" s="24">
        <v>4</v>
      </c>
      <c r="AB118" s="24">
        <v>4</v>
      </c>
      <c r="AC118" s="24">
        <v>4</v>
      </c>
      <c r="AD118" s="24">
        <v>4</v>
      </c>
      <c r="AE118" s="24">
        <v>4</v>
      </c>
      <c r="AF118" s="24">
        <v>4</v>
      </c>
      <c r="AG118" s="24">
        <v>4</v>
      </c>
      <c r="AH118" s="24">
        <v>4</v>
      </c>
      <c r="AI118" s="24">
        <v>4</v>
      </c>
      <c r="AJ118" s="24">
        <v>4</v>
      </c>
      <c r="AK118" s="24">
        <v>4</v>
      </c>
      <c r="AL118" s="24">
        <v>4</v>
      </c>
      <c r="AM118" s="23"/>
      <c r="AN118" s="23"/>
      <c r="AO118" s="22" t="s">
        <v>74</v>
      </c>
      <c r="AP118" s="22" t="s">
        <v>439</v>
      </c>
      <c r="AQ118" s="22" t="s">
        <v>440</v>
      </c>
      <c r="AR118" s="22" t="s">
        <v>441</v>
      </c>
    </row>
    <row r="119" spans="1:44" hidden="1">
      <c r="A119" s="22" t="s">
        <v>442</v>
      </c>
      <c r="B119" s="22" t="s">
        <v>52</v>
      </c>
      <c r="C119" s="22" t="s">
        <v>53</v>
      </c>
      <c r="D119" s="22" t="s">
        <v>98</v>
      </c>
      <c r="E119" s="22" t="s">
        <v>55</v>
      </c>
      <c r="F119" s="22" t="s">
        <v>136</v>
      </c>
      <c r="G119" s="22" t="s">
        <v>129</v>
      </c>
      <c r="H119" s="23"/>
      <c r="I119" s="23"/>
      <c r="J119" s="22">
        <v>3</v>
      </c>
      <c r="K119" s="22">
        <v>3</v>
      </c>
      <c r="L119" s="22">
        <v>3</v>
      </c>
      <c r="M119" s="23"/>
      <c r="N119" s="22" t="s">
        <v>91</v>
      </c>
      <c r="O119" s="23"/>
      <c r="P119" s="23"/>
      <c r="Q119" s="24">
        <v>3</v>
      </c>
      <c r="R119" s="24">
        <v>3</v>
      </c>
      <c r="S119" s="24">
        <v>3</v>
      </c>
      <c r="T119" s="24">
        <v>3</v>
      </c>
      <c r="U119" s="24">
        <v>3</v>
      </c>
      <c r="V119" s="24">
        <v>3</v>
      </c>
      <c r="W119" s="24">
        <v>3</v>
      </c>
      <c r="X119" s="24">
        <v>3</v>
      </c>
      <c r="Y119" s="24">
        <v>3</v>
      </c>
      <c r="Z119" s="24">
        <v>3</v>
      </c>
      <c r="AA119" s="24">
        <v>3</v>
      </c>
      <c r="AB119" s="24">
        <v>3</v>
      </c>
      <c r="AC119" s="24">
        <v>3</v>
      </c>
      <c r="AD119" s="24">
        <v>3</v>
      </c>
      <c r="AE119" s="24">
        <v>3</v>
      </c>
      <c r="AF119" s="24">
        <v>3</v>
      </c>
      <c r="AG119" s="24">
        <v>3</v>
      </c>
      <c r="AH119" s="24">
        <v>3</v>
      </c>
      <c r="AI119" s="24">
        <v>3</v>
      </c>
      <c r="AJ119" s="24">
        <v>3</v>
      </c>
      <c r="AK119" s="24">
        <v>3</v>
      </c>
      <c r="AL119" s="24">
        <v>3</v>
      </c>
      <c r="AM119" s="23"/>
      <c r="AN119" s="23"/>
      <c r="AO119" s="22" t="s">
        <v>59</v>
      </c>
      <c r="AP119" s="22" t="s">
        <v>443</v>
      </c>
      <c r="AQ119" s="22" t="s">
        <v>444</v>
      </c>
      <c r="AR119" s="22" t="s">
        <v>92</v>
      </c>
    </row>
    <row r="120" spans="1:44" hidden="1">
      <c r="A120" s="22" t="s">
        <v>445</v>
      </c>
      <c r="B120" s="22" t="s">
        <v>52</v>
      </c>
      <c r="C120" s="22" t="s">
        <v>90</v>
      </c>
      <c r="D120" s="22" t="s">
        <v>98</v>
      </c>
      <c r="E120" s="22" t="s">
        <v>55</v>
      </c>
      <c r="F120" s="22" t="s">
        <v>136</v>
      </c>
      <c r="G120" s="22" t="s">
        <v>57</v>
      </c>
      <c r="H120" s="23"/>
      <c r="I120" s="23"/>
      <c r="J120" s="22">
        <v>4</v>
      </c>
      <c r="K120" s="22">
        <v>3</v>
      </c>
      <c r="L120" s="22">
        <v>2</v>
      </c>
      <c r="M120" s="23"/>
      <c r="N120" s="22" t="s">
        <v>58</v>
      </c>
      <c r="O120" s="23"/>
      <c r="P120" s="23"/>
      <c r="Q120" s="24">
        <v>2</v>
      </c>
      <c r="R120" s="24">
        <v>2</v>
      </c>
      <c r="S120" s="24">
        <v>3</v>
      </c>
      <c r="T120" s="24">
        <v>3</v>
      </c>
      <c r="U120" s="24">
        <v>2</v>
      </c>
      <c r="V120" s="24">
        <v>3</v>
      </c>
      <c r="W120" s="24">
        <v>3</v>
      </c>
      <c r="X120" s="24">
        <v>3</v>
      </c>
      <c r="Y120" s="24">
        <v>2</v>
      </c>
      <c r="Z120" s="24">
        <v>3</v>
      </c>
      <c r="AA120" s="24">
        <v>3</v>
      </c>
      <c r="AB120" s="24">
        <v>3</v>
      </c>
      <c r="AC120" s="24">
        <v>3</v>
      </c>
      <c r="AD120" s="24">
        <v>3</v>
      </c>
      <c r="AE120" s="24">
        <v>3</v>
      </c>
      <c r="AF120" s="24">
        <v>4</v>
      </c>
      <c r="AG120" s="24">
        <v>4</v>
      </c>
      <c r="AH120" s="24">
        <v>3</v>
      </c>
      <c r="AI120" s="24">
        <v>2</v>
      </c>
      <c r="AJ120" s="24">
        <v>1</v>
      </c>
      <c r="AK120" s="24">
        <v>2</v>
      </c>
      <c r="AL120" s="24">
        <v>2</v>
      </c>
      <c r="AM120" s="23"/>
      <c r="AN120" s="23"/>
      <c r="AO120" s="22" t="s">
        <v>59</v>
      </c>
      <c r="AP120" s="22" t="s">
        <v>446</v>
      </c>
      <c r="AQ120" s="22" t="s">
        <v>447</v>
      </c>
      <c r="AR120" s="22" t="s">
        <v>448</v>
      </c>
    </row>
    <row r="121" spans="1:44" hidden="1">
      <c r="A121" s="22" t="s">
        <v>449</v>
      </c>
      <c r="B121" s="22" t="s">
        <v>52</v>
      </c>
      <c r="C121" s="22" t="s">
        <v>95</v>
      </c>
      <c r="D121" s="22" t="s">
        <v>54</v>
      </c>
      <c r="E121" s="22" t="s">
        <v>55</v>
      </c>
      <c r="F121" s="22" t="s">
        <v>73</v>
      </c>
      <c r="G121" s="22" t="s">
        <v>129</v>
      </c>
      <c r="H121" s="23"/>
      <c r="I121" s="23"/>
      <c r="J121" s="22">
        <v>3</v>
      </c>
      <c r="K121" s="22">
        <v>3</v>
      </c>
      <c r="L121" s="22">
        <v>3</v>
      </c>
      <c r="M121" s="23"/>
      <c r="N121" s="22" t="s">
        <v>85</v>
      </c>
      <c r="O121" s="23"/>
      <c r="P121" s="23"/>
      <c r="Q121" s="24">
        <v>2</v>
      </c>
      <c r="R121" s="24">
        <v>2</v>
      </c>
      <c r="S121" s="24">
        <v>2</v>
      </c>
      <c r="T121" s="24">
        <v>2</v>
      </c>
      <c r="U121" s="24">
        <v>2</v>
      </c>
      <c r="V121" s="24">
        <v>2</v>
      </c>
      <c r="W121" s="24">
        <v>3</v>
      </c>
      <c r="X121" s="24">
        <v>3</v>
      </c>
      <c r="Y121" s="24">
        <v>3</v>
      </c>
      <c r="Z121" s="24">
        <v>3</v>
      </c>
      <c r="AA121" s="24">
        <v>3</v>
      </c>
      <c r="AB121" s="24">
        <v>3</v>
      </c>
      <c r="AC121" s="24">
        <v>3</v>
      </c>
      <c r="AD121" s="24">
        <v>3</v>
      </c>
      <c r="AE121" s="24">
        <v>3</v>
      </c>
      <c r="AF121" s="24">
        <v>3</v>
      </c>
      <c r="AG121" s="24">
        <v>3</v>
      </c>
      <c r="AH121" s="24">
        <v>3</v>
      </c>
      <c r="AI121" s="24">
        <v>3</v>
      </c>
      <c r="AJ121" s="24">
        <v>3</v>
      </c>
      <c r="AK121" s="24">
        <v>3</v>
      </c>
      <c r="AL121" s="24">
        <v>3</v>
      </c>
      <c r="AM121" s="23"/>
      <c r="AN121" s="23"/>
      <c r="AO121" s="22" t="s">
        <v>59</v>
      </c>
      <c r="AP121" s="22" t="s">
        <v>450</v>
      </c>
      <c r="AQ121" s="22" t="s">
        <v>450</v>
      </c>
      <c r="AR121" s="22" t="s">
        <v>450</v>
      </c>
    </row>
    <row r="122" spans="1:44" hidden="1">
      <c r="A122" s="22" t="s">
        <v>451</v>
      </c>
      <c r="B122" s="22" t="s">
        <v>52</v>
      </c>
      <c r="C122" s="22" t="s">
        <v>90</v>
      </c>
      <c r="D122" s="22" t="s">
        <v>98</v>
      </c>
      <c r="E122" s="22" t="s">
        <v>55</v>
      </c>
      <c r="F122" s="22" t="s">
        <v>65</v>
      </c>
      <c r="G122" s="22" t="s">
        <v>96</v>
      </c>
      <c r="H122" s="23"/>
      <c r="I122" s="23"/>
      <c r="J122" s="22">
        <v>1</v>
      </c>
      <c r="K122" s="22">
        <v>1</v>
      </c>
      <c r="L122" s="22">
        <v>1</v>
      </c>
      <c r="M122" s="23"/>
      <c r="N122" s="22" t="s">
        <v>85</v>
      </c>
      <c r="O122" s="23"/>
      <c r="P122" s="23"/>
      <c r="Q122" s="24">
        <v>1</v>
      </c>
      <c r="R122" s="24">
        <v>1</v>
      </c>
      <c r="S122" s="24">
        <v>1</v>
      </c>
      <c r="T122" s="24">
        <v>1</v>
      </c>
      <c r="U122" s="24">
        <v>1</v>
      </c>
      <c r="V122" s="24">
        <v>1</v>
      </c>
      <c r="W122" s="24">
        <v>1</v>
      </c>
      <c r="X122" s="24">
        <v>1</v>
      </c>
      <c r="Y122" s="24">
        <v>1</v>
      </c>
      <c r="Z122" s="24">
        <v>1</v>
      </c>
      <c r="AA122" s="24">
        <v>1</v>
      </c>
      <c r="AB122" s="24">
        <v>1</v>
      </c>
      <c r="AC122" s="24">
        <v>1</v>
      </c>
      <c r="AD122" s="24">
        <v>1</v>
      </c>
      <c r="AE122" s="24">
        <v>1</v>
      </c>
      <c r="AF122" s="24">
        <v>1</v>
      </c>
      <c r="AG122" s="24">
        <v>1</v>
      </c>
      <c r="AH122" s="24">
        <v>1</v>
      </c>
      <c r="AI122" s="24">
        <v>1</v>
      </c>
      <c r="AJ122" s="24">
        <v>1</v>
      </c>
      <c r="AK122" s="24">
        <v>1</v>
      </c>
      <c r="AL122" s="24">
        <v>1</v>
      </c>
      <c r="AM122" s="23"/>
      <c r="AN122" s="23"/>
      <c r="AO122" s="22" t="s">
        <v>59</v>
      </c>
      <c r="AP122" s="22" t="s">
        <v>452</v>
      </c>
      <c r="AQ122" s="22" t="s">
        <v>453</v>
      </c>
      <c r="AR122" s="22" t="s">
        <v>452</v>
      </c>
    </row>
    <row r="123" spans="1:44" hidden="1">
      <c r="A123" s="22" t="s">
        <v>454</v>
      </c>
      <c r="B123" s="22" t="s">
        <v>52</v>
      </c>
      <c r="C123" s="22" t="s">
        <v>95</v>
      </c>
      <c r="D123" s="22" t="s">
        <v>71</v>
      </c>
      <c r="E123" s="22" t="s">
        <v>72</v>
      </c>
      <c r="F123" s="22" t="s">
        <v>73</v>
      </c>
      <c r="G123" s="22" t="s">
        <v>129</v>
      </c>
      <c r="H123" s="23"/>
      <c r="I123" s="23"/>
      <c r="J123" s="22">
        <v>1</v>
      </c>
      <c r="K123" s="22">
        <v>2</v>
      </c>
      <c r="L123" s="22">
        <v>1</v>
      </c>
      <c r="M123" s="23"/>
      <c r="N123" s="22" t="s">
        <v>85</v>
      </c>
      <c r="O123" s="23"/>
      <c r="P123" s="23"/>
      <c r="Q123" s="24">
        <v>3</v>
      </c>
      <c r="R123" s="24">
        <v>1</v>
      </c>
      <c r="S123" s="24">
        <v>1</v>
      </c>
      <c r="T123" s="24">
        <v>1</v>
      </c>
      <c r="U123" s="24">
        <v>1</v>
      </c>
      <c r="V123" s="24">
        <v>1</v>
      </c>
      <c r="W123" s="24">
        <v>2</v>
      </c>
      <c r="X123" s="24">
        <v>1</v>
      </c>
      <c r="Y123" s="24">
        <v>1</v>
      </c>
      <c r="Z123" s="24">
        <v>1</v>
      </c>
      <c r="AA123" s="24">
        <v>3</v>
      </c>
      <c r="AB123" s="24">
        <v>3</v>
      </c>
      <c r="AC123" s="24">
        <v>4</v>
      </c>
      <c r="AD123" s="24">
        <v>3</v>
      </c>
      <c r="AE123" s="24">
        <v>2</v>
      </c>
      <c r="AF123" s="24">
        <v>2</v>
      </c>
      <c r="AG123" s="24">
        <v>2</v>
      </c>
      <c r="AH123" s="24">
        <v>3</v>
      </c>
      <c r="AI123" s="24">
        <v>2</v>
      </c>
      <c r="AJ123" s="24">
        <v>2</v>
      </c>
      <c r="AK123" s="24">
        <v>3</v>
      </c>
      <c r="AL123" s="24">
        <v>2</v>
      </c>
      <c r="AM123" s="23"/>
      <c r="AN123" s="23"/>
      <c r="AO123" s="22" t="s">
        <v>74</v>
      </c>
      <c r="AP123" s="22" t="s">
        <v>455</v>
      </c>
      <c r="AQ123" s="22" t="s">
        <v>456</v>
      </c>
      <c r="AR123" s="22" t="s">
        <v>457</v>
      </c>
    </row>
    <row r="124" spans="1:44" hidden="1">
      <c r="A124" s="22" t="s">
        <v>458</v>
      </c>
      <c r="B124" s="22" t="s">
        <v>52</v>
      </c>
      <c r="C124" s="22" t="s">
        <v>90</v>
      </c>
      <c r="D124" s="22" t="s">
        <v>54</v>
      </c>
      <c r="E124" s="22" t="s">
        <v>55</v>
      </c>
      <c r="F124" s="22" t="s">
        <v>56</v>
      </c>
      <c r="G124" s="22" t="s">
        <v>96</v>
      </c>
      <c r="H124" s="23"/>
      <c r="I124" s="23"/>
      <c r="J124" s="22">
        <v>2</v>
      </c>
      <c r="K124" s="22">
        <v>2</v>
      </c>
      <c r="L124" s="22">
        <v>2</v>
      </c>
      <c r="M124" s="23"/>
      <c r="N124" s="22" t="s">
        <v>85</v>
      </c>
      <c r="O124" s="23"/>
      <c r="P124" s="23"/>
      <c r="Q124" s="24">
        <v>2</v>
      </c>
      <c r="R124" s="24">
        <v>2</v>
      </c>
      <c r="S124" s="24">
        <v>2</v>
      </c>
      <c r="T124" s="24">
        <v>2</v>
      </c>
      <c r="U124" s="24">
        <v>2</v>
      </c>
      <c r="V124" s="24">
        <v>2</v>
      </c>
      <c r="W124" s="24">
        <v>2</v>
      </c>
      <c r="X124" s="24">
        <v>2</v>
      </c>
      <c r="Y124" s="24">
        <v>2</v>
      </c>
      <c r="Z124" s="24">
        <v>2</v>
      </c>
      <c r="AA124" s="24">
        <v>2</v>
      </c>
      <c r="AB124" s="24">
        <v>3</v>
      </c>
      <c r="AC124" s="24">
        <v>3</v>
      </c>
      <c r="AD124" s="24">
        <v>3</v>
      </c>
      <c r="AE124" s="24">
        <v>3</v>
      </c>
      <c r="AF124" s="24">
        <v>3</v>
      </c>
      <c r="AG124" s="24">
        <v>3</v>
      </c>
      <c r="AH124" s="24">
        <v>3</v>
      </c>
      <c r="AI124" s="24">
        <v>3</v>
      </c>
      <c r="AJ124" s="24">
        <v>3</v>
      </c>
      <c r="AK124" s="24">
        <v>3</v>
      </c>
      <c r="AL124" s="24">
        <v>2</v>
      </c>
      <c r="AM124" s="23"/>
      <c r="AN124" s="23"/>
      <c r="AO124" s="22" t="s">
        <v>59</v>
      </c>
      <c r="AP124" s="22" t="s">
        <v>459</v>
      </c>
      <c r="AQ124" s="22" t="s">
        <v>459</v>
      </c>
      <c r="AR124" s="22" t="s">
        <v>459</v>
      </c>
    </row>
    <row r="125" spans="1:44" hidden="1">
      <c r="A125" s="22" t="s">
        <v>460</v>
      </c>
      <c r="B125" s="22" t="s">
        <v>52</v>
      </c>
      <c r="C125" s="22" t="s">
        <v>95</v>
      </c>
      <c r="D125" s="22" t="s">
        <v>54</v>
      </c>
      <c r="E125" s="22" t="s">
        <v>72</v>
      </c>
      <c r="F125" s="22" t="s">
        <v>73</v>
      </c>
      <c r="G125" s="22" t="s">
        <v>96</v>
      </c>
      <c r="H125" s="23"/>
      <c r="I125" s="23"/>
      <c r="J125" s="22">
        <v>2</v>
      </c>
      <c r="K125" s="22">
        <v>2</v>
      </c>
      <c r="L125" s="22">
        <v>2</v>
      </c>
      <c r="M125" s="23"/>
      <c r="N125" s="22" t="s">
        <v>85</v>
      </c>
      <c r="O125" s="23"/>
      <c r="P125" s="23"/>
      <c r="Q125" s="24">
        <v>2</v>
      </c>
      <c r="R125" s="24">
        <v>2</v>
      </c>
      <c r="S125" s="24">
        <v>2</v>
      </c>
      <c r="T125" s="24">
        <v>2</v>
      </c>
      <c r="U125" s="24">
        <v>2</v>
      </c>
      <c r="V125" s="24">
        <v>2</v>
      </c>
      <c r="W125" s="24">
        <v>2</v>
      </c>
      <c r="X125" s="24">
        <v>2</v>
      </c>
      <c r="Y125" s="24">
        <v>2</v>
      </c>
      <c r="Z125" s="24">
        <v>2</v>
      </c>
      <c r="AA125" s="24">
        <v>4</v>
      </c>
      <c r="AB125" s="24">
        <v>4</v>
      </c>
      <c r="AC125" s="24">
        <v>4</v>
      </c>
      <c r="AD125" s="24">
        <v>4</v>
      </c>
      <c r="AE125" s="24">
        <v>4</v>
      </c>
      <c r="AF125" s="24">
        <v>4</v>
      </c>
      <c r="AG125" s="24">
        <v>4</v>
      </c>
      <c r="AH125" s="24">
        <v>4</v>
      </c>
      <c r="AI125" s="24">
        <v>4</v>
      </c>
      <c r="AJ125" s="24">
        <v>3</v>
      </c>
      <c r="AK125" s="24">
        <v>4</v>
      </c>
      <c r="AL125" s="24">
        <v>4</v>
      </c>
      <c r="AM125" s="23"/>
      <c r="AN125" s="23"/>
      <c r="AO125" s="22" t="s">
        <v>59</v>
      </c>
      <c r="AP125" s="22" t="s">
        <v>461</v>
      </c>
      <c r="AQ125" s="22" t="s">
        <v>461</v>
      </c>
      <c r="AR125" s="22" t="s">
        <v>462</v>
      </c>
    </row>
    <row r="126" spans="1:44" hidden="1">
      <c r="A126" s="22" t="s">
        <v>463</v>
      </c>
      <c r="B126" s="22" t="s">
        <v>52</v>
      </c>
      <c r="C126" s="22" t="s">
        <v>95</v>
      </c>
      <c r="D126" s="22" t="s">
        <v>98</v>
      </c>
      <c r="E126" s="22" t="s">
        <v>55</v>
      </c>
      <c r="F126" s="22" t="s">
        <v>136</v>
      </c>
      <c r="G126" s="22" t="s">
        <v>129</v>
      </c>
      <c r="H126" s="23"/>
      <c r="I126" s="23"/>
      <c r="J126" s="22">
        <v>4</v>
      </c>
      <c r="K126" s="22">
        <v>2</v>
      </c>
      <c r="L126" s="22">
        <v>1</v>
      </c>
      <c r="M126" s="23"/>
      <c r="N126" s="22" t="s">
        <v>85</v>
      </c>
      <c r="O126" s="23"/>
      <c r="P126" s="23"/>
      <c r="Q126" s="24">
        <v>2</v>
      </c>
      <c r="R126" s="24">
        <v>1</v>
      </c>
      <c r="S126" s="24">
        <v>3</v>
      </c>
      <c r="T126" s="24">
        <v>3</v>
      </c>
      <c r="U126" s="24">
        <v>3</v>
      </c>
      <c r="V126" s="24">
        <v>3</v>
      </c>
      <c r="W126" s="24">
        <v>3</v>
      </c>
      <c r="X126" s="24">
        <v>2</v>
      </c>
      <c r="Y126" s="24">
        <v>2</v>
      </c>
      <c r="Z126" s="24">
        <v>2</v>
      </c>
      <c r="AA126" s="24">
        <v>4</v>
      </c>
      <c r="AB126" s="24">
        <v>5</v>
      </c>
      <c r="AC126" s="24">
        <v>5</v>
      </c>
      <c r="AD126" s="24">
        <v>3</v>
      </c>
      <c r="AE126" s="24">
        <v>3</v>
      </c>
      <c r="AF126" s="24">
        <v>4</v>
      </c>
      <c r="AG126" s="24">
        <v>3</v>
      </c>
      <c r="AH126" s="24">
        <v>3</v>
      </c>
      <c r="AI126" s="24">
        <v>3</v>
      </c>
      <c r="AJ126" s="24">
        <v>3</v>
      </c>
      <c r="AK126" s="24">
        <v>3</v>
      </c>
      <c r="AL126" s="24">
        <v>3</v>
      </c>
      <c r="AM126" s="23"/>
      <c r="AN126" s="23"/>
      <c r="AO126" s="22" t="s">
        <v>59</v>
      </c>
      <c r="AP126" s="22" t="s">
        <v>146</v>
      </c>
      <c r="AQ126" s="22" t="s">
        <v>464</v>
      </c>
      <c r="AR126" s="22" t="s">
        <v>146</v>
      </c>
    </row>
    <row r="127" spans="1:44" hidden="1">
      <c r="A127" s="22" t="s">
        <v>465</v>
      </c>
      <c r="B127" s="22" t="s">
        <v>52</v>
      </c>
      <c r="C127" s="22" t="s">
        <v>95</v>
      </c>
      <c r="D127" s="22" t="s">
        <v>98</v>
      </c>
      <c r="E127" s="22" t="s">
        <v>55</v>
      </c>
      <c r="F127" s="22" t="s">
        <v>65</v>
      </c>
      <c r="G127" s="22" t="s">
        <v>80</v>
      </c>
      <c r="H127" s="23"/>
      <c r="I127" s="23"/>
      <c r="J127" s="22">
        <v>5</v>
      </c>
      <c r="K127" s="22">
        <v>1</v>
      </c>
      <c r="L127" s="22">
        <v>2</v>
      </c>
      <c r="M127" s="23"/>
      <c r="N127" s="22" t="s">
        <v>66</v>
      </c>
      <c r="O127" s="23"/>
      <c r="P127" s="23"/>
      <c r="Q127" s="24">
        <v>5</v>
      </c>
      <c r="R127" s="24">
        <v>3</v>
      </c>
      <c r="S127" s="24">
        <v>4</v>
      </c>
      <c r="T127" s="24">
        <v>4</v>
      </c>
      <c r="U127" s="24">
        <v>4</v>
      </c>
      <c r="V127" s="24">
        <v>4</v>
      </c>
      <c r="W127" s="24">
        <v>5</v>
      </c>
      <c r="X127" s="24">
        <v>3</v>
      </c>
      <c r="Y127" s="24">
        <v>3</v>
      </c>
      <c r="Z127" s="24">
        <v>3</v>
      </c>
      <c r="AA127" s="24">
        <v>5</v>
      </c>
      <c r="AB127" s="24">
        <v>5</v>
      </c>
      <c r="AC127" s="24">
        <v>5</v>
      </c>
      <c r="AD127" s="24">
        <v>5</v>
      </c>
      <c r="AE127" s="24">
        <v>5</v>
      </c>
      <c r="AF127" s="24">
        <v>5</v>
      </c>
      <c r="AG127" s="24">
        <v>4</v>
      </c>
      <c r="AH127" s="24">
        <v>4</v>
      </c>
      <c r="AI127" s="24">
        <v>1</v>
      </c>
      <c r="AJ127" s="24">
        <v>1</v>
      </c>
      <c r="AK127" s="24">
        <v>3</v>
      </c>
      <c r="AL127" s="24">
        <v>1</v>
      </c>
      <c r="AM127" s="23"/>
      <c r="AN127" s="23"/>
      <c r="AO127" s="22" t="s">
        <v>59</v>
      </c>
      <c r="AP127" s="22" t="s">
        <v>466</v>
      </c>
      <c r="AQ127" s="22" t="s">
        <v>467</v>
      </c>
      <c r="AR127" s="22" t="s">
        <v>468</v>
      </c>
    </row>
    <row r="128" spans="1:44" hidden="1">
      <c r="A128" s="22" t="s">
        <v>469</v>
      </c>
      <c r="B128" s="22" t="s">
        <v>52</v>
      </c>
      <c r="C128" s="22" t="s">
        <v>95</v>
      </c>
      <c r="D128" s="22" t="s">
        <v>98</v>
      </c>
      <c r="E128" s="22" t="s">
        <v>55</v>
      </c>
      <c r="F128" s="22" t="s">
        <v>65</v>
      </c>
      <c r="G128" s="22" t="s">
        <v>80</v>
      </c>
      <c r="H128" s="23"/>
      <c r="I128" s="23"/>
      <c r="J128" s="22">
        <v>2</v>
      </c>
      <c r="K128" s="22">
        <v>2</v>
      </c>
      <c r="L128" s="22">
        <v>2</v>
      </c>
      <c r="M128" s="23"/>
      <c r="N128" s="22" t="s">
        <v>115</v>
      </c>
      <c r="O128" s="23"/>
      <c r="P128" s="23"/>
      <c r="Q128" s="24">
        <v>2</v>
      </c>
      <c r="R128" s="24">
        <v>2</v>
      </c>
      <c r="S128" s="24">
        <v>2</v>
      </c>
      <c r="T128" s="24">
        <v>2</v>
      </c>
      <c r="U128" s="24">
        <v>2</v>
      </c>
      <c r="V128" s="24">
        <v>2</v>
      </c>
      <c r="W128" s="24">
        <v>3</v>
      </c>
      <c r="X128" s="24">
        <v>3</v>
      </c>
      <c r="Y128" s="24">
        <v>3</v>
      </c>
      <c r="Z128" s="24">
        <v>3</v>
      </c>
      <c r="AA128" s="24">
        <v>3</v>
      </c>
      <c r="AB128" s="24">
        <v>3</v>
      </c>
      <c r="AC128" s="24">
        <v>3</v>
      </c>
      <c r="AD128" s="24">
        <v>3</v>
      </c>
      <c r="AE128" s="24">
        <v>3</v>
      </c>
      <c r="AF128" s="24">
        <v>3</v>
      </c>
      <c r="AG128" s="24">
        <v>3</v>
      </c>
      <c r="AH128" s="24">
        <v>3</v>
      </c>
      <c r="AI128" s="24">
        <v>3</v>
      </c>
      <c r="AJ128" s="24">
        <v>3</v>
      </c>
      <c r="AK128" s="24">
        <v>3</v>
      </c>
      <c r="AL128" s="24">
        <v>3</v>
      </c>
      <c r="AM128" s="23"/>
      <c r="AN128" s="23"/>
      <c r="AO128" s="22" t="s">
        <v>59</v>
      </c>
      <c r="AP128" s="22" t="s">
        <v>146</v>
      </c>
      <c r="AQ128" s="22" t="s">
        <v>146</v>
      </c>
      <c r="AR128" s="22" t="s">
        <v>146</v>
      </c>
    </row>
    <row r="129" spans="1:44" hidden="1">
      <c r="A129" s="22" t="s">
        <v>470</v>
      </c>
      <c r="B129" s="22" t="s">
        <v>52</v>
      </c>
      <c r="C129" s="22" t="s">
        <v>90</v>
      </c>
      <c r="D129" s="22" t="s">
        <v>54</v>
      </c>
      <c r="E129" s="22" t="s">
        <v>72</v>
      </c>
      <c r="F129" s="22" t="s">
        <v>56</v>
      </c>
      <c r="G129" s="22" t="s">
        <v>80</v>
      </c>
      <c r="H129" s="23"/>
      <c r="I129" s="23"/>
      <c r="J129" s="22">
        <v>4</v>
      </c>
      <c r="K129" s="22">
        <v>3</v>
      </c>
      <c r="L129" s="22">
        <v>2</v>
      </c>
      <c r="M129" s="23"/>
      <c r="N129" s="22" t="s">
        <v>66</v>
      </c>
      <c r="O129" s="23"/>
      <c r="P129" s="23"/>
      <c r="Q129" s="24">
        <v>4</v>
      </c>
      <c r="R129" s="24">
        <v>3</v>
      </c>
      <c r="S129" s="24">
        <v>4</v>
      </c>
      <c r="T129" s="24">
        <v>3</v>
      </c>
      <c r="U129" s="24">
        <v>4</v>
      </c>
      <c r="V129" s="24">
        <v>3</v>
      </c>
      <c r="W129" s="24">
        <v>4</v>
      </c>
      <c r="X129" s="24">
        <v>4</v>
      </c>
      <c r="Y129" s="24">
        <v>4</v>
      </c>
      <c r="Z129" s="24">
        <v>3</v>
      </c>
      <c r="AA129" s="24">
        <v>4</v>
      </c>
      <c r="AB129" s="24">
        <v>4</v>
      </c>
      <c r="AC129" s="24">
        <v>4</v>
      </c>
      <c r="AD129" s="24">
        <v>4</v>
      </c>
      <c r="AE129" s="24">
        <v>3</v>
      </c>
      <c r="AF129" s="24">
        <v>4</v>
      </c>
      <c r="AG129" s="24">
        <v>4</v>
      </c>
      <c r="AH129" s="24">
        <v>4</v>
      </c>
      <c r="AI129" s="24">
        <v>2</v>
      </c>
      <c r="AJ129" s="24">
        <v>2</v>
      </c>
      <c r="AK129" s="24">
        <v>4</v>
      </c>
      <c r="AL129" s="24">
        <v>3</v>
      </c>
      <c r="AM129" s="23"/>
      <c r="AN129" s="23"/>
      <c r="AO129" s="22" t="s">
        <v>74</v>
      </c>
      <c r="AP129" s="22" t="s">
        <v>471</v>
      </c>
      <c r="AQ129" s="22" t="s">
        <v>472</v>
      </c>
      <c r="AR129" s="22" t="s">
        <v>473</v>
      </c>
    </row>
    <row r="130" spans="1:44" hidden="1">
      <c r="A130" s="22" t="s">
        <v>474</v>
      </c>
      <c r="B130" s="22" t="s">
        <v>52</v>
      </c>
      <c r="C130" s="22" t="s">
        <v>90</v>
      </c>
      <c r="D130" s="22" t="s">
        <v>64</v>
      </c>
      <c r="E130" s="22" t="s">
        <v>55</v>
      </c>
      <c r="F130" s="22" t="s">
        <v>65</v>
      </c>
      <c r="G130" s="22" t="s">
        <v>80</v>
      </c>
      <c r="H130" s="23"/>
      <c r="I130" s="23"/>
      <c r="J130" s="22">
        <v>2</v>
      </c>
      <c r="K130" s="22">
        <v>2</v>
      </c>
      <c r="L130" s="22">
        <v>2</v>
      </c>
      <c r="M130" s="23"/>
      <c r="N130" s="22" t="s">
        <v>58</v>
      </c>
      <c r="O130" s="23"/>
      <c r="P130" s="23"/>
      <c r="Q130" s="24">
        <v>2</v>
      </c>
      <c r="R130" s="24">
        <v>2</v>
      </c>
      <c r="S130" s="24">
        <v>4</v>
      </c>
      <c r="T130" s="24">
        <v>4</v>
      </c>
      <c r="U130" s="24">
        <v>4</v>
      </c>
      <c r="V130" s="24">
        <v>4</v>
      </c>
      <c r="W130" s="24">
        <v>3</v>
      </c>
      <c r="X130" s="24">
        <v>3</v>
      </c>
      <c r="Y130" s="24">
        <v>3</v>
      </c>
      <c r="Z130" s="24">
        <v>3</v>
      </c>
      <c r="AA130" s="24">
        <v>3</v>
      </c>
      <c r="AB130" s="24">
        <v>3</v>
      </c>
      <c r="AC130" s="24">
        <v>3</v>
      </c>
      <c r="AD130" s="24">
        <v>3</v>
      </c>
      <c r="AE130" s="24">
        <v>3</v>
      </c>
      <c r="AF130" s="24">
        <v>3</v>
      </c>
      <c r="AG130" s="24">
        <v>3</v>
      </c>
      <c r="AH130" s="24">
        <v>3</v>
      </c>
      <c r="AI130" s="24">
        <v>3</v>
      </c>
      <c r="AJ130" s="24">
        <v>3</v>
      </c>
      <c r="AK130" s="24">
        <v>3</v>
      </c>
      <c r="AL130" s="24">
        <v>3</v>
      </c>
      <c r="AM130" s="23"/>
      <c r="AN130" s="23"/>
      <c r="AO130" s="22" t="s">
        <v>74</v>
      </c>
      <c r="AP130" s="22" t="s">
        <v>92</v>
      </c>
      <c r="AQ130" s="22" t="s">
        <v>475</v>
      </c>
      <c r="AR130" s="22" t="s">
        <v>476</v>
      </c>
    </row>
    <row r="131" spans="1:44" hidden="1">
      <c r="A131" s="22" t="s">
        <v>477</v>
      </c>
      <c r="B131" s="22" t="s">
        <v>52</v>
      </c>
      <c r="C131" s="22" t="s">
        <v>95</v>
      </c>
      <c r="D131" s="22" t="s">
        <v>54</v>
      </c>
      <c r="E131" s="22" t="s">
        <v>72</v>
      </c>
      <c r="F131" s="22" t="s">
        <v>56</v>
      </c>
      <c r="G131" s="22" t="s">
        <v>57</v>
      </c>
      <c r="H131" s="23"/>
      <c r="I131" s="23"/>
      <c r="J131" s="22">
        <v>4</v>
      </c>
      <c r="K131" s="22">
        <v>2</v>
      </c>
      <c r="L131" s="22">
        <v>4</v>
      </c>
      <c r="M131" s="23"/>
      <c r="N131" s="22" t="s">
        <v>115</v>
      </c>
      <c r="O131" s="23"/>
      <c r="P131" s="23"/>
      <c r="Q131" s="24">
        <v>4</v>
      </c>
      <c r="R131" s="24">
        <v>2</v>
      </c>
      <c r="S131" s="24">
        <v>4</v>
      </c>
      <c r="T131" s="24">
        <v>4</v>
      </c>
      <c r="U131" s="24">
        <v>4</v>
      </c>
      <c r="V131" s="24">
        <v>4</v>
      </c>
      <c r="W131" s="24">
        <v>3</v>
      </c>
      <c r="X131" s="24">
        <v>4</v>
      </c>
      <c r="Y131" s="24">
        <v>4</v>
      </c>
      <c r="Z131" s="24">
        <v>4</v>
      </c>
      <c r="AA131" s="24">
        <v>4</v>
      </c>
      <c r="AB131" s="24">
        <v>4</v>
      </c>
      <c r="AC131" s="24">
        <v>4</v>
      </c>
      <c r="AD131" s="24">
        <v>4</v>
      </c>
      <c r="AE131" s="24">
        <v>4</v>
      </c>
      <c r="AF131" s="24">
        <v>4</v>
      </c>
      <c r="AG131" s="24">
        <v>4</v>
      </c>
      <c r="AH131" s="24">
        <v>4</v>
      </c>
      <c r="AI131" s="24">
        <v>4</v>
      </c>
      <c r="AJ131" s="24">
        <v>3</v>
      </c>
      <c r="AK131" s="24">
        <v>4</v>
      </c>
      <c r="AL131" s="24">
        <v>4</v>
      </c>
      <c r="AM131" s="23"/>
      <c r="AN131" s="23"/>
      <c r="AO131" s="22" t="s">
        <v>74</v>
      </c>
      <c r="AP131" s="22" t="s">
        <v>478</v>
      </c>
      <c r="AQ131" s="22" t="s">
        <v>479</v>
      </c>
      <c r="AR131" s="22" t="s">
        <v>480</v>
      </c>
    </row>
    <row r="132" spans="1:44" hidden="1">
      <c r="A132" s="22" t="s">
        <v>481</v>
      </c>
      <c r="B132" s="22" t="s">
        <v>52</v>
      </c>
      <c r="C132" s="22" t="s">
        <v>53</v>
      </c>
      <c r="D132" s="22" t="s">
        <v>54</v>
      </c>
      <c r="E132" s="22" t="s">
        <v>55</v>
      </c>
      <c r="F132" s="22" t="s">
        <v>56</v>
      </c>
      <c r="G132" s="22" t="s">
        <v>80</v>
      </c>
      <c r="H132" s="23"/>
      <c r="I132" s="23"/>
      <c r="J132" s="22">
        <v>1</v>
      </c>
      <c r="K132" s="22">
        <v>1</v>
      </c>
      <c r="L132" s="22">
        <v>1</v>
      </c>
      <c r="M132" s="23"/>
      <c r="N132" s="22" t="s">
        <v>58</v>
      </c>
      <c r="O132" s="23"/>
      <c r="P132" s="23"/>
      <c r="Q132" s="24">
        <v>3</v>
      </c>
      <c r="R132" s="24">
        <v>2</v>
      </c>
      <c r="S132" s="24">
        <v>3</v>
      </c>
      <c r="T132" s="24">
        <v>3</v>
      </c>
      <c r="U132" s="24">
        <v>3</v>
      </c>
      <c r="V132" s="24">
        <v>2</v>
      </c>
      <c r="W132" s="24">
        <v>3</v>
      </c>
      <c r="X132" s="24">
        <v>3</v>
      </c>
      <c r="Y132" s="24">
        <v>3</v>
      </c>
      <c r="Z132" s="24">
        <v>3</v>
      </c>
      <c r="AA132" s="24">
        <v>3</v>
      </c>
      <c r="AB132" s="24">
        <v>3</v>
      </c>
      <c r="AC132" s="24">
        <v>4</v>
      </c>
      <c r="AD132" s="24">
        <v>4</v>
      </c>
      <c r="AE132" s="24">
        <v>3</v>
      </c>
      <c r="AF132" s="24">
        <v>4</v>
      </c>
      <c r="AG132" s="24">
        <v>4</v>
      </c>
      <c r="AH132" s="24">
        <v>4</v>
      </c>
      <c r="AI132" s="24">
        <v>3</v>
      </c>
      <c r="AJ132" s="24">
        <v>2</v>
      </c>
      <c r="AK132" s="24">
        <v>2</v>
      </c>
      <c r="AL132" s="24">
        <v>2</v>
      </c>
      <c r="AM132" s="23"/>
      <c r="AN132" s="23"/>
      <c r="AO132" s="22" t="s">
        <v>59</v>
      </c>
      <c r="AP132" s="22" t="s">
        <v>482</v>
      </c>
      <c r="AQ132" s="22" t="s">
        <v>483</v>
      </c>
      <c r="AR132" s="22" t="s">
        <v>484</v>
      </c>
    </row>
    <row r="133" spans="1:44" hidden="1">
      <c r="A133" s="22" t="s">
        <v>485</v>
      </c>
      <c r="B133" s="22" t="s">
        <v>52</v>
      </c>
      <c r="C133" s="22" t="s">
        <v>95</v>
      </c>
      <c r="D133" s="22" t="s">
        <v>54</v>
      </c>
      <c r="E133" s="22" t="s">
        <v>55</v>
      </c>
      <c r="F133" s="22" t="s">
        <v>56</v>
      </c>
      <c r="G133" s="22" t="s">
        <v>96</v>
      </c>
      <c r="H133" s="23"/>
      <c r="I133" s="23"/>
      <c r="J133" s="22">
        <v>1</v>
      </c>
      <c r="K133" s="22">
        <v>1</v>
      </c>
      <c r="L133" s="22">
        <v>1</v>
      </c>
      <c r="M133" s="23"/>
      <c r="N133" s="22" t="s">
        <v>85</v>
      </c>
      <c r="O133" s="23"/>
      <c r="P133" s="23"/>
      <c r="Q133" s="24">
        <v>3</v>
      </c>
      <c r="R133" s="24">
        <v>3</v>
      </c>
      <c r="S133" s="24">
        <v>2</v>
      </c>
      <c r="T133" s="24">
        <v>2</v>
      </c>
      <c r="U133" s="24">
        <v>1</v>
      </c>
      <c r="V133" s="24">
        <v>1</v>
      </c>
      <c r="W133" s="24">
        <v>3</v>
      </c>
      <c r="X133" s="24">
        <v>3</v>
      </c>
      <c r="Y133" s="24">
        <v>3</v>
      </c>
      <c r="Z133" s="24">
        <v>1</v>
      </c>
      <c r="AA133" s="24">
        <v>1</v>
      </c>
      <c r="AB133" s="24">
        <v>4</v>
      </c>
      <c r="AC133" s="24">
        <v>1</v>
      </c>
      <c r="AD133" s="24">
        <v>3</v>
      </c>
      <c r="AE133" s="24">
        <v>1</v>
      </c>
      <c r="AF133" s="24">
        <v>1</v>
      </c>
      <c r="AG133" s="24">
        <v>1</v>
      </c>
      <c r="AH133" s="24">
        <v>1</v>
      </c>
      <c r="AI133" s="24">
        <v>1</v>
      </c>
      <c r="AJ133" s="24">
        <v>1</v>
      </c>
      <c r="AK133" s="24">
        <v>1</v>
      </c>
      <c r="AL133" s="24">
        <v>1</v>
      </c>
      <c r="AM133" s="23"/>
      <c r="AN133" s="23"/>
      <c r="AO133" s="22" t="s">
        <v>59</v>
      </c>
      <c r="AP133" s="22" t="s">
        <v>92</v>
      </c>
      <c r="AQ133" s="22" t="s">
        <v>486</v>
      </c>
      <c r="AR133" s="22" t="s">
        <v>166</v>
      </c>
    </row>
    <row r="134" spans="1:44" hidden="1">
      <c r="A134" s="22" t="s">
        <v>487</v>
      </c>
      <c r="B134" s="22" t="s">
        <v>52</v>
      </c>
      <c r="C134" s="22" t="s">
        <v>95</v>
      </c>
      <c r="D134" s="22" t="s">
        <v>64</v>
      </c>
      <c r="E134" s="22" t="s">
        <v>72</v>
      </c>
      <c r="F134" s="22" t="s">
        <v>56</v>
      </c>
      <c r="G134" s="22" t="s">
        <v>80</v>
      </c>
      <c r="H134" s="23"/>
      <c r="I134" s="23"/>
      <c r="J134" s="22">
        <v>2</v>
      </c>
      <c r="K134" s="22">
        <v>1</v>
      </c>
      <c r="L134" s="22">
        <v>1</v>
      </c>
      <c r="M134" s="23"/>
      <c r="N134" s="22" t="s">
        <v>85</v>
      </c>
      <c r="O134" s="23"/>
      <c r="P134" s="23"/>
      <c r="Q134" s="24">
        <v>2</v>
      </c>
      <c r="R134" s="24">
        <v>2</v>
      </c>
      <c r="S134" s="24">
        <v>2</v>
      </c>
      <c r="T134" s="24">
        <v>1</v>
      </c>
      <c r="U134" s="24">
        <v>1</v>
      </c>
      <c r="V134" s="24">
        <v>1</v>
      </c>
      <c r="W134" s="24">
        <v>2</v>
      </c>
      <c r="X134" s="24">
        <v>1</v>
      </c>
      <c r="Y134" s="24">
        <v>1</v>
      </c>
      <c r="Z134" s="24">
        <v>4</v>
      </c>
      <c r="AA134" s="24">
        <v>3</v>
      </c>
      <c r="AB134" s="24">
        <v>5</v>
      </c>
      <c r="AC134" s="24">
        <v>5</v>
      </c>
      <c r="AD134" s="24">
        <v>5</v>
      </c>
      <c r="AE134" s="24">
        <v>5</v>
      </c>
      <c r="AF134" s="24">
        <v>5</v>
      </c>
      <c r="AG134" s="24">
        <v>5</v>
      </c>
      <c r="AH134" s="24">
        <v>5</v>
      </c>
      <c r="AI134" s="24">
        <v>2</v>
      </c>
      <c r="AJ134" s="24">
        <v>2</v>
      </c>
      <c r="AK134" s="24">
        <v>3</v>
      </c>
      <c r="AL134" s="24">
        <v>3</v>
      </c>
      <c r="AM134" s="23"/>
      <c r="AN134" s="23"/>
      <c r="AO134" s="22" t="s">
        <v>59</v>
      </c>
      <c r="AP134" s="22" t="s">
        <v>488</v>
      </c>
      <c r="AQ134" s="22" t="s">
        <v>488</v>
      </c>
      <c r="AR134" s="22" t="s">
        <v>92</v>
      </c>
    </row>
    <row r="135" spans="1:44" hidden="1">
      <c r="A135" s="22" t="s">
        <v>489</v>
      </c>
      <c r="B135" s="22" t="s">
        <v>52</v>
      </c>
      <c r="C135" s="22" t="s">
        <v>90</v>
      </c>
      <c r="D135" s="22" t="s">
        <v>71</v>
      </c>
      <c r="E135" s="22" t="s">
        <v>72</v>
      </c>
      <c r="F135" s="22" t="s">
        <v>73</v>
      </c>
      <c r="G135" s="22" t="s">
        <v>57</v>
      </c>
      <c r="H135" s="23"/>
      <c r="I135" s="23"/>
      <c r="J135" s="22">
        <v>3</v>
      </c>
      <c r="K135" s="22">
        <v>3</v>
      </c>
      <c r="L135" s="22">
        <v>3</v>
      </c>
      <c r="M135" s="23"/>
      <c r="N135" s="22" t="s">
        <v>58</v>
      </c>
      <c r="O135" s="23"/>
      <c r="P135" s="23"/>
      <c r="Q135" s="24">
        <v>3</v>
      </c>
      <c r="R135" s="24">
        <v>3</v>
      </c>
      <c r="S135" s="24">
        <v>3</v>
      </c>
      <c r="T135" s="24">
        <v>3</v>
      </c>
      <c r="U135" s="24">
        <v>3</v>
      </c>
      <c r="V135" s="24">
        <v>3</v>
      </c>
      <c r="W135" s="24">
        <v>4</v>
      </c>
      <c r="X135" s="24">
        <v>4</v>
      </c>
      <c r="Y135" s="24">
        <v>3</v>
      </c>
      <c r="Z135" s="24">
        <v>3</v>
      </c>
      <c r="AA135" s="24">
        <v>4</v>
      </c>
      <c r="AB135" s="24">
        <v>4</v>
      </c>
      <c r="AC135" s="24">
        <v>4</v>
      </c>
      <c r="AD135" s="24">
        <v>4</v>
      </c>
      <c r="AE135" s="24">
        <v>4</v>
      </c>
      <c r="AF135" s="24">
        <v>4</v>
      </c>
      <c r="AG135" s="24">
        <v>4</v>
      </c>
      <c r="AH135" s="24">
        <v>4</v>
      </c>
      <c r="AI135" s="24">
        <v>4</v>
      </c>
      <c r="AJ135" s="24">
        <v>4</v>
      </c>
      <c r="AK135" s="24">
        <v>4</v>
      </c>
      <c r="AL135" s="24">
        <v>4</v>
      </c>
      <c r="AM135" s="23"/>
      <c r="AN135" s="23"/>
      <c r="AO135" s="22" t="s">
        <v>74</v>
      </c>
      <c r="AP135" s="22" t="s">
        <v>490</v>
      </c>
      <c r="AQ135" s="22" t="s">
        <v>491</v>
      </c>
      <c r="AR135" s="22" t="s">
        <v>492</v>
      </c>
    </row>
    <row r="136" spans="1:44" hidden="1">
      <c r="A136" s="22" t="s">
        <v>493</v>
      </c>
      <c r="B136" s="22" t="s">
        <v>52</v>
      </c>
      <c r="C136" s="22" t="s">
        <v>53</v>
      </c>
      <c r="D136" s="22" t="s">
        <v>71</v>
      </c>
      <c r="E136" s="22" t="s">
        <v>72</v>
      </c>
      <c r="F136" s="22" t="s">
        <v>56</v>
      </c>
      <c r="G136" s="22" t="s">
        <v>57</v>
      </c>
      <c r="H136" s="23"/>
      <c r="I136" s="23"/>
      <c r="J136" s="22">
        <v>2</v>
      </c>
      <c r="K136" s="22">
        <v>4</v>
      </c>
      <c r="L136" s="22">
        <v>4</v>
      </c>
      <c r="M136" s="23"/>
      <c r="N136" s="22" t="s">
        <v>115</v>
      </c>
      <c r="O136" s="23"/>
      <c r="P136" s="23"/>
      <c r="Q136" s="24">
        <v>5</v>
      </c>
      <c r="R136" s="24">
        <v>5</v>
      </c>
      <c r="S136" s="24">
        <v>3</v>
      </c>
      <c r="T136" s="24">
        <v>4</v>
      </c>
      <c r="U136" s="24">
        <v>4</v>
      </c>
      <c r="V136" s="24">
        <v>3</v>
      </c>
      <c r="W136" s="24">
        <v>4</v>
      </c>
      <c r="X136" s="24">
        <v>4</v>
      </c>
      <c r="Y136" s="24">
        <v>4</v>
      </c>
      <c r="Z136" s="24">
        <v>3</v>
      </c>
      <c r="AA136" s="24">
        <v>5</v>
      </c>
      <c r="AB136" s="24">
        <v>4</v>
      </c>
      <c r="AC136" s="24">
        <v>4</v>
      </c>
      <c r="AD136" s="24">
        <v>5</v>
      </c>
      <c r="AE136" s="24">
        <v>3</v>
      </c>
      <c r="AF136" s="24">
        <v>5</v>
      </c>
      <c r="AG136" s="24">
        <v>3</v>
      </c>
      <c r="AH136" s="24">
        <v>4</v>
      </c>
      <c r="AI136" s="24">
        <v>3</v>
      </c>
      <c r="AJ136" s="24">
        <v>3</v>
      </c>
      <c r="AK136" s="24">
        <v>4</v>
      </c>
      <c r="AL136" s="24">
        <v>3</v>
      </c>
      <c r="AM136" s="23"/>
      <c r="AN136" s="23"/>
      <c r="AO136" s="22" t="s">
        <v>74</v>
      </c>
      <c r="AP136" s="22" t="s">
        <v>494</v>
      </c>
      <c r="AQ136" s="22" t="s">
        <v>495</v>
      </c>
      <c r="AR136" s="22" t="s">
        <v>496</v>
      </c>
    </row>
    <row r="137" spans="1:44" hidden="1">
      <c r="A137" s="22" t="s">
        <v>497</v>
      </c>
      <c r="B137" s="22" t="s">
        <v>52</v>
      </c>
      <c r="C137" s="22" t="s">
        <v>90</v>
      </c>
      <c r="D137" s="22" t="s">
        <v>71</v>
      </c>
      <c r="E137" s="22" t="s">
        <v>55</v>
      </c>
      <c r="F137" s="22" t="s">
        <v>73</v>
      </c>
      <c r="G137" s="22" t="s">
        <v>96</v>
      </c>
      <c r="H137" s="23"/>
      <c r="I137" s="23"/>
      <c r="J137" s="22">
        <v>1</v>
      </c>
      <c r="K137" s="22">
        <v>1</v>
      </c>
      <c r="L137" s="22">
        <v>1</v>
      </c>
      <c r="M137" s="23"/>
      <c r="N137" s="22" t="s">
        <v>85</v>
      </c>
      <c r="O137" s="23"/>
      <c r="P137" s="23"/>
      <c r="Q137" s="24">
        <v>3</v>
      </c>
      <c r="R137" s="24">
        <v>2</v>
      </c>
      <c r="S137" s="24">
        <v>2</v>
      </c>
      <c r="T137" s="24">
        <v>2</v>
      </c>
      <c r="U137" s="24">
        <v>2</v>
      </c>
      <c r="V137" s="24">
        <v>2</v>
      </c>
      <c r="W137" s="24">
        <v>3</v>
      </c>
      <c r="X137" s="24">
        <v>3</v>
      </c>
      <c r="Y137" s="24">
        <v>2</v>
      </c>
      <c r="Z137" s="24">
        <v>2</v>
      </c>
      <c r="AA137" s="24">
        <v>3</v>
      </c>
      <c r="AB137" s="24">
        <v>4</v>
      </c>
      <c r="AC137" s="24">
        <v>4</v>
      </c>
      <c r="AD137" s="24">
        <v>4</v>
      </c>
      <c r="AE137" s="24">
        <v>3</v>
      </c>
      <c r="AF137" s="24">
        <v>5</v>
      </c>
      <c r="AG137" s="24">
        <v>3</v>
      </c>
      <c r="AH137" s="24">
        <v>3</v>
      </c>
      <c r="AI137" s="24">
        <v>2</v>
      </c>
      <c r="AJ137" s="24">
        <v>2</v>
      </c>
      <c r="AK137" s="24">
        <v>3</v>
      </c>
      <c r="AL137" s="24">
        <v>2</v>
      </c>
      <c r="AM137" s="23"/>
      <c r="AN137" s="23"/>
      <c r="AO137" s="22" t="s">
        <v>59</v>
      </c>
      <c r="AP137" s="22" t="s">
        <v>498</v>
      </c>
      <c r="AQ137" s="22" t="s">
        <v>498</v>
      </c>
      <c r="AR137" s="22" t="s">
        <v>498</v>
      </c>
    </row>
    <row r="138" spans="1:44" hidden="1">
      <c r="A138" s="22" t="s">
        <v>499</v>
      </c>
      <c r="B138" s="22" t="s">
        <v>52</v>
      </c>
      <c r="C138" s="22" t="s">
        <v>53</v>
      </c>
      <c r="D138" s="22" t="s">
        <v>54</v>
      </c>
      <c r="E138" s="22" t="s">
        <v>55</v>
      </c>
      <c r="F138" s="22" t="s">
        <v>56</v>
      </c>
      <c r="G138" s="22" t="s">
        <v>129</v>
      </c>
      <c r="H138" s="23"/>
      <c r="I138" s="23"/>
      <c r="J138" s="22">
        <v>4</v>
      </c>
      <c r="K138" s="22">
        <v>2</v>
      </c>
      <c r="L138" s="22">
        <v>2</v>
      </c>
      <c r="M138" s="23"/>
      <c r="N138" s="22" t="s">
        <v>58</v>
      </c>
      <c r="O138" s="23"/>
      <c r="P138" s="23"/>
      <c r="Q138" s="24">
        <v>5</v>
      </c>
      <c r="R138" s="24">
        <v>5</v>
      </c>
      <c r="S138" s="24">
        <v>3</v>
      </c>
      <c r="T138" s="24">
        <v>3</v>
      </c>
      <c r="U138" s="24">
        <v>4</v>
      </c>
      <c r="V138" s="24">
        <v>3</v>
      </c>
      <c r="W138" s="24">
        <v>4</v>
      </c>
      <c r="X138" s="24">
        <v>5</v>
      </c>
      <c r="Y138" s="24">
        <v>5</v>
      </c>
      <c r="Z138" s="24">
        <v>5</v>
      </c>
      <c r="AA138" s="24">
        <v>5</v>
      </c>
      <c r="AB138" s="24">
        <v>5</v>
      </c>
      <c r="AC138" s="24">
        <v>5</v>
      </c>
      <c r="AD138" s="24">
        <v>5</v>
      </c>
      <c r="AE138" s="24">
        <v>5</v>
      </c>
      <c r="AF138" s="24">
        <v>4</v>
      </c>
      <c r="AG138" s="24">
        <v>4</v>
      </c>
      <c r="AH138" s="24">
        <v>4</v>
      </c>
      <c r="AI138" s="24">
        <v>2</v>
      </c>
      <c r="AJ138" s="24">
        <v>2</v>
      </c>
      <c r="AK138" s="24">
        <v>2</v>
      </c>
      <c r="AL138" s="24">
        <v>2</v>
      </c>
      <c r="AM138" s="23"/>
      <c r="AN138" s="23"/>
      <c r="AO138" s="22" t="s">
        <v>74</v>
      </c>
      <c r="AP138" s="22" t="s">
        <v>500</v>
      </c>
      <c r="AQ138" s="22" t="s">
        <v>501</v>
      </c>
      <c r="AR138" s="22" t="s">
        <v>502</v>
      </c>
    </row>
    <row r="139" spans="1:44" hidden="1">
      <c r="A139" s="22" t="s">
        <v>503</v>
      </c>
      <c r="B139" s="22" t="s">
        <v>52</v>
      </c>
      <c r="C139" s="22" t="s">
        <v>79</v>
      </c>
      <c r="D139" s="22" t="s">
        <v>98</v>
      </c>
      <c r="E139" s="22" t="s">
        <v>55</v>
      </c>
      <c r="F139" s="22" t="s">
        <v>136</v>
      </c>
      <c r="G139" s="22" t="s">
        <v>80</v>
      </c>
      <c r="H139" s="23"/>
      <c r="I139" s="23"/>
      <c r="J139" s="22">
        <v>2</v>
      </c>
      <c r="K139" s="22">
        <v>1</v>
      </c>
      <c r="L139" s="22">
        <v>1</v>
      </c>
      <c r="M139" s="23"/>
      <c r="N139" s="22" t="s">
        <v>58</v>
      </c>
      <c r="O139" s="23"/>
      <c r="P139" s="23"/>
      <c r="Q139" s="24">
        <v>3</v>
      </c>
      <c r="R139" s="24">
        <v>2</v>
      </c>
      <c r="S139" s="24">
        <v>2</v>
      </c>
      <c r="T139" s="24">
        <v>2</v>
      </c>
      <c r="U139" s="24">
        <v>4</v>
      </c>
      <c r="V139" s="24">
        <v>3</v>
      </c>
      <c r="W139" s="24">
        <v>4</v>
      </c>
      <c r="X139" s="24">
        <v>4</v>
      </c>
      <c r="Y139" s="24">
        <v>4</v>
      </c>
      <c r="Z139" s="24">
        <v>4</v>
      </c>
      <c r="AA139" s="24">
        <v>2</v>
      </c>
      <c r="AB139" s="24">
        <v>4</v>
      </c>
      <c r="AC139" s="24">
        <v>4</v>
      </c>
      <c r="AD139" s="24">
        <v>3</v>
      </c>
      <c r="AE139" s="24">
        <v>3</v>
      </c>
      <c r="AF139" s="24">
        <v>3</v>
      </c>
      <c r="AG139" s="24">
        <v>4</v>
      </c>
      <c r="AH139" s="24">
        <v>4</v>
      </c>
      <c r="AI139" s="24">
        <v>3</v>
      </c>
      <c r="AJ139" s="24">
        <v>3</v>
      </c>
      <c r="AK139" s="24">
        <v>3</v>
      </c>
      <c r="AL139" s="24">
        <v>3</v>
      </c>
      <c r="AM139" s="23"/>
      <c r="AN139" s="23"/>
      <c r="AO139" s="22" t="s">
        <v>59</v>
      </c>
      <c r="AP139" s="22" t="s">
        <v>504</v>
      </c>
      <c r="AQ139" s="22" t="s">
        <v>505</v>
      </c>
      <c r="AR139" s="22" t="s">
        <v>452</v>
      </c>
    </row>
    <row r="140" spans="1:44" hidden="1">
      <c r="A140" s="22" t="s">
        <v>506</v>
      </c>
      <c r="B140" s="22" t="s">
        <v>52</v>
      </c>
      <c r="C140" s="22" t="s">
        <v>90</v>
      </c>
      <c r="D140" s="22" t="s">
        <v>54</v>
      </c>
      <c r="E140" s="22" t="s">
        <v>55</v>
      </c>
      <c r="F140" s="22" t="s">
        <v>56</v>
      </c>
      <c r="G140" s="22" t="s">
        <v>96</v>
      </c>
      <c r="H140" s="23"/>
      <c r="I140" s="23"/>
      <c r="J140" s="22">
        <v>1</v>
      </c>
      <c r="K140" s="22">
        <v>1</v>
      </c>
      <c r="L140" s="22">
        <v>1</v>
      </c>
      <c r="M140" s="23"/>
      <c r="N140" s="22" t="s">
        <v>58</v>
      </c>
      <c r="O140" s="23"/>
      <c r="P140" s="23"/>
      <c r="Q140" s="24">
        <v>3</v>
      </c>
      <c r="R140" s="24">
        <v>2</v>
      </c>
      <c r="S140" s="24">
        <v>2</v>
      </c>
      <c r="T140" s="24">
        <v>1</v>
      </c>
      <c r="U140" s="24">
        <v>1</v>
      </c>
      <c r="V140" s="24">
        <v>1</v>
      </c>
      <c r="W140" s="24">
        <v>4</v>
      </c>
      <c r="X140" s="24">
        <v>3</v>
      </c>
      <c r="Y140" s="24">
        <v>3</v>
      </c>
      <c r="Z140" s="24">
        <v>2</v>
      </c>
      <c r="AA140" s="24">
        <v>3</v>
      </c>
      <c r="AB140" s="24">
        <v>4</v>
      </c>
      <c r="AC140" s="24">
        <v>4</v>
      </c>
      <c r="AD140" s="24">
        <v>4</v>
      </c>
      <c r="AE140" s="24">
        <v>4</v>
      </c>
      <c r="AF140" s="24">
        <v>4</v>
      </c>
      <c r="AG140" s="24">
        <v>4</v>
      </c>
      <c r="AH140" s="24">
        <v>4</v>
      </c>
      <c r="AI140" s="24">
        <v>4</v>
      </c>
      <c r="AJ140" s="24">
        <v>1</v>
      </c>
      <c r="AK140" s="24">
        <v>2</v>
      </c>
      <c r="AL140" s="24">
        <v>1</v>
      </c>
      <c r="AM140" s="23"/>
      <c r="AN140" s="23"/>
      <c r="AO140" s="22" t="s">
        <v>59</v>
      </c>
      <c r="AP140" s="22" t="s">
        <v>81</v>
      </c>
      <c r="AQ140" s="22" t="s">
        <v>507</v>
      </c>
      <c r="AR140" s="22" t="s">
        <v>508</v>
      </c>
    </row>
    <row r="141" spans="1:44" hidden="1">
      <c r="A141" s="22" t="s">
        <v>509</v>
      </c>
      <c r="B141" s="22" t="s">
        <v>52</v>
      </c>
      <c r="C141" s="22" t="s">
        <v>53</v>
      </c>
      <c r="D141" s="22" t="s">
        <v>98</v>
      </c>
      <c r="E141" s="22" t="s">
        <v>55</v>
      </c>
      <c r="F141" s="22" t="s">
        <v>136</v>
      </c>
      <c r="G141" s="22" t="s">
        <v>57</v>
      </c>
      <c r="H141" s="23"/>
      <c r="I141" s="23"/>
      <c r="J141" s="22">
        <v>5</v>
      </c>
      <c r="K141" s="22">
        <v>5</v>
      </c>
      <c r="L141" s="22">
        <v>1</v>
      </c>
      <c r="M141" s="23"/>
      <c r="N141" s="22" t="s">
        <v>66</v>
      </c>
      <c r="O141" s="23"/>
      <c r="P141" s="23"/>
      <c r="Q141" s="24">
        <v>5</v>
      </c>
      <c r="R141" s="24">
        <v>2</v>
      </c>
      <c r="S141" s="24">
        <v>5</v>
      </c>
      <c r="T141" s="24">
        <v>5</v>
      </c>
      <c r="U141" s="24">
        <v>5</v>
      </c>
      <c r="V141" s="24">
        <v>5</v>
      </c>
      <c r="W141" s="24">
        <v>5</v>
      </c>
      <c r="X141" s="24">
        <v>4</v>
      </c>
      <c r="Y141" s="24">
        <v>4</v>
      </c>
      <c r="Z141" s="24">
        <v>4</v>
      </c>
      <c r="AA141" s="24">
        <v>5</v>
      </c>
      <c r="AB141" s="24">
        <v>5</v>
      </c>
      <c r="AC141" s="24">
        <v>5</v>
      </c>
      <c r="AD141" s="24">
        <v>5</v>
      </c>
      <c r="AE141" s="24">
        <v>5</v>
      </c>
      <c r="AF141" s="24">
        <v>5</v>
      </c>
      <c r="AG141" s="24">
        <v>5</v>
      </c>
      <c r="AH141" s="24">
        <v>5</v>
      </c>
      <c r="AI141" s="24">
        <v>1</v>
      </c>
      <c r="AJ141" s="24">
        <v>1</v>
      </c>
      <c r="AK141" s="24">
        <v>5</v>
      </c>
      <c r="AL141" s="24">
        <v>2</v>
      </c>
      <c r="AM141" s="23"/>
      <c r="AN141" s="23"/>
      <c r="AO141" s="22" t="s">
        <v>59</v>
      </c>
      <c r="AP141" s="22" t="s">
        <v>92</v>
      </c>
      <c r="AQ141" s="22" t="s">
        <v>92</v>
      </c>
      <c r="AR141" s="22" t="s">
        <v>510</v>
      </c>
    </row>
    <row r="142" spans="1:44" hidden="1">
      <c r="A142" s="22" t="s">
        <v>511</v>
      </c>
      <c r="B142" s="22" t="s">
        <v>52</v>
      </c>
      <c r="C142" s="22" t="s">
        <v>90</v>
      </c>
      <c r="D142" s="22" t="s">
        <v>64</v>
      </c>
      <c r="E142" s="22" t="s">
        <v>55</v>
      </c>
      <c r="F142" s="22" t="s">
        <v>65</v>
      </c>
      <c r="G142" s="22" t="s">
        <v>80</v>
      </c>
      <c r="H142" s="23"/>
      <c r="I142" s="23"/>
      <c r="J142" s="22">
        <v>4</v>
      </c>
      <c r="K142" s="22">
        <v>4</v>
      </c>
      <c r="L142" s="22">
        <v>1</v>
      </c>
      <c r="M142" s="23"/>
      <c r="N142" s="22" t="s">
        <v>58</v>
      </c>
      <c r="O142" s="23"/>
      <c r="P142" s="23"/>
      <c r="Q142" s="24">
        <v>3</v>
      </c>
      <c r="R142" s="24">
        <v>2</v>
      </c>
      <c r="S142" s="24">
        <v>3</v>
      </c>
      <c r="T142" s="24">
        <v>2</v>
      </c>
      <c r="U142" s="24">
        <v>3</v>
      </c>
      <c r="V142" s="24">
        <v>4</v>
      </c>
      <c r="W142" s="24">
        <v>5</v>
      </c>
      <c r="X142" s="24">
        <v>4</v>
      </c>
      <c r="Y142" s="24">
        <v>4</v>
      </c>
      <c r="Z142" s="24">
        <v>4</v>
      </c>
      <c r="AA142" s="24">
        <v>4</v>
      </c>
      <c r="AB142" s="24">
        <v>4</v>
      </c>
      <c r="AC142" s="24">
        <v>4</v>
      </c>
      <c r="AD142" s="24">
        <v>5</v>
      </c>
      <c r="AE142" s="24">
        <v>4</v>
      </c>
      <c r="AF142" s="24">
        <v>5</v>
      </c>
      <c r="AG142" s="24">
        <v>4</v>
      </c>
      <c r="AH142" s="24">
        <v>4</v>
      </c>
      <c r="AI142" s="24">
        <v>3</v>
      </c>
      <c r="AJ142" s="24">
        <v>4</v>
      </c>
      <c r="AK142" s="24">
        <v>5</v>
      </c>
      <c r="AL142" s="24">
        <v>3</v>
      </c>
      <c r="AM142" s="23"/>
      <c r="AN142" s="23"/>
      <c r="AO142" s="22" t="s">
        <v>74</v>
      </c>
      <c r="AP142" s="22" t="s">
        <v>512</v>
      </c>
      <c r="AQ142" s="22" t="s">
        <v>513</v>
      </c>
      <c r="AR142" s="22" t="s">
        <v>514</v>
      </c>
    </row>
    <row r="143" spans="1:44" hidden="1">
      <c r="A143" s="22" t="s">
        <v>515</v>
      </c>
      <c r="B143" s="22" t="s">
        <v>52</v>
      </c>
      <c r="C143" s="22" t="s">
        <v>53</v>
      </c>
      <c r="D143" s="22" t="s">
        <v>64</v>
      </c>
      <c r="E143" s="22" t="s">
        <v>55</v>
      </c>
      <c r="F143" s="22" t="s">
        <v>56</v>
      </c>
      <c r="G143" s="22" t="s">
        <v>80</v>
      </c>
      <c r="H143" s="23"/>
      <c r="I143" s="23"/>
      <c r="J143" s="22">
        <v>1</v>
      </c>
      <c r="K143" s="22">
        <v>1</v>
      </c>
      <c r="L143" s="22">
        <v>1</v>
      </c>
      <c r="M143" s="23"/>
      <c r="N143" s="22" t="s">
        <v>85</v>
      </c>
      <c r="O143" s="23"/>
      <c r="P143" s="23"/>
      <c r="Q143" s="24">
        <v>1</v>
      </c>
      <c r="R143" s="24">
        <v>1</v>
      </c>
      <c r="S143" s="24">
        <v>1</v>
      </c>
      <c r="T143" s="24">
        <v>1</v>
      </c>
      <c r="U143" s="24">
        <v>1</v>
      </c>
      <c r="V143" s="24">
        <v>1</v>
      </c>
      <c r="W143" s="24">
        <v>1</v>
      </c>
      <c r="X143" s="24">
        <v>1</v>
      </c>
      <c r="Y143" s="24">
        <v>1</v>
      </c>
      <c r="Z143" s="24">
        <v>1</v>
      </c>
      <c r="AA143" s="24">
        <v>1</v>
      </c>
      <c r="AB143" s="24">
        <v>1</v>
      </c>
      <c r="AC143" s="24">
        <v>1</v>
      </c>
      <c r="AD143" s="24">
        <v>1</v>
      </c>
      <c r="AE143" s="24">
        <v>1</v>
      </c>
      <c r="AF143" s="24">
        <v>1</v>
      </c>
      <c r="AG143" s="24">
        <v>1</v>
      </c>
      <c r="AH143" s="24">
        <v>1</v>
      </c>
      <c r="AI143" s="24">
        <v>1</v>
      </c>
      <c r="AJ143" s="24">
        <v>1</v>
      </c>
      <c r="AK143" s="24">
        <v>1</v>
      </c>
      <c r="AL143" s="24">
        <v>1</v>
      </c>
      <c r="AM143" s="23"/>
      <c r="AN143" s="23"/>
      <c r="AO143" s="22" t="s">
        <v>59</v>
      </c>
      <c r="AP143" s="22" t="s">
        <v>516</v>
      </c>
      <c r="AQ143" s="22" t="s">
        <v>517</v>
      </c>
      <c r="AR143" s="22" t="s">
        <v>92</v>
      </c>
    </row>
    <row r="144" spans="1:44" hidden="1">
      <c r="A144" s="22" t="s">
        <v>518</v>
      </c>
      <c r="B144" s="22" t="s">
        <v>52</v>
      </c>
      <c r="C144" s="22" t="s">
        <v>90</v>
      </c>
      <c r="D144" s="22" t="s">
        <v>54</v>
      </c>
      <c r="E144" s="22" t="s">
        <v>55</v>
      </c>
      <c r="F144" s="22" t="s">
        <v>56</v>
      </c>
      <c r="G144" s="22" t="s">
        <v>96</v>
      </c>
      <c r="H144" s="23"/>
      <c r="I144" s="23"/>
      <c r="J144" s="22">
        <v>2</v>
      </c>
      <c r="K144" s="22">
        <v>2</v>
      </c>
      <c r="L144" s="22">
        <v>2</v>
      </c>
      <c r="M144" s="23"/>
      <c r="N144" s="22" t="s">
        <v>85</v>
      </c>
      <c r="O144" s="23"/>
      <c r="P144" s="23"/>
      <c r="Q144" s="24">
        <v>2</v>
      </c>
      <c r="R144" s="24">
        <v>2</v>
      </c>
      <c r="S144" s="24">
        <v>2</v>
      </c>
      <c r="T144" s="24">
        <v>2</v>
      </c>
      <c r="U144" s="24">
        <v>2</v>
      </c>
      <c r="V144" s="24">
        <v>2</v>
      </c>
      <c r="W144" s="24">
        <v>3</v>
      </c>
      <c r="X144" s="24">
        <v>2</v>
      </c>
      <c r="Y144" s="24">
        <v>2</v>
      </c>
      <c r="Z144" s="24">
        <v>2</v>
      </c>
      <c r="AA144" s="24">
        <v>3</v>
      </c>
      <c r="AB144" s="24">
        <v>3</v>
      </c>
      <c r="AC144" s="24">
        <v>3</v>
      </c>
      <c r="AD144" s="24">
        <v>3</v>
      </c>
      <c r="AE144" s="24">
        <v>3</v>
      </c>
      <c r="AF144" s="24">
        <v>3</v>
      </c>
      <c r="AG144" s="24">
        <v>3</v>
      </c>
      <c r="AH144" s="24">
        <v>3</v>
      </c>
      <c r="AI144" s="24">
        <v>3</v>
      </c>
      <c r="AJ144" s="24">
        <v>3</v>
      </c>
      <c r="AK144" s="24">
        <v>4</v>
      </c>
      <c r="AL144" s="24">
        <v>2</v>
      </c>
      <c r="AM144" s="23"/>
      <c r="AN144" s="23"/>
      <c r="AO144" s="22" t="s">
        <v>59</v>
      </c>
      <c r="AP144" s="22" t="s">
        <v>519</v>
      </c>
      <c r="AQ144" s="22" t="s">
        <v>520</v>
      </c>
      <c r="AR144" s="22" t="s">
        <v>521</v>
      </c>
    </row>
    <row r="145" spans="1:44" hidden="1">
      <c r="A145" s="22" t="s">
        <v>522</v>
      </c>
      <c r="B145" s="22" t="s">
        <v>52</v>
      </c>
      <c r="C145" s="22" t="s">
        <v>53</v>
      </c>
      <c r="D145" s="22" t="s">
        <v>54</v>
      </c>
      <c r="E145" s="22" t="s">
        <v>55</v>
      </c>
      <c r="F145" s="22" t="s">
        <v>56</v>
      </c>
      <c r="G145" s="22" t="s">
        <v>96</v>
      </c>
      <c r="H145" s="23"/>
      <c r="I145" s="23"/>
      <c r="J145" s="22">
        <v>1</v>
      </c>
      <c r="K145" s="22">
        <v>1</v>
      </c>
      <c r="L145" s="22">
        <v>1</v>
      </c>
      <c r="M145" s="23"/>
      <c r="N145" s="22" t="s">
        <v>85</v>
      </c>
      <c r="O145" s="23"/>
      <c r="P145" s="23"/>
      <c r="Q145" s="24">
        <v>1</v>
      </c>
      <c r="R145" s="24">
        <v>1</v>
      </c>
      <c r="S145" s="24">
        <v>1</v>
      </c>
      <c r="T145" s="24">
        <v>3</v>
      </c>
      <c r="U145" s="24">
        <v>2</v>
      </c>
      <c r="V145" s="24">
        <v>1</v>
      </c>
      <c r="W145" s="24">
        <v>1</v>
      </c>
      <c r="X145" s="24">
        <v>1</v>
      </c>
      <c r="Y145" s="24">
        <v>1</v>
      </c>
      <c r="Z145" s="24">
        <v>1</v>
      </c>
      <c r="AA145" s="24">
        <v>4</v>
      </c>
      <c r="AB145" s="24">
        <v>3</v>
      </c>
      <c r="AC145" s="24">
        <v>4</v>
      </c>
      <c r="AD145" s="24">
        <v>3</v>
      </c>
      <c r="AE145" s="24">
        <v>3</v>
      </c>
      <c r="AF145" s="24">
        <v>3</v>
      </c>
      <c r="AG145" s="24">
        <v>3</v>
      </c>
      <c r="AH145" s="24">
        <v>4</v>
      </c>
      <c r="AI145" s="24">
        <v>4</v>
      </c>
      <c r="AJ145" s="24">
        <v>3</v>
      </c>
      <c r="AK145" s="24">
        <v>3</v>
      </c>
      <c r="AL145" s="24">
        <v>3</v>
      </c>
      <c r="AM145" s="23"/>
      <c r="AN145" s="23"/>
      <c r="AO145" s="22" t="s">
        <v>59</v>
      </c>
      <c r="AP145" s="22" t="s">
        <v>523</v>
      </c>
      <c r="AQ145" s="22" t="s">
        <v>524</v>
      </c>
      <c r="AR145" s="22" t="s">
        <v>525</v>
      </c>
    </row>
    <row r="146" spans="1:44" hidden="1">
      <c r="A146" s="22" t="s">
        <v>526</v>
      </c>
      <c r="B146" s="22" t="s">
        <v>52</v>
      </c>
      <c r="C146" s="22" t="s">
        <v>53</v>
      </c>
      <c r="D146" s="22" t="s">
        <v>98</v>
      </c>
      <c r="E146" s="22" t="s">
        <v>55</v>
      </c>
      <c r="F146" s="22" t="s">
        <v>136</v>
      </c>
      <c r="G146" s="22" t="s">
        <v>96</v>
      </c>
      <c r="H146" s="23"/>
      <c r="I146" s="23"/>
      <c r="J146" s="22">
        <v>1</v>
      </c>
      <c r="K146" s="22">
        <v>1</v>
      </c>
      <c r="L146" s="22">
        <v>1</v>
      </c>
      <c r="M146" s="23"/>
      <c r="N146" s="22" t="s">
        <v>85</v>
      </c>
      <c r="O146" s="23"/>
      <c r="P146" s="23"/>
      <c r="Q146" s="24">
        <v>3</v>
      </c>
      <c r="R146" s="24">
        <v>1</v>
      </c>
      <c r="S146" s="24">
        <v>1</v>
      </c>
      <c r="T146" s="24">
        <v>1</v>
      </c>
      <c r="U146" s="24">
        <v>1</v>
      </c>
      <c r="V146" s="24">
        <v>1</v>
      </c>
      <c r="W146" s="24">
        <v>3</v>
      </c>
      <c r="X146" s="24">
        <v>3</v>
      </c>
      <c r="Y146" s="24">
        <v>1</v>
      </c>
      <c r="Z146" s="24">
        <v>2</v>
      </c>
      <c r="AA146" s="24">
        <v>4</v>
      </c>
      <c r="AB146" s="24">
        <v>4</v>
      </c>
      <c r="AC146" s="24">
        <v>4</v>
      </c>
      <c r="AD146" s="24">
        <v>3</v>
      </c>
      <c r="AE146" s="24">
        <v>3</v>
      </c>
      <c r="AF146" s="24">
        <v>3</v>
      </c>
      <c r="AG146" s="24">
        <v>3</v>
      </c>
      <c r="AH146" s="24">
        <v>4</v>
      </c>
      <c r="AI146" s="24">
        <v>3</v>
      </c>
      <c r="AJ146" s="24">
        <v>3</v>
      </c>
      <c r="AK146" s="24">
        <v>3</v>
      </c>
      <c r="AL146" s="24">
        <v>3</v>
      </c>
      <c r="AM146" s="23"/>
      <c r="AN146" s="23"/>
      <c r="AO146" s="22" t="s">
        <v>59</v>
      </c>
      <c r="AP146" s="22" t="s">
        <v>146</v>
      </c>
      <c r="AQ146" s="22" t="s">
        <v>527</v>
      </c>
      <c r="AR146" s="22" t="s">
        <v>146</v>
      </c>
    </row>
    <row r="147" spans="1:44" hidden="1">
      <c r="A147" s="22" t="s">
        <v>528</v>
      </c>
      <c r="B147" s="22" t="s">
        <v>52</v>
      </c>
      <c r="C147" s="22" t="s">
        <v>53</v>
      </c>
      <c r="D147" s="22" t="s">
        <v>98</v>
      </c>
      <c r="E147" s="22" t="s">
        <v>55</v>
      </c>
      <c r="F147" s="22" t="s">
        <v>65</v>
      </c>
      <c r="G147" s="22" t="s">
        <v>57</v>
      </c>
      <c r="H147" s="23"/>
      <c r="I147" s="23"/>
      <c r="J147" s="22">
        <v>5</v>
      </c>
      <c r="K147" s="22">
        <v>5</v>
      </c>
      <c r="L147" s="22">
        <v>1</v>
      </c>
      <c r="M147" s="23"/>
      <c r="N147" s="22" t="s">
        <v>58</v>
      </c>
      <c r="O147" s="23"/>
      <c r="P147" s="23"/>
      <c r="Q147" s="24">
        <v>4</v>
      </c>
      <c r="R147" s="24">
        <v>5</v>
      </c>
      <c r="S147" s="24">
        <v>5</v>
      </c>
      <c r="T147" s="24">
        <v>3</v>
      </c>
      <c r="U147" s="24">
        <v>3</v>
      </c>
      <c r="V147" s="24">
        <v>4</v>
      </c>
      <c r="W147" s="24">
        <v>5</v>
      </c>
      <c r="X147" s="24">
        <v>5</v>
      </c>
      <c r="Y147" s="24">
        <v>4</v>
      </c>
      <c r="Z147" s="24">
        <v>2</v>
      </c>
      <c r="AA147" s="24">
        <v>5</v>
      </c>
      <c r="AB147" s="24">
        <v>5</v>
      </c>
      <c r="AC147" s="24">
        <v>5</v>
      </c>
      <c r="AD147" s="24">
        <v>5</v>
      </c>
      <c r="AE147" s="24">
        <v>5</v>
      </c>
      <c r="AF147" s="24">
        <v>5</v>
      </c>
      <c r="AG147" s="24">
        <v>5</v>
      </c>
      <c r="AH147" s="24">
        <v>5</v>
      </c>
      <c r="AI147" s="24">
        <v>5</v>
      </c>
      <c r="AJ147" s="24">
        <v>2</v>
      </c>
      <c r="AK147" s="24">
        <v>3</v>
      </c>
      <c r="AL147" s="24">
        <v>3</v>
      </c>
      <c r="AM147" s="23"/>
      <c r="AN147" s="23"/>
      <c r="AO147" s="22" t="s">
        <v>74</v>
      </c>
      <c r="AP147" s="22" t="s">
        <v>529</v>
      </c>
      <c r="AQ147" s="22" t="s">
        <v>530</v>
      </c>
      <c r="AR147" s="22" t="s">
        <v>92</v>
      </c>
    </row>
    <row r="148" spans="1:44" hidden="1">
      <c r="A148" s="22" t="s">
        <v>531</v>
      </c>
      <c r="B148" s="22" t="s">
        <v>52</v>
      </c>
      <c r="C148" s="22" t="s">
        <v>53</v>
      </c>
      <c r="D148" s="22" t="s">
        <v>98</v>
      </c>
      <c r="E148" s="22" t="s">
        <v>55</v>
      </c>
      <c r="F148" s="22" t="s">
        <v>65</v>
      </c>
      <c r="G148" s="22" t="s">
        <v>96</v>
      </c>
      <c r="H148" s="23"/>
      <c r="I148" s="23"/>
      <c r="J148" s="22">
        <v>1</v>
      </c>
      <c r="K148" s="22">
        <v>1</v>
      </c>
      <c r="L148" s="22">
        <v>1</v>
      </c>
      <c r="M148" s="23"/>
      <c r="N148" s="22" t="s">
        <v>85</v>
      </c>
      <c r="O148" s="23"/>
      <c r="P148" s="23"/>
      <c r="Q148" s="24">
        <v>3</v>
      </c>
      <c r="R148" s="24">
        <v>1</v>
      </c>
      <c r="S148" s="24">
        <v>3</v>
      </c>
      <c r="T148" s="24">
        <v>3</v>
      </c>
      <c r="U148" s="24">
        <v>1</v>
      </c>
      <c r="V148" s="24">
        <v>1</v>
      </c>
      <c r="W148" s="24">
        <v>3</v>
      </c>
      <c r="X148" s="24">
        <v>3</v>
      </c>
      <c r="Y148" s="24">
        <v>3</v>
      </c>
      <c r="Z148" s="24">
        <v>5</v>
      </c>
      <c r="AA148" s="24">
        <v>3</v>
      </c>
      <c r="AB148" s="24">
        <v>3</v>
      </c>
      <c r="AC148" s="24">
        <v>3</v>
      </c>
      <c r="AD148" s="24">
        <v>3</v>
      </c>
      <c r="AE148" s="24">
        <v>3</v>
      </c>
      <c r="AF148" s="24">
        <v>3</v>
      </c>
      <c r="AG148" s="24">
        <v>3</v>
      </c>
      <c r="AH148" s="24">
        <v>4</v>
      </c>
      <c r="AI148" s="24">
        <v>3</v>
      </c>
      <c r="AJ148" s="24">
        <v>3</v>
      </c>
      <c r="AK148" s="24">
        <v>3</v>
      </c>
      <c r="AL148" s="24">
        <v>3</v>
      </c>
      <c r="AM148" s="23"/>
      <c r="AN148" s="23"/>
      <c r="AO148" s="22" t="s">
        <v>59</v>
      </c>
      <c r="AP148" s="22" t="s">
        <v>532</v>
      </c>
      <c r="AQ148" s="22" t="s">
        <v>532</v>
      </c>
      <c r="AR148" s="22" t="s">
        <v>533</v>
      </c>
    </row>
    <row r="149" spans="1:44" hidden="1">
      <c r="A149" s="22" t="s">
        <v>534</v>
      </c>
      <c r="B149" s="22" t="s">
        <v>52</v>
      </c>
      <c r="C149" s="22" t="s">
        <v>95</v>
      </c>
      <c r="D149" s="22" t="s">
        <v>98</v>
      </c>
      <c r="E149" s="22" t="s">
        <v>55</v>
      </c>
      <c r="F149" s="22" t="s">
        <v>65</v>
      </c>
      <c r="G149" s="22" t="s">
        <v>129</v>
      </c>
      <c r="H149" s="23"/>
      <c r="I149" s="23"/>
      <c r="J149" s="22">
        <v>2</v>
      </c>
      <c r="K149" s="22">
        <v>2</v>
      </c>
      <c r="L149" s="22">
        <v>2</v>
      </c>
      <c r="M149" s="23"/>
      <c r="N149" s="22" t="s">
        <v>85</v>
      </c>
      <c r="O149" s="23"/>
      <c r="P149" s="23"/>
      <c r="Q149" s="24">
        <v>2</v>
      </c>
      <c r="R149" s="24">
        <v>2</v>
      </c>
      <c r="S149" s="24">
        <v>2</v>
      </c>
      <c r="T149" s="24">
        <v>2</v>
      </c>
      <c r="U149" s="24">
        <v>2</v>
      </c>
      <c r="V149" s="24">
        <v>2</v>
      </c>
      <c r="W149" s="24">
        <v>2</v>
      </c>
      <c r="X149" s="24">
        <v>2</v>
      </c>
      <c r="Y149" s="24">
        <v>2</v>
      </c>
      <c r="Z149" s="24">
        <v>2</v>
      </c>
      <c r="AA149" s="24">
        <v>2</v>
      </c>
      <c r="AB149" s="24">
        <v>3</v>
      </c>
      <c r="AC149" s="24">
        <v>3</v>
      </c>
      <c r="AD149" s="24">
        <v>3</v>
      </c>
      <c r="AE149" s="24">
        <v>3</v>
      </c>
      <c r="AF149" s="24">
        <v>3</v>
      </c>
      <c r="AG149" s="24">
        <v>3</v>
      </c>
      <c r="AH149" s="24">
        <v>3</v>
      </c>
      <c r="AI149" s="24">
        <v>3</v>
      </c>
      <c r="AJ149" s="24">
        <v>3</v>
      </c>
      <c r="AK149" s="24">
        <v>3</v>
      </c>
      <c r="AL149" s="24">
        <v>3</v>
      </c>
      <c r="AM149" s="23"/>
      <c r="AN149" s="23"/>
      <c r="AO149" s="22" t="s">
        <v>59</v>
      </c>
      <c r="AP149" s="22" t="s">
        <v>92</v>
      </c>
      <c r="AQ149" s="22" t="s">
        <v>157</v>
      </c>
      <c r="AR149" s="22" t="s">
        <v>157</v>
      </c>
    </row>
    <row r="150" spans="1:44" hidden="1">
      <c r="A150" s="22" t="s">
        <v>535</v>
      </c>
      <c r="B150" s="22" t="s">
        <v>52</v>
      </c>
      <c r="C150" s="22" t="s">
        <v>53</v>
      </c>
      <c r="D150" s="22" t="s">
        <v>54</v>
      </c>
      <c r="E150" s="22" t="s">
        <v>55</v>
      </c>
      <c r="F150" s="22" t="s">
        <v>56</v>
      </c>
      <c r="G150" s="22" t="s">
        <v>129</v>
      </c>
      <c r="H150" s="23"/>
      <c r="I150" s="23"/>
      <c r="J150" s="22">
        <v>2</v>
      </c>
      <c r="K150" s="22">
        <v>2</v>
      </c>
      <c r="L150" s="22">
        <v>2</v>
      </c>
      <c r="M150" s="23"/>
      <c r="N150" s="22" t="s">
        <v>85</v>
      </c>
      <c r="O150" s="23"/>
      <c r="P150" s="23"/>
      <c r="Q150" s="24">
        <v>2</v>
      </c>
      <c r="R150" s="24">
        <v>3</v>
      </c>
      <c r="S150" s="24">
        <v>2</v>
      </c>
      <c r="T150" s="24">
        <v>2</v>
      </c>
      <c r="U150" s="24">
        <v>2</v>
      </c>
      <c r="V150" s="24">
        <v>2</v>
      </c>
      <c r="W150" s="24">
        <v>3</v>
      </c>
      <c r="X150" s="24">
        <v>3</v>
      </c>
      <c r="Y150" s="24">
        <v>2</v>
      </c>
      <c r="Z150" s="24">
        <v>2</v>
      </c>
      <c r="AA150" s="24">
        <v>3</v>
      </c>
      <c r="AB150" s="24">
        <v>3</v>
      </c>
      <c r="AC150" s="24">
        <v>4</v>
      </c>
      <c r="AD150" s="24">
        <v>4</v>
      </c>
      <c r="AE150" s="24">
        <v>4</v>
      </c>
      <c r="AF150" s="24">
        <v>4</v>
      </c>
      <c r="AG150" s="24">
        <v>4</v>
      </c>
      <c r="AH150" s="24">
        <v>4</v>
      </c>
      <c r="AI150" s="24">
        <v>2</v>
      </c>
      <c r="AJ150" s="24">
        <v>2</v>
      </c>
      <c r="AK150" s="24">
        <v>4</v>
      </c>
      <c r="AL150" s="24">
        <v>2</v>
      </c>
      <c r="AM150" s="23"/>
      <c r="AN150" s="23"/>
      <c r="AO150" s="22" t="s">
        <v>59</v>
      </c>
      <c r="AP150" s="22" t="s">
        <v>536</v>
      </c>
      <c r="AQ150" s="22" t="s">
        <v>537</v>
      </c>
      <c r="AR150" s="22" t="s">
        <v>538</v>
      </c>
    </row>
    <row r="151" spans="1:44" hidden="1">
      <c r="A151" s="22" t="s">
        <v>539</v>
      </c>
      <c r="B151" s="22" t="s">
        <v>52</v>
      </c>
      <c r="C151" s="22" t="s">
        <v>90</v>
      </c>
      <c r="D151" s="22" t="s">
        <v>54</v>
      </c>
      <c r="E151" s="22" t="s">
        <v>55</v>
      </c>
      <c r="F151" s="22" t="s">
        <v>56</v>
      </c>
      <c r="G151" s="22" t="s">
        <v>80</v>
      </c>
      <c r="H151" s="23"/>
      <c r="I151" s="23"/>
      <c r="J151" s="22">
        <v>3</v>
      </c>
      <c r="K151" s="22">
        <v>3</v>
      </c>
      <c r="L151" s="22">
        <v>1</v>
      </c>
      <c r="M151" s="23"/>
      <c r="N151" s="22" t="s">
        <v>58</v>
      </c>
      <c r="O151" s="23"/>
      <c r="P151" s="23"/>
      <c r="Q151" s="24">
        <v>2</v>
      </c>
      <c r="R151" s="24">
        <v>2</v>
      </c>
      <c r="S151" s="24">
        <v>2</v>
      </c>
      <c r="T151" s="24">
        <v>2</v>
      </c>
      <c r="U151" s="24">
        <v>2</v>
      </c>
      <c r="V151" s="24">
        <v>3</v>
      </c>
      <c r="W151" s="24">
        <v>3</v>
      </c>
      <c r="X151" s="24">
        <v>2</v>
      </c>
      <c r="Y151" s="24">
        <v>3</v>
      </c>
      <c r="Z151" s="24">
        <v>3</v>
      </c>
      <c r="AA151" s="24">
        <v>3</v>
      </c>
      <c r="AB151" s="24">
        <v>3</v>
      </c>
      <c r="AC151" s="24">
        <v>3</v>
      </c>
      <c r="AD151" s="24">
        <v>3</v>
      </c>
      <c r="AE151" s="24">
        <v>3</v>
      </c>
      <c r="AF151" s="24">
        <v>3</v>
      </c>
      <c r="AG151" s="24">
        <v>3</v>
      </c>
      <c r="AH151" s="24">
        <v>3</v>
      </c>
      <c r="AI151" s="24">
        <v>2</v>
      </c>
      <c r="AJ151" s="24">
        <v>2</v>
      </c>
      <c r="AK151" s="24">
        <v>3</v>
      </c>
      <c r="AL151" s="24">
        <v>2</v>
      </c>
      <c r="AM151" s="23"/>
      <c r="AN151" s="23"/>
      <c r="AO151" s="22" t="s">
        <v>59</v>
      </c>
      <c r="AP151" s="22" t="s">
        <v>540</v>
      </c>
      <c r="AQ151" s="22" t="s">
        <v>541</v>
      </c>
      <c r="AR151" s="22" t="s">
        <v>542</v>
      </c>
    </row>
    <row r="152" spans="1:44">
      <c r="A152" s="22" t="s">
        <v>543</v>
      </c>
      <c r="B152" s="22" t="s">
        <v>52</v>
      </c>
      <c r="C152" s="22" t="s">
        <v>79</v>
      </c>
      <c r="D152" s="22" t="s">
        <v>64</v>
      </c>
      <c r="E152" s="22" t="s">
        <v>55</v>
      </c>
      <c r="F152" s="22" t="s">
        <v>65</v>
      </c>
      <c r="G152" s="22" t="s">
        <v>129</v>
      </c>
      <c r="H152" s="23"/>
      <c r="I152" s="23"/>
      <c r="J152" s="22">
        <v>2</v>
      </c>
      <c r="K152" s="22">
        <v>4</v>
      </c>
      <c r="L152" s="22">
        <v>3</v>
      </c>
      <c r="M152" s="23"/>
      <c r="N152" s="22" t="s">
        <v>58</v>
      </c>
      <c r="O152" s="23"/>
      <c r="P152" s="23"/>
      <c r="Q152" s="24">
        <v>4</v>
      </c>
      <c r="R152" s="24">
        <v>3</v>
      </c>
      <c r="S152" s="24">
        <v>3</v>
      </c>
      <c r="T152" s="24">
        <v>3</v>
      </c>
      <c r="U152" s="24">
        <v>3</v>
      </c>
      <c r="V152" s="24">
        <v>3</v>
      </c>
      <c r="W152" s="24">
        <v>4</v>
      </c>
      <c r="X152" s="24">
        <v>4</v>
      </c>
      <c r="Y152" s="24">
        <v>3</v>
      </c>
      <c r="Z152" s="24">
        <v>3</v>
      </c>
      <c r="AA152" s="24">
        <v>3</v>
      </c>
      <c r="AB152" s="24">
        <v>4</v>
      </c>
      <c r="AC152" s="24">
        <v>3</v>
      </c>
      <c r="AD152" s="24">
        <v>4</v>
      </c>
      <c r="AE152" s="24">
        <v>3</v>
      </c>
      <c r="AF152" s="24">
        <v>3</v>
      </c>
      <c r="AG152" s="24">
        <v>3</v>
      </c>
      <c r="AH152" s="24">
        <v>4</v>
      </c>
      <c r="AI152" s="24">
        <v>3</v>
      </c>
      <c r="AJ152" s="24">
        <v>4</v>
      </c>
      <c r="AK152" s="24">
        <v>2</v>
      </c>
      <c r="AL152" s="24">
        <v>2</v>
      </c>
      <c r="AM152" s="23"/>
      <c r="AN152" s="23"/>
      <c r="AO152" s="22" t="s">
        <v>59</v>
      </c>
      <c r="AP152" s="22" t="s">
        <v>544</v>
      </c>
      <c r="AQ152" s="22" t="s">
        <v>545</v>
      </c>
      <c r="AR152" s="22" t="s">
        <v>546</v>
      </c>
    </row>
    <row r="153" spans="1:44">
      <c r="A153" s="22" t="s">
        <v>547</v>
      </c>
      <c r="B153" s="22" t="s">
        <v>52</v>
      </c>
      <c r="C153" s="22" t="s">
        <v>53</v>
      </c>
      <c r="D153" s="22" t="s">
        <v>64</v>
      </c>
      <c r="E153" s="22" t="s">
        <v>55</v>
      </c>
      <c r="F153" s="22" t="s">
        <v>65</v>
      </c>
      <c r="G153" s="22" t="s">
        <v>80</v>
      </c>
      <c r="H153" s="23"/>
      <c r="I153" s="23"/>
      <c r="J153" s="22">
        <v>4</v>
      </c>
      <c r="K153" s="22">
        <v>4</v>
      </c>
      <c r="L153" s="22">
        <v>2</v>
      </c>
      <c r="M153" s="23"/>
      <c r="N153" s="22" t="s">
        <v>58</v>
      </c>
      <c r="O153" s="23"/>
      <c r="P153" s="23"/>
      <c r="Q153" s="24">
        <v>4</v>
      </c>
      <c r="R153" s="24">
        <v>3</v>
      </c>
      <c r="S153" s="24">
        <v>3</v>
      </c>
      <c r="T153" s="24">
        <v>3</v>
      </c>
      <c r="U153" s="24">
        <v>4</v>
      </c>
      <c r="V153" s="24">
        <v>3</v>
      </c>
      <c r="W153" s="24">
        <v>4</v>
      </c>
      <c r="X153" s="24">
        <v>4</v>
      </c>
      <c r="Y153" s="24">
        <v>4</v>
      </c>
      <c r="Z153" s="24">
        <v>4</v>
      </c>
      <c r="AA153" s="24">
        <v>3</v>
      </c>
      <c r="AB153" s="24">
        <v>3</v>
      </c>
      <c r="AC153" s="24">
        <v>3</v>
      </c>
      <c r="AD153" s="24">
        <v>3</v>
      </c>
      <c r="AE153" s="24">
        <v>3</v>
      </c>
      <c r="AF153" s="24">
        <v>3</v>
      </c>
      <c r="AG153" s="24">
        <v>4</v>
      </c>
      <c r="AH153" s="24">
        <v>4</v>
      </c>
      <c r="AI153" s="24">
        <v>3</v>
      </c>
      <c r="AJ153" s="24">
        <v>3</v>
      </c>
      <c r="AK153" s="24">
        <v>4</v>
      </c>
      <c r="AL153" s="24">
        <v>3</v>
      </c>
      <c r="AM153" s="23"/>
      <c r="AN153" s="23"/>
      <c r="AO153" s="22" t="s">
        <v>59</v>
      </c>
      <c r="AP153" s="22" t="s">
        <v>92</v>
      </c>
      <c r="AQ153" s="22" t="s">
        <v>548</v>
      </c>
      <c r="AR153" s="22" t="s">
        <v>549</v>
      </c>
    </row>
    <row r="156" spans="1:44">
      <c r="F156" s="23"/>
      <c r="G156" s="15" t="s">
        <v>1488</v>
      </c>
      <c r="H156" s="26"/>
      <c r="I156" s="26"/>
      <c r="J156" s="23"/>
      <c r="K156" s="23"/>
      <c r="L156" s="23"/>
      <c r="M156" s="23"/>
      <c r="N156" s="3" t="s">
        <v>3</v>
      </c>
      <c r="O156" s="8"/>
      <c r="P156" s="8"/>
      <c r="Q156" s="65" t="s">
        <v>9</v>
      </c>
      <c r="R156" s="66"/>
      <c r="S156" s="66"/>
      <c r="T156" s="66"/>
      <c r="U156" s="66"/>
      <c r="V156" s="67"/>
      <c r="W156" s="65" t="s">
        <v>10</v>
      </c>
      <c r="X156" s="66"/>
      <c r="Y156" s="66"/>
      <c r="Z156" s="67"/>
      <c r="AA156" s="68" t="s">
        <v>11</v>
      </c>
      <c r="AB156" s="69"/>
      <c r="AC156" s="69"/>
      <c r="AD156" s="69"/>
      <c r="AE156" s="69"/>
      <c r="AF156" s="69"/>
      <c r="AG156" s="70"/>
      <c r="AH156" s="68" t="s">
        <v>12</v>
      </c>
      <c r="AI156" s="69"/>
      <c r="AJ156" s="69"/>
      <c r="AK156" s="69"/>
      <c r="AL156" s="70"/>
      <c r="AM156" s="27"/>
      <c r="AN156" s="27"/>
      <c r="AO156" s="20" t="s">
        <v>48</v>
      </c>
      <c r="AP156" s="23"/>
    </row>
    <row r="157" spans="1:44">
      <c r="F157" s="15" t="s">
        <v>1489</v>
      </c>
      <c r="G157" s="15" t="s">
        <v>1490</v>
      </c>
      <c r="H157" s="33" t="s">
        <v>1504</v>
      </c>
      <c r="I157" s="15"/>
      <c r="J157" s="15" t="s">
        <v>23</v>
      </c>
      <c r="K157" s="15" t="s">
        <v>24</v>
      </c>
      <c r="L157" s="16" t="s">
        <v>25</v>
      </c>
      <c r="M157" s="3" t="s">
        <v>1489</v>
      </c>
      <c r="N157" s="3" t="s">
        <v>1490</v>
      </c>
      <c r="O157" s="33" t="s">
        <v>1504</v>
      </c>
      <c r="P157" s="3"/>
      <c r="Q157" s="17" t="s">
        <v>26</v>
      </c>
      <c r="R157" s="3" t="s">
        <v>27</v>
      </c>
      <c r="S157" s="3" t="s">
        <v>28</v>
      </c>
      <c r="T157" s="18" t="s">
        <v>29</v>
      </c>
      <c r="U157" s="17" t="s">
        <v>30</v>
      </c>
      <c r="V157" s="3" t="s">
        <v>31</v>
      </c>
      <c r="W157" s="17" t="s">
        <v>32</v>
      </c>
      <c r="X157" s="17" t="s">
        <v>33</v>
      </c>
      <c r="Y157" s="17" t="s">
        <v>34</v>
      </c>
      <c r="Z157" s="17" t="s">
        <v>35</v>
      </c>
      <c r="AA157" s="17" t="s">
        <v>36</v>
      </c>
      <c r="AB157" s="17" t="s">
        <v>37</v>
      </c>
      <c r="AC157" s="17" t="s">
        <v>38</v>
      </c>
      <c r="AD157" s="17" t="s">
        <v>39</v>
      </c>
      <c r="AE157" s="17" t="s">
        <v>40</v>
      </c>
      <c r="AF157" s="17" t="s">
        <v>41</v>
      </c>
      <c r="AG157" s="17" t="s">
        <v>42</v>
      </c>
      <c r="AH157" s="17" t="s">
        <v>43</v>
      </c>
      <c r="AI157" s="17" t="s">
        <v>44</v>
      </c>
      <c r="AJ157" s="17" t="s">
        <v>45</v>
      </c>
      <c r="AK157" s="19" t="s">
        <v>46</v>
      </c>
      <c r="AL157" s="19" t="s">
        <v>47</v>
      </c>
      <c r="AM157" s="19"/>
      <c r="AN157" s="20" t="s">
        <v>1489</v>
      </c>
      <c r="AO157" s="20" t="s">
        <v>1490</v>
      </c>
      <c r="AP157" s="33" t="s">
        <v>1504</v>
      </c>
    </row>
    <row r="158" spans="1:44">
      <c r="F158" s="22" t="s">
        <v>80</v>
      </c>
      <c r="G158" s="28">
        <f>COUNTIF($G$4:$G$153,"가끔 사용한다")</f>
        <v>54</v>
      </c>
      <c r="H158" s="34">
        <f>G158/$G$162</f>
        <v>0.36</v>
      </c>
      <c r="I158" s="23" t="s">
        <v>1491</v>
      </c>
      <c r="J158" s="29">
        <f>AVERAGE(J$4:J$153)</f>
        <v>2.88</v>
      </c>
      <c r="K158" s="29">
        <f t="shared" ref="K158:L158" si="0">AVERAGE(K$4:K$153)</f>
        <v>2.2933333333333334</v>
      </c>
      <c r="L158" s="29">
        <f t="shared" si="0"/>
        <v>1.9333333333333333</v>
      </c>
      <c r="M158" s="29" t="s">
        <v>1492</v>
      </c>
      <c r="N158" s="23">
        <f>COUNTIF($N$4:$N$153, "기본 개념 인지")</f>
        <v>63</v>
      </c>
      <c r="O158" s="34">
        <f>N158/$N$163</f>
        <v>0.42</v>
      </c>
      <c r="P158" s="23" t="s">
        <v>1491</v>
      </c>
      <c r="Q158" s="29">
        <f>AVERAGE(Q$4:Q$153)</f>
        <v>3.0266666666666668</v>
      </c>
      <c r="R158" s="29">
        <f t="shared" ref="R158:AL158" si="1">AVERAGE(R$4:R$153)</f>
        <v>2.4733333333333332</v>
      </c>
      <c r="S158" s="29">
        <f t="shared" si="1"/>
        <v>2.76</v>
      </c>
      <c r="T158" s="29">
        <f t="shared" si="1"/>
        <v>2.56</v>
      </c>
      <c r="U158" s="29">
        <f t="shared" si="1"/>
        <v>2.8733333333333335</v>
      </c>
      <c r="V158" s="29">
        <f t="shared" si="1"/>
        <v>2.7866666666666666</v>
      </c>
      <c r="W158" s="29">
        <f t="shared" si="1"/>
        <v>3.46</v>
      </c>
      <c r="X158" s="29">
        <f t="shared" si="1"/>
        <v>3.22</v>
      </c>
      <c r="Y158" s="29">
        <f t="shared" si="1"/>
        <v>2.96</v>
      </c>
      <c r="Z158" s="29">
        <f t="shared" si="1"/>
        <v>3.0066666666666668</v>
      </c>
      <c r="AA158" s="29">
        <f t="shared" si="1"/>
        <v>3.34</v>
      </c>
      <c r="AB158" s="29">
        <f t="shared" si="1"/>
        <v>3.7266666666666666</v>
      </c>
      <c r="AC158" s="29">
        <f t="shared" si="1"/>
        <v>3.66</v>
      </c>
      <c r="AD158" s="29">
        <f t="shared" si="1"/>
        <v>3.6333333333333333</v>
      </c>
      <c r="AE158" s="29">
        <f t="shared" si="1"/>
        <v>3.26</v>
      </c>
      <c r="AF158" s="29">
        <f t="shared" si="1"/>
        <v>3.6333333333333333</v>
      </c>
      <c r="AG158" s="29">
        <f t="shared" si="1"/>
        <v>3.34</v>
      </c>
      <c r="AH158" s="29">
        <f t="shared" si="1"/>
        <v>3.56</v>
      </c>
      <c r="AI158" s="29">
        <f t="shared" si="1"/>
        <v>2.9</v>
      </c>
      <c r="AJ158" s="29">
        <f t="shared" si="1"/>
        <v>2.7133333333333334</v>
      </c>
      <c r="AK158" s="29">
        <f t="shared" si="1"/>
        <v>3.1666666666666665</v>
      </c>
      <c r="AL158" s="29">
        <f t="shared" si="1"/>
        <v>2.7666666666666666</v>
      </c>
      <c r="AM158" s="29"/>
      <c r="AN158" s="29" t="s">
        <v>1493</v>
      </c>
      <c r="AO158" s="23">
        <f>COUNTIF($AO$4:$AO$153,"있다")</f>
        <v>53</v>
      </c>
      <c r="AP158" s="34">
        <f>AO158/$AO$160</f>
        <v>0.35333333333333333</v>
      </c>
    </row>
    <row r="159" spans="1:44">
      <c r="F159" s="28" t="s">
        <v>1494</v>
      </c>
      <c r="G159" s="28">
        <f>COUNTIF($G$4:$G$153,"거의 사용하지 않는다")</f>
        <v>25</v>
      </c>
      <c r="H159" s="34">
        <f t="shared" ref="H159:H162" si="2">G159/$G$162</f>
        <v>0.16666666666666666</v>
      </c>
      <c r="I159" s="23" t="s">
        <v>1495</v>
      </c>
      <c r="J159" s="29">
        <f>_xlfn.STDEV.S(J$4:J$153)</f>
        <v>1.2365789569528194</v>
      </c>
      <c r="K159" s="29">
        <f t="shared" ref="K159:L159" si="3">_xlfn.STDEV.S(K$4:K$153)</f>
        <v>1.1383885152412201</v>
      </c>
      <c r="L159" s="29">
        <f t="shared" si="3"/>
        <v>0.93884597636556333</v>
      </c>
      <c r="M159" s="29" t="s">
        <v>1496</v>
      </c>
      <c r="N159" s="23">
        <f>COUNTIF($N$4:$N$153,"AI 도구 선택 활용 가능")</f>
        <v>22</v>
      </c>
      <c r="O159" s="34">
        <f t="shared" ref="O159:O163" si="4">N159/$N$163</f>
        <v>0.14666666666666667</v>
      </c>
      <c r="P159" s="23" t="s">
        <v>1495</v>
      </c>
      <c r="Q159" s="29">
        <f>_xlfn.STDEV.S(Q$4:Q$153)</f>
        <v>1.0359100442059637</v>
      </c>
      <c r="R159" s="29">
        <f t="shared" ref="R159:AL159" si="5">_xlfn.STDEV.S(R$4:R$153)</f>
        <v>0.97413990055910216</v>
      </c>
      <c r="S159" s="29">
        <f t="shared" si="5"/>
        <v>0.93176602184405</v>
      </c>
      <c r="T159" s="29">
        <f t="shared" si="5"/>
        <v>0.99313076925056298</v>
      </c>
      <c r="U159" s="29">
        <f t="shared" si="5"/>
        <v>1.100924972095485</v>
      </c>
      <c r="V159" s="29">
        <f t="shared" si="5"/>
        <v>1.0842785413616147</v>
      </c>
      <c r="W159" s="29">
        <f t="shared" si="5"/>
        <v>0.95979583958843828</v>
      </c>
      <c r="X159" s="29">
        <f t="shared" si="5"/>
        <v>1.0024801459146313</v>
      </c>
      <c r="Y159" s="29">
        <f t="shared" si="5"/>
        <v>1.022432945242268</v>
      </c>
      <c r="Z159" s="29">
        <f t="shared" si="5"/>
        <v>0.99997762838510218</v>
      </c>
      <c r="AA159" s="29">
        <f t="shared" si="5"/>
        <v>0.92562331619829752</v>
      </c>
      <c r="AB159" s="29">
        <f t="shared" si="5"/>
        <v>0.88913400796299114</v>
      </c>
      <c r="AC159" s="29">
        <f t="shared" si="5"/>
        <v>0.89615135346778796</v>
      </c>
      <c r="AD159" s="29">
        <f t="shared" si="5"/>
        <v>0.90053426846516449</v>
      </c>
      <c r="AE159" s="29">
        <f t="shared" si="5"/>
        <v>0.90063363228191451</v>
      </c>
      <c r="AF159" s="29">
        <f t="shared" si="5"/>
        <v>0.89305047443475594</v>
      </c>
      <c r="AG159" s="29">
        <f t="shared" si="5"/>
        <v>0.88104574837987593</v>
      </c>
      <c r="AH159" s="29">
        <f t="shared" si="5"/>
        <v>0.77268815175707983</v>
      </c>
      <c r="AI159" s="29">
        <f t="shared" si="5"/>
        <v>0.92504307898960969</v>
      </c>
      <c r="AJ159" s="29">
        <f t="shared" si="5"/>
        <v>0.84612552947722242</v>
      </c>
      <c r="AK159" s="29">
        <f t="shared" si="5"/>
        <v>0.93705712880262559</v>
      </c>
      <c r="AL159" s="29">
        <f t="shared" si="5"/>
        <v>0.90795637971878096</v>
      </c>
      <c r="AM159" s="29"/>
      <c r="AN159" s="29" t="s">
        <v>1497</v>
      </c>
      <c r="AO159" s="23">
        <f>COUNTIF($AO$4:$AO$153,"없다")</f>
        <v>97</v>
      </c>
      <c r="AP159" s="34">
        <f t="shared" ref="AP159:AP160" si="6">AO159/$AO$160</f>
        <v>0.64666666666666661</v>
      </c>
    </row>
    <row r="160" spans="1:44">
      <c r="F160" s="28" t="s">
        <v>1498</v>
      </c>
      <c r="G160" s="28">
        <f>COUNTIF($G$4:$G$153,"사용하지 않는다")</f>
        <v>25</v>
      </c>
      <c r="H160" s="34">
        <f t="shared" si="2"/>
        <v>0.16666666666666666</v>
      </c>
      <c r="I160" s="23"/>
      <c r="J160" s="29"/>
      <c r="K160" s="29"/>
      <c r="L160" s="29"/>
      <c r="M160" s="29" t="s">
        <v>1499</v>
      </c>
      <c r="N160" s="23">
        <f>COUNTIF($N$4:$N$153, "AI 도구 교차 사용 가능")</f>
        <v>14</v>
      </c>
      <c r="O160" s="34">
        <f t="shared" si="4"/>
        <v>9.3333333333333338E-2</v>
      </c>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t="s">
        <v>1505</v>
      </c>
      <c r="AO160" s="23">
        <f>SUM(AO158:AO159)</f>
        <v>150</v>
      </c>
      <c r="AP160" s="34">
        <f t="shared" si="6"/>
        <v>1</v>
      </c>
    </row>
    <row r="161" spans="6:42">
      <c r="F161" s="28" t="s">
        <v>1500</v>
      </c>
      <c r="G161" s="28">
        <f>COUNTIF($G$4:$G$153,"업무에 자주 활용한다")</f>
        <v>46</v>
      </c>
      <c r="H161" s="34">
        <f t="shared" si="2"/>
        <v>0.30666666666666664</v>
      </c>
      <c r="I161" s="23"/>
      <c r="J161" s="29"/>
      <c r="K161" s="29"/>
      <c r="L161" s="29"/>
      <c r="M161" s="29" t="s">
        <v>1501</v>
      </c>
      <c r="N161" s="23">
        <f>COUNTIF($N$4:$N$153, "실험 및 구현 가능")</f>
        <v>4</v>
      </c>
      <c r="O161" s="34">
        <f t="shared" si="4"/>
        <v>2.6666666666666668E-2</v>
      </c>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row>
    <row r="162" spans="6:42">
      <c r="F162" s="23"/>
      <c r="G162" s="23">
        <f>SUM(G158:G161)</f>
        <v>150</v>
      </c>
      <c r="H162" s="34">
        <f t="shared" si="2"/>
        <v>1</v>
      </c>
      <c r="I162" s="23"/>
      <c r="J162" s="23"/>
      <c r="K162" s="23"/>
      <c r="L162" s="23"/>
      <c r="M162" s="29" t="s">
        <v>1502</v>
      </c>
      <c r="N162" s="23">
        <f>COUNTIF($N$4:$N$153, "잘 모름")</f>
        <v>47</v>
      </c>
      <c r="O162" s="34">
        <f t="shared" si="4"/>
        <v>0.31333333333333335</v>
      </c>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row>
    <row r="163" spans="6:42">
      <c r="F163" s="23"/>
      <c r="G163" s="23"/>
      <c r="H163" s="23"/>
      <c r="I163" s="23"/>
      <c r="J163" s="23"/>
      <c r="K163" s="23"/>
      <c r="L163" s="23"/>
      <c r="M163" s="23"/>
      <c r="N163" s="23">
        <f>SUM(N158:N162)</f>
        <v>150</v>
      </c>
      <c r="O163" s="34">
        <f t="shared" si="4"/>
        <v>1</v>
      </c>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row>
    <row r="164" spans="6:42">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row>
    <row r="165" spans="6:42">
      <c r="F165" s="23"/>
      <c r="G165" s="23"/>
      <c r="H165" s="23"/>
      <c r="I165" s="23"/>
      <c r="J165" s="15" t="s">
        <v>1503</v>
      </c>
      <c r="K165" s="23"/>
      <c r="L165" s="23"/>
      <c r="M165" s="23"/>
      <c r="N165" s="23"/>
      <c r="O165" s="23"/>
      <c r="P165" s="23"/>
      <c r="Q165" s="30" t="s">
        <v>9</v>
      </c>
      <c r="R165" s="30" t="s">
        <v>10</v>
      </c>
      <c r="S165" s="30" t="s">
        <v>11</v>
      </c>
      <c r="T165" s="30" t="s">
        <v>12</v>
      </c>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row>
    <row r="166" spans="6:42">
      <c r="F166" s="23"/>
      <c r="G166" s="23"/>
      <c r="H166" s="23"/>
      <c r="I166" s="23"/>
      <c r="J166" s="31">
        <f>AVERAGE(J158:L158)</f>
        <v>2.3688888888888893</v>
      </c>
      <c r="K166" s="23"/>
      <c r="L166" s="23"/>
      <c r="M166" s="23"/>
      <c r="N166" s="23"/>
      <c r="O166" s="23"/>
      <c r="P166" s="23"/>
      <c r="Q166" s="31">
        <f>AVERAGE(Q158:V158)</f>
        <v>2.7466666666666666</v>
      </c>
      <c r="R166" s="31">
        <f>AVERAGE(W158:Z158)</f>
        <v>3.1616666666666671</v>
      </c>
      <c r="S166" s="31">
        <f>AVERAGE(AA158:AG158)</f>
        <v>3.5133333333333328</v>
      </c>
      <c r="T166" s="31">
        <f>AVERAGE(AH158:AL158)</f>
        <v>3.0213333333333332</v>
      </c>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row>
    <row r="167" spans="6:42">
      <c r="F167" s="23"/>
      <c r="G167" s="23"/>
      <c r="H167" s="23"/>
      <c r="I167" s="23"/>
      <c r="J167" s="32">
        <f>_xlfn.STDEV.S(J4:L153)</f>
        <v>1.175818384803146</v>
      </c>
      <c r="K167" s="23"/>
      <c r="L167" s="23"/>
      <c r="M167" s="23"/>
      <c r="N167" s="23"/>
      <c r="O167" s="23"/>
      <c r="P167" s="23"/>
      <c r="Q167" s="32">
        <f>_xlfn.STDEV.S(Q4:V153)</f>
        <v>1.0356493237050692</v>
      </c>
      <c r="R167" s="32">
        <f>_xlfn.STDEV.S(W4:Z153)</f>
        <v>1.0135297857487411</v>
      </c>
      <c r="S167" s="32">
        <f>_xlfn.STDEV.S(AA4:AG153)</f>
        <v>0.91294750617482012</v>
      </c>
      <c r="T167" s="32">
        <f>_xlfn.STDEV.S(AH4:AL153)</f>
        <v>0.93132596134969503</v>
      </c>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row>
    <row r="168" spans="6:42">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row>
    <row r="169" spans="6:42">
      <c r="O169" s="23"/>
      <c r="P169" s="23"/>
      <c r="Q169" s="23"/>
      <c r="R169" s="23"/>
      <c r="S169" s="23"/>
      <c r="T169" s="23"/>
      <c r="U169" s="23"/>
      <c r="V169" s="23"/>
      <c r="W169" s="23"/>
    </row>
    <row r="170" spans="6:42">
      <c r="O170" s="23"/>
      <c r="P170" s="23"/>
      <c r="Q170" s="23"/>
      <c r="R170" s="23"/>
      <c r="S170" s="23"/>
      <c r="T170" s="23"/>
      <c r="U170" s="23"/>
      <c r="V170" s="23"/>
      <c r="W170" s="23"/>
    </row>
  </sheetData>
  <mergeCells count="15">
    <mergeCell ref="Q156:V156"/>
    <mergeCell ref="W156:Z156"/>
    <mergeCell ref="AA156:AG156"/>
    <mergeCell ref="AH156:AL156"/>
    <mergeCell ref="AP2:AQ2"/>
    <mergeCell ref="B1:F1"/>
    <mergeCell ref="G1:L1"/>
    <mergeCell ref="Q1:AL1"/>
    <mergeCell ref="AO1:AQ1"/>
    <mergeCell ref="B2:F2"/>
    <mergeCell ref="G2:L2"/>
    <mergeCell ref="Q2:V2"/>
    <mergeCell ref="W2:Z2"/>
    <mergeCell ref="AA2:AG2"/>
    <mergeCell ref="AH2:AL2"/>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8B46-8EEC-4399-A46C-0B3676B9D505}">
  <dimension ref="A1:AR87"/>
  <sheetViews>
    <sheetView topLeftCell="D1" zoomScale="85" zoomScaleNormal="85" workbookViewId="0">
      <selection activeCell="T79" sqref="T79"/>
    </sheetView>
  </sheetViews>
  <sheetFormatPr defaultRowHeight="16.899999999999999"/>
  <sheetData>
    <row r="1" spans="1:44">
      <c r="A1" s="1" t="s">
        <v>0</v>
      </c>
      <c r="B1" s="60" t="s">
        <v>1</v>
      </c>
      <c r="C1" s="60"/>
      <c r="D1" s="60"/>
      <c r="E1" s="60"/>
      <c r="F1" s="60"/>
      <c r="G1" s="61" t="s">
        <v>2</v>
      </c>
      <c r="H1" s="61"/>
      <c r="I1" s="61"/>
      <c r="J1" s="61"/>
      <c r="K1" s="61"/>
      <c r="L1" s="61"/>
      <c r="M1" s="2"/>
      <c r="N1" s="3" t="s">
        <v>3</v>
      </c>
      <c r="O1" s="3"/>
      <c r="P1" s="3"/>
      <c r="Q1" s="56" t="s">
        <v>4</v>
      </c>
      <c r="R1" s="56"/>
      <c r="S1" s="56"/>
      <c r="T1" s="56"/>
      <c r="U1" s="56"/>
      <c r="V1" s="56"/>
      <c r="W1" s="56"/>
      <c r="X1" s="56"/>
      <c r="Y1" s="56"/>
      <c r="Z1" s="56"/>
      <c r="AA1" s="56"/>
      <c r="AB1" s="56"/>
      <c r="AC1" s="56"/>
      <c r="AD1" s="56"/>
      <c r="AE1" s="56"/>
      <c r="AF1" s="56"/>
      <c r="AG1" s="56"/>
      <c r="AH1" s="56"/>
      <c r="AI1" s="56"/>
      <c r="AJ1" s="56"/>
      <c r="AK1" s="56"/>
      <c r="AL1" s="56"/>
      <c r="AM1" s="4"/>
      <c r="AN1" s="4"/>
      <c r="AO1" s="62" t="s">
        <v>5</v>
      </c>
      <c r="AP1" s="62"/>
      <c r="AQ1" s="62"/>
      <c r="AR1" s="5" t="s">
        <v>6</v>
      </c>
    </row>
    <row r="2" spans="1:44">
      <c r="A2" s="6" t="s">
        <v>7</v>
      </c>
      <c r="B2" s="63" t="s">
        <v>1</v>
      </c>
      <c r="C2" s="63"/>
      <c r="D2" s="63"/>
      <c r="E2" s="63"/>
      <c r="F2" s="63"/>
      <c r="G2" s="64" t="s">
        <v>8</v>
      </c>
      <c r="H2" s="64"/>
      <c r="I2" s="64"/>
      <c r="J2" s="64"/>
      <c r="K2" s="64"/>
      <c r="L2" s="64"/>
      <c r="M2" s="7"/>
      <c r="N2" s="3" t="s">
        <v>3</v>
      </c>
      <c r="O2" s="8"/>
      <c r="P2" s="8"/>
      <c r="Q2" s="65" t="s">
        <v>9</v>
      </c>
      <c r="R2" s="66"/>
      <c r="S2" s="66"/>
      <c r="T2" s="66"/>
      <c r="U2" s="66"/>
      <c r="V2" s="67"/>
      <c r="W2" s="65" t="s">
        <v>10</v>
      </c>
      <c r="X2" s="66"/>
      <c r="Y2" s="66"/>
      <c r="Z2" s="67"/>
      <c r="AA2" s="68" t="s">
        <v>11</v>
      </c>
      <c r="AB2" s="69"/>
      <c r="AC2" s="69"/>
      <c r="AD2" s="69"/>
      <c r="AE2" s="69"/>
      <c r="AF2" s="69"/>
      <c r="AG2" s="70"/>
      <c r="AH2" s="68" t="s">
        <v>12</v>
      </c>
      <c r="AI2" s="69"/>
      <c r="AJ2" s="69"/>
      <c r="AK2" s="69"/>
      <c r="AL2" s="70"/>
      <c r="AM2" s="9"/>
      <c r="AN2" s="9"/>
      <c r="AO2" s="10" t="s">
        <v>13</v>
      </c>
      <c r="AP2" s="71" t="s">
        <v>14</v>
      </c>
      <c r="AQ2" s="71"/>
      <c r="AR2" s="11" t="s">
        <v>15</v>
      </c>
    </row>
    <row r="3" spans="1:44">
      <c r="A3" s="12" t="s">
        <v>16</v>
      </c>
      <c r="B3" s="13" t="s">
        <v>17</v>
      </c>
      <c r="C3" s="14" t="s">
        <v>18</v>
      </c>
      <c r="D3" s="14" t="s">
        <v>19</v>
      </c>
      <c r="E3" s="14" t="s">
        <v>20</v>
      </c>
      <c r="F3" s="14" t="s">
        <v>21</v>
      </c>
      <c r="G3" s="15" t="s">
        <v>22</v>
      </c>
      <c r="H3" s="15"/>
      <c r="I3" s="15"/>
      <c r="J3" s="15" t="s">
        <v>23</v>
      </c>
      <c r="K3" s="15" t="s">
        <v>24</v>
      </c>
      <c r="L3" s="16" t="s">
        <v>25</v>
      </c>
      <c r="M3" s="16"/>
      <c r="N3" s="3" t="s">
        <v>3</v>
      </c>
      <c r="O3" s="3"/>
      <c r="P3" s="3"/>
      <c r="Q3" s="17" t="s">
        <v>26</v>
      </c>
      <c r="R3" s="3" t="s">
        <v>27</v>
      </c>
      <c r="S3" s="3" t="s">
        <v>28</v>
      </c>
      <c r="T3" s="18" t="s">
        <v>29</v>
      </c>
      <c r="U3" s="17" t="s">
        <v>30</v>
      </c>
      <c r="V3" s="3" t="s">
        <v>31</v>
      </c>
      <c r="W3" s="17" t="s">
        <v>32</v>
      </c>
      <c r="X3" s="17" t="s">
        <v>33</v>
      </c>
      <c r="Y3" s="17" t="s">
        <v>34</v>
      </c>
      <c r="Z3" s="17" t="s">
        <v>35</v>
      </c>
      <c r="AA3" s="17" t="s">
        <v>36</v>
      </c>
      <c r="AB3" s="17" t="s">
        <v>37</v>
      </c>
      <c r="AC3" s="17" t="s">
        <v>38</v>
      </c>
      <c r="AD3" s="17" t="s">
        <v>39</v>
      </c>
      <c r="AE3" s="17" t="s">
        <v>40</v>
      </c>
      <c r="AF3" s="17" t="s">
        <v>41</v>
      </c>
      <c r="AG3" s="17" t="s">
        <v>42</v>
      </c>
      <c r="AH3" s="17" t="s">
        <v>43</v>
      </c>
      <c r="AI3" s="17" t="s">
        <v>44</v>
      </c>
      <c r="AJ3" s="17" t="s">
        <v>45</v>
      </c>
      <c r="AK3" s="19" t="s">
        <v>46</v>
      </c>
      <c r="AL3" s="19" t="s">
        <v>47</v>
      </c>
      <c r="AM3" s="19"/>
      <c r="AN3" s="19"/>
      <c r="AO3" s="20" t="s">
        <v>48</v>
      </c>
      <c r="AP3" s="20" t="s">
        <v>49</v>
      </c>
      <c r="AQ3" s="20" t="s">
        <v>50</v>
      </c>
      <c r="AR3" s="21" t="s">
        <v>15</v>
      </c>
    </row>
    <row r="4" spans="1:44">
      <c r="A4" s="22" t="s">
        <v>550</v>
      </c>
      <c r="B4" s="22" t="s">
        <v>551</v>
      </c>
      <c r="C4" s="22" t="s">
        <v>53</v>
      </c>
      <c r="D4" s="22" t="s">
        <v>64</v>
      </c>
      <c r="E4" s="22" t="s">
        <v>55</v>
      </c>
      <c r="F4" s="22" t="s">
        <v>65</v>
      </c>
      <c r="G4" s="22" t="s">
        <v>57</v>
      </c>
      <c r="H4" s="23"/>
      <c r="I4" s="23"/>
      <c r="J4" s="22">
        <v>4</v>
      </c>
      <c r="K4" s="22">
        <v>4</v>
      </c>
      <c r="L4" s="22">
        <v>2</v>
      </c>
      <c r="M4" s="23"/>
      <c r="N4" s="22" t="s">
        <v>66</v>
      </c>
      <c r="O4" s="23"/>
      <c r="P4" s="23"/>
      <c r="Q4" s="24">
        <v>3</v>
      </c>
      <c r="R4" s="24">
        <v>4</v>
      </c>
      <c r="S4" s="24">
        <v>4</v>
      </c>
      <c r="T4" s="24">
        <v>3</v>
      </c>
      <c r="U4" s="24">
        <v>3</v>
      </c>
      <c r="V4" s="24">
        <v>4</v>
      </c>
      <c r="W4" s="24">
        <v>4</v>
      </c>
      <c r="X4" s="24">
        <v>2</v>
      </c>
      <c r="Y4" s="24">
        <v>2</v>
      </c>
      <c r="Z4" s="24">
        <v>2</v>
      </c>
      <c r="AA4" s="24">
        <v>2</v>
      </c>
      <c r="AB4" s="24">
        <v>5</v>
      </c>
      <c r="AC4" s="24">
        <v>5</v>
      </c>
      <c r="AD4" s="24">
        <v>5</v>
      </c>
      <c r="AE4" s="24">
        <v>5</v>
      </c>
      <c r="AF4" s="24">
        <v>5</v>
      </c>
      <c r="AG4" s="24">
        <v>5</v>
      </c>
      <c r="AH4" s="24">
        <v>4</v>
      </c>
      <c r="AI4" s="24">
        <v>5</v>
      </c>
      <c r="AJ4" s="24">
        <v>5</v>
      </c>
      <c r="AK4" s="24">
        <v>5</v>
      </c>
      <c r="AL4" s="24">
        <v>3</v>
      </c>
      <c r="AM4" s="23"/>
      <c r="AN4" s="23"/>
      <c r="AO4" s="22" t="s">
        <v>74</v>
      </c>
      <c r="AP4" s="22" t="s">
        <v>59</v>
      </c>
      <c r="AQ4" s="22" t="s">
        <v>552</v>
      </c>
      <c r="AR4" s="22" t="s">
        <v>553</v>
      </c>
    </row>
    <row r="5" spans="1:44">
      <c r="A5" s="22" t="s">
        <v>554</v>
      </c>
      <c r="B5" s="22" t="s">
        <v>551</v>
      </c>
      <c r="C5" s="22" t="s">
        <v>53</v>
      </c>
      <c r="D5" s="22" t="s">
        <v>64</v>
      </c>
      <c r="E5" s="22" t="s">
        <v>55</v>
      </c>
      <c r="F5" s="22" t="s">
        <v>65</v>
      </c>
      <c r="G5" s="22" t="s">
        <v>57</v>
      </c>
      <c r="H5" s="23"/>
      <c r="I5" s="23"/>
      <c r="J5" s="22">
        <v>4</v>
      </c>
      <c r="K5" s="22">
        <v>3</v>
      </c>
      <c r="L5" s="22">
        <v>1</v>
      </c>
      <c r="M5" s="23"/>
      <c r="N5" s="22" t="s">
        <v>58</v>
      </c>
      <c r="O5" s="23"/>
      <c r="P5" s="23"/>
      <c r="Q5" s="24">
        <v>3</v>
      </c>
      <c r="R5" s="24">
        <v>3</v>
      </c>
      <c r="S5" s="24">
        <v>4</v>
      </c>
      <c r="T5" s="24">
        <v>3</v>
      </c>
      <c r="U5" s="24">
        <v>4</v>
      </c>
      <c r="V5" s="24">
        <v>4</v>
      </c>
      <c r="W5" s="24">
        <v>5</v>
      </c>
      <c r="X5" s="24">
        <v>4</v>
      </c>
      <c r="Y5" s="24">
        <v>3</v>
      </c>
      <c r="Z5" s="24">
        <v>3</v>
      </c>
      <c r="AA5" s="24">
        <v>5</v>
      </c>
      <c r="AB5" s="24">
        <v>5</v>
      </c>
      <c r="AC5" s="24">
        <v>4</v>
      </c>
      <c r="AD5" s="24">
        <v>5</v>
      </c>
      <c r="AE5" s="24">
        <v>5</v>
      </c>
      <c r="AF5" s="24">
        <v>4</v>
      </c>
      <c r="AG5" s="24">
        <v>3</v>
      </c>
      <c r="AH5" s="24">
        <v>3</v>
      </c>
      <c r="AI5" s="24">
        <v>3</v>
      </c>
      <c r="AJ5" s="24">
        <v>4</v>
      </c>
      <c r="AK5" s="24">
        <v>4</v>
      </c>
      <c r="AL5" s="24">
        <v>3</v>
      </c>
      <c r="AM5" s="23"/>
      <c r="AN5" s="23"/>
      <c r="AO5" s="22" t="s">
        <v>74</v>
      </c>
      <c r="AP5" s="22" t="s">
        <v>555</v>
      </c>
      <c r="AQ5" s="22" t="s">
        <v>556</v>
      </c>
      <c r="AR5" s="22" t="s">
        <v>557</v>
      </c>
    </row>
    <row r="6" spans="1:44" hidden="1">
      <c r="A6" s="22" t="s">
        <v>558</v>
      </c>
      <c r="B6" s="22" t="s">
        <v>551</v>
      </c>
      <c r="C6" s="22" t="s">
        <v>53</v>
      </c>
      <c r="D6" s="22" t="s">
        <v>71</v>
      </c>
      <c r="E6" s="22" t="s">
        <v>55</v>
      </c>
      <c r="F6" s="22" t="s">
        <v>73</v>
      </c>
      <c r="G6" s="22" t="s">
        <v>80</v>
      </c>
      <c r="H6" s="23"/>
      <c r="I6" s="23"/>
      <c r="J6" s="22">
        <v>4</v>
      </c>
      <c r="K6" s="22">
        <v>4</v>
      </c>
      <c r="L6" s="22">
        <v>2</v>
      </c>
      <c r="M6" s="23"/>
      <c r="N6" s="22" t="s">
        <v>66</v>
      </c>
      <c r="O6" s="23"/>
      <c r="P6" s="23"/>
      <c r="Q6" s="24">
        <v>3</v>
      </c>
      <c r="R6" s="24">
        <v>2</v>
      </c>
      <c r="S6" s="24">
        <v>3</v>
      </c>
      <c r="T6" s="24">
        <v>4</v>
      </c>
      <c r="U6" s="24">
        <v>5</v>
      </c>
      <c r="V6" s="24">
        <v>2</v>
      </c>
      <c r="W6" s="24">
        <v>5</v>
      </c>
      <c r="X6" s="24">
        <v>4</v>
      </c>
      <c r="Y6" s="24">
        <v>3</v>
      </c>
      <c r="Z6" s="24">
        <v>4</v>
      </c>
      <c r="AA6" s="24">
        <v>3</v>
      </c>
      <c r="AB6" s="24">
        <v>4</v>
      </c>
      <c r="AC6" s="24">
        <v>5</v>
      </c>
      <c r="AD6" s="24">
        <v>5</v>
      </c>
      <c r="AE6" s="24">
        <v>4</v>
      </c>
      <c r="AF6" s="24">
        <v>4</v>
      </c>
      <c r="AG6" s="24">
        <v>5</v>
      </c>
      <c r="AH6" s="24">
        <v>5</v>
      </c>
      <c r="AI6" s="24">
        <v>4</v>
      </c>
      <c r="AJ6" s="24">
        <v>2</v>
      </c>
      <c r="AK6" s="24">
        <v>3</v>
      </c>
      <c r="AL6" s="24">
        <v>2</v>
      </c>
      <c r="AM6" s="23"/>
      <c r="AN6" s="23"/>
      <c r="AO6" s="22" t="s">
        <v>74</v>
      </c>
      <c r="AP6" s="22" t="s">
        <v>559</v>
      </c>
      <c r="AQ6" s="22" t="s">
        <v>560</v>
      </c>
      <c r="AR6" s="22" t="s">
        <v>561</v>
      </c>
    </row>
    <row r="7" spans="1:44" hidden="1">
      <c r="A7" s="22" t="s">
        <v>562</v>
      </c>
      <c r="B7" s="22" t="s">
        <v>551</v>
      </c>
      <c r="C7" s="22" t="s">
        <v>53</v>
      </c>
      <c r="D7" s="22" t="s">
        <v>54</v>
      </c>
      <c r="E7" s="22" t="s">
        <v>55</v>
      </c>
      <c r="F7" s="22" t="s">
        <v>56</v>
      </c>
      <c r="G7" s="22" t="s">
        <v>80</v>
      </c>
      <c r="H7" s="23"/>
      <c r="I7" s="23"/>
      <c r="J7" s="22">
        <v>2</v>
      </c>
      <c r="K7" s="22">
        <v>4</v>
      </c>
      <c r="L7" s="22">
        <v>2</v>
      </c>
      <c r="M7" s="23"/>
      <c r="N7" s="22" t="s">
        <v>66</v>
      </c>
      <c r="O7" s="23"/>
      <c r="P7" s="23"/>
      <c r="Q7" s="24">
        <v>4</v>
      </c>
      <c r="R7" s="24">
        <v>4</v>
      </c>
      <c r="S7" s="24">
        <v>3</v>
      </c>
      <c r="T7" s="24">
        <v>3</v>
      </c>
      <c r="U7" s="24">
        <v>4</v>
      </c>
      <c r="V7" s="24">
        <v>4</v>
      </c>
      <c r="W7" s="24">
        <v>4</v>
      </c>
      <c r="X7" s="24">
        <v>3</v>
      </c>
      <c r="Y7" s="24">
        <v>4</v>
      </c>
      <c r="Z7" s="24">
        <v>3</v>
      </c>
      <c r="AA7" s="24">
        <v>4</v>
      </c>
      <c r="AB7" s="24">
        <v>4</v>
      </c>
      <c r="AC7" s="24">
        <v>4</v>
      </c>
      <c r="AD7" s="24">
        <v>4</v>
      </c>
      <c r="AE7" s="24">
        <v>4</v>
      </c>
      <c r="AF7" s="24">
        <v>4</v>
      </c>
      <c r="AG7" s="24">
        <v>3</v>
      </c>
      <c r="AH7" s="24">
        <v>4</v>
      </c>
      <c r="AI7" s="24">
        <v>3</v>
      </c>
      <c r="AJ7" s="24">
        <v>3</v>
      </c>
      <c r="AK7" s="24">
        <v>4</v>
      </c>
      <c r="AL7" s="24">
        <v>3</v>
      </c>
      <c r="AM7" s="23"/>
      <c r="AN7" s="23"/>
      <c r="AO7" s="22" t="s">
        <v>74</v>
      </c>
      <c r="AP7" s="22" t="s">
        <v>563</v>
      </c>
      <c r="AQ7" s="22" t="s">
        <v>564</v>
      </c>
      <c r="AR7" s="22" t="s">
        <v>565</v>
      </c>
    </row>
    <row r="8" spans="1:44" hidden="1">
      <c r="A8" s="22" t="s">
        <v>566</v>
      </c>
      <c r="B8" s="22" t="s">
        <v>551</v>
      </c>
      <c r="C8" s="22" t="s">
        <v>53</v>
      </c>
      <c r="D8" s="22" t="s">
        <v>98</v>
      </c>
      <c r="E8" s="22" t="s">
        <v>55</v>
      </c>
      <c r="F8" s="22" t="s">
        <v>65</v>
      </c>
      <c r="G8" s="22" t="s">
        <v>96</v>
      </c>
      <c r="H8" s="23"/>
      <c r="I8" s="23"/>
      <c r="J8" s="22">
        <v>1</v>
      </c>
      <c r="K8" s="22">
        <v>1</v>
      </c>
      <c r="L8" s="22">
        <v>1</v>
      </c>
      <c r="M8" s="23"/>
      <c r="N8" s="22" t="s">
        <v>85</v>
      </c>
      <c r="O8" s="23"/>
      <c r="P8" s="23"/>
      <c r="Q8" s="24">
        <v>2</v>
      </c>
      <c r="R8" s="24">
        <v>2</v>
      </c>
      <c r="S8" s="24">
        <v>2</v>
      </c>
      <c r="T8" s="24">
        <v>2</v>
      </c>
      <c r="U8" s="24">
        <v>1</v>
      </c>
      <c r="V8" s="24">
        <v>1</v>
      </c>
      <c r="W8" s="24">
        <v>3</v>
      </c>
      <c r="X8" s="24">
        <v>3</v>
      </c>
      <c r="Y8" s="24">
        <v>3</v>
      </c>
      <c r="Z8" s="24">
        <v>3</v>
      </c>
      <c r="AA8" s="24">
        <v>3</v>
      </c>
      <c r="AB8" s="24">
        <v>4</v>
      </c>
      <c r="AC8" s="24">
        <v>3</v>
      </c>
      <c r="AD8" s="24">
        <v>3</v>
      </c>
      <c r="AE8" s="24">
        <v>3</v>
      </c>
      <c r="AF8" s="24">
        <v>4</v>
      </c>
      <c r="AG8" s="24">
        <v>3</v>
      </c>
      <c r="AH8" s="24">
        <v>3</v>
      </c>
      <c r="AI8" s="24">
        <v>2</v>
      </c>
      <c r="AJ8" s="24">
        <v>3</v>
      </c>
      <c r="AK8" s="24">
        <v>3</v>
      </c>
      <c r="AL8" s="24">
        <v>3</v>
      </c>
      <c r="AM8" s="23"/>
      <c r="AN8" s="23"/>
      <c r="AO8" s="22" t="s">
        <v>74</v>
      </c>
      <c r="AP8" s="22" t="s">
        <v>567</v>
      </c>
      <c r="AQ8" s="22" t="s">
        <v>568</v>
      </c>
      <c r="AR8" s="22" t="s">
        <v>569</v>
      </c>
    </row>
    <row r="9" spans="1:44" hidden="1">
      <c r="A9" s="22" t="s">
        <v>570</v>
      </c>
      <c r="B9" s="22" t="s">
        <v>551</v>
      </c>
      <c r="C9" s="22" t="s">
        <v>53</v>
      </c>
      <c r="D9" s="22" t="s">
        <v>98</v>
      </c>
      <c r="E9" s="22" t="s">
        <v>55</v>
      </c>
      <c r="F9" s="22" t="s">
        <v>136</v>
      </c>
      <c r="G9" s="22" t="s">
        <v>57</v>
      </c>
      <c r="H9" s="23"/>
      <c r="I9" s="23"/>
      <c r="J9" s="22">
        <v>4</v>
      </c>
      <c r="K9" s="22">
        <v>1</v>
      </c>
      <c r="L9" s="22">
        <v>1</v>
      </c>
      <c r="M9" s="23"/>
      <c r="N9" s="22" t="s">
        <v>66</v>
      </c>
      <c r="O9" s="23"/>
      <c r="P9" s="23"/>
      <c r="Q9" s="24">
        <v>4</v>
      </c>
      <c r="R9" s="24">
        <v>3</v>
      </c>
      <c r="S9" s="24">
        <v>3</v>
      </c>
      <c r="T9" s="24">
        <v>3</v>
      </c>
      <c r="U9" s="24">
        <v>4</v>
      </c>
      <c r="V9" s="24">
        <v>3</v>
      </c>
      <c r="W9" s="24">
        <v>5</v>
      </c>
      <c r="X9" s="24">
        <v>4</v>
      </c>
      <c r="Y9" s="24">
        <v>3</v>
      </c>
      <c r="Z9" s="24">
        <v>4</v>
      </c>
      <c r="AA9" s="24">
        <v>4</v>
      </c>
      <c r="AB9" s="24">
        <v>5</v>
      </c>
      <c r="AC9" s="24">
        <v>5</v>
      </c>
      <c r="AD9" s="24">
        <v>5</v>
      </c>
      <c r="AE9" s="24">
        <v>4</v>
      </c>
      <c r="AF9" s="24">
        <v>4</v>
      </c>
      <c r="AG9" s="24">
        <v>4</v>
      </c>
      <c r="AH9" s="24">
        <v>4</v>
      </c>
      <c r="AI9" s="24">
        <v>4</v>
      </c>
      <c r="AJ9" s="24">
        <v>3</v>
      </c>
      <c r="AK9" s="24">
        <v>4</v>
      </c>
      <c r="AL9" s="24">
        <v>3</v>
      </c>
      <c r="AM9" s="23"/>
      <c r="AN9" s="23"/>
      <c r="AO9" s="22" t="s">
        <v>59</v>
      </c>
      <c r="AP9" s="22" t="s">
        <v>243</v>
      </c>
      <c r="AQ9" s="22" t="s">
        <v>243</v>
      </c>
      <c r="AR9" s="22" t="s">
        <v>243</v>
      </c>
    </row>
    <row r="10" spans="1:44" hidden="1">
      <c r="A10" s="22" t="s">
        <v>571</v>
      </c>
      <c r="B10" s="22" t="s">
        <v>551</v>
      </c>
      <c r="C10" s="22" t="s">
        <v>95</v>
      </c>
      <c r="D10" s="22" t="s">
        <v>106</v>
      </c>
      <c r="E10" s="22" t="s">
        <v>72</v>
      </c>
      <c r="F10" s="22" t="s">
        <v>73</v>
      </c>
      <c r="G10" s="22" t="s">
        <v>80</v>
      </c>
      <c r="H10" s="23"/>
      <c r="I10" s="23"/>
      <c r="J10" s="22">
        <v>3</v>
      </c>
      <c r="K10" s="22">
        <v>2</v>
      </c>
      <c r="L10" s="22">
        <v>2</v>
      </c>
      <c r="M10" s="23"/>
      <c r="N10" s="22" t="s">
        <v>66</v>
      </c>
      <c r="O10" s="23"/>
      <c r="P10" s="23"/>
      <c r="Q10" s="24">
        <v>3</v>
      </c>
      <c r="R10" s="24">
        <v>2</v>
      </c>
      <c r="S10" s="24">
        <v>3</v>
      </c>
      <c r="T10" s="24">
        <v>3</v>
      </c>
      <c r="U10" s="24">
        <v>3</v>
      </c>
      <c r="V10" s="24">
        <v>2</v>
      </c>
      <c r="W10" s="24">
        <v>4</v>
      </c>
      <c r="X10" s="24">
        <v>3</v>
      </c>
      <c r="Y10" s="24">
        <v>3</v>
      </c>
      <c r="Z10" s="24">
        <v>3</v>
      </c>
      <c r="AA10" s="24">
        <v>3</v>
      </c>
      <c r="AB10" s="24">
        <v>4</v>
      </c>
      <c r="AC10" s="24">
        <v>4</v>
      </c>
      <c r="AD10" s="24">
        <v>4</v>
      </c>
      <c r="AE10" s="24">
        <v>4</v>
      </c>
      <c r="AF10" s="24">
        <v>4</v>
      </c>
      <c r="AG10" s="24">
        <v>3</v>
      </c>
      <c r="AH10" s="24">
        <v>4</v>
      </c>
      <c r="AI10" s="24">
        <v>4</v>
      </c>
      <c r="AJ10" s="24">
        <v>4</v>
      </c>
      <c r="AK10" s="24">
        <v>4</v>
      </c>
      <c r="AL10" s="24">
        <v>4</v>
      </c>
      <c r="AM10" s="23"/>
      <c r="AN10" s="23"/>
      <c r="AO10" s="22" t="s">
        <v>74</v>
      </c>
      <c r="AP10" s="22" t="s">
        <v>572</v>
      </c>
      <c r="AQ10" s="22" t="s">
        <v>573</v>
      </c>
      <c r="AR10" s="22" t="s">
        <v>574</v>
      </c>
    </row>
    <row r="11" spans="1:44" hidden="1">
      <c r="A11" s="22" t="s">
        <v>575</v>
      </c>
      <c r="B11" s="22" t="s">
        <v>551</v>
      </c>
      <c r="C11" s="22" t="s">
        <v>95</v>
      </c>
      <c r="D11" s="22" t="s">
        <v>54</v>
      </c>
      <c r="E11" s="22" t="s">
        <v>72</v>
      </c>
      <c r="F11" s="22" t="s">
        <v>56</v>
      </c>
      <c r="G11" s="22" t="s">
        <v>129</v>
      </c>
      <c r="H11" s="23"/>
      <c r="I11" s="23"/>
      <c r="J11" s="22">
        <v>2</v>
      </c>
      <c r="K11" s="22">
        <v>2</v>
      </c>
      <c r="L11" s="22">
        <v>2</v>
      </c>
      <c r="M11" s="23"/>
      <c r="N11" s="22" t="s">
        <v>85</v>
      </c>
      <c r="O11" s="23"/>
      <c r="P11" s="23"/>
      <c r="Q11" s="24">
        <v>3</v>
      </c>
      <c r="R11" s="24">
        <v>3</v>
      </c>
      <c r="S11" s="24">
        <v>2</v>
      </c>
      <c r="T11" s="24">
        <v>3</v>
      </c>
      <c r="U11" s="24">
        <v>2</v>
      </c>
      <c r="V11" s="24">
        <v>2</v>
      </c>
      <c r="W11" s="24">
        <v>3</v>
      </c>
      <c r="X11" s="24">
        <v>3</v>
      </c>
      <c r="Y11" s="24">
        <v>3</v>
      </c>
      <c r="Z11" s="24">
        <v>3</v>
      </c>
      <c r="AA11" s="24">
        <v>3</v>
      </c>
      <c r="AB11" s="24">
        <v>3</v>
      </c>
      <c r="AC11" s="24">
        <v>3</v>
      </c>
      <c r="AD11" s="24">
        <v>3</v>
      </c>
      <c r="AE11" s="24">
        <v>3</v>
      </c>
      <c r="AF11" s="24">
        <v>3</v>
      </c>
      <c r="AG11" s="24">
        <v>3</v>
      </c>
      <c r="AH11" s="24">
        <v>3</v>
      </c>
      <c r="AI11" s="24">
        <v>3</v>
      </c>
      <c r="AJ11" s="24">
        <v>3</v>
      </c>
      <c r="AK11" s="24">
        <v>3</v>
      </c>
      <c r="AL11" s="24">
        <v>3</v>
      </c>
      <c r="AM11" s="23"/>
      <c r="AN11" s="23"/>
      <c r="AO11" s="22" t="s">
        <v>59</v>
      </c>
      <c r="AP11" s="22" t="s">
        <v>92</v>
      </c>
      <c r="AQ11" s="22" t="s">
        <v>576</v>
      </c>
      <c r="AR11" s="22" t="s">
        <v>171</v>
      </c>
    </row>
    <row r="12" spans="1:44" hidden="1">
      <c r="A12" s="22" t="s">
        <v>577</v>
      </c>
      <c r="B12" s="22" t="s">
        <v>551</v>
      </c>
      <c r="C12" s="22" t="s">
        <v>53</v>
      </c>
      <c r="D12" s="22" t="s">
        <v>106</v>
      </c>
      <c r="E12" s="22" t="s">
        <v>72</v>
      </c>
      <c r="F12" s="22" t="s">
        <v>73</v>
      </c>
      <c r="G12" s="22" t="s">
        <v>57</v>
      </c>
      <c r="H12" s="23"/>
      <c r="I12" s="23"/>
      <c r="J12" s="22">
        <v>4</v>
      </c>
      <c r="K12" s="22">
        <v>2</v>
      </c>
      <c r="L12" s="22">
        <v>2</v>
      </c>
      <c r="M12" s="23"/>
      <c r="N12" s="22" t="s">
        <v>58</v>
      </c>
      <c r="O12" s="23"/>
      <c r="P12" s="23"/>
      <c r="Q12" s="24">
        <v>4</v>
      </c>
      <c r="R12" s="24">
        <v>3</v>
      </c>
      <c r="S12" s="24">
        <v>3</v>
      </c>
      <c r="T12" s="24">
        <v>3</v>
      </c>
      <c r="U12" s="24">
        <v>4</v>
      </c>
      <c r="V12" s="24">
        <v>4</v>
      </c>
      <c r="W12" s="24">
        <v>4</v>
      </c>
      <c r="X12" s="24">
        <v>4</v>
      </c>
      <c r="Y12" s="24">
        <v>4</v>
      </c>
      <c r="Z12" s="24">
        <v>4</v>
      </c>
      <c r="AA12" s="24">
        <v>5</v>
      </c>
      <c r="AB12" s="24">
        <v>4</v>
      </c>
      <c r="AC12" s="24">
        <v>4</v>
      </c>
      <c r="AD12" s="24">
        <v>4</v>
      </c>
      <c r="AE12" s="24">
        <v>5</v>
      </c>
      <c r="AF12" s="24">
        <v>5</v>
      </c>
      <c r="AG12" s="24">
        <v>4</v>
      </c>
      <c r="AH12" s="24">
        <v>4</v>
      </c>
      <c r="AI12" s="24">
        <v>3</v>
      </c>
      <c r="AJ12" s="24">
        <v>3</v>
      </c>
      <c r="AK12" s="24">
        <v>4</v>
      </c>
      <c r="AL12" s="24">
        <v>3</v>
      </c>
      <c r="AM12" s="23"/>
      <c r="AN12" s="23"/>
      <c r="AO12" s="22" t="s">
        <v>74</v>
      </c>
      <c r="AP12" s="22" t="s">
        <v>578</v>
      </c>
      <c r="AQ12" s="22" t="s">
        <v>579</v>
      </c>
      <c r="AR12" s="22" t="s">
        <v>580</v>
      </c>
    </row>
    <row r="13" spans="1:44" hidden="1">
      <c r="A13" s="22" t="s">
        <v>581</v>
      </c>
      <c r="B13" s="22" t="s">
        <v>551</v>
      </c>
      <c r="C13" s="22" t="s">
        <v>53</v>
      </c>
      <c r="D13" s="22" t="s">
        <v>71</v>
      </c>
      <c r="E13" s="22" t="s">
        <v>55</v>
      </c>
      <c r="F13" s="22" t="s">
        <v>73</v>
      </c>
      <c r="G13" s="22" t="s">
        <v>80</v>
      </c>
      <c r="H13" s="23"/>
      <c r="I13" s="23"/>
      <c r="J13" s="22">
        <v>2</v>
      </c>
      <c r="K13" s="22">
        <v>2</v>
      </c>
      <c r="L13" s="22">
        <v>2</v>
      </c>
      <c r="M13" s="23"/>
      <c r="N13" s="22" t="s">
        <v>58</v>
      </c>
      <c r="O13" s="23"/>
      <c r="P13" s="23"/>
      <c r="Q13" s="24">
        <v>3</v>
      </c>
      <c r="R13" s="24">
        <v>3</v>
      </c>
      <c r="S13" s="24">
        <v>2</v>
      </c>
      <c r="T13" s="24">
        <v>2</v>
      </c>
      <c r="U13" s="24">
        <v>2</v>
      </c>
      <c r="V13" s="24">
        <v>3</v>
      </c>
      <c r="W13" s="24">
        <v>3</v>
      </c>
      <c r="X13" s="24">
        <v>3</v>
      </c>
      <c r="Y13" s="24">
        <v>3</v>
      </c>
      <c r="Z13" s="24">
        <v>3</v>
      </c>
      <c r="AA13" s="24">
        <v>3</v>
      </c>
      <c r="AB13" s="24">
        <v>3</v>
      </c>
      <c r="AC13" s="24">
        <v>3</v>
      </c>
      <c r="AD13" s="24">
        <v>4</v>
      </c>
      <c r="AE13" s="24">
        <v>3</v>
      </c>
      <c r="AF13" s="24">
        <v>3</v>
      </c>
      <c r="AG13" s="24">
        <v>2</v>
      </c>
      <c r="AH13" s="24">
        <v>3</v>
      </c>
      <c r="AI13" s="24">
        <v>2</v>
      </c>
      <c r="AJ13" s="24">
        <v>2</v>
      </c>
      <c r="AK13" s="24">
        <v>3</v>
      </c>
      <c r="AL13" s="24">
        <v>2</v>
      </c>
      <c r="AM13" s="23"/>
      <c r="AN13" s="23"/>
      <c r="AO13" s="22" t="s">
        <v>74</v>
      </c>
      <c r="AP13" s="22" t="s">
        <v>582</v>
      </c>
      <c r="AQ13" s="22" t="s">
        <v>582</v>
      </c>
      <c r="AR13" s="22" t="s">
        <v>85</v>
      </c>
    </row>
    <row r="14" spans="1:44" hidden="1">
      <c r="A14" s="22" t="s">
        <v>583</v>
      </c>
      <c r="B14" s="22" t="s">
        <v>551</v>
      </c>
      <c r="C14" s="22" t="s">
        <v>95</v>
      </c>
      <c r="D14" s="22" t="s">
        <v>64</v>
      </c>
      <c r="E14" s="22" t="s">
        <v>72</v>
      </c>
      <c r="F14" s="22" t="s">
        <v>65</v>
      </c>
      <c r="G14" s="22" t="s">
        <v>57</v>
      </c>
      <c r="H14" s="23"/>
      <c r="I14" s="23"/>
      <c r="J14" s="22">
        <v>5</v>
      </c>
      <c r="K14" s="22">
        <v>4</v>
      </c>
      <c r="L14" s="22">
        <v>4</v>
      </c>
      <c r="M14" s="23"/>
      <c r="N14" s="22" t="s">
        <v>58</v>
      </c>
      <c r="O14" s="23"/>
      <c r="P14" s="23"/>
      <c r="Q14" s="24">
        <v>3</v>
      </c>
      <c r="R14" s="24">
        <v>2</v>
      </c>
      <c r="S14" s="24">
        <v>3</v>
      </c>
      <c r="T14" s="24">
        <v>3</v>
      </c>
      <c r="U14" s="24">
        <v>3</v>
      </c>
      <c r="V14" s="24">
        <v>3</v>
      </c>
      <c r="W14" s="24">
        <v>3</v>
      </c>
      <c r="X14" s="24">
        <v>3</v>
      </c>
      <c r="Y14" s="24">
        <v>3</v>
      </c>
      <c r="Z14" s="24">
        <v>3</v>
      </c>
      <c r="AA14" s="24">
        <v>3</v>
      </c>
      <c r="AB14" s="24">
        <v>3</v>
      </c>
      <c r="AC14" s="24">
        <v>3</v>
      </c>
      <c r="AD14" s="24">
        <v>3</v>
      </c>
      <c r="AE14" s="24">
        <v>3</v>
      </c>
      <c r="AF14" s="24">
        <v>3</v>
      </c>
      <c r="AG14" s="24">
        <v>3</v>
      </c>
      <c r="AH14" s="24">
        <v>3</v>
      </c>
      <c r="AI14" s="24">
        <v>3</v>
      </c>
      <c r="AJ14" s="24">
        <v>3</v>
      </c>
      <c r="AK14" s="24">
        <v>3</v>
      </c>
      <c r="AL14" s="24">
        <v>3</v>
      </c>
      <c r="AM14" s="23"/>
      <c r="AN14" s="23"/>
      <c r="AO14" s="22" t="s">
        <v>74</v>
      </c>
      <c r="AP14" s="22" t="s">
        <v>137</v>
      </c>
      <c r="AQ14" s="22" t="s">
        <v>584</v>
      </c>
      <c r="AR14" s="22" t="s">
        <v>585</v>
      </c>
    </row>
    <row r="15" spans="1:44" hidden="1">
      <c r="A15" s="22" t="s">
        <v>586</v>
      </c>
      <c r="B15" s="22" t="s">
        <v>551</v>
      </c>
      <c r="C15" s="22" t="s">
        <v>53</v>
      </c>
      <c r="D15" s="22" t="s">
        <v>98</v>
      </c>
      <c r="E15" s="22" t="s">
        <v>55</v>
      </c>
      <c r="F15" s="22" t="s">
        <v>136</v>
      </c>
      <c r="G15" s="22" t="s">
        <v>57</v>
      </c>
      <c r="H15" s="23"/>
      <c r="I15" s="23"/>
      <c r="J15" s="22">
        <v>4</v>
      </c>
      <c r="K15" s="22">
        <v>1</v>
      </c>
      <c r="L15" s="22">
        <v>4</v>
      </c>
      <c r="M15" s="23"/>
      <c r="N15" s="22" t="s">
        <v>58</v>
      </c>
      <c r="O15" s="23"/>
      <c r="P15" s="23"/>
      <c r="Q15" s="24">
        <v>4</v>
      </c>
      <c r="R15" s="24">
        <v>3</v>
      </c>
      <c r="S15" s="24">
        <v>4</v>
      </c>
      <c r="T15" s="24">
        <v>4</v>
      </c>
      <c r="U15" s="24">
        <v>5</v>
      </c>
      <c r="V15" s="24">
        <v>4</v>
      </c>
      <c r="W15" s="24">
        <v>4</v>
      </c>
      <c r="X15" s="24">
        <v>4</v>
      </c>
      <c r="Y15" s="24">
        <v>2</v>
      </c>
      <c r="Z15" s="24">
        <v>3</v>
      </c>
      <c r="AA15" s="24">
        <v>4</v>
      </c>
      <c r="AB15" s="24">
        <v>5</v>
      </c>
      <c r="AC15" s="24">
        <v>5</v>
      </c>
      <c r="AD15" s="24">
        <v>5</v>
      </c>
      <c r="AE15" s="24">
        <v>5</v>
      </c>
      <c r="AF15" s="24">
        <v>4</v>
      </c>
      <c r="AG15" s="24">
        <v>4</v>
      </c>
      <c r="AH15" s="24">
        <v>5</v>
      </c>
      <c r="AI15" s="24">
        <v>2</v>
      </c>
      <c r="AJ15" s="24">
        <v>2</v>
      </c>
      <c r="AK15" s="24">
        <v>3</v>
      </c>
      <c r="AL15" s="24">
        <v>2</v>
      </c>
      <c r="AM15" s="23"/>
      <c r="AN15" s="23"/>
      <c r="AO15" s="22" t="s">
        <v>74</v>
      </c>
      <c r="AP15" s="22" t="s">
        <v>587</v>
      </c>
      <c r="AQ15" s="22" t="s">
        <v>140</v>
      </c>
      <c r="AR15" s="22" t="s">
        <v>243</v>
      </c>
    </row>
    <row r="16" spans="1:44" hidden="1">
      <c r="A16" s="22" t="s">
        <v>588</v>
      </c>
      <c r="B16" s="22" t="s">
        <v>551</v>
      </c>
      <c r="C16" s="22" t="s">
        <v>95</v>
      </c>
      <c r="D16" s="22" t="s">
        <v>54</v>
      </c>
      <c r="E16" s="22" t="s">
        <v>72</v>
      </c>
      <c r="F16" s="22" t="s">
        <v>56</v>
      </c>
      <c r="G16" s="22" t="s">
        <v>129</v>
      </c>
      <c r="H16" s="23"/>
      <c r="I16" s="23"/>
      <c r="J16" s="22">
        <v>3</v>
      </c>
      <c r="K16" s="22">
        <v>2</v>
      </c>
      <c r="L16" s="22">
        <v>2</v>
      </c>
      <c r="M16" s="23"/>
      <c r="N16" s="22" t="s">
        <v>85</v>
      </c>
      <c r="O16" s="23"/>
      <c r="P16" s="23"/>
      <c r="Q16" s="24">
        <v>2</v>
      </c>
      <c r="R16" s="24">
        <v>2</v>
      </c>
      <c r="S16" s="24">
        <v>2</v>
      </c>
      <c r="T16" s="24">
        <v>2</v>
      </c>
      <c r="U16" s="24">
        <v>2</v>
      </c>
      <c r="V16" s="24">
        <v>2</v>
      </c>
      <c r="W16" s="24">
        <v>2</v>
      </c>
      <c r="X16" s="24">
        <v>2</v>
      </c>
      <c r="Y16" s="24">
        <v>2</v>
      </c>
      <c r="Z16" s="24">
        <v>2</v>
      </c>
      <c r="AA16" s="24">
        <v>2</v>
      </c>
      <c r="AB16" s="24">
        <v>2</v>
      </c>
      <c r="AC16" s="24">
        <v>2</v>
      </c>
      <c r="AD16" s="24">
        <v>2</v>
      </c>
      <c r="AE16" s="24">
        <v>2</v>
      </c>
      <c r="AF16" s="24">
        <v>3</v>
      </c>
      <c r="AG16" s="24">
        <v>3</v>
      </c>
      <c r="AH16" s="24">
        <v>3</v>
      </c>
      <c r="AI16" s="24">
        <v>2</v>
      </c>
      <c r="AJ16" s="24">
        <v>2</v>
      </c>
      <c r="AK16" s="24">
        <v>3</v>
      </c>
      <c r="AL16" s="24">
        <v>2</v>
      </c>
      <c r="AM16" s="23"/>
      <c r="AN16" s="23"/>
      <c r="AO16" s="22" t="s">
        <v>59</v>
      </c>
      <c r="AP16" s="22" t="s">
        <v>589</v>
      </c>
      <c r="AQ16" s="22" t="s">
        <v>166</v>
      </c>
      <c r="AR16" s="22" t="s">
        <v>590</v>
      </c>
    </row>
    <row r="17" spans="1:44" hidden="1">
      <c r="A17" s="22" t="s">
        <v>591</v>
      </c>
      <c r="B17" s="22" t="s">
        <v>551</v>
      </c>
      <c r="C17" s="22" t="s">
        <v>90</v>
      </c>
      <c r="D17" s="22" t="s">
        <v>64</v>
      </c>
      <c r="E17" s="22" t="s">
        <v>55</v>
      </c>
      <c r="F17" s="22" t="s">
        <v>65</v>
      </c>
      <c r="G17" s="22" t="s">
        <v>80</v>
      </c>
      <c r="H17" s="23"/>
      <c r="I17" s="23"/>
      <c r="J17" s="22">
        <v>4</v>
      </c>
      <c r="K17" s="22">
        <v>3</v>
      </c>
      <c r="L17" s="22">
        <v>3</v>
      </c>
      <c r="M17" s="23"/>
      <c r="N17" s="22" t="s">
        <v>58</v>
      </c>
      <c r="O17" s="23"/>
      <c r="P17" s="23"/>
      <c r="Q17" s="24">
        <v>3</v>
      </c>
      <c r="R17" s="24">
        <v>3</v>
      </c>
      <c r="S17" s="24">
        <v>3</v>
      </c>
      <c r="T17" s="24">
        <v>3</v>
      </c>
      <c r="U17" s="24">
        <v>3</v>
      </c>
      <c r="V17" s="24">
        <v>3</v>
      </c>
      <c r="W17" s="24">
        <v>3</v>
      </c>
      <c r="X17" s="24">
        <v>3</v>
      </c>
      <c r="Y17" s="24">
        <v>3</v>
      </c>
      <c r="Z17" s="24">
        <v>3</v>
      </c>
      <c r="AA17" s="24">
        <v>3</v>
      </c>
      <c r="AB17" s="24">
        <v>3</v>
      </c>
      <c r="AC17" s="24">
        <v>3</v>
      </c>
      <c r="AD17" s="24">
        <v>3</v>
      </c>
      <c r="AE17" s="24">
        <v>3</v>
      </c>
      <c r="AF17" s="24">
        <v>3</v>
      </c>
      <c r="AG17" s="24">
        <v>3</v>
      </c>
      <c r="AH17" s="24">
        <v>3</v>
      </c>
      <c r="AI17" s="24">
        <v>3</v>
      </c>
      <c r="AJ17" s="24">
        <v>3</v>
      </c>
      <c r="AK17" s="24">
        <v>3</v>
      </c>
      <c r="AL17" s="24">
        <v>3</v>
      </c>
      <c r="AM17" s="23"/>
      <c r="AN17" s="23"/>
      <c r="AO17" s="22" t="s">
        <v>74</v>
      </c>
      <c r="AP17" s="22" t="s">
        <v>92</v>
      </c>
      <c r="AQ17" s="22" t="s">
        <v>92</v>
      </c>
      <c r="AR17" s="22" t="s">
        <v>92</v>
      </c>
    </row>
    <row r="18" spans="1:44" hidden="1">
      <c r="A18" s="22" t="s">
        <v>592</v>
      </c>
      <c r="B18" s="22" t="s">
        <v>551</v>
      </c>
      <c r="C18" s="22" t="s">
        <v>95</v>
      </c>
      <c r="D18" s="22" t="s">
        <v>64</v>
      </c>
      <c r="E18" s="22" t="s">
        <v>55</v>
      </c>
      <c r="F18" s="22" t="s">
        <v>65</v>
      </c>
      <c r="G18" s="22" t="s">
        <v>57</v>
      </c>
      <c r="H18" s="23"/>
      <c r="I18" s="23"/>
      <c r="J18" s="22">
        <v>4</v>
      </c>
      <c r="K18" s="22">
        <v>3</v>
      </c>
      <c r="L18" s="22">
        <v>2</v>
      </c>
      <c r="M18" s="23"/>
      <c r="N18" s="22" t="s">
        <v>115</v>
      </c>
      <c r="O18" s="23"/>
      <c r="P18" s="23"/>
      <c r="Q18" s="24">
        <v>4</v>
      </c>
      <c r="R18" s="24">
        <v>4</v>
      </c>
      <c r="S18" s="24">
        <v>4</v>
      </c>
      <c r="T18" s="24">
        <v>3</v>
      </c>
      <c r="U18" s="24">
        <v>4</v>
      </c>
      <c r="V18" s="24">
        <v>4</v>
      </c>
      <c r="W18" s="24">
        <v>4</v>
      </c>
      <c r="X18" s="24">
        <v>4</v>
      </c>
      <c r="Y18" s="24">
        <v>4</v>
      </c>
      <c r="Z18" s="24">
        <v>4</v>
      </c>
      <c r="AA18" s="24">
        <v>4</v>
      </c>
      <c r="AB18" s="24">
        <v>4</v>
      </c>
      <c r="AC18" s="24">
        <v>4</v>
      </c>
      <c r="AD18" s="24">
        <v>4</v>
      </c>
      <c r="AE18" s="24">
        <v>4</v>
      </c>
      <c r="AF18" s="24">
        <v>4</v>
      </c>
      <c r="AG18" s="24">
        <v>4</v>
      </c>
      <c r="AH18" s="24">
        <v>4</v>
      </c>
      <c r="AI18" s="24">
        <v>3</v>
      </c>
      <c r="AJ18" s="24">
        <v>4</v>
      </c>
      <c r="AK18" s="24">
        <v>4</v>
      </c>
      <c r="AL18" s="24">
        <v>3</v>
      </c>
      <c r="AM18" s="23"/>
      <c r="AN18" s="23"/>
      <c r="AO18" s="22" t="s">
        <v>74</v>
      </c>
      <c r="AP18" s="22" t="s">
        <v>593</v>
      </c>
      <c r="AQ18" s="22" t="s">
        <v>594</v>
      </c>
      <c r="AR18" s="22" t="s">
        <v>92</v>
      </c>
    </row>
    <row r="19" spans="1:44" hidden="1">
      <c r="A19" s="22" t="s">
        <v>595</v>
      </c>
      <c r="B19" s="22" t="s">
        <v>551</v>
      </c>
      <c r="C19" s="22" t="s">
        <v>95</v>
      </c>
      <c r="D19" s="22" t="s">
        <v>54</v>
      </c>
      <c r="E19" s="22" t="s">
        <v>55</v>
      </c>
      <c r="F19" s="22" t="s">
        <v>56</v>
      </c>
      <c r="G19" s="22" t="s">
        <v>80</v>
      </c>
      <c r="H19" s="23"/>
      <c r="I19" s="23"/>
      <c r="J19" s="22">
        <v>3</v>
      </c>
      <c r="K19" s="22">
        <v>2</v>
      </c>
      <c r="L19" s="22">
        <v>1</v>
      </c>
      <c r="M19" s="23"/>
      <c r="N19" s="22" t="s">
        <v>85</v>
      </c>
      <c r="O19" s="23"/>
      <c r="P19" s="23"/>
      <c r="Q19" s="24">
        <v>3</v>
      </c>
      <c r="R19" s="24">
        <v>2</v>
      </c>
      <c r="S19" s="24">
        <v>2</v>
      </c>
      <c r="T19" s="24">
        <v>2</v>
      </c>
      <c r="U19" s="24">
        <v>2</v>
      </c>
      <c r="V19" s="24">
        <v>2</v>
      </c>
      <c r="W19" s="24">
        <v>3</v>
      </c>
      <c r="X19" s="24">
        <v>2</v>
      </c>
      <c r="Y19" s="24">
        <v>2</v>
      </c>
      <c r="Z19" s="24">
        <v>2</v>
      </c>
      <c r="AA19" s="24">
        <v>3</v>
      </c>
      <c r="AB19" s="24">
        <v>3</v>
      </c>
      <c r="AC19" s="24">
        <v>3</v>
      </c>
      <c r="AD19" s="24">
        <v>3</v>
      </c>
      <c r="AE19" s="24">
        <v>4</v>
      </c>
      <c r="AF19" s="24">
        <v>3</v>
      </c>
      <c r="AG19" s="24">
        <v>3</v>
      </c>
      <c r="AH19" s="24">
        <v>4</v>
      </c>
      <c r="AI19" s="24">
        <v>3</v>
      </c>
      <c r="AJ19" s="24">
        <v>3</v>
      </c>
      <c r="AK19" s="24">
        <v>4</v>
      </c>
      <c r="AL19" s="24">
        <v>4</v>
      </c>
      <c r="AM19" s="23"/>
      <c r="AN19" s="23"/>
      <c r="AO19" s="22" t="s">
        <v>59</v>
      </c>
      <c r="AP19" s="22" t="s">
        <v>596</v>
      </c>
      <c r="AQ19" s="22" t="s">
        <v>597</v>
      </c>
      <c r="AR19" s="22" t="s">
        <v>598</v>
      </c>
    </row>
    <row r="20" spans="1:44" hidden="1">
      <c r="A20" s="22" t="s">
        <v>599</v>
      </c>
      <c r="B20" s="22" t="s">
        <v>551</v>
      </c>
      <c r="C20" s="22" t="s">
        <v>53</v>
      </c>
      <c r="D20" s="22" t="s">
        <v>98</v>
      </c>
      <c r="E20" s="22" t="s">
        <v>55</v>
      </c>
      <c r="F20" s="22" t="s">
        <v>65</v>
      </c>
      <c r="G20" s="22" t="s">
        <v>80</v>
      </c>
      <c r="H20" s="23"/>
      <c r="I20" s="23"/>
      <c r="J20" s="22">
        <v>4</v>
      </c>
      <c r="K20" s="22">
        <v>3</v>
      </c>
      <c r="L20" s="22">
        <v>3</v>
      </c>
      <c r="M20" s="23"/>
      <c r="N20" s="22" t="s">
        <v>66</v>
      </c>
      <c r="O20" s="23"/>
      <c r="P20" s="23"/>
      <c r="Q20" s="24">
        <v>3</v>
      </c>
      <c r="R20" s="24">
        <v>3</v>
      </c>
      <c r="S20" s="24">
        <v>4</v>
      </c>
      <c r="T20" s="24">
        <v>4</v>
      </c>
      <c r="U20" s="24">
        <v>4</v>
      </c>
      <c r="V20" s="24">
        <v>4</v>
      </c>
      <c r="W20" s="24">
        <v>4</v>
      </c>
      <c r="X20" s="24">
        <v>4</v>
      </c>
      <c r="Y20" s="24">
        <v>4</v>
      </c>
      <c r="Z20" s="24">
        <v>4</v>
      </c>
      <c r="AA20" s="24">
        <v>4</v>
      </c>
      <c r="AB20" s="24">
        <v>4</v>
      </c>
      <c r="AC20" s="24">
        <v>4</v>
      </c>
      <c r="AD20" s="24">
        <v>4</v>
      </c>
      <c r="AE20" s="24">
        <v>4</v>
      </c>
      <c r="AF20" s="24">
        <v>4</v>
      </c>
      <c r="AG20" s="24">
        <v>4</v>
      </c>
      <c r="AH20" s="24">
        <v>4</v>
      </c>
      <c r="AI20" s="24">
        <v>4</v>
      </c>
      <c r="AJ20" s="24">
        <v>4</v>
      </c>
      <c r="AK20" s="24">
        <v>4</v>
      </c>
      <c r="AL20" s="24">
        <v>4</v>
      </c>
      <c r="AM20" s="23"/>
      <c r="AN20" s="23"/>
      <c r="AO20" s="22" t="s">
        <v>74</v>
      </c>
      <c r="AP20" s="22" t="s">
        <v>600</v>
      </c>
      <c r="AQ20" s="22" t="s">
        <v>601</v>
      </c>
      <c r="AR20" s="22" t="s">
        <v>602</v>
      </c>
    </row>
    <row r="21" spans="1:44" hidden="1">
      <c r="A21" s="22" t="s">
        <v>603</v>
      </c>
      <c r="B21" s="22" t="s">
        <v>551</v>
      </c>
      <c r="C21" s="22" t="s">
        <v>95</v>
      </c>
      <c r="D21" s="22" t="s">
        <v>106</v>
      </c>
      <c r="E21" s="22" t="s">
        <v>72</v>
      </c>
      <c r="F21" s="22" t="s">
        <v>73</v>
      </c>
      <c r="G21" s="22" t="s">
        <v>80</v>
      </c>
      <c r="H21" s="23"/>
      <c r="I21" s="23"/>
      <c r="J21" s="22">
        <v>2</v>
      </c>
      <c r="K21" s="22">
        <v>1</v>
      </c>
      <c r="L21" s="22">
        <v>1</v>
      </c>
      <c r="M21" s="23"/>
      <c r="N21" s="22" t="s">
        <v>85</v>
      </c>
      <c r="O21" s="23"/>
      <c r="P21" s="23"/>
      <c r="Q21" s="24">
        <v>2</v>
      </c>
      <c r="R21" s="24">
        <v>1</v>
      </c>
      <c r="S21" s="24">
        <v>2</v>
      </c>
      <c r="T21" s="24">
        <v>1</v>
      </c>
      <c r="U21" s="24">
        <v>1</v>
      </c>
      <c r="V21" s="24">
        <v>2</v>
      </c>
      <c r="W21" s="24">
        <v>3</v>
      </c>
      <c r="X21" s="24">
        <v>2</v>
      </c>
      <c r="Y21" s="24">
        <v>2</v>
      </c>
      <c r="Z21" s="24">
        <v>1</v>
      </c>
      <c r="AA21" s="24">
        <v>2</v>
      </c>
      <c r="AB21" s="24">
        <v>3</v>
      </c>
      <c r="AC21" s="24">
        <v>3</v>
      </c>
      <c r="AD21" s="24">
        <v>4</v>
      </c>
      <c r="AE21" s="24">
        <v>4</v>
      </c>
      <c r="AF21" s="24">
        <v>4</v>
      </c>
      <c r="AG21" s="24">
        <v>3</v>
      </c>
      <c r="AH21" s="24">
        <v>4</v>
      </c>
      <c r="AI21" s="24">
        <v>3</v>
      </c>
      <c r="AJ21" s="24">
        <v>3</v>
      </c>
      <c r="AK21" s="24">
        <v>3</v>
      </c>
      <c r="AL21" s="24">
        <v>3</v>
      </c>
      <c r="AM21" s="23"/>
      <c r="AN21" s="23"/>
      <c r="AO21" s="22" t="s">
        <v>74</v>
      </c>
      <c r="AP21" s="22" t="s">
        <v>604</v>
      </c>
      <c r="AQ21" s="22" t="s">
        <v>605</v>
      </c>
      <c r="AR21" s="22" t="s">
        <v>606</v>
      </c>
    </row>
    <row r="22" spans="1:44" hidden="1">
      <c r="A22" s="22" t="s">
        <v>607</v>
      </c>
      <c r="B22" s="22" t="s">
        <v>551</v>
      </c>
      <c r="C22" s="22" t="s">
        <v>90</v>
      </c>
      <c r="D22" s="22" t="s">
        <v>64</v>
      </c>
      <c r="E22" s="22" t="s">
        <v>55</v>
      </c>
      <c r="F22" s="22" t="s">
        <v>56</v>
      </c>
      <c r="G22" s="22" t="s">
        <v>96</v>
      </c>
      <c r="H22" s="23"/>
      <c r="I22" s="23"/>
      <c r="J22" s="22">
        <v>1</v>
      </c>
      <c r="K22" s="22">
        <v>1</v>
      </c>
      <c r="L22" s="22">
        <v>1</v>
      </c>
      <c r="M22" s="23"/>
      <c r="N22" s="22" t="s">
        <v>85</v>
      </c>
      <c r="O22" s="23"/>
      <c r="P22" s="23"/>
      <c r="Q22" s="24">
        <v>1</v>
      </c>
      <c r="R22" s="24">
        <v>1</v>
      </c>
      <c r="S22" s="24">
        <v>1</v>
      </c>
      <c r="T22" s="24">
        <v>1</v>
      </c>
      <c r="U22" s="24">
        <v>1</v>
      </c>
      <c r="V22" s="24">
        <v>1</v>
      </c>
      <c r="W22" s="24">
        <v>1</v>
      </c>
      <c r="X22" s="24">
        <v>1</v>
      </c>
      <c r="Y22" s="24">
        <v>1</v>
      </c>
      <c r="Z22" s="24">
        <v>1</v>
      </c>
      <c r="AA22" s="24">
        <v>1</v>
      </c>
      <c r="AB22" s="24">
        <v>1</v>
      </c>
      <c r="AC22" s="24">
        <v>1</v>
      </c>
      <c r="AD22" s="24">
        <v>3</v>
      </c>
      <c r="AE22" s="24">
        <v>1</v>
      </c>
      <c r="AF22" s="24">
        <v>3</v>
      </c>
      <c r="AG22" s="24">
        <v>2</v>
      </c>
      <c r="AH22" s="24">
        <v>3</v>
      </c>
      <c r="AI22" s="24">
        <v>3</v>
      </c>
      <c r="AJ22" s="24">
        <v>3</v>
      </c>
      <c r="AK22" s="24">
        <v>3</v>
      </c>
      <c r="AL22" s="24">
        <v>3</v>
      </c>
      <c r="AM22" s="23"/>
      <c r="AN22" s="23"/>
      <c r="AO22" s="22" t="s">
        <v>59</v>
      </c>
      <c r="AP22" s="22" t="s">
        <v>608</v>
      </c>
      <c r="AQ22" s="22" t="s">
        <v>608</v>
      </c>
      <c r="AR22" s="22" t="s">
        <v>608</v>
      </c>
    </row>
    <row r="23" spans="1:44" hidden="1">
      <c r="A23" s="22" t="s">
        <v>609</v>
      </c>
      <c r="B23" s="22" t="s">
        <v>551</v>
      </c>
      <c r="C23" s="22" t="s">
        <v>53</v>
      </c>
      <c r="D23" s="22" t="s">
        <v>64</v>
      </c>
      <c r="E23" s="22" t="s">
        <v>55</v>
      </c>
      <c r="F23" s="22" t="s">
        <v>56</v>
      </c>
      <c r="G23" s="22" t="s">
        <v>96</v>
      </c>
      <c r="H23" s="23"/>
      <c r="I23" s="23"/>
      <c r="J23" s="22">
        <v>3</v>
      </c>
      <c r="K23" s="22">
        <v>2</v>
      </c>
      <c r="L23" s="22">
        <v>1</v>
      </c>
      <c r="M23" s="23"/>
      <c r="N23" s="22" t="s">
        <v>85</v>
      </c>
      <c r="O23" s="23"/>
      <c r="P23" s="23"/>
      <c r="Q23" s="24">
        <v>4</v>
      </c>
      <c r="R23" s="24">
        <v>4</v>
      </c>
      <c r="S23" s="24">
        <v>2</v>
      </c>
      <c r="T23" s="24">
        <v>1</v>
      </c>
      <c r="U23" s="24">
        <v>1</v>
      </c>
      <c r="V23" s="24">
        <v>1</v>
      </c>
      <c r="W23" s="24">
        <v>5</v>
      </c>
      <c r="X23" s="24">
        <v>5</v>
      </c>
      <c r="Y23" s="24">
        <v>4</v>
      </c>
      <c r="Z23" s="24">
        <v>3</v>
      </c>
      <c r="AA23" s="24">
        <v>3</v>
      </c>
      <c r="AB23" s="24">
        <v>4</v>
      </c>
      <c r="AC23" s="24">
        <v>3</v>
      </c>
      <c r="AD23" s="24">
        <v>4</v>
      </c>
      <c r="AE23" s="24">
        <v>3</v>
      </c>
      <c r="AF23" s="24">
        <v>4</v>
      </c>
      <c r="AG23" s="24">
        <v>3</v>
      </c>
      <c r="AH23" s="24">
        <v>3</v>
      </c>
      <c r="AI23" s="24">
        <v>2</v>
      </c>
      <c r="AJ23" s="24">
        <v>2</v>
      </c>
      <c r="AK23" s="24">
        <v>3</v>
      </c>
      <c r="AL23" s="24">
        <v>1</v>
      </c>
      <c r="AM23" s="23"/>
      <c r="AN23" s="23"/>
      <c r="AO23" s="22" t="s">
        <v>59</v>
      </c>
      <c r="AP23" s="22" t="s">
        <v>610</v>
      </c>
      <c r="AQ23" s="22" t="s">
        <v>611</v>
      </c>
      <c r="AR23" s="22" t="s">
        <v>157</v>
      </c>
    </row>
    <row r="24" spans="1:44" hidden="1">
      <c r="A24" s="22" t="s">
        <v>612</v>
      </c>
      <c r="B24" s="22" t="s">
        <v>551</v>
      </c>
      <c r="C24" s="22" t="s">
        <v>79</v>
      </c>
      <c r="D24" s="22" t="s">
        <v>54</v>
      </c>
      <c r="E24" s="22" t="s">
        <v>72</v>
      </c>
      <c r="F24" s="22" t="s">
        <v>56</v>
      </c>
      <c r="G24" s="22" t="s">
        <v>57</v>
      </c>
      <c r="H24" s="23"/>
      <c r="I24" s="23"/>
      <c r="J24" s="22">
        <v>2</v>
      </c>
      <c r="K24" s="22">
        <v>1</v>
      </c>
      <c r="L24" s="22">
        <v>2</v>
      </c>
      <c r="M24" s="23"/>
      <c r="N24" s="22" t="s">
        <v>58</v>
      </c>
      <c r="O24" s="23"/>
      <c r="P24" s="23"/>
      <c r="Q24" s="24">
        <v>3</v>
      </c>
      <c r="R24" s="24">
        <v>2</v>
      </c>
      <c r="S24" s="24">
        <v>3</v>
      </c>
      <c r="T24" s="24">
        <v>3</v>
      </c>
      <c r="U24" s="24">
        <v>4</v>
      </c>
      <c r="V24" s="24">
        <v>2</v>
      </c>
      <c r="W24" s="24">
        <v>3</v>
      </c>
      <c r="X24" s="24">
        <v>4</v>
      </c>
      <c r="Y24" s="24">
        <v>3</v>
      </c>
      <c r="Z24" s="24">
        <v>3</v>
      </c>
      <c r="AA24" s="24">
        <v>4</v>
      </c>
      <c r="AB24" s="24">
        <v>4</v>
      </c>
      <c r="AC24" s="24">
        <v>4</v>
      </c>
      <c r="AD24" s="24">
        <v>4</v>
      </c>
      <c r="AE24" s="24">
        <v>4</v>
      </c>
      <c r="AF24" s="24">
        <v>4</v>
      </c>
      <c r="AG24" s="24">
        <v>3</v>
      </c>
      <c r="AH24" s="24">
        <v>4</v>
      </c>
      <c r="AI24" s="24">
        <v>2</v>
      </c>
      <c r="AJ24" s="24">
        <v>2</v>
      </c>
      <c r="AK24" s="24">
        <v>3</v>
      </c>
      <c r="AL24" s="24">
        <v>2</v>
      </c>
      <c r="AM24" s="23"/>
      <c r="AN24" s="23"/>
      <c r="AO24" s="22" t="s">
        <v>74</v>
      </c>
      <c r="AP24" s="22" t="s">
        <v>613</v>
      </c>
      <c r="AQ24" s="22" t="s">
        <v>614</v>
      </c>
      <c r="AR24" s="22" t="s">
        <v>615</v>
      </c>
    </row>
    <row r="25" spans="1:44" hidden="1">
      <c r="A25" s="22" t="s">
        <v>616</v>
      </c>
      <c r="B25" s="22" t="s">
        <v>551</v>
      </c>
      <c r="C25" s="22" t="s">
        <v>95</v>
      </c>
      <c r="D25" s="22" t="s">
        <v>98</v>
      </c>
      <c r="E25" s="22" t="s">
        <v>55</v>
      </c>
      <c r="F25" s="22" t="s">
        <v>65</v>
      </c>
      <c r="G25" s="22" t="s">
        <v>80</v>
      </c>
      <c r="H25" s="23"/>
      <c r="I25" s="23"/>
      <c r="J25" s="22">
        <v>1</v>
      </c>
      <c r="K25" s="22">
        <v>1</v>
      </c>
      <c r="L25" s="22">
        <v>1</v>
      </c>
      <c r="M25" s="23"/>
      <c r="N25" s="22" t="s">
        <v>58</v>
      </c>
      <c r="O25" s="23"/>
      <c r="P25" s="23"/>
      <c r="Q25" s="24">
        <v>3</v>
      </c>
      <c r="R25" s="24">
        <v>2</v>
      </c>
      <c r="S25" s="24">
        <v>2</v>
      </c>
      <c r="T25" s="24">
        <v>2</v>
      </c>
      <c r="U25" s="24">
        <v>2</v>
      </c>
      <c r="V25" s="24">
        <v>3</v>
      </c>
      <c r="W25" s="24">
        <v>3</v>
      </c>
      <c r="X25" s="24">
        <v>4</v>
      </c>
      <c r="Y25" s="24">
        <v>3</v>
      </c>
      <c r="Z25" s="24">
        <v>4</v>
      </c>
      <c r="AA25" s="24">
        <v>5</v>
      </c>
      <c r="AB25" s="24">
        <v>3</v>
      </c>
      <c r="AC25" s="24">
        <v>4</v>
      </c>
      <c r="AD25" s="24">
        <v>3</v>
      </c>
      <c r="AE25" s="24">
        <v>3</v>
      </c>
      <c r="AF25" s="24">
        <v>3</v>
      </c>
      <c r="AG25" s="24">
        <v>3</v>
      </c>
      <c r="AH25" s="24">
        <v>3</v>
      </c>
      <c r="AI25" s="24">
        <v>3</v>
      </c>
      <c r="AJ25" s="24">
        <v>3</v>
      </c>
      <c r="AK25" s="24">
        <v>3</v>
      </c>
      <c r="AL25" s="24">
        <v>3</v>
      </c>
      <c r="AM25" s="23"/>
      <c r="AN25" s="23"/>
      <c r="AO25" s="22" t="s">
        <v>59</v>
      </c>
      <c r="AP25" s="22" t="s">
        <v>617</v>
      </c>
      <c r="AQ25" s="22" t="s">
        <v>618</v>
      </c>
      <c r="AR25" s="22" t="s">
        <v>619</v>
      </c>
    </row>
    <row r="26" spans="1:44" hidden="1">
      <c r="A26" s="22" t="s">
        <v>620</v>
      </c>
      <c r="B26" s="22" t="s">
        <v>551</v>
      </c>
      <c r="C26" s="22" t="s">
        <v>95</v>
      </c>
      <c r="D26" s="22" t="s">
        <v>54</v>
      </c>
      <c r="E26" s="22" t="s">
        <v>55</v>
      </c>
      <c r="F26" s="22" t="s">
        <v>56</v>
      </c>
      <c r="G26" s="22" t="s">
        <v>80</v>
      </c>
      <c r="H26" s="23"/>
      <c r="I26" s="23"/>
      <c r="J26" s="22">
        <v>4</v>
      </c>
      <c r="K26" s="22">
        <v>2</v>
      </c>
      <c r="L26" s="22">
        <v>1</v>
      </c>
      <c r="M26" s="23"/>
      <c r="N26" s="22" t="s">
        <v>66</v>
      </c>
      <c r="O26" s="23"/>
      <c r="P26" s="23"/>
      <c r="Q26" s="24">
        <v>4</v>
      </c>
      <c r="R26" s="24">
        <v>2</v>
      </c>
      <c r="S26" s="24">
        <v>2</v>
      </c>
      <c r="T26" s="24">
        <v>3</v>
      </c>
      <c r="U26" s="24">
        <v>4</v>
      </c>
      <c r="V26" s="24">
        <v>5</v>
      </c>
      <c r="W26" s="24">
        <v>5</v>
      </c>
      <c r="X26" s="24">
        <v>5</v>
      </c>
      <c r="Y26" s="24">
        <v>3</v>
      </c>
      <c r="Z26" s="24">
        <v>4</v>
      </c>
      <c r="AA26" s="24">
        <v>5</v>
      </c>
      <c r="AB26" s="24">
        <v>5</v>
      </c>
      <c r="AC26" s="24">
        <v>5</v>
      </c>
      <c r="AD26" s="24">
        <v>5</v>
      </c>
      <c r="AE26" s="24">
        <v>4</v>
      </c>
      <c r="AF26" s="24">
        <v>4</v>
      </c>
      <c r="AG26" s="24">
        <v>4</v>
      </c>
      <c r="AH26" s="24">
        <v>4</v>
      </c>
      <c r="AI26" s="24">
        <v>3</v>
      </c>
      <c r="AJ26" s="24">
        <v>3</v>
      </c>
      <c r="AK26" s="24">
        <v>3</v>
      </c>
      <c r="AL26" s="24">
        <v>3</v>
      </c>
      <c r="AM26" s="23"/>
      <c r="AN26" s="23"/>
      <c r="AO26" s="22" t="s">
        <v>74</v>
      </c>
      <c r="AP26" s="22" t="s">
        <v>92</v>
      </c>
      <c r="AQ26" s="22" t="s">
        <v>621</v>
      </c>
      <c r="AR26" s="22" t="s">
        <v>426</v>
      </c>
    </row>
    <row r="27" spans="1:44" hidden="1">
      <c r="A27" s="22" t="s">
        <v>622</v>
      </c>
      <c r="B27" s="22" t="s">
        <v>551</v>
      </c>
      <c r="C27" s="22" t="s">
        <v>53</v>
      </c>
      <c r="D27" s="22" t="s">
        <v>98</v>
      </c>
      <c r="E27" s="22" t="s">
        <v>55</v>
      </c>
      <c r="F27" s="22" t="s">
        <v>65</v>
      </c>
      <c r="G27" s="22" t="s">
        <v>96</v>
      </c>
      <c r="H27" s="23"/>
      <c r="I27" s="23"/>
      <c r="J27" s="22">
        <v>3</v>
      </c>
      <c r="K27" s="22">
        <v>3</v>
      </c>
      <c r="L27" s="22">
        <v>3</v>
      </c>
      <c r="M27" s="23"/>
      <c r="N27" s="22" t="s">
        <v>85</v>
      </c>
      <c r="O27" s="23"/>
      <c r="P27" s="23"/>
      <c r="Q27" s="24">
        <v>3</v>
      </c>
      <c r="R27" s="24">
        <v>3</v>
      </c>
      <c r="S27" s="24">
        <v>3</v>
      </c>
      <c r="T27" s="24">
        <v>3</v>
      </c>
      <c r="U27" s="24">
        <v>3</v>
      </c>
      <c r="V27" s="24">
        <v>3</v>
      </c>
      <c r="W27" s="24">
        <v>3</v>
      </c>
      <c r="X27" s="24">
        <v>3</v>
      </c>
      <c r="Y27" s="24">
        <v>3</v>
      </c>
      <c r="Z27" s="24">
        <v>3</v>
      </c>
      <c r="AA27" s="24">
        <v>3</v>
      </c>
      <c r="AB27" s="24">
        <v>3</v>
      </c>
      <c r="AC27" s="24">
        <v>3</v>
      </c>
      <c r="AD27" s="24">
        <v>3</v>
      </c>
      <c r="AE27" s="24">
        <v>3</v>
      </c>
      <c r="AF27" s="24">
        <v>3</v>
      </c>
      <c r="AG27" s="24">
        <v>3</v>
      </c>
      <c r="AH27" s="24">
        <v>3</v>
      </c>
      <c r="AI27" s="24">
        <v>3</v>
      </c>
      <c r="AJ27" s="24">
        <v>3</v>
      </c>
      <c r="AK27" s="24">
        <v>3</v>
      </c>
      <c r="AL27" s="24">
        <v>3</v>
      </c>
      <c r="AM27" s="23"/>
      <c r="AN27" s="23"/>
      <c r="AO27" s="22" t="s">
        <v>59</v>
      </c>
      <c r="AP27" s="22" t="s">
        <v>92</v>
      </c>
      <c r="AQ27" s="22" t="s">
        <v>92</v>
      </c>
      <c r="AR27" s="22" t="s">
        <v>92</v>
      </c>
    </row>
    <row r="28" spans="1:44" hidden="1">
      <c r="A28" s="22" t="s">
        <v>623</v>
      </c>
      <c r="B28" s="22" t="s">
        <v>551</v>
      </c>
      <c r="C28" s="22" t="s">
        <v>95</v>
      </c>
      <c r="D28" s="22" t="s">
        <v>54</v>
      </c>
      <c r="E28" s="22" t="s">
        <v>55</v>
      </c>
      <c r="F28" s="22" t="s">
        <v>56</v>
      </c>
      <c r="G28" s="22" t="s">
        <v>80</v>
      </c>
      <c r="H28" s="23"/>
      <c r="I28" s="23"/>
      <c r="J28" s="22">
        <v>3</v>
      </c>
      <c r="K28" s="22">
        <v>3</v>
      </c>
      <c r="L28" s="22">
        <v>2</v>
      </c>
      <c r="M28" s="23"/>
      <c r="N28" s="22" t="s">
        <v>58</v>
      </c>
      <c r="O28" s="23"/>
      <c r="P28" s="23"/>
      <c r="Q28" s="24">
        <v>3</v>
      </c>
      <c r="R28" s="24">
        <v>2</v>
      </c>
      <c r="S28" s="24">
        <v>3</v>
      </c>
      <c r="T28" s="24">
        <v>2</v>
      </c>
      <c r="U28" s="24">
        <v>2</v>
      </c>
      <c r="V28" s="24">
        <v>2</v>
      </c>
      <c r="W28" s="24">
        <v>3</v>
      </c>
      <c r="X28" s="24">
        <v>3</v>
      </c>
      <c r="Y28" s="24">
        <v>2</v>
      </c>
      <c r="Z28" s="24">
        <v>3</v>
      </c>
      <c r="AA28" s="24">
        <v>3</v>
      </c>
      <c r="AB28" s="24">
        <v>3</v>
      </c>
      <c r="AC28" s="24">
        <v>3</v>
      </c>
      <c r="AD28" s="24">
        <v>3</v>
      </c>
      <c r="AE28" s="24">
        <v>3</v>
      </c>
      <c r="AF28" s="24">
        <v>4</v>
      </c>
      <c r="AG28" s="24">
        <v>3</v>
      </c>
      <c r="AH28" s="24">
        <v>4</v>
      </c>
      <c r="AI28" s="24">
        <v>3</v>
      </c>
      <c r="AJ28" s="24">
        <v>3</v>
      </c>
      <c r="AK28" s="24">
        <v>3</v>
      </c>
      <c r="AL28" s="24">
        <v>2</v>
      </c>
      <c r="AM28" s="23"/>
      <c r="AN28" s="23"/>
      <c r="AO28" s="22" t="s">
        <v>74</v>
      </c>
      <c r="AP28" s="22" t="s">
        <v>92</v>
      </c>
      <c r="AQ28" s="22" t="s">
        <v>92</v>
      </c>
      <c r="AR28" s="22" t="s">
        <v>92</v>
      </c>
    </row>
    <row r="29" spans="1:44" hidden="1">
      <c r="A29" s="22" t="s">
        <v>624</v>
      </c>
      <c r="B29" s="22" t="s">
        <v>551</v>
      </c>
      <c r="C29" s="22" t="s">
        <v>53</v>
      </c>
      <c r="D29" s="22" t="s">
        <v>98</v>
      </c>
      <c r="E29" s="22" t="s">
        <v>55</v>
      </c>
      <c r="F29" s="22" t="s">
        <v>65</v>
      </c>
      <c r="G29" s="22" t="s">
        <v>57</v>
      </c>
      <c r="H29" s="23"/>
      <c r="I29" s="23"/>
      <c r="J29" s="22">
        <v>4</v>
      </c>
      <c r="K29" s="22">
        <v>1</v>
      </c>
      <c r="L29" s="22">
        <v>1</v>
      </c>
      <c r="M29" s="23"/>
      <c r="N29" s="22" t="s">
        <v>85</v>
      </c>
      <c r="O29" s="23"/>
      <c r="P29" s="23"/>
      <c r="Q29" s="24">
        <v>1</v>
      </c>
      <c r="R29" s="24">
        <v>1</v>
      </c>
      <c r="S29" s="24">
        <v>1</v>
      </c>
      <c r="T29" s="24">
        <v>1</v>
      </c>
      <c r="U29" s="24">
        <v>1</v>
      </c>
      <c r="V29" s="24">
        <v>1</v>
      </c>
      <c r="W29" s="24">
        <v>4</v>
      </c>
      <c r="X29" s="24">
        <v>3</v>
      </c>
      <c r="Y29" s="24">
        <v>3</v>
      </c>
      <c r="Z29" s="24">
        <v>2</v>
      </c>
      <c r="AA29" s="24">
        <v>3</v>
      </c>
      <c r="AB29" s="24">
        <v>3</v>
      </c>
      <c r="AC29" s="24">
        <v>4</v>
      </c>
      <c r="AD29" s="24">
        <v>4</v>
      </c>
      <c r="AE29" s="24">
        <v>4</v>
      </c>
      <c r="AF29" s="24">
        <v>4</v>
      </c>
      <c r="AG29" s="24">
        <v>4</v>
      </c>
      <c r="AH29" s="24">
        <v>4</v>
      </c>
      <c r="AI29" s="24">
        <v>1</v>
      </c>
      <c r="AJ29" s="24">
        <v>2</v>
      </c>
      <c r="AK29" s="24">
        <v>4</v>
      </c>
      <c r="AL29" s="24">
        <v>2</v>
      </c>
      <c r="AM29" s="23"/>
      <c r="AN29" s="23"/>
      <c r="AO29" s="22" t="s">
        <v>59</v>
      </c>
      <c r="AP29" s="22" t="s">
        <v>625</v>
      </c>
      <c r="AQ29" s="22" t="s">
        <v>626</v>
      </c>
      <c r="AR29" s="22" t="s">
        <v>627</v>
      </c>
    </row>
    <row r="30" spans="1:44" hidden="1">
      <c r="A30" s="22" t="s">
        <v>628</v>
      </c>
      <c r="B30" s="22" t="s">
        <v>551</v>
      </c>
      <c r="C30" s="22" t="s">
        <v>53</v>
      </c>
      <c r="D30" s="22" t="s">
        <v>64</v>
      </c>
      <c r="E30" s="22" t="s">
        <v>55</v>
      </c>
      <c r="F30" s="22" t="s">
        <v>65</v>
      </c>
      <c r="G30" s="22" t="s">
        <v>80</v>
      </c>
      <c r="H30" s="23"/>
      <c r="I30" s="23"/>
      <c r="J30" s="22">
        <v>4</v>
      </c>
      <c r="K30" s="22">
        <v>1</v>
      </c>
      <c r="L30" s="22">
        <v>1</v>
      </c>
      <c r="M30" s="23"/>
      <c r="N30" s="22" t="s">
        <v>85</v>
      </c>
      <c r="O30" s="23"/>
      <c r="P30" s="23"/>
      <c r="Q30" s="24">
        <v>3</v>
      </c>
      <c r="R30" s="24">
        <v>2</v>
      </c>
      <c r="S30" s="24">
        <v>2</v>
      </c>
      <c r="T30" s="24">
        <v>2</v>
      </c>
      <c r="U30" s="24">
        <v>2</v>
      </c>
      <c r="V30" s="24">
        <v>3</v>
      </c>
      <c r="W30" s="24">
        <v>4</v>
      </c>
      <c r="X30" s="24">
        <v>4</v>
      </c>
      <c r="Y30" s="24">
        <v>2</v>
      </c>
      <c r="Z30" s="24">
        <v>2</v>
      </c>
      <c r="AA30" s="24">
        <v>4</v>
      </c>
      <c r="AB30" s="24">
        <v>4</v>
      </c>
      <c r="AC30" s="24">
        <v>4</v>
      </c>
      <c r="AD30" s="24">
        <v>4</v>
      </c>
      <c r="AE30" s="24">
        <v>4</v>
      </c>
      <c r="AF30" s="24">
        <v>4</v>
      </c>
      <c r="AG30" s="24">
        <v>4</v>
      </c>
      <c r="AH30" s="24">
        <v>4</v>
      </c>
      <c r="AI30" s="24">
        <v>4</v>
      </c>
      <c r="AJ30" s="24">
        <v>3</v>
      </c>
      <c r="AK30" s="24">
        <v>3</v>
      </c>
      <c r="AL30" s="24">
        <v>2</v>
      </c>
      <c r="AM30" s="23"/>
      <c r="AN30" s="23"/>
      <c r="AO30" s="22" t="s">
        <v>59</v>
      </c>
      <c r="AP30" s="22" t="s">
        <v>629</v>
      </c>
      <c r="AQ30" s="22" t="s">
        <v>629</v>
      </c>
      <c r="AR30" s="22" t="s">
        <v>157</v>
      </c>
    </row>
    <row r="31" spans="1:44" hidden="1">
      <c r="A31" s="22" t="s">
        <v>630</v>
      </c>
      <c r="B31" s="22" t="s">
        <v>551</v>
      </c>
      <c r="C31" s="22" t="s">
        <v>53</v>
      </c>
      <c r="D31" s="22" t="s">
        <v>71</v>
      </c>
      <c r="E31" s="22" t="s">
        <v>72</v>
      </c>
      <c r="F31" s="22" t="s">
        <v>73</v>
      </c>
      <c r="G31" s="22" t="s">
        <v>80</v>
      </c>
      <c r="H31" s="23"/>
      <c r="I31" s="23"/>
      <c r="J31" s="22">
        <v>2</v>
      </c>
      <c r="K31" s="22">
        <v>2</v>
      </c>
      <c r="L31" s="22">
        <v>2</v>
      </c>
      <c r="M31" s="23"/>
      <c r="N31" s="22" t="s">
        <v>58</v>
      </c>
      <c r="O31" s="23"/>
      <c r="P31" s="23"/>
      <c r="Q31" s="24">
        <v>3</v>
      </c>
      <c r="R31" s="24">
        <v>2</v>
      </c>
      <c r="S31" s="24">
        <v>3</v>
      </c>
      <c r="T31" s="24">
        <v>3</v>
      </c>
      <c r="U31" s="24">
        <v>2</v>
      </c>
      <c r="V31" s="24">
        <v>3</v>
      </c>
      <c r="W31" s="24">
        <v>3</v>
      </c>
      <c r="X31" s="24">
        <v>2</v>
      </c>
      <c r="Y31" s="24">
        <v>3</v>
      </c>
      <c r="Z31" s="24">
        <v>3</v>
      </c>
      <c r="AA31" s="24">
        <v>4</v>
      </c>
      <c r="AB31" s="24">
        <v>4</v>
      </c>
      <c r="AC31" s="24">
        <v>4</v>
      </c>
      <c r="AD31" s="24">
        <v>4</v>
      </c>
      <c r="AE31" s="24">
        <v>3</v>
      </c>
      <c r="AF31" s="24">
        <v>3</v>
      </c>
      <c r="AG31" s="24">
        <v>3</v>
      </c>
      <c r="AH31" s="24">
        <v>4</v>
      </c>
      <c r="AI31" s="24">
        <v>4</v>
      </c>
      <c r="AJ31" s="24">
        <v>3</v>
      </c>
      <c r="AK31" s="24">
        <v>3</v>
      </c>
      <c r="AL31" s="24">
        <v>3</v>
      </c>
      <c r="AM31" s="23"/>
      <c r="AN31" s="23"/>
      <c r="AO31" s="22" t="s">
        <v>74</v>
      </c>
      <c r="AP31" s="22" t="s">
        <v>631</v>
      </c>
      <c r="AQ31" s="22" t="s">
        <v>632</v>
      </c>
      <c r="AR31" s="22" t="s">
        <v>633</v>
      </c>
    </row>
    <row r="32" spans="1:44" hidden="1">
      <c r="A32" s="22" t="s">
        <v>634</v>
      </c>
      <c r="B32" s="22" t="s">
        <v>551</v>
      </c>
      <c r="C32" s="22" t="s">
        <v>95</v>
      </c>
      <c r="D32" s="22" t="s">
        <v>54</v>
      </c>
      <c r="E32" s="22" t="s">
        <v>72</v>
      </c>
      <c r="F32" s="22" t="s">
        <v>56</v>
      </c>
      <c r="G32" s="22" t="s">
        <v>57</v>
      </c>
      <c r="H32" s="23"/>
      <c r="I32" s="23"/>
      <c r="J32" s="22">
        <v>4</v>
      </c>
      <c r="K32" s="22">
        <v>4</v>
      </c>
      <c r="L32" s="22">
        <v>4</v>
      </c>
      <c r="M32" s="23"/>
      <c r="N32" s="22" t="s">
        <v>115</v>
      </c>
      <c r="O32" s="23"/>
      <c r="P32" s="23"/>
      <c r="Q32" s="24">
        <v>4</v>
      </c>
      <c r="R32" s="24">
        <v>4</v>
      </c>
      <c r="S32" s="24">
        <v>4</v>
      </c>
      <c r="T32" s="24">
        <v>3</v>
      </c>
      <c r="U32" s="24">
        <v>4</v>
      </c>
      <c r="V32" s="24">
        <v>3</v>
      </c>
      <c r="W32" s="24">
        <v>5</v>
      </c>
      <c r="X32" s="24">
        <v>4</v>
      </c>
      <c r="Y32" s="24">
        <v>3</v>
      </c>
      <c r="Z32" s="24">
        <v>3</v>
      </c>
      <c r="AA32" s="24">
        <v>3</v>
      </c>
      <c r="AB32" s="24">
        <v>4</v>
      </c>
      <c r="AC32" s="24">
        <v>4</v>
      </c>
      <c r="AD32" s="24">
        <v>4</v>
      </c>
      <c r="AE32" s="24">
        <v>4</v>
      </c>
      <c r="AF32" s="24">
        <v>4</v>
      </c>
      <c r="AG32" s="24">
        <v>4</v>
      </c>
      <c r="AH32" s="24">
        <v>4</v>
      </c>
      <c r="AI32" s="24">
        <v>2</v>
      </c>
      <c r="AJ32" s="24">
        <v>3</v>
      </c>
      <c r="AK32" s="24">
        <v>4</v>
      </c>
      <c r="AL32" s="24">
        <v>4</v>
      </c>
      <c r="AM32" s="23"/>
      <c r="AN32" s="23"/>
      <c r="AO32" s="22" t="s">
        <v>59</v>
      </c>
      <c r="AP32" s="22" t="s">
        <v>635</v>
      </c>
      <c r="AQ32" s="22" t="s">
        <v>636</v>
      </c>
      <c r="AR32" s="22" t="s">
        <v>637</v>
      </c>
    </row>
    <row r="33" spans="1:44" hidden="1">
      <c r="A33" s="22" t="s">
        <v>638</v>
      </c>
      <c r="B33" s="22" t="s">
        <v>551</v>
      </c>
      <c r="C33" s="22" t="s">
        <v>53</v>
      </c>
      <c r="D33" s="22" t="s">
        <v>71</v>
      </c>
      <c r="E33" s="22" t="s">
        <v>72</v>
      </c>
      <c r="F33" s="22" t="s">
        <v>56</v>
      </c>
      <c r="G33" s="22" t="s">
        <v>80</v>
      </c>
      <c r="H33" s="23"/>
      <c r="I33" s="23"/>
      <c r="J33" s="22">
        <v>4</v>
      </c>
      <c r="K33" s="22">
        <v>2</v>
      </c>
      <c r="L33" s="22">
        <v>1</v>
      </c>
      <c r="M33" s="23"/>
      <c r="N33" s="22" t="s">
        <v>66</v>
      </c>
      <c r="O33" s="23"/>
      <c r="P33" s="23"/>
      <c r="Q33" s="24">
        <v>4</v>
      </c>
      <c r="R33" s="24">
        <v>3</v>
      </c>
      <c r="S33" s="24">
        <v>4</v>
      </c>
      <c r="T33" s="24">
        <v>3</v>
      </c>
      <c r="U33" s="24">
        <v>4</v>
      </c>
      <c r="V33" s="24">
        <v>4</v>
      </c>
      <c r="W33" s="24">
        <v>3</v>
      </c>
      <c r="X33" s="24">
        <v>3</v>
      </c>
      <c r="Y33" s="24">
        <v>4</v>
      </c>
      <c r="Z33" s="24">
        <v>4</v>
      </c>
      <c r="AA33" s="24">
        <v>4</v>
      </c>
      <c r="AB33" s="24">
        <v>4</v>
      </c>
      <c r="AC33" s="24">
        <v>4</v>
      </c>
      <c r="AD33" s="24">
        <v>4</v>
      </c>
      <c r="AE33" s="24">
        <v>4</v>
      </c>
      <c r="AF33" s="24">
        <v>4</v>
      </c>
      <c r="AG33" s="24">
        <v>4</v>
      </c>
      <c r="AH33" s="24">
        <v>4</v>
      </c>
      <c r="AI33" s="24">
        <v>3</v>
      </c>
      <c r="AJ33" s="24">
        <v>3</v>
      </c>
      <c r="AK33" s="24">
        <v>4</v>
      </c>
      <c r="AL33" s="24">
        <v>3</v>
      </c>
      <c r="AM33" s="23"/>
      <c r="AN33" s="23"/>
      <c r="AO33" s="22" t="s">
        <v>59</v>
      </c>
      <c r="AP33" s="22" t="s">
        <v>639</v>
      </c>
      <c r="AQ33" s="22" t="s">
        <v>640</v>
      </c>
      <c r="AR33" s="22" t="s">
        <v>641</v>
      </c>
    </row>
    <row r="34" spans="1:44" hidden="1">
      <c r="A34" s="22" t="s">
        <v>642</v>
      </c>
      <c r="B34" s="22" t="s">
        <v>551</v>
      </c>
      <c r="C34" s="22" t="s">
        <v>95</v>
      </c>
      <c r="D34" s="22" t="s">
        <v>64</v>
      </c>
      <c r="E34" s="22" t="s">
        <v>55</v>
      </c>
      <c r="F34" s="22" t="s">
        <v>56</v>
      </c>
      <c r="G34" s="22" t="s">
        <v>80</v>
      </c>
      <c r="H34" s="23"/>
      <c r="I34" s="23"/>
      <c r="J34" s="22">
        <v>3</v>
      </c>
      <c r="K34" s="22">
        <v>2</v>
      </c>
      <c r="L34" s="22">
        <v>2</v>
      </c>
      <c r="M34" s="23"/>
      <c r="N34" s="22" t="s">
        <v>58</v>
      </c>
      <c r="O34" s="23"/>
      <c r="P34" s="23"/>
      <c r="Q34" s="24">
        <v>4</v>
      </c>
      <c r="R34" s="24">
        <v>3</v>
      </c>
      <c r="S34" s="24">
        <v>3</v>
      </c>
      <c r="T34" s="24">
        <v>3</v>
      </c>
      <c r="U34" s="24">
        <v>4</v>
      </c>
      <c r="V34" s="24">
        <v>3</v>
      </c>
      <c r="W34" s="24">
        <v>4</v>
      </c>
      <c r="X34" s="24">
        <v>4</v>
      </c>
      <c r="Y34" s="24">
        <v>4</v>
      </c>
      <c r="Z34" s="24">
        <v>4</v>
      </c>
      <c r="AA34" s="24">
        <v>4</v>
      </c>
      <c r="AB34" s="24">
        <v>3</v>
      </c>
      <c r="AC34" s="24">
        <v>4</v>
      </c>
      <c r="AD34" s="24">
        <v>4</v>
      </c>
      <c r="AE34" s="24">
        <v>3</v>
      </c>
      <c r="AF34" s="24">
        <v>4</v>
      </c>
      <c r="AG34" s="24">
        <v>4</v>
      </c>
      <c r="AH34" s="24">
        <v>4</v>
      </c>
      <c r="AI34" s="24">
        <v>3</v>
      </c>
      <c r="AJ34" s="24">
        <v>3</v>
      </c>
      <c r="AK34" s="24">
        <v>3</v>
      </c>
      <c r="AL34" s="24">
        <v>3</v>
      </c>
      <c r="AM34" s="23"/>
      <c r="AN34" s="23"/>
      <c r="AO34" s="22" t="s">
        <v>59</v>
      </c>
      <c r="AP34" s="22" t="s">
        <v>643</v>
      </c>
      <c r="AQ34" s="22" t="s">
        <v>643</v>
      </c>
      <c r="AR34" s="22" t="s">
        <v>643</v>
      </c>
    </row>
    <row r="35" spans="1:44" hidden="1">
      <c r="A35" s="22" t="s">
        <v>644</v>
      </c>
      <c r="B35" s="22" t="s">
        <v>551</v>
      </c>
      <c r="C35" s="22" t="s">
        <v>53</v>
      </c>
      <c r="D35" s="22" t="s">
        <v>64</v>
      </c>
      <c r="E35" s="22" t="s">
        <v>55</v>
      </c>
      <c r="F35" s="22" t="s">
        <v>65</v>
      </c>
      <c r="G35" s="22" t="s">
        <v>80</v>
      </c>
      <c r="H35" s="23"/>
      <c r="I35" s="23"/>
      <c r="J35" s="22">
        <v>4</v>
      </c>
      <c r="K35" s="22">
        <v>5</v>
      </c>
      <c r="L35" s="22">
        <v>5</v>
      </c>
      <c r="M35" s="23"/>
      <c r="N35" s="22" t="s">
        <v>58</v>
      </c>
      <c r="O35" s="23"/>
      <c r="P35" s="23"/>
      <c r="Q35" s="24">
        <v>3</v>
      </c>
      <c r="R35" s="24">
        <v>3</v>
      </c>
      <c r="S35" s="24">
        <v>4</v>
      </c>
      <c r="T35" s="24">
        <v>4</v>
      </c>
      <c r="U35" s="24">
        <v>5</v>
      </c>
      <c r="V35" s="24">
        <v>3</v>
      </c>
      <c r="W35" s="24">
        <v>4</v>
      </c>
      <c r="X35" s="24">
        <v>3</v>
      </c>
      <c r="Y35" s="24">
        <v>4</v>
      </c>
      <c r="Z35" s="24">
        <v>2</v>
      </c>
      <c r="AA35" s="24">
        <v>4</v>
      </c>
      <c r="AB35" s="24">
        <v>5</v>
      </c>
      <c r="AC35" s="24">
        <v>5</v>
      </c>
      <c r="AD35" s="24">
        <v>5</v>
      </c>
      <c r="AE35" s="24">
        <v>5</v>
      </c>
      <c r="AF35" s="24">
        <v>5</v>
      </c>
      <c r="AG35" s="24">
        <v>5</v>
      </c>
      <c r="AH35" s="24">
        <v>5</v>
      </c>
      <c r="AI35" s="24">
        <v>5</v>
      </c>
      <c r="AJ35" s="24">
        <v>3</v>
      </c>
      <c r="AK35" s="24">
        <v>3</v>
      </c>
      <c r="AL35" s="24">
        <v>3</v>
      </c>
      <c r="AM35" s="23"/>
      <c r="AN35" s="23"/>
      <c r="AO35" s="22" t="s">
        <v>59</v>
      </c>
      <c r="AP35" s="22" t="s">
        <v>542</v>
      </c>
      <c r="AQ35" s="22" t="s">
        <v>645</v>
      </c>
      <c r="AR35" s="22" t="s">
        <v>645</v>
      </c>
    </row>
    <row r="36" spans="1:44" hidden="1">
      <c r="A36" s="22" t="s">
        <v>646</v>
      </c>
      <c r="B36" s="22" t="s">
        <v>551</v>
      </c>
      <c r="C36" s="22" t="s">
        <v>53</v>
      </c>
      <c r="D36" s="22" t="s">
        <v>98</v>
      </c>
      <c r="E36" s="22" t="s">
        <v>55</v>
      </c>
      <c r="F36" s="22" t="s">
        <v>65</v>
      </c>
      <c r="G36" s="22" t="s">
        <v>80</v>
      </c>
      <c r="H36" s="23"/>
      <c r="I36" s="23"/>
      <c r="J36" s="22">
        <v>3</v>
      </c>
      <c r="K36" s="22">
        <v>2</v>
      </c>
      <c r="L36" s="22">
        <v>2</v>
      </c>
      <c r="M36" s="23"/>
      <c r="N36" s="22" t="s">
        <v>58</v>
      </c>
      <c r="O36" s="23"/>
      <c r="P36" s="23"/>
      <c r="Q36" s="24">
        <v>3</v>
      </c>
      <c r="R36" s="24">
        <v>3</v>
      </c>
      <c r="S36" s="24">
        <v>3</v>
      </c>
      <c r="T36" s="24">
        <v>4</v>
      </c>
      <c r="U36" s="24">
        <v>4</v>
      </c>
      <c r="V36" s="24">
        <v>4</v>
      </c>
      <c r="W36" s="24">
        <v>3</v>
      </c>
      <c r="X36" s="24">
        <v>2</v>
      </c>
      <c r="Y36" s="24">
        <v>3</v>
      </c>
      <c r="Z36" s="24">
        <v>3</v>
      </c>
      <c r="AA36" s="24">
        <v>3</v>
      </c>
      <c r="AB36" s="24">
        <v>4</v>
      </c>
      <c r="AC36" s="24">
        <v>4</v>
      </c>
      <c r="AD36" s="24">
        <v>4</v>
      </c>
      <c r="AE36" s="24">
        <v>4</v>
      </c>
      <c r="AF36" s="24">
        <v>4</v>
      </c>
      <c r="AG36" s="24">
        <v>3</v>
      </c>
      <c r="AH36" s="24">
        <v>4</v>
      </c>
      <c r="AI36" s="24">
        <v>3</v>
      </c>
      <c r="AJ36" s="24">
        <v>2</v>
      </c>
      <c r="AK36" s="24">
        <v>2</v>
      </c>
      <c r="AL36" s="24">
        <v>2</v>
      </c>
      <c r="AM36" s="23"/>
      <c r="AN36" s="23"/>
      <c r="AO36" s="22" t="s">
        <v>59</v>
      </c>
      <c r="AP36" s="22" t="s">
        <v>647</v>
      </c>
      <c r="AQ36" s="22" t="s">
        <v>647</v>
      </c>
      <c r="AR36" s="22" t="s">
        <v>648</v>
      </c>
    </row>
    <row r="37" spans="1:44" hidden="1">
      <c r="A37" s="22" t="s">
        <v>649</v>
      </c>
      <c r="B37" s="22" t="s">
        <v>551</v>
      </c>
      <c r="C37" s="22" t="s">
        <v>53</v>
      </c>
      <c r="D37" s="22" t="s">
        <v>64</v>
      </c>
      <c r="E37" s="22" t="s">
        <v>55</v>
      </c>
      <c r="F37" s="22" t="s">
        <v>65</v>
      </c>
      <c r="G37" s="22" t="s">
        <v>80</v>
      </c>
      <c r="H37" s="23"/>
      <c r="I37" s="23"/>
      <c r="J37" s="22">
        <v>4</v>
      </c>
      <c r="K37" s="22">
        <v>2</v>
      </c>
      <c r="L37" s="22">
        <v>2</v>
      </c>
      <c r="M37" s="23"/>
      <c r="N37" s="22" t="s">
        <v>58</v>
      </c>
      <c r="O37" s="23"/>
      <c r="P37" s="23"/>
      <c r="Q37" s="24">
        <v>4</v>
      </c>
      <c r="R37" s="24">
        <v>3</v>
      </c>
      <c r="S37" s="24">
        <v>3</v>
      </c>
      <c r="T37" s="24">
        <v>3</v>
      </c>
      <c r="U37" s="24">
        <v>4</v>
      </c>
      <c r="V37" s="24">
        <v>4</v>
      </c>
      <c r="W37" s="24">
        <v>4</v>
      </c>
      <c r="X37" s="24">
        <v>4</v>
      </c>
      <c r="Y37" s="24">
        <v>4</v>
      </c>
      <c r="Z37" s="24">
        <v>4</v>
      </c>
      <c r="AA37" s="24">
        <v>3</v>
      </c>
      <c r="AB37" s="24">
        <v>4</v>
      </c>
      <c r="AC37" s="24">
        <v>4</v>
      </c>
      <c r="AD37" s="24">
        <v>4</v>
      </c>
      <c r="AE37" s="24">
        <v>3</v>
      </c>
      <c r="AF37" s="24">
        <v>4</v>
      </c>
      <c r="AG37" s="24">
        <v>3</v>
      </c>
      <c r="AH37" s="24">
        <v>3</v>
      </c>
      <c r="AI37" s="24">
        <v>3</v>
      </c>
      <c r="AJ37" s="24">
        <v>4</v>
      </c>
      <c r="AK37" s="24">
        <v>3</v>
      </c>
      <c r="AL37" s="24">
        <v>3</v>
      </c>
      <c r="AM37" s="23"/>
      <c r="AN37" s="23"/>
      <c r="AO37" s="22" t="s">
        <v>59</v>
      </c>
      <c r="AP37" s="22" t="s">
        <v>650</v>
      </c>
      <c r="AQ37" s="22" t="s">
        <v>651</v>
      </c>
      <c r="AR37" s="22" t="s">
        <v>652</v>
      </c>
    </row>
    <row r="38" spans="1:44" hidden="1">
      <c r="A38" s="22" t="s">
        <v>653</v>
      </c>
      <c r="B38" s="22" t="s">
        <v>551</v>
      </c>
      <c r="C38" s="22" t="s">
        <v>95</v>
      </c>
      <c r="D38" s="22" t="s">
        <v>98</v>
      </c>
      <c r="E38" s="22" t="s">
        <v>55</v>
      </c>
      <c r="F38" s="22" t="s">
        <v>136</v>
      </c>
      <c r="G38" s="22" t="s">
        <v>129</v>
      </c>
      <c r="H38" s="23"/>
      <c r="I38" s="23"/>
      <c r="J38" s="22">
        <v>2</v>
      </c>
      <c r="K38" s="22">
        <v>1</v>
      </c>
      <c r="L38" s="22">
        <v>1</v>
      </c>
      <c r="M38" s="23"/>
      <c r="N38" s="22" t="s">
        <v>85</v>
      </c>
      <c r="O38" s="23"/>
      <c r="P38" s="23"/>
      <c r="Q38" s="24">
        <v>2</v>
      </c>
      <c r="R38" s="24">
        <v>1</v>
      </c>
      <c r="S38" s="24">
        <v>1</v>
      </c>
      <c r="T38" s="24">
        <v>1</v>
      </c>
      <c r="U38" s="24">
        <v>3</v>
      </c>
      <c r="V38" s="24">
        <v>1</v>
      </c>
      <c r="W38" s="24">
        <v>5</v>
      </c>
      <c r="X38" s="24">
        <v>4</v>
      </c>
      <c r="Y38" s="24">
        <v>5</v>
      </c>
      <c r="Z38" s="24">
        <v>4</v>
      </c>
      <c r="AA38" s="24">
        <v>3</v>
      </c>
      <c r="AB38" s="24">
        <v>4</v>
      </c>
      <c r="AC38" s="24">
        <v>5</v>
      </c>
      <c r="AD38" s="24">
        <v>4</v>
      </c>
      <c r="AE38" s="24">
        <v>4</v>
      </c>
      <c r="AF38" s="24">
        <v>4</v>
      </c>
      <c r="AG38" s="24">
        <v>4</v>
      </c>
      <c r="AH38" s="24">
        <v>4</v>
      </c>
      <c r="AI38" s="24">
        <v>4</v>
      </c>
      <c r="AJ38" s="24">
        <v>5</v>
      </c>
      <c r="AK38" s="24">
        <v>4</v>
      </c>
      <c r="AL38" s="24">
        <v>4</v>
      </c>
      <c r="AM38" s="23"/>
      <c r="AN38" s="23"/>
      <c r="AO38" s="22" t="s">
        <v>59</v>
      </c>
      <c r="AP38" s="22" t="s">
        <v>654</v>
      </c>
      <c r="AQ38" s="22" t="s">
        <v>655</v>
      </c>
      <c r="AR38" s="22" t="s">
        <v>656</v>
      </c>
    </row>
    <row r="39" spans="1:44" hidden="1">
      <c r="A39" s="22" t="s">
        <v>657</v>
      </c>
      <c r="B39" s="22" t="s">
        <v>551</v>
      </c>
      <c r="C39" s="22" t="s">
        <v>95</v>
      </c>
      <c r="D39" s="22" t="s">
        <v>64</v>
      </c>
      <c r="E39" s="22" t="s">
        <v>55</v>
      </c>
      <c r="F39" s="22" t="s">
        <v>65</v>
      </c>
      <c r="G39" s="22" t="s">
        <v>129</v>
      </c>
      <c r="H39" s="23"/>
      <c r="I39" s="23"/>
      <c r="J39" s="22">
        <v>2</v>
      </c>
      <c r="K39" s="22">
        <v>3</v>
      </c>
      <c r="L39" s="22">
        <v>3</v>
      </c>
      <c r="M39" s="23"/>
      <c r="N39" s="22" t="s">
        <v>58</v>
      </c>
      <c r="O39" s="23"/>
      <c r="P39" s="23"/>
      <c r="Q39" s="24">
        <v>3</v>
      </c>
      <c r="R39" s="24">
        <v>3</v>
      </c>
      <c r="S39" s="24">
        <v>3</v>
      </c>
      <c r="T39" s="24">
        <v>3</v>
      </c>
      <c r="U39" s="24">
        <v>3</v>
      </c>
      <c r="V39" s="24">
        <v>3</v>
      </c>
      <c r="W39" s="24">
        <v>3</v>
      </c>
      <c r="X39" s="24">
        <v>3</v>
      </c>
      <c r="Y39" s="24">
        <v>3</v>
      </c>
      <c r="Z39" s="24">
        <v>3</v>
      </c>
      <c r="AA39" s="24">
        <v>3</v>
      </c>
      <c r="AB39" s="24">
        <v>3</v>
      </c>
      <c r="AC39" s="24">
        <v>3</v>
      </c>
      <c r="AD39" s="24">
        <v>3</v>
      </c>
      <c r="AE39" s="24">
        <v>3</v>
      </c>
      <c r="AF39" s="24">
        <v>3</v>
      </c>
      <c r="AG39" s="24">
        <v>3</v>
      </c>
      <c r="AH39" s="24">
        <v>3</v>
      </c>
      <c r="AI39" s="24">
        <v>3</v>
      </c>
      <c r="AJ39" s="24">
        <v>3</v>
      </c>
      <c r="AK39" s="24">
        <v>3</v>
      </c>
      <c r="AL39" s="24">
        <v>3</v>
      </c>
      <c r="AM39" s="23"/>
      <c r="AN39" s="23"/>
      <c r="AO39" s="22" t="s">
        <v>59</v>
      </c>
      <c r="AP39" s="22" t="s">
        <v>59</v>
      </c>
      <c r="AQ39" s="22" t="s">
        <v>59</v>
      </c>
      <c r="AR39" s="22" t="s">
        <v>59</v>
      </c>
    </row>
    <row r="40" spans="1:44" hidden="1">
      <c r="A40" s="22" t="s">
        <v>658</v>
      </c>
      <c r="B40" s="22" t="s">
        <v>551</v>
      </c>
      <c r="C40" s="22" t="s">
        <v>79</v>
      </c>
      <c r="D40" s="22" t="s">
        <v>54</v>
      </c>
      <c r="E40" s="22" t="s">
        <v>72</v>
      </c>
      <c r="F40" s="22" t="s">
        <v>56</v>
      </c>
      <c r="G40" s="22" t="s">
        <v>80</v>
      </c>
      <c r="H40" s="23"/>
      <c r="I40" s="23"/>
      <c r="J40" s="22">
        <v>2</v>
      </c>
      <c r="K40" s="22">
        <v>1</v>
      </c>
      <c r="L40" s="22">
        <v>1</v>
      </c>
      <c r="M40" s="23"/>
      <c r="N40" s="22" t="s">
        <v>58</v>
      </c>
      <c r="O40" s="23"/>
      <c r="P40" s="23"/>
      <c r="Q40" s="24">
        <v>3</v>
      </c>
      <c r="R40" s="24">
        <v>1</v>
      </c>
      <c r="S40" s="24">
        <v>3</v>
      </c>
      <c r="T40" s="24">
        <v>2</v>
      </c>
      <c r="U40" s="24">
        <v>3</v>
      </c>
      <c r="V40" s="24">
        <v>3</v>
      </c>
      <c r="W40" s="24">
        <v>4</v>
      </c>
      <c r="X40" s="24">
        <v>5</v>
      </c>
      <c r="Y40" s="24">
        <v>3</v>
      </c>
      <c r="Z40" s="24">
        <v>4</v>
      </c>
      <c r="AA40" s="24">
        <v>4</v>
      </c>
      <c r="AB40" s="24">
        <v>5</v>
      </c>
      <c r="AC40" s="24">
        <v>5</v>
      </c>
      <c r="AD40" s="24">
        <v>5</v>
      </c>
      <c r="AE40" s="24">
        <v>4</v>
      </c>
      <c r="AF40" s="24">
        <v>5</v>
      </c>
      <c r="AG40" s="24">
        <v>5</v>
      </c>
      <c r="AH40" s="24">
        <v>5</v>
      </c>
      <c r="AI40" s="24">
        <v>3</v>
      </c>
      <c r="AJ40" s="24">
        <v>2</v>
      </c>
      <c r="AK40" s="24">
        <v>4</v>
      </c>
      <c r="AL40" s="24">
        <v>2</v>
      </c>
      <c r="AM40" s="23"/>
      <c r="AN40" s="23"/>
      <c r="AO40" s="22" t="s">
        <v>74</v>
      </c>
      <c r="AP40" s="22" t="s">
        <v>659</v>
      </c>
      <c r="AQ40" s="22" t="s">
        <v>660</v>
      </c>
      <c r="AR40" s="22" t="s">
        <v>661</v>
      </c>
    </row>
    <row r="41" spans="1:44" hidden="1">
      <c r="A41" s="22" t="s">
        <v>662</v>
      </c>
      <c r="B41" s="22" t="s">
        <v>551</v>
      </c>
      <c r="C41" s="22" t="s">
        <v>95</v>
      </c>
      <c r="D41" s="22" t="s">
        <v>98</v>
      </c>
      <c r="E41" s="22" t="s">
        <v>55</v>
      </c>
      <c r="F41" s="22" t="s">
        <v>65</v>
      </c>
      <c r="G41" s="22" t="s">
        <v>80</v>
      </c>
      <c r="H41" s="23"/>
      <c r="I41" s="23"/>
      <c r="J41" s="22">
        <v>4</v>
      </c>
      <c r="K41" s="22">
        <v>1</v>
      </c>
      <c r="L41" s="22">
        <v>1</v>
      </c>
      <c r="M41" s="23"/>
      <c r="N41" s="22" t="s">
        <v>85</v>
      </c>
      <c r="O41" s="23"/>
      <c r="P41" s="23"/>
      <c r="Q41" s="24">
        <v>3</v>
      </c>
      <c r="R41" s="24">
        <v>2</v>
      </c>
      <c r="S41" s="24">
        <v>2</v>
      </c>
      <c r="T41" s="24">
        <v>2</v>
      </c>
      <c r="U41" s="24">
        <v>2</v>
      </c>
      <c r="V41" s="24">
        <v>2</v>
      </c>
      <c r="W41" s="24">
        <v>4</v>
      </c>
      <c r="X41" s="24">
        <v>4</v>
      </c>
      <c r="Y41" s="24">
        <v>2</v>
      </c>
      <c r="Z41" s="24">
        <v>3</v>
      </c>
      <c r="AA41" s="24">
        <v>2</v>
      </c>
      <c r="AB41" s="24">
        <v>2</v>
      </c>
      <c r="AC41" s="24">
        <v>2</v>
      </c>
      <c r="AD41" s="24">
        <v>2</v>
      </c>
      <c r="AE41" s="24">
        <v>2</v>
      </c>
      <c r="AF41" s="24">
        <v>2</v>
      </c>
      <c r="AG41" s="24">
        <v>3</v>
      </c>
      <c r="AH41" s="24">
        <v>2</v>
      </c>
      <c r="AI41" s="24">
        <v>2</v>
      </c>
      <c r="AJ41" s="24">
        <v>2</v>
      </c>
      <c r="AK41" s="24">
        <v>3</v>
      </c>
      <c r="AL41" s="24">
        <v>2</v>
      </c>
      <c r="AM41" s="23"/>
      <c r="AN41" s="23"/>
      <c r="AO41" s="22" t="s">
        <v>59</v>
      </c>
      <c r="AP41" s="22" t="s">
        <v>92</v>
      </c>
      <c r="AQ41" s="22" t="s">
        <v>92</v>
      </c>
      <c r="AR41" s="22" t="s">
        <v>92</v>
      </c>
    </row>
    <row r="42" spans="1:44" hidden="1">
      <c r="A42" s="22" t="s">
        <v>663</v>
      </c>
      <c r="B42" s="22" t="s">
        <v>551</v>
      </c>
      <c r="C42" s="22" t="s">
        <v>53</v>
      </c>
      <c r="D42" s="22" t="s">
        <v>98</v>
      </c>
      <c r="E42" s="22" t="s">
        <v>55</v>
      </c>
      <c r="F42" s="22" t="s">
        <v>136</v>
      </c>
      <c r="G42" s="22" t="s">
        <v>57</v>
      </c>
      <c r="H42" s="23"/>
      <c r="I42" s="23"/>
      <c r="J42" s="22">
        <v>4</v>
      </c>
      <c r="K42" s="22">
        <v>1</v>
      </c>
      <c r="L42" s="22">
        <v>1</v>
      </c>
      <c r="M42" s="23"/>
      <c r="N42" s="22" t="s">
        <v>58</v>
      </c>
      <c r="O42" s="23"/>
      <c r="P42" s="23"/>
      <c r="Q42" s="24">
        <v>1</v>
      </c>
      <c r="R42" s="24">
        <v>1</v>
      </c>
      <c r="S42" s="24">
        <v>2</v>
      </c>
      <c r="T42" s="24">
        <v>2</v>
      </c>
      <c r="U42" s="24">
        <v>2</v>
      </c>
      <c r="V42" s="24">
        <v>4</v>
      </c>
      <c r="W42" s="24">
        <v>3</v>
      </c>
      <c r="X42" s="24">
        <v>2</v>
      </c>
      <c r="Y42" s="24">
        <v>3</v>
      </c>
      <c r="Z42" s="24">
        <v>3</v>
      </c>
      <c r="AA42" s="24">
        <v>4</v>
      </c>
      <c r="AB42" s="24">
        <v>4</v>
      </c>
      <c r="AC42" s="24">
        <v>4</v>
      </c>
      <c r="AD42" s="24">
        <v>5</v>
      </c>
      <c r="AE42" s="24">
        <v>5</v>
      </c>
      <c r="AF42" s="24">
        <v>4</v>
      </c>
      <c r="AG42" s="24">
        <v>4</v>
      </c>
      <c r="AH42" s="24">
        <v>4</v>
      </c>
      <c r="AI42" s="24">
        <v>1</v>
      </c>
      <c r="AJ42" s="24">
        <v>1</v>
      </c>
      <c r="AK42" s="24">
        <v>3</v>
      </c>
      <c r="AL42" s="24">
        <v>1</v>
      </c>
      <c r="AM42" s="23"/>
      <c r="AN42" s="23"/>
      <c r="AO42" s="22" t="s">
        <v>59</v>
      </c>
      <c r="AP42" s="22" t="s">
        <v>664</v>
      </c>
      <c r="AQ42" s="22" t="s">
        <v>665</v>
      </c>
      <c r="AR42" s="22" t="s">
        <v>666</v>
      </c>
    </row>
    <row r="43" spans="1:44" hidden="1">
      <c r="A43" s="22" t="s">
        <v>667</v>
      </c>
      <c r="B43" s="22" t="s">
        <v>551</v>
      </c>
      <c r="C43" s="22" t="s">
        <v>53</v>
      </c>
      <c r="D43" s="22" t="s">
        <v>54</v>
      </c>
      <c r="E43" s="22" t="s">
        <v>55</v>
      </c>
      <c r="F43" s="22" t="s">
        <v>56</v>
      </c>
      <c r="G43" s="22" t="s">
        <v>80</v>
      </c>
      <c r="H43" s="23"/>
      <c r="I43" s="23"/>
      <c r="J43" s="22">
        <v>2</v>
      </c>
      <c r="K43" s="22">
        <v>4</v>
      </c>
      <c r="L43" s="22">
        <v>2</v>
      </c>
      <c r="M43" s="23"/>
      <c r="N43" s="22" t="s">
        <v>66</v>
      </c>
      <c r="O43" s="23"/>
      <c r="P43" s="23"/>
      <c r="Q43" s="24">
        <v>4</v>
      </c>
      <c r="R43" s="24">
        <v>4</v>
      </c>
      <c r="S43" s="24">
        <v>4</v>
      </c>
      <c r="T43" s="24">
        <v>3</v>
      </c>
      <c r="U43" s="24">
        <v>4</v>
      </c>
      <c r="V43" s="24">
        <v>4</v>
      </c>
      <c r="W43" s="24">
        <v>4</v>
      </c>
      <c r="X43" s="24">
        <v>4</v>
      </c>
      <c r="Y43" s="24">
        <v>4</v>
      </c>
      <c r="Z43" s="24">
        <v>3</v>
      </c>
      <c r="AA43" s="24">
        <v>4</v>
      </c>
      <c r="AB43" s="24">
        <v>4</v>
      </c>
      <c r="AC43" s="24">
        <v>4</v>
      </c>
      <c r="AD43" s="24">
        <v>4</v>
      </c>
      <c r="AE43" s="24">
        <v>4</v>
      </c>
      <c r="AF43" s="24">
        <v>5</v>
      </c>
      <c r="AG43" s="24">
        <v>3</v>
      </c>
      <c r="AH43" s="24">
        <v>4</v>
      </c>
      <c r="AI43" s="24">
        <v>3</v>
      </c>
      <c r="AJ43" s="24">
        <v>3</v>
      </c>
      <c r="AK43" s="24">
        <v>4</v>
      </c>
      <c r="AL43" s="24">
        <v>3</v>
      </c>
      <c r="AM43" s="23"/>
      <c r="AN43" s="23"/>
      <c r="AO43" s="22" t="s">
        <v>74</v>
      </c>
      <c r="AP43" s="22" t="s">
        <v>668</v>
      </c>
      <c r="AQ43" s="22" t="s">
        <v>669</v>
      </c>
      <c r="AR43" s="22" t="s">
        <v>670</v>
      </c>
    </row>
    <row r="44" spans="1:44" hidden="1">
      <c r="A44" s="22" t="s">
        <v>671</v>
      </c>
      <c r="B44" s="22" t="s">
        <v>551</v>
      </c>
      <c r="C44" s="22" t="s">
        <v>79</v>
      </c>
      <c r="D44" s="22" t="s">
        <v>98</v>
      </c>
      <c r="E44" s="22" t="s">
        <v>55</v>
      </c>
      <c r="F44" s="22" t="s">
        <v>65</v>
      </c>
      <c r="G44" s="22" t="s">
        <v>57</v>
      </c>
      <c r="H44" s="23"/>
      <c r="I44" s="23"/>
      <c r="J44" s="22">
        <v>4</v>
      </c>
      <c r="K44" s="22">
        <v>4</v>
      </c>
      <c r="L44" s="22">
        <v>1</v>
      </c>
      <c r="M44" s="23"/>
      <c r="N44" s="22" t="s">
        <v>115</v>
      </c>
      <c r="O44" s="23"/>
      <c r="P44" s="23"/>
      <c r="Q44" s="24">
        <v>3</v>
      </c>
      <c r="R44" s="24">
        <v>3</v>
      </c>
      <c r="S44" s="24">
        <v>4</v>
      </c>
      <c r="T44" s="24">
        <v>4</v>
      </c>
      <c r="U44" s="24">
        <v>4</v>
      </c>
      <c r="V44" s="24">
        <v>4</v>
      </c>
      <c r="W44" s="24">
        <v>4</v>
      </c>
      <c r="X44" s="24">
        <v>4</v>
      </c>
      <c r="Y44" s="24">
        <v>4</v>
      </c>
      <c r="Z44" s="24">
        <v>4</v>
      </c>
      <c r="AA44" s="24">
        <v>4</v>
      </c>
      <c r="AB44" s="24">
        <v>4</v>
      </c>
      <c r="AC44" s="24">
        <v>4</v>
      </c>
      <c r="AD44" s="24">
        <v>4</v>
      </c>
      <c r="AE44" s="24">
        <v>4</v>
      </c>
      <c r="AF44" s="24">
        <v>4</v>
      </c>
      <c r="AG44" s="24">
        <v>4</v>
      </c>
      <c r="AH44" s="24">
        <v>4</v>
      </c>
      <c r="AI44" s="24">
        <v>2</v>
      </c>
      <c r="AJ44" s="24">
        <v>1</v>
      </c>
      <c r="AK44" s="24">
        <v>3</v>
      </c>
      <c r="AL44" s="24">
        <v>2</v>
      </c>
      <c r="AM44" s="23"/>
      <c r="AN44" s="23"/>
      <c r="AO44" s="22" t="s">
        <v>74</v>
      </c>
      <c r="AP44" s="22" t="s">
        <v>232</v>
      </c>
      <c r="AQ44" s="22" t="s">
        <v>672</v>
      </c>
      <c r="AR44" s="22" t="s">
        <v>673</v>
      </c>
    </row>
    <row r="45" spans="1:44" hidden="1">
      <c r="A45" s="22" t="s">
        <v>674</v>
      </c>
      <c r="B45" s="22" t="s">
        <v>551</v>
      </c>
      <c r="C45" s="22" t="s">
        <v>53</v>
      </c>
      <c r="D45" s="22" t="s">
        <v>64</v>
      </c>
      <c r="E45" s="22" t="s">
        <v>55</v>
      </c>
      <c r="F45" s="22" t="s">
        <v>65</v>
      </c>
      <c r="G45" s="22" t="s">
        <v>57</v>
      </c>
      <c r="H45" s="23"/>
      <c r="I45" s="23"/>
      <c r="J45" s="22">
        <v>4</v>
      </c>
      <c r="K45" s="22">
        <v>4</v>
      </c>
      <c r="L45" s="22">
        <v>4</v>
      </c>
      <c r="M45" s="23"/>
      <c r="N45" s="22" t="s">
        <v>66</v>
      </c>
      <c r="O45" s="23"/>
      <c r="P45" s="23"/>
      <c r="Q45" s="24">
        <v>4</v>
      </c>
      <c r="R45" s="24">
        <v>3</v>
      </c>
      <c r="S45" s="24">
        <v>4</v>
      </c>
      <c r="T45" s="24">
        <v>3</v>
      </c>
      <c r="U45" s="24">
        <v>4</v>
      </c>
      <c r="V45" s="24">
        <v>4</v>
      </c>
      <c r="W45" s="24">
        <v>5</v>
      </c>
      <c r="X45" s="24">
        <v>4</v>
      </c>
      <c r="Y45" s="24">
        <v>4</v>
      </c>
      <c r="Z45" s="24">
        <v>4</v>
      </c>
      <c r="AA45" s="24">
        <v>5</v>
      </c>
      <c r="AB45" s="24">
        <v>5</v>
      </c>
      <c r="AC45" s="24">
        <v>5</v>
      </c>
      <c r="AD45" s="24">
        <v>5</v>
      </c>
      <c r="AE45" s="24">
        <v>5</v>
      </c>
      <c r="AF45" s="24">
        <v>5</v>
      </c>
      <c r="AG45" s="24">
        <v>5</v>
      </c>
      <c r="AH45" s="24">
        <v>5</v>
      </c>
      <c r="AI45" s="24">
        <v>3</v>
      </c>
      <c r="AJ45" s="24">
        <v>3</v>
      </c>
      <c r="AK45" s="24">
        <v>3</v>
      </c>
      <c r="AL45" s="24">
        <v>3</v>
      </c>
      <c r="AM45" s="23"/>
      <c r="AN45" s="23"/>
      <c r="AO45" s="22" t="s">
        <v>74</v>
      </c>
      <c r="AP45" s="22" t="s">
        <v>675</v>
      </c>
      <c r="AQ45" s="22" t="s">
        <v>676</v>
      </c>
      <c r="AR45" s="22" t="s">
        <v>677</v>
      </c>
    </row>
    <row r="46" spans="1:44" hidden="1">
      <c r="A46" s="22" t="s">
        <v>678</v>
      </c>
      <c r="B46" s="22" t="s">
        <v>551</v>
      </c>
      <c r="C46" s="22" t="s">
        <v>95</v>
      </c>
      <c r="D46" s="22" t="s">
        <v>64</v>
      </c>
      <c r="E46" s="22" t="s">
        <v>55</v>
      </c>
      <c r="F46" s="22" t="s">
        <v>65</v>
      </c>
      <c r="G46" s="22" t="s">
        <v>129</v>
      </c>
      <c r="H46" s="23"/>
      <c r="I46" s="23"/>
      <c r="J46" s="22">
        <v>1</v>
      </c>
      <c r="K46" s="22">
        <v>1</v>
      </c>
      <c r="L46" s="22">
        <v>1</v>
      </c>
      <c r="M46" s="23"/>
      <c r="N46" s="22" t="s">
        <v>58</v>
      </c>
      <c r="O46" s="23"/>
      <c r="P46" s="23"/>
      <c r="Q46" s="24">
        <v>3</v>
      </c>
      <c r="R46" s="24">
        <v>3</v>
      </c>
      <c r="S46" s="24">
        <v>2</v>
      </c>
      <c r="T46" s="24">
        <v>2</v>
      </c>
      <c r="U46" s="24">
        <v>2</v>
      </c>
      <c r="V46" s="24">
        <v>2</v>
      </c>
      <c r="W46" s="24">
        <v>5</v>
      </c>
      <c r="X46" s="24">
        <v>4</v>
      </c>
      <c r="Y46" s="24">
        <v>4</v>
      </c>
      <c r="Z46" s="24">
        <v>4</v>
      </c>
      <c r="AA46" s="24">
        <v>3</v>
      </c>
      <c r="AB46" s="24">
        <v>4</v>
      </c>
      <c r="AC46" s="24">
        <v>4</v>
      </c>
      <c r="AD46" s="24">
        <v>5</v>
      </c>
      <c r="AE46" s="24">
        <v>4</v>
      </c>
      <c r="AF46" s="24">
        <v>4</v>
      </c>
      <c r="AG46" s="24">
        <v>4</v>
      </c>
      <c r="AH46" s="24">
        <v>4</v>
      </c>
      <c r="AI46" s="24">
        <v>3</v>
      </c>
      <c r="AJ46" s="24">
        <v>3</v>
      </c>
      <c r="AK46" s="24">
        <v>4</v>
      </c>
      <c r="AL46" s="24">
        <v>3</v>
      </c>
      <c r="AM46" s="23"/>
      <c r="AN46" s="23"/>
      <c r="AO46" s="22" t="s">
        <v>59</v>
      </c>
      <c r="AP46" s="22" t="s">
        <v>679</v>
      </c>
      <c r="AQ46" s="22" t="s">
        <v>680</v>
      </c>
      <c r="AR46" s="22" t="s">
        <v>171</v>
      </c>
    </row>
    <row r="47" spans="1:44" hidden="1">
      <c r="A47" s="22" t="s">
        <v>681</v>
      </c>
      <c r="B47" s="22" t="s">
        <v>551</v>
      </c>
      <c r="C47" s="22" t="s">
        <v>79</v>
      </c>
      <c r="D47" s="22" t="s">
        <v>106</v>
      </c>
      <c r="E47" s="22" t="s">
        <v>72</v>
      </c>
      <c r="F47" s="22" t="s">
        <v>73</v>
      </c>
      <c r="G47" s="22" t="s">
        <v>57</v>
      </c>
      <c r="H47" s="23"/>
      <c r="I47" s="23"/>
      <c r="J47" s="22">
        <v>3</v>
      </c>
      <c r="K47" s="22">
        <v>4</v>
      </c>
      <c r="L47" s="22">
        <v>1</v>
      </c>
      <c r="M47" s="23"/>
      <c r="N47" s="22" t="s">
        <v>58</v>
      </c>
      <c r="O47" s="23"/>
      <c r="P47" s="23"/>
      <c r="Q47" s="24">
        <v>3</v>
      </c>
      <c r="R47" s="24">
        <v>2</v>
      </c>
      <c r="S47" s="24">
        <v>3</v>
      </c>
      <c r="T47" s="24">
        <v>3</v>
      </c>
      <c r="U47" s="24">
        <v>4</v>
      </c>
      <c r="V47" s="24">
        <v>2</v>
      </c>
      <c r="W47" s="24">
        <v>4</v>
      </c>
      <c r="X47" s="24">
        <v>3</v>
      </c>
      <c r="Y47" s="24">
        <v>4</v>
      </c>
      <c r="Z47" s="24">
        <v>4</v>
      </c>
      <c r="AA47" s="24">
        <v>4</v>
      </c>
      <c r="AB47" s="24">
        <v>4</v>
      </c>
      <c r="AC47" s="24">
        <v>4</v>
      </c>
      <c r="AD47" s="24">
        <v>3</v>
      </c>
      <c r="AE47" s="24">
        <v>4</v>
      </c>
      <c r="AF47" s="24">
        <v>4</v>
      </c>
      <c r="AG47" s="24">
        <v>4</v>
      </c>
      <c r="AH47" s="24">
        <v>4</v>
      </c>
      <c r="AI47" s="24">
        <v>3</v>
      </c>
      <c r="AJ47" s="24">
        <v>3</v>
      </c>
      <c r="AK47" s="24">
        <v>4</v>
      </c>
      <c r="AL47" s="24">
        <v>4</v>
      </c>
      <c r="AM47" s="23"/>
      <c r="AN47" s="23"/>
      <c r="AO47" s="22" t="s">
        <v>74</v>
      </c>
      <c r="AP47" s="22" t="s">
        <v>682</v>
      </c>
      <c r="AQ47" s="22" t="s">
        <v>683</v>
      </c>
      <c r="AR47" s="22" t="s">
        <v>684</v>
      </c>
    </row>
    <row r="48" spans="1:44" hidden="1">
      <c r="A48" s="22" t="s">
        <v>685</v>
      </c>
      <c r="B48" s="22" t="s">
        <v>551</v>
      </c>
      <c r="C48" s="22" t="s">
        <v>90</v>
      </c>
      <c r="D48" s="22" t="s">
        <v>98</v>
      </c>
      <c r="E48" s="22" t="s">
        <v>55</v>
      </c>
      <c r="F48" s="22" t="s">
        <v>65</v>
      </c>
      <c r="G48" s="22" t="s">
        <v>80</v>
      </c>
      <c r="H48" s="23"/>
      <c r="I48" s="23"/>
      <c r="J48" s="22">
        <v>4</v>
      </c>
      <c r="K48" s="22">
        <v>4</v>
      </c>
      <c r="L48" s="22">
        <v>3</v>
      </c>
      <c r="M48" s="23"/>
      <c r="N48" s="22" t="s">
        <v>58</v>
      </c>
      <c r="O48" s="23"/>
      <c r="P48" s="23"/>
      <c r="Q48" s="24">
        <v>3</v>
      </c>
      <c r="R48" s="24">
        <v>3</v>
      </c>
      <c r="S48" s="24">
        <v>4</v>
      </c>
      <c r="T48" s="24">
        <v>4</v>
      </c>
      <c r="U48" s="24">
        <v>4</v>
      </c>
      <c r="V48" s="24">
        <v>4</v>
      </c>
      <c r="W48" s="24">
        <v>3</v>
      </c>
      <c r="X48" s="24">
        <v>3</v>
      </c>
      <c r="Y48" s="24">
        <v>3</v>
      </c>
      <c r="Z48" s="24">
        <v>3</v>
      </c>
      <c r="AA48" s="24">
        <v>4</v>
      </c>
      <c r="AB48" s="24">
        <v>4</v>
      </c>
      <c r="AC48" s="24">
        <v>4</v>
      </c>
      <c r="AD48" s="24">
        <v>4</v>
      </c>
      <c r="AE48" s="24">
        <v>3</v>
      </c>
      <c r="AF48" s="24">
        <v>4</v>
      </c>
      <c r="AG48" s="24">
        <v>4</v>
      </c>
      <c r="AH48" s="24">
        <v>3</v>
      </c>
      <c r="AI48" s="24">
        <v>4</v>
      </c>
      <c r="AJ48" s="24">
        <v>3</v>
      </c>
      <c r="AK48" s="24">
        <v>3</v>
      </c>
      <c r="AL48" s="24">
        <v>3</v>
      </c>
      <c r="AM48" s="23"/>
      <c r="AN48" s="23"/>
      <c r="AO48" s="22" t="s">
        <v>74</v>
      </c>
      <c r="AP48" s="22" t="s">
        <v>686</v>
      </c>
      <c r="AQ48" s="22" t="s">
        <v>686</v>
      </c>
      <c r="AR48" s="22" t="s">
        <v>687</v>
      </c>
    </row>
    <row r="49" spans="1:44" hidden="1">
      <c r="A49" s="22" t="s">
        <v>688</v>
      </c>
      <c r="B49" s="22" t="s">
        <v>551</v>
      </c>
      <c r="C49" s="22" t="s">
        <v>53</v>
      </c>
      <c r="D49" s="22" t="s">
        <v>64</v>
      </c>
      <c r="E49" s="22" t="s">
        <v>55</v>
      </c>
      <c r="F49" s="22" t="s">
        <v>65</v>
      </c>
      <c r="G49" s="22" t="s">
        <v>57</v>
      </c>
      <c r="H49" s="23"/>
      <c r="I49" s="23"/>
      <c r="J49" s="22">
        <v>4</v>
      </c>
      <c r="K49" s="22">
        <v>2</v>
      </c>
      <c r="L49" s="22">
        <v>1</v>
      </c>
      <c r="M49" s="23"/>
      <c r="N49" s="22" t="s">
        <v>115</v>
      </c>
      <c r="O49" s="23"/>
      <c r="P49" s="23"/>
      <c r="Q49" s="24">
        <v>5</v>
      </c>
      <c r="R49" s="24">
        <v>5</v>
      </c>
      <c r="S49" s="24">
        <v>3</v>
      </c>
      <c r="T49" s="24">
        <v>3</v>
      </c>
      <c r="U49" s="24">
        <v>5</v>
      </c>
      <c r="V49" s="24">
        <v>4</v>
      </c>
      <c r="W49" s="24">
        <v>3</v>
      </c>
      <c r="X49" s="24">
        <v>4</v>
      </c>
      <c r="Y49" s="24">
        <v>3</v>
      </c>
      <c r="Z49" s="24">
        <v>3</v>
      </c>
      <c r="AA49" s="24">
        <v>5</v>
      </c>
      <c r="AB49" s="24">
        <v>5</v>
      </c>
      <c r="AC49" s="24">
        <v>5</v>
      </c>
      <c r="AD49" s="24">
        <v>5</v>
      </c>
      <c r="AE49" s="24">
        <v>2</v>
      </c>
      <c r="AF49" s="24">
        <v>5</v>
      </c>
      <c r="AG49" s="24">
        <v>3</v>
      </c>
      <c r="AH49" s="24">
        <v>3</v>
      </c>
      <c r="AI49" s="24">
        <v>3</v>
      </c>
      <c r="AJ49" s="24">
        <v>3</v>
      </c>
      <c r="AK49" s="24">
        <v>3</v>
      </c>
      <c r="AL49" s="24">
        <v>3</v>
      </c>
      <c r="AM49" s="23"/>
      <c r="AN49" s="23"/>
      <c r="AO49" s="22" t="s">
        <v>74</v>
      </c>
      <c r="AP49" s="22" t="s">
        <v>689</v>
      </c>
      <c r="AQ49" s="22" t="s">
        <v>690</v>
      </c>
      <c r="AR49" s="22" t="s">
        <v>691</v>
      </c>
    </row>
    <row r="50" spans="1:44" hidden="1">
      <c r="A50" s="22" t="s">
        <v>692</v>
      </c>
      <c r="B50" s="22" t="s">
        <v>551</v>
      </c>
      <c r="C50" s="22" t="s">
        <v>53</v>
      </c>
      <c r="D50" s="22" t="s">
        <v>54</v>
      </c>
      <c r="E50" s="22" t="s">
        <v>55</v>
      </c>
      <c r="F50" s="22" t="s">
        <v>73</v>
      </c>
      <c r="G50" s="22" t="s">
        <v>96</v>
      </c>
      <c r="H50" s="23"/>
      <c r="I50" s="23"/>
      <c r="J50" s="22">
        <v>1</v>
      </c>
      <c r="K50" s="22">
        <v>1</v>
      </c>
      <c r="L50" s="22">
        <v>1</v>
      </c>
      <c r="M50" s="23"/>
      <c r="N50" s="22" t="s">
        <v>85</v>
      </c>
      <c r="O50" s="23"/>
      <c r="P50" s="23"/>
      <c r="Q50" s="24">
        <v>2</v>
      </c>
      <c r="R50" s="24">
        <v>1</v>
      </c>
      <c r="S50" s="24">
        <v>1</v>
      </c>
      <c r="T50" s="24">
        <v>1</v>
      </c>
      <c r="U50" s="24">
        <v>1</v>
      </c>
      <c r="V50" s="24">
        <v>1</v>
      </c>
      <c r="W50" s="24">
        <v>1</v>
      </c>
      <c r="X50" s="24">
        <v>1</v>
      </c>
      <c r="Y50" s="24">
        <v>1</v>
      </c>
      <c r="Z50" s="24">
        <v>1</v>
      </c>
      <c r="AA50" s="24">
        <v>2</v>
      </c>
      <c r="AB50" s="24">
        <v>3</v>
      </c>
      <c r="AC50" s="24">
        <v>4</v>
      </c>
      <c r="AD50" s="24">
        <v>4</v>
      </c>
      <c r="AE50" s="24">
        <v>4</v>
      </c>
      <c r="AF50" s="24">
        <v>4</v>
      </c>
      <c r="AG50" s="24">
        <v>4</v>
      </c>
      <c r="AH50" s="24">
        <v>4</v>
      </c>
      <c r="AI50" s="24">
        <v>1</v>
      </c>
      <c r="AJ50" s="24">
        <v>1</v>
      </c>
      <c r="AK50" s="24">
        <v>1</v>
      </c>
      <c r="AL50" s="24">
        <v>1</v>
      </c>
      <c r="AM50" s="23"/>
      <c r="AN50" s="23"/>
      <c r="AO50" s="22" t="s">
        <v>59</v>
      </c>
      <c r="AP50" s="22" t="s">
        <v>693</v>
      </c>
      <c r="AQ50" s="22" t="s">
        <v>694</v>
      </c>
      <c r="AR50" s="22" t="s">
        <v>695</v>
      </c>
    </row>
    <row r="51" spans="1:44" hidden="1">
      <c r="A51" s="22" t="s">
        <v>696</v>
      </c>
      <c r="B51" s="22" t="s">
        <v>551</v>
      </c>
      <c r="C51" s="22" t="s">
        <v>53</v>
      </c>
      <c r="D51" s="22" t="s">
        <v>64</v>
      </c>
      <c r="E51" s="22" t="s">
        <v>55</v>
      </c>
      <c r="F51" s="22" t="s">
        <v>65</v>
      </c>
      <c r="G51" s="22" t="s">
        <v>57</v>
      </c>
      <c r="H51" s="23"/>
      <c r="I51" s="23"/>
      <c r="J51" s="22">
        <v>4</v>
      </c>
      <c r="K51" s="22">
        <v>4</v>
      </c>
      <c r="L51" s="22">
        <v>2</v>
      </c>
      <c r="M51" s="23"/>
      <c r="N51" s="22" t="s">
        <v>115</v>
      </c>
      <c r="O51" s="23"/>
      <c r="P51" s="23"/>
      <c r="Q51" s="24">
        <v>4</v>
      </c>
      <c r="R51" s="24">
        <v>4</v>
      </c>
      <c r="S51" s="24">
        <v>4</v>
      </c>
      <c r="T51" s="24">
        <v>3</v>
      </c>
      <c r="U51" s="24">
        <v>4</v>
      </c>
      <c r="V51" s="24">
        <v>3</v>
      </c>
      <c r="W51" s="24">
        <v>4</v>
      </c>
      <c r="X51" s="24">
        <v>5</v>
      </c>
      <c r="Y51" s="24">
        <v>4</v>
      </c>
      <c r="Z51" s="24">
        <v>4</v>
      </c>
      <c r="AA51" s="24">
        <v>3</v>
      </c>
      <c r="AB51" s="24">
        <v>4</v>
      </c>
      <c r="AC51" s="24">
        <v>4</v>
      </c>
      <c r="AD51" s="24">
        <v>4</v>
      </c>
      <c r="AE51" s="24">
        <v>4</v>
      </c>
      <c r="AF51" s="24">
        <v>4</v>
      </c>
      <c r="AG51" s="24">
        <v>4</v>
      </c>
      <c r="AH51" s="24">
        <v>4</v>
      </c>
      <c r="AI51" s="24">
        <v>4</v>
      </c>
      <c r="AJ51" s="24">
        <v>4</v>
      </c>
      <c r="AK51" s="24">
        <v>4</v>
      </c>
      <c r="AL51" s="24">
        <v>4</v>
      </c>
      <c r="AM51" s="23"/>
      <c r="AN51" s="23"/>
      <c r="AO51" s="22" t="s">
        <v>74</v>
      </c>
      <c r="AP51" s="22" t="s">
        <v>120</v>
      </c>
      <c r="AQ51" s="22" t="s">
        <v>120</v>
      </c>
      <c r="AR51" s="22" t="s">
        <v>697</v>
      </c>
    </row>
    <row r="52" spans="1:44" hidden="1">
      <c r="A52" s="22" t="s">
        <v>698</v>
      </c>
      <c r="B52" s="22" t="s">
        <v>551</v>
      </c>
      <c r="C52" s="22" t="s">
        <v>53</v>
      </c>
      <c r="D52" s="22" t="s">
        <v>71</v>
      </c>
      <c r="E52" s="22" t="s">
        <v>72</v>
      </c>
      <c r="F52" s="22" t="s">
        <v>56</v>
      </c>
      <c r="G52" s="22" t="s">
        <v>57</v>
      </c>
      <c r="H52" s="23"/>
      <c r="I52" s="23"/>
      <c r="J52" s="22">
        <v>5</v>
      </c>
      <c r="K52" s="22">
        <v>3</v>
      </c>
      <c r="L52" s="22">
        <v>2</v>
      </c>
      <c r="M52" s="23"/>
      <c r="N52" s="22" t="s">
        <v>115</v>
      </c>
      <c r="O52" s="23"/>
      <c r="P52" s="23"/>
      <c r="Q52" s="24">
        <v>4</v>
      </c>
      <c r="R52" s="24">
        <v>4</v>
      </c>
      <c r="S52" s="24">
        <v>3</v>
      </c>
      <c r="T52" s="24">
        <v>2</v>
      </c>
      <c r="U52" s="24">
        <v>4</v>
      </c>
      <c r="V52" s="24">
        <v>4</v>
      </c>
      <c r="W52" s="24">
        <v>4</v>
      </c>
      <c r="X52" s="24">
        <v>4</v>
      </c>
      <c r="Y52" s="24">
        <v>4</v>
      </c>
      <c r="Z52" s="24">
        <v>3</v>
      </c>
      <c r="AA52" s="24">
        <v>3</v>
      </c>
      <c r="AB52" s="24">
        <v>4</v>
      </c>
      <c r="AC52" s="24">
        <v>4</v>
      </c>
      <c r="AD52" s="24">
        <v>4</v>
      </c>
      <c r="AE52" s="24">
        <v>3</v>
      </c>
      <c r="AF52" s="24">
        <v>3</v>
      </c>
      <c r="AG52" s="24">
        <v>3</v>
      </c>
      <c r="AH52" s="24">
        <v>4</v>
      </c>
      <c r="AI52" s="24">
        <v>4</v>
      </c>
      <c r="AJ52" s="24">
        <v>3</v>
      </c>
      <c r="AK52" s="24">
        <v>3</v>
      </c>
      <c r="AL52" s="24">
        <v>2</v>
      </c>
      <c r="AM52" s="23"/>
      <c r="AN52" s="23"/>
      <c r="AO52" s="22" t="s">
        <v>74</v>
      </c>
      <c r="AP52" s="22" t="s">
        <v>699</v>
      </c>
      <c r="AQ52" s="22" t="s">
        <v>700</v>
      </c>
      <c r="AR52" s="22" t="s">
        <v>160</v>
      </c>
    </row>
    <row r="53" spans="1:44" hidden="1">
      <c r="A53" s="22" t="s">
        <v>701</v>
      </c>
      <c r="B53" s="22" t="s">
        <v>551</v>
      </c>
      <c r="C53" s="22" t="s">
        <v>95</v>
      </c>
      <c r="D53" s="22" t="s">
        <v>90</v>
      </c>
      <c r="E53" s="22" t="s">
        <v>55</v>
      </c>
      <c r="F53" s="22" t="s">
        <v>65</v>
      </c>
      <c r="G53" s="22" t="s">
        <v>80</v>
      </c>
      <c r="H53" s="23"/>
      <c r="I53" s="23"/>
      <c r="J53" s="22">
        <v>1</v>
      </c>
      <c r="K53" s="22">
        <v>1</v>
      </c>
      <c r="L53" s="22">
        <v>1</v>
      </c>
      <c r="M53" s="23"/>
      <c r="N53" s="22" t="s">
        <v>66</v>
      </c>
      <c r="O53" s="23"/>
      <c r="P53" s="23"/>
      <c r="Q53" s="24">
        <v>5</v>
      </c>
      <c r="R53" s="24">
        <v>5</v>
      </c>
      <c r="S53" s="24">
        <v>3</v>
      </c>
      <c r="T53" s="24">
        <v>3</v>
      </c>
      <c r="U53" s="24">
        <v>5</v>
      </c>
      <c r="V53" s="24">
        <v>5</v>
      </c>
      <c r="W53" s="24">
        <v>5</v>
      </c>
      <c r="X53" s="24">
        <v>4</v>
      </c>
      <c r="Y53" s="24">
        <v>4</v>
      </c>
      <c r="Z53" s="24">
        <v>4</v>
      </c>
      <c r="AA53" s="24">
        <v>4</v>
      </c>
      <c r="AB53" s="24">
        <v>2</v>
      </c>
      <c r="AC53" s="24">
        <v>5</v>
      </c>
      <c r="AD53" s="24">
        <v>5</v>
      </c>
      <c r="AE53" s="24">
        <v>5</v>
      </c>
      <c r="AF53" s="24">
        <v>5</v>
      </c>
      <c r="AG53" s="24">
        <v>4</v>
      </c>
      <c r="AH53" s="24">
        <v>5</v>
      </c>
      <c r="AI53" s="24">
        <v>2</v>
      </c>
      <c r="AJ53" s="24">
        <v>2</v>
      </c>
      <c r="AK53" s="24">
        <v>2</v>
      </c>
      <c r="AL53" s="24">
        <v>2</v>
      </c>
      <c r="AM53" s="23"/>
      <c r="AN53" s="23"/>
      <c r="AO53" s="22" t="s">
        <v>74</v>
      </c>
      <c r="AP53" s="22" t="s">
        <v>702</v>
      </c>
      <c r="AQ53" s="22" t="s">
        <v>703</v>
      </c>
      <c r="AR53" s="22" t="s">
        <v>704</v>
      </c>
    </row>
    <row r="54" spans="1:44" hidden="1">
      <c r="A54" s="22" t="s">
        <v>705</v>
      </c>
      <c r="B54" s="22" t="s">
        <v>551</v>
      </c>
      <c r="C54" s="22" t="s">
        <v>90</v>
      </c>
      <c r="D54" s="22" t="s">
        <v>54</v>
      </c>
      <c r="E54" s="22" t="s">
        <v>55</v>
      </c>
      <c r="F54" s="22" t="s">
        <v>56</v>
      </c>
      <c r="G54" s="22" t="s">
        <v>96</v>
      </c>
      <c r="H54" s="23"/>
      <c r="I54" s="23"/>
      <c r="J54" s="22">
        <v>1</v>
      </c>
      <c r="K54" s="22">
        <v>1</v>
      </c>
      <c r="L54" s="22">
        <v>1</v>
      </c>
      <c r="M54" s="23"/>
      <c r="N54" s="22" t="s">
        <v>85</v>
      </c>
      <c r="O54" s="23"/>
      <c r="P54" s="23"/>
      <c r="Q54" s="24">
        <v>1</v>
      </c>
      <c r="R54" s="24">
        <v>1</v>
      </c>
      <c r="S54" s="24">
        <v>1</v>
      </c>
      <c r="T54" s="24">
        <v>1</v>
      </c>
      <c r="U54" s="24">
        <v>1</v>
      </c>
      <c r="V54" s="24">
        <v>1</v>
      </c>
      <c r="W54" s="24">
        <v>1</v>
      </c>
      <c r="X54" s="24">
        <v>1</v>
      </c>
      <c r="Y54" s="24">
        <v>1</v>
      </c>
      <c r="Z54" s="24">
        <v>1</v>
      </c>
      <c r="AA54" s="24">
        <v>1</v>
      </c>
      <c r="AB54" s="24">
        <v>5</v>
      </c>
      <c r="AC54" s="24">
        <v>1</v>
      </c>
      <c r="AD54" s="24">
        <v>2</v>
      </c>
      <c r="AE54" s="24">
        <v>1</v>
      </c>
      <c r="AF54" s="24">
        <v>5</v>
      </c>
      <c r="AG54" s="24">
        <v>1</v>
      </c>
      <c r="AH54" s="24">
        <v>1</v>
      </c>
      <c r="AI54" s="24">
        <v>1</v>
      </c>
      <c r="AJ54" s="24">
        <v>2</v>
      </c>
      <c r="AK54" s="24">
        <v>1</v>
      </c>
      <c r="AL54" s="24">
        <v>1</v>
      </c>
      <c r="AM54" s="23"/>
      <c r="AN54" s="23"/>
      <c r="AO54" s="22" t="s">
        <v>59</v>
      </c>
      <c r="AP54" s="22" t="s">
        <v>706</v>
      </c>
      <c r="AQ54" s="22" t="s">
        <v>706</v>
      </c>
      <c r="AR54" s="22" t="s">
        <v>706</v>
      </c>
    </row>
    <row r="55" spans="1:44" hidden="1">
      <c r="A55" s="22" t="s">
        <v>707</v>
      </c>
      <c r="B55" s="22" t="s">
        <v>551</v>
      </c>
      <c r="C55" s="22" t="s">
        <v>90</v>
      </c>
      <c r="D55" s="22" t="s">
        <v>98</v>
      </c>
      <c r="E55" s="22" t="s">
        <v>55</v>
      </c>
      <c r="F55" s="22" t="s">
        <v>65</v>
      </c>
      <c r="G55" s="22" t="s">
        <v>80</v>
      </c>
      <c r="H55" s="23"/>
      <c r="I55" s="23"/>
      <c r="J55" s="22">
        <v>2</v>
      </c>
      <c r="K55" s="22">
        <v>2</v>
      </c>
      <c r="L55" s="22">
        <v>2</v>
      </c>
      <c r="M55" s="23"/>
      <c r="N55" s="22" t="s">
        <v>58</v>
      </c>
      <c r="O55" s="23"/>
      <c r="P55" s="23"/>
      <c r="Q55" s="24">
        <v>2</v>
      </c>
      <c r="R55" s="24">
        <v>2</v>
      </c>
      <c r="S55" s="24">
        <v>3</v>
      </c>
      <c r="T55" s="24">
        <v>2</v>
      </c>
      <c r="U55" s="24">
        <v>2</v>
      </c>
      <c r="V55" s="24">
        <v>2</v>
      </c>
      <c r="W55" s="24">
        <v>3</v>
      </c>
      <c r="X55" s="24">
        <v>2</v>
      </c>
      <c r="Y55" s="24">
        <v>2</v>
      </c>
      <c r="Z55" s="24">
        <v>2</v>
      </c>
      <c r="AA55" s="24">
        <v>4</v>
      </c>
      <c r="AB55" s="24">
        <v>3</v>
      </c>
      <c r="AC55" s="24">
        <v>3</v>
      </c>
      <c r="AD55" s="24">
        <v>3</v>
      </c>
      <c r="AE55" s="24">
        <v>3</v>
      </c>
      <c r="AF55" s="24">
        <v>3</v>
      </c>
      <c r="AG55" s="24">
        <v>3</v>
      </c>
      <c r="AH55" s="24">
        <v>3</v>
      </c>
      <c r="AI55" s="24">
        <v>3</v>
      </c>
      <c r="AJ55" s="24">
        <v>2</v>
      </c>
      <c r="AK55" s="24">
        <v>2</v>
      </c>
      <c r="AL55" s="24">
        <v>2</v>
      </c>
      <c r="AM55" s="23"/>
      <c r="AN55" s="23"/>
      <c r="AO55" s="22" t="s">
        <v>59</v>
      </c>
      <c r="AP55" s="22" t="s">
        <v>708</v>
      </c>
      <c r="AQ55" s="22" t="s">
        <v>709</v>
      </c>
      <c r="AR55" s="22" t="s">
        <v>643</v>
      </c>
    </row>
    <row r="56" spans="1:44" hidden="1">
      <c r="A56" s="22" t="s">
        <v>710</v>
      </c>
      <c r="B56" s="22" t="s">
        <v>551</v>
      </c>
      <c r="C56" s="22" t="s">
        <v>53</v>
      </c>
      <c r="D56" s="22" t="s">
        <v>64</v>
      </c>
      <c r="E56" s="22" t="s">
        <v>55</v>
      </c>
      <c r="F56" s="22" t="s">
        <v>65</v>
      </c>
      <c r="G56" s="22" t="s">
        <v>57</v>
      </c>
      <c r="H56" s="23"/>
      <c r="I56" s="23"/>
      <c r="J56" s="22">
        <v>1</v>
      </c>
      <c r="K56" s="22">
        <v>1</v>
      </c>
      <c r="L56" s="22">
        <v>1</v>
      </c>
      <c r="M56" s="23"/>
      <c r="N56" s="22" t="s">
        <v>58</v>
      </c>
      <c r="O56" s="23"/>
      <c r="P56" s="23"/>
      <c r="Q56" s="24">
        <v>4</v>
      </c>
      <c r="R56" s="24">
        <v>4</v>
      </c>
      <c r="S56" s="24">
        <v>3</v>
      </c>
      <c r="T56" s="24">
        <v>3</v>
      </c>
      <c r="U56" s="24">
        <v>4</v>
      </c>
      <c r="V56" s="24">
        <v>4</v>
      </c>
      <c r="W56" s="24">
        <v>4</v>
      </c>
      <c r="X56" s="24">
        <v>4</v>
      </c>
      <c r="Y56" s="24">
        <v>3</v>
      </c>
      <c r="Z56" s="24">
        <v>3</v>
      </c>
      <c r="AA56" s="24">
        <v>4</v>
      </c>
      <c r="AB56" s="24">
        <v>4</v>
      </c>
      <c r="AC56" s="24">
        <v>4</v>
      </c>
      <c r="AD56" s="24">
        <v>4</v>
      </c>
      <c r="AE56" s="24">
        <v>4</v>
      </c>
      <c r="AF56" s="24">
        <v>4</v>
      </c>
      <c r="AG56" s="24">
        <v>4</v>
      </c>
      <c r="AH56" s="24">
        <v>4</v>
      </c>
      <c r="AI56" s="24">
        <v>4</v>
      </c>
      <c r="AJ56" s="24">
        <v>3</v>
      </c>
      <c r="AK56" s="24">
        <v>3</v>
      </c>
      <c r="AL56" s="24">
        <v>3</v>
      </c>
      <c r="AM56" s="23"/>
      <c r="AN56" s="23"/>
      <c r="AO56" s="22" t="s">
        <v>59</v>
      </c>
      <c r="AP56" s="22" t="s">
        <v>711</v>
      </c>
      <c r="AQ56" s="22" t="s">
        <v>712</v>
      </c>
      <c r="AR56" s="22" t="s">
        <v>713</v>
      </c>
    </row>
    <row r="57" spans="1:44" hidden="1">
      <c r="A57" s="22" t="s">
        <v>714</v>
      </c>
      <c r="B57" s="22" t="s">
        <v>551</v>
      </c>
      <c r="C57" s="22" t="s">
        <v>53</v>
      </c>
      <c r="D57" s="22" t="s">
        <v>106</v>
      </c>
      <c r="E57" s="22" t="s">
        <v>72</v>
      </c>
      <c r="F57" s="22" t="s">
        <v>73</v>
      </c>
      <c r="G57" s="22" t="s">
        <v>57</v>
      </c>
      <c r="H57" s="23"/>
      <c r="I57" s="23"/>
      <c r="J57" s="22">
        <v>3</v>
      </c>
      <c r="K57" s="22">
        <v>5</v>
      </c>
      <c r="L57" s="22">
        <v>4</v>
      </c>
      <c r="M57" s="23"/>
      <c r="N57" s="22" t="s">
        <v>115</v>
      </c>
      <c r="O57" s="23"/>
      <c r="P57" s="23"/>
      <c r="Q57" s="24">
        <v>5</v>
      </c>
      <c r="R57" s="24">
        <v>5</v>
      </c>
      <c r="S57" s="24">
        <v>4</v>
      </c>
      <c r="T57" s="24">
        <v>4</v>
      </c>
      <c r="U57" s="24">
        <v>4</v>
      </c>
      <c r="V57" s="24">
        <v>4</v>
      </c>
      <c r="W57" s="24">
        <v>4</v>
      </c>
      <c r="X57" s="24">
        <v>5</v>
      </c>
      <c r="Y57" s="24">
        <v>4</v>
      </c>
      <c r="Z57" s="24">
        <v>3</v>
      </c>
      <c r="AA57" s="24">
        <v>5</v>
      </c>
      <c r="AB57" s="24">
        <v>5</v>
      </c>
      <c r="AC57" s="24">
        <v>5</v>
      </c>
      <c r="AD57" s="24">
        <v>5</v>
      </c>
      <c r="AE57" s="24">
        <v>3</v>
      </c>
      <c r="AF57" s="24">
        <v>5</v>
      </c>
      <c r="AG57" s="24">
        <v>5</v>
      </c>
      <c r="AH57" s="24">
        <v>5</v>
      </c>
      <c r="AI57" s="24">
        <v>5</v>
      </c>
      <c r="AJ57" s="24">
        <v>5</v>
      </c>
      <c r="AK57" s="24">
        <v>5</v>
      </c>
      <c r="AL57" s="24">
        <v>5</v>
      </c>
      <c r="AM57" s="23"/>
      <c r="AN57" s="23"/>
      <c r="AO57" s="22" t="s">
        <v>74</v>
      </c>
      <c r="AP57" s="22" t="s">
        <v>92</v>
      </c>
      <c r="AQ57" s="22" t="s">
        <v>92</v>
      </c>
      <c r="AR57" s="22" t="s">
        <v>92</v>
      </c>
    </row>
    <row r="58" spans="1:44" hidden="1">
      <c r="A58" s="22" t="s">
        <v>715</v>
      </c>
      <c r="B58" s="22" t="s">
        <v>551</v>
      </c>
      <c r="C58" s="22" t="s">
        <v>53</v>
      </c>
      <c r="D58" s="22" t="s">
        <v>71</v>
      </c>
      <c r="E58" s="22" t="s">
        <v>72</v>
      </c>
      <c r="F58" s="22" t="s">
        <v>73</v>
      </c>
      <c r="G58" s="22" t="s">
        <v>57</v>
      </c>
      <c r="H58" s="23"/>
      <c r="I58" s="23"/>
      <c r="J58" s="22">
        <v>5</v>
      </c>
      <c r="K58" s="22">
        <v>5</v>
      </c>
      <c r="L58" s="22">
        <v>5</v>
      </c>
      <c r="M58" s="23"/>
      <c r="N58" s="22" t="s">
        <v>91</v>
      </c>
      <c r="O58" s="23"/>
      <c r="P58" s="23"/>
      <c r="Q58" s="24">
        <v>5</v>
      </c>
      <c r="R58" s="24">
        <v>4</v>
      </c>
      <c r="S58" s="24">
        <v>5</v>
      </c>
      <c r="T58" s="24">
        <v>5</v>
      </c>
      <c r="U58" s="24">
        <v>5</v>
      </c>
      <c r="V58" s="24">
        <v>5</v>
      </c>
      <c r="W58" s="24">
        <v>5</v>
      </c>
      <c r="X58" s="24">
        <v>5</v>
      </c>
      <c r="Y58" s="24">
        <v>5</v>
      </c>
      <c r="Z58" s="24">
        <v>5</v>
      </c>
      <c r="AA58" s="24">
        <v>5</v>
      </c>
      <c r="AB58" s="24">
        <v>5</v>
      </c>
      <c r="AC58" s="24">
        <v>5</v>
      </c>
      <c r="AD58" s="24">
        <v>5</v>
      </c>
      <c r="AE58" s="24">
        <v>5</v>
      </c>
      <c r="AF58" s="24">
        <v>5</v>
      </c>
      <c r="AG58" s="24">
        <v>5</v>
      </c>
      <c r="AH58" s="24">
        <v>5</v>
      </c>
      <c r="AI58" s="24">
        <v>4</v>
      </c>
      <c r="AJ58" s="24">
        <v>4</v>
      </c>
      <c r="AK58" s="24">
        <v>5</v>
      </c>
      <c r="AL58" s="24">
        <v>5</v>
      </c>
      <c r="AM58" s="23"/>
      <c r="AN58" s="23"/>
      <c r="AO58" s="22" t="s">
        <v>74</v>
      </c>
      <c r="AP58" s="22" t="s">
        <v>716</v>
      </c>
      <c r="AQ58" s="22" t="s">
        <v>717</v>
      </c>
      <c r="AR58" s="22" t="s">
        <v>718</v>
      </c>
    </row>
    <row r="59" spans="1:44" hidden="1">
      <c r="A59" s="22" t="s">
        <v>719</v>
      </c>
      <c r="B59" s="22" t="s">
        <v>551</v>
      </c>
      <c r="C59" s="22" t="s">
        <v>90</v>
      </c>
      <c r="D59" s="22" t="s">
        <v>64</v>
      </c>
      <c r="E59" s="22" t="s">
        <v>55</v>
      </c>
      <c r="F59" s="22" t="s">
        <v>65</v>
      </c>
      <c r="G59" s="22" t="s">
        <v>96</v>
      </c>
      <c r="H59" s="23"/>
      <c r="I59" s="23"/>
      <c r="J59" s="22">
        <v>1</v>
      </c>
      <c r="K59" s="22">
        <v>1</v>
      </c>
      <c r="L59" s="22">
        <v>1</v>
      </c>
      <c r="M59" s="23"/>
      <c r="N59" s="22" t="s">
        <v>85</v>
      </c>
      <c r="O59" s="23"/>
      <c r="P59" s="23"/>
      <c r="Q59" s="24">
        <v>1</v>
      </c>
      <c r="R59" s="24">
        <v>1</v>
      </c>
      <c r="S59" s="24">
        <v>1</v>
      </c>
      <c r="T59" s="24">
        <v>1</v>
      </c>
      <c r="U59" s="24">
        <v>1</v>
      </c>
      <c r="V59" s="24">
        <v>1</v>
      </c>
      <c r="W59" s="24">
        <v>1</v>
      </c>
      <c r="X59" s="24">
        <v>3</v>
      </c>
      <c r="Y59" s="24">
        <v>1</v>
      </c>
      <c r="Z59" s="24">
        <v>2</v>
      </c>
      <c r="AA59" s="24">
        <v>1</v>
      </c>
      <c r="AB59" s="24">
        <v>1</v>
      </c>
      <c r="AC59" s="24">
        <v>3</v>
      </c>
      <c r="AD59" s="24">
        <v>3</v>
      </c>
      <c r="AE59" s="24">
        <v>3</v>
      </c>
      <c r="AF59" s="24">
        <v>3</v>
      </c>
      <c r="AG59" s="24">
        <v>3</v>
      </c>
      <c r="AH59" s="24">
        <v>3</v>
      </c>
      <c r="AI59" s="24">
        <v>3</v>
      </c>
      <c r="AJ59" s="24">
        <v>3</v>
      </c>
      <c r="AK59" s="24">
        <v>3</v>
      </c>
      <c r="AL59" s="24">
        <v>3</v>
      </c>
      <c r="AM59" s="23"/>
      <c r="AN59" s="23"/>
      <c r="AO59" s="22" t="s">
        <v>59</v>
      </c>
      <c r="AP59" s="22" t="s">
        <v>720</v>
      </c>
      <c r="AQ59" s="22" t="s">
        <v>721</v>
      </c>
      <c r="AR59" s="22" t="s">
        <v>722</v>
      </c>
    </row>
    <row r="60" spans="1:44" hidden="1">
      <c r="A60" s="22" t="s">
        <v>723</v>
      </c>
      <c r="B60" s="22" t="s">
        <v>551</v>
      </c>
      <c r="C60" s="22" t="s">
        <v>53</v>
      </c>
      <c r="D60" s="22" t="s">
        <v>64</v>
      </c>
      <c r="E60" s="22" t="s">
        <v>55</v>
      </c>
      <c r="F60" s="22" t="s">
        <v>65</v>
      </c>
      <c r="G60" s="22" t="s">
        <v>57</v>
      </c>
      <c r="H60" s="23"/>
      <c r="I60" s="23"/>
      <c r="J60" s="22">
        <v>2</v>
      </c>
      <c r="K60" s="22">
        <v>2</v>
      </c>
      <c r="L60" s="22">
        <v>2</v>
      </c>
      <c r="M60" s="23"/>
      <c r="N60" s="22" t="s">
        <v>58</v>
      </c>
      <c r="O60" s="23"/>
      <c r="P60" s="23"/>
      <c r="Q60" s="24">
        <v>2</v>
      </c>
      <c r="R60" s="24">
        <v>2</v>
      </c>
      <c r="S60" s="24">
        <v>2</v>
      </c>
      <c r="T60" s="24">
        <v>2</v>
      </c>
      <c r="U60" s="24">
        <v>3</v>
      </c>
      <c r="V60" s="24">
        <v>3</v>
      </c>
      <c r="W60" s="24">
        <v>4</v>
      </c>
      <c r="X60" s="24">
        <v>4</v>
      </c>
      <c r="Y60" s="24">
        <v>4</v>
      </c>
      <c r="Z60" s="24">
        <v>3</v>
      </c>
      <c r="AA60" s="24">
        <v>3</v>
      </c>
      <c r="AB60" s="24">
        <v>3</v>
      </c>
      <c r="AC60" s="24">
        <v>3</v>
      </c>
      <c r="AD60" s="24">
        <v>3</v>
      </c>
      <c r="AE60" s="24">
        <v>2</v>
      </c>
      <c r="AF60" s="24">
        <v>3</v>
      </c>
      <c r="AG60" s="24">
        <v>3</v>
      </c>
      <c r="AH60" s="24">
        <v>3</v>
      </c>
      <c r="AI60" s="24">
        <v>3</v>
      </c>
      <c r="AJ60" s="24">
        <v>2</v>
      </c>
      <c r="AK60" s="24">
        <v>2</v>
      </c>
      <c r="AL60" s="24">
        <v>2</v>
      </c>
      <c r="AM60" s="23"/>
      <c r="AN60" s="23"/>
      <c r="AO60" s="22" t="s">
        <v>59</v>
      </c>
      <c r="AP60" s="22" t="s">
        <v>724</v>
      </c>
      <c r="AQ60" s="22" t="s">
        <v>725</v>
      </c>
      <c r="AR60" s="22" t="s">
        <v>645</v>
      </c>
    </row>
    <row r="61" spans="1:44" hidden="1">
      <c r="A61" s="22" t="s">
        <v>726</v>
      </c>
      <c r="B61" s="22" t="s">
        <v>551</v>
      </c>
      <c r="C61" s="22" t="s">
        <v>53</v>
      </c>
      <c r="D61" s="22" t="s">
        <v>98</v>
      </c>
      <c r="E61" s="22" t="s">
        <v>55</v>
      </c>
      <c r="F61" s="22" t="s">
        <v>136</v>
      </c>
      <c r="G61" s="22" t="s">
        <v>57</v>
      </c>
      <c r="H61" s="23"/>
      <c r="I61" s="23"/>
      <c r="J61" s="22">
        <v>1</v>
      </c>
      <c r="K61" s="22">
        <v>3</v>
      </c>
      <c r="L61" s="22">
        <v>4</v>
      </c>
      <c r="M61" s="23"/>
      <c r="N61" s="22" t="s">
        <v>58</v>
      </c>
      <c r="O61" s="23"/>
      <c r="P61" s="23"/>
      <c r="Q61" s="24">
        <v>5</v>
      </c>
      <c r="R61" s="24">
        <v>4</v>
      </c>
      <c r="S61" s="24">
        <v>4</v>
      </c>
      <c r="T61" s="24">
        <v>4</v>
      </c>
      <c r="U61" s="24">
        <v>5</v>
      </c>
      <c r="V61" s="24">
        <v>4</v>
      </c>
      <c r="W61" s="24">
        <v>4</v>
      </c>
      <c r="X61" s="24">
        <v>5</v>
      </c>
      <c r="Y61" s="24">
        <v>5</v>
      </c>
      <c r="Z61" s="24">
        <v>4</v>
      </c>
      <c r="AA61" s="24">
        <v>4</v>
      </c>
      <c r="AB61" s="24">
        <v>1</v>
      </c>
      <c r="AC61" s="24">
        <v>4</v>
      </c>
      <c r="AD61" s="24">
        <v>4</v>
      </c>
      <c r="AE61" s="24">
        <v>4</v>
      </c>
      <c r="AF61" s="24">
        <v>4</v>
      </c>
      <c r="AG61" s="24">
        <v>1</v>
      </c>
      <c r="AH61" s="24">
        <v>1</v>
      </c>
      <c r="AI61" s="24">
        <v>1</v>
      </c>
      <c r="AJ61" s="24">
        <v>1</v>
      </c>
      <c r="AK61" s="24">
        <v>1</v>
      </c>
      <c r="AL61" s="24">
        <v>1</v>
      </c>
      <c r="AM61" s="23"/>
      <c r="AN61" s="23"/>
      <c r="AO61" s="22" t="s">
        <v>74</v>
      </c>
      <c r="AP61" s="22" t="s">
        <v>59</v>
      </c>
      <c r="AQ61" s="22" t="s">
        <v>727</v>
      </c>
      <c r="AR61" s="22" t="s">
        <v>728</v>
      </c>
    </row>
    <row r="62" spans="1:44" hidden="1">
      <c r="A62" s="22" t="s">
        <v>729</v>
      </c>
      <c r="B62" s="22" t="s">
        <v>551</v>
      </c>
      <c r="C62" s="22" t="s">
        <v>95</v>
      </c>
      <c r="D62" s="22" t="s">
        <v>64</v>
      </c>
      <c r="E62" s="22" t="s">
        <v>72</v>
      </c>
      <c r="F62" s="22" t="s">
        <v>56</v>
      </c>
      <c r="G62" s="22" t="s">
        <v>80</v>
      </c>
      <c r="H62" s="23"/>
      <c r="I62" s="23"/>
      <c r="J62" s="22">
        <v>3</v>
      </c>
      <c r="K62" s="22">
        <v>3</v>
      </c>
      <c r="L62" s="22">
        <v>3</v>
      </c>
      <c r="M62" s="23"/>
      <c r="N62" s="22" t="s">
        <v>58</v>
      </c>
      <c r="O62" s="23"/>
      <c r="P62" s="23"/>
      <c r="Q62" s="24">
        <v>3</v>
      </c>
      <c r="R62" s="24">
        <v>3</v>
      </c>
      <c r="S62" s="24">
        <v>4</v>
      </c>
      <c r="T62" s="24">
        <v>4</v>
      </c>
      <c r="U62" s="24">
        <v>4</v>
      </c>
      <c r="V62" s="24">
        <v>4</v>
      </c>
      <c r="W62" s="24">
        <v>4</v>
      </c>
      <c r="X62" s="24">
        <v>4</v>
      </c>
      <c r="Y62" s="24">
        <v>4</v>
      </c>
      <c r="Z62" s="24">
        <v>4</v>
      </c>
      <c r="AA62" s="24">
        <v>4</v>
      </c>
      <c r="AB62" s="24">
        <v>4</v>
      </c>
      <c r="AC62" s="24">
        <v>4</v>
      </c>
      <c r="AD62" s="24">
        <v>4</v>
      </c>
      <c r="AE62" s="24">
        <v>4</v>
      </c>
      <c r="AF62" s="24">
        <v>4</v>
      </c>
      <c r="AG62" s="24">
        <v>4</v>
      </c>
      <c r="AH62" s="24">
        <v>4</v>
      </c>
      <c r="AI62" s="24">
        <v>4</v>
      </c>
      <c r="AJ62" s="24">
        <v>4</v>
      </c>
      <c r="AK62" s="24">
        <v>4</v>
      </c>
      <c r="AL62" s="24">
        <v>4</v>
      </c>
      <c r="AM62" s="23"/>
      <c r="AN62" s="23"/>
      <c r="AO62" s="22" t="s">
        <v>59</v>
      </c>
      <c r="AP62" s="22" t="s">
        <v>730</v>
      </c>
      <c r="AQ62" s="22" t="s">
        <v>731</v>
      </c>
      <c r="AR62" s="22" t="s">
        <v>732</v>
      </c>
    </row>
    <row r="63" spans="1:44" hidden="1">
      <c r="A63" s="22" t="s">
        <v>733</v>
      </c>
      <c r="B63" s="22" t="s">
        <v>551</v>
      </c>
      <c r="C63" s="22" t="s">
        <v>53</v>
      </c>
      <c r="D63" s="22" t="s">
        <v>98</v>
      </c>
      <c r="E63" s="22" t="s">
        <v>72</v>
      </c>
      <c r="F63" s="22" t="s">
        <v>136</v>
      </c>
      <c r="G63" s="22" t="s">
        <v>57</v>
      </c>
      <c r="H63" s="23"/>
      <c r="I63" s="23"/>
      <c r="J63" s="22">
        <v>4</v>
      </c>
      <c r="K63" s="22">
        <v>4</v>
      </c>
      <c r="L63" s="22">
        <v>4</v>
      </c>
      <c r="M63" s="23"/>
      <c r="N63" s="22" t="s">
        <v>66</v>
      </c>
      <c r="O63" s="23"/>
      <c r="P63" s="23"/>
      <c r="Q63" s="24">
        <v>3</v>
      </c>
      <c r="R63" s="24">
        <v>4</v>
      </c>
      <c r="S63" s="24">
        <v>4</v>
      </c>
      <c r="T63" s="24">
        <v>5</v>
      </c>
      <c r="U63" s="24">
        <v>5</v>
      </c>
      <c r="V63" s="24">
        <v>5</v>
      </c>
      <c r="W63" s="24">
        <v>5</v>
      </c>
      <c r="X63" s="24">
        <v>5</v>
      </c>
      <c r="Y63" s="24">
        <v>5</v>
      </c>
      <c r="Z63" s="24">
        <v>5</v>
      </c>
      <c r="AA63" s="24">
        <v>5</v>
      </c>
      <c r="AB63" s="24">
        <v>4</v>
      </c>
      <c r="AC63" s="24">
        <v>5</v>
      </c>
      <c r="AD63" s="24">
        <v>5</v>
      </c>
      <c r="AE63" s="24">
        <v>5</v>
      </c>
      <c r="AF63" s="24">
        <v>5</v>
      </c>
      <c r="AG63" s="24">
        <v>5</v>
      </c>
      <c r="AH63" s="24">
        <v>5</v>
      </c>
      <c r="AI63" s="24">
        <v>5</v>
      </c>
      <c r="AJ63" s="24">
        <v>5</v>
      </c>
      <c r="AK63" s="24">
        <v>5</v>
      </c>
      <c r="AL63" s="24">
        <v>5</v>
      </c>
      <c r="AM63" s="23"/>
      <c r="AN63" s="23"/>
      <c r="AO63" s="22" t="s">
        <v>74</v>
      </c>
      <c r="AP63" s="22" t="s">
        <v>92</v>
      </c>
      <c r="AQ63" s="22" t="s">
        <v>734</v>
      </c>
      <c r="AR63" s="22" t="s">
        <v>735</v>
      </c>
    </row>
    <row r="64" spans="1:44" hidden="1">
      <c r="A64" s="22" t="s">
        <v>736</v>
      </c>
      <c r="B64" s="22" t="s">
        <v>551</v>
      </c>
      <c r="C64" s="22" t="s">
        <v>53</v>
      </c>
      <c r="D64" s="22" t="s">
        <v>54</v>
      </c>
      <c r="E64" s="22" t="s">
        <v>72</v>
      </c>
      <c r="F64" s="22" t="s">
        <v>56</v>
      </c>
      <c r="G64" s="22" t="s">
        <v>57</v>
      </c>
      <c r="H64" s="23"/>
      <c r="I64" s="23"/>
      <c r="J64" s="22">
        <v>4</v>
      </c>
      <c r="K64" s="22">
        <v>4</v>
      </c>
      <c r="L64" s="22">
        <v>1</v>
      </c>
      <c r="M64" s="23"/>
      <c r="N64" s="22" t="s">
        <v>58</v>
      </c>
      <c r="O64" s="23"/>
      <c r="P64" s="23"/>
      <c r="Q64" s="24">
        <v>3</v>
      </c>
      <c r="R64" s="24">
        <v>2</v>
      </c>
      <c r="S64" s="24">
        <v>2</v>
      </c>
      <c r="T64" s="24">
        <v>2</v>
      </c>
      <c r="U64" s="24">
        <v>3</v>
      </c>
      <c r="V64" s="24">
        <v>4</v>
      </c>
      <c r="W64" s="24">
        <v>4</v>
      </c>
      <c r="X64" s="24">
        <v>3</v>
      </c>
      <c r="Y64" s="24">
        <v>2</v>
      </c>
      <c r="Z64" s="24">
        <v>3</v>
      </c>
      <c r="AA64" s="24">
        <v>4</v>
      </c>
      <c r="AB64" s="24">
        <v>4</v>
      </c>
      <c r="AC64" s="24">
        <v>4</v>
      </c>
      <c r="AD64" s="24">
        <v>4</v>
      </c>
      <c r="AE64" s="24">
        <v>3</v>
      </c>
      <c r="AF64" s="24">
        <v>4</v>
      </c>
      <c r="AG64" s="24">
        <v>4</v>
      </c>
      <c r="AH64" s="24">
        <v>4</v>
      </c>
      <c r="AI64" s="24">
        <v>3</v>
      </c>
      <c r="AJ64" s="24">
        <v>3</v>
      </c>
      <c r="AK64" s="24">
        <v>3</v>
      </c>
      <c r="AL64" s="24">
        <v>2</v>
      </c>
      <c r="AM64" s="23"/>
      <c r="AN64" s="23"/>
      <c r="AO64" s="22" t="s">
        <v>74</v>
      </c>
      <c r="AP64" s="22" t="s">
        <v>737</v>
      </c>
      <c r="AQ64" s="22" t="s">
        <v>738</v>
      </c>
      <c r="AR64" s="22" t="s">
        <v>739</v>
      </c>
    </row>
    <row r="65" spans="1:44" hidden="1">
      <c r="A65" s="22" t="s">
        <v>740</v>
      </c>
      <c r="B65" s="22" t="s">
        <v>551</v>
      </c>
      <c r="C65" s="22" t="s">
        <v>53</v>
      </c>
      <c r="D65" s="22" t="s">
        <v>98</v>
      </c>
      <c r="E65" s="22" t="s">
        <v>72</v>
      </c>
      <c r="F65" s="22" t="s">
        <v>136</v>
      </c>
      <c r="G65" s="22" t="s">
        <v>57</v>
      </c>
      <c r="H65" s="23"/>
      <c r="I65" s="23"/>
      <c r="J65" s="22">
        <v>4</v>
      </c>
      <c r="K65" s="22">
        <v>2</v>
      </c>
      <c r="L65" s="22">
        <v>1</v>
      </c>
      <c r="M65" s="23"/>
      <c r="N65" s="22" t="s">
        <v>58</v>
      </c>
      <c r="O65" s="23"/>
      <c r="P65" s="23"/>
      <c r="Q65" s="24">
        <v>3</v>
      </c>
      <c r="R65" s="24">
        <v>2</v>
      </c>
      <c r="S65" s="24">
        <v>3</v>
      </c>
      <c r="T65" s="24">
        <v>3</v>
      </c>
      <c r="U65" s="24">
        <v>3</v>
      </c>
      <c r="V65" s="24">
        <v>4</v>
      </c>
      <c r="W65" s="24">
        <v>4</v>
      </c>
      <c r="X65" s="24">
        <v>4</v>
      </c>
      <c r="Y65" s="24">
        <v>3</v>
      </c>
      <c r="Z65" s="24">
        <v>3</v>
      </c>
      <c r="AA65" s="24">
        <v>3</v>
      </c>
      <c r="AB65" s="24">
        <v>4</v>
      </c>
      <c r="AC65" s="24">
        <v>4</v>
      </c>
      <c r="AD65" s="24">
        <v>4</v>
      </c>
      <c r="AE65" s="24">
        <v>3</v>
      </c>
      <c r="AF65" s="24">
        <v>3</v>
      </c>
      <c r="AG65" s="24">
        <v>3</v>
      </c>
      <c r="AH65" s="24">
        <v>3</v>
      </c>
      <c r="AI65" s="24">
        <v>3</v>
      </c>
      <c r="AJ65" s="24">
        <v>2</v>
      </c>
      <c r="AK65" s="24">
        <v>3</v>
      </c>
      <c r="AL65" s="24">
        <v>2</v>
      </c>
      <c r="AM65" s="23"/>
      <c r="AN65" s="23"/>
      <c r="AO65" s="22" t="s">
        <v>74</v>
      </c>
      <c r="AP65" s="22" t="s">
        <v>92</v>
      </c>
      <c r="AQ65" s="22" t="s">
        <v>741</v>
      </c>
      <c r="AR65" s="22" t="s">
        <v>92</v>
      </c>
    </row>
    <row r="66" spans="1:44" hidden="1">
      <c r="A66" s="22" t="s">
        <v>742</v>
      </c>
      <c r="B66" s="22" t="s">
        <v>551</v>
      </c>
      <c r="C66" s="22" t="s">
        <v>53</v>
      </c>
      <c r="D66" s="22" t="s">
        <v>64</v>
      </c>
      <c r="E66" s="22" t="s">
        <v>55</v>
      </c>
      <c r="F66" s="22" t="s">
        <v>65</v>
      </c>
      <c r="G66" s="22" t="s">
        <v>57</v>
      </c>
      <c r="H66" s="23"/>
      <c r="I66" s="23"/>
      <c r="J66" s="22">
        <v>4</v>
      </c>
      <c r="K66" s="22">
        <v>3</v>
      </c>
      <c r="L66" s="22">
        <v>2</v>
      </c>
      <c r="M66" s="23"/>
      <c r="N66" s="22" t="s">
        <v>58</v>
      </c>
      <c r="O66" s="23"/>
      <c r="P66" s="23"/>
      <c r="Q66" s="24">
        <v>3</v>
      </c>
      <c r="R66" s="24">
        <v>3</v>
      </c>
      <c r="S66" s="24">
        <v>4</v>
      </c>
      <c r="T66" s="24">
        <v>3</v>
      </c>
      <c r="U66" s="24">
        <v>4</v>
      </c>
      <c r="V66" s="24">
        <v>4</v>
      </c>
      <c r="W66" s="24">
        <v>4</v>
      </c>
      <c r="X66" s="24">
        <v>4</v>
      </c>
      <c r="Y66" s="24">
        <v>4</v>
      </c>
      <c r="Z66" s="24">
        <v>4</v>
      </c>
      <c r="AA66" s="24">
        <v>4</v>
      </c>
      <c r="AB66" s="24">
        <v>5</v>
      </c>
      <c r="AC66" s="24">
        <v>4</v>
      </c>
      <c r="AD66" s="24">
        <v>5</v>
      </c>
      <c r="AE66" s="24">
        <v>5</v>
      </c>
      <c r="AF66" s="24">
        <v>4</v>
      </c>
      <c r="AG66" s="24">
        <v>5</v>
      </c>
      <c r="AH66" s="24">
        <v>4</v>
      </c>
      <c r="AI66" s="24">
        <v>3</v>
      </c>
      <c r="AJ66" s="24">
        <v>3</v>
      </c>
      <c r="AK66" s="24">
        <v>4</v>
      </c>
      <c r="AL66" s="24">
        <v>2</v>
      </c>
      <c r="AM66" s="23"/>
      <c r="AN66" s="23"/>
      <c r="AO66" s="22" t="s">
        <v>59</v>
      </c>
      <c r="AP66" s="22" t="s">
        <v>743</v>
      </c>
      <c r="AQ66" s="22" t="s">
        <v>744</v>
      </c>
      <c r="AR66" s="22" t="s">
        <v>745</v>
      </c>
    </row>
    <row r="67" spans="1:44" hidden="1">
      <c r="A67" s="22" t="s">
        <v>746</v>
      </c>
      <c r="B67" s="22" t="s">
        <v>551</v>
      </c>
      <c r="C67" s="22" t="s">
        <v>53</v>
      </c>
      <c r="D67" s="22" t="s">
        <v>98</v>
      </c>
      <c r="E67" s="22" t="s">
        <v>72</v>
      </c>
      <c r="F67" s="22" t="s">
        <v>65</v>
      </c>
      <c r="G67" s="22" t="s">
        <v>57</v>
      </c>
      <c r="H67" s="23"/>
      <c r="I67" s="23"/>
      <c r="J67" s="22">
        <v>4</v>
      </c>
      <c r="K67" s="22">
        <v>4</v>
      </c>
      <c r="L67" s="22">
        <v>3</v>
      </c>
      <c r="M67" s="23"/>
      <c r="N67" s="22" t="s">
        <v>58</v>
      </c>
      <c r="O67" s="23"/>
      <c r="P67" s="23"/>
      <c r="Q67" s="24">
        <v>4</v>
      </c>
      <c r="R67" s="24">
        <v>4</v>
      </c>
      <c r="S67" s="24">
        <v>5</v>
      </c>
      <c r="T67" s="24">
        <v>3</v>
      </c>
      <c r="U67" s="24">
        <v>4</v>
      </c>
      <c r="V67" s="24">
        <v>4</v>
      </c>
      <c r="W67" s="24">
        <v>4</v>
      </c>
      <c r="X67" s="24">
        <v>4</v>
      </c>
      <c r="Y67" s="24">
        <v>4</v>
      </c>
      <c r="Z67" s="24">
        <v>4</v>
      </c>
      <c r="AA67" s="24">
        <v>4</v>
      </c>
      <c r="AB67" s="24">
        <v>4</v>
      </c>
      <c r="AC67" s="24">
        <v>5</v>
      </c>
      <c r="AD67" s="24">
        <v>5</v>
      </c>
      <c r="AE67" s="24">
        <v>4</v>
      </c>
      <c r="AF67" s="24">
        <v>4</v>
      </c>
      <c r="AG67" s="24">
        <v>4</v>
      </c>
      <c r="AH67" s="24">
        <v>5</v>
      </c>
      <c r="AI67" s="24">
        <v>4</v>
      </c>
      <c r="AJ67" s="24">
        <v>5</v>
      </c>
      <c r="AK67" s="24">
        <v>4</v>
      </c>
      <c r="AL67" s="24">
        <v>3</v>
      </c>
      <c r="AM67" s="23"/>
      <c r="AN67" s="23"/>
      <c r="AO67" s="22" t="s">
        <v>74</v>
      </c>
      <c r="AP67" s="22" t="s">
        <v>747</v>
      </c>
      <c r="AQ67" s="22" t="s">
        <v>748</v>
      </c>
      <c r="AR67" s="22" t="s">
        <v>749</v>
      </c>
    </row>
    <row r="68" spans="1:44" hidden="1">
      <c r="A68" s="22" t="s">
        <v>750</v>
      </c>
      <c r="B68" s="22" t="s">
        <v>551</v>
      </c>
      <c r="C68" s="22" t="s">
        <v>53</v>
      </c>
      <c r="D68" s="22" t="s">
        <v>64</v>
      </c>
      <c r="E68" s="22" t="s">
        <v>55</v>
      </c>
      <c r="F68" s="22" t="s">
        <v>65</v>
      </c>
      <c r="G68" s="22" t="s">
        <v>129</v>
      </c>
      <c r="H68" s="23"/>
      <c r="I68" s="23"/>
      <c r="J68" s="22">
        <v>2</v>
      </c>
      <c r="K68" s="22">
        <v>1</v>
      </c>
      <c r="L68" s="22">
        <v>1</v>
      </c>
      <c r="M68" s="23"/>
      <c r="N68" s="22" t="s">
        <v>58</v>
      </c>
      <c r="O68" s="23"/>
      <c r="P68" s="23"/>
      <c r="Q68" s="24">
        <v>3</v>
      </c>
      <c r="R68" s="24">
        <v>3</v>
      </c>
      <c r="S68" s="24">
        <v>3</v>
      </c>
      <c r="T68" s="24">
        <v>2</v>
      </c>
      <c r="U68" s="24">
        <v>3</v>
      </c>
      <c r="V68" s="24">
        <v>2</v>
      </c>
      <c r="W68" s="24">
        <v>4</v>
      </c>
      <c r="X68" s="24">
        <v>2</v>
      </c>
      <c r="Y68" s="24">
        <v>2</v>
      </c>
      <c r="Z68" s="24">
        <v>3</v>
      </c>
      <c r="AA68" s="24">
        <v>1</v>
      </c>
      <c r="AB68" s="24">
        <v>3</v>
      </c>
      <c r="AC68" s="24">
        <v>3</v>
      </c>
      <c r="AD68" s="24">
        <v>2</v>
      </c>
      <c r="AE68" s="24">
        <v>3</v>
      </c>
      <c r="AF68" s="24">
        <v>3</v>
      </c>
      <c r="AG68" s="24">
        <v>2</v>
      </c>
      <c r="AH68" s="24">
        <v>3</v>
      </c>
      <c r="AI68" s="24">
        <v>3</v>
      </c>
      <c r="AJ68" s="24">
        <v>4</v>
      </c>
      <c r="AK68" s="24">
        <v>4</v>
      </c>
      <c r="AL68" s="24">
        <v>3</v>
      </c>
      <c r="AM68" s="23"/>
      <c r="AN68" s="23"/>
      <c r="AO68" s="22" t="s">
        <v>74</v>
      </c>
      <c r="AP68" s="22" t="s">
        <v>751</v>
      </c>
      <c r="AQ68" s="22" t="s">
        <v>752</v>
      </c>
      <c r="AR68" s="22" t="s">
        <v>753</v>
      </c>
    </row>
    <row r="69" spans="1:44" hidden="1">
      <c r="A69" s="22" t="s">
        <v>754</v>
      </c>
      <c r="B69" s="22" t="s">
        <v>551</v>
      </c>
      <c r="C69" s="22" t="s">
        <v>53</v>
      </c>
      <c r="D69" s="22" t="s">
        <v>54</v>
      </c>
      <c r="E69" s="22" t="s">
        <v>55</v>
      </c>
      <c r="F69" s="22" t="s">
        <v>65</v>
      </c>
      <c r="G69" s="22" t="s">
        <v>57</v>
      </c>
      <c r="H69" s="23"/>
      <c r="I69" s="23"/>
      <c r="J69" s="22">
        <v>1</v>
      </c>
      <c r="K69" s="22">
        <v>1</v>
      </c>
      <c r="L69" s="22">
        <v>1</v>
      </c>
      <c r="M69" s="23"/>
      <c r="N69" s="22" t="s">
        <v>115</v>
      </c>
      <c r="O69" s="23"/>
      <c r="P69" s="23"/>
      <c r="Q69" s="24">
        <v>4</v>
      </c>
      <c r="R69" s="24">
        <v>3</v>
      </c>
      <c r="S69" s="24">
        <v>4</v>
      </c>
      <c r="T69" s="24">
        <v>4</v>
      </c>
      <c r="U69" s="24">
        <v>4</v>
      </c>
      <c r="V69" s="24">
        <v>5</v>
      </c>
      <c r="W69" s="24">
        <v>4</v>
      </c>
      <c r="X69" s="24">
        <v>5</v>
      </c>
      <c r="Y69" s="24">
        <v>4</v>
      </c>
      <c r="Z69" s="24">
        <v>3</v>
      </c>
      <c r="AA69" s="24">
        <v>5</v>
      </c>
      <c r="AB69" s="24">
        <v>5</v>
      </c>
      <c r="AC69" s="24">
        <v>5</v>
      </c>
      <c r="AD69" s="24">
        <v>5</v>
      </c>
      <c r="AE69" s="24">
        <v>3</v>
      </c>
      <c r="AF69" s="24">
        <v>5</v>
      </c>
      <c r="AG69" s="24">
        <v>4</v>
      </c>
      <c r="AH69" s="24">
        <v>4</v>
      </c>
      <c r="AI69" s="24">
        <v>2</v>
      </c>
      <c r="AJ69" s="24">
        <v>4</v>
      </c>
      <c r="AK69" s="24">
        <v>4</v>
      </c>
      <c r="AL69" s="24">
        <v>3</v>
      </c>
      <c r="AM69" s="23"/>
      <c r="AN69" s="23"/>
      <c r="AO69" s="22" t="s">
        <v>59</v>
      </c>
      <c r="AP69" s="22" t="s">
        <v>92</v>
      </c>
      <c r="AQ69" s="22" t="s">
        <v>755</v>
      </c>
      <c r="AR69" s="22" t="s">
        <v>756</v>
      </c>
    </row>
    <row r="70" spans="1:44" hidden="1">
      <c r="A70" s="22" t="s">
        <v>757</v>
      </c>
      <c r="B70" s="22" t="s">
        <v>551</v>
      </c>
      <c r="C70" s="22" t="s">
        <v>79</v>
      </c>
      <c r="D70" s="22" t="s">
        <v>98</v>
      </c>
      <c r="E70" s="22" t="s">
        <v>55</v>
      </c>
      <c r="F70" s="22" t="s">
        <v>65</v>
      </c>
      <c r="G70" s="22" t="s">
        <v>57</v>
      </c>
      <c r="H70" s="23"/>
      <c r="I70" s="23"/>
      <c r="J70" s="22">
        <v>4</v>
      </c>
      <c r="K70" s="22">
        <v>2</v>
      </c>
      <c r="L70" s="22">
        <v>1</v>
      </c>
      <c r="M70" s="23"/>
      <c r="N70" s="22" t="s">
        <v>58</v>
      </c>
      <c r="O70" s="23"/>
      <c r="P70" s="23"/>
      <c r="Q70" s="24">
        <v>2</v>
      </c>
      <c r="R70" s="24">
        <v>2</v>
      </c>
      <c r="S70" s="24">
        <v>3</v>
      </c>
      <c r="T70" s="24">
        <v>2</v>
      </c>
      <c r="U70" s="24">
        <v>3</v>
      </c>
      <c r="V70" s="24">
        <v>2</v>
      </c>
      <c r="W70" s="24">
        <v>2</v>
      </c>
      <c r="X70" s="24">
        <v>2</v>
      </c>
      <c r="Y70" s="24">
        <v>3</v>
      </c>
      <c r="Z70" s="24">
        <v>2</v>
      </c>
      <c r="AA70" s="24">
        <v>2</v>
      </c>
      <c r="AB70" s="24">
        <v>5</v>
      </c>
      <c r="AC70" s="24">
        <v>5</v>
      </c>
      <c r="AD70" s="24">
        <v>5</v>
      </c>
      <c r="AE70" s="24">
        <v>5</v>
      </c>
      <c r="AF70" s="24">
        <v>5</v>
      </c>
      <c r="AG70" s="24">
        <v>5</v>
      </c>
      <c r="AH70" s="24">
        <v>4</v>
      </c>
      <c r="AI70" s="24">
        <v>2</v>
      </c>
      <c r="AJ70" s="24">
        <v>3</v>
      </c>
      <c r="AK70" s="24">
        <v>2</v>
      </c>
      <c r="AL70" s="24">
        <v>2</v>
      </c>
      <c r="AM70" s="23"/>
      <c r="AN70" s="23"/>
      <c r="AO70" s="22" t="s">
        <v>74</v>
      </c>
      <c r="AP70" s="22" t="s">
        <v>758</v>
      </c>
      <c r="AQ70" s="22" t="s">
        <v>92</v>
      </c>
      <c r="AR70" s="22" t="s">
        <v>759</v>
      </c>
    </row>
    <row r="71" spans="1:44" hidden="1">
      <c r="A71" s="22" t="s">
        <v>760</v>
      </c>
      <c r="B71" s="22" t="s">
        <v>551</v>
      </c>
      <c r="C71" s="22" t="s">
        <v>95</v>
      </c>
      <c r="D71" s="22" t="s">
        <v>98</v>
      </c>
      <c r="E71" s="22" t="s">
        <v>55</v>
      </c>
      <c r="F71" s="22" t="s">
        <v>136</v>
      </c>
      <c r="G71" s="22" t="s">
        <v>129</v>
      </c>
      <c r="H71" s="23"/>
      <c r="I71" s="23"/>
      <c r="J71" s="22">
        <v>4</v>
      </c>
      <c r="K71" s="22">
        <v>4</v>
      </c>
      <c r="L71" s="22">
        <v>4</v>
      </c>
      <c r="M71" s="23"/>
      <c r="N71" s="22" t="s">
        <v>58</v>
      </c>
      <c r="O71" s="23"/>
      <c r="P71" s="23"/>
      <c r="Q71" s="24">
        <v>4</v>
      </c>
      <c r="R71" s="24">
        <v>4</v>
      </c>
      <c r="S71" s="24">
        <v>2</v>
      </c>
      <c r="T71" s="24">
        <v>2</v>
      </c>
      <c r="U71" s="24">
        <v>2</v>
      </c>
      <c r="V71" s="24">
        <v>2</v>
      </c>
      <c r="W71" s="24">
        <v>2</v>
      </c>
      <c r="X71" s="24">
        <v>2</v>
      </c>
      <c r="Y71" s="24">
        <v>2</v>
      </c>
      <c r="Z71" s="24">
        <v>2</v>
      </c>
      <c r="AA71" s="24">
        <v>2</v>
      </c>
      <c r="AB71" s="24">
        <v>2</v>
      </c>
      <c r="AC71" s="24">
        <v>2</v>
      </c>
      <c r="AD71" s="24">
        <v>2</v>
      </c>
      <c r="AE71" s="24">
        <v>2</v>
      </c>
      <c r="AF71" s="24">
        <v>2</v>
      </c>
      <c r="AG71" s="24">
        <v>2</v>
      </c>
      <c r="AH71" s="24">
        <v>2</v>
      </c>
      <c r="AI71" s="24">
        <v>2</v>
      </c>
      <c r="AJ71" s="24">
        <v>2</v>
      </c>
      <c r="AK71" s="24">
        <v>2</v>
      </c>
      <c r="AL71" s="24">
        <v>2</v>
      </c>
      <c r="AM71" s="23"/>
      <c r="AN71" s="23"/>
      <c r="AO71" s="22" t="s">
        <v>59</v>
      </c>
      <c r="AP71" s="22" t="s">
        <v>92</v>
      </c>
      <c r="AQ71" s="22" t="s">
        <v>761</v>
      </c>
      <c r="AR71" s="22" t="s">
        <v>92</v>
      </c>
    </row>
    <row r="72" spans="1:44">
      <c r="A72" s="22" t="s">
        <v>762</v>
      </c>
      <c r="B72" s="22" t="s">
        <v>551</v>
      </c>
      <c r="C72" s="22" t="s">
        <v>53</v>
      </c>
      <c r="D72" s="22" t="s">
        <v>64</v>
      </c>
      <c r="E72" s="22" t="s">
        <v>72</v>
      </c>
      <c r="F72" s="22" t="s">
        <v>56</v>
      </c>
      <c r="G72" s="22" t="s">
        <v>80</v>
      </c>
      <c r="H72" s="23"/>
      <c r="I72" s="23"/>
      <c r="J72" s="22">
        <v>2</v>
      </c>
      <c r="K72" s="22">
        <v>3</v>
      </c>
      <c r="L72" s="22">
        <v>3</v>
      </c>
      <c r="M72" s="23"/>
      <c r="N72" s="22" t="s">
        <v>91</v>
      </c>
      <c r="O72" s="23"/>
      <c r="P72" s="23"/>
      <c r="Q72" s="24">
        <v>3</v>
      </c>
      <c r="R72" s="24">
        <v>3</v>
      </c>
      <c r="S72" s="24">
        <v>3</v>
      </c>
      <c r="T72" s="24">
        <v>3</v>
      </c>
      <c r="U72" s="24">
        <v>3</v>
      </c>
      <c r="V72" s="24">
        <v>3</v>
      </c>
      <c r="W72" s="24">
        <v>3</v>
      </c>
      <c r="X72" s="24">
        <v>3</v>
      </c>
      <c r="Y72" s="24">
        <v>3</v>
      </c>
      <c r="Z72" s="24">
        <v>3</v>
      </c>
      <c r="AA72" s="24">
        <v>3</v>
      </c>
      <c r="AB72" s="24">
        <v>3</v>
      </c>
      <c r="AC72" s="24">
        <v>3</v>
      </c>
      <c r="AD72" s="24">
        <v>3</v>
      </c>
      <c r="AE72" s="24">
        <v>3</v>
      </c>
      <c r="AF72" s="24">
        <v>3</v>
      </c>
      <c r="AG72" s="24">
        <v>3</v>
      </c>
      <c r="AH72" s="24">
        <v>3</v>
      </c>
      <c r="AI72" s="24">
        <v>3</v>
      </c>
      <c r="AJ72" s="24">
        <v>3</v>
      </c>
      <c r="AK72" s="24">
        <v>3</v>
      </c>
      <c r="AL72" s="24">
        <v>3</v>
      </c>
      <c r="AM72" s="23"/>
      <c r="AN72" s="23"/>
      <c r="AO72" s="22" t="s">
        <v>59</v>
      </c>
      <c r="AP72" s="22" t="s">
        <v>763</v>
      </c>
      <c r="AQ72" s="22" t="s">
        <v>764</v>
      </c>
      <c r="AR72" s="22" t="s">
        <v>137</v>
      </c>
    </row>
    <row r="73" spans="1:44">
      <c r="A73" s="22" t="s">
        <v>765</v>
      </c>
      <c r="B73" s="22" t="s">
        <v>551</v>
      </c>
      <c r="C73" s="22" t="s">
        <v>95</v>
      </c>
      <c r="D73" s="22" t="s">
        <v>64</v>
      </c>
      <c r="E73" s="22" t="s">
        <v>55</v>
      </c>
      <c r="F73" s="22" t="s">
        <v>56</v>
      </c>
      <c r="G73" s="22" t="s">
        <v>129</v>
      </c>
      <c r="H73" s="23"/>
      <c r="I73" s="23"/>
      <c r="J73" s="22">
        <v>1</v>
      </c>
      <c r="K73" s="22">
        <v>1</v>
      </c>
      <c r="L73" s="22">
        <v>1</v>
      </c>
      <c r="M73" s="23"/>
      <c r="N73" s="22" t="s">
        <v>58</v>
      </c>
      <c r="O73" s="23"/>
      <c r="P73" s="23"/>
      <c r="Q73" s="24">
        <v>2</v>
      </c>
      <c r="R73" s="24">
        <v>1</v>
      </c>
      <c r="S73" s="24">
        <v>2</v>
      </c>
      <c r="T73" s="24">
        <v>2</v>
      </c>
      <c r="U73" s="24">
        <v>2</v>
      </c>
      <c r="V73" s="24">
        <v>2</v>
      </c>
      <c r="W73" s="24">
        <v>2</v>
      </c>
      <c r="X73" s="24">
        <v>2</v>
      </c>
      <c r="Y73" s="24">
        <v>2</v>
      </c>
      <c r="Z73" s="24">
        <v>2</v>
      </c>
      <c r="AA73" s="24">
        <v>1</v>
      </c>
      <c r="AB73" s="24">
        <v>5</v>
      </c>
      <c r="AC73" s="24">
        <v>2</v>
      </c>
      <c r="AD73" s="24">
        <v>3</v>
      </c>
      <c r="AE73" s="24">
        <v>4</v>
      </c>
      <c r="AF73" s="24">
        <v>5</v>
      </c>
      <c r="AG73" s="24">
        <v>2</v>
      </c>
      <c r="AH73" s="24">
        <v>3</v>
      </c>
      <c r="AI73" s="24">
        <v>2</v>
      </c>
      <c r="AJ73" s="24">
        <v>2</v>
      </c>
      <c r="AK73" s="24">
        <v>2</v>
      </c>
      <c r="AL73" s="24">
        <v>1</v>
      </c>
      <c r="AM73" s="23"/>
      <c r="AN73" s="23"/>
      <c r="AO73" s="22" t="s">
        <v>59</v>
      </c>
      <c r="AP73" s="22" t="s">
        <v>92</v>
      </c>
      <c r="AQ73" s="22" t="s">
        <v>766</v>
      </c>
      <c r="AR73" s="22" t="s">
        <v>92</v>
      </c>
    </row>
    <row r="76" spans="1:44">
      <c r="F76" s="23"/>
      <c r="G76" s="15" t="s">
        <v>1488</v>
      </c>
      <c r="H76" s="26"/>
      <c r="I76" s="26"/>
      <c r="J76" s="23"/>
      <c r="K76" s="23"/>
      <c r="L76" s="23"/>
      <c r="M76" s="23"/>
      <c r="N76" s="3" t="s">
        <v>3</v>
      </c>
      <c r="O76" s="8"/>
      <c r="P76" s="8"/>
      <c r="Q76" s="65" t="s">
        <v>9</v>
      </c>
      <c r="R76" s="66"/>
      <c r="S76" s="66"/>
      <c r="T76" s="66"/>
      <c r="U76" s="66"/>
      <c r="V76" s="67"/>
      <c r="W76" s="65" t="s">
        <v>10</v>
      </c>
      <c r="X76" s="66"/>
      <c r="Y76" s="66"/>
      <c r="Z76" s="67"/>
      <c r="AA76" s="68" t="s">
        <v>11</v>
      </c>
      <c r="AB76" s="69"/>
      <c r="AC76" s="69"/>
      <c r="AD76" s="69"/>
      <c r="AE76" s="69"/>
      <c r="AF76" s="69"/>
      <c r="AG76" s="70"/>
      <c r="AH76" s="68" t="s">
        <v>12</v>
      </c>
      <c r="AI76" s="69"/>
      <c r="AJ76" s="69"/>
      <c r="AK76" s="69"/>
      <c r="AL76" s="70"/>
      <c r="AM76" s="27"/>
      <c r="AN76" s="27"/>
      <c r="AO76" s="20" t="s">
        <v>48</v>
      </c>
      <c r="AP76" s="23"/>
    </row>
    <row r="77" spans="1:44">
      <c r="F77" s="15" t="s">
        <v>1489</v>
      </c>
      <c r="G77" s="15" t="s">
        <v>1490</v>
      </c>
      <c r="H77" s="33" t="s">
        <v>1504</v>
      </c>
      <c r="I77" s="15"/>
      <c r="J77" s="15" t="s">
        <v>23</v>
      </c>
      <c r="K77" s="15" t="s">
        <v>24</v>
      </c>
      <c r="L77" s="16" t="s">
        <v>25</v>
      </c>
      <c r="M77" s="3" t="s">
        <v>1489</v>
      </c>
      <c r="N77" s="3" t="s">
        <v>1490</v>
      </c>
      <c r="O77" s="33" t="s">
        <v>1504</v>
      </c>
      <c r="P77" s="3"/>
      <c r="Q77" s="17" t="s">
        <v>26</v>
      </c>
      <c r="R77" s="3" t="s">
        <v>27</v>
      </c>
      <c r="S77" s="3" t="s">
        <v>28</v>
      </c>
      <c r="T77" s="18" t="s">
        <v>29</v>
      </c>
      <c r="U77" s="17" t="s">
        <v>30</v>
      </c>
      <c r="V77" s="3" t="s">
        <v>31</v>
      </c>
      <c r="W77" s="17" t="s">
        <v>32</v>
      </c>
      <c r="X77" s="17" t="s">
        <v>33</v>
      </c>
      <c r="Y77" s="17" t="s">
        <v>34</v>
      </c>
      <c r="Z77" s="17" t="s">
        <v>35</v>
      </c>
      <c r="AA77" s="17" t="s">
        <v>36</v>
      </c>
      <c r="AB77" s="17" t="s">
        <v>37</v>
      </c>
      <c r="AC77" s="17" t="s">
        <v>38</v>
      </c>
      <c r="AD77" s="17" t="s">
        <v>39</v>
      </c>
      <c r="AE77" s="17" t="s">
        <v>40</v>
      </c>
      <c r="AF77" s="17" t="s">
        <v>41</v>
      </c>
      <c r="AG77" s="17" t="s">
        <v>42</v>
      </c>
      <c r="AH77" s="17" t="s">
        <v>43</v>
      </c>
      <c r="AI77" s="17" t="s">
        <v>44</v>
      </c>
      <c r="AJ77" s="17" t="s">
        <v>45</v>
      </c>
      <c r="AK77" s="19" t="s">
        <v>46</v>
      </c>
      <c r="AL77" s="19" t="s">
        <v>47</v>
      </c>
      <c r="AM77" s="19"/>
      <c r="AN77" s="20" t="s">
        <v>1489</v>
      </c>
      <c r="AO77" s="20" t="s">
        <v>1490</v>
      </c>
      <c r="AP77" s="33" t="s">
        <v>1504</v>
      </c>
    </row>
    <row r="78" spans="1:44">
      <c r="F78" s="22" t="s">
        <v>80</v>
      </c>
      <c r="G78" s="28">
        <f>COUNTIF($G$4:$G$73,"가끔 사용한다")</f>
        <v>26</v>
      </c>
      <c r="H78" s="34">
        <f>G78/$G$82</f>
        <v>0.37142857142857144</v>
      </c>
      <c r="I78" s="23" t="s">
        <v>1491</v>
      </c>
      <c r="J78" s="29">
        <f>AVERAGE(J$4:J$73)</f>
        <v>2.9714285714285715</v>
      </c>
      <c r="K78" s="29">
        <f t="shared" ref="K78:L78" si="0">AVERAGE(K$4:K$73)</f>
        <v>2.4142857142857141</v>
      </c>
      <c r="L78" s="29">
        <f t="shared" si="0"/>
        <v>1.9857142857142858</v>
      </c>
      <c r="M78" s="29" t="s">
        <v>1492</v>
      </c>
      <c r="N78" s="23">
        <f>COUNTIF($N$4:$N$73, "기본 개념 인지")</f>
        <v>33</v>
      </c>
      <c r="O78" s="34">
        <f>N78/$N$83</f>
        <v>0.47142857142857142</v>
      </c>
      <c r="P78" s="23" t="s">
        <v>1491</v>
      </c>
      <c r="Q78" s="29">
        <f>AVERAGE(Q$4:Q$73)</f>
        <v>3.1428571428571428</v>
      </c>
      <c r="R78" s="29">
        <f t="shared" ref="R78:AL78" si="1">AVERAGE(R$4:R$73)</f>
        <v>2.7285714285714286</v>
      </c>
      <c r="S78" s="29">
        <f t="shared" si="1"/>
        <v>2.9142857142857141</v>
      </c>
      <c r="T78" s="29">
        <f t="shared" si="1"/>
        <v>2.7142857142857144</v>
      </c>
      <c r="U78" s="29">
        <f t="shared" si="1"/>
        <v>3.1714285714285713</v>
      </c>
      <c r="V78" s="29">
        <f t="shared" si="1"/>
        <v>3.0428571428571427</v>
      </c>
      <c r="W78" s="29">
        <f t="shared" si="1"/>
        <v>3.6</v>
      </c>
      <c r="X78" s="29">
        <f t="shared" si="1"/>
        <v>3.4</v>
      </c>
      <c r="Y78" s="29">
        <f t="shared" si="1"/>
        <v>3.1428571428571428</v>
      </c>
      <c r="Z78" s="29">
        <f t="shared" si="1"/>
        <v>3.1</v>
      </c>
      <c r="AA78" s="29">
        <f t="shared" si="1"/>
        <v>3.4</v>
      </c>
      <c r="AB78" s="29">
        <f t="shared" si="1"/>
        <v>3.7428571428571429</v>
      </c>
      <c r="AC78" s="29">
        <f t="shared" si="1"/>
        <v>3.8142857142857145</v>
      </c>
      <c r="AD78" s="29">
        <f t="shared" si="1"/>
        <v>3.9142857142857141</v>
      </c>
      <c r="AE78" s="29">
        <f t="shared" si="1"/>
        <v>3.6142857142857143</v>
      </c>
      <c r="AF78" s="29">
        <f t="shared" si="1"/>
        <v>3.9</v>
      </c>
      <c r="AG78" s="29">
        <f t="shared" si="1"/>
        <v>3.5142857142857142</v>
      </c>
      <c r="AH78" s="29">
        <f t="shared" si="1"/>
        <v>3.6857142857142855</v>
      </c>
      <c r="AI78" s="29">
        <f t="shared" si="1"/>
        <v>2.9714285714285715</v>
      </c>
      <c r="AJ78" s="29">
        <f t="shared" si="1"/>
        <v>2.9285714285714284</v>
      </c>
      <c r="AK78" s="29">
        <f t="shared" si="1"/>
        <v>3.2428571428571429</v>
      </c>
      <c r="AL78" s="29">
        <f t="shared" si="1"/>
        <v>2.7285714285714286</v>
      </c>
      <c r="AM78" s="29"/>
      <c r="AN78" s="29" t="s">
        <v>1493</v>
      </c>
      <c r="AO78" s="23">
        <f>COUNTIF($AO$4:$AO$73,"있다")</f>
        <v>37</v>
      </c>
      <c r="AP78" s="34">
        <f>AO78/$AO$80</f>
        <v>0.52857142857142858</v>
      </c>
    </row>
    <row r="79" spans="1:44">
      <c r="F79" s="28" t="s">
        <v>1494</v>
      </c>
      <c r="G79" s="28">
        <f>COUNTIF($G$4:$G$73,"거의 사용하지 않는다")</f>
        <v>8</v>
      </c>
      <c r="H79" s="34">
        <f t="shared" ref="H79:H82" si="2">G79/$G$82</f>
        <v>0.11428571428571428</v>
      </c>
      <c r="I79" s="23" t="s">
        <v>1495</v>
      </c>
      <c r="J79" s="29">
        <f>_xlfn.STDEV.S(J$4:J$73)</f>
        <v>1.2273623016296771</v>
      </c>
      <c r="K79" s="29">
        <f t="shared" ref="K79:L79" si="3">_xlfn.STDEV.S(K$4:K$73)</f>
        <v>1.2567828394715064</v>
      </c>
      <c r="L79" s="29">
        <f t="shared" si="3"/>
        <v>1.1356267138132554</v>
      </c>
      <c r="M79" s="29" t="s">
        <v>1496</v>
      </c>
      <c r="N79" s="23">
        <f>COUNTIF($N$4:$N$73,"AI 도구 선택 활용 가능")</f>
        <v>12</v>
      </c>
      <c r="O79" s="34">
        <f t="shared" ref="O79:O83" si="4">N79/$N$83</f>
        <v>0.17142857142857143</v>
      </c>
      <c r="P79" s="23" t="s">
        <v>1495</v>
      </c>
      <c r="Q79" s="29">
        <f>_xlfn.STDEV.S(Q$4:Q$73)</f>
        <v>0.98224401888196766</v>
      </c>
      <c r="R79" s="29">
        <f t="shared" ref="R79:AL79" si="5">_xlfn.STDEV.S(R$4:R$73)</f>
        <v>1.0757057484009542</v>
      </c>
      <c r="S79" s="29">
        <f t="shared" si="5"/>
        <v>0.98896604098813368</v>
      </c>
      <c r="T79" s="29">
        <f t="shared" si="5"/>
        <v>0.96523417813168066</v>
      </c>
      <c r="U79" s="29">
        <f t="shared" si="5"/>
        <v>1.2154968993030471</v>
      </c>
      <c r="V79" s="29">
        <f t="shared" si="5"/>
        <v>1.1601563398608203</v>
      </c>
      <c r="W79" s="29">
        <f t="shared" si="5"/>
        <v>1.027167203413405</v>
      </c>
      <c r="X79" s="29">
        <f t="shared" si="5"/>
        <v>1.0550087574332589</v>
      </c>
      <c r="Y79" s="29">
        <f t="shared" si="5"/>
        <v>0.98224401888196766</v>
      </c>
      <c r="Z79" s="29">
        <f t="shared" si="5"/>
        <v>0.90329509518512641</v>
      </c>
      <c r="AA79" s="29">
        <f t="shared" si="5"/>
        <v>1.0821342304694102</v>
      </c>
      <c r="AB79" s="29">
        <f t="shared" si="5"/>
        <v>1.0170390995535543</v>
      </c>
      <c r="AC79" s="29">
        <f t="shared" si="5"/>
        <v>0.96748376974525885</v>
      </c>
      <c r="AD79" s="29">
        <f t="shared" si="5"/>
        <v>0.89673897358678578</v>
      </c>
      <c r="AE79" s="29">
        <f t="shared" si="5"/>
        <v>0.95238612835032421</v>
      </c>
      <c r="AF79" s="29">
        <f t="shared" si="5"/>
        <v>0.76423685531024488</v>
      </c>
      <c r="AG79" s="29">
        <f t="shared" si="5"/>
        <v>0.92849975834258336</v>
      </c>
      <c r="AH79" s="29">
        <f t="shared" si="5"/>
        <v>0.86044910994634283</v>
      </c>
      <c r="AI79" s="29">
        <f t="shared" si="5"/>
        <v>0.96265677919711445</v>
      </c>
      <c r="AJ79" s="29">
        <f t="shared" si="5"/>
        <v>0.9528208093991315</v>
      </c>
      <c r="AK79" s="29">
        <f t="shared" si="5"/>
        <v>0.87535854824849868</v>
      </c>
      <c r="AL79" s="29">
        <f t="shared" si="5"/>
        <v>0.93128287038852442</v>
      </c>
      <c r="AM79" s="29"/>
      <c r="AN79" s="29" t="s">
        <v>1497</v>
      </c>
      <c r="AO79" s="23">
        <f>COUNTIF($AO$4:$AO$73,"없다")</f>
        <v>33</v>
      </c>
      <c r="AP79" s="34">
        <f t="shared" ref="AP79:AP80" si="6">AO79/$AO$80</f>
        <v>0.47142857142857142</v>
      </c>
    </row>
    <row r="80" spans="1:44">
      <c r="F80" s="28" t="s">
        <v>1498</v>
      </c>
      <c r="G80" s="28">
        <f>COUNTIF($G$4:$G$73,"사용하지 않는다")</f>
        <v>7</v>
      </c>
      <c r="H80" s="34">
        <f t="shared" si="2"/>
        <v>0.1</v>
      </c>
      <c r="I80" s="23"/>
      <c r="J80" s="29"/>
      <c r="K80" s="29"/>
      <c r="L80" s="29"/>
      <c r="M80" s="29" t="s">
        <v>1499</v>
      </c>
      <c r="N80" s="23">
        <f>COUNTIF($N$4:$N$73, "AI 도구 교차 사용 가능")</f>
        <v>8</v>
      </c>
      <c r="O80" s="34">
        <f t="shared" si="4"/>
        <v>0.11428571428571428</v>
      </c>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t="s">
        <v>1505</v>
      </c>
      <c r="AO80" s="23">
        <f>SUM(AO78:AO79)</f>
        <v>70</v>
      </c>
      <c r="AP80" s="34">
        <f t="shared" si="6"/>
        <v>1</v>
      </c>
    </row>
    <row r="81" spans="6:42">
      <c r="F81" s="28" t="s">
        <v>1500</v>
      </c>
      <c r="G81" s="28">
        <f>COUNTIF($G$4:$G$73,"업무에 자주 활용한다")</f>
        <v>29</v>
      </c>
      <c r="H81" s="34">
        <f t="shared" si="2"/>
        <v>0.41428571428571431</v>
      </c>
      <c r="I81" s="23"/>
      <c r="J81" s="29"/>
      <c r="K81" s="29"/>
      <c r="L81" s="29"/>
      <c r="M81" s="29" t="s">
        <v>1501</v>
      </c>
      <c r="N81" s="23">
        <f>COUNTIF($N$4:$N$73, "실험 및 구현 가능")</f>
        <v>2</v>
      </c>
      <c r="O81" s="34">
        <f t="shared" si="4"/>
        <v>2.8571428571428571E-2</v>
      </c>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row>
    <row r="82" spans="6:42">
      <c r="F82" s="23"/>
      <c r="G82" s="23">
        <f>SUM(G78:G81)</f>
        <v>70</v>
      </c>
      <c r="H82" s="34">
        <f t="shared" si="2"/>
        <v>1</v>
      </c>
      <c r="I82" s="23"/>
      <c r="J82" s="23"/>
      <c r="K82" s="23"/>
      <c r="L82" s="23"/>
      <c r="M82" s="29" t="s">
        <v>1502</v>
      </c>
      <c r="N82" s="23">
        <f>COUNTIF($N$4:$N$73, "잘 모름")</f>
        <v>15</v>
      </c>
      <c r="O82" s="34">
        <f t="shared" si="4"/>
        <v>0.21428571428571427</v>
      </c>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row>
    <row r="83" spans="6:42">
      <c r="F83" s="23"/>
      <c r="G83" s="23"/>
      <c r="H83" s="23"/>
      <c r="I83" s="23"/>
      <c r="J83" s="23"/>
      <c r="K83" s="23"/>
      <c r="L83" s="23"/>
      <c r="M83" s="23"/>
      <c r="N83" s="23">
        <f>SUM(N78:N82)</f>
        <v>70</v>
      </c>
      <c r="O83" s="34">
        <f t="shared" si="4"/>
        <v>1</v>
      </c>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row>
    <row r="84" spans="6:42">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row>
    <row r="85" spans="6:42">
      <c r="F85" s="23"/>
      <c r="G85" s="23"/>
      <c r="H85" s="23"/>
      <c r="I85" s="23"/>
      <c r="J85" s="15" t="s">
        <v>1503</v>
      </c>
      <c r="K85" s="23"/>
      <c r="L85" s="23"/>
      <c r="M85" s="23"/>
      <c r="N85" s="23"/>
      <c r="O85" s="23"/>
      <c r="P85" s="23"/>
      <c r="Q85" s="30" t="s">
        <v>9</v>
      </c>
      <c r="R85" s="30" t="s">
        <v>10</v>
      </c>
      <c r="S85" s="30" t="s">
        <v>11</v>
      </c>
      <c r="T85" s="30" t="s">
        <v>12</v>
      </c>
      <c r="U85" s="23"/>
      <c r="V85" s="23"/>
      <c r="W85" s="23"/>
      <c r="X85" s="23"/>
      <c r="Y85" s="23"/>
      <c r="Z85" s="23"/>
      <c r="AA85" s="23"/>
      <c r="AB85" s="23"/>
      <c r="AC85" s="23"/>
      <c r="AD85" s="23"/>
      <c r="AE85" s="23"/>
      <c r="AF85" s="23"/>
      <c r="AG85" s="23"/>
      <c r="AH85" s="23"/>
      <c r="AI85" s="23"/>
      <c r="AJ85" s="23"/>
      <c r="AK85" s="23"/>
      <c r="AL85" s="23"/>
      <c r="AM85" s="23"/>
      <c r="AN85" s="23"/>
      <c r="AO85" s="23"/>
      <c r="AP85" s="23"/>
    </row>
    <row r="86" spans="6:42">
      <c r="F86" s="23"/>
      <c r="G86" s="23"/>
      <c r="H86" s="23"/>
      <c r="I86" s="23"/>
      <c r="J86" s="31">
        <f>AVERAGE(J78:L78)</f>
        <v>2.4571428571428573</v>
      </c>
      <c r="K86" s="23"/>
      <c r="L86" s="23"/>
      <c r="M86" s="23"/>
      <c r="N86" s="23"/>
      <c r="O86" s="23"/>
      <c r="P86" s="23"/>
      <c r="Q86" s="31">
        <f>AVERAGE(Q78:V78)</f>
        <v>2.9523809523809526</v>
      </c>
      <c r="R86" s="31">
        <f>AVERAGE(W78:Z78)</f>
        <v>3.3107142857142855</v>
      </c>
      <c r="S86" s="31">
        <f>AVERAGE(AA78:AG78)</f>
        <v>3.6999999999999997</v>
      </c>
      <c r="T86" s="31">
        <f>AVERAGE(AH78:AL78)</f>
        <v>3.1114285714285712</v>
      </c>
      <c r="U86" s="23"/>
      <c r="V86" s="23"/>
      <c r="W86" s="23"/>
      <c r="X86" s="23"/>
      <c r="Y86" s="23"/>
      <c r="Z86" s="23"/>
      <c r="AA86" s="23"/>
      <c r="AB86" s="23"/>
      <c r="AC86" s="23"/>
      <c r="AD86" s="23"/>
      <c r="AE86" s="23"/>
      <c r="AF86" s="23"/>
      <c r="AG86" s="23"/>
      <c r="AH86" s="23"/>
      <c r="AI86" s="23"/>
      <c r="AJ86" s="23"/>
      <c r="AK86" s="23"/>
      <c r="AL86" s="23"/>
      <c r="AM86" s="23"/>
      <c r="AN86" s="23"/>
      <c r="AO86" s="23"/>
      <c r="AP86" s="23"/>
    </row>
    <row r="87" spans="6:42">
      <c r="F87" s="23"/>
      <c r="G87" s="23"/>
      <c r="H87" s="23"/>
      <c r="I87" s="23"/>
      <c r="J87" s="32">
        <f>_xlfn.STDEV.S(J4:L73)</f>
        <v>1.2681491726101457</v>
      </c>
      <c r="K87" s="23"/>
      <c r="L87" s="23"/>
      <c r="M87" s="23"/>
      <c r="N87" s="23"/>
      <c r="O87" s="23"/>
      <c r="P87" s="23"/>
      <c r="Q87" s="32">
        <f>_xlfn.STDEV.S(Q4:V73)</f>
        <v>1.0781487924815394</v>
      </c>
      <c r="R87" s="32">
        <f>_xlfn.STDEV.S(W4:Z73)</f>
        <v>1.0088636873136694</v>
      </c>
      <c r="S87" s="32">
        <f>_xlfn.STDEV.S(AA4:AG73)</f>
        <v>0.96025303413764407</v>
      </c>
      <c r="T87" s="32">
        <f>_xlfn.STDEV.S(AH4:AL73)</f>
        <v>0.97041373877137294</v>
      </c>
      <c r="U87" s="23"/>
      <c r="V87" s="23"/>
      <c r="W87" s="23"/>
      <c r="X87" s="23"/>
      <c r="Y87" s="23"/>
      <c r="Z87" s="23"/>
      <c r="AA87" s="23"/>
      <c r="AB87" s="23"/>
      <c r="AC87" s="23"/>
      <c r="AD87" s="23"/>
      <c r="AE87" s="23"/>
      <c r="AF87" s="23"/>
      <c r="AG87" s="23"/>
      <c r="AH87" s="23"/>
      <c r="AI87" s="23"/>
      <c r="AJ87" s="23"/>
      <c r="AK87" s="23"/>
      <c r="AL87" s="23"/>
      <c r="AM87" s="23"/>
      <c r="AN87" s="23"/>
      <c r="AO87" s="23"/>
      <c r="AP87" s="23"/>
    </row>
  </sheetData>
  <mergeCells count="15">
    <mergeCell ref="Q76:V76"/>
    <mergeCell ref="W76:Z76"/>
    <mergeCell ref="AA76:AG76"/>
    <mergeCell ref="AH76:AL76"/>
    <mergeCell ref="B1:F1"/>
    <mergeCell ref="G1:L1"/>
    <mergeCell ref="Q1:AL1"/>
    <mergeCell ref="AO1:AQ1"/>
    <mergeCell ref="B2:F2"/>
    <mergeCell ref="G2:L2"/>
    <mergeCell ref="Q2:V2"/>
    <mergeCell ref="W2:Z2"/>
    <mergeCell ref="AA2:AG2"/>
    <mergeCell ref="AH2:AL2"/>
    <mergeCell ref="AP2:AQ2"/>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35A67-4A1B-40EA-81D3-82739497ABD4}">
  <dimension ref="A1:AR77"/>
  <sheetViews>
    <sheetView topLeftCell="C1" zoomScale="85" zoomScaleNormal="85" workbookViewId="0">
      <selection activeCell="F66" sqref="F66:AP77"/>
    </sheetView>
  </sheetViews>
  <sheetFormatPr defaultRowHeight="16.899999999999999"/>
  <sheetData>
    <row r="1" spans="1:44">
      <c r="A1" s="1" t="s">
        <v>0</v>
      </c>
      <c r="B1" s="60" t="s">
        <v>1</v>
      </c>
      <c r="C1" s="60"/>
      <c r="D1" s="60"/>
      <c r="E1" s="60"/>
      <c r="F1" s="60"/>
      <c r="G1" s="61" t="s">
        <v>2</v>
      </c>
      <c r="H1" s="61"/>
      <c r="I1" s="61"/>
      <c r="J1" s="61"/>
      <c r="K1" s="61"/>
      <c r="L1" s="61"/>
      <c r="M1" s="2"/>
      <c r="N1" s="3" t="s">
        <v>3</v>
      </c>
      <c r="O1" s="3"/>
      <c r="P1" s="3"/>
      <c r="Q1" s="56" t="s">
        <v>4</v>
      </c>
      <c r="R1" s="56"/>
      <c r="S1" s="56"/>
      <c r="T1" s="56"/>
      <c r="U1" s="56"/>
      <c r="V1" s="56"/>
      <c r="W1" s="56"/>
      <c r="X1" s="56"/>
      <c r="Y1" s="56"/>
      <c r="Z1" s="56"/>
      <c r="AA1" s="56"/>
      <c r="AB1" s="56"/>
      <c r="AC1" s="56"/>
      <c r="AD1" s="56"/>
      <c r="AE1" s="56"/>
      <c r="AF1" s="56"/>
      <c r="AG1" s="56"/>
      <c r="AH1" s="56"/>
      <c r="AI1" s="56"/>
      <c r="AJ1" s="56"/>
      <c r="AK1" s="56"/>
      <c r="AL1" s="56"/>
      <c r="AM1" s="4"/>
      <c r="AN1" s="4"/>
      <c r="AO1" s="62" t="s">
        <v>5</v>
      </c>
      <c r="AP1" s="62"/>
      <c r="AQ1" s="62"/>
      <c r="AR1" s="5" t="s">
        <v>6</v>
      </c>
    </row>
    <row r="2" spans="1:44">
      <c r="A2" s="6" t="s">
        <v>7</v>
      </c>
      <c r="B2" s="63" t="s">
        <v>1</v>
      </c>
      <c r="C2" s="63"/>
      <c r="D2" s="63"/>
      <c r="E2" s="63"/>
      <c r="F2" s="63"/>
      <c r="G2" s="64" t="s">
        <v>8</v>
      </c>
      <c r="H2" s="64"/>
      <c r="I2" s="64"/>
      <c r="J2" s="64"/>
      <c r="K2" s="64"/>
      <c r="L2" s="64"/>
      <c r="M2" s="7"/>
      <c r="N2" s="3" t="s">
        <v>3</v>
      </c>
      <c r="O2" s="8"/>
      <c r="P2" s="8"/>
      <c r="Q2" s="65" t="s">
        <v>9</v>
      </c>
      <c r="R2" s="66"/>
      <c r="S2" s="66"/>
      <c r="T2" s="66"/>
      <c r="U2" s="66"/>
      <c r="V2" s="67"/>
      <c r="W2" s="65" t="s">
        <v>10</v>
      </c>
      <c r="X2" s="66"/>
      <c r="Y2" s="66"/>
      <c r="Z2" s="67"/>
      <c r="AA2" s="68" t="s">
        <v>11</v>
      </c>
      <c r="AB2" s="69"/>
      <c r="AC2" s="69"/>
      <c r="AD2" s="69"/>
      <c r="AE2" s="69"/>
      <c r="AF2" s="69"/>
      <c r="AG2" s="70"/>
      <c r="AH2" s="68" t="s">
        <v>12</v>
      </c>
      <c r="AI2" s="69"/>
      <c r="AJ2" s="69"/>
      <c r="AK2" s="69"/>
      <c r="AL2" s="70"/>
      <c r="AM2" s="9"/>
      <c r="AN2" s="9"/>
      <c r="AO2" s="10" t="s">
        <v>13</v>
      </c>
      <c r="AP2" s="71" t="s">
        <v>14</v>
      </c>
      <c r="AQ2" s="71"/>
      <c r="AR2" s="11" t="s">
        <v>15</v>
      </c>
    </row>
    <row r="3" spans="1:44">
      <c r="A3" s="12" t="s">
        <v>16</v>
      </c>
      <c r="B3" s="13" t="s">
        <v>17</v>
      </c>
      <c r="C3" s="14" t="s">
        <v>18</v>
      </c>
      <c r="D3" s="14" t="s">
        <v>19</v>
      </c>
      <c r="E3" s="14" t="s">
        <v>20</v>
      </c>
      <c r="F3" s="14" t="s">
        <v>21</v>
      </c>
      <c r="G3" s="15" t="s">
        <v>22</v>
      </c>
      <c r="H3" s="15"/>
      <c r="I3" s="15"/>
      <c r="J3" s="15" t="s">
        <v>23</v>
      </c>
      <c r="K3" s="15" t="s">
        <v>24</v>
      </c>
      <c r="L3" s="16" t="s">
        <v>25</v>
      </c>
      <c r="M3" s="16"/>
      <c r="N3" s="3" t="s">
        <v>3</v>
      </c>
      <c r="O3" s="3"/>
      <c r="P3" s="3"/>
      <c r="Q3" s="17" t="s">
        <v>26</v>
      </c>
      <c r="R3" s="3" t="s">
        <v>27</v>
      </c>
      <c r="S3" s="3" t="s">
        <v>28</v>
      </c>
      <c r="T3" s="18" t="s">
        <v>29</v>
      </c>
      <c r="U3" s="17" t="s">
        <v>30</v>
      </c>
      <c r="V3" s="3" t="s">
        <v>31</v>
      </c>
      <c r="W3" s="17" t="s">
        <v>32</v>
      </c>
      <c r="X3" s="17" t="s">
        <v>33</v>
      </c>
      <c r="Y3" s="17" t="s">
        <v>34</v>
      </c>
      <c r="Z3" s="17" t="s">
        <v>35</v>
      </c>
      <c r="AA3" s="17" t="s">
        <v>36</v>
      </c>
      <c r="AB3" s="17" t="s">
        <v>37</v>
      </c>
      <c r="AC3" s="17" t="s">
        <v>38</v>
      </c>
      <c r="AD3" s="17" t="s">
        <v>39</v>
      </c>
      <c r="AE3" s="17" t="s">
        <v>40</v>
      </c>
      <c r="AF3" s="17" t="s">
        <v>41</v>
      </c>
      <c r="AG3" s="17" t="s">
        <v>42</v>
      </c>
      <c r="AH3" s="17" t="s">
        <v>43</v>
      </c>
      <c r="AI3" s="17" t="s">
        <v>44</v>
      </c>
      <c r="AJ3" s="17" t="s">
        <v>45</v>
      </c>
      <c r="AK3" s="19" t="s">
        <v>46</v>
      </c>
      <c r="AL3" s="19" t="s">
        <v>47</v>
      </c>
      <c r="AM3" s="19"/>
      <c r="AN3" s="19"/>
      <c r="AO3" s="20" t="s">
        <v>48</v>
      </c>
      <c r="AP3" s="20" t="s">
        <v>49</v>
      </c>
      <c r="AQ3" s="20" t="s">
        <v>50</v>
      </c>
      <c r="AR3" s="21" t="s">
        <v>15</v>
      </c>
    </row>
    <row r="4" spans="1:44">
      <c r="A4" s="22" t="s">
        <v>767</v>
      </c>
      <c r="B4" s="22" t="s">
        <v>768</v>
      </c>
      <c r="C4" s="22" t="s">
        <v>53</v>
      </c>
      <c r="D4" s="22" t="s">
        <v>98</v>
      </c>
      <c r="E4" s="22" t="s">
        <v>55</v>
      </c>
      <c r="F4" s="22" t="s">
        <v>136</v>
      </c>
      <c r="G4" s="22" t="s">
        <v>57</v>
      </c>
      <c r="H4" s="23"/>
      <c r="I4" s="23"/>
      <c r="J4" s="22">
        <v>5</v>
      </c>
      <c r="K4" s="22">
        <v>5</v>
      </c>
      <c r="L4" s="22">
        <v>4</v>
      </c>
      <c r="M4" s="23"/>
      <c r="N4" s="22" t="s">
        <v>91</v>
      </c>
      <c r="O4" s="23"/>
      <c r="P4" s="23"/>
      <c r="Q4" s="24">
        <v>5</v>
      </c>
      <c r="R4" s="24">
        <v>4</v>
      </c>
      <c r="S4" s="24">
        <v>5</v>
      </c>
      <c r="T4" s="24">
        <v>5</v>
      </c>
      <c r="U4" s="24">
        <v>5</v>
      </c>
      <c r="V4" s="24">
        <v>5</v>
      </c>
      <c r="W4" s="24">
        <v>4</v>
      </c>
      <c r="X4" s="24">
        <v>5</v>
      </c>
      <c r="Y4" s="24">
        <v>5</v>
      </c>
      <c r="Z4" s="24">
        <v>5</v>
      </c>
      <c r="AA4" s="24">
        <v>5</v>
      </c>
      <c r="AB4" s="24">
        <v>5</v>
      </c>
      <c r="AC4" s="24">
        <v>5</v>
      </c>
      <c r="AD4" s="24">
        <v>5</v>
      </c>
      <c r="AE4" s="24">
        <v>5</v>
      </c>
      <c r="AF4" s="24">
        <v>5</v>
      </c>
      <c r="AG4" s="24">
        <v>5</v>
      </c>
      <c r="AH4" s="24">
        <v>5</v>
      </c>
      <c r="AI4" s="24">
        <v>5</v>
      </c>
      <c r="AJ4" s="24">
        <v>5</v>
      </c>
      <c r="AK4" s="24">
        <v>5</v>
      </c>
      <c r="AL4" s="24">
        <v>5</v>
      </c>
      <c r="AM4" s="23"/>
      <c r="AN4" s="23"/>
      <c r="AO4" s="22" t="s">
        <v>74</v>
      </c>
      <c r="AP4" s="22" t="s">
        <v>769</v>
      </c>
      <c r="AQ4" s="22" t="s">
        <v>770</v>
      </c>
      <c r="AR4" s="22" t="s">
        <v>771</v>
      </c>
    </row>
    <row r="5" spans="1:44">
      <c r="A5" s="22" t="s">
        <v>772</v>
      </c>
      <c r="B5" s="22" t="s">
        <v>768</v>
      </c>
      <c r="C5" s="22" t="s">
        <v>90</v>
      </c>
      <c r="D5" s="22" t="s">
        <v>98</v>
      </c>
      <c r="E5" s="22" t="s">
        <v>55</v>
      </c>
      <c r="F5" s="22" t="s">
        <v>65</v>
      </c>
      <c r="G5" s="22" t="s">
        <v>80</v>
      </c>
      <c r="H5" s="23"/>
      <c r="I5" s="23"/>
      <c r="J5" s="22">
        <v>5</v>
      </c>
      <c r="K5" s="22">
        <v>1</v>
      </c>
      <c r="L5" s="22">
        <v>1</v>
      </c>
      <c r="M5" s="23"/>
      <c r="N5" s="22" t="s">
        <v>66</v>
      </c>
      <c r="O5" s="23"/>
      <c r="P5" s="23"/>
      <c r="Q5" s="24">
        <v>4</v>
      </c>
      <c r="R5" s="24">
        <v>3</v>
      </c>
      <c r="S5" s="24">
        <v>3</v>
      </c>
      <c r="T5" s="24">
        <v>3</v>
      </c>
      <c r="U5" s="24">
        <v>3</v>
      </c>
      <c r="V5" s="24">
        <v>3</v>
      </c>
      <c r="W5" s="24">
        <v>3</v>
      </c>
      <c r="X5" s="24">
        <v>3</v>
      </c>
      <c r="Y5" s="24">
        <v>3</v>
      </c>
      <c r="Z5" s="24">
        <v>3</v>
      </c>
      <c r="AA5" s="24">
        <v>4</v>
      </c>
      <c r="AB5" s="24">
        <v>3</v>
      </c>
      <c r="AC5" s="24">
        <v>5</v>
      </c>
      <c r="AD5" s="24">
        <v>5</v>
      </c>
      <c r="AE5" s="24">
        <v>4</v>
      </c>
      <c r="AF5" s="24">
        <v>5</v>
      </c>
      <c r="AG5" s="24">
        <v>3</v>
      </c>
      <c r="AH5" s="24">
        <v>3</v>
      </c>
      <c r="AI5" s="24">
        <v>3</v>
      </c>
      <c r="AJ5" s="24">
        <v>3</v>
      </c>
      <c r="AK5" s="24">
        <v>3</v>
      </c>
      <c r="AL5" s="24">
        <v>3</v>
      </c>
      <c r="AM5" s="23"/>
      <c r="AN5" s="23"/>
      <c r="AO5" s="22" t="s">
        <v>59</v>
      </c>
      <c r="AP5" s="22" t="s">
        <v>773</v>
      </c>
      <c r="AQ5" s="22" t="s">
        <v>774</v>
      </c>
      <c r="AR5" s="22" t="s">
        <v>775</v>
      </c>
    </row>
    <row r="6" spans="1:44" hidden="1">
      <c r="A6" s="22" t="s">
        <v>776</v>
      </c>
      <c r="B6" s="22" t="s">
        <v>768</v>
      </c>
      <c r="C6" s="22" t="s">
        <v>95</v>
      </c>
      <c r="D6" s="22" t="s">
        <v>98</v>
      </c>
      <c r="E6" s="22" t="s">
        <v>55</v>
      </c>
      <c r="F6" s="22" t="s">
        <v>65</v>
      </c>
      <c r="G6" s="22" t="s">
        <v>129</v>
      </c>
      <c r="H6" s="23"/>
      <c r="I6" s="23"/>
      <c r="J6" s="22">
        <v>2</v>
      </c>
      <c r="K6" s="22">
        <v>1</v>
      </c>
      <c r="L6" s="22">
        <v>1</v>
      </c>
      <c r="M6" s="23"/>
      <c r="N6" s="22" t="s">
        <v>58</v>
      </c>
      <c r="O6" s="23"/>
      <c r="P6" s="23"/>
      <c r="Q6" s="24">
        <v>1</v>
      </c>
      <c r="R6" s="24">
        <v>1</v>
      </c>
      <c r="S6" s="24">
        <v>1</v>
      </c>
      <c r="T6" s="24">
        <v>1</v>
      </c>
      <c r="U6" s="24">
        <v>1</v>
      </c>
      <c r="V6" s="24">
        <v>3</v>
      </c>
      <c r="W6" s="24">
        <v>4</v>
      </c>
      <c r="X6" s="24">
        <v>4</v>
      </c>
      <c r="Y6" s="24">
        <v>2</v>
      </c>
      <c r="Z6" s="24">
        <v>3</v>
      </c>
      <c r="AA6" s="24">
        <v>3</v>
      </c>
      <c r="AB6" s="24">
        <v>4</v>
      </c>
      <c r="AC6" s="24">
        <v>4</v>
      </c>
      <c r="AD6" s="24">
        <v>3</v>
      </c>
      <c r="AE6" s="24">
        <v>3</v>
      </c>
      <c r="AF6" s="24">
        <v>3</v>
      </c>
      <c r="AG6" s="24">
        <v>3</v>
      </c>
      <c r="AH6" s="24">
        <v>3</v>
      </c>
      <c r="AI6" s="24">
        <v>2</v>
      </c>
      <c r="AJ6" s="24">
        <v>3</v>
      </c>
      <c r="AK6" s="24">
        <v>3</v>
      </c>
      <c r="AL6" s="24">
        <v>4</v>
      </c>
      <c r="AM6" s="23"/>
      <c r="AN6" s="23"/>
      <c r="AO6" s="22" t="s">
        <v>59</v>
      </c>
      <c r="AP6" s="22" t="s">
        <v>777</v>
      </c>
      <c r="AQ6" s="22" t="s">
        <v>778</v>
      </c>
      <c r="AR6" s="22" t="s">
        <v>779</v>
      </c>
    </row>
    <row r="7" spans="1:44" hidden="1">
      <c r="A7" s="22" t="s">
        <v>780</v>
      </c>
      <c r="B7" s="22" t="s">
        <v>768</v>
      </c>
      <c r="C7" s="22" t="s">
        <v>95</v>
      </c>
      <c r="D7" s="22" t="s">
        <v>98</v>
      </c>
      <c r="E7" s="22" t="s">
        <v>72</v>
      </c>
      <c r="F7" s="22" t="s">
        <v>136</v>
      </c>
      <c r="G7" s="22" t="s">
        <v>96</v>
      </c>
      <c r="H7" s="23"/>
      <c r="I7" s="23"/>
      <c r="J7" s="22">
        <v>2</v>
      </c>
      <c r="K7" s="22">
        <v>2</v>
      </c>
      <c r="L7" s="22">
        <v>2</v>
      </c>
      <c r="M7" s="23"/>
      <c r="N7" s="22" t="s">
        <v>85</v>
      </c>
      <c r="O7" s="23"/>
      <c r="P7" s="23"/>
      <c r="Q7" s="24">
        <v>2</v>
      </c>
      <c r="R7" s="24">
        <v>2</v>
      </c>
      <c r="S7" s="24">
        <v>2</v>
      </c>
      <c r="T7" s="24">
        <v>2</v>
      </c>
      <c r="U7" s="24">
        <v>2</v>
      </c>
      <c r="V7" s="24">
        <v>2</v>
      </c>
      <c r="W7" s="24">
        <v>3</v>
      </c>
      <c r="X7" s="24">
        <v>2</v>
      </c>
      <c r="Y7" s="24">
        <v>2</v>
      </c>
      <c r="Z7" s="24">
        <v>2</v>
      </c>
      <c r="AA7" s="24">
        <v>2</v>
      </c>
      <c r="AB7" s="24">
        <v>3</v>
      </c>
      <c r="AC7" s="24">
        <v>3</v>
      </c>
      <c r="AD7" s="24">
        <v>3</v>
      </c>
      <c r="AE7" s="24">
        <v>3</v>
      </c>
      <c r="AF7" s="24">
        <v>3</v>
      </c>
      <c r="AG7" s="24">
        <v>3</v>
      </c>
      <c r="AH7" s="24">
        <v>3</v>
      </c>
      <c r="AI7" s="24">
        <v>3</v>
      </c>
      <c r="AJ7" s="24">
        <v>3</v>
      </c>
      <c r="AK7" s="24">
        <v>4</v>
      </c>
      <c r="AL7" s="24">
        <v>3</v>
      </c>
      <c r="AM7" s="23"/>
      <c r="AN7" s="23"/>
      <c r="AO7" s="22" t="s">
        <v>59</v>
      </c>
      <c r="AP7" s="22" t="s">
        <v>92</v>
      </c>
      <c r="AQ7" s="22" t="s">
        <v>92</v>
      </c>
      <c r="AR7" s="22" t="s">
        <v>92</v>
      </c>
    </row>
    <row r="8" spans="1:44" hidden="1">
      <c r="A8" s="22" t="s">
        <v>781</v>
      </c>
      <c r="B8" s="22" t="s">
        <v>768</v>
      </c>
      <c r="C8" s="22" t="s">
        <v>95</v>
      </c>
      <c r="D8" s="22" t="s">
        <v>54</v>
      </c>
      <c r="E8" s="22" t="s">
        <v>72</v>
      </c>
      <c r="F8" s="22" t="s">
        <v>56</v>
      </c>
      <c r="G8" s="22" t="s">
        <v>57</v>
      </c>
      <c r="H8" s="23"/>
      <c r="I8" s="23"/>
      <c r="J8" s="22">
        <v>2</v>
      </c>
      <c r="K8" s="22">
        <v>2</v>
      </c>
      <c r="L8" s="22">
        <v>2</v>
      </c>
      <c r="M8" s="23"/>
      <c r="N8" s="22" t="s">
        <v>58</v>
      </c>
      <c r="O8" s="23"/>
      <c r="P8" s="23"/>
      <c r="Q8" s="24">
        <v>4</v>
      </c>
      <c r="R8" s="24">
        <v>3</v>
      </c>
      <c r="S8" s="24">
        <v>3</v>
      </c>
      <c r="T8" s="24">
        <v>3</v>
      </c>
      <c r="U8" s="24">
        <v>3</v>
      </c>
      <c r="V8" s="24">
        <v>4</v>
      </c>
      <c r="W8" s="24">
        <v>4</v>
      </c>
      <c r="X8" s="24">
        <v>3</v>
      </c>
      <c r="Y8" s="24">
        <v>3</v>
      </c>
      <c r="Z8" s="24">
        <v>4</v>
      </c>
      <c r="AA8" s="24">
        <v>5</v>
      </c>
      <c r="AB8" s="24">
        <v>5</v>
      </c>
      <c r="AC8" s="24">
        <v>5</v>
      </c>
      <c r="AD8" s="24">
        <v>5</v>
      </c>
      <c r="AE8" s="24">
        <v>4</v>
      </c>
      <c r="AF8" s="24">
        <v>5</v>
      </c>
      <c r="AG8" s="24">
        <v>5</v>
      </c>
      <c r="AH8" s="24">
        <v>5</v>
      </c>
      <c r="AI8" s="24">
        <v>3</v>
      </c>
      <c r="AJ8" s="24">
        <v>3</v>
      </c>
      <c r="AK8" s="24">
        <v>4</v>
      </c>
      <c r="AL8" s="24">
        <v>3</v>
      </c>
      <c r="AM8" s="23"/>
      <c r="AN8" s="23"/>
      <c r="AO8" s="22" t="s">
        <v>59</v>
      </c>
      <c r="AP8" s="22" t="s">
        <v>782</v>
      </c>
      <c r="AQ8" s="22" t="s">
        <v>783</v>
      </c>
      <c r="AR8" s="22" t="s">
        <v>784</v>
      </c>
    </row>
    <row r="9" spans="1:44" hidden="1">
      <c r="A9" s="22" t="s">
        <v>785</v>
      </c>
      <c r="B9" s="22" t="s">
        <v>768</v>
      </c>
      <c r="C9" s="22" t="s">
        <v>95</v>
      </c>
      <c r="D9" s="22" t="s">
        <v>64</v>
      </c>
      <c r="E9" s="22" t="s">
        <v>55</v>
      </c>
      <c r="F9" s="22" t="s">
        <v>65</v>
      </c>
      <c r="G9" s="22" t="s">
        <v>80</v>
      </c>
      <c r="H9" s="23"/>
      <c r="I9" s="23"/>
      <c r="J9" s="22">
        <v>3</v>
      </c>
      <c r="K9" s="22">
        <v>3</v>
      </c>
      <c r="L9" s="22">
        <v>3</v>
      </c>
      <c r="M9" s="23"/>
      <c r="N9" s="22" t="s">
        <v>66</v>
      </c>
      <c r="O9" s="23"/>
      <c r="P9" s="23"/>
      <c r="Q9" s="24">
        <v>3</v>
      </c>
      <c r="R9" s="24">
        <v>3</v>
      </c>
      <c r="S9" s="24">
        <v>3</v>
      </c>
      <c r="T9" s="24">
        <v>3</v>
      </c>
      <c r="U9" s="24">
        <v>3</v>
      </c>
      <c r="V9" s="24">
        <v>3</v>
      </c>
      <c r="W9" s="24">
        <v>3</v>
      </c>
      <c r="X9" s="24">
        <v>3</v>
      </c>
      <c r="Y9" s="24">
        <v>3</v>
      </c>
      <c r="Z9" s="24">
        <v>3</v>
      </c>
      <c r="AA9" s="24">
        <v>3</v>
      </c>
      <c r="AB9" s="24">
        <v>3</v>
      </c>
      <c r="AC9" s="24">
        <v>3</v>
      </c>
      <c r="AD9" s="24">
        <v>3</v>
      </c>
      <c r="AE9" s="24">
        <v>3</v>
      </c>
      <c r="AF9" s="24">
        <v>3</v>
      </c>
      <c r="AG9" s="24">
        <v>3</v>
      </c>
      <c r="AH9" s="24">
        <v>3</v>
      </c>
      <c r="AI9" s="24">
        <v>3</v>
      </c>
      <c r="AJ9" s="24">
        <v>3</v>
      </c>
      <c r="AK9" s="24">
        <v>3</v>
      </c>
      <c r="AL9" s="24">
        <v>3</v>
      </c>
      <c r="AM9" s="23"/>
      <c r="AN9" s="23"/>
      <c r="AO9" s="22" t="s">
        <v>59</v>
      </c>
      <c r="AP9" s="22" t="s">
        <v>92</v>
      </c>
      <c r="AQ9" s="22" t="s">
        <v>92</v>
      </c>
      <c r="AR9" s="22" t="s">
        <v>92</v>
      </c>
    </row>
    <row r="10" spans="1:44" hidden="1">
      <c r="A10" s="22" t="s">
        <v>786</v>
      </c>
      <c r="B10" s="22" t="s">
        <v>768</v>
      </c>
      <c r="C10" s="22" t="s">
        <v>53</v>
      </c>
      <c r="D10" s="22" t="s">
        <v>64</v>
      </c>
      <c r="E10" s="22" t="s">
        <v>55</v>
      </c>
      <c r="F10" s="22" t="s">
        <v>65</v>
      </c>
      <c r="G10" s="22" t="s">
        <v>80</v>
      </c>
      <c r="H10" s="23"/>
      <c r="I10" s="23"/>
      <c r="J10" s="22">
        <v>4</v>
      </c>
      <c r="K10" s="22">
        <v>3</v>
      </c>
      <c r="L10" s="22">
        <v>1</v>
      </c>
      <c r="M10" s="23"/>
      <c r="N10" s="22" t="s">
        <v>85</v>
      </c>
      <c r="O10" s="23"/>
      <c r="P10" s="23"/>
      <c r="Q10" s="24">
        <v>3</v>
      </c>
      <c r="R10" s="24">
        <v>2</v>
      </c>
      <c r="S10" s="24">
        <v>3</v>
      </c>
      <c r="T10" s="24">
        <v>3</v>
      </c>
      <c r="U10" s="24">
        <v>3</v>
      </c>
      <c r="V10" s="24">
        <v>3</v>
      </c>
      <c r="W10" s="24">
        <v>3</v>
      </c>
      <c r="X10" s="24">
        <v>3</v>
      </c>
      <c r="Y10" s="24">
        <v>3</v>
      </c>
      <c r="Z10" s="24">
        <v>3</v>
      </c>
      <c r="AA10" s="24">
        <v>3</v>
      </c>
      <c r="AB10" s="24">
        <v>3</v>
      </c>
      <c r="AC10" s="24">
        <v>3</v>
      </c>
      <c r="AD10" s="24">
        <v>3</v>
      </c>
      <c r="AE10" s="24">
        <v>3</v>
      </c>
      <c r="AF10" s="24">
        <v>3</v>
      </c>
      <c r="AG10" s="24">
        <v>3</v>
      </c>
      <c r="AH10" s="24">
        <v>3</v>
      </c>
      <c r="AI10" s="24">
        <v>3</v>
      </c>
      <c r="AJ10" s="24">
        <v>3</v>
      </c>
      <c r="AK10" s="24">
        <v>3</v>
      </c>
      <c r="AL10" s="24">
        <v>3</v>
      </c>
      <c r="AM10" s="23"/>
      <c r="AN10" s="23"/>
      <c r="AO10" s="22" t="s">
        <v>59</v>
      </c>
      <c r="AP10" s="22" t="s">
        <v>137</v>
      </c>
      <c r="AQ10" s="22" t="s">
        <v>137</v>
      </c>
      <c r="AR10" s="22" t="s">
        <v>137</v>
      </c>
    </row>
    <row r="11" spans="1:44" hidden="1">
      <c r="A11" s="22" t="s">
        <v>787</v>
      </c>
      <c r="B11" s="22" t="s">
        <v>768</v>
      </c>
      <c r="C11" s="22" t="s">
        <v>95</v>
      </c>
      <c r="D11" s="22" t="s">
        <v>64</v>
      </c>
      <c r="E11" s="22" t="s">
        <v>55</v>
      </c>
      <c r="F11" s="22" t="s">
        <v>65</v>
      </c>
      <c r="G11" s="22" t="s">
        <v>80</v>
      </c>
      <c r="H11" s="23"/>
      <c r="I11" s="23"/>
      <c r="J11" s="22">
        <v>3</v>
      </c>
      <c r="K11" s="22">
        <v>2</v>
      </c>
      <c r="L11" s="22">
        <v>2</v>
      </c>
      <c r="M11" s="23"/>
      <c r="N11" s="22" t="s">
        <v>58</v>
      </c>
      <c r="O11" s="23"/>
      <c r="P11" s="23"/>
      <c r="Q11" s="24">
        <v>2</v>
      </c>
      <c r="R11" s="24">
        <v>2</v>
      </c>
      <c r="S11" s="24">
        <v>2</v>
      </c>
      <c r="T11" s="24">
        <v>3</v>
      </c>
      <c r="U11" s="24">
        <v>3</v>
      </c>
      <c r="V11" s="24">
        <v>4</v>
      </c>
      <c r="W11" s="24">
        <v>5</v>
      </c>
      <c r="X11" s="24">
        <v>4</v>
      </c>
      <c r="Y11" s="24">
        <v>3</v>
      </c>
      <c r="Z11" s="24">
        <v>3</v>
      </c>
      <c r="AA11" s="24">
        <v>5</v>
      </c>
      <c r="AB11" s="24">
        <v>5</v>
      </c>
      <c r="AC11" s="24">
        <v>4</v>
      </c>
      <c r="AD11" s="24">
        <v>4</v>
      </c>
      <c r="AE11" s="24">
        <v>4</v>
      </c>
      <c r="AF11" s="24">
        <v>3</v>
      </c>
      <c r="AG11" s="24">
        <v>3</v>
      </c>
      <c r="AH11" s="24">
        <v>3</v>
      </c>
      <c r="AI11" s="24">
        <v>3</v>
      </c>
      <c r="AJ11" s="24">
        <v>3</v>
      </c>
      <c r="AK11" s="24">
        <v>4</v>
      </c>
      <c r="AL11" s="24">
        <v>3</v>
      </c>
      <c r="AM11" s="23"/>
      <c r="AN11" s="23"/>
      <c r="AO11" s="22" t="s">
        <v>59</v>
      </c>
      <c r="AP11" s="22" t="s">
        <v>788</v>
      </c>
      <c r="AQ11" s="22" t="s">
        <v>391</v>
      </c>
      <c r="AR11" s="22" t="s">
        <v>789</v>
      </c>
    </row>
    <row r="12" spans="1:44" hidden="1">
      <c r="A12" s="22" t="s">
        <v>790</v>
      </c>
      <c r="B12" s="22" t="s">
        <v>768</v>
      </c>
      <c r="C12" s="22" t="s">
        <v>79</v>
      </c>
      <c r="D12" s="22" t="s">
        <v>71</v>
      </c>
      <c r="E12" s="22" t="s">
        <v>72</v>
      </c>
      <c r="F12" s="22" t="s">
        <v>56</v>
      </c>
      <c r="G12" s="22" t="s">
        <v>80</v>
      </c>
      <c r="H12" s="23"/>
      <c r="I12" s="23"/>
      <c r="J12" s="22">
        <v>2</v>
      </c>
      <c r="K12" s="22">
        <v>3</v>
      </c>
      <c r="L12" s="22">
        <v>3</v>
      </c>
      <c r="M12" s="23"/>
      <c r="N12" s="22" t="s">
        <v>66</v>
      </c>
      <c r="O12" s="23"/>
      <c r="P12" s="23"/>
      <c r="Q12" s="24">
        <v>4</v>
      </c>
      <c r="R12" s="24">
        <v>4</v>
      </c>
      <c r="S12" s="24">
        <v>3</v>
      </c>
      <c r="T12" s="24">
        <v>3</v>
      </c>
      <c r="U12" s="24">
        <v>3</v>
      </c>
      <c r="V12" s="24">
        <v>3</v>
      </c>
      <c r="W12" s="24">
        <v>4</v>
      </c>
      <c r="X12" s="24">
        <v>4</v>
      </c>
      <c r="Y12" s="24">
        <v>4</v>
      </c>
      <c r="Z12" s="24">
        <v>4</v>
      </c>
      <c r="AA12" s="24">
        <v>4</v>
      </c>
      <c r="AB12" s="24">
        <v>4</v>
      </c>
      <c r="AC12" s="24">
        <v>4</v>
      </c>
      <c r="AD12" s="24">
        <v>4</v>
      </c>
      <c r="AE12" s="24">
        <v>4</v>
      </c>
      <c r="AF12" s="24">
        <v>4</v>
      </c>
      <c r="AG12" s="24">
        <v>4</v>
      </c>
      <c r="AH12" s="24">
        <v>4</v>
      </c>
      <c r="AI12" s="24">
        <v>4</v>
      </c>
      <c r="AJ12" s="24">
        <v>4</v>
      </c>
      <c r="AK12" s="24">
        <v>4</v>
      </c>
      <c r="AL12" s="24">
        <v>4</v>
      </c>
      <c r="AM12" s="23"/>
      <c r="AN12" s="23"/>
      <c r="AO12" s="22" t="s">
        <v>74</v>
      </c>
      <c r="AP12" s="22" t="s">
        <v>791</v>
      </c>
      <c r="AQ12" s="22" t="s">
        <v>792</v>
      </c>
      <c r="AR12" s="22" t="s">
        <v>793</v>
      </c>
    </row>
    <row r="13" spans="1:44" hidden="1">
      <c r="A13" s="22" t="s">
        <v>794</v>
      </c>
      <c r="B13" s="22" t="s">
        <v>768</v>
      </c>
      <c r="C13" s="22" t="s">
        <v>95</v>
      </c>
      <c r="D13" s="22" t="s">
        <v>64</v>
      </c>
      <c r="E13" s="22" t="s">
        <v>55</v>
      </c>
      <c r="F13" s="22" t="s">
        <v>56</v>
      </c>
      <c r="G13" s="22" t="s">
        <v>80</v>
      </c>
      <c r="H13" s="23"/>
      <c r="I13" s="23"/>
      <c r="J13" s="22">
        <v>5</v>
      </c>
      <c r="K13" s="22">
        <v>4</v>
      </c>
      <c r="L13" s="22">
        <v>2</v>
      </c>
      <c r="M13" s="23"/>
      <c r="N13" s="22" t="s">
        <v>58</v>
      </c>
      <c r="O13" s="23"/>
      <c r="P13" s="23"/>
      <c r="Q13" s="24">
        <v>3</v>
      </c>
      <c r="R13" s="24">
        <v>3</v>
      </c>
      <c r="S13" s="24">
        <v>3</v>
      </c>
      <c r="T13" s="24">
        <v>3</v>
      </c>
      <c r="U13" s="24">
        <v>3</v>
      </c>
      <c r="V13" s="24">
        <v>5</v>
      </c>
      <c r="W13" s="24">
        <v>4</v>
      </c>
      <c r="X13" s="24">
        <v>3</v>
      </c>
      <c r="Y13" s="24">
        <v>3</v>
      </c>
      <c r="Z13" s="24">
        <v>3</v>
      </c>
      <c r="AA13" s="24">
        <v>5</v>
      </c>
      <c r="AB13" s="24">
        <v>5</v>
      </c>
      <c r="AC13" s="24">
        <v>5</v>
      </c>
      <c r="AD13" s="24">
        <v>5</v>
      </c>
      <c r="AE13" s="24">
        <v>5</v>
      </c>
      <c r="AF13" s="24">
        <v>5</v>
      </c>
      <c r="AG13" s="24">
        <v>5</v>
      </c>
      <c r="AH13" s="24">
        <v>5</v>
      </c>
      <c r="AI13" s="24">
        <v>2</v>
      </c>
      <c r="AJ13" s="24">
        <v>2</v>
      </c>
      <c r="AK13" s="24">
        <v>3</v>
      </c>
      <c r="AL13" s="24">
        <v>2</v>
      </c>
      <c r="AM13" s="23"/>
      <c r="AN13" s="23"/>
      <c r="AO13" s="22" t="s">
        <v>74</v>
      </c>
      <c r="AP13" s="22" t="s">
        <v>795</v>
      </c>
      <c r="AQ13" s="22" t="s">
        <v>796</v>
      </c>
      <c r="AR13" s="22" t="s">
        <v>797</v>
      </c>
    </row>
    <row r="14" spans="1:44" hidden="1">
      <c r="A14" s="22" t="s">
        <v>798</v>
      </c>
      <c r="B14" s="22" t="s">
        <v>768</v>
      </c>
      <c r="C14" s="22" t="s">
        <v>95</v>
      </c>
      <c r="D14" s="22" t="s">
        <v>64</v>
      </c>
      <c r="E14" s="22" t="s">
        <v>72</v>
      </c>
      <c r="F14" s="22" t="s">
        <v>65</v>
      </c>
      <c r="G14" s="22" t="s">
        <v>129</v>
      </c>
      <c r="H14" s="23"/>
      <c r="I14" s="23"/>
      <c r="J14" s="22">
        <v>3</v>
      </c>
      <c r="K14" s="22">
        <v>2</v>
      </c>
      <c r="L14" s="22">
        <v>3</v>
      </c>
      <c r="M14" s="23"/>
      <c r="N14" s="22" t="s">
        <v>66</v>
      </c>
      <c r="O14" s="23"/>
      <c r="P14" s="23"/>
      <c r="Q14" s="24">
        <v>4</v>
      </c>
      <c r="R14" s="24">
        <v>2</v>
      </c>
      <c r="S14" s="24">
        <v>3</v>
      </c>
      <c r="T14" s="24">
        <v>3</v>
      </c>
      <c r="U14" s="24">
        <v>3</v>
      </c>
      <c r="V14" s="24">
        <v>2</v>
      </c>
      <c r="W14" s="24">
        <v>4</v>
      </c>
      <c r="X14" s="24">
        <v>3</v>
      </c>
      <c r="Y14" s="24">
        <v>4</v>
      </c>
      <c r="Z14" s="24">
        <v>4</v>
      </c>
      <c r="AA14" s="24">
        <v>4</v>
      </c>
      <c r="AB14" s="24">
        <v>4</v>
      </c>
      <c r="AC14" s="24">
        <v>3</v>
      </c>
      <c r="AD14" s="24">
        <v>2</v>
      </c>
      <c r="AE14" s="24">
        <v>3</v>
      </c>
      <c r="AF14" s="24">
        <v>3</v>
      </c>
      <c r="AG14" s="24">
        <v>3</v>
      </c>
      <c r="AH14" s="24">
        <v>3</v>
      </c>
      <c r="AI14" s="24">
        <v>3</v>
      </c>
      <c r="AJ14" s="24">
        <v>3</v>
      </c>
      <c r="AK14" s="24">
        <v>3</v>
      </c>
      <c r="AL14" s="24">
        <v>3</v>
      </c>
      <c r="AM14" s="23"/>
      <c r="AN14" s="23"/>
      <c r="AO14" s="22" t="s">
        <v>59</v>
      </c>
      <c r="AP14" s="22" t="s">
        <v>799</v>
      </c>
      <c r="AQ14" s="22" t="s">
        <v>800</v>
      </c>
      <c r="AR14" s="22" t="s">
        <v>801</v>
      </c>
    </row>
    <row r="15" spans="1:44" hidden="1">
      <c r="A15" s="22" t="s">
        <v>802</v>
      </c>
      <c r="B15" s="22" t="s">
        <v>768</v>
      </c>
      <c r="C15" s="22" t="s">
        <v>53</v>
      </c>
      <c r="D15" s="22" t="s">
        <v>98</v>
      </c>
      <c r="E15" s="22" t="s">
        <v>55</v>
      </c>
      <c r="F15" s="22" t="s">
        <v>136</v>
      </c>
      <c r="G15" s="22" t="s">
        <v>57</v>
      </c>
      <c r="H15" s="23"/>
      <c r="I15" s="23"/>
      <c r="J15" s="22">
        <v>3</v>
      </c>
      <c r="K15" s="22">
        <v>3</v>
      </c>
      <c r="L15" s="22">
        <v>3</v>
      </c>
      <c r="M15" s="23"/>
      <c r="N15" s="22" t="s">
        <v>58</v>
      </c>
      <c r="O15" s="23"/>
      <c r="P15" s="23"/>
      <c r="Q15" s="24">
        <v>3</v>
      </c>
      <c r="R15" s="24">
        <v>3</v>
      </c>
      <c r="S15" s="24">
        <v>3</v>
      </c>
      <c r="T15" s="24">
        <v>3</v>
      </c>
      <c r="U15" s="24">
        <v>3</v>
      </c>
      <c r="V15" s="24">
        <v>3</v>
      </c>
      <c r="W15" s="24">
        <v>3</v>
      </c>
      <c r="X15" s="24">
        <v>3</v>
      </c>
      <c r="Y15" s="24">
        <v>3</v>
      </c>
      <c r="Z15" s="24">
        <v>3</v>
      </c>
      <c r="AA15" s="24">
        <v>3</v>
      </c>
      <c r="AB15" s="24">
        <v>3</v>
      </c>
      <c r="AC15" s="24">
        <v>3</v>
      </c>
      <c r="AD15" s="24">
        <v>3</v>
      </c>
      <c r="AE15" s="24">
        <v>3</v>
      </c>
      <c r="AF15" s="24">
        <v>3</v>
      </c>
      <c r="AG15" s="24">
        <v>3</v>
      </c>
      <c r="AH15" s="24">
        <v>3</v>
      </c>
      <c r="AI15" s="24">
        <v>3</v>
      </c>
      <c r="AJ15" s="24">
        <v>3</v>
      </c>
      <c r="AK15" s="24">
        <v>3</v>
      </c>
      <c r="AL15" s="24">
        <v>3</v>
      </c>
      <c r="AM15" s="23"/>
      <c r="AN15" s="23"/>
      <c r="AO15" s="22" t="s">
        <v>74</v>
      </c>
      <c r="AP15" s="22" t="s">
        <v>146</v>
      </c>
      <c r="AQ15" s="22" t="s">
        <v>803</v>
      </c>
      <c r="AR15" s="22" t="s">
        <v>146</v>
      </c>
    </row>
    <row r="16" spans="1:44" hidden="1">
      <c r="A16" s="22" t="s">
        <v>804</v>
      </c>
      <c r="B16" s="22" t="s">
        <v>768</v>
      </c>
      <c r="C16" s="22" t="s">
        <v>95</v>
      </c>
      <c r="D16" s="22" t="s">
        <v>98</v>
      </c>
      <c r="E16" s="22" t="s">
        <v>55</v>
      </c>
      <c r="F16" s="22" t="s">
        <v>136</v>
      </c>
      <c r="G16" s="22" t="s">
        <v>96</v>
      </c>
      <c r="H16" s="23"/>
      <c r="I16" s="23"/>
      <c r="J16" s="22">
        <v>2</v>
      </c>
      <c r="K16" s="22">
        <v>1</v>
      </c>
      <c r="L16" s="22">
        <v>1</v>
      </c>
      <c r="M16" s="23"/>
      <c r="N16" s="22" t="s">
        <v>58</v>
      </c>
      <c r="O16" s="23"/>
      <c r="P16" s="23"/>
      <c r="Q16" s="24">
        <v>4</v>
      </c>
      <c r="R16" s="24">
        <v>3</v>
      </c>
      <c r="S16" s="24">
        <v>2</v>
      </c>
      <c r="T16" s="24">
        <v>3</v>
      </c>
      <c r="U16" s="24">
        <v>2</v>
      </c>
      <c r="V16" s="24">
        <v>2</v>
      </c>
      <c r="W16" s="24">
        <v>5</v>
      </c>
      <c r="X16" s="24">
        <v>5</v>
      </c>
      <c r="Y16" s="24">
        <v>5</v>
      </c>
      <c r="Z16" s="24">
        <v>5</v>
      </c>
      <c r="AA16" s="24">
        <v>5</v>
      </c>
      <c r="AB16" s="24">
        <v>5</v>
      </c>
      <c r="AC16" s="24">
        <v>5</v>
      </c>
      <c r="AD16" s="24">
        <v>4</v>
      </c>
      <c r="AE16" s="24">
        <v>4</v>
      </c>
      <c r="AF16" s="24">
        <v>4</v>
      </c>
      <c r="AG16" s="24">
        <v>2</v>
      </c>
      <c r="AH16" s="24">
        <v>2</v>
      </c>
      <c r="AI16" s="24">
        <v>2</v>
      </c>
      <c r="AJ16" s="24">
        <v>2</v>
      </c>
      <c r="AK16" s="24">
        <v>3</v>
      </c>
      <c r="AL16" s="24">
        <v>1</v>
      </c>
      <c r="AM16" s="23"/>
      <c r="AN16" s="23"/>
      <c r="AO16" s="22" t="s">
        <v>59</v>
      </c>
      <c r="AP16" s="22" t="s">
        <v>805</v>
      </c>
      <c r="AQ16" s="22" t="s">
        <v>806</v>
      </c>
      <c r="AR16" s="22" t="s">
        <v>807</v>
      </c>
    </row>
    <row r="17" spans="1:44" hidden="1">
      <c r="A17" s="22" t="s">
        <v>808</v>
      </c>
      <c r="B17" s="22" t="s">
        <v>768</v>
      </c>
      <c r="C17" s="22" t="s">
        <v>95</v>
      </c>
      <c r="D17" s="22" t="s">
        <v>64</v>
      </c>
      <c r="E17" s="22" t="s">
        <v>72</v>
      </c>
      <c r="F17" s="22" t="s">
        <v>65</v>
      </c>
      <c r="G17" s="22" t="s">
        <v>129</v>
      </c>
      <c r="H17" s="23"/>
      <c r="I17" s="23"/>
      <c r="J17" s="22">
        <v>3</v>
      </c>
      <c r="K17" s="22">
        <v>2</v>
      </c>
      <c r="L17" s="22">
        <v>2</v>
      </c>
      <c r="M17" s="23"/>
      <c r="N17" s="22" t="s">
        <v>58</v>
      </c>
      <c r="O17" s="23"/>
      <c r="P17" s="23"/>
      <c r="Q17" s="24">
        <v>3</v>
      </c>
      <c r="R17" s="24">
        <v>2</v>
      </c>
      <c r="S17" s="24">
        <v>3</v>
      </c>
      <c r="T17" s="24">
        <v>3</v>
      </c>
      <c r="U17" s="24">
        <v>3</v>
      </c>
      <c r="V17" s="24">
        <v>3</v>
      </c>
      <c r="W17" s="24">
        <v>3</v>
      </c>
      <c r="X17" s="24">
        <v>3</v>
      </c>
      <c r="Y17" s="24">
        <v>3</v>
      </c>
      <c r="Z17" s="24">
        <v>3</v>
      </c>
      <c r="AA17" s="24">
        <v>3</v>
      </c>
      <c r="AB17" s="24">
        <v>4</v>
      </c>
      <c r="AC17" s="24">
        <v>3</v>
      </c>
      <c r="AD17" s="24">
        <v>3</v>
      </c>
      <c r="AE17" s="24">
        <v>3</v>
      </c>
      <c r="AF17" s="24">
        <v>4</v>
      </c>
      <c r="AG17" s="24">
        <v>3</v>
      </c>
      <c r="AH17" s="24">
        <v>3</v>
      </c>
      <c r="AI17" s="24">
        <v>3</v>
      </c>
      <c r="AJ17" s="24">
        <v>3</v>
      </c>
      <c r="AK17" s="24">
        <v>3</v>
      </c>
      <c r="AL17" s="24">
        <v>3</v>
      </c>
      <c r="AM17" s="23"/>
      <c r="AN17" s="23"/>
      <c r="AO17" s="22" t="s">
        <v>59</v>
      </c>
      <c r="AP17" s="22" t="s">
        <v>146</v>
      </c>
      <c r="AQ17" s="22" t="s">
        <v>120</v>
      </c>
      <c r="AR17" s="22" t="s">
        <v>809</v>
      </c>
    </row>
    <row r="18" spans="1:44" hidden="1">
      <c r="A18" s="22" t="s">
        <v>810</v>
      </c>
      <c r="B18" s="22" t="s">
        <v>768</v>
      </c>
      <c r="C18" s="22" t="s">
        <v>95</v>
      </c>
      <c r="D18" s="22" t="s">
        <v>54</v>
      </c>
      <c r="E18" s="22" t="s">
        <v>55</v>
      </c>
      <c r="F18" s="22" t="s">
        <v>73</v>
      </c>
      <c r="G18" s="22" t="s">
        <v>129</v>
      </c>
      <c r="H18" s="23"/>
      <c r="I18" s="23"/>
      <c r="J18" s="22">
        <v>1</v>
      </c>
      <c r="K18" s="22">
        <v>1</v>
      </c>
      <c r="L18" s="22">
        <v>1</v>
      </c>
      <c r="M18" s="23"/>
      <c r="N18" s="22" t="s">
        <v>85</v>
      </c>
      <c r="O18" s="23"/>
      <c r="P18" s="23"/>
      <c r="Q18" s="24">
        <v>3</v>
      </c>
      <c r="R18" s="24">
        <v>1</v>
      </c>
      <c r="S18" s="24">
        <v>1</v>
      </c>
      <c r="T18" s="24">
        <v>1</v>
      </c>
      <c r="U18" s="24">
        <v>1</v>
      </c>
      <c r="V18" s="24">
        <v>1</v>
      </c>
      <c r="W18" s="24">
        <v>1</v>
      </c>
      <c r="X18" s="24">
        <v>1</v>
      </c>
      <c r="Y18" s="24">
        <v>1</v>
      </c>
      <c r="Z18" s="24">
        <v>1</v>
      </c>
      <c r="AA18" s="24">
        <v>3</v>
      </c>
      <c r="AB18" s="24">
        <v>3</v>
      </c>
      <c r="AC18" s="24">
        <v>3</v>
      </c>
      <c r="AD18" s="24">
        <v>3</v>
      </c>
      <c r="AE18" s="24">
        <v>3</v>
      </c>
      <c r="AF18" s="24">
        <v>2</v>
      </c>
      <c r="AG18" s="24">
        <v>1</v>
      </c>
      <c r="AH18" s="24">
        <v>3</v>
      </c>
      <c r="AI18" s="24">
        <v>2</v>
      </c>
      <c r="AJ18" s="24">
        <v>2</v>
      </c>
      <c r="AK18" s="24">
        <v>2</v>
      </c>
      <c r="AL18" s="24">
        <v>2</v>
      </c>
      <c r="AM18" s="23"/>
      <c r="AN18" s="23"/>
      <c r="AO18" s="22" t="s">
        <v>59</v>
      </c>
      <c r="AP18" s="22" t="s">
        <v>811</v>
      </c>
      <c r="AQ18" s="22" t="s">
        <v>812</v>
      </c>
      <c r="AR18" s="22" t="s">
        <v>92</v>
      </c>
    </row>
    <row r="19" spans="1:44" hidden="1">
      <c r="A19" s="22" t="s">
        <v>813</v>
      </c>
      <c r="B19" s="22" t="s">
        <v>768</v>
      </c>
      <c r="C19" s="22" t="s">
        <v>95</v>
      </c>
      <c r="D19" s="22" t="s">
        <v>54</v>
      </c>
      <c r="E19" s="22" t="s">
        <v>72</v>
      </c>
      <c r="F19" s="22" t="s">
        <v>56</v>
      </c>
      <c r="G19" s="22" t="s">
        <v>80</v>
      </c>
      <c r="H19" s="23"/>
      <c r="I19" s="23"/>
      <c r="J19" s="22">
        <v>3</v>
      </c>
      <c r="K19" s="22">
        <v>3</v>
      </c>
      <c r="L19" s="22">
        <v>2</v>
      </c>
      <c r="M19" s="23"/>
      <c r="N19" s="22" t="s">
        <v>58</v>
      </c>
      <c r="O19" s="23"/>
      <c r="P19" s="23"/>
      <c r="Q19" s="24">
        <v>3</v>
      </c>
      <c r="R19" s="24">
        <v>3</v>
      </c>
      <c r="S19" s="24">
        <v>3</v>
      </c>
      <c r="T19" s="24">
        <v>3</v>
      </c>
      <c r="U19" s="24">
        <v>3</v>
      </c>
      <c r="V19" s="24">
        <v>3</v>
      </c>
      <c r="W19" s="24">
        <v>5</v>
      </c>
      <c r="X19" s="24">
        <v>5</v>
      </c>
      <c r="Y19" s="24">
        <v>5</v>
      </c>
      <c r="Z19" s="24">
        <v>5</v>
      </c>
      <c r="AA19" s="24">
        <v>3</v>
      </c>
      <c r="AB19" s="24">
        <v>3</v>
      </c>
      <c r="AC19" s="24">
        <v>3</v>
      </c>
      <c r="AD19" s="24">
        <v>3</v>
      </c>
      <c r="AE19" s="24">
        <v>3</v>
      </c>
      <c r="AF19" s="24">
        <v>3</v>
      </c>
      <c r="AG19" s="24">
        <v>3</v>
      </c>
      <c r="AH19" s="24">
        <v>3</v>
      </c>
      <c r="AI19" s="24">
        <v>3</v>
      </c>
      <c r="AJ19" s="24">
        <v>3</v>
      </c>
      <c r="AK19" s="24">
        <v>3</v>
      </c>
      <c r="AL19" s="24">
        <v>3</v>
      </c>
      <c r="AM19" s="23"/>
      <c r="AN19" s="23"/>
      <c r="AO19" s="22" t="s">
        <v>74</v>
      </c>
      <c r="AP19" s="22" t="s">
        <v>814</v>
      </c>
      <c r="AQ19" s="22" t="s">
        <v>815</v>
      </c>
      <c r="AR19" s="22" t="s">
        <v>816</v>
      </c>
    </row>
    <row r="20" spans="1:44" hidden="1">
      <c r="A20" s="22" t="s">
        <v>817</v>
      </c>
      <c r="B20" s="22" t="s">
        <v>768</v>
      </c>
      <c r="C20" s="22" t="s">
        <v>95</v>
      </c>
      <c r="D20" s="22" t="s">
        <v>64</v>
      </c>
      <c r="E20" s="22" t="s">
        <v>72</v>
      </c>
      <c r="F20" s="22" t="s">
        <v>56</v>
      </c>
      <c r="G20" s="22" t="s">
        <v>80</v>
      </c>
      <c r="H20" s="23"/>
      <c r="I20" s="23"/>
      <c r="J20" s="22">
        <v>2</v>
      </c>
      <c r="K20" s="22">
        <v>2</v>
      </c>
      <c r="L20" s="22">
        <v>1</v>
      </c>
      <c r="M20" s="23"/>
      <c r="N20" s="22" t="s">
        <v>58</v>
      </c>
      <c r="O20" s="23"/>
      <c r="P20" s="23"/>
      <c r="Q20" s="24">
        <v>3</v>
      </c>
      <c r="R20" s="24">
        <v>2</v>
      </c>
      <c r="S20" s="24">
        <v>2</v>
      </c>
      <c r="T20" s="24">
        <v>2</v>
      </c>
      <c r="U20" s="24">
        <v>3</v>
      </c>
      <c r="V20" s="24">
        <v>3</v>
      </c>
      <c r="W20" s="24">
        <v>2</v>
      </c>
      <c r="X20" s="24">
        <v>3</v>
      </c>
      <c r="Y20" s="24">
        <v>3</v>
      </c>
      <c r="Z20" s="24">
        <v>3</v>
      </c>
      <c r="AA20" s="24">
        <v>3</v>
      </c>
      <c r="AB20" s="24">
        <v>3</v>
      </c>
      <c r="AC20" s="24">
        <v>3</v>
      </c>
      <c r="AD20" s="24">
        <v>3</v>
      </c>
      <c r="AE20" s="24">
        <v>3</v>
      </c>
      <c r="AF20" s="24">
        <v>3</v>
      </c>
      <c r="AG20" s="24">
        <v>3</v>
      </c>
      <c r="AH20" s="24">
        <v>3</v>
      </c>
      <c r="AI20" s="24">
        <v>3</v>
      </c>
      <c r="AJ20" s="24">
        <v>2</v>
      </c>
      <c r="AK20" s="24">
        <v>3</v>
      </c>
      <c r="AL20" s="24">
        <v>2</v>
      </c>
      <c r="AM20" s="23"/>
      <c r="AN20" s="23"/>
      <c r="AO20" s="22" t="s">
        <v>74</v>
      </c>
      <c r="AP20" s="22" t="s">
        <v>818</v>
      </c>
      <c r="AQ20" s="22" t="s">
        <v>818</v>
      </c>
      <c r="AR20" s="22" t="s">
        <v>818</v>
      </c>
    </row>
    <row r="21" spans="1:44" hidden="1">
      <c r="A21" s="22" t="s">
        <v>819</v>
      </c>
      <c r="B21" s="22" t="s">
        <v>768</v>
      </c>
      <c r="C21" s="22" t="s">
        <v>95</v>
      </c>
      <c r="D21" s="22" t="s">
        <v>98</v>
      </c>
      <c r="E21" s="22" t="s">
        <v>55</v>
      </c>
      <c r="F21" s="22" t="s">
        <v>136</v>
      </c>
      <c r="G21" s="22" t="s">
        <v>57</v>
      </c>
      <c r="H21" s="23"/>
      <c r="I21" s="23"/>
      <c r="J21" s="22">
        <v>4</v>
      </c>
      <c r="K21" s="22">
        <v>3</v>
      </c>
      <c r="L21" s="22">
        <v>1</v>
      </c>
      <c r="M21" s="23"/>
      <c r="N21" s="22" t="s">
        <v>66</v>
      </c>
      <c r="O21" s="23"/>
      <c r="P21" s="23"/>
      <c r="Q21" s="24">
        <v>3</v>
      </c>
      <c r="R21" s="24">
        <v>2</v>
      </c>
      <c r="S21" s="24">
        <v>4</v>
      </c>
      <c r="T21" s="24">
        <v>3</v>
      </c>
      <c r="U21" s="24">
        <v>3</v>
      </c>
      <c r="V21" s="24">
        <v>3</v>
      </c>
      <c r="W21" s="24">
        <v>4</v>
      </c>
      <c r="X21" s="24">
        <v>3</v>
      </c>
      <c r="Y21" s="24">
        <v>3</v>
      </c>
      <c r="Z21" s="24">
        <v>3</v>
      </c>
      <c r="AA21" s="24">
        <v>3</v>
      </c>
      <c r="AB21" s="24">
        <v>3</v>
      </c>
      <c r="AC21" s="24">
        <v>4</v>
      </c>
      <c r="AD21" s="24">
        <v>4</v>
      </c>
      <c r="AE21" s="24">
        <v>3</v>
      </c>
      <c r="AF21" s="24">
        <v>3</v>
      </c>
      <c r="AG21" s="24">
        <v>3</v>
      </c>
      <c r="AH21" s="24">
        <v>3</v>
      </c>
      <c r="AI21" s="24">
        <v>3</v>
      </c>
      <c r="AJ21" s="24">
        <v>3</v>
      </c>
      <c r="AK21" s="24">
        <v>3</v>
      </c>
      <c r="AL21" s="24">
        <v>2</v>
      </c>
      <c r="AM21" s="23"/>
      <c r="AN21" s="23"/>
      <c r="AO21" s="22" t="s">
        <v>74</v>
      </c>
      <c r="AP21" s="22" t="s">
        <v>820</v>
      </c>
      <c r="AQ21" s="22" t="s">
        <v>821</v>
      </c>
      <c r="AR21" s="22" t="s">
        <v>822</v>
      </c>
    </row>
    <row r="22" spans="1:44" hidden="1">
      <c r="A22" s="22" t="s">
        <v>823</v>
      </c>
      <c r="B22" s="22" t="s">
        <v>768</v>
      </c>
      <c r="C22" s="22" t="s">
        <v>95</v>
      </c>
      <c r="D22" s="22" t="s">
        <v>71</v>
      </c>
      <c r="E22" s="22" t="s">
        <v>72</v>
      </c>
      <c r="F22" s="22" t="s">
        <v>56</v>
      </c>
      <c r="G22" s="22" t="s">
        <v>96</v>
      </c>
      <c r="H22" s="23"/>
      <c r="I22" s="23"/>
      <c r="J22" s="22">
        <v>1</v>
      </c>
      <c r="K22" s="22">
        <v>1</v>
      </c>
      <c r="L22" s="22">
        <v>1</v>
      </c>
      <c r="M22" s="23"/>
      <c r="N22" s="22" t="s">
        <v>66</v>
      </c>
      <c r="O22" s="23"/>
      <c r="P22" s="23"/>
      <c r="Q22" s="24">
        <v>3</v>
      </c>
      <c r="R22" s="24">
        <v>3</v>
      </c>
      <c r="S22" s="24">
        <v>3</v>
      </c>
      <c r="T22" s="24">
        <v>3</v>
      </c>
      <c r="U22" s="24">
        <v>3</v>
      </c>
      <c r="V22" s="24">
        <v>2</v>
      </c>
      <c r="W22" s="24">
        <v>4</v>
      </c>
      <c r="X22" s="24">
        <v>4</v>
      </c>
      <c r="Y22" s="24">
        <v>4</v>
      </c>
      <c r="Z22" s="24">
        <v>4</v>
      </c>
      <c r="AA22" s="24">
        <v>4</v>
      </c>
      <c r="AB22" s="24">
        <v>4</v>
      </c>
      <c r="AC22" s="24">
        <v>4</v>
      </c>
      <c r="AD22" s="24">
        <v>3</v>
      </c>
      <c r="AE22" s="24">
        <v>3</v>
      </c>
      <c r="AF22" s="24">
        <v>3</v>
      </c>
      <c r="AG22" s="24">
        <v>3</v>
      </c>
      <c r="AH22" s="24">
        <v>4</v>
      </c>
      <c r="AI22" s="24">
        <v>3</v>
      </c>
      <c r="AJ22" s="24">
        <v>3</v>
      </c>
      <c r="AK22" s="24">
        <v>5</v>
      </c>
      <c r="AL22" s="24">
        <v>3</v>
      </c>
      <c r="AM22" s="23"/>
      <c r="AN22" s="23"/>
      <c r="AO22" s="22" t="s">
        <v>59</v>
      </c>
      <c r="AP22" s="22" t="s">
        <v>824</v>
      </c>
      <c r="AQ22" s="22" t="s">
        <v>825</v>
      </c>
      <c r="AR22" s="22" t="s">
        <v>826</v>
      </c>
    </row>
    <row r="23" spans="1:44" hidden="1">
      <c r="A23" s="22" t="s">
        <v>827</v>
      </c>
      <c r="B23" s="22" t="s">
        <v>768</v>
      </c>
      <c r="C23" s="22" t="s">
        <v>95</v>
      </c>
      <c r="D23" s="22" t="s">
        <v>54</v>
      </c>
      <c r="E23" s="22" t="s">
        <v>55</v>
      </c>
      <c r="F23" s="22" t="s">
        <v>56</v>
      </c>
      <c r="G23" s="22" t="s">
        <v>57</v>
      </c>
      <c r="H23" s="23"/>
      <c r="I23" s="23"/>
      <c r="J23" s="22">
        <v>4</v>
      </c>
      <c r="K23" s="22">
        <v>4</v>
      </c>
      <c r="L23" s="22">
        <v>2</v>
      </c>
      <c r="M23" s="23"/>
      <c r="N23" s="22" t="s">
        <v>58</v>
      </c>
      <c r="O23" s="23"/>
      <c r="P23" s="23"/>
      <c r="Q23" s="24">
        <v>3</v>
      </c>
      <c r="R23" s="24">
        <v>3</v>
      </c>
      <c r="S23" s="24">
        <v>3</v>
      </c>
      <c r="T23" s="24">
        <v>3</v>
      </c>
      <c r="U23" s="24">
        <v>4</v>
      </c>
      <c r="V23" s="24">
        <v>4</v>
      </c>
      <c r="W23" s="24">
        <v>4</v>
      </c>
      <c r="X23" s="24">
        <v>4</v>
      </c>
      <c r="Y23" s="24">
        <v>3</v>
      </c>
      <c r="Z23" s="24">
        <v>4</v>
      </c>
      <c r="AA23" s="24">
        <v>4</v>
      </c>
      <c r="AB23" s="24">
        <v>4</v>
      </c>
      <c r="AC23" s="24">
        <v>4</v>
      </c>
      <c r="AD23" s="24">
        <v>4</v>
      </c>
      <c r="AE23" s="24">
        <v>4</v>
      </c>
      <c r="AF23" s="24">
        <v>4</v>
      </c>
      <c r="AG23" s="24">
        <v>4</v>
      </c>
      <c r="AH23" s="24">
        <v>4</v>
      </c>
      <c r="AI23" s="24">
        <v>3</v>
      </c>
      <c r="AJ23" s="24">
        <v>3</v>
      </c>
      <c r="AK23" s="24">
        <v>3</v>
      </c>
      <c r="AL23" s="24">
        <v>3</v>
      </c>
      <c r="AM23" s="23"/>
      <c r="AN23" s="23"/>
      <c r="AO23" s="22" t="s">
        <v>74</v>
      </c>
      <c r="AP23" s="22" t="s">
        <v>828</v>
      </c>
      <c r="AQ23" s="22" t="s">
        <v>829</v>
      </c>
      <c r="AR23" s="22" t="s">
        <v>830</v>
      </c>
    </row>
    <row r="24" spans="1:44" hidden="1">
      <c r="A24" s="22" t="s">
        <v>831</v>
      </c>
      <c r="B24" s="22" t="s">
        <v>768</v>
      </c>
      <c r="C24" s="22" t="s">
        <v>95</v>
      </c>
      <c r="D24" s="22" t="s">
        <v>71</v>
      </c>
      <c r="E24" s="22" t="s">
        <v>72</v>
      </c>
      <c r="F24" s="22" t="s">
        <v>56</v>
      </c>
      <c r="G24" s="22" t="s">
        <v>80</v>
      </c>
      <c r="H24" s="23"/>
      <c r="I24" s="23"/>
      <c r="J24" s="22">
        <v>2</v>
      </c>
      <c r="K24" s="22">
        <v>2</v>
      </c>
      <c r="L24" s="22">
        <v>2</v>
      </c>
      <c r="M24" s="23"/>
      <c r="N24" s="22" t="s">
        <v>58</v>
      </c>
      <c r="O24" s="23"/>
      <c r="P24" s="23"/>
      <c r="Q24" s="24">
        <v>3</v>
      </c>
      <c r="R24" s="24">
        <v>3</v>
      </c>
      <c r="S24" s="24">
        <v>2</v>
      </c>
      <c r="T24" s="24">
        <v>2</v>
      </c>
      <c r="U24" s="24">
        <v>2</v>
      </c>
      <c r="V24" s="24">
        <v>2</v>
      </c>
      <c r="W24" s="24">
        <v>3</v>
      </c>
      <c r="X24" s="24">
        <v>3</v>
      </c>
      <c r="Y24" s="24">
        <v>3</v>
      </c>
      <c r="Z24" s="24">
        <v>3</v>
      </c>
      <c r="AA24" s="24">
        <v>3</v>
      </c>
      <c r="AB24" s="24">
        <v>4</v>
      </c>
      <c r="AC24" s="24">
        <v>3</v>
      </c>
      <c r="AD24" s="24">
        <v>3</v>
      </c>
      <c r="AE24" s="24">
        <v>3</v>
      </c>
      <c r="AF24" s="24">
        <v>3</v>
      </c>
      <c r="AG24" s="24">
        <v>3</v>
      </c>
      <c r="AH24" s="24">
        <v>3</v>
      </c>
      <c r="AI24" s="24">
        <v>2</v>
      </c>
      <c r="AJ24" s="24">
        <v>3</v>
      </c>
      <c r="AK24" s="24">
        <v>2</v>
      </c>
      <c r="AL24" s="24">
        <v>2</v>
      </c>
      <c r="AM24" s="23"/>
      <c r="AN24" s="23"/>
      <c r="AO24" s="22" t="s">
        <v>59</v>
      </c>
      <c r="AP24" s="22" t="s">
        <v>832</v>
      </c>
      <c r="AQ24" s="22" t="s">
        <v>833</v>
      </c>
      <c r="AR24" s="22" t="s">
        <v>834</v>
      </c>
    </row>
    <row r="25" spans="1:44" hidden="1">
      <c r="A25" s="22" t="s">
        <v>835</v>
      </c>
      <c r="B25" s="22" t="s">
        <v>768</v>
      </c>
      <c r="C25" s="22" t="s">
        <v>95</v>
      </c>
      <c r="D25" s="22" t="s">
        <v>98</v>
      </c>
      <c r="E25" s="22" t="s">
        <v>55</v>
      </c>
      <c r="F25" s="22" t="s">
        <v>65</v>
      </c>
      <c r="G25" s="22" t="s">
        <v>57</v>
      </c>
      <c r="H25" s="23"/>
      <c r="I25" s="23"/>
      <c r="J25" s="22">
        <v>5</v>
      </c>
      <c r="K25" s="22">
        <v>1</v>
      </c>
      <c r="L25" s="22">
        <v>2</v>
      </c>
      <c r="M25" s="23"/>
      <c r="N25" s="22" t="s">
        <v>58</v>
      </c>
      <c r="O25" s="23"/>
      <c r="P25" s="23"/>
      <c r="Q25" s="24">
        <v>4</v>
      </c>
      <c r="R25" s="24">
        <v>3</v>
      </c>
      <c r="S25" s="24">
        <v>4</v>
      </c>
      <c r="T25" s="24">
        <v>4</v>
      </c>
      <c r="U25" s="24">
        <v>5</v>
      </c>
      <c r="V25" s="24">
        <v>5</v>
      </c>
      <c r="W25" s="24">
        <v>5</v>
      </c>
      <c r="X25" s="24">
        <v>4</v>
      </c>
      <c r="Y25" s="24">
        <v>5</v>
      </c>
      <c r="Z25" s="24">
        <v>5</v>
      </c>
      <c r="AA25" s="24">
        <v>4</v>
      </c>
      <c r="AB25" s="24">
        <v>4</v>
      </c>
      <c r="AC25" s="24">
        <v>5</v>
      </c>
      <c r="AD25" s="24">
        <v>5</v>
      </c>
      <c r="AE25" s="24">
        <v>5</v>
      </c>
      <c r="AF25" s="24">
        <v>5</v>
      </c>
      <c r="AG25" s="24">
        <v>5</v>
      </c>
      <c r="AH25" s="24">
        <v>5</v>
      </c>
      <c r="AI25" s="24">
        <v>3</v>
      </c>
      <c r="AJ25" s="24">
        <v>5</v>
      </c>
      <c r="AK25" s="24">
        <v>5</v>
      </c>
      <c r="AL25" s="24">
        <v>3</v>
      </c>
      <c r="AM25" s="23"/>
      <c r="AN25" s="23"/>
      <c r="AO25" s="22" t="s">
        <v>74</v>
      </c>
      <c r="AP25" s="22" t="s">
        <v>92</v>
      </c>
      <c r="AQ25" s="22" t="s">
        <v>92</v>
      </c>
      <c r="AR25" s="22" t="s">
        <v>92</v>
      </c>
    </row>
    <row r="26" spans="1:44" hidden="1">
      <c r="A26" s="22" t="s">
        <v>836</v>
      </c>
      <c r="B26" s="22" t="s">
        <v>768</v>
      </c>
      <c r="C26" s="22" t="s">
        <v>53</v>
      </c>
      <c r="D26" s="22" t="s">
        <v>64</v>
      </c>
      <c r="E26" s="22" t="s">
        <v>55</v>
      </c>
      <c r="F26" s="22" t="s">
        <v>65</v>
      </c>
      <c r="G26" s="22" t="s">
        <v>80</v>
      </c>
      <c r="H26" s="23"/>
      <c r="I26" s="23"/>
      <c r="J26" s="22">
        <v>3</v>
      </c>
      <c r="K26" s="22">
        <v>3</v>
      </c>
      <c r="L26" s="22">
        <v>3</v>
      </c>
      <c r="M26" s="23"/>
      <c r="N26" s="22" t="s">
        <v>66</v>
      </c>
      <c r="O26" s="23"/>
      <c r="P26" s="23"/>
      <c r="Q26" s="24">
        <v>3</v>
      </c>
      <c r="R26" s="24">
        <v>3</v>
      </c>
      <c r="S26" s="24">
        <v>3</v>
      </c>
      <c r="T26" s="24">
        <v>3</v>
      </c>
      <c r="U26" s="24">
        <v>3</v>
      </c>
      <c r="V26" s="24">
        <v>3</v>
      </c>
      <c r="W26" s="24">
        <v>3</v>
      </c>
      <c r="X26" s="24">
        <v>3</v>
      </c>
      <c r="Y26" s="24">
        <v>3</v>
      </c>
      <c r="Z26" s="24">
        <v>3</v>
      </c>
      <c r="AA26" s="24">
        <v>4</v>
      </c>
      <c r="AB26" s="24">
        <v>3</v>
      </c>
      <c r="AC26" s="24">
        <v>3</v>
      </c>
      <c r="AD26" s="24">
        <v>3</v>
      </c>
      <c r="AE26" s="24">
        <v>3</v>
      </c>
      <c r="AF26" s="24">
        <v>3</v>
      </c>
      <c r="AG26" s="24">
        <v>3</v>
      </c>
      <c r="AH26" s="24">
        <v>3</v>
      </c>
      <c r="AI26" s="24">
        <v>3</v>
      </c>
      <c r="AJ26" s="24">
        <v>3</v>
      </c>
      <c r="AK26" s="24">
        <v>3</v>
      </c>
      <c r="AL26" s="24">
        <v>3</v>
      </c>
      <c r="AM26" s="23"/>
      <c r="AN26" s="23"/>
      <c r="AO26" s="22" t="s">
        <v>59</v>
      </c>
      <c r="AP26" s="22" t="s">
        <v>59</v>
      </c>
      <c r="AQ26" s="22" t="s">
        <v>59</v>
      </c>
      <c r="AR26" s="22" t="s">
        <v>837</v>
      </c>
    </row>
    <row r="27" spans="1:44" hidden="1">
      <c r="A27" s="22" t="s">
        <v>838</v>
      </c>
      <c r="B27" s="22" t="s">
        <v>768</v>
      </c>
      <c r="C27" s="22" t="s">
        <v>53</v>
      </c>
      <c r="D27" s="22" t="s">
        <v>64</v>
      </c>
      <c r="E27" s="22" t="s">
        <v>55</v>
      </c>
      <c r="F27" s="22" t="s">
        <v>65</v>
      </c>
      <c r="G27" s="22" t="s">
        <v>80</v>
      </c>
      <c r="H27" s="23"/>
      <c r="I27" s="23"/>
      <c r="J27" s="22">
        <v>4</v>
      </c>
      <c r="K27" s="22">
        <v>2</v>
      </c>
      <c r="L27" s="22">
        <v>2</v>
      </c>
      <c r="M27" s="23"/>
      <c r="N27" s="22" t="s">
        <v>58</v>
      </c>
      <c r="O27" s="23"/>
      <c r="P27" s="23"/>
      <c r="Q27" s="24">
        <v>4</v>
      </c>
      <c r="R27" s="24">
        <v>3</v>
      </c>
      <c r="S27" s="24">
        <v>4</v>
      </c>
      <c r="T27" s="24">
        <v>2</v>
      </c>
      <c r="U27" s="24">
        <v>4</v>
      </c>
      <c r="V27" s="24">
        <v>4</v>
      </c>
      <c r="W27" s="24">
        <v>4</v>
      </c>
      <c r="X27" s="24">
        <v>2</v>
      </c>
      <c r="Y27" s="24">
        <v>4</v>
      </c>
      <c r="Z27" s="24">
        <v>4</v>
      </c>
      <c r="AA27" s="24">
        <v>4</v>
      </c>
      <c r="AB27" s="24">
        <v>4</v>
      </c>
      <c r="AC27" s="24">
        <v>4</v>
      </c>
      <c r="AD27" s="24">
        <v>4</v>
      </c>
      <c r="AE27" s="24">
        <v>3</v>
      </c>
      <c r="AF27" s="24">
        <v>4</v>
      </c>
      <c r="AG27" s="24">
        <v>3</v>
      </c>
      <c r="AH27" s="24">
        <v>4</v>
      </c>
      <c r="AI27" s="24">
        <v>4</v>
      </c>
      <c r="AJ27" s="24">
        <v>4</v>
      </c>
      <c r="AK27" s="24">
        <v>3</v>
      </c>
      <c r="AL27" s="24">
        <v>3</v>
      </c>
      <c r="AM27" s="23"/>
      <c r="AN27" s="23"/>
      <c r="AO27" s="22" t="s">
        <v>59</v>
      </c>
      <c r="AP27" s="22" t="s">
        <v>839</v>
      </c>
      <c r="AQ27" s="22" t="s">
        <v>840</v>
      </c>
      <c r="AR27" s="22" t="s">
        <v>841</v>
      </c>
    </row>
    <row r="28" spans="1:44" hidden="1">
      <c r="A28" s="22" t="s">
        <v>842</v>
      </c>
      <c r="B28" s="22" t="s">
        <v>768</v>
      </c>
      <c r="C28" s="22" t="s">
        <v>90</v>
      </c>
      <c r="D28" s="22" t="s">
        <v>64</v>
      </c>
      <c r="E28" s="22" t="s">
        <v>55</v>
      </c>
      <c r="F28" s="22" t="s">
        <v>56</v>
      </c>
      <c r="G28" s="22" t="s">
        <v>80</v>
      </c>
      <c r="H28" s="23"/>
      <c r="I28" s="23"/>
      <c r="J28" s="22">
        <v>1</v>
      </c>
      <c r="K28" s="22">
        <v>1</v>
      </c>
      <c r="L28" s="22">
        <v>1</v>
      </c>
      <c r="M28" s="23"/>
      <c r="N28" s="22" t="s">
        <v>58</v>
      </c>
      <c r="O28" s="23"/>
      <c r="P28" s="23"/>
      <c r="Q28" s="24">
        <v>3</v>
      </c>
      <c r="R28" s="24">
        <v>3</v>
      </c>
      <c r="S28" s="24">
        <v>2</v>
      </c>
      <c r="T28" s="24">
        <v>3</v>
      </c>
      <c r="U28" s="24">
        <v>3</v>
      </c>
      <c r="V28" s="24">
        <v>1</v>
      </c>
      <c r="W28" s="24">
        <v>5</v>
      </c>
      <c r="X28" s="24">
        <v>2</v>
      </c>
      <c r="Y28" s="24">
        <v>3</v>
      </c>
      <c r="Z28" s="24">
        <v>3</v>
      </c>
      <c r="AA28" s="24">
        <v>3</v>
      </c>
      <c r="AB28" s="24">
        <v>3</v>
      </c>
      <c r="AC28" s="24">
        <v>5</v>
      </c>
      <c r="AD28" s="24">
        <v>5</v>
      </c>
      <c r="AE28" s="24">
        <v>5</v>
      </c>
      <c r="AF28" s="24">
        <v>5</v>
      </c>
      <c r="AG28" s="24">
        <v>5</v>
      </c>
      <c r="AH28" s="24">
        <v>5</v>
      </c>
      <c r="AI28" s="24">
        <v>1</v>
      </c>
      <c r="AJ28" s="24">
        <v>1</v>
      </c>
      <c r="AK28" s="24">
        <v>1</v>
      </c>
      <c r="AL28" s="24">
        <v>1</v>
      </c>
      <c r="AM28" s="23"/>
      <c r="AN28" s="23"/>
      <c r="AO28" s="22" t="s">
        <v>59</v>
      </c>
      <c r="AP28" s="22" t="s">
        <v>843</v>
      </c>
      <c r="AQ28" s="22" t="s">
        <v>844</v>
      </c>
      <c r="AR28" s="22" t="s">
        <v>137</v>
      </c>
    </row>
    <row r="29" spans="1:44" hidden="1">
      <c r="A29" s="22" t="s">
        <v>845</v>
      </c>
      <c r="B29" s="22" t="s">
        <v>768</v>
      </c>
      <c r="C29" s="22" t="s">
        <v>90</v>
      </c>
      <c r="D29" s="22" t="s">
        <v>64</v>
      </c>
      <c r="E29" s="22" t="s">
        <v>55</v>
      </c>
      <c r="F29" s="22" t="s">
        <v>65</v>
      </c>
      <c r="G29" s="22" t="s">
        <v>80</v>
      </c>
      <c r="H29" s="23"/>
      <c r="I29" s="23"/>
      <c r="J29" s="22">
        <v>3</v>
      </c>
      <c r="K29" s="22">
        <v>3</v>
      </c>
      <c r="L29" s="22">
        <v>3</v>
      </c>
      <c r="M29" s="23"/>
      <c r="N29" s="22" t="s">
        <v>85</v>
      </c>
      <c r="O29" s="23"/>
      <c r="P29" s="23"/>
      <c r="Q29" s="24">
        <v>3</v>
      </c>
      <c r="R29" s="24">
        <v>3</v>
      </c>
      <c r="S29" s="24">
        <v>3</v>
      </c>
      <c r="T29" s="24">
        <v>3</v>
      </c>
      <c r="U29" s="24">
        <v>3</v>
      </c>
      <c r="V29" s="24">
        <v>3</v>
      </c>
      <c r="W29" s="24">
        <v>3</v>
      </c>
      <c r="X29" s="24">
        <v>3</v>
      </c>
      <c r="Y29" s="24">
        <v>3</v>
      </c>
      <c r="Z29" s="24">
        <v>3</v>
      </c>
      <c r="AA29" s="24">
        <v>3</v>
      </c>
      <c r="AB29" s="24">
        <v>3</v>
      </c>
      <c r="AC29" s="24">
        <v>3</v>
      </c>
      <c r="AD29" s="24">
        <v>3</v>
      </c>
      <c r="AE29" s="24">
        <v>3</v>
      </c>
      <c r="AF29" s="24">
        <v>3</v>
      </c>
      <c r="AG29" s="24">
        <v>3</v>
      </c>
      <c r="AH29" s="24">
        <v>3</v>
      </c>
      <c r="AI29" s="24">
        <v>3</v>
      </c>
      <c r="AJ29" s="24">
        <v>3</v>
      </c>
      <c r="AK29" s="24">
        <v>3</v>
      </c>
      <c r="AL29" s="24">
        <v>3</v>
      </c>
      <c r="AM29" s="23"/>
      <c r="AN29" s="23"/>
      <c r="AO29" s="22" t="s">
        <v>74</v>
      </c>
      <c r="AP29" s="22" t="s">
        <v>146</v>
      </c>
      <c r="AQ29" s="22" t="s">
        <v>527</v>
      </c>
      <c r="AR29" s="22" t="s">
        <v>146</v>
      </c>
    </row>
    <row r="30" spans="1:44" hidden="1">
      <c r="A30" s="22" t="s">
        <v>846</v>
      </c>
      <c r="B30" s="22" t="s">
        <v>768</v>
      </c>
      <c r="C30" s="22" t="s">
        <v>79</v>
      </c>
      <c r="D30" s="22" t="s">
        <v>98</v>
      </c>
      <c r="E30" s="22" t="s">
        <v>55</v>
      </c>
      <c r="F30" s="22" t="s">
        <v>136</v>
      </c>
      <c r="G30" s="22" t="s">
        <v>57</v>
      </c>
      <c r="H30" s="23"/>
      <c r="I30" s="23"/>
      <c r="J30" s="22">
        <v>4</v>
      </c>
      <c r="K30" s="22">
        <v>5</v>
      </c>
      <c r="L30" s="22">
        <v>3</v>
      </c>
      <c r="M30" s="23"/>
      <c r="N30" s="22" t="s">
        <v>58</v>
      </c>
      <c r="O30" s="23"/>
      <c r="P30" s="23"/>
      <c r="Q30" s="24">
        <v>2</v>
      </c>
      <c r="R30" s="24">
        <v>2</v>
      </c>
      <c r="S30" s="24">
        <v>4</v>
      </c>
      <c r="T30" s="24">
        <v>2</v>
      </c>
      <c r="U30" s="24">
        <v>4</v>
      </c>
      <c r="V30" s="24">
        <v>4</v>
      </c>
      <c r="W30" s="24">
        <v>4</v>
      </c>
      <c r="X30" s="24">
        <v>4</v>
      </c>
      <c r="Y30" s="24">
        <v>3</v>
      </c>
      <c r="Z30" s="24">
        <v>4</v>
      </c>
      <c r="AA30" s="24">
        <v>2</v>
      </c>
      <c r="AB30" s="24">
        <v>4</v>
      </c>
      <c r="AC30" s="24">
        <v>4</v>
      </c>
      <c r="AD30" s="24">
        <v>4</v>
      </c>
      <c r="AE30" s="24">
        <v>3</v>
      </c>
      <c r="AF30" s="24">
        <v>4</v>
      </c>
      <c r="AG30" s="24">
        <v>4</v>
      </c>
      <c r="AH30" s="24">
        <v>4</v>
      </c>
      <c r="AI30" s="24">
        <v>4</v>
      </c>
      <c r="AJ30" s="24">
        <v>3</v>
      </c>
      <c r="AK30" s="24">
        <v>4</v>
      </c>
      <c r="AL30" s="24">
        <v>4</v>
      </c>
      <c r="AM30" s="23"/>
      <c r="AN30" s="23"/>
      <c r="AO30" s="22" t="s">
        <v>59</v>
      </c>
      <c r="AP30" s="22" t="s">
        <v>847</v>
      </c>
      <c r="AQ30" s="22" t="s">
        <v>848</v>
      </c>
      <c r="AR30" s="22" t="s">
        <v>849</v>
      </c>
    </row>
    <row r="31" spans="1:44" hidden="1">
      <c r="A31" s="22" t="s">
        <v>850</v>
      </c>
      <c r="B31" s="22" t="s">
        <v>768</v>
      </c>
      <c r="C31" s="22" t="s">
        <v>95</v>
      </c>
      <c r="D31" s="22" t="s">
        <v>71</v>
      </c>
      <c r="E31" s="22" t="s">
        <v>72</v>
      </c>
      <c r="F31" s="22" t="s">
        <v>56</v>
      </c>
      <c r="G31" s="22" t="s">
        <v>80</v>
      </c>
      <c r="H31" s="23"/>
      <c r="I31" s="23"/>
      <c r="J31" s="22">
        <v>3</v>
      </c>
      <c r="K31" s="22">
        <v>2</v>
      </c>
      <c r="L31" s="22">
        <v>2</v>
      </c>
      <c r="M31" s="23"/>
      <c r="N31" s="22" t="s">
        <v>58</v>
      </c>
      <c r="O31" s="23"/>
      <c r="P31" s="23"/>
      <c r="Q31" s="24">
        <v>3</v>
      </c>
      <c r="R31" s="24">
        <v>2</v>
      </c>
      <c r="S31" s="24">
        <v>3</v>
      </c>
      <c r="T31" s="24">
        <v>2</v>
      </c>
      <c r="U31" s="24">
        <v>2</v>
      </c>
      <c r="V31" s="24">
        <v>3</v>
      </c>
      <c r="W31" s="24">
        <v>4</v>
      </c>
      <c r="X31" s="24">
        <v>3</v>
      </c>
      <c r="Y31" s="24">
        <v>2</v>
      </c>
      <c r="Z31" s="24">
        <v>3</v>
      </c>
      <c r="AA31" s="24">
        <v>4</v>
      </c>
      <c r="AB31" s="24">
        <v>4</v>
      </c>
      <c r="AC31" s="24">
        <v>4</v>
      </c>
      <c r="AD31" s="24">
        <v>4</v>
      </c>
      <c r="AE31" s="24">
        <v>2</v>
      </c>
      <c r="AF31" s="24">
        <v>4</v>
      </c>
      <c r="AG31" s="24">
        <v>3</v>
      </c>
      <c r="AH31" s="24">
        <v>2</v>
      </c>
      <c r="AI31" s="24">
        <v>2</v>
      </c>
      <c r="AJ31" s="24">
        <v>2</v>
      </c>
      <c r="AK31" s="24">
        <v>3</v>
      </c>
      <c r="AL31" s="24">
        <v>2</v>
      </c>
      <c r="AM31" s="23"/>
      <c r="AN31" s="23"/>
      <c r="AO31" s="22" t="s">
        <v>74</v>
      </c>
      <c r="AP31" s="22" t="s">
        <v>851</v>
      </c>
      <c r="AQ31" s="22" t="s">
        <v>643</v>
      </c>
      <c r="AR31" s="22" t="s">
        <v>643</v>
      </c>
    </row>
    <row r="32" spans="1:44" hidden="1">
      <c r="A32" s="22" t="s">
        <v>852</v>
      </c>
      <c r="B32" s="22" t="s">
        <v>768</v>
      </c>
      <c r="C32" s="22" t="s">
        <v>95</v>
      </c>
      <c r="D32" s="22" t="s">
        <v>98</v>
      </c>
      <c r="E32" s="22" t="s">
        <v>55</v>
      </c>
      <c r="F32" s="22" t="s">
        <v>65</v>
      </c>
      <c r="G32" s="22" t="s">
        <v>80</v>
      </c>
      <c r="H32" s="23"/>
      <c r="I32" s="23"/>
      <c r="J32" s="22">
        <v>3</v>
      </c>
      <c r="K32" s="22">
        <v>3</v>
      </c>
      <c r="L32" s="22">
        <v>2</v>
      </c>
      <c r="M32" s="23"/>
      <c r="N32" s="22" t="s">
        <v>66</v>
      </c>
      <c r="O32" s="23"/>
      <c r="P32" s="23"/>
      <c r="Q32" s="24">
        <v>3</v>
      </c>
      <c r="R32" s="24">
        <v>3</v>
      </c>
      <c r="S32" s="24">
        <v>4</v>
      </c>
      <c r="T32" s="24">
        <v>4</v>
      </c>
      <c r="U32" s="24">
        <v>3</v>
      </c>
      <c r="V32" s="24">
        <v>3</v>
      </c>
      <c r="W32" s="24">
        <v>5</v>
      </c>
      <c r="X32" s="24">
        <v>4</v>
      </c>
      <c r="Y32" s="24">
        <v>4</v>
      </c>
      <c r="Z32" s="24">
        <v>4</v>
      </c>
      <c r="AA32" s="24">
        <v>4</v>
      </c>
      <c r="AB32" s="24">
        <v>4</v>
      </c>
      <c r="AC32" s="24">
        <v>4</v>
      </c>
      <c r="AD32" s="24">
        <v>4</v>
      </c>
      <c r="AE32" s="24">
        <v>4</v>
      </c>
      <c r="AF32" s="24">
        <v>5</v>
      </c>
      <c r="AG32" s="24">
        <v>4</v>
      </c>
      <c r="AH32" s="24">
        <v>5</v>
      </c>
      <c r="AI32" s="24">
        <v>3</v>
      </c>
      <c r="AJ32" s="24">
        <v>3</v>
      </c>
      <c r="AK32" s="24">
        <v>5</v>
      </c>
      <c r="AL32" s="24">
        <v>3</v>
      </c>
      <c r="AM32" s="23"/>
      <c r="AN32" s="23"/>
      <c r="AO32" s="22" t="s">
        <v>74</v>
      </c>
      <c r="AP32" s="22" t="s">
        <v>853</v>
      </c>
      <c r="AQ32" s="22" t="s">
        <v>854</v>
      </c>
      <c r="AR32" s="22" t="s">
        <v>855</v>
      </c>
    </row>
    <row r="33" spans="1:44" hidden="1">
      <c r="A33" s="22" t="s">
        <v>856</v>
      </c>
      <c r="B33" s="22" t="s">
        <v>768</v>
      </c>
      <c r="C33" s="22" t="s">
        <v>95</v>
      </c>
      <c r="D33" s="22" t="s">
        <v>54</v>
      </c>
      <c r="E33" s="22" t="s">
        <v>55</v>
      </c>
      <c r="F33" s="22" t="s">
        <v>65</v>
      </c>
      <c r="G33" s="22" t="s">
        <v>96</v>
      </c>
      <c r="H33" s="23"/>
      <c r="I33" s="23"/>
      <c r="J33" s="22">
        <v>2</v>
      </c>
      <c r="K33" s="22">
        <v>1</v>
      </c>
      <c r="L33" s="22">
        <v>2</v>
      </c>
      <c r="M33" s="23"/>
      <c r="N33" s="22" t="s">
        <v>58</v>
      </c>
      <c r="O33" s="23"/>
      <c r="P33" s="23"/>
      <c r="Q33" s="24">
        <v>3</v>
      </c>
      <c r="R33" s="24">
        <v>3</v>
      </c>
      <c r="S33" s="24">
        <v>3</v>
      </c>
      <c r="T33" s="24">
        <v>3</v>
      </c>
      <c r="U33" s="24">
        <v>3</v>
      </c>
      <c r="V33" s="24">
        <v>3</v>
      </c>
      <c r="W33" s="24">
        <v>3</v>
      </c>
      <c r="X33" s="24">
        <v>3</v>
      </c>
      <c r="Y33" s="24">
        <v>3</v>
      </c>
      <c r="Z33" s="24">
        <v>3</v>
      </c>
      <c r="AA33" s="24">
        <v>3</v>
      </c>
      <c r="AB33" s="24">
        <v>2</v>
      </c>
      <c r="AC33" s="24">
        <v>4</v>
      </c>
      <c r="AD33" s="24">
        <v>4</v>
      </c>
      <c r="AE33" s="24">
        <v>4</v>
      </c>
      <c r="AF33" s="24">
        <v>4</v>
      </c>
      <c r="AG33" s="24">
        <v>4</v>
      </c>
      <c r="AH33" s="24">
        <v>4</v>
      </c>
      <c r="AI33" s="24">
        <v>2</v>
      </c>
      <c r="AJ33" s="24">
        <v>3</v>
      </c>
      <c r="AK33" s="24">
        <v>2</v>
      </c>
      <c r="AL33" s="24">
        <v>2</v>
      </c>
      <c r="AM33" s="23"/>
      <c r="AN33" s="23"/>
      <c r="AO33" s="22" t="s">
        <v>59</v>
      </c>
      <c r="AP33" s="22" t="s">
        <v>857</v>
      </c>
      <c r="AQ33" s="22" t="s">
        <v>501</v>
      </c>
      <c r="AR33" s="22" t="s">
        <v>858</v>
      </c>
    </row>
    <row r="34" spans="1:44" hidden="1">
      <c r="A34" s="22" t="s">
        <v>859</v>
      </c>
      <c r="B34" s="22" t="s">
        <v>768</v>
      </c>
      <c r="C34" s="22" t="s">
        <v>95</v>
      </c>
      <c r="D34" s="22" t="s">
        <v>98</v>
      </c>
      <c r="E34" s="22" t="s">
        <v>55</v>
      </c>
      <c r="F34" s="22" t="s">
        <v>136</v>
      </c>
      <c r="G34" s="22" t="s">
        <v>57</v>
      </c>
      <c r="H34" s="23"/>
      <c r="I34" s="23"/>
      <c r="J34" s="22">
        <v>5</v>
      </c>
      <c r="K34" s="22">
        <v>2</v>
      </c>
      <c r="L34" s="22">
        <v>1</v>
      </c>
      <c r="M34" s="23"/>
      <c r="N34" s="22" t="s">
        <v>115</v>
      </c>
      <c r="O34" s="23"/>
      <c r="P34" s="23"/>
      <c r="Q34" s="24">
        <v>4</v>
      </c>
      <c r="R34" s="24">
        <v>3</v>
      </c>
      <c r="S34" s="24">
        <v>4</v>
      </c>
      <c r="T34" s="24">
        <v>4</v>
      </c>
      <c r="U34" s="24">
        <v>3</v>
      </c>
      <c r="V34" s="24">
        <v>4</v>
      </c>
      <c r="W34" s="24">
        <v>3</v>
      </c>
      <c r="X34" s="24">
        <v>4</v>
      </c>
      <c r="Y34" s="24">
        <v>4</v>
      </c>
      <c r="Z34" s="24">
        <v>4</v>
      </c>
      <c r="AA34" s="24">
        <v>2</v>
      </c>
      <c r="AB34" s="24">
        <v>5</v>
      </c>
      <c r="AC34" s="24">
        <v>5</v>
      </c>
      <c r="AD34" s="24">
        <v>5</v>
      </c>
      <c r="AE34" s="24">
        <v>4</v>
      </c>
      <c r="AF34" s="24">
        <v>4</v>
      </c>
      <c r="AG34" s="24">
        <v>4</v>
      </c>
      <c r="AH34" s="24">
        <v>4</v>
      </c>
      <c r="AI34" s="24">
        <v>5</v>
      </c>
      <c r="AJ34" s="24">
        <v>3</v>
      </c>
      <c r="AK34" s="24">
        <v>3</v>
      </c>
      <c r="AL34" s="24">
        <v>4</v>
      </c>
      <c r="AM34" s="23"/>
      <c r="AN34" s="23"/>
      <c r="AO34" s="22" t="s">
        <v>74</v>
      </c>
      <c r="AP34" s="22" t="s">
        <v>550</v>
      </c>
      <c r="AQ34" s="22" t="s">
        <v>81</v>
      </c>
      <c r="AR34" s="22" t="s">
        <v>860</v>
      </c>
    </row>
    <row r="35" spans="1:44" hidden="1">
      <c r="A35" s="22" t="s">
        <v>861</v>
      </c>
      <c r="B35" s="22" t="s">
        <v>768</v>
      </c>
      <c r="C35" s="22" t="s">
        <v>53</v>
      </c>
      <c r="D35" s="22" t="s">
        <v>64</v>
      </c>
      <c r="E35" s="22" t="s">
        <v>55</v>
      </c>
      <c r="F35" s="22" t="s">
        <v>65</v>
      </c>
      <c r="G35" s="22" t="s">
        <v>129</v>
      </c>
      <c r="H35" s="23"/>
      <c r="I35" s="23"/>
      <c r="J35" s="22">
        <v>2</v>
      </c>
      <c r="K35" s="22">
        <v>2</v>
      </c>
      <c r="L35" s="22">
        <v>2</v>
      </c>
      <c r="M35" s="23"/>
      <c r="N35" s="22" t="s">
        <v>66</v>
      </c>
      <c r="O35" s="23"/>
      <c r="P35" s="23"/>
      <c r="Q35" s="24">
        <v>2</v>
      </c>
      <c r="R35" s="24">
        <v>2</v>
      </c>
      <c r="S35" s="24">
        <v>2</v>
      </c>
      <c r="T35" s="24">
        <v>2</v>
      </c>
      <c r="U35" s="24">
        <v>2</v>
      </c>
      <c r="V35" s="24">
        <v>2</v>
      </c>
      <c r="W35" s="24">
        <v>3</v>
      </c>
      <c r="X35" s="24">
        <v>2</v>
      </c>
      <c r="Y35" s="24">
        <v>2</v>
      </c>
      <c r="Z35" s="24">
        <v>2</v>
      </c>
      <c r="AA35" s="24">
        <v>3</v>
      </c>
      <c r="AB35" s="24">
        <v>3</v>
      </c>
      <c r="AC35" s="24">
        <v>3</v>
      </c>
      <c r="AD35" s="24">
        <v>3</v>
      </c>
      <c r="AE35" s="24">
        <v>2</v>
      </c>
      <c r="AF35" s="24">
        <v>3</v>
      </c>
      <c r="AG35" s="24">
        <v>2</v>
      </c>
      <c r="AH35" s="24">
        <v>3</v>
      </c>
      <c r="AI35" s="24">
        <v>2</v>
      </c>
      <c r="AJ35" s="24">
        <v>2</v>
      </c>
      <c r="AK35" s="24">
        <v>2</v>
      </c>
      <c r="AL35" s="24">
        <v>2</v>
      </c>
      <c r="AM35" s="23"/>
      <c r="AN35" s="23"/>
      <c r="AO35" s="22" t="s">
        <v>59</v>
      </c>
      <c r="AP35" s="22" t="s">
        <v>862</v>
      </c>
      <c r="AQ35" s="22" t="s">
        <v>862</v>
      </c>
      <c r="AR35" s="22" t="s">
        <v>863</v>
      </c>
    </row>
    <row r="36" spans="1:44" hidden="1">
      <c r="A36" s="22" t="s">
        <v>864</v>
      </c>
      <c r="B36" s="22" t="s">
        <v>768</v>
      </c>
      <c r="C36" s="22" t="s">
        <v>95</v>
      </c>
      <c r="D36" s="22" t="s">
        <v>98</v>
      </c>
      <c r="E36" s="22" t="s">
        <v>55</v>
      </c>
      <c r="F36" s="22" t="s">
        <v>65</v>
      </c>
      <c r="G36" s="22" t="s">
        <v>96</v>
      </c>
      <c r="H36" s="23"/>
      <c r="I36" s="23"/>
      <c r="J36" s="22">
        <v>1</v>
      </c>
      <c r="K36" s="22">
        <v>1</v>
      </c>
      <c r="L36" s="22">
        <v>1</v>
      </c>
      <c r="M36" s="23"/>
      <c r="N36" s="22" t="s">
        <v>85</v>
      </c>
      <c r="O36" s="23"/>
      <c r="P36" s="23"/>
      <c r="Q36" s="24">
        <v>2</v>
      </c>
      <c r="R36" s="24">
        <v>1</v>
      </c>
      <c r="S36" s="24">
        <v>1</v>
      </c>
      <c r="T36" s="24">
        <v>1</v>
      </c>
      <c r="U36" s="24">
        <v>1</v>
      </c>
      <c r="V36" s="24">
        <v>1</v>
      </c>
      <c r="W36" s="24">
        <v>4</v>
      </c>
      <c r="X36" s="24">
        <v>1</v>
      </c>
      <c r="Y36" s="24">
        <v>1</v>
      </c>
      <c r="Z36" s="24">
        <v>1</v>
      </c>
      <c r="AA36" s="24">
        <v>3</v>
      </c>
      <c r="AB36" s="24">
        <v>4</v>
      </c>
      <c r="AC36" s="24">
        <v>1</v>
      </c>
      <c r="AD36" s="24">
        <v>2</v>
      </c>
      <c r="AE36" s="24">
        <v>1</v>
      </c>
      <c r="AF36" s="24">
        <v>4</v>
      </c>
      <c r="AG36" s="24">
        <v>1</v>
      </c>
      <c r="AH36" s="24">
        <v>3</v>
      </c>
      <c r="AI36" s="24">
        <v>2</v>
      </c>
      <c r="AJ36" s="24">
        <v>1</v>
      </c>
      <c r="AK36" s="24">
        <v>1</v>
      </c>
      <c r="AL36" s="24">
        <v>1</v>
      </c>
      <c r="AM36" s="23"/>
      <c r="AN36" s="23"/>
      <c r="AO36" s="22" t="s">
        <v>59</v>
      </c>
      <c r="AP36" s="22" t="s">
        <v>92</v>
      </c>
      <c r="AQ36" s="22" t="s">
        <v>299</v>
      </c>
      <c r="AR36" s="22" t="s">
        <v>865</v>
      </c>
    </row>
    <row r="37" spans="1:44" hidden="1">
      <c r="A37" s="22" t="s">
        <v>866</v>
      </c>
      <c r="B37" s="22" t="s">
        <v>768</v>
      </c>
      <c r="C37" s="22" t="s">
        <v>95</v>
      </c>
      <c r="D37" s="22" t="s">
        <v>98</v>
      </c>
      <c r="E37" s="22" t="s">
        <v>55</v>
      </c>
      <c r="F37" s="22" t="s">
        <v>65</v>
      </c>
      <c r="G37" s="22" t="s">
        <v>96</v>
      </c>
      <c r="H37" s="23"/>
      <c r="I37" s="23"/>
      <c r="J37" s="22">
        <v>3</v>
      </c>
      <c r="K37" s="22">
        <v>1</v>
      </c>
      <c r="L37" s="22">
        <v>1</v>
      </c>
      <c r="M37" s="23"/>
      <c r="N37" s="22" t="s">
        <v>58</v>
      </c>
      <c r="O37" s="23"/>
      <c r="P37" s="23"/>
      <c r="Q37" s="24">
        <v>3</v>
      </c>
      <c r="R37" s="24">
        <v>1</v>
      </c>
      <c r="S37" s="24">
        <v>2</v>
      </c>
      <c r="T37" s="24">
        <v>2</v>
      </c>
      <c r="U37" s="24">
        <v>2</v>
      </c>
      <c r="V37" s="24">
        <v>2</v>
      </c>
      <c r="W37" s="24">
        <v>2</v>
      </c>
      <c r="X37" s="24">
        <v>2</v>
      </c>
      <c r="Y37" s="24">
        <v>2</v>
      </c>
      <c r="Z37" s="24">
        <v>2</v>
      </c>
      <c r="AA37" s="24">
        <v>2</v>
      </c>
      <c r="AB37" s="24">
        <v>2</v>
      </c>
      <c r="AC37" s="24">
        <v>2</v>
      </c>
      <c r="AD37" s="24">
        <v>2</v>
      </c>
      <c r="AE37" s="24">
        <v>2</v>
      </c>
      <c r="AF37" s="24">
        <v>2</v>
      </c>
      <c r="AG37" s="24">
        <v>2</v>
      </c>
      <c r="AH37" s="24">
        <v>2</v>
      </c>
      <c r="AI37" s="24">
        <v>2</v>
      </c>
      <c r="AJ37" s="24">
        <v>2</v>
      </c>
      <c r="AK37" s="24">
        <v>2</v>
      </c>
      <c r="AL37" s="24">
        <v>2</v>
      </c>
      <c r="AM37" s="23"/>
      <c r="AN37" s="23"/>
      <c r="AO37" s="22" t="s">
        <v>59</v>
      </c>
      <c r="AP37" s="22" t="s">
        <v>867</v>
      </c>
      <c r="AQ37" s="22" t="s">
        <v>792</v>
      </c>
      <c r="AR37" s="22" t="s">
        <v>868</v>
      </c>
    </row>
    <row r="38" spans="1:44" hidden="1">
      <c r="A38" s="22" t="s">
        <v>869</v>
      </c>
      <c r="B38" s="22" t="s">
        <v>768</v>
      </c>
      <c r="C38" s="22" t="s">
        <v>79</v>
      </c>
      <c r="D38" s="22" t="s">
        <v>98</v>
      </c>
      <c r="E38" s="22" t="s">
        <v>55</v>
      </c>
      <c r="F38" s="22" t="s">
        <v>65</v>
      </c>
      <c r="G38" s="22" t="s">
        <v>129</v>
      </c>
      <c r="H38" s="23"/>
      <c r="I38" s="23"/>
      <c r="J38" s="22">
        <v>3</v>
      </c>
      <c r="K38" s="22">
        <v>2</v>
      </c>
      <c r="L38" s="22">
        <v>2</v>
      </c>
      <c r="M38" s="23"/>
      <c r="N38" s="22" t="s">
        <v>85</v>
      </c>
      <c r="O38" s="23"/>
      <c r="P38" s="23"/>
      <c r="Q38" s="24">
        <v>2</v>
      </c>
      <c r="R38" s="24">
        <v>2</v>
      </c>
      <c r="S38" s="24">
        <v>2</v>
      </c>
      <c r="T38" s="24">
        <v>2</v>
      </c>
      <c r="U38" s="24">
        <v>2</v>
      </c>
      <c r="V38" s="24">
        <v>3</v>
      </c>
      <c r="W38" s="24">
        <v>3</v>
      </c>
      <c r="X38" s="24">
        <v>3</v>
      </c>
      <c r="Y38" s="24">
        <v>3</v>
      </c>
      <c r="Z38" s="24">
        <v>3</v>
      </c>
      <c r="AA38" s="24">
        <v>4</v>
      </c>
      <c r="AB38" s="24">
        <v>4</v>
      </c>
      <c r="AC38" s="24">
        <v>4</v>
      </c>
      <c r="AD38" s="24">
        <v>4</v>
      </c>
      <c r="AE38" s="24">
        <v>4</v>
      </c>
      <c r="AF38" s="24">
        <v>4</v>
      </c>
      <c r="AG38" s="24">
        <v>4</v>
      </c>
      <c r="AH38" s="24">
        <v>4</v>
      </c>
      <c r="AI38" s="24">
        <v>2</v>
      </c>
      <c r="AJ38" s="24">
        <v>2</v>
      </c>
      <c r="AK38" s="24">
        <v>4</v>
      </c>
      <c r="AL38" s="24">
        <v>3</v>
      </c>
      <c r="AM38" s="23"/>
      <c r="AN38" s="23"/>
      <c r="AO38" s="22" t="s">
        <v>59</v>
      </c>
      <c r="AP38" s="22" t="s">
        <v>92</v>
      </c>
      <c r="AQ38" s="22" t="s">
        <v>870</v>
      </c>
      <c r="AR38" s="22" t="s">
        <v>871</v>
      </c>
    </row>
    <row r="39" spans="1:44" hidden="1">
      <c r="A39" s="22" t="s">
        <v>872</v>
      </c>
      <c r="B39" s="22" t="s">
        <v>768</v>
      </c>
      <c r="C39" s="22" t="s">
        <v>95</v>
      </c>
      <c r="D39" s="22" t="s">
        <v>98</v>
      </c>
      <c r="E39" s="22" t="s">
        <v>55</v>
      </c>
      <c r="F39" s="22" t="s">
        <v>65</v>
      </c>
      <c r="G39" s="22" t="s">
        <v>80</v>
      </c>
      <c r="H39" s="23"/>
      <c r="I39" s="23"/>
      <c r="J39" s="22">
        <v>3</v>
      </c>
      <c r="K39" s="22">
        <v>3</v>
      </c>
      <c r="L39" s="22">
        <v>2</v>
      </c>
      <c r="M39" s="23"/>
      <c r="N39" s="22" t="s">
        <v>66</v>
      </c>
      <c r="O39" s="23"/>
      <c r="P39" s="23"/>
      <c r="Q39" s="24">
        <v>2</v>
      </c>
      <c r="R39" s="24">
        <v>3</v>
      </c>
      <c r="S39" s="24">
        <v>4</v>
      </c>
      <c r="T39" s="24">
        <v>3</v>
      </c>
      <c r="U39" s="24">
        <v>3</v>
      </c>
      <c r="V39" s="24">
        <v>3</v>
      </c>
      <c r="W39" s="24">
        <v>3</v>
      </c>
      <c r="X39" s="24">
        <v>3</v>
      </c>
      <c r="Y39" s="24">
        <v>3</v>
      </c>
      <c r="Z39" s="24">
        <v>3</v>
      </c>
      <c r="AA39" s="24">
        <v>4</v>
      </c>
      <c r="AB39" s="24">
        <v>3</v>
      </c>
      <c r="AC39" s="24">
        <v>4</v>
      </c>
      <c r="AD39" s="24">
        <v>3</v>
      </c>
      <c r="AE39" s="24">
        <v>3</v>
      </c>
      <c r="AF39" s="24">
        <v>3</v>
      </c>
      <c r="AG39" s="24">
        <v>2</v>
      </c>
      <c r="AH39" s="24">
        <v>4</v>
      </c>
      <c r="AI39" s="24">
        <v>1</v>
      </c>
      <c r="AJ39" s="24">
        <v>1</v>
      </c>
      <c r="AK39" s="24">
        <v>1</v>
      </c>
      <c r="AL39" s="24">
        <v>1</v>
      </c>
      <c r="AM39" s="23"/>
      <c r="AN39" s="23"/>
      <c r="AO39" s="22" t="s">
        <v>59</v>
      </c>
      <c r="AP39" s="22" t="s">
        <v>873</v>
      </c>
      <c r="AQ39" s="22" t="s">
        <v>874</v>
      </c>
      <c r="AR39" s="22" t="s">
        <v>875</v>
      </c>
    </row>
    <row r="40" spans="1:44" hidden="1">
      <c r="A40" s="22" t="s">
        <v>876</v>
      </c>
      <c r="B40" s="22" t="s">
        <v>768</v>
      </c>
      <c r="C40" s="22" t="s">
        <v>90</v>
      </c>
      <c r="D40" s="22" t="s">
        <v>98</v>
      </c>
      <c r="E40" s="22" t="s">
        <v>72</v>
      </c>
      <c r="F40" s="22" t="s">
        <v>136</v>
      </c>
      <c r="G40" s="22" t="s">
        <v>57</v>
      </c>
      <c r="H40" s="23"/>
      <c r="I40" s="23"/>
      <c r="J40" s="22">
        <v>4</v>
      </c>
      <c r="K40" s="22">
        <v>4</v>
      </c>
      <c r="L40" s="22">
        <v>4</v>
      </c>
      <c r="M40" s="23"/>
      <c r="N40" s="22" t="s">
        <v>66</v>
      </c>
      <c r="O40" s="23"/>
      <c r="P40" s="23"/>
      <c r="Q40" s="24">
        <v>3</v>
      </c>
      <c r="R40" s="24">
        <v>4</v>
      </c>
      <c r="S40" s="24">
        <v>3</v>
      </c>
      <c r="T40" s="24">
        <v>3</v>
      </c>
      <c r="U40" s="24">
        <v>3</v>
      </c>
      <c r="V40" s="24">
        <v>3</v>
      </c>
      <c r="W40" s="24">
        <v>4</v>
      </c>
      <c r="X40" s="24">
        <v>4</v>
      </c>
      <c r="Y40" s="24">
        <v>4</v>
      </c>
      <c r="Z40" s="24">
        <v>4</v>
      </c>
      <c r="AA40" s="24">
        <v>3</v>
      </c>
      <c r="AB40" s="24">
        <v>4</v>
      </c>
      <c r="AC40" s="24">
        <v>4</v>
      </c>
      <c r="AD40" s="24">
        <v>4</v>
      </c>
      <c r="AE40" s="24">
        <v>4</v>
      </c>
      <c r="AF40" s="24">
        <v>4</v>
      </c>
      <c r="AG40" s="24">
        <v>4</v>
      </c>
      <c r="AH40" s="24">
        <v>4</v>
      </c>
      <c r="AI40" s="24">
        <v>4</v>
      </c>
      <c r="AJ40" s="24">
        <v>4</v>
      </c>
      <c r="AK40" s="24">
        <v>4</v>
      </c>
      <c r="AL40" s="24">
        <v>4</v>
      </c>
      <c r="AM40" s="23"/>
      <c r="AN40" s="23"/>
      <c r="AO40" s="22" t="s">
        <v>74</v>
      </c>
      <c r="AP40" s="22" t="s">
        <v>877</v>
      </c>
      <c r="AQ40" s="22" t="s">
        <v>877</v>
      </c>
      <c r="AR40" s="22" t="s">
        <v>878</v>
      </c>
    </row>
    <row r="41" spans="1:44" hidden="1">
      <c r="A41" s="22" t="s">
        <v>879</v>
      </c>
      <c r="B41" s="22" t="s">
        <v>768</v>
      </c>
      <c r="C41" s="22" t="s">
        <v>53</v>
      </c>
      <c r="D41" s="22" t="s">
        <v>64</v>
      </c>
      <c r="E41" s="22" t="s">
        <v>55</v>
      </c>
      <c r="F41" s="22" t="s">
        <v>65</v>
      </c>
      <c r="G41" s="22" t="s">
        <v>80</v>
      </c>
      <c r="H41" s="23"/>
      <c r="I41" s="23"/>
      <c r="J41" s="22">
        <v>3</v>
      </c>
      <c r="K41" s="22">
        <v>2</v>
      </c>
      <c r="L41" s="22">
        <v>2</v>
      </c>
      <c r="M41" s="23"/>
      <c r="N41" s="22" t="s">
        <v>58</v>
      </c>
      <c r="O41" s="23"/>
      <c r="P41" s="23"/>
      <c r="Q41" s="24">
        <v>3</v>
      </c>
      <c r="R41" s="24">
        <v>2</v>
      </c>
      <c r="S41" s="24">
        <v>3</v>
      </c>
      <c r="T41" s="24">
        <v>3</v>
      </c>
      <c r="U41" s="24">
        <v>3</v>
      </c>
      <c r="V41" s="24">
        <v>3</v>
      </c>
      <c r="W41" s="24">
        <v>3</v>
      </c>
      <c r="X41" s="24">
        <v>3</v>
      </c>
      <c r="Y41" s="24">
        <v>2</v>
      </c>
      <c r="Z41" s="24">
        <v>2</v>
      </c>
      <c r="AA41" s="24">
        <v>3</v>
      </c>
      <c r="AB41" s="24">
        <v>3</v>
      </c>
      <c r="AC41" s="24">
        <v>3</v>
      </c>
      <c r="AD41" s="24">
        <v>3</v>
      </c>
      <c r="AE41" s="24">
        <v>3</v>
      </c>
      <c r="AF41" s="24">
        <v>3</v>
      </c>
      <c r="AG41" s="24">
        <v>3</v>
      </c>
      <c r="AH41" s="24">
        <v>3</v>
      </c>
      <c r="AI41" s="24">
        <v>3</v>
      </c>
      <c r="AJ41" s="24">
        <v>3</v>
      </c>
      <c r="AK41" s="24">
        <v>3</v>
      </c>
      <c r="AL41" s="24">
        <v>3</v>
      </c>
      <c r="AM41" s="23"/>
      <c r="AN41" s="23"/>
      <c r="AO41" s="22" t="s">
        <v>59</v>
      </c>
      <c r="AP41" s="22" t="s">
        <v>92</v>
      </c>
      <c r="AQ41" s="22" t="s">
        <v>92</v>
      </c>
      <c r="AR41" s="22" t="s">
        <v>92</v>
      </c>
    </row>
    <row r="42" spans="1:44" hidden="1">
      <c r="A42" s="22" t="s">
        <v>880</v>
      </c>
      <c r="B42" s="22" t="s">
        <v>768</v>
      </c>
      <c r="C42" s="22" t="s">
        <v>79</v>
      </c>
      <c r="D42" s="22" t="s">
        <v>106</v>
      </c>
      <c r="E42" s="22" t="s">
        <v>72</v>
      </c>
      <c r="F42" s="22" t="s">
        <v>73</v>
      </c>
      <c r="G42" s="22" t="s">
        <v>80</v>
      </c>
      <c r="H42" s="23"/>
      <c r="I42" s="23"/>
      <c r="J42" s="22">
        <v>2</v>
      </c>
      <c r="K42" s="22">
        <v>2</v>
      </c>
      <c r="L42" s="22">
        <v>2</v>
      </c>
      <c r="M42" s="23"/>
      <c r="N42" s="22" t="s">
        <v>66</v>
      </c>
      <c r="O42" s="23"/>
      <c r="P42" s="23"/>
      <c r="Q42" s="24">
        <v>4</v>
      </c>
      <c r="R42" s="24">
        <v>3</v>
      </c>
      <c r="S42" s="24">
        <v>3</v>
      </c>
      <c r="T42" s="24">
        <v>3</v>
      </c>
      <c r="U42" s="24">
        <v>3</v>
      </c>
      <c r="V42" s="24">
        <v>4</v>
      </c>
      <c r="W42" s="24">
        <v>4</v>
      </c>
      <c r="X42" s="24">
        <v>4</v>
      </c>
      <c r="Y42" s="24">
        <v>4</v>
      </c>
      <c r="Z42" s="24">
        <v>3</v>
      </c>
      <c r="AA42" s="24">
        <v>4</v>
      </c>
      <c r="AB42" s="24">
        <v>4</v>
      </c>
      <c r="AC42" s="24">
        <v>5</v>
      </c>
      <c r="AD42" s="24">
        <v>4</v>
      </c>
      <c r="AE42" s="24">
        <v>4</v>
      </c>
      <c r="AF42" s="24">
        <v>5</v>
      </c>
      <c r="AG42" s="24">
        <v>4</v>
      </c>
      <c r="AH42" s="24">
        <v>5</v>
      </c>
      <c r="AI42" s="24">
        <v>3</v>
      </c>
      <c r="AJ42" s="24">
        <v>3</v>
      </c>
      <c r="AK42" s="24">
        <v>4</v>
      </c>
      <c r="AL42" s="24">
        <v>4</v>
      </c>
      <c r="AM42" s="23"/>
      <c r="AN42" s="23"/>
      <c r="AO42" s="22" t="s">
        <v>74</v>
      </c>
      <c r="AP42" s="22" t="s">
        <v>881</v>
      </c>
      <c r="AQ42" s="22" t="s">
        <v>882</v>
      </c>
      <c r="AR42" s="22" t="s">
        <v>883</v>
      </c>
    </row>
    <row r="43" spans="1:44" hidden="1">
      <c r="A43" s="22" t="s">
        <v>884</v>
      </c>
      <c r="B43" s="22" t="s">
        <v>768</v>
      </c>
      <c r="C43" s="22" t="s">
        <v>95</v>
      </c>
      <c r="D43" s="22" t="s">
        <v>98</v>
      </c>
      <c r="E43" s="22" t="s">
        <v>55</v>
      </c>
      <c r="F43" s="22" t="s">
        <v>65</v>
      </c>
      <c r="G43" s="22" t="s">
        <v>80</v>
      </c>
      <c r="H43" s="23"/>
      <c r="I43" s="23"/>
      <c r="J43" s="22">
        <v>4</v>
      </c>
      <c r="K43" s="22">
        <v>4</v>
      </c>
      <c r="L43" s="22">
        <v>1</v>
      </c>
      <c r="M43" s="23"/>
      <c r="N43" s="22" t="s">
        <v>66</v>
      </c>
      <c r="O43" s="23"/>
      <c r="P43" s="23"/>
      <c r="Q43" s="24">
        <v>3</v>
      </c>
      <c r="R43" s="24">
        <v>3</v>
      </c>
      <c r="S43" s="24">
        <v>3</v>
      </c>
      <c r="T43" s="24">
        <v>3</v>
      </c>
      <c r="U43" s="24">
        <v>4</v>
      </c>
      <c r="V43" s="24">
        <v>4</v>
      </c>
      <c r="W43" s="24">
        <v>4</v>
      </c>
      <c r="X43" s="24">
        <v>4</v>
      </c>
      <c r="Y43" s="24">
        <v>4</v>
      </c>
      <c r="Z43" s="24">
        <v>5</v>
      </c>
      <c r="AA43" s="24">
        <v>4</v>
      </c>
      <c r="AB43" s="24">
        <v>4</v>
      </c>
      <c r="AC43" s="24">
        <v>4</v>
      </c>
      <c r="AD43" s="24">
        <v>5</v>
      </c>
      <c r="AE43" s="24">
        <v>5</v>
      </c>
      <c r="AF43" s="24">
        <v>4</v>
      </c>
      <c r="AG43" s="24">
        <v>5</v>
      </c>
      <c r="AH43" s="24">
        <v>5</v>
      </c>
      <c r="AI43" s="24">
        <v>2</v>
      </c>
      <c r="AJ43" s="24">
        <v>1</v>
      </c>
      <c r="AK43" s="24">
        <v>1</v>
      </c>
      <c r="AL43" s="24">
        <v>2</v>
      </c>
      <c r="AM43" s="23"/>
      <c r="AN43" s="23"/>
      <c r="AO43" s="22" t="s">
        <v>59</v>
      </c>
      <c r="AP43" s="22" t="s">
        <v>885</v>
      </c>
      <c r="AQ43" s="22" t="s">
        <v>886</v>
      </c>
      <c r="AR43" s="22" t="s">
        <v>887</v>
      </c>
    </row>
    <row r="44" spans="1:44" hidden="1">
      <c r="A44" s="22" t="s">
        <v>888</v>
      </c>
      <c r="B44" s="22" t="s">
        <v>768</v>
      </c>
      <c r="C44" s="22" t="s">
        <v>95</v>
      </c>
      <c r="D44" s="22" t="s">
        <v>71</v>
      </c>
      <c r="E44" s="22" t="s">
        <v>72</v>
      </c>
      <c r="F44" s="22" t="s">
        <v>73</v>
      </c>
      <c r="G44" s="22" t="s">
        <v>57</v>
      </c>
      <c r="H44" s="23"/>
      <c r="I44" s="23"/>
      <c r="J44" s="22">
        <v>2</v>
      </c>
      <c r="K44" s="22">
        <v>2</v>
      </c>
      <c r="L44" s="22">
        <v>2</v>
      </c>
      <c r="M44" s="23"/>
      <c r="N44" s="22" t="s">
        <v>58</v>
      </c>
      <c r="O44" s="23"/>
      <c r="P44" s="23"/>
      <c r="Q44" s="24">
        <v>4</v>
      </c>
      <c r="R44" s="24">
        <v>2</v>
      </c>
      <c r="S44" s="24">
        <v>4</v>
      </c>
      <c r="T44" s="24">
        <v>2</v>
      </c>
      <c r="U44" s="24">
        <v>4</v>
      </c>
      <c r="V44" s="24">
        <v>4</v>
      </c>
      <c r="W44" s="24">
        <v>4</v>
      </c>
      <c r="X44" s="24">
        <v>4</v>
      </c>
      <c r="Y44" s="24">
        <v>2</v>
      </c>
      <c r="Z44" s="24">
        <v>3</v>
      </c>
      <c r="AA44" s="24">
        <v>4</v>
      </c>
      <c r="AB44" s="24">
        <v>4</v>
      </c>
      <c r="AC44" s="24">
        <v>4</v>
      </c>
      <c r="AD44" s="24">
        <v>4</v>
      </c>
      <c r="AE44" s="24">
        <v>4</v>
      </c>
      <c r="AF44" s="24">
        <v>4</v>
      </c>
      <c r="AG44" s="24">
        <v>3</v>
      </c>
      <c r="AH44" s="24">
        <v>4</v>
      </c>
      <c r="AI44" s="24">
        <v>4</v>
      </c>
      <c r="AJ44" s="24">
        <v>3</v>
      </c>
      <c r="AK44" s="24">
        <v>3</v>
      </c>
      <c r="AL44" s="24">
        <v>3</v>
      </c>
      <c r="AM44" s="23"/>
      <c r="AN44" s="23"/>
      <c r="AO44" s="22" t="s">
        <v>74</v>
      </c>
      <c r="AP44" s="22" t="s">
        <v>396</v>
      </c>
      <c r="AQ44" s="22" t="s">
        <v>889</v>
      </c>
      <c r="AR44" s="22" t="s">
        <v>890</v>
      </c>
    </row>
    <row r="45" spans="1:44" hidden="1">
      <c r="A45" s="22" t="s">
        <v>891</v>
      </c>
      <c r="B45" s="22" t="s">
        <v>768</v>
      </c>
      <c r="C45" s="22" t="s">
        <v>95</v>
      </c>
      <c r="D45" s="22" t="s">
        <v>64</v>
      </c>
      <c r="E45" s="22" t="s">
        <v>72</v>
      </c>
      <c r="F45" s="22" t="s">
        <v>56</v>
      </c>
      <c r="G45" s="22" t="s">
        <v>57</v>
      </c>
      <c r="H45" s="23"/>
      <c r="I45" s="23"/>
      <c r="J45" s="22">
        <v>4</v>
      </c>
      <c r="K45" s="22">
        <v>2</v>
      </c>
      <c r="L45" s="22">
        <v>2</v>
      </c>
      <c r="M45" s="23"/>
      <c r="N45" s="22" t="s">
        <v>58</v>
      </c>
      <c r="O45" s="23"/>
      <c r="P45" s="23"/>
      <c r="Q45" s="24">
        <v>3</v>
      </c>
      <c r="R45" s="24">
        <v>3</v>
      </c>
      <c r="S45" s="24">
        <v>3</v>
      </c>
      <c r="T45" s="24">
        <v>3</v>
      </c>
      <c r="U45" s="24">
        <v>1</v>
      </c>
      <c r="V45" s="24">
        <v>4</v>
      </c>
      <c r="W45" s="24">
        <v>4</v>
      </c>
      <c r="X45" s="24">
        <v>5</v>
      </c>
      <c r="Y45" s="24">
        <v>3</v>
      </c>
      <c r="Z45" s="24">
        <v>3</v>
      </c>
      <c r="AA45" s="24">
        <v>5</v>
      </c>
      <c r="AB45" s="24">
        <v>5</v>
      </c>
      <c r="AC45" s="24">
        <v>4</v>
      </c>
      <c r="AD45" s="24">
        <v>5</v>
      </c>
      <c r="AE45" s="24">
        <v>3</v>
      </c>
      <c r="AF45" s="24">
        <v>4</v>
      </c>
      <c r="AG45" s="24">
        <v>3</v>
      </c>
      <c r="AH45" s="24">
        <v>4</v>
      </c>
      <c r="AI45" s="24">
        <v>1</v>
      </c>
      <c r="AJ45" s="24">
        <v>1</v>
      </c>
      <c r="AK45" s="24">
        <v>3</v>
      </c>
      <c r="AL45" s="24">
        <v>2</v>
      </c>
      <c r="AM45" s="23"/>
      <c r="AN45" s="23"/>
      <c r="AO45" s="22" t="s">
        <v>74</v>
      </c>
      <c r="AP45" s="22" t="s">
        <v>892</v>
      </c>
      <c r="AQ45" s="22" t="s">
        <v>893</v>
      </c>
      <c r="AR45" s="22" t="s">
        <v>894</v>
      </c>
    </row>
    <row r="46" spans="1:44" hidden="1">
      <c r="A46" s="22" t="s">
        <v>895</v>
      </c>
      <c r="B46" s="22" t="s">
        <v>768</v>
      </c>
      <c r="C46" s="22" t="s">
        <v>95</v>
      </c>
      <c r="D46" s="22" t="s">
        <v>98</v>
      </c>
      <c r="E46" s="22" t="s">
        <v>55</v>
      </c>
      <c r="F46" s="22" t="s">
        <v>65</v>
      </c>
      <c r="G46" s="22" t="s">
        <v>96</v>
      </c>
      <c r="H46" s="23"/>
      <c r="I46" s="23"/>
      <c r="J46" s="22">
        <v>1</v>
      </c>
      <c r="K46" s="22">
        <v>1</v>
      </c>
      <c r="L46" s="22">
        <v>1</v>
      </c>
      <c r="M46" s="23"/>
      <c r="N46" s="22" t="s">
        <v>85</v>
      </c>
      <c r="O46" s="23"/>
      <c r="P46" s="23"/>
      <c r="Q46" s="24">
        <v>3</v>
      </c>
      <c r="R46" s="24">
        <v>1</v>
      </c>
      <c r="S46" s="24">
        <v>1</v>
      </c>
      <c r="T46" s="24">
        <v>1</v>
      </c>
      <c r="U46" s="24">
        <v>1</v>
      </c>
      <c r="V46" s="24">
        <v>1</v>
      </c>
      <c r="W46" s="24">
        <v>4</v>
      </c>
      <c r="X46" s="24">
        <v>4</v>
      </c>
      <c r="Y46" s="24">
        <v>2</v>
      </c>
      <c r="Z46" s="24">
        <v>2</v>
      </c>
      <c r="AA46" s="24">
        <v>3</v>
      </c>
      <c r="AB46" s="24">
        <v>3</v>
      </c>
      <c r="AC46" s="24">
        <v>4</v>
      </c>
      <c r="AD46" s="24">
        <v>3</v>
      </c>
      <c r="AE46" s="24">
        <v>3</v>
      </c>
      <c r="AF46" s="24">
        <v>4</v>
      </c>
      <c r="AG46" s="24">
        <v>3</v>
      </c>
      <c r="AH46" s="24">
        <v>3</v>
      </c>
      <c r="AI46" s="24">
        <v>3</v>
      </c>
      <c r="AJ46" s="24">
        <v>2</v>
      </c>
      <c r="AK46" s="24">
        <v>2</v>
      </c>
      <c r="AL46" s="24">
        <v>2</v>
      </c>
      <c r="AM46" s="23"/>
      <c r="AN46" s="23"/>
      <c r="AO46" s="22" t="s">
        <v>59</v>
      </c>
      <c r="AP46" s="22" t="s">
        <v>896</v>
      </c>
      <c r="AQ46" s="22" t="s">
        <v>897</v>
      </c>
      <c r="AR46" s="22" t="s">
        <v>898</v>
      </c>
    </row>
    <row r="47" spans="1:44" hidden="1">
      <c r="A47" s="22" t="s">
        <v>899</v>
      </c>
      <c r="B47" s="22" t="s">
        <v>768</v>
      </c>
      <c r="C47" s="22" t="s">
        <v>90</v>
      </c>
      <c r="D47" s="22" t="s">
        <v>54</v>
      </c>
      <c r="E47" s="22" t="s">
        <v>72</v>
      </c>
      <c r="F47" s="22" t="s">
        <v>56</v>
      </c>
      <c r="G47" s="22" t="s">
        <v>80</v>
      </c>
      <c r="H47" s="23"/>
      <c r="I47" s="23"/>
      <c r="J47" s="22">
        <v>3</v>
      </c>
      <c r="K47" s="22">
        <v>3</v>
      </c>
      <c r="L47" s="22">
        <v>2</v>
      </c>
      <c r="M47" s="23"/>
      <c r="N47" s="22" t="s">
        <v>58</v>
      </c>
      <c r="O47" s="23"/>
      <c r="P47" s="23"/>
      <c r="Q47" s="24">
        <v>3</v>
      </c>
      <c r="R47" s="24">
        <v>2</v>
      </c>
      <c r="S47" s="24">
        <v>3</v>
      </c>
      <c r="T47" s="24">
        <v>3</v>
      </c>
      <c r="U47" s="24">
        <v>3</v>
      </c>
      <c r="V47" s="24">
        <v>3</v>
      </c>
      <c r="W47" s="24">
        <v>4</v>
      </c>
      <c r="X47" s="24">
        <v>4</v>
      </c>
      <c r="Y47" s="24">
        <v>4</v>
      </c>
      <c r="Z47" s="24">
        <v>4</v>
      </c>
      <c r="AA47" s="24">
        <v>4</v>
      </c>
      <c r="AB47" s="24">
        <v>3</v>
      </c>
      <c r="AC47" s="24">
        <v>4</v>
      </c>
      <c r="AD47" s="24">
        <v>4</v>
      </c>
      <c r="AE47" s="24">
        <v>4</v>
      </c>
      <c r="AF47" s="24">
        <v>4</v>
      </c>
      <c r="AG47" s="24">
        <v>3</v>
      </c>
      <c r="AH47" s="24">
        <v>4</v>
      </c>
      <c r="AI47" s="24">
        <v>4</v>
      </c>
      <c r="AJ47" s="24">
        <v>4</v>
      </c>
      <c r="AK47" s="24">
        <v>4</v>
      </c>
      <c r="AL47" s="24">
        <v>4</v>
      </c>
      <c r="AM47" s="23"/>
      <c r="AN47" s="23"/>
      <c r="AO47" s="22" t="s">
        <v>59</v>
      </c>
      <c r="AP47" s="22" t="s">
        <v>900</v>
      </c>
      <c r="AQ47" s="22" t="s">
        <v>900</v>
      </c>
      <c r="AR47" s="22" t="s">
        <v>901</v>
      </c>
    </row>
    <row r="48" spans="1:44" hidden="1">
      <c r="A48" s="22" t="s">
        <v>902</v>
      </c>
      <c r="B48" s="22" t="s">
        <v>768</v>
      </c>
      <c r="C48" s="22" t="s">
        <v>95</v>
      </c>
      <c r="D48" s="22" t="s">
        <v>64</v>
      </c>
      <c r="E48" s="22" t="s">
        <v>55</v>
      </c>
      <c r="F48" s="22" t="s">
        <v>65</v>
      </c>
      <c r="G48" s="22" t="s">
        <v>57</v>
      </c>
      <c r="H48" s="23"/>
      <c r="I48" s="23"/>
      <c r="J48" s="22">
        <v>4</v>
      </c>
      <c r="K48" s="22">
        <v>1</v>
      </c>
      <c r="L48" s="22">
        <v>1</v>
      </c>
      <c r="M48" s="23"/>
      <c r="N48" s="22" t="s">
        <v>85</v>
      </c>
      <c r="O48" s="23"/>
      <c r="P48" s="23"/>
      <c r="Q48" s="24">
        <v>1</v>
      </c>
      <c r="R48" s="24">
        <v>1</v>
      </c>
      <c r="S48" s="24">
        <v>3</v>
      </c>
      <c r="T48" s="24">
        <v>1</v>
      </c>
      <c r="U48" s="24">
        <v>3</v>
      </c>
      <c r="V48" s="24">
        <v>3</v>
      </c>
      <c r="W48" s="24">
        <v>3</v>
      </c>
      <c r="X48" s="24">
        <v>4</v>
      </c>
      <c r="Y48" s="24">
        <v>3</v>
      </c>
      <c r="Z48" s="24">
        <v>3</v>
      </c>
      <c r="AA48" s="24">
        <v>3</v>
      </c>
      <c r="AB48" s="24">
        <v>3</v>
      </c>
      <c r="AC48" s="24">
        <v>3</v>
      </c>
      <c r="AD48" s="24">
        <v>3</v>
      </c>
      <c r="AE48" s="24">
        <v>3</v>
      </c>
      <c r="AF48" s="24">
        <v>3</v>
      </c>
      <c r="AG48" s="24">
        <v>3</v>
      </c>
      <c r="AH48" s="24">
        <v>3</v>
      </c>
      <c r="AI48" s="24">
        <v>3</v>
      </c>
      <c r="AJ48" s="24">
        <v>3</v>
      </c>
      <c r="AK48" s="24">
        <v>3</v>
      </c>
      <c r="AL48" s="24">
        <v>3</v>
      </c>
      <c r="AM48" s="23"/>
      <c r="AN48" s="23"/>
      <c r="AO48" s="22" t="s">
        <v>59</v>
      </c>
      <c r="AP48" s="22" t="s">
        <v>166</v>
      </c>
      <c r="AQ48" s="22" t="s">
        <v>166</v>
      </c>
      <c r="AR48" s="22" t="s">
        <v>92</v>
      </c>
    </row>
    <row r="49" spans="1:44" hidden="1">
      <c r="A49" s="22" t="s">
        <v>903</v>
      </c>
      <c r="B49" s="22" t="s">
        <v>768</v>
      </c>
      <c r="C49" s="22" t="s">
        <v>53</v>
      </c>
      <c r="D49" s="22" t="s">
        <v>54</v>
      </c>
      <c r="E49" s="22" t="s">
        <v>72</v>
      </c>
      <c r="F49" s="22" t="s">
        <v>56</v>
      </c>
      <c r="G49" s="22" t="s">
        <v>80</v>
      </c>
      <c r="H49" s="23"/>
      <c r="I49" s="23"/>
      <c r="J49" s="22">
        <v>4</v>
      </c>
      <c r="K49" s="22">
        <v>4</v>
      </c>
      <c r="L49" s="22">
        <v>2</v>
      </c>
      <c r="M49" s="23"/>
      <c r="N49" s="22" t="s">
        <v>85</v>
      </c>
      <c r="O49" s="23"/>
      <c r="P49" s="23"/>
      <c r="Q49" s="24">
        <v>3</v>
      </c>
      <c r="R49" s="24">
        <v>3</v>
      </c>
      <c r="S49" s="24">
        <v>3</v>
      </c>
      <c r="T49" s="24">
        <v>4</v>
      </c>
      <c r="U49" s="24">
        <v>3</v>
      </c>
      <c r="V49" s="24">
        <v>3</v>
      </c>
      <c r="W49" s="24">
        <v>4</v>
      </c>
      <c r="X49" s="24">
        <v>3</v>
      </c>
      <c r="Y49" s="24">
        <v>3</v>
      </c>
      <c r="Z49" s="24">
        <v>3</v>
      </c>
      <c r="AA49" s="24">
        <v>4</v>
      </c>
      <c r="AB49" s="24">
        <v>5</v>
      </c>
      <c r="AC49" s="24">
        <v>5</v>
      </c>
      <c r="AD49" s="24">
        <v>5</v>
      </c>
      <c r="AE49" s="24">
        <v>5</v>
      </c>
      <c r="AF49" s="24">
        <v>5</v>
      </c>
      <c r="AG49" s="24">
        <v>4</v>
      </c>
      <c r="AH49" s="24">
        <v>5</v>
      </c>
      <c r="AI49" s="24">
        <v>4</v>
      </c>
      <c r="AJ49" s="24">
        <v>4</v>
      </c>
      <c r="AK49" s="24">
        <v>5</v>
      </c>
      <c r="AL49" s="24">
        <v>4</v>
      </c>
      <c r="AM49" s="23"/>
      <c r="AN49" s="23"/>
      <c r="AO49" s="22" t="s">
        <v>74</v>
      </c>
      <c r="AP49" s="22" t="s">
        <v>904</v>
      </c>
      <c r="AQ49" s="22" t="s">
        <v>905</v>
      </c>
      <c r="AR49" s="22" t="s">
        <v>906</v>
      </c>
    </row>
    <row r="50" spans="1:44" hidden="1">
      <c r="A50" s="22" t="s">
        <v>907</v>
      </c>
      <c r="B50" s="22" t="s">
        <v>768</v>
      </c>
      <c r="C50" s="22" t="s">
        <v>95</v>
      </c>
      <c r="D50" s="22" t="s">
        <v>64</v>
      </c>
      <c r="E50" s="22" t="s">
        <v>55</v>
      </c>
      <c r="F50" s="22" t="s">
        <v>65</v>
      </c>
      <c r="G50" s="22" t="s">
        <v>80</v>
      </c>
      <c r="H50" s="23"/>
      <c r="I50" s="23"/>
      <c r="J50" s="22">
        <v>3</v>
      </c>
      <c r="K50" s="22">
        <v>3</v>
      </c>
      <c r="L50" s="22">
        <v>2</v>
      </c>
      <c r="M50" s="23"/>
      <c r="N50" s="22" t="s">
        <v>58</v>
      </c>
      <c r="O50" s="23"/>
      <c r="P50" s="23"/>
      <c r="Q50" s="24">
        <v>2</v>
      </c>
      <c r="R50" s="24">
        <v>2</v>
      </c>
      <c r="S50" s="24">
        <v>3</v>
      </c>
      <c r="T50" s="24">
        <v>3</v>
      </c>
      <c r="U50" s="24">
        <v>4</v>
      </c>
      <c r="V50" s="24">
        <v>3</v>
      </c>
      <c r="W50" s="24">
        <v>5</v>
      </c>
      <c r="X50" s="24">
        <v>5</v>
      </c>
      <c r="Y50" s="24">
        <v>3</v>
      </c>
      <c r="Z50" s="24">
        <v>4</v>
      </c>
      <c r="AA50" s="24">
        <v>5</v>
      </c>
      <c r="AB50" s="24">
        <v>5</v>
      </c>
      <c r="AC50" s="24">
        <v>5</v>
      </c>
      <c r="AD50" s="24">
        <v>4</v>
      </c>
      <c r="AE50" s="24">
        <v>4</v>
      </c>
      <c r="AF50" s="24">
        <v>3</v>
      </c>
      <c r="AG50" s="24">
        <v>3</v>
      </c>
      <c r="AH50" s="24">
        <v>4</v>
      </c>
      <c r="AI50" s="24">
        <v>3</v>
      </c>
      <c r="AJ50" s="24">
        <v>3</v>
      </c>
      <c r="AK50" s="24">
        <v>5</v>
      </c>
      <c r="AL50" s="24">
        <v>3</v>
      </c>
      <c r="AM50" s="23"/>
      <c r="AN50" s="23"/>
      <c r="AO50" s="22" t="s">
        <v>74</v>
      </c>
      <c r="AP50" s="22" t="s">
        <v>908</v>
      </c>
      <c r="AQ50" s="22" t="s">
        <v>909</v>
      </c>
      <c r="AR50" s="22" t="s">
        <v>396</v>
      </c>
    </row>
    <row r="51" spans="1:44" hidden="1">
      <c r="A51" s="22" t="s">
        <v>910</v>
      </c>
      <c r="B51" s="22" t="s">
        <v>768</v>
      </c>
      <c r="C51" s="22" t="s">
        <v>79</v>
      </c>
      <c r="D51" s="22" t="s">
        <v>54</v>
      </c>
      <c r="E51" s="22" t="s">
        <v>72</v>
      </c>
      <c r="F51" s="22" t="s">
        <v>56</v>
      </c>
      <c r="G51" s="22" t="s">
        <v>80</v>
      </c>
      <c r="H51" s="23"/>
      <c r="I51" s="23"/>
      <c r="J51" s="22">
        <v>2</v>
      </c>
      <c r="K51" s="22">
        <v>2</v>
      </c>
      <c r="L51" s="22">
        <v>2</v>
      </c>
      <c r="M51" s="23"/>
      <c r="N51" s="22" t="s">
        <v>58</v>
      </c>
      <c r="O51" s="23"/>
      <c r="P51" s="23"/>
      <c r="Q51" s="24">
        <v>3</v>
      </c>
      <c r="R51" s="24">
        <v>3</v>
      </c>
      <c r="S51" s="24">
        <v>3</v>
      </c>
      <c r="T51" s="24">
        <v>3</v>
      </c>
      <c r="U51" s="24">
        <v>3</v>
      </c>
      <c r="V51" s="24">
        <v>3</v>
      </c>
      <c r="W51" s="24">
        <v>4</v>
      </c>
      <c r="X51" s="24">
        <v>3</v>
      </c>
      <c r="Y51" s="24">
        <v>3</v>
      </c>
      <c r="Z51" s="24">
        <v>3</v>
      </c>
      <c r="AA51" s="24">
        <v>2</v>
      </c>
      <c r="AB51" s="24">
        <v>2</v>
      </c>
      <c r="AC51" s="24">
        <v>4</v>
      </c>
      <c r="AD51" s="24">
        <v>4</v>
      </c>
      <c r="AE51" s="24">
        <v>4</v>
      </c>
      <c r="AF51" s="24">
        <v>4</v>
      </c>
      <c r="AG51" s="24">
        <v>4</v>
      </c>
      <c r="AH51" s="24">
        <v>4</v>
      </c>
      <c r="AI51" s="24">
        <v>4</v>
      </c>
      <c r="AJ51" s="24">
        <v>4</v>
      </c>
      <c r="AK51" s="24">
        <v>4</v>
      </c>
      <c r="AL51" s="24">
        <v>4</v>
      </c>
      <c r="AM51" s="23"/>
      <c r="AN51" s="23"/>
      <c r="AO51" s="22" t="s">
        <v>59</v>
      </c>
      <c r="AP51" s="22" t="s">
        <v>911</v>
      </c>
      <c r="AQ51" s="22" t="s">
        <v>912</v>
      </c>
      <c r="AR51" s="22" t="s">
        <v>643</v>
      </c>
    </row>
    <row r="52" spans="1:44" hidden="1">
      <c r="A52" s="22" t="s">
        <v>913</v>
      </c>
      <c r="B52" s="22" t="s">
        <v>768</v>
      </c>
      <c r="C52" s="22" t="s">
        <v>95</v>
      </c>
      <c r="D52" s="22" t="s">
        <v>98</v>
      </c>
      <c r="E52" s="22" t="s">
        <v>55</v>
      </c>
      <c r="F52" s="22" t="s">
        <v>65</v>
      </c>
      <c r="G52" s="22" t="s">
        <v>96</v>
      </c>
      <c r="H52" s="23"/>
      <c r="I52" s="23"/>
      <c r="J52" s="22">
        <v>3</v>
      </c>
      <c r="K52" s="22">
        <v>2</v>
      </c>
      <c r="L52" s="22">
        <v>1</v>
      </c>
      <c r="M52" s="23"/>
      <c r="N52" s="22" t="s">
        <v>85</v>
      </c>
      <c r="O52" s="23"/>
      <c r="P52" s="23"/>
      <c r="Q52" s="24">
        <v>2</v>
      </c>
      <c r="R52" s="24">
        <v>1</v>
      </c>
      <c r="S52" s="24">
        <v>2</v>
      </c>
      <c r="T52" s="24">
        <v>2</v>
      </c>
      <c r="U52" s="24">
        <v>2</v>
      </c>
      <c r="V52" s="24">
        <v>2</v>
      </c>
      <c r="W52" s="24">
        <v>2</v>
      </c>
      <c r="X52" s="24">
        <v>2</v>
      </c>
      <c r="Y52" s="24">
        <v>2</v>
      </c>
      <c r="Z52" s="24">
        <v>2</v>
      </c>
      <c r="AA52" s="24">
        <v>3</v>
      </c>
      <c r="AB52" s="24">
        <v>3</v>
      </c>
      <c r="AC52" s="24">
        <v>3</v>
      </c>
      <c r="AD52" s="24">
        <v>3</v>
      </c>
      <c r="AE52" s="24">
        <v>3</v>
      </c>
      <c r="AF52" s="24">
        <v>3</v>
      </c>
      <c r="AG52" s="24">
        <v>2</v>
      </c>
      <c r="AH52" s="24">
        <v>3</v>
      </c>
      <c r="AI52" s="24">
        <v>3</v>
      </c>
      <c r="AJ52" s="24">
        <v>2</v>
      </c>
      <c r="AK52" s="24">
        <v>2</v>
      </c>
      <c r="AL52" s="24">
        <v>2</v>
      </c>
      <c r="AM52" s="23"/>
      <c r="AN52" s="23"/>
      <c r="AO52" s="22" t="s">
        <v>59</v>
      </c>
      <c r="AP52" s="22" t="s">
        <v>137</v>
      </c>
      <c r="AQ52" s="22" t="s">
        <v>914</v>
      </c>
      <c r="AR52" s="22" t="s">
        <v>137</v>
      </c>
    </row>
    <row r="53" spans="1:44" hidden="1">
      <c r="A53" s="22" t="s">
        <v>915</v>
      </c>
      <c r="B53" s="22" t="s">
        <v>768</v>
      </c>
      <c r="C53" s="22" t="s">
        <v>95</v>
      </c>
      <c r="D53" s="22" t="s">
        <v>64</v>
      </c>
      <c r="E53" s="22" t="s">
        <v>55</v>
      </c>
      <c r="F53" s="22" t="s">
        <v>65</v>
      </c>
      <c r="G53" s="22" t="s">
        <v>96</v>
      </c>
      <c r="H53" s="23"/>
      <c r="I53" s="23"/>
      <c r="J53" s="22">
        <v>1</v>
      </c>
      <c r="K53" s="22">
        <v>1</v>
      </c>
      <c r="L53" s="22">
        <v>1</v>
      </c>
      <c r="M53" s="23"/>
      <c r="N53" s="22" t="s">
        <v>58</v>
      </c>
      <c r="O53" s="23"/>
      <c r="P53" s="23"/>
      <c r="Q53" s="24">
        <v>3</v>
      </c>
      <c r="R53" s="24">
        <v>2</v>
      </c>
      <c r="S53" s="24">
        <v>1</v>
      </c>
      <c r="T53" s="24">
        <v>1</v>
      </c>
      <c r="U53" s="24">
        <v>4</v>
      </c>
      <c r="V53" s="24">
        <v>3</v>
      </c>
      <c r="W53" s="24">
        <v>3</v>
      </c>
      <c r="X53" s="24">
        <v>4</v>
      </c>
      <c r="Y53" s="24">
        <v>3</v>
      </c>
      <c r="Z53" s="24">
        <v>3</v>
      </c>
      <c r="AA53" s="24">
        <v>4</v>
      </c>
      <c r="AB53" s="24">
        <v>1</v>
      </c>
      <c r="AC53" s="24">
        <v>3</v>
      </c>
      <c r="AD53" s="24">
        <v>2</v>
      </c>
      <c r="AE53" s="24">
        <v>3</v>
      </c>
      <c r="AF53" s="24">
        <v>1</v>
      </c>
      <c r="AG53" s="24">
        <v>1</v>
      </c>
      <c r="AH53" s="24">
        <v>3</v>
      </c>
      <c r="AI53" s="24">
        <v>2</v>
      </c>
      <c r="AJ53" s="24">
        <v>2</v>
      </c>
      <c r="AK53" s="24">
        <v>4</v>
      </c>
      <c r="AL53" s="24">
        <v>2</v>
      </c>
      <c r="AM53" s="23"/>
      <c r="AN53" s="23"/>
      <c r="AO53" s="22" t="s">
        <v>59</v>
      </c>
      <c r="AP53" s="22" t="s">
        <v>916</v>
      </c>
      <c r="AQ53" s="22" t="s">
        <v>917</v>
      </c>
      <c r="AR53" s="22" t="s">
        <v>146</v>
      </c>
    </row>
    <row r="54" spans="1:44" hidden="1">
      <c r="A54" s="22" t="s">
        <v>918</v>
      </c>
      <c r="B54" s="22" t="s">
        <v>768</v>
      </c>
      <c r="C54" s="22" t="s">
        <v>53</v>
      </c>
      <c r="D54" s="22" t="s">
        <v>54</v>
      </c>
      <c r="E54" s="22" t="s">
        <v>72</v>
      </c>
      <c r="F54" s="22" t="s">
        <v>56</v>
      </c>
      <c r="G54" s="22" t="s">
        <v>129</v>
      </c>
      <c r="H54" s="23"/>
      <c r="I54" s="23"/>
      <c r="J54" s="22">
        <v>1</v>
      </c>
      <c r="K54" s="22">
        <v>1</v>
      </c>
      <c r="L54" s="22">
        <v>1</v>
      </c>
      <c r="M54" s="23"/>
      <c r="N54" s="22" t="s">
        <v>58</v>
      </c>
      <c r="O54" s="23"/>
      <c r="P54" s="23"/>
      <c r="Q54" s="24">
        <v>3</v>
      </c>
      <c r="R54" s="24">
        <v>2</v>
      </c>
      <c r="S54" s="24">
        <v>2</v>
      </c>
      <c r="T54" s="24">
        <v>1</v>
      </c>
      <c r="U54" s="24">
        <v>4</v>
      </c>
      <c r="V54" s="24">
        <v>2</v>
      </c>
      <c r="W54" s="24">
        <v>4</v>
      </c>
      <c r="X54" s="24">
        <v>4</v>
      </c>
      <c r="Y54" s="24">
        <v>2</v>
      </c>
      <c r="Z54" s="24">
        <v>3</v>
      </c>
      <c r="AA54" s="24">
        <v>4</v>
      </c>
      <c r="AB54" s="24">
        <v>2</v>
      </c>
      <c r="AC54" s="24">
        <v>3</v>
      </c>
      <c r="AD54" s="24">
        <v>4</v>
      </c>
      <c r="AE54" s="24">
        <v>2</v>
      </c>
      <c r="AF54" s="24">
        <v>2</v>
      </c>
      <c r="AG54" s="24">
        <v>2</v>
      </c>
      <c r="AH54" s="24">
        <v>4</v>
      </c>
      <c r="AI54" s="24">
        <v>1</v>
      </c>
      <c r="AJ54" s="24">
        <v>3</v>
      </c>
      <c r="AK54" s="24">
        <v>2</v>
      </c>
      <c r="AL54" s="24">
        <v>2</v>
      </c>
      <c r="AM54" s="23"/>
      <c r="AN54" s="23"/>
      <c r="AO54" s="22" t="s">
        <v>74</v>
      </c>
      <c r="AP54" s="22" t="s">
        <v>919</v>
      </c>
      <c r="AQ54" s="22" t="s">
        <v>920</v>
      </c>
      <c r="AR54" s="22" t="s">
        <v>921</v>
      </c>
    </row>
    <row r="55" spans="1:44" hidden="1">
      <c r="A55" s="22" t="s">
        <v>922</v>
      </c>
      <c r="B55" s="22" t="s">
        <v>768</v>
      </c>
      <c r="C55" s="22" t="s">
        <v>95</v>
      </c>
      <c r="D55" s="22" t="s">
        <v>64</v>
      </c>
      <c r="E55" s="22" t="s">
        <v>72</v>
      </c>
      <c r="F55" s="22" t="s">
        <v>56</v>
      </c>
      <c r="G55" s="22" t="s">
        <v>80</v>
      </c>
      <c r="H55" s="23"/>
      <c r="I55" s="23"/>
      <c r="J55" s="22">
        <v>2</v>
      </c>
      <c r="K55" s="22">
        <v>2</v>
      </c>
      <c r="L55" s="22">
        <v>2</v>
      </c>
      <c r="M55" s="23"/>
      <c r="N55" s="22" t="s">
        <v>66</v>
      </c>
      <c r="O55" s="23"/>
      <c r="P55" s="23"/>
      <c r="Q55" s="24">
        <v>3</v>
      </c>
      <c r="R55" s="24">
        <v>3</v>
      </c>
      <c r="S55" s="24">
        <v>4</v>
      </c>
      <c r="T55" s="24">
        <v>4</v>
      </c>
      <c r="U55" s="24">
        <v>3</v>
      </c>
      <c r="V55" s="24">
        <v>4</v>
      </c>
      <c r="W55" s="24">
        <v>5</v>
      </c>
      <c r="X55" s="24">
        <v>4</v>
      </c>
      <c r="Y55" s="24">
        <v>3</v>
      </c>
      <c r="Z55" s="24">
        <v>4</v>
      </c>
      <c r="AA55" s="24">
        <v>4</v>
      </c>
      <c r="AB55" s="24">
        <v>4</v>
      </c>
      <c r="AC55" s="24">
        <v>4</v>
      </c>
      <c r="AD55" s="24">
        <v>4</v>
      </c>
      <c r="AE55" s="24">
        <v>4</v>
      </c>
      <c r="AF55" s="24">
        <v>4</v>
      </c>
      <c r="AG55" s="24">
        <v>4</v>
      </c>
      <c r="AH55" s="24">
        <v>4</v>
      </c>
      <c r="AI55" s="24">
        <v>3</v>
      </c>
      <c r="AJ55" s="24">
        <v>2</v>
      </c>
      <c r="AK55" s="24">
        <v>2</v>
      </c>
      <c r="AL55" s="24">
        <v>2</v>
      </c>
      <c r="AM55" s="23"/>
      <c r="AN55" s="23"/>
      <c r="AO55" s="22" t="s">
        <v>59</v>
      </c>
      <c r="AP55" s="22" t="s">
        <v>923</v>
      </c>
      <c r="AQ55" s="22" t="s">
        <v>924</v>
      </c>
      <c r="AR55" s="22" t="s">
        <v>925</v>
      </c>
    </row>
    <row r="56" spans="1:44" hidden="1">
      <c r="A56" s="22" t="s">
        <v>926</v>
      </c>
      <c r="B56" s="22" t="s">
        <v>768</v>
      </c>
      <c r="C56" s="22" t="s">
        <v>95</v>
      </c>
      <c r="D56" s="22" t="s">
        <v>98</v>
      </c>
      <c r="E56" s="22" t="s">
        <v>72</v>
      </c>
      <c r="F56" s="22" t="s">
        <v>136</v>
      </c>
      <c r="G56" s="22" t="s">
        <v>129</v>
      </c>
      <c r="H56" s="23"/>
      <c r="I56" s="23"/>
      <c r="J56" s="22">
        <v>2</v>
      </c>
      <c r="K56" s="22">
        <v>2</v>
      </c>
      <c r="L56" s="22">
        <v>1</v>
      </c>
      <c r="M56" s="23"/>
      <c r="N56" s="22" t="s">
        <v>85</v>
      </c>
      <c r="O56" s="23"/>
      <c r="P56" s="23"/>
      <c r="Q56" s="24">
        <v>2</v>
      </c>
      <c r="R56" s="24">
        <v>2</v>
      </c>
      <c r="S56" s="24">
        <v>2</v>
      </c>
      <c r="T56" s="24">
        <v>2</v>
      </c>
      <c r="U56" s="24">
        <v>3</v>
      </c>
      <c r="V56" s="24">
        <v>3</v>
      </c>
      <c r="W56" s="24">
        <v>4</v>
      </c>
      <c r="X56" s="24">
        <v>4</v>
      </c>
      <c r="Y56" s="24">
        <v>3</v>
      </c>
      <c r="Z56" s="24">
        <v>3</v>
      </c>
      <c r="AA56" s="24">
        <v>3</v>
      </c>
      <c r="AB56" s="24">
        <v>3</v>
      </c>
      <c r="AC56" s="24">
        <v>4</v>
      </c>
      <c r="AD56" s="24">
        <v>3</v>
      </c>
      <c r="AE56" s="24">
        <v>3</v>
      </c>
      <c r="AF56" s="24">
        <v>3</v>
      </c>
      <c r="AG56" s="24">
        <v>3</v>
      </c>
      <c r="AH56" s="24">
        <v>4</v>
      </c>
      <c r="AI56" s="24">
        <v>3</v>
      </c>
      <c r="AJ56" s="24">
        <v>3</v>
      </c>
      <c r="AK56" s="24">
        <v>4</v>
      </c>
      <c r="AL56" s="24">
        <v>3</v>
      </c>
      <c r="AM56" s="23"/>
      <c r="AN56" s="23"/>
      <c r="AO56" s="22" t="s">
        <v>59</v>
      </c>
      <c r="AP56" s="22" t="s">
        <v>92</v>
      </c>
      <c r="AQ56" s="22" t="s">
        <v>92</v>
      </c>
      <c r="AR56" s="22" t="s">
        <v>92</v>
      </c>
    </row>
    <row r="57" spans="1:44" hidden="1">
      <c r="A57" s="22" t="s">
        <v>927</v>
      </c>
      <c r="B57" s="22" t="s">
        <v>768</v>
      </c>
      <c r="C57" s="22" t="s">
        <v>95</v>
      </c>
      <c r="D57" s="22" t="s">
        <v>54</v>
      </c>
      <c r="E57" s="22" t="s">
        <v>55</v>
      </c>
      <c r="F57" s="22" t="s">
        <v>73</v>
      </c>
      <c r="G57" s="22" t="s">
        <v>80</v>
      </c>
      <c r="H57" s="23"/>
      <c r="I57" s="23"/>
      <c r="J57" s="22">
        <v>3</v>
      </c>
      <c r="K57" s="22">
        <v>2</v>
      </c>
      <c r="L57" s="22">
        <v>1</v>
      </c>
      <c r="M57" s="23"/>
      <c r="N57" s="22" t="s">
        <v>58</v>
      </c>
      <c r="O57" s="23"/>
      <c r="P57" s="23"/>
      <c r="Q57" s="24">
        <v>3</v>
      </c>
      <c r="R57" s="24">
        <v>2</v>
      </c>
      <c r="S57" s="24">
        <v>2</v>
      </c>
      <c r="T57" s="24">
        <v>2</v>
      </c>
      <c r="U57" s="24">
        <v>2</v>
      </c>
      <c r="V57" s="24">
        <v>2</v>
      </c>
      <c r="W57" s="24">
        <v>4</v>
      </c>
      <c r="X57" s="24">
        <v>4</v>
      </c>
      <c r="Y57" s="24">
        <v>3</v>
      </c>
      <c r="Z57" s="24">
        <v>2</v>
      </c>
      <c r="AA57" s="24">
        <v>4</v>
      </c>
      <c r="AB57" s="24">
        <v>4</v>
      </c>
      <c r="AC57" s="24">
        <v>4</v>
      </c>
      <c r="AD57" s="24">
        <v>4</v>
      </c>
      <c r="AE57" s="24">
        <v>3</v>
      </c>
      <c r="AF57" s="24">
        <v>3</v>
      </c>
      <c r="AG57" s="24">
        <v>2</v>
      </c>
      <c r="AH57" s="24">
        <v>4</v>
      </c>
      <c r="AI57" s="24">
        <v>3</v>
      </c>
      <c r="AJ57" s="24">
        <v>2</v>
      </c>
      <c r="AK57" s="24">
        <v>3</v>
      </c>
      <c r="AL57" s="24">
        <v>3</v>
      </c>
      <c r="AM57" s="23"/>
      <c r="AN57" s="23"/>
      <c r="AO57" s="22" t="s">
        <v>59</v>
      </c>
      <c r="AP57" s="22" t="s">
        <v>928</v>
      </c>
      <c r="AQ57" s="22" t="s">
        <v>929</v>
      </c>
      <c r="AR57" s="22" t="s">
        <v>930</v>
      </c>
    </row>
    <row r="58" spans="1:44" hidden="1">
      <c r="A58" s="22" t="s">
        <v>931</v>
      </c>
      <c r="B58" s="22" t="s">
        <v>768</v>
      </c>
      <c r="C58" s="22" t="s">
        <v>95</v>
      </c>
      <c r="D58" s="22" t="s">
        <v>106</v>
      </c>
      <c r="E58" s="22" t="s">
        <v>72</v>
      </c>
      <c r="F58" s="22" t="s">
        <v>73</v>
      </c>
      <c r="G58" s="22" t="s">
        <v>80</v>
      </c>
      <c r="H58" s="23"/>
      <c r="I58" s="23"/>
      <c r="J58" s="22">
        <v>2</v>
      </c>
      <c r="K58" s="22">
        <v>2</v>
      </c>
      <c r="L58" s="22">
        <v>2</v>
      </c>
      <c r="M58" s="23"/>
      <c r="N58" s="22" t="s">
        <v>58</v>
      </c>
      <c r="O58" s="23"/>
      <c r="P58" s="23"/>
      <c r="Q58" s="24">
        <v>3</v>
      </c>
      <c r="R58" s="24">
        <v>3</v>
      </c>
      <c r="S58" s="24">
        <v>2</v>
      </c>
      <c r="T58" s="24">
        <v>2</v>
      </c>
      <c r="U58" s="24">
        <v>4</v>
      </c>
      <c r="V58" s="24">
        <v>4</v>
      </c>
      <c r="W58" s="24">
        <v>3</v>
      </c>
      <c r="X58" s="24">
        <v>3</v>
      </c>
      <c r="Y58" s="24">
        <v>3</v>
      </c>
      <c r="Z58" s="24">
        <v>3</v>
      </c>
      <c r="AA58" s="24">
        <v>4</v>
      </c>
      <c r="AB58" s="24">
        <v>4</v>
      </c>
      <c r="AC58" s="24">
        <v>4</v>
      </c>
      <c r="AD58" s="24">
        <v>4</v>
      </c>
      <c r="AE58" s="24">
        <v>4</v>
      </c>
      <c r="AF58" s="24">
        <v>4</v>
      </c>
      <c r="AG58" s="24">
        <v>4</v>
      </c>
      <c r="AH58" s="24">
        <v>4</v>
      </c>
      <c r="AI58" s="24">
        <v>3</v>
      </c>
      <c r="AJ58" s="24">
        <v>2</v>
      </c>
      <c r="AK58" s="24">
        <v>4</v>
      </c>
      <c r="AL58" s="24">
        <v>3</v>
      </c>
      <c r="AM58" s="23"/>
      <c r="AN58" s="23"/>
      <c r="AO58" s="22" t="s">
        <v>59</v>
      </c>
      <c r="AP58" s="22" t="s">
        <v>932</v>
      </c>
      <c r="AQ58" s="22" t="s">
        <v>933</v>
      </c>
      <c r="AR58" s="22" t="s">
        <v>934</v>
      </c>
    </row>
    <row r="59" spans="1:44" hidden="1">
      <c r="A59" s="22" t="s">
        <v>935</v>
      </c>
      <c r="B59" s="22" t="s">
        <v>768</v>
      </c>
      <c r="C59" s="22" t="s">
        <v>53</v>
      </c>
      <c r="D59" s="22" t="s">
        <v>54</v>
      </c>
      <c r="E59" s="22" t="s">
        <v>55</v>
      </c>
      <c r="F59" s="22" t="s">
        <v>56</v>
      </c>
      <c r="G59" s="22" t="s">
        <v>57</v>
      </c>
      <c r="H59" s="23"/>
      <c r="I59" s="23"/>
      <c r="J59" s="22">
        <v>4</v>
      </c>
      <c r="K59" s="22">
        <v>3</v>
      </c>
      <c r="L59" s="22">
        <v>2</v>
      </c>
      <c r="M59" s="23"/>
      <c r="N59" s="22" t="s">
        <v>58</v>
      </c>
      <c r="O59" s="23"/>
      <c r="P59" s="23"/>
      <c r="Q59" s="24">
        <v>5</v>
      </c>
      <c r="R59" s="24">
        <v>4</v>
      </c>
      <c r="S59" s="24">
        <v>5</v>
      </c>
      <c r="T59" s="24">
        <v>4</v>
      </c>
      <c r="U59" s="24">
        <v>4</v>
      </c>
      <c r="V59" s="24">
        <v>5</v>
      </c>
      <c r="W59" s="24">
        <v>4</v>
      </c>
      <c r="X59" s="24">
        <v>4</v>
      </c>
      <c r="Y59" s="24">
        <v>4</v>
      </c>
      <c r="Z59" s="24">
        <v>4</v>
      </c>
      <c r="AA59" s="24">
        <v>4</v>
      </c>
      <c r="AB59" s="24">
        <v>4</v>
      </c>
      <c r="AC59" s="24">
        <v>5</v>
      </c>
      <c r="AD59" s="24">
        <v>5</v>
      </c>
      <c r="AE59" s="24">
        <v>4</v>
      </c>
      <c r="AF59" s="24">
        <v>5</v>
      </c>
      <c r="AG59" s="24">
        <v>5</v>
      </c>
      <c r="AH59" s="24">
        <v>4</v>
      </c>
      <c r="AI59" s="24">
        <v>1</v>
      </c>
      <c r="AJ59" s="24">
        <v>3</v>
      </c>
      <c r="AK59" s="24">
        <v>3</v>
      </c>
      <c r="AL59" s="24">
        <v>2</v>
      </c>
      <c r="AM59" s="23"/>
      <c r="AN59" s="23"/>
      <c r="AO59" s="22" t="s">
        <v>59</v>
      </c>
      <c r="AP59" s="22" t="s">
        <v>936</v>
      </c>
      <c r="AQ59" s="22" t="s">
        <v>937</v>
      </c>
      <c r="AR59" s="22" t="s">
        <v>938</v>
      </c>
    </row>
    <row r="60" spans="1:44" hidden="1">
      <c r="A60" s="22" t="s">
        <v>939</v>
      </c>
      <c r="B60" s="22" t="s">
        <v>768</v>
      </c>
      <c r="C60" s="22" t="s">
        <v>95</v>
      </c>
      <c r="D60" s="22" t="s">
        <v>64</v>
      </c>
      <c r="E60" s="22" t="s">
        <v>55</v>
      </c>
      <c r="F60" s="22" t="s">
        <v>65</v>
      </c>
      <c r="G60" s="22" t="s">
        <v>80</v>
      </c>
      <c r="H60" s="23"/>
      <c r="I60" s="23"/>
      <c r="J60" s="22">
        <v>3</v>
      </c>
      <c r="K60" s="22">
        <v>2</v>
      </c>
      <c r="L60" s="22">
        <v>2</v>
      </c>
      <c r="M60" s="23"/>
      <c r="N60" s="22" t="s">
        <v>58</v>
      </c>
      <c r="O60" s="23"/>
      <c r="P60" s="23"/>
      <c r="Q60" s="24">
        <v>2</v>
      </c>
      <c r="R60" s="24">
        <v>2</v>
      </c>
      <c r="S60" s="24">
        <v>2</v>
      </c>
      <c r="T60" s="24">
        <v>2</v>
      </c>
      <c r="U60" s="24">
        <v>2</v>
      </c>
      <c r="V60" s="24">
        <v>2</v>
      </c>
      <c r="W60" s="24">
        <v>3</v>
      </c>
      <c r="X60" s="24">
        <v>2</v>
      </c>
      <c r="Y60" s="24">
        <v>2</v>
      </c>
      <c r="Z60" s="24">
        <v>2</v>
      </c>
      <c r="AA60" s="24">
        <v>3</v>
      </c>
      <c r="AB60" s="24">
        <v>3</v>
      </c>
      <c r="AC60" s="24">
        <v>2</v>
      </c>
      <c r="AD60" s="24">
        <v>3</v>
      </c>
      <c r="AE60" s="24">
        <v>3</v>
      </c>
      <c r="AF60" s="24">
        <v>3</v>
      </c>
      <c r="AG60" s="24">
        <v>3</v>
      </c>
      <c r="AH60" s="24">
        <v>3</v>
      </c>
      <c r="AI60" s="24">
        <v>3</v>
      </c>
      <c r="AJ60" s="24">
        <v>3</v>
      </c>
      <c r="AK60" s="24">
        <v>3</v>
      </c>
      <c r="AL60" s="24">
        <v>3</v>
      </c>
      <c r="AM60" s="23"/>
      <c r="AN60" s="23"/>
      <c r="AO60" s="22" t="s">
        <v>59</v>
      </c>
      <c r="AP60" s="22" t="s">
        <v>92</v>
      </c>
      <c r="AQ60" s="22" t="s">
        <v>92</v>
      </c>
      <c r="AR60" s="22" t="s">
        <v>92</v>
      </c>
    </row>
    <row r="61" spans="1:44" hidden="1">
      <c r="A61" s="22" t="s">
        <v>940</v>
      </c>
      <c r="B61" s="22" t="s">
        <v>768</v>
      </c>
      <c r="C61" s="22" t="s">
        <v>95</v>
      </c>
      <c r="D61" s="22" t="s">
        <v>98</v>
      </c>
      <c r="E61" s="22" t="s">
        <v>55</v>
      </c>
      <c r="F61" s="22" t="s">
        <v>65</v>
      </c>
      <c r="G61" s="22" t="s">
        <v>57</v>
      </c>
      <c r="H61" s="23"/>
      <c r="I61" s="23"/>
      <c r="J61" s="22">
        <v>4</v>
      </c>
      <c r="K61" s="22">
        <v>1</v>
      </c>
      <c r="L61" s="22">
        <v>1</v>
      </c>
      <c r="M61" s="23"/>
      <c r="N61" s="22" t="s">
        <v>85</v>
      </c>
      <c r="O61" s="23"/>
      <c r="P61" s="23"/>
      <c r="Q61" s="24">
        <v>1</v>
      </c>
      <c r="R61" s="24">
        <v>2</v>
      </c>
      <c r="S61" s="24">
        <v>2</v>
      </c>
      <c r="T61" s="24">
        <v>2</v>
      </c>
      <c r="U61" s="24">
        <v>3</v>
      </c>
      <c r="V61" s="24">
        <v>3</v>
      </c>
      <c r="W61" s="24">
        <v>4</v>
      </c>
      <c r="X61" s="24">
        <v>4</v>
      </c>
      <c r="Y61" s="24">
        <v>2</v>
      </c>
      <c r="Z61" s="24">
        <v>1</v>
      </c>
      <c r="AA61" s="24">
        <v>3</v>
      </c>
      <c r="AB61" s="24">
        <v>4</v>
      </c>
      <c r="AC61" s="24">
        <v>4</v>
      </c>
      <c r="AD61" s="24">
        <v>4</v>
      </c>
      <c r="AE61" s="24">
        <v>4</v>
      </c>
      <c r="AF61" s="24">
        <v>5</v>
      </c>
      <c r="AG61" s="24">
        <v>4</v>
      </c>
      <c r="AH61" s="24">
        <v>4</v>
      </c>
      <c r="AI61" s="24">
        <v>4</v>
      </c>
      <c r="AJ61" s="24">
        <v>3</v>
      </c>
      <c r="AK61" s="24">
        <v>4</v>
      </c>
      <c r="AL61" s="24">
        <v>4</v>
      </c>
      <c r="AM61" s="23"/>
      <c r="AN61" s="23"/>
      <c r="AO61" s="22" t="s">
        <v>59</v>
      </c>
      <c r="AP61" s="22" t="s">
        <v>941</v>
      </c>
      <c r="AQ61" s="22" t="s">
        <v>942</v>
      </c>
      <c r="AR61" s="22" t="s">
        <v>941</v>
      </c>
    </row>
    <row r="62" spans="1:44">
      <c r="A62" s="22" t="s">
        <v>943</v>
      </c>
      <c r="B62" s="22" t="s">
        <v>768</v>
      </c>
      <c r="C62" s="22" t="s">
        <v>53</v>
      </c>
      <c r="D62" s="22" t="s">
        <v>54</v>
      </c>
      <c r="E62" s="22" t="s">
        <v>72</v>
      </c>
      <c r="F62" s="22" t="s">
        <v>56</v>
      </c>
      <c r="G62" s="22" t="s">
        <v>57</v>
      </c>
      <c r="H62" s="23"/>
      <c r="I62" s="23"/>
      <c r="J62" s="22">
        <v>5</v>
      </c>
      <c r="K62" s="22">
        <v>2</v>
      </c>
      <c r="L62" s="22">
        <v>4</v>
      </c>
      <c r="M62" s="23"/>
      <c r="N62" s="22" t="s">
        <v>115</v>
      </c>
      <c r="O62" s="23"/>
      <c r="P62" s="23"/>
      <c r="Q62" s="24">
        <v>4</v>
      </c>
      <c r="R62" s="24">
        <v>4</v>
      </c>
      <c r="S62" s="24">
        <v>4</v>
      </c>
      <c r="T62" s="24">
        <v>4</v>
      </c>
      <c r="U62" s="24">
        <v>4</v>
      </c>
      <c r="V62" s="24">
        <v>4</v>
      </c>
      <c r="W62" s="24">
        <v>5</v>
      </c>
      <c r="X62" s="24">
        <v>5</v>
      </c>
      <c r="Y62" s="24">
        <v>3</v>
      </c>
      <c r="Z62" s="24">
        <v>4</v>
      </c>
      <c r="AA62" s="24">
        <v>4</v>
      </c>
      <c r="AB62" s="24">
        <v>4</v>
      </c>
      <c r="AC62" s="24">
        <v>5</v>
      </c>
      <c r="AD62" s="24">
        <v>4</v>
      </c>
      <c r="AE62" s="24">
        <v>4</v>
      </c>
      <c r="AF62" s="24">
        <v>5</v>
      </c>
      <c r="AG62" s="24">
        <v>4</v>
      </c>
      <c r="AH62" s="24">
        <v>4</v>
      </c>
      <c r="AI62" s="24">
        <v>3</v>
      </c>
      <c r="AJ62" s="24">
        <v>3</v>
      </c>
      <c r="AK62" s="24">
        <v>4</v>
      </c>
      <c r="AL62" s="24">
        <v>3</v>
      </c>
      <c r="AM62" s="23"/>
      <c r="AN62" s="23"/>
      <c r="AO62" s="22" t="s">
        <v>74</v>
      </c>
      <c r="AP62" s="22" t="s">
        <v>944</v>
      </c>
      <c r="AQ62" s="22" t="s">
        <v>945</v>
      </c>
      <c r="AR62" s="22" t="s">
        <v>946</v>
      </c>
    </row>
    <row r="63" spans="1:44">
      <c r="A63" s="22" t="s">
        <v>947</v>
      </c>
      <c r="B63" s="22" t="s">
        <v>768</v>
      </c>
      <c r="C63" s="22" t="s">
        <v>95</v>
      </c>
      <c r="D63" s="22" t="s">
        <v>98</v>
      </c>
      <c r="E63" s="22" t="s">
        <v>55</v>
      </c>
      <c r="F63" s="22" t="s">
        <v>65</v>
      </c>
      <c r="G63" s="22" t="s">
        <v>57</v>
      </c>
      <c r="H63" s="23"/>
      <c r="I63" s="23"/>
      <c r="J63" s="22">
        <v>5</v>
      </c>
      <c r="K63" s="22">
        <v>3</v>
      </c>
      <c r="L63" s="22">
        <v>2</v>
      </c>
      <c r="M63" s="23"/>
      <c r="N63" s="22" t="s">
        <v>66</v>
      </c>
      <c r="O63" s="23"/>
      <c r="P63" s="23"/>
      <c r="Q63" s="24">
        <v>4</v>
      </c>
      <c r="R63" s="24">
        <v>4</v>
      </c>
      <c r="S63" s="24">
        <v>5</v>
      </c>
      <c r="T63" s="24">
        <v>5</v>
      </c>
      <c r="U63" s="24">
        <v>5</v>
      </c>
      <c r="V63" s="24">
        <v>4</v>
      </c>
      <c r="W63" s="24">
        <v>5</v>
      </c>
      <c r="X63" s="24">
        <v>5</v>
      </c>
      <c r="Y63" s="24">
        <v>5</v>
      </c>
      <c r="Z63" s="24">
        <v>5</v>
      </c>
      <c r="AA63" s="24">
        <v>4</v>
      </c>
      <c r="AB63" s="24">
        <v>5</v>
      </c>
      <c r="AC63" s="24">
        <v>5</v>
      </c>
      <c r="AD63" s="24">
        <v>4</v>
      </c>
      <c r="AE63" s="24">
        <v>4</v>
      </c>
      <c r="AF63" s="24">
        <v>4</v>
      </c>
      <c r="AG63" s="24">
        <v>4</v>
      </c>
      <c r="AH63" s="24">
        <v>4</v>
      </c>
      <c r="AI63" s="24">
        <v>2</v>
      </c>
      <c r="AJ63" s="24">
        <v>4</v>
      </c>
      <c r="AK63" s="24">
        <v>3</v>
      </c>
      <c r="AL63" s="24">
        <v>4</v>
      </c>
      <c r="AM63" s="23"/>
      <c r="AN63" s="23"/>
      <c r="AO63" s="22" t="s">
        <v>59</v>
      </c>
      <c r="AP63" s="22" t="s">
        <v>59</v>
      </c>
      <c r="AQ63" s="22" t="s">
        <v>59</v>
      </c>
      <c r="AR63" s="22" t="s">
        <v>59</v>
      </c>
    </row>
    <row r="66" spans="6:42">
      <c r="F66" s="23"/>
      <c r="G66" s="15" t="s">
        <v>1488</v>
      </c>
      <c r="H66" s="26"/>
      <c r="I66" s="26"/>
      <c r="J66" s="23"/>
      <c r="K66" s="23"/>
      <c r="L66" s="23"/>
      <c r="M66" s="23"/>
      <c r="N66" s="3" t="s">
        <v>3</v>
      </c>
      <c r="O66" s="8"/>
      <c r="P66" s="8"/>
      <c r="Q66" s="65" t="s">
        <v>9</v>
      </c>
      <c r="R66" s="66"/>
      <c r="S66" s="66"/>
      <c r="T66" s="66"/>
      <c r="U66" s="66"/>
      <c r="V66" s="67"/>
      <c r="W66" s="65" t="s">
        <v>10</v>
      </c>
      <c r="X66" s="66"/>
      <c r="Y66" s="66"/>
      <c r="Z66" s="67"/>
      <c r="AA66" s="68" t="s">
        <v>11</v>
      </c>
      <c r="AB66" s="69"/>
      <c r="AC66" s="69"/>
      <c r="AD66" s="69"/>
      <c r="AE66" s="69"/>
      <c r="AF66" s="69"/>
      <c r="AG66" s="70"/>
      <c r="AH66" s="68" t="s">
        <v>12</v>
      </c>
      <c r="AI66" s="69"/>
      <c r="AJ66" s="69"/>
      <c r="AK66" s="69"/>
      <c r="AL66" s="70"/>
      <c r="AM66" s="27"/>
      <c r="AN66" s="27"/>
      <c r="AO66" s="20" t="s">
        <v>48</v>
      </c>
      <c r="AP66" s="23"/>
    </row>
    <row r="67" spans="6:42">
      <c r="F67" s="15" t="s">
        <v>1489</v>
      </c>
      <c r="G67" s="15" t="s">
        <v>1490</v>
      </c>
      <c r="H67" s="33" t="s">
        <v>1504</v>
      </c>
      <c r="I67" s="15"/>
      <c r="J67" s="15" t="s">
        <v>23</v>
      </c>
      <c r="K67" s="15" t="s">
        <v>24</v>
      </c>
      <c r="L67" s="16" t="s">
        <v>25</v>
      </c>
      <c r="M67" s="3" t="s">
        <v>1489</v>
      </c>
      <c r="N67" s="3" t="s">
        <v>1490</v>
      </c>
      <c r="O67" s="33" t="s">
        <v>1504</v>
      </c>
      <c r="P67" s="3"/>
      <c r="Q67" s="17" t="s">
        <v>26</v>
      </c>
      <c r="R67" s="3" t="s">
        <v>27</v>
      </c>
      <c r="S67" s="3" t="s">
        <v>28</v>
      </c>
      <c r="T67" s="18" t="s">
        <v>29</v>
      </c>
      <c r="U67" s="17" t="s">
        <v>30</v>
      </c>
      <c r="V67" s="3" t="s">
        <v>31</v>
      </c>
      <c r="W67" s="17" t="s">
        <v>32</v>
      </c>
      <c r="X67" s="17" t="s">
        <v>33</v>
      </c>
      <c r="Y67" s="17" t="s">
        <v>34</v>
      </c>
      <c r="Z67" s="17" t="s">
        <v>35</v>
      </c>
      <c r="AA67" s="17" t="s">
        <v>36</v>
      </c>
      <c r="AB67" s="17" t="s">
        <v>37</v>
      </c>
      <c r="AC67" s="17" t="s">
        <v>38</v>
      </c>
      <c r="AD67" s="17" t="s">
        <v>39</v>
      </c>
      <c r="AE67" s="17" t="s">
        <v>40</v>
      </c>
      <c r="AF67" s="17" t="s">
        <v>41</v>
      </c>
      <c r="AG67" s="17" t="s">
        <v>42</v>
      </c>
      <c r="AH67" s="17" t="s">
        <v>43</v>
      </c>
      <c r="AI67" s="17" t="s">
        <v>44</v>
      </c>
      <c r="AJ67" s="17" t="s">
        <v>45</v>
      </c>
      <c r="AK67" s="19" t="s">
        <v>46</v>
      </c>
      <c r="AL67" s="19" t="s">
        <v>47</v>
      </c>
      <c r="AM67" s="19"/>
      <c r="AN67" s="20" t="s">
        <v>1489</v>
      </c>
      <c r="AO67" s="20" t="s">
        <v>1490</v>
      </c>
      <c r="AP67" s="33" t="s">
        <v>1504</v>
      </c>
    </row>
    <row r="68" spans="6:42">
      <c r="F68" s="22" t="s">
        <v>80</v>
      </c>
      <c r="G68" s="28">
        <f>COUNTIF($G$4:$G$63,"가끔 사용한다")</f>
        <v>27</v>
      </c>
      <c r="H68" s="34">
        <f>G68/$G$72</f>
        <v>0.45</v>
      </c>
      <c r="I68" s="23" t="s">
        <v>1491</v>
      </c>
      <c r="J68" s="29">
        <f>AVERAGE(J$4:J$63)</f>
        <v>2.95</v>
      </c>
      <c r="K68" s="29">
        <f t="shared" ref="K68:L68" si="0">AVERAGE(K$4:K$63)</f>
        <v>2.25</v>
      </c>
      <c r="L68" s="29">
        <f t="shared" si="0"/>
        <v>1.8666666666666667</v>
      </c>
      <c r="M68" s="29" t="s">
        <v>1492</v>
      </c>
      <c r="N68" s="23">
        <f>COUNTIF($N$4:$N$63, "기본 개념 인지")</f>
        <v>30</v>
      </c>
      <c r="O68" s="34">
        <f>N68/$N$73</f>
        <v>0.5</v>
      </c>
      <c r="P68" s="23" t="s">
        <v>1491</v>
      </c>
      <c r="Q68" s="29">
        <f>AVERAGE(Q$4:Q$63)</f>
        <v>2.9833333333333334</v>
      </c>
      <c r="R68" s="29">
        <f t="shared" ref="R68:AL68" si="1">AVERAGE(R$4:R$63)</f>
        <v>2.5166666666666666</v>
      </c>
      <c r="S68" s="29">
        <f t="shared" si="1"/>
        <v>2.8333333333333335</v>
      </c>
      <c r="T68" s="29">
        <f t="shared" si="1"/>
        <v>2.6833333333333331</v>
      </c>
      <c r="U68" s="29">
        <f t="shared" si="1"/>
        <v>2.95</v>
      </c>
      <c r="V68" s="29">
        <f t="shared" si="1"/>
        <v>3.05</v>
      </c>
      <c r="W68" s="29">
        <f t="shared" si="1"/>
        <v>3.7</v>
      </c>
      <c r="X68" s="29">
        <f t="shared" si="1"/>
        <v>3.4333333333333331</v>
      </c>
      <c r="Y68" s="29">
        <f t="shared" si="1"/>
        <v>3.0833333333333335</v>
      </c>
      <c r="Z68" s="29">
        <f t="shared" si="1"/>
        <v>3.2166666666666668</v>
      </c>
      <c r="AA68" s="29">
        <f t="shared" si="1"/>
        <v>3.5666666666666669</v>
      </c>
      <c r="AB68" s="29">
        <f t="shared" si="1"/>
        <v>3.6333333333333333</v>
      </c>
      <c r="AC68" s="29">
        <f t="shared" si="1"/>
        <v>3.8166666666666669</v>
      </c>
      <c r="AD68" s="29">
        <f t="shared" si="1"/>
        <v>3.7</v>
      </c>
      <c r="AE68" s="29">
        <f t="shared" si="1"/>
        <v>3.4666666666666668</v>
      </c>
      <c r="AF68" s="29">
        <f t="shared" si="1"/>
        <v>3.6666666666666665</v>
      </c>
      <c r="AG68" s="29">
        <f t="shared" si="1"/>
        <v>3.2833333333333332</v>
      </c>
      <c r="AH68" s="29">
        <f t="shared" si="1"/>
        <v>3.65</v>
      </c>
      <c r="AI68" s="29">
        <f t="shared" si="1"/>
        <v>2.8166666666666669</v>
      </c>
      <c r="AJ68" s="29">
        <f t="shared" si="1"/>
        <v>2.7833333333333332</v>
      </c>
      <c r="AK68" s="29">
        <f t="shared" si="1"/>
        <v>3.1666666666666665</v>
      </c>
      <c r="AL68" s="29">
        <f t="shared" si="1"/>
        <v>2.8</v>
      </c>
      <c r="AM68" s="29"/>
      <c r="AN68" s="29" t="s">
        <v>1493</v>
      </c>
      <c r="AO68" s="23">
        <f>COUNTIF($AO$4:$AO$63,"있다")</f>
        <v>21</v>
      </c>
      <c r="AP68" s="34">
        <f>AO68/$AO$70</f>
        <v>0.35</v>
      </c>
    </row>
    <row r="69" spans="6:42">
      <c r="F69" s="28" t="s">
        <v>1494</v>
      </c>
      <c r="G69" s="28">
        <f>COUNTIF($G$4:$G$63,"거의 사용하지 않는다")</f>
        <v>8</v>
      </c>
      <c r="H69" s="34">
        <f t="shared" ref="H69:H72" si="2">G69/$G$72</f>
        <v>0.13333333333333333</v>
      </c>
      <c r="I69" s="23" t="s">
        <v>1495</v>
      </c>
      <c r="J69" s="29">
        <f>_xlfn.STDEV.S(J$4:J$63)</f>
        <v>1.1850051848559962</v>
      </c>
      <c r="K69" s="29">
        <f t="shared" ref="K69:L69" si="3">_xlfn.STDEV.S(K$4:K$63)</f>
        <v>1.0353906983864036</v>
      </c>
      <c r="L69" s="29">
        <f t="shared" si="3"/>
        <v>0.81233429427158721</v>
      </c>
      <c r="M69" s="29" t="s">
        <v>1496</v>
      </c>
      <c r="N69" s="23">
        <f>COUNTIF($N$4:$N$63,"AI 도구 선택 활용 가능")</f>
        <v>15</v>
      </c>
      <c r="O69" s="34">
        <f t="shared" ref="O69:O73" si="4">N69/$N$73</f>
        <v>0.25</v>
      </c>
      <c r="P69" s="23" t="s">
        <v>1495</v>
      </c>
      <c r="Q69" s="29">
        <f>_xlfn.STDEV.S(Q$4:Q$63)</f>
        <v>0.85354031741115077</v>
      </c>
      <c r="R69" s="29">
        <f t="shared" ref="R69:AL69" si="5">_xlfn.STDEV.S(R$4:R$63)</f>
        <v>0.83344632002402064</v>
      </c>
      <c r="S69" s="29">
        <f t="shared" si="5"/>
        <v>0.9771398364036773</v>
      </c>
      <c r="T69" s="29">
        <f t="shared" si="5"/>
        <v>0.94764054307002754</v>
      </c>
      <c r="U69" s="29">
        <f t="shared" si="5"/>
        <v>0.94644741632296037</v>
      </c>
      <c r="V69" s="29">
        <f t="shared" si="5"/>
        <v>0.98161057555116971</v>
      </c>
      <c r="W69" s="29">
        <f t="shared" si="5"/>
        <v>0.86944361714249818</v>
      </c>
      <c r="X69" s="29">
        <f t="shared" si="5"/>
        <v>0.96316333807885846</v>
      </c>
      <c r="Y69" s="29">
        <f t="shared" si="5"/>
        <v>0.92592906465255875</v>
      </c>
      <c r="Z69" s="29">
        <f t="shared" si="5"/>
        <v>0.97583804343018354</v>
      </c>
      <c r="AA69" s="29">
        <f t="shared" si="5"/>
        <v>0.81024513274764154</v>
      </c>
      <c r="AB69" s="29">
        <f t="shared" si="5"/>
        <v>0.90134864427205552</v>
      </c>
      <c r="AC69" s="29">
        <f t="shared" si="5"/>
        <v>0.89237194241852957</v>
      </c>
      <c r="AD69" s="29">
        <f t="shared" si="5"/>
        <v>0.849725778298555</v>
      </c>
      <c r="AE69" s="29">
        <f t="shared" si="5"/>
        <v>0.83293775922001656</v>
      </c>
      <c r="AF69" s="29">
        <f t="shared" si="5"/>
        <v>0.91441685903661907</v>
      </c>
      <c r="AG69" s="29">
        <f t="shared" si="5"/>
        <v>0.99305497938955756</v>
      </c>
      <c r="AH69" s="29">
        <f t="shared" si="5"/>
        <v>0.79883389588846232</v>
      </c>
      <c r="AI69" s="29">
        <f t="shared" si="5"/>
        <v>0.91116737688558913</v>
      </c>
      <c r="AJ69" s="29">
        <f t="shared" si="5"/>
        <v>0.88474197457898485</v>
      </c>
      <c r="AK69" s="29">
        <f t="shared" si="5"/>
        <v>1.0278604842785053</v>
      </c>
      <c r="AL69" s="29">
        <f t="shared" si="5"/>
        <v>0.8791367106043313</v>
      </c>
      <c r="AM69" s="29"/>
      <c r="AN69" s="29" t="s">
        <v>1497</v>
      </c>
      <c r="AO69" s="23">
        <f>COUNTIF($AO$4:$AO$63,"없다")</f>
        <v>39</v>
      </c>
      <c r="AP69" s="34">
        <f t="shared" ref="AP69:AP70" si="6">AO69/$AO$70</f>
        <v>0.65</v>
      </c>
    </row>
    <row r="70" spans="6:42">
      <c r="F70" s="28" t="s">
        <v>1498</v>
      </c>
      <c r="G70" s="28">
        <f>COUNTIF($G$4:$G$63,"사용하지 않는다")</f>
        <v>9</v>
      </c>
      <c r="H70" s="34">
        <f t="shared" si="2"/>
        <v>0.15</v>
      </c>
      <c r="I70" s="23"/>
      <c r="J70" s="29"/>
      <c r="K70" s="29"/>
      <c r="L70" s="29"/>
      <c r="M70" s="29" t="s">
        <v>1499</v>
      </c>
      <c r="N70" s="23">
        <f>COUNTIF($N$4:$N$63, "AI 도구 교차 사용 가능")</f>
        <v>2</v>
      </c>
      <c r="O70" s="34">
        <f t="shared" si="4"/>
        <v>3.3333333333333333E-2</v>
      </c>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t="s">
        <v>1505</v>
      </c>
      <c r="AO70" s="23">
        <f>SUM(AO68:AO69)</f>
        <v>60</v>
      </c>
      <c r="AP70" s="34">
        <f t="shared" si="6"/>
        <v>1</v>
      </c>
    </row>
    <row r="71" spans="6:42">
      <c r="F71" s="28" t="s">
        <v>1500</v>
      </c>
      <c r="G71" s="28">
        <f>COUNTIF($G$4:$G$63,"업무에 자주 활용한다")</f>
        <v>16</v>
      </c>
      <c r="H71" s="34">
        <f t="shared" si="2"/>
        <v>0.26666666666666666</v>
      </c>
      <c r="I71" s="23"/>
      <c r="J71" s="29"/>
      <c r="K71" s="29"/>
      <c r="L71" s="29"/>
      <c r="M71" s="29" t="s">
        <v>1501</v>
      </c>
      <c r="N71" s="23">
        <f>COUNTIF($N$4:$N$63, "실험 및 구현 가능")</f>
        <v>1</v>
      </c>
      <c r="O71" s="34">
        <f t="shared" si="4"/>
        <v>1.6666666666666666E-2</v>
      </c>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row>
    <row r="72" spans="6:42">
      <c r="F72" s="23"/>
      <c r="G72" s="23">
        <f>SUM(G68:G71)</f>
        <v>60</v>
      </c>
      <c r="H72" s="34">
        <f t="shared" si="2"/>
        <v>1</v>
      </c>
      <c r="I72" s="23"/>
      <c r="J72" s="23"/>
      <c r="K72" s="23"/>
      <c r="L72" s="23"/>
      <c r="M72" s="29" t="s">
        <v>1502</v>
      </c>
      <c r="N72" s="23">
        <f>COUNTIF($N$4:$N$63, "잘 모름")</f>
        <v>12</v>
      </c>
      <c r="O72" s="34">
        <f t="shared" si="4"/>
        <v>0.2</v>
      </c>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row>
    <row r="73" spans="6:42">
      <c r="F73" s="23"/>
      <c r="G73" s="23"/>
      <c r="H73" s="23"/>
      <c r="I73" s="23"/>
      <c r="J73" s="23"/>
      <c r="K73" s="23"/>
      <c r="L73" s="23"/>
      <c r="M73" s="23"/>
      <c r="N73" s="23">
        <f>SUM(N68:N72)</f>
        <v>60</v>
      </c>
      <c r="O73" s="34">
        <f t="shared" si="4"/>
        <v>1</v>
      </c>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row>
    <row r="74" spans="6:42">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row>
    <row r="75" spans="6:42">
      <c r="F75" s="23"/>
      <c r="G75" s="23"/>
      <c r="H75" s="23"/>
      <c r="I75" s="23"/>
      <c r="J75" s="15" t="s">
        <v>1503</v>
      </c>
      <c r="K75" s="23"/>
      <c r="L75" s="23"/>
      <c r="M75" s="23"/>
      <c r="N75" s="23"/>
      <c r="O75" s="23"/>
      <c r="P75" s="23"/>
      <c r="Q75" s="30" t="s">
        <v>9</v>
      </c>
      <c r="R75" s="30" t="s">
        <v>10</v>
      </c>
      <c r="S75" s="30" t="s">
        <v>11</v>
      </c>
      <c r="T75" s="30" t="s">
        <v>12</v>
      </c>
      <c r="U75" s="23"/>
      <c r="V75" s="23"/>
      <c r="W75" s="23"/>
      <c r="X75" s="23"/>
      <c r="Y75" s="23"/>
      <c r="Z75" s="23"/>
      <c r="AA75" s="23"/>
      <c r="AB75" s="23"/>
      <c r="AC75" s="23"/>
      <c r="AD75" s="23"/>
      <c r="AE75" s="23"/>
      <c r="AF75" s="23"/>
      <c r="AG75" s="23"/>
      <c r="AH75" s="23"/>
      <c r="AI75" s="23"/>
      <c r="AJ75" s="23"/>
      <c r="AK75" s="23"/>
      <c r="AL75" s="23"/>
      <c r="AM75" s="23"/>
      <c r="AN75" s="23"/>
      <c r="AO75" s="23"/>
      <c r="AP75" s="23"/>
    </row>
    <row r="76" spans="6:42">
      <c r="F76" s="23"/>
      <c r="G76" s="23"/>
      <c r="H76" s="23"/>
      <c r="I76" s="23"/>
      <c r="J76" s="31">
        <f>AVERAGE(J68:L68)</f>
        <v>2.3555555555555556</v>
      </c>
      <c r="K76" s="23"/>
      <c r="L76" s="23"/>
      <c r="M76" s="23"/>
      <c r="N76" s="23"/>
      <c r="O76" s="23"/>
      <c r="P76" s="23"/>
      <c r="Q76" s="31">
        <f>AVERAGE(Q68:V68)</f>
        <v>2.8361111111111117</v>
      </c>
      <c r="R76" s="31">
        <f>AVERAGE(W68:Z68)</f>
        <v>3.3583333333333334</v>
      </c>
      <c r="S76" s="31">
        <f>AVERAGE(AA68:AG68)</f>
        <v>3.5904761904761915</v>
      </c>
      <c r="T76" s="31">
        <f>AVERAGE(AH68:AL68)</f>
        <v>3.043333333333333</v>
      </c>
      <c r="U76" s="23"/>
      <c r="V76" s="23"/>
      <c r="W76" s="23"/>
      <c r="X76" s="23"/>
      <c r="Y76" s="23"/>
      <c r="Z76" s="23"/>
      <c r="AA76" s="23"/>
      <c r="AB76" s="23"/>
      <c r="AC76" s="23"/>
      <c r="AD76" s="23"/>
      <c r="AE76" s="23"/>
      <c r="AF76" s="23"/>
      <c r="AG76" s="23"/>
      <c r="AH76" s="23"/>
      <c r="AI76" s="23"/>
      <c r="AJ76" s="23"/>
      <c r="AK76" s="23"/>
      <c r="AL76" s="23"/>
      <c r="AM76" s="23"/>
      <c r="AN76" s="23"/>
      <c r="AO76" s="23"/>
      <c r="AP76" s="23"/>
    </row>
    <row r="77" spans="6:42">
      <c r="F77" s="23"/>
      <c r="G77" s="23"/>
      <c r="H77" s="23"/>
      <c r="I77" s="23"/>
      <c r="J77" s="32">
        <f>_xlfn.STDEV.S(J4:L63)</f>
        <v>1.1117564854453772</v>
      </c>
      <c r="K77" s="23"/>
      <c r="L77" s="23"/>
      <c r="M77" s="23"/>
      <c r="N77" s="23"/>
      <c r="O77" s="23"/>
      <c r="P77" s="23"/>
      <c r="Q77" s="32">
        <f>_xlfn.STDEV.S(Q4:V63)</f>
        <v>0.93720760425292893</v>
      </c>
      <c r="R77" s="32">
        <f>_xlfn.STDEV.S(W4:Z63)</f>
        <v>0.95764559034567054</v>
      </c>
      <c r="S77" s="32">
        <f>_xlfn.STDEV.S(AA4:AG63)</f>
        <v>0.89490990301554141</v>
      </c>
      <c r="T77" s="32">
        <f>_xlfn.STDEV.S(AH4:AL63)</f>
        <v>0.95804404048068526</v>
      </c>
      <c r="U77" s="23"/>
      <c r="V77" s="23"/>
      <c r="W77" s="23"/>
      <c r="X77" s="23"/>
      <c r="Y77" s="23"/>
      <c r="Z77" s="23"/>
      <c r="AA77" s="23"/>
      <c r="AB77" s="23"/>
      <c r="AC77" s="23"/>
      <c r="AD77" s="23"/>
      <c r="AE77" s="23"/>
      <c r="AF77" s="23"/>
      <c r="AG77" s="23"/>
      <c r="AH77" s="23"/>
      <c r="AI77" s="23"/>
      <c r="AJ77" s="23"/>
      <c r="AK77" s="23"/>
      <c r="AL77" s="23"/>
      <c r="AM77" s="23"/>
      <c r="AN77" s="23"/>
      <c r="AO77" s="23"/>
      <c r="AP77" s="23"/>
    </row>
  </sheetData>
  <mergeCells count="15">
    <mergeCell ref="W66:Z66"/>
    <mergeCell ref="AA66:AG66"/>
    <mergeCell ref="AH66:AL66"/>
    <mergeCell ref="AP2:AQ2"/>
    <mergeCell ref="Q66:V66"/>
    <mergeCell ref="B1:F1"/>
    <mergeCell ref="G1:L1"/>
    <mergeCell ref="Q1:AL1"/>
    <mergeCell ref="AO1:AQ1"/>
    <mergeCell ref="B2:F2"/>
    <mergeCell ref="G2:L2"/>
    <mergeCell ref="Q2:V2"/>
    <mergeCell ref="W2:Z2"/>
    <mergeCell ref="AA2:AG2"/>
    <mergeCell ref="AH2:AL2"/>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8DF61-069E-42CF-B94E-05952116A84E}">
  <dimension ref="A1:AR142"/>
  <sheetViews>
    <sheetView topLeftCell="C1" zoomScale="85" zoomScaleNormal="85" workbookViewId="0">
      <selection activeCell="U134" sqref="U134"/>
    </sheetView>
  </sheetViews>
  <sheetFormatPr defaultRowHeight="16.899999999999999"/>
  <sheetData>
    <row r="1" spans="1:44">
      <c r="A1" s="1" t="s">
        <v>0</v>
      </c>
      <c r="B1" s="60" t="s">
        <v>1</v>
      </c>
      <c r="C1" s="60"/>
      <c r="D1" s="60"/>
      <c r="E1" s="60"/>
      <c r="F1" s="60"/>
      <c r="G1" s="61" t="s">
        <v>2</v>
      </c>
      <c r="H1" s="61"/>
      <c r="I1" s="61"/>
      <c r="J1" s="61"/>
      <c r="K1" s="61"/>
      <c r="L1" s="61"/>
      <c r="M1" s="2"/>
      <c r="N1" s="3" t="s">
        <v>3</v>
      </c>
      <c r="O1" s="3"/>
      <c r="P1" s="3"/>
      <c r="Q1" s="56" t="s">
        <v>4</v>
      </c>
      <c r="R1" s="56"/>
      <c r="S1" s="56"/>
      <c r="T1" s="56"/>
      <c r="U1" s="56"/>
      <c r="V1" s="56"/>
      <c r="W1" s="56"/>
      <c r="X1" s="56"/>
      <c r="Y1" s="56"/>
      <c r="Z1" s="56"/>
      <c r="AA1" s="56"/>
      <c r="AB1" s="56"/>
      <c r="AC1" s="56"/>
      <c r="AD1" s="56"/>
      <c r="AE1" s="56"/>
      <c r="AF1" s="56"/>
      <c r="AG1" s="56"/>
      <c r="AH1" s="56"/>
      <c r="AI1" s="56"/>
      <c r="AJ1" s="56"/>
      <c r="AK1" s="56"/>
      <c r="AL1" s="56"/>
      <c r="AM1" s="4"/>
      <c r="AN1" s="4"/>
      <c r="AO1" s="62" t="s">
        <v>5</v>
      </c>
      <c r="AP1" s="62"/>
      <c r="AQ1" s="62"/>
      <c r="AR1" s="5" t="s">
        <v>6</v>
      </c>
    </row>
    <row r="2" spans="1:44">
      <c r="A2" s="6" t="s">
        <v>7</v>
      </c>
      <c r="B2" s="63" t="s">
        <v>1</v>
      </c>
      <c r="C2" s="63"/>
      <c r="D2" s="63"/>
      <c r="E2" s="63"/>
      <c r="F2" s="63"/>
      <c r="G2" s="64" t="s">
        <v>8</v>
      </c>
      <c r="H2" s="64"/>
      <c r="I2" s="64"/>
      <c r="J2" s="64"/>
      <c r="K2" s="64"/>
      <c r="L2" s="64"/>
      <c r="M2" s="7"/>
      <c r="N2" s="3" t="s">
        <v>3</v>
      </c>
      <c r="O2" s="8"/>
      <c r="P2" s="8"/>
      <c r="Q2" s="65" t="s">
        <v>9</v>
      </c>
      <c r="R2" s="66"/>
      <c r="S2" s="66"/>
      <c r="T2" s="66"/>
      <c r="U2" s="66"/>
      <c r="V2" s="67"/>
      <c r="W2" s="65" t="s">
        <v>10</v>
      </c>
      <c r="X2" s="66"/>
      <c r="Y2" s="66"/>
      <c r="Z2" s="67"/>
      <c r="AA2" s="68" t="s">
        <v>11</v>
      </c>
      <c r="AB2" s="69"/>
      <c r="AC2" s="69"/>
      <c r="AD2" s="69"/>
      <c r="AE2" s="69"/>
      <c r="AF2" s="69"/>
      <c r="AG2" s="70"/>
      <c r="AH2" s="68" t="s">
        <v>12</v>
      </c>
      <c r="AI2" s="69"/>
      <c r="AJ2" s="69"/>
      <c r="AK2" s="69"/>
      <c r="AL2" s="70"/>
      <c r="AM2" s="9"/>
      <c r="AN2" s="9"/>
      <c r="AO2" s="10" t="s">
        <v>13</v>
      </c>
      <c r="AP2" s="71" t="s">
        <v>14</v>
      </c>
      <c r="AQ2" s="71"/>
      <c r="AR2" s="11" t="s">
        <v>15</v>
      </c>
    </row>
    <row r="3" spans="1:44">
      <c r="A3" s="12" t="s">
        <v>16</v>
      </c>
      <c r="B3" s="13" t="s">
        <v>17</v>
      </c>
      <c r="C3" s="14" t="s">
        <v>18</v>
      </c>
      <c r="D3" s="14" t="s">
        <v>19</v>
      </c>
      <c r="E3" s="14" t="s">
        <v>20</v>
      </c>
      <c r="F3" s="14" t="s">
        <v>21</v>
      </c>
      <c r="G3" s="15" t="s">
        <v>22</v>
      </c>
      <c r="H3" s="15"/>
      <c r="I3" s="15"/>
      <c r="J3" s="15" t="s">
        <v>23</v>
      </c>
      <c r="K3" s="15" t="s">
        <v>24</v>
      </c>
      <c r="L3" s="16" t="s">
        <v>25</v>
      </c>
      <c r="M3" s="16"/>
      <c r="N3" s="3" t="s">
        <v>3</v>
      </c>
      <c r="O3" s="3"/>
      <c r="P3" s="3"/>
      <c r="Q3" s="17" t="s">
        <v>26</v>
      </c>
      <c r="R3" s="3" t="s">
        <v>27</v>
      </c>
      <c r="S3" s="3" t="s">
        <v>28</v>
      </c>
      <c r="T3" s="18" t="s">
        <v>29</v>
      </c>
      <c r="U3" s="17" t="s">
        <v>30</v>
      </c>
      <c r="V3" s="3" t="s">
        <v>31</v>
      </c>
      <c r="W3" s="17" t="s">
        <v>32</v>
      </c>
      <c r="X3" s="17" t="s">
        <v>33</v>
      </c>
      <c r="Y3" s="17" t="s">
        <v>34</v>
      </c>
      <c r="Z3" s="17" t="s">
        <v>35</v>
      </c>
      <c r="AA3" s="17" t="s">
        <v>36</v>
      </c>
      <c r="AB3" s="17" t="s">
        <v>37</v>
      </c>
      <c r="AC3" s="17" t="s">
        <v>38</v>
      </c>
      <c r="AD3" s="17" t="s">
        <v>39</v>
      </c>
      <c r="AE3" s="17" t="s">
        <v>40</v>
      </c>
      <c r="AF3" s="17" t="s">
        <v>41</v>
      </c>
      <c r="AG3" s="17" t="s">
        <v>42</v>
      </c>
      <c r="AH3" s="17" t="s">
        <v>43</v>
      </c>
      <c r="AI3" s="17" t="s">
        <v>44</v>
      </c>
      <c r="AJ3" s="17" t="s">
        <v>45</v>
      </c>
      <c r="AK3" s="19" t="s">
        <v>46</v>
      </c>
      <c r="AL3" s="19" t="s">
        <v>47</v>
      </c>
      <c r="AM3" s="19"/>
      <c r="AN3" s="19"/>
      <c r="AO3" s="20" t="s">
        <v>48</v>
      </c>
      <c r="AP3" s="20" t="s">
        <v>49</v>
      </c>
      <c r="AQ3" s="20" t="s">
        <v>50</v>
      </c>
      <c r="AR3" s="21" t="s">
        <v>15</v>
      </c>
    </row>
    <row r="4" spans="1:44">
      <c r="A4" s="22" t="s">
        <v>948</v>
      </c>
      <c r="B4" s="22" t="s">
        <v>949</v>
      </c>
      <c r="C4" s="22" t="s">
        <v>95</v>
      </c>
      <c r="D4" s="22" t="s">
        <v>98</v>
      </c>
      <c r="E4" s="22" t="s">
        <v>55</v>
      </c>
      <c r="F4" s="22" t="s">
        <v>136</v>
      </c>
      <c r="G4" s="22" t="s">
        <v>80</v>
      </c>
      <c r="H4" s="23"/>
      <c r="I4" s="23"/>
      <c r="J4" s="22">
        <v>2</v>
      </c>
      <c r="K4" s="22">
        <v>1</v>
      </c>
      <c r="L4" s="22">
        <v>1</v>
      </c>
      <c r="M4" s="23"/>
      <c r="N4" s="22" t="s">
        <v>58</v>
      </c>
      <c r="O4" s="23"/>
      <c r="P4" s="23"/>
      <c r="Q4" s="24">
        <v>4</v>
      </c>
      <c r="R4" s="24">
        <v>3</v>
      </c>
      <c r="S4" s="24">
        <v>4</v>
      </c>
      <c r="T4" s="24">
        <v>4</v>
      </c>
      <c r="U4" s="24">
        <v>4</v>
      </c>
      <c r="V4" s="24">
        <v>4</v>
      </c>
      <c r="W4" s="24">
        <v>4</v>
      </c>
      <c r="X4" s="24">
        <v>4</v>
      </c>
      <c r="Y4" s="24">
        <v>4</v>
      </c>
      <c r="Z4" s="24">
        <v>4</v>
      </c>
      <c r="AA4" s="24">
        <v>3</v>
      </c>
      <c r="AB4" s="24">
        <v>4</v>
      </c>
      <c r="AC4" s="24">
        <v>4</v>
      </c>
      <c r="AD4" s="24">
        <v>3</v>
      </c>
      <c r="AE4" s="24">
        <v>3</v>
      </c>
      <c r="AF4" s="24">
        <v>3</v>
      </c>
      <c r="AG4" s="24">
        <v>4</v>
      </c>
      <c r="AH4" s="24">
        <v>3</v>
      </c>
      <c r="AI4" s="24">
        <v>4</v>
      </c>
      <c r="AJ4" s="24">
        <v>2</v>
      </c>
      <c r="AK4" s="24">
        <v>2</v>
      </c>
      <c r="AL4" s="24">
        <v>3</v>
      </c>
      <c r="AM4" s="23"/>
      <c r="AN4" s="23"/>
      <c r="AO4" s="22" t="s">
        <v>59</v>
      </c>
      <c r="AP4" s="22" t="s">
        <v>59</v>
      </c>
      <c r="AQ4" s="22" t="s">
        <v>950</v>
      </c>
      <c r="AR4" s="22" t="s">
        <v>951</v>
      </c>
    </row>
    <row r="5" spans="1:44">
      <c r="A5" s="22" t="s">
        <v>952</v>
      </c>
      <c r="B5" s="22" t="s">
        <v>949</v>
      </c>
      <c r="C5" s="22" t="s">
        <v>95</v>
      </c>
      <c r="D5" s="22" t="s">
        <v>98</v>
      </c>
      <c r="E5" s="22" t="s">
        <v>55</v>
      </c>
      <c r="F5" s="22" t="s">
        <v>136</v>
      </c>
      <c r="G5" s="22" t="s">
        <v>80</v>
      </c>
      <c r="H5" s="23"/>
      <c r="I5" s="23"/>
      <c r="J5" s="22">
        <v>3</v>
      </c>
      <c r="K5" s="22">
        <v>2</v>
      </c>
      <c r="L5" s="22">
        <v>2</v>
      </c>
      <c r="M5" s="23"/>
      <c r="N5" s="22" t="s">
        <v>58</v>
      </c>
      <c r="O5" s="23"/>
      <c r="P5" s="23"/>
      <c r="Q5" s="24">
        <v>4</v>
      </c>
      <c r="R5" s="24">
        <v>3</v>
      </c>
      <c r="S5" s="24">
        <v>3</v>
      </c>
      <c r="T5" s="24">
        <v>3</v>
      </c>
      <c r="U5" s="24">
        <v>3</v>
      </c>
      <c r="V5" s="24">
        <v>4</v>
      </c>
      <c r="W5" s="24">
        <v>4</v>
      </c>
      <c r="X5" s="24">
        <v>4</v>
      </c>
      <c r="Y5" s="24">
        <v>5</v>
      </c>
      <c r="Z5" s="24">
        <v>3</v>
      </c>
      <c r="AA5" s="24">
        <v>4</v>
      </c>
      <c r="AB5" s="24">
        <v>4</v>
      </c>
      <c r="AC5" s="24">
        <v>4</v>
      </c>
      <c r="AD5" s="24">
        <v>4</v>
      </c>
      <c r="AE5" s="24">
        <v>3</v>
      </c>
      <c r="AF5" s="24">
        <v>4</v>
      </c>
      <c r="AG5" s="24">
        <v>4</v>
      </c>
      <c r="AH5" s="24">
        <v>4</v>
      </c>
      <c r="AI5" s="24">
        <v>4</v>
      </c>
      <c r="AJ5" s="24">
        <v>4</v>
      </c>
      <c r="AK5" s="24">
        <v>4</v>
      </c>
      <c r="AL5" s="24">
        <v>3</v>
      </c>
      <c r="AM5" s="23"/>
      <c r="AN5" s="23"/>
      <c r="AO5" s="22" t="s">
        <v>59</v>
      </c>
      <c r="AP5" s="22" t="s">
        <v>953</v>
      </c>
      <c r="AQ5" s="22" t="s">
        <v>954</v>
      </c>
      <c r="AR5" s="22" t="s">
        <v>955</v>
      </c>
    </row>
    <row r="6" spans="1:44" hidden="1">
      <c r="A6" s="22" t="s">
        <v>956</v>
      </c>
      <c r="B6" s="22" t="s">
        <v>949</v>
      </c>
      <c r="C6" s="22" t="s">
        <v>79</v>
      </c>
      <c r="D6" s="22" t="s">
        <v>64</v>
      </c>
      <c r="E6" s="22" t="s">
        <v>55</v>
      </c>
      <c r="F6" s="22" t="s">
        <v>65</v>
      </c>
      <c r="G6" s="22" t="s">
        <v>57</v>
      </c>
      <c r="H6" s="23"/>
      <c r="I6" s="23"/>
      <c r="J6" s="22">
        <v>2</v>
      </c>
      <c r="K6" s="22">
        <v>1</v>
      </c>
      <c r="L6" s="22">
        <v>1</v>
      </c>
      <c r="M6" s="23"/>
      <c r="N6" s="22" t="s">
        <v>66</v>
      </c>
      <c r="O6" s="23"/>
      <c r="P6" s="23"/>
      <c r="Q6" s="24">
        <v>1</v>
      </c>
      <c r="R6" s="24">
        <v>1</v>
      </c>
      <c r="S6" s="24">
        <v>2</v>
      </c>
      <c r="T6" s="24">
        <v>2</v>
      </c>
      <c r="U6" s="24">
        <v>4</v>
      </c>
      <c r="V6" s="24">
        <v>5</v>
      </c>
      <c r="W6" s="24">
        <v>4</v>
      </c>
      <c r="X6" s="24">
        <v>4</v>
      </c>
      <c r="Y6" s="24">
        <v>4</v>
      </c>
      <c r="Z6" s="24">
        <v>4</v>
      </c>
      <c r="AA6" s="24">
        <v>4</v>
      </c>
      <c r="AB6" s="24">
        <v>5</v>
      </c>
      <c r="AC6" s="24">
        <v>4</v>
      </c>
      <c r="AD6" s="24">
        <v>5</v>
      </c>
      <c r="AE6" s="24">
        <v>4</v>
      </c>
      <c r="AF6" s="24">
        <v>5</v>
      </c>
      <c r="AG6" s="24">
        <v>5</v>
      </c>
      <c r="AH6" s="24">
        <v>4</v>
      </c>
      <c r="AI6" s="24">
        <v>2</v>
      </c>
      <c r="AJ6" s="24">
        <v>2</v>
      </c>
      <c r="AK6" s="24">
        <v>2</v>
      </c>
      <c r="AL6" s="24">
        <v>1</v>
      </c>
      <c r="AM6" s="23"/>
      <c r="AN6" s="23"/>
      <c r="AO6" s="22" t="s">
        <v>59</v>
      </c>
      <c r="AP6" s="22" t="s">
        <v>957</v>
      </c>
      <c r="AQ6" s="22" t="s">
        <v>282</v>
      </c>
      <c r="AR6" s="22" t="s">
        <v>958</v>
      </c>
    </row>
    <row r="7" spans="1:44" hidden="1">
      <c r="A7" s="22" t="s">
        <v>959</v>
      </c>
      <c r="B7" s="22" t="s">
        <v>949</v>
      </c>
      <c r="C7" s="22" t="s">
        <v>90</v>
      </c>
      <c r="D7" s="22" t="s">
        <v>64</v>
      </c>
      <c r="E7" s="22" t="s">
        <v>72</v>
      </c>
      <c r="F7" s="22" t="s">
        <v>65</v>
      </c>
      <c r="G7" s="22" t="s">
        <v>96</v>
      </c>
      <c r="H7" s="23"/>
      <c r="I7" s="23"/>
      <c r="J7" s="22">
        <v>1</v>
      </c>
      <c r="K7" s="22">
        <v>1</v>
      </c>
      <c r="L7" s="22">
        <v>1</v>
      </c>
      <c r="M7" s="23"/>
      <c r="N7" s="22" t="s">
        <v>58</v>
      </c>
      <c r="O7" s="23"/>
      <c r="P7" s="23"/>
      <c r="Q7" s="24">
        <v>3</v>
      </c>
      <c r="R7" s="24">
        <v>3</v>
      </c>
      <c r="S7" s="24">
        <v>1</v>
      </c>
      <c r="T7" s="24">
        <v>1</v>
      </c>
      <c r="U7" s="24">
        <v>1</v>
      </c>
      <c r="V7" s="24">
        <v>1</v>
      </c>
      <c r="W7" s="24">
        <v>4</v>
      </c>
      <c r="X7" s="24">
        <v>4</v>
      </c>
      <c r="Y7" s="24">
        <v>3</v>
      </c>
      <c r="Z7" s="24">
        <v>4</v>
      </c>
      <c r="AA7" s="24">
        <v>2</v>
      </c>
      <c r="AB7" s="24">
        <v>1</v>
      </c>
      <c r="AC7" s="24">
        <v>2</v>
      </c>
      <c r="AD7" s="24">
        <v>1</v>
      </c>
      <c r="AE7" s="24">
        <v>1</v>
      </c>
      <c r="AF7" s="24">
        <v>2</v>
      </c>
      <c r="AG7" s="24">
        <v>2</v>
      </c>
      <c r="AH7" s="24">
        <v>2</v>
      </c>
      <c r="AI7" s="24">
        <v>3</v>
      </c>
      <c r="AJ7" s="24">
        <v>3</v>
      </c>
      <c r="AK7" s="24">
        <v>3</v>
      </c>
      <c r="AL7" s="24">
        <v>3</v>
      </c>
      <c r="AM7" s="23"/>
      <c r="AN7" s="23"/>
      <c r="AO7" s="22" t="s">
        <v>59</v>
      </c>
      <c r="AP7" s="22" t="s">
        <v>960</v>
      </c>
      <c r="AQ7" s="22" t="s">
        <v>961</v>
      </c>
      <c r="AR7" s="22" t="s">
        <v>962</v>
      </c>
    </row>
    <row r="8" spans="1:44" hidden="1">
      <c r="A8" s="22" t="s">
        <v>240</v>
      </c>
      <c r="B8" s="22" t="s">
        <v>949</v>
      </c>
      <c r="C8" s="22" t="s">
        <v>95</v>
      </c>
      <c r="D8" s="22" t="s">
        <v>64</v>
      </c>
      <c r="E8" s="22" t="s">
        <v>55</v>
      </c>
      <c r="F8" s="22" t="s">
        <v>65</v>
      </c>
      <c r="G8" s="22" t="s">
        <v>57</v>
      </c>
      <c r="H8" s="23"/>
      <c r="I8" s="23"/>
      <c r="J8" s="22">
        <v>3</v>
      </c>
      <c r="K8" s="22">
        <v>4</v>
      </c>
      <c r="L8" s="22">
        <v>2</v>
      </c>
      <c r="M8" s="23"/>
      <c r="N8" s="22" t="s">
        <v>58</v>
      </c>
      <c r="O8" s="23"/>
      <c r="P8" s="23"/>
      <c r="Q8" s="24">
        <v>3</v>
      </c>
      <c r="R8" s="24">
        <v>2</v>
      </c>
      <c r="S8" s="24">
        <v>4</v>
      </c>
      <c r="T8" s="24">
        <v>3</v>
      </c>
      <c r="U8" s="24">
        <v>4</v>
      </c>
      <c r="V8" s="24">
        <v>4</v>
      </c>
      <c r="W8" s="24">
        <v>3</v>
      </c>
      <c r="X8" s="24">
        <v>3</v>
      </c>
      <c r="Y8" s="24">
        <v>3</v>
      </c>
      <c r="Z8" s="24">
        <v>3</v>
      </c>
      <c r="AA8" s="24">
        <v>3</v>
      </c>
      <c r="AB8" s="24">
        <v>4</v>
      </c>
      <c r="AC8" s="24">
        <v>4</v>
      </c>
      <c r="AD8" s="24">
        <v>4</v>
      </c>
      <c r="AE8" s="24">
        <v>3</v>
      </c>
      <c r="AF8" s="24">
        <v>4</v>
      </c>
      <c r="AG8" s="24">
        <v>4</v>
      </c>
      <c r="AH8" s="24">
        <v>4</v>
      </c>
      <c r="AI8" s="24">
        <v>4</v>
      </c>
      <c r="AJ8" s="24">
        <v>4</v>
      </c>
      <c r="AK8" s="24">
        <v>4</v>
      </c>
      <c r="AL8" s="24">
        <v>3</v>
      </c>
      <c r="AM8" s="23"/>
      <c r="AN8" s="23"/>
      <c r="AO8" s="22" t="s">
        <v>59</v>
      </c>
      <c r="AP8" s="22" t="s">
        <v>963</v>
      </c>
      <c r="AQ8" s="22" t="s">
        <v>964</v>
      </c>
      <c r="AR8" s="22" t="s">
        <v>965</v>
      </c>
    </row>
    <row r="9" spans="1:44" hidden="1">
      <c r="A9" s="22" t="s">
        <v>966</v>
      </c>
      <c r="B9" s="22" t="s">
        <v>949</v>
      </c>
      <c r="C9" s="22" t="s">
        <v>53</v>
      </c>
      <c r="D9" s="22" t="s">
        <v>54</v>
      </c>
      <c r="E9" s="22" t="s">
        <v>55</v>
      </c>
      <c r="F9" s="22" t="s">
        <v>65</v>
      </c>
      <c r="G9" s="22" t="s">
        <v>80</v>
      </c>
      <c r="H9" s="23"/>
      <c r="I9" s="23"/>
      <c r="J9" s="22">
        <v>4</v>
      </c>
      <c r="K9" s="22">
        <v>4</v>
      </c>
      <c r="L9" s="22">
        <v>3</v>
      </c>
      <c r="M9" s="23"/>
      <c r="N9" s="22" t="s">
        <v>66</v>
      </c>
      <c r="O9" s="23"/>
      <c r="P9" s="23"/>
      <c r="Q9" s="24">
        <v>4</v>
      </c>
      <c r="R9" s="24">
        <v>4</v>
      </c>
      <c r="S9" s="24">
        <v>4</v>
      </c>
      <c r="T9" s="24">
        <v>4</v>
      </c>
      <c r="U9" s="24">
        <v>4</v>
      </c>
      <c r="V9" s="24">
        <v>4</v>
      </c>
      <c r="W9" s="24">
        <v>4</v>
      </c>
      <c r="X9" s="24">
        <v>4</v>
      </c>
      <c r="Y9" s="24">
        <v>4</v>
      </c>
      <c r="Z9" s="24">
        <v>4</v>
      </c>
      <c r="AA9" s="24">
        <v>4</v>
      </c>
      <c r="AB9" s="24">
        <v>4</v>
      </c>
      <c r="AC9" s="24">
        <v>4</v>
      </c>
      <c r="AD9" s="24">
        <v>4</v>
      </c>
      <c r="AE9" s="24">
        <v>4</v>
      </c>
      <c r="AF9" s="24">
        <v>4</v>
      </c>
      <c r="AG9" s="24">
        <v>4</v>
      </c>
      <c r="AH9" s="24">
        <v>4</v>
      </c>
      <c r="AI9" s="24">
        <v>4</v>
      </c>
      <c r="AJ9" s="24">
        <v>4</v>
      </c>
      <c r="AK9" s="24">
        <v>4</v>
      </c>
      <c r="AL9" s="24">
        <v>4</v>
      </c>
      <c r="AM9" s="23"/>
      <c r="AN9" s="23"/>
      <c r="AO9" s="22" t="s">
        <v>74</v>
      </c>
      <c r="AP9" s="22" t="s">
        <v>967</v>
      </c>
      <c r="AQ9" s="22" t="s">
        <v>968</v>
      </c>
      <c r="AR9" s="22" t="s">
        <v>969</v>
      </c>
    </row>
    <row r="10" spans="1:44" hidden="1">
      <c r="A10" s="22" t="s">
        <v>970</v>
      </c>
      <c r="B10" s="22" t="s">
        <v>949</v>
      </c>
      <c r="C10" s="22" t="s">
        <v>53</v>
      </c>
      <c r="D10" s="22" t="s">
        <v>98</v>
      </c>
      <c r="E10" s="22" t="s">
        <v>55</v>
      </c>
      <c r="F10" s="22" t="s">
        <v>136</v>
      </c>
      <c r="G10" s="22" t="s">
        <v>80</v>
      </c>
      <c r="H10" s="23"/>
      <c r="I10" s="23"/>
      <c r="J10" s="22">
        <v>4</v>
      </c>
      <c r="K10" s="22">
        <v>2</v>
      </c>
      <c r="L10" s="22">
        <v>2</v>
      </c>
      <c r="M10" s="23"/>
      <c r="N10" s="22" t="s">
        <v>58</v>
      </c>
      <c r="O10" s="23"/>
      <c r="P10" s="23"/>
      <c r="Q10" s="24">
        <v>3</v>
      </c>
      <c r="R10" s="24">
        <v>2</v>
      </c>
      <c r="S10" s="24">
        <v>3</v>
      </c>
      <c r="T10" s="24">
        <v>3</v>
      </c>
      <c r="U10" s="24">
        <v>4</v>
      </c>
      <c r="V10" s="24">
        <v>3</v>
      </c>
      <c r="W10" s="24">
        <v>3</v>
      </c>
      <c r="X10" s="24">
        <v>3</v>
      </c>
      <c r="Y10" s="24">
        <v>3</v>
      </c>
      <c r="Z10" s="24">
        <v>3</v>
      </c>
      <c r="AA10" s="24">
        <v>3</v>
      </c>
      <c r="AB10" s="24">
        <v>3</v>
      </c>
      <c r="AC10" s="24">
        <v>3</v>
      </c>
      <c r="AD10" s="24">
        <v>3</v>
      </c>
      <c r="AE10" s="24">
        <v>3</v>
      </c>
      <c r="AF10" s="24">
        <v>3</v>
      </c>
      <c r="AG10" s="24">
        <v>4</v>
      </c>
      <c r="AH10" s="24">
        <v>3</v>
      </c>
      <c r="AI10" s="24">
        <v>3</v>
      </c>
      <c r="AJ10" s="24">
        <v>4</v>
      </c>
      <c r="AK10" s="24">
        <v>3</v>
      </c>
      <c r="AL10" s="24">
        <v>3</v>
      </c>
      <c r="AM10" s="23"/>
      <c r="AN10" s="23"/>
      <c r="AO10" s="22" t="s">
        <v>59</v>
      </c>
      <c r="AP10" s="22" t="s">
        <v>971</v>
      </c>
      <c r="AQ10" s="22" t="s">
        <v>120</v>
      </c>
      <c r="AR10" s="22" t="s">
        <v>972</v>
      </c>
    </row>
    <row r="11" spans="1:44" hidden="1">
      <c r="A11" s="22" t="s">
        <v>973</v>
      </c>
      <c r="B11" s="22" t="s">
        <v>949</v>
      </c>
      <c r="C11" s="22" t="s">
        <v>53</v>
      </c>
      <c r="D11" s="22" t="s">
        <v>64</v>
      </c>
      <c r="E11" s="22" t="s">
        <v>55</v>
      </c>
      <c r="F11" s="22" t="s">
        <v>65</v>
      </c>
      <c r="G11" s="22" t="s">
        <v>57</v>
      </c>
      <c r="H11" s="23"/>
      <c r="I11" s="23"/>
      <c r="J11" s="22">
        <v>5</v>
      </c>
      <c r="K11" s="22">
        <v>4</v>
      </c>
      <c r="L11" s="22">
        <v>3</v>
      </c>
      <c r="M11" s="23"/>
      <c r="N11" s="22" t="s">
        <v>66</v>
      </c>
      <c r="O11" s="23"/>
      <c r="P11" s="23"/>
      <c r="Q11" s="24">
        <v>3</v>
      </c>
      <c r="R11" s="24">
        <v>3</v>
      </c>
      <c r="S11" s="24">
        <v>4</v>
      </c>
      <c r="T11" s="24">
        <v>3</v>
      </c>
      <c r="U11" s="24">
        <v>3</v>
      </c>
      <c r="V11" s="24">
        <v>3</v>
      </c>
      <c r="W11" s="24">
        <v>4</v>
      </c>
      <c r="X11" s="24">
        <v>4</v>
      </c>
      <c r="Y11" s="24">
        <v>3</v>
      </c>
      <c r="Z11" s="24">
        <v>4</v>
      </c>
      <c r="AA11" s="24">
        <v>3</v>
      </c>
      <c r="AB11" s="24">
        <v>4</v>
      </c>
      <c r="AC11" s="24">
        <v>3</v>
      </c>
      <c r="AD11" s="24">
        <v>4</v>
      </c>
      <c r="AE11" s="24">
        <v>3</v>
      </c>
      <c r="AF11" s="24">
        <v>4</v>
      </c>
      <c r="AG11" s="24">
        <v>4</v>
      </c>
      <c r="AH11" s="24">
        <v>4</v>
      </c>
      <c r="AI11" s="24">
        <v>3</v>
      </c>
      <c r="AJ11" s="24">
        <v>3</v>
      </c>
      <c r="AK11" s="24">
        <v>3</v>
      </c>
      <c r="AL11" s="24">
        <v>3</v>
      </c>
      <c r="AM11" s="23"/>
      <c r="AN11" s="23"/>
      <c r="AO11" s="22" t="s">
        <v>59</v>
      </c>
      <c r="AP11" s="22" t="s">
        <v>974</v>
      </c>
      <c r="AQ11" s="22" t="s">
        <v>975</v>
      </c>
      <c r="AR11" s="22" t="s">
        <v>976</v>
      </c>
    </row>
    <row r="12" spans="1:44" hidden="1">
      <c r="A12" s="22" t="s">
        <v>977</v>
      </c>
      <c r="B12" s="22" t="s">
        <v>949</v>
      </c>
      <c r="C12" s="22" t="s">
        <v>95</v>
      </c>
      <c r="D12" s="22" t="s">
        <v>64</v>
      </c>
      <c r="E12" s="22" t="s">
        <v>55</v>
      </c>
      <c r="F12" s="22" t="s">
        <v>65</v>
      </c>
      <c r="G12" s="22" t="s">
        <v>80</v>
      </c>
      <c r="H12" s="23"/>
      <c r="I12" s="23"/>
      <c r="J12" s="22">
        <v>4</v>
      </c>
      <c r="K12" s="22">
        <v>1</v>
      </c>
      <c r="L12" s="22">
        <v>1</v>
      </c>
      <c r="M12" s="23"/>
      <c r="N12" s="22" t="s">
        <v>85</v>
      </c>
      <c r="O12" s="23"/>
      <c r="P12" s="23"/>
      <c r="Q12" s="24">
        <v>1</v>
      </c>
      <c r="R12" s="24">
        <v>1</v>
      </c>
      <c r="S12" s="24">
        <v>1</v>
      </c>
      <c r="T12" s="24">
        <v>1</v>
      </c>
      <c r="U12" s="24">
        <v>1</v>
      </c>
      <c r="V12" s="24">
        <v>1</v>
      </c>
      <c r="W12" s="24">
        <v>1</v>
      </c>
      <c r="X12" s="24">
        <v>1</v>
      </c>
      <c r="Y12" s="24">
        <v>1</v>
      </c>
      <c r="Z12" s="24">
        <v>1</v>
      </c>
      <c r="AA12" s="24">
        <v>1</v>
      </c>
      <c r="AB12" s="24">
        <v>1</v>
      </c>
      <c r="AC12" s="24">
        <v>1</v>
      </c>
      <c r="AD12" s="24">
        <v>1</v>
      </c>
      <c r="AE12" s="24">
        <v>1</v>
      </c>
      <c r="AF12" s="24">
        <v>1</v>
      </c>
      <c r="AG12" s="24">
        <v>1</v>
      </c>
      <c r="AH12" s="24">
        <v>1</v>
      </c>
      <c r="AI12" s="24">
        <v>1</v>
      </c>
      <c r="AJ12" s="24">
        <v>1</v>
      </c>
      <c r="AK12" s="24">
        <v>1</v>
      </c>
      <c r="AL12" s="24">
        <v>1</v>
      </c>
      <c r="AM12" s="23"/>
      <c r="AN12" s="23"/>
      <c r="AO12" s="22" t="s">
        <v>59</v>
      </c>
      <c r="AP12" s="22" t="s">
        <v>146</v>
      </c>
      <c r="AQ12" s="22" t="s">
        <v>978</v>
      </c>
      <c r="AR12" s="22" t="s">
        <v>146</v>
      </c>
    </row>
    <row r="13" spans="1:44" hidden="1">
      <c r="A13" s="22" t="s">
        <v>979</v>
      </c>
      <c r="B13" s="22" t="s">
        <v>949</v>
      </c>
      <c r="C13" s="22" t="s">
        <v>95</v>
      </c>
      <c r="D13" s="22" t="s">
        <v>64</v>
      </c>
      <c r="E13" s="22" t="s">
        <v>55</v>
      </c>
      <c r="F13" s="22" t="s">
        <v>65</v>
      </c>
      <c r="G13" s="22" t="s">
        <v>96</v>
      </c>
      <c r="H13" s="23"/>
      <c r="I13" s="23"/>
      <c r="J13" s="22">
        <v>1</v>
      </c>
      <c r="K13" s="22">
        <v>1</v>
      </c>
      <c r="L13" s="22">
        <v>1</v>
      </c>
      <c r="M13" s="23"/>
      <c r="N13" s="22" t="s">
        <v>85</v>
      </c>
      <c r="O13" s="23"/>
      <c r="P13" s="23"/>
      <c r="Q13" s="24">
        <v>3</v>
      </c>
      <c r="R13" s="24">
        <v>2</v>
      </c>
      <c r="S13" s="24">
        <v>2</v>
      </c>
      <c r="T13" s="24">
        <v>2</v>
      </c>
      <c r="U13" s="24">
        <v>2</v>
      </c>
      <c r="V13" s="24">
        <v>2</v>
      </c>
      <c r="W13" s="24">
        <v>3</v>
      </c>
      <c r="X13" s="24">
        <v>2</v>
      </c>
      <c r="Y13" s="24">
        <v>2</v>
      </c>
      <c r="Z13" s="24">
        <v>2</v>
      </c>
      <c r="AA13" s="24">
        <v>3</v>
      </c>
      <c r="AB13" s="24">
        <v>4</v>
      </c>
      <c r="AC13" s="24">
        <v>3</v>
      </c>
      <c r="AD13" s="24">
        <v>2</v>
      </c>
      <c r="AE13" s="24">
        <v>3</v>
      </c>
      <c r="AF13" s="24">
        <v>4</v>
      </c>
      <c r="AG13" s="24">
        <v>3</v>
      </c>
      <c r="AH13" s="24">
        <v>3</v>
      </c>
      <c r="AI13" s="24">
        <v>2</v>
      </c>
      <c r="AJ13" s="24">
        <v>2</v>
      </c>
      <c r="AK13" s="24">
        <v>2</v>
      </c>
      <c r="AL13" s="24">
        <v>2</v>
      </c>
      <c r="AM13" s="23"/>
      <c r="AN13" s="23"/>
      <c r="AO13" s="22" t="s">
        <v>59</v>
      </c>
      <c r="AP13" s="22" t="s">
        <v>92</v>
      </c>
      <c r="AQ13" s="22" t="s">
        <v>92</v>
      </c>
      <c r="AR13" s="22" t="s">
        <v>92</v>
      </c>
    </row>
    <row r="14" spans="1:44" hidden="1">
      <c r="A14" s="22" t="s">
        <v>980</v>
      </c>
      <c r="B14" s="22" t="s">
        <v>949</v>
      </c>
      <c r="C14" s="22" t="s">
        <v>95</v>
      </c>
      <c r="D14" s="22" t="s">
        <v>64</v>
      </c>
      <c r="E14" s="22" t="s">
        <v>55</v>
      </c>
      <c r="F14" s="22" t="s">
        <v>56</v>
      </c>
      <c r="G14" s="22" t="s">
        <v>96</v>
      </c>
      <c r="H14" s="23"/>
      <c r="I14" s="23"/>
      <c r="J14" s="22">
        <v>1</v>
      </c>
      <c r="K14" s="22">
        <v>1</v>
      </c>
      <c r="L14" s="22">
        <v>2</v>
      </c>
      <c r="M14" s="23"/>
      <c r="N14" s="22" t="s">
        <v>85</v>
      </c>
      <c r="O14" s="23"/>
      <c r="P14" s="23"/>
      <c r="Q14" s="24">
        <v>4</v>
      </c>
      <c r="R14" s="24">
        <v>2</v>
      </c>
      <c r="S14" s="24">
        <v>2</v>
      </c>
      <c r="T14" s="24">
        <v>3</v>
      </c>
      <c r="U14" s="24">
        <v>2</v>
      </c>
      <c r="V14" s="24">
        <v>2</v>
      </c>
      <c r="W14" s="24">
        <v>4</v>
      </c>
      <c r="X14" s="24">
        <v>3</v>
      </c>
      <c r="Y14" s="24">
        <v>2</v>
      </c>
      <c r="Z14" s="24">
        <v>3</v>
      </c>
      <c r="AA14" s="24">
        <v>2</v>
      </c>
      <c r="AB14" s="24">
        <v>3</v>
      </c>
      <c r="AC14" s="24">
        <v>2</v>
      </c>
      <c r="AD14" s="24">
        <v>2</v>
      </c>
      <c r="AE14" s="24">
        <v>2</v>
      </c>
      <c r="AF14" s="24">
        <v>4</v>
      </c>
      <c r="AG14" s="24">
        <v>2</v>
      </c>
      <c r="AH14" s="24">
        <v>2</v>
      </c>
      <c r="AI14" s="24">
        <v>2</v>
      </c>
      <c r="AJ14" s="24">
        <v>2</v>
      </c>
      <c r="AK14" s="24">
        <v>2</v>
      </c>
      <c r="AL14" s="24">
        <v>2</v>
      </c>
      <c r="AM14" s="23"/>
      <c r="AN14" s="23"/>
      <c r="AO14" s="22" t="s">
        <v>59</v>
      </c>
      <c r="AP14" s="22" t="s">
        <v>981</v>
      </c>
      <c r="AQ14" s="22" t="s">
        <v>982</v>
      </c>
      <c r="AR14" s="22" t="s">
        <v>983</v>
      </c>
    </row>
    <row r="15" spans="1:44" hidden="1">
      <c r="A15" s="22" t="s">
        <v>984</v>
      </c>
      <c r="B15" s="22" t="s">
        <v>949</v>
      </c>
      <c r="C15" s="22" t="s">
        <v>95</v>
      </c>
      <c r="D15" s="22" t="s">
        <v>98</v>
      </c>
      <c r="E15" s="22" t="s">
        <v>55</v>
      </c>
      <c r="F15" s="22" t="s">
        <v>65</v>
      </c>
      <c r="G15" s="22" t="s">
        <v>96</v>
      </c>
      <c r="H15" s="23"/>
      <c r="I15" s="23"/>
      <c r="J15" s="22">
        <v>1</v>
      </c>
      <c r="K15" s="22">
        <v>1</v>
      </c>
      <c r="L15" s="22">
        <v>1</v>
      </c>
      <c r="M15" s="23"/>
      <c r="N15" s="22" t="s">
        <v>58</v>
      </c>
      <c r="O15" s="23"/>
      <c r="P15" s="23"/>
      <c r="Q15" s="24">
        <v>3</v>
      </c>
      <c r="R15" s="24">
        <v>2</v>
      </c>
      <c r="S15" s="24">
        <v>3</v>
      </c>
      <c r="T15" s="24">
        <v>3</v>
      </c>
      <c r="U15" s="24">
        <v>3</v>
      </c>
      <c r="V15" s="24">
        <v>2</v>
      </c>
      <c r="W15" s="24">
        <v>4</v>
      </c>
      <c r="X15" s="24">
        <v>4</v>
      </c>
      <c r="Y15" s="24">
        <v>3</v>
      </c>
      <c r="Z15" s="24">
        <v>3</v>
      </c>
      <c r="AA15" s="24">
        <v>3</v>
      </c>
      <c r="AB15" s="24">
        <v>4</v>
      </c>
      <c r="AC15" s="24">
        <v>3</v>
      </c>
      <c r="AD15" s="24">
        <v>3</v>
      </c>
      <c r="AE15" s="24">
        <v>3</v>
      </c>
      <c r="AF15" s="24">
        <v>3</v>
      </c>
      <c r="AG15" s="24">
        <v>3</v>
      </c>
      <c r="AH15" s="24">
        <v>3</v>
      </c>
      <c r="AI15" s="24">
        <v>3</v>
      </c>
      <c r="AJ15" s="24">
        <v>3</v>
      </c>
      <c r="AK15" s="24">
        <v>3</v>
      </c>
      <c r="AL15" s="24">
        <v>3</v>
      </c>
      <c r="AM15" s="23"/>
      <c r="AN15" s="23"/>
      <c r="AO15" s="22" t="s">
        <v>74</v>
      </c>
      <c r="AP15" s="22" t="s">
        <v>985</v>
      </c>
      <c r="AQ15" s="22" t="s">
        <v>140</v>
      </c>
      <c r="AR15" s="22" t="s">
        <v>146</v>
      </c>
    </row>
    <row r="16" spans="1:44" hidden="1">
      <c r="A16" s="22" t="s">
        <v>986</v>
      </c>
      <c r="B16" s="22" t="s">
        <v>949</v>
      </c>
      <c r="C16" s="22" t="s">
        <v>95</v>
      </c>
      <c r="D16" s="22" t="s">
        <v>64</v>
      </c>
      <c r="E16" s="22" t="s">
        <v>55</v>
      </c>
      <c r="F16" s="22" t="s">
        <v>65</v>
      </c>
      <c r="G16" s="22" t="s">
        <v>80</v>
      </c>
      <c r="H16" s="23"/>
      <c r="I16" s="23"/>
      <c r="J16" s="22">
        <v>2</v>
      </c>
      <c r="K16" s="22">
        <v>1</v>
      </c>
      <c r="L16" s="22">
        <v>1</v>
      </c>
      <c r="M16" s="23"/>
      <c r="N16" s="22" t="s">
        <v>85</v>
      </c>
      <c r="O16" s="23"/>
      <c r="P16" s="23"/>
      <c r="Q16" s="24">
        <v>4</v>
      </c>
      <c r="R16" s="24">
        <v>3</v>
      </c>
      <c r="S16" s="24">
        <v>3</v>
      </c>
      <c r="T16" s="24">
        <v>1</v>
      </c>
      <c r="U16" s="24">
        <v>3</v>
      </c>
      <c r="V16" s="24">
        <v>5</v>
      </c>
      <c r="W16" s="24">
        <v>5</v>
      </c>
      <c r="X16" s="24">
        <v>3</v>
      </c>
      <c r="Y16" s="24">
        <v>5</v>
      </c>
      <c r="Z16" s="24">
        <v>4</v>
      </c>
      <c r="AA16" s="24">
        <v>4</v>
      </c>
      <c r="AB16" s="24">
        <v>2</v>
      </c>
      <c r="AC16" s="24">
        <v>3</v>
      </c>
      <c r="AD16" s="24">
        <v>3</v>
      </c>
      <c r="AE16" s="24">
        <v>2</v>
      </c>
      <c r="AF16" s="24">
        <v>5</v>
      </c>
      <c r="AG16" s="24">
        <v>3</v>
      </c>
      <c r="AH16" s="24">
        <v>4</v>
      </c>
      <c r="AI16" s="24">
        <v>4</v>
      </c>
      <c r="AJ16" s="24">
        <v>3</v>
      </c>
      <c r="AK16" s="24">
        <v>3</v>
      </c>
      <c r="AL16" s="24">
        <v>2</v>
      </c>
      <c r="AM16" s="23"/>
      <c r="AN16" s="23"/>
      <c r="AO16" s="22" t="s">
        <v>59</v>
      </c>
      <c r="AP16" s="22" t="s">
        <v>987</v>
      </c>
      <c r="AQ16" s="22" t="s">
        <v>988</v>
      </c>
      <c r="AR16" s="22" t="s">
        <v>989</v>
      </c>
    </row>
    <row r="17" spans="1:44" hidden="1">
      <c r="A17" s="22" t="s">
        <v>990</v>
      </c>
      <c r="B17" s="22" t="s">
        <v>949</v>
      </c>
      <c r="C17" s="22" t="s">
        <v>95</v>
      </c>
      <c r="D17" s="22" t="s">
        <v>64</v>
      </c>
      <c r="E17" s="22" t="s">
        <v>72</v>
      </c>
      <c r="F17" s="22" t="s">
        <v>65</v>
      </c>
      <c r="G17" s="22" t="s">
        <v>57</v>
      </c>
      <c r="H17" s="23"/>
      <c r="I17" s="23"/>
      <c r="J17" s="22">
        <v>3</v>
      </c>
      <c r="K17" s="22">
        <v>2</v>
      </c>
      <c r="L17" s="22">
        <v>2</v>
      </c>
      <c r="M17" s="23"/>
      <c r="N17" s="22" t="s">
        <v>58</v>
      </c>
      <c r="O17" s="23"/>
      <c r="P17" s="23"/>
      <c r="Q17" s="24">
        <v>3</v>
      </c>
      <c r="R17" s="24">
        <v>2</v>
      </c>
      <c r="S17" s="24">
        <v>3</v>
      </c>
      <c r="T17" s="24">
        <v>3</v>
      </c>
      <c r="U17" s="24">
        <v>5</v>
      </c>
      <c r="V17" s="24">
        <v>4</v>
      </c>
      <c r="W17" s="24">
        <v>5</v>
      </c>
      <c r="X17" s="24">
        <v>5</v>
      </c>
      <c r="Y17" s="24">
        <v>5</v>
      </c>
      <c r="Z17" s="24">
        <v>4</v>
      </c>
      <c r="AA17" s="24">
        <v>4</v>
      </c>
      <c r="AB17" s="24">
        <v>4</v>
      </c>
      <c r="AC17" s="24">
        <v>4</v>
      </c>
      <c r="AD17" s="24">
        <v>4</v>
      </c>
      <c r="AE17" s="24">
        <v>3</v>
      </c>
      <c r="AF17" s="24">
        <v>3</v>
      </c>
      <c r="AG17" s="24">
        <v>4</v>
      </c>
      <c r="AH17" s="24">
        <v>3</v>
      </c>
      <c r="AI17" s="24">
        <v>4</v>
      </c>
      <c r="AJ17" s="24">
        <v>4</v>
      </c>
      <c r="AK17" s="24">
        <v>4</v>
      </c>
      <c r="AL17" s="24">
        <v>4</v>
      </c>
      <c r="AM17" s="23"/>
      <c r="AN17" s="23"/>
      <c r="AO17" s="22" t="s">
        <v>59</v>
      </c>
      <c r="AP17" s="22" t="s">
        <v>991</v>
      </c>
      <c r="AQ17" s="22" t="s">
        <v>992</v>
      </c>
      <c r="AR17" s="22" t="s">
        <v>993</v>
      </c>
    </row>
    <row r="18" spans="1:44" hidden="1">
      <c r="A18" s="22" t="s">
        <v>994</v>
      </c>
      <c r="B18" s="22" t="s">
        <v>949</v>
      </c>
      <c r="C18" s="22" t="s">
        <v>95</v>
      </c>
      <c r="D18" s="22" t="s">
        <v>98</v>
      </c>
      <c r="E18" s="22" t="s">
        <v>55</v>
      </c>
      <c r="F18" s="22" t="s">
        <v>136</v>
      </c>
      <c r="G18" s="22" t="s">
        <v>129</v>
      </c>
      <c r="H18" s="23"/>
      <c r="I18" s="23"/>
      <c r="J18" s="22">
        <v>1</v>
      </c>
      <c r="K18" s="22">
        <v>1</v>
      </c>
      <c r="L18" s="22">
        <v>1</v>
      </c>
      <c r="M18" s="23"/>
      <c r="N18" s="22" t="s">
        <v>58</v>
      </c>
      <c r="O18" s="23"/>
      <c r="P18" s="23"/>
      <c r="Q18" s="24">
        <v>3</v>
      </c>
      <c r="R18" s="24">
        <v>2</v>
      </c>
      <c r="S18" s="24">
        <v>1</v>
      </c>
      <c r="T18" s="24">
        <v>1</v>
      </c>
      <c r="U18" s="24">
        <v>2</v>
      </c>
      <c r="V18" s="24">
        <v>3</v>
      </c>
      <c r="W18" s="24">
        <v>2</v>
      </c>
      <c r="X18" s="24">
        <v>3</v>
      </c>
      <c r="Y18" s="24">
        <v>1</v>
      </c>
      <c r="Z18" s="24">
        <v>1</v>
      </c>
      <c r="AA18" s="24">
        <v>5</v>
      </c>
      <c r="AB18" s="24">
        <v>5</v>
      </c>
      <c r="AC18" s="24">
        <v>5</v>
      </c>
      <c r="AD18" s="24">
        <v>5</v>
      </c>
      <c r="AE18" s="24">
        <v>3</v>
      </c>
      <c r="AF18" s="24">
        <v>5</v>
      </c>
      <c r="AG18" s="24">
        <v>3</v>
      </c>
      <c r="AH18" s="24">
        <v>5</v>
      </c>
      <c r="AI18" s="24">
        <v>5</v>
      </c>
      <c r="AJ18" s="24">
        <v>5</v>
      </c>
      <c r="AK18" s="24">
        <v>5</v>
      </c>
      <c r="AL18" s="24">
        <v>5</v>
      </c>
      <c r="AM18" s="23"/>
      <c r="AN18" s="23"/>
      <c r="AO18" s="22" t="s">
        <v>59</v>
      </c>
      <c r="AP18" s="22" t="s">
        <v>137</v>
      </c>
      <c r="AQ18" s="22" t="s">
        <v>995</v>
      </c>
      <c r="AR18" s="22" t="s">
        <v>996</v>
      </c>
    </row>
    <row r="19" spans="1:44" hidden="1">
      <c r="A19" s="22" t="s">
        <v>997</v>
      </c>
      <c r="B19" s="22" t="s">
        <v>949</v>
      </c>
      <c r="C19" s="22" t="s">
        <v>95</v>
      </c>
      <c r="D19" s="22" t="s">
        <v>54</v>
      </c>
      <c r="E19" s="22" t="s">
        <v>72</v>
      </c>
      <c r="F19" s="22" t="s">
        <v>56</v>
      </c>
      <c r="G19" s="22" t="s">
        <v>80</v>
      </c>
      <c r="H19" s="23"/>
      <c r="I19" s="23"/>
      <c r="J19" s="22">
        <v>4</v>
      </c>
      <c r="K19" s="22">
        <v>1</v>
      </c>
      <c r="L19" s="22">
        <v>1</v>
      </c>
      <c r="M19" s="23"/>
      <c r="N19" s="22" t="s">
        <v>85</v>
      </c>
      <c r="O19" s="23"/>
      <c r="P19" s="23"/>
      <c r="Q19" s="24">
        <v>1</v>
      </c>
      <c r="R19" s="24">
        <v>1</v>
      </c>
      <c r="S19" s="24">
        <v>1</v>
      </c>
      <c r="T19" s="24">
        <v>1</v>
      </c>
      <c r="U19" s="24">
        <v>1</v>
      </c>
      <c r="V19" s="24">
        <v>1</v>
      </c>
      <c r="W19" s="24">
        <v>1</v>
      </c>
      <c r="X19" s="24">
        <v>3</v>
      </c>
      <c r="Y19" s="24">
        <v>1</v>
      </c>
      <c r="Z19" s="24">
        <v>1</v>
      </c>
      <c r="AA19" s="24">
        <v>3</v>
      </c>
      <c r="AB19" s="24">
        <v>5</v>
      </c>
      <c r="AC19" s="24">
        <v>4</v>
      </c>
      <c r="AD19" s="24">
        <v>5</v>
      </c>
      <c r="AE19" s="24">
        <v>4</v>
      </c>
      <c r="AF19" s="24">
        <v>4</v>
      </c>
      <c r="AG19" s="24">
        <v>3</v>
      </c>
      <c r="AH19" s="24">
        <v>4</v>
      </c>
      <c r="AI19" s="24">
        <v>1</v>
      </c>
      <c r="AJ19" s="24">
        <v>1</v>
      </c>
      <c r="AK19" s="24">
        <v>1</v>
      </c>
      <c r="AL19" s="24">
        <v>3</v>
      </c>
      <c r="AM19" s="23"/>
      <c r="AN19" s="23"/>
      <c r="AO19" s="22" t="s">
        <v>74</v>
      </c>
      <c r="AP19" s="22" t="s">
        <v>998</v>
      </c>
      <c r="AQ19" s="22" t="s">
        <v>999</v>
      </c>
      <c r="AR19" s="22" t="s">
        <v>1000</v>
      </c>
    </row>
    <row r="20" spans="1:44" hidden="1">
      <c r="A20" s="22" t="s">
        <v>1001</v>
      </c>
      <c r="B20" s="22" t="s">
        <v>949</v>
      </c>
      <c r="C20" s="22" t="s">
        <v>53</v>
      </c>
      <c r="D20" s="22" t="s">
        <v>64</v>
      </c>
      <c r="E20" s="22" t="s">
        <v>55</v>
      </c>
      <c r="F20" s="22" t="s">
        <v>56</v>
      </c>
      <c r="G20" s="22" t="s">
        <v>80</v>
      </c>
      <c r="H20" s="23"/>
      <c r="I20" s="23"/>
      <c r="J20" s="22">
        <v>3</v>
      </c>
      <c r="K20" s="22">
        <v>3</v>
      </c>
      <c r="L20" s="22">
        <v>3</v>
      </c>
      <c r="M20" s="23"/>
      <c r="N20" s="22" t="s">
        <v>58</v>
      </c>
      <c r="O20" s="23"/>
      <c r="P20" s="23"/>
      <c r="Q20" s="24">
        <v>3</v>
      </c>
      <c r="R20" s="24">
        <v>3</v>
      </c>
      <c r="S20" s="24">
        <v>3</v>
      </c>
      <c r="T20" s="24">
        <v>3</v>
      </c>
      <c r="U20" s="24">
        <v>3</v>
      </c>
      <c r="V20" s="24">
        <v>3</v>
      </c>
      <c r="W20" s="24">
        <v>3</v>
      </c>
      <c r="X20" s="24">
        <v>3</v>
      </c>
      <c r="Y20" s="24">
        <v>3</v>
      </c>
      <c r="Z20" s="24">
        <v>3</v>
      </c>
      <c r="AA20" s="24">
        <v>3</v>
      </c>
      <c r="AB20" s="24">
        <v>3</v>
      </c>
      <c r="AC20" s="24">
        <v>3</v>
      </c>
      <c r="AD20" s="24">
        <v>3</v>
      </c>
      <c r="AE20" s="24">
        <v>3</v>
      </c>
      <c r="AF20" s="24">
        <v>3</v>
      </c>
      <c r="AG20" s="24">
        <v>3</v>
      </c>
      <c r="AH20" s="24">
        <v>3</v>
      </c>
      <c r="AI20" s="24">
        <v>3</v>
      </c>
      <c r="AJ20" s="24">
        <v>3</v>
      </c>
      <c r="AK20" s="24">
        <v>3</v>
      </c>
      <c r="AL20" s="24">
        <v>3</v>
      </c>
      <c r="AM20" s="23"/>
      <c r="AN20" s="23"/>
      <c r="AO20" s="22" t="s">
        <v>59</v>
      </c>
      <c r="AP20" s="22" t="s">
        <v>1002</v>
      </c>
      <c r="AQ20" s="22" t="s">
        <v>92</v>
      </c>
      <c r="AR20" s="22" t="s">
        <v>1003</v>
      </c>
    </row>
    <row r="21" spans="1:44" hidden="1">
      <c r="A21" s="22" t="s">
        <v>1004</v>
      </c>
      <c r="B21" s="22" t="s">
        <v>949</v>
      </c>
      <c r="C21" s="22" t="s">
        <v>53</v>
      </c>
      <c r="D21" s="22" t="s">
        <v>54</v>
      </c>
      <c r="E21" s="22" t="s">
        <v>72</v>
      </c>
      <c r="F21" s="22" t="s">
        <v>56</v>
      </c>
      <c r="G21" s="22" t="s">
        <v>57</v>
      </c>
      <c r="H21" s="23"/>
      <c r="I21" s="23"/>
      <c r="J21" s="22">
        <v>4</v>
      </c>
      <c r="K21" s="22">
        <v>4</v>
      </c>
      <c r="L21" s="22">
        <v>2</v>
      </c>
      <c r="M21" s="23"/>
      <c r="N21" s="22" t="s">
        <v>66</v>
      </c>
      <c r="O21" s="23"/>
      <c r="P21" s="23"/>
      <c r="Q21" s="24">
        <v>4</v>
      </c>
      <c r="R21" s="24">
        <v>4</v>
      </c>
      <c r="S21" s="24">
        <v>4</v>
      </c>
      <c r="T21" s="24">
        <v>5</v>
      </c>
      <c r="U21" s="24">
        <v>3</v>
      </c>
      <c r="V21" s="24">
        <v>5</v>
      </c>
      <c r="W21" s="24">
        <v>5</v>
      </c>
      <c r="X21" s="24">
        <v>5</v>
      </c>
      <c r="Y21" s="24">
        <v>5</v>
      </c>
      <c r="Z21" s="24">
        <v>4</v>
      </c>
      <c r="AA21" s="24">
        <v>5</v>
      </c>
      <c r="AB21" s="24">
        <v>5</v>
      </c>
      <c r="AC21" s="24">
        <v>5</v>
      </c>
      <c r="AD21" s="24">
        <v>5</v>
      </c>
      <c r="AE21" s="24">
        <v>5</v>
      </c>
      <c r="AF21" s="24">
        <v>5</v>
      </c>
      <c r="AG21" s="24">
        <v>5</v>
      </c>
      <c r="AH21" s="24">
        <v>5</v>
      </c>
      <c r="AI21" s="24">
        <v>5</v>
      </c>
      <c r="AJ21" s="24">
        <v>4</v>
      </c>
      <c r="AK21" s="24">
        <v>5</v>
      </c>
      <c r="AL21" s="24">
        <v>5</v>
      </c>
      <c r="AM21" s="23"/>
      <c r="AN21" s="23"/>
      <c r="AO21" s="22" t="s">
        <v>74</v>
      </c>
      <c r="AP21" s="22" t="s">
        <v>1005</v>
      </c>
      <c r="AQ21" s="22" t="s">
        <v>1006</v>
      </c>
      <c r="AR21" s="22" t="s">
        <v>1007</v>
      </c>
    </row>
    <row r="22" spans="1:44" hidden="1">
      <c r="A22" s="22" t="s">
        <v>1008</v>
      </c>
      <c r="B22" s="22" t="s">
        <v>949</v>
      </c>
      <c r="C22" s="22" t="s">
        <v>95</v>
      </c>
      <c r="D22" s="22" t="s">
        <v>98</v>
      </c>
      <c r="E22" s="22" t="s">
        <v>55</v>
      </c>
      <c r="F22" s="22" t="s">
        <v>65</v>
      </c>
      <c r="G22" s="22" t="s">
        <v>129</v>
      </c>
      <c r="H22" s="23"/>
      <c r="I22" s="23"/>
      <c r="J22" s="22">
        <v>4</v>
      </c>
      <c r="K22" s="22">
        <v>1</v>
      </c>
      <c r="L22" s="22">
        <v>1</v>
      </c>
      <c r="M22" s="23"/>
      <c r="N22" s="22" t="s">
        <v>58</v>
      </c>
      <c r="O22" s="23"/>
      <c r="P22" s="23"/>
      <c r="Q22" s="24">
        <v>4</v>
      </c>
      <c r="R22" s="24">
        <v>2</v>
      </c>
      <c r="S22" s="24">
        <v>2</v>
      </c>
      <c r="T22" s="24">
        <v>2</v>
      </c>
      <c r="U22" s="24">
        <v>2</v>
      </c>
      <c r="V22" s="24">
        <v>2</v>
      </c>
      <c r="W22" s="24">
        <v>5</v>
      </c>
      <c r="X22" s="24">
        <v>5</v>
      </c>
      <c r="Y22" s="24">
        <v>5</v>
      </c>
      <c r="Z22" s="24">
        <v>5</v>
      </c>
      <c r="AA22" s="24">
        <v>4</v>
      </c>
      <c r="AB22" s="24">
        <v>4</v>
      </c>
      <c r="AC22" s="24">
        <v>4</v>
      </c>
      <c r="AD22" s="24">
        <v>4</v>
      </c>
      <c r="AE22" s="24">
        <v>2</v>
      </c>
      <c r="AF22" s="24">
        <v>2</v>
      </c>
      <c r="AG22" s="24">
        <v>4</v>
      </c>
      <c r="AH22" s="24">
        <v>4</v>
      </c>
      <c r="AI22" s="24">
        <v>2</v>
      </c>
      <c r="AJ22" s="24">
        <v>2</v>
      </c>
      <c r="AK22" s="24">
        <v>5</v>
      </c>
      <c r="AL22" s="24">
        <v>2</v>
      </c>
      <c r="AM22" s="23"/>
      <c r="AN22" s="23"/>
      <c r="AO22" s="22" t="s">
        <v>74</v>
      </c>
      <c r="AP22" s="22" t="s">
        <v>1009</v>
      </c>
      <c r="AQ22" s="22" t="s">
        <v>1009</v>
      </c>
      <c r="AR22" s="22" t="s">
        <v>1010</v>
      </c>
    </row>
    <row r="23" spans="1:44" hidden="1">
      <c r="A23" s="22" t="s">
        <v>1011</v>
      </c>
      <c r="B23" s="22" t="s">
        <v>949</v>
      </c>
      <c r="C23" s="22" t="s">
        <v>79</v>
      </c>
      <c r="D23" s="22" t="s">
        <v>54</v>
      </c>
      <c r="E23" s="22" t="s">
        <v>72</v>
      </c>
      <c r="F23" s="22" t="s">
        <v>56</v>
      </c>
      <c r="G23" s="22" t="s">
        <v>57</v>
      </c>
      <c r="H23" s="23"/>
      <c r="I23" s="23"/>
      <c r="J23" s="22">
        <v>5</v>
      </c>
      <c r="K23" s="22">
        <v>5</v>
      </c>
      <c r="L23" s="22">
        <v>3</v>
      </c>
      <c r="M23" s="23"/>
      <c r="N23" s="22" t="s">
        <v>115</v>
      </c>
      <c r="O23" s="23"/>
      <c r="P23" s="23"/>
      <c r="Q23" s="24">
        <v>5</v>
      </c>
      <c r="R23" s="24">
        <v>5</v>
      </c>
      <c r="S23" s="24">
        <v>5</v>
      </c>
      <c r="T23" s="24">
        <v>5</v>
      </c>
      <c r="U23" s="24">
        <v>5</v>
      </c>
      <c r="V23" s="24">
        <v>5</v>
      </c>
      <c r="W23" s="24">
        <v>5</v>
      </c>
      <c r="X23" s="24">
        <v>5</v>
      </c>
      <c r="Y23" s="24">
        <v>5</v>
      </c>
      <c r="Z23" s="24">
        <v>5</v>
      </c>
      <c r="AA23" s="24">
        <v>5</v>
      </c>
      <c r="AB23" s="24">
        <v>5</v>
      </c>
      <c r="AC23" s="24">
        <v>5</v>
      </c>
      <c r="AD23" s="24">
        <v>5</v>
      </c>
      <c r="AE23" s="24">
        <v>5</v>
      </c>
      <c r="AF23" s="24">
        <v>5</v>
      </c>
      <c r="AG23" s="24">
        <v>5</v>
      </c>
      <c r="AH23" s="24">
        <v>5</v>
      </c>
      <c r="AI23" s="24">
        <v>3</v>
      </c>
      <c r="AJ23" s="24">
        <v>3</v>
      </c>
      <c r="AK23" s="24">
        <v>3</v>
      </c>
      <c r="AL23" s="24">
        <v>3</v>
      </c>
      <c r="AM23" s="23"/>
      <c r="AN23" s="23"/>
      <c r="AO23" s="22" t="s">
        <v>74</v>
      </c>
      <c r="AP23" s="22" t="s">
        <v>1012</v>
      </c>
      <c r="AQ23" s="22" t="s">
        <v>1013</v>
      </c>
      <c r="AR23" s="22" t="s">
        <v>1014</v>
      </c>
    </row>
    <row r="24" spans="1:44" hidden="1">
      <c r="A24" s="22" t="s">
        <v>1015</v>
      </c>
      <c r="B24" s="22" t="s">
        <v>949</v>
      </c>
      <c r="C24" s="22" t="s">
        <v>95</v>
      </c>
      <c r="D24" s="22" t="s">
        <v>64</v>
      </c>
      <c r="E24" s="22" t="s">
        <v>55</v>
      </c>
      <c r="F24" s="22" t="s">
        <v>136</v>
      </c>
      <c r="G24" s="22" t="s">
        <v>80</v>
      </c>
      <c r="H24" s="23"/>
      <c r="I24" s="23"/>
      <c r="J24" s="22">
        <v>3</v>
      </c>
      <c r="K24" s="22">
        <v>3</v>
      </c>
      <c r="L24" s="22">
        <v>3</v>
      </c>
      <c r="M24" s="23"/>
      <c r="N24" s="22" t="s">
        <v>115</v>
      </c>
      <c r="O24" s="23"/>
      <c r="P24" s="23"/>
      <c r="Q24" s="24">
        <v>4</v>
      </c>
      <c r="R24" s="24">
        <v>4</v>
      </c>
      <c r="S24" s="24">
        <v>4</v>
      </c>
      <c r="T24" s="24">
        <v>3</v>
      </c>
      <c r="U24" s="24">
        <v>4</v>
      </c>
      <c r="V24" s="24">
        <v>3</v>
      </c>
      <c r="W24" s="24">
        <v>4</v>
      </c>
      <c r="X24" s="24">
        <v>4</v>
      </c>
      <c r="Y24" s="24">
        <v>3</v>
      </c>
      <c r="Z24" s="24">
        <v>3</v>
      </c>
      <c r="AA24" s="24">
        <v>4</v>
      </c>
      <c r="AB24" s="24">
        <v>4</v>
      </c>
      <c r="AC24" s="24">
        <v>4</v>
      </c>
      <c r="AD24" s="24">
        <v>4</v>
      </c>
      <c r="AE24" s="24">
        <v>4</v>
      </c>
      <c r="AF24" s="24">
        <v>4</v>
      </c>
      <c r="AG24" s="24">
        <v>3</v>
      </c>
      <c r="AH24" s="24">
        <v>3</v>
      </c>
      <c r="AI24" s="24">
        <v>3</v>
      </c>
      <c r="AJ24" s="24">
        <v>3</v>
      </c>
      <c r="AK24" s="24">
        <v>3</v>
      </c>
      <c r="AL24" s="24">
        <v>3</v>
      </c>
      <c r="AM24" s="23"/>
      <c r="AN24" s="23"/>
      <c r="AO24" s="22" t="s">
        <v>59</v>
      </c>
      <c r="AP24" s="22" t="s">
        <v>92</v>
      </c>
      <c r="AQ24" s="22" t="s">
        <v>1016</v>
      </c>
      <c r="AR24" s="22" t="s">
        <v>1017</v>
      </c>
    </row>
    <row r="25" spans="1:44" hidden="1">
      <c r="A25" s="22" t="s">
        <v>1018</v>
      </c>
      <c r="B25" s="22" t="s">
        <v>949</v>
      </c>
      <c r="C25" s="22" t="s">
        <v>95</v>
      </c>
      <c r="D25" s="22" t="s">
        <v>98</v>
      </c>
      <c r="E25" s="22" t="s">
        <v>55</v>
      </c>
      <c r="F25" s="22" t="s">
        <v>65</v>
      </c>
      <c r="G25" s="22" t="s">
        <v>57</v>
      </c>
      <c r="H25" s="23"/>
      <c r="I25" s="23"/>
      <c r="J25" s="22">
        <v>3</v>
      </c>
      <c r="K25" s="22">
        <v>2</v>
      </c>
      <c r="L25" s="22">
        <v>2</v>
      </c>
      <c r="M25" s="23"/>
      <c r="N25" s="22" t="s">
        <v>58</v>
      </c>
      <c r="O25" s="23"/>
      <c r="P25" s="23"/>
      <c r="Q25" s="24">
        <v>3</v>
      </c>
      <c r="R25" s="24">
        <v>2</v>
      </c>
      <c r="S25" s="24">
        <v>3</v>
      </c>
      <c r="T25" s="24">
        <v>3</v>
      </c>
      <c r="U25" s="24">
        <v>3</v>
      </c>
      <c r="V25" s="24">
        <v>4</v>
      </c>
      <c r="W25" s="24">
        <v>3</v>
      </c>
      <c r="X25" s="24">
        <v>3</v>
      </c>
      <c r="Y25" s="24">
        <v>3</v>
      </c>
      <c r="Z25" s="24">
        <v>3</v>
      </c>
      <c r="AA25" s="24">
        <v>4</v>
      </c>
      <c r="AB25" s="24">
        <v>4</v>
      </c>
      <c r="AC25" s="24">
        <v>4</v>
      </c>
      <c r="AD25" s="24">
        <v>3</v>
      </c>
      <c r="AE25" s="24">
        <v>2</v>
      </c>
      <c r="AF25" s="24">
        <v>4</v>
      </c>
      <c r="AG25" s="24">
        <v>3</v>
      </c>
      <c r="AH25" s="24">
        <v>3</v>
      </c>
      <c r="AI25" s="24">
        <v>3</v>
      </c>
      <c r="AJ25" s="24">
        <v>3</v>
      </c>
      <c r="AK25" s="24">
        <v>3</v>
      </c>
      <c r="AL25" s="24">
        <v>3</v>
      </c>
      <c r="AM25" s="23"/>
      <c r="AN25" s="23"/>
      <c r="AO25" s="22" t="s">
        <v>59</v>
      </c>
      <c r="AP25" s="22" t="s">
        <v>643</v>
      </c>
      <c r="AQ25" s="22" t="s">
        <v>643</v>
      </c>
      <c r="AR25" s="22" t="s">
        <v>643</v>
      </c>
    </row>
    <row r="26" spans="1:44" hidden="1">
      <c r="A26" s="22" t="s">
        <v>1019</v>
      </c>
      <c r="B26" s="22" t="s">
        <v>949</v>
      </c>
      <c r="C26" s="22" t="s">
        <v>95</v>
      </c>
      <c r="D26" s="22" t="s">
        <v>64</v>
      </c>
      <c r="E26" s="22" t="s">
        <v>55</v>
      </c>
      <c r="F26" s="22" t="s">
        <v>65</v>
      </c>
      <c r="G26" s="22" t="s">
        <v>57</v>
      </c>
      <c r="H26" s="23"/>
      <c r="I26" s="23"/>
      <c r="J26" s="22">
        <v>4</v>
      </c>
      <c r="K26" s="22">
        <v>3</v>
      </c>
      <c r="L26" s="22">
        <v>3</v>
      </c>
      <c r="M26" s="23"/>
      <c r="N26" s="22" t="s">
        <v>91</v>
      </c>
      <c r="O26" s="23"/>
      <c r="P26" s="23"/>
      <c r="Q26" s="24">
        <v>3</v>
      </c>
      <c r="R26" s="24">
        <v>3</v>
      </c>
      <c r="S26" s="24">
        <v>3</v>
      </c>
      <c r="T26" s="24">
        <v>3</v>
      </c>
      <c r="U26" s="24">
        <v>3</v>
      </c>
      <c r="V26" s="24">
        <v>3</v>
      </c>
      <c r="W26" s="24">
        <v>3</v>
      </c>
      <c r="X26" s="24">
        <v>3</v>
      </c>
      <c r="Y26" s="24">
        <v>3</v>
      </c>
      <c r="Z26" s="24">
        <v>3</v>
      </c>
      <c r="AA26" s="24">
        <v>3</v>
      </c>
      <c r="AB26" s="24">
        <v>3</v>
      </c>
      <c r="AC26" s="24">
        <v>3</v>
      </c>
      <c r="AD26" s="24">
        <v>3</v>
      </c>
      <c r="AE26" s="24">
        <v>3</v>
      </c>
      <c r="AF26" s="24">
        <v>3</v>
      </c>
      <c r="AG26" s="24">
        <v>3</v>
      </c>
      <c r="AH26" s="24">
        <v>3</v>
      </c>
      <c r="AI26" s="24">
        <v>3</v>
      </c>
      <c r="AJ26" s="24">
        <v>3</v>
      </c>
      <c r="AK26" s="24">
        <v>3</v>
      </c>
      <c r="AL26" s="24">
        <v>3</v>
      </c>
      <c r="AM26" s="23"/>
      <c r="AN26" s="23"/>
      <c r="AO26" s="22" t="s">
        <v>74</v>
      </c>
      <c r="AP26" s="22" t="s">
        <v>146</v>
      </c>
      <c r="AQ26" s="22" t="s">
        <v>1020</v>
      </c>
      <c r="AR26" s="22" t="s">
        <v>1021</v>
      </c>
    </row>
    <row r="27" spans="1:44" hidden="1">
      <c r="A27" s="22" t="s">
        <v>1022</v>
      </c>
      <c r="B27" s="22" t="s">
        <v>949</v>
      </c>
      <c r="C27" s="22" t="s">
        <v>95</v>
      </c>
      <c r="D27" s="22" t="s">
        <v>71</v>
      </c>
      <c r="E27" s="22" t="s">
        <v>72</v>
      </c>
      <c r="F27" s="22" t="s">
        <v>73</v>
      </c>
      <c r="G27" s="22" t="s">
        <v>96</v>
      </c>
      <c r="H27" s="23"/>
      <c r="I27" s="23"/>
      <c r="J27" s="22">
        <v>1</v>
      </c>
      <c r="K27" s="22">
        <v>1</v>
      </c>
      <c r="L27" s="22">
        <v>1</v>
      </c>
      <c r="M27" s="23"/>
      <c r="N27" s="22" t="s">
        <v>85</v>
      </c>
      <c r="O27" s="23"/>
      <c r="P27" s="23"/>
      <c r="Q27" s="24">
        <v>1</v>
      </c>
      <c r="R27" s="24">
        <v>1</v>
      </c>
      <c r="S27" s="24">
        <v>1</v>
      </c>
      <c r="T27" s="24">
        <v>1</v>
      </c>
      <c r="U27" s="24">
        <v>1</v>
      </c>
      <c r="V27" s="24">
        <v>1</v>
      </c>
      <c r="W27" s="24">
        <v>3</v>
      </c>
      <c r="X27" s="24">
        <v>2</v>
      </c>
      <c r="Y27" s="24">
        <v>3</v>
      </c>
      <c r="Z27" s="24">
        <v>3</v>
      </c>
      <c r="AA27" s="24">
        <v>2</v>
      </c>
      <c r="AB27" s="24">
        <v>2</v>
      </c>
      <c r="AC27" s="24">
        <v>2</v>
      </c>
      <c r="AD27" s="24">
        <v>2</v>
      </c>
      <c r="AE27" s="24">
        <v>2</v>
      </c>
      <c r="AF27" s="24">
        <v>2</v>
      </c>
      <c r="AG27" s="24">
        <v>3</v>
      </c>
      <c r="AH27" s="24">
        <v>3</v>
      </c>
      <c r="AI27" s="24">
        <v>2</v>
      </c>
      <c r="AJ27" s="24">
        <v>2</v>
      </c>
      <c r="AK27" s="24">
        <v>3</v>
      </c>
      <c r="AL27" s="24">
        <v>2</v>
      </c>
      <c r="AM27" s="23"/>
      <c r="AN27" s="23"/>
      <c r="AO27" s="22" t="s">
        <v>74</v>
      </c>
      <c r="AP27" s="22" t="s">
        <v>1023</v>
      </c>
      <c r="AQ27" s="22" t="s">
        <v>1024</v>
      </c>
      <c r="AR27" s="22" t="s">
        <v>1025</v>
      </c>
    </row>
    <row r="28" spans="1:44" hidden="1">
      <c r="A28" s="22" t="s">
        <v>1026</v>
      </c>
      <c r="B28" s="22" t="s">
        <v>949</v>
      </c>
      <c r="C28" s="22" t="s">
        <v>90</v>
      </c>
      <c r="D28" s="22" t="s">
        <v>98</v>
      </c>
      <c r="E28" s="22" t="s">
        <v>55</v>
      </c>
      <c r="F28" s="22" t="s">
        <v>136</v>
      </c>
      <c r="G28" s="22" t="s">
        <v>96</v>
      </c>
      <c r="H28" s="23"/>
      <c r="I28" s="23"/>
      <c r="J28" s="22">
        <v>1</v>
      </c>
      <c r="K28" s="22">
        <v>1</v>
      </c>
      <c r="L28" s="22">
        <v>1</v>
      </c>
      <c r="M28" s="23"/>
      <c r="N28" s="22" t="s">
        <v>85</v>
      </c>
      <c r="O28" s="23"/>
      <c r="P28" s="23"/>
      <c r="Q28" s="24">
        <v>1</v>
      </c>
      <c r="R28" s="24">
        <v>1</v>
      </c>
      <c r="S28" s="24">
        <v>1</v>
      </c>
      <c r="T28" s="24">
        <v>1</v>
      </c>
      <c r="U28" s="24">
        <v>1</v>
      </c>
      <c r="V28" s="24">
        <v>1</v>
      </c>
      <c r="W28" s="24">
        <v>1</v>
      </c>
      <c r="X28" s="24">
        <v>1</v>
      </c>
      <c r="Y28" s="24">
        <v>1</v>
      </c>
      <c r="Z28" s="24">
        <v>1</v>
      </c>
      <c r="AA28" s="24">
        <v>1</v>
      </c>
      <c r="AB28" s="24">
        <v>3</v>
      </c>
      <c r="AC28" s="24">
        <v>1</v>
      </c>
      <c r="AD28" s="24">
        <v>3</v>
      </c>
      <c r="AE28" s="24">
        <v>2</v>
      </c>
      <c r="AF28" s="24">
        <v>3</v>
      </c>
      <c r="AG28" s="24">
        <v>3</v>
      </c>
      <c r="AH28" s="24">
        <v>2</v>
      </c>
      <c r="AI28" s="24">
        <v>2</v>
      </c>
      <c r="AJ28" s="24">
        <v>2</v>
      </c>
      <c r="AK28" s="24">
        <v>2</v>
      </c>
      <c r="AL28" s="24">
        <v>2</v>
      </c>
      <c r="AM28" s="23"/>
      <c r="AN28" s="23"/>
      <c r="AO28" s="22" t="s">
        <v>59</v>
      </c>
      <c r="AP28" s="22" t="s">
        <v>92</v>
      </c>
      <c r="AQ28" s="22" t="s">
        <v>92</v>
      </c>
      <c r="AR28" s="22" t="s">
        <v>166</v>
      </c>
    </row>
    <row r="29" spans="1:44" hidden="1">
      <c r="A29" s="22" t="s">
        <v>1027</v>
      </c>
      <c r="B29" s="22" t="s">
        <v>949</v>
      </c>
      <c r="C29" s="22" t="s">
        <v>90</v>
      </c>
      <c r="D29" s="22" t="s">
        <v>64</v>
      </c>
      <c r="E29" s="22" t="s">
        <v>55</v>
      </c>
      <c r="F29" s="22" t="s">
        <v>65</v>
      </c>
      <c r="G29" s="22" t="s">
        <v>57</v>
      </c>
      <c r="H29" s="23"/>
      <c r="I29" s="23"/>
      <c r="J29" s="22">
        <v>5</v>
      </c>
      <c r="K29" s="22">
        <v>2</v>
      </c>
      <c r="L29" s="22">
        <v>2</v>
      </c>
      <c r="M29" s="23"/>
      <c r="N29" s="22" t="s">
        <v>85</v>
      </c>
      <c r="O29" s="23"/>
      <c r="P29" s="23"/>
      <c r="Q29" s="24">
        <v>3</v>
      </c>
      <c r="R29" s="24">
        <v>2</v>
      </c>
      <c r="S29" s="24">
        <v>3</v>
      </c>
      <c r="T29" s="24">
        <v>2</v>
      </c>
      <c r="U29" s="24">
        <v>3</v>
      </c>
      <c r="V29" s="24">
        <v>4</v>
      </c>
      <c r="W29" s="24">
        <v>5</v>
      </c>
      <c r="X29" s="24">
        <v>5</v>
      </c>
      <c r="Y29" s="24">
        <v>1</v>
      </c>
      <c r="Z29" s="24">
        <v>3</v>
      </c>
      <c r="AA29" s="24">
        <v>3</v>
      </c>
      <c r="AB29" s="24">
        <v>4</v>
      </c>
      <c r="AC29" s="24">
        <v>3</v>
      </c>
      <c r="AD29" s="24">
        <v>4</v>
      </c>
      <c r="AE29" s="24">
        <v>3</v>
      </c>
      <c r="AF29" s="24">
        <v>3</v>
      </c>
      <c r="AG29" s="24">
        <v>3</v>
      </c>
      <c r="AH29" s="24">
        <v>3</v>
      </c>
      <c r="AI29" s="24">
        <v>2</v>
      </c>
      <c r="AJ29" s="24">
        <v>2</v>
      </c>
      <c r="AK29" s="24">
        <v>2</v>
      </c>
      <c r="AL29" s="24">
        <v>2</v>
      </c>
      <c r="AM29" s="23"/>
      <c r="AN29" s="23"/>
      <c r="AO29" s="22" t="s">
        <v>59</v>
      </c>
      <c r="AP29" s="22" t="s">
        <v>1028</v>
      </c>
      <c r="AQ29" s="22" t="s">
        <v>1029</v>
      </c>
      <c r="AR29" s="22" t="s">
        <v>1030</v>
      </c>
    </row>
    <row r="30" spans="1:44" hidden="1">
      <c r="A30" s="22" t="s">
        <v>1031</v>
      </c>
      <c r="B30" s="22" t="s">
        <v>949</v>
      </c>
      <c r="C30" s="22" t="s">
        <v>79</v>
      </c>
      <c r="D30" s="22" t="s">
        <v>98</v>
      </c>
      <c r="E30" s="22" t="s">
        <v>55</v>
      </c>
      <c r="F30" s="22" t="s">
        <v>136</v>
      </c>
      <c r="G30" s="22" t="s">
        <v>80</v>
      </c>
      <c r="H30" s="23"/>
      <c r="I30" s="23"/>
      <c r="J30" s="22">
        <v>3</v>
      </c>
      <c r="K30" s="22">
        <v>2</v>
      </c>
      <c r="L30" s="22">
        <v>1</v>
      </c>
      <c r="M30" s="23"/>
      <c r="N30" s="22" t="s">
        <v>58</v>
      </c>
      <c r="O30" s="23"/>
      <c r="P30" s="23"/>
      <c r="Q30" s="24">
        <v>3</v>
      </c>
      <c r="R30" s="24">
        <v>3</v>
      </c>
      <c r="S30" s="24">
        <v>4</v>
      </c>
      <c r="T30" s="24">
        <v>2</v>
      </c>
      <c r="U30" s="24">
        <v>3</v>
      </c>
      <c r="V30" s="24">
        <v>3</v>
      </c>
      <c r="W30" s="24">
        <v>4</v>
      </c>
      <c r="X30" s="24">
        <v>3</v>
      </c>
      <c r="Y30" s="24">
        <v>3</v>
      </c>
      <c r="Z30" s="24">
        <v>4</v>
      </c>
      <c r="AA30" s="24">
        <v>2</v>
      </c>
      <c r="AB30" s="24">
        <v>3</v>
      </c>
      <c r="AC30" s="24">
        <v>3</v>
      </c>
      <c r="AD30" s="24">
        <v>4</v>
      </c>
      <c r="AE30" s="24">
        <v>4</v>
      </c>
      <c r="AF30" s="24">
        <v>4</v>
      </c>
      <c r="AG30" s="24">
        <v>4</v>
      </c>
      <c r="AH30" s="24">
        <v>3</v>
      </c>
      <c r="AI30" s="24">
        <v>4</v>
      </c>
      <c r="AJ30" s="24">
        <v>3</v>
      </c>
      <c r="AK30" s="24">
        <v>4</v>
      </c>
      <c r="AL30" s="24">
        <v>4</v>
      </c>
      <c r="AM30" s="23"/>
      <c r="AN30" s="23"/>
      <c r="AO30" s="22" t="s">
        <v>59</v>
      </c>
      <c r="AP30" s="22" t="s">
        <v>1032</v>
      </c>
      <c r="AQ30" s="22" t="s">
        <v>137</v>
      </c>
      <c r="AR30" s="22" t="s">
        <v>1033</v>
      </c>
    </row>
    <row r="31" spans="1:44" hidden="1">
      <c r="A31" s="22" t="s">
        <v>1034</v>
      </c>
      <c r="B31" s="22" t="s">
        <v>949</v>
      </c>
      <c r="C31" s="22" t="s">
        <v>95</v>
      </c>
      <c r="D31" s="22" t="s">
        <v>64</v>
      </c>
      <c r="E31" s="22" t="s">
        <v>55</v>
      </c>
      <c r="F31" s="22" t="s">
        <v>65</v>
      </c>
      <c r="G31" s="22" t="s">
        <v>96</v>
      </c>
      <c r="H31" s="23"/>
      <c r="I31" s="23"/>
      <c r="J31" s="22">
        <v>1</v>
      </c>
      <c r="K31" s="22">
        <v>1</v>
      </c>
      <c r="L31" s="22">
        <v>1</v>
      </c>
      <c r="M31" s="23"/>
      <c r="N31" s="22" t="s">
        <v>85</v>
      </c>
      <c r="O31" s="23"/>
      <c r="P31" s="23"/>
      <c r="Q31" s="24">
        <v>1</v>
      </c>
      <c r="R31" s="24">
        <v>1</v>
      </c>
      <c r="S31" s="24">
        <v>1</v>
      </c>
      <c r="T31" s="24">
        <v>1</v>
      </c>
      <c r="U31" s="24">
        <v>1</v>
      </c>
      <c r="V31" s="24">
        <v>1</v>
      </c>
      <c r="W31" s="24">
        <v>1</v>
      </c>
      <c r="X31" s="24">
        <v>1</v>
      </c>
      <c r="Y31" s="24">
        <v>1</v>
      </c>
      <c r="Z31" s="24">
        <v>1</v>
      </c>
      <c r="AA31" s="24">
        <v>1</v>
      </c>
      <c r="AB31" s="24">
        <v>1</v>
      </c>
      <c r="AC31" s="24">
        <v>1</v>
      </c>
      <c r="AD31" s="24">
        <v>1</v>
      </c>
      <c r="AE31" s="24">
        <v>1</v>
      </c>
      <c r="AF31" s="24">
        <v>1</v>
      </c>
      <c r="AG31" s="24">
        <v>1</v>
      </c>
      <c r="AH31" s="24">
        <v>1</v>
      </c>
      <c r="AI31" s="24">
        <v>1</v>
      </c>
      <c r="AJ31" s="24">
        <v>1</v>
      </c>
      <c r="AK31" s="24">
        <v>1</v>
      </c>
      <c r="AL31" s="24">
        <v>1</v>
      </c>
      <c r="AM31" s="23"/>
      <c r="AN31" s="23"/>
      <c r="AO31" s="22" t="s">
        <v>59</v>
      </c>
      <c r="AP31" s="22" t="s">
        <v>146</v>
      </c>
      <c r="AQ31" s="22" t="s">
        <v>1035</v>
      </c>
      <c r="AR31" s="22" t="s">
        <v>1036</v>
      </c>
    </row>
    <row r="32" spans="1:44" hidden="1">
      <c r="A32" s="22" t="s">
        <v>1037</v>
      </c>
      <c r="B32" s="22" t="s">
        <v>949</v>
      </c>
      <c r="C32" s="22" t="s">
        <v>79</v>
      </c>
      <c r="D32" s="22" t="s">
        <v>64</v>
      </c>
      <c r="E32" s="22" t="s">
        <v>55</v>
      </c>
      <c r="F32" s="22" t="s">
        <v>65</v>
      </c>
      <c r="G32" s="22" t="s">
        <v>57</v>
      </c>
      <c r="H32" s="23"/>
      <c r="I32" s="23"/>
      <c r="J32" s="22">
        <v>5</v>
      </c>
      <c r="K32" s="22">
        <v>4</v>
      </c>
      <c r="L32" s="22">
        <v>1</v>
      </c>
      <c r="M32" s="23"/>
      <c r="N32" s="22" t="s">
        <v>66</v>
      </c>
      <c r="O32" s="23"/>
      <c r="P32" s="23"/>
      <c r="Q32" s="24">
        <v>5</v>
      </c>
      <c r="R32" s="24">
        <v>4</v>
      </c>
      <c r="S32" s="24">
        <v>4</v>
      </c>
      <c r="T32" s="24">
        <v>3</v>
      </c>
      <c r="U32" s="24">
        <v>4</v>
      </c>
      <c r="V32" s="24">
        <v>4</v>
      </c>
      <c r="W32" s="24">
        <v>3</v>
      </c>
      <c r="X32" s="24">
        <v>3</v>
      </c>
      <c r="Y32" s="24">
        <v>2</v>
      </c>
      <c r="Z32" s="24">
        <v>2</v>
      </c>
      <c r="AA32" s="24">
        <v>5</v>
      </c>
      <c r="AB32" s="24">
        <v>5</v>
      </c>
      <c r="AC32" s="24">
        <v>5</v>
      </c>
      <c r="AD32" s="24">
        <v>5</v>
      </c>
      <c r="AE32" s="24">
        <v>5</v>
      </c>
      <c r="AF32" s="24">
        <v>5</v>
      </c>
      <c r="AG32" s="24">
        <v>5</v>
      </c>
      <c r="AH32" s="24">
        <v>5</v>
      </c>
      <c r="AI32" s="24">
        <v>4</v>
      </c>
      <c r="AJ32" s="24">
        <v>4</v>
      </c>
      <c r="AK32" s="24">
        <v>5</v>
      </c>
      <c r="AL32" s="24">
        <v>5</v>
      </c>
      <c r="AM32" s="23"/>
      <c r="AN32" s="23"/>
      <c r="AO32" s="22" t="s">
        <v>74</v>
      </c>
      <c r="AP32" s="22" t="s">
        <v>1038</v>
      </c>
      <c r="AQ32" s="22" t="s">
        <v>1039</v>
      </c>
      <c r="AR32" s="22" t="s">
        <v>1040</v>
      </c>
    </row>
    <row r="33" spans="1:44" hidden="1">
      <c r="A33" s="22" t="s">
        <v>1041</v>
      </c>
      <c r="B33" s="22" t="s">
        <v>949</v>
      </c>
      <c r="C33" s="22" t="s">
        <v>95</v>
      </c>
      <c r="D33" s="22" t="s">
        <v>64</v>
      </c>
      <c r="E33" s="22" t="s">
        <v>55</v>
      </c>
      <c r="F33" s="22" t="s">
        <v>65</v>
      </c>
      <c r="G33" s="22" t="s">
        <v>80</v>
      </c>
      <c r="H33" s="23"/>
      <c r="I33" s="23"/>
      <c r="J33" s="22">
        <v>3</v>
      </c>
      <c r="K33" s="22">
        <v>2</v>
      </c>
      <c r="L33" s="22">
        <v>2</v>
      </c>
      <c r="M33" s="23"/>
      <c r="N33" s="22" t="s">
        <v>58</v>
      </c>
      <c r="O33" s="23"/>
      <c r="P33" s="23"/>
      <c r="Q33" s="24">
        <v>3</v>
      </c>
      <c r="R33" s="24">
        <v>3</v>
      </c>
      <c r="S33" s="24">
        <v>3</v>
      </c>
      <c r="T33" s="24">
        <v>3</v>
      </c>
      <c r="U33" s="24">
        <v>3</v>
      </c>
      <c r="V33" s="24">
        <v>3</v>
      </c>
      <c r="W33" s="24">
        <v>4</v>
      </c>
      <c r="X33" s="24">
        <v>4</v>
      </c>
      <c r="Y33" s="24">
        <v>3</v>
      </c>
      <c r="Z33" s="24">
        <v>3</v>
      </c>
      <c r="AA33" s="24">
        <v>3</v>
      </c>
      <c r="AB33" s="24">
        <v>3</v>
      </c>
      <c r="AC33" s="24">
        <v>3</v>
      </c>
      <c r="AD33" s="24">
        <v>3</v>
      </c>
      <c r="AE33" s="24">
        <v>3</v>
      </c>
      <c r="AF33" s="24">
        <v>3</v>
      </c>
      <c r="AG33" s="24">
        <v>3</v>
      </c>
      <c r="AH33" s="24">
        <v>3</v>
      </c>
      <c r="AI33" s="24">
        <v>3</v>
      </c>
      <c r="AJ33" s="24">
        <v>3</v>
      </c>
      <c r="AK33" s="24">
        <v>3</v>
      </c>
      <c r="AL33" s="24">
        <v>3</v>
      </c>
      <c r="AM33" s="23"/>
      <c r="AN33" s="23"/>
      <c r="AO33" s="22" t="s">
        <v>59</v>
      </c>
      <c r="AP33" s="22" t="s">
        <v>1042</v>
      </c>
      <c r="AQ33" s="22" t="s">
        <v>1043</v>
      </c>
      <c r="AR33" s="22" t="s">
        <v>1044</v>
      </c>
    </row>
    <row r="34" spans="1:44" hidden="1">
      <c r="A34" s="22" t="s">
        <v>1045</v>
      </c>
      <c r="B34" s="22" t="s">
        <v>949</v>
      </c>
      <c r="C34" s="22" t="s">
        <v>95</v>
      </c>
      <c r="D34" s="22" t="s">
        <v>98</v>
      </c>
      <c r="E34" s="22" t="s">
        <v>55</v>
      </c>
      <c r="F34" s="22" t="s">
        <v>136</v>
      </c>
      <c r="G34" s="22" t="s">
        <v>80</v>
      </c>
      <c r="H34" s="23"/>
      <c r="I34" s="23"/>
      <c r="J34" s="22">
        <v>3</v>
      </c>
      <c r="K34" s="22">
        <v>2</v>
      </c>
      <c r="L34" s="22">
        <v>3</v>
      </c>
      <c r="M34" s="23"/>
      <c r="N34" s="22" t="s">
        <v>58</v>
      </c>
      <c r="O34" s="23"/>
      <c r="P34" s="23"/>
      <c r="Q34" s="24">
        <v>3</v>
      </c>
      <c r="R34" s="24">
        <v>3</v>
      </c>
      <c r="S34" s="24">
        <v>3</v>
      </c>
      <c r="T34" s="24">
        <v>3</v>
      </c>
      <c r="U34" s="24">
        <v>3</v>
      </c>
      <c r="V34" s="24">
        <v>2</v>
      </c>
      <c r="W34" s="24">
        <v>4</v>
      </c>
      <c r="X34" s="24">
        <v>3</v>
      </c>
      <c r="Y34" s="24">
        <v>3</v>
      </c>
      <c r="Z34" s="24">
        <v>4</v>
      </c>
      <c r="AA34" s="24">
        <v>3</v>
      </c>
      <c r="AB34" s="24">
        <v>3</v>
      </c>
      <c r="AC34" s="24">
        <v>3</v>
      </c>
      <c r="AD34" s="24">
        <v>3</v>
      </c>
      <c r="AE34" s="24">
        <v>3</v>
      </c>
      <c r="AF34" s="24">
        <v>3</v>
      </c>
      <c r="AG34" s="24">
        <v>3</v>
      </c>
      <c r="AH34" s="24">
        <v>4</v>
      </c>
      <c r="AI34" s="24">
        <v>4</v>
      </c>
      <c r="AJ34" s="24">
        <v>4</v>
      </c>
      <c r="AK34" s="24">
        <v>4</v>
      </c>
      <c r="AL34" s="24">
        <v>4</v>
      </c>
      <c r="AM34" s="23"/>
      <c r="AN34" s="23"/>
      <c r="AO34" s="22" t="s">
        <v>59</v>
      </c>
      <c r="AP34" s="22" t="s">
        <v>59</v>
      </c>
      <c r="AQ34" s="22" t="s">
        <v>59</v>
      </c>
      <c r="AR34" s="22" t="s">
        <v>59</v>
      </c>
    </row>
    <row r="35" spans="1:44" hidden="1">
      <c r="A35" s="22" t="s">
        <v>1046</v>
      </c>
      <c r="B35" s="22" t="s">
        <v>949</v>
      </c>
      <c r="C35" s="22" t="s">
        <v>95</v>
      </c>
      <c r="D35" s="22" t="s">
        <v>98</v>
      </c>
      <c r="E35" s="22" t="s">
        <v>72</v>
      </c>
      <c r="F35" s="22" t="s">
        <v>136</v>
      </c>
      <c r="G35" s="22" t="s">
        <v>129</v>
      </c>
      <c r="H35" s="23"/>
      <c r="I35" s="23"/>
      <c r="J35" s="22">
        <v>3</v>
      </c>
      <c r="K35" s="22">
        <v>1</v>
      </c>
      <c r="L35" s="22">
        <v>1</v>
      </c>
      <c r="M35" s="23"/>
      <c r="N35" s="22" t="s">
        <v>58</v>
      </c>
      <c r="O35" s="23"/>
      <c r="P35" s="23"/>
      <c r="Q35" s="24">
        <v>2</v>
      </c>
      <c r="R35" s="24">
        <v>1</v>
      </c>
      <c r="S35" s="24">
        <v>2</v>
      </c>
      <c r="T35" s="24">
        <v>2</v>
      </c>
      <c r="U35" s="24">
        <v>3</v>
      </c>
      <c r="V35" s="24">
        <v>4</v>
      </c>
      <c r="W35" s="24">
        <v>4</v>
      </c>
      <c r="X35" s="24">
        <v>3</v>
      </c>
      <c r="Y35" s="24">
        <v>3</v>
      </c>
      <c r="Z35" s="24">
        <v>4</v>
      </c>
      <c r="AA35" s="24">
        <v>3</v>
      </c>
      <c r="AB35" s="24">
        <v>3</v>
      </c>
      <c r="AC35" s="24">
        <v>3</v>
      </c>
      <c r="AD35" s="24">
        <v>4</v>
      </c>
      <c r="AE35" s="24">
        <v>3</v>
      </c>
      <c r="AF35" s="24">
        <v>4</v>
      </c>
      <c r="AG35" s="24">
        <v>3</v>
      </c>
      <c r="AH35" s="24">
        <v>3</v>
      </c>
      <c r="AI35" s="24">
        <v>3</v>
      </c>
      <c r="AJ35" s="24">
        <v>3</v>
      </c>
      <c r="AK35" s="24">
        <v>3</v>
      </c>
      <c r="AL35" s="24">
        <v>3</v>
      </c>
      <c r="AM35" s="23"/>
      <c r="AN35" s="23"/>
      <c r="AO35" s="22" t="s">
        <v>59</v>
      </c>
      <c r="AP35" s="22" t="s">
        <v>137</v>
      </c>
      <c r="AQ35" s="22" t="s">
        <v>1047</v>
      </c>
      <c r="AR35" s="22" t="s">
        <v>1048</v>
      </c>
    </row>
    <row r="36" spans="1:44" hidden="1">
      <c r="A36" s="22" t="s">
        <v>1049</v>
      </c>
      <c r="B36" s="22" t="s">
        <v>949</v>
      </c>
      <c r="C36" s="22" t="s">
        <v>95</v>
      </c>
      <c r="D36" s="22" t="s">
        <v>64</v>
      </c>
      <c r="E36" s="22" t="s">
        <v>55</v>
      </c>
      <c r="F36" s="22" t="s">
        <v>65</v>
      </c>
      <c r="G36" s="22" t="s">
        <v>80</v>
      </c>
      <c r="H36" s="23"/>
      <c r="I36" s="23"/>
      <c r="J36" s="22">
        <v>3</v>
      </c>
      <c r="K36" s="22">
        <v>1</v>
      </c>
      <c r="L36" s="22">
        <v>1</v>
      </c>
      <c r="M36" s="23"/>
      <c r="N36" s="22" t="s">
        <v>58</v>
      </c>
      <c r="O36" s="23"/>
      <c r="P36" s="23"/>
      <c r="Q36" s="24">
        <v>2</v>
      </c>
      <c r="R36" s="24">
        <v>1</v>
      </c>
      <c r="S36" s="24">
        <v>3</v>
      </c>
      <c r="T36" s="24">
        <v>2</v>
      </c>
      <c r="U36" s="24">
        <v>4</v>
      </c>
      <c r="V36" s="24">
        <v>3</v>
      </c>
      <c r="W36" s="24">
        <v>4</v>
      </c>
      <c r="X36" s="24">
        <v>4</v>
      </c>
      <c r="Y36" s="24">
        <v>1</v>
      </c>
      <c r="Z36" s="24">
        <v>3</v>
      </c>
      <c r="AA36" s="24">
        <v>4</v>
      </c>
      <c r="AB36" s="24">
        <v>3</v>
      </c>
      <c r="AC36" s="24">
        <v>3</v>
      </c>
      <c r="AD36" s="24">
        <v>4</v>
      </c>
      <c r="AE36" s="24">
        <v>2</v>
      </c>
      <c r="AF36" s="24">
        <v>3</v>
      </c>
      <c r="AG36" s="24">
        <v>3</v>
      </c>
      <c r="AH36" s="24">
        <v>3</v>
      </c>
      <c r="AI36" s="24">
        <v>2</v>
      </c>
      <c r="AJ36" s="24">
        <v>2</v>
      </c>
      <c r="AK36" s="24">
        <v>4</v>
      </c>
      <c r="AL36" s="24">
        <v>3</v>
      </c>
      <c r="AM36" s="23"/>
      <c r="AN36" s="23"/>
      <c r="AO36" s="22" t="s">
        <v>59</v>
      </c>
      <c r="AP36" s="22" t="s">
        <v>1050</v>
      </c>
      <c r="AQ36" s="22" t="s">
        <v>1051</v>
      </c>
      <c r="AR36" s="22" t="s">
        <v>1052</v>
      </c>
    </row>
    <row r="37" spans="1:44" hidden="1">
      <c r="A37" s="22" t="s">
        <v>1053</v>
      </c>
      <c r="B37" s="22" t="s">
        <v>949</v>
      </c>
      <c r="C37" s="22" t="s">
        <v>53</v>
      </c>
      <c r="D37" s="22" t="s">
        <v>98</v>
      </c>
      <c r="E37" s="22" t="s">
        <v>55</v>
      </c>
      <c r="F37" s="22" t="s">
        <v>65</v>
      </c>
      <c r="G37" s="22" t="s">
        <v>57</v>
      </c>
      <c r="H37" s="23"/>
      <c r="I37" s="23"/>
      <c r="J37" s="22">
        <v>4</v>
      </c>
      <c r="K37" s="22">
        <v>2</v>
      </c>
      <c r="L37" s="22">
        <v>2</v>
      </c>
      <c r="M37" s="23"/>
      <c r="N37" s="22" t="s">
        <v>58</v>
      </c>
      <c r="O37" s="23"/>
      <c r="P37" s="23"/>
      <c r="Q37" s="24">
        <v>3</v>
      </c>
      <c r="R37" s="24">
        <v>3</v>
      </c>
      <c r="S37" s="24">
        <v>3</v>
      </c>
      <c r="T37" s="24">
        <v>3</v>
      </c>
      <c r="U37" s="24">
        <v>3</v>
      </c>
      <c r="V37" s="24">
        <v>4</v>
      </c>
      <c r="W37" s="24">
        <v>3</v>
      </c>
      <c r="X37" s="24">
        <v>3</v>
      </c>
      <c r="Y37" s="24">
        <v>3</v>
      </c>
      <c r="Z37" s="24">
        <v>3</v>
      </c>
      <c r="AA37" s="24">
        <v>4</v>
      </c>
      <c r="AB37" s="24">
        <v>4</v>
      </c>
      <c r="AC37" s="24">
        <v>4</v>
      </c>
      <c r="AD37" s="24">
        <v>3</v>
      </c>
      <c r="AE37" s="24">
        <v>3</v>
      </c>
      <c r="AF37" s="24">
        <v>3</v>
      </c>
      <c r="AG37" s="24">
        <v>3</v>
      </c>
      <c r="AH37" s="24">
        <v>4</v>
      </c>
      <c r="AI37" s="24">
        <v>4</v>
      </c>
      <c r="AJ37" s="24">
        <v>3</v>
      </c>
      <c r="AK37" s="24">
        <v>3</v>
      </c>
      <c r="AL37" s="24">
        <v>4</v>
      </c>
      <c r="AM37" s="23"/>
      <c r="AN37" s="23"/>
      <c r="AO37" s="22" t="s">
        <v>74</v>
      </c>
      <c r="AP37" s="22" t="s">
        <v>1054</v>
      </c>
      <c r="AQ37" s="22" t="s">
        <v>1055</v>
      </c>
      <c r="AR37" s="22" t="s">
        <v>1056</v>
      </c>
    </row>
    <row r="38" spans="1:44" hidden="1">
      <c r="A38" s="22" t="s">
        <v>1057</v>
      </c>
      <c r="B38" s="22" t="s">
        <v>949</v>
      </c>
      <c r="C38" s="22" t="s">
        <v>53</v>
      </c>
      <c r="D38" s="22" t="s">
        <v>64</v>
      </c>
      <c r="E38" s="22" t="s">
        <v>55</v>
      </c>
      <c r="F38" s="22" t="s">
        <v>56</v>
      </c>
      <c r="G38" s="22" t="s">
        <v>129</v>
      </c>
      <c r="H38" s="23"/>
      <c r="I38" s="23"/>
      <c r="J38" s="22">
        <v>1</v>
      </c>
      <c r="K38" s="22">
        <v>1</v>
      </c>
      <c r="L38" s="22">
        <v>1</v>
      </c>
      <c r="M38" s="23"/>
      <c r="N38" s="22" t="s">
        <v>58</v>
      </c>
      <c r="O38" s="23"/>
      <c r="P38" s="23"/>
      <c r="Q38" s="24">
        <v>3</v>
      </c>
      <c r="R38" s="24">
        <v>2</v>
      </c>
      <c r="S38" s="24">
        <v>1</v>
      </c>
      <c r="T38" s="24">
        <v>1</v>
      </c>
      <c r="U38" s="24">
        <v>1</v>
      </c>
      <c r="V38" s="24">
        <v>1</v>
      </c>
      <c r="W38" s="24">
        <v>2</v>
      </c>
      <c r="X38" s="24">
        <v>1</v>
      </c>
      <c r="Y38" s="24">
        <v>1</v>
      </c>
      <c r="Z38" s="24">
        <v>1</v>
      </c>
      <c r="AA38" s="24">
        <v>3</v>
      </c>
      <c r="AB38" s="24">
        <v>3</v>
      </c>
      <c r="AC38" s="24">
        <v>3</v>
      </c>
      <c r="AD38" s="24">
        <v>3</v>
      </c>
      <c r="AE38" s="24">
        <v>3</v>
      </c>
      <c r="AF38" s="24">
        <v>3</v>
      </c>
      <c r="AG38" s="24">
        <v>3</v>
      </c>
      <c r="AH38" s="24">
        <v>4</v>
      </c>
      <c r="AI38" s="24">
        <v>3</v>
      </c>
      <c r="AJ38" s="24">
        <v>3</v>
      </c>
      <c r="AK38" s="24">
        <v>3</v>
      </c>
      <c r="AL38" s="24">
        <v>3</v>
      </c>
      <c r="AM38" s="23"/>
      <c r="AN38" s="23"/>
      <c r="AO38" s="22" t="s">
        <v>59</v>
      </c>
      <c r="AP38" s="22" t="s">
        <v>1058</v>
      </c>
      <c r="AQ38" s="22" t="s">
        <v>1059</v>
      </c>
      <c r="AR38" s="22" t="s">
        <v>1060</v>
      </c>
    </row>
    <row r="39" spans="1:44" hidden="1">
      <c r="A39" s="22" t="s">
        <v>1061</v>
      </c>
      <c r="B39" s="22" t="s">
        <v>949</v>
      </c>
      <c r="C39" s="22" t="s">
        <v>95</v>
      </c>
      <c r="D39" s="22" t="s">
        <v>54</v>
      </c>
      <c r="E39" s="22" t="s">
        <v>55</v>
      </c>
      <c r="F39" s="22" t="s">
        <v>56</v>
      </c>
      <c r="G39" s="22" t="s">
        <v>57</v>
      </c>
      <c r="H39" s="23"/>
      <c r="I39" s="23"/>
      <c r="J39" s="22">
        <v>2</v>
      </c>
      <c r="K39" s="22">
        <v>1</v>
      </c>
      <c r="L39" s="22">
        <v>1</v>
      </c>
      <c r="M39" s="23"/>
      <c r="N39" s="22" t="s">
        <v>58</v>
      </c>
      <c r="O39" s="23"/>
      <c r="P39" s="23"/>
      <c r="Q39" s="24">
        <v>3</v>
      </c>
      <c r="R39" s="24">
        <v>3</v>
      </c>
      <c r="S39" s="24">
        <v>3</v>
      </c>
      <c r="T39" s="24">
        <v>3</v>
      </c>
      <c r="U39" s="24">
        <v>3</v>
      </c>
      <c r="V39" s="24">
        <v>3</v>
      </c>
      <c r="W39" s="24">
        <v>3</v>
      </c>
      <c r="X39" s="24">
        <v>3</v>
      </c>
      <c r="Y39" s="24">
        <v>2</v>
      </c>
      <c r="Z39" s="24">
        <v>2</v>
      </c>
      <c r="AA39" s="24">
        <v>3</v>
      </c>
      <c r="AB39" s="24">
        <v>3</v>
      </c>
      <c r="AC39" s="24">
        <v>3</v>
      </c>
      <c r="AD39" s="24">
        <v>3</v>
      </c>
      <c r="AE39" s="24">
        <v>2</v>
      </c>
      <c r="AF39" s="24">
        <v>3</v>
      </c>
      <c r="AG39" s="24">
        <v>3</v>
      </c>
      <c r="AH39" s="24">
        <v>3</v>
      </c>
      <c r="AI39" s="24">
        <v>3</v>
      </c>
      <c r="AJ39" s="24">
        <v>2</v>
      </c>
      <c r="AK39" s="24">
        <v>3</v>
      </c>
      <c r="AL39" s="24">
        <v>3</v>
      </c>
      <c r="AM39" s="23"/>
      <c r="AN39" s="23"/>
      <c r="AO39" s="22" t="s">
        <v>74</v>
      </c>
      <c r="AP39" s="22" t="s">
        <v>1062</v>
      </c>
      <c r="AQ39" s="22" t="s">
        <v>1063</v>
      </c>
      <c r="AR39" s="22" t="s">
        <v>1064</v>
      </c>
    </row>
    <row r="40" spans="1:44" hidden="1">
      <c r="A40" s="22" t="s">
        <v>1065</v>
      </c>
      <c r="B40" s="22" t="s">
        <v>949</v>
      </c>
      <c r="C40" s="22" t="s">
        <v>95</v>
      </c>
      <c r="D40" s="22" t="s">
        <v>98</v>
      </c>
      <c r="E40" s="22" t="s">
        <v>55</v>
      </c>
      <c r="F40" s="22" t="s">
        <v>136</v>
      </c>
      <c r="G40" s="22" t="s">
        <v>129</v>
      </c>
      <c r="H40" s="23"/>
      <c r="I40" s="23"/>
      <c r="J40" s="22">
        <v>1</v>
      </c>
      <c r="K40" s="22">
        <v>1</v>
      </c>
      <c r="L40" s="22">
        <v>1</v>
      </c>
      <c r="M40" s="23"/>
      <c r="N40" s="22" t="s">
        <v>58</v>
      </c>
      <c r="O40" s="23"/>
      <c r="P40" s="23"/>
      <c r="Q40" s="24">
        <v>3</v>
      </c>
      <c r="R40" s="24">
        <v>2</v>
      </c>
      <c r="S40" s="24">
        <v>3</v>
      </c>
      <c r="T40" s="24">
        <v>2</v>
      </c>
      <c r="U40" s="24">
        <v>4</v>
      </c>
      <c r="V40" s="24">
        <v>3</v>
      </c>
      <c r="W40" s="24">
        <v>4</v>
      </c>
      <c r="X40" s="24">
        <v>3</v>
      </c>
      <c r="Y40" s="24">
        <v>4</v>
      </c>
      <c r="Z40" s="24">
        <v>4</v>
      </c>
      <c r="AA40" s="24">
        <v>4</v>
      </c>
      <c r="AB40" s="24">
        <v>3</v>
      </c>
      <c r="AC40" s="24">
        <v>3</v>
      </c>
      <c r="AD40" s="24">
        <v>3</v>
      </c>
      <c r="AE40" s="24">
        <v>3</v>
      </c>
      <c r="AF40" s="24">
        <v>4</v>
      </c>
      <c r="AG40" s="24">
        <v>3</v>
      </c>
      <c r="AH40" s="24">
        <v>3</v>
      </c>
      <c r="AI40" s="24">
        <v>2</v>
      </c>
      <c r="AJ40" s="24">
        <v>4</v>
      </c>
      <c r="AK40" s="24">
        <v>3</v>
      </c>
      <c r="AL40" s="24">
        <v>3</v>
      </c>
      <c r="AM40" s="23"/>
      <c r="AN40" s="23"/>
      <c r="AO40" s="22" t="s">
        <v>59</v>
      </c>
      <c r="AP40" s="22" t="s">
        <v>92</v>
      </c>
      <c r="AQ40" s="22" t="s">
        <v>1066</v>
      </c>
      <c r="AR40" s="22" t="s">
        <v>92</v>
      </c>
    </row>
    <row r="41" spans="1:44" hidden="1">
      <c r="A41" s="22" t="s">
        <v>1067</v>
      </c>
      <c r="B41" s="22" t="s">
        <v>949</v>
      </c>
      <c r="C41" s="22" t="s">
        <v>95</v>
      </c>
      <c r="D41" s="22" t="s">
        <v>64</v>
      </c>
      <c r="E41" s="22" t="s">
        <v>55</v>
      </c>
      <c r="F41" s="22" t="s">
        <v>65</v>
      </c>
      <c r="G41" s="22" t="s">
        <v>80</v>
      </c>
      <c r="H41" s="23"/>
      <c r="I41" s="23"/>
      <c r="J41" s="22">
        <v>4</v>
      </c>
      <c r="K41" s="22">
        <v>3</v>
      </c>
      <c r="L41" s="22">
        <v>2</v>
      </c>
      <c r="M41" s="23"/>
      <c r="N41" s="22" t="s">
        <v>66</v>
      </c>
      <c r="O41" s="23"/>
      <c r="P41" s="23"/>
      <c r="Q41" s="24">
        <v>3</v>
      </c>
      <c r="R41" s="24">
        <v>4</v>
      </c>
      <c r="S41" s="24">
        <v>3</v>
      </c>
      <c r="T41" s="24">
        <v>3</v>
      </c>
      <c r="U41" s="24">
        <v>3</v>
      </c>
      <c r="V41" s="24">
        <v>3</v>
      </c>
      <c r="W41" s="24">
        <v>3</v>
      </c>
      <c r="X41" s="24">
        <v>3</v>
      </c>
      <c r="Y41" s="24">
        <v>3</v>
      </c>
      <c r="Z41" s="24">
        <v>3</v>
      </c>
      <c r="AA41" s="24">
        <v>3</v>
      </c>
      <c r="AB41" s="24">
        <v>3</v>
      </c>
      <c r="AC41" s="24">
        <v>3</v>
      </c>
      <c r="AD41" s="24">
        <v>3</v>
      </c>
      <c r="AE41" s="24">
        <v>3</v>
      </c>
      <c r="AF41" s="24">
        <v>3</v>
      </c>
      <c r="AG41" s="24">
        <v>3</v>
      </c>
      <c r="AH41" s="24">
        <v>3</v>
      </c>
      <c r="AI41" s="24">
        <v>3</v>
      </c>
      <c r="AJ41" s="24">
        <v>3</v>
      </c>
      <c r="AK41" s="24">
        <v>3</v>
      </c>
      <c r="AL41" s="24">
        <v>3</v>
      </c>
      <c r="AM41" s="23"/>
      <c r="AN41" s="23"/>
      <c r="AO41" s="22" t="s">
        <v>74</v>
      </c>
      <c r="AP41" s="22" t="s">
        <v>1068</v>
      </c>
      <c r="AQ41" s="22" t="s">
        <v>546</v>
      </c>
      <c r="AR41" s="22" t="s">
        <v>1069</v>
      </c>
    </row>
    <row r="42" spans="1:44" hidden="1">
      <c r="A42" s="22" t="s">
        <v>1070</v>
      </c>
      <c r="B42" s="22" t="s">
        <v>949</v>
      </c>
      <c r="C42" s="22" t="s">
        <v>95</v>
      </c>
      <c r="D42" s="22" t="s">
        <v>54</v>
      </c>
      <c r="E42" s="22" t="s">
        <v>55</v>
      </c>
      <c r="F42" s="22" t="s">
        <v>56</v>
      </c>
      <c r="G42" s="22" t="s">
        <v>57</v>
      </c>
      <c r="H42" s="23"/>
      <c r="I42" s="23"/>
      <c r="J42" s="22">
        <v>5</v>
      </c>
      <c r="K42" s="22">
        <v>5</v>
      </c>
      <c r="L42" s="22">
        <v>5</v>
      </c>
      <c r="M42" s="23"/>
      <c r="N42" s="22" t="s">
        <v>115</v>
      </c>
      <c r="O42" s="23"/>
      <c r="P42" s="23"/>
      <c r="Q42" s="24">
        <v>4</v>
      </c>
      <c r="R42" s="24">
        <v>4</v>
      </c>
      <c r="S42" s="24">
        <v>4</v>
      </c>
      <c r="T42" s="24">
        <v>4</v>
      </c>
      <c r="U42" s="24">
        <v>4</v>
      </c>
      <c r="V42" s="24">
        <v>4</v>
      </c>
      <c r="W42" s="24">
        <v>4</v>
      </c>
      <c r="X42" s="24">
        <v>4</v>
      </c>
      <c r="Y42" s="24">
        <v>4</v>
      </c>
      <c r="Z42" s="24">
        <v>4</v>
      </c>
      <c r="AA42" s="24">
        <v>4</v>
      </c>
      <c r="AB42" s="24">
        <v>4</v>
      </c>
      <c r="AC42" s="24">
        <v>4</v>
      </c>
      <c r="AD42" s="24">
        <v>4</v>
      </c>
      <c r="AE42" s="24">
        <v>4</v>
      </c>
      <c r="AF42" s="24">
        <v>4</v>
      </c>
      <c r="AG42" s="24">
        <v>4</v>
      </c>
      <c r="AH42" s="24">
        <v>4</v>
      </c>
      <c r="AI42" s="24">
        <v>4</v>
      </c>
      <c r="AJ42" s="24">
        <v>4</v>
      </c>
      <c r="AK42" s="24">
        <v>4</v>
      </c>
      <c r="AL42" s="24">
        <v>4</v>
      </c>
      <c r="AM42" s="23"/>
      <c r="AN42" s="23"/>
      <c r="AO42" s="22" t="s">
        <v>74</v>
      </c>
      <c r="AP42" s="22" t="s">
        <v>1071</v>
      </c>
      <c r="AQ42" s="22" t="s">
        <v>1072</v>
      </c>
      <c r="AR42" s="22" t="s">
        <v>1073</v>
      </c>
    </row>
    <row r="43" spans="1:44" hidden="1">
      <c r="A43" s="22" t="s">
        <v>1074</v>
      </c>
      <c r="B43" s="22" t="s">
        <v>949</v>
      </c>
      <c r="C43" s="22" t="s">
        <v>95</v>
      </c>
      <c r="D43" s="22" t="s">
        <v>54</v>
      </c>
      <c r="E43" s="22" t="s">
        <v>55</v>
      </c>
      <c r="F43" s="22" t="s">
        <v>56</v>
      </c>
      <c r="G43" s="22" t="s">
        <v>80</v>
      </c>
      <c r="H43" s="23"/>
      <c r="I43" s="23"/>
      <c r="J43" s="22">
        <v>4</v>
      </c>
      <c r="K43" s="22">
        <v>4</v>
      </c>
      <c r="L43" s="22">
        <v>3</v>
      </c>
      <c r="M43" s="23"/>
      <c r="N43" s="22" t="s">
        <v>58</v>
      </c>
      <c r="O43" s="23"/>
      <c r="P43" s="23"/>
      <c r="Q43" s="24">
        <v>3</v>
      </c>
      <c r="R43" s="24">
        <v>2</v>
      </c>
      <c r="S43" s="24">
        <v>3</v>
      </c>
      <c r="T43" s="24">
        <v>2</v>
      </c>
      <c r="U43" s="24">
        <v>2</v>
      </c>
      <c r="V43" s="24">
        <v>3</v>
      </c>
      <c r="W43" s="24">
        <v>3</v>
      </c>
      <c r="X43" s="24">
        <v>3</v>
      </c>
      <c r="Y43" s="24">
        <v>3</v>
      </c>
      <c r="Z43" s="24">
        <v>3</v>
      </c>
      <c r="AA43" s="24">
        <v>3</v>
      </c>
      <c r="AB43" s="24">
        <v>3</v>
      </c>
      <c r="AC43" s="24">
        <v>3</v>
      </c>
      <c r="AD43" s="24">
        <v>3</v>
      </c>
      <c r="AE43" s="24">
        <v>3</v>
      </c>
      <c r="AF43" s="24">
        <v>3</v>
      </c>
      <c r="AG43" s="24">
        <v>3</v>
      </c>
      <c r="AH43" s="24">
        <v>3</v>
      </c>
      <c r="AI43" s="24">
        <v>3</v>
      </c>
      <c r="AJ43" s="24">
        <v>3</v>
      </c>
      <c r="AK43" s="24">
        <v>3</v>
      </c>
      <c r="AL43" s="24">
        <v>3</v>
      </c>
      <c r="AM43" s="23"/>
      <c r="AN43" s="23"/>
      <c r="AO43" s="22" t="s">
        <v>59</v>
      </c>
      <c r="AP43" s="22" t="s">
        <v>1075</v>
      </c>
      <c r="AQ43" s="22" t="s">
        <v>1076</v>
      </c>
      <c r="AR43" s="22" t="s">
        <v>1077</v>
      </c>
    </row>
    <row r="44" spans="1:44" hidden="1">
      <c r="A44" s="22" t="s">
        <v>1078</v>
      </c>
      <c r="B44" s="22" t="s">
        <v>949</v>
      </c>
      <c r="C44" s="22" t="s">
        <v>53</v>
      </c>
      <c r="D44" s="22" t="s">
        <v>64</v>
      </c>
      <c r="E44" s="22" t="s">
        <v>72</v>
      </c>
      <c r="F44" s="22" t="s">
        <v>56</v>
      </c>
      <c r="G44" s="22" t="s">
        <v>80</v>
      </c>
      <c r="H44" s="23"/>
      <c r="I44" s="23"/>
      <c r="J44" s="22">
        <v>2</v>
      </c>
      <c r="K44" s="22">
        <v>2</v>
      </c>
      <c r="L44" s="22">
        <v>2</v>
      </c>
      <c r="M44" s="23"/>
      <c r="N44" s="22" t="s">
        <v>66</v>
      </c>
      <c r="O44" s="23"/>
      <c r="P44" s="23"/>
      <c r="Q44" s="24">
        <v>3</v>
      </c>
      <c r="R44" s="24">
        <v>2</v>
      </c>
      <c r="S44" s="24">
        <v>2</v>
      </c>
      <c r="T44" s="24">
        <v>2</v>
      </c>
      <c r="U44" s="24">
        <v>2</v>
      </c>
      <c r="V44" s="24">
        <v>2</v>
      </c>
      <c r="W44" s="24">
        <v>3</v>
      </c>
      <c r="X44" s="24">
        <v>3</v>
      </c>
      <c r="Y44" s="24">
        <v>2</v>
      </c>
      <c r="Z44" s="24">
        <v>3</v>
      </c>
      <c r="AA44" s="24">
        <v>3</v>
      </c>
      <c r="AB44" s="24">
        <v>3</v>
      </c>
      <c r="AC44" s="24">
        <v>2</v>
      </c>
      <c r="AD44" s="24">
        <v>3</v>
      </c>
      <c r="AE44" s="24">
        <v>3</v>
      </c>
      <c r="AF44" s="24">
        <v>2</v>
      </c>
      <c r="AG44" s="24">
        <v>3</v>
      </c>
      <c r="AH44" s="24">
        <v>3</v>
      </c>
      <c r="AI44" s="24">
        <v>2</v>
      </c>
      <c r="AJ44" s="24">
        <v>2</v>
      </c>
      <c r="AK44" s="24">
        <v>2</v>
      </c>
      <c r="AL44" s="24">
        <v>2</v>
      </c>
      <c r="AM44" s="23"/>
      <c r="AN44" s="23"/>
      <c r="AO44" s="22" t="s">
        <v>59</v>
      </c>
      <c r="AP44" s="22" t="s">
        <v>1079</v>
      </c>
      <c r="AQ44" s="22" t="s">
        <v>140</v>
      </c>
      <c r="AR44" s="22" t="s">
        <v>92</v>
      </c>
    </row>
    <row r="45" spans="1:44" hidden="1">
      <c r="A45" s="22" t="s">
        <v>1080</v>
      </c>
      <c r="B45" s="22" t="s">
        <v>949</v>
      </c>
      <c r="C45" s="22" t="s">
        <v>95</v>
      </c>
      <c r="D45" s="22" t="s">
        <v>98</v>
      </c>
      <c r="E45" s="22" t="s">
        <v>55</v>
      </c>
      <c r="F45" s="22" t="s">
        <v>136</v>
      </c>
      <c r="G45" s="22" t="s">
        <v>80</v>
      </c>
      <c r="H45" s="23"/>
      <c r="I45" s="23"/>
      <c r="J45" s="22">
        <v>4</v>
      </c>
      <c r="K45" s="22">
        <v>3</v>
      </c>
      <c r="L45" s="22">
        <v>2</v>
      </c>
      <c r="M45" s="23"/>
      <c r="N45" s="22" t="s">
        <v>66</v>
      </c>
      <c r="O45" s="23"/>
      <c r="P45" s="23"/>
      <c r="Q45" s="24">
        <v>3</v>
      </c>
      <c r="R45" s="24">
        <v>4</v>
      </c>
      <c r="S45" s="24">
        <v>4</v>
      </c>
      <c r="T45" s="24">
        <v>4</v>
      </c>
      <c r="U45" s="24">
        <v>3</v>
      </c>
      <c r="V45" s="24">
        <v>4</v>
      </c>
      <c r="W45" s="24">
        <v>4</v>
      </c>
      <c r="X45" s="24">
        <v>2</v>
      </c>
      <c r="Y45" s="24">
        <v>3</v>
      </c>
      <c r="Z45" s="24">
        <v>3</v>
      </c>
      <c r="AA45" s="24">
        <v>5</v>
      </c>
      <c r="AB45" s="24">
        <v>4</v>
      </c>
      <c r="AC45" s="24">
        <v>4</v>
      </c>
      <c r="AD45" s="24">
        <v>3</v>
      </c>
      <c r="AE45" s="24">
        <v>3</v>
      </c>
      <c r="AF45" s="24">
        <v>4</v>
      </c>
      <c r="AG45" s="24">
        <v>4</v>
      </c>
      <c r="AH45" s="24">
        <v>4</v>
      </c>
      <c r="AI45" s="24">
        <v>4</v>
      </c>
      <c r="AJ45" s="24">
        <v>3</v>
      </c>
      <c r="AK45" s="24">
        <v>3</v>
      </c>
      <c r="AL45" s="24">
        <v>3</v>
      </c>
      <c r="AM45" s="23"/>
      <c r="AN45" s="23"/>
      <c r="AO45" s="22" t="s">
        <v>59</v>
      </c>
      <c r="AP45" s="22" t="s">
        <v>542</v>
      </c>
      <c r="AQ45" s="22" t="s">
        <v>1081</v>
      </c>
      <c r="AR45" s="22" t="s">
        <v>1082</v>
      </c>
    </row>
    <row r="46" spans="1:44" hidden="1">
      <c r="A46" s="22" t="s">
        <v>1083</v>
      </c>
      <c r="B46" s="22" t="s">
        <v>949</v>
      </c>
      <c r="C46" s="22" t="s">
        <v>95</v>
      </c>
      <c r="D46" s="22" t="s">
        <v>98</v>
      </c>
      <c r="E46" s="22" t="s">
        <v>55</v>
      </c>
      <c r="F46" s="22" t="s">
        <v>136</v>
      </c>
      <c r="G46" s="22" t="s">
        <v>80</v>
      </c>
      <c r="H46" s="23"/>
      <c r="I46" s="23"/>
      <c r="J46" s="22">
        <v>3</v>
      </c>
      <c r="K46" s="22">
        <v>2</v>
      </c>
      <c r="L46" s="22">
        <v>2</v>
      </c>
      <c r="M46" s="23"/>
      <c r="N46" s="22" t="s">
        <v>85</v>
      </c>
      <c r="O46" s="23"/>
      <c r="P46" s="23"/>
      <c r="Q46" s="24">
        <v>4</v>
      </c>
      <c r="R46" s="24">
        <v>2</v>
      </c>
      <c r="S46" s="24">
        <v>4</v>
      </c>
      <c r="T46" s="24">
        <v>4</v>
      </c>
      <c r="U46" s="24">
        <v>4</v>
      </c>
      <c r="V46" s="24">
        <v>5</v>
      </c>
      <c r="W46" s="24">
        <v>5</v>
      </c>
      <c r="X46" s="24">
        <v>5</v>
      </c>
      <c r="Y46" s="24">
        <v>5</v>
      </c>
      <c r="Z46" s="24">
        <v>5</v>
      </c>
      <c r="AA46" s="24">
        <v>4</v>
      </c>
      <c r="AB46" s="24">
        <v>5</v>
      </c>
      <c r="AC46" s="24">
        <v>5</v>
      </c>
      <c r="AD46" s="24">
        <v>5</v>
      </c>
      <c r="AE46" s="24">
        <v>5</v>
      </c>
      <c r="AF46" s="24">
        <v>5</v>
      </c>
      <c r="AG46" s="24">
        <v>5</v>
      </c>
      <c r="AH46" s="24">
        <v>5</v>
      </c>
      <c r="AI46" s="24">
        <v>4</v>
      </c>
      <c r="AJ46" s="24">
        <v>5</v>
      </c>
      <c r="AK46" s="24">
        <v>4</v>
      </c>
      <c r="AL46" s="24">
        <v>5</v>
      </c>
      <c r="AM46" s="23"/>
      <c r="AN46" s="23"/>
      <c r="AO46" s="22" t="s">
        <v>74</v>
      </c>
      <c r="AP46" s="22" t="s">
        <v>92</v>
      </c>
      <c r="AQ46" s="22" t="s">
        <v>1084</v>
      </c>
      <c r="AR46" s="22" t="s">
        <v>92</v>
      </c>
    </row>
    <row r="47" spans="1:44" hidden="1">
      <c r="A47" s="22" t="s">
        <v>1085</v>
      </c>
      <c r="B47" s="22" t="s">
        <v>949</v>
      </c>
      <c r="C47" s="22" t="s">
        <v>95</v>
      </c>
      <c r="D47" s="22" t="s">
        <v>98</v>
      </c>
      <c r="E47" s="22" t="s">
        <v>55</v>
      </c>
      <c r="F47" s="22" t="s">
        <v>136</v>
      </c>
      <c r="G47" s="22" t="s">
        <v>96</v>
      </c>
      <c r="H47" s="23"/>
      <c r="I47" s="23"/>
      <c r="J47" s="22">
        <v>1</v>
      </c>
      <c r="K47" s="22">
        <v>1</v>
      </c>
      <c r="L47" s="22">
        <v>1</v>
      </c>
      <c r="M47" s="23"/>
      <c r="N47" s="22" t="s">
        <v>85</v>
      </c>
      <c r="O47" s="23"/>
      <c r="P47" s="23"/>
      <c r="Q47" s="24">
        <v>1</v>
      </c>
      <c r="R47" s="24">
        <v>1</v>
      </c>
      <c r="S47" s="24">
        <v>1</v>
      </c>
      <c r="T47" s="24">
        <v>1</v>
      </c>
      <c r="U47" s="24">
        <v>1</v>
      </c>
      <c r="V47" s="24">
        <v>1</v>
      </c>
      <c r="W47" s="24">
        <v>1</v>
      </c>
      <c r="X47" s="24">
        <v>1</v>
      </c>
      <c r="Y47" s="24">
        <v>1</v>
      </c>
      <c r="Z47" s="24">
        <v>1</v>
      </c>
      <c r="AA47" s="24">
        <v>1</v>
      </c>
      <c r="AB47" s="24">
        <v>1</v>
      </c>
      <c r="AC47" s="24">
        <v>1</v>
      </c>
      <c r="AD47" s="24">
        <v>1</v>
      </c>
      <c r="AE47" s="24">
        <v>1</v>
      </c>
      <c r="AF47" s="24">
        <v>1</v>
      </c>
      <c r="AG47" s="24">
        <v>1</v>
      </c>
      <c r="AH47" s="24">
        <v>1</v>
      </c>
      <c r="AI47" s="24">
        <v>1</v>
      </c>
      <c r="AJ47" s="24">
        <v>1</v>
      </c>
      <c r="AK47" s="24">
        <v>1</v>
      </c>
      <c r="AL47" s="24">
        <v>1</v>
      </c>
      <c r="AM47" s="23"/>
      <c r="AN47" s="23"/>
      <c r="AO47" s="22" t="s">
        <v>59</v>
      </c>
      <c r="AP47" s="22" t="s">
        <v>92</v>
      </c>
      <c r="AQ47" s="22" t="s">
        <v>92</v>
      </c>
      <c r="AR47" s="22" t="s">
        <v>92</v>
      </c>
    </row>
    <row r="48" spans="1:44" hidden="1">
      <c r="A48" s="22" t="s">
        <v>1086</v>
      </c>
      <c r="B48" s="22" t="s">
        <v>949</v>
      </c>
      <c r="C48" s="22" t="s">
        <v>95</v>
      </c>
      <c r="D48" s="22" t="s">
        <v>98</v>
      </c>
      <c r="E48" s="22" t="s">
        <v>55</v>
      </c>
      <c r="F48" s="22" t="s">
        <v>65</v>
      </c>
      <c r="G48" s="22" t="s">
        <v>96</v>
      </c>
      <c r="H48" s="23"/>
      <c r="I48" s="23"/>
      <c r="J48" s="22">
        <v>2</v>
      </c>
      <c r="K48" s="22">
        <v>2</v>
      </c>
      <c r="L48" s="22">
        <v>2</v>
      </c>
      <c r="M48" s="23"/>
      <c r="N48" s="22" t="s">
        <v>58</v>
      </c>
      <c r="O48" s="23"/>
      <c r="P48" s="23"/>
      <c r="Q48" s="24">
        <v>3</v>
      </c>
      <c r="R48" s="24">
        <v>3</v>
      </c>
      <c r="S48" s="24">
        <v>3</v>
      </c>
      <c r="T48" s="24">
        <v>2</v>
      </c>
      <c r="U48" s="24">
        <v>2</v>
      </c>
      <c r="V48" s="24">
        <v>2</v>
      </c>
      <c r="W48" s="24">
        <v>3</v>
      </c>
      <c r="X48" s="24">
        <v>3</v>
      </c>
      <c r="Y48" s="24">
        <v>3</v>
      </c>
      <c r="Z48" s="24">
        <v>3</v>
      </c>
      <c r="AA48" s="24">
        <v>3</v>
      </c>
      <c r="AB48" s="24">
        <v>3</v>
      </c>
      <c r="AC48" s="24">
        <v>3</v>
      </c>
      <c r="AD48" s="24">
        <v>3</v>
      </c>
      <c r="AE48" s="24">
        <v>2</v>
      </c>
      <c r="AF48" s="24">
        <v>3</v>
      </c>
      <c r="AG48" s="24">
        <v>3</v>
      </c>
      <c r="AH48" s="24">
        <v>3</v>
      </c>
      <c r="AI48" s="24">
        <v>2</v>
      </c>
      <c r="AJ48" s="24">
        <v>2</v>
      </c>
      <c r="AK48" s="24">
        <v>2</v>
      </c>
      <c r="AL48" s="24">
        <v>2</v>
      </c>
      <c r="AM48" s="23"/>
      <c r="AN48" s="23"/>
      <c r="AO48" s="22" t="s">
        <v>59</v>
      </c>
      <c r="AP48" s="22" t="s">
        <v>1087</v>
      </c>
      <c r="AQ48" s="22" t="s">
        <v>140</v>
      </c>
      <c r="AR48" s="22" t="s">
        <v>1088</v>
      </c>
    </row>
    <row r="49" spans="1:44" hidden="1">
      <c r="A49" s="22" t="s">
        <v>1089</v>
      </c>
      <c r="B49" s="22" t="s">
        <v>949</v>
      </c>
      <c r="C49" s="22" t="s">
        <v>95</v>
      </c>
      <c r="D49" s="22" t="s">
        <v>98</v>
      </c>
      <c r="E49" s="22" t="s">
        <v>55</v>
      </c>
      <c r="F49" s="22" t="s">
        <v>65</v>
      </c>
      <c r="G49" s="22" t="s">
        <v>80</v>
      </c>
      <c r="H49" s="23"/>
      <c r="I49" s="23"/>
      <c r="J49" s="22">
        <v>3</v>
      </c>
      <c r="K49" s="22">
        <v>3</v>
      </c>
      <c r="L49" s="22">
        <v>3</v>
      </c>
      <c r="M49" s="23"/>
      <c r="N49" s="22" t="s">
        <v>58</v>
      </c>
      <c r="O49" s="23"/>
      <c r="P49" s="23"/>
      <c r="Q49" s="24">
        <v>2</v>
      </c>
      <c r="R49" s="24">
        <v>2</v>
      </c>
      <c r="S49" s="24">
        <v>2</v>
      </c>
      <c r="T49" s="24">
        <v>2</v>
      </c>
      <c r="U49" s="24">
        <v>2</v>
      </c>
      <c r="V49" s="24">
        <v>3</v>
      </c>
      <c r="W49" s="24">
        <v>3</v>
      </c>
      <c r="X49" s="24">
        <v>3</v>
      </c>
      <c r="Y49" s="24">
        <v>2</v>
      </c>
      <c r="Z49" s="24">
        <v>2</v>
      </c>
      <c r="AA49" s="24">
        <v>2</v>
      </c>
      <c r="AB49" s="24">
        <v>4</v>
      </c>
      <c r="AC49" s="24">
        <v>3</v>
      </c>
      <c r="AD49" s="24">
        <v>3</v>
      </c>
      <c r="AE49" s="24">
        <v>3</v>
      </c>
      <c r="AF49" s="24">
        <v>3</v>
      </c>
      <c r="AG49" s="24">
        <v>2</v>
      </c>
      <c r="AH49" s="24">
        <v>2</v>
      </c>
      <c r="AI49" s="24">
        <v>2</v>
      </c>
      <c r="AJ49" s="24">
        <v>2</v>
      </c>
      <c r="AK49" s="24">
        <v>2</v>
      </c>
      <c r="AL49" s="24">
        <v>2</v>
      </c>
      <c r="AM49" s="23"/>
      <c r="AN49" s="23"/>
      <c r="AO49" s="22" t="s">
        <v>59</v>
      </c>
      <c r="AP49" s="22" t="s">
        <v>120</v>
      </c>
      <c r="AQ49" s="22" t="s">
        <v>120</v>
      </c>
      <c r="AR49" s="22" t="s">
        <v>120</v>
      </c>
    </row>
    <row r="50" spans="1:44" hidden="1">
      <c r="A50" s="22" t="s">
        <v>1090</v>
      </c>
      <c r="B50" s="22" t="s">
        <v>949</v>
      </c>
      <c r="C50" s="22" t="s">
        <v>79</v>
      </c>
      <c r="D50" s="22" t="s">
        <v>98</v>
      </c>
      <c r="E50" s="22" t="s">
        <v>55</v>
      </c>
      <c r="F50" s="22" t="s">
        <v>65</v>
      </c>
      <c r="G50" s="22" t="s">
        <v>57</v>
      </c>
      <c r="H50" s="23"/>
      <c r="I50" s="23"/>
      <c r="J50" s="22">
        <v>4</v>
      </c>
      <c r="K50" s="22">
        <v>2</v>
      </c>
      <c r="L50" s="22">
        <v>2</v>
      </c>
      <c r="M50" s="23"/>
      <c r="N50" s="22" t="s">
        <v>85</v>
      </c>
      <c r="O50" s="23"/>
      <c r="P50" s="23"/>
      <c r="Q50" s="24">
        <v>2</v>
      </c>
      <c r="R50" s="24">
        <v>2</v>
      </c>
      <c r="S50" s="24">
        <v>2</v>
      </c>
      <c r="T50" s="24">
        <v>2</v>
      </c>
      <c r="U50" s="24">
        <v>3</v>
      </c>
      <c r="V50" s="24">
        <v>3</v>
      </c>
      <c r="W50" s="24">
        <v>3</v>
      </c>
      <c r="X50" s="24">
        <v>3</v>
      </c>
      <c r="Y50" s="24">
        <v>3</v>
      </c>
      <c r="Z50" s="24">
        <v>2</v>
      </c>
      <c r="AA50" s="24">
        <v>2</v>
      </c>
      <c r="AB50" s="24">
        <v>3</v>
      </c>
      <c r="AC50" s="24">
        <v>3</v>
      </c>
      <c r="AD50" s="24">
        <v>3</v>
      </c>
      <c r="AE50" s="24">
        <v>3</v>
      </c>
      <c r="AF50" s="24">
        <v>3</v>
      </c>
      <c r="AG50" s="24">
        <v>3</v>
      </c>
      <c r="AH50" s="24">
        <v>3</v>
      </c>
      <c r="AI50" s="24">
        <v>3</v>
      </c>
      <c r="AJ50" s="24">
        <v>3</v>
      </c>
      <c r="AK50" s="24">
        <v>3</v>
      </c>
      <c r="AL50" s="24">
        <v>3</v>
      </c>
      <c r="AM50" s="23"/>
      <c r="AN50" s="23"/>
      <c r="AO50" s="22" t="s">
        <v>59</v>
      </c>
      <c r="AP50" s="22" t="s">
        <v>137</v>
      </c>
      <c r="AQ50" s="22" t="s">
        <v>137</v>
      </c>
      <c r="AR50" s="22" t="s">
        <v>137</v>
      </c>
    </row>
    <row r="51" spans="1:44" hidden="1">
      <c r="A51" s="22" t="s">
        <v>1091</v>
      </c>
      <c r="B51" s="22" t="s">
        <v>949</v>
      </c>
      <c r="C51" s="22" t="s">
        <v>95</v>
      </c>
      <c r="D51" s="22" t="s">
        <v>64</v>
      </c>
      <c r="E51" s="22" t="s">
        <v>55</v>
      </c>
      <c r="F51" s="22" t="s">
        <v>136</v>
      </c>
      <c r="G51" s="22" t="s">
        <v>80</v>
      </c>
      <c r="H51" s="23"/>
      <c r="I51" s="23"/>
      <c r="J51" s="22">
        <v>3</v>
      </c>
      <c r="K51" s="22">
        <v>3</v>
      </c>
      <c r="L51" s="22">
        <v>4</v>
      </c>
      <c r="M51" s="23"/>
      <c r="N51" s="22" t="s">
        <v>115</v>
      </c>
      <c r="O51" s="23"/>
      <c r="P51" s="23"/>
      <c r="Q51" s="24">
        <v>4</v>
      </c>
      <c r="R51" s="24">
        <v>3</v>
      </c>
      <c r="S51" s="24">
        <v>3</v>
      </c>
      <c r="T51" s="24">
        <v>3</v>
      </c>
      <c r="U51" s="24">
        <v>3</v>
      </c>
      <c r="V51" s="24">
        <v>3</v>
      </c>
      <c r="W51" s="24">
        <v>3</v>
      </c>
      <c r="X51" s="24">
        <v>3</v>
      </c>
      <c r="Y51" s="24">
        <v>3</v>
      </c>
      <c r="Z51" s="24">
        <v>3</v>
      </c>
      <c r="AA51" s="24">
        <v>3</v>
      </c>
      <c r="AB51" s="24">
        <v>3</v>
      </c>
      <c r="AC51" s="24">
        <v>3</v>
      </c>
      <c r="AD51" s="24">
        <v>3</v>
      </c>
      <c r="AE51" s="24">
        <v>3</v>
      </c>
      <c r="AF51" s="24">
        <v>3</v>
      </c>
      <c r="AG51" s="24">
        <v>3</v>
      </c>
      <c r="AH51" s="24">
        <v>3</v>
      </c>
      <c r="AI51" s="24">
        <v>3</v>
      </c>
      <c r="AJ51" s="24">
        <v>3</v>
      </c>
      <c r="AK51" s="24">
        <v>3</v>
      </c>
      <c r="AL51" s="24">
        <v>3</v>
      </c>
      <c r="AM51" s="23"/>
      <c r="AN51" s="23"/>
      <c r="AO51" s="22" t="s">
        <v>74</v>
      </c>
      <c r="AP51" s="22" t="s">
        <v>1092</v>
      </c>
      <c r="AQ51" s="22" t="s">
        <v>1093</v>
      </c>
      <c r="AR51" s="22" t="s">
        <v>452</v>
      </c>
    </row>
    <row r="52" spans="1:44" hidden="1">
      <c r="A52" s="22" t="s">
        <v>1094</v>
      </c>
      <c r="B52" s="22" t="s">
        <v>949</v>
      </c>
      <c r="C52" s="22" t="s">
        <v>95</v>
      </c>
      <c r="D52" s="22" t="s">
        <v>64</v>
      </c>
      <c r="E52" s="22" t="s">
        <v>72</v>
      </c>
      <c r="F52" s="22" t="s">
        <v>56</v>
      </c>
      <c r="G52" s="22" t="s">
        <v>96</v>
      </c>
      <c r="H52" s="23"/>
      <c r="I52" s="23"/>
      <c r="J52" s="22">
        <v>1</v>
      </c>
      <c r="K52" s="22">
        <v>1</v>
      </c>
      <c r="L52" s="22">
        <v>1</v>
      </c>
      <c r="M52" s="23"/>
      <c r="N52" s="22" t="s">
        <v>91</v>
      </c>
      <c r="O52" s="23"/>
      <c r="P52" s="23"/>
      <c r="Q52" s="24">
        <v>4</v>
      </c>
      <c r="R52" s="24">
        <v>4</v>
      </c>
      <c r="S52" s="24">
        <v>3</v>
      </c>
      <c r="T52" s="24">
        <v>3</v>
      </c>
      <c r="U52" s="24">
        <v>1</v>
      </c>
      <c r="V52" s="24">
        <v>1</v>
      </c>
      <c r="W52" s="24">
        <v>3</v>
      </c>
      <c r="X52" s="24">
        <v>3</v>
      </c>
      <c r="Y52" s="24">
        <v>3</v>
      </c>
      <c r="Z52" s="24">
        <v>3</v>
      </c>
      <c r="AA52" s="24">
        <v>3</v>
      </c>
      <c r="AB52" s="24">
        <v>1</v>
      </c>
      <c r="AC52" s="24">
        <v>3</v>
      </c>
      <c r="AD52" s="24">
        <v>1</v>
      </c>
      <c r="AE52" s="24">
        <v>1</v>
      </c>
      <c r="AF52" s="24">
        <v>3</v>
      </c>
      <c r="AG52" s="24">
        <v>1</v>
      </c>
      <c r="AH52" s="24">
        <v>1</v>
      </c>
      <c r="AI52" s="24">
        <v>1</v>
      </c>
      <c r="AJ52" s="24">
        <v>1</v>
      </c>
      <c r="AK52" s="24">
        <v>1</v>
      </c>
      <c r="AL52" s="24">
        <v>1</v>
      </c>
      <c r="AM52" s="23"/>
      <c r="AN52" s="23"/>
      <c r="AO52" s="22" t="s">
        <v>59</v>
      </c>
      <c r="AP52" s="22" t="s">
        <v>1095</v>
      </c>
      <c r="AQ52" s="22" t="s">
        <v>1096</v>
      </c>
      <c r="AR52" s="22" t="s">
        <v>1097</v>
      </c>
    </row>
    <row r="53" spans="1:44" hidden="1">
      <c r="A53" s="22" t="s">
        <v>1098</v>
      </c>
      <c r="B53" s="22" t="s">
        <v>949</v>
      </c>
      <c r="C53" s="22" t="s">
        <v>53</v>
      </c>
      <c r="D53" s="22" t="s">
        <v>98</v>
      </c>
      <c r="E53" s="22" t="s">
        <v>55</v>
      </c>
      <c r="F53" s="22" t="s">
        <v>65</v>
      </c>
      <c r="G53" s="22" t="s">
        <v>80</v>
      </c>
      <c r="H53" s="23"/>
      <c r="I53" s="23"/>
      <c r="J53" s="22">
        <v>3</v>
      </c>
      <c r="K53" s="22">
        <v>2</v>
      </c>
      <c r="L53" s="22">
        <v>1</v>
      </c>
      <c r="M53" s="23"/>
      <c r="N53" s="22" t="s">
        <v>85</v>
      </c>
      <c r="O53" s="23"/>
      <c r="P53" s="23"/>
      <c r="Q53" s="24">
        <v>3</v>
      </c>
      <c r="R53" s="24">
        <v>2</v>
      </c>
      <c r="S53" s="24">
        <v>3</v>
      </c>
      <c r="T53" s="24">
        <v>2</v>
      </c>
      <c r="U53" s="24">
        <v>1</v>
      </c>
      <c r="V53" s="24">
        <v>1</v>
      </c>
      <c r="W53" s="24">
        <v>4</v>
      </c>
      <c r="X53" s="24">
        <v>5</v>
      </c>
      <c r="Y53" s="24">
        <v>4</v>
      </c>
      <c r="Z53" s="24">
        <v>5</v>
      </c>
      <c r="AA53" s="24">
        <v>5</v>
      </c>
      <c r="AB53" s="24">
        <v>5</v>
      </c>
      <c r="AC53" s="24">
        <v>5</v>
      </c>
      <c r="AD53" s="24">
        <v>5</v>
      </c>
      <c r="AE53" s="24">
        <v>3</v>
      </c>
      <c r="AF53" s="24">
        <v>5</v>
      </c>
      <c r="AG53" s="24">
        <v>3</v>
      </c>
      <c r="AH53" s="24">
        <v>3</v>
      </c>
      <c r="AI53" s="24">
        <v>4</v>
      </c>
      <c r="AJ53" s="24">
        <v>2</v>
      </c>
      <c r="AK53" s="24">
        <v>3</v>
      </c>
      <c r="AL53" s="24">
        <v>4</v>
      </c>
      <c r="AM53" s="23"/>
      <c r="AN53" s="23"/>
      <c r="AO53" s="22" t="s">
        <v>59</v>
      </c>
      <c r="AP53" s="22" t="s">
        <v>1099</v>
      </c>
      <c r="AQ53" s="22" t="s">
        <v>1100</v>
      </c>
      <c r="AR53" s="22" t="s">
        <v>1101</v>
      </c>
    </row>
    <row r="54" spans="1:44" hidden="1">
      <c r="A54" s="22" t="s">
        <v>1102</v>
      </c>
      <c r="B54" s="22" t="s">
        <v>949</v>
      </c>
      <c r="C54" s="22" t="s">
        <v>95</v>
      </c>
      <c r="D54" s="22" t="s">
        <v>98</v>
      </c>
      <c r="E54" s="22" t="s">
        <v>55</v>
      </c>
      <c r="F54" s="22" t="s">
        <v>136</v>
      </c>
      <c r="G54" s="22" t="s">
        <v>80</v>
      </c>
      <c r="H54" s="23"/>
      <c r="I54" s="23"/>
      <c r="J54" s="22">
        <v>4</v>
      </c>
      <c r="K54" s="22">
        <v>2</v>
      </c>
      <c r="L54" s="22">
        <v>1</v>
      </c>
      <c r="M54" s="23"/>
      <c r="N54" s="22" t="s">
        <v>58</v>
      </c>
      <c r="O54" s="23"/>
      <c r="P54" s="23"/>
      <c r="Q54" s="24">
        <v>3</v>
      </c>
      <c r="R54" s="24">
        <v>3</v>
      </c>
      <c r="S54" s="24">
        <v>4</v>
      </c>
      <c r="T54" s="24">
        <v>4</v>
      </c>
      <c r="U54" s="24">
        <v>4</v>
      </c>
      <c r="V54" s="24">
        <v>4</v>
      </c>
      <c r="W54" s="24">
        <v>4</v>
      </c>
      <c r="X54" s="24">
        <v>4</v>
      </c>
      <c r="Y54" s="24">
        <v>4</v>
      </c>
      <c r="Z54" s="24">
        <v>4</v>
      </c>
      <c r="AA54" s="24">
        <v>3</v>
      </c>
      <c r="AB54" s="24">
        <v>4</v>
      </c>
      <c r="AC54" s="24">
        <v>4</v>
      </c>
      <c r="AD54" s="24">
        <v>3</v>
      </c>
      <c r="AE54" s="24">
        <v>3</v>
      </c>
      <c r="AF54" s="24">
        <v>4</v>
      </c>
      <c r="AG54" s="24">
        <v>3</v>
      </c>
      <c r="AH54" s="24">
        <v>4</v>
      </c>
      <c r="AI54" s="24">
        <v>3</v>
      </c>
      <c r="AJ54" s="24">
        <v>3</v>
      </c>
      <c r="AK54" s="24">
        <v>3</v>
      </c>
      <c r="AL54" s="24">
        <v>3</v>
      </c>
      <c r="AM54" s="23"/>
      <c r="AN54" s="23"/>
      <c r="AO54" s="22" t="s">
        <v>59</v>
      </c>
      <c r="AP54" s="22" t="s">
        <v>1103</v>
      </c>
      <c r="AQ54" s="22" t="s">
        <v>1104</v>
      </c>
      <c r="AR54" s="22" t="s">
        <v>1105</v>
      </c>
    </row>
    <row r="55" spans="1:44" hidden="1">
      <c r="A55" s="22" t="s">
        <v>1106</v>
      </c>
      <c r="B55" s="22" t="s">
        <v>949</v>
      </c>
      <c r="C55" s="22" t="s">
        <v>53</v>
      </c>
      <c r="D55" s="22" t="s">
        <v>98</v>
      </c>
      <c r="E55" s="22" t="s">
        <v>55</v>
      </c>
      <c r="F55" s="22" t="s">
        <v>65</v>
      </c>
      <c r="G55" s="22" t="s">
        <v>129</v>
      </c>
      <c r="H55" s="23"/>
      <c r="I55" s="23"/>
      <c r="J55" s="22">
        <v>3</v>
      </c>
      <c r="K55" s="22">
        <v>2</v>
      </c>
      <c r="L55" s="22">
        <v>1</v>
      </c>
      <c r="M55" s="23"/>
      <c r="N55" s="22" t="s">
        <v>85</v>
      </c>
      <c r="O55" s="23"/>
      <c r="P55" s="23"/>
      <c r="Q55" s="24">
        <v>3</v>
      </c>
      <c r="R55" s="24">
        <v>1</v>
      </c>
      <c r="S55" s="24">
        <v>3</v>
      </c>
      <c r="T55" s="24">
        <v>2</v>
      </c>
      <c r="U55" s="24">
        <v>2</v>
      </c>
      <c r="V55" s="24">
        <v>2</v>
      </c>
      <c r="W55" s="24">
        <v>4</v>
      </c>
      <c r="X55" s="24">
        <v>4</v>
      </c>
      <c r="Y55" s="24">
        <v>4</v>
      </c>
      <c r="Z55" s="24">
        <v>4</v>
      </c>
      <c r="AA55" s="24">
        <v>4</v>
      </c>
      <c r="AB55" s="24">
        <v>4</v>
      </c>
      <c r="AC55" s="24">
        <v>4</v>
      </c>
      <c r="AD55" s="24">
        <v>4</v>
      </c>
      <c r="AE55" s="24">
        <v>4</v>
      </c>
      <c r="AF55" s="24">
        <v>5</v>
      </c>
      <c r="AG55" s="24">
        <v>5</v>
      </c>
      <c r="AH55" s="24">
        <v>4</v>
      </c>
      <c r="AI55" s="24">
        <v>4</v>
      </c>
      <c r="AJ55" s="24">
        <v>4</v>
      </c>
      <c r="AK55" s="24">
        <v>4</v>
      </c>
      <c r="AL55" s="24">
        <v>4</v>
      </c>
      <c r="AM55" s="23"/>
      <c r="AN55" s="23"/>
      <c r="AO55" s="22" t="s">
        <v>59</v>
      </c>
      <c r="AP55" s="22" t="s">
        <v>1107</v>
      </c>
      <c r="AQ55" s="22" t="s">
        <v>1108</v>
      </c>
      <c r="AR55" s="22" t="s">
        <v>1109</v>
      </c>
    </row>
    <row r="56" spans="1:44" hidden="1">
      <c r="A56" s="22" t="s">
        <v>1110</v>
      </c>
      <c r="B56" s="22" t="s">
        <v>949</v>
      </c>
      <c r="C56" s="22" t="s">
        <v>95</v>
      </c>
      <c r="D56" s="22" t="s">
        <v>64</v>
      </c>
      <c r="E56" s="22" t="s">
        <v>72</v>
      </c>
      <c r="F56" s="22" t="s">
        <v>65</v>
      </c>
      <c r="G56" s="22" t="s">
        <v>80</v>
      </c>
      <c r="H56" s="23"/>
      <c r="I56" s="23"/>
      <c r="J56" s="22">
        <v>4</v>
      </c>
      <c r="K56" s="22">
        <v>2</v>
      </c>
      <c r="L56" s="22">
        <v>4</v>
      </c>
      <c r="M56" s="23"/>
      <c r="N56" s="22" t="s">
        <v>58</v>
      </c>
      <c r="O56" s="23"/>
      <c r="P56" s="23"/>
      <c r="Q56" s="24">
        <v>2</v>
      </c>
      <c r="R56" s="24">
        <v>2</v>
      </c>
      <c r="S56" s="24">
        <v>4</v>
      </c>
      <c r="T56" s="24">
        <v>3</v>
      </c>
      <c r="U56" s="24">
        <v>3</v>
      </c>
      <c r="V56" s="24">
        <v>3</v>
      </c>
      <c r="W56" s="24">
        <v>3</v>
      </c>
      <c r="X56" s="24">
        <v>3</v>
      </c>
      <c r="Y56" s="24">
        <v>2</v>
      </c>
      <c r="Z56" s="24">
        <v>2</v>
      </c>
      <c r="AA56" s="24">
        <v>4</v>
      </c>
      <c r="AB56" s="24">
        <v>4</v>
      </c>
      <c r="AC56" s="24">
        <v>4</v>
      </c>
      <c r="AD56" s="24">
        <v>3</v>
      </c>
      <c r="AE56" s="24">
        <v>4</v>
      </c>
      <c r="AF56" s="24">
        <v>4</v>
      </c>
      <c r="AG56" s="24">
        <v>4</v>
      </c>
      <c r="AH56" s="24">
        <v>4</v>
      </c>
      <c r="AI56" s="24">
        <v>2</v>
      </c>
      <c r="AJ56" s="24">
        <v>2</v>
      </c>
      <c r="AK56" s="24">
        <v>3</v>
      </c>
      <c r="AL56" s="24">
        <v>3</v>
      </c>
      <c r="AM56" s="23"/>
      <c r="AN56" s="23"/>
      <c r="AO56" s="22" t="s">
        <v>59</v>
      </c>
      <c r="AP56" s="22" t="s">
        <v>137</v>
      </c>
      <c r="AQ56" s="22" t="s">
        <v>137</v>
      </c>
      <c r="AR56" s="22" t="s">
        <v>137</v>
      </c>
    </row>
    <row r="57" spans="1:44" hidden="1">
      <c r="A57" s="22" t="s">
        <v>1111</v>
      </c>
      <c r="B57" s="22" t="s">
        <v>949</v>
      </c>
      <c r="C57" s="22" t="s">
        <v>79</v>
      </c>
      <c r="D57" s="22" t="s">
        <v>54</v>
      </c>
      <c r="E57" s="22" t="s">
        <v>55</v>
      </c>
      <c r="F57" s="22" t="s">
        <v>56</v>
      </c>
      <c r="G57" s="22" t="s">
        <v>57</v>
      </c>
      <c r="H57" s="23"/>
      <c r="I57" s="23"/>
      <c r="J57" s="22">
        <v>2</v>
      </c>
      <c r="K57" s="22">
        <v>2</v>
      </c>
      <c r="L57" s="22">
        <v>4</v>
      </c>
      <c r="M57" s="23"/>
      <c r="N57" s="22" t="s">
        <v>85</v>
      </c>
      <c r="O57" s="23"/>
      <c r="P57" s="23"/>
      <c r="Q57" s="24">
        <v>3</v>
      </c>
      <c r="R57" s="24">
        <v>3</v>
      </c>
      <c r="S57" s="24">
        <v>2</v>
      </c>
      <c r="T57" s="24">
        <v>2</v>
      </c>
      <c r="U57" s="24">
        <v>2</v>
      </c>
      <c r="V57" s="24">
        <v>2</v>
      </c>
      <c r="W57" s="24">
        <v>2</v>
      </c>
      <c r="X57" s="24">
        <v>2</v>
      </c>
      <c r="Y57" s="24">
        <v>2</v>
      </c>
      <c r="Z57" s="24">
        <v>2</v>
      </c>
      <c r="AA57" s="24">
        <v>2</v>
      </c>
      <c r="AB57" s="24">
        <v>2</v>
      </c>
      <c r="AC57" s="24">
        <v>2</v>
      </c>
      <c r="AD57" s="24">
        <v>2</v>
      </c>
      <c r="AE57" s="24">
        <v>2</v>
      </c>
      <c r="AF57" s="24">
        <v>2</v>
      </c>
      <c r="AG57" s="24">
        <v>2</v>
      </c>
      <c r="AH57" s="24">
        <v>2</v>
      </c>
      <c r="AI57" s="24">
        <v>2</v>
      </c>
      <c r="AJ57" s="24">
        <v>2</v>
      </c>
      <c r="AK57" s="24">
        <v>2</v>
      </c>
      <c r="AL57" s="24">
        <v>2</v>
      </c>
      <c r="AM57" s="23"/>
      <c r="AN57" s="23"/>
      <c r="AO57" s="22" t="s">
        <v>59</v>
      </c>
      <c r="AP57" s="22" t="s">
        <v>1112</v>
      </c>
      <c r="AQ57" s="22" t="s">
        <v>1113</v>
      </c>
      <c r="AR57" s="22" t="s">
        <v>1114</v>
      </c>
    </row>
    <row r="58" spans="1:44" hidden="1">
      <c r="A58" s="22" t="s">
        <v>1115</v>
      </c>
      <c r="B58" s="22" t="s">
        <v>949</v>
      </c>
      <c r="C58" s="22" t="s">
        <v>79</v>
      </c>
      <c r="D58" s="22" t="s">
        <v>106</v>
      </c>
      <c r="E58" s="22" t="s">
        <v>72</v>
      </c>
      <c r="F58" s="22" t="s">
        <v>73</v>
      </c>
      <c r="G58" s="22" t="s">
        <v>57</v>
      </c>
      <c r="H58" s="23"/>
      <c r="I58" s="23"/>
      <c r="J58" s="22">
        <v>4</v>
      </c>
      <c r="K58" s="22">
        <v>4</v>
      </c>
      <c r="L58" s="22">
        <v>4</v>
      </c>
      <c r="M58" s="23"/>
      <c r="N58" s="22" t="s">
        <v>115</v>
      </c>
      <c r="O58" s="23"/>
      <c r="P58" s="23"/>
      <c r="Q58" s="24">
        <v>4</v>
      </c>
      <c r="R58" s="24">
        <v>4</v>
      </c>
      <c r="S58" s="24">
        <v>3</v>
      </c>
      <c r="T58" s="24">
        <v>4</v>
      </c>
      <c r="U58" s="24">
        <v>4</v>
      </c>
      <c r="V58" s="24">
        <v>4</v>
      </c>
      <c r="W58" s="24">
        <v>5</v>
      </c>
      <c r="X58" s="24">
        <v>5</v>
      </c>
      <c r="Y58" s="24">
        <v>4</v>
      </c>
      <c r="Z58" s="24">
        <v>4</v>
      </c>
      <c r="AA58" s="24">
        <v>4</v>
      </c>
      <c r="AB58" s="24">
        <v>4</v>
      </c>
      <c r="AC58" s="24">
        <v>5</v>
      </c>
      <c r="AD58" s="24">
        <v>5</v>
      </c>
      <c r="AE58" s="24">
        <v>5</v>
      </c>
      <c r="AF58" s="24">
        <v>5</v>
      </c>
      <c r="AG58" s="24">
        <v>5</v>
      </c>
      <c r="AH58" s="24">
        <v>5</v>
      </c>
      <c r="AI58" s="24">
        <v>4</v>
      </c>
      <c r="AJ58" s="24">
        <v>4</v>
      </c>
      <c r="AK58" s="24">
        <v>4</v>
      </c>
      <c r="AL58" s="24">
        <v>3</v>
      </c>
      <c r="AM58" s="23"/>
      <c r="AN58" s="23"/>
      <c r="AO58" s="22" t="s">
        <v>74</v>
      </c>
      <c r="AP58" s="22" t="s">
        <v>1116</v>
      </c>
      <c r="AQ58" s="22" t="s">
        <v>1117</v>
      </c>
      <c r="AR58" s="22" t="s">
        <v>1118</v>
      </c>
    </row>
    <row r="59" spans="1:44" hidden="1">
      <c r="A59" s="22" t="s">
        <v>1119</v>
      </c>
      <c r="B59" s="22" t="s">
        <v>949</v>
      </c>
      <c r="C59" s="22" t="s">
        <v>95</v>
      </c>
      <c r="D59" s="22" t="s">
        <v>98</v>
      </c>
      <c r="E59" s="22" t="s">
        <v>55</v>
      </c>
      <c r="F59" s="22" t="s">
        <v>65</v>
      </c>
      <c r="G59" s="22" t="s">
        <v>80</v>
      </c>
      <c r="H59" s="23"/>
      <c r="I59" s="23"/>
      <c r="J59" s="22">
        <v>4</v>
      </c>
      <c r="K59" s="22">
        <v>2</v>
      </c>
      <c r="L59" s="22">
        <v>3</v>
      </c>
      <c r="M59" s="23"/>
      <c r="N59" s="22" t="s">
        <v>66</v>
      </c>
      <c r="O59" s="23"/>
      <c r="P59" s="23"/>
      <c r="Q59" s="24">
        <v>3</v>
      </c>
      <c r="R59" s="24">
        <v>3</v>
      </c>
      <c r="S59" s="24">
        <v>3</v>
      </c>
      <c r="T59" s="24">
        <v>3</v>
      </c>
      <c r="U59" s="24">
        <v>3</v>
      </c>
      <c r="V59" s="24">
        <v>3</v>
      </c>
      <c r="W59" s="24">
        <v>3</v>
      </c>
      <c r="X59" s="24">
        <v>3</v>
      </c>
      <c r="Y59" s="24">
        <v>3</v>
      </c>
      <c r="Z59" s="24">
        <v>3</v>
      </c>
      <c r="AA59" s="24">
        <v>3</v>
      </c>
      <c r="AB59" s="24">
        <v>3</v>
      </c>
      <c r="AC59" s="24">
        <v>3</v>
      </c>
      <c r="AD59" s="24">
        <v>3</v>
      </c>
      <c r="AE59" s="24">
        <v>3</v>
      </c>
      <c r="AF59" s="24">
        <v>3</v>
      </c>
      <c r="AG59" s="24">
        <v>3</v>
      </c>
      <c r="AH59" s="24">
        <v>4</v>
      </c>
      <c r="AI59" s="24">
        <v>4</v>
      </c>
      <c r="AJ59" s="24">
        <v>2</v>
      </c>
      <c r="AK59" s="24">
        <v>2</v>
      </c>
      <c r="AL59" s="24">
        <v>2</v>
      </c>
      <c r="AM59" s="23"/>
      <c r="AN59" s="23"/>
      <c r="AO59" s="22" t="s">
        <v>59</v>
      </c>
      <c r="AP59" s="22" t="s">
        <v>1120</v>
      </c>
      <c r="AQ59" s="22" t="s">
        <v>1121</v>
      </c>
      <c r="AR59" s="22" t="s">
        <v>1122</v>
      </c>
    </row>
    <row r="60" spans="1:44" hidden="1">
      <c r="A60" s="22" t="s">
        <v>1123</v>
      </c>
      <c r="B60" s="22" t="s">
        <v>949</v>
      </c>
      <c r="C60" s="22" t="s">
        <v>95</v>
      </c>
      <c r="D60" s="22" t="s">
        <v>98</v>
      </c>
      <c r="E60" s="22" t="s">
        <v>72</v>
      </c>
      <c r="F60" s="22" t="s">
        <v>65</v>
      </c>
      <c r="G60" s="22" t="s">
        <v>80</v>
      </c>
      <c r="H60" s="23"/>
      <c r="I60" s="23"/>
      <c r="J60" s="22">
        <v>2</v>
      </c>
      <c r="K60" s="22">
        <v>1</v>
      </c>
      <c r="L60" s="22">
        <v>1</v>
      </c>
      <c r="M60" s="23"/>
      <c r="N60" s="22" t="s">
        <v>115</v>
      </c>
      <c r="O60" s="23"/>
      <c r="P60" s="23"/>
      <c r="Q60" s="24">
        <v>4</v>
      </c>
      <c r="R60" s="24">
        <v>3</v>
      </c>
      <c r="S60" s="24">
        <v>4</v>
      </c>
      <c r="T60" s="24">
        <v>4</v>
      </c>
      <c r="U60" s="24">
        <v>4</v>
      </c>
      <c r="V60" s="24">
        <v>4</v>
      </c>
      <c r="W60" s="24">
        <v>4</v>
      </c>
      <c r="X60" s="24">
        <v>5</v>
      </c>
      <c r="Y60" s="24">
        <v>5</v>
      </c>
      <c r="Z60" s="24">
        <v>5</v>
      </c>
      <c r="AA60" s="24">
        <v>5</v>
      </c>
      <c r="AB60" s="24">
        <v>5</v>
      </c>
      <c r="AC60" s="24">
        <v>5</v>
      </c>
      <c r="AD60" s="24">
        <v>5</v>
      </c>
      <c r="AE60" s="24">
        <v>5</v>
      </c>
      <c r="AF60" s="24">
        <v>5</v>
      </c>
      <c r="AG60" s="24">
        <v>5</v>
      </c>
      <c r="AH60" s="24">
        <v>3</v>
      </c>
      <c r="AI60" s="24">
        <v>2</v>
      </c>
      <c r="AJ60" s="24">
        <v>2</v>
      </c>
      <c r="AK60" s="24">
        <v>3</v>
      </c>
      <c r="AL60" s="24">
        <v>3</v>
      </c>
      <c r="AM60" s="23"/>
      <c r="AN60" s="23"/>
      <c r="AO60" s="22" t="s">
        <v>59</v>
      </c>
      <c r="AP60" s="22" t="s">
        <v>1124</v>
      </c>
      <c r="AQ60" s="22" t="s">
        <v>1125</v>
      </c>
      <c r="AR60" s="22" t="s">
        <v>92</v>
      </c>
    </row>
    <row r="61" spans="1:44" hidden="1">
      <c r="A61" s="22" t="s">
        <v>1126</v>
      </c>
      <c r="B61" s="22" t="s">
        <v>949</v>
      </c>
      <c r="C61" s="22" t="s">
        <v>53</v>
      </c>
      <c r="D61" s="22" t="s">
        <v>64</v>
      </c>
      <c r="E61" s="22" t="s">
        <v>55</v>
      </c>
      <c r="F61" s="22" t="s">
        <v>65</v>
      </c>
      <c r="G61" s="22" t="s">
        <v>57</v>
      </c>
      <c r="H61" s="23"/>
      <c r="I61" s="23"/>
      <c r="J61" s="22">
        <v>1</v>
      </c>
      <c r="K61" s="22">
        <v>1</v>
      </c>
      <c r="L61" s="22">
        <v>1</v>
      </c>
      <c r="M61" s="23"/>
      <c r="N61" s="22" t="s">
        <v>85</v>
      </c>
      <c r="O61" s="23"/>
      <c r="P61" s="23"/>
      <c r="Q61" s="24">
        <v>1</v>
      </c>
      <c r="R61" s="24">
        <v>1</v>
      </c>
      <c r="S61" s="24">
        <v>3</v>
      </c>
      <c r="T61" s="24">
        <v>1</v>
      </c>
      <c r="U61" s="24">
        <v>2</v>
      </c>
      <c r="V61" s="24">
        <v>4</v>
      </c>
      <c r="W61" s="24">
        <v>3</v>
      </c>
      <c r="X61" s="24">
        <v>3</v>
      </c>
      <c r="Y61" s="24">
        <v>3</v>
      </c>
      <c r="Z61" s="24">
        <v>1</v>
      </c>
      <c r="AA61" s="24">
        <v>5</v>
      </c>
      <c r="AB61" s="24">
        <v>4</v>
      </c>
      <c r="AC61" s="24">
        <v>5</v>
      </c>
      <c r="AD61" s="24">
        <v>5</v>
      </c>
      <c r="AE61" s="24">
        <v>5</v>
      </c>
      <c r="AF61" s="24">
        <v>4</v>
      </c>
      <c r="AG61" s="24">
        <v>4</v>
      </c>
      <c r="AH61" s="24">
        <v>4</v>
      </c>
      <c r="AI61" s="24">
        <v>3</v>
      </c>
      <c r="AJ61" s="24">
        <v>1</v>
      </c>
      <c r="AK61" s="24">
        <v>2</v>
      </c>
      <c r="AL61" s="24">
        <v>1</v>
      </c>
      <c r="AM61" s="23"/>
      <c r="AN61" s="23"/>
      <c r="AO61" s="22" t="s">
        <v>59</v>
      </c>
      <c r="AP61" s="22" t="s">
        <v>1127</v>
      </c>
      <c r="AQ61" s="22" t="s">
        <v>1128</v>
      </c>
      <c r="AR61" s="22" t="s">
        <v>1129</v>
      </c>
    </row>
    <row r="62" spans="1:44" hidden="1">
      <c r="A62" s="22" t="s">
        <v>1130</v>
      </c>
      <c r="B62" s="22" t="s">
        <v>949</v>
      </c>
      <c r="C62" s="22" t="s">
        <v>53</v>
      </c>
      <c r="D62" s="22" t="s">
        <v>64</v>
      </c>
      <c r="E62" s="22" t="s">
        <v>55</v>
      </c>
      <c r="F62" s="22" t="s">
        <v>56</v>
      </c>
      <c r="G62" s="22" t="s">
        <v>80</v>
      </c>
      <c r="H62" s="23"/>
      <c r="I62" s="23"/>
      <c r="J62" s="22">
        <v>3</v>
      </c>
      <c r="K62" s="22">
        <v>3</v>
      </c>
      <c r="L62" s="22">
        <v>3</v>
      </c>
      <c r="M62" s="23"/>
      <c r="N62" s="22" t="s">
        <v>58</v>
      </c>
      <c r="O62" s="23"/>
      <c r="P62" s="23"/>
      <c r="Q62" s="24">
        <v>3</v>
      </c>
      <c r="R62" s="24">
        <v>3</v>
      </c>
      <c r="S62" s="24">
        <v>4</v>
      </c>
      <c r="T62" s="24">
        <v>3</v>
      </c>
      <c r="U62" s="24">
        <v>2</v>
      </c>
      <c r="V62" s="24">
        <v>4</v>
      </c>
      <c r="W62" s="24">
        <v>5</v>
      </c>
      <c r="X62" s="24">
        <v>5</v>
      </c>
      <c r="Y62" s="24">
        <v>2</v>
      </c>
      <c r="Z62" s="24">
        <v>5</v>
      </c>
      <c r="AA62" s="24">
        <v>5</v>
      </c>
      <c r="AB62" s="24">
        <v>5</v>
      </c>
      <c r="AC62" s="24">
        <v>5</v>
      </c>
      <c r="AD62" s="24">
        <v>5</v>
      </c>
      <c r="AE62" s="24">
        <v>5</v>
      </c>
      <c r="AF62" s="24">
        <v>5</v>
      </c>
      <c r="AG62" s="24">
        <v>5</v>
      </c>
      <c r="AH62" s="24">
        <v>5</v>
      </c>
      <c r="AI62" s="24">
        <v>5</v>
      </c>
      <c r="AJ62" s="24">
        <v>5</v>
      </c>
      <c r="AK62" s="24">
        <v>5</v>
      </c>
      <c r="AL62" s="24">
        <v>5</v>
      </c>
      <c r="AM62" s="23"/>
      <c r="AN62" s="23"/>
      <c r="AO62" s="22" t="s">
        <v>59</v>
      </c>
      <c r="AP62" s="22" t="s">
        <v>81</v>
      </c>
      <c r="AQ62" s="22" t="s">
        <v>81</v>
      </c>
      <c r="AR62" s="22" t="s">
        <v>1131</v>
      </c>
    </row>
    <row r="63" spans="1:44" hidden="1">
      <c r="A63" s="22" t="s">
        <v>1132</v>
      </c>
      <c r="B63" s="22" t="s">
        <v>949</v>
      </c>
      <c r="C63" s="22" t="s">
        <v>95</v>
      </c>
      <c r="D63" s="22" t="s">
        <v>106</v>
      </c>
      <c r="E63" s="22" t="s">
        <v>72</v>
      </c>
      <c r="F63" s="22" t="s">
        <v>73</v>
      </c>
      <c r="G63" s="22" t="s">
        <v>80</v>
      </c>
      <c r="H63" s="23"/>
      <c r="I63" s="23"/>
      <c r="J63" s="22">
        <v>4</v>
      </c>
      <c r="K63" s="22">
        <v>2</v>
      </c>
      <c r="L63" s="22">
        <v>2</v>
      </c>
      <c r="M63" s="23"/>
      <c r="N63" s="22" t="s">
        <v>66</v>
      </c>
      <c r="O63" s="23"/>
      <c r="P63" s="23"/>
      <c r="Q63" s="24">
        <v>4</v>
      </c>
      <c r="R63" s="24">
        <v>4</v>
      </c>
      <c r="S63" s="24">
        <v>4</v>
      </c>
      <c r="T63" s="24">
        <v>4</v>
      </c>
      <c r="U63" s="24">
        <v>4</v>
      </c>
      <c r="V63" s="24">
        <v>4</v>
      </c>
      <c r="W63" s="24">
        <v>4</v>
      </c>
      <c r="X63" s="24">
        <v>4</v>
      </c>
      <c r="Y63" s="24">
        <v>4</v>
      </c>
      <c r="Z63" s="24">
        <v>4</v>
      </c>
      <c r="AA63" s="24">
        <v>4</v>
      </c>
      <c r="AB63" s="24">
        <v>4</v>
      </c>
      <c r="AC63" s="24">
        <v>4</v>
      </c>
      <c r="AD63" s="24">
        <v>4</v>
      </c>
      <c r="AE63" s="24">
        <v>4</v>
      </c>
      <c r="AF63" s="24">
        <v>4</v>
      </c>
      <c r="AG63" s="24">
        <v>4</v>
      </c>
      <c r="AH63" s="24">
        <v>4</v>
      </c>
      <c r="AI63" s="24">
        <v>4</v>
      </c>
      <c r="AJ63" s="24">
        <v>4</v>
      </c>
      <c r="AK63" s="24">
        <v>4</v>
      </c>
      <c r="AL63" s="24">
        <v>4</v>
      </c>
      <c r="AM63" s="23"/>
      <c r="AN63" s="23"/>
      <c r="AO63" s="22" t="s">
        <v>74</v>
      </c>
      <c r="AP63" s="22" t="s">
        <v>1133</v>
      </c>
      <c r="AQ63" s="22" t="s">
        <v>1134</v>
      </c>
      <c r="AR63" s="22" t="s">
        <v>1135</v>
      </c>
    </row>
    <row r="64" spans="1:44" hidden="1">
      <c r="A64" s="22" t="s">
        <v>1136</v>
      </c>
      <c r="B64" s="22" t="s">
        <v>949</v>
      </c>
      <c r="C64" s="22" t="s">
        <v>95</v>
      </c>
      <c r="D64" s="22" t="s">
        <v>64</v>
      </c>
      <c r="E64" s="22" t="s">
        <v>55</v>
      </c>
      <c r="F64" s="22" t="s">
        <v>65</v>
      </c>
      <c r="G64" s="22" t="s">
        <v>129</v>
      </c>
      <c r="H64" s="23"/>
      <c r="I64" s="23"/>
      <c r="J64" s="22">
        <v>2</v>
      </c>
      <c r="K64" s="22">
        <v>2</v>
      </c>
      <c r="L64" s="22">
        <v>2</v>
      </c>
      <c r="M64" s="23"/>
      <c r="N64" s="22" t="s">
        <v>58</v>
      </c>
      <c r="O64" s="23"/>
      <c r="P64" s="23"/>
      <c r="Q64" s="24">
        <v>2</v>
      </c>
      <c r="R64" s="24">
        <v>2</v>
      </c>
      <c r="S64" s="24">
        <v>2</v>
      </c>
      <c r="T64" s="24">
        <v>2</v>
      </c>
      <c r="U64" s="24">
        <v>2</v>
      </c>
      <c r="V64" s="24">
        <v>2</v>
      </c>
      <c r="W64" s="24">
        <v>3</v>
      </c>
      <c r="X64" s="24">
        <v>2</v>
      </c>
      <c r="Y64" s="24">
        <v>2</v>
      </c>
      <c r="Z64" s="24">
        <v>2</v>
      </c>
      <c r="AA64" s="24">
        <v>3</v>
      </c>
      <c r="AB64" s="24">
        <v>3</v>
      </c>
      <c r="AC64" s="24">
        <v>3</v>
      </c>
      <c r="AD64" s="24">
        <v>3</v>
      </c>
      <c r="AE64" s="24">
        <v>3</v>
      </c>
      <c r="AF64" s="24">
        <v>4</v>
      </c>
      <c r="AG64" s="24">
        <v>3</v>
      </c>
      <c r="AH64" s="24">
        <v>3</v>
      </c>
      <c r="AI64" s="24">
        <v>3</v>
      </c>
      <c r="AJ64" s="24">
        <v>2</v>
      </c>
      <c r="AK64" s="24">
        <v>3</v>
      </c>
      <c r="AL64" s="24">
        <v>2</v>
      </c>
      <c r="AM64" s="23"/>
      <c r="AN64" s="23"/>
      <c r="AO64" s="22" t="s">
        <v>59</v>
      </c>
      <c r="AP64" s="22" t="s">
        <v>1137</v>
      </c>
      <c r="AQ64" s="22" t="s">
        <v>1138</v>
      </c>
      <c r="AR64" s="22" t="s">
        <v>1139</v>
      </c>
    </row>
    <row r="65" spans="1:44" hidden="1">
      <c r="A65" s="22" t="s">
        <v>1140</v>
      </c>
      <c r="B65" s="22" t="s">
        <v>949</v>
      </c>
      <c r="C65" s="22" t="s">
        <v>95</v>
      </c>
      <c r="D65" s="22" t="s">
        <v>98</v>
      </c>
      <c r="E65" s="22" t="s">
        <v>55</v>
      </c>
      <c r="F65" s="22" t="s">
        <v>65</v>
      </c>
      <c r="G65" s="22" t="s">
        <v>129</v>
      </c>
      <c r="H65" s="23"/>
      <c r="I65" s="23"/>
      <c r="J65" s="22">
        <v>3</v>
      </c>
      <c r="K65" s="22">
        <v>3</v>
      </c>
      <c r="L65" s="22">
        <v>3</v>
      </c>
      <c r="M65" s="23"/>
      <c r="N65" s="22" t="s">
        <v>115</v>
      </c>
      <c r="O65" s="23"/>
      <c r="P65" s="23"/>
      <c r="Q65" s="24">
        <v>3</v>
      </c>
      <c r="R65" s="24">
        <v>3</v>
      </c>
      <c r="S65" s="24">
        <v>3</v>
      </c>
      <c r="T65" s="24">
        <v>3</v>
      </c>
      <c r="U65" s="24">
        <v>3</v>
      </c>
      <c r="V65" s="24">
        <v>3</v>
      </c>
      <c r="W65" s="24">
        <v>3</v>
      </c>
      <c r="X65" s="24">
        <v>3</v>
      </c>
      <c r="Y65" s="24">
        <v>3</v>
      </c>
      <c r="Z65" s="24">
        <v>3</v>
      </c>
      <c r="AA65" s="24">
        <v>3</v>
      </c>
      <c r="AB65" s="24">
        <v>3</v>
      </c>
      <c r="AC65" s="24">
        <v>3</v>
      </c>
      <c r="AD65" s="24">
        <v>3</v>
      </c>
      <c r="AE65" s="24">
        <v>3</v>
      </c>
      <c r="AF65" s="24">
        <v>3</v>
      </c>
      <c r="AG65" s="24">
        <v>3</v>
      </c>
      <c r="AH65" s="24">
        <v>3</v>
      </c>
      <c r="AI65" s="24">
        <v>3</v>
      </c>
      <c r="AJ65" s="24">
        <v>3</v>
      </c>
      <c r="AK65" s="24">
        <v>3</v>
      </c>
      <c r="AL65" s="24">
        <v>3</v>
      </c>
      <c r="AM65" s="23"/>
      <c r="AN65" s="23"/>
      <c r="AO65" s="22" t="s">
        <v>59</v>
      </c>
      <c r="AP65" s="22" t="s">
        <v>59</v>
      </c>
      <c r="AQ65" s="22" t="s">
        <v>59</v>
      </c>
      <c r="AR65" s="22" t="s">
        <v>1141</v>
      </c>
    </row>
    <row r="66" spans="1:44" hidden="1">
      <c r="A66" s="22" t="s">
        <v>1142</v>
      </c>
      <c r="B66" s="22" t="s">
        <v>949</v>
      </c>
      <c r="C66" s="22" t="s">
        <v>79</v>
      </c>
      <c r="D66" s="22" t="s">
        <v>106</v>
      </c>
      <c r="E66" s="22" t="s">
        <v>72</v>
      </c>
      <c r="F66" s="22" t="s">
        <v>73</v>
      </c>
      <c r="G66" s="22" t="s">
        <v>80</v>
      </c>
      <c r="H66" s="23"/>
      <c r="I66" s="23"/>
      <c r="J66" s="22">
        <v>4</v>
      </c>
      <c r="K66" s="22">
        <v>3</v>
      </c>
      <c r="L66" s="22">
        <v>3</v>
      </c>
      <c r="M66" s="23"/>
      <c r="N66" s="22" t="s">
        <v>66</v>
      </c>
      <c r="O66" s="23"/>
      <c r="P66" s="23"/>
      <c r="Q66" s="24">
        <v>3</v>
      </c>
      <c r="R66" s="24">
        <v>2</v>
      </c>
      <c r="S66" s="24">
        <v>3</v>
      </c>
      <c r="T66" s="24">
        <v>3</v>
      </c>
      <c r="U66" s="24">
        <v>3</v>
      </c>
      <c r="V66" s="24">
        <v>2</v>
      </c>
      <c r="W66" s="24">
        <v>3</v>
      </c>
      <c r="X66" s="24">
        <v>3</v>
      </c>
      <c r="Y66" s="24">
        <v>3</v>
      </c>
      <c r="Z66" s="24">
        <v>3</v>
      </c>
      <c r="AA66" s="24">
        <v>4</v>
      </c>
      <c r="AB66" s="24">
        <v>4</v>
      </c>
      <c r="AC66" s="24">
        <v>4</v>
      </c>
      <c r="AD66" s="24">
        <v>5</v>
      </c>
      <c r="AE66" s="24">
        <v>5</v>
      </c>
      <c r="AF66" s="24">
        <v>5</v>
      </c>
      <c r="AG66" s="24">
        <v>4</v>
      </c>
      <c r="AH66" s="24">
        <v>4</v>
      </c>
      <c r="AI66" s="24">
        <v>4</v>
      </c>
      <c r="AJ66" s="24">
        <v>4</v>
      </c>
      <c r="AK66" s="24">
        <v>4</v>
      </c>
      <c r="AL66" s="24">
        <v>4</v>
      </c>
      <c r="AM66" s="23"/>
      <c r="AN66" s="23"/>
      <c r="AO66" s="22" t="s">
        <v>74</v>
      </c>
      <c r="AP66" s="22" t="s">
        <v>1143</v>
      </c>
      <c r="AQ66" s="22" t="s">
        <v>1144</v>
      </c>
      <c r="AR66" s="22" t="s">
        <v>1145</v>
      </c>
    </row>
    <row r="67" spans="1:44" hidden="1">
      <c r="A67" s="22" t="s">
        <v>1146</v>
      </c>
      <c r="B67" s="22" t="s">
        <v>949</v>
      </c>
      <c r="C67" s="22" t="s">
        <v>95</v>
      </c>
      <c r="D67" s="22" t="s">
        <v>106</v>
      </c>
      <c r="E67" s="22" t="s">
        <v>72</v>
      </c>
      <c r="F67" s="22" t="s">
        <v>56</v>
      </c>
      <c r="G67" s="22" t="s">
        <v>80</v>
      </c>
      <c r="H67" s="23"/>
      <c r="I67" s="23"/>
      <c r="J67" s="22">
        <v>3</v>
      </c>
      <c r="K67" s="22">
        <v>4</v>
      </c>
      <c r="L67" s="22">
        <v>2</v>
      </c>
      <c r="M67" s="23"/>
      <c r="N67" s="22" t="s">
        <v>58</v>
      </c>
      <c r="O67" s="23"/>
      <c r="P67" s="23"/>
      <c r="Q67" s="24">
        <v>3</v>
      </c>
      <c r="R67" s="24">
        <v>2</v>
      </c>
      <c r="S67" s="24">
        <v>3</v>
      </c>
      <c r="T67" s="24">
        <v>3</v>
      </c>
      <c r="U67" s="24">
        <v>4</v>
      </c>
      <c r="V67" s="24">
        <v>3</v>
      </c>
      <c r="W67" s="24">
        <v>4</v>
      </c>
      <c r="X67" s="24">
        <v>4</v>
      </c>
      <c r="Y67" s="24">
        <v>3</v>
      </c>
      <c r="Z67" s="24">
        <v>3</v>
      </c>
      <c r="AA67" s="24">
        <v>4</v>
      </c>
      <c r="AB67" s="24">
        <v>4</v>
      </c>
      <c r="AC67" s="24">
        <v>4</v>
      </c>
      <c r="AD67" s="24">
        <v>4</v>
      </c>
      <c r="AE67" s="24">
        <v>2</v>
      </c>
      <c r="AF67" s="24">
        <v>3</v>
      </c>
      <c r="AG67" s="24">
        <v>3</v>
      </c>
      <c r="AH67" s="24">
        <v>3</v>
      </c>
      <c r="AI67" s="24">
        <v>3</v>
      </c>
      <c r="AJ67" s="24">
        <v>2</v>
      </c>
      <c r="AK67" s="24">
        <v>4</v>
      </c>
      <c r="AL67" s="24">
        <v>4</v>
      </c>
      <c r="AM67" s="23"/>
      <c r="AN67" s="23"/>
      <c r="AO67" s="22" t="s">
        <v>74</v>
      </c>
      <c r="AP67" s="22" t="s">
        <v>1147</v>
      </c>
      <c r="AQ67" s="22" t="s">
        <v>1148</v>
      </c>
      <c r="AR67" s="22" t="s">
        <v>160</v>
      </c>
    </row>
    <row r="68" spans="1:44" hidden="1">
      <c r="A68" s="22" t="s">
        <v>1149</v>
      </c>
      <c r="B68" s="22" t="s">
        <v>949</v>
      </c>
      <c r="C68" s="22" t="s">
        <v>95</v>
      </c>
      <c r="D68" s="22" t="s">
        <v>98</v>
      </c>
      <c r="E68" s="22" t="s">
        <v>55</v>
      </c>
      <c r="F68" s="22" t="s">
        <v>65</v>
      </c>
      <c r="G68" s="22" t="s">
        <v>129</v>
      </c>
      <c r="H68" s="23"/>
      <c r="I68" s="23"/>
      <c r="J68" s="22">
        <v>1</v>
      </c>
      <c r="K68" s="22">
        <v>2</v>
      </c>
      <c r="L68" s="22">
        <v>1</v>
      </c>
      <c r="M68" s="23"/>
      <c r="N68" s="22" t="s">
        <v>58</v>
      </c>
      <c r="O68" s="23"/>
      <c r="P68" s="23"/>
      <c r="Q68" s="24">
        <v>3</v>
      </c>
      <c r="R68" s="24">
        <v>2</v>
      </c>
      <c r="S68" s="24">
        <v>2</v>
      </c>
      <c r="T68" s="24">
        <v>3</v>
      </c>
      <c r="U68" s="24">
        <v>3</v>
      </c>
      <c r="V68" s="24">
        <v>1</v>
      </c>
      <c r="W68" s="24">
        <v>5</v>
      </c>
      <c r="X68" s="24">
        <v>5</v>
      </c>
      <c r="Y68" s="24">
        <v>3</v>
      </c>
      <c r="Z68" s="24">
        <v>2</v>
      </c>
      <c r="AA68" s="24">
        <v>2</v>
      </c>
      <c r="AB68" s="24">
        <v>2</v>
      </c>
      <c r="AC68" s="24">
        <v>4</v>
      </c>
      <c r="AD68" s="24">
        <v>3</v>
      </c>
      <c r="AE68" s="24">
        <v>3</v>
      </c>
      <c r="AF68" s="24">
        <v>3</v>
      </c>
      <c r="AG68" s="24">
        <v>2</v>
      </c>
      <c r="AH68" s="24">
        <v>3</v>
      </c>
      <c r="AI68" s="24">
        <v>2</v>
      </c>
      <c r="AJ68" s="24">
        <v>2</v>
      </c>
      <c r="AK68" s="24">
        <v>2</v>
      </c>
      <c r="AL68" s="24">
        <v>2</v>
      </c>
      <c r="AM68" s="23"/>
      <c r="AN68" s="23"/>
      <c r="AO68" s="22" t="s">
        <v>59</v>
      </c>
      <c r="AP68" s="22" t="s">
        <v>59</v>
      </c>
      <c r="AQ68" s="22" t="s">
        <v>1150</v>
      </c>
      <c r="AR68" s="22" t="s">
        <v>59</v>
      </c>
    </row>
    <row r="69" spans="1:44" hidden="1">
      <c r="A69" s="22" t="s">
        <v>1151</v>
      </c>
      <c r="B69" s="22" t="s">
        <v>949</v>
      </c>
      <c r="C69" s="22" t="s">
        <v>79</v>
      </c>
      <c r="D69" s="22" t="s">
        <v>54</v>
      </c>
      <c r="E69" s="22" t="s">
        <v>72</v>
      </c>
      <c r="F69" s="22" t="s">
        <v>56</v>
      </c>
      <c r="G69" s="22" t="s">
        <v>57</v>
      </c>
      <c r="H69" s="23"/>
      <c r="I69" s="23"/>
      <c r="J69" s="22">
        <v>4</v>
      </c>
      <c r="K69" s="22">
        <v>3</v>
      </c>
      <c r="L69" s="22">
        <v>3</v>
      </c>
      <c r="M69" s="23"/>
      <c r="N69" s="22" t="s">
        <v>115</v>
      </c>
      <c r="O69" s="23"/>
      <c r="P69" s="23"/>
      <c r="Q69" s="24">
        <v>4</v>
      </c>
      <c r="R69" s="24">
        <v>3</v>
      </c>
      <c r="S69" s="24">
        <v>4</v>
      </c>
      <c r="T69" s="24">
        <v>4</v>
      </c>
      <c r="U69" s="24">
        <v>4</v>
      </c>
      <c r="V69" s="24">
        <v>4</v>
      </c>
      <c r="W69" s="24">
        <v>5</v>
      </c>
      <c r="X69" s="24">
        <v>4</v>
      </c>
      <c r="Y69" s="24">
        <v>3</v>
      </c>
      <c r="Z69" s="24">
        <v>4</v>
      </c>
      <c r="AA69" s="24">
        <v>4</v>
      </c>
      <c r="AB69" s="24">
        <v>5</v>
      </c>
      <c r="AC69" s="24">
        <v>4</v>
      </c>
      <c r="AD69" s="24">
        <v>5</v>
      </c>
      <c r="AE69" s="24">
        <v>5</v>
      </c>
      <c r="AF69" s="24">
        <v>4</v>
      </c>
      <c r="AG69" s="24">
        <v>5</v>
      </c>
      <c r="AH69" s="24">
        <v>4</v>
      </c>
      <c r="AI69" s="24">
        <v>4</v>
      </c>
      <c r="AJ69" s="24">
        <v>4</v>
      </c>
      <c r="AK69" s="24">
        <v>4</v>
      </c>
      <c r="AL69" s="24">
        <v>4</v>
      </c>
      <c r="AM69" s="23"/>
      <c r="AN69" s="23"/>
      <c r="AO69" s="22" t="s">
        <v>74</v>
      </c>
      <c r="AP69" s="22" t="s">
        <v>1152</v>
      </c>
      <c r="AQ69" s="22" t="s">
        <v>1153</v>
      </c>
      <c r="AR69" s="22" t="s">
        <v>1154</v>
      </c>
    </row>
    <row r="70" spans="1:44" hidden="1">
      <c r="A70" s="22" t="s">
        <v>1155</v>
      </c>
      <c r="B70" s="22" t="s">
        <v>949</v>
      </c>
      <c r="C70" s="22" t="s">
        <v>95</v>
      </c>
      <c r="D70" s="22" t="s">
        <v>64</v>
      </c>
      <c r="E70" s="22" t="s">
        <v>55</v>
      </c>
      <c r="F70" s="22" t="s">
        <v>65</v>
      </c>
      <c r="G70" s="22" t="s">
        <v>80</v>
      </c>
      <c r="H70" s="23"/>
      <c r="I70" s="23"/>
      <c r="J70" s="22">
        <v>4</v>
      </c>
      <c r="K70" s="22">
        <v>4</v>
      </c>
      <c r="L70" s="22">
        <v>4</v>
      </c>
      <c r="M70" s="23"/>
      <c r="N70" s="22" t="s">
        <v>58</v>
      </c>
      <c r="O70" s="23"/>
      <c r="P70" s="23"/>
      <c r="Q70" s="24">
        <v>4</v>
      </c>
      <c r="R70" s="24">
        <v>4</v>
      </c>
      <c r="S70" s="24">
        <v>4</v>
      </c>
      <c r="T70" s="24">
        <v>4</v>
      </c>
      <c r="U70" s="24">
        <v>4</v>
      </c>
      <c r="V70" s="24">
        <v>4</v>
      </c>
      <c r="W70" s="24">
        <v>4</v>
      </c>
      <c r="X70" s="24">
        <v>4</v>
      </c>
      <c r="Y70" s="24">
        <v>4</v>
      </c>
      <c r="Z70" s="24">
        <v>4</v>
      </c>
      <c r="AA70" s="24">
        <v>5</v>
      </c>
      <c r="AB70" s="24">
        <v>4</v>
      </c>
      <c r="AC70" s="24">
        <v>5</v>
      </c>
      <c r="AD70" s="24">
        <v>4</v>
      </c>
      <c r="AE70" s="24">
        <v>4</v>
      </c>
      <c r="AF70" s="24">
        <v>5</v>
      </c>
      <c r="AG70" s="24">
        <v>5</v>
      </c>
      <c r="AH70" s="24">
        <v>4</v>
      </c>
      <c r="AI70" s="24">
        <v>5</v>
      </c>
      <c r="AJ70" s="24">
        <v>5</v>
      </c>
      <c r="AK70" s="24">
        <v>4</v>
      </c>
      <c r="AL70" s="24">
        <v>4</v>
      </c>
      <c r="AM70" s="23"/>
      <c r="AN70" s="23"/>
      <c r="AO70" s="22" t="s">
        <v>74</v>
      </c>
      <c r="AP70" s="22" t="s">
        <v>137</v>
      </c>
      <c r="AQ70" s="22" t="s">
        <v>137</v>
      </c>
      <c r="AR70" s="22" t="s">
        <v>137</v>
      </c>
    </row>
    <row r="71" spans="1:44" hidden="1">
      <c r="A71" s="22" t="s">
        <v>1156</v>
      </c>
      <c r="B71" s="22" t="s">
        <v>949</v>
      </c>
      <c r="C71" s="22" t="s">
        <v>53</v>
      </c>
      <c r="D71" s="22" t="s">
        <v>98</v>
      </c>
      <c r="E71" s="22" t="s">
        <v>55</v>
      </c>
      <c r="F71" s="22" t="s">
        <v>136</v>
      </c>
      <c r="G71" s="22" t="s">
        <v>80</v>
      </c>
      <c r="H71" s="23"/>
      <c r="I71" s="23"/>
      <c r="J71" s="22">
        <v>4</v>
      </c>
      <c r="K71" s="22">
        <v>1</v>
      </c>
      <c r="L71" s="22">
        <v>1</v>
      </c>
      <c r="M71" s="23"/>
      <c r="N71" s="22" t="s">
        <v>58</v>
      </c>
      <c r="O71" s="23"/>
      <c r="P71" s="23"/>
      <c r="Q71" s="24">
        <v>2</v>
      </c>
      <c r="R71" s="24">
        <v>1</v>
      </c>
      <c r="S71" s="24">
        <v>1</v>
      </c>
      <c r="T71" s="24">
        <v>5</v>
      </c>
      <c r="U71" s="24">
        <v>5</v>
      </c>
      <c r="V71" s="24">
        <v>3</v>
      </c>
      <c r="W71" s="24">
        <v>5</v>
      </c>
      <c r="X71" s="24">
        <v>5</v>
      </c>
      <c r="Y71" s="24">
        <v>5</v>
      </c>
      <c r="Z71" s="24">
        <v>5</v>
      </c>
      <c r="AA71" s="24">
        <v>3</v>
      </c>
      <c r="AB71" s="24">
        <v>4</v>
      </c>
      <c r="AC71" s="24">
        <v>5</v>
      </c>
      <c r="AD71" s="24">
        <v>5</v>
      </c>
      <c r="AE71" s="24">
        <v>5</v>
      </c>
      <c r="AF71" s="24">
        <v>5</v>
      </c>
      <c r="AG71" s="24">
        <v>5</v>
      </c>
      <c r="AH71" s="24">
        <v>5</v>
      </c>
      <c r="AI71" s="24">
        <v>3</v>
      </c>
      <c r="AJ71" s="24">
        <v>3</v>
      </c>
      <c r="AK71" s="24">
        <v>3</v>
      </c>
      <c r="AL71" s="24">
        <v>5</v>
      </c>
      <c r="AM71" s="23"/>
      <c r="AN71" s="23"/>
      <c r="AO71" s="22" t="s">
        <v>74</v>
      </c>
      <c r="AP71" s="22" t="s">
        <v>1036</v>
      </c>
      <c r="AQ71" s="22" t="s">
        <v>146</v>
      </c>
      <c r="AR71" s="22" t="s">
        <v>1157</v>
      </c>
    </row>
    <row r="72" spans="1:44" hidden="1">
      <c r="A72" s="22" t="s">
        <v>1158</v>
      </c>
      <c r="B72" s="22" t="s">
        <v>949</v>
      </c>
      <c r="C72" s="22" t="s">
        <v>95</v>
      </c>
      <c r="D72" s="22" t="s">
        <v>64</v>
      </c>
      <c r="E72" s="22" t="s">
        <v>55</v>
      </c>
      <c r="F72" s="22" t="s">
        <v>65</v>
      </c>
      <c r="G72" s="22" t="s">
        <v>80</v>
      </c>
      <c r="H72" s="23"/>
      <c r="I72" s="23"/>
      <c r="J72" s="22">
        <v>1</v>
      </c>
      <c r="K72" s="22">
        <v>1</v>
      </c>
      <c r="L72" s="22">
        <v>1</v>
      </c>
      <c r="M72" s="23"/>
      <c r="N72" s="22" t="s">
        <v>66</v>
      </c>
      <c r="O72" s="23"/>
      <c r="P72" s="23"/>
      <c r="Q72" s="24">
        <v>4</v>
      </c>
      <c r="R72" s="24">
        <v>3</v>
      </c>
      <c r="S72" s="24">
        <v>3</v>
      </c>
      <c r="T72" s="24">
        <v>3</v>
      </c>
      <c r="U72" s="24">
        <v>4</v>
      </c>
      <c r="V72" s="24">
        <v>3</v>
      </c>
      <c r="W72" s="24">
        <v>5</v>
      </c>
      <c r="X72" s="24">
        <v>5</v>
      </c>
      <c r="Y72" s="24">
        <v>5</v>
      </c>
      <c r="Z72" s="24">
        <v>5</v>
      </c>
      <c r="AA72" s="24">
        <v>3</v>
      </c>
      <c r="AB72" s="24">
        <v>3</v>
      </c>
      <c r="AC72" s="24">
        <v>3</v>
      </c>
      <c r="AD72" s="24">
        <v>3</v>
      </c>
      <c r="AE72" s="24">
        <v>2</v>
      </c>
      <c r="AF72" s="24">
        <v>2</v>
      </c>
      <c r="AG72" s="24">
        <v>3</v>
      </c>
      <c r="AH72" s="24">
        <v>3</v>
      </c>
      <c r="AI72" s="24">
        <v>3</v>
      </c>
      <c r="AJ72" s="24">
        <v>3</v>
      </c>
      <c r="AK72" s="24">
        <v>3</v>
      </c>
      <c r="AL72" s="24">
        <v>3</v>
      </c>
      <c r="AM72" s="23"/>
      <c r="AN72" s="23"/>
      <c r="AO72" s="22" t="s">
        <v>59</v>
      </c>
      <c r="AP72" s="22" t="s">
        <v>1159</v>
      </c>
      <c r="AQ72" s="22" t="s">
        <v>1159</v>
      </c>
      <c r="AR72" s="22" t="s">
        <v>146</v>
      </c>
    </row>
    <row r="73" spans="1:44" hidden="1">
      <c r="A73" s="22" t="s">
        <v>1160</v>
      </c>
      <c r="B73" s="22" t="s">
        <v>949</v>
      </c>
      <c r="C73" s="22" t="s">
        <v>90</v>
      </c>
      <c r="D73" s="22" t="s">
        <v>64</v>
      </c>
      <c r="E73" s="22" t="s">
        <v>55</v>
      </c>
      <c r="F73" s="22" t="s">
        <v>56</v>
      </c>
      <c r="G73" s="22" t="s">
        <v>96</v>
      </c>
      <c r="H73" s="23"/>
      <c r="I73" s="23"/>
      <c r="J73" s="22">
        <v>1</v>
      </c>
      <c r="K73" s="22">
        <v>1</v>
      </c>
      <c r="L73" s="22">
        <v>1</v>
      </c>
      <c r="M73" s="23"/>
      <c r="N73" s="22" t="s">
        <v>85</v>
      </c>
      <c r="O73" s="23"/>
      <c r="P73" s="23"/>
      <c r="Q73" s="24">
        <v>1</v>
      </c>
      <c r="R73" s="24">
        <v>1</v>
      </c>
      <c r="S73" s="24">
        <v>1</v>
      </c>
      <c r="T73" s="24">
        <v>2</v>
      </c>
      <c r="U73" s="24">
        <v>1</v>
      </c>
      <c r="V73" s="24">
        <v>1</v>
      </c>
      <c r="W73" s="24">
        <v>3</v>
      </c>
      <c r="X73" s="24">
        <v>2</v>
      </c>
      <c r="Y73" s="24">
        <v>2</v>
      </c>
      <c r="Z73" s="24">
        <v>2</v>
      </c>
      <c r="AA73" s="24">
        <v>3</v>
      </c>
      <c r="AB73" s="24">
        <v>3</v>
      </c>
      <c r="AC73" s="24">
        <v>2</v>
      </c>
      <c r="AD73" s="24">
        <v>3</v>
      </c>
      <c r="AE73" s="24">
        <v>3</v>
      </c>
      <c r="AF73" s="24">
        <v>3</v>
      </c>
      <c r="AG73" s="24">
        <v>3</v>
      </c>
      <c r="AH73" s="24">
        <v>3</v>
      </c>
      <c r="AI73" s="24">
        <v>3</v>
      </c>
      <c r="AJ73" s="24">
        <v>2</v>
      </c>
      <c r="AK73" s="24">
        <v>2</v>
      </c>
      <c r="AL73" s="24">
        <v>1</v>
      </c>
      <c r="AM73" s="23"/>
      <c r="AN73" s="23"/>
      <c r="AO73" s="22" t="s">
        <v>59</v>
      </c>
      <c r="AP73" s="22" t="s">
        <v>1161</v>
      </c>
      <c r="AQ73" s="22" t="s">
        <v>1161</v>
      </c>
      <c r="AR73" s="22" t="s">
        <v>120</v>
      </c>
    </row>
    <row r="74" spans="1:44" hidden="1">
      <c r="A74" s="22" t="s">
        <v>1162</v>
      </c>
      <c r="B74" s="22" t="s">
        <v>949</v>
      </c>
      <c r="C74" s="22" t="s">
        <v>95</v>
      </c>
      <c r="D74" s="22" t="s">
        <v>64</v>
      </c>
      <c r="E74" s="22" t="s">
        <v>55</v>
      </c>
      <c r="F74" s="22" t="s">
        <v>56</v>
      </c>
      <c r="G74" s="22" t="s">
        <v>129</v>
      </c>
      <c r="H74" s="23"/>
      <c r="I74" s="23"/>
      <c r="J74" s="22">
        <v>2</v>
      </c>
      <c r="K74" s="22">
        <v>2</v>
      </c>
      <c r="L74" s="22">
        <v>2</v>
      </c>
      <c r="M74" s="23"/>
      <c r="N74" s="22" t="s">
        <v>58</v>
      </c>
      <c r="O74" s="23"/>
      <c r="P74" s="23"/>
      <c r="Q74" s="24">
        <v>3</v>
      </c>
      <c r="R74" s="24">
        <v>2</v>
      </c>
      <c r="S74" s="24">
        <v>2</v>
      </c>
      <c r="T74" s="24">
        <v>2</v>
      </c>
      <c r="U74" s="24">
        <v>2</v>
      </c>
      <c r="V74" s="24">
        <v>3</v>
      </c>
      <c r="W74" s="24">
        <v>4</v>
      </c>
      <c r="X74" s="24">
        <v>4</v>
      </c>
      <c r="Y74" s="24">
        <v>3</v>
      </c>
      <c r="Z74" s="24">
        <v>3</v>
      </c>
      <c r="AA74" s="24">
        <v>4</v>
      </c>
      <c r="AB74" s="24">
        <v>4</v>
      </c>
      <c r="AC74" s="24">
        <v>4</v>
      </c>
      <c r="AD74" s="24">
        <v>4</v>
      </c>
      <c r="AE74" s="24">
        <v>3</v>
      </c>
      <c r="AF74" s="24">
        <v>4</v>
      </c>
      <c r="AG74" s="24">
        <v>3</v>
      </c>
      <c r="AH74" s="24">
        <v>4</v>
      </c>
      <c r="AI74" s="24">
        <v>3</v>
      </c>
      <c r="AJ74" s="24">
        <v>3</v>
      </c>
      <c r="AK74" s="24">
        <v>4</v>
      </c>
      <c r="AL74" s="24">
        <v>4</v>
      </c>
      <c r="AM74" s="23"/>
      <c r="AN74" s="23"/>
      <c r="AO74" s="22" t="s">
        <v>74</v>
      </c>
      <c r="AP74" s="22" t="s">
        <v>1163</v>
      </c>
      <c r="AQ74" s="22" t="s">
        <v>1163</v>
      </c>
      <c r="AR74" s="22" t="s">
        <v>1164</v>
      </c>
    </row>
    <row r="75" spans="1:44" hidden="1">
      <c r="A75" s="22" t="s">
        <v>1165</v>
      </c>
      <c r="B75" s="22" t="s">
        <v>949</v>
      </c>
      <c r="C75" s="22" t="s">
        <v>95</v>
      </c>
      <c r="D75" s="22" t="s">
        <v>64</v>
      </c>
      <c r="E75" s="22" t="s">
        <v>55</v>
      </c>
      <c r="F75" s="22" t="s">
        <v>56</v>
      </c>
      <c r="G75" s="22" t="s">
        <v>80</v>
      </c>
      <c r="H75" s="23"/>
      <c r="I75" s="23"/>
      <c r="J75" s="22">
        <v>4</v>
      </c>
      <c r="K75" s="22">
        <v>2</v>
      </c>
      <c r="L75" s="22">
        <v>2</v>
      </c>
      <c r="M75" s="23"/>
      <c r="N75" s="22" t="s">
        <v>58</v>
      </c>
      <c r="O75" s="23"/>
      <c r="P75" s="23"/>
      <c r="Q75" s="24">
        <v>4</v>
      </c>
      <c r="R75" s="24">
        <v>4</v>
      </c>
      <c r="S75" s="24">
        <v>4</v>
      </c>
      <c r="T75" s="24">
        <v>3</v>
      </c>
      <c r="U75" s="24">
        <v>4</v>
      </c>
      <c r="V75" s="24">
        <v>4</v>
      </c>
      <c r="W75" s="24">
        <v>4</v>
      </c>
      <c r="X75" s="24">
        <v>4</v>
      </c>
      <c r="Y75" s="24">
        <v>2</v>
      </c>
      <c r="Z75" s="24">
        <v>3</v>
      </c>
      <c r="AA75" s="24">
        <v>3</v>
      </c>
      <c r="AB75" s="24">
        <v>3</v>
      </c>
      <c r="AC75" s="24">
        <v>3</v>
      </c>
      <c r="AD75" s="24">
        <v>3</v>
      </c>
      <c r="AE75" s="24">
        <v>3</v>
      </c>
      <c r="AF75" s="24">
        <v>4</v>
      </c>
      <c r="AG75" s="24">
        <v>4</v>
      </c>
      <c r="AH75" s="24">
        <v>4</v>
      </c>
      <c r="AI75" s="24">
        <v>4</v>
      </c>
      <c r="AJ75" s="24">
        <v>3</v>
      </c>
      <c r="AK75" s="24">
        <v>3</v>
      </c>
      <c r="AL75" s="24">
        <v>3</v>
      </c>
      <c r="AM75" s="23"/>
      <c r="AN75" s="23"/>
      <c r="AO75" s="22" t="s">
        <v>59</v>
      </c>
      <c r="AP75" s="22" t="s">
        <v>1166</v>
      </c>
      <c r="AQ75" s="22" t="s">
        <v>1166</v>
      </c>
      <c r="AR75" s="22" t="s">
        <v>1167</v>
      </c>
    </row>
    <row r="76" spans="1:44" hidden="1">
      <c r="A76" s="22" t="s">
        <v>1168</v>
      </c>
      <c r="B76" s="22" t="s">
        <v>949</v>
      </c>
      <c r="C76" s="22" t="s">
        <v>95</v>
      </c>
      <c r="D76" s="22" t="s">
        <v>98</v>
      </c>
      <c r="E76" s="22" t="s">
        <v>55</v>
      </c>
      <c r="F76" s="22" t="s">
        <v>65</v>
      </c>
      <c r="G76" s="22" t="s">
        <v>57</v>
      </c>
      <c r="H76" s="23"/>
      <c r="I76" s="23"/>
      <c r="J76" s="22">
        <v>4</v>
      </c>
      <c r="K76" s="22">
        <v>3</v>
      </c>
      <c r="L76" s="22">
        <v>2</v>
      </c>
      <c r="M76" s="23"/>
      <c r="N76" s="22" t="s">
        <v>58</v>
      </c>
      <c r="O76" s="23"/>
      <c r="P76" s="23"/>
      <c r="Q76" s="24">
        <v>3</v>
      </c>
      <c r="R76" s="24">
        <v>3</v>
      </c>
      <c r="S76" s="24">
        <v>4</v>
      </c>
      <c r="T76" s="24">
        <v>4</v>
      </c>
      <c r="U76" s="24">
        <v>4</v>
      </c>
      <c r="V76" s="24">
        <v>4</v>
      </c>
      <c r="W76" s="24">
        <v>4</v>
      </c>
      <c r="X76" s="24">
        <v>4</v>
      </c>
      <c r="Y76" s="24">
        <v>4</v>
      </c>
      <c r="Z76" s="24">
        <v>4</v>
      </c>
      <c r="AA76" s="24">
        <v>4</v>
      </c>
      <c r="AB76" s="24">
        <v>4</v>
      </c>
      <c r="AC76" s="24">
        <v>4</v>
      </c>
      <c r="AD76" s="24">
        <v>4</v>
      </c>
      <c r="AE76" s="24">
        <v>4</v>
      </c>
      <c r="AF76" s="24">
        <v>4</v>
      </c>
      <c r="AG76" s="24">
        <v>4</v>
      </c>
      <c r="AH76" s="24">
        <v>4</v>
      </c>
      <c r="AI76" s="24">
        <v>4</v>
      </c>
      <c r="AJ76" s="24">
        <v>4</v>
      </c>
      <c r="AK76" s="24">
        <v>4</v>
      </c>
      <c r="AL76" s="24">
        <v>4</v>
      </c>
      <c r="AM76" s="23"/>
      <c r="AN76" s="23"/>
      <c r="AO76" s="22" t="s">
        <v>74</v>
      </c>
      <c r="AP76" s="22" t="s">
        <v>1169</v>
      </c>
      <c r="AQ76" s="22" t="s">
        <v>1170</v>
      </c>
      <c r="AR76" s="22" t="s">
        <v>1171</v>
      </c>
    </row>
    <row r="77" spans="1:44" hidden="1">
      <c r="A77" s="22" t="s">
        <v>1172</v>
      </c>
      <c r="B77" s="22" t="s">
        <v>949</v>
      </c>
      <c r="C77" s="22" t="s">
        <v>95</v>
      </c>
      <c r="D77" s="22" t="s">
        <v>54</v>
      </c>
      <c r="E77" s="22" t="s">
        <v>55</v>
      </c>
      <c r="F77" s="22" t="s">
        <v>73</v>
      </c>
      <c r="G77" s="22" t="s">
        <v>80</v>
      </c>
      <c r="H77" s="23"/>
      <c r="I77" s="23"/>
      <c r="J77" s="22">
        <v>4</v>
      </c>
      <c r="K77" s="22">
        <v>3</v>
      </c>
      <c r="L77" s="22">
        <v>2</v>
      </c>
      <c r="M77" s="23"/>
      <c r="N77" s="22" t="s">
        <v>58</v>
      </c>
      <c r="O77" s="23"/>
      <c r="P77" s="23"/>
      <c r="Q77" s="24">
        <v>4</v>
      </c>
      <c r="R77" s="24">
        <v>2</v>
      </c>
      <c r="S77" s="24">
        <v>3</v>
      </c>
      <c r="T77" s="24">
        <v>3</v>
      </c>
      <c r="U77" s="24">
        <v>2</v>
      </c>
      <c r="V77" s="24">
        <v>4</v>
      </c>
      <c r="W77" s="24">
        <v>3</v>
      </c>
      <c r="X77" s="24">
        <v>2</v>
      </c>
      <c r="Y77" s="24">
        <v>2</v>
      </c>
      <c r="Z77" s="24">
        <v>2</v>
      </c>
      <c r="AA77" s="24">
        <v>4</v>
      </c>
      <c r="AB77" s="24">
        <v>4</v>
      </c>
      <c r="AC77" s="24">
        <v>4</v>
      </c>
      <c r="AD77" s="24">
        <v>4</v>
      </c>
      <c r="AE77" s="24">
        <v>4</v>
      </c>
      <c r="AF77" s="24">
        <v>4</v>
      </c>
      <c r="AG77" s="24">
        <v>4</v>
      </c>
      <c r="AH77" s="24">
        <v>4</v>
      </c>
      <c r="AI77" s="24">
        <v>3</v>
      </c>
      <c r="AJ77" s="24">
        <v>3</v>
      </c>
      <c r="AK77" s="24">
        <v>4</v>
      </c>
      <c r="AL77" s="24">
        <v>4</v>
      </c>
      <c r="AM77" s="23"/>
      <c r="AN77" s="23"/>
      <c r="AO77" s="22" t="s">
        <v>74</v>
      </c>
      <c r="AP77" s="22" t="s">
        <v>1173</v>
      </c>
      <c r="AQ77" s="22" t="s">
        <v>1174</v>
      </c>
      <c r="AR77" s="22" t="s">
        <v>92</v>
      </c>
    </row>
    <row r="78" spans="1:44" hidden="1">
      <c r="A78" s="22" t="s">
        <v>1175</v>
      </c>
      <c r="B78" s="22" t="s">
        <v>949</v>
      </c>
      <c r="C78" s="22" t="s">
        <v>95</v>
      </c>
      <c r="D78" s="22" t="s">
        <v>98</v>
      </c>
      <c r="E78" s="22" t="s">
        <v>55</v>
      </c>
      <c r="F78" s="22" t="s">
        <v>65</v>
      </c>
      <c r="G78" s="22" t="s">
        <v>96</v>
      </c>
      <c r="H78" s="23"/>
      <c r="I78" s="23"/>
      <c r="J78" s="22">
        <v>1</v>
      </c>
      <c r="K78" s="22">
        <v>1</v>
      </c>
      <c r="L78" s="22">
        <v>1</v>
      </c>
      <c r="M78" s="23"/>
      <c r="N78" s="22" t="s">
        <v>85</v>
      </c>
      <c r="O78" s="23"/>
      <c r="P78" s="23"/>
      <c r="Q78" s="24">
        <v>1</v>
      </c>
      <c r="R78" s="24">
        <v>1</v>
      </c>
      <c r="S78" s="24">
        <v>1</v>
      </c>
      <c r="T78" s="24">
        <v>1</v>
      </c>
      <c r="U78" s="24">
        <v>1</v>
      </c>
      <c r="V78" s="24">
        <v>1</v>
      </c>
      <c r="W78" s="24">
        <v>1</v>
      </c>
      <c r="X78" s="24">
        <v>1</v>
      </c>
      <c r="Y78" s="24">
        <v>1</v>
      </c>
      <c r="Z78" s="24">
        <v>1</v>
      </c>
      <c r="AA78" s="24">
        <v>1</v>
      </c>
      <c r="AB78" s="24">
        <v>1</v>
      </c>
      <c r="AC78" s="24">
        <v>1</v>
      </c>
      <c r="AD78" s="24">
        <v>1</v>
      </c>
      <c r="AE78" s="24">
        <v>1</v>
      </c>
      <c r="AF78" s="24">
        <v>1</v>
      </c>
      <c r="AG78" s="24">
        <v>1</v>
      </c>
      <c r="AH78" s="24">
        <v>1</v>
      </c>
      <c r="AI78" s="24">
        <v>1</v>
      </c>
      <c r="AJ78" s="24">
        <v>1</v>
      </c>
      <c r="AK78" s="24">
        <v>1</v>
      </c>
      <c r="AL78" s="24">
        <v>1</v>
      </c>
      <c r="AM78" s="23"/>
      <c r="AN78" s="23"/>
      <c r="AO78" s="22" t="s">
        <v>59</v>
      </c>
      <c r="AP78" s="22" t="s">
        <v>120</v>
      </c>
      <c r="AQ78" s="22" t="s">
        <v>120</v>
      </c>
      <c r="AR78" s="22" t="s">
        <v>120</v>
      </c>
    </row>
    <row r="79" spans="1:44" hidden="1">
      <c r="A79" s="22" t="s">
        <v>1176</v>
      </c>
      <c r="B79" s="22" t="s">
        <v>949</v>
      </c>
      <c r="C79" s="22" t="s">
        <v>95</v>
      </c>
      <c r="D79" s="22" t="s">
        <v>98</v>
      </c>
      <c r="E79" s="22" t="s">
        <v>55</v>
      </c>
      <c r="F79" s="22" t="s">
        <v>136</v>
      </c>
      <c r="G79" s="22" t="s">
        <v>80</v>
      </c>
      <c r="H79" s="23"/>
      <c r="I79" s="23"/>
      <c r="J79" s="22">
        <v>3</v>
      </c>
      <c r="K79" s="22">
        <v>3</v>
      </c>
      <c r="L79" s="22">
        <v>3</v>
      </c>
      <c r="M79" s="23"/>
      <c r="N79" s="22" t="s">
        <v>58</v>
      </c>
      <c r="O79" s="23"/>
      <c r="P79" s="23"/>
      <c r="Q79" s="24">
        <v>3</v>
      </c>
      <c r="R79" s="24">
        <v>2</v>
      </c>
      <c r="S79" s="24">
        <v>3</v>
      </c>
      <c r="T79" s="24">
        <v>3</v>
      </c>
      <c r="U79" s="24">
        <v>3</v>
      </c>
      <c r="V79" s="24">
        <v>3</v>
      </c>
      <c r="W79" s="24">
        <v>4</v>
      </c>
      <c r="X79" s="24">
        <v>4</v>
      </c>
      <c r="Y79" s="24">
        <v>3</v>
      </c>
      <c r="Z79" s="24">
        <v>3</v>
      </c>
      <c r="AA79" s="24">
        <v>4</v>
      </c>
      <c r="AB79" s="24">
        <v>4</v>
      </c>
      <c r="AC79" s="24">
        <v>4</v>
      </c>
      <c r="AD79" s="24">
        <v>4</v>
      </c>
      <c r="AE79" s="24">
        <v>4</v>
      </c>
      <c r="AF79" s="24">
        <v>4</v>
      </c>
      <c r="AG79" s="24">
        <v>4</v>
      </c>
      <c r="AH79" s="24">
        <v>4</v>
      </c>
      <c r="AI79" s="24">
        <v>4</v>
      </c>
      <c r="AJ79" s="24">
        <v>3</v>
      </c>
      <c r="AK79" s="24">
        <v>4</v>
      </c>
      <c r="AL79" s="24">
        <v>3</v>
      </c>
      <c r="AM79" s="23"/>
      <c r="AN79" s="23"/>
      <c r="AO79" s="22" t="s">
        <v>59</v>
      </c>
      <c r="AP79" s="22" t="s">
        <v>59</v>
      </c>
      <c r="AQ79" s="22" t="s">
        <v>498</v>
      </c>
      <c r="AR79" s="22" t="s">
        <v>1177</v>
      </c>
    </row>
    <row r="80" spans="1:44" hidden="1">
      <c r="A80" s="22" t="s">
        <v>1178</v>
      </c>
      <c r="B80" s="22" t="s">
        <v>949</v>
      </c>
      <c r="C80" s="22" t="s">
        <v>95</v>
      </c>
      <c r="D80" s="22" t="s">
        <v>98</v>
      </c>
      <c r="E80" s="22" t="s">
        <v>55</v>
      </c>
      <c r="F80" s="22" t="s">
        <v>136</v>
      </c>
      <c r="G80" s="22" t="s">
        <v>57</v>
      </c>
      <c r="H80" s="23"/>
      <c r="I80" s="23"/>
      <c r="J80" s="22">
        <v>3</v>
      </c>
      <c r="K80" s="22">
        <v>1</v>
      </c>
      <c r="L80" s="22">
        <v>5</v>
      </c>
      <c r="M80" s="23"/>
      <c r="N80" s="22" t="s">
        <v>66</v>
      </c>
      <c r="O80" s="23"/>
      <c r="P80" s="23"/>
      <c r="Q80" s="24">
        <v>4</v>
      </c>
      <c r="R80" s="24">
        <v>3</v>
      </c>
      <c r="S80" s="24">
        <v>4</v>
      </c>
      <c r="T80" s="24">
        <v>4</v>
      </c>
      <c r="U80" s="24">
        <v>4</v>
      </c>
      <c r="V80" s="24">
        <v>4</v>
      </c>
      <c r="W80" s="24">
        <v>4</v>
      </c>
      <c r="X80" s="24">
        <v>5</v>
      </c>
      <c r="Y80" s="24">
        <v>5</v>
      </c>
      <c r="Z80" s="24">
        <v>4</v>
      </c>
      <c r="AA80" s="24">
        <v>3</v>
      </c>
      <c r="AB80" s="24">
        <v>5</v>
      </c>
      <c r="AC80" s="24">
        <v>5</v>
      </c>
      <c r="AD80" s="24">
        <v>5</v>
      </c>
      <c r="AE80" s="24">
        <v>4</v>
      </c>
      <c r="AF80" s="24">
        <v>5</v>
      </c>
      <c r="AG80" s="24">
        <v>5</v>
      </c>
      <c r="AH80" s="24">
        <v>5</v>
      </c>
      <c r="AI80" s="24">
        <v>3</v>
      </c>
      <c r="AJ80" s="24">
        <v>3</v>
      </c>
      <c r="AK80" s="24">
        <v>2</v>
      </c>
      <c r="AL80" s="24">
        <v>1</v>
      </c>
      <c r="AM80" s="23"/>
      <c r="AN80" s="23"/>
      <c r="AO80" s="22" t="s">
        <v>74</v>
      </c>
      <c r="AP80" s="22" t="s">
        <v>1179</v>
      </c>
      <c r="AQ80" s="22" t="s">
        <v>1180</v>
      </c>
      <c r="AR80" s="22" t="s">
        <v>1181</v>
      </c>
    </row>
    <row r="81" spans="1:44" hidden="1">
      <c r="A81" s="22" t="s">
        <v>1182</v>
      </c>
      <c r="B81" s="22" t="s">
        <v>949</v>
      </c>
      <c r="C81" s="22" t="s">
        <v>95</v>
      </c>
      <c r="D81" s="22" t="s">
        <v>98</v>
      </c>
      <c r="E81" s="22" t="s">
        <v>55</v>
      </c>
      <c r="F81" s="22" t="s">
        <v>65</v>
      </c>
      <c r="G81" s="22" t="s">
        <v>80</v>
      </c>
      <c r="H81" s="23"/>
      <c r="I81" s="23"/>
      <c r="J81" s="22">
        <v>4</v>
      </c>
      <c r="K81" s="22">
        <v>4</v>
      </c>
      <c r="L81" s="22">
        <v>4</v>
      </c>
      <c r="M81" s="23"/>
      <c r="N81" s="22" t="s">
        <v>58</v>
      </c>
      <c r="O81" s="23"/>
      <c r="P81" s="23"/>
      <c r="Q81" s="24">
        <v>4</v>
      </c>
      <c r="R81" s="24">
        <v>4</v>
      </c>
      <c r="S81" s="24">
        <v>4</v>
      </c>
      <c r="T81" s="24">
        <v>4</v>
      </c>
      <c r="U81" s="24">
        <v>4</v>
      </c>
      <c r="V81" s="24">
        <v>4</v>
      </c>
      <c r="W81" s="24">
        <v>4</v>
      </c>
      <c r="X81" s="24">
        <v>4</v>
      </c>
      <c r="Y81" s="24">
        <v>4</v>
      </c>
      <c r="Z81" s="24">
        <v>4</v>
      </c>
      <c r="AA81" s="24">
        <v>4</v>
      </c>
      <c r="AB81" s="24">
        <v>4</v>
      </c>
      <c r="AC81" s="24">
        <v>4</v>
      </c>
      <c r="AD81" s="24">
        <v>4</v>
      </c>
      <c r="AE81" s="24">
        <v>4</v>
      </c>
      <c r="AF81" s="24">
        <v>4</v>
      </c>
      <c r="AG81" s="24">
        <v>4</v>
      </c>
      <c r="AH81" s="24">
        <v>4</v>
      </c>
      <c r="AI81" s="24">
        <v>4</v>
      </c>
      <c r="AJ81" s="24">
        <v>4</v>
      </c>
      <c r="AK81" s="24">
        <v>4</v>
      </c>
      <c r="AL81" s="24">
        <v>4</v>
      </c>
      <c r="AM81" s="23"/>
      <c r="AN81" s="23"/>
      <c r="AO81" s="22" t="s">
        <v>74</v>
      </c>
      <c r="AP81" s="22" t="s">
        <v>146</v>
      </c>
      <c r="AQ81" s="22" t="s">
        <v>1183</v>
      </c>
      <c r="AR81" s="22" t="s">
        <v>137</v>
      </c>
    </row>
    <row r="82" spans="1:44" hidden="1">
      <c r="A82" s="22" t="s">
        <v>1184</v>
      </c>
      <c r="B82" s="22" t="s">
        <v>949</v>
      </c>
      <c r="C82" s="22" t="s">
        <v>95</v>
      </c>
      <c r="D82" s="22" t="s">
        <v>64</v>
      </c>
      <c r="E82" s="22" t="s">
        <v>55</v>
      </c>
      <c r="F82" s="22" t="s">
        <v>65</v>
      </c>
      <c r="G82" s="22" t="s">
        <v>57</v>
      </c>
      <c r="H82" s="23"/>
      <c r="I82" s="23"/>
      <c r="J82" s="22">
        <v>2</v>
      </c>
      <c r="K82" s="22">
        <v>1</v>
      </c>
      <c r="L82" s="22">
        <v>1</v>
      </c>
      <c r="M82" s="23"/>
      <c r="N82" s="22" t="s">
        <v>58</v>
      </c>
      <c r="O82" s="23"/>
      <c r="P82" s="23"/>
      <c r="Q82" s="24">
        <v>2</v>
      </c>
      <c r="R82" s="24">
        <v>2</v>
      </c>
      <c r="S82" s="24">
        <v>2</v>
      </c>
      <c r="T82" s="24">
        <v>2</v>
      </c>
      <c r="U82" s="24">
        <v>2</v>
      </c>
      <c r="V82" s="24">
        <v>3</v>
      </c>
      <c r="W82" s="24">
        <v>3</v>
      </c>
      <c r="X82" s="24">
        <v>3</v>
      </c>
      <c r="Y82" s="24">
        <v>3</v>
      </c>
      <c r="Z82" s="24">
        <v>3</v>
      </c>
      <c r="AA82" s="24">
        <v>2</v>
      </c>
      <c r="AB82" s="24">
        <v>3</v>
      </c>
      <c r="AC82" s="24">
        <v>3</v>
      </c>
      <c r="AD82" s="24">
        <v>3</v>
      </c>
      <c r="AE82" s="24">
        <v>3</v>
      </c>
      <c r="AF82" s="24">
        <v>3</v>
      </c>
      <c r="AG82" s="24">
        <v>3</v>
      </c>
      <c r="AH82" s="24">
        <v>3</v>
      </c>
      <c r="AI82" s="24">
        <v>2</v>
      </c>
      <c r="AJ82" s="24">
        <v>2</v>
      </c>
      <c r="AK82" s="24">
        <v>2</v>
      </c>
      <c r="AL82" s="24">
        <v>2</v>
      </c>
      <c r="AM82" s="23"/>
      <c r="AN82" s="23"/>
      <c r="AO82" s="22" t="s">
        <v>59</v>
      </c>
      <c r="AP82" s="22" t="s">
        <v>1185</v>
      </c>
      <c r="AQ82" s="22" t="s">
        <v>1186</v>
      </c>
      <c r="AR82" s="22" t="s">
        <v>1187</v>
      </c>
    </row>
    <row r="83" spans="1:44" hidden="1">
      <c r="A83" s="22" t="s">
        <v>1188</v>
      </c>
      <c r="B83" s="22" t="s">
        <v>949</v>
      </c>
      <c r="C83" s="22" t="s">
        <v>53</v>
      </c>
      <c r="D83" s="22" t="s">
        <v>98</v>
      </c>
      <c r="E83" s="22" t="s">
        <v>55</v>
      </c>
      <c r="F83" s="22" t="s">
        <v>65</v>
      </c>
      <c r="G83" s="22" t="s">
        <v>57</v>
      </c>
      <c r="H83" s="23"/>
      <c r="I83" s="23"/>
      <c r="J83" s="22">
        <v>4</v>
      </c>
      <c r="K83" s="22">
        <v>4</v>
      </c>
      <c r="L83" s="22">
        <v>4</v>
      </c>
      <c r="M83" s="23"/>
      <c r="N83" s="22" t="s">
        <v>66</v>
      </c>
      <c r="O83" s="23"/>
      <c r="P83" s="23"/>
      <c r="Q83" s="24">
        <v>4</v>
      </c>
      <c r="R83" s="24">
        <v>4</v>
      </c>
      <c r="S83" s="24">
        <v>4</v>
      </c>
      <c r="T83" s="24">
        <v>4</v>
      </c>
      <c r="U83" s="24">
        <v>4</v>
      </c>
      <c r="V83" s="24">
        <v>4</v>
      </c>
      <c r="W83" s="24">
        <v>4</v>
      </c>
      <c r="X83" s="24">
        <v>4</v>
      </c>
      <c r="Y83" s="24">
        <v>4</v>
      </c>
      <c r="Z83" s="24">
        <v>4</v>
      </c>
      <c r="AA83" s="24">
        <v>4</v>
      </c>
      <c r="AB83" s="24">
        <v>4</v>
      </c>
      <c r="AC83" s="24">
        <v>4</v>
      </c>
      <c r="AD83" s="24">
        <v>4</v>
      </c>
      <c r="AE83" s="24">
        <v>4</v>
      </c>
      <c r="AF83" s="24">
        <v>4</v>
      </c>
      <c r="AG83" s="24">
        <v>4</v>
      </c>
      <c r="AH83" s="24">
        <v>4</v>
      </c>
      <c r="AI83" s="24">
        <v>4</v>
      </c>
      <c r="AJ83" s="24">
        <v>4</v>
      </c>
      <c r="AK83" s="24">
        <v>4</v>
      </c>
      <c r="AL83" s="24">
        <v>4</v>
      </c>
      <c r="AM83" s="23"/>
      <c r="AN83" s="23"/>
      <c r="AO83" s="22" t="s">
        <v>74</v>
      </c>
      <c r="AP83" s="22" t="s">
        <v>1189</v>
      </c>
      <c r="AQ83" s="22" t="s">
        <v>1189</v>
      </c>
      <c r="AR83" s="22" t="s">
        <v>1190</v>
      </c>
    </row>
    <row r="84" spans="1:44" hidden="1">
      <c r="A84" s="22" t="s">
        <v>1191</v>
      </c>
      <c r="B84" s="22" t="s">
        <v>949</v>
      </c>
      <c r="C84" s="22" t="s">
        <v>95</v>
      </c>
      <c r="D84" s="22" t="s">
        <v>98</v>
      </c>
      <c r="E84" s="22" t="s">
        <v>55</v>
      </c>
      <c r="F84" s="22" t="s">
        <v>65</v>
      </c>
      <c r="G84" s="22" t="s">
        <v>80</v>
      </c>
      <c r="H84" s="23"/>
      <c r="I84" s="23"/>
      <c r="J84" s="22">
        <v>4</v>
      </c>
      <c r="K84" s="22">
        <v>4</v>
      </c>
      <c r="L84" s="22">
        <v>3</v>
      </c>
      <c r="M84" s="23"/>
      <c r="N84" s="22" t="s">
        <v>58</v>
      </c>
      <c r="O84" s="23"/>
      <c r="P84" s="23"/>
      <c r="Q84" s="24">
        <v>3</v>
      </c>
      <c r="R84" s="24">
        <v>2</v>
      </c>
      <c r="S84" s="24">
        <v>3</v>
      </c>
      <c r="T84" s="24">
        <v>3</v>
      </c>
      <c r="U84" s="24">
        <v>4</v>
      </c>
      <c r="V84" s="24">
        <v>4</v>
      </c>
      <c r="W84" s="24">
        <v>4</v>
      </c>
      <c r="X84" s="24">
        <v>4</v>
      </c>
      <c r="Y84" s="24">
        <v>2</v>
      </c>
      <c r="Z84" s="24">
        <v>3</v>
      </c>
      <c r="AA84" s="24">
        <v>4</v>
      </c>
      <c r="AB84" s="24">
        <v>4</v>
      </c>
      <c r="AC84" s="24">
        <v>4</v>
      </c>
      <c r="AD84" s="24">
        <v>4</v>
      </c>
      <c r="AE84" s="24">
        <v>4</v>
      </c>
      <c r="AF84" s="24">
        <v>4</v>
      </c>
      <c r="AG84" s="24">
        <v>3</v>
      </c>
      <c r="AH84" s="24">
        <v>4</v>
      </c>
      <c r="AI84" s="24">
        <v>4</v>
      </c>
      <c r="AJ84" s="24">
        <v>4</v>
      </c>
      <c r="AK84" s="24">
        <v>4</v>
      </c>
      <c r="AL84" s="24">
        <v>4</v>
      </c>
      <c r="AM84" s="23"/>
      <c r="AN84" s="23"/>
      <c r="AO84" s="22" t="s">
        <v>59</v>
      </c>
      <c r="AP84" s="22" t="s">
        <v>120</v>
      </c>
      <c r="AQ84" s="22" t="s">
        <v>120</v>
      </c>
      <c r="AR84" s="22" t="s">
        <v>120</v>
      </c>
    </row>
    <row r="85" spans="1:44" hidden="1">
      <c r="A85" s="22" t="s">
        <v>1192</v>
      </c>
      <c r="B85" s="22" t="s">
        <v>949</v>
      </c>
      <c r="C85" s="22" t="s">
        <v>95</v>
      </c>
      <c r="D85" s="22" t="s">
        <v>98</v>
      </c>
      <c r="E85" s="22" t="s">
        <v>55</v>
      </c>
      <c r="F85" s="22" t="s">
        <v>65</v>
      </c>
      <c r="G85" s="22" t="s">
        <v>129</v>
      </c>
      <c r="H85" s="23"/>
      <c r="I85" s="23"/>
      <c r="J85" s="22">
        <v>3</v>
      </c>
      <c r="K85" s="22">
        <v>1</v>
      </c>
      <c r="L85" s="22">
        <v>1</v>
      </c>
      <c r="M85" s="23"/>
      <c r="N85" s="22" t="s">
        <v>58</v>
      </c>
      <c r="O85" s="23"/>
      <c r="P85" s="23"/>
      <c r="Q85" s="24">
        <v>2</v>
      </c>
      <c r="R85" s="24">
        <v>3</v>
      </c>
      <c r="S85" s="24">
        <v>2</v>
      </c>
      <c r="T85" s="24">
        <v>2</v>
      </c>
      <c r="U85" s="24">
        <v>2</v>
      </c>
      <c r="V85" s="24">
        <v>2</v>
      </c>
      <c r="W85" s="24">
        <v>3</v>
      </c>
      <c r="X85" s="24">
        <v>4</v>
      </c>
      <c r="Y85" s="24">
        <v>2</v>
      </c>
      <c r="Z85" s="24">
        <v>2</v>
      </c>
      <c r="AA85" s="24">
        <v>3</v>
      </c>
      <c r="AB85" s="24">
        <v>4</v>
      </c>
      <c r="AC85" s="24">
        <v>4</v>
      </c>
      <c r="AD85" s="24">
        <v>5</v>
      </c>
      <c r="AE85" s="24">
        <v>3</v>
      </c>
      <c r="AF85" s="24">
        <v>4</v>
      </c>
      <c r="AG85" s="24">
        <v>3</v>
      </c>
      <c r="AH85" s="24">
        <v>4</v>
      </c>
      <c r="AI85" s="24">
        <v>2</v>
      </c>
      <c r="AJ85" s="24">
        <v>2</v>
      </c>
      <c r="AK85" s="24">
        <v>3</v>
      </c>
      <c r="AL85" s="24">
        <v>2</v>
      </c>
      <c r="AM85" s="23"/>
      <c r="AN85" s="23"/>
      <c r="AO85" s="22" t="s">
        <v>59</v>
      </c>
      <c r="AP85" s="22" t="s">
        <v>1193</v>
      </c>
      <c r="AQ85" s="22" t="s">
        <v>92</v>
      </c>
      <c r="AR85" s="22" t="s">
        <v>1194</v>
      </c>
    </row>
    <row r="86" spans="1:44" hidden="1">
      <c r="A86" s="22" t="s">
        <v>1195</v>
      </c>
      <c r="B86" s="22" t="s">
        <v>949</v>
      </c>
      <c r="C86" s="22" t="s">
        <v>95</v>
      </c>
      <c r="D86" s="22" t="s">
        <v>64</v>
      </c>
      <c r="E86" s="22" t="s">
        <v>72</v>
      </c>
      <c r="F86" s="22" t="s">
        <v>65</v>
      </c>
      <c r="G86" s="22" t="s">
        <v>57</v>
      </c>
      <c r="H86" s="23"/>
      <c r="I86" s="23"/>
      <c r="J86" s="22">
        <v>4</v>
      </c>
      <c r="K86" s="22">
        <v>2</v>
      </c>
      <c r="L86" s="22">
        <v>1</v>
      </c>
      <c r="M86" s="23"/>
      <c r="N86" s="22" t="s">
        <v>66</v>
      </c>
      <c r="O86" s="23"/>
      <c r="P86" s="23"/>
      <c r="Q86" s="24">
        <v>4</v>
      </c>
      <c r="R86" s="24">
        <v>4</v>
      </c>
      <c r="S86" s="24">
        <v>4</v>
      </c>
      <c r="T86" s="24">
        <v>4</v>
      </c>
      <c r="U86" s="24">
        <v>4</v>
      </c>
      <c r="V86" s="24">
        <v>3</v>
      </c>
      <c r="W86" s="24">
        <v>5</v>
      </c>
      <c r="X86" s="24">
        <v>4</v>
      </c>
      <c r="Y86" s="24">
        <v>3</v>
      </c>
      <c r="Z86" s="24">
        <v>3</v>
      </c>
      <c r="AA86" s="24">
        <v>4</v>
      </c>
      <c r="AB86" s="24">
        <v>4</v>
      </c>
      <c r="AC86" s="24">
        <v>5</v>
      </c>
      <c r="AD86" s="24">
        <v>4</v>
      </c>
      <c r="AE86" s="24">
        <v>5</v>
      </c>
      <c r="AF86" s="24">
        <v>4</v>
      </c>
      <c r="AG86" s="24">
        <v>3</v>
      </c>
      <c r="AH86" s="24">
        <v>4</v>
      </c>
      <c r="AI86" s="24">
        <v>4</v>
      </c>
      <c r="AJ86" s="24">
        <v>4</v>
      </c>
      <c r="AK86" s="24">
        <v>4</v>
      </c>
      <c r="AL86" s="24">
        <v>3</v>
      </c>
      <c r="AM86" s="23"/>
      <c r="AN86" s="23"/>
      <c r="AO86" s="22" t="s">
        <v>59</v>
      </c>
      <c r="AP86" s="22" t="s">
        <v>1196</v>
      </c>
      <c r="AQ86" s="22" t="s">
        <v>1197</v>
      </c>
      <c r="AR86" s="22" t="s">
        <v>92</v>
      </c>
    </row>
    <row r="87" spans="1:44" hidden="1">
      <c r="A87" s="22" t="s">
        <v>1198</v>
      </c>
      <c r="B87" s="22" t="s">
        <v>949</v>
      </c>
      <c r="C87" s="22" t="s">
        <v>95</v>
      </c>
      <c r="D87" s="22" t="s">
        <v>98</v>
      </c>
      <c r="E87" s="22" t="s">
        <v>55</v>
      </c>
      <c r="F87" s="22" t="s">
        <v>65</v>
      </c>
      <c r="G87" s="22" t="s">
        <v>80</v>
      </c>
      <c r="H87" s="23"/>
      <c r="I87" s="23"/>
      <c r="J87" s="22">
        <v>5</v>
      </c>
      <c r="K87" s="22">
        <v>5</v>
      </c>
      <c r="L87" s="22">
        <v>5</v>
      </c>
      <c r="M87" s="23"/>
      <c r="N87" s="22" t="s">
        <v>85</v>
      </c>
      <c r="O87" s="23"/>
      <c r="P87" s="23"/>
      <c r="Q87" s="24">
        <v>3</v>
      </c>
      <c r="R87" s="24">
        <v>2</v>
      </c>
      <c r="S87" s="24">
        <v>4</v>
      </c>
      <c r="T87" s="24">
        <v>4</v>
      </c>
      <c r="U87" s="24">
        <v>4</v>
      </c>
      <c r="V87" s="24">
        <v>4</v>
      </c>
      <c r="W87" s="24">
        <v>4</v>
      </c>
      <c r="X87" s="24">
        <v>4</v>
      </c>
      <c r="Y87" s="24">
        <v>3</v>
      </c>
      <c r="Z87" s="24">
        <v>3</v>
      </c>
      <c r="AA87" s="24">
        <v>3</v>
      </c>
      <c r="AB87" s="24">
        <v>4</v>
      </c>
      <c r="AC87" s="24">
        <v>4</v>
      </c>
      <c r="AD87" s="24">
        <v>4</v>
      </c>
      <c r="AE87" s="24">
        <v>3</v>
      </c>
      <c r="AF87" s="24">
        <v>4</v>
      </c>
      <c r="AG87" s="24">
        <v>3</v>
      </c>
      <c r="AH87" s="24">
        <v>3</v>
      </c>
      <c r="AI87" s="24">
        <v>3</v>
      </c>
      <c r="AJ87" s="24">
        <v>3</v>
      </c>
      <c r="AK87" s="24">
        <v>3</v>
      </c>
      <c r="AL87" s="24">
        <v>3</v>
      </c>
      <c r="AM87" s="23"/>
      <c r="AN87" s="23"/>
      <c r="AO87" s="22" t="s">
        <v>59</v>
      </c>
      <c r="AP87" s="22" t="s">
        <v>147</v>
      </c>
      <c r="AQ87" s="22" t="s">
        <v>147</v>
      </c>
      <c r="AR87" s="22" t="s">
        <v>147</v>
      </c>
    </row>
    <row r="88" spans="1:44" hidden="1">
      <c r="A88" s="22" t="s">
        <v>1199</v>
      </c>
      <c r="B88" s="22" t="s">
        <v>949</v>
      </c>
      <c r="C88" s="22" t="s">
        <v>95</v>
      </c>
      <c r="D88" s="22" t="s">
        <v>98</v>
      </c>
      <c r="E88" s="22" t="s">
        <v>55</v>
      </c>
      <c r="F88" s="22" t="s">
        <v>65</v>
      </c>
      <c r="G88" s="22" t="s">
        <v>96</v>
      </c>
      <c r="H88" s="23"/>
      <c r="I88" s="23"/>
      <c r="J88" s="22">
        <v>1</v>
      </c>
      <c r="K88" s="22">
        <v>1</v>
      </c>
      <c r="L88" s="22">
        <v>1</v>
      </c>
      <c r="M88" s="23"/>
      <c r="N88" s="22" t="s">
        <v>58</v>
      </c>
      <c r="O88" s="23"/>
      <c r="P88" s="23"/>
      <c r="Q88" s="24">
        <v>4</v>
      </c>
      <c r="R88" s="24">
        <v>2</v>
      </c>
      <c r="S88" s="24">
        <v>2</v>
      </c>
      <c r="T88" s="24">
        <v>2</v>
      </c>
      <c r="U88" s="24">
        <v>1</v>
      </c>
      <c r="V88" s="24">
        <v>1</v>
      </c>
      <c r="W88" s="24">
        <v>4</v>
      </c>
      <c r="X88" s="24">
        <v>4</v>
      </c>
      <c r="Y88" s="24">
        <v>2</v>
      </c>
      <c r="Z88" s="24">
        <v>4</v>
      </c>
      <c r="AA88" s="24">
        <v>2</v>
      </c>
      <c r="AB88" s="24">
        <v>1</v>
      </c>
      <c r="AC88" s="24">
        <v>1</v>
      </c>
      <c r="AD88" s="24">
        <v>1</v>
      </c>
      <c r="AE88" s="24">
        <v>1</v>
      </c>
      <c r="AF88" s="24">
        <v>1</v>
      </c>
      <c r="AG88" s="24">
        <v>1</v>
      </c>
      <c r="AH88" s="24">
        <v>3</v>
      </c>
      <c r="AI88" s="24">
        <v>1</v>
      </c>
      <c r="AJ88" s="24">
        <v>1</v>
      </c>
      <c r="AK88" s="24">
        <v>4</v>
      </c>
      <c r="AL88" s="24">
        <v>1</v>
      </c>
      <c r="AM88" s="23"/>
      <c r="AN88" s="23"/>
      <c r="AO88" s="22" t="s">
        <v>59</v>
      </c>
      <c r="AP88" s="22" t="s">
        <v>1200</v>
      </c>
      <c r="AQ88" s="22" t="s">
        <v>1201</v>
      </c>
      <c r="AR88" s="22" t="s">
        <v>92</v>
      </c>
    </row>
    <row r="89" spans="1:44" hidden="1">
      <c r="A89" s="22" t="s">
        <v>1202</v>
      </c>
      <c r="B89" s="22" t="s">
        <v>949</v>
      </c>
      <c r="C89" s="22" t="s">
        <v>95</v>
      </c>
      <c r="D89" s="22" t="s">
        <v>54</v>
      </c>
      <c r="E89" s="22" t="s">
        <v>55</v>
      </c>
      <c r="F89" s="22" t="s">
        <v>56</v>
      </c>
      <c r="G89" s="22" t="s">
        <v>80</v>
      </c>
      <c r="H89" s="23"/>
      <c r="I89" s="23"/>
      <c r="J89" s="22">
        <v>4</v>
      </c>
      <c r="K89" s="22">
        <v>2</v>
      </c>
      <c r="L89" s="22">
        <v>3</v>
      </c>
      <c r="M89" s="23"/>
      <c r="N89" s="22" t="s">
        <v>58</v>
      </c>
      <c r="O89" s="23"/>
      <c r="P89" s="23"/>
      <c r="Q89" s="24">
        <v>4</v>
      </c>
      <c r="R89" s="24">
        <v>3</v>
      </c>
      <c r="S89" s="24">
        <v>3</v>
      </c>
      <c r="T89" s="24">
        <v>3</v>
      </c>
      <c r="U89" s="24">
        <v>3</v>
      </c>
      <c r="V89" s="24">
        <v>2</v>
      </c>
      <c r="W89" s="24">
        <v>4</v>
      </c>
      <c r="X89" s="24">
        <v>3</v>
      </c>
      <c r="Y89" s="24">
        <v>3</v>
      </c>
      <c r="Z89" s="24">
        <v>3</v>
      </c>
      <c r="AA89" s="24">
        <v>4</v>
      </c>
      <c r="AB89" s="24">
        <v>4</v>
      </c>
      <c r="AC89" s="24">
        <v>3</v>
      </c>
      <c r="AD89" s="24">
        <v>4</v>
      </c>
      <c r="AE89" s="24">
        <v>3</v>
      </c>
      <c r="AF89" s="24">
        <v>3</v>
      </c>
      <c r="AG89" s="24">
        <v>4</v>
      </c>
      <c r="AH89" s="24">
        <v>2</v>
      </c>
      <c r="AI89" s="24">
        <v>3</v>
      </c>
      <c r="AJ89" s="24">
        <v>3</v>
      </c>
      <c r="AK89" s="24">
        <v>2</v>
      </c>
      <c r="AL89" s="24">
        <v>2</v>
      </c>
      <c r="AM89" s="23"/>
      <c r="AN89" s="23"/>
      <c r="AO89" s="22" t="s">
        <v>59</v>
      </c>
      <c r="AP89" s="22" t="s">
        <v>92</v>
      </c>
      <c r="AQ89" s="22" t="s">
        <v>1203</v>
      </c>
      <c r="AR89" s="22" t="s">
        <v>1204</v>
      </c>
    </row>
    <row r="90" spans="1:44" hidden="1">
      <c r="A90" s="22" t="s">
        <v>1205</v>
      </c>
      <c r="B90" s="22" t="s">
        <v>949</v>
      </c>
      <c r="C90" s="22" t="s">
        <v>95</v>
      </c>
      <c r="D90" s="22" t="s">
        <v>54</v>
      </c>
      <c r="E90" s="22" t="s">
        <v>72</v>
      </c>
      <c r="F90" s="22" t="s">
        <v>56</v>
      </c>
      <c r="G90" s="22" t="s">
        <v>129</v>
      </c>
      <c r="H90" s="23"/>
      <c r="I90" s="23"/>
      <c r="J90" s="22">
        <v>3</v>
      </c>
      <c r="K90" s="22">
        <v>2</v>
      </c>
      <c r="L90" s="22">
        <v>1</v>
      </c>
      <c r="M90" s="23"/>
      <c r="N90" s="22" t="s">
        <v>58</v>
      </c>
      <c r="O90" s="23"/>
      <c r="P90" s="23"/>
      <c r="Q90" s="24">
        <v>4</v>
      </c>
      <c r="R90" s="24">
        <v>3</v>
      </c>
      <c r="S90" s="24">
        <v>3</v>
      </c>
      <c r="T90" s="24">
        <v>3</v>
      </c>
      <c r="U90" s="24">
        <v>3</v>
      </c>
      <c r="V90" s="24">
        <v>3</v>
      </c>
      <c r="W90" s="24">
        <v>4</v>
      </c>
      <c r="X90" s="24">
        <v>4</v>
      </c>
      <c r="Y90" s="24">
        <v>3</v>
      </c>
      <c r="Z90" s="24">
        <v>4</v>
      </c>
      <c r="AA90" s="24">
        <v>4</v>
      </c>
      <c r="AB90" s="24">
        <v>4</v>
      </c>
      <c r="AC90" s="24">
        <v>4</v>
      </c>
      <c r="AD90" s="24">
        <v>4</v>
      </c>
      <c r="AE90" s="24">
        <v>4</v>
      </c>
      <c r="AF90" s="24">
        <v>4</v>
      </c>
      <c r="AG90" s="24">
        <v>4</v>
      </c>
      <c r="AH90" s="24">
        <v>4</v>
      </c>
      <c r="AI90" s="24">
        <v>3</v>
      </c>
      <c r="AJ90" s="24">
        <v>3</v>
      </c>
      <c r="AK90" s="24">
        <v>4</v>
      </c>
      <c r="AL90" s="24">
        <v>3</v>
      </c>
      <c r="AM90" s="23"/>
      <c r="AN90" s="23"/>
      <c r="AO90" s="22" t="s">
        <v>59</v>
      </c>
      <c r="AP90" s="22" t="s">
        <v>1206</v>
      </c>
      <c r="AQ90" s="22" t="s">
        <v>1207</v>
      </c>
      <c r="AR90" s="22" t="s">
        <v>1208</v>
      </c>
    </row>
    <row r="91" spans="1:44" hidden="1">
      <c r="A91" s="22" t="s">
        <v>1209</v>
      </c>
      <c r="B91" s="22" t="s">
        <v>949</v>
      </c>
      <c r="C91" s="22" t="s">
        <v>95</v>
      </c>
      <c r="D91" s="22" t="s">
        <v>98</v>
      </c>
      <c r="E91" s="22" t="s">
        <v>72</v>
      </c>
      <c r="F91" s="22" t="s">
        <v>65</v>
      </c>
      <c r="G91" s="22" t="s">
        <v>57</v>
      </c>
      <c r="H91" s="23"/>
      <c r="I91" s="23"/>
      <c r="J91" s="22">
        <v>4</v>
      </c>
      <c r="K91" s="22">
        <v>1</v>
      </c>
      <c r="L91" s="22">
        <v>1</v>
      </c>
      <c r="M91" s="23"/>
      <c r="N91" s="22" t="s">
        <v>58</v>
      </c>
      <c r="O91" s="23"/>
      <c r="P91" s="23"/>
      <c r="Q91" s="24">
        <v>2</v>
      </c>
      <c r="R91" s="24">
        <v>2</v>
      </c>
      <c r="S91" s="24">
        <v>3</v>
      </c>
      <c r="T91" s="24">
        <v>2</v>
      </c>
      <c r="U91" s="24">
        <v>3</v>
      </c>
      <c r="V91" s="24">
        <v>3</v>
      </c>
      <c r="W91" s="24">
        <v>5</v>
      </c>
      <c r="X91" s="24">
        <v>2</v>
      </c>
      <c r="Y91" s="24">
        <v>3</v>
      </c>
      <c r="Z91" s="24">
        <v>4</v>
      </c>
      <c r="AA91" s="24">
        <v>3</v>
      </c>
      <c r="AB91" s="24">
        <v>4</v>
      </c>
      <c r="AC91" s="24">
        <v>3</v>
      </c>
      <c r="AD91" s="24">
        <v>3</v>
      </c>
      <c r="AE91" s="24">
        <v>3</v>
      </c>
      <c r="AF91" s="24">
        <v>4</v>
      </c>
      <c r="AG91" s="24">
        <v>4</v>
      </c>
      <c r="AH91" s="24">
        <v>4</v>
      </c>
      <c r="AI91" s="24">
        <v>3</v>
      </c>
      <c r="AJ91" s="24">
        <v>2</v>
      </c>
      <c r="AK91" s="24">
        <v>3</v>
      </c>
      <c r="AL91" s="24">
        <v>3</v>
      </c>
      <c r="AM91" s="23"/>
      <c r="AN91" s="23"/>
      <c r="AO91" s="22" t="s">
        <v>74</v>
      </c>
      <c r="AP91" s="22" t="s">
        <v>1210</v>
      </c>
      <c r="AQ91" s="22" t="s">
        <v>92</v>
      </c>
      <c r="AR91" s="22" t="s">
        <v>92</v>
      </c>
    </row>
    <row r="92" spans="1:44" hidden="1">
      <c r="A92" s="22" t="s">
        <v>1211</v>
      </c>
      <c r="B92" s="22" t="s">
        <v>949</v>
      </c>
      <c r="C92" s="22" t="s">
        <v>95</v>
      </c>
      <c r="D92" s="22" t="s">
        <v>64</v>
      </c>
      <c r="E92" s="22" t="s">
        <v>55</v>
      </c>
      <c r="F92" s="22" t="s">
        <v>65</v>
      </c>
      <c r="G92" s="22" t="s">
        <v>80</v>
      </c>
      <c r="H92" s="23"/>
      <c r="I92" s="23"/>
      <c r="J92" s="22">
        <v>3</v>
      </c>
      <c r="K92" s="22">
        <v>3</v>
      </c>
      <c r="L92" s="22">
        <v>2</v>
      </c>
      <c r="M92" s="23"/>
      <c r="N92" s="22" t="s">
        <v>58</v>
      </c>
      <c r="O92" s="23"/>
      <c r="P92" s="23"/>
      <c r="Q92" s="24">
        <v>3</v>
      </c>
      <c r="R92" s="24">
        <v>3</v>
      </c>
      <c r="S92" s="24">
        <v>3</v>
      </c>
      <c r="T92" s="24">
        <v>3</v>
      </c>
      <c r="U92" s="24">
        <v>3</v>
      </c>
      <c r="V92" s="24">
        <v>3</v>
      </c>
      <c r="W92" s="24">
        <v>3</v>
      </c>
      <c r="X92" s="24">
        <v>3</v>
      </c>
      <c r="Y92" s="24">
        <v>3</v>
      </c>
      <c r="Z92" s="24">
        <v>3</v>
      </c>
      <c r="AA92" s="24">
        <v>3</v>
      </c>
      <c r="AB92" s="24">
        <v>4</v>
      </c>
      <c r="AC92" s="24">
        <v>3</v>
      </c>
      <c r="AD92" s="24">
        <v>3</v>
      </c>
      <c r="AE92" s="24">
        <v>3</v>
      </c>
      <c r="AF92" s="24">
        <v>3</v>
      </c>
      <c r="AG92" s="24">
        <v>3</v>
      </c>
      <c r="AH92" s="24">
        <v>3</v>
      </c>
      <c r="AI92" s="24">
        <v>3</v>
      </c>
      <c r="AJ92" s="24">
        <v>3</v>
      </c>
      <c r="AK92" s="24">
        <v>3</v>
      </c>
      <c r="AL92" s="24">
        <v>3</v>
      </c>
      <c r="AM92" s="23"/>
      <c r="AN92" s="23"/>
      <c r="AO92" s="22" t="s">
        <v>59</v>
      </c>
      <c r="AP92" s="22" t="s">
        <v>1212</v>
      </c>
      <c r="AQ92" s="22" t="s">
        <v>1213</v>
      </c>
      <c r="AR92" s="22" t="s">
        <v>1214</v>
      </c>
    </row>
    <row r="93" spans="1:44" hidden="1">
      <c r="A93" s="22" t="s">
        <v>1215</v>
      </c>
      <c r="B93" s="22" t="s">
        <v>949</v>
      </c>
      <c r="C93" s="22" t="s">
        <v>95</v>
      </c>
      <c r="D93" s="22" t="s">
        <v>98</v>
      </c>
      <c r="E93" s="22" t="s">
        <v>55</v>
      </c>
      <c r="F93" s="22" t="s">
        <v>65</v>
      </c>
      <c r="G93" s="22" t="s">
        <v>80</v>
      </c>
      <c r="H93" s="23"/>
      <c r="I93" s="23"/>
      <c r="J93" s="22">
        <v>4</v>
      </c>
      <c r="K93" s="22">
        <v>3</v>
      </c>
      <c r="L93" s="22">
        <v>1</v>
      </c>
      <c r="M93" s="23"/>
      <c r="N93" s="22" t="s">
        <v>85</v>
      </c>
      <c r="O93" s="23"/>
      <c r="P93" s="23"/>
      <c r="Q93" s="24">
        <v>1</v>
      </c>
      <c r="R93" s="24">
        <v>1</v>
      </c>
      <c r="S93" s="24">
        <v>3</v>
      </c>
      <c r="T93" s="24">
        <v>3</v>
      </c>
      <c r="U93" s="24">
        <v>4</v>
      </c>
      <c r="V93" s="24">
        <v>4</v>
      </c>
      <c r="W93" s="24">
        <v>3</v>
      </c>
      <c r="X93" s="24">
        <v>3</v>
      </c>
      <c r="Y93" s="24">
        <v>3</v>
      </c>
      <c r="Z93" s="24">
        <v>3</v>
      </c>
      <c r="AA93" s="24">
        <v>2</v>
      </c>
      <c r="AB93" s="24">
        <v>4</v>
      </c>
      <c r="AC93" s="24">
        <v>4</v>
      </c>
      <c r="AD93" s="24">
        <v>4</v>
      </c>
      <c r="AE93" s="24">
        <v>3</v>
      </c>
      <c r="AF93" s="24">
        <v>4</v>
      </c>
      <c r="AG93" s="24">
        <v>3</v>
      </c>
      <c r="AH93" s="24">
        <v>4</v>
      </c>
      <c r="AI93" s="24">
        <v>3</v>
      </c>
      <c r="AJ93" s="24">
        <v>3</v>
      </c>
      <c r="AK93" s="24">
        <v>3</v>
      </c>
      <c r="AL93" s="24">
        <v>3</v>
      </c>
      <c r="AM93" s="23"/>
      <c r="AN93" s="23"/>
      <c r="AO93" s="22" t="s">
        <v>59</v>
      </c>
      <c r="AP93" s="22" t="s">
        <v>120</v>
      </c>
      <c r="AQ93" s="22" t="s">
        <v>120</v>
      </c>
      <c r="AR93" s="22" t="s">
        <v>120</v>
      </c>
    </row>
    <row r="94" spans="1:44" hidden="1">
      <c r="A94" s="22" t="s">
        <v>1216</v>
      </c>
      <c r="B94" s="22" t="s">
        <v>949</v>
      </c>
      <c r="C94" s="22" t="s">
        <v>53</v>
      </c>
      <c r="D94" s="22" t="s">
        <v>54</v>
      </c>
      <c r="E94" s="22" t="s">
        <v>55</v>
      </c>
      <c r="F94" s="22" t="s">
        <v>56</v>
      </c>
      <c r="G94" s="22" t="s">
        <v>57</v>
      </c>
      <c r="H94" s="23"/>
      <c r="I94" s="23"/>
      <c r="J94" s="22">
        <v>5</v>
      </c>
      <c r="K94" s="22">
        <v>5</v>
      </c>
      <c r="L94" s="22">
        <v>3</v>
      </c>
      <c r="M94" s="23"/>
      <c r="N94" s="22" t="s">
        <v>115</v>
      </c>
      <c r="O94" s="23"/>
      <c r="P94" s="23"/>
      <c r="Q94" s="24">
        <v>5</v>
      </c>
      <c r="R94" s="24">
        <v>5</v>
      </c>
      <c r="S94" s="24">
        <v>5</v>
      </c>
      <c r="T94" s="24">
        <v>5</v>
      </c>
      <c r="U94" s="24">
        <v>4</v>
      </c>
      <c r="V94" s="24">
        <v>4</v>
      </c>
      <c r="W94" s="24">
        <v>5</v>
      </c>
      <c r="X94" s="24">
        <v>5</v>
      </c>
      <c r="Y94" s="24">
        <v>5</v>
      </c>
      <c r="Z94" s="24">
        <v>3</v>
      </c>
      <c r="AA94" s="24">
        <v>5</v>
      </c>
      <c r="AB94" s="24">
        <v>5</v>
      </c>
      <c r="AC94" s="24">
        <v>5</v>
      </c>
      <c r="AD94" s="24">
        <v>4</v>
      </c>
      <c r="AE94" s="24">
        <v>5</v>
      </c>
      <c r="AF94" s="24">
        <v>5</v>
      </c>
      <c r="AG94" s="24">
        <v>5</v>
      </c>
      <c r="AH94" s="24">
        <v>4</v>
      </c>
      <c r="AI94" s="24">
        <v>3</v>
      </c>
      <c r="AJ94" s="24">
        <v>3</v>
      </c>
      <c r="AK94" s="24">
        <v>3</v>
      </c>
      <c r="AL94" s="24">
        <v>3</v>
      </c>
      <c r="AM94" s="23"/>
      <c r="AN94" s="23"/>
      <c r="AO94" s="22" t="s">
        <v>74</v>
      </c>
      <c r="AP94" s="22" t="s">
        <v>1217</v>
      </c>
      <c r="AQ94" s="22" t="s">
        <v>1218</v>
      </c>
      <c r="AR94" s="22" t="s">
        <v>1219</v>
      </c>
    </row>
    <row r="95" spans="1:44" hidden="1">
      <c r="A95" s="22" t="s">
        <v>1220</v>
      </c>
      <c r="B95" s="22" t="s">
        <v>949</v>
      </c>
      <c r="C95" s="22" t="s">
        <v>90</v>
      </c>
      <c r="D95" s="22" t="s">
        <v>98</v>
      </c>
      <c r="E95" s="22" t="s">
        <v>72</v>
      </c>
      <c r="F95" s="22" t="s">
        <v>136</v>
      </c>
      <c r="G95" s="22" t="s">
        <v>129</v>
      </c>
      <c r="H95" s="23"/>
      <c r="I95" s="23"/>
      <c r="J95" s="22">
        <v>1</v>
      </c>
      <c r="K95" s="22">
        <v>1</v>
      </c>
      <c r="L95" s="22">
        <v>1</v>
      </c>
      <c r="M95" s="23"/>
      <c r="N95" s="22" t="s">
        <v>85</v>
      </c>
      <c r="O95" s="23"/>
      <c r="P95" s="23"/>
      <c r="Q95" s="24">
        <v>1</v>
      </c>
      <c r="R95" s="24">
        <v>1</v>
      </c>
      <c r="S95" s="24">
        <v>3</v>
      </c>
      <c r="T95" s="24">
        <v>2</v>
      </c>
      <c r="U95" s="24">
        <v>3</v>
      </c>
      <c r="V95" s="24">
        <v>3</v>
      </c>
      <c r="W95" s="24">
        <v>5</v>
      </c>
      <c r="X95" s="24">
        <v>5</v>
      </c>
      <c r="Y95" s="24">
        <v>3</v>
      </c>
      <c r="Z95" s="24">
        <v>4</v>
      </c>
      <c r="AA95" s="24">
        <v>1</v>
      </c>
      <c r="AB95" s="24">
        <v>3</v>
      </c>
      <c r="AC95" s="24">
        <v>2</v>
      </c>
      <c r="AD95" s="24">
        <v>2</v>
      </c>
      <c r="AE95" s="24">
        <v>3</v>
      </c>
      <c r="AF95" s="24">
        <v>3</v>
      </c>
      <c r="AG95" s="24">
        <v>3</v>
      </c>
      <c r="AH95" s="24">
        <v>4</v>
      </c>
      <c r="AI95" s="24">
        <v>3</v>
      </c>
      <c r="AJ95" s="24">
        <v>2</v>
      </c>
      <c r="AK95" s="24">
        <v>2</v>
      </c>
      <c r="AL95" s="24">
        <v>2</v>
      </c>
      <c r="AM95" s="23"/>
      <c r="AN95" s="23"/>
      <c r="AO95" s="22" t="s">
        <v>59</v>
      </c>
      <c r="AP95" s="22" t="s">
        <v>1221</v>
      </c>
      <c r="AQ95" s="22" t="s">
        <v>1222</v>
      </c>
      <c r="AR95" s="22" t="s">
        <v>1223</v>
      </c>
    </row>
    <row r="96" spans="1:44" hidden="1">
      <c r="A96" s="22" t="s">
        <v>1224</v>
      </c>
      <c r="B96" s="22" t="s">
        <v>949</v>
      </c>
      <c r="C96" s="22" t="s">
        <v>95</v>
      </c>
      <c r="D96" s="22" t="s">
        <v>64</v>
      </c>
      <c r="E96" s="22" t="s">
        <v>55</v>
      </c>
      <c r="F96" s="22" t="s">
        <v>65</v>
      </c>
      <c r="G96" s="22" t="s">
        <v>80</v>
      </c>
      <c r="H96" s="23"/>
      <c r="I96" s="23"/>
      <c r="J96" s="22">
        <v>3</v>
      </c>
      <c r="K96" s="22">
        <v>3</v>
      </c>
      <c r="L96" s="22">
        <v>3</v>
      </c>
      <c r="M96" s="23"/>
      <c r="N96" s="22" t="s">
        <v>115</v>
      </c>
      <c r="O96" s="23"/>
      <c r="P96" s="23"/>
      <c r="Q96" s="24">
        <v>3</v>
      </c>
      <c r="R96" s="24">
        <v>3</v>
      </c>
      <c r="S96" s="24">
        <v>3</v>
      </c>
      <c r="T96" s="24">
        <v>3</v>
      </c>
      <c r="U96" s="24">
        <v>3</v>
      </c>
      <c r="V96" s="24">
        <v>3</v>
      </c>
      <c r="W96" s="24">
        <v>3</v>
      </c>
      <c r="X96" s="24">
        <v>3</v>
      </c>
      <c r="Y96" s="24">
        <v>3</v>
      </c>
      <c r="Z96" s="24">
        <v>3</v>
      </c>
      <c r="AA96" s="24">
        <v>3</v>
      </c>
      <c r="AB96" s="24">
        <v>3</v>
      </c>
      <c r="AC96" s="24">
        <v>3</v>
      </c>
      <c r="AD96" s="24">
        <v>3</v>
      </c>
      <c r="AE96" s="24">
        <v>3</v>
      </c>
      <c r="AF96" s="24">
        <v>3</v>
      </c>
      <c r="AG96" s="24">
        <v>3</v>
      </c>
      <c r="AH96" s="24">
        <v>3</v>
      </c>
      <c r="AI96" s="24">
        <v>3</v>
      </c>
      <c r="AJ96" s="24">
        <v>3</v>
      </c>
      <c r="AK96" s="24">
        <v>3</v>
      </c>
      <c r="AL96" s="24">
        <v>3</v>
      </c>
      <c r="AM96" s="23"/>
      <c r="AN96" s="23"/>
      <c r="AO96" s="22" t="s">
        <v>59</v>
      </c>
      <c r="AP96" s="22" t="s">
        <v>1225</v>
      </c>
      <c r="AQ96" s="22" t="s">
        <v>1226</v>
      </c>
      <c r="AR96" s="22" t="s">
        <v>1227</v>
      </c>
    </row>
    <row r="97" spans="1:44" hidden="1">
      <c r="A97" s="22" t="s">
        <v>1228</v>
      </c>
      <c r="B97" s="22" t="s">
        <v>949</v>
      </c>
      <c r="C97" s="22" t="s">
        <v>95</v>
      </c>
      <c r="D97" s="22" t="s">
        <v>98</v>
      </c>
      <c r="E97" s="22" t="s">
        <v>55</v>
      </c>
      <c r="F97" s="22" t="s">
        <v>73</v>
      </c>
      <c r="G97" s="22" t="s">
        <v>129</v>
      </c>
      <c r="H97" s="23"/>
      <c r="I97" s="23"/>
      <c r="J97" s="22">
        <v>1</v>
      </c>
      <c r="K97" s="22">
        <v>1</v>
      </c>
      <c r="L97" s="22">
        <v>1</v>
      </c>
      <c r="M97" s="23"/>
      <c r="N97" s="22" t="s">
        <v>85</v>
      </c>
      <c r="O97" s="23"/>
      <c r="P97" s="23"/>
      <c r="Q97" s="24">
        <v>3</v>
      </c>
      <c r="R97" s="24">
        <v>1</v>
      </c>
      <c r="S97" s="24">
        <v>1</v>
      </c>
      <c r="T97" s="24">
        <v>1</v>
      </c>
      <c r="U97" s="24">
        <v>1</v>
      </c>
      <c r="V97" s="24">
        <v>1</v>
      </c>
      <c r="W97" s="24">
        <v>3</v>
      </c>
      <c r="X97" s="24">
        <v>2</v>
      </c>
      <c r="Y97" s="24">
        <v>2</v>
      </c>
      <c r="Z97" s="24">
        <v>1</v>
      </c>
      <c r="AA97" s="24">
        <v>3</v>
      </c>
      <c r="AB97" s="24">
        <v>3</v>
      </c>
      <c r="AC97" s="24">
        <v>3</v>
      </c>
      <c r="AD97" s="24">
        <v>3</v>
      </c>
      <c r="AE97" s="24">
        <v>2</v>
      </c>
      <c r="AF97" s="24">
        <v>3</v>
      </c>
      <c r="AG97" s="24">
        <v>2</v>
      </c>
      <c r="AH97" s="24">
        <v>3</v>
      </c>
      <c r="AI97" s="24">
        <v>3</v>
      </c>
      <c r="AJ97" s="24">
        <v>3</v>
      </c>
      <c r="AK97" s="24">
        <v>3</v>
      </c>
      <c r="AL97" s="24">
        <v>3</v>
      </c>
      <c r="AM97" s="23"/>
      <c r="AN97" s="23"/>
      <c r="AO97" s="22" t="s">
        <v>74</v>
      </c>
      <c r="AP97" s="22" t="s">
        <v>166</v>
      </c>
      <c r="AQ97" s="22" t="s">
        <v>166</v>
      </c>
      <c r="AR97" s="22" t="s">
        <v>166</v>
      </c>
    </row>
    <row r="98" spans="1:44" hidden="1">
      <c r="A98" s="22" t="s">
        <v>1229</v>
      </c>
      <c r="B98" s="22" t="s">
        <v>949</v>
      </c>
      <c r="C98" s="22" t="s">
        <v>95</v>
      </c>
      <c r="D98" s="22" t="s">
        <v>54</v>
      </c>
      <c r="E98" s="22" t="s">
        <v>55</v>
      </c>
      <c r="F98" s="22" t="s">
        <v>56</v>
      </c>
      <c r="G98" s="22" t="s">
        <v>80</v>
      </c>
      <c r="H98" s="23"/>
      <c r="I98" s="23"/>
      <c r="J98" s="22">
        <v>3</v>
      </c>
      <c r="K98" s="22">
        <v>3</v>
      </c>
      <c r="L98" s="22">
        <v>3</v>
      </c>
      <c r="M98" s="23"/>
      <c r="N98" s="22" t="s">
        <v>85</v>
      </c>
      <c r="O98" s="23"/>
      <c r="P98" s="23"/>
      <c r="Q98" s="24">
        <v>2</v>
      </c>
      <c r="R98" s="24">
        <v>1</v>
      </c>
      <c r="S98" s="24">
        <v>2</v>
      </c>
      <c r="T98" s="24">
        <v>2</v>
      </c>
      <c r="U98" s="24">
        <v>2</v>
      </c>
      <c r="V98" s="24">
        <v>2</v>
      </c>
      <c r="W98" s="24">
        <v>3</v>
      </c>
      <c r="X98" s="24">
        <v>2</v>
      </c>
      <c r="Y98" s="24">
        <v>2</v>
      </c>
      <c r="Z98" s="24">
        <v>2</v>
      </c>
      <c r="AA98" s="24">
        <v>3</v>
      </c>
      <c r="AB98" s="24">
        <v>3</v>
      </c>
      <c r="AC98" s="24">
        <v>3</v>
      </c>
      <c r="AD98" s="24">
        <v>3</v>
      </c>
      <c r="AE98" s="24">
        <v>2</v>
      </c>
      <c r="AF98" s="24">
        <v>2</v>
      </c>
      <c r="AG98" s="24">
        <v>2</v>
      </c>
      <c r="AH98" s="24">
        <v>2</v>
      </c>
      <c r="AI98" s="24">
        <v>2</v>
      </c>
      <c r="AJ98" s="24">
        <v>2</v>
      </c>
      <c r="AK98" s="24">
        <v>2</v>
      </c>
      <c r="AL98" s="24">
        <v>2</v>
      </c>
      <c r="AM98" s="23"/>
      <c r="AN98" s="23"/>
      <c r="AO98" s="22" t="s">
        <v>59</v>
      </c>
      <c r="AP98" s="22" t="s">
        <v>1230</v>
      </c>
      <c r="AQ98" s="22" t="s">
        <v>1231</v>
      </c>
      <c r="AR98" s="22" t="s">
        <v>92</v>
      </c>
    </row>
    <row r="99" spans="1:44" hidden="1">
      <c r="A99" s="22" t="s">
        <v>1232</v>
      </c>
      <c r="B99" s="22" t="s">
        <v>949</v>
      </c>
      <c r="C99" s="22" t="s">
        <v>95</v>
      </c>
      <c r="D99" s="22" t="s">
        <v>64</v>
      </c>
      <c r="E99" s="22" t="s">
        <v>55</v>
      </c>
      <c r="F99" s="22" t="s">
        <v>65</v>
      </c>
      <c r="G99" s="22" t="s">
        <v>129</v>
      </c>
      <c r="H99" s="23"/>
      <c r="I99" s="23"/>
      <c r="J99" s="22">
        <v>3</v>
      </c>
      <c r="K99" s="22">
        <v>2</v>
      </c>
      <c r="L99" s="22">
        <v>2</v>
      </c>
      <c r="M99" s="23"/>
      <c r="N99" s="22" t="s">
        <v>58</v>
      </c>
      <c r="O99" s="23"/>
      <c r="P99" s="23"/>
      <c r="Q99" s="24">
        <v>3</v>
      </c>
      <c r="R99" s="24">
        <v>1</v>
      </c>
      <c r="S99" s="24">
        <v>3</v>
      </c>
      <c r="T99" s="24">
        <v>2</v>
      </c>
      <c r="U99" s="24">
        <v>1</v>
      </c>
      <c r="V99" s="24">
        <v>3</v>
      </c>
      <c r="W99" s="24">
        <v>4</v>
      </c>
      <c r="X99" s="24">
        <v>4</v>
      </c>
      <c r="Y99" s="24">
        <v>3</v>
      </c>
      <c r="Z99" s="24">
        <v>2</v>
      </c>
      <c r="AA99" s="24">
        <v>3</v>
      </c>
      <c r="AB99" s="24">
        <v>3</v>
      </c>
      <c r="AC99" s="24">
        <v>3</v>
      </c>
      <c r="AD99" s="24">
        <v>3</v>
      </c>
      <c r="AE99" s="24">
        <v>2</v>
      </c>
      <c r="AF99" s="24">
        <v>3</v>
      </c>
      <c r="AG99" s="24">
        <v>3</v>
      </c>
      <c r="AH99" s="24">
        <v>3</v>
      </c>
      <c r="AI99" s="24">
        <v>3</v>
      </c>
      <c r="AJ99" s="24">
        <v>3</v>
      </c>
      <c r="AK99" s="24">
        <v>3</v>
      </c>
      <c r="AL99" s="24">
        <v>2</v>
      </c>
      <c r="AM99" s="23"/>
      <c r="AN99" s="23"/>
      <c r="AO99" s="22" t="s">
        <v>59</v>
      </c>
      <c r="AP99" s="22" t="s">
        <v>1233</v>
      </c>
      <c r="AQ99" s="22" t="s">
        <v>1234</v>
      </c>
      <c r="AR99" s="22" t="s">
        <v>1235</v>
      </c>
    </row>
    <row r="100" spans="1:44" hidden="1">
      <c r="A100" s="22" t="s">
        <v>1236</v>
      </c>
      <c r="B100" s="22" t="s">
        <v>949</v>
      </c>
      <c r="C100" s="22" t="s">
        <v>95</v>
      </c>
      <c r="D100" s="22" t="s">
        <v>64</v>
      </c>
      <c r="E100" s="22" t="s">
        <v>55</v>
      </c>
      <c r="F100" s="22" t="s">
        <v>56</v>
      </c>
      <c r="G100" s="22" t="s">
        <v>57</v>
      </c>
      <c r="H100" s="23"/>
      <c r="I100" s="23"/>
      <c r="J100" s="22">
        <v>4</v>
      </c>
      <c r="K100" s="22">
        <v>2</v>
      </c>
      <c r="L100" s="22">
        <v>2</v>
      </c>
      <c r="M100" s="23"/>
      <c r="N100" s="22" t="s">
        <v>58</v>
      </c>
      <c r="O100" s="23"/>
      <c r="P100" s="23"/>
      <c r="Q100" s="24">
        <v>3</v>
      </c>
      <c r="R100" s="24">
        <v>2</v>
      </c>
      <c r="S100" s="24">
        <v>3</v>
      </c>
      <c r="T100" s="24">
        <v>3</v>
      </c>
      <c r="U100" s="24">
        <v>3</v>
      </c>
      <c r="V100" s="24">
        <v>3</v>
      </c>
      <c r="W100" s="24">
        <v>4</v>
      </c>
      <c r="X100" s="24">
        <v>3</v>
      </c>
      <c r="Y100" s="24">
        <v>3</v>
      </c>
      <c r="Z100" s="24">
        <v>3</v>
      </c>
      <c r="AA100" s="24">
        <v>3</v>
      </c>
      <c r="AB100" s="24">
        <v>3</v>
      </c>
      <c r="AC100" s="24">
        <v>3</v>
      </c>
      <c r="AD100" s="24">
        <v>3</v>
      </c>
      <c r="AE100" s="24">
        <v>2</v>
      </c>
      <c r="AF100" s="24">
        <v>3</v>
      </c>
      <c r="AG100" s="24">
        <v>2</v>
      </c>
      <c r="AH100" s="24">
        <v>3</v>
      </c>
      <c r="AI100" s="24">
        <v>3</v>
      </c>
      <c r="AJ100" s="24">
        <v>3</v>
      </c>
      <c r="AK100" s="24">
        <v>3</v>
      </c>
      <c r="AL100" s="24">
        <v>3</v>
      </c>
      <c r="AM100" s="23"/>
      <c r="AN100" s="23"/>
      <c r="AO100" s="22" t="s">
        <v>59</v>
      </c>
      <c r="AP100" s="22" t="s">
        <v>92</v>
      </c>
      <c r="AQ100" s="22" t="s">
        <v>1237</v>
      </c>
      <c r="AR100" s="22" t="s">
        <v>92</v>
      </c>
    </row>
    <row r="101" spans="1:44" hidden="1">
      <c r="A101" s="22" t="s">
        <v>1238</v>
      </c>
      <c r="B101" s="22" t="s">
        <v>949</v>
      </c>
      <c r="C101" s="22" t="s">
        <v>95</v>
      </c>
      <c r="D101" s="22" t="s">
        <v>64</v>
      </c>
      <c r="E101" s="22" t="s">
        <v>72</v>
      </c>
      <c r="F101" s="22" t="s">
        <v>65</v>
      </c>
      <c r="G101" s="22" t="s">
        <v>96</v>
      </c>
      <c r="H101" s="23"/>
      <c r="I101" s="23"/>
      <c r="J101" s="22">
        <v>5</v>
      </c>
      <c r="K101" s="22">
        <v>3</v>
      </c>
      <c r="L101" s="22">
        <v>5</v>
      </c>
      <c r="M101" s="23"/>
      <c r="N101" s="22" t="s">
        <v>85</v>
      </c>
      <c r="O101" s="23"/>
      <c r="P101" s="23"/>
      <c r="Q101" s="24">
        <v>3</v>
      </c>
      <c r="R101" s="24">
        <v>3</v>
      </c>
      <c r="S101" s="24">
        <v>1</v>
      </c>
      <c r="T101" s="24">
        <v>1</v>
      </c>
      <c r="U101" s="24">
        <v>1</v>
      </c>
      <c r="V101" s="24">
        <v>1</v>
      </c>
      <c r="W101" s="24">
        <v>5</v>
      </c>
      <c r="X101" s="24">
        <v>3</v>
      </c>
      <c r="Y101" s="24">
        <v>1</v>
      </c>
      <c r="Z101" s="24">
        <v>3</v>
      </c>
      <c r="AA101" s="24">
        <v>3</v>
      </c>
      <c r="AB101" s="24">
        <v>4</v>
      </c>
      <c r="AC101" s="24">
        <v>3</v>
      </c>
      <c r="AD101" s="24">
        <v>3</v>
      </c>
      <c r="AE101" s="24">
        <v>3</v>
      </c>
      <c r="AF101" s="24">
        <v>3</v>
      </c>
      <c r="AG101" s="24">
        <v>3</v>
      </c>
      <c r="AH101" s="24">
        <v>4</v>
      </c>
      <c r="AI101" s="24">
        <v>3</v>
      </c>
      <c r="AJ101" s="24">
        <v>2</v>
      </c>
      <c r="AK101" s="24">
        <v>3</v>
      </c>
      <c r="AL101" s="24">
        <v>3</v>
      </c>
      <c r="AM101" s="23"/>
      <c r="AN101" s="23"/>
      <c r="AO101" s="22" t="s">
        <v>59</v>
      </c>
      <c r="AP101" s="22" t="s">
        <v>59</v>
      </c>
      <c r="AQ101" s="22" t="s">
        <v>1239</v>
      </c>
      <c r="AR101" s="22" t="s">
        <v>137</v>
      </c>
    </row>
    <row r="102" spans="1:44" hidden="1">
      <c r="A102" s="22" t="s">
        <v>1240</v>
      </c>
      <c r="B102" s="22" t="s">
        <v>949</v>
      </c>
      <c r="C102" s="22" t="s">
        <v>95</v>
      </c>
      <c r="D102" s="22" t="s">
        <v>64</v>
      </c>
      <c r="E102" s="22" t="s">
        <v>55</v>
      </c>
      <c r="F102" s="22" t="s">
        <v>65</v>
      </c>
      <c r="G102" s="22" t="s">
        <v>96</v>
      </c>
      <c r="H102" s="23"/>
      <c r="I102" s="23"/>
      <c r="J102" s="22">
        <v>1</v>
      </c>
      <c r="K102" s="22">
        <v>1</v>
      </c>
      <c r="L102" s="22">
        <v>1</v>
      </c>
      <c r="M102" s="23"/>
      <c r="N102" s="22" t="s">
        <v>85</v>
      </c>
      <c r="O102" s="23"/>
      <c r="P102" s="23"/>
      <c r="Q102" s="24">
        <v>1</v>
      </c>
      <c r="R102" s="24">
        <v>1</v>
      </c>
      <c r="S102" s="24">
        <v>1</v>
      </c>
      <c r="T102" s="24">
        <v>1</v>
      </c>
      <c r="U102" s="24">
        <v>1</v>
      </c>
      <c r="V102" s="24">
        <v>1</v>
      </c>
      <c r="W102" s="24">
        <v>1</v>
      </c>
      <c r="X102" s="24">
        <v>1</v>
      </c>
      <c r="Y102" s="24">
        <v>1</v>
      </c>
      <c r="Z102" s="24">
        <v>1</v>
      </c>
      <c r="AA102" s="24">
        <v>1</v>
      </c>
      <c r="AB102" s="24">
        <v>1</v>
      </c>
      <c r="AC102" s="24">
        <v>1</v>
      </c>
      <c r="AD102" s="24">
        <v>1</v>
      </c>
      <c r="AE102" s="24">
        <v>1</v>
      </c>
      <c r="AF102" s="24">
        <v>1</v>
      </c>
      <c r="AG102" s="24">
        <v>1</v>
      </c>
      <c r="AH102" s="24">
        <v>1</v>
      </c>
      <c r="AI102" s="24">
        <v>1</v>
      </c>
      <c r="AJ102" s="24">
        <v>1</v>
      </c>
      <c r="AK102" s="24">
        <v>1</v>
      </c>
      <c r="AL102" s="24">
        <v>1</v>
      </c>
      <c r="AM102" s="23"/>
      <c r="AN102" s="23"/>
      <c r="AO102" s="22" t="s">
        <v>59</v>
      </c>
      <c r="AP102" s="22" t="s">
        <v>1241</v>
      </c>
      <c r="AQ102" s="22" t="s">
        <v>941</v>
      </c>
      <c r="AR102" s="22" t="s">
        <v>146</v>
      </c>
    </row>
    <row r="103" spans="1:44" hidden="1">
      <c r="A103" s="22" t="s">
        <v>1242</v>
      </c>
      <c r="B103" s="22" t="s">
        <v>949</v>
      </c>
      <c r="C103" s="22" t="s">
        <v>95</v>
      </c>
      <c r="D103" s="22" t="s">
        <v>98</v>
      </c>
      <c r="E103" s="22" t="s">
        <v>55</v>
      </c>
      <c r="F103" s="22" t="s">
        <v>65</v>
      </c>
      <c r="G103" s="22" t="s">
        <v>80</v>
      </c>
      <c r="H103" s="23"/>
      <c r="I103" s="23"/>
      <c r="J103" s="22">
        <v>4</v>
      </c>
      <c r="K103" s="22">
        <v>5</v>
      </c>
      <c r="L103" s="22">
        <v>4</v>
      </c>
      <c r="M103" s="23"/>
      <c r="N103" s="22" t="s">
        <v>66</v>
      </c>
      <c r="O103" s="23"/>
      <c r="P103" s="23"/>
      <c r="Q103" s="24">
        <v>5</v>
      </c>
      <c r="R103" s="24">
        <v>3</v>
      </c>
      <c r="S103" s="24">
        <v>3</v>
      </c>
      <c r="T103" s="24">
        <v>2</v>
      </c>
      <c r="U103" s="24">
        <v>4</v>
      </c>
      <c r="V103" s="24">
        <v>3</v>
      </c>
      <c r="W103" s="24">
        <v>4</v>
      </c>
      <c r="X103" s="24">
        <v>4</v>
      </c>
      <c r="Y103" s="24">
        <v>2</v>
      </c>
      <c r="Z103" s="24">
        <v>3</v>
      </c>
      <c r="AA103" s="24">
        <v>3</v>
      </c>
      <c r="AB103" s="24">
        <v>4</v>
      </c>
      <c r="AC103" s="24">
        <v>3</v>
      </c>
      <c r="AD103" s="24">
        <v>3</v>
      </c>
      <c r="AE103" s="24">
        <v>3</v>
      </c>
      <c r="AF103" s="24">
        <v>5</v>
      </c>
      <c r="AG103" s="24">
        <v>3</v>
      </c>
      <c r="AH103" s="24">
        <v>3</v>
      </c>
      <c r="AI103" s="24">
        <v>3</v>
      </c>
      <c r="AJ103" s="24">
        <v>3</v>
      </c>
      <c r="AK103" s="24">
        <v>4</v>
      </c>
      <c r="AL103" s="24">
        <v>3</v>
      </c>
      <c r="AM103" s="23"/>
      <c r="AN103" s="23"/>
      <c r="AO103" s="22" t="s">
        <v>74</v>
      </c>
      <c r="AP103" s="22" t="s">
        <v>92</v>
      </c>
      <c r="AQ103" s="22" t="s">
        <v>1243</v>
      </c>
      <c r="AR103" s="22" t="s">
        <v>92</v>
      </c>
    </row>
    <row r="104" spans="1:44" hidden="1">
      <c r="A104" s="22" t="s">
        <v>1244</v>
      </c>
      <c r="B104" s="22" t="s">
        <v>949</v>
      </c>
      <c r="C104" s="22" t="s">
        <v>95</v>
      </c>
      <c r="D104" s="22" t="s">
        <v>106</v>
      </c>
      <c r="E104" s="22" t="s">
        <v>72</v>
      </c>
      <c r="F104" s="22" t="s">
        <v>73</v>
      </c>
      <c r="G104" s="22" t="s">
        <v>57</v>
      </c>
      <c r="H104" s="23"/>
      <c r="I104" s="23"/>
      <c r="J104" s="22">
        <v>5</v>
      </c>
      <c r="K104" s="22">
        <v>3</v>
      </c>
      <c r="L104" s="22">
        <v>1</v>
      </c>
      <c r="M104" s="23"/>
      <c r="N104" s="22" t="s">
        <v>58</v>
      </c>
      <c r="O104" s="23"/>
      <c r="P104" s="23"/>
      <c r="Q104" s="24">
        <v>4</v>
      </c>
      <c r="R104" s="24">
        <v>3</v>
      </c>
      <c r="S104" s="24">
        <v>4</v>
      </c>
      <c r="T104" s="24">
        <v>4</v>
      </c>
      <c r="U104" s="24">
        <v>4</v>
      </c>
      <c r="V104" s="24">
        <v>4</v>
      </c>
      <c r="W104" s="24">
        <v>4</v>
      </c>
      <c r="X104" s="24">
        <v>4</v>
      </c>
      <c r="Y104" s="24">
        <v>4</v>
      </c>
      <c r="Z104" s="24">
        <v>4</v>
      </c>
      <c r="AA104" s="24">
        <v>5</v>
      </c>
      <c r="AB104" s="24">
        <v>5</v>
      </c>
      <c r="AC104" s="24">
        <v>5</v>
      </c>
      <c r="AD104" s="24">
        <v>5</v>
      </c>
      <c r="AE104" s="24">
        <v>5</v>
      </c>
      <c r="AF104" s="24">
        <v>5</v>
      </c>
      <c r="AG104" s="24">
        <v>5</v>
      </c>
      <c r="AH104" s="24">
        <v>5</v>
      </c>
      <c r="AI104" s="24">
        <v>4</v>
      </c>
      <c r="AJ104" s="24">
        <v>4</v>
      </c>
      <c r="AK104" s="24">
        <v>5</v>
      </c>
      <c r="AL104" s="24">
        <v>5</v>
      </c>
      <c r="AM104" s="23"/>
      <c r="AN104" s="23"/>
      <c r="AO104" s="22" t="s">
        <v>74</v>
      </c>
      <c r="AP104" s="22" t="s">
        <v>1245</v>
      </c>
      <c r="AQ104" s="22" t="s">
        <v>1246</v>
      </c>
      <c r="AR104" s="22" t="s">
        <v>1247</v>
      </c>
    </row>
    <row r="105" spans="1:44" hidden="1">
      <c r="A105" s="22" t="s">
        <v>1248</v>
      </c>
      <c r="B105" s="22" t="s">
        <v>949</v>
      </c>
      <c r="C105" s="22" t="s">
        <v>53</v>
      </c>
      <c r="D105" s="22" t="s">
        <v>64</v>
      </c>
      <c r="E105" s="22" t="s">
        <v>55</v>
      </c>
      <c r="F105" s="22" t="s">
        <v>65</v>
      </c>
      <c r="G105" s="22" t="s">
        <v>129</v>
      </c>
      <c r="H105" s="23"/>
      <c r="I105" s="23"/>
      <c r="J105" s="22">
        <v>2</v>
      </c>
      <c r="K105" s="22">
        <v>2</v>
      </c>
      <c r="L105" s="22">
        <v>2</v>
      </c>
      <c r="M105" s="23"/>
      <c r="N105" s="22" t="s">
        <v>58</v>
      </c>
      <c r="O105" s="23"/>
      <c r="P105" s="23"/>
      <c r="Q105" s="24">
        <v>3</v>
      </c>
      <c r="R105" s="24">
        <v>2</v>
      </c>
      <c r="S105" s="24">
        <v>2</v>
      </c>
      <c r="T105" s="24">
        <v>2</v>
      </c>
      <c r="U105" s="24">
        <v>2</v>
      </c>
      <c r="V105" s="24">
        <v>2</v>
      </c>
      <c r="W105" s="24">
        <v>5</v>
      </c>
      <c r="X105" s="24">
        <v>3</v>
      </c>
      <c r="Y105" s="24">
        <v>3</v>
      </c>
      <c r="Z105" s="24">
        <v>3</v>
      </c>
      <c r="AA105" s="24">
        <v>5</v>
      </c>
      <c r="AB105" s="24">
        <v>5</v>
      </c>
      <c r="AC105" s="24">
        <v>5</v>
      </c>
      <c r="AD105" s="24">
        <v>3</v>
      </c>
      <c r="AE105" s="24">
        <v>3</v>
      </c>
      <c r="AF105" s="24">
        <v>3</v>
      </c>
      <c r="AG105" s="24">
        <v>3</v>
      </c>
      <c r="AH105" s="24">
        <v>3</v>
      </c>
      <c r="AI105" s="24">
        <v>5</v>
      </c>
      <c r="AJ105" s="24">
        <v>5</v>
      </c>
      <c r="AK105" s="24">
        <v>5</v>
      </c>
      <c r="AL105" s="24">
        <v>5</v>
      </c>
      <c r="AM105" s="23"/>
      <c r="AN105" s="23"/>
      <c r="AO105" s="22" t="s">
        <v>59</v>
      </c>
      <c r="AP105" s="22" t="s">
        <v>1249</v>
      </c>
      <c r="AQ105" s="22" t="s">
        <v>1249</v>
      </c>
      <c r="AR105" s="22" t="s">
        <v>1250</v>
      </c>
    </row>
    <row r="106" spans="1:44" hidden="1">
      <c r="A106" s="22" t="s">
        <v>1251</v>
      </c>
      <c r="B106" s="22" t="s">
        <v>949</v>
      </c>
      <c r="C106" s="22" t="s">
        <v>95</v>
      </c>
      <c r="D106" s="22" t="s">
        <v>64</v>
      </c>
      <c r="E106" s="22" t="s">
        <v>55</v>
      </c>
      <c r="F106" s="22" t="s">
        <v>65</v>
      </c>
      <c r="G106" s="22" t="s">
        <v>57</v>
      </c>
      <c r="H106" s="23"/>
      <c r="I106" s="23"/>
      <c r="J106" s="22">
        <v>4</v>
      </c>
      <c r="K106" s="22">
        <v>3</v>
      </c>
      <c r="L106" s="22">
        <v>2</v>
      </c>
      <c r="M106" s="23"/>
      <c r="N106" s="22" t="s">
        <v>58</v>
      </c>
      <c r="O106" s="23"/>
      <c r="P106" s="23"/>
      <c r="Q106" s="24">
        <v>3</v>
      </c>
      <c r="R106" s="24">
        <v>3</v>
      </c>
      <c r="S106" s="24">
        <v>4</v>
      </c>
      <c r="T106" s="24">
        <v>3</v>
      </c>
      <c r="U106" s="24">
        <v>4</v>
      </c>
      <c r="V106" s="24">
        <v>4</v>
      </c>
      <c r="W106" s="24">
        <v>4</v>
      </c>
      <c r="X106" s="24">
        <v>4</v>
      </c>
      <c r="Y106" s="24">
        <v>4</v>
      </c>
      <c r="Z106" s="24">
        <v>3</v>
      </c>
      <c r="AA106" s="24">
        <v>4</v>
      </c>
      <c r="AB106" s="24">
        <v>5</v>
      </c>
      <c r="AC106" s="24">
        <v>5</v>
      </c>
      <c r="AD106" s="24">
        <v>4</v>
      </c>
      <c r="AE106" s="24">
        <v>4</v>
      </c>
      <c r="AF106" s="24">
        <v>5</v>
      </c>
      <c r="AG106" s="24">
        <v>4</v>
      </c>
      <c r="AH106" s="24">
        <v>4</v>
      </c>
      <c r="AI106" s="24">
        <v>3</v>
      </c>
      <c r="AJ106" s="24">
        <v>3</v>
      </c>
      <c r="AK106" s="24">
        <v>4</v>
      </c>
      <c r="AL106" s="24">
        <v>3</v>
      </c>
      <c r="AM106" s="23"/>
      <c r="AN106" s="23"/>
      <c r="AO106" s="22" t="s">
        <v>74</v>
      </c>
      <c r="AP106" s="22" t="s">
        <v>137</v>
      </c>
      <c r="AQ106" s="22" t="s">
        <v>137</v>
      </c>
      <c r="AR106" s="22" t="s">
        <v>1252</v>
      </c>
    </row>
    <row r="107" spans="1:44" hidden="1">
      <c r="A107" s="22" t="s">
        <v>1253</v>
      </c>
      <c r="B107" s="22" t="s">
        <v>949</v>
      </c>
      <c r="C107" s="22" t="s">
        <v>95</v>
      </c>
      <c r="D107" s="22" t="s">
        <v>98</v>
      </c>
      <c r="E107" s="22" t="s">
        <v>55</v>
      </c>
      <c r="F107" s="22" t="s">
        <v>65</v>
      </c>
      <c r="G107" s="22" t="s">
        <v>129</v>
      </c>
      <c r="H107" s="23"/>
      <c r="I107" s="23"/>
      <c r="J107" s="22">
        <v>3</v>
      </c>
      <c r="K107" s="22">
        <v>3</v>
      </c>
      <c r="L107" s="22">
        <v>3</v>
      </c>
      <c r="M107" s="23"/>
      <c r="N107" s="22" t="s">
        <v>58</v>
      </c>
      <c r="O107" s="23"/>
      <c r="P107" s="23"/>
      <c r="Q107" s="24">
        <v>4</v>
      </c>
      <c r="R107" s="24">
        <v>3</v>
      </c>
      <c r="S107" s="24">
        <v>4</v>
      </c>
      <c r="T107" s="24">
        <v>4</v>
      </c>
      <c r="U107" s="24">
        <v>4</v>
      </c>
      <c r="V107" s="24">
        <v>4</v>
      </c>
      <c r="W107" s="24">
        <v>4</v>
      </c>
      <c r="X107" s="24">
        <v>4</v>
      </c>
      <c r="Y107" s="24">
        <v>3</v>
      </c>
      <c r="Z107" s="24">
        <v>4</v>
      </c>
      <c r="AA107" s="24">
        <v>4</v>
      </c>
      <c r="AB107" s="24">
        <v>4</v>
      </c>
      <c r="AC107" s="24">
        <v>4</v>
      </c>
      <c r="AD107" s="24">
        <v>4</v>
      </c>
      <c r="AE107" s="24">
        <v>4</v>
      </c>
      <c r="AF107" s="24">
        <v>4</v>
      </c>
      <c r="AG107" s="24">
        <v>4</v>
      </c>
      <c r="AH107" s="24">
        <v>4</v>
      </c>
      <c r="AI107" s="24">
        <v>4</v>
      </c>
      <c r="AJ107" s="24">
        <v>4</v>
      </c>
      <c r="AK107" s="24">
        <v>4</v>
      </c>
      <c r="AL107" s="24">
        <v>4</v>
      </c>
      <c r="AM107" s="23"/>
      <c r="AN107" s="23"/>
      <c r="AO107" s="22" t="s">
        <v>74</v>
      </c>
      <c r="AP107" s="22" t="s">
        <v>1254</v>
      </c>
      <c r="AQ107" s="22" t="s">
        <v>1255</v>
      </c>
      <c r="AR107" s="22" t="s">
        <v>1256</v>
      </c>
    </row>
    <row r="108" spans="1:44" hidden="1">
      <c r="A108" s="22" t="s">
        <v>1257</v>
      </c>
      <c r="B108" s="22" t="s">
        <v>949</v>
      </c>
      <c r="C108" s="22" t="s">
        <v>95</v>
      </c>
      <c r="D108" s="22" t="s">
        <v>54</v>
      </c>
      <c r="E108" s="22" t="s">
        <v>72</v>
      </c>
      <c r="F108" s="22" t="s">
        <v>56</v>
      </c>
      <c r="G108" s="22" t="s">
        <v>80</v>
      </c>
      <c r="H108" s="23"/>
      <c r="I108" s="23"/>
      <c r="J108" s="22">
        <v>2</v>
      </c>
      <c r="K108" s="22">
        <v>2</v>
      </c>
      <c r="L108" s="22">
        <v>3</v>
      </c>
      <c r="M108" s="23"/>
      <c r="N108" s="22" t="s">
        <v>85</v>
      </c>
      <c r="O108" s="23"/>
      <c r="P108" s="23"/>
      <c r="Q108" s="24">
        <v>2</v>
      </c>
      <c r="R108" s="24">
        <v>2</v>
      </c>
      <c r="S108" s="24">
        <v>2</v>
      </c>
      <c r="T108" s="24">
        <v>2</v>
      </c>
      <c r="U108" s="24">
        <v>2</v>
      </c>
      <c r="V108" s="24">
        <v>2</v>
      </c>
      <c r="W108" s="24">
        <v>2</v>
      </c>
      <c r="X108" s="24">
        <v>3</v>
      </c>
      <c r="Y108" s="24">
        <v>3</v>
      </c>
      <c r="Z108" s="24">
        <v>3</v>
      </c>
      <c r="AA108" s="24">
        <v>4</v>
      </c>
      <c r="AB108" s="24">
        <v>4</v>
      </c>
      <c r="AC108" s="24">
        <v>4</v>
      </c>
      <c r="AD108" s="24">
        <v>4</v>
      </c>
      <c r="AE108" s="24">
        <v>4</v>
      </c>
      <c r="AF108" s="24">
        <v>4</v>
      </c>
      <c r="AG108" s="24">
        <v>4</v>
      </c>
      <c r="AH108" s="24">
        <v>4</v>
      </c>
      <c r="AI108" s="24">
        <v>4</v>
      </c>
      <c r="AJ108" s="24">
        <v>4</v>
      </c>
      <c r="AK108" s="24">
        <v>4</v>
      </c>
      <c r="AL108" s="24">
        <v>4</v>
      </c>
      <c r="AM108" s="23"/>
      <c r="AN108" s="23"/>
      <c r="AO108" s="22" t="s">
        <v>74</v>
      </c>
      <c r="AP108" s="22" t="s">
        <v>157</v>
      </c>
      <c r="AQ108" s="22" t="s">
        <v>157</v>
      </c>
      <c r="AR108" s="22" t="s">
        <v>157</v>
      </c>
    </row>
    <row r="109" spans="1:44" hidden="1">
      <c r="A109" s="22" t="s">
        <v>1258</v>
      </c>
      <c r="B109" s="22" t="s">
        <v>949</v>
      </c>
      <c r="C109" s="22" t="s">
        <v>53</v>
      </c>
      <c r="D109" s="22" t="s">
        <v>64</v>
      </c>
      <c r="E109" s="22" t="s">
        <v>55</v>
      </c>
      <c r="F109" s="22" t="s">
        <v>56</v>
      </c>
      <c r="G109" s="22" t="s">
        <v>80</v>
      </c>
      <c r="H109" s="23"/>
      <c r="I109" s="23"/>
      <c r="J109" s="22">
        <v>1</v>
      </c>
      <c r="K109" s="22">
        <v>1</v>
      </c>
      <c r="L109" s="22">
        <v>1</v>
      </c>
      <c r="M109" s="23"/>
      <c r="N109" s="22" t="s">
        <v>58</v>
      </c>
      <c r="O109" s="23"/>
      <c r="P109" s="23"/>
      <c r="Q109" s="24">
        <v>3</v>
      </c>
      <c r="R109" s="24">
        <v>2</v>
      </c>
      <c r="S109" s="24">
        <v>1</v>
      </c>
      <c r="T109" s="24">
        <v>1</v>
      </c>
      <c r="U109" s="24">
        <v>1</v>
      </c>
      <c r="V109" s="24">
        <v>5</v>
      </c>
      <c r="W109" s="24">
        <v>5</v>
      </c>
      <c r="X109" s="24">
        <v>5</v>
      </c>
      <c r="Y109" s="24">
        <v>3</v>
      </c>
      <c r="Z109" s="24">
        <v>1</v>
      </c>
      <c r="AA109" s="24">
        <v>4</v>
      </c>
      <c r="AB109" s="24">
        <v>5</v>
      </c>
      <c r="AC109" s="24">
        <v>5</v>
      </c>
      <c r="AD109" s="24">
        <v>5</v>
      </c>
      <c r="AE109" s="24">
        <v>4</v>
      </c>
      <c r="AF109" s="24">
        <v>4</v>
      </c>
      <c r="AG109" s="24">
        <v>3</v>
      </c>
      <c r="AH109" s="24">
        <v>4</v>
      </c>
      <c r="AI109" s="24">
        <v>5</v>
      </c>
      <c r="AJ109" s="24">
        <v>2</v>
      </c>
      <c r="AK109" s="24">
        <v>3</v>
      </c>
      <c r="AL109" s="24">
        <v>2</v>
      </c>
      <c r="AM109" s="23"/>
      <c r="AN109" s="23"/>
      <c r="AO109" s="22" t="s">
        <v>59</v>
      </c>
      <c r="AP109" s="22" t="s">
        <v>1259</v>
      </c>
      <c r="AQ109" s="22" t="s">
        <v>1260</v>
      </c>
      <c r="AR109" s="22" t="s">
        <v>1261</v>
      </c>
    </row>
    <row r="110" spans="1:44" hidden="1">
      <c r="A110" s="22" t="s">
        <v>1262</v>
      </c>
      <c r="B110" s="22" t="s">
        <v>949</v>
      </c>
      <c r="C110" s="22" t="s">
        <v>95</v>
      </c>
      <c r="D110" s="22" t="s">
        <v>64</v>
      </c>
      <c r="E110" s="22" t="s">
        <v>55</v>
      </c>
      <c r="F110" s="22" t="s">
        <v>65</v>
      </c>
      <c r="G110" s="22" t="s">
        <v>57</v>
      </c>
      <c r="H110" s="23"/>
      <c r="I110" s="23"/>
      <c r="J110" s="22">
        <v>4</v>
      </c>
      <c r="K110" s="22">
        <v>2</v>
      </c>
      <c r="L110" s="22">
        <v>2</v>
      </c>
      <c r="M110" s="23"/>
      <c r="N110" s="22" t="s">
        <v>66</v>
      </c>
      <c r="O110" s="23"/>
      <c r="P110" s="23"/>
      <c r="Q110" s="24">
        <v>2</v>
      </c>
      <c r="R110" s="24">
        <v>2</v>
      </c>
      <c r="S110" s="24">
        <v>4</v>
      </c>
      <c r="T110" s="24">
        <v>3</v>
      </c>
      <c r="U110" s="24">
        <v>4</v>
      </c>
      <c r="V110" s="24">
        <v>4</v>
      </c>
      <c r="W110" s="24">
        <v>5</v>
      </c>
      <c r="X110" s="24">
        <v>3</v>
      </c>
      <c r="Y110" s="24">
        <v>4</v>
      </c>
      <c r="Z110" s="24">
        <v>4</v>
      </c>
      <c r="AA110" s="24">
        <v>4</v>
      </c>
      <c r="AB110" s="24">
        <v>4</v>
      </c>
      <c r="AC110" s="24">
        <v>4</v>
      </c>
      <c r="AD110" s="24">
        <v>4</v>
      </c>
      <c r="AE110" s="24">
        <v>4</v>
      </c>
      <c r="AF110" s="24">
        <v>4</v>
      </c>
      <c r="AG110" s="24">
        <v>5</v>
      </c>
      <c r="AH110" s="24">
        <v>4</v>
      </c>
      <c r="AI110" s="24">
        <v>4</v>
      </c>
      <c r="AJ110" s="24">
        <v>3</v>
      </c>
      <c r="AK110" s="24">
        <v>4</v>
      </c>
      <c r="AL110" s="24">
        <v>4</v>
      </c>
      <c r="AM110" s="23"/>
      <c r="AN110" s="23"/>
      <c r="AO110" s="22" t="s">
        <v>74</v>
      </c>
      <c r="AP110" s="22" t="s">
        <v>1263</v>
      </c>
      <c r="AQ110" s="22" t="s">
        <v>1264</v>
      </c>
      <c r="AR110" s="22" t="s">
        <v>1265</v>
      </c>
    </row>
    <row r="111" spans="1:44" hidden="1">
      <c r="A111" s="22" t="s">
        <v>1266</v>
      </c>
      <c r="B111" s="22" t="s">
        <v>949</v>
      </c>
      <c r="C111" s="22" t="s">
        <v>53</v>
      </c>
      <c r="D111" s="22" t="s">
        <v>64</v>
      </c>
      <c r="E111" s="22" t="s">
        <v>55</v>
      </c>
      <c r="F111" s="22" t="s">
        <v>56</v>
      </c>
      <c r="G111" s="22" t="s">
        <v>80</v>
      </c>
      <c r="H111" s="23"/>
      <c r="I111" s="23"/>
      <c r="J111" s="22">
        <v>2</v>
      </c>
      <c r="K111" s="22">
        <v>1</v>
      </c>
      <c r="L111" s="22">
        <v>1</v>
      </c>
      <c r="M111" s="23"/>
      <c r="N111" s="22" t="s">
        <v>58</v>
      </c>
      <c r="O111" s="23"/>
      <c r="P111" s="23"/>
      <c r="Q111" s="24">
        <v>3</v>
      </c>
      <c r="R111" s="24">
        <v>1</v>
      </c>
      <c r="S111" s="24">
        <v>2</v>
      </c>
      <c r="T111" s="24">
        <v>2</v>
      </c>
      <c r="U111" s="24">
        <v>3</v>
      </c>
      <c r="V111" s="24">
        <v>4</v>
      </c>
      <c r="W111" s="24">
        <v>5</v>
      </c>
      <c r="X111" s="24">
        <v>4</v>
      </c>
      <c r="Y111" s="24">
        <v>4</v>
      </c>
      <c r="Z111" s="24">
        <v>3</v>
      </c>
      <c r="AA111" s="24">
        <v>5</v>
      </c>
      <c r="AB111" s="24">
        <v>3</v>
      </c>
      <c r="AC111" s="24">
        <v>3</v>
      </c>
      <c r="AD111" s="24">
        <v>4</v>
      </c>
      <c r="AE111" s="24">
        <v>1</v>
      </c>
      <c r="AF111" s="24">
        <v>3</v>
      </c>
      <c r="AG111" s="24">
        <v>1</v>
      </c>
      <c r="AH111" s="24">
        <v>1</v>
      </c>
      <c r="AI111" s="24">
        <v>3</v>
      </c>
      <c r="AJ111" s="24">
        <v>2</v>
      </c>
      <c r="AK111" s="24">
        <v>3</v>
      </c>
      <c r="AL111" s="24">
        <v>1</v>
      </c>
      <c r="AM111" s="23"/>
      <c r="AN111" s="23"/>
      <c r="AO111" s="22" t="s">
        <v>59</v>
      </c>
      <c r="AP111" s="22" t="s">
        <v>1267</v>
      </c>
      <c r="AQ111" s="22" t="s">
        <v>1268</v>
      </c>
      <c r="AR111" s="22" t="s">
        <v>92</v>
      </c>
    </row>
    <row r="112" spans="1:44" hidden="1">
      <c r="A112" s="22" t="s">
        <v>1269</v>
      </c>
      <c r="B112" s="22" t="s">
        <v>949</v>
      </c>
      <c r="C112" s="22" t="s">
        <v>53</v>
      </c>
      <c r="D112" s="22" t="s">
        <v>98</v>
      </c>
      <c r="E112" s="22" t="s">
        <v>55</v>
      </c>
      <c r="F112" s="22" t="s">
        <v>136</v>
      </c>
      <c r="G112" s="22" t="s">
        <v>96</v>
      </c>
      <c r="H112" s="23"/>
      <c r="I112" s="23"/>
      <c r="J112" s="22">
        <v>2</v>
      </c>
      <c r="K112" s="22">
        <v>3</v>
      </c>
      <c r="L112" s="22">
        <v>2</v>
      </c>
      <c r="M112" s="23"/>
      <c r="N112" s="22" t="s">
        <v>115</v>
      </c>
      <c r="O112" s="23"/>
      <c r="P112" s="23"/>
      <c r="Q112" s="24">
        <v>4</v>
      </c>
      <c r="R112" s="24">
        <v>3</v>
      </c>
      <c r="S112" s="24">
        <v>2</v>
      </c>
      <c r="T112" s="24">
        <v>2</v>
      </c>
      <c r="U112" s="24">
        <v>4</v>
      </c>
      <c r="V112" s="24">
        <v>4</v>
      </c>
      <c r="W112" s="24">
        <v>4</v>
      </c>
      <c r="X112" s="24">
        <v>4</v>
      </c>
      <c r="Y112" s="24">
        <v>4</v>
      </c>
      <c r="Z112" s="24">
        <v>4</v>
      </c>
      <c r="AA112" s="24">
        <v>2</v>
      </c>
      <c r="AB112" s="24">
        <v>4</v>
      </c>
      <c r="AC112" s="24">
        <v>4</v>
      </c>
      <c r="AD112" s="24">
        <v>4</v>
      </c>
      <c r="AE112" s="24">
        <v>2</v>
      </c>
      <c r="AF112" s="24">
        <v>4</v>
      </c>
      <c r="AG112" s="24">
        <v>4</v>
      </c>
      <c r="AH112" s="24">
        <v>4</v>
      </c>
      <c r="AI112" s="24">
        <v>4</v>
      </c>
      <c r="AJ112" s="24">
        <v>4</v>
      </c>
      <c r="AK112" s="24">
        <v>4</v>
      </c>
      <c r="AL112" s="24">
        <v>4</v>
      </c>
      <c r="AM112" s="23"/>
      <c r="AN112" s="23"/>
      <c r="AO112" s="22" t="s">
        <v>59</v>
      </c>
      <c r="AP112" s="22" t="s">
        <v>1270</v>
      </c>
      <c r="AQ112" s="22" t="s">
        <v>1271</v>
      </c>
      <c r="AR112" s="22" t="s">
        <v>1272</v>
      </c>
    </row>
    <row r="113" spans="1:44" hidden="1">
      <c r="A113" s="22" t="s">
        <v>1273</v>
      </c>
      <c r="B113" s="22" t="s">
        <v>949</v>
      </c>
      <c r="C113" s="22" t="s">
        <v>95</v>
      </c>
      <c r="D113" s="22" t="s">
        <v>64</v>
      </c>
      <c r="E113" s="22" t="s">
        <v>55</v>
      </c>
      <c r="F113" s="22" t="s">
        <v>56</v>
      </c>
      <c r="G113" s="22" t="s">
        <v>80</v>
      </c>
      <c r="H113" s="23"/>
      <c r="I113" s="23"/>
      <c r="J113" s="22">
        <v>3</v>
      </c>
      <c r="K113" s="22">
        <v>3</v>
      </c>
      <c r="L113" s="22">
        <v>3</v>
      </c>
      <c r="M113" s="23"/>
      <c r="N113" s="22" t="s">
        <v>85</v>
      </c>
      <c r="O113" s="23"/>
      <c r="P113" s="23"/>
      <c r="Q113" s="24">
        <v>3</v>
      </c>
      <c r="R113" s="24">
        <v>4</v>
      </c>
      <c r="S113" s="24">
        <v>2</v>
      </c>
      <c r="T113" s="24">
        <v>2</v>
      </c>
      <c r="U113" s="24">
        <v>2</v>
      </c>
      <c r="V113" s="24">
        <v>3</v>
      </c>
      <c r="W113" s="24">
        <v>4</v>
      </c>
      <c r="X113" s="24">
        <v>3</v>
      </c>
      <c r="Y113" s="24">
        <v>3</v>
      </c>
      <c r="Z113" s="24">
        <v>4</v>
      </c>
      <c r="AA113" s="24">
        <v>3</v>
      </c>
      <c r="AB113" s="24">
        <v>3</v>
      </c>
      <c r="AC113" s="24">
        <v>3</v>
      </c>
      <c r="AD113" s="24">
        <v>3</v>
      </c>
      <c r="AE113" s="24">
        <v>3</v>
      </c>
      <c r="AF113" s="24">
        <v>4</v>
      </c>
      <c r="AG113" s="24">
        <v>4</v>
      </c>
      <c r="AH113" s="24">
        <v>3</v>
      </c>
      <c r="AI113" s="24">
        <v>3</v>
      </c>
      <c r="AJ113" s="24">
        <v>3</v>
      </c>
      <c r="AK113" s="24">
        <v>4</v>
      </c>
      <c r="AL113" s="24">
        <v>3</v>
      </c>
      <c r="AM113" s="23"/>
      <c r="AN113" s="23"/>
      <c r="AO113" s="22" t="s">
        <v>74</v>
      </c>
      <c r="AP113" s="22" t="s">
        <v>92</v>
      </c>
      <c r="AQ113" s="22" t="s">
        <v>1274</v>
      </c>
      <c r="AR113" s="22" t="s">
        <v>92</v>
      </c>
    </row>
    <row r="114" spans="1:44" hidden="1">
      <c r="A114" s="22" t="s">
        <v>1275</v>
      </c>
      <c r="B114" s="22" t="s">
        <v>949</v>
      </c>
      <c r="C114" s="22" t="s">
        <v>53</v>
      </c>
      <c r="D114" s="22" t="s">
        <v>98</v>
      </c>
      <c r="E114" s="22" t="s">
        <v>55</v>
      </c>
      <c r="F114" s="22" t="s">
        <v>65</v>
      </c>
      <c r="G114" s="22" t="s">
        <v>80</v>
      </c>
      <c r="H114" s="23"/>
      <c r="I114" s="23"/>
      <c r="J114" s="22">
        <v>4</v>
      </c>
      <c r="K114" s="22">
        <v>4</v>
      </c>
      <c r="L114" s="22">
        <v>1</v>
      </c>
      <c r="M114" s="23"/>
      <c r="N114" s="22" t="s">
        <v>85</v>
      </c>
      <c r="O114" s="23"/>
      <c r="P114" s="23"/>
      <c r="Q114" s="24">
        <v>3</v>
      </c>
      <c r="R114" s="24">
        <v>1</v>
      </c>
      <c r="S114" s="24">
        <v>2</v>
      </c>
      <c r="T114" s="24">
        <v>2</v>
      </c>
      <c r="U114" s="24">
        <v>3</v>
      </c>
      <c r="V114" s="24">
        <v>3</v>
      </c>
      <c r="W114" s="24">
        <v>3</v>
      </c>
      <c r="X114" s="24">
        <v>3</v>
      </c>
      <c r="Y114" s="24">
        <v>3</v>
      </c>
      <c r="Z114" s="24">
        <v>3</v>
      </c>
      <c r="AA114" s="24">
        <v>3</v>
      </c>
      <c r="AB114" s="24">
        <v>3</v>
      </c>
      <c r="AC114" s="24">
        <v>3</v>
      </c>
      <c r="AD114" s="24">
        <v>3</v>
      </c>
      <c r="AE114" s="24">
        <v>3</v>
      </c>
      <c r="AF114" s="24">
        <v>3</v>
      </c>
      <c r="AG114" s="24">
        <v>3</v>
      </c>
      <c r="AH114" s="24">
        <v>3</v>
      </c>
      <c r="AI114" s="24">
        <v>3</v>
      </c>
      <c r="AJ114" s="24">
        <v>3</v>
      </c>
      <c r="AK114" s="24">
        <v>3</v>
      </c>
      <c r="AL114" s="24">
        <v>3</v>
      </c>
      <c r="AM114" s="23"/>
      <c r="AN114" s="23"/>
      <c r="AO114" s="22" t="s">
        <v>59</v>
      </c>
      <c r="AP114" s="22" t="s">
        <v>92</v>
      </c>
      <c r="AQ114" s="22" t="s">
        <v>92</v>
      </c>
      <c r="AR114" s="22" t="s">
        <v>92</v>
      </c>
    </row>
    <row r="115" spans="1:44" hidden="1">
      <c r="A115" s="22" t="s">
        <v>1276</v>
      </c>
      <c r="B115" s="22" t="s">
        <v>949</v>
      </c>
      <c r="C115" s="22" t="s">
        <v>95</v>
      </c>
      <c r="D115" s="22" t="s">
        <v>64</v>
      </c>
      <c r="E115" s="22" t="s">
        <v>72</v>
      </c>
      <c r="F115" s="22" t="s">
        <v>65</v>
      </c>
      <c r="G115" s="22" t="s">
        <v>96</v>
      </c>
      <c r="H115" s="23"/>
      <c r="I115" s="23"/>
      <c r="J115" s="22">
        <v>2</v>
      </c>
      <c r="K115" s="22">
        <v>2</v>
      </c>
      <c r="L115" s="22">
        <v>2</v>
      </c>
      <c r="M115" s="23"/>
      <c r="N115" s="22" t="s">
        <v>85</v>
      </c>
      <c r="O115" s="23"/>
      <c r="P115" s="23"/>
      <c r="Q115" s="24">
        <v>2</v>
      </c>
      <c r="R115" s="24">
        <v>2</v>
      </c>
      <c r="S115" s="24">
        <v>2</v>
      </c>
      <c r="T115" s="24">
        <v>2</v>
      </c>
      <c r="U115" s="24">
        <v>2</v>
      </c>
      <c r="V115" s="24">
        <v>2</v>
      </c>
      <c r="W115" s="24">
        <v>2</v>
      </c>
      <c r="X115" s="24">
        <v>2</v>
      </c>
      <c r="Y115" s="24">
        <v>2</v>
      </c>
      <c r="Z115" s="24">
        <v>2</v>
      </c>
      <c r="AA115" s="24">
        <v>2</v>
      </c>
      <c r="AB115" s="24">
        <v>4</v>
      </c>
      <c r="AC115" s="24">
        <v>3</v>
      </c>
      <c r="AD115" s="24">
        <v>4</v>
      </c>
      <c r="AE115" s="24">
        <v>3</v>
      </c>
      <c r="AF115" s="24">
        <v>3</v>
      </c>
      <c r="AG115" s="24">
        <v>3</v>
      </c>
      <c r="AH115" s="24">
        <v>3</v>
      </c>
      <c r="AI115" s="24">
        <v>3</v>
      </c>
      <c r="AJ115" s="24">
        <v>3</v>
      </c>
      <c r="AK115" s="24">
        <v>3</v>
      </c>
      <c r="AL115" s="24">
        <v>3</v>
      </c>
      <c r="AM115" s="23"/>
      <c r="AN115" s="23"/>
      <c r="AO115" s="22" t="s">
        <v>59</v>
      </c>
      <c r="AP115" s="22" t="s">
        <v>59</v>
      </c>
      <c r="AQ115" s="22" t="s">
        <v>1277</v>
      </c>
      <c r="AR115" s="22" t="s">
        <v>146</v>
      </c>
    </row>
    <row r="116" spans="1:44" hidden="1">
      <c r="A116" s="22" t="s">
        <v>1278</v>
      </c>
      <c r="B116" s="22" t="s">
        <v>949</v>
      </c>
      <c r="C116" s="22" t="s">
        <v>53</v>
      </c>
      <c r="D116" s="22" t="s">
        <v>54</v>
      </c>
      <c r="E116" s="22" t="s">
        <v>55</v>
      </c>
      <c r="F116" s="22" t="s">
        <v>56</v>
      </c>
      <c r="G116" s="22" t="s">
        <v>57</v>
      </c>
      <c r="H116" s="23"/>
      <c r="I116" s="23"/>
      <c r="J116" s="22">
        <v>2</v>
      </c>
      <c r="K116" s="22">
        <v>2</v>
      </c>
      <c r="L116" s="22">
        <v>2</v>
      </c>
      <c r="M116" s="23"/>
      <c r="N116" s="22" t="s">
        <v>66</v>
      </c>
      <c r="O116" s="23"/>
      <c r="P116" s="23"/>
      <c r="Q116" s="24">
        <v>5</v>
      </c>
      <c r="R116" s="24">
        <v>5</v>
      </c>
      <c r="S116" s="24">
        <v>5</v>
      </c>
      <c r="T116" s="24">
        <v>4</v>
      </c>
      <c r="U116" s="24">
        <v>4</v>
      </c>
      <c r="V116" s="24">
        <v>1</v>
      </c>
      <c r="W116" s="24">
        <v>5</v>
      </c>
      <c r="X116" s="24">
        <v>5</v>
      </c>
      <c r="Y116" s="24">
        <v>4</v>
      </c>
      <c r="Z116" s="24">
        <v>4</v>
      </c>
      <c r="AA116" s="24">
        <v>4</v>
      </c>
      <c r="AB116" s="24">
        <v>4</v>
      </c>
      <c r="AC116" s="24">
        <v>4</v>
      </c>
      <c r="AD116" s="24">
        <v>5</v>
      </c>
      <c r="AE116" s="24">
        <v>4</v>
      </c>
      <c r="AF116" s="24">
        <v>4</v>
      </c>
      <c r="AG116" s="24">
        <v>4</v>
      </c>
      <c r="AH116" s="24">
        <v>4</v>
      </c>
      <c r="AI116" s="24">
        <v>1</v>
      </c>
      <c r="AJ116" s="24">
        <v>2</v>
      </c>
      <c r="AK116" s="24">
        <v>1</v>
      </c>
      <c r="AL116" s="24">
        <v>1</v>
      </c>
      <c r="AM116" s="23"/>
      <c r="AN116" s="23"/>
      <c r="AO116" s="22" t="s">
        <v>74</v>
      </c>
      <c r="AP116" s="22" t="s">
        <v>1279</v>
      </c>
      <c r="AQ116" s="22" t="s">
        <v>1280</v>
      </c>
      <c r="AR116" s="22" t="s">
        <v>1281</v>
      </c>
    </row>
    <row r="117" spans="1:44" hidden="1">
      <c r="A117" s="22" t="s">
        <v>1282</v>
      </c>
      <c r="B117" s="22" t="s">
        <v>949</v>
      </c>
      <c r="C117" s="22" t="s">
        <v>95</v>
      </c>
      <c r="D117" s="22" t="s">
        <v>64</v>
      </c>
      <c r="E117" s="22" t="s">
        <v>55</v>
      </c>
      <c r="F117" s="22" t="s">
        <v>65</v>
      </c>
      <c r="G117" s="22" t="s">
        <v>96</v>
      </c>
      <c r="H117" s="23"/>
      <c r="I117" s="23"/>
      <c r="J117" s="22">
        <v>1</v>
      </c>
      <c r="K117" s="22">
        <v>1</v>
      </c>
      <c r="L117" s="22">
        <v>1</v>
      </c>
      <c r="M117" s="23"/>
      <c r="N117" s="22" t="s">
        <v>58</v>
      </c>
      <c r="O117" s="23"/>
      <c r="P117" s="23"/>
      <c r="Q117" s="24">
        <v>3</v>
      </c>
      <c r="R117" s="24">
        <v>2</v>
      </c>
      <c r="S117" s="24">
        <v>2</v>
      </c>
      <c r="T117" s="24">
        <v>1</v>
      </c>
      <c r="U117" s="24">
        <v>2</v>
      </c>
      <c r="V117" s="24">
        <v>2</v>
      </c>
      <c r="W117" s="24">
        <v>4</v>
      </c>
      <c r="X117" s="24">
        <v>4</v>
      </c>
      <c r="Y117" s="24">
        <v>3</v>
      </c>
      <c r="Z117" s="24">
        <v>3</v>
      </c>
      <c r="AA117" s="24">
        <v>2</v>
      </c>
      <c r="AB117" s="24">
        <v>3</v>
      </c>
      <c r="AC117" s="24">
        <v>2</v>
      </c>
      <c r="AD117" s="24">
        <v>3</v>
      </c>
      <c r="AE117" s="24">
        <v>3</v>
      </c>
      <c r="AF117" s="24">
        <v>4</v>
      </c>
      <c r="AG117" s="24">
        <v>4</v>
      </c>
      <c r="AH117" s="24">
        <v>3</v>
      </c>
      <c r="AI117" s="24">
        <v>2</v>
      </c>
      <c r="AJ117" s="24">
        <v>2</v>
      </c>
      <c r="AK117" s="24">
        <v>2</v>
      </c>
      <c r="AL117" s="24">
        <v>2</v>
      </c>
      <c r="AM117" s="23"/>
      <c r="AN117" s="23"/>
      <c r="AO117" s="22" t="s">
        <v>59</v>
      </c>
      <c r="AP117" s="22" t="s">
        <v>1283</v>
      </c>
      <c r="AQ117" s="22" t="s">
        <v>1284</v>
      </c>
      <c r="AR117" s="22" t="s">
        <v>1285</v>
      </c>
    </row>
    <row r="118" spans="1:44" hidden="1">
      <c r="A118" s="22" t="s">
        <v>1286</v>
      </c>
      <c r="B118" s="22" t="s">
        <v>949</v>
      </c>
      <c r="C118" s="22" t="s">
        <v>79</v>
      </c>
      <c r="D118" s="22" t="s">
        <v>64</v>
      </c>
      <c r="E118" s="22" t="s">
        <v>55</v>
      </c>
      <c r="F118" s="22" t="s">
        <v>65</v>
      </c>
      <c r="G118" s="22" t="s">
        <v>129</v>
      </c>
      <c r="H118" s="23"/>
      <c r="I118" s="23"/>
      <c r="J118" s="22">
        <v>3</v>
      </c>
      <c r="K118" s="22">
        <v>2</v>
      </c>
      <c r="L118" s="22">
        <v>2</v>
      </c>
      <c r="M118" s="23"/>
      <c r="N118" s="22" t="s">
        <v>58</v>
      </c>
      <c r="O118" s="23"/>
      <c r="P118" s="23"/>
      <c r="Q118" s="24">
        <v>3</v>
      </c>
      <c r="R118" s="24">
        <v>3</v>
      </c>
      <c r="S118" s="24">
        <v>3</v>
      </c>
      <c r="T118" s="24">
        <v>2</v>
      </c>
      <c r="U118" s="24">
        <v>3</v>
      </c>
      <c r="V118" s="24">
        <v>3</v>
      </c>
      <c r="W118" s="24">
        <v>3</v>
      </c>
      <c r="X118" s="24">
        <v>3</v>
      </c>
      <c r="Y118" s="24">
        <v>3</v>
      </c>
      <c r="Z118" s="24">
        <v>3</v>
      </c>
      <c r="AA118" s="24">
        <v>3</v>
      </c>
      <c r="AB118" s="24">
        <v>3</v>
      </c>
      <c r="AC118" s="24">
        <v>3</v>
      </c>
      <c r="AD118" s="24">
        <v>3</v>
      </c>
      <c r="AE118" s="24">
        <v>2</v>
      </c>
      <c r="AF118" s="24">
        <v>3</v>
      </c>
      <c r="AG118" s="24">
        <v>3</v>
      </c>
      <c r="AH118" s="24">
        <v>3</v>
      </c>
      <c r="AI118" s="24">
        <v>2</v>
      </c>
      <c r="AJ118" s="24">
        <v>3</v>
      </c>
      <c r="AK118" s="24">
        <v>3</v>
      </c>
      <c r="AL118" s="24">
        <v>3</v>
      </c>
      <c r="AM118" s="23"/>
      <c r="AN118" s="23"/>
      <c r="AO118" s="22" t="s">
        <v>59</v>
      </c>
      <c r="AP118" s="22" t="s">
        <v>147</v>
      </c>
      <c r="AQ118" s="22" t="s">
        <v>1287</v>
      </c>
      <c r="AR118" s="22" t="s">
        <v>147</v>
      </c>
    </row>
    <row r="119" spans="1:44" hidden="1">
      <c r="A119" s="22" t="s">
        <v>1288</v>
      </c>
      <c r="B119" s="22" t="s">
        <v>949</v>
      </c>
      <c r="C119" s="22" t="s">
        <v>95</v>
      </c>
      <c r="D119" s="22" t="s">
        <v>98</v>
      </c>
      <c r="E119" s="22" t="s">
        <v>55</v>
      </c>
      <c r="F119" s="22" t="s">
        <v>56</v>
      </c>
      <c r="G119" s="22" t="s">
        <v>129</v>
      </c>
      <c r="H119" s="23"/>
      <c r="I119" s="23"/>
      <c r="J119" s="22">
        <v>2</v>
      </c>
      <c r="K119" s="22">
        <v>2</v>
      </c>
      <c r="L119" s="22">
        <v>2</v>
      </c>
      <c r="M119" s="23"/>
      <c r="N119" s="22" t="s">
        <v>58</v>
      </c>
      <c r="O119" s="23"/>
      <c r="P119" s="23"/>
      <c r="Q119" s="24">
        <v>2</v>
      </c>
      <c r="R119" s="24">
        <v>2</v>
      </c>
      <c r="S119" s="24">
        <v>2</v>
      </c>
      <c r="T119" s="24">
        <v>2</v>
      </c>
      <c r="U119" s="24">
        <v>2</v>
      </c>
      <c r="V119" s="24">
        <v>2</v>
      </c>
      <c r="W119" s="24">
        <v>2</v>
      </c>
      <c r="X119" s="24">
        <v>2</v>
      </c>
      <c r="Y119" s="24">
        <v>2</v>
      </c>
      <c r="Z119" s="24">
        <v>2</v>
      </c>
      <c r="AA119" s="24">
        <v>4</v>
      </c>
      <c r="AB119" s="24">
        <v>4</v>
      </c>
      <c r="AC119" s="24">
        <v>4</v>
      </c>
      <c r="AD119" s="24">
        <v>4</v>
      </c>
      <c r="AE119" s="24">
        <v>4</v>
      </c>
      <c r="AF119" s="24">
        <v>5</v>
      </c>
      <c r="AG119" s="24">
        <v>4</v>
      </c>
      <c r="AH119" s="24">
        <v>4</v>
      </c>
      <c r="AI119" s="24">
        <v>4</v>
      </c>
      <c r="AJ119" s="24">
        <v>3</v>
      </c>
      <c r="AK119" s="24">
        <v>4</v>
      </c>
      <c r="AL119" s="24">
        <v>3</v>
      </c>
      <c r="AM119" s="23"/>
      <c r="AN119" s="23"/>
      <c r="AO119" s="22" t="s">
        <v>59</v>
      </c>
      <c r="AP119" s="22" t="s">
        <v>1289</v>
      </c>
      <c r="AQ119" s="22" t="s">
        <v>1290</v>
      </c>
      <c r="AR119" s="22" t="s">
        <v>1291</v>
      </c>
    </row>
    <row r="120" spans="1:44" hidden="1">
      <c r="A120" s="22" t="s">
        <v>1292</v>
      </c>
      <c r="B120" s="22" t="s">
        <v>949</v>
      </c>
      <c r="C120" s="22" t="s">
        <v>95</v>
      </c>
      <c r="D120" s="22" t="s">
        <v>54</v>
      </c>
      <c r="E120" s="22" t="s">
        <v>72</v>
      </c>
      <c r="F120" s="22" t="s">
        <v>73</v>
      </c>
      <c r="G120" s="22" t="s">
        <v>129</v>
      </c>
      <c r="H120" s="23"/>
      <c r="I120" s="23"/>
      <c r="J120" s="22">
        <v>2</v>
      </c>
      <c r="K120" s="22">
        <v>2</v>
      </c>
      <c r="L120" s="22">
        <v>2</v>
      </c>
      <c r="M120" s="23"/>
      <c r="N120" s="22" t="s">
        <v>85</v>
      </c>
      <c r="O120" s="23"/>
      <c r="P120" s="23"/>
      <c r="Q120" s="24">
        <v>3</v>
      </c>
      <c r="R120" s="24">
        <v>2</v>
      </c>
      <c r="S120" s="24">
        <v>3</v>
      </c>
      <c r="T120" s="24">
        <v>2</v>
      </c>
      <c r="U120" s="24">
        <v>2</v>
      </c>
      <c r="V120" s="24">
        <v>2</v>
      </c>
      <c r="W120" s="24">
        <v>4</v>
      </c>
      <c r="X120" s="24">
        <v>2</v>
      </c>
      <c r="Y120" s="24">
        <v>2</v>
      </c>
      <c r="Z120" s="24">
        <v>3</v>
      </c>
      <c r="AA120" s="24">
        <v>3</v>
      </c>
      <c r="AB120" s="24">
        <v>4</v>
      </c>
      <c r="AC120" s="24">
        <v>4</v>
      </c>
      <c r="AD120" s="24">
        <v>4</v>
      </c>
      <c r="AE120" s="24">
        <v>3</v>
      </c>
      <c r="AF120" s="24">
        <v>4</v>
      </c>
      <c r="AG120" s="24">
        <v>3</v>
      </c>
      <c r="AH120" s="24">
        <v>4</v>
      </c>
      <c r="AI120" s="24">
        <v>3</v>
      </c>
      <c r="AJ120" s="24">
        <v>3</v>
      </c>
      <c r="AK120" s="24">
        <v>3</v>
      </c>
      <c r="AL120" s="24">
        <v>3</v>
      </c>
      <c r="AM120" s="23"/>
      <c r="AN120" s="23"/>
      <c r="AO120" s="22" t="s">
        <v>74</v>
      </c>
      <c r="AP120" s="22" t="s">
        <v>1293</v>
      </c>
      <c r="AQ120" s="22" t="s">
        <v>1294</v>
      </c>
      <c r="AR120" s="22" t="s">
        <v>59</v>
      </c>
    </row>
    <row r="121" spans="1:44" hidden="1">
      <c r="A121" s="22" t="s">
        <v>1295</v>
      </c>
      <c r="B121" s="22" t="s">
        <v>949</v>
      </c>
      <c r="C121" s="22" t="s">
        <v>95</v>
      </c>
      <c r="D121" s="22" t="s">
        <v>64</v>
      </c>
      <c r="E121" s="22" t="s">
        <v>55</v>
      </c>
      <c r="F121" s="22" t="s">
        <v>65</v>
      </c>
      <c r="G121" s="22" t="s">
        <v>96</v>
      </c>
      <c r="H121" s="23"/>
      <c r="I121" s="23"/>
      <c r="J121" s="22">
        <v>1</v>
      </c>
      <c r="K121" s="22">
        <v>1</v>
      </c>
      <c r="L121" s="22">
        <v>1</v>
      </c>
      <c r="M121" s="23"/>
      <c r="N121" s="22" t="s">
        <v>58</v>
      </c>
      <c r="O121" s="23"/>
      <c r="P121" s="23"/>
      <c r="Q121" s="24">
        <v>1</v>
      </c>
      <c r="R121" s="24">
        <v>1</v>
      </c>
      <c r="S121" s="24">
        <v>1</v>
      </c>
      <c r="T121" s="24">
        <v>1</v>
      </c>
      <c r="U121" s="24">
        <v>1</v>
      </c>
      <c r="V121" s="24">
        <v>1</v>
      </c>
      <c r="W121" s="24">
        <v>5</v>
      </c>
      <c r="X121" s="24">
        <v>3</v>
      </c>
      <c r="Y121" s="24">
        <v>3</v>
      </c>
      <c r="Z121" s="24">
        <v>3</v>
      </c>
      <c r="AA121" s="24">
        <v>3</v>
      </c>
      <c r="AB121" s="24">
        <v>3</v>
      </c>
      <c r="AC121" s="24">
        <v>3</v>
      </c>
      <c r="AD121" s="24">
        <v>3</v>
      </c>
      <c r="AE121" s="24">
        <v>3</v>
      </c>
      <c r="AF121" s="24">
        <v>3</v>
      </c>
      <c r="AG121" s="24">
        <v>3</v>
      </c>
      <c r="AH121" s="24">
        <v>3</v>
      </c>
      <c r="AI121" s="24">
        <v>3</v>
      </c>
      <c r="AJ121" s="24">
        <v>3</v>
      </c>
      <c r="AK121" s="24">
        <v>3</v>
      </c>
      <c r="AL121" s="24">
        <v>3</v>
      </c>
      <c r="AM121" s="23"/>
      <c r="AN121" s="23"/>
      <c r="AO121" s="22" t="s">
        <v>59</v>
      </c>
      <c r="AP121" s="22" t="s">
        <v>137</v>
      </c>
      <c r="AQ121" s="22" t="s">
        <v>1060</v>
      </c>
      <c r="AR121" s="22" t="s">
        <v>137</v>
      </c>
    </row>
    <row r="122" spans="1:44" hidden="1">
      <c r="A122" s="22" t="s">
        <v>1296</v>
      </c>
      <c r="B122" s="22" t="s">
        <v>949</v>
      </c>
      <c r="C122" s="22" t="s">
        <v>95</v>
      </c>
      <c r="D122" s="22" t="s">
        <v>64</v>
      </c>
      <c r="E122" s="22" t="s">
        <v>55</v>
      </c>
      <c r="F122" s="22" t="s">
        <v>56</v>
      </c>
      <c r="G122" s="22" t="s">
        <v>57</v>
      </c>
      <c r="H122" s="23"/>
      <c r="I122" s="23"/>
      <c r="J122" s="22">
        <v>4</v>
      </c>
      <c r="K122" s="22">
        <v>1</v>
      </c>
      <c r="L122" s="22">
        <v>1</v>
      </c>
      <c r="M122" s="23"/>
      <c r="N122" s="22" t="s">
        <v>85</v>
      </c>
      <c r="O122" s="23"/>
      <c r="P122" s="23"/>
      <c r="Q122" s="24">
        <v>1</v>
      </c>
      <c r="R122" s="24">
        <v>1</v>
      </c>
      <c r="S122" s="24">
        <v>1</v>
      </c>
      <c r="T122" s="24">
        <v>1</v>
      </c>
      <c r="U122" s="24">
        <v>1</v>
      </c>
      <c r="V122" s="24">
        <v>3</v>
      </c>
      <c r="W122" s="24">
        <v>1</v>
      </c>
      <c r="X122" s="24">
        <v>1</v>
      </c>
      <c r="Y122" s="24">
        <v>1</v>
      </c>
      <c r="Z122" s="24">
        <v>1</v>
      </c>
      <c r="AA122" s="24">
        <v>1</v>
      </c>
      <c r="AB122" s="24">
        <v>3</v>
      </c>
      <c r="AC122" s="24">
        <v>1</v>
      </c>
      <c r="AD122" s="24">
        <v>1</v>
      </c>
      <c r="AE122" s="24">
        <v>1</v>
      </c>
      <c r="AF122" s="24">
        <v>1</v>
      </c>
      <c r="AG122" s="24">
        <v>1</v>
      </c>
      <c r="AH122" s="24">
        <v>3</v>
      </c>
      <c r="AI122" s="24">
        <v>1</v>
      </c>
      <c r="AJ122" s="24">
        <v>1</v>
      </c>
      <c r="AK122" s="24">
        <v>3</v>
      </c>
      <c r="AL122" s="24">
        <v>1</v>
      </c>
      <c r="AM122" s="23"/>
      <c r="AN122" s="23"/>
      <c r="AO122" s="22" t="s">
        <v>59</v>
      </c>
      <c r="AP122" s="22" t="s">
        <v>1297</v>
      </c>
      <c r="AQ122" s="22" t="s">
        <v>1298</v>
      </c>
      <c r="AR122" s="22" t="s">
        <v>1299</v>
      </c>
    </row>
    <row r="123" spans="1:44" hidden="1">
      <c r="A123" s="22" t="s">
        <v>1300</v>
      </c>
      <c r="B123" s="22" t="s">
        <v>949</v>
      </c>
      <c r="C123" s="22" t="s">
        <v>95</v>
      </c>
      <c r="D123" s="22" t="s">
        <v>64</v>
      </c>
      <c r="E123" s="22" t="s">
        <v>55</v>
      </c>
      <c r="F123" s="22" t="s">
        <v>56</v>
      </c>
      <c r="G123" s="22" t="s">
        <v>129</v>
      </c>
      <c r="H123" s="23"/>
      <c r="I123" s="23"/>
      <c r="J123" s="22">
        <v>1</v>
      </c>
      <c r="K123" s="22">
        <v>1</v>
      </c>
      <c r="L123" s="22">
        <v>1</v>
      </c>
      <c r="M123" s="23"/>
      <c r="N123" s="22" t="s">
        <v>85</v>
      </c>
      <c r="O123" s="23"/>
      <c r="P123" s="23"/>
      <c r="Q123" s="24">
        <v>1</v>
      </c>
      <c r="R123" s="24">
        <v>1</v>
      </c>
      <c r="S123" s="24">
        <v>1</v>
      </c>
      <c r="T123" s="24">
        <v>1</v>
      </c>
      <c r="U123" s="24">
        <v>1</v>
      </c>
      <c r="V123" s="24">
        <v>1</v>
      </c>
      <c r="W123" s="24">
        <v>3</v>
      </c>
      <c r="X123" s="24">
        <v>1</v>
      </c>
      <c r="Y123" s="24">
        <v>1</v>
      </c>
      <c r="Z123" s="24">
        <v>1</v>
      </c>
      <c r="AA123" s="24">
        <v>1</v>
      </c>
      <c r="AB123" s="24">
        <v>1</v>
      </c>
      <c r="AC123" s="24">
        <v>1</v>
      </c>
      <c r="AD123" s="24">
        <v>1</v>
      </c>
      <c r="AE123" s="24">
        <v>1</v>
      </c>
      <c r="AF123" s="24">
        <v>1</v>
      </c>
      <c r="AG123" s="24">
        <v>1</v>
      </c>
      <c r="AH123" s="24">
        <v>1</v>
      </c>
      <c r="AI123" s="24">
        <v>1</v>
      </c>
      <c r="AJ123" s="24">
        <v>1</v>
      </c>
      <c r="AK123" s="24">
        <v>1</v>
      </c>
      <c r="AL123" s="24">
        <v>1</v>
      </c>
      <c r="AM123" s="23"/>
      <c r="AN123" s="23"/>
      <c r="AO123" s="22" t="s">
        <v>59</v>
      </c>
      <c r="AP123" s="22" t="s">
        <v>1301</v>
      </c>
      <c r="AQ123" s="22" t="s">
        <v>1301</v>
      </c>
      <c r="AR123" s="22" t="s">
        <v>1302</v>
      </c>
    </row>
    <row r="124" spans="1:44" hidden="1">
      <c r="A124" s="22" t="s">
        <v>1303</v>
      </c>
      <c r="B124" s="22" t="s">
        <v>949</v>
      </c>
      <c r="C124" s="22" t="s">
        <v>95</v>
      </c>
      <c r="D124" s="22" t="s">
        <v>64</v>
      </c>
      <c r="E124" s="22" t="s">
        <v>55</v>
      </c>
      <c r="F124" s="22" t="s">
        <v>65</v>
      </c>
      <c r="G124" s="22" t="s">
        <v>80</v>
      </c>
      <c r="H124" s="23"/>
      <c r="I124" s="23"/>
      <c r="J124" s="22">
        <v>3</v>
      </c>
      <c r="K124" s="22">
        <v>2</v>
      </c>
      <c r="L124" s="22">
        <v>2</v>
      </c>
      <c r="M124" s="23"/>
      <c r="N124" s="22" t="s">
        <v>58</v>
      </c>
      <c r="O124" s="23"/>
      <c r="P124" s="23"/>
      <c r="Q124" s="24">
        <v>2</v>
      </c>
      <c r="R124" s="24">
        <v>2</v>
      </c>
      <c r="S124" s="24">
        <v>3</v>
      </c>
      <c r="T124" s="24">
        <v>3</v>
      </c>
      <c r="U124" s="24">
        <v>3</v>
      </c>
      <c r="V124" s="24">
        <v>3</v>
      </c>
      <c r="W124" s="24">
        <v>4</v>
      </c>
      <c r="X124" s="24">
        <v>3</v>
      </c>
      <c r="Y124" s="24">
        <v>3</v>
      </c>
      <c r="Z124" s="24">
        <v>3</v>
      </c>
      <c r="AA124" s="24">
        <v>3</v>
      </c>
      <c r="AB124" s="24">
        <v>3</v>
      </c>
      <c r="AC124" s="24">
        <v>3</v>
      </c>
      <c r="AD124" s="24">
        <v>3</v>
      </c>
      <c r="AE124" s="24">
        <v>3</v>
      </c>
      <c r="AF124" s="24">
        <v>3</v>
      </c>
      <c r="AG124" s="24">
        <v>3</v>
      </c>
      <c r="AH124" s="24">
        <v>3</v>
      </c>
      <c r="AI124" s="24">
        <v>3</v>
      </c>
      <c r="AJ124" s="24">
        <v>3</v>
      </c>
      <c r="AK124" s="24">
        <v>3</v>
      </c>
      <c r="AL124" s="24">
        <v>3</v>
      </c>
      <c r="AM124" s="23"/>
      <c r="AN124" s="23"/>
      <c r="AO124" s="22" t="s">
        <v>59</v>
      </c>
      <c r="AP124" s="22" t="s">
        <v>1304</v>
      </c>
      <c r="AQ124" s="22" t="s">
        <v>1305</v>
      </c>
      <c r="AR124" s="22" t="s">
        <v>59</v>
      </c>
    </row>
    <row r="125" spans="1:44" hidden="1">
      <c r="A125" s="22" t="s">
        <v>1306</v>
      </c>
      <c r="B125" s="22" t="s">
        <v>949</v>
      </c>
      <c r="C125" s="22" t="s">
        <v>95</v>
      </c>
      <c r="D125" s="22" t="s">
        <v>64</v>
      </c>
      <c r="E125" s="22" t="s">
        <v>55</v>
      </c>
      <c r="F125" s="22" t="s">
        <v>65</v>
      </c>
      <c r="G125" s="22" t="s">
        <v>129</v>
      </c>
      <c r="H125" s="23"/>
      <c r="I125" s="23"/>
      <c r="J125" s="22">
        <v>4</v>
      </c>
      <c r="K125" s="22">
        <v>3</v>
      </c>
      <c r="L125" s="22">
        <v>2</v>
      </c>
      <c r="M125" s="23"/>
      <c r="N125" s="22" t="s">
        <v>115</v>
      </c>
      <c r="O125" s="23"/>
      <c r="P125" s="23"/>
      <c r="Q125" s="24">
        <v>4</v>
      </c>
      <c r="R125" s="24">
        <v>3</v>
      </c>
      <c r="S125" s="24">
        <v>4</v>
      </c>
      <c r="T125" s="24">
        <v>3</v>
      </c>
      <c r="U125" s="24">
        <v>3</v>
      </c>
      <c r="V125" s="24">
        <v>4</v>
      </c>
      <c r="W125" s="24">
        <v>4</v>
      </c>
      <c r="X125" s="24">
        <v>2</v>
      </c>
      <c r="Y125" s="24">
        <v>3</v>
      </c>
      <c r="Z125" s="24">
        <v>4</v>
      </c>
      <c r="AA125" s="24">
        <v>4</v>
      </c>
      <c r="AB125" s="24">
        <v>3</v>
      </c>
      <c r="AC125" s="24">
        <v>4</v>
      </c>
      <c r="AD125" s="24">
        <v>4</v>
      </c>
      <c r="AE125" s="24">
        <v>4</v>
      </c>
      <c r="AF125" s="24">
        <v>4</v>
      </c>
      <c r="AG125" s="24">
        <v>4</v>
      </c>
      <c r="AH125" s="24">
        <v>4</v>
      </c>
      <c r="AI125" s="24">
        <v>4</v>
      </c>
      <c r="AJ125" s="24">
        <v>3</v>
      </c>
      <c r="AK125" s="24">
        <v>4</v>
      </c>
      <c r="AL125" s="24">
        <v>3</v>
      </c>
      <c r="AM125" s="23"/>
      <c r="AN125" s="23"/>
      <c r="AO125" s="22" t="s">
        <v>59</v>
      </c>
      <c r="AP125" s="22" t="s">
        <v>92</v>
      </c>
      <c r="AQ125" s="22" t="s">
        <v>92</v>
      </c>
      <c r="AR125" s="22" t="s">
        <v>1307</v>
      </c>
    </row>
    <row r="126" spans="1:44" hidden="1">
      <c r="A126" s="22" t="s">
        <v>1308</v>
      </c>
      <c r="B126" s="22" t="s">
        <v>949</v>
      </c>
      <c r="C126" s="22" t="s">
        <v>95</v>
      </c>
      <c r="D126" s="22" t="s">
        <v>64</v>
      </c>
      <c r="E126" s="22" t="s">
        <v>55</v>
      </c>
      <c r="F126" s="22" t="s">
        <v>65</v>
      </c>
      <c r="G126" s="22" t="s">
        <v>96</v>
      </c>
      <c r="H126" s="23"/>
      <c r="I126" s="23"/>
      <c r="J126" s="22">
        <v>3</v>
      </c>
      <c r="K126" s="22">
        <v>3</v>
      </c>
      <c r="L126" s="22">
        <v>3</v>
      </c>
      <c r="M126" s="23"/>
      <c r="N126" s="22" t="s">
        <v>58</v>
      </c>
      <c r="O126" s="23"/>
      <c r="P126" s="23"/>
      <c r="Q126" s="24">
        <v>4</v>
      </c>
      <c r="R126" s="24">
        <v>2</v>
      </c>
      <c r="S126" s="24">
        <v>3</v>
      </c>
      <c r="T126" s="24">
        <v>3</v>
      </c>
      <c r="U126" s="24">
        <v>3</v>
      </c>
      <c r="V126" s="24">
        <v>3</v>
      </c>
      <c r="W126" s="24">
        <v>3</v>
      </c>
      <c r="X126" s="24">
        <v>3</v>
      </c>
      <c r="Y126" s="24">
        <v>3</v>
      </c>
      <c r="Z126" s="24">
        <v>3</v>
      </c>
      <c r="AA126" s="24">
        <v>3</v>
      </c>
      <c r="AB126" s="24">
        <v>3</v>
      </c>
      <c r="AC126" s="24">
        <v>3</v>
      </c>
      <c r="AD126" s="24">
        <v>3</v>
      </c>
      <c r="AE126" s="24">
        <v>3</v>
      </c>
      <c r="AF126" s="24">
        <v>3</v>
      </c>
      <c r="AG126" s="24">
        <v>3</v>
      </c>
      <c r="AH126" s="24">
        <v>3</v>
      </c>
      <c r="AI126" s="24">
        <v>3</v>
      </c>
      <c r="AJ126" s="24">
        <v>3</v>
      </c>
      <c r="AK126" s="24">
        <v>3</v>
      </c>
      <c r="AL126" s="24">
        <v>3</v>
      </c>
      <c r="AM126" s="23"/>
      <c r="AN126" s="23"/>
      <c r="AO126" s="22" t="s">
        <v>59</v>
      </c>
      <c r="AP126" s="22" t="s">
        <v>1309</v>
      </c>
      <c r="AQ126" s="22" t="s">
        <v>1310</v>
      </c>
      <c r="AR126" s="22" t="s">
        <v>1311</v>
      </c>
    </row>
    <row r="127" spans="1:44">
      <c r="A127" s="22" t="s">
        <v>1312</v>
      </c>
      <c r="B127" s="22" t="s">
        <v>949</v>
      </c>
      <c r="C127" s="22" t="s">
        <v>95</v>
      </c>
      <c r="D127" s="22" t="s">
        <v>98</v>
      </c>
      <c r="E127" s="22" t="s">
        <v>55</v>
      </c>
      <c r="F127" s="22" t="s">
        <v>136</v>
      </c>
      <c r="G127" s="22" t="s">
        <v>80</v>
      </c>
      <c r="H127" s="23"/>
      <c r="I127" s="23"/>
      <c r="J127" s="22">
        <v>3</v>
      </c>
      <c r="K127" s="22">
        <v>2</v>
      </c>
      <c r="L127" s="22">
        <v>2</v>
      </c>
      <c r="M127" s="23"/>
      <c r="N127" s="22" t="s">
        <v>58</v>
      </c>
      <c r="O127" s="23"/>
      <c r="P127" s="23"/>
      <c r="Q127" s="24">
        <v>2</v>
      </c>
      <c r="R127" s="24">
        <v>2</v>
      </c>
      <c r="S127" s="24">
        <v>2</v>
      </c>
      <c r="T127" s="24">
        <v>2</v>
      </c>
      <c r="U127" s="24">
        <v>2</v>
      </c>
      <c r="V127" s="24">
        <v>2</v>
      </c>
      <c r="W127" s="24">
        <v>3</v>
      </c>
      <c r="X127" s="24">
        <v>3</v>
      </c>
      <c r="Y127" s="24">
        <v>3</v>
      </c>
      <c r="Z127" s="24">
        <v>3</v>
      </c>
      <c r="AA127" s="24">
        <v>2</v>
      </c>
      <c r="AB127" s="24">
        <v>2</v>
      </c>
      <c r="AC127" s="24">
        <v>3</v>
      </c>
      <c r="AD127" s="24">
        <v>3</v>
      </c>
      <c r="AE127" s="24">
        <v>3</v>
      </c>
      <c r="AF127" s="24">
        <v>3</v>
      </c>
      <c r="AG127" s="24">
        <v>3</v>
      </c>
      <c r="AH127" s="24">
        <v>3</v>
      </c>
      <c r="AI127" s="24">
        <v>3</v>
      </c>
      <c r="AJ127" s="24">
        <v>3</v>
      </c>
      <c r="AK127" s="24">
        <v>3</v>
      </c>
      <c r="AL127" s="24">
        <v>3</v>
      </c>
      <c r="AM127" s="23"/>
      <c r="AN127" s="23"/>
      <c r="AO127" s="22" t="s">
        <v>59</v>
      </c>
      <c r="AP127" s="22" t="s">
        <v>1313</v>
      </c>
      <c r="AQ127" s="22" t="s">
        <v>1313</v>
      </c>
      <c r="AR127" s="22" t="s">
        <v>1313</v>
      </c>
    </row>
    <row r="128" spans="1:44">
      <c r="A128" s="22" t="s">
        <v>1314</v>
      </c>
      <c r="B128" s="22" t="s">
        <v>949</v>
      </c>
      <c r="C128" s="22" t="s">
        <v>95</v>
      </c>
      <c r="D128" s="22" t="s">
        <v>64</v>
      </c>
      <c r="E128" s="22" t="s">
        <v>55</v>
      </c>
      <c r="F128" s="22" t="s">
        <v>65</v>
      </c>
      <c r="G128" s="22" t="s">
        <v>80</v>
      </c>
      <c r="H128" s="23"/>
      <c r="I128" s="23"/>
      <c r="J128" s="22">
        <v>3</v>
      </c>
      <c r="K128" s="22">
        <v>2</v>
      </c>
      <c r="L128" s="22">
        <v>1</v>
      </c>
      <c r="M128" s="23"/>
      <c r="N128" s="22" t="s">
        <v>66</v>
      </c>
      <c r="O128" s="23"/>
      <c r="P128" s="23"/>
      <c r="Q128" s="24">
        <v>4</v>
      </c>
      <c r="R128" s="24">
        <v>3</v>
      </c>
      <c r="S128" s="24">
        <v>4</v>
      </c>
      <c r="T128" s="24">
        <v>2</v>
      </c>
      <c r="U128" s="24">
        <v>3</v>
      </c>
      <c r="V128" s="24">
        <v>3</v>
      </c>
      <c r="W128" s="24">
        <v>4</v>
      </c>
      <c r="X128" s="24">
        <v>4</v>
      </c>
      <c r="Y128" s="24">
        <v>4</v>
      </c>
      <c r="Z128" s="24">
        <v>4</v>
      </c>
      <c r="AA128" s="24">
        <v>3</v>
      </c>
      <c r="AB128" s="24">
        <v>3</v>
      </c>
      <c r="AC128" s="24">
        <v>3</v>
      </c>
      <c r="AD128" s="24">
        <v>3</v>
      </c>
      <c r="AE128" s="24">
        <v>4</v>
      </c>
      <c r="AF128" s="24">
        <v>5</v>
      </c>
      <c r="AG128" s="24">
        <v>4</v>
      </c>
      <c r="AH128" s="24">
        <v>4</v>
      </c>
      <c r="AI128" s="24">
        <v>3</v>
      </c>
      <c r="AJ128" s="24">
        <v>4</v>
      </c>
      <c r="AK128" s="24">
        <v>4</v>
      </c>
      <c r="AL128" s="24">
        <v>4</v>
      </c>
      <c r="AM128" s="23"/>
      <c r="AN128" s="23"/>
      <c r="AO128" s="22" t="s">
        <v>59</v>
      </c>
      <c r="AP128" s="22" t="s">
        <v>1315</v>
      </c>
      <c r="AQ128" s="22" t="s">
        <v>1316</v>
      </c>
      <c r="AR128" s="22" t="s">
        <v>1317</v>
      </c>
    </row>
    <row r="131" spans="6:42">
      <c r="F131" s="23"/>
      <c r="G131" s="15" t="s">
        <v>1488</v>
      </c>
      <c r="H131" s="26"/>
      <c r="I131" s="26"/>
      <c r="J131" s="23"/>
      <c r="K131" s="23"/>
      <c r="L131" s="23"/>
      <c r="M131" s="23"/>
      <c r="N131" s="3" t="s">
        <v>3</v>
      </c>
      <c r="O131" s="8"/>
      <c r="P131" s="8"/>
      <c r="Q131" s="65" t="s">
        <v>9</v>
      </c>
      <c r="R131" s="66"/>
      <c r="S131" s="66"/>
      <c r="T131" s="66"/>
      <c r="U131" s="66"/>
      <c r="V131" s="67"/>
      <c r="W131" s="65" t="s">
        <v>10</v>
      </c>
      <c r="X131" s="66"/>
      <c r="Y131" s="66"/>
      <c r="Z131" s="67"/>
      <c r="AA131" s="68" t="s">
        <v>11</v>
      </c>
      <c r="AB131" s="69"/>
      <c r="AC131" s="69"/>
      <c r="AD131" s="69"/>
      <c r="AE131" s="69"/>
      <c r="AF131" s="69"/>
      <c r="AG131" s="70"/>
      <c r="AH131" s="68" t="s">
        <v>12</v>
      </c>
      <c r="AI131" s="69"/>
      <c r="AJ131" s="69"/>
      <c r="AK131" s="69"/>
      <c r="AL131" s="70"/>
      <c r="AM131" s="27"/>
      <c r="AN131" s="27"/>
      <c r="AO131" s="20" t="s">
        <v>48</v>
      </c>
      <c r="AP131" s="23"/>
    </row>
    <row r="132" spans="6:42">
      <c r="F132" s="15" t="s">
        <v>1489</v>
      </c>
      <c r="G132" s="15" t="s">
        <v>1490</v>
      </c>
      <c r="H132" s="33" t="s">
        <v>1504</v>
      </c>
      <c r="I132" s="15"/>
      <c r="J132" s="15" t="s">
        <v>23</v>
      </c>
      <c r="K132" s="15" t="s">
        <v>24</v>
      </c>
      <c r="L132" s="16" t="s">
        <v>25</v>
      </c>
      <c r="M132" s="3" t="s">
        <v>1489</v>
      </c>
      <c r="N132" s="3" t="s">
        <v>1490</v>
      </c>
      <c r="O132" s="33" t="s">
        <v>1504</v>
      </c>
      <c r="P132" s="3"/>
      <c r="Q132" s="17" t="s">
        <v>26</v>
      </c>
      <c r="R132" s="3" t="s">
        <v>27</v>
      </c>
      <c r="S132" s="3" t="s">
        <v>28</v>
      </c>
      <c r="T132" s="18" t="s">
        <v>29</v>
      </c>
      <c r="U132" s="17" t="s">
        <v>30</v>
      </c>
      <c r="V132" s="3" t="s">
        <v>31</v>
      </c>
      <c r="W132" s="17" t="s">
        <v>32</v>
      </c>
      <c r="X132" s="17" t="s">
        <v>33</v>
      </c>
      <c r="Y132" s="17" t="s">
        <v>34</v>
      </c>
      <c r="Z132" s="17" t="s">
        <v>35</v>
      </c>
      <c r="AA132" s="17" t="s">
        <v>36</v>
      </c>
      <c r="AB132" s="17" t="s">
        <v>37</v>
      </c>
      <c r="AC132" s="17" t="s">
        <v>38</v>
      </c>
      <c r="AD132" s="17" t="s">
        <v>39</v>
      </c>
      <c r="AE132" s="17" t="s">
        <v>40</v>
      </c>
      <c r="AF132" s="17" t="s">
        <v>41</v>
      </c>
      <c r="AG132" s="17" t="s">
        <v>42</v>
      </c>
      <c r="AH132" s="17" t="s">
        <v>43</v>
      </c>
      <c r="AI132" s="17" t="s">
        <v>44</v>
      </c>
      <c r="AJ132" s="17" t="s">
        <v>45</v>
      </c>
      <c r="AK132" s="19" t="s">
        <v>46</v>
      </c>
      <c r="AL132" s="19" t="s">
        <v>47</v>
      </c>
      <c r="AM132" s="19"/>
      <c r="AN132" s="20" t="s">
        <v>1489</v>
      </c>
      <c r="AO132" s="20" t="s">
        <v>1490</v>
      </c>
      <c r="AP132" s="33" t="s">
        <v>1504</v>
      </c>
    </row>
    <row r="133" spans="6:42">
      <c r="F133" s="22" t="s">
        <v>80</v>
      </c>
      <c r="G133" s="28">
        <f>COUNTIF($G$4:$G$128,"가끔 사용한다")</f>
        <v>52</v>
      </c>
      <c r="H133" s="34">
        <f>G133/$G$137</f>
        <v>0.41599999999999998</v>
      </c>
      <c r="I133" s="23" t="s">
        <v>1491</v>
      </c>
      <c r="J133" s="29">
        <f>AVERAGE(J$4:J$128)</f>
        <v>2.8959999999999999</v>
      </c>
      <c r="K133" s="29">
        <f t="shared" ref="K133:L133" si="0">AVERAGE(K$4:K$128)</f>
        <v>2.2080000000000002</v>
      </c>
      <c r="L133" s="29">
        <f t="shared" si="0"/>
        <v>2.008</v>
      </c>
      <c r="M133" s="29" t="s">
        <v>1492</v>
      </c>
      <c r="N133" s="23">
        <f>COUNTIF($N$4:$N$128, "기본 개념 인지")</f>
        <v>60</v>
      </c>
      <c r="O133" s="34">
        <f>N133/$N$138</f>
        <v>0.48</v>
      </c>
      <c r="P133" s="23" t="s">
        <v>1491</v>
      </c>
      <c r="Q133" s="29">
        <f>AVERAGE(Q$4:Q$128)</f>
        <v>2.952</v>
      </c>
      <c r="R133" s="29">
        <f t="shared" ref="R133:AL133" si="1">AVERAGE(R$4:R$128)</f>
        <v>2.4319999999999999</v>
      </c>
      <c r="S133" s="29">
        <f t="shared" si="1"/>
        <v>2.7839999999999998</v>
      </c>
      <c r="T133" s="29">
        <f t="shared" si="1"/>
        <v>2.5920000000000001</v>
      </c>
      <c r="U133" s="29">
        <f t="shared" si="1"/>
        <v>2.7919999999999998</v>
      </c>
      <c r="V133" s="29">
        <f t="shared" si="1"/>
        <v>2.9039999999999999</v>
      </c>
      <c r="W133" s="29">
        <f t="shared" si="1"/>
        <v>3.6</v>
      </c>
      <c r="X133" s="29">
        <f t="shared" si="1"/>
        <v>3.3359999999999999</v>
      </c>
      <c r="Y133" s="29">
        <f t="shared" si="1"/>
        <v>2.96</v>
      </c>
      <c r="Z133" s="29">
        <f t="shared" si="1"/>
        <v>3.056</v>
      </c>
      <c r="AA133" s="29">
        <f t="shared" si="1"/>
        <v>3.2639999999999998</v>
      </c>
      <c r="AB133" s="29">
        <f t="shared" si="1"/>
        <v>3.496</v>
      </c>
      <c r="AC133" s="29">
        <f t="shared" si="1"/>
        <v>3.4159999999999999</v>
      </c>
      <c r="AD133" s="29">
        <f t="shared" si="1"/>
        <v>3.4319999999999999</v>
      </c>
      <c r="AE133" s="29">
        <f t="shared" si="1"/>
        <v>3.12</v>
      </c>
      <c r="AF133" s="29">
        <f t="shared" si="1"/>
        <v>3.52</v>
      </c>
      <c r="AG133" s="29">
        <f t="shared" si="1"/>
        <v>3.3039999999999998</v>
      </c>
      <c r="AH133" s="29">
        <f t="shared" si="1"/>
        <v>3.3679999999999999</v>
      </c>
      <c r="AI133" s="29">
        <f t="shared" si="1"/>
        <v>3.024</v>
      </c>
      <c r="AJ133" s="29">
        <f t="shared" si="1"/>
        <v>2.8479999999999999</v>
      </c>
      <c r="AK133" s="29">
        <f t="shared" si="1"/>
        <v>3.0960000000000001</v>
      </c>
      <c r="AL133" s="29">
        <f t="shared" si="1"/>
        <v>2.9039999999999999</v>
      </c>
      <c r="AM133" s="29"/>
      <c r="AN133" s="29" t="s">
        <v>1493</v>
      </c>
      <c r="AO133" s="23">
        <f>COUNTIF($AO$4:$AO$128,"있다")</f>
        <v>40</v>
      </c>
      <c r="AP133" s="34">
        <f>AO133/$AO$135</f>
        <v>0.32</v>
      </c>
    </row>
    <row r="134" spans="6:42">
      <c r="F134" s="28" t="s">
        <v>1494</v>
      </c>
      <c r="G134" s="28">
        <f>COUNTIF($G$4:$G$128,"거의 사용하지 않는다")</f>
        <v>22</v>
      </c>
      <c r="H134" s="34">
        <f t="shared" ref="H134:H137" si="2">G134/$G$137</f>
        <v>0.17599999999999999</v>
      </c>
      <c r="I134" s="23" t="s">
        <v>1495</v>
      </c>
      <c r="J134" s="29">
        <f>_xlfn.STDEV.S(J$4:J$128)</f>
        <v>1.2432008635360472</v>
      </c>
      <c r="K134" s="29">
        <f t="shared" ref="K134:L134" si="3">_xlfn.STDEV.S(K$4:K$128)</f>
        <v>1.1309145599626365</v>
      </c>
      <c r="L134" s="29">
        <f t="shared" si="3"/>
        <v>1.0738534771199377</v>
      </c>
      <c r="M134" s="29" t="s">
        <v>1496</v>
      </c>
      <c r="N134" s="23">
        <f>COUNTIF($N$4:$N$128,"AI 도구 선택 활용 가능")</f>
        <v>19</v>
      </c>
      <c r="O134" s="34">
        <f t="shared" ref="O134:O138" si="4">N134/$N$138</f>
        <v>0.152</v>
      </c>
      <c r="P134" s="23" t="s">
        <v>1495</v>
      </c>
      <c r="Q134" s="29">
        <f>_xlfn.STDEV.S(Q$4:Q$128)</f>
        <v>1.0384231221641598</v>
      </c>
      <c r="R134" s="29">
        <f t="shared" ref="R134:AL134" si="5">_xlfn.STDEV.S(R$4:R$128)</f>
        <v>1.0265507545235664</v>
      </c>
      <c r="S134" s="29">
        <f t="shared" si="5"/>
        <v>1.05939727234176</v>
      </c>
      <c r="T134" s="29">
        <f t="shared" si="5"/>
        <v>1.0402853206630847</v>
      </c>
      <c r="U134" s="29">
        <f t="shared" si="5"/>
        <v>1.1093153948094698</v>
      </c>
      <c r="V134" s="29">
        <f t="shared" si="5"/>
        <v>1.1389298882383323</v>
      </c>
      <c r="W134" s="29">
        <f t="shared" si="5"/>
        <v>1.0549422855334085</v>
      </c>
      <c r="X134" s="29">
        <f t="shared" si="5"/>
        <v>1.0846732821602354</v>
      </c>
      <c r="Y134" s="29">
        <f t="shared" si="5"/>
        <v>1.0880583475815693</v>
      </c>
      <c r="Z134" s="29">
        <f t="shared" si="5"/>
        <v>1.0572636622966396</v>
      </c>
      <c r="AA134" s="29">
        <f t="shared" si="5"/>
        <v>1.048378163733654</v>
      </c>
      <c r="AB134" s="29">
        <f t="shared" si="5"/>
        <v>1.0209420065043664</v>
      </c>
      <c r="AC134" s="29">
        <f t="shared" si="5"/>
        <v>1.0563479387691987</v>
      </c>
      <c r="AD134" s="29">
        <f t="shared" si="5"/>
        <v>1.0651063857208003</v>
      </c>
      <c r="AE134" s="29">
        <f t="shared" si="5"/>
        <v>1.0746342213411129</v>
      </c>
      <c r="AF134" s="29">
        <f t="shared" si="5"/>
        <v>1.0518800373156751</v>
      </c>
      <c r="AG134" s="29">
        <f t="shared" si="5"/>
        <v>1.0412771314669931</v>
      </c>
      <c r="AH134" s="29">
        <f t="shared" si="5"/>
        <v>0.94643644027682605</v>
      </c>
      <c r="AI134" s="29">
        <f t="shared" si="5"/>
        <v>0.99566803640052559</v>
      </c>
      <c r="AJ134" s="29">
        <f t="shared" si="5"/>
        <v>0.97596932791571778</v>
      </c>
      <c r="AK134" s="29">
        <f t="shared" si="5"/>
        <v>0.9790054202624342</v>
      </c>
      <c r="AL134" s="29">
        <f t="shared" si="5"/>
        <v>1.0505298202458635</v>
      </c>
      <c r="AM134" s="29"/>
      <c r="AN134" s="29" t="s">
        <v>1497</v>
      </c>
      <c r="AO134" s="23">
        <f>COUNTIF($AO$4:$AO$128,"없다")</f>
        <v>85</v>
      </c>
      <c r="AP134" s="34">
        <f t="shared" ref="AP134:AP135" si="6">AO134/$AO$135</f>
        <v>0.68</v>
      </c>
    </row>
    <row r="135" spans="6:42">
      <c r="F135" s="28" t="s">
        <v>1498</v>
      </c>
      <c r="G135" s="28">
        <f>COUNTIF($G$4:$G$128,"사용하지 않는다")</f>
        <v>20</v>
      </c>
      <c r="H135" s="34">
        <f t="shared" si="2"/>
        <v>0.16</v>
      </c>
      <c r="I135" s="23"/>
      <c r="J135" s="29"/>
      <c r="K135" s="29"/>
      <c r="L135" s="29"/>
      <c r="M135" s="29" t="s">
        <v>1499</v>
      </c>
      <c r="N135" s="23">
        <f>COUNTIF($N$4:$N$128, "AI 도구 교차 사용 가능")</f>
        <v>12</v>
      </c>
      <c r="O135" s="34">
        <f t="shared" si="4"/>
        <v>9.6000000000000002E-2</v>
      </c>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t="s">
        <v>1505</v>
      </c>
      <c r="AO135" s="23">
        <f>SUM(AO133:AO134)</f>
        <v>125</v>
      </c>
      <c r="AP135" s="34">
        <f t="shared" si="6"/>
        <v>1</v>
      </c>
    </row>
    <row r="136" spans="6:42">
      <c r="F136" s="28" t="s">
        <v>1500</v>
      </c>
      <c r="G136" s="28">
        <f>COUNTIF($G$4:$G$128,"업무에 자주 활용한다")</f>
        <v>31</v>
      </c>
      <c r="H136" s="34">
        <f t="shared" si="2"/>
        <v>0.248</v>
      </c>
      <c r="I136" s="23"/>
      <c r="J136" s="29"/>
      <c r="K136" s="29"/>
      <c r="L136" s="29"/>
      <c r="M136" s="29" t="s">
        <v>1501</v>
      </c>
      <c r="N136" s="23">
        <f>COUNTIF($N$4:$N$128, "실험 및 구현 가능")</f>
        <v>2</v>
      </c>
      <c r="O136" s="34">
        <f t="shared" si="4"/>
        <v>1.6E-2</v>
      </c>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row>
    <row r="137" spans="6:42">
      <c r="F137" s="23"/>
      <c r="G137" s="23">
        <f>SUM(G133:G136)</f>
        <v>125</v>
      </c>
      <c r="H137" s="34">
        <f t="shared" si="2"/>
        <v>1</v>
      </c>
      <c r="I137" s="23"/>
      <c r="J137" s="23"/>
      <c r="K137" s="23"/>
      <c r="L137" s="23"/>
      <c r="M137" s="29" t="s">
        <v>1502</v>
      </c>
      <c r="N137" s="23">
        <f>COUNTIF($N$4:$N$128, "잘 모름")</f>
        <v>32</v>
      </c>
      <c r="O137" s="34">
        <f t="shared" si="4"/>
        <v>0.25600000000000001</v>
      </c>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row>
    <row r="138" spans="6:42">
      <c r="F138" s="23"/>
      <c r="G138" s="23"/>
      <c r="H138" s="23"/>
      <c r="I138" s="23"/>
      <c r="J138" s="23"/>
      <c r="K138" s="23"/>
      <c r="L138" s="23"/>
      <c r="M138" s="23"/>
      <c r="N138" s="23">
        <f>SUM(N133:N137)</f>
        <v>125</v>
      </c>
      <c r="O138" s="34">
        <f t="shared" si="4"/>
        <v>1</v>
      </c>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row>
    <row r="139" spans="6:42">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row>
    <row r="140" spans="6:42">
      <c r="F140" s="23"/>
      <c r="G140" s="23"/>
      <c r="H140" s="23"/>
      <c r="I140" s="23"/>
      <c r="J140" s="15" t="s">
        <v>1503</v>
      </c>
      <c r="K140" s="23"/>
      <c r="L140" s="23"/>
      <c r="M140" s="23"/>
      <c r="N140" s="23"/>
      <c r="O140" s="23"/>
      <c r="P140" s="23"/>
      <c r="Q140" s="30" t="s">
        <v>9</v>
      </c>
      <c r="R140" s="30" t="s">
        <v>10</v>
      </c>
      <c r="S140" s="30" t="s">
        <v>11</v>
      </c>
      <c r="T140" s="30" t="s">
        <v>12</v>
      </c>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row>
    <row r="141" spans="6:42">
      <c r="F141" s="23"/>
      <c r="G141" s="23"/>
      <c r="H141" s="23"/>
      <c r="I141" s="23"/>
      <c r="J141" s="31">
        <f>AVERAGE(J133:L133)</f>
        <v>2.3706666666666667</v>
      </c>
      <c r="K141" s="23"/>
      <c r="L141" s="23"/>
      <c r="M141" s="23"/>
      <c r="N141" s="23"/>
      <c r="O141" s="23"/>
      <c r="P141" s="23"/>
      <c r="Q141" s="31">
        <f>AVERAGE(Q133:V133)</f>
        <v>2.7426666666666666</v>
      </c>
      <c r="R141" s="31">
        <f>AVERAGE(W133:Z133)</f>
        <v>3.2380000000000004</v>
      </c>
      <c r="S141" s="31">
        <f>AVERAGE(AA133:AG133)</f>
        <v>3.3645714285714283</v>
      </c>
      <c r="T141" s="31">
        <f>AVERAGE(AH133:AL133)</f>
        <v>3.0479999999999996</v>
      </c>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row>
    <row r="142" spans="6:42">
      <c r="F142" s="23"/>
      <c r="G142" s="23"/>
      <c r="H142" s="23"/>
      <c r="I142" s="23"/>
      <c r="J142" s="32">
        <f>_xlfn.STDEV.S($J4:$L128)</f>
        <v>1.2098938537139949</v>
      </c>
      <c r="K142" s="23"/>
      <c r="L142" s="23"/>
      <c r="M142" s="23"/>
      <c r="N142" s="23"/>
      <c r="O142" s="23"/>
      <c r="P142" s="23"/>
      <c r="Q142" s="32">
        <f>_xlfn.STDEV.S($Q4:$V128)</f>
        <v>1.0810509317534251</v>
      </c>
      <c r="R142" s="32">
        <f>_xlfn.STDEV.S(W4:Z128)</f>
        <v>1.0971615774598142</v>
      </c>
      <c r="S142" s="32">
        <f>_xlfn.STDEV.S(AA4:AG128)</f>
        <v>1.0560394655171041</v>
      </c>
      <c r="T142" s="32">
        <f>_xlfn.STDEV.S(AH4:AL128)</f>
        <v>1.0036471951376604</v>
      </c>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row>
  </sheetData>
  <mergeCells count="15">
    <mergeCell ref="Q131:V131"/>
    <mergeCell ref="W131:Z131"/>
    <mergeCell ref="AA131:AG131"/>
    <mergeCell ref="AH131:AL131"/>
    <mergeCell ref="B1:F1"/>
    <mergeCell ref="G1:L1"/>
    <mergeCell ref="Q1:AL1"/>
    <mergeCell ref="AO1:AQ1"/>
    <mergeCell ref="B2:F2"/>
    <mergeCell ref="G2:L2"/>
    <mergeCell ref="Q2:V2"/>
    <mergeCell ref="W2:Z2"/>
    <mergeCell ref="AA2:AG2"/>
    <mergeCell ref="AH2:AL2"/>
    <mergeCell ref="AP2:AQ2"/>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BAAC6-C18C-4E12-9E21-69AD854C129A}">
  <dimension ref="A1:AR42"/>
  <sheetViews>
    <sheetView zoomScale="70" zoomScaleNormal="70" workbookViewId="0">
      <selection activeCell="AA34" sqref="AA34"/>
    </sheetView>
  </sheetViews>
  <sheetFormatPr defaultRowHeight="16.899999999999999"/>
  <sheetData>
    <row r="1" spans="1:44">
      <c r="A1" s="1" t="s">
        <v>0</v>
      </c>
      <c r="B1" s="60" t="s">
        <v>1</v>
      </c>
      <c r="C1" s="60"/>
      <c r="D1" s="60"/>
      <c r="E1" s="60"/>
      <c r="F1" s="60"/>
      <c r="G1" s="61" t="s">
        <v>2</v>
      </c>
      <c r="H1" s="61"/>
      <c r="I1" s="61"/>
      <c r="J1" s="61"/>
      <c r="K1" s="61"/>
      <c r="L1" s="61"/>
      <c r="M1" s="2"/>
      <c r="N1" s="3" t="s">
        <v>3</v>
      </c>
      <c r="O1" s="3"/>
      <c r="P1" s="3"/>
      <c r="Q1" s="56" t="s">
        <v>4</v>
      </c>
      <c r="R1" s="56"/>
      <c r="S1" s="56"/>
      <c r="T1" s="56"/>
      <c r="U1" s="56"/>
      <c r="V1" s="56"/>
      <c r="W1" s="56"/>
      <c r="X1" s="56"/>
      <c r="Y1" s="56"/>
      <c r="Z1" s="56"/>
      <c r="AA1" s="56"/>
      <c r="AB1" s="56"/>
      <c r="AC1" s="56"/>
      <c r="AD1" s="56"/>
      <c r="AE1" s="56"/>
      <c r="AF1" s="56"/>
      <c r="AG1" s="56"/>
      <c r="AH1" s="56"/>
      <c r="AI1" s="56"/>
      <c r="AJ1" s="56"/>
      <c r="AK1" s="56"/>
      <c r="AL1" s="56"/>
      <c r="AM1" s="4"/>
      <c r="AN1" s="4"/>
      <c r="AO1" s="62" t="s">
        <v>5</v>
      </c>
      <c r="AP1" s="62"/>
      <c r="AQ1" s="62"/>
      <c r="AR1" s="5" t="s">
        <v>6</v>
      </c>
    </row>
    <row r="2" spans="1:44">
      <c r="A2" s="6" t="s">
        <v>7</v>
      </c>
      <c r="B2" s="63" t="s">
        <v>1</v>
      </c>
      <c r="C2" s="63"/>
      <c r="D2" s="63"/>
      <c r="E2" s="63"/>
      <c r="F2" s="63"/>
      <c r="G2" s="64" t="s">
        <v>8</v>
      </c>
      <c r="H2" s="64"/>
      <c r="I2" s="64"/>
      <c r="J2" s="64"/>
      <c r="K2" s="64"/>
      <c r="L2" s="64"/>
      <c r="M2" s="7"/>
      <c r="N2" s="3" t="s">
        <v>3</v>
      </c>
      <c r="O2" s="8"/>
      <c r="P2" s="8"/>
      <c r="Q2" s="65" t="s">
        <v>9</v>
      </c>
      <c r="R2" s="66"/>
      <c r="S2" s="66"/>
      <c r="T2" s="66"/>
      <c r="U2" s="66"/>
      <c r="V2" s="67"/>
      <c r="W2" s="65" t="s">
        <v>10</v>
      </c>
      <c r="X2" s="66"/>
      <c r="Y2" s="66"/>
      <c r="Z2" s="67"/>
      <c r="AA2" s="68" t="s">
        <v>11</v>
      </c>
      <c r="AB2" s="69"/>
      <c r="AC2" s="69"/>
      <c r="AD2" s="69"/>
      <c r="AE2" s="69"/>
      <c r="AF2" s="69"/>
      <c r="AG2" s="70"/>
      <c r="AH2" s="68" t="s">
        <v>12</v>
      </c>
      <c r="AI2" s="69"/>
      <c r="AJ2" s="69"/>
      <c r="AK2" s="69"/>
      <c r="AL2" s="70"/>
      <c r="AM2" s="9"/>
      <c r="AN2" s="9"/>
      <c r="AO2" s="10" t="s">
        <v>13</v>
      </c>
      <c r="AP2" s="71" t="s">
        <v>14</v>
      </c>
      <c r="AQ2" s="71"/>
      <c r="AR2" s="11" t="s">
        <v>15</v>
      </c>
    </row>
    <row r="3" spans="1:44">
      <c r="A3" s="12" t="s">
        <v>16</v>
      </c>
      <c r="B3" s="13" t="s">
        <v>17</v>
      </c>
      <c r="C3" s="14" t="s">
        <v>18</v>
      </c>
      <c r="D3" s="14" t="s">
        <v>19</v>
      </c>
      <c r="E3" s="14" t="s">
        <v>20</v>
      </c>
      <c r="F3" s="14" t="s">
        <v>21</v>
      </c>
      <c r="G3" s="15" t="s">
        <v>22</v>
      </c>
      <c r="H3" s="15"/>
      <c r="I3" s="15"/>
      <c r="J3" s="15" t="s">
        <v>23</v>
      </c>
      <c r="K3" s="15" t="s">
        <v>24</v>
      </c>
      <c r="L3" s="16" t="s">
        <v>25</v>
      </c>
      <c r="M3" s="16"/>
      <c r="N3" s="3" t="s">
        <v>3</v>
      </c>
      <c r="O3" s="3"/>
      <c r="P3" s="3"/>
      <c r="Q3" s="17" t="s">
        <v>26</v>
      </c>
      <c r="R3" s="3" t="s">
        <v>27</v>
      </c>
      <c r="S3" s="3" t="s">
        <v>28</v>
      </c>
      <c r="T3" s="18" t="s">
        <v>29</v>
      </c>
      <c r="U3" s="17" t="s">
        <v>30</v>
      </c>
      <c r="V3" s="3" t="s">
        <v>31</v>
      </c>
      <c r="W3" s="17" t="s">
        <v>32</v>
      </c>
      <c r="X3" s="17" t="s">
        <v>33</v>
      </c>
      <c r="Y3" s="17" t="s">
        <v>34</v>
      </c>
      <c r="Z3" s="17" t="s">
        <v>35</v>
      </c>
      <c r="AA3" s="17" t="s">
        <v>36</v>
      </c>
      <c r="AB3" s="17" t="s">
        <v>37</v>
      </c>
      <c r="AC3" s="17" t="s">
        <v>38</v>
      </c>
      <c r="AD3" s="17" t="s">
        <v>39</v>
      </c>
      <c r="AE3" s="17" t="s">
        <v>40</v>
      </c>
      <c r="AF3" s="17" t="s">
        <v>41</v>
      </c>
      <c r="AG3" s="17" t="s">
        <v>42</v>
      </c>
      <c r="AH3" s="17" t="s">
        <v>43</v>
      </c>
      <c r="AI3" s="17" t="s">
        <v>44</v>
      </c>
      <c r="AJ3" s="17" t="s">
        <v>45</v>
      </c>
      <c r="AK3" s="19" t="s">
        <v>46</v>
      </c>
      <c r="AL3" s="19" t="s">
        <v>47</v>
      </c>
      <c r="AM3" s="19"/>
      <c r="AN3" s="19"/>
      <c r="AO3" s="20" t="s">
        <v>48</v>
      </c>
      <c r="AP3" s="20" t="s">
        <v>49</v>
      </c>
      <c r="AQ3" s="20" t="s">
        <v>50</v>
      </c>
      <c r="AR3" s="21" t="s">
        <v>15</v>
      </c>
    </row>
    <row r="4" spans="1:44">
      <c r="A4" s="22" t="s">
        <v>1318</v>
      </c>
      <c r="B4" s="22" t="s">
        <v>1319</v>
      </c>
      <c r="C4" s="22" t="s">
        <v>79</v>
      </c>
      <c r="D4" s="22" t="s">
        <v>64</v>
      </c>
      <c r="E4" s="22" t="s">
        <v>55</v>
      </c>
      <c r="F4" s="22" t="s">
        <v>65</v>
      </c>
      <c r="G4" s="22" t="s">
        <v>80</v>
      </c>
      <c r="H4" s="23"/>
      <c r="I4" s="23"/>
      <c r="J4" s="22">
        <v>1</v>
      </c>
      <c r="K4" s="22">
        <v>2</v>
      </c>
      <c r="L4" s="22">
        <v>1</v>
      </c>
      <c r="M4" s="23"/>
      <c r="N4" s="22" t="s">
        <v>58</v>
      </c>
      <c r="O4" s="23"/>
      <c r="P4" s="23"/>
      <c r="Q4" s="24">
        <v>4</v>
      </c>
      <c r="R4" s="24">
        <v>2</v>
      </c>
      <c r="S4" s="24">
        <v>2</v>
      </c>
      <c r="T4" s="24">
        <v>2</v>
      </c>
      <c r="U4" s="24">
        <v>4</v>
      </c>
      <c r="V4" s="24">
        <v>2</v>
      </c>
      <c r="W4" s="24">
        <v>4</v>
      </c>
      <c r="X4" s="24">
        <v>5</v>
      </c>
      <c r="Y4" s="24">
        <v>3</v>
      </c>
      <c r="Z4" s="24">
        <v>3</v>
      </c>
      <c r="AA4" s="24">
        <v>3</v>
      </c>
      <c r="AB4" s="24">
        <v>4</v>
      </c>
      <c r="AC4" s="24">
        <v>4</v>
      </c>
      <c r="AD4" s="24">
        <v>3</v>
      </c>
      <c r="AE4" s="24">
        <v>5</v>
      </c>
      <c r="AF4" s="24">
        <v>5</v>
      </c>
      <c r="AG4" s="24">
        <v>4</v>
      </c>
      <c r="AH4" s="24">
        <v>5</v>
      </c>
      <c r="AI4" s="24">
        <v>3</v>
      </c>
      <c r="AJ4" s="24">
        <v>4</v>
      </c>
      <c r="AK4" s="24">
        <v>5</v>
      </c>
      <c r="AL4" s="24">
        <v>5</v>
      </c>
      <c r="AM4" s="23"/>
      <c r="AN4" s="23"/>
      <c r="AO4" s="22" t="s">
        <v>59</v>
      </c>
      <c r="AP4" s="22" t="s">
        <v>1320</v>
      </c>
      <c r="AQ4" s="22" t="s">
        <v>1321</v>
      </c>
      <c r="AR4" s="22" t="s">
        <v>1321</v>
      </c>
    </row>
    <row r="5" spans="1:44">
      <c r="A5" s="22" t="s">
        <v>1322</v>
      </c>
      <c r="B5" s="22" t="s">
        <v>1319</v>
      </c>
      <c r="C5" s="22" t="s">
        <v>95</v>
      </c>
      <c r="D5" s="22" t="s">
        <v>54</v>
      </c>
      <c r="E5" s="25" t="s">
        <v>1323</v>
      </c>
      <c r="F5" s="22" t="s">
        <v>73</v>
      </c>
      <c r="G5" s="22" t="s">
        <v>57</v>
      </c>
      <c r="H5" s="23"/>
      <c r="I5" s="23"/>
      <c r="J5" s="22">
        <v>5</v>
      </c>
      <c r="K5" s="22">
        <v>5</v>
      </c>
      <c r="L5" s="22">
        <v>4</v>
      </c>
      <c r="M5" s="23"/>
      <c r="N5" s="22" t="s">
        <v>66</v>
      </c>
      <c r="O5" s="23"/>
      <c r="P5" s="23"/>
      <c r="Q5" s="24">
        <v>4</v>
      </c>
      <c r="R5" s="24">
        <v>4</v>
      </c>
      <c r="S5" s="24">
        <v>5</v>
      </c>
      <c r="T5" s="24">
        <v>5</v>
      </c>
      <c r="U5" s="24">
        <v>5</v>
      </c>
      <c r="V5" s="24">
        <v>5</v>
      </c>
      <c r="W5" s="24">
        <v>5</v>
      </c>
      <c r="X5" s="24">
        <v>5</v>
      </c>
      <c r="Y5" s="24">
        <v>5</v>
      </c>
      <c r="Z5" s="24">
        <v>5</v>
      </c>
      <c r="AA5" s="24">
        <v>5</v>
      </c>
      <c r="AB5" s="24">
        <v>5</v>
      </c>
      <c r="AC5" s="24">
        <v>5</v>
      </c>
      <c r="AD5" s="24">
        <v>5</v>
      </c>
      <c r="AE5" s="24">
        <v>5</v>
      </c>
      <c r="AF5" s="24">
        <v>5</v>
      </c>
      <c r="AG5" s="24">
        <v>5</v>
      </c>
      <c r="AH5" s="24">
        <v>5</v>
      </c>
      <c r="AI5" s="24">
        <v>5</v>
      </c>
      <c r="AJ5" s="24">
        <v>5</v>
      </c>
      <c r="AK5" s="24">
        <v>5</v>
      </c>
      <c r="AL5" s="24">
        <v>5</v>
      </c>
      <c r="AM5" s="23"/>
      <c r="AN5" s="23"/>
      <c r="AO5" s="22" t="s">
        <v>74</v>
      </c>
      <c r="AP5" s="22" t="s">
        <v>1324</v>
      </c>
      <c r="AQ5" s="22" t="s">
        <v>1325</v>
      </c>
      <c r="AR5" s="22" t="s">
        <v>1326</v>
      </c>
    </row>
    <row r="6" spans="1:44" hidden="1">
      <c r="A6" s="22" t="s">
        <v>1327</v>
      </c>
      <c r="B6" s="22" t="s">
        <v>1319</v>
      </c>
      <c r="C6" s="22" t="s">
        <v>53</v>
      </c>
      <c r="D6" s="22" t="s">
        <v>54</v>
      </c>
      <c r="E6" s="22" t="s">
        <v>72</v>
      </c>
      <c r="F6" s="22" t="s">
        <v>73</v>
      </c>
      <c r="G6" s="22" t="s">
        <v>80</v>
      </c>
      <c r="H6" s="23"/>
      <c r="I6" s="23"/>
      <c r="J6" s="22">
        <v>4</v>
      </c>
      <c r="K6" s="22">
        <v>3</v>
      </c>
      <c r="L6" s="22">
        <v>2</v>
      </c>
      <c r="M6" s="23"/>
      <c r="N6" s="22" t="s">
        <v>85</v>
      </c>
      <c r="O6" s="23"/>
      <c r="P6" s="23"/>
      <c r="Q6" s="24">
        <v>3</v>
      </c>
      <c r="R6" s="24">
        <v>2</v>
      </c>
      <c r="S6" s="24">
        <v>3</v>
      </c>
      <c r="T6" s="24">
        <v>2</v>
      </c>
      <c r="U6" s="24">
        <v>2</v>
      </c>
      <c r="V6" s="24">
        <v>3</v>
      </c>
      <c r="W6" s="24">
        <v>3</v>
      </c>
      <c r="X6" s="24">
        <v>2</v>
      </c>
      <c r="Y6" s="24">
        <v>2</v>
      </c>
      <c r="Z6" s="24">
        <v>3</v>
      </c>
      <c r="AA6" s="24">
        <v>3</v>
      </c>
      <c r="AB6" s="24">
        <v>4</v>
      </c>
      <c r="AC6" s="24">
        <v>4</v>
      </c>
      <c r="AD6" s="24">
        <v>4</v>
      </c>
      <c r="AE6" s="24">
        <v>4</v>
      </c>
      <c r="AF6" s="24">
        <v>4</v>
      </c>
      <c r="AG6" s="24">
        <v>4</v>
      </c>
      <c r="AH6" s="24">
        <v>4</v>
      </c>
      <c r="AI6" s="24">
        <v>3</v>
      </c>
      <c r="AJ6" s="24">
        <v>3</v>
      </c>
      <c r="AK6" s="24">
        <v>3</v>
      </c>
      <c r="AL6" s="24">
        <v>3</v>
      </c>
      <c r="AM6" s="23"/>
      <c r="AN6" s="23"/>
      <c r="AO6" s="22" t="s">
        <v>74</v>
      </c>
      <c r="AP6" s="22" t="s">
        <v>1328</v>
      </c>
      <c r="AQ6" s="22" t="s">
        <v>1329</v>
      </c>
      <c r="AR6" s="22" t="s">
        <v>1330</v>
      </c>
    </row>
    <row r="7" spans="1:44" hidden="1">
      <c r="A7" s="22" t="s">
        <v>241</v>
      </c>
      <c r="B7" s="22" t="s">
        <v>1319</v>
      </c>
      <c r="C7" s="22" t="s">
        <v>90</v>
      </c>
      <c r="D7" s="22" t="s">
        <v>64</v>
      </c>
      <c r="E7" s="22" t="s">
        <v>55</v>
      </c>
      <c r="F7" s="22" t="s">
        <v>65</v>
      </c>
      <c r="G7" s="22" t="s">
        <v>80</v>
      </c>
      <c r="H7" s="23"/>
      <c r="I7" s="23"/>
      <c r="J7" s="22">
        <v>3</v>
      </c>
      <c r="K7" s="22">
        <v>1</v>
      </c>
      <c r="L7" s="22">
        <v>1</v>
      </c>
      <c r="M7" s="23"/>
      <c r="N7" s="22" t="s">
        <v>85</v>
      </c>
      <c r="O7" s="23"/>
      <c r="P7" s="23"/>
      <c r="Q7" s="24">
        <v>2</v>
      </c>
      <c r="R7" s="24">
        <v>2</v>
      </c>
      <c r="S7" s="24">
        <v>2</v>
      </c>
      <c r="T7" s="24">
        <v>2</v>
      </c>
      <c r="U7" s="24">
        <v>2</v>
      </c>
      <c r="V7" s="24">
        <v>2</v>
      </c>
      <c r="W7" s="24">
        <v>2</v>
      </c>
      <c r="X7" s="24">
        <v>2</v>
      </c>
      <c r="Y7" s="24">
        <v>2</v>
      </c>
      <c r="Z7" s="24">
        <v>2</v>
      </c>
      <c r="AA7" s="24">
        <v>5</v>
      </c>
      <c r="AB7" s="24">
        <v>4</v>
      </c>
      <c r="AC7" s="24">
        <v>4</v>
      </c>
      <c r="AD7" s="24">
        <v>4</v>
      </c>
      <c r="AE7" s="24">
        <v>4</v>
      </c>
      <c r="AF7" s="24">
        <v>4</v>
      </c>
      <c r="AG7" s="24">
        <v>3</v>
      </c>
      <c r="AH7" s="24">
        <v>4</v>
      </c>
      <c r="AI7" s="24">
        <v>2</v>
      </c>
      <c r="AJ7" s="24">
        <v>2</v>
      </c>
      <c r="AK7" s="24">
        <v>4</v>
      </c>
      <c r="AL7" s="24">
        <v>3</v>
      </c>
      <c r="AM7" s="23"/>
      <c r="AN7" s="23"/>
      <c r="AO7" s="22" t="s">
        <v>59</v>
      </c>
      <c r="AP7" s="22" t="s">
        <v>1331</v>
      </c>
      <c r="AQ7" s="22" t="s">
        <v>1332</v>
      </c>
      <c r="AR7" s="22" t="s">
        <v>1333</v>
      </c>
    </row>
    <row r="8" spans="1:44" hidden="1">
      <c r="A8" s="22" t="s">
        <v>1334</v>
      </c>
      <c r="B8" s="22" t="s">
        <v>1319</v>
      </c>
      <c r="C8" s="22" t="s">
        <v>53</v>
      </c>
      <c r="D8" s="22" t="s">
        <v>64</v>
      </c>
      <c r="E8" s="22" t="s">
        <v>55</v>
      </c>
      <c r="F8" s="22" t="s">
        <v>65</v>
      </c>
      <c r="G8" s="22" t="s">
        <v>57</v>
      </c>
      <c r="H8" s="23"/>
      <c r="I8" s="23"/>
      <c r="J8" s="22">
        <v>4</v>
      </c>
      <c r="K8" s="22">
        <v>2</v>
      </c>
      <c r="L8" s="22">
        <v>2</v>
      </c>
      <c r="M8" s="23"/>
      <c r="N8" s="22" t="s">
        <v>58</v>
      </c>
      <c r="O8" s="23"/>
      <c r="P8" s="23"/>
      <c r="Q8" s="24">
        <v>4</v>
      </c>
      <c r="R8" s="24">
        <v>3</v>
      </c>
      <c r="S8" s="24">
        <v>3</v>
      </c>
      <c r="T8" s="24">
        <v>3</v>
      </c>
      <c r="U8" s="24">
        <v>4</v>
      </c>
      <c r="V8" s="24">
        <v>4</v>
      </c>
      <c r="W8" s="24">
        <v>4</v>
      </c>
      <c r="X8" s="24">
        <v>3</v>
      </c>
      <c r="Y8" s="24">
        <v>4</v>
      </c>
      <c r="Z8" s="24">
        <v>4</v>
      </c>
      <c r="AA8" s="24">
        <v>3</v>
      </c>
      <c r="AB8" s="24">
        <v>4</v>
      </c>
      <c r="AC8" s="24">
        <v>4</v>
      </c>
      <c r="AD8" s="24">
        <v>4</v>
      </c>
      <c r="AE8" s="24">
        <v>4</v>
      </c>
      <c r="AF8" s="24">
        <v>4</v>
      </c>
      <c r="AG8" s="24">
        <v>4</v>
      </c>
      <c r="AH8" s="24">
        <v>4</v>
      </c>
      <c r="AI8" s="24">
        <v>2</v>
      </c>
      <c r="AJ8" s="24">
        <v>2</v>
      </c>
      <c r="AK8" s="24">
        <v>3</v>
      </c>
      <c r="AL8" s="24">
        <v>2</v>
      </c>
      <c r="AM8" s="23"/>
      <c r="AN8" s="23"/>
      <c r="AO8" s="22" t="s">
        <v>59</v>
      </c>
      <c r="AP8" s="22" t="s">
        <v>1335</v>
      </c>
      <c r="AQ8" s="22" t="s">
        <v>1336</v>
      </c>
      <c r="AR8" s="22" t="s">
        <v>1337</v>
      </c>
    </row>
    <row r="9" spans="1:44" hidden="1">
      <c r="A9" s="22" t="s">
        <v>1338</v>
      </c>
      <c r="B9" s="22" t="s">
        <v>1319</v>
      </c>
      <c r="C9" s="22" t="s">
        <v>53</v>
      </c>
      <c r="D9" s="22" t="s">
        <v>54</v>
      </c>
      <c r="E9" s="22" t="s">
        <v>72</v>
      </c>
      <c r="F9" s="22" t="s">
        <v>56</v>
      </c>
      <c r="G9" s="22" t="s">
        <v>57</v>
      </c>
      <c r="H9" s="23"/>
      <c r="I9" s="23"/>
      <c r="J9" s="22">
        <v>2</v>
      </c>
      <c r="K9" s="22">
        <v>2</v>
      </c>
      <c r="L9" s="22">
        <v>2</v>
      </c>
      <c r="M9" s="23"/>
      <c r="N9" s="22" t="s">
        <v>85</v>
      </c>
      <c r="O9" s="23"/>
      <c r="P9" s="23"/>
      <c r="Q9" s="24">
        <v>2</v>
      </c>
      <c r="R9" s="24">
        <v>2</v>
      </c>
      <c r="S9" s="24">
        <v>2</v>
      </c>
      <c r="T9" s="24">
        <v>2</v>
      </c>
      <c r="U9" s="24">
        <v>4</v>
      </c>
      <c r="V9" s="24">
        <v>4</v>
      </c>
      <c r="W9" s="24">
        <v>4</v>
      </c>
      <c r="X9" s="24">
        <v>2</v>
      </c>
      <c r="Y9" s="24">
        <v>4</v>
      </c>
      <c r="Z9" s="24">
        <v>4</v>
      </c>
      <c r="AA9" s="24">
        <v>3</v>
      </c>
      <c r="AB9" s="24">
        <v>3</v>
      </c>
      <c r="AC9" s="24">
        <v>3</v>
      </c>
      <c r="AD9" s="24">
        <v>4</v>
      </c>
      <c r="AE9" s="24">
        <v>3</v>
      </c>
      <c r="AF9" s="24">
        <v>4</v>
      </c>
      <c r="AG9" s="24">
        <v>3</v>
      </c>
      <c r="AH9" s="24">
        <v>3</v>
      </c>
      <c r="AI9" s="24">
        <v>2</v>
      </c>
      <c r="AJ9" s="24">
        <v>2</v>
      </c>
      <c r="AK9" s="24">
        <v>2</v>
      </c>
      <c r="AL9" s="24">
        <v>2</v>
      </c>
      <c r="AM9" s="23"/>
      <c r="AN9" s="23"/>
      <c r="AO9" s="22" t="s">
        <v>59</v>
      </c>
      <c r="AP9" s="22" t="s">
        <v>1339</v>
      </c>
      <c r="AQ9" s="22" t="s">
        <v>1340</v>
      </c>
      <c r="AR9" s="22" t="s">
        <v>92</v>
      </c>
    </row>
    <row r="10" spans="1:44" hidden="1">
      <c r="A10" s="22" t="s">
        <v>1341</v>
      </c>
      <c r="B10" s="22" t="s">
        <v>1319</v>
      </c>
      <c r="C10" s="22" t="s">
        <v>53</v>
      </c>
      <c r="D10" s="22" t="s">
        <v>54</v>
      </c>
      <c r="E10" s="22" t="s">
        <v>55</v>
      </c>
      <c r="F10" s="22" t="s">
        <v>56</v>
      </c>
      <c r="G10" s="22" t="s">
        <v>57</v>
      </c>
      <c r="H10" s="23"/>
      <c r="I10" s="23"/>
      <c r="J10" s="22">
        <v>4</v>
      </c>
      <c r="K10" s="22">
        <v>2</v>
      </c>
      <c r="L10" s="22">
        <v>1</v>
      </c>
      <c r="M10" s="23"/>
      <c r="N10" s="22" t="s">
        <v>58</v>
      </c>
      <c r="O10" s="23"/>
      <c r="P10" s="23"/>
      <c r="Q10" s="24">
        <v>3</v>
      </c>
      <c r="R10" s="24">
        <v>2</v>
      </c>
      <c r="S10" s="24">
        <v>3</v>
      </c>
      <c r="T10" s="24">
        <v>2</v>
      </c>
      <c r="U10" s="24">
        <v>4</v>
      </c>
      <c r="V10" s="24">
        <v>4</v>
      </c>
      <c r="W10" s="24">
        <v>3</v>
      </c>
      <c r="X10" s="24">
        <v>3</v>
      </c>
      <c r="Y10" s="24">
        <v>3</v>
      </c>
      <c r="Z10" s="24">
        <v>3</v>
      </c>
      <c r="AA10" s="24">
        <v>3</v>
      </c>
      <c r="AB10" s="24">
        <v>5</v>
      </c>
      <c r="AC10" s="24">
        <v>4</v>
      </c>
      <c r="AD10" s="24">
        <v>4</v>
      </c>
      <c r="AE10" s="24">
        <v>4</v>
      </c>
      <c r="AF10" s="24">
        <v>4</v>
      </c>
      <c r="AG10" s="24">
        <v>4</v>
      </c>
      <c r="AH10" s="24">
        <v>3</v>
      </c>
      <c r="AI10" s="24">
        <v>2</v>
      </c>
      <c r="AJ10" s="24">
        <v>2</v>
      </c>
      <c r="AK10" s="24">
        <v>4</v>
      </c>
      <c r="AL10" s="24">
        <v>2</v>
      </c>
      <c r="AM10" s="23"/>
      <c r="AN10" s="23"/>
      <c r="AO10" s="22" t="s">
        <v>59</v>
      </c>
      <c r="AP10" s="22" t="s">
        <v>1342</v>
      </c>
      <c r="AQ10" s="22" t="s">
        <v>1343</v>
      </c>
      <c r="AR10" s="22" t="s">
        <v>1344</v>
      </c>
    </row>
    <row r="11" spans="1:44" hidden="1">
      <c r="A11" s="22" t="s">
        <v>1345</v>
      </c>
      <c r="B11" s="22" t="s">
        <v>1319</v>
      </c>
      <c r="C11" s="22" t="s">
        <v>53</v>
      </c>
      <c r="D11" s="22" t="s">
        <v>64</v>
      </c>
      <c r="E11" s="22" t="s">
        <v>55</v>
      </c>
      <c r="F11" s="22" t="s">
        <v>65</v>
      </c>
      <c r="G11" s="22" t="s">
        <v>80</v>
      </c>
      <c r="H11" s="23"/>
      <c r="I11" s="23"/>
      <c r="J11" s="22">
        <v>2</v>
      </c>
      <c r="K11" s="22">
        <v>3</v>
      </c>
      <c r="L11" s="22">
        <v>2</v>
      </c>
      <c r="M11" s="23"/>
      <c r="N11" s="22" t="s">
        <v>66</v>
      </c>
      <c r="O11" s="23"/>
      <c r="P11" s="23"/>
      <c r="Q11" s="24">
        <v>3</v>
      </c>
      <c r="R11" s="24">
        <v>2</v>
      </c>
      <c r="S11" s="24">
        <v>4</v>
      </c>
      <c r="T11" s="24">
        <v>4</v>
      </c>
      <c r="U11" s="24">
        <v>5</v>
      </c>
      <c r="V11" s="24">
        <v>2</v>
      </c>
      <c r="W11" s="24">
        <v>4</v>
      </c>
      <c r="X11" s="24">
        <v>2</v>
      </c>
      <c r="Y11" s="24">
        <v>4</v>
      </c>
      <c r="Z11" s="24">
        <v>3</v>
      </c>
      <c r="AA11" s="24">
        <v>2</v>
      </c>
      <c r="AB11" s="24">
        <v>5</v>
      </c>
      <c r="AC11" s="24">
        <v>5</v>
      </c>
      <c r="AD11" s="24">
        <v>5</v>
      </c>
      <c r="AE11" s="24">
        <v>5</v>
      </c>
      <c r="AF11" s="24">
        <v>5</v>
      </c>
      <c r="AG11" s="24">
        <v>5</v>
      </c>
      <c r="AH11" s="24">
        <v>4</v>
      </c>
      <c r="AI11" s="24">
        <v>1</v>
      </c>
      <c r="AJ11" s="24">
        <v>1</v>
      </c>
      <c r="AK11" s="24">
        <v>1</v>
      </c>
      <c r="AL11" s="24">
        <v>1</v>
      </c>
      <c r="AM11" s="23"/>
      <c r="AN11" s="23"/>
      <c r="AO11" s="22" t="s">
        <v>59</v>
      </c>
      <c r="AP11" s="22" t="s">
        <v>1346</v>
      </c>
      <c r="AQ11" s="22" t="s">
        <v>1347</v>
      </c>
      <c r="AR11" s="22" t="s">
        <v>1348</v>
      </c>
    </row>
    <row r="12" spans="1:44" hidden="1">
      <c r="A12" s="22" t="s">
        <v>1349</v>
      </c>
      <c r="B12" s="22" t="s">
        <v>1319</v>
      </c>
      <c r="C12" s="22" t="s">
        <v>79</v>
      </c>
      <c r="D12" s="22" t="s">
        <v>106</v>
      </c>
      <c r="E12" s="22" t="s">
        <v>72</v>
      </c>
      <c r="F12" s="22" t="s">
        <v>73</v>
      </c>
      <c r="G12" s="22" t="s">
        <v>80</v>
      </c>
      <c r="H12" s="23"/>
      <c r="I12" s="23"/>
      <c r="J12" s="22">
        <v>1</v>
      </c>
      <c r="K12" s="22">
        <v>1</v>
      </c>
      <c r="L12" s="22">
        <v>1</v>
      </c>
      <c r="M12" s="23"/>
      <c r="N12" s="22" t="s">
        <v>58</v>
      </c>
      <c r="O12" s="23"/>
      <c r="P12" s="23"/>
      <c r="Q12" s="24">
        <v>4</v>
      </c>
      <c r="R12" s="24">
        <v>3</v>
      </c>
      <c r="S12" s="24">
        <v>2</v>
      </c>
      <c r="T12" s="24">
        <v>2</v>
      </c>
      <c r="U12" s="24">
        <v>4</v>
      </c>
      <c r="V12" s="24">
        <v>2</v>
      </c>
      <c r="W12" s="24">
        <v>4</v>
      </c>
      <c r="X12" s="24">
        <v>2</v>
      </c>
      <c r="Y12" s="24">
        <v>1</v>
      </c>
      <c r="Z12" s="24">
        <v>1</v>
      </c>
      <c r="AA12" s="24">
        <v>4</v>
      </c>
      <c r="AB12" s="24">
        <v>5</v>
      </c>
      <c r="AC12" s="24">
        <v>5</v>
      </c>
      <c r="AD12" s="24">
        <v>4</v>
      </c>
      <c r="AE12" s="24">
        <v>5</v>
      </c>
      <c r="AF12" s="24">
        <v>5</v>
      </c>
      <c r="AG12" s="24">
        <v>5</v>
      </c>
      <c r="AH12" s="24">
        <v>5</v>
      </c>
      <c r="AI12" s="24">
        <v>3</v>
      </c>
      <c r="AJ12" s="24">
        <v>4</v>
      </c>
      <c r="AK12" s="24">
        <v>4</v>
      </c>
      <c r="AL12" s="24">
        <v>2</v>
      </c>
      <c r="AM12" s="23"/>
      <c r="AN12" s="23"/>
      <c r="AO12" s="22" t="s">
        <v>59</v>
      </c>
      <c r="AP12" s="22" t="s">
        <v>1350</v>
      </c>
      <c r="AQ12" s="22" t="s">
        <v>1351</v>
      </c>
      <c r="AR12" s="22" t="s">
        <v>1352</v>
      </c>
    </row>
    <row r="13" spans="1:44" hidden="1">
      <c r="A13" s="22" t="s">
        <v>1353</v>
      </c>
      <c r="B13" s="22" t="s">
        <v>1319</v>
      </c>
      <c r="C13" s="22" t="s">
        <v>95</v>
      </c>
      <c r="D13" s="22" t="s">
        <v>54</v>
      </c>
      <c r="E13" s="22" t="s">
        <v>55</v>
      </c>
      <c r="F13" s="22" t="s">
        <v>73</v>
      </c>
      <c r="G13" s="22" t="s">
        <v>96</v>
      </c>
      <c r="H13" s="23"/>
      <c r="I13" s="23"/>
      <c r="J13" s="22">
        <v>3</v>
      </c>
      <c r="K13" s="22">
        <v>3</v>
      </c>
      <c r="L13" s="22">
        <v>3</v>
      </c>
      <c r="M13" s="23"/>
      <c r="N13" s="22" t="s">
        <v>85</v>
      </c>
      <c r="O13" s="23"/>
      <c r="P13" s="23"/>
      <c r="Q13" s="24">
        <v>3</v>
      </c>
      <c r="R13" s="24">
        <v>2</v>
      </c>
      <c r="S13" s="24">
        <v>3</v>
      </c>
      <c r="T13" s="24">
        <v>2</v>
      </c>
      <c r="U13" s="24">
        <v>2</v>
      </c>
      <c r="V13" s="24">
        <v>3</v>
      </c>
      <c r="W13" s="24">
        <v>3</v>
      </c>
      <c r="X13" s="24">
        <v>2</v>
      </c>
      <c r="Y13" s="24">
        <v>2</v>
      </c>
      <c r="Z13" s="24">
        <v>2</v>
      </c>
      <c r="AA13" s="24">
        <v>4</v>
      </c>
      <c r="AB13" s="24">
        <v>3</v>
      </c>
      <c r="AC13" s="24">
        <v>3</v>
      </c>
      <c r="AD13" s="24">
        <v>3</v>
      </c>
      <c r="AE13" s="24">
        <v>3</v>
      </c>
      <c r="AF13" s="24">
        <v>3</v>
      </c>
      <c r="AG13" s="24">
        <v>3</v>
      </c>
      <c r="AH13" s="24">
        <v>3</v>
      </c>
      <c r="AI13" s="24">
        <v>3</v>
      </c>
      <c r="AJ13" s="24">
        <v>2</v>
      </c>
      <c r="AK13" s="24">
        <v>3</v>
      </c>
      <c r="AL13" s="24">
        <v>2</v>
      </c>
      <c r="AM13" s="23"/>
      <c r="AN13" s="23"/>
      <c r="AO13" s="22" t="s">
        <v>59</v>
      </c>
      <c r="AP13" s="22" t="s">
        <v>92</v>
      </c>
      <c r="AQ13" s="22" t="s">
        <v>92</v>
      </c>
      <c r="AR13" s="22" t="s">
        <v>92</v>
      </c>
    </row>
    <row r="14" spans="1:44" hidden="1">
      <c r="A14" s="22" t="s">
        <v>1354</v>
      </c>
      <c r="B14" s="22" t="s">
        <v>1319</v>
      </c>
      <c r="C14" s="22" t="s">
        <v>79</v>
      </c>
      <c r="D14" s="22" t="s">
        <v>71</v>
      </c>
      <c r="E14" s="22" t="s">
        <v>72</v>
      </c>
      <c r="F14" s="22" t="s">
        <v>73</v>
      </c>
      <c r="G14" s="22" t="s">
        <v>57</v>
      </c>
      <c r="H14" s="23"/>
      <c r="I14" s="23"/>
      <c r="J14" s="22">
        <v>3</v>
      </c>
      <c r="K14" s="22">
        <v>4</v>
      </c>
      <c r="L14" s="22">
        <v>3</v>
      </c>
      <c r="M14" s="23"/>
      <c r="N14" s="22" t="s">
        <v>91</v>
      </c>
      <c r="O14" s="23"/>
      <c r="P14" s="23"/>
      <c r="Q14" s="24">
        <v>3</v>
      </c>
      <c r="R14" s="24">
        <v>3</v>
      </c>
      <c r="S14" s="24">
        <v>3</v>
      </c>
      <c r="T14" s="24">
        <v>3</v>
      </c>
      <c r="U14" s="24">
        <v>4</v>
      </c>
      <c r="V14" s="24">
        <v>4</v>
      </c>
      <c r="W14" s="24">
        <v>4</v>
      </c>
      <c r="X14" s="24">
        <v>4</v>
      </c>
      <c r="Y14" s="24">
        <v>4</v>
      </c>
      <c r="Z14" s="24">
        <v>4</v>
      </c>
      <c r="AA14" s="24">
        <v>4</v>
      </c>
      <c r="AB14" s="24">
        <v>4</v>
      </c>
      <c r="AC14" s="24">
        <v>4</v>
      </c>
      <c r="AD14" s="24">
        <v>4</v>
      </c>
      <c r="AE14" s="24">
        <v>4</v>
      </c>
      <c r="AF14" s="24">
        <v>4</v>
      </c>
      <c r="AG14" s="24">
        <v>4</v>
      </c>
      <c r="AH14" s="24">
        <v>4</v>
      </c>
      <c r="AI14" s="24">
        <v>4</v>
      </c>
      <c r="AJ14" s="24">
        <v>2</v>
      </c>
      <c r="AK14" s="24">
        <v>4</v>
      </c>
      <c r="AL14" s="24">
        <v>3</v>
      </c>
      <c r="AM14" s="23"/>
      <c r="AN14" s="23"/>
      <c r="AO14" s="22" t="s">
        <v>74</v>
      </c>
      <c r="AP14" s="22" t="s">
        <v>1355</v>
      </c>
      <c r="AQ14" s="22" t="s">
        <v>1355</v>
      </c>
      <c r="AR14" s="22" t="s">
        <v>1356</v>
      </c>
    </row>
    <row r="15" spans="1:44" hidden="1">
      <c r="A15" s="22" t="s">
        <v>1357</v>
      </c>
      <c r="B15" s="22" t="s">
        <v>1319</v>
      </c>
      <c r="C15" s="22" t="s">
        <v>95</v>
      </c>
      <c r="D15" s="22" t="s">
        <v>54</v>
      </c>
      <c r="E15" s="22" t="s">
        <v>55</v>
      </c>
      <c r="F15" s="22" t="s">
        <v>73</v>
      </c>
      <c r="G15" s="22" t="s">
        <v>80</v>
      </c>
      <c r="H15" s="23"/>
      <c r="I15" s="23"/>
      <c r="J15" s="22">
        <v>3</v>
      </c>
      <c r="K15" s="22">
        <v>2</v>
      </c>
      <c r="L15" s="22">
        <v>2</v>
      </c>
      <c r="M15" s="23"/>
      <c r="N15" s="22" t="s">
        <v>58</v>
      </c>
      <c r="O15" s="23"/>
      <c r="P15" s="23"/>
      <c r="Q15" s="24">
        <v>2</v>
      </c>
      <c r="R15" s="24">
        <v>2</v>
      </c>
      <c r="S15" s="24">
        <v>2</v>
      </c>
      <c r="T15" s="24">
        <v>2</v>
      </c>
      <c r="U15" s="24">
        <v>2</v>
      </c>
      <c r="V15" s="24">
        <v>2</v>
      </c>
      <c r="W15" s="24">
        <v>3</v>
      </c>
      <c r="X15" s="24">
        <v>2</v>
      </c>
      <c r="Y15" s="24">
        <v>2</v>
      </c>
      <c r="Z15" s="24">
        <v>2</v>
      </c>
      <c r="AA15" s="24">
        <v>3</v>
      </c>
      <c r="AB15" s="24">
        <v>4</v>
      </c>
      <c r="AC15" s="24">
        <v>3</v>
      </c>
      <c r="AD15" s="24">
        <v>4</v>
      </c>
      <c r="AE15" s="24">
        <v>4</v>
      </c>
      <c r="AF15" s="24">
        <v>4</v>
      </c>
      <c r="AG15" s="24">
        <v>3</v>
      </c>
      <c r="AH15" s="24">
        <v>4</v>
      </c>
      <c r="AI15" s="24">
        <v>3</v>
      </c>
      <c r="AJ15" s="24">
        <v>3</v>
      </c>
      <c r="AK15" s="24">
        <v>3</v>
      </c>
      <c r="AL15" s="24">
        <v>3</v>
      </c>
      <c r="AM15" s="23"/>
      <c r="AN15" s="23"/>
      <c r="AO15" s="22" t="s">
        <v>59</v>
      </c>
      <c r="AP15" s="22" t="s">
        <v>166</v>
      </c>
      <c r="AQ15" s="22" t="s">
        <v>166</v>
      </c>
      <c r="AR15" s="22" t="s">
        <v>1358</v>
      </c>
    </row>
    <row r="16" spans="1:44" hidden="1">
      <c r="A16" s="22" t="s">
        <v>1359</v>
      </c>
      <c r="B16" s="22" t="s">
        <v>1319</v>
      </c>
      <c r="C16" s="22" t="s">
        <v>95</v>
      </c>
      <c r="D16" s="22" t="s">
        <v>54</v>
      </c>
      <c r="E16" s="22" t="s">
        <v>55</v>
      </c>
      <c r="F16" s="22" t="s">
        <v>73</v>
      </c>
      <c r="G16" s="22" t="s">
        <v>57</v>
      </c>
      <c r="H16" s="23"/>
      <c r="I16" s="23"/>
      <c r="J16" s="22">
        <v>5</v>
      </c>
      <c r="K16" s="22">
        <v>2</v>
      </c>
      <c r="L16" s="22">
        <v>2</v>
      </c>
      <c r="M16" s="23"/>
      <c r="N16" s="22" t="s">
        <v>115</v>
      </c>
      <c r="O16" s="23"/>
      <c r="P16" s="23"/>
      <c r="Q16" s="24">
        <v>4</v>
      </c>
      <c r="R16" s="24">
        <v>4</v>
      </c>
      <c r="S16" s="24">
        <v>4</v>
      </c>
      <c r="T16" s="24">
        <v>4</v>
      </c>
      <c r="U16" s="24">
        <v>4</v>
      </c>
      <c r="V16" s="24">
        <v>4</v>
      </c>
      <c r="W16" s="24">
        <v>4</v>
      </c>
      <c r="X16" s="24">
        <v>4</v>
      </c>
      <c r="Y16" s="24">
        <v>3</v>
      </c>
      <c r="Z16" s="24">
        <v>3</v>
      </c>
      <c r="AA16" s="24">
        <v>4</v>
      </c>
      <c r="AB16" s="24">
        <v>4</v>
      </c>
      <c r="AC16" s="24">
        <v>4</v>
      </c>
      <c r="AD16" s="24">
        <v>4</v>
      </c>
      <c r="AE16" s="24">
        <v>4</v>
      </c>
      <c r="AF16" s="24">
        <v>4</v>
      </c>
      <c r="AG16" s="24">
        <v>4</v>
      </c>
      <c r="AH16" s="24">
        <v>4</v>
      </c>
      <c r="AI16" s="24">
        <v>4</v>
      </c>
      <c r="AJ16" s="24">
        <v>4</v>
      </c>
      <c r="AK16" s="24">
        <v>4</v>
      </c>
      <c r="AL16" s="24">
        <v>4</v>
      </c>
      <c r="AM16" s="23"/>
      <c r="AN16" s="23"/>
      <c r="AO16" s="22" t="s">
        <v>74</v>
      </c>
      <c r="AP16" s="22" t="s">
        <v>1360</v>
      </c>
      <c r="AQ16" s="22" t="s">
        <v>1361</v>
      </c>
      <c r="AR16" s="22" t="s">
        <v>92</v>
      </c>
    </row>
    <row r="17" spans="1:44" hidden="1">
      <c r="A17" s="22" t="s">
        <v>1362</v>
      </c>
      <c r="B17" s="22" t="s">
        <v>1319</v>
      </c>
      <c r="C17" s="22" t="s">
        <v>53</v>
      </c>
      <c r="D17" s="22" t="s">
        <v>64</v>
      </c>
      <c r="E17" s="22" t="s">
        <v>55</v>
      </c>
      <c r="F17" s="22" t="s">
        <v>56</v>
      </c>
      <c r="G17" s="22" t="s">
        <v>57</v>
      </c>
      <c r="H17" s="23"/>
      <c r="I17" s="23"/>
      <c r="J17" s="22">
        <v>3</v>
      </c>
      <c r="K17" s="22">
        <v>2</v>
      </c>
      <c r="L17" s="22">
        <v>1</v>
      </c>
      <c r="M17" s="23"/>
      <c r="N17" s="22" t="s">
        <v>58</v>
      </c>
      <c r="O17" s="23"/>
      <c r="P17" s="23"/>
      <c r="Q17" s="24">
        <v>4</v>
      </c>
      <c r="R17" s="24">
        <v>3</v>
      </c>
      <c r="S17" s="24">
        <v>2</v>
      </c>
      <c r="T17" s="24">
        <v>2</v>
      </c>
      <c r="U17" s="24">
        <v>2</v>
      </c>
      <c r="V17" s="24">
        <v>1</v>
      </c>
      <c r="W17" s="24">
        <v>5</v>
      </c>
      <c r="X17" s="24">
        <v>5</v>
      </c>
      <c r="Y17" s="24">
        <v>5</v>
      </c>
      <c r="Z17" s="24">
        <v>5</v>
      </c>
      <c r="AA17" s="24">
        <v>4</v>
      </c>
      <c r="AB17" s="24">
        <v>4</v>
      </c>
      <c r="AC17" s="24">
        <v>5</v>
      </c>
      <c r="AD17" s="24">
        <v>5</v>
      </c>
      <c r="AE17" s="24">
        <v>5</v>
      </c>
      <c r="AF17" s="24">
        <v>5</v>
      </c>
      <c r="AG17" s="24">
        <v>5</v>
      </c>
      <c r="AH17" s="24">
        <v>5</v>
      </c>
      <c r="AI17" s="24">
        <v>4</v>
      </c>
      <c r="AJ17" s="24">
        <v>4</v>
      </c>
      <c r="AK17" s="24">
        <v>4</v>
      </c>
      <c r="AL17" s="24">
        <v>4</v>
      </c>
      <c r="AM17" s="23"/>
      <c r="AN17" s="23"/>
      <c r="AO17" s="22" t="s">
        <v>59</v>
      </c>
      <c r="AP17" s="22" t="s">
        <v>1363</v>
      </c>
      <c r="AQ17" s="22" t="s">
        <v>1363</v>
      </c>
      <c r="AR17" s="22" t="s">
        <v>1364</v>
      </c>
    </row>
    <row r="18" spans="1:44" hidden="1">
      <c r="A18" s="22" t="s">
        <v>1365</v>
      </c>
      <c r="B18" s="22" t="s">
        <v>1319</v>
      </c>
      <c r="C18" s="22" t="s">
        <v>95</v>
      </c>
      <c r="D18" s="22" t="s">
        <v>64</v>
      </c>
      <c r="E18" s="22" t="s">
        <v>55</v>
      </c>
      <c r="F18" s="22" t="s">
        <v>56</v>
      </c>
      <c r="G18" s="22" t="s">
        <v>57</v>
      </c>
      <c r="H18" s="23"/>
      <c r="I18" s="23"/>
      <c r="J18" s="22">
        <v>5</v>
      </c>
      <c r="K18" s="22">
        <v>5</v>
      </c>
      <c r="L18" s="22">
        <v>2</v>
      </c>
      <c r="M18" s="23"/>
      <c r="N18" s="22" t="s">
        <v>58</v>
      </c>
      <c r="O18" s="23"/>
      <c r="P18" s="23"/>
      <c r="Q18" s="24">
        <v>2</v>
      </c>
      <c r="R18" s="24">
        <v>2</v>
      </c>
      <c r="S18" s="24">
        <v>4</v>
      </c>
      <c r="T18" s="24">
        <v>3</v>
      </c>
      <c r="U18" s="24">
        <v>4</v>
      </c>
      <c r="V18" s="24">
        <v>5</v>
      </c>
      <c r="W18" s="24">
        <v>5</v>
      </c>
      <c r="X18" s="24">
        <v>5</v>
      </c>
      <c r="Y18" s="24">
        <v>5</v>
      </c>
      <c r="Z18" s="24">
        <v>3</v>
      </c>
      <c r="AA18" s="24">
        <v>4</v>
      </c>
      <c r="AB18" s="24">
        <v>5</v>
      </c>
      <c r="AC18" s="24">
        <v>5</v>
      </c>
      <c r="AD18" s="24">
        <v>5</v>
      </c>
      <c r="AE18" s="24">
        <v>5</v>
      </c>
      <c r="AF18" s="24">
        <v>5</v>
      </c>
      <c r="AG18" s="24">
        <v>5</v>
      </c>
      <c r="AH18" s="24">
        <v>5</v>
      </c>
      <c r="AI18" s="24">
        <v>5</v>
      </c>
      <c r="AJ18" s="24">
        <v>5</v>
      </c>
      <c r="AK18" s="24">
        <v>2</v>
      </c>
      <c r="AL18" s="24">
        <v>1</v>
      </c>
      <c r="AM18" s="23"/>
      <c r="AN18" s="23"/>
      <c r="AO18" s="22" t="s">
        <v>74</v>
      </c>
      <c r="AP18" s="22" t="s">
        <v>92</v>
      </c>
      <c r="AQ18" s="22" t="s">
        <v>1321</v>
      </c>
      <c r="AR18" s="22" t="s">
        <v>92</v>
      </c>
    </row>
    <row r="19" spans="1:44" hidden="1">
      <c r="A19" s="22" t="s">
        <v>1366</v>
      </c>
      <c r="B19" s="22" t="s">
        <v>1319</v>
      </c>
      <c r="C19" s="22" t="s">
        <v>53</v>
      </c>
      <c r="D19" s="22" t="s">
        <v>54</v>
      </c>
      <c r="E19" s="22" t="s">
        <v>55</v>
      </c>
      <c r="F19" s="22" t="s">
        <v>56</v>
      </c>
      <c r="G19" s="22" t="s">
        <v>57</v>
      </c>
      <c r="H19" s="23"/>
      <c r="I19" s="23"/>
      <c r="J19" s="22">
        <v>3</v>
      </c>
      <c r="K19" s="22">
        <v>3</v>
      </c>
      <c r="L19" s="22">
        <v>2</v>
      </c>
      <c r="M19" s="23"/>
      <c r="N19" s="22" t="s">
        <v>115</v>
      </c>
      <c r="O19" s="23"/>
      <c r="P19" s="23"/>
      <c r="Q19" s="24">
        <v>3</v>
      </c>
      <c r="R19" s="24">
        <v>3</v>
      </c>
      <c r="S19" s="24">
        <v>4</v>
      </c>
      <c r="T19" s="24">
        <v>3</v>
      </c>
      <c r="U19" s="24">
        <v>3</v>
      </c>
      <c r="V19" s="24">
        <v>4</v>
      </c>
      <c r="W19" s="24">
        <v>4</v>
      </c>
      <c r="X19" s="24">
        <v>4</v>
      </c>
      <c r="Y19" s="24">
        <v>4</v>
      </c>
      <c r="Z19" s="24">
        <v>4</v>
      </c>
      <c r="AA19" s="24">
        <v>4</v>
      </c>
      <c r="AB19" s="24">
        <v>4</v>
      </c>
      <c r="AC19" s="24">
        <v>4</v>
      </c>
      <c r="AD19" s="24">
        <v>4</v>
      </c>
      <c r="AE19" s="24">
        <v>3</v>
      </c>
      <c r="AF19" s="24">
        <v>4</v>
      </c>
      <c r="AG19" s="24">
        <v>4</v>
      </c>
      <c r="AH19" s="24">
        <v>4</v>
      </c>
      <c r="AI19" s="24">
        <v>4</v>
      </c>
      <c r="AJ19" s="24">
        <v>3</v>
      </c>
      <c r="AK19" s="24">
        <v>4</v>
      </c>
      <c r="AL19" s="24">
        <v>4</v>
      </c>
      <c r="AM19" s="23"/>
      <c r="AN19" s="23"/>
      <c r="AO19" s="22" t="s">
        <v>59</v>
      </c>
      <c r="AP19" s="22" t="s">
        <v>1367</v>
      </c>
      <c r="AQ19" s="22" t="s">
        <v>1368</v>
      </c>
      <c r="AR19" s="22" t="s">
        <v>1369</v>
      </c>
    </row>
    <row r="20" spans="1:44" hidden="1">
      <c r="A20" s="22" t="s">
        <v>1370</v>
      </c>
      <c r="B20" s="22" t="s">
        <v>1319</v>
      </c>
      <c r="C20" s="22" t="s">
        <v>90</v>
      </c>
      <c r="D20" s="22" t="s">
        <v>98</v>
      </c>
      <c r="E20" s="22" t="s">
        <v>55</v>
      </c>
      <c r="F20" s="22" t="s">
        <v>136</v>
      </c>
      <c r="G20" s="22" t="s">
        <v>80</v>
      </c>
      <c r="H20" s="23"/>
      <c r="I20" s="23"/>
      <c r="J20" s="22">
        <v>4</v>
      </c>
      <c r="K20" s="22">
        <v>2</v>
      </c>
      <c r="L20" s="22">
        <v>1</v>
      </c>
      <c r="M20" s="23"/>
      <c r="N20" s="22" t="s">
        <v>58</v>
      </c>
      <c r="O20" s="23"/>
      <c r="P20" s="23"/>
      <c r="Q20" s="24">
        <v>4</v>
      </c>
      <c r="R20" s="24">
        <v>3</v>
      </c>
      <c r="S20" s="24">
        <v>4</v>
      </c>
      <c r="T20" s="24">
        <v>3</v>
      </c>
      <c r="U20" s="24">
        <v>5</v>
      </c>
      <c r="V20" s="24">
        <v>4</v>
      </c>
      <c r="W20" s="24">
        <v>4</v>
      </c>
      <c r="X20" s="24">
        <v>4</v>
      </c>
      <c r="Y20" s="24">
        <v>3</v>
      </c>
      <c r="Z20" s="24">
        <v>5</v>
      </c>
      <c r="AA20" s="24">
        <v>5</v>
      </c>
      <c r="AB20" s="24">
        <v>5</v>
      </c>
      <c r="AC20" s="24">
        <v>5</v>
      </c>
      <c r="AD20" s="24">
        <v>5</v>
      </c>
      <c r="AE20" s="24">
        <v>5</v>
      </c>
      <c r="AF20" s="24">
        <v>5</v>
      </c>
      <c r="AG20" s="24">
        <v>5</v>
      </c>
      <c r="AH20" s="24">
        <v>5</v>
      </c>
      <c r="AI20" s="24">
        <v>2</v>
      </c>
      <c r="AJ20" s="24">
        <v>3</v>
      </c>
      <c r="AK20" s="24">
        <v>5</v>
      </c>
      <c r="AL20" s="24">
        <v>2</v>
      </c>
      <c r="AM20" s="23"/>
      <c r="AN20" s="23"/>
      <c r="AO20" s="22" t="s">
        <v>59</v>
      </c>
      <c r="AP20" s="22" t="s">
        <v>1371</v>
      </c>
      <c r="AQ20" s="22" t="s">
        <v>1372</v>
      </c>
      <c r="AR20" s="22" t="s">
        <v>1373</v>
      </c>
    </row>
    <row r="21" spans="1:44" hidden="1">
      <c r="A21" s="22" t="s">
        <v>1374</v>
      </c>
      <c r="B21" s="22" t="s">
        <v>1319</v>
      </c>
      <c r="C21" s="22" t="s">
        <v>53</v>
      </c>
      <c r="D21" s="22" t="s">
        <v>64</v>
      </c>
      <c r="E21" s="22" t="s">
        <v>55</v>
      </c>
      <c r="F21" s="22" t="s">
        <v>65</v>
      </c>
      <c r="G21" s="22" t="s">
        <v>57</v>
      </c>
      <c r="H21" s="23"/>
      <c r="I21" s="23"/>
      <c r="J21" s="22">
        <v>5</v>
      </c>
      <c r="K21" s="22">
        <v>5</v>
      </c>
      <c r="L21" s="22">
        <v>5</v>
      </c>
      <c r="M21" s="23"/>
      <c r="N21" s="22" t="s">
        <v>66</v>
      </c>
      <c r="O21" s="23"/>
      <c r="P21" s="23"/>
      <c r="Q21" s="24">
        <v>4</v>
      </c>
      <c r="R21" s="24">
        <v>2</v>
      </c>
      <c r="S21" s="24">
        <v>4</v>
      </c>
      <c r="T21" s="24">
        <v>4</v>
      </c>
      <c r="U21" s="24">
        <v>4</v>
      </c>
      <c r="V21" s="24">
        <v>4</v>
      </c>
      <c r="W21" s="24">
        <v>4</v>
      </c>
      <c r="X21" s="24">
        <v>4</v>
      </c>
      <c r="Y21" s="24">
        <v>4</v>
      </c>
      <c r="Z21" s="24">
        <v>4</v>
      </c>
      <c r="AA21" s="24">
        <v>4</v>
      </c>
      <c r="AB21" s="24">
        <v>4</v>
      </c>
      <c r="AC21" s="24">
        <v>4</v>
      </c>
      <c r="AD21" s="24">
        <v>4</v>
      </c>
      <c r="AE21" s="24">
        <v>5</v>
      </c>
      <c r="AF21" s="24">
        <v>4</v>
      </c>
      <c r="AG21" s="24">
        <v>5</v>
      </c>
      <c r="AH21" s="24">
        <v>5</v>
      </c>
      <c r="AI21" s="24">
        <v>4</v>
      </c>
      <c r="AJ21" s="24">
        <v>4</v>
      </c>
      <c r="AK21" s="24">
        <v>4</v>
      </c>
      <c r="AL21" s="24">
        <v>4</v>
      </c>
      <c r="AM21" s="23"/>
      <c r="AN21" s="23"/>
      <c r="AO21" s="22" t="s">
        <v>74</v>
      </c>
      <c r="AP21" s="22" t="s">
        <v>1375</v>
      </c>
      <c r="AQ21" s="22" t="s">
        <v>1376</v>
      </c>
      <c r="AR21" s="22" t="s">
        <v>1377</v>
      </c>
    </row>
    <row r="22" spans="1:44" hidden="1">
      <c r="A22" s="22" t="s">
        <v>1378</v>
      </c>
      <c r="B22" s="22" t="s">
        <v>1319</v>
      </c>
      <c r="C22" s="22" t="s">
        <v>53</v>
      </c>
      <c r="D22" s="22" t="s">
        <v>98</v>
      </c>
      <c r="E22" s="22" t="s">
        <v>55</v>
      </c>
      <c r="F22" s="22" t="s">
        <v>136</v>
      </c>
      <c r="G22" s="22" t="s">
        <v>96</v>
      </c>
      <c r="H22" s="23"/>
      <c r="I22" s="23"/>
      <c r="J22" s="22">
        <v>1</v>
      </c>
      <c r="K22" s="22">
        <v>1</v>
      </c>
      <c r="L22" s="22">
        <v>1</v>
      </c>
      <c r="M22" s="23"/>
      <c r="N22" s="22" t="s">
        <v>85</v>
      </c>
      <c r="O22" s="23"/>
      <c r="P22" s="23"/>
      <c r="Q22" s="24">
        <v>1</v>
      </c>
      <c r="R22" s="24">
        <v>1</v>
      </c>
      <c r="S22" s="24">
        <v>2</v>
      </c>
      <c r="T22" s="24">
        <v>2</v>
      </c>
      <c r="U22" s="24">
        <v>2</v>
      </c>
      <c r="V22" s="24">
        <v>3</v>
      </c>
      <c r="W22" s="24">
        <v>3</v>
      </c>
      <c r="X22" s="24">
        <v>3</v>
      </c>
      <c r="Y22" s="24">
        <v>3</v>
      </c>
      <c r="Z22" s="24">
        <v>3</v>
      </c>
      <c r="AA22" s="24">
        <v>4</v>
      </c>
      <c r="AB22" s="24">
        <v>4</v>
      </c>
      <c r="AC22" s="24">
        <v>4</v>
      </c>
      <c r="AD22" s="24">
        <v>3</v>
      </c>
      <c r="AE22" s="24">
        <v>3</v>
      </c>
      <c r="AF22" s="24">
        <v>3</v>
      </c>
      <c r="AG22" s="24">
        <v>3</v>
      </c>
      <c r="AH22" s="24">
        <v>4</v>
      </c>
      <c r="AI22" s="24">
        <v>3</v>
      </c>
      <c r="AJ22" s="24">
        <v>3</v>
      </c>
      <c r="AK22" s="24">
        <v>4</v>
      </c>
      <c r="AL22" s="24">
        <v>4</v>
      </c>
      <c r="AM22" s="23"/>
      <c r="AN22" s="23"/>
      <c r="AO22" s="22" t="s">
        <v>59</v>
      </c>
      <c r="AP22" s="22" t="s">
        <v>1379</v>
      </c>
      <c r="AQ22" s="22" t="s">
        <v>1380</v>
      </c>
      <c r="AR22" s="22" t="s">
        <v>1381</v>
      </c>
    </row>
    <row r="23" spans="1:44" hidden="1">
      <c r="A23" s="22" t="s">
        <v>1382</v>
      </c>
      <c r="B23" s="22" t="s">
        <v>1319</v>
      </c>
      <c r="C23" s="22" t="s">
        <v>95</v>
      </c>
      <c r="D23" s="22" t="s">
        <v>64</v>
      </c>
      <c r="E23" s="22" t="s">
        <v>55</v>
      </c>
      <c r="F23" s="22" t="s">
        <v>65</v>
      </c>
      <c r="G23" s="22" t="s">
        <v>57</v>
      </c>
      <c r="H23" s="23"/>
      <c r="I23" s="23"/>
      <c r="J23" s="22">
        <v>5</v>
      </c>
      <c r="K23" s="22">
        <v>5</v>
      </c>
      <c r="L23" s="22">
        <v>5</v>
      </c>
      <c r="M23" s="23"/>
      <c r="N23" s="22" t="s">
        <v>91</v>
      </c>
      <c r="O23" s="23"/>
      <c r="P23" s="23"/>
      <c r="Q23" s="24">
        <v>3</v>
      </c>
      <c r="R23" s="24">
        <v>5</v>
      </c>
      <c r="S23" s="24">
        <v>5</v>
      </c>
      <c r="T23" s="24">
        <v>5</v>
      </c>
      <c r="U23" s="24">
        <v>5</v>
      </c>
      <c r="V23" s="24">
        <v>5</v>
      </c>
      <c r="W23" s="24">
        <v>5</v>
      </c>
      <c r="X23" s="24">
        <v>5</v>
      </c>
      <c r="Y23" s="24">
        <v>5</v>
      </c>
      <c r="Z23" s="24">
        <v>5</v>
      </c>
      <c r="AA23" s="24">
        <v>5</v>
      </c>
      <c r="AB23" s="24">
        <v>5</v>
      </c>
      <c r="AC23" s="24">
        <v>5</v>
      </c>
      <c r="AD23" s="24">
        <v>5</v>
      </c>
      <c r="AE23" s="24">
        <v>5</v>
      </c>
      <c r="AF23" s="24">
        <v>5</v>
      </c>
      <c r="AG23" s="24">
        <v>5</v>
      </c>
      <c r="AH23" s="24">
        <v>5</v>
      </c>
      <c r="AI23" s="24">
        <v>5</v>
      </c>
      <c r="AJ23" s="24">
        <v>5</v>
      </c>
      <c r="AK23" s="24">
        <v>5</v>
      </c>
      <c r="AL23" s="24">
        <v>5</v>
      </c>
      <c r="AM23" s="23"/>
      <c r="AN23" s="23"/>
      <c r="AO23" s="22" t="s">
        <v>59</v>
      </c>
      <c r="AP23" s="22" t="s">
        <v>1383</v>
      </c>
      <c r="AQ23" s="22" t="s">
        <v>1384</v>
      </c>
      <c r="AR23" s="22" t="s">
        <v>1385</v>
      </c>
    </row>
    <row r="24" spans="1:44" hidden="1">
      <c r="A24" s="22" t="s">
        <v>1386</v>
      </c>
      <c r="B24" s="22" t="s">
        <v>1319</v>
      </c>
      <c r="C24" s="22" t="s">
        <v>53</v>
      </c>
      <c r="D24" s="22" t="s">
        <v>54</v>
      </c>
      <c r="E24" s="22" t="s">
        <v>55</v>
      </c>
      <c r="F24" s="22" t="s">
        <v>73</v>
      </c>
      <c r="G24" s="22" t="s">
        <v>80</v>
      </c>
      <c r="H24" s="23"/>
      <c r="I24" s="23"/>
      <c r="J24" s="22">
        <v>2</v>
      </c>
      <c r="K24" s="22">
        <v>2</v>
      </c>
      <c r="L24" s="22">
        <v>1</v>
      </c>
      <c r="M24" s="23"/>
      <c r="N24" s="22" t="s">
        <v>58</v>
      </c>
      <c r="O24" s="23"/>
      <c r="P24" s="23"/>
      <c r="Q24" s="24">
        <v>4</v>
      </c>
      <c r="R24" s="24">
        <v>2</v>
      </c>
      <c r="S24" s="24">
        <v>2</v>
      </c>
      <c r="T24" s="24">
        <v>2</v>
      </c>
      <c r="U24" s="24">
        <v>3</v>
      </c>
      <c r="V24" s="24">
        <v>3</v>
      </c>
      <c r="W24" s="24">
        <v>2</v>
      </c>
      <c r="X24" s="24">
        <v>2</v>
      </c>
      <c r="Y24" s="24">
        <v>2</v>
      </c>
      <c r="Z24" s="24">
        <v>3</v>
      </c>
      <c r="AA24" s="24">
        <v>4</v>
      </c>
      <c r="AB24" s="24">
        <v>4</v>
      </c>
      <c r="AC24" s="24">
        <v>4</v>
      </c>
      <c r="AD24" s="24">
        <v>3</v>
      </c>
      <c r="AE24" s="24">
        <v>3</v>
      </c>
      <c r="AF24" s="24">
        <v>3</v>
      </c>
      <c r="AG24" s="24">
        <v>2</v>
      </c>
      <c r="AH24" s="24">
        <v>3</v>
      </c>
      <c r="AI24" s="24">
        <v>3</v>
      </c>
      <c r="AJ24" s="24">
        <v>3</v>
      </c>
      <c r="AK24" s="24">
        <v>3</v>
      </c>
      <c r="AL24" s="24">
        <v>3</v>
      </c>
      <c r="AM24" s="23"/>
      <c r="AN24" s="23"/>
      <c r="AO24" s="22" t="s">
        <v>59</v>
      </c>
      <c r="AP24" s="22" t="s">
        <v>1387</v>
      </c>
      <c r="AQ24" s="22" t="s">
        <v>1388</v>
      </c>
      <c r="AR24" s="22" t="s">
        <v>1389</v>
      </c>
    </row>
    <row r="25" spans="1:44" hidden="1">
      <c r="A25" s="22" t="s">
        <v>1390</v>
      </c>
      <c r="B25" s="22" t="s">
        <v>1319</v>
      </c>
      <c r="C25" s="22" t="s">
        <v>95</v>
      </c>
      <c r="D25" s="22" t="s">
        <v>71</v>
      </c>
      <c r="E25" s="22" t="s">
        <v>72</v>
      </c>
      <c r="F25" s="22" t="s">
        <v>73</v>
      </c>
      <c r="G25" s="22" t="s">
        <v>129</v>
      </c>
      <c r="H25" s="23"/>
      <c r="I25" s="23"/>
      <c r="J25" s="22">
        <v>2</v>
      </c>
      <c r="K25" s="22">
        <v>2</v>
      </c>
      <c r="L25" s="22">
        <v>2</v>
      </c>
      <c r="M25" s="23"/>
      <c r="N25" s="22" t="s">
        <v>85</v>
      </c>
      <c r="O25" s="23"/>
      <c r="P25" s="23"/>
      <c r="Q25" s="24">
        <v>3</v>
      </c>
      <c r="R25" s="24">
        <v>2</v>
      </c>
      <c r="S25" s="24">
        <v>2</v>
      </c>
      <c r="T25" s="24">
        <v>2</v>
      </c>
      <c r="U25" s="24">
        <v>2</v>
      </c>
      <c r="V25" s="24">
        <v>2</v>
      </c>
      <c r="W25" s="24">
        <v>4</v>
      </c>
      <c r="X25" s="24">
        <v>4</v>
      </c>
      <c r="Y25" s="24">
        <v>2</v>
      </c>
      <c r="Z25" s="24">
        <v>3</v>
      </c>
      <c r="AA25" s="24">
        <v>5</v>
      </c>
      <c r="AB25" s="24">
        <v>5</v>
      </c>
      <c r="AC25" s="24">
        <v>5</v>
      </c>
      <c r="AD25" s="24">
        <v>5</v>
      </c>
      <c r="AE25" s="24">
        <v>3</v>
      </c>
      <c r="AF25" s="24">
        <v>4</v>
      </c>
      <c r="AG25" s="24">
        <v>4</v>
      </c>
      <c r="AH25" s="24">
        <v>4</v>
      </c>
      <c r="AI25" s="24">
        <v>4</v>
      </c>
      <c r="AJ25" s="24">
        <v>3</v>
      </c>
      <c r="AK25" s="24">
        <v>2</v>
      </c>
      <c r="AL25" s="24">
        <v>3</v>
      </c>
      <c r="AM25" s="23"/>
      <c r="AN25" s="23"/>
      <c r="AO25" s="22" t="s">
        <v>59</v>
      </c>
      <c r="AP25" s="22" t="s">
        <v>59</v>
      </c>
      <c r="AQ25" s="22" t="s">
        <v>1391</v>
      </c>
      <c r="AR25" s="22" t="s">
        <v>1392</v>
      </c>
    </row>
    <row r="26" spans="1:44" hidden="1">
      <c r="A26" s="22" t="s">
        <v>1393</v>
      </c>
      <c r="B26" s="22" t="s">
        <v>1319</v>
      </c>
      <c r="C26" s="22" t="s">
        <v>53</v>
      </c>
      <c r="D26" s="22" t="s">
        <v>106</v>
      </c>
      <c r="E26" s="22" t="s">
        <v>72</v>
      </c>
      <c r="F26" s="22" t="s">
        <v>73</v>
      </c>
      <c r="G26" s="22" t="s">
        <v>57</v>
      </c>
      <c r="H26" s="23"/>
      <c r="I26" s="23"/>
      <c r="J26" s="22">
        <v>3</v>
      </c>
      <c r="K26" s="22">
        <v>2</v>
      </c>
      <c r="L26" s="22">
        <v>2</v>
      </c>
      <c r="M26" s="23"/>
      <c r="N26" s="22" t="s">
        <v>58</v>
      </c>
      <c r="O26" s="23"/>
      <c r="P26" s="23"/>
      <c r="Q26" s="24">
        <v>3</v>
      </c>
      <c r="R26" s="24">
        <v>3</v>
      </c>
      <c r="S26" s="24">
        <v>3</v>
      </c>
      <c r="T26" s="24">
        <v>2</v>
      </c>
      <c r="U26" s="24">
        <v>3</v>
      </c>
      <c r="V26" s="24">
        <v>3</v>
      </c>
      <c r="W26" s="24">
        <v>4</v>
      </c>
      <c r="X26" s="24">
        <v>4</v>
      </c>
      <c r="Y26" s="24">
        <v>3</v>
      </c>
      <c r="Z26" s="24">
        <v>3</v>
      </c>
      <c r="AA26" s="24">
        <v>4</v>
      </c>
      <c r="AB26" s="24">
        <v>4</v>
      </c>
      <c r="AC26" s="24">
        <v>4</v>
      </c>
      <c r="AD26" s="24">
        <v>4</v>
      </c>
      <c r="AE26" s="24">
        <v>4</v>
      </c>
      <c r="AF26" s="24">
        <v>4</v>
      </c>
      <c r="AG26" s="24">
        <v>4</v>
      </c>
      <c r="AH26" s="24">
        <v>4</v>
      </c>
      <c r="AI26" s="24">
        <v>3</v>
      </c>
      <c r="AJ26" s="24">
        <v>2</v>
      </c>
      <c r="AK26" s="24">
        <v>3</v>
      </c>
      <c r="AL26" s="24">
        <v>3</v>
      </c>
      <c r="AM26" s="23"/>
      <c r="AN26" s="23"/>
      <c r="AO26" s="22" t="s">
        <v>74</v>
      </c>
      <c r="AP26" s="22" t="s">
        <v>1394</v>
      </c>
      <c r="AQ26" s="22" t="s">
        <v>1395</v>
      </c>
      <c r="AR26" s="22" t="s">
        <v>1396</v>
      </c>
    </row>
    <row r="27" spans="1:44">
      <c r="A27" s="22" t="s">
        <v>1397</v>
      </c>
      <c r="B27" s="22" t="s">
        <v>1319</v>
      </c>
      <c r="C27" s="22" t="s">
        <v>53</v>
      </c>
      <c r="D27" s="22" t="s">
        <v>98</v>
      </c>
      <c r="E27" s="22" t="s">
        <v>72</v>
      </c>
      <c r="F27" s="22" t="s">
        <v>136</v>
      </c>
      <c r="G27" s="22" t="s">
        <v>57</v>
      </c>
      <c r="H27" s="23"/>
      <c r="I27" s="23"/>
      <c r="J27" s="22">
        <v>1</v>
      </c>
      <c r="K27" s="22">
        <v>1</v>
      </c>
      <c r="L27" s="22">
        <v>1</v>
      </c>
      <c r="M27" s="23"/>
      <c r="N27" s="22" t="s">
        <v>58</v>
      </c>
      <c r="O27" s="23"/>
      <c r="P27" s="23"/>
      <c r="Q27" s="24">
        <v>4</v>
      </c>
      <c r="R27" s="24">
        <v>3</v>
      </c>
      <c r="S27" s="24">
        <v>4</v>
      </c>
      <c r="T27" s="24">
        <v>4</v>
      </c>
      <c r="U27" s="24">
        <v>5</v>
      </c>
      <c r="V27" s="24">
        <v>4</v>
      </c>
      <c r="W27" s="24">
        <v>5</v>
      </c>
      <c r="X27" s="24">
        <v>5</v>
      </c>
      <c r="Y27" s="24">
        <v>4</v>
      </c>
      <c r="Z27" s="24">
        <v>5</v>
      </c>
      <c r="AA27" s="24">
        <v>4</v>
      </c>
      <c r="AB27" s="24">
        <v>5</v>
      </c>
      <c r="AC27" s="24">
        <v>5</v>
      </c>
      <c r="AD27" s="24">
        <v>4</v>
      </c>
      <c r="AE27" s="24">
        <v>5</v>
      </c>
      <c r="AF27" s="24">
        <v>4</v>
      </c>
      <c r="AG27" s="24">
        <v>4</v>
      </c>
      <c r="AH27" s="24">
        <v>4</v>
      </c>
      <c r="AI27" s="24">
        <v>3</v>
      </c>
      <c r="AJ27" s="24">
        <v>3</v>
      </c>
      <c r="AK27" s="24">
        <v>3</v>
      </c>
      <c r="AL27" s="24">
        <v>1</v>
      </c>
      <c r="AM27" s="23"/>
      <c r="AN27" s="23"/>
      <c r="AO27" s="22" t="s">
        <v>59</v>
      </c>
      <c r="AP27" s="22" t="s">
        <v>1398</v>
      </c>
      <c r="AQ27" s="22" t="s">
        <v>1399</v>
      </c>
      <c r="AR27" s="22" t="s">
        <v>1400</v>
      </c>
    </row>
    <row r="28" spans="1:44">
      <c r="A28" s="22" t="s">
        <v>1401</v>
      </c>
      <c r="B28" s="22" t="s">
        <v>1319</v>
      </c>
      <c r="C28" s="22" t="s">
        <v>90</v>
      </c>
      <c r="D28" s="22" t="s">
        <v>64</v>
      </c>
      <c r="E28" s="22" t="s">
        <v>55</v>
      </c>
      <c r="F28" s="22" t="s">
        <v>65</v>
      </c>
      <c r="G28" s="22" t="s">
        <v>57</v>
      </c>
      <c r="H28" s="23"/>
      <c r="I28" s="23"/>
      <c r="J28" s="22">
        <v>5</v>
      </c>
      <c r="K28" s="22">
        <v>3</v>
      </c>
      <c r="L28" s="22">
        <v>2</v>
      </c>
      <c r="M28" s="23"/>
      <c r="N28" s="22" t="s">
        <v>58</v>
      </c>
      <c r="O28" s="23"/>
      <c r="P28" s="23"/>
      <c r="Q28" s="24">
        <v>2</v>
      </c>
      <c r="R28" s="24">
        <v>2</v>
      </c>
      <c r="S28" s="24">
        <v>3</v>
      </c>
      <c r="T28" s="24">
        <v>3</v>
      </c>
      <c r="U28" s="24">
        <v>4</v>
      </c>
      <c r="V28" s="24">
        <v>3</v>
      </c>
      <c r="W28" s="24">
        <v>4</v>
      </c>
      <c r="X28" s="24">
        <v>3</v>
      </c>
      <c r="Y28" s="24">
        <v>4</v>
      </c>
      <c r="Z28" s="24">
        <v>4</v>
      </c>
      <c r="AA28" s="24">
        <v>3</v>
      </c>
      <c r="AB28" s="24">
        <v>4</v>
      </c>
      <c r="AC28" s="24">
        <v>5</v>
      </c>
      <c r="AD28" s="24">
        <v>4</v>
      </c>
      <c r="AE28" s="24">
        <v>5</v>
      </c>
      <c r="AF28" s="24">
        <v>5</v>
      </c>
      <c r="AG28" s="24">
        <v>5</v>
      </c>
      <c r="AH28" s="24">
        <v>4</v>
      </c>
      <c r="AI28" s="24">
        <v>2</v>
      </c>
      <c r="AJ28" s="24">
        <v>2</v>
      </c>
      <c r="AK28" s="24">
        <v>4</v>
      </c>
      <c r="AL28" s="24">
        <v>1</v>
      </c>
      <c r="AM28" s="23"/>
      <c r="AN28" s="23"/>
      <c r="AO28" s="22" t="s">
        <v>74</v>
      </c>
      <c r="AP28" s="22" t="s">
        <v>391</v>
      </c>
      <c r="AQ28" s="22" t="s">
        <v>1402</v>
      </c>
      <c r="AR28" s="22" t="s">
        <v>120</v>
      </c>
    </row>
    <row r="31" spans="1:44">
      <c r="F31" s="23"/>
      <c r="G31" s="15" t="s">
        <v>1488</v>
      </c>
      <c r="H31" s="26"/>
      <c r="I31" s="26"/>
      <c r="J31" s="23"/>
      <c r="K31" s="23"/>
      <c r="L31" s="23"/>
      <c r="M31" s="23"/>
      <c r="N31" s="3" t="s">
        <v>3</v>
      </c>
      <c r="O31" s="8"/>
      <c r="P31" s="8"/>
      <c r="Q31" s="65" t="s">
        <v>9</v>
      </c>
      <c r="R31" s="66"/>
      <c r="S31" s="66"/>
      <c r="T31" s="66"/>
      <c r="U31" s="66"/>
      <c r="V31" s="67"/>
      <c r="W31" s="65" t="s">
        <v>10</v>
      </c>
      <c r="X31" s="66"/>
      <c r="Y31" s="66"/>
      <c r="Z31" s="67"/>
      <c r="AA31" s="68" t="s">
        <v>11</v>
      </c>
      <c r="AB31" s="69"/>
      <c r="AC31" s="69"/>
      <c r="AD31" s="69"/>
      <c r="AE31" s="69"/>
      <c r="AF31" s="69"/>
      <c r="AG31" s="70"/>
      <c r="AH31" s="68" t="s">
        <v>12</v>
      </c>
      <c r="AI31" s="69"/>
      <c r="AJ31" s="69"/>
      <c r="AK31" s="69"/>
      <c r="AL31" s="70"/>
      <c r="AM31" s="27"/>
      <c r="AN31" s="27"/>
      <c r="AO31" s="20" t="s">
        <v>48</v>
      </c>
      <c r="AP31" s="23"/>
    </row>
    <row r="32" spans="1:44">
      <c r="F32" s="15" t="s">
        <v>1489</v>
      </c>
      <c r="G32" s="15" t="s">
        <v>1490</v>
      </c>
      <c r="H32" s="33" t="s">
        <v>1504</v>
      </c>
      <c r="I32" s="15"/>
      <c r="J32" s="15" t="s">
        <v>23</v>
      </c>
      <c r="K32" s="15" t="s">
        <v>24</v>
      </c>
      <c r="L32" s="16" t="s">
        <v>25</v>
      </c>
      <c r="M32" s="3" t="s">
        <v>1489</v>
      </c>
      <c r="N32" s="3" t="s">
        <v>1490</v>
      </c>
      <c r="O32" s="33" t="s">
        <v>1504</v>
      </c>
      <c r="P32" s="3"/>
      <c r="Q32" s="17" t="s">
        <v>26</v>
      </c>
      <c r="R32" s="3" t="s">
        <v>27</v>
      </c>
      <c r="S32" s="3" t="s">
        <v>28</v>
      </c>
      <c r="T32" s="18" t="s">
        <v>29</v>
      </c>
      <c r="U32" s="17" t="s">
        <v>30</v>
      </c>
      <c r="V32" s="3" t="s">
        <v>31</v>
      </c>
      <c r="W32" s="17" t="s">
        <v>32</v>
      </c>
      <c r="X32" s="17" t="s">
        <v>33</v>
      </c>
      <c r="Y32" s="17" t="s">
        <v>34</v>
      </c>
      <c r="Z32" s="17" t="s">
        <v>35</v>
      </c>
      <c r="AA32" s="17" t="s">
        <v>36</v>
      </c>
      <c r="AB32" s="17" t="s">
        <v>37</v>
      </c>
      <c r="AC32" s="17" t="s">
        <v>38</v>
      </c>
      <c r="AD32" s="17" t="s">
        <v>39</v>
      </c>
      <c r="AE32" s="17" t="s">
        <v>40</v>
      </c>
      <c r="AF32" s="17" t="s">
        <v>41</v>
      </c>
      <c r="AG32" s="17" t="s">
        <v>42</v>
      </c>
      <c r="AH32" s="17" t="s">
        <v>43</v>
      </c>
      <c r="AI32" s="17" t="s">
        <v>44</v>
      </c>
      <c r="AJ32" s="17" t="s">
        <v>45</v>
      </c>
      <c r="AK32" s="19" t="s">
        <v>46</v>
      </c>
      <c r="AL32" s="19" t="s">
        <v>47</v>
      </c>
      <c r="AM32" s="19"/>
      <c r="AN32" s="20" t="s">
        <v>1489</v>
      </c>
      <c r="AO32" s="20" t="s">
        <v>1490</v>
      </c>
      <c r="AP32" s="33" t="s">
        <v>1504</v>
      </c>
    </row>
    <row r="33" spans="6:42">
      <c r="F33" s="22" t="s">
        <v>80</v>
      </c>
      <c r="G33" s="28">
        <f>COUNTIF($G$4:$G$28,"가끔 사용한다")</f>
        <v>8</v>
      </c>
      <c r="H33" s="34">
        <f>G33/$G$37</f>
        <v>0.32</v>
      </c>
      <c r="I33" s="23" t="s">
        <v>1491</v>
      </c>
      <c r="J33" s="29">
        <f>AVERAGE(J$4:J$28)</f>
        <v>3.16</v>
      </c>
      <c r="K33" s="29">
        <f t="shared" ref="K33:L33" si="0">AVERAGE(K$4:K$28)</f>
        <v>2.6</v>
      </c>
      <c r="L33" s="29">
        <f t="shared" si="0"/>
        <v>2.04</v>
      </c>
      <c r="M33" s="29" t="s">
        <v>1492</v>
      </c>
      <c r="N33" s="23">
        <f>COUNTIF($N$4:$N$28, "기본 개념 인지")</f>
        <v>12</v>
      </c>
      <c r="O33" s="34">
        <f>N33/$N$38</f>
        <v>0.48</v>
      </c>
      <c r="P33" s="23" t="s">
        <v>1491</v>
      </c>
      <c r="Q33" s="29">
        <f>AVERAGE(Q$4:Q$28)</f>
        <v>3.12</v>
      </c>
      <c r="R33" s="29">
        <f t="shared" ref="R33:AL33" si="1">AVERAGE(R$4:R$28)</f>
        <v>2.56</v>
      </c>
      <c r="S33" s="29">
        <f t="shared" si="1"/>
        <v>3.08</v>
      </c>
      <c r="T33" s="29">
        <f t="shared" si="1"/>
        <v>2.8</v>
      </c>
      <c r="U33" s="29">
        <f t="shared" si="1"/>
        <v>3.52</v>
      </c>
      <c r="V33" s="29">
        <f t="shared" si="1"/>
        <v>3.28</v>
      </c>
      <c r="W33" s="29">
        <f t="shared" si="1"/>
        <v>3.84</v>
      </c>
      <c r="X33" s="29">
        <f t="shared" si="1"/>
        <v>3.44</v>
      </c>
      <c r="Y33" s="29">
        <f t="shared" si="1"/>
        <v>3.32</v>
      </c>
      <c r="Z33" s="29">
        <f t="shared" si="1"/>
        <v>3.44</v>
      </c>
      <c r="AA33" s="29">
        <f t="shared" si="1"/>
        <v>3.84</v>
      </c>
      <c r="AB33" s="29">
        <f t="shared" si="1"/>
        <v>4.28</v>
      </c>
      <c r="AC33" s="29">
        <f t="shared" si="1"/>
        <v>4.28</v>
      </c>
      <c r="AD33" s="29">
        <f t="shared" si="1"/>
        <v>4.12</v>
      </c>
      <c r="AE33" s="29">
        <f t="shared" si="1"/>
        <v>4.2</v>
      </c>
      <c r="AF33" s="29">
        <f t="shared" si="1"/>
        <v>4.24</v>
      </c>
      <c r="AG33" s="29">
        <f t="shared" si="1"/>
        <v>4.08</v>
      </c>
      <c r="AH33" s="29">
        <f t="shared" si="1"/>
        <v>4.16</v>
      </c>
      <c r="AI33" s="29">
        <f t="shared" si="1"/>
        <v>3.16</v>
      </c>
      <c r="AJ33" s="29">
        <f t="shared" si="1"/>
        <v>3.04</v>
      </c>
      <c r="AK33" s="29">
        <f t="shared" si="1"/>
        <v>3.52</v>
      </c>
      <c r="AL33" s="29">
        <f t="shared" si="1"/>
        <v>2.88</v>
      </c>
      <c r="AM33" s="29"/>
      <c r="AN33" s="29" t="s">
        <v>1493</v>
      </c>
      <c r="AO33" s="23">
        <f>COUNTIF($AO$4:$AO$28,"있다")</f>
        <v>8</v>
      </c>
      <c r="AP33" s="34">
        <f>AO33/$AO$35</f>
        <v>0.32</v>
      </c>
    </row>
    <row r="34" spans="6:42">
      <c r="F34" s="28" t="s">
        <v>1494</v>
      </c>
      <c r="G34" s="28">
        <f>COUNTIF($G$4:$G$28,"거의 사용하지 않는다")</f>
        <v>1</v>
      </c>
      <c r="H34" s="34">
        <f t="shared" ref="H34:H37" si="2">G34/$G$37</f>
        <v>0.04</v>
      </c>
      <c r="I34" s="23" t="s">
        <v>1495</v>
      </c>
      <c r="J34" s="29">
        <f>_xlfn.STDEV.S(J$4:J$28)</f>
        <v>1.4047538337136987</v>
      </c>
      <c r="K34" s="29">
        <f t="shared" ref="K34:L34" si="3">_xlfn.STDEV.S(K$4:K$28)</f>
        <v>1.2909944487358056</v>
      </c>
      <c r="L34" s="29">
        <f t="shared" si="3"/>
        <v>1.171893055416463</v>
      </c>
      <c r="M34" s="29" t="s">
        <v>1496</v>
      </c>
      <c r="N34" s="23">
        <f>COUNTIF($N$4:$N$28,"AI 도구 선택 활용 가능")</f>
        <v>3</v>
      </c>
      <c r="O34" s="34">
        <f t="shared" ref="O34:O38" si="4">N34/$N$38</f>
        <v>0.12</v>
      </c>
      <c r="P34" s="23" t="s">
        <v>1495</v>
      </c>
      <c r="Q34" s="29">
        <f>_xlfn.STDEV.S(Q$4:Q$28)</f>
        <v>0.88128693776015199</v>
      </c>
      <c r="R34" s="29">
        <f t="shared" ref="R34:AL34" si="5">_xlfn.STDEV.S(R$4:R$28)</f>
        <v>0.86986589004665915</v>
      </c>
      <c r="S34" s="29">
        <f t="shared" si="5"/>
        <v>0.99666109251507029</v>
      </c>
      <c r="T34" s="29">
        <f t="shared" si="5"/>
        <v>1</v>
      </c>
      <c r="U34" s="29">
        <f t="shared" si="5"/>
        <v>1.1224972160321827</v>
      </c>
      <c r="V34" s="29">
        <f t="shared" si="5"/>
        <v>1.1000000000000003</v>
      </c>
      <c r="W34" s="29">
        <f t="shared" si="5"/>
        <v>0.85049005481153861</v>
      </c>
      <c r="X34" s="29">
        <f t="shared" si="5"/>
        <v>1.1930353445448858</v>
      </c>
      <c r="Y34" s="29">
        <f t="shared" si="5"/>
        <v>1.1445523142259597</v>
      </c>
      <c r="Z34" s="29">
        <f t="shared" si="5"/>
        <v>1.0832051206181286</v>
      </c>
      <c r="AA34" s="29">
        <f t="shared" si="5"/>
        <v>0.80000000000000038</v>
      </c>
      <c r="AB34" s="29">
        <f t="shared" si="5"/>
        <v>0.61373175465073304</v>
      </c>
      <c r="AC34" s="29">
        <f t="shared" si="5"/>
        <v>0.67823299831252748</v>
      </c>
      <c r="AD34" s="29">
        <f t="shared" si="5"/>
        <v>0.66583281184793885</v>
      </c>
      <c r="AE34" s="29">
        <f t="shared" si="5"/>
        <v>0.81649658092772603</v>
      </c>
      <c r="AF34" s="29">
        <f t="shared" si="5"/>
        <v>0.66332495807108005</v>
      </c>
      <c r="AG34" s="29">
        <f t="shared" si="5"/>
        <v>0.86216781042517021</v>
      </c>
      <c r="AH34" s="29">
        <f t="shared" si="5"/>
        <v>0.68799224801834347</v>
      </c>
      <c r="AI34" s="29">
        <f t="shared" si="5"/>
        <v>1.0677078252031313</v>
      </c>
      <c r="AJ34" s="29">
        <f t="shared" si="5"/>
        <v>1.0984838035522722</v>
      </c>
      <c r="AK34" s="29">
        <f t="shared" si="5"/>
        <v>1.0456258094238751</v>
      </c>
      <c r="AL34" s="29">
        <f t="shared" si="5"/>
        <v>1.2688577540449517</v>
      </c>
      <c r="AM34" s="29"/>
      <c r="AN34" s="29" t="s">
        <v>1497</v>
      </c>
      <c r="AO34" s="23">
        <f>COUNTIF($AO$4:$AO$28,"없다")</f>
        <v>17</v>
      </c>
      <c r="AP34" s="34">
        <f t="shared" ref="AP34:AP35" si="6">AO34/$AO$35</f>
        <v>0.68</v>
      </c>
    </row>
    <row r="35" spans="6:42">
      <c r="F35" s="28" t="s">
        <v>1498</v>
      </c>
      <c r="G35" s="28">
        <f>COUNTIF($G$4:$G$28,"사용하지 않는다")</f>
        <v>2</v>
      </c>
      <c r="H35" s="34">
        <f t="shared" si="2"/>
        <v>0.08</v>
      </c>
      <c r="I35" s="23"/>
      <c r="J35" s="29"/>
      <c r="K35" s="29"/>
      <c r="L35" s="29"/>
      <c r="M35" s="29" t="s">
        <v>1499</v>
      </c>
      <c r="N35" s="23">
        <f>COUNTIF($N$4:$N$28, "AI 도구 교차 사용 가능")</f>
        <v>2</v>
      </c>
      <c r="O35" s="34">
        <f t="shared" si="4"/>
        <v>0.08</v>
      </c>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t="s">
        <v>1505</v>
      </c>
      <c r="AO35" s="23">
        <f>SUM(AO33:AO34)</f>
        <v>25</v>
      </c>
      <c r="AP35" s="34">
        <f t="shared" si="6"/>
        <v>1</v>
      </c>
    </row>
    <row r="36" spans="6:42">
      <c r="F36" s="28" t="s">
        <v>1500</v>
      </c>
      <c r="G36" s="28">
        <f>COUNTIF($G$4:$G$28,"업무에 자주 활용한다")</f>
        <v>14</v>
      </c>
      <c r="H36" s="34">
        <f t="shared" si="2"/>
        <v>0.56000000000000005</v>
      </c>
      <c r="I36" s="23"/>
      <c r="J36" s="29"/>
      <c r="K36" s="29"/>
      <c r="L36" s="29"/>
      <c r="M36" s="29" t="s">
        <v>1501</v>
      </c>
      <c r="N36" s="23">
        <f>COUNTIF($N$4:$N$28, "실험 및 구현 가능")</f>
        <v>2</v>
      </c>
      <c r="O36" s="34">
        <f t="shared" si="4"/>
        <v>0.08</v>
      </c>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row>
    <row r="37" spans="6:42">
      <c r="F37" s="23"/>
      <c r="G37" s="23">
        <f>SUM(G33:G36)</f>
        <v>25</v>
      </c>
      <c r="H37" s="34">
        <f t="shared" si="2"/>
        <v>1</v>
      </c>
      <c r="I37" s="23"/>
      <c r="J37" s="23"/>
      <c r="K37" s="23"/>
      <c r="L37" s="23"/>
      <c r="M37" s="29" t="s">
        <v>1502</v>
      </c>
      <c r="N37" s="23">
        <f>COUNTIF($N$4:$N$28, "잘 모름")</f>
        <v>6</v>
      </c>
      <c r="O37" s="34">
        <f t="shared" si="4"/>
        <v>0.24</v>
      </c>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6:42">
      <c r="F38" s="23"/>
      <c r="G38" s="23"/>
      <c r="H38" s="23"/>
      <c r="I38" s="23"/>
      <c r="J38" s="23"/>
      <c r="K38" s="23"/>
      <c r="L38" s="23"/>
      <c r="M38" s="23"/>
      <c r="N38" s="23">
        <f>SUM(N33:N37)</f>
        <v>25</v>
      </c>
      <c r="O38" s="34">
        <f t="shared" si="4"/>
        <v>1</v>
      </c>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6:42">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6:42">
      <c r="F40" s="23"/>
      <c r="G40" s="23"/>
      <c r="H40" s="23"/>
      <c r="I40" s="23"/>
      <c r="J40" s="15" t="s">
        <v>1503</v>
      </c>
      <c r="K40" s="23"/>
      <c r="L40" s="23"/>
      <c r="M40" s="23"/>
      <c r="N40" s="23"/>
      <c r="O40" s="23"/>
      <c r="P40" s="23"/>
      <c r="Q40" s="30" t="s">
        <v>9</v>
      </c>
      <c r="R40" s="30" t="s">
        <v>10</v>
      </c>
      <c r="S40" s="30" t="s">
        <v>11</v>
      </c>
      <c r="T40" s="30" t="s">
        <v>12</v>
      </c>
      <c r="U40" s="23"/>
      <c r="V40" s="23"/>
      <c r="W40" s="23"/>
      <c r="X40" s="23"/>
      <c r="Y40" s="23"/>
      <c r="Z40" s="23"/>
      <c r="AA40" s="23"/>
      <c r="AB40" s="23"/>
      <c r="AC40" s="23"/>
      <c r="AD40" s="23"/>
      <c r="AE40" s="23"/>
      <c r="AF40" s="23"/>
      <c r="AG40" s="23"/>
      <c r="AH40" s="23"/>
      <c r="AI40" s="23"/>
      <c r="AJ40" s="23"/>
      <c r="AK40" s="23"/>
      <c r="AL40" s="23"/>
      <c r="AM40" s="23"/>
      <c r="AN40" s="23"/>
      <c r="AO40" s="23"/>
      <c r="AP40" s="23"/>
    </row>
    <row r="41" spans="6:42">
      <c r="F41" s="23"/>
      <c r="G41" s="23"/>
      <c r="H41" s="23"/>
      <c r="I41" s="23"/>
      <c r="J41" s="31">
        <f>AVERAGE(J33:L33)</f>
        <v>2.6</v>
      </c>
      <c r="K41" s="23"/>
      <c r="L41" s="23"/>
      <c r="M41" s="23"/>
      <c r="N41" s="23"/>
      <c r="O41" s="23"/>
      <c r="P41" s="23"/>
      <c r="Q41" s="31">
        <f>AVERAGE(Q33:V33)</f>
        <v>3.06</v>
      </c>
      <c r="R41" s="31">
        <f>AVERAGE(W33:Z33)</f>
        <v>3.51</v>
      </c>
      <c r="S41" s="31">
        <f>AVERAGE(AA33:AG33)</f>
        <v>4.1485714285714286</v>
      </c>
      <c r="T41" s="31">
        <f>AVERAGE(AH33:AL33)</f>
        <v>3.3519999999999994</v>
      </c>
      <c r="U41" s="23"/>
      <c r="V41" s="23"/>
      <c r="W41" s="23"/>
      <c r="X41" s="23"/>
      <c r="Y41" s="23"/>
      <c r="Z41" s="23"/>
      <c r="AA41" s="23"/>
      <c r="AB41" s="23"/>
      <c r="AC41" s="23"/>
      <c r="AD41" s="23"/>
      <c r="AE41" s="23"/>
      <c r="AF41" s="23"/>
      <c r="AG41" s="23"/>
      <c r="AH41" s="23"/>
      <c r="AI41" s="23"/>
      <c r="AJ41" s="23"/>
      <c r="AK41" s="23"/>
      <c r="AL41" s="23"/>
      <c r="AM41" s="23"/>
      <c r="AN41" s="23"/>
      <c r="AO41" s="23"/>
      <c r="AP41" s="23"/>
    </row>
    <row r="42" spans="6:42">
      <c r="F42" s="23"/>
      <c r="G42" s="23"/>
      <c r="H42" s="23"/>
      <c r="I42" s="23"/>
      <c r="J42" s="32">
        <f>_xlfn.STDEV.S(J4:L28)</f>
        <v>1.3556687788091299</v>
      </c>
      <c r="K42" s="23"/>
      <c r="L42" s="23"/>
      <c r="M42" s="23"/>
      <c r="N42" s="23"/>
      <c r="O42" s="23"/>
      <c r="P42" s="23"/>
      <c r="Q42" s="32">
        <f>_xlfn.STDEV.S(Q4:V28)</f>
        <v>1.0312564825909731</v>
      </c>
      <c r="R42" s="32">
        <f>_xlfn.STDEV.S(W4:Z28)</f>
        <v>1.0777361233229363</v>
      </c>
      <c r="S42" s="32">
        <f>_xlfn.STDEV.S(AA4:AG28)</f>
        <v>0.73553930037583504</v>
      </c>
      <c r="T42" s="32">
        <f>_xlfn.STDEV.S(AH4:AL28)</f>
        <v>1.1306292852412592</v>
      </c>
      <c r="U42" s="23"/>
      <c r="V42" s="23"/>
      <c r="W42" s="23"/>
      <c r="X42" s="23"/>
      <c r="Y42" s="23"/>
      <c r="Z42" s="23"/>
      <c r="AA42" s="23"/>
      <c r="AB42" s="23"/>
      <c r="AC42" s="23"/>
      <c r="AD42" s="23"/>
      <c r="AE42" s="23"/>
      <c r="AF42" s="23"/>
      <c r="AG42" s="23"/>
      <c r="AH42" s="23"/>
      <c r="AI42" s="23"/>
      <c r="AJ42" s="23"/>
      <c r="AK42" s="23"/>
      <c r="AL42" s="23"/>
      <c r="AM42" s="23"/>
      <c r="AN42" s="23"/>
      <c r="AO42" s="23"/>
      <c r="AP42" s="23"/>
    </row>
  </sheetData>
  <mergeCells count="15">
    <mergeCell ref="Q31:V31"/>
    <mergeCell ref="W31:Z31"/>
    <mergeCell ref="AA31:AG31"/>
    <mergeCell ref="AH31:AL31"/>
    <mergeCell ref="B1:F1"/>
    <mergeCell ref="G1:L1"/>
    <mergeCell ref="Q1:AL1"/>
    <mergeCell ref="AO1:AQ1"/>
    <mergeCell ref="B2:F2"/>
    <mergeCell ref="G2:L2"/>
    <mergeCell ref="Q2:V2"/>
    <mergeCell ref="W2:Z2"/>
    <mergeCell ref="AA2:AG2"/>
    <mergeCell ref="AH2:AL2"/>
    <mergeCell ref="AP2:AQ2"/>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2A6B3-8CB2-4EB8-92C4-CBF28818E386}">
  <dimension ref="A1:AR43"/>
  <sheetViews>
    <sheetView zoomScale="85" zoomScaleNormal="85" workbookViewId="0">
      <selection activeCell="U35" sqref="U35"/>
    </sheetView>
  </sheetViews>
  <sheetFormatPr defaultRowHeight="16.899999999999999"/>
  <sheetData>
    <row r="1" spans="1:44">
      <c r="A1" s="1" t="s">
        <v>0</v>
      </c>
      <c r="B1" s="60" t="s">
        <v>1</v>
      </c>
      <c r="C1" s="60"/>
      <c r="D1" s="60"/>
      <c r="E1" s="60"/>
      <c r="F1" s="60"/>
      <c r="G1" s="61" t="s">
        <v>2</v>
      </c>
      <c r="H1" s="61"/>
      <c r="I1" s="61"/>
      <c r="J1" s="61"/>
      <c r="K1" s="61"/>
      <c r="L1" s="61"/>
      <c r="M1" s="2"/>
      <c r="N1" s="3" t="s">
        <v>3</v>
      </c>
      <c r="O1" s="3"/>
      <c r="P1" s="3"/>
      <c r="Q1" s="56" t="s">
        <v>4</v>
      </c>
      <c r="R1" s="56"/>
      <c r="S1" s="56"/>
      <c r="T1" s="56"/>
      <c r="U1" s="56"/>
      <c r="V1" s="56"/>
      <c r="W1" s="56"/>
      <c r="X1" s="56"/>
      <c r="Y1" s="56"/>
      <c r="Z1" s="56"/>
      <c r="AA1" s="56"/>
      <c r="AB1" s="56"/>
      <c r="AC1" s="56"/>
      <c r="AD1" s="56"/>
      <c r="AE1" s="56"/>
      <c r="AF1" s="56"/>
      <c r="AG1" s="56"/>
      <c r="AH1" s="56"/>
      <c r="AI1" s="56"/>
      <c r="AJ1" s="56"/>
      <c r="AK1" s="56"/>
      <c r="AL1" s="56"/>
      <c r="AM1" s="4"/>
      <c r="AN1" s="4"/>
      <c r="AO1" s="62" t="s">
        <v>5</v>
      </c>
      <c r="AP1" s="62"/>
      <c r="AQ1" s="62"/>
      <c r="AR1" s="5" t="s">
        <v>6</v>
      </c>
    </row>
    <row r="2" spans="1:44">
      <c r="A2" s="6" t="s">
        <v>7</v>
      </c>
      <c r="B2" s="63" t="s">
        <v>1</v>
      </c>
      <c r="C2" s="63"/>
      <c r="D2" s="63"/>
      <c r="E2" s="63"/>
      <c r="F2" s="63"/>
      <c r="G2" s="64" t="s">
        <v>8</v>
      </c>
      <c r="H2" s="64"/>
      <c r="I2" s="64"/>
      <c r="J2" s="64"/>
      <c r="K2" s="64"/>
      <c r="L2" s="64"/>
      <c r="M2" s="7"/>
      <c r="N2" s="3" t="s">
        <v>3</v>
      </c>
      <c r="O2" s="8"/>
      <c r="P2" s="8"/>
      <c r="Q2" s="65" t="s">
        <v>9</v>
      </c>
      <c r="R2" s="66"/>
      <c r="S2" s="66"/>
      <c r="T2" s="66"/>
      <c r="U2" s="66"/>
      <c r="V2" s="67"/>
      <c r="W2" s="65" t="s">
        <v>10</v>
      </c>
      <c r="X2" s="66"/>
      <c r="Y2" s="66"/>
      <c r="Z2" s="67"/>
      <c r="AA2" s="68" t="s">
        <v>11</v>
      </c>
      <c r="AB2" s="69"/>
      <c r="AC2" s="69"/>
      <c r="AD2" s="69"/>
      <c r="AE2" s="69"/>
      <c r="AF2" s="69"/>
      <c r="AG2" s="70"/>
      <c r="AH2" s="68" t="s">
        <v>12</v>
      </c>
      <c r="AI2" s="69"/>
      <c r="AJ2" s="69"/>
      <c r="AK2" s="69"/>
      <c r="AL2" s="70"/>
      <c r="AM2" s="9"/>
      <c r="AN2" s="9"/>
      <c r="AO2" s="10" t="s">
        <v>13</v>
      </c>
      <c r="AP2" s="71" t="s">
        <v>14</v>
      </c>
      <c r="AQ2" s="71"/>
      <c r="AR2" s="11" t="s">
        <v>15</v>
      </c>
    </row>
    <row r="3" spans="1:44">
      <c r="A3" s="12" t="s">
        <v>16</v>
      </c>
      <c r="B3" s="13" t="s">
        <v>17</v>
      </c>
      <c r="C3" s="14" t="s">
        <v>18</v>
      </c>
      <c r="D3" s="14" t="s">
        <v>19</v>
      </c>
      <c r="E3" s="14" t="s">
        <v>20</v>
      </c>
      <c r="F3" s="14" t="s">
        <v>21</v>
      </c>
      <c r="G3" s="15" t="s">
        <v>22</v>
      </c>
      <c r="H3" s="15"/>
      <c r="I3" s="15"/>
      <c r="J3" s="15" t="s">
        <v>23</v>
      </c>
      <c r="K3" s="15" t="s">
        <v>24</v>
      </c>
      <c r="L3" s="16" t="s">
        <v>25</v>
      </c>
      <c r="M3" s="16"/>
      <c r="N3" s="3" t="s">
        <v>3</v>
      </c>
      <c r="O3" s="3"/>
      <c r="P3" s="3"/>
      <c r="Q3" s="17" t="s">
        <v>26</v>
      </c>
      <c r="R3" s="3" t="s">
        <v>27</v>
      </c>
      <c r="S3" s="3" t="s">
        <v>28</v>
      </c>
      <c r="T3" s="18" t="s">
        <v>29</v>
      </c>
      <c r="U3" s="17" t="s">
        <v>30</v>
      </c>
      <c r="V3" s="3" t="s">
        <v>31</v>
      </c>
      <c r="W3" s="17" t="s">
        <v>32</v>
      </c>
      <c r="X3" s="17" t="s">
        <v>33</v>
      </c>
      <c r="Y3" s="17" t="s">
        <v>34</v>
      </c>
      <c r="Z3" s="17" t="s">
        <v>35</v>
      </c>
      <c r="AA3" s="17" t="s">
        <v>36</v>
      </c>
      <c r="AB3" s="17" t="s">
        <v>37</v>
      </c>
      <c r="AC3" s="17" t="s">
        <v>38</v>
      </c>
      <c r="AD3" s="17" t="s">
        <v>39</v>
      </c>
      <c r="AE3" s="17" t="s">
        <v>40</v>
      </c>
      <c r="AF3" s="17" t="s">
        <v>41</v>
      </c>
      <c r="AG3" s="17" t="s">
        <v>42</v>
      </c>
      <c r="AH3" s="17" t="s">
        <v>43</v>
      </c>
      <c r="AI3" s="17" t="s">
        <v>44</v>
      </c>
      <c r="AJ3" s="17" t="s">
        <v>45</v>
      </c>
      <c r="AK3" s="19" t="s">
        <v>46</v>
      </c>
      <c r="AL3" s="19" t="s">
        <v>47</v>
      </c>
      <c r="AM3" s="19"/>
      <c r="AN3" s="19"/>
      <c r="AO3" s="20" t="s">
        <v>48</v>
      </c>
      <c r="AP3" s="20" t="s">
        <v>49</v>
      </c>
      <c r="AQ3" s="20" t="s">
        <v>50</v>
      </c>
      <c r="AR3" s="21" t="s">
        <v>15</v>
      </c>
    </row>
    <row r="4" spans="1:44">
      <c r="A4" s="22" t="s">
        <v>1403</v>
      </c>
      <c r="B4" s="22" t="s">
        <v>1404</v>
      </c>
      <c r="C4" s="22" t="s">
        <v>79</v>
      </c>
      <c r="D4" s="22" t="s">
        <v>54</v>
      </c>
      <c r="E4" s="22" t="s">
        <v>72</v>
      </c>
      <c r="F4" s="22" t="s">
        <v>56</v>
      </c>
      <c r="G4" s="22" t="s">
        <v>80</v>
      </c>
      <c r="H4" s="23"/>
      <c r="I4" s="23"/>
      <c r="J4" s="22">
        <v>1</v>
      </c>
      <c r="K4" s="22">
        <v>2</v>
      </c>
      <c r="L4" s="22">
        <v>1</v>
      </c>
      <c r="M4" s="23"/>
      <c r="N4" s="22" t="s">
        <v>58</v>
      </c>
      <c r="O4" s="23"/>
      <c r="P4" s="23"/>
      <c r="Q4" s="24">
        <v>2</v>
      </c>
      <c r="R4" s="24">
        <v>2</v>
      </c>
      <c r="S4" s="24">
        <v>3</v>
      </c>
      <c r="T4" s="24">
        <v>2</v>
      </c>
      <c r="U4" s="24">
        <v>3</v>
      </c>
      <c r="V4" s="24">
        <v>3</v>
      </c>
      <c r="W4" s="24">
        <v>4</v>
      </c>
      <c r="X4" s="24">
        <v>4</v>
      </c>
      <c r="Y4" s="24">
        <v>1</v>
      </c>
      <c r="Z4" s="24">
        <v>1</v>
      </c>
      <c r="AA4" s="24">
        <v>2</v>
      </c>
      <c r="AB4" s="24">
        <v>4</v>
      </c>
      <c r="AC4" s="24">
        <v>3</v>
      </c>
      <c r="AD4" s="24">
        <v>4</v>
      </c>
      <c r="AE4" s="24">
        <v>3</v>
      </c>
      <c r="AF4" s="24">
        <v>3</v>
      </c>
      <c r="AG4" s="24">
        <v>3</v>
      </c>
      <c r="AH4" s="24">
        <v>3</v>
      </c>
      <c r="AI4" s="24">
        <v>3</v>
      </c>
      <c r="AJ4" s="24">
        <v>2</v>
      </c>
      <c r="AK4" s="24">
        <v>3</v>
      </c>
      <c r="AL4" s="24">
        <v>2</v>
      </c>
      <c r="AM4" s="23"/>
      <c r="AN4" s="23"/>
      <c r="AO4" s="22" t="s">
        <v>59</v>
      </c>
      <c r="AP4" s="22" t="s">
        <v>1405</v>
      </c>
      <c r="AQ4" s="22" t="s">
        <v>1406</v>
      </c>
      <c r="AR4" s="22" t="s">
        <v>1407</v>
      </c>
    </row>
    <row r="5" spans="1:44">
      <c r="A5" s="22" t="s">
        <v>1408</v>
      </c>
      <c r="B5" s="22" t="s">
        <v>1404</v>
      </c>
      <c r="C5" s="22" t="s">
        <v>79</v>
      </c>
      <c r="D5" s="22" t="s">
        <v>64</v>
      </c>
      <c r="E5" s="22" t="s">
        <v>55</v>
      </c>
      <c r="F5" s="22" t="s">
        <v>136</v>
      </c>
      <c r="G5" s="22" t="s">
        <v>80</v>
      </c>
      <c r="H5" s="23"/>
      <c r="I5" s="23"/>
      <c r="J5" s="22">
        <v>2</v>
      </c>
      <c r="K5" s="22">
        <v>1</v>
      </c>
      <c r="L5" s="22">
        <v>1</v>
      </c>
      <c r="M5" s="23"/>
      <c r="N5" s="22" t="s">
        <v>58</v>
      </c>
      <c r="O5" s="23"/>
      <c r="P5" s="23"/>
      <c r="Q5" s="24">
        <v>3</v>
      </c>
      <c r="R5" s="24">
        <v>2</v>
      </c>
      <c r="S5" s="24">
        <v>2</v>
      </c>
      <c r="T5" s="24">
        <v>2</v>
      </c>
      <c r="U5" s="24">
        <v>3</v>
      </c>
      <c r="V5" s="24">
        <v>3</v>
      </c>
      <c r="W5" s="24">
        <v>4</v>
      </c>
      <c r="X5" s="24">
        <v>3</v>
      </c>
      <c r="Y5" s="24">
        <v>2</v>
      </c>
      <c r="Z5" s="24">
        <v>2</v>
      </c>
      <c r="AA5" s="24">
        <v>3</v>
      </c>
      <c r="AB5" s="24">
        <v>4</v>
      </c>
      <c r="AC5" s="24">
        <v>3</v>
      </c>
      <c r="AD5" s="24">
        <v>3</v>
      </c>
      <c r="AE5" s="24">
        <v>3</v>
      </c>
      <c r="AF5" s="24">
        <v>4</v>
      </c>
      <c r="AG5" s="24">
        <v>3</v>
      </c>
      <c r="AH5" s="24">
        <v>4</v>
      </c>
      <c r="AI5" s="24">
        <v>3</v>
      </c>
      <c r="AJ5" s="24">
        <v>4</v>
      </c>
      <c r="AK5" s="24">
        <v>3</v>
      </c>
      <c r="AL5" s="24">
        <v>3</v>
      </c>
      <c r="AM5" s="23"/>
      <c r="AN5" s="23"/>
      <c r="AO5" s="22" t="s">
        <v>74</v>
      </c>
      <c r="AP5" s="22" t="s">
        <v>724</v>
      </c>
      <c r="AQ5" s="22" t="s">
        <v>1409</v>
      </c>
      <c r="AR5" s="22" t="s">
        <v>1410</v>
      </c>
    </row>
    <row r="6" spans="1:44" hidden="1">
      <c r="A6" s="22" t="s">
        <v>1411</v>
      </c>
      <c r="B6" s="22" t="s">
        <v>1404</v>
      </c>
      <c r="C6" s="22" t="s">
        <v>79</v>
      </c>
      <c r="D6" s="22" t="s">
        <v>64</v>
      </c>
      <c r="E6" s="22" t="s">
        <v>55</v>
      </c>
      <c r="F6" s="22" t="s">
        <v>65</v>
      </c>
      <c r="G6" s="22" t="s">
        <v>80</v>
      </c>
      <c r="H6" s="23"/>
      <c r="I6" s="23"/>
      <c r="J6" s="22">
        <v>3</v>
      </c>
      <c r="K6" s="22">
        <v>3</v>
      </c>
      <c r="L6" s="22">
        <v>2</v>
      </c>
      <c r="M6" s="23"/>
      <c r="N6" s="22" t="s">
        <v>58</v>
      </c>
      <c r="O6" s="23"/>
      <c r="P6" s="23"/>
      <c r="Q6" s="24">
        <v>4</v>
      </c>
      <c r="R6" s="24">
        <v>3</v>
      </c>
      <c r="S6" s="24">
        <v>3</v>
      </c>
      <c r="T6" s="24">
        <v>3</v>
      </c>
      <c r="U6" s="24">
        <v>4</v>
      </c>
      <c r="V6" s="24">
        <v>4</v>
      </c>
      <c r="W6" s="24">
        <v>4</v>
      </c>
      <c r="X6" s="24">
        <v>4</v>
      </c>
      <c r="Y6" s="24">
        <v>4</v>
      </c>
      <c r="Z6" s="24">
        <v>4</v>
      </c>
      <c r="AA6" s="24">
        <v>4</v>
      </c>
      <c r="AB6" s="24">
        <v>4</v>
      </c>
      <c r="AC6" s="24">
        <v>3</v>
      </c>
      <c r="AD6" s="24">
        <v>3</v>
      </c>
      <c r="AE6" s="24">
        <v>4</v>
      </c>
      <c r="AF6" s="24">
        <v>4</v>
      </c>
      <c r="AG6" s="24">
        <v>4</v>
      </c>
      <c r="AH6" s="24">
        <v>4</v>
      </c>
      <c r="AI6" s="24">
        <v>3</v>
      </c>
      <c r="AJ6" s="24">
        <v>4</v>
      </c>
      <c r="AK6" s="24">
        <v>3</v>
      </c>
      <c r="AL6" s="24">
        <v>3</v>
      </c>
      <c r="AM6" s="23"/>
      <c r="AN6" s="23"/>
      <c r="AO6" s="22" t="s">
        <v>74</v>
      </c>
      <c r="AP6" s="22" t="s">
        <v>1412</v>
      </c>
      <c r="AQ6" s="22" t="s">
        <v>1413</v>
      </c>
      <c r="AR6" s="22" t="s">
        <v>1414</v>
      </c>
    </row>
    <row r="7" spans="1:44" hidden="1">
      <c r="A7" s="22" t="s">
        <v>1415</v>
      </c>
      <c r="B7" s="22" t="s">
        <v>1404</v>
      </c>
      <c r="C7" s="22" t="s">
        <v>79</v>
      </c>
      <c r="D7" s="22" t="s">
        <v>64</v>
      </c>
      <c r="E7" s="22" t="s">
        <v>55</v>
      </c>
      <c r="F7" s="22" t="s">
        <v>65</v>
      </c>
      <c r="G7" s="22" t="s">
        <v>80</v>
      </c>
      <c r="H7" s="23"/>
      <c r="I7" s="23"/>
      <c r="J7" s="22">
        <v>2</v>
      </c>
      <c r="K7" s="22">
        <v>2</v>
      </c>
      <c r="L7" s="22">
        <v>2</v>
      </c>
      <c r="M7" s="23"/>
      <c r="N7" s="22" t="s">
        <v>58</v>
      </c>
      <c r="O7" s="23"/>
      <c r="P7" s="23"/>
      <c r="Q7" s="24">
        <v>4</v>
      </c>
      <c r="R7" s="24">
        <v>4</v>
      </c>
      <c r="S7" s="24">
        <v>3</v>
      </c>
      <c r="T7" s="24">
        <v>3</v>
      </c>
      <c r="U7" s="24">
        <v>4</v>
      </c>
      <c r="V7" s="24">
        <v>4</v>
      </c>
      <c r="W7" s="24">
        <v>4</v>
      </c>
      <c r="X7" s="24">
        <v>4</v>
      </c>
      <c r="Y7" s="24">
        <v>4</v>
      </c>
      <c r="Z7" s="24">
        <v>4</v>
      </c>
      <c r="AA7" s="24">
        <v>4</v>
      </c>
      <c r="AB7" s="24">
        <v>4</v>
      </c>
      <c r="AC7" s="24">
        <v>4</v>
      </c>
      <c r="AD7" s="24">
        <v>4</v>
      </c>
      <c r="AE7" s="24">
        <v>4</v>
      </c>
      <c r="AF7" s="24">
        <v>4</v>
      </c>
      <c r="AG7" s="24">
        <v>4</v>
      </c>
      <c r="AH7" s="24">
        <v>4</v>
      </c>
      <c r="AI7" s="24">
        <v>4</v>
      </c>
      <c r="AJ7" s="24">
        <v>4</v>
      </c>
      <c r="AK7" s="24">
        <v>4</v>
      </c>
      <c r="AL7" s="24">
        <v>4</v>
      </c>
      <c r="AM7" s="23"/>
      <c r="AN7" s="23"/>
      <c r="AO7" s="22" t="s">
        <v>74</v>
      </c>
      <c r="AP7" s="22" t="s">
        <v>1416</v>
      </c>
      <c r="AQ7" s="22" t="s">
        <v>1417</v>
      </c>
      <c r="AR7" s="22" t="s">
        <v>1418</v>
      </c>
    </row>
    <row r="8" spans="1:44" hidden="1">
      <c r="A8" s="22" t="s">
        <v>1419</v>
      </c>
      <c r="B8" s="22" t="s">
        <v>1404</v>
      </c>
      <c r="C8" s="22" t="s">
        <v>90</v>
      </c>
      <c r="D8" s="22" t="s">
        <v>54</v>
      </c>
      <c r="E8" s="22" t="s">
        <v>55</v>
      </c>
      <c r="F8" s="22" t="s">
        <v>56</v>
      </c>
      <c r="G8" s="22" t="s">
        <v>129</v>
      </c>
      <c r="H8" s="23"/>
      <c r="I8" s="23"/>
      <c r="J8" s="22">
        <v>2</v>
      </c>
      <c r="K8" s="22">
        <v>2</v>
      </c>
      <c r="L8" s="22">
        <v>2</v>
      </c>
      <c r="M8" s="23"/>
      <c r="N8" s="22" t="s">
        <v>58</v>
      </c>
      <c r="O8" s="23"/>
      <c r="P8" s="23"/>
      <c r="Q8" s="24">
        <v>3</v>
      </c>
      <c r="R8" s="24">
        <v>2</v>
      </c>
      <c r="S8" s="24">
        <v>2</v>
      </c>
      <c r="T8" s="24">
        <v>2</v>
      </c>
      <c r="U8" s="24">
        <v>2</v>
      </c>
      <c r="V8" s="24">
        <v>2</v>
      </c>
      <c r="W8" s="24">
        <v>4</v>
      </c>
      <c r="X8" s="24">
        <v>4</v>
      </c>
      <c r="Y8" s="24">
        <v>2</v>
      </c>
      <c r="Z8" s="24">
        <v>2</v>
      </c>
      <c r="AA8" s="24">
        <v>3</v>
      </c>
      <c r="AB8" s="24">
        <v>3</v>
      </c>
      <c r="AC8" s="24">
        <v>3</v>
      </c>
      <c r="AD8" s="24">
        <v>4</v>
      </c>
      <c r="AE8" s="24">
        <v>3</v>
      </c>
      <c r="AF8" s="24">
        <v>3</v>
      </c>
      <c r="AG8" s="24">
        <v>3</v>
      </c>
      <c r="AH8" s="24">
        <v>4</v>
      </c>
      <c r="AI8" s="24">
        <v>3</v>
      </c>
      <c r="AJ8" s="24">
        <v>2</v>
      </c>
      <c r="AK8" s="24">
        <v>3</v>
      </c>
      <c r="AL8" s="24">
        <v>2</v>
      </c>
      <c r="AM8" s="23"/>
      <c r="AN8" s="23"/>
      <c r="AO8" s="22" t="s">
        <v>59</v>
      </c>
      <c r="AP8" s="22" t="s">
        <v>171</v>
      </c>
      <c r="AQ8" s="22" t="s">
        <v>1420</v>
      </c>
      <c r="AR8" s="22" t="s">
        <v>1321</v>
      </c>
    </row>
    <row r="9" spans="1:44" hidden="1">
      <c r="A9" s="22" t="s">
        <v>1421</v>
      </c>
      <c r="B9" s="22" t="s">
        <v>1404</v>
      </c>
      <c r="C9" s="22" t="s">
        <v>79</v>
      </c>
      <c r="D9" s="22" t="s">
        <v>54</v>
      </c>
      <c r="E9" s="22" t="s">
        <v>55</v>
      </c>
      <c r="F9" s="22" t="s">
        <v>56</v>
      </c>
      <c r="G9" s="22" t="s">
        <v>80</v>
      </c>
      <c r="H9" s="23"/>
      <c r="I9" s="23"/>
      <c r="J9" s="22">
        <v>2</v>
      </c>
      <c r="K9" s="22">
        <v>3</v>
      </c>
      <c r="L9" s="22">
        <v>2</v>
      </c>
      <c r="M9" s="23"/>
      <c r="N9" s="22" t="s">
        <v>58</v>
      </c>
      <c r="O9" s="23"/>
      <c r="P9" s="23"/>
      <c r="Q9" s="24">
        <v>3</v>
      </c>
      <c r="R9" s="24">
        <v>3</v>
      </c>
      <c r="S9" s="24">
        <v>3</v>
      </c>
      <c r="T9" s="24">
        <v>3</v>
      </c>
      <c r="U9" s="24">
        <v>3</v>
      </c>
      <c r="V9" s="24">
        <v>3</v>
      </c>
      <c r="W9" s="24">
        <v>3</v>
      </c>
      <c r="X9" s="24">
        <v>3</v>
      </c>
      <c r="Y9" s="24">
        <v>3</v>
      </c>
      <c r="Z9" s="24">
        <v>3</v>
      </c>
      <c r="AA9" s="24">
        <v>3</v>
      </c>
      <c r="AB9" s="24">
        <v>3</v>
      </c>
      <c r="AC9" s="24">
        <v>3</v>
      </c>
      <c r="AD9" s="24">
        <v>3</v>
      </c>
      <c r="AE9" s="24">
        <v>3</v>
      </c>
      <c r="AF9" s="24">
        <v>3</v>
      </c>
      <c r="AG9" s="24">
        <v>3</v>
      </c>
      <c r="AH9" s="24">
        <v>3</v>
      </c>
      <c r="AI9" s="24">
        <v>3</v>
      </c>
      <c r="AJ9" s="24">
        <v>3</v>
      </c>
      <c r="AK9" s="24">
        <v>3</v>
      </c>
      <c r="AL9" s="24">
        <v>3</v>
      </c>
      <c r="AM9" s="23"/>
      <c r="AN9" s="23"/>
      <c r="AO9" s="22" t="s">
        <v>74</v>
      </c>
      <c r="AP9" s="22" t="s">
        <v>396</v>
      </c>
      <c r="AQ9" s="22" t="s">
        <v>1422</v>
      </c>
      <c r="AR9" s="22" t="s">
        <v>92</v>
      </c>
    </row>
    <row r="10" spans="1:44" hidden="1">
      <c r="A10" s="22" t="s">
        <v>1423</v>
      </c>
      <c r="B10" s="22" t="s">
        <v>1404</v>
      </c>
      <c r="C10" s="22" t="s">
        <v>95</v>
      </c>
      <c r="D10" s="22" t="s">
        <v>64</v>
      </c>
      <c r="E10" s="22" t="s">
        <v>55</v>
      </c>
      <c r="F10" s="22" t="s">
        <v>65</v>
      </c>
      <c r="G10" s="22" t="s">
        <v>57</v>
      </c>
      <c r="H10" s="23"/>
      <c r="I10" s="23"/>
      <c r="J10" s="22">
        <v>5</v>
      </c>
      <c r="K10" s="22">
        <v>5</v>
      </c>
      <c r="L10" s="22">
        <v>5</v>
      </c>
      <c r="M10" s="23"/>
      <c r="N10" s="22" t="s">
        <v>58</v>
      </c>
      <c r="O10" s="23"/>
      <c r="P10" s="23"/>
      <c r="Q10" s="24">
        <v>3</v>
      </c>
      <c r="R10" s="24">
        <v>3</v>
      </c>
      <c r="S10" s="24">
        <v>4</v>
      </c>
      <c r="T10" s="24">
        <v>4</v>
      </c>
      <c r="U10" s="24">
        <v>3</v>
      </c>
      <c r="V10" s="24">
        <v>3</v>
      </c>
      <c r="W10" s="24">
        <v>3</v>
      </c>
      <c r="X10" s="24">
        <v>3</v>
      </c>
      <c r="Y10" s="24">
        <v>3</v>
      </c>
      <c r="Z10" s="24">
        <v>3</v>
      </c>
      <c r="AA10" s="24">
        <v>3</v>
      </c>
      <c r="AB10" s="24">
        <v>3</v>
      </c>
      <c r="AC10" s="24">
        <v>3</v>
      </c>
      <c r="AD10" s="24">
        <v>3</v>
      </c>
      <c r="AE10" s="24">
        <v>3</v>
      </c>
      <c r="AF10" s="24">
        <v>3</v>
      </c>
      <c r="AG10" s="24">
        <v>3</v>
      </c>
      <c r="AH10" s="24">
        <v>3</v>
      </c>
      <c r="AI10" s="24">
        <v>3</v>
      </c>
      <c r="AJ10" s="24">
        <v>3</v>
      </c>
      <c r="AK10" s="24">
        <v>3</v>
      </c>
      <c r="AL10" s="24">
        <v>3</v>
      </c>
      <c r="AM10" s="23"/>
      <c r="AN10" s="23"/>
      <c r="AO10" s="22" t="s">
        <v>59</v>
      </c>
      <c r="AP10" s="22" t="s">
        <v>92</v>
      </c>
      <c r="AQ10" s="22" t="s">
        <v>92</v>
      </c>
      <c r="AR10" s="22" t="s">
        <v>92</v>
      </c>
    </row>
    <row r="11" spans="1:44" hidden="1">
      <c r="A11" s="22" t="s">
        <v>1424</v>
      </c>
      <c r="B11" s="22" t="s">
        <v>1404</v>
      </c>
      <c r="C11" s="22" t="s">
        <v>90</v>
      </c>
      <c r="D11" s="22" t="s">
        <v>71</v>
      </c>
      <c r="E11" s="22" t="s">
        <v>72</v>
      </c>
      <c r="F11" s="22" t="s">
        <v>73</v>
      </c>
      <c r="G11" s="22" t="s">
        <v>80</v>
      </c>
      <c r="H11" s="23"/>
      <c r="I11" s="23"/>
      <c r="J11" s="22">
        <v>4</v>
      </c>
      <c r="K11" s="22">
        <v>3</v>
      </c>
      <c r="L11" s="22">
        <v>2</v>
      </c>
      <c r="M11" s="23"/>
      <c r="N11" s="22" t="s">
        <v>66</v>
      </c>
      <c r="O11" s="23"/>
      <c r="P11" s="23"/>
      <c r="Q11" s="24">
        <v>3</v>
      </c>
      <c r="R11" s="24">
        <v>3</v>
      </c>
      <c r="S11" s="24">
        <v>3</v>
      </c>
      <c r="T11" s="24">
        <v>3</v>
      </c>
      <c r="U11" s="24">
        <v>3</v>
      </c>
      <c r="V11" s="24">
        <v>3</v>
      </c>
      <c r="W11" s="24">
        <v>3</v>
      </c>
      <c r="X11" s="24">
        <v>3</v>
      </c>
      <c r="Y11" s="24">
        <v>2</v>
      </c>
      <c r="Z11" s="24">
        <v>2</v>
      </c>
      <c r="AA11" s="24">
        <v>3</v>
      </c>
      <c r="AB11" s="24">
        <v>4</v>
      </c>
      <c r="AC11" s="24">
        <v>4</v>
      </c>
      <c r="AD11" s="24">
        <v>4</v>
      </c>
      <c r="AE11" s="24">
        <v>4</v>
      </c>
      <c r="AF11" s="24">
        <v>4</v>
      </c>
      <c r="AG11" s="24">
        <v>4</v>
      </c>
      <c r="AH11" s="24">
        <v>4</v>
      </c>
      <c r="AI11" s="24">
        <v>3</v>
      </c>
      <c r="AJ11" s="24">
        <v>3</v>
      </c>
      <c r="AK11" s="24">
        <v>3</v>
      </c>
      <c r="AL11" s="24">
        <v>3</v>
      </c>
      <c r="AM11" s="23"/>
      <c r="AN11" s="23"/>
      <c r="AO11" s="22" t="s">
        <v>74</v>
      </c>
      <c r="AP11" s="22" t="s">
        <v>1425</v>
      </c>
      <c r="AQ11" s="22" t="s">
        <v>1426</v>
      </c>
      <c r="AR11" s="22" t="s">
        <v>1427</v>
      </c>
    </row>
    <row r="12" spans="1:44" hidden="1">
      <c r="A12" s="22" t="s">
        <v>1428</v>
      </c>
      <c r="B12" s="22" t="s">
        <v>1404</v>
      </c>
      <c r="C12" s="22" t="s">
        <v>95</v>
      </c>
      <c r="D12" s="22" t="s">
        <v>54</v>
      </c>
      <c r="E12" s="22" t="s">
        <v>72</v>
      </c>
      <c r="F12" s="22" t="s">
        <v>56</v>
      </c>
      <c r="G12" s="22" t="s">
        <v>80</v>
      </c>
      <c r="H12" s="23"/>
      <c r="I12" s="23"/>
      <c r="J12" s="22">
        <v>3</v>
      </c>
      <c r="K12" s="22">
        <v>2</v>
      </c>
      <c r="L12" s="22">
        <v>4</v>
      </c>
      <c r="M12" s="23"/>
      <c r="N12" s="22" t="s">
        <v>115</v>
      </c>
      <c r="O12" s="23"/>
      <c r="P12" s="23"/>
      <c r="Q12" s="24">
        <v>4</v>
      </c>
      <c r="R12" s="24">
        <v>2</v>
      </c>
      <c r="S12" s="24">
        <v>3</v>
      </c>
      <c r="T12" s="24">
        <v>3</v>
      </c>
      <c r="U12" s="24">
        <v>4</v>
      </c>
      <c r="V12" s="24">
        <v>4</v>
      </c>
      <c r="W12" s="24">
        <v>2</v>
      </c>
      <c r="X12" s="24">
        <v>4</v>
      </c>
      <c r="Y12" s="24">
        <v>2</v>
      </c>
      <c r="Z12" s="24">
        <v>4</v>
      </c>
      <c r="AA12" s="24">
        <v>4</v>
      </c>
      <c r="AB12" s="24">
        <v>4</v>
      </c>
      <c r="AC12" s="24">
        <v>4</v>
      </c>
      <c r="AD12" s="24">
        <v>4</v>
      </c>
      <c r="AE12" s="24">
        <v>2</v>
      </c>
      <c r="AF12" s="24">
        <v>4</v>
      </c>
      <c r="AG12" s="24">
        <v>4</v>
      </c>
      <c r="AH12" s="24">
        <v>4</v>
      </c>
      <c r="AI12" s="24">
        <v>2</v>
      </c>
      <c r="AJ12" s="24">
        <v>3</v>
      </c>
      <c r="AK12" s="24">
        <v>2</v>
      </c>
      <c r="AL12" s="24">
        <v>2</v>
      </c>
      <c r="AM12" s="23"/>
      <c r="AN12" s="23"/>
      <c r="AO12" s="22" t="s">
        <v>74</v>
      </c>
      <c r="AP12" s="22" t="s">
        <v>59</v>
      </c>
      <c r="AQ12" s="22" t="s">
        <v>59</v>
      </c>
      <c r="AR12" s="22" t="s">
        <v>59</v>
      </c>
    </row>
    <row r="13" spans="1:44" hidden="1">
      <c r="A13" s="22" t="s">
        <v>1429</v>
      </c>
      <c r="B13" s="22" t="s">
        <v>1404</v>
      </c>
      <c r="C13" s="22" t="s">
        <v>53</v>
      </c>
      <c r="D13" s="22" t="s">
        <v>98</v>
      </c>
      <c r="E13" s="22" t="s">
        <v>55</v>
      </c>
      <c r="F13" s="22" t="s">
        <v>56</v>
      </c>
      <c r="G13" s="22" t="s">
        <v>57</v>
      </c>
      <c r="H13" s="23"/>
      <c r="I13" s="23"/>
      <c r="J13" s="22">
        <v>2</v>
      </c>
      <c r="K13" s="22">
        <v>2</v>
      </c>
      <c r="L13" s="22">
        <v>1</v>
      </c>
      <c r="M13" s="23"/>
      <c r="N13" s="22" t="s">
        <v>85</v>
      </c>
      <c r="O13" s="23"/>
      <c r="P13" s="23"/>
      <c r="Q13" s="24">
        <v>1</v>
      </c>
      <c r="R13" s="24">
        <v>1</v>
      </c>
      <c r="S13" s="24">
        <v>3</v>
      </c>
      <c r="T13" s="24">
        <v>2</v>
      </c>
      <c r="U13" s="24">
        <v>3</v>
      </c>
      <c r="V13" s="24">
        <v>3</v>
      </c>
      <c r="W13" s="24">
        <v>5</v>
      </c>
      <c r="X13" s="24">
        <v>4</v>
      </c>
      <c r="Y13" s="24">
        <v>2</v>
      </c>
      <c r="Z13" s="24">
        <v>2</v>
      </c>
      <c r="AA13" s="24">
        <v>3</v>
      </c>
      <c r="AB13" s="24">
        <v>4</v>
      </c>
      <c r="AC13" s="24">
        <v>4</v>
      </c>
      <c r="AD13" s="24">
        <v>4</v>
      </c>
      <c r="AE13" s="24">
        <v>4</v>
      </c>
      <c r="AF13" s="24">
        <v>4</v>
      </c>
      <c r="AG13" s="24">
        <v>5</v>
      </c>
      <c r="AH13" s="24">
        <v>4</v>
      </c>
      <c r="AI13" s="24">
        <v>3</v>
      </c>
      <c r="AJ13" s="24">
        <v>4</v>
      </c>
      <c r="AK13" s="24">
        <v>3</v>
      </c>
      <c r="AL13" s="24">
        <v>3</v>
      </c>
      <c r="AM13" s="23"/>
      <c r="AN13" s="23"/>
      <c r="AO13" s="22" t="s">
        <v>74</v>
      </c>
      <c r="AP13" s="22" t="s">
        <v>1430</v>
      </c>
      <c r="AQ13" s="22" t="s">
        <v>1431</v>
      </c>
      <c r="AR13" s="22" t="s">
        <v>1432</v>
      </c>
    </row>
    <row r="14" spans="1:44" hidden="1">
      <c r="A14" s="22" t="s">
        <v>1433</v>
      </c>
      <c r="B14" s="22" t="s">
        <v>1404</v>
      </c>
      <c r="C14" s="22" t="s">
        <v>95</v>
      </c>
      <c r="D14" s="22" t="s">
        <v>98</v>
      </c>
      <c r="E14" s="22" t="s">
        <v>55</v>
      </c>
      <c r="F14" s="22" t="s">
        <v>65</v>
      </c>
      <c r="G14" s="22" t="s">
        <v>57</v>
      </c>
      <c r="H14" s="23"/>
      <c r="I14" s="23"/>
      <c r="J14" s="22">
        <v>4</v>
      </c>
      <c r="K14" s="22">
        <v>4</v>
      </c>
      <c r="L14" s="22">
        <v>3</v>
      </c>
      <c r="M14" s="23"/>
      <c r="N14" s="22" t="s">
        <v>58</v>
      </c>
      <c r="O14" s="23"/>
      <c r="P14" s="23"/>
      <c r="Q14" s="24">
        <v>3</v>
      </c>
      <c r="R14" s="24">
        <v>3</v>
      </c>
      <c r="S14" s="24">
        <v>3</v>
      </c>
      <c r="T14" s="24">
        <v>4</v>
      </c>
      <c r="U14" s="24">
        <v>4</v>
      </c>
      <c r="V14" s="24">
        <v>4</v>
      </c>
      <c r="W14" s="24">
        <v>4</v>
      </c>
      <c r="X14" s="24">
        <v>4</v>
      </c>
      <c r="Y14" s="24">
        <v>4</v>
      </c>
      <c r="Z14" s="24">
        <v>4</v>
      </c>
      <c r="AA14" s="24">
        <v>4</v>
      </c>
      <c r="AB14" s="24">
        <v>4</v>
      </c>
      <c r="AC14" s="24">
        <v>4</v>
      </c>
      <c r="AD14" s="24">
        <v>4</v>
      </c>
      <c r="AE14" s="24">
        <v>4</v>
      </c>
      <c r="AF14" s="24">
        <v>4</v>
      </c>
      <c r="AG14" s="24">
        <v>3</v>
      </c>
      <c r="AH14" s="24">
        <v>3</v>
      </c>
      <c r="AI14" s="24">
        <v>3</v>
      </c>
      <c r="AJ14" s="24">
        <v>3</v>
      </c>
      <c r="AK14" s="24">
        <v>3</v>
      </c>
      <c r="AL14" s="24">
        <v>3</v>
      </c>
      <c r="AM14" s="23"/>
      <c r="AN14" s="23"/>
      <c r="AO14" s="22" t="s">
        <v>74</v>
      </c>
      <c r="AP14" s="22" t="s">
        <v>452</v>
      </c>
      <c r="AQ14" s="22" t="s">
        <v>452</v>
      </c>
      <c r="AR14" s="22" t="s">
        <v>1434</v>
      </c>
    </row>
    <row r="15" spans="1:44" hidden="1">
      <c r="A15" s="22" t="s">
        <v>1435</v>
      </c>
      <c r="B15" s="22" t="s">
        <v>1404</v>
      </c>
      <c r="C15" s="22" t="s">
        <v>95</v>
      </c>
      <c r="D15" s="22" t="s">
        <v>54</v>
      </c>
      <c r="E15" s="22" t="s">
        <v>55</v>
      </c>
      <c r="F15" s="22" t="s">
        <v>56</v>
      </c>
      <c r="G15" s="22" t="s">
        <v>129</v>
      </c>
      <c r="H15" s="23"/>
      <c r="I15" s="23"/>
      <c r="J15" s="22">
        <v>2</v>
      </c>
      <c r="K15" s="22">
        <v>2</v>
      </c>
      <c r="L15" s="22">
        <v>2</v>
      </c>
      <c r="M15" s="23"/>
      <c r="N15" s="22" t="s">
        <v>58</v>
      </c>
      <c r="O15" s="23"/>
      <c r="P15" s="23"/>
      <c r="Q15" s="24">
        <v>3</v>
      </c>
      <c r="R15" s="24">
        <v>2</v>
      </c>
      <c r="S15" s="24">
        <v>2</v>
      </c>
      <c r="T15" s="24">
        <v>1</v>
      </c>
      <c r="U15" s="24">
        <v>2</v>
      </c>
      <c r="V15" s="24">
        <v>2</v>
      </c>
      <c r="W15" s="24">
        <v>5</v>
      </c>
      <c r="X15" s="24">
        <v>3</v>
      </c>
      <c r="Y15" s="24">
        <v>3</v>
      </c>
      <c r="Z15" s="24">
        <v>3</v>
      </c>
      <c r="AA15" s="24">
        <v>4</v>
      </c>
      <c r="AB15" s="24">
        <v>2</v>
      </c>
      <c r="AC15" s="24">
        <v>4</v>
      </c>
      <c r="AD15" s="24">
        <v>4</v>
      </c>
      <c r="AE15" s="24">
        <v>2</v>
      </c>
      <c r="AF15" s="24">
        <v>3</v>
      </c>
      <c r="AG15" s="24">
        <v>2</v>
      </c>
      <c r="AH15" s="24">
        <v>3</v>
      </c>
      <c r="AI15" s="24">
        <v>2</v>
      </c>
      <c r="AJ15" s="24">
        <v>2</v>
      </c>
      <c r="AK15" s="24">
        <v>3</v>
      </c>
      <c r="AL15" s="24">
        <v>2</v>
      </c>
      <c r="AM15" s="23"/>
      <c r="AN15" s="23"/>
      <c r="AO15" s="22" t="s">
        <v>59</v>
      </c>
      <c r="AP15" s="22" t="s">
        <v>1436</v>
      </c>
      <c r="AQ15" s="22" t="s">
        <v>1437</v>
      </c>
      <c r="AR15" s="22" t="s">
        <v>1438</v>
      </c>
    </row>
    <row r="16" spans="1:44" hidden="1">
      <c r="A16" s="22" t="s">
        <v>1439</v>
      </c>
      <c r="B16" s="22" t="s">
        <v>1404</v>
      </c>
      <c r="C16" s="22" t="s">
        <v>79</v>
      </c>
      <c r="D16" s="22" t="s">
        <v>98</v>
      </c>
      <c r="E16" s="22" t="s">
        <v>55</v>
      </c>
      <c r="F16" s="22" t="s">
        <v>65</v>
      </c>
      <c r="G16" s="22" t="s">
        <v>57</v>
      </c>
      <c r="H16" s="23"/>
      <c r="I16" s="23"/>
      <c r="J16" s="22">
        <v>5</v>
      </c>
      <c r="K16" s="22">
        <v>4</v>
      </c>
      <c r="L16" s="22">
        <v>1</v>
      </c>
      <c r="M16" s="23"/>
      <c r="N16" s="22" t="s">
        <v>85</v>
      </c>
      <c r="O16" s="23"/>
      <c r="P16" s="23"/>
      <c r="Q16" s="24">
        <v>3</v>
      </c>
      <c r="R16" s="24">
        <v>2</v>
      </c>
      <c r="S16" s="24">
        <v>2</v>
      </c>
      <c r="T16" s="24">
        <v>4</v>
      </c>
      <c r="U16" s="24">
        <v>4</v>
      </c>
      <c r="V16" s="24">
        <v>4</v>
      </c>
      <c r="W16" s="24">
        <v>4</v>
      </c>
      <c r="X16" s="24">
        <v>4</v>
      </c>
      <c r="Y16" s="24">
        <v>4</v>
      </c>
      <c r="Z16" s="24">
        <v>4</v>
      </c>
      <c r="AA16" s="24">
        <v>4</v>
      </c>
      <c r="AB16" s="24">
        <v>4</v>
      </c>
      <c r="AC16" s="24">
        <v>4</v>
      </c>
      <c r="AD16" s="24">
        <v>4</v>
      </c>
      <c r="AE16" s="24">
        <v>4</v>
      </c>
      <c r="AF16" s="24">
        <v>4</v>
      </c>
      <c r="AG16" s="24">
        <v>4</v>
      </c>
      <c r="AH16" s="24">
        <v>3</v>
      </c>
      <c r="AI16" s="24">
        <v>1</v>
      </c>
      <c r="AJ16" s="24">
        <v>1</v>
      </c>
      <c r="AK16" s="24">
        <v>1</v>
      </c>
      <c r="AL16" s="24">
        <v>2</v>
      </c>
      <c r="AM16" s="23"/>
      <c r="AN16" s="23"/>
      <c r="AO16" s="22" t="s">
        <v>59</v>
      </c>
      <c r="AP16" s="22" t="s">
        <v>1440</v>
      </c>
      <c r="AQ16" s="22" t="s">
        <v>1441</v>
      </c>
      <c r="AR16" s="22" t="s">
        <v>1442</v>
      </c>
    </row>
    <row r="17" spans="1:44" hidden="1">
      <c r="A17" s="22" t="s">
        <v>1443</v>
      </c>
      <c r="B17" s="22" t="s">
        <v>1404</v>
      </c>
      <c r="C17" s="22" t="s">
        <v>90</v>
      </c>
      <c r="D17" s="22" t="s">
        <v>71</v>
      </c>
      <c r="E17" s="22" t="s">
        <v>72</v>
      </c>
      <c r="F17" s="22" t="s">
        <v>56</v>
      </c>
      <c r="G17" s="22" t="s">
        <v>80</v>
      </c>
      <c r="H17" s="23"/>
      <c r="I17" s="23"/>
      <c r="J17" s="22">
        <v>2</v>
      </c>
      <c r="K17" s="22">
        <v>1</v>
      </c>
      <c r="L17" s="22">
        <v>1</v>
      </c>
      <c r="M17" s="23"/>
      <c r="N17" s="22" t="s">
        <v>58</v>
      </c>
      <c r="O17" s="23"/>
      <c r="P17" s="23"/>
      <c r="Q17" s="24">
        <v>3</v>
      </c>
      <c r="R17" s="24">
        <v>2</v>
      </c>
      <c r="S17" s="24">
        <v>2</v>
      </c>
      <c r="T17" s="24">
        <v>2</v>
      </c>
      <c r="U17" s="24">
        <v>3</v>
      </c>
      <c r="V17" s="24">
        <v>3</v>
      </c>
      <c r="W17" s="24">
        <v>3</v>
      </c>
      <c r="X17" s="24">
        <v>4</v>
      </c>
      <c r="Y17" s="24">
        <v>3</v>
      </c>
      <c r="Z17" s="24">
        <v>4</v>
      </c>
      <c r="AA17" s="24">
        <v>4</v>
      </c>
      <c r="AB17" s="24">
        <v>3</v>
      </c>
      <c r="AC17" s="24">
        <v>3</v>
      </c>
      <c r="AD17" s="24">
        <v>4</v>
      </c>
      <c r="AE17" s="24">
        <v>3</v>
      </c>
      <c r="AF17" s="24">
        <v>3</v>
      </c>
      <c r="AG17" s="24">
        <v>3</v>
      </c>
      <c r="AH17" s="24">
        <v>4</v>
      </c>
      <c r="AI17" s="24">
        <v>2</v>
      </c>
      <c r="AJ17" s="24">
        <v>2</v>
      </c>
      <c r="AK17" s="24">
        <v>4</v>
      </c>
      <c r="AL17" s="24">
        <v>2</v>
      </c>
      <c r="AM17" s="23"/>
      <c r="AN17" s="23"/>
      <c r="AO17" s="22" t="s">
        <v>74</v>
      </c>
      <c r="AP17" s="22" t="s">
        <v>1444</v>
      </c>
      <c r="AQ17" s="22" t="s">
        <v>1445</v>
      </c>
      <c r="AR17" s="22" t="s">
        <v>1446</v>
      </c>
    </row>
    <row r="18" spans="1:44" hidden="1">
      <c r="A18" s="22" t="s">
        <v>1447</v>
      </c>
      <c r="B18" s="22" t="s">
        <v>1404</v>
      </c>
      <c r="C18" s="22" t="s">
        <v>53</v>
      </c>
      <c r="D18" s="22" t="s">
        <v>98</v>
      </c>
      <c r="E18" s="22" t="s">
        <v>55</v>
      </c>
      <c r="F18" s="22" t="s">
        <v>65</v>
      </c>
      <c r="G18" s="22" t="s">
        <v>57</v>
      </c>
      <c r="H18" s="23"/>
      <c r="I18" s="23"/>
      <c r="J18" s="22">
        <v>5</v>
      </c>
      <c r="K18" s="22">
        <v>2</v>
      </c>
      <c r="L18" s="22">
        <v>2</v>
      </c>
      <c r="M18" s="23"/>
      <c r="N18" s="22" t="s">
        <v>58</v>
      </c>
      <c r="O18" s="23"/>
      <c r="P18" s="23"/>
      <c r="Q18" s="24">
        <v>5</v>
      </c>
      <c r="R18" s="24">
        <v>5</v>
      </c>
      <c r="S18" s="24">
        <v>5</v>
      </c>
      <c r="T18" s="24">
        <v>5</v>
      </c>
      <c r="U18" s="24">
        <v>5</v>
      </c>
      <c r="V18" s="24">
        <v>3</v>
      </c>
      <c r="W18" s="24">
        <v>5</v>
      </c>
      <c r="X18" s="24">
        <v>5</v>
      </c>
      <c r="Y18" s="24">
        <v>4</v>
      </c>
      <c r="Z18" s="24">
        <v>5</v>
      </c>
      <c r="AA18" s="24">
        <v>5</v>
      </c>
      <c r="AB18" s="24">
        <v>5</v>
      </c>
      <c r="AC18" s="24">
        <v>5</v>
      </c>
      <c r="AD18" s="24">
        <v>5</v>
      </c>
      <c r="AE18" s="24">
        <v>5</v>
      </c>
      <c r="AF18" s="24">
        <v>5</v>
      </c>
      <c r="AG18" s="24">
        <v>5</v>
      </c>
      <c r="AH18" s="24">
        <v>5</v>
      </c>
      <c r="AI18" s="24">
        <v>5</v>
      </c>
      <c r="AJ18" s="24">
        <v>3</v>
      </c>
      <c r="AK18" s="24">
        <v>5</v>
      </c>
      <c r="AL18" s="24">
        <v>4</v>
      </c>
      <c r="AM18" s="23"/>
      <c r="AN18" s="23"/>
      <c r="AO18" s="22" t="s">
        <v>74</v>
      </c>
      <c r="AP18" s="22" t="s">
        <v>1448</v>
      </c>
      <c r="AQ18" s="22" t="s">
        <v>1449</v>
      </c>
      <c r="AR18" s="22" t="s">
        <v>1450</v>
      </c>
    </row>
    <row r="19" spans="1:44" hidden="1">
      <c r="A19" s="22" t="s">
        <v>1451</v>
      </c>
      <c r="B19" s="22" t="s">
        <v>1404</v>
      </c>
      <c r="C19" s="22" t="s">
        <v>79</v>
      </c>
      <c r="D19" s="22" t="s">
        <v>106</v>
      </c>
      <c r="E19" s="22" t="s">
        <v>72</v>
      </c>
      <c r="F19" s="22" t="s">
        <v>56</v>
      </c>
      <c r="G19" s="22" t="s">
        <v>57</v>
      </c>
      <c r="H19" s="23"/>
      <c r="I19" s="23"/>
      <c r="J19" s="22">
        <v>4</v>
      </c>
      <c r="K19" s="22">
        <v>3</v>
      </c>
      <c r="L19" s="22">
        <v>2</v>
      </c>
      <c r="M19" s="23"/>
      <c r="N19" s="22" t="s">
        <v>66</v>
      </c>
      <c r="O19" s="23"/>
      <c r="P19" s="23"/>
      <c r="Q19" s="24">
        <v>4</v>
      </c>
      <c r="R19" s="24">
        <v>2</v>
      </c>
      <c r="S19" s="24">
        <v>4</v>
      </c>
      <c r="T19" s="24">
        <v>4</v>
      </c>
      <c r="U19" s="24">
        <v>4</v>
      </c>
      <c r="V19" s="24">
        <v>4</v>
      </c>
      <c r="W19" s="24">
        <v>5</v>
      </c>
      <c r="X19" s="24">
        <v>5</v>
      </c>
      <c r="Y19" s="24">
        <v>4</v>
      </c>
      <c r="Z19" s="24">
        <v>3</v>
      </c>
      <c r="AA19" s="24">
        <v>4</v>
      </c>
      <c r="AB19" s="24">
        <v>4</v>
      </c>
      <c r="AC19" s="24">
        <v>4</v>
      </c>
      <c r="AD19" s="24">
        <v>4</v>
      </c>
      <c r="AE19" s="24">
        <v>4</v>
      </c>
      <c r="AF19" s="24">
        <v>4</v>
      </c>
      <c r="AG19" s="24">
        <v>3</v>
      </c>
      <c r="AH19" s="24">
        <v>4</v>
      </c>
      <c r="AI19" s="24">
        <v>3</v>
      </c>
      <c r="AJ19" s="24">
        <v>4</v>
      </c>
      <c r="AK19" s="24">
        <v>5</v>
      </c>
      <c r="AL19" s="24">
        <v>4</v>
      </c>
      <c r="AM19" s="23"/>
      <c r="AN19" s="23"/>
      <c r="AO19" s="22" t="s">
        <v>74</v>
      </c>
      <c r="AP19" s="22" t="s">
        <v>1452</v>
      </c>
      <c r="AQ19" s="22" t="s">
        <v>1453</v>
      </c>
      <c r="AR19" s="22" t="s">
        <v>1454</v>
      </c>
    </row>
    <row r="20" spans="1:44" hidden="1">
      <c r="A20" s="22" t="s">
        <v>1455</v>
      </c>
      <c r="B20" s="22" t="s">
        <v>1404</v>
      </c>
      <c r="C20" s="22" t="s">
        <v>79</v>
      </c>
      <c r="D20" s="22" t="s">
        <v>64</v>
      </c>
      <c r="E20" s="22" t="s">
        <v>55</v>
      </c>
      <c r="F20" s="22" t="s">
        <v>65</v>
      </c>
      <c r="G20" s="22" t="s">
        <v>80</v>
      </c>
      <c r="H20" s="23"/>
      <c r="I20" s="23"/>
      <c r="J20" s="22">
        <v>2</v>
      </c>
      <c r="K20" s="22">
        <v>4</v>
      </c>
      <c r="L20" s="22">
        <v>4</v>
      </c>
      <c r="M20" s="23"/>
      <c r="N20" s="22" t="s">
        <v>58</v>
      </c>
      <c r="O20" s="23"/>
      <c r="P20" s="23"/>
      <c r="Q20" s="24">
        <v>1</v>
      </c>
      <c r="R20" s="24">
        <v>1</v>
      </c>
      <c r="S20" s="24">
        <v>2</v>
      </c>
      <c r="T20" s="24">
        <v>2</v>
      </c>
      <c r="U20" s="24">
        <v>2</v>
      </c>
      <c r="V20" s="24">
        <v>3</v>
      </c>
      <c r="W20" s="24">
        <v>3</v>
      </c>
      <c r="X20" s="24">
        <v>4</v>
      </c>
      <c r="Y20" s="24">
        <v>3</v>
      </c>
      <c r="Z20" s="24">
        <v>4</v>
      </c>
      <c r="AA20" s="24">
        <v>3</v>
      </c>
      <c r="AB20" s="24">
        <v>4</v>
      </c>
      <c r="AC20" s="24">
        <v>4</v>
      </c>
      <c r="AD20" s="24">
        <v>4</v>
      </c>
      <c r="AE20" s="24">
        <v>4</v>
      </c>
      <c r="AF20" s="24">
        <v>4</v>
      </c>
      <c r="AG20" s="24">
        <v>4</v>
      </c>
      <c r="AH20" s="24">
        <v>4</v>
      </c>
      <c r="AI20" s="24">
        <v>4</v>
      </c>
      <c r="AJ20" s="24">
        <v>3</v>
      </c>
      <c r="AK20" s="24">
        <v>4</v>
      </c>
      <c r="AL20" s="24">
        <v>4</v>
      </c>
      <c r="AM20" s="23"/>
      <c r="AN20" s="23"/>
      <c r="AO20" s="22" t="s">
        <v>74</v>
      </c>
      <c r="AP20" s="22" t="s">
        <v>1456</v>
      </c>
      <c r="AQ20" s="22" t="s">
        <v>1457</v>
      </c>
      <c r="AR20" s="22" t="s">
        <v>1321</v>
      </c>
    </row>
    <row r="21" spans="1:44" hidden="1">
      <c r="A21" s="22" t="s">
        <v>1458</v>
      </c>
      <c r="B21" s="22" t="s">
        <v>1404</v>
      </c>
      <c r="C21" s="22" t="s">
        <v>79</v>
      </c>
      <c r="D21" s="22" t="s">
        <v>106</v>
      </c>
      <c r="E21" s="22" t="s">
        <v>72</v>
      </c>
      <c r="F21" s="22" t="s">
        <v>73</v>
      </c>
      <c r="G21" s="22" t="s">
        <v>80</v>
      </c>
      <c r="H21" s="23"/>
      <c r="I21" s="23"/>
      <c r="J21" s="22">
        <v>3</v>
      </c>
      <c r="K21" s="22">
        <v>3</v>
      </c>
      <c r="L21" s="22">
        <v>3</v>
      </c>
      <c r="M21" s="23"/>
      <c r="N21" s="22" t="s">
        <v>66</v>
      </c>
      <c r="O21" s="23"/>
      <c r="P21" s="23"/>
      <c r="Q21" s="24">
        <v>3</v>
      </c>
      <c r="R21" s="24">
        <v>3</v>
      </c>
      <c r="S21" s="24">
        <v>3</v>
      </c>
      <c r="T21" s="24">
        <v>3</v>
      </c>
      <c r="U21" s="24">
        <v>3</v>
      </c>
      <c r="V21" s="24">
        <v>3</v>
      </c>
      <c r="W21" s="24">
        <v>3</v>
      </c>
      <c r="X21" s="24">
        <v>3</v>
      </c>
      <c r="Y21" s="24">
        <v>3</v>
      </c>
      <c r="Z21" s="24">
        <v>3</v>
      </c>
      <c r="AA21" s="24">
        <v>3</v>
      </c>
      <c r="AB21" s="24">
        <v>4</v>
      </c>
      <c r="AC21" s="24">
        <v>4</v>
      </c>
      <c r="AD21" s="24">
        <v>4</v>
      </c>
      <c r="AE21" s="24">
        <v>4</v>
      </c>
      <c r="AF21" s="24">
        <v>4</v>
      </c>
      <c r="AG21" s="24">
        <v>4</v>
      </c>
      <c r="AH21" s="24">
        <v>4</v>
      </c>
      <c r="AI21" s="24">
        <v>4</v>
      </c>
      <c r="AJ21" s="24">
        <v>4</v>
      </c>
      <c r="AK21" s="24">
        <v>4</v>
      </c>
      <c r="AL21" s="24">
        <v>4</v>
      </c>
      <c r="AM21" s="23"/>
      <c r="AN21" s="23"/>
      <c r="AO21" s="22" t="s">
        <v>59</v>
      </c>
      <c r="AP21" s="22" t="s">
        <v>1459</v>
      </c>
      <c r="AQ21" s="22" t="s">
        <v>285</v>
      </c>
      <c r="AR21" s="22" t="s">
        <v>1460</v>
      </c>
    </row>
    <row r="22" spans="1:44" hidden="1">
      <c r="A22" s="22" t="s">
        <v>1461</v>
      </c>
      <c r="B22" s="22" t="s">
        <v>1404</v>
      </c>
      <c r="C22" s="22" t="s">
        <v>95</v>
      </c>
      <c r="D22" s="22" t="s">
        <v>71</v>
      </c>
      <c r="E22" s="22" t="s">
        <v>72</v>
      </c>
      <c r="F22" s="22" t="s">
        <v>56</v>
      </c>
      <c r="G22" s="22" t="s">
        <v>57</v>
      </c>
      <c r="H22" s="23"/>
      <c r="I22" s="23"/>
      <c r="J22" s="22">
        <v>4</v>
      </c>
      <c r="K22" s="22">
        <v>2</v>
      </c>
      <c r="L22" s="22">
        <v>1</v>
      </c>
      <c r="M22" s="23"/>
      <c r="N22" s="22" t="s">
        <v>66</v>
      </c>
      <c r="O22" s="23"/>
      <c r="P22" s="23"/>
      <c r="Q22" s="24">
        <v>4</v>
      </c>
      <c r="R22" s="24">
        <v>3</v>
      </c>
      <c r="S22" s="24">
        <v>4</v>
      </c>
      <c r="T22" s="24">
        <v>3</v>
      </c>
      <c r="U22" s="24">
        <v>4</v>
      </c>
      <c r="V22" s="24">
        <v>3</v>
      </c>
      <c r="W22" s="24">
        <v>3</v>
      </c>
      <c r="X22" s="24">
        <v>3</v>
      </c>
      <c r="Y22" s="24">
        <v>3</v>
      </c>
      <c r="Z22" s="24">
        <v>3</v>
      </c>
      <c r="AA22" s="24">
        <v>4</v>
      </c>
      <c r="AB22" s="24">
        <v>4</v>
      </c>
      <c r="AC22" s="24">
        <v>4</v>
      </c>
      <c r="AD22" s="24">
        <v>4</v>
      </c>
      <c r="AE22" s="24">
        <v>4</v>
      </c>
      <c r="AF22" s="24">
        <v>4</v>
      </c>
      <c r="AG22" s="24">
        <v>4</v>
      </c>
      <c r="AH22" s="24">
        <v>4</v>
      </c>
      <c r="AI22" s="24">
        <v>4</v>
      </c>
      <c r="AJ22" s="24">
        <v>4</v>
      </c>
      <c r="AK22" s="24">
        <v>4</v>
      </c>
      <c r="AL22" s="24">
        <v>3</v>
      </c>
      <c r="AM22" s="23"/>
      <c r="AN22" s="23"/>
      <c r="AO22" s="22" t="s">
        <v>74</v>
      </c>
      <c r="AP22" s="22" t="s">
        <v>1462</v>
      </c>
      <c r="AQ22" s="22" t="s">
        <v>1463</v>
      </c>
      <c r="AR22" s="22" t="s">
        <v>1464</v>
      </c>
    </row>
    <row r="23" spans="1:44" hidden="1">
      <c r="A23" s="22" t="s">
        <v>1465</v>
      </c>
      <c r="B23" s="22" t="s">
        <v>1404</v>
      </c>
      <c r="C23" s="22" t="s">
        <v>53</v>
      </c>
      <c r="D23" s="22" t="s">
        <v>54</v>
      </c>
      <c r="E23" s="22" t="s">
        <v>72</v>
      </c>
      <c r="F23" s="22" t="s">
        <v>73</v>
      </c>
      <c r="G23" s="22" t="s">
        <v>80</v>
      </c>
      <c r="H23" s="23"/>
      <c r="I23" s="23"/>
      <c r="J23" s="22">
        <v>4</v>
      </c>
      <c r="K23" s="22">
        <v>3</v>
      </c>
      <c r="L23" s="22">
        <v>2</v>
      </c>
      <c r="M23" s="23"/>
      <c r="N23" s="22" t="s">
        <v>66</v>
      </c>
      <c r="O23" s="23"/>
      <c r="P23" s="23"/>
      <c r="Q23" s="24">
        <v>4</v>
      </c>
      <c r="R23" s="24">
        <v>4</v>
      </c>
      <c r="S23" s="24">
        <v>3</v>
      </c>
      <c r="T23" s="24">
        <v>3</v>
      </c>
      <c r="U23" s="24">
        <v>4</v>
      </c>
      <c r="V23" s="24">
        <v>3</v>
      </c>
      <c r="W23" s="24">
        <v>4</v>
      </c>
      <c r="X23" s="24">
        <v>4</v>
      </c>
      <c r="Y23" s="24">
        <v>4</v>
      </c>
      <c r="Z23" s="24">
        <v>4</v>
      </c>
      <c r="AA23" s="24">
        <v>4</v>
      </c>
      <c r="AB23" s="24">
        <v>4</v>
      </c>
      <c r="AC23" s="24">
        <v>4</v>
      </c>
      <c r="AD23" s="24">
        <v>4</v>
      </c>
      <c r="AE23" s="24">
        <v>4</v>
      </c>
      <c r="AF23" s="24">
        <v>4</v>
      </c>
      <c r="AG23" s="24">
        <v>4</v>
      </c>
      <c r="AH23" s="24">
        <v>4</v>
      </c>
      <c r="AI23" s="24">
        <v>3</v>
      </c>
      <c r="AJ23" s="24">
        <v>3</v>
      </c>
      <c r="AK23" s="24">
        <v>4</v>
      </c>
      <c r="AL23" s="24">
        <v>4</v>
      </c>
      <c r="AM23" s="23"/>
      <c r="AN23" s="23"/>
      <c r="AO23" s="22" t="s">
        <v>74</v>
      </c>
      <c r="AP23" s="22" t="s">
        <v>1466</v>
      </c>
      <c r="AQ23" s="22" t="s">
        <v>1467</v>
      </c>
      <c r="AR23" s="22" t="s">
        <v>1468</v>
      </c>
    </row>
    <row r="24" spans="1:44" hidden="1">
      <c r="A24" s="22" t="s">
        <v>1469</v>
      </c>
      <c r="B24" s="22" t="s">
        <v>1404</v>
      </c>
      <c r="C24" s="22" t="s">
        <v>95</v>
      </c>
      <c r="D24" s="22" t="s">
        <v>64</v>
      </c>
      <c r="E24" s="22" t="s">
        <v>55</v>
      </c>
      <c r="F24" s="22" t="s">
        <v>65</v>
      </c>
      <c r="G24" s="22" t="s">
        <v>80</v>
      </c>
      <c r="H24" s="23"/>
      <c r="I24" s="23"/>
      <c r="J24" s="22">
        <v>4</v>
      </c>
      <c r="K24" s="22">
        <v>3</v>
      </c>
      <c r="L24" s="22">
        <v>3</v>
      </c>
      <c r="M24" s="23"/>
      <c r="N24" s="22" t="s">
        <v>66</v>
      </c>
      <c r="O24" s="23"/>
      <c r="P24" s="23"/>
      <c r="Q24" s="24">
        <v>3</v>
      </c>
      <c r="R24" s="24">
        <v>2</v>
      </c>
      <c r="S24" s="24">
        <v>4</v>
      </c>
      <c r="T24" s="24">
        <v>4</v>
      </c>
      <c r="U24" s="24">
        <v>4</v>
      </c>
      <c r="V24" s="24">
        <v>3</v>
      </c>
      <c r="W24" s="24">
        <v>4</v>
      </c>
      <c r="X24" s="24">
        <v>3</v>
      </c>
      <c r="Y24" s="24">
        <v>3</v>
      </c>
      <c r="Z24" s="24">
        <v>4</v>
      </c>
      <c r="AA24" s="24">
        <v>3</v>
      </c>
      <c r="AB24" s="24">
        <v>5</v>
      </c>
      <c r="AC24" s="24">
        <v>5</v>
      </c>
      <c r="AD24" s="24">
        <v>4</v>
      </c>
      <c r="AE24" s="24">
        <v>2</v>
      </c>
      <c r="AF24" s="24">
        <v>3</v>
      </c>
      <c r="AG24" s="24">
        <v>4</v>
      </c>
      <c r="AH24" s="24">
        <v>4</v>
      </c>
      <c r="AI24" s="24">
        <v>2</v>
      </c>
      <c r="AJ24" s="24">
        <v>2</v>
      </c>
      <c r="AK24" s="24">
        <v>2</v>
      </c>
      <c r="AL24" s="24">
        <v>3</v>
      </c>
      <c r="AM24" s="23"/>
      <c r="AN24" s="23"/>
      <c r="AO24" s="22" t="s">
        <v>74</v>
      </c>
      <c r="AP24" s="22" t="s">
        <v>1470</v>
      </c>
      <c r="AQ24" s="22" t="s">
        <v>1471</v>
      </c>
      <c r="AR24" s="22" t="s">
        <v>1472</v>
      </c>
    </row>
    <row r="25" spans="1:44" hidden="1">
      <c r="A25" s="22" t="s">
        <v>1473</v>
      </c>
      <c r="B25" s="22" t="s">
        <v>1404</v>
      </c>
      <c r="C25" s="22" t="s">
        <v>95</v>
      </c>
      <c r="D25" s="22" t="s">
        <v>54</v>
      </c>
      <c r="E25" s="22" t="s">
        <v>72</v>
      </c>
      <c r="F25" s="22" t="s">
        <v>56</v>
      </c>
      <c r="G25" s="22" t="s">
        <v>57</v>
      </c>
      <c r="H25" s="23"/>
      <c r="I25" s="23"/>
      <c r="J25" s="22">
        <v>4</v>
      </c>
      <c r="K25" s="22">
        <v>2</v>
      </c>
      <c r="L25" s="22">
        <v>2</v>
      </c>
      <c r="M25" s="23"/>
      <c r="N25" s="22" t="s">
        <v>58</v>
      </c>
      <c r="O25" s="23"/>
      <c r="P25" s="23"/>
      <c r="Q25" s="24">
        <v>3</v>
      </c>
      <c r="R25" s="24">
        <v>2</v>
      </c>
      <c r="S25" s="24">
        <v>3</v>
      </c>
      <c r="T25" s="24">
        <v>2</v>
      </c>
      <c r="U25" s="24">
        <v>4</v>
      </c>
      <c r="V25" s="24">
        <v>4</v>
      </c>
      <c r="W25" s="24">
        <v>4</v>
      </c>
      <c r="X25" s="24">
        <v>2</v>
      </c>
      <c r="Y25" s="24">
        <v>2</v>
      </c>
      <c r="Z25" s="24">
        <v>4</v>
      </c>
      <c r="AA25" s="24">
        <v>4</v>
      </c>
      <c r="AB25" s="24">
        <v>4</v>
      </c>
      <c r="AC25" s="24">
        <v>4</v>
      </c>
      <c r="AD25" s="24">
        <v>4</v>
      </c>
      <c r="AE25" s="24">
        <v>3</v>
      </c>
      <c r="AF25" s="24">
        <v>4</v>
      </c>
      <c r="AG25" s="24">
        <v>4</v>
      </c>
      <c r="AH25" s="24">
        <v>4</v>
      </c>
      <c r="AI25" s="24">
        <v>2</v>
      </c>
      <c r="AJ25" s="24">
        <v>2</v>
      </c>
      <c r="AK25" s="24">
        <v>2</v>
      </c>
      <c r="AL25" s="24">
        <v>2</v>
      </c>
      <c r="AM25" s="23"/>
      <c r="AN25" s="23"/>
      <c r="AO25" s="22" t="s">
        <v>59</v>
      </c>
      <c r="AP25" s="22" t="s">
        <v>1474</v>
      </c>
      <c r="AQ25" s="22" t="s">
        <v>1475</v>
      </c>
      <c r="AR25" s="22" t="s">
        <v>92</v>
      </c>
    </row>
    <row r="26" spans="1:44" hidden="1">
      <c r="A26" s="22" t="s">
        <v>1476</v>
      </c>
      <c r="B26" s="22" t="s">
        <v>1404</v>
      </c>
      <c r="C26" s="22" t="s">
        <v>95</v>
      </c>
      <c r="D26" s="22" t="s">
        <v>64</v>
      </c>
      <c r="E26" s="22" t="s">
        <v>55</v>
      </c>
      <c r="F26" s="22" t="s">
        <v>65</v>
      </c>
      <c r="G26" s="22" t="s">
        <v>80</v>
      </c>
      <c r="H26" s="23"/>
      <c r="I26" s="23"/>
      <c r="J26" s="22">
        <v>4</v>
      </c>
      <c r="K26" s="22">
        <v>2</v>
      </c>
      <c r="L26" s="22">
        <v>2</v>
      </c>
      <c r="M26" s="23"/>
      <c r="N26" s="22" t="s">
        <v>85</v>
      </c>
      <c r="O26" s="23"/>
      <c r="P26" s="23"/>
      <c r="Q26" s="24">
        <v>3</v>
      </c>
      <c r="R26" s="24">
        <v>3</v>
      </c>
      <c r="S26" s="24">
        <v>3</v>
      </c>
      <c r="T26" s="24">
        <v>2</v>
      </c>
      <c r="U26" s="24">
        <v>3</v>
      </c>
      <c r="V26" s="24">
        <v>4</v>
      </c>
      <c r="W26" s="24">
        <v>4</v>
      </c>
      <c r="X26" s="24">
        <v>3</v>
      </c>
      <c r="Y26" s="24">
        <v>3</v>
      </c>
      <c r="Z26" s="24">
        <v>3</v>
      </c>
      <c r="AA26" s="24">
        <v>3</v>
      </c>
      <c r="AB26" s="24">
        <v>4</v>
      </c>
      <c r="AC26" s="24">
        <v>4</v>
      </c>
      <c r="AD26" s="24">
        <v>4</v>
      </c>
      <c r="AE26" s="24">
        <v>3</v>
      </c>
      <c r="AF26" s="24">
        <v>4</v>
      </c>
      <c r="AG26" s="24">
        <v>4</v>
      </c>
      <c r="AH26" s="24">
        <v>4</v>
      </c>
      <c r="AI26" s="24">
        <v>3</v>
      </c>
      <c r="AJ26" s="24">
        <v>3</v>
      </c>
      <c r="AK26" s="24">
        <v>4</v>
      </c>
      <c r="AL26" s="24">
        <v>2</v>
      </c>
      <c r="AM26" s="23"/>
      <c r="AN26" s="23"/>
      <c r="AO26" s="22" t="s">
        <v>59</v>
      </c>
      <c r="AP26" s="22" t="s">
        <v>1477</v>
      </c>
      <c r="AQ26" s="22" t="s">
        <v>1478</v>
      </c>
      <c r="AR26" s="22" t="s">
        <v>1479</v>
      </c>
    </row>
    <row r="27" spans="1:44" hidden="1">
      <c r="A27" s="22" t="s">
        <v>1480</v>
      </c>
      <c r="B27" s="22" t="s">
        <v>1404</v>
      </c>
      <c r="C27" s="22" t="s">
        <v>53</v>
      </c>
      <c r="D27" s="22" t="s">
        <v>64</v>
      </c>
      <c r="E27" s="22" t="s">
        <v>55</v>
      </c>
      <c r="F27" s="22" t="s">
        <v>73</v>
      </c>
      <c r="G27" s="22" t="s">
        <v>96</v>
      </c>
      <c r="H27" s="23"/>
      <c r="I27" s="23"/>
      <c r="J27" s="22">
        <v>1</v>
      </c>
      <c r="K27" s="22">
        <v>1</v>
      </c>
      <c r="L27" s="22">
        <v>1</v>
      </c>
      <c r="M27" s="23"/>
      <c r="N27" s="22" t="s">
        <v>85</v>
      </c>
      <c r="O27" s="23"/>
      <c r="P27" s="23"/>
      <c r="Q27" s="24">
        <v>2</v>
      </c>
      <c r="R27" s="24">
        <v>1</v>
      </c>
      <c r="S27" s="24">
        <v>1</v>
      </c>
      <c r="T27" s="24">
        <v>1</v>
      </c>
      <c r="U27" s="24">
        <v>1</v>
      </c>
      <c r="V27" s="24">
        <v>1</v>
      </c>
      <c r="W27" s="24">
        <v>5</v>
      </c>
      <c r="X27" s="24">
        <v>1</v>
      </c>
      <c r="Y27" s="24">
        <v>1</v>
      </c>
      <c r="Z27" s="24">
        <v>3</v>
      </c>
      <c r="AA27" s="24">
        <v>3</v>
      </c>
      <c r="AB27" s="24">
        <v>4</v>
      </c>
      <c r="AC27" s="24">
        <v>4</v>
      </c>
      <c r="AD27" s="24">
        <v>4</v>
      </c>
      <c r="AE27" s="24">
        <v>4</v>
      </c>
      <c r="AF27" s="24">
        <v>4</v>
      </c>
      <c r="AG27" s="24">
        <v>4</v>
      </c>
      <c r="AH27" s="24">
        <v>4</v>
      </c>
      <c r="AI27" s="24">
        <v>3</v>
      </c>
      <c r="AJ27" s="24">
        <v>2</v>
      </c>
      <c r="AK27" s="24">
        <v>3</v>
      </c>
      <c r="AL27" s="24">
        <v>3</v>
      </c>
      <c r="AM27" s="23"/>
      <c r="AN27" s="23"/>
      <c r="AO27" s="22" t="s">
        <v>59</v>
      </c>
      <c r="AP27" s="22" t="s">
        <v>157</v>
      </c>
      <c r="AQ27" s="22" t="s">
        <v>157</v>
      </c>
      <c r="AR27" s="22" t="s">
        <v>92</v>
      </c>
    </row>
    <row r="28" spans="1:44">
      <c r="A28" s="22" t="s">
        <v>1481</v>
      </c>
      <c r="B28" s="22" t="s">
        <v>1404</v>
      </c>
      <c r="C28" s="22" t="s">
        <v>79</v>
      </c>
      <c r="D28" s="22" t="s">
        <v>64</v>
      </c>
      <c r="E28" s="22" t="s">
        <v>72</v>
      </c>
      <c r="F28" s="22" t="s">
        <v>65</v>
      </c>
      <c r="G28" s="22" t="s">
        <v>57</v>
      </c>
      <c r="H28" s="23"/>
      <c r="I28" s="23"/>
      <c r="J28" s="22">
        <v>4</v>
      </c>
      <c r="K28" s="22">
        <v>4</v>
      </c>
      <c r="L28" s="22">
        <v>3</v>
      </c>
      <c r="M28" s="23"/>
      <c r="N28" s="22" t="s">
        <v>58</v>
      </c>
      <c r="O28" s="23"/>
      <c r="P28" s="23"/>
      <c r="Q28" s="24">
        <v>4</v>
      </c>
      <c r="R28" s="24">
        <v>4</v>
      </c>
      <c r="S28" s="24">
        <v>3</v>
      </c>
      <c r="T28" s="24">
        <v>3</v>
      </c>
      <c r="U28" s="24">
        <v>4</v>
      </c>
      <c r="V28" s="24">
        <v>4</v>
      </c>
      <c r="W28" s="24">
        <v>3</v>
      </c>
      <c r="X28" s="24">
        <v>2</v>
      </c>
      <c r="Y28" s="24">
        <v>4</v>
      </c>
      <c r="Z28" s="24">
        <v>4</v>
      </c>
      <c r="AA28" s="24">
        <v>3</v>
      </c>
      <c r="AB28" s="24">
        <v>4</v>
      </c>
      <c r="AC28" s="24">
        <v>4</v>
      </c>
      <c r="AD28" s="24">
        <v>4</v>
      </c>
      <c r="AE28" s="24">
        <v>4</v>
      </c>
      <c r="AF28" s="24">
        <v>4</v>
      </c>
      <c r="AG28" s="24">
        <v>4</v>
      </c>
      <c r="AH28" s="24">
        <v>4</v>
      </c>
      <c r="AI28" s="24">
        <v>4</v>
      </c>
      <c r="AJ28" s="24">
        <v>4</v>
      </c>
      <c r="AK28" s="24">
        <v>3</v>
      </c>
      <c r="AL28" s="24">
        <v>3</v>
      </c>
      <c r="AM28" s="23"/>
      <c r="AN28" s="23"/>
      <c r="AO28" s="22" t="s">
        <v>74</v>
      </c>
      <c r="AP28" s="22" t="s">
        <v>1482</v>
      </c>
      <c r="AQ28" s="22" t="s">
        <v>1483</v>
      </c>
      <c r="AR28" s="22" t="s">
        <v>1484</v>
      </c>
    </row>
    <row r="29" spans="1:44">
      <c r="A29" s="22" t="s">
        <v>1485</v>
      </c>
      <c r="B29" s="22" t="s">
        <v>1404</v>
      </c>
      <c r="C29" s="22" t="s">
        <v>95</v>
      </c>
      <c r="D29" s="22" t="s">
        <v>54</v>
      </c>
      <c r="E29" s="22" t="s">
        <v>55</v>
      </c>
      <c r="F29" s="22" t="s">
        <v>56</v>
      </c>
      <c r="G29" s="22" t="s">
        <v>80</v>
      </c>
      <c r="H29" s="23"/>
      <c r="I29" s="23"/>
      <c r="J29" s="22">
        <v>2</v>
      </c>
      <c r="K29" s="22">
        <v>2</v>
      </c>
      <c r="L29" s="22">
        <v>2</v>
      </c>
      <c r="M29" s="23"/>
      <c r="N29" s="22" t="s">
        <v>85</v>
      </c>
      <c r="O29" s="23"/>
      <c r="P29" s="23"/>
      <c r="Q29" s="24">
        <v>3</v>
      </c>
      <c r="R29" s="24">
        <v>2</v>
      </c>
      <c r="S29" s="24">
        <v>3</v>
      </c>
      <c r="T29" s="24">
        <v>3</v>
      </c>
      <c r="U29" s="24">
        <v>3</v>
      </c>
      <c r="V29" s="24">
        <v>3</v>
      </c>
      <c r="W29" s="24">
        <v>3</v>
      </c>
      <c r="X29" s="24">
        <v>3</v>
      </c>
      <c r="Y29" s="24">
        <v>3</v>
      </c>
      <c r="Z29" s="24">
        <v>3</v>
      </c>
      <c r="AA29" s="24">
        <v>3</v>
      </c>
      <c r="AB29" s="24">
        <v>3</v>
      </c>
      <c r="AC29" s="24">
        <v>3</v>
      </c>
      <c r="AD29" s="24">
        <v>3</v>
      </c>
      <c r="AE29" s="24">
        <v>3</v>
      </c>
      <c r="AF29" s="24">
        <v>3</v>
      </c>
      <c r="AG29" s="24">
        <v>3</v>
      </c>
      <c r="AH29" s="24">
        <v>3</v>
      </c>
      <c r="AI29" s="24">
        <v>3</v>
      </c>
      <c r="AJ29" s="24">
        <v>3</v>
      </c>
      <c r="AK29" s="24">
        <v>3</v>
      </c>
      <c r="AL29" s="24">
        <v>3</v>
      </c>
      <c r="AM29" s="23"/>
      <c r="AN29" s="23"/>
      <c r="AO29" s="22" t="s">
        <v>59</v>
      </c>
      <c r="AP29" s="22" t="s">
        <v>1486</v>
      </c>
      <c r="AQ29" s="22" t="s">
        <v>1486</v>
      </c>
      <c r="AR29" s="22" t="s">
        <v>1487</v>
      </c>
    </row>
    <row r="32" spans="1:44">
      <c r="F32" s="23"/>
      <c r="G32" s="15" t="s">
        <v>1488</v>
      </c>
      <c r="H32" s="26"/>
      <c r="I32" s="26"/>
      <c r="J32" s="23"/>
      <c r="K32" s="23"/>
      <c r="L32" s="23"/>
      <c r="M32" s="23"/>
      <c r="N32" s="3" t="s">
        <v>3</v>
      </c>
      <c r="O32" s="8"/>
      <c r="P32" s="8"/>
      <c r="Q32" s="65" t="s">
        <v>9</v>
      </c>
      <c r="R32" s="66"/>
      <c r="S32" s="66"/>
      <c r="T32" s="66"/>
      <c r="U32" s="66"/>
      <c r="V32" s="67"/>
      <c r="W32" s="65" t="s">
        <v>10</v>
      </c>
      <c r="X32" s="66"/>
      <c r="Y32" s="66"/>
      <c r="Z32" s="67"/>
      <c r="AA32" s="68" t="s">
        <v>11</v>
      </c>
      <c r="AB32" s="69"/>
      <c r="AC32" s="69"/>
      <c r="AD32" s="69"/>
      <c r="AE32" s="69"/>
      <c r="AF32" s="69"/>
      <c r="AG32" s="70"/>
      <c r="AH32" s="68" t="s">
        <v>12</v>
      </c>
      <c r="AI32" s="69"/>
      <c r="AJ32" s="69"/>
      <c r="AK32" s="69"/>
      <c r="AL32" s="70"/>
      <c r="AM32" s="27"/>
      <c r="AN32" s="27"/>
      <c r="AO32" s="20" t="s">
        <v>48</v>
      </c>
      <c r="AP32" s="23"/>
    </row>
    <row r="33" spans="6:42">
      <c r="F33" s="15" t="s">
        <v>1489</v>
      </c>
      <c r="G33" s="15" t="s">
        <v>1490</v>
      </c>
      <c r="H33" s="33" t="s">
        <v>1504</v>
      </c>
      <c r="I33" s="15"/>
      <c r="J33" s="15" t="s">
        <v>23</v>
      </c>
      <c r="K33" s="15" t="s">
        <v>24</v>
      </c>
      <c r="L33" s="16" t="s">
        <v>25</v>
      </c>
      <c r="M33" s="3" t="s">
        <v>1489</v>
      </c>
      <c r="N33" s="3" t="s">
        <v>1490</v>
      </c>
      <c r="O33" s="33" t="s">
        <v>1504</v>
      </c>
      <c r="P33" s="3"/>
      <c r="Q33" s="17" t="s">
        <v>26</v>
      </c>
      <c r="R33" s="3" t="s">
        <v>27</v>
      </c>
      <c r="S33" s="3" t="s">
        <v>28</v>
      </c>
      <c r="T33" s="18" t="s">
        <v>29</v>
      </c>
      <c r="U33" s="17" t="s">
        <v>30</v>
      </c>
      <c r="V33" s="3" t="s">
        <v>31</v>
      </c>
      <c r="W33" s="17" t="s">
        <v>32</v>
      </c>
      <c r="X33" s="17" t="s">
        <v>33</v>
      </c>
      <c r="Y33" s="17" t="s">
        <v>34</v>
      </c>
      <c r="Z33" s="17" t="s">
        <v>35</v>
      </c>
      <c r="AA33" s="17" t="s">
        <v>36</v>
      </c>
      <c r="AB33" s="17" t="s">
        <v>37</v>
      </c>
      <c r="AC33" s="17" t="s">
        <v>38</v>
      </c>
      <c r="AD33" s="17" t="s">
        <v>39</v>
      </c>
      <c r="AE33" s="17" t="s">
        <v>40</v>
      </c>
      <c r="AF33" s="17" t="s">
        <v>41</v>
      </c>
      <c r="AG33" s="17" t="s">
        <v>42</v>
      </c>
      <c r="AH33" s="17" t="s">
        <v>43</v>
      </c>
      <c r="AI33" s="17" t="s">
        <v>44</v>
      </c>
      <c r="AJ33" s="17" t="s">
        <v>45</v>
      </c>
      <c r="AK33" s="19" t="s">
        <v>46</v>
      </c>
      <c r="AL33" s="19" t="s">
        <v>47</v>
      </c>
      <c r="AM33" s="19"/>
      <c r="AN33" s="20" t="s">
        <v>1489</v>
      </c>
      <c r="AO33" s="20" t="s">
        <v>1490</v>
      </c>
      <c r="AP33" s="33" t="s">
        <v>1504</v>
      </c>
    </row>
    <row r="34" spans="6:42">
      <c r="F34" s="22" t="s">
        <v>80</v>
      </c>
      <c r="G34" s="28">
        <f>COUNTIF($G$4:$G$29,"가끔 사용한다")</f>
        <v>14</v>
      </c>
      <c r="H34" s="34">
        <f>G34/$G$38</f>
        <v>0.53846153846153844</v>
      </c>
      <c r="I34" s="23" t="s">
        <v>1491</v>
      </c>
      <c r="J34" s="29">
        <f>AVERAGE(J$4:J$29)</f>
        <v>3.0769230769230771</v>
      </c>
      <c r="K34" s="29">
        <f t="shared" ref="K34:L34" si="0">AVERAGE(K$4:K$29)</f>
        <v>2.5769230769230771</v>
      </c>
      <c r="L34" s="29">
        <f t="shared" si="0"/>
        <v>2.1538461538461537</v>
      </c>
      <c r="M34" s="29" t="s">
        <v>1492</v>
      </c>
      <c r="N34" s="23">
        <f>COUNTIF($N$4:$N$29, "기본 개념 인지")</f>
        <v>14</v>
      </c>
      <c r="O34" s="34">
        <f>N34/$N$39</f>
        <v>0.53846153846153844</v>
      </c>
      <c r="P34" s="23" t="s">
        <v>1491</v>
      </c>
      <c r="Q34" s="29">
        <f>AVERAGE(Q$4:Q$29)</f>
        <v>3.1153846153846154</v>
      </c>
      <c r="R34" s="29">
        <f t="shared" ref="R34:AL34" si="1">AVERAGE(R$4:R$29)</f>
        <v>2.5384615384615383</v>
      </c>
      <c r="S34" s="29">
        <f t="shared" si="1"/>
        <v>2.9230769230769229</v>
      </c>
      <c r="T34" s="29">
        <f t="shared" si="1"/>
        <v>2.8076923076923075</v>
      </c>
      <c r="U34" s="29">
        <f t="shared" si="1"/>
        <v>3.3076923076923075</v>
      </c>
      <c r="V34" s="29">
        <f t="shared" si="1"/>
        <v>3.1923076923076925</v>
      </c>
      <c r="W34" s="29">
        <f t="shared" si="1"/>
        <v>3.7692307692307692</v>
      </c>
      <c r="X34" s="29">
        <f t="shared" si="1"/>
        <v>3.4230769230769229</v>
      </c>
      <c r="Y34" s="29">
        <f t="shared" si="1"/>
        <v>2.9230769230769229</v>
      </c>
      <c r="Z34" s="29">
        <f t="shared" si="1"/>
        <v>3.2692307692307692</v>
      </c>
      <c r="AA34" s="29">
        <f t="shared" si="1"/>
        <v>3.4615384615384617</v>
      </c>
      <c r="AB34" s="29">
        <f t="shared" si="1"/>
        <v>3.8076923076923075</v>
      </c>
      <c r="AC34" s="29">
        <f t="shared" si="1"/>
        <v>3.7692307692307692</v>
      </c>
      <c r="AD34" s="29">
        <f t="shared" si="1"/>
        <v>3.8461538461538463</v>
      </c>
      <c r="AE34" s="29">
        <f t="shared" si="1"/>
        <v>3.4615384615384617</v>
      </c>
      <c r="AF34" s="29">
        <f t="shared" si="1"/>
        <v>3.7307692307692308</v>
      </c>
      <c r="AG34" s="29">
        <f t="shared" si="1"/>
        <v>3.6538461538461537</v>
      </c>
      <c r="AH34" s="29">
        <f t="shared" si="1"/>
        <v>3.7692307692307692</v>
      </c>
      <c r="AI34" s="29">
        <f t="shared" si="1"/>
        <v>3</v>
      </c>
      <c r="AJ34" s="29">
        <f t="shared" si="1"/>
        <v>2.9615384615384617</v>
      </c>
      <c r="AK34" s="29">
        <f t="shared" si="1"/>
        <v>3.2307692307692308</v>
      </c>
      <c r="AL34" s="29">
        <f t="shared" si="1"/>
        <v>2.9230769230769229</v>
      </c>
      <c r="AM34" s="29"/>
      <c r="AN34" s="29" t="s">
        <v>1493</v>
      </c>
      <c r="AO34" s="23">
        <f>COUNTIF($AO$4:$AO$29,"있다")</f>
        <v>16</v>
      </c>
      <c r="AP34" s="34">
        <f>AO34/$AO$36</f>
        <v>0.61538461538461542</v>
      </c>
    </row>
    <row r="35" spans="6:42">
      <c r="F35" s="28" t="s">
        <v>1494</v>
      </c>
      <c r="G35" s="28">
        <f>COUNTIF($G$4:$G$29,"거의 사용하지 않는다")</f>
        <v>2</v>
      </c>
      <c r="H35" s="34">
        <f t="shared" ref="H35:H38" si="2">G35/$G$38</f>
        <v>7.6923076923076927E-2</v>
      </c>
      <c r="I35" s="23" t="s">
        <v>1495</v>
      </c>
      <c r="J35" s="29">
        <f>_xlfn.STDEV.S(J$4:J$29)</f>
        <v>1.2303845552696742</v>
      </c>
      <c r="K35" s="29">
        <f t="shared" ref="K35:L35" si="3">_xlfn.STDEV.S(K$4:K$29)</f>
        <v>1.0265700920278915</v>
      </c>
      <c r="L35" s="29">
        <f t="shared" si="3"/>
        <v>1.0466062370273814</v>
      </c>
      <c r="M35" s="29" t="s">
        <v>1496</v>
      </c>
      <c r="N35" s="23">
        <f>COUNTIF($N$4:$N$29,"AI 도구 선택 활용 가능")</f>
        <v>6</v>
      </c>
      <c r="O35" s="34">
        <f t="shared" ref="O35:O39" si="4">N35/$N$39</f>
        <v>0.23076923076923078</v>
      </c>
      <c r="P35" s="23" t="s">
        <v>1495</v>
      </c>
      <c r="Q35" s="29">
        <f>_xlfn.STDEV.S(Q$4:Q$29)</f>
        <v>0.90893005569947261</v>
      </c>
      <c r="R35" s="29">
        <f t="shared" ref="R35:AL35" si="5">_xlfn.STDEV.S(R$4:R$29)</f>
        <v>0.98917214804175424</v>
      </c>
      <c r="S35" s="29">
        <f t="shared" si="5"/>
        <v>0.84489416724590638</v>
      </c>
      <c r="T35" s="29">
        <f t="shared" si="5"/>
        <v>0.98058067569092033</v>
      </c>
      <c r="U35" s="29">
        <f t="shared" si="5"/>
        <v>0.88404663991130117</v>
      </c>
      <c r="V35" s="29">
        <f t="shared" si="5"/>
        <v>0.74935870018200357</v>
      </c>
      <c r="W35" s="29">
        <f t="shared" si="5"/>
        <v>0.81523946458410956</v>
      </c>
      <c r="X35" s="29">
        <f t="shared" si="5"/>
        <v>0.90213422163564705</v>
      </c>
      <c r="Y35" s="29">
        <f t="shared" si="5"/>
        <v>0.93479738652081912</v>
      </c>
      <c r="Z35" s="29">
        <f t="shared" si="5"/>
        <v>0.91902958854184102</v>
      </c>
      <c r="AA35" s="29">
        <f t="shared" si="5"/>
        <v>0.64688603205011164</v>
      </c>
      <c r="AB35" s="29">
        <f t="shared" si="5"/>
        <v>0.6336706254344302</v>
      </c>
      <c r="AC35" s="29">
        <f t="shared" si="5"/>
        <v>0.58703950856427511</v>
      </c>
      <c r="AD35" s="29">
        <f t="shared" si="5"/>
        <v>0.464095480892256</v>
      </c>
      <c r="AE35" s="29">
        <f t="shared" si="5"/>
        <v>0.76056659041897057</v>
      </c>
      <c r="AF35" s="29">
        <f t="shared" si="5"/>
        <v>0.53349356567383799</v>
      </c>
      <c r="AG35" s="29">
        <f t="shared" si="5"/>
        <v>0.68948141047066258</v>
      </c>
      <c r="AH35" s="29">
        <f t="shared" si="5"/>
        <v>0.51440779991693908</v>
      </c>
      <c r="AI35" s="29">
        <f t="shared" si="5"/>
        <v>0.84852813742385702</v>
      </c>
      <c r="AJ35" s="29">
        <f t="shared" si="5"/>
        <v>0.87089697350578621</v>
      </c>
      <c r="AK35" s="29">
        <f t="shared" si="5"/>
        <v>0.90808335774607474</v>
      </c>
      <c r="AL35" s="29">
        <f t="shared" si="5"/>
        <v>0.74420840753525053</v>
      </c>
      <c r="AM35" s="29"/>
      <c r="AN35" s="29" t="s">
        <v>1497</v>
      </c>
      <c r="AO35" s="23">
        <f>COUNTIF($AO$4:$AO$29,"없다")</f>
        <v>10</v>
      </c>
      <c r="AP35" s="34">
        <f t="shared" ref="AP35:AP36" si="6">AO35/$AO$36</f>
        <v>0.38461538461538464</v>
      </c>
    </row>
    <row r="36" spans="6:42">
      <c r="F36" s="28" t="s">
        <v>1498</v>
      </c>
      <c r="G36" s="28">
        <f>COUNTIF($G$4:$G$29,"사용하지 않는다")</f>
        <v>1</v>
      </c>
      <c r="H36" s="34">
        <f t="shared" si="2"/>
        <v>3.8461538461538464E-2</v>
      </c>
      <c r="I36" s="23"/>
      <c r="J36" s="29"/>
      <c r="K36" s="29"/>
      <c r="L36" s="29"/>
      <c r="M36" s="29" t="s">
        <v>1499</v>
      </c>
      <c r="N36" s="23">
        <f>COUNTIF($N$4:$N$29, "AI 도구 교차 사용 가능")</f>
        <v>1</v>
      </c>
      <c r="O36" s="34">
        <f t="shared" si="4"/>
        <v>3.8461538461538464E-2</v>
      </c>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t="s">
        <v>1505</v>
      </c>
      <c r="AO36" s="23">
        <f>SUM(AO34:AO35)</f>
        <v>26</v>
      </c>
      <c r="AP36" s="34">
        <f t="shared" si="6"/>
        <v>1</v>
      </c>
    </row>
    <row r="37" spans="6:42">
      <c r="F37" s="28" t="s">
        <v>1500</v>
      </c>
      <c r="G37" s="28">
        <f>COUNTIF($G$4:$G$29,"업무에 자주 활용한다")</f>
        <v>9</v>
      </c>
      <c r="H37" s="34">
        <f t="shared" si="2"/>
        <v>0.34615384615384615</v>
      </c>
      <c r="I37" s="23"/>
      <c r="J37" s="29"/>
      <c r="K37" s="29"/>
      <c r="L37" s="29"/>
      <c r="M37" s="29" t="s">
        <v>1501</v>
      </c>
      <c r="N37" s="23">
        <f>COUNTIF($N$4:$N$29, "실험 및 구현 가능")</f>
        <v>0</v>
      </c>
      <c r="O37" s="34">
        <f t="shared" si="4"/>
        <v>0</v>
      </c>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row>
    <row r="38" spans="6:42">
      <c r="F38" s="23"/>
      <c r="G38" s="23">
        <f>SUM(G34:G37)</f>
        <v>26</v>
      </c>
      <c r="H38" s="34">
        <f t="shared" si="2"/>
        <v>1</v>
      </c>
      <c r="I38" s="23"/>
      <c r="J38" s="23"/>
      <c r="K38" s="23"/>
      <c r="L38" s="23"/>
      <c r="M38" s="29" t="s">
        <v>1502</v>
      </c>
      <c r="N38" s="23">
        <f>COUNTIF($N$4:$N$29, "잘 모름")</f>
        <v>5</v>
      </c>
      <c r="O38" s="34">
        <f t="shared" si="4"/>
        <v>0.19230769230769232</v>
      </c>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row>
    <row r="39" spans="6:42">
      <c r="F39" s="23"/>
      <c r="G39" s="23"/>
      <c r="H39" s="23"/>
      <c r="I39" s="23"/>
      <c r="J39" s="23"/>
      <c r="K39" s="23"/>
      <c r="L39" s="23"/>
      <c r="M39" s="23"/>
      <c r="N39" s="23">
        <f>SUM(N34:N38)</f>
        <v>26</v>
      </c>
      <c r="O39" s="34">
        <f t="shared" si="4"/>
        <v>1</v>
      </c>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row>
    <row r="40" spans="6:42">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row>
    <row r="41" spans="6:42">
      <c r="F41" s="23"/>
      <c r="G41" s="23"/>
      <c r="H41" s="23"/>
      <c r="I41" s="23"/>
      <c r="J41" s="15" t="s">
        <v>1503</v>
      </c>
      <c r="K41" s="23"/>
      <c r="L41" s="23"/>
      <c r="M41" s="23"/>
      <c r="N41" s="23"/>
      <c r="O41" s="23"/>
      <c r="P41" s="23"/>
      <c r="Q41" s="30" t="s">
        <v>9</v>
      </c>
      <c r="R41" s="30" t="s">
        <v>10</v>
      </c>
      <c r="S41" s="30" t="s">
        <v>11</v>
      </c>
      <c r="T41" s="30" t="s">
        <v>12</v>
      </c>
      <c r="U41" s="23"/>
      <c r="V41" s="23"/>
      <c r="W41" s="23"/>
      <c r="X41" s="23"/>
      <c r="Y41" s="23"/>
      <c r="Z41" s="23"/>
      <c r="AA41" s="23"/>
      <c r="AB41" s="23"/>
      <c r="AC41" s="23"/>
      <c r="AD41" s="23"/>
      <c r="AE41" s="23"/>
      <c r="AF41" s="23"/>
      <c r="AG41" s="23"/>
      <c r="AH41" s="23"/>
      <c r="AI41" s="23"/>
      <c r="AJ41" s="23"/>
      <c r="AK41" s="23"/>
      <c r="AL41" s="23"/>
      <c r="AM41" s="23"/>
      <c r="AN41" s="23"/>
      <c r="AO41" s="23"/>
      <c r="AP41" s="23"/>
    </row>
    <row r="42" spans="6:42">
      <c r="F42" s="23"/>
      <c r="G42" s="23"/>
      <c r="H42" s="23"/>
      <c r="I42" s="23"/>
      <c r="J42" s="31">
        <f>AVERAGE(J34:L34)</f>
        <v>2.6025641025641026</v>
      </c>
      <c r="K42" s="23"/>
      <c r="L42" s="23"/>
      <c r="M42" s="23"/>
      <c r="N42" s="23"/>
      <c r="O42" s="23"/>
      <c r="P42" s="23"/>
      <c r="Q42" s="31">
        <f>AVERAGE(Q34:V34)</f>
        <v>2.9807692307692304</v>
      </c>
      <c r="R42" s="31">
        <f>AVERAGE(W34:Z34)</f>
        <v>3.3461538461538458</v>
      </c>
      <c r="S42" s="31">
        <f>AVERAGE(AA34:AG34)</f>
        <v>3.6758241758241756</v>
      </c>
      <c r="T42" s="31">
        <f>AVERAGE(AH34:AL34)</f>
        <v>3.1769230769230767</v>
      </c>
      <c r="U42" s="23"/>
      <c r="V42" s="23"/>
      <c r="W42" s="23"/>
      <c r="X42" s="23"/>
      <c r="Y42" s="23"/>
      <c r="Z42" s="23"/>
      <c r="AA42" s="23"/>
      <c r="AB42" s="23"/>
      <c r="AC42" s="23"/>
      <c r="AD42" s="23"/>
      <c r="AE42" s="23"/>
      <c r="AF42" s="23"/>
      <c r="AG42" s="23"/>
      <c r="AH42" s="23"/>
      <c r="AI42" s="23"/>
      <c r="AJ42" s="23"/>
      <c r="AK42" s="23"/>
      <c r="AL42" s="23"/>
      <c r="AM42" s="23"/>
      <c r="AN42" s="23"/>
      <c r="AO42" s="23"/>
      <c r="AP42" s="23"/>
    </row>
    <row r="43" spans="6:42">
      <c r="F43" s="23"/>
      <c r="G43" s="23"/>
      <c r="H43" s="23"/>
      <c r="I43" s="23"/>
      <c r="J43" s="32">
        <f>_xlfn.STDEV.S(J4:L29)</f>
        <v>1.1547726328155832</v>
      </c>
      <c r="K43" s="23"/>
      <c r="L43" s="23"/>
      <c r="M43" s="23"/>
      <c r="N43" s="23"/>
      <c r="O43" s="23"/>
      <c r="P43" s="23"/>
      <c r="Q43" s="32">
        <f>_xlfn.STDEV.S(Q4:V29)</f>
        <v>0.91912408405277668</v>
      </c>
      <c r="R43" s="32">
        <f>_xlfn.STDEV.S(W4:Z29)</f>
        <v>0.93236551407145185</v>
      </c>
      <c r="S43" s="32">
        <f>_xlfn.STDEV.S(AA4:AG29)</f>
        <v>0.63015225018865517</v>
      </c>
      <c r="T43" s="32">
        <f>_xlfn.STDEV.S(AH4:AL29)</f>
        <v>0.8395770863711397</v>
      </c>
      <c r="U43" s="23"/>
      <c r="V43" s="23"/>
      <c r="W43" s="23"/>
      <c r="X43" s="23"/>
      <c r="Y43" s="23"/>
      <c r="Z43" s="23"/>
      <c r="AA43" s="23"/>
      <c r="AB43" s="23"/>
      <c r="AC43" s="23"/>
      <c r="AD43" s="23"/>
      <c r="AE43" s="23"/>
      <c r="AF43" s="23"/>
      <c r="AG43" s="23"/>
      <c r="AH43" s="23"/>
      <c r="AI43" s="23"/>
      <c r="AJ43" s="23"/>
      <c r="AK43" s="23"/>
      <c r="AL43" s="23"/>
      <c r="AM43" s="23"/>
      <c r="AN43" s="23"/>
      <c r="AO43" s="23"/>
      <c r="AP43" s="23"/>
    </row>
  </sheetData>
  <mergeCells count="15">
    <mergeCell ref="Q32:V32"/>
    <mergeCell ref="W32:Z32"/>
    <mergeCell ref="AA32:AG32"/>
    <mergeCell ref="AH32:AL32"/>
    <mergeCell ref="B1:F1"/>
    <mergeCell ref="G1:L1"/>
    <mergeCell ref="Q1:AL1"/>
    <mergeCell ref="AO1:AQ1"/>
    <mergeCell ref="B2:F2"/>
    <mergeCell ref="G2:L2"/>
    <mergeCell ref="Q2:V2"/>
    <mergeCell ref="W2:Z2"/>
    <mergeCell ref="AA2:AG2"/>
    <mergeCell ref="AH2:AL2"/>
    <mergeCell ref="AP2:AQ2"/>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Sheet7</vt:lpstr>
      <vt:lpstr>에이텍</vt:lpstr>
      <vt:lpstr>에이텍모빌리티</vt:lpstr>
      <vt:lpstr>에이텍시스템</vt:lpstr>
      <vt:lpstr>에이텍씨엔</vt:lpstr>
      <vt:lpstr>에이텍오토</vt:lpstr>
      <vt:lpstr>에이텍컴퓨터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석주 이</dc:creator>
  <cp:lastModifiedBy>석주 이</cp:lastModifiedBy>
  <dcterms:created xsi:type="dcterms:W3CDTF">2025-09-11T09:27:17Z</dcterms:created>
  <dcterms:modified xsi:type="dcterms:W3CDTF">2025-09-29T10:26:43Z</dcterms:modified>
</cp:coreProperties>
</file>