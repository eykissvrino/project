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553f64e91d015d/바탕 화면/대학원_MBA/[1-1] 2025년 2학기/03_기초회계/"/>
    </mc:Choice>
  </mc:AlternateContent>
  <xr:revisionPtr revIDLastSave="124" documentId="13_ncr:1_{D4394589-124E-4AE7-A697-67E8AE096A5D}" xr6:coauthVersionLast="47" xr6:coauthVersionMax="47" xr10:uidLastSave="{EF174285-1891-4894-8817-01EAF5463194}"/>
  <bookViews>
    <workbookView xWindow="-98" yWindow="-98" windowWidth="21795" windowHeight="12975" activeTab="2" xr2:uid="{2375BACE-6F93-40AD-93DC-673BEF0280D4}"/>
  </bookViews>
  <sheets>
    <sheet name="거래와 분개, 계정원장" sheetId="1" r:id="rId1"/>
    <sheet name="수정전 합계잔액시산표" sheetId="2" r:id="rId2"/>
    <sheet name="수정후 합계잔액시산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" l="1"/>
  <c r="E25" i="3"/>
  <c r="C25" i="3"/>
  <c r="B25" i="3"/>
  <c r="C16" i="3"/>
  <c r="C14" i="3"/>
  <c r="F12" i="2"/>
  <c r="E12" i="2"/>
  <c r="C12" i="2"/>
  <c r="B12" i="2"/>
  <c r="C5" i="2"/>
  <c r="C4" i="2"/>
  <c r="H18" i="1"/>
  <c r="F18" i="1"/>
  <c r="C18" i="1"/>
</calcChain>
</file>

<file path=xl/sharedStrings.xml><?xml version="1.0" encoding="utf-8"?>
<sst xmlns="http://schemas.openxmlformats.org/spreadsheetml/2006/main" count="89" uniqueCount="39">
  <si>
    <t>① 1.10 주주로 부터 300원 투자자금 수령</t>
  </si>
  <si>
    <t>③ 8.1 사과(상품) 2개 200원에 구입</t>
  </si>
  <si>
    <t>④ 10.1 사과1개를 150원에 판매</t>
  </si>
  <si>
    <t>거래내역</t>
    <phoneticPr fontId="1" type="noConversion"/>
  </si>
  <si>
    <t>차변(받은 것)</t>
    <phoneticPr fontId="1" type="noConversion"/>
  </si>
  <si>
    <t>대변(지급한 것</t>
    <phoneticPr fontId="1" type="noConversion"/>
  </si>
  <si>
    <t>계정과목</t>
    <phoneticPr fontId="1" type="noConversion"/>
  </si>
  <si>
    <t>금액</t>
    <phoneticPr fontId="1" type="noConversion"/>
  </si>
  <si>
    <t>현금</t>
    <phoneticPr fontId="1" type="noConversion"/>
  </si>
  <si>
    <t>상품</t>
    <phoneticPr fontId="1" type="noConversion"/>
  </si>
  <si>
    <t>보험료</t>
    <phoneticPr fontId="1" type="noConversion"/>
  </si>
  <si>
    <t>차변</t>
    <phoneticPr fontId="1" type="noConversion"/>
  </si>
  <si>
    <t>대변</t>
    <phoneticPr fontId="1" type="noConversion"/>
  </si>
  <si>
    <t>잔액</t>
    <phoneticPr fontId="1" type="noConversion"/>
  </si>
  <si>
    <t>일자,  거래내역</t>
    <phoneticPr fontId="1" type="noConversion"/>
  </si>
  <si>
    <t>상품 계정원장</t>
    <phoneticPr fontId="1" type="noConversion"/>
  </si>
  <si>
    <t>현금 계정원장</t>
    <phoneticPr fontId="1" type="noConversion"/>
  </si>
  <si>
    <t>합계</t>
    <phoneticPr fontId="1" type="noConversion"/>
  </si>
  <si>
    <t>단기차입금</t>
    <phoneticPr fontId="1" type="noConversion"/>
  </si>
  <si>
    <t>자본금</t>
    <phoneticPr fontId="1" type="noConversion"/>
  </si>
  <si>
    <t>매출</t>
    <phoneticPr fontId="1" type="noConversion"/>
  </si>
  <si>
    <t>매출원가</t>
    <phoneticPr fontId="1" type="noConversion"/>
  </si>
  <si>
    <r>
      <t>⑤</t>
    </r>
    <r>
      <rPr>
        <sz val="11"/>
        <color rgb="FF000000"/>
        <rFont val="맑은 고딕"/>
        <family val="3"/>
        <charset val="129"/>
      </rPr>
      <t>자동차보험료(1년분) 120원을 지급</t>
    </r>
    <phoneticPr fontId="1" type="noConversion"/>
  </si>
  <si>
    <t>수정전 합계잔액시산표</t>
    <phoneticPr fontId="1" type="noConversion"/>
  </si>
  <si>
    <t>손익계산서</t>
    <phoneticPr fontId="1" type="noConversion"/>
  </si>
  <si>
    <t>재무상태표</t>
    <phoneticPr fontId="1" type="noConversion"/>
  </si>
  <si>
    <t>&lt;수정분개&gt;</t>
    <phoneticPr fontId="1" type="noConversion"/>
  </si>
  <si>
    <t>이자비용</t>
    <phoneticPr fontId="1" type="noConversion"/>
  </si>
  <si>
    <t>선급보험료</t>
    <phoneticPr fontId="1" type="noConversion"/>
  </si>
  <si>
    <t>2) 보험료에 대한 수정분개</t>
    <phoneticPr fontId="1" type="noConversion"/>
  </si>
  <si>
    <t>1) 이자비용에 대한 수정분개</t>
    <phoneticPr fontId="1" type="noConversion"/>
  </si>
  <si>
    <t>3) 수정후 합계잔액시산표</t>
    <phoneticPr fontId="1" type="noConversion"/>
  </si>
  <si>
    <t>미지급비용</t>
    <phoneticPr fontId="1" type="noConversion"/>
  </si>
  <si>
    <t>② 7.1 은행에서 100원 차입(1년후 원리금 상환 10% 이자)</t>
    <phoneticPr fontId="1" type="noConversion"/>
  </si>
  <si>
    <t>4) 손익계산서, 재무상태표 작성</t>
    <phoneticPr fontId="1" type="noConversion"/>
  </si>
  <si>
    <t>자본금(주식)</t>
    <phoneticPr fontId="1" type="noConversion"/>
  </si>
  <si>
    <t>6개월</t>
    <phoneticPr fontId="1" type="noConversion"/>
  </si>
  <si>
    <t>선급비용(선급보험료)</t>
    <phoneticPr fontId="1" type="noConversion"/>
  </si>
  <si>
    <t>4)집합손익 계정으로 대체 ---&gt; 잔액을 이익잉여금으로 대채 ---&gt; 재무상태표상에서 당기순이익 --&gt; 이익잉여금으로 인식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</si>
</sst>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 shrinkToFit="1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3A67-4497-4F98-95A2-8FFF9C0637D8}">
  <dimension ref="B1:H24"/>
  <sheetViews>
    <sheetView workbookViewId="0">
      <selection activeCell="G11" sqref="G11"/>
    </sheetView>
  </sheetViews>
  <sheetFormatPr defaultRowHeight="19.5" customHeight="1" x14ac:dyDescent="0.6"/>
  <cols>
    <col min="2" max="2" width="37.125" style="1" customWidth="1"/>
    <col min="3" max="3" width="12.5" style="1" customWidth="1"/>
    <col min="4" max="4" width="11.375" style="1" customWidth="1"/>
    <col min="5" max="5" width="0.75" style="1" customWidth="1"/>
    <col min="6" max="6" width="12.875" style="1" customWidth="1"/>
    <col min="7" max="7" width="11" style="1" customWidth="1"/>
    <col min="8" max="8" width="9" style="1"/>
  </cols>
  <sheetData>
    <row r="1" spans="2:8" ht="19.5" customHeight="1" x14ac:dyDescent="0.6">
      <c r="C1" s="11" t="s">
        <v>4</v>
      </c>
      <c r="D1" s="12"/>
      <c r="E1"/>
      <c r="F1" s="11" t="s">
        <v>5</v>
      </c>
      <c r="G1" s="12"/>
    </row>
    <row r="2" spans="2:8" ht="19.5" customHeight="1" x14ac:dyDescent="0.6">
      <c r="B2" s="2" t="s">
        <v>3</v>
      </c>
      <c r="C2" s="3" t="s">
        <v>6</v>
      </c>
      <c r="D2" s="3" t="s">
        <v>7</v>
      </c>
      <c r="E2" s="3"/>
      <c r="F2" s="3" t="s">
        <v>6</v>
      </c>
      <c r="G2" s="3" t="s">
        <v>7</v>
      </c>
    </row>
    <row r="3" spans="2:8" ht="19.5" customHeight="1" x14ac:dyDescent="0.6">
      <c r="B3" s="2" t="s">
        <v>0</v>
      </c>
      <c r="C3" s="17" t="s">
        <v>8</v>
      </c>
      <c r="D3" s="17">
        <v>300</v>
      </c>
      <c r="E3" s="2"/>
      <c r="F3" s="2" t="s">
        <v>35</v>
      </c>
      <c r="G3" s="2">
        <v>300</v>
      </c>
    </row>
    <row r="4" spans="2:8" ht="32.25" customHeight="1" x14ac:dyDescent="0.6">
      <c r="B4" s="10" t="s">
        <v>33</v>
      </c>
      <c r="C4" s="17" t="s">
        <v>8</v>
      </c>
      <c r="D4" s="17">
        <v>100</v>
      </c>
      <c r="E4" s="2"/>
      <c r="F4" s="2" t="s">
        <v>18</v>
      </c>
      <c r="G4" s="2">
        <v>100</v>
      </c>
    </row>
    <row r="5" spans="2:8" ht="19.5" customHeight="1" x14ac:dyDescent="0.6">
      <c r="B5" s="2" t="s">
        <v>1</v>
      </c>
      <c r="C5" s="2" t="s">
        <v>9</v>
      </c>
      <c r="D5" s="2">
        <v>200</v>
      </c>
      <c r="E5" s="2"/>
      <c r="F5" s="18" t="s">
        <v>8</v>
      </c>
      <c r="G5" s="18">
        <v>200</v>
      </c>
    </row>
    <row r="6" spans="2:8" ht="19.5" customHeight="1" x14ac:dyDescent="0.6">
      <c r="B6" s="5" t="s">
        <v>2</v>
      </c>
      <c r="C6" s="17" t="s">
        <v>8</v>
      </c>
      <c r="D6" s="17">
        <v>150</v>
      </c>
      <c r="E6" s="2"/>
      <c r="F6" s="2" t="s">
        <v>20</v>
      </c>
      <c r="G6" s="2">
        <v>150</v>
      </c>
    </row>
    <row r="7" spans="2:8" ht="19.5" customHeight="1" x14ac:dyDescent="0.6">
      <c r="B7" s="4"/>
      <c r="C7" s="2" t="s">
        <v>21</v>
      </c>
      <c r="D7" s="2">
        <v>100</v>
      </c>
      <c r="E7" s="2"/>
      <c r="F7" s="2" t="s">
        <v>9</v>
      </c>
      <c r="G7" s="2">
        <v>100</v>
      </c>
    </row>
    <row r="8" spans="2:8" ht="19.5" customHeight="1" x14ac:dyDescent="0.6">
      <c r="B8" s="2" t="s">
        <v>22</v>
      </c>
      <c r="C8" s="2" t="s">
        <v>10</v>
      </c>
      <c r="D8" s="2">
        <v>120</v>
      </c>
      <c r="E8" s="2"/>
      <c r="F8" s="18" t="s">
        <v>8</v>
      </c>
      <c r="G8" s="18">
        <v>120</v>
      </c>
    </row>
    <row r="11" spans="2:8" ht="19.5" customHeight="1" x14ac:dyDescent="0.6">
      <c r="B11" s="1" t="s">
        <v>16</v>
      </c>
    </row>
    <row r="12" spans="2:8" ht="19.5" customHeight="1" x14ac:dyDescent="0.6">
      <c r="B12" s="2" t="s">
        <v>14</v>
      </c>
      <c r="C12" s="6" t="s">
        <v>11</v>
      </c>
      <c r="F12" s="6" t="s">
        <v>12</v>
      </c>
      <c r="G12" s="6"/>
      <c r="H12" s="6" t="s">
        <v>13</v>
      </c>
    </row>
    <row r="13" spans="2:8" ht="19.5" customHeight="1" x14ac:dyDescent="0.6">
      <c r="B13" s="2" t="s">
        <v>0</v>
      </c>
      <c r="C13" s="17">
        <v>300</v>
      </c>
      <c r="G13" s="2"/>
      <c r="H13" s="2">
        <v>300</v>
      </c>
    </row>
    <row r="14" spans="2:8" ht="19.5" customHeight="1" x14ac:dyDescent="0.6">
      <c r="B14" s="10" t="s">
        <v>33</v>
      </c>
      <c r="C14" s="17">
        <v>100</v>
      </c>
      <c r="G14" s="2"/>
      <c r="H14" s="2">
        <v>400</v>
      </c>
    </row>
    <row r="15" spans="2:8" ht="19.5" customHeight="1" x14ac:dyDescent="0.6">
      <c r="B15" s="2" t="s">
        <v>1</v>
      </c>
      <c r="F15" s="18">
        <v>200</v>
      </c>
      <c r="G15" s="2"/>
      <c r="H15" s="2">
        <v>200</v>
      </c>
    </row>
    <row r="16" spans="2:8" ht="19.5" customHeight="1" x14ac:dyDescent="0.6">
      <c r="B16" s="5" t="s">
        <v>2</v>
      </c>
      <c r="C16" s="17">
        <v>150</v>
      </c>
      <c r="G16" s="2"/>
      <c r="H16" s="2">
        <v>350</v>
      </c>
    </row>
    <row r="17" spans="2:8" ht="19.5" customHeight="1" x14ac:dyDescent="0.6">
      <c r="B17" s="2"/>
      <c r="C17" s="2"/>
      <c r="F17" s="18">
        <v>120</v>
      </c>
      <c r="G17" s="2"/>
      <c r="H17" s="2">
        <v>230</v>
      </c>
    </row>
    <row r="18" spans="2:8" ht="19.5" customHeight="1" x14ac:dyDescent="0.6">
      <c r="B18" s="2" t="s">
        <v>17</v>
      </c>
      <c r="C18" s="2">
        <f>SUM(C13:C17)</f>
        <v>550</v>
      </c>
      <c r="F18" s="2">
        <f>SUM(F13:F17)</f>
        <v>320</v>
      </c>
      <c r="G18" s="2"/>
      <c r="H18" s="2">
        <f>C18-F18</f>
        <v>230</v>
      </c>
    </row>
    <row r="20" spans="2:8" ht="19.5" customHeight="1" x14ac:dyDescent="0.6">
      <c r="B20" s="1" t="s">
        <v>15</v>
      </c>
    </row>
    <row r="21" spans="2:8" ht="19.5" customHeight="1" x14ac:dyDescent="0.6">
      <c r="B21" s="2" t="s">
        <v>14</v>
      </c>
      <c r="C21" s="6" t="s">
        <v>11</v>
      </c>
      <c r="F21" s="6" t="s">
        <v>12</v>
      </c>
      <c r="G21" s="6"/>
      <c r="H21" s="6" t="s">
        <v>13</v>
      </c>
    </row>
    <row r="22" spans="2:8" ht="19.5" customHeight="1" x14ac:dyDescent="0.6">
      <c r="B22" s="2" t="s">
        <v>1</v>
      </c>
      <c r="C22" s="2">
        <v>200</v>
      </c>
      <c r="F22" s="2"/>
      <c r="G22" s="2"/>
      <c r="H22" s="2">
        <v>200</v>
      </c>
    </row>
    <row r="23" spans="2:8" ht="19.5" customHeight="1" x14ac:dyDescent="0.6">
      <c r="B23" s="2"/>
      <c r="C23" s="2"/>
      <c r="F23" s="2">
        <v>100</v>
      </c>
      <c r="G23" s="2"/>
      <c r="H23" s="2">
        <v>100</v>
      </c>
    </row>
    <row r="24" spans="2:8" ht="19.5" customHeight="1" x14ac:dyDescent="0.6">
      <c r="B24" s="2"/>
      <c r="C24" s="2">
        <v>200</v>
      </c>
      <c r="F24" s="2">
        <v>100</v>
      </c>
      <c r="G24" s="2"/>
      <c r="H24" s="2">
        <v>100</v>
      </c>
    </row>
  </sheetData>
  <mergeCells count="2">
    <mergeCell ref="F1:G1"/>
    <mergeCell ref="C1:D1"/>
  </mergeCells>
  <phoneticPr fontId="1" type="noConversion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37D7-46BE-4A63-AD3C-E5D9708F9E83}">
  <dimension ref="B1:F20"/>
  <sheetViews>
    <sheetView topLeftCell="A2" workbookViewId="0">
      <selection activeCell="B10" sqref="B10:F10"/>
    </sheetView>
  </sheetViews>
  <sheetFormatPr defaultColWidth="11.875" defaultRowHeight="30" customHeight="1" x14ac:dyDescent="0.6"/>
  <cols>
    <col min="4" max="4" width="11.875" style="9"/>
  </cols>
  <sheetData>
    <row r="1" spans="2:6" ht="30" customHeight="1" x14ac:dyDescent="0.6">
      <c r="C1" t="s">
        <v>23</v>
      </c>
    </row>
    <row r="2" spans="2:6" ht="30" customHeight="1" x14ac:dyDescent="0.6">
      <c r="B2" s="15" t="s">
        <v>11</v>
      </c>
      <c r="C2" s="16"/>
      <c r="D2" s="13" t="s">
        <v>6</v>
      </c>
      <c r="E2" s="15" t="s">
        <v>12</v>
      </c>
      <c r="F2" s="16"/>
    </row>
    <row r="3" spans="2:6" ht="30" customHeight="1" x14ac:dyDescent="0.6">
      <c r="B3" s="6" t="s">
        <v>17</v>
      </c>
      <c r="C3" s="6" t="s">
        <v>13</v>
      </c>
      <c r="D3" s="14"/>
      <c r="E3" s="6" t="s">
        <v>13</v>
      </c>
      <c r="F3" s="6" t="s">
        <v>17</v>
      </c>
    </row>
    <row r="4" spans="2:6" ht="30" customHeight="1" x14ac:dyDescent="0.6">
      <c r="B4" s="7">
        <v>550</v>
      </c>
      <c r="C4" s="7">
        <f>B4-F4</f>
        <v>230</v>
      </c>
      <c r="D4" s="8" t="s">
        <v>8</v>
      </c>
      <c r="E4" s="7"/>
      <c r="F4" s="7">
        <v>320</v>
      </c>
    </row>
    <row r="5" spans="2:6" ht="30" customHeight="1" x14ac:dyDescent="0.6">
      <c r="B5" s="7">
        <v>200</v>
      </c>
      <c r="C5" s="7">
        <f>B5-F5</f>
        <v>100</v>
      </c>
      <c r="D5" s="8" t="s">
        <v>9</v>
      </c>
      <c r="E5" s="7"/>
      <c r="F5" s="7">
        <v>100</v>
      </c>
    </row>
    <row r="6" spans="2:6" ht="30" customHeight="1" x14ac:dyDescent="0.6">
      <c r="B6" s="7"/>
      <c r="C6" s="7"/>
      <c r="D6" s="8" t="s">
        <v>18</v>
      </c>
      <c r="E6" s="7">
        <v>100</v>
      </c>
      <c r="F6" s="7">
        <v>100</v>
      </c>
    </row>
    <row r="7" spans="2:6" ht="30" customHeight="1" x14ac:dyDescent="0.6">
      <c r="B7" s="7"/>
      <c r="C7" s="7"/>
      <c r="D7" s="8" t="s">
        <v>19</v>
      </c>
      <c r="E7" s="7">
        <v>300</v>
      </c>
      <c r="F7" s="7">
        <v>300</v>
      </c>
    </row>
    <row r="8" spans="2:6" ht="30" customHeight="1" x14ac:dyDescent="0.6">
      <c r="B8" s="7"/>
      <c r="C8" s="7"/>
      <c r="D8" s="8" t="s">
        <v>20</v>
      </c>
      <c r="E8">
        <v>150</v>
      </c>
      <c r="F8" s="7">
        <v>150</v>
      </c>
    </row>
    <row r="9" spans="2:6" ht="30" customHeight="1" x14ac:dyDescent="0.6">
      <c r="B9" s="7">
        <v>100</v>
      </c>
      <c r="C9" s="7">
        <v>100</v>
      </c>
      <c r="D9" s="8" t="s">
        <v>21</v>
      </c>
      <c r="E9" s="7"/>
      <c r="F9" s="7"/>
    </row>
    <row r="10" spans="2:6" ht="30" customHeight="1" x14ac:dyDescent="0.6">
      <c r="B10" s="7">
        <v>120</v>
      </c>
      <c r="C10" s="7">
        <v>120</v>
      </c>
      <c r="D10" s="8" t="s">
        <v>10</v>
      </c>
      <c r="E10" s="7"/>
      <c r="F10" s="7"/>
    </row>
    <row r="11" spans="2:6" ht="30" customHeight="1" x14ac:dyDescent="0.6">
      <c r="B11" s="7"/>
      <c r="C11" s="7"/>
      <c r="D11" s="8"/>
      <c r="E11" s="7"/>
      <c r="F11" s="7"/>
    </row>
    <row r="12" spans="2:6" ht="30" customHeight="1" x14ac:dyDescent="0.6">
      <c r="B12" s="7">
        <f>SUM(B4:B11)</f>
        <v>970</v>
      </c>
      <c r="C12" s="7">
        <f t="shared" ref="C12" si="0">SUM(C4:C11)</f>
        <v>550</v>
      </c>
      <c r="D12" s="8" t="s">
        <v>17</v>
      </c>
      <c r="E12" s="7">
        <f>SUM(E4:E11)</f>
        <v>550</v>
      </c>
      <c r="F12" s="7">
        <f>SUM(F4:F11)</f>
        <v>970</v>
      </c>
    </row>
    <row r="14" spans="2:6" ht="30" customHeight="1" x14ac:dyDescent="0.6">
      <c r="B14" t="s">
        <v>24</v>
      </c>
    </row>
    <row r="20" spans="2:2" ht="30" customHeight="1" x14ac:dyDescent="0.6">
      <c r="B20" t="s">
        <v>25</v>
      </c>
    </row>
  </sheetData>
  <mergeCells count="3">
    <mergeCell ref="D2:D3"/>
    <mergeCell ref="B2:C2"/>
    <mergeCell ref="E2:F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C162-75A0-468E-B6E6-ABF63913EB62}">
  <dimension ref="B1:G28"/>
  <sheetViews>
    <sheetView tabSelected="1" topLeftCell="A16" workbookViewId="0">
      <selection activeCell="N19" sqref="N19"/>
    </sheetView>
  </sheetViews>
  <sheetFormatPr defaultRowHeight="16.899999999999999" x14ac:dyDescent="0.6"/>
  <cols>
    <col min="2" max="4" width="12.375" customWidth="1"/>
    <col min="5" max="6" width="11.375" customWidth="1"/>
  </cols>
  <sheetData>
    <row r="1" spans="2:7" x14ac:dyDescent="0.6">
      <c r="B1" t="s">
        <v>26</v>
      </c>
    </row>
    <row r="2" spans="2:7" x14ac:dyDescent="0.6">
      <c r="B2" t="s">
        <v>30</v>
      </c>
      <c r="D2" t="s">
        <v>36</v>
      </c>
    </row>
    <row r="3" spans="2:7" x14ac:dyDescent="0.6">
      <c r="C3" t="s">
        <v>27</v>
      </c>
      <c r="D3">
        <v>5</v>
      </c>
      <c r="F3" t="s">
        <v>32</v>
      </c>
      <c r="G3">
        <v>5</v>
      </c>
    </row>
    <row r="5" spans="2:7" x14ac:dyDescent="0.6">
      <c r="C5" t="s">
        <v>10</v>
      </c>
      <c r="D5">
        <v>120</v>
      </c>
      <c r="F5" t="s">
        <v>8</v>
      </c>
      <c r="G5">
        <v>120</v>
      </c>
    </row>
    <row r="6" spans="2:7" x14ac:dyDescent="0.6">
      <c r="B6" t="s">
        <v>29</v>
      </c>
    </row>
    <row r="7" spans="2:7" x14ac:dyDescent="0.6">
      <c r="C7" t="s">
        <v>37</v>
      </c>
      <c r="D7">
        <v>110</v>
      </c>
      <c r="F7" t="s">
        <v>10</v>
      </c>
      <c r="G7">
        <v>110</v>
      </c>
    </row>
    <row r="10" spans="2:7" x14ac:dyDescent="0.6">
      <c r="B10" t="s">
        <v>31</v>
      </c>
    </row>
    <row r="12" spans="2:7" ht="30" customHeight="1" x14ac:dyDescent="0.6">
      <c r="B12" s="15" t="s">
        <v>11</v>
      </c>
      <c r="C12" s="16"/>
      <c r="D12" s="13" t="s">
        <v>6</v>
      </c>
      <c r="E12" s="15" t="s">
        <v>12</v>
      </c>
      <c r="F12" s="16"/>
    </row>
    <row r="13" spans="2:7" ht="30" customHeight="1" x14ac:dyDescent="0.6">
      <c r="B13" s="6" t="s">
        <v>17</v>
      </c>
      <c r="C13" s="6" t="s">
        <v>13</v>
      </c>
      <c r="D13" s="14"/>
      <c r="E13" s="6" t="s">
        <v>13</v>
      </c>
      <c r="F13" s="6" t="s">
        <v>17</v>
      </c>
    </row>
    <row r="14" spans="2:7" ht="30" customHeight="1" x14ac:dyDescent="0.6">
      <c r="B14" s="7">
        <v>550</v>
      </c>
      <c r="C14" s="7">
        <f>B14-F14</f>
        <v>230</v>
      </c>
      <c r="D14" s="8" t="s">
        <v>8</v>
      </c>
      <c r="E14" s="7"/>
      <c r="F14" s="7">
        <v>320</v>
      </c>
    </row>
    <row r="15" spans="2:7" ht="30" customHeight="1" x14ac:dyDescent="0.6">
      <c r="B15" s="7">
        <v>110</v>
      </c>
      <c r="C15" s="7">
        <v>110</v>
      </c>
      <c r="D15" s="8" t="s">
        <v>28</v>
      </c>
      <c r="E15" s="7"/>
      <c r="F15" s="7"/>
    </row>
    <row r="16" spans="2:7" ht="30" customHeight="1" x14ac:dyDescent="0.6">
      <c r="B16" s="7">
        <v>200</v>
      </c>
      <c r="C16" s="7">
        <f>B16-F16</f>
        <v>100</v>
      </c>
      <c r="D16" s="8" t="s">
        <v>9</v>
      </c>
      <c r="E16" s="7"/>
      <c r="F16" s="7">
        <v>100</v>
      </c>
    </row>
    <row r="17" spans="2:6" ht="30" customHeight="1" x14ac:dyDescent="0.6">
      <c r="B17" s="7"/>
      <c r="C17" s="7"/>
      <c r="D17" s="8" t="s">
        <v>32</v>
      </c>
      <c r="E17" s="7">
        <v>5</v>
      </c>
      <c r="F17" s="7">
        <v>5</v>
      </c>
    </row>
    <row r="18" spans="2:6" ht="30" customHeight="1" x14ac:dyDescent="0.6">
      <c r="B18" s="7"/>
      <c r="C18" s="7"/>
      <c r="D18" s="8" t="s">
        <v>18</v>
      </c>
      <c r="E18" s="7">
        <v>100</v>
      </c>
      <c r="F18" s="7">
        <v>100</v>
      </c>
    </row>
    <row r="19" spans="2:6" ht="30" customHeight="1" x14ac:dyDescent="0.6">
      <c r="B19" s="7"/>
      <c r="C19" s="7"/>
      <c r="D19" s="8" t="s">
        <v>19</v>
      </c>
      <c r="E19" s="7">
        <v>300</v>
      </c>
      <c r="F19" s="7">
        <v>300</v>
      </c>
    </row>
    <row r="20" spans="2:6" ht="30" customHeight="1" x14ac:dyDescent="0.6">
      <c r="B20" s="7"/>
      <c r="C20" s="7"/>
      <c r="D20" s="8" t="s">
        <v>20</v>
      </c>
      <c r="E20">
        <v>150</v>
      </c>
      <c r="F20" s="7">
        <v>150</v>
      </c>
    </row>
    <row r="21" spans="2:6" ht="30" customHeight="1" x14ac:dyDescent="0.6">
      <c r="B21" s="7">
        <v>100</v>
      </c>
      <c r="C21" s="7">
        <v>100</v>
      </c>
      <c r="D21" s="8" t="s">
        <v>21</v>
      </c>
      <c r="E21" s="7"/>
      <c r="F21" s="7"/>
    </row>
    <row r="22" spans="2:6" ht="30" customHeight="1" x14ac:dyDescent="0.6">
      <c r="B22" s="7">
        <v>120</v>
      </c>
      <c r="C22" s="7">
        <v>10</v>
      </c>
      <c r="D22" s="8" t="s">
        <v>10</v>
      </c>
      <c r="E22" s="7"/>
      <c r="F22" s="7">
        <v>110</v>
      </c>
    </row>
    <row r="23" spans="2:6" ht="30" customHeight="1" x14ac:dyDescent="0.6">
      <c r="B23" s="7">
        <v>5</v>
      </c>
      <c r="C23" s="7">
        <v>5</v>
      </c>
      <c r="D23" s="8" t="s">
        <v>27</v>
      </c>
      <c r="E23" s="7"/>
      <c r="F23" s="7"/>
    </row>
    <row r="24" spans="2:6" ht="30" customHeight="1" x14ac:dyDescent="0.6">
      <c r="B24" s="7"/>
      <c r="C24" s="7"/>
      <c r="D24" s="8"/>
      <c r="E24" s="7"/>
      <c r="F24" s="7"/>
    </row>
    <row r="25" spans="2:6" ht="30" customHeight="1" x14ac:dyDescent="0.6">
      <c r="B25" s="7">
        <f>SUM(B14:B24)</f>
        <v>1085</v>
      </c>
      <c r="C25" s="7">
        <f>SUM(C14:C24)</f>
        <v>555</v>
      </c>
      <c r="D25" s="8" t="s">
        <v>17</v>
      </c>
      <c r="E25" s="7">
        <f>SUM(E14:E24)</f>
        <v>555</v>
      </c>
      <c r="F25" s="7">
        <f>SUM(F14:F24)</f>
        <v>1085</v>
      </c>
    </row>
    <row r="27" spans="2:6" x14ac:dyDescent="0.6">
      <c r="B27" t="s">
        <v>38</v>
      </c>
    </row>
    <row r="28" spans="2:6" x14ac:dyDescent="0.6">
      <c r="B28" t="s">
        <v>34</v>
      </c>
    </row>
  </sheetData>
  <mergeCells count="3">
    <mergeCell ref="B12:C12"/>
    <mergeCell ref="D12:D13"/>
    <mergeCell ref="E12:F1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거래와 분개, 계정원장</vt:lpstr>
      <vt:lpstr>수정전 합계잔액시산표</vt:lpstr>
      <vt:lpstr>수정후 합계잔액시산표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심충진</dc:creator>
  <cp:lastModifiedBy>석주 이</cp:lastModifiedBy>
  <cp:lastPrinted>2025-09-26T09:13:01Z</cp:lastPrinted>
  <dcterms:created xsi:type="dcterms:W3CDTF">2025-09-26T08:51:44Z</dcterms:created>
  <dcterms:modified xsi:type="dcterms:W3CDTF">2025-09-27T05:49:58Z</dcterms:modified>
</cp:coreProperties>
</file>