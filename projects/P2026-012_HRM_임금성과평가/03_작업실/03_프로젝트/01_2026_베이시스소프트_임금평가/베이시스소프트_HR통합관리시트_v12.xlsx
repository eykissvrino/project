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-16350" windowWidth="38640" windowHeight="21120" tabRatio="600" firstSheet="0" activeTab="3" autoFilterDateGrouping="1"/>
  </bookViews>
  <sheets>
    <sheet xmlns:r="http://schemas.openxmlformats.org/officeDocument/2006/relationships" name="00_운영가이드" sheetId="1" state="visible" r:id="rId1"/>
    <sheet xmlns:r="http://schemas.openxmlformats.org/officeDocument/2006/relationships" name="00_운영현황판" sheetId="2" state="visible" r:id="rId2"/>
    <sheet xmlns:r="http://schemas.openxmlformats.org/officeDocument/2006/relationships" name="01_인적정보" sheetId="3" state="visible" r:id="rId3"/>
    <sheet xmlns:r="http://schemas.openxmlformats.org/officeDocument/2006/relationships" name="02_의사결정·종합결과" sheetId="4" state="visible" r:id="rId4"/>
    <sheet xmlns:r="http://schemas.openxmlformats.org/officeDocument/2006/relationships" name="03_전사업적평가" sheetId="5" state="visible" r:id="rId5"/>
    <sheet xmlns:r="http://schemas.openxmlformats.org/officeDocument/2006/relationships" name="04_역할평가" sheetId="6" state="visible" r:id="rId6"/>
    <sheet xmlns:r="http://schemas.openxmlformats.org/officeDocument/2006/relationships" name="05_공통역량평가" sheetId="7" state="visible" r:id="rId7"/>
    <sheet xmlns:r="http://schemas.openxmlformats.org/officeDocument/2006/relationships" name="06_직무역량평가" sheetId="8" state="visible" r:id="rId8"/>
    <sheet xmlns:r="http://schemas.openxmlformats.org/officeDocument/2006/relationships" name="07a_상반기입력" sheetId="9" state="visible" r:id="rId9"/>
    <sheet xmlns:r="http://schemas.openxmlformats.org/officeDocument/2006/relationships" name="07b_하반기입력" sheetId="10" state="visible" r:id="rId10"/>
    <sheet xmlns:r="http://schemas.openxmlformats.org/officeDocument/2006/relationships" name="08_종합평가" sheetId="11" state="visible" r:id="rId11"/>
    <sheet xmlns:r="http://schemas.openxmlformats.org/officeDocument/2006/relationships" name="09_보상연계" sheetId="12" state="visible" r:id="rId12"/>
    <sheet xmlns:r="http://schemas.openxmlformats.org/officeDocument/2006/relationships" name="10_성과급관리" sheetId="13" state="visible" r:id="rId13"/>
    <sheet xmlns:r="http://schemas.openxmlformats.org/officeDocument/2006/relationships" name="11_페이밴드검증" sheetId="14" state="visible" r:id="rId14"/>
    <sheet xmlns:r="http://schemas.openxmlformats.org/officeDocument/2006/relationships" name="12_시뮬레이션" sheetId="15" state="visible" r:id="rId15"/>
    <sheet xmlns:r="http://schemas.openxmlformats.org/officeDocument/2006/relationships" name="13_직무역할DB" sheetId="16" state="visible" r:id="rId16"/>
    <sheet xmlns:r="http://schemas.openxmlformats.org/officeDocument/2006/relationships" name="14_직무책무DB" sheetId="17" state="visible" r:id="rId17"/>
    <sheet xmlns:r="http://schemas.openxmlformats.org/officeDocument/2006/relationships" name="15_직원별책무매핑" sheetId="18" state="visible" r:id="rId18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#,##0;\-#,##0;\-"/>
  </numFmts>
  <fonts count="25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4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b val="1"/>
      <color rgb="FF000000"/>
      <sz val="9"/>
    </font>
    <font>
      <name val="맑은 고딕"/>
      <charset val="129"/>
      <family val="3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b val="1"/>
      <color rgb="FF000000"/>
      <sz val="12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b val="1"/>
      <color rgb="FF000000"/>
      <sz val="14"/>
    </font>
    <font>
      <name val="맑은 고딕"/>
      <charset val="129"/>
      <family val="3"/>
      <b val="1"/>
      <color rgb="FFFFFFFF"/>
      <sz val="16"/>
    </font>
    <font>
      <name val="맑은 고딕"/>
      <charset val="129"/>
      <family val="3"/>
      <b val="1"/>
      <color rgb="FFFFFFFF"/>
      <sz val="13"/>
    </font>
    <font>
      <name val="맑은 고딕"/>
      <charset val="129"/>
      <family val="3"/>
      <sz val="8"/>
      <scheme val="minor"/>
    </font>
    <font>
      <name val="맑은 고딕"/>
      <color rgb="00000000"/>
      <sz val="11"/>
    </font>
    <font>
      <name val="맑은 고딕"/>
      <b val="1"/>
      <color rgb="00000000"/>
      <sz val="11"/>
    </font>
    <font>
      <name val="맑은 고딕"/>
      <b val="1"/>
      <color rgb="00FFFFFF"/>
      <sz val="14"/>
    </font>
    <font>
      <name val="맑은 고딕"/>
      <b val="1"/>
      <color rgb="00000000"/>
      <sz val="10"/>
    </font>
    <font>
      <name val="맑은 고딕"/>
      <b val="1"/>
      <color rgb="00FFFFFF"/>
      <sz val="12"/>
    </font>
    <font>
      <name val="맑은 고딕"/>
      <b val="1"/>
      <color rgb="00FFFFFF"/>
      <sz val="10"/>
    </font>
    <font>
      <name val="맑은 고딕"/>
      <b val="1"/>
      <color rgb="00000000"/>
      <sz val="12"/>
    </font>
    <font>
      <name val="맑은 고딕"/>
      <b val="1"/>
      <color rgb="00000000"/>
      <sz val="14"/>
    </font>
  </fonts>
  <fills count="2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2E74B5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C6E0B4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B4C7E7"/>
      </patternFill>
    </fill>
    <fill>
      <patternFill patternType="solid">
        <fgColor rgb="FFFFFFFF"/>
      </patternFill>
    </fill>
    <fill>
      <patternFill patternType="solid">
        <fgColor rgb="FF548135"/>
      </patternFill>
    </fill>
    <fill>
      <patternFill patternType="solid">
        <fgColor rgb="FFC65911"/>
      </patternFill>
    </fill>
    <fill>
      <patternFill patternType="solid">
        <fgColor rgb="FF595959"/>
      </patternFill>
    </fill>
    <fill>
      <patternFill patternType="solid">
        <fgColor rgb="FFD9E1F2"/>
      </patternFill>
    </fill>
    <fill>
      <patternFill patternType="solid">
        <fgColor rgb="FFFFD966"/>
      </patternFill>
    </fill>
    <fill>
      <patternFill patternType="solid">
        <fgColor rgb="FFD9D9D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2E74B5"/>
      </patternFill>
    </fill>
    <fill>
      <patternFill patternType="solid">
        <fgColor rgb="00F2F2F2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/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1">
    <xf numFmtId="0" fontId="0" fillId="0" borderId="5"/>
  </cellStyleXfs>
  <cellXfs count="129">
    <xf numFmtId="0" fontId="0" fillId="0" borderId="0" pivotButton="0" quotePrefix="0" xfId="0"/>
    <xf numFmtId="0" fontId="4" fillId="5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center" vertical="center" wrapText="1"/>
    </xf>
    <xf numFmtId="2" fontId="4" fillId="5" borderId="1" applyAlignment="1" pivotButton="0" quotePrefix="0" xfId="0">
      <alignment horizontal="center" vertical="center" wrapText="1"/>
    </xf>
    <xf numFmtId="9" fontId="4" fillId="5" borderId="1" applyAlignment="1" pivotButton="0" quotePrefix="0" xfId="0">
      <alignment horizontal="center" vertical="center" wrapText="1"/>
    </xf>
    <xf numFmtId="9" fontId="4" fillId="6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2" fontId="4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2" fontId="5" fillId="6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 wrapText="1"/>
    </xf>
    <xf numFmtId="164" fontId="5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right" vertical="center" wrapText="1"/>
    </xf>
    <xf numFmtId="3" fontId="5" fillId="5" borderId="1" applyAlignment="1" pivotButton="0" quotePrefix="0" xfId="0">
      <alignment horizontal="right" vertical="center" wrapText="1"/>
    </xf>
    <xf numFmtId="0" fontId="5" fillId="12" borderId="1" applyAlignment="1" pivotButton="0" quotePrefix="0" xfId="0">
      <alignment horizontal="right" vertical="center" wrapText="1"/>
    </xf>
    <xf numFmtId="3" fontId="5" fillId="6" borderId="1" applyAlignment="1" pivotButton="0" quotePrefix="0" xfId="0">
      <alignment horizontal="right" vertical="center" wrapText="1"/>
    </xf>
    <xf numFmtId="165" fontId="5" fillId="6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166" fontId="4" fillId="6" borderId="1" applyAlignment="1" pivotButton="0" quotePrefix="0" xfId="0">
      <alignment horizontal="right" vertical="center" wrapText="1"/>
    </xf>
    <xf numFmtId="0" fontId="11" fillId="6" borderId="1" applyAlignment="1" pivotButton="0" quotePrefix="0" xfId="0">
      <alignment horizontal="right" vertical="center" wrapText="1"/>
    </xf>
    <xf numFmtId="3" fontId="11" fillId="6" borderId="1" applyAlignment="1" pivotButton="0" quotePrefix="0" xfId="0">
      <alignment horizontal="right" vertical="center" wrapText="1"/>
    </xf>
    <xf numFmtId="164" fontId="11" fillId="6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left" vertical="center" wrapText="1"/>
    </xf>
    <xf numFmtId="9" fontId="5" fillId="5" borderId="1" applyAlignment="1" pivotButton="0" quotePrefix="0" xfId="0">
      <alignment horizontal="center" vertical="center" wrapText="1"/>
    </xf>
    <xf numFmtId="9" fontId="5" fillId="6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2" fontId="4" fillId="0" borderId="5" applyAlignment="1" pivotButton="0" quotePrefix="0" xfId="0">
      <alignment horizontal="left" vertical="center" wrapText="1"/>
    </xf>
    <xf numFmtId="165" fontId="4" fillId="0" borderId="5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9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19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9" fillId="10" borderId="1" applyAlignment="1" pivotButton="0" quotePrefix="0" xfId="0">
      <alignment horizontal="left" vertical="center" wrapText="1"/>
    </xf>
    <xf numFmtId="0" fontId="17" fillId="0" borderId="10" applyAlignment="1" pivotButton="0" quotePrefix="0" xfId="0">
      <alignment horizontal="center" vertical="center" wrapText="1"/>
    </xf>
    <xf numFmtId="0" fontId="0" fillId="20" borderId="10" applyAlignment="1" pivotButton="0" quotePrefix="0" xfId="0">
      <alignment horizontal="left" vertical="center" wrapText="1"/>
    </xf>
    <xf numFmtId="0" fontId="18" fillId="20" borderId="10" applyAlignment="1" pivotButton="0" quotePrefix="0" xfId="0">
      <alignment horizontal="center" vertical="center" wrapText="1"/>
    </xf>
    <xf numFmtId="0" fontId="0" fillId="21" borderId="10" applyAlignment="1" pivotButton="0" quotePrefix="0" xfId="0">
      <alignment horizontal="center" vertical="center" wrapText="1"/>
    </xf>
    <xf numFmtId="0" fontId="0" fillId="21" borderId="10" applyAlignment="1" pivotButton="0" quotePrefix="0" xfId="0">
      <alignment horizontal="left" vertical="center" wrapText="1"/>
    </xf>
    <xf numFmtId="0" fontId="17" fillId="4" borderId="10" applyAlignment="1" pivotButton="0" quotePrefix="0" xfId="0">
      <alignment horizontal="center" vertical="center" wrapText="1"/>
    </xf>
    <xf numFmtId="0" fontId="17" fillId="12" borderId="10" applyAlignment="1" pivotButton="0" quotePrefix="0" xfId="0">
      <alignment horizontal="center" vertical="center" wrapText="1"/>
    </xf>
    <xf numFmtId="0" fontId="5" fillId="20" borderId="10" applyAlignment="1" pivotButton="0" quotePrefix="0" xfId="0">
      <alignment horizontal="left" vertical="center" wrapText="1"/>
    </xf>
    <xf numFmtId="0" fontId="4" fillId="20" borderId="10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19" fillId="22" borderId="10" applyAlignment="1" pivotButton="0" quotePrefix="0" xfId="0">
      <alignment horizontal="center" vertical="center" wrapText="1"/>
    </xf>
    <xf numFmtId="0" fontId="0" fillId="0" borderId="5" pivotButton="0" quotePrefix="0" xfId="0"/>
    <xf numFmtId="0" fontId="17" fillId="0" borderId="11" applyAlignment="1" pivotButton="0" quotePrefix="0" xfId="0">
      <alignment horizontal="left" vertical="center" wrapText="1"/>
    </xf>
    <xf numFmtId="0" fontId="20" fillId="23" borderId="10" applyAlignment="1" pivotButton="0" quotePrefix="0" xfId="0">
      <alignment horizontal="center" vertical="center" wrapText="1"/>
    </xf>
    <xf numFmtId="0" fontId="21" fillId="24" borderId="10" applyAlignment="1" pivotButton="0" quotePrefix="0" xfId="0">
      <alignment horizontal="center" vertical="center" wrapText="1"/>
    </xf>
    <xf numFmtId="0" fontId="22" fillId="22" borderId="10" applyAlignment="1" pivotButton="0" quotePrefix="0" xfId="0">
      <alignment horizontal="center" vertical="center" wrapText="1"/>
    </xf>
    <xf numFmtId="0" fontId="17" fillId="25" borderId="10" applyAlignment="1" pivotButton="0" quotePrefix="0" xfId="0">
      <alignment horizontal="center" vertical="center" wrapText="1"/>
    </xf>
    <xf numFmtId="0" fontId="17" fillId="25" borderId="10" applyAlignment="1" pivotButton="0" quotePrefix="0" xfId="0">
      <alignment horizontal="left" vertical="center" wrapText="1"/>
    </xf>
    <xf numFmtId="0" fontId="18" fillId="25" borderId="10" applyAlignment="1" pivotButton="0" quotePrefix="0" xfId="0">
      <alignment horizontal="center" vertical="center" wrapText="1"/>
    </xf>
    <xf numFmtId="0" fontId="17" fillId="21" borderId="10" applyAlignment="1" pivotButton="0" quotePrefix="0" xfId="0">
      <alignment horizontal="center" vertical="center" wrapText="1"/>
    </xf>
    <xf numFmtId="2" fontId="17" fillId="21" borderId="10" applyAlignment="1" pivotButton="0" quotePrefix="0" xfId="0">
      <alignment horizontal="center" vertical="center" wrapText="1"/>
    </xf>
    <xf numFmtId="0" fontId="23" fillId="21" borderId="10" applyAlignment="1" pivotButton="0" quotePrefix="0" xfId="0">
      <alignment horizontal="center" vertical="center" wrapText="1"/>
    </xf>
    <xf numFmtId="2" fontId="17" fillId="0" borderId="11" applyAlignment="1" pivotButton="0" quotePrefix="0" xfId="0">
      <alignment horizontal="left" vertical="center" wrapText="1"/>
    </xf>
    <xf numFmtId="165" fontId="17" fillId="0" borderId="11" applyAlignment="1" pivotButton="0" quotePrefix="0" xfId="0">
      <alignment horizontal="left" vertical="center" wrapText="1"/>
    </xf>
    <xf numFmtId="2" fontId="22" fillId="22" borderId="10" applyAlignment="1" pivotButton="0" quotePrefix="0" xfId="0">
      <alignment horizontal="center" vertical="center" wrapText="1"/>
    </xf>
    <xf numFmtId="0" fontId="18" fillId="21" borderId="10" applyAlignment="1" pivotButton="0" quotePrefix="0" xfId="0">
      <alignment horizontal="center" vertical="center" wrapText="1"/>
    </xf>
    <xf numFmtId="2" fontId="18" fillId="21" borderId="10" applyAlignment="1" pivotButton="0" quotePrefix="0" xfId="0">
      <alignment horizontal="center" vertical="center" wrapText="1"/>
    </xf>
    <xf numFmtId="0" fontId="24" fillId="21" borderId="10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166" fontId="4" fillId="6" borderId="1" applyAlignment="1" pivotButton="0" quotePrefix="0" xfId="0">
      <alignment horizontal="right" vertical="center" wrapText="1"/>
    </xf>
    <xf numFmtId="164" fontId="11" fillId="6" borderId="1" applyAlignment="1" pivotButton="0" quotePrefix="0" xfId="0">
      <alignment horizontal="right" vertical="center" wrapText="1"/>
    </xf>
  </cellXfs>
  <cellStyles count="1">
    <cellStyle name="표준" xfId="0" builtinId="0"/>
  </cellStyles>
  <dxfs count="69">
    <dxf>
      <fill>
        <patternFill patternType="solid">
          <fgColor rgb="FFD9D9D9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N81"/>
  <sheetViews>
    <sheetView workbookViewId="0">
      <selection activeCell="B24" sqref="B24:H24"/>
    </sheetView>
  </sheetViews>
  <sheetFormatPr baseColWidth="8" defaultRowHeight="16.9"/>
  <cols>
    <col width="10" customWidth="1" style="86" min="1" max="1"/>
    <col width="16" customWidth="1" style="86" min="2" max="2"/>
    <col width="18" customWidth="1" style="86" min="3" max="3"/>
    <col width="12" customWidth="1" style="86" min="4" max="4"/>
    <col width="4" customWidth="1" style="86" min="5" max="5"/>
    <col width="16" customWidth="1" style="86" min="6" max="6"/>
    <col width="18" customWidth="1" style="86" min="7" max="7"/>
    <col width="12" customWidth="1" style="86" min="8" max="8"/>
  </cols>
  <sheetData>
    <row r="1" ht="36" customHeight="1" s="86">
      <c r="A1" s="72" t="inlineStr">
        <is>
          <t>d</t>
        </is>
      </c>
      <c r="B1" s="66" t="n"/>
      <c r="C1" s="66" t="n"/>
      <c r="D1" s="66" t="n"/>
      <c r="E1" s="66" t="n"/>
      <c r="F1" s="66" t="n"/>
      <c r="G1" s="66" t="n"/>
      <c r="H1" s="67" t="n"/>
      <c r="I1" s="58" t="n"/>
      <c r="J1" s="58" t="n"/>
      <c r="K1" s="58" t="n"/>
      <c r="L1" s="58" t="n"/>
      <c r="M1" s="58" t="n"/>
      <c r="N1" s="58" t="n"/>
    </row>
    <row r="2" ht="22.05" customHeight="1" s="86">
      <c r="A2" s="75" t="inlineStr">
        <is>
          <t>1년 2회 평가(상·하반기) → 등급 결정 → 임금 조정 → 페이밴드 검증의 End-to-End 운영 도구</t>
        </is>
      </c>
      <c r="B2" s="66" t="n"/>
      <c r="C2" s="66" t="n"/>
      <c r="D2" s="66" t="n"/>
      <c r="E2" s="66" t="n"/>
      <c r="F2" s="66" t="n"/>
      <c r="G2" s="66" t="n"/>
      <c r="H2" s="67" t="n"/>
      <c r="I2" s="58" t="n"/>
      <c r="J2" s="58" t="n"/>
      <c r="K2" s="58" t="n"/>
      <c r="L2" s="58" t="n"/>
      <c r="M2" s="58" t="n"/>
      <c r="N2" s="58" t="n"/>
    </row>
    <row r="3">
      <c r="A3" s="58" t="n"/>
      <c r="B3" s="58" t="n"/>
      <c r="C3" s="58" t="n"/>
      <c r="D3" s="58" t="n"/>
      <c r="E3" s="58" t="n"/>
      <c r="F3" s="58" t="n"/>
      <c r="G3" s="58" t="n"/>
      <c r="H3" s="58" t="n"/>
      <c r="I3" s="58" t="n"/>
      <c r="J3" s="58" t="n"/>
      <c r="K3" s="58" t="n"/>
      <c r="L3" s="58" t="n"/>
      <c r="M3" s="58" t="n"/>
      <c r="N3" s="58" t="n"/>
    </row>
    <row r="4" ht="26" customHeight="1" s="86">
      <c r="A4" s="65" t="inlineStr">
        <is>
          <t>■ 우리가 하려는 일 (핵심 의사결정 4단계)</t>
        </is>
      </c>
      <c r="B4" s="66" t="n"/>
      <c r="C4" s="66" t="n"/>
      <c r="D4" s="66" t="n"/>
      <c r="E4" s="66" t="n"/>
      <c r="F4" s="66" t="n"/>
      <c r="G4" s="66" t="n"/>
      <c r="H4" s="67" t="n"/>
      <c r="I4" s="58" t="n"/>
      <c r="J4" s="58" t="n"/>
      <c r="K4" s="58" t="n"/>
      <c r="L4" s="58" t="n"/>
      <c r="M4" s="58" t="n"/>
      <c r="N4" s="58" t="n"/>
    </row>
    <row r="5" ht="26" customHeight="1" s="86">
      <c r="A5" s="71" t="inlineStr">
        <is>
          <t>단계</t>
        </is>
      </c>
      <c r="B5" s="71" t="inlineStr">
        <is>
          <t>핵심 작업</t>
        </is>
      </c>
      <c r="C5" s="71" t="inlineStr">
        <is>
          <t>의사결정</t>
        </is>
      </c>
      <c r="D5" s="71" t="inlineStr">
        <is>
          <t>주요 내용</t>
        </is>
      </c>
      <c r="E5" s="66" t="n"/>
      <c r="F5" s="66" t="n"/>
      <c r="G5" s="66" t="n"/>
      <c r="H5" s="67" t="n"/>
      <c r="I5" s="58" t="n"/>
      <c r="J5" s="58" t="n"/>
      <c r="K5" s="58" t="n"/>
      <c r="L5" s="58" t="n"/>
      <c r="M5" s="58" t="n"/>
      <c r="N5" s="58" t="n"/>
    </row>
    <row r="6" ht="38" customHeight="1" s="86">
      <c r="A6" s="61" t="inlineStr">
        <is>
          <t>STEP 1</t>
        </is>
      </c>
      <c r="B6" s="19" t="inlineStr">
        <is>
          <t>평가 실시</t>
        </is>
      </c>
      <c r="C6" s="70" t="inlineStr">
        <is>
          <t>연 2회(상반기·하반기) 개인별 3축 평가</t>
        </is>
      </c>
      <c r="D6" s="73" t="inlineStr">
        <is>
          <t>역할평가 + 공통역량평가 + 직무역량평가</t>
        </is>
      </c>
      <c r="E6" s="66" t="n"/>
      <c r="F6" s="66" t="n"/>
      <c r="G6" s="66" t="n"/>
      <c r="H6" s="67" t="n"/>
      <c r="I6" s="58" t="n"/>
      <c r="J6" s="58" t="n"/>
      <c r="K6" s="58" t="n"/>
      <c r="L6" s="58" t="n"/>
      <c r="M6" s="58" t="n"/>
      <c r="N6" s="58" t="n"/>
    </row>
    <row r="7" ht="38" customHeight="1" s="86">
      <c r="A7" s="61" t="inlineStr">
        <is>
          <t>STEP 2</t>
        </is>
      </c>
      <c r="B7" s="19" t="inlineStr">
        <is>
          <t>등급 결정</t>
        </is>
      </c>
      <c r="C7" s="70" t="inlineStr">
        <is>
          <t>회사 전체 KPI + 개인 평가 결과 종합</t>
        </is>
      </c>
      <c r="D7" s="73" t="inlineStr">
        <is>
          <t>3축 가중통합 → 최종 등급(S/A/B/C/D) 산출</t>
        </is>
      </c>
      <c r="E7" s="66" t="n"/>
      <c r="F7" s="66" t="n"/>
      <c r="G7" s="66" t="n"/>
      <c r="H7" s="67" t="n"/>
      <c r="I7" s="58" t="n"/>
      <c r="J7" s="58" t="n"/>
      <c r="K7" s="58" t="n"/>
      <c r="L7" s="58" t="n"/>
      <c r="M7" s="58" t="n"/>
      <c r="N7" s="58" t="n"/>
    </row>
    <row r="8" ht="38" customHeight="1" s="86">
      <c r="A8" s="61" t="inlineStr">
        <is>
          <t>STEP 3</t>
        </is>
      </c>
      <c r="B8" s="19" t="inlineStr">
        <is>
          <t>임금 조정</t>
        </is>
      </c>
      <c r="C8" s="70" t="inlineStr">
        <is>
          <t>평가 등급에 따라 차년도 기본연봉 인상</t>
        </is>
      </c>
      <c r="D8" s="73" t="inlineStr">
        <is>
          <t>S 6% / A 5% / B 4% / C 3% / D 2% (+ 승진 가산)</t>
        </is>
      </c>
      <c r="E8" s="66" t="n"/>
      <c r="F8" s="66" t="n"/>
      <c r="G8" s="66" t="n"/>
      <c r="H8" s="67" t="n"/>
      <c r="I8" s="58" t="n"/>
      <c r="J8" s="58" t="n"/>
      <c r="K8" s="58" t="n"/>
      <c r="L8" s="58" t="n"/>
      <c r="M8" s="58" t="n"/>
      <c r="N8" s="58" t="n"/>
    </row>
    <row r="9" ht="38" customHeight="1" s="86">
      <c r="A9" s="61" t="inlineStr">
        <is>
          <t>STEP 4</t>
        </is>
      </c>
      <c r="B9" s="19" t="inlineStr">
        <is>
          <t>페이밴드 관리</t>
        </is>
      </c>
      <c r="C9" s="70" t="inlineStr">
        <is>
          <t>전체 임직원 임금이 역할등급별 범위 내 유지</t>
        </is>
      </c>
      <c r="D9" s="73" t="inlineStr">
        <is>
          <t>Min/Mid/Max 검증 → 이탈자 조정 권고</t>
        </is>
      </c>
      <c r="E9" s="66" t="n"/>
      <c r="F9" s="66" t="n"/>
      <c r="G9" s="66" t="n"/>
      <c r="H9" s="67" t="n"/>
      <c r="I9" s="58" t="n"/>
      <c r="J9" s="58" t="n"/>
      <c r="K9" s="58" t="n"/>
      <c r="L9" s="58" t="n"/>
      <c r="M9" s="58" t="n"/>
      <c r="N9" s="58" t="n"/>
    </row>
    <row r="10">
      <c r="A10" s="58" t="n"/>
      <c r="B10" s="58" t="n"/>
      <c r="C10" s="58" t="n"/>
      <c r="D10" s="58" t="n"/>
      <c r="E10" s="58" t="n"/>
      <c r="F10" s="58" t="n"/>
      <c r="G10" s="58" t="n"/>
      <c r="H10" s="58" t="n"/>
      <c r="I10" s="58" t="n"/>
      <c r="J10" s="58" t="n"/>
      <c r="K10" s="58" t="n"/>
      <c r="L10" s="58" t="n"/>
      <c r="M10" s="58" t="n"/>
      <c r="N10" s="58" t="n"/>
    </row>
    <row r="11">
      <c r="A11" s="58" t="n"/>
      <c r="B11" s="58" t="n"/>
      <c r="C11" s="58" t="n"/>
      <c r="D11" s="58" t="n"/>
      <c r="E11" s="58" t="n"/>
      <c r="F11" s="58" t="n"/>
      <c r="G11" s="58" t="n"/>
      <c r="H11" s="58" t="n"/>
      <c r="I11" s="58" t="n"/>
      <c r="J11" s="58" t="n"/>
      <c r="K11" s="58" t="n"/>
      <c r="L11" s="58" t="n"/>
      <c r="M11" s="58" t="n"/>
      <c r="N11" s="58" t="n"/>
    </row>
    <row r="12" ht="26" customHeight="1" s="86">
      <c r="A12" s="65" t="inlineStr">
        <is>
          <t>■ 우리가 가진 도구 (산출물)</t>
        </is>
      </c>
      <c r="B12" s="66" t="n"/>
      <c r="C12" s="66" t="n"/>
      <c r="D12" s="66" t="n"/>
      <c r="E12" s="66" t="n"/>
      <c r="F12" s="66" t="n"/>
      <c r="G12" s="66" t="n"/>
      <c r="H12" s="67" t="n"/>
      <c r="I12" s="58" t="n"/>
      <c r="J12" s="58" t="n"/>
      <c r="K12" s="58" t="n"/>
      <c r="L12" s="58" t="n"/>
      <c r="M12" s="58" t="n"/>
      <c r="N12" s="58" t="n"/>
    </row>
    <row r="13" ht="26" customHeight="1" s="86">
      <c r="A13" s="71" t="inlineStr">
        <is>
          <t>도구</t>
        </is>
      </c>
      <c r="B13" s="71" t="inlineStr">
        <is>
          <t>파일/시트</t>
        </is>
      </c>
      <c r="C13" s="66" t="n"/>
      <c r="D13" s="67" t="n"/>
      <c r="E13" s="71" t="inlineStr">
        <is>
          <t>용도·운영 주체</t>
        </is>
      </c>
      <c r="F13" s="66" t="n"/>
      <c r="G13" s="66" t="n"/>
      <c r="H13" s="67" t="n"/>
      <c r="I13" s="58" t="n"/>
      <c r="J13" s="58" t="n"/>
      <c r="K13" s="58" t="n"/>
      <c r="L13" s="58" t="n"/>
      <c r="M13" s="58" t="n"/>
      <c r="N13" s="58" t="n"/>
    </row>
    <row r="14" ht="40.05" customHeight="1" s="86">
      <c r="A14" s="62" t="inlineStr">
        <is>
          <t>통합 관리 시트</t>
        </is>
      </c>
      <c r="B14" s="69" t="inlineStr">
        <is>
          <t>본 파일 (HR 통합관리시스템 v5.xlsx)</t>
        </is>
      </c>
      <c r="C14" s="66" t="n"/>
      <c r="D14" s="67" t="n"/>
      <c r="E14" s="70" t="inlineStr">
        <is>
          <t>HR 담당자가 모든 평가 결과를 모아 종합 등급·인상률·페이밴드를 산출. 본 파일.</t>
        </is>
      </c>
      <c r="F14" s="66" t="n"/>
      <c r="G14" s="66" t="n"/>
      <c r="H14" s="67" t="n"/>
      <c r="I14" s="58" t="n"/>
      <c r="J14" s="58" t="n"/>
      <c r="K14" s="58" t="n"/>
      <c r="L14" s="58" t="n"/>
      <c r="M14" s="58" t="n"/>
      <c r="N14" s="58" t="n"/>
    </row>
    <row r="15" ht="40.05" customHeight="1" s="86">
      <c r="A15" s="62" t="inlineStr">
        <is>
          <t>직무별 평가지</t>
        </is>
      </c>
      <c r="B15" s="69" t="inlineStr">
        <is>
          <t>평가지_2026_v2/평가지_{부서}_2026_v2.xlsx (부서별 6종)</t>
        </is>
      </c>
      <c r="C15" s="66" t="n"/>
      <c r="D15" s="67" t="n"/>
      <c r="E15" s="70" t="inlineStr">
        <is>
          <t>부서장(1·2차 평가자)이 작성. HR이 배포·회수 후 [복사용 행]을 통합시트에 옮김.</t>
        </is>
      </c>
      <c r="F15" s="66" t="n"/>
      <c r="G15" s="66" t="n"/>
      <c r="H15" s="67" t="n"/>
      <c r="I15" s="58" t="n"/>
      <c r="J15" s="58" t="n"/>
      <c r="K15" s="58" t="n"/>
      <c r="L15" s="58" t="n"/>
      <c r="M15" s="58" t="n"/>
      <c r="N15" s="58" t="n"/>
    </row>
    <row r="16">
      <c r="A16" s="58" t="n"/>
      <c r="B16" s="58" t="n"/>
      <c r="C16" s="58" t="n"/>
      <c r="D16" s="58" t="n"/>
      <c r="E16" s="58" t="n"/>
      <c r="F16" s="58" t="n"/>
      <c r="G16" s="58" t="n"/>
      <c r="H16" s="58" t="n"/>
      <c r="I16" s="58" t="n"/>
      <c r="J16" s="58" t="n"/>
      <c r="K16" s="58" t="n"/>
      <c r="L16" s="58" t="n"/>
      <c r="M16" s="58" t="n"/>
      <c r="N16" s="58" t="n"/>
    </row>
    <row r="17" ht="26" customHeight="1" s="86">
      <c r="A17" s="65" t="inlineStr">
        <is>
          <t>■ HR 담당자 운영 흐름 (한 평가 사이클)</t>
        </is>
      </c>
      <c r="B17" s="66" t="n"/>
      <c r="C17" s="66" t="n"/>
      <c r="D17" s="66" t="n"/>
      <c r="E17" s="66" t="n"/>
      <c r="F17" s="66" t="n"/>
      <c r="G17" s="66" t="n"/>
      <c r="H17" s="67" t="n"/>
      <c r="I17" s="58" t="n"/>
      <c r="J17" s="58" t="n"/>
      <c r="K17" s="58" t="n"/>
      <c r="L17" s="58" t="n"/>
      <c r="M17" s="58" t="n"/>
      <c r="N17" s="58" t="n"/>
    </row>
    <row r="18" ht="26" customHeight="1" s="86">
      <c r="A18" s="71" t="inlineStr">
        <is>
          <t>단계</t>
        </is>
      </c>
      <c r="B18" s="71" t="inlineStr">
        <is>
          <t>내용</t>
        </is>
      </c>
      <c r="C18" s="66" t="n"/>
      <c r="D18" s="66" t="n"/>
      <c r="E18" s="66" t="n"/>
      <c r="F18" s="66" t="n"/>
      <c r="G18" s="66" t="n"/>
      <c r="H18" s="67" t="n"/>
      <c r="I18" s="58" t="n"/>
      <c r="J18" s="58" t="n"/>
      <c r="K18" s="58" t="n"/>
      <c r="L18" s="58" t="n"/>
      <c r="M18" s="58" t="n"/>
      <c r="N18" s="58" t="n"/>
    </row>
    <row r="19" ht="36" customHeight="1" s="86">
      <c r="A19" s="62" t="inlineStr">
        <is>
          <t>① 준비</t>
        </is>
      </c>
      <c r="B19" s="70" t="inlineStr">
        <is>
          <t>01_인적정보 확인 + 15_직원별책무매핑에서 직원별 메인 책무 O/X 선택</t>
        </is>
      </c>
      <c r="C19" s="66" t="n"/>
      <c r="D19" s="66" t="n"/>
      <c r="E19" s="66" t="n"/>
      <c r="F19" s="66" t="n"/>
      <c r="G19" s="66" t="n"/>
      <c r="H19" s="67" t="n"/>
      <c r="I19" s="58" t="n"/>
      <c r="J19" s="58" t="n"/>
      <c r="K19" s="58" t="n"/>
      <c r="L19" s="58" t="n"/>
      <c r="M19" s="58" t="n"/>
      <c r="N19" s="58" t="n"/>
    </row>
    <row r="20" ht="36" customHeight="1" s="86">
      <c r="A20" s="62" t="inlineStr">
        <is>
          <t>② 배포</t>
        </is>
      </c>
      <c r="B20" s="70" t="inlineStr">
        <is>
          <t>평가지_{부서}_2026_v2.xlsx 6개 파일을 각 부서장에게 배포 (이메일/공유폴더)</t>
        </is>
      </c>
      <c r="C20" s="66" t="n"/>
      <c r="D20" s="66" t="n"/>
      <c r="E20" s="66" t="n"/>
      <c r="F20" s="66" t="n"/>
      <c r="G20" s="66" t="n"/>
      <c r="H20" s="67" t="n"/>
      <c r="I20" s="58" t="n"/>
      <c r="J20" s="58" t="n"/>
      <c r="K20" s="58" t="n"/>
      <c r="L20" s="58" t="n"/>
      <c r="M20" s="58" t="n"/>
      <c r="N20" s="58" t="n"/>
    </row>
    <row r="21" ht="36" customHeight="1" s="86">
      <c r="A21" s="62" t="inlineStr">
        <is>
          <t>③ 평가</t>
        </is>
      </c>
      <c r="B21" s="70" t="inlineStr">
        <is>
          <t>부서장(1·2차 평가자)이 각자 등급(S/A/B/C/D) 입력 → 시트가 가중평균·등급 자동 산출</t>
        </is>
      </c>
      <c r="C21" s="66" t="n"/>
      <c r="D21" s="66" t="n"/>
      <c r="E21" s="66" t="n"/>
      <c r="F21" s="66" t="n"/>
      <c r="G21" s="66" t="n"/>
      <c r="H21" s="67" t="n"/>
      <c r="I21" s="58" t="n"/>
      <c r="J21" s="58" t="n"/>
      <c r="K21" s="58" t="n"/>
      <c r="L21" s="58" t="n"/>
      <c r="M21" s="58" t="n"/>
      <c r="N21" s="58" t="n"/>
    </row>
    <row r="22" ht="36" customHeight="1" s="86">
      <c r="A22" s="62" t="inlineStr">
        <is>
          <t>④ 회수</t>
        </is>
      </c>
      <c r="B22" s="70" t="inlineStr">
        <is>
          <t>평가지 회수 (보통 평가 마감 후 1주일 내)</t>
        </is>
      </c>
      <c r="C22" s="66" t="n"/>
      <c r="D22" s="66" t="n"/>
      <c r="E22" s="66" t="n"/>
      <c r="F22" s="66" t="n"/>
      <c r="G22" s="66" t="n"/>
      <c r="H22" s="67" t="n"/>
      <c r="I22" s="58" t="n"/>
      <c r="J22" s="58" t="n"/>
      <c r="K22" s="58" t="n"/>
      <c r="L22" s="58" t="n"/>
      <c r="M22" s="58" t="n"/>
      <c r="N22" s="58" t="n"/>
    </row>
    <row r="23" ht="36" customHeight="1" s="86">
      <c r="A23" s="62" t="inlineStr">
        <is>
          <t>⑤ 입력</t>
        </is>
      </c>
      <c r="B23" s="70" t="inlineStr">
        <is>
          <t>각 평가지 직원 시트 하단 [복사용 입력 행] A~U 21개 셀 통째 복사 → 본 파일 07a/07b의 해당 사번 행 G~AA에 [값 붙여넣기]</t>
        </is>
      </c>
      <c r="C23" s="66" t="n"/>
      <c r="D23" s="66" t="n"/>
      <c r="E23" s="66" t="n"/>
      <c r="F23" s="66" t="n"/>
      <c r="G23" s="66" t="n"/>
      <c r="H23" s="67" t="n"/>
      <c r="I23" s="58" t="n"/>
      <c r="J23" s="58" t="n"/>
      <c r="K23" s="58" t="n"/>
      <c r="L23" s="58" t="n"/>
      <c r="M23" s="58" t="n"/>
      <c r="N23" s="58" t="n"/>
    </row>
    <row r="24" ht="36" customHeight="1" s="86">
      <c r="A24" s="62" t="inlineStr">
        <is>
          <t>⑥ 점검</t>
        </is>
      </c>
      <c r="B24" s="70" t="inlineStr">
        <is>
          <t>00_운영현황판에서 누락·이상 알림 확인 → 보완</t>
        </is>
      </c>
      <c r="C24" s="66" t="n"/>
      <c r="D24" s="66" t="n"/>
      <c r="E24" s="66" t="n"/>
      <c r="F24" s="66" t="n"/>
      <c r="G24" s="66" t="n"/>
      <c r="H24" s="67" t="n"/>
      <c r="I24" s="58" t="n"/>
      <c r="J24" s="58" t="n"/>
      <c r="K24" s="58" t="n"/>
      <c r="L24" s="58" t="n"/>
      <c r="M24" s="58" t="n"/>
      <c r="N24" s="58" t="n"/>
    </row>
    <row r="25" ht="36" customHeight="1" s="86">
      <c r="A25" s="62" t="inlineStr">
        <is>
          <t>⑦ 결과 확인</t>
        </is>
      </c>
      <c r="B25" s="70" t="inlineStr">
        <is>
          <t>08_종합평가 (최종등급) / 09_보상연계 (인상률·신규연봉) / 10_성과급관리 / 11_페이밴드검증 / 12_시뮬레이션</t>
        </is>
      </c>
      <c r="C25" s="66" t="n"/>
      <c r="D25" s="66" t="n"/>
      <c r="E25" s="66" t="n"/>
      <c r="F25" s="66" t="n"/>
      <c r="G25" s="66" t="n"/>
      <c r="H25" s="67" t="n"/>
      <c r="I25" s="58" t="n"/>
      <c r="J25" s="58" t="n"/>
      <c r="K25" s="58" t="n"/>
      <c r="L25" s="58" t="n"/>
      <c r="M25" s="58" t="n"/>
      <c r="N25" s="58" t="n"/>
    </row>
    <row r="26">
      <c r="A26" s="58" t="n"/>
      <c r="B26" s="58" t="n"/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8" t="n"/>
      <c r="M26" s="58" t="n"/>
      <c r="N26" s="58" t="n"/>
    </row>
    <row r="27" ht="26" customHeight="1" s="86">
      <c r="A27" s="65" t="inlineStr">
        <is>
          <t>■ 본 파일 시트 역할 (18개)</t>
        </is>
      </c>
      <c r="B27" s="66" t="n"/>
      <c r="C27" s="66" t="n"/>
      <c r="D27" s="66" t="n"/>
      <c r="E27" s="66" t="n"/>
      <c r="F27" s="66" t="n"/>
      <c r="G27" s="66" t="n"/>
      <c r="H27" s="67" t="n"/>
      <c r="I27" s="58" t="n"/>
      <c r="J27" s="58" t="n"/>
      <c r="K27" s="58" t="n"/>
      <c r="L27" s="58" t="n"/>
      <c r="M27" s="58" t="n"/>
      <c r="N27" s="58" t="n"/>
    </row>
    <row r="28" ht="26" customHeight="1" s="86">
      <c r="A28" s="71" t="inlineStr">
        <is>
          <t>시트</t>
        </is>
      </c>
      <c r="B28" s="71" t="inlineStr">
        <is>
          <t>역할</t>
        </is>
      </c>
      <c r="C28" s="66" t="n"/>
      <c r="D28" s="66" t="n"/>
      <c r="E28" s="66" t="n"/>
      <c r="F28" s="67" t="n"/>
      <c r="G28" s="71" t="inlineStr">
        <is>
          <t>유형</t>
        </is>
      </c>
      <c r="H28" s="67" t="n"/>
      <c r="I28" s="58" t="n"/>
      <c r="J28" s="58" t="n"/>
      <c r="K28" s="58" t="n"/>
      <c r="L28" s="58" t="n"/>
      <c r="M28" s="58" t="n"/>
      <c r="N28" s="58" t="n"/>
    </row>
    <row r="29" ht="24" customHeight="1" s="86">
      <c r="A29" s="10" t="inlineStr">
        <is>
          <t>00_운영가이드</t>
        </is>
      </c>
      <c r="B29" s="70" t="inlineStr">
        <is>
          <t>본 시트 - 운영 흐름·시트 안내</t>
        </is>
      </c>
      <c r="C29" s="66" t="n"/>
      <c r="D29" s="66" t="n"/>
      <c r="E29" s="66" t="n"/>
      <c r="F29" s="67" t="n"/>
      <c r="G29" s="79" t="inlineStr">
        <is>
          <t>안내</t>
        </is>
      </c>
      <c r="H29" s="67" t="n"/>
      <c r="I29" s="58" t="n"/>
      <c r="J29" s="58" t="n"/>
      <c r="K29" s="58" t="n"/>
      <c r="L29" s="58" t="n"/>
      <c r="M29" s="58" t="n"/>
      <c r="N29" s="58" t="n"/>
    </row>
    <row r="30" ht="24" customHeight="1" s="86">
      <c r="A30" s="10" t="inlineStr">
        <is>
          <t>00_운영현황판</t>
        </is>
      </c>
      <c r="B30" s="70" t="inlineStr">
        <is>
          <t>평가 진행률·이상 알림·등급 분포 한눈에</t>
        </is>
      </c>
      <c r="C30" s="66" t="n"/>
      <c r="D30" s="66" t="n"/>
      <c r="E30" s="66" t="n"/>
      <c r="F30" s="67" t="n"/>
      <c r="G30" s="77" t="inlineStr">
        <is>
          <t>대시보드</t>
        </is>
      </c>
      <c r="H30" s="67" t="n"/>
      <c r="I30" s="58" t="n"/>
      <c r="J30" s="58" t="n"/>
      <c r="K30" s="58" t="n"/>
      <c r="L30" s="58" t="n"/>
      <c r="M30" s="58" t="n"/>
      <c r="N30" s="58" t="n"/>
    </row>
    <row r="31" ht="24" customHeight="1" s="86">
      <c r="A31" s="10" t="inlineStr">
        <is>
          <t>01_인적정보</t>
        </is>
      </c>
      <c r="B31" s="70" t="inlineStr">
        <is>
          <t>직원 마스터(34명). 사번·역할등급 입력</t>
        </is>
      </c>
      <c r="C31" s="66" t="n"/>
      <c r="D31" s="66" t="n"/>
      <c r="E31" s="66" t="n"/>
      <c r="F31" s="67" t="n"/>
      <c r="G31" s="76" t="inlineStr">
        <is>
          <t>HR 입력</t>
        </is>
      </c>
      <c r="H31" s="67" t="n"/>
      <c r="I31" s="58" t="n"/>
      <c r="J31" s="58" t="n"/>
      <c r="K31" s="58" t="n"/>
      <c r="L31" s="58" t="n"/>
      <c r="M31" s="58" t="n"/>
      <c r="N31" s="58" t="n"/>
    </row>
    <row r="32" ht="24" customHeight="1" s="86">
      <c r="A32" s="10" t="inlineStr">
        <is>
          <t>02_의사결정·종합결과</t>
        </is>
      </c>
      <c r="B32" s="70" t="inlineStr">
        <is>
          <t>가중치·인상률·페이밴드·평가자 비중 설정</t>
        </is>
      </c>
      <c r="C32" s="66" t="n"/>
      <c r="D32" s="66" t="n"/>
      <c r="E32" s="66" t="n"/>
      <c r="F32" s="67" t="n"/>
      <c r="G32" s="76" t="inlineStr">
        <is>
          <t>HR 입력</t>
        </is>
      </c>
      <c r="H32" s="67" t="n"/>
      <c r="I32" s="58" t="n"/>
      <c r="J32" s="58" t="n"/>
      <c r="K32" s="58" t="n"/>
      <c r="L32" s="58" t="n"/>
      <c r="M32" s="58" t="n"/>
      <c r="N32" s="58" t="n"/>
    </row>
    <row r="33" ht="24" customHeight="1" s="86">
      <c r="A33" s="10" t="inlineStr">
        <is>
          <t>03_전사업적평가</t>
        </is>
      </c>
      <c r="B33" s="70" t="inlineStr">
        <is>
          <t>전사 KPI 실적 입력 → 성과급 재원 가산</t>
        </is>
      </c>
      <c r="C33" s="66" t="n"/>
      <c r="D33" s="66" t="n"/>
      <c r="E33" s="66" t="n"/>
      <c r="F33" s="67" t="n"/>
      <c r="G33" s="76" t="inlineStr">
        <is>
          <t>HR 입력</t>
        </is>
      </c>
      <c r="H33" s="67" t="n"/>
      <c r="I33" s="58" t="n"/>
      <c r="J33" s="58" t="n"/>
      <c r="K33" s="58" t="n"/>
      <c r="L33" s="58" t="n"/>
      <c r="M33" s="58" t="n"/>
      <c r="N33" s="58" t="n"/>
    </row>
    <row r="34" ht="24" customHeight="1" s="86">
      <c r="A34" s="10" t="inlineStr">
        <is>
          <t>04_역할평가</t>
        </is>
      </c>
      <c r="B34" s="70" t="inlineStr">
        <is>
          <t>자동 산출 (07a/07b 입력값 기반)</t>
        </is>
      </c>
      <c r="C34" s="66" t="n"/>
      <c r="D34" s="66" t="n"/>
      <c r="E34" s="66" t="n"/>
      <c r="F34" s="67" t="n"/>
      <c r="G34" s="68" t="inlineStr">
        <is>
          <t>자동</t>
        </is>
      </c>
      <c r="H34" s="67" t="n"/>
      <c r="I34" s="58" t="n"/>
      <c r="J34" s="58" t="n"/>
      <c r="K34" s="58" t="n"/>
      <c r="L34" s="58" t="n"/>
      <c r="M34" s="58" t="n"/>
      <c r="N34" s="58" t="n"/>
    </row>
    <row r="35" ht="24" customHeight="1" s="86">
      <c r="A35" s="10" t="inlineStr">
        <is>
          <t>05_공통역량평가</t>
        </is>
      </c>
      <c r="B35" s="70" t="inlineStr">
        <is>
          <t>자동 산출 (11개 역량 가중합산)</t>
        </is>
      </c>
      <c r="C35" s="66" t="n"/>
      <c r="D35" s="66" t="n"/>
      <c r="E35" s="66" t="n"/>
      <c r="F35" s="67" t="n"/>
      <c r="G35" s="68" t="inlineStr">
        <is>
          <t>자동</t>
        </is>
      </c>
      <c r="H35" s="67" t="n"/>
      <c r="I35" s="58" t="n"/>
      <c r="J35" s="58" t="n"/>
      <c r="K35" s="58" t="n"/>
      <c r="L35" s="58" t="n"/>
      <c r="M35" s="58" t="n"/>
      <c r="N35" s="58" t="n"/>
    </row>
    <row r="36" ht="24" customHeight="1" s="86">
      <c r="A36" s="10" t="inlineStr">
        <is>
          <t>06_직무역량평가</t>
        </is>
      </c>
      <c r="B36" s="70" t="inlineStr">
        <is>
          <t>자동 산출 (개인별 메인 책무 평균)</t>
        </is>
      </c>
      <c r="C36" s="66" t="n"/>
      <c r="D36" s="66" t="n"/>
      <c r="E36" s="66" t="n"/>
      <c r="F36" s="67" t="n"/>
      <c r="G36" s="68" t="inlineStr">
        <is>
          <t>자동</t>
        </is>
      </c>
      <c r="H36" s="67" t="n"/>
      <c r="I36" s="58" t="n"/>
      <c r="J36" s="58" t="n"/>
      <c r="K36" s="58" t="n"/>
      <c r="L36" s="58" t="n"/>
      <c r="M36" s="58" t="n"/>
      <c r="N36" s="58" t="n"/>
    </row>
    <row r="37" ht="24" customHeight="1" s="86">
      <c r="A37" s="10" t="inlineStr">
        <is>
          <t>07a_상반기입력</t>
        </is>
      </c>
      <c r="B37" s="70" t="inlineStr">
        <is>
          <t>부서별 평가지의 [복사용 행]을 여기 G~AA에 붙여넣기</t>
        </is>
      </c>
      <c r="C37" s="66" t="n"/>
      <c r="D37" s="66" t="n"/>
      <c r="E37" s="66" t="n"/>
      <c r="F37" s="67" t="n"/>
      <c r="G37" s="74" t="inlineStr">
        <is>
          <t>HR 입력 (핵심)</t>
        </is>
      </c>
      <c r="H37" s="67" t="n"/>
      <c r="I37" s="58" t="n"/>
      <c r="J37" s="58" t="n"/>
      <c r="K37" s="58" t="n"/>
      <c r="L37" s="58" t="n"/>
      <c r="M37" s="58" t="n"/>
      <c r="N37" s="58" t="n"/>
    </row>
    <row r="38" ht="24" customHeight="1" s="86">
      <c r="A38" s="10" t="inlineStr">
        <is>
          <t>07b_하반기입력</t>
        </is>
      </c>
      <c r="B38" s="70" t="inlineStr">
        <is>
          <t>하반기 동일 구조</t>
        </is>
      </c>
      <c r="C38" s="66" t="n"/>
      <c r="D38" s="66" t="n"/>
      <c r="E38" s="66" t="n"/>
      <c r="F38" s="67" t="n"/>
      <c r="G38" s="74" t="inlineStr">
        <is>
          <t>HR 입력 (핵심)</t>
        </is>
      </c>
      <c r="H38" s="67" t="n"/>
      <c r="I38" s="58" t="n"/>
      <c r="J38" s="58" t="n"/>
      <c r="K38" s="58" t="n"/>
      <c r="L38" s="58" t="n"/>
      <c r="M38" s="58" t="n"/>
      <c r="N38" s="58" t="n"/>
    </row>
    <row r="39" ht="24" customHeight="1" s="86">
      <c r="A39" s="10" t="inlineStr">
        <is>
          <t>08_종합평가</t>
        </is>
      </c>
      <c r="B39" s="70" t="inlineStr">
        <is>
          <t>3축 가중통합 → 최종 등급</t>
        </is>
      </c>
      <c r="C39" s="66" t="n"/>
      <c r="D39" s="66" t="n"/>
      <c r="E39" s="66" t="n"/>
      <c r="F39" s="67" t="n"/>
      <c r="G39" s="68" t="inlineStr">
        <is>
          <t>자동</t>
        </is>
      </c>
      <c r="H39" s="67" t="n"/>
      <c r="I39" s="58" t="n"/>
      <c r="J39" s="58" t="n"/>
      <c r="K39" s="58" t="n"/>
      <c r="L39" s="58" t="n"/>
      <c r="M39" s="58" t="n"/>
      <c r="N39" s="58" t="n"/>
    </row>
    <row r="40" ht="24" customHeight="1" s="86">
      <c r="A40" s="10" t="inlineStr">
        <is>
          <t>09_보상연계</t>
        </is>
      </c>
      <c r="B40" s="70" t="inlineStr">
        <is>
          <t>등급 → 인상률 → 차년도 연봉 자동 산출</t>
        </is>
      </c>
      <c r="C40" s="66" t="n"/>
      <c r="D40" s="66" t="n"/>
      <c r="E40" s="66" t="n"/>
      <c r="F40" s="67" t="n"/>
      <c r="G40" s="68" t="inlineStr">
        <is>
          <t>자동</t>
        </is>
      </c>
      <c r="H40" s="67" t="n"/>
      <c r="I40" s="58" t="n"/>
      <c r="J40" s="58" t="n"/>
      <c r="K40" s="58" t="n"/>
      <c r="L40" s="58" t="n"/>
      <c r="M40" s="58" t="n"/>
      <c r="N40" s="58" t="n"/>
    </row>
    <row r="41" ht="24" customHeight="1" s="86">
      <c r="A41" s="10" t="inlineStr">
        <is>
          <t>10_성과급관리</t>
        </is>
      </c>
      <c r="B41" s="70" t="inlineStr">
        <is>
          <t>등급별 성과급 + 전사 KPI 가산</t>
        </is>
      </c>
      <c r="C41" s="66" t="n"/>
      <c r="D41" s="66" t="n"/>
      <c r="E41" s="66" t="n"/>
      <c r="F41" s="67" t="n"/>
      <c r="G41" s="68" t="inlineStr">
        <is>
          <t>자동</t>
        </is>
      </c>
      <c r="H41" s="67" t="n"/>
      <c r="I41" s="58" t="n"/>
      <c r="J41" s="58" t="n"/>
      <c r="K41" s="58" t="n"/>
      <c r="L41" s="58" t="n"/>
      <c r="M41" s="58" t="n"/>
      <c r="N41" s="58" t="n"/>
    </row>
    <row r="42" ht="24" customHeight="1" s="86">
      <c r="A42" s="10" t="inlineStr">
        <is>
          <t>11_페이밴드검증</t>
        </is>
      </c>
      <c r="B42" s="70" t="inlineStr">
        <is>
          <t>이탈자 명단·조정 권고액 자동</t>
        </is>
      </c>
      <c r="C42" s="66" t="n"/>
      <c r="D42" s="66" t="n"/>
      <c r="E42" s="66" t="n"/>
      <c r="F42" s="67" t="n"/>
      <c r="G42" s="68" t="inlineStr">
        <is>
          <t>자동</t>
        </is>
      </c>
      <c r="H42" s="67" t="n"/>
      <c r="I42" s="58" t="n"/>
      <c r="J42" s="58" t="n"/>
      <c r="K42" s="58" t="n"/>
      <c r="L42" s="58" t="n"/>
      <c r="M42" s="58" t="n"/>
      <c r="N42" s="58" t="n"/>
    </row>
    <row r="43" ht="24" customHeight="1" s="86">
      <c r="A43" s="10" t="inlineStr">
        <is>
          <t>12_시뮬레이션</t>
        </is>
      </c>
      <c r="B43" s="70" t="inlineStr">
        <is>
          <t>End-to-End 결과 요약 + 부서별 평균</t>
        </is>
      </c>
      <c r="C43" s="66" t="n"/>
      <c r="D43" s="66" t="n"/>
      <c r="E43" s="66" t="n"/>
      <c r="F43" s="67" t="n"/>
      <c r="G43" s="68" t="inlineStr">
        <is>
          <t>자동</t>
        </is>
      </c>
      <c r="H43" s="67" t="n"/>
      <c r="I43" s="58" t="n"/>
      <c r="J43" s="58" t="n"/>
      <c r="K43" s="58" t="n"/>
      <c r="L43" s="58" t="n"/>
      <c r="M43" s="58" t="n"/>
      <c r="N43" s="58" t="n"/>
    </row>
    <row r="44" ht="24" customHeight="1" s="86">
      <c r="A44" s="10" t="inlineStr">
        <is>
          <t>13_직무역할DB</t>
        </is>
      </c>
      <c r="B44" s="70" t="inlineStr">
        <is>
          <t>직무×역할등급 정의 (참조용)</t>
        </is>
      </c>
      <c r="C44" s="66" t="n"/>
      <c r="D44" s="66" t="n"/>
      <c r="E44" s="66" t="n"/>
      <c r="F44" s="67" t="n"/>
      <c r="G44" s="78" t="inlineStr">
        <is>
          <t>DB</t>
        </is>
      </c>
      <c r="H44" s="67" t="n"/>
      <c r="I44" s="58" t="n"/>
      <c r="J44" s="58" t="n"/>
      <c r="K44" s="58" t="n"/>
      <c r="L44" s="58" t="n"/>
      <c r="M44" s="58" t="n"/>
      <c r="N44" s="58" t="n"/>
    </row>
    <row r="45" ht="24" customHeight="1" s="86">
      <c r="A45" s="10" t="inlineStr">
        <is>
          <t>14_직무책무DB</t>
        </is>
      </c>
      <c r="B45" s="70" t="inlineStr">
        <is>
          <t>직무별 책무 카탈로그 (참조용)</t>
        </is>
      </c>
      <c r="C45" s="66" t="n"/>
      <c r="D45" s="66" t="n"/>
      <c r="E45" s="66" t="n"/>
      <c r="F45" s="67" t="n"/>
      <c r="G45" s="78" t="inlineStr">
        <is>
          <t>DB</t>
        </is>
      </c>
      <c r="H45" s="67" t="n"/>
      <c r="I45" s="58" t="n"/>
      <c r="J45" s="58" t="n"/>
      <c r="K45" s="58" t="n"/>
      <c r="L45" s="58" t="n"/>
      <c r="M45" s="58" t="n"/>
      <c r="N45" s="58" t="n"/>
    </row>
    <row r="46" ht="24" customHeight="1" s="86">
      <c r="A46" s="10" t="inlineStr">
        <is>
          <t>15_직원별책무매핑</t>
        </is>
      </c>
      <c r="B46" s="70" t="inlineStr">
        <is>
          <t>직원별 메인 책무 O/X 선택</t>
        </is>
      </c>
      <c r="C46" s="66" t="n"/>
      <c r="D46" s="66" t="n"/>
      <c r="E46" s="66" t="n"/>
      <c r="F46" s="67" t="n"/>
      <c r="G46" s="76" t="inlineStr">
        <is>
          <t>HR 입력</t>
        </is>
      </c>
      <c r="H46" s="67" t="n"/>
      <c r="I46" s="58" t="n"/>
      <c r="J46" s="58" t="n"/>
      <c r="K46" s="58" t="n"/>
      <c r="L46" s="58" t="n"/>
      <c r="M46" s="58" t="n"/>
      <c r="N46" s="58" t="n"/>
    </row>
    <row r="47">
      <c r="A47" s="58" t="n"/>
      <c r="B47" s="58" t="n"/>
      <c r="C47" s="58" t="n"/>
      <c r="D47" s="58" t="n"/>
      <c r="E47" s="58" t="n"/>
      <c r="F47" s="58" t="n"/>
      <c r="G47" s="58" t="n"/>
      <c r="H47" s="58" t="n"/>
      <c r="I47" s="58" t="n"/>
      <c r="J47" s="58" t="n"/>
      <c r="K47" s="58" t="n"/>
      <c r="L47" s="58" t="n"/>
      <c r="M47" s="58" t="n"/>
      <c r="N47" s="58" t="n"/>
    </row>
    <row r="48" ht="26" customHeight="1" s="86">
      <c r="A48" s="65" t="inlineStr">
        <is>
          <t>■ 색상 범례</t>
        </is>
      </c>
      <c r="B48" s="66" t="n"/>
      <c r="C48" s="66" t="n"/>
      <c r="D48" s="66" t="n"/>
      <c r="E48" s="66" t="n"/>
      <c r="F48" s="66" t="n"/>
      <c r="G48" s="66" t="n"/>
      <c r="H48" s="67" t="n"/>
      <c r="I48" s="58" t="n"/>
      <c r="J48" s="58" t="n"/>
      <c r="K48" s="58" t="n"/>
      <c r="L48" s="58" t="n"/>
      <c r="M48" s="58" t="n"/>
      <c r="N48" s="58" t="n"/>
    </row>
    <row r="49" ht="22.05" customHeight="1" s="86">
      <c r="A49" s="1" t="n"/>
      <c r="B49" s="2" t="inlineStr">
        <is>
          <t>노란셀</t>
        </is>
      </c>
      <c r="C49" s="70" t="inlineStr">
        <is>
          <t>HR이 직접 입력</t>
        </is>
      </c>
      <c r="D49" s="67" t="n"/>
      <c r="E49" s="81" t="n"/>
      <c r="F49" s="2" t="inlineStr">
        <is>
          <t>연두셀</t>
        </is>
      </c>
      <c r="G49" s="70" t="inlineStr">
        <is>
          <t>자동 계산 - 수정 금지</t>
        </is>
      </c>
      <c r="H49" s="67" t="n"/>
      <c r="I49" s="58" t="n"/>
      <c r="J49" s="58" t="n"/>
      <c r="K49" s="58" t="n"/>
      <c r="L49" s="58" t="n"/>
      <c r="M49" s="58" t="n"/>
      <c r="N49" s="58" t="n"/>
    </row>
    <row r="50" ht="22.05" customHeight="1" s="86">
      <c r="A50" s="69" t="n"/>
      <c r="B50" s="2" t="inlineStr">
        <is>
          <t>회색셀</t>
        </is>
      </c>
      <c r="C50" s="70" t="inlineStr">
        <is>
          <t>참고 라벨</t>
        </is>
      </c>
      <c r="D50" s="67" t="n"/>
      <c r="E50" s="7" t="n"/>
      <c r="F50" s="2" t="inlineStr">
        <is>
          <t>주황셀</t>
        </is>
      </c>
      <c r="G50" s="70" t="inlineStr">
        <is>
          <t>안내·중요 표시</t>
        </is>
      </c>
      <c r="H50" s="67" t="n"/>
      <c r="I50" s="58" t="n"/>
      <c r="J50" s="58" t="n"/>
      <c r="K50" s="58" t="n"/>
      <c r="L50" s="58" t="n"/>
      <c r="M50" s="58" t="n"/>
      <c r="N50" s="58" t="n"/>
    </row>
    <row r="51" ht="22.05" customHeight="1" s="86">
      <c r="A51" s="6" t="n"/>
      <c r="B51" s="2" t="inlineStr">
        <is>
          <t>S/A 등급</t>
        </is>
      </c>
      <c r="C51" s="70" t="inlineStr">
        <is>
          <t>탁월·우수</t>
        </is>
      </c>
      <c r="D51" s="67" t="n"/>
      <c r="E51" s="8" t="n"/>
      <c r="F51" s="2" t="inlineStr">
        <is>
          <t>D 등급/이탈</t>
        </is>
      </c>
      <c r="G51" s="70" t="inlineStr">
        <is>
          <t>즉시 조치</t>
        </is>
      </c>
      <c r="H51" s="67" t="n"/>
      <c r="I51" s="58" t="n"/>
      <c r="J51" s="58" t="n"/>
      <c r="K51" s="58" t="n"/>
      <c r="L51" s="58" t="n"/>
      <c r="M51" s="58" t="n"/>
      <c r="N51" s="58" t="n"/>
    </row>
    <row r="52">
      <c r="A52" s="58" t="n"/>
      <c r="B52" s="58" t="n"/>
      <c r="C52" s="58" t="n"/>
      <c r="D52" s="58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8" t="n"/>
    </row>
    <row r="53">
      <c r="A53" s="58" t="n"/>
      <c r="B53" s="58" t="n"/>
      <c r="C53" s="58" t="n"/>
      <c r="D53" s="58" t="n"/>
      <c r="E53" s="58" t="n"/>
      <c r="F53" s="58" t="n"/>
      <c r="G53" s="58" t="n"/>
      <c r="H53" s="58" t="n"/>
      <c r="I53" s="58" t="n"/>
      <c r="J53" s="58" t="n"/>
      <c r="K53" s="58" t="n"/>
      <c r="L53" s="58" t="n"/>
      <c r="M53" s="58" t="n"/>
      <c r="N53" s="58" t="n"/>
    </row>
    <row r="54">
      <c r="A54" s="58" t="n"/>
      <c r="B54" s="58" t="n"/>
      <c r="C54" s="58" t="n"/>
      <c r="D54" s="58" t="n"/>
      <c r="E54" s="58" t="n"/>
      <c r="F54" s="58" t="n"/>
      <c r="G54" s="58" t="n"/>
      <c r="H54" s="58" t="n"/>
      <c r="I54" s="58" t="n"/>
      <c r="J54" s="58" t="n"/>
      <c r="K54" s="58" t="n"/>
      <c r="L54" s="58" t="n"/>
      <c r="M54" s="58" t="n"/>
      <c r="N54" s="58" t="n"/>
    </row>
    <row r="55">
      <c r="A55" s="58" t="n"/>
      <c r="B55" s="58" t="n"/>
      <c r="C55" s="58" t="n"/>
      <c r="D55" s="58" t="n"/>
      <c r="E55" s="58" t="n"/>
      <c r="F55" s="58" t="n"/>
      <c r="G55" s="58" t="n"/>
      <c r="H55" s="58" t="n"/>
      <c r="I55" s="58" t="n"/>
      <c r="J55" s="58" t="n"/>
      <c r="K55" s="58" t="n"/>
      <c r="L55" s="58" t="n"/>
      <c r="M55" s="58" t="n"/>
      <c r="N55" s="58" t="n"/>
    </row>
    <row r="56">
      <c r="A56" s="58" t="n"/>
      <c r="B56" s="58" t="n"/>
      <c r="C56" s="58" t="n"/>
      <c r="D56" s="58" t="n"/>
      <c r="E56" s="58" t="n"/>
      <c r="F56" s="58" t="n"/>
      <c r="G56" s="58" t="n"/>
      <c r="H56" s="58" t="n"/>
      <c r="I56" s="58" t="n"/>
      <c r="J56" s="58" t="n"/>
      <c r="K56" s="58" t="n"/>
      <c r="L56" s="58" t="n"/>
      <c r="M56" s="58" t="n"/>
      <c r="N56" s="58" t="n"/>
    </row>
    <row r="57">
      <c r="A57" s="58" t="n"/>
      <c r="B57" s="58" t="n"/>
      <c r="C57" s="58" t="n"/>
      <c r="D57" s="58" t="n"/>
      <c r="E57" s="58" t="n"/>
      <c r="F57" s="58" t="n"/>
      <c r="G57" s="58" t="n"/>
      <c r="H57" s="58" t="n"/>
      <c r="I57" s="58" t="n"/>
      <c r="J57" s="58" t="n"/>
      <c r="K57" s="58" t="n"/>
      <c r="L57" s="58" t="n"/>
      <c r="M57" s="58" t="n"/>
      <c r="N57" s="58" t="n"/>
    </row>
    <row r="58">
      <c r="A58" s="58" t="n"/>
      <c r="B58" s="58" t="n"/>
      <c r="C58" s="58" t="n"/>
      <c r="D58" s="58" t="n"/>
      <c r="E58" s="58" t="n"/>
      <c r="F58" s="58" t="n"/>
      <c r="G58" s="58" t="n"/>
      <c r="H58" s="58" t="n"/>
      <c r="I58" s="58" t="n"/>
      <c r="J58" s="58" t="n"/>
      <c r="K58" s="58" t="n"/>
      <c r="L58" s="58" t="n"/>
      <c r="M58" s="58" t="n"/>
      <c r="N58" s="58" t="n"/>
    </row>
    <row r="59">
      <c r="A59" s="58" t="n"/>
      <c r="B59" s="58" t="n"/>
      <c r="C59" s="58" t="n"/>
      <c r="D59" s="58" t="n"/>
      <c r="E59" s="58" t="n"/>
      <c r="F59" s="58" t="n"/>
      <c r="G59" s="58" t="n"/>
      <c r="H59" s="58" t="n"/>
      <c r="I59" s="58" t="n"/>
      <c r="J59" s="58" t="n"/>
      <c r="K59" s="58" t="n"/>
      <c r="L59" s="58" t="n"/>
      <c r="M59" s="58" t="n"/>
      <c r="N59" s="58" t="n"/>
    </row>
    <row r="60">
      <c r="A60" s="58" t="n"/>
      <c r="B60" s="58" t="n"/>
      <c r="C60" s="58" t="n"/>
      <c r="D60" s="58" t="n"/>
      <c r="E60" s="58" t="n"/>
      <c r="F60" s="58" t="n"/>
      <c r="G60" s="58" t="n"/>
      <c r="H60" s="58" t="n"/>
      <c r="I60" s="58" t="n"/>
      <c r="J60" s="58" t="n"/>
      <c r="K60" s="58" t="n"/>
      <c r="L60" s="58" t="n"/>
      <c r="M60" s="58" t="n"/>
      <c r="N60" s="58" t="n"/>
    </row>
    <row r="61">
      <c r="A61" s="58" t="n"/>
      <c r="B61" s="58" t="n"/>
      <c r="C61" s="58" t="n"/>
      <c r="D61" s="58" t="n"/>
      <c r="E61" s="58" t="n"/>
      <c r="F61" s="58" t="n"/>
      <c r="G61" s="58" t="n"/>
      <c r="H61" s="58" t="n"/>
      <c r="I61" s="58" t="n"/>
      <c r="J61" s="58" t="n"/>
      <c r="K61" s="58" t="n"/>
      <c r="L61" s="58" t="n"/>
      <c r="M61" s="58" t="n"/>
      <c r="N61" s="58" t="n"/>
    </row>
    <row r="62">
      <c r="A62" s="58" t="n"/>
      <c r="B62" s="58" t="n"/>
      <c r="C62" s="58" t="n"/>
      <c r="D62" s="58" t="n"/>
      <c r="E62" s="58" t="n"/>
      <c r="F62" s="58" t="n"/>
      <c r="G62" s="58" t="n"/>
      <c r="H62" s="58" t="n"/>
      <c r="I62" s="58" t="n"/>
      <c r="J62" s="58" t="n"/>
      <c r="K62" s="58" t="n"/>
      <c r="L62" s="58" t="n"/>
      <c r="M62" s="58" t="n"/>
      <c r="N62" s="58" t="n"/>
    </row>
    <row r="63">
      <c r="A63" s="58" t="n"/>
      <c r="B63" s="58" t="n"/>
      <c r="C63" s="58" t="n"/>
      <c r="D63" s="58" t="n"/>
      <c r="E63" s="58" t="n"/>
      <c r="F63" s="58" t="n"/>
      <c r="G63" s="58" t="n"/>
      <c r="H63" s="58" t="n"/>
      <c r="I63" s="58" t="n"/>
      <c r="J63" s="58" t="n"/>
      <c r="K63" s="58" t="n"/>
      <c r="L63" s="58" t="n"/>
      <c r="M63" s="58" t="n"/>
      <c r="N63" s="58" t="n"/>
    </row>
    <row r="64">
      <c r="A64" s="58" t="n"/>
      <c r="B64" s="58" t="n"/>
      <c r="C64" s="58" t="n"/>
      <c r="D64" s="58" t="n"/>
      <c r="E64" s="58" t="n"/>
      <c r="F64" s="58" t="n"/>
      <c r="G64" s="58" t="n"/>
      <c r="H64" s="58" t="n"/>
      <c r="I64" s="58" t="n"/>
      <c r="J64" s="58" t="n"/>
      <c r="K64" s="58" t="n"/>
      <c r="L64" s="58" t="n"/>
      <c r="M64" s="58" t="n"/>
      <c r="N64" s="58" t="n"/>
    </row>
    <row r="81" ht="28.05" customHeight="1" s="86">
      <c r="A81" s="80" t="inlineStr">
        <is>
          <t>본 시스템은 베이시스소프트의 임금·평가 운영을 위해 설계되었습니다. 사용 중 의문 사항은 컨설팅 담당자 또는 시앤피컨설팅 이석주 컨설턴트에게 문의해 주세요.</t>
        </is>
      </c>
      <c r="B81" s="66" t="n"/>
      <c r="C81" s="66" t="n"/>
      <c r="D81" s="66" t="n"/>
      <c r="E81" s="66" t="n"/>
      <c r="F81" s="66" t="n"/>
      <c r="G81" s="66" t="n"/>
      <c r="H81" s="67" t="n"/>
    </row>
  </sheetData>
  <mergeCells count="71">
    <mergeCell ref="A48:H48"/>
    <mergeCell ref="G43:H43"/>
    <mergeCell ref="B14:D14"/>
    <mergeCell ref="G42:H42"/>
    <mergeCell ref="B13:D13"/>
    <mergeCell ref="B31:F31"/>
    <mergeCell ref="B46:F46"/>
    <mergeCell ref="G36:H36"/>
    <mergeCell ref="B24:H24"/>
    <mergeCell ref="A1:H1"/>
    <mergeCell ref="G40:H40"/>
    <mergeCell ref="B20:H20"/>
    <mergeCell ref="G39:H39"/>
    <mergeCell ref="B43:F43"/>
    <mergeCell ref="B39:F39"/>
    <mergeCell ref="D6:H6"/>
    <mergeCell ref="G38:H38"/>
    <mergeCell ref="B42:F42"/>
    <mergeCell ref="C50:D50"/>
    <mergeCell ref="G37:H37"/>
    <mergeCell ref="G28:H28"/>
    <mergeCell ref="B25:H25"/>
    <mergeCell ref="B15:D15"/>
    <mergeCell ref="A27:H27"/>
    <mergeCell ref="A12:H12"/>
    <mergeCell ref="B44:F44"/>
    <mergeCell ref="G49:H49"/>
    <mergeCell ref="B22:H22"/>
    <mergeCell ref="G34:H34"/>
    <mergeCell ref="B29:F29"/>
    <mergeCell ref="E14:H14"/>
    <mergeCell ref="D7:H7"/>
    <mergeCell ref="B18:H18"/>
    <mergeCell ref="G30:H30"/>
    <mergeCell ref="B34:F34"/>
    <mergeCell ref="C51:D51"/>
    <mergeCell ref="B38:F38"/>
    <mergeCell ref="B21:H21"/>
    <mergeCell ref="B28:F28"/>
    <mergeCell ref="A2:H2"/>
    <mergeCell ref="B37:F37"/>
    <mergeCell ref="G33:H33"/>
    <mergeCell ref="G45:H45"/>
    <mergeCell ref="B40:F40"/>
    <mergeCell ref="D9:H9"/>
    <mergeCell ref="E13:H13"/>
    <mergeCell ref="G29:H29"/>
    <mergeCell ref="A4:H4"/>
    <mergeCell ref="B30:F30"/>
    <mergeCell ref="G35:H35"/>
    <mergeCell ref="D8:H8"/>
    <mergeCell ref="A17:H17"/>
    <mergeCell ref="B23:H23"/>
    <mergeCell ref="G51:H51"/>
    <mergeCell ref="A81:H81"/>
    <mergeCell ref="G32:H32"/>
    <mergeCell ref="B33:F33"/>
    <mergeCell ref="G41:H41"/>
    <mergeCell ref="D5:H5"/>
    <mergeCell ref="B45:F45"/>
    <mergeCell ref="E15:H15"/>
    <mergeCell ref="G44:H44"/>
    <mergeCell ref="G50:H50"/>
    <mergeCell ref="B36:F36"/>
    <mergeCell ref="B32:F32"/>
    <mergeCell ref="G31:H31"/>
    <mergeCell ref="B19:H19"/>
    <mergeCell ref="G46:H46"/>
    <mergeCell ref="B41:F41"/>
    <mergeCell ref="C49:D49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C00000"/>
    <outlinePr summaryBelow="1" summaryRight="1"/>
    <pageSetUpPr/>
  </sheetPr>
  <dimension ref="A1:J30"/>
  <sheetViews>
    <sheetView workbookViewId="0">
      <selection activeCell="A1" sqref="A1:J1"/>
    </sheetView>
  </sheetViews>
  <sheetFormatPr baseColWidth="8" defaultRowHeight="16.9"/>
  <cols>
    <col width="30" customWidth="1" style="86" min="1" max="1"/>
    <col width="13" customWidth="1" style="86" min="2" max="10"/>
  </cols>
  <sheetData>
    <row r="1" ht="28.05" customHeight="1" s="86">
      <c r="A1" s="82" t="inlineStr">
        <is>
          <t>★ HR 운영 현황판 (모든 평가 진행 상황 한눈에)</t>
        </is>
      </c>
      <c r="B1" s="66" t="n"/>
      <c r="C1" s="66" t="n"/>
      <c r="D1" s="66" t="n"/>
      <c r="E1" s="66" t="n"/>
      <c r="F1" s="66" t="n"/>
      <c r="G1" s="66" t="n"/>
      <c r="H1" s="66" t="n"/>
      <c r="I1" s="66" t="n"/>
      <c r="J1" s="67" t="n"/>
    </row>
    <row r="2">
      <c r="A2" s="80" t="inlineStr">
        <is>
          <t>이 시트가 평가 사이클의 컨트롤 타워. 여기서 진행률·이상신호 확인 후 각 시트로 진입.</t>
        </is>
      </c>
      <c r="B2" s="66" t="n"/>
      <c r="C2" s="66" t="n"/>
      <c r="D2" s="66" t="n"/>
      <c r="E2" s="66" t="n"/>
      <c r="F2" s="66" t="n"/>
      <c r="G2" s="66" t="n"/>
      <c r="H2" s="66" t="n"/>
      <c r="I2" s="66" t="n"/>
      <c r="J2" s="67" t="n"/>
    </row>
    <row r="3" ht="24" customHeight="1" s="86">
      <c r="A3" s="74" t="inlineStr">
        <is>
          <t>✻ 이 시트는 평가 사이클이 진행되는 동안 매일 가장 먼저 확인하는 페이지입니다. 진행률·이상 알림으로 현재 상태를 즉시 파악하세요.</t>
        </is>
      </c>
      <c r="B3" s="66" t="n"/>
      <c r="C3" s="66" t="n"/>
      <c r="D3" s="66" t="n"/>
      <c r="E3" s="66" t="n"/>
      <c r="F3" s="66" t="n"/>
      <c r="G3" s="66" t="n"/>
      <c r="H3" s="66" t="n"/>
      <c r="I3" s="66" t="n"/>
      <c r="J3" s="67" t="n"/>
    </row>
    <row r="4">
      <c r="A4" s="83" t="inlineStr">
        <is>
          <t>■ 평가 진행 현황</t>
        </is>
      </c>
      <c r="B4" s="66" t="n"/>
      <c r="C4" s="66" t="n"/>
      <c r="D4" s="66" t="n"/>
      <c r="E4" s="66" t="n"/>
      <c r="F4" s="66" t="n"/>
      <c r="G4" s="66" t="n"/>
      <c r="H4" s="66" t="n"/>
      <c r="I4" s="66" t="n"/>
      <c r="J4" s="67" t="n"/>
    </row>
    <row r="5">
      <c r="A5" s="71" t="inlineStr">
        <is>
          <t>지표</t>
        </is>
      </c>
      <c r="B5" s="71" t="inlineStr">
        <is>
          <t>상반기 진행</t>
        </is>
      </c>
      <c r="C5" s="71" t="inlineStr">
        <is>
          <t>하반기 진행</t>
        </is>
      </c>
      <c r="D5" s="71" t="inlineStr">
        <is>
          <t>상태</t>
        </is>
      </c>
    </row>
    <row r="6">
      <c r="A6" s="2" t="inlineStr">
        <is>
          <t>총 직원수</t>
        </is>
      </c>
      <c r="B6" s="13">
        <f>COUNTA('01_인적정보'!C6:C65)</f>
        <v/>
      </c>
      <c r="C6" s="13">
        <f>B6</f>
        <v/>
      </c>
      <c r="D6" s="14">
        <f>IF(B$6=0,"",IF(B6&gt;=B$6,"✓ 완료",IF(B6&gt;0,"진행중","미시작")))</f>
        <v/>
      </c>
    </row>
    <row r="7">
      <c r="A7" s="2" t="inlineStr">
        <is>
          <t>역할평가 입력완료</t>
        </is>
      </c>
      <c r="B7" s="13">
        <f>COUNTA('07a_상반기입력'!L6:L39)</f>
        <v/>
      </c>
      <c r="C7" s="13">
        <f>COUNTA('07b_하반기입력'!L6:L39)</f>
        <v/>
      </c>
      <c r="D7" s="14">
        <f>IF(B$6=0,"",IF(B7&gt;=B$6,"✓ 완료",IF(B7&gt;0,"진행중","미시작")))</f>
        <v/>
      </c>
    </row>
    <row r="8">
      <c r="A8" s="2" t="inlineStr">
        <is>
          <t>공통역량 입력완료</t>
        </is>
      </c>
      <c r="B8" s="13">
        <f>COUNTA('07a_상반기입력'!N6:N39)</f>
        <v/>
      </c>
      <c r="C8" s="13">
        <f>COUNTA('07b_하반기입력'!N6:N39)</f>
        <v/>
      </c>
      <c r="D8" s="14">
        <f>IF(B$6=0,"",IF(B8&gt;=B$6,"✓ 완료",IF(B8&gt;0,"진행중","미시작")))</f>
        <v/>
      </c>
    </row>
    <row r="9">
      <c r="A9" s="2" t="inlineStr">
        <is>
          <t>직무역량 입력완료</t>
        </is>
      </c>
      <c r="B9" s="13">
        <f>COUNTA('07a_상반기입력'!Y6:Y39)</f>
        <v/>
      </c>
      <c r="C9" s="13">
        <f>COUNTA('07b_하반기입력'!Y6:Y39)</f>
        <v/>
      </c>
      <c r="D9" s="14">
        <f>IF(B$6=0,"",IF(B9&gt;=B$6,"✓ 완료",IF(B9&gt;0,"진행중","미시작")))</f>
        <v/>
      </c>
    </row>
    <row r="10">
      <c r="A10" s="2" t="inlineStr">
        <is>
          <t>종합평가 산출완료</t>
        </is>
      </c>
      <c r="B10" s="13">
        <f>COUNTA('08_종합평가'!U6:U39)</f>
        <v/>
      </c>
      <c r="C10" s="13">
        <f>B10</f>
        <v/>
      </c>
      <c r="D10" s="14">
        <f>IF(B$6=0,"",IF(B10&gt;=B$6,"✓ 완료",IF(B10&gt;0,"진행중","미시작")))</f>
        <v/>
      </c>
    </row>
    <row r="12">
      <c r="A12" s="83" t="inlineStr">
        <is>
          <t>■ 이상 알림 (자동 점검)</t>
        </is>
      </c>
      <c r="B12" s="66" t="n"/>
      <c r="C12" s="66" t="n"/>
      <c r="D12" s="66" t="n"/>
      <c r="E12" s="66" t="n"/>
      <c r="F12" s="66" t="n"/>
      <c r="G12" s="66" t="n"/>
      <c r="H12" s="66" t="n"/>
      <c r="I12" s="66" t="n"/>
      <c r="J12" s="67" t="n"/>
    </row>
    <row r="13">
      <c r="A13" s="2" t="inlineStr">
        <is>
          <t>가중치 합계 검증 (G6~G1)</t>
        </is>
      </c>
      <c r="B13" s="81">
        <f>IF(SUMPRODUCT(('02_의사결정·종합결과'!E16:E22&lt;&gt;1)*1)&gt;0,"✗ 가중치 합계 ≠ 100% 행 존재","✓ 모든 가중치 OK")</f>
        <v/>
      </c>
      <c r="C13" s="66" t="n"/>
      <c r="D13" s="66" t="n"/>
      <c r="E13" s="66" t="n"/>
      <c r="F13" s="66" t="n"/>
      <c r="G13" s="66" t="n"/>
      <c r="H13" s="66" t="n"/>
      <c r="I13" s="67" t="n"/>
    </row>
    <row r="14">
      <c r="A14" s="2" t="inlineStr">
        <is>
          <t>상반기 등급 누락자 수</t>
        </is>
      </c>
      <c r="B14" s="81">
        <f>COUNTA('01_인적정보'!B6:B39) - COUNTA('07a_상반기입력'!L6:L39)</f>
        <v/>
      </c>
      <c r="C14" s="66" t="n"/>
      <c r="D14" s="66" t="n"/>
      <c r="E14" s="66" t="n"/>
      <c r="F14" s="66" t="n"/>
      <c r="G14" s="66" t="n"/>
      <c r="H14" s="66" t="n"/>
      <c r="I14" s="67" t="n"/>
    </row>
    <row r="15">
      <c r="A15" s="2" t="inlineStr">
        <is>
          <t>하반기 등급 누락자 수</t>
        </is>
      </c>
      <c r="B15" s="81">
        <f>COUNTA('01_인적정보'!B6:B39) - COUNTA('07b_하반기입력'!L6:L39)</f>
        <v/>
      </c>
      <c r="C15" s="66" t="n"/>
      <c r="D15" s="66" t="n"/>
      <c r="E15" s="66" t="n"/>
      <c r="F15" s="66" t="n"/>
      <c r="G15" s="66" t="n"/>
      <c r="H15" s="66" t="n"/>
      <c r="I15" s="67" t="n"/>
    </row>
    <row r="16">
      <c r="A16" s="2" t="inlineStr">
        <is>
          <t>페이밴드 이탈자 수</t>
        </is>
      </c>
      <c r="B16" s="81">
        <f>SUMPRODUCT(('09_보상연계'!O6:O39&lt;'09_보상연계'!L6:L39)+('09_보상연계'!O6:O39&gt;'09_보상연계'!M6:M39))</f>
        <v/>
      </c>
      <c r="C16" s="66" t="n"/>
      <c r="D16" s="66" t="n"/>
      <c r="E16" s="66" t="n"/>
      <c r="F16" s="66" t="n"/>
      <c r="G16" s="66" t="n"/>
      <c r="H16" s="66" t="n"/>
      <c r="I16" s="67" t="n"/>
    </row>
    <row r="17">
      <c r="A17" s="2" t="inlineStr">
        <is>
          <t>페이밴드 검증 시트의 이탈자 (참조)</t>
        </is>
      </c>
      <c r="B17" s="81">
        <f>SUM('11_페이밴드검증'!H6:H12)</f>
        <v/>
      </c>
      <c r="C17" s="66" t="n"/>
      <c r="D17" s="66" t="n"/>
      <c r="E17" s="66" t="n"/>
      <c r="F17" s="66" t="n"/>
      <c r="G17" s="66" t="n"/>
      <c r="H17" s="66" t="n"/>
      <c r="I17" s="67" t="n"/>
    </row>
    <row r="19">
      <c r="A19" s="83" t="inlineStr">
        <is>
          <t>■ 평가 등급 분포 (전사 종합)</t>
        </is>
      </c>
      <c r="B19" s="66" t="n"/>
      <c r="C19" s="66" t="n"/>
      <c r="D19" s="66" t="n"/>
      <c r="E19" s="66" t="n"/>
      <c r="F19" s="66" t="n"/>
      <c r="G19" s="66" t="n"/>
      <c r="H19" s="66" t="n"/>
      <c r="I19" s="66" t="n"/>
      <c r="J19" s="67" t="n"/>
    </row>
    <row r="20">
      <c r="A20" s="71" t="inlineStr">
        <is>
          <t>등급</t>
        </is>
      </c>
      <c r="B20" s="71" t="inlineStr">
        <is>
          <t>S</t>
        </is>
      </c>
      <c r="C20" s="71" t="inlineStr">
        <is>
          <t>A</t>
        </is>
      </c>
      <c r="D20" s="71" t="inlineStr">
        <is>
          <t>B</t>
        </is>
      </c>
      <c r="E20" s="71" t="inlineStr">
        <is>
          <t>C</t>
        </is>
      </c>
      <c r="F20" s="71" t="inlineStr">
        <is>
          <t>D</t>
        </is>
      </c>
    </row>
    <row r="21">
      <c r="A21" s="2" t="inlineStr">
        <is>
          <t>인원수</t>
        </is>
      </c>
      <c r="B21" s="13">
        <f>COUNTIF('08_종합평가'!U6:U39,"S")</f>
        <v/>
      </c>
      <c r="C21" s="13">
        <f>COUNTIF('08_종합평가'!U6:U39,"A")</f>
        <v/>
      </c>
      <c r="D21" s="13">
        <f>COUNTIF('08_종합평가'!U6:U39,"B")</f>
        <v/>
      </c>
      <c r="E21" s="13">
        <f>COUNTIF('08_종합평가'!U6:U39,"C")</f>
        <v/>
      </c>
      <c r="F21" s="13">
        <f>COUNTIF('08_종합평가'!U6:U39,"D")</f>
        <v/>
      </c>
    </row>
    <row r="24">
      <c r="A24" s="83" t="inlineStr">
        <is>
          <t>■ 오늘 해야 할 일</t>
        </is>
      </c>
      <c r="B24" s="66" t="n"/>
      <c r="C24" s="66" t="n"/>
      <c r="D24" s="66" t="n"/>
      <c r="E24" s="66" t="n"/>
      <c r="F24" s="66" t="n"/>
      <c r="G24" s="66" t="n"/>
      <c r="H24" s="66" t="n"/>
      <c r="I24" s="66" t="n"/>
      <c r="J24" s="67" t="n"/>
    </row>
    <row r="25">
      <c r="A25" s="69" t="inlineStr">
        <is>
          <t>1) 01_인적정보에서 직원 명단·역할등급(G5-M/G5-S 포함) 확인</t>
        </is>
      </c>
      <c r="B25" s="66" t="n"/>
      <c r="C25" s="66" t="n"/>
      <c r="D25" s="66" t="n"/>
      <c r="E25" s="66" t="n"/>
      <c r="F25" s="66" t="n"/>
      <c r="G25" s="66" t="n"/>
      <c r="H25" s="66" t="n"/>
      <c r="I25" s="66" t="n"/>
      <c r="J25" s="67" t="n"/>
    </row>
    <row r="26">
      <c r="A26" s="69" t="inlineStr">
        <is>
          <t>2) 15_직원별책무매핑에서 직원별 메인 책무 선택 (신규 - 평가 시작 전 필수)</t>
        </is>
      </c>
      <c r="B26" s="66" t="n"/>
      <c r="C26" s="66" t="n"/>
      <c r="D26" s="66" t="n"/>
      <c r="E26" s="66" t="n"/>
      <c r="F26" s="66" t="n"/>
      <c r="G26" s="66" t="n"/>
      <c r="H26" s="66" t="n"/>
      <c r="I26" s="66" t="n"/>
      <c r="J26" s="67" t="n"/>
    </row>
    <row r="27">
      <c r="A27" s="69" t="inlineStr">
        <is>
          <t>3) 부서별 평가지 6종 배포 (평가자에게 이메일/공유폴더 전달)</t>
        </is>
      </c>
      <c r="B27" s="66" t="n"/>
      <c r="C27" s="66" t="n"/>
      <c r="D27" s="66" t="n"/>
      <c r="E27" s="66" t="n"/>
      <c r="F27" s="66" t="n"/>
      <c r="G27" s="66" t="n"/>
      <c r="H27" s="66" t="n"/>
      <c r="I27" s="66" t="n"/>
      <c r="J27" s="67" t="n"/>
    </row>
    <row r="28">
      <c r="A28" s="69" t="inlineStr">
        <is>
          <t>4) 평가지 회수 후 07a/07b 상·하반기 입력 시트에 등급 입력</t>
        </is>
      </c>
      <c r="B28" s="66" t="n"/>
      <c r="C28" s="66" t="n"/>
      <c r="D28" s="66" t="n"/>
      <c r="E28" s="66" t="n"/>
      <c r="F28" s="66" t="n"/>
      <c r="G28" s="66" t="n"/>
      <c r="H28" s="66" t="n"/>
      <c r="I28" s="66" t="n"/>
      <c r="J28" s="67" t="n"/>
    </row>
    <row r="29">
      <c r="A29" s="69" t="inlineStr">
        <is>
          <t>5) 본 시트에서 진행률·이상알림 확인</t>
        </is>
      </c>
      <c r="B29" s="66" t="n"/>
      <c r="C29" s="66" t="n"/>
      <c r="D29" s="66" t="n"/>
      <c r="E29" s="66" t="n"/>
      <c r="F29" s="66" t="n"/>
      <c r="G29" s="66" t="n"/>
      <c r="H29" s="66" t="n"/>
      <c r="I29" s="66" t="n"/>
      <c r="J29" s="67" t="n"/>
    </row>
    <row r="30">
      <c r="A30" s="69" t="inlineStr">
        <is>
          <t>6) 모두 완료 시 08~12 산출 시트에서 결과 확인</t>
        </is>
      </c>
      <c r="B30" s="66" t="n"/>
      <c r="C30" s="66" t="n"/>
      <c r="D30" s="66" t="n"/>
      <c r="E30" s="66" t="n"/>
      <c r="F30" s="66" t="n"/>
      <c r="G30" s="66" t="n"/>
      <c r="H30" s="66" t="n"/>
      <c r="I30" s="66" t="n"/>
      <c r="J30" s="67" t="n"/>
    </row>
  </sheetData>
  <mergeCells count="18">
    <mergeCell ref="B13:I13"/>
    <mergeCell ref="A1:J1"/>
    <mergeCell ref="A25:J25"/>
    <mergeCell ref="B15:I15"/>
    <mergeCell ref="A27:J27"/>
    <mergeCell ref="B16:I16"/>
    <mergeCell ref="A3:J3"/>
    <mergeCell ref="A30:J30"/>
    <mergeCell ref="A12:J12"/>
    <mergeCell ref="A4:J4"/>
    <mergeCell ref="B14:I14"/>
    <mergeCell ref="A26:J26"/>
    <mergeCell ref="A24:J24"/>
    <mergeCell ref="A2:J2"/>
    <mergeCell ref="A29:J29"/>
    <mergeCell ref="A28:J28"/>
    <mergeCell ref="A19:J19"/>
    <mergeCell ref="B17:I17"/>
  </mergeCells>
  <conditionalFormatting sqref="D6:D10">
    <cfRule type="cellIs" priority="1" operator="equal" dxfId="12">
      <formula>"미시작"</formula>
    </cfRule>
    <cfRule type="cellIs" priority="2" operator="equal" dxfId="15">
      <formula>"진행중"</formula>
    </cfRule>
    <cfRule type="cellIs" priority="3" operator="equal" dxfId="1">
      <formula>"✓ 완료"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1F4E78"/>
    <outlinePr summaryBelow="1" summaryRight="1"/>
    <pageSetUpPr/>
  </sheetPr>
  <dimension ref="A1:P5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:N1"/>
    </sheetView>
  </sheetViews>
  <sheetFormatPr baseColWidth="8" defaultRowHeight="16.9"/>
  <cols>
    <col width="5" customWidth="1" style="86" min="1" max="1"/>
    <col width="10" customWidth="1" style="86" min="2" max="3"/>
    <col width="14" customWidth="1" style="86" min="4" max="6"/>
    <col width="10" customWidth="1" style="86" min="7" max="7"/>
    <col width="8" customWidth="1" style="86" min="8" max="8"/>
    <col width="12" customWidth="1" style="86" min="9" max="9"/>
    <col width="9" customWidth="1" style="86" min="10" max="10"/>
    <col width="13" customWidth="1" style="86" min="11" max="11"/>
    <col width="11" customWidth="1" style="86" min="12" max="12"/>
    <col width="22" customWidth="1" style="86" min="13" max="13"/>
    <col width="10" customWidth="1" style="86" min="14" max="14"/>
  </cols>
  <sheetData>
    <row r="1" ht="30" customHeight="1" s="86">
      <c r="A1" s="82" t="inlineStr">
        <is>
          <t>임직원 명부 마스터 (Master)</t>
        </is>
      </c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7" t="n"/>
    </row>
    <row r="2" ht="22.05" customHeight="1" s="86">
      <c r="A2" s="80" t="inlineStr">
        <is>
          <t>사번을 키로 모든 시트를 연결. 노란셀만 직접 수정. ★ G5는 M(부서장)/S(스페셜리스트)로 분리되어 있습니다.</t>
        </is>
      </c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7" t="n"/>
    </row>
    <row r="5" ht="32" customHeight="1" s="86">
      <c r="A5" s="15" t="inlineStr">
        <is>
          <t>No.</t>
        </is>
      </c>
      <c r="B5" s="15" t="inlineStr">
        <is>
          <t>사번</t>
        </is>
      </c>
      <c r="C5" s="15" t="inlineStr">
        <is>
          <t>성명</t>
        </is>
      </c>
      <c r="D5" s="15" t="inlineStr">
        <is>
          <t>직군</t>
        </is>
      </c>
      <c r="E5" s="15" t="inlineStr">
        <is>
          <t>직무</t>
        </is>
      </c>
      <c r="F5" s="15" t="inlineStr">
        <is>
          <t>부서</t>
        </is>
      </c>
      <c r="G5" s="15" t="inlineStr">
        <is>
          <t>기존직급</t>
        </is>
      </c>
      <c r="H5" s="15" t="inlineStr">
        <is>
          <t>역할등급</t>
        </is>
      </c>
      <c r="I5" s="15" t="inlineStr">
        <is>
          <t>입사일</t>
        </is>
      </c>
      <c r="J5" s="15" t="inlineStr">
        <is>
          <t>근속연수</t>
        </is>
      </c>
      <c r="K5" s="15" t="inlineStr">
        <is>
          <t>기존연봉</t>
        </is>
      </c>
      <c r="L5" s="15" t="inlineStr">
        <is>
          <t>주요 책무 수</t>
        </is>
      </c>
      <c r="M5" s="15" t="inlineStr">
        <is>
          <t>조회키(직무_등급)</t>
        </is>
      </c>
      <c r="N5" s="15" t="inlineStr">
        <is>
          <t>비고</t>
        </is>
      </c>
    </row>
    <row r="6" ht="22.05" customHeight="1" s="86">
      <c r="A6" s="12" t="n">
        <v>1</v>
      </c>
      <c r="B6" s="16" t="inlineStr">
        <is>
          <t>BSS-001</t>
        </is>
      </c>
      <c r="C6" s="1" t="inlineStr">
        <is>
          <t>이화형</t>
        </is>
      </c>
      <c r="D6" s="1" t="inlineStr">
        <is>
          <t>영업</t>
        </is>
      </c>
      <c r="E6" s="1" t="inlineStr">
        <is>
          <t>프로젝트영업</t>
        </is>
      </c>
      <c r="F6" s="1" t="inlineStr">
        <is>
          <t>스마트사업부</t>
        </is>
      </c>
      <c r="G6" s="16" t="inlineStr">
        <is>
          <t>전무</t>
        </is>
      </c>
      <c r="H6" s="17" t="inlineStr">
        <is>
          <t>G6</t>
        </is>
      </c>
      <c r="I6" s="16" t="inlineStr">
        <is>
          <t>2014-01-08</t>
        </is>
      </c>
      <c r="J6" s="13">
        <f>IFERROR(ROUND((TODAY()-DATEVALUE(I6))/365,1),"")</f>
        <v/>
      </c>
      <c r="K6" s="18" t="n">
        <v>72500000</v>
      </c>
      <c r="L6" s="13">
        <f>IFERROR(INDEX('15_직원별책무매핑'!$E:$E,MATCH(B6,'15_직원별책무매핑'!$B:$B,0)),0)</f>
        <v/>
      </c>
      <c r="M6" s="81">
        <f>E6&amp;"_"&amp;H6</f>
        <v/>
      </c>
      <c r="N6" s="1" t="n"/>
    </row>
    <row r="7" ht="22.05" customHeight="1" s="86">
      <c r="A7" s="12" t="n">
        <v>2</v>
      </c>
      <c r="B7" s="16" t="inlineStr">
        <is>
          <t>BSS-002</t>
        </is>
      </c>
      <c r="C7" s="1" t="inlineStr">
        <is>
          <t>강전용</t>
        </is>
      </c>
      <c r="D7" s="1" t="inlineStr">
        <is>
          <t>연구&amp;개발</t>
        </is>
      </c>
      <c r="E7" s="1" t="inlineStr">
        <is>
          <t>연구개발(R&amp;D)</t>
        </is>
      </c>
      <c r="F7" s="1" t="inlineStr">
        <is>
          <t>R&amp;D본부</t>
        </is>
      </c>
      <c r="G7" s="16" t="inlineStr">
        <is>
          <t>상무</t>
        </is>
      </c>
      <c r="H7" s="17" t="inlineStr">
        <is>
          <t>G6</t>
        </is>
      </c>
      <c r="I7" s="16" t="inlineStr">
        <is>
          <t>2014-02-15</t>
        </is>
      </c>
      <c r="J7" s="13">
        <f>IFERROR(ROUND((TODAY()-DATEVALUE(I7))/365,1),"")</f>
        <v/>
      </c>
      <c r="K7" s="18" t="n">
        <v>68870000</v>
      </c>
      <c r="L7" s="13">
        <f>IFERROR(INDEX('15_직원별책무매핑'!$E:$E,MATCH(B7,'15_직원별책무매핑'!$B:$B,0)),0)</f>
        <v/>
      </c>
      <c r="M7" s="81">
        <f>E7&amp;"_"&amp;H7</f>
        <v/>
      </c>
      <c r="N7" s="1" t="n"/>
    </row>
    <row r="8" ht="22.05" customHeight="1" s="86">
      <c r="A8" s="12" t="n">
        <v>3</v>
      </c>
      <c r="B8" s="16" t="inlineStr">
        <is>
          <t>BSS-003</t>
        </is>
      </c>
      <c r="C8" s="1" t="inlineStr">
        <is>
          <t>김현민</t>
        </is>
      </c>
      <c r="D8" s="1" t="inlineStr">
        <is>
          <t>설계</t>
        </is>
      </c>
      <c r="E8" s="1" t="inlineStr">
        <is>
          <t>BIM컨설팅</t>
        </is>
      </c>
      <c r="F8" s="1" t="inlineStr">
        <is>
          <t>컨설팅본부</t>
        </is>
      </c>
      <c r="G8" s="16" t="inlineStr">
        <is>
          <t>상무</t>
        </is>
      </c>
      <c r="H8" s="17" t="inlineStr">
        <is>
          <t>G6</t>
        </is>
      </c>
      <c r="I8" s="16" t="inlineStr">
        <is>
          <t>2014-03-22</t>
        </is>
      </c>
      <c r="J8" s="13">
        <f>IFERROR(ROUND((TODAY()-DATEVALUE(I8))/365,1),"")</f>
        <v/>
      </c>
      <c r="K8" s="18" t="n">
        <v>67500000</v>
      </c>
      <c r="L8" s="13">
        <f>IFERROR(INDEX('15_직원별책무매핑'!$E:$E,MATCH(B8,'15_직원별책무매핑'!$B:$B,0)),0)</f>
        <v/>
      </c>
      <c r="M8" s="81">
        <f>E8&amp;"_"&amp;H8</f>
        <v/>
      </c>
      <c r="N8" s="1" t="n"/>
    </row>
    <row r="9" ht="22.05" customHeight="1" s="86">
      <c r="A9" s="12" t="n">
        <v>4</v>
      </c>
      <c r="B9" s="16" t="inlineStr">
        <is>
          <t>BSS-004</t>
        </is>
      </c>
      <c r="C9" s="1" t="inlineStr">
        <is>
          <t>이일곤</t>
        </is>
      </c>
      <c r="D9" s="1" t="inlineStr">
        <is>
          <t>경영관리</t>
        </is>
      </c>
      <c r="E9" s="1" t="inlineStr">
        <is>
          <t>경영전략기획</t>
        </is>
      </c>
      <c r="F9" s="1" t="inlineStr">
        <is>
          <t>경영전략실</t>
        </is>
      </c>
      <c r="G9" s="16" t="inlineStr">
        <is>
          <t>이사</t>
        </is>
      </c>
      <c r="H9" s="17" t="inlineStr">
        <is>
          <t>G6</t>
        </is>
      </c>
      <c r="I9" s="16" t="inlineStr">
        <is>
          <t>2014-04-01</t>
        </is>
      </c>
      <c r="J9" s="13">
        <f>IFERROR(ROUND((TODAY()-DATEVALUE(I9))/365,1),"")</f>
        <v/>
      </c>
      <c r="K9" s="18" t="n">
        <v>64530000</v>
      </c>
      <c r="L9" s="13">
        <f>IFERROR(INDEX('15_직원별책무매핑'!$E:$E,MATCH(B9,'15_직원별책무매핑'!$B:$B,0)),0)</f>
        <v/>
      </c>
      <c r="M9" s="81">
        <f>E9&amp;"_"&amp;H9</f>
        <v/>
      </c>
      <c r="N9" s="1" t="n"/>
    </row>
    <row r="10" ht="22.05" customHeight="1" s="86">
      <c r="A10" s="12" t="n">
        <v>5</v>
      </c>
      <c r="B10" s="16" t="inlineStr">
        <is>
          <t>BSS-005</t>
        </is>
      </c>
      <c r="C10" s="1" t="inlineStr">
        <is>
          <t>송헌영</t>
        </is>
      </c>
      <c r="D10" s="1" t="inlineStr">
        <is>
          <t>경영관리</t>
        </is>
      </c>
      <c r="E10" s="1" t="inlineStr">
        <is>
          <t>경영전략기획</t>
        </is>
      </c>
      <c r="F10" s="1" t="inlineStr">
        <is>
          <t>경영전략실</t>
        </is>
      </c>
      <c r="G10" s="16" t="inlineStr">
        <is>
          <t>이사</t>
        </is>
      </c>
      <c r="H10" s="17" t="inlineStr">
        <is>
          <t>G6</t>
        </is>
      </c>
      <c r="I10" s="16" t="inlineStr">
        <is>
          <t>2015-05-08</t>
        </is>
      </c>
      <c r="J10" s="13">
        <f>IFERROR(ROUND((TODAY()-DATEVALUE(I10))/365,1),"")</f>
        <v/>
      </c>
      <c r="K10" s="18" t="n">
        <v>65180000</v>
      </c>
      <c r="L10" s="13">
        <f>IFERROR(INDEX('15_직원별책무매핑'!$E:$E,MATCH(B10,'15_직원별책무매핑'!$B:$B,0)),0)</f>
        <v/>
      </c>
      <c r="M10" s="81">
        <f>E10&amp;"_"&amp;H10</f>
        <v/>
      </c>
      <c r="N10" s="1" t="n"/>
    </row>
    <row r="11" ht="22.05" customHeight="1" s="86">
      <c r="A11" s="12" t="n">
        <v>6</v>
      </c>
      <c r="B11" s="16" t="inlineStr">
        <is>
          <t>BSS-006</t>
        </is>
      </c>
      <c r="C11" s="1" t="inlineStr">
        <is>
          <t>이재용</t>
        </is>
      </c>
      <c r="D11" s="1" t="inlineStr">
        <is>
          <t>경영관리</t>
        </is>
      </c>
      <c r="E11" s="1" t="inlineStr">
        <is>
          <t>경영전략기획</t>
        </is>
      </c>
      <c r="F11" s="1" t="inlineStr">
        <is>
          <t>경영전략실</t>
        </is>
      </c>
      <c r="G11" s="16" t="inlineStr">
        <is>
          <t>이사</t>
        </is>
      </c>
      <c r="H11" s="17" t="inlineStr">
        <is>
          <t>G6</t>
        </is>
      </c>
      <c r="I11" s="16" t="inlineStr">
        <is>
          <t>2015-06-15</t>
        </is>
      </c>
      <c r="J11" s="13">
        <f>IFERROR(ROUND((TODAY()-DATEVALUE(I11))/365,1),"")</f>
        <v/>
      </c>
      <c r="K11" s="18" t="n">
        <v>62000000</v>
      </c>
      <c r="L11" s="13">
        <f>IFERROR(INDEX('15_직원별책무매핑'!$E:$E,MATCH(B11,'15_직원별책무매핑'!$B:$B,0)),0)</f>
        <v/>
      </c>
      <c r="M11" s="81">
        <f>E11&amp;"_"&amp;H11</f>
        <v/>
      </c>
      <c r="N11" s="1" t="n"/>
    </row>
    <row r="12" ht="22.05" customHeight="1" s="86">
      <c r="A12" s="12" t="n">
        <v>7</v>
      </c>
      <c r="B12" s="16" t="inlineStr">
        <is>
          <t>BSS-007</t>
        </is>
      </c>
      <c r="C12" s="1" t="inlineStr">
        <is>
          <t>이진행</t>
        </is>
      </c>
      <c r="D12" s="1" t="inlineStr">
        <is>
          <t>교육 및 기술지원</t>
        </is>
      </c>
      <c r="E12" s="1" t="inlineStr">
        <is>
          <t>교육</t>
        </is>
      </c>
      <c r="F12" s="1" t="inlineStr">
        <is>
          <t>솔루션본부</t>
        </is>
      </c>
      <c r="G12" s="16" t="inlineStr">
        <is>
          <t>부장</t>
        </is>
      </c>
      <c r="H12" s="17" t="inlineStr">
        <is>
          <t>G5-M</t>
        </is>
      </c>
      <c r="I12" s="16" t="inlineStr">
        <is>
          <t>2015-07-22</t>
        </is>
      </c>
      <c r="J12" s="13">
        <f>IFERROR(ROUND((TODAY()-DATEVALUE(I12))/365,1),"")</f>
        <v/>
      </c>
      <c r="K12" s="18" t="n">
        <v>59700000</v>
      </c>
      <c r="L12" s="13">
        <f>IFERROR(INDEX('15_직원별책무매핑'!$E:$E,MATCH(B12,'15_직원별책무매핑'!$B:$B,0)),0)</f>
        <v/>
      </c>
      <c r="M12" s="81">
        <f>E12&amp;"_"&amp;H12</f>
        <v/>
      </c>
      <c r="N12" s="1" t="n"/>
    </row>
    <row r="13" ht="22.05" customHeight="1" s="86">
      <c r="A13" s="12" t="n">
        <v>8</v>
      </c>
      <c r="B13" s="16" t="inlineStr">
        <is>
          <t>BSS-008</t>
        </is>
      </c>
      <c r="C13" s="1" t="inlineStr">
        <is>
          <t>김민수</t>
        </is>
      </c>
      <c r="D13" s="1" t="inlineStr">
        <is>
          <t>교육 및 기술지원</t>
        </is>
      </c>
      <c r="E13" s="1" t="inlineStr">
        <is>
          <t>기술지원</t>
        </is>
      </c>
      <c r="F13" s="1" t="inlineStr">
        <is>
          <t>솔루션본부</t>
        </is>
      </c>
      <c r="G13" s="16" t="inlineStr">
        <is>
          <t>부장</t>
        </is>
      </c>
      <c r="H13" s="17" t="inlineStr">
        <is>
          <t>G5-M</t>
        </is>
      </c>
      <c r="I13" s="16" t="inlineStr">
        <is>
          <t>2015-08-01</t>
        </is>
      </c>
      <c r="J13" s="13">
        <f>IFERROR(ROUND((TODAY()-DATEVALUE(I13))/365,1),"")</f>
        <v/>
      </c>
      <c r="K13" s="18" t="n">
        <v>59050000</v>
      </c>
      <c r="L13" s="13">
        <f>IFERROR(INDEX('15_직원별책무매핑'!$E:$E,MATCH(B13,'15_직원별책무매핑'!$B:$B,0)),0)</f>
        <v/>
      </c>
      <c r="M13" s="81">
        <f>E13&amp;"_"&amp;H13</f>
        <v/>
      </c>
      <c r="N13" s="1" t="n"/>
    </row>
    <row r="14" ht="22.05" customHeight="1" s="86">
      <c r="A14" s="12" t="n">
        <v>9</v>
      </c>
      <c r="B14" s="16" t="inlineStr">
        <is>
          <t>BSS-009</t>
        </is>
      </c>
      <c r="C14" s="1" t="inlineStr">
        <is>
          <t>박남식</t>
        </is>
      </c>
      <c r="D14" s="1" t="inlineStr">
        <is>
          <t>설계</t>
        </is>
      </c>
      <c r="E14" s="1" t="inlineStr">
        <is>
          <t>BIM컨설팅</t>
        </is>
      </c>
      <c r="F14" s="1" t="inlineStr">
        <is>
          <t>컨설팅본부</t>
        </is>
      </c>
      <c r="G14" s="16" t="inlineStr">
        <is>
          <t>부장</t>
        </is>
      </c>
      <c r="H14" s="17" t="inlineStr">
        <is>
          <t>G5-M</t>
        </is>
      </c>
      <c r="I14" s="16" t="inlineStr">
        <is>
          <t>2016-09-08</t>
        </is>
      </c>
      <c r="J14" s="13">
        <f>IFERROR(ROUND((TODAY()-DATEVALUE(I14))/365,1),"")</f>
        <v/>
      </c>
      <c r="K14" s="18" t="n">
        <v>59050000</v>
      </c>
      <c r="L14" s="13">
        <f>IFERROR(INDEX('15_직원별책무매핑'!$E:$E,MATCH(B14,'15_직원별책무매핑'!$B:$B,0)),0)</f>
        <v/>
      </c>
      <c r="M14" s="81">
        <f>E14&amp;"_"&amp;H14</f>
        <v/>
      </c>
      <c r="N14" s="1" t="n"/>
    </row>
    <row r="15" ht="22.05" customHeight="1" s="86">
      <c r="A15" s="12" t="n">
        <v>10</v>
      </c>
      <c r="B15" s="16" t="inlineStr">
        <is>
          <t>BSS-010</t>
        </is>
      </c>
      <c r="C15" s="1" t="inlineStr">
        <is>
          <t>신재민</t>
        </is>
      </c>
      <c r="D15" s="1" t="inlineStr">
        <is>
          <t>설계</t>
        </is>
      </c>
      <c r="E15" s="1" t="inlineStr">
        <is>
          <t>BIM컨설팅</t>
        </is>
      </c>
      <c r="F15" s="1" t="inlineStr">
        <is>
          <t>컨설팅본부</t>
        </is>
      </c>
      <c r="G15" s="16" t="inlineStr">
        <is>
          <t>부장</t>
        </is>
      </c>
      <c r="H15" s="17" t="inlineStr">
        <is>
          <t>G5-S</t>
        </is>
      </c>
      <c r="I15" s="16" t="inlineStr">
        <is>
          <t>2016-10-15</t>
        </is>
      </c>
      <c r="J15" s="13">
        <f>IFERROR(ROUND((TODAY()-DATEVALUE(I15))/365,1),"")</f>
        <v/>
      </c>
      <c r="K15" s="18" t="n">
        <v>59050000</v>
      </c>
      <c r="L15" s="13">
        <f>IFERROR(INDEX('15_직원별책무매핑'!$E:$E,MATCH(B15,'15_직원별책무매핑'!$B:$B,0)),0)</f>
        <v/>
      </c>
      <c r="M15" s="81">
        <f>E15&amp;"_"&amp;H15</f>
        <v/>
      </c>
      <c r="N15" s="1" t="n"/>
    </row>
    <row r="16" ht="22.05" customHeight="1" s="86">
      <c r="A16" s="12" t="n">
        <v>11</v>
      </c>
      <c r="B16" s="16" t="inlineStr">
        <is>
          <t>BSS-011</t>
        </is>
      </c>
      <c r="C16" s="1" t="inlineStr">
        <is>
          <t>마장엽</t>
        </is>
      </c>
      <c r="D16" s="1" t="inlineStr">
        <is>
          <t>설계</t>
        </is>
      </c>
      <c r="E16" s="1" t="inlineStr">
        <is>
          <t>BIM컨설팅</t>
        </is>
      </c>
      <c r="F16" s="1" t="inlineStr">
        <is>
          <t>컨설팅본부</t>
        </is>
      </c>
      <c r="G16" s="16" t="inlineStr">
        <is>
          <t>부장</t>
        </is>
      </c>
      <c r="H16" s="17" t="inlineStr">
        <is>
          <t>G5-S</t>
        </is>
      </c>
      <c r="I16" s="16" t="inlineStr">
        <is>
          <t>2016-11-22</t>
        </is>
      </c>
      <c r="J16" s="13">
        <f>IFERROR(ROUND((TODAY()-DATEVALUE(I16))/365,1),"")</f>
        <v/>
      </c>
      <c r="K16" s="18" t="n">
        <v>57760000</v>
      </c>
      <c r="L16" s="13">
        <f>IFERROR(INDEX('15_직원별책무매핑'!$E:$E,MATCH(B16,'15_직원별책무매핑'!$B:$B,0)),0)</f>
        <v/>
      </c>
      <c r="M16" s="81">
        <f>E16&amp;"_"&amp;H16</f>
        <v/>
      </c>
      <c r="N16" s="1" t="n"/>
    </row>
    <row r="17" ht="22.05" customHeight="1" s="86">
      <c r="A17" s="12" t="n">
        <v>12</v>
      </c>
      <c r="B17" s="16" t="inlineStr">
        <is>
          <t>BSS-012</t>
        </is>
      </c>
      <c r="C17" s="1" t="inlineStr">
        <is>
          <t>하은주</t>
        </is>
      </c>
      <c r="D17" s="1" t="inlineStr">
        <is>
          <t>경영관리</t>
        </is>
      </c>
      <c r="E17" s="1" t="inlineStr">
        <is>
          <t>경영전략기획</t>
        </is>
      </c>
      <c r="F17" s="1" t="inlineStr">
        <is>
          <t>마케팅팀</t>
        </is>
      </c>
      <c r="G17" s="16" t="inlineStr">
        <is>
          <t>부장</t>
        </is>
      </c>
      <c r="H17" s="17" t="inlineStr">
        <is>
          <t>G5-M</t>
        </is>
      </c>
      <c r="I17" s="16" t="inlineStr">
        <is>
          <t>2016-12-01</t>
        </is>
      </c>
      <c r="J17" s="13">
        <f>IFERROR(ROUND((TODAY()-DATEVALUE(I17))/365,1),"")</f>
        <v/>
      </c>
      <c r="K17" s="18" t="n">
        <v>57760000</v>
      </c>
      <c r="L17" s="13">
        <f>IFERROR(INDEX('15_직원별책무매핑'!$E:$E,MATCH(B17,'15_직원별책무매핑'!$B:$B,0)),0)</f>
        <v/>
      </c>
      <c r="M17" s="81">
        <f>E17&amp;"_"&amp;H17</f>
        <v/>
      </c>
      <c r="N17" s="1" t="n"/>
    </row>
    <row r="18" ht="22.05" customHeight="1" s="86">
      <c r="A18" s="12" t="n">
        <v>13</v>
      </c>
      <c r="B18" s="16" t="inlineStr">
        <is>
          <t>BSS-013</t>
        </is>
      </c>
      <c r="C18" s="1" t="inlineStr">
        <is>
          <t>홍사훈</t>
        </is>
      </c>
      <c r="D18" s="1" t="inlineStr">
        <is>
          <t>설계</t>
        </is>
      </c>
      <c r="E18" s="1" t="inlineStr">
        <is>
          <t>BIM컨설팅</t>
        </is>
      </c>
      <c r="F18" s="1" t="inlineStr">
        <is>
          <t>컨설팅본부</t>
        </is>
      </c>
      <c r="G18" s="16" t="inlineStr">
        <is>
          <t>부장</t>
        </is>
      </c>
      <c r="H18" s="17" t="inlineStr">
        <is>
          <t>G5-S</t>
        </is>
      </c>
      <c r="I18" s="16" t="inlineStr">
        <is>
          <t>2017-01-08</t>
        </is>
      </c>
      <c r="J18" s="13">
        <f>IFERROR(ROUND((TODAY()-DATEVALUE(I18))/365,1),"")</f>
        <v/>
      </c>
      <c r="K18" s="18" t="n">
        <v>58400000</v>
      </c>
      <c r="L18" s="13">
        <f>IFERROR(INDEX('15_직원별책무매핑'!$E:$E,MATCH(B18,'15_직원별책무매핑'!$B:$B,0)),0)</f>
        <v/>
      </c>
      <c r="M18" s="81">
        <f>E18&amp;"_"&amp;H18</f>
        <v/>
      </c>
      <c r="N18" s="1" t="n"/>
    </row>
    <row r="19" ht="22.05" customHeight="1" s="86">
      <c r="A19" s="12" t="n">
        <v>14</v>
      </c>
      <c r="B19" s="16" t="inlineStr">
        <is>
          <t>BSS-014</t>
        </is>
      </c>
      <c r="C19" s="1" t="inlineStr">
        <is>
          <t>유자영</t>
        </is>
      </c>
      <c r="D19" s="1" t="inlineStr">
        <is>
          <t>설계</t>
        </is>
      </c>
      <c r="E19" s="1" t="inlineStr">
        <is>
          <t>BIM컨설팅</t>
        </is>
      </c>
      <c r="F19" s="1" t="inlineStr">
        <is>
          <t>컨설팅본부</t>
        </is>
      </c>
      <c r="G19" s="16" t="inlineStr">
        <is>
          <t>부장</t>
        </is>
      </c>
      <c r="H19" s="17" t="inlineStr">
        <is>
          <t>G5-S</t>
        </is>
      </c>
      <c r="I19" s="16" t="inlineStr">
        <is>
          <t>2017-02-15</t>
        </is>
      </c>
      <c r="J19" s="13">
        <f>IFERROR(ROUND((TODAY()-DATEVALUE(I19))/365,1),"")</f>
        <v/>
      </c>
      <c r="K19" s="18" t="n">
        <v>56500000</v>
      </c>
      <c r="L19" s="13">
        <f>IFERROR(INDEX('15_직원별책무매핑'!$E:$E,MATCH(B19,'15_직원별책무매핑'!$B:$B,0)),0)</f>
        <v/>
      </c>
      <c r="M19" s="81">
        <f>E19&amp;"_"&amp;H19</f>
        <v/>
      </c>
      <c r="N19" s="1" t="n"/>
    </row>
    <row r="20" ht="22.05" customHeight="1" s="86">
      <c r="A20" s="12" t="n">
        <v>15</v>
      </c>
      <c r="B20" s="16" t="inlineStr">
        <is>
          <t>BSS-015</t>
        </is>
      </c>
      <c r="C20" s="1" t="inlineStr">
        <is>
          <t>민지선</t>
        </is>
      </c>
      <c r="D20" s="1" t="inlineStr">
        <is>
          <t>설계</t>
        </is>
      </c>
      <c r="E20" s="1" t="inlineStr">
        <is>
          <t>BIM컨설팅</t>
        </is>
      </c>
      <c r="F20" s="1" t="inlineStr">
        <is>
          <t>컨설팅본부</t>
        </is>
      </c>
      <c r="G20" s="16" t="inlineStr">
        <is>
          <t>차장</t>
        </is>
      </c>
      <c r="H20" s="17" t="inlineStr">
        <is>
          <t>G5-S</t>
        </is>
      </c>
      <c r="I20" s="16" t="inlineStr">
        <is>
          <t>2017-03-22</t>
        </is>
      </c>
      <c r="J20" s="13">
        <f>IFERROR(ROUND((TODAY()-DATEVALUE(I20))/365,1),"")</f>
        <v/>
      </c>
      <c r="K20" s="18" t="n">
        <v>53160000</v>
      </c>
      <c r="L20" s="13">
        <f>IFERROR(INDEX('15_직원별책무매핑'!$E:$E,MATCH(B20,'15_직원별책무매핑'!$B:$B,0)),0)</f>
        <v/>
      </c>
      <c r="M20" s="81">
        <f>E20&amp;"_"&amp;H20</f>
        <v/>
      </c>
      <c r="N20" s="1" t="n"/>
    </row>
    <row r="21" ht="22.05" customHeight="1" s="86">
      <c r="A21" s="12" t="n">
        <v>16</v>
      </c>
      <c r="B21" s="16" t="inlineStr">
        <is>
          <t>BSS-016</t>
        </is>
      </c>
      <c r="C21" s="1" t="inlineStr">
        <is>
          <t>장훈</t>
        </is>
      </c>
      <c r="D21" s="1" t="inlineStr">
        <is>
          <t>설계</t>
        </is>
      </c>
      <c r="E21" s="1" t="inlineStr">
        <is>
          <t>BIM컨설팅</t>
        </is>
      </c>
      <c r="F21" s="1" t="inlineStr">
        <is>
          <t>컨설팅본부</t>
        </is>
      </c>
      <c r="G21" s="16" t="inlineStr">
        <is>
          <t>차장</t>
        </is>
      </c>
      <c r="H21" s="17" t="inlineStr">
        <is>
          <t>G5-S</t>
        </is>
      </c>
      <c r="I21" s="16" t="inlineStr">
        <is>
          <t>2017-04-01</t>
        </is>
      </c>
      <c r="J21" s="13">
        <f>IFERROR(ROUND((TODAY()-DATEVALUE(I21))/365,1),"")</f>
        <v/>
      </c>
      <c r="K21" s="18" t="n">
        <v>53750000</v>
      </c>
      <c r="L21" s="13">
        <f>IFERROR(INDEX('15_직원별책무매핑'!$E:$E,MATCH(B21,'15_직원별책무매핑'!$B:$B,0)),0)</f>
        <v/>
      </c>
      <c r="M21" s="81">
        <f>E21&amp;"_"&amp;H21</f>
        <v/>
      </c>
      <c r="N21" s="1" t="n"/>
    </row>
    <row r="22" ht="22.05" customHeight="1" s="86">
      <c r="A22" s="12" t="n">
        <v>17</v>
      </c>
      <c r="B22" s="16" t="inlineStr">
        <is>
          <t>BSS-017</t>
        </is>
      </c>
      <c r="C22" s="1" t="inlineStr">
        <is>
          <t>김우람</t>
        </is>
      </c>
      <c r="D22" s="1" t="inlineStr">
        <is>
          <t>교육 및 기술지원</t>
        </is>
      </c>
      <c r="E22" s="1" t="inlineStr">
        <is>
          <t>교육</t>
        </is>
      </c>
      <c r="F22" s="1" t="inlineStr">
        <is>
          <t>솔루션본부</t>
        </is>
      </c>
      <c r="G22" s="16" t="inlineStr">
        <is>
          <t>과장</t>
        </is>
      </c>
      <c r="H22" s="17" t="inlineStr">
        <is>
          <t>G4</t>
        </is>
      </c>
      <c r="I22" s="16" t="inlineStr">
        <is>
          <t>2018-05-08</t>
        </is>
      </c>
      <c r="J22" s="13">
        <f>IFERROR(ROUND((TODAY()-DATEVALUE(I22))/365,1),"")</f>
        <v/>
      </c>
      <c r="K22" s="18" t="n">
        <v>49240000</v>
      </c>
      <c r="L22" s="13">
        <f>IFERROR(INDEX('15_직원별책무매핑'!$E:$E,MATCH(B22,'15_직원별책무매핑'!$B:$B,0)),0)</f>
        <v/>
      </c>
      <c r="M22" s="81">
        <f>E22&amp;"_"&amp;H22</f>
        <v/>
      </c>
      <c r="N22" s="1" t="n"/>
    </row>
    <row r="23" ht="22.05" customHeight="1" s="86">
      <c r="A23" s="12" t="n">
        <v>18</v>
      </c>
      <c r="B23" s="16" t="inlineStr">
        <is>
          <t>BSS-018</t>
        </is>
      </c>
      <c r="C23" s="1" t="inlineStr">
        <is>
          <t>조성준</t>
        </is>
      </c>
      <c r="D23" s="1" t="inlineStr">
        <is>
          <t>설계</t>
        </is>
      </c>
      <c r="E23" s="1" t="inlineStr">
        <is>
          <t>BIM컨설팅</t>
        </is>
      </c>
      <c r="F23" s="1" t="inlineStr">
        <is>
          <t>컨설팅본부</t>
        </is>
      </c>
      <c r="G23" s="16" t="inlineStr">
        <is>
          <t>과장</t>
        </is>
      </c>
      <c r="H23" s="17" t="inlineStr">
        <is>
          <t>G4</t>
        </is>
      </c>
      <c r="I23" s="16" t="inlineStr">
        <is>
          <t>2018-06-15</t>
        </is>
      </c>
      <c r="J23" s="13">
        <f>IFERROR(ROUND((TODAY()-DATEVALUE(I23))/365,1),"")</f>
        <v/>
      </c>
      <c r="K23" s="18" t="n">
        <v>48650000</v>
      </c>
      <c r="L23" s="13">
        <f>IFERROR(INDEX('15_직원별책무매핑'!$E:$E,MATCH(B23,'15_직원별책무매핑'!$B:$B,0)),0)</f>
        <v/>
      </c>
      <c r="M23" s="81">
        <f>E23&amp;"_"&amp;H23</f>
        <v/>
      </c>
      <c r="N23" s="1" t="n"/>
    </row>
    <row r="24" ht="22.05" customHeight="1" s="86">
      <c r="A24" s="12" t="n">
        <v>19</v>
      </c>
      <c r="B24" s="16" t="inlineStr">
        <is>
          <t>BSS-019</t>
        </is>
      </c>
      <c r="C24" s="1" t="inlineStr">
        <is>
          <t>구서현</t>
        </is>
      </c>
      <c r="D24" s="1" t="inlineStr">
        <is>
          <t>설계</t>
        </is>
      </c>
      <c r="E24" s="1" t="inlineStr">
        <is>
          <t>BIM컨설팅</t>
        </is>
      </c>
      <c r="F24" s="1" t="inlineStr">
        <is>
          <t>컨설팅본부</t>
        </is>
      </c>
      <c r="G24" s="16" t="inlineStr">
        <is>
          <t>과장</t>
        </is>
      </c>
      <c r="H24" s="17" t="inlineStr">
        <is>
          <t>G3</t>
        </is>
      </c>
      <c r="I24" s="16" t="inlineStr">
        <is>
          <t>2018-07-22</t>
        </is>
      </c>
      <c r="J24" s="13">
        <f>IFERROR(ROUND((TODAY()-DATEVALUE(I24))/365,1),"")</f>
        <v/>
      </c>
      <c r="K24" s="18" t="n">
        <v>47500000</v>
      </c>
      <c r="L24" s="13">
        <f>IFERROR(INDEX('15_직원별책무매핑'!$E:$E,MATCH(B24,'15_직원별책무매핑'!$B:$B,0)),0)</f>
        <v/>
      </c>
      <c r="M24" s="81">
        <f>E24&amp;"_"&amp;H24</f>
        <v/>
      </c>
      <c r="N24" s="1" t="n"/>
    </row>
    <row r="25" ht="22.05" customHeight="1" s="86">
      <c r="A25" s="12" t="n">
        <v>20</v>
      </c>
      <c r="B25" s="16" t="inlineStr">
        <is>
          <t>BSS-020</t>
        </is>
      </c>
      <c r="C25" s="1" t="inlineStr">
        <is>
          <t>박진용</t>
        </is>
      </c>
      <c r="D25" s="1" t="inlineStr">
        <is>
          <t>교육 및 기술지원</t>
        </is>
      </c>
      <c r="E25" s="1" t="inlineStr">
        <is>
          <t>기술지원</t>
        </is>
      </c>
      <c r="F25" s="1" t="inlineStr">
        <is>
          <t>솔루션본부</t>
        </is>
      </c>
      <c r="G25" s="16" t="inlineStr">
        <is>
          <t>대리</t>
        </is>
      </c>
      <c r="H25" s="17" t="inlineStr">
        <is>
          <t>G3</t>
        </is>
      </c>
      <c r="I25" s="16" t="inlineStr">
        <is>
          <t>2018-08-01</t>
        </is>
      </c>
      <c r="J25" s="13">
        <f>IFERROR(ROUND((TODAY()-DATEVALUE(I25))/365,1),"")</f>
        <v/>
      </c>
      <c r="K25" s="18" t="n">
        <v>43060000</v>
      </c>
      <c r="L25" s="13">
        <f>IFERROR(INDEX('15_직원별책무매핑'!$E:$E,MATCH(B25,'15_직원별책무매핑'!$B:$B,0)),0)</f>
        <v/>
      </c>
      <c r="M25" s="81">
        <f>E25&amp;"_"&amp;H25</f>
        <v/>
      </c>
      <c r="N25" s="1" t="n"/>
    </row>
    <row r="26" ht="22.05" customHeight="1" s="86">
      <c r="A26" s="12" t="n">
        <v>21</v>
      </c>
      <c r="B26" s="16" t="inlineStr">
        <is>
          <t>BSS-021</t>
        </is>
      </c>
      <c r="C26" s="1" t="inlineStr">
        <is>
          <t>김가연</t>
        </is>
      </c>
      <c r="D26" s="1" t="inlineStr">
        <is>
          <t>설계</t>
        </is>
      </c>
      <c r="E26" s="1" t="inlineStr">
        <is>
          <t>BIM컨설팅</t>
        </is>
      </c>
      <c r="F26" s="1" t="inlineStr">
        <is>
          <t>컨설팅본부</t>
        </is>
      </c>
      <c r="G26" s="16" t="inlineStr">
        <is>
          <t>대리</t>
        </is>
      </c>
      <c r="H26" s="17" t="inlineStr">
        <is>
          <t>G2</t>
        </is>
      </c>
      <c r="I26" s="16" t="inlineStr">
        <is>
          <t>2019-09-08</t>
        </is>
      </c>
      <c r="J26" s="13">
        <f>IFERROR(ROUND((TODAY()-DATEVALUE(I26))/365,1),"")</f>
        <v/>
      </c>
      <c r="K26" s="18" t="n">
        <v>42500000</v>
      </c>
      <c r="L26" s="13">
        <f>IFERROR(INDEX('15_직원별책무매핑'!$E:$E,MATCH(B26,'15_직원별책무매핑'!$B:$B,0)),0)</f>
        <v/>
      </c>
      <c r="M26" s="81">
        <f>E26&amp;"_"&amp;H26</f>
        <v/>
      </c>
      <c r="N26" s="1" t="n"/>
    </row>
    <row r="27" ht="22.05" customHeight="1" s="86">
      <c r="A27" s="12" t="n">
        <v>22</v>
      </c>
      <c r="B27" s="16" t="inlineStr">
        <is>
          <t>BSS-022</t>
        </is>
      </c>
      <c r="C27" s="1" t="inlineStr">
        <is>
          <t>한근수</t>
        </is>
      </c>
      <c r="D27" s="1" t="inlineStr">
        <is>
          <t>설계</t>
        </is>
      </c>
      <c r="E27" s="1" t="inlineStr">
        <is>
          <t>BIM컨설팅</t>
        </is>
      </c>
      <c r="F27" s="1" t="inlineStr">
        <is>
          <t>컨설팅본부</t>
        </is>
      </c>
      <c r="G27" s="16" t="inlineStr">
        <is>
          <t>대리</t>
        </is>
      </c>
      <c r="H27" s="17" t="inlineStr">
        <is>
          <t>G2</t>
        </is>
      </c>
      <c r="I27" s="16" t="inlineStr">
        <is>
          <t>2019-10-15</t>
        </is>
      </c>
      <c r="J27" s="13">
        <f>IFERROR(ROUND((TODAY()-DATEVALUE(I27))/365,1),"")</f>
        <v/>
      </c>
      <c r="K27" s="18" t="n">
        <v>42500000</v>
      </c>
      <c r="L27" s="13">
        <f>IFERROR(INDEX('15_직원별책무매핑'!$E:$E,MATCH(B27,'15_직원별책무매핑'!$B:$B,0)),0)</f>
        <v/>
      </c>
      <c r="M27" s="81">
        <f>E27&amp;"_"&amp;H27</f>
        <v/>
      </c>
      <c r="N27" s="1" t="n"/>
    </row>
    <row r="28" ht="22.05" customHeight="1" s="86">
      <c r="A28" s="12" t="n">
        <v>23</v>
      </c>
      <c r="B28" s="16" t="inlineStr">
        <is>
          <t>BSS-023</t>
        </is>
      </c>
      <c r="C28" s="1" t="inlineStr">
        <is>
          <t>김성민</t>
        </is>
      </c>
      <c r="D28" s="1" t="inlineStr">
        <is>
          <t>설계</t>
        </is>
      </c>
      <c r="E28" s="1" t="inlineStr">
        <is>
          <t>BIM컨설팅</t>
        </is>
      </c>
      <c r="F28" s="1" t="inlineStr">
        <is>
          <t>컨설팅본부</t>
        </is>
      </c>
      <c r="G28" s="16" t="inlineStr">
        <is>
          <t>대리</t>
        </is>
      </c>
      <c r="H28" s="17" t="inlineStr">
        <is>
          <t>G2</t>
        </is>
      </c>
      <c r="I28" s="16" t="inlineStr">
        <is>
          <t>2019-11-22</t>
        </is>
      </c>
      <c r="J28" s="13">
        <f>IFERROR(ROUND((TODAY()-DATEVALUE(I28))/365,1),"")</f>
        <v/>
      </c>
      <c r="K28" s="18" t="n">
        <v>42500000</v>
      </c>
      <c r="L28" s="13">
        <f>IFERROR(INDEX('15_직원별책무매핑'!$E:$E,MATCH(B28,'15_직원별책무매핑'!$B:$B,0)),0)</f>
        <v/>
      </c>
      <c r="M28" s="81">
        <f>E28&amp;"_"&amp;H28</f>
        <v/>
      </c>
      <c r="N28" s="1" t="n"/>
    </row>
    <row r="29" ht="22.05" customHeight="1" s="86">
      <c r="A29" s="12" t="n">
        <v>24</v>
      </c>
      <c r="B29" s="16" t="inlineStr">
        <is>
          <t>BSS-024</t>
        </is>
      </c>
      <c r="C29" s="1" t="inlineStr">
        <is>
          <t>고광우</t>
        </is>
      </c>
      <c r="D29" s="1" t="inlineStr">
        <is>
          <t>설계</t>
        </is>
      </c>
      <c r="E29" s="1" t="inlineStr">
        <is>
          <t>BIM컨설팅</t>
        </is>
      </c>
      <c r="F29" s="1" t="inlineStr">
        <is>
          <t>컨설팅본부</t>
        </is>
      </c>
      <c r="G29" s="16" t="inlineStr">
        <is>
          <t>대리</t>
        </is>
      </c>
      <c r="H29" s="17" t="inlineStr">
        <is>
          <t>G2</t>
        </is>
      </c>
      <c r="I29" s="16" t="inlineStr">
        <is>
          <t>2019-12-01</t>
        </is>
      </c>
      <c r="J29" s="13">
        <f>IFERROR(ROUND((TODAY()-DATEVALUE(I29))/365,1),"")</f>
        <v/>
      </c>
      <c r="K29" s="18" t="n">
        <v>42500000</v>
      </c>
      <c r="L29" s="13">
        <f>IFERROR(INDEX('15_직원별책무매핑'!$E:$E,MATCH(B29,'15_직원별책무매핑'!$B:$B,0)),0)</f>
        <v/>
      </c>
      <c r="M29" s="81">
        <f>E29&amp;"_"&amp;H29</f>
        <v/>
      </c>
      <c r="N29" s="1" t="n"/>
    </row>
    <row r="30" ht="22.05" customHeight="1" s="86">
      <c r="A30" s="12" t="n">
        <v>25</v>
      </c>
      <c r="B30" s="16" t="inlineStr">
        <is>
          <t>BSS-025</t>
        </is>
      </c>
      <c r="C30" s="1" t="inlineStr">
        <is>
          <t>김성수</t>
        </is>
      </c>
      <c r="D30" s="1" t="inlineStr">
        <is>
          <t>연구&amp;개발</t>
        </is>
      </c>
      <c r="E30" s="1" t="inlineStr">
        <is>
          <t>연구개발(R&amp;D)</t>
        </is>
      </c>
      <c r="F30" s="1" t="inlineStr">
        <is>
          <t>컨설팅본부</t>
        </is>
      </c>
      <c r="G30" s="16" t="inlineStr">
        <is>
          <t>대리</t>
        </is>
      </c>
      <c r="H30" s="17" t="inlineStr">
        <is>
          <t>G2</t>
        </is>
      </c>
      <c r="I30" s="16" t="inlineStr">
        <is>
          <t>2020-01-08</t>
        </is>
      </c>
      <c r="J30" s="13">
        <f>IFERROR(ROUND((TODAY()-DATEVALUE(I30))/365,1),"")</f>
        <v/>
      </c>
      <c r="K30" s="18" t="n">
        <v>42500000</v>
      </c>
      <c r="L30" s="13">
        <f>IFERROR(INDEX('15_직원별책무매핑'!$E:$E,MATCH(B30,'15_직원별책무매핑'!$B:$B,0)),0)</f>
        <v/>
      </c>
      <c r="M30" s="81">
        <f>E30&amp;"_"&amp;H30</f>
        <v/>
      </c>
      <c r="N30" s="1" t="n"/>
    </row>
    <row r="31" ht="22.05" customHeight="1" s="86">
      <c r="A31" s="12" t="n">
        <v>26</v>
      </c>
      <c r="B31" s="16" t="inlineStr">
        <is>
          <t>BSS-026</t>
        </is>
      </c>
      <c r="C31" s="1" t="inlineStr">
        <is>
          <t>박진희</t>
        </is>
      </c>
      <c r="D31" s="1" t="inlineStr">
        <is>
          <t>경영관리</t>
        </is>
      </c>
      <c r="E31" s="1" t="inlineStr">
        <is>
          <t>경영전략기획</t>
        </is>
      </c>
      <c r="F31" s="1" t="inlineStr">
        <is>
          <t>마케팅팀</t>
        </is>
      </c>
      <c r="G31" s="16" t="inlineStr">
        <is>
          <t>주임</t>
        </is>
      </c>
      <c r="H31" s="17" t="inlineStr">
        <is>
          <t>G1</t>
        </is>
      </c>
      <c r="I31" s="16" t="inlineStr">
        <is>
          <t>2020-02-15</t>
        </is>
      </c>
      <c r="J31" s="13">
        <f>IFERROR(ROUND((TODAY()-DATEVALUE(I31))/365,1),"")</f>
        <v/>
      </c>
      <c r="K31" s="18" t="n">
        <v>34935000</v>
      </c>
      <c r="L31" s="13">
        <f>IFERROR(INDEX('15_직원별책무매핑'!$E:$E,MATCH(B31,'15_직원별책무매핑'!$B:$B,0)),0)</f>
        <v/>
      </c>
      <c r="M31" s="81">
        <f>E31&amp;"_"&amp;H31</f>
        <v/>
      </c>
      <c r="N31" s="1" t="n"/>
    </row>
    <row r="32" ht="22.05" customHeight="1" s="86">
      <c r="A32" s="12" t="n">
        <v>27</v>
      </c>
      <c r="B32" s="16" t="inlineStr">
        <is>
          <t>BSS-027</t>
        </is>
      </c>
      <c r="C32" s="1" t="inlineStr">
        <is>
          <t>장은한</t>
        </is>
      </c>
      <c r="D32" s="1" t="inlineStr">
        <is>
          <t>교육 및 기술지원</t>
        </is>
      </c>
      <c r="E32" s="1" t="inlineStr">
        <is>
          <t>교육</t>
        </is>
      </c>
      <c r="F32" s="1" t="inlineStr">
        <is>
          <t>솔루션본부</t>
        </is>
      </c>
      <c r="G32" s="16" t="inlineStr">
        <is>
          <t>주임</t>
        </is>
      </c>
      <c r="H32" s="17" t="inlineStr">
        <is>
          <t>G2</t>
        </is>
      </c>
      <c r="I32" s="16" t="inlineStr">
        <is>
          <t>2020-03-22</t>
        </is>
      </c>
      <c r="J32" s="13">
        <f>IFERROR(ROUND((TODAY()-DATEVALUE(I32))/365,1),"")</f>
        <v/>
      </c>
      <c r="K32" s="18" t="n">
        <v>35000000</v>
      </c>
      <c r="L32" s="13">
        <f>IFERROR(INDEX('15_직원별책무매핑'!$E:$E,MATCH(B32,'15_직원별책무매핑'!$B:$B,0)),0)</f>
        <v/>
      </c>
      <c r="M32" s="81">
        <f>E32&amp;"_"&amp;H32</f>
        <v/>
      </c>
      <c r="N32" s="1" t="n"/>
    </row>
    <row r="33" ht="22.05" customHeight="1" s="86">
      <c r="A33" s="12" t="n">
        <v>28</v>
      </c>
      <c r="B33" s="16" t="inlineStr">
        <is>
          <t>BSS-028</t>
        </is>
      </c>
      <c r="C33" s="1" t="inlineStr">
        <is>
          <t>김현수</t>
        </is>
      </c>
      <c r="D33" s="1" t="inlineStr">
        <is>
          <t>설계</t>
        </is>
      </c>
      <c r="E33" s="1" t="inlineStr">
        <is>
          <t>BIM컨설팅</t>
        </is>
      </c>
      <c r="F33" s="1" t="inlineStr">
        <is>
          <t>컨설팅본부</t>
        </is>
      </c>
      <c r="G33" s="16" t="inlineStr">
        <is>
          <t>주임</t>
        </is>
      </c>
      <c r="H33" s="17" t="inlineStr">
        <is>
          <t>G1</t>
        </is>
      </c>
      <c r="I33" s="16" t="inlineStr">
        <is>
          <t>2020-04-01</t>
        </is>
      </c>
      <c r="J33" s="13">
        <f>IFERROR(ROUND((TODAY()-DATEVALUE(I33))/365,1),"")</f>
        <v/>
      </c>
      <c r="K33" s="18" t="n">
        <v>36000000</v>
      </c>
      <c r="L33" s="13">
        <f>IFERROR(INDEX('15_직원별책무매핑'!$E:$E,MATCH(B33,'15_직원별책무매핑'!$B:$B,0)),0)</f>
        <v/>
      </c>
      <c r="M33" s="81">
        <f>E33&amp;"_"&amp;H33</f>
        <v/>
      </c>
      <c r="N33" s="1" t="n"/>
    </row>
    <row r="34" ht="22.05" customHeight="1" s="86">
      <c r="A34" s="12" t="n">
        <v>29</v>
      </c>
      <c r="B34" s="16" t="inlineStr">
        <is>
          <t>BSS-029</t>
        </is>
      </c>
      <c r="C34" s="1" t="inlineStr">
        <is>
          <t>콜셍홍</t>
        </is>
      </c>
      <c r="D34" s="1" t="inlineStr">
        <is>
          <t>설계</t>
        </is>
      </c>
      <c r="E34" s="1" t="inlineStr">
        <is>
          <t>BIM컨설팅</t>
        </is>
      </c>
      <c r="F34" s="1" t="inlineStr">
        <is>
          <t>컨설팅본부</t>
        </is>
      </c>
      <c r="G34" s="16" t="inlineStr">
        <is>
          <t>주임</t>
        </is>
      </c>
      <c r="H34" s="17" t="inlineStr">
        <is>
          <t>G1</t>
        </is>
      </c>
      <c r="I34" s="16" t="inlineStr">
        <is>
          <t>2021-05-08</t>
        </is>
      </c>
      <c r="J34" s="13">
        <f>IFERROR(ROUND((TODAY()-DATEVALUE(I34))/365,1),"")</f>
        <v/>
      </c>
      <c r="K34" s="18" t="n">
        <v>36000000</v>
      </c>
      <c r="L34" s="13">
        <f>IFERROR(INDEX('15_직원별책무매핑'!$E:$E,MATCH(B34,'15_직원별책무매핑'!$B:$B,0)),0)</f>
        <v/>
      </c>
      <c r="M34" s="81">
        <f>E34&amp;"_"&amp;H34</f>
        <v/>
      </c>
      <c r="N34" s="1" t="n"/>
    </row>
    <row r="35" ht="22.05" customHeight="1" s="86">
      <c r="A35" s="12" t="n">
        <v>30</v>
      </c>
      <c r="B35" s="16" t="inlineStr">
        <is>
          <t>BSS-030</t>
        </is>
      </c>
      <c r="C35" s="1" t="inlineStr">
        <is>
          <t>안성진</t>
        </is>
      </c>
      <c r="D35" s="1" t="inlineStr">
        <is>
          <t>설계</t>
        </is>
      </c>
      <c r="E35" s="1" t="inlineStr">
        <is>
          <t>BIM컨설팅</t>
        </is>
      </c>
      <c r="F35" s="1" t="inlineStr">
        <is>
          <t>컨설팅본부</t>
        </is>
      </c>
      <c r="G35" s="16" t="inlineStr">
        <is>
          <t>주임</t>
        </is>
      </c>
      <c r="H35" s="17" t="inlineStr">
        <is>
          <t>G1</t>
        </is>
      </c>
      <c r="I35" s="16" t="inlineStr">
        <is>
          <t>2021-06-15</t>
        </is>
      </c>
      <c r="J35" s="13">
        <f>IFERROR(ROUND((TODAY()-DATEVALUE(I35))/365,1),"")</f>
        <v/>
      </c>
      <c r="K35" s="18" t="n">
        <v>36540000</v>
      </c>
      <c r="L35" s="13">
        <f>IFERROR(INDEX('15_직원별책무매핑'!$E:$E,MATCH(B35,'15_직원별책무매핑'!$B:$B,0)),0)</f>
        <v/>
      </c>
      <c r="M35" s="81">
        <f>E35&amp;"_"&amp;H35</f>
        <v/>
      </c>
      <c r="N35" s="1" t="n"/>
    </row>
    <row r="36" ht="22.05" customHeight="1" s="86">
      <c r="A36" s="12" t="n">
        <v>31</v>
      </c>
      <c r="B36" s="16" t="inlineStr">
        <is>
          <t>BSS-031</t>
        </is>
      </c>
      <c r="C36" s="1" t="inlineStr">
        <is>
          <t>이정일</t>
        </is>
      </c>
      <c r="D36" s="1" t="inlineStr">
        <is>
          <t>설계</t>
        </is>
      </c>
      <c r="E36" s="1" t="inlineStr">
        <is>
          <t>BIM컨설팅</t>
        </is>
      </c>
      <c r="F36" s="1" t="inlineStr">
        <is>
          <t>컨설팅본부</t>
        </is>
      </c>
      <c r="G36" s="16" t="inlineStr">
        <is>
          <t>주임</t>
        </is>
      </c>
      <c r="H36" s="17" t="inlineStr">
        <is>
          <t>G1</t>
        </is>
      </c>
      <c r="I36" s="16" t="inlineStr">
        <is>
          <t>2021-07-22</t>
        </is>
      </c>
      <c r="J36" s="13">
        <f>IFERROR(ROUND((TODAY()-DATEVALUE(I36))/365,1),"")</f>
        <v/>
      </c>
      <c r="K36" s="18" t="n">
        <v>37090000</v>
      </c>
      <c r="L36" s="13">
        <f>IFERROR(INDEX('15_직원별책무매핑'!$E:$E,MATCH(B36,'15_직원별책무매핑'!$B:$B,0)),0)</f>
        <v/>
      </c>
      <c r="M36" s="81">
        <f>E36&amp;"_"&amp;H36</f>
        <v/>
      </c>
      <c r="N36" s="1" t="n"/>
    </row>
    <row r="37" ht="22.05" customHeight="1" s="86">
      <c r="A37" s="12" t="n">
        <v>32</v>
      </c>
      <c r="B37" s="16" t="inlineStr">
        <is>
          <t>BSS-032</t>
        </is>
      </c>
      <c r="C37" s="1" t="inlineStr">
        <is>
          <t>안재성</t>
        </is>
      </c>
      <c r="D37" s="1" t="inlineStr">
        <is>
          <t>설계</t>
        </is>
      </c>
      <c r="E37" s="1" t="inlineStr">
        <is>
          <t>BIM컨설팅</t>
        </is>
      </c>
      <c r="F37" s="1" t="inlineStr">
        <is>
          <t>컨설팅본부</t>
        </is>
      </c>
      <c r="G37" s="16" t="inlineStr">
        <is>
          <t>사원</t>
        </is>
      </c>
      <c r="H37" s="17" t="inlineStr">
        <is>
          <t>G1</t>
        </is>
      </c>
      <c r="I37" s="16" t="inlineStr">
        <is>
          <t>2021-08-01</t>
        </is>
      </c>
      <c r="J37" s="13">
        <f>IFERROR(ROUND((TODAY()-DATEVALUE(I37))/365,1),"")</f>
        <v/>
      </c>
      <c r="K37" s="18" t="n">
        <v>32000000</v>
      </c>
      <c r="L37" s="13">
        <f>IFERROR(INDEX('15_직원별책무매핑'!$E:$E,MATCH(B37,'15_직원별책무매핑'!$B:$B,0)),0)</f>
        <v/>
      </c>
      <c r="M37" s="81">
        <f>E37&amp;"_"&amp;H37</f>
        <v/>
      </c>
      <c r="N37" s="1" t="n"/>
    </row>
    <row r="38" ht="22.05" customHeight="1" s="86">
      <c r="A38" s="12" t="n">
        <v>33</v>
      </c>
      <c r="B38" s="16" t="inlineStr">
        <is>
          <t>BSS-033</t>
        </is>
      </c>
      <c r="C38" s="1" t="inlineStr">
        <is>
          <t>유태석</t>
        </is>
      </c>
      <c r="D38" s="1" t="inlineStr">
        <is>
          <t>설계</t>
        </is>
      </c>
      <c r="E38" s="1" t="inlineStr">
        <is>
          <t>BIM컨설팅</t>
        </is>
      </c>
      <c r="F38" s="1" t="inlineStr">
        <is>
          <t>컨설팅본부</t>
        </is>
      </c>
      <c r="G38" s="16" t="inlineStr">
        <is>
          <t>사원</t>
        </is>
      </c>
      <c r="H38" s="17" t="inlineStr">
        <is>
          <t>G1</t>
        </is>
      </c>
      <c r="I38" s="16" t="inlineStr">
        <is>
          <t>2022-09-08</t>
        </is>
      </c>
      <c r="J38" s="13">
        <f>IFERROR(ROUND((TODAY()-DATEVALUE(I38))/365,1),"")</f>
        <v/>
      </c>
      <c r="K38" s="18" t="n">
        <v>32000000</v>
      </c>
      <c r="L38" s="13">
        <f>IFERROR(INDEX('15_직원별책무매핑'!$E:$E,MATCH(B38,'15_직원별책무매핑'!$B:$B,0)),0)</f>
        <v/>
      </c>
      <c r="M38" s="81">
        <f>E38&amp;"_"&amp;H38</f>
        <v/>
      </c>
      <c r="N38" s="1" t="n"/>
    </row>
    <row r="39" ht="22.05" customHeight="1" s="86">
      <c r="A39" s="12" t="n">
        <v>34</v>
      </c>
      <c r="B39" s="16" t="inlineStr">
        <is>
          <t>BSS-034</t>
        </is>
      </c>
      <c r="C39" s="1" t="inlineStr">
        <is>
          <t>엄보근</t>
        </is>
      </c>
      <c r="D39" s="1" t="inlineStr">
        <is>
          <t>설계</t>
        </is>
      </c>
      <c r="E39" s="1" t="inlineStr">
        <is>
          <t>BIM컨설팅</t>
        </is>
      </c>
      <c r="F39" s="1" t="inlineStr">
        <is>
          <t>컨설팅본부</t>
        </is>
      </c>
      <c r="G39" s="16" t="inlineStr">
        <is>
          <t>사원</t>
        </is>
      </c>
      <c r="H39" s="17" t="inlineStr">
        <is>
          <t>G1</t>
        </is>
      </c>
      <c r="I39" s="16" t="inlineStr">
        <is>
          <t>2022-10-15</t>
        </is>
      </c>
      <c r="J39" s="13">
        <f>IFERROR(ROUND((TODAY()-DATEVALUE(I39))/365,1),"")</f>
        <v/>
      </c>
      <c r="K39" s="18" t="n">
        <v>32000000</v>
      </c>
      <c r="L39" s="13">
        <f>IFERROR(INDEX('15_직원별책무매핑'!$E:$E,MATCH(B39,'15_직원별책무매핑'!$B:$B,0)),0)</f>
        <v/>
      </c>
      <c r="M39" s="81">
        <f>E39&amp;"_"&amp;H39</f>
        <v/>
      </c>
      <c r="N39" s="1" t="n"/>
    </row>
    <row r="40">
      <c r="A40" s="94" t="n">
        <v>35</v>
      </c>
      <c r="B40" s="95" t="n"/>
      <c r="C40" s="95" t="n"/>
      <c r="D40" s="95" t="n"/>
      <c r="E40" s="95" t="n"/>
      <c r="F40" s="95" t="n"/>
      <c r="G40" s="95" t="n"/>
      <c r="H40" s="96" t="n"/>
      <c r="I40" s="95" t="n"/>
      <c r="J40" s="97">
        <f>IFERROR(IF(I40="","",ROUND((TODAY()-DATEVALUE(I40))/365,1)),"")</f>
        <v/>
      </c>
      <c r="K40" s="95" t="n"/>
      <c r="L40" s="97">
        <f>IF(B40="","",IFERROR(INDEX('15_직원별책무매핑'!$E:$E,MATCH(B40,'15_직원별책무매핑'!$B:$B,0)),0))</f>
        <v/>
      </c>
      <c r="M40" s="98">
        <f>IF(B40="","",E40&amp;"_"&amp;H40)</f>
        <v/>
      </c>
      <c r="N40" s="95" t="n"/>
      <c r="O40" s="95" t="n"/>
      <c r="P40" s="95" t="n"/>
    </row>
    <row r="41">
      <c r="A41" s="94" t="n">
        <v>36</v>
      </c>
      <c r="B41" s="95" t="n"/>
      <c r="C41" s="95" t="n"/>
      <c r="D41" s="95" t="n"/>
      <c r="E41" s="95" t="n"/>
      <c r="F41" s="95" t="n"/>
      <c r="G41" s="95" t="n"/>
      <c r="H41" s="96" t="n"/>
      <c r="I41" s="95" t="n"/>
      <c r="J41" s="97">
        <f>IFERROR(IF(I41="","",ROUND((TODAY()-DATEVALUE(I41))/365,1)),"")</f>
        <v/>
      </c>
      <c r="K41" s="95" t="n"/>
      <c r="L41" s="97">
        <f>IF(B41="","",IFERROR(INDEX('15_직원별책무매핑'!$E:$E,MATCH(B41,'15_직원별책무매핑'!$B:$B,0)),0))</f>
        <v/>
      </c>
      <c r="M41" s="98">
        <f>IF(B41="","",E41&amp;"_"&amp;H41)</f>
        <v/>
      </c>
      <c r="N41" s="95" t="n"/>
      <c r="O41" s="95" t="n"/>
      <c r="P41" s="95" t="n"/>
    </row>
    <row r="42">
      <c r="A42" s="99" t="n">
        <v>37</v>
      </c>
      <c r="B42" s="95" t="n"/>
      <c r="C42" s="95" t="n"/>
      <c r="D42" s="95" t="n"/>
      <c r="E42" s="95" t="n"/>
      <c r="F42" s="95" t="n"/>
      <c r="G42" s="95" t="n"/>
      <c r="H42" s="96" t="n"/>
      <c r="I42" s="95" t="n"/>
      <c r="J42" s="97">
        <f>IFERROR(IF(I42="","",ROUND((TODAY()-DATEVALUE(I42))/365,1)),"")</f>
        <v/>
      </c>
      <c r="K42" s="95" t="n"/>
      <c r="L42" s="97">
        <f>IF(B42="","",IFERROR(INDEX('15_직원별책무매핑'!$E:$E,MATCH(B42,'15_직원별책무매핑'!$B:$B,0)),0))</f>
        <v/>
      </c>
      <c r="M42" s="98">
        <f>IF(B42="","",E42&amp;"_"&amp;H42)</f>
        <v/>
      </c>
      <c r="N42" s="95" t="n"/>
      <c r="O42" s="95" t="n"/>
      <c r="P42" s="95" t="n"/>
    </row>
    <row r="43" ht="33.75" customHeight="1" s="86">
      <c r="A43" s="100" t="n">
        <v>38</v>
      </c>
      <c r="B43" s="101" t="n"/>
      <c r="C43" s="95" t="n"/>
      <c r="D43" s="95" t="n"/>
      <c r="E43" s="95" t="n"/>
      <c r="F43" s="95" t="n"/>
      <c r="G43" s="95" t="n"/>
      <c r="H43" s="96" t="n"/>
      <c r="I43" s="95" t="n"/>
      <c r="J43" s="97">
        <f>IFERROR(IF(I43="","",ROUND((TODAY()-DATEVALUE(I43))/365,1)),"")</f>
        <v/>
      </c>
      <c r="K43" s="95" t="n"/>
      <c r="L43" s="97">
        <f>IF(B43="","",IFERROR(INDEX('15_직원별책무매핑'!$E:$E,MATCH(B43,'15_직원별책무매핑'!$B:$B,0)),0))</f>
        <v/>
      </c>
      <c r="M43" s="98">
        <f>IF(B43="","",E43&amp;"_"&amp;H43)</f>
        <v/>
      </c>
      <c r="N43" s="95" t="n"/>
      <c r="O43" s="95" t="n"/>
      <c r="P43" s="95" t="n"/>
    </row>
    <row r="44">
      <c r="A44" s="94" t="n">
        <v>39</v>
      </c>
      <c r="B44" s="102" t="n"/>
      <c r="C44" s="95" t="n"/>
      <c r="D44" s="95" t="n"/>
      <c r="E44" s="95" t="n"/>
      <c r="F44" s="95" t="n"/>
      <c r="G44" s="95" t="n"/>
      <c r="H44" s="96" t="n"/>
      <c r="I44" s="95" t="n"/>
      <c r="J44" s="97">
        <f>IFERROR(IF(I44="","",ROUND((TODAY()-DATEVALUE(I44))/365,1)),"")</f>
        <v/>
      </c>
      <c r="K44" s="95" t="n"/>
      <c r="L44" s="97">
        <f>IF(B44="","",IFERROR(INDEX('15_직원별책무매핑'!$E:$E,MATCH(B44,'15_직원별책무매핑'!$B:$B,0)),0))</f>
        <v/>
      </c>
      <c r="M44" s="98">
        <f>IF(B44="","",E44&amp;"_"&amp;H44)</f>
        <v/>
      </c>
      <c r="N44" s="95" t="n"/>
      <c r="O44" s="95" t="n"/>
      <c r="P44" s="95" t="n"/>
    </row>
    <row r="45" ht="33.75" customHeight="1" s="86">
      <c r="A45" s="94" t="n">
        <v>40</v>
      </c>
      <c r="B45" s="102" t="n"/>
      <c r="C45" s="95" t="n"/>
      <c r="D45" s="95" t="n"/>
      <c r="E45" s="95" t="n"/>
      <c r="F45" s="95" t="n"/>
      <c r="G45" s="95" t="n"/>
      <c r="H45" s="96" t="n"/>
      <c r="I45" s="95" t="n"/>
      <c r="J45" s="97">
        <f>IFERROR(IF(I45="","",ROUND((TODAY()-DATEVALUE(I45))/365,1)),"")</f>
        <v/>
      </c>
      <c r="K45" s="95" t="n"/>
      <c r="L45" s="97">
        <f>IF(B45="","",IFERROR(INDEX('15_직원별책무매핑'!$E:$E,MATCH(B45,'15_직원별책무매핑'!$B:$B,0)),0))</f>
        <v/>
      </c>
      <c r="M45" s="98">
        <f>IF(B45="","",E45&amp;"_"&amp;H45)</f>
        <v/>
      </c>
      <c r="N45" s="95" t="n"/>
      <c r="O45" s="95" t="n"/>
      <c r="P45" s="95" t="n"/>
    </row>
    <row r="46">
      <c r="A46" s="94" t="n">
        <v>41</v>
      </c>
      <c r="B46" s="102" t="n"/>
      <c r="C46" s="95" t="n"/>
      <c r="D46" s="95" t="n"/>
      <c r="E46" s="95" t="n"/>
      <c r="F46" s="95" t="n"/>
      <c r="G46" s="95" t="n"/>
      <c r="H46" s="96" t="n"/>
      <c r="I46" s="95" t="n"/>
      <c r="J46" s="97">
        <f>IFERROR(IF(I46="","",ROUND((TODAY()-DATEVALUE(I46))/365,1)),"")</f>
        <v/>
      </c>
      <c r="K46" s="95" t="n"/>
      <c r="L46" s="97">
        <f>IF(B46="","",IFERROR(INDEX('15_직원별책무매핑'!$E:$E,MATCH(B46,'15_직원별책무매핑'!$B:$B,0)),0))</f>
        <v/>
      </c>
      <c r="M46" s="98">
        <f>IF(B46="","",E46&amp;"_"&amp;H46)</f>
        <v/>
      </c>
      <c r="N46" s="95" t="n"/>
      <c r="O46" s="95" t="n"/>
      <c r="P46" s="95" t="n"/>
    </row>
    <row r="47">
      <c r="A47" s="94" t="n">
        <v>42</v>
      </c>
      <c r="B47" s="102" t="n"/>
      <c r="C47" s="95" t="n"/>
      <c r="D47" s="95" t="n"/>
      <c r="E47" s="95" t="n"/>
      <c r="F47" s="95" t="n"/>
      <c r="G47" s="95" t="n"/>
      <c r="H47" s="96" t="n"/>
      <c r="I47" s="95" t="n"/>
      <c r="J47" s="97">
        <f>IFERROR(IF(I47="","",ROUND((TODAY()-DATEVALUE(I47))/365,1)),"")</f>
        <v/>
      </c>
      <c r="K47" s="95" t="n"/>
      <c r="L47" s="97">
        <f>IF(B47="","",IFERROR(INDEX('15_직원별책무매핑'!$E:$E,MATCH(B47,'15_직원별책무매핑'!$B:$B,0)),0))</f>
        <v/>
      </c>
      <c r="M47" s="98">
        <f>IF(B47="","",E47&amp;"_"&amp;H47)</f>
        <v/>
      </c>
      <c r="N47" s="95" t="n"/>
      <c r="O47" s="95" t="n"/>
      <c r="P47" s="95" t="n"/>
    </row>
    <row r="48">
      <c r="A48" s="94" t="n">
        <v>43</v>
      </c>
      <c r="B48" s="102" t="n"/>
      <c r="C48" s="95" t="n"/>
      <c r="D48" s="95" t="n"/>
      <c r="E48" s="95" t="n"/>
      <c r="F48" s="95" t="n"/>
      <c r="G48" s="95" t="n"/>
      <c r="H48" s="96" t="n"/>
      <c r="I48" s="95" t="n"/>
      <c r="J48" s="97">
        <f>IFERROR(IF(I48="","",ROUND((TODAY()-DATEVALUE(I48))/365,1)),"")</f>
        <v/>
      </c>
      <c r="K48" s="95" t="n"/>
      <c r="L48" s="97">
        <f>IF(B48="","",IFERROR(INDEX('15_직원별책무매핑'!$E:$E,MATCH(B48,'15_직원별책무매핑'!$B:$B,0)),0))</f>
        <v/>
      </c>
      <c r="M48" s="98">
        <f>IF(B48="","",E48&amp;"_"&amp;H48)</f>
        <v/>
      </c>
      <c r="N48" s="95" t="n"/>
      <c r="O48" s="95" t="n"/>
      <c r="P48" s="95" t="n"/>
    </row>
    <row r="49">
      <c r="A49" s="94" t="n">
        <v>44</v>
      </c>
      <c r="B49" s="102" t="n"/>
      <c r="C49" s="95" t="n"/>
      <c r="D49" s="95" t="n"/>
      <c r="E49" s="95" t="n"/>
      <c r="F49" s="95" t="n"/>
      <c r="G49" s="95" t="n"/>
      <c r="H49" s="96" t="n"/>
      <c r="I49" s="95" t="n"/>
      <c r="J49" s="97">
        <f>IFERROR(IF(I49="","",ROUND((TODAY()-DATEVALUE(I49))/365,1)),"")</f>
        <v/>
      </c>
      <c r="K49" s="95" t="n"/>
      <c r="L49" s="97">
        <f>IF(B49="","",IFERROR(INDEX('15_직원별책무매핑'!$E:$E,MATCH(B49,'15_직원별책무매핑'!$B:$B,0)),0))</f>
        <v/>
      </c>
      <c r="M49" s="98">
        <f>IF(B49="","",E49&amp;"_"&amp;H49)</f>
        <v/>
      </c>
      <c r="N49" s="95" t="n"/>
      <c r="O49" s="95" t="n"/>
      <c r="P49" s="95" t="n"/>
    </row>
    <row r="50">
      <c r="A50" s="94" t="n">
        <v>45</v>
      </c>
      <c r="B50" s="102" t="n"/>
      <c r="C50" s="95" t="n"/>
      <c r="D50" s="95" t="n"/>
      <c r="E50" s="95" t="n"/>
      <c r="F50" s="95" t="n"/>
      <c r="G50" s="95" t="n"/>
      <c r="H50" s="96" t="n"/>
      <c r="I50" s="95" t="n"/>
      <c r="J50" s="97">
        <f>IFERROR(IF(I50="","",ROUND((TODAY()-DATEVALUE(I50))/365,1)),"")</f>
        <v/>
      </c>
      <c r="K50" s="95" t="n"/>
      <c r="L50" s="97">
        <f>IF(B50="","",IFERROR(INDEX('15_직원별책무매핑'!$E:$E,MATCH(B50,'15_직원별책무매핑'!$B:$B,0)),0))</f>
        <v/>
      </c>
      <c r="M50" s="98">
        <f>IF(B50="","",E50&amp;"_"&amp;H50)</f>
        <v/>
      </c>
      <c r="N50" s="95" t="n"/>
      <c r="O50" s="95" t="n"/>
      <c r="P50" s="95" t="n"/>
    </row>
    <row r="51">
      <c r="A51" s="94" t="n">
        <v>46</v>
      </c>
      <c r="B51" s="95" t="n"/>
      <c r="C51" s="95" t="n"/>
      <c r="D51" s="95" t="n"/>
      <c r="E51" s="95" t="n"/>
      <c r="F51" s="95" t="n"/>
      <c r="G51" s="95" t="n"/>
      <c r="H51" s="96" t="n"/>
      <c r="I51" s="95" t="n"/>
      <c r="J51" s="97">
        <f>IFERROR(IF(I51="","",ROUND((TODAY()-DATEVALUE(I51))/365,1)),"")</f>
        <v/>
      </c>
      <c r="K51" s="95" t="n"/>
      <c r="L51" s="97">
        <f>IF(B51="","",IFERROR(INDEX('15_직원별책무매핑'!$E:$E,MATCH(B51,'15_직원별책무매핑'!$B:$B,0)),0))</f>
        <v/>
      </c>
      <c r="M51" s="98">
        <f>IF(B51="","",E51&amp;"_"&amp;H51)</f>
        <v/>
      </c>
      <c r="N51" s="95" t="n"/>
      <c r="O51" s="95" t="n"/>
      <c r="P51" s="95" t="n"/>
    </row>
    <row r="52">
      <c r="A52" s="94" t="n">
        <v>47</v>
      </c>
      <c r="B52" s="95" t="n"/>
      <c r="C52" s="95" t="n"/>
      <c r="D52" s="95" t="n"/>
      <c r="E52" s="95" t="n"/>
      <c r="F52" s="95" t="n"/>
      <c r="G52" s="95" t="n"/>
      <c r="H52" s="96" t="n"/>
      <c r="I52" s="95" t="n"/>
      <c r="J52" s="97">
        <f>IFERROR(IF(I52="","",ROUND((TODAY()-DATEVALUE(I52))/365,1)),"")</f>
        <v/>
      </c>
      <c r="K52" s="95" t="n"/>
      <c r="L52" s="97">
        <f>IF(B52="","",IFERROR(INDEX('15_직원별책무매핑'!$E:$E,MATCH(B52,'15_직원별책무매핑'!$B:$B,0)),0))</f>
        <v/>
      </c>
      <c r="M52" s="98">
        <f>IF(B52="","",E52&amp;"_"&amp;H52)</f>
        <v/>
      </c>
      <c r="N52" s="95" t="n"/>
      <c r="O52" s="95" t="n"/>
      <c r="P52" s="95" t="n"/>
    </row>
    <row r="53">
      <c r="A53" s="94" t="n">
        <v>48</v>
      </c>
      <c r="B53" s="95" t="n"/>
      <c r="C53" s="95" t="n"/>
      <c r="D53" s="95" t="n"/>
      <c r="E53" s="95" t="n"/>
      <c r="F53" s="95" t="n"/>
      <c r="G53" s="95" t="n"/>
      <c r="H53" s="96" t="n"/>
      <c r="I53" s="95" t="n"/>
      <c r="J53" s="97">
        <f>IFERROR(IF(I53="","",ROUND((TODAY()-DATEVALUE(I53))/365,1)),"")</f>
        <v/>
      </c>
      <c r="K53" s="95" t="n"/>
      <c r="L53" s="97">
        <f>IF(B53="","",IFERROR(INDEX('15_직원별책무매핑'!$E:$E,MATCH(B53,'15_직원별책무매핑'!$B:$B,0)),0))</f>
        <v/>
      </c>
      <c r="M53" s="98">
        <f>IF(B53="","",E53&amp;"_"&amp;H53)</f>
        <v/>
      </c>
      <c r="N53" s="95" t="n"/>
      <c r="O53" s="95" t="n"/>
      <c r="P53" s="95" t="n"/>
    </row>
    <row r="54">
      <c r="A54" s="94" t="n">
        <v>49</v>
      </c>
      <c r="B54" s="95" t="n"/>
      <c r="C54" s="95" t="n"/>
      <c r="D54" s="95" t="n"/>
      <c r="E54" s="95" t="n"/>
      <c r="F54" s="95" t="n"/>
      <c r="G54" s="95" t="n"/>
      <c r="H54" s="96" t="n"/>
      <c r="I54" s="95" t="n"/>
      <c r="J54" s="97">
        <f>IFERROR(IF(I54="","",ROUND((TODAY()-DATEVALUE(I54))/365,1)),"")</f>
        <v/>
      </c>
      <c r="K54" s="95" t="n"/>
      <c r="L54" s="97">
        <f>IF(B54="","",IFERROR(INDEX('15_직원별책무매핑'!$E:$E,MATCH(B54,'15_직원별책무매핑'!$B:$B,0)),0))</f>
        <v/>
      </c>
      <c r="M54" s="98">
        <f>IF(B54="","",E54&amp;"_"&amp;H54)</f>
        <v/>
      </c>
      <c r="N54" s="95" t="n"/>
      <c r="O54" s="95" t="n"/>
      <c r="P54" s="95" t="n"/>
    </row>
    <row r="55">
      <c r="A55" s="94" t="n">
        <v>50</v>
      </c>
      <c r="B55" s="95" t="n"/>
      <c r="C55" s="95" t="n"/>
      <c r="D55" s="95" t="n"/>
      <c r="E55" s="95" t="n"/>
      <c r="F55" s="95" t="n"/>
      <c r="G55" s="95" t="n"/>
      <c r="H55" s="96" t="n"/>
      <c r="I55" s="95" t="n"/>
      <c r="J55" s="97">
        <f>IFERROR(IF(I55="","",ROUND((TODAY()-DATEVALUE(I55))/365,1)),"")</f>
        <v/>
      </c>
      <c r="K55" s="95" t="n"/>
      <c r="L55" s="97">
        <f>IF(B55="","",IFERROR(INDEX('15_직원별책무매핑'!$E:$E,MATCH(B55,'15_직원별책무매핑'!$B:$B,0)),0))</f>
        <v/>
      </c>
      <c r="M55" s="98">
        <f>IF(B55="","",E55&amp;"_"&amp;H55)</f>
        <v/>
      </c>
      <c r="N55" s="95" t="n"/>
      <c r="O55" s="95" t="n"/>
      <c r="P55" s="95" t="n"/>
    </row>
  </sheetData>
  <mergeCells count="2">
    <mergeCell ref="A2:N2"/>
    <mergeCell ref="A1:N1"/>
  </mergeCells>
  <dataValidations count="1">
    <dataValidation sqref="H6:H85" showDropDown="0" showInputMessage="0" showErrorMessage="0" allowBlank="0" type="list">
      <formula1>"G6,G5-M,G5-S,G4,G3,G2,G1"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1F4E78"/>
    <outlinePr summaryBelow="1" summaryRight="1"/>
    <pageSetUpPr/>
  </sheetPr>
  <dimension ref="A1:J68"/>
  <sheetViews>
    <sheetView tabSelected="1" topLeftCell="A3" workbookViewId="0">
      <selection activeCell="A54" sqref="A54"/>
    </sheetView>
  </sheetViews>
  <sheetFormatPr baseColWidth="8" defaultRowHeight="16.9"/>
  <cols>
    <col width="16" customWidth="1" style="86" min="1" max="1"/>
    <col width="14" customWidth="1" style="86" min="2" max="4"/>
    <col width="12" customWidth="1" style="86" min="5" max="5"/>
    <col width="10" customWidth="1" style="86" min="6" max="6"/>
    <col width="30" customWidth="1" style="86" min="7" max="7"/>
    <col width="12" customWidth="1" style="86" min="8" max="10"/>
  </cols>
  <sheetData>
    <row r="1" ht="30" customHeight="1" s="86">
      <c r="A1" s="82" t="inlineStr">
        <is>
          <t>HR 의사결정 컨피그 (가중치·인상률·페이밴드)</t>
        </is>
      </c>
      <c r="B1" s="66" t="n"/>
      <c r="C1" s="66" t="n"/>
      <c r="D1" s="66" t="n"/>
      <c r="E1" s="66" t="n"/>
      <c r="F1" s="66" t="n"/>
      <c r="G1" s="66" t="n"/>
      <c r="H1" s="66" t="n"/>
      <c r="I1" s="66" t="n"/>
      <c r="J1" s="67" t="n"/>
    </row>
    <row r="2" ht="22.05" customHeight="1" s="86">
      <c r="A2" s="80" t="inlineStr">
        <is>
          <t>이 시트에서 가중치·인상률·페이밴드를 정의. 모든 산출 시트가 자동 참조합니다.</t>
        </is>
      </c>
      <c r="B2" s="66" t="n"/>
      <c r="C2" s="66" t="n"/>
      <c r="D2" s="66" t="n"/>
      <c r="E2" s="66" t="n"/>
      <c r="F2" s="66" t="n"/>
      <c r="G2" s="66" t="n"/>
      <c r="H2" s="66" t="n"/>
      <c r="I2" s="66" t="n"/>
      <c r="J2" s="67" t="n"/>
    </row>
    <row r="4" ht="24" customHeight="1" s="86">
      <c r="A4" s="83" t="inlineStr">
        <is>
          <t>■ ① 평가 방식·반기 가중치</t>
        </is>
      </c>
      <c r="B4" s="66" t="n"/>
      <c r="C4" s="66" t="n"/>
      <c r="D4" s="66" t="n"/>
      <c r="E4" s="66" t="n"/>
      <c r="F4" s="66" t="n"/>
      <c r="G4" s="66" t="n"/>
      <c r="H4" s="66" t="n"/>
      <c r="I4" s="66" t="n"/>
      <c r="J4" s="67" t="n"/>
    </row>
    <row r="5">
      <c r="A5" s="2" t="inlineStr">
        <is>
          <t>평가 척도</t>
        </is>
      </c>
      <c r="B5" s="16" t="inlineStr">
        <is>
          <t>5점</t>
        </is>
      </c>
      <c r="C5" s="85" t="inlineStr">
        <is>
          <t>5점 또는 100점 (전 시트 일괄 적용)</t>
        </is>
      </c>
      <c r="D5" s="66" t="n"/>
      <c r="E5" s="66" t="n"/>
      <c r="F5" s="66" t="n"/>
      <c r="G5" s="66" t="n"/>
      <c r="H5" s="66" t="n"/>
      <c r="I5" s="66" t="n"/>
      <c r="J5" s="67" t="n"/>
    </row>
    <row r="6">
      <c r="A6" s="2" t="inlineStr">
        <is>
          <t>평가 방식</t>
        </is>
      </c>
      <c r="B6" s="16" t="inlineStr">
        <is>
          <t>절대평가</t>
        </is>
      </c>
      <c r="C6" s="85" t="inlineStr">
        <is>
          <t>절대평가: 점수→등급 환산 / 상대평가: 분포 강제</t>
        </is>
      </c>
      <c r="D6" s="66" t="n"/>
      <c r="E6" s="66" t="n"/>
      <c r="F6" s="66" t="n"/>
      <c r="G6" s="66" t="n"/>
      <c r="H6" s="66" t="n"/>
      <c r="I6" s="66" t="n"/>
      <c r="J6" s="67" t="n"/>
    </row>
    <row r="7">
      <c r="A7" s="2" t="inlineStr">
        <is>
          <t>상반기 가중치</t>
        </is>
      </c>
      <c r="B7" s="20" t="n">
        <v>0.5</v>
      </c>
      <c r="C7" s="85" t="inlineStr">
        <is>
          <t>평가차수별 가중치</t>
        </is>
      </c>
      <c r="D7" s="66" t="n"/>
      <c r="E7" s="66" t="n"/>
      <c r="F7" s="66" t="n"/>
      <c r="G7" s="66" t="n"/>
      <c r="H7" s="66" t="n"/>
      <c r="I7" s="66" t="n"/>
      <c r="J7" s="67" t="n"/>
    </row>
    <row r="8">
      <c r="A8" s="2" t="inlineStr">
        <is>
          <t>하반기 가중치</t>
        </is>
      </c>
      <c r="B8" s="16">
        <f>1-B7</f>
        <v/>
      </c>
      <c r="C8" s="85" t="inlineStr">
        <is>
          <t>자동 계산</t>
        </is>
      </c>
      <c r="D8" s="66" t="n"/>
      <c r="E8" s="66" t="n"/>
      <c r="F8" s="66" t="n"/>
      <c r="G8" s="66" t="n"/>
      <c r="H8" s="66" t="n"/>
      <c r="I8" s="66" t="n"/>
      <c r="J8" s="67" t="n"/>
    </row>
    <row r="10" ht="24" customHeight="1" s="86">
      <c r="A10" s="2" t="inlineStr">
        <is>
          <t>강제분포 비중</t>
        </is>
      </c>
      <c r="B10" s="71" t="inlineStr">
        <is>
          <t>S</t>
        </is>
      </c>
      <c r="C10" s="71" t="inlineStr">
        <is>
          <t>A</t>
        </is>
      </c>
      <c r="D10" s="71" t="inlineStr">
        <is>
          <t>B</t>
        </is>
      </c>
      <c r="E10" s="71" t="inlineStr">
        <is>
          <t>C</t>
        </is>
      </c>
      <c r="F10" s="71" t="inlineStr">
        <is>
          <t>D</t>
        </is>
      </c>
    </row>
    <row r="11">
      <c r="B11" s="21" t="n">
        <v>0.1</v>
      </c>
      <c r="C11" s="21" t="n">
        <v>0.15</v>
      </c>
      <c r="D11" s="21" t="n">
        <v>0.5</v>
      </c>
      <c r="E11" s="21" t="n">
        <v>0.15</v>
      </c>
      <c r="F11" s="21" t="n">
        <v>0.1</v>
      </c>
    </row>
    <row r="14" ht="24" customHeight="1" s="86">
      <c r="A14" s="83" t="inlineStr">
        <is>
          <t>■ ② 직급별 3축 평가 가중치 (역할 + 공통역량 + 직무역량 = 100%) ★ G5-M/G5-S 분리</t>
        </is>
      </c>
      <c r="B14" s="66" t="n"/>
      <c r="C14" s="66" t="n"/>
      <c r="D14" s="66" t="n"/>
      <c r="E14" s="66" t="n"/>
      <c r="F14" s="66" t="n"/>
      <c r="G14" s="66" t="n"/>
      <c r="H14" s="66" t="n"/>
      <c r="I14" s="66" t="n"/>
      <c r="J14" s="67" t="n"/>
    </row>
    <row r="15" ht="28.05" customHeight="1" s="86">
      <c r="A15" s="71" t="inlineStr">
        <is>
          <t>역할등급</t>
        </is>
      </c>
      <c r="B15" s="71" t="inlineStr">
        <is>
          <t>역할평가 W</t>
        </is>
      </c>
      <c r="C15" s="71" t="inlineStr">
        <is>
          <t>공통역량 W</t>
        </is>
      </c>
      <c r="D15" s="71" t="inlineStr">
        <is>
          <t>직무역량 W</t>
        </is>
      </c>
      <c r="E15" s="71" t="inlineStr">
        <is>
          <t>합계</t>
        </is>
      </c>
      <c r="F15" s="71" t="inlineStr">
        <is>
          <t>검증</t>
        </is>
      </c>
      <c r="G15" s="71" t="inlineStr">
        <is>
          <t>설계 의도</t>
        </is>
      </c>
    </row>
    <row r="16">
      <c r="A16" s="19" t="inlineStr">
        <is>
          <t>G6</t>
        </is>
      </c>
      <c r="B16" s="21" t="n">
        <v>0.4</v>
      </c>
      <c r="C16" s="21" t="n">
        <v>0.25</v>
      </c>
      <c r="D16" s="21" t="n">
        <v>0.35</v>
      </c>
      <c r="E16" s="22">
        <f>B16+C16+D16</f>
        <v/>
      </c>
      <c r="F16" s="13">
        <f>IF(E16=1,"✓ OK","✗ ≠100%")</f>
        <v/>
      </c>
      <c r="G16" s="85" t="inlineStr">
        <is>
          <t>경영성과 책임·전사 의사결정 중심</t>
        </is>
      </c>
      <c r="H16" s="66" t="n"/>
      <c r="I16" s="66" t="n"/>
      <c r="J16" s="67" t="n"/>
    </row>
    <row r="17">
      <c r="A17" s="19" t="inlineStr">
        <is>
          <t>G5-M</t>
        </is>
      </c>
      <c r="B17" s="21" t="n">
        <v>0.35</v>
      </c>
      <c r="C17" s="21" t="n">
        <v>0.3</v>
      </c>
      <c r="D17" s="21" t="n">
        <v>0.35</v>
      </c>
      <c r="E17" s="22">
        <f>B17+C17+D17</f>
        <v/>
      </c>
      <c r="F17" s="13">
        <f>IF(E17=1,"✓ OK","✗ ≠100%")</f>
        <v/>
      </c>
      <c r="G17" s="85" t="inlineStr">
        <is>
          <t>조직 관리·부서장 성과 책임</t>
        </is>
      </c>
      <c r="H17" s="66" t="n"/>
      <c r="I17" s="66" t="n"/>
      <c r="J17" s="67" t="n"/>
    </row>
    <row r="18">
      <c r="A18" s="19" t="inlineStr">
        <is>
          <t>G5-S</t>
        </is>
      </c>
      <c r="B18" s="21" t="n">
        <v>0.3</v>
      </c>
      <c r="C18" s="21" t="n">
        <v>0.3</v>
      </c>
      <c r="D18" s="21" t="n">
        <v>0.4</v>
      </c>
      <c r="E18" s="22">
        <f>B18+C18+D18</f>
        <v/>
      </c>
      <c r="F18" s="13">
        <f>IF(E18=1,"✓ OK","✗ ≠100%")</f>
        <v/>
      </c>
      <c r="G18" s="85" t="inlineStr">
        <is>
          <t>실무 스페셜리스트·전문성 강조</t>
        </is>
      </c>
      <c r="H18" s="66" t="n"/>
      <c r="I18" s="66" t="n"/>
      <c r="J18" s="67" t="n"/>
    </row>
    <row r="19">
      <c r="A19" s="19" t="inlineStr">
        <is>
          <t>G4</t>
        </is>
      </c>
      <c r="B19" s="21" t="n">
        <v>0.3</v>
      </c>
      <c r="C19" s="21" t="n">
        <v>0.3</v>
      </c>
      <c r="D19" s="21" t="n">
        <v>0.4</v>
      </c>
      <c r="E19" s="22">
        <f>B19+C19+D19</f>
        <v/>
      </c>
      <c r="F19" s="13">
        <f>IF(E19=1,"✓ OK","✗ ≠100%")</f>
        <v/>
      </c>
      <c r="G19" s="85" t="inlineStr">
        <is>
          <t>실무 책임자, 직무역량 강조</t>
        </is>
      </c>
      <c r="H19" s="66" t="n"/>
      <c r="I19" s="66" t="n"/>
      <c r="J19" s="67" t="n"/>
    </row>
    <row r="20">
      <c r="A20" s="19" t="inlineStr">
        <is>
          <t>G3</t>
        </is>
      </c>
      <c r="B20" s="21" t="n">
        <v>0.25</v>
      </c>
      <c r="C20" s="21" t="n">
        <v>0.3</v>
      </c>
      <c r="D20" s="21" t="n">
        <v>0.45</v>
      </c>
      <c r="E20" s="22">
        <f>B20+C20+D20</f>
        <v/>
      </c>
      <c r="F20" s="13">
        <f>IF(E20=1,"✓ OK","✗ ≠100%")</f>
        <v/>
      </c>
      <c r="G20" s="85" t="inlineStr">
        <is>
          <t>핵심 실무자, 직무 깊이 가중</t>
        </is>
      </c>
      <c r="H20" s="66" t="n"/>
      <c r="I20" s="66" t="n"/>
      <c r="J20" s="67" t="n"/>
    </row>
    <row r="21">
      <c r="A21" s="19" t="inlineStr">
        <is>
          <t>G2</t>
        </is>
      </c>
      <c r="B21" s="21" t="n">
        <v>0.2</v>
      </c>
      <c r="C21" s="21" t="n">
        <v>0.35</v>
      </c>
      <c r="D21" s="21" t="n">
        <v>0.45</v>
      </c>
      <c r="E21" s="22">
        <f>B21+C21+D21</f>
        <v/>
      </c>
      <c r="F21" s="13">
        <f>IF(E21=1,"✓ OK","✗ ≠100%")</f>
        <v/>
      </c>
      <c r="G21" s="85" t="inlineStr">
        <is>
          <t>실무자, 역량 개발 집중</t>
        </is>
      </c>
      <c r="H21" s="66" t="n"/>
      <c r="I21" s="66" t="n"/>
      <c r="J21" s="67" t="n"/>
    </row>
    <row r="22">
      <c r="A22" s="19" t="inlineStr">
        <is>
          <t>G1</t>
        </is>
      </c>
      <c r="B22" s="21" t="n">
        <v>0.15</v>
      </c>
      <c r="C22" s="21" t="n">
        <v>0.35</v>
      </c>
      <c r="D22" s="21" t="n">
        <v>0.5</v>
      </c>
      <c r="E22" s="22">
        <f>B22+C22+D22</f>
        <v/>
      </c>
      <c r="F22" s="13">
        <f>IF(E22=1,"✓ OK","✗ ≠100%")</f>
        <v/>
      </c>
      <c r="G22" s="85" t="inlineStr">
        <is>
          <t>신입·실무 보조, 기본기 학습</t>
        </is>
      </c>
      <c r="H22" s="66" t="n"/>
      <c r="I22" s="66" t="n"/>
      <c r="J22" s="67" t="n"/>
    </row>
    <row r="24" ht="24" customHeight="1" s="86">
      <c r="A24" s="83" t="inlineStr">
        <is>
          <t>■ ③ 평가 등급별 인상률·성과급률</t>
        </is>
      </c>
      <c r="B24" s="66" t="n"/>
      <c r="C24" s="66" t="n"/>
      <c r="D24" s="66" t="n"/>
      <c r="E24" s="66" t="n"/>
      <c r="F24" s="66" t="n"/>
      <c r="G24" s="66" t="n"/>
      <c r="H24" s="66" t="n"/>
      <c r="I24" s="66" t="n"/>
      <c r="J24" s="67" t="n"/>
    </row>
    <row r="25">
      <c r="A25" s="71" t="inlineStr">
        <is>
          <t>구분</t>
        </is>
      </c>
      <c r="B25" s="71" t="inlineStr">
        <is>
          <t>S</t>
        </is>
      </c>
      <c r="C25" s="71" t="inlineStr">
        <is>
          <t>A</t>
        </is>
      </c>
      <c r="D25" s="71" t="inlineStr">
        <is>
          <t>B</t>
        </is>
      </c>
      <c r="E25" s="71" t="inlineStr">
        <is>
          <t>C</t>
        </is>
      </c>
      <c r="F25" s="71" t="inlineStr">
        <is>
          <t>D</t>
        </is>
      </c>
      <c r="G25" s="71" t="inlineStr">
        <is>
          <t>비고</t>
        </is>
      </c>
    </row>
    <row r="26">
      <c r="A26" s="2" t="inlineStr">
        <is>
          <t>기본연봉 인상률</t>
        </is>
      </c>
      <c r="B26" s="103" t="n">
        <v>0.06</v>
      </c>
      <c r="C26" s="103" t="n">
        <v>0.05</v>
      </c>
      <c r="D26" s="103" t="n">
        <v>0.04</v>
      </c>
      <c r="E26" s="103" t="n">
        <v>0.03</v>
      </c>
      <c r="F26" s="103" t="n">
        <v>0.02</v>
      </c>
      <c r="G26" s="85" t="inlineStr">
        <is>
          <t>09_보상연계에 자동 반영</t>
        </is>
      </c>
    </row>
    <row r="27">
      <c r="A27" s="2" t="inlineStr">
        <is>
          <t>성과급 지급률</t>
        </is>
      </c>
      <c r="B27" s="21" t="n">
        <v>0.2</v>
      </c>
      <c r="C27" s="21" t="n">
        <v>0.15</v>
      </c>
      <c r="D27" s="21" t="n">
        <v>0.1</v>
      </c>
      <c r="E27" s="21" t="n">
        <v>0.05</v>
      </c>
      <c r="F27" s="21" t="n">
        <v>0</v>
      </c>
      <c r="G27" s="85" t="inlineStr">
        <is>
          <t>10_성과급관리에 자동 반영</t>
        </is>
      </c>
    </row>
    <row r="28">
      <c r="A28" s="2" t="inlineStr">
        <is>
          <t>승진 가산률</t>
        </is>
      </c>
      <c r="B28" s="103" t="n">
        <v>0.01</v>
      </c>
      <c r="C28" s="85" t="inlineStr">
        <is>
          <t>승진(역할등급 상승) 시 기본연봉 인상률에 가산</t>
        </is>
      </c>
      <c r="D28" s="66" t="n"/>
      <c r="E28" s="66" t="n"/>
      <c r="F28" s="67" t="n"/>
      <c r="G28" s="85" t="inlineStr">
        <is>
          <t>Y/N 선택 시 자동 적용</t>
        </is>
      </c>
    </row>
    <row r="30" ht="24" customHeight="1" s="86">
      <c r="A30" s="83" t="inlineStr">
        <is>
          <t>■ ④ 페이밴드 (역할등급별 기본연봉 범위)</t>
        </is>
      </c>
      <c r="B30" s="66" t="n"/>
      <c r="C30" s="66" t="n"/>
      <c r="D30" s="66" t="n"/>
      <c r="E30" s="66" t="n"/>
      <c r="F30" s="66" t="n"/>
      <c r="G30" s="66" t="n"/>
      <c r="H30" s="66" t="n"/>
      <c r="I30" s="66" t="n"/>
      <c r="J30" s="67" t="n"/>
    </row>
    <row r="31" ht="28.05" customHeight="1" s="86">
      <c r="A31" s="71" t="inlineStr">
        <is>
          <t>역할등급</t>
        </is>
      </c>
      <c r="B31" s="71" t="inlineStr">
        <is>
          <t>최소(Min)</t>
        </is>
      </c>
      <c r="C31" s="71" t="inlineStr">
        <is>
          <t>중위(Mid)</t>
        </is>
      </c>
      <c r="D31" s="71" t="inlineStr">
        <is>
          <t>최대(Max)</t>
        </is>
      </c>
      <c r="E31" s="71" t="inlineStr">
        <is>
          <t>Range Spread</t>
        </is>
      </c>
    </row>
    <row r="32">
      <c r="A32" s="19" t="inlineStr">
        <is>
          <t>G6</t>
        </is>
      </c>
      <c r="B32" s="18" t="n">
        <v>58000000</v>
      </c>
      <c r="C32" s="18" t="n">
        <v>69000000</v>
      </c>
      <c r="D32" s="18" t="n">
        <v>80000000</v>
      </c>
      <c r="E32" s="104">
        <f>(D32-B32)/B32</f>
        <v/>
      </c>
    </row>
    <row r="33">
      <c r="A33" s="19" t="inlineStr">
        <is>
          <t>G5-M</t>
        </is>
      </c>
      <c r="B33" s="18" t="n">
        <v>53000000</v>
      </c>
      <c r="C33" s="18" t="n">
        <v>63000000</v>
      </c>
      <c r="D33" s="18" t="n">
        <v>73000000</v>
      </c>
      <c r="E33" s="104">
        <f>(D33-B33)/B33</f>
        <v/>
      </c>
    </row>
    <row r="34">
      <c r="A34" s="19" t="inlineStr">
        <is>
          <t>G5-S</t>
        </is>
      </c>
      <c r="B34" s="18" t="n">
        <v>53000000</v>
      </c>
      <c r="C34" s="18" t="n">
        <v>63000000</v>
      </c>
      <c r="D34" s="18" t="n">
        <v>73000000</v>
      </c>
      <c r="E34" s="104">
        <f>(D34-B34)/B34</f>
        <v/>
      </c>
    </row>
    <row r="35">
      <c r="A35" s="19" t="inlineStr">
        <is>
          <t>G4</t>
        </is>
      </c>
      <c r="B35" s="18" t="n">
        <v>49000000</v>
      </c>
      <c r="C35" s="18" t="n">
        <v>57500000</v>
      </c>
      <c r="D35" s="18" t="n">
        <v>66000000</v>
      </c>
      <c r="E35" s="104">
        <f>(D35-B35)/B35</f>
        <v/>
      </c>
    </row>
    <row r="36">
      <c r="A36" s="19" t="inlineStr">
        <is>
          <t>G3</t>
        </is>
      </c>
      <c r="B36" s="18" t="n">
        <v>42000000</v>
      </c>
      <c r="C36" s="18" t="n">
        <v>49500000</v>
      </c>
      <c r="D36" s="18" t="n">
        <v>57000000</v>
      </c>
      <c r="E36" s="104">
        <f>(D36-B36)/B36</f>
        <v/>
      </c>
    </row>
    <row r="37">
      <c r="A37" s="19" t="inlineStr">
        <is>
          <t>G2</t>
        </is>
      </c>
      <c r="B37" s="18" t="n">
        <v>36000000</v>
      </c>
      <c r="C37" s="18" t="n">
        <v>42500000</v>
      </c>
      <c r="D37" s="18" t="n">
        <v>49000000</v>
      </c>
      <c r="E37" s="104">
        <f>(D37-B37)/B37</f>
        <v/>
      </c>
    </row>
    <row r="38">
      <c r="A38" s="19" t="inlineStr">
        <is>
          <t>G1</t>
        </is>
      </c>
      <c r="B38" s="18" t="n">
        <v>33000000</v>
      </c>
      <c r="C38" s="18" t="n">
        <v>38500000</v>
      </c>
      <c r="D38" s="18" t="n">
        <v>44000000</v>
      </c>
      <c r="E38" s="104">
        <f>(D38-B38)/B38</f>
        <v/>
      </c>
    </row>
    <row r="40" ht="24" customHeight="1" s="86">
      <c r="A40" s="83" t="inlineStr">
        <is>
          <t>■ ⑤ 공통역량별 가중치 (11개 역량)</t>
        </is>
      </c>
      <c r="B40" s="66" t="n"/>
      <c r="C40" s="66" t="n"/>
      <c r="D40" s="66" t="n"/>
      <c r="E40" s="66" t="n"/>
      <c r="F40" s="66" t="n"/>
      <c r="G40" s="66" t="n"/>
      <c r="H40" s="66" t="n"/>
      <c r="I40" s="66" t="n"/>
      <c r="J40" s="67" t="n"/>
    </row>
    <row r="41" ht="28.05" customHeight="1" s="86">
      <c r="A41" s="71" t="inlineStr">
        <is>
          <t>No.</t>
        </is>
      </c>
      <c r="B41" s="71" t="inlineStr">
        <is>
          <t>역량군</t>
        </is>
      </c>
      <c r="C41" s="71" t="inlineStr">
        <is>
          <t>핵심 역량</t>
        </is>
      </c>
      <c r="D41" s="71" t="inlineStr">
        <is>
          <t>가중치</t>
        </is>
      </c>
      <c r="E41" s="71" t="inlineStr">
        <is>
          <t>역량 설명</t>
        </is>
      </c>
    </row>
    <row r="42">
      <c r="A42" s="12" t="inlineStr">
        <is>
          <t>C-1</t>
        </is>
      </c>
      <c r="B42" s="19" t="inlineStr">
        <is>
          <t>업무역량</t>
        </is>
      </c>
      <c r="C42" s="10" t="inlineStr">
        <is>
          <t>직무 전문성</t>
        </is>
      </c>
      <c r="D42" s="21" t="n">
        <v>0.15</v>
      </c>
      <c r="E42" s="85" t="inlineStr">
        <is>
          <t>직무에 필요한 전문 지식 및 기술을 충분히 보유하고 실무에 적절히 적용하는지 평가</t>
        </is>
      </c>
      <c r="F42" s="66" t="n"/>
      <c r="G42" s="66" t="n"/>
      <c r="H42" s="66" t="n"/>
      <c r="I42" s="66" t="n"/>
      <c r="J42" s="67" t="n"/>
    </row>
    <row r="43">
      <c r="A43" s="12" t="inlineStr">
        <is>
          <t>C-2</t>
        </is>
      </c>
      <c r="B43" s="19" t="inlineStr">
        <is>
          <t>업무역량</t>
        </is>
      </c>
      <c r="C43" s="10" t="inlineStr">
        <is>
          <t>분석력</t>
        </is>
      </c>
      <c r="D43" s="21" t="n">
        <v>0.1</v>
      </c>
      <c r="E43" s="85" t="inlineStr">
        <is>
          <t>데이터·수치를 기반으로 사고하며 업무 효율을 높이는 능력</t>
        </is>
      </c>
      <c r="F43" s="66" t="n"/>
      <c r="G43" s="66" t="n"/>
      <c r="H43" s="66" t="n"/>
      <c r="I43" s="66" t="n"/>
      <c r="J43" s="67" t="n"/>
    </row>
    <row r="44">
      <c r="A44" s="12" t="inlineStr">
        <is>
          <t>C-3</t>
        </is>
      </c>
      <c r="B44" s="19" t="inlineStr">
        <is>
          <t>업무역량</t>
        </is>
      </c>
      <c r="C44" s="10" t="inlineStr">
        <is>
          <t>기획/실행력</t>
        </is>
      </c>
      <c r="D44" s="21" t="n">
        <v>0.1</v>
      </c>
      <c r="E44" s="85" t="inlineStr">
        <is>
          <t>실행 가능한 목표 설정·계획 수립·체계적 실행 능력</t>
        </is>
      </c>
      <c r="F44" s="66" t="n"/>
      <c r="G44" s="66" t="n"/>
      <c r="H44" s="66" t="n"/>
      <c r="I44" s="66" t="n"/>
      <c r="J44" s="67" t="n"/>
    </row>
    <row r="45">
      <c r="A45" s="12" t="inlineStr">
        <is>
          <t>C-4</t>
        </is>
      </c>
      <c r="B45" s="19" t="inlineStr">
        <is>
          <t>조직역량</t>
        </is>
      </c>
      <c r="C45" s="10" t="inlineStr">
        <is>
          <t>자원·시간 관리</t>
        </is>
      </c>
      <c r="D45" s="21" t="n">
        <v>0.1</v>
      </c>
      <c r="E45" s="85" t="inlineStr">
        <is>
          <t>업무 우선순위 설정 및 시간 내 효과적 업무 완수 능력</t>
        </is>
      </c>
      <c r="F45" s="66" t="n"/>
      <c r="G45" s="66" t="n"/>
      <c r="H45" s="66" t="n"/>
      <c r="I45" s="66" t="n"/>
      <c r="J45" s="67" t="n"/>
    </row>
    <row r="46">
      <c r="A46" s="12" t="inlineStr">
        <is>
          <t>C-5</t>
        </is>
      </c>
      <c r="B46" s="19" t="inlineStr">
        <is>
          <t>조직역량</t>
        </is>
      </c>
      <c r="C46" s="10" t="inlineStr">
        <is>
          <t>협업 능력</t>
        </is>
      </c>
      <c r="D46" s="21" t="n">
        <v>0.1</v>
      </c>
      <c r="E46" s="85" t="inlineStr">
        <is>
          <t>팀원·타 부서와의 협업 태도와 적극적 협력</t>
        </is>
      </c>
      <c r="F46" s="66" t="n"/>
      <c r="G46" s="66" t="n"/>
      <c r="H46" s="66" t="n"/>
      <c r="I46" s="66" t="n"/>
      <c r="J46" s="67" t="n"/>
    </row>
    <row r="47">
      <c r="A47" s="12" t="inlineStr">
        <is>
          <t>C-6</t>
        </is>
      </c>
      <c r="B47" s="19" t="inlineStr">
        <is>
          <t>조직역량</t>
        </is>
      </c>
      <c r="C47" s="10" t="inlineStr">
        <is>
          <t>소통 능력</t>
        </is>
      </c>
      <c r="D47" s="21" t="n">
        <v>0.1</v>
      </c>
      <c r="E47" s="85" t="inlineStr">
        <is>
          <t>명확한 의견 전달·경청·효과적 커뮤니케이션</t>
        </is>
      </c>
      <c r="F47" s="66" t="n"/>
      <c r="G47" s="66" t="n"/>
      <c r="H47" s="66" t="n"/>
      <c r="I47" s="66" t="n"/>
      <c r="J47" s="67" t="n"/>
    </row>
    <row r="48">
      <c r="A48" s="12" t="inlineStr">
        <is>
          <t>C-7</t>
        </is>
      </c>
      <c r="B48" s="19" t="inlineStr">
        <is>
          <t>인성역량</t>
        </is>
      </c>
      <c r="C48" s="10" t="inlineStr">
        <is>
          <t>윤리/책임감</t>
        </is>
      </c>
      <c r="D48" s="21" t="n">
        <v>0.1</v>
      </c>
      <c r="E48" s="85" t="inlineStr">
        <is>
          <t>공정·투명한 업무 처리와 책임감 있는 업무 수행</t>
        </is>
      </c>
      <c r="F48" s="66" t="n"/>
      <c r="G48" s="66" t="n"/>
      <c r="H48" s="66" t="n"/>
      <c r="I48" s="66" t="n"/>
      <c r="J48" s="67" t="n"/>
    </row>
    <row r="49">
      <c r="A49" s="12" t="inlineStr">
        <is>
          <t>C-8</t>
        </is>
      </c>
      <c r="B49" s="19" t="inlineStr">
        <is>
          <t>인성역량</t>
        </is>
      </c>
      <c r="C49" s="10" t="inlineStr">
        <is>
          <t>업무 태도</t>
        </is>
      </c>
      <c r="D49" s="21" t="n">
        <v>0.1</v>
      </c>
      <c r="E49" s="85" t="inlineStr">
        <is>
          <t>성실·주도적 태도, 변화에 대한 유연성</t>
        </is>
      </c>
      <c r="F49" s="66" t="n"/>
      <c r="G49" s="66" t="n"/>
      <c r="H49" s="66" t="n"/>
      <c r="I49" s="66" t="n"/>
      <c r="J49" s="67" t="n"/>
    </row>
    <row r="50">
      <c r="A50" s="12" t="inlineStr">
        <is>
          <t>C-9</t>
        </is>
      </c>
      <c r="B50" s="19" t="inlineStr">
        <is>
          <t>미래역량</t>
        </is>
      </c>
      <c r="C50" s="10" t="inlineStr">
        <is>
          <t>혁신 역량</t>
        </is>
      </c>
      <c r="D50" s="21" t="n">
        <v>0.05</v>
      </c>
      <c r="E50" s="85" t="inlineStr">
        <is>
          <t>AI·자동화 등 최신 기술을 실무에 접목</t>
        </is>
      </c>
      <c r="F50" s="66" t="n"/>
      <c r="G50" s="66" t="n"/>
      <c r="H50" s="66" t="n"/>
      <c r="I50" s="66" t="n"/>
      <c r="J50" s="67" t="n"/>
    </row>
    <row r="51">
      <c r="A51" s="12" t="inlineStr">
        <is>
          <t>C-10</t>
        </is>
      </c>
      <c r="B51" s="19" t="inlineStr">
        <is>
          <t>미래역량</t>
        </is>
      </c>
      <c r="C51" s="10" t="inlineStr">
        <is>
          <t>프로세스 개선</t>
        </is>
      </c>
      <c r="D51" s="21" t="n">
        <v>0.05</v>
      </c>
      <c r="E51" s="85" t="inlineStr">
        <is>
          <t>업무 절차 분석 및 비효율 개선 아이디어 제시·실행</t>
        </is>
      </c>
      <c r="F51" s="66" t="n"/>
      <c r="G51" s="66" t="n"/>
      <c r="H51" s="66" t="n"/>
      <c r="I51" s="66" t="n"/>
      <c r="J51" s="67" t="n"/>
    </row>
    <row r="52">
      <c r="A52" s="12" t="inlineStr">
        <is>
          <t>C-11</t>
        </is>
      </c>
      <c r="B52" s="19" t="inlineStr">
        <is>
          <t>미래역량</t>
        </is>
      </c>
      <c r="C52" s="10" t="inlineStr">
        <is>
          <t>지속가능 기여</t>
        </is>
      </c>
      <c r="D52" s="21" t="n">
        <v>0.05</v>
      </c>
      <c r="E52" s="85" t="inlineStr">
        <is>
          <t>장기적 성과 향상·조직 기여도</t>
        </is>
      </c>
      <c r="F52" s="66" t="n"/>
      <c r="G52" s="66" t="n"/>
      <c r="H52" s="66" t="n"/>
      <c r="I52" s="66" t="n"/>
      <c r="J52" s="67" t="n"/>
    </row>
    <row r="66" ht="24" customHeight="1" s="86">
      <c r="A66" s="83" t="inlineStr">
        <is>
          <t>■ ⑥ 1차/2차 평가자 가중치</t>
        </is>
      </c>
      <c r="B66" s="66" t="n"/>
      <c r="C66" s="66" t="n"/>
      <c r="D66" s="66" t="n"/>
      <c r="E66" s="66" t="n"/>
      <c r="F66" s="66" t="n"/>
      <c r="G66" s="66" t="n"/>
      <c r="H66" s="66" t="n"/>
      <c r="I66" s="66" t="n"/>
      <c r="J66" s="67" t="n"/>
    </row>
    <row r="67" ht="24" customHeight="1" s="86">
      <c r="A67" s="2" t="inlineStr">
        <is>
          <t>1차 평가자 (직속상사)</t>
        </is>
      </c>
      <c r="B67" s="59" t="n">
        <v>0.5</v>
      </c>
      <c r="C67" s="85" t="inlineStr">
        <is>
          <t>직속상사 평가 가중치. 평가지·통합시트에서 자동 적용. 기본 50%, 조직 상황에 맞게 조정.</t>
        </is>
      </c>
      <c r="D67" s="66" t="n"/>
      <c r="E67" s="66" t="n"/>
      <c r="F67" s="66" t="n"/>
      <c r="G67" s="66" t="n"/>
      <c r="H67" s="66" t="n"/>
      <c r="I67" s="66" t="n"/>
      <c r="J67" s="67" t="n"/>
    </row>
    <row r="68" ht="24" customHeight="1" s="86">
      <c r="A68" s="2" t="inlineStr">
        <is>
          <t>2차 평가자 (조정자)</t>
        </is>
      </c>
      <c r="B68" s="60">
        <f>1-B67</f>
        <v/>
      </c>
      <c r="C68" s="85" t="inlineStr">
        <is>
          <t>자동 계산 (1 - 1차 가중치). 조정자(부서장·임원) 가중치.</t>
        </is>
      </c>
      <c r="D68" s="66" t="n"/>
      <c r="E68" s="66" t="n"/>
      <c r="F68" s="66" t="n"/>
      <c r="G68" s="66" t="n"/>
      <c r="H68" s="66" t="n"/>
      <c r="I68" s="66" t="n"/>
      <c r="J68" s="67" t="n"/>
    </row>
  </sheetData>
  <mergeCells count="33">
    <mergeCell ref="A14:J14"/>
    <mergeCell ref="C68:J68"/>
    <mergeCell ref="C6:J6"/>
    <mergeCell ref="G20:J20"/>
    <mergeCell ref="A4:J4"/>
    <mergeCell ref="G16:J16"/>
    <mergeCell ref="C5:J5"/>
    <mergeCell ref="C28:F28"/>
    <mergeCell ref="G22:J22"/>
    <mergeCell ref="E49:J49"/>
    <mergeCell ref="E46:J46"/>
    <mergeCell ref="A40:J40"/>
    <mergeCell ref="E45:J45"/>
    <mergeCell ref="A30:J30"/>
    <mergeCell ref="G21:J21"/>
    <mergeCell ref="A24:J24"/>
    <mergeCell ref="A1:J1"/>
    <mergeCell ref="G17:J17"/>
    <mergeCell ref="E47:J47"/>
    <mergeCell ref="E43:J43"/>
    <mergeCell ref="E50:J50"/>
    <mergeCell ref="G19:J19"/>
    <mergeCell ref="C8:J8"/>
    <mergeCell ref="A66:J66"/>
    <mergeCell ref="G18:J18"/>
    <mergeCell ref="C7:J7"/>
    <mergeCell ref="E42:J42"/>
    <mergeCell ref="C67:J67"/>
    <mergeCell ref="E52:J52"/>
    <mergeCell ref="E48:J48"/>
    <mergeCell ref="A2:J2"/>
    <mergeCell ref="E51:J51"/>
    <mergeCell ref="E44:J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1F4E78"/>
    <outlinePr summaryBelow="1" summaryRight="1"/>
    <pageSetUpPr/>
  </sheetPr>
  <dimension ref="A1:K11"/>
  <sheetViews>
    <sheetView zoomScale="85" zoomScaleNormal="85" workbookViewId="0">
      <selection activeCell="A1" sqref="A1:K1"/>
    </sheetView>
  </sheetViews>
  <sheetFormatPr baseColWidth="8" defaultRowHeight="16.9"/>
  <cols>
    <col width="5" customWidth="1" style="86" min="1" max="1"/>
    <col width="22" customWidth="1" style="86" min="2" max="2"/>
    <col width="30" customWidth="1" style="86" min="3" max="3"/>
    <col width="8" customWidth="1" style="86" min="4" max="4"/>
    <col width="10" customWidth="1" style="86" min="5" max="5"/>
    <col width="9" customWidth="1" style="86" min="6" max="10"/>
    <col width="11" customWidth="1" style="86" min="11" max="11"/>
  </cols>
  <sheetData>
    <row r="1" ht="28.05" customHeight="1" s="86">
      <c r="A1" s="82" t="inlineStr">
        <is>
          <t>전사 업적 평가 (전사 KPI)</t>
        </is>
      </c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K1" s="67" t="n"/>
    </row>
    <row r="2">
      <c r="A2" s="80" t="inlineStr">
        <is>
          <t>전사 KPI 달성도 → 성과급 가산 계수로 활용 (10_성과급관리에서 자동 참조)</t>
        </is>
      </c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7" t="n"/>
    </row>
    <row r="5">
      <c r="A5" s="15" t="inlineStr">
        <is>
          <t>No.</t>
        </is>
      </c>
      <c r="B5" s="15" t="inlineStr">
        <is>
          <t>KPI</t>
        </is>
      </c>
      <c r="C5" s="15" t="inlineStr">
        <is>
          <t>측정방법</t>
        </is>
      </c>
      <c r="D5" s="15" t="inlineStr">
        <is>
          <t>가중치</t>
        </is>
      </c>
      <c r="E5" s="15" t="inlineStr">
        <is>
          <t>목표</t>
        </is>
      </c>
      <c r="F5" s="15" t="inlineStr">
        <is>
          <t>S 기준</t>
        </is>
      </c>
      <c r="G5" s="15" t="inlineStr">
        <is>
          <t>A 기준</t>
        </is>
      </c>
      <c r="H5" s="15" t="inlineStr">
        <is>
          <t>B 기준</t>
        </is>
      </c>
      <c r="I5" s="15" t="inlineStr">
        <is>
          <t>C 기준</t>
        </is>
      </c>
      <c r="J5" s="15" t="inlineStr">
        <is>
          <t>D 기준</t>
        </is>
      </c>
      <c r="K5" s="15" t="inlineStr">
        <is>
          <t>실적</t>
        </is>
      </c>
    </row>
    <row r="6">
      <c r="A6" s="12" t="n">
        <v>1</v>
      </c>
      <c r="B6" s="10" t="inlineStr">
        <is>
          <t>영업이익률</t>
        </is>
      </c>
      <c r="C6" s="85" t="inlineStr">
        <is>
          <t>영업이익 ÷ 매출액 × 100</t>
        </is>
      </c>
      <c r="D6" s="21" t="n">
        <v>0.4</v>
      </c>
      <c r="E6" s="103" t="n">
        <v>0.12</v>
      </c>
      <c r="F6" s="103" t="n">
        <v>0.15</v>
      </c>
      <c r="G6" s="103" t="n">
        <v>0.12</v>
      </c>
      <c r="H6" s="103" t="n">
        <v>0.1</v>
      </c>
      <c r="I6" s="103" t="n">
        <v>0.08</v>
      </c>
      <c r="J6" s="103" t="n">
        <v>0.06</v>
      </c>
      <c r="K6" s="103" t="n"/>
    </row>
    <row r="7">
      <c r="A7" s="12" t="n">
        <v>2</v>
      </c>
      <c r="B7" s="10" t="inlineStr">
        <is>
          <t>매출 성장률</t>
        </is>
      </c>
      <c r="C7" s="85" t="inlineStr">
        <is>
          <t>(금년-전년)/전년 × 100</t>
        </is>
      </c>
      <c r="D7" s="21" t="n">
        <v>0.35</v>
      </c>
      <c r="E7" s="103" t="n">
        <v>0.07000000000000001</v>
      </c>
      <c r="F7" s="103" t="n">
        <v>0.08</v>
      </c>
      <c r="G7" s="103" t="n">
        <v>0.07000000000000001</v>
      </c>
      <c r="H7" s="103" t="n">
        <v>0.06</v>
      </c>
      <c r="I7" s="103" t="n">
        <v>0.05</v>
      </c>
      <c r="J7" s="103" t="n">
        <v>0.04</v>
      </c>
      <c r="K7" s="103" t="n"/>
    </row>
    <row r="8" ht="33.75" customHeight="1" s="86">
      <c r="A8" s="12" t="n">
        <v>3</v>
      </c>
      <c r="B8" s="10" t="inlineStr">
        <is>
          <t>프로젝트 납기·품질 준수율</t>
        </is>
      </c>
      <c r="C8" s="85" t="inlineStr">
        <is>
          <t>납기·품질 충족 ÷ 총 프로젝트 × 100</t>
        </is>
      </c>
      <c r="D8" s="21" t="n">
        <v>0.25</v>
      </c>
      <c r="E8" s="103" t="n">
        <v>0.92</v>
      </c>
      <c r="F8" s="103" t="n">
        <v>0.93</v>
      </c>
      <c r="G8" s="103" t="n">
        <v>0.92</v>
      </c>
      <c r="H8" s="103" t="n">
        <v>0.91</v>
      </c>
      <c r="I8" s="103" t="n">
        <v>0.9</v>
      </c>
      <c r="J8" s="103" t="n">
        <v>0.89</v>
      </c>
      <c r="K8" s="103" t="n"/>
    </row>
    <row r="10">
      <c r="A10" s="83" t="inlineStr">
        <is>
          <t>■ 전사 KPI 종합</t>
        </is>
      </c>
      <c r="B10" s="66" t="n"/>
      <c r="C10" s="66" t="n"/>
      <c r="D10" s="66" t="n"/>
      <c r="E10" s="66" t="n"/>
      <c r="F10" s="66" t="n"/>
      <c r="G10" s="66" t="n"/>
      <c r="H10" s="66" t="n"/>
      <c r="I10" s="66" t="n"/>
      <c r="J10" s="66" t="n"/>
      <c r="K10" s="67" t="n"/>
    </row>
    <row r="11" ht="50.65" customHeight="1" s="86">
      <c r="A11" s="2" t="inlineStr">
        <is>
          <t>전사 종합 등급</t>
        </is>
      </c>
      <c r="B11" s="14">
        <f>IFERROR(IF(COUNTBLANK(K6:K8)&gt;0,"",IF(SUMPRODUCT(D6:D8,(K6:K8&gt;=F6:F8)*1)&gt;=0.8,"S",IF(SUMPRODUCT(D6:D8,(K6:K8&gt;=G6:G8)*1)&gt;=0.8,"A",IF(SUMPRODUCT(D6:D8,(K6:K8&gt;=H6:H8)*1)&gt;=0.8,"B",IF(SUMPRODUCT(D6:D8,(K6:K8&gt;=I6:I8)*1)&gt;=0.8,"C","D"))))),"-")</f>
        <v/>
      </c>
      <c r="C11" s="85" t="inlineStr">
        <is>
          <t>실적 입력 후 자동 산출. 10_성과급관리의 KPI 가산계수로 활용.</t>
        </is>
      </c>
      <c r="D11" s="66" t="n"/>
      <c r="E11" s="66" t="n"/>
      <c r="F11" s="66" t="n"/>
      <c r="G11" s="66" t="n"/>
      <c r="H11" s="66" t="n"/>
      <c r="I11" s="66" t="n"/>
      <c r="J11" s="66" t="n"/>
      <c r="K11" s="67" t="n"/>
    </row>
  </sheetData>
  <mergeCells count="4">
    <mergeCell ref="A2:K2"/>
    <mergeCell ref="A1:K1"/>
    <mergeCell ref="C11:K11"/>
    <mergeCell ref="A10:K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2E74B5"/>
    <outlinePr summaryBelow="1" summaryRight="1"/>
    <pageSetUpPr/>
  </sheetPr>
  <dimension ref="A1:U12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I6" sqref="I6"/>
    </sheetView>
  </sheetViews>
  <sheetFormatPr baseColWidth="8" defaultRowHeight="16.9"/>
  <cols>
    <col width="5" customWidth="1" style="86" min="1" max="1"/>
    <col width="10" customWidth="1" style="86" min="2" max="2"/>
    <col width="9" customWidth="1" style="86" min="3" max="3"/>
    <col width="14" customWidth="1" style="86" min="4" max="4"/>
    <col width="9" customWidth="1" style="86" min="5" max="5"/>
    <col width="11" customWidth="1" style="86" min="6" max="7"/>
    <col width="11" customWidth="1" style="86" min="7" max="7"/>
    <col width="13" customWidth="1" style="86" min="8" max="8"/>
    <col width="11" customWidth="1" style="86" min="9" max="9"/>
    <col width="5" customWidth="1" style="86" min="10" max="11"/>
    <col width="8" customWidth="1" style="86" min="12" max="12"/>
    <col width="9" customWidth="1" style="86" min="13" max="15"/>
    <col width="8" customWidth="1" style="86" min="16" max="16"/>
    <col width="25" customWidth="1" style="86" min="17" max="17"/>
  </cols>
  <sheetData>
    <row r="1" ht="30" customHeight="1" s="86">
      <c r="A1" s="105" t="inlineStr">
        <is>
          <t>역할평가 (자동 산출)</t>
        </is>
      </c>
      <c r="B1" s="106" t="n"/>
      <c r="C1" s="106" t="n"/>
      <c r="D1" s="106" t="n"/>
      <c r="E1" s="106" t="n"/>
      <c r="F1" s="106" t="n"/>
      <c r="G1" s="106" t="n"/>
      <c r="H1" s="106" t="n"/>
      <c r="I1" s="106" t="n"/>
      <c r="J1" s="107" t="n"/>
      <c r="K1" s="107" t="n"/>
      <c r="L1" s="107" t="n"/>
      <c r="M1" s="107" t="n"/>
      <c r="N1" s="107" t="n"/>
      <c r="O1" s="107" t="n"/>
      <c r="P1" s="107" t="n"/>
      <c r="Q1" s="107" t="n"/>
      <c r="R1" s="107" t="n"/>
      <c r="S1" s="107" t="n"/>
      <c r="T1" s="107" t="n"/>
      <c r="U1" s="107" t="n"/>
    </row>
    <row r="2" ht="24" customHeight="1" s="86">
      <c r="A2" s="108" t="inlineStr">
        <is>
          <t>07a/07b의 1·2차 평가자 종합 등급 → 02_의사결정의 평가자 가중치 자동 적용 → 확정 등급</t>
        </is>
      </c>
      <c r="B2" s="106" t="n"/>
      <c r="C2" s="106" t="n"/>
      <c r="D2" s="106" t="n"/>
      <c r="E2" s="106" t="n"/>
      <c r="F2" s="106" t="n"/>
      <c r="G2" s="106" t="n"/>
      <c r="H2" s="106" t="n"/>
      <c r="I2" s="106" t="n"/>
      <c r="J2" s="107" t="n"/>
      <c r="K2" s="107" t="n"/>
      <c r="L2" s="107" t="n"/>
      <c r="M2" s="107" t="n"/>
      <c r="N2" s="107" t="n"/>
      <c r="O2" s="107" t="n"/>
      <c r="P2" s="107" t="n"/>
      <c r="Q2" s="107" t="n"/>
      <c r="R2" s="107" t="n"/>
      <c r="S2" s="107" t="n"/>
      <c r="T2" s="107" t="n"/>
      <c r="U2" s="107" t="n"/>
    </row>
    <row r="3">
      <c r="A3" s="107" t="n"/>
      <c r="B3" s="107" t="n"/>
      <c r="C3" s="107" t="n"/>
      <c r="D3" s="107" t="n"/>
      <c r="E3" s="107" t="n"/>
      <c r="F3" s="107" t="n"/>
      <c r="G3" s="107" t="n"/>
      <c r="H3" s="107" t="n"/>
      <c r="I3" s="107" t="n"/>
      <c r="J3" s="107" t="n"/>
      <c r="K3" s="107" t="n"/>
      <c r="L3" s="107" t="n"/>
      <c r="M3" s="107" t="n"/>
      <c r="N3" s="107" t="n"/>
      <c r="O3" s="107" t="n"/>
      <c r="P3" s="107" t="n"/>
      <c r="Q3" s="107" t="n"/>
      <c r="R3" s="107" t="n"/>
      <c r="S3" s="107" t="n"/>
      <c r="T3" s="107" t="n"/>
      <c r="U3" s="107" t="n"/>
    </row>
    <row r="4" ht="26" customHeight="1" s="86">
      <c r="A4" s="109" t="inlineStr">
        <is>
          <t>■ 상반기 역할평가 (50명까지)</t>
        </is>
      </c>
      <c r="B4" s="106" t="n"/>
      <c r="C4" s="106" t="n"/>
      <c r="D4" s="106" t="n"/>
      <c r="E4" s="106" t="n"/>
      <c r="F4" s="106" t="n"/>
      <c r="G4" s="106" t="n"/>
      <c r="H4" s="106" t="n"/>
      <c r="I4" s="106" t="n"/>
      <c r="J4" s="107" t="n"/>
      <c r="K4" s="107" t="n"/>
      <c r="L4" s="107" t="n"/>
      <c r="M4" s="107" t="n"/>
      <c r="N4" s="107" t="n"/>
      <c r="O4" s="107" t="n"/>
      <c r="P4" s="107" t="n"/>
      <c r="Q4" s="107" t="n"/>
      <c r="R4" s="107" t="n"/>
      <c r="S4" s="107" t="n"/>
      <c r="T4" s="107" t="n"/>
      <c r="U4" s="107" t="n"/>
    </row>
    <row r="5" ht="28" customHeight="1" s="86">
      <c r="A5" s="110" t="inlineStr">
        <is>
          <t>No.</t>
        </is>
      </c>
      <c r="B5" s="110" t="inlineStr">
        <is>
          <t>사번</t>
        </is>
      </c>
      <c r="C5" s="110" t="inlineStr">
        <is>
          <t>성명</t>
        </is>
      </c>
      <c r="D5" s="110" t="inlineStr">
        <is>
          <t>직무</t>
        </is>
      </c>
      <c r="E5" s="110" t="inlineStr">
        <is>
          <t>역할등급</t>
        </is>
      </c>
      <c r="F5" s="110" t="inlineStr">
        <is>
          <t>1차</t>
        </is>
      </c>
      <c r="G5" s="110" t="inlineStr">
        <is>
          <t>2차</t>
        </is>
      </c>
      <c r="H5" s="110" t="inlineStr">
        <is>
          <t>가중평균(점수)</t>
        </is>
      </c>
      <c r="I5" s="110" t="inlineStr">
        <is>
          <t>확정등급</t>
        </is>
      </c>
      <c r="J5" s="107" t="n"/>
      <c r="K5" s="107" t="n"/>
      <c r="L5" s="107" t="n"/>
      <c r="M5" s="107" t="n"/>
      <c r="N5" s="107" t="n"/>
      <c r="O5" s="107" t="n"/>
      <c r="P5" s="107" t="n"/>
      <c r="Q5" s="107" t="n"/>
      <c r="R5" s="107" t="n"/>
      <c r="S5" s="107" t="n"/>
      <c r="T5" s="107" t="n"/>
      <c r="U5" s="107" t="n"/>
    </row>
    <row r="6" ht="22" customHeight="1" s="86">
      <c r="A6" s="111">
        <f>IF('01_인적정보'!B6="","",'01_인적정보'!A6)</f>
        <v/>
      </c>
      <c r="B6" s="111">
        <f>IF('01_인적정보'!B6="","",'01_인적정보'!B6)</f>
        <v/>
      </c>
      <c r="C6" s="112">
        <f>IF('01_인적정보'!B6="","",'01_인적정보'!C6)</f>
        <v/>
      </c>
      <c r="D6" s="112">
        <f>IF('01_인적정보'!B6="","",'01_인적정보'!E6)</f>
        <v/>
      </c>
      <c r="E6" s="113">
        <f>IF('01_인적정보'!B6="","",'01_인적정보'!H6)</f>
        <v/>
      </c>
      <c r="F6" s="114">
        <f>IF('01_인적정보'!B6="","",'07a_상반기입력'!G6)</f>
        <v/>
      </c>
      <c r="G6" s="114">
        <f>IF('01_인적정보'!B6="","",'07a_상반기입력'!H6)</f>
        <v/>
      </c>
      <c r="H6" s="115">
        <f>IFERROR(IF(AND(F6&lt;&gt;"",G6&lt;&gt;""),'02_의사결정·종합결과'!$B$67*IFERROR(CHOOSE(FIND(F6,"DCBAS"),1,2,3,4,5),0)+'02_의사결정·종합결과'!$B$68*IFERROR(CHOOSE(FIND(G6,"DCBAS"),1,2,3,4,5),0),IF(F6&lt;&gt;"",IFERROR(CHOOSE(FIND(F6,"DCBAS"),1,2,3,4,5),0),IF(G6&lt;&gt;"",IFERROR(CHOOSE(FIND(G6,"DCBAS"),1,2,3,4,5),0),""))),"")</f>
        <v/>
      </c>
      <c r="I6" s="116">
        <f>IF(H6="","",IF(H6&gt;=4.5,"S",IF(H6&gt;=3.5,"A",IF(H6&gt;=2.5,"B",IF(H6&gt;=1.5,"C","D")))))</f>
        <v/>
      </c>
      <c r="J6" s="107" t="n"/>
      <c r="K6" s="107" t="n"/>
      <c r="L6" s="107" t="n"/>
      <c r="M6" s="107" t="n"/>
      <c r="N6" s="107" t="n"/>
      <c r="O6" s="107" t="n"/>
      <c r="P6" s="107" t="n"/>
      <c r="Q6" s="107" t="n"/>
      <c r="R6" s="107" t="n"/>
      <c r="S6" s="107" t="n"/>
      <c r="T6" s="107" t="n"/>
      <c r="U6" s="107" t="n"/>
    </row>
    <row r="7" ht="22" customHeight="1" s="86">
      <c r="A7" s="111">
        <f>IF('01_인적정보'!B7="","",'01_인적정보'!A7)</f>
        <v/>
      </c>
      <c r="B7" s="111">
        <f>IF('01_인적정보'!B7="","",'01_인적정보'!B7)</f>
        <v/>
      </c>
      <c r="C7" s="112">
        <f>IF('01_인적정보'!B7="","",'01_인적정보'!C7)</f>
        <v/>
      </c>
      <c r="D7" s="112">
        <f>IF('01_인적정보'!B7="","",'01_인적정보'!E7)</f>
        <v/>
      </c>
      <c r="E7" s="113">
        <f>IF('01_인적정보'!B7="","",'01_인적정보'!H7)</f>
        <v/>
      </c>
      <c r="F7" s="114">
        <f>IF('01_인적정보'!B7="","",'07a_상반기입력'!G7)</f>
        <v/>
      </c>
      <c r="G7" s="114">
        <f>IF('01_인적정보'!B7="","",'07a_상반기입력'!H7)</f>
        <v/>
      </c>
      <c r="H7" s="115">
        <f>IFERROR(IF(AND(F7&lt;&gt;"",G7&lt;&gt;""),'02_의사결정·종합결과'!$B$67*IFERROR(CHOOSE(FIND(F7,"DCBAS"),1,2,3,4,5),0)+'02_의사결정·종합결과'!$B$68*IFERROR(CHOOSE(FIND(G7,"DCBAS"),1,2,3,4,5),0),IF(F7&lt;&gt;"",IFERROR(CHOOSE(FIND(F7,"DCBAS"),1,2,3,4,5),0),IF(G7&lt;&gt;"",IFERROR(CHOOSE(FIND(G7,"DCBAS"),1,2,3,4,5),0),""))),"")</f>
        <v/>
      </c>
      <c r="I7" s="116">
        <f>IF(H7="","",IF(H7&gt;=4.5,"S",IF(H7&gt;=3.5,"A",IF(H7&gt;=2.5,"B",IF(H7&gt;=1.5,"C","D")))))</f>
        <v/>
      </c>
      <c r="J7" s="107" t="n"/>
      <c r="K7" s="107" t="n"/>
      <c r="L7" s="107" t="n"/>
      <c r="M7" s="107" t="n"/>
      <c r="N7" s="107" t="n"/>
      <c r="O7" s="107" t="n"/>
      <c r="P7" s="107" t="n"/>
      <c r="Q7" s="107" t="n"/>
      <c r="R7" s="107" t="n"/>
      <c r="S7" s="107" t="n"/>
      <c r="T7" s="107" t="n"/>
      <c r="U7" s="107" t="n"/>
    </row>
    <row r="8" ht="22" customHeight="1" s="86">
      <c r="A8" s="111">
        <f>IF('01_인적정보'!B8="","",'01_인적정보'!A8)</f>
        <v/>
      </c>
      <c r="B8" s="111">
        <f>IF('01_인적정보'!B8="","",'01_인적정보'!B8)</f>
        <v/>
      </c>
      <c r="C8" s="112">
        <f>IF('01_인적정보'!B8="","",'01_인적정보'!C8)</f>
        <v/>
      </c>
      <c r="D8" s="112">
        <f>IF('01_인적정보'!B8="","",'01_인적정보'!E8)</f>
        <v/>
      </c>
      <c r="E8" s="113">
        <f>IF('01_인적정보'!B8="","",'01_인적정보'!H8)</f>
        <v/>
      </c>
      <c r="F8" s="114">
        <f>IF('01_인적정보'!B8="","",'07a_상반기입력'!G8)</f>
        <v/>
      </c>
      <c r="G8" s="114">
        <f>IF('01_인적정보'!B8="","",'07a_상반기입력'!H8)</f>
        <v/>
      </c>
      <c r="H8" s="115">
        <f>IFERROR(IF(AND(F8&lt;&gt;"",G8&lt;&gt;""),'02_의사결정·종합결과'!$B$67*IFERROR(CHOOSE(FIND(F8,"DCBAS"),1,2,3,4,5),0)+'02_의사결정·종합결과'!$B$68*IFERROR(CHOOSE(FIND(G8,"DCBAS"),1,2,3,4,5),0),IF(F8&lt;&gt;"",IFERROR(CHOOSE(FIND(F8,"DCBAS"),1,2,3,4,5),0),IF(G8&lt;&gt;"",IFERROR(CHOOSE(FIND(G8,"DCBAS"),1,2,3,4,5),0),""))),"")</f>
        <v/>
      </c>
      <c r="I8" s="116">
        <f>IF(H8="","",IF(H8&gt;=4.5,"S",IF(H8&gt;=3.5,"A",IF(H8&gt;=2.5,"B",IF(H8&gt;=1.5,"C","D")))))</f>
        <v/>
      </c>
      <c r="J8" s="107" t="n"/>
      <c r="K8" s="107" t="n"/>
      <c r="L8" s="107" t="n"/>
      <c r="M8" s="107" t="n"/>
      <c r="N8" s="107" t="n"/>
      <c r="O8" s="107" t="n"/>
      <c r="P8" s="107" t="n"/>
      <c r="Q8" s="107" t="n"/>
      <c r="R8" s="107" t="n"/>
      <c r="S8" s="107" t="n"/>
      <c r="T8" s="107" t="n"/>
      <c r="U8" s="107" t="n"/>
    </row>
    <row r="9" ht="22" customHeight="1" s="86">
      <c r="A9" s="111">
        <f>IF('01_인적정보'!B9="","",'01_인적정보'!A9)</f>
        <v/>
      </c>
      <c r="B9" s="111">
        <f>IF('01_인적정보'!B9="","",'01_인적정보'!B9)</f>
        <v/>
      </c>
      <c r="C9" s="112">
        <f>IF('01_인적정보'!B9="","",'01_인적정보'!C9)</f>
        <v/>
      </c>
      <c r="D9" s="112">
        <f>IF('01_인적정보'!B9="","",'01_인적정보'!E9)</f>
        <v/>
      </c>
      <c r="E9" s="113">
        <f>IF('01_인적정보'!B9="","",'01_인적정보'!H9)</f>
        <v/>
      </c>
      <c r="F9" s="114">
        <f>IF('01_인적정보'!B9="","",'07a_상반기입력'!G9)</f>
        <v/>
      </c>
      <c r="G9" s="114">
        <f>IF('01_인적정보'!B9="","",'07a_상반기입력'!H9)</f>
        <v/>
      </c>
      <c r="H9" s="115">
        <f>IFERROR(IF(AND(F9&lt;&gt;"",G9&lt;&gt;""),'02_의사결정·종합결과'!$B$67*IFERROR(CHOOSE(FIND(F9,"DCBAS"),1,2,3,4,5),0)+'02_의사결정·종합결과'!$B$68*IFERROR(CHOOSE(FIND(G9,"DCBAS"),1,2,3,4,5),0),IF(F9&lt;&gt;"",IFERROR(CHOOSE(FIND(F9,"DCBAS"),1,2,3,4,5),0),IF(G9&lt;&gt;"",IFERROR(CHOOSE(FIND(G9,"DCBAS"),1,2,3,4,5),0),""))),"")</f>
        <v/>
      </c>
      <c r="I9" s="116">
        <f>IF(H9="","",IF(H9&gt;=4.5,"S",IF(H9&gt;=3.5,"A",IF(H9&gt;=2.5,"B",IF(H9&gt;=1.5,"C","D")))))</f>
        <v/>
      </c>
      <c r="J9" s="107" t="n"/>
      <c r="K9" s="107" t="n"/>
      <c r="L9" s="107" t="n"/>
      <c r="M9" s="107" t="n"/>
      <c r="N9" s="107" t="n"/>
      <c r="O9" s="107" t="n"/>
      <c r="P9" s="107" t="n"/>
      <c r="Q9" s="107" t="n"/>
      <c r="R9" s="107" t="n"/>
      <c r="S9" s="107" t="n"/>
      <c r="T9" s="107" t="n"/>
      <c r="U9" s="107" t="n"/>
    </row>
    <row r="10" ht="22" customHeight="1" s="86">
      <c r="A10" s="111">
        <f>IF('01_인적정보'!B10="","",'01_인적정보'!A10)</f>
        <v/>
      </c>
      <c r="B10" s="111">
        <f>IF('01_인적정보'!B10="","",'01_인적정보'!B10)</f>
        <v/>
      </c>
      <c r="C10" s="112">
        <f>IF('01_인적정보'!B10="","",'01_인적정보'!C10)</f>
        <v/>
      </c>
      <c r="D10" s="112">
        <f>IF('01_인적정보'!B10="","",'01_인적정보'!E10)</f>
        <v/>
      </c>
      <c r="E10" s="113">
        <f>IF('01_인적정보'!B10="","",'01_인적정보'!H10)</f>
        <v/>
      </c>
      <c r="F10" s="114">
        <f>IF('01_인적정보'!B10="","",'07a_상반기입력'!G10)</f>
        <v/>
      </c>
      <c r="G10" s="114">
        <f>IF('01_인적정보'!B10="","",'07a_상반기입력'!H10)</f>
        <v/>
      </c>
      <c r="H10" s="115">
        <f>IFERROR(IF(AND(F10&lt;&gt;"",G10&lt;&gt;""),'02_의사결정·종합결과'!$B$67*IFERROR(CHOOSE(FIND(F10,"DCBAS"),1,2,3,4,5),0)+'02_의사결정·종합결과'!$B$68*IFERROR(CHOOSE(FIND(G10,"DCBAS"),1,2,3,4,5),0),IF(F10&lt;&gt;"",IFERROR(CHOOSE(FIND(F10,"DCBAS"),1,2,3,4,5),0),IF(G10&lt;&gt;"",IFERROR(CHOOSE(FIND(G10,"DCBAS"),1,2,3,4,5),0),""))),"")</f>
        <v/>
      </c>
      <c r="I10" s="116">
        <f>IF(H10="","",IF(H10&gt;=4.5,"S",IF(H10&gt;=3.5,"A",IF(H10&gt;=2.5,"B",IF(H10&gt;=1.5,"C","D")))))</f>
        <v/>
      </c>
      <c r="J10" s="107" t="n"/>
      <c r="K10" s="107" t="n"/>
      <c r="L10" s="107" t="n"/>
      <c r="M10" s="107" t="n"/>
      <c r="N10" s="107" t="n"/>
      <c r="O10" s="107" t="n"/>
      <c r="P10" s="107" t="n"/>
      <c r="Q10" s="107" t="n"/>
      <c r="R10" s="107" t="n"/>
      <c r="S10" s="107" t="n"/>
      <c r="T10" s="107" t="n"/>
      <c r="U10" s="107" t="n"/>
    </row>
    <row r="11" ht="22" customHeight="1" s="86">
      <c r="A11" s="111">
        <f>IF('01_인적정보'!B11="","",'01_인적정보'!A11)</f>
        <v/>
      </c>
      <c r="B11" s="111">
        <f>IF('01_인적정보'!B11="","",'01_인적정보'!B11)</f>
        <v/>
      </c>
      <c r="C11" s="112">
        <f>IF('01_인적정보'!B11="","",'01_인적정보'!C11)</f>
        <v/>
      </c>
      <c r="D11" s="112">
        <f>IF('01_인적정보'!B11="","",'01_인적정보'!E11)</f>
        <v/>
      </c>
      <c r="E11" s="113">
        <f>IF('01_인적정보'!B11="","",'01_인적정보'!H11)</f>
        <v/>
      </c>
      <c r="F11" s="114">
        <f>IF('01_인적정보'!B11="","",'07a_상반기입력'!G11)</f>
        <v/>
      </c>
      <c r="G11" s="114">
        <f>IF('01_인적정보'!B11="","",'07a_상반기입력'!H11)</f>
        <v/>
      </c>
      <c r="H11" s="115">
        <f>IFERROR(IF(AND(F11&lt;&gt;"",G11&lt;&gt;""),'02_의사결정·종합결과'!$B$67*IFERROR(CHOOSE(FIND(F11,"DCBAS"),1,2,3,4,5),0)+'02_의사결정·종합결과'!$B$68*IFERROR(CHOOSE(FIND(G11,"DCBAS"),1,2,3,4,5),0),IF(F11&lt;&gt;"",IFERROR(CHOOSE(FIND(F11,"DCBAS"),1,2,3,4,5),0),IF(G11&lt;&gt;"",IFERROR(CHOOSE(FIND(G11,"DCBAS"),1,2,3,4,5),0),""))),"")</f>
        <v/>
      </c>
      <c r="I11" s="116">
        <f>IF(H11="","",IF(H11&gt;=4.5,"S",IF(H11&gt;=3.5,"A",IF(H11&gt;=2.5,"B",IF(H11&gt;=1.5,"C","D")))))</f>
        <v/>
      </c>
      <c r="J11" s="107" t="n"/>
      <c r="K11" s="107" t="n"/>
      <c r="L11" s="107" t="n"/>
      <c r="M11" s="107" t="n"/>
      <c r="N11" s="107" t="n"/>
      <c r="O11" s="107" t="n"/>
      <c r="P11" s="107" t="n"/>
      <c r="Q11" s="107" t="n"/>
      <c r="R11" s="107" t="n"/>
      <c r="S11" s="107" t="n"/>
      <c r="T11" s="107" t="n"/>
      <c r="U11" s="107" t="n"/>
    </row>
    <row r="12" ht="22" customHeight="1" s="86">
      <c r="A12" s="111">
        <f>IF('01_인적정보'!B12="","",'01_인적정보'!A12)</f>
        <v/>
      </c>
      <c r="B12" s="111">
        <f>IF('01_인적정보'!B12="","",'01_인적정보'!B12)</f>
        <v/>
      </c>
      <c r="C12" s="112">
        <f>IF('01_인적정보'!B12="","",'01_인적정보'!C12)</f>
        <v/>
      </c>
      <c r="D12" s="112">
        <f>IF('01_인적정보'!B12="","",'01_인적정보'!E12)</f>
        <v/>
      </c>
      <c r="E12" s="113">
        <f>IF('01_인적정보'!B12="","",'01_인적정보'!H12)</f>
        <v/>
      </c>
      <c r="F12" s="114">
        <f>IF('01_인적정보'!B12="","",'07a_상반기입력'!G12)</f>
        <v/>
      </c>
      <c r="G12" s="114">
        <f>IF('01_인적정보'!B12="","",'07a_상반기입력'!H12)</f>
        <v/>
      </c>
      <c r="H12" s="115">
        <f>IFERROR(IF(AND(F12&lt;&gt;"",G12&lt;&gt;""),'02_의사결정·종합결과'!$B$67*IFERROR(CHOOSE(FIND(F12,"DCBAS"),1,2,3,4,5),0)+'02_의사결정·종합결과'!$B$68*IFERROR(CHOOSE(FIND(G12,"DCBAS"),1,2,3,4,5),0),IF(F12&lt;&gt;"",IFERROR(CHOOSE(FIND(F12,"DCBAS"),1,2,3,4,5),0),IF(G12&lt;&gt;"",IFERROR(CHOOSE(FIND(G12,"DCBAS"),1,2,3,4,5),0),""))),"")</f>
        <v/>
      </c>
      <c r="I12" s="116">
        <f>IF(H12="","",IF(H12&gt;=4.5,"S",IF(H12&gt;=3.5,"A",IF(H12&gt;=2.5,"B",IF(H12&gt;=1.5,"C","D")))))</f>
        <v/>
      </c>
      <c r="J12" s="107" t="n"/>
      <c r="K12" s="107" t="n"/>
      <c r="L12" s="107" t="n"/>
      <c r="M12" s="107" t="n"/>
      <c r="N12" s="107" t="n"/>
      <c r="O12" s="107" t="n"/>
      <c r="P12" s="107" t="n"/>
      <c r="Q12" s="107" t="n"/>
      <c r="R12" s="107" t="n"/>
      <c r="S12" s="107" t="n"/>
      <c r="T12" s="107" t="n"/>
      <c r="U12" s="107" t="n"/>
    </row>
    <row r="13" ht="22" customHeight="1" s="86">
      <c r="A13" s="111">
        <f>IF('01_인적정보'!B13="","",'01_인적정보'!A13)</f>
        <v/>
      </c>
      <c r="B13" s="111">
        <f>IF('01_인적정보'!B13="","",'01_인적정보'!B13)</f>
        <v/>
      </c>
      <c r="C13" s="112">
        <f>IF('01_인적정보'!B13="","",'01_인적정보'!C13)</f>
        <v/>
      </c>
      <c r="D13" s="112">
        <f>IF('01_인적정보'!B13="","",'01_인적정보'!E13)</f>
        <v/>
      </c>
      <c r="E13" s="113">
        <f>IF('01_인적정보'!B13="","",'01_인적정보'!H13)</f>
        <v/>
      </c>
      <c r="F13" s="114">
        <f>IF('01_인적정보'!B13="","",'07a_상반기입력'!G13)</f>
        <v/>
      </c>
      <c r="G13" s="114">
        <f>IF('01_인적정보'!B13="","",'07a_상반기입력'!H13)</f>
        <v/>
      </c>
      <c r="H13" s="115">
        <f>IFERROR(IF(AND(F13&lt;&gt;"",G13&lt;&gt;""),'02_의사결정·종합결과'!$B$67*IFERROR(CHOOSE(FIND(F13,"DCBAS"),1,2,3,4,5),0)+'02_의사결정·종합결과'!$B$68*IFERROR(CHOOSE(FIND(G13,"DCBAS"),1,2,3,4,5),0),IF(F13&lt;&gt;"",IFERROR(CHOOSE(FIND(F13,"DCBAS"),1,2,3,4,5),0),IF(G13&lt;&gt;"",IFERROR(CHOOSE(FIND(G13,"DCBAS"),1,2,3,4,5),0),""))),"")</f>
        <v/>
      </c>
      <c r="I13" s="116">
        <f>IF(H13="","",IF(H13&gt;=4.5,"S",IF(H13&gt;=3.5,"A",IF(H13&gt;=2.5,"B",IF(H13&gt;=1.5,"C","D")))))</f>
        <v/>
      </c>
      <c r="J13" s="107" t="n"/>
      <c r="K13" s="107" t="n"/>
      <c r="L13" s="117" t="n"/>
      <c r="M13" s="107" t="n"/>
      <c r="N13" s="107" t="n"/>
      <c r="O13" s="107" t="n"/>
      <c r="P13" s="118" t="n"/>
      <c r="Q13" s="107" t="n"/>
      <c r="R13" s="107" t="n"/>
      <c r="S13" s="107" t="n"/>
      <c r="T13" s="107" t="n"/>
      <c r="U13" s="107" t="n"/>
    </row>
    <row r="14" ht="22" customHeight="1" s="86">
      <c r="A14" s="111">
        <f>IF('01_인적정보'!B14="","",'01_인적정보'!A14)</f>
        <v/>
      </c>
      <c r="B14" s="111">
        <f>IF('01_인적정보'!B14="","",'01_인적정보'!B14)</f>
        <v/>
      </c>
      <c r="C14" s="112">
        <f>IF('01_인적정보'!B14="","",'01_인적정보'!C14)</f>
        <v/>
      </c>
      <c r="D14" s="112">
        <f>IF('01_인적정보'!B14="","",'01_인적정보'!E14)</f>
        <v/>
      </c>
      <c r="E14" s="113">
        <f>IF('01_인적정보'!B14="","",'01_인적정보'!H14)</f>
        <v/>
      </c>
      <c r="F14" s="114">
        <f>IF('01_인적정보'!B14="","",'07a_상반기입력'!G14)</f>
        <v/>
      </c>
      <c r="G14" s="114">
        <f>IF('01_인적정보'!B14="","",'07a_상반기입력'!H14)</f>
        <v/>
      </c>
      <c r="H14" s="115">
        <f>IFERROR(IF(AND(F14&lt;&gt;"",G14&lt;&gt;""),'02_의사결정·종합결과'!$B$67*IFERROR(CHOOSE(FIND(F14,"DCBAS"),1,2,3,4,5),0)+'02_의사결정·종합결과'!$B$68*IFERROR(CHOOSE(FIND(G14,"DCBAS"),1,2,3,4,5),0),IF(F14&lt;&gt;"",IFERROR(CHOOSE(FIND(F14,"DCBAS"),1,2,3,4,5),0),IF(G14&lt;&gt;"",IFERROR(CHOOSE(FIND(G14,"DCBAS"),1,2,3,4,5),0),""))),"")</f>
        <v/>
      </c>
      <c r="I14" s="116">
        <f>IF(H14="","",IF(H14&gt;=4.5,"S",IF(H14&gt;=3.5,"A",IF(H14&gt;=2.5,"B",IF(H14&gt;=1.5,"C","D")))))</f>
        <v/>
      </c>
      <c r="J14" s="107" t="n"/>
      <c r="K14" s="107" t="n"/>
      <c r="L14" s="117" t="n"/>
      <c r="M14" s="107" t="n"/>
      <c r="N14" s="107" t="n"/>
      <c r="O14" s="107" t="n"/>
      <c r="P14" s="118" t="n"/>
      <c r="Q14" s="107" t="n"/>
      <c r="R14" s="107" t="n"/>
      <c r="S14" s="107" t="n"/>
      <c r="T14" s="107" t="n"/>
      <c r="U14" s="107" t="n"/>
    </row>
    <row r="15" ht="22" customHeight="1" s="86">
      <c r="A15" s="111">
        <f>IF('01_인적정보'!B15="","",'01_인적정보'!A15)</f>
        <v/>
      </c>
      <c r="B15" s="111">
        <f>IF('01_인적정보'!B15="","",'01_인적정보'!B15)</f>
        <v/>
      </c>
      <c r="C15" s="112">
        <f>IF('01_인적정보'!B15="","",'01_인적정보'!C15)</f>
        <v/>
      </c>
      <c r="D15" s="112">
        <f>IF('01_인적정보'!B15="","",'01_인적정보'!E15)</f>
        <v/>
      </c>
      <c r="E15" s="113">
        <f>IF('01_인적정보'!B15="","",'01_인적정보'!H15)</f>
        <v/>
      </c>
      <c r="F15" s="114">
        <f>IF('01_인적정보'!B15="","",'07a_상반기입력'!G15)</f>
        <v/>
      </c>
      <c r="G15" s="114">
        <f>IF('01_인적정보'!B15="","",'07a_상반기입력'!H15)</f>
        <v/>
      </c>
      <c r="H15" s="115">
        <f>IFERROR(IF(AND(F15&lt;&gt;"",G15&lt;&gt;""),'02_의사결정·종합결과'!$B$67*IFERROR(CHOOSE(FIND(F15,"DCBAS"),1,2,3,4,5),0)+'02_의사결정·종합결과'!$B$68*IFERROR(CHOOSE(FIND(G15,"DCBAS"),1,2,3,4,5),0),IF(F15&lt;&gt;"",IFERROR(CHOOSE(FIND(F15,"DCBAS"),1,2,3,4,5),0),IF(G15&lt;&gt;"",IFERROR(CHOOSE(FIND(G15,"DCBAS"),1,2,3,4,5),0),""))),"")</f>
        <v/>
      </c>
      <c r="I15" s="116">
        <f>IF(H15="","",IF(H15&gt;=4.5,"S",IF(H15&gt;=3.5,"A",IF(H15&gt;=2.5,"B",IF(H15&gt;=1.5,"C","D")))))</f>
        <v/>
      </c>
      <c r="J15" s="107" t="n"/>
      <c r="K15" s="107" t="n"/>
      <c r="L15" s="117" t="n"/>
      <c r="M15" s="107" t="n"/>
      <c r="N15" s="107" t="n"/>
      <c r="O15" s="107" t="n"/>
      <c r="P15" s="118" t="n"/>
      <c r="Q15" s="107" t="n"/>
      <c r="R15" s="107" t="n"/>
      <c r="S15" s="107" t="n"/>
      <c r="T15" s="107" t="n"/>
      <c r="U15" s="107" t="n"/>
    </row>
    <row r="16" ht="22" customHeight="1" s="86">
      <c r="A16" s="111">
        <f>IF('01_인적정보'!B16="","",'01_인적정보'!A16)</f>
        <v/>
      </c>
      <c r="B16" s="111">
        <f>IF('01_인적정보'!B16="","",'01_인적정보'!B16)</f>
        <v/>
      </c>
      <c r="C16" s="112">
        <f>IF('01_인적정보'!B16="","",'01_인적정보'!C16)</f>
        <v/>
      </c>
      <c r="D16" s="112">
        <f>IF('01_인적정보'!B16="","",'01_인적정보'!E16)</f>
        <v/>
      </c>
      <c r="E16" s="113">
        <f>IF('01_인적정보'!B16="","",'01_인적정보'!H16)</f>
        <v/>
      </c>
      <c r="F16" s="114">
        <f>IF('01_인적정보'!B16="","",'07a_상반기입력'!G16)</f>
        <v/>
      </c>
      <c r="G16" s="114">
        <f>IF('01_인적정보'!B16="","",'07a_상반기입력'!H16)</f>
        <v/>
      </c>
      <c r="H16" s="115">
        <f>IFERROR(IF(AND(F16&lt;&gt;"",G16&lt;&gt;""),'02_의사결정·종합결과'!$B$67*IFERROR(CHOOSE(FIND(F16,"DCBAS"),1,2,3,4,5),0)+'02_의사결정·종합결과'!$B$68*IFERROR(CHOOSE(FIND(G16,"DCBAS"),1,2,3,4,5),0),IF(F16&lt;&gt;"",IFERROR(CHOOSE(FIND(F16,"DCBAS"),1,2,3,4,5),0),IF(G16&lt;&gt;"",IFERROR(CHOOSE(FIND(G16,"DCBAS"),1,2,3,4,5),0),""))),"")</f>
        <v/>
      </c>
      <c r="I16" s="116">
        <f>IF(H16="","",IF(H16&gt;=4.5,"S",IF(H16&gt;=3.5,"A",IF(H16&gt;=2.5,"B",IF(H16&gt;=1.5,"C","D")))))</f>
        <v/>
      </c>
      <c r="J16" s="107" t="n"/>
      <c r="K16" s="107" t="n"/>
      <c r="L16" s="117" t="n"/>
      <c r="M16" s="107" t="n"/>
      <c r="N16" s="107" t="n"/>
      <c r="O16" s="107" t="n"/>
      <c r="P16" s="118" t="n"/>
      <c r="Q16" s="107" t="n"/>
      <c r="R16" s="107" t="n"/>
      <c r="S16" s="107" t="n"/>
      <c r="T16" s="107" t="n"/>
      <c r="U16" s="107" t="n"/>
    </row>
    <row r="17" ht="22" customHeight="1" s="86">
      <c r="A17" s="111">
        <f>IF('01_인적정보'!B17="","",'01_인적정보'!A17)</f>
        <v/>
      </c>
      <c r="B17" s="111">
        <f>IF('01_인적정보'!B17="","",'01_인적정보'!B17)</f>
        <v/>
      </c>
      <c r="C17" s="112">
        <f>IF('01_인적정보'!B17="","",'01_인적정보'!C17)</f>
        <v/>
      </c>
      <c r="D17" s="112">
        <f>IF('01_인적정보'!B17="","",'01_인적정보'!E17)</f>
        <v/>
      </c>
      <c r="E17" s="113">
        <f>IF('01_인적정보'!B17="","",'01_인적정보'!H17)</f>
        <v/>
      </c>
      <c r="F17" s="114">
        <f>IF('01_인적정보'!B17="","",'07a_상반기입력'!G17)</f>
        <v/>
      </c>
      <c r="G17" s="114">
        <f>IF('01_인적정보'!B17="","",'07a_상반기입력'!H17)</f>
        <v/>
      </c>
      <c r="H17" s="115">
        <f>IFERROR(IF(AND(F17&lt;&gt;"",G17&lt;&gt;""),'02_의사결정·종합결과'!$B$67*IFERROR(CHOOSE(FIND(F17,"DCBAS"),1,2,3,4,5),0)+'02_의사결정·종합결과'!$B$68*IFERROR(CHOOSE(FIND(G17,"DCBAS"),1,2,3,4,5),0),IF(F17&lt;&gt;"",IFERROR(CHOOSE(FIND(F17,"DCBAS"),1,2,3,4,5),0),IF(G17&lt;&gt;"",IFERROR(CHOOSE(FIND(G17,"DCBAS"),1,2,3,4,5),0),""))),"")</f>
        <v/>
      </c>
      <c r="I17" s="116">
        <f>IF(H17="","",IF(H17&gt;=4.5,"S",IF(H17&gt;=3.5,"A",IF(H17&gt;=2.5,"B",IF(H17&gt;=1.5,"C","D")))))</f>
        <v/>
      </c>
      <c r="J17" s="107" t="n"/>
      <c r="K17" s="107" t="n"/>
      <c r="L17" s="117" t="n"/>
      <c r="M17" s="107" t="n"/>
      <c r="N17" s="107" t="n"/>
      <c r="O17" s="107" t="n"/>
      <c r="P17" s="118" t="n"/>
      <c r="Q17" s="107" t="n"/>
      <c r="R17" s="107" t="n"/>
      <c r="S17" s="107" t="n"/>
      <c r="T17" s="107" t="n"/>
      <c r="U17" s="107" t="n"/>
    </row>
    <row r="18" ht="22" customHeight="1" s="86">
      <c r="A18" s="111">
        <f>IF('01_인적정보'!B18="","",'01_인적정보'!A18)</f>
        <v/>
      </c>
      <c r="B18" s="111">
        <f>IF('01_인적정보'!B18="","",'01_인적정보'!B18)</f>
        <v/>
      </c>
      <c r="C18" s="112">
        <f>IF('01_인적정보'!B18="","",'01_인적정보'!C18)</f>
        <v/>
      </c>
      <c r="D18" s="112">
        <f>IF('01_인적정보'!B18="","",'01_인적정보'!E18)</f>
        <v/>
      </c>
      <c r="E18" s="113">
        <f>IF('01_인적정보'!B18="","",'01_인적정보'!H18)</f>
        <v/>
      </c>
      <c r="F18" s="114">
        <f>IF('01_인적정보'!B18="","",'07a_상반기입력'!G18)</f>
        <v/>
      </c>
      <c r="G18" s="114">
        <f>IF('01_인적정보'!B18="","",'07a_상반기입력'!H18)</f>
        <v/>
      </c>
      <c r="H18" s="115">
        <f>IFERROR(IF(AND(F18&lt;&gt;"",G18&lt;&gt;""),'02_의사결정·종합결과'!$B$67*IFERROR(CHOOSE(FIND(F18,"DCBAS"),1,2,3,4,5),0)+'02_의사결정·종합결과'!$B$68*IFERROR(CHOOSE(FIND(G18,"DCBAS"),1,2,3,4,5),0),IF(F18&lt;&gt;"",IFERROR(CHOOSE(FIND(F18,"DCBAS"),1,2,3,4,5),0),IF(G18&lt;&gt;"",IFERROR(CHOOSE(FIND(G18,"DCBAS"),1,2,3,4,5),0),""))),"")</f>
        <v/>
      </c>
      <c r="I18" s="116">
        <f>IF(H18="","",IF(H18&gt;=4.5,"S",IF(H18&gt;=3.5,"A",IF(H18&gt;=2.5,"B",IF(H18&gt;=1.5,"C","D")))))</f>
        <v/>
      </c>
      <c r="J18" s="107" t="n"/>
      <c r="K18" s="107" t="n"/>
      <c r="L18" s="117" t="n"/>
      <c r="M18" s="107" t="n"/>
      <c r="N18" s="107" t="n"/>
      <c r="O18" s="107" t="n"/>
      <c r="P18" s="118" t="n"/>
      <c r="Q18" s="107" t="n"/>
      <c r="R18" s="107" t="n"/>
      <c r="S18" s="107" t="n"/>
      <c r="T18" s="107" t="n"/>
      <c r="U18" s="107" t="n"/>
    </row>
    <row r="19" ht="22" customHeight="1" s="86">
      <c r="A19" s="111">
        <f>IF('01_인적정보'!B19="","",'01_인적정보'!A19)</f>
        <v/>
      </c>
      <c r="B19" s="111">
        <f>IF('01_인적정보'!B19="","",'01_인적정보'!B19)</f>
        <v/>
      </c>
      <c r="C19" s="112">
        <f>IF('01_인적정보'!B19="","",'01_인적정보'!C19)</f>
        <v/>
      </c>
      <c r="D19" s="112">
        <f>IF('01_인적정보'!B19="","",'01_인적정보'!E19)</f>
        <v/>
      </c>
      <c r="E19" s="113">
        <f>IF('01_인적정보'!B19="","",'01_인적정보'!H19)</f>
        <v/>
      </c>
      <c r="F19" s="114">
        <f>IF('01_인적정보'!B19="","",'07a_상반기입력'!G19)</f>
        <v/>
      </c>
      <c r="G19" s="114">
        <f>IF('01_인적정보'!B19="","",'07a_상반기입력'!H19)</f>
        <v/>
      </c>
      <c r="H19" s="115">
        <f>IFERROR(IF(AND(F19&lt;&gt;"",G19&lt;&gt;""),'02_의사결정·종합결과'!$B$67*IFERROR(CHOOSE(FIND(F19,"DCBAS"),1,2,3,4,5),0)+'02_의사결정·종합결과'!$B$68*IFERROR(CHOOSE(FIND(G19,"DCBAS"),1,2,3,4,5),0),IF(F19&lt;&gt;"",IFERROR(CHOOSE(FIND(F19,"DCBAS"),1,2,3,4,5),0),IF(G19&lt;&gt;"",IFERROR(CHOOSE(FIND(G19,"DCBAS"),1,2,3,4,5),0),""))),"")</f>
        <v/>
      </c>
      <c r="I19" s="116">
        <f>IF(H19="","",IF(H19&gt;=4.5,"S",IF(H19&gt;=3.5,"A",IF(H19&gt;=2.5,"B",IF(H19&gt;=1.5,"C","D")))))</f>
        <v/>
      </c>
      <c r="J19" s="107" t="n"/>
      <c r="K19" s="107" t="n"/>
      <c r="L19" s="117" t="n"/>
      <c r="M19" s="107" t="n"/>
      <c r="N19" s="107" t="n"/>
      <c r="O19" s="107" t="n"/>
      <c r="P19" s="118" t="n"/>
      <c r="Q19" s="107" t="n"/>
      <c r="R19" s="107" t="n"/>
      <c r="S19" s="107" t="n"/>
      <c r="T19" s="107" t="n"/>
      <c r="U19" s="107" t="n"/>
    </row>
    <row r="20" ht="22" customHeight="1" s="86">
      <c r="A20" s="111">
        <f>IF('01_인적정보'!B20="","",'01_인적정보'!A20)</f>
        <v/>
      </c>
      <c r="B20" s="111">
        <f>IF('01_인적정보'!B20="","",'01_인적정보'!B20)</f>
        <v/>
      </c>
      <c r="C20" s="112">
        <f>IF('01_인적정보'!B20="","",'01_인적정보'!C20)</f>
        <v/>
      </c>
      <c r="D20" s="112">
        <f>IF('01_인적정보'!B20="","",'01_인적정보'!E20)</f>
        <v/>
      </c>
      <c r="E20" s="113">
        <f>IF('01_인적정보'!B20="","",'01_인적정보'!H20)</f>
        <v/>
      </c>
      <c r="F20" s="114">
        <f>IF('01_인적정보'!B20="","",'07a_상반기입력'!G20)</f>
        <v/>
      </c>
      <c r="G20" s="114">
        <f>IF('01_인적정보'!B20="","",'07a_상반기입력'!H20)</f>
        <v/>
      </c>
      <c r="H20" s="115">
        <f>IFERROR(IF(AND(F20&lt;&gt;"",G20&lt;&gt;""),'02_의사결정·종합결과'!$B$67*IFERROR(CHOOSE(FIND(F20,"DCBAS"),1,2,3,4,5),0)+'02_의사결정·종합결과'!$B$68*IFERROR(CHOOSE(FIND(G20,"DCBAS"),1,2,3,4,5),0),IF(F20&lt;&gt;"",IFERROR(CHOOSE(FIND(F20,"DCBAS"),1,2,3,4,5),0),IF(G20&lt;&gt;"",IFERROR(CHOOSE(FIND(G20,"DCBAS"),1,2,3,4,5),0),""))),"")</f>
        <v/>
      </c>
      <c r="I20" s="116">
        <f>IF(H20="","",IF(H20&gt;=4.5,"S",IF(H20&gt;=3.5,"A",IF(H20&gt;=2.5,"B",IF(H20&gt;=1.5,"C","D")))))</f>
        <v/>
      </c>
      <c r="J20" s="107" t="n"/>
      <c r="K20" s="107" t="n"/>
      <c r="L20" s="117" t="n"/>
      <c r="M20" s="107" t="n"/>
      <c r="N20" s="107" t="n"/>
      <c r="O20" s="107" t="n"/>
      <c r="P20" s="118" t="n"/>
      <c r="Q20" s="107" t="n"/>
      <c r="R20" s="107" t="n"/>
      <c r="S20" s="107" t="n"/>
      <c r="T20" s="107" t="n"/>
      <c r="U20" s="107" t="n"/>
    </row>
    <row r="21" ht="22" customHeight="1" s="86">
      <c r="A21" s="111">
        <f>IF('01_인적정보'!B21="","",'01_인적정보'!A21)</f>
        <v/>
      </c>
      <c r="B21" s="111">
        <f>IF('01_인적정보'!B21="","",'01_인적정보'!B21)</f>
        <v/>
      </c>
      <c r="C21" s="112">
        <f>IF('01_인적정보'!B21="","",'01_인적정보'!C21)</f>
        <v/>
      </c>
      <c r="D21" s="112">
        <f>IF('01_인적정보'!B21="","",'01_인적정보'!E21)</f>
        <v/>
      </c>
      <c r="E21" s="113">
        <f>IF('01_인적정보'!B21="","",'01_인적정보'!H21)</f>
        <v/>
      </c>
      <c r="F21" s="114">
        <f>IF('01_인적정보'!B21="","",'07a_상반기입력'!G21)</f>
        <v/>
      </c>
      <c r="G21" s="114">
        <f>IF('01_인적정보'!B21="","",'07a_상반기입력'!H21)</f>
        <v/>
      </c>
      <c r="H21" s="115">
        <f>IFERROR(IF(AND(F21&lt;&gt;"",G21&lt;&gt;""),'02_의사결정·종합결과'!$B$67*IFERROR(CHOOSE(FIND(F21,"DCBAS"),1,2,3,4,5),0)+'02_의사결정·종합결과'!$B$68*IFERROR(CHOOSE(FIND(G21,"DCBAS"),1,2,3,4,5),0),IF(F21&lt;&gt;"",IFERROR(CHOOSE(FIND(F21,"DCBAS"),1,2,3,4,5),0),IF(G21&lt;&gt;"",IFERROR(CHOOSE(FIND(G21,"DCBAS"),1,2,3,4,5),0),""))),"")</f>
        <v/>
      </c>
      <c r="I21" s="116">
        <f>IF(H21="","",IF(H21&gt;=4.5,"S",IF(H21&gt;=3.5,"A",IF(H21&gt;=2.5,"B",IF(H21&gt;=1.5,"C","D")))))</f>
        <v/>
      </c>
      <c r="J21" s="107" t="n"/>
      <c r="K21" s="107" t="n"/>
      <c r="L21" s="117" t="n"/>
      <c r="M21" s="107" t="n"/>
      <c r="N21" s="107" t="n"/>
      <c r="O21" s="107" t="n"/>
      <c r="P21" s="118" t="n"/>
      <c r="Q21" s="107" t="n"/>
      <c r="R21" s="107" t="n"/>
      <c r="S21" s="107" t="n"/>
      <c r="T21" s="107" t="n"/>
      <c r="U21" s="107" t="n"/>
    </row>
    <row r="22" ht="22" customHeight="1" s="86">
      <c r="A22" s="111">
        <f>IF('01_인적정보'!B22="","",'01_인적정보'!A22)</f>
        <v/>
      </c>
      <c r="B22" s="111">
        <f>IF('01_인적정보'!B22="","",'01_인적정보'!B22)</f>
        <v/>
      </c>
      <c r="C22" s="112">
        <f>IF('01_인적정보'!B22="","",'01_인적정보'!C22)</f>
        <v/>
      </c>
      <c r="D22" s="112">
        <f>IF('01_인적정보'!B22="","",'01_인적정보'!E22)</f>
        <v/>
      </c>
      <c r="E22" s="113">
        <f>IF('01_인적정보'!B22="","",'01_인적정보'!H22)</f>
        <v/>
      </c>
      <c r="F22" s="114">
        <f>IF('01_인적정보'!B22="","",'07a_상반기입력'!G22)</f>
        <v/>
      </c>
      <c r="G22" s="114">
        <f>IF('01_인적정보'!B22="","",'07a_상반기입력'!H22)</f>
        <v/>
      </c>
      <c r="H22" s="115">
        <f>IFERROR(IF(AND(F22&lt;&gt;"",G22&lt;&gt;""),'02_의사결정·종합결과'!$B$67*IFERROR(CHOOSE(FIND(F22,"DCBAS"),1,2,3,4,5),0)+'02_의사결정·종합결과'!$B$68*IFERROR(CHOOSE(FIND(G22,"DCBAS"),1,2,3,4,5),0),IF(F22&lt;&gt;"",IFERROR(CHOOSE(FIND(F22,"DCBAS"),1,2,3,4,5),0),IF(G22&lt;&gt;"",IFERROR(CHOOSE(FIND(G22,"DCBAS"),1,2,3,4,5),0),""))),"")</f>
        <v/>
      </c>
      <c r="I22" s="116">
        <f>IF(H22="","",IF(H22&gt;=4.5,"S",IF(H22&gt;=3.5,"A",IF(H22&gt;=2.5,"B",IF(H22&gt;=1.5,"C","D")))))</f>
        <v/>
      </c>
      <c r="J22" s="107" t="n"/>
      <c r="K22" s="107" t="n"/>
      <c r="L22" s="117" t="n"/>
      <c r="M22" s="107" t="n"/>
      <c r="N22" s="107" t="n"/>
      <c r="O22" s="107" t="n"/>
      <c r="P22" s="118" t="n"/>
      <c r="Q22" s="107" t="n"/>
      <c r="R22" s="107" t="n"/>
      <c r="S22" s="107" t="n"/>
      <c r="T22" s="107" t="n"/>
      <c r="U22" s="107" t="n"/>
    </row>
    <row r="23" ht="22" customHeight="1" s="86">
      <c r="A23" s="111">
        <f>IF('01_인적정보'!B23="","",'01_인적정보'!A23)</f>
        <v/>
      </c>
      <c r="B23" s="111">
        <f>IF('01_인적정보'!B23="","",'01_인적정보'!B23)</f>
        <v/>
      </c>
      <c r="C23" s="112">
        <f>IF('01_인적정보'!B23="","",'01_인적정보'!C23)</f>
        <v/>
      </c>
      <c r="D23" s="112">
        <f>IF('01_인적정보'!B23="","",'01_인적정보'!E23)</f>
        <v/>
      </c>
      <c r="E23" s="113">
        <f>IF('01_인적정보'!B23="","",'01_인적정보'!H23)</f>
        <v/>
      </c>
      <c r="F23" s="114">
        <f>IF('01_인적정보'!B23="","",'07a_상반기입력'!G23)</f>
        <v/>
      </c>
      <c r="G23" s="114">
        <f>IF('01_인적정보'!B23="","",'07a_상반기입력'!H23)</f>
        <v/>
      </c>
      <c r="H23" s="115">
        <f>IFERROR(IF(AND(F23&lt;&gt;"",G23&lt;&gt;""),'02_의사결정·종합결과'!$B$67*IFERROR(CHOOSE(FIND(F23,"DCBAS"),1,2,3,4,5),0)+'02_의사결정·종합결과'!$B$68*IFERROR(CHOOSE(FIND(G23,"DCBAS"),1,2,3,4,5),0),IF(F23&lt;&gt;"",IFERROR(CHOOSE(FIND(F23,"DCBAS"),1,2,3,4,5),0),IF(G23&lt;&gt;"",IFERROR(CHOOSE(FIND(G23,"DCBAS"),1,2,3,4,5),0),""))),"")</f>
        <v/>
      </c>
      <c r="I23" s="116">
        <f>IF(H23="","",IF(H23&gt;=4.5,"S",IF(H23&gt;=3.5,"A",IF(H23&gt;=2.5,"B",IF(H23&gt;=1.5,"C","D")))))</f>
        <v/>
      </c>
      <c r="J23" s="107" t="n"/>
      <c r="K23" s="107" t="n"/>
      <c r="L23" s="117" t="n"/>
      <c r="M23" s="107" t="n"/>
      <c r="N23" s="107" t="n"/>
      <c r="O23" s="107" t="n"/>
      <c r="P23" s="118" t="n"/>
      <c r="Q23" s="107" t="n"/>
      <c r="R23" s="107" t="n"/>
      <c r="S23" s="107" t="n"/>
      <c r="T23" s="107" t="n"/>
      <c r="U23" s="107" t="n"/>
    </row>
    <row r="24" ht="22" customHeight="1" s="86">
      <c r="A24" s="111">
        <f>IF('01_인적정보'!B24="","",'01_인적정보'!A24)</f>
        <v/>
      </c>
      <c r="B24" s="111">
        <f>IF('01_인적정보'!B24="","",'01_인적정보'!B24)</f>
        <v/>
      </c>
      <c r="C24" s="112">
        <f>IF('01_인적정보'!B24="","",'01_인적정보'!C24)</f>
        <v/>
      </c>
      <c r="D24" s="112">
        <f>IF('01_인적정보'!B24="","",'01_인적정보'!E24)</f>
        <v/>
      </c>
      <c r="E24" s="113">
        <f>IF('01_인적정보'!B24="","",'01_인적정보'!H24)</f>
        <v/>
      </c>
      <c r="F24" s="114">
        <f>IF('01_인적정보'!B24="","",'07a_상반기입력'!G24)</f>
        <v/>
      </c>
      <c r="G24" s="114">
        <f>IF('01_인적정보'!B24="","",'07a_상반기입력'!H24)</f>
        <v/>
      </c>
      <c r="H24" s="115">
        <f>IFERROR(IF(AND(F24&lt;&gt;"",G24&lt;&gt;""),'02_의사결정·종합결과'!$B$67*IFERROR(CHOOSE(FIND(F24,"DCBAS"),1,2,3,4,5),0)+'02_의사결정·종합결과'!$B$68*IFERROR(CHOOSE(FIND(G24,"DCBAS"),1,2,3,4,5),0),IF(F24&lt;&gt;"",IFERROR(CHOOSE(FIND(F24,"DCBAS"),1,2,3,4,5),0),IF(G24&lt;&gt;"",IFERROR(CHOOSE(FIND(G24,"DCBAS"),1,2,3,4,5),0),""))),"")</f>
        <v/>
      </c>
      <c r="I24" s="116">
        <f>IF(H24="","",IF(H24&gt;=4.5,"S",IF(H24&gt;=3.5,"A",IF(H24&gt;=2.5,"B",IF(H24&gt;=1.5,"C","D")))))</f>
        <v/>
      </c>
      <c r="J24" s="107" t="n"/>
      <c r="K24" s="107" t="n"/>
      <c r="L24" s="117" t="n"/>
      <c r="M24" s="107" t="n"/>
      <c r="N24" s="107" t="n"/>
      <c r="O24" s="107" t="n"/>
      <c r="P24" s="118" t="n"/>
      <c r="Q24" s="107" t="n"/>
      <c r="R24" s="107" t="n"/>
      <c r="S24" s="107" t="n"/>
      <c r="T24" s="107" t="n"/>
      <c r="U24" s="107" t="n"/>
    </row>
    <row r="25" ht="22" customHeight="1" s="86">
      <c r="A25" s="111">
        <f>IF('01_인적정보'!B25="","",'01_인적정보'!A25)</f>
        <v/>
      </c>
      <c r="B25" s="111">
        <f>IF('01_인적정보'!B25="","",'01_인적정보'!B25)</f>
        <v/>
      </c>
      <c r="C25" s="112">
        <f>IF('01_인적정보'!B25="","",'01_인적정보'!C25)</f>
        <v/>
      </c>
      <c r="D25" s="112">
        <f>IF('01_인적정보'!B25="","",'01_인적정보'!E25)</f>
        <v/>
      </c>
      <c r="E25" s="113">
        <f>IF('01_인적정보'!B25="","",'01_인적정보'!H25)</f>
        <v/>
      </c>
      <c r="F25" s="114">
        <f>IF('01_인적정보'!B25="","",'07a_상반기입력'!G25)</f>
        <v/>
      </c>
      <c r="G25" s="114">
        <f>IF('01_인적정보'!B25="","",'07a_상반기입력'!H25)</f>
        <v/>
      </c>
      <c r="H25" s="115">
        <f>IFERROR(IF(AND(F25&lt;&gt;"",G25&lt;&gt;""),'02_의사결정·종합결과'!$B$67*IFERROR(CHOOSE(FIND(F25,"DCBAS"),1,2,3,4,5),0)+'02_의사결정·종합결과'!$B$68*IFERROR(CHOOSE(FIND(G25,"DCBAS"),1,2,3,4,5),0),IF(F25&lt;&gt;"",IFERROR(CHOOSE(FIND(F25,"DCBAS"),1,2,3,4,5),0),IF(G25&lt;&gt;"",IFERROR(CHOOSE(FIND(G25,"DCBAS"),1,2,3,4,5),0),""))),"")</f>
        <v/>
      </c>
      <c r="I25" s="116">
        <f>IF(H25="","",IF(H25&gt;=4.5,"S",IF(H25&gt;=3.5,"A",IF(H25&gt;=2.5,"B",IF(H25&gt;=1.5,"C","D")))))</f>
        <v/>
      </c>
      <c r="J25" s="107" t="n"/>
      <c r="K25" s="107" t="n"/>
      <c r="L25" s="117" t="n"/>
      <c r="M25" s="107" t="n"/>
      <c r="N25" s="107" t="n"/>
      <c r="O25" s="107" t="n"/>
      <c r="P25" s="118" t="n"/>
      <c r="Q25" s="107" t="n"/>
      <c r="R25" s="107" t="n"/>
      <c r="S25" s="107" t="n"/>
      <c r="T25" s="107" t="n"/>
      <c r="U25" s="107" t="n"/>
    </row>
    <row r="26" ht="22" customHeight="1" s="86">
      <c r="A26" s="111">
        <f>IF('01_인적정보'!B26="","",'01_인적정보'!A26)</f>
        <v/>
      </c>
      <c r="B26" s="111">
        <f>IF('01_인적정보'!B26="","",'01_인적정보'!B26)</f>
        <v/>
      </c>
      <c r="C26" s="112">
        <f>IF('01_인적정보'!B26="","",'01_인적정보'!C26)</f>
        <v/>
      </c>
      <c r="D26" s="112">
        <f>IF('01_인적정보'!B26="","",'01_인적정보'!E26)</f>
        <v/>
      </c>
      <c r="E26" s="113">
        <f>IF('01_인적정보'!B26="","",'01_인적정보'!H26)</f>
        <v/>
      </c>
      <c r="F26" s="114">
        <f>IF('01_인적정보'!B26="","",'07a_상반기입력'!G26)</f>
        <v/>
      </c>
      <c r="G26" s="114">
        <f>IF('01_인적정보'!B26="","",'07a_상반기입력'!H26)</f>
        <v/>
      </c>
      <c r="H26" s="115">
        <f>IFERROR(IF(AND(F26&lt;&gt;"",G26&lt;&gt;""),'02_의사결정·종합결과'!$B$67*IFERROR(CHOOSE(FIND(F26,"DCBAS"),1,2,3,4,5),0)+'02_의사결정·종합결과'!$B$68*IFERROR(CHOOSE(FIND(G26,"DCBAS"),1,2,3,4,5),0),IF(F26&lt;&gt;"",IFERROR(CHOOSE(FIND(F26,"DCBAS"),1,2,3,4,5),0),IF(G26&lt;&gt;"",IFERROR(CHOOSE(FIND(G26,"DCBAS"),1,2,3,4,5),0),""))),"")</f>
        <v/>
      </c>
      <c r="I26" s="116">
        <f>IF(H26="","",IF(H26&gt;=4.5,"S",IF(H26&gt;=3.5,"A",IF(H26&gt;=2.5,"B",IF(H26&gt;=1.5,"C","D")))))</f>
        <v/>
      </c>
      <c r="J26" s="107" t="n"/>
      <c r="K26" s="107" t="n"/>
      <c r="L26" s="117" t="n"/>
      <c r="M26" s="107" t="n"/>
      <c r="N26" s="107" t="n"/>
      <c r="O26" s="107" t="n"/>
      <c r="P26" s="118" t="n"/>
      <c r="Q26" s="107" t="n"/>
      <c r="R26" s="107" t="n"/>
      <c r="S26" s="107" t="n"/>
      <c r="T26" s="107" t="n"/>
      <c r="U26" s="107" t="n"/>
    </row>
    <row r="27" ht="22" customHeight="1" s="86">
      <c r="A27" s="111">
        <f>IF('01_인적정보'!B27="","",'01_인적정보'!A27)</f>
        <v/>
      </c>
      <c r="B27" s="111">
        <f>IF('01_인적정보'!B27="","",'01_인적정보'!B27)</f>
        <v/>
      </c>
      <c r="C27" s="112">
        <f>IF('01_인적정보'!B27="","",'01_인적정보'!C27)</f>
        <v/>
      </c>
      <c r="D27" s="112">
        <f>IF('01_인적정보'!B27="","",'01_인적정보'!E27)</f>
        <v/>
      </c>
      <c r="E27" s="113">
        <f>IF('01_인적정보'!B27="","",'01_인적정보'!H27)</f>
        <v/>
      </c>
      <c r="F27" s="114">
        <f>IF('01_인적정보'!B27="","",'07a_상반기입력'!G27)</f>
        <v/>
      </c>
      <c r="G27" s="114">
        <f>IF('01_인적정보'!B27="","",'07a_상반기입력'!H27)</f>
        <v/>
      </c>
      <c r="H27" s="115">
        <f>IFERROR(IF(AND(F27&lt;&gt;"",G27&lt;&gt;""),'02_의사결정·종합결과'!$B$67*IFERROR(CHOOSE(FIND(F27,"DCBAS"),1,2,3,4,5),0)+'02_의사결정·종합결과'!$B$68*IFERROR(CHOOSE(FIND(G27,"DCBAS"),1,2,3,4,5),0),IF(F27&lt;&gt;"",IFERROR(CHOOSE(FIND(F27,"DCBAS"),1,2,3,4,5),0),IF(G27&lt;&gt;"",IFERROR(CHOOSE(FIND(G27,"DCBAS"),1,2,3,4,5),0),""))),"")</f>
        <v/>
      </c>
      <c r="I27" s="116">
        <f>IF(H27="","",IF(H27&gt;=4.5,"S",IF(H27&gt;=3.5,"A",IF(H27&gt;=2.5,"B",IF(H27&gt;=1.5,"C","D")))))</f>
        <v/>
      </c>
      <c r="J27" s="107" t="n"/>
      <c r="K27" s="107" t="n"/>
      <c r="L27" s="117" t="n"/>
      <c r="M27" s="107" t="n"/>
      <c r="N27" s="107" t="n"/>
      <c r="O27" s="107" t="n"/>
      <c r="P27" s="118" t="n"/>
      <c r="Q27" s="107" t="n"/>
      <c r="R27" s="107" t="n"/>
      <c r="S27" s="107" t="n"/>
      <c r="T27" s="107" t="n"/>
      <c r="U27" s="107" t="n"/>
    </row>
    <row r="28" ht="22" customHeight="1" s="86">
      <c r="A28" s="111">
        <f>IF('01_인적정보'!B28="","",'01_인적정보'!A28)</f>
        <v/>
      </c>
      <c r="B28" s="111">
        <f>IF('01_인적정보'!B28="","",'01_인적정보'!B28)</f>
        <v/>
      </c>
      <c r="C28" s="112">
        <f>IF('01_인적정보'!B28="","",'01_인적정보'!C28)</f>
        <v/>
      </c>
      <c r="D28" s="112">
        <f>IF('01_인적정보'!B28="","",'01_인적정보'!E28)</f>
        <v/>
      </c>
      <c r="E28" s="113">
        <f>IF('01_인적정보'!B28="","",'01_인적정보'!H28)</f>
        <v/>
      </c>
      <c r="F28" s="114">
        <f>IF('01_인적정보'!B28="","",'07a_상반기입력'!G28)</f>
        <v/>
      </c>
      <c r="G28" s="114">
        <f>IF('01_인적정보'!B28="","",'07a_상반기입력'!H28)</f>
        <v/>
      </c>
      <c r="H28" s="115">
        <f>IFERROR(IF(AND(F28&lt;&gt;"",G28&lt;&gt;""),'02_의사결정·종합결과'!$B$67*IFERROR(CHOOSE(FIND(F28,"DCBAS"),1,2,3,4,5),0)+'02_의사결정·종합결과'!$B$68*IFERROR(CHOOSE(FIND(G28,"DCBAS"),1,2,3,4,5),0),IF(F28&lt;&gt;"",IFERROR(CHOOSE(FIND(F28,"DCBAS"),1,2,3,4,5),0),IF(G28&lt;&gt;"",IFERROR(CHOOSE(FIND(G28,"DCBAS"),1,2,3,4,5),0),""))),"")</f>
        <v/>
      </c>
      <c r="I28" s="116">
        <f>IF(H28="","",IF(H28&gt;=4.5,"S",IF(H28&gt;=3.5,"A",IF(H28&gt;=2.5,"B",IF(H28&gt;=1.5,"C","D")))))</f>
        <v/>
      </c>
      <c r="J28" s="107" t="n"/>
      <c r="K28" s="107" t="n"/>
      <c r="L28" s="117" t="n"/>
      <c r="M28" s="107" t="n"/>
      <c r="N28" s="107" t="n"/>
      <c r="O28" s="107" t="n"/>
      <c r="P28" s="118" t="n"/>
      <c r="Q28" s="107" t="n"/>
      <c r="R28" s="107" t="n"/>
      <c r="S28" s="107" t="n"/>
      <c r="T28" s="107" t="n"/>
      <c r="U28" s="107" t="n"/>
    </row>
    <row r="29" ht="22" customHeight="1" s="86">
      <c r="A29" s="111">
        <f>IF('01_인적정보'!B29="","",'01_인적정보'!A29)</f>
        <v/>
      </c>
      <c r="B29" s="111">
        <f>IF('01_인적정보'!B29="","",'01_인적정보'!B29)</f>
        <v/>
      </c>
      <c r="C29" s="112">
        <f>IF('01_인적정보'!B29="","",'01_인적정보'!C29)</f>
        <v/>
      </c>
      <c r="D29" s="112">
        <f>IF('01_인적정보'!B29="","",'01_인적정보'!E29)</f>
        <v/>
      </c>
      <c r="E29" s="113">
        <f>IF('01_인적정보'!B29="","",'01_인적정보'!H29)</f>
        <v/>
      </c>
      <c r="F29" s="114">
        <f>IF('01_인적정보'!B29="","",'07a_상반기입력'!G29)</f>
        <v/>
      </c>
      <c r="G29" s="114">
        <f>IF('01_인적정보'!B29="","",'07a_상반기입력'!H29)</f>
        <v/>
      </c>
      <c r="H29" s="115">
        <f>IFERROR(IF(AND(F29&lt;&gt;"",G29&lt;&gt;""),'02_의사결정·종합결과'!$B$67*IFERROR(CHOOSE(FIND(F29,"DCBAS"),1,2,3,4,5),0)+'02_의사결정·종합결과'!$B$68*IFERROR(CHOOSE(FIND(G29,"DCBAS"),1,2,3,4,5),0),IF(F29&lt;&gt;"",IFERROR(CHOOSE(FIND(F29,"DCBAS"),1,2,3,4,5),0),IF(G29&lt;&gt;"",IFERROR(CHOOSE(FIND(G29,"DCBAS"),1,2,3,4,5),0),""))),"")</f>
        <v/>
      </c>
      <c r="I29" s="116">
        <f>IF(H29="","",IF(H29&gt;=4.5,"S",IF(H29&gt;=3.5,"A",IF(H29&gt;=2.5,"B",IF(H29&gt;=1.5,"C","D")))))</f>
        <v/>
      </c>
      <c r="J29" s="107" t="n"/>
      <c r="K29" s="107" t="n"/>
      <c r="L29" s="117" t="n"/>
      <c r="M29" s="107" t="n"/>
      <c r="N29" s="107" t="n"/>
      <c r="O29" s="107" t="n"/>
      <c r="P29" s="118" t="n"/>
      <c r="Q29" s="107" t="n"/>
      <c r="R29" s="107" t="n"/>
      <c r="S29" s="107" t="n"/>
      <c r="T29" s="107" t="n"/>
      <c r="U29" s="107" t="n"/>
    </row>
    <row r="30" ht="22" customHeight="1" s="86">
      <c r="A30" s="111">
        <f>IF('01_인적정보'!B30="","",'01_인적정보'!A30)</f>
        <v/>
      </c>
      <c r="B30" s="111">
        <f>IF('01_인적정보'!B30="","",'01_인적정보'!B30)</f>
        <v/>
      </c>
      <c r="C30" s="112">
        <f>IF('01_인적정보'!B30="","",'01_인적정보'!C30)</f>
        <v/>
      </c>
      <c r="D30" s="112">
        <f>IF('01_인적정보'!B30="","",'01_인적정보'!E30)</f>
        <v/>
      </c>
      <c r="E30" s="113">
        <f>IF('01_인적정보'!B30="","",'01_인적정보'!H30)</f>
        <v/>
      </c>
      <c r="F30" s="114">
        <f>IF('01_인적정보'!B30="","",'07a_상반기입력'!G30)</f>
        <v/>
      </c>
      <c r="G30" s="114">
        <f>IF('01_인적정보'!B30="","",'07a_상반기입력'!H30)</f>
        <v/>
      </c>
      <c r="H30" s="115">
        <f>IFERROR(IF(AND(F30&lt;&gt;"",G30&lt;&gt;""),'02_의사결정·종합결과'!$B$67*IFERROR(CHOOSE(FIND(F30,"DCBAS"),1,2,3,4,5),0)+'02_의사결정·종합결과'!$B$68*IFERROR(CHOOSE(FIND(G30,"DCBAS"),1,2,3,4,5),0),IF(F30&lt;&gt;"",IFERROR(CHOOSE(FIND(F30,"DCBAS"),1,2,3,4,5),0),IF(G30&lt;&gt;"",IFERROR(CHOOSE(FIND(G30,"DCBAS"),1,2,3,4,5),0),""))),"")</f>
        <v/>
      </c>
      <c r="I30" s="116">
        <f>IF(H30="","",IF(H30&gt;=4.5,"S",IF(H30&gt;=3.5,"A",IF(H30&gt;=2.5,"B",IF(H30&gt;=1.5,"C","D")))))</f>
        <v/>
      </c>
      <c r="J30" s="107" t="n"/>
      <c r="K30" s="107" t="n"/>
      <c r="L30" s="117" t="n"/>
      <c r="M30" s="107" t="n"/>
      <c r="N30" s="107" t="n"/>
      <c r="O30" s="107" t="n"/>
      <c r="P30" s="118" t="n"/>
      <c r="Q30" s="107" t="n"/>
      <c r="R30" s="107" t="n"/>
      <c r="S30" s="107" t="n"/>
      <c r="T30" s="107" t="n"/>
      <c r="U30" s="107" t="n"/>
    </row>
    <row r="31" ht="22" customHeight="1" s="86">
      <c r="A31" s="111">
        <f>IF('01_인적정보'!B31="","",'01_인적정보'!A31)</f>
        <v/>
      </c>
      <c r="B31" s="111">
        <f>IF('01_인적정보'!B31="","",'01_인적정보'!B31)</f>
        <v/>
      </c>
      <c r="C31" s="112">
        <f>IF('01_인적정보'!B31="","",'01_인적정보'!C31)</f>
        <v/>
      </c>
      <c r="D31" s="112">
        <f>IF('01_인적정보'!B31="","",'01_인적정보'!E31)</f>
        <v/>
      </c>
      <c r="E31" s="113">
        <f>IF('01_인적정보'!B31="","",'01_인적정보'!H31)</f>
        <v/>
      </c>
      <c r="F31" s="114">
        <f>IF('01_인적정보'!B31="","",'07a_상반기입력'!G31)</f>
        <v/>
      </c>
      <c r="G31" s="114">
        <f>IF('01_인적정보'!B31="","",'07a_상반기입력'!H31)</f>
        <v/>
      </c>
      <c r="H31" s="115">
        <f>IFERROR(IF(AND(F31&lt;&gt;"",G31&lt;&gt;""),'02_의사결정·종합결과'!$B$67*IFERROR(CHOOSE(FIND(F31,"DCBAS"),1,2,3,4,5),0)+'02_의사결정·종합결과'!$B$68*IFERROR(CHOOSE(FIND(G31,"DCBAS"),1,2,3,4,5),0),IF(F31&lt;&gt;"",IFERROR(CHOOSE(FIND(F31,"DCBAS"),1,2,3,4,5),0),IF(G31&lt;&gt;"",IFERROR(CHOOSE(FIND(G31,"DCBAS"),1,2,3,4,5),0),""))),"")</f>
        <v/>
      </c>
      <c r="I31" s="116">
        <f>IF(H31="","",IF(H31&gt;=4.5,"S",IF(H31&gt;=3.5,"A",IF(H31&gt;=2.5,"B",IF(H31&gt;=1.5,"C","D")))))</f>
        <v/>
      </c>
      <c r="J31" s="107" t="n"/>
      <c r="K31" s="107" t="n"/>
      <c r="L31" s="117" t="n"/>
      <c r="M31" s="107" t="n"/>
      <c r="N31" s="107" t="n"/>
      <c r="O31" s="107" t="n"/>
      <c r="P31" s="118" t="n"/>
      <c r="Q31" s="107" t="n"/>
      <c r="R31" s="107" t="n"/>
      <c r="S31" s="107" t="n"/>
      <c r="T31" s="107" t="n"/>
      <c r="U31" s="107" t="n"/>
    </row>
    <row r="32" ht="22" customHeight="1" s="86">
      <c r="A32" s="111">
        <f>IF('01_인적정보'!B32="","",'01_인적정보'!A32)</f>
        <v/>
      </c>
      <c r="B32" s="111">
        <f>IF('01_인적정보'!B32="","",'01_인적정보'!B32)</f>
        <v/>
      </c>
      <c r="C32" s="112">
        <f>IF('01_인적정보'!B32="","",'01_인적정보'!C32)</f>
        <v/>
      </c>
      <c r="D32" s="112">
        <f>IF('01_인적정보'!B32="","",'01_인적정보'!E32)</f>
        <v/>
      </c>
      <c r="E32" s="113">
        <f>IF('01_인적정보'!B32="","",'01_인적정보'!H32)</f>
        <v/>
      </c>
      <c r="F32" s="114">
        <f>IF('01_인적정보'!B32="","",'07a_상반기입력'!G32)</f>
        <v/>
      </c>
      <c r="G32" s="114">
        <f>IF('01_인적정보'!B32="","",'07a_상반기입력'!H32)</f>
        <v/>
      </c>
      <c r="H32" s="115">
        <f>IFERROR(IF(AND(F32&lt;&gt;"",G32&lt;&gt;""),'02_의사결정·종합결과'!$B$67*IFERROR(CHOOSE(FIND(F32,"DCBAS"),1,2,3,4,5),0)+'02_의사결정·종합결과'!$B$68*IFERROR(CHOOSE(FIND(G32,"DCBAS"),1,2,3,4,5),0),IF(F32&lt;&gt;"",IFERROR(CHOOSE(FIND(F32,"DCBAS"),1,2,3,4,5),0),IF(G32&lt;&gt;"",IFERROR(CHOOSE(FIND(G32,"DCBAS"),1,2,3,4,5),0),""))),"")</f>
        <v/>
      </c>
      <c r="I32" s="116">
        <f>IF(H32="","",IF(H32&gt;=4.5,"S",IF(H32&gt;=3.5,"A",IF(H32&gt;=2.5,"B",IF(H32&gt;=1.5,"C","D")))))</f>
        <v/>
      </c>
      <c r="J32" s="107" t="n"/>
      <c r="K32" s="107" t="n"/>
      <c r="L32" s="117" t="n"/>
      <c r="M32" s="107" t="n"/>
      <c r="N32" s="107" t="n"/>
      <c r="O32" s="107" t="n"/>
      <c r="P32" s="118" t="n"/>
      <c r="Q32" s="107" t="n"/>
      <c r="R32" s="107" t="n"/>
      <c r="S32" s="107" t="n"/>
      <c r="T32" s="107" t="n"/>
      <c r="U32" s="107" t="n"/>
    </row>
    <row r="33" ht="22" customHeight="1" s="86">
      <c r="A33" s="111">
        <f>IF('01_인적정보'!B33="","",'01_인적정보'!A33)</f>
        <v/>
      </c>
      <c r="B33" s="111">
        <f>IF('01_인적정보'!B33="","",'01_인적정보'!B33)</f>
        <v/>
      </c>
      <c r="C33" s="112">
        <f>IF('01_인적정보'!B33="","",'01_인적정보'!C33)</f>
        <v/>
      </c>
      <c r="D33" s="112">
        <f>IF('01_인적정보'!B33="","",'01_인적정보'!E33)</f>
        <v/>
      </c>
      <c r="E33" s="113">
        <f>IF('01_인적정보'!B33="","",'01_인적정보'!H33)</f>
        <v/>
      </c>
      <c r="F33" s="114">
        <f>IF('01_인적정보'!B33="","",'07a_상반기입력'!G33)</f>
        <v/>
      </c>
      <c r="G33" s="114">
        <f>IF('01_인적정보'!B33="","",'07a_상반기입력'!H33)</f>
        <v/>
      </c>
      <c r="H33" s="115">
        <f>IFERROR(IF(AND(F33&lt;&gt;"",G33&lt;&gt;""),'02_의사결정·종합결과'!$B$67*IFERROR(CHOOSE(FIND(F33,"DCBAS"),1,2,3,4,5),0)+'02_의사결정·종합결과'!$B$68*IFERROR(CHOOSE(FIND(G33,"DCBAS"),1,2,3,4,5),0),IF(F33&lt;&gt;"",IFERROR(CHOOSE(FIND(F33,"DCBAS"),1,2,3,4,5),0),IF(G33&lt;&gt;"",IFERROR(CHOOSE(FIND(G33,"DCBAS"),1,2,3,4,5),0),""))),"")</f>
        <v/>
      </c>
      <c r="I33" s="116">
        <f>IF(H33="","",IF(H33&gt;=4.5,"S",IF(H33&gt;=3.5,"A",IF(H33&gt;=2.5,"B",IF(H33&gt;=1.5,"C","D")))))</f>
        <v/>
      </c>
      <c r="J33" s="107" t="n"/>
      <c r="K33" s="107" t="n"/>
      <c r="L33" s="117" t="n"/>
      <c r="M33" s="107" t="n"/>
      <c r="N33" s="107" t="n"/>
      <c r="O33" s="107" t="n"/>
      <c r="P33" s="118" t="n"/>
      <c r="Q33" s="107" t="n"/>
      <c r="R33" s="107" t="n"/>
      <c r="S33" s="107" t="n"/>
      <c r="T33" s="107" t="n"/>
      <c r="U33" s="107" t="n"/>
    </row>
    <row r="34" ht="22" customHeight="1" s="86">
      <c r="A34" s="111">
        <f>IF('01_인적정보'!B34="","",'01_인적정보'!A34)</f>
        <v/>
      </c>
      <c r="B34" s="111">
        <f>IF('01_인적정보'!B34="","",'01_인적정보'!B34)</f>
        <v/>
      </c>
      <c r="C34" s="112">
        <f>IF('01_인적정보'!B34="","",'01_인적정보'!C34)</f>
        <v/>
      </c>
      <c r="D34" s="112">
        <f>IF('01_인적정보'!B34="","",'01_인적정보'!E34)</f>
        <v/>
      </c>
      <c r="E34" s="113">
        <f>IF('01_인적정보'!B34="","",'01_인적정보'!H34)</f>
        <v/>
      </c>
      <c r="F34" s="114">
        <f>IF('01_인적정보'!B34="","",'07a_상반기입력'!G34)</f>
        <v/>
      </c>
      <c r="G34" s="114">
        <f>IF('01_인적정보'!B34="","",'07a_상반기입력'!H34)</f>
        <v/>
      </c>
      <c r="H34" s="115">
        <f>IFERROR(IF(AND(F34&lt;&gt;"",G34&lt;&gt;""),'02_의사결정·종합결과'!$B$67*IFERROR(CHOOSE(FIND(F34,"DCBAS"),1,2,3,4,5),0)+'02_의사결정·종합결과'!$B$68*IFERROR(CHOOSE(FIND(G34,"DCBAS"),1,2,3,4,5),0),IF(F34&lt;&gt;"",IFERROR(CHOOSE(FIND(F34,"DCBAS"),1,2,3,4,5),0),IF(G34&lt;&gt;"",IFERROR(CHOOSE(FIND(G34,"DCBAS"),1,2,3,4,5),0),""))),"")</f>
        <v/>
      </c>
      <c r="I34" s="116">
        <f>IF(H34="","",IF(H34&gt;=4.5,"S",IF(H34&gt;=3.5,"A",IF(H34&gt;=2.5,"B",IF(H34&gt;=1.5,"C","D")))))</f>
        <v/>
      </c>
      <c r="J34" s="107" t="n"/>
      <c r="K34" s="107" t="n"/>
      <c r="L34" s="117" t="n"/>
      <c r="M34" s="107" t="n"/>
      <c r="N34" s="107" t="n"/>
      <c r="O34" s="107" t="n"/>
      <c r="P34" s="118" t="n"/>
      <c r="Q34" s="107" t="n"/>
      <c r="R34" s="107" t="n"/>
      <c r="S34" s="107" t="n"/>
      <c r="T34" s="107" t="n"/>
      <c r="U34" s="107" t="n"/>
    </row>
    <row r="35" ht="22" customHeight="1" s="86">
      <c r="A35" s="111">
        <f>IF('01_인적정보'!B35="","",'01_인적정보'!A35)</f>
        <v/>
      </c>
      <c r="B35" s="111">
        <f>IF('01_인적정보'!B35="","",'01_인적정보'!B35)</f>
        <v/>
      </c>
      <c r="C35" s="112">
        <f>IF('01_인적정보'!B35="","",'01_인적정보'!C35)</f>
        <v/>
      </c>
      <c r="D35" s="112">
        <f>IF('01_인적정보'!B35="","",'01_인적정보'!E35)</f>
        <v/>
      </c>
      <c r="E35" s="113">
        <f>IF('01_인적정보'!B35="","",'01_인적정보'!H35)</f>
        <v/>
      </c>
      <c r="F35" s="114">
        <f>IF('01_인적정보'!B35="","",'07a_상반기입력'!G35)</f>
        <v/>
      </c>
      <c r="G35" s="114">
        <f>IF('01_인적정보'!B35="","",'07a_상반기입력'!H35)</f>
        <v/>
      </c>
      <c r="H35" s="115">
        <f>IFERROR(IF(AND(F35&lt;&gt;"",G35&lt;&gt;""),'02_의사결정·종합결과'!$B$67*IFERROR(CHOOSE(FIND(F35,"DCBAS"),1,2,3,4,5),0)+'02_의사결정·종합결과'!$B$68*IFERROR(CHOOSE(FIND(G35,"DCBAS"),1,2,3,4,5),0),IF(F35&lt;&gt;"",IFERROR(CHOOSE(FIND(F35,"DCBAS"),1,2,3,4,5),0),IF(G35&lt;&gt;"",IFERROR(CHOOSE(FIND(G35,"DCBAS"),1,2,3,4,5),0),""))),"")</f>
        <v/>
      </c>
      <c r="I35" s="116">
        <f>IF(H35="","",IF(H35&gt;=4.5,"S",IF(H35&gt;=3.5,"A",IF(H35&gt;=2.5,"B",IF(H35&gt;=1.5,"C","D")))))</f>
        <v/>
      </c>
      <c r="J35" s="107" t="n"/>
      <c r="K35" s="107" t="n"/>
      <c r="L35" s="117" t="n"/>
      <c r="M35" s="107" t="n"/>
      <c r="N35" s="107" t="n"/>
      <c r="O35" s="107" t="n"/>
      <c r="P35" s="118" t="n"/>
      <c r="Q35" s="107" t="n"/>
      <c r="R35" s="107" t="n"/>
      <c r="S35" s="107" t="n"/>
      <c r="T35" s="107" t="n"/>
      <c r="U35" s="107" t="n"/>
    </row>
    <row r="36" ht="22" customHeight="1" s="86">
      <c r="A36" s="111">
        <f>IF('01_인적정보'!B36="","",'01_인적정보'!A36)</f>
        <v/>
      </c>
      <c r="B36" s="111">
        <f>IF('01_인적정보'!B36="","",'01_인적정보'!B36)</f>
        <v/>
      </c>
      <c r="C36" s="112">
        <f>IF('01_인적정보'!B36="","",'01_인적정보'!C36)</f>
        <v/>
      </c>
      <c r="D36" s="112">
        <f>IF('01_인적정보'!B36="","",'01_인적정보'!E36)</f>
        <v/>
      </c>
      <c r="E36" s="113">
        <f>IF('01_인적정보'!B36="","",'01_인적정보'!H36)</f>
        <v/>
      </c>
      <c r="F36" s="114">
        <f>IF('01_인적정보'!B36="","",'07a_상반기입력'!G36)</f>
        <v/>
      </c>
      <c r="G36" s="114">
        <f>IF('01_인적정보'!B36="","",'07a_상반기입력'!H36)</f>
        <v/>
      </c>
      <c r="H36" s="115">
        <f>IFERROR(IF(AND(F36&lt;&gt;"",G36&lt;&gt;""),'02_의사결정·종합결과'!$B$67*IFERROR(CHOOSE(FIND(F36,"DCBAS"),1,2,3,4,5),0)+'02_의사결정·종합결과'!$B$68*IFERROR(CHOOSE(FIND(G36,"DCBAS"),1,2,3,4,5),0),IF(F36&lt;&gt;"",IFERROR(CHOOSE(FIND(F36,"DCBAS"),1,2,3,4,5),0),IF(G36&lt;&gt;"",IFERROR(CHOOSE(FIND(G36,"DCBAS"),1,2,3,4,5),0),""))),"")</f>
        <v/>
      </c>
      <c r="I36" s="116">
        <f>IF(H36="","",IF(H36&gt;=4.5,"S",IF(H36&gt;=3.5,"A",IF(H36&gt;=2.5,"B",IF(H36&gt;=1.5,"C","D")))))</f>
        <v/>
      </c>
      <c r="J36" s="107" t="n"/>
      <c r="K36" s="107" t="n"/>
      <c r="L36" s="117" t="n"/>
      <c r="M36" s="107" t="n"/>
      <c r="N36" s="107" t="n"/>
      <c r="O36" s="107" t="n"/>
      <c r="P36" s="118" t="n"/>
      <c r="Q36" s="107" t="n"/>
      <c r="R36" s="107" t="n"/>
      <c r="S36" s="107" t="n"/>
      <c r="T36" s="107" t="n"/>
      <c r="U36" s="107" t="n"/>
    </row>
    <row r="37" ht="22" customHeight="1" s="86">
      <c r="A37" s="111">
        <f>IF('01_인적정보'!B37="","",'01_인적정보'!A37)</f>
        <v/>
      </c>
      <c r="B37" s="111">
        <f>IF('01_인적정보'!B37="","",'01_인적정보'!B37)</f>
        <v/>
      </c>
      <c r="C37" s="112">
        <f>IF('01_인적정보'!B37="","",'01_인적정보'!C37)</f>
        <v/>
      </c>
      <c r="D37" s="112">
        <f>IF('01_인적정보'!B37="","",'01_인적정보'!E37)</f>
        <v/>
      </c>
      <c r="E37" s="113">
        <f>IF('01_인적정보'!B37="","",'01_인적정보'!H37)</f>
        <v/>
      </c>
      <c r="F37" s="114">
        <f>IF('01_인적정보'!B37="","",'07a_상반기입력'!G37)</f>
        <v/>
      </c>
      <c r="G37" s="114">
        <f>IF('01_인적정보'!B37="","",'07a_상반기입력'!H37)</f>
        <v/>
      </c>
      <c r="H37" s="115">
        <f>IFERROR(IF(AND(F37&lt;&gt;"",G37&lt;&gt;""),'02_의사결정·종합결과'!$B$67*IFERROR(CHOOSE(FIND(F37,"DCBAS"),1,2,3,4,5),0)+'02_의사결정·종합결과'!$B$68*IFERROR(CHOOSE(FIND(G37,"DCBAS"),1,2,3,4,5),0),IF(F37&lt;&gt;"",IFERROR(CHOOSE(FIND(F37,"DCBAS"),1,2,3,4,5),0),IF(G37&lt;&gt;"",IFERROR(CHOOSE(FIND(G37,"DCBAS"),1,2,3,4,5),0),""))),"")</f>
        <v/>
      </c>
      <c r="I37" s="116">
        <f>IF(H37="","",IF(H37&gt;=4.5,"S",IF(H37&gt;=3.5,"A",IF(H37&gt;=2.5,"B",IF(H37&gt;=1.5,"C","D")))))</f>
        <v/>
      </c>
      <c r="J37" s="107" t="n"/>
      <c r="K37" s="107" t="n"/>
      <c r="L37" s="117" t="n"/>
      <c r="M37" s="107" t="n"/>
      <c r="N37" s="107" t="n"/>
      <c r="O37" s="107" t="n"/>
      <c r="P37" s="118" t="n"/>
      <c r="Q37" s="107" t="n"/>
      <c r="R37" s="107" t="n"/>
      <c r="S37" s="107" t="n"/>
      <c r="T37" s="107" t="n"/>
      <c r="U37" s="107" t="n"/>
    </row>
    <row r="38" ht="22" customHeight="1" s="86">
      <c r="A38" s="111">
        <f>IF('01_인적정보'!B38="","",'01_인적정보'!A38)</f>
        <v/>
      </c>
      <c r="B38" s="111">
        <f>IF('01_인적정보'!B38="","",'01_인적정보'!B38)</f>
        <v/>
      </c>
      <c r="C38" s="112">
        <f>IF('01_인적정보'!B38="","",'01_인적정보'!C38)</f>
        <v/>
      </c>
      <c r="D38" s="112">
        <f>IF('01_인적정보'!B38="","",'01_인적정보'!E38)</f>
        <v/>
      </c>
      <c r="E38" s="113">
        <f>IF('01_인적정보'!B38="","",'01_인적정보'!H38)</f>
        <v/>
      </c>
      <c r="F38" s="114">
        <f>IF('01_인적정보'!B38="","",'07a_상반기입력'!G38)</f>
        <v/>
      </c>
      <c r="G38" s="114">
        <f>IF('01_인적정보'!B38="","",'07a_상반기입력'!H38)</f>
        <v/>
      </c>
      <c r="H38" s="115">
        <f>IFERROR(IF(AND(F38&lt;&gt;"",G38&lt;&gt;""),'02_의사결정·종합결과'!$B$67*IFERROR(CHOOSE(FIND(F38,"DCBAS"),1,2,3,4,5),0)+'02_의사결정·종합결과'!$B$68*IFERROR(CHOOSE(FIND(G38,"DCBAS"),1,2,3,4,5),0),IF(F38&lt;&gt;"",IFERROR(CHOOSE(FIND(F38,"DCBAS"),1,2,3,4,5),0),IF(G38&lt;&gt;"",IFERROR(CHOOSE(FIND(G38,"DCBAS"),1,2,3,4,5),0),""))),"")</f>
        <v/>
      </c>
      <c r="I38" s="116">
        <f>IF(H38="","",IF(H38&gt;=4.5,"S",IF(H38&gt;=3.5,"A",IF(H38&gt;=2.5,"B",IF(H38&gt;=1.5,"C","D")))))</f>
        <v/>
      </c>
      <c r="J38" s="107" t="n"/>
      <c r="K38" s="107" t="n"/>
      <c r="L38" s="117" t="n"/>
      <c r="M38" s="107" t="n"/>
      <c r="N38" s="107" t="n"/>
      <c r="O38" s="107" t="n"/>
      <c r="P38" s="118" t="n"/>
      <c r="Q38" s="107" t="n"/>
      <c r="R38" s="107" t="n"/>
      <c r="S38" s="107" t="n"/>
      <c r="T38" s="107" t="n"/>
      <c r="U38" s="107" t="n"/>
    </row>
    <row r="39" ht="22" customHeight="1" s="86">
      <c r="A39" s="111">
        <f>IF('01_인적정보'!B39="","",'01_인적정보'!A39)</f>
        <v/>
      </c>
      <c r="B39" s="111">
        <f>IF('01_인적정보'!B39="","",'01_인적정보'!B39)</f>
        <v/>
      </c>
      <c r="C39" s="112">
        <f>IF('01_인적정보'!B39="","",'01_인적정보'!C39)</f>
        <v/>
      </c>
      <c r="D39" s="112">
        <f>IF('01_인적정보'!B39="","",'01_인적정보'!E39)</f>
        <v/>
      </c>
      <c r="E39" s="113">
        <f>IF('01_인적정보'!B39="","",'01_인적정보'!H39)</f>
        <v/>
      </c>
      <c r="F39" s="114">
        <f>IF('01_인적정보'!B39="","",'07a_상반기입력'!G39)</f>
        <v/>
      </c>
      <c r="G39" s="114">
        <f>IF('01_인적정보'!B39="","",'07a_상반기입력'!H39)</f>
        <v/>
      </c>
      <c r="H39" s="115">
        <f>IFERROR(IF(AND(F39&lt;&gt;"",G39&lt;&gt;""),'02_의사결정·종합결과'!$B$67*IFERROR(CHOOSE(FIND(F39,"DCBAS"),1,2,3,4,5),0)+'02_의사결정·종합결과'!$B$68*IFERROR(CHOOSE(FIND(G39,"DCBAS"),1,2,3,4,5),0),IF(F39&lt;&gt;"",IFERROR(CHOOSE(FIND(F39,"DCBAS"),1,2,3,4,5),0),IF(G39&lt;&gt;"",IFERROR(CHOOSE(FIND(G39,"DCBAS"),1,2,3,4,5),0),""))),"")</f>
        <v/>
      </c>
      <c r="I39" s="116">
        <f>IF(H39="","",IF(H39&gt;=4.5,"S",IF(H39&gt;=3.5,"A",IF(H39&gt;=2.5,"B",IF(H39&gt;=1.5,"C","D")))))</f>
        <v/>
      </c>
      <c r="J39" s="107" t="n"/>
      <c r="K39" s="107" t="n"/>
      <c r="L39" s="117" t="n"/>
      <c r="M39" s="107" t="n"/>
      <c r="N39" s="107" t="n"/>
      <c r="O39" s="107" t="n"/>
      <c r="P39" s="118" t="n"/>
      <c r="Q39" s="107" t="n"/>
      <c r="R39" s="107" t="n"/>
      <c r="S39" s="107" t="n"/>
      <c r="T39" s="107" t="n"/>
      <c r="U39" s="107" t="n"/>
    </row>
    <row r="40" ht="22" customHeight="1" s="86">
      <c r="A40" s="111">
        <f>IF('01_인적정보'!B40="","",'01_인적정보'!A40)</f>
        <v/>
      </c>
      <c r="B40" s="111">
        <f>IF('01_인적정보'!B40="","",'01_인적정보'!B40)</f>
        <v/>
      </c>
      <c r="C40" s="112">
        <f>IF('01_인적정보'!B40="","",'01_인적정보'!C40)</f>
        <v/>
      </c>
      <c r="D40" s="112">
        <f>IF('01_인적정보'!B40="","",'01_인적정보'!E40)</f>
        <v/>
      </c>
      <c r="E40" s="113">
        <f>IF('01_인적정보'!B40="","",'01_인적정보'!H40)</f>
        <v/>
      </c>
      <c r="F40" s="114">
        <f>IF('01_인적정보'!B40="","",'07a_상반기입력'!G40)</f>
        <v/>
      </c>
      <c r="G40" s="114">
        <f>IF('01_인적정보'!B40="","",'07a_상반기입력'!H40)</f>
        <v/>
      </c>
      <c r="H40" s="115">
        <f>IFERROR(IF(AND(F40&lt;&gt;"",G40&lt;&gt;""),'02_의사결정·종합결과'!$B$67*IFERROR(CHOOSE(FIND(F40,"DCBAS"),1,2,3,4,5),0)+'02_의사결정·종합결과'!$B$68*IFERROR(CHOOSE(FIND(G40,"DCBAS"),1,2,3,4,5),0),IF(F40&lt;&gt;"",IFERROR(CHOOSE(FIND(F40,"DCBAS"),1,2,3,4,5),0),IF(G40&lt;&gt;"",IFERROR(CHOOSE(FIND(G40,"DCBAS"),1,2,3,4,5),0),""))),"")</f>
        <v/>
      </c>
      <c r="I40" s="116">
        <f>IF(H40="","",IF(H40&gt;=4.5,"S",IF(H40&gt;=3.5,"A",IF(H40&gt;=2.5,"B",IF(H40&gt;=1.5,"C","D")))))</f>
        <v/>
      </c>
      <c r="J40" s="107" t="n"/>
      <c r="K40" s="107" t="n"/>
      <c r="L40" s="117" t="n"/>
      <c r="M40" s="107" t="n"/>
      <c r="N40" s="107" t="n"/>
      <c r="O40" s="107" t="n"/>
      <c r="P40" s="118" t="n"/>
      <c r="Q40" s="107" t="n"/>
      <c r="R40" s="107" t="n"/>
      <c r="S40" s="107" t="n"/>
      <c r="T40" s="107" t="n"/>
      <c r="U40" s="107" t="n"/>
    </row>
    <row r="41" ht="22" customHeight="1" s="86">
      <c r="A41" s="111">
        <f>IF('01_인적정보'!B41="","",'01_인적정보'!A41)</f>
        <v/>
      </c>
      <c r="B41" s="111">
        <f>IF('01_인적정보'!B41="","",'01_인적정보'!B41)</f>
        <v/>
      </c>
      <c r="C41" s="112">
        <f>IF('01_인적정보'!B41="","",'01_인적정보'!C41)</f>
        <v/>
      </c>
      <c r="D41" s="112">
        <f>IF('01_인적정보'!B41="","",'01_인적정보'!E41)</f>
        <v/>
      </c>
      <c r="E41" s="113">
        <f>IF('01_인적정보'!B41="","",'01_인적정보'!H41)</f>
        <v/>
      </c>
      <c r="F41" s="114">
        <f>IF('01_인적정보'!B41="","",'07a_상반기입력'!G41)</f>
        <v/>
      </c>
      <c r="G41" s="114">
        <f>IF('01_인적정보'!B41="","",'07a_상반기입력'!H41)</f>
        <v/>
      </c>
      <c r="H41" s="115">
        <f>IFERROR(IF(AND(F41&lt;&gt;"",G41&lt;&gt;""),'02_의사결정·종합결과'!$B$67*IFERROR(CHOOSE(FIND(F41,"DCBAS"),1,2,3,4,5),0)+'02_의사결정·종합결과'!$B$68*IFERROR(CHOOSE(FIND(G41,"DCBAS"),1,2,3,4,5),0),IF(F41&lt;&gt;"",IFERROR(CHOOSE(FIND(F41,"DCBAS"),1,2,3,4,5),0),IF(G41&lt;&gt;"",IFERROR(CHOOSE(FIND(G41,"DCBAS"),1,2,3,4,5),0),""))),"")</f>
        <v/>
      </c>
      <c r="I41" s="116">
        <f>IF(H41="","",IF(H41&gt;=4.5,"S",IF(H41&gt;=3.5,"A",IF(H41&gt;=2.5,"B",IF(H41&gt;=1.5,"C","D")))))</f>
        <v/>
      </c>
      <c r="J41" s="107" t="n"/>
      <c r="K41" s="107" t="n"/>
      <c r="L41" s="117" t="n"/>
      <c r="M41" s="107" t="n"/>
      <c r="N41" s="107" t="n"/>
      <c r="O41" s="107" t="n"/>
      <c r="P41" s="118" t="n"/>
      <c r="Q41" s="107" t="n"/>
      <c r="R41" s="107" t="n"/>
      <c r="S41" s="107" t="n"/>
      <c r="T41" s="107" t="n"/>
      <c r="U41" s="107" t="n"/>
    </row>
    <row r="42" ht="22" customHeight="1" s="86">
      <c r="A42" s="111">
        <f>IF('01_인적정보'!B42="","",'01_인적정보'!A42)</f>
        <v/>
      </c>
      <c r="B42" s="111">
        <f>IF('01_인적정보'!B42="","",'01_인적정보'!B42)</f>
        <v/>
      </c>
      <c r="C42" s="112">
        <f>IF('01_인적정보'!B42="","",'01_인적정보'!C42)</f>
        <v/>
      </c>
      <c r="D42" s="112">
        <f>IF('01_인적정보'!B42="","",'01_인적정보'!E42)</f>
        <v/>
      </c>
      <c r="E42" s="113">
        <f>IF('01_인적정보'!B42="","",'01_인적정보'!H42)</f>
        <v/>
      </c>
      <c r="F42" s="114">
        <f>IF('01_인적정보'!B42="","",'07a_상반기입력'!G42)</f>
        <v/>
      </c>
      <c r="G42" s="114">
        <f>IF('01_인적정보'!B42="","",'07a_상반기입력'!H42)</f>
        <v/>
      </c>
      <c r="H42" s="115">
        <f>IFERROR(IF(AND(F42&lt;&gt;"",G42&lt;&gt;""),'02_의사결정·종합결과'!$B$67*IFERROR(CHOOSE(FIND(F42,"DCBAS"),1,2,3,4,5),0)+'02_의사결정·종합결과'!$B$68*IFERROR(CHOOSE(FIND(G42,"DCBAS"),1,2,3,4,5),0),IF(F42&lt;&gt;"",IFERROR(CHOOSE(FIND(F42,"DCBAS"),1,2,3,4,5),0),IF(G42&lt;&gt;"",IFERROR(CHOOSE(FIND(G42,"DCBAS"),1,2,3,4,5),0),""))),"")</f>
        <v/>
      </c>
      <c r="I42" s="116">
        <f>IF(H42="","",IF(H42&gt;=4.5,"S",IF(H42&gt;=3.5,"A",IF(H42&gt;=2.5,"B",IF(H42&gt;=1.5,"C","D")))))</f>
        <v/>
      </c>
      <c r="J42" s="107" t="n"/>
      <c r="K42" s="107" t="n"/>
      <c r="L42" s="117" t="n"/>
      <c r="M42" s="107" t="n"/>
      <c r="N42" s="107" t="n"/>
      <c r="O42" s="107" t="n"/>
      <c r="P42" s="118" t="n"/>
      <c r="Q42" s="107" t="n"/>
      <c r="R42" s="107" t="n"/>
      <c r="S42" s="107" t="n"/>
      <c r="T42" s="107" t="n"/>
      <c r="U42" s="107" t="n"/>
    </row>
    <row r="43" ht="22" customHeight="1" s="86">
      <c r="A43" s="111">
        <f>IF('01_인적정보'!B43="","",'01_인적정보'!A43)</f>
        <v/>
      </c>
      <c r="B43" s="111">
        <f>IF('01_인적정보'!B43="","",'01_인적정보'!B43)</f>
        <v/>
      </c>
      <c r="C43" s="112">
        <f>IF('01_인적정보'!B43="","",'01_인적정보'!C43)</f>
        <v/>
      </c>
      <c r="D43" s="112">
        <f>IF('01_인적정보'!B43="","",'01_인적정보'!E43)</f>
        <v/>
      </c>
      <c r="E43" s="113">
        <f>IF('01_인적정보'!B43="","",'01_인적정보'!H43)</f>
        <v/>
      </c>
      <c r="F43" s="114">
        <f>IF('01_인적정보'!B43="","",'07a_상반기입력'!G43)</f>
        <v/>
      </c>
      <c r="G43" s="114">
        <f>IF('01_인적정보'!B43="","",'07a_상반기입력'!H43)</f>
        <v/>
      </c>
      <c r="H43" s="115">
        <f>IFERROR(IF(AND(F43&lt;&gt;"",G43&lt;&gt;""),'02_의사결정·종합결과'!$B$67*IFERROR(CHOOSE(FIND(F43,"DCBAS"),1,2,3,4,5),0)+'02_의사결정·종합결과'!$B$68*IFERROR(CHOOSE(FIND(G43,"DCBAS"),1,2,3,4,5),0),IF(F43&lt;&gt;"",IFERROR(CHOOSE(FIND(F43,"DCBAS"),1,2,3,4,5),0),IF(G43&lt;&gt;"",IFERROR(CHOOSE(FIND(G43,"DCBAS"),1,2,3,4,5),0),""))),"")</f>
        <v/>
      </c>
      <c r="I43" s="116">
        <f>IF(H43="","",IF(H43&gt;=4.5,"S",IF(H43&gt;=3.5,"A",IF(H43&gt;=2.5,"B",IF(H43&gt;=1.5,"C","D")))))</f>
        <v/>
      </c>
      <c r="J43" s="107" t="n"/>
      <c r="K43" s="107" t="n"/>
      <c r="L43" s="117" t="n"/>
      <c r="M43" s="107" t="n"/>
      <c r="N43" s="107" t="n"/>
      <c r="O43" s="107" t="n"/>
      <c r="P43" s="118" t="n"/>
      <c r="Q43" s="107" t="n"/>
      <c r="R43" s="107" t="n"/>
      <c r="S43" s="107" t="n"/>
      <c r="T43" s="107" t="n"/>
      <c r="U43" s="107" t="n"/>
    </row>
    <row r="44" ht="22" customHeight="1" s="86">
      <c r="A44" s="111">
        <f>IF('01_인적정보'!B44="","",'01_인적정보'!A44)</f>
        <v/>
      </c>
      <c r="B44" s="111">
        <f>IF('01_인적정보'!B44="","",'01_인적정보'!B44)</f>
        <v/>
      </c>
      <c r="C44" s="112">
        <f>IF('01_인적정보'!B44="","",'01_인적정보'!C44)</f>
        <v/>
      </c>
      <c r="D44" s="112">
        <f>IF('01_인적정보'!B44="","",'01_인적정보'!E44)</f>
        <v/>
      </c>
      <c r="E44" s="113">
        <f>IF('01_인적정보'!B44="","",'01_인적정보'!H44)</f>
        <v/>
      </c>
      <c r="F44" s="114">
        <f>IF('01_인적정보'!B44="","",'07a_상반기입력'!G44)</f>
        <v/>
      </c>
      <c r="G44" s="114">
        <f>IF('01_인적정보'!B44="","",'07a_상반기입력'!H44)</f>
        <v/>
      </c>
      <c r="H44" s="115">
        <f>IFERROR(IF(AND(F44&lt;&gt;"",G44&lt;&gt;""),'02_의사결정·종합결과'!$B$67*IFERROR(CHOOSE(FIND(F44,"DCBAS"),1,2,3,4,5),0)+'02_의사결정·종합결과'!$B$68*IFERROR(CHOOSE(FIND(G44,"DCBAS"),1,2,3,4,5),0),IF(F44&lt;&gt;"",IFERROR(CHOOSE(FIND(F44,"DCBAS"),1,2,3,4,5),0),IF(G44&lt;&gt;"",IFERROR(CHOOSE(FIND(G44,"DCBAS"),1,2,3,4,5),0),""))),"")</f>
        <v/>
      </c>
      <c r="I44" s="116">
        <f>IF(H44="","",IF(H44&gt;=4.5,"S",IF(H44&gt;=3.5,"A",IF(H44&gt;=2.5,"B",IF(H44&gt;=1.5,"C","D")))))</f>
        <v/>
      </c>
      <c r="J44" s="107" t="n"/>
      <c r="K44" s="107" t="n"/>
      <c r="L44" s="117" t="n"/>
      <c r="M44" s="107" t="n"/>
      <c r="N44" s="107" t="n"/>
      <c r="O44" s="107" t="n"/>
      <c r="P44" s="118" t="n"/>
      <c r="Q44" s="107" t="n"/>
      <c r="R44" s="107" t="n"/>
      <c r="S44" s="107" t="n"/>
      <c r="T44" s="107" t="n"/>
      <c r="U44" s="107" t="n"/>
    </row>
    <row r="45" ht="22" customHeight="1" s="86">
      <c r="A45" s="111">
        <f>IF('01_인적정보'!B45="","",'01_인적정보'!A45)</f>
        <v/>
      </c>
      <c r="B45" s="111">
        <f>IF('01_인적정보'!B45="","",'01_인적정보'!B45)</f>
        <v/>
      </c>
      <c r="C45" s="112">
        <f>IF('01_인적정보'!B45="","",'01_인적정보'!C45)</f>
        <v/>
      </c>
      <c r="D45" s="112">
        <f>IF('01_인적정보'!B45="","",'01_인적정보'!E45)</f>
        <v/>
      </c>
      <c r="E45" s="113">
        <f>IF('01_인적정보'!B45="","",'01_인적정보'!H45)</f>
        <v/>
      </c>
      <c r="F45" s="114">
        <f>IF('01_인적정보'!B45="","",'07a_상반기입력'!G45)</f>
        <v/>
      </c>
      <c r="G45" s="114">
        <f>IF('01_인적정보'!B45="","",'07a_상반기입력'!H45)</f>
        <v/>
      </c>
      <c r="H45" s="115">
        <f>IFERROR(IF(AND(F45&lt;&gt;"",G45&lt;&gt;""),'02_의사결정·종합결과'!$B$67*IFERROR(CHOOSE(FIND(F45,"DCBAS"),1,2,3,4,5),0)+'02_의사결정·종합결과'!$B$68*IFERROR(CHOOSE(FIND(G45,"DCBAS"),1,2,3,4,5),0),IF(F45&lt;&gt;"",IFERROR(CHOOSE(FIND(F45,"DCBAS"),1,2,3,4,5),0),IF(G45&lt;&gt;"",IFERROR(CHOOSE(FIND(G45,"DCBAS"),1,2,3,4,5),0),""))),"")</f>
        <v/>
      </c>
      <c r="I45" s="116">
        <f>IF(H45="","",IF(H45&gt;=4.5,"S",IF(H45&gt;=3.5,"A",IF(H45&gt;=2.5,"B",IF(H45&gt;=1.5,"C","D")))))</f>
        <v/>
      </c>
      <c r="J45" s="107" t="n"/>
      <c r="K45" s="107" t="n"/>
      <c r="L45" s="117" t="n"/>
      <c r="M45" s="107" t="n"/>
      <c r="N45" s="107" t="n"/>
      <c r="O45" s="107" t="n"/>
      <c r="P45" s="118" t="n"/>
      <c r="Q45" s="107" t="n"/>
      <c r="R45" s="107" t="n"/>
      <c r="S45" s="107" t="n"/>
      <c r="T45" s="107" t="n"/>
      <c r="U45" s="107" t="n"/>
    </row>
    <row r="46" ht="22" customHeight="1" s="86">
      <c r="A46" s="111">
        <f>IF('01_인적정보'!B46="","",'01_인적정보'!A46)</f>
        <v/>
      </c>
      <c r="B46" s="111">
        <f>IF('01_인적정보'!B46="","",'01_인적정보'!B46)</f>
        <v/>
      </c>
      <c r="C46" s="112">
        <f>IF('01_인적정보'!B46="","",'01_인적정보'!C46)</f>
        <v/>
      </c>
      <c r="D46" s="112">
        <f>IF('01_인적정보'!B46="","",'01_인적정보'!E46)</f>
        <v/>
      </c>
      <c r="E46" s="113">
        <f>IF('01_인적정보'!B46="","",'01_인적정보'!H46)</f>
        <v/>
      </c>
      <c r="F46" s="114">
        <f>IF('01_인적정보'!B46="","",'07a_상반기입력'!G46)</f>
        <v/>
      </c>
      <c r="G46" s="114">
        <f>IF('01_인적정보'!B46="","",'07a_상반기입력'!H46)</f>
        <v/>
      </c>
      <c r="H46" s="115">
        <f>IFERROR(IF(AND(F46&lt;&gt;"",G46&lt;&gt;""),'02_의사결정·종합결과'!$B$67*IFERROR(CHOOSE(FIND(F46,"DCBAS"),1,2,3,4,5),0)+'02_의사결정·종합결과'!$B$68*IFERROR(CHOOSE(FIND(G46,"DCBAS"),1,2,3,4,5),0),IF(F46&lt;&gt;"",IFERROR(CHOOSE(FIND(F46,"DCBAS"),1,2,3,4,5),0),IF(G46&lt;&gt;"",IFERROR(CHOOSE(FIND(G46,"DCBAS"),1,2,3,4,5),0),""))),"")</f>
        <v/>
      </c>
      <c r="I46" s="116">
        <f>IF(H46="","",IF(H46&gt;=4.5,"S",IF(H46&gt;=3.5,"A",IF(H46&gt;=2.5,"B",IF(H46&gt;=1.5,"C","D")))))</f>
        <v/>
      </c>
      <c r="J46" s="107" t="n"/>
      <c r="K46" s="107" t="n"/>
      <c r="L46" s="117" t="n"/>
      <c r="M46" s="107" t="n"/>
      <c r="N46" s="107" t="n"/>
      <c r="O46" s="107" t="n"/>
      <c r="P46" s="118" t="n"/>
      <c r="Q46" s="107" t="n"/>
      <c r="R46" s="107" t="n"/>
      <c r="S46" s="107" t="n"/>
      <c r="T46" s="107" t="n"/>
      <c r="U46" s="107" t="n"/>
    </row>
    <row r="47" ht="22" customHeight="1" s="86">
      <c r="A47" s="111">
        <f>IF('01_인적정보'!B47="","",'01_인적정보'!A47)</f>
        <v/>
      </c>
      <c r="B47" s="111">
        <f>IF('01_인적정보'!B47="","",'01_인적정보'!B47)</f>
        <v/>
      </c>
      <c r="C47" s="112">
        <f>IF('01_인적정보'!B47="","",'01_인적정보'!C47)</f>
        <v/>
      </c>
      <c r="D47" s="112">
        <f>IF('01_인적정보'!B47="","",'01_인적정보'!E47)</f>
        <v/>
      </c>
      <c r="E47" s="113">
        <f>IF('01_인적정보'!B47="","",'01_인적정보'!H47)</f>
        <v/>
      </c>
      <c r="F47" s="114">
        <f>IF('01_인적정보'!B47="","",'07a_상반기입력'!G47)</f>
        <v/>
      </c>
      <c r="G47" s="114">
        <f>IF('01_인적정보'!B47="","",'07a_상반기입력'!H47)</f>
        <v/>
      </c>
      <c r="H47" s="115">
        <f>IFERROR(IF(AND(F47&lt;&gt;"",G47&lt;&gt;""),'02_의사결정·종합결과'!$B$67*IFERROR(CHOOSE(FIND(F47,"DCBAS"),1,2,3,4,5),0)+'02_의사결정·종합결과'!$B$68*IFERROR(CHOOSE(FIND(G47,"DCBAS"),1,2,3,4,5),0),IF(F47&lt;&gt;"",IFERROR(CHOOSE(FIND(F47,"DCBAS"),1,2,3,4,5),0),IF(G47&lt;&gt;"",IFERROR(CHOOSE(FIND(G47,"DCBAS"),1,2,3,4,5),0),""))),"")</f>
        <v/>
      </c>
      <c r="I47" s="116">
        <f>IF(H47="","",IF(H47&gt;=4.5,"S",IF(H47&gt;=3.5,"A",IF(H47&gt;=2.5,"B",IF(H47&gt;=1.5,"C","D")))))</f>
        <v/>
      </c>
      <c r="J47" s="107" t="n"/>
      <c r="K47" s="107" t="n"/>
      <c r="L47" s="107" t="n"/>
      <c r="M47" s="107" t="n"/>
      <c r="N47" s="107" t="n"/>
      <c r="O47" s="107" t="n"/>
      <c r="P47" s="107" t="n"/>
      <c r="Q47" s="107" t="n"/>
      <c r="R47" s="107" t="n"/>
      <c r="S47" s="107" t="n"/>
      <c r="T47" s="107" t="n"/>
      <c r="U47" s="107" t="n"/>
    </row>
    <row r="48" ht="22" customHeight="1" s="86">
      <c r="A48" s="111">
        <f>IF('01_인적정보'!B48="","",'01_인적정보'!A48)</f>
        <v/>
      </c>
      <c r="B48" s="111">
        <f>IF('01_인적정보'!B48="","",'01_인적정보'!B48)</f>
        <v/>
      </c>
      <c r="C48" s="112">
        <f>IF('01_인적정보'!B48="","",'01_인적정보'!C48)</f>
        <v/>
      </c>
      <c r="D48" s="112">
        <f>IF('01_인적정보'!B48="","",'01_인적정보'!E48)</f>
        <v/>
      </c>
      <c r="E48" s="113">
        <f>IF('01_인적정보'!B48="","",'01_인적정보'!H48)</f>
        <v/>
      </c>
      <c r="F48" s="114">
        <f>IF('01_인적정보'!B48="","",'07a_상반기입력'!G48)</f>
        <v/>
      </c>
      <c r="G48" s="114">
        <f>IF('01_인적정보'!B48="","",'07a_상반기입력'!H48)</f>
        <v/>
      </c>
      <c r="H48" s="115">
        <f>IFERROR(IF(AND(F48&lt;&gt;"",G48&lt;&gt;""),'02_의사결정·종합결과'!$B$67*IFERROR(CHOOSE(FIND(F48,"DCBAS"),1,2,3,4,5),0)+'02_의사결정·종합결과'!$B$68*IFERROR(CHOOSE(FIND(G48,"DCBAS"),1,2,3,4,5),0),IF(F48&lt;&gt;"",IFERROR(CHOOSE(FIND(F48,"DCBAS"),1,2,3,4,5),0),IF(G48&lt;&gt;"",IFERROR(CHOOSE(FIND(G48,"DCBAS"),1,2,3,4,5),0),""))),"")</f>
        <v/>
      </c>
      <c r="I48" s="116">
        <f>IF(H48="","",IF(H48&gt;=4.5,"S",IF(H48&gt;=3.5,"A",IF(H48&gt;=2.5,"B",IF(H48&gt;=1.5,"C","D")))))</f>
        <v/>
      </c>
      <c r="J48" s="107" t="n"/>
      <c r="K48" s="107" t="n"/>
      <c r="L48" s="107" t="n"/>
      <c r="M48" s="107" t="n"/>
      <c r="N48" s="107" t="n"/>
      <c r="O48" s="107" t="n"/>
      <c r="P48" s="107" t="n"/>
      <c r="Q48" s="107" t="n"/>
      <c r="R48" s="107" t="n"/>
      <c r="S48" s="107" t="n"/>
      <c r="T48" s="107" t="n"/>
      <c r="U48" s="107" t="n"/>
    </row>
    <row r="49" ht="22" customHeight="1" s="86">
      <c r="A49" s="111">
        <f>IF('01_인적정보'!B49="","",'01_인적정보'!A49)</f>
        <v/>
      </c>
      <c r="B49" s="111">
        <f>IF('01_인적정보'!B49="","",'01_인적정보'!B49)</f>
        <v/>
      </c>
      <c r="C49" s="112">
        <f>IF('01_인적정보'!B49="","",'01_인적정보'!C49)</f>
        <v/>
      </c>
      <c r="D49" s="112">
        <f>IF('01_인적정보'!B49="","",'01_인적정보'!E49)</f>
        <v/>
      </c>
      <c r="E49" s="113">
        <f>IF('01_인적정보'!B49="","",'01_인적정보'!H49)</f>
        <v/>
      </c>
      <c r="F49" s="114">
        <f>IF('01_인적정보'!B49="","",'07a_상반기입력'!G49)</f>
        <v/>
      </c>
      <c r="G49" s="114">
        <f>IF('01_인적정보'!B49="","",'07a_상반기입력'!H49)</f>
        <v/>
      </c>
      <c r="H49" s="115">
        <f>IFERROR(IF(AND(F49&lt;&gt;"",G49&lt;&gt;""),'02_의사결정·종합결과'!$B$67*IFERROR(CHOOSE(FIND(F49,"DCBAS"),1,2,3,4,5),0)+'02_의사결정·종합결과'!$B$68*IFERROR(CHOOSE(FIND(G49,"DCBAS"),1,2,3,4,5),0),IF(F49&lt;&gt;"",IFERROR(CHOOSE(FIND(F49,"DCBAS"),1,2,3,4,5),0),IF(G49&lt;&gt;"",IFERROR(CHOOSE(FIND(G49,"DCBAS"),1,2,3,4,5),0),""))),"")</f>
        <v/>
      </c>
      <c r="I49" s="116">
        <f>IF(H49="","",IF(H49&gt;=4.5,"S",IF(H49&gt;=3.5,"A",IF(H49&gt;=2.5,"B",IF(H49&gt;=1.5,"C","D")))))</f>
        <v/>
      </c>
      <c r="J49" s="107" t="n"/>
      <c r="K49" s="107" t="n"/>
      <c r="L49" s="107" t="n"/>
      <c r="M49" s="107" t="n"/>
      <c r="N49" s="107" t="n"/>
      <c r="O49" s="107" t="n"/>
      <c r="P49" s="107" t="n"/>
      <c r="Q49" s="107" t="n"/>
      <c r="R49" s="107" t="n"/>
      <c r="S49" s="107" t="n"/>
      <c r="T49" s="107" t="n"/>
      <c r="U49" s="107" t="n"/>
    </row>
    <row r="50" ht="22" customHeight="1" s="86">
      <c r="A50" s="111">
        <f>IF('01_인적정보'!B50="","",'01_인적정보'!A50)</f>
        <v/>
      </c>
      <c r="B50" s="111">
        <f>IF('01_인적정보'!B50="","",'01_인적정보'!B50)</f>
        <v/>
      </c>
      <c r="C50" s="112">
        <f>IF('01_인적정보'!B50="","",'01_인적정보'!C50)</f>
        <v/>
      </c>
      <c r="D50" s="112">
        <f>IF('01_인적정보'!B50="","",'01_인적정보'!E50)</f>
        <v/>
      </c>
      <c r="E50" s="113">
        <f>IF('01_인적정보'!B50="","",'01_인적정보'!H50)</f>
        <v/>
      </c>
      <c r="F50" s="114">
        <f>IF('01_인적정보'!B50="","",'07a_상반기입력'!G50)</f>
        <v/>
      </c>
      <c r="G50" s="114">
        <f>IF('01_인적정보'!B50="","",'07a_상반기입력'!H50)</f>
        <v/>
      </c>
      <c r="H50" s="115">
        <f>IFERROR(IF(AND(F50&lt;&gt;"",G50&lt;&gt;""),'02_의사결정·종합결과'!$B$67*IFERROR(CHOOSE(FIND(F50,"DCBAS"),1,2,3,4,5),0)+'02_의사결정·종합결과'!$B$68*IFERROR(CHOOSE(FIND(G50,"DCBAS"),1,2,3,4,5),0),IF(F50&lt;&gt;"",IFERROR(CHOOSE(FIND(F50,"DCBAS"),1,2,3,4,5),0),IF(G50&lt;&gt;"",IFERROR(CHOOSE(FIND(G50,"DCBAS"),1,2,3,4,5),0),""))),"")</f>
        <v/>
      </c>
      <c r="I50" s="116">
        <f>IF(H50="","",IF(H50&gt;=4.5,"S",IF(H50&gt;=3.5,"A",IF(H50&gt;=2.5,"B",IF(H50&gt;=1.5,"C","D")))))</f>
        <v/>
      </c>
      <c r="J50" s="107" t="n"/>
      <c r="K50" s="107" t="n"/>
      <c r="L50" s="107" t="n"/>
      <c r="M50" s="107" t="n"/>
      <c r="N50" s="107" t="n"/>
      <c r="O50" s="107" t="n"/>
      <c r="P50" s="107" t="n"/>
      <c r="Q50" s="107" t="n"/>
      <c r="R50" s="107" t="n"/>
      <c r="S50" s="107" t="n"/>
      <c r="T50" s="107" t="n"/>
      <c r="U50" s="107" t="n"/>
    </row>
    <row r="51" ht="22" customHeight="1" s="86">
      <c r="A51" s="111">
        <f>IF('01_인적정보'!B51="","",'01_인적정보'!A51)</f>
        <v/>
      </c>
      <c r="B51" s="111">
        <f>IF('01_인적정보'!B51="","",'01_인적정보'!B51)</f>
        <v/>
      </c>
      <c r="C51" s="112">
        <f>IF('01_인적정보'!B51="","",'01_인적정보'!C51)</f>
        <v/>
      </c>
      <c r="D51" s="112">
        <f>IF('01_인적정보'!B51="","",'01_인적정보'!E51)</f>
        <v/>
      </c>
      <c r="E51" s="113">
        <f>IF('01_인적정보'!B51="","",'01_인적정보'!H51)</f>
        <v/>
      </c>
      <c r="F51" s="114">
        <f>IF('01_인적정보'!B51="","",'07a_상반기입력'!G51)</f>
        <v/>
      </c>
      <c r="G51" s="114">
        <f>IF('01_인적정보'!B51="","",'07a_상반기입력'!H51)</f>
        <v/>
      </c>
      <c r="H51" s="115">
        <f>IFERROR(IF(AND(F51&lt;&gt;"",G51&lt;&gt;""),'02_의사결정·종합결과'!$B$67*IFERROR(CHOOSE(FIND(F51,"DCBAS"),1,2,3,4,5),0)+'02_의사결정·종합결과'!$B$68*IFERROR(CHOOSE(FIND(G51,"DCBAS"),1,2,3,4,5),0),IF(F51&lt;&gt;"",IFERROR(CHOOSE(FIND(F51,"DCBAS"),1,2,3,4,5),0),IF(G51&lt;&gt;"",IFERROR(CHOOSE(FIND(G51,"DCBAS"),1,2,3,4,5),0),""))),"")</f>
        <v/>
      </c>
      <c r="I51" s="116">
        <f>IF(H51="","",IF(H51&gt;=4.5,"S",IF(H51&gt;=3.5,"A",IF(H51&gt;=2.5,"B",IF(H51&gt;=1.5,"C","D")))))</f>
        <v/>
      </c>
      <c r="J51" s="107" t="n"/>
      <c r="K51" s="107" t="n"/>
      <c r="L51" s="107" t="n"/>
      <c r="M51" s="107" t="n"/>
      <c r="N51" s="107" t="n"/>
      <c r="O51" s="107" t="n"/>
      <c r="P51" s="107" t="n"/>
      <c r="Q51" s="107" t="n"/>
      <c r="R51" s="107" t="n"/>
      <c r="S51" s="107" t="n"/>
      <c r="T51" s="107" t="n"/>
      <c r="U51" s="107" t="n"/>
    </row>
    <row r="52" ht="22" customHeight="1" s="86">
      <c r="A52" s="111">
        <f>IF('01_인적정보'!B52="","",'01_인적정보'!A52)</f>
        <v/>
      </c>
      <c r="B52" s="111">
        <f>IF('01_인적정보'!B52="","",'01_인적정보'!B52)</f>
        <v/>
      </c>
      <c r="C52" s="112">
        <f>IF('01_인적정보'!B52="","",'01_인적정보'!C52)</f>
        <v/>
      </c>
      <c r="D52" s="112">
        <f>IF('01_인적정보'!B52="","",'01_인적정보'!E52)</f>
        <v/>
      </c>
      <c r="E52" s="113">
        <f>IF('01_인적정보'!B52="","",'01_인적정보'!H52)</f>
        <v/>
      </c>
      <c r="F52" s="114">
        <f>IF('01_인적정보'!B52="","",'07a_상반기입력'!G52)</f>
        <v/>
      </c>
      <c r="G52" s="114">
        <f>IF('01_인적정보'!B52="","",'07a_상반기입력'!H52)</f>
        <v/>
      </c>
      <c r="H52" s="115">
        <f>IFERROR(IF(AND(F52&lt;&gt;"",G52&lt;&gt;""),'02_의사결정·종합결과'!$B$67*IFERROR(CHOOSE(FIND(F52,"DCBAS"),1,2,3,4,5),0)+'02_의사결정·종합결과'!$B$68*IFERROR(CHOOSE(FIND(G52,"DCBAS"),1,2,3,4,5),0),IF(F52&lt;&gt;"",IFERROR(CHOOSE(FIND(F52,"DCBAS"),1,2,3,4,5),0),IF(G52&lt;&gt;"",IFERROR(CHOOSE(FIND(G52,"DCBAS"),1,2,3,4,5),0),""))),"")</f>
        <v/>
      </c>
      <c r="I52" s="116">
        <f>IF(H52="","",IF(H52&gt;=4.5,"S",IF(H52&gt;=3.5,"A",IF(H52&gt;=2.5,"B",IF(H52&gt;=1.5,"C","D")))))</f>
        <v/>
      </c>
      <c r="J52" s="107" t="n"/>
      <c r="K52" s="107" t="n"/>
      <c r="L52" s="107" t="n"/>
      <c r="M52" s="107" t="n"/>
      <c r="N52" s="107" t="n"/>
      <c r="O52" s="107" t="n"/>
      <c r="P52" s="107" t="n"/>
      <c r="Q52" s="107" t="n"/>
      <c r="R52" s="107" t="n"/>
      <c r="S52" s="107" t="n"/>
      <c r="T52" s="107" t="n"/>
      <c r="U52" s="107" t="n"/>
    </row>
    <row r="53" ht="22" customHeight="1" s="86">
      <c r="A53" s="111">
        <f>IF('01_인적정보'!B53="","",'01_인적정보'!A53)</f>
        <v/>
      </c>
      <c r="B53" s="111">
        <f>IF('01_인적정보'!B53="","",'01_인적정보'!B53)</f>
        <v/>
      </c>
      <c r="C53" s="112">
        <f>IF('01_인적정보'!B53="","",'01_인적정보'!C53)</f>
        <v/>
      </c>
      <c r="D53" s="112">
        <f>IF('01_인적정보'!B53="","",'01_인적정보'!E53)</f>
        <v/>
      </c>
      <c r="E53" s="113">
        <f>IF('01_인적정보'!B53="","",'01_인적정보'!H53)</f>
        <v/>
      </c>
      <c r="F53" s="114">
        <f>IF('01_인적정보'!B53="","",'07a_상반기입력'!G53)</f>
        <v/>
      </c>
      <c r="G53" s="114">
        <f>IF('01_인적정보'!B53="","",'07a_상반기입력'!H53)</f>
        <v/>
      </c>
      <c r="H53" s="115">
        <f>IFERROR(IF(AND(F53&lt;&gt;"",G53&lt;&gt;""),'02_의사결정·종합결과'!$B$67*IFERROR(CHOOSE(FIND(F53,"DCBAS"),1,2,3,4,5),0)+'02_의사결정·종합결과'!$B$68*IFERROR(CHOOSE(FIND(G53,"DCBAS"),1,2,3,4,5),0),IF(F53&lt;&gt;"",IFERROR(CHOOSE(FIND(F53,"DCBAS"),1,2,3,4,5),0),IF(G53&lt;&gt;"",IFERROR(CHOOSE(FIND(G53,"DCBAS"),1,2,3,4,5),0),""))),"")</f>
        <v/>
      </c>
      <c r="I53" s="116">
        <f>IF(H53="","",IF(H53&gt;=4.5,"S",IF(H53&gt;=3.5,"A",IF(H53&gt;=2.5,"B",IF(H53&gt;=1.5,"C","D")))))</f>
        <v/>
      </c>
      <c r="J53" s="107" t="n"/>
      <c r="K53" s="107" t="n"/>
      <c r="L53" s="107" t="n"/>
      <c r="M53" s="107" t="n"/>
      <c r="N53" s="107" t="n"/>
      <c r="O53" s="107" t="n"/>
      <c r="P53" s="107" t="n"/>
      <c r="Q53" s="107" t="n"/>
      <c r="R53" s="107" t="n"/>
      <c r="S53" s="107" t="n"/>
      <c r="T53" s="107" t="n"/>
      <c r="U53" s="107" t="n"/>
    </row>
    <row r="54" ht="22" customHeight="1" s="86">
      <c r="A54" s="111">
        <f>IF('01_인적정보'!B54="","",'01_인적정보'!A54)</f>
        <v/>
      </c>
      <c r="B54" s="111">
        <f>IF('01_인적정보'!B54="","",'01_인적정보'!B54)</f>
        <v/>
      </c>
      <c r="C54" s="112">
        <f>IF('01_인적정보'!B54="","",'01_인적정보'!C54)</f>
        <v/>
      </c>
      <c r="D54" s="112">
        <f>IF('01_인적정보'!B54="","",'01_인적정보'!E54)</f>
        <v/>
      </c>
      <c r="E54" s="113">
        <f>IF('01_인적정보'!B54="","",'01_인적정보'!H54)</f>
        <v/>
      </c>
      <c r="F54" s="114">
        <f>IF('01_인적정보'!B54="","",'07a_상반기입력'!G54)</f>
        <v/>
      </c>
      <c r="G54" s="114">
        <f>IF('01_인적정보'!B54="","",'07a_상반기입력'!H54)</f>
        <v/>
      </c>
      <c r="H54" s="115">
        <f>IFERROR(IF(AND(F54&lt;&gt;"",G54&lt;&gt;""),'02_의사결정·종합결과'!$B$67*IFERROR(CHOOSE(FIND(F54,"DCBAS"),1,2,3,4,5),0)+'02_의사결정·종합결과'!$B$68*IFERROR(CHOOSE(FIND(G54,"DCBAS"),1,2,3,4,5),0),IF(F54&lt;&gt;"",IFERROR(CHOOSE(FIND(F54,"DCBAS"),1,2,3,4,5),0),IF(G54&lt;&gt;"",IFERROR(CHOOSE(FIND(G54,"DCBAS"),1,2,3,4,5),0),""))),"")</f>
        <v/>
      </c>
      <c r="I54" s="116">
        <f>IF(H54="","",IF(H54&gt;=4.5,"S",IF(H54&gt;=3.5,"A",IF(H54&gt;=2.5,"B",IF(H54&gt;=1.5,"C","D")))))</f>
        <v/>
      </c>
      <c r="J54" s="107" t="n"/>
      <c r="K54" s="107" t="n"/>
      <c r="L54" s="107" t="n"/>
      <c r="M54" s="107" t="n"/>
      <c r="N54" s="107" t="n"/>
      <c r="O54" s="107" t="n"/>
      <c r="P54" s="107" t="n"/>
      <c r="Q54" s="107" t="n"/>
      <c r="R54" s="107" t="n"/>
      <c r="S54" s="107" t="n"/>
      <c r="T54" s="107" t="n"/>
      <c r="U54" s="107" t="n"/>
    </row>
    <row r="55" ht="22" customHeight="1" s="86">
      <c r="A55" s="111">
        <f>IF('01_인적정보'!B55="","",'01_인적정보'!A55)</f>
        <v/>
      </c>
      <c r="B55" s="111">
        <f>IF('01_인적정보'!B55="","",'01_인적정보'!B55)</f>
        <v/>
      </c>
      <c r="C55" s="112">
        <f>IF('01_인적정보'!B55="","",'01_인적정보'!C55)</f>
        <v/>
      </c>
      <c r="D55" s="112">
        <f>IF('01_인적정보'!B55="","",'01_인적정보'!E55)</f>
        <v/>
      </c>
      <c r="E55" s="113">
        <f>IF('01_인적정보'!B55="","",'01_인적정보'!H55)</f>
        <v/>
      </c>
      <c r="F55" s="114">
        <f>IF('01_인적정보'!B55="","",'07a_상반기입력'!G55)</f>
        <v/>
      </c>
      <c r="G55" s="114">
        <f>IF('01_인적정보'!B55="","",'07a_상반기입력'!H55)</f>
        <v/>
      </c>
      <c r="H55" s="115">
        <f>IFERROR(IF(AND(F55&lt;&gt;"",G55&lt;&gt;""),'02_의사결정·종합결과'!$B$67*IFERROR(CHOOSE(FIND(F55,"DCBAS"),1,2,3,4,5),0)+'02_의사결정·종합결과'!$B$68*IFERROR(CHOOSE(FIND(G55,"DCBAS"),1,2,3,4,5),0),IF(F55&lt;&gt;"",IFERROR(CHOOSE(FIND(F55,"DCBAS"),1,2,3,4,5),0),IF(G55&lt;&gt;"",IFERROR(CHOOSE(FIND(G55,"DCBAS"),1,2,3,4,5),0),""))),"")</f>
        <v/>
      </c>
      <c r="I55" s="116">
        <f>IF(H55="","",IF(H55&gt;=4.5,"S",IF(H55&gt;=3.5,"A",IF(H55&gt;=2.5,"B",IF(H55&gt;=1.5,"C","D")))))</f>
        <v/>
      </c>
      <c r="J55" s="107" t="n"/>
      <c r="K55" s="107" t="n"/>
      <c r="L55" s="107" t="n"/>
      <c r="M55" s="107" t="n"/>
      <c r="N55" s="107" t="n"/>
      <c r="O55" s="107" t="n"/>
      <c r="P55" s="107" t="n"/>
      <c r="Q55" s="107" t="n"/>
      <c r="R55" s="107" t="n"/>
      <c r="S55" s="107" t="n"/>
      <c r="T55" s="107" t="n"/>
      <c r="U55" s="107" t="n"/>
    </row>
    <row r="56" s="86">
      <c r="A56" s="107" t="n"/>
      <c r="B56" s="107" t="n"/>
      <c r="C56" s="107" t="n"/>
      <c r="D56" s="107" t="n"/>
      <c r="E56" s="107" t="n"/>
      <c r="F56" s="107" t="n"/>
      <c r="G56" s="107" t="n"/>
      <c r="H56" s="117" t="n"/>
      <c r="I56" s="107" t="n"/>
      <c r="J56" s="107" t="n"/>
      <c r="K56" s="107" t="n"/>
      <c r="L56" s="107" t="n"/>
      <c r="M56" s="107" t="n"/>
      <c r="N56" s="107" t="n"/>
      <c r="O56" s="107" t="n"/>
      <c r="P56" s="107" t="n"/>
      <c r="Q56" s="107" t="n"/>
      <c r="R56" s="107" t="n"/>
      <c r="S56" s="107" t="n"/>
      <c r="T56" s="107" t="n"/>
      <c r="U56" s="107" t="n"/>
    </row>
    <row r="57" s="86">
      <c r="A57" s="107" t="n"/>
      <c r="B57" s="107" t="n"/>
      <c r="C57" s="107" t="n"/>
      <c r="D57" s="107" t="n"/>
      <c r="E57" s="107" t="n"/>
      <c r="F57" s="107" t="n"/>
      <c r="G57" s="107" t="n"/>
      <c r="H57" s="117" t="n"/>
      <c r="I57" s="107" t="n"/>
      <c r="J57" s="107" t="n"/>
      <c r="K57" s="107" t="n"/>
      <c r="L57" s="107" t="n"/>
      <c r="M57" s="107" t="n"/>
      <c r="N57" s="107" t="n"/>
      <c r="O57" s="107" t="n"/>
      <c r="P57" s="107" t="n"/>
      <c r="Q57" s="107" t="n"/>
      <c r="R57" s="107" t="n"/>
      <c r="S57" s="107" t="n"/>
      <c r="T57" s="107" t="n"/>
      <c r="U57" s="107" t="n"/>
    </row>
    <row r="58" s="86">
      <c r="A58" s="107" t="n"/>
      <c r="B58" s="107" t="n"/>
      <c r="C58" s="107" t="n"/>
      <c r="D58" s="107" t="n"/>
      <c r="E58" s="107" t="n"/>
      <c r="F58" s="107" t="n"/>
      <c r="G58" s="107" t="n"/>
      <c r="H58" s="117" t="n"/>
      <c r="I58" s="107" t="n"/>
      <c r="J58" s="107" t="n"/>
      <c r="K58" s="107" t="n"/>
      <c r="L58" s="117" t="n"/>
      <c r="M58" s="107" t="n"/>
      <c r="N58" s="107" t="n"/>
      <c r="O58" s="107" t="n"/>
      <c r="P58" s="118" t="n"/>
      <c r="Q58" s="107" t="n"/>
      <c r="R58" s="107" t="n"/>
      <c r="S58" s="107" t="n"/>
      <c r="T58" s="107" t="n"/>
      <c r="U58" s="107" t="n"/>
    </row>
    <row r="59" s="86">
      <c r="A59" s="107" t="n"/>
      <c r="B59" s="107" t="n"/>
      <c r="C59" s="107" t="n"/>
      <c r="D59" s="107" t="n"/>
      <c r="E59" s="107" t="n"/>
      <c r="F59" s="107" t="n"/>
      <c r="G59" s="107" t="n"/>
      <c r="H59" s="117" t="n"/>
      <c r="I59" s="107" t="n"/>
      <c r="J59" s="107" t="n"/>
      <c r="K59" s="107" t="n"/>
      <c r="L59" s="117" t="n"/>
      <c r="M59" s="107" t="n"/>
      <c r="N59" s="107" t="n"/>
      <c r="O59" s="107" t="n"/>
      <c r="P59" s="118" t="n"/>
      <c r="Q59" s="107" t="n"/>
      <c r="R59" s="107" t="n"/>
      <c r="S59" s="107" t="n"/>
      <c r="T59" s="107" t="n"/>
      <c r="U59" s="107" t="n"/>
    </row>
    <row r="60" s="86">
      <c r="A60" s="107" t="n"/>
      <c r="B60" s="107" t="n"/>
      <c r="C60" s="107" t="n"/>
      <c r="D60" s="107" t="n"/>
      <c r="E60" s="107" t="n"/>
      <c r="F60" s="107" t="n"/>
      <c r="G60" s="107" t="n"/>
      <c r="H60" s="117" t="n"/>
      <c r="I60" s="107" t="n"/>
      <c r="J60" s="107" t="n"/>
      <c r="K60" s="107" t="n"/>
      <c r="L60" s="117" t="n"/>
      <c r="M60" s="107" t="n"/>
      <c r="N60" s="107" t="n"/>
      <c r="O60" s="107" t="n"/>
      <c r="P60" s="118" t="n"/>
      <c r="Q60" s="107" t="n"/>
      <c r="R60" s="107" t="n"/>
      <c r="S60" s="107" t="n"/>
      <c r="T60" s="107" t="n"/>
      <c r="U60" s="107" t="n"/>
    </row>
    <row r="61" s="86">
      <c r="A61" s="107" t="n"/>
      <c r="B61" s="107" t="n"/>
      <c r="C61" s="107" t="n"/>
      <c r="D61" s="107" t="n"/>
      <c r="E61" s="107" t="n"/>
      <c r="F61" s="107" t="n"/>
      <c r="G61" s="107" t="n"/>
      <c r="H61" s="117" t="n"/>
      <c r="I61" s="107" t="n"/>
      <c r="J61" s="107" t="n"/>
      <c r="K61" s="107" t="n"/>
      <c r="L61" s="117" t="n"/>
      <c r="M61" s="107" t="n"/>
      <c r="N61" s="107" t="n"/>
      <c r="O61" s="107" t="n"/>
      <c r="P61" s="118" t="n"/>
      <c r="Q61" s="107" t="n"/>
      <c r="R61" s="107" t="n"/>
      <c r="S61" s="107" t="n"/>
      <c r="T61" s="107" t="n"/>
      <c r="U61" s="107" t="n"/>
    </row>
    <row r="62" ht="26" customHeight="1" s="86">
      <c r="A62" s="109" t="inlineStr">
        <is>
          <t>■ 하반기 역할평가 (50명까지)</t>
        </is>
      </c>
      <c r="B62" s="106" t="n"/>
      <c r="C62" s="106" t="n"/>
      <c r="D62" s="106" t="n"/>
      <c r="E62" s="106" t="n"/>
      <c r="F62" s="106" t="n"/>
      <c r="G62" s="106" t="n"/>
      <c r="H62" s="106" t="n"/>
      <c r="I62" s="106" t="n"/>
      <c r="J62" s="107" t="n"/>
      <c r="K62" s="107" t="n"/>
      <c r="L62" s="117" t="n"/>
      <c r="M62" s="107" t="n"/>
      <c r="N62" s="107" t="n"/>
      <c r="O62" s="107" t="n"/>
      <c r="P62" s="118" t="n"/>
      <c r="Q62" s="107" t="n"/>
      <c r="R62" s="107" t="n"/>
      <c r="S62" s="107" t="n"/>
      <c r="T62" s="107" t="n"/>
      <c r="U62" s="107" t="n"/>
    </row>
    <row r="63" ht="28" customHeight="1" s="86">
      <c r="A63" s="110" t="inlineStr">
        <is>
          <t>No.</t>
        </is>
      </c>
      <c r="B63" s="110" t="inlineStr">
        <is>
          <t>사번</t>
        </is>
      </c>
      <c r="C63" s="110" t="inlineStr">
        <is>
          <t>성명</t>
        </is>
      </c>
      <c r="D63" s="110" t="inlineStr">
        <is>
          <t>직무</t>
        </is>
      </c>
      <c r="E63" s="110" t="inlineStr">
        <is>
          <t>역할등급</t>
        </is>
      </c>
      <c r="F63" s="110" t="inlineStr">
        <is>
          <t>1차</t>
        </is>
      </c>
      <c r="G63" s="110" t="inlineStr">
        <is>
          <t>2차</t>
        </is>
      </c>
      <c r="H63" s="119" t="inlineStr">
        <is>
          <t>가중평균(점수)</t>
        </is>
      </c>
      <c r="I63" s="110" t="inlineStr">
        <is>
          <t>확정등급</t>
        </is>
      </c>
      <c r="J63" s="107" t="n"/>
      <c r="K63" s="107" t="n"/>
      <c r="L63" s="117" t="n"/>
      <c r="M63" s="107" t="n"/>
      <c r="N63" s="107" t="n"/>
      <c r="O63" s="107" t="n"/>
      <c r="P63" s="118" t="n"/>
      <c r="Q63" s="107" t="n"/>
      <c r="R63" s="107" t="n"/>
      <c r="S63" s="107" t="n"/>
      <c r="T63" s="107" t="n"/>
      <c r="U63" s="107" t="n"/>
    </row>
    <row r="64" ht="22" customHeight="1" s="86">
      <c r="A64" s="111">
        <f>IF('01_인적정보'!B6="","",'01_인적정보'!A6)</f>
        <v/>
      </c>
      <c r="B64" s="111">
        <f>IF('01_인적정보'!B6="","",'01_인적정보'!B6)</f>
        <v/>
      </c>
      <c r="C64" s="112">
        <f>IF('01_인적정보'!B6="","",'01_인적정보'!C6)</f>
        <v/>
      </c>
      <c r="D64" s="112">
        <f>IF('01_인적정보'!B6="","",'01_인적정보'!E6)</f>
        <v/>
      </c>
      <c r="E64" s="113">
        <f>IF('01_인적정보'!B6="","",'01_인적정보'!H6)</f>
        <v/>
      </c>
      <c r="F64" s="114">
        <f>IF('01_인적정보'!B6="","",'07b_하반기입력'!G6)</f>
        <v/>
      </c>
      <c r="G64" s="114">
        <f>IF('01_인적정보'!B6="","",'07b_하반기입력'!H6)</f>
        <v/>
      </c>
      <c r="H64" s="115">
        <f>IFERROR(IF(AND(F64&lt;&gt;"",G64&lt;&gt;""),'02_의사결정·종합결과'!$B$67*IFERROR(CHOOSE(FIND(F64,"DCBAS"),1,2,3,4,5),0)+'02_의사결정·종합결과'!$B$68*IFERROR(CHOOSE(FIND(G64,"DCBAS"),1,2,3,4,5),0),IF(F64&lt;&gt;"",IFERROR(CHOOSE(FIND(F64,"DCBAS"),1,2,3,4,5),0),IF(G64&lt;&gt;"",IFERROR(CHOOSE(FIND(G64,"DCBAS"),1,2,3,4,5),0),""))),"")</f>
        <v/>
      </c>
      <c r="I64" s="116">
        <f>IF(H64="","",IF(H64&gt;=4.5,"S",IF(H64&gt;=3.5,"A",IF(H64&gt;=2.5,"B",IF(H64&gt;=1.5,"C","D")))))</f>
        <v/>
      </c>
      <c r="J64" s="107" t="n"/>
      <c r="K64" s="107" t="n"/>
      <c r="L64" s="117" t="n"/>
      <c r="M64" s="107" t="n"/>
      <c r="N64" s="107" t="n"/>
      <c r="O64" s="107" t="n"/>
      <c r="P64" s="118" t="n"/>
      <c r="Q64" s="107" t="n"/>
      <c r="R64" s="107" t="n"/>
      <c r="S64" s="107" t="n"/>
      <c r="T64" s="107" t="n"/>
      <c r="U64" s="107" t="n"/>
    </row>
    <row r="65" ht="22" customHeight="1" s="86">
      <c r="A65" s="111">
        <f>IF('01_인적정보'!B7="","",'01_인적정보'!A7)</f>
        <v/>
      </c>
      <c r="B65" s="111">
        <f>IF('01_인적정보'!B7="","",'01_인적정보'!B7)</f>
        <v/>
      </c>
      <c r="C65" s="112">
        <f>IF('01_인적정보'!B7="","",'01_인적정보'!C7)</f>
        <v/>
      </c>
      <c r="D65" s="112">
        <f>IF('01_인적정보'!B7="","",'01_인적정보'!E7)</f>
        <v/>
      </c>
      <c r="E65" s="113">
        <f>IF('01_인적정보'!B7="","",'01_인적정보'!H7)</f>
        <v/>
      </c>
      <c r="F65" s="114">
        <f>IF('01_인적정보'!B7="","",'07b_하반기입력'!G7)</f>
        <v/>
      </c>
      <c r="G65" s="114">
        <f>IF('01_인적정보'!B7="","",'07b_하반기입력'!H7)</f>
        <v/>
      </c>
      <c r="H65" s="115">
        <f>IFERROR(IF(AND(F65&lt;&gt;"",G65&lt;&gt;""),'02_의사결정·종합결과'!$B$67*IFERROR(CHOOSE(FIND(F65,"DCBAS"),1,2,3,4,5),0)+'02_의사결정·종합결과'!$B$68*IFERROR(CHOOSE(FIND(G65,"DCBAS"),1,2,3,4,5),0),IF(F65&lt;&gt;"",IFERROR(CHOOSE(FIND(F65,"DCBAS"),1,2,3,4,5),0),IF(G65&lt;&gt;"",IFERROR(CHOOSE(FIND(G65,"DCBAS"),1,2,3,4,5),0),""))),"")</f>
        <v/>
      </c>
      <c r="I65" s="116">
        <f>IF(H65="","",IF(H65&gt;=4.5,"S",IF(H65&gt;=3.5,"A",IF(H65&gt;=2.5,"B",IF(H65&gt;=1.5,"C","D")))))</f>
        <v/>
      </c>
      <c r="J65" s="107" t="n"/>
      <c r="K65" s="107" t="n"/>
      <c r="L65" s="117" t="n"/>
      <c r="M65" s="107" t="n"/>
      <c r="N65" s="107" t="n"/>
      <c r="O65" s="107" t="n"/>
      <c r="P65" s="118" t="n"/>
      <c r="Q65" s="107" t="n"/>
      <c r="R65" s="107" t="n"/>
      <c r="S65" s="107" t="n"/>
      <c r="T65" s="107" t="n"/>
      <c r="U65" s="107" t="n"/>
    </row>
    <row r="66" ht="22" customHeight="1" s="86">
      <c r="A66" s="111">
        <f>IF('01_인적정보'!B8="","",'01_인적정보'!A8)</f>
        <v/>
      </c>
      <c r="B66" s="111">
        <f>IF('01_인적정보'!B8="","",'01_인적정보'!B8)</f>
        <v/>
      </c>
      <c r="C66" s="112">
        <f>IF('01_인적정보'!B8="","",'01_인적정보'!C8)</f>
        <v/>
      </c>
      <c r="D66" s="112">
        <f>IF('01_인적정보'!B8="","",'01_인적정보'!E8)</f>
        <v/>
      </c>
      <c r="E66" s="113">
        <f>IF('01_인적정보'!B8="","",'01_인적정보'!H8)</f>
        <v/>
      </c>
      <c r="F66" s="114">
        <f>IF('01_인적정보'!B8="","",'07b_하반기입력'!G8)</f>
        <v/>
      </c>
      <c r="G66" s="114">
        <f>IF('01_인적정보'!B8="","",'07b_하반기입력'!H8)</f>
        <v/>
      </c>
      <c r="H66" s="115">
        <f>IFERROR(IF(AND(F66&lt;&gt;"",G66&lt;&gt;""),'02_의사결정·종합결과'!$B$67*IFERROR(CHOOSE(FIND(F66,"DCBAS"),1,2,3,4,5),0)+'02_의사결정·종합결과'!$B$68*IFERROR(CHOOSE(FIND(G66,"DCBAS"),1,2,3,4,5),0),IF(F66&lt;&gt;"",IFERROR(CHOOSE(FIND(F66,"DCBAS"),1,2,3,4,5),0),IF(G66&lt;&gt;"",IFERROR(CHOOSE(FIND(G66,"DCBAS"),1,2,3,4,5),0),""))),"")</f>
        <v/>
      </c>
      <c r="I66" s="116">
        <f>IF(H66="","",IF(H66&gt;=4.5,"S",IF(H66&gt;=3.5,"A",IF(H66&gt;=2.5,"B",IF(H66&gt;=1.5,"C","D")))))</f>
        <v/>
      </c>
      <c r="J66" s="107" t="n"/>
      <c r="K66" s="107" t="n"/>
      <c r="L66" s="117" t="n"/>
      <c r="M66" s="107" t="n"/>
      <c r="N66" s="107" t="n"/>
      <c r="O66" s="107" t="n"/>
      <c r="P66" s="118" t="n"/>
      <c r="Q66" s="107" t="n"/>
      <c r="R66" s="107" t="n"/>
      <c r="S66" s="107" t="n"/>
      <c r="T66" s="107" t="n"/>
      <c r="U66" s="107" t="n"/>
    </row>
    <row r="67" ht="22" customHeight="1" s="86">
      <c r="A67" s="111">
        <f>IF('01_인적정보'!B9="","",'01_인적정보'!A9)</f>
        <v/>
      </c>
      <c r="B67" s="111">
        <f>IF('01_인적정보'!B9="","",'01_인적정보'!B9)</f>
        <v/>
      </c>
      <c r="C67" s="112">
        <f>IF('01_인적정보'!B9="","",'01_인적정보'!C9)</f>
        <v/>
      </c>
      <c r="D67" s="112">
        <f>IF('01_인적정보'!B9="","",'01_인적정보'!E9)</f>
        <v/>
      </c>
      <c r="E67" s="113">
        <f>IF('01_인적정보'!B9="","",'01_인적정보'!H9)</f>
        <v/>
      </c>
      <c r="F67" s="114">
        <f>IF('01_인적정보'!B9="","",'07b_하반기입력'!G9)</f>
        <v/>
      </c>
      <c r="G67" s="114">
        <f>IF('01_인적정보'!B9="","",'07b_하반기입력'!H9)</f>
        <v/>
      </c>
      <c r="H67" s="115">
        <f>IFERROR(IF(AND(F67&lt;&gt;"",G67&lt;&gt;""),'02_의사결정·종합결과'!$B$67*IFERROR(CHOOSE(FIND(F67,"DCBAS"),1,2,3,4,5),0)+'02_의사결정·종합결과'!$B$68*IFERROR(CHOOSE(FIND(G67,"DCBAS"),1,2,3,4,5),0),IF(F67&lt;&gt;"",IFERROR(CHOOSE(FIND(F67,"DCBAS"),1,2,3,4,5),0),IF(G67&lt;&gt;"",IFERROR(CHOOSE(FIND(G67,"DCBAS"),1,2,3,4,5),0),""))),"")</f>
        <v/>
      </c>
      <c r="I67" s="116">
        <f>IF(H67="","",IF(H67&gt;=4.5,"S",IF(H67&gt;=3.5,"A",IF(H67&gt;=2.5,"B",IF(H67&gt;=1.5,"C","D")))))</f>
        <v/>
      </c>
      <c r="J67" s="107" t="n"/>
      <c r="K67" s="107" t="n"/>
      <c r="L67" s="117" t="n"/>
      <c r="M67" s="107" t="n"/>
      <c r="N67" s="107" t="n"/>
      <c r="O67" s="107" t="n"/>
      <c r="P67" s="118" t="n"/>
      <c r="Q67" s="107" t="n"/>
      <c r="R67" s="107" t="n"/>
      <c r="S67" s="107" t="n"/>
      <c r="T67" s="107" t="n"/>
      <c r="U67" s="107" t="n"/>
    </row>
    <row r="68" ht="22" customHeight="1" s="86">
      <c r="A68" s="111">
        <f>IF('01_인적정보'!B10="","",'01_인적정보'!A10)</f>
        <v/>
      </c>
      <c r="B68" s="111">
        <f>IF('01_인적정보'!B10="","",'01_인적정보'!B10)</f>
        <v/>
      </c>
      <c r="C68" s="112">
        <f>IF('01_인적정보'!B10="","",'01_인적정보'!C10)</f>
        <v/>
      </c>
      <c r="D68" s="112">
        <f>IF('01_인적정보'!B10="","",'01_인적정보'!E10)</f>
        <v/>
      </c>
      <c r="E68" s="113">
        <f>IF('01_인적정보'!B10="","",'01_인적정보'!H10)</f>
        <v/>
      </c>
      <c r="F68" s="114">
        <f>IF('01_인적정보'!B10="","",'07b_하반기입력'!G10)</f>
        <v/>
      </c>
      <c r="G68" s="114">
        <f>IF('01_인적정보'!B10="","",'07b_하반기입력'!H10)</f>
        <v/>
      </c>
      <c r="H68" s="115">
        <f>IFERROR(IF(AND(F68&lt;&gt;"",G68&lt;&gt;""),'02_의사결정·종합결과'!$B$67*IFERROR(CHOOSE(FIND(F68,"DCBAS"),1,2,3,4,5),0)+'02_의사결정·종합결과'!$B$68*IFERROR(CHOOSE(FIND(G68,"DCBAS"),1,2,3,4,5),0),IF(F68&lt;&gt;"",IFERROR(CHOOSE(FIND(F68,"DCBAS"),1,2,3,4,5),0),IF(G68&lt;&gt;"",IFERROR(CHOOSE(FIND(G68,"DCBAS"),1,2,3,4,5),0),""))),"")</f>
        <v/>
      </c>
      <c r="I68" s="116">
        <f>IF(H68="","",IF(H68&gt;=4.5,"S",IF(H68&gt;=3.5,"A",IF(H68&gt;=2.5,"B",IF(H68&gt;=1.5,"C","D")))))</f>
        <v/>
      </c>
      <c r="J68" s="107" t="n"/>
      <c r="K68" s="107" t="n"/>
      <c r="L68" s="117" t="n"/>
      <c r="M68" s="107" t="n"/>
      <c r="N68" s="107" t="n"/>
      <c r="O68" s="107" t="n"/>
      <c r="P68" s="118" t="n"/>
      <c r="Q68" s="107" t="n"/>
      <c r="R68" s="107" t="n"/>
      <c r="S68" s="107" t="n"/>
      <c r="T68" s="107" t="n"/>
      <c r="U68" s="107" t="n"/>
    </row>
    <row r="69" ht="22" customHeight="1" s="86">
      <c r="A69" s="111">
        <f>IF('01_인적정보'!B11="","",'01_인적정보'!A11)</f>
        <v/>
      </c>
      <c r="B69" s="111">
        <f>IF('01_인적정보'!B11="","",'01_인적정보'!B11)</f>
        <v/>
      </c>
      <c r="C69" s="112">
        <f>IF('01_인적정보'!B11="","",'01_인적정보'!C11)</f>
        <v/>
      </c>
      <c r="D69" s="112">
        <f>IF('01_인적정보'!B11="","",'01_인적정보'!E11)</f>
        <v/>
      </c>
      <c r="E69" s="113">
        <f>IF('01_인적정보'!B11="","",'01_인적정보'!H11)</f>
        <v/>
      </c>
      <c r="F69" s="114">
        <f>IF('01_인적정보'!B11="","",'07b_하반기입력'!G11)</f>
        <v/>
      </c>
      <c r="G69" s="114">
        <f>IF('01_인적정보'!B11="","",'07b_하반기입력'!H11)</f>
        <v/>
      </c>
      <c r="H69" s="115">
        <f>IFERROR(IF(AND(F69&lt;&gt;"",G69&lt;&gt;""),'02_의사결정·종합결과'!$B$67*IFERROR(CHOOSE(FIND(F69,"DCBAS"),1,2,3,4,5),0)+'02_의사결정·종합결과'!$B$68*IFERROR(CHOOSE(FIND(G69,"DCBAS"),1,2,3,4,5),0),IF(F69&lt;&gt;"",IFERROR(CHOOSE(FIND(F69,"DCBAS"),1,2,3,4,5),0),IF(G69&lt;&gt;"",IFERROR(CHOOSE(FIND(G69,"DCBAS"),1,2,3,4,5),0),""))),"")</f>
        <v/>
      </c>
      <c r="I69" s="116">
        <f>IF(H69="","",IF(H69&gt;=4.5,"S",IF(H69&gt;=3.5,"A",IF(H69&gt;=2.5,"B",IF(H69&gt;=1.5,"C","D")))))</f>
        <v/>
      </c>
      <c r="J69" s="107" t="n"/>
      <c r="K69" s="107" t="n"/>
      <c r="L69" s="117" t="n"/>
      <c r="M69" s="107" t="n"/>
      <c r="N69" s="107" t="n"/>
      <c r="O69" s="107" t="n"/>
      <c r="P69" s="118" t="n"/>
      <c r="Q69" s="107" t="n"/>
      <c r="R69" s="107" t="n"/>
      <c r="S69" s="107" t="n"/>
      <c r="T69" s="107" t="n"/>
      <c r="U69" s="107" t="n"/>
    </row>
    <row r="70" ht="22" customHeight="1" s="86">
      <c r="A70" s="111">
        <f>IF('01_인적정보'!B12="","",'01_인적정보'!A12)</f>
        <v/>
      </c>
      <c r="B70" s="111">
        <f>IF('01_인적정보'!B12="","",'01_인적정보'!B12)</f>
        <v/>
      </c>
      <c r="C70" s="112">
        <f>IF('01_인적정보'!B12="","",'01_인적정보'!C12)</f>
        <v/>
      </c>
      <c r="D70" s="112">
        <f>IF('01_인적정보'!B12="","",'01_인적정보'!E12)</f>
        <v/>
      </c>
      <c r="E70" s="113">
        <f>IF('01_인적정보'!B12="","",'01_인적정보'!H12)</f>
        <v/>
      </c>
      <c r="F70" s="114">
        <f>IF('01_인적정보'!B12="","",'07b_하반기입력'!G12)</f>
        <v/>
      </c>
      <c r="G70" s="114">
        <f>IF('01_인적정보'!B12="","",'07b_하반기입력'!H12)</f>
        <v/>
      </c>
      <c r="H70" s="115">
        <f>IFERROR(IF(AND(F70&lt;&gt;"",G70&lt;&gt;""),'02_의사결정·종합결과'!$B$67*IFERROR(CHOOSE(FIND(F70,"DCBAS"),1,2,3,4,5),0)+'02_의사결정·종합결과'!$B$68*IFERROR(CHOOSE(FIND(G70,"DCBAS"),1,2,3,4,5),0),IF(F70&lt;&gt;"",IFERROR(CHOOSE(FIND(F70,"DCBAS"),1,2,3,4,5),0),IF(G70&lt;&gt;"",IFERROR(CHOOSE(FIND(G70,"DCBAS"),1,2,3,4,5),0),""))),"")</f>
        <v/>
      </c>
      <c r="I70" s="116">
        <f>IF(H70="","",IF(H70&gt;=4.5,"S",IF(H70&gt;=3.5,"A",IF(H70&gt;=2.5,"B",IF(H70&gt;=1.5,"C","D")))))</f>
        <v/>
      </c>
      <c r="J70" s="107" t="n"/>
      <c r="K70" s="107" t="n"/>
      <c r="L70" s="117" t="n"/>
      <c r="M70" s="107" t="n"/>
      <c r="N70" s="107" t="n"/>
      <c r="O70" s="107" t="n"/>
      <c r="P70" s="118" t="n"/>
      <c r="Q70" s="107" t="n"/>
      <c r="R70" s="107" t="n"/>
      <c r="S70" s="107" t="n"/>
      <c r="T70" s="107" t="n"/>
      <c r="U70" s="107" t="n"/>
    </row>
    <row r="71" ht="22" customHeight="1" s="86">
      <c r="A71" s="111">
        <f>IF('01_인적정보'!B13="","",'01_인적정보'!A13)</f>
        <v/>
      </c>
      <c r="B71" s="111">
        <f>IF('01_인적정보'!B13="","",'01_인적정보'!B13)</f>
        <v/>
      </c>
      <c r="C71" s="112">
        <f>IF('01_인적정보'!B13="","",'01_인적정보'!C13)</f>
        <v/>
      </c>
      <c r="D71" s="112">
        <f>IF('01_인적정보'!B13="","",'01_인적정보'!E13)</f>
        <v/>
      </c>
      <c r="E71" s="113">
        <f>IF('01_인적정보'!B13="","",'01_인적정보'!H13)</f>
        <v/>
      </c>
      <c r="F71" s="114">
        <f>IF('01_인적정보'!B13="","",'07b_하반기입력'!G13)</f>
        <v/>
      </c>
      <c r="G71" s="114">
        <f>IF('01_인적정보'!B13="","",'07b_하반기입력'!H13)</f>
        <v/>
      </c>
      <c r="H71" s="115">
        <f>IFERROR(IF(AND(F71&lt;&gt;"",G71&lt;&gt;""),'02_의사결정·종합결과'!$B$67*IFERROR(CHOOSE(FIND(F71,"DCBAS"),1,2,3,4,5),0)+'02_의사결정·종합결과'!$B$68*IFERROR(CHOOSE(FIND(G71,"DCBAS"),1,2,3,4,5),0),IF(F71&lt;&gt;"",IFERROR(CHOOSE(FIND(F71,"DCBAS"),1,2,3,4,5),0),IF(G71&lt;&gt;"",IFERROR(CHOOSE(FIND(G71,"DCBAS"),1,2,3,4,5),0),""))),"")</f>
        <v/>
      </c>
      <c r="I71" s="116">
        <f>IF(H71="","",IF(H71&gt;=4.5,"S",IF(H71&gt;=3.5,"A",IF(H71&gt;=2.5,"B",IF(H71&gt;=1.5,"C","D")))))</f>
        <v/>
      </c>
      <c r="J71" s="107" t="n"/>
      <c r="K71" s="107" t="n"/>
      <c r="L71" s="117" t="n"/>
      <c r="M71" s="107" t="n"/>
      <c r="N71" s="107" t="n"/>
      <c r="O71" s="107" t="n"/>
      <c r="P71" s="118" t="n"/>
      <c r="Q71" s="107" t="n"/>
      <c r="R71" s="107" t="n"/>
      <c r="S71" s="107" t="n"/>
      <c r="T71" s="107" t="n"/>
      <c r="U71" s="107" t="n"/>
    </row>
    <row r="72" ht="22" customHeight="1" s="86">
      <c r="A72" s="111">
        <f>IF('01_인적정보'!B14="","",'01_인적정보'!A14)</f>
        <v/>
      </c>
      <c r="B72" s="111">
        <f>IF('01_인적정보'!B14="","",'01_인적정보'!B14)</f>
        <v/>
      </c>
      <c r="C72" s="112">
        <f>IF('01_인적정보'!B14="","",'01_인적정보'!C14)</f>
        <v/>
      </c>
      <c r="D72" s="112">
        <f>IF('01_인적정보'!B14="","",'01_인적정보'!E14)</f>
        <v/>
      </c>
      <c r="E72" s="113">
        <f>IF('01_인적정보'!B14="","",'01_인적정보'!H14)</f>
        <v/>
      </c>
      <c r="F72" s="114">
        <f>IF('01_인적정보'!B14="","",'07b_하반기입력'!G14)</f>
        <v/>
      </c>
      <c r="G72" s="114">
        <f>IF('01_인적정보'!B14="","",'07b_하반기입력'!H14)</f>
        <v/>
      </c>
      <c r="H72" s="115">
        <f>IFERROR(IF(AND(F72&lt;&gt;"",G72&lt;&gt;""),'02_의사결정·종합결과'!$B$67*IFERROR(CHOOSE(FIND(F72,"DCBAS"),1,2,3,4,5),0)+'02_의사결정·종합결과'!$B$68*IFERROR(CHOOSE(FIND(G72,"DCBAS"),1,2,3,4,5),0),IF(F72&lt;&gt;"",IFERROR(CHOOSE(FIND(F72,"DCBAS"),1,2,3,4,5),0),IF(G72&lt;&gt;"",IFERROR(CHOOSE(FIND(G72,"DCBAS"),1,2,3,4,5),0),""))),"")</f>
        <v/>
      </c>
      <c r="I72" s="116">
        <f>IF(H72="","",IF(H72&gt;=4.5,"S",IF(H72&gt;=3.5,"A",IF(H72&gt;=2.5,"B",IF(H72&gt;=1.5,"C","D")))))</f>
        <v/>
      </c>
      <c r="J72" s="107" t="n"/>
      <c r="K72" s="107" t="n"/>
      <c r="L72" s="117" t="n"/>
      <c r="M72" s="107" t="n"/>
      <c r="N72" s="107" t="n"/>
      <c r="O72" s="107" t="n"/>
      <c r="P72" s="118" t="n"/>
      <c r="Q72" s="107" t="n"/>
      <c r="R72" s="107" t="n"/>
      <c r="S72" s="107" t="n"/>
      <c r="T72" s="107" t="n"/>
      <c r="U72" s="107" t="n"/>
    </row>
    <row r="73" ht="22" customHeight="1" s="86">
      <c r="A73" s="111">
        <f>IF('01_인적정보'!B15="","",'01_인적정보'!A15)</f>
        <v/>
      </c>
      <c r="B73" s="111">
        <f>IF('01_인적정보'!B15="","",'01_인적정보'!B15)</f>
        <v/>
      </c>
      <c r="C73" s="112">
        <f>IF('01_인적정보'!B15="","",'01_인적정보'!C15)</f>
        <v/>
      </c>
      <c r="D73" s="112">
        <f>IF('01_인적정보'!B15="","",'01_인적정보'!E15)</f>
        <v/>
      </c>
      <c r="E73" s="113">
        <f>IF('01_인적정보'!B15="","",'01_인적정보'!H15)</f>
        <v/>
      </c>
      <c r="F73" s="114">
        <f>IF('01_인적정보'!B15="","",'07b_하반기입력'!G15)</f>
        <v/>
      </c>
      <c r="G73" s="114">
        <f>IF('01_인적정보'!B15="","",'07b_하반기입력'!H15)</f>
        <v/>
      </c>
      <c r="H73" s="115">
        <f>IFERROR(IF(AND(F73&lt;&gt;"",G73&lt;&gt;""),'02_의사결정·종합결과'!$B$67*IFERROR(CHOOSE(FIND(F73,"DCBAS"),1,2,3,4,5),0)+'02_의사결정·종합결과'!$B$68*IFERROR(CHOOSE(FIND(G73,"DCBAS"),1,2,3,4,5),0),IF(F73&lt;&gt;"",IFERROR(CHOOSE(FIND(F73,"DCBAS"),1,2,3,4,5),0),IF(G73&lt;&gt;"",IFERROR(CHOOSE(FIND(G73,"DCBAS"),1,2,3,4,5),0),""))),"")</f>
        <v/>
      </c>
      <c r="I73" s="116">
        <f>IF(H73="","",IF(H73&gt;=4.5,"S",IF(H73&gt;=3.5,"A",IF(H73&gt;=2.5,"B",IF(H73&gt;=1.5,"C","D")))))</f>
        <v/>
      </c>
      <c r="J73" s="107" t="n"/>
      <c r="K73" s="107" t="n"/>
      <c r="L73" s="117" t="n"/>
      <c r="M73" s="107" t="n"/>
      <c r="N73" s="107" t="n"/>
      <c r="O73" s="107" t="n"/>
      <c r="P73" s="118" t="n"/>
      <c r="Q73" s="107" t="n"/>
      <c r="R73" s="107" t="n"/>
      <c r="S73" s="107" t="n"/>
      <c r="T73" s="107" t="n"/>
      <c r="U73" s="107" t="n"/>
    </row>
    <row r="74" ht="22" customHeight="1" s="86">
      <c r="A74" s="111">
        <f>IF('01_인적정보'!B16="","",'01_인적정보'!A16)</f>
        <v/>
      </c>
      <c r="B74" s="111">
        <f>IF('01_인적정보'!B16="","",'01_인적정보'!B16)</f>
        <v/>
      </c>
      <c r="C74" s="112">
        <f>IF('01_인적정보'!B16="","",'01_인적정보'!C16)</f>
        <v/>
      </c>
      <c r="D74" s="112">
        <f>IF('01_인적정보'!B16="","",'01_인적정보'!E16)</f>
        <v/>
      </c>
      <c r="E74" s="113">
        <f>IF('01_인적정보'!B16="","",'01_인적정보'!H16)</f>
        <v/>
      </c>
      <c r="F74" s="114">
        <f>IF('01_인적정보'!B16="","",'07b_하반기입력'!G16)</f>
        <v/>
      </c>
      <c r="G74" s="114">
        <f>IF('01_인적정보'!B16="","",'07b_하반기입력'!H16)</f>
        <v/>
      </c>
      <c r="H74" s="115">
        <f>IFERROR(IF(AND(F74&lt;&gt;"",G74&lt;&gt;""),'02_의사결정·종합결과'!$B$67*IFERROR(CHOOSE(FIND(F74,"DCBAS"),1,2,3,4,5),0)+'02_의사결정·종합결과'!$B$68*IFERROR(CHOOSE(FIND(G74,"DCBAS"),1,2,3,4,5),0),IF(F74&lt;&gt;"",IFERROR(CHOOSE(FIND(F74,"DCBAS"),1,2,3,4,5),0),IF(G74&lt;&gt;"",IFERROR(CHOOSE(FIND(G74,"DCBAS"),1,2,3,4,5),0),""))),"")</f>
        <v/>
      </c>
      <c r="I74" s="116">
        <f>IF(H74="","",IF(H74&gt;=4.5,"S",IF(H74&gt;=3.5,"A",IF(H74&gt;=2.5,"B",IF(H74&gt;=1.5,"C","D")))))</f>
        <v/>
      </c>
      <c r="J74" s="107" t="n"/>
      <c r="K74" s="107" t="n"/>
      <c r="L74" s="117" t="n"/>
      <c r="M74" s="107" t="n"/>
      <c r="N74" s="107" t="n"/>
      <c r="O74" s="107" t="n"/>
      <c r="P74" s="118" t="n"/>
      <c r="Q74" s="107" t="n"/>
      <c r="R74" s="107" t="n"/>
      <c r="S74" s="107" t="n"/>
      <c r="T74" s="107" t="n"/>
      <c r="U74" s="107" t="n"/>
    </row>
    <row r="75" ht="22" customHeight="1" s="86">
      <c r="A75" s="111">
        <f>IF('01_인적정보'!B17="","",'01_인적정보'!A17)</f>
        <v/>
      </c>
      <c r="B75" s="111">
        <f>IF('01_인적정보'!B17="","",'01_인적정보'!B17)</f>
        <v/>
      </c>
      <c r="C75" s="112">
        <f>IF('01_인적정보'!B17="","",'01_인적정보'!C17)</f>
        <v/>
      </c>
      <c r="D75" s="112">
        <f>IF('01_인적정보'!B17="","",'01_인적정보'!E17)</f>
        <v/>
      </c>
      <c r="E75" s="113">
        <f>IF('01_인적정보'!B17="","",'01_인적정보'!H17)</f>
        <v/>
      </c>
      <c r="F75" s="114">
        <f>IF('01_인적정보'!B17="","",'07b_하반기입력'!G17)</f>
        <v/>
      </c>
      <c r="G75" s="114">
        <f>IF('01_인적정보'!B17="","",'07b_하반기입력'!H17)</f>
        <v/>
      </c>
      <c r="H75" s="115">
        <f>IFERROR(IF(AND(F75&lt;&gt;"",G75&lt;&gt;""),'02_의사결정·종합결과'!$B$67*IFERROR(CHOOSE(FIND(F75,"DCBAS"),1,2,3,4,5),0)+'02_의사결정·종합결과'!$B$68*IFERROR(CHOOSE(FIND(G75,"DCBAS"),1,2,3,4,5),0),IF(F75&lt;&gt;"",IFERROR(CHOOSE(FIND(F75,"DCBAS"),1,2,3,4,5),0),IF(G75&lt;&gt;"",IFERROR(CHOOSE(FIND(G75,"DCBAS"),1,2,3,4,5),0),""))),"")</f>
        <v/>
      </c>
      <c r="I75" s="116">
        <f>IF(H75="","",IF(H75&gt;=4.5,"S",IF(H75&gt;=3.5,"A",IF(H75&gt;=2.5,"B",IF(H75&gt;=1.5,"C","D")))))</f>
        <v/>
      </c>
      <c r="J75" s="107" t="n"/>
      <c r="K75" s="107" t="n"/>
      <c r="L75" s="117" t="n"/>
      <c r="M75" s="107" t="n"/>
      <c r="N75" s="107" t="n"/>
      <c r="O75" s="107" t="n"/>
      <c r="P75" s="118" t="n"/>
      <c r="Q75" s="107" t="n"/>
      <c r="R75" s="107" t="n"/>
      <c r="S75" s="107" t="n"/>
      <c r="T75" s="107" t="n"/>
      <c r="U75" s="107" t="n"/>
    </row>
    <row r="76" ht="22" customHeight="1" s="86">
      <c r="A76" s="111">
        <f>IF('01_인적정보'!B18="","",'01_인적정보'!A18)</f>
        <v/>
      </c>
      <c r="B76" s="111">
        <f>IF('01_인적정보'!B18="","",'01_인적정보'!B18)</f>
        <v/>
      </c>
      <c r="C76" s="112">
        <f>IF('01_인적정보'!B18="","",'01_인적정보'!C18)</f>
        <v/>
      </c>
      <c r="D76" s="112">
        <f>IF('01_인적정보'!B18="","",'01_인적정보'!E18)</f>
        <v/>
      </c>
      <c r="E76" s="113">
        <f>IF('01_인적정보'!B18="","",'01_인적정보'!H18)</f>
        <v/>
      </c>
      <c r="F76" s="114">
        <f>IF('01_인적정보'!B18="","",'07b_하반기입력'!G18)</f>
        <v/>
      </c>
      <c r="G76" s="114">
        <f>IF('01_인적정보'!B18="","",'07b_하반기입력'!H18)</f>
        <v/>
      </c>
      <c r="H76" s="115">
        <f>IFERROR(IF(AND(F76&lt;&gt;"",G76&lt;&gt;""),'02_의사결정·종합결과'!$B$67*IFERROR(CHOOSE(FIND(F76,"DCBAS"),1,2,3,4,5),0)+'02_의사결정·종합결과'!$B$68*IFERROR(CHOOSE(FIND(G76,"DCBAS"),1,2,3,4,5),0),IF(F76&lt;&gt;"",IFERROR(CHOOSE(FIND(F76,"DCBAS"),1,2,3,4,5),0),IF(G76&lt;&gt;"",IFERROR(CHOOSE(FIND(G76,"DCBAS"),1,2,3,4,5),0),""))),"")</f>
        <v/>
      </c>
      <c r="I76" s="116">
        <f>IF(H76="","",IF(H76&gt;=4.5,"S",IF(H76&gt;=3.5,"A",IF(H76&gt;=2.5,"B",IF(H76&gt;=1.5,"C","D")))))</f>
        <v/>
      </c>
      <c r="J76" s="107" t="n"/>
      <c r="K76" s="107" t="n"/>
      <c r="L76" s="117" t="n"/>
      <c r="M76" s="107" t="n"/>
      <c r="N76" s="107" t="n"/>
      <c r="O76" s="107" t="n"/>
      <c r="P76" s="118" t="n"/>
      <c r="Q76" s="107" t="n"/>
      <c r="R76" s="107" t="n"/>
      <c r="S76" s="107" t="n"/>
      <c r="T76" s="107" t="n"/>
      <c r="U76" s="107" t="n"/>
    </row>
    <row r="77" ht="22" customHeight="1" s="86">
      <c r="A77" s="111">
        <f>IF('01_인적정보'!B19="","",'01_인적정보'!A19)</f>
        <v/>
      </c>
      <c r="B77" s="111">
        <f>IF('01_인적정보'!B19="","",'01_인적정보'!B19)</f>
        <v/>
      </c>
      <c r="C77" s="112">
        <f>IF('01_인적정보'!B19="","",'01_인적정보'!C19)</f>
        <v/>
      </c>
      <c r="D77" s="112">
        <f>IF('01_인적정보'!B19="","",'01_인적정보'!E19)</f>
        <v/>
      </c>
      <c r="E77" s="113">
        <f>IF('01_인적정보'!B19="","",'01_인적정보'!H19)</f>
        <v/>
      </c>
      <c r="F77" s="114">
        <f>IF('01_인적정보'!B19="","",'07b_하반기입력'!G19)</f>
        <v/>
      </c>
      <c r="G77" s="114">
        <f>IF('01_인적정보'!B19="","",'07b_하반기입력'!H19)</f>
        <v/>
      </c>
      <c r="H77" s="115">
        <f>IFERROR(IF(AND(F77&lt;&gt;"",G77&lt;&gt;""),'02_의사결정·종합결과'!$B$67*IFERROR(CHOOSE(FIND(F77,"DCBAS"),1,2,3,4,5),0)+'02_의사결정·종합결과'!$B$68*IFERROR(CHOOSE(FIND(G77,"DCBAS"),1,2,3,4,5),0),IF(F77&lt;&gt;"",IFERROR(CHOOSE(FIND(F77,"DCBAS"),1,2,3,4,5),0),IF(G77&lt;&gt;"",IFERROR(CHOOSE(FIND(G77,"DCBAS"),1,2,3,4,5),0),""))),"")</f>
        <v/>
      </c>
      <c r="I77" s="116">
        <f>IF(H77="","",IF(H77&gt;=4.5,"S",IF(H77&gt;=3.5,"A",IF(H77&gt;=2.5,"B",IF(H77&gt;=1.5,"C","D")))))</f>
        <v/>
      </c>
      <c r="J77" s="107" t="n"/>
      <c r="K77" s="107" t="n"/>
      <c r="L77" s="117" t="n"/>
      <c r="M77" s="107" t="n"/>
      <c r="N77" s="107" t="n"/>
      <c r="O77" s="107" t="n"/>
      <c r="P77" s="118" t="n"/>
      <c r="Q77" s="107" t="n"/>
      <c r="R77" s="107" t="n"/>
      <c r="S77" s="107" t="n"/>
      <c r="T77" s="107" t="n"/>
      <c r="U77" s="107" t="n"/>
    </row>
    <row r="78" ht="22" customHeight="1" s="86">
      <c r="A78" s="111">
        <f>IF('01_인적정보'!B20="","",'01_인적정보'!A20)</f>
        <v/>
      </c>
      <c r="B78" s="111">
        <f>IF('01_인적정보'!B20="","",'01_인적정보'!B20)</f>
        <v/>
      </c>
      <c r="C78" s="112">
        <f>IF('01_인적정보'!B20="","",'01_인적정보'!C20)</f>
        <v/>
      </c>
      <c r="D78" s="112">
        <f>IF('01_인적정보'!B20="","",'01_인적정보'!E20)</f>
        <v/>
      </c>
      <c r="E78" s="113">
        <f>IF('01_인적정보'!B20="","",'01_인적정보'!H20)</f>
        <v/>
      </c>
      <c r="F78" s="114">
        <f>IF('01_인적정보'!B20="","",'07b_하반기입력'!G20)</f>
        <v/>
      </c>
      <c r="G78" s="114">
        <f>IF('01_인적정보'!B20="","",'07b_하반기입력'!H20)</f>
        <v/>
      </c>
      <c r="H78" s="115">
        <f>IFERROR(IF(AND(F78&lt;&gt;"",G78&lt;&gt;""),'02_의사결정·종합결과'!$B$67*IFERROR(CHOOSE(FIND(F78,"DCBAS"),1,2,3,4,5),0)+'02_의사결정·종합결과'!$B$68*IFERROR(CHOOSE(FIND(G78,"DCBAS"),1,2,3,4,5),0),IF(F78&lt;&gt;"",IFERROR(CHOOSE(FIND(F78,"DCBAS"),1,2,3,4,5),0),IF(G78&lt;&gt;"",IFERROR(CHOOSE(FIND(G78,"DCBAS"),1,2,3,4,5),0),""))),"")</f>
        <v/>
      </c>
      <c r="I78" s="116">
        <f>IF(H78="","",IF(H78&gt;=4.5,"S",IF(H78&gt;=3.5,"A",IF(H78&gt;=2.5,"B",IF(H78&gt;=1.5,"C","D")))))</f>
        <v/>
      </c>
      <c r="J78" s="107" t="n"/>
      <c r="K78" s="107" t="n"/>
      <c r="L78" s="117" t="n"/>
      <c r="M78" s="107" t="n"/>
      <c r="N78" s="107" t="n"/>
      <c r="O78" s="107" t="n"/>
      <c r="P78" s="118" t="n"/>
      <c r="Q78" s="107" t="n"/>
      <c r="R78" s="107" t="n"/>
      <c r="S78" s="107" t="n"/>
      <c r="T78" s="107" t="n"/>
      <c r="U78" s="107" t="n"/>
    </row>
    <row r="79" ht="22" customHeight="1" s="86">
      <c r="A79" s="111">
        <f>IF('01_인적정보'!B21="","",'01_인적정보'!A21)</f>
        <v/>
      </c>
      <c r="B79" s="111">
        <f>IF('01_인적정보'!B21="","",'01_인적정보'!B21)</f>
        <v/>
      </c>
      <c r="C79" s="112">
        <f>IF('01_인적정보'!B21="","",'01_인적정보'!C21)</f>
        <v/>
      </c>
      <c r="D79" s="112">
        <f>IF('01_인적정보'!B21="","",'01_인적정보'!E21)</f>
        <v/>
      </c>
      <c r="E79" s="113">
        <f>IF('01_인적정보'!B21="","",'01_인적정보'!H21)</f>
        <v/>
      </c>
      <c r="F79" s="114">
        <f>IF('01_인적정보'!B21="","",'07b_하반기입력'!G21)</f>
        <v/>
      </c>
      <c r="G79" s="114">
        <f>IF('01_인적정보'!B21="","",'07b_하반기입력'!H21)</f>
        <v/>
      </c>
      <c r="H79" s="115">
        <f>IFERROR(IF(AND(F79&lt;&gt;"",G79&lt;&gt;""),'02_의사결정·종합결과'!$B$67*IFERROR(CHOOSE(FIND(F79,"DCBAS"),1,2,3,4,5),0)+'02_의사결정·종합결과'!$B$68*IFERROR(CHOOSE(FIND(G79,"DCBAS"),1,2,3,4,5),0),IF(F79&lt;&gt;"",IFERROR(CHOOSE(FIND(F79,"DCBAS"),1,2,3,4,5),0),IF(G79&lt;&gt;"",IFERROR(CHOOSE(FIND(G79,"DCBAS"),1,2,3,4,5),0),""))),"")</f>
        <v/>
      </c>
      <c r="I79" s="116">
        <f>IF(H79="","",IF(H79&gt;=4.5,"S",IF(H79&gt;=3.5,"A",IF(H79&gt;=2.5,"B",IF(H79&gt;=1.5,"C","D")))))</f>
        <v/>
      </c>
      <c r="J79" s="107" t="n"/>
      <c r="K79" s="107" t="n"/>
      <c r="L79" s="117" t="n"/>
      <c r="M79" s="107" t="n"/>
      <c r="N79" s="107" t="n"/>
      <c r="O79" s="107" t="n"/>
      <c r="P79" s="118" t="n"/>
      <c r="Q79" s="107" t="n"/>
      <c r="R79" s="107" t="n"/>
      <c r="S79" s="107" t="n"/>
      <c r="T79" s="107" t="n"/>
      <c r="U79" s="107" t="n"/>
    </row>
    <row r="80" ht="22" customHeight="1" s="86">
      <c r="A80" s="111">
        <f>IF('01_인적정보'!B22="","",'01_인적정보'!A22)</f>
        <v/>
      </c>
      <c r="B80" s="111">
        <f>IF('01_인적정보'!B22="","",'01_인적정보'!B22)</f>
        <v/>
      </c>
      <c r="C80" s="112">
        <f>IF('01_인적정보'!B22="","",'01_인적정보'!C22)</f>
        <v/>
      </c>
      <c r="D80" s="112">
        <f>IF('01_인적정보'!B22="","",'01_인적정보'!E22)</f>
        <v/>
      </c>
      <c r="E80" s="113">
        <f>IF('01_인적정보'!B22="","",'01_인적정보'!H22)</f>
        <v/>
      </c>
      <c r="F80" s="114">
        <f>IF('01_인적정보'!B22="","",'07b_하반기입력'!G22)</f>
        <v/>
      </c>
      <c r="G80" s="114">
        <f>IF('01_인적정보'!B22="","",'07b_하반기입력'!H22)</f>
        <v/>
      </c>
      <c r="H80" s="115">
        <f>IFERROR(IF(AND(F80&lt;&gt;"",G80&lt;&gt;""),'02_의사결정·종합결과'!$B$67*IFERROR(CHOOSE(FIND(F80,"DCBAS"),1,2,3,4,5),0)+'02_의사결정·종합결과'!$B$68*IFERROR(CHOOSE(FIND(G80,"DCBAS"),1,2,3,4,5),0),IF(F80&lt;&gt;"",IFERROR(CHOOSE(FIND(F80,"DCBAS"),1,2,3,4,5),0),IF(G80&lt;&gt;"",IFERROR(CHOOSE(FIND(G80,"DCBAS"),1,2,3,4,5),0),""))),"")</f>
        <v/>
      </c>
      <c r="I80" s="116">
        <f>IF(H80="","",IF(H80&gt;=4.5,"S",IF(H80&gt;=3.5,"A",IF(H80&gt;=2.5,"B",IF(H80&gt;=1.5,"C","D")))))</f>
        <v/>
      </c>
      <c r="J80" s="107" t="n"/>
      <c r="K80" s="107" t="n"/>
      <c r="L80" s="117" t="n"/>
      <c r="M80" s="107" t="n"/>
      <c r="N80" s="107" t="n"/>
      <c r="O80" s="107" t="n"/>
      <c r="P80" s="118" t="n"/>
      <c r="Q80" s="107" t="n"/>
      <c r="R80" s="107" t="n"/>
      <c r="S80" s="107" t="n"/>
      <c r="T80" s="107" t="n"/>
      <c r="U80" s="107" t="n"/>
    </row>
    <row r="81" ht="22" customHeight="1" s="86">
      <c r="A81" s="111">
        <f>IF('01_인적정보'!B23="","",'01_인적정보'!A23)</f>
        <v/>
      </c>
      <c r="B81" s="111">
        <f>IF('01_인적정보'!B23="","",'01_인적정보'!B23)</f>
        <v/>
      </c>
      <c r="C81" s="112">
        <f>IF('01_인적정보'!B23="","",'01_인적정보'!C23)</f>
        <v/>
      </c>
      <c r="D81" s="112">
        <f>IF('01_인적정보'!B23="","",'01_인적정보'!E23)</f>
        <v/>
      </c>
      <c r="E81" s="113">
        <f>IF('01_인적정보'!B23="","",'01_인적정보'!H23)</f>
        <v/>
      </c>
      <c r="F81" s="114">
        <f>IF('01_인적정보'!B23="","",'07b_하반기입력'!G23)</f>
        <v/>
      </c>
      <c r="G81" s="114">
        <f>IF('01_인적정보'!B23="","",'07b_하반기입력'!H23)</f>
        <v/>
      </c>
      <c r="H81" s="115">
        <f>IFERROR(IF(AND(F81&lt;&gt;"",G81&lt;&gt;""),'02_의사결정·종합결과'!$B$67*IFERROR(CHOOSE(FIND(F81,"DCBAS"),1,2,3,4,5),0)+'02_의사결정·종합결과'!$B$68*IFERROR(CHOOSE(FIND(G81,"DCBAS"),1,2,3,4,5),0),IF(F81&lt;&gt;"",IFERROR(CHOOSE(FIND(F81,"DCBAS"),1,2,3,4,5),0),IF(G81&lt;&gt;"",IFERROR(CHOOSE(FIND(G81,"DCBAS"),1,2,3,4,5),0),""))),"")</f>
        <v/>
      </c>
      <c r="I81" s="116">
        <f>IF(H81="","",IF(H81&gt;=4.5,"S",IF(H81&gt;=3.5,"A",IF(H81&gt;=2.5,"B",IF(H81&gt;=1.5,"C","D")))))</f>
        <v/>
      </c>
      <c r="J81" s="107" t="n"/>
      <c r="K81" s="107" t="n"/>
      <c r="L81" s="117" t="n"/>
      <c r="M81" s="107" t="n"/>
      <c r="N81" s="107" t="n"/>
      <c r="O81" s="107" t="n"/>
      <c r="P81" s="118" t="n"/>
      <c r="Q81" s="107" t="n"/>
      <c r="R81" s="107" t="n"/>
      <c r="S81" s="107" t="n"/>
      <c r="T81" s="107" t="n"/>
      <c r="U81" s="107" t="n"/>
    </row>
    <row r="82" ht="22" customHeight="1" s="86">
      <c r="A82" s="111">
        <f>IF('01_인적정보'!B24="","",'01_인적정보'!A24)</f>
        <v/>
      </c>
      <c r="B82" s="111">
        <f>IF('01_인적정보'!B24="","",'01_인적정보'!B24)</f>
        <v/>
      </c>
      <c r="C82" s="112">
        <f>IF('01_인적정보'!B24="","",'01_인적정보'!C24)</f>
        <v/>
      </c>
      <c r="D82" s="112">
        <f>IF('01_인적정보'!B24="","",'01_인적정보'!E24)</f>
        <v/>
      </c>
      <c r="E82" s="113">
        <f>IF('01_인적정보'!B24="","",'01_인적정보'!H24)</f>
        <v/>
      </c>
      <c r="F82" s="114">
        <f>IF('01_인적정보'!B24="","",'07b_하반기입력'!G24)</f>
        <v/>
      </c>
      <c r="G82" s="114">
        <f>IF('01_인적정보'!B24="","",'07b_하반기입력'!H24)</f>
        <v/>
      </c>
      <c r="H82" s="115">
        <f>IFERROR(IF(AND(F82&lt;&gt;"",G82&lt;&gt;""),'02_의사결정·종합결과'!$B$67*IFERROR(CHOOSE(FIND(F82,"DCBAS"),1,2,3,4,5),0)+'02_의사결정·종합결과'!$B$68*IFERROR(CHOOSE(FIND(G82,"DCBAS"),1,2,3,4,5),0),IF(F82&lt;&gt;"",IFERROR(CHOOSE(FIND(F82,"DCBAS"),1,2,3,4,5),0),IF(G82&lt;&gt;"",IFERROR(CHOOSE(FIND(G82,"DCBAS"),1,2,3,4,5),0),""))),"")</f>
        <v/>
      </c>
      <c r="I82" s="116">
        <f>IF(H82="","",IF(H82&gt;=4.5,"S",IF(H82&gt;=3.5,"A",IF(H82&gt;=2.5,"B",IF(H82&gt;=1.5,"C","D")))))</f>
        <v/>
      </c>
      <c r="J82" s="107" t="n"/>
      <c r="K82" s="107" t="n"/>
      <c r="L82" s="117" t="n"/>
      <c r="M82" s="107" t="n"/>
      <c r="N82" s="107" t="n"/>
      <c r="O82" s="107" t="n"/>
      <c r="P82" s="118" t="n"/>
      <c r="Q82" s="107" t="n"/>
      <c r="R82" s="107" t="n"/>
      <c r="S82" s="107" t="n"/>
      <c r="T82" s="107" t="n"/>
      <c r="U82" s="107" t="n"/>
    </row>
    <row r="83" ht="22" customHeight="1" s="86">
      <c r="A83" s="111">
        <f>IF('01_인적정보'!B25="","",'01_인적정보'!A25)</f>
        <v/>
      </c>
      <c r="B83" s="111">
        <f>IF('01_인적정보'!B25="","",'01_인적정보'!B25)</f>
        <v/>
      </c>
      <c r="C83" s="112">
        <f>IF('01_인적정보'!B25="","",'01_인적정보'!C25)</f>
        <v/>
      </c>
      <c r="D83" s="112">
        <f>IF('01_인적정보'!B25="","",'01_인적정보'!E25)</f>
        <v/>
      </c>
      <c r="E83" s="113">
        <f>IF('01_인적정보'!B25="","",'01_인적정보'!H25)</f>
        <v/>
      </c>
      <c r="F83" s="114">
        <f>IF('01_인적정보'!B25="","",'07b_하반기입력'!G25)</f>
        <v/>
      </c>
      <c r="G83" s="114">
        <f>IF('01_인적정보'!B25="","",'07b_하반기입력'!H25)</f>
        <v/>
      </c>
      <c r="H83" s="115">
        <f>IFERROR(IF(AND(F83&lt;&gt;"",G83&lt;&gt;""),'02_의사결정·종합결과'!$B$67*IFERROR(CHOOSE(FIND(F83,"DCBAS"),1,2,3,4,5),0)+'02_의사결정·종합결과'!$B$68*IFERROR(CHOOSE(FIND(G83,"DCBAS"),1,2,3,4,5),0),IF(F83&lt;&gt;"",IFERROR(CHOOSE(FIND(F83,"DCBAS"),1,2,3,4,5),0),IF(G83&lt;&gt;"",IFERROR(CHOOSE(FIND(G83,"DCBAS"),1,2,3,4,5),0),""))),"")</f>
        <v/>
      </c>
      <c r="I83" s="116">
        <f>IF(H83="","",IF(H83&gt;=4.5,"S",IF(H83&gt;=3.5,"A",IF(H83&gt;=2.5,"B",IF(H83&gt;=1.5,"C","D")))))</f>
        <v/>
      </c>
      <c r="J83" s="107" t="n"/>
      <c r="K83" s="107" t="n"/>
      <c r="L83" s="117" t="n"/>
      <c r="M83" s="107" t="n"/>
      <c r="N83" s="107" t="n"/>
      <c r="O83" s="107" t="n"/>
      <c r="P83" s="118" t="n"/>
      <c r="Q83" s="107" t="n"/>
      <c r="R83" s="107" t="n"/>
      <c r="S83" s="107" t="n"/>
      <c r="T83" s="107" t="n"/>
      <c r="U83" s="107" t="n"/>
    </row>
    <row r="84" ht="22" customHeight="1" s="86">
      <c r="A84" s="111">
        <f>IF('01_인적정보'!B26="","",'01_인적정보'!A26)</f>
        <v/>
      </c>
      <c r="B84" s="111">
        <f>IF('01_인적정보'!B26="","",'01_인적정보'!B26)</f>
        <v/>
      </c>
      <c r="C84" s="112">
        <f>IF('01_인적정보'!B26="","",'01_인적정보'!C26)</f>
        <v/>
      </c>
      <c r="D84" s="112">
        <f>IF('01_인적정보'!B26="","",'01_인적정보'!E26)</f>
        <v/>
      </c>
      <c r="E84" s="113">
        <f>IF('01_인적정보'!B26="","",'01_인적정보'!H26)</f>
        <v/>
      </c>
      <c r="F84" s="114">
        <f>IF('01_인적정보'!B26="","",'07b_하반기입력'!G26)</f>
        <v/>
      </c>
      <c r="G84" s="114">
        <f>IF('01_인적정보'!B26="","",'07b_하반기입력'!H26)</f>
        <v/>
      </c>
      <c r="H84" s="115">
        <f>IFERROR(IF(AND(F84&lt;&gt;"",G84&lt;&gt;""),'02_의사결정·종합결과'!$B$67*IFERROR(CHOOSE(FIND(F84,"DCBAS"),1,2,3,4,5),0)+'02_의사결정·종합결과'!$B$68*IFERROR(CHOOSE(FIND(G84,"DCBAS"),1,2,3,4,5),0),IF(F84&lt;&gt;"",IFERROR(CHOOSE(FIND(F84,"DCBAS"),1,2,3,4,5),0),IF(G84&lt;&gt;"",IFERROR(CHOOSE(FIND(G84,"DCBAS"),1,2,3,4,5),0),""))),"")</f>
        <v/>
      </c>
      <c r="I84" s="116">
        <f>IF(H84="","",IF(H84&gt;=4.5,"S",IF(H84&gt;=3.5,"A",IF(H84&gt;=2.5,"B",IF(H84&gt;=1.5,"C","D")))))</f>
        <v/>
      </c>
      <c r="J84" s="107" t="n"/>
      <c r="K84" s="107" t="n"/>
      <c r="L84" s="117" t="n"/>
      <c r="M84" s="107" t="n"/>
      <c r="N84" s="107" t="n"/>
      <c r="O84" s="107" t="n"/>
      <c r="P84" s="118" t="n"/>
      <c r="Q84" s="107" t="n"/>
      <c r="R84" s="107" t="n"/>
      <c r="S84" s="107" t="n"/>
      <c r="T84" s="107" t="n"/>
      <c r="U84" s="107" t="n"/>
    </row>
    <row r="85" ht="22" customHeight="1" s="86">
      <c r="A85" s="111">
        <f>IF('01_인적정보'!B27="","",'01_인적정보'!A27)</f>
        <v/>
      </c>
      <c r="B85" s="111">
        <f>IF('01_인적정보'!B27="","",'01_인적정보'!B27)</f>
        <v/>
      </c>
      <c r="C85" s="112">
        <f>IF('01_인적정보'!B27="","",'01_인적정보'!C27)</f>
        <v/>
      </c>
      <c r="D85" s="112">
        <f>IF('01_인적정보'!B27="","",'01_인적정보'!E27)</f>
        <v/>
      </c>
      <c r="E85" s="113">
        <f>IF('01_인적정보'!B27="","",'01_인적정보'!H27)</f>
        <v/>
      </c>
      <c r="F85" s="114">
        <f>IF('01_인적정보'!B27="","",'07b_하반기입력'!G27)</f>
        <v/>
      </c>
      <c r="G85" s="114">
        <f>IF('01_인적정보'!B27="","",'07b_하반기입력'!H27)</f>
        <v/>
      </c>
      <c r="H85" s="115">
        <f>IFERROR(IF(AND(F85&lt;&gt;"",G85&lt;&gt;""),'02_의사결정·종합결과'!$B$67*IFERROR(CHOOSE(FIND(F85,"DCBAS"),1,2,3,4,5),0)+'02_의사결정·종합결과'!$B$68*IFERROR(CHOOSE(FIND(G85,"DCBAS"),1,2,3,4,5),0),IF(F85&lt;&gt;"",IFERROR(CHOOSE(FIND(F85,"DCBAS"),1,2,3,4,5),0),IF(G85&lt;&gt;"",IFERROR(CHOOSE(FIND(G85,"DCBAS"),1,2,3,4,5),0),""))),"")</f>
        <v/>
      </c>
      <c r="I85" s="116">
        <f>IF(H85="","",IF(H85&gt;=4.5,"S",IF(H85&gt;=3.5,"A",IF(H85&gt;=2.5,"B",IF(H85&gt;=1.5,"C","D")))))</f>
        <v/>
      </c>
      <c r="J85" s="107" t="n"/>
      <c r="K85" s="107" t="n"/>
      <c r="L85" s="117" t="n"/>
      <c r="M85" s="107" t="n"/>
      <c r="N85" s="107" t="n"/>
      <c r="O85" s="107" t="n"/>
      <c r="P85" s="118" t="n"/>
      <c r="Q85" s="107" t="n"/>
      <c r="R85" s="107" t="n"/>
      <c r="S85" s="107" t="n"/>
      <c r="T85" s="107" t="n"/>
      <c r="U85" s="107" t="n"/>
    </row>
    <row r="86" ht="22" customHeight="1" s="86">
      <c r="A86" s="111">
        <f>IF('01_인적정보'!B28="","",'01_인적정보'!A28)</f>
        <v/>
      </c>
      <c r="B86" s="111">
        <f>IF('01_인적정보'!B28="","",'01_인적정보'!B28)</f>
        <v/>
      </c>
      <c r="C86" s="112">
        <f>IF('01_인적정보'!B28="","",'01_인적정보'!C28)</f>
        <v/>
      </c>
      <c r="D86" s="112">
        <f>IF('01_인적정보'!B28="","",'01_인적정보'!E28)</f>
        <v/>
      </c>
      <c r="E86" s="113">
        <f>IF('01_인적정보'!B28="","",'01_인적정보'!H28)</f>
        <v/>
      </c>
      <c r="F86" s="114">
        <f>IF('01_인적정보'!B28="","",'07b_하반기입력'!G28)</f>
        <v/>
      </c>
      <c r="G86" s="114">
        <f>IF('01_인적정보'!B28="","",'07b_하반기입력'!H28)</f>
        <v/>
      </c>
      <c r="H86" s="115">
        <f>IFERROR(IF(AND(F86&lt;&gt;"",G86&lt;&gt;""),'02_의사결정·종합결과'!$B$67*IFERROR(CHOOSE(FIND(F86,"DCBAS"),1,2,3,4,5),0)+'02_의사결정·종합결과'!$B$68*IFERROR(CHOOSE(FIND(G86,"DCBAS"),1,2,3,4,5),0),IF(F86&lt;&gt;"",IFERROR(CHOOSE(FIND(F86,"DCBAS"),1,2,3,4,5),0),IF(G86&lt;&gt;"",IFERROR(CHOOSE(FIND(G86,"DCBAS"),1,2,3,4,5),0),""))),"")</f>
        <v/>
      </c>
      <c r="I86" s="116">
        <f>IF(H86="","",IF(H86&gt;=4.5,"S",IF(H86&gt;=3.5,"A",IF(H86&gt;=2.5,"B",IF(H86&gt;=1.5,"C","D")))))</f>
        <v/>
      </c>
      <c r="J86" s="107" t="n"/>
      <c r="K86" s="107" t="n"/>
      <c r="L86" s="117" t="n"/>
      <c r="M86" s="107" t="n"/>
      <c r="N86" s="107" t="n"/>
      <c r="O86" s="107" t="n"/>
      <c r="P86" s="118" t="n"/>
      <c r="Q86" s="107" t="n"/>
      <c r="R86" s="107" t="n"/>
      <c r="S86" s="107" t="n"/>
      <c r="T86" s="107" t="n"/>
      <c r="U86" s="107" t="n"/>
    </row>
    <row r="87" ht="22" customHeight="1" s="86">
      <c r="A87" s="111">
        <f>IF('01_인적정보'!B29="","",'01_인적정보'!A29)</f>
        <v/>
      </c>
      <c r="B87" s="111">
        <f>IF('01_인적정보'!B29="","",'01_인적정보'!B29)</f>
        <v/>
      </c>
      <c r="C87" s="112">
        <f>IF('01_인적정보'!B29="","",'01_인적정보'!C29)</f>
        <v/>
      </c>
      <c r="D87" s="112">
        <f>IF('01_인적정보'!B29="","",'01_인적정보'!E29)</f>
        <v/>
      </c>
      <c r="E87" s="113">
        <f>IF('01_인적정보'!B29="","",'01_인적정보'!H29)</f>
        <v/>
      </c>
      <c r="F87" s="114">
        <f>IF('01_인적정보'!B29="","",'07b_하반기입력'!G29)</f>
        <v/>
      </c>
      <c r="G87" s="114">
        <f>IF('01_인적정보'!B29="","",'07b_하반기입력'!H29)</f>
        <v/>
      </c>
      <c r="H87" s="115">
        <f>IFERROR(IF(AND(F87&lt;&gt;"",G87&lt;&gt;""),'02_의사결정·종합결과'!$B$67*IFERROR(CHOOSE(FIND(F87,"DCBAS"),1,2,3,4,5),0)+'02_의사결정·종합결과'!$B$68*IFERROR(CHOOSE(FIND(G87,"DCBAS"),1,2,3,4,5),0),IF(F87&lt;&gt;"",IFERROR(CHOOSE(FIND(F87,"DCBAS"),1,2,3,4,5),0),IF(G87&lt;&gt;"",IFERROR(CHOOSE(FIND(G87,"DCBAS"),1,2,3,4,5),0),""))),"")</f>
        <v/>
      </c>
      <c r="I87" s="116">
        <f>IF(H87="","",IF(H87&gt;=4.5,"S",IF(H87&gt;=3.5,"A",IF(H87&gt;=2.5,"B",IF(H87&gt;=1.5,"C","D")))))</f>
        <v/>
      </c>
      <c r="J87" s="107" t="n"/>
      <c r="K87" s="107" t="n"/>
      <c r="L87" s="117" t="n"/>
      <c r="M87" s="107" t="n"/>
      <c r="N87" s="107" t="n"/>
      <c r="O87" s="107" t="n"/>
      <c r="P87" s="118" t="n"/>
      <c r="Q87" s="107" t="n"/>
      <c r="R87" s="107" t="n"/>
      <c r="S87" s="107" t="n"/>
      <c r="T87" s="107" t="n"/>
      <c r="U87" s="107" t="n"/>
    </row>
    <row r="88" ht="22" customHeight="1" s="86">
      <c r="A88" s="111">
        <f>IF('01_인적정보'!B30="","",'01_인적정보'!A30)</f>
        <v/>
      </c>
      <c r="B88" s="111">
        <f>IF('01_인적정보'!B30="","",'01_인적정보'!B30)</f>
        <v/>
      </c>
      <c r="C88" s="112">
        <f>IF('01_인적정보'!B30="","",'01_인적정보'!C30)</f>
        <v/>
      </c>
      <c r="D88" s="112">
        <f>IF('01_인적정보'!B30="","",'01_인적정보'!E30)</f>
        <v/>
      </c>
      <c r="E88" s="113">
        <f>IF('01_인적정보'!B30="","",'01_인적정보'!H30)</f>
        <v/>
      </c>
      <c r="F88" s="114">
        <f>IF('01_인적정보'!B30="","",'07b_하반기입력'!G30)</f>
        <v/>
      </c>
      <c r="G88" s="114">
        <f>IF('01_인적정보'!B30="","",'07b_하반기입력'!H30)</f>
        <v/>
      </c>
      <c r="H88" s="115">
        <f>IFERROR(IF(AND(F88&lt;&gt;"",G88&lt;&gt;""),'02_의사결정·종합결과'!$B$67*IFERROR(CHOOSE(FIND(F88,"DCBAS"),1,2,3,4,5),0)+'02_의사결정·종합결과'!$B$68*IFERROR(CHOOSE(FIND(G88,"DCBAS"),1,2,3,4,5),0),IF(F88&lt;&gt;"",IFERROR(CHOOSE(FIND(F88,"DCBAS"),1,2,3,4,5),0),IF(G88&lt;&gt;"",IFERROR(CHOOSE(FIND(G88,"DCBAS"),1,2,3,4,5),0),""))),"")</f>
        <v/>
      </c>
      <c r="I88" s="116">
        <f>IF(H88="","",IF(H88&gt;=4.5,"S",IF(H88&gt;=3.5,"A",IF(H88&gt;=2.5,"B",IF(H88&gt;=1.5,"C","D")))))</f>
        <v/>
      </c>
      <c r="J88" s="107" t="n"/>
      <c r="K88" s="107" t="n"/>
      <c r="L88" s="117" t="n"/>
      <c r="M88" s="107" t="n"/>
      <c r="N88" s="107" t="n"/>
      <c r="O88" s="107" t="n"/>
      <c r="P88" s="118" t="n"/>
      <c r="Q88" s="107" t="n"/>
      <c r="R88" s="107" t="n"/>
      <c r="S88" s="107" t="n"/>
      <c r="T88" s="107" t="n"/>
      <c r="U88" s="107" t="n"/>
    </row>
    <row r="89" ht="22" customHeight="1" s="86">
      <c r="A89" s="111">
        <f>IF('01_인적정보'!B31="","",'01_인적정보'!A31)</f>
        <v/>
      </c>
      <c r="B89" s="111">
        <f>IF('01_인적정보'!B31="","",'01_인적정보'!B31)</f>
        <v/>
      </c>
      <c r="C89" s="112">
        <f>IF('01_인적정보'!B31="","",'01_인적정보'!C31)</f>
        <v/>
      </c>
      <c r="D89" s="112">
        <f>IF('01_인적정보'!B31="","",'01_인적정보'!E31)</f>
        <v/>
      </c>
      <c r="E89" s="113">
        <f>IF('01_인적정보'!B31="","",'01_인적정보'!H31)</f>
        <v/>
      </c>
      <c r="F89" s="114">
        <f>IF('01_인적정보'!B31="","",'07b_하반기입력'!G31)</f>
        <v/>
      </c>
      <c r="G89" s="114">
        <f>IF('01_인적정보'!B31="","",'07b_하반기입력'!H31)</f>
        <v/>
      </c>
      <c r="H89" s="115">
        <f>IFERROR(IF(AND(F89&lt;&gt;"",G89&lt;&gt;""),'02_의사결정·종합결과'!$B$67*IFERROR(CHOOSE(FIND(F89,"DCBAS"),1,2,3,4,5),0)+'02_의사결정·종합결과'!$B$68*IFERROR(CHOOSE(FIND(G89,"DCBAS"),1,2,3,4,5),0),IF(F89&lt;&gt;"",IFERROR(CHOOSE(FIND(F89,"DCBAS"),1,2,3,4,5),0),IF(G89&lt;&gt;"",IFERROR(CHOOSE(FIND(G89,"DCBAS"),1,2,3,4,5),0),""))),"")</f>
        <v/>
      </c>
      <c r="I89" s="116">
        <f>IF(H89="","",IF(H89&gt;=4.5,"S",IF(H89&gt;=3.5,"A",IF(H89&gt;=2.5,"B",IF(H89&gt;=1.5,"C","D")))))</f>
        <v/>
      </c>
      <c r="J89" s="107" t="n"/>
      <c r="K89" s="107" t="n"/>
      <c r="L89" s="117" t="n"/>
      <c r="M89" s="107" t="n"/>
      <c r="N89" s="107" t="n"/>
      <c r="O89" s="107" t="n"/>
      <c r="P89" s="118" t="n"/>
      <c r="Q89" s="107" t="n"/>
      <c r="R89" s="107" t="n"/>
      <c r="S89" s="107" t="n"/>
      <c r="T89" s="107" t="n"/>
      <c r="U89" s="107" t="n"/>
    </row>
    <row r="90" ht="22" customHeight="1" s="86">
      <c r="A90" s="111">
        <f>IF('01_인적정보'!B32="","",'01_인적정보'!A32)</f>
        <v/>
      </c>
      <c r="B90" s="111">
        <f>IF('01_인적정보'!B32="","",'01_인적정보'!B32)</f>
        <v/>
      </c>
      <c r="C90" s="112">
        <f>IF('01_인적정보'!B32="","",'01_인적정보'!C32)</f>
        <v/>
      </c>
      <c r="D90" s="112">
        <f>IF('01_인적정보'!B32="","",'01_인적정보'!E32)</f>
        <v/>
      </c>
      <c r="E90" s="113">
        <f>IF('01_인적정보'!B32="","",'01_인적정보'!H32)</f>
        <v/>
      </c>
      <c r="F90" s="114">
        <f>IF('01_인적정보'!B32="","",'07b_하반기입력'!G32)</f>
        <v/>
      </c>
      <c r="G90" s="114">
        <f>IF('01_인적정보'!B32="","",'07b_하반기입력'!H32)</f>
        <v/>
      </c>
      <c r="H90" s="115">
        <f>IFERROR(IF(AND(F90&lt;&gt;"",G90&lt;&gt;""),'02_의사결정·종합결과'!$B$67*IFERROR(CHOOSE(FIND(F90,"DCBAS"),1,2,3,4,5),0)+'02_의사결정·종합결과'!$B$68*IFERROR(CHOOSE(FIND(G90,"DCBAS"),1,2,3,4,5),0),IF(F90&lt;&gt;"",IFERROR(CHOOSE(FIND(F90,"DCBAS"),1,2,3,4,5),0),IF(G90&lt;&gt;"",IFERROR(CHOOSE(FIND(G90,"DCBAS"),1,2,3,4,5),0),""))),"")</f>
        <v/>
      </c>
      <c r="I90" s="116">
        <f>IF(H90="","",IF(H90&gt;=4.5,"S",IF(H90&gt;=3.5,"A",IF(H90&gt;=2.5,"B",IF(H90&gt;=1.5,"C","D")))))</f>
        <v/>
      </c>
      <c r="J90" s="107" t="n"/>
      <c r="K90" s="107" t="n"/>
      <c r="L90" s="117" t="n"/>
      <c r="M90" s="107" t="n"/>
      <c r="N90" s="107" t="n"/>
      <c r="O90" s="107" t="n"/>
      <c r="P90" s="118" t="n"/>
      <c r="Q90" s="107" t="n"/>
      <c r="R90" s="107" t="n"/>
      <c r="S90" s="107" t="n"/>
      <c r="T90" s="107" t="n"/>
      <c r="U90" s="107" t="n"/>
    </row>
    <row r="91" ht="22" customHeight="1" s="86">
      <c r="A91" s="111">
        <f>IF('01_인적정보'!B33="","",'01_인적정보'!A33)</f>
        <v/>
      </c>
      <c r="B91" s="111">
        <f>IF('01_인적정보'!B33="","",'01_인적정보'!B33)</f>
        <v/>
      </c>
      <c r="C91" s="112">
        <f>IF('01_인적정보'!B33="","",'01_인적정보'!C33)</f>
        <v/>
      </c>
      <c r="D91" s="112">
        <f>IF('01_인적정보'!B33="","",'01_인적정보'!E33)</f>
        <v/>
      </c>
      <c r="E91" s="113">
        <f>IF('01_인적정보'!B33="","",'01_인적정보'!H33)</f>
        <v/>
      </c>
      <c r="F91" s="114">
        <f>IF('01_인적정보'!B33="","",'07b_하반기입력'!G33)</f>
        <v/>
      </c>
      <c r="G91" s="114">
        <f>IF('01_인적정보'!B33="","",'07b_하반기입력'!H33)</f>
        <v/>
      </c>
      <c r="H91" s="115">
        <f>IFERROR(IF(AND(F91&lt;&gt;"",G91&lt;&gt;""),'02_의사결정·종합결과'!$B$67*IFERROR(CHOOSE(FIND(F91,"DCBAS"),1,2,3,4,5),0)+'02_의사결정·종합결과'!$B$68*IFERROR(CHOOSE(FIND(G91,"DCBAS"),1,2,3,4,5),0),IF(F91&lt;&gt;"",IFERROR(CHOOSE(FIND(F91,"DCBAS"),1,2,3,4,5),0),IF(G91&lt;&gt;"",IFERROR(CHOOSE(FIND(G91,"DCBAS"),1,2,3,4,5),0),""))),"")</f>
        <v/>
      </c>
      <c r="I91" s="116">
        <f>IF(H91="","",IF(H91&gt;=4.5,"S",IF(H91&gt;=3.5,"A",IF(H91&gt;=2.5,"B",IF(H91&gt;=1.5,"C","D")))))</f>
        <v/>
      </c>
      <c r="J91" s="107" t="n"/>
      <c r="K91" s="107" t="n"/>
      <c r="L91" s="117" t="n"/>
      <c r="M91" s="107" t="n"/>
      <c r="N91" s="107" t="n"/>
      <c r="O91" s="107" t="n"/>
      <c r="P91" s="118" t="n"/>
      <c r="Q91" s="107" t="n"/>
      <c r="R91" s="107" t="n"/>
      <c r="S91" s="107" t="n"/>
      <c r="T91" s="107" t="n"/>
      <c r="U91" s="107" t="n"/>
    </row>
    <row r="92" ht="22" customHeight="1" s="86">
      <c r="A92" s="111">
        <f>IF('01_인적정보'!B34="","",'01_인적정보'!A34)</f>
        <v/>
      </c>
      <c r="B92" s="111">
        <f>IF('01_인적정보'!B34="","",'01_인적정보'!B34)</f>
        <v/>
      </c>
      <c r="C92" s="112">
        <f>IF('01_인적정보'!B34="","",'01_인적정보'!C34)</f>
        <v/>
      </c>
      <c r="D92" s="112">
        <f>IF('01_인적정보'!B34="","",'01_인적정보'!E34)</f>
        <v/>
      </c>
      <c r="E92" s="113">
        <f>IF('01_인적정보'!B34="","",'01_인적정보'!H34)</f>
        <v/>
      </c>
      <c r="F92" s="114">
        <f>IF('01_인적정보'!B34="","",'07b_하반기입력'!G34)</f>
        <v/>
      </c>
      <c r="G92" s="114">
        <f>IF('01_인적정보'!B34="","",'07b_하반기입력'!H34)</f>
        <v/>
      </c>
      <c r="H92" s="115">
        <f>IFERROR(IF(AND(F92&lt;&gt;"",G92&lt;&gt;""),'02_의사결정·종합결과'!$B$67*IFERROR(CHOOSE(FIND(F92,"DCBAS"),1,2,3,4,5),0)+'02_의사결정·종합결과'!$B$68*IFERROR(CHOOSE(FIND(G92,"DCBAS"),1,2,3,4,5),0),IF(F92&lt;&gt;"",IFERROR(CHOOSE(FIND(F92,"DCBAS"),1,2,3,4,5),0),IF(G92&lt;&gt;"",IFERROR(CHOOSE(FIND(G92,"DCBAS"),1,2,3,4,5),0),""))),"")</f>
        <v/>
      </c>
      <c r="I92" s="116">
        <f>IF(H92="","",IF(H92&gt;=4.5,"S",IF(H92&gt;=3.5,"A",IF(H92&gt;=2.5,"B",IF(H92&gt;=1.5,"C","D")))))</f>
        <v/>
      </c>
      <c r="J92" s="107" t="n"/>
      <c r="K92" s="107" t="n"/>
      <c r="L92" s="107" t="n"/>
      <c r="M92" s="107" t="n"/>
      <c r="N92" s="107" t="n"/>
      <c r="O92" s="107" t="n"/>
      <c r="P92" s="107" t="n"/>
      <c r="Q92" s="107" t="n"/>
      <c r="R92" s="107" t="n"/>
      <c r="S92" s="107" t="n"/>
      <c r="T92" s="107" t="n"/>
      <c r="U92" s="107" t="n"/>
    </row>
    <row r="93" ht="22" customHeight="1" s="86">
      <c r="A93" s="111">
        <f>IF('01_인적정보'!B35="","",'01_인적정보'!A35)</f>
        <v/>
      </c>
      <c r="B93" s="111">
        <f>IF('01_인적정보'!B35="","",'01_인적정보'!B35)</f>
        <v/>
      </c>
      <c r="C93" s="112">
        <f>IF('01_인적정보'!B35="","",'01_인적정보'!C35)</f>
        <v/>
      </c>
      <c r="D93" s="112">
        <f>IF('01_인적정보'!B35="","",'01_인적정보'!E35)</f>
        <v/>
      </c>
      <c r="E93" s="113">
        <f>IF('01_인적정보'!B35="","",'01_인적정보'!H35)</f>
        <v/>
      </c>
      <c r="F93" s="114">
        <f>IF('01_인적정보'!B35="","",'07b_하반기입력'!G35)</f>
        <v/>
      </c>
      <c r="G93" s="114">
        <f>IF('01_인적정보'!B35="","",'07b_하반기입력'!H35)</f>
        <v/>
      </c>
      <c r="H93" s="115">
        <f>IFERROR(IF(AND(F93&lt;&gt;"",G93&lt;&gt;""),'02_의사결정·종합결과'!$B$67*IFERROR(CHOOSE(FIND(F93,"DCBAS"),1,2,3,4,5),0)+'02_의사결정·종합결과'!$B$68*IFERROR(CHOOSE(FIND(G93,"DCBAS"),1,2,3,4,5),0),IF(F93&lt;&gt;"",IFERROR(CHOOSE(FIND(F93,"DCBAS"),1,2,3,4,5),0),IF(G93&lt;&gt;"",IFERROR(CHOOSE(FIND(G93,"DCBAS"),1,2,3,4,5),0),""))),"")</f>
        <v/>
      </c>
      <c r="I93" s="116">
        <f>IF(H93="","",IF(H93&gt;=4.5,"S",IF(H93&gt;=3.5,"A",IF(H93&gt;=2.5,"B",IF(H93&gt;=1.5,"C","D")))))</f>
        <v/>
      </c>
      <c r="J93" s="107" t="n"/>
      <c r="K93" s="107" t="n"/>
      <c r="L93" s="107" t="n"/>
      <c r="M93" s="107" t="n"/>
      <c r="N93" s="107" t="n"/>
      <c r="O93" s="107" t="n"/>
      <c r="P93" s="107" t="n"/>
      <c r="Q93" s="107" t="n"/>
      <c r="R93" s="107" t="n"/>
      <c r="S93" s="107" t="n"/>
      <c r="T93" s="107" t="n"/>
      <c r="U93" s="107" t="n"/>
    </row>
    <row r="94" ht="22" customHeight="1" s="86">
      <c r="A94" s="111">
        <f>IF('01_인적정보'!B36="","",'01_인적정보'!A36)</f>
        <v/>
      </c>
      <c r="B94" s="111">
        <f>IF('01_인적정보'!B36="","",'01_인적정보'!B36)</f>
        <v/>
      </c>
      <c r="C94" s="112">
        <f>IF('01_인적정보'!B36="","",'01_인적정보'!C36)</f>
        <v/>
      </c>
      <c r="D94" s="112">
        <f>IF('01_인적정보'!B36="","",'01_인적정보'!E36)</f>
        <v/>
      </c>
      <c r="E94" s="113">
        <f>IF('01_인적정보'!B36="","",'01_인적정보'!H36)</f>
        <v/>
      </c>
      <c r="F94" s="114">
        <f>IF('01_인적정보'!B36="","",'07b_하반기입력'!G36)</f>
        <v/>
      </c>
      <c r="G94" s="114">
        <f>IF('01_인적정보'!B36="","",'07b_하반기입력'!H36)</f>
        <v/>
      </c>
      <c r="H94" s="115">
        <f>IFERROR(IF(AND(F94&lt;&gt;"",G94&lt;&gt;""),'02_의사결정·종합결과'!$B$67*IFERROR(CHOOSE(FIND(F94,"DCBAS"),1,2,3,4,5),0)+'02_의사결정·종합결과'!$B$68*IFERROR(CHOOSE(FIND(G94,"DCBAS"),1,2,3,4,5),0),IF(F94&lt;&gt;"",IFERROR(CHOOSE(FIND(F94,"DCBAS"),1,2,3,4,5),0),IF(G94&lt;&gt;"",IFERROR(CHOOSE(FIND(G94,"DCBAS"),1,2,3,4,5),0),""))),"")</f>
        <v/>
      </c>
      <c r="I94" s="116">
        <f>IF(H94="","",IF(H94&gt;=4.5,"S",IF(H94&gt;=3.5,"A",IF(H94&gt;=2.5,"B",IF(H94&gt;=1.5,"C","D")))))</f>
        <v/>
      </c>
      <c r="J94" s="107" t="n"/>
      <c r="K94" s="107" t="n"/>
      <c r="L94" s="107" t="n"/>
      <c r="M94" s="107" t="n"/>
      <c r="N94" s="107" t="n"/>
      <c r="O94" s="107" t="n"/>
      <c r="P94" s="107" t="n"/>
      <c r="Q94" s="107" t="n"/>
      <c r="R94" s="107" t="n"/>
      <c r="S94" s="107" t="n"/>
      <c r="T94" s="107" t="n"/>
      <c r="U94" s="107" t="n"/>
    </row>
    <row r="95" ht="22" customHeight="1" s="86">
      <c r="A95" s="111">
        <f>IF('01_인적정보'!B37="","",'01_인적정보'!A37)</f>
        <v/>
      </c>
      <c r="B95" s="111">
        <f>IF('01_인적정보'!B37="","",'01_인적정보'!B37)</f>
        <v/>
      </c>
      <c r="C95" s="112">
        <f>IF('01_인적정보'!B37="","",'01_인적정보'!C37)</f>
        <v/>
      </c>
      <c r="D95" s="112">
        <f>IF('01_인적정보'!B37="","",'01_인적정보'!E37)</f>
        <v/>
      </c>
      <c r="E95" s="113">
        <f>IF('01_인적정보'!B37="","",'01_인적정보'!H37)</f>
        <v/>
      </c>
      <c r="F95" s="114">
        <f>IF('01_인적정보'!B37="","",'07b_하반기입력'!G37)</f>
        <v/>
      </c>
      <c r="G95" s="114">
        <f>IF('01_인적정보'!B37="","",'07b_하반기입력'!H37)</f>
        <v/>
      </c>
      <c r="H95" s="115">
        <f>IFERROR(IF(AND(F95&lt;&gt;"",G95&lt;&gt;""),'02_의사결정·종합결과'!$B$67*IFERROR(CHOOSE(FIND(F95,"DCBAS"),1,2,3,4,5),0)+'02_의사결정·종합결과'!$B$68*IFERROR(CHOOSE(FIND(G95,"DCBAS"),1,2,3,4,5),0),IF(F95&lt;&gt;"",IFERROR(CHOOSE(FIND(F95,"DCBAS"),1,2,3,4,5),0),IF(G95&lt;&gt;"",IFERROR(CHOOSE(FIND(G95,"DCBAS"),1,2,3,4,5),0),""))),"")</f>
        <v/>
      </c>
      <c r="I95" s="116">
        <f>IF(H95="","",IF(H95&gt;=4.5,"S",IF(H95&gt;=3.5,"A",IF(H95&gt;=2.5,"B",IF(H95&gt;=1.5,"C","D")))))</f>
        <v/>
      </c>
      <c r="J95" s="107" t="n"/>
      <c r="K95" s="107" t="n"/>
      <c r="L95" s="107" t="n"/>
      <c r="M95" s="107" t="n"/>
      <c r="N95" s="107" t="n"/>
      <c r="O95" s="107" t="n"/>
      <c r="P95" s="107" t="n"/>
      <c r="Q95" s="107" t="n"/>
      <c r="R95" s="107" t="n"/>
      <c r="S95" s="107" t="n"/>
      <c r="T95" s="107" t="n"/>
      <c r="U95" s="107" t="n"/>
    </row>
    <row r="96" ht="22" customHeight="1" s="86">
      <c r="A96" s="111">
        <f>IF('01_인적정보'!B38="","",'01_인적정보'!A38)</f>
        <v/>
      </c>
      <c r="B96" s="111">
        <f>IF('01_인적정보'!B38="","",'01_인적정보'!B38)</f>
        <v/>
      </c>
      <c r="C96" s="112">
        <f>IF('01_인적정보'!B38="","",'01_인적정보'!C38)</f>
        <v/>
      </c>
      <c r="D96" s="112">
        <f>IF('01_인적정보'!B38="","",'01_인적정보'!E38)</f>
        <v/>
      </c>
      <c r="E96" s="113">
        <f>IF('01_인적정보'!B38="","",'01_인적정보'!H38)</f>
        <v/>
      </c>
      <c r="F96" s="114">
        <f>IF('01_인적정보'!B38="","",'07b_하반기입력'!G38)</f>
        <v/>
      </c>
      <c r="G96" s="114">
        <f>IF('01_인적정보'!B38="","",'07b_하반기입력'!H38)</f>
        <v/>
      </c>
      <c r="H96" s="115">
        <f>IFERROR(IF(AND(F96&lt;&gt;"",G96&lt;&gt;""),'02_의사결정·종합결과'!$B$67*IFERROR(CHOOSE(FIND(F96,"DCBAS"),1,2,3,4,5),0)+'02_의사결정·종합결과'!$B$68*IFERROR(CHOOSE(FIND(G96,"DCBAS"),1,2,3,4,5),0),IF(F96&lt;&gt;"",IFERROR(CHOOSE(FIND(F96,"DCBAS"),1,2,3,4,5),0),IF(G96&lt;&gt;"",IFERROR(CHOOSE(FIND(G96,"DCBAS"),1,2,3,4,5),0),""))),"")</f>
        <v/>
      </c>
      <c r="I96" s="116">
        <f>IF(H96="","",IF(H96&gt;=4.5,"S",IF(H96&gt;=3.5,"A",IF(H96&gt;=2.5,"B",IF(H96&gt;=1.5,"C","D")))))</f>
        <v/>
      </c>
      <c r="J96" s="107" t="n"/>
      <c r="K96" s="107" t="n"/>
      <c r="L96" s="107" t="n"/>
      <c r="M96" s="107" t="n"/>
      <c r="N96" s="107" t="n"/>
      <c r="O96" s="107" t="n"/>
      <c r="P96" s="107" t="n"/>
      <c r="Q96" s="107" t="n"/>
      <c r="R96" s="107" t="n"/>
      <c r="S96" s="107" t="n"/>
      <c r="T96" s="107" t="n"/>
      <c r="U96" s="107" t="n"/>
    </row>
    <row r="97" ht="22" customHeight="1" s="86">
      <c r="A97" s="111">
        <f>IF('01_인적정보'!B39="","",'01_인적정보'!A39)</f>
        <v/>
      </c>
      <c r="B97" s="111">
        <f>IF('01_인적정보'!B39="","",'01_인적정보'!B39)</f>
        <v/>
      </c>
      <c r="C97" s="112">
        <f>IF('01_인적정보'!B39="","",'01_인적정보'!C39)</f>
        <v/>
      </c>
      <c r="D97" s="112">
        <f>IF('01_인적정보'!B39="","",'01_인적정보'!E39)</f>
        <v/>
      </c>
      <c r="E97" s="113">
        <f>IF('01_인적정보'!B39="","",'01_인적정보'!H39)</f>
        <v/>
      </c>
      <c r="F97" s="114">
        <f>IF('01_인적정보'!B39="","",'07b_하반기입력'!G39)</f>
        <v/>
      </c>
      <c r="G97" s="114">
        <f>IF('01_인적정보'!B39="","",'07b_하반기입력'!H39)</f>
        <v/>
      </c>
      <c r="H97" s="115">
        <f>IFERROR(IF(AND(F97&lt;&gt;"",G97&lt;&gt;""),'02_의사결정·종합결과'!$B$67*IFERROR(CHOOSE(FIND(F97,"DCBAS"),1,2,3,4,5),0)+'02_의사결정·종합결과'!$B$68*IFERROR(CHOOSE(FIND(G97,"DCBAS"),1,2,3,4,5),0),IF(F97&lt;&gt;"",IFERROR(CHOOSE(FIND(F97,"DCBAS"),1,2,3,4,5),0),IF(G97&lt;&gt;"",IFERROR(CHOOSE(FIND(G97,"DCBAS"),1,2,3,4,5),0),""))),"")</f>
        <v/>
      </c>
      <c r="I97" s="116">
        <f>IF(H97="","",IF(H97&gt;=4.5,"S",IF(H97&gt;=3.5,"A",IF(H97&gt;=2.5,"B",IF(H97&gt;=1.5,"C","D")))))</f>
        <v/>
      </c>
      <c r="J97" s="107" t="n"/>
      <c r="K97" s="107" t="n"/>
      <c r="L97" s="107" t="n"/>
      <c r="M97" s="107" t="n"/>
      <c r="N97" s="107" t="n"/>
      <c r="O97" s="107" t="n"/>
      <c r="P97" s="107" t="n"/>
      <c r="Q97" s="107" t="n"/>
      <c r="R97" s="107" t="n"/>
      <c r="S97" s="107" t="n"/>
      <c r="T97" s="107" t="n"/>
      <c r="U97" s="107" t="n"/>
    </row>
    <row r="98" ht="22" customHeight="1" s="86">
      <c r="A98" s="111">
        <f>IF('01_인적정보'!B40="","",'01_인적정보'!A40)</f>
        <v/>
      </c>
      <c r="B98" s="111">
        <f>IF('01_인적정보'!B40="","",'01_인적정보'!B40)</f>
        <v/>
      </c>
      <c r="C98" s="112">
        <f>IF('01_인적정보'!B40="","",'01_인적정보'!C40)</f>
        <v/>
      </c>
      <c r="D98" s="112">
        <f>IF('01_인적정보'!B40="","",'01_인적정보'!E40)</f>
        <v/>
      </c>
      <c r="E98" s="113">
        <f>IF('01_인적정보'!B40="","",'01_인적정보'!H40)</f>
        <v/>
      </c>
      <c r="F98" s="114">
        <f>IF('01_인적정보'!B40="","",'07b_하반기입력'!G40)</f>
        <v/>
      </c>
      <c r="G98" s="114">
        <f>IF('01_인적정보'!B40="","",'07b_하반기입력'!H40)</f>
        <v/>
      </c>
      <c r="H98" s="115">
        <f>IFERROR(IF(AND(F98&lt;&gt;"",G98&lt;&gt;""),'02_의사결정·종합결과'!$B$67*IFERROR(CHOOSE(FIND(F98,"DCBAS"),1,2,3,4,5),0)+'02_의사결정·종합결과'!$B$68*IFERROR(CHOOSE(FIND(G98,"DCBAS"),1,2,3,4,5),0),IF(F98&lt;&gt;"",IFERROR(CHOOSE(FIND(F98,"DCBAS"),1,2,3,4,5),0),IF(G98&lt;&gt;"",IFERROR(CHOOSE(FIND(G98,"DCBAS"),1,2,3,4,5),0),""))),"")</f>
        <v/>
      </c>
      <c r="I98" s="116">
        <f>IF(H98="","",IF(H98&gt;=4.5,"S",IF(H98&gt;=3.5,"A",IF(H98&gt;=2.5,"B",IF(H98&gt;=1.5,"C","D")))))</f>
        <v/>
      </c>
      <c r="J98" s="107" t="n"/>
      <c r="K98" s="107" t="n"/>
      <c r="L98" s="107" t="n"/>
      <c r="M98" s="107" t="n"/>
      <c r="N98" s="107" t="n"/>
      <c r="O98" s="107" t="n"/>
      <c r="P98" s="107" t="n"/>
      <c r="Q98" s="107" t="n"/>
      <c r="R98" s="107" t="n"/>
      <c r="S98" s="107" t="n"/>
      <c r="T98" s="107" t="n"/>
      <c r="U98" s="107" t="n"/>
    </row>
    <row r="99" ht="22" customHeight="1" s="86">
      <c r="A99" s="111">
        <f>IF('01_인적정보'!B41="","",'01_인적정보'!A41)</f>
        <v/>
      </c>
      <c r="B99" s="111">
        <f>IF('01_인적정보'!B41="","",'01_인적정보'!B41)</f>
        <v/>
      </c>
      <c r="C99" s="112">
        <f>IF('01_인적정보'!B41="","",'01_인적정보'!C41)</f>
        <v/>
      </c>
      <c r="D99" s="112">
        <f>IF('01_인적정보'!B41="","",'01_인적정보'!E41)</f>
        <v/>
      </c>
      <c r="E99" s="113">
        <f>IF('01_인적정보'!B41="","",'01_인적정보'!H41)</f>
        <v/>
      </c>
      <c r="F99" s="114">
        <f>IF('01_인적정보'!B41="","",'07b_하반기입력'!G41)</f>
        <v/>
      </c>
      <c r="G99" s="114">
        <f>IF('01_인적정보'!B41="","",'07b_하반기입력'!H41)</f>
        <v/>
      </c>
      <c r="H99" s="115">
        <f>IFERROR(IF(AND(F99&lt;&gt;"",G99&lt;&gt;""),'02_의사결정·종합결과'!$B$67*IFERROR(CHOOSE(FIND(F99,"DCBAS"),1,2,3,4,5),0)+'02_의사결정·종합결과'!$B$68*IFERROR(CHOOSE(FIND(G99,"DCBAS"),1,2,3,4,5),0),IF(F99&lt;&gt;"",IFERROR(CHOOSE(FIND(F99,"DCBAS"),1,2,3,4,5),0),IF(G99&lt;&gt;"",IFERROR(CHOOSE(FIND(G99,"DCBAS"),1,2,3,4,5),0),""))),"")</f>
        <v/>
      </c>
      <c r="I99" s="116">
        <f>IF(H99="","",IF(H99&gt;=4.5,"S",IF(H99&gt;=3.5,"A",IF(H99&gt;=2.5,"B",IF(H99&gt;=1.5,"C","D")))))</f>
        <v/>
      </c>
      <c r="J99" s="107" t="n"/>
      <c r="K99" s="107" t="n"/>
      <c r="L99" s="107" t="n"/>
      <c r="M99" s="107" t="n"/>
      <c r="N99" s="107" t="n"/>
      <c r="O99" s="107" t="n"/>
      <c r="P99" s="107" t="n"/>
      <c r="Q99" s="107" t="n"/>
      <c r="R99" s="107" t="n"/>
      <c r="S99" s="107" t="n"/>
      <c r="T99" s="107" t="n"/>
      <c r="U99" s="107" t="n"/>
    </row>
    <row r="100" ht="22" customHeight="1" s="86">
      <c r="A100" s="111">
        <f>IF('01_인적정보'!B42="","",'01_인적정보'!A42)</f>
        <v/>
      </c>
      <c r="B100" s="111">
        <f>IF('01_인적정보'!B42="","",'01_인적정보'!B42)</f>
        <v/>
      </c>
      <c r="C100" s="112">
        <f>IF('01_인적정보'!B42="","",'01_인적정보'!C42)</f>
        <v/>
      </c>
      <c r="D100" s="112">
        <f>IF('01_인적정보'!B42="","",'01_인적정보'!E42)</f>
        <v/>
      </c>
      <c r="E100" s="113">
        <f>IF('01_인적정보'!B42="","",'01_인적정보'!H42)</f>
        <v/>
      </c>
      <c r="F100" s="114">
        <f>IF('01_인적정보'!B42="","",'07b_하반기입력'!G42)</f>
        <v/>
      </c>
      <c r="G100" s="114">
        <f>IF('01_인적정보'!B42="","",'07b_하반기입력'!H42)</f>
        <v/>
      </c>
      <c r="H100" s="115">
        <f>IFERROR(IF(AND(F100&lt;&gt;"",G100&lt;&gt;""),'02_의사결정·종합결과'!$B$67*IFERROR(CHOOSE(FIND(F100,"DCBAS"),1,2,3,4,5),0)+'02_의사결정·종합결과'!$B$68*IFERROR(CHOOSE(FIND(G100,"DCBAS"),1,2,3,4,5),0),IF(F100&lt;&gt;"",IFERROR(CHOOSE(FIND(F100,"DCBAS"),1,2,3,4,5),0),IF(G100&lt;&gt;"",IFERROR(CHOOSE(FIND(G100,"DCBAS"),1,2,3,4,5),0),""))),"")</f>
        <v/>
      </c>
      <c r="I100" s="116">
        <f>IF(H100="","",IF(H100&gt;=4.5,"S",IF(H100&gt;=3.5,"A",IF(H100&gt;=2.5,"B",IF(H100&gt;=1.5,"C","D")))))</f>
        <v/>
      </c>
      <c r="J100" s="107" t="n"/>
      <c r="K100" s="107" t="n"/>
      <c r="L100" s="107" t="n"/>
      <c r="M100" s="107" t="n"/>
      <c r="N100" s="107" t="n"/>
      <c r="O100" s="107" t="n"/>
      <c r="P100" s="107" t="n"/>
      <c r="Q100" s="107" t="n"/>
      <c r="R100" s="107" t="n"/>
      <c r="S100" s="107" t="n"/>
      <c r="T100" s="107" t="n"/>
      <c r="U100" s="107" t="n"/>
    </row>
    <row r="101" ht="22" customHeight="1" s="86">
      <c r="A101" s="111">
        <f>IF('01_인적정보'!B43="","",'01_인적정보'!A43)</f>
        <v/>
      </c>
      <c r="B101" s="111">
        <f>IF('01_인적정보'!B43="","",'01_인적정보'!B43)</f>
        <v/>
      </c>
      <c r="C101" s="112">
        <f>IF('01_인적정보'!B43="","",'01_인적정보'!C43)</f>
        <v/>
      </c>
      <c r="D101" s="112">
        <f>IF('01_인적정보'!B43="","",'01_인적정보'!E43)</f>
        <v/>
      </c>
      <c r="E101" s="113">
        <f>IF('01_인적정보'!B43="","",'01_인적정보'!H43)</f>
        <v/>
      </c>
      <c r="F101" s="114">
        <f>IF('01_인적정보'!B43="","",'07b_하반기입력'!G43)</f>
        <v/>
      </c>
      <c r="G101" s="114">
        <f>IF('01_인적정보'!B43="","",'07b_하반기입력'!H43)</f>
        <v/>
      </c>
      <c r="H101" s="115">
        <f>IFERROR(IF(AND(F101&lt;&gt;"",G101&lt;&gt;""),'02_의사결정·종합결과'!$B$67*IFERROR(CHOOSE(FIND(F101,"DCBAS"),1,2,3,4,5),0)+'02_의사결정·종합결과'!$B$68*IFERROR(CHOOSE(FIND(G101,"DCBAS"),1,2,3,4,5),0),IF(F101&lt;&gt;"",IFERROR(CHOOSE(FIND(F101,"DCBAS"),1,2,3,4,5),0),IF(G101&lt;&gt;"",IFERROR(CHOOSE(FIND(G101,"DCBAS"),1,2,3,4,5),0),""))),"")</f>
        <v/>
      </c>
      <c r="I101" s="116">
        <f>IF(H101="","",IF(H101&gt;=4.5,"S",IF(H101&gt;=3.5,"A",IF(H101&gt;=2.5,"B",IF(H101&gt;=1.5,"C","D")))))</f>
        <v/>
      </c>
      <c r="J101" s="107" t="n"/>
      <c r="K101" s="107" t="n"/>
      <c r="L101" s="107" t="n"/>
      <c r="M101" s="107" t="n"/>
      <c r="N101" s="107" t="n"/>
      <c r="O101" s="107" t="n"/>
      <c r="P101" s="107" t="n"/>
      <c r="Q101" s="107" t="n"/>
      <c r="R101" s="107" t="n"/>
      <c r="S101" s="107" t="n"/>
      <c r="T101" s="107" t="n"/>
      <c r="U101" s="107" t="n"/>
    </row>
    <row r="102" ht="22" customHeight="1" s="86">
      <c r="A102" s="111">
        <f>IF('01_인적정보'!B44="","",'01_인적정보'!A44)</f>
        <v/>
      </c>
      <c r="B102" s="111">
        <f>IF('01_인적정보'!B44="","",'01_인적정보'!B44)</f>
        <v/>
      </c>
      <c r="C102" s="112">
        <f>IF('01_인적정보'!B44="","",'01_인적정보'!C44)</f>
        <v/>
      </c>
      <c r="D102" s="112">
        <f>IF('01_인적정보'!B44="","",'01_인적정보'!E44)</f>
        <v/>
      </c>
      <c r="E102" s="113">
        <f>IF('01_인적정보'!B44="","",'01_인적정보'!H44)</f>
        <v/>
      </c>
      <c r="F102" s="114">
        <f>IF('01_인적정보'!B44="","",'07b_하반기입력'!G44)</f>
        <v/>
      </c>
      <c r="G102" s="114">
        <f>IF('01_인적정보'!B44="","",'07b_하반기입력'!H44)</f>
        <v/>
      </c>
      <c r="H102" s="115">
        <f>IFERROR(IF(AND(F102&lt;&gt;"",G102&lt;&gt;""),'02_의사결정·종합결과'!$B$67*IFERROR(CHOOSE(FIND(F102,"DCBAS"),1,2,3,4,5),0)+'02_의사결정·종합결과'!$B$68*IFERROR(CHOOSE(FIND(G102,"DCBAS"),1,2,3,4,5),0),IF(F102&lt;&gt;"",IFERROR(CHOOSE(FIND(F102,"DCBAS"),1,2,3,4,5),0),IF(G102&lt;&gt;"",IFERROR(CHOOSE(FIND(G102,"DCBAS"),1,2,3,4,5),0),""))),"")</f>
        <v/>
      </c>
      <c r="I102" s="116">
        <f>IF(H102="","",IF(H102&gt;=4.5,"S",IF(H102&gt;=3.5,"A",IF(H102&gt;=2.5,"B",IF(H102&gt;=1.5,"C","D")))))</f>
        <v/>
      </c>
      <c r="J102" s="107" t="n"/>
      <c r="K102" s="107" t="n"/>
      <c r="L102" s="107" t="n"/>
      <c r="M102" s="107" t="n"/>
      <c r="N102" s="107" t="n"/>
      <c r="O102" s="107" t="n"/>
      <c r="P102" s="107" t="n"/>
      <c r="Q102" s="107" t="n"/>
      <c r="R102" s="107" t="n"/>
      <c r="S102" s="107" t="n"/>
      <c r="T102" s="107" t="n"/>
      <c r="U102" s="107" t="n"/>
    </row>
    <row r="103" ht="22" customHeight="1" s="86">
      <c r="A103" s="111">
        <f>IF('01_인적정보'!B45="","",'01_인적정보'!A45)</f>
        <v/>
      </c>
      <c r="B103" s="111">
        <f>IF('01_인적정보'!B45="","",'01_인적정보'!B45)</f>
        <v/>
      </c>
      <c r="C103" s="112">
        <f>IF('01_인적정보'!B45="","",'01_인적정보'!C45)</f>
        <v/>
      </c>
      <c r="D103" s="112">
        <f>IF('01_인적정보'!B45="","",'01_인적정보'!E45)</f>
        <v/>
      </c>
      <c r="E103" s="113">
        <f>IF('01_인적정보'!B45="","",'01_인적정보'!H45)</f>
        <v/>
      </c>
      <c r="F103" s="114">
        <f>IF('01_인적정보'!B45="","",'07b_하반기입력'!G45)</f>
        <v/>
      </c>
      <c r="G103" s="114">
        <f>IF('01_인적정보'!B45="","",'07b_하반기입력'!H45)</f>
        <v/>
      </c>
      <c r="H103" s="115">
        <f>IFERROR(IF(AND(F103&lt;&gt;"",G103&lt;&gt;""),'02_의사결정·종합결과'!$B$67*IFERROR(CHOOSE(FIND(F103,"DCBAS"),1,2,3,4,5),0)+'02_의사결정·종합결과'!$B$68*IFERROR(CHOOSE(FIND(G103,"DCBAS"),1,2,3,4,5),0),IF(F103&lt;&gt;"",IFERROR(CHOOSE(FIND(F103,"DCBAS"),1,2,3,4,5),0),IF(G103&lt;&gt;"",IFERROR(CHOOSE(FIND(G103,"DCBAS"),1,2,3,4,5),0),""))),"")</f>
        <v/>
      </c>
      <c r="I103" s="116">
        <f>IF(H103="","",IF(H103&gt;=4.5,"S",IF(H103&gt;=3.5,"A",IF(H103&gt;=2.5,"B",IF(H103&gt;=1.5,"C","D")))))</f>
        <v/>
      </c>
      <c r="J103" s="107" t="n"/>
      <c r="K103" s="107" t="n"/>
      <c r="L103" s="107" t="n"/>
      <c r="M103" s="107" t="n"/>
      <c r="N103" s="107" t="n"/>
      <c r="O103" s="107" t="n"/>
      <c r="P103" s="107" t="n"/>
      <c r="Q103" s="107" t="n"/>
      <c r="R103" s="107" t="n"/>
      <c r="S103" s="107" t="n"/>
      <c r="T103" s="107" t="n"/>
      <c r="U103" s="107" t="n"/>
    </row>
    <row r="104" ht="22" customHeight="1" s="86">
      <c r="A104" s="111">
        <f>IF('01_인적정보'!B46="","",'01_인적정보'!A46)</f>
        <v/>
      </c>
      <c r="B104" s="111">
        <f>IF('01_인적정보'!B46="","",'01_인적정보'!B46)</f>
        <v/>
      </c>
      <c r="C104" s="112">
        <f>IF('01_인적정보'!B46="","",'01_인적정보'!C46)</f>
        <v/>
      </c>
      <c r="D104" s="112">
        <f>IF('01_인적정보'!B46="","",'01_인적정보'!E46)</f>
        <v/>
      </c>
      <c r="E104" s="113">
        <f>IF('01_인적정보'!B46="","",'01_인적정보'!H46)</f>
        <v/>
      </c>
      <c r="F104" s="114">
        <f>IF('01_인적정보'!B46="","",'07b_하반기입력'!G46)</f>
        <v/>
      </c>
      <c r="G104" s="114">
        <f>IF('01_인적정보'!B46="","",'07b_하반기입력'!H46)</f>
        <v/>
      </c>
      <c r="H104" s="115">
        <f>IFERROR(IF(AND(F104&lt;&gt;"",G104&lt;&gt;""),'02_의사결정·종합결과'!$B$67*IFERROR(CHOOSE(FIND(F104,"DCBAS"),1,2,3,4,5),0)+'02_의사결정·종합결과'!$B$68*IFERROR(CHOOSE(FIND(G104,"DCBAS"),1,2,3,4,5),0),IF(F104&lt;&gt;"",IFERROR(CHOOSE(FIND(F104,"DCBAS"),1,2,3,4,5),0),IF(G104&lt;&gt;"",IFERROR(CHOOSE(FIND(G104,"DCBAS"),1,2,3,4,5),0),""))),"")</f>
        <v/>
      </c>
      <c r="I104" s="116">
        <f>IF(H104="","",IF(H104&gt;=4.5,"S",IF(H104&gt;=3.5,"A",IF(H104&gt;=2.5,"B",IF(H104&gt;=1.5,"C","D")))))</f>
        <v/>
      </c>
      <c r="J104" s="107" t="n"/>
      <c r="K104" s="107" t="n"/>
      <c r="L104" s="107" t="n"/>
      <c r="M104" s="107" t="n"/>
      <c r="N104" s="107" t="n"/>
      <c r="O104" s="107" t="n"/>
      <c r="P104" s="107" t="n"/>
      <c r="Q104" s="107" t="n"/>
      <c r="R104" s="107" t="n"/>
      <c r="S104" s="107" t="n"/>
      <c r="T104" s="107" t="n"/>
      <c r="U104" s="107" t="n"/>
    </row>
    <row r="105" ht="22" customHeight="1" s="86">
      <c r="A105" s="111">
        <f>IF('01_인적정보'!B47="","",'01_인적정보'!A47)</f>
        <v/>
      </c>
      <c r="B105" s="111">
        <f>IF('01_인적정보'!B47="","",'01_인적정보'!B47)</f>
        <v/>
      </c>
      <c r="C105" s="112">
        <f>IF('01_인적정보'!B47="","",'01_인적정보'!C47)</f>
        <v/>
      </c>
      <c r="D105" s="112">
        <f>IF('01_인적정보'!B47="","",'01_인적정보'!E47)</f>
        <v/>
      </c>
      <c r="E105" s="113">
        <f>IF('01_인적정보'!B47="","",'01_인적정보'!H47)</f>
        <v/>
      </c>
      <c r="F105" s="114">
        <f>IF('01_인적정보'!B47="","",'07b_하반기입력'!G47)</f>
        <v/>
      </c>
      <c r="G105" s="114">
        <f>IF('01_인적정보'!B47="","",'07b_하반기입력'!H47)</f>
        <v/>
      </c>
      <c r="H105" s="115">
        <f>IFERROR(IF(AND(F105&lt;&gt;"",G105&lt;&gt;""),'02_의사결정·종합결과'!$B$67*IFERROR(CHOOSE(FIND(F105,"DCBAS"),1,2,3,4,5),0)+'02_의사결정·종합결과'!$B$68*IFERROR(CHOOSE(FIND(G105,"DCBAS"),1,2,3,4,5),0),IF(F105&lt;&gt;"",IFERROR(CHOOSE(FIND(F105,"DCBAS"),1,2,3,4,5),0),IF(G105&lt;&gt;"",IFERROR(CHOOSE(FIND(G105,"DCBAS"),1,2,3,4,5),0),""))),"")</f>
        <v/>
      </c>
      <c r="I105" s="116">
        <f>IF(H105="","",IF(H105&gt;=4.5,"S",IF(H105&gt;=3.5,"A",IF(H105&gt;=2.5,"B",IF(H105&gt;=1.5,"C","D")))))</f>
        <v/>
      </c>
      <c r="J105" s="107" t="n"/>
      <c r="K105" s="107" t="n"/>
      <c r="L105" s="107" t="n"/>
      <c r="M105" s="107" t="n"/>
      <c r="N105" s="107" t="n"/>
      <c r="O105" s="107" t="n"/>
      <c r="P105" s="107" t="n"/>
      <c r="Q105" s="107" t="n"/>
      <c r="R105" s="107" t="n"/>
      <c r="S105" s="107" t="n"/>
      <c r="T105" s="107" t="n"/>
      <c r="U105" s="107" t="n"/>
    </row>
    <row r="106" ht="22" customHeight="1" s="86">
      <c r="A106" s="111">
        <f>IF('01_인적정보'!B48="","",'01_인적정보'!A48)</f>
        <v/>
      </c>
      <c r="B106" s="111">
        <f>IF('01_인적정보'!B48="","",'01_인적정보'!B48)</f>
        <v/>
      </c>
      <c r="C106" s="112">
        <f>IF('01_인적정보'!B48="","",'01_인적정보'!C48)</f>
        <v/>
      </c>
      <c r="D106" s="112">
        <f>IF('01_인적정보'!B48="","",'01_인적정보'!E48)</f>
        <v/>
      </c>
      <c r="E106" s="113">
        <f>IF('01_인적정보'!B48="","",'01_인적정보'!H48)</f>
        <v/>
      </c>
      <c r="F106" s="114">
        <f>IF('01_인적정보'!B48="","",'07b_하반기입력'!G48)</f>
        <v/>
      </c>
      <c r="G106" s="114">
        <f>IF('01_인적정보'!B48="","",'07b_하반기입력'!H48)</f>
        <v/>
      </c>
      <c r="H106" s="115">
        <f>IFERROR(IF(AND(F106&lt;&gt;"",G106&lt;&gt;""),'02_의사결정·종합결과'!$B$67*IFERROR(CHOOSE(FIND(F106,"DCBAS"),1,2,3,4,5),0)+'02_의사결정·종합결과'!$B$68*IFERROR(CHOOSE(FIND(G106,"DCBAS"),1,2,3,4,5),0),IF(F106&lt;&gt;"",IFERROR(CHOOSE(FIND(F106,"DCBAS"),1,2,3,4,5),0),IF(G106&lt;&gt;"",IFERROR(CHOOSE(FIND(G106,"DCBAS"),1,2,3,4,5),0),""))),"")</f>
        <v/>
      </c>
      <c r="I106" s="116">
        <f>IF(H106="","",IF(H106&gt;=4.5,"S",IF(H106&gt;=3.5,"A",IF(H106&gt;=2.5,"B",IF(H106&gt;=1.5,"C","D")))))</f>
        <v/>
      </c>
      <c r="J106" s="107" t="n"/>
      <c r="K106" s="107" t="n"/>
      <c r="L106" s="107" t="n"/>
      <c r="M106" s="107" t="n"/>
      <c r="N106" s="107" t="n"/>
      <c r="O106" s="107" t="n"/>
      <c r="P106" s="107" t="n"/>
      <c r="Q106" s="107" t="n"/>
      <c r="R106" s="107" t="n"/>
      <c r="S106" s="107" t="n"/>
      <c r="T106" s="107" t="n"/>
      <c r="U106" s="107" t="n"/>
    </row>
    <row r="107" ht="22" customHeight="1" s="86">
      <c r="A107" s="111">
        <f>IF('01_인적정보'!B49="","",'01_인적정보'!A49)</f>
        <v/>
      </c>
      <c r="B107" s="111">
        <f>IF('01_인적정보'!B49="","",'01_인적정보'!B49)</f>
        <v/>
      </c>
      <c r="C107" s="112">
        <f>IF('01_인적정보'!B49="","",'01_인적정보'!C49)</f>
        <v/>
      </c>
      <c r="D107" s="112">
        <f>IF('01_인적정보'!B49="","",'01_인적정보'!E49)</f>
        <v/>
      </c>
      <c r="E107" s="113">
        <f>IF('01_인적정보'!B49="","",'01_인적정보'!H49)</f>
        <v/>
      </c>
      <c r="F107" s="114">
        <f>IF('01_인적정보'!B49="","",'07b_하반기입력'!G49)</f>
        <v/>
      </c>
      <c r="G107" s="114">
        <f>IF('01_인적정보'!B49="","",'07b_하반기입력'!H49)</f>
        <v/>
      </c>
      <c r="H107" s="115">
        <f>IFERROR(IF(AND(F107&lt;&gt;"",G107&lt;&gt;""),'02_의사결정·종합결과'!$B$67*IFERROR(CHOOSE(FIND(F107,"DCBAS"),1,2,3,4,5),0)+'02_의사결정·종합결과'!$B$68*IFERROR(CHOOSE(FIND(G107,"DCBAS"),1,2,3,4,5),0),IF(F107&lt;&gt;"",IFERROR(CHOOSE(FIND(F107,"DCBAS"),1,2,3,4,5),0),IF(G107&lt;&gt;"",IFERROR(CHOOSE(FIND(G107,"DCBAS"),1,2,3,4,5),0),""))),"")</f>
        <v/>
      </c>
      <c r="I107" s="116">
        <f>IF(H107="","",IF(H107&gt;=4.5,"S",IF(H107&gt;=3.5,"A",IF(H107&gt;=2.5,"B",IF(H107&gt;=1.5,"C","D")))))</f>
        <v/>
      </c>
      <c r="J107" s="107" t="n"/>
      <c r="K107" s="107" t="n"/>
      <c r="L107" s="107" t="n"/>
      <c r="M107" s="107" t="n"/>
      <c r="N107" s="107" t="n"/>
      <c r="O107" s="107" t="n"/>
      <c r="P107" s="107" t="n"/>
      <c r="Q107" s="107" t="n"/>
      <c r="R107" s="107" t="n"/>
      <c r="S107" s="107" t="n"/>
      <c r="T107" s="107" t="n"/>
      <c r="U107" s="107" t="n"/>
    </row>
    <row r="108" ht="22" customHeight="1" s="86">
      <c r="A108" s="111">
        <f>IF('01_인적정보'!B50="","",'01_인적정보'!A50)</f>
        <v/>
      </c>
      <c r="B108" s="111">
        <f>IF('01_인적정보'!B50="","",'01_인적정보'!B50)</f>
        <v/>
      </c>
      <c r="C108" s="112">
        <f>IF('01_인적정보'!B50="","",'01_인적정보'!C50)</f>
        <v/>
      </c>
      <c r="D108" s="112">
        <f>IF('01_인적정보'!B50="","",'01_인적정보'!E50)</f>
        <v/>
      </c>
      <c r="E108" s="113">
        <f>IF('01_인적정보'!B50="","",'01_인적정보'!H50)</f>
        <v/>
      </c>
      <c r="F108" s="114">
        <f>IF('01_인적정보'!B50="","",'07b_하반기입력'!G50)</f>
        <v/>
      </c>
      <c r="G108" s="114">
        <f>IF('01_인적정보'!B50="","",'07b_하반기입력'!H50)</f>
        <v/>
      </c>
      <c r="H108" s="115">
        <f>IFERROR(IF(AND(F108&lt;&gt;"",G108&lt;&gt;""),'02_의사결정·종합결과'!$B$67*IFERROR(CHOOSE(FIND(F108,"DCBAS"),1,2,3,4,5),0)+'02_의사결정·종합결과'!$B$68*IFERROR(CHOOSE(FIND(G108,"DCBAS"),1,2,3,4,5),0),IF(F108&lt;&gt;"",IFERROR(CHOOSE(FIND(F108,"DCBAS"),1,2,3,4,5),0),IF(G108&lt;&gt;"",IFERROR(CHOOSE(FIND(G108,"DCBAS"),1,2,3,4,5),0),""))),"")</f>
        <v/>
      </c>
      <c r="I108" s="116">
        <f>IF(H108="","",IF(H108&gt;=4.5,"S",IF(H108&gt;=3.5,"A",IF(H108&gt;=2.5,"B",IF(H108&gt;=1.5,"C","D")))))</f>
        <v/>
      </c>
      <c r="J108" s="107" t="n"/>
      <c r="K108" s="107" t="n"/>
      <c r="L108" s="107" t="n"/>
      <c r="M108" s="107" t="n"/>
      <c r="N108" s="107" t="n"/>
      <c r="O108" s="107" t="n"/>
      <c r="P108" s="107" t="n"/>
      <c r="Q108" s="107" t="n"/>
      <c r="R108" s="107" t="n"/>
      <c r="S108" s="107" t="n"/>
      <c r="T108" s="107" t="n"/>
      <c r="U108" s="107" t="n"/>
    </row>
    <row r="109" ht="22" customHeight="1" s="86">
      <c r="A109" s="111">
        <f>IF('01_인적정보'!B51="","",'01_인적정보'!A51)</f>
        <v/>
      </c>
      <c r="B109" s="111">
        <f>IF('01_인적정보'!B51="","",'01_인적정보'!B51)</f>
        <v/>
      </c>
      <c r="C109" s="112">
        <f>IF('01_인적정보'!B51="","",'01_인적정보'!C51)</f>
        <v/>
      </c>
      <c r="D109" s="112">
        <f>IF('01_인적정보'!B51="","",'01_인적정보'!E51)</f>
        <v/>
      </c>
      <c r="E109" s="113">
        <f>IF('01_인적정보'!B51="","",'01_인적정보'!H51)</f>
        <v/>
      </c>
      <c r="F109" s="114">
        <f>IF('01_인적정보'!B51="","",'07b_하반기입력'!G51)</f>
        <v/>
      </c>
      <c r="G109" s="114">
        <f>IF('01_인적정보'!B51="","",'07b_하반기입력'!H51)</f>
        <v/>
      </c>
      <c r="H109" s="115">
        <f>IFERROR(IF(AND(F109&lt;&gt;"",G109&lt;&gt;""),'02_의사결정·종합결과'!$B$67*IFERROR(CHOOSE(FIND(F109,"DCBAS"),1,2,3,4,5),0)+'02_의사결정·종합결과'!$B$68*IFERROR(CHOOSE(FIND(G109,"DCBAS"),1,2,3,4,5),0),IF(F109&lt;&gt;"",IFERROR(CHOOSE(FIND(F109,"DCBAS"),1,2,3,4,5),0),IF(G109&lt;&gt;"",IFERROR(CHOOSE(FIND(G109,"DCBAS"),1,2,3,4,5),0),""))),"")</f>
        <v/>
      </c>
      <c r="I109" s="116">
        <f>IF(H109="","",IF(H109&gt;=4.5,"S",IF(H109&gt;=3.5,"A",IF(H109&gt;=2.5,"B",IF(H109&gt;=1.5,"C","D")))))</f>
        <v/>
      </c>
      <c r="J109" s="107" t="n"/>
      <c r="K109" s="107" t="n"/>
      <c r="L109" s="107" t="n"/>
      <c r="M109" s="107" t="n"/>
      <c r="N109" s="107" t="n"/>
      <c r="O109" s="107" t="n"/>
      <c r="P109" s="107" t="n"/>
      <c r="Q109" s="107" t="n"/>
      <c r="R109" s="107" t="n"/>
      <c r="S109" s="107" t="n"/>
      <c r="T109" s="107" t="n"/>
      <c r="U109" s="107" t="n"/>
    </row>
    <row r="110" ht="22" customHeight="1" s="86">
      <c r="A110" s="111">
        <f>IF('01_인적정보'!B52="","",'01_인적정보'!A52)</f>
        <v/>
      </c>
      <c r="B110" s="111">
        <f>IF('01_인적정보'!B52="","",'01_인적정보'!B52)</f>
        <v/>
      </c>
      <c r="C110" s="112">
        <f>IF('01_인적정보'!B52="","",'01_인적정보'!C52)</f>
        <v/>
      </c>
      <c r="D110" s="112">
        <f>IF('01_인적정보'!B52="","",'01_인적정보'!E52)</f>
        <v/>
      </c>
      <c r="E110" s="113">
        <f>IF('01_인적정보'!B52="","",'01_인적정보'!H52)</f>
        <v/>
      </c>
      <c r="F110" s="114">
        <f>IF('01_인적정보'!B52="","",'07b_하반기입력'!G52)</f>
        <v/>
      </c>
      <c r="G110" s="114">
        <f>IF('01_인적정보'!B52="","",'07b_하반기입력'!H52)</f>
        <v/>
      </c>
      <c r="H110" s="115">
        <f>IFERROR(IF(AND(F110&lt;&gt;"",G110&lt;&gt;""),'02_의사결정·종합결과'!$B$67*IFERROR(CHOOSE(FIND(F110,"DCBAS"),1,2,3,4,5),0)+'02_의사결정·종합결과'!$B$68*IFERROR(CHOOSE(FIND(G110,"DCBAS"),1,2,3,4,5),0),IF(F110&lt;&gt;"",IFERROR(CHOOSE(FIND(F110,"DCBAS"),1,2,3,4,5),0),IF(G110&lt;&gt;"",IFERROR(CHOOSE(FIND(G110,"DCBAS"),1,2,3,4,5),0),""))),"")</f>
        <v/>
      </c>
      <c r="I110" s="116">
        <f>IF(H110="","",IF(H110&gt;=4.5,"S",IF(H110&gt;=3.5,"A",IF(H110&gt;=2.5,"B",IF(H110&gt;=1.5,"C","D")))))</f>
        <v/>
      </c>
      <c r="J110" s="107" t="n"/>
      <c r="K110" s="107" t="n"/>
      <c r="L110" s="107" t="n"/>
      <c r="M110" s="107" t="n"/>
      <c r="N110" s="107" t="n"/>
      <c r="O110" s="107" t="n"/>
      <c r="P110" s="107" t="n"/>
      <c r="Q110" s="107" t="n"/>
      <c r="R110" s="107" t="n"/>
      <c r="S110" s="107" t="n"/>
      <c r="T110" s="107" t="n"/>
      <c r="U110" s="107" t="n"/>
    </row>
    <row r="111" ht="22" customHeight="1" s="86">
      <c r="A111" s="111">
        <f>IF('01_인적정보'!B53="","",'01_인적정보'!A53)</f>
        <v/>
      </c>
      <c r="B111" s="111">
        <f>IF('01_인적정보'!B53="","",'01_인적정보'!B53)</f>
        <v/>
      </c>
      <c r="C111" s="112">
        <f>IF('01_인적정보'!B53="","",'01_인적정보'!C53)</f>
        <v/>
      </c>
      <c r="D111" s="112">
        <f>IF('01_인적정보'!B53="","",'01_인적정보'!E53)</f>
        <v/>
      </c>
      <c r="E111" s="113">
        <f>IF('01_인적정보'!B53="","",'01_인적정보'!H53)</f>
        <v/>
      </c>
      <c r="F111" s="114">
        <f>IF('01_인적정보'!B53="","",'07b_하반기입력'!G53)</f>
        <v/>
      </c>
      <c r="G111" s="114">
        <f>IF('01_인적정보'!B53="","",'07b_하반기입력'!H53)</f>
        <v/>
      </c>
      <c r="H111" s="115">
        <f>IFERROR(IF(AND(F111&lt;&gt;"",G111&lt;&gt;""),'02_의사결정·종합결과'!$B$67*IFERROR(CHOOSE(FIND(F111,"DCBAS"),1,2,3,4,5),0)+'02_의사결정·종합결과'!$B$68*IFERROR(CHOOSE(FIND(G111,"DCBAS"),1,2,3,4,5),0),IF(F111&lt;&gt;"",IFERROR(CHOOSE(FIND(F111,"DCBAS"),1,2,3,4,5),0),IF(G111&lt;&gt;"",IFERROR(CHOOSE(FIND(G111,"DCBAS"),1,2,3,4,5),0),""))),"")</f>
        <v/>
      </c>
      <c r="I111" s="116">
        <f>IF(H111="","",IF(H111&gt;=4.5,"S",IF(H111&gt;=3.5,"A",IF(H111&gt;=2.5,"B",IF(H111&gt;=1.5,"C","D")))))</f>
        <v/>
      </c>
      <c r="J111" s="107" t="n"/>
      <c r="K111" s="107" t="n"/>
      <c r="L111" s="107" t="n"/>
      <c r="M111" s="107" t="n"/>
      <c r="N111" s="107" t="n"/>
      <c r="O111" s="107" t="n"/>
      <c r="P111" s="107" t="n"/>
      <c r="Q111" s="107" t="n"/>
      <c r="R111" s="107" t="n"/>
      <c r="S111" s="107" t="n"/>
      <c r="T111" s="107" t="n"/>
      <c r="U111" s="107" t="n"/>
    </row>
    <row r="112" ht="22" customHeight="1" s="86">
      <c r="A112" s="111">
        <f>IF('01_인적정보'!B54="","",'01_인적정보'!A54)</f>
        <v/>
      </c>
      <c r="B112" s="111">
        <f>IF('01_인적정보'!B54="","",'01_인적정보'!B54)</f>
        <v/>
      </c>
      <c r="C112" s="112">
        <f>IF('01_인적정보'!B54="","",'01_인적정보'!C54)</f>
        <v/>
      </c>
      <c r="D112" s="112">
        <f>IF('01_인적정보'!B54="","",'01_인적정보'!E54)</f>
        <v/>
      </c>
      <c r="E112" s="113">
        <f>IF('01_인적정보'!B54="","",'01_인적정보'!H54)</f>
        <v/>
      </c>
      <c r="F112" s="114">
        <f>IF('01_인적정보'!B54="","",'07b_하반기입력'!G54)</f>
        <v/>
      </c>
      <c r="G112" s="114">
        <f>IF('01_인적정보'!B54="","",'07b_하반기입력'!H54)</f>
        <v/>
      </c>
      <c r="H112" s="115">
        <f>IFERROR(IF(AND(F112&lt;&gt;"",G112&lt;&gt;""),'02_의사결정·종합결과'!$B$67*IFERROR(CHOOSE(FIND(F112,"DCBAS"),1,2,3,4,5),0)+'02_의사결정·종합결과'!$B$68*IFERROR(CHOOSE(FIND(G112,"DCBAS"),1,2,3,4,5),0),IF(F112&lt;&gt;"",IFERROR(CHOOSE(FIND(F112,"DCBAS"),1,2,3,4,5),0),IF(G112&lt;&gt;"",IFERROR(CHOOSE(FIND(G112,"DCBAS"),1,2,3,4,5),0),""))),"")</f>
        <v/>
      </c>
      <c r="I112" s="116">
        <f>IF(H112="","",IF(H112&gt;=4.5,"S",IF(H112&gt;=3.5,"A",IF(H112&gt;=2.5,"B",IF(H112&gt;=1.5,"C","D")))))</f>
        <v/>
      </c>
      <c r="J112" s="107" t="n"/>
      <c r="K112" s="107" t="n"/>
      <c r="L112" s="107" t="n"/>
      <c r="M112" s="107" t="n"/>
      <c r="N112" s="107" t="n"/>
      <c r="O112" s="107" t="n"/>
      <c r="P112" s="107" t="n"/>
      <c r="Q112" s="107" t="n"/>
      <c r="R112" s="107" t="n"/>
      <c r="S112" s="107" t="n"/>
      <c r="T112" s="107" t="n"/>
      <c r="U112" s="107" t="n"/>
    </row>
    <row r="113" ht="22" customHeight="1" s="86">
      <c r="A113" s="111">
        <f>IF('01_인적정보'!B55="","",'01_인적정보'!A55)</f>
        <v/>
      </c>
      <c r="B113" s="111">
        <f>IF('01_인적정보'!B55="","",'01_인적정보'!B55)</f>
        <v/>
      </c>
      <c r="C113" s="112">
        <f>IF('01_인적정보'!B55="","",'01_인적정보'!C55)</f>
        <v/>
      </c>
      <c r="D113" s="112">
        <f>IF('01_인적정보'!B55="","",'01_인적정보'!E55)</f>
        <v/>
      </c>
      <c r="E113" s="113">
        <f>IF('01_인적정보'!B55="","",'01_인적정보'!H55)</f>
        <v/>
      </c>
      <c r="F113" s="114">
        <f>IF('01_인적정보'!B55="","",'07b_하반기입력'!G55)</f>
        <v/>
      </c>
      <c r="G113" s="114">
        <f>IF('01_인적정보'!B55="","",'07b_하반기입력'!H55)</f>
        <v/>
      </c>
      <c r="H113" s="115">
        <f>IFERROR(IF(AND(F113&lt;&gt;"",G113&lt;&gt;""),'02_의사결정·종합결과'!$B$67*IFERROR(CHOOSE(FIND(F113,"DCBAS"),1,2,3,4,5),0)+'02_의사결정·종합결과'!$B$68*IFERROR(CHOOSE(FIND(G113,"DCBAS"),1,2,3,4,5),0),IF(F113&lt;&gt;"",IFERROR(CHOOSE(FIND(F113,"DCBAS"),1,2,3,4,5),0),IF(G113&lt;&gt;"",IFERROR(CHOOSE(FIND(G113,"DCBAS"),1,2,3,4,5),0),""))),"")</f>
        <v/>
      </c>
      <c r="I113" s="116">
        <f>IF(H113="","",IF(H113&gt;=4.5,"S",IF(H113&gt;=3.5,"A",IF(H113&gt;=2.5,"B",IF(H113&gt;=1.5,"C","D")))))</f>
        <v/>
      </c>
      <c r="J113" s="107" t="n"/>
      <c r="K113" s="107" t="n"/>
      <c r="L113" s="107" t="n"/>
      <c r="M113" s="107" t="n"/>
      <c r="N113" s="107" t="n"/>
      <c r="O113" s="107" t="n"/>
      <c r="P113" s="107" t="n"/>
      <c r="Q113" s="107" t="n"/>
      <c r="R113" s="107" t="n"/>
      <c r="S113" s="107" t="n"/>
      <c r="T113" s="107" t="n"/>
      <c r="U113" s="107" t="n"/>
    </row>
    <row r="114">
      <c r="A114" s="107" t="n"/>
      <c r="B114" s="107" t="n"/>
      <c r="C114" s="107" t="n"/>
      <c r="D114" s="107" t="n"/>
      <c r="E114" s="107" t="n"/>
      <c r="F114" s="107" t="n"/>
      <c r="G114" s="107" t="n"/>
      <c r="H114" s="107" t="n"/>
      <c r="I114" s="107" t="n"/>
      <c r="J114" s="107" t="n"/>
      <c r="K114" s="107" t="n"/>
      <c r="L114" s="107" t="n"/>
      <c r="M114" s="107" t="n"/>
      <c r="N114" s="107" t="n"/>
      <c r="O114" s="107" t="n"/>
      <c r="P114" s="107" t="n"/>
      <c r="Q114" s="107" t="n"/>
      <c r="R114" s="107" t="n"/>
      <c r="S114" s="107" t="n"/>
      <c r="T114" s="107" t="n"/>
      <c r="U114" s="107" t="n"/>
    </row>
    <row r="115">
      <c r="A115" s="107" t="n"/>
      <c r="B115" s="107" t="n"/>
      <c r="C115" s="107" t="n"/>
      <c r="D115" s="107" t="n"/>
      <c r="E115" s="107" t="n"/>
      <c r="F115" s="107" t="n"/>
      <c r="G115" s="107" t="n"/>
      <c r="H115" s="107" t="n"/>
      <c r="I115" s="107" t="n"/>
      <c r="J115" s="107" t="n"/>
      <c r="K115" s="107" t="n"/>
      <c r="L115" s="107" t="n"/>
      <c r="M115" s="107" t="n"/>
      <c r="N115" s="107" t="n"/>
      <c r="O115" s="107" t="n"/>
      <c r="P115" s="107" t="n"/>
      <c r="Q115" s="107" t="n"/>
      <c r="R115" s="107" t="n"/>
      <c r="S115" s="107" t="n"/>
      <c r="T115" s="107" t="n"/>
      <c r="U115" s="107" t="n"/>
    </row>
    <row r="116">
      <c r="A116" s="107" t="n"/>
      <c r="B116" s="107" t="n"/>
      <c r="C116" s="107" t="n"/>
      <c r="D116" s="107" t="n"/>
      <c r="E116" s="107" t="n"/>
      <c r="F116" s="107" t="n"/>
      <c r="G116" s="107" t="n"/>
      <c r="H116" s="107" t="n"/>
      <c r="I116" s="107" t="n"/>
      <c r="J116" s="107" t="n"/>
      <c r="K116" s="107" t="n"/>
      <c r="L116" s="107" t="n"/>
      <c r="M116" s="107" t="n"/>
      <c r="N116" s="107" t="n"/>
      <c r="O116" s="107" t="n"/>
      <c r="P116" s="107" t="n"/>
      <c r="Q116" s="107" t="n"/>
      <c r="R116" s="107" t="n"/>
      <c r="S116" s="107" t="n"/>
      <c r="T116" s="107" t="n"/>
      <c r="U116" s="107" t="n"/>
    </row>
    <row r="117">
      <c r="A117" s="107" t="n"/>
      <c r="B117" s="107" t="n"/>
      <c r="C117" s="107" t="n"/>
      <c r="D117" s="107" t="n"/>
      <c r="E117" s="107" t="n"/>
      <c r="F117" s="107" t="n"/>
      <c r="G117" s="107" t="n"/>
      <c r="H117" s="107" t="n"/>
      <c r="I117" s="107" t="n"/>
      <c r="J117" s="107" t="n"/>
      <c r="K117" s="107" t="n"/>
      <c r="L117" s="107" t="n"/>
      <c r="M117" s="107" t="n"/>
      <c r="N117" s="107" t="n"/>
      <c r="O117" s="107" t="n"/>
      <c r="P117" s="107" t="n"/>
      <c r="Q117" s="107" t="n"/>
      <c r="R117" s="107" t="n"/>
      <c r="S117" s="107" t="n"/>
      <c r="T117" s="107" t="n"/>
      <c r="U117" s="107" t="n"/>
    </row>
    <row r="118">
      <c r="A118" s="107" t="n"/>
      <c r="B118" s="107" t="n"/>
      <c r="C118" s="107" t="n"/>
      <c r="D118" s="107" t="n"/>
      <c r="E118" s="107" t="n"/>
      <c r="F118" s="107" t="n"/>
      <c r="G118" s="107" t="n"/>
      <c r="H118" s="107" t="n"/>
      <c r="I118" s="107" t="n"/>
      <c r="J118" s="107" t="n"/>
      <c r="K118" s="107" t="n"/>
      <c r="L118" s="107" t="n"/>
      <c r="M118" s="107" t="n"/>
      <c r="N118" s="107" t="n"/>
      <c r="O118" s="107" t="n"/>
      <c r="P118" s="107" t="n"/>
      <c r="Q118" s="107" t="n"/>
      <c r="R118" s="107" t="n"/>
      <c r="S118" s="107" t="n"/>
      <c r="T118" s="107" t="n"/>
      <c r="U118" s="107" t="n"/>
    </row>
    <row r="119">
      <c r="A119" s="107" t="n"/>
      <c r="B119" s="107" t="n"/>
      <c r="C119" s="107" t="n"/>
      <c r="D119" s="107" t="n"/>
      <c r="E119" s="107" t="n"/>
      <c r="F119" s="107" t="n"/>
      <c r="G119" s="107" t="n"/>
      <c r="H119" s="107" t="n"/>
      <c r="I119" s="107" t="n"/>
      <c r="J119" s="107" t="n"/>
      <c r="K119" s="107" t="n"/>
      <c r="L119" s="107" t="n"/>
      <c r="M119" s="107" t="n"/>
      <c r="N119" s="107" t="n"/>
      <c r="O119" s="107" t="n"/>
      <c r="P119" s="107" t="n"/>
      <c r="Q119" s="107" t="n"/>
      <c r="R119" s="107" t="n"/>
      <c r="S119" s="107" t="n"/>
      <c r="T119" s="107" t="n"/>
      <c r="U119" s="107" t="n"/>
    </row>
    <row r="120">
      <c r="A120" s="107" t="n"/>
      <c r="B120" s="107" t="n"/>
      <c r="C120" s="107" t="n"/>
      <c r="D120" s="107" t="n"/>
      <c r="E120" s="107" t="n"/>
      <c r="F120" s="107" t="n"/>
      <c r="G120" s="107" t="n"/>
      <c r="H120" s="107" t="n"/>
      <c r="I120" s="107" t="n"/>
      <c r="J120" s="107" t="n"/>
      <c r="K120" s="107" t="n"/>
      <c r="L120" s="107" t="n"/>
      <c r="M120" s="107" t="n"/>
      <c r="N120" s="107" t="n"/>
      <c r="O120" s="107" t="n"/>
      <c r="P120" s="107" t="n"/>
      <c r="Q120" s="107" t="n"/>
      <c r="R120" s="107" t="n"/>
      <c r="S120" s="107" t="n"/>
      <c r="T120" s="107" t="n"/>
      <c r="U120" s="107" t="n"/>
    </row>
    <row r="121">
      <c r="A121" s="107" t="n"/>
      <c r="B121" s="107" t="n"/>
      <c r="C121" s="107" t="n"/>
      <c r="D121" s="107" t="n"/>
      <c r="E121" s="107" t="n"/>
      <c r="F121" s="107" t="n"/>
      <c r="G121" s="107" t="n"/>
      <c r="H121" s="107" t="n"/>
      <c r="I121" s="107" t="n"/>
      <c r="J121" s="107" t="n"/>
      <c r="K121" s="107" t="n"/>
      <c r="L121" s="107" t="n"/>
      <c r="M121" s="107" t="n"/>
      <c r="N121" s="107" t="n"/>
      <c r="O121" s="107" t="n"/>
      <c r="P121" s="107" t="n"/>
      <c r="Q121" s="107" t="n"/>
      <c r="R121" s="107" t="n"/>
      <c r="S121" s="107" t="n"/>
      <c r="T121" s="107" t="n"/>
      <c r="U121" s="107" t="n"/>
    </row>
    <row r="122">
      <c r="A122" s="107" t="n"/>
      <c r="B122" s="107" t="n"/>
      <c r="C122" s="107" t="n"/>
      <c r="D122" s="107" t="n"/>
      <c r="E122" s="107" t="n"/>
      <c r="F122" s="107" t="n"/>
      <c r="G122" s="107" t="n"/>
      <c r="H122" s="107" t="n"/>
      <c r="I122" s="107" t="n"/>
      <c r="J122" s="107" t="n"/>
      <c r="K122" s="107" t="n"/>
      <c r="L122" s="107" t="n"/>
      <c r="M122" s="107" t="n"/>
      <c r="N122" s="107" t="n"/>
      <c r="O122" s="107" t="n"/>
      <c r="P122" s="107" t="n"/>
      <c r="Q122" s="107" t="n"/>
      <c r="R122" s="107" t="n"/>
      <c r="S122" s="107" t="n"/>
      <c r="T122" s="107" t="n"/>
      <c r="U122" s="107" t="n"/>
    </row>
    <row r="123">
      <c r="A123" s="107" t="n"/>
      <c r="B123" s="107" t="n"/>
      <c r="C123" s="107" t="n"/>
      <c r="D123" s="107" t="n"/>
      <c r="E123" s="107" t="n"/>
      <c r="F123" s="107" t="n"/>
      <c r="G123" s="107" t="n"/>
      <c r="H123" s="107" t="n"/>
      <c r="I123" s="107" t="n"/>
      <c r="J123" s="107" t="n"/>
      <c r="K123" s="107" t="n"/>
      <c r="L123" s="107" t="n"/>
      <c r="M123" s="107" t="n"/>
      <c r="N123" s="107" t="n"/>
      <c r="O123" s="107" t="n"/>
      <c r="P123" s="107" t="n"/>
      <c r="Q123" s="107" t="n"/>
      <c r="R123" s="107" t="n"/>
      <c r="S123" s="107" t="n"/>
      <c r="T123" s="107" t="n"/>
      <c r="U123" s="107" t="n"/>
    </row>
    <row r="124">
      <c r="A124" s="107" t="n"/>
      <c r="B124" s="107" t="n"/>
      <c r="C124" s="107" t="n"/>
      <c r="D124" s="107" t="n"/>
      <c r="E124" s="107" t="n"/>
      <c r="F124" s="107" t="n"/>
      <c r="G124" s="107" t="n"/>
      <c r="H124" s="107" t="n"/>
      <c r="I124" s="107" t="n"/>
      <c r="J124" s="107" t="n"/>
      <c r="K124" s="107" t="n"/>
      <c r="L124" s="107" t="n"/>
      <c r="M124" s="107" t="n"/>
      <c r="N124" s="107" t="n"/>
      <c r="O124" s="107" t="n"/>
      <c r="P124" s="107" t="n"/>
      <c r="Q124" s="107" t="n"/>
      <c r="R124" s="107" t="n"/>
      <c r="S124" s="107" t="n"/>
      <c r="T124" s="107" t="n"/>
      <c r="U124" s="107" t="n"/>
    </row>
    <row r="125">
      <c r="A125" s="107" t="n"/>
      <c r="B125" s="107" t="n"/>
      <c r="C125" s="107" t="n"/>
      <c r="D125" s="107" t="n"/>
      <c r="E125" s="107" t="n"/>
      <c r="F125" s="107" t="n"/>
      <c r="G125" s="107" t="n"/>
      <c r="H125" s="107" t="n"/>
      <c r="I125" s="107" t="n"/>
      <c r="J125" s="107" t="n"/>
      <c r="K125" s="107" t="n"/>
      <c r="L125" s="107" t="n"/>
      <c r="M125" s="107" t="n"/>
      <c r="N125" s="107" t="n"/>
      <c r="O125" s="107" t="n"/>
      <c r="P125" s="107" t="n"/>
      <c r="Q125" s="107" t="n"/>
      <c r="R125" s="107" t="n"/>
      <c r="S125" s="107" t="n"/>
      <c r="T125" s="107" t="n"/>
      <c r="U125" s="107" t="n"/>
    </row>
    <row r="126">
      <c r="A126" s="107" t="n"/>
      <c r="B126" s="107" t="n"/>
      <c r="C126" s="107" t="n"/>
      <c r="D126" s="107" t="n"/>
      <c r="E126" s="107" t="n"/>
      <c r="F126" s="107" t="n"/>
      <c r="G126" s="107" t="n"/>
      <c r="H126" s="107" t="n"/>
      <c r="I126" s="107" t="n"/>
      <c r="J126" s="107" t="n"/>
      <c r="K126" s="107" t="n"/>
      <c r="L126" s="107" t="n"/>
      <c r="M126" s="107" t="n"/>
      <c r="N126" s="107" t="n"/>
      <c r="O126" s="107" t="n"/>
      <c r="P126" s="107" t="n"/>
      <c r="Q126" s="107" t="n"/>
      <c r="R126" s="107" t="n"/>
      <c r="S126" s="107" t="n"/>
      <c r="T126" s="107" t="n"/>
      <c r="U126" s="107" t="n"/>
    </row>
    <row r="127">
      <c r="A127" s="107" t="n"/>
      <c r="B127" s="107" t="n"/>
      <c r="C127" s="107" t="n"/>
      <c r="D127" s="107" t="n"/>
      <c r="E127" s="107" t="n"/>
      <c r="F127" s="107" t="n"/>
      <c r="G127" s="107" t="n"/>
      <c r="H127" s="107" t="n"/>
      <c r="I127" s="107" t="n"/>
      <c r="J127" s="107" t="n"/>
      <c r="K127" s="107" t="n"/>
      <c r="L127" s="107" t="n"/>
      <c r="M127" s="107" t="n"/>
      <c r="N127" s="107" t="n"/>
      <c r="O127" s="107" t="n"/>
      <c r="P127" s="107" t="n"/>
      <c r="Q127" s="107" t="n"/>
      <c r="R127" s="107" t="n"/>
      <c r="S127" s="107" t="n"/>
      <c r="T127" s="107" t="n"/>
      <c r="U127" s="107" t="n"/>
    </row>
    <row r="128">
      <c r="A128" s="107" t="n"/>
      <c r="B128" s="107" t="n"/>
      <c r="C128" s="107" t="n"/>
      <c r="D128" s="107" t="n"/>
      <c r="E128" s="107" t="n"/>
      <c r="F128" s="107" t="n"/>
      <c r="G128" s="107" t="n"/>
      <c r="H128" s="107" t="n"/>
      <c r="I128" s="107" t="n"/>
      <c r="J128" s="107" t="n"/>
      <c r="K128" s="107" t="n"/>
      <c r="L128" s="107" t="n"/>
      <c r="M128" s="107" t="n"/>
      <c r="N128" s="107" t="n"/>
      <c r="O128" s="107" t="n"/>
      <c r="P128" s="107" t="n"/>
      <c r="Q128" s="107" t="n"/>
      <c r="R128" s="107" t="n"/>
      <c r="S128" s="107" t="n"/>
      <c r="T128" s="107" t="n"/>
      <c r="U128" s="107" t="n"/>
    </row>
    <row r="129">
      <c r="A129" s="107" t="n"/>
      <c r="B129" s="107" t="n"/>
      <c r="C129" s="107" t="n"/>
      <c r="D129" s="107" t="n"/>
      <c r="E129" s="107" t="n"/>
      <c r="F129" s="107" t="n"/>
      <c r="G129" s="107" t="n"/>
      <c r="H129" s="107" t="n"/>
      <c r="I129" s="107" t="n"/>
      <c r="J129" s="107" t="n"/>
      <c r="K129" s="107" t="n"/>
      <c r="L129" s="107" t="n"/>
      <c r="M129" s="107" t="n"/>
      <c r="N129" s="107" t="n"/>
      <c r="O129" s="107" t="n"/>
      <c r="P129" s="107" t="n"/>
      <c r="Q129" s="107" t="n"/>
      <c r="R129" s="107" t="n"/>
      <c r="S129" s="107" t="n"/>
      <c r="T129" s="107" t="n"/>
      <c r="U129" s="107" t="n"/>
    </row>
  </sheetData>
  <mergeCells count="4">
    <mergeCell ref="A2:I2"/>
    <mergeCell ref="A1:I1"/>
    <mergeCell ref="A4:I4"/>
    <mergeCell ref="A62:I62"/>
  </mergeCells>
  <conditionalFormatting sqref="F6:I55">
    <cfRule type="cellIs" priority="17" operator="equal" dxfId="65">
      <formula>"S"</formula>
    </cfRule>
    <cfRule type="cellIs" priority="18" operator="equal" dxfId="66">
      <formula>"A"</formula>
    </cfRule>
    <cfRule type="cellIs" priority="19" operator="equal" dxfId="67">
      <formula>"C"</formula>
    </cfRule>
    <cfRule type="cellIs" priority="20" operator="equal" dxfId="68">
      <formula>"D"</formula>
    </cfRule>
  </conditionalFormatting>
  <conditionalFormatting sqref="F64:I113">
    <cfRule type="cellIs" priority="21" operator="equal" dxfId="65">
      <formula>"S"</formula>
    </cfRule>
    <cfRule type="cellIs" priority="22" operator="equal" dxfId="66">
      <formula>"A"</formula>
    </cfRule>
    <cfRule type="cellIs" priority="23" operator="equal" dxfId="67">
      <formula>"C"</formula>
    </cfRule>
    <cfRule type="cellIs" priority="24" operator="equal" dxfId="68">
      <formula>"D"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548135"/>
    <outlinePr summaryBelow="1" summaryRight="1"/>
    <pageSetUpPr/>
  </sheetPr>
  <dimension ref="A1:U12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:I1"/>
    </sheetView>
  </sheetViews>
  <sheetFormatPr baseColWidth="8" defaultRowHeight="16.9"/>
  <cols>
    <col width="5" customWidth="1" style="86" min="1" max="1"/>
    <col width="10" customWidth="1" style="86" min="2" max="2"/>
    <col width="9" customWidth="1" style="86" min="3" max="3"/>
    <col width="14" customWidth="1" style="86" min="4" max="4"/>
    <col width="9" customWidth="1" style="86" min="5" max="5"/>
    <col width="11" customWidth="1" style="86" min="6" max="7"/>
    <col width="11" customWidth="1" style="86" min="7" max="7"/>
    <col width="13" customWidth="1" style="86" min="8" max="8"/>
    <col width="11" customWidth="1" style="86" min="9" max="9"/>
    <col width="8" customWidth="1" style="86" min="10" max="15"/>
    <col width="10" customWidth="1" style="86" min="16" max="16"/>
    <col width="8" customWidth="1" style="86" min="17" max="17"/>
    <col width="20" customWidth="1" style="86" min="18" max="18"/>
  </cols>
  <sheetData>
    <row r="1" ht="30" customHeight="1" s="86">
      <c r="A1" s="105" t="inlineStr">
        <is>
          <t>공통역량평가 (자동 산출)</t>
        </is>
      </c>
      <c r="B1" s="106" t="n"/>
      <c r="C1" s="106" t="n"/>
      <c r="D1" s="106" t="n"/>
      <c r="E1" s="106" t="n"/>
      <c r="F1" s="106" t="n"/>
      <c r="G1" s="106" t="n"/>
      <c r="H1" s="106" t="n"/>
      <c r="I1" s="106" t="n"/>
      <c r="J1" s="107" t="n"/>
      <c r="K1" s="107" t="n"/>
      <c r="L1" s="107" t="n"/>
      <c r="M1" s="107" t="n"/>
      <c r="N1" s="107" t="n"/>
      <c r="O1" s="107" t="n"/>
      <c r="P1" s="107" t="n"/>
      <c r="Q1" s="107" t="n"/>
      <c r="R1" s="107" t="n"/>
      <c r="S1" s="107" t="n"/>
      <c r="T1" s="107" t="n"/>
      <c r="U1" s="107" t="n"/>
    </row>
    <row r="2" ht="24" customHeight="1" s="86">
      <c r="A2" s="108" t="inlineStr">
        <is>
          <t>07a/07b의 1·2차 공통역량 종합 등급 → 평가자 가중치 적용 → 확정 등급</t>
        </is>
      </c>
      <c r="B2" s="106" t="n"/>
      <c r="C2" s="106" t="n"/>
      <c r="D2" s="106" t="n"/>
      <c r="E2" s="106" t="n"/>
      <c r="F2" s="106" t="n"/>
      <c r="G2" s="106" t="n"/>
      <c r="H2" s="106" t="n"/>
      <c r="I2" s="106" t="n"/>
      <c r="J2" s="107" t="n"/>
      <c r="K2" s="107" t="n"/>
      <c r="L2" s="107" t="n"/>
      <c r="M2" s="107" t="n"/>
      <c r="N2" s="107" t="n"/>
      <c r="O2" s="107" t="n"/>
      <c r="P2" s="107" t="n"/>
      <c r="Q2" s="107" t="n"/>
      <c r="R2" s="107" t="n"/>
      <c r="S2" s="107" t="n"/>
      <c r="T2" s="107" t="n"/>
      <c r="U2" s="107" t="n"/>
    </row>
    <row r="3">
      <c r="A3" s="107" t="n"/>
      <c r="B3" s="107" t="n"/>
      <c r="C3" s="107" t="n"/>
      <c r="D3" s="107" t="n"/>
      <c r="E3" s="107" t="n"/>
      <c r="F3" s="107" t="n"/>
      <c r="G3" s="107" t="n"/>
      <c r="H3" s="107" t="n"/>
      <c r="I3" s="107" t="n"/>
      <c r="J3" s="107" t="n"/>
      <c r="K3" s="107" t="n"/>
      <c r="L3" s="107" t="n"/>
      <c r="M3" s="107" t="n"/>
      <c r="N3" s="107" t="n"/>
      <c r="O3" s="107" t="n"/>
      <c r="P3" s="107" t="n"/>
      <c r="Q3" s="107" t="n"/>
      <c r="R3" s="107" t="n"/>
      <c r="S3" s="107" t="n"/>
      <c r="T3" s="107" t="n"/>
      <c r="U3" s="107" t="n"/>
    </row>
    <row r="4" ht="26" customHeight="1" s="86">
      <c r="A4" s="109" t="inlineStr">
        <is>
          <t>■ 상반기 공통역량평가 (50명까지)</t>
        </is>
      </c>
      <c r="B4" s="106" t="n"/>
      <c r="C4" s="106" t="n"/>
      <c r="D4" s="106" t="n"/>
      <c r="E4" s="106" t="n"/>
      <c r="F4" s="106" t="n"/>
      <c r="G4" s="106" t="n"/>
      <c r="H4" s="106" t="n"/>
      <c r="I4" s="106" t="n"/>
      <c r="J4" s="107" t="n"/>
      <c r="K4" s="107" t="n"/>
      <c r="L4" s="107" t="n"/>
      <c r="M4" s="107" t="n"/>
      <c r="N4" s="107" t="n"/>
      <c r="O4" s="107" t="n"/>
      <c r="P4" s="107" t="n"/>
      <c r="Q4" s="107" t="n"/>
      <c r="R4" s="107" t="n"/>
      <c r="S4" s="107" t="n"/>
      <c r="T4" s="107" t="n"/>
      <c r="U4" s="107" t="n"/>
    </row>
    <row r="5" ht="28" customHeight="1" s="86">
      <c r="A5" s="110" t="inlineStr">
        <is>
          <t>No.</t>
        </is>
      </c>
      <c r="B5" s="110" t="inlineStr">
        <is>
          <t>사번</t>
        </is>
      </c>
      <c r="C5" s="110" t="inlineStr">
        <is>
          <t>성명</t>
        </is>
      </c>
      <c r="D5" s="110" t="inlineStr">
        <is>
          <t>직무</t>
        </is>
      </c>
      <c r="E5" s="110" t="inlineStr">
        <is>
          <t>역할등급</t>
        </is>
      </c>
      <c r="F5" s="110" t="inlineStr">
        <is>
          <t>1차</t>
        </is>
      </c>
      <c r="G5" s="110" t="inlineStr">
        <is>
          <t>2차</t>
        </is>
      </c>
      <c r="H5" s="110" t="inlineStr">
        <is>
          <t>가중평균(점수)</t>
        </is>
      </c>
      <c r="I5" s="110" t="inlineStr">
        <is>
          <t>확정등급</t>
        </is>
      </c>
      <c r="J5" s="107" t="n"/>
      <c r="K5" s="107" t="n"/>
      <c r="L5" s="107" t="n"/>
      <c r="M5" s="107" t="n"/>
      <c r="N5" s="107" t="n"/>
      <c r="O5" s="107" t="n"/>
      <c r="P5" s="107" t="n"/>
      <c r="Q5" s="107" t="n"/>
      <c r="R5" s="107" t="n"/>
      <c r="S5" s="107" t="n"/>
      <c r="T5" s="107" t="n"/>
      <c r="U5" s="107" t="n"/>
    </row>
    <row r="6" ht="22" customHeight="1" s="86">
      <c r="A6" s="111">
        <f>IF('01_인적정보'!B6="","",'01_인적정보'!A6)</f>
        <v/>
      </c>
      <c r="B6" s="111">
        <f>IF('01_인적정보'!B6="","",'01_인적정보'!B6)</f>
        <v/>
      </c>
      <c r="C6" s="112">
        <f>IF('01_인적정보'!B6="","",'01_인적정보'!C6)</f>
        <v/>
      </c>
      <c r="D6" s="112">
        <f>IF('01_인적정보'!B6="","",'01_인적정보'!E6)</f>
        <v/>
      </c>
      <c r="E6" s="113">
        <f>IF('01_인적정보'!B6="","",'01_인적정보'!H6)</f>
        <v/>
      </c>
      <c r="F6" s="114">
        <f>IF('01_인적정보'!B6="","",'07a_상반기입력'!I6)</f>
        <v/>
      </c>
      <c r="G6" s="114">
        <f>IF('01_인적정보'!B6="","",'07a_상반기입력'!J6)</f>
        <v/>
      </c>
      <c r="H6" s="115">
        <f>IFERROR(IF(AND(F6&lt;&gt;"",G6&lt;&gt;""),'02_의사결정·종합결과'!$B$67*IFERROR(CHOOSE(FIND(F6,"DCBAS"),1,2,3,4,5),0)+'02_의사결정·종합결과'!$B$68*IFERROR(CHOOSE(FIND(G6,"DCBAS"),1,2,3,4,5),0),IF(F6&lt;&gt;"",IFERROR(CHOOSE(FIND(F6,"DCBAS"),1,2,3,4,5),0),IF(G6&lt;&gt;"",IFERROR(CHOOSE(FIND(G6,"DCBAS"),1,2,3,4,5),0),""))),"")</f>
        <v/>
      </c>
      <c r="I6" s="116">
        <f>IF(H6="","",IF(H6&gt;=4.5,"S",IF(H6&gt;=3.5,"A",IF(H6&gt;=2.5,"B",IF(H6&gt;=1.5,"C","D")))))</f>
        <v/>
      </c>
      <c r="J6" s="107" t="n"/>
      <c r="K6" s="107" t="n"/>
      <c r="L6" s="107" t="n"/>
      <c r="M6" s="107" t="n"/>
      <c r="N6" s="107" t="n"/>
      <c r="O6" s="107" t="n"/>
      <c r="P6" s="117" t="n"/>
      <c r="Q6" s="107" t="n"/>
      <c r="R6" s="107" t="n"/>
      <c r="S6" s="107" t="n"/>
      <c r="T6" s="107" t="n"/>
      <c r="U6" s="107" t="n"/>
    </row>
    <row r="7" ht="22" customHeight="1" s="86">
      <c r="A7" s="111">
        <f>IF('01_인적정보'!B7="","",'01_인적정보'!A7)</f>
        <v/>
      </c>
      <c r="B7" s="111">
        <f>IF('01_인적정보'!B7="","",'01_인적정보'!B7)</f>
        <v/>
      </c>
      <c r="C7" s="112">
        <f>IF('01_인적정보'!B7="","",'01_인적정보'!C7)</f>
        <v/>
      </c>
      <c r="D7" s="112">
        <f>IF('01_인적정보'!B7="","",'01_인적정보'!E7)</f>
        <v/>
      </c>
      <c r="E7" s="113">
        <f>IF('01_인적정보'!B7="","",'01_인적정보'!H7)</f>
        <v/>
      </c>
      <c r="F7" s="114">
        <f>IF('01_인적정보'!B7="","",'07a_상반기입력'!I7)</f>
        <v/>
      </c>
      <c r="G7" s="114">
        <f>IF('01_인적정보'!B7="","",'07a_상반기입력'!J7)</f>
        <v/>
      </c>
      <c r="H7" s="115">
        <f>IFERROR(IF(AND(F7&lt;&gt;"",G7&lt;&gt;""),'02_의사결정·종합결과'!$B$67*IFERROR(CHOOSE(FIND(F7,"DCBAS"),1,2,3,4,5),0)+'02_의사결정·종합결과'!$B$68*IFERROR(CHOOSE(FIND(G7,"DCBAS"),1,2,3,4,5),0),IF(F7&lt;&gt;"",IFERROR(CHOOSE(FIND(F7,"DCBAS"),1,2,3,4,5),0),IF(G7&lt;&gt;"",IFERROR(CHOOSE(FIND(G7,"DCBAS"),1,2,3,4,5),0),""))),"")</f>
        <v/>
      </c>
      <c r="I7" s="116">
        <f>IF(H7="","",IF(H7&gt;=4.5,"S",IF(H7&gt;=3.5,"A",IF(H7&gt;=2.5,"B",IF(H7&gt;=1.5,"C","D")))))</f>
        <v/>
      </c>
      <c r="J7" s="107" t="n"/>
      <c r="K7" s="107" t="n"/>
      <c r="L7" s="107" t="n"/>
      <c r="M7" s="107" t="n"/>
      <c r="N7" s="107" t="n"/>
      <c r="O7" s="107" t="n"/>
      <c r="P7" s="117" t="n"/>
      <c r="Q7" s="107" t="n"/>
      <c r="R7" s="107" t="n"/>
      <c r="S7" s="107" t="n"/>
      <c r="T7" s="107" t="n"/>
      <c r="U7" s="107" t="n"/>
    </row>
    <row r="8" ht="22" customHeight="1" s="86">
      <c r="A8" s="111">
        <f>IF('01_인적정보'!B8="","",'01_인적정보'!A8)</f>
        <v/>
      </c>
      <c r="B8" s="111">
        <f>IF('01_인적정보'!B8="","",'01_인적정보'!B8)</f>
        <v/>
      </c>
      <c r="C8" s="112">
        <f>IF('01_인적정보'!B8="","",'01_인적정보'!C8)</f>
        <v/>
      </c>
      <c r="D8" s="112">
        <f>IF('01_인적정보'!B8="","",'01_인적정보'!E8)</f>
        <v/>
      </c>
      <c r="E8" s="113">
        <f>IF('01_인적정보'!B8="","",'01_인적정보'!H8)</f>
        <v/>
      </c>
      <c r="F8" s="114">
        <f>IF('01_인적정보'!B8="","",'07a_상반기입력'!I8)</f>
        <v/>
      </c>
      <c r="G8" s="114">
        <f>IF('01_인적정보'!B8="","",'07a_상반기입력'!J8)</f>
        <v/>
      </c>
      <c r="H8" s="115">
        <f>IFERROR(IF(AND(F8&lt;&gt;"",G8&lt;&gt;""),'02_의사결정·종합결과'!$B$67*IFERROR(CHOOSE(FIND(F8,"DCBAS"),1,2,3,4,5),0)+'02_의사결정·종합결과'!$B$68*IFERROR(CHOOSE(FIND(G8,"DCBAS"),1,2,3,4,5),0),IF(F8&lt;&gt;"",IFERROR(CHOOSE(FIND(F8,"DCBAS"),1,2,3,4,5),0),IF(G8&lt;&gt;"",IFERROR(CHOOSE(FIND(G8,"DCBAS"),1,2,3,4,5),0),""))),"")</f>
        <v/>
      </c>
      <c r="I8" s="116">
        <f>IF(H8="","",IF(H8&gt;=4.5,"S",IF(H8&gt;=3.5,"A",IF(H8&gt;=2.5,"B",IF(H8&gt;=1.5,"C","D")))))</f>
        <v/>
      </c>
      <c r="J8" s="107" t="n"/>
      <c r="K8" s="107" t="n"/>
      <c r="L8" s="107" t="n"/>
      <c r="M8" s="107" t="n"/>
      <c r="N8" s="107" t="n"/>
      <c r="O8" s="107" t="n"/>
      <c r="P8" s="117" t="n"/>
      <c r="Q8" s="107" t="n"/>
      <c r="R8" s="107" t="n"/>
      <c r="S8" s="107" t="n"/>
      <c r="T8" s="107" t="n"/>
      <c r="U8" s="107" t="n"/>
    </row>
    <row r="9" ht="22" customHeight="1" s="86">
      <c r="A9" s="111">
        <f>IF('01_인적정보'!B9="","",'01_인적정보'!A9)</f>
        <v/>
      </c>
      <c r="B9" s="111">
        <f>IF('01_인적정보'!B9="","",'01_인적정보'!B9)</f>
        <v/>
      </c>
      <c r="C9" s="112">
        <f>IF('01_인적정보'!B9="","",'01_인적정보'!C9)</f>
        <v/>
      </c>
      <c r="D9" s="112">
        <f>IF('01_인적정보'!B9="","",'01_인적정보'!E9)</f>
        <v/>
      </c>
      <c r="E9" s="113">
        <f>IF('01_인적정보'!B9="","",'01_인적정보'!H9)</f>
        <v/>
      </c>
      <c r="F9" s="114">
        <f>IF('01_인적정보'!B9="","",'07a_상반기입력'!I9)</f>
        <v/>
      </c>
      <c r="G9" s="114">
        <f>IF('01_인적정보'!B9="","",'07a_상반기입력'!J9)</f>
        <v/>
      </c>
      <c r="H9" s="115">
        <f>IFERROR(IF(AND(F9&lt;&gt;"",G9&lt;&gt;""),'02_의사결정·종합결과'!$B$67*IFERROR(CHOOSE(FIND(F9,"DCBAS"),1,2,3,4,5),0)+'02_의사결정·종합결과'!$B$68*IFERROR(CHOOSE(FIND(G9,"DCBAS"),1,2,3,4,5),0),IF(F9&lt;&gt;"",IFERROR(CHOOSE(FIND(F9,"DCBAS"),1,2,3,4,5),0),IF(G9&lt;&gt;"",IFERROR(CHOOSE(FIND(G9,"DCBAS"),1,2,3,4,5),0),""))),"")</f>
        <v/>
      </c>
      <c r="I9" s="116">
        <f>IF(H9="","",IF(H9&gt;=4.5,"S",IF(H9&gt;=3.5,"A",IF(H9&gt;=2.5,"B",IF(H9&gt;=1.5,"C","D")))))</f>
        <v/>
      </c>
      <c r="J9" s="107" t="n"/>
      <c r="K9" s="107" t="n"/>
      <c r="L9" s="107" t="n"/>
      <c r="M9" s="107" t="n"/>
      <c r="N9" s="107" t="n"/>
      <c r="O9" s="107" t="n"/>
      <c r="P9" s="117" t="n"/>
      <c r="Q9" s="107" t="n"/>
      <c r="R9" s="107" t="n"/>
      <c r="S9" s="107" t="n"/>
      <c r="T9" s="107" t="n"/>
      <c r="U9" s="107" t="n"/>
    </row>
    <row r="10" ht="22" customHeight="1" s="86">
      <c r="A10" s="111">
        <f>IF('01_인적정보'!B10="","",'01_인적정보'!A10)</f>
        <v/>
      </c>
      <c r="B10" s="111">
        <f>IF('01_인적정보'!B10="","",'01_인적정보'!B10)</f>
        <v/>
      </c>
      <c r="C10" s="112">
        <f>IF('01_인적정보'!B10="","",'01_인적정보'!C10)</f>
        <v/>
      </c>
      <c r="D10" s="112">
        <f>IF('01_인적정보'!B10="","",'01_인적정보'!E10)</f>
        <v/>
      </c>
      <c r="E10" s="113">
        <f>IF('01_인적정보'!B10="","",'01_인적정보'!H10)</f>
        <v/>
      </c>
      <c r="F10" s="114">
        <f>IF('01_인적정보'!B10="","",'07a_상반기입력'!I10)</f>
        <v/>
      </c>
      <c r="G10" s="114">
        <f>IF('01_인적정보'!B10="","",'07a_상반기입력'!J10)</f>
        <v/>
      </c>
      <c r="H10" s="115">
        <f>IFERROR(IF(AND(F10&lt;&gt;"",G10&lt;&gt;""),'02_의사결정·종합결과'!$B$67*IFERROR(CHOOSE(FIND(F10,"DCBAS"),1,2,3,4,5),0)+'02_의사결정·종합결과'!$B$68*IFERROR(CHOOSE(FIND(G10,"DCBAS"),1,2,3,4,5),0),IF(F10&lt;&gt;"",IFERROR(CHOOSE(FIND(F10,"DCBAS"),1,2,3,4,5),0),IF(G10&lt;&gt;"",IFERROR(CHOOSE(FIND(G10,"DCBAS"),1,2,3,4,5),0),""))),"")</f>
        <v/>
      </c>
      <c r="I10" s="116">
        <f>IF(H10="","",IF(H10&gt;=4.5,"S",IF(H10&gt;=3.5,"A",IF(H10&gt;=2.5,"B",IF(H10&gt;=1.5,"C","D")))))</f>
        <v/>
      </c>
      <c r="J10" s="107" t="n"/>
      <c r="K10" s="107" t="n"/>
      <c r="L10" s="107" t="n"/>
      <c r="M10" s="107" t="n"/>
      <c r="N10" s="107" t="n"/>
      <c r="O10" s="107" t="n"/>
      <c r="P10" s="117" t="n"/>
      <c r="Q10" s="107" t="n"/>
      <c r="R10" s="107" t="n"/>
      <c r="S10" s="107" t="n"/>
      <c r="T10" s="107" t="n"/>
      <c r="U10" s="107" t="n"/>
    </row>
    <row r="11" ht="22" customHeight="1" s="86">
      <c r="A11" s="111">
        <f>IF('01_인적정보'!B11="","",'01_인적정보'!A11)</f>
        <v/>
      </c>
      <c r="B11" s="111">
        <f>IF('01_인적정보'!B11="","",'01_인적정보'!B11)</f>
        <v/>
      </c>
      <c r="C11" s="112">
        <f>IF('01_인적정보'!B11="","",'01_인적정보'!C11)</f>
        <v/>
      </c>
      <c r="D11" s="112">
        <f>IF('01_인적정보'!B11="","",'01_인적정보'!E11)</f>
        <v/>
      </c>
      <c r="E11" s="113">
        <f>IF('01_인적정보'!B11="","",'01_인적정보'!H11)</f>
        <v/>
      </c>
      <c r="F11" s="114">
        <f>IF('01_인적정보'!B11="","",'07a_상반기입력'!I11)</f>
        <v/>
      </c>
      <c r="G11" s="114">
        <f>IF('01_인적정보'!B11="","",'07a_상반기입력'!J11)</f>
        <v/>
      </c>
      <c r="H11" s="115">
        <f>IFERROR(IF(AND(F11&lt;&gt;"",G11&lt;&gt;""),'02_의사결정·종합결과'!$B$67*IFERROR(CHOOSE(FIND(F11,"DCBAS"),1,2,3,4,5),0)+'02_의사결정·종합결과'!$B$68*IFERROR(CHOOSE(FIND(G11,"DCBAS"),1,2,3,4,5),0),IF(F11&lt;&gt;"",IFERROR(CHOOSE(FIND(F11,"DCBAS"),1,2,3,4,5),0),IF(G11&lt;&gt;"",IFERROR(CHOOSE(FIND(G11,"DCBAS"),1,2,3,4,5),0),""))),"")</f>
        <v/>
      </c>
      <c r="I11" s="116">
        <f>IF(H11="","",IF(H11&gt;=4.5,"S",IF(H11&gt;=3.5,"A",IF(H11&gt;=2.5,"B",IF(H11&gt;=1.5,"C","D")))))</f>
        <v/>
      </c>
      <c r="J11" s="107" t="n"/>
      <c r="K11" s="107" t="n"/>
      <c r="L11" s="107" t="n"/>
      <c r="M11" s="107" t="n"/>
      <c r="N11" s="107" t="n"/>
      <c r="O11" s="107" t="n"/>
      <c r="P11" s="117" t="n"/>
      <c r="Q11" s="107" t="n"/>
      <c r="R11" s="107" t="n"/>
      <c r="S11" s="107" t="n"/>
      <c r="T11" s="107" t="n"/>
      <c r="U11" s="107" t="n"/>
    </row>
    <row r="12" ht="22" customHeight="1" s="86">
      <c r="A12" s="111">
        <f>IF('01_인적정보'!B12="","",'01_인적정보'!A12)</f>
        <v/>
      </c>
      <c r="B12" s="111">
        <f>IF('01_인적정보'!B12="","",'01_인적정보'!B12)</f>
        <v/>
      </c>
      <c r="C12" s="112">
        <f>IF('01_인적정보'!B12="","",'01_인적정보'!C12)</f>
        <v/>
      </c>
      <c r="D12" s="112">
        <f>IF('01_인적정보'!B12="","",'01_인적정보'!E12)</f>
        <v/>
      </c>
      <c r="E12" s="113">
        <f>IF('01_인적정보'!B12="","",'01_인적정보'!H12)</f>
        <v/>
      </c>
      <c r="F12" s="114">
        <f>IF('01_인적정보'!B12="","",'07a_상반기입력'!I12)</f>
        <v/>
      </c>
      <c r="G12" s="114">
        <f>IF('01_인적정보'!B12="","",'07a_상반기입력'!J12)</f>
        <v/>
      </c>
      <c r="H12" s="115">
        <f>IFERROR(IF(AND(F12&lt;&gt;"",G12&lt;&gt;""),'02_의사결정·종합결과'!$B$67*IFERROR(CHOOSE(FIND(F12,"DCBAS"),1,2,3,4,5),0)+'02_의사결정·종합결과'!$B$68*IFERROR(CHOOSE(FIND(G12,"DCBAS"),1,2,3,4,5),0),IF(F12&lt;&gt;"",IFERROR(CHOOSE(FIND(F12,"DCBAS"),1,2,3,4,5),0),IF(G12&lt;&gt;"",IFERROR(CHOOSE(FIND(G12,"DCBAS"),1,2,3,4,5),0),""))),"")</f>
        <v/>
      </c>
      <c r="I12" s="116">
        <f>IF(H12="","",IF(H12&gt;=4.5,"S",IF(H12&gt;=3.5,"A",IF(H12&gt;=2.5,"B",IF(H12&gt;=1.5,"C","D")))))</f>
        <v/>
      </c>
      <c r="J12" s="107" t="n"/>
      <c r="K12" s="107" t="n"/>
      <c r="L12" s="107" t="n"/>
      <c r="M12" s="107" t="n"/>
      <c r="N12" s="107" t="n"/>
      <c r="O12" s="107" t="n"/>
      <c r="P12" s="117" t="n"/>
      <c r="Q12" s="107" t="n"/>
      <c r="R12" s="107" t="n"/>
      <c r="S12" s="107" t="n"/>
      <c r="T12" s="107" t="n"/>
      <c r="U12" s="107" t="n"/>
    </row>
    <row r="13" ht="22" customHeight="1" s="86">
      <c r="A13" s="111">
        <f>IF('01_인적정보'!B13="","",'01_인적정보'!A13)</f>
        <v/>
      </c>
      <c r="B13" s="111">
        <f>IF('01_인적정보'!B13="","",'01_인적정보'!B13)</f>
        <v/>
      </c>
      <c r="C13" s="112">
        <f>IF('01_인적정보'!B13="","",'01_인적정보'!C13)</f>
        <v/>
      </c>
      <c r="D13" s="112">
        <f>IF('01_인적정보'!B13="","",'01_인적정보'!E13)</f>
        <v/>
      </c>
      <c r="E13" s="113">
        <f>IF('01_인적정보'!B13="","",'01_인적정보'!H13)</f>
        <v/>
      </c>
      <c r="F13" s="114">
        <f>IF('01_인적정보'!B13="","",'07a_상반기입력'!I13)</f>
        <v/>
      </c>
      <c r="G13" s="114">
        <f>IF('01_인적정보'!B13="","",'07a_상반기입력'!J13)</f>
        <v/>
      </c>
      <c r="H13" s="115">
        <f>IFERROR(IF(AND(F13&lt;&gt;"",G13&lt;&gt;""),'02_의사결정·종합결과'!$B$67*IFERROR(CHOOSE(FIND(F13,"DCBAS"),1,2,3,4,5),0)+'02_의사결정·종합결과'!$B$68*IFERROR(CHOOSE(FIND(G13,"DCBAS"),1,2,3,4,5),0),IF(F13&lt;&gt;"",IFERROR(CHOOSE(FIND(F13,"DCBAS"),1,2,3,4,5),0),IF(G13&lt;&gt;"",IFERROR(CHOOSE(FIND(G13,"DCBAS"),1,2,3,4,5),0),""))),"")</f>
        <v/>
      </c>
      <c r="I13" s="116">
        <f>IF(H13="","",IF(H13&gt;=4.5,"S",IF(H13&gt;=3.5,"A",IF(H13&gt;=2.5,"B",IF(H13&gt;=1.5,"C","D")))))</f>
        <v/>
      </c>
      <c r="J13" s="107" t="n"/>
      <c r="K13" s="107" t="n"/>
      <c r="L13" s="107" t="n"/>
      <c r="M13" s="107" t="n"/>
      <c r="N13" s="107" t="n"/>
      <c r="O13" s="107" t="n"/>
      <c r="P13" s="117" t="n"/>
      <c r="Q13" s="107" t="n"/>
      <c r="R13" s="107" t="n"/>
      <c r="S13" s="107" t="n"/>
      <c r="T13" s="107" t="n"/>
      <c r="U13" s="107" t="n"/>
    </row>
    <row r="14" ht="22" customHeight="1" s="86">
      <c r="A14" s="111">
        <f>IF('01_인적정보'!B14="","",'01_인적정보'!A14)</f>
        <v/>
      </c>
      <c r="B14" s="111">
        <f>IF('01_인적정보'!B14="","",'01_인적정보'!B14)</f>
        <v/>
      </c>
      <c r="C14" s="112">
        <f>IF('01_인적정보'!B14="","",'01_인적정보'!C14)</f>
        <v/>
      </c>
      <c r="D14" s="112">
        <f>IF('01_인적정보'!B14="","",'01_인적정보'!E14)</f>
        <v/>
      </c>
      <c r="E14" s="113">
        <f>IF('01_인적정보'!B14="","",'01_인적정보'!H14)</f>
        <v/>
      </c>
      <c r="F14" s="114">
        <f>IF('01_인적정보'!B14="","",'07a_상반기입력'!I14)</f>
        <v/>
      </c>
      <c r="G14" s="114">
        <f>IF('01_인적정보'!B14="","",'07a_상반기입력'!J14)</f>
        <v/>
      </c>
      <c r="H14" s="115">
        <f>IFERROR(IF(AND(F14&lt;&gt;"",G14&lt;&gt;""),'02_의사결정·종합결과'!$B$67*IFERROR(CHOOSE(FIND(F14,"DCBAS"),1,2,3,4,5),0)+'02_의사결정·종합결과'!$B$68*IFERROR(CHOOSE(FIND(G14,"DCBAS"),1,2,3,4,5),0),IF(F14&lt;&gt;"",IFERROR(CHOOSE(FIND(F14,"DCBAS"),1,2,3,4,5),0),IF(G14&lt;&gt;"",IFERROR(CHOOSE(FIND(G14,"DCBAS"),1,2,3,4,5),0),""))),"")</f>
        <v/>
      </c>
      <c r="I14" s="116">
        <f>IF(H14="","",IF(H14&gt;=4.5,"S",IF(H14&gt;=3.5,"A",IF(H14&gt;=2.5,"B",IF(H14&gt;=1.5,"C","D")))))</f>
        <v/>
      </c>
      <c r="J14" s="107" t="n"/>
      <c r="K14" s="107" t="n"/>
      <c r="L14" s="107" t="n"/>
      <c r="M14" s="107" t="n"/>
      <c r="N14" s="107" t="n"/>
      <c r="O14" s="107" t="n"/>
      <c r="P14" s="117" t="n"/>
      <c r="Q14" s="107" t="n"/>
      <c r="R14" s="107" t="n"/>
      <c r="S14" s="107" t="n"/>
      <c r="T14" s="107" t="n"/>
      <c r="U14" s="107" t="n"/>
    </row>
    <row r="15" ht="22" customHeight="1" s="86">
      <c r="A15" s="111">
        <f>IF('01_인적정보'!B15="","",'01_인적정보'!A15)</f>
        <v/>
      </c>
      <c r="B15" s="111">
        <f>IF('01_인적정보'!B15="","",'01_인적정보'!B15)</f>
        <v/>
      </c>
      <c r="C15" s="112">
        <f>IF('01_인적정보'!B15="","",'01_인적정보'!C15)</f>
        <v/>
      </c>
      <c r="D15" s="112">
        <f>IF('01_인적정보'!B15="","",'01_인적정보'!E15)</f>
        <v/>
      </c>
      <c r="E15" s="113">
        <f>IF('01_인적정보'!B15="","",'01_인적정보'!H15)</f>
        <v/>
      </c>
      <c r="F15" s="114">
        <f>IF('01_인적정보'!B15="","",'07a_상반기입력'!I15)</f>
        <v/>
      </c>
      <c r="G15" s="114">
        <f>IF('01_인적정보'!B15="","",'07a_상반기입력'!J15)</f>
        <v/>
      </c>
      <c r="H15" s="115">
        <f>IFERROR(IF(AND(F15&lt;&gt;"",G15&lt;&gt;""),'02_의사결정·종합결과'!$B$67*IFERROR(CHOOSE(FIND(F15,"DCBAS"),1,2,3,4,5),0)+'02_의사결정·종합결과'!$B$68*IFERROR(CHOOSE(FIND(G15,"DCBAS"),1,2,3,4,5),0),IF(F15&lt;&gt;"",IFERROR(CHOOSE(FIND(F15,"DCBAS"),1,2,3,4,5),0),IF(G15&lt;&gt;"",IFERROR(CHOOSE(FIND(G15,"DCBAS"),1,2,3,4,5),0),""))),"")</f>
        <v/>
      </c>
      <c r="I15" s="116">
        <f>IF(H15="","",IF(H15&gt;=4.5,"S",IF(H15&gt;=3.5,"A",IF(H15&gt;=2.5,"B",IF(H15&gt;=1.5,"C","D")))))</f>
        <v/>
      </c>
      <c r="J15" s="107" t="n"/>
      <c r="K15" s="107" t="n"/>
      <c r="L15" s="107" t="n"/>
      <c r="M15" s="107" t="n"/>
      <c r="N15" s="107" t="n"/>
      <c r="O15" s="107" t="n"/>
      <c r="P15" s="117" t="n"/>
      <c r="Q15" s="107" t="n"/>
      <c r="R15" s="107" t="n"/>
      <c r="S15" s="107" t="n"/>
      <c r="T15" s="107" t="n"/>
      <c r="U15" s="107" t="n"/>
    </row>
    <row r="16" ht="22" customHeight="1" s="86">
      <c r="A16" s="111">
        <f>IF('01_인적정보'!B16="","",'01_인적정보'!A16)</f>
        <v/>
      </c>
      <c r="B16" s="111">
        <f>IF('01_인적정보'!B16="","",'01_인적정보'!B16)</f>
        <v/>
      </c>
      <c r="C16" s="112">
        <f>IF('01_인적정보'!B16="","",'01_인적정보'!C16)</f>
        <v/>
      </c>
      <c r="D16" s="112">
        <f>IF('01_인적정보'!B16="","",'01_인적정보'!E16)</f>
        <v/>
      </c>
      <c r="E16" s="113">
        <f>IF('01_인적정보'!B16="","",'01_인적정보'!H16)</f>
        <v/>
      </c>
      <c r="F16" s="114">
        <f>IF('01_인적정보'!B16="","",'07a_상반기입력'!I16)</f>
        <v/>
      </c>
      <c r="G16" s="114">
        <f>IF('01_인적정보'!B16="","",'07a_상반기입력'!J16)</f>
        <v/>
      </c>
      <c r="H16" s="115">
        <f>IFERROR(IF(AND(F16&lt;&gt;"",G16&lt;&gt;""),'02_의사결정·종합결과'!$B$67*IFERROR(CHOOSE(FIND(F16,"DCBAS"),1,2,3,4,5),0)+'02_의사결정·종합결과'!$B$68*IFERROR(CHOOSE(FIND(G16,"DCBAS"),1,2,3,4,5),0),IF(F16&lt;&gt;"",IFERROR(CHOOSE(FIND(F16,"DCBAS"),1,2,3,4,5),0),IF(G16&lt;&gt;"",IFERROR(CHOOSE(FIND(G16,"DCBAS"),1,2,3,4,5),0),""))),"")</f>
        <v/>
      </c>
      <c r="I16" s="116">
        <f>IF(H16="","",IF(H16&gt;=4.5,"S",IF(H16&gt;=3.5,"A",IF(H16&gt;=2.5,"B",IF(H16&gt;=1.5,"C","D")))))</f>
        <v/>
      </c>
      <c r="J16" s="107" t="n"/>
      <c r="K16" s="107" t="n"/>
      <c r="L16" s="107" t="n"/>
      <c r="M16" s="107" t="n"/>
      <c r="N16" s="107" t="n"/>
      <c r="O16" s="107" t="n"/>
      <c r="P16" s="117" t="n"/>
      <c r="Q16" s="107" t="n"/>
      <c r="R16" s="107" t="n"/>
      <c r="S16" s="107" t="n"/>
      <c r="T16" s="107" t="n"/>
      <c r="U16" s="107" t="n"/>
    </row>
    <row r="17" ht="22" customHeight="1" s="86">
      <c r="A17" s="111">
        <f>IF('01_인적정보'!B17="","",'01_인적정보'!A17)</f>
        <v/>
      </c>
      <c r="B17" s="111">
        <f>IF('01_인적정보'!B17="","",'01_인적정보'!B17)</f>
        <v/>
      </c>
      <c r="C17" s="112">
        <f>IF('01_인적정보'!B17="","",'01_인적정보'!C17)</f>
        <v/>
      </c>
      <c r="D17" s="112">
        <f>IF('01_인적정보'!B17="","",'01_인적정보'!E17)</f>
        <v/>
      </c>
      <c r="E17" s="113">
        <f>IF('01_인적정보'!B17="","",'01_인적정보'!H17)</f>
        <v/>
      </c>
      <c r="F17" s="114">
        <f>IF('01_인적정보'!B17="","",'07a_상반기입력'!I17)</f>
        <v/>
      </c>
      <c r="G17" s="114">
        <f>IF('01_인적정보'!B17="","",'07a_상반기입력'!J17)</f>
        <v/>
      </c>
      <c r="H17" s="115">
        <f>IFERROR(IF(AND(F17&lt;&gt;"",G17&lt;&gt;""),'02_의사결정·종합결과'!$B$67*IFERROR(CHOOSE(FIND(F17,"DCBAS"),1,2,3,4,5),0)+'02_의사결정·종합결과'!$B$68*IFERROR(CHOOSE(FIND(G17,"DCBAS"),1,2,3,4,5),0),IF(F17&lt;&gt;"",IFERROR(CHOOSE(FIND(F17,"DCBAS"),1,2,3,4,5),0),IF(G17&lt;&gt;"",IFERROR(CHOOSE(FIND(G17,"DCBAS"),1,2,3,4,5),0),""))),"")</f>
        <v/>
      </c>
      <c r="I17" s="116">
        <f>IF(H17="","",IF(H17&gt;=4.5,"S",IF(H17&gt;=3.5,"A",IF(H17&gt;=2.5,"B",IF(H17&gt;=1.5,"C","D")))))</f>
        <v/>
      </c>
      <c r="J17" s="107" t="n"/>
      <c r="K17" s="107" t="n"/>
      <c r="L17" s="107" t="n"/>
      <c r="M17" s="107" t="n"/>
      <c r="N17" s="107" t="n"/>
      <c r="O17" s="107" t="n"/>
      <c r="P17" s="117" t="n"/>
      <c r="Q17" s="107" t="n"/>
      <c r="R17" s="107" t="n"/>
      <c r="S17" s="107" t="n"/>
      <c r="T17" s="107" t="n"/>
      <c r="U17" s="107" t="n"/>
    </row>
    <row r="18" ht="22" customHeight="1" s="86">
      <c r="A18" s="111">
        <f>IF('01_인적정보'!B18="","",'01_인적정보'!A18)</f>
        <v/>
      </c>
      <c r="B18" s="111">
        <f>IF('01_인적정보'!B18="","",'01_인적정보'!B18)</f>
        <v/>
      </c>
      <c r="C18" s="112">
        <f>IF('01_인적정보'!B18="","",'01_인적정보'!C18)</f>
        <v/>
      </c>
      <c r="D18" s="112">
        <f>IF('01_인적정보'!B18="","",'01_인적정보'!E18)</f>
        <v/>
      </c>
      <c r="E18" s="113">
        <f>IF('01_인적정보'!B18="","",'01_인적정보'!H18)</f>
        <v/>
      </c>
      <c r="F18" s="114">
        <f>IF('01_인적정보'!B18="","",'07a_상반기입력'!I18)</f>
        <v/>
      </c>
      <c r="G18" s="114">
        <f>IF('01_인적정보'!B18="","",'07a_상반기입력'!J18)</f>
        <v/>
      </c>
      <c r="H18" s="115">
        <f>IFERROR(IF(AND(F18&lt;&gt;"",G18&lt;&gt;""),'02_의사결정·종합결과'!$B$67*IFERROR(CHOOSE(FIND(F18,"DCBAS"),1,2,3,4,5),0)+'02_의사결정·종합결과'!$B$68*IFERROR(CHOOSE(FIND(G18,"DCBAS"),1,2,3,4,5),0),IF(F18&lt;&gt;"",IFERROR(CHOOSE(FIND(F18,"DCBAS"),1,2,3,4,5),0),IF(G18&lt;&gt;"",IFERROR(CHOOSE(FIND(G18,"DCBAS"),1,2,3,4,5),0),""))),"")</f>
        <v/>
      </c>
      <c r="I18" s="116">
        <f>IF(H18="","",IF(H18&gt;=4.5,"S",IF(H18&gt;=3.5,"A",IF(H18&gt;=2.5,"B",IF(H18&gt;=1.5,"C","D")))))</f>
        <v/>
      </c>
      <c r="J18" s="107" t="n"/>
      <c r="K18" s="107" t="n"/>
      <c r="L18" s="107" t="n"/>
      <c r="M18" s="107" t="n"/>
      <c r="N18" s="107" t="n"/>
      <c r="O18" s="107" t="n"/>
      <c r="P18" s="117" t="n"/>
      <c r="Q18" s="107" t="n"/>
      <c r="R18" s="107" t="n"/>
      <c r="S18" s="107" t="n"/>
      <c r="T18" s="107" t="n"/>
      <c r="U18" s="107" t="n"/>
    </row>
    <row r="19" ht="22" customHeight="1" s="86">
      <c r="A19" s="111">
        <f>IF('01_인적정보'!B19="","",'01_인적정보'!A19)</f>
        <v/>
      </c>
      <c r="B19" s="111">
        <f>IF('01_인적정보'!B19="","",'01_인적정보'!B19)</f>
        <v/>
      </c>
      <c r="C19" s="112">
        <f>IF('01_인적정보'!B19="","",'01_인적정보'!C19)</f>
        <v/>
      </c>
      <c r="D19" s="112">
        <f>IF('01_인적정보'!B19="","",'01_인적정보'!E19)</f>
        <v/>
      </c>
      <c r="E19" s="113">
        <f>IF('01_인적정보'!B19="","",'01_인적정보'!H19)</f>
        <v/>
      </c>
      <c r="F19" s="114">
        <f>IF('01_인적정보'!B19="","",'07a_상반기입력'!I19)</f>
        <v/>
      </c>
      <c r="G19" s="114">
        <f>IF('01_인적정보'!B19="","",'07a_상반기입력'!J19)</f>
        <v/>
      </c>
      <c r="H19" s="115">
        <f>IFERROR(IF(AND(F19&lt;&gt;"",G19&lt;&gt;""),'02_의사결정·종합결과'!$B$67*IFERROR(CHOOSE(FIND(F19,"DCBAS"),1,2,3,4,5),0)+'02_의사결정·종합결과'!$B$68*IFERROR(CHOOSE(FIND(G19,"DCBAS"),1,2,3,4,5),0),IF(F19&lt;&gt;"",IFERROR(CHOOSE(FIND(F19,"DCBAS"),1,2,3,4,5),0),IF(G19&lt;&gt;"",IFERROR(CHOOSE(FIND(G19,"DCBAS"),1,2,3,4,5),0),""))),"")</f>
        <v/>
      </c>
      <c r="I19" s="116">
        <f>IF(H19="","",IF(H19&gt;=4.5,"S",IF(H19&gt;=3.5,"A",IF(H19&gt;=2.5,"B",IF(H19&gt;=1.5,"C","D")))))</f>
        <v/>
      </c>
      <c r="J19" s="107" t="n"/>
      <c r="K19" s="107" t="n"/>
      <c r="L19" s="107" t="n"/>
      <c r="M19" s="107" t="n"/>
      <c r="N19" s="107" t="n"/>
      <c r="O19" s="107" t="n"/>
      <c r="P19" s="117" t="n"/>
      <c r="Q19" s="107" t="n"/>
      <c r="R19" s="107" t="n"/>
      <c r="S19" s="107" t="n"/>
      <c r="T19" s="107" t="n"/>
      <c r="U19" s="107" t="n"/>
    </row>
    <row r="20" ht="22" customHeight="1" s="86">
      <c r="A20" s="111">
        <f>IF('01_인적정보'!B20="","",'01_인적정보'!A20)</f>
        <v/>
      </c>
      <c r="B20" s="111">
        <f>IF('01_인적정보'!B20="","",'01_인적정보'!B20)</f>
        <v/>
      </c>
      <c r="C20" s="112">
        <f>IF('01_인적정보'!B20="","",'01_인적정보'!C20)</f>
        <v/>
      </c>
      <c r="D20" s="112">
        <f>IF('01_인적정보'!B20="","",'01_인적정보'!E20)</f>
        <v/>
      </c>
      <c r="E20" s="113">
        <f>IF('01_인적정보'!B20="","",'01_인적정보'!H20)</f>
        <v/>
      </c>
      <c r="F20" s="114">
        <f>IF('01_인적정보'!B20="","",'07a_상반기입력'!I20)</f>
        <v/>
      </c>
      <c r="G20" s="114">
        <f>IF('01_인적정보'!B20="","",'07a_상반기입력'!J20)</f>
        <v/>
      </c>
      <c r="H20" s="115">
        <f>IFERROR(IF(AND(F20&lt;&gt;"",G20&lt;&gt;""),'02_의사결정·종합결과'!$B$67*IFERROR(CHOOSE(FIND(F20,"DCBAS"),1,2,3,4,5),0)+'02_의사결정·종합결과'!$B$68*IFERROR(CHOOSE(FIND(G20,"DCBAS"),1,2,3,4,5),0),IF(F20&lt;&gt;"",IFERROR(CHOOSE(FIND(F20,"DCBAS"),1,2,3,4,5),0),IF(G20&lt;&gt;"",IFERROR(CHOOSE(FIND(G20,"DCBAS"),1,2,3,4,5),0),""))),"")</f>
        <v/>
      </c>
      <c r="I20" s="116">
        <f>IF(H20="","",IF(H20&gt;=4.5,"S",IF(H20&gt;=3.5,"A",IF(H20&gt;=2.5,"B",IF(H20&gt;=1.5,"C","D")))))</f>
        <v/>
      </c>
      <c r="J20" s="107" t="n"/>
      <c r="K20" s="107" t="n"/>
      <c r="L20" s="107" t="n"/>
      <c r="M20" s="107" t="n"/>
      <c r="N20" s="107" t="n"/>
      <c r="O20" s="107" t="n"/>
      <c r="P20" s="117" t="n"/>
      <c r="Q20" s="107" t="n"/>
      <c r="R20" s="107" t="n"/>
      <c r="S20" s="107" t="n"/>
      <c r="T20" s="107" t="n"/>
      <c r="U20" s="107" t="n"/>
    </row>
    <row r="21" ht="22" customHeight="1" s="86">
      <c r="A21" s="111">
        <f>IF('01_인적정보'!B21="","",'01_인적정보'!A21)</f>
        <v/>
      </c>
      <c r="B21" s="111">
        <f>IF('01_인적정보'!B21="","",'01_인적정보'!B21)</f>
        <v/>
      </c>
      <c r="C21" s="112">
        <f>IF('01_인적정보'!B21="","",'01_인적정보'!C21)</f>
        <v/>
      </c>
      <c r="D21" s="112">
        <f>IF('01_인적정보'!B21="","",'01_인적정보'!E21)</f>
        <v/>
      </c>
      <c r="E21" s="113">
        <f>IF('01_인적정보'!B21="","",'01_인적정보'!H21)</f>
        <v/>
      </c>
      <c r="F21" s="114">
        <f>IF('01_인적정보'!B21="","",'07a_상반기입력'!I21)</f>
        <v/>
      </c>
      <c r="G21" s="114">
        <f>IF('01_인적정보'!B21="","",'07a_상반기입력'!J21)</f>
        <v/>
      </c>
      <c r="H21" s="115">
        <f>IFERROR(IF(AND(F21&lt;&gt;"",G21&lt;&gt;""),'02_의사결정·종합결과'!$B$67*IFERROR(CHOOSE(FIND(F21,"DCBAS"),1,2,3,4,5),0)+'02_의사결정·종합결과'!$B$68*IFERROR(CHOOSE(FIND(G21,"DCBAS"),1,2,3,4,5),0),IF(F21&lt;&gt;"",IFERROR(CHOOSE(FIND(F21,"DCBAS"),1,2,3,4,5),0),IF(G21&lt;&gt;"",IFERROR(CHOOSE(FIND(G21,"DCBAS"),1,2,3,4,5),0),""))),"")</f>
        <v/>
      </c>
      <c r="I21" s="116">
        <f>IF(H21="","",IF(H21&gt;=4.5,"S",IF(H21&gt;=3.5,"A",IF(H21&gt;=2.5,"B",IF(H21&gt;=1.5,"C","D")))))</f>
        <v/>
      </c>
      <c r="J21" s="107" t="n"/>
      <c r="K21" s="107" t="n"/>
      <c r="L21" s="107" t="n"/>
      <c r="M21" s="107" t="n"/>
      <c r="N21" s="107" t="n"/>
      <c r="O21" s="107" t="n"/>
      <c r="P21" s="117" t="n"/>
      <c r="Q21" s="107" t="n"/>
      <c r="R21" s="107" t="n"/>
      <c r="S21" s="107" t="n"/>
      <c r="T21" s="107" t="n"/>
      <c r="U21" s="107" t="n"/>
    </row>
    <row r="22" ht="22" customHeight="1" s="86">
      <c r="A22" s="111">
        <f>IF('01_인적정보'!B22="","",'01_인적정보'!A22)</f>
        <v/>
      </c>
      <c r="B22" s="111">
        <f>IF('01_인적정보'!B22="","",'01_인적정보'!B22)</f>
        <v/>
      </c>
      <c r="C22" s="112">
        <f>IF('01_인적정보'!B22="","",'01_인적정보'!C22)</f>
        <v/>
      </c>
      <c r="D22" s="112">
        <f>IF('01_인적정보'!B22="","",'01_인적정보'!E22)</f>
        <v/>
      </c>
      <c r="E22" s="113">
        <f>IF('01_인적정보'!B22="","",'01_인적정보'!H22)</f>
        <v/>
      </c>
      <c r="F22" s="114">
        <f>IF('01_인적정보'!B22="","",'07a_상반기입력'!I22)</f>
        <v/>
      </c>
      <c r="G22" s="114">
        <f>IF('01_인적정보'!B22="","",'07a_상반기입력'!J22)</f>
        <v/>
      </c>
      <c r="H22" s="115">
        <f>IFERROR(IF(AND(F22&lt;&gt;"",G22&lt;&gt;""),'02_의사결정·종합결과'!$B$67*IFERROR(CHOOSE(FIND(F22,"DCBAS"),1,2,3,4,5),0)+'02_의사결정·종합결과'!$B$68*IFERROR(CHOOSE(FIND(G22,"DCBAS"),1,2,3,4,5),0),IF(F22&lt;&gt;"",IFERROR(CHOOSE(FIND(F22,"DCBAS"),1,2,3,4,5),0),IF(G22&lt;&gt;"",IFERROR(CHOOSE(FIND(G22,"DCBAS"),1,2,3,4,5),0),""))),"")</f>
        <v/>
      </c>
      <c r="I22" s="116">
        <f>IF(H22="","",IF(H22&gt;=4.5,"S",IF(H22&gt;=3.5,"A",IF(H22&gt;=2.5,"B",IF(H22&gt;=1.5,"C","D")))))</f>
        <v/>
      </c>
      <c r="J22" s="107" t="n"/>
      <c r="K22" s="107" t="n"/>
      <c r="L22" s="107" t="n"/>
      <c r="M22" s="107" t="n"/>
      <c r="N22" s="107" t="n"/>
      <c r="O22" s="107" t="n"/>
      <c r="P22" s="117" t="n"/>
      <c r="Q22" s="107" t="n"/>
      <c r="R22" s="107" t="n"/>
      <c r="S22" s="107" t="n"/>
      <c r="T22" s="107" t="n"/>
      <c r="U22" s="107" t="n"/>
    </row>
    <row r="23" ht="22" customHeight="1" s="86">
      <c r="A23" s="111">
        <f>IF('01_인적정보'!B23="","",'01_인적정보'!A23)</f>
        <v/>
      </c>
      <c r="B23" s="111">
        <f>IF('01_인적정보'!B23="","",'01_인적정보'!B23)</f>
        <v/>
      </c>
      <c r="C23" s="112">
        <f>IF('01_인적정보'!B23="","",'01_인적정보'!C23)</f>
        <v/>
      </c>
      <c r="D23" s="112">
        <f>IF('01_인적정보'!B23="","",'01_인적정보'!E23)</f>
        <v/>
      </c>
      <c r="E23" s="113">
        <f>IF('01_인적정보'!B23="","",'01_인적정보'!H23)</f>
        <v/>
      </c>
      <c r="F23" s="114">
        <f>IF('01_인적정보'!B23="","",'07a_상반기입력'!I23)</f>
        <v/>
      </c>
      <c r="G23" s="114">
        <f>IF('01_인적정보'!B23="","",'07a_상반기입력'!J23)</f>
        <v/>
      </c>
      <c r="H23" s="115">
        <f>IFERROR(IF(AND(F23&lt;&gt;"",G23&lt;&gt;""),'02_의사결정·종합결과'!$B$67*IFERROR(CHOOSE(FIND(F23,"DCBAS"),1,2,3,4,5),0)+'02_의사결정·종합결과'!$B$68*IFERROR(CHOOSE(FIND(G23,"DCBAS"),1,2,3,4,5),0),IF(F23&lt;&gt;"",IFERROR(CHOOSE(FIND(F23,"DCBAS"),1,2,3,4,5),0),IF(G23&lt;&gt;"",IFERROR(CHOOSE(FIND(G23,"DCBAS"),1,2,3,4,5),0),""))),"")</f>
        <v/>
      </c>
      <c r="I23" s="116">
        <f>IF(H23="","",IF(H23&gt;=4.5,"S",IF(H23&gt;=3.5,"A",IF(H23&gt;=2.5,"B",IF(H23&gt;=1.5,"C","D")))))</f>
        <v/>
      </c>
      <c r="J23" s="107" t="n"/>
      <c r="K23" s="107" t="n"/>
      <c r="L23" s="107" t="n"/>
      <c r="M23" s="107" t="n"/>
      <c r="N23" s="107" t="n"/>
      <c r="O23" s="107" t="n"/>
      <c r="P23" s="117" t="n"/>
      <c r="Q23" s="107" t="n"/>
      <c r="R23" s="107" t="n"/>
      <c r="S23" s="107" t="n"/>
      <c r="T23" s="107" t="n"/>
      <c r="U23" s="107" t="n"/>
    </row>
    <row r="24" ht="22" customHeight="1" s="86">
      <c r="A24" s="111">
        <f>IF('01_인적정보'!B24="","",'01_인적정보'!A24)</f>
        <v/>
      </c>
      <c r="B24" s="111">
        <f>IF('01_인적정보'!B24="","",'01_인적정보'!B24)</f>
        <v/>
      </c>
      <c r="C24" s="112">
        <f>IF('01_인적정보'!B24="","",'01_인적정보'!C24)</f>
        <v/>
      </c>
      <c r="D24" s="112">
        <f>IF('01_인적정보'!B24="","",'01_인적정보'!E24)</f>
        <v/>
      </c>
      <c r="E24" s="113">
        <f>IF('01_인적정보'!B24="","",'01_인적정보'!H24)</f>
        <v/>
      </c>
      <c r="F24" s="114">
        <f>IF('01_인적정보'!B24="","",'07a_상반기입력'!I24)</f>
        <v/>
      </c>
      <c r="G24" s="114">
        <f>IF('01_인적정보'!B24="","",'07a_상반기입력'!J24)</f>
        <v/>
      </c>
      <c r="H24" s="115">
        <f>IFERROR(IF(AND(F24&lt;&gt;"",G24&lt;&gt;""),'02_의사결정·종합결과'!$B$67*IFERROR(CHOOSE(FIND(F24,"DCBAS"),1,2,3,4,5),0)+'02_의사결정·종합결과'!$B$68*IFERROR(CHOOSE(FIND(G24,"DCBAS"),1,2,3,4,5),0),IF(F24&lt;&gt;"",IFERROR(CHOOSE(FIND(F24,"DCBAS"),1,2,3,4,5),0),IF(G24&lt;&gt;"",IFERROR(CHOOSE(FIND(G24,"DCBAS"),1,2,3,4,5),0),""))),"")</f>
        <v/>
      </c>
      <c r="I24" s="116">
        <f>IF(H24="","",IF(H24&gt;=4.5,"S",IF(H24&gt;=3.5,"A",IF(H24&gt;=2.5,"B",IF(H24&gt;=1.5,"C","D")))))</f>
        <v/>
      </c>
      <c r="J24" s="107" t="n"/>
      <c r="K24" s="107" t="n"/>
      <c r="L24" s="107" t="n"/>
      <c r="M24" s="107" t="n"/>
      <c r="N24" s="107" t="n"/>
      <c r="O24" s="107" t="n"/>
      <c r="P24" s="117" t="n"/>
      <c r="Q24" s="107" t="n"/>
      <c r="R24" s="107" t="n"/>
      <c r="S24" s="107" t="n"/>
      <c r="T24" s="107" t="n"/>
      <c r="U24" s="107" t="n"/>
    </row>
    <row r="25" ht="22" customHeight="1" s="86">
      <c r="A25" s="111">
        <f>IF('01_인적정보'!B25="","",'01_인적정보'!A25)</f>
        <v/>
      </c>
      <c r="B25" s="111">
        <f>IF('01_인적정보'!B25="","",'01_인적정보'!B25)</f>
        <v/>
      </c>
      <c r="C25" s="112">
        <f>IF('01_인적정보'!B25="","",'01_인적정보'!C25)</f>
        <v/>
      </c>
      <c r="D25" s="112">
        <f>IF('01_인적정보'!B25="","",'01_인적정보'!E25)</f>
        <v/>
      </c>
      <c r="E25" s="113">
        <f>IF('01_인적정보'!B25="","",'01_인적정보'!H25)</f>
        <v/>
      </c>
      <c r="F25" s="114">
        <f>IF('01_인적정보'!B25="","",'07a_상반기입력'!I25)</f>
        <v/>
      </c>
      <c r="G25" s="114">
        <f>IF('01_인적정보'!B25="","",'07a_상반기입력'!J25)</f>
        <v/>
      </c>
      <c r="H25" s="115">
        <f>IFERROR(IF(AND(F25&lt;&gt;"",G25&lt;&gt;""),'02_의사결정·종합결과'!$B$67*IFERROR(CHOOSE(FIND(F25,"DCBAS"),1,2,3,4,5),0)+'02_의사결정·종합결과'!$B$68*IFERROR(CHOOSE(FIND(G25,"DCBAS"),1,2,3,4,5),0),IF(F25&lt;&gt;"",IFERROR(CHOOSE(FIND(F25,"DCBAS"),1,2,3,4,5),0),IF(G25&lt;&gt;"",IFERROR(CHOOSE(FIND(G25,"DCBAS"),1,2,3,4,5),0),""))),"")</f>
        <v/>
      </c>
      <c r="I25" s="116">
        <f>IF(H25="","",IF(H25&gt;=4.5,"S",IF(H25&gt;=3.5,"A",IF(H25&gt;=2.5,"B",IF(H25&gt;=1.5,"C","D")))))</f>
        <v/>
      </c>
      <c r="J25" s="107" t="n"/>
      <c r="K25" s="107" t="n"/>
      <c r="L25" s="107" t="n"/>
      <c r="M25" s="107" t="n"/>
      <c r="N25" s="107" t="n"/>
      <c r="O25" s="107" t="n"/>
      <c r="P25" s="117" t="n"/>
      <c r="Q25" s="107" t="n"/>
      <c r="R25" s="107" t="n"/>
      <c r="S25" s="107" t="n"/>
      <c r="T25" s="107" t="n"/>
      <c r="U25" s="107" t="n"/>
    </row>
    <row r="26" ht="22" customHeight="1" s="86">
      <c r="A26" s="111">
        <f>IF('01_인적정보'!B26="","",'01_인적정보'!A26)</f>
        <v/>
      </c>
      <c r="B26" s="111">
        <f>IF('01_인적정보'!B26="","",'01_인적정보'!B26)</f>
        <v/>
      </c>
      <c r="C26" s="112">
        <f>IF('01_인적정보'!B26="","",'01_인적정보'!C26)</f>
        <v/>
      </c>
      <c r="D26" s="112">
        <f>IF('01_인적정보'!B26="","",'01_인적정보'!E26)</f>
        <v/>
      </c>
      <c r="E26" s="113">
        <f>IF('01_인적정보'!B26="","",'01_인적정보'!H26)</f>
        <v/>
      </c>
      <c r="F26" s="114">
        <f>IF('01_인적정보'!B26="","",'07a_상반기입력'!I26)</f>
        <v/>
      </c>
      <c r="G26" s="114">
        <f>IF('01_인적정보'!B26="","",'07a_상반기입력'!J26)</f>
        <v/>
      </c>
      <c r="H26" s="115">
        <f>IFERROR(IF(AND(F26&lt;&gt;"",G26&lt;&gt;""),'02_의사결정·종합결과'!$B$67*IFERROR(CHOOSE(FIND(F26,"DCBAS"),1,2,3,4,5),0)+'02_의사결정·종합결과'!$B$68*IFERROR(CHOOSE(FIND(G26,"DCBAS"),1,2,3,4,5),0),IF(F26&lt;&gt;"",IFERROR(CHOOSE(FIND(F26,"DCBAS"),1,2,3,4,5),0),IF(G26&lt;&gt;"",IFERROR(CHOOSE(FIND(G26,"DCBAS"),1,2,3,4,5),0),""))),"")</f>
        <v/>
      </c>
      <c r="I26" s="116">
        <f>IF(H26="","",IF(H26&gt;=4.5,"S",IF(H26&gt;=3.5,"A",IF(H26&gt;=2.5,"B",IF(H26&gt;=1.5,"C","D")))))</f>
        <v/>
      </c>
      <c r="J26" s="107" t="n"/>
      <c r="K26" s="107" t="n"/>
      <c r="L26" s="107" t="n"/>
      <c r="M26" s="107" t="n"/>
      <c r="N26" s="107" t="n"/>
      <c r="O26" s="107" t="n"/>
      <c r="P26" s="117" t="n"/>
      <c r="Q26" s="107" t="n"/>
      <c r="R26" s="107" t="n"/>
      <c r="S26" s="107" t="n"/>
      <c r="T26" s="107" t="n"/>
      <c r="U26" s="107" t="n"/>
    </row>
    <row r="27" ht="22" customHeight="1" s="86">
      <c r="A27" s="111">
        <f>IF('01_인적정보'!B27="","",'01_인적정보'!A27)</f>
        <v/>
      </c>
      <c r="B27" s="111">
        <f>IF('01_인적정보'!B27="","",'01_인적정보'!B27)</f>
        <v/>
      </c>
      <c r="C27" s="112">
        <f>IF('01_인적정보'!B27="","",'01_인적정보'!C27)</f>
        <v/>
      </c>
      <c r="D27" s="112">
        <f>IF('01_인적정보'!B27="","",'01_인적정보'!E27)</f>
        <v/>
      </c>
      <c r="E27" s="113">
        <f>IF('01_인적정보'!B27="","",'01_인적정보'!H27)</f>
        <v/>
      </c>
      <c r="F27" s="114">
        <f>IF('01_인적정보'!B27="","",'07a_상반기입력'!I27)</f>
        <v/>
      </c>
      <c r="G27" s="114">
        <f>IF('01_인적정보'!B27="","",'07a_상반기입력'!J27)</f>
        <v/>
      </c>
      <c r="H27" s="115">
        <f>IFERROR(IF(AND(F27&lt;&gt;"",G27&lt;&gt;""),'02_의사결정·종합결과'!$B$67*IFERROR(CHOOSE(FIND(F27,"DCBAS"),1,2,3,4,5),0)+'02_의사결정·종합결과'!$B$68*IFERROR(CHOOSE(FIND(G27,"DCBAS"),1,2,3,4,5),0),IF(F27&lt;&gt;"",IFERROR(CHOOSE(FIND(F27,"DCBAS"),1,2,3,4,5),0),IF(G27&lt;&gt;"",IFERROR(CHOOSE(FIND(G27,"DCBAS"),1,2,3,4,5),0),""))),"")</f>
        <v/>
      </c>
      <c r="I27" s="116">
        <f>IF(H27="","",IF(H27&gt;=4.5,"S",IF(H27&gt;=3.5,"A",IF(H27&gt;=2.5,"B",IF(H27&gt;=1.5,"C","D")))))</f>
        <v/>
      </c>
      <c r="J27" s="107" t="n"/>
      <c r="K27" s="107" t="n"/>
      <c r="L27" s="107" t="n"/>
      <c r="M27" s="107" t="n"/>
      <c r="N27" s="107" t="n"/>
      <c r="O27" s="107" t="n"/>
      <c r="P27" s="117" t="n"/>
      <c r="Q27" s="107" t="n"/>
      <c r="R27" s="107" t="n"/>
      <c r="S27" s="107" t="n"/>
      <c r="T27" s="107" t="n"/>
      <c r="U27" s="107" t="n"/>
    </row>
    <row r="28" ht="22" customHeight="1" s="86">
      <c r="A28" s="111">
        <f>IF('01_인적정보'!B28="","",'01_인적정보'!A28)</f>
        <v/>
      </c>
      <c r="B28" s="111">
        <f>IF('01_인적정보'!B28="","",'01_인적정보'!B28)</f>
        <v/>
      </c>
      <c r="C28" s="112">
        <f>IF('01_인적정보'!B28="","",'01_인적정보'!C28)</f>
        <v/>
      </c>
      <c r="D28" s="112">
        <f>IF('01_인적정보'!B28="","",'01_인적정보'!E28)</f>
        <v/>
      </c>
      <c r="E28" s="113">
        <f>IF('01_인적정보'!B28="","",'01_인적정보'!H28)</f>
        <v/>
      </c>
      <c r="F28" s="114">
        <f>IF('01_인적정보'!B28="","",'07a_상반기입력'!I28)</f>
        <v/>
      </c>
      <c r="G28" s="114">
        <f>IF('01_인적정보'!B28="","",'07a_상반기입력'!J28)</f>
        <v/>
      </c>
      <c r="H28" s="115">
        <f>IFERROR(IF(AND(F28&lt;&gt;"",G28&lt;&gt;""),'02_의사결정·종합결과'!$B$67*IFERROR(CHOOSE(FIND(F28,"DCBAS"),1,2,3,4,5),0)+'02_의사결정·종합결과'!$B$68*IFERROR(CHOOSE(FIND(G28,"DCBAS"),1,2,3,4,5),0),IF(F28&lt;&gt;"",IFERROR(CHOOSE(FIND(F28,"DCBAS"),1,2,3,4,5),0),IF(G28&lt;&gt;"",IFERROR(CHOOSE(FIND(G28,"DCBAS"),1,2,3,4,5),0),""))),"")</f>
        <v/>
      </c>
      <c r="I28" s="116">
        <f>IF(H28="","",IF(H28&gt;=4.5,"S",IF(H28&gt;=3.5,"A",IF(H28&gt;=2.5,"B",IF(H28&gt;=1.5,"C","D")))))</f>
        <v/>
      </c>
      <c r="J28" s="107" t="n"/>
      <c r="K28" s="107" t="n"/>
      <c r="L28" s="107" t="n"/>
      <c r="M28" s="107" t="n"/>
      <c r="N28" s="107" t="n"/>
      <c r="O28" s="107" t="n"/>
      <c r="P28" s="117" t="n"/>
      <c r="Q28" s="107" t="n"/>
      <c r="R28" s="107" t="n"/>
      <c r="S28" s="107" t="n"/>
      <c r="T28" s="107" t="n"/>
      <c r="U28" s="107" t="n"/>
    </row>
    <row r="29" ht="22" customHeight="1" s="86">
      <c r="A29" s="111">
        <f>IF('01_인적정보'!B29="","",'01_인적정보'!A29)</f>
        <v/>
      </c>
      <c r="B29" s="111">
        <f>IF('01_인적정보'!B29="","",'01_인적정보'!B29)</f>
        <v/>
      </c>
      <c r="C29" s="112">
        <f>IF('01_인적정보'!B29="","",'01_인적정보'!C29)</f>
        <v/>
      </c>
      <c r="D29" s="112">
        <f>IF('01_인적정보'!B29="","",'01_인적정보'!E29)</f>
        <v/>
      </c>
      <c r="E29" s="113">
        <f>IF('01_인적정보'!B29="","",'01_인적정보'!H29)</f>
        <v/>
      </c>
      <c r="F29" s="114">
        <f>IF('01_인적정보'!B29="","",'07a_상반기입력'!I29)</f>
        <v/>
      </c>
      <c r="G29" s="114">
        <f>IF('01_인적정보'!B29="","",'07a_상반기입력'!J29)</f>
        <v/>
      </c>
      <c r="H29" s="115">
        <f>IFERROR(IF(AND(F29&lt;&gt;"",G29&lt;&gt;""),'02_의사결정·종합결과'!$B$67*IFERROR(CHOOSE(FIND(F29,"DCBAS"),1,2,3,4,5),0)+'02_의사결정·종합결과'!$B$68*IFERROR(CHOOSE(FIND(G29,"DCBAS"),1,2,3,4,5),0),IF(F29&lt;&gt;"",IFERROR(CHOOSE(FIND(F29,"DCBAS"),1,2,3,4,5),0),IF(G29&lt;&gt;"",IFERROR(CHOOSE(FIND(G29,"DCBAS"),1,2,3,4,5),0),""))),"")</f>
        <v/>
      </c>
      <c r="I29" s="116">
        <f>IF(H29="","",IF(H29&gt;=4.5,"S",IF(H29&gt;=3.5,"A",IF(H29&gt;=2.5,"B",IF(H29&gt;=1.5,"C","D")))))</f>
        <v/>
      </c>
      <c r="J29" s="107" t="n"/>
      <c r="K29" s="107" t="n"/>
      <c r="L29" s="107" t="n"/>
      <c r="M29" s="107" t="n"/>
      <c r="N29" s="107" t="n"/>
      <c r="O29" s="107" t="n"/>
      <c r="P29" s="117" t="n"/>
      <c r="Q29" s="107" t="n"/>
      <c r="R29" s="107" t="n"/>
      <c r="S29" s="107" t="n"/>
      <c r="T29" s="107" t="n"/>
      <c r="U29" s="107" t="n"/>
    </row>
    <row r="30" ht="22" customHeight="1" s="86">
      <c r="A30" s="111">
        <f>IF('01_인적정보'!B30="","",'01_인적정보'!A30)</f>
        <v/>
      </c>
      <c r="B30" s="111">
        <f>IF('01_인적정보'!B30="","",'01_인적정보'!B30)</f>
        <v/>
      </c>
      <c r="C30" s="112">
        <f>IF('01_인적정보'!B30="","",'01_인적정보'!C30)</f>
        <v/>
      </c>
      <c r="D30" s="112">
        <f>IF('01_인적정보'!B30="","",'01_인적정보'!E30)</f>
        <v/>
      </c>
      <c r="E30" s="113">
        <f>IF('01_인적정보'!B30="","",'01_인적정보'!H30)</f>
        <v/>
      </c>
      <c r="F30" s="114">
        <f>IF('01_인적정보'!B30="","",'07a_상반기입력'!I30)</f>
        <v/>
      </c>
      <c r="G30" s="114">
        <f>IF('01_인적정보'!B30="","",'07a_상반기입력'!J30)</f>
        <v/>
      </c>
      <c r="H30" s="115">
        <f>IFERROR(IF(AND(F30&lt;&gt;"",G30&lt;&gt;""),'02_의사결정·종합결과'!$B$67*IFERROR(CHOOSE(FIND(F30,"DCBAS"),1,2,3,4,5),0)+'02_의사결정·종합결과'!$B$68*IFERROR(CHOOSE(FIND(G30,"DCBAS"),1,2,3,4,5),0),IF(F30&lt;&gt;"",IFERROR(CHOOSE(FIND(F30,"DCBAS"),1,2,3,4,5),0),IF(G30&lt;&gt;"",IFERROR(CHOOSE(FIND(G30,"DCBAS"),1,2,3,4,5),0),""))),"")</f>
        <v/>
      </c>
      <c r="I30" s="116">
        <f>IF(H30="","",IF(H30&gt;=4.5,"S",IF(H30&gt;=3.5,"A",IF(H30&gt;=2.5,"B",IF(H30&gt;=1.5,"C","D")))))</f>
        <v/>
      </c>
      <c r="J30" s="107" t="n"/>
      <c r="K30" s="107" t="n"/>
      <c r="L30" s="107" t="n"/>
      <c r="M30" s="107" t="n"/>
      <c r="N30" s="107" t="n"/>
      <c r="O30" s="107" t="n"/>
      <c r="P30" s="117" t="n"/>
      <c r="Q30" s="107" t="n"/>
      <c r="R30" s="107" t="n"/>
      <c r="S30" s="107" t="n"/>
      <c r="T30" s="107" t="n"/>
      <c r="U30" s="107" t="n"/>
    </row>
    <row r="31" ht="22" customHeight="1" s="86">
      <c r="A31" s="111">
        <f>IF('01_인적정보'!B31="","",'01_인적정보'!A31)</f>
        <v/>
      </c>
      <c r="B31" s="111">
        <f>IF('01_인적정보'!B31="","",'01_인적정보'!B31)</f>
        <v/>
      </c>
      <c r="C31" s="112">
        <f>IF('01_인적정보'!B31="","",'01_인적정보'!C31)</f>
        <v/>
      </c>
      <c r="D31" s="112">
        <f>IF('01_인적정보'!B31="","",'01_인적정보'!E31)</f>
        <v/>
      </c>
      <c r="E31" s="113">
        <f>IF('01_인적정보'!B31="","",'01_인적정보'!H31)</f>
        <v/>
      </c>
      <c r="F31" s="114">
        <f>IF('01_인적정보'!B31="","",'07a_상반기입력'!I31)</f>
        <v/>
      </c>
      <c r="G31" s="114">
        <f>IF('01_인적정보'!B31="","",'07a_상반기입력'!J31)</f>
        <v/>
      </c>
      <c r="H31" s="115">
        <f>IFERROR(IF(AND(F31&lt;&gt;"",G31&lt;&gt;""),'02_의사결정·종합결과'!$B$67*IFERROR(CHOOSE(FIND(F31,"DCBAS"),1,2,3,4,5),0)+'02_의사결정·종합결과'!$B$68*IFERROR(CHOOSE(FIND(G31,"DCBAS"),1,2,3,4,5),0),IF(F31&lt;&gt;"",IFERROR(CHOOSE(FIND(F31,"DCBAS"),1,2,3,4,5),0),IF(G31&lt;&gt;"",IFERROR(CHOOSE(FIND(G31,"DCBAS"),1,2,3,4,5),0),""))),"")</f>
        <v/>
      </c>
      <c r="I31" s="116">
        <f>IF(H31="","",IF(H31&gt;=4.5,"S",IF(H31&gt;=3.5,"A",IF(H31&gt;=2.5,"B",IF(H31&gt;=1.5,"C","D")))))</f>
        <v/>
      </c>
      <c r="J31" s="107" t="n"/>
      <c r="K31" s="107" t="n"/>
      <c r="L31" s="107" t="n"/>
      <c r="M31" s="107" t="n"/>
      <c r="N31" s="107" t="n"/>
      <c r="O31" s="107" t="n"/>
      <c r="P31" s="117" t="n"/>
      <c r="Q31" s="107" t="n"/>
      <c r="R31" s="107" t="n"/>
      <c r="S31" s="107" t="n"/>
      <c r="T31" s="107" t="n"/>
      <c r="U31" s="107" t="n"/>
    </row>
    <row r="32" ht="22" customHeight="1" s="86">
      <c r="A32" s="111">
        <f>IF('01_인적정보'!B32="","",'01_인적정보'!A32)</f>
        <v/>
      </c>
      <c r="B32" s="111">
        <f>IF('01_인적정보'!B32="","",'01_인적정보'!B32)</f>
        <v/>
      </c>
      <c r="C32" s="112">
        <f>IF('01_인적정보'!B32="","",'01_인적정보'!C32)</f>
        <v/>
      </c>
      <c r="D32" s="112">
        <f>IF('01_인적정보'!B32="","",'01_인적정보'!E32)</f>
        <v/>
      </c>
      <c r="E32" s="113">
        <f>IF('01_인적정보'!B32="","",'01_인적정보'!H32)</f>
        <v/>
      </c>
      <c r="F32" s="114">
        <f>IF('01_인적정보'!B32="","",'07a_상반기입력'!I32)</f>
        <v/>
      </c>
      <c r="G32" s="114">
        <f>IF('01_인적정보'!B32="","",'07a_상반기입력'!J32)</f>
        <v/>
      </c>
      <c r="H32" s="115">
        <f>IFERROR(IF(AND(F32&lt;&gt;"",G32&lt;&gt;""),'02_의사결정·종합결과'!$B$67*IFERROR(CHOOSE(FIND(F32,"DCBAS"),1,2,3,4,5),0)+'02_의사결정·종합결과'!$B$68*IFERROR(CHOOSE(FIND(G32,"DCBAS"),1,2,3,4,5),0),IF(F32&lt;&gt;"",IFERROR(CHOOSE(FIND(F32,"DCBAS"),1,2,3,4,5),0),IF(G32&lt;&gt;"",IFERROR(CHOOSE(FIND(G32,"DCBAS"),1,2,3,4,5),0),""))),"")</f>
        <v/>
      </c>
      <c r="I32" s="116">
        <f>IF(H32="","",IF(H32&gt;=4.5,"S",IF(H32&gt;=3.5,"A",IF(H32&gt;=2.5,"B",IF(H32&gt;=1.5,"C","D")))))</f>
        <v/>
      </c>
      <c r="J32" s="107" t="n"/>
      <c r="K32" s="107" t="n"/>
      <c r="L32" s="107" t="n"/>
      <c r="M32" s="107" t="n"/>
      <c r="N32" s="107" t="n"/>
      <c r="O32" s="107" t="n"/>
      <c r="P32" s="117" t="n"/>
      <c r="Q32" s="107" t="n"/>
      <c r="R32" s="107" t="n"/>
      <c r="S32" s="107" t="n"/>
      <c r="T32" s="107" t="n"/>
      <c r="U32" s="107" t="n"/>
    </row>
    <row r="33" ht="22" customHeight="1" s="86">
      <c r="A33" s="111">
        <f>IF('01_인적정보'!B33="","",'01_인적정보'!A33)</f>
        <v/>
      </c>
      <c r="B33" s="111">
        <f>IF('01_인적정보'!B33="","",'01_인적정보'!B33)</f>
        <v/>
      </c>
      <c r="C33" s="112">
        <f>IF('01_인적정보'!B33="","",'01_인적정보'!C33)</f>
        <v/>
      </c>
      <c r="D33" s="112">
        <f>IF('01_인적정보'!B33="","",'01_인적정보'!E33)</f>
        <v/>
      </c>
      <c r="E33" s="113">
        <f>IF('01_인적정보'!B33="","",'01_인적정보'!H33)</f>
        <v/>
      </c>
      <c r="F33" s="114">
        <f>IF('01_인적정보'!B33="","",'07a_상반기입력'!I33)</f>
        <v/>
      </c>
      <c r="G33" s="114">
        <f>IF('01_인적정보'!B33="","",'07a_상반기입력'!J33)</f>
        <v/>
      </c>
      <c r="H33" s="115">
        <f>IFERROR(IF(AND(F33&lt;&gt;"",G33&lt;&gt;""),'02_의사결정·종합결과'!$B$67*IFERROR(CHOOSE(FIND(F33,"DCBAS"),1,2,3,4,5),0)+'02_의사결정·종합결과'!$B$68*IFERROR(CHOOSE(FIND(G33,"DCBAS"),1,2,3,4,5),0),IF(F33&lt;&gt;"",IFERROR(CHOOSE(FIND(F33,"DCBAS"),1,2,3,4,5),0),IF(G33&lt;&gt;"",IFERROR(CHOOSE(FIND(G33,"DCBAS"),1,2,3,4,5),0),""))),"")</f>
        <v/>
      </c>
      <c r="I33" s="116">
        <f>IF(H33="","",IF(H33&gt;=4.5,"S",IF(H33&gt;=3.5,"A",IF(H33&gt;=2.5,"B",IF(H33&gt;=1.5,"C","D")))))</f>
        <v/>
      </c>
      <c r="J33" s="107" t="n"/>
      <c r="K33" s="107" t="n"/>
      <c r="L33" s="107" t="n"/>
      <c r="M33" s="107" t="n"/>
      <c r="N33" s="107" t="n"/>
      <c r="O33" s="107" t="n"/>
      <c r="P33" s="117" t="n"/>
      <c r="Q33" s="107" t="n"/>
      <c r="R33" s="107" t="n"/>
      <c r="S33" s="107" t="n"/>
      <c r="T33" s="107" t="n"/>
      <c r="U33" s="107" t="n"/>
    </row>
    <row r="34" ht="22" customHeight="1" s="86">
      <c r="A34" s="111">
        <f>IF('01_인적정보'!B34="","",'01_인적정보'!A34)</f>
        <v/>
      </c>
      <c r="B34" s="111">
        <f>IF('01_인적정보'!B34="","",'01_인적정보'!B34)</f>
        <v/>
      </c>
      <c r="C34" s="112">
        <f>IF('01_인적정보'!B34="","",'01_인적정보'!C34)</f>
        <v/>
      </c>
      <c r="D34" s="112">
        <f>IF('01_인적정보'!B34="","",'01_인적정보'!E34)</f>
        <v/>
      </c>
      <c r="E34" s="113">
        <f>IF('01_인적정보'!B34="","",'01_인적정보'!H34)</f>
        <v/>
      </c>
      <c r="F34" s="114">
        <f>IF('01_인적정보'!B34="","",'07a_상반기입력'!I34)</f>
        <v/>
      </c>
      <c r="G34" s="114">
        <f>IF('01_인적정보'!B34="","",'07a_상반기입력'!J34)</f>
        <v/>
      </c>
      <c r="H34" s="115">
        <f>IFERROR(IF(AND(F34&lt;&gt;"",G34&lt;&gt;""),'02_의사결정·종합결과'!$B$67*IFERROR(CHOOSE(FIND(F34,"DCBAS"),1,2,3,4,5),0)+'02_의사결정·종합결과'!$B$68*IFERROR(CHOOSE(FIND(G34,"DCBAS"),1,2,3,4,5),0),IF(F34&lt;&gt;"",IFERROR(CHOOSE(FIND(F34,"DCBAS"),1,2,3,4,5),0),IF(G34&lt;&gt;"",IFERROR(CHOOSE(FIND(G34,"DCBAS"),1,2,3,4,5),0),""))),"")</f>
        <v/>
      </c>
      <c r="I34" s="116">
        <f>IF(H34="","",IF(H34&gt;=4.5,"S",IF(H34&gt;=3.5,"A",IF(H34&gt;=2.5,"B",IF(H34&gt;=1.5,"C","D")))))</f>
        <v/>
      </c>
      <c r="J34" s="107" t="n"/>
      <c r="K34" s="107" t="n"/>
      <c r="L34" s="107" t="n"/>
      <c r="M34" s="107" t="n"/>
      <c r="N34" s="107" t="n"/>
      <c r="O34" s="107" t="n"/>
      <c r="P34" s="117" t="n"/>
      <c r="Q34" s="107" t="n"/>
      <c r="R34" s="107" t="n"/>
      <c r="S34" s="107" t="n"/>
      <c r="T34" s="107" t="n"/>
      <c r="U34" s="107" t="n"/>
    </row>
    <row r="35" ht="22" customHeight="1" s="86">
      <c r="A35" s="111">
        <f>IF('01_인적정보'!B35="","",'01_인적정보'!A35)</f>
        <v/>
      </c>
      <c r="B35" s="111">
        <f>IF('01_인적정보'!B35="","",'01_인적정보'!B35)</f>
        <v/>
      </c>
      <c r="C35" s="112">
        <f>IF('01_인적정보'!B35="","",'01_인적정보'!C35)</f>
        <v/>
      </c>
      <c r="D35" s="112">
        <f>IF('01_인적정보'!B35="","",'01_인적정보'!E35)</f>
        <v/>
      </c>
      <c r="E35" s="113">
        <f>IF('01_인적정보'!B35="","",'01_인적정보'!H35)</f>
        <v/>
      </c>
      <c r="F35" s="114">
        <f>IF('01_인적정보'!B35="","",'07a_상반기입력'!I35)</f>
        <v/>
      </c>
      <c r="G35" s="114">
        <f>IF('01_인적정보'!B35="","",'07a_상반기입력'!J35)</f>
        <v/>
      </c>
      <c r="H35" s="115">
        <f>IFERROR(IF(AND(F35&lt;&gt;"",G35&lt;&gt;""),'02_의사결정·종합결과'!$B$67*IFERROR(CHOOSE(FIND(F35,"DCBAS"),1,2,3,4,5),0)+'02_의사결정·종합결과'!$B$68*IFERROR(CHOOSE(FIND(G35,"DCBAS"),1,2,3,4,5),0),IF(F35&lt;&gt;"",IFERROR(CHOOSE(FIND(F35,"DCBAS"),1,2,3,4,5),0),IF(G35&lt;&gt;"",IFERROR(CHOOSE(FIND(G35,"DCBAS"),1,2,3,4,5),0),""))),"")</f>
        <v/>
      </c>
      <c r="I35" s="116">
        <f>IF(H35="","",IF(H35&gt;=4.5,"S",IF(H35&gt;=3.5,"A",IF(H35&gt;=2.5,"B",IF(H35&gt;=1.5,"C","D")))))</f>
        <v/>
      </c>
      <c r="J35" s="107" t="n"/>
      <c r="K35" s="107" t="n"/>
      <c r="L35" s="107" t="n"/>
      <c r="M35" s="107" t="n"/>
      <c r="N35" s="107" t="n"/>
      <c r="O35" s="107" t="n"/>
      <c r="P35" s="117" t="n"/>
      <c r="Q35" s="107" t="n"/>
      <c r="R35" s="107" t="n"/>
      <c r="S35" s="107" t="n"/>
      <c r="T35" s="107" t="n"/>
      <c r="U35" s="107" t="n"/>
    </row>
    <row r="36" ht="22" customHeight="1" s="86">
      <c r="A36" s="111">
        <f>IF('01_인적정보'!B36="","",'01_인적정보'!A36)</f>
        <v/>
      </c>
      <c r="B36" s="111">
        <f>IF('01_인적정보'!B36="","",'01_인적정보'!B36)</f>
        <v/>
      </c>
      <c r="C36" s="112">
        <f>IF('01_인적정보'!B36="","",'01_인적정보'!C36)</f>
        <v/>
      </c>
      <c r="D36" s="112">
        <f>IF('01_인적정보'!B36="","",'01_인적정보'!E36)</f>
        <v/>
      </c>
      <c r="E36" s="113">
        <f>IF('01_인적정보'!B36="","",'01_인적정보'!H36)</f>
        <v/>
      </c>
      <c r="F36" s="114">
        <f>IF('01_인적정보'!B36="","",'07a_상반기입력'!I36)</f>
        <v/>
      </c>
      <c r="G36" s="114">
        <f>IF('01_인적정보'!B36="","",'07a_상반기입력'!J36)</f>
        <v/>
      </c>
      <c r="H36" s="115">
        <f>IFERROR(IF(AND(F36&lt;&gt;"",G36&lt;&gt;""),'02_의사결정·종합결과'!$B$67*IFERROR(CHOOSE(FIND(F36,"DCBAS"),1,2,3,4,5),0)+'02_의사결정·종합결과'!$B$68*IFERROR(CHOOSE(FIND(G36,"DCBAS"),1,2,3,4,5),0),IF(F36&lt;&gt;"",IFERROR(CHOOSE(FIND(F36,"DCBAS"),1,2,3,4,5),0),IF(G36&lt;&gt;"",IFERROR(CHOOSE(FIND(G36,"DCBAS"),1,2,3,4,5),0),""))),"")</f>
        <v/>
      </c>
      <c r="I36" s="116">
        <f>IF(H36="","",IF(H36&gt;=4.5,"S",IF(H36&gt;=3.5,"A",IF(H36&gt;=2.5,"B",IF(H36&gt;=1.5,"C","D")))))</f>
        <v/>
      </c>
      <c r="J36" s="107" t="n"/>
      <c r="K36" s="107" t="n"/>
      <c r="L36" s="107" t="n"/>
      <c r="M36" s="107" t="n"/>
      <c r="N36" s="107" t="n"/>
      <c r="O36" s="107" t="n"/>
      <c r="P36" s="117" t="n"/>
      <c r="Q36" s="107" t="n"/>
      <c r="R36" s="107" t="n"/>
      <c r="S36" s="107" t="n"/>
      <c r="T36" s="107" t="n"/>
      <c r="U36" s="107" t="n"/>
    </row>
    <row r="37" ht="22" customHeight="1" s="86">
      <c r="A37" s="111">
        <f>IF('01_인적정보'!B37="","",'01_인적정보'!A37)</f>
        <v/>
      </c>
      <c r="B37" s="111">
        <f>IF('01_인적정보'!B37="","",'01_인적정보'!B37)</f>
        <v/>
      </c>
      <c r="C37" s="112">
        <f>IF('01_인적정보'!B37="","",'01_인적정보'!C37)</f>
        <v/>
      </c>
      <c r="D37" s="112">
        <f>IF('01_인적정보'!B37="","",'01_인적정보'!E37)</f>
        <v/>
      </c>
      <c r="E37" s="113">
        <f>IF('01_인적정보'!B37="","",'01_인적정보'!H37)</f>
        <v/>
      </c>
      <c r="F37" s="114">
        <f>IF('01_인적정보'!B37="","",'07a_상반기입력'!I37)</f>
        <v/>
      </c>
      <c r="G37" s="114">
        <f>IF('01_인적정보'!B37="","",'07a_상반기입력'!J37)</f>
        <v/>
      </c>
      <c r="H37" s="115">
        <f>IFERROR(IF(AND(F37&lt;&gt;"",G37&lt;&gt;""),'02_의사결정·종합결과'!$B$67*IFERROR(CHOOSE(FIND(F37,"DCBAS"),1,2,3,4,5),0)+'02_의사결정·종합결과'!$B$68*IFERROR(CHOOSE(FIND(G37,"DCBAS"),1,2,3,4,5),0),IF(F37&lt;&gt;"",IFERROR(CHOOSE(FIND(F37,"DCBAS"),1,2,3,4,5),0),IF(G37&lt;&gt;"",IFERROR(CHOOSE(FIND(G37,"DCBAS"),1,2,3,4,5),0),""))),"")</f>
        <v/>
      </c>
      <c r="I37" s="116">
        <f>IF(H37="","",IF(H37&gt;=4.5,"S",IF(H37&gt;=3.5,"A",IF(H37&gt;=2.5,"B",IF(H37&gt;=1.5,"C","D")))))</f>
        <v/>
      </c>
      <c r="J37" s="107" t="n"/>
      <c r="K37" s="107" t="n"/>
      <c r="L37" s="107" t="n"/>
      <c r="M37" s="107" t="n"/>
      <c r="N37" s="107" t="n"/>
      <c r="O37" s="107" t="n"/>
      <c r="P37" s="117" t="n"/>
      <c r="Q37" s="107" t="n"/>
      <c r="R37" s="107" t="n"/>
      <c r="S37" s="107" t="n"/>
      <c r="T37" s="107" t="n"/>
      <c r="U37" s="107" t="n"/>
    </row>
    <row r="38" ht="22" customHeight="1" s="86">
      <c r="A38" s="111">
        <f>IF('01_인적정보'!B38="","",'01_인적정보'!A38)</f>
        <v/>
      </c>
      <c r="B38" s="111">
        <f>IF('01_인적정보'!B38="","",'01_인적정보'!B38)</f>
        <v/>
      </c>
      <c r="C38" s="112">
        <f>IF('01_인적정보'!B38="","",'01_인적정보'!C38)</f>
        <v/>
      </c>
      <c r="D38" s="112">
        <f>IF('01_인적정보'!B38="","",'01_인적정보'!E38)</f>
        <v/>
      </c>
      <c r="E38" s="113">
        <f>IF('01_인적정보'!B38="","",'01_인적정보'!H38)</f>
        <v/>
      </c>
      <c r="F38" s="114">
        <f>IF('01_인적정보'!B38="","",'07a_상반기입력'!I38)</f>
        <v/>
      </c>
      <c r="G38" s="114">
        <f>IF('01_인적정보'!B38="","",'07a_상반기입력'!J38)</f>
        <v/>
      </c>
      <c r="H38" s="115">
        <f>IFERROR(IF(AND(F38&lt;&gt;"",G38&lt;&gt;""),'02_의사결정·종합결과'!$B$67*IFERROR(CHOOSE(FIND(F38,"DCBAS"),1,2,3,4,5),0)+'02_의사결정·종합결과'!$B$68*IFERROR(CHOOSE(FIND(G38,"DCBAS"),1,2,3,4,5),0),IF(F38&lt;&gt;"",IFERROR(CHOOSE(FIND(F38,"DCBAS"),1,2,3,4,5),0),IF(G38&lt;&gt;"",IFERROR(CHOOSE(FIND(G38,"DCBAS"),1,2,3,4,5),0),""))),"")</f>
        <v/>
      </c>
      <c r="I38" s="116">
        <f>IF(H38="","",IF(H38&gt;=4.5,"S",IF(H38&gt;=3.5,"A",IF(H38&gt;=2.5,"B",IF(H38&gt;=1.5,"C","D")))))</f>
        <v/>
      </c>
      <c r="J38" s="107" t="n"/>
      <c r="K38" s="107" t="n"/>
      <c r="L38" s="107" t="n"/>
      <c r="M38" s="107" t="n"/>
      <c r="N38" s="107" t="n"/>
      <c r="O38" s="107" t="n"/>
      <c r="P38" s="117" t="n"/>
      <c r="Q38" s="107" t="n"/>
      <c r="R38" s="107" t="n"/>
      <c r="S38" s="107" t="n"/>
      <c r="T38" s="107" t="n"/>
      <c r="U38" s="107" t="n"/>
    </row>
    <row r="39" ht="22" customHeight="1" s="86">
      <c r="A39" s="111">
        <f>IF('01_인적정보'!B39="","",'01_인적정보'!A39)</f>
        <v/>
      </c>
      <c r="B39" s="111">
        <f>IF('01_인적정보'!B39="","",'01_인적정보'!B39)</f>
        <v/>
      </c>
      <c r="C39" s="112">
        <f>IF('01_인적정보'!B39="","",'01_인적정보'!C39)</f>
        <v/>
      </c>
      <c r="D39" s="112">
        <f>IF('01_인적정보'!B39="","",'01_인적정보'!E39)</f>
        <v/>
      </c>
      <c r="E39" s="113">
        <f>IF('01_인적정보'!B39="","",'01_인적정보'!H39)</f>
        <v/>
      </c>
      <c r="F39" s="114">
        <f>IF('01_인적정보'!B39="","",'07a_상반기입력'!I39)</f>
        <v/>
      </c>
      <c r="G39" s="114">
        <f>IF('01_인적정보'!B39="","",'07a_상반기입력'!J39)</f>
        <v/>
      </c>
      <c r="H39" s="115">
        <f>IFERROR(IF(AND(F39&lt;&gt;"",G39&lt;&gt;""),'02_의사결정·종합결과'!$B$67*IFERROR(CHOOSE(FIND(F39,"DCBAS"),1,2,3,4,5),0)+'02_의사결정·종합결과'!$B$68*IFERROR(CHOOSE(FIND(G39,"DCBAS"),1,2,3,4,5),0),IF(F39&lt;&gt;"",IFERROR(CHOOSE(FIND(F39,"DCBAS"),1,2,3,4,5),0),IF(G39&lt;&gt;"",IFERROR(CHOOSE(FIND(G39,"DCBAS"),1,2,3,4,5),0),""))),"")</f>
        <v/>
      </c>
      <c r="I39" s="116">
        <f>IF(H39="","",IF(H39&gt;=4.5,"S",IF(H39&gt;=3.5,"A",IF(H39&gt;=2.5,"B",IF(H39&gt;=1.5,"C","D")))))</f>
        <v/>
      </c>
      <c r="J39" s="107" t="n"/>
      <c r="K39" s="107" t="n"/>
      <c r="L39" s="107" t="n"/>
      <c r="M39" s="107" t="n"/>
      <c r="N39" s="107" t="n"/>
      <c r="O39" s="107" t="n"/>
      <c r="P39" s="117" t="n"/>
      <c r="Q39" s="107" t="n"/>
      <c r="R39" s="107" t="n"/>
      <c r="S39" s="107" t="n"/>
      <c r="T39" s="107" t="n"/>
      <c r="U39" s="107" t="n"/>
    </row>
    <row r="40" ht="22" customHeight="1" s="86">
      <c r="A40" s="111">
        <f>IF('01_인적정보'!B40="","",'01_인적정보'!A40)</f>
        <v/>
      </c>
      <c r="B40" s="111">
        <f>IF('01_인적정보'!B40="","",'01_인적정보'!B40)</f>
        <v/>
      </c>
      <c r="C40" s="112">
        <f>IF('01_인적정보'!B40="","",'01_인적정보'!C40)</f>
        <v/>
      </c>
      <c r="D40" s="112">
        <f>IF('01_인적정보'!B40="","",'01_인적정보'!E40)</f>
        <v/>
      </c>
      <c r="E40" s="113">
        <f>IF('01_인적정보'!B40="","",'01_인적정보'!H40)</f>
        <v/>
      </c>
      <c r="F40" s="114">
        <f>IF('01_인적정보'!B40="","",'07a_상반기입력'!I40)</f>
        <v/>
      </c>
      <c r="G40" s="114">
        <f>IF('01_인적정보'!B40="","",'07a_상반기입력'!J40)</f>
        <v/>
      </c>
      <c r="H40" s="115">
        <f>IFERROR(IF(AND(F40&lt;&gt;"",G40&lt;&gt;""),'02_의사결정·종합결과'!$B$67*IFERROR(CHOOSE(FIND(F40,"DCBAS"),1,2,3,4,5),0)+'02_의사결정·종합결과'!$B$68*IFERROR(CHOOSE(FIND(G40,"DCBAS"),1,2,3,4,5),0),IF(F40&lt;&gt;"",IFERROR(CHOOSE(FIND(F40,"DCBAS"),1,2,3,4,5),0),IF(G40&lt;&gt;"",IFERROR(CHOOSE(FIND(G40,"DCBAS"),1,2,3,4,5),0),""))),"")</f>
        <v/>
      </c>
      <c r="I40" s="116">
        <f>IF(H40="","",IF(H40&gt;=4.5,"S",IF(H40&gt;=3.5,"A",IF(H40&gt;=2.5,"B",IF(H40&gt;=1.5,"C","D")))))</f>
        <v/>
      </c>
      <c r="J40" s="107" t="n"/>
      <c r="K40" s="107" t="n"/>
      <c r="L40" s="107" t="n"/>
      <c r="M40" s="107" t="n"/>
      <c r="N40" s="107" t="n"/>
      <c r="O40" s="107" t="n"/>
      <c r="P40" s="107" t="n"/>
      <c r="Q40" s="107" t="n"/>
      <c r="R40" s="107" t="n"/>
      <c r="S40" s="107" t="n"/>
      <c r="T40" s="107" t="n"/>
      <c r="U40" s="107" t="n"/>
    </row>
    <row r="41" ht="22" customHeight="1" s="86">
      <c r="A41" s="111">
        <f>IF('01_인적정보'!B41="","",'01_인적정보'!A41)</f>
        <v/>
      </c>
      <c r="B41" s="111">
        <f>IF('01_인적정보'!B41="","",'01_인적정보'!B41)</f>
        <v/>
      </c>
      <c r="C41" s="112">
        <f>IF('01_인적정보'!B41="","",'01_인적정보'!C41)</f>
        <v/>
      </c>
      <c r="D41" s="112">
        <f>IF('01_인적정보'!B41="","",'01_인적정보'!E41)</f>
        <v/>
      </c>
      <c r="E41" s="113">
        <f>IF('01_인적정보'!B41="","",'01_인적정보'!H41)</f>
        <v/>
      </c>
      <c r="F41" s="114">
        <f>IF('01_인적정보'!B41="","",'07a_상반기입력'!I41)</f>
        <v/>
      </c>
      <c r="G41" s="114">
        <f>IF('01_인적정보'!B41="","",'07a_상반기입력'!J41)</f>
        <v/>
      </c>
      <c r="H41" s="115">
        <f>IFERROR(IF(AND(F41&lt;&gt;"",G41&lt;&gt;""),'02_의사결정·종합결과'!$B$67*IFERROR(CHOOSE(FIND(F41,"DCBAS"),1,2,3,4,5),0)+'02_의사결정·종합결과'!$B$68*IFERROR(CHOOSE(FIND(G41,"DCBAS"),1,2,3,4,5),0),IF(F41&lt;&gt;"",IFERROR(CHOOSE(FIND(F41,"DCBAS"),1,2,3,4,5),0),IF(G41&lt;&gt;"",IFERROR(CHOOSE(FIND(G41,"DCBAS"),1,2,3,4,5),0),""))),"")</f>
        <v/>
      </c>
      <c r="I41" s="116">
        <f>IF(H41="","",IF(H41&gt;=4.5,"S",IF(H41&gt;=3.5,"A",IF(H41&gt;=2.5,"B",IF(H41&gt;=1.5,"C","D")))))</f>
        <v/>
      </c>
      <c r="J41" s="107" t="n"/>
      <c r="K41" s="107" t="n"/>
      <c r="L41" s="107" t="n"/>
      <c r="M41" s="107" t="n"/>
      <c r="N41" s="107" t="n"/>
      <c r="O41" s="107" t="n"/>
      <c r="P41" s="107" t="n"/>
      <c r="Q41" s="107" t="n"/>
      <c r="R41" s="107" t="n"/>
      <c r="S41" s="107" t="n"/>
      <c r="T41" s="107" t="n"/>
      <c r="U41" s="107" t="n"/>
    </row>
    <row r="42" ht="22" customHeight="1" s="86">
      <c r="A42" s="111">
        <f>IF('01_인적정보'!B42="","",'01_인적정보'!A42)</f>
        <v/>
      </c>
      <c r="B42" s="111">
        <f>IF('01_인적정보'!B42="","",'01_인적정보'!B42)</f>
        <v/>
      </c>
      <c r="C42" s="112">
        <f>IF('01_인적정보'!B42="","",'01_인적정보'!C42)</f>
        <v/>
      </c>
      <c r="D42" s="112">
        <f>IF('01_인적정보'!B42="","",'01_인적정보'!E42)</f>
        <v/>
      </c>
      <c r="E42" s="113">
        <f>IF('01_인적정보'!B42="","",'01_인적정보'!H42)</f>
        <v/>
      </c>
      <c r="F42" s="114">
        <f>IF('01_인적정보'!B42="","",'07a_상반기입력'!I42)</f>
        <v/>
      </c>
      <c r="G42" s="114">
        <f>IF('01_인적정보'!B42="","",'07a_상반기입력'!J42)</f>
        <v/>
      </c>
      <c r="H42" s="115">
        <f>IFERROR(IF(AND(F42&lt;&gt;"",G42&lt;&gt;""),'02_의사결정·종합결과'!$B$67*IFERROR(CHOOSE(FIND(F42,"DCBAS"),1,2,3,4,5),0)+'02_의사결정·종합결과'!$B$68*IFERROR(CHOOSE(FIND(G42,"DCBAS"),1,2,3,4,5),0),IF(F42&lt;&gt;"",IFERROR(CHOOSE(FIND(F42,"DCBAS"),1,2,3,4,5),0),IF(G42&lt;&gt;"",IFERROR(CHOOSE(FIND(G42,"DCBAS"),1,2,3,4,5),0),""))),"")</f>
        <v/>
      </c>
      <c r="I42" s="116">
        <f>IF(H42="","",IF(H42&gt;=4.5,"S",IF(H42&gt;=3.5,"A",IF(H42&gt;=2.5,"B",IF(H42&gt;=1.5,"C","D")))))</f>
        <v/>
      </c>
      <c r="J42" s="107" t="n"/>
      <c r="K42" s="107" t="n"/>
      <c r="L42" s="107" t="n"/>
      <c r="M42" s="107" t="n"/>
      <c r="N42" s="107" t="n"/>
      <c r="O42" s="107" t="n"/>
      <c r="P42" s="107" t="n"/>
      <c r="Q42" s="107" t="n"/>
      <c r="R42" s="107" t="n"/>
      <c r="S42" s="107" t="n"/>
      <c r="T42" s="107" t="n"/>
      <c r="U42" s="107" t="n"/>
    </row>
    <row r="43" ht="22" customHeight="1" s="86">
      <c r="A43" s="111">
        <f>IF('01_인적정보'!B43="","",'01_인적정보'!A43)</f>
        <v/>
      </c>
      <c r="B43" s="111">
        <f>IF('01_인적정보'!B43="","",'01_인적정보'!B43)</f>
        <v/>
      </c>
      <c r="C43" s="112">
        <f>IF('01_인적정보'!B43="","",'01_인적정보'!C43)</f>
        <v/>
      </c>
      <c r="D43" s="112">
        <f>IF('01_인적정보'!B43="","",'01_인적정보'!E43)</f>
        <v/>
      </c>
      <c r="E43" s="113">
        <f>IF('01_인적정보'!B43="","",'01_인적정보'!H43)</f>
        <v/>
      </c>
      <c r="F43" s="114">
        <f>IF('01_인적정보'!B43="","",'07a_상반기입력'!I43)</f>
        <v/>
      </c>
      <c r="G43" s="114">
        <f>IF('01_인적정보'!B43="","",'07a_상반기입력'!J43)</f>
        <v/>
      </c>
      <c r="H43" s="115">
        <f>IFERROR(IF(AND(F43&lt;&gt;"",G43&lt;&gt;""),'02_의사결정·종합결과'!$B$67*IFERROR(CHOOSE(FIND(F43,"DCBAS"),1,2,3,4,5),0)+'02_의사결정·종합결과'!$B$68*IFERROR(CHOOSE(FIND(G43,"DCBAS"),1,2,3,4,5),0),IF(F43&lt;&gt;"",IFERROR(CHOOSE(FIND(F43,"DCBAS"),1,2,3,4,5),0),IF(G43&lt;&gt;"",IFERROR(CHOOSE(FIND(G43,"DCBAS"),1,2,3,4,5),0),""))),"")</f>
        <v/>
      </c>
      <c r="I43" s="116">
        <f>IF(H43="","",IF(H43&gt;=4.5,"S",IF(H43&gt;=3.5,"A",IF(H43&gt;=2.5,"B",IF(H43&gt;=1.5,"C","D")))))</f>
        <v/>
      </c>
      <c r="J43" s="107" t="n"/>
      <c r="K43" s="107" t="n"/>
      <c r="L43" s="107" t="n"/>
      <c r="M43" s="107" t="n"/>
      <c r="N43" s="107" t="n"/>
      <c r="O43" s="107" t="n"/>
      <c r="P43" s="107" t="n"/>
      <c r="Q43" s="107" t="n"/>
      <c r="R43" s="107" t="n"/>
      <c r="S43" s="107" t="n"/>
      <c r="T43" s="107" t="n"/>
      <c r="U43" s="107" t="n"/>
    </row>
    <row r="44" ht="22" customHeight="1" s="86">
      <c r="A44" s="111">
        <f>IF('01_인적정보'!B44="","",'01_인적정보'!A44)</f>
        <v/>
      </c>
      <c r="B44" s="111">
        <f>IF('01_인적정보'!B44="","",'01_인적정보'!B44)</f>
        <v/>
      </c>
      <c r="C44" s="112">
        <f>IF('01_인적정보'!B44="","",'01_인적정보'!C44)</f>
        <v/>
      </c>
      <c r="D44" s="112">
        <f>IF('01_인적정보'!B44="","",'01_인적정보'!E44)</f>
        <v/>
      </c>
      <c r="E44" s="113">
        <f>IF('01_인적정보'!B44="","",'01_인적정보'!H44)</f>
        <v/>
      </c>
      <c r="F44" s="114">
        <f>IF('01_인적정보'!B44="","",'07a_상반기입력'!I44)</f>
        <v/>
      </c>
      <c r="G44" s="114">
        <f>IF('01_인적정보'!B44="","",'07a_상반기입력'!J44)</f>
        <v/>
      </c>
      <c r="H44" s="115">
        <f>IFERROR(IF(AND(F44&lt;&gt;"",G44&lt;&gt;""),'02_의사결정·종합결과'!$B$67*IFERROR(CHOOSE(FIND(F44,"DCBAS"),1,2,3,4,5),0)+'02_의사결정·종합결과'!$B$68*IFERROR(CHOOSE(FIND(G44,"DCBAS"),1,2,3,4,5),0),IF(F44&lt;&gt;"",IFERROR(CHOOSE(FIND(F44,"DCBAS"),1,2,3,4,5),0),IF(G44&lt;&gt;"",IFERROR(CHOOSE(FIND(G44,"DCBAS"),1,2,3,4,5),0),""))),"")</f>
        <v/>
      </c>
      <c r="I44" s="116">
        <f>IF(H44="","",IF(H44&gt;=4.5,"S",IF(H44&gt;=3.5,"A",IF(H44&gt;=2.5,"B",IF(H44&gt;=1.5,"C","D")))))</f>
        <v/>
      </c>
      <c r="J44" s="107" t="n"/>
      <c r="K44" s="107" t="n"/>
      <c r="L44" s="107" t="n"/>
      <c r="M44" s="107" t="n"/>
      <c r="N44" s="107" t="n"/>
      <c r="O44" s="107" t="n"/>
      <c r="P44" s="107" t="n"/>
      <c r="Q44" s="107" t="n"/>
      <c r="R44" s="107" t="n"/>
      <c r="S44" s="107" t="n"/>
      <c r="T44" s="107" t="n"/>
      <c r="U44" s="107" t="n"/>
    </row>
    <row r="45" ht="22" customHeight="1" s="86">
      <c r="A45" s="111">
        <f>IF('01_인적정보'!B45="","",'01_인적정보'!A45)</f>
        <v/>
      </c>
      <c r="B45" s="111">
        <f>IF('01_인적정보'!B45="","",'01_인적정보'!B45)</f>
        <v/>
      </c>
      <c r="C45" s="112">
        <f>IF('01_인적정보'!B45="","",'01_인적정보'!C45)</f>
        <v/>
      </c>
      <c r="D45" s="112">
        <f>IF('01_인적정보'!B45="","",'01_인적정보'!E45)</f>
        <v/>
      </c>
      <c r="E45" s="113">
        <f>IF('01_인적정보'!B45="","",'01_인적정보'!H45)</f>
        <v/>
      </c>
      <c r="F45" s="114">
        <f>IF('01_인적정보'!B45="","",'07a_상반기입력'!I45)</f>
        <v/>
      </c>
      <c r="G45" s="114">
        <f>IF('01_인적정보'!B45="","",'07a_상반기입력'!J45)</f>
        <v/>
      </c>
      <c r="H45" s="115">
        <f>IFERROR(IF(AND(F45&lt;&gt;"",G45&lt;&gt;""),'02_의사결정·종합결과'!$B$67*IFERROR(CHOOSE(FIND(F45,"DCBAS"),1,2,3,4,5),0)+'02_의사결정·종합결과'!$B$68*IFERROR(CHOOSE(FIND(G45,"DCBAS"),1,2,3,4,5),0),IF(F45&lt;&gt;"",IFERROR(CHOOSE(FIND(F45,"DCBAS"),1,2,3,4,5),0),IF(G45&lt;&gt;"",IFERROR(CHOOSE(FIND(G45,"DCBAS"),1,2,3,4,5),0),""))),"")</f>
        <v/>
      </c>
      <c r="I45" s="116">
        <f>IF(H45="","",IF(H45&gt;=4.5,"S",IF(H45&gt;=3.5,"A",IF(H45&gt;=2.5,"B",IF(H45&gt;=1.5,"C","D")))))</f>
        <v/>
      </c>
      <c r="J45" s="107" t="n"/>
      <c r="K45" s="107" t="n"/>
      <c r="L45" s="107" t="n"/>
      <c r="M45" s="107" t="n"/>
      <c r="N45" s="107" t="n"/>
      <c r="O45" s="107" t="n"/>
      <c r="P45" s="107" t="n"/>
      <c r="Q45" s="107" t="n"/>
      <c r="R45" s="107" t="n"/>
      <c r="S45" s="107" t="n"/>
      <c r="T45" s="107" t="n"/>
      <c r="U45" s="107" t="n"/>
    </row>
    <row r="46" ht="22" customHeight="1" s="86">
      <c r="A46" s="111">
        <f>IF('01_인적정보'!B46="","",'01_인적정보'!A46)</f>
        <v/>
      </c>
      <c r="B46" s="111">
        <f>IF('01_인적정보'!B46="","",'01_인적정보'!B46)</f>
        <v/>
      </c>
      <c r="C46" s="112">
        <f>IF('01_인적정보'!B46="","",'01_인적정보'!C46)</f>
        <v/>
      </c>
      <c r="D46" s="112">
        <f>IF('01_인적정보'!B46="","",'01_인적정보'!E46)</f>
        <v/>
      </c>
      <c r="E46" s="113">
        <f>IF('01_인적정보'!B46="","",'01_인적정보'!H46)</f>
        <v/>
      </c>
      <c r="F46" s="114">
        <f>IF('01_인적정보'!B46="","",'07a_상반기입력'!I46)</f>
        <v/>
      </c>
      <c r="G46" s="114">
        <f>IF('01_인적정보'!B46="","",'07a_상반기입력'!J46)</f>
        <v/>
      </c>
      <c r="H46" s="115">
        <f>IFERROR(IF(AND(F46&lt;&gt;"",G46&lt;&gt;""),'02_의사결정·종합결과'!$B$67*IFERROR(CHOOSE(FIND(F46,"DCBAS"),1,2,3,4,5),0)+'02_의사결정·종합결과'!$B$68*IFERROR(CHOOSE(FIND(G46,"DCBAS"),1,2,3,4,5),0),IF(F46&lt;&gt;"",IFERROR(CHOOSE(FIND(F46,"DCBAS"),1,2,3,4,5),0),IF(G46&lt;&gt;"",IFERROR(CHOOSE(FIND(G46,"DCBAS"),1,2,3,4,5),0),""))),"")</f>
        <v/>
      </c>
      <c r="I46" s="116">
        <f>IF(H46="","",IF(H46&gt;=4.5,"S",IF(H46&gt;=3.5,"A",IF(H46&gt;=2.5,"B",IF(H46&gt;=1.5,"C","D")))))</f>
        <v/>
      </c>
      <c r="J46" s="107" t="n"/>
      <c r="K46" s="107" t="n"/>
      <c r="L46" s="107" t="n"/>
      <c r="M46" s="107" t="n"/>
      <c r="N46" s="107" t="n"/>
      <c r="O46" s="107" t="n"/>
      <c r="P46" s="117" t="n"/>
      <c r="Q46" s="107" t="n"/>
      <c r="R46" s="107" t="n"/>
      <c r="S46" s="107" t="n"/>
      <c r="T46" s="107" t="n"/>
      <c r="U46" s="107" t="n"/>
    </row>
    <row r="47" ht="22" customHeight="1" s="86">
      <c r="A47" s="111">
        <f>IF('01_인적정보'!B47="","",'01_인적정보'!A47)</f>
        <v/>
      </c>
      <c r="B47" s="111">
        <f>IF('01_인적정보'!B47="","",'01_인적정보'!B47)</f>
        <v/>
      </c>
      <c r="C47" s="112">
        <f>IF('01_인적정보'!B47="","",'01_인적정보'!C47)</f>
        <v/>
      </c>
      <c r="D47" s="112">
        <f>IF('01_인적정보'!B47="","",'01_인적정보'!E47)</f>
        <v/>
      </c>
      <c r="E47" s="113">
        <f>IF('01_인적정보'!B47="","",'01_인적정보'!H47)</f>
        <v/>
      </c>
      <c r="F47" s="114">
        <f>IF('01_인적정보'!B47="","",'07a_상반기입력'!I47)</f>
        <v/>
      </c>
      <c r="G47" s="114">
        <f>IF('01_인적정보'!B47="","",'07a_상반기입력'!J47)</f>
        <v/>
      </c>
      <c r="H47" s="115">
        <f>IFERROR(IF(AND(F47&lt;&gt;"",G47&lt;&gt;""),'02_의사결정·종합결과'!$B$67*IFERROR(CHOOSE(FIND(F47,"DCBAS"),1,2,3,4,5),0)+'02_의사결정·종합결과'!$B$68*IFERROR(CHOOSE(FIND(G47,"DCBAS"),1,2,3,4,5),0),IF(F47&lt;&gt;"",IFERROR(CHOOSE(FIND(F47,"DCBAS"),1,2,3,4,5),0),IF(G47&lt;&gt;"",IFERROR(CHOOSE(FIND(G47,"DCBAS"),1,2,3,4,5),0),""))),"")</f>
        <v/>
      </c>
      <c r="I47" s="116">
        <f>IF(H47="","",IF(H47&gt;=4.5,"S",IF(H47&gt;=3.5,"A",IF(H47&gt;=2.5,"B",IF(H47&gt;=1.5,"C","D")))))</f>
        <v/>
      </c>
      <c r="J47" s="107" t="n"/>
      <c r="K47" s="107" t="n"/>
      <c r="L47" s="107" t="n"/>
      <c r="M47" s="107" t="n"/>
      <c r="N47" s="107" t="n"/>
      <c r="O47" s="107" t="n"/>
      <c r="P47" s="117" t="n"/>
      <c r="Q47" s="107" t="n"/>
      <c r="R47" s="107" t="n"/>
      <c r="S47" s="107" t="n"/>
      <c r="T47" s="107" t="n"/>
      <c r="U47" s="107" t="n"/>
    </row>
    <row r="48" ht="22" customHeight="1" s="86">
      <c r="A48" s="111">
        <f>IF('01_인적정보'!B48="","",'01_인적정보'!A48)</f>
        <v/>
      </c>
      <c r="B48" s="111">
        <f>IF('01_인적정보'!B48="","",'01_인적정보'!B48)</f>
        <v/>
      </c>
      <c r="C48" s="112">
        <f>IF('01_인적정보'!B48="","",'01_인적정보'!C48)</f>
        <v/>
      </c>
      <c r="D48" s="112">
        <f>IF('01_인적정보'!B48="","",'01_인적정보'!E48)</f>
        <v/>
      </c>
      <c r="E48" s="113">
        <f>IF('01_인적정보'!B48="","",'01_인적정보'!H48)</f>
        <v/>
      </c>
      <c r="F48" s="114">
        <f>IF('01_인적정보'!B48="","",'07a_상반기입력'!I48)</f>
        <v/>
      </c>
      <c r="G48" s="114">
        <f>IF('01_인적정보'!B48="","",'07a_상반기입력'!J48)</f>
        <v/>
      </c>
      <c r="H48" s="115">
        <f>IFERROR(IF(AND(F48&lt;&gt;"",G48&lt;&gt;""),'02_의사결정·종합결과'!$B$67*IFERROR(CHOOSE(FIND(F48,"DCBAS"),1,2,3,4,5),0)+'02_의사결정·종합결과'!$B$68*IFERROR(CHOOSE(FIND(G48,"DCBAS"),1,2,3,4,5),0),IF(F48&lt;&gt;"",IFERROR(CHOOSE(FIND(F48,"DCBAS"),1,2,3,4,5),0),IF(G48&lt;&gt;"",IFERROR(CHOOSE(FIND(G48,"DCBAS"),1,2,3,4,5),0),""))),"")</f>
        <v/>
      </c>
      <c r="I48" s="116">
        <f>IF(H48="","",IF(H48&gt;=4.5,"S",IF(H48&gt;=3.5,"A",IF(H48&gt;=2.5,"B",IF(H48&gt;=1.5,"C","D")))))</f>
        <v/>
      </c>
      <c r="J48" s="107" t="n"/>
      <c r="K48" s="107" t="n"/>
      <c r="L48" s="107" t="n"/>
      <c r="M48" s="107" t="n"/>
      <c r="N48" s="107" t="n"/>
      <c r="O48" s="107" t="n"/>
      <c r="P48" s="117" t="n"/>
      <c r="Q48" s="107" t="n"/>
      <c r="R48" s="107" t="n"/>
      <c r="S48" s="107" t="n"/>
      <c r="T48" s="107" t="n"/>
      <c r="U48" s="107" t="n"/>
    </row>
    <row r="49" ht="22" customHeight="1" s="86">
      <c r="A49" s="111">
        <f>IF('01_인적정보'!B49="","",'01_인적정보'!A49)</f>
        <v/>
      </c>
      <c r="B49" s="111">
        <f>IF('01_인적정보'!B49="","",'01_인적정보'!B49)</f>
        <v/>
      </c>
      <c r="C49" s="112">
        <f>IF('01_인적정보'!B49="","",'01_인적정보'!C49)</f>
        <v/>
      </c>
      <c r="D49" s="112">
        <f>IF('01_인적정보'!B49="","",'01_인적정보'!E49)</f>
        <v/>
      </c>
      <c r="E49" s="113">
        <f>IF('01_인적정보'!B49="","",'01_인적정보'!H49)</f>
        <v/>
      </c>
      <c r="F49" s="114">
        <f>IF('01_인적정보'!B49="","",'07a_상반기입력'!I49)</f>
        <v/>
      </c>
      <c r="G49" s="114">
        <f>IF('01_인적정보'!B49="","",'07a_상반기입력'!J49)</f>
        <v/>
      </c>
      <c r="H49" s="115">
        <f>IFERROR(IF(AND(F49&lt;&gt;"",G49&lt;&gt;""),'02_의사결정·종합결과'!$B$67*IFERROR(CHOOSE(FIND(F49,"DCBAS"),1,2,3,4,5),0)+'02_의사결정·종합결과'!$B$68*IFERROR(CHOOSE(FIND(G49,"DCBAS"),1,2,3,4,5),0),IF(F49&lt;&gt;"",IFERROR(CHOOSE(FIND(F49,"DCBAS"),1,2,3,4,5),0),IF(G49&lt;&gt;"",IFERROR(CHOOSE(FIND(G49,"DCBAS"),1,2,3,4,5),0),""))),"")</f>
        <v/>
      </c>
      <c r="I49" s="116">
        <f>IF(H49="","",IF(H49&gt;=4.5,"S",IF(H49&gt;=3.5,"A",IF(H49&gt;=2.5,"B",IF(H49&gt;=1.5,"C","D")))))</f>
        <v/>
      </c>
      <c r="J49" s="107" t="n"/>
      <c r="K49" s="107" t="n"/>
      <c r="L49" s="107" t="n"/>
      <c r="M49" s="107" t="n"/>
      <c r="N49" s="107" t="n"/>
      <c r="O49" s="107" t="n"/>
      <c r="P49" s="117" t="n"/>
      <c r="Q49" s="107" t="n"/>
      <c r="R49" s="107" t="n"/>
      <c r="S49" s="107" t="n"/>
      <c r="T49" s="107" t="n"/>
      <c r="U49" s="107" t="n"/>
    </row>
    <row r="50" ht="22" customHeight="1" s="86">
      <c r="A50" s="111">
        <f>IF('01_인적정보'!B50="","",'01_인적정보'!A50)</f>
        <v/>
      </c>
      <c r="B50" s="111">
        <f>IF('01_인적정보'!B50="","",'01_인적정보'!B50)</f>
        <v/>
      </c>
      <c r="C50" s="112">
        <f>IF('01_인적정보'!B50="","",'01_인적정보'!C50)</f>
        <v/>
      </c>
      <c r="D50" s="112">
        <f>IF('01_인적정보'!B50="","",'01_인적정보'!E50)</f>
        <v/>
      </c>
      <c r="E50" s="113">
        <f>IF('01_인적정보'!B50="","",'01_인적정보'!H50)</f>
        <v/>
      </c>
      <c r="F50" s="114">
        <f>IF('01_인적정보'!B50="","",'07a_상반기입력'!I50)</f>
        <v/>
      </c>
      <c r="G50" s="114">
        <f>IF('01_인적정보'!B50="","",'07a_상반기입력'!J50)</f>
        <v/>
      </c>
      <c r="H50" s="115">
        <f>IFERROR(IF(AND(F50&lt;&gt;"",G50&lt;&gt;""),'02_의사결정·종합결과'!$B$67*IFERROR(CHOOSE(FIND(F50,"DCBAS"),1,2,3,4,5),0)+'02_의사결정·종합결과'!$B$68*IFERROR(CHOOSE(FIND(G50,"DCBAS"),1,2,3,4,5),0),IF(F50&lt;&gt;"",IFERROR(CHOOSE(FIND(F50,"DCBAS"),1,2,3,4,5),0),IF(G50&lt;&gt;"",IFERROR(CHOOSE(FIND(G50,"DCBAS"),1,2,3,4,5),0),""))),"")</f>
        <v/>
      </c>
      <c r="I50" s="116">
        <f>IF(H50="","",IF(H50&gt;=4.5,"S",IF(H50&gt;=3.5,"A",IF(H50&gt;=2.5,"B",IF(H50&gt;=1.5,"C","D")))))</f>
        <v/>
      </c>
      <c r="J50" s="107" t="n"/>
      <c r="K50" s="107" t="n"/>
      <c r="L50" s="107" t="n"/>
      <c r="M50" s="107" t="n"/>
      <c r="N50" s="107" t="n"/>
      <c r="O50" s="107" t="n"/>
      <c r="P50" s="117" t="n"/>
      <c r="Q50" s="107" t="n"/>
      <c r="R50" s="107" t="n"/>
      <c r="S50" s="107" t="n"/>
      <c r="T50" s="107" t="n"/>
      <c r="U50" s="107" t="n"/>
    </row>
    <row r="51" ht="22" customHeight="1" s="86">
      <c r="A51" s="111">
        <f>IF('01_인적정보'!B51="","",'01_인적정보'!A51)</f>
        <v/>
      </c>
      <c r="B51" s="111">
        <f>IF('01_인적정보'!B51="","",'01_인적정보'!B51)</f>
        <v/>
      </c>
      <c r="C51" s="112">
        <f>IF('01_인적정보'!B51="","",'01_인적정보'!C51)</f>
        <v/>
      </c>
      <c r="D51" s="112">
        <f>IF('01_인적정보'!B51="","",'01_인적정보'!E51)</f>
        <v/>
      </c>
      <c r="E51" s="113">
        <f>IF('01_인적정보'!B51="","",'01_인적정보'!H51)</f>
        <v/>
      </c>
      <c r="F51" s="114">
        <f>IF('01_인적정보'!B51="","",'07a_상반기입력'!I51)</f>
        <v/>
      </c>
      <c r="G51" s="114">
        <f>IF('01_인적정보'!B51="","",'07a_상반기입력'!J51)</f>
        <v/>
      </c>
      <c r="H51" s="115">
        <f>IFERROR(IF(AND(F51&lt;&gt;"",G51&lt;&gt;""),'02_의사결정·종합결과'!$B$67*IFERROR(CHOOSE(FIND(F51,"DCBAS"),1,2,3,4,5),0)+'02_의사결정·종합결과'!$B$68*IFERROR(CHOOSE(FIND(G51,"DCBAS"),1,2,3,4,5),0),IF(F51&lt;&gt;"",IFERROR(CHOOSE(FIND(F51,"DCBAS"),1,2,3,4,5),0),IF(G51&lt;&gt;"",IFERROR(CHOOSE(FIND(G51,"DCBAS"),1,2,3,4,5),0),""))),"")</f>
        <v/>
      </c>
      <c r="I51" s="116">
        <f>IF(H51="","",IF(H51&gt;=4.5,"S",IF(H51&gt;=3.5,"A",IF(H51&gt;=2.5,"B",IF(H51&gt;=1.5,"C","D")))))</f>
        <v/>
      </c>
      <c r="J51" s="107" t="n"/>
      <c r="K51" s="107" t="n"/>
      <c r="L51" s="107" t="n"/>
      <c r="M51" s="107" t="n"/>
      <c r="N51" s="107" t="n"/>
      <c r="O51" s="107" t="n"/>
      <c r="P51" s="117" t="n"/>
      <c r="Q51" s="107" t="n"/>
      <c r="R51" s="107" t="n"/>
      <c r="S51" s="107" t="n"/>
      <c r="T51" s="107" t="n"/>
      <c r="U51" s="107" t="n"/>
    </row>
    <row r="52" ht="22" customHeight="1" s="86">
      <c r="A52" s="111">
        <f>IF('01_인적정보'!B52="","",'01_인적정보'!A52)</f>
        <v/>
      </c>
      <c r="B52" s="111">
        <f>IF('01_인적정보'!B52="","",'01_인적정보'!B52)</f>
        <v/>
      </c>
      <c r="C52" s="112">
        <f>IF('01_인적정보'!B52="","",'01_인적정보'!C52)</f>
        <v/>
      </c>
      <c r="D52" s="112">
        <f>IF('01_인적정보'!B52="","",'01_인적정보'!E52)</f>
        <v/>
      </c>
      <c r="E52" s="113">
        <f>IF('01_인적정보'!B52="","",'01_인적정보'!H52)</f>
        <v/>
      </c>
      <c r="F52" s="114">
        <f>IF('01_인적정보'!B52="","",'07a_상반기입력'!I52)</f>
        <v/>
      </c>
      <c r="G52" s="114">
        <f>IF('01_인적정보'!B52="","",'07a_상반기입력'!J52)</f>
        <v/>
      </c>
      <c r="H52" s="115">
        <f>IFERROR(IF(AND(F52&lt;&gt;"",G52&lt;&gt;""),'02_의사결정·종합결과'!$B$67*IFERROR(CHOOSE(FIND(F52,"DCBAS"),1,2,3,4,5),0)+'02_의사결정·종합결과'!$B$68*IFERROR(CHOOSE(FIND(G52,"DCBAS"),1,2,3,4,5),0),IF(F52&lt;&gt;"",IFERROR(CHOOSE(FIND(F52,"DCBAS"),1,2,3,4,5),0),IF(G52&lt;&gt;"",IFERROR(CHOOSE(FIND(G52,"DCBAS"),1,2,3,4,5),0),""))),"")</f>
        <v/>
      </c>
      <c r="I52" s="116">
        <f>IF(H52="","",IF(H52&gt;=4.5,"S",IF(H52&gt;=3.5,"A",IF(H52&gt;=2.5,"B",IF(H52&gt;=1.5,"C","D")))))</f>
        <v/>
      </c>
      <c r="J52" s="107" t="n"/>
      <c r="K52" s="107" t="n"/>
      <c r="L52" s="107" t="n"/>
      <c r="M52" s="107" t="n"/>
      <c r="N52" s="107" t="n"/>
      <c r="O52" s="107" t="n"/>
      <c r="P52" s="117" t="n"/>
      <c r="Q52" s="107" t="n"/>
      <c r="R52" s="107" t="n"/>
      <c r="S52" s="107" t="n"/>
      <c r="T52" s="107" t="n"/>
      <c r="U52" s="107" t="n"/>
    </row>
    <row r="53" ht="22" customHeight="1" s="86">
      <c r="A53" s="111">
        <f>IF('01_인적정보'!B53="","",'01_인적정보'!A53)</f>
        <v/>
      </c>
      <c r="B53" s="111">
        <f>IF('01_인적정보'!B53="","",'01_인적정보'!B53)</f>
        <v/>
      </c>
      <c r="C53" s="112">
        <f>IF('01_인적정보'!B53="","",'01_인적정보'!C53)</f>
        <v/>
      </c>
      <c r="D53" s="112">
        <f>IF('01_인적정보'!B53="","",'01_인적정보'!E53)</f>
        <v/>
      </c>
      <c r="E53" s="113">
        <f>IF('01_인적정보'!B53="","",'01_인적정보'!H53)</f>
        <v/>
      </c>
      <c r="F53" s="114">
        <f>IF('01_인적정보'!B53="","",'07a_상반기입력'!I53)</f>
        <v/>
      </c>
      <c r="G53" s="114">
        <f>IF('01_인적정보'!B53="","",'07a_상반기입력'!J53)</f>
        <v/>
      </c>
      <c r="H53" s="115">
        <f>IFERROR(IF(AND(F53&lt;&gt;"",G53&lt;&gt;""),'02_의사결정·종합결과'!$B$67*IFERROR(CHOOSE(FIND(F53,"DCBAS"),1,2,3,4,5),0)+'02_의사결정·종합결과'!$B$68*IFERROR(CHOOSE(FIND(G53,"DCBAS"),1,2,3,4,5),0),IF(F53&lt;&gt;"",IFERROR(CHOOSE(FIND(F53,"DCBAS"),1,2,3,4,5),0),IF(G53&lt;&gt;"",IFERROR(CHOOSE(FIND(G53,"DCBAS"),1,2,3,4,5),0),""))),"")</f>
        <v/>
      </c>
      <c r="I53" s="116">
        <f>IF(H53="","",IF(H53&gt;=4.5,"S",IF(H53&gt;=3.5,"A",IF(H53&gt;=2.5,"B",IF(H53&gt;=1.5,"C","D")))))</f>
        <v/>
      </c>
      <c r="J53" s="107" t="n"/>
      <c r="K53" s="107" t="n"/>
      <c r="L53" s="107" t="n"/>
      <c r="M53" s="107" t="n"/>
      <c r="N53" s="107" t="n"/>
      <c r="O53" s="107" t="n"/>
      <c r="P53" s="117" t="n"/>
      <c r="Q53" s="107" t="n"/>
      <c r="R53" s="107" t="n"/>
      <c r="S53" s="107" t="n"/>
      <c r="T53" s="107" t="n"/>
      <c r="U53" s="107" t="n"/>
    </row>
    <row r="54" ht="22" customHeight="1" s="86">
      <c r="A54" s="111">
        <f>IF('01_인적정보'!B54="","",'01_인적정보'!A54)</f>
        <v/>
      </c>
      <c r="B54" s="111">
        <f>IF('01_인적정보'!B54="","",'01_인적정보'!B54)</f>
        <v/>
      </c>
      <c r="C54" s="112">
        <f>IF('01_인적정보'!B54="","",'01_인적정보'!C54)</f>
        <v/>
      </c>
      <c r="D54" s="112">
        <f>IF('01_인적정보'!B54="","",'01_인적정보'!E54)</f>
        <v/>
      </c>
      <c r="E54" s="113">
        <f>IF('01_인적정보'!B54="","",'01_인적정보'!H54)</f>
        <v/>
      </c>
      <c r="F54" s="114">
        <f>IF('01_인적정보'!B54="","",'07a_상반기입력'!I54)</f>
        <v/>
      </c>
      <c r="G54" s="114">
        <f>IF('01_인적정보'!B54="","",'07a_상반기입력'!J54)</f>
        <v/>
      </c>
      <c r="H54" s="115">
        <f>IFERROR(IF(AND(F54&lt;&gt;"",G54&lt;&gt;""),'02_의사결정·종합결과'!$B$67*IFERROR(CHOOSE(FIND(F54,"DCBAS"),1,2,3,4,5),0)+'02_의사결정·종합결과'!$B$68*IFERROR(CHOOSE(FIND(G54,"DCBAS"),1,2,3,4,5),0),IF(F54&lt;&gt;"",IFERROR(CHOOSE(FIND(F54,"DCBAS"),1,2,3,4,5),0),IF(G54&lt;&gt;"",IFERROR(CHOOSE(FIND(G54,"DCBAS"),1,2,3,4,5),0),""))),"")</f>
        <v/>
      </c>
      <c r="I54" s="116">
        <f>IF(H54="","",IF(H54&gt;=4.5,"S",IF(H54&gt;=3.5,"A",IF(H54&gt;=2.5,"B",IF(H54&gt;=1.5,"C","D")))))</f>
        <v/>
      </c>
      <c r="J54" s="107" t="n"/>
      <c r="K54" s="107" t="n"/>
      <c r="L54" s="107" t="n"/>
      <c r="M54" s="107" t="n"/>
      <c r="N54" s="107" t="n"/>
      <c r="O54" s="107" t="n"/>
      <c r="P54" s="117" t="n"/>
      <c r="Q54" s="107" t="n"/>
      <c r="R54" s="107" t="n"/>
      <c r="S54" s="107" t="n"/>
      <c r="T54" s="107" t="n"/>
      <c r="U54" s="107" t="n"/>
    </row>
    <row r="55" ht="22" customHeight="1" s="86">
      <c r="A55" s="111">
        <f>IF('01_인적정보'!B55="","",'01_인적정보'!A55)</f>
        <v/>
      </c>
      <c r="B55" s="111">
        <f>IF('01_인적정보'!B55="","",'01_인적정보'!B55)</f>
        <v/>
      </c>
      <c r="C55" s="112">
        <f>IF('01_인적정보'!B55="","",'01_인적정보'!C55)</f>
        <v/>
      </c>
      <c r="D55" s="112">
        <f>IF('01_인적정보'!B55="","",'01_인적정보'!E55)</f>
        <v/>
      </c>
      <c r="E55" s="113">
        <f>IF('01_인적정보'!B55="","",'01_인적정보'!H55)</f>
        <v/>
      </c>
      <c r="F55" s="114">
        <f>IF('01_인적정보'!B55="","",'07a_상반기입력'!I55)</f>
        <v/>
      </c>
      <c r="G55" s="114">
        <f>IF('01_인적정보'!B55="","",'07a_상반기입력'!J55)</f>
        <v/>
      </c>
      <c r="H55" s="115">
        <f>IFERROR(IF(AND(F55&lt;&gt;"",G55&lt;&gt;""),'02_의사결정·종합결과'!$B$67*IFERROR(CHOOSE(FIND(F55,"DCBAS"),1,2,3,4,5),0)+'02_의사결정·종합결과'!$B$68*IFERROR(CHOOSE(FIND(G55,"DCBAS"),1,2,3,4,5),0),IF(F55&lt;&gt;"",IFERROR(CHOOSE(FIND(F55,"DCBAS"),1,2,3,4,5),0),IF(G55&lt;&gt;"",IFERROR(CHOOSE(FIND(G55,"DCBAS"),1,2,3,4,5),0),""))),"")</f>
        <v/>
      </c>
      <c r="I55" s="116">
        <f>IF(H55="","",IF(H55&gt;=4.5,"S",IF(H55&gt;=3.5,"A",IF(H55&gt;=2.5,"B",IF(H55&gt;=1.5,"C","D")))))</f>
        <v/>
      </c>
      <c r="J55" s="107" t="n"/>
      <c r="K55" s="107" t="n"/>
      <c r="L55" s="107" t="n"/>
      <c r="M55" s="107" t="n"/>
      <c r="N55" s="107" t="n"/>
      <c r="O55" s="107" t="n"/>
      <c r="P55" s="117" t="n"/>
      <c r="Q55" s="107" t="n"/>
      <c r="R55" s="107" t="n"/>
      <c r="S55" s="107" t="n"/>
      <c r="T55" s="107" t="n"/>
      <c r="U55" s="107" t="n"/>
    </row>
    <row r="56" s="86">
      <c r="A56" s="107" t="n"/>
      <c r="B56" s="107" t="n"/>
      <c r="C56" s="107" t="n"/>
      <c r="D56" s="107" t="n"/>
      <c r="E56" s="107" t="n"/>
      <c r="F56" s="107" t="n"/>
      <c r="G56" s="107" t="n"/>
      <c r="H56" s="117" t="n"/>
      <c r="I56" s="107" t="n"/>
      <c r="J56" s="107" t="n"/>
      <c r="K56" s="107" t="n"/>
      <c r="L56" s="107" t="n"/>
      <c r="M56" s="107" t="n"/>
      <c r="N56" s="107" t="n"/>
      <c r="O56" s="107" t="n"/>
      <c r="P56" s="117" t="n"/>
      <c r="Q56" s="107" t="n"/>
      <c r="R56" s="107" t="n"/>
      <c r="S56" s="107" t="n"/>
      <c r="T56" s="107" t="n"/>
      <c r="U56" s="107" t="n"/>
    </row>
    <row r="57" s="86">
      <c r="A57" s="107" t="n"/>
      <c r="B57" s="107" t="n"/>
      <c r="C57" s="107" t="n"/>
      <c r="D57" s="107" t="n"/>
      <c r="E57" s="107" t="n"/>
      <c r="F57" s="107" t="n"/>
      <c r="G57" s="107" t="n"/>
      <c r="H57" s="117" t="n"/>
      <c r="I57" s="107" t="n"/>
      <c r="J57" s="107" t="n"/>
      <c r="K57" s="107" t="n"/>
      <c r="L57" s="107" t="n"/>
      <c r="M57" s="107" t="n"/>
      <c r="N57" s="107" t="n"/>
      <c r="O57" s="107" t="n"/>
      <c r="P57" s="117" t="n"/>
      <c r="Q57" s="107" t="n"/>
      <c r="R57" s="107" t="n"/>
      <c r="S57" s="107" t="n"/>
      <c r="T57" s="107" t="n"/>
      <c r="U57" s="107" t="n"/>
    </row>
    <row r="58" s="86">
      <c r="A58" s="107" t="n"/>
      <c r="B58" s="107" t="n"/>
      <c r="C58" s="107" t="n"/>
      <c r="D58" s="107" t="n"/>
      <c r="E58" s="107" t="n"/>
      <c r="F58" s="107" t="n"/>
      <c r="G58" s="107" t="n"/>
      <c r="H58" s="117" t="n"/>
      <c r="I58" s="107" t="n"/>
      <c r="J58" s="107" t="n"/>
      <c r="K58" s="107" t="n"/>
      <c r="L58" s="107" t="n"/>
      <c r="M58" s="107" t="n"/>
      <c r="N58" s="107" t="n"/>
      <c r="O58" s="107" t="n"/>
      <c r="P58" s="117" t="n"/>
      <c r="Q58" s="107" t="n"/>
      <c r="R58" s="107" t="n"/>
      <c r="S58" s="107" t="n"/>
      <c r="T58" s="107" t="n"/>
      <c r="U58" s="107" t="n"/>
    </row>
    <row r="59" s="86">
      <c r="A59" s="107" t="n"/>
      <c r="B59" s="107" t="n"/>
      <c r="C59" s="107" t="n"/>
      <c r="D59" s="107" t="n"/>
      <c r="E59" s="107" t="n"/>
      <c r="F59" s="107" t="n"/>
      <c r="G59" s="107" t="n"/>
      <c r="H59" s="117" t="n"/>
      <c r="I59" s="107" t="n"/>
      <c r="J59" s="107" t="n"/>
      <c r="K59" s="107" t="n"/>
      <c r="L59" s="107" t="n"/>
      <c r="M59" s="107" t="n"/>
      <c r="N59" s="107" t="n"/>
      <c r="O59" s="107" t="n"/>
      <c r="P59" s="117" t="n"/>
      <c r="Q59" s="107" t="n"/>
      <c r="R59" s="107" t="n"/>
      <c r="S59" s="107" t="n"/>
      <c r="T59" s="107" t="n"/>
      <c r="U59" s="107" t="n"/>
    </row>
    <row r="60" s="86">
      <c r="A60" s="107" t="n"/>
      <c r="B60" s="107" t="n"/>
      <c r="C60" s="107" t="n"/>
      <c r="D60" s="107" t="n"/>
      <c r="E60" s="107" t="n"/>
      <c r="F60" s="107" t="n"/>
      <c r="G60" s="107" t="n"/>
      <c r="H60" s="117" t="n"/>
      <c r="I60" s="107" t="n"/>
      <c r="J60" s="107" t="n"/>
      <c r="K60" s="107" t="n"/>
      <c r="L60" s="107" t="n"/>
      <c r="M60" s="107" t="n"/>
      <c r="N60" s="107" t="n"/>
      <c r="O60" s="107" t="n"/>
      <c r="P60" s="117" t="n"/>
      <c r="Q60" s="107" t="n"/>
      <c r="R60" s="107" t="n"/>
      <c r="S60" s="107" t="n"/>
      <c r="T60" s="107" t="n"/>
      <c r="U60" s="107" t="n"/>
    </row>
    <row r="61" s="86">
      <c r="A61" s="107" t="n"/>
      <c r="B61" s="107" t="n"/>
      <c r="C61" s="107" t="n"/>
      <c r="D61" s="107" t="n"/>
      <c r="E61" s="107" t="n"/>
      <c r="F61" s="107" t="n"/>
      <c r="G61" s="107" t="n"/>
      <c r="H61" s="117" t="n"/>
      <c r="I61" s="107" t="n"/>
      <c r="J61" s="107" t="n"/>
      <c r="K61" s="107" t="n"/>
      <c r="L61" s="107" t="n"/>
      <c r="M61" s="107" t="n"/>
      <c r="N61" s="107" t="n"/>
      <c r="O61" s="107" t="n"/>
      <c r="P61" s="117" t="n"/>
      <c r="Q61" s="107" t="n"/>
      <c r="R61" s="107" t="n"/>
      <c r="S61" s="107" t="n"/>
      <c r="T61" s="107" t="n"/>
      <c r="U61" s="107" t="n"/>
    </row>
    <row r="62" ht="26" customHeight="1" s="86">
      <c r="A62" s="109" t="inlineStr">
        <is>
          <t>■ 하반기 공통역량평가 (50명까지)</t>
        </is>
      </c>
      <c r="B62" s="106" t="n"/>
      <c r="C62" s="106" t="n"/>
      <c r="D62" s="106" t="n"/>
      <c r="E62" s="106" t="n"/>
      <c r="F62" s="106" t="n"/>
      <c r="G62" s="106" t="n"/>
      <c r="H62" s="106" t="n"/>
      <c r="I62" s="106" t="n"/>
      <c r="J62" s="107" t="n"/>
      <c r="K62" s="107" t="n"/>
      <c r="L62" s="107" t="n"/>
      <c r="M62" s="107" t="n"/>
      <c r="N62" s="107" t="n"/>
      <c r="O62" s="107" t="n"/>
      <c r="P62" s="117" t="n"/>
      <c r="Q62" s="107" t="n"/>
      <c r="R62" s="107" t="n"/>
      <c r="S62" s="107" t="n"/>
      <c r="T62" s="107" t="n"/>
      <c r="U62" s="107" t="n"/>
    </row>
    <row r="63" ht="28" customHeight="1" s="86">
      <c r="A63" s="110" t="inlineStr">
        <is>
          <t>No.</t>
        </is>
      </c>
      <c r="B63" s="110" t="inlineStr">
        <is>
          <t>사번</t>
        </is>
      </c>
      <c r="C63" s="110" t="inlineStr">
        <is>
          <t>성명</t>
        </is>
      </c>
      <c r="D63" s="110" t="inlineStr">
        <is>
          <t>직무</t>
        </is>
      </c>
      <c r="E63" s="110" t="inlineStr">
        <is>
          <t>역할등급</t>
        </is>
      </c>
      <c r="F63" s="110" t="inlineStr">
        <is>
          <t>1차</t>
        </is>
      </c>
      <c r="G63" s="110" t="inlineStr">
        <is>
          <t>2차</t>
        </is>
      </c>
      <c r="H63" s="119" t="inlineStr">
        <is>
          <t>가중평균(점수)</t>
        </is>
      </c>
      <c r="I63" s="110" t="inlineStr">
        <is>
          <t>확정등급</t>
        </is>
      </c>
      <c r="J63" s="107" t="n"/>
      <c r="K63" s="107" t="n"/>
      <c r="L63" s="107" t="n"/>
      <c r="M63" s="107" t="n"/>
      <c r="N63" s="107" t="n"/>
      <c r="O63" s="107" t="n"/>
      <c r="P63" s="117" t="n"/>
      <c r="Q63" s="107" t="n"/>
      <c r="R63" s="107" t="n"/>
      <c r="S63" s="107" t="n"/>
      <c r="T63" s="107" t="n"/>
      <c r="U63" s="107" t="n"/>
    </row>
    <row r="64" ht="22" customHeight="1" s="86">
      <c r="A64" s="111">
        <f>IF('01_인적정보'!B6="","",'01_인적정보'!A6)</f>
        <v/>
      </c>
      <c r="B64" s="111">
        <f>IF('01_인적정보'!B6="","",'01_인적정보'!B6)</f>
        <v/>
      </c>
      <c r="C64" s="112">
        <f>IF('01_인적정보'!B6="","",'01_인적정보'!C6)</f>
        <v/>
      </c>
      <c r="D64" s="112">
        <f>IF('01_인적정보'!B6="","",'01_인적정보'!E6)</f>
        <v/>
      </c>
      <c r="E64" s="113">
        <f>IF('01_인적정보'!B6="","",'01_인적정보'!H6)</f>
        <v/>
      </c>
      <c r="F64" s="114">
        <f>IF('01_인적정보'!B6="","",'07b_하반기입력'!I6)</f>
        <v/>
      </c>
      <c r="G64" s="114">
        <f>IF('01_인적정보'!B6="","",'07b_하반기입력'!J6)</f>
        <v/>
      </c>
      <c r="H64" s="115">
        <f>IFERROR(IF(AND(F64&lt;&gt;"",G64&lt;&gt;""),'02_의사결정·종합결과'!$B$67*IFERROR(CHOOSE(FIND(F64,"DCBAS"),1,2,3,4,5),0)+'02_의사결정·종합결과'!$B$68*IFERROR(CHOOSE(FIND(G64,"DCBAS"),1,2,3,4,5),0),IF(F64&lt;&gt;"",IFERROR(CHOOSE(FIND(F64,"DCBAS"),1,2,3,4,5),0),IF(G64&lt;&gt;"",IFERROR(CHOOSE(FIND(G64,"DCBAS"),1,2,3,4,5),0),""))),"")</f>
        <v/>
      </c>
      <c r="I64" s="116">
        <f>IF(H64="","",IF(H64&gt;=4.5,"S",IF(H64&gt;=3.5,"A",IF(H64&gt;=2.5,"B",IF(H64&gt;=1.5,"C","D")))))</f>
        <v/>
      </c>
      <c r="J64" s="107" t="n"/>
      <c r="K64" s="107" t="n"/>
      <c r="L64" s="107" t="n"/>
      <c r="M64" s="107" t="n"/>
      <c r="N64" s="107" t="n"/>
      <c r="O64" s="107" t="n"/>
      <c r="P64" s="117" t="n"/>
      <c r="Q64" s="107" t="n"/>
      <c r="R64" s="107" t="n"/>
      <c r="S64" s="107" t="n"/>
      <c r="T64" s="107" t="n"/>
      <c r="U64" s="107" t="n"/>
    </row>
    <row r="65" ht="22" customHeight="1" s="86">
      <c r="A65" s="111">
        <f>IF('01_인적정보'!B7="","",'01_인적정보'!A7)</f>
        <v/>
      </c>
      <c r="B65" s="111">
        <f>IF('01_인적정보'!B7="","",'01_인적정보'!B7)</f>
        <v/>
      </c>
      <c r="C65" s="112">
        <f>IF('01_인적정보'!B7="","",'01_인적정보'!C7)</f>
        <v/>
      </c>
      <c r="D65" s="112">
        <f>IF('01_인적정보'!B7="","",'01_인적정보'!E7)</f>
        <v/>
      </c>
      <c r="E65" s="113">
        <f>IF('01_인적정보'!B7="","",'01_인적정보'!H7)</f>
        <v/>
      </c>
      <c r="F65" s="114">
        <f>IF('01_인적정보'!B7="","",'07b_하반기입력'!I7)</f>
        <v/>
      </c>
      <c r="G65" s="114">
        <f>IF('01_인적정보'!B7="","",'07b_하반기입력'!J7)</f>
        <v/>
      </c>
      <c r="H65" s="115">
        <f>IFERROR(IF(AND(F65&lt;&gt;"",G65&lt;&gt;""),'02_의사결정·종합결과'!$B$67*IFERROR(CHOOSE(FIND(F65,"DCBAS"),1,2,3,4,5),0)+'02_의사결정·종합결과'!$B$68*IFERROR(CHOOSE(FIND(G65,"DCBAS"),1,2,3,4,5),0),IF(F65&lt;&gt;"",IFERROR(CHOOSE(FIND(F65,"DCBAS"),1,2,3,4,5),0),IF(G65&lt;&gt;"",IFERROR(CHOOSE(FIND(G65,"DCBAS"),1,2,3,4,5),0),""))),"")</f>
        <v/>
      </c>
      <c r="I65" s="116">
        <f>IF(H65="","",IF(H65&gt;=4.5,"S",IF(H65&gt;=3.5,"A",IF(H65&gt;=2.5,"B",IF(H65&gt;=1.5,"C","D")))))</f>
        <v/>
      </c>
      <c r="J65" s="107" t="n"/>
      <c r="K65" s="107" t="n"/>
      <c r="L65" s="107" t="n"/>
      <c r="M65" s="107" t="n"/>
      <c r="N65" s="107" t="n"/>
      <c r="O65" s="107" t="n"/>
      <c r="P65" s="117" t="n"/>
      <c r="Q65" s="107" t="n"/>
      <c r="R65" s="107" t="n"/>
      <c r="S65" s="107" t="n"/>
      <c r="T65" s="107" t="n"/>
      <c r="U65" s="107" t="n"/>
    </row>
    <row r="66" ht="22" customHeight="1" s="86">
      <c r="A66" s="111">
        <f>IF('01_인적정보'!B8="","",'01_인적정보'!A8)</f>
        <v/>
      </c>
      <c r="B66" s="111">
        <f>IF('01_인적정보'!B8="","",'01_인적정보'!B8)</f>
        <v/>
      </c>
      <c r="C66" s="112">
        <f>IF('01_인적정보'!B8="","",'01_인적정보'!C8)</f>
        <v/>
      </c>
      <c r="D66" s="112">
        <f>IF('01_인적정보'!B8="","",'01_인적정보'!E8)</f>
        <v/>
      </c>
      <c r="E66" s="113">
        <f>IF('01_인적정보'!B8="","",'01_인적정보'!H8)</f>
        <v/>
      </c>
      <c r="F66" s="114">
        <f>IF('01_인적정보'!B8="","",'07b_하반기입력'!I8)</f>
        <v/>
      </c>
      <c r="G66" s="114">
        <f>IF('01_인적정보'!B8="","",'07b_하반기입력'!J8)</f>
        <v/>
      </c>
      <c r="H66" s="115">
        <f>IFERROR(IF(AND(F66&lt;&gt;"",G66&lt;&gt;""),'02_의사결정·종합결과'!$B$67*IFERROR(CHOOSE(FIND(F66,"DCBAS"),1,2,3,4,5),0)+'02_의사결정·종합결과'!$B$68*IFERROR(CHOOSE(FIND(G66,"DCBAS"),1,2,3,4,5),0),IF(F66&lt;&gt;"",IFERROR(CHOOSE(FIND(F66,"DCBAS"),1,2,3,4,5),0),IF(G66&lt;&gt;"",IFERROR(CHOOSE(FIND(G66,"DCBAS"),1,2,3,4,5),0),""))),"")</f>
        <v/>
      </c>
      <c r="I66" s="116">
        <f>IF(H66="","",IF(H66&gt;=4.5,"S",IF(H66&gt;=3.5,"A",IF(H66&gt;=2.5,"B",IF(H66&gt;=1.5,"C","D")))))</f>
        <v/>
      </c>
      <c r="J66" s="107" t="n"/>
      <c r="K66" s="107" t="n"/>
      <c r="L66" s="107" t="n"/>
      <c r="M66" s="107" t="n"/>
      <c r="N66" s="107" t="n"/>
      <c r="O66" s="107" t="n"/>
      <c r="P66" s="117" t="n"/>
      <c r="Q66" s="107" t="n"/>
      <c r="R66" s="107" t="n"/>
      <c r="S66" s="107" t="n"/>
      <c r="T66" s="107" t="n"/>
      <c r="U66" s="107" t="n"/>
    </row>
    <row r="67" ht="22" customHeight="1" s="86">
      <c r="A67" s="111">
        <f>IF('01_인적정보'!B9="","",'01_인적정보'!A9)</f>
        <v/>
      </c>
      <c r="B67" s="111">
        <f>IF('01_인적정보'!B9="","",'01_인적정보'!B9)</f>
        <v/>
      </c>
      <c r="C67" s="112">
        <f>IF('01_인적정보'!B9="","",'01_인적정보'!C9)</f>
        <v/>
      </c>
      <c r="D67" s="112">
        <f>IF('01_인적정보'!B9="","",'01_인적정보'!E9)</f>
        <v/>
      </c>
      <c r="E67" s="113">
        <f>IF('01_인적정보'!B9="","",'01_인적정보'!H9)</f>
        <v/>
      </c>
      <c r="F67" s="114">
        <f>IF('01_인적정보'!B9="","",'07b_하반기입력'!I9)</f>
        <v/>
      </c>
      <c r="G67" s="114">
        <f>IF('01_인적정보'!B9="","",'07b_하반기입력'!J9)</f>
        <v/>
      </c>
      <c r="H67" s="115">
        <f>IFERROR(IF(AND(F67&lt;&gt;"",G67&lt;&gt;""),'02_의사결정·종합결과'!$B$67*IFERROR(CHOOSE(FIND(F67,"DCBAS"),1,2,3,4,5),0)+'02_의사결정·종합결과'!$B$68*IFERROR(CHOOSE(FIND(G67,"DCBAS"),1,2,3,4,5),0),IF(F67&lt;&gt;"",IFERROR(CHOOSE(FIND(F67,"DCBAS"),1,2,3,4,5),0),IF(G67&lt;&gt;"",IFERROR(CHOOSE(FIND(G67,"DCBAS"),1,2,3,4,5),0),""))),"")</f>
        <v/>
      </c>
      <c r="I67" s="116">
        <f>IF(H67="","",IF(H67&gt;=4.5,"S",IF(H67&gt;=3.5,"A",IF(H67&gt;=2.5,"B",IF(H67&gt;=1.5,"C","D")))))</f>
        <v/>
      </c>
      <c r="J67" s="107" t="n"/>
      <c r="K67" s="107" t="n"/>
      <c r="L67" s="107" t="n"/>
      <c r="M67" s="107" t="n"/>
      <c r="N67" s="107" t="n"/>
      <c r="O67" s="107" t="n"/>
      <c r="P67" s="117" t="n"/>
      <c r="Q67" s="107" t="n"/>
      <c r="R67" s="107" t="n"/>
      <c r="S67" s="107" t="n"/>
      <c r="T67" s="107" t="n"/>
      <c r="U67" s="107" t="n"/>
    </row>
    <row r="68" ht="22" customHeight="1" s="86">
      <c r="A68" s="111">
        <f>IF('01_인적정보'!B10="","",'01_인적정보'!A10)</f>
        <v/>
      </c>
      <c r="B68" s="111">
        <f>IF('01_인적정보'!B10="","",'01_인적정보'!B10)</f>
        <v/>
      </c>
      <c r="C68" s="112">
        <f>IF('01_인적정보'!B10="","",'01_인적정보'!C10)</f>
        <v/>
      </c>
      <c r="D68" s="112">
        <f>IF('01_인적정보'!B10="","",'01_인적정보'!E10)</f>
        <v/>
      </c>
      <c r="E68" s="113">
        <f>IF('01_인적정보'!B10="","",'01_인적정보'!H10)</f>
        <v/>
      </c>
      <c r="F68" s="114">
        <f>IF('01_인적정보'!B10="","",'07b_하반기입력'!I10)</f>
        <v/>
      </c>
      <c r="G68" s="114">
        <f>IF('01_인적정보'!B10="","",'07b_하반기입력'!J10)</f>
        <v/>
      </c>
      <c r="H68" s="115">
        <f>IFERROR(IF(AND(F68&lt;&gt;"",G68&lt;&gt;""),'02_의사결정·종합결과'!$B$67*IFERROR(CHOOSE(FIND(F68,"DCBAS"),1,2,3,4,5),0)+'02_의사결정·종합결과'!$B$68*IFERROR(CHOOSE(FIND(G68,"DCBAS"),1,2,3,4,5),0),IF(F68&lt;&gt;"",IFERROR(CHOOSE(FIND(F68,"DCBAS"),1,2,3,4,5),0),IF(G68&lt;&gt;"",IFERROR(CHOOSE(FIND(G68,"DCBAS"),1,2,3,4,5),0),""))),"")</f>
        <v/>
      </c>
      <c r="I68" s="116">
        <f>IF(H68="","",IF(H68&gt;=4.5,"S",IF(H68&gt;=3.5,"A",IF(H68&gt;=2.5,"B",IF(H68&gt;=1.5,"C","D")))))</f>
        <v/>
      </c>
      <c r="J68" s="107" t="n"/>
      <c r="K68" s="107" t="n"/>
      <c r="L68" s="107" t="n"/>
      <c r="M68" s="107" t="n"/>
      <c r="N68" s="107" t="n"/>
      <c r="O68" s="107" t="n"/>
      <c r="P68" s="117" t="n"/>
      <c r="Q68" s="107" t="n"/>
      <c r="R68" s="107" t="n"/>
      <c r="S68" s="107" t="n"/>
      <c r="T68" s="107" t="n"/>
      <c r="U68" s="107" t="n"/>
    </row>
    <row r="69" ht="22" customHeight="1" s="86">
      <c r="A69" s="111">
        <f>IF('01_인적정보'!B11="","",'01_인적정보'!A11)</f>
        <v/>
      </c>
      <c r="B69" s="111">
        <f>IF('01_인적정보'!B11="","",'01_인적정보'!B11)</f>
        <v/>
      </c>
      <c r="C69" s="112">
        <f>IF('01_인적정보'!B11="","",'01_인적정보'!C11)</f>
        <v/>
      </c>
      <c r="D69" s="112">
        <f>IF('01_인적정보'!B11="","",'01_인적정보'!E11)</f>
        <v/>
      </c>
      <c r="E69" s="113">
        <f>IF('01_인적정보'!B11="","",'01_인적정보'!H11)</f>
        <v/>
      </c>
      <c r="F69" s="114">
        <f>IF('01_인적정보'!B11="","",'07b_하반기입력'!I11)</f>
        <v/>
      </c>
      <c r="G69" s="114">
        <f>IF('01_인적정보'!B11="","",'07b_하반기입력'!J11)</f>
        <v/>
      </c>
      <c r="H69" s="115">
        <f>IFERROR(IF(AND(F69&lt;&gt;"",G69&lt;&gt;""),'02_의사결정·종합결과'!$B$67*IFERROR(CHOOSE(FIND(F69,"DCBAS"),1,2,3,4,5),0)+'02_의사결정·종합결과'!$B$68*IFERROR(CHOOSE(FIND(G69,"DCBAS"),1,2,3,4,5),0),IF(F69&lt;&gt;"",IFERROR(CHOOSE(FIND(F69,"DCBAS"),1,2,3,4,5),0),IF(G69&lt;&gt;"",IFERROR(CHOOSE(FIND(G69,"DCBAS"),1,2,3,4,5),0),""))),"")</f>
        <v/>
      </c>
      <c r="I69" s="116">
        <f>IF(H69="","",IF(H69&gt;=4.5,"S",IF(H69&gt;=3.5,"A",IF(H69&gt;=2.5,"B",IF(H69&gt;=1.5,"C","D")))))</f>
        <v/>
      </c>
      <c r="J69" s="107" t="n"/>
      <c r="K69" s="107" t="n"/>
      <c r="L69" s="107" t="n"/>
      <c r="M69" s="107" t="n"/>
      <c r="N69" s="107" t="n"/>
      <c r="O69" s="107" t="n"/>
      <c r="P69" s="117" t="n"/>
      <c r="Q69" s="107" t="n"/>
      <c r="R69" s="107" t="n"/>
      <c r="S69" s="107" t="n"/>
      <c r="T69" s="107" t="n"/>
      <c r="U69" s="107" t="n"/>
    </row>
    <row r="70" ht="22" customHeight="1" s="86">
      <c r="A70" s="111">
        <f>IF('01_인적정보'!B12="","",'01_인적정보'!A12)</f>
        <v/>
      </c>
      <c r="B70" s="111">
        <f>IF('01_인적정보'!B12="","",'01_인적정보'!B12)</f>
        <v/>
      </c>
      <c r="C70" s="112">
        <f>IF('01_인적정보'!B12="","",'01_인적정보'!C12)</f>
        <v/>
      </c>
      <c r="D70" s="112">
        <f>IF('01_인적정보'!B12="","",'01_인적정보'!E12)</f>
        <v/>
      </c>
      <c r="E70" s="113">
        <f>IF('01_인적정보'!B12="","",'01_인적정보'!H12)</f>
        <v/>
      </c>
      <c r="F70" s="114">
        <f>IF('01_인적정보'!B12="","",'07b_하반기입력'!I12)</f>
        <v/>
      </c>
      <c r="G70" s="114">
        <f>IF('01_인적정보'!B12="","",'07b_하반기입력'!J12)</f>
        <v/>
      </c>
      <c r="H70" s="115">
        <f>IFERROR(IF(AND(F70&lt;&gt;"",G70&lt;&gt;""),'02_의사결정·종합결과'!$B$67*IFERROR(CHOOSE(FIND(F70,"DCBAS"),1,2,3,4,5),0)+'02_의사결정·종합결과'!$B$68*IFERROR(CHOOSE(FIND(G70,"DCBAS"),1,2,3,4,5),0),IF(F70&lt;&gt;"",IFERROR(CHOOSE(FIND(F70,"DCBAS"),1,2,3,4,5),0),IF(G70&lt;&gt;"",IFERROR(CHOOSE(FIND(G70,"DCBAS"),1,2,3,4,5),0),""))),"")</f>
        <v/>
      </c>
      <c r="I70" s="116">
        <f>IF(H70="","",IF(H70&gt;=4.5,"S",IF(H70&gt;=3.5,"A",IF(H70&gt;=2.5,"B",IF(H70&gt;=1.5,"C","D")))))</f>
        <v/>
      </c>
      <c r="J70" s="107" t="n"/>
      <c r="K70" s="107" t="n"/>
      <c r="L70" s="107" t="n"/>
      <c r="M70" s="107" t="n"/>
      <c r="N70" s="107" t="n"/>
      <c r="O70" s="107" t="n"/>
      <c r="P70" s="117" t="n"/>
      <c r="Q70" s="107" t="n"/>
      <c r="R70" s="107" t="n"/>
      <c r="S70" s="107" t="n"/>
      <c r="T70" s="107" t="n"/>
      <c r="U70" s="107" t="n"/>
    </row>
    <row r="71" ht="22" customHeight="1" s="86">
      <c r="A71" s="111">
        <f>IF('01_인적정보'!B13="","",'01_인적정보'!A13)</f>
        <v/>
      </c>
      <c r="B71" s="111">
        <f>IF('01_인적정보'!B13="","",'01_인적정보'!B13)</f>
        <v/>
      </c>
      <c r="C71" s="112">
        <f>IF('01_인적정보'!B13="","",'01_인적정보'!C13)</f>
        <v/>
      </c>
      <c r="D71" s="112">
        <f>IF('01_인적정보'!B13="","",'01_인적정보'!E13)</f>
        <v/>
      </c>
      <c r="E71" s="113">
        <f>IF('01_인적정보'!B13="","",'01_인적정보'!H13)</f>
        <v/>
      </c>
      <c r="F71" s="114">
        <f>IF('01_인적정보'!B13="","",'07b_하반기입력'!I13)</f>
        <v/>
      </c>
      <c r="G71" s="114">
        <f>IF('01_인적정보'!B13="","",'07b_하반기입력'!J13)</f>
        <v/>
      </c>
      <c r="H71" s="115">
        <f>IFERROR(IF(AND(F71&lt;&gt;"",G71&lt;&gt;""),'02_의사결정·종합결과'!$B$67*IFERROR(CHOOSE(FIND(F71,"DCBAS"),1,2,3,4,5),0)+'02_의사결정·종합결과'!$B$68*IFERROR(CHOOSE(FIND(G71,"DCBAS"),1,2,3,4,5),0),IF(F71&lt;&gt;"",IFERROR(CHOOSE(FIND(F71,"DCBAS"),1,2,3,4,5),0),IF(G71&lt;&gt;"",IFERROR(CHOOSE(FIND(G71,"DCBAS"),1,2,3,4,5),0),""))),"")</f>
        <v/>
      </c>
      <c r="I71" s="116">
        <f>IF(H71="","",IF(H71&gt;=4.5,"S",IF(H71&gt;=3.5,"A",IF(H71&gt;=2.5,"B",IF(H71&gt;=1.5,"C","D")))))</f>
        <v/>
      </c>
      <c r="J71" s="107" t="n"/>
      <c r="K71" s="107" t="n"/>
      <c r="L71" s="107" t="n"/>
      <c r="M71" s="107" t="n"/>
      <c r="N71" s="107" t="n"/>
      <c r="O71" s="107" t="n"/>
      <c r="P71" s="117" t="n"/>
      <c r="Q71" s="107" t="n"/>
      <c r="R71" s="107" t="n"/>
      <c r="S71" s="107" t="n"/>
      <c r="T71" s="107" t="n"/>
      <c r="U71" s="107" t="n"/>
    </row>
    <row r="72" ht="22" customHeight="1" s="86">
      <c r="A72" s="111">
        <f>IF('01_인적정보'!B14="","",'01_인적정보'!A14)</f>
        <v/>
      </c>
      <c r="B72" s="111">
        <f>IF('01_인적정보'!B14="","",'01_인적정보'!B14)</f>
        <v/>
      </c>
      <c r="C72" s="112">
        <f>IF('01_인적정보'!B14="","",'01_인적정보'!C14)</f>
        <v/>
      </c>
      <c r="D72" s="112">
        <f>IF('01_인적정보'!B14="","",'01_인적정보'!E14)</f>
        <v/>
      </c>
      <c r="E72" s="113">
        <f>IF('01_인적정보'!B14="","",'01_인적정보'!H14)</f>
        <v/>
      </c>
      <c r="F72" s="114">
        <f>IF('01_인적정보'!B14="","",'07b_하반기입력'!I14)</f>
        <v/>
      </c>
      <c r="G72" s="114">
        <f>IF('01_인적정보'!B14="","",'07b_하반기입력'!J14)</f>
        <v/>
      </c>
      <c r="H72" s="115">
        <f>IFERROR(IF(AND(F72&lt;&gt;"",G72&lt;&gt;""),'02_의사결정·종합결과'!$B$67*IFERROR(CHOOSE(FIND(F72,"DCBAS"),1,2,3,4,5),0)+'02_의사결정·종합결과'!$B$68*IFERROR(CHOOSE(FIND(G72,"DCBAS"),1,2,3,4,5),0),IF(F72&lt;&gt;"",IFERROR(CHOOSE(FIND(F72,"DCBAS"),1,2,3,4,5),0),IF(G72&lt;&gt;"",IFERROR(CHOOSE(FIND(G72,"DCBAS"),1,2,3,4,5),0),""))),"")</f>
        <v/>
      </c>
      <c r="I72" s="116">
        <f>IF(H72="","",IF(H72&gt;=4.5,"S",IF(H72&gt;=3.5,"A",IF(H72&gt;=2.5,"B",IF(H72&gt;=1.5,"C","D")))))</f>
        <v/>
      </c>
      <c r="J72" s="107" t="n"/>
      <c r="K72" s="107" t="n"/>
      <c r="L72" s="107" t="n"/>
      <c r="M72" s="107" t="n"/>
      <c r="N72" s="107" t="n"/>
      <c r="O72" s="107" t="n"/>
      <c r="P72" s="117" t="n"/>
      <c r="Q72" s="107" t="n"/>
      <c r="R72" s="107" t="n"/>
      <c r="S72" s="107" t="n"/>
      <c r="T72" s="107" t="n"/>
      <c r="U72" s="107" t="n"/>
    </row>
    <row r="73" ht="22" customHeight="1" s="86">
      <c r="A73" s="111">
        <f>IF('01_인적정보'!B15="","",'01_인적정보'!A15)</f>
        <v/>
      </c>
      <c r="B73" s="111">
        <f>IF('01_인적정보'!B15="","",'01_인적정보'!B15)</f>
        <v/>
      </c>
      <c r="C73" s="112">
        <f>IF('01_인적정보'!B15="","",'01_인적정보'!C15)</f>
        <v/>
      </c>
      <c r="D73" s="112">
        <f>IF('01_인적정보'!B15="","",'01_인적정보'!E15)</f>
        <v/>
      </c>
      <c r="E73" s="113">
        <f>IF('01_인적정보'!B15="","",'01_인적정보'!H15)</f>
        <v/>
      </c>
      <c r="F73" s="114">
        <f>IF('01_인적정보'!B15="","",'07b_하반기입력'!I15)</f>
        <v/>
      </c>
      <c r="G73" s="114">
        <f>IF('01_인적정보'!B15="","",'07b_하반기입력'!J15)</f>
        <v/>
      </c>
      <c r="H73" s="115">
        <f>IFERROR(IF(AND(F73&lt;&gt;"",G73&lt;&gt;""),'02_의사결정·종합결과'!$B$67*IFERROR(CHOOSE(FIND(F73,"DCBAS"),1,2,3,4,5),0)+'02_의사결정·종합결과'!$B$68*IFERROR(CHOOSE(FIND(G73,"DCBAS"),1,2,3,4,5),0),IF(F73&lt;&gt;"",IFERROR(CHOOSE(FIND(F73,"DCBAS"),1,2,3,4,5),0),IF(G73&lt;&gt;"",IFERROR(CHOOSE(FIND(G73,"DCBAS"),1,2,3,4,5),0),""))),"")</f>
        <v/>
      </c>
      <c r="I73" s="116">
        <f>IF(H73="","",IF(H73&gt;=4.5,"S",IF(H73&gt;=3.5,"A",IF(H73&gt;=2.5,"B",IF(H73&gt;=1.5,"C","D")))))</f>
        <v/>
      </c>
      <c r="J73" s="107" t="n"/>
      <c r="K73" s="107" t="n"/>
      <c r="L73" s="107" t="n"/>
      <c r="M73" s="107" t="n"/>
      <c r="N73" s="107" t="n"/>
      <c r="O73" s="107" t="n"/>
      <c r="P73" s="117" t="n"/>
      <c r="Q73" s="107" t="n"/>
      <c r="R73" s="107" t="n"/>
      <c r="S73" s="107" t="n"/>
      <c r="T73" s="107" t="n"/>
      <c r="U73" s="107" t="n"/>
    </row>
    <row r="74" ht="22" customHeight="1" s="86">
      <c r="A74" s="111">
        <f>IF('01_인적정보'!B16="","",'01_인적정보'!A16)</f>
        <v/>
      </c>
      <c r="B74" s="111">
        <f>IF('01_인적정보'!B16="","",'01_인적정보'!B16)</f>
        <v/>
      </c>
      <c r="C74" s="112">
        <f>IF('01_인적정보'!B16="","",'01_인적정보'!C16)</f>
        <v/>
      </c>
      <c r="D74" s="112">
        <f>IF('01_인적정보'!B16="","",'01_인적정보'!E16)</f>
        <v/>
      </c>
      <c r="E74" s="113">
        <f>IF('01_인적정보'!B16="","",'01_인적정보'!H16)</f>
        <v/>
      </c>
      <c r="F74" s="114">
        <f>IF('01_인적정보'!B16="","",'07b_하반기입력'!I16)</f>
        <v/>
      </c>
      <c r="G74" s="114">
        <f>IF('01_인적정보'!B16="","",'07b_하반기입력'!J16)</f>
        <v/>
      </c>
      <c r="H74" s="115">
        <f>IFERROR(IF(AND(F74&lt;&gt;"",G74&lt;&gt;""),'02_의사결정·종합결과'!$B$67*IFERROR(CHOOSE(FIND(F74,"DCBAS"),1,2,3,4,5),0)+'02_의사결정·종합결과'!$B$68*IFERROR(CHOOSE(FIND(G74,"DCBAS"),1,2,3,4,5),0),IF(F74&lt;&gt;"",IFERROR(CHOOSE(FIND(F74,"DCBAS"),1,2,3,4,5),0),IF(G74&lt;&gt;"",IFERROR(CHOOSE(FIND(G74,"DCBAS"),1,2,3,4,5),0),""))),"")</f>
        <v/>
      </c>
      <c r="I74" s="116">
        <f>IF(H74="","",IF(H74&gt;=4.5,"S",IF(H74&gt;=3.5,"A",IF(H74&gt;=2.5,"B",IF(H74&gt;=1.5,"C","D")))))</f>
        <v/>
      </c>
      <c r="J74" s="107" t="n"/>
      <c r="K74" s="107" t="n"/>
      <c r="L74" s="107" t="n"/>
      <c r="M74" s="107" t="n"/>
      <c r="N74" s="107" t="n"/>
      <c r="O74" s="107" t="n"/>
      <c r="P74" s="117" t="n"/>
      <c r="Q74" s="107" t="n"/>
      <c r="R74" s="107" t="n"/>
      <c r="S74" s="107" t="n"/>
      <c r="T74" s="107" t="n"/>
      <c r="U74" s="107" t="n"/>
    </row>
    <row r="75" ht="22" customHeight="1" s="86">
      <c r="A75" s="111">
        <f>IF('01_인적정보'!B17="","",'01_인적정보'!A17)</f>
        <v/>
      </c>
      <c r="B75" s="111">
        <f>IF('01_인적정보'!B17="","",'01_인적정보'!B17)</f>
        <v/>
      </c>
      <c r="C75" s="112">
        <f>IF('01_인적정보'!B17="","",'01_인적정보'!C17)</f>
        <v/>
      </c>
      <c r="D75" s="112">
        <f>IF('01_인적정보'!B17="","",'01_인적정보'!E17)</f>
        <v/>
      </c>
      <c r="E75" s="113">
        <f>IF('01_인적정보'!B17="","",'01_인적정보'!H17)</f>
        <v/>
      </c>
      <c r="F75" s="114">
        <f>IF('01_인적정보'!B17="","",'07b_하반기입력'!I17)</f>
        <v/>
      </c>
      <c r="G75" s="114">
        <f>IF('01_인적정보'!B17="","",'07b_하반기입력'!J17)</f>
        <v/>
      </c>
      <c r="H75" s="115">
        <f>IFERROR(IF(AND(F75&lt;&gt;"",G75&lt;&gt;""),'02_의사결정·종합결과'!$B$67*IFERROR(CHOOSE(FIND(F75,"DCBAS"),1,2,3,4,5),0)+'02_의사결정·종합결과'!$B$68*IFERROR(CHOOSE(FIND(G75,"DCBAS"),1,2,3,4,5),0),IF(F75&lt;&gt;"",IFERROR(CHOOSE(FIND(F75,"DCBAS"),1,2,3,4,5),0),IF(G75&lt;&gt;"",IFERROR(CHOOSE(FIND(G75,"DCBAS"),1,2,3,4,5),0),""))),"")</f>
        <v/>
      </c>
      <c r="I75" s="116">
        <f>IF(H75="","",IF(H75&gt;=4.5,"S",IF(H75&gt;=3.5,"A",IF(H75&gt;=2.5,"B",IF(H75&gt;=1.5,"C","D")))))</f>
        <v/>
      </c>
      <c r="J75" s="107" t="n"/>
      <c r="K75" s="107" t="n"/>
      <c r="L75" s="107" t="n"/>
      <c r="M75" s="107" t="n"/>
      <c r="N75" s="107" t="n"/>
      <c r="O75" s="107" t="n"/>
      <c r="P75" s="117" t="n"/>
      <c r="Q75" s="107" t="n"/>
      <c r="R75" s="107" t="n"/>
      <c r="S75" s="107" t="n"/>
      <c r="T75" s="107" t="n"/>
      <c r="U75" s="107" t="n"/>
    </row>
    <row r="76" ht="22" customHeight="1" s="86">
      <c r="A76" s="111">
        <f>IF('01_인적정보'!B18="","",'01_인적정보'!A18)</f>
        <v/>
      </c>
      <c r="B76" s="111">
        <f>IF('01_인적정보'!B18="","",'01_인적정보'!B18)</f>
        <v/>
      </c>
      <c r="C76" s="112">
        <f>IF('01_인적정보'!B18="","",'01_인적정보'!C18)</f>
        <v/>
      </c>
      <c r="D76" s="112">
        <f>IF('01_인적정보'!B18="","",'01_인적정보'!E18)</f>
        <v/>
      </c>
      <c r="E76" s="113">
        <f>IF('01_인적정보'!B18="","",'01_인적정보'!H18)</f>
        <v/>
      </c>
      <c r="F76" s="114">
        <f>IF('01_인적정보'!B18="","",'07b_하반기입력'!I18)</f>
        <v/>
      </c>
      <c r="G76" s="114">
        <f>IF('01_인적정보'!B18="","",'07b_하반기입력'!J18)</f>
        <v/>
      </c>
      <c r="H76" s="115">
        <f>IFERROR(IF(AND(F76&lt;&gt;"",G76&lt;&gt;""),'02_의사결정·종합결과'!$B$67*IFERROR(CHOOSE(FIND(F76,"DCBAS"),1,2,3,4,5),0)+'02_의사결정·종합결과'!$B$68*IFERROR(CHOOSE(FIND(G76,"DCBAS"),1,2,3,4,5),0),IF(F76&lt;&gt;"",IFERROR(CHOOSE(FIND(F76,"DCBAS"),1,2,3,4,5),0),IF(G76&lt;&gt;"",IFERROR(CHOOSE(FIND(G76,"DCBAS"),1,2,3,4,5),0),""))),"")</f>
        <v/>
      </c>
      <c r="I76" s="116">
        <f>IF(H76="","",IF(H76&gt;=4.5,"S",IF(H76&gt;=3.5,"A",IF(H76&gt;=2.5,"B",IF(H76&gt;=1.5,"C","D")))))</f>
        <v/>
      </c>
      <c r="J76" s="107" t="n"/>
      <c r="K76" s="107" t="n"/>
      <c r="L76" s="107" t="n"/>
      <c r="M76" s="107" t="n"/>
      <c r="N76" s="107" t="n"/>
      <c r="O76" s="107" t="n"/>
      <c r="P76" s="117" t="n"/>
      <c r="Q76" s="107" t="n"/>
      <c r="R76" s="107" t="n"/>
      <c r="S76" s="107" t="n"/>
      <c r="T76" s="107" t="n"/>
      <c r="U76" s="107" t="n"/>
    </row>
    <row r="77" ht="22" customHeight="1" s="86">
      <c r="A77" s="111">
        <f>IF('01_인적정보'!B19="","",'01_인적정보'!A19)</f>
        <v/>
      </c>
      <c r="B77" s="111">
        <f>IF('01_인적정보'!B19="","",'01_인적정보'!B19)</f>
        <v/>
      </c>
      <c r="C77" s="112">
        <f>IF('01_인적정보'!B19="","",'01_인적정보'!C19)</f>
        <v/>
      </c>
      <c r="D77" s="112">
        <f>IF('01_인적정보'!B19="","",'01_인적정보'!E19)</f>
        <v/>
      </c>
      <c r="E77" s="113">
        <f>IF('01_인적정보'!B19="","",'01_인적정보'!H19)</f>
        <v/>
      </c>
      <c r="F77" s="114">
        <f>IF('01_인적정보'!B19="","",'07b_하반기입력'!I19)</f>
        <v/>
      </c>
      <c r="G77" s="114">
        <f>IF('01_인적정보'!B19="","",'07b_하반기입력'!J19)</f>
        <v/>
      </c>
      <c r="H77" s="115">
        <f>IFERROR(IF(AND(F77&lt;&gt;"",G77&lt;&gt;""),'02_의사결정·종합결과'!$B$67*IFERROR(CHOOSE(FIND(F77,"DCBAS"),1,2,3,4,5),0)+'02_의사결정·종합결과'!$B$68*IFERROR(CHOOSE(FIND(G77,"DCBAS"),1,2,3,4,5),0),IF(F77&lt;&gt;"",IFERROR(CHOOSE(FIND(F77,"DCBAS"),1,2,3,4,5),0),IF(G77&lt;&gt;"",IFERROR(CHOOSE(FIND(G77,"DCBAS"),1,2,3,4,5),0),""))),"")</f>
        <v/>
      </c>
      <c r="I77" s="116">
        <f>IF(H77="","",IF(H77&gt;=4.5,"S",IF(H77&gt;=3.5,"A",IF(H77&gt;=2.5,"B",IF(H77&gt;=1.5,"C","D")))))</f>
        <v/>
      </c>
      <c r="J77" s="107" t="n"/>
      <c r="K77" s="107" t="n"/>
      <c r="L77" s="107" t="n"/>
      <c r="M77" s="107" t="n"/>
      <c r="N77" s="107" t="n"/>
      <c r="O77" s="107" t="n"/>
      <c r="P77" s="117" t="n"/>
      <c r="Q77" s="107" t="n"/>
      <c r="R77" s="107" t="n"/>
      <c r="S77" s="107" t="n"/>
      <c r="T77" s="107" t="n"/>
      <c r="U77" s="107" t="n"/>
    </row>
    <row r="78" ht="22" customHeight="1" s="86">
      <c r="A78" s="111">
        <f>IF('01_인적정보'!B20="","",'01_인적정보'!A20)</f>
        <v/>
      </c>
      <c r="B78" s="111">
        <f>IF('01_인적정보'!B20="","",'01_인적정보'!B20)</f>
        <v/>
      </c>
      <c r="C78" s="112">
        <f>IF('01_인적정보'!B20="","",'01_인적정보'!C20)</f>
        <v/>
      </c>
      <c r="D78" s="112">
        <f>IF('01_인적정보'!B20="","",'01_인적정보'!E20)</f>
        <v/>
      </c>
      <c r="E78" s="113">
        <f>IF('01_인적정보'!B20="","",'01_인적정보'!H20)</f>
        <v/>
      </c>
      <c r="F78" s="114">
        <f>IF('01_인적정보'!B20="","",'07b_하반기입력'!I20)</f>
        <v/>
      </c>
      <c r="G78" s="114">
        <f>IF('01_인적정보'!B20="","",'07b_하반기입력'!J20)</f>
        <v/>
      </c>
      <c r="H78" s="115">
        <f>IFERROR(IF(AND(F78&lt;&gt;"",G78&lt;&gt;""),'02_의사결정·종합결과'!$B$67*IFERROR(CHOOSE(FIND(F78,"DCBAS"),1,2,3,4,5),0)+'02_의사결정·종합결과'!$B$68*IFERROR(CHOOSE(FIND(G78,"DCBAS"),1,2,3,4,5),0),IF(F78&lt;&gt;"",IFERROR(CHOOSE(FIND(F78,"DCBAS"),1,2,3,4,5),0),IF(G78&lt;&gt;"",IFERROR(CHOOSE(FIND(G78,"DCBAS"),1,2,3,4,5),0),""))),"")</f>
        <v/>
      </c>
      <c r="I78" s="116">
        <f>IF(H78="","",IF(H78&gt;=4.5,"S",IF(H78&gt;=3.5,"A",IF(H78&gt;=2.5,"B",IF(H78&gt;=1.5,"C","D")))))</f>
        <v/>
      </c>
      <c r="J78" s="107" t="n"/>
      <c r="K78" s="107" t="n"/>
      <c r="L78" s="107" t="n"/>
      <c r="M78" s="107" t="n"/>
      <c r="N78" s="107" t="n"/>
      <c r="O78" s="107" t="n"/>
      <c r="P78" s="117" t="n"/>
      <c r="Q78" s="107" t="n"/>
      <c r="R78" s="107" t="n"/>
      <c r="S78" s="107" t="n"/>
      <c r="T78" s="107" t="n"/>
      <c r="U78" s="107" t="n"/>
    </row>
    <row r="79" ht="22" customHeight="1" s="86">
      <c r="A79" s="111">
        <f>IF('01_인적정보'!B21="","",'01_인적정보'!A21)</f>
        <v/>
      </c>
      <c r="B79" s="111">
        <f>IF('01_인적정보'!B21="","",'01_인적정보'!B21)</f>
        <v/>
      </c>
      <c r="C79" s="112">
        <f>IF('01_인적정보'!B21="","",'01_인적정보'!C21)</f>
        <v/>
      </c>
      <c r="D79" s="112">
        <f>IF('01_인적정보'!B21="","",'01_인적정보'!E21)</f>
        <v/>
      </c>
      <c r="E79" s="113">
        <f>IF('01_인적정보'!B21="","",'01_인적정보'!H21)</f>
        <v/>
      </c>
      <c r="F79" s="114">
        <f>IF('01_인적정보'!B21="","",'07b_하반기입력'!I21)</f>
        <v/>
      </c>
      <c r="G79" s="114">
        <f>IF('01_인적정보'!B21="","",'07b_하반기입력'!J21)</f>
        <v/>
      </c>
      <c r="H79" s="115">
        <f>IFERROR(IF(AND(F79&lt;&gt;"",G79&lt;&gt;""),'02_의사결정·종합결과'!$B$67*IFERROR(CHOOSE(FIND(F79,"DCBAS"),1,2,3,4,5),0)+'02_의사결정·종합결과'!$B$68*IFERROR(CHOOSE(FIND(G79,"DCBAS"),1,2,3,4,5),0),IF(F79&lt;&gt;"",IFERROR(CHOOSE(FIND(F79,"DCBAS"),1,2,3,4,5),0),IF(G79&lt;&gt;"",IFERROR(CHOOSE(FIND(G79,"DCBAS"),1,2,3,4,5),0),""))),"")</f>
        <v/>
      </c>
      <c r="I79" s="116">
        <f>IF(H79="","",IF(H79&gt;=4.5,"S",IF(H79&gt;=3.5,"A",IF(H79&gt;=2.5,"B",IF(H79&gt;=1.5,"C","D")))))</f>
        <v/>
      </c>
      <c r="J79" s="107" t="n"/>
      <c r="K79" s="107" t="n"/>
      <c r="L79" s="107" t="n"/>
      <c r="M79" s="107" t="n"/>
      <c r="N79" s="107" t="n"/>
      <c r="O79" s="107" t="n"/>
      <c r="P79" s="117" t="n"/>
      <c r="Q79" s="107" t="n"/>
      <c r="R79" s="107" t="n"/>
      <c r="S79" s="107" t="n"/>
      <c r="T79" s="107" t="n"/>
      <c r="U79" s="107" t="n"/>
    </row>
    <row r="80" ht="22" customHeight="1" s="86">
      <c r="A80" s="111">
        <f>IF('01_인적정보'!B22="","",'01_인적정보'!A22)</f>
        <v/>
      </c>
      <c r="B80" s="111">
        <f>IF('01_인적정보'!B22="","",'01_인적정보'!B22)</f>
        <v/>
      </c>
      <c r="C80" s="112">
        <f>IF('01_인적정보'!B22="","",'01_인적정보'!C22)</f>
        <v/>
      </c>
      <c r="D80" s="112">
        <f>IF('01_인적정보'!B22="","",'01_인적정보'!E22)</f>
        <v/>
      </c>
      <c r="E80" s="113">
        <f>IF('01_인적정보'!B22="","",'01_인적정보'!H22)</f>
        <v/>
      </c>
      <c r="F80" s="114">
        <f>IF('01_인적정보'!B22="","",'07b_하반기입력'!I22)</f>
        <v/>
      </c>
      <c r="G80" s="114">
        <f>IF('01_인적정보'!B22="","",'07b_하반기입력'!J22)</f>
        <v/>
      </c>
      <c r="H80" s="115">
        <f>IFERROR(IF(AND(F80&lt;&gt;"",G80&lt;&gt;""),'02_의사결정·종합결과'!$B$67*IFERROR(CHOOSE(FIND(F80,"DCBAS"),1,2,3,4,5),0)+'02_의사결정·종합결과'!$B$68*IFERROR(CHOOSE(FIND(G80,"DCBAS"),1,2,3,4,5),0),IF(F80&lt;&gt;"",IFERROR(CHOOSE(FIND(F80,"DCBAS"),1,2,3,4,5),0),IF(G80&lt;&gt;"",IFERROR(CHOOSE(FIND(G80,"DCBAS"),1,2,3,4,5),0),""))),"")</f>
        <v/>
      </c>
      <c r="I80" s="116">
        <f>IF(H80="","",IF(H80&gt;=4.5,"S",IF(H80&gt;=3.5,"A",IF(H80&gt;=2.5,"B",IF(H80&gt;=1.5,"C","D")))))</f>
        <v/>
      </c>
      <c r="J80" s="107" t="n"/>
      <c r="K80" s="107" t="n"/>
      <c r="L80" s="107" t="n"/>
      <c r="M80" s="107" t="n"/>
      <c r="N80" s="107" t="n"/>
      <c r="O80" s="107" t="n"/>
      <c r="P80" s="107" t="n"/>
      <c r="Q80" s="107" t="n"/>
      <c r="R80" s="107" t="n"/>
      <c r="S80" s="107" t="n"/>
      <c r="T80" s="107" t="n"/>
      <c r="U80" s="107" t="n"/>
    </row>
    <row r="81" ht="22" customHeight="1" s="86">
      <c r="A81" s="111">
        <f>IF('01_인적정보'!B23="","",'01_인적정보'!A23)</f>
        <v/>
      </c>
      <c r="B81" s="111">
        <f>IF('01_인적정보'!B23="","",'01_인적정보'!B23)</f>
        <v/>
      </c>
      <c r="C81" s="112">
        <f>IF('01_인적정보'!B23="","",'01_인적정보'!C23)</f>
        <v/>
      </c>
      <c r="D81" s="112">
        <f>IF('01_인적정보'!B23="","",'01_인적정보'!E23)</f>
        <v/>
      </c>
      <c r="E81" s="113">
        <f>IF('01_인적정보'!B23="","",'01_인적정보'!H23)</f>
        <v/>
      </c>
      <c r="F81" s="114">
        <f>IF('01_인적정보'!B23="","",'07b_하반기입력'!I23)</f>
        <v/>
      </c>
      <c r="G81" s="114">
        <f>IF('01_인적정보'!B23="","",'07b_하반기입력'!J23)</f>
        <v/>
      </c>
      <c r="H81" s="115">
        <f>IFERROR(IF(AND(F81&lt;&gt;"",G81&lt;&gt;""),'02_의사결정·종합결과'!$B$67*IFERROR(CHOOSE(FIND(F81,"DCBAS"),1,2,3,4,5),0)+'02_의사결정·종합결과'!$B$68*IFERROR(CHOOSE(FIND(G81,"DCBAS"),1,2,3,4,5),0),IF(F81&lt;&gt;"",IFERROR(CHOOSE(FIND(F81,"DCBAS"),1,2,3,4,5),0),IF(G81&lt;&gt;"",IFERROR(CHOOSE(FIND(G81,"DCBAS"),1,2,3,4,5),0),""))),"")</f>
        <v/>
      </c>
      <c r="I81" s="116">
        <f>IF(H81="","",IF(H81&gt;=4.5,"S",IF(H81&gt;=3.5,"A",IF(H81&gt;=2.5,"B",IF(H81&gt;=1.5,"C","D")))))</f>
        <v/>
      </c>
      <c r="J81" s="107" t="n"/>
      <c r="K81" s="107" t="n"/>
      <c r="L81" s="107" t="n"/>
      <c r="M81" s="107" t="n"/>
      <c r="N81" s="107" t="n"/>
      <c r="O81" s="107" t="n"/>
      <c r="P81" s="107" t="n"/>
      <c r="Q81" s="107" t="n"/>
      <c r="R81" s="107" t="n"/>
      <c r="S81" s="107" t="n"/>
      <c r="T81" s="107" t="n"/>
      <c r="U81" s="107" t="n"/>
    </row>
    <row r="82" ht="22" customHeight="1" s="86">
      <c r="A82" s="111">
        <f>IF('01_인적정보'!B24="","",'01_인적정보'!A24)</f>
        <v/>
      </c>
      <c r="B82" s="111">
        <f>IF('01_인적정보'!B24="","",'01_인적정보'!B24)</f>
        <v/>
      </c>
      <c r="C82" s="112">
        <f>IF('01_인적정보'!B24="","",'01_인적정보'!C24)</f>
        <v/>
      </c>
      <c r="D82" s="112">
        <f>IF('01_인적정보'!B24="","",'01_인적정보'!E24)</f>
        <v/>
      </c>
      <c r="E82" s="113">
        <f>IF('01_인적정보'!B24="","",'01_인적정보'!H24)</f>
        <v/>
      </c>
      <c r="F82" s="114">
        <f>IF('01_인적정보'!B24="","",'07b_하반기입력'!I24)</f>
        <v/>
      </c>
      <c r="G82" s="114">
        <f>IF('01_인적정보'!B24="","",'07b_하반기입력'!J24)</f>
        <v/>
      </c>
      <c r="H82" s="115">
        <f>IFERROR(IF(AND(F82&lt;&gt;"",G82&lt;&gt;""),'02_의사결정·종합결과'!$B$67*IFERROR(CHOOSE(FIND(F82,"DCBAS"),1,2,3,4,5),0)+'02_의사결정·종합결과'!$B$68*IFERROR(CHOOSE(FIND(G82,"DCBAS"),1,2,3,4,5),0),IF(F82&lt;&gt;"",IFERROR(CHOOSE(FIND(F82,"DCBAS"),1,2,3,4,5),0),IF(G82&lt;&gt;"",IFERROR(CHOOSE(FIND(G82,"DCBAS"),1,2,3,4,5),0),""))),"")</f>
        <v/>
      </c>
      <c r="I82" s="116">
        <f>IF(H82="","",IF(H82&gt;=4.5,"S",IF(H82&gt;=3.5,"A",IF(H82&gt;=2.5,"B",IF(H82&gt;=1.5,"C","D")))))</f>
        <v/>
      </c>
      <c r="J82" s="107" t="n"/>
      <c r="K82" s="107" t="n"/>
      <c r="L82" s="107" t="n"/>
      <c r="M82" s="107" t="n"/>
      <c r="N82" s="107" t="n"/>
      <c r="O82" s="107" t="n"/>
      <c r="P82" s="107" t="n"/>
      <c r="Q82" s="107" t="n"/>
      <c r="R82" s="107" t="n"/>
      <c r="S82" s="107" t="n"/>
      <c r="T82" s="107" t="n"/>
      <c r="U82" s="107" t="n"/>
    </row>
    <row r="83" ht="22" customHeight="1" s="86">
      <c r="A83" s="111">
        <f>IF('01_인적정보'!B25="","",'01_인적정보'!A25)</f>
        <v/>
      </c>
      <c r="B83" s="111">
        <f>IF('01_인적정보'!B25="","",'01_인적정보'!B25)</f>
        <v/>
      </c>
      <c r="C83" s="112">
        <f>IF('01_인적정보'!B25="","",'01_인적정보'!C25)</f>
        <v/>
      </c>
      <c r="D83" s="112">
        <f>IF('01_인적정보'!B25="","",'01_인적정보'!E25)</f>
        <v/>
      </c>
      <c r="E83" s="113">
        <f>IF('01_인적정보'!B25="","",'01_인적정보'!H25)</f>
        <v/>
      </c>
      <c r="F83" s="114">
        <f>IF('01_인적정보'!B25="","",'07b_하반기입력'!I25)</f>
        <v/>
      </c>
      <c r="G83" s="114">
        <f>IF('01_인적정보'!B25="","",'07b_하반기입력'!J25)</f>
        <v/>
      </c>
      <c r="H83" s="115">
        <f>IFERROR(IF(AND(F83&lt;&gt;"",G83&lt;&gt;""),'02_의사결정·종합결과'!$B$67*IFERROR(CHOOSE(FIND(F83,"DCBAS"),1,2,3,4,5),0)+'02_의사결정·종합결과'!$B$68*IFERROR(CHOOSE(FIND(G83,"DCBAS"),1,2,3,4,5),0),IF(F83&lt;&gt;"",IFERROR(CHOOSE(FIND(F83,"DCBAS"),1,2,3,4,5),0),IF(G83&lt;&gt;"",IFERROR(CHOOSE(FIND(G83,"DCBAS"),1,2,3,4,5),0),""))),"")</f>
        <v/>
      </c>
      <c r="I83" s="116">
        <f>IF(H83="","",IF(H83&gt;=4.5,"S",IF(H83&gt;=3.5,"A",IF(H83&gt;=2.5,"B",IF(H83&gt;=1.5,"C","D")))))</f>
        <v/>
      </c>
      <c r="J83" s="107" t="n"/>
      <c r="K83" s="107" t="n"/>
      <c r="L83" s="107" t="n"/>
      <c r="M83" s="107" t="n"/>
      <c r="N83" s="107" t="n"/>
      <c r="O83" s="107" t="n"/>
      <c r="P83" s="107" t="n"/>
      <c r="Q83" s="107" t="n"/>
      <c r="R83" s="107" t="n"/>
      <c r="S83" s="107" t="n"/>
      <c r="T83" s="107" t="n"/>
      <c r="U83" s="107" t="n"/>
    </row>
    <row r="84" ht="22" customHeight="1" s="86">
      <c r="A84" s="111">
        <f>IF('01_인적정보'!B26="","",'01_인적정보'!A26)</f>
        <v/>
      </c>
      <c r="B84" s="111">
        <f>IF('01_인적정보'!B26="","",'01_인적정보'!B26)</f>
        <v/>
      </c>
      <c r="C84" s="112">
        <f>IF('01_인적정보'!B26="","",'01_인적정보'!C26)</f>
        <v/>
      </c>
      <c r="D84" s="112">
        <f>IF('01_인적정보'!B26="","",'01_인적정보'!E26)</f>
        <v/>
      </c>
      <c r="E84" s="113">
        <f>IF('01_인적정보'!B26="","",'01_인적정보'!H26)</f>
        <v/>
      </c>
      <c r="F84" s="114">
        <f>IF('01_인적정보'!B26="","",'07b_하반기입력'!I26)</f>
        <v/>
      </c>
      <c r="G84" s="114">
        <f>IF('01_인적정보'!B26="","",'07b_하반기입력'!J26)</f>
        <v/>
      </c>
      <c r="H84" s="115">
        <f>IFERROR(IF(AND(F84&lt;&gt;"",G84&lt;&gt;""),'02_의사결정·종합결과'!$B$67*IFERROR(CHOOSE(FIND(F84,"DCBAS"),1,2,3,4,5),0)+'02_의사결정·종합결과'!$B$68*IFERROR(CHOOSE(FIND(G84,"DCBAS"),1,2,3,4,5),0),IF(F84&lt;&gt;"",IFERROR(CHOOSE(FIND(F84,"DCBAS"),1,2,3,4,5),0),IF(G84&lt;&gt;"",IFERROR(CHOOSE(FIND(G84,"DCBAS"),1,2,3,4,5),0),""))),"")</f>
        <v/>
      </c>
      <c r="I84" s="116">
        <f>IF(H84="","",IF(H84&gt;=4.5,"S",IF(H84&gt;=3.5,"A",IF(H84&gt;=2.5,"B",IF(H84&gt;=1.5,"C","D")))))</f>
        <v/>
      </c>
      <c r="J84" s="107" t="n"/>
      <c r="K84" s="107" t="n"/>
      <c r="L84" s="107" t="n"/>
      <c r="M84" s="107" t="n"/>
      <c r="N84" s="107" t="n"/>
      <c r="O84" s="107" t="n"/>
      <c r="P84" s="107" t="n"/>
      <c r="Q84" s="107" t="n"/>
      <c r="R84" s="107" t="n"/>
      <c r="S84" s="107" t="n"/>
      <c r="T84" s="107" t="n"/>
      <c r="U84" s="107" t="n"/>
    </row>
    <row r="85" ht="22" customHeight="1" s="86">
      <c r="A85" s="111">
        <f>IF('01_인적정보'!B27="","",'01_인적정보'!A27)</f>
        <v/>
      </c>
      <c r="B85" s="111">
        <f>IF('01_인적정보'!B27="","",'01_인적정보'!B27)</f>
        <v/>
      </c>
      <c r="C85" s="112">
        <f>IF('01_인적정보'!B27="","",'01_인적정보'!C27)</f>
        <v/>
      </c>
      <c r="D85" s="112">
        <f>IF('01_인적정보'!B27="","",'01_인적정보'!E27)</f>
        <v/>
      </c>
      <c r="E85" s="113">
        <f>IF('01_인적정보'!B27="","",'01_인적정보'!H27)</f>
        <v/>
      </c>
      <c r="F85" s="114">
        <f>IF('01_인적정보'!B27="","",'07b_하반기입력'!I27)</f>
        <v/>
      </c>
      <c r="G85" s="114">
        <f>IF('01_인적정보'!B27="","",'07b_하반기입력'!J27)</f>
        <v/>
      </c>
      <c r="H85" s="115">
        <f>IFERROR(IF(AND(F85&lt;&gt;"",G85&lt;&gt;""),'02_의사결정·종합결과'!$B$67*IFERROR(CHOOSE(FIND(F85,"DCBAS"),1,2,3,4,5),0)+'02_의사결정·종합결과'!$B$68*IFERROR(CHOOSE(FIND(G85,"DCBAS"),1,2,3,4,5),0),IF(F85&lt;&gt;"",IFERROR(CHOOSE(FIND(F85,"DCBAS"),1,2,3,4,5),0),IF(G85&lt;&gt;"",IFERROR(CHOOSE(FIND(G85,"DCBAS"),1,2,3,4,5),0),""))),"")</f>
        <v/>
      </c>
      <c r="I85" s="116">
        <f>IF(H85="","",IF(H85&gt;=4.5,"S",IF(H85&gt;=3.5,"A",IF(H85&gt;=2.5,"B",IF(H85&gt;=1.5,"C","D")))))</f>
        <v/>
      </c>
      <c r="J85" s="107" t="n"/>
      <c r="K85" s="107" t="n"/>
      <c r="L85" s="107" t="n"/>
      <c r="M85" s="107" t="n"/>
      <c r="N85" s="107" t="n"/>
      <c r="O85" s="107" t="n"/>
      <c r="P85" s="107" t="n"/>
      <c r="Q85" s="107" t="n"/>
      <c r="R85" s="107" t="n"/>
      <c r="S85" s="107" t="n"/>
      <c r="T85" s="107" t="n"/>
      <c r="U85" s="107" t="n"/>
    </row>
    <row r="86" ht="22" customHeight="1" s="86">
      <c r="A86" s="111">
        <f>IF('01_인적정보'!B28="","",'01_인적정보'!A28)</f>
        <v/>
      </c>
      <c r="B86" s="111">
        <f>IF('01_인적정보'!B28="","",'01_인적정보'!B28)</f>
        <v/>
      </c>
      <c r="C86" s="112">
        <f>IF('01_인적정보'!B28="","",'01_인적정보'!C28)</f>
        <v/>
      </c>
      <c r="D86" s="112">
        <f>IF('01_인적정보'!B28="","",'01_인적정보'!E28)</f>
        <v/>
      </c>
      <c r="E86" s="113">
        <f>IF('01_인적정보'!B28="","",'01_인적정보'!H28)</f>
        <v/>
      </c>
      <c r="F86" s="114">
        <f>IF('01_인적정보'!B28="","",'07b_하반기입력'!I28)</f>
        <v/>
      </c>
      <c r="G86" s="114">
        <f>IF('01_인적정보'!B28="","",'07b_하반기입력'!J28)</f>
        <v/>
      </c>
      <c r="H86" s="115">
        <f>IFERROR(IF(AND(F86&lt;&gt;"",G86&lt;&gt;""),'02_의사결정·종합결과'!$B$67*IFERROR(CHOOSE(FIND(F86,"DCBAS"),1,2,3,4,5),0)+'02_의사결정·종합결과'!$B$68*IFERROR(CHOOSE(FIND(G86,"DCBAS"),1,2,3,4,5),0),IF(F86&lt;&gt;"",IFERROR(CHOOSE(FIND(F86,"DCBAS"),1,2,3,4,5),0),IF(G86&lt;&gt;"",IFERROR(CHOOSE(FIND(G86,"DCBAS"),1,2,3,4,5),0),""))),"")</f>
        <v/>
      </c>
      <c r="I86" s="116">
        <f>IF(H86="","",IF(H86&gt;=4.5,"S",IF(H86&gt;=3.5,"A",IF(H86&gt;=2.5,"B",IF(H86&gt;=1.5,"C","D")))))</f>
        <v/>
      </c>
      <c r="J86" s="107" t="n"/>
      <c r="K86" s="107" t="n"/>
      <c r="L86" s="107" t="n"/>
      <c r="M86" s="107" t="n"/>
      <c r="N86" s="107" t="n"/>
      <c r="O86" s="107" t="n"/>
      <c r="P86" s="107" t="n"/>
      <c r="Q86" s="107" t="n"/>
      <c r="R86" s="107" t="n"/>
      <c r="S86" s="107" t="n"/>
      <c r="T86" s="107" t="n"/>
      <c r="U86" s="107" t="n"/>
    </row>
    <row r="87" ht="22" customHeight="1" s="86">
      <c r="A87" s="111">
        <f>IF('01_인적정보'!B29="","",'01_인적정보'!A29)</f>
        <v/>
      </c>
      <c r="B87" s="111">
        <f>IF('01_인적정보'!B29="","",'01_인적정보'!B29)</f>
        <v/>
      </c>
      <c r="C87" s="112">
        <f>IF('01_인적정보'!B29="","",'01_인적정보'!C29)</f>
        <v/>
      </c>
      <c r="D87" s="112">
        <f>IF('01_인적정보'!B29="","",'01_인적정보'!E29)</f>
        <v/>
      </c>
      <c r="E87" s="113">
        <f>IF('01_인적정보'!B29="","",'01_인적정보'!H29)</f>
        <v/>
      </c>
      <c r="F87" s="114">
        <f>IF('01_인적정보'!B29="","",'07b_하반기입력'!I29)</f>
        <v/>
      </c>
      <c r="G87" s="114">
        <f>IF('01_인적정보'!B29="","",'07b_하반기입력'!J29)</f>
        <v/>
      </c>
      <c r="H87" s="115">
        <f>IFERROR(IF(AND(F87&lt;&gt;"",G87&lt;&gt;""),'02_의사결정·종합결과'!$B$67*IFERROR(CHOOSE(FIND(F87,"DCBAS"),1,2,3,4,5),0)+'02_의사결정·종합결과'!$B$68*IFERROR(CHOOSE(FIND(G87,"DCBAS"),1,2,3,4,5),0),IF(F87&lt;&gt;"",IFERROR(CHOOSE(FIND(F87,"DCBAS"),1,2,3,4,5),0),IF(G87&lt;&gt;"",IFERROR(CHOOSE(FIND(G87,"DCBAS"),1,2,3,4,5),0),""))),"")</f>
        <v/>
      </c>
      <c r="I87" s="116">
        <f>IF(H87="","",IF(H87&gt;=4.5,"S",IF(H87&gt;=3.5,"A",IF(H87&gt;=2.5,"B",IF(H87&gt;=1.5,"C","D")))))</f>
        <v/>
      </c>
      <c r="J87" s="107" t="n"/>
      <c r="K87" s="107" t="n"/>
      <c r="L87" s="107" t="n"/>
      <c r="M87" s="107" t="n"/>
      <c r="N87" s="107" t="n"/>
      <c r="O87" s="107" t="n"/>
      <c r="P87" s="107" t="n"/>
      <c r="Q87" s="107" t="n"/>
      <c r="R87" s="107" t="n"/>
      <c r="S87" s="107" t="n"/>
      <c r="T87" s="107" t="n"/>
      <c r="U87" s="107" t="n"/>
    </row>
    <row r="88" ht="22" customHeight="1" s="86">
      <c r="A88" s="111">
        <f>IF('01_인적정보'!B30="","",'01_인적정보'!A30)</f>
        <v/>
      </c>
      <c r="B88" s="111">
        <f>IF('01_인적정보'!B30="","",'01_인적정보'!B30)</f>
        <v/>
      </c>
      <c r="C88" s="112">
        <f>IF('01_인적정보'!B30="","",'01_인적정보'!C30)</f>
        <v/>
      </c>
      <c r="D88" s="112">
        <f>IF('01_인적정보'!B30="","",'01_인적정보'!E30)</f>
        <v/>
      </c>
      <c r="E88" s="113">
        <f>IF('01_인적정보'!B30="","",'01_인적정보'!H30)</f>
        <v/>
      </c>
      <c r="F88" s="114">
        <f>IF('01_인적정보'!B30="","",'07b_하반기입력'!I30)</f>
        <v/>
      </c>
      <c r="G88" s="114">
        <f>IF('01_인적정보'!B30="","",'07b_하반기입력'!J30)</f>
        <v/>
      </c>
      <c r="H88" s="115">
        <f>IFERROR(IF(AND(F88&lt;&gt;"",G88&lt;&gt;""),'02_의사결정·종합결과'!$B$67*IFERROR(CHOOSE(FIND(F88,"DCBAS"),1,2,3,4,5),0)+'02_의사결정·종합결과'!$B$68*IFERROR(CHOOSE(FIND(G88,"DCBAS"),1,2,3,4,5),0),IF(F88&lt;&gt;"",IFERROR(CHOOSE(FIND(F88,"DCBAS"),1,2,3,4,5),0),IF(G88&lt;&gt;"",IFERROR(CHOOSE(FIND(G88,"DCBAS"),1,2,3,4,5),0),""))),"")</f>
        <v/>
      </c>
      <c r="I88" s="116">
        <f>IF(H88="","",IF(H88&gt;=4.5,"S",IF(H88&gt;=3.5,"A",IF(H88&gt;=2.5,"B",IF(H88&gt;=1.5,"C","D")))))</f>
        <v/>
      </c>
      <c r="J88" s="107" t="n"/>
      <c r="K88" s="107" t="n"/>
      <c r="L88" s="107" t="n"/>
      <c r="M88" s="107" t="n"/>
      <c r="N88" s="107" t="n"/>
      <c r="O88" s="107" t="n"/>
      <c r="P88" s="107" t="n"/>
      <c r="Q88" s="107" t="n"/>
      <c r="R88" s="107" t="n"/>
      <c r="S88" s="107" t="n"/>
      <c r="T88" s="107" t="n"/>
      <c r="U88" s="107" t="n"/>
    </row>
    <row r="89" ht="22" customHeight="1" s="86">
      <c r="A89" s="111">
        <f>IF('01_인적정보'!B31="","",'01_인적정보'!A31)</f>
        <v/>
      </c>
      <c r="B89" s="111">
        <f>IF('01_인적정보'!B31="","",'01_인적정보'!B31)</f>
        <v/>
      </c>
      <c r="C89" s="112">
        <f>IF('01_인적정보'!B31="","",'01_인적정보'!C31)</f>
        <v/>
      </c>
      <c r="D89" s="112">
        <f>IF('01_인적정보'!B31="","",'01_인적정보'!E31)</f>
        <v/>
      </c>
      <c r="E89" s="113">
        <f>IF('01_인적정보'!B31="","",'01_인적정보'!H31)</f>
        <v/>
      </c>
      <c r="F89" s="114">
        <f>IF('01_인적정보'!B31="","",'07b_하반기입력'!I31)</f>
        <v/>
      </c>
      <c r="G89" s="114">
        <f>IF('01_인적정보'!B31="","",'07b_하반기입력'!J31)</f>
        <v/>
      </c>
      <c r="H89" s="115">
        <f>IFERROR(IF(AND(F89&lt;&gt;"",G89&lt;&gt;""),'02_의사결정·종합결과'!$B$67*IFERROR(CHOOSE(FIND(F89,"DCBAS"),1,2,3,4,5),0)+'02_의사결정·종합결과'!$B$68*IFERROR(CHOOSE(FIND(G89,"DCBAS"),1,2,3,4,5),0),IF(F89&lt;&gt;"",IFERROR(CHOOSE(FIND(F89,"DCBAS"),1,2,3,4,5),0),IF(G89&lt;&gt;"",IFERROR(CHOOSE(FIND(G89,"DCBAS"),1,2,3,4,5),0),""))),"")</f>
        <v/>
      </c>
      <c r="I89" s="116">
        <f>IF(H89="","",IF(H89&gt;=4.5,"S",IF(H89&gt;=3.5,"A",IF(H89&gt;=2.5,"B",IF(H89&gt;=1.5,"C","D")))))</f>
        <v/>
      </c>
      <c r="J89" s="107" t="n"/>
      <c r="K89" s="107" t="n"/>
      <c r="L89" s="107" t="n"/>
      <c r="M89" s="107" t="n"/>
      <c r="N89" s="107" t="n"/>
      <c r="O89" s="107" t="n"/>
      <c r="P89" s="107" t="n"/>
      <c r="Q89" s="107" t="n"/>
      <c r="R89" s="107" t="n"/>
      <c r="S89" s="107" t="n"/>
      <c r="T89" s="107" t="n"/>
      <c r="U89" s="107" t="n"/>
    </row>
    <row r="90" ht="22" customHeight="1" s="86">
      <c r="A90" s="111">
        <f>IF('01_인적정보'!B32="","",'01_인적정보'!A32)</f>
        <v/>
      </c>
      <c r="B90" s="111">
        <f>IF('01_인적정보'!B32="","",'01_인적정보'!B32)</f>
        <v/>
      </c>
      <c r="C90" s="112">
        <f>IF('01_인적정보'!B32="","",'01_인적정보'!C32)</f>
        <v/>
      </c>
      <c r="D90" s="112">
        <f>IF('01_인적정보'!B32="","",'01_인적정보'!E32)</f>
        <v/>
      </c>
      <c r="E90" s="113">
        <f>IF('01_인적정보'!B32="","",'01_인적정보'!H32)</f>
        <v/>
      </c>
      <c r="F90" s="114">
        <f>IF('01_인적정보'!B32="","",'07b_하반기입력'!I32)</f>
        <v/>
      </c>
      <c r="G90" s="114">
        <f>IF('01_인적정보'!B32="","",'07b_하반기입력'!J32)</f>
        <v/>
      </c>
      <c r="H90" s="115">
        <f>IFERROR(IF(AND(F90&lt;&gt;"",G90&lt;&gt;""),'02_의사결정·종합결과'!$B$67*IFERROR(CHOOSE(FIND(F90,"DCBAS"),1,2,3,4,5),0)+'02_의사결정·종합결과'!$B$68*IFERROR(CHOOSE(FIND(G90,"DCBAS"),1,2,3,4,5),0),IF(F90&lt;&gt;"",IFERROR(CHOOSE(FIND(F90,"DCBAS"),1,2,3,4,5),0),IF(G90&lt;&gt;"",IFERROR(CHOOSE(FIND(G90,"DCBAS"),1,2,3,4,5),0),""))),"")</f>
        <v/>
      </c>
      <c r="I90" s="116">
        <f>IF(H90="","",IF(H90&gt;=4.5,"S",IF(H90&gt;=3.5,"A",IF(H90&gt;=2.5,"B",IF(H90&gt;=1.5,"C","D")))))</f>
        <v/>
      </c>
      <c r="J90" s="107" t="n"/>
      <c r="K90" s="107" t="n"/>
      <c r="L90" s="107" t="n"/>
      <c r="M90" s="107" t="n"/>
      <c r="N90" s="107" t="n"/>
      <c r="O90" s="107" t="n"/>
      <c r="P90" s="107" t="n"/>
      <c r="Q90" s="107" t="n"/>
      <c r="R90" s="107" t="n"/>
      <c r="S90" s="107" t="n"/>
      <c r="T90" s="107" t="n"/>
      <c r="U90" s="107" t="n"/>
    </row>
    <row r="91" ht="22" customHeight="1" s="86">
      <c r="A91" s="111">
        <f>IF('01_인적정보'!B33="","",'01_인적정보'!A33)</f>
        <v/>
      </c>
      <c r="B91" s="111">
        <f>IF('01_인적정보'!B33="","",'01_인적정보'!B33)</f>
        <v/>
      </c>
      <c r="C91" s="112">
        <f>IF('01_인적정보'!B33="","",'01_인적정보'!C33)</f>
        <v/>
      </c>
      <c r="D91" s="112">
        <f>IF('01_인적정보'!B33="","",'01_인적정보'!E33)</f>
        <v/>
      </c>
      <c r="E91" s="113">
        <f>IF('01_인적정보'!B33="","",'01_인적정보'!H33)</f>
        <v/>
      </c>
      <c r="F91" s="114">
        <f>IF('01_인적정보'!B33="","",'07b_하반기입력'!I33)</f>
        <v/>
      </c>
      <c r="G91" s="114">
        <f>IF('01_인적정보'!B33="","",'07b_하반기입력'!J33)</f>
        <v/>
      </c>
      <c r="H91" s="115">
        <f>IFERROR(IF(AND(F91&lt;&gt;"",G91&lt;&gt;""),'02_의사결정·종합결과'!$B$67*IFERROR(CHOOSE(FIND(F91,"DCBAS"),1,2,3,4,5),0)+'02_의사결정·종합결과'!$B$68*IFERROR(CHOOSE(FIND(G91,"DCBAS"),1,2,3,4,5),0),IF(F91&lt;&gt;"",IFERROR(CHOOSE(FIND(F91,"DCBAS"),1,2,3,4,5),0),IF(G91&lt;&gt;"",IFERROR(CHOOSE(FIND(G91,"DCBAS"),1,2,3,4,5),0),""))),"")</f>
        <v/>
      </c>
      <c r="I91" s="116">
        <f>IF(H91="","",IF(H91&gt;=4.5,"S",IF(H91&gt;=3.5,"A",IF(H91&gt;=2.5,"B",IF(H91&gt;=1.5,"C","D")))))</f>
        <v/>
      </c>
      <c r="J91" s="107" t="n"/>
      <c r="K91" s="107" t="n"/>
      <c r="L91" s="107" t="n"/>
      <c r="M91" s="107" t="n"/>
      <c r="N91" s="107" t="n"/>
      <c r="O91" s="107" t="n"/>
      <c r="P91" s="107" t="n"/>
      <c r="Q91" s="107" t="n"/>
      <c r="R91" s="107" t="n"/>
      <c r="S91" s="107" t="n"/>
      <c r="T91" s="107" t="n"/>
      <c r="U91" s="107" t="n"/>
    </row>
    <row r="92" ht="22" customHeight="1" s="86">
      <c r="A92" s="111">
        <f>IF('01_인적정보'!B34="","",'01_인적정보'!A34)</f>
        <v/>
      </c>
      <c r="B92" s="111">
        <f>IF('01_인적정보'!B34="","",'01_인적정보'!B34)</f>
        <v/>
      </c>
      <c r="C92" s="112">
        <f>IF('01_인적정보'!B34="","",'01_인적정보'!C34)</f>
        <v/>
      </c>
      <c r="D92" s="112">
        <f>IF('01_인적정보'!B34="","",'01_인적정보'!E34)</f>
        <v/>
      </c>
      <c r="E92" s="113">
        <f>IF('01_인적정보'!B34="","",'01_인적정보'!H34)</f>
        <v/>
      </c>
      <c r="F92" s="114">
        <f>IF('01_인적정보'!B34="","",'07b_하반기입력'!I34)</f>
        <v/>
      </c>
      <c r="G92" s="114">
        <f>IF('01_인적정보'!B34="","",'07b_하반기입력'!J34)</f>
        <v/>
      </c>
      <c r="H92" s="115">
        <f>IFERROR(IF(AND(F92&lt;&gt;"",G92&lt;&gt;""),'02_의사결정·종합결과'!$B$67*IFERROR(CHOOSE(FIND(F92,"DCBAS"),1,2,3,4,5),0)+'02_의사결정·종합결과'!$B$68*IFERROR(CHOOSE(FIND(G92,"DCBAS"),1,2,3,4,5),0),IF(F92&lt;&gt;"",IFERROR(CHOOSE(FIND(F92,"DCBAS"),1,2,3,4,5),0),IF(G92&lt;&gt;"",IFERROR(CHOOSE(FIND(G92,"DCBAS"),1,2,3,4,5),0),""))),"")</f>
        <v/>
      </c>
      <c r="I92" s="116">
        <f>IF(H92="","",IF(H92&gt;=4.5,"S",IF(H92&gt;=3.5,"A",IF(H92&gt;=2.5,"B",IF(H92&gt;=1.5,"C","D")))))</f>
        <v/>
      </c>
      <c r="J92" s="107" t="n"/>
      <c r="K92" s="107" t="n"/>
      <c r="L92" s="107" t="n"/>
      <c r="M92" s="107" t="n"/>
      <c r="N92" s="107" t="n"/>
      <c r="O92" s="107" t="n"/>
      <c r="P92" s="107" t="n"/>
      <c r="Q92" s="107" t="n"/>
      <c r="R92" s="107" t="n"/>
      <c r="S92" s="107" t="n"/>
      <c r="T92" s="107" t="n"/>
      <c r="U92" s="107" t="n"/>
    </row>
    <row r="93" ht="22" customHeight="1" s="86">
      <c r="A93" s="111">
        <f>IF('01_인적정보'!B35="","",'01_인적정보'!A35)</f>
        <v/>
      </c>
      <c r="B93" s="111">
        <f>IF('01_인적정보'!B35="","",'01_인적정보'!B35)</f>
        <v/>
      </c>
      <c r="C93" s="112">
        <f>IF('01_인적정보'!B35="","",'01_인적정보'!C35)</f>
        <v/>
      </c>
      <c r="D93" s="112">
        <f>IF('01_인적정보'!B35="","",'01_인적정보'!E35)</f>
        <v/>
      </c>
      <c r="E93" s="113">
        <f>IF('01_인적정보'!B35="","",'01_인적정보'!H35)</f>
        <v/>
      </c>
      <c r="F93" s="114">
        <f>IF('01_인적정보'!B35="","",'07b_하반기입력'!I35)</f>
        <v/>
      </c>
      <c r="G93" s="114">
        <f>IF('01_인적정보'!B35="","",'07b_하반기입력'!J35)</f>
        <v/>
      </c>
      <c r="H93" s="115">
        <f>IFERROR(IF(AND(F93&lt;&gt;"",G93&lt;&gt;""),'02_의사결정·종합결과'!$B$67*IFERROR(CHOOSE(FIND(F93,"DCBAS"),1,2,3,4,5),0)+'02_의사결정·종합결과'!$B$68*IFERROR(CHOOSE(FIND(G93,"DCBAS"),1,2,3,4,5),0),IF(F93&lt;&gt;"",IFERROR(CHOOSE(FIND(F93,"DCBAS"),1,2,3,4,5),0),IF(G93&lt;&gt;"",IFERROR(CHOOSE(FIND(G93,"DCBAS"),1,2,3,4,5),0),""))),"")</f>
        <v/>
      </c>
      <c r="I93" s="116">
        <f>IF(H93="","",IF(H93&gt;=4.5,"S",IF(H93&gt;=3.5,"A",IF(H93&gt;=2.5,"B",IF(H93&gt;=1.5,"C","D")))))</f>
        <v/>
      </c>
      <c r="J93" s="107" t="n"/>
      <c r="K93" s="107" t="n"/>
      <c r="L93" s="107" t="n"/>
      <c r="M93" s="107" t="n"/>
      <c r="N93" s="107" t="n"/>
      <c r="O93" s="107" t="n"/>
      <c r="P93" s="107" t="n"/>
      <c r="Q93" s="107" t="n"/>
      <c r="R93" s="107" t="n"/>
      <c r="S93" s="107" t="n"/>
      <c r="T93" s="107" t="n"/>
      <c r="U93" s="107" t="n"/>
    </row>
    <row r="94" ht="22" customHeight="1" s="86">
      <c r="A94" s="111">
        <f>IF('01_인적정보'!B36="","",'01_인적정보'!A36)</f>
        <v/>
      </c>
      <c r="B94" s="111">
        <f>IF('01_인적정보'!B36="","",'01_인적정보'!B36)</f>
        <v/>
      </c>
      <c r="C94" s="112">
        <f>IF('01_인적정보'!B36="","",'01_인적정보'!C36)</f>
        <v/>
      </c>
      <c r="D94" s="112">
        <f>IF('01_인적정보'!B36="","",'01_인적정보'!E36)</f>
        <v/>
      </c>
      <c r="E94" s="113">
        <f>IF('01_인적정보'!B36="","",'01_인적정보'!H36)</f>
        <v/>
      </c>
      <c r="F94" s="114">
        <f>IF('01_인적정보'!B36="","",'07b_하반기입력'!I36)</f>
        <v/>
      </c>
      <c r="G94" s="114">
        <f>IF('01_인적정보'!B36="","",'07b_하반기입력'!J36)</f>
        <v/>
      </c>
      <c r="H94" s="115">
        <f>IFERROR(IF(AND(F94&lt;&gt;"",G94&lt;&gt;""),'02_의사결정·종합결과'!$B$67*IFERROR(CHOOSE(FIND(F94,"DCBAS"),1,2,3,4,5),0)+'02_의사결정·종합결과'!$B$68*IFERROR(CHOOSE(FIND(G94,"DCBAS"),1,2,3,4,5),0),IF(F94&lt;&gt;"",IFERROR(CHOOSE(FIND(F94,"DCBAS"),1,2,3,4,5),0),IF(G94&lt;&gt;"",IFERROR(CHOOSE(FIND(G94,"DCBAS"),1,2,3,4,5),0),""))),"")</f>
        <v/>
      </c>
      <c r="I94" s="116">
        <f>IF(H94="","",IF(H94&gt;=4.5,"S",IF(H94&gt;=3.5,"A",IF(H94&gt;=2.5,"B",IF(H94&gt;=1.5,"C","D")))))</f>
        <v/>
      </c>
      <c r="J94" s="107" t="n"/>
      <c r="K94" s="107" t="n"/>
      <c r="L94" s="107" t="n"/>
      <c r="M94" s="107" t="n"/>
      <c r="N94" s="107" t="n"/>
      <c r="O94" s="107" t="n"/>
      <c r="P94" s="107" t="n"/>
      <c r="Q94" s="107" t="n"/>
      <c r="R94" s="107" t="n"/>
      <c r="S94" s="107" t="n"/>
      <c r="T94" s="107" t="n"/>
      <c r="U94" s="107" t="n"/>
    </row>
    <row r="95" ht="22" customHeight="1" s="86">
      <c r="A95" s="111">
        <f>IF('01_인적정보'!B37="","",'01_인적정보'!A37)</f>
        <v/>
      </c>
      <c r="B95" s="111">
        <f>IF('01_인적정보'!B37="","",'01_인적정보'!B37)</f>
        <v/>
      </c>
      <c r="C95" s="112">
        <f>IF('01_인적정보'!B37="","",'01_인적정보'!C37)</f>
        <v/>
      </c>
      <c r="D95" s="112">
        <f>IF('01_인적정보'!B37="","",'01_인적정보'!E37)</f>
        <v/>
      </c>
      <c r="E95" s="113">
        <f>IF('01_인적정보'!B37="","",'01_인적정보'!H37)</f>
        <v/>
      </c>
      <c r="F95" s="114">
        <f>IF('01_인적정보'!B37="","",'07b_하반기입력'!I37)</f>
        <v/>
      </c>
      <c r="G95" s="114">
        <f>IF('01_인적정보'!B37="","",'07b_하반기입력'!J37)</f>
        <v/>
      </c>
      <c r="H95" s="115">
        <f>IFERROR(IF(AND(F95&lt;&gt;"",G95&lt;&gt;""),'02_의사결정·종합결과'!$B$67*IFERROR(CHOOSE(FIND(F95,"DCBAS"),1,2,3,4,5),0)+'02_의사결정·종합결과'!$B$68*IFERROR(CHOOSE(FIND(G95,"DCBAS"),1,2,3,4,5),0),IF(F95&lt;&gt;"",IFERROR(CHOOSE(FIND(F95,"DCBAS"),1,2,3,4,5),0),IF(G95&lt;&gt;"",IFERROR(CHOOSE(FIND(G95,"DCBAS"),1,2,3,4,5),0),""))),"")</f>
        <v/>
      </c>
      <c r="I95" s="116">
        <f>IF(H95="","",IF(H95&gt;=4.5,"S",IF(H95&gt;=3.5,"A",IF(H95&gt;=2.5,"B",IF(H95&gt;=1.5,"C","D")))))</f>
        <v/>
      </c>
      <c r="J95" s="107" t="n"/>
      <c r="K95" s="107" t="n"/>
      <c r="L95" s="107" t="n"/>
      <c r="M95" s="107" t="n"/>
      <c r="N95" s="107" t="n"/>
      <c r="O95" s="107" t="n"/>
      <c r="P95" s="107" t="n"/>
      <c r="Q95" s="107" t="n"/>
      <c r="R95" s="107" t="n"/>
      <c r="S95" s="107" t="n"/>
      <c r="T95" s="107" t="n"/>
      <c r="U95" s="107" t="n"/>
    </row>
    <row r="96" ht="22" customHeight="1" s="86">
      <c r="A96" s="111">
        <f>IF('01_인적정보'!B38="","",'01_인적정보'!A38)</f>
        <v/>
      </c>
      <c r="B96" s="111">
        <f>IF('01_인적정보'!B38="","",'01_인적정보'!B38)</f>
        <v/>
      </c>
      <c r="C96" s="112">
        <f>IF('01_인적정보'!B38="","",'01_인적정보'!C38)</f>
        <v/>
      </c>
      <c r="D96" s="112">
        <f>IF('01_인적정보'!B38="","",'01_인적정보'!E38)</f>
        <v/>
      </c>
      <c r="E96" s="113">
        <f>IF('01_인적정보'!B38="","",'01_인적정보'!H38)</f>
        <v/>
      </c>
      <c r="F96" s="114">
        <f>IF('01_인적정보'!B38="","",'07b_하반기입력'!I38)</f>
        <v/>
      </c>
      <c r="G96" s="114">
        <f>IF('01_인적정보'!B38="","",'07b_하반기입력'!J38)</f>
        <v/>
      </c>
      <c r="H96" s="115">
        <f>IFERROR(IF(AND(F96&lt;&gt;"",G96&lt;&gt;""),'02_의사결정·종합결과'!$B$67*IFERROR(CHOOSE(FIND(F96,"DCBAS"),1,2,3,4,5),0)+'02_의사결정·종합결과'!$B$68*IFERROR(CHOOSE(FIND(G96,"DCBAS"),1,2,3,4,5),0),IF(F96&lt;&gt;"",IFERROR(CHOOSE(FIND(F96,"DCBAS"),1,2,3,4,5),0),IF(G96&lt;&gt;"",IFERROR(CHOOSE(FIND(G96,"DCBAS"),1,2,3,4,5),0),""))),"")</f>
        <v/>
      </c>
      <c r="I96" s="116">
        <f>IF(H96="","",IF(H96&gt;=4.5,"S",IF(H96&gt;=3.5,"A",IF(H96&gt;=2.5,"B",IF(H96&gt;=1.5,"C","D")))))</f>
        <v/>
      </c>
      <c r="J96" s="107" t="n"/>
      <c r="K96" s="107" t="n"/>
      <c r="L96" s="107" t="n"/>
      <c r="M96" s="107" t="n"/>
      <c r="N96" s="107" t="n"/>
      <c r="O96" s="107" t="n"/>
      <c r="P96" s="107" t="n"/>
      <c r="Q96" s="107" t="n"/>
      <c r="R96" s="107" t="n"/>
      <c r="S96" s="107" t="n"/>
      <c r="T96" s="107" t="n"/>
      <c r="U96" s="107" t="n"/>
    </row>
    <row r="97" ht="22" customHeight="1" s="86">
      <c r="A97" s="111">
        <f>IF('01_인적정보'!B39="","",'01_인적정보'!A39)</f>
        <v/>
      </c>
      <c r="B97" s="111">
        <f>IF('01_인적정보'!B39="","",'01_인적정보'!B39)</f>
        <v/>
      </c>
      <c r="C97" s="112">
        <f>IF('01_인적정보'!B39="","",'01_인적정보'!C39)</f>
        <v/>
      </c>
      <c r="D97" s="112">
        <f>IF('01_인적정보'!B39="","",'01_인적정보'!E39)</f>
        <v/>
      </c>
      <c r="E97" s="113">
        <f>IF('01_인적정보'!B39="","",'01_인적정보'!H39)</f>
        <v/>
      </c>
      <c r="F97" s="114">
        <f>IF('01_인적정보'!B39="","",'07b_하반기입력'!I39)</f>
        <v/>
      </c>
      <c r="G97" s="114">
        <f>IF('01_인적정보'!B39="","",'07b_하반기입력'!J39)</f>
        <v/>
      </c>
      <c r="H97" s="115">
        <f>IFERROR(IF(AND(F97&lt;&gt;"",G97&lt;&gt;""),'02_의사결정·종합결과'!$B$67*IFERROR(CHOOSE(FIND(F97,"DCBAS"),1,2,3,4,5),0)+'02_의사결정·종합결과'!$B$68*IFERROR(CHOOSE(FIND(G97,"DCBAS"),1,2,3,4,5),0),IF(F97&lt;&gt;"",IFERROR(CHOOSE(FIND(F97,"DCBAS"),1,2,3,4,5),0),IF(G97&lt;&gt;"",IFERROR(CHOOSE(FIND(G97,"DCBAS"),1,2,3,4,5),0),""))),"")</f>
        <v/>
      </c>
      <c r="I97" s="116">
        <f>IF(H97="","",IF(H97&gt;=4.5,"S",IF(H97&gt;=3.5,"A",IF(H97&gt;=2.5,"B",IF(H97&gt;=1.5,"C","D")))))</f>
        <v/>
      </c>
      <c r="J97" s="107" t="n"/>
      <c r="K97" s="107" t="n"/>
      <c r="L97" s="107" t="n"/>
      <c r="M97" s="107" t="n"/>
      <c r="N97" s="107" t="n"/>
      <c r="O97" s="107" t="n"/>
      <c r="P97" s="107" t="n"/>
      <c r="Q97" s="107" t="n"/>
      <c r="R97" s="107" t="n"/>
      <c r="S97" s="107" t="n"/>
      <c r="T97" s="107" t="n"/>
      <c r="U97" s="107" t="n"/>
    </row>
    <row r="98" ht="22" customHeight="1" s="86">
      <c r="A98" s="111">
        <f>IF('01_인적정보'!B40="","",'01_인적정보'!A40)</f>
        <v/>
      </c>
      <c r="B98" s="111">
        <f>IF('01_인적정보'!B40="","",'01_인적정보'!B40)</f>
        <v/>
      </c>
      <c r="C98" s="112">
        <f>IF('01_인적정보'!B40="","",'01_인적정보'!C40)</f>
        <v/>
      </c>
      <c r="D98" s="112">
        <f>IF('01_인적정보'!B40="","",'01_인적정보'!E40)</f>
        <v/>
      </c>
      <c r="E98" s="113">
        <f>IF('01_인적정보'!B40="","",'01_인적정보'!H40)</f>
        <v/>
      </c>
      <c r="F98" s="114">
        <f>IF('01_인적정보'!B40="","",'07b_하반기입력'!I40)</f>
        <v/>
      </c>
      <c r="G98" s="114">
        <f>IF('01_인적정보'!B40="","",'07b_하반기입력'!J40)</f>
        <v/>
      </c>
      <c r="H98" s="115">
        <f>IFERROR(IF(AND(F98&lt;&gt;"",G98&lt;&gt;""),'02_의사결정·종합결과'!$B$67*IFERROR(CHOOSE(FIND(F98,"DCBAS"),1,2,3,4,5),0)+'02_의사결정·종합결과'!$B$68*IFERROR(CHOOSE(FIND(G98,"DCBAS"),1,2,3,4,5),0),IF(F98&lt;&gt;"",IFERROR(CHOOSE(FIND(F98,"DCBAS"),1,2,3,4,5),0),IF(G98&lt;&gt;"",IFERROR(CHOOSE(FIND(G98,"DCBAS"),1,2,3,4,5),0),""))),"")</f>
        <v/>
      </c>
      <c r="I98" s="116">
        <f>IF(H98="","",IF(H98&gt;=4.5,"S",IF(H98&gt;=3.5,"A",IF(H98&gt;=2.5,"B",IF(H98&gt;=1.5,"C","D")))))</f>
        <v/>
      </c>
      <c r="J98" s="107" t="n"/>
      <c r="K98" s="107" t="n"/>
      <c r="L98" s="107" t="n"/>
      <c r="M98" s="107" t="n"/>
      <c r="N98" s="107" t="n"/>
      <c r="O98" s="107" t="n"/>
      <c r="P98" s="107" t="n"/>
      <c r="Q98" s="107" t="n"/>
      <c r="R98" s="107" t="n"/>
      <c r="S98" s="107" t="n"/>
      <c r="T98" s="107" t="n"/>
      <c r="U98" s="107" t="n"/>
    </row>
    <row r="99" ht="22" customHeight="1" s="86">
      <c r="A99" s="111">
        <f>IF('01_인적정보'!B41="","",'01_인적정보'!A41)</f>
        <v/>
      </c>
      <c r="B99" s="111">
        <f>IF('01_인적정보'!B41="","",'01_인적정보'!B41)</f>
        <v/>
      </c>
      <c r="C99" s="112">
        <f>IF('01_인적정보'!B41="","",'01_인적정보'!C41)</f>
        <v/>
      </c>
      <c r="D99" s="112">
        <f>IF('01_인적정보'!B41="","",'01_인적정보'!E41)</f>
        <v/>
      </c>
      <c r="E99" s="113">
        <f>IF('01_인적정보'!B41="","",'01_인적정보'!H41)</f>
        <v/>
      </c>
      <c r="F99" s="114">
        <f>IF('01_인적정보'!B41="","",'07b_하반기입력'!I41)</f>
        <v/>
      </c>
      <c r="G99" s="114">
        <f>IF('01_인적정보'!B41="","",'07b_하반기입력'!J41)</f>
        <v/>
      </c>
      <c r="H99" s="115">
        <f>IFERROR(IF(AND(F99&lt;&gt;"",G99&lt;&gt;""),'02_의사결정·종합결과'!$B$67*IFERROR(CHOOSE(FIND(F99,"DCBAS"),1,2,3,4,5),0)+'02_의사결정·종합결과'!$B$68*IFERROR(CHOOSE(FIND(G99,"DCBAS"),1,2,3,4,5),0),IF(F99&lt;&gt;"",IFERROR(CHOOSE(FIND(F99,"DCBAS"),1,2,3,4,5),0),IF(G99&lt;&gt;"",IFERROR(CHOOSE(FIND(G99,"DCBAS"),1,2,3,4,5),0),""))),"")</f>
        <v/>
      </c>
      <c r="I99" s="116">
        <f>IF(H99="","",IF(H99&gt;=4.5,"S",IF(H99&gt;=3.5,"A",IF(H99&gt;=2.5,"B",IF(H99&gt;=1.5,"C","D")))))</f>
        <v/>
      </c>
      <c r="J99" s="107" t="n"/>
      <c r="K99" s="107" t="n"/>
      <c r="L99" s="107" t="n"/>
      <c r="M99" s="107" t="n"/>
      <c r="N99" s="107" t="n"/>
      <c r="O99" s="107" t="n"/>
      <c r="P99" s="107" t="n"/>
      <c r="Q99" s="107" t="n"/>
      <c r="R99" s="107" t="n"/>
      <c r="S99" s="107" t="n"/>
      <c r="T99" s="107" t="n"/>
      <c r="U99" s="107" t="n"/>
    </row>
    <row r="100" ht="22" customHeight="1" s="86">
      <c r="A100" s="111">
        <f>IF('01_인적정보'!B42="","",'01_인적정보'!A42)</f>
        <v/>
      </c>
      <c r="B100" s="111">
        <f>IF('01_인적정보'!B42="","",'01_인적정보'!B42)</f>
        <v/>
      </c>
      <c r="C100" s="112">
        <f>IF('01_인적정보'!B42="","",'01_인적정보'!C42)</f>
        <v/>
      </c>
      <c r="D100" s="112">
        <f>IF('01_인적정보'!B42="","",'01_인적정보'!E42)</f>
        <v/>
      </c>
      <c r="E100" s="113">
        <f>IF('01_인적정보'!B42="","",'01_인적정보'!H42)</f>
        <v/>
      </c>
      <c r="F100" s="114">
        <f>IF('01_인적정보'!B42="","",'07b_하반기입력'!I42)</f>
        <v/>
      </c>
      <c r="G100" s="114">
        <f>IF('01_인적정보'!B42="","",'07b_하반기입력'!J42)</f>
        <v/>
      </c>
      <c r="H100" s="115">
        <f>IFERROR(IF(AND(F100&lt;&gt;"",G100&lt;&gt;""),'02_의사결정·종합결과'!$B$67*IFERROR(CHOOSE(FIND(F100,"DCBAS"),1,2,3,4,5),0)+'02_의사결정·종합결과'!$B$68*IFERROR(CHOOSE(FIND(G100,"DCBAS"),1,2,3,4,5),0),IF(F100&lt;&gt;"",IFERROR(CHOOSE(FIND(F100,"DCBAS"),1,2,3,4,5),0),IF(G100&lt;&gt;"",IFERROR(CHOOSE(FIND(G100,"DCBAS"),1,2,3,4,5),0),""))),"")</f>
        <v/>
      </c>
      <c r="I100" s="116">
        <f>IF(H100="","",IF(H100&gt;=4.5,"S",IF(H100&gt;=3.5,"A",IF(H100&gt;=2.5,"B",IF(H100&gt;=1.5,"C","D")))))</f>
        <v/>
      </c>
      <c r="J100" s="107" t="n"/>
      <c r="K100" s="107" t="n"/>
      <c r="L100" s="107" t="n"/>
      <c r="M100" s="107" t="n"/>
      <c r="N100" s="107" t="n"/>
      <c r="O100" s="107" t="n"/>
      <c r="P100" s="107" t="n"/>
      <c r="Q100" s="107" t="n"/>
      <c r="R100" s="107" t="n"/>
      <c r="S100" s="107" t="n"/>
      <c r="T100" s="107" t="n"/>
      <c r="U100" s="107" t="n"/>
    </row>
    <row r="101" ht="22" customHeight="1" s="86">
      <c r="A101" s="111">
        <f>IF('01_인적정보'!B43="","",'01_인적정보'!A43)</f>
        <v/>
      </c>
      <c r="B101" s="111">
        <f>IF('01_인적정보'!B43="","",'01_인적정보'!B43)</f>
        <v/>
      </c>
      <c r="C101" s="112">
        <f>IF('01_인적정보'!B43="","",'01_인적정보'!C43)</f>
        <v/>
      </c>
      <c r="D101" s="112">
        <f>IF('01_인적정보'!B43="","",'01_인적정보'!E43)</f>
        <v/>
      </c>
      <c r="E101" s="113">
        <f>IF('01_인적정보'!B43="","",'01_인적정보'!H43)</f>
        <v/>
      </c>
      <c r="F101" s="114">
        <f>IF('01_인적정보'!B43="","",'07b_하반기입력'!I43)</f>
        <v/>
      </c>
      <c r="G101" s="114">
        <f>IF('01_인적정보'!B43="","",'07b_하반기입력'!J43)</f>
        <v/>
      </c>
      <c r="H101" s="115">
        <f>IFERROR(IF(AND(F101&lt;&gt;"",G101&lt;&gt;""),'02_의사결정·종합결과'!$B$67*IFERROR(CHOOSE(FIND(F101,"DCBAS"),1,2,3,4,5),0)+'02_의사결정·종합결과'!$B$68*IFERROR(CHOOSE(FIND(G101,"DCBAS"),1,2,3,4,5),0),IF(F101&lt;&gt;"",IFERROR(CHOOSE(FIND(F101,"DCBAS"),1,2,3,4,5),0),IF(G101&lt;&gt;"",IFERROR(CHOOSE(FIND(G101,"DCBAS"),1,2,3,4,5),0),""))),"")</f>
        <v/>
      </c>
      <c r="I101" s="116">
        <f>IF(H101="","",IF(H101&gt;=4.5,"S",IF(H101&gt;=3.5,"A",IF(H101&gt;=2.5,"B",IF(H101&gt;=1.5,"C","D")))))</f>
        <v/>
      </c>
      <c r="J101" s="107" t="n"/>
      <c r="K101" s="107" t="n"/>
      <c r="L101" s="107" t="n"/>
      <c r="M101" s="107" t="n"/>
      <c r="N101" s="107" t="n"/>
      <c r="O101" s="107" t="n"/>
      <c r="P101" s="107" t="n"/>
      <c r="Q101" s="107" t="n"/>
      <c r="R101" s="107" t="n"/>
      <c r="S101" s="107" t="n"/>
      <c r="T101" s="107" t="n"/>
      <c r="U101" s="107" t="n"/>
    </row>
    <row r="102" ht="22" customHeight="1" s="86">
      <c r="A102" s="111">
        <f>IF('01_인적정보'!B44="","",'01_인적정보'!A44)</f>
        <v/>
      </c>
      <c r="B102" s="111">
        <f>IF('01_인적정보'!B44="","",'01_인적정보'!B44)</f>
        <v/>
      </c>
      <c r="C102" s="112">
        <f>IF('01_인적정보'!B44="","",'01_인적정보'!C44)</f>
        <v/>
      </c>
      <c r="D102" s="112">
        <f>IF('01_인적정보'!B44="","",'01_인적정보'!E44)</f>
        <v/>
      </c>
      <c r="E102" s="113">
        <f>IF('01_인적정보'!B44="","",'01_인적정보'!H44)</f>
        <v/>
      </c>
      <c r="F102" s="114">
        <f>IF('01_인적정보'!B44="","",'07b_하반기입력'!I44)</f>
        <v/>
      </c>
      <c r="G102" s="114">
        <f>IF('01_인적정보'!B44="","",'07b_하반기입력'!J44)</f>
        <v/>
      </c>
      <c r="H102" s="115">
        <f>IFERROR(IF(AND(F102&lt;&gt;"",G102&lt;&gt;""),'02_의사결정·종합결과'!$B$67*IFERROR(CHOOSE(FIND(F102,"DCBAS"),1,2,3,4,5),0)+'02_의사결정·종합결과'!$B$68*IFERROR(CHOOSE(FIND(G102,"DCBAS"),1,2,3,4,5),0),IF(F102&lt;&gt;"",IFERROR(CHOOSE(FIND(F102,"DCBAS"),1,2,3,4,5),0),IF(G102&lt;&gt;"",IFERROR(CHOOSE(FIND(G102,"DCBAS"),1,2,3,4,5),0),""))),"")</f>
        <v/>
      </c>
      <c r="I102" s="116">
        <f>IF(H102="","",IF(H102&gt;=4.5,"S",IF(H102&gt;=3.5,"A",IF(H102&gt;=2.5,"B",IF(H102&gt;=1.5,"C","D")))))</f>
        <v/>
      </c>
      <c r="J102" s="107" t="n"/>
      <c r="K102" s="107" t="n"/>
      <c r="L102" s="107" t="n"/>
      <c r="M102" s="107" t="n"/>
      <c r="N102" s="107" t="n"/>
      <c r="O102" s="107" t="n"/>
      <c r="P102" s="107" t="n"/>
      <c r="Q102" s="107" t="n"/>
      <c r="R102" s="107" t="n"/>
      <c r="S102" s="107" t="n"/>
      <c r="T102" s="107" t="n"/>
      <c r="U102" s="107" t="n"/>
    </row>
    <row r="103" ht="22" customHeight="1" s="86">
      <c r="A103" s="111">
        <f>IF('01_인적정보'!B45="","",'01_인적정보'!A45)</f>
        <v/>
      </c>
      <c r="B103" s="111">
        <f>IF('01_인적정보'!B45="","",'01_인적정보'!B45)</f>
        <v/>
      </c>
      <c r="C103" s="112">
        <f>IF('01_인적정보'!B45="","",'01_인적정보'!C45)</f>
        <v/>
      </c>
      <c r="D103" s="112">
        <f>IF('01_인적정보'!B45="","",'01_인적정보'!E45)</f>
        <v/>
      </c>
      <c r="E103" s="113">
        <f>IF('01_인적정보'!B45="","",'01_인적정보'!H45)</f>
        <v/>
      </c>
      <c r="F103" s="114">
        <f>IF('01_인적정보'!B45="","",'07b_하반기입력'!I45)</f>
        <v/>
      </c>
      <c r="G103" s="114">
        <f>IF('01_인적정보'!B45="","",'07b_하반기입력'!J45)</f>
        <v/>
      </c>
      <c r="H103" s="115">
        <f>IFERROR(IF(AND(F103&lt;&gt;"",G103&lt;&gt;""),'02_의사결정·종합결과'!$B$67*IFERROR(CHOOSE(FIND(F103,"DCBAS"),1,2,3,4,5),0)+'02_의사결정·종합결과'!$B$68*IFERROR(CHOOSE(FIND(G103,"DCBAS"),1,2,3,4,5),0),IF(F103&lt;&gt;"",IFERROR(CHOOSE(FIND(F103,"DCBAS"),1,2,3,4,5),0),IF(G103&lt;&gt;"",IFERROR(CHOOSE(FIND(G103,"DCBAS"),1,2,3,4,5),0),""))),"")</f>
        <v/>
      </c>
      <c r="I103" s="116">
        <f>IF(H103="","",IF(H103&gt;=4.5,"S",IF(H103&gt;=3.5,"A",IF(H103&gt;=2.5,"B",IF(H103&gt;=1.5,"C","D")))))</f>
        <v/>
      </c>
      <c r="J103" s="107" t="n"/>
      <c r="K103" s="107" t="n"/>
      <c r="L103" s="107" t="n"/>
      <c r="M103" s="107" t="n"/>
      <c r="N103" s="107" t="n"/>
      <c r="O103" s="107" t="n"/>
      <c r="P103" s="107" t="n"/>
      <c r="Q103" s="107" t="n"/>
      <c r="R103" s="107" t="n"/>
      <c r="S103" s="107" t="n"/>
      <c r="T103" s="107" t="n"/>
      <c r="U103" s="107" t="n"/>
    </row>
    <row r="104" ht="22" customHeight="1" s="86">
      <c r="A104" s="111">
        <f>IF('01_인적정보'!B46="","",'01_인적정보'!A46)</f>
        <v/>
      </c>
      <c r="B104" s="111">
        <f>IF('01_인적정보'!B46="","",'01_인적정보'!B46)</f>
        <v/>
      </c>
      <c r="C104" s="112">
        <f>IF('01_인적정보'!B46="","",'01_인적정보'!C46)</f>
        <v/>
      </c>
      <c r="D104" s="112">
        <f>IF('01_인적정보'!B46="","",'01_인적정보'!E46)</f>
        <v/>
      </c>
      <c r="E104" s="113">
        <f>IF('01_인적정보'!B46="","",'01_인적정보'!H46)</f>
        <v/>
      </c>
      <c r="F104" s="114">
        <f>IF('01_인적정보'!B46="","",'07b_하반기입력'!I46)</f>
        <v/>
      </c>
      <c r="G104" s="114">
        <f>IF('01_인적정보'!B46="","",'07b_하반기입력'!J46)</f>
        <v/>
      </c>
      <c r="H104" s="115">
        <f>IFERROR(IF(AND(F104&lt;&gt;"",G104&lt;&gt;""),'02_의사결정·종합결과'!$B$67*IFERROR(CHOOSE(FIND(F104,"DCBAS"),1,2,3,4,5),0)+'02_의사결정·종합결과'!$B$68*IFERROR(CHOOSE(FIND(G104,"DCBAS"),1,2,3,4,5),0),IF(F104&lt;&gt;"",IFERROR(CHOOSE(FIND(F104,"DCBAS"),1,2,3,4,5),0),IF(G104&lt;&gt;"",IFERROR(CHOOSE(FIND(G104,"DCBAS"),1,2,3,4,5),0),""))),"")</f>
        <v/>
      </c>
      <c r="I104" s="116">
        <f>IF(H104="","",IF(H104&gt;=4.5,"S",IF(H104&gt;=3.5,"A",IF(H104&gt;=2.5,"B",IF(H104&gt;=1.5,"C","D")))))</f>
        <v/>
      </c>
      <c r="J104" s="107" t="n"/>
      <c r="K104" s="107" t="n"/>
      <c r="L104" s="107" t="n"/>
      <c r="M104" s="107" t="n"/>
      <c r="N104" s="107" t="n"/>
      <c r="O104" s="107" t="n"/>
      <c r="P104" s="107" t="n"/>
      <c r="Q104" s="107" t="n"/>
      <c r="R104" s="107" t="n"/>
      <c r="S104" s="107" t="n"/>
      <c r="T104" s="107" t="n"/>
      <c r="U104" s="107" t="n"/>
    </row>
    <row r="105" ht="22" customHeight="1" s="86">
      <c r="A105" s="111">
        <f>IF('01_인적정보'!B47="","",'01_인적정보'!A47)</f>
        <v/>
      </c>
      <c r="B105" s="111">
        <f>IF('01_인적정보'!B47="","",'01_인적정보'!B47)</f>
        <v/>
      </c>
      <c r="C105" s="112">
        <f>IF('01_인적정보'!B47="","",'01_인적정보'!C47)</f>
        <v/>
      </c>
      <c r="D105" s="112">
        <f>IF('01_인적정보'!B47="","",'01_인적정보'!E47)</f>
        <v/>
      </c>
      <c r="E105" s="113">
        <f>IF('01_인적정보'!B47="","",'01_인적정보'!H47)</f>
        <v/>
      </c>
      <c r="F105" s="114">
        <f>IF('01_인적정보'!B47="","",'07b_하반기입력'!I47)</f>
        <v/>
      </c>
      <c r="G105" s="114">
        <f>IF('01_인적정보'!B47="","",'07b_하반기입력'!J47)</f>
        <v/>
      </c>
      <c r="H105" s="115">
        <f>IFERROR(IF(AND(F105&lt;&gt;"",G105&lt;&gt;""),'02_의사결정·종합결과'!$B$67*IFERROR(CHOOSE(FIND(F105,"DCBAS"),1,2,3,4,5),0)+'02_의사결정·종합결과'!$B$68*IFERROR(CHOOSE(FIND(G105,"DCBAS"),1,2,3,4,5),0),IF(F105&lt;&gt;"",IFERROR(CHOOSE(FIND(F105,"DCBAS"),1,2,3,4,5),0),IF(G105&lt;&gt;"",IFERROR(CHOOSE(FIND(G105,"DCBAS"),1,2,3,4,5),0),""))),"")</f>
        <v/>
      </c>
      <c r="I105" s="116">
        <f>IF(H105="","",IF(H105&gt;=4.5,"S",IF(H105&gt;=3.5,"A",IF(H105&gt;=2.5,"B",IF(H105&gt;=1.5,"C","D")))))</f>
        <v/>
      </c>
      <c r="J105" s="107" t="n"/>
      <c r="K105" s="107" t="n"/>
      <c r="L105" s="107" t="n"/>
      <c r="M105" s="107" t="n"/>
      <c r="N105" s="107" t="n"/>
      <c r="O105" s="107" t="n"/>
      <c r="P105" s="107" t="n"/>
      <c r="Q105" s="107" t="n"/>
      <c r="R105" s="107" t="n"/>
      <c r="S105" s="107" t="n"/>
      <c r="T105" s="107" t="n"/>
      <c r="U105" s="107" t="n"/>
    </row>
    <row r="106" ht="22" customHeight="1" s="86">
      <c r="A106" s="111">
        <f>IF('01_인적정보'!B48="","",'01_인적정보'!A48)</f>
        <v/>
      </c>
      <c r="B106" s="111">
        <f>IF('01_인적정보'!B48="","",'01_인적정보'!B48)</f>
        <v/>
      </c>
      <c r="C106" s="112">
        <f>IF('01_인적정보'!B48="","",'01_인적정보'!C48)</f>
        <v/>
      </c>
      <c r="D106" s="112">
        <f>IF('01_인적정보'!B48="","",'01_인적정보'!E48)</f>
        <v/>
      </c>
      <c r="E106" s="113">
        <f>IF('01_인적정보'!B48="","",'01_인적정보'!H48)</f>
        <v/>
      </c>
      <c r="F106" s="114">
        <f>IF('01_인적정보'!B48="","",'07b_하반기입력'!I48)</f>
        <v/>
      </c>
      <c r="G106" s="114">
        <f>IF('01_인적정보'!B48="","",'07b_하반기입력'!J48)</f>
        <v/>
      </c>
      <c r="H106" s="115">
        <f>IFERROR(IF(AND(F106&lt;&gt;"",G106&lt;&gt;""),'02_의사결정·종합결과'!$B$67*IFERROR(CHOOSE(FIND(F106,"DCBAS"),1,2,3,4,5),0)+'02_의사결정·종합결과'!$B$68*IFERROR(CHOOSE(FIND(G106,"DCBAS"),1,2,3,4,5),0),IF(F106&lt;&gt;"",IFERROR(CHOOSE(FIND(F106,"DCBAS"),1,2,3,4,5),0),IF(G106&lt;&gt;"",IFERROR(CHOOSE(FIND(G106,"DCBAS"),1,2,3,4,5),0),""))),"")</f>
        <v/>
      </c>
      <c r="I106" s="116">
        <f>IF(H106="","",IF(H106&gt;=4.5,"S",IF(H106&gt;=3.5,"A",IF(H106&gt;=2.5,"B",IF(H106&gt;=1.5,"C","D")))))</f>
        <v/>
      </c>
      <c r="J106" s="107" t="n"/>
      <c r="K106" s="107" t="n"/>
      <c r="L106" s="107" t="n"/>
      <c r="M106" s="107" t="n"/>
      <c r="N106" s="107" t="n"/>
      <c r="O106" s="107" t="n"/>
      <c r="P106" s="107" t="n"/>
      <c r="Q106" s="107" t="n"/>
      <c r="R106" s="107" t="n"/>
      <c r="S106" s="107" t="n"/>
      <c r="T106" s="107" t="n"/>
      <c r="U106" s="107" t="n"/>
    </row>
    <row r="107" ht="22" customHeight="1" s="86">
      <c r="A107" s="111">
        <f>IF('01_인적정보'!B49="","",'01_인적정보'!A49)</f>
        <v/>
      </c>
      <c r="B107" s="111">
        <f>IF('01_인적정보'!B49="","",'01_인적정보'!B49)</f>
        <v/>
      </c>
      <c r="C107" s="112">
        <f>IF('01_인적정보'!B49="","",'01_인적정보'!C49)</f>
        <v/>
      </c>
      <c r="D107" s="112">
        <f>IF('01_인적정보'!B49="","",'01_인적정보'!E49)</f>
        <v/>
      </c>
      <c r="E107" s="113">
        <f>IF('01_인적정보'!B49="","",'01_인적정보'!H49)</f>
        <v/>
      </c>
      <c r="F107" s="114">
        <f>IF('01_인적정보'!B49="","",'07b_하반기입력'!I49)</f>
        <v/>
      </c>
      <c r="G107" s="114">
        <f>IF('01_인적정보'!B49="","",'07b_하반기입력'!J49)</f>
        <v/>
      </c>
      <c r="H107" s="115">
        <f>IFERROR(IF(AND(F107&lt;&gt;"",G107&lt;&gt;""),'02_의사결정·종합결과'!$B$67*IFERROR(CHOOSE(FIND(F107,"DCBAS"),1,2,3,4,5),0)+'02_의사결정·종합결과'!$B$68*IFERROR(CHOOSE(FIND(G107,"DCBAS"),1,2,3,4,5),0),IF(F107&lt;&gt;"",IFERROR(CHOOSE(FIND(F107,"DCBAS"),1,2,3,4,5),0),IF(G107&lt;&gt;"",IFERROR(CHOOSE(FIND(G107,"DCBAS"),1,2,3,4,5),0),""))),"")</f>
        <v/>
      </c>
      <c r="I107" s="116">
        <f>IF(H107="","",IF(H107&gt;=4.5,"S",IF(H107&gt;=3.5,"A",IF(H107&gt;=2.5,"B",IF(H107&gt;=1.5,"C","D")))))</f>
        <v/>
      </c>
      <c r="J107" s="107" t="n"/>
      <c r="K107" s="107" t="n"/>
      <c r="L107" s="107" t="n"/>
      <c r="M107" s="107" t="n"/>
      <c r="N107" s="107" t="n"/>
      <c r="O107" s="107" t="n"/>
      <c r="P107" s="107" t="n"/>
      <c r="Q107" s="107" t="n"/>
      <c r="R107" s="107" t="n"/>
      <c r="S107" s="107" t="n"/>
      <c r="T107" s="107" t="n"/>
      <c r="U107" s="107" t="n"/>
    </row>
    <row r="108" ht="22" customHeight="1" s="86">
      <c r="A108" s="111">
        <f>IF('01_인적정보'!B50="","",'01_인적정보'!A50)</f>
        <v/>
      </c>
      <c r="B108" s="111">
        <f>IF('01_인적정보'!B50="","",'01_인적정보'!B50)</f>
        <v/>
      </c>
      <c r="C108" s="112">
        <f>IF('01_인적정보'!B50="","",'01_인적정보'!C50)</f>
        <v/>
      </c>
      <c r="D108" s="112">
        <f>IF('01_인적정보'!B50="","",'01_인적정보'!E50)</f>
        <v/>
      </c>
      <c r="E108" s="113">
        <f>IF('01_인적정보'!B50="","",'01_인적정보'!H50)</f>
        <v/>
      </c>
      <c r="F108" s="114">
        <f>IF('01_인적정보'!B50="","",'07b_하반기입력'!I50)</f>
        <v/>
      </c>
      <c r="G108" s="114">
        <f>IF('01_인적정보'!B50="","",'07b_하반기입력'!J50)</f>
        <v/>
      </c>
      <c r="H108" s="115">
        <f>IFERROR(IF(AND(F108&lt;&gt;"",G108&lt;&gt;""),'02_의사결정·종합결과'!$B$67*IFERROR(CHOOSE(FIND(F108,"DCBAS"),1,2,3,4,5),0)+'02_의사결정·종합결과'!$B$68*IFERROR(CHOOSE(FIND(G108,"DCBAS"),1,2,3,4,5),0),IF(F108&lt;&gt;"",IFERROR(CHOOSE(FIND(F108,"DCBAS"),1,2,3,4,5),0),IF(G108&lt;&gt;"",IFERROR(CHOOSE(FIND(G108,"DCBAS"),1,2,3,4,5),0),""))),"")</f>
        <v/>
      </c>
      <c r="I108" s="116">
        <f>IF(H108="","",IF(H108&gt;=4.5,"S",IF(H108&gt;=3.5,"A",IF(H108&gt;=2.5,"B",IF(H108&gt;=1.5,"C","D")))))</f>
        <v/>
      </c>
      <c r="J108" s="107" t="n"/>
      <c r="K108" s="107" t="n"/>
      <c r="L108" s="107" t="n"/>
      <c r="M108" s="107" t="n"/>
      <c r="N108" s="107" t="n"/>
      <c r="O108" s="107" t="n"/>
      <c r="P108" s="107" t="n"/>
      <c r="Q108" s="107" t="n"/>
      <c r="R108" s="107" t="n"/>
      <c r="S108" s="107" t="n"/>
      <c r="T108" s="107" t="n"/>
      <c r="U108" s="107" t="n"/>
    </row>
    <row r="109" ht="22" customHeight="1" s="86">
      <c r="A109" s="111">
        <f>IF('01_인적정보'!B51="","",'01_인적정보'!A51)</f>
        <v/>
      </c>
      <c r="B109" s="111">
        <f>IF('01_인적정보'!B51="","",'01_인적정보'!B51)</f>
        <v/>
      </c>
      <c r="C109" s="112">
        <f>IF('01_인적정보'!B51="","",'01_인적정보'!C51)</f>
        <v/>
      </c>
      <c r="D109" s="112">
        <f>IF('01_인적정보'!B51="","",'01_인적정보'!E51)</f>
        <v/>
      </c>
      <c r="E109" s="113">
        <f>IF('01_인적정보'!B51="","",'01_인적정보'!H51)</f>
        <v/>
      </c>
      <c r="F109" s="114">
        <f>IF('01_인적정보'!B51="","",'07b_하반기입력'!I51)</f>
        <v/>
      </c>
      <c r="G109" s="114">
        <f>IF('01_인적정보'!B51="","",'07b_하반기입력'!J51)</f>
        <v/>
      </c>
      <c r="H109" s="115">
        <f>IFERROR(IF(AND(F109&lt;&gt;"",G109&lt;&gt;""),'02_의사결정·종합결과'!$B$67*IFERROR(CHOOSE(FIND(F109,"DCBAS"),1,2,3,4,5),0)+'02_의사결정·종합결과'!$B$68*IFERROR(CHOOSE(FIND(G109,"DCBAS"),1,2,3,4,5),0),IF(F109&lt;&gt;"",IFERROR(CHOOSE(FIND(F109,"DCBAS"),1,2,3,4,5),0),IF(G109&lt;&gt;"",IFERROR(CHOOSE(FIND(G109,"DCBAS"),1,2,3,4,5),0),""))),"")</f>
        <v/>
      </c>
      <c r="I109" s="116">
        <f>IF(H109="","",IF(H109&gt;=4.5,"S",IF(H109&gt;=3.5,"A",IF(H109&gt;=2.5,"B",IF(H109&gt;=1.5,"C","D")))))</f>
        <v/>
      </c>
      <c r="J109" s="107" t="n"/>
      <c r="K109" s="107" t="n"/>
      <c r="L109" s="107" t="n"/>
      <c r="M109" s="107" t="n"/>
      <c r="N109" s="107" t="n"/>
      <c r="O109" s="107" t="n"/>
      <c r="P109" s="107" t="n"/>
      <c r="Q109" s="107" t="n"/>
      <c r="R109" s="107" t="n"/>
      <c r="S109" s="107" t="n"/>
      <c r="T109" s="107" t="n"/>
      <c r="U109" s="107" t="n"/>
    </row>
    <row r="110" ht="22" customHeight="1" s="86">
      <c r="A110" s="111">
        <f>IF('01_인적정보'!B52="","",'01_인적정보'!A52)</f>
        <v/>
      </c>
      <c r="B110" s="111">
        <f>IF('01_인적정보'!B52="","",'01_인적정보'!B52)</f>
        <v/>
      </c>
      <c r="C110" s="112">
        <f>IF('01_인적정보'!B52="","",'01_인적정보'!C52)</f>
        <v/>
      </c>
      <c r="D110" s="112">
        <f>IF('01_인적정보'!B52="","",'01_인적정보'!E52)</f>
        <v/>
      </c>
      <c r="E110" s="113">
        <f>IF('01_인적정보'!B52="","",'01_인적정보'!H52)</f>
        <v/>
      </c>
      <c r="F110" s="114">
        <f>IF('01_인적정보'!B52="","",'07b_하반기입력'!I52)</f>
        <v/>
      </c>
      <c r="G110" s="114">
        <f>IF('01_인적정보'!B52="","",'07b_하반기입력'!J52)</f>
        <v/>
      </c>
      <c r="H110" s="115">
        <f>IFERROR(IF(AND(F110&lt;&gt;"",G110&lt;&gt;""),'02_의사결정·종합결과'!$B$67*IFERROR(CHOOSE(FIND(F110,"DCBAS"),1,2,3,4,5),0)+'02_의사결정·종합결과'!$B$68*IFERROR(CHOOSE(FIND(G110,"DCBAS"),1,2,3,4,5),0),IF(F110&lt;&gt;"",IFERROR(CHOOSE(FIND(F110,"DCBAS"),1,2,3,4,5),0),IF(G110&lt;&gt;"",IFERROR(CHOOSE(FIND(G110,"DCBAS"),1,2,3,4,5),0),""))),"")</f>
        <v/>
      </c>
      <c r="I110" s="116">
        <f>IF(H110="","",IF(H110&gt;=4.5,"S",IF(H110&gt;=3.5,"A",IF(H110&gt;=2.5,"B",IF(H110&gt;=1.5,"C","D")))))</f>
        <v/>
      </c>
      <c r="J110" s="107" t="n"/>
      <c r="K110" s="107" t="n"/>
      <c r="L110" s="107" t="n"/>
      <c r="M110" s="107" t="n"/>
      <c r="N110" s="107" t="n"/>
      <c r="O110" s="107" t="n"/>
      <c r="P110" s="107" t="n"/>
      <c r="Q110" s="107" t="n"/>
      <c r="R110" s="107" t="n"/>
      <c r="S110" s="107" t="n"/>
      <c r="T110" s="107" t="n"/>
      <c r="U110" s="107" t="n"/>
    </row>
    <row r="111" ht="22" customHeight="1" s="86">
      <c r="A111" s="111">
        <f>IF('01_인적정보'!B53="","",'01_인적정보'!A53)</f>
        <v/>
      </c>
      <c r="B111" s="111">
        <f>IF('01_인적정보'!B53="","",'01_인적정보'!B53)</f>
        <v/>
      </c>
      <c r="C111" s="112">
        <f>IF('01_인적정보'!B53="","",'01_인적정보'!C53)</f>
        <v/>
      </c>
      <c r="D111" s="112">
        <f>IF('01_인적정보'!B53="","",'01_인적정보'!E53)</f>
        <v/>
      </c>
      <c r="E111" s="113">
        <f>IF('01_인적정보'!B53="","",'01_인적정보'!H53)</f>
        <v/>
      </c>
      <c r="F111" s="114">
        <f>IF('01_인적정보'!B53="","",'07b_하반기입력'!I53)</f>
        <v/>
      </c>
      <c r="G111" s="114">
        <f>IF('01_인적정보'!B53="","",'07b_하반기입력'!J53)</f>
        <v/>
      </c>
      <c r="H111" s="115">
        <f>IFERROR(IF(AND(F111&lt;&gt;"",G111&lt;&gt;""),'02_의사결정·종합결과'!$B$67*IFERROR(CHOOSE(FIND(F111,"DCBAS"),1,2,3,4,5),0)+'02_의사결정·종합결과'!$B$68*IFERROR(CHOOSE(FIND(G111,"DCBAS"),1,2,3,4,5),0),IF(F111&lt;&gt;"",IFERROR(CHOOSE(FIND(F111,"DCBAS"),1,2,3,4,5),0),IF(G111&lt;&gt;"",IFERROR(CHOOSE(FIND(G111,"DCBAS"),1,2,3,4,5),0),""))),"")</f>
        <v/>
      </c>
      <c r="I111" s="116">
        <f>IF(H111="","",IF(H111&gt;=4.5,"S",IF(H111&gt;=3.5,"A",IF(H111&gt;=2.5,"B",IF(H111&gt;=1.5,"C","D")))))</f>
        <v/>
      </c>
      <c r="J111" s="107" t="n"/>
      <c r="K111" s="107" t="n"/>
      <c r="L111" s="107" t="n"/>
      <c r="M111" s="107" t="n"/>
      <c r="N111" s="107" t="n"/>
      <c r="O111" s="107" t="n"/>
      <c r="P111" s="107" t="n"/>
      <c r="Q111" s="107" t="n"/>
      <c r="R111" s="107" t="n"/>
      <c r="S111" s="107" t="n"/>
      <c r="T111" s="107" t="n"/>
      <c r="U111" s="107" t="n"/>
    </row>
    <row r="112" ht="22" customHeight="1" s="86">
      <c r="A112" s="111">
        <f>IF('01_인적정보'!B54="","",'01_인적정보'!A54)</f>
        <v/>
      </c>
      <c r="B112" s="111">
        <f>IF('01_인적정보'!B54="","",'01_인적정보'!B54)</f>
        <v/>
      </c>
      <c r="C112" s="112">
        <f>IF('01_인적정보'!B54="","",'01_인적정보'!C54)</f>
        <v/>
      </c>
      <c r="D112" s="112">
        <f>IF('01_인적정보'!B54="","",'01_인적정보'!E54)</f>
        <v/>
      </c>
      <c r="E112" s="113">
        <f>IF('01_인적정보'!B54="","",'01_인적정보'!H54)</f>
        <v/>
      </c>
      <c r="F112" s="114">
        <f>IF('01_인적정보'!B54="","",'07b_하반기입력'!I54)</f>
        <v/>
      </c>
      <c r="G112" s="114">
        <f>IF('01_인적정보'!B54="","",'07b_하반기입력'!J54)</f>
        <v/>
      </c>
      <c r="H112" s="115">
        <f>IFERROR(IF(AND(F112&lt;&gt;"",G112&lt;&gt;""),'02_의사결정·종합결과'!$B$67*IFERROR(CHOOSE(FIND(F112,"DCBAS"),1,2,3,4,5),0)+'02_의사결정·종합결과'!$B$68*IFERROR(CHOOSE(FIND(G112,"DCBAS"),1,2,3,4,5),0),IF(F112&lt;&gt;"",IFERROR(CHOOSE(FIND(F112,"DCBAS"),1,2,3,4,5),0),IF(G112&lt;&gt;"",IFERROR(CHOOSE(FIND(G112,"DCBAS"),1,2,3,4,5),0),""))),"")</f>
        <v/>
      </c>
      <c r="I112" s="116">
        <f>IF(H112="","",IF(H112&gt;=4.5,"S",IF(H112&gt;=3.5,"A",IF(H112&gt;=2.5,"B",IF(H112&gt;=1.5,"C","D")))))</f>
        <v/>
      </c>
      <c r="J112" s="107" t="n"/>
      <c r="K112" s="107" t="n"/>
      <c r="L112" s="107" t="n"/>
      <c r="M112" s="107" t="n"/>
      <c r="N112" s="107" t="n"/>
      <c r="O112" s="107" t="n"/>
      <c r="P112" s="107" t="n"/>
      <c r="Q112" s="107" t="n"/>
      <c r="R112" s="107" t="n"/>
      <c r="S112" s="107" t="n"/>
      <c r="T112" s="107" t="n"/>
      <c r="U112" s="107" t="n"/>
    </row>
    <row r="113" ht="22" customHeight="1" s="86">
      <c r="A113" s="111">
        <f>IF('01_인적정보'!B55="","",'01_인적정보'!A55)</f>
        <v/>
      </c>
      <c r="B113" s="111">
        <f>IF('01_인적정보'!B55="","",'01_인적정보'!B55)</f>
        <v/>
      </c>
      <c r="C113" s="112">
        <f>IF('01_인적정보'!B55="","",'01_인적정보'!C55)</f>
        <v/>
      </c>
      <c r="D113" s="112">
        <f>IF('01_인적정보'!B55="","",'01_인적정보'!E55)</f>
        <v/>
      </c>
      <c r="E113" s="113">
        <f>IF('01_인적정보'!B55="","",'01_인적정보'!H55)</f>
        <v/>
      </c>
      <c r="F113" s="114">
        <f>IF('01_인적정보'!B55="","",'07b_하반기입력'!I55)</f>
        <v/>
      </c>
      <c r="G113" s="114">
        <f>IF('01_인적정보'!B55="","",'07b_하반기입력'!J55)</f>
        <v/>
      </c>
      <c r="H113" s="115">
        <f>IFERROR(IF(AND(F113&lt;&gt;"",G113&lt;&gt;""),'02_의사결정·종합결과'!$B$67*IFERROR(CHOOSE(FIND(F113,"DCBAS"),1,2,3,4,5),0)+'02_의사결정·종합결과'!$B$68*IFERROR(CHOOSE(FIND(G113,"DCBAS"),1,2,3,4,5),0),IF(F113&lt;&gt;"",IFERROR(CHOOSE(FIND(F113,"DCBAS"),1,2,3,4,5),0),IF(G113&lt;&gt;"",IFERROR(CHOOSE(FIND(G113,"DCBAS"),1,2,3,4,5),0),""))),"")</f>
        <v/>
      </c>
      <c r="I113" s="116">
        <f>IF(H113="","",IF(H113&gt;=4.5,"S",IF(H113&gt;=3.5,"A",IF(H113&gt;=2.5,"B",IF(H113&gt;=1.5,"C","D")))))</f>
        <v/>
      </c>
      <c r="J113" s="107" t="n"/>
      <c r="K113" s="107" t="n"/>
      <c r="L113" s="107" t="n"/>
      <c r="M113" s="107" t="n"/>
      <c r="N113" s="107" t="n"/>
      <c r="O113" s="107" t="n"/>
      <c r="P113" s="107" t="n"/>
      <c r="Q113" s="107" t="n"/>
      <c r="R113" s="107" t="n"/>
      <c r="S113" s="107" t="n"/>
      <c r="T113" s="107" t="n"/>
      <c r="U113" s="107" t="n"/>
    </row>
    <row r="114">
      <c r="A114" s="107" t="n"/>
      <c r="B114" s="107" t="n"/>
      <c r="C114" s="107" t="n"/>
      <c r="D114" s="107" t="n"/>
      <c r="E114" s="107" t="n"/>
      <c r="F114" s="107" t="n"/>
      <c r="G114" s="107" t="n"/>
      <c r="H114" s="107" t="n"/>
      <c r="I114" s="107" t="n"/>
      <c r="J114" s="107" t="n"/>
      <c r="K114" s="107" t="n"/>
      <c r="L114" s="107" t="n"/>
      <c r="M114" s="107" t="n"/>
      <c r="N114" s="107" t="n"/>
      <c r="O114" s="107" t="n"/>
      <c r="P114" s="107" t="n"/>
      <c r="Q114" s="107" t="n"/>
      <c r="R114" s="107" t="n"/>
      <c r="S114" s="107" t="n"/>
      <c r="T114" s="107" t="n"/>
      <c r="U114" s="107" t="n"/>
    </row>
    <row r="115">
      <c r="A115" s="107" t="n"/>
      <c r="B115" s="107" t="n"/>
      <c r="C115" s="107" t="n"/>
      <c r="D115" s="107" t="n"/>
      <c r="E115" s="107" t="n"/>
      <c r="F115" s="107" t="n"/>
      <c r="G115" s="107" t="n"/>
      <c r="H115" s="107" t="n"/>
      <c r="I115" s="107" t="n"/>
      <c r="J115" s="107" t="n"/>
      <c r="K115" s="107" t="n"/>
      <c r="L115" s="107" t="n"/>
      <c r="M115" s="107" t="n"/>
      <c r="N115" s="107" t="n"/>
      <c r="O115" s="107" t="n"/>
      <c r="P115" s="107" t="n"/>
      <c r="Q115" s="107" t="n"/>
      <c r="R115" s="107" t="n"/>
      <c r="S115" s="107" t="n"/>
      <c r="T115" s="107" t="n"/>
      <c r="U115" s="107" t="n"/>
    </row>
    <row r="116">
      <c r="A116" s="107" t="n"/>
      <c r="B116" s="107" t="n"/>
      <c r="C116" s="107" t="n"/>
      <c r="D116" s="107" t="n"/>
      <c r="E116" s="107" t="n"/>
      <c r="F116" s="107" t="n"/>
      <c r="G116" s="107" t="n"/>
      <c r="H116" s="107" t="n"/>
      <c r="I116" s="107" t="n"/>
      <c r="J116" s="107" t="n"/>
      <c r="K116" s="107" t="n"/>
      <c r="L116" s="107" t="n"/>
      <c r="M116" s="107" t="n"/>
      <c r="N116" s="107" t="n"/>
      <c r="O116" s="107" t="n"/>
      <c r="P116" s="107" t="n"/>
      <c r="Q116" s="107" t="n"/>
      <c r="R116" s="107" t="n"/>
      <c r="S116" s="107" t="n"/>
      <c r="T116" s="107" t="n"/>
      <c r="U116" s="107" t="n"/>
    </row>
    <row r="117">
      <c r="A117" s="107" t="n"/>
      <c r="B117" s="107" t="n"/>
      <c r="C117" s="107" t="n"/>
      <c r="D117" s="107" t="n"/>
      <c r="E117" s="107" t="n"/>
      <c r="F117" s="107" t="n"/>
      <c r="G117" s="107" t="n"/>
      <c r="H117" s="107" t="n"/>
      <c r="I117" s="107" t="n"/>
      <c r="J117" s="107" t="n"/>
      <c r="K117" s="107" t="n"/>
      <c r="L117" s="107" t="n"/>
      <c r="M117" s="107" t="n"/>
      <c r="N117" s="107" t="n"/>
      <c r="O117" s="107" t="n"/>
      <c r="P117" s="107" t="n"/>
      <c r="Q117" s="107" t="n"/>
      <c r="R117" s="107" t="n"/>
      <c r="S117" s="107" t="n"/>
      <c r="T117" s="107" t="n"/>
      <c r="U117" s="107" t="n"/>
    </row>
    <row r="118">
      <c r="A118" s="107" t="n"/>
      <c r="B118" s="107" t="n"/>
      <c r="C118" s="107" t="n"/>
      <c r="D118" s="107" t="n"/>
      <c r="E118" s="107" t="n"/>
      <c r="F118" s="107" t="n"/>
      <c r="G118" s="107" t="n"/>
      <c r="H118" s="107" t="n"/>
      <c r="I118" s="107" t="n"/>
      <c r="J118" s="107" t="n"/>
      <c r="K118" s="107" t="n"/>
      <c r="L118" s="107" t="n"/>
      <c r="M118" s="107" t="n"/>
      <c r="N118" s="107" t="n"/>
      <c r="O118" s="107" t="n"/>
      <c r="P118" s="107" t="n"/>
      <c r="Q118" s="107" t="n"/>
      <c r="R118" s="107" t="n"/>
      <c r="S118" s="107" t="n"/>
      <c r="T118" s="107" t="n"/>
      <c r="U118" s="107" t="n"/>
    </row>
    <row r="119">
      <c r="A119" s="107" t="n"/>
      <c r="B119" s="107" t="n"/>
      <c r="C119" s="107" t="n"/>
      <c r="D119" s="107" t="n"/>
      <c r="E119" s="107" t="n"/>
      <c r="F119" s="107" t="n"/>
      <c r="G119" s="107" t="n"/>
      <c r="H119" s="107" t="n"/>
      <c r="I119" s="107" t="n"/>
      <c r="J119" s="107" t="n"/>
      <c r="K119" s="107" t="n"/>
      <c r="L119" s="107" t="n"/>
      <c r="M119" s="107" t="n"/>
      <c r="N119" s="107" t="n"/>
      <c r="O119" s="107" t="n"/>
      <c r="P119" s="107" t="n"/>
      <c r="Q119" s="107" t="n"/>
      <c r="R119" s="107" t="n"/>
      <c r="S119" s="107" t="n"/>
      <c r="T119" s="107" t="n"/>
      <c r="U119" s="107" t="n"/>
    </row>
    <row r="120">
      <c r="A120" s="107" t="n"/>
      <c r="B120" s="107" t="n"/>
      <c r="C120" s="107" t="n"/>
      <c r="D120" s="107" t="n"/>
      <c r="E120" s="107" t="n"/>
      <c r="F120" s="107" t="n"/>
      <c r="G120" s="107" t="n"/>
      <c r="H120" s="107" t="n"/>
      <c r="I120" s="107" t="n"/>
      <c r="J120" s="107" t="n"/>
      <c r="K120" s="107" t="n"/>
      <c r="L120" s="107" t="n"/>
      <c r="M120" s="107" t="n"/>
      <c r="N120" s="107" t="n"/>
      <c r="O120" s="107" t="n"/>
      <c r="P120" s="107" t="n"/>
      <c r="Q120" s="107" t="n"/>
      <c r="R120" s="107" t="n"/>
      <c r="S120" s="107" t="n"/>
      <c r="T120" s="107" t="n"/>
      <c r="U120" s="107" t="n"/>
    </row>
    <row r="121">
      <c r="A121" s="107" t="n"/>
      <c r="B121" s="107" t="n"/>
      <c r="C121" s="107" t="n"/>
      <c r="D121" s="107" t="n"/>
      <c r="E121" s="107" t="n"/>
      <c r="F121" s="107" t="n"/>
      <c r="G121" s="107" t="n"/>
      <c r="H121" s="107" t="n"/>
      <c r="I121" s="107" t="n"/>
      <c r="J121" s="107" t="n"/>
      <c r="K121" s="107" t="n"/>
      <c r="L121" s="107" t="n"/>
      <c r="M121" s="107" t="n"/>
      <c r="N121" s="107" t="n"/>
      <c r="O121" s="107" t="n"/>
      <c r="P121" s="107" t="n"/>
      <c r="Q121" s="107" t="n"/>
      <c r="R121" s="107" t="n"/>
      <c r="S121" s="107" t="n"/>
      <c r="T121" s="107" t="n"/>
      <c r="U121" s="107" t="n"/>
    </row>
    <row r="122">
      <c r="A122" s="107" t="n"/>
      <c r="B122" s="107" t="n"/>
      <c r="C122" s="107" t="n"/>
      <c r="D122" s="107" t="n"/>
      <c r="E122" s="107" t="n"/>
      <c r="F122" s="107" t="n"/>
      <c r="G122" s="107" t="n"/>
      <c r="H122" s="107" t="n"/>
      <c r="I122" s="107" t="n"/>
      <c r="J122" s="107" t="n"/>
      <c r="K122" s="107" t="n"/>
      <c r="L122" s="107" t="n"/>
      <c r="M122" s="107" t="n"/>
      <c r="N122" s="107" t="n"/>
      <c r="O122" s="107" t="n"/>
      <c r="P122" s="107" t="n"/>
      <c r="Q122" s="107" t="n"/>
      <c r="R122" s="107" t="n"/>
      <c r="S122" s="107" t="n"/>
      <c r="T122" s="107" t="n"/>
      <c r="U122" s="107" t="n"/>
    </row>
    <row r="123">
      <c r="A123" s="107" t="n"/>
      <c r="B123" s="107" t="n"/>
      <c r="C123" s="107" t="n"/>
      <c r="D123" s="107" t="n"/>
      <c r="E123" s="107" t="n"/>
      <c r="F123" s="107" t="n"/>
      <c r="G123" s="107" t="n"/>
      <c r="H123" s="107" t="n"/>
      <c r="I123" s="107" t="n"/>
      <c r="J123" s="107" t="n"/>
      <c r="K123" s="107" t="n"/>
      <c r="L123" s="107" t="n"/>
      <c r="M123" s="107" t="n"/>
      <c r="N123" s="107" t="n"/>
      <c r="O123" s="107" t="n"/>
      <c r="P123" s="107" t="n"/>
      <c r="Q123" s="107" t="n"/>
      <c r="R123" s="107" t="n"/>
      <c r="S123" s="107" t="n"/>
      <c r="T123" s="107" t="n"/>
      <c r="U123" s="107" t="n"/>
    </row>
    <row r="124">
      <c r="A124" s="107" t="n"/>
      <c r="B124" s="107" t="n"/>
      <c r="C124" s="107" t="n"/>
      <c r="D124" s="107" t="n"/>
      <c r="E124" s="107" t="n"/>
      <c r="F124" s="107" t="n"/>
      <c r="G124" s="107" t="n"/>
      <c r="H124" s="107" t="n"/>
      <c r="I124" s="107" t="n"/>
      <c r="J124" s="107" t="n"/>
      <c r="K124" s="107" t="n"/>
      <c r="L124" s="107" t="n"/>
      <c r="M124" s="107" t="n"/>
      <c r="N124" s="107" t="n"/>
      <c r="O124" s="107" t="n"/>
      <c r="P124" s="107" t="n"/>
      <c r="Q124" s="107" t="n"/>
      <c r="R124" s="107" t="n"/>
      <c r="S124" s="107" t="n"/>
      <c r="T124" s="107" t="n"/>
      <c r="U124" s="107" t="n"/>
    </row>
    <row r="125">
      <c r="A125" s="107" t="n"/>
      <c r="B125" s="107" t="n"/>
      <c r="C125" s="107" t="n"/>
      <c r="D125" s="107" t="n"/>
      <c r="E125" s="107" t="n"/>
      <c r="F125" s="107" t="n"/>
      <c r="G125" s="107" t="n"/>
      <c r="H125" s="107" t="n"/>
      <c r="I125" s="107" t="n"/>
      <c r="J125" s="107" t="n"/>
      <c r="K125" s="107" t="n"/>
      <c r="L125" s="107" t="n"/>
      <c r="M125" s="107" t="n"/>
      <c r="N125" s="107" t="n"/>
      <c r="O125" s="107" t="n"/>
      <c r="P125" s="107" t="n"/>
      <c r="Q125" s="107" t="n"/>
      <c r="R125" s="107" t="n"/>
      <c r="S125" s="107" t="n"/>
      <c r="T125" s="107" t="n"/>
      <c r="U125" s="107" t="n"/>
    </row>
    <row r="126">
      <c r="A126" s="107" t="n"/>
      <c r="B126" s="107" t="n"/>
      <c r="C126" s="107" t="n"/>
      <c r="D126" s="107" t="n"/>
      <c r="E126" s="107" t="n"/>
      <c r="F126" s="107" t="n"/>
      <c r="G126" s="107" t="n"/>
      <c r="H126" s="107" t="n"/>
      <c r="I126" s="107" t="n"/>
      <c r="J126" s="107" t="n"/>
      <c r="K126" s="107" t="n"/>
      <c r="L126" s="107" t="n"/>
      <c r="M126" s="107" t="n"/>
      <c r="N126" s="107" t="n"/>
      <c r="O126" s="107" t="n"/>
      <c r="P126" s="107" t="n"/>
      <c r="Q126" s="107" t="n"/>
      <c r="R126" s="107" t="n"/>
      <c r="S126" s="107" t="n"/>
      <c r="T126" s="107" t="n"/>
      <c r="U126" s="107" t="n"/>
    </row>
    <row r="127">
      <c r="A127" s="107" t="n"/>
      <c r="B127" s="107" t="n"/>
      <c r="C127" s="107" t="n"/>
      <c r="D127" s="107" t="n"/>
      <c r="E127" s="107" t="n"/>
      <c r="F127" s="107" t="n"/>
      <c r="G127" s="107" t="n"/>
      <c r="H127" s="107" t="n"/>
      <c r="I127" s="107" t="n"/>
      <c r="J127" s="107" t="n"/>
      <c r="K127" s="107" t="n"/>
      <c r="L127" s="107" t="n"/>
      <c r="M127" s="107" t="n"/>
      <c r="N127" s="107" t="n"/>
      <c r="O127" s="107" t="n"/>
      <c r="P127" s="107" t="n"/>
      <c r="Q127" s="107" t="n"/>
      <c r="R127" s="107" t="n"/>
      <c r="S127" s="107" t="n"/>
      <c r="T127" s="107" t="n"/>
      <c r="U127" s="107" t="n"/>
    </row>
    <row r="128">
      <c r="A128" s="107" t="n"/>
      <c r="B128" s="107" t="n"/>
      <c r="C128" s="107" t="n"/>
      <c r="D128" s="107" t="n"/>
      <c r="E128" s="107" t="n"/>
      <c r="F128" s="107" t="n"/>
      <c r="G128" s="107" t="n"/>
      <c r="H128" s="107" t="n"/>
      <c r="I128" s="107" t="n"/>
      <c r="J128" s="107" t="n"/>
      <c r="K128" s="107" t="n"/>
      <c r="L128" s="107" t="n"/>
      <c r="M128" s="107" t="n"/>
      <c r="N128" s="107" t="n"/>
      <c r="O128" s="107" t="n"/>
      <c r="P128" s="107" t="n"/>
      <c r="Q128" s="107" t="n"/>
      <c r="R128" s="107" t="n"/>
      <c r="S128" s="107" t="n"/>
      <c r="T128" s="107" t="n"/>
      <c r="U128" s="107" t="n"/>
    </row>
    <row r="129">
      <c r="A129" s="107" t="n"/>
      <c r="B129" s="107" t="n"/>
      <c r="C129" s="107" t="n"/>
      <c r="D129" s="107" t="n"/>
      <c r="E129" s="107" t="n"/>
      <c r="F129" s="107" t="n"/>
      <c r="G129" s="107" t="n"/>
      <c r="H129" s="107" t="n"/>
      <c r="I129" s="107" t="n"/>
      <c r="J129" s="107" t="n"/>
      <c r="K129" s="107" t="n"/>
      <c r="L129" s="107" t="n"/>
      <c r="M129" s="107" t="n"/>
      <c r="N129" s="107" t="n"/>
      <c r="O129" s="107" t="n"/>
      <c r="P129" s="107" t="n"/>
      <c r="Q129" s="107" t="n"/>
      <c r="R129" s="107" t="n"/>
      <c r="S129" s="107" t="n"/>
      <c r="T129" s="107" t="n"/>
      <c r="U129" s="107" t="n"/>
    </row>
  </sheetData>
  <mergeCells count="4">
    <mergeCell ref="A2:I2"/>
    <mergeCell ref="A1:I1"/>
    <mergeCell ref="A4:I4"/>
    <mergeCell ref="A62:I62"/>
  </mergeCells>
  <conditionalFormatting sqref="F6:I55">
    <cfRule type="cellIs" priority="9" operator="equal" dxfId="65">
      <formula>"S"</formula>
    </cfRule>
    <cfRule type="cellIs" priority="10" operator="equal" dxfId="66">
      <formula>"A"</formula>
    </cfRule>
    <cfRule type="cellIs" priority="11" operator="equal" dxfId="67">
      <formula>"C"</formula>
    </cfRule>
    <cfRule type="cellIs" priority="12" operator="equal" dxfId="68">
      <formula>"D"</formula>
    </cfRule>
  </conditionalFormatting>
  <conditionalFormatting sqref="F64:I113">
    <cfRule type="cellIs" priority="13" operator="equal" dxfId="65">
      <formula>"S"</formula>
    </cfRule>
    <cfRule type="cellIs" priority="14" operator="equal" dxfId="66">
      <formula>"A"</formula>
    </cfRule>
    <cfRule type="cellIs" priority="15" operator="equal" dxfId="67">
      <formula>"C"</formula>
    </cfRule>
    <cfRule type="cellIs" priority="16" operator="equal" dxfId="68">
      <formula>"D"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65911"/>
    <outlinePr summaryBelow="1" summaryRight="1"/>
    <pageSetUpPr/>
  </sheetPr>
  <dimension ref="A1:U12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G95" sqref="G95"/>
    </sheetView>
  </sheetViews>
  <sheetFormatPr baseColWidth="8" defaultRowHeight="16.9"/>
  <cols>
    <col width="5" customWidth="1" style="86" min="1" max="1"/>
    <col width="10" customWidth="1" style="86" min="2" max="2"/>
    <col width="9" customWidth="1" style="86" min="3" max="3"/>
    <col width="14" customWidth="1" style="86" min="4" max="4"/>
    <col width="9" customWidth="1" style="86" min="5" max="5"/>
    <col width="10" customWidth="1" style="86" min="6" max="6"/>
    <col width="11" customWidth="1" style="86" min="7" max="8"/>
    <col width="11" customWidth="1" style="86" min="8" max="8"/>
    <col width="13" customWidth="1" style="86" min="9" max="9"/>
    <col width="11" customWidth="1" style="86" min="10" max="10"/>
    <col width="8" customWidth="1" style="86" min="11" max="11"/>
    <col width="25" customWidth="1" style="86" min="12" max="12"/>
  </cols>
  <sheetData>
    <row r="1" ht="30" customHeight="1" s="86">
      <c r="A1" s="105" t="inlineStr">
        <is>
          <t>직무역량평가 (자동 산출)</t>
        </is>
      </c>
      <c r="B1" s="106" t="n"/>
      <c r="C1" s="106" t="n"/>
      <c r="D1" s="106" t="n"/>
      <c r="E1" s="106" t="n"/>
      <c r="F1" s="106" t="n"/>
      <c r="G1" s="106" t="n"/>
      <c r="H1" s="106" t="n"/>
      <c r="I1" s="106" t="n"/>
      <c r="J1" s="106" t="n"/>
      <c r="K1" s="107" t="n"/>
      <c r="L1" s="107" t="n"/>
      <c r="M1" s="107" t="n"/>
      <c r="N1" s="107" t="n"/>
      <c r="O1" s="107" t="n"/>
      <c r="P1" s="107" t="n"/>
      <c r="Q1" s="107" t="n"/>
      <c r="R1" s="107" t="n"/>
      <c r="S1" s="107" t="n"/>
      <c r="T1" s="107" t="n"/>
      <c r="U1" s="107" t="n"/>
    </row>
    <row r="2" ht="24" customHeight="1" s="86">
      <c r="A2" s="108" t="inlineStr">
        <is>
          <t>07a/07b의 1·2차 직무역량 종합 등급 → 평가자 가중치 적용 → 확정 등급</t>
        </is>
      </c>
      <c r="B2" s="106" t="n"/>
      <c r="C2" s="106" t="n"/>
      <c r="D2" s="106" t="n"/>
      <c r="E2" s="106" t="n"/>
      <c r="F2" s="106" t="n"/>
      <c r="G2" s="106" t="n"/>
      <c r="H2" s="106" t="n"/>
      <c r="I2" s="106" t="n"/>
      <c r="J2" s="106" t="n"/>
      <c r="K2" s="107" t="n"/>
      <c r="L2" s="107" t="n"/>
      <c r="M2" s="107" t="n"/>
      <c r="N2" s="107" t="n"/>
      <c r="O2" s="107" t="n"/>
      <c r="P2" s="107" t="n"/>
      <c r="Q2" s="107" t="n"/>
      <c r="R2" s="107" t="n"/>
      <c r="S2" s="107" t="n"/>
      <c r="T2" s="107" t="n"/>
      <c r="U2" s="107" t="n"/>
    </row>
    <row r="3">
      <c r="A3" s="107" t="n"/>
      <c r="B3" s="107" t="n"/>
      <c r="C3" s="107" t="n"/>
      <c r="D3" s="107" t="n"/>
      <c r="E3" s="107" t="n"/>
      <c r="F3" s="107" t="n"/>
      <c r="G3" s="107" t="n"/>
      <c r="H3" s="107" t="n"/>
      <c r="I3" s="107" t="n"/>
      <c r="J3" s="107" t="n"/>
      <c r="K3" s="107" t="n"/>
      <c r="L3" s="107" t="n"/>
      <c r="M3" s="107" t="n"/>
      <c r="N3" s="107" t="n"/>
      <c r="O3" s="107" t="n"/>
      <c r="P3" s="107" t="n"/>
      <c r="Q3" s="107" t="n"/>
      <c r="R3" s="107" t="n"/>
      <c r="S3" s="107" t="n"/>
      <c r="T3" s="107" t="n"/>
      <c r="U3" s="107" t="n"/>
    </row>
    <row r="4" ht="26" customHeight="1" s="86">
      <c r="A4" s="109" t="inlineStr">
        <is>
          <t>■ 상반기 직무역량평가 (50명까지)</t>
        </is>
      </c>
      <c r="B4" s="106" t="n"/>
      <c r="C4" s="106" t="n"/>
      <c r="D4" s="106" t="n"/>
      <c r="E4" s="106" t="n"/>
      <c r="F4" s="106" t="n"/>
      <c r="G4" s="106" t="n"/>
      <c r="H4" s="106" t="n"/>
      <c r="I4" s="106" t="n"/>
      <c r="J4" s="106" t="n"/>
      <c r="K4" s="107" t="n"/>
      <c r="L4" s="107" t="n"/>
      <c r="M4" s="107" t="n"/>
      <c r="N4" s="107" t="n"/>
      <c r="O4" s="107" t="n"/>
      <c r="P4" s="107" t="n"/>
      <c r="Q4" s="107" t="n"/>
      <c r="R4" s="107" t="n"/>
      <c r="S4" s="107" t="n"/>
      <c r="T4" s="107" t="n"/>
      <c r="U4" s="107" t="n"/>
    </row>
    <row r="5" ht="28" customHeight="1" s="86">
      <c r="A5" s="110" t="inlineStr">
        <is>
          <t>No.</t>
        </is>
      </c>
      <c r="B5" s="110" t="inlineStr">
        <is>
          <t>사번</t>
        </is>
      </c>
      <c r="C5" s="110" t="inlineStr">
        <is>
          <t>성명</t>
        </is>
      </c>
      <c r="D5" s="110" t="inlineStr">
        <is>
          <t>직무</t>
        </is>
      </c>
      <c r="E5" s="110" t="inlineStr">
        <is>
          <t>역할등급</t>
        </is>
      </c>
      <c r="F5" s="110" t="inlineStr">
        <is>
          <t>메인 책무 수</t>
        </is>
      </c>
      <c r="G5" s="110" t="inlineStr">
        <is>
          <t>1차</t>
        </is>
      </c>
      <c r="H5" s="110" t="inlineStr">
        <is>
          <t>2차</t>
        </is>
      </c>
      <c r="I5" s="110" t="inlineStr">
        <is>
          <t>가중평균(점수)</t>
        </is>
      </c>
      <c r="J5" s="110" t="inlineStr">
        <is>
          <t>확정등급</t>
        </is>
      </c>
      <c r="K5" s="107" t="n"/>
      <c r="L5" s="107" t="n"/>
      <c r="M5" s="107" t="n"/>
      <c r="N5" s="107" t="n"/>
      <c r="O5" s="107" t="n"/>
      <c r="P5" s="107" t="n"/>
      <c r="Q5" s="107" t="n"/>
      <c r="R5" s="107" t="n"/>
      <c r="S5" s="107" t="n"/>
      <c r="T5" s="107" t="n"/>
      <c r="U5" s="107" t="n"/>
    </row>
    <row r="6" ht="22" customHeight="1" s="86">
      <c r="A6" s="111">
        <f>IF('01_인적정보'!B6="","",'01_인적정보'!A6)</f>
        <v/>
      </c>
      <c r="B6" s="111">
        <f>IF('01_인적정보'!B6="","",'01_인적정보'!B6)</f>
        <v/>
      </c>
      <c r="C6" s="112">
        <f>IF('01_인적정보'!B6="","",'01_인적정보'!C6)</f>
        <v/>
      </c>
      <c r="D6" s="112">
        <f>IF('01_인적정보'!B6="","",'01_인적정보'!E6)</f>
        <v/>
      </c>
      <c r="E6" s="113">
        <f>IF('01_인적정보'!B6="","",'01_인적정보'!H6)</f>
        <v/>
      </c>
      <c r="F6" s="120">
        <f>IF('01_인적정보'!B6="","",'01_인적정보'!L6)</f>
        <v/>
      </c>
      <c r="G6" s="114">
        <f>IF('01_인적정보'!B6="","",'07a_상반기입력'!K6)</f>
        <v/>
      </c>
      <c r="H6" s="114">
        <f>IF('01_인적정보'!B6="","",'07a_상반기입력'!L6)</f>
        <v/>
      </c>
      <c r="I6" s="115">
        <f>IFERROR(IF(AND(G6&lt;&gt;"",H6&lt;&gt;""),'02_의사결정·종합결과'!$B$67*IFERROR(CHOOSE(FIND(G6,"DCBAS"),1,2,3,4,5),0)+'02_의사결정·종합결과'!$B$68*IFERROR(CHOOSE(FIND(H6,"DCBAS"),1,2,3,4,5),0),IF(G6&lt;&gt;"",IFERROR(CHOOSE(FIND(G6,"DCBAS"),1,2,3,4,5),0),IF(H6&lt;&gt;"",IFERROR(CHOOSE(FIND(H6,"DCBAS"),1,2,3,4,5),0),""))),"")</f>
        <v/>
      </c>
      <c r="J6" s="116">
        <f>IF(I6="","",IF(I6&gt;=4.5,"S",IF(I6&gt;=3.5,"A",IF(I6&gt;=2.5,"B",IF(I6&gt;=1.5,"C","D")))))</f>
        <v/>
      </c>
      <c r="K6" s="118" t="n"/>
      <c r="L6" s="107" t="n"/>
      <c r="M6" s="107" t="n"/>
      <c r="N6" s="107" t="n"/>
      <c r="O6" s="107" t="n"/>
      <c r="P6" s="107" t="n"/>
      <c r="Q6" s="107" t="n"/>
      <c r="R6" s="107" t="n"/>
      <c r="S6" s="107" t="n"/>
      <c r="T6" s="107" t="n"/>
      <c r="U6" s="107" t="n"/>
    </row>
    <row r="7" ht="22" customHeight="1" s="86">
      <c r="A7" s="111">
        <f>IF('01_인적정보'!B7="","",'01_인적정보'!A7)</f>
        <v/>
      </c>
      <c r="B7" s="111">
        <f>IF('01_인적정보'!B7="","",'01_인적정보'!B7)</f>
        <v/>
      </c>
      <c r="C7" s="112">
        <f>IF('01_인적정보'!B7="","",'01_인적정보'!C7)</f>
        <v/>
      </c>
      <c r="D7" s="112">
        <f>IF('01_인적정보'!B7="","",'01_인적정보'!E7)</f>
        <v/>
      </c>
      <c r="E7" s="113">
        <f>IF('01_인적정보'!B7="","",'01_인적정보'!H7)</f>
        <v/>
      </c>
      <c r="F7" s="120">
        <f>IF('01_인적정보'!B7="","",'01_인적정보'!L7)</f>
        <v/>
      </c>
      <c r="G7" s="114">
        <f>IF('01_인적정보'!B7="","",'07a_상반기입력'!K7)</f>
        <v/>
      </c>
      <c r="H7" s="114">
        <f>IF('01_인적정보'!B7="","",'07a_상반기입력'!L7)</f>
        <v/>
      </c>
      <c r="I7" s="115">
        <f>IFERROR(IF(AND(G7&lt;&gt;"",H7&lt;&gt;""),'02_의사결정·종합결과'!$B$67*IFERROR(CHOOSE(FIND(G7,"DCBAS"),1,2,3,4,5),0)+'02_의사결정·종합결과'!$B$68*IFERROR(CHOOSE(FIND(H7,"DCBAS"),1,2,3,4,5),0),IF(G7&lt;&gt;"",IFERROR(CHOOSE(FIND(G7,"DCBAS"),1,2,3,4,5),0),IF(H7&lt;&gt;"",IFERROR(CHOOSE(FIND(H7,"DCBAS"),1,2,3,4,5),0),""))),"")</f>
        <v/>
      </c>
      <c r="J7" s="116">
        <f>IF(I7="","",IF(I7&gt;=4.5,"S",IF(I7&gt;=3.5,"A",IF(I7&gt;=2.5,"B",IF(I7&gt;=1.5,"C","D")))))</f>
        <v/>
      </c>
      <c r="K7" s="118" t="n"/>
      <c r="L7" s="107" t="n"/>
      <c r="M7" s="107" t="n"/>
      <c r="N7" s="107" t="n"/>
      <c r="O7" s="107" t="n"/>
      <c r="P7" s="107" t="n"/>
      <c r="Q7" s="107" t="n"/>
      <c r="R7" s="107" t="n"/>
      <c r="S7" s="107" t="n"/>
      <c r="T7" s="107" t="n"/>
      <c r="U7" s="107" t="n"/>
    </row>
    <row r="8" ht="22" customHeight="1" s="86">
      <c r="A8" s="111">
        <f>IF('01_인적정보'!B8="","",'01_인적정보'!A8)</f>
        <v/>
      </c>
      <c r="B8" s="111">
        <f>IF('01_인적정보'!B8="","",'01_인적정보'!B8)</f>
        <v/>
      </c>
      <c r="C8" s="112">
        <f>IF('01_인적정보'!B8="","",'01_인적정보'!C8)</f>
        <v/>
      </c>
      <c r="D8" s="112">
        <f>IF('01_인적정보'!B8="","",'01_인적정보'!E8)</f>
        <v/>
      </c>
      <c r="E8" s="113">
        <f>IF('01_인적정보'!B8="","",'01_인적정보'!H8)</f>
        <v/>
      </c>
      <c r="F8" s="120">
        <f>IF('01_인적정보'!B8="","",'01_인적정보'!L8)</f>
        <v/>
      </c>
      <c r="G8" s="114">
        <f>IF('01_인적정보'!B8="","",'07a_상반기입력'!K8)</f>
        <v/>
      </c>
      <c r="H8" s="114">
        <f>IF('01_인적정보'!B8="","",'07a_상반기입력'!L8)</f>
        <v/>
      </c>
      <c r="I8" s="115">
        <f>IFERROR(IF(AND(G8&lt;&gt;"",H8&lt;&gt;""),'02_의사결정·종합결과'!$B$67*IFERROR(CHOOSE(FIND(G8,"DCBAS"),1,2,3,4,5),0)+'02_의사결정·종합결과'!$B$68*IFERROR(CHOOSE(FIND(H8,"DCBAS"),1,2,3,4,5),0),IF(G8&lt;&gt;"",IFERROR(CHOOSE(FIND(G8,"DCBAS"),1,2,3,4,5),0),IF(H8&lt;&gt;"",IFERROR(CHOOSE(FIND(H8,"DCBAS"),1,2,3,4,5),0),""))),"")</f>
        <v/>
      </c>
      <c r="J8" s="116">
        <f>IF(I8="","",IF(I8&gt;=4.5,"S",IF(I8&gt;=3.5,"A",IF(I8&gt;=2.5,"B",IF(I8&gt;=1.5,"C","D")))))</f>
        <v/>
      </c>
      <c r="K8" s="118" t="n"/>
      <c r="L8" s="107" t="n"/>
      <c r="M8" s="107" t="n"/>
      <c r="N8" s="107" t="n"/>
      <c r="O8" s="107" t="n"/>
      <c r="P8" s="107" t="n"/>
      <c r="Q8" s="107" t="n"/>
      <c r="R8" s="107" t="n"/>
      <c r="S8" s="107" t="n"/>
      <c r="T8" s="107" t="n"/>
      <c r="U8" s="107" t="n"/>
    </row>
    <row r="9" ht="22" customHeight="1" s="86">
      <c r="A9" s="111">
        <f>IF('01_인적정보'!B9="","",'01_인적정보'!A9)</f>
        <v/>
      </c>
      <c r="B9" s="111">
        <f>IF('01_인적정보'!B9="","",'01_인적정보'!B9)</f>
        <v/>
      </c>
      <c r="C9" s="112">
        <f>IF('01_인적정보'!B9="","",'01_인적정보'!C9)</f>
        <v/>
      </c>
      <c r="D9" s="112">
        <f>IF('01_인적정보'!B9="","",'01_인적정보'!E9)</f>
        <v/>
      </c>
      <c r="E9" s="113">
        <f>IF('01_인적정보'!B9="","",'01_인적정보'!H9)</f>
        <v/>
      </c>
      <c r="F9" s="120">
        <f>IF('01_인적정보'!B9="","",'01_인적정보'!L9)</f>
        <v/>
      </c>
      <c r="G9" s="114">
        <f>IF('01_인적정보'!B9="","",'07a_상반기입력'!K9)</f>
        <v/>
      </c>
      <c r="H9" s="114">
        <f>IF('01_인적정보'!B9="","",'07a_상반기입력'!L9)</f>
        <v/>
      </c>
      <c r="I9" s="115">
        <f>IFERROR(IF(AND(G9&lt;&gt;"",H9&lt;&gt;""),'02_의사결정·종합결과'!$B$67*IFERROR(CHOOSE(FIND(G9,"DCBAS"),1,2,3,4,5),0)+'02_의사결정·종합결과'!$B$68*IFERROR(CHOOSE(FIND(H9,"DCBAS"),1,2,3,4,5),0),IF(G9&lt;&gt;"",IFERROR(CHOOSE(FIND(G9,"DCBAS"),1,2,3,4,5),0),IF(H9&lt;&gt;"",IFERROR(CHOOSE(FIND(H9,"DCBAS"),1,2,3,4,5),0),""))),"")</f>
        <v/>
      </c>
      <c r="J9" s="116">
        <f>IF(I9="","",IF(I9&gt;=4.5,"S",IF(I9&gt;=3.5,"A",IF(I9&gt;=2.5,"B",IF(I9&gt;=1.5,"C","D")))))</f>
        <v/>
      </c>
      <c r="K9" s="118" t="n"/>
      <c r="L9" s="107" t="n"/>
      <c r="M9" s="107" t="n"/>
      <c r="N9" s="107" t="n"/>
      <c r="O9" s="107" t="n"/>
      <c r="P9" s="107" t="n"/>
      <c r="Q9" s="107" t="n"/>
      <c r="R9" s="107" t="n"/>
      <c r="S9" s="107" t="n"/>
      <c r="T9" s="107" t="n"/>
      <c r="U9" s="107" t="n"/>
    </row>
    <row r="10" ht="22" customHeight="1" s="86">
      <c r="A10" s="111">
        <f>IF('01_인적정보'!B10="","",'01_인적정보'!A10)</f>
        <v/>
      </c>
      <c r="B10" s="111">
        <f>IF('01_인적정보'!B10="","",'01_인적정보'!B10)</f>
        <v/>
      </c>
      <c r="C10" s="112">
        <f>IF('01_인적정보'!B10="","",'01_인적정보'!C10)</f>
        <v/>
      </c>
      <c r="D10" s="112">
        <f>IF('01_인적정보'!B10="","",'01_인적정보'!E10)</f>
        <v/>
      </c>
      <c r="E10" s="113">
        <f>IF('01_인적정보'!B10="","",'01_인적정보'!H10)</f>
        <v/>
      </c>
      <c r="F10" s="120">
        <f>IF('01_인적정보'!B10="","",'01_인적정보'!L10)</f>
        <v/>
      </c>
      <c r="G10" s="114">
        <f>IF('01_인적정보'!B10="","",'07a_상반기입력'!K10)</f>
        <v/>
      </c>
      <c r="H10" s="114">
        <f>IF('01_인적정보'!B10="","",'07a_상반기입력'!L10)</f>
        <v/>
      </c>
      <c r="I10" s="115">
        <f>IFERROR(IF(AND(G10&lt;&gt;"",H10&lt;&gt;""),'02_의사결정·종합결과'!$B$67*IFERROR(CHOOSE(FIND(G10,"DCBAS"),1,2,3,4,5),0)+'02_의사결정·종합결과'!$B$68*IFERROR(CHOOSE(FIND(H10,"DCBAS"),1,2,3,4,5),0),IF(G10&lt;&gt;"",IFERROR(CHOOSE(FIND(G10,"DCBAS"),1,2,3,4,5),0),IF(H10&lt;&gt;"",IFERROR(CHOOSE(FIND(H10,"DCBAS"),1,2,3,4,5),0),""))),"")</f>
        <v/>
      </c>
      <c r="J10" s="116">
        <f>IF(I10="","",IF(I10&gt;=4.5,"S",IF(I10&gt;=3.5,"A",IF(I10&gt;=2.5,"B",IF(I10&gt;=1.5,"C","D")))))</f>
        <v/>
      </c>
      <c r="K10" s="118" t="n"/>
      <c r="L10" s="107" t="n"/>
      <c r="M10" s="107" t="n"/>
      <c r="N10" s="107" t="n"/>
      <c r="O10" s="107" t="n"/>
      <c r="P10" s="107" t="n"/>
      <c r="Q10" s="107" t="n"/>
      <c r="R10" s="107" t="n"/>
      <c r="S10" s="107" t="n"/>
      <c r="T10" s="107" t="n"/>
      <c r="U10" s="107" t="n"/>
    </row>
    <row r="11" ht="22" customHeight="1" s="86">
      <c r="A11" s="111">
        <f>IF('01_인적정보'!B11="","",'01_인적정보'!A11)</f>
        <v/>
      </c>
      <c r="B11" s="111">
        <f>IF('01_인적정보'!B11="","",'01_인적정보'!B11)</f>
        <v/>
      </c>
      <c r="C11" s="112">
        <f>IF('01_인적정보'!B11="","",'01_인적정보'!C11)</f>
        <v/>
      </c>
      <c r="D11" s="112">
        <f>IF('01_인적정보'!B11="","",'01_인적정보'!E11)</f>
        <v/>
      </c>
      <c r="E11" s="113">
        <f>IF('01_인적정보'!B11="","",'01_인적정보'!H11)</f>
        <v/>
      </c>
      <c r="F11" s="120">
        <f>IF('01_인적정보'!B11="","",'01_인적정보'!L11)</f>
        <v/>
      </c>
      <c r="G11" s="114">
        <f>IF('01_인적정보'!B11="","",'07a_상반기입력'!K11)</f>
        <v/>
      </c>
      <c r="H11" s="114">
        <f>IF('01_인적정보'!B11="","",'07a_상반기입력'!L11)</f>
        <v/>
      </c>
      <c r="I11" s="115">
        <f>IFERROR(IF(AND(G11&lt;&gt;"",H11&lt;&gt;""),'02_의사결정·종합결과'!$B$67*IFERROR(CHOOSE(FIND(G11,"DCBAS"),1,2,3,4,5),0)+'02_의사결정·종합결과'!$B$68*IFERROR(CHOOSE(FIND(H11,"DCBAS"),1,2,3,4,5),0),IF(G11&lt;&gt;"",IFERROR(CHOOSE(FIND(G11,"DCBAS"),1,2,3,4,5),0),IF(H11&lt;&gt;"",IFERROR(CHOOSE(FIND(H11,"DCBAS"),1,2,3,4,5),0),""))),"")</f>
        <v/>
      </c>
      <c r="J11" s="116">
        <f>IF(I11="","",IF(I11&gt;=4.5,"S",IF(I11&gt;=3.5,"A",IF(I11&gt;=2.5,"B",IF(I11&gt;=1.5,"C","D")))))</f>
        <v/>
      </c>
      <c r="K11" s="118" t="n"/>
      <c r="L11" s="107" t="n"/>
      <c r="M11" s="107" t="n"/>
      <c r="N11" s="107" t="n"/>
      <c r="O11" s="107" t="n"/>
      <c r="P11" s="107" t="n"/>
      <c r="Q11" s="107" t="n"/>
      <c r="R11" s="107" t="n"/>
      <c r="S11" s="107" t="n"/>
      <c r="T11" s="107" t="n"/>
      <c r="U11" s="107" t="n"/>
    </row>
    <row r="12" ht="22" customHeight="1" s="86">
      <c r="A12" s="111">
        <f>IF('01_인적정보'!B12="","",'01_인적정보'!A12)</f>
        <v/>
      </c>
      <c r="B12" s="111">
        <f>IF('01_인적정보'!B12="","",'01_인적정보'!B12)</f>
        <v/>
      </c>
      <c r="C12" s="112">
        <f>IF('01_인적정보'!B12="","",'01_인적정보'!C12)</f>
        <v/>
      </c>
      <c r="D12" s="112">
        <f>IF('01_인적정보'!B12="","",'01_인적정보'!E12)</f>
        <v/>
      </c>
      <c r="E12" s="113">
        <f>IF('01_인적정보'!B12="","",'01_인적정보'!H12)</f>
        <v/>
      </c>
      <c r="F12" s="120">
        <f>IF('01_인적정보'!B12="","",'01_인적정보'!L12)</f>
        <v/>
      </c>
      <c r="G12" s="114">
        <f>IF('01_인적정보'!B12="","",'07a_상반기입력'!K12)</f>
        <v/>
      </c>
      <c r="H12" s="114">
        <f>IF('01_인적정보'!B12="","",'07a_상반기입력'!L12)</f>
        <v/>
      </c>
      <c r="I12" s="115">
        <f>IFERROR(IF(AND(G12&lt;&gt;"",H12&lt;&gt;""),'02_의사결정·종합결과'!$B$67*IFERROR(CHOOSE(FIND(G12,"DCBAS"),1,2,3,4,5),0)+'02_의사결정·종합결과'!$B$68*IFERROR(CHOOSE(FIND(H12,"DCBAS"),1,2,3,4,5),0),IF(G12&lt;&gt;"",IFERROR(CHOOSE(FIND(G12,"DCBAS"),1,2,3,4,5),0),IF(H12&lt;&gt;"",IFERROR(CHOOSE(FIND(H12,"DCBAS"),1,2,3,4,5),0),""))),"")</f>
        <v/>
      </c>
      <c r="J12" s="116">
        <f>IF(I12="","",IF(I12&gt;=4.5,"S",IF(I12&gt;=3.5,"A",IF(I12&gt;=2.5,"B",IF(I12&gt;=1.5,"C","D")))))</f>
        <v/>
      </c>
      <c r="K12" s="118" t="n"/>
      <c r="L12" s="107" t="n"/>
      <c r="M12" s="107" t="n"/>
      <c r="N12" s="107" t="n"/>
      <c r="O12" s="107" t="n"/>
      <c r="P12" s="107" t="n"/>
      <c r="Q12" s="107" t="n"/>
      <c r="R12" s="107" t="n"/>
      <c r="S12" s="107" t="n"/>
      <c r="T12" s="107" t="n"/>
      <c r="U12" s="107" t="n"/>
    </row>
    <row r="13" ht="22" customHeight="1" s="86">
      <c r="A13" s="111">
        <f>IF('01_인적정보'!B13="","",'01_인적정보'!A13)</f>
        <v/>
      </c>
      <c r="B13" s="111">
        <f>IF('01_인적정보'!B13="","",'01_인적정보'!B13)</f>
        <v/>
      </c>
      <c r="C13" s="112">
        <f>IF('01_인적정보'!B13="","",'01_인적정보'!C13)</f>
        <v/>
      </c>
      <c r="D13" s="112">
        <f>IF('01_인적정보'!B13="","",'01_인적정보'!E13)</f>
        <v/>
      </c>
      <c r="E13" s="113">
        <f>IF('01_인적정보'!B13="","",'01_인적정보'!H13)</f>
        <v/>
      </c>
      <c r="F13" s="120">
        <f>IF('01_인적정보'!B13="","",'01_인적정보'!L13)</f>
        <v/>
      </c>
      <c r="G13" s="114">
        <f>IF('01_인적정보'!B13="","",'07a_상반기입력'!K13)</f>
        <v/>
      </c>
      <c r="H13" s="114">
        <f>IF('01_인적정보'!B13="","",'07a_상반기입력'!L13)</f>
        <v/>
      </c>
      <c r="I13" s="115">
        <f>IFERROR(IF(AND(G13&lt;&gt;"",H13&lt;&gt;""),'02_의사결정·종합결과'!$B$67*IFERROR(CHOOSE(FIND(G13,"DCBAS"),1,2,3,4,5),0)+'02_의사결정·종합결과'!$B$68*IFERROR(CHOOSE(FIND(H13,"DCBAS"),1,2,3,4,5),0),IF(G13&lt;&gt;"",IFERROR(CHOOSE(FIND(G13,"DCBAS"),1,2,3,4,5),0),IF(H13&lt;&gt;"",IFERROR(CHOOSE(FIND(H13,"DCBAS"),1,2,3,4,5),0),""))),"")</f>
        <v/>
      </c>
      <c r="J13" s="116">
        <f>IF(I13="","",IF(I13&gt;=4.5,"S",IF(I13&gt;=3.5,"A",IF(I13&gt;=2.5,"B",IF(I13&gt;=1.5,"C","D")))))</f>
        <v/>
      </c>
      <c r="K13" s="118" t="n"/>
      <c r="L13" s="107" t="n"/>
      <c r="M13" s="107" t="n"/>
      <c r="N13" s="107" t="n"/>
      <c r="O13" s="107" t="n"/>
      <c r="P13" s="107" t="n"/>
      <c r="Q13" s="107" t="n"/>
      <c r="R13" s="107" t="n"/>
      <c r="S13" s="107" t="n"/>
      <c r="T13" s="107" t="n"/>
      <c r="U13" s="107" t="n"/>
    </row>
    <row r="14" ht="22" customHeight="1" s="86">
      <c r="A14" s="111">
        <f>IF('01_인적정보'!B14="","",'01_인적정보'!A14)</f>
        <v/>
      </c>
      <c r="B14" s="111">
        <f>IF('01_인적정보'!B14="","",'01_인적정보'!B14)</f>
        <v/>
      </c>
      <c r="C14" s="112">
        <f>IF('01_인적정보'!B14="","",'01_인적정보'!C14)</f>
        <v/>
      </c>
      <c r="D14" s="112">
        <f>IF('01_인적정보'!B14="","",'01_인적정보'!E14)</f>
        <v/>
      </c>
      <c r="E14" s="113">
        <f>IF('01_인적정보'!B14="","",'01_인적정보'!H14)</f>
        <v/>
      </c>
      <c r="F14" s="120">
        <f>IF('01_인적정보'!B14="","",'01_인적정보'!L14)</f>
        <v/>
      </c>
      <c r="G14" s="114">
        <f>IF('01_인적정보'!B14="","",'07a_상반기입력'!K14)</f>
        <v/>
      </c>
      <c r="H14" s="114">
        <f>IF('01_인적정보'!B14="","",'07a_상반기입력'!L14)</f>
        <v/>
      </c>
      <c r="I14" s="115">
        <f>IFERROR(IF(AND(G14&lt;&gt;"",H14&lt;&gt;""),'02_의사결정·종합결과'!$B$67*IFERROR(CHOOSE(FIND(G14,"DCBAS"),1,2,3,4,5),0)+'02_의사결정·종합결과'!$B$68*IFERROR(CHOOSE(FIND(H14,"DCBAS"),1,2,3,4,5),0),IF(G14&lt;&gt;"",IFERROR(CHOOSE(FIND(G14,"DCBAS"),1,2,3,4,5),0),IF(H14&lt;&gt;"",IFERROR(CHOOSE(FIND(H14,"DCBAS"),1,2,3,4,5),0),""))),"")</f>
        <v/>
      </c>
      <c r="J14" s="116">
        <f>IF(I14="","",IF(I14&gt;=4.5,"S",IF(I14&gt;=3.5,"A",IF(I14&gt;=2.5,"B",IF(I14&gt;=1.5,"C","D")))))</f>
        <v/>
      </c>
      <c r="K14" s="118" t="n"/>
      <c r="L14" s="107" t="n"/>
      <c r="M14" s="107" t="n"/>
      <c r="N14" s="107" t="n"/>
      <c r="O14" s="107" t="n"/>
      <c r="P14" s="107" t="n"/>
      <c r="Q14" s="107" t="n"/>
      <c r="R14" s="107" t="n"/>
      <c r="S14" s="107" t="n"/>
      <c r="T14" s="107" t="n"/>
      <c r="U14" s="107" t="n"/>
    </row>
    <row r="15" ht="22" customHeight="1" s="86">
      <c r="A15" s="111">
        <f>IF('01_인적정보'!B15="","",'01_인적정보'!A15)</f>
        <v/>
      </c>
      <c r="B15" s="111">
        <f>IF('01_인적정보'!B15="","",'01_인적정보'!B15)</f>
        <v/>
      </c>
      <c r="C15" s="112">
        <f>IF('01_인적정보'!B15="","",'01_인적정보'!C15)</f>
        <v/>
      </c>
      <c r="D15" s="112">
        <f>IF('01_인적정보'!B15="","",'01_인적정보'!E15)</f>
        <v/>
      </c>
      <c r="E15" s="113">
        <f>IF('01_인적정보'!B15="","",'01_인적정보'!H15)</f>
        <v/>
      </c>
      <c r="F15" s="120">
        <f>IF('01_인적정보'!B15="","",'01_인적정보'!L15)</f>
        <v/>
      </c>
      <c r="G15" s="114">
        <f>IF('01_인적정보'!B15="","",'07a_상반기입력'!K15)</f>
        <v/>
      </c>
      <c r="H15" s="114">
        <f>IF('01_인적정보'!B15="","",'07a_상반기입력'!L15)</f>
        <v/>
      </c>
      <c r="I15" s="115">
        <f>IFERROR(IF(AND(G15&lt;&gt;"",H15&lt;&gt;""),'02_의사결정·종합결과'!$B$67*IFERROR(CHOOSE(FIND(G15,"DCBAS"),1,2,3,4,5),0)+'02_의사결정·종합결과'!$B$68*IFERROR(CHOOSE(FIND(H15,"DCBAS"),1,2,3,4,5),0),IF(G15&lt;&gt;"",IFERROR(CHOOSE(FIND(G15,"DCBAS"),1,2,3,4,5),0),IF(H15&lt;&gt;"",IFERROR(CHOOSE(FIND(H15,"DCBAS"),1,2,3,4,5),0),""))),"")</f>
        <v/>
      </c>
      <c r="J15" s="116">
        <f>IF(I15="","",IF(I15&gt;=4.5,"S",IF(I15&gt;=3.5,"A",IF(I15&gt;=2.5,"B",IF(I15&gt;=1.5,"C","D")))))</f>
        <v/>
      </c>
      <c r="K15" s="118" t="n"/>
      <c r="L15" s="107" t="n"/>
      <c r="M15" s="107" t="n"/>
      <c r="N15" s="107" t="n"/>
      <c r="O15" s="107" t="n"/>
      <c r="P15" s="107" t="n"/>
      <c r="Q15" s="107" t="n"/>
      <c r="R15" s="107" t="n"/>
      <c r="S15" s="107" t="n"/>
      <c r="T15" s="107" t="n"/>
      <c r="U15" s="107" t="n"/>
    </row>
    <row r="16" ht="22" customHeight="1" s="86">
      <c r="A16" s="111">
        <f>IF('01_인적정보'!B16="","",'01_인적정보'!A16)</f>
        <v/>
      </c>
      <c r="B16" s="111">
        <f>IF('01_인적정보'!B16="","",'01_인적정보'!B16)</f>
        <v/>
      </c>
      <c r="C16" s="112">
        <f>IF('01_인적정보'!B16="","",'01_인적정보'!C16)</f>
        <v/>
      </c>
      <c r="D16" s="112">
        <f>IF('01_인적정보'!B16="","",'01_인적정보'!E16)</f>
        <v/>
      </c>
      <c r="E16" s="113">
        <f>IF('01_인적정보'!B16="","",'01_인적정보'!H16)</f>
        <v/>
      </c>
      <c r="F16" s="120">
        <f>IF('01_인적정보'!B16="","",'01_인적정보'!L16)</f>
        <v/>
      </c>
      <c r="G16" s="114">
        <f>IF('01_인적정보'!B16="","",'07a_상반기입력'!K16)</f>
        <v/>
      </c>
      <c r="H16" s="114">
        <f>IF('01_인적정보'!B16="","",'07a_상반기입력'!L16)</f>
        <v/>
      </c>
      <c r="I16" s="115">
        <f>IFERROR(IF(AND(G16&lt;&gt;"",H16&lt;&gt;""),'02_의사결정·종합결과'!$B$67*IFERROR(CHOOSE(FIND(G16,"DCBAS"),1,2,3,4,5),0)+'02_의사결정·종합결과'!$B$68*IFERROR(CHOOSE(FIND(H16,"DCBAS"),1,2,3,4,5),0),IF(G16&lt;&gt;"",IFERROR(CHOOSE(FIND(G16,"DCBAS"),1,2,3,4,5),0),IF(H16&lt;&gt;"",IFERROR(CHOOSE(FIND(H16,"DCBAS"),1,2,3,4,5),0),""))),"")</f>
        <v/>
      </c>
      <c r="J16" s="116">
        <f>IF(I16="","",IF(I16&gt;=4.5,"S",IF(I16&gt;=3.5,"A",IF(I16&gt;=2.5,"B",IF(I16&gt;=1.5,"C","D")))))</f>
        <v/>
      </c>
      <c r="K16" s="118" t="n"/>
      <c r="L16" s="107" t="n"/>
      <c r="M16" s="107" t="n"/>
      <c r="N16" s="107" t="n"/>
      <c r="O16" s="107" t="n"/>
      <c r="P16" s="107" t="n"/>
      <c r="Q16" s="107" t="n"/>
      <c r="R16" s="107" t="n"/>
      <c r="S16" s="107" t="n"/>
      <c r="T16" s="107" t="n"/>
      <c r="U16" s="107" t="n"/>
    </row>
    <row r="17" ht="22" customHeight="1" s="86">
      <c r="A17" s="111">
        <f>IF('01_인적정보'!B17="","",'01_인적정보'!A17)</f>
        <v/>
      </c>
      <c r="B17" s="111">
        <f>IF('01_인적정보'!B17="","",'01_인적정보'!B17)</f>
        <v/>
      </c>
      <c r="C17" s="112">
        <f>IF('01_인적정보'!B17="","",'01_인적정보'!C17)</f>
        <v/>
      </c>
      <c r="D17" s="112">
        <f>IF('01_인적정보'!B17="","",'01_인적정보'!E17)</f>
        <v/>
      </c>
      <c r="E17" s="113">
        <f>IF('01_인적정보'!B17="","",'01_인적정보'!H17)</f>
        <v/>
      </c>
      <c r="F17" s="120">
        <f>IF('01_인적정보'!B17="","",'01_인적정보'!L17)</f>
        <v/>
      </c>
      <c r="G17" s="114">
        <f>IF('01_인적정보'!B17="","",'07a_상반기입력'!K17)</f>
        <v/>
      </c>
      <c r="H17" s="114">
        <f>IF('01_인적정보'!B17="","",'07a_상반기입력'!L17)</f>
        <v/>
      </c>
      <c r="I17" s="115">
        <f>IFERROR(IF(AND(G17&lt;&gt;"",H17&lt;&gt;""),'02_의사결정·종합결과'!$B$67*IFERROR(CHOOSE(FIND(G17,"DCBAS"),1,2,3,4,5),0)+'02_의사결정·종합결과'!$B$68*IFERROR(CHOOSE(FIND(H17,"DCBAS"),1,2,3,4,5),0),IF(G17&lt;&gt;"",IFERROR(CHOOSE(FIND(G17,"DCBAS"),1,2,3,4,5),0),IF(H17&lt;&gt;"",IFERROR(CHOOSE(FIND(H17,"DCBAS"),1,2,3,4,5),0),""))),"")</f>
        <v/>
      </c>
      <c r="J17" s="116">
        <f>IF(I17="","",IF(I17&gt;=4.5,"S",IF(I17&gt;=3.5,"A",IF(I17&gt;=2.5,"B",IF(I17&gt;=1.5,"C","D")))))</f>
        <v/>
      </c>
      <c r="K17" s="118" t="n"/>
      <c r="L17" s="107" t="n"/>
      <c r="M17" s="107" t="n"/>
      <c r="N17" s="107" t="n"/>
      <c r="O17" s="107" t="n"/>
      <c r="P17" s="107" t="n"/>
      <c r="Q17" s="107" t="n"/>
      <c r="R17" s="107" t="n"/>
      <c r="S17" s="107" t="n"/>
      <c r="T17" s="107" t="n"/>
      <c r="U17" s="107" t="n"/>
    </row>
    <row r="18" ht="22" customHeight="1" s="86">
      <c r="A18" s="111">
        <f>IF('01_인적정보'!B18="","",'01_인적정보'!A18)</f>
        <v/>
      </c>
      <c r="B18" s="111">
        <f>IF('01_인적정보'!B18="","",'01_인적정보'!B18)</f>
        <v/>
      </c>
      <c r="C18" s="112">
        <f>IF('01_인적정보'!B18="","",'01_인적정보'!C18)</f>
        <v/>
      </c>
      <c r="D18" s="112">
        <f>IF('01_인적정보'!B18="","",'01_인적정보'!E18)</f>
        <v/>
      </c>
      <c r="E18" s="113">
        <f>IF('01_인적정보'!B18="","",'01_인적정보'!H18)</f>
        <v/>
      </c>
      <c r="F18" s="120">
        <f>IF('01_인적정보'!B18="","",'01_인적정보'!L18)</f>
        <v/>
      </c>
      <c r="G18" s="114">
        <f>IF('01_인적정보'!B18="","",'07a_상반기입력'!K18)</f>
        <v/>
      </c>
      <c r="H18" s="114">
        <f>IF('01_인적정보'!B18="","",'07a_상반기입력'!L18)</f>
        <v/>
      </c>
      <c r="I18" s="115">
        <f>IFERROR(IF(AND(G18&lt;&gt;"",H18&lt;&gt;""),'02_의사결정·종합결과'!$B$67*IFERROR(CHOOSE(FIND(G18,"DCBAS"),1,2,3,4,5),0)+'02_의사결정·종합결과'!$B$68*IFERROR(CHOOSE(FIND(H18,"DCBAS"),1,2,3,4,5),0),IF(G18&lt;&gt;"",IFERROR(CHOOSE(FIND(G18,"DCBAS"),1,2,3,4,5),0),IF(H18&lt;&gt;"",IFERROR(CHOOSE(FIND(H18,"DCBAS"),1,2,3,4,5),0),""))),"")</f>
        <v/>
      </c>
      <c r="J18" s="116">
        <f>IF(I18="","",IF(I18&gt;=4.5,"S",IF(I18&gt;=3.5,"A",IF(I18&gt;=2.5,"B",IF(I18&gt;=1.5,"C","D")))))</f>
        <v/>
      </c>
      <c r="K18" s="118" t="n"/>
      <c r="L18" s="107" t="n"/>
      <c r="M18" s="107" t="n"/>
      <c r="N18" s="107" t="n"/>
      <c r="O18" s="107" t="n"/>
      <c r="P18" s="107" t="n"/>
      <c r="Q18" s="107" t="n"/>
      <c r="R18" s="107" t="n"/>
      <c r="S18" s="107" t="n"/>
      <c r="T18" s="107" t="n"/>
      <c r="U18" s="107" t="n"/>
    </row>
    <row r="19" ht="22" customHeight="1" s="86">
      <c r="A19" s="111">
        <f>IF('01_인적정보'!B19="","",'01_인적정보'!A19)</f>
        <v/>
      </c>
      <c r="B19" s="111">
        <f>IF('01_인적정보'!B19="","",'01_인적정보'!B19)</f>
        <v/>
      </c>
      <c r="C19" s="112">
        <f>IF('01_인적정보'!B19="","",'01_인적정보'!C19)</f>
        <v/>
      </c>
      <c r="D19" s="112">
        <f>IF('01_인적정보'!B19="","",'01_인적정보'!E19)</f>
        <v/>
      </c>
      <c r="E19" s="113">
        <f>IF('01_인적정보'!B19="","",'01_인적정보'!H19)</f>
        <v/>
      </c>
      <c r="F19" s="120">
        <f>IF('01_인적정보'!B19="","",'01_인적정보'!L19)</f>
        <v/>
      </c>
      <c r="G19" s="114">
        <f>IF('01_인적정보'!B19="","",'07a_상반기입력'!K19)</f>
        <v/>
      </c>
      <c r="H19" s="114">
        <f>IF('01_인적정보'!B19="","",'07a_상반기입력'!L19)</f>
        <v/>
      </c>
      <c r="I19" s="115">
        <f>IFERROR(IF(AND(G19&lt;&gt;"",H19&lt;&gt;""),'02_의사결정·종합결과'!$B$67*IFERROR(CHOOSE(FIND(G19,"DCBAS"),1,2,3,4,5),0)+'02_의사결정·종합결과'!$B$68*IFERROR(CHOOSE(FIND(H19,"DCBAS"),1,2,3,4,5),0),IF(G19&lt;&gt;"",IFERROR(CHOOSE(FIND(G19,"DCBAS"),1,2,3,4,5),0),IF(H19&lt;&gt;"",IFERROR(CHOOSE(FIND(H19,"DCBAS"),1,2,3,4,5),0),""))),"")</f>
        <v/>
      </c>
      <c r="J19" s="116">
        <f>IF(I19="","",IF(I19&gt;=4.5,"S",IF(I19&gt;=3.5,"A",IF(I19&gt;=2.5,"B",IF(I19&gt;=1.5,"C","D")))))</f>
        <v/>
      </c>
      <c r="K19" s="118" t="n"/>
      <c r="L19" s="107" t="n"/>
      <c r="M19" s="107" t="n"/>
      <c r="N19" s="107" t="n"/>
      <c r="O19" s="107" t="n"/>
      <c r="P19" s="107" t="n"/>
      <c r="Q19" s="107" t="n"/>
      <c r="R19" s="107" t="n"/>
      <c r="S19" s="107" t="n"/>
      <c r="T19" s="107" t="n"/>
      <c r="U19" s="107" t="n"/>
    </row>
    <row r="20" ht="22" customHeight="1" s="86">
      <c r="A20" s="111">
        <f>IF('01_인적정보'!B20="","",'01_인적정보'!A20)</f>
        <v/>
      </c>
      <c r="B20" s="111">
        <f>IF('01_인적정보'!B20="","",'01_인적정보'!B20)</f>
        <v/>
      </c>
      <c r="C20" s="112">
        <f>IF('01_인적정보'!B20="","",'01_인적정보'!C20)</f>
        <v/>
      </c>
      <c r="D20" s="112">
        <f>IF('01_인적정보'!B20="","",'01_인적정보'!E20)</f>
        <v/>
      </c>
      <c r="E20" s="113">
        <f>IF('01_인적정보'!B20="","",'01_인적정보'!H20)</f>
        <v/>
      </c>
      <c r="F20" s="120">
        <f>IF('01_인적정보'!B20="","",'01_인적정보'!L20)</f>
        <v/>
      </c>
      <c r="G20" s="114">
        <f>IF('01_인적정보'!B20="","",'07a_상반기입력'!K20)</f>
        <v/>
      </c>
      <c r="H20" s="114">
        <f>IF('01_인적정보'!B20="","",'07a_상반기입력'!L20)</f>
        <v/>
      </c>
      <c r="I20" s="115">
        <f>IFERROR(IF(AND(G20&lt;&gt;"",H20&lt;&gt;""),'02_의사결정·종합결과'!$B$67*IFERROR(CHOOSE(FIND(G20,"DCBAS"),1,2,3,4,5),0)+'02_의사결정·종합결과'!$B$68*IFERROR(CHOOSE(FIND(H20,"DCBAS"),1,2,3,4,5),0),IF(G20&lt;&gt;"",IFERROR(CHOOSE(FIND(G20,"DCBAS"),1,2,3,4,5),0),IF(H20&lt;&gt;"",IFERROR(CHOOSE(FIND(H20,"DCBAS"),1,2,3,4,5),0),""))),"")</f>
        <v/>
      </c>
      <c r="J20" s="116">
        <f>IF(I20="","",IF(I20&gt;=4.5,"S",IF(I20&gt;=3.5,"A",IF(I20&gt;=2.5,"B",IF(I20&gt;=1.5,"C","D")))))</f>
        <v/>
      </c>
      <c r="K20" s="118" t="n"/>
      <c r="L20" s="107" t="n"/>
      <c r="M20" s="107" t="n"/>
      <c r="N20" s="107" t="n"/>
      <c r="O20" s="107" t="n"/>
      <c r="P20" s="107" t="n"/>
      <c r="Q20" s="107" t="n"/>
      <c r="R20" s="107" t="n"/>
      <c r="S20" s="107" t="n"/>
      <c r="T20" s="107" t="n"/>
      <c r="U20" s="107" t="n"/>
    </row>
    <row r="21" ht="22" customHeight="1" s="86">
      <c r="A21" s="111">
        <f>IF('01_인적정보'!B21="","",'01_인적정보'!A21)</f>
        <v/>
      </c>
      <c r="B21" s="111">
        <f>IF('01_인적정보'!B21="","",'01_인적정보'!B21)</f>
        <v/>
      </c>
      <c r="C21" s="112">
        <f>IF('01_인적정보'!B21="","",'01_인적정보'!C21)</f>
        <v/>
      </c>
      <c r="D21" s="112">
        <f>IF('01_인적정보'!B21="","",'01_인적정보'!E21)</f>
        <v/>
      </c>
      <c r="E21" s="113">
        <f>IF('01_인적정보'!B21="","",'01_인적정보'!H21)</f>
        <v/>
      </c>
      <c r="F21" s="120">
        <f>IF('01_인적정보'!B21="","",'01_인적정보'!L21)</f>
        <v/>
      </c>
      <c r="G21" s="114">
        <f>IF('01_인적정보'!B21="","",'07a_상반기입력'!K21)</f>
        <v/>
      </c>
      <c r="H21" s="114">
        <f>IF('01_인적정보'!B21="","",'07a_상반기입력'!L21)</f>
        <v/>
      </c>
      <c r="I21" s="115">
        <f>IFERROR(IF(AND(G21&lt;&gt;"",H21&lt;&gt;""),'02_의사결정·종합결과'!$B$67*IFERROR(CHOOSE(FIND(G21,"DCBAS"),1,2,3,4,5),0)+'02_의사결정·종합결과'!$B$68*IFERROR(CHOOSE(FIND(H21,"DCBAS"),1,2,3,4,5),0),IF(G21&lt;&gt;"",IFERROR(CHOOSE(FIND(G21,"DCBAS"),1,2,3,4,5),0),IF(H21&lt;&gt;"",IFERROR(CHOOSE(FIND(H21,"DCBAS"),1,2,3,4,5),0),""))),"")</f>
        <v/>
      </c>
      <c r="J21" s="116">
        <f>IF(I21="","",IF(I21&gt;=4.5,"S",IF(I21&gt;=3.5,"A",IF(I21&gt;=2.5,"B",IF(I21&gt;=1.5,"C","D")))))</f>
        <v/>
      </c>
      <c r="K21" s="118" t="n"/>
      <c r="L21" s="107" t="n"/>
      <c r="M21" s="107" t="n"/>
      <c r="N21" s="107" t="n"/>
      <c r="O21" s="107" t="n"/>
      <c r="P21" s="107" t="n"/>
      <c r="Q21" s="107" t="n"/>
      <c r="R21" s="107" t="n"/>
      <c r="S21" s="107" t="n"/>
      <c r="T21" s="107" t="n"/>
      <c r="U21" s="107" t="n"/>
    </row>
    <row r="22" ht="22" customHeight="1" s="86">
      <c r="A22" s="111">
        <f>IF('01_인적정보'!B22="","",'01_인적정보'!A22)</f>
        <v/>
      </c>
      <c r="B22" s="111">
        <f>IF('01_인적정보'!B22="","",'01_인적정보'!B22)</f>
        <v/>
      </c>
      <c r="C22" s="112">
        <f>IF('01_인적정보'!B22="","",'01_인적정보'!C22)</f>
        <v/>
      </c>
      <c r="D22" s="112">
        <f>IF('01_인적정보'!B22="","",'01_인적정보'!E22)</f>
        <v/>
      </c>
      <c r="E22" s="113">
        <f>IF('01_인적정보'!B22="","",'01_인적정보'!H22)</f>
        <v/>
      </c>
      <c r="F22" s="120">
        <f>IF('01_인적정보'!B22="","",'01_인적정보'!L22)</f>
        <v/>
      </c>
      <c r="G22" s="114">
        <f>IF('01_인적정보'!B22="","",'07a_상반기입력'!K22)</f>
        <v/>
      </c>
      <c r="H22" s="114">
        <f>IF('01_인적정보'!B22="","",'07a_상반기입력'!L22)</f>
        <v/>
      </c>
      <c r="I22" s="115">
        <f>IFERROR(IF(AND(G22&lt;&gt;"",H22&lt;&gt;""),'02_의사결정·종합결과'!$B$67*IFERROR(CHOOSE(FIND(G22,"DCBAS"),1,2,3,4,5),0)+'02_의사결정·종합결과'!$B$68*IFERROR(CHOOSE(FIND(H22,"DCBAS"),1,2,3,4,5),0),IF(G22&lt;&gt;"",IFERROR(CHOOSE(FIND(G22,"DCBAS"),1,2,3,4,5),0),IF(H22&lt;&gt;"",IFERROR(CHOOSE(FIND(H22,"DCBAS"),1,2,3,4,5),0),""))),"")</f>
        <v/>
      </c>
      <c r="J22" s="116">
        <f>IF(I22="","",IF(I22&gt;=4.5,"S",IF(I22&gt;=3.5,"A",IF(I22&gt;=2.5,"B",IF(I22&gt;=1.5,"C","D")))))</f>
        <v/>
      </c>
      <c r="K22" s="118" t="n"/>
      <c r="L22" s="107" t="n"/>
      <c r="M22" s="107" t="n"/>
      <c r="N22" s="107" t="n"/>
      <c r="O22" s="107" t="n"/>
      <c r="P22" s="107" t="n"/>
      <c r="Q22" s="107" t="n"/>
      <c r="R22" s="107" t="n"/>
      <c r="S22" s="107" t="n"/>
      <c r="T22" s="107" t="n"/>
      <c r="U22" s="107" t="n"/>
    </row>
    <row r="23" ht="22" customHeight="1" s="86">
      <c r="A23" s="111">
        <f>IF('01_인적정보'!B23="","",'01_인적정보'!A23)</f>
        <v/>
      </c>
      <c r="B23" s="111">
        <f>IF('01_인적정보'!B23="","",'01_인적정보'!B23)</f>
        <v/>
      </c>
      <c r="C23" s="112">
        <f>IF('01_인적정보'!B23="","",'01_인적정보'!C23)</f>
        <v/>
      </c>
      <c r="D23" s="112">
        <f>IF('01_인적정보'!B23="","",'01_인적정보'!E23)</f>
        <v/>
      </c>
      <c r="E23" s="113">
        <f>IF('01_인적정보'!B23="","",'01_인적정보'!H23)</f>
        <v/>
      </c>
      <c r="F23" s="120">
        <f>IF('01_인적정보'!B23="","",'01_인적정보'!L23)</f>
        <v/>
      </c>
      <c r="G23" s="114">
        <f>IF('01_인적정보'!B23="","",'07a_상반기입력'!K23)</f>
        <v/>
      </c>
      <c r="H23" s="114">
        <f>IF('01_인적정보'!B23="","",'07a_상반기입력'!L23)</f>
        <v/>
      </c>
      <c r="I23" s="115">
        <f>IFERROR(IF(AND(G23&lt;&gt;"",H23&lt;&gt;""),'02_의사결정·종합결과'!$B$67*IFERROR(CHOOSE(FIND(G23,"DCBAS"),1,2,3,4,5),0)+'02_의사결정·종합결과'!$B$68*IFERROR(CHOOSE(FIND(H23,"DCBAS"),1,2,3,4,5),0),IF(G23&lt;&gt;"",IFERROR(CHOOSE(FIND(G23,"DCBAS"),1,2,3,4,5),0),IF(H23&lt;&gt;"",IFERROR(CHOOSE(FIND(H23,"DCBAS"),1,2,3,4,5),0),""))),"")</f>
        <v/>
      </c>
      <c r="J23" s="116">
        <f>IF(I23="","",IF(I23&gt;=4.5,"S",IF(I23&gt;=3.5,"A",IF(I23&gt;=2.5,"B",IF(I23&gt;=1.5,"C","D")))))</f>
        <v/>
      </c>
      <c r="K23" s="118" t="n"/>
      <c r="L23" s="107" t="n"/>
      <c r="M23" s="107" t="n"/>
      <c r="N23" s="107" t="n"/>
      <c r="O23" s="107" t="n"/>
      <c r="P23" s="107" t="n"/>
      <c r="Q23" s="107" t="n"/>
      <c r="R23" s="107" t="n"/>
      <c r="S23" s="107" t="n"/>
      <c r="T23" s="107" t="n"/>
      <c r="U23" s="107" t="n"/>
    </row>
    <row r="24" ht="22" customHeight="1" s="86">
      <c r="A24" s="111">
        <f>IF('01_인적정보'!B24="","",'01_인적정보'!A24)</f>
        <v/>
      </c>
      <c r="B24" s="111">
        <f>IF('01_인적정보'!B24="","",'01_인적정보'!B24)</f>
        <v/>
      </c>
      <c r="C24" s="112">
        <f>IF('01_인적정보'!B24="","",'01_인적정보'!C24)</f>
        <v/>
      </c>
      <c r="D24" s="112">
        <f>IF('01_인적정보'!B24="","",'01_인적정보'!E24)</f>
        <v/>
      </c>
      <c r="E24" s="113">
        <f>IF('01_인적정보'!B24="","",'01_인적정보'!H24)</f>
        <v/>
      </c>
      <c r="F24" s="120">
        <f>IF('01_인적정보'!B24="","",'01_인적정보'!L24)</f>
        <v/>
      </c>
      <c r="G24" s="114">
        <f>IF('01_인적정보'!B24="","",'07a_상반기입력'!K24)</f>
        <v/>
      </c>
      <c r="H24" s="114">
        <f>IF('01_인적정보'!B24="","",'07a_상반기입력'!L24)</f>
        <v/>
      </c>
      <c r="I24" s="115">
        <f>IFERROR(IF(AND(G24&lt;&gt;"",H24&lt;&gt;""),'02_의사결정·종합결과'!$B$67*IFERROR(CHOOSE(FIND(G24,"DCBAS"),1,2,3,4,5),0)+'02_의사결정·종합결과'!$B$68*IFERROR(CHOOSE(FIND(H24,"DCBAS"),1,2,3,4,5),0),IF(G24&lt;&gt;"",IFERROR(CHOOSE(FIND(G24,"DCBAS"),1,2,3,4,5),0),IF(H24&lt;&gt;"",IFERROR(CHOOSE(FIND(H24,"DCBAS"),1,2,3,4,5),0),""))),"")</f>
        <v/>
      </c>
      <c r="J24" s="116">
        <f>IF(I24="","",IF(I24&gt;=4.5,"S",IF(I24&gt;=3.5,"A",IF(I24&gt;=2.5,"B",IF(I24&gt;=1.5,"C","D")))))</f>
        <v/>
      </c>
      <c r="K24" s="118" t="n"/>
      <c r="L24" s="107" t="n"/>
      <c r="M24" s="107" t="n"/>
      <c r="N24" s="107" t="n"/>
      <c r="O24" s="107" t="n"/>
      <c r="P24" s="107" t="n"/>
      <c r="Q24" s="107" t="n"/>
      <c r="R24" s="107" t="n"/>
      <c r="S24" s="107" t="n"/>
      <c r="T24" s="107" t="n"/>
      <c r="U24" s="107" t="n"/>
    </row>
    <row r="25" ht="22" customHeight="1" s="86">
      <c r="A25" s="111">
        <f>IF('01_인적정보'!B25="","",'01_인적정보'!A25)</f>
        <v/>
      </c>
      <c r="B25" s="111">
        <f>IF('01_인적정보'!B25="","",'01_인적정보'!B25)</f>
        <v/>
      </c>
      <c r="C25" s="112">
        <f>IF('01_인적정보'!B25="","",'01_인적정보'!C25)</f>
        <v/>
      </c>
      <c r="D25" s="112">
        <f>IF('01_인적정보'!B25="","",'01_인적정보'!E25)</f>
        <v/>
      </c>
      <c r="E25" s="113">
        <f>IF('01_인적정보'!B25="","",'01_인적정보'!H25)</f>
        <v/>
      </c>
      <c r="F25" s="120">
        <f>IF('01_인적정보'!B25="","",'01_인적정보'!L25)</f>
        <v/>
      </c>
      <c r="G25" s="114">
        <f>IF('01_인적정보'!B25="","",'07a_상반기입력'!K25)</f>
        <v/>
      </c>
      <c r="H25" s="114">
        <f>IF('01_인적정보'!B25="","",'07a_상반기입력'!L25)</f>
        <v/>
      </c>
      <c r="I25" s="115">
        <f>IFERROR(IF(AND(G25&lt;&gt;"",H25&lt;&gt;""),'02_의사결정·종합결과'!$B$67*IFERROR(CHOOSE(FIND(G25,"DCBAS"),1,2,3,4,5),0)+'02_의사결정·종합결과'!$B$68*IFERROR(CHOOSE(FIND(H25,"DCBAS"),1,2,3,4,5),0),IF(G25&lt;&gt;"",IFERROR(CHOOSE(FIND(G25,"DCBAS"),1,2,3,4,5),0),IF(H25&lt;&gt;"",IFERROR(CHOOSE(FIND(H25,"DCBAS"),1,2,3,4,5),0),""))),"")</f>
        <v/>
      </c>
      <c r="J25" s="116">
        <f>IF(I25="","",IF(I25&gt;=4.5,"S",IF(I25&gt;=3.5,"A",IF(I25&gt;=2.5,"B",IF(I25&gt;=1.5,"C","D")))))</f>
        <v/>
      </c>
      <c r="K25" s="118" t="n"/>
      <c r="L25" s="107" t="n"/>
      <c r="M25" s="107" t="n"/>
      <c r="N25" s="107" t="n"/>
      <c r="O25" s="107" t="n"/>
      <c r="P25" s="107" t="n"/>
      <c r="Q25" s="107" t="n"/>
      <c r="R25" s="107" t="n"/>
      <c r="S25" s="107" t="n"/>
      <c r="T25" s="107" t="n"/>
      <c r="U25" s="107" t="n"/>
    </row>
    <row r="26" ht="22" customHeight="1" s="86">
      <c r="A26" s="111">
        <f>IF('01_인적정보'!B26="","",'01_인적정보'!A26)</f>
        <v/>
      </c>
      <c r="B26" s="111">
        <f>IF('01_인적정보'!B26="","",'01_인적정보'!B26)</f>
        <v/>
      </c>
      <c r="C26" s="112">
        <f>IF('01_인적정보'!B26="","",'01_인적정보'!C26)</f>
        <v/>
      </c>
      <c r="D26" s="112">
        <f>IF('01_인적정보'!B26="","",'01_인적정보'!E26)</f>
        <v/>
      </c>
      <c r="E26" s="113">
        <f>IF('01_인적정보'!B26="","",'01_인적정보'!H26)</f>
        <v/>
      </c>
      <c r="F26" s="120">
        <f>IF('01_인적정보'!B26="","",'01_인적정보'!L26)</f>
        <v/>
      </c>
      <c r="G26" s="114">
        <f>IF('01_인적정보'!B26="","",'07a_상반기입력'!K26)</f>
        <v/>
      </c>
      <c r="H26" s="114">
        <f>IF('01_인적정보'!B26="","",'07a_상반기입력'!L26)</f>
        <v/>
      </c>
      <c r="I26" s="115">
        <f>IFERROR(IF(AND(G26&lt;&gt;"",H26&lt;&gt;""),'02_의사결정·종합결과'!$B$67*IFERROR(CHOOSE(FIND(G26,"DCBAS"),1,2,3,4,5),0)+'02_의사결정·종합결과'!$B$68*IFERROR(CHOOSE(FIND(H26,"DCBAS"),1,2,3,4,5),0),IF(G26&lt;&gt;"",IFERROR(CHOOSE(FIND(G26,"DCBAS"),1,2,3,4,5),0),IF(H26&lt;&gt;"",IFERROR(CHOOSE(FIND(H26,"DCBAS"),1,2,3,4,5),0),""))),"")</f>
        <v/>
      </c>
      <c r="J26" s="116">
        <f>IF(I26="","",IF(I26&gt;=4.5,"S",IF(I26&gt;=3.5,"A",IF(I26&gt;=2.5,"B",IF(I26&gt;=1.5,"C","D")))))</f>
        <v/>
      </c>
      <c r="K26" s="118" t="n"/>
      <c r="L26" s="107" t="n"/>
      <c r="M26" s="107" t="n"/>
      <c r="N26" s="107" t="n"/>
      <c r="O26" s="107" t="n"/>
      <c r="P26" s="107" t="n"/>
      <c r="Q26" s="107" t="n"/>
      <c r="R26" s="107" t="n"/>
      <c r="S26" s="107" t="n"/>
      <c r="T26" s="107" t="n"/>
      <c r="U26" s="107" t="n"/>
    </row>
    <row r="27" ht="22" customHeight="1" s="86">
      <c r="A27" s="111">
        <f>IF('01_인적정보'!B27="","",'01_인적정보'!A27)</f>
        <v/>
      </c>
      <c r="B27" s="111">
        <f>IF('01_인적정보'!B27="","",'01_인적정보'!B27)</f>
        <v/>
      </c>
      <c r="C27" s="112">
        <f>IF('01_인적정보'!B27="","",'01_인적정보'!C27)</f>
        <v/>
      </c>
      <c r="D27" s="112">
        <f>IF('01_인적정보'!B27="","",'01_인적정보'!E27)</f>
        <v/>
      </c>
      <c r="E27" s="113">
        <f>IF('01_인적정보'!B27="","",'01_인적정보'!H27)</f>
        <v/>
      </c>
      <c r="F27" s="120">
        <f>IF('01_인적정보'!B27="","",'01_인적정보'!L27)</f>
        <v/>
      </c>
      <c r="G27" s="114">
        <f>IF('01_인적정보'!B27="","",'07a_상반기입력'!K27)</f>
        <v/>
      </c>
      <c r="H27" s="114">
        <f>IF('01_인적정보'!B27="","",'07a_상반기입력'!L27)</f>
        <v/>
      </c>
      <c r="I27" s="115">
        <f>IFERROR(IF(AND(G27&lt;&gt;"",H27&lt;&gt;""),'02_의사결정·종합결과'!$B$67*IFERROR(CHOOSE(FIND(G27,"DCBAS"),1,2,3,4,5),0)+'02_의사결정·종합결과'!$B$68*IFERROR(CHOOSE(FIND(H27,"DCBAS"),1,2,3,4,5),0),IF(G27&lt;&gt;"",IFERROR(CHOOSE(FIND(G27,"DCBAS"),1,2,3,4,5),0),IF(H27&lt;&gt;"",IFERROR(CHOOSE(FIND(H27,"DCBAS"),1,2,3,4,5),0),""))),"")</f>
        <v/>
      </c>
      <c r="J27" s="116">
        <f>IF(I27="","",IF(I27&gt;=4.5,"S",IF(I27&gt;=3.5,"A",IF(I27&gt;=2.5,"B",IF(I27&gt;=1.5,"C","D")))))</f>
        <v/>
      </c>
      <c r="K27" s="118" t="n"/>
      <c r="L27" s="107" t="n"/>
      <c r="M27" s="107" t="n"/>
      <c r="N27" s="107" t="n"/>
      <c r="O27" s="107" t="n"/>
      <c r="P27" s="107" t="n"/>
      <c r="Q27" s="107" t="n"/>
      <c r="R27" s="107" t="n"/>
      <c r="S27" s="107" t="n"/>
      <c r="T27" s="107" t="n"/>
      <c r="U27" s="107" t="n"/>
    </row>
    <row r="28" ht="22" customHeight="1" s="86">
      <c r="A28" s="111">
        <f>IF('01_인적정보'!B28="","",'01_인적정보'!A28)</f>
        <v/>
      </c>
      <c r="B28" s="111">
        <f>IF('01_인적정보'!B28="","",'01_인적정보'!B28)</f>
        <v/>
      </c>
      <c r="C28" s="112">
        <f>IF('01_인적정보'!B28="","",'01_인적정보'!C28)</f>
        <v/>
      </c>
      <c r="D28" s="112">
        <f>IF('01_인적정보'!B28="","",'01_인적정보'!E28)</f>
        <v/>
      </c>
      <c r="E28" s="113">
        <f>IF('01_인적정보'!B28="","",'01_인적정보'!H28)</f>
        <v/>
      </c>
      <c r="F28" s="120">
        <f>IF('01_인적정보'!B28="","",'01_인적정보'!L28)</f>
        <v/>
      </c>
      <c r="G28" s="114">
        <f>IF('01_인적정보'!B28="","",'07a_상반기입력'!K28)</f>
        <v/>
      </c>
      <c r="H28" s="114">
        <f>IF('01_인적정보'!B28="","",'07a_상반기입력'!L28)</f>
        <v/>
      </c>
      <c r="I28" s="115">
        <f>IFERROR(IF(AND(G28&lt;&gt;"",H28&lt;&gt;""),'02_의사결정·종합결과'!$B$67*IFERROR(CHOOSE(FIND(G28,"DCBAS"),1,2,3,4,5),0)+'02_의사결정·종합결과'!$B$68*IFERROR(CHOOSE(FIND(H28,"DCBAS"),1,2,3,4,5),0),IF(G28&lt;&gt;"",IFERROR(CHOOSE(FIND(G28,"DCBAS"),1,2,3,4,5),0),IF(H28&lt;&gt;"",IFERROR(CHOOSE(FIND(H28,"DCBAS"),1,2,3,4,5),0),""))),"")</f>
        <v/>
      </c>
      <c r="J28" s="116">
        <f>IF(I28="","",IF(I28&gt;=4.5,"S",IF(I28&gt;=3.5,"A",IF(I28&gt;=2.5,"B",IF(I28&gt;=1.5,"C","D")))))</f>
        <v/>
      </c>
      <c r="K28" s="118" t="n"/>
      <c r="L28" s="107" t="n"/>
      <c r="M28" s="107" t="n"/>
      <c r="N28" s="107" t="n"/>
      <c r="O28" s="107" t="n"/>
      <c r="P28" s="107" t="n"/>
      <c r="Q28" s="107" t="n"/>
      <c r="R28" s="107" t="n"/>
      <c r="S28" s="107" t="n"/>
      <c r="T28" s="107" t="n"/>
      <c r="U28" s="107" t="n"/>
    </row>
    <row r="29" ht="22" customHeight="1" s="86">
      <c r="A29" s="111">
        <f>IF('01_인적정보'!B29="","",'01_인적정보'!A29)</f>
        <v/>
      </c>
      <c r="B29" s="111">
        <f>IF('01_인적정보'!B29="","",'01_인적정보'!B29)</f>
        <v/>
      </c>
      <c r="C29" s="112">
        <f>IF('01_인적정보'!B29="","",'01_인적정보'!C29)</f>
        <v/>
      </c>
      <c r="D29" s="112">
        <f>IF('01_인적정보'!B29="","",'01_인적정보'!E29)</f>
        <v/>
      </c>
      <c r="E29" s="113">
        <f>IF('01_인적정보'!B29="","",'01_인적정보'!H29)</f>
        <v/>
      </c>
      <c r="F29" s="120">
        <f>IF('01_인적정보'!B29="","",'01_인적정보'!L29)</f>
        <v/>
      </c>
      <c r="G29" s="114">
        <f>IF('01_인적정보'!B29="","",'07a_상반기입력'!K29)</f>
        <v/>
      </c>
      <c r="H29" s="114">
        <f>IF('01_인적정보'!B29="","",'07a_상반기입력'!L29)</f>
        <v/>
      </c>
      <c r="I29" s="115">
        <f>IFERROR(IF(AND(G29&lt;&gt;"",H29&lt;&gt;""),'02_의사결정·종합결과'!$B$67*IFERROR(CHOOSE(FIND(G29,"DCBAS"),1,2,3,4,5),0)+'02_의사결정·종합결과'!$B$68*IFERROR(CHOOSE(FIND(H29,"DCBAS"),1,2,3,4,5),0),IF(G29&lt;&gt;"",IFERROR(CHOOSE(FIND(G29,"DCBAS"),1,2,3,4,5),0),IF(H29&lt;&gt;"",IFERROR(CHOOSE(FIND(H29,"DCBAS"),1,2,3,4,5),0),""))),"")</f>
        <v/>
      </c>
      <c r="J29" s="116">
        <f>IF(I29="","",IF(I29&gt;=4.5,"S",IF(I29&gt;=3.5,"A",IF(I29&gt;=2.5,"B",IF(I29&gt;=1.5,"C","D")))))</f>
        <v/>
      </c>
      <c r="K29" s="118" t="n"/>
      <c r="L29" s="107" t="n"/>
      <c r="M29" s="107" t="n"/>
      <c r="N29" s="107" t="n"/>
      <c r="O29" s="107" t="n"/>
      <c r="P29" s="107" t="n"/>
      <c r="Q29" s="107" t="n"/>
      <c r="R29" s="107" t="n"/>
      <c r="S29" s="107" t="n"/>
      <c r="T29" s="107" t="n"/>
      <c r="U29" s="107" t="n"/>
    </row>
    <row r="30" ht="22" customHeight="1" s="86">
      <c r="A30" s="111">
        <f>IF('01_인적정보'!B30="","",'01_인적정보'!A30)</f>
        <v/>
      </c>
      <c r="B30" s="111">
        <f>IF('01_인적정보'!B30="","",'01_인적정보'!B30)</f>
        <v/>
      </c>
      <c r="C30" s="112">
        <f>IF('01_인적정보'!B30="","",'01_인적정보'!C30)</f>
        <v/>
      </c>
      <c r="D30" s="112">
        <f>IF('01_인적정보'!B30="","",'01_인적정보'!E30)</f>
        <v/>
      </c>
      <c r="E30" s="113">
        <f>IF('01_인적정보'!B30="","",'01_인적정보'!H30)</f>
        <v/>
      </c>
      <c r="F30" s="120">
        <f>IF('01_인적정보'!B30="","",'01_인적정보'!L30)</f>
        <v/>
      </c>
      <c r="G30" s="114">
        <f>IF('01_인적정보'!B30="","",'07a_상반기입력'!K30)</f>
        <v/>
      </c>
      <c r="H30" s="114">
        <f>IF('01_인적정보'!B30="","",'07a_상반기입력'!L30)</f>
        <v/>
      </c>
      <c r="I30" s="115">
        <f>IFERROR(IF(AND(G30&lt;&gt;"",H30&lt;&gt;""),'02_의사결정·종합결과'!$B$67*IFERROR(CHOOSE(FIND(G30,"DCBAS"),1,2,3,4,5),0)+'02_의사결정·종합결과'!$B$68*IFERROR(CHOOSE(FIND(H30,"DCBAS"),1,2,3,4,5),0),IF(G30&lt;&gt;"",IFERROR(CHOOSE(FIND(G30,"DCBAS"),1,2,3,4,5),0),IF(H30&lt;&gt;"",IFERROR(CHOOSE(FIND(H30,"DCBAS"),1,2,3,4,5),0),""))),"")</f>
        <v/>
      </c>
      <c r="J30" s="116">
        <f>IF(I30="","",IF(I30&gt;=4.5,"S",IF(I30&gt;=3.5,"A",IF(I30&gt;=2.5,"B",IF(I30&gt;=1.5,"C","D")))))</f>
        <v/>
      </c>
      <c r="K30" s="118" t="n"/>
      <c r="L30" s="107" t="n"/>
      <c r="M30" s="107" t="n"/>
      <c r="N30" s="107" t="n"/>
      <c r="O30" s="107" t="n"/>
      <c r="P30" s="107" t="n"/>
      <c r="Q30" s="107" t="n"/>
      <c r="R30" s="107" t="n"/>
      <c r="S30" s="107" t="n"/>
      <c r="T30" s="107" t="n"/>
      <c r="U30" s="107" t="n"/>
    </row>
    <row r="31" ht="22" customHeight="1" s="86">
      <c r="A31" s="111">
        <f>IF('01_인적정보'!B31="","",'01_인적정보'!A31)</f>
        <v/>
      </c>
      <c r="B31" s="111">
        <f>IF('01_인적정보'!B31="","",'01_인적정보'!B31)</f>
        <v/>
      </c>
      <c r="C31" s="112">
        <f>IF('01_인적정보'!B31="","",'01_인적정보'!C31)</f>
        <v/>
      </c>
      <c r="D31" s="112">
        <f>IF('01_인적정보'!B31="","",'01_인적정보'!E31)</f>
        <v/>
      </c>
      <c r="E31" s="113">
        <f>IF('01_인적정보'!B31="","",'01_인적정보'!H31)</f>
        <v/>
      </c>
      <c r="F31" s="120">
        <f>IF('01_인적정보'!B31="","",'01_인적정보'!L31)</f>
        <v/>
      </c>
      <c r="G31" s="114">
        <f>IF('01_인적정보'!B31="","",'07a_상반기입력'!K31)</f>
        <v/>
      </c>
      <c r="H31" s="114">
        <f>IF('01_인적정보'!B31="","",'07a_상반기입력'!L31)</f>
        <v/>
      </c>
      <c r="I31" s="115">
        <f>IFERROR(IF(AND(G31&lt;&gt;"",H31&lt;&gt;""),'02_의사결정·종합결과'!$B$67*IFERROR(CHOOSE(FIND(G31,"DCBAS"),1,2,3,4,5),0)+'02_의사결정·종합결과'!$B$68*IFERROR(CHOOSE(FIND(H31,"DCBAS"),1,2,3,4,5),0),IF(G31&lt;&gt;"",IFERROR(CHOOSE(FIND(G31,"DCBAS"),1,2,3,4,5),0),IF(H31&lt;&gt;"",IFERROR(CHOOSE(FIND(H31,"DCBAS"),1,2,3,4,5),0),""))),"")</f>
        <v/>
      </c>
      <c r="J31" s="116">
        <f>IF(I31="","",IF(I31&gt;=4.5,"S",IF(I31&gt;=3.5,"A",IF(I31&gt;=2.5,"B",IF(I31&gt;=1.5,"C","D")))))</f>
        <v/>
      </c>
      <c r="K31" s="118" t="n"/>
      <c r="L31" s="107" t="n"/>
      <c r="M31" s="107" t="n"/>
      <c r="N31" s="107" t="n"/>
      <c r="O31" s="107" t="n"/>
      <c r="P31" s="107" t="n"/>
      <c r="Q31" s="107" t="n"/>
      <c r="R31" s="107" t="n"/>
      <c r="S31" s="107" t="n"/>
      <c r="T31" s="107" t="n"/>
      <c r="U31" s="107" t="n"/>
    </row>
    <row r="32" ht="22" customHeight="1" s="86">
      <c r="A32" s="111">
        <f>IF('01_인적정보'!B32="","",'01_인적정보'!A32)</f>
        <v/>
      </c>
      <c r="B32" s="111">
        <f>IF('01_인적정보'!B32="","",'01_인적정보'!B32)</f>
        <v/>
      </c>
      <c r="C32" s="112">
        <f>IF('01_인적정보'!B32="","",'01_인적정보'!C32)</f>
        <v/>
      </c>
      <c r="D32" s="112">
        <f>IF('01_인적정보'!B32="","",'01_인적정보'!E32)</f>
        <v/>
      </c>
      <c r="E32" s="113">
        <f>IF('01_인적정보'!B32="","",'01_인적정보'!H32)</f>
        <v/>
      </c>
      <c r="F32" s="120">
        <f>IF('01_인적정보'!B32="","",'01_인적정보'!L32)</f>
        <v/>
      </c>
      <c r="G32" s="114">
        <f>IF('01_인적정보'!B32="","",'07a_상반기입력'!K32)</f>
        <v/>
      </c>
      <c r="H32" s="114">
        <f>IF('01_인적정보'!B32="","",'07a_상반기입력'!L32)</f>
        <v/>
      </c>
      <c r="I32" s="115">
        <f>IFERROR(IF(AND(G32&lt;&gt;"",H32&lt;&gt;""),'02_의사결정·종합결과'!$B$67*IFERROR(CHOOSE(FIND(G32,"DCBAS"),1,2,3,4,5),0)+'02_의사결정·종합결과'!$B$68*IFERROR(CHOOSE(FIND(H32,"DCBAS"),1,2,3,4,5),0),IF(G32&lt;&gt;"",IFERROR(CHOOSE(FIND(G32,"DCBAS"),1,2,3,4,5),0),IF(H32&lt;&gt;"",IFERROR(CHOOSE(FIND(H32,"DCBAS"),1,2,3,4,5),0),""))),"")</f>
        <v/>
      </c>
      <c r="J32" s="116">
        <f>IF(I32="","",IF(I32&gt;=4.5,"S",IF(I32&gt;=3.5,"A",IF(I32&gt;=2.5,"B",IF(I32&gt;=1.5,"C","D")))))</f>
        <v/>
      </c>
      <c r="K32" s="118" t="n"/>
      <c r="L32" s="107" t="n"/>
      <c r="M32" s="107" t="n"/>
      <c r="N32" s="107" t="n"/>
      <c r="O32" s="107" t="n"/>
      <c r="P32" s="107" t="n"/>
      <c r="Q32" s="107" t="n"/>
      <c r="R32" s="107" t="n"/>
      <c r="S32" s="107" t="n"/>
      <c r="T32" s="107" t="n"/>
      <c r="U32" s="107" t="n"/>
    </row>
    <row r="33" ht="22" customHeight="1" s="86">
      <c r="A33" s="111">
        <f>IF('01_인적정보'!B33="","",'01_인적정보'!A33)</f>
        <v/>
      </c>
      <c r="B33" s="111">
        <f>IF('01_인적정보'!B33="","",'01_인적정보'!B33)</f>
        <v/>
      </c>
      <c r="C33" s="112">
        <f>IF('01_인적정보'!B33="","",'01_인적정보'!C33)</f>
        <v/>
      </c>
      <c r="D33" s="112">
        <f>IF('01_인적정보'!B33="","",'01_인적정보'!E33)</f>
        <v/>
      </c>
      <c r="E33" s="113">
        <f>IF('01_인적정보'!B33="","",'01_인적정보'!H33)</f>
        <v/>
      </c>
      <c r="F33" s="120">
        <f>IF('01_인적정보'!B33="","",'01_인적정보'!L33)</f>
        <v/>
      </c>
      <c r="G33" s="114">
        <f>IF('01_인적정보'!B33="","",'07a_상반기입력'!K33)</f>
        <v/>
      </c>
      <c r="H33" s="114">
        <f>IF('01_인적정보'!B33="","",'07a_상반기입력'!L33)</f>
        <v/>
      </c>
      <c r="I33" s="115">
        <f>IFERROR(IF(AND(G33&lt;&gt;"",H33&lt;&gt;""),'02_의사결정·종합결과'!$B$67*IFERROR(CHOOSE(FIND(G33,"DCBAS"),1,2,3,4,5),0)+'02_의사결정·종합결과'!$B$68*IFERROR(CHOOSE(FIND(H33,"DCBAS"),1,2,3,4,5),0),IF(G33&lt;&gt;"",IFERROR(CHOOSE(FIND(G33,"DCBAS"),1,2,3,4,5),0),IF(H33&lt;&gt;"",IFERROR(CHOOSE(FIND(H33,"DCBAS"),1,2,3,4,5),0),""))),"")</f>
        <v/>
      </c>
      <c r="J33" s="116">
        <f>IF(I33="","",IF(I33&gt;=4.5,"S",IF(I33&gt;=3.5,"A",IF(I33&gt;=2.5,"B",IF(I33&gt;=1.5,"C","D")))))</f>
        <v/>
      </c>
      <c r="K33" s="118" t="n"/>
      <c r="L33" s="107" t="n"/>
      <c r="M33" s="107" t="n"/>
      <c r="N33" s="107" t="n"/>
      <c r="O33" s="107" t="n"/>
      <c r="P33" s="107" t="n"/>
      <c r="Q33" s="107" t="n"/>
      <c r="R33" s="107" t="n"/>
      <c r="S33" s="107" t="n"/>
      <c r="T33" s="107" t="n"/>
      <c r="U33" s="107" t="n"/>
    </row>
    <row r="34" ht="22" customHeight="1" s="86">
      <c r="A34" s="111">
        <f>IF('01_인적정보'!B34="","",'01_인적정보'!A34)</f>
        <v/>
      </c>
      <c r="B34" s="111">
        <f>IF('01_인적정보'!B34="","",'01_인적정보'!B34)</f>
        <v/>
      </c>
      <c r="C34" s="112">
        <f>IF('01_인적정보'!B34="","",'01_인적정보'!C34)</f>
        <v/>
      </c>
      <c r="D34" s="112">
        <f>IF('01_인적정보'!B34="","",'01_인적정보'!E34)</f>
        <v/>
      </c>
      <c r="E34" s="113">
        <f>IF('01_인적정보'!B34="","",'01_인적정보'!H34)</f>
        <v/>
      </c>
      <c r="F34" s="120">
        <f>IF('01_인적정보'!B34="","",'01_인적정보'!L34)</f>
        <v/>
      </c>
      <c r="G34" s="114">
        <f>IF('01_인적정보'!B34="","",'07a_상반기입력'!K34)</f>
        <v/>
      </c>
      <c r="H34" s="114">
        <f>IF('01_인적정보'!B34="","",'07a_상반기입력'!L34)</f>
        <v/>
      </c>
      <c r="I34" s="115">
        <f>IFERROR(IF(AND(G34&lt;&gt;"",H34&lt;&gt;""),'02_의사결정·종합결과'!$B$67*IFERROR(CHOOSE(FIND(G34,"DCBAS"),1,2,3,4,5),0)+'02_의사결정·종합결과'!$B$68*IFERROR(CHOOSE(FIND(H34,"DCBAS"),1,2,3,4,5),0),IF(G34&lt;&gt;"",IFERROR(CHOOSE(FIND(G34,"DCBAS"),1,2,3,4,5),0),IF(H34&lt;&gt;"",IFERROR(CHOOSE(FIND(H34,"DCBAS"),1,2,3,4,5),0),""))),"")</f>
        <v/>
      </c>
      <c r="J34" s="116">
        <f>IF(I34="","",IF(I34&gt;=4.5,"S",IF(I34&gt;=3.5,"A",IF(I34&gt;=2.5,"B",IF(I34&gt;=1.5,"C","D")))))</f>
        <v/>
      </c>
      <c r="K34" s="118" t="n"/>
      <c r="L34" s="107" t="n"/>
      <c r="M34" s="107" t="n"/>
      <c r="N34" s="107" t="n"/>
      <c r="O34" s="107" t="n"/>
      <c r="P34" s="107" t="n"/>
      <c r="Q34" s="107" t="n"/>
      <c r="R34" s="107" t="n"/>
      <c r="S34" s="107" t="n"/>
      <c r="T34" s="107" t="n"/>
      <c r="U34" s="107" t="n"/>
    </row>
    <row r="35" ht="22" customHeight="1" s="86">
      <c r="A35" s="111">
        <f>IF('01_인적정보'!B35="","",'01_인적정보'!A35)</f>
        <v/>
      </c>
      <c r="B35" s="111">
        <f>IF('01_인적정보'!B35="","",'01_인적정보'!B35)</f>
        <v/>
      </c>
      <c r="C35" s="112">
        <f>IF('01_인적정보'!B35="","",'01_인적정보'!C35)</f>
        <v/>
      </c>
      <c r="D35" s="112">
        <f>IF('01_인적정보'!B35="","",'01_인적정보'!E35)</f>
        <v/>
      </c>
      <c r="E35" s="113">
        <f>IF('01_인적정보'!B35="","",'01_인적정보'!H35)</f>
        <v/>
      </c>
      <c r="F35" s="120">
        <f>IF('01_인적정보'!B35="","",'01_인적정보'!L35)</f>
        <v/>
      </c>
      <c r="G35" s="114">
        <f>IF('01_인적정보'!B35="","",'07a_상반기입력'!K35)</f>
        <v/>
      </c>
      <c r="H35" s="114">
        <f>IF('01_인적정보'!B35="","",'07a_상반기입력'!L35)</f>
        <v/>
      </c>
      <c r="I35" s="115">
        <f>IFERROR(IF(AND(G35&lt;&gt;"",H35&lt;&gt;""),'02_의사결정·종합결과'!$B$67*IFERROR(CHOOSE(FIND(G35,"DCBAS"),1,2,3,4,5),0)+'02_의사결정·종합결과'!$B$68*IFERROR(CHOOSE(FIND(H35,"DCBAS"),1,2,3,4,5),0),IF(G35&lt;&gt;"",IFERROR(CHOOSE(FIND(G35,"DCBAS"),1,2,3,4,5),0),IF(H35&lt;&gt;"",IFERROR(CHOOSE(FIND(H35,"DCBAS"),1,2,3,4,5),0),""))),"")</f>
        <v/>
      </c>
      <c r="J35" s="116">
        <f>IF(I35="","",IF(I35&gt;=4.5,"S",IF(I35&gt;=3.5,"A",IF(I35&gt;=2.5,"B",IF(I35&gt;=1.5,"C","D")))))</f>
        <v/>
      </c>
      <c r="K35" s="118" t="n"/>
      <c r="L35" s="107" t="n"/>
      <c r="M35" s="107" t="n"/>
      <c r="N35" s="107" t="n"/>
      <c r="O35" s="107" t="n"/>
      <c r="P35" s="107" t="n"/>
      <c r="Q35" s="107" t="n"/>
      <c r="R35" s="107" t="n"/>
      <c r="S35" s="107" t="n"/>
      <c r="T35" s="107" t="n"/>
      <c r="U35" s="107" t="n"/>
    </row>
    <row r="36" ht="22" customHeight="1" s="86">
      <c r="A36" s="111">
        <f>IF('01_인적정보'!B36="","",'01_인적정보'!A36)</f>
        <v/>
      </c>
      <c r="B36" s="111">
        <f>IF('01_인적정보'!B36="","",'01_인적정보'!B36)</f>
        <v/>
      </c>
      <c r="C36" s="112">
        <f>IF('01_인적정보'!B36="","",'01_인적정보'!C36)</f>
        <v/>
      </c>
      <c r="D36" s="112">
        <f>IF('01_인적정보'!B36="","",'01_인적정보'!E36)</f>
        <v/>
      </c>
      <c r="E36" s="113">
        <f>IF('01_인적정보'!B36="","",'01_인적정보'!H36)</f>
        <v/>
      </c>
      <c r="F36" s="120">
        <f>IF('01_인적정보'!B36="","",'01_인적정보'!L36)</f>
        <v/>
      </c>
      <c r="G36" s="114">
        <f>IF('01_인적정보'!B36="","",'07a_상반기입력'!K36)</f>
        <v/>
      </c>
      <c r="H36" s="114">
        <f>IF('01_인적정보'!B36="","",'07a_상반기입력'!L36)</f>
        <v/>
      </c>
      <c r="I36" s="115">
        <f>IFERROR(IF(AND(G36&lt;&gt;"",H36&lt;&gt;""),'02_의사결정·종합결과'!$B$67*IFERROR(CHOOSE(FIND(G36,"DCBAS"),1,2,3,4,5),0)+'02_의사결정·종합결과'!$B$68*IFERROR(CHOOSE(FIND(H36,"DCBAS"),1,2,3,4,5),0),IF(G36&lt;&gt;"",IFERROR(CHOOSE(FIND(G36,"DCBAS"),1,2,3,4,5),0),IF(H36&lt;&gt;"",IFERROR(CHOOSE(FIND(H36,"DCBAS"),1,2,3,4,5),0),""))),"")</f>
        <v/>
      </c>
      <c r="J36" s="116">
        <f>IF(I36="","",IF(I36&gt;=4.5,"S",IF(I36&gt;=3.5,"A",IF(I36&gt;=2.5,"B",IF(I36&gt;=1.5,"C","D")))))</f>
        <v/>
      </c>
      <c r="K36" s="118" t="n"/>
      <c r="L36" s="107" t="n"/>
      <c r="M36" s="107" t="n"/>
      <c r="N36" s="107" t="n"/>
      <c r="O36" s="107" t="n"/>
      <c r="P36" s="107" t="n"/>
      <c r="Q36" s="107" t="n"/>
      <c r="R36" s="107" t="n"/>
      <c r="S36" s="107" t="n"/>
      <c r="T36" s="107" t="n"/>
      <c r="U36" s="107" t="n"/>
    </row>
    <row r="37" ht="22" customHeight="1" s="86">
      <c r="A37" s="111">
        <f>IF('01_인적정보'!B37="","",'01_인적정보'!A37)</f>
        <v/>
      </c>
      <c r="B37" s="111">
        <f>IF('01_인적정보'!B37="","",'01_인적정보'!B37)</f>
        <v/>
      </c>
      <c r="C37" s="112">
        <f>IF('01_인적정보'!B37="","",'01_인적정보'!C37)</f>
        <v/>
      </c>
      <c r="D37" s="112">
        <f>IF('01_인적정보'!B37="","",'01_인적정보'!E37)</f>
        <v/>
      </c>
      <c r="E37" s="113">
        <f>IF('01_인적정보'!B37="","",'01_인적정보'!H37)</f>
        <v/>
      </c>
      <c r="F37" s="120">
        <f>IF('01_인적정보'!B37="","",'01_인적정보'!L37)</f>
        <v/>
      </c>
      <c r="G37" s="114">
        <f>IF('01_인적정보'!B37="","",'07a_상반기입력'!K37)</f>
        <v/>
      </c>
      <c r="H37" s="114">
        <f>IF('01_인적정보'!B37="","",'07a_상반기입력'!L37)</f>
        <v/>
      </c>
      <c r="I37" s="115">
        <f>IFERROR(IF(AND(G37&lt;&gt;"",H37&lt;&gt;""),'02_의사결정·종합결과'!$B$67*IFERROR(CHOOSE(FIND(G37,"DCBAS"),1,2,3,4,5),0)+'02_의사결정·종합결과'!$B$68*IFERROR(CHOOSE(FIND(H37,"DCBAS"),1,2,3,4,5),0),IF(G37&lt;&gt;"",IFERROR(CHOOSE(FIND(G37,"DCBAS"),1,2,3,4,5),0),IF(H37&lt;&gt;"",IFERROR(CHOOSE(FIND(H37,"DCBAS"),1,2,3,4,5),0),""))),"")</f>
        <v/>
      </c>
      <c r="J37" s="116">
        <f>IF(I37="","",IF(I37&gt;=4.5,"S",IF(I37&gt;=3.5,"A",IF(I37&gt;=2.5,"B",IF(I37&gt;=1.5,"C","D")))))</f>
        <v/>
      </c>
      <c r="K37" s="118" t="n"/>
      <c r="L37" s="107" t="n"/>
      <c r="M37" s="107" t="n"/>
      <c r="N37" s="107" t="n"/>
      <c r="O37" s="107" t="n"/>
      <c r="P37" s="107" t="n"/>
      <c r="Q37" s="107" t="n"/>
      <c r="R37" s="107" t="n"/>
      <c r="S37" s="107" t="n"/>
      <c r="T37" s="107" t="n"/>
      <c r="U37" s="107" t="n"/>
    </row>
    <row r="38" ht="22" customHeight="1" s="86">
      <c r="A38" s="111">
        <f>IF('01_인적정보'!B38="","",'01_인적정보'!A38)</f>
        <v/>
      </c>
      <c r="B38" s="111">
        <f>IF('01_인적정보'!B38="","",'01_인적정보'!B38)</f>
        <v/>
      </c>
      <c r="C38" s="112">
        <f>IF('01_인적정보'!B38="","",'01_인적정보'!C38)</f>
        <v/>
      </c>
      <c r="D38" s="112">
        <f>IF('01_인적정보'!B38="","",'01_인적정보'!E38)</f>
        <v/>
      </c>
      <c r="E38" s="113">
        <f>IF('01_인적정보'!B38="","",'01_인적정보'!H38)</f>
        <v/>
      </c>
      <c r="F38" s="120">
        <f>IF('01_인적정보'!B38="","",'01_인적정보'!L38)</f>
        <v/>
      </c>
      <c r="G38" s="114">
        <f>IF('01_인적정보'!B38="","",'07a_상반기입력'!K38)</f>
        <v/>
      </c>
      <c r="H38" s="114">
        <f>IF('01_인적정보'!B38="","",'07a_상반기입력'!L38)</f>
        <v/>
      </c>
      <c r="I38" s="115">
        <f>IFERROR(IF(AND(G38&lt;&gt;"",H38&lt;&gt;""),'02_의사결정·종합결과'!$B$67*IFERROR(CHOOSE(FIND(G38,"DCBAS"),1,2,3,4,5),0)+'02_의사결정·종합결과'!$B$68*IFERROR(CHOOSE(FIND(H38,"DCBAS"),1,2,3,4,5),0),IF(G38&lt;&gt;"",IFERROR(CHOOSE(FIND(G38,"DCBAS"),1,2,3,4,5),0),IF(H38&lt;&gt;"",IFERROR(CHOOSE(FIND(H38,"DCBAS"),1,2,3,4,5),0),""))),"")</f>
        <v/>
      </c>
      <c r="J38" s="116">
        <f>IF(I38="","",IF(I38&gt;=4.5,"S",IF(I38&gt;=3.5,"A",IF(I38&gt;=2.5,"B",IF(I38&gt;=1.5,"C","D")))))</f>
        <v/>
      </c>
      <c r="K38" s="118" t="n"/>
      <c r="L38" s="107" t="n"/>
      <c r="M38" s="107" t="n"/>
      <c r="N38" s="107" t="n"/>
      <c r="O38" s="107" t="n"/>
      <c r="P38" s="107" t="n"/>
      <c r="Q38" s="107" t="n"/>
      <c r="R38" s="107" t="n"/>
      <c r="S38" s="107" t="n"/>
      <c r="T38" s="107" t="n"/>
      <c r="U38" s="107" t="n"/>
    </row>
    <row r="39" ht="22" customHeight="1" s="86">
      <c r="A39" s="111">
        <f>IF('01_인적정보'!B39="","",'01_인적정보'!A39)</f>
        <v/>
      </c>
      <c r="B39" s="111">
        <f>IF('01_인적정보'!B39="","",'01_인적정보'!B39)</f>
        <v/>
      </c>
      <c r="C39" s="112">
        <f>IF('01_인적정보'!B39="","",'01_인적정보'!C39)</f>
        <v/>
      </c>
      <c r="D39" s="112">
        <f>IF('01_인적정보'!B39="","",'01_인적정보'!E39)</f>
        <v/>
      </c>
      <c r="E39" s="113">
        <f>IF('01_인적정보'!B39="","",'01_인적정보'!H39)</f>
        <v/>
      </c>
      <c r="F39" s="120">
        <f>IF('01_인적정보'!B39="","",'01_인적정보'!L39)</f>
        <v/>
      </c>
      <c r="G39" s="114">
        <f>IF('01_인적정보'!B39="","",'07a_상반기입력'!K39)</f>
        <v/>
      </c>
      <c r="H39" s="114">
        <f>IF('01_인적정보'!B39="","",'07a_상반기입력'!L39)</f>
        <v/>
      </c>
      <c r="I39" s="115">
        <f>IFERROR(IF(AND(G39&lt;&gt;"",H39&lt;&gt;""),'02_의사결정·종합결과'!$B$67*IFERROR(CHOOSE(FIND(G39,"DCBAS"),1,2,3,4,5),0)+'02_의사결정·종합결과'!$B$68*IFERROR(CHOOSE(FIND(H39,"DCBAS"),1,2,3,4,5),0),IF(G39&lt;&gt;"",IFERROR(CHOOSE(FIND(G39,"DCBAS"),1,2,3,4,5),0),IF(H39&lt;&gt;"",IFERROR(CHOOSE(FIND(H39,"DCBAS"),1,2,3,4,5),0),""))),"")</f>
        <v/>
      </c>
      <c r="J39" s="116">
        <f>IF(I39="","",IF(I39&gt;=4.5,"S",IF(I39&gt;=3.5,"A",IF(I39&gt;=2.5,"B",IF(I39&gt;=1.5,"C","D")))))</f>
        <v/>
      </c>
      <c r="K39" s="118" t="n"/>
      <c r="L39" s="107" t="n"/>
      <c r="M39" s="107" t="n"/>
      <c r="N39" s="107" t="n"/>
      <c r="O39" s="107" t="n"/>
      <c r="P39" s="107" t="n"/>
      <c r="Q39" s="107" t="n"/>
      <c r="R39" s="107" t="n"/>
      <c r="S39" s="107" t="n"/>
      <c r="T39" s="107" t="n"/>
      <c r="U39" s="107" t="n"/>
    </row>
    <row r="40" ht="22" customHeight="1" s="86">
      <c r="A40" s="111">
        <f>IF('01_인적정보'!B40="","",'01_인적정보'!A40)</f>
        <v/>
      </c>
      <c r="B40" s="111">
        <f>IF('01_인적정보'!B40="","",'01_인적정보'!B40)</f>
        <v/>
      </c>
      <c r="C40" s="112">
        <f>IF('01_인적정보'!B40="","",'01_인적정보'!C40)</f>
        <v/>
      </c>
      <c r="D40" s="112">
        <f>IF('01_인적정보'!B40="","",'01_인적정보'!E40)</f>
        <v/>
      </c>
      <c r="E40" s="113">
        <f>IF('01_인적정보'!B40="","",'01_인적정보'!H40)</f>
        <v/>
      </c>
      <c r="F40" s="120">
        <f>IF('01_인적정보'!B40="","",'01_인적정보'!L40)</f>
        <v/>
      </c>
      <c r="G40" s="114">
        <f>IF('01_인적정보'!B40="","",'07a_상반기입력'!K40)</f>
        <v/>
      </c>
      <c r="H40" s="114">
        <f>IF('01_인적정보'!B40="","",'07a_상반기입력'!L40)</f>
        <v/>
      </c>
      <c r="I40" s="115">
        <f>IFERROR(IF(AND(G40&lt;&gt;"",H40&lt;&gt;""),'02_의사결정·종합결과'!$B$67*IFERROR(CHOOSE(FIND(G40,"DCBAS"),1,2,3,4,5),0)+'02_의사결정·종합결과'!$B$68*IFERROR(CHOOSE(FIND(H40,"DCBAS"),1,2,3,4,5),0),IF(G40&lt;&gt;"",IFERROR(CHOOSE(FIND(G40,"DCBAS"),1,2,3,4,5),0),IF(H40&lt;&gt;"",IFERROR(CHOOSE(FIND(H40,"DCBAS"),1,2,3,4,5),0),""))),"")</f>
        <v/>
      </c>
      <c r="J40" s="116">
        <f>IF(I40="","",IF(I40&gt;=4.5,"S",IF(I40&gt;=3.5,"A",IF(I40&gt;=2.5,"B",IF(I40&gt;=1.5,"C","D")))))</f>
        <v/>
      </c>
      <c r="K40" s="107" t="n"/>
      <c r="L40" s="107" t="n"/>
      <c r="M40" s="107" t="n"/>
      <c r="N40" s="107" t="n"/>
      <c r="O40" s="107" t="n"/>
      <c r="P40" s="107" t="n"/>
      <c r="Q40" s="107" t="n"/>
      <c r="R40" s="107" t="n"/>
      <c r="S40" s="107" t="n"/>
      <c r="T40" s="107" t="n"/>
      <c r="U40" s="107" t="n"/>
    </row>
    <row r="41" ht="22" customHeight="1" s="86">
      <c r="A41" s="111">
        <f>IF('01_인적정보'!B41="","",'01_인적정보'!A41)</f>
        <v/>
      </c>
      <c r="B41" s="111">
        <f>IF('01_인적정보'!B41="","",'01_인적정보'!B41)</f>
        <v/>
      </c>
      <c r="C41" s="112">
        <f>IF('01_인적정보'!B41="","",'01_인적정보'!C41)</f>
        <v/>
      </c>
      <c r="D41" s="112">
        <f>IF('01_인적정보'!B41="","",'01_인적정보'!E41)</f>
        <v/>
      </c>
      <c r="E41" s="113">
        <f>IF('01_인적정보'!B41="","",'01_인적정보'!H41)</f>
        <v/>
      </c>
      <c r="F41" s="120">
        <f>IF('01_인적정보'!B41="","",'01_인적정보'!L41)</f>
        <v/>
      </c>
      <c r="G41" s="114">
        <f>IF('01_인적정보'!B41="","",'07a_상반기입력'!K41)</f>
        <v/>
      </c>
      <c r="H41" s="114">
        <f>IF('01_인적정보'!B41="","",'07a_상반기입력'!L41)</f>
        <v/>
      </c>
      <c r="I41" s="115">
        <f>IFERROR(IF(AND(G41&lt;&gt;"",H41&lt;&gt;""),'02_의사결정·종합결과'!$B$67*IFERROR(CHOOSE(FIND(G41,"DCBAS"),1,2,3,4,5),0)+'02_의사결정·종합결과'!$B$68*IFERROR(CHOOSE(FIND(H41,"DCBAS"),1,2,3,4,5),0),IF(G41&lt;&gt;"",IFERROR(CHOOSE(FIND(G41,"DCBAS"),1,2,3,4,5),0),IF(H41&lt;&gt;"",IFERROR(CHOOSE(FIND(H41,"DCBAS"),1,2,3,4,5),0),""))),"")</f>
        <v/>
      </c>
      <c r="J41" s="116">
        <f>IF(I41="","",IF(I41&gt;=4.5,"S",IF(I41&gt;=3.5,"A",IF(I41&gt;=2.5,"B",IF(I41&gt;=1.5,"C","D")))))</f>
        <v/>
      </c>
      <c r="K41" s="107" t="n"/>
      <c r="L41" s="107" t="n"/>
      <c r="M41" s="107" t="n"/>
      <c r="N41" s="107" t="n"/>
      <c r="O41" s="107" t="n"/>
      <c r="P41" s="107" t="n"/>
      <c r="Q41" s="107" t="n"/>
      <c r="R41" s="107" t="n"/>
      <c r="S41" s="107" t="n"/>
      <c r="T41" s="107" t="n"/>
      <c r="U41" s="107" t="n"/>
    </row>
    <row r="42" ht="22" customHeight="1" s="86">
      <c r="A42" s="111">
        <f>IF('01_인적정보'!B42="","",'01_인적정보'!A42)</f>
        <v/>
      </c>
      <c r="B42" s="111">
        <f>IF('01_인적정보'!B42="","",'01_인적정보'!B42)</f>
        <v/>
      </c>
      <c r="C42" s="112">
        <f>IF('01_인적정보'!B42="","",'01_인적정보'!C42)</f>
        <v/>
      </c>
      <c r="D42" s="112">
        <f>IF('01_인적정보'!B42="","",'01_인적정보'!E42)</f>
        <v/>
      </c>
      <c r="E42" s="113">
        <f>IF('01_인적정보'!B42="","",'01_인적정보'!H42)</f>
        <v/>
      </c>
      <c r="F42" s="120">
        <f>IF('01_인적정보'!B42="","",'01_인적정보'!L42)</f>
        <v/>
      </c>
      <c r="G42" s="114">
        <f>IF('01_인적정보'!B42="","",'07a_상반기입력'!K42)</f>
        <v/>
      </c>
      <c r="H42" s="114">
        <f>IF('01_인적정보'!B42="","",'07a_상반기입력'!L42)</f>
        <v/>
      </c>
      <c r="I42" s="115">
        <f>IFERROR(IF(AND(G42&lt;&gt;"",H42&lt;&gt;""),'02_의사결정·종합결과'!$B$67*IFERROR(CHOOSE(FIND(G42,"DCBAS"),1,2,3,4,5),0)+'02_의사결정·종합결과'!$B$68*IFERROR(CHOOSE(FIND(H42,"DCBAS"),1,2,3,4,5),0),IF(G42&lt;&gt;"",IFERROR(CHOOSE(FIND(G42,"DCBAS"),1,2,3,4,5),0),IF(H42&lt;&gt;"",IFERROR(CHOOSE(FIND(H42,"DCBAS"),1,2,3,4,5),0),""))),"")</f>
        <v/>
      </c>
      <c r="J42" s="116">
        <f>IF(I42="","",IF(I42&gt;=4.5,"S",IF(I42&gt;=3.5,"A",IF(I42&gt;=2.5,"B",IF(I42&gt;=1.5,"C","D")))))</f>
        <v/>
      </c>
      <c r="K42" s="107" t="n"/>
      <c r="L42" s="107" t="n"/>
      <c r="M42" s="107" t="n"/>
      <c r="N42" s="107" t="n"/>
      <c r="O42" s="107" t="n"/>
      <c r="P42" s="107" t="n"/>
      <c r="Q42" s="107" t="n"/>
      <c r="R42" s="107" t="n"/>
      <c r="S42" s="107" t="n"/>
      <c r="T42" s="107" t="n"/>
      <c r="U42" s="107" t="n"/>
    </row>
    <row r="43" ht="22" customHeight="1" s="86">
      <c r="A43" s="111">
        <f>IF('01_인적정보'!B43="","",'01_인적정보'!A43)</f>
        <v/>
      </c>
      <c r="B43" s="111">
        <f>IF('01_인적정보'!B43="","",'01_인적정보'!B43)</f>
        <v/>
      </c>
      <c r="C43" s="112">
        <f>IF('01_인적정보'!B43="","",'01_인적정보'!C43)</f>
        <v/>
      </c>
      <c r="D43" s="112">
        <f>IF('01_인적정보'!B43="","",'01_인적정보'!E43)</f>
        <v/>
      </c>
      <c r="E43" s="113">
        <f>IF('01_인적정보'!B43="","",'01_인적정보'!H43)</f>
        <v/>
      </c>
      <c r="F43" s="120">
        <f>IF('01_인적정보'!B43="","",'01_인적정보'!L43)</f>
        <v/>
      </c>
      <c r="G43" s="114">
        <f>IF('01_인적정보'!B43="","",'07a_상반기입력'!K43)</f>
        <v/>
      </c>
      <c r="H43" s="114">
        <f>IF('01_인적정보'!B43="","",'07a_상반기입력'!L43)</f>
        <v/>
      </c>
      <c r="I43" s="115">
        <f>IFERROR(IF(AND(G43&lt;&gt;"",H43&lt;&gt;""),'02_의사결정·종합결과'!$B$67*IFERROR(CHOOSE(FIND(G43,"DCBAS"),1,2,3,4,5),0)+'02_의사결정·종합결과'!$B$68*IFERROR(CHOOSE(FIND(H43,"DCBAS"),1,2,3,4,5),0),IF(G43&lt;&gt;"",IFERROR(CHOOSE(FIND(G43,"DCBAS"),1,2,3,4,5),0),IF(H43&lt;&gt;"",IFERROR(CHOOSE(FIND(H43,"DCBAS"),1,2,3,4,5),0),""))),"")</f>
        <v/>
      </c>
      <c r="J43" s="116">
        <f>IF(I43="","",IF(I43&gt;=4.5,"S",IF(I43&gt;=3.5,"A",IF(I43&gt;=2.5,"B",IF(I43&gt;=1.5,"C","D")))))</f>
        <v/>
      </c>
      <c r="K43" s="107" t="n"/>
      <c r="L43" s="107" t="n"/>
      <c r="M43" s="107" t="n"/>
      <c r="N43" s="107" t="n"/>
      <c r="O43" s="107" t="n"/>
      <c r="P43" s="107" t="n"/>
      <c r="Q43" s="107" t="n"/>
      <c r="R43" s="107" t="n"/>
      <c r="S43" s="107" t="n"/>
      <c r="T43" s="107" t="n"/>
      <c r="U43" s="107" t="n"/>
    </row>
    <row r="44" ht="22" customHeight="1" s="86">
      <c r="A44" s="111">
        <f>IF('01_인적정보'!B44="","",'01_인적정보'!A44)</f>
        <v/>
      </c>
      <c r="B44" s="111">
        <f>IF('01_인적정보'!B44="","",'01_인적정보'!B44)</f>
        <v/>
      </c>
      <c r="C44" s="112">
        <f>IF('01_인적정보'!B44="","",'01_인적정보'!C44)</f>
        <v/>
      </c>
      <c r="D44" s="112">
        <f>IF('01_인적정보'!B44="","",'01_인적정보'!E44)</f>
        <v/>
      </c>
      <c r="E44" s="113">
        <f>IF('01_인적정보'!B44="","",'01_인적정보'!H44)</f>
        <v/>
      </c>
      <c r="F44" s="120">
        <f>IF('01_인적정보'!B44="","",'01_인적정보'!L44)</f>
        <v/>
      </c>
      <c r="G44" s="114">
        <f>IF('01_인적정보'!B44="","",'07a_상반기입력'!K44)</f>
        <v/>
      </c>
      <c r="H44" s="114">
        <f>IF('01_인적정보'!B44="","",'07a_상반기입력'!L44)</f>
        <v/>
      </c>
      <c r="I44" s="115">
        <f>IFERROR(IF(AND(G44&lt;&gt;"",H44&lt;&gt;""),'02_의사결정·종합결과'!$B$67*IFERROR(CHOOSE(FIND(G44,"DCBAS"),1,2,3,4,5),0)+'02_의사결정·종합결과'!$B$68*IFERROR(CHOOSE(FIND(H44,"DCBAS"),1,2,3,4,5),0),IF(G44&lt;&gt;"",IFERROR(CHOOSE(FIND(G44,"DCBAS"),1,2,3,4,5),0),IF(H44&lt;&gt;"",IFERROR(CHOOSE(FIND(H44,"DCBAS"),1,2,3,4,5),0),""))),"")</f>
        <v/>
      </c>
      <c r="J44" s="116">
        <f>IF(I44="","",IF(I44&gt;=4.5,"S",IF(I44&gt;=3.5,"A",IF(I44&gt;=2.5,"B",IF(I44&gt;=1.5,"C","D")))))</f>
        <v/>
      </c>
      <c r="K44" s="107" t="n"/>
      <c r="L44" s="107" t="n"/>
      <c r="M44" s="107" t="n"/>
      <c r="N44" s="107" t="n"/>
      <c r="O44" s="107" t="n"/>
      <c r="P44" s="107" t="n"/>
      <c r="Q44" s="107" t="n"/>
      <c r="R44" s="107" t="n"/>
      <c r="S44" s="107" t="n"/>
      <c r="T44" s="107" t="n"/>
      <c r="U44" s="107" t="n"/>
    </row>
    <row r="45" ht="22" customHeight="1" s="86">
      <c r="A45" s="111">
        <f>IF('01_인적정보'!B45="","",'01_인적정보'!A45)</f>
        <v/>
      </c>
      <c r="B45" s="111">
        <f>IF('01_인적정보'!B45="","",'01_인적정보'!B45)</f>
        <v/>
      </c>
      <c r="C45" s="112">
        <f>IF('01_인적정보'!B45="","",'01_인적정보'!C45)</f>
        <v/>
      </c>
      <c r="D45" s="112">
        <f>IF('01_인적정보'!B45="","",'01_인적정보'!E45)</f>
        <v/>
      </c>
      <c r="E45" s="113">
        <f>IF('01_인적정보'!B45="","",'01_인적정보'!H45)</f>
        <v/>
      </c>
      <c r="F45" s="120">
        <f>IF('01_인적정보'!B45="","",'01_인적정보'!L45)</f>
        <v/>
      </c>
      <c r="G45" s="114">
        <f>IF('01_인적정보'!B45="","",'07a_상반기입력'!K45)</f>
        <v/>
      </c>
      <c r="H45" s="114">
        <f>IF('01_인적정보'!B45="","",'07a_상반기입력'!L45)</f>
        <v/>
      </c>
      <c r="I45" s="115">
        <f>IFERROR(IF(AND(G45&lt;&gt;"",H45&lt;&gt;""),'02_의사결정·종합결과'!$B$67*IFERROR(CHOOSE(FIND(G45,"DCBAS"),1,2,3,4,5),0)+'02_의사결정·종합결과'!$B$68*IFERROR(CHOOSE(FIND(H45,"DCBAS"),1,2,3,4,5),0),IF(G45&lt;&gt;"",IFERROR(CHOOSE(FIND(G45,"DCBAS"),1,2,3,4,5),0),IF(H45&lt;&gt;"",IFERROR(CHOOSE(FIND(H45,"DCBAS"),1,2,3,4,5),0),""))),"")</f>
        <v/>
      </c>
      <c r="J45" s="116">
        <f>IF(I45="","",IF(I45&gt;=4.5,"S",IF(I45&gt;=3.5,"A",IF(I45&gt;=2.5,"B",IF(I45&gt;=1.5,"C","D")))))</f>
        <v/>
      </c>
      <c r="K45" s="107" t="n"/>
      <c r="L45" s="107" t="n"/>
      <c r="M45" s="107" t="n"/>
      <c r="N45" s="107" t="n"/>
      <c r="O45" s="107" t="n"/>
      <c r="P45" s="107" t="n"/>
      <c r="Q45" s="107" t="n"/>
      <c r="R45" s="107" t="n"/>
      <c r="S45" s="107" t="n"/>
      <c r="T45" s="107" t="n"/>
      <c r="U45" s="107" t="n"/>
    </row>
    <row r="46" ht="22" customHeight="1" s="86">
      <c r="A46" s="111">
        <f>IF('01_인적정보'!B46="","",'01_인적정보'!A46)</f>
        <v/>
      </c>
      <c r="B46" s="111">
        <f>IF('01_인적정보'!B46="","",'01_인적정보'!B46)</f>
        <v/>
      </c>
      <c r="C46" s="112">
        <f>IF('01_인적정보'!B46="","",'01_인적정보'!C46)</f>
        <v/>
      </c>
      <c r="D46" s="112">
        <f>IF('01_인적정보'!B46="","",'01_인적정보'!E46)</f>
        <v/>
      </c>
      <c r="E46" s="113">
        <f>IF('01_인적정보'!B46="","",'01_인적정보'!H46)</f>
        <v/>
      </c>
      <c r="F46" s="120">
        <f>IF('01_인적정보'!B46="","",'01_인적정보'!L46)</f>
        <v/>
      </c>
      <c r="G46" s="114">
        <f>IF('01_인적정보'!B46="","",'07a_상반기입력'!K46)</f>
        <v/>
      </c>
      <c r="H46" s="114">
        <f>IF('01_인적정보'!B46="","",'07a_상반기입력'!L46)</f>
        <v/>
      </c>
      <c r="I46" s="115">
        <f>IFERROR(IF(AND(G46&lt;&gt;"",H46&lt;&gt;""),'02_의사결정·종합결과'!$B$67*IFERROR(CHOOSE(FIND(G46,"DCBAS"),1,2,3,4,5),0)+'02_의사결정·종합결과'!$B$68*IFERROR(CHOOSE(FIND(H46,"DCBAS"),1,2,3,4,5),0),IF(G46&lt;&gt;"",IFERROR(CHOOSE(FIND(G46,"DCBAS"),1,2,3,4,5),0),IF(H46&lt;&gt;"",IFERROR(CHOOSE(FIND(H46,"DCBAS"),1,2,3,4,5),0),""))),"")</f>
        <v/>
      </c>
      <c r="J46" s="116">
        <f>IF(I46="","",IF(I46&gt;=4.5,"S",IF(I46&gt;=3.5,"A",IF(I46&gt;=2.5,"B",IF(I46&gt;=1.5,"C","D")))))</f>
        <v/>
      </c>
      <c r="K46" s="107" t="n"/>
      <c r="L46" s="107" t="n"/>
      <c r="M46" s="107" t="n"/>
      <c r="N46" s="107" t="n"/>
      <c r="O46" s="107" t="n"/>
      <c r="P46" s="107" t="n"/>
      <c r="Q46" s="107" t="n"/>
      <c r="R46" s="107" t="n"/>
      <c r="S46" s="107" t="n"/>
      <c r="T46" s="107" t="n"/>
      <c r="U46" s="107" t="n"/>
    </row>
    <row r="47" ht="22" customHeight="1" s="86">
      <c r="A47" s="111">
        <f>IF('01_인적정보'!B47="","",'01_인적정보'!A47)</f>
        <v/>
      </c>
      <c r="B47" s="111">
        <f>IF('01_인적정보'!B47="","",'01_인적정보'!B47)</f>
        <v/>
      </c>
      <c r="C47" s="112">
        <f>IF('01_인적정보'!B47="","",'01_인적정보'!C47)</f>
        <v/>
      </c>
      <c r="D47" s="112">
        <f>IF('01_인적정보'!B47="","",'01_인적정보'!E47)</f>
        <v/>
      </c>
      <c r="E47" s="113">
        <f>IF('01_인적정보'!B47="","",'01_인적정보'!H47)</f>
        <v/>
      </c>
      <c r="F47" s="120">
        <f>IF('01_인적정보'!B47="","",'01_인적정보'!L47)</f>
        <v/>
      </c>
      <c r="G47" s="114">
        <f>IF('01_인적정보'!B47="","",'07a_상반기입력'!K47)</f>
        <v/>
      </c>
      <c r="H47" s="114">
        <f>IF('01_인적정보'!B47="","",'07a_상반기입력'!L47)</f>
        <v/>
      </c>
      <c r="I47" s="115">
        <f>IFERROR(IF(AND(G47&lt;&gt;"",H47&lt;&gt;""),'02_의사결정·종합결과'!$B$67*IFERROR(CHOOSE(FIND(G47,"DCBAS"),1,2,3,4,5),0)+'02_의사결정·종합결과'!$B$68*IFERROR(CHOOSE(FIND(H47,"DCBAS"),1,2,3,4,5),0),IF(G47&lt;&gt;"",IFERROR(CHOOSE(FIND(G47,"DCBAS"),1,2,3,4,5),0),IF(H47&lt;&gt;"",IFERROR(CHOOSE(FIND(H47,"DCBAS"),1,2,3,4,5),0),""))),"")</f>
        <v/>
      </c>
      <c r="J47" s="116">
        <f>IF(I47="","",IF(I47&gt;=4.5,"S",IF(I47&gt;=3.5,"A",IF(I47&gt;=2.5,"B",IF(I47&gt;=1.5,"C","D")))))</f>
        <v/>
      </c>
      <c r="K47" s="107" t="n"/>
      <c r="L47" s="107" t="n"/>
      <c r="M47" s="107" t="n"/>
      <c r="N47" s="107" t="n"/>
      <c r="O47" s="107" t="n"/>
      <c r="P47" s="107" t="n"/>
      <c r="Q47" s="107" t="n"/>
      <c r="R47" s="107" t="n"/>
      <c r="S47" s="107" t="n"/>
      <c r="T47" s="107" t="n"/>
      <c r="U47" s="107" t="n"/>
    </row>
    <row r="48" ht="22" customHeight="1" s="86">
      <c r="A48" s="111">
        <f>IF('01_인적정보'!B48="","",'01_인적정보'!A48)</f>
        <v/>
      </c>
      <c r="B48" s="111">
        <f>IF('01_인적정보'!B48="","",'01_인적정보'!B48)</f>
        <v/>
      </c>
      <c r="C48" s="112">
        <f>IF('01_인적정보'!B48="","",'01_인적정보'!C48)</f>
        <v/>
      </c>
      <c r="D48" s="112">
        <f>IF('01_인적정보'!B48="","",'01_인적정보'!E48)</f>
        <v/>
      </c>
      <c r="E48" s="113">
        <f>IF('01_인적정보'!B48="","",'01_인적정보'!H48)</f>
        <v/>
      </c>
      <c r="F48" s="120">
        <f>IF('01_인적정보'!B48="","",'01_인적정보'!L48)</f>
        <v/>
      </c>
      <c r="G48" s="114">
        <f>IF('01_인적정보'!B48="","",'07a_상반기입력'!K48)</f>
        <v/>
      </c>
      <c r="H48" s="114">
        <f>IF('01_인적정보'!B48="","",'07a_상반기입력'!L48)</f>
        <v/>
      </c>
      <c r="I48" s="115">
        <f>IFERROR(IF(AND(G48&lt;&gt;"",H48&lt;&gt;""),'02_의사결정·종합결과'!$B$67*IFERROR(CHOOSE(FIND(G48,"DCBAS"),1,2,3,4,5),0)+'02_의사결정·종합결과'!$B$68*IFERROR(CHOOSE(FIND(H48,"DCBAS"),1,2,3,4,5),0),IF(G48&lt;&gt;"",IFERROR(CHOOSE(FIND(G48,"DCBAS"),1,2,3,4,5),0),IF(H48&lt;&gt;"",IFERROR(CHOOSE(FIND(H48,"DCBAS"),1,2,3,4,5),0),""))),"")</f>
        <v/>
      </c>
      <c r="J48" s="116">
        <f>IF(I48="","",IF(I48&gt;=4.5,"S",IF(I48&gt;=3.5,"A",IF(I48&gt;=2.5,"B",IF(I48&gt;=1.5,"C","D")))))</f>
        <v/>
      </c>
      <c r="K48" s="107" t="n"/>
      <c r="L48" s="107" t="n"/>
      <c r="M48" s="107" t="n"/>
      <c r="N48" s="107" t="n"/>
      <c r="O48" s="107" t="n"/>
      <c r="P48" s="107" t="n"/>
      <c r="Q48" s="107" t="n"/>
      <c r="R48" s="107" t="n"/>
      <c r="S48" s="107" t="n"/>
      <c r="T48" s="107" t="n"/>
      <c r="U48" s="107" t="n"/>
    </row>
    <row r="49" ht="22" customHeight="1" s="86">
      <c r="A49" s="111">
        <f>IF('01_인적정보'!B49="","",'01_인적정보'!A49)</f>
        <v/>
      </c>
      <c r="B49" s="111">
        <f>IF('01_인적정보'!B49="","",'01_인적정보'!B49)</f>
        <v/>
      </c>
      <c r="C49" s="112">
        <f>IF('01_인적정보'!B49="","",'01_인적정보'!C49)</f>
        <v/>
      </c>
      <c r="D49" s="112">
        <f>IF('01_인적정보'!B49="","",'01_인적정보'!E49)</f>
        <v/>
      </c>
      <c r="E49" s="113">
        <f>IF('01_인적정보'!B49="","",'01_인적정보'!H49)</f>
        <v/>
      </c>
      <c r="F49" s="120">
        <f>IF('01_인적정보'!B49="","",'01_인적정보'!L49)</f>
        <v/>
      </c>
      <c r="G49" s="114">
        <f>IF('01_인적정보'!B49="","",'07a_상반기입력'!K49)</f>
        <v/>
      </c>
      <c r="H49" s="114">
        <f>IF('01_인적정보'!B49="","",'07a_상반기입력'!L49)</f>
        <v/>
      </c>
      <c r="I49" s="115">
        <f>IFERROR(IF(AND(G49&lt;&gt;"",H49&lt;&gt;""),'02_의사결정·종합결과'!$B$67*IFERROR(CHOOSE(FIND(G49,"DCBAS"),1,2,3,4,5),0)+'02_의사결정·종합결과'!$B$68*IFERROR(CHOOSE(FIND(H49,"DCBAS"),1,2,3,4,5),0),IF(G49&lt;&gt;"",IFERROR(CHOOSE(FIND(G49,"DCBAS"),1,2,3,4,5),0),IF(H49&lt;&gt;"",IFERROR(CHOOSE(FIND(H49,"DCBAS"),1,2,3,4,5),0),""))),"")</f>
        <v/>
      </c>
      <c r="J49" s="116">
        <f>IF(I49="","",IF(I49&gt;=4.5,"S",IF(I49&gt;=3.5,"A",IF(I49&gt;=2.5,"B",IF(I49&gt;=1.5,"C","D")))))</f>
        <v/>
      </c>
      <c r="K49" s="107" t="n"/>
      <c r="L49" s="107" t="n"/>
      <c r="M49" s="107" t="n"/>
      <c r="N49" s="107" t="n"/>
      <c r="O49" s="107" t="n"/>
      <c r="P49" s="107" t="n"/>
      <c r="Q49" s="107" t="n"/>
      <c r="R49" s="107" t="n"/>
      <c r="S49" s="107" t="n"/>
      <c r="T49" s="107" t="n"/>
      <c r="U49" s="107" t="n"/>
    </row>
    <row r="50" ht="22" customHeight="1" s="86">
      <c r="A50" s="111">
        <f>IF('01_인적정보'!B50="","",'01_인적정보'!A50)</f>
        <v/>
      </c>
      <c r="B50" s="111">
        <f>IF('01_인적정보'!B50="","",'01_인적정보'!B50)</f>
        <v/>
      </c>
      <c r="C50" s="112">
        <f>IF('01_인적정보'!B50="","",'01_인적정보'!C50)</f>
        <v/>
      </c>
      <c r="D50" s="112">
        <f>IF('01_인적정보'!B50="","",'01_인적정보'!E50)</f>
        <v/>
      </c>
      <c r="E50" s="113">
        <f>IF('01_인적정보'!B50="","",'01_인적정보'!H50)</f>
        <v/>
      </c>
      <c r="F50" s="120">
        <f>IF('01_인적정보'!B50="","",'01_인적정보'!L50)</f>
        <v/>
      </c>
      <c r="G50" s="114">
        <f>IF('01_인적정보'!B50="","",'07a_상반기입력'!K50)</f>
        <v/>
      </c>
      <c r="H50" s="114">
        <f>IF('01_인적정보'!B50="","",'07a_상반기입력'!L50)</f>
        <v/>
      </c>
      <c r="I50" s="115">
        <f>IFERROR(IF(AND(G50&lt;&gt;"",H50&lt;&gt;""),'02_의사결정·종합결과'!$B$67*IFERROR(CHOOSE(FIND(G50,"DCBAS"),1,2,3,4,5),0)+'02_의사결정·종합결과'!$B$68*IFERROR(CHOOSE(FIND(H50,"DCBAS"),1,2,3,4,5),0),IF(G50&lt;&gt;"",IFERROR(CHOOSE(FIND(G50,"DCBAS"),1,2,3,4,5),0),IF(H50&lt;&gt;"",IFERROR(CHOOSE(FIND(H50,"DCBAS"),1,2,3,4,5),0),""))),"")</f>
        <v/>
      </c>
      <c r="J50" s="116">
        <f>IF(I50="","",IF(I50&gt;=4.5,"S",IF(I50&gt;=3.5,"A",IF(I50&gt;=2.5,"B",IF(I50&gt;=1.5,"C","D")))))</f>
        <v/>
      </c>
      <c r="K50" s="107" t="n"/>
      <c r="L50" s="107" t="n"/>
      <c r="M50" s="107" t="n"/>
      <c r="N50" s="107" t="n"/>
      <c r="O50" s="107" t="n"/>
      <c r="P50" s="107" t="n"/>
      <c r="Q50" s="107" t="n"/>
      <c r="R50" s="107" t="n"/>
      <c r="S50" s="107" t="n"/>
      <c r="T50" s="107" t="n"/>
      <c r="U50" s="107" t="n"/>
    </row>
    <row r="51" ht="22" customHeight="1" s="86">
      <c r="A51" s="111">
        <f>IF('01_인적정보'!B51="","",'01_인적정보'!A51)</f>
        <v/>
      </c>
      <c r="B51" s="111">
        <f>IF('01_인적정보'!B51="","",'01_인적정보'!B51)</f>
        <v/>
      </c>
      <c r="C51" s="112">
        <f>IF('01_인적정보'!B51="","",'01_인적정보'!C51)</f>
        <v/>
      </c>
      <c r="D51" s="112">
        <f>IF('01_인적정보'!B51="","",'01_인적정보'!E51)</f>
        <v/>
      </c>
      <c r="E51" s="113">
        <f>IF('01_인적정보'!B51="","",'01_인적정보'!H51)</f>
        <v/>
      </c>
      <c r="F51" s="120">
        <f>IF('01_인적정보'!B51="","",'01_인적정보'!L51)</f>
        <v/>
      </c>
      <c r="G51" s="114">
        <f>IF('01_인적정보'!B51="","",'07a_상반기입력'!K51)</f>
        <v/>
      </c>
      <c r="H51" s="114">
        <f>IF('01_인적정보'!B51="","",'07a_상반기입력'!L51)</f>
        <v/>
      </c>
      <c r="I51" s="115">
        <f>IFERROR(IF(AND(G51&lt;&gt;"",H51&lt;&gt;""),'02_의사결정·종합결과'!$B$67*IFERROR(CHOOSE(FIND(G51,"DCBAS"),1,2,3,4,5),0)+'02_의사결정·종합결과'!$B$68*IFERROR(CHOOSE(FIND(H51,"DCBAS"),1,2,3,4,5),0),IF(G51&lt;&gt;"",IFERROR(CHOOSE(FIND(G51,"DCBAS"),1,2,3,4,5),0),IF(H51&lt;&gt;"",IFERROR(CHOOSE(FIND(H51,"DCBAS"),1,2,3,4,5),0),""))),"")</f>
        <v/>
      </c>
      <c r="J51" s="116">
        <f>IF(I51="","",IF(I51&gt;=4.5,"S",IF(I51&gt;=3.5,"A",IF(I51&gt;=2.5,"B",IF(I51&gt;=1.5,"C","D")))))</f>
        <v/>
      </c>
      <c r="K51" s="118" t="n"/>
      <c r="L51" s="107" t="n"/>
      <c r="M51" s="107" t="n"/>
      <c r="N51" s="107" t="n"/>
      <c r="O51" s="107" t="n"/>
      <c r="P51" s="107" t="n"/>
      <c r="Q51" s="107" t="n"/>
      <c r="R51" s="107" t="n"/>
      <c r="S51" s="107" t="n"/>
      <c r="T51" s="107" t="n"/>
      <c r="U51" s="107" t="n"/>
    </row>
    <row r="52" ht="22" customHeight="1" s="86">
      <c r="A52" s="111">
        <f>IF('01_인적정보'!B52="","",'01_인적정보'!A52)</f>
        <v/>
      </c>
      <c r="B52" s="111">
        <f>IF('01_인적정보'!B52="","",'01_인적정보'!B52)</f>
        <v/>
      </c>
      <c r="C52" s="112">
        <f>IF('01_인적정보'!B52="","",'01_인적정보'!C52)</f>
        <v/>
      </c>
      <c r="D52" s="112">
        <f>IF('01_인적정보'!B52="","",'01_인적정보'!E52)</f>
        <v/>
      </c>
      <c r="E52" s="113">
        <f>IF('01_인적정보'!B52="","",'01_인적정보'!H52)</f>
        <v/>
      </c>
      <c r="F52" s="120">
        <f>IF('01_인적정보'!B52="","",'01_인적정보'!L52)</f>
        <v/>
      </c>
      <c r="G52" s="114">
        <f>IF('01_인적정보'!B52="","",'07a_상반기입력'!K52)</f>
        <v/>
      </c>
      <c r="H52" s="114">
        <f>IF('01_인적정보'!B52="","",'07a_상반기입력'!L52)</f>
        <v/>
      </c>
      <c r="I52" s="115">
        <f>IFERROR(IF(AND(G52&lt;&gt;"",H52&lt;&gt;""),'02_의사결정·종합결과'!$B$67*IFERROR(CHOOSE(FIND(G52,"DCBAS"),1,2,3,4,5),0)+'02_의사결정·종합결과'!$B$68*IFERROR(CHOOSE(FIND(H52,"DCBAS"),1,2,3,4,5),0),IF(G52&lt;&gt;"",IFERROR(CHOOSE(FIND(G52,"DCBAS"),1,2,3,4,5),0),IF(H52&lt;&gt;"",IFERROR(CHOOSE(FIND(H52,"DCBAS"),1,2,3,4,5),0),""))),"")</f>
        <v/>
      </c>
      <c r="J52" s="116">
        <f>IF(I52="","",IF(I52&gt;=4.5,"S",IF(I52&gt;=3.5,"A",IF(I52&gt;=2.5,"B",IF(I52&gt;=1.5,"C","D")))))</f>
        <v/>
      </c>
      <c r="K52" s="118" t="n"/>
      <c r="L52" s="107" t="n"/>
      <c r="M52" s="107" t="n"/>
      <c r="N52" s="107" t="n"/>
      <c r="O52" s="107" t="n"/>
      <c r="P52" s="107" t="n"/>
      <c r="Q52" s="107" t="n"/>
      <c r="R52" s="107" t="n"/>
      <c r="S52" s="107" t="n"/>
      <c r="T52" s="107" t="n"/>
      <c r="U52" s="107" t="n"/>
    </row>
    <row r="53" ht="22" customHeight="1" s="86">
      <c r="A53" s="111">
        <f>IF('01_인적정보'!B53="","",'01_인적정보'!A53)</f>
        <v/>
      </c>
      <c r="B53" s="111">
        <f>IF('01_인적정보'!B53="","",'01_인적정보'!B53)</f>
        <v/>
      </c>
      <c r="C53" s="112">
        <f>IF('01_인적정보'!B53="","",'01_인적정보'!C53)</f>
        <v/>
      </c>
      <c r="D53" s="112">
        <f>IF('01_인적정보'!B53="","",'01_인적정보'!E53)</f>
        <v/>
      </c>
      <c r="E53" s="113">
        <f>IF('01_인적정보'!B53="","",'01_인적정보'!H53)</f>
        <v/>
      </c>
      <c r="F53" s="120">
        <f>IF('01_인적정보'!B53="","",'01_인적정보'!L53)</f>
        <v/>
      </c>
      <c r="G53" s="114">
        <f>IF('01_인적정보'!B53="","",'07a_상반기입력'!K53)</f>
        <v/>
      </c>
      <c r="H53" s="114">
        <f>IF('01_인적정보'!B53="","",'07a_상반기입력'!L53)</f>
        <v/>
      </c>
      <c r="I53" s="115">
        <f>IFERROR(IF(AND(G53&lt;&gt;"",H53&lt;&gt;""),'02_의사결정·종합결과'!$B$67*IFERROR(CHOOSE(FIND(G53,"DCBAS"),1,2,3,4,5),0)+'02_의사결정·종합결과'!$B$68*IFERROR(CHOOSE(FIND(H53,"DCBAS"),1,2,3,4,5),0),IF(G53&lt;&gt;"",IFERROR(CHOOSE(FIND(G53,"DCBAS"),1,2,3,4,5),0),IF(H53&lt;&gt;"",IFERROR(CHOOSE(FIND(H53,"DCBAS"),1,2,3,4,5),0),""))),"")</f>
        <v/>
      </c>
      <c r="J53" s="116">
        <f>IF(I53="","",IF(I53&gt;=4.5,"S",IF(I53&gt;=3.5,"A",IF(I53&gt;=2.5,"B",IF(I53&gt;=1.5,"C","D")))))</f>
        <v/>
      </c>
      <c r="K53" s="118" t="n"/>
      <c r="L53" s="107" t="n"/>
      <c r="M53" s="107" t="n"/>
      <c r="N53" s="107" t="n"/>
      <c r="O53" s="107" t="n"/>
      <c r="P53" s="107" t="n"/>
      <c r="Q53" s="107" t="n"/>
      <c r="R53" s="107" t="n"/>
      <c r="S53" s="107" t="n"/>
      <c r="T53" s="107" t="n"/>
      <c r="U53" s="107" t="n"/>
    </row>
    <row r="54" ht="22" customHeight="1" s="86">
      <c r="A54" s="111">
        <f>IF('01_인적정보'!B54="","",'01_인적정보'!A54)</f>
        <v/>
      </c>
      <c r="B54" s="111">
        <f>IF('01_인적정보'!B54="","",'01_인적정보'!B54)</f>
        <v/>
      </c>
      <c r="C54" s="112">
        <f>IF('01_인적정보'!B54="","",'01_인적정보'!C54)</f>
        <v/>
      </c>
      <c r="D54" s="112">
        <f>IF('01_인적정보'!B54="","",'01_인적정보'!E54)</f>
        <v/>
      </c>
      <c r="E54" s="113">
        <f>IF('01_인적정보'!B54="","",'01_인적정보'!H54)</f>
        <v/>
      </c>
      <c r="F54" s="120">
        <f>IF('01_인적정보'!B54="","",'01_인적정보'!L54)</f>
        <v/>
      </c>
      <c r="G54" s="114">
        <f>IF('01_인적정보'!B54="","",'07a_상반기입력'!K54)</f>
        <v/>
      </c>
      <c r="H54" s="114">
        <f>IF('01_인적정보'!B54="","",'07a_상반기입력'!L54)</f>
        <v/>
      </c>
      <c r="I54" s="115">
        <f>IFERROR(IF(AND(G54&lt;&gt;"",H54&lt;&gt;""),'02_의사결정·종합결과'!$B$67*IFERROR(CHOOSE(FIND(G54,"DCBAS"),1,2,3,4,5),0)+'02_의사결정·종합결과'!$B$68*IFERROR(CHOOSE(FIND(H54,"DCBAS"),1,2,3,4,5),0),IF(G54&lt;&gt;"",IFERROR(CHOOSE(FIND(G54,"DCBAS"),1,2,3,4,5),0),IF(H54&lt;&gt;"",IFERROR(CHOOSE(FIND(H54,"DCBAS"),1,2,3,4,5),0),""))),"")</f>
        <v/>
      </c>
      <c r="J54" s="116">
        <f>IF(I54="","",IF(I54&gt;=4.5,"S",IF(I54&gt;=3.5,"A",IF(I54&gt;=2.5,"B",IF(I54&gt;=1.5,"C","D")))))</f>
        <v/>
      </c>
      <c r="K54" s="118" t="n"/>
      <c r="L54" s="107" t="n"/>
      <c r="M54" s="107" t="n"/>
      <c r="N54" s="107" t="n"/>
      <c r="O54" s="107" t="n"/>
      <c r="P54" s="107" t="n"/>
      <c r="Q54" s="107" t="n"/>
      <c r="R54" s="107" t="n"/>
      <c r="S54" s="107" t="n"/>
      <c r="T54" s="107" t="n"/>
      <c r="U54" s="107" t="n"/>
    </row>
    <row r="55" ht="22" customHeight="1" s="86">
      <c r="A55" s="111">
        <f>IF('01_인적정보'!B55="","",'01_인적정보'!A55)</f>
        <v/>
      </c>
      <c r="B55" s="111">
        <f>IF('01_인적정보'!B55="","",'01_인적정보'!B55)</f>
        <v/>
      </c>
      <c r="C55" s="112">
        <f>IF('01_인적정보'!B55="","",'01_인적정보'!C55)</f>
        <v/>
      </c>
      <c r="D55" s="112">
        <f>IF('01_인적정보'!B55="","",'01_인적정보'!E55)</f>
        <v/>
      </c>
      <c r="E55" s="113">
        <f>IF('01_인적정보'!B55="","",'01_인적정보'!H55)</f>
        <v/>
      </c>
      <c r="F55" s="120">
        <f>IF('01_인적정보'!B55="","",'01_인적정보'!L55)</f>
        <v/>
      </c>
      <c r="G55" s="114">
        <f>IF('01_인적정보'!B55="","",'07a_상반기입력'!K55)</f>
        <v/>
      </c>
      <c r="H55" s="114">
        <f>IF('01_인적정보'!B55="","",'07a_상반기입력'!L55)</f>
        <v/>
      </c>
      <c r="I55" s="115">
        <f>IFERROR(IF(AND(G55&lt;&gt;"",H55&lt;&gt;""),'02_의사결정·종합결과'!$B$67*IFERROR(CHOOSE(FIND(G55,"DCBAS"),1,2,3,4,5),0)+'02_의사결정·종합결과'!$B$68*IFERROR(CHOOSE(FIND(H55,"DCBAS"),1,2,3,4,5),0),IF(G55&lt;&gt;"",IFERROR(CHOOSE(FIND(G55,"DCBAS"),1,2,3,4,5),0),IF(H55&lt;&gt;"",IFERROR(CHOOSE(FIND(H55,"DCBAS"),1,2,3,4,5),0),""))),"")</f>
        <v/>
      </c>
      <c r="J55" s="116">
        <f>IF(I55="","",IF(I55&gt;=4.5,"S",IF(I55&gt;=3.5,"A",IF(I55&gt;=2.5,"B",IF(I55&gt;=1.5,"C","D")))))</f>
        <v/>
      </c>
      <c r="K55" s="118" t="n"/>
      <c r="L55" s="107" t="n"/>
      <c r="M55" s="107" t="n"/>
      <c r="N55" s="107" t="n"/>
      <c r="O55" s="107" t="n"/>
      <c r="P55" s="107" t="n"/>
      <c r="Q55" s="107" t="n"/>
      <c r="R55" s="107" t="n"/>
      <c r="S55" s="107" t="n"/>
      <c r="T55" s="107" t="n"/>
      <c r="U55" s="107" t="n"/>
    </row>
    <row r="56" s="86">
      <c r="A56" s="107" t="n"/>
      <c r="B56" s="107" t="n"/>
      <c r="C56" s="107" t="n"/>
      <c r="D56" s="107" t="n"/>
      <c r="E56" s="107" t="n"/>
      <c r="F56" s="107" t="n"/>
      <c r="G56" s="107" t="n"/>
      <c r="H56" s="107" t="n"/>
      <c r="I56" s="117" t="n"/>
      <c r="J56" s="107" t="n"/>
      <c r="K56" s="118" t="n"/>
      <c r="L56" s="107" t="n"/>
      <c r="M56" s="107" t="n"/>
      <c r="N56" s="107" t="n"/>
      <c r="O56" s="107" t="n"/>
      <c r="P56" s="107" t="n"/>
      <c r="Q56" s="107" t="n"/>
      <c r="R56" s="107" t="n"/>
      <c r="S56" s="107" t="n"/>
      <c r="T56" s="107" t="n"/>
      <c r="U56" s="107" t="n"/>
    </row>
    <row r="57" s="86">
      <c r="A57" s="107" t="n"/>
      <c r="B57" s="107" t="n"/>
      <c r="C57" s="107" t="n"/>
      <c r="D57" s="107" t="n"/>
      <c r="E57" s="107" t="n"/>
      <c r="F57" s="107" t="n"/>
      <c r="G57" s="107" t="n"/>
      <c r="H57" s="107" t="n"/>
      <c r="I57" s="117" t="n"/>
      <c r="J57" s="107" t="n"/>
      <c r="K57" s="118" t="n"/>
      <c r="L57" s="107" t="n"/>
      <c r="M57" s="107" t="n"/>
      <c r="N57" s="107" t="n"/>
      <c r="O57" s="107" t="n"/>
      <c r="P57" s="107" t="n"/>
      <c r="Q57" s="107" t="n"/>
      <c r="R57" s="107" t="n"/>
      <c r="S57" s="107" t="n"/>
      <c r="T57" s="107" t="n"/>
      <c r="U57" s="107" t="n"/>
    </row>
    <row r="58" s="86">
      <c r="A58" s="107" t="n"/>
      <c r="B58" s="107" t="n"/>
      <c r="C58" s="107" t="n"/>
      <c r="D58" s="107" t="n"/>
      <c r="E58" s="107" t="n"/>
      <c r="F58" s="107" t="n"/>
      <c r="G58" s="107" t="n"/>
      <c r="H58" s="107" t="n"/>
      <c r="I58" s="117" t="n"/>
      <c r="J58" s="107" t="n"/>
      <c r="K58" s="118" t="n"/>
      <c r="L58" s="107" t="n"/>
      <c r="M58" s="107" t="n"/>
      <c r="N58" s="107" t="n"/>
      <c r="O58" s="107" t="n"/>
      <c r="P58" s="107" t="n"/>
      <c r="Q58" s="107" t="n"/>
      <c r="R58" s="107" t="n"/>
      <c r="S58" s="107" t="n"/>
      <c r="T58" s="107" t="n"/>
      <c r="U58" s="107" t="n"/>
    </row>
    <row r="59" s="86">
      <c r="A59" s="107" t="n"/>
      <c r="B59" s="107" t="n"/>
      <c r="C59" s="107" t="n"/>
      <c r="D59" s="107" t="n"/>
      <c r="E59" s="107" t="n"/>
      <c r="F59" s="107" t="n"/>
      <c r="G59" s="107" t="n"/>
      <c r="H59" s="107" t="n"/>
      <c r="I59" s="117" t="n"/>
      <c r="J59" s="107" t="n"/>
      <c r="K59" s="118" t="n"/>
      <c r="L59" s="107" t="n"/>
      <c r="M59" s="107" t="n"/>
      <c r="N59" s="107" t="n"/>
      <c r="O59" s="107" t="n"/>
      <c r="P59" s="107" t="n"/>
      <c r="Q59" s="107" t="n"/>
      <c r="R59" s="107" t="n"/>
      <c r="S59" s="107" t="n"/>
      <c r="T59" s="107" t="n"/>
      <c r="U59" s="107" t="n"/>
    </row>
    <row r="60" s="86">
      <c r="A60" s="107" t="n"/>
      <c r="B60" s="107" t="n"/>
      <c r="C60" s="107" t="n"/>
      <c r="D60" s="107" t="n"/>
      <c r="E60" s="107" t="n"/>
      <c r="F60" s="107" t="n"/>
      <c r="G60" s="107" t="n"/>
      <c r="H60" s="107" t="n"/>
      <c r="I60" s="117" t="n"/>
      <c r="J60" s="107" t="n"/>
      <c r="K60" s="118" t="n"/>
      <c r="L60" s="107" t="n"/>
      <c r="M60" s="107" t="n"/>
      <c r="N60" s="107" t="n"/>
      <c r="O60" s="107" t="n"/>
      <c r="P60" s="107" t="n"/>
      <c r="Q60" s="107" t="n"/>
      <c r="R60" s="107" t="n"/>
      <c r="S60" s="107" t="n"/>
      <c r="T60" s="107" t="n"/>
      <c r="U60" s="107" t="n"/>
    </row>
    <row r="61" s="86">
      <c r="A61" s="107" t="n"/>
      <c r="B61" s="107" t="n"/>
      <c r="C61" s="107" t="n"/>
      <c r="D61" s="107" t="n"/>
      <c r="E61" s="107" t="n"/>
      <c r="F61" s="107" t="n"/>
      <c r="G61" s="107" t="n"/>
      <c r="H61" s="107" t="n"/>
      <c r="I61" s="117" t="n"/>
      <c r="J61" s="107" t="n"/>
      <c r="K61" s="118" t="n"/>
      <c r="L61" s="107" t="n"/>
      <c r="M61" s="107" t="n"/>
      <c r="N61" s="107" t="n"/>
      <c r="O61" s="107" t="n"/>
      <c r="P61" s="107" t="n"/>
      <c r="Q61" s="107" t="n"/>
      <c r="R61" s="107" t="n"/>
      <c r="S61" s="107" t="n"/>
      <c r="T61" s="107" t="n"/>
      <c r="U61" s="107" t="n"/>
    </row>
    <row r="62" ht="26" customHeight="1" s="86">
      <c r="A62" s="109" t="inlineStr">
        <is>
          <t>■ 하반기 직무역량평가 (50명까지)</t>
        </is>
      </c>
      <c r="B62" s="106" t="n"/>
      <c r="C62" s="106" t="n"/>
      <c r="D62" s="106" t="n"/>
      <c r="E62" s="106" t="n"/>
      <c r="F62" s="106" t="n"/>
      <c r="G62" s="106" t="n"/>
      <c r="H62" s="106" t="n"/>
      <c r="I62" s="106" t="n"/>
      <c r="J62" s="106" t="n"/>
      <c r="K62" s="118" t="n"/>
      <c r="L62" s="107" t="n"/>
      <c r="M62" s="107" t="n"/>
      <c r="N62" s="107" t="n"/>
      <c r="O62" s="107" t="n"/>
      <c r="P62" s="107" t="n"/>
      <c r="Q62" s="107" t="n"/>
      <c r="R62" s="107" t="n"/>
      <c r="S62" s="107" t="n"/>
      <c r="T62" s="107" t="n"/>
      <c r="U62" s="107" t="n"/>
    </row>
    <row r="63" ht="28" customHeight="1" s="86">
      <c r="A63" s="110" t="inlineStr">
        <is>
          <t>No.</t>
        </is>
      </c>
      <c r="B63" s="110" t="inlineStr">
        <is>
          <t>사번</t>
        </is>
      </c>
      <c r="C63" s="110" t="inlineStr">
        <is>
          <t>성명</t>
        </is>
      </c>
      <c r="D63" s="110" t="inlineStr">
        <is>
          <t>직무</t>
        </is>
      </c>
      <c r="E63" s="110" t="inlineStr">
        <is>
          <t>역할등급</t>
        </is>
      </c>
      <c r="F63" s="110" t="inlineStr">
        <is>
          <t>메인 책무 수</t>
        </is>
      </c>
      <c r="G63" s="110" t="inlineStr">
        <is>
          <t>1차</t>
        </is>
      </c>
      <c r="H63" s="110" t="inlineStr">
        <is>
          <t>2차</t>
        </is>
      </c>
      <c r="I63" s="119" t="inlineStr">
        <is>
          <t>가중평균(점수)</t>
        </is>
      </c>
      <c r="J63" s="110" t="inlineStr">
        <is>
          <t>확정등급</t>
        </is>
      </c>
      <c r="K63" s="118" t="n"/>
      <c r="L63" s="107" t="n"/>
      <c r="M63" s="107" t="n"/>
      <c r="N63" s="107" t="n"/>
      <c r="O63" s="107" t="n"/>
      <c r="P63" s="107" t="n"/>
      <c r="Q63" s="107" t="n"/>
      <c r="R63" s="107" t="n"/>
      <c r="S63" s="107" t="n"/>
      <c r="T63" s="107" t="n"/>
      <c r="U63" s="107" t="n"/>
    </row>
    <row r="64" ht="22" customHeight="1" s="86">
      <c r="A64" s="111">
        <f>IF('01_인적정보'!B6="","",'01_인적정보'!A6)</f>
        <v/>
      </c>
      <c r="B64" s="111">
        <f>IF('01_인적정보'!B6="","",'01_인적정보'!B6)</f>
        <v/>
      </c>
      <c r="C64" s="112">
        <f>IF('01_인적정보'!B6="","",'01_인적정보'!C6)</f>
        <v/>
      </c>
      <c r="D64" s="112">
        <f>IF('01_인적정보'!B6="","",'01_인적정보'!E6)</f>
        <v/>
      </c>
      <c r="E64" s="113">
        <f>IF('01_인적정보'!B6="","",'01_인적정보'!H6)</f>
        <v/>
      </c>
      <c r="F64" s="120">
        <f>IF('01_인적정보'!B6="","",'01_인적정보'!L6)</f>
        <v/>
      </c>
      <c r="G64" s="114">
        <f>IF('01_인적정보'!B6="","",'07b_하반기입력'!K6)</f>
        <v/>
      </c>
      <c r="H64" s="114">
        <f>IF('01_인적정보'!B6="","",'07b_하반기입력'!L6)</f>
        <v/>
      </c>
      <c r="I64" s="115">
        <f>IFERROR(IF(AND(G64&lt;&gt;"",H64&lt;&gt;""),'02_의사결정·종합결과'!$B$67*IFERROR(CHOOSE(FIND(G64,"DCBAS"),1,2,3,4,5),0)+'02_의사결정·종합결과'!$B$68*IFERROR(CHOOSE(FIND(H64,"DCBAS"),1,2,3,4,5),0),IF(G64&lt;&gt;"",IFERROR(CHOOSE(FIND(G64,"DCBAS"),1,2,3,4,5),0),IF(H64&lt;&gt;"",IFERROR(CHOOSE(FIND(H64,"DCBAS"),1,2,3,4,5),0),""))),"")</f>
        <v/>
      </c>
      <c r="J64" s="116">
        <f>IF(I64="","",IF(I64&gt;=4.5,"S",IF(I64&gt;=3.5,"A",IF(I64&gt;=2.5,"B",IF(I64&gt;=1.5,"C","D")))))</f>
        <v/>
      </c>
      <c r="K64" s="118" t="n"/>
      <c r="L64" s="107" t="n"/>
      <c r="M64" s="107" t="n"/>
      <c r="N64" s="107" t="n"/>
      <c r="O64" s="107" t="n"/>
      <c r="P64" s="107" t="n"/>
      <c r="Q64" s="107" t="n"/>
      <c r="R64" s="107" t="n"/>
      <c r="S64" s="107" t="n"/>
      <c r="T64" s="107" t="n"/>
      <c r="U64" s="107" t="n"/>
    </row>
    <row r="65" ht="22" customHeight="1" s="86">
      <c r="A65" s="111">
        <f>IF('01_인적정보'!B7="","",'01_인적정보'!A7)</f>
        <v/>
      </c>
      <c r="B65" s="111">
        <f>IF('01_인적정보'!B7="","",'01_인적정보'!B7)</f>
        <v/>
      </c>
      <c r="C65" s="112">
        <f>IF('01_인적정보'!B7="","",'01_인적정보'!C7)</f>
        <v/>
      </c>
      <c r="D65" s="112">
        <f>IF('01_인적정보'!B7="","",'01_인적정보'!E7)</f>
        <v/>
      </c>
      <c r="E65" s="113">
        <f>IF('01_인적정보'!B7="","",'01_인적정보'!H7)</f>
        <v/>
      </c>
      <c r="F65" s="120">
        <f>IF('01_인적정보'!B7="","",'01_인적정보'!L7)</f>
        <v/>
      </c>
      <c r="G65" s="114">
        <f>IF('01_인적정보'!B7="","",'07b_하반기입력'!K7)</f>
        <v/>
      </c>
      <c r="H65" s="114">
        <f>IF('01_인적정보'!B7="","",'07b_하반기입력'!L7)</f>
        <v/>
      </c>
      <c r="I65" s="115">
        <f>IFERROR(IF(AND(G65&lt;&gt;"",H65&lt;&gt;""),'02_의사결정·종합결과'!$B$67*IFERROR(CHOOSE(FIND(G65,"DCBAS"),1,2,3,4,5),0)+'02_의사결정·종합결과'!$B$68*IFERROR(CHOOSE(FIND(H65,"DCBAS"),1,2,3,4,5),0),IF(G65&lt;&gt;"",IFERROR(CHOOSE(FIND(G65,"DCBAS"),1,2,3,4,5),0),IF(H65&lt;&gt;"",IFERROR(CHOOSE(FIND(H65,"DCBAS"),1,2,3,4,5),0),""))),"")</f>
        <v/>
      </c>
      <c r="J65" s="116">
        <f>IF(I65="","",IF(I65&gt;=4.5,"S",IF(I65&gt;=3.5,"A",IF(I65&gt;=2.5,"B",IF(I65&gt;=1.5,"C","D")))))</f>
        <v/>
      </c>
      <c r="K65" s="118" t="n"/>
      <c r="L65" s="107" t="n"/>
      <c r="M65" s="107" t="n"/>
      <c r="N65" s="107" t="n"/>
      <c r="O65" s="107" t="n"/>
      <c r="P65" s="107" t="n"/>
      <c r="Q65" s="107" t="n"/>
      <c r="R65" s="107" t="n"/>
      <c r="S65" s="107" t="n"/>
      <c r="T65" s="107" t="n"/>
      <c r="U65" s="107" t="n"/>
    </row>
    <row r="66" ht="22" customHeight="1" s="86">
      <c r="A66" s="111">
        <f>IF('01_인적정보'!B8="","",'01_인적정보'!A8)</f>
        <v/>
      </c>
      <c r="B66" s="111">
        <f>IF('01_인적정보'!B8="","",'01_인적정보'!B8)</f>
        <v/>
      </c>
      <c r="C66" s="112">
        <f>IF('01_인적정보'!B8="","",'01_인적정보'!C8)</f>
        <v/>
      </c>
      <c r="D66" s="112">
        <f>IF('01_인적정보'!B8="","",'01_인적정보'!E8)</f>
        <v/>
      </c>
      <c r="E66" s="113">
        <f>IF('01_인적정보'!B8="","",'01_인적정보'!H8)</f>
        <v/>
      </c>
      <c r="F66" s="120">
        <f>IF('01_인적정보'!B8="","",'01_인적정보'!L8)</f>
        <v/>
      </c>
      <c r="G66" s="114">
        <f>IF('01_인적정보'!B8="","",'07b_하반기입력'!K8)</f>
        <v/>
      </c>
      <c r="H66" s="114">
        <f>IF('01_인적정보'!B8="","",'07b_하반기입력'!L8)</f>
        <v/>
      </c>
      <c r="I66" s="115">
        <f>IFERROR(IF(AND(G66&lt;&gt;"",H66&lt;&gt;""),'02_의사결정·종합결과'!$B$67*IFERROR(CHOOSE(FIND(G66,"DCBAS"),1,2,3,4,5),0)+'02_의사결정·종합결과'!$B$68*IFERROR(CHOOSE(FIND(H66,"DCBAS"),1,2,3,4,5),0),IF(G66&lt;&gt;"",IFERROR(CHOOSE(FIND(G66,"DCBAS"),1,2,3,4,5),0),IF(H66&lt;&gt;"",IFERROR(CHOOSE(FIND(H66,"DCBAS"),1,2,3,4,5),0),""))),"")</f>
        <v/>
      </c>
      <c r="J66" s="116">
        <f>IF(I66="","",IF(I66&gt;=4.5,"S",IF(I66&gt;=3.5,"A",IF(I66&gt;=2.5,"B",IF(I66&gt;=1.5,"C","D")))))</f>
        <v/>
      </c>
      <c r="K66" s="118" t="n"/>
      <c r="L66" s="107" t="n"/>
      <c r="M66" s="107" t="n"/>
      <c r="N66" s="107" t="n"/>
      <c r="O66" s="107" t="n"/>
      <c r="P66" s="107" t="n"/>
      <c r="Q66" s="107" t="n"/>
      <c r="R66" s="107" t="n"/>
      <c r="S66" s="107" t="n"/>
      <c r="T66" s="107" t="n"/>
      <c r="U66" s="107" t="n"/>
    </row>
    <row r="67" ht="22" customHeight="1" s="86">
      <c r="A67" s="111">
        <f>IF('01_인적정보'!B9="","",'01_인적정보'!A9)</f>
        <v/>
      </c>
      <c r="B67" s="111">
        <f>IF('01_인적정보'!B9="","",'01_인적정보'!B9)</f>
        <v/>
      </c>
      <c r="C67" s="112">
        <f>IF('01_인적정보'!B9="","",'01_인적정보'!C9)</f>
        <v/>
      </c>
      <c r="D67" s="112">
        <f>IF('01_인적정보'!B9="","",'01_인적정보'!E9)</f>
        <v/>
      </c>
      <c r="E67" s="113">
        <f>IF('01_인적정보'!B9="","",'01_인적정보'!H9)</f>
        <v/>
      </c>
      <c r="F67" s="120">
        <f>IF('01_인적정보'!B9="","",'01_인적정보'!L9)</f>
        <v/>
      </c>
      <c r="G67" s="114">
        <f>IF('01_인적정보'!B9="","",'07b_하반기입력'!K9)</f>
        <v/>
      </c>
      <c r="H67" s="114">
        <f>IF('01_인적정보'!B9="","",'07b_하반기입력'!L9)</f>
        <v/>
      </c>
      <c r="I67" s="115">
        <f>IFERROR(IF(AND(G67&lt;&gt;"",H67&lt;&gt;""),'02_의사결정·종합결과'!$B$67*IFERROR(CHOOSE(FIND(G67,"DCBAS"),1,2,3,4,5),0)+'02_의사결정·종합결과'!$B$68*IFERROR(CHOOSE(FIND(H67,"DCBAS"),1,2,3,4,5),0),IF(G67&lt;&gt;"",IFERROR(CHOOSE(FIND(G67,"DCBAS"),1,2,3,4,5),0),IF(H67&lt;&gt;"",IFERROR(CHOOSE(FIND(H67,"DCBAS"),1,2,3,4,5),0),""))),"")</f>
        <v/>
      </c>
      <c r="J67" s="116">
        <f>IF(I67="","",IF(I67&gt;=4.5,"S",IF(I67&gt;=3.5,"A",IF(I67&gt;=2.5,"B",IF(I67&gt;=1.5,"C","D")))))</f>
        <v/>
      </c>
      <c r="K67" s="118" t="n"/>
      <c r="L67" s="107" t="n"/>
      <c r="M67" s="107" t="n"/>
      <c r="N67" s="107" t="n"/>
      <c r="O67" s="107" t="n"/>
      <c r="P67" s="107" t="n"/>
      <c r="Q67" s="107" t="n"/>
      <c r="R67" s="107" t="n"/>
      <c r="S67" s="107" t="n"/>
      <c r="T67" s="107" t="n"/>
      <c r="U67" s="107" t="n"/>
    </row>
    <row r="68" ht="22" customHeight="1" s="86">
      <c r="A68" s="111">
        <f>IF('01_인적정보'!B10="","",'01_인적정보'!A10)</f>
        <v/>
      </c>
      <c r="B68" s="111">
        <f>IF('01_인적정보'!B10="","",'01_인적정보'!B10)</f>
        <v/>
      </c>
      <c r="C68" s="112">
        <f>IF('01_인적정보'!B10="","",'01_인적정보'!C10)</f>
        <v/>
      </c>
      <c r="D68" s="112">
        <f>IF('01_인적정보'!B10="","",'01_인적정보'!E10)</f>
        <v/>
      </c>
      <c r="E68" s="113">
        <f>IF('01_인적정보'!B10="","",'01_인적정보'!H10)</f>
        <v/>
      </c>
      <c r="F68" s="120">
        <f>IF('01_인적정보'!B10="","",'01_인적정보'!L10)</f>
        <v/>
      </c>
      <c r="G68" s="114">
        <f>IF('01_인적정보'!B10="","",'07b_하반기입력'!K10)</f>
        <v/>
      </c>
      <c r="H68" s="114">
        <f>IF('01_인적정보'!B10="","",'07b_하반기입력'!L10)</f>
        <v/>
      </c>
      <c r="I68" s="115">
        <f>IFERROR(IF(AND(G68&lt;&gt;"",H68&lt;&gt;""),'02_의사결정·종합결과'!$B$67*IFERROR(CHOOSE(FIND(G68,"DCBAS"),1,2,3,4,5),0)+'02_의사결정·종합결과'!$B$68*IFERROR(CHOOSE(FIND(H68,"DCBAS"),1,2,3,4,5),0),IF(G68&lt;&gt;"",IFERROR(CHOOSE(FIND(G68,"DCBAS"),1,2,3,4,5),0),IF(H68&lt;&gt;"",IFERROR(CHOOSE(FIND(H68,"DCBAS"),1,2,3,4,5),0),""))),"")</f>
        <v/>
      </c>
      <c r="J68" s="116">
        <f>IF(I68="","",IF(I68&gt;=4.5,"S",IF(I68&gt;=3.5,"A",IF(I68&gt;=2.5,"B",IF(I68&gt;=1.5,"C","D")))))</f>
        <v/>
      </c>
      <c r="K68" s="118" t="n"/>
      <c r="L68" s="107" t="n"/>
      <c r="M68" s="107" t="n"/>
      <c r="N68" s="107" t="n"/>
      <c r="O68" s="107" t="n"/>
      <c r="P68" s="107" t="n"/>
      <c r="Q68" s="107" t="n"/>
      <c r="R68" s="107" t="n"/>
      <c r="S68" s="107" t="n"/>
      <c r="T68" s="107" t="n"/>
      <c r="U68" s="107" t="n"/>
    </row>
    <row r="69" ht="22" customHeight="1" s="86">
      <c r="A69" s="111">
        <f>IF('01_인적정보'!B11="","",'01_인적정보'!A11)</f>
        <v/>
      </c>
      <c r="B69" s="111">
        <f>IF('01_인적정보'!B11="","",'01_인적정보'!B11)</f>
        <v/>
      </c>
      <c r="C69" s="112">
        <f>IF('01_인적정보'!B11="","",'01_인적정보'!C11)</f>
        <v/>
      </c>
      <c r="D69" s="112">
        <f>IF('01_인적정보'!B11="","",'01_인적정보'!E11)</f>
        <v/>
      </c>
      <c r="E69" s="113">
        <f>IF('01_인적정보'!B11="","",'01_인적정보'!H11)</f>
        <v/>
      </c>
      <c r="F69" s="120">
        <f>IF('01_인적정보'!B11="","",'01_인적정보'!L11)</f>
        <v/>
      </c>
      <c r="G69" s="114">
        <f>IF('01_인적정보'!B11="","",'07b_하반기입력'!K11)</f>
        <v/>
      </c>
      <c r="H69" s="114">
        <f>IF('01_인적정보'!B11="","",'07b_하반기입력'!L11)</f>
        <v/>
      </c>
      <c r="I69" s="115">
        <f>IFERROR(IF(AND(G69&lt;&gt;"",H69&lt;&gt;""),'02_의사결정·종합결과'!$B$67*IFERROR(CHOOSE(FIND(G69,"DCBAS"),1,2,3,4,5),0)+'02_의사결정·종합결과'!$B$68*IFERROR(CHOOSE(FIND(H69,"DCBAS"),1,2,3,4,5),0),IF(G69&lt;&gt;"",IFERROR(CHOOSE(FIND(G69,"DCBAS"),1,2,3,4,5),0),IF(H69&lt;&gt;"",IFERROR(CHOOSE(FIND(H69,"DCBAS"),1,2,3,4,5),0),""))),"")</f>
        <v/>
      </c>
      <c r="J69" s="116">
        <f>IF(I69="","",IF(I69&gt;=4.5,"S",IF(I69&gt;=3.5,"A",IF(I69&gt;=2.5,"B",IF(I69&gt;=1.5,"C","D")))))</f>
        <v/>
      </c>
      <c r="K69" s="118" t="n"/>
      <c r="L69" s="107" t="n"/>
      <c r="M69" s="107" t="n"/>
      <c r="N69" s="107" t="n"/>
      <c r="O69" s="107" t="n"/>
      <c r="P69" s="107" t="n"/>
      <c r="Q69" s="107" t="n"/>
      <c r="R69" s="107" t="n"/>
      <c r="S69" s="107" t="n"/>
      <c r="T69" s="107" t="n"/>
      <c r="U69" s="107" t="n"/>
    </row>
    <row r="70" ht="22" customHeight="1" s="86">
      <c r="A70" s="111">
        <f>IF('01_인적정보'!B12="","",'01_인적정보'!A12)</f>
        <v/>
      </c>
      <c r="B70" s="111">
        <f>IF('01_인적정보'!B12="","",'01_인적정보'!B12)</f>
        <v/>
      </c>
      <c r="C70" s="112">
        <f>IF('01_인적정보'!B12="","",'01_인적정보'!C12)</f>
        <v/>
      </c>
      <c r="D70" s="112">
        <f>IF('01_인적정보'!B12="","",'01_인적정보'!E12)</f>
        <v/>
      </c>
      <c r="E70" s="113">
        <f>IF('01_인적정보'!B12="","",'01_인적정보'!H12)</f>
        <v/>
      </c>
      <c r="F70" s="120">
        <f>IF('01_인적정보'!B12="","",'01_인적정보'!L12)</f>
        <v/>
      </c>
      <c r="G70" s="114">
        <f>IF('01_인적정보'!B12="","",'07b_하반기입력'!K12)</f>
        <v/>
      </c>
      <c r="H70" s="114">
        <f>IF('01_인적정보'!B12="","",'07b_하반기입력'!L12)</f>
        <v/>
      </c>
      <c r="I70" s="115">
        <f>IFERROR(IF(AND(G70&lt;&gt;"",H70&lt;&gt;""),'02_의사결정·종합결과'!$B$67*IFERROR(CHOOSE(FIND(G70,"DCBAS"),1,2,3,4,5),0)+'02_의사결정·종합결과'!$B$68*IFERROR(CHOOSE(FIND(H70,"DCBAS"),1,2,3,4,5),0),IF(G70&lt;&gt;"",IFERROR(CHOOSE(FIND(G70,"DCBAS"),1,2,3,4,5),0),IF(H70&lt;&gt;"",IFERROR(CHOOSE(FIND(H70,"DCBAS"),1,2,3,4,5),0),""))),"")</f>
        <v/>
      </c>
      <c r="J70" s="116">
        <f>IF(I70="","",IF(I70&gt;=4.5,"S",IF(I70&gt;=3.5,"A",IF(I70&gt;=2.5,"B",IF(I70&gt;=1.5,"C","D")))))</f>
        <v/>
      </c>
      <c r="K70" s="118" t="n"/>
      <c r="L70" s="107" t="n"/>
      <c r="M70" s="107" t="n"/>
      <c r="N70" s="107" t="n"/>
      <c r="O70" s="107" t="n"/>
      <c r="P70" s="107" t="n"/>
      <c r="Q70" s="107" t="n"/>
      <c r="R70" s="107" t="n"/>
      <c r="S70" s="107" t="n"/>
      <c r="T70" s="107" t="n"/>
      <c r="U70" s="107" t="n"/>
    </row>
    <row r="71" ht="22" customHeight="1" s="86">
      <c r="A71" s="111">
        <f>IF('01_인적정보'!B13="","",'01_인적정보'!A13)</f>
        <v/>
      </c>
      <c r="B71" s="111">
        <f>IF('01_인적정보'!B13="","",'01_인적정보'!B13)</f>
        <v/>
      </c>
      <c r="C71" s="112">
        <f>IF('01_인적정보'!B13="","",'01_인적정보'!C13)</f>
        <v/>
      </c>
      <c r="D71" s="112">
        <f>IF('01_인적정보'!B13="","",'01_인적정보'!E13)</f>
        <v/>
      </c>
      <c r="E71" s="113">
        <f>IF('01_인적정보'!B13="","",'01_인적정보'!H13)</f>
        <v/>
      </c>
      <c r="F71" s="120">
        <f>IF('01_인적정보'!B13="","",'01_인적정보'!L13)</f>
        <v/>
      </c>
      <c r="G71" s="114">
        <f>IF('01_인적정보'!B13="","",'07b_하반기입력'!K13)</f>
        <v/>
      </c>
      <c r="H71" s="114">
        <f>IF('01_인적정보'!B13="","",'07b_하반기입력'!L13)</f>
        <v/>
      </c>
      <c r="I71" s="115">
        <f>IFERROR(IF(AND(G71&lt;&gt;"",H71&lt;&gt;""),'02_의사결정·종합결과'!$B$67*IFERROR(CHOOSE(FIND(G71,"DCBAS"),1,2,3,4,5),0)+'02_의사결정·종합결과'!$B$68*IFERROR(CHOOSE(FIND(H71,"DCBAS"),1,2,3,4,5),0),IF(G71&lt;&gt;"",IFERROR(CHOOSE(FIND(G71,"DCBAS"),1,2,3,4,5),0),IF(H71&lt;&gt;"",IFERROR(CHOOSE(FIND(H71,"DCBAS"),1,2,3,4,5),0),""))),"")</f>
        <v/>
      </c>
      <c r="J71" s="116">
        <f>IF(I71="","",IF(I71&gt;=4.5,"S",IF(I71&gt;=3.5,"A",IF(I71&gt;=2.5,"B",IF(I71&gt;=1.5,"C","D")))))</f>
        <v/>
      </c>
      <c r="K71" s="118" t="n"/>
      <c r="L71" s="107" t="n"/>
      <c r="M71" s="107" t="n"/>
      <c r="N71" s="107" t="n"/>
      <c r="O71" s="107" t="n"/>
      <c r="P71" s="107" t="n"/>
      <c r="Q71" s="107" t="n"/>
      <c r="R71" s="107" t="n"/>
      <c r="S71" s="107" t="n"/>
      <c r="T71" s="107" t="n"/>
      <c r="U71" s="107" t="n"/>
    </row>
    <row r="72" ht="22" customHeight="1" s="86">
      <c r="A72" s="111">
        <f>IF('01_인적정보'!B14="","",'01_인적정보'!A14)</f>
        <v/>
      </c>
      <c r="B72" s="111">
        <f>IF('01_인적정보'!B14="","",'01_인적정보'!B14)</f>
        <v/>
      </c>
      <c r="C72" s="112">
        <f>IF('01_인적정보'!B14="","",'01_인적정보'!C14)</f>
        <v/>
      </c>
      <c r="D72" s="112">
        <f>IF('01_인적정보'!B14="","",'01_인적정보'!E14)</f>
        <v/>
      </c>
      <c r="E72" s="113">
        <f>IF('01_인적정보'!B14="","",'01_인적정보'!H14)</f>
        <v/>
      </c>
      <c r="F72" s="120">
        <f>IF('01_인적정보'!B14="","",'01_인적정보'!L14)</f>
        <v/>
      </c>
      <c r="G72" s="114">
        <f>IF('01_인적정보'!B14="","",'07b_하반기입력'!K14)</f>
        <v/>
      </c>
      <c r="H72" s="114">
        <f>IF('01_인적정보'!B14="","",'07b_하반기입력'!L14)</f>
        <v/>
      </c>
      <c r="I72" s="115">
        <f>IFERROR(IF(AND(G72&lt;&gt;"",H72&lt;&gt;""),'02_의사결정·종합결과'!$B$67*IFERROR(CHOOSE(FIND(G72,"DCBAS"),1,2,3,4,5),0)+'02_의사결정·종합결과'!$B$68*IFERROR(CHOOSE(FIND(H72,"DCBAS"),1,2,3,4,5),0),IF(G72&lt;&gt;"",IFERROR(CHOOSE(FIND(G72,"DCBAS"),1,2,3,4,5),0),IF(H72&lt;&gt;"",IFERROR(CHOOSE(FIND(H72,"DCBAS"),1,2,3,4,5),0),""))),"")</f>
        <v/>
      </c>
      <c r="J72" s="116">
        <f>IF(I72="","",IF(I72&gt;=4.5,"S",IF(I72&gt;=3.5,"A",IF(I72&gt;=2.5,"B",IF(I72&gt;=1.5,"C","D")))))</f>
        <v/>
      </c>
      <c r="K72" s="118" t="n"/>
      <c r="L72" s="107" t="n"/>
      <c r="M72" s="107" t="n"/>
      <c r="N72" s="107" t="n"/>
      <c r="O72" s="107" t="n"/>
      <c r="P72" s="107" t="n"/>
      <c r="Q72" s="107" t="n"/>
      <c r="R72" s="107" t="n"/>
      <c r="S72" s="107" t="n"/>
      <c r="T72" s="107" t="n"/>
      <c r="U72" s="107" t="n"/>
    </row>
    <row r="73" ht="22" customHeight="1" s="86">
      <c r="A73" s="111">
        <f>IF('01_인적정보'!B15="","",'01_인적정보'!A15)</f>
        <v/>
      </c>
      <c r="B73" s="111">
        <f>IF('01_인적정보'!B15="","",'01_인적정보'!B15)</f>
        <v/>
      </c>
      <c r="C73" s="112">
        <f>IF('01_인적정보'!B15="","",'01_인적정보'!C15)</f>
        <v/>
      </c>
      <c r="D73" s="112">
        <f>IF('01_인적정보'!B15="","",'01_인적정보'!E15)</f>
        <v/>
      </c>
      <c r="E73" s="113">
        <f>IF('01_인적정보'!B15="","",'01_인적정보'!H15)</f>
        <v/>
      </c>
      <c r="F73" s="120">
        <f>IF('01_인적정보'!B15="","",'01_인적정보'!L15)</f>
        <v/>
      </c>
      <c r="G73" s="114">
        <f>IF('01_인적정보'!B15="","",'07b_하반기입력'!K15)</f>
        <v/>
      </c>
      <c r="H73" s="114">
        <f>IF('01_인적정보'!B15="","",'07b_하반기입력'!L15)</f>
        <v/>
      </c>
      <c r="I73" s="115">
        <f>IFERROR(IF(AND(G73&lt;&gt;"",H73&lt;&gt;""),'02_의사결정·종합결과'!$B$67*IFERROR(CHOOSE(FIND(G73,"DCBAS"),1,2,3,4,5),0)+'02_의사결정·종합결과'!$B$68*IFERROR(CHOOSE(FIND(H73,"DCBAS"),1,2,3,4,5),0),IF(G73&lt;&gt;"",IFERROR(CHOOSE(FIND(G73,"DCBAS"),1,2,3,4,5),0),IF(H73&lt;&gt;"",IFERROR(CHOOSE(FIND(H73,"DCBAS"),1,2,3,4,5),0),""))),"")</f>
        <v/>
      </c>
      <c r="J73" s="116">
        <f>IF(I73="","",IF(I73&gt;=4.5,"S",IF(I73&gt;=3.5,"A",IF(I73&gt;=2.5,"B",IF(I73&gt;=1.5,"C","D")))))</f>
        <v/>
      </c>
      <c r="K73" s="118" t="n"/>
      <c r="L73" s="107" t="n"/>
      <c r="M73" s="107" t="n"/>
      <c r="N73" s="107" t="n"/>
      <c r="O73" s="107" t="n"/>
      <c r="P73" s="107" t="n"/>
      <c r="Q73" s="107" t="n"/>
      <c r="R73" s="107" t="n"/>
      <c r="S73" s="107" t="n"/>
      <c r="T73" s="107" t="n"/>
      <c r="U73" s="107" t="n"/>
    </row>
    <row r="74" ht="22" customHeight="1" s="86">
      <c r="A74" s="111">
        <f>IF('01_인적정보'!B16="","",'01_인적정보'!A16)</f>
        <v/>
      </c>
      <c r="B74" s="111">
        <f>IF('01_인적정보'!B16="","",'01_인적정보'!B16)</f>
        <v/>
      </c>
      <c r="C74" s="112">
        <f>IF('01_인적정보'!B16="","",'01_인적정보'!C16)</f>
        <v/>
      </c>
      <c r="D74" s="112">
        <f>IF('01_인적정보'!B16="","",'01_인적정보'!E16)</f>
        <v/>
      </c>
      <c r="E74" s="113">
        <f>IF('01_인적정보'!B16="","",'01_인적정보'!H16)</f>
        <v/>
      </c>
      <c r="F74" s="120">
        <f>IF('01_인적정보'!B16="","",'01_인적정보'!L16)</f>
        <v/>
      </c>
      <c r="G74" s="114">
        <f>IF('01_인적정보'!B16="","",'07b_하반기입력'!K16)</f>
        <v/>
      </c>
      <c r="H74" s="114">
        <f>IF('01_인적정보'!B16="","",'07b_하반기입력'!L16)</f>
        <v/>
      </c>
      <c r="I74" s="115">
        <f>IFERROR(IF(AND(G74&lt;&gt;"",H74&lt;&gt;""),'02_의사결정·종합결과'!$B$67*IFERROR(CHOOSE(FIND(G74,"DCBAS"),1,2,3,4,5),0)+'02_의사결정·종합결과'!$B$68*IFERROR(CHOOSE(FIND(H74,"DCBAS"),1,2,3,4,5),0),IF(G74&lt;&gt;"",IFERROR(CHOOSE(FIND(G74,"DCBAS"),1,2,3,4,5),0),IF(H74&lt;&gt;"",IFERROR(CHOOSE(FIND(H74,"DCBAS"),1,2,3,4,5),0),""))),"")</f>
        <v/>
      </c>
      <c r="J74" s="116">
        <f>IF(I74="","",IF(I74&gt;=4.5,"S",IF(I74&gt;=3.5,"A",IF(I74&gt;=2.5,"B",IF(I74&gt;=1.5,"C","D")))))</f>
        <v/>
      </c>
      <c r="K74" s="118" t="n"/>
      <c r="L74" s="107" t="n"/>
      <c r="M74" s="107" t="n"/>
      <c r="N74" s="107" t="n"/>
      <c r="O74" s="107" t="n"/>
      <c r="P74" s="107" t="n"/>
      <c r="Q74" s="107" t="n"/>
      <c r="R74" s="107" t="n"/>
      <c r="S74" s="107" t="n"/>
      <c r="T74" s="107" t="n"/>
      <c r="U74" s="107" t="n"/>
    </row>
    <row r="75" ht="22" customHeight="1" s="86">
      <c r="A75" s="111">
        <f>IF('01_인적정보'!B17="","",'01_인적정보'!A17)</f>
        <v/>
      </c>
      <c r="B75" s="111">
        <f>IF('01_인적정보'!B17="","",'01_인적정보'!B17)</f>
        <v/>
      </c>
      <c r="C75" s="112">
        <f>IF('01_인적정보'!B17="","",'01_인적정보'!C17)</f>
        <v/>
      </c>
      <c r="D75" s="112">
        <f>IF('01_인적정보'!B17="","",'01_인적정보'!E17)</f>
        <v/>
      </c>
      <c r="E75" s="113">
        <f>IF('01_인적정보'!B17="","",'01_인적정보'!H17)</f>
        <v/>
      </c>
      <c r="F75" s="120">
        <f>IF('01_인적정보'!B17="","",'01_인적정보'!L17)</f>
        <v/>
      </c>
      <c r="G75" s="114">
        <f>IF('01_인적정보'!B17="","",'07b_하반기입력'!K17)</f>
        <v/>
      </c>
      <c r="H75" s="114">
        <f>IF('01_인적정보'!B17="","",'07b_하반기입력'!L17)</f>
        <v/>
      </c>
      <c r="I75" s="115">
        <f>IFERROR(IF(AND(G75&lt;&gt;"",H75&lt;&gt;""),'02_의사결정·종합결과'!$B$67*IFERROR(CHOOSE(FIND(G75,"DCBAS"),1,2,3,4,5),0)+'02_의사결정·종합결과'!$B$68*IFERROR(CHOOSE(FIND(H75,"DCBAS"),1,2,3,4,5),0),IF(G75&lt;&gt;"",IFERROR(CHOOSE(FIND(G75,"DCBAS"),1,2,3,4,5),0),IF(H75&lt;&gt;"",IFERROR(CHOOSE(FIND(H75,"DCBAS"),1,2,3,4,5),0),""))),"")</f>
        <v/>
      </c>
      <c r="J75" s="116">
        <f>IF(I75="","",IF(I75&gt;=4.5,"S",IF(I75&gt;=3.5,"A",IF(I75&gt;=2.5,"B",IF(I75&gt;=1.5,"C","D")))))</f>
        <v/>
      </c>
      <c r="K75" s="118" t="n"/>
      <c r="L75" s="107" t="n"/>
      <c r="M75" s="107" t="n"/>
      <c r="N75" s="107" t="n"/>
      <c r="O75" s="107" t="n"/>
      <c r="P75" s="107" t="n"/>
      <c r="Q75" s="107" t="n"/>
      <c r="R75" s="107" t="n"/>
      <c r="S75" s="107" t="n"/>
      <c r="T75" s="107" t="n"/>
      <c r="U75" s="107" t="n"/>
    </row>
    <row r="76" ht="22" customHeight="1" s="86">
      <c r="A76" s="111">
        <f>IF('01_인적정보'!B18="","",'01_인적정보'!A18)</f>
        <v/>
      </c>
      <c r="B76" s="111">
        <f>IF('01_인적정보'!B18="","",'01_인적정보'!B18)</f>
        <v/>
      </c>
      <c r="C76" s="112">
        <f>IF('01_인적정보'!B18="","",'01_인적정보'!C18)</f>
        <v/>
      </c>
      <c r="D76" s="112">
        <f>IF('01_인적정보'!B18="","",'01_인적정보'!E18)</f>
        <v/>
      </c>
      <c r="E76" s="113">
        <f>IF('01_인적정보'!B18="","",'01_인적정보'!H18)</f>
        <v/>
      </c>
      <c r="F76" s="120">
        <f>IF('01_인적정보'!B18="","",'01_인적정보'!L18)</f>
        <v/>
      </c>
      <c r="G76" s="114">
        <f>IF('01_인적정보'!B18="","",'07b_하반기입력'!K18)</f>
        <v/>
      </c>
      <c r="H76" s="114">
        <f>IF('01_인적정보'!B18="","",'07b_하반기입력'!L18)</f>
        <v/>
      </c>
      <c r="I76" s="115">
        <f>IFERROR(IF(AND(G76&lt;&gt;"",H76&lt;&gt;""),'02_의사결정·종합결과'!$B$67*IFERROR(CHOOSE(FIND(G76,"DCBAS"),1,2,3,4,5),0)+'02_의사결정·종합결과'!$B$68*IFERROR(CHOOSE(FIND(H76,"DCBAS"),1,2,3,4,5),0),IF(G76&lt;&gt;"",IFERROR(CHOOSE(FIND(G76,"DCBAS"),1,2,3,4,5),0),IF(H76&lt;&gt;"",IFERROR(CHOOSE(FIND(H76,"DCBAS"),1,2,3,4,5),0),""))),"")</f>
        <v/>
      </c>
      <c r="J76" s="116">
        <f>IF(I76="","",IF(I76&gt;=4.5,"S",IF(I76&gt;=3.5,"A",IF(I76&gt;=2.5,"B",IF(I76&gt;=1.5,"C","D")))))</f>
        <v/>
      </c>
      <c r="K76" s="118" t="n"/>
      <c r="L76" s="107" t="n"/>
      <c r="M76" s="107" t="n"/>
      <c r="N76" s="107" t="n"/>
      <c r="O76" s="107" t="n"/>
      <c r="P76" s="107" t="n"/>
      <c r="Q76" s="107" t="n"/>
      <c r="R76" s="107" t="n"/>
      <c r="S76" s="107" t="n"/>
      <c r="T76" s="107" t="n"/>
      <c r="U76" s="107" t="n"/>
    </row>
    <row r="77" ht="22" customHeight="1" s="86">
      <c r="A77" s="111">
        <f>IF('01_인적정보'!B19="","",'01_인적정보'!A19)</f>
        <v/>
      </c>
      <c r="B77" s="111">
        <f>IF('01_인적정보'!B19="","",'01_인적정보'!B19)</f>
        <v/>
      </c>
      <c r="C77" s="112">
        <f>IF('01_인적정보'!B19="","",'01_인적정보'!C19)</f>
        <v/>
      </c>
      <c r="D77" s="112">
        <f>IF('01_인적정보'!B19="","",'01_인적정보'!E19)</f>
        <v/>
      </c>
      <c r="E77" s="113">
        <f>IF('01_인적정보'!B19="","",'01_인적정보'!H19)</f>
        <v/>
      </c>
      <c r="F77" s="120">
        <f>IF('01_인적정보'!B19="","",'01_인적정보'!L19)</f>
        <v/>
      </c>
      <c r="G77" s="114">
        <f>IF('01_인적정보'!B19="","",'07b_하반기입력'!K19)</f>
        <v/>
      </c>
      <c r="H77" s="114">
        <f>IF('01_인적정보'!B19="","",'07b_하반기입력'!L19)</f>
        <v/>
      </c>
      <c r="I77" s="115">
        <f>IFERROR(IF(AND(G77&lt;&gt;"",H77&lt;&gt;""),'02_의사결정·종합결과'!$B$67*IFERROR(CHOOSE(FIND(G77,"DCBAS"),1,2,3,4,5),0)+'02_의사결정·종합결과'!$B$68*IFERROR(CHOOSE(FIND(H77,"DCBAS"),1,2,3,4,5),0),IF(G77&lt;&gt;"",IFERROR(CHOOSE(FIND(G77,"DCBAS"),1,2,3,4,5),0),IF(H77&lt;&gt;"",IFERROR(CHOOSE(FIND(H77,"DCBAS"),1,2,3,4,5),0),""))),"")</f>
        <v/>
      </c>
      <c r="J77" s="116">
        <f>IF(I77="","",IF(I77&gt;=4.5,"S",IF(I77&gt;=3.5,"A",IF(I77&gt;=2.5,"B",IF(I77&gt;=1.5,"C","D")))))</f>
        <v/>
      </c>
      <c r="K77" s="118" t="n"/>
      <c r="L77" s="107" t="n"/>
      <c r="M77" s="107" t="n"/>
      <c r="N77" s="107" t="n"/>
      <c r="O77" s="107" t="n"/>
      <c r="P77" s="107" t="n"/>
      <c r="Q77" s="107" t="n"/>
      <c r="R77" s="107" t="n"/>
      <c r="S77" s="107" t="n"/>
      <c r="T77" s="107" t="n"/>
      <c r="U77" s="107" t="n"/>
    </row>
    <row r="78" ht="22" customHeight="1" s="86">
      <c r="A78" s="111">
        <f>IF('01_인적정보'!B20="","",'01_인적정보'!A20)</f>
        <v/>
      </c>
      <c r="B78" s="111">
        <f>IF('01_인적정보'!B20="","",'01_인적정보'!B20)</f>
        <v/>
      </c>
      <c r="C78" s="112">
        <f>IF('01_인적정보'!B20="","",'01_인적정보'!C20)</f>
        <v/>
      </c>
      <c r="D78" s="112">
        <f>IF('01_인적정보'!B20="","",'01_인적정보'!E20)</f>
        <v/>
      </c>
      <c r="E78" s="113">
        <f>IF('01_인적정보'!B20="","",'01_인적정보'!H20)</f>
        <v/>
      </c>
      <c r="F78" s="120">
        <f>IF('01_인적정보'!B20="","",'01_인적정보'!L20)</f>
        <v/>
      </c>
      <c r="G78" s="114">
        <f>IF('01_인적정보'!B20="","",'07b_하반기입력'!K20)</f>
        <v/>
      </c>
      <c r="H78" s="114">
        <f>IF('01_인적정보'!B20="","",'07b_하반기입력'!L20)</f>
        <v/>
      </c>
      <c r="I78" s="115">
        <f>IFERROR(IF(AND(G78&lt;&gt;"",H78&lt;&gt;""),'02_의사결정·종합결과'!$B$67*IFERROR(CHOOSE(FIND(G78,"DCBAS"),1,2,3,4,5),0)+'02_의사결정·종합결과'!$B$68*IFERROR(CHOOSE(FIND(H78,"DCBAS"),1,2,3,4,5),0),IF(G78&lt;&gt;"",IFERROR(CHOOSE(FIND(G78,"DCBAS"),1,2,3,4,5),0),IF(H78&lt;&gt;"",IFERROR(CHOOSE(FIND(H78,"DCBAS"),1,2,3,4,5),0),""))),"")</f>
        <v/>
      </c>
      <c r="J78" s="116">
        <f>IF(I78="","",IF(I78&gt;=4.5,"S",IF(I78&gt;=3.5,"A",IF(I78&gt;=2.5,"B",IF(I78&gt;=1.5,"C","D")))))</f>
        <v/>
      </c>
      <c r="K78" s="118" t="n"/>
      <c r="L78" s="107" t="n"/>
      <c r="M78" s="107" t="n"/>
      <c r="N78" s="107" t="n"/>
      <c r="O78" s="107" t="n"/>
      <c r="P78" s="107" t="n"/>
      <c r="Q78" s="107" t="n"/>
      <c r="R78" s="107" t="n"/>
      <c r="S78" s="107" t="n"/>
      <c r="T78" s="107" t="n"/>
      <c r="U78" s="107" t="n"/>
    </row>
    <row r="79" ht="22" customHeight="1" s="86">
      <c r="A79" s="111">
        <f>IF('01_인적정보'!B21="","",'01_인적정보'!A21)</f>
        <v/>
      </c>
      <c r="B79" s="111">
        <f>IF('01_인적정보'!B21="","",'01_인적정보'!B21)</f>
        <v/>
      </c>
      <c r="C79" s="112">
        <f>IF('01_인적정보'!B21="","",'01_인적정보'!C21)</f>
        <v/>
      </c>
      <c r="D79" s="112">
        <f>IF('01_인적정보'!B21="","",'01_인적정보'!E21)</f>
        <v/>
      </c>
      <c r="E79" s="113">
        <f>IF('01_인적정보'!B21="","",'01_인적정보'!H21)</f>
        <v/>
      </c>
      <c r="F79" s="120">
        <f>IF('01_인적정보'!B21="","",'01_인적정보'!L21)</f>
        <v/>
      </c>
      <c r="G79" s="114">
        <f>IF('01_인적정보'!B21="","",'07b_하반기입력'!K21)</f>
        <v/>
      </c>
      <c r="H79" s="114">
        <f>IF('01_인적정보'!B21="","",'07b_하반기입력'!L21)</f>
        <v/>
      </c>
      <c r="I79" s="115">
        <f>IFERROR(IF(AND(G79&lt;&gt;"",H79&lt;&gt;""),'02_의사결정·종합결과'!$B$67*IFERROR(CHOOSE(FIND(G79,"DCBAS"),1,2,3,4,5),0)+'02_의사결정·종합결과'!$B$68*IFERROR(CHOOSE(FIND(H79,"DCBAS"),1,2,3,4,5),0),IF(G79&lt;&gt;"",IFERROR(CHOOSE(FIND(G79,"DCBAS"),1,2,3,4,5),0),IF(H79&lt;&gt;"",IFERROR(CHOOSE(FIND(H79,"DCBAS"),1,2,3,4,5),0),""))),"")</f>
        <v/>
      </c>
      <c r="J79" s="116">
        <f>IF(I79="","",IF(I79&gt;=4.5,"S",IF(I79&gt;=3.5,"A",IF(I79&gt;=2.5,"B",IF(I79&gt;=1.5,"C","D")))))</f>
        <v/>
      </c>
      <c r="K79" s="118" t="n"/>
      <c r="L79" s="107" t="n"/>
      <c r="M79" s="107" t="n"/>
      <c r="N79" s="107" t="n"/>
      <c r="O79" s="107" t="n"/>
      <c r="P79" s="107" t="n"/>
      <c r="Q79" s="107" t="n"/>
      <c r="R79" s="107" t="n"/>
      <c r="S79" s="107" t="n"/>
      <c r="T79" s="107" t="n"/>
      <c r="U79" s="107" t="n"/>
    </row>
    <row r="80" ht="22" customHeight="1" s="86">
      <c r="A80" s="111">
        <f>IF('01_인적정보'!B22="","",'01_인적정보'!A22)</f>
        <v/>
      </c>
      <c r="B80" s="111">
        <f>IF('01_인적정보'!B22="","",'01_인적정보'!B22)</f>
        <v/>
      </c>
      <c r="C80" s="112">
        <f>IF('01_인적정보'!B22="","",'01_인적정보'!C22)</f>
        <v/>
      </c>
      <c r="D80" s="112">
        <f>IF('01_인적정보'!B22="","",'01_인적정보'!E22)</f>
        <v/>
      </c>
      <c r="E80" s="113">
        <f>IF('01_인적정보'!B22="","",'01_인적정보'!H22)</f>
        <v/>
      </c>
      <c r="F80" s="120">
        <f>IF('01_인적정보'!B22="","",'01_인적정보'!L22)</f>
        <v/>
      </c>
      <c r="G80" s="114">
        <f>IF('01_인적정보'!B22="","",'07b_하반기입력'!K22)</f>
        <v/>
      </c>
      <c r="H80" s="114">
        <f>IF('01_인적정보'!B22="","",'07b_하반기입력'!L22)</f>
        <v/>
      </c>
      <c r="I80" s="115">
        <f>IFERROR(IF(AND(G80&lt;&gt;"",H80&lt;&gt;""),'02_의사결정·종합결과'!$B$67*IFERROR(CHOOSE(FIND(G80,"DCBAS"),1,2,3,4,5),0)+'02_의사결정·종합결과'!$B$68*IFERROR(CHOOSE(FIND(H80,"DCBAS"),1,2,3,4,5),0),IF(G80&lt;&gt;"",IFERROR(CHOOSE(FIND(G80,"DCBAS"),1,2,3,4,5),0),IF(H80&lt;&gt;"",IFERROR(CHOOSE(FIND(H80,"DCBAS"),1,2,3,4,5),0),""))),"")</f>
        <v/>
      </c>
      <c r="J80" s="116">
        <f>IF(I80="","",IF(I80&gt;=4.5,"S",IF(I80&gt;=3.5,"A",IF(I80&gt;=2.5,"B",IF(I80&gt;=1.5,"C","D")))))</f>
        <v/>
      </c>
      <c r="K80" s="118" t="n"/>
      <c r="L80" s="107" t="n"/>
      <c r="M80" s="107" t="n"/>
      <c r="N80" s="107" t="n"/>
      <c r="O80" s="107" t="n"/>
      <c r="P80" s="107" t="n"/>
      <c r="Q80" s="107" t="n"/>
      <c r="R80" s="107" t="n"/>
      <c r="S80" s="107" t="n"/>
      <c r="T80" s="107" t="n"/>
      <c r="U80" s="107" t="n"/>
    </row>
    <row r="81" ht="22" customHeight="1" s="86">
      <c r="A81" s="111">
        <f>IF('01_인적정보'!B23="","",'01_인적정보'!A23)</f>
        <v/>
      </c>
      <c r="B81" s="111">
        <f>IF('01_인적정보'!B23="","",'01_인적정보'!B23)</f>
        <v/>
      </c>
      <c r="C81" s="112">
        <f>IF('01_인적정보'!B23="","",'01_인적정보'!C23)</f>
        <v/>
      </c>
      <c r="D81" s="112">
        <f>IF('01_인적정보'!B23="","",'01_인적정보'!E23)</f>
        <v/>
      </c>
      <c r="E81" s="113">
        <f>IF('01_인적정보'!B23="","",'01_인적정보'!H23)</f>
        <v/>
      </c>
      <c r="F81" s="120">
        <f>IF('01_인적정보'!B23="","",'01_인적정보'!L23)</f>
        <v/>
      </c>
      <c r="G81" s="114">
        <f>IF('01_인적정보'!B23="","",'07b_하반기입력'!K23)</f>
        <v/>
      </c>
      <c r="H81" s="114">
        <f>IF('01_인적정보'!B23="","",'07b_하반기입력'!L23)</f>
        <v/>
      </c>
      <c r="I81" s="115">
        <f>IFERROR(IF(AND(G81&lt;&gt;"",H81&lt;&gt;""),'02_의사결정·종합결과'!$B$67*IFERROR(CHOOSE(FIND(G81,"DCBAS"),1,2,3,4,5),0)+'02_의사결정·종합결과'!$B$68*IFERROR(CHOOSE(FIND(H81,"DCBAS"),1,2,3,4,5),0),IF(G81&lt;&gt;"",IFERROR(CHOOSE(FIND(G81,"DCBAS"),1,2,3,4,5),0),IF(H81&lt;&gt;"",IFERROR(CHOOSE(FIND(H81,"DCBAS"),1,2,3,4,5),0),""))),"")</f>
        <v/>
      </c>
      <c r="J81" s="116">
        <f>IF(I81="","",IF(I81&gt;=4.5,"S",IF(I81&gt;=3.5,"A",IF(I81&gt;=2.5,"B",IF(I81&gt;=1.5,"C","D")))))</f>
        <v/>
      </c>
      <c r="K81" s="118" t="n"/>
      <c r="L81" s="107" t="n"/>
      <c r="M81" s="107" t="n"/>
      <c r="N81" s="107" t="n"/>
      <c r="O81" s="107" t="n"/>
      <c r="P81" s="107" t="n"/>
      <c r="Q81" s="107" t="n"/>
      <c r="R81" s="107" t="n"/>
      <c r="S81" s="107" t="n"/>
      <c r="T81" s="107" t="n"/>
      <c r="U81" s="107" t="n"/>
    </row>
    <row r="82" ht="22" customHeight="1" s="86">
      <c r="A82" s="111">
        <f>IF('01_인적정보'!B24="","",'01_인적정보'!A24)</f>
        <v/>
      </c>
      <c r="B82" s="111">
        <f>IF('01_인적정보'!B24="","",'01_인적정보'!B24)</f>
        <v/>
      </c>
      <c r="C82" s="112">
        <f>IF('01_인적정보'!B24="","",'01_인적정보'!C24)</f>
        <v/>
      </c>
      <c r="D82" s="112">
        <f>IF('01_인적정보'!B24="","",'01_인적정보'!E24)</f>
        <v/>
      </c>
      <c r="E82" s="113">
        <f>IF('01_인적정보'!B24="","",'01_인적정보'!H24)</f>
        <v/>
      </c>
      <c r="F82" s="120">
        <f>IF('01_인적정보'!B24="","",'01_인적정보'!L24)</f>
        <v/>
      </c>
      <c r="G82" s="114">
        <f>IF('01_인적정보'!B24="","",'07b_하반기입력'!K24)</f>
        <v/>
      </c>
      <c r="H82" s="114">
        <f>IF('01_인적정보'!B24="","",'07b_하반기입력'!L24)</f>
        <v/>
      </c>
      <c r="I82" s="115">
        <f>IFERROR(IF(AND(G82&lt;&gt;"",H82&lt;&gt;""),'02_의사결정·종합결과'!$B$67*IFERROR(CHOOSE(FIND(G82,"DCBAS"),1,2,3,4,5),0)+'02_의사결정·종합결과'!$B$68*IFERROR(CHOOSE(FIND(H82,"DCBAS"),1,2,3,4,5),0),IF(G82&lt;&gt;"",IFERROR(CHOOSE(FIND(G82,"DCBAS"),1,2,3,4,5),0),IF(H82&lt;&gt;"",IFERROR(CHOOSE(FIND(H82,"DCBAS"),1,2,3,4,5),0),""))),"")</f>
        <v/>
      </c>
      <c r="J82" s="116">
        <f>IF(I82="","",IF(I82&gt;=4.5,"S",IF(I82&gt;=3.5,"A",IF(I82&gt;=2.5,"B",IF(I82&gt;=1.5,"C","D")))))</f>
        <v/>
      </c>
      <c r="K82" s="118" t="n"/>
      <c r="L82" s="107" t="n"/>
      <c r="M82" s="107" t="n"/>
      <c r="N82" s="107" t="n"/>
      <c r="O82" s="107" t="n"/>
      <c r="P82" s="107" t="n"/>
      <c r="Q82" s="107" t="n"/>
      <c r="R82" s="107" t="n"/>
      <c r="S82" s="107" t="n"/>
      <c r="T82" s="107" t="n"/>
      <c r="U82" s="107" t="n"/>
    </row>
    <row r="83" ht="22" customHeight="1" s="86">
      <c r="A83" s="111">
        <f>IF('01_인적정보'!B25="","",'01_인적정보'!A25)</f>
        <v/>
      </c>
      <c r="B83" s="111">
        <f>IF('01_인적정보'!B25="","",'01_인적정보'!B25)</f>
        <v/>
      </c>
      <c r="C83" s="112">
        <f>IF('01_인적정보'!B25="","",'01_인적정보'!C25)</f>
        <v/>
      </c>
      <c r="D83" s="112">
        <f>IF('01_인적정보'!B25="","",'01_인적정보'!E25)</f>
        <v/>
      </c>
      <c r="E83" s="113">
        <f>IF('01_인적정보'!B25="","",'01_인적정보'!H25)</f>
        <v/>
      </c>
      <c r="F83" s="120">
        <f>IF('01_인적정보'!B25="","",'01_인적정보'!L25)</f>
        <v/>
      </c>
      <c r="G83" s="114">
        <f>IF('01_인적정보'!B25="","",'07b_하반기입력'!K25)</f>
        <v/>
      </c>
      <c r="H83" s="114">
        <f>IF('01_인적정보'!B25="","",'07b_하반기입력'!L25)</f>
        <v/>
      </c>
      <c r="I83" s="115">
        <f>IFERROR(IF(AND(G83&lt;&gt;"",H83&lt;&gt;""),'02_의사결정·종합결과'!$B$67*IFERROR(CHOOSE(FIND(G83,"DCBAS"),1,2,3,4,5),0)+'02_의사결정·종합결과'!$B$68*IFERROR(CHOOSE(FIND(H83,"DCBAS"),1,2,3,4,5),0),IF(G83&lt;&gt;"",IFERROR(CHOOSE(FIND(G83,"DCBAS"),1,2,3,4,5),0),IF(H83&lt;&gt;"",IFERROR(CHOOSE(FIND(H83,"DCBAS"),1,2,3,4,5),0),""))),"")</f>
        <v/>
      </c>
      <c r="J83" s="116">
        <f>IF(I83="","",IF(I83&gt;=4.5,"S",IF(I83&gt;=3.5,"A",IF(I83&gt;=2.5,"B",IF(I83&gt;=1.5,"C","D")))))</f>
        <v/>
      </c>
      <c r="K83" s="118" t="n"/>
      <c r="L83" s="107" t="n"/>
      <c r="M83" s="107" t="n"/>
      <c r="N83" s="107" t="n"/>
      <c r="O83" s="107" t="n"/>
      <c r="P83" s="107" t="n"/>
      <c r="Q83" s="107" t="n"/>
      <c r="R83" s="107" t="n"/>
      <c r="S83" s="107" t="n"/>
      <c r="T83" s="107" t="n"/>
      <c r="U83" s="107" t="n"/>
    </row>
    <row r="84" ht="22" customHeight="1" s="86">
      <c r="A84" s="111">
        <f>IF('01_인적정보'!B26="","",'01_인적정보'!A26)</f>
        <v/>
      </c>
      <c r="B84" s="111">
        <f>IF('01_인적정보'!B26="","",'01_인적정보'!B26)</f>
        <v/>
      </c>
      <c r="C84" s="112">
        <f>IF('01_인적정보'!B26="","",'01_인적정보'!C26)</f>
        <v/>
      </c>
      <c r="D84" s="112">
        <f>IF('01_인적정보'!B26="","",'01_인적정보'!E26)</f>
        <v/>
      </c>
      <c r="E84" s="113">
        <f>IF('01_인적정보'!B26="","",'01_인적정보'!H26)</f>
        <v/>
      </c>
      <c r="F84" s="120">
        <f>IF('01_인적정보'!B26="","",'01_인적정보'!L26)</f>
        <v/>
      </c>
      <c r="G84" s="114">
        <f>IF('01_인적정보'!B26="","",'07b_하반기입력'!K26)</f>
        <v/>
      </c>
      <c r="H84" s="114">
        <f>IF('01_인적정보'!B26="","",'07b_하반기입력'!L26)</f>
        <v/>
      </c>
      <c r="I84" s="115">
        <f>IFERROR(IF(AND(G84&lt;&gt;"",H84&lt;&gt;""),'02_의사결정·종합결과'!$B$67*IFERROR(CHOOSE(FIND(G84,"DCBAS"),1,2,3,4,5),0)+'02_의사결정·종합결과'!$B$68*IFERROR(CHOOSE(FIND(H84,"DCBAS"),1,2,3,4,5),0),IF(G84&lt;&gt;"",IFERROR(CHOOSE(FIND(G84,"DCBAS"),1,2,3,4,5),0),IF(H84&lt;&gt;"",IFERROR(CHOOSE(FIND(H84,"DCBAS"),1,2,3,4,5),0),""))),"")</f>
        <v/>
      </c>
      <c r="J84" s="116">
        <f>IF(I84="","",IF(I84&gt;=4.5,"S",IF(I84&gt;=3.5,"A",IF(I84&gt;=2.5,"B",IF(I84&gt;=1.5,"C","D")))))</f>
        <v/>
      </c>
      <c r="K84" s="118" t="n"/>
      <c r="L84" s="107" t="n"/>
      <c r="M84" s="107" t="n"/>
      <c r="N84" s="107" t="n"/>
      <c r="O84" s="107" t="n"/>
      <c r="P84" s="107" t="n"/>
      <c r="Q84" s="107" t="n"/>
      <c r="R84" s="107" t="n"/>
      <c r="S84" s="107" t="n"/>
      <c r="T84" s="107" t="n"/>
      <c r="U84" s="107" t="n"/>
    </row>
    <row r="85" ht="22" customHeight="1" s="86">
      <c r="A85" s="111">
        <f>IF('01_인적정보'!B27="","",'01_인적정보'!A27)</f>
        <v/>
      </c>
      <c r="B85" s="111">
        <f>IF('01_인적정보'!B27="","",'01_인적정보'!B27)</f>
        <v/>
      </c>
      <c r="C85" s="112">
        <f>IF('01_인적정보'!B27="","",'01_인적정보'!C27)</f>
        <v/>
      </c>
      <c r="D85" s="112">
        <f>IF('01_인적정보'!B27="","",'01_인적정보'!E27)</f>
        <v/>
      </c>
      <c r="E85" s="113">
        <f>IF('01_인적정보'!B27="","",'01_인적정보'!H27)</f>
        <v/>
      </c>
      <c r="F85" s="120">
        <f>IF('01_인적정보'!B27="","",'01_인적정보'!L27)</f>
        <v/>
      </c>
      <c r="G85" s="114">
        <f>IF('01_인적정보'!B27="","",'07b_하반기입력'!K27)</f>
        <v/>
      </c>
      <c r="H85" s="114">
        <f>IF('01_인적정보'!B27="","",'07b_하반기입력'!L27)</f>
        <v/>
      </c>
      <c r="I85" s="115">
        <f>IFERROR(IF(AND(G85&lt;&gt;"",H85&lt;&gt;""),'02_의사결정·종합결과'!$B$67*IFERROR(CHOOSE(FIND(G85,"DCBAS"),1,2,3,4,5),0)+'02_의사결정·종합결과'!$B$68*IFERROR(CHOOSE(FIND(H85,"DCBAS"),1,2,3,4,5),0),IF(G85&lt;&gt;"",IFERROR(CHOOSE(FIND(G85,"DCBAS"),1,2,3,4,5),0),IF(H85&lt;&gt;"",IFERROR(CHOOSE(FIND(H85,"DCBAS"),1,2,3,4,5),0),""))),"")</f>
        <v/>
      </c>
      <c r="J85" s="116">
        <f>IF(I85="","",IF(I85&gt;=4.5,"S",IF(I85&gt;=3.5,"A",IF(I85&gt;=2.5,"B",IF(I85&gt;=1.5,"C","D")))))</f>
        <v/>
      </c>
      <c r="K85" s="107" t="n"/>
      <c r="L85" s="107" t="n"/>
      <c r="M85" s="107" t="n"/>
      <c r="N85" s="107" t="n"/>
      <c r="O85" s="107" t="n"/>
      <c r="P85" s="107" t="n"/>
      <c r="Q85" s="107" t="n"/>
      <c r="R85" s="107" t="n"/>
      <c r="S85" s="107" t="n"/>
      <c r="T85" s="107" t="n"/>
      <c r="U85" s="107" t="n"/>
    </row>
    <row r="86" ht="22" customHeight="1" s="86">
      <c r="A86" s="111">
        <f>IF('01_인적정보'!B28="","",'01_인적정보'!A28)</f>
        <v/>
      </c>
      <c r="B86" s="111">
        <f>IF('01_인적정보'!B28="","",'01_인적정보'!B28)</f>
        <v/>
      </c>
      <c r="C86" s="112">
        <f>IF('01_인적정보'!B28="","",'01_인적정보'!C28)</f>
        <v/>
      </c>
      <c r="D86" s="112">
        <f>IF('01_인적정보'!B28="","",'01_인적정보'!E28)</f>
        <v/>
      </c>
      <c r="E86" s="113">
        <f>IF('01_인적정보'!B28="","",'01_인적정보'!H28)</f>
        <v/>
      </c>
      <c r="F86" s="120">
        <f>IF('01_인적정보'!B28="","",'01_인적정보'!L28)</f>
        <v/>
      </c>
      <c r="G86" s="114">
        <f>IF('01_인적정보'!B28="","",'07b_하반기입력'!K28)</f>
        <v/>
      </c>
      <c r="H86" s="114">
        <f>IF('01_인적정보'!B28="","",'07b_하반기입력'!L28)</f>
        <v/>
      </c>
      <c r="I86" s="115">
        <f>IFERROR(IF(AND(G86&lt;&gt;"",H86&lt;&gt;""),'02_의사결정·종합결과'!$B$67*IFERROR(CHOOSE(FIND(G86,"DCBAS"),1,2,3,4,5),0)+'02_의사결정·종합결과'!$B$68*IFERROR(CHOOSE(FIND(H86,"DCBAS"),1,2,3,4,5),0),IF(G86&lt;&gt;"",IFERROR(CHOOSE(FIND(G86,"DCBAS"),1,2,3,4,5),0),IF(H86&lt;&gt;"",IFERROR(CHOOSE(FIND(H86,"DCBAS"),1,2,3,4,5),0),""))),"")</f>
        <v/>
      </c>
      <c r="J86" s="116">
        <f>IF(I86="","",IF(I86&gt;=4.5,"S",IF(I86&gt;=3.5,"A",IF(I86&gt;=2.5,"B",IF(I86&gt;=1.5,"C","D")))))</f>
        <v/>
      </c>
      <c r="K86" s="107" t="n"/>
      <c r="L86" s="107" t="n"/>
      <c r="M86" s="107" t="n"/>
      <c r="N86" s="107" t="n"/>
      <c r="O86" s="107" t="n"/>
      <c r="P86" s="107" t="n"/>
      <c r="Q86" s="107" t="n"/>
      <c r="R86" s="107" t="n"/>
      <c r="S86" s="107" t="n"/>
      <c r="T86" s="107" t="n"/>
      <c r="U86" s="107" t="n"/>
    </row>
    <row r="87" ht="22" customHeight="1" s="86">
      <c r="A87" s="111">
        <f>IF('01_인적정보'!B29="","",'01_인적정보'!A29)</f>
        <v/>
      </c>
      <c r="B87" s="111">
        <f>IF('01_인적정보'!B29="","",'01_인적정보'!B29)</f>
        <v/>
      </c>
      <c r="C87" s="112">
        <f>IF('01_인적정보'!B29="","",'01_인적정보'!C29)</f>
        <v/>
      </c>
      <c r="D87" s="112">
        <f>IF('01_인적정보'!B29="","",'01_인적정보'!E29)</f>
        <v/>
      </c>
      <c r="E87" s="113">
        <f>IF('01_인적정보'!B29="","",'01_인적정보'!H29)</f>
        <v/>
      </c>
      <c r="F87" s="120">
        <f>IF('01_인적정보'!B29="","",'01_인적정보'!L29)</f>
        <v/>
      </c>
      <c r="G87" s="114">
        <f>IF('01_인적정보'!B29="","",'07b_하반기입력'!K29)</f>
        <v/>
      </c>
      <c r="H87" s="114">
        <f>IF('01_인적정보'!B29="","",'07b_하반기입력'!L29)</f>
        <v/>
      </c>
      <c r="I87" s="115">
        <f>IFERROR(IF(AND(G87&lt;&gt;"",H87&lt;&gt;""),'02_의사결정·종합결과'!$B$67*IFERROR(CHOOSE(FIND(G87,"DCBAS"),1,2,3,4,5),0)+'02_의사결정·종합결과'!$B$68*IFERROR(CHOOSE(FIND(H87,"DCBAS"),1,2,3,4,5),0),IF(G87&lt;&gt;"",IFERROR(CHOOSE(FIND(G87,"DCBAS"),1,2,3,4,5),0),IF(H87&lt;&gt;"",IFERROR(CHOOSE(FIND(H87,"DCBAS"),1,2,3,4,5),0),""))),"")</f>
        <v/>
      </c>
      <c r="J87" s="116">
        <f>IF(I87="","",IF(I87&gt;=4.5,"S",IF(I87&gt;=3.5,"A",IF(I87&gt;=2.5,"B",IF(I87&gt;=1.5,"C","D")))))</f>
        <v/>
      </c>
      <c r="K87" s="107" t="n"/>
      <c r="L87" s="107" t="n"/>
      <c r="M87" s="107" t="n"/>
      <c r="N87" s="107" t="n"/>
      <c r="O87" s="107" t="n"/>
      <c r="P87" s="107" t="n"/>
      <c r="Q87" s="107" t="n"/>
      <c r="R87" s="107" t="n"/>
      <c r="S87" s="107" t="n"/>
      <c r="T87" s="107" t="n"/>
      <c r="U87" s="107" t="n"/>
    </row>
    <row r="88" ht="22" customHeight="1" s="86">
      <c r="A88" s="111">
        <f>IF('01_인적정보'!B30="","",'01_인적정보'!A30)</f>
        <v/>
      </c>
      <c r="B88" s="111">
        <f>IF('01_인적정보'!B30="","",'01_인적정보'!B30)</f>
        <v/>
      </c>
      <c r="C88" s="112">
        <f>IF('01_인적정보'!B30="","",'01_인적정보'!C30)</f>
        <v/>
      </c>
      <c r="D88" s="112">
        <f>IF('01_인적정보'!B30="","",'01_인적정보'!E30)</f>
        <v/>
      </c>
      <c r="E88" s="113">
        <f>IF('01_인적정보'!B30="","",'01_인적정보'!H30)</f>
        <v/>
      </c>
      <c r="F88" s="120">
        <f>IF('01_인적정보'!B30="","",'01_인적정보'!L30)</f>
        <v/>
      </c>
      <c r="G88" s="114">
        <f>IF('01_인적정보'!B30="","",'07b_하반기입력'!K30)</f>
        <v/>
      </c>
      <c r="H88" s="114">
        <f>IF('01_인적정보'!B30="","",'07b_하반기입력'!L30)</f>
        <v/>
      </c>
      <c r="I88" s="115">
        <f>IFERROR(IF(AND(G88&lt;&gt;"",H88&lt;&gt;""),'02_의사결정·종합결과'!$B$67*IFERROR(CHOOSE(FIND(G88,"DCBAS"),1,2,3,4,5),0)+'02_의사결정·종합결과'!$B$68*IFERROR(CHOOSE(FIND(H88,"DCBAS"),1,2,3,4,5),0),IF(G88&lt;&gt;"",IFERROR(CHOOSE(FIND(G88,"DCBAS"),1,2,3,4,5),0),IF(H88&lt;&gt;"",IFERROR(CHOOSE(FIND(H88,"DCBAS"),1,2,3,4,5),0),""))),"")</f>
        <v/>
      </c>
      <c r="J88" s="116">
        <f>IF(I88="","",IF(I88&gt;=4.5,"S",IF(I88&gt;=3.5,"A",IF(I88&gt;=2.5,"B",IF(I88&gt;=1.5,"C","D")))))</f>
        <v/>
      </c>
      <c r="K88" s="107" t="n"/>
      <c r="L88" s="107" t="n"/>
      <c r="M88" s="107" t="n"/>
      <c r="N88" s="107" t="n"/>
      <c r="O88" s="107" t="n"/>
      <c r="P88" s="107" t="n"/>
      <c r="Q88" s="107" t="n"/>
      <c r="R88" s="107" t="n"/>
      <c r="S88" s="107" t="n"/>
      <c r="T88" s="107" t="n"/>
      <c r="U88" s="107" t="n"/>
    </row>
    <row r="89" ht="22" customHeight="1" s="86">
      <c r="A89" s="111">
        <f>IF('01_인적정보'!B31="","",'01_인적정보'!A31)</f>
        <v/>
      </c>
      <c r="B89" s="111">
        <f>IF('01_인적정보'!B31="","",'01_인적정보'!B31)</f>
        <v/>
      </c>
      <c r="C89" s="112">
        <f>IF('01_인적정보'!B31="","",'01_인적정보'!C31)</f>
        <v/>
      </c>
      <c r="D89" s="112">
        <f>IF('01_인적정보'!B31="","",'01_인적정보'!E31)</f>
        <v/>
      </c>
      <c r="E89" s="113">
        <f>IF('01_인적정보'!B31="","",'01_인적정보'!H31)</f>
        <v/>
      </c>
      <c r="F89" s="120">
        <f>IF('01_인적정보'!B31="","",'01_인적정보'!L31)</f>
        <v/>
      </c>
      <c r="G89" s="114">
        <f>IF('01_인적정보'!B31="","",'07b_하반기입력'!K31)</f>
        <v/>
      </c>
      <c r="H89" s="114">
        <f>IF('01_인적정보'!B31="","",'07b_하반기입력'!L31)</f>
        <v/>
      </c>
      <c r="I89" s="115">
        <f>IFERROR(IF(AND(G89&lt;&gt;"",H89&lt;&gt;""),'02_의사결정·종합결과'!$B$67*IFERROR(CHOOSE(FIND(G89,"DCBAS"),1,2,3,4,5),0)+'02_의사결정·종합결과'!$B$68*IFERROR(CHOOSE(FIND(H89,"DCBAS"),1,2,3,4,5),0),IF(G89&lt;&gt;"",IFERROR(CHOOSE(FIND(G89,"DCBAS"),1,2,3,4,5),0),IF(H89&lt;&gt;"",IFERROR(CHOOSE(FIND(H89,"DCBAS"),1,2,3,4,5),0),""))),"")</f>
        <v/>
      </c>
      <c r="J89" s="116">
        <f>IF(I89="","",IF(I89&gt;=4.5,"S",IF(I89&gt;=3.5,"A",IF(I89&gt;=2.5,"B",IF(I89&gt;=1.5,"C","D")))))</f>
        <v/>
      </c>
      <c r="K89" s="107" t="n"/>
      <c r="L89" s="107" t="n"/>
      <c r="M89" s="107" t="n"/>
      <c r="N89" s="107" t="n"/>
      <c r="O89" s="107" t="n"/>
      <c r="P89" s="107" t="n"/>
      <c r="Q89" s="107" t="n"/>
      <c r="R89" s="107" t="n"/>
      <c r="S89" s="107" t="n"/>
      <c r="T89" s="107" t="n"/>
      <c r="U89" s="107" t="n"/>
    </row>
    <row r="90" ht="22" customHeight="1" s="86">
      <c r="A90" s="111">
        <f>IF('01_인적정보'!B32="","",'01_인적정보'!A32)</f>
        <v/>
      </c>
      <c r="B90" s="111">
        <f>IF('01_인적정보'!B32="","",'01_인적정보'!B32)</f>
        <v/>
      </c>
      <c r="C90" s="112">
        <f>IF('01_인적정보'!B32="","",'01_인적정보'!C32)</f>
        <v/>
      </c>
      <c r="D90" s="112">
        <f>IF('01_인적정보'!B32="","",'01_인적정보'!E32)</f>
        <v/>
      </c>
      <c r="E90" s="113">
        <f>IF('01_인적정보'!B32="","",'01_인적정보'!H32)</f>
        <v/>
      </c>
      <c r="F90" s="120">
        <f>IF('01_인적정보'!B32="","",'01_인적정보'!L32)</f>
        <v/>
      </c>
      <c r="G90" s="114">
        <f>IF('01_인적정보'!B32="","",'07b_하반기입력'!K32)</f>
        <v/>
      </c>
      <c r="H90" s="114">
        <f>IF('01_인적정보'!B32="","",'07b_하반기입력'!L32)</f>
        <v/>
      </c>
      <c r="I90" s="115">
        <f>IFERROR(IF(AND(G90&lt;&gt;"",H90&lt;&gt;""),'02_의사결정·종합결과'!$B$67*IFERROR(CHOOSE(FIND(G90,"DCBAS"),1,2,3,4,5),0)+'02_의사결정·종합결과'!$B$68*IFERROR(CHOOSE(FIND(H90,"DCBAS"),1,2,3,4,5),0),IF(G90&lt;&gt;"",IFERROR(CHOOSE(FIND(G90,"DCBAS"),1,2,3,4,5),0),IF(H90&lt;&gt;"",IFERROR(CHOOSE(FIND(H90,"DCBAS"),1,2,3,4,5),0),""))),"")</f>
        <v/>
      </c>
      <c r="J90" s="116">
        <f>IF(I90="","",IF(I90&gt;=4.5,"S",IF(I90&gt;=3.5,"A",IF(I90&gt;=2.5,"B",IF(I90&gt;=1.5,"C","D")))))</f>
        <v/>
      </c>
      <c r="K90" s="107" t="n"/>
      <c r="L90" s="107" t="n"/>
      <c r="M90" s="107" t="n"/>
      <c r="N90" s="107" t="n"/>
      <c r="O90" s="107" t="n"/>
      <c r="P90" s="107" t="n"/>
      <c r="Q90" s="107" t="n"/>
      <c r="R90" s="107" t="n"/>
      <c r="S90" s="107" t="n"/>
      <c r="T90" s="107" t="n"/>
      <c r="U90" s="107" t="n"/>
    </row>
    <row r="91" ht="22" customHeight="1" s="86">
      <c r="A91" s="111">
        <f>IF('01_인적정보'!B33="","",'01_인적정보'!A33)</f>
        <v/>
      </c>
      <c r="B91" s="111">
        <f>IF('01_인적정보'!B33="","",'01_인적정보'!B33)</f>
        <v/>
      </c>
      <c r="C91" s="112">
        <f>IF('01_인적정보'!B33="","",'01_인적정보'!C33)</f>
        <v/>
      </c>
      <c r="D91" s="112">
        <f>IF('01_인적정보'!B33="","",'01_인적정보'!E33)</f>
        <v/>
      </c>
      <c r="E91" s="113">
        <f>IF('01_인적정보'!B33="","",'01_인적정보'!H33)</f>
        <v/>
      </c>
      <c r="F91" s="120">
        <f>IF('01_인적정보'!B33="","",'01_인적정보'!L33)</f>
        <v/>
      </c>
      <c r="G91" s="114">
        <f>IF('01_인적정보'!B33="","",'07b_하반기입력'!K33)</f>
        <v/>
      </c>
      <c r="H91" s="114">
        <f>IF('01_인적정보'!B33="","",'07b_하반기입력'!L33)</f>
        <v/>
      </c>
      <c r="I91" s="115">
        <f>IFERROR(IF(AND(G91&lt;&gt;"",H91&lt;&gt;""),'02_의사결정·종합결과'!$B$67*IFERROR(CHOOSE(FIND(G91,"DCBAS"),1,2,3,4,5),0)+'02_의사결정·종합결과'!$B$68*IFERROR(CHOOSE(FIND(H91,"DCBAS"),1,2,3,4,5),0),IF(G91&lt;&gt;"",IFERROR(CHOOSE(FIND(G91,"DCBAS"),1,2,3,4,5),0),IF(H91&lt;&gt;"",IFERROR(CHOOSE(FIND(H91,"DCBAS"),1,2,3,4,5),0),""))),"")</f>
        <v/>
      </c>
      <c r="J91" s="116">
        <f>IF(I91="","",IF(I91&gt;=4.5,"S",IF(I91&gt;=3.5,"A",IF(I91&gt;=2.5,"B",IF(I91&gt;=1.5,"C","D")))))</f>
        <v/>
      </c>
      <c r="K91" s="107" t="n"/>
      <c r="L91" s="107" t="n"/>
      <c r="M91" s="107" t="n"/>
      <c r="N91" s="107" t="n"/>
      <c r="O91" s="107" t="n"/>
      <c r="P91" s="107" t="n"/>
      <c r="Q91" s="107" t="n"/>
      <c r="R91" s="107" t="n"/>
      <c r="S91" s="107" t="n"/>
      <c r="T91" s="107" t="n"/>
      <c r="U91" s="107" t="n"/>
    </row>
    <row r="92" ht="22" customHeight="1" s="86">
      <c r="A92" s="111">
        <f>IF('01_인적정보'!B34="","",'01_인적정보'!A34)</f>
        <v/>
      </c>
      <c r="B92" s="111">
        <f>IF('01_인적정보'!B34="","",'01_인적정보'!B34)</f>
        <v/>
      </c>
      <c r="C92" s="112">
        <f>IF('01_인적정보'!B34="","",'01_인적정보'!C34)</f>
        <v/>
      </c>
      <c r="D92" s="112">
        <f>IF('01_인적정보'!B34="","",'01_인적정보'!E34)</f>
        <v/>
      </c>
      <c r="E92" s="113">
        <f>IF('01_인적정보'!B34="","",'01_인적정보'!H34)</f>
        <v/>
      </c>
      <c r="F92" s="120">
        <f>IF('01_인적정보'!B34="","",'01_인적정보'!L34)</f>
        <v/>
      </c>
      <c r="G92" s="114">
        <f>IF('01_인적정보'!B34="","",'07b_하반기입력'!K34)</f>
        <v/>
      </c>
      <c r="H92" s="114">
        <f>IF('01_인적정보'!B34="","",'07b_하반기입력'!L34)</f>
        <v/>
      </c>
      <c r="I92" s="115">
        <f>IFERROR(IF(AND(G92&lt;&gt;"",H92&lt;&gt;""),'02_의사결정·종합결과'!$B$67*IFERROR(CHOOSE(FIND(G92,"DCBAS"),1,2,3,4,5),0)+'02_의사결정·종합결과'!$B$68*IFERROR(CHOOSE(FIND(H92,"DCBAS"),1,2,3,4,5),0),IF(G92&lt;&gt;"",IFERROR(CHOOSE(FIND(G92,"DCBAS"),1,2,3,4,5),0),IF(H92&lt;&gt;"",IFERROR(CHOOSE(FIND(H92,"DCBAS"),1,2,3,4,5),0),""))),"")</f>
        <v/>
      </c>
      <c r="J92" s="116">
        <f>IF(I92="","",IF(I92&gt;=4.5,"S",IF(I92&gt;=3.5,"A",IF(I92&gt;=2.5,"B",IF(I92&gt;=1.5,"C","D")))))</f>
        <v/>
      </c>
      <c r="K92" s="107" t="n"/>
      <c r="L92" s="107" t="n"/>
      <c r="M92" s="107" t="n"/>
      <c r="N92" s="107" t="n"/>
      <c r="O92" s="107" t="n"/>
      <c r="P92" s="107" t="n"/>
      <c r="Q92" s="107" t="n"/>
      <c r="R92" s="107" t="n"/>
      <c r="S92" s="107" t="n"/>
      <c r="T92" s="107" t="n"/>
      <c r="U92" s="107" t="n"/>
    </row>
    <row r="93" ht="22" customHeight="1" s="86">
      <c r="A93" s="111">
        <f>IF('01_인적정보'!B35="","",'01_인적정보'!A35)</f>
        <v/>
      </c>
      <c r="B93" s="111">
        <f>IF('01_인적정보'!B35="","",'01_인적정보'!B35)</f>
        <v/>
      </c>
      <c r="C93" s="112">
        <f>IF('01_인적정보'!B35="","",'01_인적정보'!C35)</f>
        <v/>
      </c>
      <c r="D93" s="112">
        <f>IF('01_인적정보'!B35="","",'01_인적정보'!E35)</f>
        <v/>
      </c>
      <c r="E93" s="113">
        <f>IF('01_인적정보'!B35="","",'01_인적정보'!H35)</f>
        <v/>
      </c>
      <c r="F93" s="120">
        <f>IF('01_인적정보'!B35="","",'01_인적정보'!L35)</f>
        <v/>
      </c>
      <c r="G93" s="114">
        <f>IF('01_인적정보'!B35="","",'07b_하반기입력'!K35)</f>
        <v/>
      </c>
      <c r="H93" s="114">
        <f>IF('01_인적정보'!B35="","",'07b_하반기입력'!L35)</f>
        <v/>
      </c>
      <c r="I93" s="115">
        <f>IFERROR(IF(AND(G93&lt;&gt;"",H93&lt;&gt;""),'02_의사결정·종합결과'!$B$67*IFERROR(CHOOSE(FIND(G93,"DCBAS"),1,2,3,4,5),0)+'02_의사결정·종합결과'!$B$68*IFERROR(CHOOSE(FIND(H93,"DCBAS"),1,2,3,4,5),0),IF(G93&lt;&gt;"",IFERROR(CHOOSE(FIND(G93,"DCBAS"),1,2,3,4,5),0),IF(H93&lt;&gt;"",IFERROR(CHOOSE(FIND(H93,"DCBAS"),1,2,3,4,5),0),""))),"")</f>
        <v/>
      </c>
      <c r="J93" s="116">
        <f>IF(I93="","",IF(I93&gt;=4.5,"S",IF(I93&gt;=3.5,"A",IF(I93&gt;=2.5,"B",IF(I93&gt;=1.5,"C","D")))))</f>
        <v/>
      </c>
      <c r="K93" s="107" t="n"/>
      <c r="L93" s="107" t="n"/>
      <c r="M93" s="107" t="n"/>
      <c r="N93" s="107" t="n"/>
      <c r="O93" s="107" t="n"/>
      <c r="P93" s="107" t="n"/>
      <c r="Q93" s="107" t="n"/>
      <c r="R93" s="107" t="n"/>
      <c r="S93" s="107" t="n"/>
      <c r="T93" s="107" t="n"/>
      <c r="U93" s="107" t="n"/>
    </row>
    <row r="94" ht="22" customHeight="1" s="86">
      <c r="A94" s="111">
        <f>IF('01_인적정보'!B36="","",'01_인적정보'!A36)</f>
        <v/>
      </c>
      <c r="B94" s="111">
        <f>IF('01_인적정보'!B36="","",'01_인적정보'!B36)</f>
        <v/>
      </c>
      <c r="C94" s="112">
        <f>IF('01_인적정보'!B36="","",'01_인적정보'!C36)</f>
        <v/>
      </c>
      <c r="D94" s="112">
        <f>IF('01_인적정보'!B36="","",'01_인적정보'!E36)</f>
        <v/>
      </c>
      <c r="E94" s="113">
        <f>IF('01_인적정보'!B36="","",'01_인적정보'!H36)</f>
        <v/>
      </c>
      <c r="F94" s="120">
        <f>IF('01_인적정보'!B36="","",'01_인적정보'!L36)</f>
        <v/>
      </c>
      <c r="G94" s="114">
        <f>IF('01_인적정보'!B36="","",'07b_하반기입력'!K36)</f>
        <v/>
      </c>
      <c r="H94" s="114">
        <f>IF('01_인적정보'!B36="","",'07b_하반기입력'!L36)</f>
        <v/>
      </c>
      <c r="I94" s="115">
        <f>IFERROR(IF(AND(G94&lt;&gt;"",H94&lt;&gt;""),'02_의사결정·종합결과'!$B$67*IFERROR(CHOOSE(FIND(G94,"DCBAS"),1,2,3,4,5),0)+'02_의사결정·종합결과'!$B$68*IFERROR(CHOOSE(FIND(H94,"DCBAS"),1,2,3,4,5),0),IF(G94&lt;&gt;"",IFERROR(CHOOSE(FIND(G94,"DCBAS"),1,2,3,4,5),0),IF(H94&lt;&gt;"",IFERROR(CHOOSE(FIND(H94,"DCBAS"),1,2,3,4,5),0),""))),"")</f>
        <v/>
      </c>
      <c r="J94" s="116">
        <f>IF(I94="","",IF(I94&gt;=4.5,"S",IF(I94&gt;=3.5,"A",IF(I94&gt;=2.5,"B",IF(I94&gt;=1.5,"C","D")))))</f>
        <v/>
      </c>
      <c r="K94" s="107" t="n"/>
      <c r="L94" s="107" t="n"/>
      <c r="M94" s="107" t="n"/>
      <c r="N94" s="107" t="n"/>
      <c r="O94" s="107" t="n"/>
      <c r="P94" s="107" t="n"/>
      <c r="Q94" s="107" t="n"/>
      <c r="R94" s="107" t="n"/>
      <c r="S94" s="107" t="n"/>
      <c r="T94" s="107" t="n"/>
      <c r="U94" s="107" t="n"/>
    </row>
    <row r="95" ht="22" customHeight="1" s="86">
      <c r="A95" s="111">
        <f>IF('01_인적정보'!B37="","",'01_인적정보'!A37)</f>
        <v/>
      </c>
      <c r="B95" s="111">
        <f>IF('01_인적정보'!B37="","",'01_인적정보'!B37)</f>
        <v/>
      </c>
      <c r="C95" s="112">
        <f>IF('01_인적정보'!B37="","",'01_인적정보'!C37)</f>
        <v/>
      </c>
      <c r="D95" s="112">
        <f>IF('01_인적정보'!B37="","",'01_인적정보'!E37)</f>
        <v/>
      </c>
      <c r="E95" s="113">
        <f>IF('01_인적정보'!B37="","",'01_인적정보'!H37)</f>
        <v/>
      </c>
      <c r="F95" s="120">
        <f>IF('01_인적정보'!B37="","",'01_인적정보'!L37)</f>
        <v/>
      </c>
      <c r="G95" s="114">
        <f>IF('01_인적정보'!B37="","",'07b_하반기입력'!K37)</f>
        <v/>
      </c>
      <c r="H95" s="114">
        <f>IF('01_인적정보'!B37="","",'07b_하반기입력'!L37)</f>
        <v/>
      </c>
      <c r="I95" s="115">
        <f>IFERROR(IF(AND(G95&lt;&gt;"",H95&lt;&gt;""),'02_의사결정·종합결과'!$B$67*IFERROR(CHOOSE(FIND(G95,"DCBAS"),1,2,3,4,5),0)+'02_의사결정·종합결과'!$B$68*IFERROR(CHOOSE(FIND(H95,"DCBAS"),1,2,3,4,5),0),IF(G95&lt;&gt;"",IFERROR(CHOOSE(FIND(G95,"DCBAS"),1,2,3,4,5),0),IF(H95&lt;&gt;"",IFERROR(CHOOSE(FIND(H95,"DCBAS"),1,2,3,4,5),0),""))),"")</f>
        <v/>
      </c>
      <c r="J95" s="116">
        <f>IF(I95="","",IF(I95&gt;=4.5,"S",IF(I95&gt;=3.5,"A",IF(I95&gt;=2.5,"B",IF(I95&gt;=1.5,"C","D")))))</f>
        <v/>
      </c>
      <c r="K95" s="107" t="n"/>
      <c r="L95" s="107" t="n"/>
      <c r="M95" s="107" t="n"/>
      <c r="N95" s="107" t="n"/>
      <c r="O95" s="107" t="n"/>
      <c r="P95" s="107" t="n"/>
      <c r="Q95" s="107" t="n"/>
      <c r="R95" s="107" t="n"/>
      <c r="S95" s="107" t="n"/>
      <c r="T95" s="107" t="n"/>
      <c r="U95" s="107" t="n"/>
    </row>
    <row r="96" ht="22" customHeight="1" s="86">
      <c r="A96" s="111">
        <f>IF('01_인적정보'!B38="","",'01_인적정보'!A38)</f>
        <v/>
      </c>
      <c r="B96" s="111">
        <f>IF('01_인적정보'!B38="","",'01_인적정보'!B38)</f>
        <v/>
      </c>
      <c r="C96" s="112">
        <f>IF('01_인적정보'!B38="","",'01_인적정보'!C38)</f>
        <v/>
      </c>
      <c r="D96" s="112">
        <f>IF('01_인적정보'!B38="","",'01_인적정보'!E38)</f>
        <v/>
      </c>
      <c r="E96" s="113">
        <f>IF('01_인적정보'!B38="","",'01_인적정보'!H38)</f>
        <v/>
      </c>
      <c r="F96" s="120">
        <f>IF('01_인적정보'!B38="","",'01_인적정보'!L38)</f>
        <v/>
      </c>
      <c r="G96" s="114">
        <f>IF('01_인적정보'!B38="","",'07b_하반기입력'!K38)</f>
        <v/>
      </c>
      <c r="H96" s="114">
        <f>IF('01_인적정보'!B38="","",'07b_하반기입력'!L38)</f>
        <v/>
      </c>
      <c r="I96" s="115">
        <f>IFERROR(IF(AND(G96&lt;&gt;"",H96&lt;&gt;""),'02_의사결정·종합결과'!$B$67*IFERROR(CHOOSE(FIND(G96,"DCBAS"),1,2,3,4,5),0)+'02_의사결정·종합결과'!$B$68*IFERROR(CHOOSE(FIND(H96,"DCBAS"),1,2,3,4,5),0),IF(G96&lt;&gt;"",IFERROR(CHOOSE(FIND(G96,"DCBAS"),1,2,3,4,5),0),IF(H96&lt;&gt;"",IFERROR(CHOOSE(FIND(H96,"DCBAS"),1,2,3,4,5),0),""))),"")</f>
        <v/>
      </c>
      <c r="J96" s="116">
        <f>IF(I96="","",IF(I96&gt;=4.5,"S",IF(I96&gt;=3.5,"A",IF(I96&gt;=2.5,"B",IF(I96&gt;=1.5,"C","D")))))</f>
        <v/>
      </c>
      <c r="K96" s="107" t="n"/>
      <c r="L96" s="107" t="n"/>
      <c r="M96" s="107" t="n"/>
      <c r="N96" s="107" t="n"/>
      <c r="O96" s="107" t="n"/>
      <c r="P96" s="107" t="n"/>
      <c r="Q96" s="107" t="n"/>
      <c r="R96" s="107" t="n"/>
      <c r="S96" s="107" t="n"/>
      <c r="T96" s="107" t="n"/>
      <c r="U96" s="107" t="n"/>
    </row>
    <row r="97" ht="22" customHeight="1" s="86">
      <c r="A97" s="111">
        <f>IF('01_인적정보'!B39="","",'01_인적정보'!A39)</f>
        <v/>
      </c>
      <c r="B97" s="111">
        <f>IF('01_인적정보'!B39="","",'01_인적정보'!B39)</f>
        <v/>
      </c>
      <c r="C97" s="112">
        <f>IF('01_인적정보'!B39="","",'01_인적정보'!C39)</f>
        <v/>
      </c>
      <c r="D97" s="112">
        <f>IF('01_인적정보'!B39="","",'01_인적정보'!E39)</f>
        <v/>
      </c>
      <c r="E97" s="113">
        <f>IF('01_인적정보'!B39="","",'01_인적정보'!H39)</f>
        <v/>
      </c>
      <c r="F97" s="120">
        <f>IF('01_인적정보'!B39="","",'01_인적정보'!L39)</f>
        <v/>
      </c>
      <c r="G97" s="114">
        <f>IF('01_인적정보'!B39="","",'07b_하반기입력'!K39)</f>
        <v/>
      </c>
      <c r="H97" s="114">
        <f>IF('01_인적정보'!B39="","",'07b_하반기입력'!L39)</f>
        <v/>
      </c>
      <c r="I97" s="115">
        <f>IFERROR(IF(AND(G97&lt;&gt;"",H97&lt;&gt;""),'02_의사결정·종합결과'!$B$67*IFERROR(CHOOSE(FIND(G97,"DCBAS"),1,2,3,4,5),0)+'02_의사결정·종합결과'!$B$68*IFERROR(CHOOSE(FIND(H97,"DCBAS"),1,2,3,4,5),0),IF(G97&lt;&gt;"",IFERROR(CHOOSE(FIND(G97,"DCBAS"),1,2,3,4,5),0),IF(H97&lt;&gt;"",IFERROR(CHOOSE(FIND(H97,"DCBAS"),1,2,3,4,5),0),""))),"")</f>
        <v/>
      </c>
      <c r="J97" s="116">
        <f>IF(I97="","",IF(I97&gt;=4.5,"S",IF(I97&gt;=3.5,"A",IF(I97&gt;=2.5,"B",IF(I97&gt;=1.5,"C","D")))))</f>
        <v/>
      </c>
      <c r="K97" s="107" t="n"/>
      <c r="L97" s="107" t="n"/>
      <c r="M97" s="107" t="n"/>
      <c r="N97" s="107" t="n"/>
      <c r="O97" s="107" t="n"/>
      <c r="P97" s="107" t="n"/>
      <c r="Q97" s="107" t="n"/>
      <c r="R97" s="107" t="n"/>
      <c r="S97" s="107" t="n"/>
      <c r="T97" s="107" t="n"/>
      <c r="U97" s="107" t="n"/>
    </row>
    <row r="98" ht="22" customHeight="1" s="86">
      <c r="A98" s="111">
        <f>IF('01_인적정보'!B40="","",'01_인적정보'!A40)</f>
        <v/>
      </c>
      <c r="B98" s="111">
        <f>IF('01_인적정보'!B40="","",'01_인적정보'!B40)</f>
        <v/>
      </c>
      <c r="C98" s="112">
        <f>IF('01_인적정보'!B40="","",'01_인적정보'!C40)</f>
        <v/>
      </c>
      <c r="D98" s="112">
        <f>IF('01_인적정보'!B40="","",'01_인적정보'!E40)</f>
        <v/>
      </c>
      <c r="E98" s="113">
        <f>IF('01_인적정보'!B40="","",'01_인적정보'!H40)</f>
        <v/>
      </c>
      <c r="F98" s="120">
        <f>IF('01_인적정보'!B40="","",'01_인적정보'!L40)</f>
        <v/>
      </c>
      <c r="G98" s="114">
        <f>IF('01_인적정보'!B40="","",'07b_하반기입력'!K40)</f>
        <v/>
      </c>
      <c r="H98" s="114">
        <f>IF('01_인적정보'!B40="","",'07b_하반기입력'!L40)</f>
        <v/>
      </c>
      <c r="I98" s="115">
        <f>IFERROR(IF(AND(G98&lt;&gt;"",H98&lt;&gt;""),'02_의사결정·종합결과'!$B$67*IFERROR(CHOOSE(FIND(G98,"DCBAS"),1,2,3,4,5),0)+'02_의사결정·종합결과'!$B$68*IFERROR(CHOOSE(FIND(H98,"DCBAS"),1,2,3,4,5),0),IF(G98&lt;&gt;"",IFERROR(CHOOSE(FIND(G98,"DCBAS"),1,2,3,4,5),0),IF(H98&lt;&gt;"",IFERROR(CHOOSE(FIND(H98,"DCBAS"),1,2,3,4,5),0),""))),"")</f>
        <v/>
      </c>
      <c r="J98" s="116">
        <f>IF(I98="","",IF(I98&gt;=4.5,"S",IF(I98&gt;=3.5,"A",IF(I98&gt;=2.5,"B",IF(I98&gt;=1.5,"C","D")))))</f>
        <v/>
      </c>
      <c r="K98" s="107" t="n"/>
      <c r="L98" s="107" t="n"/>
      <c r="M98" s="107" t="n"/>
      <c r="N98" s="107" t="n"/>
      <c r="O98" s="107" t="n"/>
      <c r="P98" s="107" t="n"/>
      <c r="Q98" s="107" t="n"/>
      <c r="R98" s="107" t="n"/>
      <c r="S98" s="107" t="n"/>
      <c r="T98" s="107" t="n"/>
      <c r="U98" s="107" t="n"/>
    </row>
    <row r="99" ht="22" customHeight="1" s="86">
      <c r="A99" s="111">
        <f>IF('01_인적정보'!B41="","",'01_인적정보'!A41)</f>
        <v/>
      </c>
      <c r="B99" s="111">
        <f>IF('01_인적정보'!B41="","",'01_인적정보'!B41)</f>
        <v/>
      </c>
      <c r="C99" s="112">
        <f>IF('01_인적정보'!B41="","",'01_인적정보'!C41)</f>
        <v/>
      </c>
      <c r="D99" s="112">
        <f>IF('01_인적정보'!B41="","",'01_인적정보'!E41)</f>
        <v/>
      </c>
      <c r="E99" s="113">
        <f>IF('01_인적정보'!B41="","",'01_인적정보'!H41)</f>
        <v/>
      </c>
      <c r="F99" s="120">
        <f>IF('01_인적정보'!B41="","",'01_인적정보'!L41)</f>
        <v/>
      </c>
      <c r="G99" s="114">
        <f>IF('01_인적정보'!B41="","",'07b_하반기입력'!K41)</f>
        <v/>
      </c>
      <c r="H99" s="114">
        <f>IF('01_인적정보'!B41="","",'07b_하반기입력'!L41)</f>
        <v/>
      </c>
      <c r="I99" s="115">
        <f>IFERROR(IF(AND(G99&lt;&gt;"",H99&lt;&gt;""),'02_의사결정·종합결과'!$B$67*IFERROR(CHOOSE(FIND(G99,"DCBAS"),1,2,3,4,5),0)+'02_의사결정·종합결과'!$B$68*IFERROR(CHOOSE(FIND(H99,"DCBAS"),1,2,3,4,5),0),IF(G99&lt;&gt;"",IFERROR(CHOOSE(FIND(G99,"DCBAS"),1,2,3,4,5),0),IF(H99&lt;&gt;"",IFERROR(CHOOSE(FIND(H99,"DCBAS"),1,2,3,4,5),0),""))),"")</f>
        <v/>
      </c>
      <c r="J99" s="116">
        <f>IF(I99="","",IF(I99&gt;=4.5,"S",IF(I99&gt;=3.5,"A",IF(I99&gt;=2.5,"B",IF(I99&gt;=1.5,"C","D")))))</f>
        <v/>
      </c>
      <c r="K99" s="107" t="n"/>
      <c r="L99" s="107" t="n"/>
      <c r="M99" s="107" t="n"/>
      <c r="N99" s="107" t="n"/>
      <c r="O99" s="107" t="n"/>
      <c r="P99" s="107" t="n"/>
      <c r="Q99" s="107" t="n"/>
      <c r="R99" s="107" t="n"/>
      <c r="S99" s="107" t="n"/>
      <c r="T99" s="107" t="n"/>
      <c r="U99" s="107" t="n"/>
    </row>
    <row r="100" ht="22" customHeight="1" s="86">
      <c r="A100" s="111">
        <f>IF('01_인적정보'!B42="","",'01_인적정보'!A42)</f>
        <v/>
      </c>
      <c r="B100" s="111">
        <f>IF('01_인적정보'!B42="","",'01_인적정보'!B42)</f>
        <v/>
      </c>
      <c r="C100" s="112">
        <f>IF('01_인적정보'!B42="","",'01_인적정보'!C42)</f>
        <v/>
      </c>
      <c r="D100" s="112">
        <f>IF('01_인적정보'!B42="","",'01_인적정보'!E42)</f>
        <v/>
      </c>
      <c r="E100" s="113">
        <f>IF('01_인적정보'!B42="","",'01_인적정보'!H42)</f>
        <v/>
      </c>
      <c r="F100" s="120">
        <f>IF('01_인적정보'!B42="","",'01_인적정보'!L42)</f>
        <v/>
      </c>
      <c r="G100" s="114">
        <f>IF('01_인적정보'!B42="","",'07b_하반기입력'!K42)</f>
        <v/>
      </c>
      <c r="H100" s="114">
        <f>IF('01_인적정보'!B42="","",'07b_하반기입력'!L42)</f>
        <v/>
      </c>
      <c r="I100" s="115">
        <f>IFERROR(IF(AND(G100&lt;&gt;"",H100&lt;&gt;""),'02_의사결정·종합결과'!$B$67*IFERROR(CHOOSE(FIND(G100,"DCBAS"),1,2,3,4,5),0)+'02_의사결정·종합결과'!$B$68*IFERROR(CHOOSE(FIND(H100,"DCBAS"),1,2,3,4,5),0),IF(G100&lt;&gt;"",IFERROR(CHOOSE(FIND(G100,"DCBAS"),1,2,3,4,5),0),IF(H100&lt;&gt;"",IFERROR(CHOOSE(FIND(H100,"DCBAS"),1,2,3,4,5),0),""))),"")</f>
        <v/>
      </c>
      <c r="J100" s="116">
        <f>IF(I100="","",IF(I100&gt;=4.5,"S",IF(I100&gt;=3.5,"A",IF(I100&gt;=2.5,"B",IF(I100&gt;=1.5,"C","D")))))</f>
        <v/>
      </c>
      <c r="K100" s="107" t="n"/>
      <c r="L100" s="107" t="n"/>
      <c r="M100" s="107" t="n"/>
      <c r="N100" s="107" t="n"/>
      <c r="O100" s="107" t="n"/>
      <c r="P100" s="107" t="n"/>
      <c r="Q100" s="107" t="n"/>
      <c r="R100" s="107" t="n"/>
      <c r="S100" s="107" t="n"/>
      <c r="T100" s="107" t="n"/>
      <c r="U100" s="107" t="n"/>
    </row>
    <row r="101" ht="22" customHeight="1" s="86">
      <c r="A101" s="111">
        <f>IF('01_인적정보'!B43="","",'01_인적정보'!A43)</f>
        <v/>
      </c>
      <c r="B101" s="111">
        <f>IF('01_인적정보'!B43="","",'01_인적정보'!B43)</f>
        <v/>
      </c>
      <c r="C101" s="112">
        <f>IF('01_인적정보'!B43="","",'01_인적정보'!C43)</f>
        <v/>
      </c>
      <c r="D101" s="112">
        <f>IF('01_인적정보'!B43="","",'01_인적정보'!E43)</f>
        <v/>
      </c>
      <c r="E101" s="113">
        <f>IF('01_인적정보'!B43="","",'01_인적정보'!H43)</f>
        <v/>
      </c>
      <c r="F101" s="120">
        <f>IF('01_인적정보'!B43="","",'01_인적정보'!L43)</f>
        <v/>
      </c>
      <c r="G101" s="114">
        <f>IF('01_인적정보'!B43="","",'07b_하반기입력'!K43)</f>
        <v/>
      </c>
      <c r="H101" s="114">
        <f>IF('01_인적정보'!B43="","",'07b_하반기입력'!L43)</f>
        <v/>
      </c>
      <c r="I101" s="115">
        <f>IFERROR(IF(AND(G101&lt;&gt;"",H101&lt;&gt;""),'02_의사결정·종합결과'!$B$67*IFERROR(CHOOSE(FIND(G101,"DCBAS"),1,2,3,4,5),0)+'02_의사결정·종합결과'!$B$68*IFERROR(CHOOSE(FIND(H101,"DCBAS"),1,2,3,4,5),0),IF(G101&lt;&gt;"",IFERROR(CHOOSE(FIND(G101,"DCBAS"),1,2,3,4,5),0),IF(H101&lt;&gt;"",IFERROR(CHOOSE(FIND(H101,"DCBAS"),1,2,3,4,5),0),""))),"")</f>
        <v/>
      </c>
      <c r="J101" s="116">
        <f>IF(I101="","",IF(I101&gt;=4.5,"S",IF(I101&gt;=3.5,"A",IF(I101&gt;=2.5,"B",IF(I101&gt;=1.5,"C","D")))))</f>
        <v/>
      </c>
      <c r="K101" s="107" t="n"/>
      <c r="L101" s="107" t="n"/>
      <c r="M101" s="107" t="n"/>
      <c r="N101" s="107" t="n"/>
      <c r="O101" s="107" t="n"/>
      <c r="P101" s="107" t="n"/>
      <c r="Q101" s="107" t="n"/>
      <c r="R101" s="107" t="n"/>
      <c r="S101" s="107" t="n"/>
      <c r="T101" s="107" t="n"/>
      <c r="U101" s="107" t="n"/>
    </row>
    <row r="102" ht="22" customHeight="1" s="86">
      <c r="A102" s="111">
        <f>IF('01_인적정보'!B44="","",'01_인적정보'!A44)</f>
        <v/>
      </c>
      <c r="B102" s="111">
        <f>IF('01_인적정보'!B44="","",'01_인적정보'!B44)</f>
        <v/>
      </c>
      <c r="C102" s="112">
        <f>IF('01_인적정보'!B44="","",'01_인적정보'!C44)</f>
        <v/>
      </c>
      <c r="D102" s="112">
        <f>IF('01_인적정보'!B44="","",'01_인적정보'!E44)</f>
        <v/>
      </c>
      <c r="E102" s="113">
        <f>IF('01_인적정보'!B44="","",'01_인적정보'!H44)</f>
        <v/>
      </c>
      <c r="F102" s="120">
        <f>IF('01_인적정보'!B44="","",'01_인적정보'!L44)</f>
        <v/>
      </c>
      <c r="G102" s="114">
        <f>IF('01_인적정보'!B44="","",'07b_하반기입력'!K44)</f>
        <v/>
      </c>
      <c r="H102" s="114">
        <f>IF('01_인적정보'!B44="","",'07b_하반기입력'!L44)</f>
        <v/>
      </c>
      <c r="I102" s="115">
        <f>IFERROR(IF(AND(G102&lt;&gt;"",H102&lt;&gt;""),'02_의사결정·종합결과'!$B$67*IFERROR(CHOOSE(FIND(G102,"DCBAS"),1,2,3,4,5),0)+'02_의사결정·종합결과'!$B$68*IFERROR(CHOOSE(FIND(H102,"DCBAS"),1,2,3,4,5),0),IF(G102&lt;&gt;"",IFERROR(CHOOSE(FIND(G102,"DCBAS"),1,2,3,4,5),0),IF(H102&lt;&gt;"",IFERROR(CHOOSE(FIND(H102,"DCBAS"),1,2,3,4,5),0),""))),"")</f>
        <v/>
      </c>
      <c r="J102" s="116">
        <f>IF(I102="","",IF(I102&gt;=4.5,"S",IF(I102&gt;=3.5,"A",IF(I102&gt;=2.5,"B",IF(I102&gt;=1.5,"C","D")))))</f>
        <v/>
      </c>
      <c r="K102" s="107" t="n"/>
      <c r="L102" s="107" t="n"/>
      <c r="M102" s="107" t="n"/>
      <c r="N102" s="107" t="n"/>
      <c r="O102" s="107" t="n"/>
      <c r="P102" s="107" t="n"/>
      <c r="Q102" s="107" t="n"/>
      <c r="R102" s="107" t="n"/>
      <c r="S102" s="107" t="n"/>
      <c r="T102" s="107" t="n"/>
      <c r="U102" s="107" t="n"/>
    </row>
    <row r="103" ht="22" customHeight="1" s="86">
      <c r="A103" s="111">
        <f>IF('01_인적정보'!B45="","",'01_인적정보'!A45)</f>
        <v/>
      </c>
      <c r="B103" s="111">
        <f>IF('01_인적정보'!B45="","",'01_인적정보'!B45)</f>
        <v/>
      </c>
      <c r="C103" s="112">
        <f>IF('01_인적정보'!B45="","",'01_인적정보'!C45)</f>
        <v/>
      </c>
      <c r="D103" s="112">
        <f>IF('01_인적정보'!B45="","",'01_인적정보'!E45)</f>
        <v/>
      </c>
      <c r="E103" s="113">
        <f>IF('01_인적정보'!B45="","",'01_인적정보'!H45)</f>
        <v/>
      </c>
      <c r="F103" s="120">
        <f>IF('01_인적정보'!B45="","",'01_인적정보'!L45)</f>
        <v/>
      </c>
      <c r="G103" s="114">
        <f>IF('01_인적정보'!B45="","",'07b_하반기입력'!K45)</f>
        <v/>
      </c>
      <c r="H103" s="114">
        <f>IF('01_인적정보'!B45="","",'07b_하반기입력'!L45)</f>
        <v/>
      </c>
      <c r="I103" s="115">
        <f>IFERROR(IF(AND(G103&lt;&gt;"",H103&lt;&gt;""),'02_의사결정·종합결과'!$B$67*IFERROR(CHOOSE(FIND(G103,"DCBAS"),1,2,3,4,5),0)+'02_의사결정·종합결과'!$B$68*IFERROR(CHOOSE(FIND(H103,"DCBAS"),1,2,3,4,5),0),IF(G103&lt;&gt;"",IFERROR(CHOOSE(FIND(G103,"DCBAS"),1,2,3,4,5),0),IF(H103&lt;&gt;"",IFERROR(CHOOSE(FIND(H103,"DCBAS"),1,2,3,4,5),0),""))),"")</f>
        <v/>
      </c>
      <c r="J103" s="116">
        <f>IF(I103="","",IF(I103&gt;=4.5,"S",IF(I103&gt;=3.5,"A",IF(I103&gt;=2.5,"B",IF(I103&gt;=1.5,"C","D")))))</f>
        <v/>
      </c>
      <c r="K103" s="107" t="n"/>
      <c r="L103" s="107" t="n"/>
      <c r="M103" s="107" t="n"/>
      <c r="N103" s="107" t="n"/>
      <c r="O103" s="107" t="n"/>
      <c r="P103" s="107" t="n"/>
      <c r="Q103" s="107" t="n"/>
      <c r="R103" s="107" t="n"/>
      <c r="S103" s="107" t="n"/>
      <c r="T103" s="107" t="n"/>
      <c r="U103" s="107" t="n"/>
    </row>
    <row r="104" ht="22" customHeight="1" s="86">
      <c r="A104" s="111">
        <f>IF('01_인적정보'!B46="","",'01_인적정보'!A46)</f>
        <v/>
      </c>
      <c r="B104" s="111">
        <f>IF('01_인적정보'!B46="","",'01_인적정보'!B46)</f>
        <v/>
      </c>
      <c r="C104" s="112">
        <f>IF('01_인적정보'!B46="","",'01_인적정보'!C46)</f>
        <v/>
      </c>
      <c r="D104" s="112">
        <f>IF('01_인적정보'!B46="","",'01_인적정보'!E46)</f>
        <v/>
      </c>
      <c r="E104" s="113">
        <f>IF('01_인적정보'!B46="","",'01_인적정보'!H46)</f>
        <v/>
      </c>
      <c r="F104" s="120">
        <f>IF('01_인적정보'!B46="","",'01_인적정보'!L46)</f>
        <v/>
      </c>
      <c r="G104" s="114">
        <f>IF('01_인적정보'!B46="","",'07b_하반기입력'!K46)</f>
        <v/>
      </c>
      <c r="H104" s="114">
        <f>IF('01_인적정보'!B46="","",'07b_하반기입력'!L46)</f>
        <v/>
      </c>
      <c r="I104" s="115">
        <f>IFERROR(IF(AND(G104&lt;&gt;"",H104&lt;&gt;""),'02_의사결정·종합결과'!$B$67*IFERROR(CHOOSE(FIND(G104,"DCBAS"),1,2,3,4,5),0)+'02_의사결정·종합결과'!$B$68*IFERROR(CHOOSE(FIND(H104,"DCBAS"),1,2,3,4,5),0),IF(G104&lt;&gt;"",IFERROR(CHOOSE(FIND(G104,"DCBAS"),1,2,3,4,5),0),IF(H104&lt;&gt;"",IFERROR(CHOOSE(FIND(H104,"DCBAS"),1,2,3,4,5),0),""))),"")</f>
        <v/>
      </c>
      <c r="J104" s="116">
        <f>IF(I104="","",IF(I104&gt;=4.5,"S",IF(I104&gt;=3.5,"A",IF(I104&gt;=2.5,"B",IF(I104&gt;=1.5,"C","D")))))</f>
        <v/>
      </c>
      <c r="K104" s="107" t="n"/>
      <c r="L104" s="107" t="n"/>
      <c r="M104" s="107" t="n"/>
      <c r="N104" s="107" t="n"/>
      <c r="O104" s="107" t="n"/>
      <c r="P104" s="107" t="n"/>
      <c r="Q104" s="107" t="n"/>
      <c r="R104" s="107" t="n"/>
      <c r="S104" s="107" t="n"/>
      <c r="T104" s="107" t="n"/>
      <c r="U104" s="107" t="n"/>
    </row>
    <row r="105" ht="22" customHeight="1" s="86">
      <c r="A105" s="111">
        <f>IF('01_인적정보'!B47="","",'01_인적정보'!A47)</f>
        <v/>
      </c>
      <c r="B105" s="111">
        <f>IF('01_인적정보'!B47="","",'01_인적정보'!B47)</f>
        <v/>
      </c>
      <c r="C105" s="112">
        <f>IF('01_인적정보'!B47="","",'01_인적정보'!C47)</f>
        <v/>
      </c>
      <c r="D105" s="112">
        <f>IF('01_인적정보'!B47="","",'01_인적정보'!E47)</f>
        <v/>
      </c>
      <c r="E105" s="113">
        <f>IF('01_인적정보'!B47="","",'01_인적정보'!H47)</f>
        <v/>
      </c>
      <c r="F105" s="120">
        <f>IF('01_인적정보'!B47="","",'01_인적정보'!L47)</f>
        <v/>
      </c>
      <c r="G105" s="114">
        <f>IF('01_인적정보'!B47="","",'07b_하반기입력'!K47)</f>
        <v/>
      </c>
      <c r="H105" s="114">
        <f>IF('01_인적정보'!B47="","",'07b_하반기입력'!L47)</f>
        <v/>
      </c>
      <c r="I105" s="115">
        <f>IFERROR(IF(AND(G105&lt;&gt;"",H105&lt;&gt;""),'02_의사결정·종합결과'!$B$67*IFERROR(CHOOSE(FIND(G105,"DCBAS"),1,2,3,4,5),0)+'02_의사결정·종합결과'!$B$68*IFERROR(CHOOSE(FIND(H105,"DCBAS"),1,2,3,4,5),0),IF(G105&lt;&gt;"",IFERROR(CHOOSE(FIND(G105,"DCBAS"),1,2,3,4,5),0),IF(H105&lt;&gt;"",IFERROR(CHOOSE(FIND(H105,"DCBAS"),1,2,3,4,5),0),""))),"")</f>
        <v/>
      </c>
      <c r="J105" s="116">
        <f>IF(I105="","",IF(I105&gt;=4.5,"S",IF(I105&gt;=3.5,"A",IF(I105&gt;=2.5,"B",IF(I105&gt;=1.5,"C","D")))))</f>
        <v/>
      </c>
      <c r="K105" s="107" t="n"/>
      <c r="L105" s="107" t="n"/>
      <c r="M105" s="107" t="n"/>
      <c r="N105" s="107" t="n"/>
      <c r="O105" s="107" t="n"/>
      <c r="P105" s="107" t="n"/>
      <c r="Q105" s="107" t="n"/>
      <c r="R105" s="107" t="n"/>
      <c r="S105" s="107" t="n"/>
      <c r="T105" s="107" t="n"/>
      <c r="U105" s="107" t="n"/>
    </row>
    <row r="106" ht="22" customHeight="1" s="86">
      <c r="A106" s="111">
        <f>IF('01_인적정보'!B48="","",'01_인적정보'!A48)</f>
        <v/>
      </c>
      <c r="B106" s="111">
        <f>IF('01_인적정보'!B48="","",'01_인적정보'!B48)</f>
        <v/>
      </c>
      <c r="C106" s="112">
        <f>IF('01_인적정보'!B48="","",'01_인적정보'!C48)</f>
        <v/>
      </c>
      <c r="D106" s="112">
        <f>IF('01_인적정보'!B48="","",'01_인적정보'!E48)</f>
        <v/>
      </c>
      <c r="E106" s="113">
        <f>IF('01_인적정보'!B48="","",'01_인적정보'!H48)</f>
        <v/>
      </c>
      <c r="F106" s="120">
        <f>IF('01_인적정보'!B48="","",'01_인적정보'!L48)</f>
        <v/>
      </c>
      <c r="G106" s="114">
        <f>IF('01_인적정보'!B48="","",'07b_하반기입력'!K48)</f>
        <v/>
      </c>
      <c r="H106" s="114">
        <f>IF('01_인적정보'!B48="","",'07b_하반기입력'!L48)</f>
        <v/>
      </c>
      <c r="I106" s="115">
        <f>IFERROR(IF(AND(G106&lt;&gt;"",H106&lt;&gt;""),'02_의사결정·종합결과'!$B$67*IFERROR(CHOOSE(FIND(G106,"DCBAS"),1,2,3,4,5),0)+'02_의사결정·종합결과'!$B$68*IFERROR(CHOOSE(FIND(H106,"DCBAS"),1,2,3,4,5),0),IF(G106&lt;&gt;"",IFERROR(CHOOSE(FIND(G106,"DCBAS"),1,2,3,4,5),0),IF(H106&lt;&gt;"",IFERROR(CHOOSE(FIND(H106,"DCBAS"),1,2,3,4,5),0),""))),"")</f>
        <v/>
      </c>
      <c r="J106" s="116">
        <f>IF(I106="","",IF(I106&gt;=4.5,"S",IF(I106&gt;=3.5,"A",IF(I106&gt;=2.5,"B",IF(I106&gt;=1.5,"C","D")))))</f>
        <v/>
      </c>
      <c r="K106" s="107" t="n"/>
      <c r="L106" s="107" t="n"/>
      <c r="M106" s="107" t="n"/>
      <c r="N106" s="107" t="n"/>
      <c r="O106" s="107" t="n"/>
      <c r="P106" s="107" t="n"/>
      <c r="Q106" s="107" t="n"/>
      <c r="R106" s="107" t="n"/>
      <c r="S106" s="107" t="n"/>
      <c r="T106" s="107" t="n"/>
      <c r="U106" s="107" t="n"/>
    </row>
    <row r="107" ht="22" customHeight="1" s="86">
      <c r="A107" s="111">
        <f>IF('01_인적정보'!B49="","",'01_인적정보'!A49)</f>
        <v/>
      </c>
      <c r="B107" s="111">
        <f>IF('01_인적정보'!B49="","",'01_인적정보'!B49)</f>
        <v/>
      </c>
      <c r="C107" s="112">
        <f>IF('01_인적정보'!B49="","",'01_인적정보'!C49)</f>
        <v/>
      </c>
      <c r="D107" s="112">
        <f>IF('01_인적정보'!B49="","",'01_인적정보'!E49)</f>
        <v/>
      </c>
      <c r="E107" s="113">
        <f>IF('01_인적정보'!B49="","",'01_인적정보'!H49)</f>
        <v/>
      </c>
      <c r="F107" s="120">
        <f>IF('01_인적정보'!B49="","",'01_인적정보'!L49)</f>
        <v/>
      </c>
      <c r="G107" s="114">
        <f>IF('01_인적정보'!B49="","",'07b_하반기입력'!K49)</f>
        <v/>
      </c>
      <c r="H107" s="114">
        <f>IF('01_인적정보'!B49="","",'07b_하반기입력'!L49)</f>
        <v/>
      </c>
      <c r="I107" s="115">
        <f>IFERROR(IF(AND(G107&lt;&gt;"",H107&lt;&gt;""),'02_의사결정·종합결과'!$B$67*IFERROR(CHOOSE(FIND(G107,"DCBAS"),1,2,3,4,5),0)+'02_의사결정·종합결과'!$B$68*IFERROR(CHOOSE(FIND(H107,"DCBAS"),1,2,3,4,5),0),IF(G107&lt;&gt;"",IFERROR(CHOOSE(FIND(G107,"DCBAS"),1,2,3,4,5),0),IF(H107&lt;&gt;"",IFERROR(CHOOSE(FIND(H107,"DCBAS"),1,2,3,4,5),0),""))),"")</f>
        <v/>
      </c>
      <c r="J107" s="116">
        <f>IF(I107="","",IF(I107&gt;=4.5,"S",IF(I107&gt;=3.5,"A",IF(I107&gt;=2.5,"B",IF(I107&gt;=1.5,"C","D")))))</f>
        <v/>
      </c>
      <c r="K107" s="107" t="n"/>
      <c r="L107" s="107" t="n"/>
      <c r="M107" s="107" t="n"/>
      <c r="N107" s="107" t="n"/>
      <c r="O107" s="107" t="n"/>
      <c r="P107" s="107" t="n"/>
      <c r="Q107" s="107" t="n"/>
      <c r="R107" s="107" t="n"/>
      <c r="S107" s="107" t="n"/>
      <c r="T107" s="107" t="n"/>
      <c r="U107" s="107" t="n"/>
    </row>
    <row r="108" ht="22" customHeight="1" s="86">
      <c r="A108" s="111">
        <f>IF('01_인적정보'!B50="","",'01_인적정보'!A50)</f>
        <v/>
      </c>
      <c r="B108" s="111">
        <f>IF('01_인적정보'!B50="","",'01_인적정보'!B50)</f>
        <v/>
      </c>
      <c r="C108" s="112">
        <f>IF('01_인적정보'!B50="","",'01_인적정보'!C50)</f>
        <v/>
      </c>
      <c r="D108" s="112">
        <f>IF('01_인적정보'!B50="","",'01_인적정보'!E50)</f>
        <v/>
      </c>
      <c r="E108" s="113">
        <f>IF('01_인적정보'!B50="","",'01_인적정보'!H50)</f>
        <v/>
      </c>
      <c r="F108" s="120">
        <f>IF('01_인적정보'!B50="","",'01_인적정보'!L50)</f>
        <v/>
      </c>
      <c r="G108" s="114">
        <f>IF('01_인적정보'!B50="","",'07b_하반기입력'!K50)</f>
        <v/>
      </c>
      <c r="H108" s="114">
        <f>IF('01_인적정보'!B50="","",'07b_하반기입력'!L50)</f>
        <v/>
      </c>
      <c r="I108" s="115">
        <f>IFERROR(IF(AND(G108&lt;&gt;"",H108&lt;&gt;""),'02_의사결정·종합결과'!$B$67*IFERROR(CHOOSE(FIND(G108,"DCBAS"),1,2,3,4,5),0)+'02_의사결정·종합결과'!$B$68*IFERROR(CHOOSE(FIND(H108,"DCBAS"),1,2,3,4,5),0),IF(G108&lt;&gt;"",IFERROR(CHOOSE(FIND(G108,"DCBAS"),1,2,3,4,5),0),IF(H108&lt;&gt;"",IFERROR(CHOOSE(FIND(H108,"DCBAS"),1,2,3,4,5),0),""))),"")</f>
        <v/>
      </c>
      <c r="J108" s="116">
        <f>IF(I108="","",IF(I108&gt;=4.5,"S",IF(I108&gt;=3.5,"A",IF(I108&gt;=2.5,"B",IF(I108&gt;=1.5,"C","D")))))</f>
        <v/>
      </c>
      <c r="K108" s="107" t="n"/>
      <c r="L108" s="107" t="n"/>
      <c r="M108" s="107" t="n"/>
      <c r="N108" s="107" t="n"/>
      <c r="O108" s="107" t="n"/>
      <c r="P108" s="107" t="n"/>
      <c r="Q108" s="107" t="n"/>
      <c r="R108" s="107" t="n"/>
      <c r="S108" s="107" t="n"/>
      <c r="T108" s="107" t="n"/>
      <c r="U108" s="107" t="n"/>
    </row>
    <row r="109" ht="22" customHeight="1" s="86">
      <c r="A109" s="111">
        <f>IF('01_인적정보'!B51="","",'01_인적정보'!A51)</f>
        <v/>
      </c>
      <c r="B109" s="111">
        <f>IF('01_인적정보'!B51="","",'01_인적정보'!B51)</f>
        <v/>
      </c>
      <c r="C109" s="112">
        <f>IF('01_인적정보'!B51="","",'01_인적정보'!C51)</f>
        <v/>
      </c>
      <c r="D109" s="112">
        <f>IF('01_인적정보'!B51="","",'01_인적정보'!E51)</f>
        <v/>
      </c>
      <c r="E109" s="113">
        <f>IF('01_인적정보'!B51="","",'01_인적정보'!H51)</f>
        <v/>
      </c>
      <c r="F109" s="120">
        <f>IF('01_인적정보'!B51="","",'01_인적정보'!L51)</f>
        <v/>
      </c>
      <c r="G109" s="114">
        <f>IF('01_인적정보'!B51="","",'07b_하반기입력'!K51)</f>
        <v/>
      </c>
      <c r="H109" s="114">
        <f>IF('01_인적정보'!B51="","",'07b_하반기입력'!L51)</f>
        <v/>
      </c>
      <c r="I109" s="115">
        <f>IFERROR(IF(AND(G109&lt;&gt;"",H109&lt;&gt;""),'02_의사결정·종합결과'!$B$67*IFERROR(CHOOSE(FIND(G109,"DCBAS"),1,2,3,4,5),0)+'02_의사결정·종합결과'!$B$68*IFERROR(CHOOSE(FIND(H109,"DCBAS"),1,2,3,4,5),0),IF(G109&lt;&gt;"",IFERROR(CHOOSE(FIND(G109,"DCBAS"),1,2,3,4,5),0),IF(H109&lt;&gt;"",IFERROR(CHOOSE(FIND(H109,"DCBAS"),1,2,3,4,5),0),""))),"")</f>
        <v/>
      </c>
      <c r="J109" s="116">
        <f>IF(I109="","",IF(I109&gt;=4.5,"S",IF(I109&gt;=3.5,"A",IF(I109&gt;=2.5,"B",IF(I109&gt;=1.5,"C","D")))))</f>
        <v/>
      </c>
      <c r="K109" s="107" t="n"/>
      <c r="L109" s="107" t="n"/>
      <c r="M109" s="107" t="n"/>
      <c r="N109" s="107" t="n"/>
      <c r="O109" s="107" t="n"/>
      <c r="P109" s="107" t="n"/>
      <c r="Q109" s="107" t="n"/>
      <c r="R109" s="107" t="n"/>
      <c r="S109" s="107" t="n"/>
      <c r="T109" s="107" t="n"/>
      <c r="U109" s="107" t="n"/>
    </row>
    <row r="110" ht="22" customHeight="1" s="86">
      <c r="A110" s="111">
        <f>IF('01_인적정보'!B52="","",'01_인적정보'!A52)</f>
        <v/>
      </c>
      <c r="B110" s="111">
        <f>IF('01_인적정보'!B52="","",'01_인적정보'!B52)</f>
        <v/>
      </c>
      <c r="C110" s="112">
        <f>IF('01_인적정보'!B52="","",'01_인적정보'!C52)</f>
        <v/>
      </c>
      <c r="D110" s="112">
        <f>IF('01_인적정보'!B52="","",'01_인적정보'!E52)</f>
        <v/>
      </c>
      <c r="E110" s="113">
        <f>IF('01_인적정보'!B52="","",'01_인적정보'!H52)</f>
        <v/>
      </c>
      <c r="F110" s="120">
        <f>IF('01_인적정보'!B52="","",'01_인적정보'!L52)</f>
        <v/>
      </c>
      <c r="G110" s="114">
        <f>IF('01_인적정보'!B52="","",'07b_하반기입력'!K52)</f>
        <v/>
      </c>
      <c r="H110" s="114">
        <f>IF('01_인적정보'!B52="","",'07b_하반기입력'!L52)</f>
        <v/>
      </c>
      <c r="I110" s="115">
        <f>IFERROR(IF(AND(G110&lt;&gt;"",H110&lt;&gt;""),'02_의사결정·종합결과'!$B$67*IFERROR(CHOOSE(FIND(G110,"DCBAS"),1,2,3,4,5),0)+'02_의사결정·종합결과'!$B$68*IFERROR(CHOOSE(FIND(H110,"DCBAS"),1,2,3,4,5),0),IF(G110&lt;&gt;"",IFERROR(CHOOSE(FIND(G110,"DCBAS"),1,2,3,4,5),0),IF(H110&lt;&gt;"",IFERROR(CHOOSE(FIND(H110,"DCBAS"),1,2,3,4,5),0),""))),"")</f>
        <v/>
      </c>
      <c r="J110" s="116">
        <f>IF(I110="","",IF(I110&gt;=4.5,"S",IF(I110&gt;=3.5,"A",IF(I110&gt;=2.5,"B",IF(I110&gt;=1.5,"C","D")))))</f>
        <v/>
      </c>
      <c r="K110" s="107" t="n"/>
      <c r="L110" s="107" t="n"/>
      <c r="M110" s="107" t="n"/>
      <c r="N110" s="107" t="n"/>
      <c r="O110" s="107" t="n"/>
      <c r="P110" s="107" t="n"/>
      <c r="Q110" s="107" t="n"/>
      <c r="R110" s="107" t="n"/>
      <c r="S110" s="107" t="n"/>
      <c r="T110" s="107" t="n"/>
      <c r="U110" s="107" t="n"/>
    </row>
    <row r="111" ht="22" customHeight="1" s="86">
      <c r="A111" s="111">
        <f>IF('01_인적정보'!B53="","",'01_인적정보'!A53)</f>
        <v/>
      </c>
      <c r="B111" s="111">
        <f>IF('01_인적정보'!B53="","",'01_인적정보'!B53)</f>
        <v/>
      </c>
      <c r="C111" s="112">
        <f>IF('01_인적정보'!B53="","",'01_인적정보'!C53)</f>
        <v/>
      </c>
      <c r="D111" s="112">
        <f>IF('01_인적정보'!B53="","",'01_인적정보'!E53)</f>
        <v/>
      </c>
      <c r="E111" s="113">
        <f>IF('01_인적정보'!B53="","",'01_인적정보'!H53)</f>
        <v/>
      </c>
      <c r="F111" s="120">
        <f>IF('01_인적정보'!B53="","",'01_인적정보'!L53)</f>
        <v/>
      </c>
      <c r="G111" s="114">
        <f>IF('01_인적정보'!B53="","",'07b_하반기입력'!K53)</f>
        <v/>
      </c>
      <c r="H111" s="114">
        <f>IF('01_인적정보'!B53="","",'07b_하반기입력'!L53)</f>
        <v/>
      </c>
      <c r="I111" s="115">
        <f>IFERROR(IF(AND(G111&lt;&gt;"",H111&lt;&gt;""),'02_의사결정·종합결과'!$B$67*IFERROR(CHOOSE(FIND(G111,"DCBAS"),1,2,3,4,5),0)+'02_의사결정·종합결과'!$B$68*IFERROR(CHOOSE(FIND(H111,"DCBAS"),1,2,3,4,5),0),IF(G111&lt;&gt;"",IFERROR(CHOOSE(FIND(G111,"DCBAS"),1,2,3,4,5),0),IF(H111&lt;&gt;"",IFERROR(CHOOSE(FIND(H111,"DCBAS"),1,2,3,4,5),0),""))),"")</f>
        <v/>
      </c>
      <c r="J111" s="116">
        <f>IF(I111="","",IF(I111&gt;=4.5,"S",IF(I111&gt;=3.5,"A",IF(I111&gt;=2.5,"B",IF(I111&gt;=1.5,"C","D")))))</f>
        <v/>
      </c>
      <c r="K111" s="107" t="n"/>
      <c r="L111" s="107" t="n"/>
      <c r="M111" s="107" t="n"/>
      <c r="N111" s="107" t="n"/>
      <c r="O111" s="107" t="n"/>
      <c r="P111" s="107" t="n"/>
      <c r="Q111" s="107" t="n"/>
      <c r="R111" s="107" t="n"/>
      <c r="S111" s="107" t="n"/>
      <c r="T111" s="107" t="n"/>
      <c r="U111" s="107" t="n"/>
    </row>
    <row r="112" ht="22" customHeight="1" s="86">
      <c r="A112" s="111">
        <f>IF('01_인적정보'!B54="","",'01_인적정보'!A54)</f>
        <v/>
      </c>
      <c r="B112" s="111">
        <f>IF('01_인적정보'!B54="","",'01_인적정보'!B54)</f>
        <v/>
      </c>
      <c r="C112" s="112">
        <f>IF('01_인적정보'!B54="","",'01_인적정보'!C54)</f>
        <v/>
      </c>
      <c r="D112" s="112">
        <f>IF('01_인적정보'!B54="","",'01_인적정보'!E54)</f>
        <v/>
      </c>
      <c r="E112" s="113">
        <f>IF('01_인적정보'!B54="","",'01_인적정보'!H54)</f>
        <v/>
      </c>
      <c r="F112" s="120">
        <f>IF('01_인적정보'!B54="","",'01_인적정보'!L54)</f>
        <v/>
      </c>
      <c r="G112" s="114">
        <f>IF('01_인적정보'!B54="","",'07b_하반기입력'!K54)</f>
        <v/>
      </c>
      <c r="H112" s="114">
        <f>IF('01_인적정보'!B54="","",'07b_하반기입력'!L54)</f>
        <v/>
      </c>
      <c r="I112" s="115">
        <f>IFERROR(IF(AND(G112&lt;&gt;"",H112&lt;&gt;""),'02_의사결정·종합결과'!$B$67*IFERROR(CHOOSE(FIND(G112,"DCBAS"),1,2,3,4,5),0)+'02_의사결정·종합결과'!$B$68*IFERROR(CHOOSE(FIND(H112,"DCBAS"),1,2,3,4,5),0),IF(G112&lt;&gt;"",IFERROR(CHOOSE(FIND(G112,"DCBAS"),1,2,3,4,5),0),IF(H112&lt;&gt;"",IFERROR(CHOOSE(FIND(H112,"DCBAS"),1,2,3,4,5),0),""))),"")</f>
        <v/>
      </c>
      <c r="J112" s="116">
        <f>IF(I112="","",IF(I112&gt;=4.5,"S",IF(I112&gt;=3.5,"A",IF(I112&gt;=2.5,"B",IF(I112&gt;=1.5,"C","D")))))</f>
        <v/>
      </c>
      <c r="K112" s="107" t="n"/>
      <c r="L112" s="107" t="n"/>
      <c r="M112" s="107" t="n"/>
      <c r="N112" s="107" t="n"/>
      <c r="O112" s="107" t="n"/>
      <c r="P112" s="107" t="n"/>
      <c r="Q112" s="107" t="n"/>
      <c r="R112" s="107" t="n"/>
      <c r="S112" s="107" t="n"/>
      <c r="T112" s="107" t="n"/>
      <c r="U112" s="107" t="n"/>
    </row>
    <row r="113" ht="22" customHeight="1" s="86">
      <c r="A113" s="111">
        <f>IF('01_인적정보'!B55="","",'01_인적정보'!A55)</f>
        <v/>
      </c>
      <c r="B113" s="111">
        <f>IF('01_인적정보'!B55="","",'01_인적정보'!B55)</f>
        <v/>
      </c>
      <c r="C113" s="112">
        <f>IF('01_인적정보'!B55="","",'01_인적정보'!C55)</f>
        <v/>
      </c>
      <c r="D113" s="112">
        <f>IF('01_인적정보'!B55="","",'01_인적정보'!E55)</f>
        <v/>
      </c>
      <c r="E113" s="113">
        <f>IF('01_인적정보'!B55="","",'01_인적정보'!H55)</f>
        <v/>
      </c>
      <c r="F113" s="120">
        <f>IF('01_인적정보'!B55="","",'01_인적정보'!L55)</f>
        <v/>
      </c>
      <c r="G113" s="114">
        <f>IF('01_인적정보'!B55="","",'07b_하반기입력'!K55)</f>
        <v/>
      </c>
      <c r="H113" s="114">
        <f>IF('01_인적정보'!B55="","",'07b_하반기입력'!L55)</f>
        <v/>
      </c>
      <c r="I113" s="115">
        <f>IFERROR(IF(AND(G113&lt;&gt;"",H113&lt;&gt;""),'02_의사결정·종합결과'!$B$67*IFERROR(CHOOSE(FIND(G113,"DCBAS"),1,2,3,4,5),0)+'02_의사결정·종합결과'!$B$68*IFERROR(CHOOSE(FIND(H113,"DCBAS"),1,2,3,4,5),0),IF(G113&lt;&gt;"",IFERROR(CHOOSE(FIND(G113,"DCBAS"),1,2,3,4,5),0),IF(H113&lt;&gt;"",IFERROR(CHOOSE(FIND(H113,"DCBAS"),1,2,3,4,5),0),""))),"")</f>
        <v/>
      </c>
      <c r="J113" s="116">
        <f>IF(I113="","",IF(I113&gt;=4.5,"S",IF(I113&gt;=3.5,"A",IF(I113&gt;=2.5,"B",IF(I113&gt;=1.5,"C","D")))))</f>
        <v/>
      </c>
      <c r="K113" s="107" t="n"/>
      <c r="L113" s="107" t="n"/>
      <c r="M113" s="107" t="n"/>
      <c r="N113" s="107" t="n"/>
      <c r="O113" s="107" t="n"/>
      <c r="P113" s="107" t="n"/>
      <c r="Q113" s="107" t="n"/>
      <c r="R113" s="107" t="n"/>
      <c r="S113" s="107" t="n"/>
      <c r="T113" s="107" t="n"/>
      <c r="U113" s="107" t="n"/>
    </row>
    <row r="114">
      <c r="A114" s="107" t="n"/>
      <c r="B114" s="107" t="n"/>
      <c r="C114" s="107" t="n"/>
      <c r="D114" s="107" t="n"/>
      <c r="E114" s="107" t="n"/>
      <c r="F114" s="107" t="n"/>
      <c r="G114" s="107" t="n"/>
      <c r="H114" s="107" t="n"/>
      <c r="I114" s="107" t="n"/>
      <c r="J114" s="107" t="n"/>
      <c r="K114" s="107" t="n"/>
      <c r="L114" s="107" t="n"/>
      <c r="M114" s="107" t="n"/>
      <c r="N114" s="107" t="n"/>
      <c r="O114" s="107" t="n"/>
      <c r="P114" s="107" t="n"/>
      <c r="Q114" s="107" t="n"/>
      <c r="R114" s="107" t="n"/>
      <c r="S114" s="107" t="n"/>
      <c r="T114" s="107" t="n"/>
      <c r="U114" s="107" t="n"/>
    </row>
    <row r="115">
      <c r="A115" s="107" t="n"/>
      <c r="B115" s="107" t="n"/>
      <c r="C115" s="107" t="n"/>
      <c r="D115" s="107" t="n"/>
      <c r="E115" s="107" t="n"/>
      <c r="F115" s="107" t="n"/>
      <c r="G115" s="107" t="n"/>
      <c r="H115" s="107" t="n"/>
      <c r="I115" s="107" t="n"/>
      <c r="J115" s="107" t="n"/>
      <c r="K115" s="107" t="n"/>
      <c r="L115" s="107" t="n"/>
      <c r="M115" s="107" t="n"/>
      <c r="N115" s="107" t="n"/>
      <c r="O115" s="107" t="n"/>
      <c r="P115" s="107" t="n"/>
      <c r="Q115" s="107" t="n"/>
      <c r="R115" s="107" t="n"/>
      <c r="S115" s="107" t="n"/>
      <c r="T115" s="107" t="n"/>
      <c r="U115" s="107" t="n"/>
    </row>
    <row r="116">
      <c r="A116" s="107" t="n"/>
      <c r="B116" s="107" t="n"/>
      <c r="C116" s="107" t="n"/>
      <c r="D116" s="107" t="n"/>
      <c r="E116" s="107" t="n"/>
      <c r="F116" s="107" t="n"/>
      <c r="G116" s="107" t="n"/>
      <c r="H116" s="107" t="n"/>
      <c r="I116" s="107" t="n"/>
      <c r="J116" s="107" t="n"/>
      <c r="K116" s="107" t="n"/>
      <c r="L116" s="107" t="n"/>
      <c r="M116" s="107" t="n"/>
      <c r="N116" s="107" t="n"/>
      <c r="O116" s="107" t="n"/>
      <c r="P116" s="107" t="n"/>
      <c r="Q116" s="107" t="n"/>
      <c r="R116" s="107" t="n"/>
      <c r="S116" s="107" t="n"/>
      <c r="T116" s="107" t="n"/>
      <c r="U116" s="107" t="n"/>
    </row>
    <row r="117">
      <c r="A117" s="107" t="n"/>
      <c r="B117" s="107" t="n"/>
      <c r="C117" s="107" t="n"/>
      <c r="D117" s="107" t="n"/>
      <c r="E117" s="107" t="n"/>
      <c r="F117" s="107" t="n"/>
      <c r="G117" s="107" t="n"/>
      <c r="H117" s="107" t="n"/>
      <c r="I117" s="107" t="n"/>
      <c r="J117" s="107" t="n"/>
      <c r="K117" s="107" t="n"/>
      <c r="L117" s="107" t="n"/>
      <c r="M117" s="107" t="n"/>
      <c r="N117" s="107" t="n"/>
      <c r="O117" s="107" t="n"/>
      <c r="P117" s="107" t="n"/>
      <c r="Q117" s="107" t="n"/>
      <c r="R117" s="107" t="n"/>
      <c r="S117" s="107" t="n"/>
      <c r="T117" s="107" t="n"/>
      <c r="U117" s="107" t="n"/>
    </row>
    <row r="118">
      <c r="A118" s="107" t="n"/>
      <c r="B118" s="107" t="n"/>
      <c r="C118" s="107" t="n"/>
      <c r="D118" s="107" t="n"/>
      <c r="E118" s="107" t="n"/>
      <c r="F118" s="107" t="n"/>
      <c r="G118" s="107" t="n"/>
      <c r="H118" s="107" t="n"/>
      <c r="I118" s="107" t="n"/>
      <c r="J118" s="107" t="n"/>
      <c r="K118" s="107" t="n"/>
      <c r="L118" s="107" t="n"/>
      <c r="M118" s="107" t="n"/>
      <c r="N118" s="107" t="n"/>
      <c r="O118" s="107" t="n"/>
      <c r="P118" s="107" t="n"/>
      <c r="Q118" s="107" t="n"/>
      <c r="R118" s="107" t="n"/>
      <c r="S118" s="107" t="n"/>
      <c r="T118" s="107" t="n"/>
      <c r="U118" s="107" t="n"/>
    </row>
    <row r="119">
      <c r="A119" s="107" t="n"/>
      <c r="B119" s="107" t="n"/>
      <c r="C119" s="107" t="n"/>
      <c r="D119" s="107" t="n"/>
      <c r="E119" s="107" t="n"/>
      <c r="F119" s="107" t="n"/>
      <c r="G119" s="107" t="n"/>
      <c r="H119" s="107" t="n"/>
      <c r="I119" s="107" t="n"/>
      <c r="J119" s="107" t="n"/>
      <c r="K119" s="107" t="n"/>
      <c r="L119" s="107" t="n"/>
      <c r="M119" s="107" t="n"/>
      <c r="N119" s="107" t="n"/>
      <c r="O119" s="107" t="n"/>
      <c r="P119" s="107" t="n"/>
      <c r="Q119" s="107" t="n"/>
      <c r="R119" s="107" t="n"/>
      <c r="S119" s="107" t="n"/>
      <c r="T119" s="107" t="n"/>
      <c r="U119" s="107" t="n"/>
    </row>
    <row r="120">
      <c r="A120" s="107" t="n"/>
      <c r="B120" s="107" t="n"/>
      <c r="C120" s="107" t="n"/>
      <c r="D120" s="107" t="n"/>
      <c r="E120" s="107" t="n"/>
      <c r="F120" s="107" t="n"/>
      <c r="G120" s="107" t="n"/>
      <c r="H120" s="107" t="n"/>
      <c r="I120" s="107" t="n"/>
      <c r="J120" s="107" t="n"/>
      <c r="K120" s="107" t="n"/>
      <c r="L120" s="107" t="n"/>
      <c r="M120" s="107" t="n"/>
      <c r="N120" s="107" t="n"/>
      <c r="O120" s="107" t="n"/>
      <c r="P120" s="107" t="n"/>
      <c r="Q120" s="107" t="n"/>
      <c r="R120" s="107" t="n"/>
      <c r="S120" s="107" t="n"/>
      <c r="T120" s="107" t="n"/>
      <c r="U120" s="107" t="n"/>
    </row>
    <row r="121">
      <c r="A121" s="107" t="n"/>
      <c r="B121" s="107" t="n"/>
      <c r="C121" s="107" t="n"/>
      <c r="D121" s="107" t="n"/>
      <c r="E121" s="107" t="n"/>
      <c r="F121" s="107" t="n"/>
      <c r="G121" s="107" t="n"/>
      <c r="H121" s="107" t="n"/>
      <c r="I121" s="107" t="n"/>
      <c r="J121" s="107" t="n"/>
      <c r="K121" s="107" t="n"/>
      <c r="L121" s="107" t="n"/>
      <c r="M121" s="107" t="n"/>
      <c r="N121" s="107" t="n"/>
      <c r="O121" s="107" t="n"/>
      <c r="P121" s="107" t="n"/>
      <c r="Q121" s="107" t="n"/>
      <c r="R121" s="107" t="n"/>
      <c r="S121" s="107" t="n"/>
      <c r="T121" s="107" t="n"/>
      <c r="U121" s="107" t="n"/>
    </row>
    <row r="122">
      <c r="A122" s="107" t="n"/>
      <c r="B122" s="107" t="n"/>
      <c r="C122" s="107" t="n"/>
      <c r="D122" s="107" t="n"/>
      <c r="E122" s="107" t="n"/>
      <c r="F122" s="107" t="n"/>
      <c r="G122" s="107" t="n"/>
      <c r="H122" s="107" t="n"/>
      <c r="I122" s="107" t="n"/>
      <c r="J122" s="107" t="n"/>
      <c r="K122" s="107" t="n"/>
      <c r="L122" s="107" t="n"/>
      <c r="M122" s="107" t="n"/>
      <c r="N122" s="107" t="n"/>
      <c r="O122" s="107" t="n"/>
      <c r="P122" s="107" t="n"/>
      <c r="Q122" s="107" t="n"/>
      <c r="R122" s="107" t="n"/>
      <c r="S122" s="107" t="n"/>
      <c r="T122" s="107" t="n"/>
      <c r="U122" s="107" t="n"/>
    </row>
    <row r="123">
      <c r="A123" s="107" t="n"/>
      <c r="B123" s="107" t="n"/>
      <c r="C123" s="107" t="n"/>
      <c r="D123" s="107" t="n"/>
      <c r="E123" s="107" t="n"/>
      <c r="F123" s="107" t="n"/>
      <c r="G123" s="107" t="n"/>
      <c r="H123" s="107" t="n"/>
      <c r="I123" s="107" t="n"/>
      <c r="J123" s="107" t="n"/>
      <c r="K123" s="107" t="n"/>
      <c r="L123" s="107" t="n"/>
      <c r="M123" s="107" t="n"/>
      <c r="N123" s="107" t="n"/>
      <c r="O123" s="107" t="n"/>
      <c r="P123" s="107" t="n"/>
      <c r="Q123" s="107" t="n"/>
      <c r="R123" s="107" t="n"/>
      <c r="S123" s="107" t="n"/>
      <c r="T123" s="107" t="n"/>
      <c r="U123" s="107" t="n"/>
    </row>
    <row r="124">
      <c r="A124" s="107" t="n"/>
      <c r="B124" s="107" t="n"/>
      <c r="C124" s="107" t="n"/>
      <c r="D124" s="107" t="n"/>
      <c r="E124" s="107" t="n"/>
      <c r="F124" s="107" t="n"/>
      <c r="G124" s="107" t="n"/>
      <c r="H124" s="107" t="n"/>
      <c r="I124" s="107" t="n"/>
      <c r="J124" s="107" t="n"/>
      <c r="K124" s="107" t="n"/>
      <c r="L124" s="107" t="n"/>
      <c r="M124" s="107" t="n"/>
      <c r="N124" s="107" t="n"/>
      <c r="O124" s="107" t="n"/>
      <c r="P124" s="107" t="n"/>
      <c r="Q124" s="107" t="n"/>
      <c r="R124" s="107" t="n"/>
      <c r="S124" s="107" t="n"/>
      <c r="T124" s="107" t="n"/>
      <c r="U124" s="107" t="n"/>
    </row>
    <row r="125">
      <c r="A125" s="107" t="n"/>
      <c r="B125" s="107" t="n"/>
      <c r="C125" s="107" t="n"/>
      <c r="D125" s="107" t="n"/>
      <c r="E125" s="107" t="n"/>
      <c r="F125" s="107" t="n"/>
      <c r="G125" s="107" t="n"/>
      <c r="H125" s="107" t="n"/>
      <c r="I125" s="107" t="n"/>
      <c r="J125" s="107" t="n"/>
      <c r="K125" s="107" t="n"/>
      <c r="L125" s="107" t="n"/>
      <c r="M125" s="107" t="n"/>
      <c r="N125" s="107" t="n"/>
      <c r="O125" s="107" t="n"/>
      <c r="P125" s="107" t="n"/>
      <c r="Q125" s="107" t="n"/>
      <c r="R125" s="107" t="n"/>
      <c r="S125" s="107" t="n"/>
      <c r="T125" s="107" t="n"/>
      <c r="U125" s="107" t="n"/>
    </row>
    <row r="126">
      <c r="A126" s="107" t="n"/>
      <c r="B126" s="107" t="n"/>
      <c r="C126" s="107" t="n"/>
      <c r="D126" s="107" t="n"/>
      <c r="E126" s="107" t="n"/>
      <c r="F126" s="107" t="n"/>
      <c r="G126" s="107" t="n"/>
      <c r="H126" s="107" t="n"/>
      <c r="I126" s="107" t="n"/>
      <c r="J126" s="107" t="n"/>
      <c r="K126" s="107" t="n"/>
      <c r="L126" s="107" t="n"/>
      <c r="M126" s="107" t="n"/>
      <c r="N126" s="107" t="n"/>
      <c r="O126" s="107" t="n"/>
      <c r="P126" s="107" t="n"/>
      <c r="Q126" s="107" t="n"/>
      <c r="R126" s="107" t="n"/>
      <c r="S126" s="107" t="n"/>
      <c r="T126" s="107" t="n"/>
      <c r="U126" s="107" t="n"/>
    </row>
    <row r="127">
      <c r="A127" s="107" t="n"/>
      <c r="B127" s="107" t="n"/>
      <c r="C127" s="107" t="n"/>
      <c r="D127" s="107" t="n"/>
      <c r="E127" s="107" t="n"/>
      <c r="F127" s="107" t="n"/>
      <c r="G127" s="107" t="n"/>
      <c r="H127" s="107" t="n"/>
      <c r="I127" s="107" t="n"/>
      <c r="J127" s="107" t="n"/>
      <c r="K127" s="107" t="n"/>
      <c r="L127" s="107" t="n"/>
      <c r="M127" s="107" t="n"/>
      <c r="N127" s="107" t="n"/>
      <c r="O127" s="107" t="n"/>
      <c r="P127" s="107" t="n"/>
      <c r="Q127" s="107" t="n"/>
      <c r="R127" s="107" t="n"/>
      <c r="S127" s="107" t="n"/>
      <c r="T127" s="107" t="n"/>
      <c r="U127" s="107" t="n"/>
    </row>
    <row r="128">
      <c r="A128" s="107" t="n"/>
      <c r="B128" s="107" t="n"/>
      <c r="C128" s="107" t="n"/>
      <c r="D128" s="107" t="n"/>
      <c r="E128" s="107" t="n"/>
      <c r="F128" s="107" t="n"/>
      <c r="G128" s="107" t="n"/>
      <c r="H128" s="107" t="n"/>
      <c r="I128" s="107" t="n"/>
      <c r="J128" s="107" t="n"/>
      <c r="K128" s="107" t="n"/>
      <c r="L128" s="107" t="n"/>
      <c r="M128" s="107" t="n"/>
      <c r="N128" s="107" t="n"/>
      <c r="O128" s="107" t="n"/>
      <c r="P128" s="107" t="n"/>
      <c r="Q128" s="107" t="n"/>
      <c r="R128" s="107" t="n"/>
      <c r="S128" s="107" t="n"/>
      <c r="T128" s="107" t="n"/>
      <c r="U128" s="107" t="n"/>
    </row>
    <row r="129">
      <c r="A129" s="107" t="n"/>
      <c r="B129" s="107" t="n"/>
      <c r="C129" s="107" t="n"/>
      <c r="D129" s="107" t="n"/>
      <c r="E129" s="107" t="n"/>
      <c r="F129" s="107" t="n"/>
      <c r="G129" s="107" t="n"/>
      <c r="H129" s="107" t="n"/>
      <c r="I129" s="107" t="n"/>
      <c r="J129" s="107" t="n"/>
      <c r="K129" s="107" t="n"/>
      <c r="L129" s="107" t="n"/>
      <c r="M129" s="107" t="n"/>
      <c r="N129" s="107" t="n"/>
      <c r="O129" s="107" t="n"/>
      <c r="P129" s="107" t="n"/>
      <c r="Q129" s="107" t="n"/>
      <c r="R129" s="107" t="n"/>
      <c r="S129" s="107" t="n"/>
      <c r="T129" s="107" t="n"/>
      <c r="U129" s="107" t="n"/>
    </row>
  </sheetData>
  <mergeCells count="4">
    <mergeCell ref="A1:J1"/>
    <mergeCell ref="A4:J4"/>
    <mergeCell ref="A2:J2"/>
    <mergeCell ref="A62:J62"/>
  </mergeCells>
  <conditionalFormatting sqref="G6:J55">
    <cfRule type="cellIs" priority="13" operator="equal" dxfId="65">
      <formula>"S"</formula>
    </cfRule>
    <cfRule type="cellIs" priority="14" operator="equal" dxfId="66">
      <formula>"A"</formula>
    </cfRule>
    <cfRule type="cellIs" priority="15" operator="equal" dxfId="67">
      <formula>"C"</formula>
    </cfRule>
    <cfRule type="cellIs" priority="16" operator="equal" dxfId="68">
      <formula>"D"</formula>
    </cfRule>
  </conditionalFormatting>
  <conditionalFormatting sqref="G64:J113">
    <cfRule type="cellIs" priority="17" operator="equal" dxfId="65">
      <formula>"S"</formula>
    </cfRule>
    <cfRule type="cellIs" priority="18" operator="equal" dxfId="66">
      <formula>"A"</formula>
    </cfRule>
    <cfRule type="cellIs" priority="19" operator="equal" dxfId="67">
      <formula>"C"</formula>
    </cfRule>
    <cfRule type="cellIs" priority="20" operator="equal" dxfId="68">
      <formula>"D"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FFC000"/>
    <outlinePr summaryBelow="1" summaryRight="1"/>
    <pageSetUpPr/>
  </sheetPr>
  <dimension ref="A1:AC59"/>
  <sheetViews>
    <sheetView workbookViewId="0">
      <pane xSplit="6" ySplit="5" topLeftCell="G6" activePane="bottomRight" state="frozen"/>
      <selection pane="topRight" activeCell="A1" sqref="A1"/>
      <selection pane="bottomLeft" activeCell="A1" sqref="A1"/>
      <selection pane="bottomRight" activeCell="L6" sqref="L6"/>
    </sheetView>
  </sheetViews>
  <sheetFormatPr baseColWidth="8" defaultRowHeight="16.9"/>
  <cols>
    <col width="5" customWidth="1" style="86" min="1" max="1"/>
    <col width="10" customWidth="1" style="86" min="2" max="2"/>
    <col width="9" customWidth="1" style="86" min="3" max="3"/>
    <col width="11" customWidth="1" style="86" min="4" max="4"/>
    <col width="14" customWidth="1" style="86" min="5" max="5"/>
    <col width="9" customWidth="1" style="86" min="6" max="6"/>
    <col width="10" customWidth="1" style="86" min="7" max="12"/>
    <col width="28" customWidth="1" style="86" min="13" max="13"/>
    <col width="10" customWidth="1" style="86" min="14" max="17"/>
    <col width="9" customWidth="1" style="86" min="18" max="22"/>
    <col width="10" customWidth="1" style="86" min="23" max="24"/>
    <col width="9" customWidth="1" style="86" min="25" max="26"/>
    <col width="25" customWidth="1" style="86" min="27" max="27"/>
  </cols>
  <sheetData>
    <row r="1" ht="30" customHeight="1" s="86">
      <c r="A1" s="82" t="inlineStr">
        <is>
          <t>상반기 평가 결과 입력</t>
        </is>
      </c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7" t="n"/>
      <c r="N1" s="58" t="n"/>
      <c r="O1" s="58" t="n"/>
      <c r="P1" s="58" t="n"/>
      <c r="Q1" s="58" t="n"/>
      <c r="R1" s="58" t="n"/>
      <c r="S1" s="58" t="n"/>
      <c r="T1" s="58" t="n"/>
      <c r="U1" s="58" t="n"/>
      <c r="V1" s="58" t="n"/>
      <c r="W1" s="58" t="n"/>
      <c r="X1" s="58" t="n"/>
      <c r="Y1" s="58" t="n"/>
      <c r="Z1" s="58" t="n"/>
      <c r="AA1" s="58" t="n"/>
      <c r="AB1" s="58" t="n"/>
      <c r="AC1" s="58" t="n"/>
    </row>
    <row r="2" ht="32" customHeight="1" s="86">
      <c r="A2" s="74" t="inlineStr">
        <is>
          <t>평가지에서 각 직원별 [복사용 입력 행]을 통째로 복사 → 해당 사번 행 G열부터 [값 붙여넣기]. 1차·2차 평가자별 종합 등급을 받고, 02_의사결정의 평가자 가중치를 자동 적용해 04~06 시트에서 확정 등급 산출.</t>
        </is>
      </c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7" t="n"/>
      <c r="N2" s="58" t="n"/>
      <c r="O2" s="58" t="n"/>
      <c r="P2" s="58" t="n"/>
      <c r="Q2" s="58" t="n"/>
      <c r="R2" s="58" t="n"/>
      <c r="S2" s="58" t="n"/>
      <c r="T2" s="58" t="n"/>
      <c r="U2" s="58" t="n"/>
      <c r="V2" s="58" t="n"/>
      <c r="W2" s="58" t="n"/>
      <c r="X2" s="58" t="n"/>
      <c r="Y2" s="58" t="n"/>
      <c r="Z2" s="58" t="n"/>
      <c r="AA2" s="58" t="n"/>
      <c r="AB2" s="58" t="n"/>
      <c r="AC2" s="58" t="n"/>
    </row>
    <row r="3" ht="18" customHeight="1" s="86">
      <c r="A3" s="58" t="n"/>
      <c r="B3" s="58" t="n"/>
      <c r="C3" s="58" t="n"/>
      <c r="D3" s="58" t="n"/>
      <c r="E3" s="58" t="n"/>
      <c r="F3" s="58" t="n"/>
      <c r="G3" s="58" t="n"/>
      <c r="H3" s="58" t="n"/>
      <c r="I3" s="58" t="n"/>
      <c r="J3" s="58" t="n"/>
      <c r="K3" s="58" t="n"/>
      <c r="L3" s="58" t="n"/>
      <c r="M3" s="58" t="n"/>
      <c r="N3" s="58" t="n"/>
      <c r="O3" s="58" t="n"/>
      <c r="P3" s="58" t="n"/>
      <c r="Q3" s="58" t="n"/>
      <c r="R3" s="58" t="n"/>
      <c r="S3" s="58" t="n"/>
      <c r="T3" s="58" t="n"/>
      <c r="U3" s="58" t="n"/>
      <c r="V3" s="58" t="n"/>
      <c r="W3" s="58" t="n"/>
      <c r="X3" s="58" t="n"/>
      <c r="Y3" s="58" t="n"/>
      <c r="Z3" s="58" t="n"/>
      <c r="AA3" s="58" t="n"/>
      <c r="AB3" s="58" t="n"/>
      <c r="AC3" s="58" t="n"/>
    </row>
    <row r="4" ht="22.05" customHeight="1" s="86">
      <c r="A4" s="79" t="inlineStr">
        <is>
          <t>인적정보</t>
        </is>
      </c>
      <c r="B4" s="66" t="n"/>
      <c r="C4" s="66" t="n"/>
      <c r="D4" s="66" t="n"/>
      <c r="E4" s="66" t="n"/>
      <c r="F4" s="67" t="n"/>
      <c r="G4" s="88" t="inlineStr">
        <is>
          <t>역할평가</t>
        </is>
      </c>
      <c r="H4" s="67" t="n"/>
      <c r="I4" s="68" t="inlineStr">
        <is>
          <t>공통역량</t>
        </is>
      </c>
      <c r="J4" s="67" t="n"/>
      <c r="K4" s="89" t="inlineStr">
        <is>
          <t>직무역량</t>
        </is>
      </c>
      <c r="L4" s="67" t="n"/>
      <c r="M4" s="27" t="inlineStr">
        <is>
          <t>소견</t>
        </is>
      </c>
      <c r="N4" s="58" t="n"/>
      <c r="O4" s="58" t="n"/>
      <c r="P4" s="58" t="n"/>
      <c r="Q4" s="58" t="n"/>
      <c r="R4" s="58" t="n"/>
      <c r="S4" s="58" t="n"/>
      <c r="T4" s="58" t="n"/>
      <c r="U4" s="58" t="n"/>
      <c r="V4" s="58" t="n"/>
      <c r="W4" s="58" t="n"/>
      <c r="X4" s="58" t="n"/>
      <c r="Y4" s="58" t="n"/>
      <c r="Z4" s="58" t="n"/>
      <c r="AA4" s="58" t="n"/>
      <c r="AB4" s="58" t="n"/>
      <c r="AC4" s="58" t="n"/>
    </row>
    <row r="5" ht="30" customHeight="1" s="86">
      <c r="A5" s="91" t="inlineStr">
        <is>
          <t>No.</t>
        </is>
      </c>
      <c r="B5" s="91" t="inlineStr">
        <is>
          <t>사번</t>
        </is>
      </c>
      <c r="C5" s="91" t="inlineStr">
        <is>
          <t>성명</t>
        </is>
      </c>
      <c r="D5" s="91" t="inlineStr">
        <is>
          <t>직군</t>
        </is>
      </c>
      <c r="E5" s="91" t="inlineStr">
        <is>
          <t>직무</t>
        </is>
      </c>
      <c r="F5" s="91" t="inlineStr">
        <is>
          <t>역할등급</t>
        </is>
      </c>
      <c r="G5" s="29" t="inlineStr">
        <is>
          <t>역할(1차)</t>
        </is>
      </c>
      <c r="H5" s="29" t="inlineStr">
        <is>
          <t>역할(2차)</t>
        </is>
      </c>
      <c r="I5" s="30" t="inlineStr">
        <is>
          <t>공통(1차)</t>
        </is>
      </c>
      <c r="J5" s="30" t="inlineStr">
        <is>
          <t>공통(2차)</t>
        </is>
      </c>
      <c r="K5" s="31" t="inlineStr">
        <is>
          <t>직무(1차)</t>
        </is>
      </c>
      <c r="L5" s="31" t="inlineStr">
        <is>
          <t>직무(2차)</t>
        </is>
      </c>
      <c r="M5" s="32" t="inlineStr">
        <is>
          <t>종합 소견</t>
        </is>
      </c>
      <c r="N5" s="58" t="n"/>
      <c r="O5" s="58" t="n"/>
      <c r="P5" s="58" t="n"/>
      <c r="Q5" s="58" t="n"/>
      <c r="R5" s="58" t="n"/>
      <c r="S5" s="58" t="n"/>
      <c r="T5" s="58" t="n"/>
      <c r="U5" s="58" t="n"/>
      <c r="V5" s="58" t="n"/>
      <c r="W5" s="58" t="n"/>
      <c r="X5" s="58" t="n"/>
      <c r="Y5" s="58" t="n"/>
      <c r="Z5" s="58" t="n"/>
      <c r="AA5" s="58" t="n"/>
      <c r="AB5" s="58" t="n"/>
      <c r="AC5" s="58" t="n"/>
    </row>
    <row r="6" ht="24" customHeight="1" s="86">
      <c r="A6" s="75">
        <f>'01_인적정보'!A6</f>
        <v/>
      </c>
      <c r="B6" s="75">
        <f>'01_인적정보'!B6</f>
        <v/>
      </c>
      <c r="C6" s="69">
        <f>'01_인적정보'!C6</f>
        <v/>
      </c>
      <c r="D6" s="69">
        <f>'01_인적정보'!D6</f>
        <v/>
      </c>
      <c r="E6" s="69">
        <f>'01_인적정보'!E6</f>
        <v/>
      </c>
      <c r="F6" s="11">
        <f>'01_인적정보'!H6</f>
        <v/>
      </c>
      <c r="G6" s="17" t="n"/>
      <c r="H6" s="17" t="n"/>
      <c r="I6" s="17" t="n"/>
      <c r="J6" s="17" t="n"/>
      <c r="K6" s="17" t="n"/>
      <c r="L6" s="17" t="n"/>
      <c r="M6" s="1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</row>
    <row r="7" ht="24" customHeight="1" s="86">
      <c r="A7" s="75">
        <f>'01_인적정보'!A7</f>
        <v/>
      </c>
      <c r="B7" s="75">
        <f>'01_인적정보'!B7</f>
        <v/>
      </c>
      <c r="C7" s="69">
        <f>'01_인적정보'!C7</f>
        <v/>
      </c>
      <c r="D7" s="69">
        <f>'01_인적정보'!D7</f>
        <v/>
      </c>
      <c r="E7" s="69">
        <f>'01_인적정보'!E7</f>
        <v/>
      </c>
      <c r="F7" s="11">
        <f>'01_인적정보'!H7</f>
        <v/>
      </c>
      <c r="G7" s="17" t="n"/>
      <c r="H7" s="17" t="n"/>
      <c r="I7" s="17" t="n"/>
      <c r="J7" s="17" t="n"/>
      <c r="K7" s="17" t="n"/>
      <c r="L7" s="17" t="n"/>
      <c r="M7" s="1" t="n"/>
      <c r="N7" s="58" t="n"/>
      <c r="O7" s="58" t="n"/>
      <c r="P7" s="58" t="n"/>
      <c r="Q7" s="58" t="n"/>
      <c r="R7" s="58" t="n"/>
      <c r="S7" s="58" t="n"/>
      <c r="T7" s="58" t="n"/>
      <c r="U7" s="58" t="n"/>
      <c r="V7" s="58" t="n"/>
      <c r="W7" s="58" t="n"/>
      <c r="X7" s="58" t="n"/>
      <c r="Y7" s="58" t="n"/>
      <c r="Z7" s="58" t="n"/>
      <c r="AA7" s="58" t="n"/>
      <c r="AB7" s="58" t="n"/>
      <c r="AC7" s="58" t="n"/>
    </row>
    <row r="8" ht="24" customHeight="1" s="86">
      <c r="A8" s="75">
        <f>'01_인적정보'!A8</f>
        <v/>
      </c>
      <c r="B8" s="75">
        <f>'01_인적정보'!B8</f>
        <v/>
      </c>
      <c r="C8" s="69">
        <f>'01_인적정보'!C8</f>
        <v/>
      </c>
      <c r="D8" s="69">
        <f>'01_인적정보'!D8</f>
        <v/>
      </c>
      <c r="E8" s="69">
        <f>'01_인적정보'!E8</f>
        <v/>
      </c>
      <c r="F8" s="11">
        <f>'01_인적정보'!H8</f>
        <v/>
      </c>
      <c r="G8" s="17" t="n"/>
      <c r="H8" s="17" t="n"/>
      <c r="I8" s="17" t="n"/>
      <c r="J8" s="17" t="n"/>
      <c r="K8" s="17" t="n"/>
      <c r="L8" s="17" t="n"/>
      <c r="M8" s="1" t="n"/>
      <c r="N8" s="58" t="n"/>
      <c r="O8" s="58" t="n"/>
      <c r="P8" s="58" t="n"/>
      <c r="Q8" s="58" t="n"/>
      <c r="R8" s="58" t="n"/>
      <c r="S8" s="58" t="n"/>
      <c r="T8" s="58" t="n"/>
      <c r="U8" s="58" t="n"/>
      <c r="V8" s="58" t="n"/>
      <c r="W8" s="58" t="n"/>
      <c r="X8" s="58" t="n"/>
      <c r="Y8" s="58" t="n"/>
      <c r="Z8" s="58" t="n"/>
      <c r="AA8" s="58" t="n"/>
      <c r="AB8" s="58" t="n"/>
      <c r="AC8" s="58" t="n"/>
    </row>
    <row r="9" ht="24" customHeight="1" s="86">
      <c r="A9" s="75">
        <f>'01_인적정보'!A9</f>
        <v/>
      </c>
      <c r="B9" s="75">
        <f>'01_인적정보'!B9</f>
        <v/>
      </c>
      <c r="C9" s="69">
        <f>'01_인적정보'!C9</f>
        <v/>
      </c>
      <c r="D9" s="69">
        <f>'01_인적정보'!D9</f>
        <v/>
      </c>
      <c r="E9" s="69">
        <f>'01_인적정보'!E9</f>
        <v/>
      </c>
      <c r="F9" s="11">
        <f>'01_인적정보'!H9</f>
        <v/>
      </c>
      <c r="G9" s="17" t="n"/>
      <c r="H9" s="17" t="n"/>
      <c r="I9" s="17" t="n"/>
      <c r="J9" s="17" t="n"/>
      <c r="K9" s="17" t="n"/>
      <c r="L9" s="17" t="n"/>
      <c r="M9" s="1" t="n"/>
      <c r="N9" s="58" t="n"/>
      <c r="O9" s="58" t="n"/>
      <c r="P9" s="58" t="n"/>
      <c r="Q9" s="58" t="n"/>
      <c r="R9" s="58" t="n"/>
      <c r="S9" s="58" t="n"/>
      <c r="T9" s="58" t="n"/>
      <c r="U9" s="58" t="n"/>
      <c r="V9" s="58" t="n"/>
      <c r="W9" s="58" t="n"/>
      <c r="X9" s="58" t="n"/>
      <c r="Y9" s="58" t="n"/>
      <c r="Z9" s="58" t="n"/>
      <c r="AA9" s="58" t="n"/>
      <c r="AB9" s="58" t="n"/>
      <c r="AC9" s="58" t="n"/>
    </row>
    <row r="10" ht="24" customHeight="1" s="86">
      <c r="A10" s="75">
        <f>'01_인적정보'!A10</f>
        <v/>
      </c>
      <c r="B10" s="75">
        <f>'01_인적정보'!B10</f>
        <v/>
      </c>
      <c r="C10" s="69">
        <f>'01_인적정보'!C10</f>
        <v/>
      </c>
      <c r="D10" s="69">
        <f>'01_인적정보'!D10</f>
        <v/>
      </c>
      <c r="E10" s="69">
        <f>'01_인적정보'!E10</f>
        <v/>
      </c>
      <c r="F10" s="11">
        <f>'01_인적정보'!H10</f>
        <v/>
      </c>
      <c r="G10" s="17" t="n"/>
      <c r="H10" s="17" t="n"/>
      <c r="I10" s="17" t="n"/>
      <c r="J10" s="17" t="n"/>
      <c r="K10" s="17" t="n"/>
      <c r="L10" s="17" t="n"/>
      <c r="M10" s="1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</row>
    <row r="11" ht="24" customHeight="1" s="86">
      <c r="A11" s="75">
        <f>'01_인적정보'!A11</f>
        <v/>
      </c>
      <c r="B11" s="75">
        <f>'01_인적정보'!B11</f>
        <v/>
      </c>
      <c r="C11" s="69">
        <f>'01_인적정보'!C11</f>
        <v/>
      </c>
      <c r="D11" s="69">
        <f>'01_인적정보'!D11</f>
        <v/>
      </c>
      <c r="E11" s="69">
        <f>'01_인적정보'!E11</f>
        <v/>
      </c>
      <c r="F11" s="11">
        <f>'01_인적정보'!H11</f>
        <v/>
      </c>
      <c r="G11" s="17" t="n"/>
      <c r="H11" s="17" t="n"/>
      <c r="I11" s="17" t="n"/>
      <c r="J11" s="17" t="n"/>
      <c r="K11" s="17" t="n"/>
      <c r="L11" s="17" t="n"/>
      <c r="M11" s="1" t="n"/>
      <c r="N11" s="58" t="n"/>
      <c r="O11" s="58" t="n"/>
      <c r="P11" s="58" t="n"/>
      <c r="Q11" s="58" t="n"/>
      <c r="R11" s="58" t="n"/>
      <c r="S11" s="58" t="n"/>
      <c r="T11" s="58" t="n"/>
      <c r="U11" s="58" t="n"/>
      <c r="V11" s="58" t="n"/>
      <c r="W11" s="58" t="n"/>
      <c r="X11" s="58" t="n"/>
      <c r="Y11" s="58" t="n"/>
      <c r="Z11" s="58" t="n"/>
      <c r="AA11" s="58" t="n"/>
      <c r="AB11" s="58" t="n"/>
      <c r="AC11" s="58" t="n"/>
    </row>
    <row r="12" ht="24" customHeight="1" s="86">
      <c r="A12" s="75">
        <f>'01_인적정보'!A12</f>
        <v/>
      </c>
      <c r="B12" s="75">
        <f>'01_인적정보'!B12</f>
        <v/>
      </c>
      <c r="C12" s="69">
        <f>'01_인적정보'!C12</f>
        <v/>
      </c>
      <c r="D12" s="69">
        <f>'01_인적정보'!D12</f>
        <v/>
      </c>
      <c r="E12" s="69">
        <f>'01_인적정보'!E12</f>
        <v/>
      </c>
      <c r="F12" s="11">
        <f>'01_인적정보'!H12</f>
        <v/>
      </c>
      <c r="G12" s="17" t="n"/>
      <c r="H12" s="17" t="n"/>
      <c r="I12" s="17" t="n"/>
      <c r="J12" s="17" t="n"/>
      <c r="K12" s="17" t="n"/>
      <c r="L12" s="17" t="n"/>
      <c r="M12" s="1" t="n"/>
      <c r="N12" s="58" t="n"/>
      <c r="O12" s="58" t="n"/>
      <c r="P12" s="58" t="n"/>
      <c r="Q12" s="58" t="n"/>
      <c r="R12" s="58" t="n"/>
      <c r="S12" s="58" t="n"/>
      <c r="T12" s="58" t="n"/>
      <c r="U12" s="58" t="n"/>
      <c r="V12" s="58" t="n"/>
      <c r="W12" s="58" t="n"/>
      <c r="X12" s="58" t="n"/>
      <c r="Y12" s="58" t="n"/>
      <c r="Z12" s="58" t="n"/>
      <c r="AA12" s="58" t="n"/>
      <c r="AB12" s="58" t="n"/>
      <c r="AC12" s="58" t="n"/>
    </row>
    <row r="13" ht="24" customHeight="1" s="86">
      <c r="A13" s="75">
        <f>'01_인적정보'!A13</f>
        <v/>
      </c>
      <c r="B13" s="75">
        <f>'01_인적정보'!B13</f>
        <v/>
      </c>
      <c r="C13" s="69">
        <f>'01_인적정보'!C13</f>
        <v/>
      </c>
      <c r="D13" s="69">
        <f>'01_인적정보'!D13</f>
        <v/>
      </c>
      <c r="E13" s="69">
        <f>'01_인적정보'!E13</f>
        <v/>
      </c>
      <c r="F13" s="11">
        <f>'01_인적정보'!H13</f>
        <v/>
      </c>
      <c r="G13" s="17" t="n"/>
      <c r="H13" s="17" t="n"/>
      <c r="I13" s="17" t="n"/>
      <c r="J13" s="17" t="n"/>
      <c r="K13" s="17" t="n"/>
      <c r="L13" s="17" t="n"/>
      <c r="M13" s="1" t="n"/>
      <c r="N13" s="58" t="n"/>
      <c r="O13" s="58" t="n"/>
      <c r="P13" s="58" t="n"/>
      <c r="Q13" s="58" t="n"/>
      <c r="R13" s="58" t="n"/>
      <c r="S13" s="58" t="n"/>
      <c r="T13" s="58" t="n"/>
      <c r="U13" s="58" t="n"/>
      <c r="V13" s="58" t="n"/>
      <c r="W13" s="58" t="n"/>
      <c r="X13" s="58" t="n"/>
      <c r="Y13" s="58" t="n"/>
      <c r="Z13" s="58" t="n"/>
      <c r="AA13" s="58" t="n"/>
      <c r="AB13" s="58" t="n"/>
      <c r="AC13" s="58" t="n"/>
    </row>
    <row r="14" ht="24" customHeight="1" s="86">
      <c r="A14" s="75">
        <f>'01_인적정보'!A14</f>
        <v/>
      </c>
      <c r="B14" s="75">
        <f>'01_인적정보'!B14</f>
        <v/>
      </c>
      <c r="C14" s="69">
        <f>'01_인적정보'!C14</f>
        <v/>
      </c>
      <c r="D14" s="69">
        <f>'01_인적정보'!D14</f>
        <v/>
      </c>
      <c r="E14" s="69">
        <f>'01_인적정보'!E14</f>
        <v/>
      </c>
      <c r="F14" s="11">
        <f>'01_인적정보'!H14</f>
        <v/>
      </c>
      <c r="G14" s="17" t="n"/>
      <c r="H14" s="17" t="n"/>
      <c r="I14" s="17" t="n"/>
      <c r="J14" s="17" t="n"/>
      <c r="K14" s="17" t="n"/>
      <c r="L14" s="17" t="n"/>
      <c r="M14" s="1" t="n"/>
      <c r="N14" s="58" t="n"/>
      <c r="O14" s="58" t="n"/>
      <c r="P14" s="58" t="n"/>
      <c r="Q14" s="58" t="n"/>
      <c r="R14" s="58" t="n"/>
      <c r="S14" s="58" t="n"/>
      <c r="T14" s="58" t="n"/>
      <c r="U14" s="58" t="n"/>
      <c r="V14" s="58" t="n"/>
      <c r="W14" s="58" t="n"/>
      <c r="X14" s="58" t="n"/>
      <c r="Y14" s="58" t="n"/>
      <c r="Z14" s="58" t="n"/>
      <c r="AA14" s="58" t="n"/>
      <c r="AB14" s="58" t="n"/>
      <c r="AC14" s="58" t="n"/>
    </row>
    <row r="15" ht="24" customHeight="1" s="86">
      <c r="A15" s="75">
        <f>'01_인적정보'!A15</f>
        <v/>
      </c>
      <c r="B15" s="75">
        <f>'01_인적정보'!B15</f>
        <v/>
      </c>
      <c r="C15" s="69">
        <f>'01_인적정보'!C15</f>
        <v/>
      </c>
      <c r="D15" s="69">
        <f>'01_인적정보'!D15</f>
        <v/>
      </c>
      <c r="E15" s="69">
        <f>'01_인적정보'!E15</f>
        <v/>
      </c>
      <c r="F15" s="11">
        <f>'01_인적정보'!H15</f>
        <v/>
      </c>
      <c r="G15" s="17" t="n"/>
      <c r="H15" s="17" t="n"/>
      <c r="I15" s="17" t="n"/>
      <c r="J15" s="17" t="n"/>
      <c r="K15" s="17" t="n"/>
      <c r="L15" s="17" t="n"/>
      <c r="M15" s="1" t="n"/>
      <c r="N15" s="58" t="n"/>
      <c r="O15" s="58" t="n"/>
      <c r="P15" s="58" t="n"/>
      <c r="Q15" s="58" t="n"/>
      <c r="R15" s="58" t="n"/>
      <c r="S15" s="58" t="n"/>
      <c r="T15" s="58" t="n"/>
      <c r="U15" s="58" t="n"/>
      <c r="V15" s="58" t="n"/>
      <c r="W15" s="58" t="n"/>
      <c r="X15" s="58" t="n"/>
      <c r="Y15" s="58" t="n"/>
      <c r="Z15" s="58" t="n"/>
      <c r="AA15" s="58" t="n"/>
      <c r="AB15" s="58" t="n"/>
      <c r="AC15" s="58" t="n"/>
    </row>
    <row r="16" ht="24" customHeight="1" s="86">
      <c r="A16" s="75">
        <f>'01_인적정보'!A16</f>
        <v/>
      </c>
      <c r="B16" s="75">
        <f>'01_인적정보'!B16</f>
        <v/>
      </c>
      <c r="C16" s="69">
        <f>'01_인적정보'!C16</f>
        <v/>
      </c>
      <c r="D16" s="69">
        <f>'01_인적정보'!D16</f>
        <v/>
      </c>
      <c r="E16" s="69">
        <f>'01_인적정보'!E16</f>
        <v/>
      </c>
      <c r="F16" s="11">
        <f>'01_인적정보'!H16</f>
        <v/>
      </c>
      <c r="G16" s="17" t="n"/>
      <c r="H16" s="17" t="n"/>
      <c r="I16" s="17" t="n"/>
      <c r="J16" s="17" t="n"/>
      <c r="K16" s="17" t="n"/>
      <c r="L16" s="17" t="n"/>
      <c r="M16" s="1" t="n"/>
      <c r="N16" s="58" t="n"/>
      <c r="O16" s="58" t="n"/>
      <c r="P16" s="58" t="n"/>
      <c r="Q16" s="58" t="n"/>
      <c r="R16" s="58" t="n"/>
      <c r="S16" s="58" t="n"/>
      <c r="T16" s="58" t="n"/>
      <c r="U16" s="58" t="n"/>
      <c r="V16" s="58" t="n"/>
      <c r="W16" s="58" t="n"/>
      <c r="X16" s="58" t="n"/>
      <c r="Y16" s="58" t="n"/>
      <c r="Z16" s="58" t="n"/>
      <c r="AA16" s="58" t="n"/>
      <c r="AB16" s="58" t="n"/>
      <c r="AC16" s="58" t="n"/>
    </row>
    <row r="17" ht="24" customHeight="1" s="86">
      <c r="A17" s="75">
        <f>'01_인적정보'!A17</f>
        <v/>
      </c>
      <c r="B17" s="75">
        <f>'01_인적정보'!B17</f>
        <v/>
      </c>
      <c r="C17" s="69">
        <f>'01_인적정보'!C17</f>
        <v/>
      </c>
      <c r="D17" s="69">
        <f>'01_인적정보'!D17</f>
        <v/>
      </c>
      <c r="E17" s="69">
        <f>'01_인적정보'!E17</f>
        <v/>
      </c>
      <c r="F17" s="11">
        <f>'01_인적정보'!H17</f>
        <v/>
      </c>
      <c r="G17" s="17" t="n"/>
      <c r="H17" s="17" t="n"/>
      <c r="I17" s="17" t="n"/>
      <c r="J17" s="17" t="n"/>
      <c r="K17" s="17" t="n"/>
      <c r="L17" s="17" t="n"/>
      <c r="M17" s="1" t="n"/>
      <c r="N17" s="58" t="n"/>
      <c r="O17" s="58" t="n"/>
      <c r="P17" s="58" t="n"/>
      <c r="Q17" s="58" t="n"/>
      <c r="R17" s="58" t="n"/>
      <c r="S17" s="58" t="n"/>
      <c r="T17" s="58" t="n"/>
      <c r="U17" s="58" t="n"/>
      <c r="V17" s="58" t="n"/>
      <c r="W17" s="58" t="n"/>
      <c r="X17" s="58" t="n"/>
      <c r="Y17" s="58" t="n"/>
      <c r="Z17" s="58" t="n"/>
      <c r="AA17" s="58" t="n"/>
      <c r="AB17" s="58" t="n"/>
      <c r="AC17" s="58" t="n"/>
    </row>
    <row r="18" ht="24" customHeight="1" s="86">
      <c r="A18" s="75">
        <f>'01_인적정보'!A18</f>
        <v/>
      </c>
      <c r="B18" s="75">
        <f>'01_인적정보'!B18</f>
        <v/>
      </c>
      <c r="C18" s="69">
        <f>'01_인적정보'!C18</f>
        <v/>
      </c>
      <c r="D18" s="69">
        <f>'01_인적정보'!D18</f>
        <v/>
      </c>
      <c r="E18" s="69">
        <f>'01_인적정보'!E18</f>
        <v/>
      </c>
      <c r="F18" s="11">
        <f>'01_인적정보'!H18</f>
        <v/>
      </c>
      <c r="G18" s="17" t="n"/>
      <c r="H18" s="17" t="n"/>
      <c r="I18" s="17" t="n"/>
      <c r="J18" s="17" t="n"/>
      <c r="K18" s="17" t="n"/>
      <c r="L18" s="17" t="n"/>
      <c r="M18" s="1" t="n"/>
      <c r="N18" s="58" t="n"/>
      <c r="O18" s="58" t="n"/>
      <c r="P18" s="58" t="n"/>
      <c r="Q18" s="58" t="n"/>
      <c r="R18" s="58" t="n"/>
      <c r="S18" s="58" t="n"/>
      <c r="T18" s="58" t="n"/>
      <c r="U18" s="58" t="n"/>
      <c r="V18" s="58" t="n"/>
      <c r="W18" s="58" t="n"/>
      <c r="X18" s="58" t="n"/>
      <c r="Y18" s="58" t="n"/>
      <c r="Z18" s="58" t="n"/>
      <c r="AA18" s="58" t="n"/>
      <c r="AB18" s="58" t="n"/>
      <c r="AC18" s="58" t="n"/>
    </row>
    <row r="19" ht="24" customHeight="1" s="86">
      <c r="A19" s="75">
        <f>'01_인적정보'!A19</f>
        <v/>
      </c>
      <c r="B19" s="75">
        <f>'01_인적정보'!B19</f>
        <v/>
      </c>
      <c r="C19" s="69">
        <f>'01_인적정보'!C19</f>
        <v/>
      </c>
      <c r="D19" s="69">
        <f>'01_인적정보'!D19</f>
        <v/>
      </c>
      <c r="E19" s="69">
        <f>'01_인적정보'!E19</f>
        <v/>
      </c>
      <c r="F19" s="11">
        <f>'01_인적정보'!H19</f>
        <v/>
      </c>
      <c r="G19" s="17" t="n"/>
      <c r="H19" s="17" t="n"/>
      <c r="I19" s="17" t="n"/>
      <c r="J19" s="17" t="n"/>
      <c r="K19" s="17" t="n"/>
      <c r="L19" s="17" t="n"/>
      <c r="M19" s="1" t="n"/>
      <c r="N19" s="58" t="n"/>
      <c r="O19" s="58" t="n"/>
      <c r="P19" s="58" t="n"/>
      <c r="Q19" s="58" t="n"/>
      <c r="R19" s="58" t="n"/>
      <c r="S19" s="58" t="n"/>
      <c r="T19" s="58" t="n"/>
      <c r="U19" s="58" t="n"/>
      <c r="V19" s="58" t="n"/>
      <c r="W19" s="58" t="n"/>
      <c r="X19" s="58" t="n"/>
      <c r="Y19" s="58" t="n"/>
      <c r="Z19" s="58" t="n"/>
      <c r="AA19" s="58" t="n"/>
      <c r="AB19" s="58" t="n"/>
      <c r="AC19" s="58" t="n"/>
    </row>
    <row r="20" ht="24" customHeight="1" s="86">
      <c r="A20" s="75">
        <f>'01_인적정보'!A20</f>
        <v/>
      </c>
      <c r="B20" s="75">
        <f>'01_인적정보'!B20</f>
        <v/>
      </c>
      <c r="C20" s="69">
        <f>'01_인적정보'!C20</f>
        <v/>
      </c>
      <c r="D20" s="69">
        <f>'01_인적정보'!D20</f>
        <v/>
      </c>
      <c r="E20" s="69">
        <f>'01_인적정보'!E20</f>
        <v/>
      </c>
      <c r="F20" s="11">
        <f>'01_인적정보'!H20</f>
        <v/>
      </c>
      <c r="G20" s="17" t="n"/>
      <c r="H20" s="17" t="n"/>
      <c r="I20" s="17" t="n"/>
      <c r="J20" s="17" t="n"/>
      <c r="K20" s="17" t="n"/>
      <c r="L20" s="17" t="n"/>
      <c r="M20" s="1" t="n"/>
      <c r="N20" s="58" t="n"/>
      <c r="O20" s="58" t="n"/>
      <c r="P20" s="58" t="n"/>
      <c r="Q20" s="58" t="n"/>
      <c r="R20" s="58" t="n"/>
      <c r="S20" s="58" t="n"/>
      <c r="T20" s="58" t="n"/>
      <c r="U20" s="58" t="n"/>
      <c r="V20" s="58" t="n"/>
      <c r="W20" s="58" t="n"/>
      <c r="X20" s="58" t="n"/>
      <c r="Y20" s="58" t="n"/>
      <c r="Z20" s="58" t="n"/>
      <c r="AA20" s="58" t="n"/>
      <c r="AB20" s="58" t="n"/>
      <c r="AC20" s="58" t="n"/>
    </row>
    <row r="21" ht="24" customHeight="1" s="86">
      <c r="A21" s="75">
        <f>'01_인적정보'!A21</f>
        <v/>
      </c>
      <c r="B21" s="75">
        <f>'01_인적정보'!B21</f>
        <v/>
      </c>
      <c r="C21" s="69">
        <f>'01_인적정보'!C21</f>
        <v/>
      </c>
      <c r="D21" s="69">
        <f>'01_인적정보'!D21</f>
        <v/>
      </c>
      <c r="E21" s="69">
        <f>'01_인적정보'!E21</f>
        <v/>
      </c>
      <c r="F21" s="11">
        <f>'01_인적정보'!H21</f>
        <v/>
      </c>
      <c r="G21" s="17" t="n"/>
      <c r="H21" s="17" t="n"/>
      <c r="I21" s="17" t="n"/>
      <c r="J21" s="17" t="n"/>
      <c r="K21" s="17" t="n"/>
      <c r="L21" s="17" t="n"/>
      <c r="M21" s="1" t="n"/>
      <c r="N21" s="58" t="n"/>
      <c r="O21" s="58" t="n"/>
      <c r="P21" s="58" t="n"/>
      <c r="Q21" s="58" t="n"/>
      <c r="R21" s="58" t="n"/>
      <c r="S21" s="58" t="n"/>
      <c r="T21" s="58" t="n"/>
      <c r="U21" s="58" t="n"/>
      <c r="V21" s="58" t="n"/>
      <c r="W21" s="58" t="n"/>
      <c r="X21" s="58" t="n"/>
      <c r="Y21" s="58" t="n"/>
      <c r="Z21" s="58" t="n"/>
      <c r="AA21" s="58" t="n"/>
      <c r="AB21" s="58" t="n"/>
      <c r="AC21" s="58" t="n"/>
    </row>
    <row r="22" ht="24" customHeight="1" s="86">
      <c r="A22" s="75">
        <f>'01_인적정보'!A22</f>
        <v/>
      </c>
      <c r="B22" s="75">
        <f>'01_인적정보'!B22</f>
        <v/>
      </c>
      <c r="C22" s="69">
        <f>'01_인적정보'!C22</f>
        <v/>
      </c>
      <c r="D22" s="69">
        <f>'01_인적정보'!D22</f>
        <v/>
      </c>
      <c r="E22" s="69">
        <f>'01_인적정보'!E22</f>
        <v/>
      </c>
      <c r="F22" s="11">
        <f>'01_인적정보'!H22</f>
        <v/>
      </c>
      <c r="G22" s="17" t="n"/>
      <c r="H22" s="17" t="n"/>
      <c r="I22" s="17" t="n"/>
      <c r="J22" s="17" t="n"/>
      <c r="K22" s="17" t="n"/>
      <c r="L22" s="17" t="n"/>
      <c r="M22" s="1" t="n"/>
      <c r="N22" s="58" t="n"/>
      <c r="O22" s="58" t="n"/>
      <c r="P22" s="58" t="n"/>
      <c r="Q22" s="58" t="n"/>
      <c r="R22" s="58" t="n"/>
      <c r="S22" s="58" t="n"/>
      <c r="T22" s="58" t="n"/>
      <c r="U22" s="58" t="n"/>
      <c r="V22" s="58" t="n"/>
      <c r="W22" s="58" t="n"/>
      <c r="X22" s="58" t="n"/>
      <c r="Y22" s="58" t="n"/>
      <c r="Z22" s="58" t="n"/>
      <c r="AA22" s="58" t="n"/>
      <c r="AB22" s="58" t="n"/>
      <c r="AC22" s="58" t="n"/>
    </row>
    <row r="23" ht="24" customHeight="1" s="86">
      <c r="A23" s="75">
        <f>'01_인적정보'!A23</f>
        <v/>
      </c>
      <c r="B23" s="75">
        <f>'01_인적정보'!B23</f>
        <v/>
      </c>
      <c r="C23" s="69">
        <f>'01_인적정보'!C23</f>
        <v/>
      </c>
      <c r="D23" s="69">
        <f>'01_인적정보'!D23</f>
        <v/>
      </c>
      <c r="E23" s="69">
        <f>'01_인적정보'!E23</f>
        <v/>
      </c>
      <c r="F23" s="11">
        <f>'01_인적정보'!H23</f>
        <v/>
      </c>
      <c r="G23" s="17" t="n"/>
      <c r="H23" s="17" t="n"/>
      <c r="I23" s="17" t="n"/>
      <c r="J23" s="17" t="n"/>
      <c r="K23" s="17" t="n"/>
      <c r="L23" s="17" t="n"/>
      <c r="M23" s="1" t="n"/>
      <c r="N23" s="58" t="n"/>
      <c r="O23" s="58" t="n"/>
      <c r="P23" s="58" t="n"/>
      <c r="Q23" s="58" t="n"/>
      <c r="R23" s="58" t="n"/>
      <c r="S23" s="58" t="n"/>
      <c r="T23" s="58" t="n"/>
      <c r="U23" s="58" t="n"/>
      <c r="V23" s="58" t="n"/>
      <c r="W23" s="58" t="n"/>
      <c r="X23" s="58" t="n"/>
      <c r="Y23" s="58" t="n"/>
      <c r="Z23" s="58" t="n"/>
      <c r="AA23" s="58" t="n"/>
      <c r="AB23" s="58" t="n"/>
      <c r="AC23" s="58" t="n"/>
    </row>
    <row r="24" ht="24" customHeight="1" s="86">
      <c r="A24" s="75">
        <f>'01_인적정보'!A24</f>
        <v/>
      </c>
      <c r="B24" s="75">
        <f>'01_인적정보'!B24</f>
        <v/>
      </c>
      <c r="C24" s="69">
        <f>'01_인적정보'!C24</f>
        <v/>
      </c>
      <c r="D24" s="69">
        <f>'01_인적정보'!D24</f>
        <v/>
      </c>
      <c r="E24" s="69">
        <f>'01_인적정보'!E24</f>
        <v/>
      </c>
      <c r="F24" s="11">
        <f>'01_인적정보'!H24</f>
        <v/>
      </c>
      <c r="G24" s="17" t="n"/>
      <c r="H24" s="17" t="n"/>
      <c r="I24" s="17" t="n"/>
      <c r="J24" s="17" t="n"/>
      <c r="K24" s="17" t="n"/>
      <c r="L24" s="17" t="n"/>
      <c r="M24" s="1" t="n"/>
      <c r="N24" s="58" t="n"/>
      <c r="O24" s="58" t="n"/>
      <c r="P24" s="58" t="n"/>
      <c r="Q24" s="58" t="n"/>
      <c r="R24" s="58" t="n"/>
      <c r="S24" s="58" t="n"/>
      <c r="T24" s="58" t="n"/>
      <c r="U24" s="58" t="n"/>
      <c r="V24" s="58" t="n"/>
      <c r="W24" s="58" t="n"/>
      <c r="X24" s="58" t="n"/>
      <c r="Y24" s="58" t="n"/>
      <c r="Z24" s="58" t="n"/>
      <c r="AA24" s="58" t="n"/>
      <c r="AB24" s="58" t="n"/>
      <c r="AC24" s="58" t="n"/>
    </row>
    <row r="25" ht="24" customHeight="1" s="86">
      <c r="A25" s="75">
        <f>'01_인적정보'!A25</f>
        <v/>
      </c>
      <c r="B25" s="75">
        <f>'01_인적정보'!B25</f>
        <v/>
      </c>
      <c r="C25" s="69">
        <f>'01_인적정보'!C25</f>
        <v/>
      </c>
      <c r="D25" s="69">
        <f>'01_인적정보'!D25</f>
        <v/>
      </c>
      <c r="E25" s="69">
        <f>'01_인적정보'!E25</f>
        <v/>
      </c>
      <c r="F25" s="11">
        <f>'01_인적정보'!H25</f>
        <v/>
      </c>
      <c r="G25" s="17" t="n"/>
      <c r="H25" s="17" t="n"/>
      <c r="I25" s="17" t="n"/>
      <c r="J25" s="17" t="n"/>
      <c r="K25" s="17" t="n"/>
      <c r="L25" s="17" t="n"/>
      <c r="M25" s="1" t="n"/>
      <c r="N25" s="58" t="n"/>
      <c r="O25" s="58" t="n"/>
      <c r="P25" s="58" t="n"/>
      <c r="Q25" s="58" t="n"/>
      <c r="R25" s="58" t="n"/>
      <c r="S25" s="58" t="n"/>
      <c r="T25" s="58" t="n"/>
      <c r="U25" s="58" t="n"/>
      <c r="V25" s="58" t="n"/>
      <c r="W25" s="58" t="n"/>
      <c r="X25" s="58" t="n"/>
      <c r="Y25" s="58" t="n"/>
      <c r="Z25" s="58" t="n"/>
      <c r="AA25" s="58" t="n"/>
      <c r="AB25" s="58" t="n"/>
      <c r="AC25" s="58" t="n"/>
    </row>
    <row r="26" ht="24" customHeight="1" s="86">
      <c r="A26" s="75">
        <f>'01_인적정보'!A26</f>
        <v/>
      </c>
      <c r="B26" s="75">
        <f>'01_인적정보'!B26</f>
        <v/>
      </c>
      <c r="C26" s="69">
        <f>'01_인적정보'!C26</f>
        <v/>
      </c>
      <c r="D26" s="69">
        <f>'01_인적정보'!D26</f>
        <v/>
      </c>
      <c r="E26" s="69">
        <f>'01_인적정보'!E26</f>
        <v/>
      </c>
      <c r="F26" s="11">
        <f>'01_인적정보'!H26</f>
        <v/>
      </c>
      <c r="G26" s="17" t="n"/>
      <c r="H26" s="17" t="n"/>
      <c r="I26" s="17" t="n"/>
      <c r="J26" s="17" t="n"/>
      <c r="K26" s="17" t="n"/>
      <c r="L26" s="17" t="n"/>
      <c r="M26" s="1" t="n"/>
      <c r="N26" s="58" t="n"/>
      <c r="O26" s="58" t="n"/>
      <c r="P26" s="58" t="n"/>
      <c r="Q26" s="58" t="n"/>
      <c r="R26" s="58" t="n"/>
      <c r="S26" s="58" t="n"/>
      <c r="T26" s="58" t="n"/>
      <c r="U26" s="58" t="n"/>
      <c r="V26" s="58" t="n"/>
      <c r="W26" s="58" t="n"/>
      <c r="X26" s="58" t="n"/>
      <c r="Y26" s="58" t="n"/>
      <c r="Z26" s="58" t="n"/>
      <c r="AA26" s="58" t="n"/>
      <c r="AB26" s="58" t="n"/>
      <c r="AC26" s="58" t="n"/>
    </row>
    <row r="27" ht="24" customHeight="1" s="86">
      <c r="A27" s="75">
        <f>'01_인적정보'!A27</f>
        <v/>
      </c>
      <c r="B27" s="75">
        <f>'01_인적정보'!B27</f>
        <v/>
      </c>
      <c r="C27" s="69">
        <f>'01_인적정보'!C27</f>
        <v/>
      </c>
      <c r="D27" s="69">
        <f>'01_인적정보'!D27</f>
        <v/>
      </c>
      <c r="E27" s="69">
        <f>'01_인적정보'!E27</f>
        <v/>
      </c>
      <c r="F27" s="11">
        <f>'01_인적정보'!H27</f>
        <v/>
      </c>
      <c r="G27" s="17" t="n"/>
      <c r="H27" s="17" t="n"/>
      <c r="I27" s="17" t="n"/>
      <c r="J27" s="17" t="n"/>
      <c r="K27" s="17" t="n"/>
      <c r="L27" s="17" t="n"/>
      <c r="M27" s="1" t="n"/>
      <c r="N27" s="58" t="n"/>
      <c r="O27" s="58" t="n"/>
      <c r="P27" s="58" t="n"/>
      <c r="Q27" s="58" t="n"/>
      <c r="R27" s="58" t="n"/>
      <c r="S27" s="58" t="n"/>
      <c r="T27" s="58" t="n"/>
      <c r="U27" s="58" t="n"/>
      <c r="V27" s="58" t="n"/>
      <c r="W27" s="58" t="n"/>
      <c r="X27" s="58" t="n"/>
      <c r="Y27" s="58" t="n"/>
      <c r="Z27" s="58" t="n"/>
      <c r="AA27" s="58" t="n"/>
      <c r="AB27" s="58" t="n"/>
      <c r="AC27" s="58" t="n"/>
    </row>
    <row r="28" ht="24" customHeight="1" s="86">
      <c r="A28" s="75">
        <f>'01_인적정보'!A28</f>
        <v/>
      </c>
      <c r="B28" s="75">
        <f>'01_인적정보'!B28</f>
        <v/>
      </c>
      <c r="C28" s="69">
        <f>'01_인적정보'!C28</f>
        <v/>
      </c>
      <c r="D28" s="69">
        <f>'01_인적정보'!D28</f>
        <v/>
      </c>
      <c r="E28" s="69">
        <f>'01_인적정보'!E28</f>
        <v/>
      </c>
      <c r="F28" s="11">
        <f>'01_인적정보'!H28</f>
        <v/>
      </c>
      <c r="G28" s="17" t="n"/>
      <c r="H28" s="17" t="n"/>
      <c r="I28" s="17" t="n"/>
      <c r="J28" s="17" t="n"/>
      <c r="K28" s="17" t="n"/>
      <c r="L28" s="17" t="n"/>
      <c r="M28" s="1" t="n"/>
      <c r="N28" s="58" t="n"/>
      <c r="O28" s="58" t="n"/>
      <c r="P28" s="58" t="n"/>
      <c r="Q28" s="58" t="n"/>
      <c r="R28" s="58" t="n"/>
      <c r="S28" s="58" t="n"/>
      <c r="T28" s="58" t="n"/>
      <c r="U28" s="58" t="n"/>
      <c r="V28" s="58" t="n"/>
      <c r="W28" s="58" t="n"/>
      <c r="X28" s="58" t="n"/>
      <c r="Y28" s="58" t="n"/>
      <c r="Z28" s="58" t="n"/>
      <c r="AA28" s="58" t="n"/>
      <c r="AB28" s="58" t="n"/>
      <c r="AC28" s="58" t="n"/>
    </row>
    <row r="29" ht="24" customHeight="1" s="86">
      <c r="A29" s="75">
        <f>'01_인적정보'!A29</f>
        <v/>
      </c>
      <c r="B29" s="75">
        <f>'01_인적정보'!B29</f>
        <v/>
      </c>
      <c r="C29" s="69">
        <f>'01_인적정보'!C29</f>
        <v/>
      </c>
      <c r="D29" s="69">
        <f>'01_인적정보'!D29</f>
        <v/>
      </c>
      <c r="E29" s="69">
        <f>'01_인적정보'!E29</f>
        <v/>
      </c>
      <c r="F29" s="11">
        <f>'01_인적정보'!H29</f>
        <v/>
      </c>
      <c r="G29" s="17" t="n"/>
      <c r="H29" s="17" t="n"/>
      <c r="I29" s="17" t="n"/>
      <c r="J29" s="17" t="n"/>
      <c r="K29" s="17" t="n"/>
      <c r="L29" s="17" t="n"/>
      <c r="M29" s="1" t="n"/>
      <c r="N29" s="58" t="n"/>
      <c r="O29" s="58" t="n"/>
      <c r="P29" s="58" t="n"/>
      <c r="Q29" s="58" t="n"/>
      <c r="R29" s="58" t="n"/>
      <c r="S29" s="58" t="n"/>
      <c r="T29" s="58" t="n"/>
      <c r="U29" s="58" t="n"/>
      <c r="V29" s="58" t="n"/>
      <c r="W29" s="58" t="n"/>
      <c r="X29" s="58" t="n"/>
      <c r="Y29" s="58" t="n"/>
      <c r="Z29" s="58" t="n"/>
      <c r="AA29" s="58" t="n"/>
      <c r="AB29" s="58" t="n"/>
      <c r="AC29" s="58" t="n"/>
    </row>
    <row r="30" ht="24" customHeight="1" s="86">
      <c r="A30" s="75">
        <f>'01_인적정보'!A30</f>
        <v/>
      </c>
      <c r="B30" s="75">
        <f>'01_인적정보'!B30</f>
        <v/>
      </c>
      <c r="C30" s="69">
        <f>'01_인적정보'!C30</f>
        <v/>
      </c>
      <c r="D30" s="69">
        <f>'01_인적정보'!D30</f>
        <v/>
      </c>
      <c r="E30" s="69">
        <f>'01_인적정보'!E30</f>
        <v/>
      </c>
      <c r="F30" s="11">
        <f>'01_인적정보'!H30</f>
        <v/>
      </c>
      <c r="G30" s="17" t="n"/>
      <c r="H30" s="17" t="n"/>
      <c r="I30" s="17" t="n"/>
      <c r="J30" s="17" t="n"/>
      <c r="K30" s="17" t="n"/>
      <c r="L30" s="17" t="n"/>
      <c r="M30" s="1" t="n"/>
      <c r="N30" s="58" t="n"/>
      <c r="O30" s="58" t="n"/>
      <c r="P30" s="58" t="n"/>
      <c r="Q30" s="58" t="n"/>
      <c r="R30" s="58" t="n"/>
      <c r="S30" s="58" t="n"/>
      <c r="T30" s="58" t="n"/>
      <c r="U30" s="58" t="n"/>
      <c r="V30" s="58" t="n"/>
      <c r="W30" s="58" t="n"/>
      <c r="X30" s="58" t="n"/>
      <c r="Y30" s="58" t="n"/>
      <c r="Z30" s="58" t="n"/>
      <c r="AA30" s="58" t="n"/>
      <c r="AB30" s="58" t="n"/>
      <c r="AC30" s="58" t="n"/>
    </row>
    <row r="31" ht="24" customHeight="1" s="86">
      <c r="A31" s="75">
        <f>'01_인적정보'!A31</f>
        <v/>
      </c>
      <c r="B31" s="75">
        <f>'01_인적정보'!B31</f>
        <v/>
      </c>
      <c r="C31" s="69">
        <f>'01_인적정보'!C31</f>
        <v/>
      </c>
      <c r="D31" s="69">
        <f>'01_인적정보'!D31</f>
        <v/>
      </c>
      <c r="E31" s="69">
        <f>'01_인적정보'!E31</f>
        <v/>
      </c>
      <c r="F31" s="11">
        <f>'01_인적정보'!H31</f>
        <v/>
      </c>
      <c r="G31" s="17" t="n"/>
      <c r="H31" s="17" t="n"/>
      <c r="I31" s="17" t="n"/>
      <c r="J31" s="17" t="n"/>
      <c r="K31" s="17" t="n"/>
      <c r="L31" s="17" t="n"/>
      <c r="M31" s="1" t="n"/>
      <c r="N31" s="58" t="n"/>
      <c r="O31" s="58" t="n"/>
      <c r="P31" s="58" t="n"/>
      <c r="Q31" s="58" t="n"/>
      <c r="R31" s="58" t="n"/>
      <c r="S31" s="58" t="n"/>
      <c r="T31" s="58" t="n"/>
      <c r="U31" s="58" t="n"/>
      <c r="V31" s="58" t="n"/>
      <c r="W31" s="58" t="n"/>
      <c r="X31" s="58" t="n"/>
      <c r="Y31" s="58" t="n"/>
      <c r="Z31" s="58" t="n"/>
      <c r="AA31" s="58" t="n"/>
      <c r="AB31" s="58" t="n"/>
      <c r="AC31" s="58" t="n"/>
    </row>
    <row r="32" ht="24" customHeight="1" s="86">
      <c r="A32" s="75">
        <f>'01_인적정보'!A32</f>
        <v/>
      </c>
      <c r="B32" s="75">
        <f>'01_인적정보'!B32</f>
        <v/>
      </c>
      <c r="C32" s="69">
        <f>'01_인적정보'!C32</f>
        <v/>
      </c>
      <c r="D32" s="69">
        <f>'01_인적정보'!D32</f>
        <v/>
      </c>
      <c r="E32" s="69">
        <f>'01_인적정보'!E32</f>
        <v/>
      </c>
      <c r="F32" s="11">
        <f>'01_인적정보'!H32</f>
        <v/>
      </c>
      <c r="G32" s="17" t="n"/>
      <c r="H32" s="17" t="n"/>
      <c r="I32" s="17" t="n"/>
      <c r="J32" s="17" t="n"/>
      <c r="K32" s="17" t="n"/>
      <c r="L32" s="17" t="n"/>
      <c r="M32" s="1" t="n"/>
      <c r="N32" s="58" t="n"/>
      <c r="O32" s="58" t="n"/>
      <c r="P32" s="58" t="n"/>
      <c r="Q32" s="58" t="n"/>
      <c r="R32" s="58" t="n"/>
      <c r="S32" s="58" t="n"/>
      <c r="T32" s="58" t="n"/>
      <c r="U32" s="58" t="n"/>
      <c r="V32" s="58" t="n"/>
      <c r="W32" s="58" t="n"/>
      <c r="X32" s="58" t="n"/>
      <c r="Y32" s="58" t="n"/>
      <c r="Z32" s="58" t="n"/>
      <c r="AA32" s="58" t="n"/>
      <c r="AB32" s="58" t="n"/>
      <c r="AC32" s="58" t="n"/>
    </row>
    <row r="33" ht="24" customHeight="1" s="86">
      <c r="A33" s="75">
        <f>'01_인적정보'!A33</f>
        <v/>
      </c>
      <c r="B33" s="75">
        <f>'01_인적정보'!B33</f>
        <v/>
      </c>
      <c r="C33" s="69">
        <f>'01_인적정보'!C33</f>
        <v/>
      </c>
      <c r="D33" s="69">
        <f>'01_인적정보'!D33</f>
        <v/>
      </c>
      <c r="E33" s="69">
        <f>'01_인적정보'!E33</f>
        <v/>
      </c>
      <c r="F33" s="11">
        <f>'01_인적정보'!H33</f>
        <v/>
      </c>
      <c r="G33" s="17" t="n"/>
      <c r="H33" s="17" t="n"/>
      <c r="I33" s="17" t="n"/>
      <c r="J33" s="17" t="n"/>
      <c r="K33" s="17" t="n"/>
      <c r="L33" s="17" t="n"/>
      <c r="M33" s="1" t="n"/>
      <c r="N33" s="58" t="n"/>
      <c r="O33" s="58" t="n"/>
      <c r="P33" s="58" t="n"/>
      <c r="Q33" s="58" t="n"/>
      <c r="R33" s="58" t="n"/>
      <c r="S33" s="58" t="n"/>
      <c r="T33" s="58" t="n"/>
      <c r="U33" s="58" t="n"/>
      <c r="V33" s="58" t="n"/>
      <c r="W33" s="58" t="n"/>
      <c r="X33" s="58" t="n"/>
      <c r="Y33" s="58" t="n"/>
      <c r="Z33" s="58" t="n"/>
      <c r="AA33" s="58" t="n"/>
      <c r="AB33" s="58" t="n"/>
      <c r="AC33" s="58" t="n"/>
    </row>
    <row r="34" ht="24" customHeight="1" s="86">
      <c r="A34" s="75">
        <f>'01_인적정보'!A34</f>
        <v/>
      </c>
      <c r="B34" s="75">
        <f>'01_인적정보'!B34</f>
        <v/>
      </c>
      <c r="C34" s="69">
        <f>'01_인적정보'!C34</f>
        <v/>
      </c>
      <c r="D34" s="69">
        <f>'01_인적정보'!D34</f>
        <v/>
      </c>
      <c r="E34" s="69">
        <f>'01_인적정보'!E34</f>
        <v/>
      </c>
      <c r="F34" s="11">
        <f>'01_인적정보'!H34</f>
        <v/>
      </c>
      <c r="G34" s="17" t="n"/>
      <c r="H34" s="17" t="n"/>
      <c r="I34" s="17" t="n"/>
      <c r="J34" s="17" t="n"/>
      <c r="K34" s="17" t="n"/>
      <c r="L34" s="17" t="n"/>
      <c r="M34" s="1" t="n"/>
      <c r="N34" s="58" t="n"/>
      <c r="O34" s="58" t="n"/>
      <c r="P34" s="58" t="n"/>
      <c r="Q34" s="58" t="n"/>
      <c r="R34" s="58" t="n"/>
      <c r="S34" s="58" t="n"/>
      <c r="T34" s="58" t="n"/>
      <c r="U34" s="58" t="n"/>
      <c r="V34" s="58" t="n"/>
      <c r="W34" s="58" t="n"/>
      <c r="X34" s="58" t="n"/>
      <c r="Y34" s="58" t="n"/>
      <c r="Z34" s="58" t="n"/>
      <c r="AA34" s="58" t="n"/>
      <c r="AB34" s="58" t="n"/>
      <c r="AC34" s="58" t="n"/>
    </row>
    <row r="35" ht="24" customHeight="1" s="86">
      <c r="A35" s="75">
        <f>'01_인적정보'!A35</f>
        <v/>
      </c>
      <c r="B35" s="75">
        <f>'01_인적정보'!B35</f>
        <v/>
      </c>
      <c r="C35" s="69">
        <f>'01_인적정보'!C35</f>
        <v/>
      </c>
      <c r="D35" s="69">
        <f>'01_인적정보'!D35</f>
        <v/>
      </c>
      <c r="E35" s="69">
        <f>'01_인적정보'!E35</f>
        <v/>
      </c>
      <c r="F35" s="11">
        <f>'01_인적정보'!H35</f>
        <v/>
      </c>
      <c r="G35" s="17" t="n"/>
      <c r="H35" s="17" t="n"/>
      <c r="I35" s="17" t="n"/>
      <c r="J35" s="17" t="n"/>
      <c r="K35" s="17" t="n"/>
      <c r="L35" s="17" t="n"/>
      <c r="M35" s="1" t="n"/>
      <c r="N35" s="58" t="n"/>
      <c r="O35" s="58" t="n"/>
      <c r="P35" s="58" t="n"/>
      <c r="Q35" s="58" t="n"/>
      <c r="R35" s="58" t="n"/>
      <c r="S35" s="58" t="n"/>
      <c r="T35" s="58" t="n"/>
      <c r="U35" s="58" t="n"/>
      <c r="V35" s="58" t="n"/>
      <c r="W35" s="58" t="n"/>
      <c r="X35" s="58" t="n"/>
      <c r="Y35" s="58" t="n"/>
      <c r="Z35" s="58" t="n"/>
      <c r="AA35" s="58" t="n"/>
      <c r="AB35" s="58" t="n"/>
      <c r="AC35" s="58" t="n"/>
    </row>
    <row r="36" ht="24" customHeight="1" s="86">
      <c r="A36" s="75">
        <f>'01_인적정보'!A36</f>
        <v/>
      </c>
      <c r="B36" s="75">
        <f>'01_인적정보'!B36</f>
        <v/>
      </c>
      <c r="C36" s="69">
        <f>'01_인적정보'!C36</f>
        <v/>
      </c>
      <c r="D36" s="69">
        <f>'01_인적정보'!D36</f>
        <v/>
      </c>
      <c r="E36" s="69">
        <f>'01_인적정보'!E36</f>
        <v/>
      </c>
      <c r="F36" s="11">
        <f>'01_인적정보'!H36</f>
        <v/>
      </c>
      <c r="G36" s="17" t="n"/>
      <c r="H36" s="17" t="n"/>
      <c r="I36" s="17" t="n"/>
      <c r="J36" s="17" t="n"/>
      <c r="K36" s="17" t="n"/>
      <c r="L36" s="17" t="n"/>
      <c r="M36" s="1" t="n"/>
      <c r="N36" s="58" t="n"/>
      <c r="O36" s="58" t="n"/>
      <c r="P36" s="58" t="n"/>
      <c r="Q36" s="58" t="n"/>
      <c r="R36" s="58" t="n"/>
      <c r="S36" s="58" t="n"/>
      <c r="T36" s="58" t="n"/>
      <c r="U36" s="58" t="n"/>
      <c r="V36" s="58" t="n"/>
      <c r="W36" s="58" t="n"/>
      <c r="X36" s="58" t="n"/>
      <c r="Y36" s="58" t="n"/>
      <c r="Z36" s="58" t="n"/>
      <c r="AA36" s="58" t="n"/>
      <c r="AB36" s="58" t="n"/>
      <c r="AC36" s="58" t="n"/>
    </row>
    <row r="37" ht="24" customHeight="1" s="86">
      <c r="A37" s="75">
        <f>'01_인적정보'!A37</f>
        <v/>
      </c>
      <c r="B37" s="75">
        <f>'01_인적정보'!B37</f>
        <v/>
      </c>
      <c r="C37" s="69">
        <f>'01_인적정보'!C37</f>
        <v/>
      </c>
      <c r="D37" s="69">
        <f>'01_인적정보'!D37</f>
        <v/>
      </c>
      <c r="E37" s="69">
        <f>'01_인적정보'!E37</f>
        <v/>
      </c>
      <c r="F37" s="11">
        <f>'01_인적정보'!H37</f>
        <v/>
      </c>
      <c r="G37" s="17" t="n"/>
      <c r="H37" s="17" t="n"/>
      <c r="I37" s="17" t="n"/>
      <c r="J37" s="17" t="n"/>
      <c r="K37" s="17" t="n"/>
      <c r="L37" s="17" t="n"/>
      <c r="M37" s="1" t="n"/>
      <c r="N37" s="58" t="n"/>
      <c r="O37" s="58" t="n"/>
      <c r="P37" s="58" t="n"/>
      <c r="Q37" s="58" t="n"/>
      <c r="R37" s="58" t="n"/>
      <c r="S37" s="58" t="n"/>
      <c r="T37" s="58" t="n"/>
      <c r="U37" s="58" t="n"/>
      <c r="V37" s="58" t="n"/>
      <c r="W37" s="58" t="n"/>
      <c r="X37" s="58" t="n"/>
      <c r="Y37" s="58" t="n"/>
      <c r="Z37" s="58" t="n"/>
      <c r="AA37" s="58" t="n"/>
      <c r="AB37" s="58" t="n"/>
      <c r="AC37" s="58" t="n"/>
    </row>
    <row r="38" ht="24" customHeight="1" s="86">
      <c r="A38" s="75">
        <f>'01_인적정보'!A38</f>
        <v/>
      </c>
      <c r="B38" s="75">
        <f>'01_인적정보'!B38</f>
        <v/>
      </c>
      <c r="C38" s="69">
        <f>'01_인적정보'!C38</f>
        <v/>
      </c>
      <c r="D38" s="69">
        <f>'01_인적정보'!D38</f>
        <v/>
      </c>
      <c r="E38" s="69">
        <f>'01_인적정보'!E38</f>
        <v/>
      </c>
      <c r="F38" s="11">
        <f>'01_인적정보'!H38</f>
        <v/>
      </c>
      <c r="G38" s="17" t="n"/>
      <c r="H38" s="17" t="n"/>
      <c r="I38" s="17" t="n"/>
      <c r="J38" s="17" t="n"/>
      <c r="K38" s="17" t="n"/>
      <c r="L38" s="17" t="n"/>
      <c r="M38" s="1" t="n"/>
      <c r="N38" s="58" t="n"/>
      <c r="O38" s="58" t="n"/>
      <c r="P38" s="58" t="n"/>
      <c r="Q38" s="58" t="n"/>
      <c r="R38" s="58" t="n"/>
      <c r="S38" s="58" t="n"/>
      <c r="T38" s="58" t="n"/>
      <c r="U38" s="58" t="n"/>
      <c r="V38" s="58" t="n"/>
      <c r="W38" s="58" t="n"/>
      <c r="X38" s="58" t="n"/>
      <c r="Y38" s="58" t="n"/>
      <c r="Z38" s="58" t="n"/>
      <c r="AA38" s="58" t="n"/>
      <c r="AB38" s="58" t="n"/>
      <c r="AC38" s="58" t="n"/>
    </row>
    <row r="39" ht="24" customHeight="1" s="86">
      <c r="A39" s="75">
        <f>'01_인적정보'!A39</f>
        <v/>
      </c>
      <c r="B39" s="75">
        <f>'01_인적정보'!B39</f>
        <v/>
      </c>
      <c r="C39" s="69">
        <f>'01_인적정보'!C39</f>
        <v/>
      </c>
      <c r="D39" s="69">
        <f>'01_인적정보'!D39</f>
        <v/>
      </c>
      <c r="E39" s="69">
        <f>'01_인적정보'!E39</f>
        <v/>
      </c>
      <c r="F39" s="11">
        <f>'01_인적정보'!H39</f>
        <v/>
      </c>
      <c r="G39" s="17" t="n"/>
      <c r="H39" s="17" t="n"/>
      <c r="I39" s="17" t="n"/>
      <c r="J39" s="17" t="n"/>
      <c r="K39" s="17" t="n"/>
      <c r="L39" s="17" t="n"/>
      <c r="M39" s="1" t="n"/>
      <c r="N39" s="58" t="n"/>
      <c r="O39" s="58" t="n"/>
      <c r="P39" s="58" t="n"/>
      <c r="Q39" s="58" t="n"/>
      <c r="R39" s="58" t="n"/>
      <c r="S39" s="58" t="n"/>
      <c r="T39" s="58" t="n"/>
      <c r="U39" s="58" t="n"/>
      <c r="V39" s="58" t="n"/>
      <c r="W39" s="58" t="n"/>
      <c r="X39" s="58" t="n"/>
      <c r="Y39" s="58" t="n"/>
      <c r="Z39" s="58" t="n"/>
      <c r="AA39" s="58" t="n"/>
      <c r="AB39" s="58" t="n"/>
      <c r="AC39" s="58" t="n"/>
    </row>
    <row r="40">
      <c r="A40" s="58" t="n"/>
      <c r="B40" s="58" t="n"/>
      <c r="C40" s="58" t="n"/>
      <c r="D40" s="58" t="n"/>
      <c r="E40" s="58" t="n"/>
      <c r="F40" s="58" t="n"/>
      <c r="G40" s="58" t="n"/>
      <c r="H40" s="58" t="n"/>
      <c r="I40" s="58" t="n"/>
      <c r="J40" s="58" t="n"/>
      <c r="K40" s="58" t="n"/>
      <c r="L40" s="58" t="n"/>
      <c r="M40" s="58" t="n"/>
      <c r="N40" s="58" t="n"/>
      <c r="O40" s="58" t="n"/>
      <c r="P40" s="58" t="n"/>
      <c r="Q40" s="58" t="n"/>
      <c r="R40" s="58" t="n"/>
      <c r="S40" s="58" t="n"/>
      <c r="T40" s="58" t="n"/>
      <c r="U40" s="58" t="n"/>
      <c r="V40" s="58" t="n"/>
      <c r="W40" s="58" t="n"/>
      <c r="X40" s="58" t="n"/>
      <c r="Y40" s="58" t="n"/>
      <c r="Z40" s="58" t="n"/>
      <c r="AA40" s="58" t="n"/>
      <c r="AB40" s="58" t="n"/>
      <c r="AC40" s="58" t="n"/>
    </row>
    <row r="41">
      <c r="A41" s="58" t="n"/>
      <c r="B41" s="58" t="n"/>
      <c r="C41" s="58" t="n"/>
      <c r="D41" s="58" t="n"/>
      <c r="E41" s="58" t="n"/>
      <c r="F41" s="58" t="n"/>
      <c r="G41" s="58" t="n"/>
      <c r="H41" s="58" t="n"/>
      <c r="I41" s="58" t="n"/>
      <c r="J41" s="58" t="n"/>
      <c r="K41" s="58" t="n"/>
      <c r="L41" s="58" t="n"/>
      <c r="M41" s="58" t="n"/>
      <c r="N41" s="58" t="n"/>
      <c r="O41" s="58" t="n"/>
      <c r="P41" s="58" t="n"/>
      <c r="Q41" s="58" t="n"/>
      <c r="R41" s="58" t="n"/>
      <c r="S41" s="58" t="n"/>
      <c r="T41" s="58" t="n"/>
      <c r="U41" s="58" t="n"/>
      <c r="V41" s="58" t="n"/>
      <c r="W41" s="58" t="n"/>
      <c r="X41" s="58" t="n"/>
      <c r="Y41" s="58" t="n"/>
      <c r="Z41" s="58" t="n"/>
      <c r="AA41" s="58" t="n"/>
      <c r="AB41" s="58" t="n"/>
      <c r="AC41" s="58" t="n"/>
    </row>
    <row r="42">
      <c r="A42" s="58" t="n"/>
      <c r="B42" s="58" t="n"/>
      <c r="C42" s="58" t="n"/>
      <c r="D42" s="58" t="n"/>
      <c r="E42" s="58" t="n"/>
      <c r="F42" s="58" t="n"/>
      <c r="G42" s="58" t="n"/>
      <c r="H42" s="58" t="n"/>
      <c r="I42" s="58" t="n"/>
      <c r="J42" s="58" t="n"/>
      <c r="K42" s="58" t="n"/>
      <c r="L42" s="58" t="n"/>
      <c r="M42" s="58" t="n"/>
      <c r="N42" s="58" t="n"/>
      <c r="O42" s="58" t="n"/>
      <c r="P42" s="58" t="n"/>
      <c r="Q42" s="58" t="n"/>
      <c r="R42" s="58" t="n"/>
      <c r="S42" s="58" t="n"/>
      <c r="T42" s="58" t="n"/>
      <c r="U42" s="58" t="n"/>
      <c r="V42" s="58" t="n"/>
      <c r="W42" s="58" t="n"/>
      <c r="X42" s="58" t="n"/>
      <c r="Y42" s="58" t="n"/>
      <c r="Z42" s="58" t="n"/>
      <c r="AA42" s="58" t="n"/>
      <c r="AB42" s="58" t="n"/>
      <c r="AC42" s="58" t="n"/>
    </row>
    <row r="43">
      <c r="A43" s="58" t="n"/>
      <c r="B43" s="58" t="n"/>
      <c r="C43" s="58" t="n"/>
      <c r="D43" s="58" t="n"/>
      <c r="E43" s="58" t="n"/>
      <c r="F43" s="58" t="n"/>
      <c r="G43" s="58" t="n"/>
      <c r="H43" s="58" t="n"/>
      <c r="I43" s="58" t="n"/>
      <c r="J43" s="58" t="n"/>
      <c r="K43" s="58" t="n"/>
      <c r="L43" s="58" t="n"/>
      <c r="M43" s="58" t="n"/>
      <c r="N43" s="58" t="n"/>
      <c r="O43" s="58" t="n"/>
      <c r="P43" s="58" t="n"/>
      <c r="Q43" s="58" t="n"/>
      <c r="R43" s="58" t="n"/>
      <c r="S43" s="58" t="n"/>
      <c r="T43" s="58" t="n"/>
      <c r="U43" s="58" t="n"/>
      <c r="V43" s="58" t="n"/>
      <c r="W43" s="58" t="n"/>
      <c r="X43" s="58" t="n"/>
      <c r="Y43" s="58" t="n"/>
      <c r="Z43" s="58" t="n"/>
      <c r="AA43" s="58" t="n"/>
      <c r="AB43" s="58" t="n"/>
      <c r="AC43" s="58" t="n"/>
    </row>
    <row r="44">
      <c r="A44" s="58" t="n"/>
      <c r="B44" s="58" t="n"/>
      <c r="C44" s="58" t="n"/>
      <c r="D44" s="58" t="n"/>
      <c r="E44" s="58" t="n"/>
      <c r="F44" s="58" t="n"/>
      <c r="G44" s="58" t="n"/>
      <c r="H44" s="58" t="n"/>
      <c r="I44" s="58" t="n"/>
      <c r="J44" s="58" t="n"/>
      <c r="K44" s="58" t="n"/>
      <c r="L44" s="58" t="n"/>
      <c r="M44" s="58" t="n"/>
      <c r="N44" s="58" t="n"/>
      <c r="O44" s="58" t="n"/>
      <c r="P44" s="58" t="n"/>
      <c r="Q44" s="58" t="n"/>
      <c r="R44" s="58" t="n"/>
      <c r="S44" s="58" t="n"/>
      <c r="T44" s="58" t="n"/>
      <c r="U44" s="58" t="n"/>
      <c r="V44" s="58" t="n"/>
      <c r="W44" s="58" t="n"/>
      <c r="X44" s="58" t="n"/>
      <c r="Y44" s="58" t="n"/>
      <c r="Z44" s="58" t="n"/>
      <c r="AA44" s="58" t="n"/>
      <c r="AB44" s="58" t="n"/>
      <c r="AC44" s="58" t="n"/>
    </row>
    <row r="45">
      <c r="A45" s="58" t="n"/>
      <c r="B45" s="58" t="n"/>
      <c r="C45" s="58" t="n"/>
      <c r="D45" s="58" t="n"/>
      <c r="E45" s="58" t="n"/>
      <c r="F45" s="58" t="n"/>
      <c r="G45" s="58" t="n"/>
      <c r="H45" s="58" t="n"/>
      <c r="I45" s="58" t="n"/>
      <c r="J45" s="58" t="n"/>
      <c r="K45" s="58" t="n"/>
      <c r="L45" s="58" t="n"/>
      <c r="M45" s="58" t="n"/>
      <c r="N45" s="58" t="n"/>
      <c r="O45" s="58" t="n"/>
      <c r="P45" s="58" t="n"/>
      <c r="Q45" s="58" t="n"/>
      <c r="R45" s="58" t="n"/>
      <c r="S45" s="58" t="n"/>
      <c r="T45" s="58" t="n"/>
      <c r="U45" s="58" t="n"/>
      <c r="V45" s="58" t="n"/>
      <c r="W45" s="58" t="n"/>
      <c r="X45" s="58" t="n"/>
      <c r="Y45" s="58" t="n"/>
      <c r="Z45" s="58" t="n"/>
      <c r="AA45" s="58" t="n"/>
      <c r="AB45" s="58" t="n"/>
      <c r="AC45" s="58" t="n"/>
    </row>
    <row r="46">
      <c r="A46" s="58" t="n"/>
      <c r="B46" s="58" t="n"/>
      <c r="C46" s="58" t="n"/>
      <c r="D46" s="58" t="n"/>
      <c r="E46" s="58" t="n"/>
      <c r="F46" s="58" t="n"/>
      <c r="G46" s="58" t="n"/>
      <c r="H46" s="58" t="n"/>
      <c r="I46" s="58" t="n"/>
      <c r="J46" s="58" t="n"/>
      <c r="K46" s="58" t="n"/>
      <c r="L46" s="58" t="n"/>
      <c r="M46" s="58" t="n"/>
      <c r="N46" s="58" t="n"/>
      <c r="O46" s="58" t="n"/>
      <c r="P46" s="58" t="n"/>
      <c r="Q46" s="58" t="n"/>
      <c r="R46" s="58" t="n"/>
      <c r="S46" s="58" t="n"/>
      <c r="T46" s="58" t="n"/>
      <c r="U46" s="58" t="n"/>
      <c r="V46" s="58" t="n"/>
      <c r="W46" s="58" t="n"/>
      <c r="X46" s="58" t="n"/>
      <c r="Y46" s="58" t="n"/>
      <c r="Z46" s="58" t="n"/>
      <c r="AA46" s="58" t="n"/>
      <c r="AB46" s="58" t="n"/>
      <c r="AC46" s="58" t="n"/>
    </row>
    <row r="47">
      <c r="A47" s="58" t="n"/>
      <c r="B47" s="58" t="n"/>
      <c r="C47" s="58" t="n"/>
      <c r="D47" s="58" t="n"/>
      <c r="E47" s="58" t="n"/>
      <c r="F47" s="58" t="n"/>
      <c r="G47" s="58" t="n"/>
      <c r="H47" s="58" t="n"/>
      <c r="I47" s="58" t="n"/>
      <c r="J47" s="58" t="n"/>
      <c r="K47" s="58" t="n"/>
      <c r="L47" s="58" t="n"/>
      <c r="M47" s="58" t="n"/>
      <c r="N47" s="58" t="n"/>
      <c r="O47" s="58" t="n"/>
      <c r="P47" s="58" t="n"/>
      <c r="Q47" s="58" t="n"/>
      <c r="R47" s="58" t="n"/>
      <c r="S47" s="58" t="n"/>
      <c r="T47" s="58" t="n"/>
      <c r="U47" s="58" t="n"/>
      <c r="V47" s="58" t="n"/>
      <c r="W47" s="58" t="n"/>
      <c r="X47" s="58" t="n"/>
      <c r="Y47" s="58" t="n"/>
      <c r="Z47" s="58" t="n"/>
      <c r="AA47" s="58" t="n"/>
      <c r="AB47" s="58" t="n"/>
      <c r="AC47" s="58" t="n"/>
    </row>
    <row r="48">
      <c r="A48" s="58" t="n"/>
      <c r="B48" s="58" t="n"/>
      <c r="C48" s="58" t="n"/>
      <c r="D48" s="58" t="n"/>
      <c r="E48" s="58" t="n"/>
      <c r="F48" s="58" t="n"/>
      <c r="G48" s="58" t="n"/>
      <c r="H48" s="58" t="n"/>
      <c r="I48" s="58" t="n"/>
      <c r="J48" s="58" t="n"/>
      <c r="K48" s="58" t="n"/>
      <c r="L48" s="58" t="n"/>
      <c r="M48" s="58" t="n"/>
      <c r="N48" s="58" t="n"/>
      <c r="O48" s="58" t="n"/>
      <c r="P48" s="58" t="n"/>
      <c r="Q48" s="58" t="n"/>
      <c r="R48" s="58" t="n"/>
      <c r="S48" s="58" t="n"/>
      <c r="T48" s="58" t="n"/>
      <c r="U48" s="58" t="n"/>
      <c r="V48" s="58" t="n"/>
      <c r="W48" s="58" t="n"/>
      <c r="X48" s="58" t="n"/>
      <c r="Y48" s="58" t="n"/>
      <c r="Z48" s="58" t="n"/>
      <c r="AA48" s="58" t="n"/>
      <c r="AB48" s="58" t="n"/>
      <c r="AC48" s="58" t="n"/>
    </row>
    <row r="49">
      <c r="A49" s="58" t="n"/>
      <c r="B49" s="58" t="n"/>
      <c r="C49" s="58" t="n"/>
      <c r="D49" s="58" t="n"/>
      <c r="E49" s="58" t="n"/>
      <c r="F49" s="58" t="n"/>
      <c r="G49" s="58" t="n"/>
      <c r="H49" s="58" t="n"/>
      <c r="I49" s="58" t="n"/>
      <c r="J49" s="58" t="n"/>
      <c r="K49" s="58" t="n"/>
      <c r="L49" s="58" t="n"/>
      <c r="M49" s="58" t="n"/>
      <c r="N49" s="58" t="n"/>
      <c r="O49" s="58" t="n"/>
      <c r="P49" s="58" t="n"/>
      <c r="Q49" s="58" t="n"/>
      <c r="R49" s="58" t="n"/>
      <c r="S49" s="58" t="n"/>
      <c r="T49" s="58" t="n"/>
      <c r="U49" s="58" t="n"/>
      <c r="V49" s="58" t="n"/>
      <c r="W49" s="58" t="n"/>
      <c r="X49" s="58" t="n"/>
      <c r="Y49" s="58" t="n"/>
      <c r="Z49" s="58" t="n"/>
      <c r="AA49" s="58" t="n"/>
      <c r="AB49" s="58" t="n"/>
      <c r="AC49" s="58" t="n"/>
    </row>
    <row r="50">
      <c r="A50" s="58" t="n"/>
      <c r="B50" s="58" t="n"/>
      <c r="C50" s="58" t="n"/>
      <c r="D50" s="58" t="n"/>
      <c r="E50" s="58" t="n"/>
      <c r="F50" s="58" t="n"/>
      <c r="G50" s="58" t="n"/>
      <c r="H50" s="58" t="n"/>
      <c r="I50" s="58" t="n"/>
      <c r="J50" s="58" t="n"/>
      <c r="K50" s="58" t="n"/>
      <c r="L50" s="58" t="n"/>
      <c r="M50" s="58" t="n"/>
      <c r="N50" s="58" t="n"/>
      <c r="O50" s="58" t="n"/>
      <c r="P50" s="58" t="n"/>
      <c r="Q50" s="58" t="n"/>
      <c r="R50" s="58" t="n"/>
      <c r="S50" s="58" t="n"/>
      <c r="T50" s="58" t="n"/>
      <c r="U50" s="58" t="n"/>
      <c r="V50" s="58" t="n"/>
      <c r="W50" s="58" t="n"/>
      <c r="X50" s="58" t="n"/>
      <c r="Y50" s="58" t="n"/>
      <c r="Z50" s="58" t="n"/>
      <c r="AA50" s="58" t="n"/>
      <c r="AB50" s="58" t="n"/>
      <c r="AC50" s="58" t="n"/>
    </row>
    <row r="51">
      <c r="A51" s="58" t="n"/>
      <c r="B51" s="58" t="n"/>
      <c r="C51" s="58" t="n"/>
      <c r="D51" s="58" t="n"/>
      <c r="E51" s="58" t="n"/>
      <c r="F51" s="58" t="n"/>
      <c r="G51" s="58" t="n"/>
      <c r="H51" s="58" t="n"/>
      <c r="I51" s="58" t="n"/>
      <c r="J51" s="58" t="n"/>
      <c r="K51" s="58" t="n"/>
      <c r="L51" s="58" t="n"/>
      <c r="M51" s="58" t="n"/>
      <c r="N51" s="58" t="n"/>
      <c r="O51" s="58" t="n"/>
      <c r="P51" s="58" t="n"/>
      <c r="Q51" s="58" t="n"/>
      <c r="R51" s="58" t="n"/>
      <c r="S51" s="58" t="n"/>
      <c r="T51" s="58" t="n"/>
      <c r="U51" s="58" t="n"/>
      <c r="V51" s="58" t="n"/>
      <c r="W51" s="58" t="n"/>
      <c r="X51" s="58" t="n"/>
      <c r="Y51" s="58" t="n"/>
      <c r="Z51" s="58" t="n"/>
      <c r="AA51" s="58" t="n"/>
      <c r="AB51" s="58" t="n"/>
      <c r="AC51" s="58" t="n"/>
    </row>
    <row r="52">
      <c r="A52" s="58" t="n"/>
      <c r="B52" s="58" t="n"/>
      <c r="C52" s="58" t="n"/>
      <c r="D52" s="58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8" t="n"/>
      <c r="O52" s="58" t="n"/>
      <c r="P52" s="58" t="n"/>
      <c r="Q52" s="58" t="n"/>
      <c r="R52" s="58" t="n"/>
      <c r="S52" s="58" t="n"/>
      <c r="T52" s="58" t="n"/>
      <c r="U52" s="58" t="n"/>
      <c r="V52" s="58" t="n"/>
      <c r="W52" s="58" t="n"/>
      <c r="X52" s="58" t="n"/>
      <c r="Y52" s="58" t="n"/>
      <c r="Z52" s="58" t="n"/>
      <c r="AA52" s="58" t="n"/>
      <c r="AB52" s="58" t="n"/>
      <c r="AC52" s="58" t="n"/>
    </row>
    <row r="53">
      <c r="A53" s="58" t="n"/>
      <c r="B53" s="58" t="n"/>
      <c r="C53" s="58" t="n"/>
      <c r="D53" s="58" t="n"/>
      <c r="E53" s="58" t="n"/>
      <c r="F53" s="58" t="n"/>
      <c r="G53" s="58" t="n"/>
      <c r="H53" s="58" t="n"/>
      <c r="I53" s="58" t="n"/>
      <c r="J53" s="58" t="n"/>
      <c r="K53" s="58" t="n"/>
      <c r="L53" s="58" t="n"/>
      <c r="M53" s="58" t="n"/>
      <c r="N53" s="58" t="n"/>
      <c r="O53" s="58" t="n"/>
      <c r="P53" s="58" t="n"/>
      <c r="Q53" s="58" t="n"/>
      <c r="R53" s="58" t="n"/>
      <c r="S53" s="58" t="n"/>
      <c r="T53" s="58" t="n"/>
      <c r="U53" s="58" t="n"/>
      <c r="V53" s="58" t="n"/>
      <c r="W53" s="58" t="n"/>
      <c r="X53" s="58" t="n"/>
      <c r="Y53" s="58" t="n"/>
      <c r="Z53" s="58" t="n"/>
      <c r="AA53" s="58" t="n"/>
      <c r="AB53" s="58" t="n"/>
      <c r="AC53" s="58" t="n"/>
    </row>
    <row r="54">
      <c r="A54" s="58" t="n"/>
      <c r="B54" s="58" t="n"/>
      <c r="C54" s="58" t="n"/>
      <c r="D54" s="58" t="n"/>
      <c r="E54" s="58" t="n"/>
      <c r="F54" s="58" t="n"/>
      <c r="G54" s="58" t="n"/>
      <c r="H54" s="58" t="n"/>
      <c r="I54" s="58" t="n"/>
      <c r="J54" s="58" t="n"/>
      <c r="K54" s="58" t="n"/>
      <c r="L54" s="58" t="n"/>
      <c r="M54" s="58" t="n"/>
      <c r="N54" s="58" t="n"/>
      <c r="O54" s="58" t="n"/>
      <c r="P54" s="58" t="n"/>
      <c r="Q54" s="58" t="n"/>
      <c r="R54" s="58" t="n"/>
      <c r="S54" s="58" t="n"/>
      <c r="T54" s="58" t="n"/>
      <c r="U54" s="58" t="n"/>
      <c r="V54" s="58" t="n"/>
      <c r="W54" s="58" t="n"/>
      <c r="X54" s="58" t="n"/>
      <c r="Y54" s="58" t="n"/>
      <c r="Z54" s="58" t="n"/>
      <c r="AA54" s="58" t="n"/>
      <c r="AB54" s="58" t="n"/>
      <c r="AC54" s="58" t="n"/>
    </row>
    <row r="55">
      <c r="A55" s="58" t="n"/>
      <c r="B55" s="58" t="n"/>
      <c r="C55" s="58" t="n"/>
      <c r="D55" s="58" t="n"/>
      <c r="E55" s="58" t="n"/>
      <c r="F55" s="58" t="n"/>
      <c r="G55" s="58" t="n"/>
      <c r="H55" s="58" t="n"/>
      <c r="I55" s="58" t="n"/>
      <c r="J55" s="58" t="n"/>
      <c r="K55" s="58" t="n"/>
      <c r="L55" s="58" t="n"/>
      <c r="M55" s="58" t="n"/>
      <c r="N55" s="58" t="n"/>
      <c r="O55" s="58" t="n"/>
      <c r="P55" s="58" t="n"/>
      <c r="Q55" s="58" t="n"/>
      <c r="R55" s="58" t="n"/>
      <c r="S55" s="58" t="n"/>
      <c r="T55" s="58" t="n"/>
      <c r="U55" s="58" t="n"/>
      <c r="V55" s="58" t="n"/>
      <c r="W55" s="58" t="n"/>
      <c r="X55" s="58" t="n"/>
      <c r="Y55" s="58" t="n"/>
      <c r="Z55" s="58" t="n"/>
      <c r="AA55" s="58" t="n"/>
      <c r="AB55" s="58" t="n"/>
      <c r="AC55" s="58" t="n"/>
    </row>
    <row r="56">
      <c r="A56" s="58" t="n"/>
      <c r="B56" s="58" t="n"/>
      <c r="C56" s="58" t="n"/>
      <c r="D56" s="58" t="n"/>
      <c r="E56" s="58" t="n"/>
      <c r="F56" s="58" t="n"/>
      <c r="G56" s="58" t="n"/>
      <c r="H56" s="58" t="n"/>
      <c r="I56" s="58" t="n"/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8" t="n"/>
      <c r="T56" s="58" t="n"/>
      <c r="U56" s="58" t="n"/>
      <c r="V56" s="58" t="n"/>
      <c r="W56" s="58" t="n"/>
      <c r="X56" s="58" t="n"/>
      <c r="Y56" s="58" t="n"/>
      <c r="Z56" s="58" t="n"/>
      <c r="AA56" s="58" t="n"/>
      <c r="AB56" s="58" t="n"/>
      <c r="AC56" s="58" t="n"/>
    </row>
    <row r="57">
      <c r="A57" s="58" t="n"/>
      <c r="B57" s="58" t="n"/>
      <c r="C57" s="58" t="n"/>
      <c r="D57" s="58" t="n"/>
      <c r="E57" s="58" t="n"/>
      <c r="F57" s="58" t="n"/>
      <c r="G57" s="58" t="n"/>
      <c r="H57" s="58" t="n"/>
      <c r="I57" s="58" t="n"/>
      <c r="J57" s="58" t="n"/>
      <c r="K57" s="58" t="n"/>
      <c r="L57" s="58" t="n"/>
      <c r="M57" s="58" t="n"/>
      <c r="N57" s="58" t="n"/>
      <c r="O57" s="58" t="n"/>
      <c r="P57" s="58" t="n"/>
      <c r="Q57" s="58" t="n"/>
      <c r="R57" s="58" t="n"/>
      <c r="S57" s="58" t="n"/>
      <c r="T57" s="58" t="n"/>
      <c r="U57" s="58" t="n"/>
      <c r="V57" s="58" t="n"/>
      <c r="W57" s="58" t="n"/>
      <c r="X57" s="58" t="n"/>
      <c r="Y57" s="58" t="n"/>
      <c r="Z57" s="58" t="n"/>
      <c r="AA57" s="58" t="n"/>
      <c r="AB57" s="58" t="n"/>
      <c r="AC57" s="58" t="n"/>
    </row>
    <row r="58">
      <c r="A58" s="58" t="n"/>
      <c r="B58" s="58" t="n"/>
      <c r="C58" s="58" t="n"/>
      <c r="D58" s="58" t="n"/>
      <c r="E58" s="58" t="n"/>
      <c r="F58" s="58" t="n"/>
      <c r="G58" s="58" t="n"/>
      <c r="H58" s="58" t="n"/>
      <c r="I58" s="58" t="n"/>
      <c r="J58" s="58" t="n"/>
      <c r="K58" s="58" t="n"/>
      <c r="L58" s="58" t="n"/>
      <c r="M58" s="58" t="n"/>
      <c r="N58" s="58" t="n"/>
      <c r="O58" s="58" t="n"/>
      <c r="P58" s="58" t="n"/>
      <c r="Q58" s="58" t="n"/>
      <c r="R58" s="58" t="n"/>
      <c r="S58" s="58" t="n"/>
      <c r="T58" s="58" t="n"/>
      <c r="U58" s="58" t="n"/>
      <c r="V58" s="58" t="n"/>
      <c r="W58" s="58" t="n"/>
      <c r="X58" s="58" t="n"/>
      <c r="Y58" s="58" t="n"/>
      <c r="Z58" s="58" t="n"/>
      <c r="AA58" s="58" t="n"/>
      <c r="AB58" s="58" t="n"/>
      <c r="AC58" s="58" t="n"/>
    </row>
    <row r="59">
      <c r="A59" s="58" t="n"/>
      <c r="B59" s="58" t="n"/>
      <c r="C59" s="58" t="n"/>
      <c r="D59" s="58" t="n"/>
      <c r="E59" s="58" t="n"/>
      <c r="F59" s="58" t="n"/>
      <c r="G59" s="58" t="n"/>
      <c r="H59" s="58" t="n"/>
      <c r="I59" s="58" t="n"/>
      <c r="J59" s="58" t="n"/>
      <c r="K59" s="58" t="n"/>
      <c r="L59" s="58" t="n"/>
      <c r="M59" s="58" t="n"/>
      <c r="N59" s="58" t="n"/>
      <c r="O59" s="58" t="n"/>
      <c r="P59" s="58" t="n"/>
      <c r="Q59" s="58" t="n"/>
      <c r="R59" s="58" t="n"/>
      <c r="S59" s="58" t="n"/>
      <c r="T59" s="58" t="n"/>
      <c r="U59" s="58" t="n"/>
      <c r="V59" s="58" t="n"/>
      <c r="W59" s="58" t="n"/>
      <c r="X59" s="58" t="n"/>
      <c r="Y59" s="58" t="n"/>
      <c r="Z59" s="58" t="n"/>
      <c r="AA59" s="58" t="n"/>
      <c r="AB59" s="58" t="n"/>
      <c r="AC59" s="58" t="n"/>
    </row>
  </sheetData>
  <mergeCells count="6">
    <mergeCell ref="G4:H4"/>
    <mergeCell ref="I4:J4"/>
    <mergeCell ref="A1:M1"/>
    <mergeCell ref="A4:F4"/>
    <mergeCell ref="K4:L4"/>
    <mergeCell ref="A2:M2"/>
  </mergeCells>
  <conditionalFormatting sqref="G6:Z39">
    <cfRule type="cellIs" priority="1" operator="equal" dxfId="1">
      <formula>"S"</formula>
    </cfRule>
    <cfRule type="cellIs" priority="2" operator="equal" dxfId="16">
      <formula>"A"</formula>
    </cfRule>
    <cfRule type="cellIs" priority="3" operator="equal" dxfId="15">
      <formula>"C"</formula>
    </cfRule>
    <cfRule type="cellIs" priority="4" operator="equal" dxfId="12">
      <formula>"D"</formula>
    </cfRule>
  </conditionalFormatting>
  <dataValidations count="1">
    <dataValidation sqref="G6:L39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FFC000"/>
    <outlinePr summaryBelow="1" summaryRight="1"/>
    <pageSetUpPr/>
  </sheetPr>
  <dimension ref="A1:AC59"/>
  <sheetViews>
    <sheetView workbookViewId="0">
      <pane xSplit="6" ySplit="5" topLeftCell="G6" activePane="bottomRight" state="frozen"/>
      <selection pane="topRight" activeCell="A1" sqref="A1"/>
      <selection pane="bottomLeft" activeCell="A1" sqref="A1"/>
      <selection pane="bottomRight" activeCell="G13" sqref="G13:L13"/>
    </sheetView>
  </sheetViews>
  <sheetFormatPr baseColWidth="8" defaultRowHeight="16.9"/>
  <cols>
    <col width="5" customWidth="1" style="86" min="1" max="1"/>
    <col width="10" customWidth="1" style="86" min="2" max="2"/>
    <col width="9" customWidth="1" style="86" min="3" max="3"/>
    <col width="11" customWidth="1" style="86" min="4" max="4"/>
    <col width="14" customWidth="1" style="86" min="5" max="5"/>
    <col width="9" customWidth="1" style="86" min="6" max="6"/>
    <col width="10" customWidth="1" style="86" min="7" max="12"/>
    <col width="28" customWidth="1" style="86" min="13" max="13"/>
    <col width="10" customWidth="1" style="86" min="14" max="17"/>
    <col width="9" customWidth="1" style="86" min="18" max="22"/>
    <col width="10" customWidth="1" style="86" min="23" max="24"/>
    <col width="9" customWidth="1" style="86" min="25" max="26"/>
    <col width="25" customWidth="1" style="86" min="27" max="27"/>
  </cols>
  <sheetData>
    <row r="1" ht="30" customHeight="1" s="86">
      <c r="A1" s="82" t="inlineStr">
        <is>
          <t>하반기 평가 결과 입력</t>
        </is>
      </c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7" t="n"/>
      <c r="N1" s="58" t="n"/>
      <c r="O1" s="58" t="n"/>
      <c r="P1" s="58" t="n"/>
      <c r="Q1" s="58" t="n"/>
      <c r="R1" s="58" t="n"/>
      <c r="S1" s="58" t="n"/>
      <c r="T1" s="58" t="n"/>
      <c r="U1" s="58" t="n"/>
      <c r="V1" s="58" t="n"/>
      <c r="W1" s="58" t="n"/>
      <c r="X1" s="58" t="n"/>
      <c r="Y1" s="58" t="n"/>
      <c r="Z1" s="58" t="n"/>
      <c r="AA1" s="58" t="n"/>
      <c r="AB1" s="58" t="n"/>
      <c r="AC1" s="58" t="n"/>
    </row>
    <row r="2" ht="32" customHeight="1" s="86">
      <c r="A2" s="74" t="inlineStr">
        <is>
          <t>평가지에서 각 직원별 [복사용 입력 행]을 통째로 복사 → 해당 사번 행 G열부터 [값 붙여넣기]. 1차·2차 평가자별 종합 등급을 받고, 02_의사결정의 평가자 가중치를 자동 적용해 04~06 시트에서 확정 등급 산출.</t>
        </is>
      </c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7" t="n"/>
      <c r="N2" s="58" t="n"/>
      <c r="O2" s="58" t="n"/>
      <c r="P2" s="58" t="n"/>
      <c r="Q2" s="58" t="n"/>
      <c r="R2" s="58" t="n"/>
      <c r="S2" s="58" t="n"/>
      <c r="T2" s="58" t="n"/>
      <c r="U2" s="58" t="n"/>
      <c r="V2" s="58" t="n"/>
      <c r="W2" s="58" t="n"/>
      <c r="X2" s="58" t="n"/>
      <c r="Y2" s="58" t="n"/>
      <c r="Z2" s="58" t="n"/>
      <c r="AA2" s="58" t="n"/>
      <c r="AB2" s="58" t="n"/>
      <c r="AC2" s="58" t="n"/>
    </row>
    <row r="3" ht="18" customHeight="1" s="86">
      <c r="A3" s="58" t="n"/>
      <c r="B3" s="58" t="n"/>
      <c r="C3" s="58" t="n"/>
      <c r="D3" s="58" t="n"/>
      <c r="E3" s="58" t="n"/>
      <c r="F3" s="58" t="n"/>
      <c r="G3" s="58" t="n"/>
      <c r="H3" s="58" t="n"/>
      <c r="I3" s="58" t="n"/>
      <c r="J3" s="58" t="n"/>
      <c r="K3" s="58" t="n"/>
      <c r="L3" s="58" t="n"/>
      <c r="M3" s="58" t="n"/>
      <c r="N3" s="58" t="n"/>
      <c r="O3" s="58" t="n"/>
      <c r="P3" s="58" t="n"/>
      <c r="Q3" s="58" t="n"/>
      <c r="R3" s="58" t="n"/>
      <c r="S3" s="58" t="n"/>
      <c r="T3" s="58" t="n"/>
      <c r="U3" s="58" t="n"/>
      <c r="V3" s="58" t="n"/>
      <c r="W3" s="58" t="n"/>
      <c r="X3" s="58" t="n"/>
      <c r="Y3" s="58" t="n"/>
      <c r="Z3" s="58" t="n"/>
      <c r="AA3" s="58" t="n"/>
      <c r="AB3" s="58" t="n"/>
      <c r="AC3" s="58" t="n"/>
    </row>
    <row r="4" ht="22.05" customHeight="1" s="86">
      <c r="A4" s="79" t="inlineStr">
        <is>
          <t>인적정보</t>
        </is>
      </c>
      <c r="B4" s="66" t="n"/>
      <c r="C4" s="66" t="n"/>
      <c r="D4" s="66" t="n"/>
      <c r="E4" s="66" t="n"/>
      <c r="F4" s="67" t="n"/>
      <c r="G4" s="88" t="inlineStr">
        <is>
          <t>역할평가</t>
        </is>
      </c>
      <c r="H4" s="67" t="n"/>
      <c r="I4" s="68" t="inlineStr">
        <is>
          <t>공통역량</t>
        </is>
      </c>
      <c r="J4" s="67" t="n"/>
      <c r="K4" s="89" t="inlineStr">
        <is>
          <t>직무역량</t>
        </is>
      </c>
      <c r="L4" s="67" t="n"/>
      <c r="M4" s="27" t="inlineStr">
        <is>
          <t>소견</t>
        </is>
      </c>
      <c r="N4" s="58" t="n"/>
      <c r="O4" s="58" t="n"/>
      <c r="P4" s="58" t="n"/>
      <c r="Q4" s="58" t="n"/>
      <c r="R4" s="58" t="n"/>
      <c r="S4" s="58" t="n"/>
      <c r="T4" s="58" t="n"/>
      <c r="U4" s="58" t="n"/>
      <c r="V4" s="58" t="n"/>
      <c r="W4" s="58" t="n"/>
      <c r="X4" s="58" t="n"/>
      <c r="Y4" s="58" t="n"/>
      <c r="Z4" s="58" t="n"/>
      <c r="AA4" s="58" t="n"/>
      <c r="AB4" s="58" t="n"/>
      <c r="AC4" s="58" t="n"/>
    </row>
    <row r="5" ht="30" customHeight="1" s="86">
      <c r="A5" s="91" t="inlineStr">
        <is>
          <t>No.</t>
        </is>
      </c>
      <c r="B5" s="91" t="inlineStr">
        <is>
          <t>사번</t>
        </is>
      </c>
      <c r="C5" s="91" t="inlineStr">
        <is>
          <t>성명</t>
        </is>
      </c>
      <c r="D5" s="91" t="inlineStr">
        <is>
          <t>직군</t>
        </is>
      </c>
      <c r="E5" s="91" t="inlineStr">
        <is>
          <t>직무</t>
        </is>
      </c>
      <c r="F5" s="91" t="inlineStr">
        <is>
          <t>역할등급</t>
        </is>
      </c>
      <c r="G5" s="29" t="inlineStr">
        <is>
          <t>역할(1차)</t>
        </is>
      </c>
      <c r="H5" s="29" t="inlineStr">
        <is>
          <t>역할(2차)</t>
        </is>
      </c>
      <c r="I5" s="30" t="inlineStr">
        <is>
          <t>공통(1차)</t>
        </is>
      </c>
      <c r="J5" s="30" t="inlineStr">
        <is>
          <t>공통(2차)</t>
        </is>
      </c>
      <c r="K5" s="31" t="inlineStr">
        <is>
          <t>직무(1차)</t>
        </is>
      </c>
      <c r="L5" s="31" t="inlineStr">
        <is>
          <t>직무(2차)</t>
        </is>
      </c>
      <c r="M5" s="32" t="inlineStr">
        <is>
          <t>종합 소견</t>
        </is>
      </c>
      <c r="N5" s="58" t="n"/>
      <c r="O5" s="58" t="n"/>
      <c r="P5" s="58" t="n"/>
      <c r="Q5" s="58" t="n"/>
      <c r="R5" s="58" t="n"/>
      <c r="S5" s="58" t="n"/>
      <c r="T5" s="58" t="n"/>
      <c r="U5" s="58" t="n"/>
      <c r="V5" s="58" t="n"/>
      <c r="W5" s="58" t="n"/>
      <c r="X5" s="58" t="n"/>
      <c r="Y5" s="58" t="n"/>
      <c r="Z5" s="58" t="n"/>
      <c r="AA5" s="58" t="n"/>
      <c r="AB5" s="58" t="n"/>
      <c r="AC5" s="58" t="n"/>
    </row>
    <row r="6" ht="24" customHeight="1" s="86">
      <c r="A6" s="75">
        <f>'01_인적정보'!A6</f>
        <v/>
      </c>
      <c r="B6" s="75">
        <f>'01_인적정보'!B6</f>
        <v/>
      </c>
      <c r="C6" s="69">
        <f>'01_인적정보'!C6</f>
        <v/>
      </c>
      <c r="D6" s="69">
        <f>'01_인적정보'!D6</f>
        <v/>
      </c>
      <c r="E6" s="69">
        <f>'01_인적정보'!E6</f>
        <v/>
      </c>
      <c r="F6" s="11">
        <f>'01_인적정보'!H6</f>
        <v/>
      </c>
      <c r="G6" s="17" t="n"/>
      <c r="H6" s="17" t="n"/>
      <c r="I6" s="17" t="n"/>
      <c r="J6" s="17" t="n"/>
      <c r="K6" s="17" t="n"/>
      <c r="L6" s="17" t="n"/>
      <c r="M6" s="1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</row>
    <row r="7" ht="24" customHeight="1" s="86">
      <c r="A7" s="75">
        <f>'01_인적정보'!A7</f>
        <v/>
      </c>
      <c r="B7" s="75">
        <f>'01_인적정보'!B7</f>
        <v/>
      </c>
      <c r="C7" s="69">
        <f>'01_인적정보'!C7</f>
        <v/>
      </c>
      <c r="D7" s="69">
        <f>'01_인적정보'!D7</f>
        <v/>
      </c>
      <c r="E7" s="69">
        <f>'01_인적정보'!E7</f>
        <v/>
      </c>
      <c r="F7" s="11">
        <f>'01_인적정보'!H7</f>
        <v/>
      </c>
      <c r="G7" s="17" t="n"/>
      <c r="H7" s="17" t="n"/>
      <c r="I7" s="17" t="n"/>
      <c r="J7" s="17" t="n"/>
      <c r="K7" s="17" t="n"/>
      <c r="L7" s="17" t="n"/>
      <c r="M7" s="1" t="n"/>
      <c r="N7" s="58" t="n"/>
      <c r="O7" s="58" t="n"/>
      <c r="P7" s="58" t="n"/>
      <c r="Q7" s="58" t="n"/>
      <c r="R7" s="58" t="n"/>
      <c r="S7" s="58" t="n"/>
      <c r="T7" s="58" t="n"/>
      <c r="U7" s="58" t="n"/>
      <c r="V7" s="58" t="n"/>
      <c r="W7" s="58" t="n"/>
      <c r="X7" s="58" t="n"/>
      <c r="Y7" s="58" t="n"/>
      <c r="Z7" s="58" t="n"/>
      <c r="AA7" s="58" t="n"/>
      <c r="AB7" s="58" t="n"/>
      <c r="AC7" s="58" t="n"/>
    </row>
    <row r="8" ht="24" customHeight="1" s="86">
      <c r="A8" s="75">
        <f>'01_인적정보'!A8</f>
        <v/>
      </c>
      <c r="B8" s="75">
        <f>'01_인적정보'!B8</f>
        <v/>
      </c>
      <c r="C8" s="69">
        <f>'01_인적정보'!C8</f>
        <v/>
      </c>
      <c r="D8" s="69">
        <f>'01_인적정보'!D8</f>
        <v/>
      </c>
      <c r="E8" s="69">
        <f>'01_인적정보'!E8</f>
        <v/>
      </c>
      <c r="F8" s="11">
        <f>'01_인적정보'!H8</f>
        <v/>
      </c>
      <c r="G8" s="17" t="n"/>
      <c r="H8" s="17" t="n"/>
      <c r="I8" s="17" t="n"/>
      <c r="J8" s="17" t="n"/>
      <c r="K8" s="17" t="n"/>
      <c r="L8" s="17" t="n"/>
      <c r="M8" s="1" t="n"/>
      <c r="N8" s="58" t="n"/>
      <c r="O8" s="58" t="n"/>
      <c r="P8" s="58" t="n"/>
      <c r="Q8" s="58" t="n"/>
      <c r="R8" s="58" t="n"/>
      <c r="S8" s="58" t="n"/>
      <c r="T8" s="58" t="n"/>
      <c r="U8" s="58" t="n"/>
      <c r="V8" s="58" t="n"/>
      <c r="W8" s="58" t="n"/>
      <c r="X8" s="58" t="n"/>
      <c r="Y8" s="58" t="n"/>
      <c r="Z8" s="58" t="n"/>
      <c r="AA8" s="58" t="n"/>
      <c r="AB8" s="58" t="n"/>
      <c r="AC8" s="58" t="n"/>
    </row>
    <row r="9" ht="24" customHeight="1" s="86">
      <c r="A9" s="75">
        <f>'01_인적정보'!A9</f>
        <v/>
      </c>
      <c r="B9" s="75">
        <f>'01_인적정보'!B9</f>
        <v/>
      </c>
      <c r="C9" s="69">
        <f>'01_인적정보'!C9</f>
        <v/>
      </c>
      <c r="D9" s="69">
        <f>'01_인적정보'!D9</f>
        <v/>
      </c>
      <c r="E9" s="69">
        <f>'01_인적정보'!E9</f>
        <v/>
      </c>
      <c r="F9" s="11">
        <f>'01_인적정보'!H9</f>
        <v/>
      </c>
      <c r="G9" s="17" t="n"/>
      <c r="H9" s="17" t="n"/>
      <c r="I9" s="17" t="n"/>
      <c r="J9" s="17" t="n"/>
      <c r="K9" s="17" t="n"/>
      <c r="L9" s="17" t="n"/>
      <c r="M9" s="1" t="n"/>
      <c r="N9" s="58" t="n"/>
      <c r="O9" s="58" t="n"/>
      <c r="P9" s="58" t="n"/>
      <c r="Q9" s="58" t="n"/>
      <c r="R9" s="58" t="n"/>
      <c r="S9" s="58" t="n"/>
      <c r="T9" s="58" t="n"/>
      <c r="U9" s="58" t="n"/>
      <c r="V9" s="58" t="n"/>
      <c r="W9" s="58" t="n"/>
      <c r="X9" s="58" t="n"/>
      <c r="Y9" s="58" t="n"/>
      <c r="Z9" s="58" t="n"/>
      <c r="AA9" s="58" t="n"/>
      <c r="AB9" s="58" t="n"/>
      <c r="AC9" s="58" t="n"/>
    </row>
    <row r="10" ht="24" customHeight="1" s="86">
      <c r="A10" s="75">
        <f>'01_인적정보'!A10</f>
        <v/>
      </c>
      <c r="B10" s="75">
        <f>'01_인적정보'!B10</f>
        <v/>
      </c>
      <c r="C10" s="69">
        <f>'01_인적정보'!C10</f>
        <v/>
      </c>
      <c r="D10" s="69">
        <f>'01_인적정보'!D10</f>
        <v/>
      </c>
      <c r="E10" s="69">
        <f>'01_인적정보'!E10</f>
        <v/>
      </c>
      <c r="F10" s="11">
        <f>'01_인적정보'!H10</f>
        <v/>
      </c>
      <c r="G10" s="17" t="n"/>
      <c r="H10" s="17" t="n"/>
      <c r="I10" s="17" t="n"/>
      <c r="J10" s="17" t="n"/>
      <c r="K10" s="17" t="n"/>
      <c r="L10" s="17" t="n"/>
      <c r="M10" s="1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</row>
    <row r="11" ht="24" customHeight="1" s="86">
      <c r="A11" s="75">
        <f>'01_인적정보'!A11</f>
        <v/>
      </c>
      <c r="B11" s="75">
        <f>'01_인적정보'!B11</f>
        <v/>
      </c>
      <c r="C11" s="69">
        <f>'01_인적정보'!C11</f>
        <v/>
      </c>
      <c r="D11" s="69">
        <f>'01_인적정보'!D11</f>
        <v/>
      </c>
      <c r="E11" s="69">
        <f>'01_인적정보'!E11</f>
        <v/>
      </c>
      <c r="F11" s="11">
        <f>'01_인적정보'!H11</f>
        <v/>
      </c>
      <c r="G11" s="17" t="n"/>
      <c r="H11" s="17" t="n"/>
      <c r="I11" s="17" t="n"/>
      <c r="J11" s="17" t="n"/>
      <c r="K11" s="17" t="n"/>
      <c r="L11" s="17" t="n"/>
      <c r="M11" s="1" t="n"/>
      <c r="N11" s="58" t="n"/>
      <c r="O11" s="58" t="n"/>
      <c r="P11" s="58" t="n"/>
      <c r="Q11" s="58" t="n"/>
      <c r="R11" s="58" t="n"/>
      <c r="S11" s="58" t="n"/>
      <c r="T11" s="58" t="n"/>
      <c r="U11" s="58" t="n"/>
      <c r="V11" s="58" t="n"/>
      <c r="W11" s="58" t="n"/>
      <c r="X11" s="58" t="n"/>
      <c r="Y11" s="58" t="n"/>
      <c r="Z11" s="58" t="n"/>
      <c r="AA11" s="58" t="n"/>
      <c r="AB11" s="58" t="n"/>
      <c r="AC11" s="58" t="n"/>
    </row>
    <row r="12" ht="24" customHeight="1" s="86">
      <c r="A12" s="75">
        <f>'01_인적정보'!A12</f>
        <v/>
      </c>
      <c r="B12" s="75">
        <f>'01_인적정보'!B12</f>
        <v/>
      </c>
      <c r="C12" s="69">
        <f>'01_인적정보'!C12</f>
        <v/>
      </c>
      <c r="D12" s="69">
        <f>'01_인적정보'!D12</f>
        <v/>
      </c>
      <c r="E12" s="69">
        <f>'01_인적정보'!E12</f>
        <v/>
      </c>
      <c r="F12" s="11">
        <f>'01_인적정보'!H12</f>
        <v/>
      </c>
      <c r="G12" s="17" t="n"/>
      <c r="H12" s="17" t="n"/>
      <c r="I12" s="17" t="n"/>
      <c r="J12" s="17" t="n"/>
      <c r="K12" s="17" t="n"/>
      <c r="L12" s="17" t="n"/>
      <c r="M12" s="1" t="n"/>
      <c r="N12" s="58" t="n"/>
      <c r="O12" s="58" t="n"/>
      <c r="P12" s="58" t="n"/>
      <c r="Q12" s="58" t="n"/>
      <c r="R12" s="58" t="n"/>
      <c r="S12" s="58" t="n"/>
      <c r="T12" s="58" t="n"/>
      <c r="U12" s="58" t="n"/>
      <c r="V12" s="58" t="n"/>
      <c r="W12" s="58" t="n"/>
      <c r="X12" s="58" t="n"/>
      <c r="Y12" s="58" t="n"/>
      <c r="Z12" s="58" t="n"/>
      <c r="AA12" s="58" t="n"/>
      <c r="AB12" s="58" t="n"/>
      <c r="AC12" s="58" t="n"/>
    </row>
    <row r="13" ht="24" customHeight="1" s="86">
      <c r="A13" s="75">
        <f>'01_인적정보'!A13</f>
        <v/>
      </c>
      <c r="B13" s="75">
        <f>'01_인적정보'!B13</f>
        <v/>
      </c>
      <c r="C13" s="69">
        <f>'01_인적정보'!C13</f>
        <v/>
      </c>
      <c r="D13" s="69">
        <f>'01_인적정보'!D13</f>
        <v/>
      </c>
      <c r="E13" s="69">
        <f>'01_인적정보'!E13</f>
        <v/>
      </c>
      <c r="F13" s="11">
        <f>'01_인적정보'!H13</f>
        <v/>
      </c>
      <c r="G13" s="17" t="n"/>
      <c r="H13" s="17" t="n"/>
      <c r="I13" s="17" t="n"/>
      <c r="J13" s="17" t="n"/>
      <c r="K13" s="17" t="n"/>
      <c r="L13" s="17" t="n"/>
      <c r="M13" s="1" t="n"/>
      <c r="N13" s="58" t="n"/>
      <c r="O13" s="58" t="n"/>
      <c r="P13" s="58" t="n"/>
      <c r="Q13" s="58" t="n"/>
      <c r="R13" s="58" t="n"/>
      <c r="S13" s="58" t="n"/>
      <c r="T13" s="58" t="n"/>
      <c r="U13" s="58" t="n"/>
      <c r="V13" s="58" t="n"/>
      <c r="W13" s="58" t="n"/>
      <c r="X13" s="58" t="n"/>
      <c r="Y13" s="58" t="n"/>
      <c r="Z13" s="58" t="n"/>
      <c r="AA13" s="58" t="n"/>
      <c r="AB13" s="58" t="n"/>
      <c r="AC13" s="58" t="n"/>
    </row>
    <row r="14" ht="24" customHeight="1" s="86">
      <c r="A14" s="75">
        <f>'01_인적정보'!A14</f>
        <v/>
      </c>
      <c r="B14" s="75">
        <f>'01_인적정보'!B14</f>
        <v/>
      </c>
      <c r="C14" s="69">
        <f>'01_인적정보'!C14</f>
        <v/>
      </c>
      <c r="D14" s="69">
        <f>'01_인적정보'!D14</f>
        <v/>
      </c>
      <c r="E14" s="69">
        <f>'01_인적정보'!E14</f>
        <v/>
      </c>
      <c r="F14" s="11">
        <f>'01_인적정보'!H14</f>
        <v/>
      </c>
      <c r="G14" s="17" t="n"/>
      <c r="H14" s="17" t="n"/>
      <c r="I14" s="17" t="n"/>
      <c r="J14" s="17" t="n"/>
      <c r="K14" s="17" t="n"/>
      <c r="L14" s="17" t="n"/>
      <c r="M14" s="1" t="n"/>
      <c r="N14" s="58" t="n"/>
      <c r="O14" s="58" t="n"/>
      <c r="P14" s="58" t="n"/>
      <c r="Q14" s="58" t="n"/>
      <c r="R14" s="58" t="n"/>
      <c r="S14" s="58" t="n"/>
      <c r="T14" s="58" t="n"/>
      <c r="U14" s="58" t="n"/>
      <c r="V14" s="58" t="n"/>
      <c r="W14" s="58" t="n"/>
      <c r="X14" s="58" t="n"/>
      <c r="Y14" s="58" t="n"/>
      <c r="Z14" s="58" t="n"/>
      <c r="AA14" s="58" t="n"/>
      <c r="AB14" s="58" t="n"/>
      <c r="AC14" s="58" t="n"/>
    </row>
    <row r="15" ht="24" customHeight="1" s="86">
      <c r="A15" s="75">
        <f>'01_인적정보'!A15</f>
        <v/>
      </c>
      <c r="B15" s="75">
        <f>'01_인적정보'!B15</f>
        <v/>
      </c>
      <c r="C15" s="69">
        <f>'01_인적정보'!C15</f>
        <v/>
      </c>
      <c r="D15" s="69">
        <f>'01_인적정보'!D15</f>
        <v/>
      </c>
      <c r="E15" s="69">
        <f>'01_인적정보'!E15</f>
        <v/>
      </c>
      <c r="F15" s="11">
        <f>'01_인적정보'!H15</f>
        <v/>
      </c>
      <c r="G15" s="17" t="n"/>
      <c r="H15" s="17" t="n"/>
      <c r="I15" s="17" t="n"/>
      <c r="J15" s="17" t="n"/>
      <c r="K15" s="17" t="n"/>
      <c r="L15" s="17" t="n"/>
      <c r="M15" s="1" t="n"/>
      <c r="N15" s="58" t="n"/>
      <c r="O15" s="58" t="n"/>
      <c r="P15" s="58" t="n"/>
      <c r="Q15" s="58" t="n"/>
      <c r="R15" s="58" t="n"/>
      <c r="S15" s="58" t="n"/>
      <c r="T15" s="58" t="n"/>
      <c r="U15" s="58" t="n"/>
      <c r="V15" s="58" t="n"/>
      <c r="W15" s="58" t="n"/>
      <c r="X15" s="58" t="n"/>
      <c r="Y15" s="58" t="n"/>
      <c r="Z15" s="58" t="n"/>
      <c r="AA15" s="58" t="n"/>
      <c r="AB15" s="58" t="n"/>
      <c r="AC15" s="58" t="n"/>
    </row>
    <row r="16" ht="24" customHeight="1" s="86">
      <c r="A16" s="75">
        <f>'01_인적정보'!A16</f>
        <v/>
      </c>
      <c r="B16" s="75">
        <f>'01_인적정보'!B16</f>
        <v/>
      </c>
      <c r="C16" s="69">
        <f>'01_인적정보'!C16</f>
        <v/>
      </c>
      <c r="D16" s="69">
        <f>'01_인적정보'!D16</f>
        <v/>
      </c>
      <c r="E16" s="69">
        <f>'01_인적정보'!E16</f>
        <v/>
      </c>
      <c r="F16" s="11">
        <f>'01_인적정보'!H16</f>
        <v/>
      </c>
      <c r="G16" s="17" t="n"/>
      <c r="H16" s="17" t="n"/>
      <c r="I16" s="17" t="n"/>
      <c r="J16" s="17" t="n"/>
      <c r="K16" s="17" t="n"/>
      <c r="L16" s="17" t="n"/>
      <c r="M16" s="1" t="n"/>
      <c r="N16" s="58" t="n"/>
      <c r="O16" s="58" t="n"/>
      <c r="P16" s="58" t="n"/>
      <c r="Q16" s="58" t="n"/>
      <c r="R16" s="58" t="n"/>
      <c r="S16" s="58" t="n"/>
      <c r="T16" s="58" t="n"/>
      <c r="U16" s="58" t="n"/>
      <c r="V16" s="58" t="n"/>
      <c r="W16" s="58" t="n"/>
      <c r="X16" s="58" t="n"/>
      <c r="Y16" s="58" t="n"/>
      <c r="Z16" s="58" t="n"/>
      <c r="AA16" s="58" t="n"/>
      <c r="AB16" s="58" t="n"/>
      <c r="AC16" s="58" t="n"/>
    </row>
    <row r="17" ht="24" customHeight="1" s="86">
      <c r="A17" s="75">
        <f>'01_인적정보'!A17</f>
        <v/>
      </c>
      <c r="B17" s="75">
        <f>'01_인적정보'!B17</f>
        <v/>
      </c>
      <c r="C17" s="69">
        <f>'01_인적정보'!C17</f>
        <v/>
      </c>
      <c r="D17" s="69">
        <f>'01_인적정보'!D17</f>
        <v/>
      </c>
      <c r="E17" s="69">
        <f>'01_인적정보'!E17</f>
        <v/>
      </c>
      <c r="F17" s="11">
        <f>'01_인적정보'!H17</f>
        <v/>
      </c>
      <c r="G17" s="17" t="n"/>
      <c r="H17" s="17" t="n"/>
      <c r="I17" s="17" t="n"/>
      <c r="J17" s="17" t="n"/>
      <c r="K17" s="17" t="n"/>
      <c r="L17" s="17" t="n"/>
      <c r="M17" s="1" t="n"/>
      <c r="N17" s="58" t="n"/>
      <c r="O17" s="58" t="n"/>
      <c r="P17" s="58" t="n"/>
      <c r="Q17" s="58" t="n"/>
      <c r="R17" s="58" t="n"/>
      <c r="S17" s="58" t="n"/>
      <c r="T17" s="58" t="n"/>
      <c r="U17" s="58" t="n"/>
      <c r="V17" s="58" t="n"/>
      <c r="W17" s="58" t="n"/>
      <c r="X17" s="58" t="n"/>
      <c r="Y17" s="58" t="n"/>
      <c r="Z17" s="58" t="n"/>
      <c r="AA17" s="58" t="n"/>
      <c r="AB17" s="58" t="n"/>
      <c r="AC17" s="58" t="n"/>
    </row>
    <row r="18" ht="24" customHeight="1" s="86">
      <c r="A18" s="75">
        <f>'01_인적정보'!A18</f>
        <v/>
      </c>
      <c r="B18" s="75">
        <f>'01_인적정보'!B18</f>
        <v/>
      </c>
      <c r="C18" s="69">
        <f>'01_인적정보'!C18</f>
        <v/>
      </c>
      <c r="D18" s="69">
        <f>'01_인적정보'!D18</f>
        <v/>
      </c>
      <c r="E18" s="69">
        <f>'01_인적정보'!E18</f>
        <v/>
      </c>
      <c r="F18" s="11">
        <f>'01_인적정보'!H18</f>
        <v/>
      </c>
      <c r="G18" s="17" t="n"/>
      <c r="H18" s="17" t="n"/>
      <c r="I18" s="17" t="n"/>
      <c r="J18" s="17" t="n"/>
      <c r="K18" s="17" t="n"/>
      <c r="L18" s="17" t="n"/>
      <c r="M18" s="1" t="n"/>
      <c r="N18" s="58" t="n"/>
      <c r="O18" s="58" t="n"/>
      <c r="P18" s="58" t="n"/>
      <c r="Q18" s="58" t="n"/>
      <c r="R18" s="58" t="n"/>
      <c r="S18" s="58" t="n"/>
      <c r="T18" s="58" t="n"/>
      <c r="U18" s="58" t="n"/>
      <c r="V18" s="58" t="n"/>
      <c r="W18" s="58" t="n"/>
      <c r="X18" s="58" t="n"/>
      <c r="Y18" s="58" t="n"/>
      <c r="Z18" s="58" t="n"/>
      <c r="AA18" s="58" t="n"/>
      <c r="AB18" s="58" t="n"/>
      <c r="AC18" s="58" t="n"/>
    </row>
    <row r="19" ht="24" customHeight="1" s="86">
      <c r="A19" s="75">
        <f>'01_인적정보'!A19</f>
        <v/>
      </c>
      <c r="B19" s="75">
        <f>'01_인적정보'!B19</f>
        <v/>
      </c>
      <c r="C19" s="69">
        <f>'01_인적정보'!C19</f>
        <v/>
      </c>
      <c r="D19" s="69">
        <f>'01_인적정보'!D19</f>
        <v/>
      </c>
      <c r="E19" s="69">
        <f>'01_인적정보'!E19</f>
        <v/>
      </c>
      <c r="F19" s="11">
        <f>'01_인적정보'!H19</f>
        <v/>
      </c>
      <c r="G19" s="17" t="n"/>
      <c r="H19" s="17" t="n"/>
      <c r="I19" s="17" t="n"/>
      <c r="J19" s="17" t="n"/>
      <c r="K19" s="17" t="n"/>
      <c r="L19" s="17" t="n"/>
      <c r="M19" s="1" t="n"/>
      <c r="N19" s="58" t="n"/>
      <c r="O19" s="58" t="n"/>
      <c r="P19" s="58" t="n"/>
      <c r="Q19" s="58" t="n"/>
      <c r="R19" s="58" t="n"/>
      <c r="S19" s="58" t="n"/>
      <c r="T19" s="58" t="n"/>
      <c r="U19" s="58" t="n"/>
      <c r="V19" s="58" t="n"/>
      <c r="W19" s="58" t="n"/>
      <c r="X19" s="58" t="n"/>
      <c r="Y19" s="58" t="n"/>
      <c r="Z19" s="58" t="n"/>
      <c r="AA19" s="58" t="n"/>
      <c r="AB19" s="58" t="n"/>
      <c r="AC19" s="58" t="n"/>
    </row>
    <row r="20" ht="24" customHeight="1" s="86">
      <c r="A20" s="75">
        <f>'01_인적정보'!A20</f>
        <v/>
      </c>
      <c r="B20" s="75">
        <f>'01_인적정보'!B20</f>
        <v/>
      </c>
      <c r="C20" s="69">
        <f>'01_인적정보'!C20</f>
        <v/>
      </c>
      <c r="D20" s="69">
        <f>'01_인적정보'!D20</f>
        <v/>
      </c>
      <c r="E20" s="69">
        <f>'01_인적정보'!E20</f>
        <v/>
      </c>
      <c r="F20" s="11">
        <f>'01_인적정보'!H20</f>
        <v/>
      </c>
      <c r="G20" s="17" t="n"/>
      <c r="H20" s="17" t="n"/>
      <c r="I20" s="17" t="n"/>
      <c r="J20" s="17" t="n"/>
      <c r="K20" s="17" t="n"/>
      <c r="L20" s="17" t="n"/>
      <c r="M20" s="1" t="n"/>
      <c r="N20" s="58" t="n"/>
      <c r="O20" s="58" t="n"/>
      <c r="P20" s="58" t="n"/>
      <c r="Q20" s="58" t="n"/>
      <c r="R20" s="58" t="n"/>
      <c r="S20" s="58" t="n"/>
      <c r="T20" s="58" t="n"/>
      <c r="U20" s="58" t="n"/>
      <c r="V20" s="58" t="n"/>
      <c r="W20" s="58" t="n"/>
      <c r="X20" s="58" t="n"/>
      <c r="Y20" s="58" t="n"/>
      <c r="Z20" s="58" t="n"/>
      <c r="AA20" s="58" t="n"/>
      <c r="AB20" s="58" t="n"/>
      <c r="AC20" s="58" t="n"/>
    </row>
    <row r="21" ht="24" customHeight="1" s="86">
      <c r="A21" s="75">
        <f>'01_인적정보'!A21</f>
        <v/>
      </c>
      <c r="B21" s="75">
        <f>'01_인적정보'!B21</f>
        <v/>
      </c>
      <c r="C21" s="69">
        <f>'01_인적정보'!C21</f>
        <v/>
      </c>
      <c r="D21" s="69">
        <f>'01_인적정보'!D21</f>
        <v/>
      </c>
      <c r="E21" s="69">
        <f>'01_인적정보'!E21</f>
        <v/>
      </c>
      <c r="F21" s="11">
        <f>'01_인적정보'!H21</f>
        <v/>
      </c>
      <c r="G21" s="17" t="n"/>
      <c r="H21" s="17" t="n"/>
      <c r="I21" s="17" t="n"/>
      <c r="J21" s="17" t="n"/>
      <c r="K21" s="17" t="n"/>
      <c r="L21" s="17" t="n"/>
      <c r="M21" s="1" t="n"/>
      <c r="N21" s="58" t="n"/>
      <c r="O21" s="58" t="n"/>
      <c r="P21" s="58" t="n"/>
      <c r="Q21" s="58" t="n"/>
      <c r="R21" s="58" t="n"/>
      <c r="S21" s="58" t="n"/>
      <c r="T21" s="58" t="n"/>
      <c r="U21" s="58" t="n"/>
      <c r="V21" s="58" t="n"/>
      <c r="W21" s="58" t="n"/>
      <c r="X21" s="58" t="n"/>
      <c r="Y21" s="58" t="n"/>
      <c r="Z21" s="58" t="n"/>
      <c r="AA21" s="58" t="n"/>
      <c r="AB21" s="58" t="n"/>
      <c r="AC21" s="58" t="n"/>
    </row>
    <row r="22" ht="24" customHeight="1" s="86">
      <c r="A22" s="75">
        <f>'01_인적정보'!A22</f>
        <v/>
      </c>
      <c r="B22" s="75">
        <f>'01_인적정보'!B22</f>
        <v/>
      </c>
      <c r="C22" s="69">
        <f>'01_인적정보'!C22</f>
        <v/>
      </c>
      <c r="D22" s="69">
        <f>'01_인적정보'!D22</f>
        <v/>
      </c>
      <c r="E22" s="69">
        <f>'01_인적정보'!E22</f>
        <v/>
      </c>
      <c r="F22" s="11">
        <f>'01_인적정보'!H22</f>
        <v/>
      </c>
      <c r="G22" s="17" t="n"/>
      <c r="H22" s="17" t="n"/>
      <c r="I22" s="17" t="n"/>
      <c r="J22" s="17" t="n"/>
      <c r="K22" s="17" t="n"/>
      <c r="L22" s="17" t="n"/>
      <c r="M22" s="1" t="n"/>
      <c r="N22" s="58" t="n"/>
      <c r="O22" s="58" t="n"/>
      <c r="P22" s="58" t="n"/>
      <c r="Q22" s="58" t="n"/>
      <c r="R22" s="58" t="n"/>
      <c r="S22" s="58" t="n"/>
      <c r="T22" s="58" t="n"/>
      <c r="U22" s="58" t="n"/>
      <c r="V22" s="58" t="n"/>
      <c r="W22" s="58" t="n"/>
      <c r="X22" s="58" t="n"/>
      <c r="Y22" s="58" t="n"/>
      <c r="Z22" s="58" t="n"/>
      <c r="AA22" s="58" t="n"/>
      <c r="AB22" s="58" t="n"/>
      <c r="AC22" s="58" t="n"/>
    </row>
    <row r="23" ht="24" customHeight="1" s="86">
      <c r="A23" s="75">
        <f>'01_인적정보'!A23</f>
        <v/>
      </c>
      <c r="B23" s="75">
        <f>'01_인적정보'!B23</f>
        <v/>
      </c>
      <c r="C23" s="69">
        <f>'01_인적정보'!C23</f>
        <v/>
      </c>
      <c r="D23" s="69">
        <f>'01_인적정보'!D23</f>
        <v/>
      </c>
      <c r="E23" s="69">
        <f>'01_인적정보'!E23</f>
        <v/>
      </c>
      <c r="F23" s="11">
        <f>'01_인적정보'!H23</f>
        <v/>
      </c>
      <c r="G23" s="17" t="n"/>
      <c r="H23" s="17" t="n"/>
      <c r="I23" s="17" t="n"/>
      <c r="J23" s="17" t="n"/>
      <c r="K23" s="17" t="n"/>
      <c r="L23" s="17" t="n"/>
      <c r="M23" s="1" t="n"/>
      <c r="N23" s="58" t="n"/>
      <c r="O23" s="58" t="n"/>
      <c r="P23" s="58" t="n"/>
      <c r="Q23" s="58" t="n"/>
      <c r="R23" s="58" t="n"/>
      <c r="S23" s="58" t="n"/>
      <c r="T23" s="58" t="n"/>
      <c r="U23" s="58" t="n"/>
      <c r="V23" s="58" t="n"/>
      <c r="W23" s="58" t="n"/>
      <c r="X23" s="58" t="n"/>
      <c r="Y23" s="58" t="n"/>
      <c r="Z23" s="58" t="n"/>
      <c r="AA23" s="58" t="n"/>
      <c r="AB23" s="58" t="n"/>
      <c r="AC23" s="58" t="n"/>
    </row>
    <row r="24" ht="24" customHeight="1" s="86">
      <c r="A24" s="75">
        <f>'01_인적정보'!A24</f>
        <v/>
      </c>
      <c r="B24" s="75">
        <f>'01_인적정보'!B24</f>
        <v/>
      </c>
      <c r="C24" s="69">
        <f>'01_인적정보'!C24</f>
        <v/>
      </c>
      <c r="D24" s="69">
        <f>'01_인적정보'!D24</f>
        <v/>
      </c>
      <c r="E24" s="69">
        <f>'01_인적정보'!E24</f>
        <v/>
      </c>
      <c r="F24" s="11">
        <f>'01_인적정보'!H24</f>
        <v/>
      </c>
      <c r="G24" s="17" t="n"/>
      <c r="H24" s="17" t="n"/>
      <c r="I24" s="17" t="n"/>
      <c r="J24" s="17" t="n"/>
      <c r="K24" s="17" t="n"/>
      <c r="L24" s="17" t="n"/>
      <c r="M24" s="1" t="n"/>
      <c r="N24" s="58" t="n"/>
      <c r="O24" s="58" t="n"/>
      <c r="P24" s="58" t="n"/>
      <c r="Q24" s="58" t="n"/>
      <c r="R24" s="58" t="n"/>
      <c r="S24" s="58" t="n"/>
      <c r="T24" s="58" t="n"/>
      <c r="U24" s="58" t="n"/>
      <c r="V24" s="58" t="n"/>
      <c r="W24" s="58" t="n"/>
      <c r="X24" s="58" t="n"/>
      <c r="Y24" s="58" t="n"/>
      <c r="Z24" s="58" t="n"/>
      <c r="AA24" s="58" t="n"/>
      <c r="AB24" s="58" t="n"/>
      <c r="AC24" s="58" t="n"/>
    </row>
    <row r="25" ht="24" customHeight="1" s="86">
      <c r="A25" s="75">
        <f>'01_인적정보'!A25</f>
        <v/>
      </c>
      <c r="B25" s="75">
        <f>'01_인적정보'!B25</f>
        <v/>
      </c>
      <c r="C25" s="69">
        <f>'01_인적정보'!C25</f>
        <v/>
      </c>
      <c r="D25" s="69">
        <f>'01_인적정보'!D25</f>
        <v/>
      </c>
      <c r="E25" s="69">
        <f>'01_인적정보'!E25</f>
        <v/>
      </c>
      <c r="F25" s="11">
        <f>'01_인적정보'!H25</f>
        <v/>
      </c>
      <c r="G25" s="17" t="n"/>
      <c r="H25" s="17" t="n"/>
      <c r="I25" s="17" t="n"/>
      <c r="J25" s="17" t="n"/>
      <c r="K25" s="17" t="n"/>
      <c r="L25" s="17" t="n"/>
      <c r="M25" s="1" t="n"/>
      <c r="N25" s="58" t="n"/>
      <c r="O25" s="58" t="n"/>
      <c r="P25" s="58" t="n"/>
      <c r="Q25" s="58" t="n"/>
      <c r="R25" s="58" t="n"/>
      <c r="S25" s="58" t="n"/>
      <c r="T25" s="58" t="n"/>
      <c r="U25" s="58" t="n"/>
      <c r="V25" s="58" t="n"/>
      <c r="W25" s="58" t="n"/>
      <c r="X25" s="58" t="n"/>
      <c r="Y25" s="58" t="n"/>
      <c r="Z25" s="58" t="n"/>
      <c r="AA25" s="58" t="n"/>
      <c r="AB25" s="58" t="n"/>
      <c r="AC25" s="58" t="n"/>
    </row>
    <row r="26" ht="24" customHeight="1" s="86">
      <c r="A26" s="75">
        <f>'01_인적정보'!A26</f>
        <v/>
      </c>
      <c r="B26" s="75">
        <f>'01_인적정보'!B26</f>
        <v/>
      </c>
      <c r="C26" s="69">
        <f>'01_인적정보'!C26</f>
        <v/>
      </c>
      <c r="D26" s="69">
        <f>'01_인적정보'!D26</f>
        <v/>
      </c>
      <c r="E26" s="69">
        <f>'01_인적정보'!E26</f>
        <v/>
      </c>
      <c r="F26" s="11">
        <f>'01_인적정보'!H26</f>
        <v/>
      </c>
      <c r="G26" s="17" t="n"/>
      <c r="H26" s="17" t="n"/>
      <c r="I26" s="17" t="n"/>
      <c r="J26" s="17" t="n"/>
      <c r="K26" s="17" t="n"/>
      <c r="L26" s="17" t="n"/>
      <c r="M26" s="1" t="n"/>
      <c r="N26" s="58" t="n"/>
      <c r="O26" s="58" t="n"/>
      <c r="P26" s="58" t="n"/>
      <c r="Q26" s="58" t="n"/>
      <c r="R26" s="58" t="n"/>
      <c r="S26" s="58" t="n"/>
      <c r="T26" s="58" t="n"/>
      <c r="U26" s="58" t="n"/>
      <c r="V26" s="58" t="n"/>
      <c r="W26" s="58" t="n"/>
      <c r="X26" s="58" t="n"/>
      <c r="Y26" s="58" t="n"/>
      <c r="Z26" s="58" t="n"/>
      <c r="AA26" s="58" t="n"/>
      <c r="AB26" s="58" t="n"/>
      <c r="AC26" s="58" t="n"/>
    </row>
    <row r="27" ht="24" customHeight="1" s="86">
      <c r="A27" s="75">
        <f>'01_인적정보'!A27</f>
        <v/>
      </c>
      <c r="B27" s="75">
        <f>'01_인적정보'!B27</f>
        <v/>
      </c>
      <c r="C27" s="69">
        <f>'01_인적정보'!C27</f>
        <v/>
      </c>
      <c r="D27" s="69">
        <f>'01_인적정보'!D27</f>
        <v/>
      </c>
      <c r="E27" s="69">
        <f>'01_인적정보'!E27</f>
        <v/>
      </c>
      <c r="F27" s="11">
        <f>'01_인적정보'!H27</f>
        <v/>
      </c>
      <c r="G27" s="17" t="n"/>
      <c r="H27" s="17" t="n"/>
      <c r="I27" s="17" t="n"/>
      <c r="J27" s="17" t="n"/>
      <c r="K27" s="17" t="n"/>
      <c r="L27" s="17" t="n"/>
      <c r="M27" s="1" t="n"/>
      <c r="N27" s="58" t="n"/>
      <c r="O27" s="58" t="n"/>
      <c r="P27" s="58" t="n"/>
      <c r="Q27" s="58" t="n"/>
      <c r="R27" s="58" t="n"/>
      <c r="S27" s="58" t="n"/>
      <c r="T27" s="58" t="n"/>
      <c r="U27" s="58" t="n"/>
      <c r="V27" s="58" t="n"/>
      <c r="W27" s="58" t="n"/>
      <c r="X27" s="58" t="n"/>
      <c r="Y27" s="58" t="n"/>
      <c r="Z27" s="58" t="n"/>
      <c r="AA27" s="58" t="n"/>
      <c r="AB27" s="58" t="n"/>
      <c r="AC27" s="58" t="n"/>
    </row>
    <row r="28" ht="24" customHeight="1" s="86">
      <c r="A28" s="75">
        <f>'01_인적정보'!A28</f>
        <v/>
      </c>
      <c r="B28" s="75">
        <f>'01_인적정보'!B28</f>
        <v/>
      </c>
      <c r="C28" s="69">
        <f>'01_인적정보'!C28</f>
        <v/>
      </c>
      <c r="D28" s="69">
        <f>'01_인적정보'!D28</f>
        <v/>
      </c>
      <c r="E28" s="69">
        <f>'01_인적정보'!E28</f>
        <v/>
      </c>
      <c r="F28" s="11">
        <f>'01_인적정보'!H28</f>
        <v/>
      </c>
      <c r="G28" s="17" t="n"/>
      <c r="H28" s="17" t="n"/>
      <c r="I28" s="17" t="n"/>
      <c r="J28" s="17" t="n"/>
      <c r="K28" s="17" t="n"/>
      <c r="L28" s="17" t="n"/>
      <c r="M28" s="1" t="n"/>
      <c r="N28" s="58" t="n"/>
      <c r="O28" s="58" t="n"/>
      <c r="P28" s="58" t="n"/>
      <c r="Q28" s="58" t="n"/>
      <c r="R28" s="58" t="n"/>
      <c r="S28" s="58" t="n"/>
      <c r="T28" s="58" t="n"/>
      <c r="U28" s="58" t="n"/>
      <c r="V28" s="58" t="n"/>
      <c r="W28" s="58" t="n"/>
      <c r="X28" s="58" t="n"/>
      <c r="Y28" s="58" t="n"/>
      <c r="Z28" s="58" t="n"/>
      <c r="AA28" s="58" t="n"/>
      <c r="AB28" s="58" t="n"/>
      <c r="AC28" s="58" t="n"/>
    </row>
    <row r="29" ht="24" customHeight="1" s="86">
      <c r="A29" s="75">
        <f>'01_인적정보'!A29</f>
        <v/>
      </c>
      <c r="B29" s="75">
        <f>'01_인적정보'!B29</f>
        <v/>
      </c>
      <c r="C29" s="69">
        <f>'01_인적정보'!C29</f>
        <v/>
      </c>
      <c r="D29" s="69">
        <f>'01_인적정보'!D29</f>
        <v/>
      </c>
      <c r="E29" s="69">
        <f>'01_인적정보'!E29</f>
        <v/>
      </c>
      <c r="F29" s="11">
        <f>'01_인적정보'!H29</f>
        <v/>
      </c>
      <c r="G29" s="17" t="n"/>
      <c r="H29" s="17" t="n"/>
      <c r="I29" s="17" t="n"/>
      <c r="J29" s="17" t="n"/>
      <c r="K29" s="17" t="n"/>
      <c r="L29" s="17" t="n"/>
      <c r="M29" s="1" t="n"/>
      <c r="N29" s="58" t="n"/>
      <c r="O29" s="58" t="n"/>
      <c r="P29" s="58" t="n"/>
      <c r="Q29" s="58" t="n"/>
      <c r="R29" s="58" t="n"/>
      <c r="S29" s="58" t="n"/>
      <c r="T29" s="58" t="n"/>
      <c r="U29" s="58" t="n"/>
      <c r="V29" s="58" t="n"/>
      <c r="W29" s="58" t="n"/>
      <c r="X29" s="58" t="n"/>
      <c r="Y29" s="58" t="n"/>
      <c r="Z29" s="58" t="n"/>
      <c r="AA29" s="58" t="n"/>
      <c r="AB29" s="58" t="n"/>
      <c r="AC29" s="58" t="n"/>
    </row>
    <row r="30" ht="24" customHeight="1" s="86">
      <c r="A30" s="75">
        <f>'01_인적정보'!A30</f>
        <v/>
      </c>
      <c r="B30" s="75">
        <f>'01_인적정보'!B30</f>
        <v/>
      </c>
      <c r="C30" s="69">
        <f>'01_인적정보'!C30</f>
        <v/>
      </c>
      <c r="D30" s="69">
        <f>'01_인적정보'!D30</f>
        <v/>
      </c>
      <c r="E30" s="69">
        <f>'01_인적정보'!E30</f>
        <v/>
      </c>
      <c r="F30" s="11">
        <f>'01_인적정보'!H30</f>
        <v/>
      </c>
      <c r="G30" s="17" t="n"/>
      <c r="H30" s="17" t="n"/>
      <c r="I30" s="17" t="n"/>
      <c r="J30" s="17" t="n"/>
      <c r="K30" s="17" t="n"/>
      <c r="L30" s="17" t="n"/>
      <c r="M30" s="1" t="n"/>
      <c r="N30" s="58" t="n"/>
      <c r="O30" s="58" t="n"/>
      <c r="P30" s="58" t="n"/>
      <c r="Q30" s="58" t="n"/>
      <c r="R30" s="58" t="n"/>
      <c r="S30" s="58" t="n"/>
      <c r="T30" s="58" t="n"/>
      <c r="U30" s="58" t="n"/>
      <c r="V30" s="58" t="n"/>
      <c r="W30" s="58" t="n"/>
      <c r="X30" s="58" t="n"/>
      <c r="Y30" s="58" t="n"/>
      <c r="Z30" s="58" t="n"/>
      <c r="AA30" s="58" t="n"/>
      <c r="AB30" s="58" t="n"/>
      <c r="AC30" s="58" t="n"/>
    </row>
    <row r="31" ht="24" customHeight="1" s="86">
      <c r="A31" s="75">
        <f>'01_인적정보'!A31</f>
        <v/>
      </c>
      <c r="B31" s="75">
        <f>'01_인적정보'!B31</f>
        <v/>
      </c>
      <c r="C31" s="69">
        <f>'01_인적정보'!C31</f>
        <v/>
      </c>
      <c r="D31" s="69">
        <f>'01_인적정보'!D31</f>
        <v/>
      </c>
      <c r="E31" s="69">
        <f>'01_인적정보'!E31</f>
        <v/>
      </c>
      <c r="F31" s="11">
        <f>'01_인적정보'!H31</f>
        <v/>
      </c>
      <c r="G31" s="17" t="n"/>
      <c r="H31" s="17" t="n"/>
      <c r="I31" s="17" t="n"/>
      <c r="J31" s="17" t="n"/>
      <c r="K31" s="17" t="n"/>
      <c r="L31" s="17" t="n"/>
      <c r="M31" s="1" t="n"/>
      <c r="N31" s="58" t="n"/>
      <c r="O31" s="58" t="n"/>
      <c r="P31" s="58" t="n"/>
      <c r="Q31" s="58" t="n"/>
      <c r="R31" s="58" t="n"/>
      <c r="S31" s="58" t="n"/>
      <c r="T31" s="58" t="n"/>
      <c r="U31" s="58" t="n"/>
      <c r="V31" s="58" t="n"/>
      <c r="W31" s="58" t="n"/>
      <c r="X31" s="58" t="n"/>
      <c r="Y31" s="58" t="n"/>
      <c r="Z31" s="58" t="n"/>
      <c r="AA31" s="58" t="n"/>
      <c r="AB31" s="58" t="n"/>
      <c r="AC31" s="58" t="n"/>
    </row>
    <row r="32" ht="24" customHeight="1" s="86">
      <c r="A32" s="75">
        <f>'01_인적정보'!A32</f>
        <v/>
      </c>
      <c r="B32" s="75">
        <f>'01_인적정보'!B32</f>
        <v/>
      </c>
      <c r="C32" s="69">
        <f>'01_인적정보'!C32</f>
        <v/>
      </c>
      <c r="D32" s="69">
        <f>'01_인적정보'!D32</f>
        <v/>
      </c>
      <c r="E32" s="69">
        <f>'01_인적정보'!E32</f>
        <v/>
      </c>
      <c r="F32" s="11">
        <f>'01_인적정보'!H32</f>
        <v/>
      </c>
      <c r="G32" s="17" t="n"/>
      <c r="H32" s="17" t="n"/>
      <c r="I32" s="17" t="n"/>
      <c r="J32" s="17" t="n"/>
      <c r="K32" s="17" t="n"/>
      <c r="L32" s="17" t="n"/>
      <c r="M32" s="1" t="n"/>
      <c r="N32" s="58" t="n"/>
      <c r="O32" s="58" t="n"/>
      <c r="P32" s="58" t="n"/>
      <c r="Q32" s="58" t="n"/>
      <c r="R32" s="58" t="n"/>
      <c r="S32" s="58" t="n"/>
      <c r="T32" s="58" t="n"/>
      <c r="U32" s="58" t="n"/>
      <c r="V32" s="58" t="n"/>
      <c r="W32" s="58" t="n"/>
      <c r="X32" s="58" t="n"/>
      <c r="Y32" s="58" t="n"/>
      <c r="Z32" s="58" t="n"/>
      <c r="AA32" s="58" t="n"/>
      <c r="AB32" s="58" t="n"/>
      <c r="AC32" s="58" t="n"/>
    </row>
    <row r="33" ht="24" customHeight="1" s="86">
      <c r="A33" s="75">
        <f>'01_인적정보'!A33</f>
        <v/>
      </c>
      <c r="B33" s="75">
        <f>'01_인적정보'!B33</f>
        <v/>
      </c>
      <c r="C33" s="69">
        <f>'01_인적정보'!C33</f>
        <v/>
      </c>
      <c r="D33" s="69">
        <f>'01_인적정보'!D33</f>
        <v/>
      </c>
      <c r="E33" s="69">
        <f>'01_인적정보'!E33</f>
        <v/>
      </c>
      <c r="F33" s="11">
        <f>'01_인적정보'!H33</f>
        <v/>
      </c>
      <c r="G33" s="17" t="n"/>
      <c r="H33" s="17" t="n"/>
      <c r="I33" s="17" t="n"/>
      <c r="J33" s="17" t="n"/>
      <c r="K33" s="17" t="n"/>
      <c r="L33" s="17" t="n"/>
      <c r="M33" s="1" t="n"/>
      <c r="N33" s="58" t="n"/>
      <c r="O33" s="58" t="n"/>
      <c r="P33" s="58" t="n"/>
      <c r="Q33" s="58" t="n"/>
      <c r="R33" s="58" t="n"/>
      <c r="S33" s="58" t="n"/>
      <c r="T33" s="58" t="n"/>
      <c r="U33" s="58" t="n"/>
      <c r="V33" s="58" t="n"/>
      <c r="W33" s="58" t="n"/>
      <c r="X33" s="58" t="n"/>
      <c r="Y33" s="58" t="n"/>
      <c r="Z33" s="58" t="n"/>
      <c r="AA33" s="58" t="n"/>
      <c r="AB33" s="58" t="n"/>
      <c r="AC33" s="58" t="n"/>
    </row>
    <row r="34" ht="24" customHeight="1" s="86">
      <c r="A34" s="75">
        <f>'01_인적정보'!A34</f>
        <v/>
      </c>
      <c r="B34" s="75">
        <f>'01_인적정보'!B34</f>
        <v/>
      </c>
      <c r="C34" s="69">
        <f>'01_인적정보'!C34</f>
        <v/>
      </c>
      <c r="D34" s="69">
        <f>'01_인적정보'!D34</f>
        <v/>
      </c>
      <c r="E34" s="69">
        <f>'01_인적정보'!E34</f>
        <v/>
      </c>
      <c r="F34" s="11">
        <f>'01_인적정보'!H34</f>
        <v/>
      </c>
      <c r="G34" s="17" t="n"/>
      <c r="H34" s="17" t="n"/>
      <c r="I34" s="17" t="n"/>
      <c r="J34" s="17" t="n"/>
      <c r="K34" s="17" t="n"/>
      <c r="L34" s="17" t="n"/>
      <c r="M34" s="1" t="n"/>
      <c r="N34" s="58" t="n"/>
      <c r="O34" s="58" t="n"/>
      <c r="P34" s="58" t="n"/>
      <c r="Q34" s="58" t="n"/>
      <c r="R34" s="58" t="n"/>
      <c r="S34" s="58" t="n"/>
      <c r="T34" s="58" t="n"/>
      <c r="U34" s="58" t="n"/>
      <c r="V34" s="58" t="n"/>
      <c r="W34" s="58" t="n"/>
      <c r="X34" s="58" t="n"/>
      <c r="Y34" s="58" t="n"/>
      <c r="Z34" s="58" t="n"/>
      <c r="AA34" s="58" t="n"/>
      <c r="AB34" s="58" t="n"/>
      <c r="AC34" s="58" t="n"/>
    </row>
    <row r="35" ht="24" customHeight="1" s="86">
      <c r="A35" s="75">
        <f>'01_인적정보'!A35</f>
        <v/>
      </c>
      <c r="B35" s="75">
        <f>'01_인적정보'!B35</f>
        <v/>
      </c>
      <c r="C35" s="69">
        <f>'01_인적정보'!C35</f>
        <v/>
      </c>
      <c r="D35" s="69">
        <f>'01_인적정보'!D35</f>
        <v/>
      </c>
      <c r="E35" s="69">
        <f>'01_인적정보'!E35</f>
        <v/>
      </c>
      <c r="F35" s="11">
        <f>'01_인적정보'!H35</f>
        <v/>
      </c>
      <c r="G35" s="17" t="n"/>
      <c r="H35" s="17" t="n"/>
      <c r="I35" s="17" t="n"/>
      <c r="J35" s="17" t="n"/>
      <c r="K35" s="17" t="n"/>
      <c r="L35" s="17" t="n"/>
      <c r="M35" s="1" t="n"/>
      <c r="N35" s="58" t="n"/>
      <c r="O35" s="58" t="n"/>
      <c r="P35" s="58" t="n"/>
      <c r="Q35" s="58" t="n"/>
      <c r="R35" s="58" t="n"/>
      <c r="S35" s="58" t="n"/>
      <c r="T35" s="58" t="n"/>
      <c r="U35" s="58" t="n"/>
      <c r="V35" s="58" t="n"/>
      <c r="W35" s="58" t="n"/>
      <c r="X35" s="58" t="n"/>
      <c r="Y35" s="58" t="n"/>
      <c r="Z35" s="58" t="n"/>
      <c r="AA35" s="58" t="n"/>
      <c r="AB35" s="58" t="n"/>
      <c r="AC35" s="58" t="n"/>
    </row>
    <row r="36" ht="24" customHeight="1" s="86">
      <c r="A36" s="75">
        <f>'01_인적정보'!A36</f>
        <v/>
      </c>
      <c r="B36" s="75">
        <f>'01_인적정보'!B36</f>
        <v/>
      </c>
      <c r="C36" s="69">
        <f>'01_인적정보'!C36</f>
        <v/>
      </c>
      <c r="D36" s="69">
        <f>'01_인적정보'!D36</f>
        <v/>
      </c>
      <c r="E36" s="69">
        <f>'01_인적정보'!E36</f>
        <v/>
      </c>
      <c r="F36" s="11">
        <f>'01_인적정보'!H36</f>
        <v/>
      </c>
      <c r="G36" s="17" t="n"/>
      <c r="H36" s="17" t="n"/>
      <c r="I36" s="17" t="n"/>
      <c r="J36" s="17" t="n"/>
      <c r="K36" s="17" t="n"/>
      <c r="L36" s="17" t="n"/>
      <c r="M36" s="1" t="n"/>
      <c r="N36" s="58" t="n"/>
      <c r="O36" s="58" t="n"/>
      <c r="P36" s="58" t="n"/>
      <c r="Q36" s="58" t="n"/>
      <c r="R36" s="58" t="n"/>
      <c r="S36" s="58" t="n"/>
      <c r="T36" s="58" t="n"/>
      <c r="U36" s="58" t="n"/>
      <c r="V36" s="58" t="n"/>
      <c r="W36" s="58" t="n"/>
      <c r="X36" s="58" t="n"/>
      <c r="Y36" s="58" t="n"/>
      <c r="Z36" s="58" t="n"/>
      <c r="AA36" s="58" t="n"/>
      <c r="AB36" s="58" t="n"/>
      <c r="AC36" s="58" t="n"/>
    </row>
    <row r="37" ht="24" customHeight="1" s="86">
      <c r="A37" s="75">
        <f>'01_인적정보'!A37</f>
        <v/>
      </c>
      <c r="B37" s="75">
        <f>'01_인적정보'!B37</f>
        <v/>
      </c>
      <c r="C37" s="69">
        <f>'01_인적정보'!C37</f>
        <v/>
      </c>
      <c r="D37" s="69">
        <f>'01_인적정보'!D37</f>
        <v/>
      </c>
      <c r="E37" s="69">
        <f>'01_인적정보'!E37</f>
        <v/>
      </c>
      <c r="F37" s="11">
        <f>'01_인적정보'!H37</f>
        <v/>
      </c>
      <c r="G37" s="17" t="n"/>
      <c r="H37" s="17" t="n"/>
      <c r="I37" s="17" t="n"/>
      <c r="J37" s="17" t="n"/>
      <c r="K37" s="17" t="n"/>
      <c r="L37" s="17" t="n"/>
      <c r="M37" s="1" t="n"/>
      <c r="N37" s="58" t="n"/>
      <c r="O37" s="58" t="n"/>
      <c r="P37" s="58" t="n"/>
      <c r="Q37" s="58" t="n"/>
      <c r="R37" s="58" t="n"/>
      <c r="S37" s="58" t="n"/>
      <c r="T37" s="58" t="n"/>
      <c r="U37" s="58" t="n"/>
      <c r="V37" s="58" t="n"/>
      <c r="W37" s="58" t="n"/>
      <c r="X37" s="58" t="n"/>
      <c r="Y37" s="58" t="n"/>
      <c r="Z37" s="58" t="n"/>
      <c r="AA37" s="58" t="n"/>
      <c r="AB37" s="58" t="n"/>
      <c r="AC37" s="58" t="n"/>
    </row>
    <row r="38" ht="24" customHeight="1" s="86">
      <c r="A38" s="75">
        <f>'01_인적정보'!A38</f>
        <v/>
      </c>
      <c r="B38" s="75">
        <f>'01_인적정보'!B38</f>
        <v/>
      </c>
      <c r="C38" s="69">
        <f>'01_인적정보'!C38</f>
        <v/>
      </c>
      <c r="D38" s="69">
        <f>'01_인적정보'!D38</f>
        <v/>
      </c>
      <c r="E38" s="69">
        <f>'01_인적정보'!E38</f>
        <v/>
      </c>
      <c r="F38" s="11">
        <f>'01_인적정보'!H38</f>
        <v/>
      </c>
      <c r="G38" s="17" t="n"/>
      <c r="H38" s="17" t="n"/>
      <c r="I38" s="17" t="n"/>
      <c r="J38" s="17" t="n"/>
      <c r="K38" s="17" t="n"/>
      <c r="L38" s="17" t="n"/>
      <c r="M38" s="1" t="n"/>
      <c r="N38" s="58" t="n"/>
      <c r="O38" s="58" t="n"/>
      <c r="P38" s="58" t="n"/>
      <c r="Q38" s="58" t="n"/>
      <c r="R38" s="58" t="n"/>
      <c r="S38" s="58" t="n"/>
      <c r="T38" s="58" t="n"/>
      <c r="U38" s="58" t="n"/>
      <c r="V38" s="58" t="n"/>
      <c r="W38" s="58" t="n"/>
      <c r="X38" s="58" t="n"/>
      <c r="Y38" s="58" t="n"/>
      <c r="Z38" s="58" t="n"/>
      <c r="AA38" s="58" t="n"/>
      <c r="AB38" s="58" t="n"/>
      <c r="AC38" s="58" t="n"/>
    </row>
    <row r="39" ht="24" customHeight="1" s="86">
      <c r="A39" s="75">
        <f>'01_인적정보'!A39</f>
        <v/>
      </c>
      <c r="B39" s="75">
        <f>'01_인적정보'!B39</f>
        <v/>
      </c>
      <c r="C39" s="69">
        <f>'01_인적정보'!C39</f>
        <v/>
      </c>
      <c r="D39" s="69">
        <f>'01_인적정보'!D39</f>
        <v/>
      </c>
      <c r="E39" s="69">
        <f>'01_인적정보'!E39</f>
        <v/>
      </c>
      <c r="F39" s="11">
        <f>'01_인적정보'!H39</f>
        <v/>
      </c>
      <c r="G39" s="17" t="n"/>
      <c r="H39" s="17" t="n"/>
      <c r="I39" s="17" t="n"/>
      <c r="J39" s="17" t="n"/>
      <c r="K39" s="17" t="n"/>
      <c r="L39" s="17" t="n"/>
      <c r="M39" s="1" t="n"/>
      <c r="N39" s="58" t="n"/>
      <c r="O39" s="58" t="n"/>
      <c r="P39" s="58" t="n"/>
      <c r="Q39" s="58" t="n"/>
      <c r="R39" s="58" t="n"/>
      <c r="S39" s="58" t="n"/>
      <c r="T39" s="58" t="n"/>
      <c r="U39" s="58" t="n"/>
      <c r="V39" s="58" t="n"/>
      <c r="W39" s="58" t="n"/>
      <c r="X39" s="58" t="n"/>
      <c r="Y39" s="58" t="n"/>
      <c r="Z39" s="58" t="n"/>
      <c r="AA39" s="58" t="n"/>
      <c r="AB39" s="58" t="n"/>
      <c r="AC39" s="58" t="n"/>
    </row>
    <row r="40">
      <c r="A40" s="58" t="n"/>
      <c r="B40" s="58" t="n"/>
      <c r="C40" s="58" t="n"/>
      <c r="D40" s="58" t="n"/>
      <c r="E40" s="58" t="n"/>
      <c r="F40" s="58" t="n"/>
      <c r="G40" s="58" t="n"/>
      <c r="H40" s="58" t="n"/>
      <c r="I40" s="58" t="n"/>
      <c r="J40" s="58" t="n"/>
      <c r="K40" s="58" t="n"/>
      <c r="L40" s="58" t="n"/>
      <c r="M40" s="58" t="n"/>
      <c r="N40" s="58" t="n"/>
      <c r="O40" s="58" t="n"/>
      <c r="P40" s="58" t="n"/>
      <c r="Q40" s="58" t="n"/>
      <c r="R40" s="58" t="n"/>
      <c r="S40" s="58" t="n"/>
      <c r="T40" s="58" t="n"/>
      <c r="U40" s="58" t="n"/>
      <c r="V40" s="58" t="n"/>
      <c r="W40" s="58" t="n"/>
      <c r="X40" s="58" t="n"/>
      <c r="Y40" s="58" t="n"/>
      <c r="Z40" s="58" t="n"/>
      <c r="AA40" s="58" t="n"/>
      <c r="AB40" s="58" t="n"/>
      <c r="AC40" s="58" t="n"/>
    </row>
    <row r="41">
      <c r="A41" s="58" t="n"/>
      <c r="B41" s="58" t="n"/>
      <c r="C41" s="58" t="n"/>
      <c r="D41" s="58" t="n"/>
      <c r="E41" s="58" t="n"/>
      <c r="F41" s="58" t="n"/>
      <c r="G41" s="58" t="n"/>
      <c r="H41" s="58" t="n"/>
      <c r="I41" s="58" t="n"/>
      <c r="J41" s="58" t="n"/>
      <c r="K41" s="58" t="n"/>
      <c r="L41" s="58" t="n"/>
      <c r="M41" s="58" t="n"/>
      <c r="N41" s="58" t="n"/>
      <c r="O41" s="58" t="n"/>
      <c r="P41" s="58" t="n"/>
      <c r="Q41" s="58" t="n"/>
      <c r="R41" s="58" t="n"/>
      <c r="S41" s="58" t="n"/>
      <c r="T41" s="58" t="n"/>
      <c r="U41" s="58" t="n"/>
      <c r="V41" s="58" t="n"/>
      <c r="W41" s="58" t="n"/>
      <c r="X41" s="58" t="n"/>
      <c r="Y41" s="58" t="n"/>
      <c r="Z41" s="58" t="n"/>
      <c r="AA41" s="58" t="n"/>
      <c r="AB41" s="58" t="n"/>
      <c r="AC41" s="58" t="n"/>
    </row>
    <row r="42">
      <c r="A42" s="58" t="n"/>
      <c r="B42" s="58" t="n"/>
      <c r="C42" s="58" t="n"/>
      <c r="D42" s="58" t="n"/>
      <c r="E42" s="58" t="n"/>
      <c r="F42" s="58" t="n"/>
      <c r="G42" s="58" t="n"/>
      <c r="H42" s="58" t="n"/>
      <c r="I42" s="58" t="n"/>
      <c r="J42" s="58" t="n"/>
      <c r="K42" s="58" t="n"/>
      <c r="L42" s="58" t="n"/>
      <c r="M42" s="58" t="n"/>
      <c r="N42" s="58" t="n"/>
      <c r="O42" s="58" t="n"/>
      <c r="P42" s="58" t="n"/>
      <c r="Q42" s="58" t="n"/>
      <c r="R42" s="58" t="n"/>
      <c r="S42" s="58" t="n"/>
      <c r="T42" s="58" t="n"/>
      <c r="U42" s="58" t="n"/>
      <c r="V42" s="58" t="n"/>
      <c r="W42" s="58" t="n"/>
      <c r="X42" s="58" t="n"/>
      <c r="Y42" s="58" t="n"/>
      <c r="Z42" s="58" t="n"/>
      <c r="AA42" s="58" t="n"/>
      <c r="AB42" s="58" t="n"/>
      <c r="AC42" s="58" t="n"/>
    </row>
    <row r="43">
      <c r="A43" s="58" t="n"/>
      <c r="B43" s="58" t="n"/>
      <c r="C43" s="58" t="n"/>
      <c r="D43" s="58" t="n"/>
      <c r="E43" s="58" t="n"/>
      <c r="F43" s="58" t="n"/>
      <c r="G43" s="58" t="n"/>
      <c r="H43" s="58" t="n"/>
      <c r="I43" s="58" t="n"/>
      <c r="J43" s="58" t="n"/>
      <c r="K43" s="58" t="n"/>
      <c r="L43" s="58" t="n"/>
      <c r="M43" s="58" t="n"/>
      <c r="N43" s="58" t="n"/>
      <c r="O43" s="58" t="n"/>
      <c r="P43" s="58" t="n"/>
      <c r="Q43" s="58" t="n"/>
      <c r="R43" s="58" t="n"/>
      <c r="S43" s="58" t="n"/>
      <c r="T43" s="58" t="n"/>
      <c r="U43" s="58" t="n"/>
      <c r="V43" s="58" t="n"/>
      <c r="W43" s="58" t="n"/>
      <c r="X43" s="58" t="n"/>
      <c r="Y43" s="58" t="n"/>
      <c r="Z43" s="58" t="n"/>
      <c r="AA43" s="58" t="n"/>
      <c r="AB43" s="58" t="n"/>
      <c r="AC43" s="58" t="n"/>
    </row>
    <row r="44">
      <c r="A44" s="58" t="n"/>
      <c r="B44" s="58" t="n"/>
      <c r="C44" s="58" t="n"/>
      <c r="D44" s="58" t="n"/>
      <c r="E44" s="58" t="n"/>
      <c r="F44" s="58" t="n"/>
      <c r="G44" s="58" t="n"/>
      <c r="H44" s="58" t="n"/>
      <c r="I44" s="58" t="n"/>
      <c r="J44" s="58" t="n"/>
      <c r="K44" s="58" t="n"/>
      <c r="L44" s="58" t="n"/>
      <c r="M44" s="58" t="n"/>
      <c r="N44" s="58" t="n"/>
      <c r="O44" s="58" t="n"/>
      <c r="P44" s="58" t="n"/>
      <c r="Q44" s="58" t="n"/>
      <c r="R44" s="58" t="n"/>
      <c r="S44" s="58" t="n"/>
      <c r="T44" s="58" t="n"/>
      <c r="U44" s="58" t="n"/>
      <c r="V44" s="58" t="n"/>
      <c r="W44" s="58" t="n"/>
      <c r="X44" s="58" t="n"/>
      <c r="Y44" s="58" t="n"/>
      <c r="Z44" s="58" t="n"/>
      <c r="AA44" s="58" t="n"/>
      <c r="AB44" s="58" t="n"/>
      <c r="AC44" s="58" t="n"/>
    </row>
    <row r="45">
      <c r="A45" s="58" t="n"/>
      <c r="B45" s="58" t="n"/>
      <c r="C45" s="58" t="n"/>
      <c r="D45" s="58" t="n"/>
      <c r="E45" s="58" t="n"/>
      <c r="F45" s="58" t="n"/>
      <c r="G45" s="58" t="n"/>
      <c r="H45" s="58" t="n"/>
      <c r="I45" s="58" t="n"/>
      <c r="J45" s="58" t="n"/>
      <c r="K45" s="58" t="n"/>
      <c r="L45" s="58" t="n"/>
      <c r="M45" s="58" t="n"/>
      <c r="N45" s="58" t="n"/>
      <c r="O45" s="58" t="n"/>
      <c r="P45" s="58" t="n"/>
      <c r="Q45" s="58" t="n"/>
      <c r="R45" s="58" t="n"/>
      <c r="S45" s="58" t="n"/>
      <c r="T45" s="58" t="n"/>
      <c r="U45" s="58" t="n"/>
      <c r="V45" s="58" t="n"/>
      <c r="W45" s="58" t="n"/>
      <c r="X45" s="58" t="n"/>
      <c r="Y45" s="58" t="n"/>
      <c r="Z45" s="58" t="n"/>
      <c r="AA45" s="58" t="n"/>
      <c r="AB45" s="58" t="n"/>
      <c r="AC45" s="58" t="n"/>
    </row>
    <row r="46">
      <c r="A46" s="58" t="n"/>
      <c r="B46" s="58" t="n"/>
      <c r="C46" s="58" t="n"/>
      <c r="D46" s="58" t="n"/>
      <c r="E46" s="58" t="n"/>
      <c r="F46" s="58" t="n"/>
      <c r="G46" s="58" t="n"/>
      <c r="H46" s="58" t="n"/>
      <c r="I46" s="58" t="n"/>
      <c r="J46" s="58" t="n"/>
      <c r="K46" s="58" t="n"/>
      <c r="L46" s="58" t="n"/>
      <c r="M46" s="58" t="n"/>
      <c r="N46" s="58" t="n"/>
      <c r="O46" s="58" t="n"/>
      <c r="P46" s="58" t="n"/>
      <c r="Q46" s="58" t="n"/>
      <c r="R46" s="58" t="n"/>
      <c r="S46" s="58" t="n"/>
      <c r="T46" s="58" t="n"/>
      <c r="U46" s="58" t="n"/>
      <c r="V46" s="58" t="n"/>
      <c r="W46" s="58" t="n"/>
      <c r="X46" s="58" t="n"/>
      <c r="Y46" s="58" t="n"/>
      <c r="Z46" s="58" t="n"/>
      <c r="AA46" s="58" t="n"/>
      <c r="AB46" s="58" t="n"/>
      <c r="AC46" s="58" t="n"/>
    </row>
    <row r="47">
      <c r="A47" s="58" t="n"/>
      <c r="B47" s="58" t="n"/>
      <c r="C47" s="58" t="n"/>
      <c r="D47" s="58" t="n"/>
      <c r="E47" s="58" t="n"/>
      <c r="F47" s="58" t="n"/>
      <c r="G47" s="58" t="n"/>
      <c r="H47" s="58" t="n"/>
      <c r="I47" s="58" t="n"/>
      <c r="J47" s="58" t="n"/>
      <c r="K47" s="58" t="n"/>
      <c r="L47" s="58" t="n"/>
      <c r="M47" s="58" t="n"/>
      <c r="N47" s="58" t="n"/>
      <c r="O47" s="58" t="n"/>
      <c r="P47" s="58" t="n"/>
      <c r="Q47" s="58" t="n"/>
      <c r="R47" s="58" t="n"/>
      <c r="S47" s="58" t="n"/>
      <c r="T47" s="58" t="n"/>
      <c r="U47" s="58" t="n"/>
      <c r="V47" s="58" t="n"/>
      <c r="W47" s="58" t="n"/>
      <c r="X47" s="58" t="n"/>
      <c r="Y47" s="58" t="n"/>
      <c r="Z47" s="58" t="n"/>
      <c r="AA47" s="58" t="n"/>
      <c r="AB47" s="58" t="n"/>
      <c r="AC47" s="58" t="n"/>
    </row>
    <row r="48">
      <c r="A48" s="58" t="n"/>
      <c r="B48" s="58" t="n"/>
      <c r="C48" s="58" t="n"/>
      <c r="D48" s="58" t="n"/>
      <c r="E48" s="58" t="n"/>
      <c r="F48" s="58" t="n"/>
      <c r="G48" s="58" t="n"/>
      <c r="H48" s="58" t="n"/>
      <c r="I48" s="58" t="n"/>
      <c r="J48" s="58" t="n"/>
      <c r="K48" s="58" t="n"/>
      <c r="L48" s="58" t="n"/>
      <c r="M48" s="58" t="n"/>
      <c r="N48" s="58" t="n"/>
      <c r="O48" s="58" t="n"/>
      <c r="P48" s="58" t="n"/>
      <c r="Q48" s="58" t="n"/>
      <c r="R48" s="58" t="n"/>
      <c r="S48" s="58" t="n"/>
      <c r="T48" s="58" t="n"/>
      <c r="U48" s="58" t="n"/>
      <c r="V48" s="58" t="n"/>
      <c r="W48" s="58" t="n"/>
      <c r="X48" s="58" t="n"/>
      <c r="Y48" s="58" t="n"/>
      <c r="Z48" s="58" t="n"/>
      <c r="AA48" s="58" t="n"/>
      <c r="AB48" s="58" t="n"/>
      <c r="AC48" s="58" t="n"/>
    </row>
    <row r="49">
      <c r="A49" s="58" t="n"/>
      <c r="B49" s="58" t="n"/>
      <c r="C49" s="58" t="n"/>
      <c r="D49" s="58" t="n"/>
      <c r="E49" s="58" t="n"/>
      <c r="F49" s="58" t="n"/>
      <c r="G49" s="58" t="n"/>
      <c r="H49" s="58" t="n"/>
      <c r="I49" s="58" t="n"/>
      <c r="J49" s="58" t="n"/>
      <c r="K49" s="58" t="n"/>
      <c r="L49" s="58" t="n"/>
      <c r="M49" s="58" t="n"/>
      <c r="N49" s="58" t="n"/>
      <c r="O49" s="58" t="n"/>
      <c r="P49" s="58" t="n"/>
      <c r="Q49" s="58" t="n"/>
      <c r="R49" s="58" t="n"/>
      <c r="S49" s="58" t="n"/>
      <c r="T49" s="58" t="n"/>
      <c r="U49" s="58" t="n"/>
      <c r="V49" s="58" t="n"/>
      <c r="W49" s="58" t="n"/>
      <c r="X49" s="58" t="n"/>
      <c r="Y49" s="58" t="n"/>
      <c r="Z49" s="58" t="n"/>
      <c r="AA49" s="58" t="n"/>
      <c r="AB49" s="58" t="n"/>
      <c r="AC49" s="58" t="n"/>
    </row>
    <row r="50">
      <c r="A50" s="58" t="n"/>
      <c r="B50" s="58" t="n"/>
      <c r="C50" s="58" t="n"/>
      <c r="D50" s="58" t="n"/>
      <c r="E50" s="58" t="n"/>
      <c r="F50" s="58" t="n"/>
      <c r="G50" s="58" t="n"/>
      <c r="H50" s="58" t="n"/>
      <c r="I50" s="58" t="n"/>
      <c r="J50" s="58" t="n"/>
      <c r="K50" s="58" t="n"/>
      <c r="L50" s="58" t="n"/>
      <c r="M50" s="58" t="n"/>
      <c r="N50" s="58" t="n"/>
      <c r="O50" s="58" t="n"/>
      <c r="P50" s="58" t="n"/>
      <c r="Q50" s="58" t="n"/>
      <c r="R50" s="58" t="n"/>
      <c r="S50" s="58" t="n"/>
      <c r="T50" s="58" t="n"/>
      <c r="U50" s="58" t="n"/>
      <c r="V50" s="58" t="n"/>
      <c r="W50" s="58" t="n"/>
      <c r="X50" s="58" t="n"/>
      <c r="Y50" s="58" t="n"/>
      <c r="Z50" s="58" t="n"/>
      <c r="AA50" s="58" t="n"/>
      <c r="AB50" s="58" t="n"/>
      <c r="AC50" s="58" t="n"/>
    </row>
    <row r="51">
      <c r="A51" s="58" t="n"/>
      <c r="B51" s="58" t="n"/>
      <c r="C51" s="58" t="n"/>
      <c r="D51" s="58" t="n"/>
      <c r="E51" s="58" t="n"/>
      <c r="F51" s="58" t="n"/>
      <c r="G51" s="58" t="n"/>
      <c r="H51" s="58" t="n"/>
      <c r="I51" s="58" t="n"/>
      <c r="J51" s="58" t="n"/>
      <c r="K51" s="58" t="n"/>
      <c r="L51" s="58" t="n"/>
      <c r="M51" s="58" t="n"/>
      <c r="N51" s="58" t="n"/>
      <c r="O51" s="58" t="n"/>
      <c r="P51" s="58" t="n"/>
      <c r="Q51" s="58" t="n"/>
      <c r="R51" s="58" t="n"/>
      <c r="S51" s="58" t="n"/>
      <c r="T51" s="58" t="n"/>
      <c r="U51" s="58" t="n"/>
      <c r="V51" s="58" t="n"/>
      <c r="W51" s="58" t="n"/>
      <c r="X51" s="58" t="n"/>
      <c r="Y51" s="58" t="n"/>
      <c r="Z51" s="58" t="n"/>
      <c r="AA51" s="58" t="n"/>
      <c r="AB51" s="58" t="n"/>
      <c r="AC51" s="58" t="n"/>
    </row>
    <row r="52">
      <c r="A52" s="58" t="n"/>
      <c r="B52" s="58" t="n"/>
      <c r="C52" s="58" t="n"/>
      <c r="D52" s="58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8" t="n"/>
      <c r="O52" s="58" t="n"/>
      <c r="P52" s="58" t="n"/>
      <c r="Q52" s="58" t="n"/>
      <c r="R52" s="58" t="n"/>
      <c r="S52" s="58" t="n"/>
      <c r="T52" s="58" t="n"/>
      <c r="U52" s="58" t="n"/>
      <c r="V52" s="58" t="n"/>
      <c r="W52" s="58" t="n"/>
      <c r="X52" s="58" t="n"/>
      <c r="Y52" s="58" t="n"/>
      <c r="Z52" s="58" t="n"/>
      <c r="AA52" s="58" t="n"/>
      <c r="AB52" s="58" t="n"/>
      <c r="AC52" s="58" t="n"/>
    </row>
    <row r="53">
      <c r="A53" s="58" t="n"/>
      <c r="B53" s="58" t="n"/>
      <c r="C53" s="58" t="n"/>
      <c r="D53" s="58" t="n"/>
      <c r="E53" s="58" t="n"/>
      <c r="F53" s="58" t="n"/>
      <c r="G53" s="58" t="n"/>
      <c r="H53" s="58" t="n"/>
      <c r="I53" s="58" t="n"/>
      <c r="J53" s="58" t="n"/>
      <c r="K53" s="58" t="n"/>
      <c r="L53" s="58" t="n"/>
      <c r="M53" s="58" t="n"/>
      <c r="N53" s="58" t="n"/>
      <c r="O53" s="58" t="n"/>
      <c r="P53" s="58" t="n"/>
      <c r="Q53" s="58" t="n"/>
      <c r="R53" s="58" t="n"/>
      <c r="S53" s="58" t="n"/>
      <c r="T53" s="58" t="n"/>
      <c r="U53" s="58" t="n"/>
      <c r="V53" s="58" t="n"/>
      <c r="W53" s="58" t="n"/>
      <c r="X53" s="58" t="n"/>
      <c r="Y53" s="58" t="n"/>
      <c r="Z53" s="58" t="n"/>
      <c r="AA53" s="58" t="n"/>
      <c r="AB53" s="58" t="n"/>
      <c r="AC53" s="58" t="n"/>
    </row>
    <row r="54">
      <c r="A54" s="58" t="n"/>
      <c r="B54" s="58" t="n"/>
      <c r="C54" s="58" t="n"/>
      <c r="D54" s="58" t="n"/>
      <c r="E54" s="58" t="n"/>
      <c r="F54" s="58" t="n"/>
      <c r="G54" s="58" t="n"/>
      <c r="H54" s="58" t="n"/>
      <c r="I54" s="58" t="n"/>
      <c r="J54" s="58" t="n"/>
      <c r="K54" s="58" t="n"/>
      <c r="L54" s="58" t="n"/>
      <c r="M54" s="58" t="n"/>
      <c r="N54" s="58" t="n"/>
      <c r="O54" s="58" t="n"/>
      <c r="P54" s="58" t="n"/>
      <c r="Q54" s="58" t="n"/>
      <c r="R54" s="58" t="n"/>
      <c r="S54" s="58" t="n"/>
      <c r="T54" s="58" t="n"/>
      <c r="U54" s="58" t="n"/>
      <c r="V54" s="58" t="n"/>
      <c r="W54" s="58" t="n"/>
      <c r="X54" s="58" t="n"/>
      <c r="Y54" s="58" t="n"/>
      <c r="Z54" s="58" t="n"/>
      <c r="AA54" s="58" t="n"/>
      <c r="AB54" s="58" t="n"/>
      <c r="AC54" s="58" t="n"/>
    </row>
    <row r="55">
      <c r="A55" s="58" t="n"/>
      <c r="B55" s="58" t="n"/>
      <c r="C55" s="58" t="n"/>
      <c r="D55" s="58" t="n"/>
      <c r="E55" s="58" t="n"/>
      <c r="F55" s="58" t="n"/>
      <c r="G55" s="58" t="n"/>
      <c r="H55" s="58" t="n"/>
      <c r="I55" s="58" t="n"/>
      <c r="J55" s="58" t="n"/>
      <c r="K55" s="58" t="n"/>
      <c r="L55" s="58" t="n"/>
      <c r="M55" s="58" t="n"/>
      <c r="N55" s="58" t="n"/>
      <c r="O55" s="58" t="n"/>
      <c r="P55" s="58" t="n"/>
      <c r="Q55" s="58" t="n"/>
      <c r="R55" s="58" t="n"/>
      <c r="S55" s="58" t="n"/>
      <c r="T55" s="58" t="n"/>
      <c r="U55" s="58" t="n"/>
      <c r="V55" s="58" t="n"/>
      <c r="W55" s="58" t="n"/>
      <c r="X55" s="58" t="n"/>
      <c r="Y55" s="58" t="n"/>
      <c r="Z55" s="58" t="n"/>
      <c r="AA55" s="58" t="n"/>
      <c r="AB55" s="58" t="n"/>
      <c r="AC55" s="58" t="n"/>
    </row>
    <row r="56">
      <c r="A56" s="58" t="n"/>
      <c r="B56" s="58" t="n"/>
      <c r="C56" s="58" t="n"/>
      <c r="D56" s="58" t="n"/>
      <c r="E56" s="58" t="n"/>
      <c r="F56" s="58" t="n"/>
      <c r="G56" s="58" t="n"/>
      <c r="H56" s="58" t="n"/>
      <c r="I56" s="58" t="n"/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8" t="n"/>
      <c r="T56" s="58" t="n"/>
      <c r="U56" s="58" t="n"/>
      <c r="V56" s="58" t="n"/>
      <c r="W56" s="58" t="n"/>
      <c r="X56" s="58" t="n"/>
      <c r="Y56" s="58" t="n"/>
      <c r="Z56" s="58" t="n"/>
      <c r="AA56" s="58" t="n"/>
      <c r="AB56" s="58" t="n"/>
      <c r="AC56" s="58" t="n"/>
    </row>
    <row r="57">
      <c r="A57" s="58" t="n"/>
      <c r="B57" s="58" t="n"/>
      <c r="C57" s="58" t="n"/>
      <c r="D57" s="58" t="n"/>
      <c r="E57" s="58" t="n"/>
      <c r="F57" s="58" t="n"/>
      <c r="G57" s="58" t="n"/>
      <c r="H57" s="58" t="n"/>
      <c r="I57" s="58" t="n"/>
      <c r="J57" s="58" t="n"/>
      <c r="K57" s="58" t="n"/>
      <c r="L57" s="58" t="n"/>
      <c r="M57" s="58" t="n"/>
      <c r="N57" s="58" t="n"/>
      <c r="O57" s="58" t="n"/>
      <c r="P57" s="58" t="n"/>
      <c r="Q57" s="58" t="n"/>
      <c r="R57" s="58" t="n"/>
      <c r="S57" s="58" t="n"/>
      <c r="T57" s="58" t="n"/>
      <c r="U57" s="58" t="n"/>
      <c r="V57" s="58" t="n"/>
      <c r="W57" s="58" t="n"/>
      <c r="X57" s="58" t="n"/>
      <c r="Y57" s="58" t="n"/>
      <c r="Z57" s="58" t="n"/>
      <c r="AA57" s="58" t="n"/>
      <c r="AB57" s="58" t="n"/>
      <c r="AC57" s="58" t="n"/>
    </row>
    <row r="58">
      <c r="A58" s="58" t="n"/>
      <c r="B58" s="58" t="n"/>
      <c r="C58" s="58" t="n"/>
      <c r="D58" s="58" t="n"/>
      <c r="E58" s="58" t="n"/>
      <c r="F58" s="58" t="n"/>
      <c r="G58" s="58" t="n"/>
      <c r="H58" s="58" t="n"/>
      <c r="I58" s="58" t="n"/>
      <c r="J58" s="58" t="n"/>
      <c r="K58" s="58" t="n"/>
      <c r="L58" s="58" t="n"/>
      <c r="M58" s="58" t="n"/>
      <c r="N58" s="58" t="n"/>
      <c r="O58" s="58" t="n"/>
      <c r="P58" s="58" t="n"/>
      <c r="Q58" s="58" t="n"/>
      <c r="R58" s="58" t="n"/>
      <c r="S58" s="58" t="n"/>
      <c r="T58" s="58" t="n"/>
      <c r="U58" s="58" t="n"/>
      <c r="V58" s="58" t="n"/>
      <c r="W58" s="58" t="n"/>
      <c r="X58" s="58" t="n"/>
      <c r="Y58" s="58" t="n"/>
      <c r="Z58" s="58" t="n"/>
      <c r="AA58" s="58" t="n"/>
      <c r="AB58" s="58" t="n"/>
      <c r="AC58" s="58" t="n"/>
    </row>
    <row r="59">
      <c r="A59" s="58" t="n"/>
      <c r="B59" s="58" t="n"/>
      <c r="C59" s="58" t="n"/>
      <c r="D59" s="58" t="n"/>
      <c r="E59" s="58" t="n"/>
      <c r="F59" s="58" t="n"/>
      <c r="G59" s="58" t="n"/>
      <c r="H59" s="58" t="n"/>
      <c r="I59" s="58" t="n"/>
      <c r="J59" s="58" t="n"/>
      <c r="K59" s="58" t="n"/>
      <c r="L59" s="58" t="n"/>
      <c r="M59" s="58" t="n"/>
      <c r="N59" s="58" t="n"/>
      <c r="O59" s="58" t="n"/>
      <c r="P59" s="58" t="n"/>
      <c r="Q59" s="58" t="n"/>
      <c r="R59" s="58" t="n"/>
      <c r="S59" s="58" t="n"/>
      <c r="T59" s="58" t="n"/>
      <c r="U59" s="58" t="n"/>
      <c r="V59" s="58" t="n"/>
      <c r="W59" s="58" t="n"/>
      <c r="X59" s="58" t="n"/>
      <c r="Y59" s="58" t="n"/>
      <c r="Z59" s="58" t="n"/>
      <c r="AA59" s="58" t="n"/>
      <c r="AB59" s="58" t="n"/>
      <c r="AC59" s="58" t="n"/>
    </row>
  </sheetData>
  <mergeCells count="6">
    <mergeCell ref="G4:H4"/>
    <mergeCell ref="I4:J4"/>
    <mergeCell ref="A1:M1"/>
    <mergeCell ref="A4:F4"/>
    <mergeCell ref="K4:L4"/>
    <mergeCell ref="A2:M2"/>
  </mergeCells>
  <conditionalFormatting sqref="G6:Z39">
    <cfRule type="cellIs" priority="1" operator="equal" dxfId="1">
      <formula>"S"</formula>
    </cfRule>
    <cfRule type="cellIs" priority="2" operator="equal" dxfId="16">
      <formula>"A"</formula>
    </cfRule>
    <cfRule type="cellIs" priority="3" operator="equal" dxfId="15">
      <formula>"C"</formula>
    </cfRule>
    <cfRule type="cellIs" priority="4" operator="equal" dxfId="12">
      <formula>"D"</formula>
    </cfRule>
  </conditionalFormatting>
  <dataValidations count="1">
    <dataValidation sqref="G6:L39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70AD47"/>
    <outlinePr summaryBelow="1" summaryRight="1"/>
    <pageSetUpPr/>
  </sheetPr>
  <dimension ref="A1:V5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I6" sqref="I6"/>
    </sheetView>
  </sheetViews>
  <sheetFormatPr baseColWidth="8" defaultRowHeight="16.9"/>
  <cols>
    <col width="4" customWidth="1" style="86" min="1" max="1"/>
    <col width="9" customWidth="1" style="86" min="2" max="2"/>
    <col width="8" customWidth="1" style="86" min="3" max="3"/>
    <col width="10" customWidth="1" style="86" min="4" max="4"/>
    <col width="12" customWidth="1" style="86" min="5" max="5"/>
    <col width="7" customWidth="1" style="86" min="6" max="18"/>
    <col width="8" customWidth="1" style="86" min="19" max="21"/>
    <col width="25" customWidth="1" style="86" min="22" max="22"/>
  </cols>
  <sheetData>
    <row r="1" ht="28.05" customHeight="1" s="86">
      <c r="A1" s="82" t="inlineStr">
        <is>
          <t>종합 성과평가 - 3축 통합 (역할 + 공통 + 직무) + 최종등급</t>
        </is>
      </c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66" t="n"/>
      <c r="P1" s="66" t="n"/>
      <c r="Q1" s="66" t="n"/>
      <c r="R1" s="66" t="n"/>
      <c r="S1" s="66" t="n"/>
      <c r="T1" s="66" t="n"/>
      <c r="U1" s="66" t="n"/>
      <c r="V1" s="67" t="n"/>
    </row>
    <row r="2">
      <c r="A2" s="80" t="inlineStr">
        <is>
          <t>직급별 가변 가중치 적용 → 종합점수 → 절대/상대평가 최종등급 자동 산출</t>
        </is>
      </c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7" t="n"/>
    </row>
    <row r="5" ht="32" customHeight="1" s="86">
      <c r="A5" s="42" t="inlineStr">
        <is>
          <t>No.</t>
        </is>
      </c>
      <c r="B5" s="42" t="inlineStr">
        <is>
          <t>사번</t>
        </is>
      </c>
      <c r="C5" s="42" t="inlineStr">
        <is>
          <t>성명</t>
        </is>
      </c>
      <c r="D5" s="42" t="inlineStr">
        <is>
          <t>직군</t>
        </is>
      </c>
      <c r="E5" s="42" t="inlineStr">
        <is>
          <t>직무</t>
        </is>
      </c>
      <c r="F5" s="42" t="inlineStr">
        <is>
          <t>역할등급</t>
        </is>
      </c>
      <c r="G5" s="42" t="inlineStr">
        <is>
          <t>역할(상)</t>
        </is>
      </c>
      <c r="H5" s="42" t="inlineStr">
        <is>
          <t>역할(하)</t>
        </is>
      </c>
      <c r="I5" s="42" t="inlineStr">
        <is>
          <t>역할점수</t>
        </is>
      </c>
      <c r="J5" s="42" t="inlineStr">
        <is>
          <t>공통(상)</t>
        </is>
      </c>
      <c r="K5" s="42" t="inlineStr">
        <is>
          <t>공통(하)</t>
        </is>
      </c>
      <c r="L5" s="42" t="inlineStr">
        <is>
          <t>공통점수</t>
        </is>
      </c>
      <c r="M5" s="42" t="inlineStr">
        <is>
          <t>직무(상)</t>
        </is>
      </c>
      <c r="N5" s="42" t="inlineStr">
        <is>
          <t>직무(하)</t>
        </is>
      </c>
      <c r="O5" s="42" t="inlineStr">
        <is>
          <t>직무점수</t>
        </is>
      </c>
      <c r="P5" s="42" t="inlineStr">
        <is>
          <t>가중(역할)</t>
        </is>
      </c>
      <c r="Q5" s="42" t="inlineStr">
        <is>
          <t>가중(공통)</t>
        </is>
      </c>
      <c r="R5" s="42" t="inlineStr">
        <is>
          <t>가중(직무)</t>
        </is>
      </c>
      <c r="S5" s="42" t="inlineStr">
        <is>
          <t>종합점수</t>
        </is>
      </c>
      <c r="T5" s="42" t="inlineStr">
        <is>
          <t>절대등급</t>
        </is>
      </c>
      <c r="U5" s="42" t="inlineStr">
        <is>
          <t>최종등급</t>
        </is>
      </c>
      <c r="V5" s="42" t="inlineStr">
        <is>
          <t>종합 코멘트</t>
        </is>
      </c>
    </row>
    <row r="6" ht="22.05" customHeight="1" s="86">
      <c r="A6" s="75">
        <f>'01_인적정보'!A6</f>
        <v/>
      </c>
      <c r="B6" s="75">
        <f>'01_인적정보'!B6</f>
        <v/>
      </c>
      <c r="C6" s="69">
        <f>'01_인적정보'!C6</f>
        <v/>
      </c>
      <c r="D6" s="69">
        <f>'01_인적정보'!D6</f>
        <v/>
      </c>
      <c r="E6" s="69">
        <f>'01_인적정보'!E6</f>
        <v/>
      </c>
      <c r="F6" s="11">
        <f>'01_인적정보'!H6</f>
        <v/>
      </c>
      <c r="G6" s="114">
        <f>IF('01_인적정보'!B6="","",'04_역할평가'!I6)</f>
        <v/>
      </c>
      <c r="H6" s="114">
        <f>IF('01_인적정보'!B6="","",'04_역할평가'!I64)</f>
        <v/>
      </c>
      <c r="I6" s="115">
        <f>IFERROR(IF(AND(G6&lt;&gt;"",H6&lt;&gt;""),IFERROR(CHOOSE(FIND(G6,"DCBAS"),1,2,3,4,5),0)*'02_의사결정·종합결과'!$B$7+IFERROR(CHOOSE(FIND(H6,"DCBAS"),1,2,3,4,5),0)*'02_의사결정·종합결과'!$B$8,""),"")</f>
        <v/>
      </c>
      <c r="J6" s="114">
        <f>IF('01_인적정보'!B6="","",'05_공통역량평가'!I6)</f>
        <v/>
      </c>
      <c r="K6" s="114">
        <f>IF('01_인적정보'!B6="","",'05_공통역량평가'!I64)</f>
        <v/>
      </c>
      <c r="L6" s="115">
        <f>IFERROR(IF(AND(J6&lt;&gt;"",K6&lt;&gt;""),IFERROR(CHOOSE(FIND(J6,"DCBAS"),1,2,3,4,5),0)*'02_의사결정·종합결과'!$B$7+IFERROR(CHOOSE(FIND(K6,"DCBAS"),1,2,3,4,5),0)*'02_의사결정·종합결과'!$B$8,""),"")</f>
        <v/>
      </c>
      <c r="M6" s="114">
        <f>IF('01_인적정보'!B6="","",'06_직무역량평가'!J6)</f>
        <v/>
      </c>
      <c r="N6" s="114">
        <f>IF('01_인적정보'!B6="","",'06_직무역량평가'!J64)</f>
        <v/>
      </c>
      <c r="O6" s="115">
        <f>IFERROR(IF(AND(M6&lt;&gt;"",N6&lt;&gt;""),IFERROR(CHOOSE(FIND(M6,"DCBAS"),1,2,3,4,5),0)*'02_의사결정·종합결과'!$B$7+IFERROR(CHOOSE(FIND(N6,"DCBAS"),1,2,3,4,5),0)*'02_의사결정·종합결과'!$B$8,""),"")</f>
        <v/>
      </c>
      <c r="P6" s="22">
        <f>IFERROR(VLOOKUP(F6,'02_의사결정·종합결과'!$A$16:$D$22,2,FALSE),"")</f>
        <v/>
      </c>
      <c r="Q6" s="22">
        <f>IFERROR(VLOOKUP(F6,'02_의사결정·종합결과'!$A$16:$D$22,3,FALSE),"")</f>
        <v/>
      </c>
      <c r="R6" s="22">
        <f>IFERROR(VLOOKUP(F6,'02_의사결정·종합결과'!$A$16:$D$22,4,FALSE),"")</f>
        <v/>
      </c>
      <c r="S6" s="121">
        <f>IF(OR(I6="",L6="",O6=""),"",I6*P6+L6*Q6+O6*R6)</f>
        <v/>
      </c>
      <c r="T6" s="116">
        <f>IF(S6="","",IF(S6&gt;=4.5,"S",IF(S6&gt;=3.5,"A",IF(S6&gt;=2.5,"B",IF(S6&gt;=1.5,"C","D")))))</f>
        <v/>
      </c>
      <c r="U6" s="122">
        <f>IF(S6="","",IF('02_의사결정·종합결과'!$B$6="절대평가",T6,IF(S6="","",IF(IFERROR(RANK(S6,$S$6:$S$55,0)/COUNT($S$6:$S$55),0)&lt;='02_의사결정·종합결과'!$B$11,"S",IF(IFERROR(RANK(S6,$S$6:$S$55,0)/COUNT($S$6:$S$55),0)&lt;='02_의사결정·종합결과'!$B$11+'02_의사결정·종합결과'!$C$11,"A",IF(IFERROR(RANK(S6,$S$6:$S$55,0)/COUNT($S$6:$S$55),0)&lt;='02_의사결정·종합결과'!$B$11+'02_의사결정·종합결과'!$C$11+'02_의사결정·종합결과'!$D$11,"B",IF(IFERROR(RANK(S6,$S$6:$S$55,0)/COUNT($S$6:$S$55),0)&lt;='02_의사결정·종합결과'!$B$11+'02_의사결정·종합결과'!$C$11+'02_의사결정·종합결과'!$D$11+'02_의사결정·종합결과'!$E$11,"C","D")))))))</f>
        <v/>
      </c>
      <c r="V6" s="1" t="n"/>
    </row>
    <row r="7" ht="22.05" customHeight="1" s="86">
      <c r="A7" s="75">
        <f>'01_인적정보'!A7</f>
        <v/>
      </c>
      <c r="B7" s="75">
        <f>'01_인적정보'!B7</f>
        <v/>
      </c>
      <c r="C7" s="69">
        <f>'01_인적정보'!C7</f>
        <v/>
      </c>
      <c r="D7" s="69">
        <f>'01_인적정보'!D7</f>
        <v/>
      </c>
      <c r="E7" s="69">
        <f>'01_인적정보'!E7</f>
        <v/>
      </c>
      <c r="F7" s="11">
        <f>'01_인적정보'!H7</f>
        <v/>
      </c>
      <c r="G7" s="114">
        <f>IF('01_인적정보'!B7="","",'04_역할평가'!I7)</f>
        <v/>
      </c>
      <c r="H7" s="114">
        <f>IF('01_인적정보'!B7="","",'04_역할평가'!I65)</f>
        <v/>
      </c>
      <c r="I7" s="115">
        <f>IFERROR(IF(AND(G7&lt;&gt;"",H7&lt;&gt;""),IFERROR(CHOOSE(FIND(G7,"DCBAS"),1,2,3,4,5),0)*'02_의사결정·종합결과'!$B$7+IFERROR(CHOOSE(FIND(H7,"DCBAS"),1,2,3,4,5),0)*'02_의사결정·종합결과'!$B$8,""),"")</f>
        <v/>
      </c>
      <c r="J7" s="114">
        <f>IF('01_인적정보'!B7="","",'05_공통역량평가'!I7)</f>
        <v/>
      </c>
      <c r="K7" s="114">
        <f>IF('01_인적정보'!B7="","",'05_공통역량평가'!I65)</f>
        <v/>
      </c>
      <c r="L7" s="115">
        <f>IFERROR(IF(AND(J7&lt;&gt;"",K7&lt;&gt;""),IFERROR(CHOOSE(FIND(J7,"DCBAS"),1,2,3,4,5),0)*'02_의사결정·종합결과'!$B$7+IFERROR(CHOOSE(FIND(K7,"DCBAS"),1,2,3,4,5),0)*'02_의사결정·종합결과'!$B$8,""),"")</f>
        <v/>
      </c>
      <c r="M7" s="114">
        <f>IF('01_인적정보'!B7="","",'06_직무역량평가'!J7)</f>
        <v/>
      </c>
      <c r="N7" s="114">
        <f>IF('01_인적정보'!B7="","",'06_직무역량평가'!J65)</f>
        <v/>
      </c>
      <c r="O7" s="115">
        <f>IFERROR(IF(AND(M7&lt;&gt;"",N7&lt;&gt;""),IFERROR(CHOOSE(FIND(M7,"DCBAS"),1,2,3,4,5),0)*'02_의사결정·종합결과'!$B$7+IFERROR(CHOOSE(FIND(N7,"DCBAS"),1,2,3,4,5),0)*'02_의사결정·종합결과'!$B$8,""),"")</f>
        <v/>
      </c>
      <c r="P7" s="22">
        <f>IFERROR(VLOOKUP(F7,'02_의사결정·종합결과'!$A$16:$D$22,2,FALSE),"")</f>
        <v/>
      </c>
      <c r="Q7" s="22">
        <f>IFERROR(VLOOKUP(F7,'02_의사결정·종합결과'!$A$16:$D$22,3,FALSE),"")</f>
        <v/>
      </c>
      <c r="R7" s="22">
        <f>IFERROR(VLOOKUP(F7,'02_의사결정·종합결과'!$A$16:$D$22,4,FALSE),"")</f>
        <v/>
      </c>
      <c r="S7" s="121">
        <f>IF(OR(I7="",L7="",O7=""),"",I7*P7+L7*Q7+O7*R7)</f>
        <v/>
      </c>
      <c r="T7" s="116">
        <f>IF(S7="","",IF(S7&gt;=4.5,"S",IF(S7&gt;=3.5,"A",IF(S7&gt;=2.5,"B",IF(S7&gt;=1.5,"C","D")))))</f>
        <v/>
      </c>
      <c r="U7" s="122">
        <f>IF(S7="","",IF('02_의사결정·종합결과'!$B$6="절대평가",T7,IF(S7="","",IF(IFERROR(RANK(S7,$S$6:$S$55,0)/COUNT($S$6:$S$55),0)&lt;='02_의사결정·종합결과'!$B$11,"S",IF(IFERROR(RANK(S7,$S$6:$S$55,0)/COUNT($S$6:$S$55),0)&lt;='02_의사결정·종합결과'!$B$11+'02_의사결정·종합결과'!$C$11,"A",IF(IFERROR(RANK(S7,$S$6:$S$55,0)/COUNT($S$6:$S$55),0)&lt;='02_의사결정·종합결과'!$B$11+'02_의사결정·종합결과'!$C$11+'02_의사결정·종합결과'!$D$11,"B",IF(IFERROR(RANK(S7,$S$6:$S$55,0)/COUNT($S$6:$S$55),0)&lt;='02_의사결정·종합결과'!$B$11+'02_의사결정·종합결과'!$C$11+'02_의사결정·종합결과'!$D$11+'02_의사결정·종합결과'!$E$11,"C","D")))))))</f>
        <v/>
      </c>
      <c r="V7" s="1" t="n"/>
    </row>
    <row r="8" ht="22.05" customHeight="1" s="86">
      <c r="A8" s="75">
        <f>'01_인적정보'!A8</f>
        <v/>
      </c>
      <c r="B8" s="75">
        <f>'01_인적정보'!B8</f>
        <v/>
      </c>
      <c r="C8" s="69">
        <f>'01_인적정보'!C8</f>
        <v/>
      </c>
      <c r="D8" s="69">
        <f>'01_인적정보'!D8</f>
        <v/>
      </c>
      <c r="E8" s="69">
        <f>'01_인적정보'!E8</f>
        <v/>
      </c>
      <c r="F8" s="11">
        <f>'01_인적정보'!H8</f>
        <v/>
      </c>
      <c r="G8" s="114">
        <f>IF('01_인적정보'!B8="","",'04_역할평가'!I8)</f>
        <v/>
      </c>
      <c r="H8" s="114">
        <f>IF('01_인적정보'!B8="","",'04_역할평가'!I66)</f>
        <v/>
      </c>
      <c r="I8" s="115">
        <f>IFERROR(IF(AND(G8&lt;&gt;"",H8&lt;&gt;""),IFERROR(CHOOSE(FIND(G8,"DCBAS"),1,2,3,4,5),0)*'02_의사결정·종합결과'!$B$7+IFERROR(CHOOSE(FIND(H8,"DCBAS"),1,2,3,4,5),0)*'02_의사결정·종합결과'!$B$8,""),"")</f>
        <v/>
      </c>
      <c r="J8" s="114">
        <f>IF('01_인적정보'!B8="","",'05_공통역량평가'!I8)</f>
        <v/>
      </c>
      <c r="K8" s="114">
        <f>IF('01_인적정보'!B8="","",'05_공통역량평가'!I66)</f>
        <v/>
      </c>
      <c r="L8" s="115">
        <f>IFERROR(IF(AND(J8&lt;&gt;"",K8&lt;&gt;""),IFERROR(CHOOSE(FIND(J8,"DCBAS"),1,2,3,4,5),0)*'02_의사결정·종합결과'!$B$7+IFERROR(CHOOSE(FIND(K8,"DCBAS"),1,2,3,4,5),0)*'02_의사결정·종합결과'!$B$8,""),"")</f>
        <v/>
      </c>
      <c r="M8" s="114">
        <f>IF('01_인적정보'!B8="","",'06_직무역량평가'!J8)</f>
        <v/>
      </c>
      <c r="N8" s="114">
        <f>IF('01_인적정보'!B8="","",'06_직무역량평가'!J66)</f>
        <v/>
      </c>
      <c r="O8" s="115">
        <f>IFERROR(IF(AND(M8&lt;&gt;"",N8&lt;&gt;""),IFERROR(CHOOSE(FIND(M8,"DCBAS"),1,2,3,4,5),0)*'02_의사결정·종합결과'!$B$7+IFERROR(CHOOSE(FIND(N8,"DCBAS"),1,2,3,4,5),0)*'02_의사결정·종합결과'!$B$8,""),"")</f>
        <v/>
      </c>
      <c r="P8" s="22">
        <f>IFERROR(VLOOKUP(F8,'02_의사결정·종합결과'!$A$16:$D$22,2,FALSE),"")</f>
        <v/>
      </c>
      <c r="Q8" s="22">
        <f>IFERROR(VLOOKUP(F8,'02_의사결정·종합결과'!$A$16:$D$22,3,FALSE),"")</f>
        <v/>
      </c>
      <c r="R8" s="22">
        <f>IFERROR(VLOOKUP(F8,'02_의사결정·종합결과'!$A$16:$D$22,4,FALSE),"")</f>
        <v/>
      </c>
      <c r="S8" s="121">
        <f>IF(OR(I8="",L8="",O8=""),"",I8*P8+L8*Q8+O8*R8)</f>
        <v/>
      </c>
      <c r="T8" s="116">
        <f>IF(S8="","",IF(S8&gt;=4.5,"S",IF(S8&gt;=3.5,"A",IF(S8&gt;=2.5,"B",IF(S8&gt;=1.5,"C","D")))))</f>
        <v/>
      </c>
      <c r="U8" s="122">
        <f>IF(S8="","",IF('02_의사결정·종합결과'!$B$6="절대평가",T8,IF(S8="","",IF(IFERROR(RANK(S8,$S$6:$S$55,0)/COUNT($S$6:$S$55),0)&lt;='02_의사결정·종합결과'!$B$11,"S",IF(IFERROR(RANK(S8,$S$6:$S$55,0)/COUNT($S$6:$S$55),0)&lt;='02_의사결정·종합결과'!$B$11+'02_의사결정·종합결과'!$C$11,"A",IF(IFERROR(RANK(S8,$S$6:$S$55,0)/COUNT($S$6:$S$55),0)&lt;='02_의사결정·종합결과'!$B$11+'02_의사결정·종합결과'!$C$11+'02_의사결정·종합결과'!$D$11,"B",IF(IFERROR(RANK(S8,$S$6:$S$55,0)/COUNT($S$6:$S$55),0)&lt;='02_의사결정·종합결과'!$B$11+'02_의사결정·종합결과'!$C$11+'02_의사결정·종합결과'!$D$11+'02_의사결정·종합결과'!$E$11,"C","D")))))))</f>
        <v/>
      </c>
      <c r="V8" s="1" t="n"/>
    </row>
    <row r="9" ht="22.05" customHeight="1" s="86">
      <c r="A9" s="75">
        <f>'01_인적정보'!A9</f>
        <v/>
      </c>
      <c r="B9" s="75">
        <f>'01_인적정보'!B9</f>
        <v/>
      </c>
      <c r="C9" s="69">
        <f>'01_인적정보'!C9</f>
        <v/>
      </c>
      <c r="D9" s="69">
        <f>'01_인적정보'!D9</f>
        <v/>
      </c>
      <c r="E9" s="69">
        <f>'01_인적정보'!E9</f>
        <v/>
      </c>
      <c r="F9" s="11">
        <f>'01_인적정보'!H9</f>
        <v/>
      </c>
      <c r="G9" s="114">
        <f>IF('01_인적정보'!B9="","",'04_역할평가'!I9)</f>
        <v/>
      </c>
      <c r="H9" s="114">
        <f>IF('01_인적정보'!B9="","",'04_역할평가'!I67)</f>
        <v/>
      </c>
      <c r="I9" s="115">
        <f>IFERROR(IF(AND(G9&lt;&gt;"",H9&lt;&gt;""),IFERROR(CHOOSE(FIND(G9,"DCBAS"),1,2,3,4,5),0)*'02_의사결정·종합결과'!$B$7+IFERROR(CHOOSE(FIND(H9,"DCBAS"),1,2,3,4,5),0)*'02_의사결정·종합결과'!$B$8,""),"")</f>
        <v/>
      </c>
      <c r="J9" s="114">
        <f>IF('01_인적정보'!B9="","",'05_공통역량평가'!I9)</f>
        <v/>
      </c>
      <c r="K9" s="114">
        <f>IF('01_인적정보'!B9="","",'05_공통역량평가'!I67)</f>
        <v/>
      </c>
      <c r="L9" s="115">
        <f>IFERROR(IF(AND(J9&lt;&gt;"",K9&lt;&gt;""),IFERROR(CHOOSE(FIND(J9,"DCBAS"),1,2,3,4,5),0)*'02_의사결정·종합결과'!$B$7+IFERROR(CHOOSE(FIND(K9,"DCBAS"),1,2,3,4,5),0)*'02_의사결정·종합결과'!$B$8,""),"")</f>
        <v/>
      </c>
      <c r="M9" s="114">
        <f>IF('01_인적정보'!B9="","",'06_직무역량평가'!J9)</f>
        <v/>
      </c>
      <c r="N9" s="114">
        <f>IF('01_인적정보'!B9="","",'06_직무역량평가'!J67)</f>
        <v/>
      </c>
      <c r="O9" s="115">
        <f>IFERROR(IF(AND(M9&lt;&gt;"",N9&lt;&gt;""),IFERROR(CHOOSE(FIND(M9,"DCBAS"),1,2,3,4,5),0)*'02_의사결정·종합결과'!$B$7+IFERROR(CHOOSE(FIND(N9,"DCBAS"),1,2,3,4,5),0)*'02_의사결정·종합결과'!$B$8,""),"")</f>
        <v/>
      </c>
      <c r="P9" s="22">
        <f>IFERROR(VLOOKUP(F9,'02_의사결정·종합결과'!$A$16:$D$22,2,FALSE),"")</f>
        <v/>
      </c>
      <c r="Q9" s="22">
        <f>IFERROR(VLOOKUP(F9,'02_의사결정·종합결과'!$A$16:$D$22,3,FALSE),"")</f>
        <v/>
      </c>
      <c r="R9" s="22">
        <f>IFERROR(VLOOKUP(F9,'02_의사결정·종합결과'!$A$16:$D$22,4,FALSE),"")</f>
        <v/>
      </c>
      <c r="S9" s="121">
        <f>IF(OR(I9="",L9="",O9=""),"",I9*P9+L9*Q9+O9*R9)</f>
        <v/>
      </c>
      <c r="T9" s="116">
        <f>IF(S9="","",IF(S9&gt;=4.5,"S",IF(S9&gt;=3.5,"A",IF(S9&gt;=2.5,"B",IF(S9&gt;=1.5,"C","D")))))</f>
        <v/>
      </c>
      <c r="U9" s="122">
        <f>IF(S9="","",IF('02_의사결정·종합결과'!$B$6="절대평가",T9,IF(S9="","",IF(IFERROR(RANK(S9,$S$6:$S$55,0)/COUNT($S$6:$S$55),0)&lt;='02_의사결정·종합결과'!$B$11,"S",IF(IFERROR(RANK(S9,$S$6:$S$55,0)/COUNT($S$6:$S$55),0)&lt;='02_의사결정·종합결과'!$B$11+'02_의사결정·종합결과'!$C$11,"A",IF(IFERROR(RANK(S9,$S$6:$S$55,0)/COUNT($S$6:$S$55),0)&lt;='02_의사결정·종합결과'!$B$11+'02_의사결정·종합결과'!$C$11+'02_의사결정·종합결과'!$D$11,"B",IF(IFERROR(RANK(S9,$S$6:$S$55,0)/COUNT($S$6:$S$55),0)&lt;='02_의사결정·종합결과'!$B$11+'02_의사결정·종합결과'!$C$11+'02_의사결정·종합결과'!$D$11+'02_의사결정·종합결과'!$E$11,"C","D")))))))</f>
        <v/>
      </c>
      <c r="V9" s="1" t="n"/>
    </row>
    <row r="10" ht="22.05" customHeight="1" s="86">
      <c r="A10" s="75">
        <f>'01_인적정보'!A10</f>
        <v/>
      </c>
      <c r="B10" s="75">
        <f>'01_인적정보'!B10</f>
        <v/>
      </c>
      <c r="C10" s="69">
        <f>'01_인적정보'!C10</f>
        <v/>
      </c>
      <c r="D10" s="69">
        <f>'01_인적정보'!D10</f>
        <v/>
      </c>
      <c r="E10" s="69">
        <f>'01_인적정보'!E10</f>
        <v/>
      </c>
      <c r="F10" s="11">
        <f>'01_인적정보'!H10</f>
        <v/>
      </c>
      <c r="G10" s="114">
        <f>IF('01_인적정보'!B10="","",'04_역할평가'!I10)</f>
        <v/>
      </c>
      <c r="H10" s="114">
        <f>IF('01_인적정보'!B10="","",'04_역할평가'!I68)</f>
        <v/>
      </c>
      <c r="I10" s="115">
        <f>IFERROR(IF(AND(G10&lt;&gt;"",H10&lt;&gt;""),IFERROR(CHOOSE(FIND(G10,"DCBAS"),1,2,3,4,5),0)*'02_의사결정·종합결과'!$B$7+IFERROR(CHOOSE(FIND(H10,"DCBAS"),1,2,3,4,5),0)*'02_의사결정·종합결과'!$B$8,""),"")</f>
        <v/>
      </c>
      <c r="J10" s="114">
        <f>IF('01_인적정보'!B10="","",'05_공통역량평가'!I10)</f>
        <v/>
      </c>
      <c r="K10" s="114">
        <f>IF('01_인적정보'!B10="","",'05_공통역량평가'!I68)</f>
        <v/>
      </c>
      <c r="L10" s="115">
        <f>IFERROR(IF(AND(J10&lt;&gt;"",K10&lt;&gt;""),IFERROR(CHOOSE(FIND(J10,"DCBAS"),1,2,3,4,5),0)*'02_의사결정·종합결과'!$B$7+IFERROR(CHOOSE(FIND(K10,"DCBAS"),1,2,3,4,5),0)*'02_의사결정·종합결과'!$B$8,""),"")</f>
        <v/>
      </c>
      <c r="M10" s="114">
        <f>IF('01_인적정보'!B10="","",'06_직무역량평가'!J10)</f>
        <v/>
      </c>
      <c r="N10" s="114">
        <f>IF('01_인적정보'!B10="","",'06_직무역량평가'!J68)</f>
        <v/>
      </c>
      <c r="O10" s="115">
        <f>IFERROR(IF(AND(M10&lt;&gt;"",N10&lt;&gt;""),IFERROR(CHOOSE(FIND(M10,"DCBAS"),1,2,3,4,5),0)*'02_의사결정·종합결과'!$B$7+IFERROR(CHOOSE(FIND(N10,"DCBAS"),1,2,3,4,5),0)*'02_의사결정·종합결과'!$B$8,""),"")</f>
        <v/>
      </c>
      <c r="P10" s="22">
        <f>IFERROR(VLOOKUP(F10,'02_의사결정·종합결과'!$A$16:$D$22,2,FALSE),"")</f>
        <v/>
      </c>
      <c r="Q10" s="22">
        <f>IFERROR(VLOOKUP(F10,'02_의사결정·종합결과'!$A$16:$D$22,3,FALSE),"")</f>
        <v/>
      </c>
      <c r="R10" s="22">
        <f>IFERROR(VLOOKUP(F10,'02_의사결정·종합결과'!$A$16:$D$22,4,FALSE),"")</f>
        <v/>
      </c>
      <c r="S10" s="121">
        <f>IF(OR(I10="",L10="",O10=""),"",I10*P10+L10*Q10+O10*R10)</f>
        <v/>
      </c>
      <c r="T10" s="116">
        <f>IF(S10="","",IF(S10&gt;=4.5,"S",IF(S10&gt;=3.5,"A",IF(S10&gt;=2.5,"B",IF(S10&gt;=1.5,"C","D")))))</f>
        <v/>
      </c>
      <c r="U10" s="122">
        <f>IF(S10="","",IF('02_의사결정·종합결과'!$B$6="절대평가",T10,IF(S10="","",IF(IFERROR(RANK(S10,$S$6:$S$55,0)/COUNT($S$6:$S$55),0)&lt;='02_의사결정·종합결과'!$B$11,"S",IF(IFERROR(RANK(S10,$S$6:$S$55,0)/COUNT($S$6:$S$55),0)&lt;='02_의사결정·종합결과'!$B$11+'02_의사결정·종합결과'!$C$11,"A",IF(IFERROR(RANK(S10,$S$6:$S$55,0)/COUNT($S$6:$S$55),0)&lt;='02_의사결정·종합결과'!$B$11+'02_의사결정·종합결과'!$C$11+'02_의사결정·종합결과'!$D$11,"B",IF(IFERROR(RANK(S10,$S$6:$S$55,0)/COUNT($S$6:$S$55),0)&lt;='02_의사결정·종합결과'!$B$11+'02_의사결정·종합결과'!$C$11+'02_의사결정·종합결과'!$D$11+'02_의사결정·종합결과'!$E$11,"C","D")))))))</f>
        <v/>
      </c>
      <c r="V10" s="1" t="n"/>
    </row>
    <row r="11" ht="22.05" customHeight="1" s="86">
      <c r="A11" s="75">
        <f>'01_인적정보'!A11</f>
        <v/>
      </c>
      <c r="B11" s="75">
        <f>'01_인적정보'!B11</f>
        <v/>
      </c>
      <c r="C11" s="69">
        <f>'01_인적정보'!C11</f>
        <v/>
      </c>
      <c r="D11" s="69">
        <f>'01_인적정보'!D11</f>
        <v/>
      </c>
      <c r="E11" s="69">
        <f>'01_인적정보'!E11</f>
        <v/>
      </c>
      <c r="F11" s="11">
        <f>'01_인적정보'!H11</f>
        <v/>
      </c>
      <c r="G11" s="114">
        <f>IF('01_인적정보'!B11="","",'04_역할평가'!I11)</f>
        <v/>
      </c>
      <c r="H11" s="114">
        <f>IF('01_인적정보'!B11="","",'04_역할평가'!I69)</f>
        <v/>
      </c>
      <c r="I11" s="115">
        <f>IFERROR(IF(AND(G11&lt;&gt;"",H11&lt;&gt;""),IFERROR(CHOOSE(FIND(G11,"DCBAS"),1,2,3,4,5),0)*'02_의사결정·종합결과'!$B$7+IFERROR(CHOOSE(FIND(H11,"DCBAS"),1,2,3,4,5),0)*'02_의사결정·종합결과'!$B$8,""),"")</f>
        <v/>
      </c>
      <c r="J11" s="114">
        <f>IF('01_인적정보'!B11="","",'05_공통역량평가'!I11)</f>
        <v/>
      </c>
      <c r="K11" s="114">
        <f>IF('01_인적정보'!B11="","",'05_공통역량평가'!I69)</f>
        <v/>
      </c>
      <c r="L11" s="115">
        <f>IFERROR(IF(AND(J11&lt;&gt;"",K11&lt;&gt;""),IFERROR(CHOOSE(FIND(J11,"DCBAS"),1,2,3,4,5),0)*'02_의사결정·종합결과'!$B$7+IFERROR(CHOOSE(FIND(K11,"DCBAS"),1,2,3,4,5),0)*'02_의사결정·종합결과'!$B$8,""),"")</f>
        <v/>
      </c>
      <c r="M11" s="114">
        <f>IF('01_인적정보'!B11="","",'06_직무역량평가'!J11)</f>
        <v/>
      </c>
      <c r="N11" s="114">
        <f>IF('01_인적정보'!B11="","",'06_직무역량평가'!J69)</f>
        <v/>
      </c>
      <c r="O11" s="115">
        <f>IFERROR(IF(AND(M11&lt;&gt;"",N11&lt;&gt;""),IFERROR(CHOOSE(FIND(M11,"DCBAS"),1,2,3,4,5),0)*'02_의사결정·종합결과'!$B$7+IFERROR(CHOOSE(FIND(N11,"DCBAS"),1,2,3,4,5),0)*'02_의사결정·종합결과'!$B$8,""),"")</f>
        <v/>
      </c>
      <c r="P11" s="22">
        <f>IFERROR(VLOOKUP(F11,'02_의사결정·종합결과'!$A$16:$D$22,2,FALSE),"")</f>
        <v/>
      </c>
      <c r="Q11" s="22">
        <f>IFERROR(VLOOKUP(F11,'02_의사결정·종합결과'!$A$16:$D$22,3,FALSE),"")</f>
        <v/>
      </c>
      <c r="R11" s="22">
        <f>IFERROR(VLOOKUP(F11,'02_의사결정·종합결과'!$A$16:$D$22,4,FALSE),"")</f>
        <v/>
      </c>
      <c r="S11" s="121">
        <f>IF(OR(I11="",L11="",O11=""),"",I11*P11+L11*Q11+O11*R11)</f>
        <v/>
      </c>
      <c r="T11" s="116">
        <f>IF(S11="","",IF(S11&gt;=4.5,"S",IF(S11&gt;=3.5,"A",IF(S11&gt;=2.5,"B",IF(S11&gt;=1.5,"C","D")))))</f>
        <v/>
      </c>
      <c r="U11" s="122">
        <f>IF(S11="","",IF('02_의사결정·종합결과'!$B$6="절대평가",T11,IF(S11="","",IF(IFERROR(RANK(S11,$S$6:$S$55,0)/COUNT($S$6:$S$55),0)&lt;='02_의사결정·종합결과'!$B$11,"S",IF(IFERROR(RANK(S11,$S$6:$S$55,0)/COUNT($S$6:$S$55),0)&lt;='02_의사결정·종합결과'!$B$11+'02_의사결정·종합결과'!$C$11,"A",IF(IFERROR(RANK(S11,$S$6:$S$55,0)/COUNT($S$6:$S$55),0)&lt;='02_의사결정·종합결과'!$B$11+'02_의사결정·종합결과'!$C$11+'02_의사결정·종합결과'!$D$11,"B",IF(IFERROR(RANK(S11,$S$6:$S$55,0)/COUNT($S$6:$S$55),0)&lt;='02_의사결정·종합결과'!$B$11+'02_의사결정·종합결과'!$C$11+'02_의사결정·종합결과'!$D$11+'02_의사결정·종합결과'!$E$11,"C","D")))))))</f>
        <v/>
      </c>
      <c r="V11" s="1" t="n"/>
    </row>
    <row r="12" ht="22.05" customHeight="1" s="86">
      <c r="A12" s="75">
        <f>'01_인적정보'!A12</f>
        <v/>
      </c>
      <c r="B12" s="75">
        <f>'01_인적정보'!B12</f>
        <v/>
      </c>
      <c r="C12" s="69">
        <f>'01_인적정보'!C12</f>
        <v/>
      </c>
      <c r="D12" s="69">
        <f>'01_인적정보'!D12</f>
        <v/>
      </c>
      <c r="E12" s="69">
        <f>'01_인적정보'!E12</f>
        <v/>
      </c>
      <c r="F12" s="11">
        <f>'01_인적정보'!H12</f>
        <v/>
      </c>
      <c r="G12" s="114">
        <f>IF('01_인적정보'!B12="","",'04_역할평가'!I12)</f>
        <v/>
      </c>
      <c r="H12" s="114">
        <f>IF('01_인적정보'!B12="","",'04_역할평가'!I70)</f>
        <v/>
      </c>
      <c r="I12" s="115">
        <f>IFERROR(IF(AND(G12&lt;&gt;"",H12&lt;&gt;""),IFERROR(CHOOSE(FIND(G12,"DCBAS"),1,2,3,4,5),0)*'02_의사결정·종합결과'!$B$7+IFERROR(CHOOSE(FIND(H12,"DCBAS"),1,2,3,4,5),0)*'02_의사결정·종합결과'!$B$8,""),"")</f>
        <v/>
      </c>
      <c r="J12" s="114">
        <f>IF('01_인적정보'!B12="","",'05_공통역량평가'!I12)</f>
        <v/>
      </c>
      <c r="K12" s="114">
        <f>IF('01_인적정보'!B12="","",'05_공통역량평가'!I70)</f>
        <v/>
      </c>
      <c r="L12" s="115">
        <f>IFERROR(IF(AND(J12&lt;&gt;"",K12&lt;&gt;""),IFERROR(CHOOSE(FIND(J12,"DCBAS"),1,2,3,4,5),0)*'02_의사결정·종합결과'!$B$7+IFERROR(CHOOSE(FIND(K12,"DCBAS"),1,2,3,4,5),0)*'02_의사결정·종합결과'!$B$8,""),"")</f>
        <v/>
      </c>
      <c r="M12" s="114">
        <f>IF('01_인적정보'!B12="","",'06_직무역량평가'!J12)</f>
        <v/>
      </c>
      <c r="N12" s="114">
        <f>IF('01_인적정보'!B12="","",'06_직무역량평가'!J70)</f>
        <v/>
      </c>
      <c r="O12" s="115">
        <f>IFERROR(IF(AND(M12&lt;&gt;"",N12&lt;&gt;""),IFERROR(CHOOSE(FIND(M12,"DCBAS"),1,2,3,4,5),0)*'02_의사결정·종합결과'!$B$7+IFERROR(CHOOSE(FIND(N12,"DCBAS"),1,2,3,4,5),0)*'02_의사결정·종합결과'!$B$8,""),"")</f>
        <v/>
      </c>
      <c r="P12" s="22">
        <f>IFERROR(VLOOKUP(F12,'02_의사결정·종합결과'!$A$16:$D$22,2,FALSE),"")</f>
        <v/>
      </c>
      <c r="Q12" s="22">
        <f>IFERROR(VLOOKUP(F12,'02_의사결정·종합결과'!$A$16:$D$22,3,FALSE),"")</f>
        <v/>
      </c>
      <c r="R12" s="22">
        <f>IFERROR(VLOOKUP(F12,'02_의사결정·종합결과'!$A$16:$D$22,4,FALSE),"")</f>
        <v/>
      </c>
      <c r="S12" s="121">
        <f>IF(OR(I12="",L12="",O12=""),"",I12*P12+L12*Q12+O12*R12)</f>
        <v/>
      </c>
      <c r="T12" s="116">
        <f>IF(S12="","",IF(S12&gt;=4.5,"S",IF(S12&gt;=3.5,"A",IF(S12&gt;=2.5,"B",IF(S12&gt;=1.5,"C","D")))))</f>
        <v/>
      </c>
      <c r="U12" s="122">
        <f>IF(S12="","",IF('02_의사결정·종합결과'!$B$6="절대평가",T12,IF(S12="","",IF(IFERROR(RANK(S12,$S$6:$S$55,0)/COUNT($S$6:$S$55),0)&lt;='02_의사결정·종합결과'!$B$11,"S",IF(IFERROR(RANK(S12,$S$6:$S$55,0)/COUNT($S$6:$S$55),0)&lt;='02_의사결정·종합결과'!$B$11+'02_의사결정·종합결과'!$C$11,"A",IF(IFERROR(RANK(S12,$S$6:$S$55,0)/COUNT($S$6:$S$55),0)&lt;='02_의사결정·종합결과'!$B$11+'02_의사결정·종합결과'!$C$11+'02_의사결정·종합결과'!$D$11,"B",IF(IFERROR(RANK(S12,$S$6:$S$55,0)/COUNT($S$6:$S$55),0)&lt;='02_의사결정·종합결과'!$B$11+'02_의사결정·종합결과'!$C$11+'02_의사결정·종합결과'!$D$11+'02_의사결정·종합결과'!$E$11,"C","D")))))))</f>
        <v/>
      </c>
      <c r="V12" s="1" t="n"/>
    </row>
    <row r="13" ht="22.05" customHeight="1" s="86">
      <c r="A13" s="75">
        <f>'01_인적정보'!A13</f>
        <v/>
      </c>
      <c r="B13" s="75">
        <f>'01_인적정보'!B13</f>
        <v/>
      </c>
      <c r="C13" s="69">
        <f>'01_인적정보'!C13</f>
        <v/>
      </c>
      <c r="D13" s="69">
        <f>'01_인적정보'!D13</f>
        <v/>
      </c>
      <c r="E13" s="69">
        <f>'01_인적정보'!E13</f>
        <v/>
      </c>
      <c r="F13" s="11">
        <f>'01_인적정보'!H13</f>
        <v/>
      </c>
      <c r="G13" s="114">
        <f>IF('01_인적정보'!B13="","",'04_역할평가'!I13)</f>
        <v/>
      </c>
      <c r="H13" s="114">
        <f>IF('01_인적정보'!B13="","",'04_역할평가'!I71)</f>
        <v/>
      </c>
      <c r="I13" s="115">
        <f>IFERROR(IF(AND(G13&lt;&gt;"",H13&lt;&gt;""),IFERROR(CHOOSE(FIND(G13,"DCBAS"),1,2,3,4,5),0)*'02_의사결정·종합결과'!$B$7+IFERROR(CHOOSE(FIND(H13,"DCBAS"),1,2,3,4,5),0)*'02_의사결정·종합결과'!$B$8,""),"")</f>
        <v/>
      </c>
      <c r="J13" s="114">
        <f>IF('01_인적정보'!B13="","",'05_공통역량평가'!I13)</f>
        <v/>
      </c>
      <c r="K13" s="114">
        <f>IF('01_인적정보'!B13="","",'05_공통역량평가'!I71)</f>
        <v/>
      </c>
      <c r="L13" s="115">
        <f>IFERROR(IF(AND(J13&lt;&gt;"",K13&lt;&gt;""),IFERROR(CHOOSE(FIND(J13,"DCBAS"),1,2,3,4,5),0)*'02_의사결정·종합결과'!$B$7+IFERROR(CHOOSE(FIND(K13,"DCBAS"),1,2,3,4,5),0)*'02_의사결정·종합결과'!$B$8,""),"")</f>
        <v/>
      </c>
      <c r="M13" s="114">
        <f>IF('01_인적정보'!B13="","",'06_직무역량평가'!J13)</f>
        <v/>
      </c>
      <c r="N13" s="114">
        <f>IF('01_인적정보'!B13="","",'06_직무역량평가'!J71)</f>
        <v/>
      </c>
      <c r="O13" s="115">
        <f>IFERROR(IF(AND(M13&lt;&gt;"",N13&lt;&gt;""),IFERROR(CHOOSE(FIND(M13,"DCBAS"),1,2,3,4,5),0)*'02_의사결정·종합결과'!$B$7+IFERROR(CHOOSE(FIND(N13,"DCBAS"),1,2,3,4,5),0)*'02_의사결정·종합결과'!$B$8,""),"")</f>
        <v/>
      </c>
      <c r="P13" s="22">
        <f>IFERROR(VLOOKUP(F13,'02_의사결정·종합결과'!$A$16:$D$22,2,FALSE),"")</f>
        <v/>
      </c>
      <c r="Q13" s="22">
        <f>IFERROR(VLOOKUP(F13,'02_의사결정·종합결과'!$A$16:$D$22,3,FALSE),"")</f>
        <v/>
      </c>
      <c r="R13" s="22">
        <f>IFERROR(VLOOKUP(F13,'02_의사결정·종합결과'!$A$16:$D$22,4,FALSE),"")</f>
        <v/>
      </c>
      <c r="S13" s="121">
        <f>IF(OR(I13="",L13="",O13=""),"",I13*P13+L13*Q13+O13*R13)</f>
        <v/>
      </c>
      <c r="T13" s="116">
        <f>IF(S13="","",IF(S13&gt;=4.5,"S",IF(S13&gt;=3.5,"A",IF(S13&gt;=2.5,"B",IF(S13&gt;=1.5,"C","D")))))</f>
        <v/>
      </c>
      <c r="U13" s="122">
        <f>IF(S13="","",IF('02_의사결정·종합결과'!$B$6="절대평가",T13,IF(S13="","",IF(IFERROR(RANK(S13,$S$6:$S$55,0)/COUNT($S$6:$S$55),0)&lt;='02_의사결정·종합결과'!$B$11,"S",IF(IFERROR(RANK(S13,$S$6:$S$55,0)/COUNT($S$6:$S$55),0)&lt;='02_의사결정·종합결과'!$B$11+'02_의사결정·종합결과'!$C$11,"A",IF(IFERROR(RANK(S13,$S$6:$S$55,0)/COUNT($S$6:$S$55),0)&lt;='02_의사결정·종합결과'!$B$11+'02_의사결정·종합결과'!$C$11+'02_의사결정·종합결과'!$D$11,"B",IF(IFERROR(RANK(S13,$S$6:$S$55,0)/COUNT($S$6:$S$55),0)&lt;='02_의사결정·종합결과'!$B$11+'02_의사결정·종합결과'!$C$11+'02_의사결정·종합결과'!$D$11+'02_의사결정·종합결과'!$E$11,"C","D")))))))</f>
        <v/>
      </c>
      <c r="V13" s="1" t="n"/>
    </row>
    <row r="14" ht="22.05" customHeight="1" s="86">
      <c r="A14" s="75">
        <f>'01_인적정보'!A14</f>
        <v/>
      </c>
      <c r="B14" s="75">
        <f>'01_인적정보'!B14</f>
        <v/>
      </c>
      <c r="C14" s="69">
        <f>'01_인적정보'!C14</f>
        <v/>
      </c>
      <c r="D14" s="69">
        <f>'01_인적정보'!D14</f>
        <v/>
      </c>
      <c r="E14" s="69">
        <f>'01_인적정보'!E14</f>
        <v/>
      </c>
      <c r="F14" s="11">
        <f>'01_인적정보'!H14</f>
        <v/>
      </c>
      <c r="G14" s="114">
        <f>IF('01_인적정보'!B14="","",'04_역할평가'!I14)</f>
        <v/>
      </c>
      <c r="H14" s="114">
        <f>IF('01_인적정보'!B14="","",'04_역할평가'!I72)</f>
        <v/>
      </c>
      <c r="I14" s="115">
        <f>IFERROR(IF(AND(G14&lt;&gt;"",H14&lt;&gt;""),IFERROR(CHOOSE(FIND(G14,"DCBAS"),1,2,3,4,5),0)*'02_의사결정·종합결과'!$B$7+IFERROR(CHOOSE(FIND(H14,"DCBAS"),1,2,3,4,5),0)*'02_의사결정·종합결과'!$B$8,""),"")</f>
        <v/>
      </c>
      <c r="J14" s="114">
        <f>IF('01_인적정보'!B14="","",'05_공통역량평가'!I14)</f>
        <v/>
      </c>
      <c r="K14" s="114">
        <f>IF('01_인적정보'!B14="","",'05_공통역량평가'!I72)</f>
        <v/>
      </c>
      <c r="L14" s="115">
        <f>IFERROR(IF(AND(J14&lt;&gt;"",K14&lt;&gt;""),IFERROR(CHOOSE(FIND(J14,"DCBAS"),1,2,3,4,5),0)*'02_의사결정·종합결과'!$B$7+IFERROR(CHOOSE(FIND(K14,"DCBAS"),1,2,3,4,5),0)*'02_의사결정·종합결과'!$B$8,""),"")</f>
        <v/>
      </c>
      <c r="M14" s="114">
        <f>IF('01_인적정보'!B14="","",'06_직무역량평가'!J14)</f>
        <v/>
      </c>
      <c r="N14" s="114">
        <f>IF('01_인적정보'!B14="","",'06_직무역량평가'!J72)</f>
        <v/>
      </c>
      <c r="O14" s="115">
        <f>IFERROR(IF(AND(M14&lt;&gt;"",N14&lt;&gt;""),IFERROR(CHOOSE(FIND(M14,"DCBAS"),1,2,3,4,5),0)*'02_의사결정·종합결과'!$B$7+IFERROR(CHOOSE(FIND(N14,"DCBAS"),1,2,3,4,5),0)*'02_의사결정·종합결과'!$B$8,""),"")</f>
        <v/>
      </c>
      <c r="P14" s="22">
        <f>IFERROR(VLOOKUP(F14,'02_의사결정·종합결과'!$A$16:$D$22,2,FALSE),"")</f>
        <v/>
      </c>
      <c r="Q14" s="22">
        <f>IFERROR(VLOOKUP(F14,'02_의사결정·종합결과'!$A$16:$D$22,3,FALSE),"")</f>
        <v/>
      </c>
      <c r="R14" s="22">
        <f>IFERROR(VLOOKUP(F14,'02_의사결정·종합결과'!$A$16:$D$22,4,FALSE),"")</f>
        <v/>
      </c>
      <c r="S14" s="121">
        <f>IF(OR(I14="",L14="",O14=""),"",I14*P14+L14*Q14+O14*R14)</f>
        <v/>
      </c>
      <c r="T14" s="116">
        <f>IF(S14="","",IF(S14&gt;=4.5,"S",IF(S14&gt;=3.5,"A",IF(S14&gt;=2.5,"B",IF(S14&gt;=1.5,"C","D")))))</f>
        <v/>
      </c>
      <c r="U14" s="122">
        <f>IF(S14="","",IF('02_의사결정·종합결과'!$B$6="절대평가",T14,IF(S14="","",IF(IFERROR(RANK(S14,$S$6:$S$55,0)/COUNT($S$6:$S$55),0)&lt;='02_의사결정·종합결과'!$B$11,"S",IF(IFERROR(RANK(S14,$S$6:$S$55,0)/COUNT($S$6:$S$55),0)&lt;='02_의사결정·종합결과'!$B$11+'02_의사결정·종합결과'!$C$11,"A",IF(IFERROR(RANK(S14,$S$6:$S$55,0)/COUNT($S$6:$S$55),0)&lt;='02_의사결정·종합결과'!$B$11+'02_의사결정·종합결과'!$C$11+'02_의사결정·종합결과'!$D$11,"B",IF(IFERROR(RANK(S14,$S$6:$S$55,0)/COUNT($S$6:$S$55),0)&lt;='02_의사결정·종합결과'!$B$11+'02_의사결정·종합결과'!$C$11+'02_의사결정·종합결과'!$D$11+'02_의사결정·종합결과'!$E$11,"C","D")))))))</f>
        <v/>
      </c>
      <c r="V14" s="1" t="n"/>
    </row>
    <row r="15" ht="22.05" customHeight="1" s="86">
      <c r="A15" s="75">
        <f>'01_인적정보'!A15</f>
        <v/>
      </c>
      <c r="B15" s="75">
        <f>'01_인적정보'!B15</f>
        <v/>
      </c>
      <c r="C15" s="69">
        <f>'01_인적정보'!C15</f>
        <v/>
      </c>
      <c r="D15" s="69">
        <f>'01_인적정보'!D15</f>
        <v/>
      </c>
      <c r="E15" s="69">
        <f>'01_인적정보'!E15</f>
        <v/>
      </c>
      <c r="F15" s="11">
        <f>'01_인적정보'!H15</f>
        <v/>
      </c>
      <c r="G15" s="114">
        <f>IF('01_인적정보'!B15="","",'04_역할평가'!I15)</f>
        <v/>
      </c>
      <c r="H15" s="114">
        <f>IF('01_인적정보'!B15="","",'04_역할평가'!I73)</f>
        <v/>
      </c>
      <c r="I15" s="115">
        <f>IFERROR(IF(AND(G15&lt;&gt;"",H15&lt;&gt;""),IFERROR(CHOOSE(FIND(G15,"DCBAS"),1,2,3,4,5),0)*'02_의사결정·종합결과'!$B$7+IFERROR(CHOOSE(FIND(H15,"DCBAS"),1,2,3,4,5),0)*'02_의사결정·종합결과'!$B$8,""),"")</f>
        <v/>
      </c>
      <c r="J15" s="114">
        <f>IF('01_인적정보'!B15="","",'05_공통역량평가'!I15)</f>
        <v/>
      </c>
      <c r="K15" s="114">
        <f>IF('01_인적정보'!B15="","",'05_공통역량평가'!I73)</f>
        <v/>
      </c>
      <c r="L15" s="115">
        <f>IFERROR(IF(AND(J15&lt;&gt;"",K15&lt;&gt;""),IFERROR(CHOOSE(FIND(J15,"DCBAS"),1,2,3,4,5),0)*'02_의사결정·종합결과'!$B$7+IFERROR(CHOOSE(FIND(K15,"DCBAS"),1,2,3,4,5),0)*'02_의사결정·종합결과'!$B$8,""),"")</f>
        <v/>
      </c>
      <c r="M15" s="114">
        <f>IF('01_인적정보'!B15="","",'06_직무역량평가'!J15)</f>
        <v/>
      </c>
      <c r="N15" s="114">
        <f>IF('01_인적정보'!B15="","",'06_직무역량평가'!J73)</f>
        <v/>
      </c>
      <c r="O15" s="115">
        <f>IFERROR(IF(AND(M15&lt;&gt;"",N15&lt;&gt;""),IFERROR(CHOOSE(FIND(M15,"DCBAS"),1,2,3,4,5),0)*'02_의사결정·종합결과'!$B$7+IFERROR(CHOOSE(FIND(N15,"DCBAS"),1,2,3,4,5),0)*'02_의사결정·종합결과'!$B$8,""),"")</f>
        <v/>
      </c>
      <c r="P15" s="22">
        <f>IFERROR(VLOOKUP(F15,'02_의사결정·종합결과'!$A$16:$D$22,2,FALSE),"")</f>
        <v/>
      </c>
      <c r="Q15" s="22">
        <f>IFERROR(VLOOKUP(F15,'02_의사결정·종합결과'!$A$16:$D$22,3,FALSE),"")</f>
        <v/>
      </c>
      <c r="R15" s="22">
        <f>IFERROR(VLOOKUP(F15,'02_의사결정·종합결과'!$A$16:$D$22,4,FALSE),"")</f>
        <v/>
      </c>
      <c r="S15" s="121">
        <f>IF(OR(I15="",L15="",O15=""),"",I15*P15+L15*Q15+O15*R15)</f>
        <v/>
      </c>
      <c r="T15" s="116">
        <f>IF(S15="","",IF(S15&gt;=4.5,"S",IF(S15&gt;=3.5,"A",IF(S15&gt;=2.5,"B",IF(S15&gt;=1.5,"C","D")))))</f>
        <v/>
      </c>
      <c r="U15" s="122">
        <f>IF(S15="","",IF('02_의사결정·종합결과'!$B$6="절대평가",T15,IF(S15="","",IF(IFERROR(RANK(S15,$S$6:$S$55,0)/COUNT($S$6:$S$55),0)&lt;='02_의사결정·종합결과'!$B$11,"S",IF(IFERROR(RANK(S15,$S$6:$S$55,0)/COUNT($S$6:$S$55),0)&lt;='02_의사결정·종합결과'!$B$11+'02_의사결정·종합결과'!$C$11,"A",IF(IFERROR(RANK(S15,$S$6:$S$55,0)/COUNT($S$6:$S$55),0)&lt;='02_의사결정·종합결과'!$B$11+'02_의사결정·종합결과'!$C$11+'02_의사결정·종합결과'!$D$11,"B",IF(IFERROR(RANK(S15,$S$6:$S$55,0)/COUNT($S$6:$S$55),0)&lt;='02_의사결정·종합결과'!$B$11+'02_의사결정·종합결과'!$C$11+'02_의사결정·종합결과'!$D$11+'02_의사결정·종합결과'!$E$11,"C","D")))))))</f>
        <v/>
      </c>
      <c r="V15" s="1" t="n"/>
    </row>
    <row r="16" ht="22.05" customHeight="1" s="86">
      <c r="A16" s="75">
        <f>'01_인적정보'!A16</f>
        <v/>
      </c>
      <c r="B16" s="75">
        <f>'01_인적정보'!B16</f>
        <v/>
      </c>
      <c r="C16" s="69">
        <f>'01_인적정보'!C16</f>
        <v/>
      </c>
      <c r="D16" s="69">
        <f>'01_인적정보'!D16</f>
        <v/>
      </c>
      <c r="E16" s="69">
        <f>'01_인적정보'!E16</f>
        <v/>
      </c>
      <c r="F16" s="11">
        <f>'01_인적정보'!H16</f>
        <v/>
      </c>
      <c r="G16" s="114">
        <f>IF('01_인적정보'!B16="","",'04_역할평가'!I16)</f>
        <v/>
      </c>
      <c r="H16" s="114">
        <f>IF('01_인적정보'!B16="","",'04_역할평가'!I74)</f>
        <v/>
      </c>
      <c r="I16" s="115">
        <f>IFERROR(IF(AND(G16&lt;&gt;"",H16&lt;&gt;""),IFERROR(CHOOSE(FIND(G16,"DCBAS"),1,2,3,4,5),0)*'02_의사결정·종합결과'!$B$7+IFERROR(CHOOSE(FIND(H16,"DCBAS"),1,2,3,4,5),0)*'02_의사결정·종합결과'!$B$8,""),"")</f>
        <v/>
      </c>
      <c r="J16" s="114">
        <f>IF('01_인적정보'!B16="","",'05_공통역량평가'!I16)</f>
        <v/>
      </c>
      <c r="K16" s="114">
        <f>IF('01_인적정보'!B16="","",'05_공통역량평가'!I74)</f>
        <v/>
      </c>
      <c r="L16" s="115">
        <f>IFERROR(IF(AND(J16&lt;&gt;"",K16&lt;&gt;""),IFERROR(CHOOSE(FIND(J16,"DCBAS"),1,2,3,4,5),0)*'02_의사결정·종합결과'!$B$7+IFERROR(CHOOSE(FIND(K16,"DCBAS"),1,2,3,4,5),0)*'02_의사결정·종합결과'!$B$8,""),"")</f>
        <v/>
      </c>
      <c r="M16" s="114">
        <f>IF('01_인적정보'!B16="","",'06_직무역량평가'!J16)</f>
        <v/>
      </c>
      <c r="N16" s="114">
        <f>IF('01_인적정보'!B16="","",'06_직무역량평가'!J74)</f>
        <v/>
      </c>
      <c r="O16" s="115">
        <f>IFERROR(IF(AND(M16&lt;&gt;"",N16&lt;&gt;""),IFERROR(CHOOSE(FIND(M16,"DCBAS"),1,2,3,4,5),0)*'02_의사결정·종합결과'!$B$7+IFERROR(CHOOSE(FIND(N16,"DCBAS"),1,2,3,4,5),0)*'02_의사결정·종합결과'!$B$8,""),"")</f>
        <v/>
      </c>
      <c r="P16" s="22">
        <f>IFERROR(VLOOKUP(F16,'02_의사결정·종합결과'!$A$16:$D$22,2,FALSE),"")</f>
        <v/>
      </c>
      <c r="Q16" s="22">
        <f>IFERROR(VLOOKUP(F16,'02_의사결정·종합결과'!$A$16:$D$22,3,FALSE),"")</f>
        <v/>
      </c>
      <c r="R16" s="22">
        <f>IFERROR(VLOOKUP(F16,'02_의사결정·종합결과'!$A$16:$D$22,4,FALSE),"")</f>
        <v/>
      </c>
      <c r="S16" s="121">
        <f>IF(OR(I16="",L16="",O16=""),"",I16*P16+L16*Q16+O16*R16)</f>
        <v/>
      </c>
      <c r="T16" s="116">
        <f>IF(S16="","",IF(S16&gt;=4.5,"S",IF(S16&gt;=3.5,"A",IF(S16&gt;=2.5,"B",IF(S16&gt;=1.5,"C","D")))))</f>
        <v/>
      </c>
      <c r="U16" s="122">
        <f>IF(S16="","",IF('02_의사결정·종합결과'!$B$6="절대평가",T16,IF(S16="","",IF(IFERROR(RANK(S16,$S$6:$S$55,0)/COUNT($S$6:$S$55),0)&lt;='02_의사결정·종합결과'!$B$11,"S",IF(IFERROR(RANK(S16,$S$6:$S$55,0)/COUNT($S$6:$S$55),0)&lt;='02_의사결정·종합결과'!$B$11+'02_의사결정·종합결과'!$C$11,"A",IF(IFERROR(RANK(S16,$S$6:$S$55,0)/COUNT($S$6:$S$55),0)&lt;='02_의사결정·종합결과'!$B$11+'02_의사결정·종합결과'!$C$11+'02_의사결정·종합결과'!$D$11,"B",IF(IFERROR(RANK(S16,$S$6:$S$55,0)/COUNT($S$6:$S$55),0)&lt;='02_의사결정·종합결과'!$B$11+'02_의사결정·종합결과'!$C$11+'02_의사결정·종합결과'!$D$11+'02_의사결정·종합결과'!$E$11,"C","D")))))))</f>
        <v/>
      </c>
      <c r="V16" s="1" t="n"/>
    </row>
    <row r="17" ht="22.05" customHeight="1" s="86">
      <c r="A17" s="75">
        <f>'01_인적정보'!A17</f>
        <v/>
      </c>
      <c r="B17" s="75">
        <f>'01_인적정보'!B17</f>
        <v/>
      </c>
      <c r="C17" s="69">
        <f>'01_인적정보'!C17</f>
        <v/>
      </c>
      <c r="D17" s="69">
        <f>'01_인적정보'!D17</f>
        <v/>
      </c>
      <c r="E17" s="69">
        <f>'01_인적정보'!E17</f>
        <v/>
      </c>
      <c r="F17" s="11">
        <f>'01_인적정보'!H17</f>
        <v/>
      </c>
      <c r="G17" s="114">
        <f>IF('01_인적정보'!B17="","",'04_역할평가'!I17)</f>
        <v/>
      </c>
      <c r="H17" s="114">
        <f>IF('01_인적정보'!B17="","",'04_역할평가'!I75)</f>
        <v/>
      </c>
      <c r="I17" s="115">
        <f>IFERROR(IF(AND(G17&lt;&gt;"",H17&lt;&gt;""),IFERROR(CHOOSE(FIND(G17,"DCBAS"),1,2,3,4,5),0)*'02_의사결정·종합결과'!$B$7+IFERROR(CHOOSE(FIND(H17,"DCBAS"),1,2,3,4,5),0)*'02_의사결정·종합결과'!$B$8,""),"")</f>
        <v/>
      </c>
      <c r="J17" s="114">
        <f>IF('01_인적정보'!B17="","",'05_공통역량평가'!I17)</f>
        <v/>
      </c>
      <c r="K17" s="114">
        <f>IF('01_인적정보'!B17="","",'05_공통역량평가'!I75)</f>
        <v/>
      </c>
      <c r="L17" s="115">
        <f>IFERROR(IF(AND(J17&lt;&gt;"",K17&lt;&gt;""),IFERROR(CHOOSE(FIND(J17,"DCBAS"),1,2,3,4,5),0)*'02_의사결정·종합결과'!$B$7+IFERROR(CHOOSE(FIND(K17,"DCBAS"),1,2,3,4,5),0)*'02_의사결정·종합결과'!$B$8,""),"")</f>
        <v/>
      </c>
      <c r="M17" s="114">
        <f>IF('01_인적정보'!B17="","",'06_직무역량평가'!J17)</f>
        <v/>
      </c>
      <c r="N17" s="114">
        <f>IF('01_인적정보'!B17="","",'06_직무역량평가'!J75)</f>
        <v/>
      </c>
      <c r="O17" s="115">
        <f>IFERROR(IF(AND(M17&lt;&gt;"",N17&lt;&gt;""),IFERROR(CHOOSE(FIND(M17,"DCBAS"),1,2,3,4,5),0)*'02_의사결정·종합결과'!$B$7+IFERROR(CHOOSE(FIND(N17,"DCBAS"),1,2,3,4,5),0)*'02_의사결정·종합결과'!$B$8,""),"")</f>
        <v/>
      </c>
      <c r="P17" s="22">
        <f>IFERROR(VLOOKUP(F17,'02_의사결정·종합결과'!$A$16:$D$22,2,FALSE),"")</f>
        <v/>
      </c>
      <c r="Q17" s="22">
        <f>IFERROR(VLOOKUP(F17,'02_의사결정·종합결과'!$A$16:$D$22,3,FALSE),"")</f>
        <v/>
      </c>
      <c r="R17" s="22">
        <f>IFERROR(VLOOKUP(F17,'02_의사결정·종합결과'!$A$16:$D$22,4,FALSE),"")</f>
        <v/>
      </c>
      <c r="S17" s="121">
        <f>IF(OR(I17="",L17="",O17=""),"",I17*P17+L17*Q17+O17*R17)</f>
        <v/>
      </c>
      <c r="T17" s="116">
        <f>IF(S17="","",IF(S17&gt;=4.5,"S",IF(S17&gt;=3.5,"A",IF(S17&gt;=2.5,"B",IF(S17&gt;=1.5,"C","D")))))</f>
        <v/>
      </c>
      <c r="U17" s="122">
        <f>IF(S17="","",IF('02_의사결정·종합결과'!$B$6="절대평가",T17,IF(S17="","",IF(IFERROR(RANK(S17,$S$6:$S$55,0)/COUNT($S$6:$S$55),0)&lt;='02_의사결정·종합결과'!$B$11,"S",IF(IFERROR(RANK(S17,$S$6:$S$55,0)/COUNT($S$6:$S$55),0)&lt;='02_의사결정·종합결과'!$B$11+'02_의사결정·종합결과'!$C$11,"A",IF(IFERROR(RANK(S17,$S$6:$S$55,0)/COUNT($S$6:$S$55),0)&lt;='02_의사결정·종합결과'!$B$11+'02_의사결정·종합결과'!$C$11+'02_의사결정·종합결과'!$D$11,"B",IF(IFERROR(RANK(S17,$S$6:$S$55,0)/COUNT($S$6:$S$55),0)&lt;='02_의사결정·종합결과'!$B$11+'02_의사결정·종합결과'!$C$11+'02_의사결정·종합결과'!$D$11+'02_의사결정·종합결과'!$E$11,"C","D")))))))</f>
        <v/>
      </c>
      <c r="V17" s="1" t="n"/>
    </row>
    <row r="18" ht="22.05" customHeight="1" s="86">
      <c r="A18" s="75">
        <f>'01_인적정보'!A18</f>
        <v/>
      </c>
      <c r="B18" s="75">
        <f>'01_인적정보'!B18</f>
        <v/>
      </c>
      <c r="C18" s="69">
        <f>'01_인적정보'!C18</f>
        <v/>
      </c>
      <c r="D18" s="69">
        <f>'01_인적정보'!D18</f>
        <v/>
      </c>
      <c r="E18" s="69">
        <f>'01_인적정보'!E18</f>
        <v/>
      </c>
      <c r="F18" s="11">
        <f>'01_인적정보'!H18</f>
        <v/>
      </c>
      <c r="G18" s="114">
        <f>IF('01_인적정보'!B18="","",'04_역할평가'!I18)</f>
        <v/>
      </c>
      <c r="H18" s="114">
        <f>IF('01_인적정보'!B18="","",'04_역할평가'!I76)</f>
        <v/>
      </c>
      <c r="I18" s="115">
        <f>IFERROR(IF(AND(G18&lt;&gt;"",H18&lt;&gt;""),IFERROR(CHOOSE(FIND(G18,"DCBAS"),1,2,3,4,5),0)*'02_의사결정·종합결과'!$B$7+IFERROR(CHOOSE(FIND(H18,"DCBAS"),1,2,3,4,5),0)*'02_의사결정·종합결과'!$B$8,""),"")</f>
        <v/>
      </c>
      <c r="J18" s="114">
        <f>IF('01_인적정보'!B18="","",'05_공통역량평가'!I18)</f>
        <v/>
      </c>
      <c r="K18" s="114">
        <f>IF('01_인적정보'!B18="","",'05_공통역량평가'!I76)</f>
        <v/>
      </c>
      <c r="L18" s="115">
        <f>IFERROR(IF(AND(J18&lt;&gt;"",K18&lt;&gt;""),IFERROR(CHOOSE(FIND(J18,"DCBAS"),1,2,3,4,5),0)*'02_의사결정·종합결과'!$B$7+IFERROR(CHOOSE(FIND(K18,"DCBAS"),1,2,3,4,5),0)*'02_의사결정·종합결과'!$B$8,""),"")</f>
        <v/>
      </c>
      <c r="M18" s="114">
        <f>IF('01_인적정보'!B18="","",'06_직무역량평가'!J18)</f>
        <v/>
      </c>
      <c r="N18" s="114">
        <f>IF('01_인적정보'!B18="","",'06_직무역량평가'!J76)</f>
        <v/>
      </c>
      <c r="O18" s="115">
        <f>IFERROR(IF(AND(M18&lt;&gt;"",N18&lt;&gt;""),IFERROR(CHOOSE(FIND(M18,"DCBAS"),1,2,3,4,5),0)*'02_의사결정·종합결과'!$B$7+IFERROR(CHOOSE(FIND(N18,"DCBAS"),1,2,3,4,5),0)*'02_의사결정·종합결과'!$B$8,""),"")</f>
        <v/>
      </c>
      <c r="P18" s="22">
        <f>IFERROR(VLOOKUP(F18,'02_의사결정·종합결과'!$A$16:$D$22,2,FALSE),"")</f>
        <v/>
      </c>
      <c r="Q18" s="22">
        <f>IFERROR(VLOOKUP(F18,'02_의사결정·종합결과'!$A$16:$D$22,3,FALSE),"")</f>
        <v/>
      </c>
      <c r="R18" s="22">
        <f>IFERROR(VLOOKUP(F18,'02_의사결정·종합결과'!$A$16:$D$22,4,FALSE),"")</f>
        <v/>
      </c>
      <c r="S18" s="121">
        <f>IF(OR(I18="",L18="",O18=""),"",I18*P18+L18*Q18+O18*R18)</f>
        <v/>
      </c>
      <c r="T18" s="116">
        <f>IF(S18="","",IF(S18&gt;=4.5,"S",IF(S18&gt;=3.5,"A",IF(S18&gt;=2.5,"B",IF(S18&gt;=1.5,"C","D")))))</f>
        <v/>
      </c>
      <c r="U18" s="122">
        <f>IF(S18="","",IF('02_의사결정·종합결과'!$B$6="절대평가",T18,IF(S18="","",IF(IFERROR(RANK(S18,$S$6:$S$55,0)/COUNT($S$6:$S$55),0)&lt;='02_의사결정·종합결과'!$B$11,"S",IF(IFERROR(RANK(S18,$S$6:$S$55,0)/COUNT($S$6:$S$55),0)&lt;='02_의사결정·종합결과'!$B$11+'02_의사결정·종합결과'!$C$11,"A",IF(IFERROR(RANK(S18,$S$6:$S$55,0)/COUNT($S$6:$S$55),0)&lt;='02_의사결정·종합결과'!$B$11+'02_의사결정·종합결과'!$C$11+'02_의사결정·종합결과'!$D$11,"B",IF(IFERROR(RANK(S18,$S$6:$S$55,0)/COUNT($S$6:$S$55),0)&lt;='02_의사결정·종합결과'!$B$11+'02_의사결정·종합결과'!$C$11+'02_의사결정·종합결과'!$D$11+'02_의사결정·종합결과'!$E$11,"C","D")))))))</f>
        <v/>
      </c>
      <c r="V18" s="1" t="n"/>
    </row>
    <row r="19" ht="22.05" customHeight="1" s="86">
      <c r="A19" s="75">
        <f>'01_인적정보'!A19</f>
        <v/>
      </c>
      <c r="B19" s="75">
        <f>'01_인적정보'!B19</f>
        <v/>
      </c>
      <c r="C19" s="69">
        <f>'01_인적정보'!C19</f>
        <v/>
      </c>
      <c r="D19" s="69">
        <f>'01_인적정보'!D19</f>
        <v/>
      </c>
      <c r="E19" s="69">
        <f>'01_인적정보'!E19</f>
        <v/>
      </c>
      <c r="F19" s="11">
        <f>'01_인적정보'!H19</f>
        <v/>
      </c>
      <c r="G19" s="114">
        <f>IF('01_인적정보'!B19="","",'04_역할평가'!I19)</f>
        <v/>
      </c>
      <c r="H19" s="114">
        <f>IF('01_인적정보'!B19="","",'04_역할평가'!I77)</f>
        <v/>
      </c>
      <c r="I19" s="115">
        <f>IFERROR(IF(AND(G19&lt;&gt;"",H19&lt;&gt;""),IFERROR(CHOOSE(FIND(G19,"DCBAS"),1,2,3,4,5),0)*'02_의사결정·종합결과'!$B$7+IFERROR(CHOOSE(FIND(H19,"DCBAS"),1,2,3,4,5),0)*'02_의사결정·종합결과'!$B$8,""),"")</f>
        <v/>
      </c>
      <c r="J19" s="114">
        <f>IF('01_인적정보'!B19="","",'05_공통역량평가'!I19)</f>
        <v/>
      </c>
      <c r="K19" s="114">
        <f>IF('01_인적정보'!B19="","",'05_공통역량평가'!I77)</f>
        <v/>
      </c>
      <c r="L19" s="115">
        <f>IFERROR(IF(AND(J19&lt;&gt;"",K19&lt;&gt;""),IFERROR(CHOOSE(FIND(J19,"DCBAS"),1,2,3,4,5),0)*'02_의사결정·종합결과'!$B$7+IFERROR(CHOOSE(FIND(K19,"DCBAS"),1,2,3,4,5),0)*'02_의사결정·종합결과'!$B$8,""),"")</f>
        <v/>
      </c>
      <c r="M19" s="114">
        <f>IF('01_인적정보'!B19="","",'06_직무역량평가'!J19)</f>
        <v/>
      </c>
      <c r="N19" s="114">
        <f>IF('01_인적정보'!B19="","",'06_직무역량평가'!J77)</f>
        <v/>
      </c>
      <c r="O19" s="115">
        <f>IFERROR(IF(AND(M19&lt;&gt;"",N19&lt;&gt;""),IFERROR(CHOOSE(FIND(M19,"DCBAS"),1,2,3,4,5),0)*'02_의사결정·종합결과'!$B$7+IFERROR(CHOOSE(FIND(N19,"DCBAS"),1,2,3,4,5),0)*'02_의사결정·종합결과'!$B$8,""),"")</f>
        <v/>
      </c>
      <c r="P19" s="22">
        <f>IFERROR(VLOOKUP(F19,'02_의사결정·종합결과'!$A$16:$D$22,2,FALSE),"")</f>
        <v/>
      </c>
      <c r="Q19" s="22">
        <f>IFERROR(VLOOKUP(F19,'02_의사결정·종합결과'!$A$16:$D$22,3,FALSE),"")</f>
        <v/>
      </c>
      <c r="R19" s="22">
        <f>IFERROR(VLOOKUP(F19,'02_의사결정·종합결과'!$A$16:$D$22,4,FALSE),"")</f>
        <v/>
      </c>
      <c r="S19" s="121">
        <f>IF(OR(I19="",L19="",O19=""),"",I19*P19+L19*Q19+O19*R19)</f>
        <v/>
      </c>
      <c r="T19" s="116">
        <f>IF(S19="","",IF(S19&gt;=4.5,"S",IF(S19&gt;=3.5,"A",IF(S19&gt;=2.5,"B",IF(S19&gt;=1.5,"C","D")))))</f>
        <v/>
      </c>
      <c r="U19" s="122">
        <f>IF(S19="","",IF('02_의사결정·종합결과'!$B$6="절대평가",T19,IF(S19="","",IF(IFERROR(RANK(S19,$S$6:$S$55,0)/COUNT($S$6:$S$55),0)&lt;='02_의사결정·종합결과'!$B$11,"S",IF(IFERROR(RANK(S19,$S$6:$S$55,0)/COUNT($S$6:$S$55),0)&lt;='02_의사결정·종합결과'!$B$11+'02_의사결정·종합결과'!$C$11,"A",IF(IFERROR(RANK(S19,$S$6:$S$55,0)/COUNT($S$6:$S$55),0)&lt;='02_의사결정·종합결과'!$B$11+'02_의사결정·종합결과'!$C$11+'02_의사결정·종합결과'!$D$11,"B",IF(IFERROR(RANK(S19,$S$6:$S$55,0)/COUNT($S$6:$S$55),0)&lt;='02_의사결정·종합결과'!$B$11+'02_의사결정·종합결과'!$C$11+'02_의사결정·종합결과'!$D$11+'02_의사결정·종합결과'!$E$11,"C","D")))))))</f>
        <v/>
      </c>
      <c r="V19" s="1" t="n"/>
    </row>
    <row r="20" ht="22.05" customHeight="1" s="86">
      <c r="A20" s="75">
        <f>'01_인적정보'!A20</f>
        <v/>
      </c>
      <c r="B20" s="75">
        <f>'01_인적정보'!B20</f>
        <v/>
      </c>
      <c r="C20" s="69">
        <f>'01_인적정보'!C20</f>
        <v/>
      </c>
      <c r="D20" s="69">
        <f>'01_인적정보'!D20</f>
        <v/>
      </c>
      <c r="E20" s="69">
        <f>'01_인적정보'!E20</f>
        <v/>
      </c>
      <c r="F20" s="11">
        <f>'01_인적정보'!H20</f>
        <v/>
      </c>
      <c r="G20" s="114">
        <f>IF('01_인적정보'!B20="","",'04_역할평가'!I20)</f>
        <v/>
      </c>
      <c r="H20" s="114">
        <f>IF('01_인적정보'!B20="","",'04_역할평가'!I78)</f>
        <v/>
      </c>
      <c r="I20" s="115">
        <f>IFERROR(IF(AND(G20&lt;&gt;"",H20&lt;&gt;""),IFERROR(CHOOSE(FIND(G20,"DCBAS"),1,2,3,4,5),0)*'02_의사결정·종합결과'!$B$7+IFERROR(CHOOSE(FIND(H20,"DCBAS"),1,2,3,4,5),0)*'02_의사결정·종합결과'!$B$8,""),"")</f>
        <v/>
      </c>
      <c r="J20" s="114">
        <f>IF('01_인적정보'!B20="","",'05_공통역량평가'!I20)</f>
        <v/>
      </c>
      <c r="K20" s="114">
        <f>IF('01_인적정보'!B20="","",'05_공통역량평가'!I78)</f>
        <v/>
      </c>
      <c r="L20" s="115">
        <f>IFERROR(IF(AND(J20&lt;&gt;"",K20&lt;&gt;""),IFERROR(CHOOSE(FIND(J20,"DCBAS"),1,2,3,4,5),0)*'02_의사결정·종합결과'!$B$7+IFERROR(CHOOSE(FIND(K20,"DCBAS"),1,2,3,4,5),0)*'02_의사결정·종합결과'!$B$8,""),"")</f>
        <v/>
      </c>
      <c r="M20" s="114">
        <f>IF('01_인적정보'!B20="","",'06_직무역량평가'!J20)</f>
        <v/>
      </c>
      <c r="N20" s="114">
        <f>IF('01_인적정보'!B20="","",'06_직무역량평가'!J78)</f>
        <v/>
      </c>
      <c r="O20" s="115">
        <f>IFERROR(IF(AND(M20&lt;&gt;"",N20&lt;&gt;""),IFERROR(CHOOSE(FIND(M20,"DCBAS"),1,2,3,4,5),0)*'02_의사결정·종합결과'!$B$7+IFERROR(CHOOSE(FIND(N20,"DCBAS"),1,2,3,4,5),0)*'02_의사결정·종합결과'!$B$8,""),"")</f>
        <v/>
      </c>
      <c r="P20" s="22">
        <f>IFERROR(VLOOKUP(F20,'02_의사결정·종합결과'!$A$16:$D$22,2,FALSE),"")</f>
        <v/>
      </c>
      <c r="Q20" s="22">
        <f>IFERROR(VLOOKUP(F20,'02_의사결정·종합결과'!$A$16:$D$22,3,FALSE),"")</f>
        <v/>
      </c>
      <c r="R20" s="22">
        <f>IFERROR(VLOOKUP(F20,'02_의사결정·종합결과'!$A$16:$D$22,4,FALSE),"")</f>
        <v/>
      </c>
      <c r="S20" s="121">
        <f>IF(OR(I20="",L20="",O20=""),"",I20*P20+L20*Q20+O20*R20)</f>
        <v/>
      </c>
      <c r="T20" s="116">
        <f>IF(S20="","",IF(S20&gt;=4.5,"S",IF(S20&gt;=3.5,"A",IF(S20&gt;=2.5,"B",IF(S20&gt;=1.5,"C","D")))))</f>
        <v/>
      </c>
      <c r="U20" s="122">
        <f>IF(S20="","",IF('02_의사결정·종합결과'!$B$6="절대평가",T20,IF(S20="","",IF(IFERROR(RANK(S20,$S$6:$S$55,0)/COUNT($S$6:$S$55),0)&lt;='02_의사결정·종합결과'!$B$11,"S",IF(IFERROR(RANK(S20,$S$6:$S$55,0)/COUNT($S$6:$S$55),0)&lt;='02_의사결정·종합결과'!$B$11+'02_의사결정·종합결과'!$C$11,"A",IF(IFERROR(RANK(S20,$S$6:$S$55,0)/COUNT($S$6:$S$55),0)&lt;='02_의사결정·종합결과'!$B$11+'02_의사결정·종합결과'!$C$11+'02_의사결정·종합결과'!$D$11,"B",IF(IFERROR(RANK(S20,$S$6:$S$55,0)/COUNT($S$6:$S$55),0)&lt;='02_의사결정·종합결과'!$B$11+'02_의사결정·종합결과'!$C$11+'02_의사결정·종합결과'!$D$11+'02_의사결정·종합결과'!$E$11,"C","D")))))))</f>
        <v/>
      </c>
      <c r="V20" s="1" t="n"/>
    </row>
    <row r="21" ht="22.05" customHeight="1" s="86">
      <c r="A21" s="75">
        <f>'01_인적정보'!A21</f>
        <v/>
      </c>
      <c r="B21" s="75">
        <f>'01_인적정보'!B21</f>
        <v/>
      </c>
      <c r="C21" s="69">
        <f>'01_인적정보'!C21</f>
        <v/>
      </c>
      <c r="D21" s="69">
        <f>'01_인적정보'!D21</f>
        <v/>
      </c>
      <c r="E21" s="69">
        <f>'01_인적정보'!E21</f>
        <v/>
      </c>
      <c r="F21" s="11">
        <f>'01_인적정보'!H21</f>
        <v/>
      </c>
      <c r="G21" s="114">
        <f>IF('01_인적정보'!B21="","",'04_역할평가'!I21)</f>
        <v/>
      </c>
      <c r="H21" s="114">
        <f>IF('01_인적정보'!B21="","",'04_역할평가'!I79)</f>
        <v/>
      </c>
      <c r="I21" s="115">
        <f>IFERROR(IF(AND(G21&lt;&gt;"",H21&lt;&gt;""),IFERROR(CHOOSE(FIND(G21,"DCBAS"),1,2,3,4,5),0)*'02_의사결정·종합결과'!$B$7+IFERROR(CHOOSE(FIND(H21,"DCBAS"),1,2,3,4,5),0)*'02_의사결정·종합결과'!$B$8,""),"")</f>
        <v/>
      </c>
      <c r="J21" s="114">
        <f>IF('01_인적정보'!B21="","",'05_공통역량평가'!I21)</f>
        <v/>
      </c>
      <c r="K21" s="114">
        <f>IF('01_인적정보'!B21="","",'05_공통역량평가'!I79)</f>
        <v/>
      </c>
      <c r="L21" s="115">
        <f>IFERROR(IF(AND(J21&lt;&gt;"",K21&lt;&gt;""),IFERROR(CHOOSE(FIND(J21,"DCBAS"),1,2,3,4,5),0)*'02_의사결정·종합결과'!$B$7+IFERROR(CHOOSE(FIND(K21,"DCBAS"),1,2,3,4,5),0)*'02_의사결정·종합결과'!$B$8,""),"")</f>
        <v/>
      </c>
      <c r="M21" s="114">
        <f>IF('01_인적정보'!B21="","",'06_직무역량평가'!J21)</f>
        <v/>
      </c>
      <c r="N21" s="114">
        <f>IF('01_인적정보'!B21="","",'06_직무역량평가'!J79)</f>
        <v/>
      </c>
      <c r="O21" s="115">
        <f>IFERROR(IF(AND(M21&lt;&gt;"",N21&lt;&gt;""),IFERROR(CHOOSE(FIND(M21,"DCBAS"),1,2,3,4,5),0)*'02_의사결정·종합결과'!$B$7+IFERROR(CHOOSE(FIND(N21,"DCBAS"),1,2,3,4,5),0)*'02_의사결정·종합결과'!$B$8,""),"")</f>
        <v/>
      </c>
      <c r="P21" s="22">
        <f>IFERROR(VLOOKUP(F21,'02_의사결정·종합결과'!$A$16:$D$22,2,FALSE),"")</f>
        <v/>
      </c>
      <c r="Q21" s="22">
        <f>IFERROR(VLOOKUP(F21,'02_의사결정·종합결과'!$A$16:$D$22,3,FALSE),"")</f>
        <v/>
      </c>
      <c r="R21" s="22">
        <f>IFERROR(VLOOKUP(F21,'02_의사결정·종합결과'!$A$16:$D$22,4,FALSE),"")</f>
        <v/>
      </c>
      <c r="S21" s="121">
        <f>IF(OR(I21="",L21="",O21=""),"",I21*P21+L21*Q21+O21*R21)</f>
        <v/>
      </c>
      <c r="T21" s="116">
        <f>IF(S21="","",IF(S21&gt;=4.5,"S",IF(S21&gt;=3.5,"A",IF(S21&gt;=2.5,"B",IF(S21&gt;=1.5,"C","D")))))</f>
        <v/>
      </c>
      <c r="U21" s="122">
        <f>IF(S21="","",IF('02_의사결정·종합결과'!$B$6="절대평가",T21,IF(S21="","",IF(IFERROR(RANK(S21,$S$6:$S$55,0)/COUNT($S$6:$S$55),0)&lt;='02_의사결정·종합결과'!$B$11,"S",IF(IFERROR(RANK(S21,$S$6:$S$55,0)/COUNT($S$6:$S$55),0)&lt;='02_의사결정·종합결과'!$B$11+'02_의사결정·종합결과'!$C$11,"A",IF(IFERROR(RANK(S21,$S$6:$S$55,0)/COUNT($S$6:$S$55),0)&lt;='02_의사결정·종합결과'!$B$11+'02_의사결정·종합결과'!$C$11+'02_의사결정·종합결과'!$D$11,"B",IF(IFERROR(RANK(S21,$S$6:$S$55,0)/COUNT($S$6:$S$55),0)&lt;='02_의사결정·종합결과'!$B$11+'02_의사결정·종합결과'!$C$11+'02_의사결정·종합결과'!$D$11+'02_의사결정·종합결과'!$E$11,"C","D")))))))</f>
        <v/>
      </c>
      <c r="V21" s="1" t="n"/>
    </row>
    <row r="22" ht="22.05" customHeight="1" s="86">
      <c r="A22" s="75">
        <f>'01_인적정보'!A22</f>
        <v/>
      </c>
      <c r="B22" s="75">
        <f>'01_인적정보'!B22</f>
        <v/>
      </c>
      <c r="C22" s="69">
        <f>'01_인적정보'!C22</f>
        <v/>
      </c>
      <c r="D22" s="69">
        <f>'01_인적정보'!D22</f>
        <v/>
      </c>
      <c r="E22" s="69">
        <f>'01_인적정보'!E22</f>
        <v/>
      </c>
      <c r="F22" s="11">
        <f>'01_인적정보'!H22</f>
        <v/>
      </c>
      <c r="G22" s="114">
        <f>IF('01_인적정보'!B22="","",'04_역할평가'!I22)</f>
        <v/>
      </c>
      <c r="H22" s="114">
        <f>IF('01_인적정보'!B22="","",'04_역할평가'!I80)</f>
        <v/>
      </c>
      <c r="I22" s="115">
        <f>IFERROR(IF(AND(G22&lt;&gt;"",H22&lt;&gt;""),IFERROR(CHOOSE(FIND(G22,"DCBAS"),1,2,3,4,5),0)*'02_의사결정·종합결과'!$B$7+IFERROR(CHOOSE(FIND(H22,"DCBAS"),1,2,3,4,5),0)*'02_의사결정·종합결과'!$B$8,""),"")</f>
        <v/>
      </c>
      <c r="J22" s="114">
        <f>IF('01_인적정보'!B22="","",'05_공통역량평가'!I22)</f>
        <v/>
      </c>
      <c r="K22" s="114">
        <f>IF('01_인적정보'!B22="","",'05_공통역량평가'!I80)</f>
        <v/>
      </c>
      <c r="L22" s="115">
        <f>IFERROR(IF(AND(J22&lt;&gt;"",K22&lt;&gt;""),IFERROR(CHOOSE(FIND(J22,"DCBAS"),1,2,3,4,5),0)*'02_의사결정·종합결과'!$B$7+IFERROR(CHOOSE(FIND(K22,"DCBAS"),1,2,3,4,5),0)*'02_의사결정·종합결과'!$B$8,""),"")</f>
        <v/>
      </c>
      <c r="M22" s="114">
        <f>IF('01_인적정보'!B22="","",'06_직무역량평가'!J22)</f>
        <v/>
      </c>
      <c r="N22" s="114">
        <f>IF('01_인적정보'!B22="","",'06_직무역량평가'!J80)</f>
        <v/>
      </c>
      <c r="O22" s="115">
        <f>IFERROR(IF(AND(M22&lt;&gt;"",N22&lt;&gt;""),IFERROR(CHOOSE(FIND(M22,"DCBAS"),1,2,3,4,5),0)*'02_의사결정·종합결과'!$B$7+IFERROR(CHOOSE(FIND(N22,"DCBAS"),1,2,3,4,5),0)*'02_의사결정·종합결과'!$B$8,""),"")</f>
        <v/>
      </c>
      <c r="P22" s="22">
        <f>IFERROR(VLOOKUP(F22,'02_의사결정·종합결과'!$A$16:$D$22,2,FALSE),"")</f>
        <v/>
      </c>
      <c r="Q22" s="22">
        <f>IFERROR(VLOOKUP(F22,'02_의사결정·종합결과'!$A$16:$D$22,3,FALSE),"")</f>
        <v/>
      </c>
      <c r="R22" s="22">
        <f>IFERROR(VLOOKUP(F22,'02_의사결정·종합결과'!$A$16:$D$22,4,FALSE),"")</f>
        <v/>
      </c>
      <c r="S22" s="121">
        <f>IF(OR(I22="",L22="",O22=""),"",I22*P22+L22*Q22+O22*R22)</f>
        <v/>
      </c>
      <c r="T22" s="116">
        <f>IF(S22="","",IF(S22&gt;=4.5,"S",IF(S22&gt;=3.5,"A",IF(S22&gt;=2.5,"B",IF(S22&gt;=1.5,"C","D")))))</f>
        <v/>
      </c>
      <c r="U22" s="122">
        <f>IF(S22="","",IF('02_의사결정·종합결과'!$B$6="절대평가",T22,IF(S22="","",IF(IFERROR(RANK(S22,$S$6:$S$55,0)/COUNT($S$6:$S$55),0)&lt;='02_의사결정·종합결과'!$B$11,"S",IF(IFERROR(RANK(S22,$S$6:$S$55,0)/COUNT($S$6:$S$55),0)&lt;='02_의사결정·종합결과'!$B$11+'02_의사결정·종합결과'!$C$11,"A",IF(IFERROR(RANK(S22,$S$6:$S$55,0)/COUNT($S$6:$S$55),0)&lt;='02_의사결정·종합결과'!$B$11+'02_의사결정·종합결과'!$C$11+'02_의사결정·종합결과'!$D$11,"B",IF(IFERROR(RANK(S22,$S$6:$S$55,0)/COUNT($S$6:$S$55),0)&lt;='02_의사결정·종합결과'!$B$11+'02_의사결정·종합결과'!$C$11+'02_의사결정·종합결과'!$D$11+'02_의사결정·종합결과'!$E$11,"C","D")))))))</f>
        <v/>
      </c>
      <c r="V22" s="1" t="n"/>
    </row>
    <row r="23" ht="22.05" customHeight="1" s="86">
      <c r="A23" s="75">
        <f>'01_인적정보'!A23</f>
        <v/>
      </c>
      <c r="B23" s="75">
        <f>'01_인적정보'!B23</f>
        <v/>
      </c>
      <c r="C23" s="69">
        <f>'01_인적정보'!C23</f>
        <v/>
      </c>
      <c r="D23" s="69">
        <f>'01_인적정보'!D23</f>
        <v/>
      </c>
      <c r="E23" s="69">
        <f>'01_인적정보'!E23</f>
        <v/>
      </c>
      <c r="F23" s="11">
        <f>'01_인적정보'!H23</f>
        <v/>
      </c>
      <c r="G23" s="114">
        <f>IF('01_인적정보'!B23="","",'04_역할평가'!I23)</f>
        <v/>
      </c>
      <c r="H23" s="114">
        <f>IF('01_인적정보'!B23="","",'04_역할평가'!I81)</f>
        <v/>
      </c>
      <c r="I23" s="115">
        <f>IFERROR(IF(AND(G23&lt;&gt;"",H23&lt;&gt;""),IFERROR(CHOOSE(FIND(G23,"DCBAS"),1,2,3,4,5),0)*'02_의사결정·종합결과'!$B$7+IFERROR(CHOOSE(FIND(H23,"DCBAS"),1,2,3,4,5),0)*'02_의사결정·종합결과'!$B$8,""),"")</f>
        <v/>
      </c>
      <c r="J23" s="114">
        <f>IF('01_인적정보'!B23="","",'05_공통역량평가'!I23)</f>
        <v/>
      </c>
      <c r="K23" s="114">
        <f>IF('01_인적정보'!B23="","",'05_공통역량평가'!I81)</f>
        <v/>
      </c>
      <c r="L23" s="115">
        <f>IFERROR(IF(AND(J23&lt;&gt;"",K23&lt;&gt;""),IFERROR(CHOOSE(FIND(J23,"DCBAS"),1,2,3,4,5),0)*'02_의사결정·종합결과'!$B$7+IFERROR(CHOOSE(FIND(K23,"DCBAS"),1,2,3,4,5),0)*'02_의사결정·종합결과'!$B$8,""),"")</f>
        <v/>
      </c>
      <c r="M23" s="114">
        <f>IF('01_인적정보'!B23="","",'06_직무역량평가'!J23)</f>
        <v/>
      </c>
      <c r="N23" s="114">
        <f>IF('01_인적정보'!B23="","",'06_직무역량평가'!J81)</f>
        <v/>
      </c>
      <c r="O23" s="115">
        <f>IFERROR(IF(AND(M23&lt;&gt;"",N23&lt;&gt;""),IFERROR(CHOOSE(FIND(M23,"DCBAS"),1,2,3,4,5),0)*'02_의사결정·종합결과'!$B$7+IFERROR(CHOOSE(FIND(N23,"DCBAS"),1,2,3,4,5),0)*'02_의사결정·종합결과'!$B$8,""),"")</f>
        <v/>
      </c>
      <c r="P23" s="22">
        <f>IFERROR(VLOOKUP(F23,'02_의사결정·종합결과'!$A$16:$D$22,2,FALSE),"")</f>
        <v/>
      </c>
      <c r="Q23" s="22">
        <f>IFERROR(VLOOKUP(F23,'02_의사결정·종합결과'!$A$16:$D$22,3,FALSE),"")</f>
        <v/>
      </c>
      <c r="R23" s="22">
        <f>IFERROR(VLOOKUP(F23,'02_의사결정·종합결과'!$A$16:$D$22,4,FALSE),"")</f>
        <v/>
      </c>
      <c r="S23" s="121">
        <f>IF(OR(I23="",L23="",O23=""),"",I23*P23+L23*Q23+O23*R23)</f>
        <v/>
      </c>
      <c r="T23" s="116">
        <f>IF(S23="","",IF(S23&gt;=4.5,"S",IF(S23&gt;=3.5,"A",IF(S23&gt;=2.5,"B",IF(S23&gt;=1.5,"C","D")))))</f>
        <v/>
      </c>
      <c r="U23" s="122">
        <f>IF(S23="","",IF('02_의사결정·종합결과'!$B$6="절대평가",T23,IF(S23="","",IF(IFERROR(RANK(S23,$S$6:$S$55,0)/COUNT($S$6:$S$55),0)&lt;='02_의사결정·종합결과'!$B$11,"S",IF(IFERROR(RANK(S23,$S$6:$S$55,0)/COUNT($S$6:$S$55),0)&lt;='02_의사결정·종합결과'!$B$11+'02_의사결정·종합결과'!$C$11,"A",IF(IFERROR(RANK(S23,$S$6:$S$55,0)/COUNT($S$6:$S$55),0)&lt;='02_의사결정·종합결과'!$B$11+'02_의사결정·종합결과'!$C$11+'02_의사결정·종합결과'!$D$11,"B",IF(IFERROR(RANK(S23,$S$6:$S$55,0)/COUNT($S$6:$S$55),0)&lt;='02_의사결정·종합결과'!$B$11+'02_의사결정·종합결과'!$C$11+'02_의사결정·종합결과'!$D$11+'02_의사결정·종합결과'!$E$11,"C","D")))))))</f>
        <v/>
      </c>
      <c r="V23" s="1" t="n"/>
    </row>
    <row r="24" ht="22.05" customHeight="1" s="86">
      <c r="A24" s="75">
        <f>'01_인적정보'!A24</f>
        <v/>
      </c>
      <c r="B24" s="75">
        <f>'01_인적정보'!B24</f>
        <v/>
      </c>
      <c r="C24" s="69">
        <f>'01_인적정보'!C24</f>
        <v/>
      </c>
      <c r="D24" s="69">
        <f>'01_인적정보'!D24</f>
        <v/>
      </c>
      <c r="E24" s="69">
        <f>'01_인적정보'!E24</f>
        <v/>
      </c>
      <c r="F24" s="11">
        <f>'01_인적정보'!H24</f>
        <v/>
      </c>
      <c r="G24" s="114">
        <f>IF('01_인적정보'!B24="","",'04_역할평가'!I24)</f>
        <v/>
      </c>
      <c r="H24" s="114">
        <f>IF('01_인적정보'!B24="","",'04_역할평가'!I82)</f>
        <v/>
      </c>
      <c r="I24" s="115">
        <f>IFERROR(IF(AND(G24&lt;&gt;"",H24&lt;&gt;""),IFERROR(CHOOSE(FIND(G24,"DCBAS"),1,2,3,4,5),0)*'02_의사결정·종합결과'!$B$7+IFERROR(CHOOSE(FIND(H24,"DCBAS"),1,2,3,4,5),0)*'02_의사결정·종합결과'!$B$8,""),"")</f>
        <v/>
      </c>
      <c r="J24" s="114">
        <f>IF('01_인적정보'!B24="","",'05_공통역량평가'!I24)</f>
        <v/>
      </c>
      <c r="K24" s="114">
        <f>IF('01_인적정보'!B24="","",'05_공통역량평가'!I82)</f>
        <v/>
      </c>
      <c r="L24" s="115">
        <f>IFERROR(IF(AND(J24&lt;&gt;"",K24&lt;&gt;""),IFERROR(CHOOSE(FIND(J24,"DCBAS"),1,2,3,4,5),0)*'02_의사결정·종합결과'!$B$7+IFERROR(CHOOSE(FIND(K24,"DCBAS"),1,2,3,4,5),0)*'02_의사결정·종합결과'!$B$8,""),"")</f>
        <v/>
      </c>
      <c r="M24" s="114">
        <f>IF('01_인적정보'!B24="","",'06_직무역량평가'!J24)</f>
        <v/>
      </c>
      <c r="N24" s="114">
        <f>IF('01_인적정보'!B24="","",'06_직무역량평가'!J82)</f>
        <v/>
      </c>
      <c r="O24" s="115">
        <f>IFERROR(IF(AND(M24&lt;&gt;"",N24&lt;&gt;""),IFERROR(CHOOSE(FIND(M24,"DCBAS"),1,2,3,4,5),0)*'02_의사결정·종합결과'!$B$7+IFERROR(CHOOSE(FIND(N24,"DCBAS"),1,2,3,4,5),0)*'02_의사결정·종합결과'!$B$8,""),"")</f>
        <v/>
      </c>
      <c r="P24" s="22">
        <f>IFERROR(VLOOKUP(F24,'02_의사결정·종합결과'!$A$16:$D$22,2,FALSE),"")</f>
        <v/>
      </c>
      <c r="Q24" s="22">
        <f>IFERROR(VLOOKUP(F24,'02_의사결정·종합결과'!$A$16:$D$22,3,FALSE),"")</f>
        <v/>
      </c>
      <c r="R24" s="22">
        <f>IFERROR(VLOOKUP(F24,'02_의사결정·종합결과'!$A$16:$D$22,4,FALSE),"")</f>
        <v/>
      </c>
      <c r="S24" s="121">
        <f>IF(OR(I24="",L24="",O24=""),"",I24*P24+L24*Q24+O24*R24)</f>
        <v/>
      </c>
      <c r="T24" s="116">
        <f>IF(S24="","",IF(S24&gt;=4.5,"S",IF(S24&gt;=3.5,"A",IF(S24&gt;=2.5,"B",IF(S24&gt;=1.5,"C","D")))))</f>
        <v/>
      </c>
      <c r="U24" s="122">
        <f>IF(S24="","",IF('02_의사결정·종합결과'!$B$6="절대평가",T24,IF(S24="","",IF(IFERROR(RANK(S24,$S$6:$S$55,0)/COUNT($S$6:$S$55),0)&lt;='02_의사결정·종합결과'!$B$11,"S",IF(IFERROR(RANK(S24,$S$6:$S$55,0)/COUNT($S$6:$S$55),0)&lt;='02_의사결정·종합결과'!$B$11+'02_의사결정·종합결과'!$C$11,"A",IF(IFERROR(RANK(S24,$S$6:$S$55,0)/COUNT($S$6:$S$55),0)&lt;='02_의사결정·종합결과'!$B$11+'02_의사결정·종합결과'!$C$11+'02_의사결정·종합결과'!$D$11,"B",IF(IFERROR(RANK(S24,$S$6:$S$55,0)/COUNT($S$6:$S$55),0)&lt;='02_의사결정·종합결과'!$B$11+'02_의사결정·종합결과'!$C$11+'02_의사결정·종합결과'!$D$11+'02_의사결정·종합결과'!$E$11,"C","D")))))))</f>
        <v/>
      </c>
      <c r="V24" s="1" t="n"/>
    </row>
    <row r="25" ht="22.05" customHeight="1" s="86">
      <c r="A25" s="75">
        <f>'01_인적정보'!A25</f>
        <v/>
      </c>
      <c r="B25" s="75">
        <f>'01_인적정보'!B25</f>
        <v/>
      </c>
      <c r="C25" s="69">
        <f>'01_인적정보'!C25</f>
        <v/>
      </c>
      <c r="D25" s="69">
        <f>'01_인적정보'!D25</f>
        <v/>
      </c>
      <c r="E25" s="69">
        <f>'01_인적정보'!E25</f>
        <v/>
      </c>
      <c r="F25" s="11">
        <f>'01_인적정보'!H25</f>
        <v/>
      </c>
      <c r="G25" s="114">
        <f>IF('01_인적정보'!B25="","",'04_역할평가'!I25)</f>
        <v/>
      </c>
      <c r="H25" s="114">
        <f>IF('01_인적정보'!B25="","",'04_역할평가'!I83)</f>
        <v/>
      </c>
      <c r="I25" s="115">
        <f>IFERROR(IF(AND(G25&lt;&gt;"",H25&lt;&gt;""),IFERROR(CHOOSE(FIND(G25,"DCBAS"),1,2,3,4,5),0)*'02_의사결정·종합결과'!$B$7+IFERROR(CHOOSE(FIND(H25,"DCBAS"),1,2,3,4,5),0)*'02_의사결정·종합결과'!$B$8,""),"")</f>
        <v/>
      </c>
      <c r="J25" s="114">
        <f>IF('01_인적정보'!B25="","",'05_공통역량평가'!I25)</f>
        <v/>
      </c>
      <c r="K25" s="114">
        <f>IF('01_인적정보'!B25="","",'05_공통역량평가'!I83)</f>
        <v/>
      </c>
      <c r="L25" s="115">
        <f>IFERROR(IF(AND(J25&lt;&gt;"",K25&lt;&gt;""),IFERROR(CHOOSE(FIND(J25,"DCBAS"),1,2,3,4,5),0)*'02_의사결정·종합결과'!$B$7+IFERROR(CHOOSE(FIND(K25,"DCBAS"),1,2,3,4,5),0)*'02_의사결정·종합결과'!$B$8,""),"")</f>
        <v/>
      </c>
      <c r="M25" s="114">
        <f>IF('01_인적정보'!B25="","",'06_직무역량평가'!J25)</f>
        <v/>
      </c>
      <c r="N25" s="114">
        <f>IF('01_인적정보'!B25="","",'06_직무역량평가'!J83)</f>
        <v/>
      </c>
      <c r="O25" s="115">
        <f>IFERROR(IF(AND(M25&lt;&gt;"",N25&lt;&gt;""),IFERROR(CHOOSE(FIND(M25,"DCBAS"),1,2,3,4,5),0)*'02_의사결정·종합결과'!$B$7+IFERROR(CHOOSE(FIND(N25,"DCBAS"),1,2,3,4,5),0)*'02_의사결정·종합결과'!$B$8,""),"")</f>
        <v/>
      </c>
      <c r="P25" s="22">
        <f>IFERROR(VLOOKUP(F25,'02_의사결정·종합결과'!$A$16:$D$22,2,FALSE),"")</f>
        <v/>
      </c>
      <c r="Q25" s="22">
        <f>IFERROR(VLOOKUP(F25,'02_의사결정·종합결과'!$A$16:$D$22,3,FALSE),"")</f>
        <v/>
      </c>
      <c r="R25" s="22">
        <f>IFERROR(VLOOKUP(F25,'02_의사결정·종합결과'!$A$16:$D$22,4,FALSE),"")</f>
        <v/>
      </c>
      <c r="S25" s="121">
        <f>IF(OR(I25="",L25="",O25=""),"",I25*P25+L25*Q25+O25*R25)</f>
        <v/>
      </c>
      <c r="T25" s="116">
        <f>IF(S25="","",IF(S25&gt;=4.5,"S",IF(S25&gt;=3.5,"A",IF(S25&gt;=2.5,"B",IF(S25&gt;=1.5,"C","D")))))</f>
        <v/>
      </c>
      <c r="U25" s="122">
        <f>IF(S25="","",IF('02_의사결정·종합결과'!$B$6="절대평가",T25,IF(S25="","",IF(IFERROR(RANK(S25,$S$6:$S$55,0)/COUNT($S$6:$S$55),0)&lt;='02_의사결정·종합결과'!$B$11,"S",IF(IFERROR(RANK(S25,$S$6:$S$55,0)/COUNT($S$6:$S$55),0)&lt;='02_의사결정·종합결과'!$B$11+'02_의사결정·종합결과'!$C$11,"A",IF(IFERROR(RANK(S25,$S$6:$S$55,0)/COUNT($S$6:$S$55),0)&lt;='02_의사결정·종합결과'!$B$11+'02_의사결정·종합결과'!$C$11+'02_의사결정·종합결과'!$D$11,"B",IF(IFERROR(RANK(S25,$S$6:$S$55,0)/COUNT($S$6:$S$55),0)&lt;='02_의사결정·종합결과'!$B$11+'02_의사결정·종합결과'!$C$11+'02_의사결정·종합결과'!$D$11+'02_의사결정·종합결과'!$E$11,"C","D")))))))</f>
        <v/>
      </c>
      <c r="V25" s="1" t="n"/>
    </row>
    <row r="26" ht="22.05" customHeight="1" s="86">
      <c r="A26" s="75">
        <f>'01_인적정보'!A26</f>
        <v/>
      </c>
      <c r="B26" s="75">
        <f>'01_인적정보'!B26</f>
        <v/>
      </c>
      <c r="C26" s="69">
        <f>'01_인적정보'!C26</f>
        <v/>
      </c>
      <c r="D26" s="69">
        <f>'01_인적정보'!D26</f>
        <v/>
      </c>
      <c r="E26" s="69">
        <f>'01_인적정보'!E26</f>
        <v/>
      </c>
      <c r="F26" s="11">
        <f>'01_인적정보'!H26</f>
        <v/>
      </c>
      <c r="G26" s="114">
        <f>IF('01_인적정보'!B26="","",'04_역할평가'!I26)</f>
        <v/>
      </c>
      <c r="H26" s="114">
        <f>IF('01_인적정보'!B26="","",'04_역할평가'!I84)</f>
        <v/>
      </c>
      <c r="I26" s="115">
        <f>IFERROR(IF(AND(G26&lt;&gt;"",H26&lt;&gt;""),IFERROR(CHOOSE(FIND(G26,"DCBAS"),1,2,3,4,5),0)*'02_의사결정·종합결과'!$B$7+IFERROR(CHOOSE(FIND(H26,"DCBAS"),1,2,3,4,5),0)*'02_의사결정·종합결과'!$B$8,""),"")</f>
        <v/>
      </c>
      <c r="J26" s="114">
        <f>IF('01_인적정보'!B26="","",'05_공통역량평가'!I26)</f>
        <v/>
      </c>
      <c r="K26" s="114">
        <f>IF('01_인적정보'!B26="","",'05_공통역량평가'!I84)</f>
        <v/>
      </c>
      <c r="L26" s="115">
        <f>IFERROR(IF(AND(J26&lt;&gt;"",K26&lt;&gt;""),IFERROR(CHOOSE(FIND(J26,"DCBAS"),1,2,3,4,5),0)*'02_의사결정·종합결과'!$B$7+IFERROR(CHOOSE(FIND(K26,"DCBAS"),1,2,3,4,5),0)*'02_의사결정·종합결과'!$B$8,""),"")</f>
        <v/>
      </c>
      <c r="M26" s="114">
        <f>IF('01_인적정보'!B26="","",'06_직무역량평가'!J26)</f>
        <v/>
      </c>
      <c r="N26" s="114">
        <f>IF('01_인적정보'!B26="","",'06_직무역량평가'!J84)</f>
        <v/>
      </c>
      <c r="O26" s="115">
        <f>IFERROR(IF(AND(M26&lt;&gt;"",N26&lt;&gt;""),IFERROR(CHOOSE(FIND(M26,"DCBAS"),1,2,3,4,5),0)*'02_의사결정·종합결과'!$B$7+IFERROR(CHOOSE(FIND(N26,"DCBAS"),1,2,3,4,5),0)*'02_의사결정·종합결과'!$B$8,""),"")</f>
        <v/>
      </c>
      <c r="P26" s="22">
        <f>IFERROR(VLOOKUP(F26,'02_의사결정·종합결과'!$A$16:$D$22,2,FALSE),"")</f>
        <v/>
      </c>
      <c r="Q26" s="22">
        <f>IFERROR(VLOOKUP(F26,'02_의사결정·종합결과'!$A$16:$D$22,3,FALSE),"")</f>
        <v/>
      </c>
      <c r="R26" s="22">
        <f>IFERROR(VLOOKUP(F26,'02_의사결정·종합결과'!$A$16:$D$22,4,FALSE),"")</f>
        <v/>
      </c>
      <c r="S26" s="121">
        <f>IF(OR(I26="",L26="",O26=""),"",I26*P26+L26*Q26+O26*R26)</f>
        <v/>
      </c>
      <c r="T26" s="116">
        <f>IF(S26="","",IF(S26&gt;=4.5,"S",IF(S26&gt;=3.5,"A",IF(S26&gt;=2.5,"B",IF(S26&gt;=1.5,"C","D")))))</f>
        <v/>
      </c>
      <c r="U26" s="122">
        <f>IF(S26="","",IF('02_의사결정·종합결과'!$B$6="절대평가",T26,IF(S26="","",IF(IFERROR(RANK(S26,$S$6:$S$55,0)/COUNT($S$6:$S$55),0)&lt;='02_의사결정·종합결과'!$B$11,"S",IF(IFERROR(RANK(S26,$S$6:$S$55,0)/COUNT($S$6:$S$55),0)&lt;='02_의사결정·종합결과'!$B$11+'02_의사결정·종합결과'!$C$11,"A",IF(IFERROR(RANK(S26,$S$6:$S$55,0)/COUNT($S$6:$S$55),0)&lt;='02_의사결정·종합결과'!$B$11+'02_의사결정·종합결과'!$C$11+'02_의사결정·종합결과'!$D$11,"B",IF(IFERROR(RANK(S26,$S$6:$S$55,0)/COUNT($S$6:$S$55),0)&lt;='02_의사결정·종합결과'!$B$11+'02_의사결정·종합결과'!$C$11+'02_의사결정·종합결과'!$D$11+'02_의사결정·종합결과'!$E$11,"C","D")))))))</f>
        <v/>
      </c>
      <c r="V26" s="1" t="n"/>
    </row>
    <row r="27" ht="22.05" customHeight="1" s="86">
      <c r="A27" s="75">
        <f>'01_인적정보'!A27</f>
        <v/>
      </c>
      <c r="B27" s="75">
        <f>'01_인적정보'!B27</f>
        <v/>
      </c>
      <c r="C27" s="69">
        <f>'01_인적정보'!C27</f>
        <v/>
      </c>
      <c r="D27" s="69">
        <f>'01_인적정보'!D27</f>
        <v/>
      </c>
      <c r="E27" s="69">
        <f>'01_인적정보'!E27</f>
        <v/>
      </c>
      <c r="F27" s="11">
        <f>'01_인적정보'!H27</f>
        <v/>
      </c>
      <c r="G27" s="114">
        <f>IF('01_인적정보'!B27="","",'04_역할평가'!I27)</f>
        <v/>
      </c>
      <c r="H27" s="114">
        <f>IF('01_인적정보'!B27="","",'04_역할평가'!I85)</f>
        <v/>
      </c>
      <c r="I27" s="115">
        <f>IFERROR(IF(AND(G27&lt;&gt;"",H27&lt;&gt;""),IFERROR(CHOOSE(FIND(G27,"DCBAS"),1,2,3,4,5),0)*'02_의사결정·종합결과'!$B$7+IFERROR(CHOOSE(FIND(H27,"DCBAS"),1,2,3,4,5),0)*'02_의사결정·종합결과'!$B$8,""),"")</f>
        <v/>
      </c>
      <c r="J27" s="114">
        <f>IF('01_인적정보'!B27="","",'05_공통역량평가'!I27)</f>
        <v/>
      </c>
      <c r="K27" s="114">
        <f>IF('01_인적정보'!B27="","",'05_공통역량평가'!I85)</f>
        <v/>
      </c>
      <c r="L27" s="115">
        <f>IFERROR(IF(AND(J27&lt;&gt;"",K27&lt;&gt;""),IFERROR(CHOOSE(FIND(J27,"DCBAS"),1,2,3,4,5),0)*'02_의사결정·종합결과'!$B$7+IFERROR(CHOOSE(FIND(K27,"DCBAS"),1,2,3,4,5),0)*'02_의사결정·종합결과'!$B$8,""),"")</f>
        <v/>
      </c>
      <c r="M27" s="114">
        <f>IF('01_인적정보'!B27="","",'06_직무역량평가'!J27)</f>
        <v/>
      </c>
      <c r="N27" s="114">
        <f>IF('01_인적정보'!B27="","",'06_직무역량평가'!J85)</f>
        <v/>
      </c>
      <c r="O27" s="115">
        <f>IFERROR(IF(AND(M27&lt;&gt;"",N27&lt;&gt;""),IFERROR(CHOOSE(FIND(M27,"DCBAS"),1,2,3,4,5),0)*'02_의사결정·종합결과'!$B$7+IFERROR(CHOOSE(FIND(N27,"DCBAS"),1,2,3,4,5),0)*'02_의사결정·종합결과'!$B$8,""),"")</f>
        <v/>
      </c>
      <c r="P27" s="22">
        <f>IFERROR(VLOOKUP(F27,'02_의사결정·종합결과'!$A$16:$D$22,2,FALSE),"")</f>
        <v/>
      </c>
      <c r="Q27" s="22">
        <f>IFERROR(VLOOKUP(F27,'02_의사결정·종합결과'!$A$16:$D$22,3,FALSE),"")</f>
        <v/>
      </c>
      <c r="R27" s="22">
        <f>IFERROR(VLOOKUP(F27,'02_의사결정·종합결과'!$A$16:$D$22,4,FALSE),"")</f>
        <v/>
      </c>
      <c r="S27" s="121">
        <f>IF(OR(I27="",L27="",O27=""),"",I27*P27+L27*Q27+O27*R27)</f>
        <v/>
      </c>
      <c r="T27" s="116">
        <f>IF(S27="","",IF(S27&gt;=4.5,"S",IF(S27&gt;=3.5,"A",IF(S27&gt;=2.5,"B",IF(S27&gt;=1.5,"C","D")))))</f>
        <v/>
      </c>
      <c r="U27" s="122">
        <f>IF(S27="","",IF('02_의사결정·종합결과'!$B$6="절대평가",T27,IF(S27="","",IF(IFERROR(RANK(S27,$S$6:$S$55,0)/COUNT($S$6:$S$55),0)&lt;='02_의사결정·종합결과'!$B$11,"S",IF(IFERROR(RANK(S27,$S$6:$S$55,0)/COUNT($S$6:$S$55),0)&lt;='02_의사결정·종합결과'!$B$11+'02_의사결정·종합결과'!$C$11,"A",IF(IFERROR(RANK(S27,$S$6:$S$55,0)/COUNT($S$6:$S$55),0)&lt;='02_의사결정·종합결과'!$B$11+'02_의사결정·종합결과'!$C$11+'02_의사결정·종합결과'!$D$11,"B",IF(IFERROR(RANK(S27,$S$6:$S$55,0)/COUNT($S$6:$S$55),0)&lt;='02_의사결정·종합결과'!$B$11+'02_의사결정·종합결과'!$C$11+'02_의사결정·종합결과'!$D$11+'02_의사결정·종합결과'!$E$11,"C","D")))))))</f>
        <v/>
      </c>
      <c r="V27" s="1" t="n"/>
    </row>
    <row r="28" ht="22.05" customHeight="1" s="86">
      <c r="A28" s="75">
        <f>'01_인적정보'!A28</f>
        <v/>
      </c>
      <c r="B28" s="75">
        <f>'01_인적정보'!B28</f>
        <v/>
      </c>
      <c r="C28" s="69">
        <f>'01_인적정보'!C28</f>
        <v/>
      </c>
      <c r="D28" s="69">
        <f>'01_인적정보'!D28</f>
        <v/>
      </c>
      <c r="E28" s="69">
        <f>'01_인적정보'!E28</f>
        <v/>
      </c>
      <c r="F28" s="11">
        <f>'01_인적정보'!H28</f>
        <v/>
      </c>
      <c r="G28" s="114">
        <f>IF('01_인적정보'!B28="","",'04_역할평가'!I28)</f>
        <v/>
      </c>
      <c r="H28" s="114">
        <f>IF('01_인적정보'!B28="","",'04_역할평가'!I86)</f>
        <v/>
      </c>
      <c r="I28" s="115">
        <f>IFERROR(IF(AND(G28&lt;&gt;"",H28&lt;&gt;""),IFERROR(CHOOSE(FIND(G28,"DCBAS"),1,2,3,4,5),0)*'02_의사결정·종합결과'!$B$7+IFERROR(CHOOSE(FIND(H28,"DCBAS"),1,2,3,4,5),0)*'02_의사결정·종합결과'!$B$8,""),"")</f>
        <v/>
      </c>
      <c r="J28" s="114">
        <f>IF('01_인적정보'!B28="","",'05_공통역량평가'!I28)</f>
        <v/>
      </c>
      <c r="K28" s="114">
        <f>IF('01_인적정보'!B28="","",'05_공통역량평가'!I86)</f>
        <v/>
      </c>
      <c r="L28" s="115">
        <f>IFERROR(IF(AND(J28&lt;&gt;"",K28&lt;&gt;""),IFERROR(CHOOSE(FIND(J28,"DCBAS"),1,2,3,4,5),0)*'02_의사결정·종합결과'!$B$7+IFERROR(CHOOSE(FIND(K28,"DCBAS"),1,2,3,4,5),0)*'02_의사결정·종합결과'!$B$8,""),"")</f>
        <v/>
      </c>
      <c r="M28" s="114">
        <f>IF('01_인적정보'!B28="","",'06_직무역량평가'!J28)</f>
        <v/>
      </c>
      <c r="N28" s="114">
        <f>IF('01_인적정보'!B28="","",'06_직무역량평가'!J86)</f>
        <v/>
      </c>
      <c r="O28" s="115">
        <f>IFERROR(IF(AND(M28&lt;&gt;"",N28&lt;&gt;""),IFERROR(CHOOSE(FIND(M28,"DCBAS"),1,2,3,4,5),0)*'02_의사결정·종합결과'!$B$7+IFERROR(CHOOSE(FIND(N28,"DCBAS"),1,2,3,4,5),0)*'02_의사결정·종합결과'!$B$8,""),"")</f>
        <v/>
      </c>
      <c r="P28" s="22">
        <f>IFERROR(VLOOKUP(F28,'02_의사결정·종합결과'!$A$16:$D$22,2,FALSE),"")</f>
        <v/>
      </c>
      <c r="Q28" s="22">
        <f>IFERROR(VLOOKUP(F28,'02_의사결정·종합결과'!$A$16:$D$22,3,FALSE),"")</f>
        <v/>
      </c>
      <c r="R28" s="22">
        <f>IFERROR(VLOOKUP(F28,'02_의사결정·종합결과'!$A$16:$D$22,4,FALSE),"")</f>
        <v/>
      </c>
      <c r="S28" s="121">
        <f>IF(OR(I28="",L28="",O28=""),"",I28*P28+L28*Q28+O28*R28)</f>
        <v/>
      </c>
      <c r="T28" s="116">
        <f>IF(S28="","",IF(S28&gt;=4.5,"S",IF(S28&gt;=3.5,"A",IF(S28&gt;=2.5,"B",IF(S28&gt;=1.5,"C","D")))))</f>
        <v/>
      </c>
      <c r="U28" s="122">
        <f>IF(S28="","",IF('02_의사결정·종합결과'!$B$6="절대평가",T28,IF(S28="","",IF(IFERROR(RANK(S28,$S$6:$S$55,0)/COUNT($S$6:$S$55),0)&lt;='02_의사결정·종합결과'!$B$11,"S",IF(IFERROR(RANK(S28,$S$6:$S$55,0)/COUNT($S$6:$S$55),0)&lt;='02_의사결정·종합결과'!$B$11+'02_의사결정·종합결과'!$C$11,"A",IF(IFERROR(RANK(S28,$S$6:$S$55,0)/COUNT($S$6:$S$55),0)&lt;='02_의사결정·종합결과'!$B$11+'02_의사결정·종합결과'!$C$11+'02_의사결정·종합결과'!$D$11,"B",IF(IFERROR(RANK(S28,$S$6:$S$55,0)/COUNT($S$6:$S$55),0)&lt;='02_의사결정·종합결과'!$B$11+'02_의사결정·종합결과'!$C$11+'02_의사결정·종합결과'!$D$11+'02_의사결정·종합결과'!$E$11,"C","D")))))))</f>
        <v/>
      </c>
      <c r="V28" s="1" t="n"/>
    </row>
    <row r="29" ht="22.05" customHeight="1" s="86">
      <c r="A29" s="75">
        <f>'01_인적정보'!A29</f>
        <v/>
      </c>
      <c r="B29" s="75">
        <f>'01_인적정보'!B29</f>
        <v/>
      </c>
      <c r="C29" s="69">
        <f>'01_인적정보'!C29</f>
        <v/>
      </c>
      <c r="D29" s="69">
        <f>'01_인적정보'!D29</f>
        <v/>
      </c>
      <c r="E29" s="69">
        <f>'01_인적정보'!E29</f>
        <v/>
      </c>
      <c r="F29" s="11">
        <f>'01_인적정보'!H29</f>
        <v/>
      </c>
      <c r="G29" s="114">
        <f>IF('01_인적정보'!B29="","",'04_역할평가'!I29)</f>
        <v/>
      </c>
      <c r="H29" s="114">
        <f>IF('01_인적정보'!B29="","",'04_역할평가'!I87)</f>
        <v/>
      </c>
      <c r="I29" s="115">
        <f>IFERROR(IF(AND(G29&lt;&gt;"",H29&lt;&gt;""),IFERROR(CHOOSE(FIND(G29,"DCBAS"),1,2,3,4,5),0)*'02_의사결정·종합결과'!$B$7+IFERROR(CHOOSE(FIND(H29,"DCBAS"),1,2,3,4,5),0)*'02_의사결정·종합결과'!$B$8,""),"")</f>
        <v/>
      </c>
      <c r="J29" s="114">
        <f>IF('01_인적정보'!B29="","",'05_공통역량평가'!I29)</f>
        <v/>
      </c>
      <c r="K29" s="114">
        <f>IF('01_인적정보'!B29="","",'05_공통역량평가'!I87)</f>
        <v/>
      </c>
      <c r="L29" s="115">
        <f>IFERROR(IF(AND(J29&lt;&gt;"",K29&lt;&gt;""),IFERROR(CHOOSE(FIND(J29,"DCBAS"),1,2,3,4,5),0)*'02_의사결정·종합결과'!$B$7+IFERROR(CHOOSE(FIND(K29,"DCBAS"),1,2,3,4,5),0)*'02_의사결정·종합결과'!$B$8,""),"")</f>
        <v/>
      </c>
      <c r="M29" s="114">
        <f>IF('01_인적정보'!B29="","",'06_직무역량평가'!J29)</f>
        <v/>
      </c>
      <c r="N29" s="114">
        <f>IF('01_인적정보'!B29="","",'06_직무역량평가'!J87)</f>
        <v/>
      </c>
      <c r="O29" s="115">
        <f>IFERROR(IF(AND(M29&lt;&gt;"",N29&lt;&gt;""),IFERROR(CHOOSE(FIND(M29,"DCBAS"),1,2,3,4,5),0)*'02_의사결정·종합결과'!$B$7+IFERROR(CHOOSE(FIND(N29,"DCBAS"),1,2,3,4,5),0)*'02_의사결정·종합결과'!$B$8,""),"")</f>
        <v/>
      </c>
      <c r="P29" s="22">
        <f>IFERROR(VLOOKUP(F29,'02_의사결정·종합결과'!$A$16:$D$22,2,FALSE),"")</f>
        <v/>
      </c>
      <c r="Q29" s="22">
        <f>IFERROR(VLOOKUP(F29,'02_의사결정·종합결과'!$A$16:$D$22,3,FALSE),"")</f>
        <v/>
      </c>
      <c r="R29" s="22">
        <f>IFERROR(VLOOKUP(F29,'02_의사결정·종합결과'!$A$16:$D$22,4,FALSE),"")</f>
        <v/>
      </c>
      <c r="S29" s="121">
        <f>IF(OR(I29="",L29="",O29=""),"",I29*P29+L29*Q29+O29*R29)</f>
        <v/>
      </c>
      <c r="T29" s="116">
        <f>IF(S29="","",IF(S29&gt;=4.5,"S",IF(S29&gt;=3.5,"A",IF(S29&gt;=2.5,"B",IF(S29&gt;=1.5,"C","D")))))</f>
        <v/>
      </c>
      <c r="U29" s="122">
        <f>IF(S29="","",IF('02_의사결정·종합결과'!$B$6="절대평가",T29,IF(S29="","",IF(IFERROR(RANK(S29,$S$6:$S$55,0)/COUNT($S$6:$S$55),0)&lt;='02_의사결정·종합결과'!$B$11,"S",IF(IFERROR(RANK(S29,$S$6:$S$55,0)/COUNT($S$6:$S$55),0)&lt;='02_의사결정·종합결과'!$B$11+'02_의사결정·종합결과'!$C$11,"A",IF(IFERROR(RANK(S29,$S$6:$S$55,0)/COUNT($S$6:$S$55),0)&lt;='02_의사결정·종합결과'!$B$11+'02_의사결정·종합결과'!$C$11+'02_의사결정·종합결과'!$D$11,"B",IF(IFERROR(RANK(S29,$S$6:$S$55,0)/COUNT($S$6:$S$55),0)&lt;='02_의사결정·종합결과'!$B$11+'02_의사결정·종합결과'!$C$11+'02_의사결정·종합결과'!$D$11+'02_의사결정·종합결과'!$E$11,"C","D")))))))</f>
        <v/>
      </c>
      <c r="V29" s="1" t="n"/>
    </row>
    <row r="30" ht="22.05" customHeight="1" s="86">
      <c r="A30" s="75">
        <f>'01_인적정보'!A30</f>
        <v/>
      </c>
      <c r="B30" s="75">
        <f>'01_인적정보'!B30</f>
        <v/>
      </c>
      <c r="C30" s="69">
        <f>'01_인적정보'!C30</f>
        <v/>
      </c>
      <c r="D30" s="69">
        <f>'01_인적정보'!D30</f>
        <v/>
      </c>
      <c r="E30" s="69">
        <f>'01_인적정보'!E30</f>
        <v/>
      </c>
      <c r="F30" s="11">
        <f>'01_인적정보'!H30</f>
        <v/>
      </c>
      <c r="G30" s="114">
        <f>IF('01_인적정보'!B30="","",'04_역할평가'!I30)</f>
        <v/>
      </c>
      <c r="H30" s="114">
        <f>IF('01_인적정보'!B30="","",'04_역할평가'!I88)</f>
        <v/>
      </c>
      <c r="I30" s="115">
        <f>IFERROR(IF(AND(G30&lt;&gt;"",H30&lt;&gt;""),IFERROR(CHOOSE(FIND(G30,"DCBAS"),1,2,3,4,5),0)*'02_의사결정·종합결과'!$B$7+IFERROR(CHOOSE(FIND(H30,"DCBAS"),1,2,3,4,5),0)*'02_의사결정·종합결과'!$B$8,""),"")</f>
        <v/>
      </c>
      <c r="J30" s="114">
        <f>IF('01_인적정보'!B30="","",'05_공통역량평가'!I30)</f>
        <v/>
      </c>
      <c r="K30" s="114">
        <f>IF('01_인적정보'!B30="","",'05_공통역량평가'!I88)</f>
        <v/>
      </c>
      <c r="L30" s="115">
        <f>IFERROR(IF(AND(J30&lt;&gt;"",K30&lt;&gt;""),IFERROR(CHOOSE(FIND(J30,"DCBAS"),1,2,3,4,5),0)*'02_의사결정·종합결과'!$B$7+IFERROR(CHOOSE(FIND(K30,"DCBAS"),1,2,3,4,5),0)*'02_의사결정·종합결과'!$B$8,""),"")</f>
        <v/>
      </c>
      <c r="M30" s="114">
        <f>IF('01_인적정보'!B30="","",'06_직무역량평가'!J30)</f>
        <v/>
      </c>
      <c r="N30" s="114">
        <f>IF('01_인적정보'!B30="","",'06_직무역량평가'!J88)</f>
        <v/>
      </c>
      <c r="O30" s="115">
        <f>IFERROR(IF(AND(M30&lt;&gt;"",N30&lt;&gt;""),IFERROR(CHOOSE(FIND(M30,"DCBAS"),1,2,3,4,5),0)*'02_의사결정·종합결과'!$B$7+IFERROR(CHOOSE(FIND(N30,"DCBAS"),1,2,3,4,5),0)*'02_의사결정·종합결과'!$B$8,""),"")</f>
        <v/>
      </c>
      <c r="P30" s="22">
        <f>IFERROR(VLOOKUP(F30,'02_의사결정·종합결과'!$A$16:$D$22,2,FALSE),"")</f>
        <v/>
      </c>
      <c r="Q30" s="22">
        <f>IFERROR(VLOOKUP(F30,'02_의사결정·종합결과'!$A$16:$D$22,3,FALSE),"")</f>
        <v/>
      </c>
      <c r="R30" s="22">
        <f>IFERROR(VLOOKUP(F30,'02_의사결정·종합결과'!$A$16:$D$22,4,FALSE),"")</f>
        <v/>
      </c>
      <c r="S30" s="121">
        <f>IF(OR(I30="",L30="",O30=""),"",I30*P30+L30*Q30+O30*R30)</f>
        <v/>
      </c>
      <c r="T30" s="116">
        <f>IF(S30="","",IF(S30&gt;=4.5,"S",IF(S30&gt;=3.5,"A",IF(S30&gt;=2.5,"B",IF(S30&gt;=1.5,"C","D")))))</f>
        <v/>
      </c>
      <c r="U30" s="122">
        <f>IF(S30="","",IF('02_의사결정·종합결과'!$B$6="절대평가",T30,IF(S30="","",IF(IFERROR(RANK(S30,$S$6:$S$55,0)/COUNT($S$6:$S$55),0)&lt;='02_의사결정·종합결과'!$B$11,"S",IF(IFERROR(RANK(S30,$S$6:$S$55,0)/COUNT($S$6:$S$55),0)&lt;='02_의사결정·종합결과'!$B$11+'02_의사결정·종합결과'!$C$11,"A",IF(IFERROR(RANK(S30,$S$6:$S$55,0)/COUNT($S$6:$S$55),0)&lt;='02_의사결정·종합결과'!$B$11+'02_의사결정·종합결과'!$C$11+'02_의사결정·종합결과'!$D$11,"B",IF(IFERROR(RANK(S30,$S$6:$S$55,0)/COUNT($S$6:$S$55),0)&lt;='02_의사결정·종합결과'!$B$11+'02_의사결정·종합결과'!$C$11+'02_의사결정·종합결과'!$D$11+'02_의사결정·종합결과'!$E$11,"C","D")))))))</f>
        <v/>
      </c>
      <c r="V30" s="1" t="n"/>
    </row>
    <row r="31" ht="22.05" customHeight="1" s="86">
      <c r="A31" s="75">
        <f>'01_인적정보'!A31</f>
        <v/>
      </c>
      <c r="B31" s="75">
        <f>'01_인적정보'!B31</f>
        <v/>
      </c>
      <c r="C31" s="69">
        <f>'01_인적정보'!C31</f>
        <v/>
      </c>
      <c r="D31" s="69">
        <f>'01_인적정보'!D31</f>
        <v/>
      </c>
      <c r="E31" s="69">
        <f>'01_인적정보'!E31</f>
        <v/>
      </c>
      <c r="F31" s="11">
        <f>'01_인적정보'!H31</f>
        <v/>
      </c>
      <c r="G31" s="114">
        <f>IF('01_인적정보'!B31="","",'04_역할평가'!I31)</f>
        <v/>
      </c>
      <c r="H31" s="114">
        <f>IF('01_인적정보'!B31="","",'04_역할평가'!I89)</f>
        <v/>
      </c>
      <c r="I31" s="115">
        <f>IFERROR(IF(AND(G31&lt;&gt;"",H31&lt;&gt;""),IFERROR(CHOOSE(FIND(G31,"DCBAS"),1,2,3,4,5),0)*'02_의사결정·종합결과'!$B$7+IFERROR(CHOOSE(FIND(H31,"DCBAS"),1,2,3,4,5),0)*'02_의사결정·종합결과'!$B$8,""),"")</f>
        <v/>
      </c>
      <c r="J31" s="114">
        <f>IF('01_인적정보'!B31="","",'05_공통역량평가'!I31)</f>
        <v/>
      </c>
      <c r="K31" s="114">
        <f>IF('01_인적정보'!B31="","",'05_공통역량평가'!I89)</f>
        <v/>
      </c>
      <c r="L31" s="115">
        <f>IFERROR(IF(AND(J31&lt;&gt;"",K31&lt;&gt;""),IFERROR(CHOOSE(FIND(J31,"DCBAS"),1,2,3,4,5),0)*'02_의사결정·종합결과'!$B$7+IFERROR(CHOOSE(FIND(K31,"DCBAS"),1,2,3,4,5),0)*'02_의사결정·종합결과'!$B$8,""),"")</f>
        <v/>
      </c>
      <c r="M31" s="114">
        <f>IF('01_인적정보'!B31="","",'06_직무역량평가'!J31)</f>
        <v/>
      </c>
      <c r="N31" s="114">
        <f>IF('01_인적정보'!B31="","",'06_직무역량평가'!J89)</f>
        <v/>
      </c>
      <c r="O31" s="115">
        <f>IFERROR(IF(AND(M31&lt;&gt;"",N31&lt;&gt;""),IFERROR(CHOOSE(FIND(M31,"DCBAS"),1,2,3,4,5),0)*'02_의사결정·종합결과'!$B$7+IFERROR(CHOOSE(FIND(N31,"DCBAS"),1,2,3,4,5),0)*'02_의사결정·종합결과'!$B$8,""),"")</f>
        <v/>
      </c>
      <c r="P31" s="22">
        <f>IFERROR(VLOOKUP(F31,'02_의사결정·종합결과'!$A$16:$D$22,2,FALSE),"")</f>
        <v/>
      </c>
      <c r="Q31" s="22">
        <f>IFERROR(VLOOKUP(F31,'02_의사결정·종합결과'!$A$16:$D$22,3,FALSE),"")</f>
        <v/>
      </c>
      <c r="R31" s="22">
        <f>IFERROR(VLOOKUP(F31,'02_의사결정·종합결과'!$A$16:$D$22,4,FALSE),"")</f>
        <v/>
      </c>
      <c r="S31" s="121">
        <f>IF(OR(I31="",L31="",O31=""),"",I31*P31+L31*Q31+O31*R31)</f>
        <v/>
      </c>
      <c r="T31" s="116">
        <f>IF(S31="","",IF(S31&gt;=4.5,"S",IF(S31&gt;=3.5,"A",IF(S31&gt;=2.5,"B",IF(S31&gt;=1.5,"C","D")))))</f>
        <v/>
      </c>
      <c r="U31" s="122">
        <f>IF(S31="","",IF('02_의사결정·종합결과'!$B$6="절대평가",T31,IF(S31="","",IF(IFERROR(RANK(S31,$S$6:$S$55,0)/COUNT($S$6:$S$55),0)&lt;='02_의사결정·종합결과'!$B$11,"S",IF(IFERROR(RANK(S31,$S$6:$S$55,0)/COUNT($S$6:$S$55),0)&lt;='02_의사결정·종합결과'!$B$11+'02_의사결정·종합결과'!$C$11,"A",IF(IFERROR(RANK(S31,$S$6:$S$55,0)/COUNT($S$6:$S$55),0)&lt;='02_의사결정·종합결과'!$B$11+'02_의사결정·종합결과'!$C$11+'02_의사결정·종합결과'!$D$11,"B",IF(IFERROR(RANK(S31,$S$6:$S$55,0)/COUNT($S$6:$S$55),0)&lt;='02_의사결정·종합결과'!$B$11+'02_의사결정·종합결과'!$C$11+'02_의사결정·종합결과'!$D$11+'02_의사결정·종합결과'!$E$11,"C","D")))))))</f>
        <v/>
      </c>
      <c r="V31" s="1" t="n"/>
    </row>
    <row r="32" ht="22.05" customHeight="1" s="86">
      <c r="A32" s="75">
        <f>'01_인적정보'!A32</f>
        <v/>
      </c>
      <c r="B32" s="75">
        <f>'01_인적정보'!B32</f>
        <v/>
      </c>
      <c r="C32" s="69">
        <f>'01_인적정보'!C32</f>
        <v/>
      </c>
      <c r="D32" s="69">
        <f>'01_인적정보'!D32</f>
        <v/>
      </c>
      <c r="E32" s="69">
        <f>'01_인적정보'!E32</f>
        <v/>
      </c>
      <c r="F32" s="11">
        <f>'01_인적정보'!H32</f>
        <v/>
      </c>
      <c r="G32" s="114">
        <f>IF('01_인적정보'!B32="","",'04_역할평가'!I32)</f>
        <v/>
      </c>
      <c r="H32" s="114">
        <f>IF('01_인적정보'!B32="","",'04_역할평가'!I90)</f>
        <v/>
      </c>
      <c r="I32" s="115">
        <f>IFERROR(IF(AND(G32&lt;&gt;"",H32&lt;&gt;""),IFERROR(CHOOSE(FIND(G32,"DCBAS"),1,2,3,4,5),0)*'02_의사결정·종합결과'!$B$7+IFERROR(CHOOSE(FIND(H32,"DCBAS"),1,2,3,4,5),0)*'02_의사결정·종합결과'!$B$8,""),"")</f>
        <v/>
      </c>
      <c r="J32" s="114">
        <f>IF('01_인적정보'!B32="","",'05_공통역량평가'!I32)</f>
        <v/>
      </c>
      <c r="K32" s="114">
        <f>IF('01_인적정보'!B32="","",'05_공통역량평가'!I90)</f>
        <v/>
      </c>
      <c r="L32" s="115">
        <f>IFERROR(IF(AND(J32&lt;&gt;"",K32&lt;&gt;""),IFERROR(CHOOSE(FIND(J32,"DCBAS"),1,2,3,4,5),0)*'02_의사결정·종합결과'!$B$7+IFERROR(CHOOSE(FIND(K32,"DCBAS"),1,2,3,4,5),0)*'02_의사결정·종합결과'!$B$8,""),"")</f>
        <v/>
      </c>
      <c r="M32" s="114">
        <f>IF('01_인적정보'!B32="","",'06_직무역량평가'!J32)</f>
        <v/>
      </c>
      <c r="N32" s="114">
        <f>IF('01_인적정보'!B32="","",'06_직무역량평가'!J90)</f>
        <v/>
      </c>
      <c r="O32" s="115">
        <f>IFERROR(IF(AND(M32&lt;&gt;"",N32&lt;&gt;""),IFERROR(CHOOSE(FIND(M32,"DCBAS"),1,2,3,4,5),0)*'02_의사결정·종합결과'!$B$7+IFERROR(CHOOSE(FIND(N32,"DCBAS"),1,2,3,4,5),0)*'02_의사결정·종합결과'!$B$8,""),"")</f>
        <v/>
      </c>
      <c r="P32" s="22">
        <f>IFERROR(VLOOKUP(F32,'02_의사결정·종합결과'!$A$16:$D$22,2,FALSE),"")</f>
        <v/>
      </c>
      <c r="Q32" s="22">
        <f>IFERROR(VLOOKUP(F32,'02_의사결정·종합결과'!$A$16:$D$22,3,FALSE),"")</f>
        <v/>
      </c>
      <c r="R32" s="22">
        <f>IFERROR(VLOOKUP(F32,'02_의사결정·종합결과'!$A$16:$D$22,4,FALSE),"")</f>
        <v/>
      </c>
      <c r="S32" s="121">
        <f>IF(OR(I32="",L32="",O32=""),"",I32*P32+L32*Q32+O32*R32)</f>
        <v/>
      </c>
      <c r="T32" s="116">
        <f>IF(S32="","",IF(S32&gt;=4.5,"S",IF(S32&gt;=3.5,"A",IF(S32&gt;=2.5,"B",IF(S32&gt;=1.5,"C","D")))))</f>
        <v/>
      </c>
      <c r="U32" s="122">
        <f>IF(S32="","",IF('02_의사결정·종합결과'!$B$6="절대평가",T32,IF(S32="","",IF(IFERROR(RANK(S32,$S$6:$S$55,0)/COUNT($S$6:$S$55),0)&lt;='02_의사결정·종합결과'!$B$11,"S",IF(IFERROR(RANK(S32,$S$6:$S$55,0)/COUNT($S$6:$S$55),0)&lt;='02_의사결정·종합결과'!$B$11+'02_의사결정·종합결과'!$C$11,"A",IF(IFERROR(RANK(S32,$S$6:$S$55,0)/COUNT($S$6:$S$55),0)&lt;='02_의사결정·종합결과'!$B$11+'02_의사결정·종합결과'!$C$11+'02_의사결정·종합결과'!$D$11,"B",IF(IFERROR(RANK(S32,$S$6:$S$55,0)/COUNT($S$6:$S$55),0)&lt;='02_의사결정·종합결과'!$B$11+'02_의사결정·종합결과'!$C$11+'02_의사결정·종합결과'!$D$11+'02_의사결정·종합결과'!$E$11,"C","D")))))))</f>
        <v/>
      </c>
      <c r="V32" s="1" t="n"/>
    </row>
    <row r="33" ht="22.05" customHeight="1" s="86">
      <c r="A33" s="75">
        <f>'01_인적정보'!A33</f>
        <v/>
      </c>
      <c r="B33" s="75">
        <f>'01_인적정보'!B33</f>
        <v/>
      </c>
      <c r="C33" s="69">
        <f>'01_인적정보'!C33</f>
        <v/>
      </c>
      <c r="D33" s="69">
        <f>'01_인적정보'!D33</f>
        <v/>
      </c>
      <c r="E33" s="69">
        <f>'01_인적정보'!E33</f>
        <v/>
      </c>
      <c r="F33" s="11">
        <f>'01_인적정보'!H33</f>
        <v/>
      </c>
      <c r="G33" s="114">
        <f>IF('01_인적정보'!B33="","",'04_역할평가'!I33)</f>
        <v/>
      </c>
      <c r="H33" s="114">
        <f>IF('01_인적정보'!B33="","",'04_역할평가'!I91)</f>
        <v/>
      </c>
      <c r="I33" s="115">
        <f>IFERROR(IF(AND(G33&lt;&gt;"",H33&lt;&gt;""),IFERROR(CHOOSE(FIND(G33,"DCBAS"),1,2,3,4,5),0)*'02_의사결정·종합결과'!$B$7+IFERROR(CHOOSE(FIND(H33,"DCBAS"),1,2,3,4,5),0)*'02_의사결정·종합결과'!$B$8,""),"")</f>
        <v/>
      </c>
      <c r="J33" s="114">
        <f>IF('01_인적정보'!B33="","",'05_공통역량평가'!I33)</f>
        <v/>
      </c>
      <c r="K33" s="114">
        <f>IF('01_인적정보'!B33="","",'05_공통역량평가'!I91)</f>
        <v/>
      </c>
      <c r="L33" s="115">
        <f>IFERROR(IF(AND(J33&lt;&gt;"",K33&lt;&gt;""),IFERROR(CHOOSE(FIND(J33,"DCBAS"),1,2,3,4,5),0)*'02_의사결정·종합결과'!$B$7+IFERROR(CHOOSE(FIND(K33,"DCBAS"),1,2,3,4,5),0)*'02_의사결정·종합결과'!$B$8,""),"")</f>
        <v/>
      </c>
      <c r="M33" s="114">
        <f>IF('01_인적정보'!B33="","",'06_직무역량평가'!J33)</f>
        <v/>
      </c>
      <c r="N33" s="114">
        <f>IF('01_인적정보'!B33="","",'06_직무역량평가'!J91)</f>
        <v/>
      </c>
      <c r="O33" s="115">
        <f>IFERROR(IF(AND(M33&lt;&gt;"",N33&lt;&gt;""),IFERROR(CHOOSE(FIND(M33,"DCBAS"),1,2,3,4,5),0)*'02_의사결정·종합결과'!$B$7+IFERROR(CHOOSE(FIND(N33,"DCBAS"),1,2,3,4,5),0)*'02_의사결정·종합결과'!$B$8,""),"")</f>
        <v/>
      </c>
      <c r="P33" s="22">
        <f>IFERROR(VLOOKUP(F33,'02_의사결정·종합결과'!$A$16:$D$22,2,FALSE),"")</f>
        <v/>
      </c>
      <c r="Q33" s="22">
        <f>IFERROR(VLOOKUP(F33,'02_의사결정·종합결과'!$A$16:$D$22,3,FALSE),"")</f>
        <v/>
      </c>
      <c r="R33" s="22">
        <f>IFERROR(VLOOKUP(F33,'02_의사결정·종합결과'!$A$16:$D$22,4,FALSE),"")</f>
        <v/>
      </c>
      <c r="S33" s="121">
        <f>IF(OR(I33="",L33="",O33=""),"",I33*P33+L33*Q33+O33*R33)</f>
        <v/>
      </c>
      <c r="T33" s="116">
        <f>IF(S33="","",IF(S33&gt;=4.5,"S",IF(S33&gt;=3.5,"A",IF(S33&gt;=2.5,"B",IF(S33&gt;=1.5,"C","D")))))</f>
        <v/>
      </c>
      <c r="U33" s="122">
        <f>IF(S33="","",IF('02_의사결정·종합결과'!$B$6="절대평가",T33,IF(S33="","",IF(IFERROR(RANK(S33,$S$6:$S$55,0)/COUNT($S$6:$S$55),0)&lt;='02_의사결정·종합결과'!$B$11,"S",IF(IFERROR(RANK(S33,$S$6:$S$55,0)/COUNT($S$6:$S$55),0)&lt;='02_의사결정·종합결과'!$B$11+'02_의사결정·종합결과'!$C$11,"A",IF(IFERROR(RANK(S33,$S$6:$S$55,0)/COUNT($S$6:$S$55),0)&lt;='02_의사결정·종합결과'!$B$11+'02_의사결정·종합결과'!$C$11+'02_의사결정·종합결과'!$D$11,"B",IF(IFERROR(RANK(S33,$S$6:$S$55,0)/COUNT($S$6:$S$55),0)&lt;='02_의사결정·종합결과'!$B$11+'02_의사결정·종합결과'!$C$11+'02_의사결정·종합결과'!$D$11+'02_의사결정·종합결과'!$E$11,"C","D")))))))</f>
        <v/>
      </c>
      <c r="V33" s="1" t="n"/>
    </row>
    <row r="34" ht="22.05" customHeight="1" s="86">
      <c r="A34" s="75">
        <f>'01_인적정보'!A34</f>
        <v/>
      </c>
      <c r="B34" s="75">
        <f>'01_인적정보'!B34</f>
        <v/>
      </c>
      <c r="C34" s="69">
        <f>'01_인적정보'!C34</f>
        <v/>
      </c>
      <c r="D34" s="69">
        <f>'01_인적정보'!D34</f>
        <v/>
      </c>
      <c r="E34" s="69">
        <f>'01_인적정보'!E34</f>
        <v/>
      </c>
      <c r="F34" s="11">
        <f>'01_인적정보'!H34</f>
        <v/>
      </c>
      <c r="G34" s="114">
        <f>IF('01_인적정보'!B34="","",'04_역할평가'!I34)</f>
        <v/>
      </c>
      <c r="H34" s="114">
        <f>IF('01_인적정보'!B34="","",'04_역할평가'!I92)</f>
        <v/>
      </c>
      <c r="I34" s="115">
        <f>IFERROR(IF(AND(G34&lt;&gt;"",H34&lt;&gt;""),IFERROR(CHOOSE(FIND(G34,"DCBAS"),1,2,3,4,5),0)*'02_의사결정·종합결과'!$B$7+IFERROR(CHOOSE(FIND(H34,"DCBAS"),1,2,3,4,5),0)*'02_의사결정·종합결과'!$B$8,""),"")</f>
        <v/>
      </c>
      <c r="J34" s="114">
        <f>IF('01_인적정보'!B34="","",'05_공통역량평가'!I34)</f>
        <v/>
      </c>
      <c r="K34" s="114">
        <f>IF('01_인적정보'!B34="","",'05_공통역량평가'!I92)</f>
        <v/>
      </c>
      <c r="L34" s="115">
        <f>IFERROR(IF(AND(J34&lt;&gt;"",K34&lt;&gt;""),IFERROR(CHOOSE(FIND(J34,"DCBAS"),1,2,3,4,5),0)*'02_의사결정·종합결과'!$B$7+IFERROR(CHOOSE(FIND(K34,"DCBAS"),1,2,3,4,5),0)*'02_의사결정·종합결과'!$B$8,""),"")</f>
        <v/>
      </c>
      <c r="M34" s="114">
        <f>IF('01_인적정보'!B34="","",'06_직무역량평가'!J34)</f>
        <v/>
      </c>
      <c r="N34" s="114">
        <f>IF('01_인적정보'!B34="","",'06_직무역량평가'!J92)</f>
        <v/>
      </c>
      <c r="O34" s="115">
        <f>IFERROR(IF(AND(M34&lt;&gt;"",N34&lt;&gt;""),IFERROR(CHOOSE(FIND(M34,"DCBAS"),1,2,3,4,5),0)*'02_의사결정·종합결과'!$B$7+IFERROR(CHOOSE(FIND(N34,"DCBAS"),1,2,3,4,5),0)*'02_의사결정·종합결과'!$B$8,""),"")</f>
        <v/>
      </c>
      <c r="P34" s="22">
        <f>IFERROR(VLOOKUP(F34,'02_의사결정·종합결과'!$A$16:$D$22,2,FALSE),"")</f>
        <v/>
      </c>
      <c r="Q34" s="22">
        <f>IFERROR(VLOOKUP(F34,'02_의사결정·종합결과'!$A$16:$D$22,3,FALSE),"")</f>
        <v/>
      </c>
      <c r="R34" s="22">
        <f>IFERROR(VLOOKUP(F34,'02_의사결정·종합결과'!$A$16:$D$22,4,FALSE),"")</f>
        <v/>
      </c>
      <c r="S34" s="121">
        <f>IF(OR(I34="",L34="",O34=""),"",I34*P34+L34*Q34+O34*R34)</f>
        <v/>
      </c>
      <c r="T34" s="116">
        <f>IF(S34="","",IF(S34&gt;=4.5,"S",IF(S34&gt;=3.5,"A",IF(S34&gt;=2.5,"B",IF(S34&gt;=1.5,"C","D")))))</f>
        <v/>
      </c>
      <c r="U34" s="122">
        <f>IF(S34="","",IF('02_의사결정·종합결과'!$B$6="절대평가",T34,IF(S34="","",IF(IFERROR(RANK(S34,$S$6:$S$55,0)/COUNT($S$6:$S$55),0)&lt;='02_의사결정·종합결과'!$B$11,"S",IF(IFERROR(RANK(S34,$S$6:$S$55,0)/COUNT($S$6:$S$55),0)&lt;='02_의사결정·종합결과'!$B$11+'02_의사결정·종합결과'!$C$11,"A",IF(IFERROR(RANK(S34,$S$6:$S$55,0)/COUNT($S$6:$S$55),0)&lt;='02_의사결정·종합결과'!$B$11+'02_의사결정·종합결과'!$C$11+'02_의사결정·종합결과'!$D$11,"B",IF(IFERROR(RANK(S34,$S$6:$S$55,0)/COUNT($S$6:$S$55),0)&lt;='02_의사결정·종합결과'!$B$11+'02_의사결정·종합결과'!$C$11+'02_의사결정·종합결과'!$D$11+'02_의사결정·종합결과'!$E$11,"C","D")))))))</f>
        <v/>
      </c>
      <c r="V34" s="1" t="n"/>
    </row>
    <row r="35" ht="22.05" customHeight="1" s="86">
      <c r="A35" s="75">
        <f>'01_인적정보'!A35</f>
        <v/>
      </c>
      <c r="B35" s="75">
        <f>'01_인적정보'!B35</f>
        <v/>
      </c>
      <c r="C35" s="69">
        <f>'01_인적정보'!C35</f>
        <v/>
      </c>
      <c r="D35" s="69">
        <f>'01_인적정보'!D35</f>
        <v/>
      </c>
      <c r="E35" s="69">
        <f>'01_인적정보'!E35</f>
        <v/>
      </c>
      <c r="F35" s="11">
        <f>'01_인적정보'!H35</f>
        <v/>
      </c>
      <c r="G35" s="114">
        <f>IF('01_인적정보'!B35="","",'04_역할평가'!I35)</f>
        <v/>
      </c>
      <c r="H35" s="114">
        <f>IF('01_인적정보'!B35="","",'04_역할평가'!I93)</f>
        <v/>
      </c>
      <c r="I35" s="115">
        <f>IFERROR(IF(AND(G35&lt;&gt;"",H35&lt;&gt;""),IFERROR(CHOOSE(FIND(G35,"DCBAS"),1,2,3,4,5),0)*'02_의사결정·종합결과'!$B$7+IFERROR(CHOOSE(FIND(H35,"DCBAS"),1,2,3,4,5),0)*'02_의사결정·종합결과'!$B$8,""),"")</f>
        <v/>
      </c>
      <c r="J35" s="114">
        <f>IF('01_인적정보'!B35="","",'05_공통역량평가'!I35)</f>
        <v/>
      </c>
      <c r="K35" s="114">
        <f>IF('01_인적정보'!B35="","",'05_공통역량평가'!I93)</f>
        <v/>
      </c>
      <c r="L35" s="115">
        <f>IFERROR(IF(AND(J35&lt;&gt;"",K35&lt;&gt;""),IFERROR(CHOOSE(FIND(J35,"DCBAS"),1,2,3,4,5),0)*'02_의사결정·종합결과'!$B$7+IFERROR(CHOOSE(FIND(K35,"DCBAS"),1,2,3,4,5),0)*'02_의사결정·종합결과'!$B$8,""),"")</f>
        <v/>
      </c>
      <c r="M35" s="114">
        <f>IF('01_인적정보'!B35="","",'06_직무역량평가'!J35)</f>
        <v/>
      </c>
      <c r="N35" s="114">
        <f>IF('01_인적정보'!B35="","",'06_직무역량평가'!J93)</f>
        <v/>
      </c>
      <c r="O35" s="115">
        <f>IFERROR(IF(AND(M35&lt;&gt;"",N35&lt;&gt;""),IFERROR(CHOOSE(FIND(M35,"DCBAS"),1,2,3,4,5),0)*'02_의사결정·종합결과'!$B$7+IFERROR(CHOOSE(FIND(N35,"DCBAS"),1,2,3,4,5),0)*'02_의사결정·종합결과'!$B$8,""),"")</f>
        <v/>
      </c>
      <c r="P35" s="22">
        <f>IFERROR(VLOOKUP(F35,'02_의사결정·종합결과'!$A$16:$D$22,2,FALSE),"")</f>
        <v/>
      </c>
      <c r="Q35" s="22">
        <f>IFERROR(VLOOKUP(F35,'02_의사결정·종합결과'!$A$16:$D$22,3,FALSE),"")</f>
        <v/>
      </c>
      <c r="R35" s="22">
        <f>IFERROR(VLOOKUP(F35,'02_의사결정·종합결과'!$A$16:$D$22,4,FALSE),"")</f>
        <v/>
      </c>
      <c r="S35" s="121">
        <f>IF(OR(I35="",L35="",O35=""),"",I35*P35+L35*Q35+O35*R35)</f>
        <v/>
      </c>
      <c r="T35" s="116">
        <f>IF(S35="","",IF(S35&gt;=4.5,"S",IF(S35&gt;=3.5,"A",IF(S35&gt;=2.5,"B",IF(S35&gt;=1.5,"C","D")))))</f>
        <v/>
      </c>
      <c r="U35" s="122">
        <f>IF(S35="","",IF('02_의사결정·종합결과'!$B$6="절대평가",T35,IF(S35="","",IF(IFERROR(RANK(S35,$S$6:$S$55,0)/COUNT($S$6:$S$55),0)&lt;='02_의사결정·종합결과'!$B$11,"S",IF(IFERROR(RANK(S35,$S$6:$S$55,0)/COUNT($S$6:$S$55),0)&lt;='02_의사결정·종합결과'!$B$11+'02_의사결정·종합결과'!$C$11,"A",IF(IFERROR(RANK(S35,$S$6:$S$55,0)/COUNT($S$6:$S$55),0)&lt;='02_의사결정·종합결과'!$B$11+'02_의사결정·종합결과'!$C$11+'02_의사결정·종합결과'!$D$11,"B",IF(IFERROR(RANK(S35,$S$6:$S$55,0)/COUNT($S$6:$S$55),0)&lt;='02_의사결정·종합결과'!$B$11+'02_의사결정·종합결과'!$C$11+'02_의사결정·종합결과'!$D$11+'02_의사결정·종합결과'!$E$11,"C","D")))))))</f>
        <v/>
      </c>
      <c r="V35" s="1" t="n"/>
    </row>
    <row r="36" ht="22.05" customHeight="1" s="86">
      <c r="A36" s="75">
        <f>'01_인적정보'!A36</f>
        <v/>
      </c>
      <c r="B36" s="75">
        <f>'01_인적정보'!B36</f>
        <v/>
      </c>
      <c r="C36" s="69">
        <f>'01_인적정보'!C36</f>
        <v/>
      </c>
      <c r="D36" s="69">
        <f>'01_인적정보'!D36</f>
        <v/>
      </c>
      <c r="E36" s="69">
        <f>'01_인적정보'!E36</f>
        <v/>
      </c>
      <c r="F36" s="11">
        <f>'01_인적정보'!H36</f>
        <v/>
      </c>
      <c r="G36" s="114">
        <f>IF('01_인적정보'!B36="","",'04_역할평가'!I36)</f>
        <v/>
      </c>
      <c r="H36" s="114">
        <f>IF('01_인적정보'!B36="","",'04_역할평가'!I94)</f>
        <v/>
      </c>
      <c r="I36" s="115">
        <f>IFERROR(IF(AND(G36&lt;&gt;"",H36&lt;&gt;""),IFERROR(CHOOSE(FIND(G36,"DCBAS"),1,2,3,4,5),0)*'02_의사결정·종합결과'!$B$7+IFERROR(CHOOSE(FIND(H36,"DCBAS"),1,2,3,4,5),0)*'02_의사결정·종합결과'!$B$8,""),"")</f>
        <v/>
      </c>
      <c r="J36" s="114">
        <f>IF('01_인적정보'!B36="","",'05_공통역량평가'!I36)</f>
        <v/>
      </c>
      <c r="K36" s="114">
        <f>IF('01_인적정보'!B36="","",'05_공통역량평가'!I94)</f>
        <v/>
      </c>
      <c r="L36" s="115">
        <f>IFERROR(IF(AND(J36&lt;&gt;"",K36&lt;&gt;""),IFERROR(CHOOSE(FIND(J36,"DCBAS"),1,2,3,4,5),0)*'02_의사결정·종합결과'!$B$7+IFERROR(CHOOSE(FIND(K36,"DCBAS"),1,2,3,4,5),0)*'02_의사결정·종합결과'!$B$8,""),"")</f>
        <v/>
      </c>
      <c r="M36" s="114">
        <f>IF('01_인적정보'!B36="","",'06_직무역량평가'!J36)</f>
        <v/>
      </c>
      <c r="N36" s="114">
        <f>IF('01_인적정보'!B36="","",'06_직무역량평가'!J94)</f>
        <v/>
      </c>
      <c r="O36" s="115">
        <f>IFERROR(IF(AND(M36&lt;&gt;"",N36&lt;&gt;""),IFERROR(CHOOSE(FIND(M36,"DCBAS"),1,2,3,4,5),0)*'02_의사결정·종합결과'!$B$7+IFERROR(CHOOSE(FIND(N36,"DCBAS"),1,2,3,4,5),0)*'02_의사결정·종합결과'!$B$8,""),"")</f>
        <v/>
      </c>
      <c r="P36" s="22">
        <f>IFERROR(VLOOKUP(F36,'02_의사결정·종합결과'!$A$16:$D$22,2,FALSE),"")</f>
        <v/>
      </c>
      <c r="Q36" s="22">
        <f>IFERROR(VLOOKUP(F36,'02_의사결정·종합결과'!$A$16:$D$22,3,FALSE),"")</f>
        <v/>
      </c>
      <c r="R36" s="22">
        <f>IFERROR(VLOOKUP(F36,'02_의사결정·종합결과'!$A$16:$D$22,4,FALSE),"")</f>
        <v/>
      </c>
      <c r="S36" s="121">
        <f>IF(OR(I36="",L36="",O36=""),"",I36*P36+L36*Q36+O36*R36)</f>
        <v/>
      </c>
      <c r="T36" s="116">
        <f>IF(S36="","",IF(S36&gt;=4.5,"S",IF(S36&gt;=3.5,"A",IF(S36&gt;=2.5,"B",IF(S36&gt;=1.5,"C","D")))))</f>
        <v/>
      </c>
      <c r="U36" s="122">
        <f>IF(S36="","",IF('02_의사결정·종합결과'!$B$6="절대평가",T36,IF(S36="","",IF(IFERROR(RANK(S36,$S$6:$S$55,0)/COUNT($S$6:$S$55),0)&lt;='02_의사결정·종합결과'!$B$11,"S",IF(IFERROR(RANK(S36,$S$6:$S$55,0)/COUNT($S$6:$S$55),0)&lt;='02_의사결정·종합결과'!$B$11+'02_의사결정·종합결과'!$C$11,"A",IF(IFERROR(RANK(S36,$S$6:$S$55,0)/COUNT($S$6:$S$55),0)&lt;='02_의사결정·종합결과'!$B$11+'02_의사결정·종합결과'!$C$11+'02_의사결정·종합결과'!$D$11,"B",IF(IFERROR(RANK(S36,$S$6:$S$55,0)/COUNT($S$6:$S$55),0)&lt;='02_의사결정·종합결과'!$B$11+'02_의사결정·종합결과'!$C$11+'02_의사결정·종합결과'!$D$11+'02_의사결정·종합결과'!$E$11,"C","D")))))))</f>
        <v/>
      </c>
      <c r="V36" s="1" t="n"/>
    </row>
    <row r="37" ht="22.05" customHeight="1" s="86">
      <c r="A37" s="75">
        <f>'01_인적정보'!A37</f>
        <v/>
      </c>
      <c r="B37" s="75">
        <f>'01_인적정보'!B37</f>
        <v/>
      </c>
      <c r="C37" s="69">
        <f>'01_인적정보'!C37</f>
        <v/>
      </c>
      <c r="D37" s="69">
        <f>'01_인적정보'!D37</f>
        <v/>
      </c>
      <c r="E37" s="69">
        <f>'01_인적정보'!E37</f>
        <v/>
      </c>
      <c r="F37" s="11">
        <f>'01_인적정보'!H37</f>
        <v/>
      </c>
      <c r="G37" s="114">
        <f>IF('01_인적정보'!B37="","",'04_역할평가'!I37)</f>
        <v/>
      </c>
      <c r="H37" s="114">
        <f>IF('01_인적정보'!B37="","",'04_역할평가'!I95)</f>
        <v/>
      </c>
      <c r="I37" s="115">
        <f>IFERROR(IF(AND(G37&lt;&gt;"",H37&lt;&gt;""),IFERROR(CHOOSE(FIND(G37,"DCBAS"),1,2,3,4,5),0)*'02_의사결정·종합결과'!$B$7+IFERROR(CHOOSE(FIND(H37,"DCBAS"),1,2,3,4,5),0)*'02_의사결정·종합결과'!$B$8,""),"")</f>
        <v/>
      </c>
      <c r="J37" s="114">
        <f>IF('01_인적정보'!B37="","",'05_공통역량평가'!I37)</f>
        <v/>
      </c>
      <c r="K37" s="114">
        <f>IF('01_인적정보'!B37="","",'05_공통역량평가'!I95)</f>
        <v/>
      </c>
      <c r="L37" s="115">
        <f>IFERROR(IF(AND(J37&lt;&gt;"",K37&lt;&gt;""),IFERROR(CHOOSE(FIND(J37,"DCBAS"),1,2,3,4,5),0)*'02_의사결정·종합결과'!$B$7+IFERROR(CHOOSE(FIND(K37,"DCBAS"),1,2,3,4,5),0)*'02_의사결정·종합결과'!$B$8,""),"")</f>
        <v/>
      </c>
      <c r="M37" s="114">
        <f>IF('01_인적정보'!B37="","",'06_직무역량평가'!J37)</f>
        <v/>
      </c>
      <c r="N37" s="114">
        <f>IF('01_인적정보'!B37="","",'06_직무역량평가'!J95)</f>
        <v/>
      </c>
      <c r="O37" s="115">
        <f>IFERROR(IF(AND(M37&lt;&gt;"",N37&lt;&gt;""),IFERROR(CHOOSE(FIND(M37,"DCBAS"),1,2,3,4,5),0)*'02_의사결정·종합결과'!$B$7+IFERROR(CHOOSE(FIND(N37,"DCBAS"),1,2,3,4,5),0)*'02_의사결정·종합결과'!$B$8,""),"")</f>
        <v/>
      </c>
      <c r="P37" s="22">
        <f>IFERROR(VLOOKUP(F37,'02_의사결정·종합결과'!$A$16:$D$22,2,FALSE),"")</f>
        <v/>
      </c>
      <c r="Q37" s="22">
        <f>IFERROR(VLOOKUP(F37,'02_의사결정·종합결과'!$A$16:$D$22,3,FALSE),"")</f>
        <v/>
      </c>
      <c r="R37" s="22">
        <f>IFERROR(VLOOKUP(F37,'02_의사결정·종합결과'!$A$16:$D$22,4,FALSE),"")</f>
        <v/>
      </c>
      <c r="S37" s="121">
        <f>IF(OR(I37="",L37="",O37=""),"",I37*P37+L37*Q37+O37*R37)</f>
        <v/>
      </c>
      <c r="T37" s="116">
        <f>IF(S37="","",IF(S37&gt;=4.5,"S",IF(S37&gt;=3.5,"A",IF(S37&gt;=2.5,"B",IF(S37&gt;=1.5,"C","D")))))</f>
        <v/>
      </c>
      <c r="U37" s="122">
        <f>IF(S37="","",IF('02_의사결정·종합결과'!$B$6="절대평가",T37,IF(S37="","",IF(IFERROR(RANK(S37,$S$6:$S$55,0)/COUNT($S$6:$S$55),0)&lt;='02_의사결정·종합결과'!$B$11,"S",IF(IFERROR(RANK(S37,$S$6:$S$55,0)/COUNT($S$6:$S$55),0)&lt;='02_의사결정·종합결과'!$B$11+'02_의사결정·종합결과'!$C$11,"A",IF(IFERROR(RANK(S37,$S$6:$S$55,0)/COUNT($S$6:$S$55),0)&lt;='02_의사결정·종합결과'!$B$11+'02_의사결정·종합결과'!$C$11+'02_의사결정·종합결과'!$D$11,"B",IF(IFERROR(RANK(S37,$S$6:$S$55,0)/COUNT($S$6:$S$55),0)&lt;='02_의사결정·종합결과'!$B$11+'02_의사결정·종합결과'!$C$11+'02_의사결정·종합결과'!$D$11+'02_의사결정·종합결과'!$E$11,"C","D")))))))</f>
        <v/>
      </c>
      <c r="V37" s="1" t="n"/>
    </row>
    <row r="38" ht="22.05" customHeight="1" s="86">
      <c r="A38" s="75">
        <f>'01_인적정보'!A38</f>
        <v/>
      </c>
      <c r="B38" s="75">
        <f>'01_인적정보'!B38</f>
        <v/>
      </c>
      <c r="C38" s="69">
        <f>'01_인적정보'!C38</f>
        <v/>
      </c>
      <c r="D38" s="69">
        <f>'01_인적정보'!D38</f>
        <v/>
      </c>
      <c r="E38" s="69">
        <f>'01_인적정보'!E38</f>
        <v/>
      </c>
      <c r="F38" s="11">
        <f>'01_인적정보'!H38</f>
        <v/>
      </c>
      <c r="G38" s="114">
        <f>IF('01_인적정보'!B38="","",'04_역할평가'!I38)</f>
        <v/>
      </c>
      <c r="H38" s="114">
        <f>IF('01_인적정보'!B38="","",'04_역할평가'!I96)</f>
        <v/>
      </c>
      <c r="I38" s="115">
        <f>IFERROR(IF(AND(G38&lt;&gt;"",H38&lt;&gt;""),IFERROR(CHOOSE(FIND(G38,"DCBAS"),1,2,3,4,5),0)*'02_의사결정·종합결과'!$B$7+IFERROR(CHOOSE(FIND(H38,"DCBAS"),1,2,3,4,5),0)*'02_의사결정·종합결과'!$B$8,""),"")</f>
        <v/>
      </c>
      <c r="J38" s="114">
        <f>IF('01_인적정보'!B38="","",'05_공통역량평가'!I38)</f>
        <v/>
      </c>
      <c r="K38" s="114">
        <f>IF('01_인적정보'!B38="","",'05_공통역량평가'!I96)</f>
        <v/>
      </c>
      <c r="L38" s="115">
        <f>IFERROR(IF(AND(J38&lt;&gt;"",K38&lt;&gt;""),IFERROR(CHOOSE(FIND(J38,"DCBAS"),1,2,3,4,5),0)*'02_의사결정·종합결과'!$B$7+IFERROR(CHOOSE(FIND(K38,"DCBAS"),1,2,3,4,5),0)*'02_의사결정·종합결과'!$B$8,""),"")</f>
        <v/>
      </c>
      <c r="M38" s="114">
        <f>IF('01_인적정보'!B38="","",'06_직무역량평가'!J38)</f>
        <v/>
      </c>
      <c r="N38" s="114">
        <f>IF('01_인적정보'!B38="","",'06_직무역량평가'!J96)</f>
        <v/>
      </c>
      <c r="O38" s="115">
        <f>IFERROR(IF(AND(M38&lt;&gt;"",N38&lt;&gt;""),IFERROR(CHOOSE(FIND(M38,"DCBAS"),1,2,3,4,5),0)*'02_의사결정·종합결과'!$B$7+IFERROR(CHOOSE(FIND(N38,"DCBAS"),1,2,3,4,5),0)*'02_의사결정·종합결과'!$B$8,""),"")</f>
        <v/>
      </c>
      <c r="P38" s="22">
        <f>IFERROR(VLOOKUP(F38,'02_의사결정·종합결과'!$A$16:$D$22,2,FALSE),"")</f>
        <v/>
      </c>
      <c r="Q38" s="22">
        <f>IFERROR(VLOOKUP(F38,'02_의사결정·종합결과'!$A$16:$D$22,3,FALSE),"")</f>
        <v/>
      </c>
      <c r="R38" s="22">
        <f>IFERROR(VLOOKUP(F38,'02_의사결정·종합결과'!$A$16:$D$22,4,FALSE),"")</f>
        <v/>
      </c>
      <c r="S38" s="121">
        <f>IF(OR(I38="",L38="",O38=""),"",I38*P38+L38*Q38+O38*R38)</f>
        <v/>
      </c>
      <c r="T38" s="116">
        <f>IF(S38="","",IF(S38&gt;=4.5,"S",IF(S38&gt;=3.5,"A",IF(S38&gt;=2.5,"B",IF(S38&gt;=1.5,"C","D")))))</f>
        <v/>
      </c>
      <c r="U38" s="122">
        <f>IF(S38="","",IF('02_의사결정·종합결과'!$B$6="절대평가",T38,IF(S38="","",IF(IFERROR(RANK(S38,$S$6:$S$55,0)/COUNT($S$6:$S$55),0)&lt;='02_의사결정·종합결과'!$B$11,"S",IF(IFERROR(RANK(S38,$S$6:$S$55,0)/COUNT($S$6:$S$55),0)&lt;='02_의사결정·종합결과'!$B$11+'02_의사결정·종합결과'!$C$11,"A",IF(IFERROR(RANK(S38,$S$6:$S$55,0)/COUNT($S$6:$S$55),0)&lt;='02_의사결정·종합결과'!$B$11+'02_의사결정·종합결과'!$C$11+'02_의사결정·종합결과'!$D$11,"B",IF(IFERROR(RANK(S38,$S$6:$S$55,0)/COUNT($S$6:$S$55),0)&lt;='02_의사결정·종합결과'!$B$11+'02_의사결정·종합결과'!$C$11+'02_의사결정·종합결과'!$D$11+'02_의사결정·종합결과'!$E$11,"C","D")))))))</f>
        <v/>
      </c>
      <c r="V38" s="1" t="n"/>
    </row>
    <row r="39" ht="22.05" customHeight="1" s="86">
      <c r="A39" s="75">
        <f>'01_인적정보'!A39</f>
        <v/>
      </c>
      <c r="B39" s="75">
        <f>'01_인적정보'!B39</f>
        <v/>
      </c>
      <c r="C39" s="69">
        <f>'01_인적정보'!C39</f>
        <v/>
      </c>
      <c r="D39" s="69">
        <f>'01_인적정보'!D39</f>
        <v/>
      </c>
      <c r="E39" s="69">
        <f>'01_인적정보'!E39</f>
        <v/>
      </c>
      <c r="F39" s="11">
        <f>'01_인적정보'!H39</f>
        <v/>
      </c>
      <c r="G39" s="114">
        <f>IF('01_인적정보'!B39="","",'04_역할평가'!I39)</f>
        <v/>
      </c>
      <c r="H39" s="114">
        <f>IF('01_인적정보'!B39="","",'04_역할평가'!I97)</f>
        <v/>
      </c>
      <c r="I39" s="115">
        <f>IFERROR(IF(AND(G39&lt;&gt;"",H39&lt;&gt;""),IFERROR(CHOOSE(FIND(G39,"DCBAS"),1,2,3,4,5),0)*'02_의사결정·종합결과'!$B$7+IFERROR(CHOOSE(FIND(H39,"DCBAS"),1,2,3,4,5),0)*'02_의사결정·종합결과'!$B$8,""),"")</f>
        <v/>
      </c>
      <c r="J39" s="114">
        <f>IF('01_인적정보'!B39="","",'05_공통역량평가'!I39)</f>
        <v/>
      </c>
      <c r="K39" s="114">
        <f>IF('01_인적정보'!B39="","",'05_공통역량평가'!I97)</f>
        <v/>
      </c>
      <c r="L39" s="115">
        <f>IFERROR(IF(AND(J39&lt;&gt;"",K39&lt;&gt;""),IFERROR(CHOOSE(FIND(J39,"DCBAS"),1,2,3,4,5),0)*'02_의사결정·종합결과'!$B$7+IFERROR(CHOOSE(FIND(K39,"DCBAS"),1,2,3,4,5),0)*'02_의사결정·종합결과'!$B$8,""),"")</f>
        <v/>
      </c>
      <c r="M39" s="114">
        <f>IF('01_인적정보'!B39="","",'06_직무역량평가'!J39)</f>
        <v/>
      </c>
      <c r="N39" s="114">
        <f>IF('01_인적정보'!B39="","",'06_직무역량평가'!J97)</f>
        <v/>
      </c>
      <c r="O39" s="115">
        <f>IFERROR(IF(AND(M39&lt;&gt;"",N39&lt;&gt;""),IFERROR(CHOOSE(FIND(M39,"DCBAS"),1,2,3,4,5),0)*'02_의사결정·종합결과'!$B$7+IFERROR(CHOOSE(FIND(N39,"DCBAS"),1,2,3,4,5),0)*'02_의사결정·종합결과'!$B$8,""),"")</f>
        <v/>
      </c>
      <c r="P39" s="22">
        <f>IFERROR(VLOOKUP(F39,'02_의사결정·종합결과'!$A$16:$D$22,2,FALSE),"")</f>
        <v/>
      </c>
      <c r="Q39" s="22">
        <f>IFERROR(VLOOKUP(F39,'02_의사결정·종합결과'!$A$16:$D$22,3,FALSE),"")</f>
        <v/>
      </c>
      <c r="R39" s="22">
        <f>IFERROR(VLOOKUP(F39,'02_의사결정·종합결과'!$A$16:$D$22,4,FALSE),"")</f>
        <v/>
      </c>
      <c r="S39" s="121">
        <f>IF(OR(I39="",L39="",O39=""),"",I39*P39+L39*Q39+O39*R39)</f>
        <v/>
      </c>
      <c r="T39" s="116">
        <f>IF(S39="","",IF(S39&gt;=4.5,"S",IF(S39&gt;=3.5,"A",IF(S39&gt;=2.5,"B",IF(S39&gt;=1.5,"C","D")))))</f>
        <v/>
      </c>
      <c r="U39" s="122">
        <f>IF(S39="","",IF('02_의사결정·종합결과'!$B$6="절대평가",T39,IF(S39="","",IF(IFERROR(RANK(S39,$S$6:$S$55,0)/COUNT($S$6:$S$55),0)&lt;='02_의사결정·종합결과'!$B$11,"S",IF(IFERROR(RANK(S39,$S$6:$S$55,0)/COUNT($S$6:$S$55),0)&lt;='02_의사결정·종합결과'!$B$11+'02_의사결정·종합결과'!$C$11,"A",IF(IFERROR(RANK(S39,$S$6:$S$55,0)/COUNT($S$6:$S$55),0)&lt;='02_의사결정·종합결과'!$B$11+'02_의사결정·종합결과'!$C$11+'02_의사결정·종합결과'!$D$11,"B",IF(IFERROR(RANK(S39,$S$6:$S$55,0)/COUNT($S$6:$S$55),0)&lt;='02_의사결정·종합결과'!$B$11+'02_의사결정·종합결과'!$C$11+'02_의사결정·종합결과'!$D$11+'02_의사결정·종합결과'!$E$11,"C","D")))))))</f>
        <v/>
      </c>
      <c r="V39" s="1" t="n"/>
    </row>
    <row r="40">
      <c r="G40" s="114">
        <f>IF('01_인적정보'!B40="","",'04_역할평가'!I40)</f>
        <v/>
      </c>
      <c r="H40" s="114">
        <f>IF('01_인적정보'!B40="","",'04_역할평가'!I98)</f>
        <v/>
      </c>
      <c r="I40" s="115">
        <f>IFERROR(IF(AND(G40&lt;&gt;"",H40&lt;&gt;""),IFERROR(CHOOSE(FIND(G40,"DCBAS"),1,2,3,4,5),0)*'02_의사결정·종합결과'!$B$7+IFERROR(CHOOSE(FIND(H40,"DCBAS"),1,2,3,4,5),0)*'02_의사결정·종합결과'!$B$8,""),"")</f>
        <v/>
      </c>
      <c r="J40" s="114">
        <f>IF('01_인적정보'!B40="","",'05_공통역량평가'!I40)</f>
        <v/>
      </c>
      <c r="K40" s="114">
        <f>IF('01_인적정보'!B40="","",'05_공통역량평가'!I98)</f>
        <v/>
      </c>
      <c r="L40" s="115">
        <f>IFERROR(IF(AND(J40&lt;&gt;"",K40&lt;&gt;""),IFERROR(CHOOSE(FIND(J40,"DCBAS"),1,2,3,4,5),0)*'02_의사결정·종합결과'!$B$7+IFERROR(CHOOSE(FIND(K40,"DCBAS"),1,2,3,4,5),0)*'02_의사결정·종합결과'!$B$8,""),"")</f>
        <v/>
      </c>
      <c r="M40" s="114">
        <f>IF('01_인적정보'!B40="","",'06_직무역량평가'!J40)</f>
        <v/>
      </c>
      <c r="N40" s="114">
        <f>IF('01_인적정보'!B40="","",'06_직무역량평가'!J98)</f>
        <v/>
      </c>
      <c r="O40" s="115">
        <f>IFERROR(IF(AND(M40&lt;&gt;"",N40&lt;&gt;""),IFERROR(CHOOSE(FIND(M40,"DCBAS"),1,2,3,4,5),0)*'02_의사결정·종합결과'!$B$7+IFERROR(CHOOSE(FIND(N40,"DCBAS"),1,2,3,4,5),0)*'02_의사결정·종합결과'!$B$8,""),"")</f>
        <v/>
      </c>
      <c r="S40" s="121">
        <f>IF(OR(I40="",L40="",O40=""),"",I40*P40+L40*Q40+O40*R40)</f>
        <v/>
      </c>
      <c r="T40" s="116">
        <f>IF(S40="","",IF(S40&gt;=4.5,"S",IF(S40&gt;=3.5,"A",IF(S40&gt;=2.5,"B",IF(S40&gt;=1.5,"C","D")))))</f>
        <v/>
      </c>
      <c r="U40" s="122">
        <f>IF(S40="","",IF('02_의사결정·종합결과'!$B$6="절대평가",T40,IF(S40="","",IF(IFERROR(RANK(S40,$S$6:$S$55,0)/COUNT($S$6:$S$55),0)&lt;='02_의사결정·종합결과'!$B$11,"S",IF(IFERROR(RANK(S40,$S$6:$S$55,0)/COUNT($S$6:$S$55),0)&lt;='02_의사결정·종합결과'!$B$11+'02_의사결정·종합결과'!$C$11,"A",IF(IFERROR(RANK(S40,$S$6:$S$55,0)/COUNT($S$6:$S$55),0)&lt;='02_의사결정·종합결과'!$B$11+'02_의사결정·종합결과'!$C$11+'02_의사결정·종합결과'!$D$11,"B",IF(IFERROR(RANK(S40,$S$6:$S$55,0)/COUNT($S$6:$S$55),0)&lt;='02_의사결정·종합결과'!$B$11+'02_의사결정·종합결과'!$C$11+'02_의사결정·종합결과'!$D$11+'02_의사결정·종합결과'!$E$11,"C","D")))))))</f>
        <v/>
      </c>
    </row>
    <row r="41">
      <c r="G41" s="114">
        <f>IF('01_인적정보'!B41="","",'04_역할평가'!I41)</f>
        <v/>
      </c>
      <c r="H41" s="114">
        <f>IF('01_인적정보'!B41="","",'04_역할평가'!I99)</f>
        <v/>
      </c>
      <c r="I41" s="115">
        <f>IFERROR(IF(AND(G41&lt;&gt;"",H41&lt;&gt;""),IFERROR(CHOOSE(FIND(G41,"DCBAS"),1,2,3,4,5),0)*'02_의사결정·종합결과'!$B$7+IFERROR(CHOOSE(FIND(H41,"DCBAS"),1,2,3,4,5),0)*'02_의사결정·종합결과'!$B$8,""),"")</f>
        <v/>
      </c>
      <c r="J41" s="114">
        <f>IF('01_인적정보'!B41="","",'05_공통역량평가'!I41)</f>
        <v/>
      </c>
      <c r="K41" s="114">
        <f>IF('01_인적정보'!B41="","",'05_공통역량평가'!I99)</f>
        <v/>
      </c>
      <c r="L41" s="115">
        <f>IFERROR(IF(AND(J41&lt;&gt;"",K41&lt;&gt;""),IFERROR(CHOOSE(FIND(J41,"DCBAS"),1,2,3,4,5),0)*'02_의사결정·종합결과'!$B$7+IFERROR(CHOOSE(FIND(K41,"DCBAS"),1,2,3,4,5),0)*'02_의사결정·종합결과'!$B$8,""),"")</f>
        <v/>
      </c>
      <c r="M41" s="114">
        <f>IF('01_인적정보'!B41="","",'06_직무역량평가'!J41)</f>
        <v/>
      </c>
      <c r="N41" s="114">
        <f>IF('01_인적정보'!B41="","",'06_직무역량평가'!J99)</f>
        <v/>
      </c>
      <c r="O41" s="115">
        <f>IFERROR(IF(AND(M41&lt;&gt;"",N41&lt;&gt;""),IFERROR(CHOOSE(FIND(M41,"DCBAS"),1,2,3,4,5),0)*'02_의사결정·종합결과'!$B$7+IFERROR(CHOOSE(FIND(N41,"DCBAS"),1,2,3,4,5),0)*'02_의사결정·종합결과'!$B$8,""),"")</f>
        <v/>
      </c>
      <c r="S41" s="121">
        <f>IF(OR(I41="",L41="",O41=""),"",I41*P41+L41*Q41+O41*R41)</f>
        <v/>
      </c>
      <c r="T41" s="116">
        <f>IF(S41="","",IF(S41&gt;=4.5,"S",IF(S41&gt;=3.5,"A",IF(S41&gt;=2.5,"B",IF(S41&gt;=1.5,"C","D")))))</f>
        <v/>
      </c>
      <c r="U41" s="122">
        <f>IF(S41="","",IF('02_의사결정·종합결과'!$B$6="절대평가",T41,IF(S41="","",IF(IFERROR(RANK(S41,$S$6:$S$55,0)/COUNT($S$6:$S$55),0)&lt;='02_의사결정·종합결과'!$B$11,"S",IF(IFERROR(RANK(S41,$S$6:$S$55,0)/COUNT($S$6:$S$55),0)&lt;='02_의사결정·종합결과'!$B$11+'02_의사결정·종합결과'!$C$11,"A",IF(IFERROR(RANK(S41,$S$6:$S$55,0)/COUNT($S$6:$S$55),0)&lt;='02_의사결정·종합결과'!$B$11+'02_의사결정·종합결과'!$C$11+'02_의사결정·종합결과'!$D$11,"B",IF(IFERROR(RANK(S41,$S$6:$S$55,0)/COUNT($S$6:$S$55),0)&lt;='02_의사결정·종합결과'!$B$11+'02_의사결정·종합결과'!$C$11+'02_의사결정·종합결과'!$D$11+'02_의사결정·종합결과'!$E$11,"C","D")))))))</f>
        <v/>
      </c>
    </row>
    <row r="42">
      <c r="G42" s="114">
        <f>IF('01_인적정보'!B42="","",'04_역할평가'!I42)</f>
        <v/>
      </c>
      <c r="H42" s="114">
        <f>IF('01_인적정보'!B42="","",'04_역할평가'!I100)</f>
        <v/>
      </c>
      <c r="I42" s="115">
        <f>IFERROR(IF(AND(G42&lt;&gt;"",H42&lt;&gt;""),IFERROR(CHOOSE(FIND(G42,"DCBAS"),1,2,3,4,5),0)*'02_의사결정·종합결과'!$B$7+IFERROR(CHOOSE(FIND(H42,"DCBAS"),1,2,3,4,5),0)*'02_의사결정·종합결과'!$B$8,""),"")</f>
        <v/>
      </c>
      <c r="J42" s="114">
        <f>IF('01_인적정보'!B42="","",'05_공통역량평가'!I42)</f>
        <v/>
      </c>
      <c r="K42" s="114">
        <f>IF('01_인적정보'!B42="","",'05_공통역량평가'!I100)</f>
        <v/>
      </c>
      <c r="L42" s="115">
        <f>IFERROR(IF(AND(J42&lt;&gt;"",K42&lt;&gt;""),IFERROR(CHOOSE(FIND(J42,"DCBAS"),1,2,3,4,5),0)*'02_의사결정·종합결과'!$B$7+IFERROR(CHOOSE(FIND(K42,"DCBAS"),1,2,3,4,5),0)*'02_의사결정·종합결과'!$B$8,""),"")</f>
        <v/>
      </c>
      <c r="M42" s="114">
        <f>IF('01_인적정보'!B42="","",'06_직무역량평가'!J42)</f>
        <v/>
      </c>
      <c r="N42" s="114">
        <f>IF('01_인적정보'!B42="","",'06_직무역량평가'!J100)</f>
        <v/>
      </c>
      <c r="O42" s="115">
        <f>IFERROR(IF(AND(M42&lt;&gt;"",N42&lt;&gt;""),IFERROR(CHOOSE(FIND(M42,"DCBAS"),1,2,3,4,5),0)*'02_의사결정·종합결과'!$B$7+IFERROR(CHOOSE(FIND(N42,"DCBAS"),1,2,3,4,5),0)*'02_의사결정·종합결과'!$B$8,""),"")</f>
        <v/>
      </c>
      <c r="S42" s="121">
        <f>IF(OR(I42="",L42="",O42=""),"",I42*P42+L42*Q42+O42*R42)</f>
        <v/>
      </c>
      <c r="T42" s="116">
        <f>IF(S42="","",IF(S42&gt;=4.5,"S",IF(S42&gt;=3.5,"A",IF(S42&gt;=2.5,"B",IF(S42&gt;=1.5,"C","D")))))</f>
        <v/>
      </c>
      <c r="U42" s="122">
        <f>IF(S42="","",IF('02_의사결정·종합결과'!$B$6="절대평가",T42,IF(S42="","",IF(IFERROR(RANK(S42,$S$6:$S$55,0)/COUNT($S$6:$S$55),0)&lt;='02_의사결정·종합결과'!$B$11,"S",IF(IFERROR(RANK(S42,$S$6:$S$55,0)/COUNT($S$6:$S$55),0)&lt;='02_의사결정·종합결과'!$B$11+'02_의사결정·종합결과'!$C$11,"A",IF(IFERROR(RANK(S42,$S$6:$S$55,0)/COUNT($S$6:$S$55),0)&lt;='02_의사결정·종합결과'!$B$11+'02_의사결정·종합결과'!$C$11+'02_의사결정·종합결과'!$D$11,"B",IF(IFERROR(RANK(S42,$S$6:$S$55,0)/COUNT($S$6:$S$55),0)&lt;='02_의사결정·종합결과'!$B$11+'02_의사결정·종합결과'!$C$11+'02_의사결정·종합결과'!$D$11+'02_의사결정·종합결과'!$E$11,"C","D")))))))</f>
        <v/>
      </c>
    </row>
    <row r="43">
      <c r="G43" s="114">
        <f>IF('01_인적정보'!B43="","",'04_역할평가'!I43)</f>
        <v/>
      </c>
      <c r="H43" s="114">
        <f>IF('01_인적정보'!B43="","",'04_역할평가'!I101)</f>
        <v/>
      </c>
      <c r="I43" s="115">
        <f>IFERROR(IF(AND(G43&lt;&gt;"",H43&lt;&gt;""),IFERROR(CHOOSE(FIND(G43,"DCBAS"),1,2,3,4,5),0)*'02_의사결정·종합결과'!$B$7+IFERROR(CHOOSE(FIND(H43,"DCBAS"),1,2,3,4,5),0)*'02_의사결정·종합결과'!$B$8,""),"")</f>
        <v/>
      </c>
      <c r="J43" s="114">
        <f>IF('01_인적정보'!B43="","",'05_공통역량평가'!I43)</f>
        <v/>
      </c>
      <c r="K43" s="114">
        <f>IF('01_인적정보'!B43="","",'05_공통역량평가'!I101)</f>
        <v/>
      </c>
      <c r="L43" s="115">
        <f>IFERROR(IF(AND(J43&lt;&gt;"",K43&lt;&gt;""),IFERROR(CHOOSE(FIND(J43,"DCBAS"),1,2,3,4,5),0)*'02_의사결정·종합결과'!$B$7+IFERROR(CHOOSE(FIND(K43,"DCBAS"),1,2,3,4,5),0)*'02_의사결정·종합결과'!$B$8,""),"")</f>
        <v/>
      </c>
      <c r="M43" s="114">
        <f>IF('01_인적정보'!B43="","",'06_직무역량평가'!J43)</f>
        <v/>
      </c>
      <c r="N43" s="114">
        <f>IF('01_인적정보'!B43="","",'06_직무역량평가'!J101)</f>
        <v/>
      </c>
      <c r="O43" s="115">
        <f>IFERROR(IF(AND(M43&lt;&gt;"",N43&lt;&gt;""),IFERROR(CHOOSE(FIND(M43,"DCBAS"),1,2,3,4,5),0)*'02_의사결정·종합결과'!$B$7+IFERROR(CHOOSE(FIND(N43,"DCBAS"),1,2,3,4,5),0)*'02_의사결정·종합결과'!$B$8,""),"")</f>
        <v/>
      </c>
      <c r="S43" s="121">
        <f>IF(OR(I43="",L43="",O43=""),"",I43*P43+L43*Q43+O43*R43)</f>
        <v/>
      </c>
      <c r="T43" s="116">
        <f>IF(S43="","",IF(S43&gt;=4.5,"S",IF(S43&gt;=3.5,"A",IF(S43&gt;=2.5,"B",IF(S43&gt;=1.5,"C","D")))))</f>
        <v/>
      </c>
      <c r="U43" s="122">
        <f>IF(S43="","",IF('02_의사결정·종합결과'!$B$6="절대평가",T43,IF(S43="","",IF(IFERROR(RANK(S43,$S$6:$S$55,0)/COUNT($S$6:$S$55),0)&lt;='02_의사결정·종합결과'!$B$11,"S",IF(IFERROR(RANK(S43,$S$6:$S$55,0)/COUNT($S$6:$S$55),0)&lt;='02_의사결정·종합결과'!$B$11+'02_의사결정·종합결과'!$C$11,"A",IF(IFERROR(RANK(S43,$S$6:$S$55,0)/COUNT($S$6:$S$55),0)&lt;='02_의사결정·종합결과'!$B$11+'02_의사결정·종합결과'!$C$11+'02_의사결정·종합결과'!$D$11,"B",IF(IFERROR(RANK(S43,$S$6:$S$55,0)/COUNT($S$6:$S$55),0)&lt;='02_의사결정·종합결과'!$B$11+'02_의사결정·종합결과'!$C$11+'02_의사결정·종합결과'!$D$11+'02_의사결정·종합결과'!$E$11,"C","D")))))))</f>
        <v/>
      </c>
    </row>
    <row r="44">
      <c r="G44" s="114">
        <f>IF('01_인적정보'!B44="","",'04_역할평가'!I44)</f>
        <v/>
      </c>
      <c r="H44" s="114">
        <f>IF('01_인적정보'!B44="","",'04_역할평가'!I102)</f>
        <v/>
      </c>
      <c r="I44" s="115">
        <f>IFERROR(IF(AND(G44&lt;&gt;"",H44&lt;&gt;""),IFERROR(CHOOSE(FIND(G44,"DCBAS"),1,2,3,4,5),0)*'02_의사결정·종합결과'!$B$7+IFERROR(CHOOSE(FIND(H44,"DCBAS"),1,2,3,4,5),0)*'02_의사결정·종합결과'!$B$8,""),"")</f>
        <v/>
      </c>
      <c r="J44" s="114">
        <f>IF('01_인적정보'!B44="","",'05_공통역량평가'!I44)</f>
        <v/>
      </c>
      <c r="K44" s="114">
        <f>IF('01_인적정보'!B44="","",'05_공통역량평가'!I102)</f>
        <v/>
      </c>
      <c r="L44" s="115">
        <f>IFERROR(IF(AND(J44&lt;&gt;"",K44&lt;&gt;""),IFERROR(CHOOSE(FIND(J44,"DCBAS"),1,2,3,4,5),0)*'02_의사결정·종합결과'!$B$7+IFERROR(CHOOSE(FIND(K44,"DCBAS"),1,2,3,4,5),0)*'02_의사결정·종합결과'!$B$8,""),"")</f>
        <v/>
      </c>
      <c r="M44" s="114">
        <f>IF('01_인적정보'!B44="","",'06_직무역량평가'!J44)</f>
        <v/>
      </c>
      <c r="N44" s="114">
        <f>IF('01_인적정보'!B44="","",'06_직무역량평가'!J102)</f>
        <v/>
      </c>
      <c r="O44" s="115">
        <f>IFERROR(IF(AND(M44&lt;&gt;"",N44&lt;&gt;""),IFERROR(CHOOSE(FIND(M44,"DCBAS"),1,2,3,4,5),0)*'02_의사결정·종합결과'!$B$7+IFERROR(CHOOSE(FIND(N44,"DCBAS"),1,2,3,4,5),0)*'02_의사결정·종합결과'!$B$8,""),"")</f>
        <v/>
      </c>
      <c r="S44" s="121">
        <f>IF(OR(I44="",L44="",O44=""),"",I44*P44+L44*Q44+O44*R44)</f>
        <v/>
      </c>
      <c r="T44" s="116">
        <f>IF(S44="","",IF(S44&gt;=4.5,"S",IF(S44&gt;=3.5,"A",IF(S44&gt;=2.5,"B",IF(S44&gt;=1.5,"C","D")))))</f>
        <v/>
      </c>
      <c r="U44" s="122">
        <f>IF(S44="","",IF('02_의사결정·종합결과'!$B$6="절대평가",T44,IF(S44="","",IF(IFERROR(RANK(S44,$S$6:$S$55,0)/COUNT($S$6:$S$55),0)&lt;='02_의사결정·종합결과'!$B$11,"S",IF(IFERROR(RANK(S44,$S$6:$S$55,0)/COUNT($S$6:$S$55),0)&lt;='02_의사결정·종합결과'!$B$11+'02_의사결정·종합결과'!$C$11,"A",IF(IFERROR(RANK(S44,$S$6:$S$55,0)/COUNT($S$6:$S$55),0)&lt;='02_의사결정·종합결과'!$B$11+'02_의사결정·종합결과'!$C$11+'02_의사결정·종합결과'!$D$11,"B",IF(IFERROR(RANK(S44,$S$6:$S$55,0)/COUNT($S$6:$S$55),0)&lt;='02_의사결정·종합결과'!$B$11+'02_의사결정·종합결과'!$C$11+'02_의사결정·종합결과'!$D$11+'02_의사결정·종합결과'!$E$11,"C","D")))))))</f>
        <v/>
      </c>
    </row>
    <row r="45">
      <c r="G45" s="114">
        <f>IF('01_인적정보'!B45="","",'04_역할평가'!I45)</f>
        <v/>
      </c>
      <c r="H45" s="114">
        <f>IF('01_인적정보'!B45="","",'04_역할평가'!I103)</f>
        <v/>
      </c>
      <c r="I45" s="115">
        <f>IFERROR(IF(AND(G45&lt;&gt;"",H45&lt;&gt;""),IFERROR(CHOOSE(FIND(G45,"DCBAS"),1,2,3,4,5),0)*'02_의사결정·종합결과'!$B$7+IFERROR(CHOOSE(FIND(H45,"DCBAS"),1,2,3,4,5),0)*'02_의사결정·종합결과'!$B$8,""),"")</f>
        <v/>
      </c>
      <c r="J45" s="114">
        <f>IF('01_인적정보'!B45="","",'05_공통역량평가'!I45)</f>
        <v/>
      </c>
      <c r="K45" s="114">
        <f>IF('01_인적정보'!B45="","",'05_공통역량평가'!I103)</f>
        <v/>
      </c>
      <c r="L45" s="115">
        <f>IFERROR(IF(AND(J45&lt;&gt;"",K45&lt;&gt;""),IFERROR(CHOOSE(FIND(J45,"DCBAS"),1,2,3,4,5),0)*'02_의사결정·종합결과'!$B$7+IFERROR(CHOOSE(FIND(K45,"DCBAS"),1,2,3,4,5),0)*'02_의사결정·종합결과'!$B$8,""),"")</f>
        <v/>
      </c>
      <c r="M45" s="114">
        <f>IF('01_인적정보'!B45="","",'06_직무역량평가'!J45)</f>
        <v/>
      </c>
      <c r="N45" s="114">
        <f>IF('01_인적정보'!B45="","",'06_직무역량평가'!J103)</f>
        <v/>
      </c>
      <c r="O45" s="115">
        <f>IFERROR(IF(AND(M45&lt;&gt;"",N45&lt;&gt;""),IFERROR(CHOOSE(FIND(M45,"DCBAS"),1,2,3,4,5),0)*'02_의사결정·종합결과'!$B$7+IFERROR(CHOOSE(FIND(N45,"DCBAS"),1,2,3,4,5),0)*'02_의사결정·종합결과'!$B$8,""),"")</f>
        <v/>
      </c>
      <c r="S45" s="121">
        <f>IF(OR(I45="",L45="",O45=""),"",I45*P45+L45*Q45+O45*R45)</f>
        <v/>
      </c>
      <c r="T45" s="116">
        <f>IF(S45="","",IF(S45&gt;=4.5,"S",IF(S45&gt;=3.5,"A",IF(S45&gt;=2.5,"B",IF(S45&gt;=1.5,"C","D")))))</f>
        <v/>
      </c>
      <c r="U45" s="122">
        <f>IF(S45="","",IF('02_의사결정·종합결과'!$B$6="절대평가",T45,IF(S45="","",IF(IFERROR(RANK(S45,$S$6:$S$55,0)/COUNT($S$6:$S$55),0)&lt;='02_의사결정·종합결과'!$B$11,"S",IF(IFERROR(RANK(S45,$S$6:$S$55,0)/COUNT($S$6:$S$55),0)&lt;='02_의사결정·종합결과'!$B$11+'02_의사결정·종합결과'!$C$11,"A",IF(IFERROR(RANK(S45,$S$6:$S$55,0)/COUNT($S$6:$S$55),0)&lt;='02_의사결정·종합결과'!$B$11+'02_의사결정·종합결과'!$C$11+'02_의사결정·종합결과'!$D$11,"B",IF(IFERROR(RANK(S45,$S$6:$S$55,0)/COUNT($S$6:$S$55),0)&lt;='02_의사결정·종합결과'!$B$11+'02_의사결정·종합결과'!$C$11+'02_의사결정·종합결과'!$D$11+'02_의사결정·종합결과'!$E$11,"C","D")))))))</f>
        <v/>
      </c>
    </row>
    <row r="46">
      <c r="G46" s="114">
        <f>IF('01_인적정보'!B46="","",'04_역할평가'!I46)</f>
        <v/>
      </c>
      <c r="H46" s="114">
        <f>IF('01_인적정보'!B46="","",'04_역할평가'!I104)</f>
        <v/>
      </c>
      <c r="I46" s="115">
        <f>IFERROR(IF(AND(G46&lt;&gt;"",H46&lt;&gt;""),IFERROR(CHOOSE(FIND(G46,"DCBAS"),1,2,3,4,5),0)*'02_의사결정·종합결과'!$B$7+IFERROR(CHOOSE(FIND(H46,"DCBAS"),1,2,3,4,5),0)*'02_의사결정·종합결과'!$B$8,""),"")</f>
        <v/>
      </c>
      <c r="J46" s="114">
        <f>IF('01_인적정보'!B46="","",'05_공통역량평가'!I46)</f>
        <v/>
      </c>
      <c r="K46" s="114">
        <f>IF('01_인적정보'!B46="","",'05_공통역량평가'!I104)</f>
        <v/>
      </c>
      <c r="L46" s="115">
        <f>IFERROR(IF(AND(J46&lt;&gt;"",K46&lt;&gt;""),IFERROR(CHOOSE(FIND(J46,"DCBAS"),1,2,3,4,5),0)*'02_의사결정·종합결과'!$B$7+IFERROR(CHOOSE(FIND(K46,"DCBAS"),1,2,3,4,5),0)*'02_의사결정·종합결과'!$B$8,""),"")</f>
        <v/>
      </c>
      <c r="M46" s="114">
        <f>IF('01_인적정보'!B46="","",'06_직무역량평가'!J46)</f>
        <v/>
      </c>
      <c r="N46" s="114">
        <f>IF('01_인적정보'!B46="","",'06_직무역량평가'!J104)</f>
        <v/>
      </c>
      <c r="O46" s="115">
        <f>IFERROR(IF(AND(M46&lt;&gt;"",N46&lt;&gt;""),IFERROR(CHOOSE(FIND(M46,"DCBAS"),1,2,3,4,5),0)*'02_의사결정·종합결과'!$B$7+IFERROR(CHOOSE(FIND(N46,"DCBAS"),1,2,3,4,5),0)*'02_의사결정·종합결과'!$B$8,""),"")</f>
        <v/>
      </c>
      <c r="S46" s="121">
        <f>IF(OR(I46="",L46="",O46=""),"",I46*P46+L46*Q46+O46*R46)</f>
        <v/>
      </c>
      <c r="T46" s="116">
        <f>IF(S46="","",IF(S46&gt;=4.5,"S",IF(S46&gt;=3.5,"A",IF(S46&gt;=2.5,"B",IF(S46&gt;=1.5,"C","D")))))</f>
        <v/>
      </c>
      <c r="U46" s="122">
        <f>IF(S46="","",IF('02_의사결정·종합결과'!$B$6="절대평가",T46,IF(S46="","",IF(IFERROR(RANK(S46,$S$6:$S$55,0)/COUNT($S$6:$S$55),0)&lt;='02_의사결정·종합결과'!$B$11,"S",IF(IFERROR(RANK(S46,$S$6:$S$55,0)/COUNT($S$6:$S$55),0)&lt;='02_의사결정·종합결과'!$B$11+'02_의사결정·종합결과'!$C$11,"A",IF(IFERROR(RANK(S46,$S$6:$S$55,0)/COUNT($S$6:$S$55),0)&lt;='02_의사결정·종합결과'!$B$11+'02_의사결정·종합결과'!$C$11+'02_의사결정·종합결과'!$D$11,"B",IF(IFERROR(RANK(S46,$S$6:$S$55,0)/COUNT($S$6:$S$55),0)&lt;='02_의사결정·종합결과'!$B$11+'02_의사결정·종합결과'!$C$11+'02_의사결정·종합결과'!$D$11+'02_의사결정·종합결과'!$E$11,"C","D")))))))</f>
        <v/>
      </c>
    </row>
    <row r="47">
      <c r="G47" s="114">
        <f>IF('01_인적정보'!B47="","",'04_역할평가'!I47)</f>
        <v/>
      </c>
      <c r="H47" s="114">
        <f>IF('01_인적정보'!B47="","",'04_역할평가'!I105)</f>
        <v/>
      </c>
      <c r="I47" s="115">
        <f>IFERROR(IF(AND(G47&lt;&gt;"",H47&lt;&gt;""),IFERROR(CHOOSE(FIND(G47,"DCBAS"),1,2,3,4,5),0)*'02_의사결정·종합결과'!$B$7+IFERROR(CHOOSE(FIND(H47,"DCBAS"),1,2,3,4,5),0)*'02_의사결정·종합결과'!$B$8,""),"")</f>
        <v/>
      </c>
      <c r="J47" s="114">
        <f>IF('01_인적정보'!B47="","",'05_공통역량평가'!I47)</f>
        <v/>
      </c>
      <c r="K47" s="114">
        <f>IF('01_인적정보'!B47="","",'05_공통역량평가'!I105)</f>
        <v/>
      </c>
      <c r="L47" s="115">
        <f>IFERROR(IF(AND(J47&lt;&gt;"",K47&lt;&gt;""),IFERROR(CHOOSE(FIND(J47,"DCBAS"),1,2,3,4,5),0)*'02_의사결정·종합결과'!$B$7+IFERROR(CHOOSE(FIND(K47,"DCBAS"),1,2,3,4,5),0)*'02_의사결정·종합결과'!$B$8,""),"")</f>
        <v/>
      </c>
      <c r="M47" s="114">
        <f>IF('01_인적정보'!B47="","",'06_직무역량평가'!J47)</f>
        <v/>
      </c>
      <c r="N47" s="114">
        <f>IF('01_인적정보'!B47="","",'06_직무역량평가'!J105)</f>
        <v/>
      </c>
      <c r="O47" s="115">
        <f>IFERROR(IF(AND(M47&lt;&gt;"",N47&lt;&gt;""),IFERROR(CHOOSE(FIND(M47,"DCBAS"),1,2,3,4,5),0)*'02_의사결정·종합결과'!$B$7+IFERROR(CHOOSE(FIND(N47,"DCBAS"),1,2,3,4,5),0)*'02_의사결정·종합결과'!$B$8,""),"")</f>
        <v/>
      </c>
      <c r="S47" s="121">
        <f>IF(OR(I47="",L47="",O47=""),"",I47*P47+L47*Q47+O47*R47)</f>
        <v/>
      </c>
      <c r="T47" s="116">
        <f>IF(S47="","",IF(S47&gt;=4.5,"S",IF(S47&gt;=3.5,"A",IF(S47&gt;=2.5,"B",IF(S47&gt;=1.5,"C","D")))))</f>
        <v/>
      </c>
      <c r="U47" s="122">
        <f>IF(S47="","",IF('02_의사결정·종합결과'!$B$6="절대평가",T47,IF(S47="","",IF(IFERROR(RANK(S47,$S$6:$S$55,0)/COUNT($S$6:$S$55),0)&lt;='02_의사결정·종합결과'!$B$11,"S",IF(IFERROR(RANK(S47,$S$6:$S$55,0)/COUNT($S$6:$S$55),0)&lt;='02_의사결정·종합결과'!$B$11+'02_의사결정·종합결과'!$C$11,"A",IF(IFERROR(RANK(S47,$S$6:$S$55,0)/COUNT($S$6:$S$55),0)&lt;='02_의사결정·종합결과'!$B$11+'02_의사결정·종합결과'!$C$11+'02_의사결정·종합결과'!$D$11,"B",IF(IFERROR(RANK(S47,$S$6:$S$55,0)/COUNT($S$6:$S$55),0)&lt;='02_의사결정·종합결과'!$B$11+'02_의사결정·종합결과'!$C$11+'02_의사결정·종합결과'!$D$11+'02_의사결정·종합결과'!$E$11,"C","D")))))))</f>
        <v/>
      </c>
    </row>
    <row r="48">
      <c r="G48" s="114">
        <f>IF('01_인적정보'!B48="","",'04_역할평가'!I48)</f>
        <v/>
      </c>
      <c r="H48" s="114">
        <f>IF('01_인적정보'!B48="","",'04_역할평가'!I106)</f>
        <v/>
      </c>
      <c r="I48" s="115">
        <f>IFERROR(IF(AND(G48&lt;&gt;"",H48&lt;&gt;""),IFERROR(CHOOSE(FIND(G48,"DCBAS"),1,2,3,4,5),0)*'02_의사결정·종합결과'!$B$7+IFERROR(CHOOSE(FIND(H48,"DCBAS"),1,2,3,4,5),0)*'02_의사결정·종합결과'!$B$8,""),"")</f>
        <v/>
      </c>
      <c r="J48" s="114">
        <f>IF('01_인적정보'!B48="","",'05_공통역량평가'!I48)</f>
        <v/>
      </c>
      <c r="K48" s="114">
        <f>IF('01_인적정보'!B48="","",'05_공통역량평가'!I106)</f>
        <v/>
      </c>
      <c r="L48" s="115">
        <f>IFERROR(IF(AND(J48&lt;&gt;"",K48&lt;&gt;""),IFERROR(CHOOSE(FIND(J48,"DCBAS"),1,2,3,4,5),0)*'02_의사결정·종합결과'!$B$7+IFERROR(CHOOSE(FIND(K48,"DCBAS"),1,2,3,4,5),0)*'02_의사결정·종합결과'!$B$8,""),"")</f>
        <v/>
      </c>
      <c r="M48" s="114">
        <f>IF('01_인적정보'!B48="","",'06_직무역량평가'!J48)</f>
        <v/>
      </c>
      <c r="N48" s="114">
        <f>IF('01_인적정보'!B48="","",'06_직무역량평가'!J106)</f>
        <v/>
      </c>
      <c r="O48" s="115">
        <f>IFERROR(IF(AND(M48&lt;&gt;"",N48&lt;&gt;""),IFERROR(CHOOSE(FIND(M48,"DCBAS"),1,2,3,4,5),0)*'02_의사결정·종합결과'!$B$7+IFERROR(CHOOSE(FIND(N48,"DCBAS"),1,2,3,4,5),0)*'02_의사결정·종합결과'!$B$8,""),"")</f>
        <v/>
      </c>
      <c r="S48" s="121">
        <f>IF(OR(I48="",L48="",O48=""),"",I48*P48+L48*Q48+O48*R48)</f>
        <v/>
      </c>
      <c r="T48" s="116">
        <f>IF(S48="","",IF(S48&gt;=4.5,"S",IF(S48&gt;=3.5,"A",IF(S48&gt;=2.5,"B",IF(S48&gt;=1.5,"C","D")))))</f>
        <v/>
      </c>
      <c r="U48" s="122">
        <f>IF(S48="","",IF('02_의사결정·종합결과'!$B$6="절대평가",T48,IF(S48="","",IF(IFERROR(RANK(S48,$S$6:$S$55,0)/COUNT($S$6:$S$55),0)&lt;='02_의사결정·종합결과'!$B$11,"S",IF(IFERROR(RANK(S48,$S$6:$S$55,0)/COUNT($S$6:$S$55),0)&lt;='02_의사결정·종합결과'!$B$11+'02_의사결정·종합결과'!$C$11,"A",IF(IFERROR(RANK(S48,$S$6:$S$55,0)/COUNT($S$6:$S$55),0)&lt;='02_의사결정·종합결과'!$B$11+'02_의사결정·종합결과'!$C$11+'02_의사결정·종합결과'!$D$11,"B",IF(IFERROR(RANK(S48,$S$6:$S$55,0)/COUNT($S$6:$S$55),0)&lt;='02_의사결정·종합결과'!$B$11+'02_의사결정·종합결과'!$C$11+'02_의사결정·종합결과'!$D$11+'02_의사결정·종합결과'!$E$11,"C","D")))))))</f>
        <v/>
      </c>
    </row>
    <row r="49">
      <c r="G49" s="114">
        <f>IF('01_인적정보'!B49="","",'04_역할평가'!I49)</f>
        <v/>
      </c>
      <c r="H49" s="114">
        <f>IF('01_인적정보'!B49="","",'04_역할평가'!I107)</f>
        <v/>
      </c>
      <c r="I49" s="115">
        <f>IFERROR(IF(AND(G49&lt;&gt;"",H49&lt;&gt;""),IFERROR(CHOOSE(FIND(G49,"DCBAS"),1,2,3,4,5),0)*'02_의사결정·종합결과'!$B$7+IFERROR(CHOOSE(FIND(H49,"DCBAS"),1,2,3,4,5),0)*'02_의사결정·종합결과'!$B$8,""),"")</f>
        <v/>
      </c>
      <c r="J49" s="114">
        <f>IF('01_인적정보'!B49="","",'05_공통역량평가'!I49)</f>
        <v/>
      </c>
      <c r="K49" s="114">
        <f>IF('01_인적정보'!B49="","",'05_공통역량평가'!I107)</f>
        <v/>
      </c>
      <c r="L49" s="115">
        <f>IFERROR(IF(AND(J49&lt;&gt;"",K49&lt;&gt;""),IFERROR(CHOOSE(FIND(J49,"DCBAS"),1,2,3,4,5),0)*'02_의사결정·종합결과'!$B$7+IFERROR(CHOOSE(FIND(K49,"DCBAS"),1,2,3,4,5),0)*'02_의사결정·종합결과'!$B$8,""),"")</f>
        <v/>
      </c>
      <c r="M49" s="114">
        <f>IF('01_인적정보'!B49="","",'06_직무역량평가'!J49)</f>
        <v/>
      </c>
      <c r="N49" s="114">
        <f>IF('01_인적정보'!B49="","",'06_직무역량평가'!J107)</f>
        <v/>
      </c>
      <c r="O49" s="115">
        <f>IFERROR(IF(AND(M49&lt;&gt;"",N49&lt;&gt;""),IFERROR(CHOOSE(FIND(M49,"DCBAS"),1,2,3,4,5),0)*'02_의사결정·종합결과'!$B$7+IFERROR(CHOOSE(FIND(N49,"DCBAS"),1,2,3,4,5),0)*'02_의사결정·종합결과'!$B$8,""),"")</f>
        <v/>
      </c>
      <c r="S49" s="121">
        <f>IF(OR(I49="",L49="",O49=""),"",I49*P49+L49*Q49+O49*R49)</f>
        <v/>
      </c>
      <c r="T49" s="116">
        <f>IF(S49="","",IF(S49&gt;=4.5,"S",IF(S49&gt;=3.5,"A",IF(S49&gt;=2.5,"B",IF(S49&gt;=1.5,"C","D")))))</f>
        <v/>
      </c>
      <c r="U49" s="122">
        <f>IF(S49="","",IF('02_의사결정·종합결과'!$B$6="절대평가",T49,IF(S49="","",IF(IFERROR(RANK(S49,$S$6:$S$55,0)/COUNT($S$6:$S$55),0)&lt;='02_의사결정·종합결과'!$B$11,"S",IF(IFERROR(RANK(S49,$S$6:$S$55,0)/COUNT($S$6:$S$55),0)&lt;='02_의사결정·종합결과'!$B$11+'02_의사결정·종합결과'!$C$11,"A",IF(IFERROR(RANK(S49,$S$6:$S$55,0)/COUNT($S$6:$S$55),0)&lt;='02_의사결정·종합결과'!$B$11+'02_의사결정·종합결과'!$C$11+'02_의사결정·종합결과'!$D$11,"B",IF(IFERROR(RANK(S49,$S$6:$S$55,0)/COUNT($S$6:$S$55),0)&lt;='02_의사결정·종합결과'!$B$11+'02_의사결정·종합결과'!$C$11+'02_의사결정·종합결과'!$D$11+'02_의사결정·종합결과'!$E$11,"C","D")))))))</f>
        <v/>
      </c>
    </row>
    <row r="50">
      <c r="G50" s="114">
        <f>IF('01_인적정보'!B50="","",'04_역할평가'!I50)</f>
        <v/>
      </c>
      <c r="H50" s="114">
        <f>IF('01_인적정보'!B50="","",'04_역할평가'!I108)</f>
        <v/>
      </c>
      <c r="I50" s="115">
        <f>IFERROR(IF(AND(G50&lt;&gt;"",H50&lt;&gt;""),IFERROR(CHOOSE(FIND(G50,"DCBAS"),1,2,3,4,5),0)*'02_의사결정·종합결과'!$B$7+IFERROR(CHOOSE(FIND(H50,"DCBAS"),1,2,3,4,5),0)*'02_의사결정·종합결과'!$B$8,""),"")</f>
        <v/>
      </c>
      <c r="J50" s="114">
        <f>IF('01_인적정보'!B50="","",'05_공통역량평가'!I50)</f>
        <v/>
      </c>
      <c r="K50" s="114">
        <f>IF('01_인적정보'!B50="","",'05_공통역량평가'!I108)</f>
        <v/>
      </c>
      <c r="L50" s="115">
        <f>IFERROR(IF(AND(J50&lt;&gt;"",K50&lt;&gt;""),IFERROR(CHOOSE(FIND(J50,"DCBAS"),1,2,3,4,5),0)*'02_의사결정·종합결과'!$B$7+IFERROR(CHOOSE(FIND(K50,"DCBAS"),1,2,3,4,5),0)*'02_의사결정·종합결과'!$B$8,""),"")</f>
        <v/>
      </c>
      <c r="M50" s="114">
        <f>IF('01_인적정보'!B50="","",'06_직무역량평가'!J50)</f>
        <v/>
      </c>
      <c r="N50" s="114">
        <f>IF('01_인적정보'!B50="","",'06_직무역량평가'!J108)</f>
        <v/>
      </c>
      <c r="O50" s="115">
        <f>IFERROR(IF(AND(M50&lt;&gt;"",N50&lt;&gt;""),IFERROR(CHOOSE(FIND(M50,"DCBAS"),1,2,3,4,5),0)*'02_의사결정·종합결과'!$B$7+IFERROR(CHOOSE(FIND(N50,"DCBAS"),1,2,3,4,5),0)*'02_의사결정·종합결과'!$B$8,""),"")</f>
        <v/>
      </c>
      <c r="S50" s="121">
        <f>IF(OR(I50="",L50="",O50=""),"",I50*P50+L50*Q50+O50*R50)</f>
        <v/>
      </c>
      <c r="T50" s="116">
        <f>IF(S50="","",IF(S50&gt;=4.5,"S",IF(S50&gt;=3.5,"A",IF(S50&gt;=2.5,"B",IF(S50&gt;=1.5,"C","D")))))</f>
        <v/>
      </c>
      <c r="U50" s="122">
        <f>IF(S50="","",IF('02_의사결정·종합결과'!$B$6="절대평가",T50,IF(S50="","",IF(IFERROR(RANK(S50,$S$6:$S$55,0)/COUNT($S$6:$S$55),0)&lt;='02_의사결정·종합결과'!$B$11,"S",IF(IFERROR(RANK(S50,$S$6:$S$55,0)/COUNT($S$6:$S$55),0)&lt;='02_의사결정·종합결과'!$B$11+'02_의사결정·종합결과'!$C$11,"A",IF(IFERROR(RANK(S50,$S$6:$S$55,0)/COUNT($S$6:$S$55),0)&lt;='02_의사결정·종합결과'!$B$11+'02_의사결정·종합결과'!$C$11+'02_의사결정·종합결과'!$D$11,"B",IF(IFERROR(RANK(S50,$S$6:$S$55,0)/COUNT($S$6:$S$55),0)&lt;='02_의사결정·종합결과'!$B$11+'02_의사결정·종합결과'!$C$11+'02_의사결정·종합결과'!$D$11+'02_의사결정·종합결과'!$E$11,"C","D")))))))</f>
        <v/>
      </c>
    </row>
    <row r="51">
      <c r="G51" s="114">
        <f>IF('01_인적정보'!B51="","",'04_역할평가'!I51)</f>
        <v/>
      </c>
      <c r="H51" s="114">
        <f>IF('01_인적정보'!B51="","",'04_역할평가'!I109)</f>
        <v/>
      </c>
      <c r="I51" s="115">
        <f>IFERROR(IF(AND(G51&lt;&gt;"",H51&lt;&gt;""),IFERROR(CHOOSE(FIND(G51,"DCBAS"),1,2,3,4,5),0)*'02_의사결정·종합결과'!$B$7+IFERROR(CHOOSE(FIND(H51,"DCBAS"),1,2,3,4,5),0)*'02_의사결정·종합결과'!$B$8,""),"")</f>
        <v/>
      </c>
      <c r="J51" s="114">
        <f>IF('01_인적정보'!B51="","",'05_공통역량평가'!I51)</f>
        <v/>
      </c>
      <c r="K51" s="114">
        <f>IF('01_인적정보'!B51="","",'05_공통역량평가'!I109)</f>
        <v/>
      </c>
      <c r="L51" s="115">
        <f>IFERROR(IF(AND(J51&lt;&gt;"",K51&lt;&gt;""),IFERROR(CHOOSE(FIND(J51,"DCBAS"),1,2,3,4,5),0)*'02_의사결정·종합결과'!$B$7+IFERROR(CHOOSE(FIND(K51,"DCBAS"),1,2,3,4,5),0)*'02_의사결정·종합결과'!$B$8,""),"")</f>
        <v/>
      </c>
      <c r="M51" s="114">
        <f>IF('01_인적정보'!B51="","",'06_직무역량평가'!J51)</f>
        <v/>
      </c>
      <c r="N51" s="114">
        <f>IF('01_인적정보'!B51="","",'06_직무역량평가'!J109)</f>
        <v/>
      </c>
      <c r="O51" s="115">
        <f>IFERROR(IF(AND(M51&lt;&gt;"",N51&lt;&gt;""),IFERROR(CHOOSE(FIND(M51,"DCBAS"),1,2,3,4,5),0)*'02_의사결정·종합결과'!$B$7+IFERROR(CHOOSE(FIND(N51,"DCBAS"),1,2,3,4,5),0)*'02_의사결정·종합결과'!$B$8,""),"")</f>
        <v/>
      </c>
      <c r="S51" s="121">
        <f>IF(OR(I51="",L51="",O51=""),"",I51*P51+L51*Q51+O51*R51)</f>
        <v/>
      </c>
      <c r="T51" s="116">
        <f>IF(S51="","",IF(S51&gt;=4.5,"S",IF(S51&gt;=3.5,"A",IF(S51&gt;=2.5,"B",IF(S51&gt;=1.5,"C","D")))))</f>
        <v/>
      </c>
      <c r="U51" s="122">
        <f>IF(S51="","",IF('02_의사결정·종합결과'!$B$6="절대평가",T51,IF(S51="","",IF(IFERROR(RANK(S51,$S$6:$S$55,0)/COUNT($S$6:$S$55),0)&lt;='02_의사결정·종합결과'!$B$11,"S",IF(IFERROR(RANK(S51,$S$6:$S$55,0)/COUNT($S$6:$S$55),0)&lt;='02_의사결정·종합결과'!$B$11+'02_의사결정·종합결과'!$C$11,"A",IF(IFERROR(RANK(S51,$S$6:$S$55,0)/COUNT($S$6:$S$55),0)&lt;='02_의사결정·종합결과'!$B$11+'02_의사결정·종합결과'!$C$11+'02_의사결정·종합결과'!$D$11,"B",IF(IFERROR(RANK(S51,$S$6:$S$55,0)/COUNT($S$6:$S$55),0)&lt;='02_의사결정·종합결과'!$B$11+'02_의사결정·종합결과'!$C$11+'02_의사결정·종합결과'!$D$11+'02_의사결정·종합결과'!$E$11,"C","D")))))))</f>
        <v/>
      </c>
    </row>
    <row r="52">
      <c r="G52" s="114">
        <f>IF('01_인적정보'!B52="","",'04_역할평가'!I52)</f>
        <v/>
      </c>
      <c r="H52" s="114">
        <f>IF('01_인적정보'!B52="","",'04_역할평가'!I110)</f>
        <v/>
      </c>
      <c r="I52" s="115">
        <f>IFERROR(IF(AND(G52&lt;&gt;"",H52&lt;&gt;""),IFERROR(CHOOSE(FIND(G52,"DCBAS"),1,2,3,4,5),0)*'02_의사결정·종합결과'!$B$7+IFERROR(CHOOSE(FIND(H52,"DCBAS"),1,2,3,4,5),0)*'02_의사결정·종합결과'!$B$8,""),"")</f>
        <v/>
      </c>
      <c r="J52" s="114">
        <f>IF('01_인적정보'!B52="","",'05_공통역량평가'!I52)</f>
        <v/>
      </c>
      <c r="K52" s="114">
        <f>IF('01_인적정보'!B52="","",'05_공통역량평가'!I110)</f>
        <v/>
      </c>
      <c r="L52" s="115">
        <f>IFERROR(IF(AND(J52&lt;&gt;"",K52&lt;&gt;""),IFERROR(CHOOSE(FIND(J52,"DCBAS"),1,2,3,4,5),0)*'02_의사결정·종합결과'!$B$7+IFERROR(CHOOSE(FIND(K52,"DCBAS"),1,2,3,4,5),0)*'02_의사결정·종합결과'!$B$8,""),"")</f>
        <v/>
      </c>
      <c r="M52" s="114">
        <f>IF('01_인적정보'!B52="","",'06_직무역량평가'!J52)</f>
        <v/>
      </c>
      <c r="N52" s="114">
        <f>IF('01_인적정보'!B52="","",'06_직무역량평가'!J110)</f>
        <v/>
      </c>
      <c r="O52" s="115">
        <f>IFERROR(IF(AND(M52&lt;&gt;"",N52&lt;&gt;""),IFERROR(CHOOSE(FIND(M52,"DCBAS"),1,2,3,4,5),0)*'02_의사결정·종합결과'!$B$7+IFERROR(CHOOSE(FIND(N52,"DCBAS"),1,2,3,4,5),0)*'02_의사결정·종합결과'!$B$8,""),"")</f>
        <v/>
      </c>
      <c r="S52" s="121">
        <f>IF(OR(I52="",L52="",O52=""),"",I52*P52+L52*Q52+O52*R52)</f>
        <v/>
      </c>
      <c r="T52" s="116">
        <f>IF(S52="","",IF(S52&gt;=4.5,"S",IF(S52&gt;=3.5,"A",IF(S52&gt;=2.5,"B",IF(S52&gt;=1.5,"C","D")))))</f>
        <v/>
      </c>
      <c r="U52" s="122">
        <f>IF(S52="","",IF('02_의사결정·종합결과'!$B$6="절대평가",T52,IF(S52="","",IF(IFERROR(RANK(S52,$S$6:$S$55,0)/COUNT($S$6:$S$55),0)&lt;='02_의사결정·종합결과'!$B$11,"S",IF(IFERROR(RANK(S52,$S$6:$S$55,0)/COUNT($S$6:$S$55),0)&lt;='02_의사결정·종합결과'!$B$11+'02_의사결정·종합결과'!$C$11,"A",IF(IFERROR(RANK(S52,$S$6:$S$55,0)/COUNT($S$6:$S$55),0)&lt;='02_의사결정·종합결과'!$B$11+'02_의사결정·종합결과'!$C$11+'02_의사결정·종합결과'!$D$11,"B",IF(IFERROR(RANK(S52,$S$6:$S$55,0)/COUNT($S$6:$S$55),0)&lt;='02_의사결정·종합결과'!$B$11+'02_의사결정·종합결과'!$C$11+'02_의사결정·종합결과'!$D$11+'02_의사결정·종합결과'!$E$11,"C","D")))))))</f>
        <v/>
      </c>
    </row>
    <row r="53">
      <c r="G53" s="114">
        <f>IF('01_인적정보'!B53="","",'04_역할평가'!I53)</f>
        <v/>
      </c>
      <c r="H53" s="114">
        <f>IF('01_인적정보'!B53="","",'04_역할평가'!I111)</f>
        <v/>
      </c>
      <c r="I53" s="115">
        <f>IFERROR(IF(AND(G53&lt;&gt;"",H53&lt;&gt;""),IFERROR(CHOOSE(FIND(G53,"DCBAS"),1,2,3,4,5),0)*'02_의사결정·종합결과'!$B$7+IFERROR(CHOOSE(FIND(H53,"DCBAS"),1,2,3,4,5),0)*'02_의사결정·종합결과'!$B$8,""),"")</f>
        <v/>
      </c>
      <c r="J53" s="114">
        <f>IF('01_인적정보'!B53="","",'05_공통역량평가'!I53)</f>
        <v/>
      </c>
      <c r="K53" s="114">
        <f>IF('01_인적정보'!B53="","",'05_공통역량평가'!I111)</f>
        <v/>
      </c>
      <c r="L53" s="115">
        <f>IFERROR(IF(AND(J53&lt;&gt;"",K53&lt;&gt;""),IFERROR(CHOOSE(FIND(J53,"DCBAS"),1,2,3,4,5),0)*'02_의사결정·종합결과'!$B$7+IFERROR(CHOOSE(FIND(K53,"DCBAS"),1,2,3,4,5),0)*'02_의사결정·종합결과'!$B$8,""),"")</f>
        <v/>
      </c>
      <c r="M53" s="114">
        <f>IF('01_인적정보'!B53="","",'06_직무역량평가'!J53)</f>
        <v/>
      </c>
      <c r="N53" s="114">
        <f>IF('01_인적정보'!B53="","",'06_직무역량평가'!J111)</f>
        <v/>
      </c>
      <c r="O53" s="115">
        <f>IFERROR(IF(AND(M53&lt;&gt;"",N53&lt;&gt;""),IFERROR(CHOOSE(FIND(M53,"DCBAS"),1,2,3,4,5),0)*'02_의사결정·종합결과'!$B$7+IFERROR(CHOOSE(FIND(N53,"DCBAS"),1,2,3,4,5),0)*'02_의사결정·종합결과'!$B$8,""),"")</f>
        <v/>
      </c>
      <c r="S53" s="121">
        <f>IF(OR(I53="",L53="",O53=""),"",I53*P53+L53*Q53+O53*R53)</f>
        <v/>
      </c>
      <c r="T53" s="116">
        <f>IF(S53="","",IF(S53&gt;=4.5,"S",IF(S53&gt;=3.5,"A",IF(S53&gt;=2.5,"B",IF(S53&gt;=1.5,"C","D")))))</f>
        <v/>
      </c>
      <c r="U53" s="122">
        <f>IF(S53="","",IF('02_의사결정·종합결과'!$B$6="절대평가",T53,IF(S53="","",IF(IFERROR(RANK(S53,$S$6:$S$55,0)/COUNT($S$6:$S$55),0)&lt;='02_의사결정·종합결과'!$B$11,"S",IF(IFERROR(RANK(S53,$S$6:$S$55,0)/COUNT($S$6:$S$55),0)&lt;='02_의사결정·종합결과'!$B$11+'02_의사결정·종합결과'!$C$11,"A",IF(IFERROR(RANK(S53,$S$6:$S$55,0)/COUNT($S$6:$S$55),0)&lt;='02_의사결정·종합결과'!$B$11+'02_의사결정·종합결과'!$C$11+'02_의사결정·종합결과'!$D$11,"B",IF(IFERROR(RANK(S53,$S$6:$S$55,0)/COUNT($S$6:$S$55),0)&lt;='02_의사결정·종합결과'!$B$11+'02_의사결정·종합결과'!$C$11+'02_의사결정·종합결과'!$D$11+'02_의사결정·종합결과'!$E$11,"C","D")))))))</f>
        <v/>
      </c>
    </row>
    <row r="54">
      <c r="G54" s="114">
        <f>IF('01_인적정보'!B54="","",'04_역할평가'!I54)</f>
        <v/>
      </c>
      <c r="H54" s="114">
        <f>IF('01_인적정보'!B54="","",'04_역할평가'!I112)</f>
        <v/>
      </c>
      <c r="I54" s="115">
        <f>IFERROR(IF(AND(G54&lt;&gt;"",H54&lt;&gt;""),IFERROR(CHOOSE(FIND(G54,"DCBAS"),1,2,3,4,5),0)*'02_의사결정·종합결과'!$B$7+IFERROR(CHOOSE(FIND(H54,"DCBAS"),1,2,3,4,5),0)*'02_의사결정·종합결과'!$B$8,""),"")</f>
        <v/>
      </c>
      <c r="J54" s="114">
        <f>IF('01_인적정보'!B54="","",'05_공통역량평가'!I54)</f>
        <v/>
      </c>
      <c r="K54" s="114">
        <f>IF('01_인적정보'!B54="","",'05_공통역량평가'!I112)</f>
        <v/>
      </c>
      <c r="L54" s="115">
        <f>IFERROR(IF(AND(J54&lt;&gt;"",K54&lt;&gt;""),IFERROR(CHOOSE(FIND(J54,"DCBAS"),1,2,3,4,5),0)*'02_의사결정·종합결과'!$B$7+IFERROR(CHOOSE(FIND(K54,"DCBAS"),1,2,3,4,5),0)*'02_의사결정·종합결과'!$B$8,""),"")</f>
        <v/>
      </c>
      <c r="M54" s="114">
        <f>IF('01_인적정보'!B54="","",'06_직무역량평가'!J54)</f>
        <v/>
      </c>
      <c r="N54" s="114">
        <f>IF('01_인적정보'!B54="","",'06_직무역량평가'!J112)</f>
        <v/>
      </c>
      <c r="O54" s="115">
        <f>IFERROR(IF(AND(M54&lt;&gt;"",N54&lt;&gt;""),IFERROR(CHOOSE(FIND(M54,"DCBAS"),1,2,3,4,5),0)*'02_의사결정·종합결과'!$B$7+IFERROR(CHOOSE(FIND(N54,"DCBAS"),1,2,3,4,5),0)*'02_의사결정·종합결과'!$B$8,""),"")</f>
        <v/>
      </c>
      <c r="S54" s="121">
        <f>IF(OR(I54="",L54="",O54=""),"",I54*P54+L54*Q54+O54*R54)</f>
        <v/>
      </c>
      <c r="T54" s="116">
        <f>IF(S54="","",IF(S54&gt;=4.5,"S",IF(S54&gt;=3.5,"A",IF(S54&gt;=2.5,"B",IF(S54&gt;=1.5,"C","D")))))</f>
        <v/>
      </c>
      <c r="U54" s="122">
        <f>IF(S54="","",IF('02_의사결정·종합결과'!$B$6="절대평가",T54,IF(S54="","",IF(IFERROR(RANK(S54,$S$6:$S$55,0)/COUNT($S$6:$S$55),0)&lt;='02_의사결정·종합결과'!$B$11,"S",IF(IFERROR(RANK(S54,$S$6:$S$55,0)/COUNT($S$6:$S$55),0)&lt;='02_의사결정·종합결과'!$B$11+'02_의사결정·종합결과'!$C$11,"A",IF(IFERROR(RANK(S54,$S$6:$S$55,0)/COUNT($S$6:$S$55),0)&lt;='02_의사결정·종합결과'!$B$11+'02_의사결정·종합결과'!$C$11+'02_의사결정·종합결과'!$D$11,"B",IF(IFERROR(RANK(S54,$S$6:$S$55,0)/COUNT($S$6:$S$55),0)&lt;='02_의사결정·종합결과'!$B$11+'02_의사결정·종합결과'!$C$11+'02_의사결정·종합결과'!$D$11+'02_의사결정·종합결과'!$E$11,"C","D")))))))</f>
        <v/>
      </c>
    </row>
    <row r="55">
      <c r="G55" s="114">
        <f>IF('01_인적정보'!B55="","",'04_역할평가'!I55)</f>
        <v/>
      </c>
      <c r="H55" s="114">
        <f>IF('01_인적정보'!B55="","",'04_역할평가'!I113)</f>
        <v/>
      </c>
      <c r="I55" s="115">
        <f>IFERROR(IF(AND(G55&lt;&gt;"",H55&lt;&gt;""),IFERROR(CHOOSE(FIND(G55,"DCBAS"),1,2,3,4,5),0)*'02_의사결정·종합결과'!$B$7+IFERROR(CHOOSE(FIND(H55,"DCBAS"),1,2,3,4,5),0)*'02_의사결정·종합결과'!$B$8,""),"")</f>
        <v/>
      </c>
      <c r="J55" s="114">
        <f>IF('01_인적정보'!B55="","",'05_공통역량평가'!I55)</f>
        <v/>
      </c>
      <c r="K55" s="114">
        <f>IF('01_인적정보'!B55="","",'05_공통역량평가'!I113)</f>
        <v/>
      </c>
      <c r="L55" s="115">
        <f>IFERROR(IF(AND(J55&lt;&gt;"",K55&lt;&gt;""),IFERROR(CHOOSE(FIND(J55,"DCBAS"),1,2,3,4,5),0)*'02_의사결정·종합결과'!$B$7+IFERROR(CHOOSE(FIND(K55,"DCBAS"),1,2,3,4,5),0)*'02_의사결정·종합결과'!$B$8,""),"")</f>
        <v/>
      </c>
      <c r="M55" s="114">
        <f>IF('01_인적정보'!B55="","",'06_직무역량평가'!J55)</f>
        <v/>
      </c>
      <c r="N55" s="114">
        <f>IF('01_인적정보'!B55="","",'06_직무역량평가'!J113)</f>
        <v/>
      </c>
      <c r="O55" s="115">
        <f>IFERROR(IF(AND(M55&lt;&gt;"",N55&lt;&gt;""),IFERROR(CHOOSE(FIND(M55,"DCBAS"),1,2,3,4,5),0)*'02_의사결정·종합결과'!$B$7+IFERROR(CHOOSE(FIND(N55,"DCBAS"),1,2,3,4,5),0)*'02_의사결정·종합결과'!$B$8,""),"")</f>
        <v/>
      </c>
      <c r="S55" s="121">
        <f>IF(OR(I55="",L55="",O55=""),"",I55*P55+L55*Q55+O55*R55)</f>
        <v/>
      </c>
      <c r="T55" s="116">
        <f>IF(S55="","",IF(S55&gt;=4.5,"S",IF(S55&gt;=3.5,"A",IF(S55&gt;=2.5,"B",IF(S55&gt;=1.5,"C","D")))))</f>
        <v/>
      </c>
      <c r="U55" s="122">
        <f>IF(S55="","",IF('02_의사결정·종합결과'!$B$6="절대평가",T55,IF(S55="","",IF(IFERROR(RANK(S55,$S$6:$S$55,0)/COUNT($S$6:$S$55),0)&lt;='02_의사결정·종합결과'!$B$11,"S",IF(IFERROR(RANK(S55,$S$6:$S$55,0)/COUNT($S$6:$S$55),0)&lt;='02_의사결정·종합결과'!$B$11+'02_의사결정·종합결과'!$C$11,"A",IF(IFERROR(RANK(S55,$S$6:$S$55,0)/COUNT($S$6:$S$55),0)&lt;='02_의사결정·종합결과'!$B$11+'02_의사결정·종합결과'!$C$11+'02_의사결정·종합결과'!$D$11,"B",IF(IFERROR(RANK(S55,$S$6:$S$55,0)/COUNT($S$6:$S$55),0)&lt;='02_의사결정·종합결과'!$B$11+'02_의사결정·종합결과'!$C$11+'02_의사결정·종합결과'!$D$11+'02_의사결정·종합결과'!$E$11,"C","D")))))))</f>
        <v/>
      </c>
    </row>
  </sheetData>
  <mergeCells count="2">
    <mergeCell ref="A2:V2"/>
    <mergeCell ref="A1:V1"/>
  </mergeCells>
  <conditionalFormatting sqref="G6:U39">
    <cfRule type="cellIs" priority="1" operator="equal" dxfId="1">
      <formula>"S"</formula>
    </cfRule>
    <cfRule type="cellIs" priority="2" operator="equal" dxfId="16">
      <formula>"A"</formula>
    </cfRule>
    <cfRule type="cellIs" priority="3" operator="equal" dxfId="15">
      <formula>"C"</formula>
    </cfRule>
    <cfRule type="cellIs" priority="4" operator="equal" dxfId="12">
      <formula>"D"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70AD47"/>
    <outlinePr summaryBelow="1" summaryRight="1"/>
    <pageSetUpPr/>
  </sheetPr>
  <dimension ref="A1:Q4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4" customWidth="1" style="86" min="1" max="1"/>
    <col width="9" customWidth="1" style="86" min="2" max="2"/>
    <col width="8" customWidth="1" style="86" min="3" max="3"/>
    <col width="11" customWidth="1" style="86" min="4" max="5"/>
    <col width="7" customWidth="1" style="86" min="6" max="6"/>
    <col width="12" customWidth="1" style="86" min="7" max="7"/>
    <col width="8" customWidth="1" style="86" min="8" max="8"/>
    <col width="9" customWidth="1" style="86" min="9" max="9"/>
    <col width="8" customWidth="1" style="86" min="10" max="10"/>
    <col width="9" customWidth="1" style="86" min="11" max="12"/>
    <col width="12" customWidth="1" style="86" min="13" max="14"/>
    <col width="13" customWidth="1" style="86" min="15" max="16"/>
    <col width="11" customWidth="1" style="86" min="17" max="17"/>
  </cols>
  <sheetData>
    <row r="1" ht="28.05" customHeight="1" s="86">
      <c r="A1" s="82" t="inlineStr">
        <is>
          <t>성과평가 → 보상 연계 (기본연봉 인상)</t>
        </is>
      </c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66" t="n"/>
      <c r="P1" s="66" t="n"/>
      <c r="Q1" s="67" t="n"/>
    </row>
    <row r="2">
      <c r="A2" s="80" t="inlineStr">
        <is>
          <t>08 종합평가의 최종등급 → 인상률 → 차년도 기본연봉 자동 산출. 페이밴드 검증 포함.</t>
        </is>
      </c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7" t="n"/>
    </row>
    <row r="5" ht="32" customHeight="1" s="86">
      <c r="A5" s="91" t="inlineStr">
        <is>
          <t>No.</t>
        </is>
      </c>
      <c r="B5" s="91" t="inlineStr">
        <is>
          <t>사번</t>
        </is>
      </c>
      <c r="C5" s="91" t="inlineStr">
        <is>
          <t>성명</t>
        </is>
      </c>
      <c r="D5" s="91" t="inlineStr">
        <is>
          <t>직군</t>
        </is>
      </c>
      <c r="E5" s="91" t="inlineStr">
        <is>
          <t>부서</t>
        </is>
      </c>
      <c r="F5" s="91" t="inlineStr">
        <is>
          <t>역할등급</t>
        </is>
      </c>
      <c r="G5" s="91" t="inlineStr">
        <is>
          <t>현재 연봉</t>
        </is>
      </c>
      <c r="H5" s="91" t="inlineStr">
        <is>
          <t>최종등급</t>
        </is>
      </c>
      <c r="I5" s="91" t="inlineStr">
        <is>
          <t>평가인상률</t>
        </is>
      </c>
      <c r="J5" s="91" t="inlineStr">
        <is>
          <t>승진여부</t>
        </is>
      </c>
      <c r="K5" s="91" t="inlineStr">
        <is>
          <t>승진인상률</t>
        </is>
      </c>
      <c r="L5" s="91" t="inlineStr">
        <is>
          <t>총인상률</t>
        </is>
      </c>
      <c r="M5" s="91" t="inlineStr">
        <is>
          <t>페이밴드 Min</t>
        </is>
      </c>
      <c r="N5" s="91" t="inlineStr">
        <is>
          <t>페이밴드 Max</t>
        </is>
      </c>
      <c r="O5" s="91" t="inlineStr">
        <is>
          <t>신규연봉(안)</t>
        </is>
      </c>
      <c r="P5" s="91" t="inlineStr">
        <is>
          <t>연봉확정</t>
        </is>
      </c>
      <c r="Q5" s="91" t="inlineStr">
        <is>
          <t>인상액</t>
        </is>
      </c>
    </row>
    <row r="6" ht="22.05" customHeight="1" s="86">
      <c r="A6" s="75">
        <f>'01_인적정보'!A6</f>
        <v/>
      </c>
      <c r="B6" s="75">
        <f>'01_인적정보'!B6</f>
        <v/>
      </c>
      <c r="C6" s="69">
        <f>'01_인적정보'!C6</f>
        <v/>
      </c>
      <c r="D6" s="69">
        <f>'01_인적정보'!D6</f>
        <v/>
      </c>
      <c r="E6" s="69">
        <f>'01_인적정보'!F6</f>
        <v/>
      </c>
      <c r="F6" s="11">
        <f>'01_인적정보'!H6</f>
        <v/>
      </c>
      <c r="G6" s="45">
        <f>'01_인적정보'!K6</f>
        <v/>
      </c>
      <c r="H6" s="40">
        <f>'08_종합평가'!U6</f>
        <v/>
      </c>
      <c r="I6" s="104">
        <f>IF(H6="","",IF(H6="S",'02_의사결정·종합결과'!$B$26,IF(H6="A",'02_의사결정·종합결과'!$C$26,IF(H6="B",'02_의사결정·종합결과'!$D$26,IF(H6="C",'02_의사결정·종합결과'!$E$26,'02_의사결정·종합결과'!$F$26)))))</f>
        <v/>
      </c>
      <c r="J6" s="16" t="inlineStr">
        <is>
          <t>N</t>
        </is>
      </c>
      <c r="K6" s="104">
        <f>IF(J6="Y",'02_의사결정·종합결과'!$B$28,0)</f>
        <v/>
      </c>
      <c r="L6" s="123">
        <f>IF(I6="","",I6+K6)</f>
        <v/>
      </c>
      <c r="M6" s="47">
        <f>IFERROR(VLOOKUP(F6,'02_의사결정·종합결과'!$A$32:$D$38,2,FALSE),"")</f>
        <v/>
      </c>
      <c r="N6" s="47">
        <f>IFERROR(VLOOKUP(F6,'02_의사결정·종합결과'!$A$32:$D$38,4,FALSE),"")</f>
        <v/>
      </c>
      <c r="O6" s="47">
        <f>IF(L6="","",ROUND(G6*(1+L6),-4))</f>
        <v/>
      </c>
      <c r="P6" s="48">
        <f>O6</f>
        <v/>
      </c>
      <c r="Q6" s="47">
        <f>IF(P6="","",P6-G6)</f>
        <v/>
      </c>
    </row>
    <row r="7" ht="22.05" customHeight="1" s="86">
      <c r="A7" s="75">
        <f>'01_인적정보'!A7</f>
        <v/>
      </c>
      <c r="B7" s="75">
        <f>'01_인적정보'!B7</f>
        <v/>
      </c>
      <c r="C7" s="69">
        <f>'01_인적정보'!C7</f>
        <v/>
      </c>
      <c r="D7" s="69">
        <f>'01_인적정보'!D7</f>
        <v/>
      </c>
      <c r="E7" s="69">
        <f>'01_인적정보'!F7</f>
        <v/>
      </c>
      <c r="F7" s="11">
        <f>'01_인적정보'!H7</f>
        <v/>
      </c>
      <c r="G7" s="45">
        <f>'01_인적정보'!K7</f>
        <v/>
      </c>
      <c r="H7" s="40">
        <f>'08_종합평가'!U7</f>
        <v/>
      </c>
      <c r="I7" s="104">
        <f>IF(H7="","",IF(H7="S",'02_의사결정·종합결과'!$B$26,IF(H7="A",'02_의사결정·종합결과'!$C$26,IF(H7="B",'02_의사결정·종합결과'!$D$26,IF(H7="C",'02_의사결정·종합결과'!$E$26,'02_의사결정·종합결과'!$F$26)))))</f>
        <v/>
      </c>
      <c r="J7" s="16" t="inlineStr">
        <is>
          <t>N</t>
        </is>
      </c>
      <c r="K7" s="104">
        <f>IF(J7="Y",'02_의사결정·종합결과'!$B$28,0)</f>
        <v/>
      </c>
      <c r="L7" s="123">
        <f>IF(I7="","",I7+K7)</f>
        <v/>
      </c>
      <c r="M7" s="47">
        <f>IFERROR(VLOOKUP(F7,'02_의사결정·종합결과'!$A$32:$D$38,2,FALSE),"")</f>
        <v/>
      </c>
      <c r="N7" s="47">
        <f>IFERROR(VLOOKUP(F7,'02_의사결정·종합결과'!$A$32:$D$38,4,FALSE),"")</f>
        <v/>
      </c>
      <c r="O7" s="47">
        <f>IF(L7="","",ROUND(G7*(1+L7),-4))</f>
        <v/>
      </c>
      <c r="P7" s="48">
        <f>O7</f>
        <v/>
      </c>
      <c r="Q7" s="47">
        <f>IF(P7="","",P7-G7)</f>
        <v/>
      </c>
    </row>
    <row r="8" ht="22.05" customHeight="1" s="86">
      <c r="A8" s="75">
        <f>'01_인적정보'!A8</f>
        <v/>
      </c>
      <c r="B8" s="75">
        <f>'01_인적정보'!B8</f>
        <v/>
      </c>
      <c r="C8" s="69">
        <f>'01_인적정보'!C8</f>
        <v/>
      </c>
      <c r="D8" s="69">
        <f>'01_인적정보'!D8</f>
        <v/>
      </c>
      <c r="E8" s="69">
        <f>'01_인적정보'!F8</f>
        <v/>
      </c>
      <c r="F8" s="11">
        <f>'01_인적정보'!H8</f>
        <v/>
      </c>
      <c r="G8" s="45">
        <f>'01_인적정보'!K8</f>
        <v/>
      </c>
      <c r="H8" s="40">
        <f>'08_종합평가'!U8</f>
        <v/>
      </c>
      <c r="I8" s="104">
        <f>IF(H8="","",IF(H8="S",'02_의사결정·종합결과'!$B$26,IF(H8="A",'02_의사결정·종합결과'!$C$26,IF(H8="B",'02_의사결정·종합결과'!$D$26,IF(H8="C",'02_의사결정·종합결과'!$E$26,'02_의사결정·종합결과'!$F$26)))))</f>
        <v/>
      </c>
      <c r="J8" s="16" t="inlineStr">
        <is>
          <t>N</t>
        </is>
      </c>
      <c r="K8" s="104">
        <f>IF(J8="Y",'02_의사결정·종합결과'!$B$28,0)</f>
        <v/>
      </c>
      <c r="L8" s="123">
        <f>IF(I8="","",I8+K8)</f>
        <v/>
      </c>
      <c r="M8" s="47">
        <f>IFERROR(VLOOKUP(F8,'02_의사결정·종합결과'!$A$32:$D$38,2,FALSE),"")</f>
        <v/>
      </c>
      <c r="N8" s="47">
        <f>IFERROR(VLOOKUP(F8,'02_의사결정·종합결과'!$A$32:$D$38,4,FALSE),"")</f>
        <v/>
      </c>
      <c r="O8" s="47">
        <f>IF(L8="","",ROUND(G8*(1+L8),-4))</f>
        <v/>
      </c>
      <c r="P8" s="48">
        <f>O8</f>
        <v/>
      </c>
      <c r="Q8" s="47">
        <f>IF(P8="","",P8-G8)</f>
        <v/>
      </c>
    </row>
    <row r="9" ht="22.05" customHeight="1" s="86">
      <c r="A9" s="75">
        <f>'01_인적정보'!A9</f>
        <v/>
      </c>
      <c r="B9" s="75">
        <f>'01_인적정보'!B9</f>
        <v/>
      </c>
      <c r="C9" s="69">
        <f>'01_인적정보'!C9</f>
        <v/>
      </c>
      <c r="D9" s="69">
        <f>'01_인적정보'!D9</f>
        <v/>
      </c>
      <c r="E9" s="69">
        <f>'01_인적정보'!F9</f>
        <v/>
      </c>
      <c r="F9" s="11">
        <f>'01_인적정보'!H9</f>
        <v/>
      </c>
      <c r="G9" s="45">
        <f>'01_인적정보'!K9</f>
        <v/>
      </c>
      <c r="H9" s="40">
        <f>'08_종합평가'!U9</f>
        <v/>
      </c>
      <c r="I9" s="104">
        <f>IF(H9="","",IF(H9="S",'02_의사결정·종합결과'!$B$26,IF(H9="A",'02_의사결정·종합결과'!$C$26,IF(H9="B",'02_의사결정·종합결과'!$D$26,IF(H9="C",'02_의사결정·종합결과'!$E$26,'02_의사결정·종합결과'!$F$26)))))</f>
        <v/>
      </c>
      <c r="J9" s="16" t="inlineStr">
        <is>
          <t>N</t>
        </is>
      </c>
      <c r="K9" s="104">
        <f>IF(J9="Y",'02_의사결정·종합결과'!$B$28,0)</f>
        <v/>
      </c>
      <c r="L9" s="123">
        <f>IF(I9="","",I9+K9)</f>
        <v/>
      </c>
      <c r="M9" s="47">
        <f>IFERROR(VLOOKUP(F9,'02_의사결정·종합결과'!$A$32:$D$38,2,FALSE),"")</f>
        <v/>
      </c>
      <c r="N9" s="47">
        <f>IFERROR(VLOOKUP(F9,'02_의사결정·종합결과'!$A$32:$D$38,4,FALSE),"")</f>
        <v/>
      </c>
      <c r="O9" s="47">
        <f>IF(L9="","",ROUND(G9*(1+L9),-4))</f>
        <v/>
      </c>
      <c r="P9" s="48">
        <f>O9</f>
        <v/>
      </c>
      <c r="Q9" s="47">
        <f>IF(P9="","",P9-G9)</f>
        <v/>
      </c>
    </row>
    <row r="10" ht="22.05" customHeight="1" s="86">
      <c r="A10" s="75">
        <f>'01_인적정보'!A10</f>
        <v/>
      </c>
      <c r="B10" s="75">
        <f>'01_인적정보'!B10</f>
        <v/>
      </c>
      <c r="C10" s="69">
        <f>'01_인적정보'!C10</f>
        <v/>
      </c>
      <c r="D10" s="69">
        <f>'01_인적정보'!D10</f>
        <v/>
      </c>
      <c r="E10" s="69">
        <f>'01_인적정보'!F10</f>
        <v/>
      </c>
      <c r="F10" s="11">
        <f>'01_인적정보'!H10</f>
        <v/>
      </c>
      <c r="G10" s="45">
        <f>'01_인적정보'!K10</f>
        <v/>
      </c>
      <c r="H10" s="40">
        <f>'08_종합평가'!U10</f>
        <v/>
      </c>
      <c r="I10" s="104">
        <f>IF(H10="","",IF(H10="S",'02_의사결정·종합결과'!$B$26,IF(H10="A",'02_의사결정·종합결과'!$C$26,IF(H10="B",'02_의사결정·종합결과'!$D$26,IF(H10="C",'02_의사결정·종합결과'!$E$26,'02_의사결정·종합결과'!$F$26)))))</f>
        <v/>
      </c>
      <c r="J10" s="16" t="inlineStr">
        <is>
          <t>N</t>
        </is>
      </c>
      <c r="K10" s="104">
        <f>IF(J10="Y",'02_의사결정·종합결과'!$B$28,0)</f>
        <v/>
      </c>
      <c r="L10" s="123">
        <f>IF(I10="","",I10+K10)</f>
        <v/>
      </c>
      <c r="M10" s="47">
        <f>IFERROR(VLOOKUP(F10,'02_의사결정·종합결과'!$A$32:$D$38,2,FALSE),"")</f>
        <v/>
      </c>
      <c r="N10" s="47">
        <f>IFERROR(VLOOKUP(F10,'02_의사결정·종합결과'!$A$32:$D$38,4,FALSE),"")</f>
        <v/>
      </c>
      <c r="O10" s="47">
        <f>IF(L10="","",ROUND(G10*(1+L10),-4))</f>
        <v/>
      </c>
      <c r="P10" s="48">
        <f>O10</f>
        <v/>
      </c>
      <c r="Q10" s="47">
        <f>IF(P10="","",P10-G10)</f>
        <v/>
      </c>
    </row>
    <row r="11" ht="22.05" customHeight="1" s="86">
      <c r="A11" s="75">
        <f>'01_인적정보'!A11</f>
        <v/>
      </c>
      <c r="B11" s="75">
        <f>'01_인적정보'!B11</f>
        <v/>
      </c>
      <c r="C11" s="69">
        <f>'01_인적정보'!C11</f>
        <v/>
      </c>
      <c r="D11" s="69">
        <f>'01_인적정보'!D11</f>
        <v/>
      </c>
      <c r="E11" s="69">
        <f>'01_인적정보'!F11</f>
        <v/>
      </c>
      <c r="F11" s="11">
        <f>'01_인적정보'!H11</f>
        <v/>
      </c>
      <c r="G11" s="45">
        <f>'01_인적정보'!K11</f>
        <v/>
      </c>
      <c r="H11" s="40">
        <f>'08_종합평가'!U11</f>
        <v/>
      </c>
      <c r="I11" s="104">
        <f>IF(H11="","",IF(H11="S",'02_의사결정·종합결과'!$B$26,IF(H11="A",'02_의사결정·종합결과'!$C$26,IF(H11="B",'02_의사결정·종합결과'!$D$26,IF(H11="C",'02_의사결정·종합결과'!$E$26,'02_의사결정·종합결과'!$F$26)))))</f>
        <v/>
      </c>
      <c r="J11" s="16" t="inlineStr">
        <is>
          <t>N</t>
        </is>
      </c>
      <c r="K11" s="104">
        <f>IF(J11="Y",'02_의사결정·종합결과'!$B$28,0)</f>
        <v/>
      </c>
      <c r="L11" s="123">
        <f>IF(I11="","",I11+K11)</f>
        <v/>
      </c>
      <c r="M11" s="47">
        <f>IFERROR(VLOOKUP(F11,'02_의사결정·종합결과'!$A$32:$D$38,2,FALSE),"")</f>
        <v/>
      </c>
      <c r="N11" s="47">
        <f>IFERROR(VLOOKUP(F11,'02_의사결정·종합결과'!$A$32:$D$38,4,FALSE),"")</f>
        <v/>
      </c>
      <c r="O11" s="47">
        <f>IF(L11="","",ROUND(G11*(1+L11),-4))</f>
        <v/>
      </c>
      <c r="P11" s="48">
        <f>O11</f>
        <v/>
      </c>
      <c r="Q11" s="47">
        <f>IF(P11="","",P11-G11)</f>
        <v/>
      </c>
    </row>
    <row r="12" ht="22.05" customHeight="1" s="86">
      <c r="A12" s="75">
        <f>'01_인적정보'!A12</f>
        <v/>
      </c>
      <c r="B12" s="75">
        <f>'01_인적정보'!B12</f>
        <v/>
      </c>
      <c r="C12" s="69">
        <f>'01_인적정보'!C12</f>
        <v/>
      </c>
      <c r="D12" s="69">
        <f>'01_인적정보'!D12</f>
        <v/>
      </c>
      <c r="E12" s="69">
        <f>'01_인적정보'!F12</f>
        <v/>
      </c>
      <c r="F12" s="11">
        <f>'01_인적정보'!H12</f>
        <v/>
      </c>
      <c r="G12" s="45">
        <f>'01_인적정보'!K12</f>
        <v/>
      </c>
      <c r="H12" s="40">
        <f>'08_종합평가'!U12</f>
        <v/>
      </c>
      <c r="I12" s="104">
        <f>IF(H12="","",IF(H12="S",'02_의사결정·종합결과'!$B$26,IF(H12="A",'02_의사결정·종합결과'!$C$26,IF(H12="B",'02_의사결정·종합결과'!$D$26,IF(H12="C",'02_의사결정·종합결과'!$E$26,'02_의사결정·종합결과'!$F$26)))))</f>
        <v/>
      </c>
      <c r="J12" s="16" t="inlineStr">
        <is>
          <t>N</t>
        </is>
      </c>
      <c r="K12" s="104">
        <f>IF(J12="Y",'02_의사결정·종합결과'!$B$28,0)</f>
        <v/>
      </c>
      <c r="L12" s="123">
        <f>IF(I12="","",I12+K12)</f>
        <v/>
      </c>
      <c r="M12" s="47">
        <f>IFERROR(VLOOKUP(F12,'02_의사결정·종합결과'!$A$32:$D$38,2,FALSE),"")</f>
        <v/>
      </c>
      <c r="N12" s="47">
        <f>IFERROR(VLOOKUP(F12,'02_의사결정·종합결과'!$A$32:$D$38,4,FALSE),"")</f>
        <v/>
      </c>
      <c r="O12" s="47">
        <f>IF(L12="","",ROUND(G12*(1+L12),-4))</f>
        <v/>
      </c>
      <c r="P12" s="48">
        <f>O12</f>
        <v/>
      </c>
      <c r="Q12" s="47">
        <f>IF(P12="","",P12-G12)</f>
        <v/>
      </c>
    </row>
    <row r="13" ht="22.05" customHeight="1" s="86">
      <c r="A13" s="75">
        <f>'01_인적정보'!A13</f>
        <v/>
      </c>
      <c r="B13" s="75">
        <f>'01_인적정보'!B13</f>
        <v/>
      </c>
      <c r="C13" s="69">
        <f>'01_인적정보'!C13</f>
        <v/>
      </c>
      <c r="D13" s="69">
        <f>'01_인적정보'!D13</f>
        <v/>
      </c>
      <c r="E13" s="69">
        <f>'01_인적정보'!F13</f>
        <v/>
      </c>
      <c r="F13" s="11">
        <f>'01_인적정보'!H13</f>
        <v/>
      </c>
      <c r="G13" s="45">
        <f>'01_인적정보'!K13</f>
        <v/>
      </c>
      <c r="H13" s="40">
        <f>'08_종합평가'!U13</f>
        <v/>
      </c>
      <c r="I13" s="104">
        <f>IF(H13="","",IF(H13="S",'02_의사결정·종합결과'!$B$26,IF(H13="A",'02_의사결정·종합결과'!$C$26,IF(H13="B",'02_의사결정·종합결과'!$D$26,IF(H13="C",'02_의사결정·종합결과'!$E$26,'02_의사결정·종합결과'!$F$26)))))</f>
        <v/>
      </c>
      <c r="J13" s="16" t="inlineStr">
        <is>
          <t>N</t>
        </is>
      </c>
      <c r="K13" s="104">
        <f>IF(J13="Y",'02_의사결정·종합결과'!$B$28,0)</f>
        <v/>
      </c>
      <c r="L13" s="123">
        <f>IF(I13="","",I13+K13)</f>
        <v/>
      </c>
      <c r="M13" s="47">
        <f>IFERROR(VLOOKUP(F13,'02_의사결정·종합결과'!$A$32:$D$38,2,FALSE),"")</f>
        <v/>
      </c>
      <c r="N13" s="47">
        <f>IFERROR(VLOOKUP(F13,'02_의사결정·종합결과'!$A$32:$D$38,4,FALSE),"")</f>
        <v/>
      </c>
      <c r="O13" s="47">
        <f>IF(L13="","",ROUND(G13*(1+L13),-4))</f>
        <v/>
      </c>
      <c r="P13" s="48">
        <f>O13</f>
        <v/>
      </c>
      <c r="Q13" s="47">
        <f>IF(P13="","",P13-G13)</f>
        <v/>
      </c>
    </row>
    <row r="14" ht="22.05" customHeight="1" s="86">
      <c r="A14" s="75">
        <f>'01_인적정보'!A14</f>
        <v/>
      </c>
      <c r="B14" s="75">
        <f>'01_인적정보'!B14</f>
        <v/>
      </c>
      <c r="C14" s="69">
        <f>'01_인적정보'!C14</f>
        <v/>
      </c>
      <c r="D14" s="69">
        <f>'01_인적정보'!D14</f>
        <v/>
      </c>
      <c r="E14" s="69">
        <f>'01_인적정보'!F14</f>
        <v/>
      </c>
      <c r="F14" s="11">
        <f>'01_인적정보'!H14</f>
        <v/>
      </c>
      <c r="G14" s="45">
        <f>'01_인적정보'!K14</f>
        <v/>
      </c>
      <c r="H14" s="40">
        <f>'08_종합평가'!U14</f>
        <v/>
      </c>
      <c r="I14" s="104">
        <f>IF(H14="","",IF(H14="S",'02_의사결정·종합결과'!$B$26,IF(H14="A",'02_의사결정·종합결과'!$C$26,IF(H14="B",'02_의사결정·종합결과'!$D$26,IF(H14="C",'02_의사결정·종합결과'!$E$26,'02_의사결정·종합결과'!$F$26)))))</f>
        <v/>
      </c>
      <c r="J14" s="16" t="inlineStr">
        <is>
          <t>N</t>
        </is>
      </c>
      <c r="K14" s="104">
        <f>IF(J14="Y",'02_의사결정·종합결과'!$B$28,0)</f>
        <v/>
      </c>
      <c r="L14" s="123">
        <f>IF(I14="","",I14+K14)</f>
        <v/>
      </c>
      <c r="M14" s="47">
        <f>IFERROR(VLOOKUP(F14,'02_의사결정·종합결과'!$A$32:$D$38,2,FALSE),"")</f>
        <v/>
      </c>
      <c r="N14" s="47">
        <f>IFERROR(VLOOKUP(F14,'02_의사결정·종합결과'!$A$32:$D$38,4,FALSE),"")</f>
        <v/>
      </c>
      <c r="O14" s="47">
        <f>IF(L14="","",ROUND(G14*(1+L14),-4))</f>
        <v/>
      </c>
      <c r="P14" s="48">
        <f>O14</f>
        <v/>
      </c>
      <c r="Q14" s="47">
        <f>IF(P14="","",P14-G14)</f>
        <v/>
      </c>
    </row>
    <row r="15" ht="22.05" customHeight="1" s="86">
      <c r="A15" s="75">
        <f>'01_인적정보'!A15</f>
        <v/>
      </c>
      <c r="B15" s="75">
        <f>'01_인적정보'!B15</f>
        <v/>
      </c>
      <c r="C15" s="69">
        <f>'01_인적정보'!C15</f>
        <v/>
      </c>
      <c r="D15" s="69">
        <f>'01_인적정보'!D15</f>
        <v/>
      </c>
      <c r="E15" s="69">
        <f>'01_인적정보'!F15</f>
        <v/>
      </c>
      <c r="F15" s="11">
        <f>'01_인적정보'!H15</f>
        <v/>
      </c>
      <c r="G15" s="45">
        <f>'01_인적정보'!K15</f>
        <v/>
      </c>
      <c r="H15" s="40">
        <f>'08_종합평가'!U15</f>
        <v/>
      </c>
      <c r="I15" s="104">
        <f>IF(H15="","",IF(H15="S",'02_의사결정·종합결과'!$B$26,IF(H15="A",'02_의사결정·종합결과'!$C$26,IF(H15="B",'02_의사결정·종합결과'!$D$26,IF(H15="C",'02_의사결정·종합결과'!$E$26,'02_의사결정·종합결과'!$F$26)))))</f>
        <v/>
      </c>
      <c r="J15" s="16" t="inlineStr">
        <is>
          <t>N</t>
        </is>
      </c>
      <c r="K15" s="104">
        <f>IF(J15="Y",'02_의사결정·종합결과'!$B$28,0)</f>
        <v/>
      </c>
      <c r="L15" s="123">
        <f>IF(I15="","",I15+K15)</f>
        <v/>
      </c>
      <c r="M15" s="47">
        <f>IFERROR(VLOOKUP(F15,'02_의사결정·종합결과'!$A$32:$D$38,2,FALSE),"")</f>
        <v/>
      </c>
      <c r="N15" s="47">
        <f>IFERROR(VLOOKUP(F15,'02_의사결정·종합결과'!$A$32:$D$38,4,FALSE),"")</f>
        <v/>
      </c>
      <c r="O15" s="47">
        <f>IF(L15="","",ROUND(G15*(1+L15),-4))</f>
        <v/>
      </c>
      <c r="P15" s="48">
        <f>O15</f>
        <v/>
      </c>
      <c r="Q15" s="47">
        <f>IF(P15="","",P15-G15)</f>
        <v/>
      </c>
    </row>
    <row r="16" ht="22.05" customHeight="1" s="86">
      <c r="A16" s="75">
        <f>'01_인적정보'!A16</f>
        <v/>
      </c>
      <c r="B16" s="75">
        <f>'01_인적정보'!B16</f>
        <v/>
      </c>
      <c r="C16" s="69">
        <f>'01_인적정보'!C16</f>
        <v/>
      </c>
      <c r="D16" s="69">
        <f>'01_인적정보'!D16</f>
        <v/>
      </c>
      <c r="E16" s="69">
        <f>'01_인적정보'!F16</f>
        <v/>
      </c>
      <c r="F16" s="11">
        <f>'01_인적정보'!H16</f>
        <v/>
      </c>
      <c r="G16" s="45">
        <f>'01_인적정보'!K16</f>
        <v/>
      </c>
      <c r="H16" s="40">
        <f>'08_종합평가'!U16</f>
        <v/>
      </c>
      <c r="I16" s="104">
        <f>IF(H16="","",IF(H16="S",'02_의사결정·종합결과'!$B$26,IF(H16="A",'02_의사결정·종합결과'!$C$26,IF(H16="B",'02_의사결정·종합결과'!$D$26,IF(H16="C",'02_의사결정·종합결과'!$E$26,'02_의사결정·종합결과'!$F$26)))))</f>
        <v/>
      </c>
      <c r="J16" s="16" t="inlineStr">
        <is>
          <t>N</t>
        </is>
      </c>
      <c r="K16" s="104">
        <f>IF(J16="Y",'02_의사결정·종합결과'!$B$28,0)</f>
        <v/>
      </c>
      <c r="L16" s="123">
        <f>IF(I16="","",I16+K16)</f>
        <v/>
      </c>
      <c r="M16" s="47">
        <f>IFERROR(VLOOKUP(F16,'02_의사결정·종합결과'!$A$32:$D$38,2,FALSE),"")</f>
        <v/>
      </c>
      <c r="N16" s="47">
        <f>IFERROR(VLOOKUP(F16,'02_의사결정·종합결과'!$A$32:$D$38,4,FALSE),"")</f>
        <v/>
      </c>
      <c r="O16" s="47">
        <f>IF(L16="","",ROUND(G16*(1+L16),-4))</f>
        <v/>
      </c>
      <c r="P16" s="48">
        <f>O16</f>
        <v/>
      </c>
      <c r="Q16" s="47">
        <f>IF(P16="","",P16-G16)</f>
        <v/>
      </c>
    </row>
    <row r="17" ht="22.05" customHeight="1" s="86">
      <c r="A17" s="75">
        <f>'01_인적정보'!A17</f>
        <v/>
      </c>
      <c r="B17" s="75">
        <f>'01_인적정보'!B17</f>
        <v/>
      </c>
      <c r="C17" s="69">
        <f>'01_인적정보'!C17</f>
        <v/>
      </c>
      <c r="D17" s="69">
        <f>'01_인적정보'!D17</f>
        <v/>
      </c>
      <c r="E17" s="69">
        <f>'01_인적정보'!F17</f>
        <v/>
      </c>
      <c r="F17" s="11">
        <f>'01_인적정보'!H17</f>
        <v/>
      </c>
      <c r="G17" s="45">
        <f>'01_인적정보'!K17</f>
        <v/>
      </c>
      <c r="H17" s="40">
        <f>'08_종합평가'!U17</f>
        <v/>
      </c>
      <c r="I17" s="104">
        <f>IF(H17="","",IF(H17="S",'02_의사결정·종합결과'!$B$26,IF(H17="A",'02_의사결정·종합결과'!$C$26,IF(H17="B",'02_의사결정·종합결과'!$D$26,IF(H17="C",'02_의사결정·종합결과'!$E$26,'02_의사결정·종합결과'!$F$26)))))</f>
        <v/>
      </c>
      <c r="J17" s="16" t="inlineStr">
        <is>
          <t>N</t>
        </is>
      </c>
      <c r="K17" s="104">
        <f>IF(J17="Y",'02_의사결정·종합결과'!$B$28,0)</f>
        <v/>
      </c>
      <c r="L17" s="123">
        <f>IF(I17="","",I17+K17)</f>
        <v/>
      </c>
      <c r="M17" s="47">
        <f>IFERROR(VLOOKUP(F17,'02_의사결정·종합결과'!$A$32:$D$38,2,FALSE),"")</f>
        <v/>
      </c>
      <c r="N17" s="47">
        <f>IFERROR(VLOOKUP(F17,'02_의사결정·종합결과'!$A$32:$D$38,4,FALSE),"")</f>
        <v/>
      </c>
      <c r="O17" s="47">
        <f>IF(L17="","",ROUND(G17*(1+L17),-4))</f>
        <v/>
      </c>
      <c r="P17" s="48">
        <f>O17</f>
        <v/>
      </c>
      <c r="Q17" s="47">
        <f>IF(P17="","",P17-G17)</f>
        <v/>
      </c>
    </row>
    <row r="18" ht="22.05" customHeight="1" s="86">
      <c r="A18" s="75">
        <f>'01_인적정보'!A18</f>
        <v/>
      </c>
      <c r="B18" s="75">
        <f>'01_인적정보'!B18</f>
        <v/>
      </c>
      <c r="C18" s="69">
        <f>'01_인적정보'!C18</f>
        <v/>
      </c>
      <c r="D18" s="69">
        <f>'01_인적정보'!D18</f>
        <v/>
      </c>
      <c r="E18" s="69">
        <f>'01_인적정보'!F18</f>
        <v/>
      </c>
      <c r="F18" s="11">
        <f>'01_인적정보'!H18</f>
        <v/>
      </c>
      <c r="G18" s="45">
        <f>'01_인적정보'!K18</f>
        <v/>
      </c>
      <c r="H18" s="40">
        <f>'08_종합평가'!U18</f>
        <v/>
      </c>
      <c r="I18" s="104">
        <f>IF(H18="","",IF(H18="S",'02_의사결정·종합결과'!$B$26,IF(H18="A",'02_의사결정·종합결과'!$C$26,IF(H18="B",'02_의사결정·종합결과'!$D$26,IF(H18="C",'02_의사결정·종합결과'!$E$26,'02_의사결정·종합결과'!$F$26)))))</f>
        <v/>
      </c>
      <c r="J18" s="16" t="inlineStr">
        <is>
          <t>N</t>
        </is>
      </c>
      <c r="K18" s="104">
        <f>IF(J18="Y",'02_의사결정·종합결과'!$B$28,0)</f>
        <v/>
      </c>
      <c r="L18" s="123">
        <f>IF(I18="","",I18+K18)</f>
        <v/>
      </c>
      <c r="M18" s="47">
        <f>IFERROR(VLOOKUP(F18,'02_의사결정·종합결과'!$A$32:$D$38,2,FALSE),"")</f>
        <v/>
      </c>
      <c r="N18" s="47">
        <f>IFERROR(VLOOKUP(F18,'02_의사결정·종합결과'!$A$32:$D$38,4,FALSE),"")</f>
        <v/>
      </c>
      <c r="O18" s="47">
        <f>IF(L18="","",ROUND(G18*(1+L18),-4))</f>
        <v/>
      </c>
      <c r="P18" s="48">
        <f>O18</f>
        <v/>
      </c>
      <c r="Q18" s="47">
        <f>IF(P18="","",P18-G18)</f>
        <v/>
      </c>
    </row>
    <row r="19" ht="22.05" customHeight="1" s="86">
      <c r="A19" s="75">
        <f>'01_인적정보'!A19</f>
        <v/>
      </c>
      <c r="B19" s="75">
        <f>'01_인적정보'!B19</f>
        <v/>
      </c>
      <c r="C19" s="69">
        <f>'01_인적정보'!C19</f>
        <v/>
      </c>
      <c r="D19" s="69">
        <f>'01_인적정보'!D19</f>
        <v/>
      </c>
      <c r="E19" s="69">
        <f>'01_인적정보'!F19</f>
        <v/>
      </c>
      <c r="F19" s="11">
        <f>'01_인적정보'!H19</f>
        <v/>
      </c>
      <c r="G19" s="45">
        <f>'01_인적정보'!K19</f>
        <v/>
      </c>
      <c r="H19" s="40">
        <f>'08_종합평가'!U19</f>
        <v/>
      </c>
      <c r="I19" s="104">
        <f>IF(H19="","",IF(H19="S",'02_의사결정·종합결과'!$B$26,IF(H19="A",'02_의사결정·종합결과'!$C$26,IF(H19="B",'02_의사결정·종합결과'!$D$26,IF(H19="C",'02_의사결정·종합결과'!$E$26,'02_의사결정·종합결과'!$F$26)))))</f>
        <v/>
      </c>
      <c r="J19" s="16" t="inlineStr">
        <is>
          <t>N</t>
        </is>
      </c>
      <c r="K19" s="104">
        <f>IF(J19="Y",'02_의사결정·종합결과'!$B$28,0)</f>
        <v/>
      </c>
      <c r="L19" s="123">
        <f>IF(I19="","",I19+K19)</f>
        <v/>
      </c>
      <c r="M19" s="47">
        <f>IFERROR(VLOOKUP(F19,'02_의사결정·종합결과'!$A$32:$D$38,2,FALSE),"")</f>
        <v/>
      </c>
      <c r="N19" s="47">
        <f>IFERROR(VLOOKUP(F19,'02_의사결정·종합결과'!$A$32:$D$38,4,FALSE),"")</f>
        <v/>
      </c>
      <c r="O19" s="47">
        <f>IF(L19="","",ROUND(G19*(1+L19),-4))</f>
        <v/>
      </c>
      <c r="P19" s="48">
        <f>O19</f>
        <v/>
      </c>
      <c r="Q19" s="47">
        <f>IF(P19="","",P19-G19)</f>
        <v/>
      </c>
    </row>
    <row r="20" ht="22.05" customHeight="1" s="86">
      <c r="A20" s="75">
        <f>'01_인적정보'!A20</f>
        <v/>
      </c>
      <c r="B20" s="75">
        <f>'01_인적정보'!B20</f>
        <v/>
      </c>
      <c r="C20" s="69">
        <f>'01_인적정보'!C20</f>
        <v/>
      </c>
      <c r="D20" s="69">
        <f>'01_인적정보'!D20</f>
        <v/>
      </c>
      <c r="E20" s="69">
        <f>'01_인적정보'!F20</f>
        <v/>
      </c>
      <c r="F20" s="11">
        <f>'01_인적정보'!H20</f>
        <v/>
      </c>
      <c r="G20" s="45">
        <f>'01_인적정보'!K20</f>
        <v/>
      </c>
      <c r="H20" s="40">
        <f>'08_종합평가'!U20</f>
        <v/>
      </c>
      <c r="I20" s="104">
        <f>IF(H20="","",IF(H20="S",'02_의사결정·종합결과'!$B$26,IF(H20="A",'02_의사결정·종합결과'!$C$26,IF(H20="B",'02_의사결정·종합결과'!$D$26,IF(H20="C",'02_의사결정·종합결과'!$E$26,'02_의사결정·종합결과'!$F$26)))))</f>
        <v/>
      </c>
      <c r="J20" s="16" t="inlineStr">
        <is>
          <t>N</t>
        </is>
      </c>
      <c r="K20" s="104">
        <f>IF(J20="Y",'02_의사결정·종합결과'!$B$28,0)</f>
        <v/>
      </c>
      <c r="L20" s="123">
        <f>IF(I20="","",I20+K20)</f>
        <v/>
      </c>
      <c r="M20" s="47">
        <f>IFERROR(VLOOKUP(F20,'02_의사결정·종합결과'!$A$32:$D$38,2,FALSE),"")</f>
        <v/>
      </c>
      <c r="N20" s="47">
        <f>IFERROR(VLOOKUP(F20,'02_의사결정·종합결과'!$A$32:$D$38,4,FALSE),"")</f>
        <v/>
      </c>
      <c r="O20" s="47">
        <f>IF(L20="","",ROUND(G20*(1+L20),-4))</f>
        <v/>
      </c>
      <c r="P20" s="48">
        <f>O20</f>
        <v/>
      </c>
      <c r="Q20" s="47">
        <f>IF(P20="","",P20-G20)</f>
        <v/>
      </c>
    </row>
    <row r="21" ht="22.05" customHeight="1" s="86">
      <c r="A21" s="75">
        <f>'01_인적정보'!A21</f>
        <v/>
      </c>
      <c r="B21" s="75">
        <f>'01_인적정보'!B21</f>
        <v/>
      </c>
      <c r="C21" s="69">
        <f>'01_인적정보'!C21</f>
        <v/>
      </c>
      <c r="D21" s="69">
        <f>'01_인적정보'!D21</f>
        <v/>
      </c>
      <c r="E21" s="69">
        <f>'01_인적정보'!F21</f>
        <v/>
      </c>
      <c r="F21" s="11">
        <f>'01_인적정보'!H21</f>
        <v/>
      </c>
      <c r="G21" s="45">
        <f>'01_인적정보'!K21</f>
        <v/>
      </c>
      <c r="H21" s="40">
        <f>'08_종합평가'!U21</f>
        <v/>
      </c>
      <c r="I21" s="104">
        <f>IF(H21="","",IF(H21="S",'02_의사결정·종합결과'!$B$26,IF(H21="A",'02_의사결정·종합결과'!$C$26,IF(H21="B",'02_의사결정·종합결과'!$D$26,IF(H21="C",'02_의사결정·종합결과'!$E$26,'02_의사결정·종합결과'!$F$26)))))</f>
        <v/>
      </c>
      <c r="J21" s="16" t="inlineStr">
        <is>
          <t>N</t>
        </is>
      </c>
      <c r="K21" s="104">
        <f>IF(J21="Y",'02_의사결정·종합결과'!$B$28,0)</f>
        <v/>
      </c>
      <c r="L21" s="123">
        <f>IF(I21="","",I21+K21)</f>
        <v/>
      </c>
      <c r="M21" s="47">
        <f>IFERROR(VLOOKUP(F21,'02_의사결정·종합결과'!$A$32:$D$38,2,FALSE),"")</f>
        <v/>
      </c>
      <c r="N21" s="47">
        <f>IFERROR(VLOOKUP(F21,'02_의사결정·종합결과'!$A$32:$D$38,4,FALSE),"")</f>
        <v/>
      </c>
      <c r="O21" s="47">
        <f>IF(L21="","",ROUND(G21*(1+L21),-4))</f>
        <v/>
      </c>
      <c r="P21" s="48">
        <f>O21</f>
        <v/>
      </c>
      <c r="Q21" s="47">
        <f>IF(P21="","",P21-G21)</f>
        <v/>
      </c>
    </row>
    <row r="22" ht="22.05" customHeight="1" s="86">
      <c r="A22" s="75">
        <f>'01_인적정보'!A22</f>
        <v/>
      </c>
      <c r="B22" s="75">
        <f>'01_인적정보'!B22</f>
        <v/>
      </c>
      <c r="C22" s="69">
        <f>'01_인적정보'!C22</f>
        <v/>
      </c>
      <c r="D22" s="69">
        <f>'01_인적정보'!D22</f>
        <v/>
      </c>
      <c r="E22" s="69">
        <f>'01_인적정보'!F22</f>
        <v/>
      </c>
      <c r="F22" s="11">
        <f>'01_인적정보'!H22</f>
        <v/>
      </c>
      <c r="G22" s="45">
        <f>'01_인적정보'!K22</f>
        <v/>
      </c>
      <c r="H22" s="40">
        <f>'08_종합평가'!U22</f>
        <v/>
      </c>
      <c r="I22" s="104">
        <f>IF(H22="","",IF(H22="S",'02_의사결정·종합결과'!$B$26,IF(H22="A",'02_의사결정·종합결과'!$C$26,IF(H22="B",'02_의사결정·종합결과'!$D$26,IF(H22="C",'02_의사결정·종합결과'!$E$26,'02_의사결정·종합결과'!$F$26)))))</f>
        <v/>
      </c>
      <c r="J22" s="16" t="inlineStr">
        <is>
          <t>N</t>
        </is>
      </c>
      <c r="K22" s="104">
        <f>IF(J22="Y",'02_의사결정·종합결과'!$B$28,0)</f>
        <v/>
      </c>
      <c r="L22" s="123">
        <f>IF(I22="","",I22+K22)</f>
        <v/>
      </c>
      <c r="M22" s="47">
        <f>IFERROR(VLOOKUP(F22,'02_의사결정·종합결과'!$A$32:$D$38,2,FALSE),"")</f>
        <v/>
      </c>
      <c r="N22" s="47">
        <f>IFERROR(VLOOKUP(F22,'02_의사결정·종합결과'!$A$32:$D$38,4,FALSE),"")</f>
        <v/>
      </c>
      <c r="O22" s="47">
        <f>IF(L22="","",ROUND(G22*(1+L22),-4))</f>
        <v/>
      </c>
      <c r="P22" s="48">
        <f>O22</f>
        <v/>
      </c>
      <c r="Q22" s="47">
        <f>IF(P22="","",P22-G22)</f>
        <v/>
      </c>
    </row>
    <row r="23" ht="22.05" customHeight="1" s="86">
      <c r="A23" s="75">
        <f>'01_인적정보'!A23</f>
        <v/>
      </c>
      <c r="B23" s="75">
        <f>'01_인적정보'!B23</f>
        <v/>
      </c>
      <c r="C23" s="69">
        <f>'01_인적정보'!C23</f>
        <v/>
      </c>
      <c r="D23" s="69">
        <f>'01_인적정보'!D23</f>
        <v/>
      </c>
      <c r="E23" s="69">
        <f>'01_인적정보'!F23</f>
        <v/>
      </c>
      <c r="F23" s="11">
        <f>'01_인적정보'!H23</f>
        <v/>
      </c>
      <c r="G23" s="45">
        <f>'01_인적정보'!K23</f>
        <v/>
      </c>
      <c r="H23" s="40">
        <f>'08_종합평가'!U23</f>
        <v/>
      </c>
      <c r="I23" s="104">
        <f>IF(H23="","",IF(H23="S",'02_의사결정·종합결과'!$B$26,IF(H23="A",'02_의사결정·종합결과'!$C$26,IF(H23="B",'02_의사결정·종합결과'!$D$26,IF(H23="C",'02_의사결정·종합결과'!$E$26,'02_의사결정·종합결과'!$F$26)))))</f>
        <v/>
      </c>
      <c r="J23" s="16" t="inlineStr">
        <is>
          <t>N</t>
        </is>
      </c>
      <c r="K23" s="104">
        <f>IF(J23="Y",'02_의사결정·종합결과'!$B$28,0)</f>
        <v/>
      </c>
      <c r="L23" s="123">
        <f>IF(I23="","",I23+K23)</f>
        <v/>
      </c>
      <c r="M23" s="47">
        <f>IFERROR(VLOOKUP(F23,'02_의사결정·종합결과'!$A$32:$D$38,2,FALSE),"")</f>
        <v/>
      </c>
      <c r="N23" s="47">
        <f>IFERROR(VLOOKUP(F23,'02_의사결정·종합결과'!$A$32:$D$38,4,FALSE),"")</f>
        <v/>
      </c>
      <c r="O23" s="47">
        <f>IF(L23="","",ROUND(G23*(1+L23),-4))</f>
        <v/>
      </c>
      <c r="P23" s="48">
        <f>O23</f>
        <v/>
      </c>
      <c r="Q23" s="47">
        <f>IF(P23="","",P23-G23)</f>
        <v/>
      </c>
    </row>
    <row r="24" ht="22.05" customHeight="1" s="86">
      <c r="A24" s="75">
        <f>'01_인적정보'!A24</f>
        <v/>
      </c>
      <c r="B24" s="75">
        <f>'01_인적정보'!B24</f>
        <v/>
      </c>
      <c r="C24" s="69">
        <f>'01_인적정보'!C24</f>
        <v/>
      </c>
      <c r="D24" s="69">
        <f>'01_인적정보'!D24</f>
        <v/>
      </c>
      <c r="E24" s="69">
        <f>'01_인적정보'!F24</f>
        <v/>
      </c>
      <c r="F24" s="11">
        <f>'01_인적정보'!H24</f>
        <v/>
      </c>
      <c r="G24" s="45">
        <f>'01_인적정보'!K24</f>
        <v/>
      </c>
      <c r="H24" s="40">
        <f>'08_종합평가'!U24</f>
        <v/>
      </c>
      <c r="I24" s="104">
        <f>IF(H24="","",IF(H24="S",'02_의사결정·종합결과'!$B$26,IF(H24="A",'02_의사결정·종합결과'!$C$26,IF(H24="B",'02_의사결정·종합결과'!$D$26,IF(H24="C",'02_의사결정·종합결과'!$E$26,'02_의사결정·종합결과'!$F$26)))))</f>
        <v/>
      </c>
      <c r="J24" s="16" t="inlineStr">
        <is>
          <t>N</t>
        </is>
      </c>
      <c r="K24" s="104">
        <f>IF(J24="Y",'02_의사결정·종합결과'!$B$28,0)</f>
        <v/>
      </c>
      <c r="L24" s="123">
        <f>IF(I24="","",I24+K24)</f>
        <v/>
      </c>
      <c r="M24" s="47">
        <f>IFERROR(VLOOKUP(F24,'02_의사결정·종합결과'!$A$32:$D$38,2,FALSE),"")</f>
        <v/>
      </c>
      <c r="N24" s="47">
        <f>IFERROR(VLOOKUP(F24,'02_의사결정·종합결과'!$A$32:$D$38,4,FALSE),"")</f>
        <v/>
      </c>
      <c r="O24" s="47">
        <f>IF(L24="","",ROUND(G24*(1+L24),-4))</f>
        <v/>
      </c>
      <c r="P24" s="48">
        <f>O24</f>
        <v/>
      </c>
      <c r="Q24" s="47">
        <f>IF(P24="","",P24-G24)</f>
        <v/>
      </c>
    </row>
    <row r="25" ht="22.05" customHeight="1" s="86">
      <c r="A25" s="75">
        <f>'01_인적정보'!A25</f>
        <v/>
      </c>
      <c r="B25" s="75">
        <f>'01_인적정보'!B25</f>
        <v/>
      </c>
      <c r="C25" s="69">
        <f>'01_인적정보'!C25</f>
        <v/>
      </c>
      <c r="D25" s="69">
        <f>'01_인적정보'!D25</f>
        <v/>
      </c>
      <c r="E25" s="69">
        <f>'01_인적정보'!F25</f>
        <v/>
      </c>
      <c r="F25" s="11">
        <f>'01_인적정보'!H25</f>
        <v/>
      </c>
      <c r="G25" s="45">
        <f>'01_인적정보'!K25</f>
        <v/>
      </c>
      <c r="H25" s="40">
        <f>'08_종합평가'!U25</f>
        <v/>
      </c>
      <c r="I25" s="104">
        <f>IF(H25="","",IF(H25="S",'02_의사결정·종합결과'!$B$26,IF(H25="A",'02_의사결정·종합결과'!$C$26,IF(H25="B",'02_의사결정·종합결과'!$D$26,IF(H25="C",'02_의사결정·종합결과'!$E$26,'02_의사결정·종합결과'!$F$26)))))</f>
        <v/>
      </c>
      <c r="J25" s="16" t="inlineStr">
        <is>
          <t>N</t>
        </is>
      </c>
      <c r="K25" s="104">
        <f>IF(J25="Y",'02_의사결정·종합결과'!$B$28,0)</f>
        <v/>
      </c>
      <c r="L25" s="123">
        <f>IF(I25="","",I25+K25)</f>
        <v/>
      </c>
      <c r="M25" s="47">
        <f>IFERROR(VLOOKUP(F25,'02_의사결정·종합결과'!$A$32:$D$38,2,FALSE),"")</f>
        <v/>
      </c>
      <c r="N25" s="47">
        <f>IFERROR(VLOOKUP(F25,'02_의사결정·종합결과'!$A$32:$D$38,4,FALSE),"")</f>
        <v/>
      </c>
      <c r="O25" s="47">
        <f>IF(L25="","",ROUND(G25*(1+L25),-4))</f>
        <v/>
      </c>
      <c r="P25" s="48">
        <f>O25</f>
        <v/>
      </c>
      <c r="Q25" s="47">
        <f>IF(P25="","",P25-G25)</f>
        <v/>
      </c>
    </row>
    <row r="26" ht="22.05" customHeight="1" s="86">
      <c r="A26" s="75">
        <f>'01_인적정보'!A26</f>
        <v/>
      </c>
      <c r="B26" s="75">
        <f>'01_인적정보'!B26</f>
        <v/>
      </c>
      <c r="C26" s="69">
        <f>'01_인적정보'!C26</f>
        <v/>
      </c>
      <c r="D26" s="69">
        <f>'01_인적정보'!D26</f>
        <v/>
      </c>
      <c r="E26" s="69">
        <f>'01_인적정보'!F26</f>
        <v/>
      </c>
      <c r="F26" s="11">
        <f>'01_인적정보'!H26</f>
        <v/>
      </c>
      <c r="G26" s="45">
        <f>'01_인적정보'!K26</f>
        <v/>
      </c>
      <c r="H26" s="40">
        <f>'08_종합평가'!U26</f>
        <v/>
      </c>
      <c r="I26" s="104">
        <f>IF(H26="","",IF(H26="S",'02_의사결정·종합결과'!$B$26,IF(H26="A",'02_의사결정·종합결과'!$C$26,IF(H26="B",'02_의사결정·종합결과'!$D$26,IF(H26="C",'02_의사결정·종합결과'!$E$26,'02_의사결정·종합결과'!$F$26)))))</f>
        <v/>
      </c>
      <c r="J26" s="16" t="inlineStr">
        <is>
          <t>N</t>
        </is>
      </c>
      <c r="K26" s="104">
        <f>IF(J26="Y",'02_의사결정·종합결과'!$B$28,0)</f>
        <v/>
      </c>
      <c r="L26" s="123">
        <f>IF(I26="","",I26+K26)</f>
        <v/>
      </c>
      <c r="M26" s="47">
        <f>IFERROR(VLOOKUP(F26,'02_의사결정·종합결과'!$A$32:$D$38,2,FALSE),"")</f>
        <v/>
      </c>
      <c r="N26" s="47">
        <f>IFERROR(VLOOKUP(F26,'02_의사결정·종합결과'!$A$32:$D$38,4,FALSE),"")</f>
        <v/>
      </c>
      <c r="O26" s="47">
        <f>IF(L26="","",ROUND(G26*(1+L26),-4))</f>
        <v/>
      </c>
      <c r="P26" s="48">
        <f>O26</f>
        <v/>
      </c>
      <c r="Q26" s="47">
        <f>IF(P26="","",P26-G26)</f>
        <v/>
      </c>
    </row>
    <row r="27" ht="22.05" customHeight="1" s="86">
      <c r="A27" s="75">
        <f>'01_인적정보'!A27</f>
        <v/>
      </c>
      <c r="B27" s="75">
        <f>'01_인적정보'!B27</f>
        <v/>
      </c>
      <c r="C27" s="69">
        <f>'01_인적정보'!C27</f>
        <v/>
      </c>
      <c r="D27" s="69">
        <f>'01_인적정보'!D27</f>
        <v/>
      </c>
      <c r="E27" s="69">
        <f>'01_인적정보'!F27</f>
        <v/>
      </c>
      <c r="F27" s="11">
        <f>'01_인적정보'!H27</f>
        <v/>
      </c>
      <c r="G27" s="45">
        <f>'01_인적정보'!K27</f>
        <v/>
      </c>
      <c r="H27" s="40">
        <f>'08_종합평가'!U27</f>
        <v/>
      </c>
      <c r="I27" s="104">
        <f>IF(H27="","",IF(H27="S",'02_의사결정·종합결과'!$B$26,IF(H27="A",'02_의사결정·종합결과'!$C$26,IF(H27="B",'02_의사결정·종합결과'!$D$26,IF(H27="C",'02_의사결정·종합결과'!$E$26,'02_의사결정·종합결과'!$F$26)))))</f>
        <v/>
      </c>
      <c r="J27" s="16" t="inlineStr">
        <is>
          <t>N</t>
        </is>
      </c>
      <c r="K27" s="104">
        <f>IF(J27="Y",'02_의사결정·종합결과'!$B$28,0)</f>
        <v/>
      </c>
      <c r="L27" s="123">
        <f>IF(I27="","",I27+K27)</f>
        <v/>
      </c>
      <c r="M27" s="47">
        <f>IFERROR(VLOOKUP(F27,'02_의사결정·종합결과'!$A$32:$D$38,2,FALSE),"")</f>
        <v/>
      </c>
      <c r="N27" s="47">
        <f>IFERROR(VLOOKUP(F27,'02_의사결정·종합결과'!$A$32:$D$38,4,FALSE),"")</f>
        <v/>
      </c>
      <c r="O27" s="47">
        <f>IF(L27="","",ROUND(G27*(1+L27),-4))</f>
        <v/>
      </c>
      <c r="P27" s="48">
        <f>O27</f>
        <v/>
      </c>
      <c r="Q27" s="47">
        <f>IF(P27="","",P27-G27)</f>
        <v/>
      </c>
    </row>
    <row r="28" ht="22.05" customHeight="1" s="86">
      <c r="A28" s="75">
        <f>'01_인적정보'!A28</f>
        <v/>
      </c>
      <c r="B28" s="75">
        <f>'01_인적정보'!B28</f>
        <v/>
      </c>
      <c r="C28" s="69">
        <f>'01_인적정보'!C28</f>
        <v/>
      </c>
      <c r="D28" s="69">
        <f>'01_인적정보'!D28</f>
        <v/>
      </c>
      <c r="E28" s="69">
        <f>'01_인적정보'!F28</f>
        <v/>
      </c>
      <c r="F28" s="11">
        <f>'01_인적정보'!H28</f>
        <v/>
      </c>
      <c r="G28" s="45">
        <f>'01_인적정보'!K28</f>
        <v/>
      </c>
      <c r="H28" s="40">
        <f>'08_종합평가'!U28</f>
        <v/>
      </c>
      <c r="I28" s="104">
        <f>IF(H28="","",IF(H28="S",'02_의사결정·종합결과'!$B$26,IF(H28="A",'02_의사결정·종합결과'!$C$26,IF(H28="B",'02_의사결정·종합결과'!$D$26,IF(H28="C",'02_의사결정·종합결과'!$E$26,'02_의사결정·종합결과'!$F$26)))))</f>
        <v/>
      </c>
      <c r="J28" s="16" t="inlineStr">
        <is>
          <t>N</t>
        </is>
      </c>
      <c r="K28" s="104">
        <f>IF(J28="Y",'02_의사결정·종합결과'!$B$28,0)</f>
        <v/>
      </c>
      <c r="L28" s="123">
        <f>IF(I28="","",I28+K28)</f>
        <v/>
      </c>
      <c r="M28" s="47">
        <f>IFERROR(VLOOKUP(F28,'02_의사결정·종합결과'!$A$32:$D$38,2,FALSE),"")</f>
        <v/>
      </c>
      <c r="N28" s="47">
        <f>IFERROR(VLOOKUP(F28,'02_의사결정·종합결과'!$A$32:$D$38,4,FALSE),"")</f>
        <v/>
      </c>
      <c r="O28" s="47">
        <f>IF(L28="","",ROUND(G28*(1+L28),-4))</f>
        <v/>
      </c>
      <c r="P28" s="48">
        <f>O28</f>
        <v/>
      </c>
      <c r="Q28" s="47">
        <f>IF(P28="","",P28-G28)</f>
        <v/>
      </c>
    </row>
    <row r="29" ht="22.05" customHeight="1" s="86">
      <c r="A29" s="75">
        <f>'01_인적정보'!A29</f>
        <v/>
      </c>
      <c r="B29" s="75">
        <f>'01_인적정보'!B29</f>
        <v/>
      </c>
      <c r="C29" s="69">
        <f>'01_인적정보'!C29</f>
        <v/>
      </c>
      <c r="D29" s="69">
        <f>'01_인적정보'!D29</f>
        <v/>
      </c>
      <c r="E29" s="69">
        <f>'01_인적정보'!F29</f>
        <v/>
      </c>
      <c r="F29" s="11">
        <f>'01_인적정보'!H29</f>
        <v/>
      </c>
      <c r="G29" s="45">
        <f>'01_인적정보'!K29</f>
        <v/>
      </c>
      <c r="H29" s="40">
        <f>'08_종합평가'!U29</f>
        <v/>
      </c>
      <c r="I29" s="104">
        <f>IF(H29="","",IF(H29="S",'02_의사결정·종합결과'!$B$26,IF(H29="A",'02_의사결정·종합결과'!$C$26,IF(H29="B",'02_의사결정·종합결과'!$D$26,IF(H29="C",'02_의사결정·종합결과'!$E$26,'02_의사결정·종합결과'!$F$26)))))</f>
        <v/>
      </c>
      <c r="J29" s="16" t="inlineStr">
        <is>
          <t>N</t>
        </is>
      </c>
      <c r="K29" s="104">
        <f>IF(J29="Y",'02_의사결정·종합결과'!$B$28,0)</f>
        <v/>
      </c>
      <c r="L29" s="123">
        <f>IF(I29="","",I29+K29)</f>
        <v/>
      </c>
      <c r="M29" s="47">
        <f>IFERROR(VLOOKUP(F29,'02_의사결정·종합결과'!$A$32:$D$38,2,FALSE),"")</f>
        <v/>
      </c>
      <c r="N29" s="47">
        <f>IFERROR(VLOOKUP(F29,'02_의사결정·종합결과'!$A$32:$D$38,4,FALSE),"")</f>
        <v/>
      </c>
      <c r="O29" s="47">
        <f>IF(L29="","",ROUND(G29*(1+L29),-4))</f>
        <v/>
      </c>
      <c r="P29" s="48">
        <f>O29</f>
        <v/>
      </c>
      <c r="Q29" s="47">
        <f>IF(P29="","",P29-G29)</f>
        <v/>
      </c>
    </row>
    <row r="30" ht="22.05" customHeight="1" s="86">
      <c r="A30" s="75">
        <f>'01_인적정보'!A30</f>
        <v/>
      </c>
      <c r="B30" s="75">
        <f>'01_인적정보'!B30</f>
        <v/>
      </c>
      <c r="C30" s="69">
        <f>'01_인적정보'!C30</f>
        <v/>
      </c>
      <c r="D30" s="69">
        <f>'01_인적정보'!D30</f>
        <v/>
      </c>
      <c r="E30" s="69">
        <f>'01_인적정보'!F30</f>
        <v/>
      </c>
      <c r="F30" s="11">
        <f>'01_인적정보'!H30</f>
        <v/>
      </c>
      <c r="G30" s="45">
        <f>'01_인적정보'!K30</f>
        <v/>
      </c>
      <c r="H30" s="40">
        <f>'08_종합평가'!U30</f>
        <v/>
      </c>
      <c r="I30" s="104">
        <f>IF(H30="","",IF(H30="S",'02_의사결정·종합결과'!$B$26,IF(H30="A",'02_의사결정·종합결과'!$C$26,IF(H30="B",'02_의사결정·종합결과'!$D$26,IF(H30="C",'02_의사결정·종합결과'!$E$26,'02_의사결정·종합결과'!$F$26)))))</f>
        <v/>
      </c>
      <c r="J30" s="16" t="inlineStr">
        <is>
          <t>N</t>
        </is>
      </c>
      <c r="K30" s="104">
        <f>IF(J30="Y",'02_의사결정·종합결과'!$B$28,0)</f>
        <v/>
      </c>
      <c r="L30" s="123">
        <f>IF(I30="","",I30+K30)</f>
        <v/>
      </c>
      <c r="M30" s="47">
        <f>IFERROR(VLOOKUP(F30,'02_의사결정·종합결과'!$A$32:$D$38,2,FALSE),"")</f>
        <v/>
      </c>
      <c r="N30" s="47">
        <f>IFERROR(VLOOKUP(F30,'02_의사결정·종합결과'!$A$32:$D$38,4,FALSE),"")</f>
        <v/>
      </c>
      <c r="O30" s="47">
        <f>IF(L30="","",ROUND(G30*(1+L30),-4))</f>
        <v/>
      </c>
      <c r="P30" s="48">
        <f>O30</f>
        <v/>
      </c>
      <c r="Q30" s="47">
        <f>IF(P30="","",P30-G30)</f>
        <v/>
      </c>
    </row>
    <row r="31" ht="22.05" customHeight="1" s="86">
      <c r="A31" s="75">
        <f>'01_인적정보'!A31</f>
        <v/>
      </c>
      <c r="B31" s="75">
        <f>'01_인적정보'!B31</f>
        <v/>
      </c>
      <c r="C31" s="69">
        <f>'01_인적정보'!C31</f>
        <v/>
      </c>
      <c r="D31" s="69">
        <f>'01_인적정보'!D31</f>
        <v/>
      </c>
      <c r="E31" s="69">
        <f>'01_인적정보'!F31</f>
        <v/>
      </c>
      <c r="F31" s="11">
        <f>'01_인적정보'!H31</f>
        <v/>
      </c>
      <c r="G31" s="45">
        <f>'01_인적정보'!K31</f>
        <v/>
      </c>
      <c r="H31" s="40">
        <f>'08_종합평가'!U31</f>
        <v/>
      </c>
      <c r="I31" s="104">
        <f>IF(H31="","",IF(H31="S",'02_의사결정·종합결과'!$B$26,IF(H31="A",'02_의사결정·종합결과'!$C$26,IF(H31="B",'02_의사결정·종합결과'!$D$26,IF(H31="C",'02_의사결정·종합결과'!$E$26,'02_의사결정·종합결과'!$F$26)))))</f>
        <v/>
      </c>
      <c r="J31" s="16" t="inlineStr">
        <is>
          <t>N</t>
        </is>
      </c>
      <c r="K31" s="104">
        <f>IF(J31="Y",'02_의사결정·종합결과'!$B$28,0)</f>
        <v/>
      </c>
      <c r="L31" s="123">
        <f>IF(I31="","",I31+K31)</f>
        <v/>
      </c>
      <c r="M31" s="47">
        <f>IFERROR(VLOOKUP(F31,'02_의사결정·종합결과'!$A$32:$D$38,2,FALSE),"")</f>
        <v/>
      </c>
      <c r="N31" s="47">
        <f>IFERROR(VLOOKUP(F31,'02_의사결정·종합결과'!$A$32:$D$38,4,FALSE),"")</f>
        <v/>
      </c>
      <c r="O31" s="47">
        <f>IF(L31="","",ROUND(G31*(1+L31),-4))</f>
        <v/>
      </c>
      <c r="P31" s="48">
        <f>O31</f>
        <v/>
      </c>
      <c r="Q31" s="47">
        <f>IF(P31="","",P31-G31)</f>
        <v/>
      </c>
    </row>
    <row r="32" ht="22.05" customHeight="1" s="86">
      <c r="A32" s="75">
        <f>'01_인적정보'!A32</f>
        <v/>
      </c>
      <c r="B32" s="75">
        <f>'01_인적정보'!B32</f>
        <v/>
      </c>
      <c r="C32" s="69">
        <f>'01_인적정보'!C32</f>
        <v/>
      </c>
      <c r="D32" s="69">
        <f>'01_인적정보'!D32</f>
        <v/>
      </c>
      <c r="E32" s="69">
        <f>'01_인적정보'!F32</f>
        <v/>
      </c>
      <c r="F32" s="11">
        <f>'01_인적정보'!H32</f>
        <v/>
      </c>
      <c r="G32" s="45">
        <f>'01_인적정보'!K32</f>
        <v/>
      </c>
      <c r="H32" s="40">
        <f>'08_종합평가'!U32</f>
        <v/>
      </c>
      <c r="I32" s="104">
        <f>IF(H32="","",IF(H32="S",'02_의사결정·종합결과'!$B$26,IF(H32="A",'02_의사결정·종합결과'!$C$26,IF(H32="B",'02_의사결정·종합결과'!$D$26,IF(H32="C",'02_의사결정·종합결과'!$E$26,'02_의사결정·종합결과'!$F$26)))))</f>
        <v/>
      </c>
      <c r="J32" s="16" t="inlineStr">
        <is>
          <t>N</t>
        </is>
      </c>
      <c r="K32" s="104">
        <f>IF(J32="Y",'02_의사결정·종합결과'!$B$28,0)</f>
        <v/>
      </c>
      <c r="L32" s="123">
        <f>IF(I32="","",I32+K32)</f>
        <v/>
      </c>
      <c r="M32" s="47">
        <f>IFERROR(VLOOKUP(F32,'02_의사결정·종합결과'!$A$32:$D$38,2,FALSE),"")</f>
        <v/>
      </c>
      <c r="N32" s="47">
        <f>IFERROR(VLOOKUP(F32,'02_의사결정·종합결과'!$A$32:$D$38,4,FALSE),"")</f>
        <v/>
      </c>
      <c r="O32" s="47">
        <f>IF(L32="","",ROUND(G32*(1+L32),-4))</f>
        <v/>
      </c>
      <c r="P32" s="48">
        <f>O32</f>
        <v/>
      </c>
      <c r="Q32" s="47">
        <f>IF(P32="","",P32-G32)</f>
        <v/>
      </c>
    </row>
    <row r="33" ht="22.05" customHeight="1" s="86">
      <c r="A33" s="75">
        <f>'01_인적정보'!A33</f>
        <v/>
      </c>
      <c r="B33" s="75">
        <f>'01_인적정보'!B33</f>
        <v/>
      </c>
      <c r="C33" s="69">
        <f>'01_인적정보'!C33</f>
        <v/>
      </c>
      <c r="D33" s="69">
        <f>'01_인적정보'!D33</f>
        <v/>
      </c>
      <c r="E33" s="69">
        <f>'01_인적정보'!F33</f>
        <v/>
      </c>
      <c r="F33" s="11">
        <f>'01_인적정보'!H33</f>
        <v/>
      </c>
      <c r="G33" s="45">
        <f>'01_인적정보'!K33</f>
        <v/>
      </c>
      <c r="H33" s="40">
        <f>'08_종합평가'!U33</f>
        <v/>
      </c>
      <c r="I33" s="104">
        <f>IF(H33="","",IF(H33="S",'02_의사결정·종합결과'!$B$26,IF(H33="A",'02_의사결정·종합결과'!$C$26,IF(H33="B",'02_의사결정·종합결과'!$D$26,IF(H33="C",'02_의사결정·종합결과'!$E$26,'02_의사결정·종합결과'!$F$26)))))</f>
        <v/>
      </c>
      <c r="J33" s="16" t="inlineStr">
        <is>
          <t>N</t>
        </is>
      </c>
      <c r="K33" s="104">
        <f>IF(J33="Y",'02_의사결정·종합결과'!$B$28,0)</f>
        <v/>
      </c>
      <c r="L33" s="123">
        <f>IF(I33="","",I33+K33)</f>
        <v/>
      </c>
      <c r="M33" s="47">
        <f>IFERROR(VLOOKUP(F33,'02_의사결정·종합결과'!$A$32:$D$38,2,FALSE),"")</f>
        <v/>
      </c>
      <c r="N33" s="47">
        <f>IFERROR(VLOOKUP(F33,'02_의사결정·종합결과'!$A$32:$D$38,4,FALSE),"")</f>
        <v/>
      </c>
      <c r="O33" s="47">
        <f>IF(L33="","",ROUND(G33*(1+L33),-4))</f>
        <v/>
      </c>
      <c r="P33" s="48">
        <f>O33</f>
        <v/>
      </c>
      <c r="Q33" s="47">
        <f>IF(P33="","",P33-G33)</f>
        <v/>
      </c>
    </row>
    <row r="34" ht="22.05" customHeight="1" s="86">
      <c r="A34" s="75">
        <f>'01_인적정보'!A34</f>
        <v/>
      </c>
      <c r="B34" s="75">
        <f>'01_인적정보'!B34</f>
        <v/>
      </c>
      <c r="C34" s="69">
        <f>'01_인적정보'!C34</f>
        <v/>
      </c>
      <c r="D34" s="69">
        <f>'01_인적정보'!D34</f>
        <v/>
      </c>
      <c r="E34" s="69">
        <f>'01_인적정보'!F34</f>
        <v/>
      </c>
      <c r="F34" s="11">
        <f>'01_인적정보'!H34</f>
        <v/>
      </c>
      <c r="G34" s="45">
        <f>'01_인적정보'!K34</f>
        <v/>
      </c>
      <c r="H34" s="40">
        <f>'08_종합평가'!U34</f>
        <v/>
      </c>
      <c r="I34" s="104">
        <f>IF(H34="","",IF(H34="S",'02_의사결정·종합결과'!$B$26,IF(H34="A",'02_의사결정·종합결과'!$C$26,IF(H34="B",'02_의사결정·종합결과'!$D$26,IF(H34="C",'02_의사결정·종합결과'!$E$26,'02_의사결정·종합결과'!$F$26)))))</f>
        <v/>
      </c>
      <c r="J34" s="16" t="inlineStr">
        <is>
          <t>N</t>
        </is>
      </c>
      <c r="K34" s="104">
        <f>IF(J34="Y",'02_의사결정·종합결과'!$B$28,0)</f>
        <v/>
      </c>
      <c r="L34" s="123">
        <f>IF(I34="","",I34+K34)</f>
        <v/>
      </c>
      <c r="M34" s="47">
        <f>IFERROR(VLOOKUP(F34,'02_의사결정·종합결과'!$A$32:$D$38,2,FALSE),"")</f>
        <v/>
      </c>
      <c r="N34" s="47">
        <f>IFERROR(VLOOKUP(F34,'02_의사결정·종합결과'!$A$32:$D$38,4,FALSE),"")</f>
        <v/>
      </c>
      <c r="O34" s="47">
        <f>IF(L34="","",ROUND(G34*(1+L34),-4))</f>
        <v/>
      </c>
      <c r="P34" s="48">
        <f>O34</f>
        <v/>
      </c>
      <c r="Q34" s="47">
        <f>IF(P34="","",P34-G34)</f>
        <v/>
      </c>
    </row>
    <row r="35" ht="22.05" customHeight="1" s="86">
      <c r="A35" s="75">
        <f>'01_인적정보'!A35</f>
        <v/>
      </c>
      <c r="B35" s="75">
        <f>'01_인적정보'!B35</f>
        <v/>
      </c>
      <c r="C35" s="69">
        <f>'01_인적정보'!C35</f>
        <v/>
      </c>
      <c r="D35" s="69">
        <f>'01_인적정보'!D35</f>
        <v/>
      </c>
      <c r="E35" s="69">
        <f>'01_인적정보'!F35</f>
        <v/>
      </c>
      <c r="F35" s="11">
        <f>'01_인적정보'!H35</f>
        <v/>
      </c>
      <c r="G35" s="45">
        <f>'01_인적정보'!K35</f>
        <v/>
      </c>
      <c r="H35" s="40">
        <f>'08_종합평가'!U35</f>
        <v/>
      </c>
      <c r="I35" s="104">
        <f>IF(H35="","",IF(H35="S",'02_의사결정·종합결과'!$B$26,IF(H35="A",'02_의사결정·종합결과'!$C$26,IF(H35="B",'02_의사결정·종합결과'!$D$26,IF(H35="C",'02_의사결정·종합결과'!$E$26,'02_의사결정·종합결과'!$F$26)))))</f>
        <v/>
      </c>
      <c r="J35" s="16" t="inlineStr">
        <is>
          <t>N</t>
        </is>
      </c>
      <c r="K35" s="104">
        <f>IF(J35="Y",'02_의사결정·종합결과'!$B$28,0)</f>
        <v/>
      </c>
      <c r="L35" s="123">
        <f>IF(I35="","",I35+K35)</f>
        <v/>
      </c>
      <c r="M35" s="47">
        <f>IFERROR(VLOOKUP(F35,'02_의사결정·종합결과'!$A$32:$D$38,2,FALSE),"")</f>
        <v/>
      </c>
      <c r="N35" s="47">
        <f>IFERROR(VLOOKUP(F35,'02_의사결정·종합결과'!$A$32:$D$38,4,FALSE),"")</f>
        <v/>
      </c>
      <c r="O35" s="47">
        <f>IF(L35="","",ROUND(G35*(1+L35),-4))</f>
        <v/>
      </c>
      <c r="P35" s="48">
        <f>O35</f>
        <v/>
      </c>
      <c r="Q35" s="47">
        <f>IF(P35="","",P35-G35)</f>
        <v/>
      </c>
    </row>
    <row r="36" ht="22.05" customHeight="1" s="86">
      <c r="A36" s="75">
        <f>'01_인적정보'!A36</f>
        <v/>
      </c>
      <c r="B36" s="75">
        <f>'01_인적정보'!B36</f>
        <v/>
      </c>
      <c r="C36" s="69">
        <f>'01_인적정보'!C36</f>
        <v/>
      </c>
      <c r="D36" s="69">
        <f>'01_인적정보'!D36</f>
        <v/>
      </c>
      <c r="E36" s="69">
        <f>'01_인적정보'!F36</f>
        <v/>
      </c>
      <c r="F36" s="11">
        <f>'01_인적정보'!H36</f>
        <v/>
      </c>
      <c r="G36" s="45">
        <f>'01_인적정보'!K36</f>
        <v/>
      </c>
      <c r="H36" s="40">
        <f>'08_종합평가'!U36</f>
        <v/>
      </c>
      <c r="I36" s="104">
        <f>IF(H36="","",IF(H36="S",'02_의사결정·종합결과'!$B$26,IF(H36="A",'02_의사결정·종합결과'!$C$26,IF(H36="B",'02_의사결정·종합결과'!$D$26,IF(H36="C",'02_의사결정·종합결과'!$E$26,'02_의사결정·종합결과'!$F$26)))))</f>
        <v/>
      </c>
      <c r="J36" s="16" t="inlineStr">
        <is>
          <t>N</t>
        </is>
      </c>
      <c r="K36" s="104">
        <f>IF(J36="Y",'02_의사결정·종합결과'!$B$28,0)</f>
        <v/>
      </c>
      <c r="L36" s="123">
        <f>IF(I36="","",I36+K36)</f>
        <v/>
      </c>
      <c r="M36" s="47">
        <f>IFERROR(VLOOKUP(F36,'02_의사결정·종합결과'!$A$32:$D$38,2,FALSE),"")</f>
        <v/>
      </c>
      <c r="N36" s="47">
        <f>IFERROR(VLOOKUP(F36,'02_의사결정·종합결과'!$A$32:$D$38,4,FALSE),"")</f>
        <v/>
      </c>
      <c r="O36" s="47">
        <f>IF(L36="","",ROUND(G36*(1+L36),-4))</f>
        <v/>
      </c>
      <c r="P36" s="48">
        <f>O36</f>
        <v/>
      </c>
      <c r="Q36" s="47">
        <f>IF(P36="","",P36-G36)</f>
        <v/>
      </c>
    </row>
    <row r="37" ht="22.05" customHeight="1" s="86">
      <c r="A37" s="75">
        <f>'01_인적정보'!A37</f>
        <v/>
      </c>
      <c r="B37" s="75">
        <f>'01_인적정보'!B37</f>
        <v/>
      </c>
      <c r="C37" s="69">
        <f>'01_인적정보'!C37</f>
        <v/>
      </c>
      <c r="D37" s="69">
        <f>'01_인적정보'!D37</f>
        <v/>
      </c>
      <c r="E37" s="69">
        <f>'01_인적정보'!F37</f>
        <v/>
      </c>
      <c r="F37" s="11">
        <f>'01_인적정보'!H37</f>
        <v/>
      </c>
      <c r="G37" s="45">
        <f>'01_인적정보'!K37</f>
        <v/>
      </c>
      <c r="H37" s="40">
        <f>'08_종합평가'!U37</f>
        <v/>
      </c>
      <c r="I37" s="104">
        <f>IF(H37="","",IF(H37="S",'02_의사결정·종합결과'!$B$26,IF(H37="A",'02_의사결정·종합결과'!$C$26,IF(H37="B",'02_의사결정·종합결과'!$D$26,IF(H37="C",'02_의사결정·종합결과'!$E$26,'02_의사결정·종합결과'!$F$26)))))</f>
        <v/>
      </c>
      <c r="J37" s="16" t="inlineStr">
        <is>
          <t>N</t>
        </is>
      </c>
      <c r="K37" s="104">
        <f>IF(J37="Y",'02_의사결정·종합결과'!$B$28,0)</f>
        <v/>
      </c>
      <c r="L37" s="123">
        <f>IF(I37="","",I37+K37)</f>
        <v/>
      </c>
      <c r="M37" s="47">
        <f>IFERROR(VLOOKUP(F37,'02_의사결정·종합결과'!$A$32:$D$38,2,FALSE),"")</f>
        <v/>
      </c>
      <c r="N37" s="47">
        <f>IFERROR(VLOOKUP(F37,'02_의사결정·종합결과'!$A$32:$D$38,4,FALSE),"")</f>
        <v/>
      </c>
      <c r="O37" s="47">
        <f>IF(L37="","",ROUND(G37*(1+L37),-4))</f>
        <v/>
      </c>
      <c r="P37" s="48">
        <f>O37</f>
        <v/>
      </c>
      <c r="Q37" s="47">
        <f>IF(P37="","",P37-G37)</f>
        <v/>
      </c>
    </row>
    <row r="38" ht="22.05" customHeight="1" s="86">
      <c r="A38" s="75">
        <f>'01_인적정보'!A38</f>
        <v/>
      </c>
      <c r="B38" s="75">
        <f>'01_인적정보'!B38</f>
        <v/>
      </c>
      <c r="C38" s="69">
        <f>'01_인적정보'!C38</f>
        <v/>
      </c>
      <c r="D38" s="69">
        <f>'01_인적정보'!D38</f>
        <v/>
      </c>
      <c r="E38" s="69">
        <f>'01_인적정보'!F38</f>
        <v/>
      </c>
      <c r="F38" s="11">
        <f>'01_인적정보'!H38</f>
        <v/>
      </c>
      <c r="G38" s="45">
        <f>'01_인적정보'!K38</f>
        <v/>
      </c>
      <c r="H38" s="40">
        <f>'08_종합평가'!U38</f>
        <v/>
      </c>
      <c r="I38" s="104">
        <f>IF(H38="","",IF(H38="S",'02_의사결정·종합결과'!$B$26,IF(H38="A",'02_의사결정·종합결과'!$C$26,IF(H38="B",'02_의사결정·종합결과'!$D$26,IF(H38="C",'02_의사결정·종합결과'!$E$26,'02_의사결정·종합결과'!$F$26)))))</f>
        <v/>
      </c>
      <c r="J38" s="16" t="inlineStr">
        <is>
          <t>N</t>
        </is>
      </c>
      <c r="K38" s="104">
        <f>IF(J38="Y",'02_의사결정·종합결과'!$B$28,0)</f>
        <v/>
      </c>
      <c r="L38" s="123">
        <f>IF(I38="","",I38+K38)</f>
        <v/>
      </c>
      <c r="M38" s="47">
        <f>IFERROR(VLOOKUP(F38,'02_의사결정·종합결과'!$A$32:$D$38,2,FALSE),"")</f>
        <v/>
      </c>
      <c r="N38" s="47">
        <f>IFERROR(VLOOKUP(F38,'02_의사결정·종합결과'!$A$32:$D$38,4,FALSE),"")</f>
        <v/>
      </c>
      <c r="O38" s="47">
        <f>IF(L38="","",ROUND(G38*(1+L38),-4))</f>
        <v/>
      </c>
      <c r="P38" s="48">
        <f>O38</f>
        <v/>
      </c>
      <c r="Q38" s="47">
        <f>IF(P38="","",P38-G38)</f>
        <v/>
      </c>
    </row>
    <row r="39" ht="22.05" customHeight="1" s="86">
      <c r="A39" s="75">
        <f>'01_인적정보'!A39</f>
        <v/>
      </c>
      <c r="B39" s="75">
        <f>'01_인적정보'!B39</f>
        <v/>
      </c>
      <c r="C39" s="69">
        <f>'01_인적정보'!C39</f>
        <v/>
      </c>
      <c r="D39" s="69">
        <f>'01_인적정보'!D39</f>
        <v/>
      </c>
      <c r="E39" s="69">
        <f>'01_인적정보'!F39</f>
        <v/>
      </c>
      <c r="F39" s="11">
        <f>'01_인적정보'!H39</f>
        <v/>
      </c>
      <c r="G39" s="45">
        <f>'01_인적정보'!K39</f>
        <v/>
      </c>
      <c r="H39" s="40">
        <f>'08_종합평가'!U39</f>
        <v/>
      </c>
      <c r="I39" s="104">
        <f>IF(H39="","",IF(H39="S",'02_의사결정·종합결과'!$B$26,IF(H39="A",'02_의사결정·종합결과'!$C$26,IF(H39="B",'02_의사결정·종합결과'!$D$26,IF(H39="C",'02_의사결정·종합결과'!$E$26,'02_의사결정·종합결과'!$F$26)))))</f>
        <v/>
      </c>
      <c r="J39" s="16" t="inlineStr">
        <is>
          <t>N</t>
        </is>
      </c>
      <c r="K39" s="104">
        <f>IF(J39="Y",'02_의사결정·종합결과'!$B$28,0)</f>
        <v/>
      </c>
      <c r="L39" s="123">
        <f>IF(I39="","",I39+K39)</f>
        <v/>
      </c>
      <c r="M39" s="47">
        <f>IFERROR(VLOOKUP(F39,'02_의사결정·종합결과'!$A$32:$D$38,2,FALSE),"")</f>
        <v/>
      </c>
      <c r="N39" s="47">
        <f>IFERROR(VLOOKUP(F39,'02_의사결정·종합결과'!$A$32:$D$38,4,FALSE),"")</f>
        <v/>
      </c>
      <c r="O39" s="47">
        <f>IF(L39="","",ROUND(G39*(1+L39),-4))</f>
        <v/>
      </c>
      <c r="P39" s="48">
        <f>O39</f>
        <v/>
      </c>
      <c r="Q39" s="47">
        <f>IF(P39="","",P39-G39)</f>
        <v/>
      </c>
    </row>
    <row r="41">
      <c r="F41" s="49" t="inlineStr">
        <is>
          <t>합계</t>
        </is>
      </c>
      <c r="G41" s="50">
        <f>SUM(G6:G39)</f>
        <v/>
      </c>
      <c r="O41" s="50">
        <f>SUM(O6:O39)</f>
        <v/>
      </c>
      <c r="P41" s="50">
        <f>SUM(P6:P39)</f>
        <v/>
      </c>
      <c r="Q41" s="50">
        <f>SUM(Q6:Q39)</f>
        <v/>
      </c>
    </row>
  </sheetData>
  <mergeCells count="2">
    <mergeCell ref="A2:Q2"/>
    <mergeCell ref="A1:Q1"/>
  </mergeCells>
  <conditionalFormatting sqref="P6:P39">
    <cfRule type="expression" priority="1" dxfId="12">
      <formula>AND(P6&lt;&gt;"",OR(P6&lt;M6,P6&gt;N6))</formula>
    </cfRule>
  </conditionalFormatting>
  <dataValidations count="1">
    <dataValidation sqref="J6:J39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70AD47"/>
    <outlinePr summaryBelow="1" summaryRight="1"/>
    <pageSetUpPr/>
  </sheetPr>
  <dimension ref="A1:N44"/>
  <sheetViews>
    <sheetView workbookViewId="0">
      <pane xSplit="3" ySplit="8" topLeftCell="D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4" customWidth="1" style="86" min="1" max="1"/>
    <col width="9" customWidth="1" style="86" min="2" max="2"/>
    <col width="8" customWidth="1" style="86" min="3" max="3"/>
    <col width="11" customWidth="1" style="86" min="4" max="4"/>
    <col width="7" customWidth="1" style="86" min="5" max="5"/>
    <col width="12" customWidth="1" style="86" min="6" max="6"/>
    <col width="8" customWidth="1" style="86" min="7" max="7"/>
    <col width="11" customWidth="1" style="86" min="8" max="8"/>
    <col width="9" customWidth="1" style="86" min="9" max="9"/>
    <col width="12" customWidth="1" style="86" min="10" max="10"/>
    <col width="8" customWidth="1" style="86" min="11" max="11"/>
    <col width="12" customWidth="1" style="86" min="12" max="12"/>
    <col width="15" customWidth="1" style="86" min="13" max="13"/>
  </cols>
  <sheetData>
    <row r="1" ht="28.05" customHeight="1" s="86">
      <c r="A1" s="82" t="inlineStr">
        <is>
          <t>성과급(인센티브) 관리 — 등급별 자동 산출</t>
        </is>
      </c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7" t="n"/>
    </row>
    <row r="2">
      <c r="A2" s="80" t="inlineStr">
        <is>
          <t>08 종합평가의 최종등급에 따라 자동 산정. 전사 KPI 달성률로 재원 가산.</t>
        </is>
      </c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7" t="n"/>
    </row>
    <row r="4">
      <c r="A4" s="83" t="inlineStr">
        <is>
          <t>■ 전사 KPI 달성률 → 성과급 재원 가산 계수</t>
        </is>
      </c>
      <c r="B4" s="66" t="n"/>
      <c r="C4" s="66" t="n"/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7" t="n"/>
    </row>
    <row r="5" ht="118.15" customHeight="1" s="86">
      <c r="A5" s="2" t="inlineStr">
        <is>
          <t>전사 KPI 종합등급</t>
        </is>
      </c>
      <c r="B5" s="14">
        <f>'03_전사업적평가'!B11</f>
        <v/>
      </c>
      <c r="C5" s="2" t="inlineStr">
        <is>
          <t>KPI 가산 계수</t>
        </is>
      </c>
      <c r="D5" s="124">
        <f>IFERROR(IF(B5="","",IF(B5="S",1.2,IF(B5="A",1.1,IF(B5="B",1,IF(B5="C",0.9,IF(B5="D",0.8,1)))))),1)</f>
        <v/>
      </c>
      <c r="E5" s="2" t="inlineStr">
        <is>
          <t>수동 조정</t>
        </is>
      </c>
      <c r="F5" s="125" t="n">
        <v>1</v>
      </c>
      <c r="G5" s="85" t="inlineStr">
        <is>
          <t>S/A 등급 시 가산, C/D 등급 시 감산. 수동 조정란에 직접 입력해 덮어쓰기 가능.</t>
        </is>
      </c>
      <c r="H5" s="66" t="n"/>
      <c r="I5" s="66" t="n"/>
      <c r="J5" s="66" t="n"/>
      <c r="K5" s="66" t="n"/>
      <c r="L5" s="66" t="n"/>
      <c r="M5" s="66" t="n"/>
      <c r="N5" s="67" t="n"/>
    </row>
    <row r="7">
      <c r="A7" s="83" t="inlineStr">
        <is>
          <t>■ 개인별 성과급 산출</t>
        </is>
      </c>
      <c r="B7" s="66" t="n"/>
      <c r="C7" s="66" t="n"/>
      <c r="D7" s="66" t="n"/>
      <c r="E7" s="66" t="n"/>
      <c r="F7" s="66" t="n"/>
      <c r="G7" s="66" t="n"/>
      <c r="H7" s="66" t="n"/>
      <c r="I7" s="66" t="n"/>
      <c r="J7" s="66" t="n"/>
      <c r="K7" s="66" t="n"/>
      <c r="L7" s="66" t="n"/>
      <c r="M7" s="66" t="n"/>
      <c r="N7" s="67" t="n"/>
    </row>
    <row r="8" ht="32" customHeight="1" s="86">
      <c r="A8" s="91" t="inlineStr">
        <is>
          <t>No.</t>
        </is>
      </c>
      <c r="B8" s="91" t="inlineStr">
        <is>
          <t>사번</t>
        </is>
      </c>
      <c r="C8" s="91" t="inlineStr">
        <is>
          <t>성명</t>
        </is>
      </c>
      <c r="D8" s="91" t="inlineStr">
        <is>
          <t>부서</t>
        </is>
      </c>
      <c r="E8" s="91" t="inlineStr">
        <is>
          <t>역할등급</t>
        </is>
      </c>
      <c r="F8" s="91" t="inlineStr">
        <is>
          <t>연봉(현재)</t>
        </is>
      </c>
      <c r="G8" s="91" t="inlineStr">
        <is>
          <t>최종등급</t>
        </is>
      </c>
      <c r="H8" s="91" t="inlineStr">
        <is>
          <t>월급여</t>
        </is>
      </c>
      <c r="I8" s="91" t="inlineStr">
        <is>
          <t>기본 성과급률</t>
        </is>
      </c>
      <c r="J8" s="91" t="inlineStr">
        <is>
          <t>기본 성과급(원)</t>
        </is>
      </c>
      <c r="K8" s="91" t="inlineStr">
        <is>
          <t>가산계수</t>
        </is>
      </c>
      <c r="L8" s="91" t="inlineStr">
        <is>
          <t>최종 성과급</t>
        </is>
      </c>
      <c r="M8" s="91" t="inlineStr">
        <is>
          <t>비고</t>
        </is>
      </c>
    </row>
    <row r="9" ht="22.05" customHeight="1" s="86">
      <c r="A9" s="75">
        <f>'01_인적정보'!A6</f>
        <v/>
      </c>
      <c r="B9" s="75">
        <f>'01_인적정보'!B6</f>
        <v/>
      </c>
      <c r="C9" s="69">
        <f>'01_인적정보'!C6</f>
        <v/>
      </c>
      <c r="D9" s="69">
        <f>'01_인적정보'!F6</f>
        <v/>
      </c>
      <c r="E9" s="11">
        <f>'01_인적정보'!H6</f>
        <v/>
      </c>
      <c r="F9" s="45">
        <f>'01_인적정보'!K6</f>
        <v/>
      </c>
      <c r="G9" s="14">
        <f>'08_종합평가'!U6</f>
        <v/>
      </c>
      <c r="H9" s="47">
        <f>ROUND(F9/12,-3)</f>
        <v/>
      </c>
      <c r="I9" s="22">
        <f>IF(G9="","",IF(G9="S",'02_의사결정·종합결과'!$B$27,IF(G9="A",'02_의사결정·종합결과'!$C$27,IF(G9="B",'02_의사결정·종합결과'!$D$27,IF(G9="C",'02_의사결정·종합결과'!$E$27,'02_의사결정·종합결과'!$F$27)))))</f>
        <v/>
      </c>
      <c r="J9" s="47">
        <f>IF(I9="","",ROUND(H9*I9*12,-3))</f>
        <v/>
      </c>
      <c r="K9" s="126">
        <f>IF($F$5&lt;&gt;1,$F$5,IF($D$5="",1,$D$5))</f>
        <v/>
      </c>
      <c r="L9" s="50">
        <f>IF(J9="","",ROUND(J9*K9,-3))</f>
        <v/>
      </c>
      <c r="M9" s="1" t="n"/>
    </row>
    <row r="10" ht="22.05" customHeight="1" s="86">
      <c r="A10" s="75">
        <f>'01_인적정보'!A7</f>
        <v/>
      </c>
      <c r="B10" s="75">
        <f>'01_인적정보'!B7</f>
        <v/>
      </c>
      <c r="C10" s="69">
        <f>'01_인적정보'!C7</f>
        <v/>
      </c>
      <c r="D10" s="69">
        <f>'01_인적정보'!F7</f>
        <v/>
      </c>
      <c r="E10" s="11">
        <f>'01_인적정보'!H7</f>
        <v/>
      </c>
      <c r="F10" s="45">
        <f>'01_인적정보'!K7</f>
        <v/>
      </c>
      <c r="G10" s="14">
        <f>'08_종합평가'!U7</f>
        <v/>
      </c>
      <c r="H10" s="47">
        <f>ROUND(F10/12,-3)</f>
        <v/>
      </c>
      <c r="I10" s="22">
        <f>IF(G10="","",IF(G10="S",'02_의사결정·종합결과'!$B$27,IF(G10="A",'02_의사결정·종합결과'!$C$27,IF(G10="B",'02_의사결정·종합결과'!$D$27,IF(G10="C",'02_의사결정·종합결과'!$E$27,'02_의사결정·종합결과'!$F$27)))))</f>
        <v/>
      </c>
      <c r="J10" s="47">
        <f>IF(I10="","",ROUND(H10*I10*12,-3))</f>
        <v/>
      </c>
      <c r="K10" s="126">
        <f>IF($F$5&lt;&gt;1,$F$5,IF($D$5="",1,$D$5))</f>
        <v/>
      </c>
      <c r="L10" s="50">
        <f>IF(J10="","",ROUND(J10*K10,-3))</f>
        <v/>
      </c>
      <c r="M10" s="1" t="n"/>
    </row>
    <row r="11" ht="22.05" customHeight="1" s="86">
      <c r="A11" s="75">
        <f>'01_인적정보'!A8</f>
        <v/>
      </c>
      <c r="B11" s="75">
        <f>'01_인적정보'!B8</f>
        <v/>
      </c>
      <c r="C11" s="69">
        <f>'01_인적정보'!C8</f>
        <v/>
      </c>
      <c r="D11" s="69">
        <f>'01_인적정보'!F8</f>
        <v/>
      </c>
      <c r="E11" s="11">
        <f>'01_인적정보'!H8</f>
        <v/>
      </c>
      <c r="F11" s="45">
        <f>'01_인적정보'!K8</f>
        <v/>
      </c>
      <c r="G11" s="14">
        <f>'08_종합평가'!U8</f>
        <v/>
      </c>
      <c r="H11" s="47">
        <f>ROUND(F11/12,-3)</f>
        <v/>
      </c>
      <c r="I11" s="22">
        <f>IF(G11="","",IF(G11="S",'02_의사결정·종합결과'!$B$27,IF(G11="A",'02_의사결정·종합결과'!$C$27,IF(G11="B",'02_의사결정·종합결과'!$D$27,IF(G11="C",'02_의사결정·종합결과'!$E$27,'02_의사결정·종합결과'!$F$27)))))</f>
        <v/>
      </c>
      <c r="J11" s="47">
        <f>IF(I11="","",ROUND(H11*I11*12,-3))</f>
        <v/>
      </c>
      <c r="K11" s="126">
        <f>IF($F$5&lt;&gt;1,$F$5,IF($D$5="",1,$D$5))</f>
        <v/>
      </c>
      <c r="L11" s="50">
        <f>IF(J11="","",ROUND(J11*K11,-3))</f>
        <v/>
      </c>
      <c r="M11" s="1" t="n"/>
    </row>
    <row r="12" ht="22.05" customHeight="1" s="86">
      <c r="A12" s="75">
        <f>'01_인적정보'!A9</f>
        <v/>
      </c>
      <c r="B12" s="75">
        <f>'01_인적정보'!B9</f>
        <v/>
      </c>
      <c r="C12" s="69">
        <f>'01_인적정보'!C9</f>
        <v/>
      </c>
      <c r="D12" s="69">
        <f>'01_인적정보'!F9</f>
        <v/>
      </c>
      <c r="E12" s="11">
        <f>'01_인적정보'!H9</f>
        <v/>
      </c>
      <c r="F12" s="45">
        <f>'01_인적정보'!K9</f>
        <v/>
      </c>
      <c r="G12" s="14">
        <f>'08_종합평가'!U9</f>
        <v/>
      </c>
      <c r="H12" s="47">
        <f>ROUND(F12/12,-3)</f>
        <v/>
      </c>
      <c r="I12" s="22">
        <f>IF(G12="","",IF(G12="S",'02_의사결정·종합결과'!$B$27,IF(G12="A",'02_의사결정·종합결과'!$C$27,IF(G12="B",'02_의사결정·종합결과'!$D$27,IF(G12="C",'02_의사결정·종합결과'!$E$27,'02_의사결정·종합결과'!$F$27)))))</f>
        <v/>
      </c>
      <c r="J12" s="47">
        <f>IF(I12="","",ROUND(H12*I12*12,-3))</f>
        <v/>
      </c>
      <c r="K12" s="126">
        <f>IF($F$5&lt;&gt;1,$F$5,IF($D$5="",1,$D$5))</f>
        <v/>
      </c>
      <c r="L12" s="50">
        <f>IF(J12="","",ROUND(J12*K12,-3))</f>
        <v/>
      </c>
      <c r="M12" s="1" t="n"/>
    </row>
    <row r="13" ht="22.05" customHeight="1" s="86">
      <c r="A13" s="75">
        <f>'01_인적정보'!A10</f>
        <v/>
      </c>
      <c r="B13" s="75">
        <f>'01_인적정보'!B10</f>
        <v/>
      </c>
      <c r="C13" s="69">
        <f>'01_인적정보'!C10</f>
        <v/>
      </c>
      <c r="D13" s="69">
        <f>'01_인적정보'!F10</f>
        <v/>
      </c>
      <c r="E13" s="11">
        <f>'01_인적정보'!H10</f>
        <v/>
      </c>
      <c r="F13" s="45">
        <f>'01_인적정보'!K10</f>
        <v/>
      </c>
      <c r="G13" s="14">
        <f>'08_종합평가'!U10</f>
        <v/>
      </c>
      <c r="H13" s="47">
        <f>ROUND(F13/12,-3)</f>
        <v/>
      </c>
      <c r="I13" s="22">
        <f>IF(G13="","",IF(G13="S",'02_의사결정·종합결과'!$B$27,IF(G13="A",'02_의사결정·종합결과'!$C$27,IF(G13="B",'02_의사결정·종합결과'!$D$27,IF(G13="C",'02_의사결정·종합결과'!$E$27,'02_의사결정·종합결과'!$F$27)))))</f>
        <v/>
      </c>
      <c r="J13" s="47">
        <f>IF(I13="","",ROUND(H13*I13*12,-3))</f>
        <v/>
      </c>
      <c r="K13" s="126">
        <f>IF($F$5&lt;&gt;1,$F$5,IF($D$5="",1,$D$5))</f>
        <v/>
      </c>
      <c r="L13" s="50">
        <f>IF(J13="","",ROUND(J13*K13,-3))</f>
        <v/>
      </c>
      <c r="M13" s="1" t="n"/>
    </row>
    <row r="14" ht="22.05" customHeight="1" s="86">
      <c r="A14" s="75">
        <f>'01_인적정보'!A11</f>
        <v/>
      </c>
      <c r="B14" s="75">
        <f>'01_인적정보'!B11</f>
        <v/>
      </c>
      <c r="C14" s="69">
        <f>'01_인적정보'!C11</f>
        <v/>
      </c>
      <c r="D14" s="69">
        <f>'01_인적정보'!F11</f>
        <v/>
      </c>
      <c r="E14" s="11">
        <f>'01_인적정보'!H11</f>
        <v/>
      </c>
      <c r="F14" s="45">
        <f>'01_인적정보'!K11</f>
        <v/>
      </c>
      <c r="G14" s="14">
        <f>'08_종합평가'!U11</f>
        <v/>
      </c>
      <c r="H14" s="47">
        <f>ROUND(F14/12,-3)</f>
        <v/>
      </c>
      <c r="I14" s="22">
        <f>IF(G14="","",IF(G14="S",'02_의사결정·종합결과'!$B$27,IF(G14="A",'02_의사결정·종합결과'!$C$27,IF(G14="B",'02_의사결정·종합결과'!$D$27,IF(G14="C",'02_의사결정·종합결과'!$E$27,'02_의사결정·종합결과'!$F$27)))))</f>
        <v/>
      </c>
      <c r="J14" s="47">
        <f>IF(I14="","",ROUND(H14*I14*12,-3))</f>
        <v/>
      </c>
      <c r="K14" s="126">
        <f>IF($F$5&lt;&gt;1,$F$5,IF($D$5="",1,$D$5))</f>
        <v/>
      </c>
      <c r="L14" s="50">
        <f>IF(J14="","",ROUND(J14*K14,-3))</f>
        <v/>
      </c>
      <c r="M14" s="1" t="n"/>
    </row>
    <row r="15" ht="22.05" customHeight="1" s="86">
      <c r="A15" s="75">
        <f>'01_인적정보'!A12</f>
        <v/>
      </c>
      <c r="B15" s="75">
        <f>'01_인적정보'!B12</f>
        <v/>
      </c>
      <c r="C15" s="69">
        <f>'01_인적정보'!C12</f>
        <v/>
      </c>
      <c r="D15" s="69">
        <f>'01_인적정보'!F12</f>
        <v/>
      </c>
      <c r="E15" s="11">
        <f>'01_인적정보'!H12</f>
        <v/>
      </c>
      <c r="F15" s="45">
        <f>'01_인적정보'!K12</f>
        <v/>
      </c>
      <c r="G15" s="14">
        <f>'08_종합평가'!U12</f>
        <v/>
      </c>
      <c r="H15" s="47">
        <f>ROUND(F15/12,-3)</f>
        <v/>
      </c>
      <c r="I15" s="22">
        <f>IF(G15="","",IF(G15="S",'02_의사결정·종합결과'!$B$27,IF(G15="A",'02_의사결정·종합결과'!$C$27,IF(G15="B",'02_의사결정·종합결과'!$D$27,IF(G15="C",'02_의사결정·종합결과'!$E$27,'02_의사결정·종합결과'!$F$27)))))</f>
        <v/>
      </c>
      <c r="J15" s="47">
        <f>IF(I15="","",ROUND(H15*I15*12,-3))</f>
        <v/>
      </c>
      <c r="K15" s="126">
        <f>IF($F$5&lt;&gt;1,$F$5,IF($D$5="",1,$D$5))</f>
        <v/>
      </c>
      <c r="L15" s="50">
        <f>IF(J15="","",ROUND(J15*K15,-3))</f>
        <v/>
      </c>
      <c r="M15" s="1" t="n"/>
    </row>
    <row r="16" ht="22.05" customHeight="1" s="86">
      <c r="A16" s="75">
        <f>'01_인적정보'!A13</f>
        <v/>
      </c>
      <c r="B16" s="75">
        <f>'01_인적정보'!B13</f>
        <v/>
      </c>
      <c r="C16" s="69">
        <f>'01_인적정보'!C13</f>
        <v/>
      </c>
      <c r="D16" s="69">
        <f>'01_인적정보'!F13</f>
        <v/>
      </c>
      <c r="E16" s="11">
        <f>'01_인적정보'!H13</f>
        <v/>
      </c>
      <c r="F16" s="45">
        <f>'01_인적정보'!K13</f>
        <v/>
      </c>
      <c r="G16" s="14">
        <f>'08_종합평가'!U13</f>
        <v/>
      </c>
      <c r="H16" s="47">
        <f>ROUND(F16/12,-3)</f>
        <v/>
      </c>
      <c r="I16" s="22">
        <f>IF(G16="","",IF(G16="S",'02_의사결정·종합결과'!$B$27,IF(G16="A",'02_의사결정·종합결과'!$C$27,IF(G16="B",'02_의사결정·종합결과'!$D$27,IF(G16="C",'02_의사결정·종합결과'!$E$27,'02_의사결정·종합결과'!$F$27)))))</f>
        <v/>
      </c>
      <c r="J16" s="47">
        <f>IF(I16="","",ROUND(H16*I16*12,-3))</f>
        <v/>
      </c>
      <c r="K16" s="126">
        <f>IF($F$5&lt;&gt;1,$F$5,IF($D$5="",1,$D$5))</f>
        <v/>
      </c>
      <c r="L16" s="50">
        <f>IF(J16="","",ROUND(J16*K16,-3))</f>
        <v/>
      </c>
      <c r="M16" s="1" t="n"/>
    </row>
    <row r="17" ht="22.05" customHeight="1" s="86">
      <c r="A17" s="75">
        <f>'01_인적정보'!A14</f>
        <v/>
      </c>
      <c r="B17" s="75">
        <f>'01_인적정보'!B14</f>
        <v/>
      </c>
      <c r="C17" s="69">
        <f>'01_인적정보'!C14</f>
        <v/>
      </c>
      <c r="D17" s="69">
        <f>'01_인적정보'!F14</f>
        <v/>
      </c>
      <c r="E17" s="11">
        <f>'01_인적정보'!H14</f>
        <v/>
      </c>
      <c r="F17" s="45">
        <f>'01_인적정보'!K14</f>
        <v/>
      </c>
      <c r="G17" s="14">
        <f>'08_종합평가'!U14</f>
        <v/>
      </c>
      <c r="H17" s="47">
        <f>ROUND(F17/12,-3)</f>
        <v/>
      </c>
      <c r="I17" s="22">
        <f>IF(G17="","",IF(G17="S",'02_의사결정·종합결과'!$B$27,IF(G17="A",'02_의사결정·종합결과'!$C$27,IF(G17="B",'02_의사결정·종합결과'!$D$27,IF(G17="C",'02_의사결정·종합결과'!$E$27,'02_의사결정·종합결과'!$F$27)))))</f>
        <v/>
      </c>
      <c r="J17" s="47">
        <f>IF(I17="","",ROUND(H17*I17*12,-3))</f>
        <v/>
      </c>
      <c r="K17" s="126">
        <f>IF($F$5&lt;&gt;1,$F$5,IF($D$5="",1,$D$5))</f>
        <v/>
      </c>
      <c r="L17" s="50">
        <f>IF(J17="","",ROUND(J17*K17,-3))</f>
        <v/>
      </c>
      <c r="M17" s="1" t="n"/>
    </row>
    <row r="18" ht="22.05" customHeight="1" s="86">
      <c r="A18" s="75">
        <f>'01_인적정보'!A15</f>
        <v/>
      </c>
      <c r="B18" s="75">
        <f>'01_인적정보'!B15</f>
        <v/>
      </c>
      <c r="C18" s="69">
        <f>'01_인적정보'!C15</f>
        <v/>
      </c>
      <c r="D18" s="69">
        <f>'01_인적정보'!F15</f>
        <v/>
      </c>
      <c r="E18" s="11">
        <f>'01_인적정보'!H15</f>
        <v/>
      </c>
      <c r="F18" s="45">
        <f>'01_인적정보'!K15</f>
        <v/>
      </c>
      <c r="G18" s="14">
        <f>'08_종합평가'!U15</f>
        <v/>
      </c>
      <c r="H18" s="47">
        <f>ROUND(F18/12,-3)</f>
        <v/>
      </c>
      <c r="I18" s="22">
        <f>IF(G18="","",IF(G18="S",'02_의사결정·종합결과'!$B$27,IF(G18="A",'02_의사결정·종합결과'!$C$27,IF(G18="B",'02_의사결정·종합결과'!$D$27,IF(G18="C",'02_의사결정·종합결과'!$E$27,'02_의사결정·종합결과'!$F$27)))))</f>
        <v/>
      </c>
      <c r="J18" s="47">
        <f>IF(I18="","",ROUND(H18*I18*12,-3))</f>
        <v/>
      </c>
      <c r="K18" s="126">
        <f>IF($F$5&lt;&gt;1,$F$5,IF($D$5="",1,$D$5))</f>
        <v/>
      </c>
      <c r="L18" s="50">
        <f>IF(J18="","",ROUND(J18*K18,-3))</f>
        <v/>
      </c>
      <c r="M18" s="1" t="n"/>
    </row>
    <row r="19" ht="22.05" customHeight="1" s="86">
      <c r="A19" s="75">
        <f>'01_인적정보'!A16</f>
        <v/>
      </c>
      <c r="B19" s="75">
        <f>'01_인적정보'!B16</f>
        <v/>
      </c>
      <c r="C19" s="69">
        <f>'01_인적정보'!C16</f>
        <v/>
      </c>
      <c r="D19" s="69">
        <f>'01_인적정보'!F16</f>
        <v/>
      </c>
      <c r="E19" s="11">
        <f>'01_인적정보'!H16</f>
        <v/>
      </c>
      <c r="F19" s="45">
        <f>'01_인적정보'!K16</f>
        <v/>
      </c>
      <c r="G19" s="14">
        <f>'08_종합평가'!U16</f>
        <v/>
      </c>
      <c r="H19" s="47">
        <f>ROUND(F19/12,-3)</f>
        <v/>
      </c>
      <c r="I19" s="22">
        <f>IF(G19="","",IF(G19="S",'02_의사결정·종합결과'!$B$27,IF(G19="A",'02_의사결정·종합결과'!$C$27,IF(G19="B",'02_의사결정·종합결과'!$D$27,IF(G19="C",'02_의사결정·종합결과'!$E$27,'02_의사결정·종합결과'!$F$27)))))</f>
        <v/>
      </c>
      <c r="J19" s="47">
        <f>IF(I19="","",ROUND(H19*I19*12,-3))</f>
        <v/>
      </c>
      <c r="K19" s="126">
        <f>IF($F$5&lt;&gt;1,$F$5,IF($D$5="",1,$D$5))</f>
        <v/>
      </c>
      <c r="L19" s="50">
        <f>IF(J19="","",ROUND(J19*K19,-3))</f>
        <v/>
      </c>
      <c r="M19" s="1" t="n"/>
    </row>
    <row r="20" ht="22.05" customHeight="1" s="86">
      <c r="A20" s="75">
        <f>'01_인적정보'!A17</f>
        <v/>
      </c>
      <c r="B20" s="75">
        <f>'01_인적정보'!B17</f>
        <v/>
      </c>
      <c r="C20" s="69">
        <f>'01_인적정보'!C17</f>
        <v/>
      </c>
      <c r="D20" s="69">
        <f>'01_인적정보'!F17</f>
        <v/>
      </c>
      <c r="E20" s="11">
        <f>'01_인적정보'!H17</f>
        <v/>
      </c>
      <c r="F20" s="45">
        <f>'01_인적정보'!K17</f>
        <v/>
      </c>
      <c r="G20" s="14">
        <f>'08_종합평가'!U17</f>
        <v/>
      </c>
      <c r="H20" s="47">
        <f>ROUND(F20/12,-3)</f>
        <v/>
      </c>
      <c r="I20" s="22">
        <f>IF(G20="","",IF(G20="S",'02_의사결정·종합결과'!$B$27,IF(G20="A",'02_의사결정·종합결과'!$C$27,IF(G20="B",'02_의사결정·종합결과'!$D$27,IF(G20="C",'02_의사결정·종합결과'!$E$27,'02_의사결정·종합결과'!$F$27)))))</f>
        <v/>
      </c>
      <c r="J20" s="47">
        <f>IF(I20="","",ROUND(H20*I20*12,-3))</f>
        <v/>
      </c>
      <c r="K20" s="126">
        <f>IF($F$5&lt;&gt;1,$F$5,IF($D$5="",1,$D$5))</f>
        <v/>
      </c>
      <c r="L20" s="50">
        <f>IF(J20="","",ROUND(J20*K20,-3))</f>
        <v/>
      </c>
      <c r="M20" s="1" t="n"/>
    </row>
    <row r="21" ht="22.05" customHeight="1" s="86">
      <c r="A21" s="75">
        <f>'01_인적정보'!A18</f>
        <v/>
      </c>
      <c r="B21" s="75">
        <f>'01_인적정보'!B18</f>
        <v/>
      </c>
      <c r="C21" s="69">
        <f>'01_인적정보'!C18</f>
        <v/>
      </c>
      <c r="D21" s="69">
        <f>'01_인적정보'!F18</f>
        <v/>
      </c>
      <c r="E21" s="11">
        <f>'01_인적정보'!H18</f>
        <v/>
      </c>
      <c r="F21" s="45">
        <f>'01_인적정보'!K18</f>
        <v/>
      </c>
      <c r="G21" s="14">
        <f>'08_종합평가'!U18</f>
        <v/>
      </c>
      <c r="H21" s="47">
        <f>ROUND(F21/12,-3)</f>
        <v/>
      </c>
      <c r="I21" s="22">
        <f>IF(G21="","",IF(G21="S",'02_의사결정·종합결과'!$B$27,IF(G21="A",'02_의사결정·종합결과'!$C$27,IF(G21="B",'02_의사결정·종합결과'!$D$27,IF(G21="C",'02_의사결정·종합결과'!$E$27,'02_의사결정·종합결과'!$F$27)))))</f>
        <v/>
      </c>
      <c r="J21" s="47">
        <f>IF(I21="","",ROUND(H21*I21*12,-3))</f>
        <v/>
      </c>
      <c r="K21" s="126">
        <f>IF($F$5&lt;&gt;1,$F$5,IF($D$5="",1,$D$5))</f>
        <v/>
      </c>
      <c r="L21" s="50">
        <f>IF(J21="","",ROUND(J21*K21,-3))</f>
        <v/>
      </c>
      <c r="M21" s="1" t="n"/>
    </row>
    <row r="22" ht="22.05" customHeight="1" s="86">
      <c r="A22" s="75">
        <f>'01_인적정보'!A19</f>
        <v/>
      </c>
      <c r="B22" s="75">
        <f>'01_인적정보'!B19</f>
        <v/>
      </c>
      <c r="C22" s="69">
        <f>'01_인적정보'!C19</f>
        <v/>
      </c>
      <c r="D22" s="69">
        <f>'01_인적정보'!F19</f>
        <v/>
      </c>
      <c r="E22" s="11">
        <f>'01_인적정보'!H19</f>
        <v/>
      </c>
      <c r="F22" s="45">
        <f>'01_인적정보'!K19</f>
        <v/>
      </c>
      <c r="G22" s="14">
        <f>'08_종합평가'!U19</f>
        <v/>
      </c>
      <c r="H22" s="47">
        <f>ROUND(F22/12,-3)</f>
        <v/>
      </c>
      <c r="I22" s="22">
        <f>IF(G22="","",IF(G22="S",'02_의사결정·종합결과'!$B$27,IF(G22="A",'02_의사결정·종합결과'!$C$27,IF(G22="B",'02_의사결정·종합결과'!$D$27,IF(G22="C",'02_의사결정·종합결과'!$E$27,'02_의사결정·종합결과'!$F$27)))))</f>
        <v/>
      </c>
      <c r="J22" s="47">
        <f>IF(I22="","",ROUND(H22*I22*12,-3))</f>
        <v/>
      </c>
      <c r="K22" s="126">
        <f>IF($F$5&lt;&gt;1,$F$5,IF($D$5="",1,$D$5))</f>
        <v/>
      </c>
      <c r="L22" s="50">
        <f>IF(J22="","",ROUND(J22*K22,-3))</f>
        <v/>
      </c>
      <c r="M22" s="1" t="n"/>
    </row>
    <row r="23" ht="22.05" customHeight="1" s="86">
      <c r="A23" s="75">
        <f>'01_인적정보'!A20</f>
        <v/>
      </c>
      <c r="B23" s="75">
        <f>'01_인적정보'!B20</f>
        <v/>
      </c>
      <c r="C23" s="69">
        <f>'01_인적정보'!C20</f>
        <v/>
      </c>
      <c r="D23" s="69">
        <f>'01_인적정보'!F20</f>
        <v/>
      </c>
      <c r="E23" s="11">
        <f>'01_인적정보'!H20</f>
        <v/>
      </c>
      <c r="F23" s="45">
        <f>'01_인적정보'!K20</f>
        <v/>
      </c>
      <c r="G23" s="14">
        <f>'08_종합평가'!U20</f>
        <v/>
      </c>
      <c r="H23" s="47">
        <f>ROUND(F23/12,-3)</f>
        <v/>
      </c>
      <c r="I23" s="22">
        <f>IF(G23="","",IF(G23="S",'02_의사결정·종합결과'!$B$27,IF(G23="A",'02_의사결정·종합결과'!$C$27,IF(G23="B",'02_의사결정·종합결과'!$D$27,IF(G23="C",'02_의사결정·종합결과'!$E$27,'02_의사결정·종합결과'!$F$27)))))</f>
        <v/>
      </c>
      <c r="J23" s="47">
        <f>IF(I23="","",ROUND(H23*I23*12,-3))</f>
        <v/>
      </c>
      <c r="K23" s="126">
        <f>IF($F$5&lt;&gt;1,$F$5,IF($D$5="",1,$D$5))</f>
        <v/>
      </c>
      <c r="L23" s="50">
        <f>IF(J23="","",ROUND(J23*K23,-3))</f>
        <v/>
      </c>
      <c r="M23" s="1" t="n"/>
    </row>
    <row r="24" ht="22.05" customHeight="1" s="86">
      <c r="A24" s="75">
        <f>'01_인적정보'!A21</f>
        <v/>
      </c>
      <c r="B24" s="75">
        <f>'01_인적정보'!B21</f>
        <v/>
      </c>
      <c r="C24" s="69">
        <f>'01_인적정보'!C21</f>
        <v/>
      </c>
      <c r="D24" s="69">
        <f>'01_인적정보'!F21</f>
        <v/>
      </c>
      <c r="E24" s="11">
        <f>'01_인적정보'!H21</f>
        <v/>
      </c>
      <c r="F24" s="45">
        <f>'01_인적정보'!K21</f>
        <v/>
      </c>
      <c r="G24" s="14">
        <f>'08_종합평가'!U21</f>
        <v/>
      </c>
      <c r="H24" s="47">
        <f>ROUND(F24/12,-3)</f>
        <v/>
      </c>
      <c r="I24" s="22">
        <f>IF(G24="","",IF(G24="S",'02_의사결정·종합결과'!$B$27,IF(G24="A",'02_의사결정·종합결과'!$C$27,IF(G24="B",'02_의사결정·종합결과'!$D$27,IF(G24="C",'02_의사결정·종합결과'!$E$27,'02_의사결정·종합결과'!$F$27)))))</f>
        <v/>
      </c>
      <c r="J24" s="47">
        <f>IF(I24="","",ROUND(H24*I24*12,-3))</f>
        <v/>
      </c>
      <c r="K24" s="126">
        <f>IF($F$5&lt;&gt;1,$F$5,IF($D$5="",1,$D$5))</f>
        <v/>
      </c>
      <c r="L24" s="50">
        <f>IF(J24="","",ROUND(J24*K24,-3))</f>
        <v/>
      </c>
      <c r="M24" s="1" t="n"/>
    </row>
    <row r="25" ht="22.05" customHeight="1" s="86">
      <c r="A25" s="75">
        <f>'01_인적정보'!A22</f>
        <v/>
      </c>
      <c r="B25" s="75">
        <f>'01_인적정보'!B22</f>
        <v/>
      </c>
      <c r="C25" s="69">
        <f>'01_인적정보'!C22</f>
        <v/>
      </c>
      <c r="D25" s="69">
        <f>'01_인적정보'!F22</f>
        <v/>
      </c>
      <c r="E25" s="11">
        <f>'01_인적정보'!H22</f>
        <v/>
      </c>
      <c r="F25" s="45">
        <f>'01_인적정보'!K22</f>
        <v/>
      </c>
      <c r="G25" s="14">
        <f>'08_종합평가'!U22</f>
        <v/>
      </c>
      <c r="H25" s="47">
        <f>ROUND(F25/12,-3)</f>
        <v/>
      </c>
      <c r="I25" s="22">
        <f>IF(G25="","",IF(G25="S",'02_의사결정·종합결과'!$B$27,IF(G25="A",'02_의사결정·종합결과'!$C$27,IF(G25="B",'02_의사결정·종합결과'!$D$27,IF(G25="C",'02_의사결정·종합결과'!$E$27,'02_의사결정·종합결과'!$F$27)))))</f>
        <v/>
      </c>
      <c r="J25" s="47">
        <f>IF(I25="","",ROUND(H25*I25*12,-3))</f>
        <v/>
      </c>
      <c r="K25" s="126">
        <f>IF($F$5&lt;&gt;1,$F$5,IF($D$5="",1,$D$5))</f>
        <v/>
      </c>
      <c r="L25" s="50">
        <f>IF(J25="","",ROUND(J25*K25,-3))</f>
        <v/>
      </c>
      <c r="M25" s="1" t="n"/>
    </row>
    <row r="26" ht="22.05" customHeight="1" s="86">
      <c r="A26" s="75">
        <f>'01_인적정보'!A23</f>
        <v/>
      </c>
      <c r="B26" s="75">
        <f>'01_인적정보'!B23</f>
        <v/>
      </c>
      <c r="C26" s="69">
        <f>'01_인적정보'!C23</f>
        <v/>
      </c>
      <c r="D26" s="69">
        <f>'01_인적정보'!F23</f>
        <v/>
      </c>
      <c r="E26" s="11">
        <f>'01_인적정보'!H23</f>
        <v/>
      </c>
      <c r="F26" s="45">
        <f>'01_인적정보'!K23</f>
        <v/>
      </c>
      <c r="G26" s="14">
        <f>'08_종합평가'!U23</f>
        <v/>
      </c>
      <c r="H26" s="47">
        <f>ROUND(F26/12,-3)</f>
        <v/>
      </c>
      <c r="I26" s="22">
        <f>IF(G26="","",IF(G26="S",'02_의사결정·종합결과'!$B$27,IF(G26="A",'02_의사결정·종합결과'!$C$27,IF(G26="B",'02_의사결정·종합결과'!$D$27,IF(G26="C",'02_의사결정·종합결과'!$E$27,'02_의사결정·종합결과'!$F$27)))))</f>
        <v/>
      </c>
      <c r="J26" s="47">
        <f>IF(I26="","",ROUND(H26*I26*12,-3))</f>
        <v/>
      </c>
      <c r="K26" s="126">
        <f>IF($F$5&lt;&gt;1,$F$5,IF($D$5="",1,$D$5))</f>
        <v/>
      </c>
      <c r="L26" s="50">
        <f>IF(J26="","",ROUND(J26*K26,-3))</f>
        <v/>
      </c>
      <c r="M26" s="1" t="n"/>
    </row>
    <row r="27" ht="22.05" customHeight="1" s="86">
      <c r="A27" s="75">
        <f>'01_인적정보'!A24</f>
        <v/>
      </c>
      <c r="B27" s="75">
        <f>'01_인적정보'!B24</f>
        <v/>
      </c>
      <c r="C27" s="69">
        <f>'01_인적정보'!C24</f>
        <v/>
      </c>
      <c r="D27" s="69">
        <f>'01_인적정보'!F24</f>
        <v/>
      </c>
      <c r="E27" s="11">
        <f>'01_인적정보'!H24</f>
        <v/>
      </c>
      <c r="F27" s="45">
        <f>'01_인적정보'!K24</f>
        <v/>
      </c>
      <c r="G27" s="14">
        <f>'08_종합평가'!U24</f>
        <v/>
      </c>
      <c r="H27" s="47">
        <f>ROUND(F27/12,-3)</f>
        <v/>
      </c>
      <c r="I27" s="22">
        <f>IF(G27="","",IF(G27="S",'02_의사결정·종합결과'!$B$27,IF(G27="A",'02_의사결정·종합결과'!$C$27,IF(G27="B",'02_의사결정·종합결과'!$D$27,IF(G27="C",'02_의사결정·종합결과'!$E$27,'02_의사결정·종합결과'!$F$27)))))</f>
        <v/>
      </c>
      <c r="J27" s="47">
        <f>IF(I27="","",ROUND(H27*I27*12,-3))</f>
        <v/>
      </c>
      <c r="K27" s="126">
        <f>IF($F$5&lt;&gt;1,$F$5,IF($D$5="",1,$D$5))</f>
        <v/>
      </c>
      <c r="L27" s="50">
        <f>IF(J27="","",ROUND(J27*K27,-3))</f>
        <v/>
      </c>
      <c r="M27" s="1" t="n"/>
    </row>
    <row r="28" ht="22.05" customHeight="1" s="86">
      <c r="A28" s="75">
        <f>'01_인적정보'!A25</f>
        <v/>
      </c>
      <c r="B28" s="75">
        <f>'01_인적정보'!B25</f>
        <v/>
      </c>
      <c r="C28" s="69">
        <f>'01_인적정보'!C25</f>
        <v/>
      </c>
      <c r="D28" s="69">
        <f>'01_인적정보'!F25</f>
        <v/>
      </c>
      <c r="E28" s="11">
        <f>'01_인적정보'!H25</f>
        <v/>
      </c>
      <c r="F28" s="45">
        <f>'01_인적정보'!K25</f>
        <v/>
      </c>
      <c r="G28" s="14">
        <f>'08_종합평가'!U25</f>
        <v/>
      </c>
      <c r="H28" s="47">
        <f>ROUND(F28/12,-3)</f>
        <v/>
      </c>
      <c r="I28" s="22">
        <f>IF(G28="","",IF(G28="S",'02_의사결정·종합결과'!$B$27,IF(G28="A",'02_의사결정·종합결과'!$C$27,IF(G28="B",'02_의사결정·종합결과'!$D$27,IF(G28="C",'02_의사결정·종합결과'!$E$27,'02_의사결정·종합결과'!$F$27)))))</f>
        <v/>
      </c>
      <c r="J28" s="47">
        <f>IF(I28="","",ROUND(H28*I28*12,-3))</f>
        <v/>
      </c>
      <c r="K28" s="126">
        <f>IF($F$5&lt;&gt;1,$F$5,IF($D$5="",1,$D$5))</f>
        <v/>
      </c>
      <c r="L28" s="50">
        <f>IF(J28="","",ROUND(J28*K28,-3))</f>
        <v/>
      </c>
      <c r="M28" s="1" t="n"/>
    </row>
    <row r="29" ht="22.05" customHeight="1" s="86">
      <c r="A29" s="75">
        <f>'01_인적정보'!A26</f>
        <v/>
      </c>
      <c r="B29" s="75">
        <f>'01_인적정보'!B26</f>
        <v/>
      </c>
      <c r="C29" s="69">
        <f>'01_인적정보'!C26</f>
        <v/>
      </c>
      <c r="D29" s="69">
        <f>'01_인적정보'!F26</f>
        <v/>
      </c>
      <c r="E29" s="11">
        <f>'01_인적정보'!H26</f>
        <v/>
      </c>
      <c r="F29" s="45">
        <f>'01_인적정보'!K26</f>
        <v/>
      </c>
      <c r="G29" s="14">
        <f>'08_종합평가'!U26</f>
        <v/>
      </c>
      <c r="H29" s="47">
        <f>ROUND(F29/12,-3)</f>
        <v/>
      </c>
      <c r="I29" s="22">
        <f>IF(G29="","",IF(G29="S",'02_의사결정·종합결과'!$B$27,IF(G29="A",'02_의사결정·종합결과'!$C$27,IF(G29="B",'02_의사결정·종합결과'!$D$27,IF(G29="C",'02_의사결정·종합결과'!$E$27,'02_의사결정·종합결과'!$F$27)))))</f>
        <v/>
      </c>
      <c r="J29" s="47">
        <f>IF(I29="","",ROUND(H29*I29*12,-3))</f>
        <v/>
      </c>
      <c r="K29" s="126">
        <f>IF($F$5&lt;&gt;1,$F$5,IF($D$5="",1,$D$5))</f>
        <v/>
      </c>
      <c r="L29" s="50">
        <f>IF(J29="","",ROUND(J29*K29,-3))</f>
        <v/>
      </c>
      <c r="M29" s="1" t="n"/>
    </row>
    <row r="30" ht="22.05" customHeight="1" s="86">
      <c r="A30" s="75">
        <f>'01_인적정보'!A27</f>
        <v/>
      </c>
      <c r="B30" s="75">
        <f>'01_인적정보'!B27</f>
        <v/>
      </c>
      <c r="C30" s="69">
        <f>'01_인적정보'!C27</f>
        <v/>
      </c>
      <c r="D30" s="69">
        <f>'01_인적정보'!F27</f>
        <v/>
      </c>
      <c r="E30" s="11">
        <f>'01_인적정보'!H27</f>
        <v/>
      </c>
      <c r="F30" s="45">
        <f>'01_인적정보'!K27</f>
        <v/>
      </c>
      <c r="G30" s="14">
        <f>'08_종합평가'!U27</f>
        <v/>
      </c>
      <c r="H30" s="47">
        <f>ROUND(F30/12,-3)</f>
        <v/>
      </c>
      <c r="I30" s="22">
        <f>IF(G30="","",IF(G30="S",'02_의사결정·종합결과'!$B$27,IF(G30="A",'02_의사결정·종합결과'!$C$27,IF(G30="B",'02_의사결정·종합결과'!$D$27,IF(G30="C",'02_의사결정·종합결과'!$E$27,'02_의사결정·종합결과'!$F$27)))))</f>
        <v/>
      </c>
      <c r="J30" s="47">
        <f>IF(I30="","",ROUND(H30*I30*12,-3))</f>
        <v/>
      </c>
      <c r="K30" s="126">
        <f>IF($F$5&lt;&gt;1,$F$5,IF($D$5="",1,$D$5))</f>
        <v/>
      </c>
      <c r="L30" s="50">
        <f>IF(J30="","",ROUND(J30*K30,-3))</f>
        <v/>
      </c>
      <c r="M30" s="1" t="n"/>
    </row>
    <row r="31" ht="22.05" customHeight="1" s="86">
      <c r="A31" s="75">
        <f>'01_인적정보'!A28</f>
        <v/>
      </c>
      <c r="B31" s="75">
        <f>'01_인적정보'!B28</f>
        <v/>
      </c>
      <c r="C31" s="69">
        <f>'01_인적정보'!C28</f>
        <v/>
      </c>
      <c r="D31" s="69">
        <f>'01_인적정보'!F28</f>
        <v/>
      </c>
      <c r="E31" s="11">
        <f>'01_인적정보'!H28</f>
        <v/>
      </c>
      <c r="F31" s="45">
        <f>'01_인적정보'!K28</f>
        <v/>
      </c>
      <c r="G31" s="14">
        <f>'08_종합평가'!U28</f>
        <v/>
      </c>
      <c r="H31" s="47">
        <f>ROUND(F31/12,-3)</f>
        <v/>
      </c>
      <c r="I31" s="22">
        <f>IF(G31="","",IF(G31="S",'02_의사결정·종합결과'!$B$27,IF(G31="A",'02_의사결정·종합결과'!$C$27,IF(G31="B",'02_의사결정·종합결과'!$D$27,IF(G31="C",'02_의사결정·종합결과'!$E$27,'02_의사결정·종합결과'!$F$27)))))</f>
        <v/>
      </c>
      <c r="J31" s="47">
        <f>IF(I31="","",ROUND(H31*I31*12,-3))</f>
        <v/>
      </c>
      <c r="K31" s="126">
        <f>IF($F$5&lt;&gt;1,$F$5,IF($D$5="",1,$D$5))</f>
        <v/>
      </c>
      <c r="L31" s="50">
        <f>IF(J31="","",ROUND(J31*K31,-3))</f>
        <v/>
      </c>
      <c r="M31" s="1" t="n"/>
    </row>
    <row r="32" ht="22.05" customHeight="1" s="86">
      <c r="A32" s="75">
        <f>'01_인적정보'!A29</f>
        <v/>
      </c>
      <c r="B32" s="75">
        <f>'01_인적정보'!B29</f>
        <v/>
      </c>
      <c r="C32" s="69">
        <f>'01_인적정보'!C29</f>
        <v/>
      </c>
      <c r="D32" s="69">
        <f>'01_인적정보'!F29</f>
        <v/>
      </c>
      <c r="E32" s="11">
        <f>'01_인적정보'!H29</f>
        <v/>
      </c>
      <c r="F32" s="45">
        <f>'01_인적정보'!K29</f>
        <v/>
      </c>
      <c r="G32" s="14">
        <f>'08_종합평가'!U29</f>
        <v/>
      </c>
      <c r="H32" s="47">
        <f>ROUND(F32/12,-3)</f>
        <v/>
      </c>
      <c r="I32" s="22">
        <f>IF(G32="","",IF(G32="S",'02_의사결정·종합결과'!$B$27,IF(G32="A",'02_의사결정·종합결과'!$C$27,IF(G32="B",'02_의사결정·종합결과'!$D$27,IF(G32="C",'02_의사결정·종합결과'!$E$27,'02_의사결정·종합결과'!$F$27)))))</f>
        <v/>
      </c>
      <c r="J32" s="47">
        <f>IF(I32="","",ROUND(H32*I32*12,-3))</f>
        <v/>
      </c>
      <c r="K32" s="126">
        <f>IF($F$5&lt;&gt;1,$F$5,IF($D$5="",1,$D$5))</f>
        <v/>
      </c>
      <c r="L32" s="50">
        <f>IF(J32="","",ROUND(J32*K32,-3))</f>
        <v/>
      </c>
      <c r="M32" s="1" t="n"/>
    </row>
    <row r="33" ht="22.05" customHeight="1" s="86">
      <c r="A33" s="75">
        <f>'01_인적정보'!A30</f>
        <v/>
      </c>
      <c r="B33" s="75">
        <f>'01_인적정보'!B30</f>
        <v/>
      </c>
      <c r="C33" s="69">
        <f>'01_인적정보'!C30</f>
        <v/>
      </c>
      <c r="D33" s="69">
        <f>'01_인적정보'!F30</f>
        <v/>
      </c>
      <c r="E33" s="11">
        <f>'01_인적정보'!H30</f>
        <v/>
      </c>
      <c r="F33" s="45">
        <f>'01_인적정보'!K30</f>
        <v/>
      </c>
      <c r="G33" s="14">
        <f>'08_종합평가'!U30</f>
        <v/>
      </c>
      <c r="H33" s="47">
        <f>ROUND(F33/12,-3)</f>
        <v/>
      </c>
      <c r="I33" s="22">
        <f>IF(G33="","",IF(G33="S",'02_의사결정·종합결과'!$B$27,IF(G33="A",'02_의사결정·종합결과'!$C$27,IF(G33="B",'02_의사결정·종합결과'!$D$27,IF(G33="C",'02_의사결정·종합결과'!$E$27,'02_의사결정·종합결과'!$F$27)))))</f>
        <v/>
      </c>
      <c r="J33" s="47">
        <f>IF(I33="","",ROUND(H33*I33*12,-3))</f>
        <v/>
      </c>
      <c r="K33" s="126">
        <f>IF($F$5&lt;&gt;1,$F$5,IF($D$5="",1,$D$5))</f>
        <v/>
      </c>
      <c r="L33" s="50">
        <f>IF(J33="","",ROUND(J33*K33,-3))</f>
        <v/>
      </c>
      <c r="M33" s="1" t="n"/>
    </row>
    <row r="34" ht="22.05" customHeight="1" s="86">
      <c r="A34" s="75">
        <f>'01_인적정보'!A31</f>
        <v/>
      </c>
      <c r="B34" s="75">
        <f>'01_인적정보'!B31</f>
        <v/>
      </c>
      <c r="C34" s="69">
        <f>'01_인적정보'!C31</f>
        <v/>
      </c>
      <c r="D34" s="69">
        <f>'01_인적정보'!F31</f>
        <v/>
      </c>
      <c r="E34" s="11">
        <f>'01_인적정보'!H31</f>
        <v/>
      </c>
      <c r="F34" s="45">
        <f>'01_인적정보'!K31</f>
        <v/>
      </c>
      <c r="G34" s="14">
        <f>'08_종합평가'!U31</f>
        <v/>
      </c>
      <c r="H34" s="47">
        <f>ROUND(F34/12,-3)</f>
        <v/>
      </c>
      <c r="I34" s="22">
        <f>IF(G34="","",IF(G34="S",'02_의사결정·종합결과'!$B$27,IF(G34="A",'02_의사결정·종합결과'!$C$27,IF(G34="B",'02_의사결정·종합결과'!$D$27,IF(G34="C",'02_의사결정·종합결과'!$E$27,'02_의사결정·종합결과'!$F$27)))))</f>
        <v/>
      </c>
      <c r="J34" s="47">
        <f>IF(I34="","",ROUND(H34*I34*12,-3))</f>
        <v/>
      </c>
      <c r="K34" s="126">
        <f>IF($F$5&lt;&gt;1,$F$5,IF($D$5="",1,$D$5))</f>
        <v/>
      </c>
      <c r="L34" s="50">
        <f>IF(J34="","",ROUND(J34*K34,-3))</f>
        <v/>
      </c>
      <c r="M34" s="1" t="n"/>
    </row>
    <row r="35" ht="22.05" customHeight="1" s="86">
      <c r="A35" s="75">
        <f>'01_인적정보'!A32</f>
        <v/>
      </c>
      <c r="B35" s="75">
        <f>'01_인적정보'!B32</f>
        <v/>
      </c>
      <c r="C35" s="69">
        <f>'01_인적정보'!C32</f>
        <v/>
      </c>
      <c r="D35" s="69">
        <f>'01_인적정보'!F32</f>
        <v/>
      </c>
      <c r="E35" s="11">
        <f>'01_인적정보'!H32</f>
        <v/>
      </c>
      <c r="F35" s="45">
        <f>'01_인적정보'!K32</f>
        <v/>
      </c>
      <c r="G35" s="14">
        <f>'08_종합평가'!U32</f>
        <v/>
      </c>
      <c r="H35" s="47">
        <f>ROUND(F35/12,-3)</f>
        <v/>
      </c>
      <c r="I35" s="22">
        <f>IF(G35="","",IF(G35="S",'02_의사결정·종합결과'!$B$27,IF(G35="A",'02_의사결정·종합결과'!$C$27,IF(G35="B",'02_의사결정·종합결과'!$D$27,IF(G35="C",'02_의사결정·종합결과'!$E$27,'02_의사결정·종합결과'!$F$27)))))</f>
        <v/>
      </c>
      <c r="J35" s="47">
        <f>IF(I35="","",ROUND(H35*I35*12,-3))</f>
        <v/>
      </c>
      <c r="K35" s="126">
        <f>IF($F$5&lt;&gt;1,$F$5,IF($D$5="",1,$D$5))</f>
        <v/>
      </c>
      <c r="L35" s="50">
        <f>IF(J35="","",ROUND(J35*K35,-3))</f>
        <v/>
      </c>
      <c r="M35" s="1" t="n"/>
    </row>
    <row r="36" ht="22.05" customHeight="1" s="86">
      <c r="A36" s="75">
        <f>'01_인적정보'!A33</f>
        <v/>
      </c>
      <c r="B36" s="75">
        <f>'01_인적정보'!B33</f>
        <v/>
      </c>
      <c r="C36" s="69">
        <f>'01_인적정보'!C33</f>
        <v/>
      </c>
      <c r="D36" s="69">
        <f>'01_인적정보'!F33</f>
        <v/>
      </c>
      <c r="E36" s="11">
        <f>'01_인적정보'!H33</f>
        <v/>
      </c>
      <c r="F36" s="45">
        <f>'01_인적정보'!K33</f>
        <v/>
      </c>
      <c r="G36" s="14">
        <f>'08_종합평가'!U33</f>
        <v/>
      </c>
      <c r="H36" s="47">
        <f>ROUND(F36/12,-3)</f>
        <v/>
      </c>
      <c r="I36" s="22">
        <f>IF(G36="","",IF(G36="S",'02_의사결정·종합결과'!$B$27,IF(G36="A",'02_의사결정·종합결과'!$C$27,IF(G36="B",'02_의사결정·종합결과'!$D$27,IF(G36="C",'02_의사결정·종합결과'!$E$27,'02_의사결정·종합결과'!$F$27)))))</f>
        <v/>
      </c>
      <c r="J36" s="47">
        <f>IF(I36="","",ROUND(H36*I36*12,-3))</f>
        <v/>
      </c>
      <c r="K36" s="126">
        <f>IF($F$5&lt;&gt;1,$F$5,IF($D$5="",1,$D$5))</f>
        <v/>
      </c>
      <c r="L36" s="50">
        <f>IF(J36="","",ROUND(J36*K36,-3))</f>
        <v/>
      </c>
      <c r="M36" s="1" t="n"/>
    </row>
    <row r="37" ht="22.05" customHeight="1" s="86">
      <c r="A37" s="75">
        <f>'01_인적정보'!A34</f>
        <v/>
      </c>
      <c r="B37" s="75">
        <f>'01_인적정보'!B34</f>
        <v/>
      </c>
      <c r="C37" s="69">
        <f>'01_인적정보'!C34</f>
        <v/>
      </c>
      <c r="D37" s="69">
        <f>'01_인적정보'!F34</f>
        <v/>
      </c>
      <c r="E37" s="11">
        <f>'01_인적정보'!H34</f>
        <v/>
      </c>
      <c r="F37" s="45">
        <f>'01_인적정보'!K34</f>
        <v/>
      </c>
      <c r="G37" s="14">
        <f>'08_종합평가'!U34</f>
        <v/>
      </c>
      <c r="H37" s="47">
        <f>ROUND(F37/12,-3)</f>
        <v/>
      </c>
      <c r="I37" s="22">
        <f>IF(G37="","",IF(G37="S",'02_의사결정·종합결과'!$B$27,IF(G37="A",'02_의사결정·종합결과'!$C$27,IF(G37="B",'02_의사결정·종합결과'!$D$27,IF(G37="C",'02_의사결정·종합결과'!$E$27,'02_의사결정·종합결과'!$F$27)))))</f>
        <v/>
      </c>
      <c r="J37" s="47">
        <f>IF(I37="","",ROUND(H37*I37*12,-3))</f>
        <v/>
      </c>
      <c r="K37" s="126">
        <f>IF($F$5&lt;&gt;1,$F$5,IF($D$5="",1,$D$5))</f>
        <v/>
      </c>
      <c r="L37" s="50">
        <f>IF(J37="","",ROUND(J37*K37,-3))</f>
        <v/>
      </c>
      <c r="M37" s="1" t="n"/>
    </row>
    <row r="38" ht="22.05" customHeight="1" s="86">
      <c r="A38" s="75">
        <f>'01_인적정보'!A35</f>
        <v/>
      </c>
      <c r="B38" s="75">
        <f>'01_인적정보'!B35</f>
        <v/>
      </c>
      <c r="C38" s="69">
        <f>'01_인적정보'!C35</f>
        <v/>
      </c>
      <c r="D38" s="69">
        <f>'01_인적정보'!F35</f>
        <v/>
      </c>
      <c r="E38" s="11">
        <f>'01_인적정보'!H35</f>
        <v/>
      </c>
      <c r="F38" s="45">
        <f>'01_인적정보'!K35</f>
        <v/>
      </c>
      <c r="G38" s="14">
        <f>'08_종합평가'!U35</f>
        <v/>
      </c>
      <c r="H38" s="47">
        <f>ROUND(F38/12,-3)</f>
        <v/>
      </c>
      <c r="I38" s="22">
        <f>IF(G38="","",IF(G38="S",'02_의사결정·종합결과'!$B$27,IF(G38="A",'02_의사결정·종합결과'!$C$27,IF(G38="B",'02_의사결정·종합결과'!$D$27,IF(G38="C",'02_의사결정·종합결과'!$E$27,'02_의사결정·종합결과'!$F$27)))))</f>
        <v/>
      </c>
      <c r="J38" s="47">
        <f>IF(I38="","",ROUND(H38*I38*12,-3))</f>
        <v/>
      </c>
      <c r="K38" s="126">
        <f>IF($F$5&lt;&gt;1,$F$5,IF($D$5="",1,$D$5))</f>
        <v/>
      </c>
      <c r="L38" s="50">
        <f>IF(J38="","",ROUND(J38*K38,-3))</f>
        <v/>
      </c>
      <c r="M38" s="1" t="n"/>
    </row>
    <row r="39" ht="22.05" customHeight="1" s="86">
      <c r="A39" s="75">
        <f>'01_인적정보'!A36</f>
        <v/>
      </c>
      <c r="B39" s="75">
        <f>'01_인적정보'!B36</f>
        <v/>
      </c>
      <c r="C39" s="69">
        <f>'01_인적정보'!C36</f>
        <v/>
      </c>
      <c r="D39" s="69">
        <f>'01_인적정보'!F36</f>
        <v/>
      </c>
      <c r="E39" s="11">
        <f>'01_인적정보'!H36</f>
        <v/>
      </c>
      <c r="F39" s="45">
        <f>'01_인적정보'!K36</f>
        <v/>
      </c>
      <c r="G39" s="14">
        <f>'08_종합평가'!U36</f>
        <v/>
      </c>
      <c r="H39" s="47">
        <f>ROUND(F39/12,-3)</f>
        <v/>
      </c>
      <c r="I39" s="22">
        <f>IF(G39="","",IF(G39="S",'02_의사결정·종합결과'!$B$27,IF(G39="A",'02_의사결정·종합결과'!$C$27,IF(G39="B",'02_의사결정·종합결과'!$D$27,IF(G39="C",'02_의사결정·종합결과'!$E$27,'02_의사결정·종합결과'!$F$27)))))</f>
        <v/>
      </c>
      <c r="J39" s="47">
        <f>IF(I39="","",ROUND(H39*I39*12,-3))</f>
        <v/>
      </c>
      <c r="K39" s="126">
        <f>IF($F$5&lt;&gt;1,$F$5,IF($D$5="",1,$D$5))</f>
        <v/>
      </c>
      <c r="L39" s="50">
        <f>IF(J39="","",ROUND(J39*K39,-3))</f>
        <v/>
      </c>
      <c r="M39" s="1" t="n"/>
    </row>
    <row r="40" ht="22.05" customHeight="1" s="86">
      <c r="A40" s="75">
        <f>'01_인적정보'!A37</f>
        <v/>
      </c>
      <c r="B40" s="75">
        <f>'01_인적정보'!B37</f>
        <v/>
      </c>
      <c r="C40" s="69">
        <f>'01_인적정보'!C37</f>
        <v/>
      </c>
      <c r="D40" s="69">
        <f>'01_인적정보'!F37</f>
        <v/>
      </c>
      <c r="E40" s="11">
        <f>'01_인적정보'!H37</f>
        <v/>
      </c>
      <c r="F40" s="45">
        <f>'01_인적정보'!K37</f>
        <v/>
      </c>
      <c r="G40" s="14">
        <f>'08_종합평가'!U37</f>
        <v/>
      </c>
      <c r="H40" s="47">
        <f>ROUND(F40/12,-3)</f>
        <v/>
      </c>
      <c r="I40" s="22">
        <f>IF(G40="","",IF(G40="S",'02_의사결정·종합결과'!$B$27,IF(G40="A",'02_의사결정·종합결과'!$C$27,IF(G40="B",'02_의사결정·종합결과'!$D$27,IF(G40="C",'02_의사결정·종합결과'!$E$27,'02_의사결정·종합결과'!$F$27)))))</f>
        <v/>
      </c>
      <c r="J40" s="47">
        <f>IF(I40="","",ROUND(H40*I40*12,-3))</f>
        <v/>
      </c>
      <c r="K40" s="126">
        <f>IF($F$5&lt;&gt;1,$F$5,IF($D$5="",1,$D$5))</f>
        <v/>
      </c>
      <c r="L40" s="50">
        <f>IF(J40="","",ROUND(J40*K40,-3))</f>
        <v/>
      </c>
      <c r="M40" s="1" t="n"/>
    </row>
    <row r="41" ht="22.05" customHeight="1" s="86">
      <c r="A41" s="75">
        <f>'01_인적정보'!A38</f>
        <v/>
      </c>
      <c r="B41" s="75">
        <f>'01_인적정보'!B38</f>
        <v/>
      </c>
      <c r="C41" s="69">
        <f>'01_인적정보'!C38</f>
        <v/>
      </c>
      <c r="D41" s="69">
        <f>'01_인적정보'!F38</f>
        <v/>
      </c>
      <c r="E41" s="11">
        <f>'01_인적정보'!H38</f>
        <v/>
      </c>
      <c r="F41" s="45">
        <f>'01_인적정보'!K38</f>
        <v/>
      </c>
      <c r="G41" s="14">
        <f>'08_종합평가'!U38</f>
        <v/>
      </c>
      <c r="H41" s="47">
        <f>ROUND(F41/12,-3)</f>
        <v/>
      </c>
      <c r="I41" s="22">
        <f>IF(G41="","",IF(G41="S",'02_의사결정·종합결과'!$B$27,IF(G41="A",'02_의사결정·종합결과'!$C$27,IF(G41="B",'02_의사결정·종합결과'!$D$27,IF(G41="C",'02_의사결정·종합결과'!$E$27,'02_의사결정·종합결과'!$F$27)))))</f>
        <v/>
      </c>
      <c r="J41" s="47">
        <f>IF(I41="","",ROUND(H41*I41*12,-3))</f>
        <v/>
      </c>
      <c r="K41" s="126">
        <f>IF($F$5&lt;&gt;1,$F$5,IF($D$5="",1,$D$5))</f>
        <v/>
      </c>
      <c r="L41" s="50">
        <f>IF(J41="","",ROUND(J41*K41,-3))</f>
        <v/>
      </c>
      <c r="M41" s="1" t="n"/>
    </row>
    <row r="42" ht="22.05" customHeight="1" s="86">
      <c r="A42" s="75">
        <f>'01_인적정보'!A39</f>
        <v/>
      </c>
      <c r="B42" s="75">
        <f>'01_인적정보'!B39</f>
        <v/>
      </c>
      <c r="C42" s="69">
        <f>'01_인적정보'!C39</f>
        <v/>
      </c>
      <c r="D42" s="69">
        <f>'01_인적정보'!F39</f>
        <v/>
      </c>
      <c r="E42" s="11">
        <f>'01_인적정보'!H39</f>
        <v/>
      </c>
      <c r="F42" s="45">
        <f>'01_인적정보'!K39</f>
        <v/>
      </c>
      <c r="G42" s="14">
        <f>'08_종합평가'!U39</f>
        <v/>
      </c>
      <c r="H42" s="47">
        <f>ROUND(F42/12,-3)</f>
        <v/>
      </c>
      <c r="I42" s="22">
        <f>IF(G42="","",IF(G42="S",'02_의사결정·종합결과'!$B$27,IF(G42="A",'02_의사결정·종합결과'!$C$27,IF(G42="B",'02_의사결정·종합결과'!$D$27,IF(G42="C",'02_의사결정·종합결과'!$E$27,'02_의사결정·종합결과'!$F$27)))))</f>
        <v/>
      </c>
      <c r="J42" s="47">
        <f>IF(I42="","",ROUND(H42*I42*12,-3))</f>
        <v/>
      </c>
      <c r="K42" s="126">
        <f>IF($F$5&lt;&gt;1,$F$5,IF($D$5="",1,$D$5))</f>
        <v/>
      </c>
      <c r="L42" s="50">
        <f>IF(J42="","",ROUND(J42*K42,-3))</f>
        <v/>
      </c>
      <c r="M42" s="1" t="n"/>
    </row>
    <row r="44" ht="33.75" customHeight="1" s="86">
      <c r="K44" s="49" t="inlineStr">
        <is>
          <t>총 성과급 재원</t>
        </is>
      </c>
      <c r="L44" s="50">
        <f>SUM(L9:L42)</f>
        <v/>
      </c>
    </row>
  </sheetData>
  <mergeCells count="5">
    <mergeCell ref="A4:N4"/>
    <mergeCell ref="A2:N2"/>
    <mergeCell ref="A7:N7"/>
    <mergeCell ref="G5:N5"/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C00000"/>
    <outlinePr summaryBelow="1" summaryRight="1"/>
    <pageSetUpPr/>
  </sheetPr>
  <dimension ref="A1:L49"/>
  <sheetViews>
    <sheetView workbookViewId="0">
      <pane xSplit="3" ySplit="15" topLeftCell="D16" activePane="bottomRight" state="frozen"/>
      <selection pane="topRight" activeCell="A1" sqref="A1"/>
      <selection pane="bottomLeft" activeCell="A1" sqref="A1"/>
      <selection pane="bottomRight" activeCell="A1" sqref="A1:L1"/>
    </sheetView>
  </sheetViews>
  <sheetFormatPr baseColWidth="8" defaultRowHeight="16.9"/>
  <cols>
    <col width="4" customWidth="1" style="86" min="1" max="1"/>
    <col width="9" customWidth="1" style="86" min="2" max="2"/>
    <col width="8" customWidth="1" style="86" min="3" max="4"/>
    <col width="12" customWidth="1" style="86" min="5" max="7"/>
    <col width="11" customWidth="1" style="86" min="8" max="9"/>
  </cols>
  <sheetData>
    <row r="1" ht="28.05" customHeight="1" s="86">
      <c r="A1" s="82" t="inlineStr">
        <is>
          <t>페이밴드 적합성 검증</t>
        </is>
      </c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7" t="n"/>
    </row>
    <row r="2">
      <c r="A2" s="80" t="inlineStr">
        <is>
          <t>현재·인상 후 연봉의 페이밴드 위치를 자동 검증. 이탈자는 자동 식별.</t>
        </is>
      </c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7" t="n"/>
    </row>
    <row r="4">
      <c r="A4" s="83" t="inlineStr">
        <is>
          <t>■ 등급별 페이밴드 (02 자동 참조)</t>
        </is>
      </c>
      <c r="B4" s="66" t="n"/>
      <c r="C4" s="66" t="n"/>
      <c r="D4" s="66" t="n"/>
      <c r="E4" s="66" t="n"/>
      <c r="F4" s="66" t="n"/>
      <c r="G4" s="66" t="n"/>
      <c r="H4" s="66" t="n"/>
      <c r="I4" s="66" t="n"/>
      <c r="J4" s="66" t="n"/>
      <c r="K4" s="66" t="n"/>
      <c r="L4" s="67" t="n"/>
    </row>
    <row r="5" ht="28.05" customHeight="1" s="86">
      <c r="A5" s="71" t="inlineStr">
        <is>
          <t>역할등급</t>
        </is>
      </c>
      <c r="B5" s="71" t="inlineStr">
        <is>
          <t>최소</t>
        </is>
      </c>
      <c r="C5" s="71" t="inlineStr">
        <is>
          <t>중위</t>
        </is>
      </c>
      <c r="D5" s="71" t="inlineStr">
        <is>
          <t>최대</t>
        </is>
      </c>
      <c r="E5" s="71" t="inlineStr">
        <is>
          <t>Range Spread</t>
        </is>
      </c>
      <c r="F5" s="71" t="inlineStr">
        <is>
          <t>해당 인원</t>
        </is>
      </c>
      <c r="G5" s="71" t="inlineStr">
        <is>
          <t>범위 내</t>
        </is>
      </c>
      <c r="H5" s="71" t="inlineStr">
        <is>
          <t>이탈</t>
        </is>
      </c>
    </row>
    <row r="6" ht="22.05" customHeight="1" s="86">
      <c r="A6" s="19" t="inlineStr">
        <is>
          <t>G6</t>
        </is>
      </c>
      <c r="B6" s="47">
        <f>'02_의사결정·종합결과'!B32</f>
        <v/>
      </c>
      <c r="C6" s="47">
        <f>'02_의사결정·종합결과'!C32</f>
        <v/>
      </c>
      <c r="D6" s="47">
        <f>'02_의사결정·종합결과'!D32</f>
        <v/>
      </c>
      <c r="E6" s="104">
        <f>(D6-B6)/B6</f>
        <v/>
      </c>
      <c r="F6" s="13">
        <f>COUNTIF('09_보상연계'!$F$6:$F$39,A6)</f>
        <v/>
      </c>
      <c r="G6" s="13">
        <f>SUMPRODUCT(('09_보상연계'!$F$6:$F$39=A6)*('09_보상연계'!$P$6:$P$39&gt;=B6)*('09_보상연계'!$P$6:$P$39&lt;=D6))</f>
        <v/>
      </c>
      <c r="H6" s="14">
        <f>F6-G6</f>
        <v/>
      </c>
    </row>
    <row r="7" ht="22.05" customHeight="1" s="86">
      <c r="A7" s="19" t="inlineStr">
        <is>
          <t>G5-M</t>
        </is>
      </c>
      <c r="B7" s="47">
        <f>'02_의사결정·종합결과'!B33</f>
        <v/>
      </c>
      <c r="C7" s="47">
        <f>'02_의사결정·종합결과'!C33</f>
        <v/>
      </c>
      <c r="D7" s="47">
        <f>'02_의사결정·종합결과'!D33</f>
        <v/>
      </c>
      <c r="E7" s="104">
        <f>(D7-B7)/B7</f>
        <v/>
      </c>
      <c r="F7" s="13">
        <f>COUNTIF('09_보상연계'!$F$6:$F$39,A7)</f>
        <v/>
      </c>
      <c r="G7" s="13">
        <f>SUMPRODUCT(('09_보상연계'!$F$6:$F$39=A7)*('09_보상연계'!$P$6:$P$39&gt;=B7)*('09_보상연계'!$P$6:$P$39&lt;=D7))</f>
        <v/>
      </c>
      <c r="H7" s="14">
        <f>F7-G7</f>
        <v/>
      </c>
    </row>
    <row r="8" ht="22.05" customHeight="1" s="86">
      <c r="A8" s="19" t="inlineStr">
        <is>
          <t>G5-S</t>
        </is>
      </c>
      <c r="B8" s="47">
        <f>'02_의사결정·종합결과'!B34</f>
        <v/>
      </c>
      <c r="C8" s="47">
        <f>'02_의사결정·종합결과'!C34</f>
        <v/>
      </c>
      <c r="D8" s="47">
        <f>'02_의사결정·종합결과'!D34</f>
        <v/>
      </c>
      <c r="E8" s="104">
        <f>(D8-B8)/B8</f>
        <v/>
      </c>
      <c r="F8" s="13">
        <f>COUNTIF('09_보상연계'!$F$6:$F$39,A8)</f>
        <v/>
      </c>
      <c r="G8" s="13">
        <f>SUMPRODUCT(('09_보상연계'!$F$6:$F$39=A8)*('09_보상연계'!$P$6:$P$39&gt;=B8)*('09_보상연계'!$P$6:$P$39&lt;=D8))</f>
        <v/>
      </c>
      <c r="H8" s="14">
        <f>F8-G8</f>
        <v/>
      </c>
    </row>
    <row r="9" ht="22.05" customHeight="1" s="86">
      <c r="A9" s="19" t="inlineStr">
        <is>
          <t>G4</t>
        </is>
      </c>
      <c r="B9" s="47">
        <f>'02_의사결정·종합결과'!B35</f>
        <v/>
      </c>
      <c r="C9" s="47">
        <f>'02_의사결정·종합결과'!C35</f>
        <v/>
      </c>
      <c r="D9" s="47">
        <f>'02_의사결정·종합결과'!D35</f>
        <v/>
      </c>
      <c r="E9" s="104">
        <f>(D9-B9)/B9</f>
        <v/>
      </c>
      <c r="F9" s="13">
        <f>COUNTIF('09_보상연계'!$F$6:$F$39,A9)</f>
        <v/>
      </c>
      <c r="G9" s="13">
        <f>SUMPRODUCT(('09_보상연계'!$F$6:$F$39=A9)*('09_보상연계'!$P$6:$P$39&gt;=B9)*('09_보상연계'!$P$6:$P$39&lt;=D9))</f>
        <v/>
      </c>
      <c r="H9" s="14">
        <f>F9-G9</f>
        <v/>
      </c>
    </row>
    <row r="10" ht="22.05" customHeight="1" s="86">
      <c r="A10" s="19" t="inlineStr">
        <is>
          <t>G3</t>
        </is>
      </c>
      <c r="B10" s="47">
        <f>'02_의사결정·종합결과'!B36</f>
        <v/>
      </c>
      <c r="C10" s="47">
        <f>'02_의사결정·종합결과'!C36</f>
        <v/>
      </c>
      <c r="D10" s="47">
        <f>'02_의사결정·종합결과'!D36</f>
        <v/>
      </c>
      <c r="E10" s="104">
        <f>(D10-B10)/B10</f>
        <v/>
      </c>
      <c r="F10" s="13">
        <f>COUNTIF('09_보상연계'!$F$6:$F$39,A10)</f>
        <v/>
      </c>
      <c r="G10" s="13">
        <f>SUMPRODUCT(('09_보상연계'!$F$6:$F$39=A10)*('09_보상연계'!$P$6:$P$39&gt;=B10)*('09_보상연계'!$P$6:$P$39&lt;=D10))</f>
        <v/>
      </c>
      <c r="H10" s="14">
        <f>F10-G10</f>
        <v/>
      </c>
    </row>
    <row r="11" ht="22.05" customHeight="1" s="86">
      <c r="A11" s="19" t="inlineStr">
        <is>
          <t>G2</t>
        </is>
      </c>
      <c r="B11" s="47">
        <f>'02_의사결정·종합결과'!B37</f>
        <v/>
      </c>
      <c r="C11" s="47">
        <f>'02_의사결정·종합결과'!C37</f>
        <v/>
      </c>
      <c r="D11" s="47">
        <f>'02_의사결정·종합결과'!D37</f>
        <v/>
      </c>
      <c r="E11" s="104">
        <f>(D11-B11)/B11</f>
        <v/>
      </c>
      <c r="F11" s="13">
        <f>COUNTIF('09_보상연계'!$F$6:$F$39,A11)</f>
        <v/>
      </c>
      <c r="G11" s="13">
        <f>SUMPRODUCT(('09_보상연계'!$F$6:$F$39=A11)*('09_보상연계'!$P$6:$P$39&gt;=B11)*('09_보상연계'!$P$6:$P$39&lt;=D11))</f>
        <v/>
      </c>
      <c r="H11" s="14">
        <f>F11-G11</f>
        <v/>
      </c>
    </row>
    <row r="12" ht="22.05" customHeight="1" s="86">
      <c r="A12" s="19" t="inlineStr">
        <is>
          <t>G1</t>
        </is>
      </c>
      <c r="B12" s="47">
        <f>'02_의사결정·종합결과'!B38</f>
        <v/>
      </c>
      <c r="C12" s="47">
        <f>'02_의사결정·종합결과'!C38</f>
        <v/>
      </c>
      <c r="D12" s="47">
        <f>'02_의사결정·종합결과'!D38</f>
        <v/>
      </c>
      <c r="E12" s="104">
        <f>(D12-B12)/B12</f>
        <v/>
      </c>
      <c r="F12" s="13">
        <f>COUNTIF('09_보상연계'!$F$6:$F$39,A12)</f>
        <v/>
      </c>
      <c r="G12" s="13">
        <f>SUMPRODUCT(('09_보상연계'!$F$6:$F$39=A12)*('09_보상연계'!$P$6:$P$39&gt;=B12)*('09_보상연계'!$P$6:$P$39&lt;=D12))</f>
        <v/>
      </c>
      <c r="H12" s="14">
        <f>F12-G12</f>
        <v/>
      </c>
    </row>
    <row r="14">
      <c r="A14" s="83" t="inlineStr">
        <is>
          <t>■ 페이밴드 이탈자 명단 (자동 식별)</t>
        </is>
      </c>
      <c r="B14" s="66" t="n"/>
      <c r="C14" s="66" t="n"/>
      <c r="D14" s="66" t="n"/>
      <c r="E14" s="66" t="n"/>
      <c r="F14" s="66" t="n"/>
      <c r="G14" s="66" t="n"/>
      <c r="H14" s="66" t="n"/>
      <c r="I14" s="66" t="n"/>
      <c r="J14" s="66" t="n"/>
      <c r="K14" s="66" t="n"/>
      <c r="L14" s="67" t="n"/>
    </row>
    <row r="15" ht="28.05" customHeight="1" s="86">
      <c r="A15" s="15" t="inlineStr">
        <is>
          <t>No.</t>
        </is>
      </c>
      <c r="B15" s="15" t="inlineStr">
        <is>
          <t>사번</t>
        </is>
      </c>
      <c r="C15" s="15" t="inlineStr">
        <is>
          <t>성명</t>
        </is>
      </c>
      <c r="D15" s="15" t="inlineStr">
        <is>
          <t>역할등급</t>
        </is>
      </c>
      <c r="E15" s="15" t="inlineStr">
        <is>
          <t>확정 연봉</t>
        </is>
      </c>
      <c r="F15" s="15" t="inlineStr">
        <is>
          <t>Min</t>
        </is>
      </c>
      <c r="G15" s="15" t="inlineStr">
        <is>
          <t>Max</t>
        </is>
      </c>
      <c r="H15" s="15" t="inlineStr">
        <is>
          <t>이탈 방향</t>
        </is>
      </c>
      <c r="I15" s="15" t="inlineStr">
        <is>
          <t>조정 권고</t>
        </is>
      </c>
    </row>
    <row r="16" ht="22.05" customHeight="1" s="86">
      <c r="A16" s="75">
        <f>'09_보상연계'!A6</f>
        <v/>
      </c>
      <c r="B16" s="75">
        <f>'09_보상연계'!B6</f>
        <v/>
      </c>
      <c r="C16" s="69">
        <f>'09_보상연계'!C6</f>
        <v/>
      </c>
      <c r="D16" s="11">
        <f>'09_보상연계'!F6</f>
        <v/>
      </c>
      <c r="E16" s="47">
        <f>'09_보상연계'!P6</f>
        <v/>
      </c>
      <c r="F16" s="47">
        <f>'09_보상연계'!M6</f>
        <v/>
      </c>
      <c r="G16" s="47">
        <f>'09_보상연계'!N6</f>
        <v/>
      </c>
      <c r="H16" s="14">
        <f>IF(E16="","",IF(E16&lt;F16,"⬇ Min 미달",IF(E16&gt;G16,"⬆ Max 초과","✓ 범위 내")))</f>
        <v/>
      </c>
      <c r="I16" s="127">
        <f>IF(E16="","",IF(E16&lt;F16,F16-E16,IF(E16&gt;G16,E16-G16,0)))</f>
        <v/>
      </c>
    </row>
    <row r="17" ht="22.05" customHeight="1" s="86">
      <c r="A17" s="75">
        <f>'09_보상연계'!A7</f>
        <v/>
      </c>
      <c r="B17" s="75">
        <f>'09_보상연계'!B7</f>
        <v/>
      </c>
      <c r="C17" s="69">
        <f>'09_보상연계'!C7</f>
        <v/>
      </c>
      <c r="D17" s="11">
        <f>'09_보상연계'!F7</f>
        <v/>
      </c>
      <c r="E17" s="47">
        <f>'09_보상연계'!P7</f>
        <v/>
      </c>
      <c r="F17" s="47">
        <f>'09_보상연계'!M7</f>
        <v/>
      </c>
      <c r="G17" s="47">
        <f>'09_보상연계'!N7</f>
        <v/>
      </c>
      <c r="H17" s="14">
        <f>IF(E17="","",IF(E17&lt;F17,"⬇ Min 미달",IF(E17&gt;G17,"⬆ Max 초과","✓ 범위 내")))</f>
        <v/>
      </c>
      <c r="I17" s="127">
        <f>IF(E17="","",IF(E17&lt;F17,F17-E17,IF(E17&gt;G17,E17-G17,0)))</f>
        <v/>
      </c>
    </row>
    <row r="18" ht="22.05" customHeight="1" s="86">
      <c r="A18" s="75">
        <f>'09_보상연계'!A8</f>
        <v/>
      </c>
      <c r="B18" s="75">
        <f>'09_보상연계'!B8</f>
        <v/>
      </c>
      <c r="C18" s="69">
        <f>'09_보상연계'!C8</f>
        <v/>
      </c>
      <c r="D18" s="11">
        <f>'09_보상연계'!F8</f>
        <v/>
      </c>
      <c r="E18" s="47">
        <f>'09_보상연계'!P8</f>
        <v/>
      </c>
      <c r="F18" s="47">
        <f>'09_보상연계'!M8</f>
        <v/>
      </c>
      <c r="G18" s="47">
        <f>'09_보상연계'!N8</f>
        <v/>
      </c>
      <c r="H18" s="14">
        <f>IF(E18="","",IF(E18&lt;F18,"⬇ Min 미달",IF(E18&gt;G18,"⬆ Max 초과","✓ 범위 내")))</f>
        <v/>
      </c>
      <c r="I18" s="127">
        <f>IF(E18="","",IF(E18&lt;F18,F18-E18,IF(E18&gt;G18,E18-G18,0)))</f>
        <v/>
      </c>
    </row>
    <row r="19" ht="22.05" customHeight="1" s="86">
      <c r="A19" s="75">
        <f>'09_보상연계'!A9</f>
        <v/>
      </c>
      <c r="B19" s="75">
        <f>'09_보상연계'!B9</f>
        <v/>
      </c>
      <c r="C19" s="69">
        <f>'09_보상연계'!C9</f>
        <v/>
      </c>
      <c r="D19" s="11">
        <f>'09_보상연계'!F9</f>
        <v/>
      </c>
      <c r="E19" s="47">
        <f>'09_보상연계'!P9</f>
        <v/>
      </c>
      <c r="F19" s="47">
        <f>'09_보상연계'!M9</f>
        <v/>
      </c>
      <c r="G19" s="47">
        <f>'09_보상연계'!N9</f>
        <v/>
      </c>
      <c r="H19" s="14">
        <f>IF(E19="","",IF(E19&lt;F19,"⬇ Min 미달",IF(E19&gt;G19,"⬆ Max 초과","✓ 범위 내")))</f>
        <v/>
      </c>
      <c r="I19" s="127">
        <f>IF(E19="","",IF(E19&lt;F19,F19-E19,IF(E19&gt;G19,E19-G19,0)))</f>
        <v/>
      </c>
    </row>
    <row r="20" ht="22.05" customHeight="1" s="86">
      <c r="A20" s="75">
        <f>'09_보상연계'!A10</f>
        <v/>
      </c>
      <c r="B20" s="75">
        <f>'09_보상연계'!B10</f>
        <v/>
      </c>
      <c r="C20" s="69">
        <f>'09_보상연계'!C10</f>
        <v/>
      </c>
      <c r="D20" s="11">
        <f>'09_보상연계'!F10</f>
        <v/>
      </c>
      <c r="E20" s="47">
        <f>'09_보상연계'!P10</f>
        <v/>
      </c>
      <c r="F20" s="47">
        <f>'09_보상연계'!M10</f>
        <v/>
      </c>
      <c r="G20" s="47">
        <f>'09_보상연계'!N10</f>
        <v/>
      </c>
      <c r="H20" s="14">
        <f>IF(E20="","",IF(E20&lt;F20,"⬇ Min 미달",IF(E20&gt;G20,"⬆ Max 초과","✓ 범위 내")))</f>
        <v/>
      </c>
      <c r="I20" s="127">
        <f>IF(E20="","",IF(E20&lt;F20,F20-E20,IF(E20&gt;G20,E20-G20,0)))</f>
        <v/>
      </c>
    </row>
    <row r="21" ht="22.05" customHeight="1" s="86">
      <c r="A21" s="75">
        <f>'09_보상연계'!A11</f>
        <v/>
      </c>
      <c r="B21" s="75">
        <f>'09_보상연계'!B11</f>
        <v/>
      </c>
      <c r="C21" s="69">
        <f>'09_보상연계'!C11</f>
        <v/>
      </c>
      <c r="D21" s="11">
        <f>'09_보상연계'!F11</f>
        <v/>
      </c>
      <c r="E21" s="47">
        <f>'09_보상연계'!P11</f>
        <v/>
      </c>
      <c r="F21" s="47">
        <f>'09_보상연계'!M11</f>
        <v/>
      </c>
      <c r="G21" s="47">
        <f>'09_보상연계'!N11</f>
        <v/>
      </c>
      <c r="H21" s="14">
        <f>IF(E21="","",IF(E21&lt;F21,"⬇ Min 미달",IF(E21&gt;G21,"⬆ Max 초과","✓ 범위 내")))</f>
        <v/>
      </c>
      <c r="I21" s="127">
        <f>IF(E21="","",IF(E21&lt;F21,F21-E21,IF(E21&gt;G21,E21-G21,0)))</f>
        <v/>
      </c>
    </row>
    <row r="22" ht="22.05" customHeight="1" s="86">
      <c r="A22" s="75">
        <f>'09_보상연계'!A12</f>
        <v/>
      </c>
      <c r="B22" s="75">
        <f>'09_보상연계'!B12</f>
        <v/>
      </c>
      <c r="C22" s="69">
        <f>'09_보상연계'!C12</f>
        <v/>
      </c>
      <c r="D22" s="11">
        <f>'09_보상연계'!F12</f>
        <v/>
      </c>
      <c r="E22" s="47">
        <f>'09_보상연계'!P12</f>
        <v/>
      </c>
      <c r="F22" s="47">
        <f>'09_보상연계'!M12</f>
        <v/>
      </c>
      <c r="G22" s="47">
        <f>'09_보상연계'!N12</f>
        <v/>
      </c>
      <c r="H22" s="14">
        <f>IF(E22="","",IF(E22&lt;F22,"⬇ Min 미달",IF(E22&gt;G22,"⬆ Max 초과","✓ 범위 내")))</f>
        <v/>
      </c>
      <c r="I22" s="127">
        <f>IF(E22="","",IF(E22&lt;F22,F22-E22,IF(E22&gt;G22,E22-G22,0)))</f>
        <v/>
      </c>
    </row>
    <row r="23" ht="22.05" customHeight="1" s="86">
      <c r="A23" s="75">
        <f>'09_보상연계'!A13</f>
        <v/>
      </c>
      <c r="B23" s="75">
        <f>'09_보상연계'!B13</f>
        <v/>
      </c>
      <c r="C23" s="69">
        <f>'09_보상연계'!C13</f>
        <v/>
      </c>
      <c r="D23" s="11">
        <f>'09_보상연계'!F13</f>
        <v/>
      </c>
      <c r="E23" s="47">
        <f>'09_보상연계'!P13</f>
        <v/>
      </c>
      <c r="F23" s="47">
        <f>'09_보상연계'!M13</f>
        <v/>
      </c>
      <c r="G23" s="47">
        <f>'09_보상연계'!N13</f>
        <v/>
      </c>
      <c r="H23" s="14">
        <f>IF(E23="","",IF(E23&lt;F23,"⬇ Min 미달",IF(E23&gt;G23,"⬆ Max 초과","✓ 범위 내")))</f>
        <v/>
      </c>
      <c r="I23" s="127">
        <f>IF(E23="","",IF(E23&lt;F23,F23-E23,IF(E23&gt;G23,E23-G23,0)))</f>
        <v/>
      </c>
    </row>
    <row r="24" ht="22.05" customHeight="1" s="86">
      <c r="A24" s="75">
        <f>'09_보상연계'!A14</f>
        <v/>
      </c>
      <c r="B24" s="75">
        <f>'09_보상연계'!B14</f>
        <v/>
      </c>
      <c r="C24" s="69">
        <f>'09_보상연계'!C14</f>
        <v/>
      </c>
      <c r="D24" s="11">
        <f>'09_보상연계'!F14</f>
        <v/>
      </c>
      <c r="E24" s="47">
        <f>'09_보상연계'!P14</f>
        <v/>
      </c>
      <c r="F24" s="47">
        <f>'09_보상연계'!M14</f>
        <v/>
      </c>
      <c r="G24" s="47">
        <f>'09_보상연계'!N14</f>
        <v/>
      </c>
      <c r="H24" s="14">
        <f>IF(E24="","",IF(E24&lt;F24,"⬇ Min 미달",IF(E24&gt;G24,"⬆ Max 초과","✓ 범위 내")))</f>
        <v/>
      </c>
      <c r="I24" s="127">
        <f>IF(E24="","",IF(E24&lt;F24,F24-E24,IF(E24&gt;G24,E24-G24,0)))</f>
        <v/>
      </c>
    </row>
    <row r="25" ht="22.05" customHeight="1" s="86">
      <c r="A25" s="75">
        <f>'09_보상연계'!A15</f>
        <v/>
      </c>
      <c r="B25" s="75">
        <f>'09_보상연계'!B15</f>
        <v/>
      </c>
      <c r="C25" s="69">
        <f>'09_보상연계'!C15</f>
        <v/>
      </c>
      <c r="D25" s="11">
        <f>'09_보상연계'!F15</f>
        <v/>
      </c>
      <c r="E25" s="47">
        <f>'09_보상연계'!P15</f>
        <v/>
      </c>
      <c r="F25" s="47">
        <f>'09_보상연계'!M15</f>
        <v/>
      </c>
      <c r="G25" s="47">
        <f>'09_보상연계'!N15</f>
        <v/>
      </c>
      <c r="H25" s="14">
        <f>IF(E25="","",IF(E25&lt;F25,"⬇ Min 미달",IF(E25&gt;G25,"⬆ Max 초과","✓ 범위 내")))</f>
        <v/>
      </c>
      <c r="I25" s="127">
        <f>IF(E25="","",IF(E25&lt;F25,F25-E25,IF(E25&gt;G25,E25-G25,0)))</f>
        <v/>
      </c>
    </row>
    <row r="26" ht="22.05" customHeight="1" s="86">
      <c r="A26" s="75">
        <f>'09_보상연계'!A16</f>
        <v/>
      </c>
      <c r="B26" s="75">
        <f>'09_보상연계'!B16</f>
        <v/>
      </c>
      <c r="C26" s="69">
        <f>'09_보상연계'!C16</f>
        <v/>
      </c>
      <c r="D26" s="11">
        <f>'09_보상연계'!F16</f>
        <v/>
      </c>
      <c r="E26" s="47">
        <f>'09_보상연계'!P16</f>
        <v/>
      </c>
      <c r="F26" s="47">
        <f>'09_보상연계'!M16</f>
        <v/>
      </c>
      <c r="G26" s="47">
        <f>'09_보상연계'!N16</f>
        <v/>
      </c>
      <c r="H26" s="14">
        <f>IF(E26="","",IF(E26&lt;F26,"⬇ Min 미달",IF(E26&gt;G26,"⬆ Max 초과","✓ 범위 내")))</f>
        <v/>
      </c>
      <c r="I26" s="127">
        <f>IF(E26="","",IF(E26&lt;F26,F26-E26,IF(E26&gt;G26,E26-G26,0)))</f>
        <v/>
      </c>
    </row>
    <row r="27" ht="22.05" customHeight="1" s="86">
      <c r="A27" s="75">
        <f>'09_보상연계'!A17</f>
        <v/>
      </c>
      <c r="B27" s="75">
        <f>'09_보상연계'!B17</f>
        <v/>
      </c>
      <c r="C27" s="69">
        <f>'09_보상연계'!C17</f>
        <v/>
      </c>
      <c r="D27" s="11">
        <f>'09_보상연계'!F17</f>
        <v/>
      </c>
      <c r="E27" s="47">
        <f>'09_보상연계'!P17</f>
        <v/>
      </c>
      <c r="F27" s="47">
        <f>'09_보상연계'!M17</f>
        <v/>
      </c>
      <c r="G27" s="47">
        <f>'09_보상연계'!N17</f>
        <v/>
      </c>
      <c r="H27" s="14">
        <f>IF(E27="","",IF(E27&lt;F27,"⬇ Min 미달",IF(E27&gt;G27,"⬆ Max 초과","✓ 범위 내")))</f>
        <v/>
      </c>
      <c r="I27" s="127">
        <f>IF(E27="","",IF(E27&lt;F27,F27-E27,IF(E27&gt;G27,E27-G27,0)))</f>
        <v/>
      </c>
    </row>
    <row r="28" ht="22.05" customHeight="1" s="86">
      <c r="A28" s="75">
        <f>'09_보상연계'!A18</f>
        <v/>
      </c>
      <c r="B28" s="75">
        <f>'09_보상연계'!B18</f>
        <v/>
      </c>
      <c r="C28" s="69">
        <f>'09_보상연계'!C18</f>
        <v/>
      </c>
      <c r="D28" s="11">
        <f>'09_보상연계'!F18</f>
        <v/>
      </c>
      <c r="E28" s="47">
        <f>'09_보상연계'!P18</f>
        <v/>
      </c>
      <c r="F28" s="47">
        <f>'09_보상연계'!M18</f>
        <v/>
      </c>
      <c r="G28" s="47">
        <f>'09_보상연계'!N18</f>
        <v/>
      </c>
      <c r="H28" s="14">
        <f>IF(E28="","",IF(E28&lt;F28,"⬇ Min 미달",IF(E28&gt;G28,"⬆ Max 초과","✓ 범위 내")))</f>
        <v/>
      </c>
      <c r="I28" s="127">
        <f>IF(E28="","",IF(E28&lt;F28,F28-E28,IF(E28&gt;G28,E28-G28,0)))</f>
        <v/>
      </c>
    </row>
    <row r="29" ht="22.05" customHeight="1" s="86">
      <c r="A29" s="75">
        <f>'09_보상연계'!A19</f>
        <v/>
      </c>
      <c r="B29" s="75">
        <f>'09_보상연계'!B19</f>
        <v/>
      </c>
      <c r="C29" s="69">
        <f>'09_보상연계'!C19</f>
        <v/>
      </c>
      <c r="D29" s="11">
        <f>'09_보상연계'!F19</f>
        <v/>
      </c>
      <c r="E29" s="47">
        <f>'09_보상연계'!P19</f>
        <v/>
      </c>
      <c r="F29" s="47">
        <f>'09_보상연계'!M19</f>
        <v/>
      </c>
      <c r="G29" s="47">
        <f>'09_보상연계'!N19</f>
        <v/>
      </c>
      <c r="H29" s="14">
        <f>IF(E29="","",IF(E29&lt;F29,"⬇ Min 미달",IF(E29&gt;G29,"⬆ Max 초과","✓ 범위 내")))</f>
        <v/>
      </c>
      <c r="I29" s="127">
        <f>IF(E29="","",IF(E29&lt;F29,F29-E29,IF(E29&gt;G29,E29-G29,0)))</f>
        <v/>
      </c>
    </row>
    <row r="30" ht="22.05" customHeight="1" s="86">
      <c r="A30" s="75">
        <f>'09_보상연계'!A20</f>
        <v/>
      </c>
      <c r="B30" s="75">
        <f>'09_보상연계'!B20</f>
        <v/>
      </c>
      <c r="C30" s="69">
        <f>'09_보상연계'!C20</f>
        <v/>
      </c>
      <c r="D30" s="11">
        <f>'09_보상연계'!F20</f>
        <v/>
      </c>
      <c r="E30" s="47">
        <f>'09_보상연계'!P20</f>
        <v/>
      </c>
      <c r="F30" s="47">
        <f>'09_보상연계'!M20</f>
        <v/>
      </c>
      <c r="G30" s="47">
        <f>'09_보상연계'!N20</f>
        <v/>
      </c>
      <c r="H30" s="14">
        <f>IF(E30="","",IF(E30&lt;F30,"⬇ Min 미달",IF(E30&gt;G30,"⬆ Max 초과","✓ 범위 내")))</f>
        <v/>
      </c>
      <c r="I30" s="127">
        <f>IF(E30="","",IF(E30&lt;F30,F30-E30,IF(E30&gt;G30,E30-G30,0)))</f>
        <v/>
      </c>
    </row>
    <row r="31" ht="22.05" customHeight="1" s="86">
      <c r="A31" s="75">
        <f>'09_보상연계'!A21</f>
        <v/>
      </c>
      <c r="B31" s="75">
        <f>'09_보상연계'!B21</f>
        <v/>
      </c>
      <c r="C31" s="69">
        <f>'09_보상연계'!C21</f>
        <v/>
      </c>
      <c r="D31" s="11">
        <f>'09_보상연계'!F21</f>
        <v/>
      </c>
      <c r="E31" s="47">
        <f>'09_보상연계'!P21</f>
        <v/>
      </c>
      <c r="F31" s="47">
        <f>'09_보상연계'!M21</f>
        <v/>
      </c>
      <c r="G31" s="47">
        <f>'09_보상연계'!N21</f>
        <v/>
      </c>
      <c r="H31" s="14">
        <f>IF(E31="","",IF(E31&lt;F31,"⬇ Min 미달",IF(E31&gt;G31,"⬆ Max 초과","✓ 범위 내")))</f>
        <v/>
      </c>
      <c r="I31" s="127">
        <f>IF(E31="","",IF(E31&lt;F31,F31-E31,IF(E31&gt;G31,E31-G31,0)))</f>
        <v/>
      </c>
    </row>
    <row r="32" ht="22.05" customHeight="1" s="86">
      <c r="A32" s="75">
        <f>'09_보상연계'!A22</f>
        <v/>
      </c>
      <c r="B32" s="75">
        <f>'09_보상연계'!B22</f>
        <v/>
      </c>
      <c r="C32" s="69">
        <f>'09_보상연계'!C22</f>
        <v/>
      </c>
      <c r="D32" s="11">
        <f>'09_보상연계'!F22</f>
        <v/>
      </c>
      <c r="E32" s="47">
        <f>'09_보상연계'!P22</f>
        <v/>
      </c>
      <c r="F32" s="47">
        <f>'09_보상연계'!M22</f>
        <v/>
      </c>
      <c r="G32" s="47">
        <f>'09_보상연계'!N22</f>
        <v/>
      </c>
      <c r="H32" s="14">
        <f>IF(E32="","",IF(E32&lt;F32,"⬇ Min 미달",IF(E32&gt;G32,"⬆ Max 초과","✓ 범위 내")))</f>
        <v/>
      </c>
      <c r="I32" s="127">
        <f>IF(E32="","",IF(E32&lt;F32,F32-E32,IF(E32&gt;G32,E32-G32,0)))</f>
        <v/>
      </c>
    </row>
    <row r="33" ht="22.05" customHeight="1" s="86">
      <c r="A33" s="75">
        <f>'09_보상연계'!A23</f>
        <v/>
      </c>
      <c r="B33" s="75">
        <f>'09_보상연계'!B23</f>
        <v/>
      </c>
      <c r="C33" s="69">
        <f>'09_보상연계'!C23</f>
        <v/>
      </c>
      <c r="D33" s="11">
        <f>'09_보상연계'!F23</f>
        <v/>
      </c>
      <c r="E33" s="47">
        <f>'09_보상연계'!P23</f>
        <v/>
      </c>
      <c r="F33" s="47">
        <f>'09_보상연계'!M23</f>
        <v/>
      </c>
      <c r="G33" s="47">
        <f>'09_보상연계'!N23</f>
        <v/>
      </c>
      <c r="H33" s="14">
        <f>IF(E33="","",IF(E33&lt;F33,"⬇ Min 미달",IF(E33&gt;G33,"⬆ Max 초과","✓ 범위 내")))</f>
        <v/>
      </c>
      <c r="I33" s="127">
        <f>IF(E33="","",IF(E33&lt;F33,F33-E33,IF(E33&gt;G33,E33-G33,0)))</f>
        <v/>
      </c>
    </row>
    <row r="34" ht="22.05" customHeight="1" s="86">
      <c r="A34" s="75">
        <f>'09_보상연계'!A24</f>
        <v/>
      </c>
      <c r="B34" s="75">
        <f>'09_보상연계'!B24</f>
        <v/>
      </c>
      <c r="C34" s="69">
        <f>'09_보상연계'!C24</f>
        <v/>
      </c>
      <c r="D34" s="11">
        <f>'09_보상연계'!F24</f>
        <v/>
      </c>
      <c r="E34" s="47">
        <f>'09_보상연계'!P24</f>
        <v/>
      </c>
      <c r="F34" s="47">
        <f>'09_보상연계'!M24</f>
        <v/>
      </c>
      <c r="G34" s="47">
        <f>'09_보상연계'!N24</f>
        <v/>
      </c>
      <c r="H34" s="14">
        <f>IF(E34="","",IF(E34&lt;F34,"⬇ Min 미달",IF(E34&gt;G34,"⬆ Max 초과","✓ 범위 내")))</f>
        <v/>
      </c>
      <c r="I34" s="127">
        <f>IF(E34="","",IF(E34&lt;F34,F34-E34,IF(E34&gt;G34,E34-G34,0)))</f>
        <v/>
      </c>
    </row>
    <row r="35" ht="22.05" customHeight="1" s="86">
      <c r="A35" s="75">
        <f>'09_보상연계'!A25</f>
        <v/>
      </c>
      <c r="B35" s="75">
        <f>'09_보상연계'!B25</f>
        <v/>
      </c>
      <c r="C35" s="69">
        <f>'09_보상연계'!C25</f>
        <v/>
      </c>
      <c r="D35" s="11">
        <f>'09_보상연계'!F25</f>
        <v/>
      </c>
      <c r="E35" s="47">
        <f>'09_보상연계'!P25</f>
        <v/>
      </c>
      <c r="F35" s="47">
        <f>'09_보상연계'!M25</f>
        <v/>
      </c>
      <c r="G35" s="47">
        <f>'09_보상연계'!N25</f>
        <v/>
      </c>
      <c r="H35" s="14">
        <f>IF(E35="","",IF(E35&lt;F35,"⬇ Min 미달",IF(E35&gt;G35,"⬆ Max 초과","✓ 범위 내")))</f>
        <v/>
      </c>
      <c r="I35" s="127">
        <f>IF(E35="","",IF(E35&lt;F35,F35-E35,IF(E35&gt;G35,E35-G35,0)))</f>
        <v/>
      </c>
    </row>
    <row r="36" ht="22.05" customHeight="1" s="86">
      <c r="A36" s="75">
        <f>'09_보상연계'!A26</f>
        <v/>
      </c>
      <c r="B36" s="75">
        <f>'09_보상연계'!B26</f>
        <v/>
      </c>
      <c r="C36" s="69">
        <f>'09_보상연계'!C26</f>
        <v/>
      </c>
      <c r="D36" s="11">
        <f>'09_보상연계'!F26</f>
        <v/>
      </c>
      <c r="E36" s="47">
        <f>'09_보상연계'!P26</f>
        <v/>
      </c>
      <c r="F36" s="47">
        <f>'09_보상연계'!M26</f>
        <v/>
      </c>
      <c r="G36" s="47">
        <f>'09_보상연계'!N26</f>
        <v/>
      </c>
      <c r="H36" s="14">
        <f>IF(E36="","",IF(E36&lt;F36,"⬇ Min 미달",IF(E36&gt;G36,"⬆ Max 초과","✓ 범위 내")))</f>
        <v/>
      </c>
      <c r="I36" s="127">
        <f>IF(E36="","",IF(E36&lt;F36,F36-E36,IF(E36&gt;G36,E36-G36,0)))</f>
        <v/>
      </c>
    </row>
    <row r="37" ht="22.05" customHeight="1" s="86">
      <c r="A37" s="75">
        <f>'09_보상연계'!A27</f>
        <v/>
      </c>
      <c r="B37" s="75">
        <f>'09_보상연계'!B27</f>
        <v/>
      </c>
      <c r="C37" s="69">
        <f>'09_보상연계'!C27</f>
        <v/>
      </c>
      <c r="D37" s="11">
        <f>'09_보상연계'!F27</f>
        <v/>
      </c>
      <c r="E37" s="47">
        <f>'09_보상연계'!P27</f>
        <v/>
      </c>
      <c r="F37" s="47">
        <f>'09_보상연계'!M27</f>
        <v/>
      </c>
      <c r="G37" s="47">
        <f>'09_보상연계'!N27</f>
        <v/>
      </c>
      <c r="H37" s="14">
        <f>IF(E37="","",IF(E37&lt;F37,"⬇ Min 미달",IF(E37&gt;G37,"⬆ Max 초과","✓ 범위 내")))</f>
        <v/>
      </c>
      <c r="I37" s="127">
        <f>IF(E37="","",IF(E37&lt;F37,F37-E37,IF(E37&gt;G37,E37-G37,0)))</f>
        <v/>
      </c>
    </row>
    <row r="38" ht="22.05" customHeight="1" s="86">
      <c r="A38" s="75">
        <f>'09_보상연계'!A28</f>
        <v/>
      </c>
      <c r="B38" s="75">
        <f>'09_보상연계'!B28</f>
        <v/>
      </c>
      <c r="C38" s="69">
        <f>'09_보상연계'!C28</f>
        <v/>
      </c>
      <c r="D38" s="11">
        <f>'09_보상연계'!F28</f>
        <v/>
      </c>
      <c r="E38" s="47">
        <f>'09_보상연계'!P28</f>
        <v/>
      </c>
      <c r="F38" s="47">
        <f>'09_보상연계'!M28</f>
        <v/>
      </c>
      <c r="G38" s="47">
        <f>'09_보상연계'!N28</f>
        <v/>
      </c>
      <c r="H38" s="14">
        <f>IF(E38="","",IF(E38&lt;F38,"⬇ Min 미달",IF(E38&gt;G38,"⬆ Max 초과","✓ 범위 내")))</f>
        <v/>
      </c>
      <c r="I38" s="127">
        <f>IF(E38="","",IF(E38&lt;F38,F38-E38,IF(E38&gt;G38,E38-G38,0)))</f>
        <v/>
      </c>
    </row>
    <row r="39" ht="22.05" customHeight="1" s="86">
      <c r="A39" s="75">
        <f>'09_보상연계'!A29</f>
        <v/>
      </c>
      <c r="B39" s="75">
        <f>'09_보상연계'!B29</f>
        <v/>
      </c>
      <c r="C39" s="69">
        <f>'09_보상연계'!C29</f>
        <v/>
      </c>
      <c r="D39" s="11">
        <f>'09_보상연계'!F29</f>
        <v/>
      </c>
      <c r="E39" s="47">
        <f>'09_보상연계'!P29</f>
        <v/>
      </c>
      <c r="F39" s="47">
        <f>'09_보상연계'!M29</f>
        <v/>
      </c>
      <c r="G39" s="47">
        <f>'09_보상연계'!N29</f>
        <v/>
      </c>
      <c r="H39" s="14">
        <f>IF(E39="","",IF(E39&lt;F39,"⬇ Min 미달",IF(E39&gt;G39,"⬆ Max 초과","✓ 범위 내")))</f>
        <v/>
      </c>
      <c r="I39" s="127">
        <f>IF(E39="","",IF(E39&lt;F39,F39-E39,IF(E39&gt;G39,E39-G39,0)))</f>
        <v/>
      </c>
    </row>
    <row r="40" ht="22.05" customHeight="1" s="86">
      <c r="A40" s="75">
        <f>'09_보상연계'!A30</f>
        <v/>
      </c>
      <c r="B40" s="75">
        <f>'09_보상연계'!B30</f>
        <v/>
      </c>
      <c r="C40" s="69">
        <f>'09_보상연계'!C30</f>
        <v/>
      </c>
      <c r="D40" s="11">
        <f>'09_보상연계'!F30</f>
        <v/>
      </c>
      <c r="E40" s="47">
        <f>'09_보상연계'!P30</f>
        <v/>
      </c>
      <c r="F40" s="47">
        <f>'09_보상연계'!M30</f>
        <v/>
      </c>
      <c r="G40" s="47">
        <f>'09_보상연계'!N30</f>
        <v/>
      </c>
      <c r="H40" s="14">
        <f>IF(E40="","",IF(E40&lt;F40,"⬇ Min 미달",IF(E40&gt;G40,"⬆ Max 초과","✓ 범위 내")))</f>
        <v/>
      </c>
      <c r="I40" s="127">
        <f>IF(E40="","",IF(E40&lt;F40,F40-E40,IF(E40&gt;G40,E40-G40,0)))</f>
        <v/>
      </c>
    </row>
    <row r="41" ht="22.05" customHeight="1" s="86">
      <c r="A41" s="75">
        <f>'09_보상연계'!A31</f>
        <v/>
      </c>
      <c r="B41" s="75">
        <f>'09_보상연계'!B31</f>
        <v/>
      </c>
      <c r="C41" s="69">
        <f>'09_보상연계'!C31</f>
        <v/>
      </c>
      <c r="D41" s="11">
        <f>'09_보상연계'!F31</f>
        <v/>
      </c>
      <c r="E41" s="47">
        <f>'09_보상연계'!P31</f>
        <v/>
      </c>
      <c r="F41" s="47">
        <f>'09_보상연계'!M31</f>
        <v/>
      </c>
      <c r="G41" s="47">
        <f>'09_보상연계'!N31</f>
        <v/>
      </c>
      <c r="H41" s="14">
        <f>IF(E41="","",IF(E41&lt;F41,"⬇ Min 미달",IF(E41&gt;G41,"⬆ Max 초과","✓ 범위 내")))</f>
        <v/>
      </c>
      <c r="I41" s="127">
        <f>IF(E41="","",IF(E41&lt;F41,F41-E41,IF(E41&gt;G41,E41-G41,0)))</f>
        <v/>
      </c>
    </row>
    <row r="42" ht="22.05" customHeight="1" s="86">
      <c r="A42" s="75">
        <f>'09_보상연계'!A32</f>
        <v/>
      </c>
      <c r="B42" s="75">
        <f>'09_보상연계'!B32</f>
        <v/>
      </c>
      <c r="C42" s="69">
        <f>'09_보상연계'!C32</f>
        <v/>
      </c>
      <c r="D42" s="11">
        <f>'09_보상연계'!F32</f>
        <v/>
      </c>
      <c r="E42" s="47">
        <f>'09_보상연계'!P32</f>
        <v/>
      </c>
      <c r="F42" s="47">
        <f>'09_보상연계'!M32</f>
        <v/>
      </c>
      <c r="G42" s="47">
        <f>'09_보상연계'!N32</f>
        <v/>
      </c>
      <c r="H42" s="14">
        <f>IF(E42="","",IF(E42&lt;F42,"⬇ Min 미달",IF(E42&gt;G42,"⬆ Max 초과","✓ 범위 내")))</f>
        <v/>
      </c>
      <c r="I42" s="127">
        <f>IF(E42="","",IF(E42&lt;F42,F42-E42,IF(E42&gt;G42,E42-G42,0)))</f>
        <v/>
      </c>
    </row>
    <row r="43" ht="22.05" customHeight="1" s="86">
      <c r="A43" s="75">
        <f>'09_보상연계'!A33</f>
        <v/>
      </c>
      <c r="B43" s="75">
        <f>'09_보상연계'!B33</f>
        <v/>
      </c>
      <c r="C43" s="69">
        <f>'09_보상연계'!C33</f>
        <v/>
      </c>
      <c r="D43" s="11">
        <f>'09_보상연계'!F33</f>
        <v/>
      </c>
      <c r="E43" s="47">
        <f>'09_보상연계'!P33</f>
        <v/>
      </c>
      <c r="F43" s="47">
        <f>'09_보상연계'!M33</f>
        <v/>
      </c>
      <c r="G43" s="47">
        <f>'09_보상연계'!N33</f>
        <v/>
      </c>
      <c r="H43" s="14">
        <f>IF(E43="","",IF(E43&lt;F43,"⬇ Min 미달",IF(E43&gt;G43,"⬆ Max 초과","✓ 범위 내")))</f>
        <v/>
      </c>
      <c r="I43" s="127">
        <f>IF(E43="","",IF(E43&lt;F43,F43-E43,IF(E43&gt;G43,E43-G43,0)))</f>
        <v/>
      </c>
    </row>
    <row r="44" ht="22.05" customHeight="1" s="86">
      <c r="A44" s="75">
        <f>'09_보상연계'!A34</f>
        <v/>
      </c>
      <c r="B44" s="75">
        <f>'09_보상연계'!B34</f>
        <v/>
      </c>
      <c r="C44" s="69">
        <f>'09_보상연계'!C34</f>
        <v/>
      </c>
      <c r="D44" s="11">
        <f>'09_보상연계'!F34</f>
        <v/>
      </c>
      <c r="E44" s="47">
        <f>'09_보상연계'!P34</f>
        <v/>
      </c>
      <c r="F44" s="47">
        <f>'09_보상연계'!M34</f>
        <v/>
      </c>
      <c r="G44" s="47">
        <f>'09_보상연계'!N34</f>
        <v/>
      </c>
      <c r="H44" s="14">
        <f>IF(E44="","",IF(E44&lt;F44,"⬇ Min 미달",IF(E44&gt;G44,"⬆ Max 초과","✓ 범위 내")))</f>
        <v/>
      </c>
      <c r="I44" s="127">
        <f>IF(E44="","",IF(E44&lt;F44,F44-E44,IF(E44&gt;G44,E44-G44,0)))</f>
        <v/>
      </c>
    </row>
    <row r="45" ht="22.05" customHeight="1" s="86">
      <c r="A45" s="75">
        <f>'09_보상연계'!A35</f>
        <v/>
      </c>
      <c r="B45" s="75">
        <f>'09_보상연계'!B35</f>
        <v/>
      </c>
      <c r="C45" s="69">
        <f>'09_보상연계'!C35</f>
        <v/>
      </c>
      <c r="D45" s="11">
        <f>'09_보상연계'!F35</f>
        <v/>
      </c>
      <c r="E45" s="47">
        <f>'09_보상연계'!P35</f>
        <v/>
      </c>
      <c r="F45" s="47">
        <f>'09_보상연계'!M35</f>
        <v/>
      </c>
      <c r="G45" s="47">
        <f>'09_보상연계'!N35</f>
        <v/>
      </c>
      <c r="H45" s="14">
        <f>IF(E45="","",IF(E45&lt;F45,"⬇ Min 미달",IF(E45&gt;G45,"⬆ Max 초과","✓ 범위 내")))</f>
        <v/>
      </c>
      <c r="I45" s="127">
        <f>IF(E45="","",IF(E45&lt;F45,F45-E45,IF(E45&gt;G45,E45-G45,0)))</f>
        <v/>
      </c>
    </row>
    <row r="46" ht="22.05" customHeight="1" s="86">
      <c r="A46" s="75">
        <f>'09_보상연계'!A36</f>
        <v/>
      </c>
      <c r="B46" s="75">
        <f>'09_보상연계'!B36</f>
        <v/>
      </c>
      <c r="C46" s="69">
        <f>'09_보상연계'!C36</f>
        <v/>
      </c>
      <c r="D46" s="11">
        <f>'09_보상연계'!F36</f>
        <v/>
      </c>
      <c r="E46" s="47">
        <f>'09_보상연계'!P36</f>
        <v/>
      </c>
      <c r="F46" s="47">
        <f>'09_보상연계'!M36</f>
        <v/>
      </c>
      <c r="G46" s="47">
        <f>'09_보상연계'!N36</f>
        <v/>
      </c>
      <c r="H46" s="14">
        <f>IF(E46="","",IF(E46&lt;F46,"⬇ Min 미달",IF(E46&gt;G46,"⬆ Max 초과","✓ 범위 내")))</f>
        <v/>
      </c>
      <c r="I46" s="127">
        <f>IF(E46="","",IF(E46&lt;F46,F46-E46,IF(E46&gt;G46,E46-G46,0)))</f>
        <v/>
      </c>
    </row>
    <row r="47" ht="22.05" customHeight="1" s="86">
      <c r="A47" s="75">
        <f>'09_보상연계'!A37</f>
        <v/>
      </c>
      <c r="B47" s="75">
        <f>'09_보상연계'!B37</f>
        <v/>
      </c>
      <c r="C47" s="69">
        <f>'09_보상연계'!C37</f>
        <v/>
      </c>
      <c r="D47" s="11">
        <f>'09_보상연계'!F37</f>
        <v/>
      </c>
      <c r="E47" s="47">
        <f>'09_보상연계'!P37</f>
        <v/>
      </c>
      <c r="F47" s="47">
        <f>'09_보상연계'!M37</f>
        <v/>
      </c>
      <c r="G47" s="47">
        <f>'09_보상연계'!N37</f>
        <v/>
      </c>
      <c r="H47" s="14">
        <f>IF(E47="","",IF(E47&lt;F47,"⬇ Min 미달",IF(E47&gt;G47,"⬆ Max 초과","✓ 범위 내")))</f>
        <v/>
      </c>
      <c r="I47" s="127">
        <f>IF(E47="","",IF(E47&lt;F47,F47-E47,IF(E47&gt;G47,E47-G47,0)))</f>
        <v/>
      </c>
    </row>
    <row r="48" ht="22.05" customHeight="1" s="86">
      <c r="A48" s="75">
        <f>'09_보상연계'!A38</f>
        <v/>
      </c>
      <c r="B48" s="75">
        <f>'09_보상연계'!B38</f>
        <v/>
      </c>
      <c r="C48" s="69">
        <f>'09_보상연계'!C38</f>
        <v/>
      </c>
      <c r="D48" s="11">
        <f>'09_보상연계'!F38</f>
        <v/>
      </c>
      <c r="E48" s="47">
        <f>'09_보상연계'!P38</f>
        <v/>
      </c>
      <c r="F48" s="47">
        <f>'09_보상연계'!M38</f>
        <v/>
      </c>
      <c r="G48" s="47">
        <f>'09_보상연계'!N38</f>
        <v/>
      </c>
      <c r="H48" s="14">
        <f>IF(E48="","",IF(E48&lt;F48,"⬇ Min 미달",IF(E48&gt;G48,"⬆ Max 초과","✓ 범위 내")))</f>
        <v/>
      </c>
      <c r="I48" s="127">
        <f>IF(E48="","",IF(E48&lt;F48,F48-E48,IF(E48&gt;G48,E48-G48,0)))</f>
        <v/>
      </c>
    </row>
    <row r="49" ht="22.05" customHeight="1" s="86">
      <c r="A49" s="75">
        <f>'09_보상연계'!A39</f>
        <v/>
      </c>
      <c r="B49" s="75">
        <f>'09_보상연계'!B39</f>
        <v/>
      </c>
      <c r="C49" s="69">
        <f>'09_보상연계'!C39</f>
        <v/>
      </c>
      <c r="D49" s="11">
        <f>'09_보상연계'!F39</f>
        <v/>
      </c>
      <c r="E49" s="47">
        <f>'09_보상연계'!P39</f>
        <v/>
      </c>
      <c r="F49" s="47">
        <f>'09_보상연계'!M39</f>
        <v/>
      </c>
      <c r="G49" s="47">
        <f>'09_보상연계'!N39</f>
        <v/>
      </c>
      <c r="H49" s="14">
        <f>IF(E49="","",IF(E49&lt;F49,"⬇ Min 미달",IF(E49&gt;G49,"⬆ Max 초과","✓ 범위 내")))</f>
        <v/>
      </c>
      <c r="I49" s="127">
        <f>IF(E49="","",IF(E49&lt;F49,F49-E49,IF(E49&gt;G49,E49-G49,0)))</f>
        <v/>
      </c>
    </row>
  </sheetData>
  <mergeCells count="4">
    <mergeCell ref="A14:L14"/>
    <mergeCell ref="A2:L2"/>
    <mergeCell ref="A1:L1"/>
    <mergeCell ref="A4:L4"/>
  </mergeCells>
  <conditionalFormatting sqref="A16:I49">
    <cfRule type="expression" priority="1" dxfId="12">
      <formula>OR($E16&lt;$F16,$E16&gt;$G16)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FFC000"/>
    <outlinePr summaryBelow="1" summaryRight="1"/>
    <pageSetUpPr/>
  </sheetPr>
  <dimension ref="A1:J30"/>
  <sheetViews>
    <sheetView workbookViewId="0">
      <selection activeCell="A1" sqref="A1:J1"/>
    </sheetView>
  </sheetViews>
  <sheetFormatPr baseColWidth="8" defaultRowHeight="16.9"/>
  <cols>
    <col width="16" customWidth="1" style="86" min="1" max="2"/>
    <col width="10" customWidth="1" style="86" min="3" max="3"/>
    <col width="4" customWidth="1" style="86" min="4" max="4"/>
    <col width="14" customWidth="1" style="86" min="5" max="5"/>
    <col width="8" customWidth="1" style="86" min="6" max="6"/>
    <col width="12" customWidth="1" style="86" min="7" max="7"/>
    <col width="14" customWidth="1" style="86" min="8" max="8"/>
    <col width="10" customWidth="1" style="86" min="9" max="10"/>
  </cols>
  <sheetData>
    <row r="1" ht="28.05" customHeight="1" s="86">
      <c r="A1" s="82" t="inlineStr">
        <is>
          <t>End-to-End 시뮬레이션 대시보드</t>
        </is>
      </c>
      <c r="B1" s="66" t="n"/>
      <c r="C1" s="66" t="n"/>
      <c r="D1" s="66" t="n"/>
      <c r="E1" s="66" t="n"/>
      <c r="F1" s="66" t="n"/>
      <c r="G1" s="66" t="n"/>
      <c r="H1" s="66" t="n"/>
      <c r="I1" s="66" t="n"/>
      <c r="J1" s="67" t="n"/>
    </row>
    <row r="2">
      <c r="A2" s="80" t="inlineStr">
        <is>
          <t>07a/07b에 등급 입력 시 모든 시트가 갱신되어 여기에 종합 요약. 변경 시뮬레이션 확인용.</t>
        </is>
      </c>
      <c r="B2" s="66" t="n"/>
      <c r="C2" s="66" t="n"/>
      <c r="D2" s="66" t="n"/>
      <c r="E2" s="66" t="n"/>
      <c r="F2" s="66" t="n"/>
      <c r="G2" s="66" t="n"/>
      <c r="H2" s="66" t="n"/>
      <c r="I2" s="66" t="n"/>
      <c r="J2" s="67" t="n"/>
    </row>
    <row r="4">
      <c r="A4" s="83" t="inlineStr">
        <is>
          <t>▶ 종합 요약</t>
        </is>
      </c>
      <c r="B4" s="66" t="n"/>
      <c r="C4" s="66" t="n"/>
      <c r="D4" s="66" t="n"/>
      <c r="E4" s="66" t="n"/>
      <c r="F4" s="66" t="n"/>
      <c r="G4" s="66" t="n"/>
      <c r="H4" s="66" t="n"/>
      <c r="I4" s="66" t="n"/>
      <c r="J4" s="67" t="n"/>
    </row>
    <row r="5" ht="19.15" customHeight="1" s="86">
      <c r="A5" s="2" t="inlineStr">
        <is>
          <t>총 인원</t>
        </is>
      </c>
      <c r="B5" s="54">
        <f>COUNTA('01_인적정보'!C6:C65)</f>
        <v/>
      </c>
    </row>
    <row r="6" ht="19.15" customHeight="1" s="86">
      <c r="A6" s="2" t="inlineStr">
        <is>
          <t>연봉 총액(현재)</t>
        </is>
      </c>
      <c r="B6" s="55">
        <f>SUM('09_보상연계'!G6:G39)</f>
        <v/>
      </c>
    </row>
    <row r="7" ht="19.15" customHeight="1" s="86">
      <c r="A7" s="2" t="inlineStr">
        <is>
          <t>연봉 총액(인상후)</t>
        </is>
      </c>
      <c r="B7" s="55">
        <f>'09_보상연계'!P41</f>
        <v/>
      </c>
    </row>
    <row r="8" ht="19.15" customHeight="1" s="86">
      <c r="A8" s="2" t="inlineStr">
        <is>
          <t>총 인상액</t>
        </is>
      </c>
      <c r="B8" s="55">
        <f>'09_보상연계'!Q41</f>
        <v/>
      </c>
    </row>
    <row r="9" ht="19.15" customHeight="1" s="86">
      <c r="A9" s="2" t="inlineStr">
        <is>
          <t>인상률 (평균)</t>
        </is>
      </c>
      <c r="B9" s="128">
        <f>IFERROR('09_보상연계'!Q41/'09_보상연계'!G41,0)</f>
        <v/>
      </c>
    </row>
    <row r="10" ht="19.15" customHeight="1" s="86">
      <c r="A10" s="2" t="inlineStr">
        <is>
          <t>성과급 재원</t>
        </is>
      </c>
      <c r="B10" s="55">
        <f>'10_성과급관리'!L44</f>
        <v/>
      </c>
    </row>
    <row r="11" ht="19.15" customHeight="1" s="86">
      <c r="A11" s="2" t="inlineStr">
        <is>
          <t>페이밴드 이탈자</t>
        </is>
      </c>
      <c r="B11" s="54">
        <f>SUM('11_페이밴드검증'!H6:H12)</f>
        <v/>
      </c>
    </row>
    <row r="14">
      <c r="A14" s="83" t="inlineStr">
        <is>
          <t>▶ 평가 등급 분포 (전사)</t>
        </is>
      </c>
      <c r="B14" s="66" t="n"/>
      <c r="C14" s="66" t="n"/>
      <c r="D14" s="66" t="n"/>
      <c r="E14" s="66" t="n"/>
      <c r="F14" s="66" t="n"/>
      <c r="G14" s="66" t="n"/>
      <c r="H14" s="66" t="n"/>
      <c r="I14" s="66" t="n"/>
      <c r="J14" s="67" t="n"/>
    </row>
    <row r="15">
      <c r="A15" s="71" t="inlineStr">
        <is>
          <t>등급</t>
        </is>
      </c>
      <c r="B15" s="71" t="inlineStr">
        <is>
          <t>인원수</t>
        </is>
      </c>
      <c r="C15" s="71" t="inlineStr">
        <is>
          <t>비율</t>
        </is>
      </c>
    </row>
    <row r="16">
      <c r="A16" s="33" t="inlineStr">
        <is>
          <t>S</t>
        </is>
      </c>
      <c r="B16" s="13">
        <f>COUNTIF('08_종합평가'!U6:U39,"S")</f>
        <v/>
      </c>
      <c r="C16" s="104">
        <f>IFERROR(B16/SUM($B$16:$B$20),0)</f>
        <v/>
      </c>
    </row>
    <row r="17">
      <c r="A17" s="34" t="inlineStr">
        <is>
          <t>A</t>
        </is>
      </c>
      <c r="B17" s="13">
        <f>COUNTIF('08_종합평가'!U6:U39,"A")</f>
        <v/>
      </c>
      <c r="C17" s="104">
        <f>IFERROR(B17/SUM($B$16:$B$20),0)</f>
        <v/>
      </c>
    </row>
    <row r="18">
      <c r="A18" s="35" t="inlineStr">
        <is>
          <t>B</t>
        </is>
      </c>
      <c r="B18" s="13">
        <f>COUNTIF('08_종합평가'!U6:U39,"B")</f>
        <v/>
      </c>
      <c r="C18" s="104">
        <f>IFERROR(B18/SUM($B$16:$B$20),0)</f>
        <v/>
      </c>
    </row>
    <row r="19">
      <c r="A19" s="36" t="inlineStr">
        <is>
          <t>C</t>
        </is>
      </c>
      <c r="B19" s="13">
        <f>COUNTIF('08_종합평가'!U6:U39,"C")</f>
        <v/>
      </c>
      <c r="C19" s="104">
        <f>IFERROR(B19/SUM($B$16:$B$20),0)</f>
        <v/>
      </c>
    </row>
    <row r="20">
      <c r="A20" s="37" t="inlineStr">
        <is>
          <t>D</t>
        </is>
      </c>
      <c r="B20" s="13">
        <f>COUNTIF('08_종합평가'!U6:U39,"D")</f>
        <v/>
      </c>
      <c r="C20" s="104">
        <f>IFERROR(B20/SUM($B$16:$B$20),0)</f>
        <v/>
      </c>
    </row>
    <row r="23">
      <c r="A23" s="83" t="inlineStr">
        <is>
          <t>▶ 부서별 평균 인상률</t>
        </is>
      </c>
      <c r="B23" s="66" t="n"/>
      <c r="C23" s="66" t="n"/>
      <c r="D23" s="66" t="n"/>
      <c r="E23" s="66" t="n"/>
      <c r="F23" s="66" t="n"/>
      <c r="G23" s="66" t="n"/>
      <c r="H23" s="66" t="n"/>
      <c r="I23" s="66" t="n"/>
      <c r="J23" s="67" t="n"/>
    </row>
    <row r="24" ht="67.5" customHeight="1" s="86">
      <c r="A24" s="71" t="inlineStr">
        <is>
          <t>부서</t>
        </is>
      </c>
      <c r="B24" s="71" t="inlineStr">
        <is>
          <t>인원</t>
        </is>
      </c>
      <c r="C24" s="71" t="inlineStr">
        <is>
          <t>평균 인상률</t>
        </is>
      </c>
      <c r="D24" s="71" t="inlineStr">
        <is>
          <t>총 인상액</t>
        </is>
      </c>
    </row>
    <row r="25">
      <c r="A25" s="10" t="inlineStr">
        <is>
          <t>R&amp;D본부</t>
        </is>
      </c>
      <c r="B25" s="13">
        <f>COUNTIF('09_보상연계'!E6:E39,"R&amp;D본부")</f>
        <v/>
      </c>
      <c r="C25" s="104">
        <f>IFERROR(AVERAGEIFS('09_보상연계'!L6:L39,'09_보상연계'!E6:E39,"R&amp;D본부"),"")</f>
        <v/>
      </c>
      <c r="D25" s="47">
        <f>SUMIFS('09_보상연계'!Q6:Q39,'09_보상연계'!E6:E39,"R&amp;D본부")</f>
        <v/>
      </c>
    </row>
    <row r="26">
      <c r="A26" s="10" t="inlineStr">
        <is>
          <t>경영전략실</t>
        </is>
      </c>
      <c r="B26" s="13">
        <f>COUNTIF('09_보상연계'!E6:E39,"경영전략실")</f>
        <v/>
      </c>
      <c r="C26" s="104">
        <f>IFERROR(AVERAGEIFS('09_보상연계'!L6:L39,'09_보상연계'!E6:E39,"경영전략실"),"")</f>
        <v/>
      </c>
      <c r="D26" s="47">
        <f>SUMIFS('09_보상연계'!Q6:Q39,'09_보상연계'!E6:E39,"경영전략실")</f>
        <v/>
      </c>
    </row>
    <row r="27">
      <c r="A27" s="10" t="inlineStr">
        <is>
          <t>마케팅팀</t>
        </is>
      </c>
      <c r="B27" s="13">
        <f>COUNTIF('09_보상연계'!E6:E39,"마케팅팀")</f>
        <v/>
      </c>
      <c r="C27" s="104">
        <f>IFERROR(AVERAGEIFS('09_보상연계'!L6:L39,'09_보상연계'!E6:E39,"마케팅팀"),"")</f>
        <v/>
      </c>
      <c r="D27" s="47">
        <f>SUMIFS('09_보상연계'!Q6:Q39,'09_보상연계'!E6:E39,"마케팅팀")</f>
        <v/>
      </c>
    </row>
    <row r="28">
      <c r="A28" s="10" t="inlineStr">
        <is>
          <t>솔루션본부</t>
        </is>
      </c>
      <c r="B28" s="13">
        <f>COUNTIF('09_보상연계'!E6:E39,"솔루션본부")</f>
        <v/>
      </c>
      <c r="C28" s="104">
        <f>IFERROR(AVERAGEIFS('09_보상연계'!L6:L39,'09_보상연계'!E6:E39,"솔루션본부"),"")</f>
        <v/>
      </c>
      <c r="D28" s="47">
        <f>SUMIFS('09_보상연계'!Q6:Q39,'09_보상연계'!E6:E39,"솔루션본부")</f>
        <v/>
      </c>
    </row>
    <row r="29">
      <c r="A29" s="10" t="inlineStr">
        <is>
          <t>스마트사업부</t>
        </is>
      </c>
      <c r="B29" s="13">
        <f>COUNTIF('09_보상연계'!E6:E39,"스마트사업부")</f>
        <v/>
      </c>
      <c r="C29" s="104">
        <f>IFERROR(AVERAGEIFS('09_보상연계'!L6:L39,'09_보상연계'!E6:E39,"스마트사업부"),"")</f>
        <v/>
      </c>
      <c r="D29" s="47">
        <f>SUMIFS('09_보상연계'!Q6:Q39,'09_보상연계'!E6:E39,"스마트사업부")</f>
        <v/>
      </c>
    </row>
    <row r="30">
      <c r="A30" s="10" t="inlineStr">
        <is>
          <t>컨설팅본부</t>
        </is>
      </c>
      <c r="B30" s="13">
        <f>COUNTIF('09_보상연계'!E6:E39,"컨설팅본부")</f>
        <v/>
      </c>
      <c r="C30" s="104">
        <f>IFERROR(AVERAGEIFS('09_보상연계'!L6:L39,'09_보상연계'!E6:E39,"컨설팅본부"),"")</f>
        <v/>
      </c>
      <c r="D30" s="47">
        <f>SUMIFS('09_보상연계'!Q6:Q39,'09_보상연계'!E6:E39,"컨설팅본부")</f>
        <v/>
      </c>
    </row>
  </sheetData>
  <mergeCells count="5">
    <mergeCell ref="A1:J1"/>
    <mergeCell ref="A23:J23"/>
    <mergeCell ref="A14:J14"/>
    <mergeCell ref="A4:J4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808080"/>
    <outlinePr summaryBelow="1" summaryRight="1"/>
    <pageSetUpPr/>
  </sheetPr>
  <dimension ref="A1:J54"/>
  <sheetViews>
    <sheetView workbookViewId="0">
      <pane ySplit="5" topLeftCell="A6" activePane="bottomLeft" state="frozen"/>
      <selection pane="bottomLeft" activeCell="A1" sqref="A1:J1"/>
    </sheetView>
  </sheetViews>
  <sheetFormatPr baseColWidth="8" defaultRowHeight="16.9"/>
  <cols>
    <col width="22" customWidth="1" style="86" min="1" max="1"/>
    <col width="14" customWidth="1" style="86" min="2" max="2"/>
    <col width="9" customWidth="1" style="86" min="3" max="3"/>
    <col width="18" customWidth="1" style="86" min="4" max="4"/>
    <col width="60" customWidth="1" style="86" min="5" max="5"/>
    <col width="28" customWidth="1" style="86" min="6" max="7"/>
    <col width="10" customWidth="1" style="86" min="8" max="8"/>
  </cols>
  <sheetData>
    <row r="1" ht="28.05" customHeight="1" s="86">
      <c r="A1" s="82" t="inlineStr">
        <is>
          <t>직무·역할등급 정의 데이터베이스</t>
        </is>
      </c>
      <c r="B1" s="66" t="n"/>
      <c r="C1" s="66" t="n"/>
      <c r="D1" s="66" t="n"/>
      <c r="E1" s="66" t="n"/>
      <c r="F1" s="66" t="n"/>
      <c r="G1" s="66" t="n"/>
      <c r="H1" s="66" t="n"/>
      <c r="I1" s="66" t="n"/>
      <c r="J1" s="67" t="n"/>
    </row>
    <row r="2">
      <c r="A2" s="80" t="inlineStr">
        <is>
          <t>직무 × 역할등급(G1~G6) 마스터. 모든 시트가 조회키(직무_등급)로 VLOOKUP 참조</t>
        </is>
      </c>
      <c r="B2" s="66" t="n"/>
      <c r="C2" s="66" t="n"/>
      <c r="D2" s="66" t="n"/>
      <c r="E2" s="66" t="n"/>
      <c r="F2" s="66" t="n"/>
      <c r="G2" s="66" t="n"/>
      <c r="H2" s="66" t="n"/>
      <c r="I2" s="66" t="n"/>
      <c r="J2" s="67" t="n"/>
    </row>
    <row r="5" ht="30" customHeight="1" s="86">
      <c r="A5" s="15" t="inlineStr">
        <is>
          <t>조회키</t>
        </is>
      </c>
      <c r="B5" s="15" t="inlineStr">
        <is>
          <t>직무</t>
        </is>
      </c>
      <c r="C5" s="15" t="inlineStr">
        <is>
          <t>역할등급</t>
        </is>
      </c>
      <c r="D5" s="15" t="inlineStr">
        <is>
          <t>역할명</t>
        </is>
      </c>
      <c r="E5" s="15" t="inlineStr">
        <is>
          <t>역할 정의</t>
        </is>
      </c>
      <c r="F5" s="15" t="inlineStr">
        <is>
          <t>책임범위</t>
        </is>
      </c>
      <c r="G5" s="15" t="inlineStr">
        <is>
          <t>권한 수준</t>
        </is>
      </c>
      <c r="H5" s="15" t="inlineStr">
        <is>
          <t>표준연한</t>
        </is>
      </c>
    </row>
    <row r="6" ht="50" customHeight="1" s="86">
      <c r="A6" s="75" t="inlineStr">
        <is>
          <t>경영전략기획_G6</t>
        </is>
      </c>
      <c r="B6" s="85" t="inlineStr">
        <is>
          <t>경영전략기획</t>
        </is>
      </c>
      <c r="C6" s="19" t="inlineStr">
        <is>
          <t>G6</t>
        </is>
      </c>
      <c r="D6" s="10" t="inlineStr">
        <is>
          <t>사업·조직 관리</t>
        </is>
      </c>
      <c r="E6" s="85" t="inlineStr">
        <is>
          <t>회사의 비전과 중장기 전략을 총괄하며, 경영·인사·재무·마케팅 등 핵심 기능을 통합 관리하고, 전사 의사결정·대외 협력·리스크 관리를 주도</t>
        </is>
      </c>
      <c r="F6" s="85" t="inlineStr">
        <is>
          <t>전사 KPI 달성, 손익 책임</t>
        </is>
      </c>
      <c r="G6" s="85" t="inlineStr">
        <is>
          <t>전사 의사결정, 예산 편성, 인력 승인</t>
        </is>
      </c>
      <c r="H6" s="12" t="inlineStr">
        <is>
          <t>5년 이상</t>
        </is>
      </c>
    </row>
    <row r="7" ht="50" customHeight="1" s="86">
      <c r="A7" s="75" t="inlineStr">
        <is>
          <t>경영전략기획_G5-M</t>
        </is>
      </c>
      <c r="B7" s="85" t="inlineStr">
        <is>
          <t>경영전략기획</t>
        </is>
      </c>
      <c r="C7" s="19" t="inlineStr">
        <is>
          <t>G5-M</t>
        </is>
      </c>
      <c r="D7" s="10" t="inlineStr">
        <is>
          <t>직무 관리(부서장)</t>
        </is>
      </c>
      <c r="E7" s="85" t="inlineStr">
        <is>
          <t>부서 전략 및 목표를 수립하고, 자원 배분·예산 관리·성과 관리를 통해 조직 성과 달성을 책임지고, 부서 내 의사결정을 주도</t>
        </is>
      </c>
      <c r="F7" s="85" t="inlineStr">
        <is>
          <t>부서 KPI 달성 책임</t>
        </is>
      </c>
      <c r="G7" s="85" t="inlineStr">
        <is>
          <t>부서 의사결정, 예산 배분, 채용/승진 제안</t>
        </is>
      </c>
      <c r="H7" s="12" t="inlineStr">
        <is>
          <t>4년 이상</t>
        </is>
      </c>
    </row>
    <row r="8" ht="50" customHeight="1" s="86">
      <c r="A8" s="75" t="inlineStr">
        <is>
          <t>경영전략기획_G5-S</t>
        </is>
      </c>
      <c r="B8" s="85" t="inlineStr">
        <is>
          <t>경영전략기획</t>
        </is>
      </c>
      <c r="C8" s="19" t="inlineStr">
        <is>
          <t>G5-S</t>
        </is>
      </c>
      <c r="D8" s="10" t="inlineStr">
        <is>
          <t>실무 스페셜리스트</t>
        </is>
      </c>
      <c r="E8" s="85" t="inlineStr">
        <is>
          <t>직무 최고 수준의 전문성과 현장 경험을 기반으로, 복잡하고 고난이도의 프로젝트를 성공적으로 수행하며 내부 기술 자산화·전파를 주도</t>
        </is>
      </c>
      <c r="F8" s="85" t="inlineStr">
        <is>
          <t>핵심 기술/과제 성과 책임</t>
        </is>
      </c>
      <c r="G8" s="85" t="inlineStr">
        <is>
          <t>전문 영역 의사결정</t>
        </is>
      </c>
      <c r="H8" s="12" t="inlineStr">
        <is>
          <t>4년 이상</t>
        </is>
      </c>
    </row>
    <row r="9" ht="50" customHeight="1" s="86">
      <c r="A9" s="75" t="inlineStr">
        <is>
          <t>경영전략기획_G4</t>
        </is>
      </c>
      <c r="B9" s="85" t="inlineStr">
        <is>
          <t>경영전략기획</t>
        </is>
      </c>
      <c r="C9" s="19" t="inlineStr">
        <is>
          <t>G4</t>
        </is>
      </c>
      <c r="D9" s="10" t="inlineStr">
        <is>
          <t>실무 책임(PM)</t>
        </is>
      </c>
      <c r="E9" s="85" t="inlineStr">
        <is>
          <t>단위 프로젝트의 전략 수립·추진을 주도하며, 예산·일정·품질 등 목표 달성을 책임지고 성과를 보고</t>
        </is>
      </c>
      <c r="F9" s="85" t="inlineStr">
        <is>
          <t>프로젝트 성과 책임</t>
        </is>
      </c>
      <c r="G9" s="85" t="inlineStr">
        <is>
          <t>프로젝트 의사결정, 예산 집행</t>
        </is>
      </c>
      <c r="H9" s="12" t="inlineStr">
        <is>
          <t>3년 이상</t>
        </is>
      </c>
    </row>
    <row r="10" ht="50" customHeight="1" s="86">
      <c r="A10" s="75" t="inlineStr">
        <is>
          <t>경영전략기획_G3</t>
        </is>
      </c>
      <c r="B10" s="85" t="inlineStr">
        <is>
          <t>경영전략기획</t>
        </is>
      </c>
      <c r="C10" s="19" t="inlineStr">
        <is>
          <t>G3</t>
        </is>
      </c>
      <c r="D10" s="10" t="inlineStr">
        <is>
          <t>핵심 실무</t>
        </is>
      </c>
      <c r="E10" s="85" t="inlineStr">
        <is>
          <t>전문 지식과 기술을 활용해 프로젝트 핵심 과업을 기획·수행하며, 산출물 품질과 일정 준수를 책임지는 중추적 역할</t>
        </is>
      </c>
      <c r="F10" s="85" t="inlineStr">
        <is>
          <t>모듈/과업 성과</t>
        </is>
      </c>
      <c r="G10" s="85" t="inlineStr">
        <is>
          <t>모듈 범위 자율</t>
        </is>
      </c>
      <c r="H10" s="12" t="inlineStr">
        <is>
          <t>3년 이상</t>
        </is>
      </c>
    </row>
    <row r="11" ht="50" customHeight="1" s="86">
      <c r="A11" s="75" t="inlineStr">
        <is>
          <t>경영전략기획_G2</t>
        </is>
      </c>
      <c r="B11" s="85" t="inlineStr">
        <is>
          <t>경영전략기획</t>
        </is>
      </c>
      <c r="C11" s="19" t="inlineStr">
        <is>
          <t>G2</t>
        </is>
      </c>
      <c r="D11" s="10" t="inlineStr">
        <is>
          <t>실무</t>
        </is>
      </c>
      <c r="E11" s="85" t="inlineStr">
        <is>
          <t>프로젝트 계획에 따라 독립적·자율적으로 세부 과업을 계획·수행하며, 완성도 있는 산출물을 도출</t>
        </is>
      </c>
      <c r="F11" s="85" t="inlineStr">
        <is>
          <t>개별 과업 성과</t>
        </is>
      </c>
      <c r="G11" s="85" t="inlineStr">
        <is>
          <t>과업 범위 자율</t>
        </is>
      </c>
      <c r="H11" s="12" t="inlineStr">
        <is>
          <t>2년 이상</t>
        </is>
      </c>
    </row>
    <row r="12" ht="50" customHeight="1" s="86">
      <c r="A12" s="75" t="inlineStr">
        <is>
          <t>경영전략기획_G1</t>
        </is>
      </c>
      <c r="B12" s="85" t="inlineStr">
        <is>
          <t>경영전략기획</t>
        </is>
      </c>
      <c r="C12" s="19" t="inlineStr">
        <is>
          <t>G1</t>
        </is>
      </c>
      <c r="D12" s="10" t="inlineStr">
        <is>
          <t>실무 보조</t>
        </is>
      </c>
      <c r="E12" s="85" t="inlineStr">
        <is>
          <t>실무에 대한 이해와 과업 수행에 필요한 기술·지식을 습득하며, 프로젝트 진행 과정에서 기본적인 과업을 보조</t>
        </is>
      </c>
      <c r="F12" s="85" t="inlineStr">
        <is>
          <t>학습/보조 수행도</t>
        </is>
      </c>
      <c r="G12" s="85" t="inlineStr">
        <is>
          <t>제한적 권한</t>
        </is>
      </c>
      <c r="H12" s="12" t="inlineStr">
        <is>
          <t>1년 이상</t>
        </is>
      </c>
    </row>
    <row r="13" ht="50" customHeight="1" s="86">
      <c r="A13" s="75" t="inlineStr">
        <is>
          <t>프로젝트영업_G6</t>
        </is>
      </c>
      <c r="B13" s="85" t="inlineStr">
        <is>
          <t>프로젝트영업</t>
        </is>
      </c>
      <c r="C13" s="19" t="inlineStr">
        <is>
          <t>G6</t>
        </is>
      </c>
      <c r="D13" s="10" t="inlineStr">
        <is>
          <t>사업·조직 관리</t>
        </is>
      </c>
      <c r="E13" s="85" t="inlineStr">
        <is>
          <t>회사의 비전과 중장기 전략을 총괄하며, 경영·인사·재무·마케팅 등 핵심 기능을 통합 관리하고, 전사 의사결정·대외 협력·리스크 관리를 주도</t>
        </is>
      </c>
      <c r="F13" s="85" t="inlineStr">
        <is>
          <t>전사 KPI 달성, 손익 책임</t>
        </is>
      </c>
      <c r="G13" s="85" t="inlineStr">
        <is>
          <t>전사 의사결정, 예산 편성, 인력 승인</t>
        </is>
      </c>
      <c r="H13" s="12" t="inlineStr">
        <is>
          <t>5년 이상</t>
        </is>
      </c>
    </row>
    <row r="14" ht="50" customHeight="1" s="86">
      <c r="A14" s="75" t="inlineStr">
        <is>
          <t>프로젝트영업_G5-M</t>
        </is>
      </c>
      <c r="B14" s="85" t="inlineStr">
        <is>
          <t>프로젝트영업</t>
        </is>
      </c>
      <c r="C14" s="19" t="inlineStr">
        <is>
          <t>G5-M</t>
        </is>
      </c>
      <c r="D14" s="10" t="inlineStr">
        <is>
          <t>직무 관리(부서장)</t>
        </is>
      </c>
      <c r="E14" s="85" t="inlineStr">
        <is>
          <t>부서 전략 및 목표를 수립하고, 자원 배분·예산 관리·성과 관리를 통해 조직 성과 달성을 책임지고, 부서 내 의사결정을 주도</t>
        </is>
      </c>
      <c r="F14" s="85" t="inlineStr">
        <is>
          <t>부서 KPI 달성 책임</t>
        </is>
      </c>
      <c r="G14" s="85" t="inlineStr">
        <is>
          <t>부서 의사결정, 예산 배분, 채용/승진 제안</t>
        </is>
      </c>
      <c r="H14" s="12" t="inlineStr">
        <is>
          <t>4년 이상</t>
        </is>
      </c>
    </row>
    <row r="15" ht="50" customHeight="1" s="86">
      <c r="A15" s="75" t="inlineStr">
        <is>
          <t>프로젝트영업_G5-S</t>
        </is>
      </c>
      <c r="B15" s="85" t="inlineStr">
        <is>
          <t>프로젝트영업</t>
        </is>
      </c>
      <c r="C15" s="19" t="inlineStr">
        <is>
          <t>G5-S</t>
        </is>
      </c>
      <c r="D15" s="10" t="inlineStr">
        <is>
          <t>실무 스페셜리스트</t>
        </is>
      </c>
      <c r="E15" s="85" t="inlineStr">
        <is>
          <t>직무 최고 수준의 전문성과 현장 경험을 기반으로, 복잡하고 고난이도의 프로젝트를 성공적으로 수행하며 내부 기술 자산화·전파를 주도</t>
        </is>
      </c>
      <c r="F15" s="85" t="inlineStr">
        <is>
          <t>핵심 기술/과제 성과 책임</t>
        </is>
      </c>
      <c r="G15" s="85" t="inlineStr">
        <is>
          <t>전문 영역 의사결정</t>
        </is>
      </c>
      <c r="H15" s="12" t="inlineStr">
        <is>
          <t>4년 이상</t>
        </is>
      </c>
    </row>
    <row r="16" ht="50" customHeight="1" s="86">
      <c r="A16" s="75" t="inlineStr">
        <is>
          <t>프로젝트영업_G4</t>
        </is>
      </c>
      <c r="B16" s="85" t="inlineStr">
        <is>
          <t>프로젝트영업</t>
        </is>
      </c>
      <c r="C16" s="19" t="inlineStr">
        <is>
          <t>G4</t>
        </is>
      </c>
      <c r="D16" s="10" t="inlineStr">
        <is>
          <t>실무 책임(PM)</t>
        </is>
      </c>
      <c r="E16" s="85" t="inlineStr">
        <is>
          <t>단위 프로젝트의 전략 수립·추진을 주도하며, 예산·일정·품질 등 목표 달성을 책임지고 성과를 보고</t>
        </is>
      </c>
      <c r="F16" s="85" t="inlineStr">
        <is>
          <t>프로젝트 성과 책임</t>
        </is>
      </c>
      <c r="G16" s="85" t="inlineStr">
        <is>
          <t>프로젝트 의사결정, 예산 집행</t>
        </is>
      </c>
      <c r="H16" s="12" t="inlineStr">
        <is>
          <t>3년 이상</t>
        </is>
      </c>
    </row>
    <row r="17" ht="50" customHeight="1" s="86">
      <c r="A17" s="75" t="inlineStr">
        <is>
          <t>프로젝트영업_G3</t>
        </is>
      </c>
      <c r="B17" s="85" t="inlineStr">
        <is>
          <t>프로젝트영업</t>
        </is>
      </c>
      <c r="C17" s="19" t="inlineStr">
        <is>
          <t>G3</t>
        </is>
      </c>
      <c r="D17" s="10" t="inlineStr">
        <is>
          <t>핵심 실무</t>
        </is>
      </c>
      <c r="E17" s="85" t="inlineStr">
        <is>
          <t>전문 지식과 기술을 활용해 프로젝트 핵심 과업을 기획·수행하며, 산출물 품질과 일정 준수를 책임지는 중추적 역할</t>
        </is>
      </c>
      <c r="F17" s="85" t="inlineStr">
        <is>
          <t>모듈/과업 성과</t>
        </is>
      </c>
      <c r="G17" s="85" t="inlineStr">
        <is>
          <t>모듈 범위 자율</t>
        </is>
      </c>
      <c r="H17" s="12" t="inlineStr">
        <is>
          <t>3년 이상</t>
        </is>
      </c>
    </row>
    <row r="18" ht="50" customHeight="1" s="86">
      <c r="A18" s="75" t="inlineStr">
        <is>
          <t>프로젝트영업_G2</t>
        </is>
      </c>
      <c r="B18" s="85" t="inlineStr">
        <is>
          <t>프로젝트영업</t>
        </is>
      </c>
      <c r="C18" s="19" t="inlineStr">
        <is>
          <t>G2</t>
        </is>
      </c>
      <c r="D18" s="10" t="inlineStr">
        <is>
          <t>실무</t>
        </is>
      </c>
      <c r="E18" s="85" t="inlineStr">
        <is>
          <t>프로젝트 계획에 따라 독립적·자율적으로 세부 과업을 계획·수행하며, 완성도 있는 산출물을 도출</t>
        </is>
      </c>
      <c r="F18" s="85" t="inlineStr">
        <is>
          <t>개별 과업 성과</t>
        </is>
      </c>
      <c r="G18" s="85" t="inlineStr">
        <is>
          <t>과업 범위 자율</t>
        </is>
      </c>
      <c r="H18" s="12" t="inlineStr">
        <is>
          <t>2년 이상</t>
        </is>
      </c>
    </row>
    <row r="19" ht="50" customHeight="1" s="86">
      <c r="A19" s="75" t="inlineStr">
        <is>
          <t>프로젝트영업_G1</t>
        </is>
      </c>
      <c r="B19" s="85" t="inlineStr">
        <is>
          <t>프로젝트영업</t>
        </is>
      </c>
      <c r="C19" s="19" t="inlineStr">
        <is>
          <t>G1</t>
        </is>
      </c>
      <c r="D19" s="10" t="inlineStr">
        <is>
          <t>실무 보조</t>
        </is>
      </c>
      <c r="E19" s="85" t="inlineStr">
        <is>
          <t>실무에 대한 이해와 과업 수행에 필요한 기술·지식을 습득하며, 프로젝트 진행 과정에서 기본적인 과업을 보조</t>
        </is>
      </c>
      <c r="F19" s="85" t="inlineStr">
        <is>
          <t>학습/보조 수행도</t>
        </is>
      </c>
      <c r="G19" s="85" t="inlineStr">
        <is>
          <t>제한적 권한</t>
        </is>
      </c>
      <c r="H19" s="12" t="inlineStr">
        <is>
          <t>1년 이상</t>
        </is>
      </c>
    </row>
    <row r="20" ht="50" customHeight="1" s="86">
      <c r="A20" s="75" t="inlineStr">
        <is>
          <t>SW판매영업_G6</t>
        </is>
      </c>
      <c r="B20" s="85" t="inlineStr">
        <is>
          <t>SW판매영업</t>
        </is>
      </c>
      <c r="C20" s="19" t="inlineStr">
        <is>
          <t>G6</t>
        </is>
      </c>
      <c r="D20" s="10" t="inlineStr">
        <is>
          <t>사업·조직 관리</t>
        </is>
      </c>
      <c r="E20" s="85" t="inlineStr">
        <is>
          <t>회사의 비전과 중장기 전략을 총괄하며, 경영·인사·재무·마케팅 등 핵심 기능을 통합 관리하고, 전사 의사결정·대외 협력·리스크 관리를 주도</t>
        </is>
      </c>
      <c r="F20" s="85" t="inlineStr">
        <is>
          <t>전사 KPI 달성, 손익 책임</t>
        </is>
      </c>
      <c r="G20" s="85" t="inlineStr">
        <is>
          <t>전사 의사결정, 예산 편성, 인력 승인</t>
        </is>
      </c>
      <c r="H20" s="12" t="inlineStr">
        <is>
          <t>5년 이상</t>
        </is>
      </c>
    </row>
    <row r="21" ht="50" customHeight="1" s="86">
      <c r="A21" s="75" t="inlineStr">
        <is>
          <t>SW판매영업_G5-M</t>
        </is>
      </c>
      <c r="B21" s="85" t="inlineStr">
        <is>
          <t>SW판매영업</t>
        </is>
      </c>
      <c r="C21" s="19" t="inlineStr">
        <is>
          <t>G5-M</t>
        </is>
      </c>
      <c r="D21" s="10" t="inlineStr">
        <is>
          <t>직무 관리(부서장)</t>
        </is>
      </c>
      <c r="E21" s="85" t="inlineStr">
        <is>
          <t>부서 전략 및 목표를 수립하고, 자원 배분·예산 관리·성과 관리를 통해 조직 성과 달성을 책임지고, 부서 내 의사결정을 주도</t>
        </is>
      </c>
      <c r="F21" s="85" t="inlineStr">
        <is>
          <t>부서 KPI 달성 책임</t>
        </is>
      </c>
      <c r="G21" s="85" t="inlineStr">
        <is>
          <t>부서 의사결정, 예산 배분, 채용/승진 제안</t>
        </is>
      </c>
      <c r="H21" s="12" t="inlineStr">
        <is>
          <t>4년 이상</t>
        </is>
      </c>
    </row>
    <row r="22" ht="50" customHeight="1" s="86">
      <c r="A22" s="75" t="inlineStr">
        <is>
          <t>SW판매영업_G5-S</t>
        </is>
      </c>
      <c r="B22" s="85" t="inlineStr">
        <is>
          <t>SW판매영업</t>
        </is>
      </c>
      <c r="C22" s="19" t="inlineStr">
        <is>
          <t>G5-S</t>
        </is>
      </c>
      <c r="D22" s="10" t="inlineStr">
        <is>
          <t>실무 스페셜리스트</t>
        </is>
      </c>
      <c r="E22" s="85" t="inlineStr">
        <is>
          <t>직무 최고 수준의 전문성과 현장 경험을 기반으로, 복잡하고 고난이도의 프로젝트를 성공적으로 수행하며 내부 기술 자산화·전파를 주도</t>
        </is>
      </c>
      <c r="F22" s="85" t="inlineStr">
        <is>
          <t>핵심 기술/과제 성과 책임</t>
        </is>
      </c>
      <c r="G22" s="85" t="inlineStr">
        <is>
          <t>전문 영역 의사결정</t>
        </is>
      </c>
      <c r="H22" s="12" t="inlineStr">
        <is>
          <t>4년 이상</t>
        </is>
      </c>
    </row>
    <row r="23" ht="50" customHeight="1" s="86">
      <c r="A23" s="75" t="inlineStr">
        <is>
          <t>SW판매영업_G4</t>
        </is>
      </c>
      <c r="B23" s="85" t="inlineStr">
        <is>
          <t>SW판매영업</t>
        </is>
      </c>
      <c r="C23" s="19" t="inlineStr">
        <is>
          <t>G4</t>
        </is>
      </c>
      <c r="D23" s="10" t="inlineStr">
        <is>
          <t>실무 책임(PM)</t>
        </is>
      </c>
      <c r="E23" s="85" t="inlineStr">
        <is>
          <t>단위 프로젝트의 전략 수립·추진을 주도하며, 예산·일정·품질 등 목표 달성을 책임지고 성과를 보고</t>
        </is>
      </c>
      <c r="F23" s="85" t="inlineStr">
        <is>
          <t>프로젝트 성과 책임</t>
        </is>
      </c>
      <c r="G23" s="85" t="inlineStr">
        <is>
          <t>프로젝트 의사결정, 예산 집행</t>
        </is>
      </c>
      <c r="H23" s="12" t="inlineStr">
        <is>
          <t>3년 이상</t>
        </is>
      </c>
    </row>
    <row r="24" ht="50" customHeight="1" s="86">
      <c r="A24" s="75" t="inlineStr">
        <is>
          <t>SW판매영업_G3</t>
        </is>
      </c>
      <c r="B24" s="85" t="inlineStr">
        <is>
          <t>SW판매영업</t>
        </is>
      </c>
      <c r="C24" s="19" t="inlineStr">
        <is>
          <t>G3</t>
        </is>
      </c>
      <c r="D24" s="10" t="inlineStr">
        <is>
          <t>핵심 실무</t>
        </is>
      </c>
      <c r="E24" s="85" t="inlineStr">
        <is>
          <t>전문 지식과 기술을 활용해 프로젝트 핵심 과업을 기획·수행하며, 산출물 품질과 일정 준수를 책임지는 중추적 역할</t>
        </is>
      </c>
      <c r="F24" s="85" t="inlineStr">
        <is>
          <t>모듈/과업 성과</t>
        </is>
      </c>
      <c r="G24" s="85" t="inlineStr">
        <is>
          <t>모듈 범위 자율</t>
        </is>
      </c>
      <c r="H24" s="12" t="inlineStr">
        <is>
          <t>3년 이상</t>
        </is>
      </c>
    </row>
    <row r="25" ht="50" customHeight="1" s="86">
      <c r="A25" s="75" t="inlineStr">
        <is>
          <t>SW판매영업_G2</t>
        </is>
      </c>
      <c r="B25" s="85" t="inlineStr">
        <is>
          <t>SW판매영업</t>
        </is>
      </c>
      <c r="C25" s="19" t="inlineStr">
        <is>
          <t>G2</t>
        </is>
      </c>
      <c r="D25" s="10" t="inlineStr">
        <is>
          <t>실무</t>
        </is>
      </c>
      <c r="E25" s="85" t="inlineStr">
        <is>
          <t>프로젝트 계획에 따라 독립적·자율적으로 세부 과업을 계획·수행하며, 완성도 있는 산출물을 도출</t>
        </is>
      </c>
      <c r="F25" s="85" t="inlineStr">
        <is>
          <t>개별 과업 성과</t>
        </is>
      </c>
      <c r="G25" s="85" t="inlineStr">
        <is>
          <t>과업 범위 자율</t>
        </is>
      </c>
      <c r="H25" s="12" t="inlineStr">
        <is>
          <t>2년 이상</t>
        </is>
      </c>
    </row>
    <row r="26" ht="50" customHeight="1" s="86">
      <c r="A26" s="75" t="inlineStr">
        <is>
          <t>SW판매영업_G1</t>
        </is>
      </c>
      <c r="B26" s="85" t="inlineStr">
        <is>
          <t>SW판매영업</t>
        </is>
      </c>
      <c r="C26" s="19" t="inlineStr">
        <is>
          <t>G1</t>
        </is>
      </c>
      <c r="D26" s="10" t="inlineStr">
        <is>
          <t>실무 보조</t>
        </is>
      </c>
      <c r="E26" s="85" t="inlineStr">
        <is>
          <t>실무에 대한 이해와 과업 수행에 필요한 기술·지식을 습득하며, 프로젝트 진행 과정에서 기본적인 과업을 보조</t>
        </is>
      </c>
      <c r="F26" s="85" t="inlineStr">
        <is>
          <t>학습/보조 수행도</t>
        </is>
      </c>
      <c r="G26" s="85" t="inlineStr">
        <is>
          <t>제한적 권한</t>
        </is>
      </c>
      <c r="H26" s="12" t="inlineStr">
        <is>
          <t>1년 이상</t>
        </is>
      </c>
    </row>
    <row r="27" ht="50" customHeight="1" s="86">
      <c r="A27" s="75" t="inlineStr">
        <is>
          <t>BIM컨설팅_G6</t>
        </is>
      </c>
      <c r="B27" s="85" t="inlineStr">
        <is>
          <t>BIM컨설팅</t>
        </is>
      </c>
      <c r="C27" s="19" t="inlineStr">
        <is>
          <t>G6</t>
        </is>
      </c>
      <c r="D27" s="10" t="inlineStr">
        <is>
          <t>사업·조직 관리</t>
        </is>
      </c>
      <c r="E27" s="85" t="inlineStr">
        <is>
          <t>회사의 비전과 중장기 전략을 총괄하며, 경영·인사·재무·마케팅 등 핵심 기능을 통합 관리하고, 전사 의사결정·대외 협력·리스크 관리를 주도</t>
        </is>
      </c>
      <c r="F27" s="85" t="inlineStr">
        <is>
          <t>전사 KPI 달성, 손익 책임</t>
        </is>
      </c>
      <c r="G27" s="85" t="inlineStr">
        <is>
          <t>전사 의사결정, 예산 편성, 인력 승인</t>
        </is>
      </c>
      <c r="H27" s="12" t="inlineStr">
        <is>
          <t>5년 이상</t>
        </is>
      </c>
    </row>
    <row r="28" ht="50" customHeight="1" s="86">
      <c r="A28" s="75" t="inlineStr">
        <is>
          <t>BIM컨설팅_G5-M</t>
        </is>
      </c>
      <c r="B28" s="85" t="inlineStr">
        <is>
          <t>BIM컨설팅</t>
        </is>
      </c>
      <c r="C28" s="19" t="inlineStr">
        <is>
          <t>G5-M</t>
        </is>
      </c>
      <c r="D28" s="10" t="inlineStr">
        <is>
          <t>직무 관리(부서장)</t>
        </is>
      </c>
      <c r="E28" s="85" t="inlineStr">
        <is>
          <t>부서 전략 및 목표를 수립하고, 자원 배분·예산 관리·성과 관리를 통해 조직 성과 달성을 책임지고, 부서 내 의사결정을 주도</t>
        </is>
      </c>
      <c r="F28" s="85" t="inlineStr">
        <is>
          <t>부서 KPI 달성 책임</t>
        </is>
      </c>
      <c r="G28" s="85" t="inlineStr">
        <is>
          <t>부서 의사결정, 예산 배분, 채용/승진 제안</t>
        </is>
      </c>
      <c r="H28" s="12" t="inlineStr">
        <is>
          <t>4년 이상</t>
        </is>
      </c>
    </row>
    <row r="29" ht="50" customHeight="1" s="86">
      <c r="A29" s="75" t="inlineStr">
        <is>
          <t>BIM컨설팅_G5-S</t>
        </is>
      </c>
      <c r="B29" s="85" t="inlineStr">
        <is>
          <t>BIM컨설팅</t>
        </is>
      </c>
      <c r="C29" s="19" t="inlineStr">
        <is>
          <t>G5-S</t>
        </is>
      </c>
      <c r="D29" s="10" t="inlineStr">
        <is>
          <t>실무 스페셜리스트</t>
        </is>
      </c>
      <c r="E29" s="85" t="inlineStr">
        <is>
          <t>직무 최고 수준의 전문성과 현장 경험을 기반으로, 복잡하고 고난이도의 프로젝트를 성공적으로 수행하며 내부 기술 자산화·전파를 주도</t>
        </is>
      </c>
      <c r="F29" s="85" t="inlineStr">
        <is>
          <t>핵심 기술/과제 성과 책임</t>
        </is>
      </c>
      <c r="G29" s="85" t="inlineStr">
        <is>
          <t>전문 영역 의사결정</t>
        </is>
      </c>
      <c r="H29" s="12" t="inlineStr">
        <is>
          <t>4년 이상</t>
        </is>
      </c>
    </row>
    <row r="30" ht="50" customHeight="1" s="86">
      <c r="A30" s="75" t="inlineStr">
        <is>
          <t>BIM컨설팅_G4</t>
        </is>
      </c>
      <c r="B30" s="85" t="inlineStr">
        <is>
          <t>BIM컨설팅</t>
        </is>
      </c>
      <c r="C30" s="19" t="inlineStr">
        <is>
          <t>G4</t>
        </is>
      </c>
      <c r="D30" s="10" t="inlineStr">
        <is>
          <t>실무 책임(PM)</t>
        </is>
      </c>
      <c r="E30" s="85" t="inlineStr">
        <is>
          <t>단위 프로젝트의 전략 수립·추진을 주도하며, 예산·일정·품질 등 목표 달성을 책임지고 성과를 보고</t>
        </is>
      </c>
      <c r="F30" s="85" t="inlineStr">
        <is>
          <t>프로젝트 성과 책임</t>
        </is>
      </c>
      <c r="G30" s="85" t="inlineStr">
        <is>
          <t>프로젝트 의사결정, 예산 집행</t>
        </is>
      </c>
      <c r="H30" s="12" t="inlineStr">
        <is>
          <t>3년 이상</t>
        </is>
      </c>
    </row>
    <row r="31" ht="50" customHeight="1" s="86">
      <c r="A31" s="75" t="inlineStr">
        <is>
          <t>BIM컨설팅_G3</t>
        </is>
      </c>
      <c r="B31" s="85" t="inlineStr">
        <is>
          <t>BIM컨설팅</t>
        </is>
      </c>
      <c r="C31" s="19" t="inlineStr">
        <is>
          <t>G3</t>
        </is>
      </c>
      <c r="D31" s="10" t="inlineStr">
        <is>
          <t>핵심 실무</t>
        </is>
      </c>
      <c r="E31" s="85" t="inlineStr">
        <is>
          <t>전문 지식과 기술을 활용해 프로젝트 핵심 과업을 기획·수행하며, 산출물 품질과 일정 준수를 책임지는 중추적 역할</t>
        </is>
      </c>
      <c r="F31" s="85" t="inlineStr">
        <is>
          <t>모듈/과업 성과</t>
        </is>
      </c>
      <c r="G31" s="85" t="inlineStr">
        <is>
          <t>모듈 범위 자율</t>
        </is>
      </c>
      <c r="H31" s="12" t="inlineStr">
        <is>
          <t>3년 이상</t>
        </is>
      </c>
    </row>
    <row r="32" ht="50" customHeight="1" s="86">
      <c r="A32" s="75" t="inlineStr">
        <is>
          <t>BIM컨설팅_G2</t>
        </is>
      </c>
      <c r="B32" s="85" t="inlineStr">
        <is>
          <t>BIM컨설팅</t>
        </is>
      </c>
      <c r="C32" s="19" t="inlineStr">
        <is>
          <t>G2</t>
        </is>
      </c>
      <c r="D32" s="10" t="inlineStr">
        <is>
          <t>실무</t>
        </is>
      </c>
      <c r="E32" s="85" t="inlineStr">
        <is>
          <t>프로젝트 계획에 따라 독립적·자율적으로 세부 과업을 계획·수행하며, 완성도 있는 산출물을 도출</t>
        </is>
      </c>
      <c r="F32" s="85" t="inlineStr">
        <is>
          <t>개별 과업 성과</t>
        </is>
      </c>
      <c r="G32" s="85" t="inlineStr">
        <is>
          <t>과업 범위 자율</t>
        </is>
      </c>
      <c r="H32" s="12" t="inlineStr">
        <is>
          <t>2년 이상</t>
        </is>
      </c>
    </row>
    <row r="33" ht="50" customHeight="1" s="86">
      <c r="A33" s="75" t="inlineStr">
        <is>
          <t>BIM컨설팅_G1</t>
        </is>
      </c>
      <c r="B33" s="85" t="inlineStr">
        <is>
          <t>BIM컨설팅</t>
        </is>
      </c>
      <c r="C33" s="19" t="inlineStr">
        <is>
          <t>G1</t>
        </is>
      </c>
      <c r="D33" s="10" t="inlineStr">
        <is>
          <t>실무 보조</t>
        </is>
      </c>
      <c r="E33" s="85" t="inlineStr">
        <is>
          <t>실무에 대한 이해와 과업 수행에 필요한 기술·지식을 습득하며, 프로젝트 진행 과정에서 기본적인 과업을 보조</t>
        </is>
      </c>
      <c r="F33" s="85" t="inlineStr">
        <is>
          <t>학습/보조 수행도</t>
        </is>
      </c>
      <c r="G33" s="85" t="inlineStr">
        <is>
          <t>제한적 권한</t>
        </is>
      </c>
      <c r="H33" s="12" t="inlineStr">
        <is>
          <t>1년 이상</t>
        </is>
      </c>
    </row>
    <row r="34" ht="50" customHeight="1" s="86">
      <c r="A34" s="75" t="inlineStr">
        <is>
          <t>교육_G6</t>
        </is>
      </c>
      <c r="B34" s="85" t="inlineStr">
        <is>
          <t>교육</t>
        </is>
      </c>
      <c r="C34" s="19" t="inlineStr">
        <is>
          <t>G6</t>
        </is>
      </c>
      <c r="D34" s="10" t="inlineStr">
        <is>
          <t>사업·조직 관리</t>
        </is>
      </c>
      <c r="E34" s="85" t="inlineStr">
        <is>
          <t>회사의 비전과 중장기 전략을 총괄하며, 경영·인사·재무·마케팅 등 핵심 기능을 통합 관리하고, 전사 의사결정·대외 협력·리스크 관리를 주도</t>
        </is>
      </c>
      <c r="F34" s="85" t="inlineStr">
        <is>
          <t>전사 KPI 달성, 손익 책임</t>
        </is>
      </c>
      <c r="G34" s="85" t="inlineStr">
        <is>
          <t>전사 의사결정, 예산 편성, 인력 승인</t>
        </is>
      </c>
      <c r="H34" s="12" t="inlineStr">
        <is>
          <t>5년 이상</t>
        </is>
      </c>
    </row>
    <row r="35" ht="50" customHeight="1" s="86">
      <c r="A35" s="75" t="inlineStr">
        <is>
          <t>교육_G5-M</t>
        </is>
      </c>
      <c r="B35" s="85" t="inlineStr">
        <is>
          <t>교육</t>
        </is>
      </c>
      <c r="C35" s="19" t="inlineStr">
        <is>
          <t>G5-M</t>
        </is>
      </c>
      <c r="D35" s="10" t="inlineStr">
        <is>
          <t>직무 관리(부서장)</t>
        </is>
      </c>
      <c r="E35" s="85" t="inlineStr">
        <is>
          <t>부서 전략 및 목표를 수립하고, 자원 배분·예산 관리·성과 관리를 통해 조직 성과 달성을 책임지고, 부서 내 의사결정을 주도</t>
        </is>
      </c>
      <c r="F35" s="85" t="inlineStr">
        <is>
          <t>부서 KPI 달성 책임</t>
        </is>
      </c>
      <c r="G35" s="85" t="inlineStr">
        <is>
          <t>부서 의사결정, 예산 배분, 채용/승진 제안</t>
        </is>
      </c>
      <c r="H35" s="12" t="inlineStr">
        <is>
          <t>4년 이상</t>
        </is>
      </c>
    </row>
    <row r="36" ht="50" customHeight="1" s="86">
      <c r="A36" s="75" t="inlineStr">
        <is>
          <t>교육_G5-S</t>
        </is>
      </c>
      <c r="B36" s="85" t="inlineStr">
        <is>
          <t>교육</t>
        </is>
      </c>
      <c r="C36" s="19" t="inlineStr">
        <is>
          <t>G5-S</t>
        </is>
      </c>
      <c r="D36" s="10" t="inlineStr">
        <is>
          <t>실무 스페셜리스트</t>
        </is>
      </c>
      <c r="E36" s="85" t="inlineStr">
        <is>
          <t>직무 최고 수준의 전문성과 현장 경험을 기반으로, 복잡하고 고난이도의 프로젝트를 성공적으로 수행하며 내부 기술 자산화·전파를 주도</t>
        </is>
      </c>
      <c r="F36" s="85" t="inlineStr">
        <is>
          <t>핵심 기술/과제 성과 책임</t>
        </is>
      </c>
      <c r="G36" s="85" t="inlineStr">
        <is>
          <t>전문 영역 의사결정</t>
        </is>
      </c>
      <c r="H36" s="12" t="inlineStr">
        <is>
          <t>4년 이상</t>
        </is>
      </c>
    </row>
    <row r="37" ht="50" customHeight="1" s="86">
      <c r="A37" s="75" t="inlineStr">
        <is>
          <t>교육_G4</t>
        </is>
      </c>
      <c r="B37" s="85" t="inlineStr">
        <is>
          <t>교육</t>
        </is>
      </c>
      <c r="C37" s="19" t="inlineStr">
        <is>
          <t>G4</t>
        </is>
      </c>
      <c r="D37" s="10" t="inlineStr">
        <is>
          <t>실무 책임(PM)</t>
        </is>
      </c>
      <c r="E37" s="85" t="inlineStr">
        <is>
          <t>단위 프로젝트의 전략 수립·추진을 주도하며, 예산·일정·품질 등 목표 달성을 책임지고 성과를 보고</t>
        </is>
      </c>
      <c r="F37" s="85" t="inlineStr">
        <is>
          <t>프로젝트 성과 책임</t>
        </is>
      </c>
      <c r="G37" s="85" t="inlineStr">
        <is>
          <t>프로젝트 의사결정, 예산 집행</t>
        </is>
      </c>
      <c r="H37" s="12" t="inlineStr">
        <is>
          <t>3년 이상</t>
        </is>
      </c>
    </row>
    <row r="38" ht="50" customHeight="1" s="86">
      <c r="A38" s="75" t="inlineStr">
        <is>
          <t>교육_G3</t>
        </is>
      </c>
      <c r="B38" s="85" t="inlineStr">
        <is>
          <t>교육</t>
        </is>
      </c>
      <c r="C38" s="19" t="inlineStr">
        <is>
          <t>G3</t>
        </is>
      </c>
      <c r="D38" s="10" t="inlineStr">
        <is>
          <t>핵심 실무</t>
        </is>
      </c>
      <c r="E38" s="85" t="inlineStr">
        <is>
          <t>전문 지식과 기술을 활용해 프로젝트 핵심 과업을 기획·수행하며, 산출물 품질과 일정 준수를 책임지는 중추적 역할</t>
        </is>
      </c>
      <c r="F38" s="85" t="inlineStr">
        <is>
          <t>모듈/과업 성과</t>
        </is>
      </c>
      <c r="G38" s="85" t="inlineStr">
        <is>
          <t>모듈 범위 자율</t>
        </is>
      </c>
      <c r="H38" s="12" t="inlineStr">
        <is>
          <t>3년 이상</t>
        </is>
      </c>
    </row>
    <row r="39" ht="50" customHeight="1" s="86">
      <c r="A39" s="75" t="inlineStr">
        <is>
          <t>교육_G2</t>
        </is>
      </c>
      <c r="B39" s="85" t="inlineStr">
        <is>
          <t>교육</t>
        </is>
      </c>
      <c r="C39" s="19" t="inlineStr">
        <is>
          <t>G2</t>
        </is>
      </c>
      <c r="D39" s="10" t="inlineStr">
        <is>
          <t>실무</t>
        </is>
      </c>
      <c r="E39" s="85" t="inlineStr">
        <is>
          <t>프로젝트 계획에 따라 독립적·자율적으로 세부 과업을 계획·수행하며, 완성도 있는 산출물을 도출</t>
        </is>
      </c>
      <c r="F39" s="85" t="inlineStr">
        <is>
          <t>개별 과업 성과</t>
        </is>
      </c>
      <c r="G39" s="85" t="inlineStr">
        <is>
          <t>과업 범위 자율</t>
        </is>
      </c>
      <c r="H39" s="12" t="inlineStr">
        <is>
          <t>2년 이상</t>
        </is>
      </c>
    </row>
    <row r="40" ht="50" customHeight="1" s="86">
      <c r="A40" s="75" t="inlineStr">
        <is>
          <t>교육_G1</t>
        </is>
      </c>
      <c r="B40" s="85" t="inlineStr">
        <is>
          <t>교육</t>
        </is>
      </c>
      <c r="C40" s="19" t="inlineStr">
        <is>
          <t>G1</t>
        </is>
      </c>
      <c r="D40" s="10" t="inlineStr">
        <is>
          <t>실무 보조</t>
        </is>
      </c>
      <c r="E40" s="85" t="inlineStr">
        <is>
          <t>실무에 대한 이해와 과업 수행에 필요한 기술·지식을 습득하며, 프로젝트 진행 과정에서 기본적인 과업을 보조</t>
        </is>
      </c>
      <c r="F40" s="85" t="inlineStr">
        <is>
          <t>학습/보조 수행도</t>
        </is>
      </c>
      <c r="G40" s="85" t="inlineStr">
        <is>
          <t>제한적 권한</t>
        </is>
      </c>
      <c r="H40" s="12" t="inlineStr">
        <is>
          <t>1년 이상</t>
        </is>
      </c>
    </row>
    <row r="41" ht="50" customHeight="1" s="86">
      <c r="A41" s="75" t="inlineStr">
        <is>
          <t>기술지원_G6</t>
        </is>
      </c>
      <c r="B41" s="85" t="inlineStr">
        <is>
          <t>기술지원</t>
        </is>
      </c>
      <c r="C41" s="19" t="inlineStr">
        <is>
          <t>G6</t>
        </is>
      </c>
      <c r="D41" s="10" t="inlineStr">
        <is>
          <t>사업·조직 관리</t>
        </is>
      </c>
      <c r="E41" s="85" t="inlineStr">
        <is>
          <t>회사의 비전과 중장기 전략을 총괄하며, 경영·인사·재무·마케팅 등 핵심 기능을 통합 관리하고, 전사 의사결정·대외 협력·리스크 관리를 주도</t>
        </is>
      </c>
      <c r="F41" s="85" t="inlineStr">
        <is>
          <t>전사 KPI 달성, 손익 책임</t>
        </is>
      </c>
      <c r="G41" s="85" t="inlineStr">
        <is>
          <t>전사 의사결정, 예산 편성, 인력 승인</t>
        </is>
      </c>
      <c r="H41" s="12" t="inlineStr">
        <is>
          <t>5년 이상</t>
        </is>
      </c>
    </row>
    <row r="42" ht="50" customHeight="1" s="86">
      <c r="A42" s="75" t="inlineStr">
        <is>
          <t>기술지원_G5-M</t>
        </is>
      </c>
      <c r="B42" s="85" t="inlineStr">
        <is>
          <t>기술지원</t>
        </is>
      </c>
      <c r="C42" s="19" t="inlineStr">
        <is>
          <t>G5-M</t>
        </is>
      </c>
      <c r="D42" s="10" t="inlineStr">
        <is>
          <t>직무 관리(부서장)</t>
        </is>
      </c>
      <c r="E42" s="85" t="inlineStr">
        <is>
          <t>부서 전략 및 목표를 수립하고, 자원 배분·예산 관리·성과 관리를 통해 조직 성과 달성을 책임지고, 부서 내 의사결정을 주도</t>
        </is>
      </c>
      <c r="F42" s="85" t="inlineStr">
        <is>
          <t>부서 KPI 달성 책임</t>
        </is>
      </c>
      <c r="G42" s="85" t="inlineStr">
        <is>
          <t>부서 의사결정, 예산 배분, 채용/승진 제안</t>
        </is>
      </c>
      <c r="H42" s="12" t="inlineStr">
        <is>
          <t>4년 이상</t>
        </is>
      </c>
    </row>
    <row r="43" ht="50" customHeight="1" s="86">
      <c r="A43" s="75" t="inlineStr">
        <is>
          <t>기술지원_G5-S</t>
        </is>
      </c>
      <c r="B43" s="85" t="inlineStr">
        <is>
          <t>기술지원</t>
        </is>
      </c>
      <c r="C43" s="19" t="inlineStr">
        <is>
          <t>G5-S</t>
        </is>
      </c>
      <c r="D43" s="10" t="inlineStr">
        <is>
          <t>실무 스페셜리스트</t>
        </is>
      </c>
      <c r="E43" s="85" t="inlineStr">
        <is>
          <t>직무 최고 수준의 전문성과 현장 경험을 기반으로, 복잡하고 고난이도의 프로젝트를 성공적으로 수행하며 내부 기술 자산화·전파를 주도</t>
        </is>
      </c>
      <c r="F43" s="85" t="inlineStr">
        <is>
          <t>핵심 기술/과제 성과 책임</t>
        </is>
      </c>
      <c r="G43" s="85" t="inlineStr">
        <is>
          <t>전문 영역 의사결정</t>
        </is>
      </c>
      <c r="H43" s="12" t="inlineStr">
        <is>
          <t>4년 이상</t>
        </is>
      </c>
    </row>
    <row r="44" ht="50" customHeight="1" s="86">
      <c r="A44" s="75" t="inlineStr">
        <is>
          <t>기술지원_G4</t>
        </is>
      </c>
      <c r="B44" s="85" t="inlineStr">
        <is>
          <t>기술지원</t>
        </is>
      </c>
      <c r="C44" s="19" t="inlineStr">
        <is>
          <t>G4</t>
        </is>
      </c>
      <c r="D44" s="10" t="inlineStr">
        <is>
          <t>실무 책임(PM)</t>
        </is>
      </c>
      <c r="E44" s="85" t="inlineStr">
        <is>
          <t>단위 프로젝트의 전략 수립·추진을 주도하며, 예산·일정·품질 등 목표 달성을 책임지고 성과를 보고</t>
        </is>
      </c>
      <c r="F44" s="85" t="inlineStr">
        <is>
          <t>프로젝트 성과 책임</t>
        </is>
      </c>
      <c r="G44" s="85" t="inlineStr">
        <is>
          <t>프로젝트 의사결정, 예산 집행</t>
        </is>
      </c>
      <c r="H44" s="12" t="inlineStr">
        <is>
          <t>3년 이상</t>
        </is>
      </c>
    </row>
    <row r="45" ht="50" customHeight="1" s="86">
      <c r="A45" s="75" t="inlineStr">
        <is>
          <t>기술지원_G3</t>
        </is>
      </c>
      <c r="B45" s="85" t="inlineStr">
        <is>
          <t>기술지원</t>
        </is>
      </c>
      <c r="C45" s="19" t="inlineStr">
        <is>
          <t>G3</t>
        </is>
      </c>
      <c r="D45" s="10" t="inlineStr">
        <is>
          <t>핵심 실무</t>
        </is>
      </c>
      <c r="E45" s="85" t="inlineStr">
        <is>
          <t>전문 지식과 기술을 활용해 프로젝트 핵심 과업을 기획·수행하며, 산출물 품질과 일정 준수를 책임지는 중추적 역할</t>
        </is>
      </c>
      <c r="F45" s="85" t="inlineStr">
        <is>
          <t>모듈/과업 성과</t>
        </is>
      </c>
      <c r="G45" s="85" t="inlineStr">
        <is>
          <t>모듈 범위 자율</t>
        </is>
      </c>
      <c r="H45" s="12" t="inlineStr">
        <is>
          <t>3년 이상</t>
        </is>
      </c>
    </row>
    <row r="46" ht="50" customHeight="1" s="86">
      <c r="A46" s="75" t="inlineStr">
        <is>
          <t>기술지원_G2</t>
        </is>
      </c>
      <c r="B46" s="85" t="inlineStr">
        <is>
          <t>기술지원</t>
        </is>
      </c>
      <c r="C46" s="19" t="inlineStr">
        <is>
          <t>G2</t>
        </is>
      </c>
      <c r="D46" s="10" t="inlineStr">
        <is>
          <t>실무</t>
        </is>
      </c>
      <c r="E46" s="85" t="inlineStr">
        <is>
          <t>프로젝트 계획에 따라 독립적·자율적으로 세부 과업을 계획·수행하며, 완성도 있는 산출물을 도출</t>
        </is>
      </c>
      <c r="F46" s="85" t="inlineStr">
        <is>
          <t>개별 과업 성과</t>
        </is>
      </c>
      <c r="G46" s="85" t="inlineStr">
        <is>
          <t>과업 범위 자율</t>
        </is>
      </c>
      <c r="H46" s="12" t="inlineStr">
        <is>
          <t>2년 이상</t>
        </is>
      </c>
    </row>
    <row r="47" ht="50" customHeight="1" s="86">
      <c r="A47" s="75" t="inlineStr">
        <is>
          <t>기술지원_G1</t>
        </is>
      </c>
      <c r="B47" s="85" t="inlineStr">
        <is>
          <t>기술지원</t>
        </is>
      </c>
      <c r="C47" s="19" t="inlineStr">
        <is>
          <t>G1</t>
        </is>
      </c>
      <c r="D47" s="10" t="inlineStr">
        <is>
          <t>실무 보조</t>
        </is>
      </c>
      <c r="E47" s="85" t="inlineStr">
        <is>
          <t>실무에 대한 이해와 과업 수행에 필요한 기술·지식을 습득하며, 프로젝트 진행 과정에서 기본적인 과업을 보조</t>
        </is>
      </c>
      <c r="F47" s="85" t="inlineStr">
        <is>
          <t>학습/보조 수행도</t>
        </is>
      </c>
      <c r="G47" s="85" t="inlineStr">
        <is>
          <t>제한적 권한</t>
        </is>
      </c>
      <c r="H47" s="12" t="inlineStr">
        <is>
          <t>1년 이상</t>
        </is>
      </c>
    </row>
    <row r="48" ht="50" customHeight="1" s="86">
      <c r="A48" s="75" t="inlineStr">
        <is>
          <t>연구개발(R&amp;D)_G6</t>
        </is>
      </c>
      <c r="B48" s="85" t="inlineStr">
        <is>
          <t>연구개발(R&amp;D)</t>
        </is>
      </c>
      <c r="C48" s="19" t="inlineStr">
        <is>
          <t>G6</t>
        </is>
      </c>
      <c r="D48" s="10" t="inlineStr">
        <is>
          <t>사업·조직 관리</t>
        </is>
      </c>
      <c r="E48" s="85" t="inlineStr">
        <is>
          <t>회사의 비전과 중장기 전략을 총괄하며, 경영·인사·재무·마케팅 등 핵심 기능을 통합 관리하고, 전사 의사결정·대외 협력·리스크 관리를 주도</t>
        </is>
      </c>
      <c r="F48" s="85" t="inlineStr">
        <is>
          <t>전사 KPI 달성, 손익 책임</t>
        </is>
      </c>
      <c r="G48" s="85" t="inlineStr">
        <is>
          <t>전사 의사결정, 예산 편성, 인력 승인</t>
        </is>
      </c>
      <c r="H48" s="12" t="inlineStr">
        <is>
          <t>5년 이상</t>
        </is>
      </c>
    </row>
    <row r="49" ht="50" customHeight="1" s="86">
      <c r="A49" s="75" t="inlineStr">
        <is>
          <t>연구개발(R&amp;D)_G5-M</t>
        </is>
      </c>
      <c r="B49" s="85" t="inlineStr">
        <is>
          <t>연구개발(R&amp;D)</t>
        </is>
      </c>
      <c r="C49" s="19" t="inlineStr">
        <is>
          <t>G5-M</t>
        </is>
      </c>
      <c r="D49" s="10" t="inlineStr">
        <is>
          <t>직무 관리(부서장)</t>
        </is>
      </c>
      <c r="E49" s="85" t="inlineStr">
        <is>
          <t>부서 전략 및 목표를 수립하고, 자원 배분·예산 관리·성과 관리를 통해 조직 성과 달성을 책임지고, 부서 내 의사결정을 주도</t>
        </is>
      </c>
      <c r="F49" s="85" t="inlineStr">
        <is>
          <t>부서 KPI 달성 책임</t>
        </is>
      </c>
      <c r="G49" s="85" t="inlineStr">
        <is>
          <t>부서 의사결정, 예산 배분, 채용/승진 제안</t>
        </is>
      </c>
      <c r="H49" s="12" t="inlineStr">
        <is>
          <t>4년 이상</t>
        </is>
      </c>
    </row>
    <row r="50" ht="50" customHeight="1" s="86">
      <c r="A50" s="75" t="inlineStr">
        <is>
          <t>연구개발(R&amp;D)_G5-S</t>
        </is>
      </c>
      <c r="B50" s="85" t="inlineStr">
        <is>
          <t>연구개발(R&amp;D)</t>
        </is>
      </c>
      <c r="C50" s="19" t="inlineStr">
        <is>
          <t>G5-S</t>
        </is>
      </c>
      <c r="D50" s="10" t="inlineStr">
        <is>
          <t>실무 스페셜리스트</t>
        </is>
      </c>
      <c r="E50" s="85" t="inlineStr">
        <is>
          <t>직무 최고 수준의 전문성과 현장 경험을 기반으로, 복잡하고 고난이도의 프로젝트를 성공적으로 수행하며 내부 기술 자산화·전파를 주도</t>
        </is>
      </c>
      <c r="F50" s="85" t="inlineStr">
        <is>
          <t>핵심 기술/과제 성과 책임</t>
        </is>
      </c>
      <c r="G50" s="85" t="inlineStr">
        <is>
          <t>전문 영역 의사결정</t>
        </is>
      </c>
      <c r="H50" s="12" t="inlineStr">
        <is>
          <t>4년 이상</t>
        </is>
      </c>
    </row>
    <row r="51" ht="50" customHeight="1" s="86">
      <c r="A51" s="75" t="inlineStr">
        <is>
          <t>연구개발(R&amp;D)_G4</t>
        </is>
      </c>
      <c r="B51" s="85" t="inlineStr">
        <is>
          <t>연구개발(R&amp;D)</t>
        </is>
      </c>
      <c r="C51" s="19" t="inlineStr">
        <is>
          <t>G4</t>
        </is>
      </c>
      <c r="D51" s="10" t="inlineStr">
        <is>
          <t>실무 책임(PM)</t>
        </is>
      </c>
      <c r="E51" s="85" t="inlineStr">
        <is>
          <t>단위 프로젝트의 전략 수립·추진을 주도하며, 예산·일정·품질 등 목표 달성을 책임지고 성과를 보고</t>
        </is>
      </c>
      <c r="F51" s="85" t="inlineStr">
        <is>
          <t>프로젝트 성과 책임</t>
        </is>
      </c>
      <c r="G51" s="85" t="inlineStr">
        <is>
          <t>프로젝트 의사결정, 예산 집행</t>
        </is>
      </c>
      <c r="H51" s="12" t="inlineStr">
        <is>
          <t>3년 이상</t>
        </is>
      </c>
    </row>
    <row r="52" ht="50" customHeight="1" s="86">
      <c r="A52" s="75" t="inlineStr">
        <is>
          <t>연구개발(R&amp;D)_G3</t>
        </is>
      </c>
      <c r="B52" s="85" t="inlineStr">
        <is>
          <t>연구개발(R&amp;D)</t>
        </is>
      </c>
      <c r="C52" s="19" t="inlineStr">
        <is>
          <t>G3</t>
        </is>
      </c>
      <c r="D52" s="10" t="inlineStr">
        <is>
          <t>핵심 실무</t>
        </is>
      </c>
      <c r="E52" s="85" t="inlineStr">
        <is>
          <t>전문 지식과 기술을 활용해 프로젝트 핵심 과업을 기획·수행하며, 산출물 품질과 일정 준수를 책임지는 중추적 역할</t>
        </is>
      </c>
      <c r="F52" s="85" t="inlineStr">
        <is>
          <t>모듈/과업 성과</t>
        </is>
      </c>
      <c r="G52" s="85" t="inlineStr">
        <is>
          <t>모듈 범위 자율</t>
        </is>
      </c>
      <c r="H52" s="12" t="inlineStr">
        <is>
          <t>3년 이상</t>
        </is>
      </c>
    </row>
    <row r="53" ht="50" customHeight="1" s="86">
      <c r="A53" s="75" t="inlineStr">
        <is>
          <t>연구개발(R&amp;D)_G2</t>
        </is>
      </c>
      <c r="B53" s="85" t="inlineStr">
        <is>
          <t>연구개발(R&amp;D)</t>
        </is>
      </c>
      <c r="C53" s="19" t="inlineStr">
        <is>
          <t>G2</t>
        </is>
      </c>
      <c r="D53" s="10" t="inlineStr">
        <is>
          <t>실무</t>
        </is>
      </c>
      <c r="E53" s="85" t="inlineStr">
        <is>
          <t>프로젝트 계획에 따라 독립적·자율적으로 세부 과업을 계획·수행하며, 완성도 있는 산출물을 도출</t>
        </is>
      </c>
      <c r="F53" s="85" t="inlineStr">
        <is>
          <t>개별 과업 성과</t>
        </is>
      </c>
      <c r="G53" s="85" t="inlineStr">
        <is>
          <t>과업 범위 자율</t>
        </is>
      </c>
      <c r="H53" s="12" t="inlineStr">
        <is>
          <t>2년 이상</t>
        </is>
      </c>
    </row>
    <row r="54" ht="50" customHeight="1" s="86">
      <c r="A54" s="75" t="inlineStr">
        <is>
          <t>연구개발(R&amp;D)_G1</t>
        </is>
      </c>
      <c r="B54" s="85" t="inlineStr">
        <is>
          <t>연구개발(R&amp;D)</t>
        </is>
      </c>
      <c r="C54" s="19" t="inlineStr">
        <is>
          <t>G1</t>
        </is>
      </c>
      <c r="D54" s="10" t="inlineStr">
        <is>
          <t>실무 보조</t>
        </is>
      </c>
      <c r="E54" s="85" t="inlineStr">
        <is>
          <t>실무에 대한 이해와 과업 수행에 필요한 기술·지식을 습득하며, 프로젝트 진행 과정에서 기본적인 과업을 보조</t>
        </is>
      </c>
      <c r="F54" s="85" t="inlineStr">
        <is>
          <t>학습/보조 수행도</t>
        </is>
      </c>
      <c r="G54" s="85" t="inlineStr">
        <is>
          <t>제한적 권한</t>
        </is>
      </c>
      <c r="H54" s="12" t="inlineStr">
        <is>
          <t>1년 이상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808080"/>
    <outlinePr summaryBelow="1" summaryRight="1"/>
    <pageSetUpPr/>
  </sheetPr>
  <dimension ref="A1:G68"/>
  <sheetViews>
    <sheetView workbookViewId="0">
      <pane ySplit="5" topLeftCell="A6" activePane="bottomLeft" state="frozen"/>
      <selection pane="bottomLeft" activeCell="G27" sqref="G27"/>
    </sheetView>
  </sheetViews>
  <sheetFormatPr baseColWidth="8" defaultRowHeight="16.9"/>
  <cols>
    <col width="5" customWidth="1" style="86" min="1" max="1"/>
    <col width="14" customWidth="1" style="86" min="2" max="3"/>
    <col width="22" customWidth="1" style="86" min="4" max="4"/>
    <col width="60" customWidth="1" style="86" min="5" max="5"/>
    <col width="30" customWidth="1" style="86" min="6" max="6"/>
    <col width="32" customWidth="1" style="86" min="7" max="7"/>
  </cols>
  <sheetData>
    <row r="1" ht="28.05" customHeight="1" s="86">
      <c r="A1" s="82" t="inlineStr">
        <is>
          <t>직무별 책무·과업 상세 DB (직무 프로파일)</t>
        </is>
      </c>
      <c r="B1" s="66" t="n"/>
      <c r="C1" s="66" t="n"/>
      <c r="D1" s="66" t="n"/>
      <c r="E1" s="66" t="n"/>
      <c r="F1" s="66" t="n"/>
      <c r="G1" s="67" t="n"/>
    </row>
    <row r="2">
      <c r="A2" s="80" t="inlineStr">
        <is>
          <t>각 직무의 전체 책무 카탈로그. 15_직원별책무매핑에서 개인별로 메인 책무를 선택해 평가.</t>
        </is>
      </c>
      <c r="B2" s="66" t="n"/>
      <c r="C2" s="66" t="n"/>
      <c r="D2" s="66" t="n"/>
      <c r="E2" s="66" t="n"/>
      <c r="F2" s="66" t="n"/>
      <c r="G2" s="67" t="n"/>
    </row>
    <row r="5" ht="30" customHeight="1" s="86">
      <c r="A5" s="15" t="inlineStr">
        <is>
          <t>No.</t>
        </is>
      </c>
      <c r="B5" s="15" t="inlineStr">
        <is>
          <t>직무</t>
        </is>
      </c>
      <c r="C5" s="15" t="inlineStr">
        <is>
          <t>전문영역</t>
        </is>
      </c>
      <c r="D5" s="15" t="inlineStr">
        <is>
          <t>핵심 책무</t>
        </is>
      </c>
      <c r="E5" s="15" t="inlineStr">
        <is>
          <t>핵심 과업 (평가기준)</t>
        </is>
      </c>
      <c r="F5" s="15" t="inlineStr">
        <is>
          <t>필요 스킬</t>
        </is>
      </c>
      <c r="G5" s="15" t="inlineStr">
        <is>
          <t>조회키(직무_책무)</t>
        </is>
      </c>
    </row>
    <row r="6" ht="28.05" customHeight="1" s="86">
      <c r="A6" s="12" t="n">
        <v>1</v>
      </c>
      <c r="B6" s="10" t="inlineStr">
        <is>
          <t>경영전략기획</t>
        </is>
      </c>
      <c r="C6" s="12" t="inlineStr">
        <is>
          <t>경영기획</t>
        </is>
      </c>
      <c r="D6" s="10" t="inlineStr">
        <is>
          <t>중장기 경영전략 수립</t>
        </is>
      </c>
      <c r="E6" s="85" t="inlineStr">
        <is>
          <t>내외부 경영환경 분석·중장기 전략방향 설정, PEST·SWOT 분석</t>
        </is>
      </c>
      <c r="F6" s="85" t="inlineStr">
        <is>
          <t>전략적 사고력, 데이터 분석력, 기획력</t>
        </is>
      </c>
      <c r="G6" s="69" t="inlineStr">
        <is>
          <t>경영전략기획_중장기 경영전략 수립</t>
        </is>
      </c>
    </row>
    <row r="7" ht="28.05" customHeight="1" s="86">
      <c r="A7" s="12" t="n">
        <v>2</v>
      </c>
      <c r="B7" s="10" t="inlineStr">
        <is>
          <t>경영전략기획</t>
        </is>
      </c>
      <c r="C7" s="12" t="inlineStr">
        <is>
          <t>경영기획</t>
        </is>
      </c>
      <c r="D7" s="10" t="inlineStr">
        <is>
          <t>조직 목표 및 KPI 관리</t>
        </is>
      </c>
      <c r="E7" s="85" t="inlineStr">
        <is>
          <t>연간 사업계획·KPI 체계 수립, 성과지표 정의서 작성·관리</t>
        </is>
      </c>
      <c r="F7" s="85" t="inlineStr">
        <is>
          <t>성과관리, 문제해결, 데이터 시각화</t>
        </is>
      </c>
      <c r="G7" s="69" t="inlineStr">
        <is>
          <t>경영전략기획_조직 목표 및 KPI 관리</t>
        </is>
      </c>
    </row>
    <row r="8" ht="28.05" customHeight="1" s="86">
      <c r="A8" s="12" t="n">
        <v>3</v>
      </c>
      <c r="B8" s="10" t="inlineStr">
        <is>
          <t>경영전략기획</t>
        </is>
      </c>
      <c r="C8" s="12" t="inlineStr">
        <is>
          <t>경영기획</t>
        </is>
      </c>
      <c r="D8" s="10" t="inlineStr">
        <is>
          <t>경영계획 및 예산수립</t>
        </is>
      </c>
      <c r="E8" s="85" t="inlineStr">
        <is>
          <t>연간사업계획·예산 조정관리, 예산편성·전사 예산안</t>
        </is>
      </c>
      <c r="F8" s="85" t="inlineStr">
        <is>
          <t>재무·회계 지식, 엑셀 활용</t>
        </is>
      </c>
      <c r="G8" s="69" t="inlineStr">
        <is>
          <t>경영전략기획_경영계획 및 예산수립</t>
        </is>
      </c>
    </row>
    <row r="9" ht="28.05" customHeight="1" s="86">
      <c r="A9" s="12" t="n">
        <v>4</v>
      </c>
      <c r="B9" s="10" t="inlineStr">
        <is>
          <t>경영전략기획</t>
        </is>
      </c>
      <c r="C9" s="12" t="inlineStr">
        <is>
          <t>경영기획</t>
        </is>
      </c>
      <c r="D9" s="10" t="inlineStr">
        <is>
          <t>경영평가 및 모니터링</t>
        </is>
      </c>
      <c r="E9" s="85" t="inlineStr">
        <is>
          <t>경영실적 점검·성과지표 운영, 부서별 실적측정·편차분석</t>
        </is>
      </c>
      <c r="F9" s="85" t="inlineStr">
        <is>
          <t>분석력, 통계해석, 리포팅</t>
        </is>
      </c>
      <c r="G9" s="69" t="inlineStr">
        <is>
          <t>경영전략기획_경영평가 및 모니터링</t>
        </is>
      </c>
    </row>
    <row r="10" ht="28.05" customHeight="1" s="86">
      <c r="A10" s="12" t="n">
        <v>5</v>
      </c>
      <c r="B10" s="10" t="inlineStr">
        <is>
          <t>경영전략기획</t>
        </is>
      </c>
      <c r="C10" s="12" t="inlineStr">
        <is>
          <t>경영기획</t>
        </is>
      </c>
      <c r="D10" s="10" t="inlineStr">
        <is>
          <t>신규 사업 기획 및 타당성 검토</t>
        </is>
      </c>
      <c r="E10" s="85" t="inlineStr">
        <is>
          <t>신사업 발굴·시장조사, 사업성·타당성 검토</t>
        </is>
      </c>
      <c r="F10" s="85" t="inlineStr">
        <is>
          <t>시장조사, 재무분석, PM</t>
        </is>
      </c>
      <c r="G10" s="69" t="inlineStr">
        <is>
          <t>경영전략기획_신규 사업 기획 및 타당성 검토</t>
        </is>
      </c>
    </row>
    <row r="11" ht="28.05" customHeight="1" s="86">
      <c r="A11" s="12" t="n">
        <v>6</v>
      </c>
      <c r="B11" s="10" t="inlineStr">
        <is>
          <t>경영전략기획</t>
        </is>
      </c>
      <c r="C11" s="12" t="inlineStr">
        <is>
          <t>경영기획</t>
        </is>
      </c>
      <c r="D11" s="10" t="inlineStr">
        <is>
          <t>리스크 성과분석</t>
        </is>
      </c>
      <c r="E11" s="85" t="inlineStr">
        <is>
          <t>경영리스크 파악·대응계획 수립, KRI 관리</t>
        </is>
      </c>
      <c r="F11" s="85" t="inlineStr">
        <is>
          <t>리스크관리, 협상력, 문서작성</t>
        </is>
      </c>
      <c r="G11" s="69" t="inlineStr">
        <is>
          <t>경영전략기획_리스크 성과분석</t>
        </is>
      </c>
    </row>
    <row r="12" ht="28.05" customHeight="1" s="86">
      <c r="A12" s="12" t="n">
        <v>7</v>
      </c>
      <c r="B12" s="10" t="inlineStr">
        <is>
          <t>경영전략기획</t>
        </is>
      </c>
      <c r="C12" s="12" t="inlineStr">
        <is>
          <t>인사총무</t>
        </is>
      </c>
      <c r="D12" s="10" t="inlineStr">
        <is>
          <t>인사관리 및 인력운영</t>
        </is>
      </c>
      <c r="E12" s="85" t="inlineStr">
        <is>
          <t>입·퇴사 인사프로세스, 근태·휴가·인사기록</t>
        </is>
      </c>
      <c r="F12" s="85" t="inlineStr">
        <is>
          <t>HRM 시스템, 문서작성, 개인정보 관리</t>
        </is>
      </c>
      <c r="G12" s="69" t="inlineStr">
        <is>
          <t>경영전략기획_인사관리 및 인력운영</t>
        </is>
      </c>
    </row>
    <row r="13" ht="28.05" customHeight="1" s="86">
      <c r="A13" s="12" t="n">
        <v>8</v>
      </c>
      <c r="B13" s="10" t="inlineStr">
        <is>
          <t>경영전략기획</t>
        </is>
      </c>
      <c r="C13" s="12" t="inlineStr">
        <is>
          <t>인사총무</t>
        </is>
      </c>
      <c r="D13" s="10" t="inlineStr">
        <is>
          <t>급여 및 복리후생</t>
        </is>
      </c>
      <c r="E13" s="85" t="inlineStr">
        <is>
          <t>급여·상여·성과급 정산, 4대보험·연말정산, 복리후생 운영</t>
        </is>
      </c>
      <c r="F13" s="85" t="inlineStr">
        <is>
          <t>급여정산, 세무·보험 이해</t>
        </is>
      </c>
      <c r="G13" s="69" t="inlineStr">
        <is>
          <t>경영전략기획_급여 및 복리후생</t>
        </is>
      </c>
    </row>
    <row r="14" ht="28.05" customHeight="1" s="86">
      <c r="A14" s="12" t="n">
        <v>9</v>
      </c>
      <c r="B14" s="10" t="inlineStr">
        <is>
          <t>경영전략기획</t>
        </is>
      </c>
      <c r="C14" s="12" t="inlineStr">
        <is>
          <t>인사총무</t>
        </is>
      </c>
      <c r="D14" s="10" t="inlineStr">
        <is>
          <t>총무 및 자산관리</t>
        </is>
      </c>
      <c r="E14" s="85" t="inlineStr">
        <is>
          <t>사무실 운영·비품·시설·차량, 보안·출입통제</t>
        </is>
      </c>
      <c r="F14" s="85" t="inlineStr">
        <is>
          <t>행정처리, 회계 이해, 문서관리</t>
        </is>
      </c>
      <c r="G14" s="69" t="inlineStr">
        <is>
          <t>경영전략기획_총무 및 자산관리</t>
        </is>
      </c>
    </row>
    <row r="15" ht="28.05" customHeight="1" s="86">
      <c r="A15" s="12" t="n">
        <v>10</v>
      </c>
      <c r="B15" s="10" t="inlineStr">
        <is>
          <t>경영전략기획</t>
        </is>
      </c>
      <c r="C15" s="12" t="inlineStr">
        <is>
          <t>인사총무</t>
        </is>
      </c>
      <c r="D15" s="10" t="inlineStr">
        <is>
          <t>노무 및 법규</t>
        </is>
      </c>
      <c r="E15" s="85" t="inlineStr">
        <is>
          <t>근로계약서·취업규칙·인사제도, 노동법 준수 모니터링</t>
        </is>
      </c>
      <c r="F15" s="85" t="inlineStr">
        <is>
          <t>근로기준법, 노무 실무</t>
        </is>
      </c>
      <c r="G15" s="69" t="inlineStr">
        <is>
          <t>경영전략기획_노무 및 법규</t>
        </is>
      </c>
    </row>
    <row r="16" ht="28.05" customHeight="1" s="86">
      <c r="A16" s="12" t="n">
        <v>11</v>
      </c>
      <c r="B16" s="10" t="inlineStr">
        <is>
          <t>경영전략기획</t>
        </is>
      </c>
      <c r="C16" s="12" t="inlineStr">
        <is>
          <t>인사총무</t>
        </is>
      </c>
      <c r="D16" s="10" t="inlineStr">
        <is>
          <t>조직문화 및 사내행사</t>
        </is>
      </c>
      <c r="E16" s="85" t="inlineStr">
        <is>
          <t>사내 행사 기획·진행, 내부 커뮤니케이션, 온보딩</t>
        </is>
      </c>
      <c r="F16" s="85" t="inlineStr">
        <is>
          <t>행사기획·운영, 대인 커뮤니케이션</t>
        </is>
      </c>
      <c r="G16" s="69" t="inlineStr">
        <is>
          <t>경영전략기획_조직문화 및 사내행사</t>
        </is>
      </c>
    </row>
    <row r="17" ht="28.05" customHeight="1" s="86">
      <c r="A17" s="12" t="n">
        <v>12</v>
      </c>
      <c r="B17" s="10" t="inlineStr">
        <is>
          <t>경영전략기획</t>
        </is>
      </c>
      <c r="C17" s="12" t="inlineStr">
        <is>
          <t>재무회계</t>
        </is>
      </c>
      <c r="D17" s="10" t="inlineStr">
        <is>
          <t>재무 전략 및 자금 관리</t>
        </is>
      </c>
      <c r="E17" s="85" t="inlineStr">
        <is>
          <t>자금 조달·운영, 재무 리스크 관리, 투자 검토</t>
        </is>
      </c>
      <c r="F17" s="85" t="inlineStr">
        <is>
          <t>재무지식, 분석력</t>
        </is>
      </c>
      <c r="G17" s="69" t="inlineStr">
        <is>
          <t>경영전략기획_재무 전략 및 자금 관리</t>
        </is>
      </c>
    </row>
    <row r="18" ht="28.05" customHeight="1" s="86">
      <c r="A18" s="12" t="n">
        <v>13</v>
      </c>
      <c r="B18" s="10" t="inlineStr">
        <is>
          <t>경영전략기획</t>
        </is>
      </c>
      <c r="C18" s="12" t="inlineStr">
        <is>
          <t>재무회계</t>
        </is>
      </c>
      <c r="D18" s="10" t="inlineStr">
        <is>
          <t>회계 관리 및 결산</t>
        </is>
      </c>
      <c r="E18" s="85" t="inlineStr">
        <is>
          <t>결산·재무제표 작성, 회계 감사 대응, 세무 관리</t>
        </is>
      </c>
      <c r="F18" s="85" t="inlineStr">
        <is>
          <t>회계 지식, 꼼꼼함</t>
        </is>
      </c>
      <c r="G18" s="69" t="inlineStr">
        <is>
          <t>경영전략기획_회계 관리 및 결산</t>
        </is>
      </c>
    </row>
    <row r="19" ht="28.05" customHeight="1" s="86">
      <c r="A19" s="12" t="n">
        <v>14</v>
      </c>
      <c r="B19" s="10" t="inlineStr">
        <is>
          <t>경영전략기획</t>
        </is>
      </c>
      <c r="C19" s="12" t="inlineStr">
        <is>
          <t>재무회계</t>
        </is>
      </c>
      <c r="D19" s="10" t="inlineStr">
        <is>
          <t>결산 및 세무</t>
        </is>
      </c>
      <c r="E19" s="85" t="inlineStr">
        <is>
          <t>월/분기/연 결산·재무제표 작성, 외부감사·세무조정</t>
        </is>
      </c>
      <c r="F19" s="85" t="inlineStr">
        <is>
          <t>재무회계, 세법, ERP 활용</t>
        </is>
      </c>
      <c r="G19" s="69" t="inlineStr">
        <is>
          <t>경영전략기획_결산 및 세무</t>
        </is>
      </c>
    </row>
    <row r="20" ht="28.05" customHeight="1" s="86">
      <c r="A20" s="12" t="n">
        <v>15</v>
      </c>
      <c r="B20" s="10" t="inlineStr">
        <is>
          <t>경영전략기획</t>
        </is>
      </c>
      <c r="C20" s="12" t="inlineStr">
        <is>
          <t>재무회계</t>
        </is>
      </c>
      <c r="D20" s="10" t="inlineStr">
        <is>
          <t>프로젝트 손익 및 원가관리</t>
        </is>
      </c>
      <c r="E20" s="85" t="inlineStr">
        <is>
          <t>매출 관리, 원가 분석, 손익 보고</t>
        </is>
      </c>
      <c r="F20" s="85" t="inlineStr">
        <is>
          <t>원가회계, ERP 활용</t>
        </is>
      </c>
      <c r="G20" s="69" t="inlineStr">
        <is>
          <t>경영전략기획_프로젝트 손익 및 원가관리</t>
        </is>
      </c>
    </row>
    <row r="21" ht="28.05" customHeight="1" s="86">
      <c r="A21" s="12" t="n">
        <v>16</v>
      </c>
      <c r="B21" s="10" t="inlineStr">
        <is>
          <t>경영전략기획</t>
        </is>
      </c>
      <c r="C21" s="12" t="inlineStr">
        <is>
          <t>재무회계</t>
        </is>
      </c>
      <c r="D21" s="10" t="inlineStr">
        <is>
          <t>자금 및 경영지원</t>
        </is>
      </c>
      <c r="E21" s="85" t="inlineStr">
        <is>
          <t>일일/월간 자금계획·집행, 자금현황 보고</t>
        </is>
      </c>
      <c r="F21" s="85" t="inlineStr">
        <is>
          <t>재무관리, 재무분석</t>
        </is>
      </c>
      <c r="G21" s="69" t="inlineStr">
        <is>
          <t>경영전략기획_자금 및 경영지원</t>
        </is>
      </c>
    </row>
    <row r="22" ht="28.05" customHeight="1" s="86">
      <c r="A22" s="12" t="n">
        <v>17</v>
      </c>
      <c r="B22" s="10" t="inlineStr">
        <is>
          <t>경영전략기획</t>
        </is>
      </c>
      <c r="C22" s="12" t="inlineStr">
        <is>
          <t>마케팅</t>
        </is>
      </c>
      <c r="D22" s="10" t="inlineStr">
        <is>
          <t>마케팅 전략 수립</t>
        </is>
      </c>
      <c r="E22" s="85" t="inlineStr">
        <is>
          <t>시장조사·고객분석, 포지셔닝 전략, 마케팅 캠페인 기획</t>
        </is>
      </c>
      <c r="F22" s="85" t="inlineStr">
        <is>
          <t>시장 분석력, 기획력</t>
        </is>
      </c>
      <c r="G22" s="69" t="inlineStr">
        <is>
          <t>경영전략기획_마케팅 전략 수립</t>
        </is>
      </c>
    </row>
    <row r="23" ht="28.05" customHeight="1" s="86">
      <c r="A23" s="12" t="n">
        <v>18</v>
      </c>
      <c r="B23" s="10" t="inlineStr">
        <is>
          <t>경영전략기획</t>
        </is>
      </c>
      <c r="C23" s="12" t="inlineStr">
        <is>
          <t>마케팅</t>
        </is>
      </c>
      <c r="D23" s="10" t="inlineStr">
        <is>
          <t>브랜드 마케팅</t>
        </is>
      </c>
      <c r="E23" s="85" t="inlineStr">
        <is>
          <t>홈페이지·SNS·유튜브 운영, 세미나·전시회 기획</t>
        </is>
      </c>
      <c r="F23" s="85" t="inlineStr">
        <is>
          <t>커뮤니케이션, 브랜드 감각</t>
        </is>
      </c>
      <c r="G23" s="69" t="inlineStr">
        <is>
          <t>경영전략기획_브랜드 마케팅</t>
        </is>
      </c>
    </row>
    <row r="24" ht="28.05" customHeight="1" s="86">
      <c r="A24" s="12" t="n">
        <v>19</v>
      </c>
      <c r="B24" s="10" t="inlineStr">
        <is>
          <t>경영전략기획</t>
        </is>
      </c>
      <c r="C24" s="12" t="inlineStr">
        <is>
          <t>마케팅</t>
        </is>
      </c>
      <c r="D24" s="10" t="inlineStr">
        <is>
          <t>컨텐츠 마케팅</t>
        </is>
      </c>
      <c r="E24" s="85" t="inlineStr">
        <is>
          <t>뉴스레터·영상 콘텐츠 기획·제작, 온라인 성과분석</t>
        </is>
      </c>
      <c r="F24" s="85" t="inlineStr">
        <is>
          <t>디지털 리터러시, 콘텐츠 제작</t>
        </is>
      </c>
      <c r="G24" s="69" t="inlineStr">
        <is>
          <t>경영전략기획_컨텐츠 마케팅</t>
        </is>
      </c>
    </row>
    <row r="25" ht="28.05" customHeight="1" s="86">
      <c r="A25" s="12" t="n">
        <v>20</v>
      </c>
      <c r="B25" s="10" t="inlineStr">
        <is>
          <t>BIM컨설팅</t>
        </is>
      </c>
      <c r="C25" s="12" t="inlineStr">
        <is>
          <t>계획모델링</t>
        </is>
      </c>
      <c r="D25" s="10" t="inlineStr">
        <is>
          <t>BIM 기반 설계 계획수립</t>
        </is>
      </c>
      <c r="E25" s="85" t="inlineStr">
        <is>
          <t>발주처 요구사항 분석·BIM 모델링 표준 적용</t>
        </is>
      </c>
      <c r="F25" s="85" t="inlineStr">
        <is>
          <t>BIM 표준, 설계 이해</t>
        </is>
      </c>
      <c r="G25" s="69" t="inlineStr">
        <is>
          <t>BIM컨설팅_BIM 기반 설계 계획수립</t>
        </is>
      </c>
    </row>
    <row r="26" ht="28.05" customHeight="1" s="86">
      <c r="A26" s="12" t="n">
        <v>21</v>
      </c>
      <c r="B26" s="10" t="inlineStr">
        <is>
          <t>BIM컨설팅</t>
        </is>
      </c>
      <c r="C26" s="12" t="inlineStr">
        <is>
          <t>계획모델링</t>
        </is>
      </c>
      <c r="D26" s="10" t="inlineStr">
        <is>
          <t>설계 모델링 수행</t>
        </is>
      </c>
      <c r="E26" s="85" t="inlineStr">
        <is>
          <t>Revit·ArchiCAD로 건축·구조·MEP 모델링</t>
        </is>
      </c>
      <c r="F26" s="85" t="inlineStr">
        <is>
          <t>BIM 소프트웨어 활용</t>
        </is>
      </c>
      <c r="G26" s="69" t="inlineStr">
        <is>
          <t>BIM컨설팅_설계 모델링 수행</t>
        </is>
      </c>
    </row>
    <row r="27" ht="28.05" customHeight="1" s="86">
      <c r="A27" s="12" t="n">
        <v>22</v>
      </c>
      <c r="B27" s="10" t="inlineStr">
        <is>
          <t>BIM컨설팅</t>
        </is>
      </c>
      <c r="C27" s="12" t="inlineStr">
        <is>
          <t>계획모델링</t>
        </is>
      </c>
      <c r="D27" s="10" t="inlineStr">
        <is>
          <t>품질 검토 및 협업</t>
        </is>
      </c>
      <c r="E27" s="85" t="inlineStr">
        <is>
          <t>모델 정합성 점검·간섭 검토(Clash Detection)</t>
        </is>
      </c>
      <c r="F27" s="85" t="inlineStr">
        <is>
          <t>품질관리, 협업</t>
        </is>
      </c>
      <c r="G27" s="69" t="inlineStr">
        <is>
          <t>BIM컨설팅_품질 검토 및 협업</t>
        </is>
      </c>
    </row>
    <row r="28" ht="28.05" customHeight="1" s="86">
      <c r="A28" s="12" t="n">
        <v>23</v>
      </c>
      <c r="B28" s="10" t="inlineStr">
        <is>
          <t>BIM컨설팅</t>
        </is>
      </c>
      <c r="C28" s="12" t="inlineStr">
        <is>
          <t>드론응용모델링</t>
        </is>
      </c>
      <c r="D28" s="10" t="inlineStr">
        <is>
          <t>드론 측량 및 데이터 수집</t>
        </is>
      </c>
      <c r="E28" s="85" t="inlineStr">
        <is>
          <t>드론 비행계획·현장 측량 데이터 수집</t>
        </is>
      </c>
      <c r="F28" s="85" t="inlineStr">
        <is>
          <t>드론 조종, 측량 지식</t>
        </is>
      </c>
      <c r="G28" s="69" t="inlineStr">
        <is>
          <t>BIM컨설팅_드론 측량 및 데이터 수집</t>
        </is>
      </c>
    </row>
    <row r="29" ht="28.05" customHeight="1" s="86">
      <c r="A29" s="12" t="n">
        <v>24</v>
      </c>
      <c r="B29" s="10" t="inlineStr">
        <is>
          <t>BIM컨설팅</t>
        </is>
      </c>
      <c r="C29" s="12" t="inlineStr">
        <is>
          <t>드론응용모델링</t>
        </is>
      </c>
      <c r="D29" s="10" t="inlineStr">
        <is>
          <t>3D 메쉬·포인트클라우드 생성</t>
        </is>
      </c>
      <c r="E29" s="85" t="inlineStr">
        <is>
          <t>드론 데이터 처리·3D 모델 변환</t>
        </is>
      </c>
      <c r="F29" s="85" t="inlineStr">
        <is>
          <t>포토그래메트리, 데이터 처리</t>
        </is>
      </c>
      <c r="G29" s="69" t="inlineStr">
        <is>
          <t>BIM컨설팅_3D 메쉬·포인트클라우드 생성</t>
        </is>
      </c>
    </row>
    <row r="30" ht="28.05" customHeight="1" s="86">
      <c r="A30" s="12" t="n">
        <v>25</v>
      </c>
      <c r="B30" s="10" t="inlineStr">
        <is>
          <t>BIM컨설팅</t>
        </is>
      </c>
      <c r="C30" s="12" t="inlineStr">
        <is>
          <t>구조모델링</t>
        </is>
      </c>
      <c r="D30" s="10" t="inlineStr">
        <is>
          <t>구조 BIM 모델링</t>
        </is>
      </c>
      <c r="E30" s="85" t="inlineStr">
        <is>
          <t>구조 부재 모델링·강도 검토 연계</t>
        </is>
      </c>
      <c r="F30" s="85" t="inlineStr">
        <is>
          <t>구조 이해, BIM 활용</t>
        </is>
      </c>
      <c r="G30" s="69" t="inlineStr">
        <is>
          <t>BIM컨설팅_구조 BIM 모델링</t>
        </is>
      </c>
    </row>
    <row r="31" ht="28.05" customHeight="1" s="86">
      <c r="A31" s="12" t="n">
        <v>26</v>
      </c>
      <c r="B31" s="10" t="inlineStr">
        <is>
          <t>BIM컨설팅</t>
        </is>
      </c>
      <c r="C31" s="12" t="inlineStr">
        <is>
          <t>상하수도모델링</t>
        </is>
      </c>
      <c r="D31" s="10" t="inlineStr">
        <is>
          <t>상하수도 BIM 모델링</t>
        </is>
      </c>
      <c r="E31" s="85" t="inlineStr">
        <is>
          <t>관로·시설 BIM 구축·기존 인프라 연계</t>
        </is>
      </c>
      <c r="F31" s="85" t="inlineStr">
        <is>
          <t>상하수도 설계 이해</t>
        </is>
      </c>
      <c r="G31" s="69" t="inlineStr">
        <is>
          <t>BIM컨설팅_상하수도 BIM 모델링</t>
        </is>
      </c>
    </row>
    <row r="32" ht="28.05" customHeight="1" s="86">
      <c r="A32" s="12" t="n">
        <v>27</v>
      </c>
      <c r="B32" s="10" t="inlineStr">
        <is>
          <t>BIM컨설팅</t>
        </is>
      </c>
      <c r="C32" s="12" t="inlineStr">
        <is>
          <t>컨설팅</t>
        </is>
      </c>
      <c r="D32" s="10" t="inlineStr">
        <is>
          <t>클라이언트 요구분석</t>
        </is>
      </c>
      <c r="E32" s="85" t="inlineStr">
        <is>
          <t>발주처 미팅·요구사항 정리·범위 정의</t>
        </is>
      </c>
      <c r="F32" s="85" t="inlineStr">
        <is>
          <t>커뮤니케이션, 요건분석</t>
        </is>
      </c>
      <c r="G32" s="69" t="inlineStr">
        <is>
          <t>BIM컨설팅_클라이언트 요구분석</t>
        </is>
      </c>
    </row>
    <row r="33" ht="28.05" customHeight="1" s="86">
      <c r="A33" s="12" t="n">
        <v>28</v>
      </c>
      <c r="B33" s="10" t="inlineStr">
        <is>
          <t>BIM컨설팅</t>
        </is>
      </c>
      <c r="C33" s="12" t="inlineStr">
        <is>
          <t>컨설팅</t>
        </is>
      </c>
      <c r="D33" s="10" t="inlineStr">
        <is>
          <t>BIM 도입 컨설팅</t>
        </is>
      </c>
      <c r="E33" s="85" t="inlineStr">
        <is>
          <t>BIM 로드맵 수립·교육·운영 가이드</t>
        </is>
      </c>
      <c r="F33" s="85" t="inlineStr">
        <is>
          <t>BIM 전략, 컨설팅 스킬</t>
        </is>
      </c>
      <c r="G33" s="69" t="inlineStr">
        <is>
          <t>BIM컨설팅_BIM 도입 컨설팅</t>
        </is>
      </c>
    </row>
    <row r="34" ht="28.05" customHeight="1" s="86">
      <c r="A34" s="12" t="n">
        <v>29</v>
      </c>
      <c r="B34" s="10" t="inlineStr">
        <is>
          <t>BIM컨설팅</t>
        </is>
      </c>
      <c r="C34" s="12" t="inlineStr">
        <is>
          <t>컨설팅</t>
        </is>
      </c>
      <c r="D34" s="10" t="inlineStr">
        <is>
          <t>보고서 작성 및 발표</t>
        </is>
      </c>
      <c r="E34" s="85" t="inlineStr">
        <is>
          <t>컨설팅 결과 보고서·프레젠테이션</t>
        </is>
      </c>
      <c r="F34" s="85" t="inlineStr">
        <is>
          <t>문서작성, 발표력</t>
        </is>
      </c>
      <c r="G34" s="69" t="inlineStr">
        <is>
          <t>BIM컨설팅_보고서 작성 및 발표</t>
        </is>
      </c>
    </row>
    <row r="35" ht="28.05" customHeight="1" s="86">
      <c r="A35" s="12" t="n">
        <v>30</v>
      </c>
      <c r="B35" s="10" t="inlineStr">
        <is>
          <t>BIM컨설팅</t>
        </is>
      </c>
      <c r="C35" s="12" t="inlineStr">
        <is>
          <t>프로젝트관리</t>
        </is>
      </c>
      <c r="D35" s="10" t="inlineStr">
        <is>
          <t>일정 및 자원 관리</t>
        </is>
      </c>
      <c r="E35" s="85" t="inlineStr">
        <is>
          <t>WBS 수립·일정 관리·인력 자원 배분</t>
        </is>
      </c>
      <c r="F35" s="85" t="inlineStr">
        <is>
          <t>PM 기법, 일정관리</t>
        </is>
      </c>
      <c r="G35" s="69" t="inlineStr">
        <is>
          <t>BIM컨설팅_일정 및 자원 관리</t>
        </is>
      </c>
    </row>
    <row r="36" ht="28.05" customHeight="1" s="86">
      <c r="A36" s="12" t="n">
        <v>31</v>
      </c>
      <c r="B36" s="10" t="inlineStr">
        <is>
          <t>BIM컨설팅</t>
        </is>
      </c>
      <c r="C36" s="12" t="inlineStr">
        <is>
          <t>프로젝트관리</t>
        </is>
      </c>
      <c r="D36" s="10" t="inlineStr">
        <is>
          <t>품질 관리</t>
        </is>
      </c>
      <c r="E36" s="85" t="inlineStr">
        <is>
          <t>산출물 품질 기준 정의·검수 프로세스</t>
        </is>
      </c>
      <c r="F36" s="85" t="inlineStr">
        <is>
          <t>품질관리 도구</t>
        </is>
      </c>
      <c r="G36" s="69" t="inlineStr">
        <is>
          <t>BIM컨설팅_품질 관리</t>
        </is>
      </c>
    </row>
    <row r="37" ht="28.05" customHeight="1" s="86">
      <c r="A37" s="12" t="n">
        <v>32</v>
      </c>
      <c r="B37" s="10" t="inlineStr">
        <is>
          <t>BIM컨설팅</t>
        </is>
      </c>
      <c r="C37" s="12" t="inlineStr">
        <is>
          <t>프로젝트관리</t>
        </is>
      </c>
      <c r="D37" s="10" t="inlineStr">
        <is>
          <t>리스크 관리</t>
        </is>
      </c>
      <c r="E37" s="85" t="inlineStr">
        <is>
          <t>프로젝트 리스크 식별·대응계획</t>
        </is>
      </c>
      <c r="F37" s="85" t="inlineStr">
        <is>
          <t>리스크 분석</t>
        </is>
      </c>
      <c r="G37" s="69" t="inlineStr">
        <is>
          <t>BIM컨설팅_리스크 관리</t>
        </is>
      </c>
    </row>
    <row r="38" ht="28.05" customHeight="1" s="86">
      <c r="A38" s="12" t="n">
        <v>33</v>
      </c>
      <c r="B38" s="10" t="inlineStr">
        <is>
          <t>BIM컨설팅</t>
        </is>
      </c>
      <c r="C38" s="12" t="inlineStr">
        <is>
          <t>기술개발</t>
        </is>
      </c>
      <c r="D38" s="10" t="inlineStr">
        <is>
          <t>BIM 라이브러리 구축</t>
        </is>
      </c>
      <c r="E38" s="85" t="inlineStr">
        <is>
          <t>재사용 가능한 BIM 컴포넌트 라이브러리</t>
        </is>
      </c>
      <c r="F38" s="85" t="inlineStr">
        <is>
          <t>BIM 라이브러리 관리</t>
        </is>
      </c>
      <c r="G38" s="69" t="inlineStr">
        <is>
          <t>BIM컨설팅_BIM 라이브러리 구축</t>
        </is>
      </c>
    </row>
    <row r="39" ht="28.05" customHeight="1" s="86">
      <c r="A39" s="12" t="n">
        <v>34</v>
      </c>
      <c r="B39" s="10" t="inlineStr">
        <is>
          <t>BIM컨설팅</t>
        </is>
      </c>
      <c r="C39" s="12" t="inlineStr">
        <is>
          <t>기술개발</t>
        </is>
      </c>
      <c r="D39" s="10" t="inlineStr">
        <is>
          <t>내부 가이드라인 작성</t>
        </is>
      </c>
      <c r="E39" s="85" t="inlineStr">
        <is>
          <t>BIM 작업 표준·매뉴얼 작성</t>
        </is>
      </c>
      <c r="F39" s="85" t="inlineStr">
        <is>
          <t>문서화, 표준화</t>
        </is>
      </c>
      <c r="G39" s="69" t="inlineStr">
        <is>
          <t>BIM컨설팅_내부 가이드라인 작성</t>
        </is>
      </c>
    </row>
    <row r="40" ht="28.05" customHeight="1" s="86">
      <c r="A40" s="12" t="n">
        <v>35</v>
      </c>
      <c r="B40" s="10" t="inlineStr">
        <is>
          <t>프로젝트영업</t>
        </is>
      </c>
      <c r="C40" s="12" t="inlineStr">
        <is>
          <t>영업기획</t>
        </is>
      </c>
      <c r="D40" s="10" t="inlineStr">
        <is>
          <t>시장조사 및 고객 발굴</t>
        </is>
      </c>
      <c r="E40" s="85" t="inlineStr">
        <is>
          <t>잠재고객·발주처 발굴·시장정보 수집</t>
        </is>
      </c>
      <c r="F40" s="85" t="inlineStr">
        <is>
          <t>시장조사, 고객발굴</t>
        </is>
      </c>
      <c r="G40" s="69" t="inlineStr">
        <is>
          <t>프로젝트영업_시장조사 및 고객 발굴</t>
        </is>
      </c>
    </row>
    <row r="41" ht="28.05" customHeight="1" s="86">
      <c r="A41" s="12" t="n">
        <v>36</v>
      </c>
      <c r="B41" s="10" t="inlineStr">
        <is>
          <t>프로젝트영업</t>
        </is>
      </c>
      <c r="C41" s="12" t="inlineStr">
        <is>
          <t>영업기획</t>
        </is>
      </c>
      <c r="D41" s="10" t="inlineStr">
        <is>
          <t>제안 및 입찰 준비</t>
        </is>
      </c>
      <c r="E41" s="85" t="inlineStr">
        <is>
          <t>제안서 작성·입찰서류 준비·견적</t>
        </is>
      </c>
      <c r="F41" s="85" t="inlineStr">
        <is>
          <t>제안서 작성, 견적</t>
        </is>
      </c>
      <c r="G41" s="69" t="inlineStr">
        <is>
          <t>프로젝트영업_제안 및 입찰 준비</t>
        </is>
      </c>
    </row>
    <row r="42" ht="28.05" customHeight="1" s="86">
      <c r="A42" s="12" t="n">
        <v>37</v>
      </c>
      <c r="B42" s="10" t="inlineStr">
        <is>
          <t>프로젝트영업</t>
        </is>
      </c>
      <c r="C42" s="12" t="inlineStr">
        <is>
          <t>영업기획</t>
        </is>
      </c>
      <c r="D42" s="10" t="inlineStr">
        <is>
          <t>계약 협상</t>
        </is>
      </c>
      <c r="E42" s="85" t="inlineStr">
        <is>
          <t>발주처와 계약 조건 협상·체결</t>
        </is>
      </c>
      <c r="F42" s="85" t="inlineStr">
        <is>
          <t>협상, 계약법 이해</t>
        </is>
      </c>
      <c r="G42" s="69" t="inlineStr">
        <is>
          <t>프로젝트영업_계약 협상</t>
        </is>
      </c>
    </row>
    <row r="43" ht="28.05" customHeight="1" s="86">
      <c r="A43" s="12" t="n">
        <v>38</v>
      </c>
      <c r="B43" s="10" t="inlineStr">
        <is>
          <t>프로젝트영업</t>
        </is>
      </c>
      <c r="C43" s="12" t="inlineStr">
        <is>
          <t>고객관리</t>
        </is>
      </c>
      <c r="D43" s="10" t="inlineStr">
        <is>
          <t>기존 고객 관리</t>
        </is>
      </c>
      <c r="E43" s="85" t="inlineStr">
        <is>
          <t>주요 고객 정기 미팅·관계 유지</t>
        </is>
      </c>
      <c r="F43" s="85" t="inlineStr">
        <is>
          <t>고객관리, 커뮤니케이션</t>
        </is>
      </c>
      <c r="G43" s="69" t="inlineStr">
        <is>
          <t>프로젝트영업_기존 고객 관리</t>
        </is>
      </c>
    </row>
    <row r="44" ht="28.05" customHeight="1" s="86">
      <c r="A44" s="12" t="n">
        <v>39</v>
      </c>
      <c r="B44" s="10" t="inlineStr">
        <is>
          <t>프로젝트영업</t>
        </is>
      </c>
      <c r="C44" s="12" t="inlineStr">
        <is>
          <t>고객관리</t>
        </is>
      </c>
      <c r="D44" s="10" t="inlineStr">
        <is>
          <t>신규 고객 개발</t>
        </is>
      </c>
      <c r="E44" s="85" t="inlineStr">
        <is>
          <t>네트워킹·세미나 참여·인맥 확장</t>
        </is>
      </c>
      <c r="F44" s="85" t="inlineStr">
        <is>
          <t>네트워킹, 영업</t>
        </is>
      </c>
      <c r="G44" s="69" t="inlineStr">
        <is>
          <t>프로젝트영업_신규 고객 개발</t>
        </is>
      </c>
    </row>
    <row r="45" ht="28.05" customHeight="1" s="86">
      <c r="A45" s="12" t="n">
        <v>40</v>
      </c>
      <c r="B45" s="10" t="inlineStr">
        <is>
          <t>프로젝트영업</t>
        </is>
      </c>
      <c r="C45" s="12" t="inlineStr">
        <is>
          <t>프로젝트 영업</t>
        </is>
      </c>
      <c r="D45" s="10" t="inlineStr">
        <is>
          <t>프로젝트 발굴 및 수주</t>
        </is>
      </c>
      <c r="E45" s="85" t="inlineStr">
        <is>
          <t>공공·민간 프로젝트 발굴·수주 활동</t>
        </is>
      </c>
      <c r="F45" s="85" t="inlineStr">
        <is>
          <t>프로젝트 이해, 영업</t>
        </is>
      </c>
      <c r="G45" s="69" t="inlineStr">
        <is>
          <t>프로젝트영업_프로젝트 발굴 및 수주</t>
        </is>
      </c>
    </row>
    <row r="46" ht="28.05" customHeight="1" s="86">
      <c r="A46" s="12" t="n">
        <v>41</v>
      </c>
      <c r="B46" s="10" t="inlineStr">
        <is>
          <t>프로젝트영업</t>
        </is>
      </c>
      <c r="C46" s="12" t="inlineStr">
        <is>
          <t>프로젝트 영업</t>
        </is>
      </c>
      <c r="D46" s="10" t="inlineStr">
        <is>
          <t>계약 후 사후관리</t>
        </is>
      </c>
      <c r="E46" s="85" t="inlineStr">
        <is>
          <t>CS·추가 수주·재계약</t>
        </is>
      </c>
      <c r="F46" s="85" t="inlineStr">
        <is>
          <t>고객 관리, 관계 유지</t>
        </is>
      </c>
      <c r="G46" s="69" t="inlineStr">
        <is>
          <t>프로젝트영업_계약 후 사후관리</t>
        </is>
      </c>
    </row>
    <row r="47" ht="28.05" customHeight="1" s="86">
      <c r="A47" s="12" t="n">
        <v>42</v>
      </c>
      <c r="B47" s="10" t="inlineStr">
        <is>
          <t>SW판매영업</t>
        </is>
      </c>
      <c r="C47" s="12" t="inlineStr">
        <is>
          <t>SW 영업</t>
        </is>
      </c>
      <c r="D47" s="10" t="inlineStr">
        <is>
          <t>SW 패키지 영업</t>
        </is>
      </c>
      <c r="E47" s="85" t="inlineStr">
        <is>
          <t>BIM·CAD SW 패키지 판매·시연</t>
        </is>
      </c>
      <c r="F47" s="85" t="inlineStr">
        <is>
          <t>SW 지식, 영업</t>
        </is>
      </c>
      <c r="G47" s="69" t="inlineStr">
        <is>
          <t>SW판매영업_SW 패키지 영업</t>
        </is>
      </c>
    </row>
    <row r="48" ht="28.05" customHeight="1" s="86">
      <c r="A48" s="12" t="n">
        <v>43</v>
      </c>
      <c r="B48" s="10" t="inlineStr">
        <is>
          <t>SW판매영업</t>
        </is>
      </c>
      <c r="C48" s="12" t="inlineStr">
        <is>
          <t>SW 영업</t>
        </is>
      </c>
      <c r="D48" s="10" t="inlineStr">
        <is>
          <t>라이선스 관리·갱신</t>
        </is>
      </c>
      <c r="E48" s="85" t="inlineStr">
        <is>
          <t>라이선스 발급·갱신·관리</t>
        </is>
      </c>
      <c r="F48" s="85" t="inlineStr">
        <is>
          <t>라이선스 관리</t>
        </is>
      </c>
      <c r="G48" s="69" t="inlineStr">
        <is>
          <t>SW판매영업_라이선스 관리·갱신</t>
        </is>
      </c>
    </row>
    <row r="49" ht="28.05" customHeight="1" s="86">
      <c r="A49" s="12" t="n">
        <v>44</v>
      </c>
      <c r="B49" s="10" t="inlineStr">
        <is>
          <t>SW판매영업</t>
        </is>
      </c>
      <c r="C49" s="12" t="inlineStr">
        <is>
          <t>파트너십</t>
        </is>
      </c>
      <c r="D49" s="10" t="inlineStr">
        <is>
          <t>파트너사 관리</t>
        </is>
      </c>
      <c r="E49" s="85" t="inlineStr">
        <is>
          <t>벤더·총판·리셀러 네트워크 관리</t>
        </is>
      </c>
      <c r="F49" s="85" t="inlineStr">
        <is>
          <t>파트너 관리</t>
        </is>
      </c>
      <c r="G49" s="69" t="inlineStr">
        <is>
          <t>SW판매영업_파트너사 관리</t>
        </is>
      </c>
    </row>
    <row r="50" ht="28.05" customHeight="1" s="86">
      <c r="A50" s="12" t="n">
        <v>45</v>
      </c>
      <c r="B50" s="10" t="inlineStr">
        <is>
          <t>SW판매영업</t>
        </is>
      </c>
      <c r="C50" s="12" t="inlineStr">
        <is>
          <t>고객지원</t>
        </is>
      </c>
      <c r="D50" s="10" t="inlineStr">
        <is>
          <t>고객 기술 지원</t>
        </is>
      </c>
      <c r="E50" s="85" t="inlineStr">
        <is>
          <t>도입 컨설팅·초기 셋업 지원</t>
        </is>
      </c>
      <c r="F50" s="85" t="inlineStr">
        <is>
          <t>기술 이해, 고객 응대</t>
        </is>
      </c>
      <c r="G50" s="69" t="inlineStr">
        <is>
          <t>SW판매영업_고객 기술 지원</t>
        </is>
      </c>
    </row>
    <row r="51" ht="28.05" customHeight="1" s="86">
      <c r="A51" s="12" t="n">
        <v>46</v>
      </c>
      <c r="B51" s="10" t="inlineStr">
        <is>
          <t>교육</t>
        </is>
      </c>
      <c r="C51" s="12" t="inlineStr">
        <is>
          <t>교육 기획</t>
        </is>
      </c>
      <c r="D51" s="10" t="inlineStr">
        <is>
          <t>교육과정 기획</t>
        </is>
      </c>
      <c r="E51" s="85" t="inlineStr">
        <is>
          <t>연간 교육과정 설계·커리큘럼 수립</t>
        </is>
      </c>
      <c r="F51" s="85" t="inlineStr">
        <is>
          <t>교육 기획, 커리큘럼 설계</t>
        </is>
      </c>
      <c r="G51" s="69" t="inlineStr">
        <is>
          <t>교육_교육과정 기획</t>
        </is>
      </c>
    </row>
    <row r="52" ht="28.05" customHeight="1" s="86">
      <c r="A52" s="12" t="n">
        <v>47</v>
      </c>
      <c r="B52" s="10" t="inlineStr">
        <is>
          <t>교육</t>
        </is>
      </c>
      <c r="C52" s="12" t="inlineStr">
        <is>
          <t>교육 기획</t>
        </is>
      </c>
      <c r="D52" s="10" t="inlineStr">
        <is>
          <t>교재 개발</t>
        </is>
      </c>
      <c r="E52" s="85" t="inlineStr">
        <is>
          <t>BIM·SW 실습 교재 작성·업데이트</t>
        </is>
      </c>
      <c r="F52" s="85" t="inlineStr">
        <is>
          <t>교재 개발, 문서화</t>
        </is>
      </c>
      <c r="G52" s="69" t="inlineStr">
        <is>
          <t>교육_교재 개발</t>
        </is>
      </c>
    </row>
    <row r="53" ht="28.05" customHeight="1" s="86">
      <c r="A53" s="12" t="n">
        <v>48</v>
      </c>
      <c r="B53" s="10" t="inlineStr">
        <is>
          <t>교육</t>
        </is>
      </c>
      <c r="C53" s="12" t="inlineStr">
        <is>
          <t>교육 운영</t>
        </is>
      </c>
      <c r="D53" s="10" t="inlineStr">
        <is>
          <t>교육 진행 및 강의</t>
        </is>
      </c>
      <c r="E53" s="85" t="inlineStr">
        <is>
          <t>오프라인·온라인 강의 진행</t>
        </is>
      </c>
      <c r="F53" s="85" t="inlineStr">
        <is>
          <t>강의 역량, 발표력</t>
        </is>
      </c>
      <c r="G53" s="69" t="inlineStr">
        <is>
          <t>교육_교육 진행 및 강의</t>
        </is>
      </c>
    </row>
    <row r="54" ht="28.05" customHeight="1" s="86">
      <c r="A54" s="12" t="n">
        <v>49</v>
      </c>
      <c r="B54" s="10" t="inlineStr">
        <is>
          <t>교육</t>
        </is>
      </c>
      <c r="C54" s="12" t="inlineStr">
        <is>
          <t>교육 운영</t>
        </is>
      </c>
      <c r="D54" s="10" t="inlineStr">
        <is>
          <t>실습 지원</t>
        </is>
      </c>
      <c r="E54" s="85" t="inlineStr">
        <is>
          <t>실습 환경 구축·수강생 지원</t>
        </is>
      </c>
      <c r="F54" s="85" t="inlineStr">
        <is>
          <t>실습 지원</t>
        </is>
      </c>
      <c r="G54" s="69" t="inlineStr">
        <is>
          <t>교육_실습 지원</t>
        </is>
      </c>
    </row>
    <row r="55" ht="28.05" customHeight="1" s="86">
      <c r="A55" s="12" t="n">
        <v>50</v>
      </c>
      <c r="B55" s="10" t="inlineStr">
        <is>
          <t>교육</t>
        </is>
      </c>
      <c r="C55" s="12" t="inlineStr">
        <is>
          <t>교육 운영</t>
        </is>
      </c>
      <c r="D55" s="10" t="inlineStr">
        <is>
          <t>평가 및 피드백</t>
        </is>
      </c>
      <c r="E55" s="85" t="inlineStr">
        <is>
          <t>교육 평가·만족도 조사·개선</t>
        </is>
      </c>
      <c r="F55" s="85" t="inlineStr">
        <is>
          <t>평가 설계, 피드백</t>
        </is>
      </c>
      <c r="G55" s="69" t="inlineStr">
        <is>
          <t>교육_평가 및 피드백</t>
        </is>
      </c>
    </row>
    <row r="56" ht="28.05" customHeight="1" s="86">
      <c r="A56" s="12" t="n">
        <v>51</v>
      </c>
      <c r="B56" s="10" t="inlineStr">
        <is>
          <t>교육</t>
        </is>
      </c>
      <c r="C56" s="12" t="inlineStr">
        <is>
          <t>수료/인증</t>
        </is>
      </c>
      <c r="D56" s="10" t="inlineStr">
        <is>
          <t>수료 관리·인증 발급</t>
        </is>
      </c>
      <c r="E56" s="85" t="inlineStr">
        <is>
          <t>수강생 관리·수료증·인증 발급</t>
        </is>
      </c>
      <c r="F56" s="85" t="inlineStr">
        <is>
          <t>행정관리</t>
        </is>
      </c>
      <c r="G56" s="69" t="inlineStr">
        <is>
          <t>교육_수료 관리·인증 발급</t>
        </is>
      </c>
    </row>
    <row r="57" ht="28.05" customHeight="1" s="86">
      <c r="A57" s="12" t="n">
        <v>52</v>
      </c>
      <c r="B57" s="10" t="inlineStr">
        <is>
          <t>기술지원</t>
        </is>
      </c>
      <c r="C57" s="12" t="inlineStr">
        <is>
          <t>기술지원</t>
        </is>
      </c>
      <c r="D57" s="10" t="inlineStr">
        <is>
          <t>고객 문의 대응</t>
        </is>
      </c>
      <c r="E57" s="85" t="inlineStr">
        <is>
          <t>제품 사용·트러블슈팅 대응</t>
        </is>
      </c>
      <c r="F57" s="85" t="inlineStr">
        <is>
          <t>제품 지식, 커뮤니케이션</t>
        </is>
      </c>
      <c r="G57" s="69" t="inlineStr">
        <is>
          <t>기술지원_고객 문의 대응</t>
        </is>
      </c>
    </row>
    <row r="58" ht="28.05" customHeight="1" s="86">
      <c r="A58" s="12" t="n">
        <v>53</v>
      </c>
      <c r="B58" s="10" t="inlineStr">
        <is>
          <t>기술지원</t>
        </is>
      </c>
      <c r="C58" s="12" t="inlineStr">
        <is>
          <t>기술지원</t>
        </is>
      </c>
      <c r="D58" s="10" t="inlineStr">
        <is>
          <t>원격·현장 지원</t>
        </is>
      </c>
      <c r="E58" s="85" t="inlineStr">
        <is>
          <t>원격 접속·현장 방문 지원</t>
        </is>
      </c>
      <c r="F58" s="85" t="inlineStr">
        <is>
          <t>문제해결, 현장 대응</t>
        </is>
      </c>
      <c r="G58" s="69" t="inlineStr">
        <is>
          <t>기술지원_원격·현장 지원</t>
        </is>
      </c>
    </row>
    <row r="59" ht="28.05" customHeight="1" s="86">
      <c r="A59" s="12" t="n">
        <v>54</v>
      </c>
      <c r="B59" s="10" t="inlineStr">
        <is>
          <t>기술지원</t>
        </is>
      </c>
      <c r="C59" s="12" t="inlineStr">
        <is>
          <t>기술지원</t>
        </is>
      </c>
      <c r="D59" s="10" t="inlineStr">
        <is>
          <t>기술 문서 작성</t>
        </is>
      </c>
      <c r="E59" s="85" t="inlineStr">
        <is>
          <t>FAQ·매뉴얼·트러블슈팅 가이드 작성</t>
        </is>
      </c>
      <c r="F59" s="85" t="inlineStr">
        <is>
          <t>문서화</t>
        </is>
      </c>
      <c r="G59" s="69" t="inlineStr">
        <is>
          <t>기술지원_기술 문서 작성</t>
        </is>
      </c>
    </row>
    <row r="60" ht="28.05" customHeight="1" s="86">
      <c r="A60" s="12" t="n">
        <v>55</v>
      </c>
      <c r="B60" s="10" t="inlineStr">
        <is>
          <t>기술지원</t>
        </is>
      </c>
      <c r="C60" s="12" t="inlineStr">
        <is>
          <t>품질개선</t>
        </is>
      </c>
      <c r="D60" s="10" t="inlineStr">
        <is>
          <t>버그 리포트 및 피드백</t>
        </is>
      </c>
      <c r="E60" s="85" t="inlineStr">
        <is>
          <t>개발팀에 버그·개선요청 전달</t>
        </is>
      </c>
      <c r="F60" s="85" t="inlineStr">
        <is>
          <t>커뮤니케이션, 기록</t>
        </is>
      </c>
      <c r="G60" s="69" t="inlineStr">
        <is>
          <t>기술지원_버그 리포트 및 피드백</t>
        </is>
      </c>
    </row>
    <row r="61" ht="28.05" customHeight="1" s="86">
      <c r="A61" s="12" t="n">
        <v>56</v>
      </c>
      <c r="B61" s="10" t="inlineStr">
        <is>
          <t>기술지원</t>
        </is>
      </c>
      <c r="C61" s="12" t="inlineStr">
        <is>
          <t>품질개선</t>
        </is>
      </c>
      <c r="D61" s="10" t="inlineStr">
        <is>
          <t>품질 모니터링</t>
        </is>
      </c>
      <c r="E61" s="85" t="inlineStr">
        <is>
          <t>고객 사용 패턴·문제유형 모니터링</t>
        </is>
      </c>
      <c r="F61" s="85" t="inlineStr">
        <is>
          <t>데이터 분석</t>
        </is>
      </c>
      <c r="G61" s="69" t="inlineStr">
        <is>
          <t>기술지원_품질 모니터링</t>
        </is>
      </c>
    </row>
    <row r="62" ht="28.05" customHeight="1" s="86">
      <c r="A62" s="12" t="n">
        <v>57</v>
      </c>
      <c r="B62" s="10" t="inlineStr">
        <is>
          <t>연구개발(R&amp;D)</t>
        </is>
      </c>
      <c r="C62" s="12" t="inlineStr">
        <is>
          <t>건설SW개발</t>
        </is>
      </c>
      <c r="D62" s="10" t="inlineStr">
        <is>
          <t>요구사항 분석·설계</t>
        </is>
      </c>
      <c r="E62" s="85" t="inlineStr">
        <is>
          <t>고객 요구사항·기능 명세 설계</t>
        </is>
      </c>
      <c r="F62" s="85" t="inlineStr">
        <is>
          <t>요구분석, 시스템 설계</t>
        </is>
      </c>
      <c r="G62" s="69" t="inlineStr">
        <is>
          <t>연구개발(R&amp;D)_요구사항 분석·설계</t>
        </is>
      </c>
    </row>
    <row r="63" ht="28.05" customHeight="1" s="86">
      <c r="A63" s="12" t="n">
        <v>58</v>
      </c>
      <c r="B63" s="10" t="inlineStr">
        <is>
          <t>연구개발(R&amp;D)</t>
        </is>
      </c>
      <c r="C63" s="12" t="inlineStr">
        <is>
          <t>건설SW개발</t>
        </is>
      </c>
      <c r="D63" s="10" t="inlineStr">
        <is>
          <t>코딩 및 단위 테스트</t>
        </is>
      </c>
      <c r="E63" s="85" t="inlineStr">
        <is>
          <t>C#/Python/JavaScript 개발·테스트</t>
        </is>
      </c>
      <c r="F63" s="85" t="inlineStr">
        <is>
          <t>프로그래밍, 테스트</t>
        </is>
      </c>
      <c r="G63" s="69" t="inlineStr">
        <is>
          <t>연구개발(R&amp;D)_코딩 및 단위 테스트</t>
        </is>
      </c>
    </row>
    <row r="64" ht="28.05" customHeight="1" s="86">
      <c r="A64" s="12" t="n">
        <v>59</v>
      </c>
      <c r="B64" s="10" t="inlineStr">
        <is>
          <t>연구개발(R&amp;D)</t>
        </is>
      </c>
      <c r="C64" s="12" t="inlineStr">
        <is>
          <t>건설SW개발</t>
        </is>
      </c>
      <c r="D64" s="10" t="inlineStr">
        <is>
          <t>통합 및 배포</t>
        </is>
      </c>
      <c r="E64" s="85" t="inlineStr">
        <is>
          <t>빌드·배포·CI/CD 운영</t>
        </is>
      </c>
      <c r="F64" s="85" t="inlineStr">
        <is>
          <t>DevOps, 통합</t>
        </is>
      </c>
      <c r="G64" s="69" t="inlineStr">
        <is>
          <t>연구개발(R&amp;D)_통합 및 배포</t>
        </is>
      </c>
    </row>
    <row r="65" ht="28.05" customHeight="1" s="86">
      <c r="A65" s="12" t="n">
        <v>60</v>
      </c>
      <c r="B65" s="10" t="inlineStr">
        <is>
          <t>연구개발(R&amp;D)</t>
        </is>
      </c>
      <c r="C65" s="12" t="inlineStr">
        <is>
          <t>국책연구과제</t>
        </is>
      </c>
      <c r="D65" s="10" t="inlineStr">
        <is>
          <t>과제 기획·제안</t>
        </is>
      </c>
      <c r="E65" s="85" t="inlineStr">
        <is>
          <t>국토부·과기부 연구과제 발굴·제안서</t>
        </is>
      </c>
      <c r="F65" s="85" t="inlineStr">
        <is>
          <t>제안서 작성, R&amp;D 기획</t>
        </is>
      </c>
      <c r="G65" s="69" t="inlineStr">
        <is>
          <t>연구개발(R&amp;D)_과제 기획·제안</t>
        </is>
      </c>
    </row>
    <row r="66" ht="28.05" customHeight="1" s="86">
      <c r="A66" s="12" t="n">
        <v>61</v>
      </c>
      <c r="B66" s="10" t="inlineStr">
        <is>
          <t>연구개발(R&amp;D)</t>
        </is>
      </c>
      <c r="C66" s="12" t="inlineStr">
        <is>
          <t>국책연구과제</t>
        </is>
      </c>
      <c r="D66" s="10" t="inlineStr">
        <is>
          <t>연구 수행 및 보고</t>
        </is>
      </c>
      <c r="E66" s="85" t="inlineStr">
        <is>
          <t>연구 실행·중간보고·최종보고</t>
        </is>
      </c>
      <c r="F66" s="85" t="inlineStr">
        <is>
          <t>연구방법론, 보고서 작성</t>
        </is>
      </c>
      <c r="G66" s="69" t="inlineStr">
        <is>
          <t>연구개발(R&amp;D)_연구 수행 및 보고</t>
        </is>
      </c>
    </row>
    <row r="67" ht="28.05" customHeight="1" s="86">
      <c r="A67" s="12" t="n">
        <v>62</v>
      </c>
      <c r="B67" s="10" t="inlineStr">
        <is>
          <t>연구개발(R&amp;D)</t>
        </is>
      </c>
      <c r="C67" s="12" t="inlineStr">
        <is>
          <t>국책연구과제</t>
        </is>
      </c>
      <c r="D67" s="10" t="inlineStr">
        <is>
          <t>특허·논문</t>
        </is>
      </c>
      <c r="E67" s="85" t="inlineStr">
        <is>
          <t>특허 출원·학술논문 발표</t>
        </is>
      </c>
      <c r="F67" s="85" t="inlineStr">
        <is>
          <t>특허·논문 작성</t>
        </is>
      </c>
      <c r="G67" s="69" t="inlineStr">
        <is>
          <t>연구개발(R&amp;D)_특허·논문</t>
        </is>
      </c>
    </row>
    <row r="68" ht="28.05" customHeight="1" s="86">
      <c r="A68" s="12" t="n">
        <v>63</v>
      </c>
      <c r="B68" s="10" t="inlineStr">
        <is>
          <t>연구개발(R&amp;D)</t>
        </is>
      </c>
      <c r="C68" s="12" t="inlineStr">
        <is>
          <t>품질관리</t>
        </is>
      </c>
      <c r="D68" s="10" t="inlineStr">
        <is>
          <t>코드 리뷰·품질 표준</t>
        </is>
      </c>
      <c r="E68" s="85" t="inlineStr">
        <is>
          <t>코드 리뷰·정적 분석·품질 표준</t>
        </is>
      </c>
      <c r="F68" s="85" t="inlineStr">
        <is>
          <t>코드 품질</t>
        </is>
      </c>
      <c r="G68" s="69" t="inlineStr">
        <is>
          <t>연구개발(R&amp;D)_코드 리뷰·품질 표준</t>
        </is>
      </c>
    </row>
    <row r="69" ht="28.05" customHeight="1" s="86"/>
    <row r="70" ht="28.05" customHeight="1" s="86"/>
    <row r="71" ht="28.05" customHeight="1" s="86"/>
    <row r="72" ht="28.05" customHeight="1" s="86"/>
    <row r="73" ht="28.05" customHeight="1" s="86"/>
    <row r="74" ht="28.05" customHeight="1" s="86"/>
  </sheetData>
  <mergeCells count="2"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C00000"/>
    <outlinePr summaryBelow="1" summaryRight="1"/>
    <pageSetUpPr/>
  </sheetPr>
  <dimension ref="A1:Z71"/>
  <sheetViews>
    <sheetView workbookViewId="0">
      <pane xSplit="5" ySplit="3" topLeftCell="F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5" customWidth="1" style="86" min="1" max="1"/>
    <col width="10" customWidth="1" style="86" min="2" max="2"/>
    <col width="14" customWidth="1" style="86" min="3" max="4"/>
    <col width="11" customWidth="1" style="86" min="5" max="5"/>
    <col width="9" customWidth="1" style="86" min="6" max="24"/>
  </cols>
  <sheetData>
    <row r="1" ht="30" customHeight="1" s="86">
      <c r="A1" s="82" t="inlineStr">
        <is>
          <t xml:space="preserve">★ 직원별 메인 책무 매핑 </t>
        </is>
      </c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66" t="n"/>
      <c r="P1" s="66" t="n"/>
      <c r="Q1" s="66" t="n"/>
      <c r="R1" s="66" t="n"/>
      <c r="S1" s="66" t="n"/>
      <c r="T1" s="66" t="n"/>
      <c r="U1" s="66" t="n"/>
      <c r="V1" s="66" t="n"/>
      <c r="W1" s="66" t="n"/>
      <c r="X1" s="66" t="n"/>
      <c r="Y1" s="66" t="n"/>
      <c r="Z1" s="67" t="n"/>
    </row>
    <row r="2" ht="22.05" customHeight="1" s="86">
      <c r="A2" s="80" t="inlineStr">
        <is>
          <t>각 직무 책무 헤더(파란 셀)는 고정. 직원 행의 책무 칸에 O(메인 책무) 또는 X(아님)만 입력. 메인 책무 수는 자동 카운트.</t>
        </is>
      </c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7" t="n"/>
    </row>
    <row r="3" ht="22.05" customHeight="1" s="86">
      <c r="A3" s="93" t="inlineStr">
        <is>
          <t>▶ 사용법: 직원별로 자신의 직무 섹션을 찾아 → 메인 책무 셀에 O, 비메인 셀에 X 입력 → E열(메인 책무 수)이 자동 갱신</t>
        </is>
      </c>
      <c r="B3" s="66" t="n"/>
      <c r="C3" s="66" t="n"/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7" t="n"/>
    </row>
    <row r="5" ht="26" customHeight="1" s="86">
      <c r="A5" s="87" t="inlineStr">
        <is>
          <t>■ 직무: 경영전략기획  (책무 19개)  |  해당 직원 5명</t>
        </is>
      </c>
      <c r="B5" s="66" t="n"/>
      <c r="C5" s="66" t="n"/>
      <c r="D5" s="66" t="n"/>
      <c r="E5" s="66" t="n"/>
      <c r="F5" s="66" t="n"/>
      <c r="G5" s="66" t="n"/>
      <c r="H5" s="66" t="n"/>
      <c r="I5" s="6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7" t="n"/>
    </row>
    <row r="6" ht="22.05" customHeight="1" s="86">
      <c r="A6" s="91" t="inlineStr">
        <is>
          <t>No.</t>
        </is>
      </c>
      <c r="B6" s="91" t="inlineStr">
        <is>
          <t>사번</t>
        </is>
      </c>
      <c r="C6" s="91" t="inlineStr">
        <is>
          <t>성명</t>
        </is>
      </c>
      <c r="D6" s="91" t="inlineStr">
        <is>
          <t>부서</t>
        </is>
      </c>
      <c r="E6" s="91" t="inlineStr">
        <is>
          <t>메인 책무 수</t>
        </is>
      </c>
      <c r="F6" s="90" t="inlineStr">
        <is>
          <t>경영기획</t>
        </is>
      </c>
      <c r="G6" s="66" t="n"/>
      <c r="H6" s="66" t="n"/>
      <c r="I6" s="66" t="n"/>
      <c r="J6" s="66" t="n"/>
      <c r="K6" s="67" t="n"/>
      <c r="L6" s="90" t="inlineStr">
        <is>
          <t>인사총무</t>
        </is>
      </c>
      <c r="M6" s="66" t="n"/>
      <c r="N6" s="66" t="n"/>
      <c r="O6" s="66" t="n"/>
      <c r="P6" s="67" t="n"/>
      <c r="Q6" s="90" t="inlineStr">
        <is>
          <t>재무회계</t>
        </is>
      </c>
      <c r="R6" s="66" t="n"/>
      <c r="S6" s="66" t="n"/>
      <c r="T6" s="66" t="n"/>
      <c r="U6" s="67" t="n"/>
      <c r="V6" s="90" t="inlineStr">
        <is>
          <t>마케팅</t>
        </is>
      </c>
      <c r="W6" s="66" t="n"/>
      <c r="X6" s="67" t="n"/>
    </row>
    <row r="7" ht="60" customHeight="1" s="86">
      <c r="A7" s="92" t="n"/>
      <c r="B7" s="92" t="n"/>
      <c r="C7" s="92" t="n"/>
      <c r="D7" s="92" t="n"/>
      <c r="E7" s="92" t="n"/>
      <c r="F7" s="42" t="inlineStr">
        <is>
          <t>중장기 경영전략 수립</t>
        </is>
      </c>
      <c r="G7" s="42" t="inlineStr">
        <is>
          <t>조직 목표 및 KPI 관리</t>
        </is>
      </c>
      <c r="H7" s="42" t="inlineStr">
        <is>
          <t>경영계획 및 예산수립</t>
        </is>
      </c>
      <c r="I7" s="42" t="inlineStr">
        <is>
          <t>경영평가 및 모니터링</t>
        </is>
      </c>
      <c r="J7" s="42" t="inlineStr">
        <is>
          <t>신규 사업 기획 및 타당성 검토</t>
        </is>
      </c>
      <c r="K7" s="42" t="inlineStr">
        <is>
          <t>리스크 성과분석</t>
        </is>
      </c>
      <c r="L7" s="42" t="inlineStr">
        <is>
          <t>인사관리 및 인력운영</t>
        </is>
      </c>
      <c r="M7" s="42" t="inlineStr">
        <is>
          <t>급여 및 복리후생</t>
        </is>
      </c>
      <c r="N7" s="42" t="inlineStr">
        <is>
          <t>총무 및 자산관리</t>
        </is>
      </c>
      <c r="O7" s="42" t="inlineStr">
        <is>
          <t>노무 및 법규</t>
        </is>
      </c>
      <c r="P7" s="42" t="inlineStr">
        <is>
          <t>조직문화 및 사내행사</t>
        </is>
      </c>
      <c r="Q7" s="42" t="inlineStr">
        <is>
          <t>재무 전략 및 자금 관리</t>
        </is>
      </c>
      <c r="R7" s="42" t="inlineStr">
        <is>
          <t>회계 관리 및 결산</t>
        </is>
      </c>
      <c r="S7" s="42" t="inlineStr">
        <is>
          <t>결산 및 세무</t>
        </is>
      </c>
      <c r="T7" s="42" t="inlineStr">
        <is>
          <t>프로젝트 손익 및 원가관리</t>
        </is>
      </c>
      <c r="U7" s="42" t="inlineStr">
        <is>
          <t>자금 및 경영지원</t>
        </is>
      </c>
      <c r="V7" s="42" t="inlineStr">
        <is>
          <t>마케팅 전략 수립</t>
        </is>
      </c>
      <c r="W7" s="42" t="inlineStr">
        <is>
          <t>브랜드 마케팅</t>
        </is>
      </c>
      <c r="X7" s="42" t="inlineStr">
        <is>
          <t>컨텐츠 마케팅</t>
        </is>
      </c>
    </row>
    <row r="8" ht="22.05" customHeight="1" s="86">
      <c r="A8" s="12" t="n">
        <v>1</v>
      </c>
      <c r="B8" s="75" t="inlineStr">
        <is>
          <t>BSS-004</t>
        </is>
      </c>
      <c r="C8" s="10" t="inlineStr">
        <is>
          <t>이일곤 (G6)</t>
        </is>
      </c>
      <c r="D8" s="69" t="inlineStr">
        <is>
          <t>경영전략실</t>
        </is>
      </c>
      <c r="E8" s="40">
        <f>COUNTIF(F8:X8,"O")</f>
        <v/>
      </c>
      <c r="F8" s="17" t="inlineStr">
        <is>
          <t>X</t>
        </is>
      </c>
      <c r="G8" s="17" t="inlineStr">
        <is>
          <t>X</t>
        </is>
      </c>
      <c r="H8" s="17" t="inlineStr">
        <is>
          <t>X</t>
        </is>
      </c>
      <c r="I8" s="17" t="inlineStr">
        <is>
          <t>X</t>
        </is>
      </c>
      <c r="J8" s="17" t="inlineStr">
        <is>
          <t>X</t>
        </is>
      </c>
      <c r="K8" s="17" t="inlineStr">
        <is>
          <t>X</t>
        </is>
      </c>
      <c r="L8" s="17" t="inlineStr">
        <is>
          <t>X</t>
        </is>
      </c>
      <c r="M8" s="17" t="inlineStr">
        <is>
          <t>X</t>
        </is>
      </c>
      <c r="N8" s="17" t="inlineStr">
        <is>
          <t>X</t>
        </is>
      </c>
      <c r="O8" s="17" t="inlineStr">
        <is>
          <t>X</t>
        </is>
      </c>
      <c r="P8" s="17" t="inlineStr">
        <is>
          <t>X</t>
        </is>
      </c>
      <c r="Q8" s="17" t="inlineStr">
        <is>
          <t>X</t>
        </is>
      </c>
      <c r="R8" s="17" t="inlineStr">
        <is>
          <t>X</t>
        </is>
      </c>
      <c r="S8" s="17" t="inlineStr">
        <is>
          <t>X</t>
        </is>
      </c>
      <c r="T8" s="17" t="inlineStr">
        <is>
          <t>X</t>
        </is>
      </c>
      <c r="U8" s="17" t="inlineStr">
        <is>
          <t>X</t>
        </is>
      </c>
      <c r="V8" s="17" t="inlineStr">
        <is>
          <t>X</t>
        </is>
      </c>
      <c r="W8" s="17" t="inlineStr">
        <is>
          <t>X</t>
        </is>
      </c>
      <c r="X8" s="17" t="inlineStr">
        <is>
          <t>X</t>
        </is>
      </c>
    </row>
    <row r="9" ht="22.05" customHeight="1" s="86">
      <c r="A9" s="12" t="n">
        <v>2</v>
      </c>
      <c r="B9" s="75" t="inlineStr">
        <is>
          <t>BSS-005</t>
        </is>
      </c>
      <c r="C9" s="10" t="inlineStr">
        <is>
          <t>송헌영 (G6)</t>
        </is>
      </c>
      <c r="D9" s="69" t="inlineStr">
        <is>
          <t>경영전략실</t>
        </is>
      </c>
      <c r="E9" s="40">
        <f>COUNTIF(F9:X9,"O")</f>
        <v/>
      </c>
      <c r="F9" s="17" t="inlineStr">
        <is>
          <t>X</t>
        </is>
      </c>
      <c r="G9" s="17" t="inlineStr">
        <is>
          <t>X</t>
        </is>
      </c>
      <c r="H9" s="17" t="inlineStr">
        <is>
          <t>X</t>
        </is>
      </c>
      <c r="I9" s="17" t="inlineStr">
        <is>
          <t>X</t>
        </is>
      </c>
      <c r="J9" s="17" t="inlineStr">
        <is>
          <t>X</t>
        </is>
      </c>
      <c r="K9" s="17" t="inlineStr">
        <is>
          <t>X</t>
        </is>
      </c>
      <c r="L9" s="17" t="inlineStr">
        <is>
          <t>X</t>
        </is>
      </c>
      <c r="M9" s="17" t="inlineStr">
        <is>
          <t>X</t>
        </is>
      </c>
      <c r="N9" s="17" t="inlineStr">
        <is>
          <t>X</t>
        </is>
      </c>
      <c r="O9" s="17" t="inlineStr">
        <is>
          <t>X</t>
        </is>
      </c>
      <c r="P9" s="17" t="inlineStr">
        <is>
          <t>X</t>
        </is>
      </c>
      <c r="Q9" s="17" t="inlineStr">
        <is>
          <t>X</t>
        </is>
      </c>
      <c r="R9" s="17" t="inlineStr">
        <is>
          <t>X</t>
        </is>
      </c>
      <c r="S9" s="17" t="inlineStr">
        <is>
          <t>X</t>
        </is>
      </c>
      <c r="T9" s="17" t="inlineStr">
        <is>
          <t>X</t>
        </is>
      </c>
      <c r="U9" s="17" t="inlineStr">
        <is>
          <t>X</t>
        </is>
      </c>
      <c r="V9" s="17" t="inlineStr">
        <is>
          <t>X</t>
        </is>
      </c>
      <c r="W9" s="17" t="inlineStr">
        <is>
          <t>X</t>
        </is>
      </c>
      <c r="X9" s="17" t="inlineStr">
        <is>
          <t>X</t>
        </is>
      </c>
    </row>
    <row r="10" ht="22.05" customHeight="1" s="86">
      <c r="A10" s="12" t="n">
        <v>3</v>
      </c>
      <c r="B10" s="75" t="inlineStr">
        <is>
          <t>BSS-006</t>
        </is>
      </c>
      <c r="C10" s="10" t="inlineStr">
        <is>
          <t>이재용 (G6)</t>
        </is>
      </c>
      <c r="D10" s="69" t="inlineStr">
        <is>
          <t>경영전략실</t>
        </is>
      </c>
      <c r="E10" s="40">
        <f>COUNTIF(F10:X10,"O")</f>
        <v/>
      </c>
      <c r="F10" s="17" t="inlineStr">
        <is>
          <t>X</t>
        </is>
      </c>
      <c r="G10" s="17" t="inlineStr">
        <is>
          <t>X</t>
        </is>
      </c>
      <c r="H10" s="17" t="inlineStr">
        <is>
          <t>X</t>
        </is>
      </c>
      <c r="I10" s="17" t="inlineStr">
        <is>
          <t>X</t>
        </is>
      </c>
      <c r="J10" s="17" t="inlineStr">
        <is>
          <t>X</t>
        </is>
      </c>
      <c r="K10" s="17" t="inlineStr">
        <is>
          <t>X</t>
        </is>
      </c>
      <c r="L10" s="17" t="inlineStr">
        <is>
          <t>X</t>
        </is>
      </c>
      <c r="M10" s="17" t="inlineStr">
        <is>
          <t>X</t>
        </is>
      </c>
      <c r="N10" s="17" t="inlineStr">
        <is>
          <t>X</t>
        </is>
      </c>
      <c r="O10" s="17" t="inlineStr">
        <is>
          <t>X</t>
        </is>
      </c>
      <c r="P10" s="17" t="inlineStr">
        <is>
          <t>X</t>
        </is>
      </c>
      <c r="Q10" s="17" t="inlineStr">
        <is>
          <t>X</t>
        </is>
      </c>
      <c r="R10" s="17" t="inlineStr">
        <is>
          <t>X</t>
        </is>
      </c>
      <c r="S10" s="17" t="inlineStr">
        <is>
          <t>X</t>
        </is>
      </c>
      <c r="T10" s="17" t="inlineStr">
        <is>
          <t>X</t>
        </is>
      </c>
      <c r="U10" s="17" t="inlineStr">
        <is>
          <t>X</t>
        </is>
      </c>
      <c r="V10" s="17" t="inlineStr">
        <is>
          <t>X</t>
        </is>
      </c>
      <c r="W10" s="17" t="inlineStr">
        <is>
          <t>X</t>
        </is>
      </c>
      <c r="X10" s="17" t="inlineStr">
        <is>
          <t>X</t>
        </is>
      </c>
    </row>
    <row r="11" ht="22.05" customHeight="1" s="86">
      <c r="A11" s="12" t="n">
        <v>4</v>
      </c>
      <c r="B11" s="75" t="inlineStr">
        <is>
          <t>BSS-012</t>
        </is>
      </c>
      <c r="C11" s="10" t="inlineStr">
        <is>
          <t>하은주 (G5-M)</t>
        </is>
      </c>
      <c r="D11" s="69" t="inlineStr">
        <is>
          <t>마케팅팀</t>
        </is>
      </c>
      <c r="E11" s="40">
        <f>COUNTIF(F11:X11,"O")</f>
        <v/>
      </c>
      <c r="F11" s="17" t="inlineStr">
        <is>
          <t>X</t>
        </is>
      </c>
      <c r="G11" s="17" t="inlineStr">
        <is>
          <t>X</t>
        </is>
      </c>
      <c r="H11" s="17" t="inlineStr">
        <is>
          <t>X</t>
        </is>
      </c>
      <c r="I11" s="17" t="inlineStr">
        <is>
          <t>X</t>
        </is>
      </c>
      <c r="J11" s="17" t="inlineStr">
        <is>
          <t>X</t>
        </is>
      </c>
      <c r="K11" s="17" t="inlineStr">
        <is>
          <t>X</t>
        </is>
      </c>
      <c r="L11" s="17" t="inlineStr">
        <is>
          <t>X</t>
        </is>
      </c>
      <c r="M11" s="17" t="inlineStr">
        <is>
          <t>X</t>
        </is>
      </c>
      <c r="N11" s="17" t="inlineStr">
        <is>
          <t>X</t>
        </is>
      </c>
      <c r="O11" s="17" t="inlineStr">
        <is>
          <t>X</t>
        </is>
      </c>
      <c r="P11" s="17" t="inlineStr">
        <is>
          <t>X</t>
        </is>
      </c>
      <c r="Q11" s="17" t="inlineStr">
        <is>
          <t>X</t>
        </is>
      </c>
      <c r="R11" s="17" t="inlineStr">
        <is>
          <t>X</t>
        </is>
      </c>
      <c r="S11" s="17" t="inlineStr">
        <is>
          <t>X</t>
        </is>
      </c>
      <c r="T11" s="17" t="inlineStr">
        <is>
          <t>X</t>
        </is>
      </c>
      <c r="U11" s="17" t="inlineStr">
        <is>
          <t>X</t>
        </is>
      </c>
      <c r="V11" s="17" t="inlineStr">
        <is>
          <t>X</t>
        </is>
      </c>
      <c r="W11" s="17" t="inlineStr">
        <is>
          <t>X</t>
        </is>
      </c>
      <c r="X11" s="17" t="inlineStr">
        <is>
          <t>X</t>
        </is>
      </c>
    </row>
    <row r="12" ht="22.05" customHeight="1" s="86">
      <c r="A12" s="12" t="n">
        <v>5</v>
      </c>
      <c r="B12" s="75" t="inlineStr">
        <is>
          <t>BSS-026</t>
        </is>
      </c>
      <c r="C12" s="10" t="inlineStr">
        <is>
          <t>박진희 (G1)</t>
        </is>
      </c>
      <c r="D12" s="69" t="inlineStr">
        <is>
          <t>마케팅팀</t>
        </is>
      </c>
      <c r="E12" s="40">
        <f>COUNTIF(F12:X12,"O")</f>
        <v/>
      </c>
      <c r="F12" s="17" t="inlineStr">
        <is>
          <t>X</t>
        </is>
      </c>
      <c r="G12" s="17" t="inlineStr">
        <is>
          <t>X</t>
        </is>
      </c>
      <c r="H12" s="17" t="inlineStr">
        <is>
          <t>X</t>
        </is>
      </c>
      <c r="I12" s="17" t="inlineStr">
        <is>
          <t>X</t>
        </is>
      </c>
      <c r="J12" s="17" t="inlineStr">
        <is>
          <t>X</t>
        </is>
      </c>
      <c r="K12" s="17" t="inlineStr">
        <is>
          <t>X</t>
        </is>
      </c>
      <c r="L12" s="17" t="inlineStr">
        <is>
          <t>X</t>
        </is>
      </c>
      <c r="M12" s="17" t="inlineStr">
        <is>
          <t>X</t>
        </is>
      </c>
      <c r="N12" s="17" t="inlineStr">
        <is>
          <t>X</t>
        </is>
      </c>
      <c r="O12" s="17" t="inlineStr">
        <is>
          <t>X</t>
        </is>
      </c>
      <c r="P12" s="17" t="inlineStr">
        <is>
          <t>X</t>
        </is>
      </c>
      <c r="Q12" s="17" t="inlineStr">
        <is>
          <t>X</t>
        </is>
      </c>
      <c r="R12" s="17" t="inlineStr">
        <is>
          <t>X</t>
        </is>
      </c>
      <c r="S12" s="17" t="inlineStr">
        <is>
          <t>X</t>
        </is>
      </c>
      <c r="T12" s="17" t="inlineStr">
        <is>
          <t>X</t>
        </is>
      </c>
      <c r="U12" s="17" t="inlineStr">
        <is>
          <t>X</t>
        </is>
      </c>
      <c r="V12" s="17" t="inlineStr">
        <is>
          <t>X</t>
        </is>
      </c>
      <c r="W12" s="17" t="inlineStr">
        <is>
          <t>X</t>
        </is>
      </c>
      <c r="X12" s="17" t="inlineStr">
        <is>
          <t>X</t>
        </is>
      </c>
    </row>
    <row r="15" ht="26" customHeight="1" s="86">
      <c r="A15" s="87" t="inlineStr">
        <is>
          <t>■ 직무: 프로젝트영업  (책무 7개)  |  해당 직원 1명</t>
        </is>
      </c>
      <c r="B15" s="66" t="n"/>
      <c r="C15" s="66" t="n"/>
      <c r="D15" s="66" t="n"/>
      <c r="E15" s="66" t="n"/>
      <c r="F15" s="66" t="n"/>
      <c r="G15" s="66" t="n"/>
      <c r="H15" s="66" t="n"/>
      <c r="I15" s="66" t="n"/>
      <c r="J15" s="66" t="n"/>
      <c r="K15" s="66" t="n"/>
      <c r="L15" s="67" t="n"/>
    </row>
    <row r="16" ht="22.05" customHeight="1" s="86">
      <c r="A16" s="91" t="inlineStr">
        <is>
          <t>No.</t>
        </is>
      </c>
      <c r="B16" s="91" t="inlineStr">
        <is>
          <t>사번</t>
        </is>
      </c>
      <c r="C16" s="91" t="inlineStr">
        <is>
          <t>성명</t>
        </is>
      </c>
      <c r="D16" s="91" t="inlineStr">
        <is>
          <t>부서</t>
        </is>
      </c>
      <c r="E16" s="91" t="inlineStr">
        <is>
          <t>메인 책무 수</t>
        </is>
      </c>
      <c r="F16" s="90" t="inlineStr">
        <is>
          <t>영업기획</t>
        </is>
      </c>
      <c r="G16" s="66" t="n"/>
      <c r="H16" s="67" t="n"/>
      <c r="I16" s="90" t="inlineStr">
        <is>
          <t>고객관리</t>
        </is>
      </c>
      <c r="J16" s="67" t="n"/>
      <c r="K16" s="90" t="inlineStr">
        <is>
          <t>프로젝트 영업</t>
        </is>
      </c>
      <c r="L16" s="67" t="n"/>
    </row>
    <row r="17" ht="60" customHeight="1" s="86">
      <c r="A17" s="92" t="n"/>
      <c r="B17" s="92" t="n"/>
      <c r="C17" s="92" t="n"/>
      <c r="D17" s="92" t="n"/>
      <c r="E17" s="92" t="n"/>
      <c r="F17" s="42" t="inlineStr">
        <is>
          <t>시장조사 및 고객 발굴</t>
        </is>
      </c>
      <c r="G17" s="42" t="inlineStr">
        <is>
          <t>제안 및 입찰 준비</t>
        </is>
      </c>
      <c r="H17" s="42" t="inlineStr">
        <is>
          <t>계약 협상</t>
        </is>
      </c>
      <c r="I17" s="42" t="inlineStr">
        <is>
          <t>기존 고객 관리</t>
        </is>
      </c>
      <c r="J17" s="42" t="inlineStr">
        <is>
          <t>신규 고객 개발</t>
        </is>
      </c>
      <c r="K17" s="42" t="inlineStr">
        <is>
          <t>프로젝트 발굴 및 수주</t>
        </is>
      </c>
      <c r="L17" s="42" t="inlineStr">
        <is>
          <t>계약 후 사후관리</t>
        </is>
      </c>
    </row>
    <row r="18" ht="22.05" customHeight="1" s="86">
      <c r="A18" s="12" t="n">
        <v>1</v>
      </c>
      <c r="B18" s="75" t="inlineStr">
        <is>
          <t>BSS-001</t>
        </is>
      </c>
      <c r="C18" s="10" t="inlineStr">
        <is>
          <t>이화형 (G6)</t>
        </is>
      </c>
      <c r="D18" s="69" t="inlineStr">
        <is>
          <t>스마트사업부</t>
        </is>
      </c>
      <c r="E18" s="40">
        <f>COUNTIF(F18:L18,"O")</f>
        <v/>
      </c>
      <c r="F18" s="17" t="inlineStr">
        <is>
          <t>X</t>
        </is>
      </c>
      <c r="G18" s="17" t="inlineStr">
        <is>
          <t>X</t>
        </is>
      </c>
      <c r="H18" s="17" t="inlineStr">
        <is>
          <t>X</t>
        </is>
      </c>
      <c r="I18" s="17" t="inlineStr">
        <is>
          <t>X</t>
        </is>
      </c>
      <c r="J18" s="17" t="inlineStr">
        <is>
          <t>X</t>
        </is>
      </c>
      <c r="K18" s="17" t="inlineStr">
        <is>
          <t>X</t>
        </is>
      </c>
      <c r="L18" s="17" t="inlineStr">
        <is>
          <t>X</t>
        </is>
      </c>
    </row>
    <row r="21" ht="26" customHeight="1" s="86">
      <c r="A21" s="87" t="inlineStr">
        <is>
          <t>■ 직무: SW판매영업  (책무 4개)  |  해당 직원 0명</t>
        </is>
      </c>
      <c r="B21" s="66" t="n"/>
      <c r="C21" s="66" t="n"/>
      <c r="D21" s="66" t="n"/>
      <c r="E21" s="66" t="n"/>
      <c r="F21" s="66" t="n"/>
      <c r="G21" s="66" t="n"/>
      <c r="H21" s="66" t="n"/>
      <c r="I21" s="67" t="n"/>
    </row>
    <row r="22" ht="22.05" customHeight="1" s="86">
      <c r="A22" s="91" t="inlineStr">
        <is>
          <t>No.</t>
        </is>
      </c>
      <c r="B22" s="91" t="inlineStr">
        <is>
          <t>사번</t>
        </is>
      </c>
      <c r="C22" s="91" t="inlineStr">
        <is>
          <t>성명</t>
        </is>
      </c>
      <c r="D22" s="91" t="inlineStr">
        <is>
          <t>부서</t>
        </is>
      </c>
      <c r="E22" s="91" t="inlineStr">
        <is>
          <t>메인 책무 수</t>
        </is>
      </c>
      <c r="F22" s="90" t="inlineStr">
        <is>
          <t>SW 영업</t>
        </is>
      </c>
      <c r="G22" s="67" t="n"/>
      <c r="H22" s="90" t="inlineStr">
        <is>
          <t>파트너십</t>
        </is>
      </c>
      <c r="I22" s="90" t="inlineStr">
        <is>
          <t>고객지원</t>
        </is>
      </c>
    </row>
    <row r="23" ht="60" customHeight="1" s="86">
      <c r="A23" s="92" t="n"/>
      <c r="B23" s="92" t="n"/>
      <c r="C23" s="92" t="n"/>
      <c r="D23" s="92" t="n"/>
      <c r="E23" s="92" t="n"/>
      <c r="F23" s="42" t="inlineStr">
        <is>
          <t>SW 패키지 영업</t>
        </is>
      </c>
      <c r="G23" s="42" t="inlineStr">
        <is>
          <t>라이선스 관리·갱신</t>
        </is>
      </c>
      <c r="H23" s="42" t="inlineStr">
        <is>
          <t>파트너사 관리</t>
        </is>
      </c>
      <c r="I23" s="42" t="inlineStr">
        <is>
          <t>고객 기술 지원</t>
        </is>
      </c>
    </row>
    <row r="26" ht="26" customHeight="1" s="86">
      <c r="A26" s="87" t="inlineStr">
        <is>
          <t>■ 직무: BIM컨설팅  (책무 15개)  |  해당 직원 21명</t>
        </is>
      </c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7" t="n"/>
    </row>
    <row r="27" ht="22.05" customHeight="1" s="86">
      <c r="A27" s="91" t="inlineStr">
        <is>
          <t>No.</t>
        </is>
      </c>
      <c r="B27" s="91" t="inlineStr">
        <is>
          <t>사번</t>
        </is>
      </c>
      <c r="C27" s="91" t="inlineStr">
        <is>
          <t>성명</t>
        </is>
      </c>
      <c r="D27" s="91" t="inlineStr">
        <is>
          <t>부서</t>
        </is>
      </c>
      <c r="E27" s="91" t="inlineStr">
        <is>
          <t>메인 책무 수</t>
        </is>
      </c>
      <c r="F27" s="90" t="inlineStr">
        <is>
          <t>계획모델링</t>
        </is>
      </c>
      <c r="G27" s="66" t="n"/>
      <c r="H27" s="67" t="n"/>
      <c r="I27" s="90" t="inlineStr">
        <is>
          <t>드론응용모델링</t>
        </is>
      </c>
      <c r="J27" s="67" t="n"/>
      <c r="K27" s="90" t="inlineStr">
        <is>
          <t>구조모델링</t>
        </is>
      </c>
      <c r="L27" s="90" t="inlineStr">
        <is>
          <t>상하수도모델링</t>
        </is>
      </c>
      <c r="M27" s="90" t="inlineStr">
        <is>
          <t>컨설팅</t>
        </is>
      </c>
      <c r="N27" s="66" t="n"/>
      <c r="O27" s="67" t="n"/>
      <c r="P27" s="90" t="inlineStr">
        <is>
          <t>프로젝트관리</t>
        </is>
      </c>
      <c r="Q27" s="66" t="n"/>
      <c r="R27" s="67" t="n"/>
      <c r="S27" s="90" t="inlineStr">
        <is>
          <t>기술개발</t>
        </is>
      </c>
      <c r="T27" s="67" t="n"/>
    </row>
    <row r="28" ht="60" customHeight="1" s="86">
      <c r="A28" s="92" t="n"/>
      <c r="B28" s="92" t="n"/>
      <c r="C28" s="92" t="n"/>
      <c r="D28" s="92" t="n"/>
      <c r="E28" s="92" t="n"/>
      <c r="F28" s="42" t="inlineStr">
        <is>
          <t>BIM 기반 설계 계획수립</t>
        </is>
      </c>
      <c r="G28" s="42" t="inlineStr">
        <is>
          <t>설계 모델링 수행</t>
        </is>
      </c>
      <c r="H28" s="42" t="inlineStr">
        <is>
          <t>품질 검토 및 협업</t>
        </is>
      </c>
      <c r="I28" s="42" t="inlineStr">
        <is>
          <t>드론 측량 및 데이터 수집</t>
        </is>
      </c>
      <c r="J28" s="42" t="inlineStr">
        <is>
          <t>3D 메쉬·포인트클라우드 생성</t>
        </is>
      </c>
      <c r="K28" s="42" t="inlineStr">
        <is>
          <t>구조 BIM 모델링</t>
        </is>
      </c>
      <c r="L28" s="42" t="inlineStr">
        <is>
          <t>상하수도 BIM 모델링</t>
        </is>
      </c>
      <c r="M28" s="42" t="inlineStr">
        <is>
          <t>클라이언트 요구분석</t>
        </is>
      </c>
      <c r="N28" s="42" t="inlineStr">
        <is>
          <t>BIM 도입 컨설팅</t>
        </is>
      </c>
      <c r="O28" s="42" t="inlineStr">
        <is>
          <t>보고서 작성 및 발표</t>
        </is>
      </c>
      <c r="P28" s="42" t="inlineStr">
        <is>
          <t>일정 및 자원 관리</t>
        </is>
      </c>
      <c r="Q28" s="42" t="inlineStr">
        <is>
          <t>품질 관리</t>
        </is>
      </c>
      <c r="R28" s="42" t="inlineStr">
        <is>
          <t>리스크 관리</t>
        </is>
      </c>
      <c r="S28" s="42" t="inlineStr">
        <is>
          <t>BIM 라이브러리 구축</t>
        </is>
      </c>
      <c r="T28" s="42" t="inlineStr">
        <is>
          <t>내부 가이드라인 작성</t>
        </is>
      </c>
    </row>
    <row r="29" ht="22.05" customHeight="1" s="86">
      <c r="A29" s="12" t="n">
        <v>1</v>
      </c>
      <c r="B29" s="75" t="inlineStr">
        <is>
          <t>BSS-003</t>
        </is>
      </c>
      <c r="C29" s="10" t="inlineStr">
        <is>
          <t>김현민 (G6)</t>
        </is>
      </c>
      <c r="D29" s="69" t="inlineStr">
        <is>
          <t>컨설팅본부</t>
        </is>
      </c>
      <c r="E29" s="40">
        <f>COUNTIF(F29:T29,"O")</f>
        <v/>
      </c>
      <c r="F29" s="17" t="inlineStr">
        <is>
          <t>X</t>
        </is>
      </c>
      <c r="G29" s="17" t="inlineStr">
        <is>
          <t>X</t>
        </is>
      </c>
      <c r="H29" s="17" t="inlineStr">
        <is>
          <t>X</t>
        </is>
      </c>
      <c r="I29" s="17" t="inlineStr">
        <is>
          <t>X</t>
        </is>
      </c>
      <c r="J29" s="17" t="inlineStr">
        <is>
          <t>X</t>
        </is>
      </c>
      <c r="K29" s="17" t="inlineStr">
        <is>
          <t>X</t>
        </is>
      </c>
      <c r="L29" s="17" t="inlineStr">
        <is>
          <t>X</t>
        </is>
      </c>
      <c r="M29" s="17" t="inlineStr">
        <is>
          <t>X</t>
        </is>
      </c>
      <c r="N29" s="17" t="inlineStr">
        <is>
          <t>X</t>
        </is>
      </c>
      <c r="O29" s="17" t="inlineStr">
        <is>
          <t>X</t>
        </is>
      </c>
      <c r="P29" s="17" t="inlineStr">
        <is>
          <t>X</t>
        </is>
      </c>
      <c r="Q29" s="17" t="inlineStr">
        <is>
          <t>X</t>
        </is>
      </c>
      <c r="R29" s="17" t="inlineStr">
        <is>
          <t>X</t>
        </is>
      </c>
      <c r="S29" s="17" t="inlineStr">
        <is>
          <t>X</t>
        </is>
      </c>
      <c r="T29" s="17" t="inlineStr">
        <is>
          <t>X</t>
        </is>
      </c>
    </row>
    <row r="30" ht="22.05" customHeight="1" s="86">
      <c r="A30" s="12" t="n">
        <v>2</v>
      </c>
      <c r="B30" s="75" t="inlineStr">
        <is>
          <t>BSS-009</t>
        </is>
      </c>
      <c r="C30" s="10" t="inlineStr">
        <is>
          <t>박남식 (G5-M)</t>
        </is>
      </c>
      <c r="D30" s="69" t="inlineStr">
        <is>
          <t>컨설팅본부</t>
        </is>
      </c>
      <c r="E30" s="40">
        <f>COUNTIF(F30:T30,"O")</f>
        <v/>
      </c>
      <c r="F30" s="17" t="inlineStr">
        <is>
          <t>X</t>
        </is>
      </c>
      <c r="G30" s="17" t="inlineStr">
        <is>
          <t>X</t>
        </is>
      </c>
      <c r="H30" s="17" t="inlineStr">
        <is>
          <t>X</t>
        </is>
      </c>
      <c r="I30" s="17" t="inlineStr">
        <is>
          <t>X</t>
        </is>
      </c>
      <c r="J30" s="17" t="inlineStr">
        <is>
          <t>X</t>
        </is>
      </c>
      <c r="K30" s="17" t="inlineStr">
        <is>
          <t>X</t>
        </is>
      </c>
      <c r="L30" s="17" t="inlineStr">
        <is>
          <t>X</t>
        </is>
      </c>
      <c r="M30" s="17" t="inlineStr">
        <is>
          <t>X</t>
        </is>
      </c>
      <c r="N30" s="17" t="inlineStr">
        <is>
          <t>X</t>
        </is>
      </c>
      <c r="O30" s="17" t="inlineStr">
        <is>
          <t>X</t>
        </is>
      </c>
      <c r="P30" s="17" t="inlineStr">
        <is>
          <t>X</t>
        </is>
      </c>
      <c r="Q30" s="17" t="inlineStr">
        <is>
          <t>X</t>
        </is>
      </c>
      <c r="R30" s="17" t="inlineStr">
        <is>
          <t>X</t>
        </is>
      </c>
      <c r="S30" s="17" t="inlineStr">
        <is>
          <t>X</t>
        </is>
      </c>
      <c r="T30" s="17" t="inlineStr">
        <is>
          <t>X</t>
        </is>
      </c>
    </row>
    <row r="31" ht="22.05" customHeight="1" s="86">
      <c r="A31" s="12" t="n">
        <v>3</v>
      </c>
      <c r="B31" s="75" t="inlineStr">
        <is>
          <t>BSS-010</t>
        </is>
      </c>
      <c r="C31" s="10" t="inlineStr">
        <is>
          <t>신재민 (G5-S)</t>
        </is>
      </c>
      <c r="D31" s="69" t="inlineStr">
        <is>
          <t>컨설팅본부</t>
        </is>
      </c>
      <c r="E31" s="40">
        <f>COUNTIF(F31:T31,"O")</f>
        <v/>
      </c>
      <c r="F31" s="17" t="inlineStr">
        <is>
          <t>X</t>
        </is>
      </c>
      <c r="G31" s="17" t="inlineStr">
        <is>
          <t>X</t>
        </is>
      </c>
      <c r="H31" s="17" t="inlineStr">
        <is>
          <t>X</t>
        </is>
      </c>
      <c r="I31" s="17" t="inlineStr">
        <is>
          <t>X</t>
        </is>
      </c>
      <c r="J31" s="17" t="inlineStr">
        <is>
          <t>X</t>
        </is>
      </c>
      <c r="K31" s="17" t="inlineStr">
        <is>
          <t>X</t>
        </is>
      </c>
      <c r="L31" s="17" t="inlineStr">
        <is>
          <t>X</t>
        </is>
      </c>
      <c r="M31" s="17" t="inlineStr">
        <is>
          <t>X</t>
        </is>
      </c>
      <c r="N31" s="17" t="inlineStr">
        <is>
          <t>X</t>
        </is>
      </c>
      <c r="O31" s="17" t="inlineStr">
        <is>
          <t>X</t>
        </is>
      </c>
      <c r="P31" s="17" t="inlineStr">
        <is>
          <t>X</t>
        </is>
      </c>
      <c r="Q31" s="17" t="inlineStr">
        <is>
          <t>X</t>
        </is>
      </c>
      <c r="R31" s="17" t="inlineStr">
        <is>
          <t>X</t>
        </is>
      </c>
      <c r="S31" s="17" t="inlineStr">
        <is>
          <t>X</t>
        </is>
      </c>
      <c r="T31" s="17" t="inlineStr">
        <is>
          <t>X</t>
        </is>
      </c>
    </row>
    <row r="32" ht="22.05" customHeight="1" s="86">
      <c r="A32" s="12" t="n">
        <v>4</v>
      </c>
      <c r="B32" s="75" t="inlineStr">
        <is>
          <t>BSS-011</t>
        </is>
      </c>
      <c r="C32" s="10" t="inlineStr">
        <is>
          <t>마장엽 (G5-S)</t>
        </is>
      </c>
      <c r="D32" s="69" t="inlineStr">
        <is>
          <t>컨설팅본부</t>
        </is>
      </c>
      <c r="E32" s="40">
        <f>COUNTIF(F32:T32,"O")</f>
        <v/>
      </c>
      <c r="F32" s="17" t="inlineStr">
        <is>
          <t>X</t>
        </is>
      </c>
      <c r="G32" s="17" t="inlineStr">
        <is>
          <t>X</t>
        </is>
      </c>
      <c r="H32" s="17" t="inlineStr">
        <is>
          <t>X</t>
        </is>
      </c>
      <c r="I32" s="17" t="inlineStr">
        <is>
          <t>X</t>
        </is>
      </c>
      <c r="J32" s="17" t="inlineStr">
        <is>
          <t>X</t>
        </is>
      </c>
      <c r="K32" s="17" t="inlineStr">
        <is>
          <t>X</t>
        </is>
      </c>
      <c r="L32" s="17" t="inlineStr">
        <is>
          <t>X</t>
        </is>
      </c>
      <c r="M32" s="17" t="inlineStr">
        <is>
          <t>X</t>
        </is>
      </c>
      <c r="N32" s="17" t="inlineStr">
        <is>
          <t>X</t>
        </is>
      </c>
      <c r="O32" s="17" t="inlineStr">
        <is>
          <t>X</t>
        </is>
      </c>
      <c r="P32" s="17" t="inlineStr">
        <is>
          <t>X</t>
        </is>
      </c>
      <c r="Q32" s="17" t="inlineStr">
        <is>
          <t>X</t>
        </is>
      </c>
      <c r="R32" s="17" t="inlineStr">
        <is>
          <t>X</t>
        </is>
      </c>
      <c r="S32" s="17" t="inlineStr">
        <is>
          <t>X</t>
        </is>
      </c>
      <c r="T32" s="17" t="inlineStr">
        <is>
          <t>X</t>
        </is>
      </c>
    </row>
    <row r="33" ht="22.05" customHeight="1" s="86">
      <c r="A33" s="12" t="n">
        <v>5</v>
      </c>
      <c r="B33" s="75" t="inlineStr">
        <is>
          <t>BSS-013</t>
        </is>
      </c>
      <c r="C33" s="10" t="inlineStr">
        <is>
          <t>홍사훈 (G5-S)</t>
        </is>
      </c>
      <c r="D33" s="69" t="inlineStr">
        <is>
          <t>컨설팅본부</t>
        </is>
      </c>
      <c r="E33" s="40">
        <f>COUNTIF(F33:T33,"O")</f>
        <v/>
      </c>
      <c r="F33" s="17" t="inlineStr">
        <is>
          <t>X</t>
        </is>
      </c>
      <c r="G33" s="17" t="inlineStr">
        <is>
          <t>X</t>
        </is>
      </c>
      <c r="H33" s="17" t="inlineStr">
        <is>
          <t>X</t>
        </is>
      </c>
      <c r="I33" s="17" t="inlineStr">
        <is>
          <t>X</t>
        </is>
      </c>
      <c r="J33" s="17" t="inlineStr">
        <is>
          <t>X</t>
        </is>
      </c>
      <c r="K33" s="17" t="inlineStr">
        <is>
          <t>X</t>
        </is>
      </c>
      <c r="L33" s="17" t="inlineStr">
        <is>
          <t>X</t>
        </is>
      </c>
      <c r="M33" s="17" t="inlineStr">
        <is>
          <t>X</t>
        </is>
      </c>
      <c r="N33" s="17" t="inlineStr">
        <is>
          <t>X</t>
        </is>
      </c>
      <c r="O33" s="17" t="inlineStr">
        <is>
          <t>X</t>
        </is>
      </c>
      <c r="P33" s="17" t="inlineStr">
        <is>
          <t>X</t>
        </is>
      </c>
      <c r="Q33" s="17" t="inlineStr">
        <is>
          <t>X</t>
        </is>
      </c>
      <c r="R33" s="17" t="inlineStr">
        <is>
          <t>X</t>
        </is>
      </c>
      <c r="S33" s="17" t="inlineStr">
        <is>
          <t>X</t>
        </is>
      </c>
      <c r="T33" s="17" t="inlineStr">
        <is>
          <t>X</t>
        </is>
      </c>
    </row>
    <row r="34" ht="22.05" customHeight="1" s="86">
      <c r="A34" s="12" t="n">
        <v>6</v>
      </c>
      <c r="B34" s="75" t="inlineStr">
        <is>
          <t>BSS-014</t>
        </is>
      </c>
      <c r="C34" s="10" t="inlineStr">
        <is>
          <t>유자영 (G5-S)</t>
        </is>
      </c>
      <c r="D34" s="69" t="inlineStr">
        <is>
          <t>컨설팅본부</t>
        </is>
      </c>
      <c r="E34" s="40">
        <f>COUNTIF(F34:T34,"O")</f>
        <v/>
      </c>
      <c r="F34" s="17" t="inlineStr">
        <is>
          <t>X</t>
        </is>
      </c>
      <c r="G34" s="17" t="inlineStr">
        <is>
          <t>X</t>
        </is>
      </c>
      <c r="H34" s="17" t="inlineStr">
        <is>
          <t>X</t>
        </is>
      </c>
      <c r="I34" s="17" t="inlineStr">
        <is>
          <t>X</t>
        </is>
      </c>
      <c r="J34" s="17" t="inlineStr">
        <is>
          <t>X</t>
        </is>
      </c>
      <c r="K34" s="17" t="inlineStr">
        <is>
          <t>X</t>
        </is>
      </c>
      <c r="L34" s="17" t="inlineStr">
        <is>
          <t>X</t>
        </is>
      </c>
      <c r="M34" s="17" t="inlineStr">
        <is>
          <t>X</t>
        </is>
      </c>
      <c r="N34" s="17" t="inlineStr">
        <is>
          <t>X</t>
        </is>
      </c>
      <c r="O34" s="17" t="inlineStr">
        <is>
          <t>X</t>
        </is>
      </c>
      <c r="P34" s="17" t="inlineStr">
        <is>
          <t>X</t>
        </is>
      </c>
      <c r="Q34" s="17" t="inlineStr">
        <is>
          <t>X</t>
        </is>
      </c>
      <c r="R34" s="17" t="inlineStr">
        <is>
          <t>X</t>
        </is>
      </c>
      <c r="S34" s="17" t="inlineStr">
        <is>
          <t>X</t>
        </is>
      </c>
      <c r="T34" s="17" t="inlineStr">
        <is>
          <t>X</t>
        </is>
      </c>
    </row>
    <row r="35" ht="22.05" customHeight="1" s="86">
      <c r="A35" s="12" t="n">
        <v>7</v>
      </c>
      <c r="B35" s="75" t="inlineStr">
        <is>
          <t>BSS-015</t>
        </is>
      </c>
      <c r="C35" s="10" t="inlineStr">
        <is>
          <t>민지선 (G5-S)</t>
        </is>
      </c>
      <c r="D35" s="69" t="inlineStr">
        <is>
          <t>컨설팅본부</t>
        </is>
      </c>
      <c r="E35" s="40">
        <f>COUNTIF(F35:T35,"O")</f>
        <v/>
      </c>
      <c r="F35" s="17" t="inlineStr">
        <is>
          <t>X</t>
        </is>
      </c>
      <c r="G35" s="17" t="inlineStr">
        <is>
          <t>X</t>
        </is>
      </c>
      <c r="H35" s="17" t="inlineStr">
        <is>
          <t>X</t>
        </is>
      </c>
      <c r="I35" s="17" t="inlineStr">
        <is>
          <t>X</t>
        </is>
      </c>
      <c r="J35" s="17" t="inlineStr">
        <is>
          <t>X</t>
        </is>
      </c>
      <c r="K35" s="17" t="inlineStr">
        <is>
          <t>X</t>
        </is>
      </c>
      <c r="L35" s="17" t="inlineStr">
        <is>
          <t>X</t>
        </is>
      </c>
      <c r="M35" s="17" t="inlineStr">
        <is>
          <t>X</t>
        </is>
      </c>
      <c r="N35" s="17" t="inlineStr">
        <is>
          <t>X</t>
        </is>
      </c>
      <c r="O35" s="17" t="inlineStr">
        <is>
          <t>X</t>
        </is>
      </c>
      <c r="P35" s="17" t="inlineStr">
        <is>
          <t>X</t>
        </is>
      </c>
      <c r="Q35" s="17" t="inlineStr">
        <is>
          <t>X</t>
        </is>
      </c>
      <c r="R35" s="17" t="inlineStr">
        <is>
          <t>X</t>
        </is>
      </c>
      <c r="S35" s="17" t="inlineStr">
        <is>
          <t>X</t>
        </is>
      </c>
      <c r="T35" s="17" t="inlineStr">
        <is>
          <t>X</t>
        </is>
      </c>
    </row>
    <row r="36" ht="22.05" customHeight="1" s="86">
      <c r="A36" s="12" t="n">
        <v>8</v>
      </c>
      <c r="B36" s="75" t="inlineStr">
        <is>
          <t>BSS-016</t>
        </is>
      </c>
      <c r="C36" s="10" t="inlineStr">
        <is>
          <t>장훈 (G5-S)</t>
        </is>
      </c>
      <c r="D36" s="69" t="inlineStr">
        <is>
          <t>컨설팅본부</t>
        </is>
      </c>
      <c r="E36" s="40">
        <f>COUNTIF(F36:T36,"O")</f>
        <v/>
      </c>
      <c r="F36" s="17" t="inlineStr">
        <is>
          <t>X</t>
        </is>
      </c>
      <c r="G36" s="17" t="inlineStr">
        <is>
          <t>X</t>
        </is>
      </c>
      <c r="H36" s="17" t="inlineStr">
        <is>
          <t>X</t>
        </is>
      </c>
      <c r="I36" s="17" t="inlineStr">
        <is>
          <t>X</t>
        </is>
      </c>
      <c r="J36" s="17" t="inlineStr">
        <is>
          <t>X</t>
        </is>
      </c>
      <c r="K36" s="17" t="inlineStr">
        <is>
          <t>X</t>
        </is>
      </c>
      <c r="L36" s="17" t="inlineStr">
        <is>
          <t>X</t>
        </is>
      </c>
      <c r="M36" s="17" t="inlineStr">
        <is>
          <t>X</t>
        </is>
      </c>
      <c r="N36" s="17" t="inlineStr">
        <is>
          <t>X</t>
        </is>
      </c>
      <c r="O36" s="17" t="inlineStr">
        <is>
          <t>X</t>
        </is>
      </c>
      <c r="P36" s="17" t="inlineStr">
        <is>
          <t>X</t>
        </is>
      </c>
      <c r="Q36" s="17" t="inlineStr">
        <is>
          <t>X</t>
        </is>
      </c>
      <c r="R36" s="17" t="inlineStr">
        <is>
          <t>X</t>
        </is>
      </c>
      <c r="S36" s="17" t="inlineStr">
        <is>
          <t>X</t>
        </is>
      </c>
      <c r="T36" s="17" t="inlineStr">
        <is>
          <t>X</t>
        </is>
      </c>
    </row>
    <row r="37" ht="22.05" customHeight="1" s="86">
      <c r="A37" s="12" t="n">
        <v>9</v>
      </c>
      <c r="B37" s="75" t="inlineStr">
        <is>
          <t>BSS-018</t>
        </is>
      </c>
      <c r="C37" s="10" t="inlineStr">
        <is>
          <t>조성준 (G4)</t>
        </is>
      </c>
      <c r="D37" s="69" t="inlineStr">
        <is>
          <t>컨설팅본부</t>
        </is>
      </c>
      <c r="E37" s="40">
        <f>COUNTIF(F37:T37,"O")</f>
        <v/>
      </c>
      <c r="F37" s="17" t="inlineStr">
        <is>
          <t>X</t>
        </is>
      </c>
      <c r="G37" s="17" t="inlineStr">
        <is>
          <t>X</t>
        </is>
      </c>
      <c r="H37" s="17" t="inlineStr">
        <is>
          <t>X</t>
        </is>
      </c>
      <c r="I37" s="17" t="inlineStr">
        <is>
          <t>X</t>
        </is>
      </c>
      <c r="J37" s="17" t="inlineStr">
        <is>
          <t>X</t>
        </is>
      </c>
      <c r="K37" s="17" t="inlineStr">
        <is>
          <t>X</t>
        </is>
      </c>
      <c r="L37" s="17" t="inlineStr">
        <is>
          <t>X</t>
        </is>
      </c>
      <c r="M37" s="17" t="inlineStr">
        <is>
          <t>X</t>
        </is>
      </c>
      <c r="N37" s="17" t="inlineStr">
        <is>
          <t>X</t>
        </is>
      </c>
      <c r="O37" s="17" t="inlineStr">
        <is>
          <t>X</t>
        </is>
      </c>
      <c r="P37" s="17" t="inlineStr">
        <is>
          <t>X</t>
        </is>
      </c>
      <c r="Q37" s="17" t="inlineStr">
        <is>
          <t>X</t>
        </is>
      </c>
      <c r="R37" s="17" t="inlineStr">
        <is>
          <t>X</t>
        </is>
      </c>
      <c r="S37" s="17" t="inlineStr">
        <is>
          <t>X</t>
        </is>
      </c>
      <c r="T37" s="17" t="inlineStr">
        <is>
          <t>X</t>
        </is>
      </c>
    </row>
    <row r="38" ht="22.05" customHeight="1" s="86">
      <c r="A38" s="12" t="n">
        <v>10</v>
      </c>
      <c r="B38" s="75" t="inlineStr">
        <is>
          <t>BSS-019</t>
        </is>
      </c>
      <c r="C38" s="10" t="inlineStr">
        <is>
          <t>구서현 (G3)</t>
        </is>
      </c>
      <c r="D38" s="69" t="inlineStr">
        <is>
          <t>컨설팅본부</t>
        </is>
      </c>
      <c r="E38" s="40">
        <f>COUNTIF(F38:T38,"O")</f>
        <v/>
      </c>
      <c r="F38" s="17" t="inlineStr">
        <is>
          <t>X</t>
        </is>
      </c>
      <c r="G38" s="17" t="inlineStr">
        <is>
          <t>X</t>
        </is>
      </c>
      <c r="H38" s="17" t="inlineStr">
        <is>
          <t>X</t>
        </is>
      </c>
      <c r="I38" s="17" t="inlineStr">
        <is>
          <t>X</t>
        </is>
      </c>
      <c r="J38" s="17" t="inlineStr">
        <is>
          <t>X</t>
        </is>
      </c>
      <c r="K38" s="17" t="inlineStr">
        <is>
          <t>X</t>
        </is>
      </c>
      <c r="L38" s="17" t="inlineStr">
        <is>
          <t>X</t>
        </is>
      </c>
      <c r="M38" s="17" t="inlineStr">
        <is>
          <t>X</t>
        </is>
      </c>
      <c r="N38" s="17" t="inlineStr">
        <is>
          <t>X</t>
        </is>
      </c>
      <c r="O38" s="17" t="inlineStr">
        <is>
          <t>X</t>
        </is>
      </c>
      <c r="P38" s="17" t="inlineStr">
        <is>
          <t>X</t>
        </is>
      </c>
      <c r="Q38" s="17" t="inlineStr">
        <is>
          <t>X</t>
        </is>
      </c>
      <c r="R38" s="17" t="inlineStr">
        <is>
          <t>X</t>
        </is>
      </c>
      <c r="S38" s="17" t="inlineStr">
        <is>
          <t>X</t>
        </is>
      </c>
      <c r="T38" s="17" t="inlineStr">
        <is>
          <t>X</t>
        </is>
      </c>
    </row>
    <row r="39" ht="22.05" customHeight="1" s="86">
      <c r="A39" s="12" t="n">
        <v>11</v>
      </c>
      <c r="B39" s="75" t="inlineStr">
        <is>
          <t>BSS-021</t>
        </is>
      </c>
      <c r="C39" s="10" t="inlineStr">
        <is>
          <t>김가연 (G2)</t>
        </is>
      </c>
      <c r="D39" s="69" t="inlineStr">
        <is>
          <t>컨설팅본부</t>
        </is>
      </c>
      <c r="E39" s="40">
        <f>COUNTIF(F39:T39,"O")</f>
        <v/>
      </c>
      <c r="F39" s="17" t="inlineStr">
        <is>
          <t>X</t>
        </is>
      </c>
      <c r="G39" s="17" t="inlineStr">
        <is>
          <t>X</t>
        </is>
      </c>
      <c r="H39" s="17" t="inlineStr">
        <is>
          <t>X</t>
        </is>
      </c>
      <c r="I39" s="17" t="inlineStr">
        <is>
          <t>X</t>
        </is>
      </c>
      <c r="J39" s="17" t="inlineStr">
        <is>
          <t>X</t>
        </is>
      </c>
      <c r="K39" s="17" t="inlineStr">
        <is>
          <t>X</t>
        </is>
      </c>
      <c r="L39" s="17" t="inlineStr">
        <is>
          <t>X</t>
        </is>
      </c>
      <c r="M39" s="17" t="inlineStr">
        <is>
          <t>X</t>
        </is>
      </c>
      <c r="N39" s="17" t="inlineStr">
        <is>
          <t>X</t>
        </is>
      </c>
      <c r="O39" s="17" t="inlineStr">
        <is>
          <t>X</t>
        </is>
      </c>
      <c r="P39" s="17" t="inlineStr">
        <is>
          <t>X</t>
        </is>
      </c>
      <c r="Q39" s="17" t="inlineStr">
        <is>
          <t>X</t>
        </is>
      </c>
      <c r="R39" s="17" t="inlineStr">
        <is>
          <t>X</t>
        </is>
      </c>
      <c r="S39" s="17" t="inlineStr">
        <is>
          <t>X</t>
        </is>
      </c>
      <c r="T39" s="17" t="inlineStr">
        <is>
          <t>X</t>
        </is>
      </c>
    </row>
    <row r="40" ht="22.05" customHeight="1" s="86">
      <c r="A40" s="12" t="n">
        <v>12</v>
      </c>
      <c r="B40" s="75" t="inlineStr">
        <is>
          <t>BSS-022</t>
        </is>
      </c>
      <c r="C40" s="10" t="inlineStr">
        <is>
          <t>한근수 (G2)</t>
        </is>
      </c>
      <c r="D40" s="69" t="inlineStr">
        <is>
          <t>컨설팅본부</t>
        </is>
      </c>
      <c r="E40" s="40">
        <f>COUNTIF(F40:T40,"O")</f>
        <v/>
      </c>
      <c r="F40" s="17" t="inlineStr">
        <is>
          <t>X</t>
        </is>
      </c>
      <c r="G40" s="17" t="inlineStr">
        <is>
          <t>X</t>
        </is>
      </c>
      <c r="H40" s="17" t="inlineStr">
        <is>
          <t>X</t>
        </is>
      </c>
      <c r="I40" s="17" t="inlineStr">
        <is>
          <t>X</t>
        </is>
      </c>
      <c r="J40" s="17" t="inlineStr">
        <is>
          <t>X</t>
        </is>
      </c>
      <c r="K40" s="17" t="inlineStr">
        <is>
          <t>X</t>
        </is>
      </c>
      <c r="L40" s="17" t="inlineStr">
        <is>
          <t>X</t>
        </is>
      </c>
      <c r="M40" s="17" t="inlineStr">
        <is>
          <t>X</t>
        </is>
      </c>
      <c r="N40" s="17" t="inlineStr">
        <is>
          <t>X</t>
        </is>
      </c>
      <c r="O40" s="17" t="inlineStr">
        <is>
          <t>X</t>
        </is>
      </c>
      <c r="P40" s="17" t="inlineStr">
        <is>
          <t>X</t>
        </is>
      </c>
      <c r="Q40" s="17" t="inlineStr">
        <is>
          <t>X</t>
        </is>
      </c>
      <c r="R40" s="17" t="inlineStr">
        <is>
          <t>X</t>
        </is>
      </c>
      <c r="S40" s="17" t="inlineStr">
        <is>
          <t>X</t>
        </is>
      </c>
      <c r="T40" s="17" t="inlineStr">
        <is>
          <t>X</t>
        </is>
      </c>
    </row>
    <row r="41" ht="22.05" customHeight="1" s="86">
      <c r="A41" s="12" t="n">
        <v>13</v>
      </c>
      <c r="B41" s="75" t="inlineStr">
        <is>
          <t>BSS-023</t>
        </is>
      </c>
      <c r="C41" s="10" t="inlineStr">
        <is>
          <t>김성민 (G2)</t>
        </is>
      </c>
      <c r="D41" s="69" t="inlineStr">
        <is>
          <t>컨설팅본부</t>
        </is>
      </c>
      <c r="E41" s="40">
        <f>COUNTIF(F41:T41,"O")</f>
        <v/>
      </c>
      <c r="F41" s="17" t="inlineStr">
        <is>
          <t>X</t>
        </is>
      </c>
      <c r="G41" s="17" t="inlineStr">
        <is>
          <t>X</t>
        </is>
      </c>
      <c r="H41" s="17" t="inlineStr">
        <is>
          <t>X</t>
        </is>
      </c>
      <c r="I41" s="17" t="inlineStr">
        <is>
          <t>X</t>
        </is>
      </c>
      <c r="J41" s="17" t="inlineStr">
        <is>
          <t>X</t>
        </is>
      </c>
      <c r="K41" s="17" t="inlineStr">
        <is>
          <t>X</t>
        </is>
      </c>
      <c r="L41" s="17" t="inlineStr">
        <is>
          <t>X</t>
        </is>
      </c>
      <c r="M41" s="17" t="inlineStr">
        <is>
          <t>X</t>
        </is>
      </c>
      <c r="N41" s="17" t="inlineStr">
        <is>
          <t>X</t>
        </is>
      </c>
      <c r="O41" s="17" t="inlineStr">
        <is>
          <t>X</t>
        </is>
      </c>
      <c r="P41" s="17" t="inlineStr">
        <is>
          <t>X</t>
        </is>
      </c>
      <c r="Q41" s="17" t="inlineStr">
        <is>
          <t>X</t>
        </is>
      </c>
      <c r="R41" s="17" t="inlineStr">
        <is>
          <t>X</t>
        </is>
      </c>
      <c r="S41" s="17" t="inlineStr">
        <is>
          <t>X</t>
        </is>
      </c>
      <c r="T41" s="17" t="inlineStr">
        <is>
          <t>X</t>
        </is>
      </c>
    </row>
    <row r="42" ht="22.05" customHeight="1" s="86">
      <c r="A42" s="12" t="n">
        <v>14</v>
      </c>
      <c r="B42" s="75" t="inlineStr">
        <is>
          <t>BSS-024</t>
        </is>
      </c>
      <c r="C42" s="10" t="inlineStr">
        <is>
          <t>고광우 (G2)</t>
        </is>
      </c>
      <c r="D42" s="69" t="inlineStr">
        <is>
          <t>컨설팅본부</t>
        </is>
      </c>
      <c r="E42" s="40">
        <f>COUNTIF(F42:T42,"O")</f>
        <v/>
      </c>
      <c r="F42" s="17" t="inlineStr">
        <is>
          <t>X</t>
        </is>
      </c>
      <c r="G42" s="17" t="inlineStr">
        <is>
          <t>X</t>
        </is>
      </c>
      <c r="H42" s="17" t="inlineStr">
        <is>
          <t>X</t>
        </is>
      </c>
      <c r="I42" s="17" t="inlineStr">
        <is>
          <t>X</t>
        </is>
      </c>
      <c r="J42" s="17" t="inlineStr">
        <is>
          <t>X</t>
        </is>
      </c>
      <c r="K42" s="17" t="inlineStr">
        <is>
          <t>X</t>
        </is>
      </c>
      <c r="L42" s="17" t="inlineStr">
        <is>
          <t>X</t>
        </is>
      </c>
      <c r="M42" s="17" t="inlineStr">
        <is>
          <t>X</t>
        </is>
      </c>
      <c r="N42" s="17" t="inlineStr">
        <is>
          <t>X</t>
        </is>
      </c>
      <c r="O42" s="17" t="inlineStr">
        <is>
          <t>X</t>
        </is>
      </c>
      <c r="P42" s="17" t="inlineStr">
        <is>
          <t>X</t>
        </is>
      </c>
      <c r="Q42" s="17" t="inlineStr">
        <is>
          <t>X</t>
        </is>
      </c>
      <c r="R42" s="17" t="inlineStr">
        <is>
          <t>X</t>
        </is>
      </c>
      <c r="S42" s="17" t="inlineStr">
        <is>
          <t>X</t>
        </is>
      </c>
      <c r="T42" s="17" t="inlineStr">
        <is>
          <t>X</t>
        </is>
      </c>
    </row>
    <row r="43" ht="22.05" customHeight="1" s="86">
      <c r="A43" s="12" t="n">
        <v>15</v>
      </c>
      <c r="B43" s="75" t="inlineStr">
        <is>
          <t>BSS-028</t>
        </is>
      </c>
      <c r="C43" s="10" t="inlineStr">
        <is>
          <t>김현수 (G1)</t>
        </is>
      </c>
      <c r="D43" s="69" t="inlineStr">
        <is>
          <t>컨설팅본부</t>
        </is>
      </c>
      <c r="E43" s="40">
        <f>COUNTIF(F43:T43,"O")</f>
        <v/>
      </c>
      <c r="F43" s="17" t="inlineStr">
        <is>
          <t>X</t>
        </is>
      </c>
      <c r="G43" s="17" t="inlineStr">
        <is>
          <t>X</t>
        </is>
      </c>
      <c r="H43" s="17" t="inlineStr">
        <is>
          <t>X</t>
        </is>
      </c>
      <c r="I43" s="17" t="inlineStr">
        <is>
          <t>X</t>
        </is>
      </c>
      <c r="J43" s="17" t="inlineStr">
        <is>
          <t>X</t>
        </is>
      </c>
      <c r="K43" s="17" t="inlineStr">
        <is>
          <t>X</t>
        </is>
      </c>
      <c r="L43" s="17" t="inlineStr">
        <is>
          <t>X</t>
        </is>
      </c>
      <c r="M43" s="17" t="inlineStr">
        <is>
          <t>X</t>
        </is>
      </c>
      <c r="N43" s="17" t="inlineStr">
        <is>
          <t>X</t>
        </is>
      </c>
      <c r="O43" s="17" t="inlineStr">
        <is>
          <t>X</t>
        </is>
      </c>
      <c r="P43" s="17" t="inlineStr">
        <is>
          <t>X</t>
        </is>
      </c>
      <c r="Q43" s="17" t="inlineStr">
        <is>
          <t>X</t>
        </is>
      </c>
      <c r="R43" s="17" t="inlineStr">
        <is>
          <t>X</t>
        </is>
      </c>
      <c r="S43" s="17" t="inlineStr">
        <is>
          <t>X</t>
        </is>
      </c>
      <c r="T43" s="17" t="inlineStr">
        <is>
          <t>X</t>
        </is>
      </c>
    </row>
    <row r="44" ht="22.05" customHeight="1" s="86">
      <c r="A44" s="12" t="n">
        <v>16</v>
      </c>
      <c r="B44" s="75" t="inlineStr">
        <is>
          <t>BSS-029</t>
        </is>
      </c>
      <c r="C44" s="10" t="inlineStr">
        <is>
          <t>콜셍홍 (G1)</t>
        </is>
      </c>
      <c r="D44" s="69" t="inlineStr">
        <is>
          <t>컨설팅본부</t>
        </is>
      </c>
      <c r="E44" s="40">
        <f>COUNTIF(F44:T44,"O")</f>
        <v/>
      </c>
      <c r="F44" s="17" t="inlineStr">
        <is>
          <t>X</t>
        </is>
      </c>
      <c r="G44" s="17" t="inlineStr">
        <is>
          <t>X</t>
        </is>
      </c>
      <c r="H44" s="17" t="inlineStr">
        <is>
          <t>X</t>
        </is>
      </c>
      <c r="I44" s="17" t="inlineStr">
        <is>
          <t>X</t>
        </is>
      </c>
      <c r="J44" s="17" t="inlineStr">
        <is>
          <t>X</t>
        </is>
      </c>
      <c r="K44" s="17" t="inlineStr">
        <is>
          <t>X</t>
        </is>
      </c>
      <c r="L44" s="17" t="inlineStr">
        <is>
          <t>X</t>
        </is>
      </c>
      <c r="M44" s="17" t="inlineStr">
        <is>
          <t>X</t>
        </is>
      </c>
      <c r="N44" s="17" t="inlineStr">
        <is>
          <t>X</t>
        </is>
      </c>
      <c r="O44" s="17" t="inlineStr">
        <is>
          <t>X</t>
        </is>
      </c>
      <c r="P44" s="17" t="inlineStr">
        <is>
          <t>X</t>
        </is>
      </c>
      <c r="Q44" s="17" t="inlineStr">
        <is>
          <t>X</t>
        </is>
      </c>
      <c r="R44" s="17" t="inlineStr">
        <is>
          <t>X</t>
        </is>
      </c>
      <c r="S44" s="17" t="inlineStr">
        <is>
          <t>X</t>
        </is>
      </c>
      <c r="T44" s="17" t="inlineStr">
        <is>
          <t>X</t>
        </is>
      </c>
    </row>
    <row r="45" ht="22.05" customHeight="1" s="86">
      <c r="A45" s="12" t="n">
        <v>17</v>
      </c>
      <c r="B45" s="75" t="inlineStr">
        <is>
          <t>BSS-030</t>
        </is>
      </c>
      <c r="C45" s="10" t="inlineStr">
        <is>
          <t>안성진 (G1)</t>
        </is>
      </c>
      <c r="D45" s="69" t="inlineStr">
        <is>
          <t>컨설팅본부</t>
        </is>
      </c>
      <c r="E45" s="40">
        <f>COUNTIF(F45:T45,"O")</f>
        <v/>
      </c>
      <c r="F45" s="17" t="inlineStr">
        <is>
          <t>X</t>
        </is>
      </c>
      <c r="G45" s="17" t="inlineStr">
        <is>
          <t>X</t>
        </is>
      </c>
      <c r="H45" s="17" t="inlineStr">
        <is>
          <t>X</t>
        </is>
      </c>
      <c r="I45" s="17" t="inlineStr">
        <is>
          <t>X</t>
        </is>
      </c>
      <c r="J45" s="17" t="inlineStr">
        <is>
          <t>X</t>
        </is>
      </c>
      <c r="K45" s="17" t="inlineStr">
        <is>
          <t>X</t>
        </is>
      </c>
      <c r="L45" s="17" t="inlineStr">
        <is>
          <t>X</t>
        </is>
      </c>
      <c r="M45" s="17" t="inlineStr">
        <is>
          <t>X</t>
        </is>
      </c>
      <c r="N45" s="17" t="inlineStr">
        <is>
          <t>X</t>
        </is>
      </c>
      <c r="O45" s="17" t="inlineStr">
        <is>
          <t>X</t>
        </is>
      </c>
      <c r="P45" s="17" t="inlineStr">
        <is>
          <t>X</t>
        </is>
      </c>
      <c r="Q45" s="17" t="inlineStr">
        <is>
          <t>X</t>
        </is>
      </c>
      <c r="R45" s="17" t="inlineStr">
        <is>
          <t>X</t>
        </is>
      </c>
      <c r="S45" s="17" t="inlineStr">
        <is>
          <t>X</t>
        </is>
      </c>
      <c r="T45" s="17" t="inlineStr">
        <is>
          <t>X</t>
        </is>
      </c>
    </row>
    <row r="46" ht="22.05" customHeight="1" s="86">
      <c r="A46" s="12" t="n">
        <v>18</v>
      </c>
      <c r="B46" s="75" t="inlineStr">
        <is>
          <t>BSS-031</t>
        </is>
      </c>
      <c r="C46" s="10" t="inlineStr">
        <is>
          <t>이정일 (G1)</t>
        </is>
      </c>
      <c r="D46" s="69" t="inlineStr">
        <is>
          <t>컨설팅본부</t>
        </is>
      </c>
      <c r="E46" s="40">
        <f>COUNTIF(F46:T46,"O")</f>
        <v/>
      </c>
      <c r="F46" s="17" t="inlineStr">
        <is>
          <t>X</t>
        </is>
      </c>
      <c r="G46" s="17" t="inlineStr">
        <is>
          <t>X</t>
        </is>
      </c>
      <c r="H46" s="17" t="inlineStr">
        <is>
          <t>X</t>
        </is>
      </c>
      <c r="I46" s="17" t="inlineStr">
        <is>
          <t>X</t>
        </is>
      </c>
      <c r="J46" s="17" t="inlineStr">
        <is>
          <t>X</t>
        </is>
      </c>
      <c r="K46" s="17" t="inlineStr">
        <is>
          <t>X</t>
        </is>
      </c>
      <c r="L46" s="17" t="inlineStr">
        <is>
          <t>X</t>
        </is>
      </c>
      <c r="M46" s="17" t="inlineStr">
        <is>
          <t>X</t>
        </is>
      </c>
      <c r="N46" s="17" t="inlineStr">
        <is>
          <t>X</t>
        </is>
      </c>
      <c r="O46" s="17" t="inlineStr">
        <is>
          <t>X</t>
        </is>
      </c>
      <c r="P46" s="17" t="inlineStr">
        <is>
          <t>X</t>
        </is>
      </c>
      <c r="Q46" s="17" t="inlineStr">
        <is>
          <t>X</t>
        </is>
      </c>
      <c r="R46" s="17" t="inlineStr">
        <is>
          <t>X</t>
        </is>
      </c>
      <c r="S46" s="17" t="inlineStr">
        <is>
          <t>X</t>
        </is>
      </c>
      <c r="T46" s="17" t="inlineStr">
        <is>
          <t>X</t>
        </is>
      </c>
    </row>
    <row r="47" ht="22.05" customHeight="1" s="86">
      <c r="A47" s="12" t="n">
        <v>19</v>
      </c>
      <c r="B47" s="75" t="inlineStr">
        <is>
          <t>BSS-032</t>
        </is>
      </c>
      <c r="C47" s="10" t="inlineStr">
        <is>
          <t>안재성 (G1)</t>
        </is>
      </c>
      <c r="D47" s="69" t="inlineStr">
        <is>
          <t>컨설팅본부</t>
        </is>
      </c>
      <c r="E47" s="40">
        <f>COUNTIF(F47:T47,"O")</f>
        <v/>
      </c>
      <c r="F47" s="17" t="inlineStr">
        <is>
          <t>X</t>
        </is>
      </c>
      <c r="G47" s="17" t="inlineStr">
        <is>
          <t>X</t>
        </is>
      </c>
      <c r="H47" s="17" t="inlineStr">
        <is>
          <t>X</t>
        </is>
      </c>
      <c r="I47" s="17" t="inlineStr">
        <is>
          <t>X</t>
        </is>
      </c>
      <c r="J47" s="17" t="inlineStr">
        <is>
          <t>X</t>
        </is>
      </c>
      <c r="K47" s="17" t="inlineStr">
        <is>
          <t>X</t>
        </is>
      </c>
      <c r="L47" s="17" t="inlineStr">
        <is>
          <t>X</t>
        </is>
      </c>
      <c r="M47" s="17" t="inlineStr">
        <is>
          <t>X</t>
        </is>
      </c>
      <c r="N47" s="17" t="inlineStr">
        <is>
          <t>X</t>
        </is>
      </c>
      <c r="O47" s="17" t="inlineStr">
        <is>
          <t>X</t>
        </is>
      </c>
      <c r="P47" s="17" t="inlineStr">
        <is>
          <t>X</t>
        </is>
      </c>
      <c r="Q47" s="17" t="inlineStr">
        <is>
          <t>X</t>
        </is>
      </c>
      <c r="R47" s="17" t="inlineStr">
        <is>
          <t>X</t>
        </is>
      </c>
      <c r="S47" s="17" t="inlineStr">
        <is>
          <t>X</t>
        </is>
      </c>
      <c r="T47" s="17" t="inlineStr">
        <is>
          <t>X</t>
        </is>
      </c>
    </row>
    <row r="48" ht="22.05" customHeight="1" s="86">
      <c r="A48" s="12" t="n">
        <v>20</v>
      </c>
      <c r="B48" s="75" t="inlineStr">
        <is>
          <t>BSS-033</t>
        </is>
      </c>
      <c r="C48" s="10" t="inlineStr">
        <is>
          <t>유태석 (G1)</t>
        </is>
      </c>
      <c r="D48" s="69" t="inlineStr">
        <is>
          <t>컨설팅본부</t>
        </is>
      </c>
      <c r="E48" s="40">
        <f>COUNTIF(F48:T48,"O")</f>
        <v/>
      </c>
      <c r="F48" s="17" t="inlineStr">
        <is>
          <t>X</t>
        </is>
      </c>
      <c r="G48" s="17" t="inlineStr">
        <is>
          <t>X</t>
        </is>
      </c>
      <c r="H48" s="17" t="inlineStr">
        <is>
          <t>X</t>
        </is>
      </c>
      <c r="I48" s="17" t="inlineStr">
        <is>
          <t>X</t>
        </is>
      </c>
      <c r="J48" s="17" t="inlineStr">
        <is>
          <t>X</t>
        </is>
      </c>
      <c r="K48" s="17" t="inlineStr">
        <is>
          <t>X</t>
        </is>
      </c>
      <c r="L48" s="17" t="inlineStr">
        <is>
          <t>X</t>
        </is>
      </c>
      <c r="M48" s="17" t="inlineStr">
        <is>
          <t>X</t>
        </is>
      </c>
      <c r="N48" s="17" t="inlineStr">
        <is>
          <t>X</t>
        </is>
      </c>
      <c r="O48" s="17" t="inlineStr">
        <is>
          <t>X</t>
        </is>
      </c>
      <c r="P48" s="17" t="inlineStr">
        <is>
          <t>X</t>
        </is>
      </c>
      <c r="Q48" s="17" t="inlineStr">
        <is>
          <t>X</t>
        </is>
      </c>
      <c r="R48" s="17" t="inlineStr">
        <is>
          <t>X</t>
        </is>
      </c>
      <c r="S48" s="17" t="inlineStr">
        <is>
          <t>X</t>
        </is>
      </c>
      <c r="T48" s="17" t="inlineStr">
        <is>
          <t>X</t>
        </is>
      </c>
    </row>
    <row r="49" ht="22.05" customHeight="1" s="86">
      <c r="A49" s="12" t="n">
        <v>21</v>
      </c>
      <c r="B49" s="75" t="inlineStr">
        <is>
          <t>BSS-034</t>
        </is>
      </c>
      <c r="C49" s="10" t="inlineStr">
        <is>
          <t>엄보근 (G1)</t>
        </is>
      </c>
      <c r="D49" s="69" t="inlineStr">
        <is>
          <t>컨설팅본부</t>
        </is>
      </c>
      <c r="E49" s="40">
        <f>COUNTIF(F49:T49,"O")</f>
        <v/>
      </c>
      <c r="F49" s="17" t="inlineStr">
        <is>
          <t>X</t>
        </is>
      </c>
      <c r="G49" s="17" t="inlineStr">
        <is>
          <t>X</t>
        </is>
      </c>
      <c r="H49" s="17" t="inlineStr">
        <is>
          <t>X</t>
        </is>
      </c>
      <c r="I49" s="17" t="inlineStr">
        <is>
          <t>X</t>
        </is>
      </c>
      <c r="J49" s="17" t="inlineStr">
        <is>
          <t>X</t>
        </is>
      </c>
      <c r="K49" s="17" t="inlineStr">
        <is>
          <t>X</t>
        </is>
      </c>
      <c r="L49" s="17" t="inlineStr">
        <is>
          <t>X</t>
        </is>
      </c>
      <c r="M49" s="17" t="inlineStr">
        <is>
          <t>X</t>
        </is>
      </c>
      <c r="N49" s="17" t="inlineStr">
        <is>
          <t>X</t>
        </is>
      </c>
      <c r="O49" s="17" t="inlineStr">
        <is>
          <t>X</t>
        </is>
      </c>
      <c r="P49" s="17" t="inlineStr">
        <is>
          <t>X</t>
        </is>
      </c>
      <c r="Q49" s="17" t="inlineStr">
        <is>
          <t>X</t>
        </is>
      </c>
      <c r="R49" s="17" t="inlineStr">
        <is>
          <t>X</t>
        </is>
      </c>
      <c r="S49" s="17" t="inlineStr">
        <is>
          <t>X</t>
        </is>
      </c>
      <c r="T49" s="17" t="inlineStr">
        <is>
          <t>X</t>
        </is>
      </c>
    </row>
    <row r="52" ht="26" customHeight="1" s="86">
      <c r="A52" s="87" t="inlineStr">
        <is>
          <t>■ 직무: 교육  (책무 6개)  |  해당 직원 3명</t>
        </is>
      </c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7" t="n"/>
    </row>
    <row r="53" ht="22.05" customHeight="1" s="86">
      <c r="A53" s="91" t="inlineStr">
        <is>
          <t>No.</t>
        </is>
      </c>
      <c r="B53" s="91" t="inlineStr">
        <is>
          <t>사번</t>
        </is>
      </c>
      <c r="C53" s="91" t="inlineStr">
        <is>
          <t>성명</t>
        </is>
      </c>
      <c r="D53" s="91" t="inlineStr">
        <is>
          <t>부서</t>
        </is>
      </c>
      <c r="E53" s="91" t="inlineStr">
        <is>
          <t>메인 책무 수</t>
        </is>
      </c>
      <c r="F53" s="90" t="inlineStr">
        <is>
          <t>교육 기획</t>
        </is>
      </c>
      <c r="G53" s="67" t="n"/>
      <c r="H53" s="90" t="inlineStr">
        <is>
          <t>교육 운영</t>
        </is>
      </c>
      <c r="I53" s="66" t="n"/>
      <c r="J53" s="67" t="n"/>
      <c r="K53" s="90" t="inlineStr">
        <is>
          <t>수료/인증</t>
        </is>
      </c>
    </row>
    <row r="54" ht="60" customHeight="1" s="86">
      <c r="A54" s="92" t="n"/>
      <c r="B54" s="92" t="n"/>
      <c r="C54" s="92" t="n"/>
      <c r="D54" s="92" t="n"/>
      <c r="E54" s="92" t="n"/>
      <c r="F54" s="42" t="inlineStr">
        <is>
          <t>교육과정 기획</t>
        </is>
      </c>
      <c r="G54" s="42" t="inlineStr">
        <is>
          <t>교재 개발</t>
        </is>
      </c>
      <c r="H54" s="42" t="inlineStr">
        <is>
          <t>교육 진행 및 강의</t>
        </is>
      </c>
      <c r="I54" s="42" t="inlineStr">
        <is>
          <t>실습 지원</t>
        </is>
      </c>
      <c r="J54" s="42" t="inlineStr">
        <is>
          <t>평가 및 피드백</t>
        </is>
      </c>
      <c r="K54" s="42" t="inlineStr">
        <is>
          <t>수료 관리·인증 발급</t>
        </is>
      </c>
    </row>
    <row r="55" ht="22.05" customHeight="1" s="86">
      <c r="A55" s="12" t="n">
        <v>1</v>
      </c>
      <c r="B55" s="75" t="inlineStr">
        <is>
          <t>BSS-007</t>
        </is>
      </c>
      <c r="C55" s="10" t="inlineStr">
        <is>
          <t>이진행 (G5-M)</t>
        </is>
      </c>
      <c r="D55" s="69" t="inlineStr">
        <is>
          <t>솔루션본부</t>
        </is>
      </c>
      <c r="E55" s="40">
        <f>COUNTIF(F55:K55,"O")</f>
        <v/>
      </c>
      <c r="F55" s="17" t="inlineStr">
        <is>
          <t>X</t>
        </is>
      </c>
      <c r="G55" s="17" t="inlineStr">
        <is>
          <t>X</t>
        </is>
      </c>
      <c r="H55" s="17" t="inlineStr">
        <is>
          <t>X</t>
        </is>
      </c>
      <c r="I55" s="17" t="inlineStr">
        <is>
          <t>X</t>
        </is>
      </c>
      <c r="J55" s="17" t="inlineStr">
        <is>
          <t>X</t>
        </is>
      </c>
      <c r="K55" s="17" t="inlineStr">
        <is>
          <t>X</t>
        </is>
      </c>
    </row>
    <row r="56" ht="22.05" customHeight="1" s="86">
      <c r="A56" s="12" t="n">
        <v>2</v>
      </c>
      <c r="B56" s="75" t="inlineStr">
        <is>
          <t>BSS-017</t>
        </is>
      </c>
      <c r="C56" s="10" t="inlineStr">
        <is>
          <t>김우람 (G4)</t>
        </is>
      </c>
      <c r="D56" s="69" t="inlineStr">
        <is>
          <t>솔루션본부</t>
        </is>
      </c>
      <c r="E56" s="40">
        <f>COUNTIF(F56:K56,"O")</f>
        <v/>
      </c>
      <c r="F56" s="17" t="inlineStr">
        <is>
          <t>X</t>
        </is>
      </c>
      <c r="G56" s="17" t="inlineStr">
        <is>
          <t>X</t>
        </is>
      </c>
      <c r="H56" s="17" t="inlineStr">
        <is>
          <t>X</t>
        </is>
      </c>
      <c r="I56" s="17" t="inlineStr">
        <is>
          <t>X</t>
        </is>
      </c>
      <c r="J56" s="17" t="inlineStr">
        <is>
          <t>X</t>
        </is>
      </c>
      <c r="K56" s="17" t="inlineStr">
        <is>
          <t>X</t>
        </is>
      </c>
    </row>
    <row r="57" ht="22.05" customHeight="1" s="86">
      <c r="A57" s="12" t="n">
        <v>3</v>
      </c>
      <c r="B57" s="75" t="inlineStr">
        <is>
          <t>BSS-027</t>
        </is>
      </c>
      <c r="C57" s="10" t="inlineStr">
        <is>
          <t>장은한 (G2)</t>
        </is>
      </c>
      <c r="D57" s="69" t="inlineStr">
        <is>
          <t>솔루션본부</t>
        </is>
      </c>
      <c r="E57" s="40">
        <f>COUNTIF(F57:K57,"O")</f>
        <v/>
      </c>
      <c r="F57" s="17" t="inlineStr">
        <is>
          <t>X</t>
        </is>
      </c>
      <c r="G57" s="17" t="inlineStr">
        <is>
          <t>X</t>
        </is>
      </c>
      <c r="H57" s="17" t="inlineStr">
        <is>
          <t>X</t>
        </is>
      </c>
      <c r="I57" s="17" t="inlineStr">
        <is>
          <t>X</t>
        </is>
      </c>
      <c r="J57" s="17" t="inlineStr">
        <is>
          <t>X</t>
        </is>
      </c>
      <c r="K57" s="17" t="inlineStr">
        <is>
          <t>X</t>
        </is>
      </c>
    </row>
    <row r="60" ht="26" customHeight="1" s="86">
      <c r="A60" s="87" t="inlineStr">
        <is>
          <t>■ 직무: 기술지원  (책무 5개)  |  해당 직원 2명</t>
        </is>
      </c>
      <c r="B60" s="66" t="n"/>
      <c r="C60" s="66" t="n"/>
      <c r="D60" s="66" t="n"/>
      <c r="E60" s="66" t="n"/>
      <c r="F60" s="66" t="n"/>
      <c r="G60" s="66" t="n"/>
      <c r="H60" s="66" t="n"/>
      <c r="I60" s="66" t="n"/>
      <c r="J60" s="67" t="n"/>
    </row>
    <row r="61" ht="22.05" customHeight="1" s="86">
      <c r="A61" s="91" t="inlineStr">
        <is>
          <t>No.</t>
        </is>
      </c>
      <c r="B61" s="91" t="inlineStr">
        <is>
          <t>사번</t>
        </is>
      </c>
      <c r="C61" s="91" t="inlineStr">
        <is>
          <t>성명</t>
        </is>
      </c>
      <c r="D61" s="91" t="inlineStr">
        <is>
          <t>부서</t>
        </is>
      </c>
      <c r="E61" s="91" t="inlineStr">
        <is>
          <t>메인 책무 수</t>
        </is>
      </c>
      <c r="F61" s="90" t="inlineStr">
        <is>
          <t>기술지원</t>
        </is>
      </c>
      <c r="G61" s="66" t="n"/>
      <c r="H61" s="67" t="n"/>
      <c r="I61" s="90" t="inlineStr">
        <is>
          <t>품질개선</t>
        </is>
      </c>
      <c r="J61" s="67" t="n"/>
    </row>
    <row r="62" ht="60" customHeight="1" s="86">
      <c r="A62" s="92" t="n"/>
      <c r="B62" s="92" t="n"/>
      <c r="C62" s="92" t="n"/>
      <c r="D62" s="92" t="n"/>
      <c r="E62" s="92" t="n"/>
      <c r="F62" s="42" t="inlineStr">
        <is>
          <t>고객 문의 대응</t>
        </is>
      </c>
      <c r="G62" s="42" t="inlineStr">
        <is>
          <t>원격·현장 지원</t>
        </is>
      </c>
      <c r="H62" s="42" t="inlineStr">
        <is>
          <t>기술 문서 작성</t>
        </is>
      </c>
      <c r="I62" s="42" t="inlineStr">
        <is>
          <t>버그 리포트 및 피드백</t>
        </is>
      </c>
      <c r="J62" s="42" t="inlineStr">
        <is>
          <t>품질 모니터링</t>
        </is>
      </c>
    </row>
    <row r="63" ht="22.05" customHeight="1" s="86">
      <c r="A63" s="12" t="n">
        <v>1</v>
      </c>
      <c r="B63" s="75" t="inlineStr">
        <is>
          <t>BSS-008</t>
        </is>
      </c>
      <c r="C63" s="10" t="inlineStr">
        <is>
          <t>김민수 (G5-M)</t>
        </is>
      </c>
      <c r="D63" s="69" t="inlineStr">
        <is>
          <t>솔루션본부</t>
        </is>
      </c>
      <c r="E63" s="40">
        <f>COUNTIF(F63:J63,"O")</f>
        <v/>
      </c>
      <c r="F63" s="17" t="inlineStr">
        <is>
          <t>X</t>
        </is>
      </c>
      <c r="G63" s="17" t="inlineStr">
        <is>
          <t>X</t>
        </is>
      </c>
      <c r="H63" s="17" t="inlineStr">
        <is>
          <t>X</t>
        </is>
      </c>
      <c r="I63" s="17" t="inlineStr">
        <is>
          <t>X</t>
        </is>
      </c>
      <c r="J63" s="17" t="inlineStr">
        <is>
          <t>X</t>
        </is>
      </c>
    </row>
    <row r="64" ht="22.05" customHeight="1" s="86">
      <c r="A64" s="12" t="n">
        <v>2</v>
      </c>
      <c r="B64" s="75" t="inlineStr">
        <is>
          <t>BSS-020</t>
        </is>
      </c>
      <c r="C64" s="10" t="inlineStr">
        <is>
          <t>박진용 (G3)</t>
        </is>
      </c>
      <c r="D64" s="69" t="inlineStr">
        <is>
          <t>솔루션본부</t>
        </is>
      </c>
      <c r="E64" s="40">
        <f>COUNTIF(F64:J64,"O")</f>
        <v/>
      </c>
      <c r="F64" s="17" t="inlineStr">
        <is>
          <t>X</t>
        </is>
      </c>
      <c r="G64" s="17" t="inlineStr">
        <is>
          <t>X</t>
        </is>
      </c>
      <c r="H64" s="17" t="inlineStr">
        <is>
          <t>X</t>
        </is>
      </c>
      <c r="I64" s="17" t="inlineStr">
        <is>
          <t>X</t>
        </is>
      </c>
      <c r="J64" s="17" t="inlineStr">
        <is>
          <t>X</t>
        </is>
      </c>
    </row>
    <row r="67" ht="26" customHeight="1" s="86">
      <c r="A67" s="87" t="inlineStr">
        <is>
          <t>■ 직무: 연구개발(R&amp;D)  (책무 7개)  |  해당 직원 2명</t>
        </is>
      </c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7" t="n"/>
    </row>
    <row r="68" ht="22.05" customHeight="1" s="86">
      <c r="A68" s="91" t="inlineStr">
        <is>
          <t>No.</t>
        </is>
      </c>
      <c r="B68" s="91" t="inlineStr">
        <is>
          <t>사번</t>
        </is>
      </c>
      <c r="C68" s="91" t="inlineStr">
        <is>
          <t>성명</t>
        </is>
      </c>
      <c r="D68" s="91" t="inlineStr">
        <is>
          <t>부서</t>
        </is>
      </c>
      <c r="E68" s="91" t="inlineStr">
        <is>
          <t>메인 책무 수</t>
        </is>
      </c>
      <c r="F68" s="90" t="inlineStr">
        <is>
          <t>건설SW개발</t>
        </is>
      </c>
      <c r="G68" s="66" t="n"/>
      <c r="H68" s="67" t="n"/>
      <c r="I68" s="90" t="inlineStr">
        <is>
          <t>국책연구과제</t>
        </is>
      </c>
      <c r="J68" s="66" t="n"/>
      <c r="K68" s="67" t="n"/>
      <c r="L68" s="90" t="inlineStr">
        <is>
          <t>품질관리</t>
        </is>
      </c>
    </row>
    <row r="69" ht="60" customHeight="1" s="86">
      <c r="A69" s="92" t="n"/>
      <c r="B69" s="92" t="n"/>
      <c r="C69" s="92" t="n"/>
      <c r="D69" s="92" t="n"/>
      <c r="E69" s="92" t="n"/>
      <c r="F69" s="42" t="inlineStr">
        <is>
          <t>요구사항 분석·설계</t>
        </is>
      </c>
      <c r="G69" s="42" t="inlineStr">
        <is>
          <t>코딩 및 단위 테스트</t>
        </is>
      </c>
      <c r="H69" s="42" t="inlineStr">
        <is>
          <t>통합 및 배포</t>
        </is>
      </c>
      <c r="I69" s="42" t="inlineStr">
        <is>
          <t>과제 기획·제안</t>
        </is>
      </c>
      <c r="J69" s="42" t="inlineStr">
        <is>
          <t>연구 수행 및 보고</t>
        </is>
      </c>
      <c r="K69" s="42" t="inlineStr">
        <is>
          <t>특허·논문</t>
        </is>
      </c>
      <c r="L69" s="42" t="inlineStr">
        <is>
          <t>코드 리뷰·품질 표준</t>
        </is>
      </c>
    </row>
    <row r="70" ht="22.05" customHeight="1" s="86">
      <c r="A70" s="12" t="n">
        <v>1</v>
      </c>
      <c r="B70" s="75" t="inlineStr">
        <is>
          <t>BSS-002</t>
        </is>
      </c>
      <c r="C70" s="10" t="inlineStr">
        <is>
          <t>강전용 (G6)</t>
        </is>
      </c>
      <c r="D70" s="69" t="inlineStr">
        <is>
          <t>R&amp;D본부</t>
        </is>
      </c>
      <c r="E70" s="40">
        <f>COUNTIF(F70:L70,"O")</f>
        <v/>
      </c>
      <c r="F70" s="17" t="inlineStr">
        <is>
          <t>X</t>
        </is>
      </c>
      <c r="G70" s="17" t="inlineStr">
        <is>
          <t>X</t>
        </is>
      </c>
      <c r="H70" s="17" t="inlineStr">
        <is>
          <t>X</t>
        </is>
      </c>
      <c r="I70" s="17" t="inlineStr">
        <is>
          <t>X</t>
        </is>
      </c>
      <c r="J70" s="17" t="inlineStr">
        <is>
          <t>X</t>
        </is>
      </c>
      <c r="K70" s="17" t="inlineStr">
        <is>
          <t>X</t>
        </is>
      </c>
      <c r="L70" s="17" t="inlineStr">
        <is>
          <t>X</t>
        </is>
      </c>
    </row>
    <row r="71" ht="22.05" customHeight="1" s="86">
      <c r="A71" s="12" t="n">
        <v>2</v>
      </c>
      <c r="B71" s="75" t="inlineStr">
        <is>
          <t>BSS-025</t>
        </is>
      </c>
      <c r="C71" s="10" t="inlineStr">
        <is>
          <t>김성수 (G2)</t>
        </is>
      </c>
      <c r="D71" s="69" t="inlineStr">
        <is>
          <t>컨설팅본부</t>
        </is>
      </c>
      <c r="E71" s="40">
        <f>COUNTIF(F71:L71,"O")</f>
        <v/>
      </c>
      <c r="F71" s="17" t="inlineStr">
        <is>
          <t>X</t>
        </is>
      </c>
      <c r="G71" s="17" t="inlineStr">
        <is>
          <t>X</t>
        </is>
      </c>
      <c r="H71" s="17" t="inlineStr">
        <is>
          <t>X</t>
        </is>
      </c>
      <c r="I71" s="17" t="inlineStr">
        <is>
          <t>X</t>
        </is>
      </c>
      <c r="J71" s="17" t="inlineStr">
        <is>
          <t>X</t>
        </is>
      </c>
      <c r="K71" s="17" t="inlineStr">
        <is>
          <t>X</t>
        </is>
      </c>
      <c r="L71" s="17" t="inlineStr">
        <is>
          <t>X</t>
        </is>
      </c>
    </row>
  </sheetData>
  <mergeCells count="64">
    <mergeCell ref="K16:L16"/>
    <mergeCell ref="B27:B28"/>
    <mergeCell ref="D27:D28"/>
    <mergeCell ref="A61:A62"/>
    <mergeCell ref="P27:R27"/>
    <mergeCell ref="B61:B62"/>
    <mergeCell ref="I27:J27"/>
    <mergeCell ref="D61:D62"/>
    <mergeCell ref="A16:A17"/>
    <mergeCell ref="A6:A7"/>
    <mergeCell ref="S27:T27"/>
    <mergeCell ref="C16:C17"/>
    <mergeCell ref="I61:J61"/>
    <mergeCell ref="A21:I21"/>
    <mergeCell ref="V6:X6"/>
    <mergeCell ref="I68:K68"/>
    <mergeCell ref="C22:C23"/>
    <mergeCell ref="A27:A28"/>
    <mergeCell ref="M27:O27"/>
    <mergeCell ref="A1:Z1"/>
    <mergeCell ref="I16:J16"/>
    <mergeCell ref="F27:H27"/>
    <mergeCell ref="D16:D17"/>
    <mergeCell ref="E6:E7"/>
    <mergeCell ref="A5:X5"/>
    <mergeCell ref="F61:H61"/>
    <mergeCell ref="B6:B7"/>
    <mergeCell ref="B68:B69"/>
    <mergeCell ref="A60:J60"/>
    <mergeCell ref="B53:B54"/>
    <mergeCell ref="D68:D69"/>
    <mergeCell ref="E27:E28"/>
    <mergeCell ref="D53:D54"/>
    <mergeCell ref="C61:C62"/>
    <mergeCell ref="A22:A23"/>
    <mergeCell ref="E61:E62"/>
    <mergeCell ref="A26:T26"/>
    <mergeCell ref="A3:Z3"/>
    <mergeCell ref="C27:C28"/>
    <mergeCell ref="Q6:U6"/>
    <mergeCell ref="F22:G22"/>
    <mergeCell ref="A2:Z2"/>
    <mergeCell ref="E16:E17"/>
    <mergeCell ref="A67:L67"/>
    <mergeCell ref="H53:J53"/>
    <mergeCell ref="A68:A69"/>
    <mergeCell ref="A53:A54"/>
    <mergeCell ref="C53:C54"/>
    <mergeCell ref="F16:H16"/>
    <mergeCell ref="A15:L15"/>
    <mergeCell ref="F68:H68"/>
    <mergeCell ref="E53:E54"/>
    <mergeCell ref="F6:K6"/>
    <mergeCell ref="B22:B23"/>
    <mergeCell ref="L6:P6"/>
    <mergeCell ref="E22:E23"/>
    <mergeCell ref="C68:C69"/>
    <mergeCell ref="A52:K52"/>
    <mergeCell ref="E68:E69"/>
    <mergeCell ref="B16:B17"/>
    <mergeCell ref="C6:C7"/>
    <mergeCell ref="D6:D7"/>
    <mergeCell ref="F53:G53"/>
    <mergeCell ref="D22:D23"/>
  </mergeCells>
  <conditionalFormatting sqref="F63:J64">
    <cfRule type="cellIs" priority="95" operator="equal" dxfId="1">
      <formula>"O"</formula>
    </cfRule>
    <cfRule type="cellIs" priority="96" operator="equal" dxfId="0">
      <formula>"X"</formula>
    </cfRule>
  </conditionalFormatting>
  <conditionalFormatting sqref="F55:K57">
    <cfRule type="cellIs" priority="83" operator="equal" dxfId="1">
      <formula>"O"</formula>
    </cfRule>
    <cfRule type="cellIs" priority="84" operator="equal" dxfId="0">
      <formula>"X"</formula>
    </cfRule>
  </conditionalFormatting>
  <conditionalFormatting sqref="F18:L18">
    <cfRule type="cellIs" priority="39" operator="equal" dxfId="1">
      <formula>"O"</formula>
    </cfRule>
    <cfRule type="cellIs" priority="40" operator="equal" dxfId="0">
      <formula>"X"</formula>
    </cfRule>
  </conditionalFormatting>
  <conditionalFormatting sqref="F70:L71">
    <cfRule type="cellIs" priority="105" operator="equal" dxfId="1">
      <formula>"O"</formula>
    </cfRule>
    <cfRule type="cellIs" priority="106" operator="equal" dxfId="0">
      <formula>"X"</formula>
    </cfRule>
  </conditionalFormatting>
  <conditionalFormatting sqref="F29:T49">
    <cfRule type="cellIs" priority="53" operator="equal" dxfId="1">
      <formula>"O"</formula>
    </cfRule>
    <cfRule type="cellIs" priority="54" operator="equal" dxfId="0">
      <formula>"X"</formula>
    </cfRule>
  </conditionalFormatting>
  <conditionalFormatting sqref="F8:X12">
    <cfRule type="cellIs" priority="1" operator="equal" dxfId="1">
      <formula>"O"</formula>
    </cfRule>
    <cfRule type="cellIs" priority="2" operator="equal" dxfId="0">
      <formula>"X"</formula>
    </cfRule>
  </conditionalFormatting>
  <dataValidations count="1">
    <dataValidation sqref="F8:X12 F18:L18 F29:T49 F55:K57 F63:J64 F70:L71" showDropDown="0" showInputMessage="0" showErrorMessage="0" allowBlank="0" type="list">
      <formula1>"O,X"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2026-05-13T02:51:18Z</dcterms:created>
  <dcterms:modified xmlns:dcterms="http://purl.org/dc/terms/" xmlns:xsi="http://www.w3.org/2001/XMLSchema-instance" xsi:type="dcterms:W3CDTF">2026-05-13T07:05:00Z</dcterms:modified>
  <cp:lastModifiedBy>석주 이</cp:lastModifiedBy>
</cp:coreProperties>
</file>