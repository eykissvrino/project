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2_HRM_임금성과평가/03_프로젝트/01_2026_베이시스소프트_임금평가/베이시스소프트_HR컨설팅 결과물/"/>
    </mc:Choice>
  </mc:AlternateContent>
  <xr:revisionPtr revIDLastSave="37" documentId="13_ncr:1_{EBFA5FEB-1B8A-4826-8896-29CA12079A31}" xr6:coauthVersionLast="47" xr6:coauthVersionMax="47" xr10:uidLastSave="{0F782637-F8C9-4D0A-B323-AB3A0E93C8A2}"/>
  <bookViews>
    <workbookView xWindow="-38520" yWindow="-16350" windowWidth="38640" windowHeight="21120" xr2:uid="{00000000-000D-0000-FFFF-FFFF00000000}"/>
  </bookViews>
  <sheets>
    <sheet name="1_분류체계(Taxonomy)" sheetId="2" r:id="rId1"/>
    <sheet name="2_역할등급(Role_Grades)" sheetId="3" r:id="rId2"/>
    <sheet name="3_직무프로파일(Job_Profile)_경영전략기획" sheetId="4" r:id="rId3"/>
    <sheet name="3_직무프로파일(Job_Profile)_프로젝트영업" sheetId="14" r:id="rId4"/>
    <sheet name="3_직무프로파일(Job_Profile)_SW판매영업" sheetId="15" r:id="rId5"/>
    <sheet name="3_직무프로파일(Job_Profile)_BIM컨설팅" sheetId="16" r:id="rId6"/>
    <sheet name="3_직무프로파일(Job_Profile)_교육" sheetId="17" r:id="rId7"/>
    <sheet name="3_직무프로파일(Job_Profile)_기술지원" sheetId="18" r:id="rId8"/>
    <sheet name="3_직무프로파일(Job_Profile)_연구개발(R&amp;D)" sheetId="1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9" l="1"/>
  <c r="C7" i="18"/>
  <c r="C7" i="17"/>
  <c r="C7" i="16"/>
  <c r="C7" i="15"/>
  <c r="C7" i="14"/>
  <c r="C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MU_LIG</author>
  </authors>
  <commentList>
    <comment ref="B46" authorId="0" shapeId="0" xr:uid="{CC99A08D-1DF9-4337-BD61-14CF5381B0FD}">
      <text>
        <r>
          <rPr>
            <b/>
            <sz val="9"/>
            <color indexed="81"/>
            <rFont val="Tahoma"/>
            <family val="2"/>
          </rPr>
          <t>MU_LIG: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베이시스소프트의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전공자에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용이하지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상황임
</t>
        </r>
      </text>
    </comment>
  </commentList>
</comments>
</file>

<file path=xl/sharedStrings.xml><?xml version="1.0" encoding="utf-8"?>
<sst xmlns="http://schemas.openxmlformats.org/spreadsheetml/2006/main" count="955" uniqueCount="516">
  <si>
    <t>직군</t>
    <phoneticPr fontId="2" type="noConversion"/>
  </si>
  <si>
    <t>직무</t>
    <phoneticPr fontId="2" type="noConversion"/>
  </si>
  <si>
    <t>직무코드</t>
  </si>
  <si>
    <t>전문영역</t>
    <phoneticPr fontId="2" type="noConversion"/>
  </si>
  <si>
    <t>전문영역코드</t>
    <phoneticPr fontId="2" type="noConversion"/>
  </si>
  <si>
    <t>경영관리</t>
  </si>
  <si>
    <t>경영전략기획</t>
    <phoneticPr fontId="2" type="noConversion"/>
  </si>
  <si>
    <t>BS_STR</t>
    <phoneticPr fontId="2" type="noConversion"/>
  </si>
  <si>
    <t>경영기획</t>
  </si>
  <si>
    <t>BS_STR_PLAN</t>
    <phoneticPr fontId="2" type="noConversion"/>
  </si>
  <si>
    <t>경영전략기획</t>
  </si>
  <si>
    <t>인사총무</t>
  </si>
  <si>
    <t>BS_STR_HR</t>
    <phoneticPr fontId="2" type="noConversion"/>
  </si>
  <si>
    <t>재무회계</t>
  </si>
  <si>
    <t>BS_STR_FIN</t>
    <phoneticPr fontId="2" type="noConversion"/>
  </si>
  <si>
    <t>마케팅</t>
  </si>
  <si>
    <t>BS_STR_MKT</t>
    <phoneticPr fontId="2" type="noConversion"/>
  </si>
  <si>
    <t>영업</t>
  </si>
  <si>
    <t>프로젝트영업</t>
    <phoneticPr fontId="2" type="noConversion"/>
  </si>
  <si>
    <t>BS_PRJ</t>
    <phoneticPr fontId="2" type="noConversion"/>
  </si>
  <si>
    <t>공공/건설프로젝트영업</t>
    <phoneticPr fontId="2" type="noConversion"/>
  </si>
  <si>
    <t>BS_PRJ_CON</t>
    <phoneticPr fontId="2" type="noConversion"/>
  </si>
  <si>
    <t>SW판매영업</t>
    <phoneticPr fontId="2" type="noConversion"/>
  </si>
  <si>
    <t>BS_SW</t>
    <phoneticPr fontId="2" type="noConversion"/>
  </si>
  <si>
    <t>SW 패키지/라이선스영업</t>
    <phoneticPr fontId="2" type="noConversion"/>
  </si>
  <si>
    <t>BS_SW_PKG</t>
    <phoneticPr fontId="2" type="noConversion"/>
  </si>
  <si>
    <t>설계</t>
  </si>
  <si>
    <t>BIM컨설팅</t>
    <phoneticPr fontId="2" type="noConversion"/>
  </si>
  <si>
    <t>BS_BIM</t>
    <phoneticPr fontId="2" type="noConversion"/>
  </si>
  <si>
    <t>계획모델링</t>
    <phoneticPr fontId="2" type="noConversion"/>
  </si>
  <si>
    <t>BS_BIM_PLN</t>
    <phoneticPr fontId="2" type="noConversion"/>
  </si>
  <si>
    <t>드론응용모델링</t>
    <phoneticPr fontId="2" type="noConversion"/>
  </si>
  <si>
    <t>BS_BIM_DRN</t>
    <phoneticPr fontId="2" type="noConversion"/>
  </si>
  <si>
    <t>구조모델링</t>
    <phoneticPr fontId="2" type="noConversion"/>
  </si>
  <si>
    <t>BS_BIM_STR</t>
    <phoneticPr fontId="2" type="noConversion"/>
  </si>
  <si>
    <t>상하수도모델링</t>
    <phoneticPr fontId="2" type="noConversion"/>
  </si>
  <si>
    <t>BS_BIM_UTL</t>
    <phoneticPr fontId="2" type="noConversion"/>
  </si>
  <si>
    <t>교육 및 기술지원</t>
  </si>
  <si>
    <t>교육</t>
  </si>
  <si>
    <t>BS_EDU</t>
    <phoneticPr fontId="2" type="noConversion"/>
  </si>
  <si>
    <t>BIM·SW교육 운영·관리</t>
    <phoneticPr fontId="2" type="noConversion"/>
  </si>
  <si>
    <t>BS_EDU_OPS</t>
    <phoneticPr fontId="2" type="noConversion"/>
  </si>
  <si>
    <t>기술지원</t>
  </si>
  <si>
    <t>BS_TS</t>
    <phoneticPr fontId="2" type="noConversion"/>
  </si>
  <si>
    <t>기술지원</t>
    <phoneticPr fontId="2" type="noConversion"/>
  </si>
  <si>
    <t>BS_TS_SUP</t>
    <phoneticPr fontId="2" type="noConversion"/>
  </si>
  <si>
    <t>연구&amp;개발</t>
  </si>
  <si>
    <t>연구개발(R&amp;D)</t>
  </si>
  <si>
    <t>BS_RD</t>
    <phoneticPr fontId="2" type="noConversion"/>
  </si>
  <si>
    <t>건설SW개발</t>
    <phoneticPr fontId="2" type="noConversion"/>
  </si>
  <si>
    <t>BS_RD_SW</t>
    <phoneticPr fontId="2" type="noConversion"/>
  </si>
  <si>
    <t>국책연구과제</t>
    <phoneticPr fontId="2" type="noConversion"/>
  </si>
  <si>
    <t>BS_RD_GOV</t>
    <phoneticPr fontId="2" type="noConversion"/>
  </si>
  <si>
    <t>역할등급(직급)</t>
    <phoneticPr fontId="2" type="noConversion"/>
  </si>
  <si>
    <t>역할명</t>
    <phoneticPr fontId="2" type="noConversion"/>
  </si>
  <si>
    <t>공통 역할 키워드</t>
    <phoneticPr fontId="2" type="noConversion"/>
  </si>
  <si>
    <t>공통 역할 정의</t>
    <phoneticPr fontId="2" type="noConversion"/>
  </si>
  <si>
    <t>책임범위</t>
    <phoneticPr fontId="2" type="noConversion"/>
  </si>
  <si>
    <t>권한 수준</t>
    <phoneticPr fontId="2" type="noConversion"/>
  </si>
  <si>
    <t>평가비중_성과(업적)평가</t>
    <phoneticPr fontId="2" type="noConversion"/>
  </si>
  <si>
    <t>평가비중_역할평가</t>
    <phoneticPr fontId="2" type="noConversion"/>
  </si>
  <si>
    <t>평가비중_역량평가</t>
    <phoneticPr fontId="2" type="noConversion"/>
  </si>
  <si>
    <t>G6</t>
  </si>
  <si>
    <t>사업·조직 관리</t>
  </si>
  <si>
    <t>전사 전략·KPI 총괄, 대외 파트너십, 의사결정</t>
  </si>
  <si>
    <t>회사의 비전·경영전략 수립과 성과목표 달성을 총괄하며, 부서 간 의사결정·조정 및 대외 파트너십을 관리하는 역할.</t>
    <phoneticPr fontId="2" type="noConversion"/>
  </si>
  <si>
    <t>전사 KPI, 손익</t>
  </si>
  <si>
    <t>전사 의사결정, 예산 편성, 인력 승인</t>
  </si>
  <si>
    <t>G5-M</t>
  </si>
  <si>
    <t>직무 관리(부서장)</t>
  </si>
  <si>
    <t>부서 전략·성과관리, 프로젝트 포트폴리오, 인력·예산 운영</t>
  </si>
  <si>
    <t>팀의 성과목표를 수립·관리하고, 조직 전략과 연계된 프로젝트 포트폴리오를 운영하며, 인력·자원 배분 및 성과 달성을 총괄하는 역할.</t>
    <phoneticPr fontId="2" type="noConversion"/>
  </si>
  <si>
    <t>부서 KPI</t>
  </si>
  <si>
    <t>부서 의사결정, 예산 배분, 채용/승진 제안</t>
  </si>
  <si>
    <t>G5-S</t>
  </si>
  <si>
    <t>실무 스페셜리스트</t>
  </si>
  <si>
    <t>고난도 과제 수행, 기술자산화, 코칭/전파</t>
  </si>
  <si>
    <t>직무 최고 수준의 전문성과 현장 경험을 기반으로, 복잡하고 고난이도의 프로젝트를 성공적으로 수행하며, 내부 기술 자산화 및 기술·노하우 전파를 주도하는 실무 전문가 역할.</t>
    <phoneticPr fontId="2" type="noConversion"/>
  </si>
  <si>
    <t>핵심 기술/과제 성과</t>
  </si>
  <si>
    <t>전문 영역 의사결정</t>
  </si>
  <si>
    <t>G4</t>
  </si>
  <si>
    <t>실무 책임(PM)</t>
  </si>
  <si>
    <t>프로젝트 기획·추진, 일정/품질/비용 목표 달성</t>
  </si>
  <si>
    <t>단위 프로젝트의 전략 수립·추진을 주도하며, 예산·일정·품질 등 목표 달성을 책임지고 성과를 보고하는 역할.</t>
    <phoneticPr fontId="2" type="noConversion"/>
  </si>
  <si>
    <t>프로젝트 성과</t>
  </si>
  <si>
    <t>프로젝트 의사결정, 예산 집행</t>
  </si>
  <si>
    <t>G3</t>
  </si>
  <si>
    <t>핵심 실무</t>
  </si>
  <si>
    <t>핵심 과업 수행, 품질/일정 준수</t>
  </si>
  <si>
    <t>전문 지식과 기술을 활용해 프로젝트 핵심 과업을 기획·수행하며, 산출물 품질과 일정 준수를 책임지는 중추적인 역할.</t>
    <phoneticPr fontId="2" type="noConversion"/>
  </si>
  <si>
    <t>모듈/과업 성과</t>
  </si>
  <si>
    <t>모듈 범위 자율</t>
  </si>
  <si>
    <t>G2</t>
  </si>
  <si>
    <t>실무</t>
  </si>
  <si>
    <t>세부 과업 수행, 산출물 완성도 확보</t>
  </si>
  <si>
    <t>프로젝트 계획에 따라 독립적·자율적으로 세부 과업을 계획·수행하며, 완성도 있는 산출물을 도출하고 품질을 관리하는 역할.</t>
    <phoneticPr fontId="2" type="noConversion"/>
  </si>
  <si>
    <t>개별 과업 성과</t>
  </si>
  <si>
    <t>과업 범위 자율</t>
  </si>
  <si>
    <t>G1</t>
  </si>
  <si>
    <t>실무 보조</t>
  </si>
  <si>
    <t>기본 과업 보조, 직무 학습</t>
  </si>
  <si>
    <t>실무에 대한 이해와 과업 수행에 필요한 기술·지식을 습득하며, 프로젝트 진행 과정에서 기본적인 과업을 보조하는 역할.</t>
    <phoneticPr fontId="2" type="noConversion"/>
  </si>
  <si>
    <t>학습/보조 수행도</t>
  </si>
  <si>
    <t>제한적 권한</t>
  </si>
  <si>
    <t>직무 개요</t>
    <phoneticPr fontId="4" type="noConversion"/>
  </si>
  <si>
    <t>직무 기본 정보</t>
    <phoneticPr fontId="2" type="noConversion"/>
  </si>
  <si>
    <t>직무코드</t>
    <phoneticPr fontId="2" type="noConversion"/>
  </si>
  <si>
    <t>직무정의</t>
    <phoneticPr fontId="2" type="noConversion"/>
  </si>
  <si>
    <t>직무 역할</t>
    <phoneticPr fontId="4" type="noConversion"/>
  </si>
  <si>
    <t>역할등급</t>
    <phoneticPr fontId="2" type="noConversion"/>
  </si>
  <si>
    <t>역할 정의</t>
    <phoneticPr fontId="2" type="noConversion"/>
  </si>
  <si>
    <t>권한 및 책임</t>
    <phoneticPr fontId="2" type="noConversion"/>
  </si>
  <si>
    <t>직무 수행 내용</t>
    <phoneticPr fontId="4" type="noConversion"/>
  </si>
  <si>
    <t>핵심 책무</t>
    <phoneticPr fontId="2" type="noConversion"/>
  </si>
  <si>
    <t>핵심 과업</t>
    <phoneticPr fontId="2" type="noConversion"/>
  </si>
  <si>
    <t>필요 스킬</t>
    <phoneticPr fontId="2" type="noConversion"/>
  </si>
  <si>
    <t>직무 수행 요건</t>
    <phoneticPr fontId="2" type="noConversion"/>
  </si>
  <si>
    <t>학력 및 전공</t>
    <phoneticPr fontId="2" type="noConversion"/>
  </si>
  <si>
    <t>경력</t>
    <phoneticPr fontId="2" type="noConversion"/>
  </si>
  <si>
    <t>자격/라이선스</t>
    <phoneticPr fontId="2" type="noConversion"/>
  </si>
  <si>
    <t>공통 역량</t>
    <phoneticPr fontId="2" type="noConversion"/>
  </si>
  <si>
    <t>승급 조건</t>
    <phoneticPr fontId="4" type="noConversion"/>
  </si>
  <si>
    <t>요건</t>
    <phoneticPr fontId="2" type="noConversion"/>
  </si>
  <si>
    <t>표준 연한</t>
    <phoneticPr fontId="2" type="noConversion"/>
  </si>
  <si>
    <t>전사 목표 달성을 위해 경영환경과 베이시스소프트의 BIM 및 건설 소프트웨어 사업 전반에 대한 경영환경을 분석하고,  중장기 전략과 연간 사업계획(KPI·예산)을 수립·조정·관리하며, 기술중심의 사업특성을 고려한 경영진 의사결정을 지원하고 실행력을 확보하는 일이다.</t>
    <phoneticPr fontId="2" type="noConversion"/>
  </si>
  <si>
    <t>• 전사 비전 및 중장기 전략 수립·승인
• 예산·자원 배분 총괄 및 대외 협력 주도
• 전사 KPI 달성 및 리스크 관리 책임</t>
    <phoneticPr fontId="2" type="noConversion"/>
  </si>
  <si>
    <t>• 부서 전략·성과 목표 설정 및 관리
• 자원·인력 배치 및 성과관리 주도
• 부서 의사결정 및 현안 조정 책임</t>
    <phoneticPr fontId="2" type="noConversion"/>
  </si>
  <si>
    <t>전략기획·인사·재무·마케팅 등 각 분야에서 전문적 분석 및 고난이도 과제 수행.</t>
    <phoneticPr fontId="2" type="noConversion"/>
  </si>
  <si>
    <t>• 전문 영역(전략, 재무, 마케팅 등) 고난도 분석
• 의사결정 지원 자료 및 대안 제시
• 내부 자문·전문 지식 공유 역할</t>
    <phoneticPr fontId="2" type="noConversion"/>
  </si>
  <si>
    <t>단위 프로젝트 또는 핵심 과제의 전략 수립·추진을 주도하며, 일정·예산·품질을 종합적으로 관리함.</t>
    <phoneticPr fontId="2" type="noConversion"/>
  </si>
  <si>
    <t>• 전략과제 및 프로젝트 기획·추진 관리
• 일정·예산·성과 모니터링 및 조정
• 과제팀 운영 및 산출물 품질 책임</t>
    <phoneticPr fontId="2" type="noConversion"/>
  </si>
  <si>
    <t>전문 지식과 기술을 활용하여 핵심 과제 기획·수행 및 성과물을 도출함.</t>
    <phoneticPr fontId="2" type="noConversion"/>
  </si>
  <si>
    <t>• 경영성과 분석 및 개선안 도출
• 경영회의 보고자료·대시보드 작성
• 과제 실행 및 주요 산출물 도출</t>
    <phoneticPr fontId="2" type="noConversion"/>
  </si>
  <si>
    <t>프로젝트 계획에 따라 세부 과업을 독립적·자율적으로 수행하고 결과물을 도출함.</t>
    <phoneticPr fontId="2" type="noConversion"/>
  </si>
  <si>
    <t>• 기초 데이터 분석·리서치 수행
• KPI 집계 및 운영 보고 지원
• 프로젝트 과업 수행 및 운영 지원</t>
    <phoneticPr fontId="2" type="noConversion"/>
  </si>
  <si>
    <t>실무 수행에 필요한 기초 지식·기술 습득 및 단순 과업 수행.</t>
    <phoneticPr fontId="2" type="noConversion"/>
  </si>
  <si>
    <t>• 자료 수집·정리 및 행정 지원
• 기본 보고서·문서 편집 지원
• 단순 반복 업무 및 기초 과업 수행</t>
    <phoneticPr fontId="2" type="noConversion"/>
  </si>
  <si>
    <t>경영기획</t>
    <phoneticPr fontId="2" type="noConversion"/>
  </si>
  <si>
    <t>중장기 경영전략 수립</t>
    <phoneticPr fontId="2" type="noConversion"/>
  </si>
  <si>
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<phoneticPr fontId="2" type="noConversion"/>
  </si>
  <si>
    <t>전략적 사고력, 데이터 분석력, 
기획력, 조직이해 능력</t>
    <phoneticPr fontId="2" type="noConversion"/>
  </si>
  <si>
    <t>조직 목표 및 KPI 관리</t>
    <phoneticPr fontId="2" type="noConversion"/>
  </si>
  <si>
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<phoneticPr fontId="2" type="noConversion"/>
  </si>
  <si>
    <t>성과관리 능력, 문제해결력, 데이터 시각화(BI), 
커뮤니케이션 능력</t>
    <phoneticPr fontId="2" type="noConversion"/>
  </si>
  <si>
    <t>경영계획 및 예산수립</t>
    <phoneticPr fontId="2" type="noConversion"/>
  </si>
  <si>
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<phoneticPr fontId="2" type="noConversion"/>
  </si>
  <si>
    <t>재무·회계 지식, 엑셀·스프레드시트 활용, 
수리분석 능력</t>
    <phoneticPr fontId="2" type="noConversion"/>
  </si>
  <si>
    <t>경영평가 및 모니터링</t>
    <phoneticPr fontId="2" type="noConversion"/>
  </si>
  <si>
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<phoneticPr fontId="2" type="noConversion"/>
  </si>
  <si>
    <t>분석력, 통계해석, 프레젠테이션 능력,
리포팅 능력</t>
    <phoneticPr fontId="2" type="noConversion"/>
  </si>
  <si>
    <t>신규 사업 기획 및
타당성 검토</t>
    <phoneticPr fontId="2" type="noConversion"/>
  </si>
  <si>
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<phoneticPr fontId="2" type="noConversion"/>
  </si>
  <si>
    <t>시장조사 능력, 재무분석, 의사결정 능력, 
프로젝트 관리(PM)</t>
    <phoneticPr fontId="2" type="noConversion"/>
  </si>
  <si>
    <t>리스크 성과분석</t>
    <phoneticPr fontId="2" type="noConversion"/>
  </si>
  <si>
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<phoneticPr fontId="2" type="noConversion"/>
  </si>
  <si>
    <t>리스크관리 능력, 협상력, 문서작성능력, 
조직 내·외 커뮤니케이션</t>
    <phoneticPr fontId="2" type="noConversion"/>
  </si>
  <si>
    <t>인사총무</t>
    <phoneticPr fontId="2" type="noConversion"/>
  </si>
  <si>
    <t>인사관리 및 인력운영</t>
    <phoneticPr fontId="2" type="noConversion"/>
  </si>
  <si>
    <t>• 입·퇴사자 인사 프로세스 관리(계약서, 4대보험, 인사발령)
• 근태·휴가·연장근무·출장 등 근무관리
• 인사기록카드, 인사DB 업데이트 및 관리
• 인력 배치 및 조직도 관리</t>
    <phoneticPr fontId="2" type="noConversion"/>
  </si>
  <si>
    <t>HRM 시스템 활용능력, 문서작성 능력, 개인정보 관리 의식</t>
    <phoneticPr fontId="2" type="noConversion"/>
  </si>
  <si>
    <t>급여 및 복리후생</t>
    <phoneticPr fontId="2" type="noConversion"/>
  </si>
  <si>
    <t>• 급여·상여·성과급 정산 및 지급 관리
• 4대보험, 퇴직연금, 연말정산 관리
• 각종 복리후생(건강검진, 경조사, 식대·복지카드 등) 운영
• 외부 대행기관(세무·보험사) 협업 및 증빙자료 제출</t>
    <phoneticPr fontId="2" type="noConversion"/>
  </si>
  <si>
    <t>급여정산 지식, 세무·보험 이해, 개인정보 관리 으식, 일정관리 능력</t>
    <phoneticPr fontId="2" type="noConversion"/>
  </si>
  <si>
    <t>총무 및 자산관리</t>
    <phoneticPr fontId="2" type="noConversion"/>
  </si>
  <si>
    <t>• 사무실 운영(비품, 문서, 시설, 차량, 우편, 택배 등)
• 사무공간 및 비품 구매·재고관리
• 보안·출입통제·청소·시설 유지보수 관리
• 외주업체(시설, 보안, 용역 등) 계약 및 정산</t>
    <phoneticPr fontId="2" type="noConversion"/>
  </si>
  <si>
    <t>행정처리 능력, 회계 이해, 문서관리력, 협력사 커뮤니케이션</t>
    <phoneticPr fontId="2" type="noConversion"/>
  </si>
  <si>
    <t>노무 및 법규</t>
    <phoneticPr fontId="2" type="noConversion"/>
  </si>
  <si>
    <t>• 근로계약서, 취업규칙, 인사제도 운영 관리
• 노동법, 개인정보보호법 등 법규 준수 모니터링
• 근로감독·노무 컨설팅 대응
• 인사 관련 공문, 신고서, 공단문서 작성 및 제출</t>
    <phoneticPr fontId="2" type="noConversion"/>
  </si>
  <si>
    <t>근로기준법 이해, 노무 실무, 대외 공문서 작성 능력, 직원 대응 커뮤니케이션</t>
    <phoneticPr fontId="2" type="noConversion"/>
  </si>
  <si>
    <t>조직문화 및 사내행사</t>
    <phoneticPr fontId="2" type="noConversion"/>
  </si>
  <si>
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<phoneticPr fontId="2" type="noConversion"/>
  </si>
  <si>
    <t>행사기획·운영능력, 대인 커뮤니케이션, 프레젠테이션, 행사 홍보 자료 기본 작성 편집능력</t>
    <phoneticPr fontId="2" type="noConversion"/>
  </si>
  <si>
    <t>재무회계</t>
    <phoneticPr fontId="2" type="noConversion"/>
  </si>
  <si>
    <t>재무 전략 및 자금 관리</t>
    <phoneticPr fontId="2" type="noConversion"/>
  </si>
  <si>
    <t>자금 조달·운영, 재무 리스크 관리, 투자 검토</t>
    <phoneticPr fontId="2" type="noConversion"/>
  </si>
  <si>
    <t>재무지식, 분석력</t>
    <phoneticPr fontId="2" type="noConversion"/>
  </si>
  <si>
    <t>회계 관리 및 결산</t>
    <phoneticPr fontId="2" type="noConversion"/>
  </si>
  <si>
    <t>결산/재무제표 작성, 회계 감사 대응, 세무 관리</t>
    <phoneticPr fontId="2" type="noConversion"/>
  </si>
  <si>
    <t>회계 지식, 꼼꼼함</t>
    <phoneticPr fontId="2" type="noConversion"/>
  </si>
  <si>
    <t>결산 및 세무</t>
    <phoneticPr fontId="2" type="noConversion"/>
  </si>
  <si>
    <t>재무회계 지식, 세법 지식, 분석적 사고, ERP 활용 능력, 꼼꼼함</t>
    <phoneticPr fontId="2" type="noConversion"/>
  </si>
  <si>
    <t>프로젝트 손익 및 원가 관리</t>
    <phoneticPr fontId="2" type="noConversion"/>
  </si>
  <si>
    <t>원가회계 지식,  ERP 활용 능력, 분석력</t>
    <phoneticPr fontId="2" type="noConversion"/>
  </si>
  <si>
    <t>자금 및 경영지원</t>
    <phoneticPr fontId="2" type="noConversion"/>
  </si>
  <si>
    <t>재무관리, 재무 분석, OA 활용 능력</t>
    <phoneticPr fontId="2" type="noConversion"/>
  </si>
  <si>
    <t>마케팅</t>
    <phoneticPr fontId="2" type="noConversion"/>
  </si>
  <si>
    <t>마케팅 전략 수립</t>
    <phoneticPr fontId="2" type="noConversion"/>
  </si>
  <si>
    <t>• 시장조사, 고객 요구 분석 
• 기업 포지셔닝 전략 수립 
• 마케팅 캠페인 기획 및 운영(온,오프라인)
• 브랜드 아이덴티티, 톤앤매너 관리</t>
    <phoneticPr fontId="2" type="noConversion"/>
  </si>
  <si>
    <t>시장 분석력, 
기획력 &amp; 논리적 사고</t>
    <phoneticPr fontId="2" type="noConversion"/>
  </si>
  <si>
    <t>브랜드 마케팅</t>
    <phoneticPr fontId="2" type="noConversion"/>
  </si>
  <si>
    <t>• 홈페이지, SNS,유투브 등 온라인 채널 운영
• 기술 세미나/전시회 기획 및 운영
• 행사 (마케팅 캠페인) 후 고객 관리
• 광고 집행 계획 및 실행</t>
    <phoneticPr fontId="2" type="noConversion"/>
  </si>
  <si>
    <t>커뮤니케이션 능력
브랜드 감각
행사 기획 능력</t>
    <phoneticPr fontId="2" type="noConversion"/>
  </si>
  <si>
    <t>컨텐츠 마케팅</t>
    <phoneticPr fontId="2" type="noConversion"/>
  </si>
  <si>
    <t>• 뉴스레터, 영상 등 콘텐츠 전략 기획 
• 컨텐츠 제작
• 온라인 컨텐츠 성과분석</t>
    <phoneticPr fontId="2" type="noConversion"/>
  </si>
  <si>
    <t>디지털 리터러시
콘텐츠 제작 능력 
문제 해결력, 협업 능력</t>
    <phoneticPr fontId="2" type="noConversion"/>
  </si>
  <si>
    <t>내부육성전략</t>
    <phoneticPr fontId="2" type="noConversion"/>
  </si>
  <si>
    <t>• 경영기획 전문교육 및 PBL형 실습 운영 (KPI·예산·성과관리 실무)
• 선임 실무자의 멘토링을 통한 실무역량 내재화
• 기술+경영 융합형 인재로 성장 가능한 경력트랙 제공
• 경영기획 직무로의 전환을 희망하는 내부 인력 대상 Job Rotation 제도 및 경력전환 트랙 마련</t>
    <phoneticPr fontId="2" type="noConversion"/>
  </si>
  <si>
    <t>5년 이상</t>
    <phoneticPr fontId="2" type="noConversion"/>
  </si>
  <si>
    <t>4년 이상</t>
    <phoneticPr fontId="2" type="noConversion"/>
  </si>
  <si>
    <t>• 프로젝트 단위 전략과제 기획·분석·리딩
• 일정·품질·성과 관리 및 보고 책임
• 전략 실행 모니터링 및 개선 과제 도출</t>
    <phoneticPr fontId="2" type="noConversion"/>
  </si>
  <si>
    <t>3년 이상</t>
    <phoneticPr fontId="2" type="noConversion"/>
  </si>
  <si>
    <t>• 주요 전략 과제 조사·분석 및 보고서 작성 독립 수행
• 경영지표 모니터링 및 개선안 제안
• 사업계획 및 실적분석 지원</t>
    <phoneticPr fontId="2" type="noConversion"/>
  </si>
  <si>
    <t>2년 이상</t>
    <phoneticPr fontId="2" type="noConversion"/>
  </si>
  <si>
    <t>• 기초 데이터 수집·정리 및 단순 분석 지원
• 전략 문서·자료 관리 및 보고 지원
• 선임 보조 업무 수행을 통한 기본 역량 학습</t>
    <phoneticPr fontId="2" type="noConversion"/>
  </si>
  <si>
    <t>1년 이상</t>
    <phoneticPr fontId="2" type="noConversion"/>
  </si>
  <si>
    <t>프로젝트영업</t>
  </si>
  <si>
    <t>회사의 영업전략 수립과 목표 달성을 총괄하며, 주요 고객·파트너십 관리 및 사업 기회를 확대하는 역할.</t>
    <phoneticPr fontId="2" type="noConversion"/>
  </si>
  <si>
    <t>영업 성과목표 수립·관리, 프로젝트 포트폴리오 운영, 자원 배분 및 매출 목표 달성 총괄.</t>
    <phoneticPr fontId="2" type="noConversion"/>
  </si>
  <si>
    <t>전문 영업 지식과 경험을 기반으로 대형/복잡 영업 프로젝트를 수행하며, 신규 시장 개척 및 고객 관계 강화.</t>
    <phoneticPr fontId="2" type="noConversion"/>
  </si>
  <si>
    <t>프로젝트 영업 활동을 주도하며, 매출·수익성 목표 달성과 주요 고객 관리 책임.</t>
    <phoneticPr fontId="2" type="noConversion"/>
  </si>
  <si>
    <t>핵심 영업 과업(제안, 계약 관리 등)을 수행하고, 고객 요구 충족 및 프로젝트 진행을 지원.</t>
    <phoneticPr fontId="2" type="noConversion"/>
  </si>
  <si>
    <t>영업 기회 발굴, 제안 자료 작성, 고객 커뮤니케이션 지원 등 실무적 영업 활동 담당.</t>
    <phoneticPr fontId="2" type="noConversion"/>
  </si>
  <si>
    <t>영업팀 활동 지원, 자료 정리 및 기본적 고객 응대 보조.</t>
    <phoneticPr fontId="2" type="noConversion"/>
  </si>
  <si>
    <t>영업 전략 수립</t>
  </si>
  <si>
    <t>• 발주처·시장 동향 조사
• 공공·건설 프로젝트 기회 발굴
• 경쟁사 분석 및 입찰 전략 수립</t>
    <phoneticPr fontId="2" type="noConversion"/>
  </si>
  <si>
    <t>분석력, 전략적 사고</t>
  </si>
  <si>
    <t>제안 및 수주 활동</t>
  </si>
  <si>
    <t>• 입찰 제안서 작성 및 PT
• 발주처 요구사항 대응
• 계약 조건 협상 및 수주 성사</t>
    <phoneticPr fontId="2" type="noConversion"/>
  </si>
  <si>
    <t>제안서 작성 능력, 프레젠테이션, 협상력</t>
  </si>
  <si>
    <t>고객·관계 관리</t>
  </si>
  <si>
    <t>• 주요 발주처 및 협력사 관계 유지
• 정기 미팅 및 프로젝트 현안 대응
• 고객 만족도 조사 및 개선 제안</t>
    <phoneticPr fontId="2" type="noConversion"/>
  </si>
  <si>
    <t>소통 능력, 관계 관리, 문제 해결력</t>
  </si>
  <si>
    <t>프로젝트 지원 및 수금 관리</t>
  </si>
  <si>
    <t>• 계약 후 실행 단계 모니터링
• 이슈 발생 시 내부 협업·조율
• 수금 일정 관리 및 실행</t>
    <phoneticPr fontId="2" type="noConversion"/>
  </si>
  <si>
    <t>협업 능력, 일정 관리, 리스크 대응</t>
  </si>
  <si>
    <t>협력사/내부 부서 협업</t>
  </si>
  <si>
    <t>• 파트너사와 공동 제안 협력
• 기술·재무 부서 협업 통한 솔루션 제안
• 계약 이행 관련 행정 협조</t>
    <phoneticPr fontId="2" type="noConversion"/>
  </si>
  <si>
    <t>협업 능력, 조정 능력</t>
  </si>
  <si>
    <t>• 경영학, 무역학, 건설경영학, 산업공학 등 관련 전공 학사 이상
• 공공조달·건설 프로젝트 관련 교육 이수자 우대</t>
    <phoneticPr fontId="2" type="noConversion"/>
  </si>
  <si>
    <t>• 프로젝트 영업, B2B 영업, 공공조달·건설 분야 영업 경력 3년 이상
• 제안서 작성·입찰 참여·계약 협상 경험 보유</t>
    <phoneticPr fontId="2" type="noConversion"/>
  </si>
  <si>
    <t>• 조달·입찰 관련 자격(조달업무, 계약관리) 우대
• 무역영어, 컴퓨터활용능력, 프레젠테이션 관련 자격 가점</t>
    <phoneticPr fontId="2" type="noConversion"/>
  </si>
  <si>
    <t>• 기획/실행력
• 소통 능력
• 협업 능력
• 윤리/책임감</t>
    <phoneticPr fontId="2" type="noConversion"/>
  </si>
  <si>
    <t>• 회사 전사 차원의 영업전략 수립 및 실행 총괄
• 주요 파트너십 및 대형 프로젝트 영업 리드
• 경영 의사결정 지원 및 조직 성과 책임</t>
    <phoneticPr fontId="2" type="noConversion"/>
  </si>
  <si>
    <t>• 영업 목표 수립·성과 관리, 부서 운영 총괄
• 인력·자원 관리 및 프로젝트 배분 조정
• 전략 실행 성과 및 대내외 대응 책임</t>
    <phoneticPr fontId="2" type="noConversion"/>
  </si>
  <si>
    <t>• 대형·복잡 프로젝트 영업 주도 및 신규 시장 개척
• 전문 지식과 경험을 활용한 맞춤형 솔루션 제안
• 프로젝트 리스크 관리 및 성과 창출</t>
    <phoneticPr fontId="2" type="noConversion"/>
  </si>
  <si>
    <t>• 프로젝트 영업 활동 독립 수행 및 주요 고객 관리
• 프로젝트 매출 목표 달성 책임
• 제안·계약·실행 전 과정 주도</t>
    <phoneticPr fontId="2" type="noConversion"/>
  </si>
  <si>
    <t>• 제안서 작성·계약 지원 등 프로젝트 핵심 과업 독립 수행
• 고객 요구 분석 및 영업 기회 발굴 지원
• 프로젝트 운영 데이터 관리</t>
    <phoneticPr fontId="2" type="noConversion"/>
  </si>
  <si>
    <t>• 기본 영업 활동 수행(자료 작성, 제안 지원, 고객 대응 등)
• 프로젝트 문서 작성·관리 지원
• 선임 지원을 통한 실무 역량 강화</t>
    <phoneticPr fontId="2" type="noConversion"/>
  </si>
  <si>
    <t>• 기초 자료 정리 및 고객 응대 보조
• 프로젝트 영업 지원 활동(데이터 입력·관리) 수행
• 선임 업무 지원을 통한 기본 역량 학습</t>
    <phoneticPr fontId="2" type="noConversion"/>
  </si>
  <si>
    <t>SW판매영업</t>
  </si>
  <si>
    <t>소프트웨어 제품 및 솔루션을 고객에게 제안·판매하고, 신규 시장 개척 및 기존 고객 관리와 매출 목표 달성을 수행하는 일이다.</t>
    <phoneticPr fontId="2" type="noConversion"/>
  </si>
  <si>
    <t>회사의 SW 판매 전략과 영업 목표를 총괄하며 주요 파트너십과 대외 협력, 성과 달성을 책임지는 역할.</t>
    <phoneticPr fontId="2" type="noConversion"/>
  </si>
  <si>
    <t>• 회사 전체 SW 영업 전략·목표 최종 승인 권한 보유
• 주요 파트너십 및 대외 협력 관계 구축·유지
• 전사 매출성과 및 리스크 관리 책임</t>
    <phoneticPr fontId="2" type="noConversion"/>
  </si>
  <si>
    <t>SW 영업팀의 목표를 설정·관리하고 영업 전략 실행을 총괄하며 인력·자원 배분과 성과 달성을 책임지는 역할.</t>
    <phoneticPr fontId="2" type="noConversion"/>
  </si>
  <si>
    <t>• 팀 목표·성과 관리 및 자원 배분 권한 보유
• 영업 전략 실행 및 팀 운영 책임
• 성과 평가 및 조직 성과 달성 관리</t>
    <phoneticPr fontId="2" type="noConversion"/>
  </si>
  <si>
    <t>주요 고객사 영업, 대규모 계약 협상, 기술 제안 등 복잡하고 고난이도의 영업 과제를 수행하며 전문성을 발휘하는 역할.</t>
    <phoneticPr fontId="2" type="noConversion"/>
  </si>
  <si>
    <t>• 대규모 계약 협상 및 기술 제안 권한 보유
• 전문적 영업 과제 수행 책임
• 신규 시장 개척 및 주요 고객 관계 강화</t>
    <phoneticPr fontId="2" type="noConversion"/>
  </si>
  <si>
    <t>영업 프로젝트를 주도적으로 관리하며 매출 성과, 고객 대응, 계약 체결을 책임지고 성과를 보고하는 역할.</t>
    <phoneticPr fontId="2" type="noConversion"/>
  </si>
  <si>
    <t>• 프로젝트 영업 실행·성과 보고 책임
• 계약 진행 및 고객 대응 주도
• 매출 목표 달성 관리 권한</t>
    <phoneticPr fontId="2" type="noConversion"/>
  </si>
  <si>
    <t>고객 발굴·관계 관리·제안서 작성 등 핵심 영업 활동을 수행하고 매출 목표 달성에 기여하는 역할.</t>
    <phoneticPr fontId="2" type="noConversion"/>
  </si>
  <si>
    <t>• 제안서 작성, 계약 관리 등 핵심 영업 활동 수행
• 고객 요구 분석 및 대응 책임
• 목표 달성에 필요한 주요 과업 독립 수행</t>
    <phoneticPr fontId="2" type="noConversion"/>
  </si>
  <si>
    <t>정해진 절차에 따라 영업 활동을 지원하며 고객 관리·계약 진행·자료 준비 등을 담당하는 역할.</t>
    <phoneticPr fontId="2" type="noConversion"/>
  </si>
  <si>
    <t>• 정해진 절차에 따른 영업 지원 권한
• 고객 관리·자료 준비 및 계약 보조
• 기본 과업 성과 책임</t>
    <phoneticPr fontId="2" type="noConversion"/>
  </si>
  <si>
    <t>영업 활동에 필요한 기초 업무를 보조하며 고객 응대 및 기본적 문서 작업을 수행하는 역할.</t>
    <phoneticPr fontId="2" type="noConversion"/>
  </si>
  <si>
    <t>• 기초 영업 업무 및 문서 지원 권한
• 고객 응대·자료 정리 보조 책임
• 팀 영업활동 지원</t>
    <phoneticPr fontId="2" type="noConversion"/>
  </si>
  <si>
    <t>시장 및 고객 발굴</t>
  </si>
  <si>
    <t>• 타겟 시장 및 고객사 조사·분석
• 신규 고객 발굴 및 접촉 활동
• 잠재 고객 데이터베이스 구축·관리</t>
    <phoneticPr fontId="2" type="noConversion"/>
  </si>
  <si>
    <t>시장분석 능력, 고객 발굴 능력, 커뮤니케이션 스킬</t>
  </si>
  <si>
    <t>영업 기회 관리</t>
  </si>
  <si>
    <t>• 고객 요구사항 파악 및 솔루션 매칭
• 라이선스 제안서·견적 작성
• 영업 파이프라인 관리</t>
    <phoneticPr fontId="2" type="noConversion"/>
  </si>
  <si>
    <t>제안서 작성 능력, 협상력, CRM 활용 능력</t>
  </si>
  <si>
    <t>계약 및 매출 관리</t>
  </si>
  <si>
    <t>• 계약 조건 협의 및 체결
• 매출 목표 수립 및 달성 관리
• 정산 및 라이선스 관리 프로세스 수행</t>
    <phoneticPr fontId="2" type="noConversion"/>
  </si>
  <si>
    <t>계약 관리 지식, 수익 분석 능력, 재무 이해도</t>
  </si>
  <si>
    <t>파트너십 관리</t>
  </si>
  <si>
    <t>• SW 공급사·리셀러와 협력 네트워크 구축
• 공동 영업 및 마케팅 활동 추진
• 파트너 성과 평가 및 관리</t>
    <phoneticPr fontId="2" type="noConversion"/>
  </si>
  <si>
    <t>파트너십 관리 능력, 협업 능력, 프로젝트 조정 능력</t>
  </si>
  <si>
    <t>고객 관계 유지</t>
  </si>
  <si>
    <t>• 정기적 고객 관리 및 기술 지원 연계
• 갱신·업그레이드 영업 활동 수행
• 고객 만족도 조사 및 피드백 반영</t>
    <phoneticPr fontId="2" type="noConversion"/>
  </si>
  <si>
    <t>고객 관리 능력, 문제 해결 능력, 장기적 관계 구축 역량</t>
  </si>
  <si>
    <t>• SW 솔루션·패키지·라이선스 영업 경력 3년 이상
• B2B 영업 및 프로젝트 영업 경험 보유</t>
    <phoneticPr fontId="2" type="noConversion"/>
  </si>
  <si>
    <t>• IT/SW 관련 자격증(예: 정보처리기사, ITIL 등) 우대
• 영업 관련 자격증(CRM, 세일즈 관련 인증) 우대</t>
    <phoneticPr fontId="2" type="noConversion"/>
  </si>
  <si>
    <t>• 직무 전문성
• 기획/실행력
• 협업 능력
• 소통 능력
• 윤리/책임감</t>
    <phoneticPr fontId="2" type="noConversion"/>
  </si>
  <si>
    <t>• 회사 전체 영업 전략 수립 및 실행 총괄
• 주요 파트너십 관리 및 대규모 매출 성과 달성 경험
• 조직 차원의 영업 목표 달성 및 대외 협력 주도</t>
    <phoneticPr fontId="2" type="noConversion"/>
  </si>
  <si>
    <t>4~5년 이상</t>
  </si>
  <si>
    <t>• 팀 단위 영업 목표 관리 및 성과 책임
• 자원 배분 및 부서 리더십 수행
• 전략 실행 관리 및 성과 분석</t>
    <phoneticPr fontId="2" type="noConversion"/>
  </si>
  <si>
    <t>3~4년</t>
  </si>
  <si>
    <t>• 대형 고객 영업 및 복잡한 제안·계약 수행 경험
• 고난이도 기술영업 과업 수행 능력
• 전문 지식 기반 맞춤형 솔루션 제안 및 성과 창출</t>
    <phoneticPr fontId="2" type="noConversion"/>
  </si>
  <si>
    <t>3년</t>
  </si>
  <si>
    <t>• 프로젝트 영업 리드 및 매출 목표 달성 책임
• 주요 고객 관계 관리 및 협상 수행
• 제안·계약 프로세스 전 과정 주도</t>
    <phoneticPr fontId="2" type="noConversion"/>
  </si>
  <si>
    <t>2~3년</t>
  </si>
  <si>
    <t>• 제안서 작성, 계약 관리, 고객 관리 등 핵심 영업 과업 수행
• 프로젝트 지원 및 매출 기여 경험
• 독립적으로 중규모 고객 대응 수행</t>
    <phoneticPr fontId="2" type="noConversion"/>
  </si>
  <si>
    <t>2년</t>
  </si>
  <si>
    <t>• 영업 지원 과업 독립 수행(자료 작성, 제안 지원 등)
• 소규모 고객 영업 성과 달성 경험
• 선임 지원을 통한 영업 프로세스 이해 및 실행</t>
    <phoneticPr fontId="2" type="noConversion"/>
  </si>
  <si>
    <t>1~2년</t>
  </si>
  <si>
    <t>• 기초 자료 작성 및 영업 보조 활동 수행
• 초기 고객 응대 및 간단한 지원 과업 담당
• 선임 지시에 따른 기본 영업 업무 수행</t>
    <phoneticPr fontId="2" type="noConversion"/>
  </si>
  <si>
    <t>1년</t>
  </si>
  <si>
    <t>BIM컨설팅</t>
  </si>
  <si>
    <t>건설·인프라 프로젝트에서 BIM 기반으로 모델링·검토·표준 수립·데이터 관리·교육을 수행하여 설계·시공·운영의 품질과 생산성, 협업 효율을 향상시키는 일이다.</t>
    <phoneticPr fontId="2" type="noConversion"/>
  </si>
  <si>
    <t>BIM 컨설팅 전략과 서비스 체계를 총괄하며 대외 협력과 사업 확장을 책임지는 역할.</t>
    <phoneticPr fontId="2" type="noConversion"/>
  </si>
  <si>
    <t>• BIM 컨설팅 조직 및 사업 전략 총괄
• 대형 프로젝트·신규 시장 진출 의사결정
• 대외 협력·파트너십 관리 및 리스크 총괄</t>
    <phoneticPr fontId="2" type="noConversion"/>
  </si>
  <si>
    <t>BIM 컨설팅 조직의 목표와 방향을 설정·관리하고 프로젝트 포트폴리오 운영 및 성과 달성을 총괄하는 역할.</t>
    <phoneticPr fontId="2" type="noConversion"/>
  </si>
  <si>
    <t>• 부서 단위 BIM 컨설팅 목표·성과 관리
• 인력·예산·자원 배분 권한 보유
• 부서 주요 프로젝트 품질·납기 책임</t>
    <phoneticPr fontId="2" type="noConversion"/>
  </si>
  <si>
    <t>BIM 설계·시뮬레이션·검증 등 고난이도 과제를 전문적으로 수행하며 기술 자산화와 표준화를 주도하는 역할.</t>
    <phoneticPr fontId="2" type="noConversion"/>
  </si>
  <si>
    <t>• 구조/설비/토목 등 특정 BIM 전문영역 과제 리딩
• 고난도 모델링·시뮬레이션 수행
• 사내 BIM 표준 및 기술 자문 역할</t>
    <phoneticPr fontId="2" type="noConversion"/>
  </si>
  <si>
    <t>BIM 프로젝트를 기획·운영하며 일정·품질·비용 관리와 산출물 보고를 책임지는 역할.</t>
    <phoneticPr fontId="2" type="noConversion"/>
  </si>
  <si>
    <t>• 프로젝트 단위 BIM 컨설팅 리딩
• 모델링 품질·납기·성과물 관리 책임
• 고객사 및 협력사 커뮤니케이션 주도</t>
    <phoneticPr fontId="2" type="noConversion"/>
  </si>
  <si>
    <t>BIM 모델링·구조 검토·시뮬레이션 등 주요 과제를 수행하고 산출물 품질과 납기를 책임지는 역할.</t>
    <phoneticPr fontId="2" type="noConversion"/>
  </si>
  <si>
    <t>• BIM 모델링·시뮬레이션 등 핵심 실무 수행
• 프로젝트 보고서·프레젠테이션 작성
• 설계/시공팀 협업 및 문제 해결 지원</t>
    <phoneticPr fontId="2" type="noConversion"/>
  </si>
  <si>
    <t>BIM 모델링과 도면 작성 등 세부 실무를 독립적으로 수행하며 프로젝트 품질 확보를 지원하는 역할.</t>
    <phoneticPr fontId="2" type="noConversion"/>
  </si>
  <si>
    <t>• 상세 모델링, 도면 검토 및 수정 지원
• BIM 데이터 관리 및 보고 지원
• 기본적 고객사 요구 대응</t>
    <phoneticPr fontId="2" type="noConversion"/>
  </si>
  <si>
    <t>BIM 모델링 기초 작업과 자료 정리를 담당하며 실무 진행을 보조하는 역할.</t>
  </si>
  <si>
    <t>• BIM 모델 입력·자료 정리 등 단순 지원
• 도면·데이터 관리 보조
• 선임자 지시에 따른 업무 지원</t>
    <phoneticPr fontId="2" type="noConversion"/>
  </si>
  <si>
    <t>프로젝트 요구사항 분석</t>
  </si>
  <si>
    <t>분석력, 설계 규정 이해, 커뮤니케이션 능력</t>
  </si>
  <si>
    <t>BIM 모델 작성</t>
  </si>
  <si>
    <t xml:space="preserve"> Civil3D, OpenRoads Designer, 공간 분석 능력</t>
  </si>
  <si>
    <t>시뮬레이션 및 검토</t>
  </si>
  <si>
    <t>시뮬레이션 툴 활용 능력, 분석 보고 능력</t>
  </si>
  <si>
    <t>현장 데이터 수집</t>
  </si>
  <si>
    <t>드론 운용 능력, 항공 촬영 지식, 데이터 수집 능력</t>
  </si>
  <si>
    <t>3D 모델 생성·검증</t>
  </si>
  <si>
    <t>데이터 통합 관리</t>
  </si>
  <si>
    <t>구조물 모델링</t>
  </si>
  <si>
    <t>• 철근콘크리트/강구조 3D 모델 작성
• 구조 부재 속성 입력
• 설계 변경사항 반영</t>
    <phoneticPr fontId="2" type="noConversion"/>
  </si>
  <si>
    <t>Revit Structure, Tekla, 구조 설계 지식</t>
  </si>
  <si>
    <t>구조모델링</t>
  </si>
  <si>
    <t>프로젝트 분석</t>
  </si>
  <si>
    <t>• 프로젝트 발주처 요구사항 파악
• 초기 BIM 모델 범위 정의</t>
  </si>
  <si>
    <t>과업에 대한 전체적인 이해 및 분석</t>
  </si>
  <si>
    <t>• 철근콘크리트/강구조 3D 모델 작성
• 구조 부재 속성 입력
• 설계 변경사항 반영</t>
  </si>
  <si>
    <t>Revit, Allplan 등 프로그램 기본 지식과 구조물 이해도 필요</t>
  </si>
  <si>
    <t>구조물 모델링 분석</t>
  </si>
  <si>
    <t>• 좌표 등 계획과의 일치 여부 검토
• 구조물간 혹은 지형과의 간선 검토
• 설계 변경사항 반영
• 주행 시뮬레이션 및 건설 시뮬레이션 검토</t>
  </si>
  <si>
    <t>구조성과품 분석 및 계획과의 협업</t>
  </si>
  <si>
    <t>품질 검토 및 보고</t>
  </si>
  <si>
    <t>• 구조 검토 보고서 작성
• 설계 품질 검토 및 시공시 협업
• 품질 검토보고서 작성</t>
  </si>
  <si>
    <t>문서화 능력, 협업 능력</t>
  </si>
  <si>
    <t>상하수도 수리,수문해석 지식, 모델링 능력
SewerGEMS,WaterGEMS,InfoworkICM 등</t>
    <phoneticPr fontId="2" type="noConversion"/>
  </si>
  <si>
    <t>충돌 검토 및 간섭 해소</t>
  </si>
  <si>
    <t>• 배관 충돌 검토
• 간섭사항 수정 및 최적화
• 협업 툴을 통한 실시간 검토</t>
    <phoneticPr fontId="2" type="noConversion"/>
  </si>
  <si>
    <t>Navisworks, Clash Detection, 협업 능력</t>
    <phoneticPr fontId="2" type="noConversion"/>
  </si>
  <si>
    <t>유지관리 데이터 연계</t>
  </si>
  <si>
    <t>• 배관 운영·점검 이력 반영
• 유지관리 시스템과 BIM 통합
• 운영 리포트 작성</t>
    <phoneticPr fontId="2" type="noConversion"/>
  </si>
  <si>
    <t>데이터 관리 능력, BIM-FM 연계 기술, 보고 능력</t>
  </si>
  <si>
    <t>• 건축학, 토목공학, 기계·전기설비, 도시공학, 컴퓨터공학 등 관련 전공 학사 이상</t>
    <phoneticPr fontId="2" type="noConversion"/>
  </si>
  <si>
    <t>• BIM 모델링 및 시뮬레이션 프로젝트 참여 경험 3년 이상
• 건축·토목·설비 설계 또는 시공 관련 실무 경험
• 공공·민간 프로젝트의 BIM 적용 경험 우대</t>
    <phoneticPr fontId="2" type="noConversion"/>
  </si>
  <si>
    <t>• 직무 전문성, 분석력, 기획/실행력
• 협업 능력, 소통 능력
• 혁신 역량, 문제 해결 능력</t>
    <phoneticPr fontId="2" type="noConversion"/>
  </si>
  <si>
    <t>• BIM 컨설팅 전략 수립 및 조직 운영 총괄
• 대외 협력 및 신규 사업 기회 발굴
• 조직 성과 및 리스크 관리 책임</t>
    <phoneticPr fontId="2" type="noConversion"/>
  </si>
  <si>
    <t>5년 이상</t>
  </si>
  <si>
    <t>• 부서 목표·성과 관리 및 자원 배분
• 프로젝트 포트폴리오 운영 총괄
• 부서 내 의사결정 주도</t>
    <phoneticPr fontId="2" type="noConversion"/>
  </si>
  <si>
    <t>4년 이상</t>
  </si>
  <si>
    <t>• BIM 시뮬레이션·검증 등 고난이도 과제 수행
• 기술 자산화 및 표준화 주도
• 신기술 도입 및 확산 기여</t>
    <phoneticPr fontId="2" type="noConversion"/>
  </si>
  <si>
    <t>• 프로젝트 계획·운영 주도
• 일정·품질·비용 관리
• 산출물 보고 및 팀 관리 책임</t>
    <phoneticPr fontId="2" type="noConversion"/>
  </si>
  <si>
    <t>3년 이상</t>
  </si>
  <si>
    <t>• BIM 모델링·구조 검토·시뮬레이션 등 주요 과제 수행
• 프로젝트 성과 도출 책임
• 후배 지원 및 멘토링</t>
    <phoneticPr fontId="2" type="noConversion"/>
  </si>
  <si>
    <t>• BIM 모델링 및 도면 작성 등 세부 실무 독립 수행
• 품질 확보 지원
• 협업 태스크 참여</t>
    <phoneticPr fontId="2" type="noConversion"/>
  </si>
  <si>
    <t>2년 이상</t>
  </si>
  <si>
    <t>• 기초 모델링 및 자료 정리
• 단순 시뮬레이션 보조
• 팀 내 행정·문서 지원</t>
    <phoneticPr fontId="2" type="noConversion"/>
  </si>
  <si>
    <t>1년 이상</t>
  </si>
  <si>
    <t>교육 직무는 조직의 인재육성과 역량 강화를 위해 교육과정을 기획·운영·평가하고, 학습 성과를 관리하는 일이다.</t>
    <phoneticPr fontId="2" type="noConversion"/>
  </si>
  <si>
    <t>회사의 교육 전략과 포트폴리오를 총괄하며 외부 파트너십·자격체계·수익모델을 통해 교육 사업의 확장과 성과를 책임지는 역할.</t>
    <phoneticPr fontId="2" type="noConversion"/>
  </si>
  <si>
    <t>• 교육 사업 전략·수익모델 최종 승인 권한
• 외부 파트너십·인증·자격 체계 협력 총괄
• 교육 포트폴리오 성과 책임</t>
    <phoneticPr fontId="2" type="noConversion"/>
  </si>
  <si>
    <t>교육 조직의 목표·예산·인력을 관리하고 과정 기획·운영 품질을 총괄하며 대외 인증·평가 대응을 주도하는 역할.</t>
    <phoneticPr fontId="2" type="noConversion"/>
  </si>
  <si>
    <t>• 부서 내 인력·예산·성과 관리 책임
• 교육 과정 기획·운영 품질 최종 검토
• 인증·평가 대응 권한</t>
    <phoneticPr fontId="2" type="noConversion"/>
  </si>
  <si>
    <t>고난도 전문과정(예: BIM/솔루션 심화) 설계·교안 개발·강사 코칭을 수행하고 커리큘럼 표준화와 콘텐츠 자산화를 주도하는 역할.</t>
    <phoneticPr fontId="2" type="noConversion"/>
  </si>
  <si>
    <t>• 전문 교육과정(심화·특화)의 커리큘럼 설계 권한
• 교육 콘텐츠 표준화·자산화 책임
• 강사·코치 멘토링 수행</t>
    <phoneticPr fontId="2" type="noConversion"/>
  </si>
  <si>
    <t>핵심 교육과정의 운영 총괄과 강의 품질·수강생 성과·NPS를 관리하며 프로젝트형 교육과 기업 맞춤 과제를 리드하는 역할.</t>
    <phoneticPr fontId="2" type="noConversion"/>
  </si>
  <si>
    <t>• 프로젝트형 교육과정 운영 총괄 권한
• 수강생 성과·품질 관리 책임
• 고객사 맞춤형 교육 리딩</t>
    <phoneticPr fontId="2" type="noConversion"/>
  </si>
  <si>
    <t>주력 과정을 독립적으로 강의·실습 운영하고 교안 개선·평가 채점·학습 성과 피드백을 통해 품질과 만족도를 확보하는 역할.</t>
    <phoneticPr fontId="2" type="noConversion"/>
  </si>
  <si>
    <t>• 독립적 교육·실습 진행 권한
• 교안 개선·평가 수행 책임
• 학습 품질 및 수강생 만족도 확보</t>
    <phoneticPr fontId="2" type="noConversion"/>
  </si>
  <si>
    <t>표준 과정을 보조 또는 공동 진행하며 실습 관리·수강생 질의응답·교재 업데이트 등 운영 지원을 수행하는 역할.</t>
    <phoneticPr fontId="2" type="noConversion"/>
  </si>
  <si>
    <t>• 공동 교육과정 운영 참여 권한
• 실습 관리·수강생 질의응답 책임
• 교재 업데이트·운영 지원</t>
    <phoneticPr fontId="2" type="noConversion"/>
  </si>
  <si>
    <t>교육 운영에 필요한 준비·등록·실습 환경 세팅과 기본 자료 정리 등 기초 업무를 보조하는 역할.</t>
    <phoneticPr fontId="2" type="noConversion"/>
  </si>
  <si>
    <t>• 교육 준비·등록·환경 세팅 지원
• 기본 자료 정리·행정 보조
• 실습 운영 지원</t>
    <phoneticPr fontId="2" type="noConversion"/>
  </si>
  <si>
    <t>교육 과정 기획 및 운영</t>
  </si>
  <si>
    <t>• BIM·SW 교육과정 편성 및 일정 수립
• 과정별 운영계획 수립 및 강사 배정
• 수강생 모집 및 등록 관리
• 과정 운영 성과 분석</t>
    <phoneticPr fontId="2" type="noConversion"/>
  </si>
  <si>
    <t>교육과정 설계 능력, 일정 관리 능력, 교육 운영 경험</t>
  </si>
  <si>
    <t>학습 품질 관리</t>
  </si>
  <si>
    <t>• 강의 및 실습 품질 점검
• 수강생 만족도 조사 및 피드백 반영
• 강사 평가 및 개선 지원
• 품질 지표(NPS, 수료율 등) 관리</t>
    <phoneticPr fontId="2" type="noConversion"/>
  </si>
  <si>
    <t>품질 관리 능력, 문제 해결 능력, 피드백 분석 능력</t>
  </si>
  <si>
    <t>자원 및 행정 관리</t>
  </si>
  <si>
    <t>• 교재 및 실습 장비 관리
• 교육 예산 수립 및 집행
• 교육 관련 행정 지원(출석, 수료증 등)
• LMS(학습관리시스템) 운영</t>
    <phoneticPr fontId="2" type="noConversion"/>
  </si>
  <si>
    <t>자원 관리 능력, 예산 관리 능력, 행정 처리 능력</t>
  </si>
  <si>
    <t>교육 콘텐츠 개발 및 개선</t>
  </si>
  <si>
    <t>• BIM·SW 관련 교안 및 실습 자료 개발
• 최신 기술 반영한 콘텐츠 업데이트
• 모듈형 학습 콘텐츠 제작
• 내부·외부 전문가 협업 통한 개선</t>
    <phoneticPr fontId="2" type="noConversion"/>
  </si>
  <si>
    <t>교육 콘텐츠 개발 능력, BIM·SW 전문지식, 협업 능력</t>
  </si>
  <si>
    <t>대외 협력 및 인증 대응</t>
  </si>
  <si>
    <t>• 산업체·기관과의 협력 네트워크 구축
• 정부·기관 인증 및 평가 대응
• 산학연계 프로젝트 운영
• 대외 홍보 및 성과 보고</t>
    <phoneticPr fontId="2" type="noConversion"/>
  </si>
  <si>
    <t>대외 협력 능력, 네트워크 구축 능력, 인증·평가 대응 능력</t>
  </si>
  <si>
    <t>• 건축·토목·기계·전산 관련 학사 이상
• 교육공학·HRD·소프트웨어공학 등 관련 전공자 우대</t>
    <phoneticPr fontId="2" type="noConversion"/>
  </si>
  <si>
    <t>• BIM, CAD, SW 교육 운영 또는 유관 분야 실무 경험 3년 이상
• 교육 기획·운영 및 강사 관리 경험자
• 산학연계, 정부과제 교육 운영 경험 보유 시 우대</t>
    <phoneticPr fontId="2" type="noConversion"/>
  </si>
  <si>
    <t>• Autodesk, Bentley 등 BIM·CAD 관련 공인 자격증
• 정보처리기사, 컴퓨터활용능력 등 IT 관련 자격증
• 직업훈련교사, HRD 관련 자격증 보유 시 우대</t>
    <phoneticPr fontId="2" type="noConversion"/>
  </si>
  <si>
    <t>• 교육 과정 기획 및 운영 능력
• 커뮤니케이션 및 협업 능력
• 학습자 관리 및 피드백 분석 능력
• 문제 해결 능력 및 품질 관리 역량</t>
    <phoneticPr fontId="2" type="noConversion"/>
  </si>
  <si>
    <t>• 교육 사업 전략 및 포트폴리오 총괄
• 대외 협력 및 신규 사업 확장 성과 창출
• 전사 차원의 교육 성과 관리</t>
    <phoneticPr fontId="2" type="noConversion"/>
  </si>
  <si>
    <t>• 교육 조직의 목표·예산·인력 관리
• 프로젝트 총괄 및 운영 품질 관리
• 대외 인증·평가 대응 책임</t>
    <phoneticPr fontId="2" type="noConversion"/>
  </si>
  <si>
    <t>• 고난도 교육과정(예: BIM/전문 SW) 설계 및 교안 개발
• 강사 코칭 및 교수법 개선 주도
• 커리큘럼 표준화 및 콘텐츠 자산화</t>
    <phoneticPr fontId="2" type="noConversion"/>
  </si>
  <si>
    <t>• 프로젝트형 교육과정 운영 총괄
• 수강생 성과 및 NPS 관리
• 기업 맞춤형 교육 리딩</t>
    <phoneticPr fontId="2" type="noConversion"/>
  </si>
  <si>
    <t>• 주력 교육과정 운영 및 강의·실습 독립 수행
• 학습 성과 분석 및 개선 보고
• 교육 품질 및 학습 만족도 확보</t>
    <phoneticPr fontId="2" type="noConversion"/>
  </si>
  <si>
    <t>• 표준 교육과정 운영 지원 및 실습 관리
• 교안 업데이트 및 교육 운영 지원
• 수강생 응대 및 행정 지원</t>
    <phoneticPr fontId="2" type="noConversion"/>
  </si>
  <si>
    <t>• 교육 운영 보조(준비, 등록, 실습 환경 세팅)
• 기본 자료 정리 및 수업 지원
• 선임의 지시에 따른 단순 업무 수행</t>
    <phoneticPr fontId="2" type="noConversion"/>
  </si>
  <si>
    <t>고객의 요구와 문제를 진단하고 솔루션·시스템에 대한 기술적 지원을 제공하는 일이다. 설치·운영·장애 대응 및 유지보수를 통해 서비스 품질을 보장하며, 사용자 교육과 기술 문서화를 수행하는 일이다.</t>
    <phoneticPr fontId="2" type="noConversion"/>
  </si>
  <si>
    <t>고객 기술지원 전략과 체계를 총괄하며, 주요 파트너·대형 고객의 기술 과제를 해결하고 서비스 품질을 통한 기업 신뢰도 제고와 매출 확대를 주도하는 역할.</t>
    <phoneticPr fontId="2" type="noConversion"/>
  </si>
  <si>
    <t>• 기술지원 전략 및 서비스 품질 총괄
• 대형 고객·파트너 핵심 기술이슈 해결 최종 의사결정
• 조직 운영·성과·예산 승인</t>
    <phoneticPr fontId="2" type="noConversion"/>
  </si>
  <si>
    <t>기술지원 조직의 목표·성과·인력을 관리하고 고객 SLA 준수를 책임지며 복잡한 기술이슈 해결과 대응 프로세스를 총괄하는 역할.</t>
    <phoneticPr fontId="2" type="noConversion"/>
  </si>
  <si>
    <t>• 기술지원팀 목표·성과 관리 및 SLA 준수 책임
• 고난도 고객 이슈 에스컬레이션 처리
• 지원 프로세스·매뉴얼 개선 승인</t>
    <phoneticPr fontId="2" type="noConversion"/>
  </si>
  <si>
    <t>고난도의 고객 기술문제를 직접 해결하고 솔루션 개선안을 제시하며 내부 교육·기술자료 표준화를 통해 조직 역량을 강화하는 역할.</t>
    <phoneticPr fontId="2" type="noConversion"/>
  </si>
  <si>
    <t>• 고난도 기술문제 분석·해결안 도출
• 내부 교육 및 기술지식 표준화 주도
• 제품·서비스 개선 피드백 제공</t>
    <phoneticPr fontId="2" type="noConversion"/>
  </si>
  <si>
    <t>주요 고객사의 시스템 이슈를 독립적으로 진단·해결하고 고객 피드백을 분석해 제품 개선과 서비스 향상에 기여하는 역할.</t>
    <phoneticPr fontId="2" type="noConversion"/>
  </si>
  <si>
    <t>• 주요 고객사 기술과제 독립 해결
• VOC 분석 통한 개선과제 제안
• 개발·영업 협업 및 산출물 검수</t>
    <phoneticPr fontId="2" type="noConversion"/>
  </si>
  <si>
    <t>표준화된 절차에 따라 고객의 일반적 기술 요청을 처리하고 설치·업데이트·간단한 문제 해결을 지원하며 품질 데이터를 축적하는 역할.</t>
    <phoneticPr fontId="2" type="noConversion"/>
  </si>
  <si>
    <t>• 표준 절차 기반 고객 요청·장애 처리
• 설치·업데이트 등 운영 지원
• 품질 데이터 기록 및 보고</t>
    <phoneticPr fontId="2" type="noConversion"/>
  </si>
  <si>
    <t>선임의 지도하에 고객 질의 응대·문서화·기초 점검을 수행하며 표준 매뉴얼에 따른 기술지원 활동을 지원하는 역할.</t>
    <phoneticPr fontId="2" type="noConversion"/>
  </si>
  <si>
    <t>• 선임 지도하에 고객 질의 응대·기초 점검
• 표준 매뉴얼에 따른 문서 작성·관리
• 반복 이슈 모니터링·보고</t>
    <phoneticPr fontId="2" type="noConversion"/>
  </si>
  <si>
    <t>고객지원 시스템에 기본 데이터를 입력하고 기술 문서·자료 관리 및 단순 업무를 보조하는 역할.</t>
    <phoneticPr fontId="2" type="noConversion"/>
  </si>
  <si>
    <t>• 고객지원 시스템 데이터 입력·정리
• 기술 문서·자료 관리 지원
• 교육·회의 등 운영 보조</t>
    <phoneticPr fontId="2" type="noConversion"/>
  </si>
  <si>
    <t>고객 기술 문제 해결</t>
  </si>
  <si>
    <t>• 고객 시스템 오류·장애 진단 및 조치
• 긴급 장애 발생 시 원인 분석 및 해결
• 솔루션 개선안 제시 및 보고</t>
    <phoneticPr fontId="2" type="noConversion"/>
  </si>
  <si>
    <t>문제 해결 능력, 기술 분석 능력, 장애 대응 역량</t>
  </si>
  <si>
    <t>기술 문서·지식 관리</t>
  </si>
  <si>
    <t>문서 작성 능력, 지식 관리 능력, 커뮤니케이션 스킬, 발표·교육 능력</t>
  </si>
  <si>
    <t>고객 커뮤니케이션 및 지원</t>
  </si>
  <si>
    <t>• 고객 질의 응대 및 기술 상담
• 기술 교육 및 사용자 가이드 제공</t>
  </si>
  <si>
    <t>고객 대응 능력, 공감·소통 능력</t>
  </si>
  <si>
    <t>• 이공계(전산, 전자, 정보통신, 소프트웨어, 기계 등) 전공 학사 이상</t>
    <phoneticPr fontId="2" type="noConversion"/>
  </si>
  <si>
    <t>• IT/시스템 기술지원, 유지보수, 엔지니어링 분야 2년 이상 경력
• 고객 지원 및 서비스 운영 경험자 우대</t>
    <phoneticPr fontId="2" type="noConversion"/>
  </si>
  <si>
    <t>• 회사내 사용 프로그램에 대한 지식이 있는 자 우대 (Revit, Civil3D, Allplan, OpenRoads Designer, MicroStation 등등)</t>
  </si>
  <si>
    <t>• 문제 해결 능력, 고객 대응 능력, 커뮤니케이션 및 협업 능력, 문서 작성 및 보고 능력</t>
    <phoneticPr fontId="2" type="noConversion"/>
  </si>
  <si>
    <t>• 회사 기술지원 전략 및 성과 총괄
• 대형 프로젝트 수행 경험
• 조직 관리 및 리더십 역량 보유</t>
    <phoneticPr fontId="2" type="noConversion"/>
  </si>
  <si>
    <t>• 팀 단위 기술지원 관리 경험
• SLA 준수 및 주요 고객 이슈 해결 주도
• 프로젝트 관리 역량</t>
    <phoneticPr fontId="2" type="noConversion"/>
  </si>
  <si>
    <t>• 고난도 기술 문제 해결 경험
• 솔루션 개선·표준화 추진
• 내부 교육 및 멘토링 가능</t>
    <phoneticPr fontId="2" type="noConversion"/>
  </si>
  <si>
    <t>• 주요 고객사 프로젝트 단독 수행 경험
• 품질·만족도 관리
• 문제 진단·해결 리더 역할 수행</t>
    <phoneticPr fontId="2" type="noConversion"/>
  </si>
  <si>
    <t>• 표준 절차 기반의 기술지원 독립 수행
• 고객 피드백 관리 및 데이터 축적
• 중간 난이도 문제 해결 가능</t>
    <phoneticPr fontId="2" type="noConversion"/>
  </si>
  <si>
    <t>• 기본 기술지원 절차 수행
• 선임 지원 하에 고객 질의 응대
• 문서화 및 기초 점검 수행</t>
    <phoneticPr fontId="2" type="noConversion"/>
  </si>
  <si>
    <t>• 기술 문서·자료 입력 및 단순 보조
• 기본 데이터 관리
• 선임의 지시에 따른 업무 지원</t>
    <phoneticPr fontId="2" type="noConversion"/>
  </si>
  <si>
    <t>건설 분야 소프트웨어 개발과 국책 연구과제 수행을 통해 새로운 기술과 솔루션을 창출하고, 이를 사업화 및 현장 적용으로 연계하는 일이다.</t>
    <phoneticPr fontId="2" type="noConversion"/>
  </si>
  <si>
    <t>전사 기술 로드맵과 제품 포트폴리오 전략을 총괄하며 핵심 기술 투자·외부 협력·IP 전략을 통해 사업 경쟁력을 창출하는 역할.</t>
    <phoneticPr fontId="2" type="noConversion"/>
  </si>
  <si>
    <t>• 전사 연구개발 전략 수립 및 의사결정 권한 보유
• 핵심 기술 로드맵 및 투자 방향 총괄
• 외부 협력 및 산학연 과제 승인·관리 책임
• 성과지표 달성 여부를 최종 점검하고 보고</t>
    <phoneticPr fontId="2" type="noConversion"/>
  </si>
  <si>
    <t>R&amp;D 조직의 목표·예산·인력을 관리하고 아키텍처 표준·개발 프로세스·품질 지표를 체계화하여 제품 출시 성과를 책임지는 역할.</t>
    <phoneticPr fontId="2" type="noConversion"/>
  </si>
  <si>
    <t>• 연구개발 부서 운영과 인력·예산 배분 권한
• 아키텍처 표준·프로세스 정의 및 실행 관리
• 프로젝트 진행 성과 검토 및 승인 책임
• 품질·안전·윤리 기준 준수 여부 관리</t>
    <phoneticPr fontId="2" type="noConversion"/>
  </si>
  <si>
    <t>핵심 알고리즘·엔진·플랫폼 아키텍처를 설계·검증하고 난도 높은 기술 과제를 해결하며 기술 자산화·특허화를 주도하는 역할.</t>
    <phoneticPr fontId="2" type="noConversion"/>
  </si>
  <si>
    <t>• 고난도 핵심 기술 검토 및 설계 의사결정 권한
• 특허·기술자산 관리 및 산출물 품질 검증 책임
• 신규 기술 도입·검증 및 외부 발표 주도
• 후배 연구원 멘토링 및 기술 역량 강화 기여</t>
    <phoneticPr fontId="2" type="noConversion"/>
  </si>
  <si>
    <t>모듈/서브시스템 수준의 설계·구현·성능 최적화를 리드하고 코드 리뷰·테스트 전략·릴리스 계획을 주도하는 역할.</t>
    <phoneticPr fontId="2" type="noConversion"/>
  </si>
  <si>
    <t>• 프로젝트 관리 전반 책임
• 모듈·시스템 설계 및 구현 검토 권한
• 리뷰·테스트 계획 승인 및 일정 관리 책임
• 리스크 발생 시 대응 및 보고 의무</t>
    <phoneticPr fontId="2" type="noConversion"/>
  </si>
  <si>
    <t>주요 기능을 독립적으로 설계·구현하고 단위/통합 테스트·결함 개선·문서화를 통해 품질과 일정 준수를 확보하는 역할.</t>
    <phoneticPr fontId="2" type="noConversion"/>
  </si>
  <si>
    <t>• 기능 구현·테스트 수행 책임
• 문서화·결함 관리 권한
• 일정 내 품질 확보 의무
• 협업 표준 준수 및 개선 의견 제시</t>
    <phoneticPr fontId="2" type="noConversion"/>
  </si>
  <si>
    <t>명세에 따라 기능 개발·버그 수정·리팩터링·테스트 보조를 수행하고 코드 품질 기준과 CI/CD 절차를 준수하는 역할.</t>
    <phoneticPr fontId="2" type="noConversion"/>
  </si>
  <si>
    <t>• 코드 구현 및 유지보수 실행 책임
• 버그 수정·리팩터링 수행 권한
• CI/CD 절차 준수 의무
• 품질 기준 내 개발 결과물 제공</t>
    <phoneticPr fontId="2" type="noConversion"/>
  </si>
  <si>
    <t>개발 환경 설정·기초 구현·테스트 데이터 준비 등 기본 업무를 수행하며 제품/도메인 지식을 학습하는 역할.</t>
    <phoneticPr fontId="2" type="noConversion"/>
  </si>
  <si>
    <t>• 개발 환경 설정 및 단순 구현 보조
• 테스트 데이터 준비 및 기초 실험 책임
• 선임 지시에 따른 자료 조사·정리 권한
• 기초 지식 학습 및 업무 지원 의무</t>
    <phoneticPr fontId="2" type="noConversion"/>
  </si>
  <si>
    <t>요구분석 및 설계</t>
  </si>
  <si>
    <t>• 사용자 요구사항 수집 및 기능 정의
• 건설 프로세스 분석 및 데이터 흐름 설계
• SW 아키텍처 및 UI/UX 기본 설계</t>
    <phoneticPr fontId="2" type="noConversion"/>
  </si>
  <si>
    <t>요구분석 능력, UML/모델링 툴, 건설 도메인 지식, 시스템 설계 역량</t>
  </si>
  <si>
    <t>기능 개발 및 구현</t>
  </si>
  <si>
    <t>• BIM·CAD API 기반 기능 개발
• 데이터 연동(데이터베이스, 시뮬레이션 엔진 등) 구현
• 클라우드·웹 기반 SW 모듈 개발</t>
    <phoneticPr fontId="2" type="noConversion"/>
  </si>
  <si>
    <t>프로그래밍 언어(C#, Python, Java, C++), DB 설계·SQL, API 연동, UI/UX 개발</t>
    <phoneticPr fontId="2" type="noConversion"/>
  </si>
  <si>
    <t>품질 관리 및 검증</t>
  </si>
  <si>
    <t>• 기능/성능 테스트 시나리오 수립 및 수행
• 오류(버그) 검출 및 코드 리뷰
• SW 품질 개선 및 배포 전 검증</t>
    <phoneticPr fontId="2" type="noConversion"/>
  </si>
  <si>
    <t>테스트 자동화 도구(Jira, Git, Jenkins 등), 문제해결능력, 코드 품질관리</t>
    <phoneticPr fontId="2" type="noConversion"/>
  </si>
  <si>
    <t>유지보수 및 업그레이드</t>
  </si>
  <si>
    <t>• 버전관리(Git) 및 배포이력 관리
• 사용자 피드백 기반 기능 개선
• 신규 기술 적용 및 업데이트</t>
    <phoneticPr fontId="2" type="noConversion"/>
  </si>
  <si>
    <t>Git 관리, CI/CD 이해, 문제 분석능력, 기술 트렌드 학습역량</t>
    <phoneticPr fontId="2" type="noConversion"/>
  </si>
  <si>
    <t>기술 문서 및 협업 관리</t>
    <phoneticPr fontId="2" type="noConversion"/>
  </si>
  <si>
    <t>• 개발 산출물(요구명세서, 매뉴얼 등) 작성
• 부서 간 협업 및 기술 검토 지원</t>
    <phoneticPr fontId="2" type="noConversion"/>
  </si>
  <si>
    <t>문서 작성능력, 협업툴(Confluence, Notion 등) 활용능력, 커뮤니케이션 능력</t>
    <phoneticPr fontId="2" type="noConversion"/>
  </si>
  <si>
    <t>연구과제 기획 및 제안</t>
  </si>
  <si>
    <t>• 정부·공공 연구사업 공고 분석 및 과제기획
• 연구 목표 및 기술 로드맵 수립
• 제안서 및 사업계획서 작성</t>
    <phoneticPr fontId="2" type="noConversion"/>
  </si>
  <si>
    <t>연구기획력, 보고서 작성력, 기술분석력, 공공 R&amp;D 제도 이해</t>
    <phoneticPr fontId="2" type="noConversion"/>
  </si>
  <si>
    <t>연구 수행 및 기술 개발</t>
  </si>
  <si>
    <t>• 연구계획서에 따른 실험 및 검증 수행
• 기술 시제품·프로토타입 제작 및 테스트
• 연구성과(논문, 특허, 기술보고서) 도출</t>
    <phoneticPr fontId="2" type="noConversion"/>
  </si>
  <si>
    <t>연구수행 관리, 데이터 분석(Python·R), 실험기획 및 결과 분석, 기술문서 작성</t>
    <phoneticPr fontId="2" type="noConversion"/>
  </si>
  <si>
    <t>성과 관리 및 보고</t>
    <phoneticPr fontId="2" type="noConversion"/>
  </si>
  <si>
    <t>• 정기·중간·최종 보고서 작성 및 제출
• 연구비 집행 관리 및 정산
• 과제평가 대응 및 결과 피드백 반영</t>
    <phoneticPr fontId="2" type="noConversion"/>
  </si>
  <si>
    <t>보고서 작성능력, 회계 기본지식, 공공기관 보고체계 이해</t>
    <phoneticPr fontId="2" type="noConversion"/>
  </si>
  <si>
    <t>산학연 협력, 기술 이전</t>
    <phoneticPr fontId="2" type="noConversion"/>
  </si>
  <si>
    <t>• 대학·기업·연구기관과 공동연구 수행
• 기술이전 및 IP(특허·저작권) 관리
• 외부 전문가 자문 및 워크숍 운영</t>
    <phoneticPr fontId="2" type="noConversion"/>
  </si>
  <si>
    <t>협력조정 능력, IP 관리지식, 커뮤니케이션·조정능력</t>
    <phoneticPr fontId="2" type="noConversion"/>
  </si>
  <si>
    <t>데이터 및 지식재산 관리</t>
    <phoneticPr fontId="2" type="noConversion"/>
  </si>
  <si>
    <t>• 연구데이터 표준화 및 DB 구축
• 성과물(논문, 특허, 보고서 등) 관리체계 운영</t>
    <phoneticPr fontId="2" type="noConversion"/>
  </si>
  <si>
    <t>데이터 관리능력, DB 설계·정리, 정보보안 인식</t>
    <phoneticPr fontId="2" type="noConversion"/>
  </si>
  <si>
    <t>• 개발자(우대) : 컴퓨터공학, 소프트웨어공학
• 기본 :건축·토목공학, 건설정보학 등 관련 전공 학사 이상</t>
    <phoneticPr fontId="2" type="noConversion"/>
  </si>
  <si>
    <t>• 건설 SW 개발, CAD/BIM 응용 시스템 개발 경험 2년 이상
• 국책연구과제 기획·수행 및 연구 보고 경험
• 프로젝트 관리 및 산·학·연 협력 경험 보유</t>
    <phoneticPr fontId="2" type="noConversion"/>
  </si>
  <si>
    <t>• 정보처리기사, 소프트웨어 개발 관련 자격증
• 건축/토목 관련 기술사(선택 사항)
• 연구개발 및 PM 관련 국가·민간 인증(우대)</t>
    <phoneticPr fontId="2" type="noConversion"/>
  </si>
  <si>
    <t>• 문제 해결 능력 및 분석적 사고
• 협업 및 커뮤니케이션 능력
• 프로젝트 관리 및 일정 준수 역량
• 최신 기술 학습 및 적용 능력
• 연구윤리 및 지식재산권 이해</t>
    <phoneticPr fontId="2" type="noConversion"/>
  </si>
  <si>
    <t>• 연구개발 전략 및 기술 로드맵 총괄
• 국책과제/산학연 협력 및 특허·IP 전략 주도
• 조직 운영 및 성과 창출 책임</t>
    <phoneticPr fontId="2" type="noConversion"/>
  </si>
  <si>
    <t>• 부서 목표·예산·성과 관리
• 아키텍처 표준화 및 연구개발 프로세스 총괄
• 대외 인증·평가 대응 및 연구성과 관리</t>
    <phoneticPr fontId="2" type="noConversion"/>
  </si>
  <si>
    <t>• 고난도 알고리즘/플랫폼 설계 및 검증
• 핵심 기술 과제 해결 및 신규 기술 자산화
• 특허·논문 등 지식재산 창출</t>
    <phoneticPr fontId="2" type="noConversion"/>
  </si>
  <si>
    <t>• 프로젝트 운영 총괄 및 일정/품질 관리
• 모듈·시스템 수준 설계/구현 리딩
• 기업 맞춤형 과제 수행 및 산출물 관리</t>
    <phoneticPr fontId="2" type="noConversion"/>
  </si>
  <si>
    <t>• 독립적으로 SW 모듈 개발/테스트 수행
• 단위 기능 검증 및 성능 최적화
• 연구보고서 작성 및 품질 데이터 축적</t>
    <phoneticPr fontId="2" type="noConversion"/>
  </si>
  <si>
    <t>• 선임 지시에 따른 기능 개발/버그 수정
• 테스트 및 리팩터링 지원
• 코드 품질 관리 및 CI/CD 프로세스 준수</t>
    <phoneticPr fontId="2" type="noConversion"/>
  </si>
  <si>
    <t>• 기본 개발환경 설정, 데이터 준비
• 단순 기능 구현 및 문서 작업 지원
• 연구개발 관련 기초 지식 습득</t>
    <phoneticPr fontId="2" type="noConversion"/>
  </si>
  <si>
    <t>회사의 비전과 중장기 전략을 총괄하며, 경영·인사·재무·마케팅 등 핵심 기능을 통합 관리하고, 전사 의사결정·대외 협력·리스크 관리를 주도함.</t>
    <phoneticPr fontId="2" type="noConversion"/>
  </si>
  <si>
    <t>부서 전략 및 목표를 수립하고, 자원 배분·예산 관리·성과 관리를 통해 조직 성과 달성을 책임지고, 부서 내 의사결정을 주도함.</t>
    <phoneticPr fontId="2" type="noConversion"/>
  </si>
  <si>
    <t>• 경영학, 경제학, 회계학, 산업공학 등 관련 전공 (전문)학사 이상을 기본 원칙으로 하나, 
  토목·건설·BIM 등 기술계열 전공자 중 경영·기획 역량을 보유 또는 육성 가능한 자를 폭넓게 고려
• 전략기획·재무·HRM·마케팅 등 복수 전공 및 MBA 우대
• 입사 후 내부 ‘경영기획 역량강화 프로그램’을 통해 예산·성과·KPI 관리 교육을 실시함.</t>
  </si>
  <si>
    <t>• 전략기획, 경영지원, 컨설팅, 재무관리 등 관련 경력 3년 이상
• KPI 설계, 사업계획 수립, 성과관리 경험 보유
• 전략기획·경영지원·사업관리(PM)·BIM사업관리 등 유사 영역 실무경력 3년 이상
• 건설/BIM 프로젝트 수행 중 경영관리(KPI, 예산, 일정, 리스크, 성과분석) 경험 보유자 우대
• 경영기획 실무 경험이 부족하더라도, 프로젝트 관리·데이터 분석·제안서/보고서 작성 역량을 갖춘 인재를 성장형으로 채용</t>
    <phoneticPr fontId="2" type="noConversion"/>
  </si>
  <si>
    <t>• 경영지도사, CPA, CFA, HR 관련 자격 우대
• 데이터 분석·BI 툴 활용 자격증(예: SQL, Tableau, PowerBI등) 보유 시 가점
• Civil 3D, Revit 등 BIM 소프트웨어 이해도 보유 시 가점
• 공공입찰 제안서 또는 R&amp;D 사업계획 수립 경험 보유 시 가점                                                                                                     
• 전산회계, 전산세무, 재경관리사 등 실무 자격증 소지자 우대</t>
    <phoneticPr fontId="2" type="noConversion"/>
  </si>
  <si>
    <t>• 기획/실행력, 분석력, 소통 능력 
• 윤리/책임감
• 전략적사고, 조직이해
• 디지털 도구 기반의 문서 테이터 처리역량
• 기술과 경영을 연결할수 있는 융합형 사고                                                                                                                               
• 주도적인 업무 처리 능력</t>
    <phoneticPr fontId="2" type="noConversion"/>
  </si>
  <si>
    <t>• BIM·SW사업의 중장기 경영 전략 및 비전 총괄
• 대외 협력 및 투자·사업 포트폴리오 관리 주도
• 공공사업·R&amp;D 포트폴리오 관리
• 경영성과 책임 및 최고 의사결정 지원
• 투자·리스크·성과 통합관리 역량
• 전사 KPI 달성관리</t>
    <phoneticPr fontId="2" type="noConversion"/>
  </si>
  <si>
    <t>• 부서 경영목표·성과관리 및 인력·예산 운영 총괄
• 주요 전략과제 실행 및 관리 감독
• 대내외 성과평가 대응 및 조직 운영 책임
• 전략과제 실행 및 관리감독 수행
• KPI·손익관리 체계 운영
• 부서성과 개선</t>
    <phoneticPr fontId="2" type="noConversion"/>
  </si>
  <si>
    <t>• 특정 전략영역(재무, 인사, 신사업 등) 전문 분석·기획 수행
• 주요 사업 전략 검토 및 실행방안 제시
• 경영진 의사결정 지원자료 작성 및 고도화
• 데이터기반 성과관리체계 구축
• 내부 컨설팅·교육 수행</t>
    <phoneticPr fontId="2" type="noConversion"/>
  </si>
  <si>
    <t>• 기본 전략 분석·자료조사 및 지원 과제 독립 수행
• 보고서 초안 작성 및 검토 지원
• 경영회의 자료 준비 및 실행 지원
• BIM·SW 사업구조 이해</t>
    <phoneticPr fontId="2" type="noConversion"/>
  </si>
  <si>
    <t>직무&amp;역할 프로파일</t>
    <phoneticPr fontId="4" type="noConversion"/>
  </si>
  <si>
    <t>• 일일/월간 자금 계획 수립 및 집행
• 자금 현황 관리 및 보고       
• 정부지원금, 국책 과제 신청 및 정산        
• 급여 관리       
• 금융기관 관리 및 여신 업무</t>
    <phoneticPr fontId="2" type="noConversion"/>
  </si>
  <si>
    <t xml:space="preserve">• 매출 관리
• 프로젝트별 원가 산출 및 정산 </t>
    <phoneticPr fontId="2" type="noConversion"/>
  </si>
  <si>
    <t>• 월/분기/연 결산 및 재무제표 작성                                         
• 외부감사 및 세무조정 대응 
• 법인세, 원천세 신고 및 납부</t>
    <phoneticPr fontId="2" type="noConversion"/>
  </si>
  <si>
    <t>• 전사 영업전략 및 대형 프로젝트 영업 의사결정 권한
• 주요 고객사·파트너사와 최고위 레벨 협상 주도
• 전사 매출 목표 달성 및 리스크 총괄 책임
• 사내 또는 사외 우호세력의 지속적 고객·고객사 관리
• 신규 사업에 대한 시장 발굴(사업아이템, 고객사, 파트너사)</t>
    <phoneticPr fontId="2" type="noConversion"/>
  </si>
  <si>
    <t>• 부서 영업 목표 수립 및 실행 관리 권한
• 제안·계약 최종 검토 및 승인 권한
• 부서 인력·예산 운영 책임
• 사내 또는 사외 우호세력의 고객·고객사 관리
• 신규 사업에 대한 시장 발굴(사업아이템, 고객사, 파트너사) 지원
• 프로젝트 리스크 관리</t>
    <phoneticPr fontId="2" type="noConversion"/>
  </si>
  <si>
    <t>• 고난도 프로젝트 제안 및 계약 협상 주도
• 영업 전략 수립과 전문 자문 제공 권한
• 고객사 관계 강화 및 신규 기회 창출 책임
• 사내 또는 사외 우호세력의 고객·고객사 관리
• 프로젝트 리스크 관리</t>
    <phoneticPr fontId="2" type="noConversion"/>
  </si>
  <si>
    <t>• 프로젝트 단위 영업 리딩 권한
• 제안·계약 진행 및 수금 관리 책임
• 고객사 커뮤니케이션 및 협력사 조율 권한
• 사내 또는 사외 우호세력의 고객·고객사 관리</t>
    <phoneticPr fontId="2" type="noConversion"/>
  </si>
  <si>
    <t>• 제안서 작성·발표 지원 권한
• 고객 요구 분석 및 맞춤형 솔루션 제안 책임
• 계약·수행 과정 지원
• 사내 또는 사외 우호세력의 고객·고객사 자료 관리</t>
    <phoneticPr fontId="2" type="noConversion"/>
  </si>
  <si>
    <t>• 고객사 정보 조사 및 관리
• 제안 문서·견적서 등 영업 자료 작성 지원
• 계약·수금 관련 행정 지원
• 건설 프로젝트 발주 현황 자료 정리</t>
    <phoneticPr fontId="2" type="noConversion"/>
  </si>
  <si>
    <t>• 기존 및 신규 프로젝트 데이터 정리
• 영업 데이터·고객 DB 정리
• 회의록 및 보고자료 작성 지원
• 기본 고객 응대 및 사무 지원</t>
    <phoneticPr fontId="2" type="noConversion"/>
  </si>
  <si>
    <t>토목설계·공공·건설 등 대형 프로젝트 수주를 위해 시장과 고객을 발굴하고, 제안·계약·수금까지 전 과정의 영업활동을 관리·수행하는 일이다.</t>
  </si>
  <si>
    <t>• 대졸 이상(토목 관련 전공 우대)</t>
    <phoneticPr fontId="2" type="noConversion"/>
  </si>
  <si>
    <t>• 프로젝트 발주처 요구사항 파악
• 설계 조건 및 법규 검토
• BIM 모델 범위 정의</t>
  </si>
  <si>
    <t>• 3D 모델 생성
• 설계 오류 및 간섭 검토
• 설계 대안 비교 및 수정 반영</t>
  </si>
  <si>
    <t>• 4D, 주행 및 장비 시뮬레이션
• 설계 충돌 검토 및 수정사항 반영
• 결과 리포트 작성</t>
  </si>
  <si>
    <t>• 드론 촬영 계획 수립 및 비행
• 영상·사진 데이터 수집
• GCP, CP 등 측량 데이터 취득</t>
  </si>
  <si>
    <t>• 현장 수집 데이터 기반 3D GIS 모델 생성
• CP 데이터를 통한 GIS 모델 오차 비교
• 오차 분석 및 GCP 데이터 활용 보정</t>
  </si>
  <si>
    <t>3D GIS 모델 제작 툴, 모델 및 포인트 클라우드 후처리, GIS 연계, 설계 SW 연계 가능 포멧으로 변환</t>
  </si>
  <si>
    <t>• BIM 모델과 드론 데이터 통합
• BIM to GIS, GIS to GIS 비교를 통한 시공 관리
• 성과물 보고서 작성</t>
  </si>
  <si>
    <t>BIM-GIS 통합 기술, 데이터 관리, 시공 모니터링, 보고서 작성 능력</t>
  </si>
  <si>
    <t>상하수도시설 모델링</t>
    <phoneticPr fontId="2" type="noConversion"/>
  </si>
  <si>
    <t>• 상·하수도 관로시설 모델 
• 상·하수도 처리시설/구조물 모델
• 3D 네트워크 모델 생성
• 수리,수문해석 시뮬레이션 수행</t>
  </si>
  <si>
    <t>• BIM 관련 자격 (예: Autodesk Revit, Civil3D, Allplan, OpenRoads Designer 자격)
• 건축기사, 토목기사, 전기·설비기사 등 국가기술자격증
• 드론 촬영·데이터 처리 관련 자격 보유 시 우대</t>
  </si>
  <si>
    <t>• 기술지원 매뉴얼 작성 및 DB구축
• 기술 Q&amp;A 및 FAQ 구축
• 소프트웨어 별 사내 교육 진행 및 데이터셋 공유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</si>
</sst>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readingOrder="1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2" fillId="0" borderId="0" xfId="0" applyFont="1"/>
    <xf numFmtId="0" fontId="12" fillId="0" borderId="3" xfId="0" applyFont="1" applyBorder="1" applyAlignment="1">
      <alignment horizontal="left" wrapText="1"/>
    </xf>
    <xf numFmtId="0" fontId="12" fillId="0" borderId="4" xfId="0" applyFont="1" applyBorder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25" defaultRowHeight="16.899999999999999" x14ac:dyDescent="0.6"/>
  <cols>
    <col min="1" max="1" width="16.375" style="27" bestFit="1" customWidth="1"/>
    <col min="2" max="2" width="14.375" style="27" customWidth="1"/>
    <col min="3" max="3" width="13.5" style="27" bestFit="1" customWidth="1"/>
    <col min="4" max="5" width="24.125" style="27" customWidth="1"/>
    <col min="6" max="16384" width="8.625" style="27"/>
  </cols>
  <sheetData>
    <row r="1" spans="1:5" ht="20.100000000000001" customHeight="1" x14ac:dyDescent="0.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ht="20.100000000000001" customHeight="1" x14ac:dyDescent="0.6">
      <c r="A2" s="23" t="s">
        <v>5</v>
      </c>
      <c r="B2" s="23" t="s">
        <v>6</v>
      </c>
      <c r="C2" s="9" t="s">
        <v>7</v>
      </c>
      <c r="D2" s="23" t="s">
        <v>8</v>
      </c>
      <c r="E2" s="9" t="s">
        <v>9</v>
      </c>
    </row>
    <row r="3" spans="1:5" ht="20.100000000000001" customHeight="1" x14ac:dyDescent="0.6">
      <c r="A3" s="23" t="s">
        <v>5</v>
      </c>
      <c r="B3" s="23" t="s">
        <v>10</v>
      </c>
      <c r="C3" s="9" t="s">
        <v>7</v>
      </c>
      <c r="D3" s="23" t="s">
        <v>11</v>
      </c>
      <c r="E3" s="9" t="s">
        <v>12</v>
      </c>
    </row>
    <row r="4" spans="1:5" ht="20.100000000000001" customHeight="1" x14ac:dyDescent="0.6">
      <c r="A4" s="23" t="s">
        <v>5</v>
      </c>
      <c r="B4" s="23" t="s">
        <v>10</v>
      </c>
      <c r="C4" s="9" t="s">
        <v>7</v>
      </c>
      <c r="D4" s="23" t="s">
        <v>13</v>
      </c>
      <c r="E4" s="9" t="s">
        <v>14</v>
      </c>
    </row>
    <row r="5" spans="1:5" ht="20.100000000000001" customHeight="1" x14ac:dyDescent="0.6">
      <c r="A5" s="23" t="s">
        <v>5</v>
      </c>
      <c r="B5" s="23" t="s">
        <v>10</v>
      </c>
      <c r="C5" s="9" t="s">
        <v>7</v>
      </c>
      <c r="D5" s="23" t="s">
        <v>15</v>
      </c>
      <c r="E5" s="9" t="s">
        <v>16</v>
      </c>
    </row>
    <row r="6" spans="1:5" ht="20.100000000000001" customHeight="1" x14ac:dyDescent="0.6">
      <c r="A6" s="23" t="s">
        <v>17</v>
      </c>
      <c r="B6" s="23" t="s">
        <v>18</v>
      </c>
      <c r="C6" s="23" t="s">
        <v>19</v>
      </c>
      <c r="D6" s="23" t="s">
        <v>20</v>
      </c>
      <c r="E6" s="9" t="s">
        <v>21</v>
      </c>
    </row>
    <row r="7" spans="1:5" ht="20.100000000000001" customHeight="1" x14ac:dyDescent="0.6">
      <c r="A7" s="23" t="s">
        <v>17</v>
      </c>
      <c r="B7" s="23" t="s">
        <v>22</v>
      </c>
      <c r="C7" s="23" t="s">
        <v>23</v>
      </c>
      <c r="D7" s="23" t="s">
        <v>24</v>
      </c>
      <c r="E7" s="9" t="s">
        <v>25</v>
      </c>
    </row>
    <row r="8" spans="1:5" ht="20.100000000000001" customHeight="1" x14ac:dyDescent="0.6">
      <c r="A8" s="23" t="s">
        <v>26</v>
      </c>
      <c r="B8" s="23" t="s">
        <v>27</v>
      </c>
      <c r="C8" s="23" t="s">
        <v>28</v>
      </c>
      <c r="D8" s="23" t="s">
        <v>29</v>
      </c>
      <c r="E8" s="9" t="s">
        <v>30</v>
      </c>
    </row>
    <row r="9" spans="1:5" ht="20.100000000000001" customHeight="1" x14ac:dyDescent="0.6">
      <c r="A9" s="23" t="s">
        <v>26</v>
      </c>
      <c r="B9" s="23" t="s">
        <v>27</v>
      </c>
      <c r="C9" s="23" t="s">
        <v>28</v>
      </c>
      <c r="D9" s="23" t="s">
        <v>31</v>
      </c>
      <c r="E9" s="9" t="s">
        <v>32</v>
      </c>
    </row>
    <row r="10" spans="1:5" ht="20.100000000000001" customHeight="1" x14ac:dyDescent="0.6">
      <c r="A10" s="23" t="s">
        <v>26</v>
      </c>
      <c r="B10" s="23" t="s">
        <v>27</v>
      </c>
      <c r="C10" s="23" t="s">
        <v>28</v>
      </c>
      <c r="D10" s="23" t="s">
        <v>33</v>
      </c>
      <c r="E10" s="9" t="s">
        <v>34</v>
      </c>
    </row>
    <row r="11" spans="1:5" ht="20.100000000000001" customHeight="1" x14ac:dyDescent="0.6">
      <c r="A11" s="23" t="s">
        <v>26</v>
      </c>
      <c r="B11" s="23" t="s">
        <v>27</v>
      </c>
      <c r="C11" s="23" t="s">
        <v>28</v>
      </c>
      <c r="D11" s="23" t="s">
        <v>35</v>
      </c>
      <c r="E11" s="9" t="s">
        <v>36</v>
      </c>
    </row>
    <row r="12" spans="1:5" ht="20.100000000000001" customHeight="1" x14ac:dyDescent="0.6">
      <c r="A12" s="23" t="s">
        <v>37</v>
      </c>
      <c r="B12" s="23" t="s">
        <v>38</v>
      </c>
      <c r="C12" s="23" t="s">
        <v>39</v>
      </c>
      <c r="D12" s="23" t="s">
        <v>40</v>
      </c>
      <c r="E12" s="9" t="s">
        <v>41</v>
      </c>
    </row>
    <row r="13" spans="1:5" ht="20.100000000000001" customHeight="1" x14ac:dyDescent="0.6">
      <c r="A13" s="23" t="s">
        <v>37</v>
      </c>
      <c r="B13" s="23" t="s">
        <v>42</v>
      </c>
      <c r="C13" s="23" t="s">
        <v>43</v>
      </c>
      <c r="D13" s="23" t="s">
        <v>44</v>
      </c>
      <c r="E13" s="9" t="s">
        <v>45</v>
      </c>
    </row>
    <row r="14" spans="1:5" ht="20.100000000000001" customHeight="1" x14ac:dyDescent="0.6">
      <c r="A14" s="23" t="s">
        <v>46</v>
      </c>
      <c r="B14" s="23" t="s">
        <v>47</v>
      </c>
      <c r="C14" s="23" t="s">
        <v>48</v>
      </c>
      <c r="D14" s="23" t="s">
        <v>49</v>
      </c>
      <c r="E14" s="9" t="s">
        <v>50</v>
      </c>
    </row>
    <row r="15" spans="1:5" ht="20.100000000000001" customHeight="1" x14ac:dyDescent="0.6">
      <c r="A15" s="23" t="s">
        <v>46</v>
      </c>
      <c r="B15" s="23" t="s">
        <v>47</v>
      </c>
      <c r="C15" s="23" t="s">
        <v>48</v>
      </c>
      <c r="D15" s="23" t="s">
        <v>51</v>
      </c>
      <c r="E15" s="9" t="s">
        <v>52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8"/>
  <sheetViews>
    <sheetView zoomScaleNormal="100" workbookViewId="0">
      <pane xSplit="2" ySplit="1" topLeftCell="C2" activePane="bottomRight" state="frozen"/>
      <selection pane="topRight" activeCell="G73" sqref="G73"/>
      <selection pane="bottomLeft" activeCell="G73" sqref="G73"/>
      <selection pane="bottomRight" activeCell="D8" sqref="D8"/>
    </sheetView>
  </sheetViews>
  <sheetFormatPr defaultColWidth="9" defaultRowHeight="16.899999999999999" x14ac:dyDescent="0.6"/>
  <cols>
    <col min="1" max="1" width="14.125" style="24" bestFit="1" customWidth="1"/>
    <col min="2" max="2" width="17.875" style="24" bestFit="1" customWidth="1"/>
    <col min="3" max="3" width="49.5" style="24" customWidth="1"/>
    <col min="4" max="4" width="142.125" style="24" customWidth="1"/>
    <col min="5" max="5" width="19.375" style="24" bestFit="1" customWidth="1"/>
    <col min="6" max="6" width="40.625" style="24" customWidth="1"/>
    <col min="7" max="9" width="35.625" style="24" customWidth="1"/>
    <col min="10" max="16384" width="9" style="24"/>
  </cols>
  <sheetData>
    <row r="1" spans="1:9" ht="20.100000000000001" customHeight="1" x14ac:dyDescent="0.6">
      <c r="A1" s="14" t="s">
        <v>53</v>
      </c>
      <c r="B1" s="14" t="s">
        <v>54</v>
      </c>
      <c r="C1" s="14" t="s">
        <v>55</v>
      </c>
      <c r="D1" s="14" t="s">
        <v>56</v>
      </c>
      <c r="E1" s="14" t="s">
        <v>57</v>
      </c>
      <c r="F1" s="14" t="s">
        <v>58</v>
      </c>
      <c r="G1" s="14" t="s">
        <v>59</v>
      </c>
      <c r="H1" s="14" t="s">
        <v>60</v>
      </c>
      <c r="I1" s="14" t="s">
        <v>61</v>
      </c>
    </row>
    <row r="2" spans="1:9" ht="20.100000000000001" customHeight="1" x14ac:dyDescent="0.6">
      <c r="A2" s="15" t="s">
        <v>62</v>
      </c>
      <c r="B2" s="16" t="s">
        <v>63</v>
      </c>
      <c r="C2" s="16" t="s">
        <v>64</v>
      </c>
      <c r="D2" s="16" t="s">
        <v>65</v>
      </c>
      <c r="E2" s="16" t="s">
        <v>66</v>
      </c>
      <c r="F2" s="16" t="s">
        <v>67</v>
      </c>
      <c r="G2" s="16"/>
      <c r="H2" s="16"/>
      <c r="I2" s="16"/>
    </row>
    <row r="3" spans="1:9" ht="20.100000000000001" customHeight="1" x14ac:dyDescent="0.6">
      <c r="A3" s="15" t="s">
        <v>68</v>
      </c>
      <c r="B3" s="16" t="s">
        <v>69</v>
      </c>
      <c r="C3" s="16" t="s">
        <v>70</v>
      </c>
      <c r="D3" s="16" t="s">
        <v>71</v>
      </c>
      <c r="E3" s="16" t="s">
        <v>72</v>
      </c>
      <c r="F3" s="16" t="s">
        <v>73</v>
      </c>
      <c r="G3" s="16"/>
      <c r="H3" s="16"/>
      <c r="I3" s="16"/>
    </row>
    <row r="4" spans="1:9" ht="20.100000000000001" customHeight="1" x14ac:dyDescent="0.6">
      <c r="A4" s="15" t="s">
        <v>74</v>
      </c>
      <c r="B4" s="16" t="s">
        <v>75</v>
      </c>
      <c r="C4" s="16" t="s">
        <v>76</v>
      </c>
      <c r="D4" s="16" t="s">
        <v>77</v>
      </c>
      <c r="E4" s="16" t="s">
        <v>78</v>
      </c>
      <c r="F4" s="16" t="s">
        <v>79</v>
      </c>
      <c r="G4" s="16"/>
      <c r="H4" s="16"/>
      <c r="I4" s="16"/>
    </row>
    <row r="5" spans="1:9" ht="20.100000000000001" customHeight="1" x14ac:dyDescent="0.6">
      <c r="A5" s="15" t="s">
        <v>80</v>
      </c>
      <c r="B5" s="16" t="s">
        <v>81</v>
      </c>
      <c r="C5" s="16" t="s">
        <v>82</v>
      </c>
      <c r="D5" s="16" t="s">
        <v>83</v>
      </c>
      <c r="E5" s="16" t="s">
        <v>84</v>
      </c>
      <c r="F5" s="16" t="s">
        <v>85</v>
      </c>
      <c r="G5" s="16"/>
      <c r="H5" s="16"/>
      <c r="I5" s="16"/>
    </row>
    <row r="6" spans="1:9" ht="20.100000000000001" customHeight="1" x14ac:dyDescent="0.6">
      <c r="A6" s="15" t="s">
        <v>86</v>
      </c>
      <c r="B6" s="16" t="s">
        <v>87</v>
      </c>
      <c r="C6" s="16" t="s">
        <v>88</v>
      </c>
      <c r="D6" s="16" t="s">
        <v>89</v>
      </c>
      <c r="E6" s="16" t="s">
        <v>90</v>
      </c>
      <c r="F6" s="16" t="s">
        <v>91</v>
      </c>
      <c r="G6" s="16"/>
      <c r="H6" s="16"/>
      <c r="I6" s="16"/>
    </row>
    <row r="7" spans="1:9" ht="20.100000000000001" customHeight="1" x14ac:dyDescent="0.6">
      <c r="A7" s="15" t="s">
        <v>92</v>
      </c>
      <c r="B7" s="16" t="s">
        <v>93</v>
      </c>
      <c r="C7" s="16" t="s">
        <v>94</v>
      </c>
      <c r="D7" s="17" t="s">
        <v>95</v>
      </c>
      <c r="E7" s="16" t="s">
        <v>96</v>
      </c>
      <c r="F7" s="16" t="s">
        <v>97</v>
      </c>
      <c r="G7" s="16"/>
      <c r="H7" s="16"/>
      <c r="I7" s="16"/>
    </row>
    <row r="8" spans="1:9" ht="20.100000000000001" customHeight="1" x14ac:dyDescent="0.6">
      <c r="A8" s="15" t="s">
        <v>98</v>
      </c>
      <c r="B8" s="16" t="s">
        <v>99</v>
      </c>
      <c r="C8" s="16" t="s">
        <v>100</v>
      </c>
      <c r="D8" s="16" t="s">
        <v>101</v>
      </c>
      <c r="E8" s="16" t="s">
        <v>102</v>
      </c>
      <c r="F8" s="16" t="s">
        <v>103</v>
      </c>
      <c r="G8" s="16"/>
      <c r="H8" s="16"/>
      <c r="I8" s="16"/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13"/>
  <sheetViews>
    <sheetView zoomScale="85" zoomScaleNormal="85" workbookViewId="0">
      <selection sqref="A1:D1"/>
    </sheetView>
  </sheetViews>
  <sheetFormatPr defaultColWidth="9" defaultRowHeight="16.899999999999999" x14ac:dyDescent="0.6"/>
  <cols>
    <col min="1" max="2" width="19.625" style="24" customWidth="1"/>
    <col min="3" max="3" width="56" style="24" customWidth="1"/>
    <col min="4" max="4" width="40.625" style="24" customWidth="1"/>
    <col min="5" max="16384" width="9" style="24"/>
  </cols>
  <sheetData>
    <row r="1" spans="1:4" ht="20.100000000000001" customHeight="1" x14ac:dyDescent="0.6">
      <c r="A1" s="31" t="s">
        <v>491</v>
      </c>
      <c r="B1" s="31"/>
      <c r="C1" s="31"/>
      <c r="D1" s="31"/>
    </row>
    <row r="2" spans="1:4" ht="20.100000000000001" customHeight="1" x14ac:dyDescent="0.6"/>
    <row r="3" spans="1:4" ht="20.100000000000001" customHeight="1" x14ac:dyDescent="0.6">
      <c r="A3" s="30" t="s">
        <v>104</v>
      </c>
      <c r="B3" s="30"/>
      <c r="C3" s="30"/>
      <c r="D3" s="30"/>
    </row>
    <row r="4" spans="1:4" ht="20.100000000000001" customHeight="1" x14ac:dyDescent="0.6"/>
    <row r="5" spans="1:4" s="25" customFormat="1" ht="39.950000000000003" customHeight="1" x14ac:dyDescent="0.6">
      <c r="A5" s="36" t="s">
        <v>105</v>
      </c>
      <c r="B5" s="3" t="s">
        <v>0</v>
      </c>
      <c r="C5" s="32" t="s">
        <v>5</v>
      </c>
      <c r="D5" s="32"/>
    </row>
    <row r="6" spans="1:4" s="25" customFormat="1" ht="39.950000000000003" customHeight="1" x14ac:dyDescent="0.6">
      <c r="A6" s="37"/>
      <c r="B6" s="3" t="s">
        <v>1</v>
      </c>
      <c r="C6" s="34" t="s">
        <v>10</v>
      </c>
      <c r="D6" s="35"/>
    </row>
    <row r="7" spans="1:4" s="25" customFormat="1" ht="39.950000000000003" customHeight="1" x14ac:dyDescent="0.6">
      <c r="A7" s="37"/>
      <c r="B7" s="3" t="s">
        <v>106</v>
      </c>
      <c r="C7" s="34" t="str">
        <f>VLOOKUP(C6,'1_분류체계(Taxonomy)'!$B$1:$E$15,2,FALSE)</f>
        <v>BS_STR</v>
      </c>
      <c r="D7" s="35"/>
    </row>
    <row r="8" spans="1:4" s="25" customFormat="1" ht="70.5" customHeight="1" x14ac:dyDescent="0.6">
      <c r="A8" s="38"/>
      <c r="B8" s="3" t="s">
        <v>107</v>
      </c>
      <c r="C8" s="50" t="s">
        <v>124</v>
      </c>
      <c r="D8" s="50"/>
    </row>
    <row r="9" spans="1:4" ht="20.100000000000001" customHeight="1" x14ac:dyDescent="0.6"/>
    <row r="10" spans="1:4" ht="20.100000000000001" customHeight="1" x14ac:dyDescent="0.6">
      <c r="A10" s="30" t="s">
        <v>108</v>
      </c>
      <c r="B10" s="30"/>
      <c r="C10" s="30"/>
      <c r="D10" s="30"/>
    </row>
    <row r="11" spans="1:4" ht="20.100000000000001" customHeight="1" x14ac:dyDescent="0.6"/>
    <row r="12" spans="1:4" ht="19.5" customHeight="1" x14ac:dyDescent="0.6">
      <c r="A12" s="18" t="s">
        <v>109</v>
      </c>
      <c r="B12" s="18" t="s">
        <v>54</v>
      </c>
      <c r="C12" s="18" t="s">
        <v>110</v>
      </c>
      <c r="D12" s="18" t="s">
        <v>111</v>
      </c>
    </row>
    <row r="13" spans="1:4" s="25" customFormat="1" ht="51.95" customHeight="1" x14ac:dyDescent="0.6">
      <c r="A13" s="5" t="s">
        <v>62</v>
      </c>
      <c r="B13" s="7" t="s">
        <v>63</v>
      </c>
      <c r="C13" s="53" t="s">
        <v>481</v>
      </c>
      <c r="D13" s="53" t="s">
        <v>125</v>
      </c>
    </row>
    <row r="14" spans="1:4" s="25" customFormat="1" ht="51.95" customHeight="1" x14ac:dyDescent="0.6">
      <c r="A14" s="5" t="s">
        <v>68</v>
      </c>
      <c r="B14" s="7" t="s">
        <v>69</v>
      </c>
      <c r="C14" s="53" t="s">
        <v>482</v>
      </c>
      <c r="D14" s="53" t="s">
        <v>126</v>
      </c>
    </row>
    <row r="15" spans="1:4" s="25" customFormat="1" ht="51.95" customHeight="1" x14ac:dyDescent="0.6">
      <c r="A15" s="5" t="s">
        <v>74</v>
      </c>
      <c r="B15" s="7" t="s">
        <v>75</v>
      </c>
      <c r="C15" s="53" t="s">
        <v>127</v>
      </c>
      <c r="D15" s="53" t="s">
        <v>128</v>
      </c>
    </row>
    <row r="16" spans="1:4" s="25" customFormat="1" ht="51.95" customHeight="1" x14ac:dyDescent="0.6">
      <c r="A16" s="5" t="s">
        <v>80</v>
      </c>
      <c r="B16" s="7" t="s">
        <v>81</v>
      </c>
      <c r="C16" s="53" t="s">
        <v>129</v>
      </c>
      <c r="D16" s="53" t="s">
        <v>130</v>
      </c>
    </row>
    <row r="17" spans="1:4" s="25" customFormat="1" ht="51.95" customHeight="1" x14ac:dyDescent="0.6">
      <c r="A17" s="5" t="s">
        <v>86</v>
      </c>
      <c r="B17" s="7" t="s">
        <v>87</v>
      </c>
      <c r="C17" s="53" t="s">
        <v>131</v>
      </c>
      <c r="D17" s="53" t="s">
        <v>132</v>
      </c>
    </row>
    <row r="18" spans="1:4" s="25" customFormat="1" ht="51.95" customHeight="1" x14ac:dyDescent="0.6">
      <c r="A18" s="5" t="s">
        <v>92</v>
      </c>
      <c r="B18" s="7" t="s">
        <v>93</v>
      </c>
      <c r="C18" s="53" t="s">
        <v>133</v>
      </c>
      <c r="D18" s="53" t="s">
        <v>134</v>
      </c>
    </row>
    <row r="19" spans="1:4" s="25" customFormat="1" ht="51.95" customHeight="1" x14ac:dyDescent="0.6">
      <c r="A19" s="5" t="s">
        <v>98</v>
      </c>
      <c r="B19" s="7" t="s">
        <v>99</v>
      </c>
      <c r="C19" s="53" t="s">
        <v>135</v>
      </c>
      <c r="D19" s="53" t="s">
        <v>136</v>
      </c>
    </row>
    <row r="20" spans="1:4" ht="20.100000000000001" customHeight="1" x14ac:dyDescent="0.6"/>
    <row r="21" spans="1:4" ht="20.100000000000001" customHeight="1" x14ac:dyDescent="0.6">
      <c r="A21" s="30" t="s">
        <v>112</v>
      </c>
      <c r="B21" s="30"/>
      <c r="C21" s="30"/>
      <c r="D21" s="30"/>
    </row>
    <row r="22" spans="1:4" ht="20.100000000000001" customHeight="1" x14ac:dyDescent="0.6"/>
    <row r="23" spans="1:4" ht="20.100000000000001" customHeight="1" x14ac:dyDescent="0.6">
      <c r="A23" s="18" t="s">
        <v>3</v>
      </c>
      <c r="B23" s="18" t="s">
        <v>113</v>
      </c>
      <c r="C23" s="18" t="s">
        <v>114</v>
      </c>
      <c r="D23" s="18" t="s">
        <v>115</v>
      </c>
    </row>
    <row r="24" spans="1:4" s="25" customFormat="1" ht="87.75" customHeight="1" x14ac:dyDescent="0.6">
      <c r="A24" s="54" t="s">
        <v>137</v>
      </c>
      <c r="B24" s="55" t="s">
        <v>138</v>
      </c>
      <c r="C24" s="53" t="s">
        <v>139</v>
      </c>
      <c r="D24" s="53" t="s">
        <v>140</v>
      </c>
    </row>
    <row r="25" spans="1:4" s="25" customFormat="1" ht="87.75" customHeight="1" x14ac:dyDescent="0.6">
      <c r="A25" s="56"/>
      <c r="B25" s="55" t="s">
        <v>141</v>
      </c>
      <c r="C25" s="53" t="s">
        <v>142</v>
      </c>
      <c r="D25" s="53" t="s">
        <v>143</v>
      </c>
    </row>
    <row r="26" spans="1:4" s="25" customFormat="1" ht="87.75" customHeight="1" x14ac:dyDescent="0.6">
      <c r="A26" s="56"/>
      <c r="B26" s="55" t="s">
        <v>144</v>
      </c>
      <c r="C26" s="53" t="s">
        <v>145</v>
      </c>
      <c r="D26" s="53" t="s">
        <v>146</v>
      </c>
    </row>
    <row r="27" spans="1:4" s="25" customFormat="1" ht="87.75" customHeight="1" x14ac:dyDescent="0.6">
      <c r="A27" s="56"/>
      <c r="B27" s="55" t="s">
        <v>147</v>
      </c>
      <c r="C27" s="53" t="s">
        <v>148</v>
      </c>
      <c r="D27" s="53" t="s">
        <v>149</v>
      </c>
    </row>
    <row r="28" spans="1:4" s="25" customFormat="1" ht="87.75" customHeight="1" x14ac:dyDescent="0.6">
      <c r="A28" s="56"/>
      <c r="B28" s="55" t="s">
        <v>150</v>
      </c>
      <c r="C28" s="53" t="s">
        <v>151</v>
      </c>
      <c r="D28" s="53" t="s">
        <v>152</v>
      </c>
    </row>
    <row r="29" spans="1:4" s="25" customFormat="1" ht="87.6" customHeight="1" x14ac:dyDescent="0.6">
      <c r="A29" s="57"/>
      <c r="B29" s="55" t="s">
        <v>153</v>
      </c>
      <c r="C29" s="49" t="s">
        <v>154</v>
      </c>
      <c r="D29" s="53" t="s">
        <v>155</v>
      </c>
    </row>
    <row r="30" spans="1:4" s="25" customFormat="1" ht="87" customHeight="1" x14ac:dyDescent="0.6">
      <c r="A30" s="58" t="s">
        <v>156</v>
      </c>
      <c r="B30" s="55" t="s">
        <v>157</v>
      </c>
      <c r="C30" s="53" t="s">
        <v>158</v>
      </c>
      <c r="D30" s="53" t="s">
        <v>159</v>
      </c>
    </row>
    <row r="31" spans="1:4" s="25" customFormat="1" ht="87" customHeight="1" x14ac:dyDescent="0.6">
      <c r="A31" s="58"/>
      <c r="B31" s="55" t="s">
        <v>160</v>
      </c>
      <c r="C31" s="53" t="s">
        <v>161</v>
      </c>
      <c r="D31" s="53" t="s">
        <v>162</v>
      </c>
    </row>
    <row r="32" spans="1:4" s="25" customFormat="1" ht="87" customHeight="1" x14ac:dyDescent="0.6">
      <c r="A32" s="58"/>
      <c r="B32" s="55" t="s">
        <v>163</v>
      </c>
      <c r="C32" s="53" t="s">
        <v>164</v>
      </c>
      <c r="D32" s="53" t="s">
        <v>165</v>
      </c>
    </row>
    <row r="33" spans="1:4" s="25" customFormat="1" ht="87" customHeight="1" x14ac:dyDescent="0.6">
      <c r="A33" s="58"/>
      <c r="B33" s="55" t="s">
        <v>166</v>
      </c>
      <c r="C33" s="53" t="s">
        <v>167</v>
      </c>
      <c r="D33" s="53" t="s">
        <v>168</v>
      </c>
    </row>
    <row r="34" spans="1:4" s="25" customFormat="1" ht="87" customHeight="1" x14ac:dyDescent="0.6">
      <c r="A34" s="58"/>
      <c r="B34" s="55" t="s">
        <v>169</v>
      </c>
      <c r="C34" s="53" t="s">
        <v>170</v>
      </c>
      <c r="D34" s="53" t="s">
        <v>171</v>
      </c>
    </row>
    <row r="35" spans="1:4" s="25" customFormat="1" ht="39.950000000000003" customHeight="1" x14ac:dyDescent="0.6">
      <c r="A35" s="54" t="s">
        <v>172</v>
      </c>
      <c r="B35" s="55" t="s">
        <v>173</v>
      </c>
      <c r="C35" s="53" t="s">
        <v>174</v>
      </c>
      <c r="D35" s="53" t="s">
        <v>175</v>
      </c>
    </row>
    <row r="36" spans="1:4" s="25" customFormat="1" ht="39.950000000000003" customHeight="1" x14ac:dyDescent="0.6">
      <c r="A36" s="56"/>
      <c r="B36" s="55" t="s">
        <v>176</v>
      </c>
      <c r="C36" s="53" t="s">
        <v>177</v>
      </c>
      <c r="D36" s="53" t="s">
        <v>178</v>
      </c>
    </row>
    <row r="37" spans="1:4" s="25" customFormat="1" ht="48" customHeight="1" x14ac:dyDescent="0.6">
      <c r="A37" s="56"/>
      <c r="B37" s="55" t="s">
        <v>179</v>
      </c>
      <c r="C37" s="53" t="s">
        <v>494</v>
      </c>
      <c r="D37" s="53" t="s">
        <v>180</v>
      </c>
    </row>
    <row r="38" spans="1:4" s="25" customFormat="1" ht="48" customHeight="1" x14ac:dyDescent="0.6">
      <c r="A38" s="56"/>
      <c r="B38" s="55" t="s">
        <v>181</v>
      </c>
      <c r="C38" s="53" t="s">
        <v>493</v>
      </c>
      <c r="D38" s="53" t="s">
        <v>182</v>
      </c>
    </row>
    <row r="39" spans="1:4" s="25" customFormat="1" ht="59.25" customHeight="1" x14ac:dyDescent="0.6">
      <c r="A39" s="57"/>
      <c r="B39" s="55" t="s">
        <v>183</v>
      </c>
      <c r="C39" s="53" t="s">
        <v>492</v>
      </c>
      <c r="D39" s="53" t="s">
        <v>184</v>
      </c>
    </row>
    <row r="40" spans="1:4" s="25" customFormat="1" ht="93" customHeight="1" x14ac:dyDescent="0.6">
      <c r="A40" s="58" t="s">
        <v>185</v>
      </c>
      <c r="B40" s="55" t="s">
        <v>186</v>
      </c>
      <c r="C40" s="53" t="s">
        <v>187</v>
      </c>
      <c r="D40" s="53" t="s">
        <v>188</v>
      </c>
    </row>
    <row r="41" spans="1:4" s="25" customFormat="1" ht="85.35" customHeight="1" x14ac:dyDescent="0.6">
      <c r="A41" s="58"/>
      <c r="B41" s="55" t="s">
        <v>189</v>
      </c>
      <c r="C41" s="53" t="s">
        <v>190</v>
      </c>
      <c r="D41" s="53" t="s">
        <v>191</v>
      </c>
    </row>
    <row r="42" spans="1:4" s="25" customFormat="1" ht="63.6" customHeight="1" x14ac:dyDescent="0.6">
      <c r="A42" s="58"/>
      <c r="B42" s="55" t="s">
        <v>192</v>
      </c>
      <c r="C42" s="53" t="s">
        <v>193</v>
      </c>
      <c r="D42" s="53" t="s">
        <v>194</v>
      </c>
    </row>
    <row r="43" spans="1:4" ht="20.100000000000001" customHeight="1" x14ac:dyDescent="0.6"/>
    <row r="44" spans="1:4" ht="20.100000000000001" customHeight="1" x14ac:dyDescent="0.6">
      <c r="A44" s="30" t="s">
        <v>116</v>
      </c>
      <c r="B44" s="30"/>
      <c r="C44" s="30"/>
      <c r="D44" s="30"/>
    </row>
    <row r="45" spans="1:4" ht="20.100000000000001" customHeight="1" x14ac:dyDescent="0.6">
      <c r="A45" s="26"/>
      <c r="B45" s="26"/>
    </row>
    <row r="46" spans="1:4" s="25" customFormat="1" ht="80.25" customHeight="1" x14ac:dyDescent="0.6">
      <c r="A46" s="21" t="s">
        <v>117</v>
      </c>
      <c r="B46" s="50" t="s">
        <v>483</v>
      </c>
      <c r="C46" s="50"/>
      <c r="D46" s="50"/>
    </row>
    <row r="47" spans="1:4" s="25" customFormat="1" ht="96.75" customHeight="1" x14ac:dyDescent="0.6">
      <c r="A47" s="21" t="s">
        <v>118</v>
      </c>
      <c r="B47" s="50" t="s">
        <v>484</v>
      </c>
      <c r="C47" s="50"/>
      <c r="D47" s="50"/>
    </row>
    <row r="48" spans="1:4" s="25" customFormat="1" ht="115.5" customHeight="1" x14ac:dyDescent="0.6">
      <c r="A48" s="21" t="s">
        <v>119</v>
      </c>
      <c r="B48" s="50" t="s">
        <v>485</v>
      </c>
      <c r="C48" s="50"/>
      <c r="D48" s="50"/>
    </row>
    <row r="49" spans="1:4" s="25" customFormat="1" ht="114" customHeight="1" x14ac:dyDescent="0.6">
      <c r="A49" s="21" t="s">
        <v>120</v>
      </c>
      <c r="B49" s="50" t="s">
        <v>486</v>
      </c>
      <c r="C49" s="50"/>
      <c r="D49" s="50"/>
    </row>
    <row r="50" spans="1:4" s="25" customFormat="1" ht="77.25" customHeight="1" x14ac:dyDescent="0.6">
      <c r="A50" s="21" t="s">
        <v>195</v>
      </c>
      <c r="B50" s="50" t="s">
        <v>196</v>
      </c>
      <c r="C50" s="50"/>
      <c r="D50" s="50"/>
    </row>
    <row r="51" spans="1:4" ht="20.100000000000001" customHeight="1" x14ac:dyDescent="0.6"/>
    <row r="52" spans="1:4" ht="20.100000000000001" customHeight="1" x14ac:dyDescent="0.6">
      <c r="A52" s="30" t="s">
        <v>121</v>
      </c>
      <c r="B52" s="30"/>
      <c r="C52" s="30"/>
      <c r="D52" s="30"/>
    </row>
    <row r="53" spans="1:4" ht="20.100000000000001" customHeight="1" x14ac:dyDescent="0.6"/>
    <row r="54" spans="1:4" ht="20.100000000000001" customHeight="1" x14ac:dyDescent="0.6">
      <c r="A54" s="18" t="s">
        <v>109</v>
      </c>
      <c r="B54" s="18" t="s">
        <v>54</v>
      </c>
      <c r="C54" s="18" t="s">
        <v>122</v>
      </c>
      <c r="D54" s="18" t="s">
        <v>123</v>
      </c>
    </row>
    <row r="55" spans="1:4" s="25" customFormat="1" ht="99.75" customHeight="1" x14ac:dyDescent="0.6">
      <c r="A55" s="51" t="s">
        <v>62</v>
      </c>
      <c r="B55" s="52" t="s">
        <v>63</v>
      </c>
      <c r="C55" s="53" t="s">
        <v>487</v>
      </c>
      <c r="D55" s="55" t="s">
        <v>197</v>
      </c>
    </row>
    <row r="56" spans="1:4" s="25" customFormat="1" ht="100.5" customHeight="1" x14ac:dyDescent="0.6">
      <c r="A56" s="51" t="s">
        <v>68</v>
      </c>
      <c r="B56" s="52" t="s">
        <v>69</v>
      </c>
      <c r="C56" s="53" t="s">
        <v>488</v>
      </c>
      <c r="D56" s="55" t="s">
        <v>198</v>
      </c>
    </row>
    <row r="57" spans="1:4" s="25" customFormat="1" ht="84.4" x14ac:dyDescent="0.6">
      <c r="A57" s="51" t="s">
        <v>74</v>
      </c>
      <c r="B57" s="52" t="s">
        <v>75</v>
      </c>
      <c r="C57" s="53" t="s">
        <v>489</v>
      </c>
      <c r="D57" s="55" t="s">
        <v>198</v>
      </c>
    </row>
    <row r="58" spans="1:4" s="25" customFormat="1" ht="50.65" x14ac:dyDescent="0.6">
      <c r="A58" s="51" t="s">
        <v>80</v>
      </c>
      <c r="B58" s="52" t="s">
        <v>81</v>
      </c>
      <c r="C58" s="53" t="s">
        <v>199</v>
      </c>
      <c r="D58" s="55" t="s">
        <v>200</v>
      </c>
    </row>
    <row r="59" spans="1:4" s="25" customFormat="1" ht="50.65" x14ac:dyDescent="0.6">
      <c r="A59" s="51" t="s">
        <v>86</v>
      </c>
      <c r="B59" s="52" t="s">
        <v>87</v>
      </c>
      <c r="C59" s="53" t="s">
        <v>201</v>
      </c>
      <c r="D59" s="55" t="s">
        <v>200</v>
      </c>
    </row>
    <row r="60" spans="1:4" s="25" customFormat="1" ht="67.5" x14ac:dyDescent="0.6">
      <c r="A60" s="51" t="s">
        <v>92</v>
      </c>
      <c r="B60" s="52" t="s">
        <v>93</v>
      </c>
      <c r="C60" s="53" t="s">
        <v>490</v>
      </c>
      <c r="D60" s="55" t="s">
        <v>202</v>
      </c>
    </row>
    <row r="61" spans="1:4" s="25" customFormat="1" ht="50.65" x14ac:dyDescent="0.6">
      <c r="A61" s="51" t="s">
        <v>98</v>
      </c>
      <c r="B61" s="52" t="s">
        <v>99</v>
      </c>
      <c r="C61" s="53" t="s">
        <v>203</v>
      </c>
      <c r="D61" s="55" t="s">
        <v>204</v>
      </c>
    </row>
    <row r="62" spans="1:4" ht="50.1" customHeight="1" x14ac:dyDescent="0.6">
      <c r="A62" s="26"/>
      <c r="B62" s="26"/>
    </row>
    <row r="63" spans="1:4" ht="50.1" customHeight="1" x14ac:dyDescent="0.6"/>
    <row r="64" spans="1:4" ht="50.1" customHeight="1" x14ac:dyDescent="0.6"/>
    <row r="65" ht="50.1" customHeight="1" x14ac:dyDescent="0.6"/>
    <row r="66" ht="50.1" customHeight="1" x14ac:dyDescent="0.6"/>
    <row r="67" ht="20.100000000000001" customHeight="1" x14ac:dyDescent="0.6"/>
    <row r="68" ht="20.100000000000001" customHeight="1" x14ac:dyDescent="0.6"/>
    <row r="69" ht="20.100000000000001" customHeight="1" x14ac:dyDescent="0.6"/>
    <row r="70" ht="20.100000000000001" customHeight="1" x14ac:dyDescent="0.6"/>
    <row r="71" ht="20.100000000000001" customHeight="1" x14ac:dyDescent="0.6"/>
    <row r="72" ht="20.100000000000001" customHeight="1" x14ac:dyDescent="0.6"/>
    <row r="73" ht="20.100000000000001" customHeight="1" x14ac:dyDescent="0.6"/>
    <row r="74" ht="20.100000000000001" customHeight="1" x14ac:dyDescent="0.6"/>
    <row r="75" ht="20.100000000000001" customHeight="1" x14ac:dyDescent="0.6"/>
    <row r="76" ht="20.100000000000001" customHeight="1" x14ac:dyDescent="0.6"/>
    <row r="77" ht="20.100000000000001" customHeight="1" x14ac:dyDescent="0.6"/>
    <row r="78" ht="20.100000000000001" customHeight="1" x14ac:dyDescent="0.6"/>
    <row r="79" ht="20.100000000000001" customHeight="1" x14ac:dyDescent="0.6"/>
    <row r="80" ht="20.100000000000001" customHeight="1" x14ac:dyDescent="0.6"/>
    <row r="81" ht="20.100000000000001" customHeight="1" x14ac:dyDescent="0.6"/>
    <row r="82" ht="20.100000000000001" customHeight="1" x14ac:dyDescent="0.6"/>
    <row r="83" ht="20.100000000000001" customHeight="1" x14ac:dyDescent="0.6"/>
    <row r="84" ht="20.100000000000001" customHeight="1" x14ac:dyDescent="0.6"/>
    <row r="85" ht="20.100000000000001" customHeight="1" x14ac:dyDescent="0.6"/>
    <row r="86" ht="20.100000000000001" customHeight="1" x14ac:dyDescent="0.6"/>
    <row r="87" ht="20.100000000000001" customHeight="1" x14ac:dyDescent="0.6"/>
    <row r="88" ht="20.100000000000001" customHeight="1" x14ac:dyDescent="0.6"/>
    <row r="89" ht="20.100000000000001" customHeight="1" x14ac:dyDescent="0.6"/>
    <row r="90" ht="20.100000000000001" customHeight="1" x14ac:dyDescent="0.6"/>
    <row r="91" ht="20.100000000000001" customHeight="1" x14ac:dyDescent="0.6"/>
    <row r="92" ht="20.100000000000001" customHeight="1" x14ac:dyDescent="0.6"/>
    <row r="93" ht="20.100000000000001" customHeight="1" x14ac:dyDescent="0.6"/>
    <row r="94" ht="20.100000000000001" customHeight="1" x14ac:dyDescent="0.6"/>
    <row r="95" ht="20.100000000000001" customHeight="1" x14ac:dyDescent="0.6"/>
    <row r="96" ht="20.100000000000001" customHeight="1" x14ac:dyDescent="0.6"/>
    <row r="97" ht="20.100000000000001" customHeight="1" x14ac:dyDescent="0.6"/>
    <row r="98" ht="20.100000000000001" customHeight="1" x14ac:dyDescent="0.6"/>
    <row r="99" ht="20.100000000000001" customHeight="1" x14ac:dyDescent="0.6"/>
    <row r="100" ht="20.100000000000001" customHeight="1" x14ac:dyDescent="0.6"/>
    <row r="101" ht="20.100000000000001" customHeight="1" x14ac:dyDescent="0.6"/>
    <row r="102" ht="20.100000000000001" customHeight="1" x14ac:dyDescent="0.6"/>
    <row r="103" ht="20.100000000000001" customHeight="1" x14ac:dyDescent="0.6"/>
    <row r="104" ht="20.100000000000001" customHeight="1" x14ac:dyDescent="0.6"/>
    <row r="105" ht="20.100000000000001" customHeight="1" x14ac:dyDescent="0.6"/>
    <row r="106" ht="20.100000000000001" customHeight="1" x14ac:dyDescent="0.6"/>
    <row r="107" ht="20.100000000000001" customHeight="1" x14ac:dyDescent="0.6"/>
    <row r="108" ht="20.100000000000001" customHeight="1" x14ac:dyDescent="0.6"/>
    <row r="109" ht="20.100000000000001" customHeight="1" x14ac:dyDescent="0.6"/>
    <row r="110" ht="20.100000000000001" customHeight="1" x14ac:dyDescent="0.6"/>
    <row r="111" ht="20.100000000000001" customHeight="1" x14ac:dyDescent="0.6"/>
    <row r="112" ht="20.100000000000001" customHeight="1" x14ac:dyDescent="0.6"/>
    <row r="113" ht="20.100000000000001" customHeight="1" x14ac:dyDescent="0.6"/>
  </sheetData>
  <mergeCells count="20">
    <mergeCell ref="A52:D52"/>
    <mergeCell ref="A30:A34"/>
    <mergeCell ref="C6:D6"/>
    <mergeCell ref="C7:D7"/>
    <mergeCell ref="C8:D8"/>
    <mergeCell ref="A5:A8"/>
    <mergeCell ref="A21:D21"/>
    <mergeCell ref="A10:D10"/>
    <mergeCell ref="A40:A42"/>
    <mergeCell ref="B46:D46"/>
    <mergeCell ref="B47:D47"/>
    <mergeCell ref="B48:D48"/>
    <mergeCell ref="B49:D49"/>
    <mergeCell ref="B50:D50"/>
    <mergeCell ref="A3:D3"/>
    <mergeCell ref="A1:D1"/>
    <mergeCell ref="A44:D44"/>
    <mergeCell ref="C5:D5"/>
    <mergeCell ref="A24:A29"/>
    <mergeCell ref="A35:A39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2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50818CFC-B93B-4F6A-90B2-4B2D888DAE50}">
          <x14:formula1>
            <xm:f>'1_분류체계(Taxonomy)'!$B$2:$B$15</xm:f>
          </x14:formula1>
          <xm:sqref>C6</xm:sqref>
        </x14:dataValidation>
        <x14:dataValidation type="list" allowBlank="1" showInputMessage="1" showErrorMessage="1" xr:uid="{84C8E654-6F80-4E5A-9DBA-9BE138AB67F7}">
          <x14:formula1>
            <xm:f>'1_분류체계(Taxonomy)'!$A$2:$A$15</xm:f>
          </x14:formula1>
          <xm:sqref>C5:D5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12F5-92C8-42EE-B25A-634582E1CD3C}">
  <dimension ref="A1:D98"/>
  <sheetViews>
    <sheetView zoomScale="85" zoomScaleNormal="85" workbookViewId="0">
      <selection sqref="A1:D1"/>
    </sheetView>
  </sheetViews>
  <sheetFormatPr defaultColWidth="9" defaultRowHeight="16.899999999999999" x14ac:dyDescent="0.6"/>
  <cols>
    <col min="1" max="2" width="19.625" style="24" customWidth="1"/>
    <col min="3" max="3" width="56" style="24" customWidth="1"/>
    <col min="4" max="4" width="40.625" style="24" customWidth="1"/>
    <col min="5" max="16384" width="9" style="24"/>
  </cols>
  <sheetData>
    <row r="1" spans="1:4" ht="20.100000000000001" customHeight="1" x14ac:dyDescent="0.6">
      <c r="A1" s="31" t="s">
        <v>491</v>
      </c>
      <c r="B1" s="31"/>
      <c r="C1" s="31"/>
      <c r="D1" s="31"/>
    </row>
    <row r="2" spans="1:4" ht="20.100000000000001" customHeight="1" x14ac:dyDescent="0.6"/>
    <row r="3" spans="1:4" ht="20.100000000000001" customHeight="1" x14ac:dyDescent="0.6">
      <c r="A3" s="30" t="s">
        <v>104</v>
      </c>
      <c r="B3" s="30"/>
      <c r="C3" s="30"/>
      <c r="D3" s="30"/>
    </row>
    <row r="4" spans="1:4" ht="20.100000000000001" customHeight="1" x14ac:dyDescent="0.6"/>
    <row r="5" spans="1:4" s="25" customFormat="1" ht="39.950000000000003" customHeight="1" x14ac:dyDescent="0.6">
      <c r="A5" s="36" t="s">
        <v>105</v>
      </c>
      <c r="B5" s="3" t="s">
        <v>0</v>
      </c>
      <c r="C5" s="32" t="s">
        <v>17</v>
      </c>
      <c r="D5" s="32"/>
    </row>
    <row r="6" spans="1:4" s="25" customFormat="1" ht="39.950000000000003" customHeight="1" x14ac:dyDescent="0.6">
      <c r="A6" s="37"/>
      <c r="B6" s="3" t="s">
        <v>1</v>
      </c>
      <c r="C6" s="34" t="s">
        <v>205</v>
      </c>
      <c r="D6" s="35"/>
    </row>
    <row r="7" spans="1:4" s="25" customFormat="1" ht="39.950000000000003" customHeight="1" x14ac:dyDescent="0.6">
      <c r="A7" s="37"/>
      <c r="B7" s="3" t="s">
        <v>106</v>
      </c>
      <c r="C7" s="34" t="str">
        <f>VLOOKUP(C6,'1_분류체계(Taxonomy)'!$B$1:$E$15,2,FALSE)</f>
        <v>BS_PRJ</v>
      </c>
      <c r="D7" s="35"/>
    </row>
    <row r="8" spans="1:4" s="25" customFormat="1" ht="39.950000000000003" customHeight="1" x14ac:dyDescent="0.6">
      <c r="A8" s="38"/>
      <c r="B8" s="3" t="s">
        <v>107</v>
      </c>
      <c r="C8" s="61" t="s">
        <v>502</v>
      </c>
      <c r="D8" s="62"/>
    </row>
    <row r="9" spans="1:4" ht="20.100000000000001" customHeight="1" x14ac:dyDescent="0.6"/>
    <row r="10" spans="1:4" ht="20.100000000000001" customHeight="1" x14ac:dyDescent="0.6">
      <c r="A10" s="30" t="s">
        <v>108</v>
      </c>
      <c r="B10" s="30"/>
      <c r="C10" s="30"/>
      <c r="D10" s="30"/>
    </row>
    <row r="11" spans="1:4" ht="20.100000000000001" customHeight="1" x14ac:dyDescent="0.6"/>
    <row r="12" spans="1:4" ht="19.5" customHeight="1" x14ac:dyDescent="0.6">
      <c r="A12" s="18" t="s">
        <v>109</v>
      </c>
      <c r="B12" s="18" t="s">
        <v>54</v>
      </c>
      <c r="C12" s="18" t="s">
        <v>110</v>
      </c>
      <c r="D12" s="18" t="s">
        <v>111</v>
      </c>
    </row>
    <row r="13" spans="1:4" s="25" customFormat="1" ht="144.94999999999999" customHeight="1" x14ac:dyDescent="0.6">
      <c r="A13" s="5" t="s">
        <v>62</v>
      </c>
      <c r="B13" s="52" t="s">
        <v>63</v>
      </c>
      <c r="C13" s="53" t="s">
        <v>206</v>
      </c>
      <c r="D13" s="53" t="s">
        <v>495</v>
      </c>
    </row>
    <row r="14" spans="1:4" s="25" customFormat="1" ht="144.94999999999999" customHeight="1" x14ac:dyDescent="0.6">
      <c r="A14" s="5" t="s">
        <v>68</v>
      </c>
      <c r="B14" s="52" t="s">
        <v>69</v>
      </c>
      <c r="C14" s="53" t="s">
        <v>207</v>
      </c>
      <c r="D14" s="53" t="s">
        <v>496</v>
      </c>
    </row>
    <row r="15" spans="1:4" s="25" customFormat="1" ht="144.94999999999999" customHeight="1" x14ac:dyDescent="0.6">
      <c r="A15" s="5" t="s">
        <v>74</v>
      </c>
      <c r="B15" s="52" t="s">
        <v>75</v>
      </c>
      <c r="C15" s="53" t="s">
        <v>208</v>
      </c>
      <c r="D15" s="53" t="s">
        <v>497</v>
      </c>
    </row>
    <row r="16" spans="1:4" s="25" customFormat="1" ht="144.94999999999999" customHeight="1" x14ac:dyDescent="0.6">
      <c r="A16" s="5" t="s">
        <v>80</v>
      </c>
      <c r="B16" s="52" t="s">
        <v>81</v>
      </c>
      <c r="C16" s="53" t="s">
        <v>209</v>
      </c>
      <c r="D16" s="53" t="s">
        <v>498</v>
      </c>
    </row>
    <row r="17" spans="1:4" s="29" customFormat="1" ht="96" customHeight="1" x14ac:dyDescent="0.6">
      <c r="A17" s="28" t="s">
        <v>86</v>
      </c>
      <c r="B17" s="59" t="s">
        <v>87</v>
      </c>
      <c r="C17" s="60" t="s">
        <v>210</v>
      </c>
      <c r="D17" s="60" t="s">
        <v>499</v>
      </c>
    </row>
    <row r="18" spans="1:4" s="25" customFormat="1" ht="144.94999999999999" customHeight="1" x14ac:dyDescent="0.6">
      <c r="A18" s="5" t="s">
        <v>92</v>
      </c>
      <c r="B18" s="52" t="s">
        <v>93</v>
      </c>
      <c r="C18" s="53" t="s">
        <v>211</v>
      </c>
      <c r="D18" s="53" t="s">
        <v>500</v>
      </c>
    </row>
    <row r="19" spans="1:4" s="25" customFormat="1" ht="144.94999999999999" customHeight="1" x14ac:dyDescent="0.6">
      <c r="A19" s="5" t="s">
        <v>98</v>
      </c>
      <c r="B19" s="52" t="s">
        <v>99</v>
      </c>
      <c r="C19" s="53" t="s">
        <v>212</v>
      </c>
      <c r="D19" s="53" t="s">
        <v>501</v>
      </c>
    </row>
    <row r="20" spans="1:4" ht="20.100000000000001" customHeight="1" x14ac:dyDescent="0.6"/>
    <row r="21" spans="1:4" ht="20.100000000000001" customHeight="1" x14ac:dyDescent="0.6">
      <c r="A21" s="30" t="s">
        <v>112</v>
      </c>
      <c r="B21" s="30"/>
      <c r="C21" s="30"/>
      <c r="D21" s="30"/>
    </row>
    <row r="22" spans="1:4" ht="20.100000000000001" customHeight="1" x14ac:dyDescent="0.6"/>
    <row r="23" spans="1:4" ht="20.100000000000001" customHeight="1" x14ac:dyDescent="0.6">
      <c r="A23" s="18" t="s">
        <v>3</v>
      </c>
      <c r="B23" s="18" t="s">
        <v>113</v>
      </c>
      <c r="C23" s="18" t="s">
        <v>114</v>
      </c>
      <c r="D23" s="18" t="s">
        <v>115</v>
      </c>
    </row>
    <row r="24" spans="1:4" s="25" customFormat="1" ht="51.95" customHeight="1" x14ac:dyDescent="0.6">
      <c r="A24" s="33" t="s">
        <v>20</v>
      </c>
      <c r="B24" s="17" t="s">
        <v>213</v>
      </c>
      <c r="C24" s="17" t="s">
        <v>214</v>
      </c>
      <c r="D24" s="17" t="s">
        <v>215</v>
      </c>
    </row>
    <row r="25" spans="1:4" s="25" customFormat="1" ht="51.95" customHeight="1" x14ac:dyDescent="0.6">
      <c r="A25" s="33"/>
      <c r="B25" s="17" t="s">
        <v>216</v>
      </c>
      <c r="C25" s="17" t="s">
        <v>217</v>
      </c>
      <c r="D25" s="17" t="s">
        <v>218</v>
      </c>
    </row>
    <row r="26" spans="1:4" s="25" customFormat="1" ht="51.95" customHeight="1" x14ac:dyDescent="0.6">
      <c r="A26" s="33"/>
      <c r="B26" s="17" t="s">
        <v>219</v>
      </c>
      <c r="C26" s="17" t="s">
        <v>220</v>
      </c>
      <c r="D26" s="17" t="s">
        <v>221</v>
      </c>
    </row>
    <row r="27" spans="1:4" s="25" customFormat="1" ht="51.95" customHeight="1" x14ac:dyDescent="0.6">
      <c r="A27" s="33"/>
      <c r="B27" s="17" t="s">
        <v>222</v>
      </c>
      <c r="C27" s="17" t="s">
        <v>223</v>
      </c>
      <c r="D27" s="17" t="s">
        <v>224</v>
      </c>
    </row>
    <row r="28" spans="1:4" s="25" customFormat="1" ht="51.95" customHeight="1" x14ac:dyDescent="0.6">
      <c r="A28" s="33"/>
      <c r="B28" s="17" t="s">
        <v>225</v>
      </c>
      <c r="C28" s="17" t="s">
        <v>226</v>
      </c>
      <c r="D28" s="17" t="s">
        <v>227</v>
      </c>
    </row>
    <row r="29" spans="1:4" ht="20.100000000000001" customHeight="1" x14ac:dyDescent="0.6"/>
    <row r="30" spans="1:4" ht="20.100000000000001" customHeight="1" x14ac:dyDescent="0.6">
      <c r="A30" s="30" t="s">
        <v>116</v>
      </c>
      <c r="B30" s="30"/>
      <c r="C30" s="30"/>
      <c r="D30" s="30"/>
    </row>
    <row r="31" spans="1:4" ht="20.100000000000001" customHeight="1" x14ac:dyDescent="0.6">
      <c r="A31" s="26"/>
      <c r="B31" s="26"/>
    </row>
    <row r="32" spans="1:4" s="25" customFormat="1" ht="39.950000000000003" customHeight="1" x14ac:dyDescent="0.6">
      <c r="A32" s="21" t="s">
        <v>117</v>
      </c>
      <c r="B32" s="39" t="s">
        <v>228</v>
      </c>
      <c r="C32" s="40"/>
      <c r="D32" s="41"/>
    </row>
    <row r="33" spans="1:4" s="25" customFormat="1" ht="39.950000000000003" customHeight="1" x14ac:dyDescent="0.6">
      <c r="A33" s="21" t="s">
        <v>118</v>
      </c>
      <c r="B33" s="39" t="s">
        <v>229</v>
      </c>
      <c r="C33" s="40"/>
      <c r="D33" s="41"/>
    </row>
    <row r="34" spans="1:4" s="25" customFormat="1" ht="39.950000000000003" customHeight="1" x14ac:dyDescent="0.6">
      <c r="A34" s="21" t="s">
        <v>119</v>
      </c>
      <c r="B34" s="39" t="s">
        <v>230</v>
      </c>
      <c r="C34" s="40"/>
      <c r="D34" s="41"/>
    </row>
    <row r="35" spans="1:4" s="25" customFormat="1" ht="51.95" customHeight="1" x14ac:dyDescent="0.6">
      <c r="A35" s="21" t="s">
        <v>120</v>
      </c>
      <c r="B35" s="39" t="s">
        <v>231</v>
      </c>
      <c r="C35" s="40"/>
      <c r="D35" s="41"/>
    </row>
    <row r="36" spans="1:4" ht="20.100000000000001" customHeight="1" x14ac:dyDescent="0.6"/>
    <row r="37" spans="1:4" ht="20.100000000000001" customHeight="1" x14ac:dyDescent="0.6">
      <c r="A37" s="30" t="s">
        <v>121</v>
      </c>
      <c r="B37" s="30"/>
      <c r="C37" s="30"/>
      <c r="D37" s="30"/>
    </row>
    <row r="38" spans="1:4" ht="20.100000000000001" customHeight="1" x14ac:dyDescent="0.6"/>
    <row r="39" spans="1:4" ht="20.100000000000001" customHeight="1" x14ac:dyDescent="0.6">
      <c r="A39" s="18" t="s">
        <v>109</v>
      </c>
      <c r="B39" s="18" t="s">
        <v>54</v>
      </c>
      <c r="C39" s="18" t="s">
        <v>122</v>
      </c>
      <c r="D39" s="18" t="s">
        <v>123</v>
      </c>
    </row>
    <row r="40" spans="1:4" s="25" customFormat="1" ht="51.95" customHeight="1" x14ac:dyDescent="0.6">
      <c r="A40" s="5" t="s">
        <v>62</v>
      </c>
      <c r="B40" s="7" t="s">
        <v>63</v>
      </c>
      <c r="C40" s="20" t="s">
        <v>232</v>
      </c>
      <c r="D40" s="19" t="s">
        <v>197</v>
      </c>
    </row>
    <row r="41" spans="1:4" s="25" customFormat="1" ht="51.95" customHeight="1" x14ac:dyDescent="0.6">
      <c r="A41" s="5" t="s">
        <v>68</v>
      </c>
      <c r="B41" s="7" t="s">
        <v>69</v>
      </c>
      <c r="C41" s="20" t="s">
        <v>233</v>
      </c>
      <c r="D41" s="19" t="s">
        <v>198</v>
      </c>
    </row>
    <row r="42" spans="1:4" s="25" customFormat="1" ht="51.95" customHeight="1" x14ac:dyDescent="0.6">
      <c r="A42" s="5" t="s">
        <v>74</v>
      </c>
      <c r="B42" s="7" t="s">
        <v>75</v>
      </c>
      <c r="C42" s="20" t="s">
        <v>234</v>
      </c>
      <c r="D42" s="19" t="s">
        <v>198</v>
      </c>
    </row>
    <row r="43" spans="1:4" s="25" customFormat="1" ht="51.95" customHeight="1" x14ac:dyDescent="0.6">
      <c r="A43" s="5" t="s">
        <v>80</v>
      </c>
      <c r="B43" s="7" t="s">
        <v>81</v>
      </c>
      <c r="C43" s="20" t="s">
        <v>235</v>
      </c>
      <c r="D43" s="19" t="s">
        <v>200</v>
      </c>
    </row>
    <row r="44" spans="1:4" s="25" customFormat="1" ht="51.95" customHeight="1" x14ac:dyDescent="0.6">
      <c r="A44" s="5" t="s">
        <v>86</v>
      </c>
      <c r="B44" s="7" t="s">
        <v>87</v>
      </c>
      <c r="C44" s="20" t="s">
        <v>236</v>
      </c>
      <c r="D44" s="19" t="s">
        <v>200</v>
      </c>
    </row>
    <row r="45" spans="1:4" s="25" customFormat="1" ht="51.95" customHeight="1" x14ac:dyDescent="0.6">
      <c r="A45" s="5" t="s">
        <v>92</v>
      </c>
      <c r="B45" s="7" t="s">
        <v>93</v>
      </c>
      <c r="C45" s="20" t="s">
        <v>237</v>
      </c>
      <c r="D45" s="19" t="s">
        <v>202</v>
      </c>
    </row>
    <row r="46" spans="1:4" s="25" customFormat="1" ht="51.95" customHeight="1" x14ac:dyDescent="0.6">
      <c r="A46" s="5" t="s">
        <v>98</v>
      </c>
      <c r="B46" s="7" t="s">
        <v>99</v>
      </c>
      <c r="C46" s="20" t="s">
        <v>238</v>
      </c>
      <c r="D46" s="19" t="s">
        <v>204</v>
      </c>
    </row>
    <row r="47" spans="1:4" ht="50.1" customHeight="1" x14ac:dyDescent="0.6">
      <c r="A47" s="26"/>
      <c r="B47" s="26"/>
    </row>
    <row r="48" spans="1:4" ht="50.1" customHeight="1" x14ac:dyDescent="0.6"/>
    <row r="49" ht="50.1" customHeight="1" x14ac:dyDescent="0.6"/>
    <row r="50" ht="50.1" customHeight="1" x14ac:dyDescent="0.6"/>
    <row r="51" ht="50.1" customHeight="1" x14ac:dyDescent="0.6"/>
    <row r="52" ht="20.100000000000001" customHeight="1" x14ac:dyDescent="0.6"/>
    <row r="53" ht="20.100000000000001" customHeight="1" x14ac:dyDescent="0.6"/>
    <row r="54" ht="20.100000000000001" customHeight="1" x14ac:dyDescent="0.6"/>
    <row r="55" ht="20.100000000000001" customHeight="1" x14ac:dyDescent="0.6"/>
    <row r="56" ht="20.100000000000001" customHeight="1" x14ac:dyDescent="0.6"/>
    <row r="57" ht="20.100000000000001" customHeight="1" x14ac:dyDescent="0.6"/>
    <row r="58" ht="20.100000000000001" customHeight="1" x14ac:dyDescent="0.6"/>
    <row r="59" ht="20.100000000000001" customHeight="1" x14ac:dyDescent="0.6"/>
    <row r="60" ht="20.100000000000001" customHeight="1" x14ac:dyDescent="0.6"/>
    <row r="61" ht="20.100000000000001" customHeight="1" x14ac:dyDescent="0.6"/>
    <row r="62" ht="20.100000000000001" customHeight="1" x14ac:dyDescent="0.6"/>
    <row r="63" ht="20.100000000000001" customHeight="1" x14ac:dyDescent="0.6"/>
    <row r="64" ht="20.100000000000001" customHeight="1" x14ac:dyDescent="0.6"/>
    <row r="65" ht="20.100000000000001" customHeight="1" x14ac:dyDescent="0.6"/>
    <row r="66" ht="20.100000000000001" customHeight="1" x14ac:dyDescent="0.6"/>
    <row r="67" ht="20.100000000000001" customHeight="1" x14ac:dyDescent="0.6"/>
    <row r="68" ht="20.100000000000001" customHeight="1" x14ac:dyDescent="0.6"/>
    <row r="69" ht="20.100000000000001" customHeight="1" x14ac:dyDescent="0.6"/>
    <row r="70" ht="20.100000000000001" customHeight="1" x14ac:dyDescent="0.6"/>
    <row r="71" ht="20.100000000000001" customHeight="1" x14ac:dyDescent="0.6"/>
    <row r="72" ht="20.100000000000001" customHeight="1" x14ac:dyDescent="0.6"/>
    <row r="73" ht="20.100000000000001" customHeight="1" x14ac:dyDescent="0.6"/>
    <row r="74" ht="20.100000000000001" customHeight="1" x14ac:dyDescent="0.6"/>
    <row r="75" ht="20.100000000000001" customHeight="1" x14ac:dyDescent="0.6"/>
    <row r="76" ht="20.100000000000001" customHeight="1" x14ac:dyDescent="0.6"/>
    <row r="77" ht="20.100000000000001" customHeight="1" x14ac:dyDescent="0.6"/>
    <row r="78" ht="20.100000000000001" customHeight="1" x14ac:dyDescent="0.6"/>
    <row r="79" ht="20.100000000000001" customHeight="1" x14ac:dyDescent="0.6"/>
    <row r="80" ht="20.100000000000001" customHeight="1" x14ac:dyDescent="0.6"/>
    <row r="81" ht="20.100000000000001" customHeight="1" x14ac:dyDescent="0.6"/>
    <row r="82" ht="20.100000000000001" customHeight="1" x14ac:dyDescent="0.6"/>
    <row r="83" ht="20.100000000000001" customHeight="1" x14ac:dyDescent="0.6"/>
    <row r="84" ht="20.100000000000001" customHeight="1" x14ac:dyDescent="0.6"/>
    <row r="85" ht="20.100000000000001" customHeight="1" x14ac:dyDescent="0.6"/>
    <row r="86" ht="20.100000000000001" customHeight="1" x14ac:dyDescent="0.6"/>
    <row r="87" ht="20.100000000000001" customHeight="1" x14ac:dyDescent="0.6"/>
    <row r="88" ht="20.100000000000001" customHeight="1" x14ac:dyDescent="0.6"/>
    <row r="89" ht="20.100000000000001" customHeight="1" x14ac:dyDescent="0.6"/>
    <row r="90" ht="20.100000000000001" customHeight="1" x14ac:dyDescent="0.6"/>
    <row r="91" ht="20.100000000000001" customHeight="1" x14ac:dyDescent="0.6"/>
    <row r="92" ht="20.100000000000001" customHeight="1" x14ac:dyDescent="0.6"/>
    <row r="93" ht="20.100000000000001" customHeight="1" x14ac:dyDescent="0.6"/>
    <row r="94" ht="20.100000000000001" customHeight="1" x14ac:dyDescent="0.6"/>
    <row r="95" ht="20.100000000000001" customHeight="1" x14ac:dyDescent="0.6"/>
    <row r="96" ht="20.100000000000001" customHeight="1" x14ac:dyDescent="0.6"/>
    <row r="97" ht="20.100000000000001" customHeight="1" x14ac:dyDescent="0.6"/>
    <row r="98" ht="20.100000000000001" customHeight="1" x14ac:dyDescent="0.6"/>
  </sheetData>
  <mergeCells count="16">
    <mergeCell ref="A37:D37"/>
    <mergeCell ref="A10:D10"/>
    <mergeCell ref="A21:D21"/>
    <mergeCell ref="A24:A28"/>
    <mergeCell ref="A1:D1"/>
    <mergeCell ref="A3:D3"/>
    <mergeCell ref="A5:A8"/>
    <mergeCell ref="C5:D5"/>
    <mergeCell ref="C6:D6"/>
    <mergeCell ref="C7:D7"/>
    <mergeCell ref="C8:D8"/>
    <mergeCell ref="A30:D30"/>
    <mergeCell ref="B32:D32"/>
    <mergeCell ref="B33:D33"/>
    <mergeCell ref="B34:D34"/>
    <mergeCell ref="B35:D35"/>
  </mergeCells>
  <phoneticPr fontId="2" type="noConversion"/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3BA786F-0735-404C-A7A0-D594122BFDFD}">
          <x14:formula1>
            <xm:f>'1_분류체계(Taxonomy)'!$A$2:$A$15</xm:f>
          </x14:formula1>
          <xm:sqref>C5:D5</xm:sqref>
        </x14:dataValidation>
        <x14:dataValidation type="list" allowBlank="1" showInputMessage="1" showErrorMessage="1" xr:uid="{CD8826C0-0D6F-479D-B737-27C93929FF40}">
          <x14:formula1>
            <xm:f>'1_분류체계(Taxonomy)'!$B$2:$B$15</xm:f>
          </x14:formula1>
          <xm:sqref>C6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4996-FDE7-4B71-A880-78CE87FAF396}">
  <dimension ref="A1:D98"/>
  <sheetViews>
    <sheetView zoomScale="85" zoomScaleNormal="85" workbookViewId="0">
      <selection sqref="A1:D1"/>
    </sheetView>
  </sheetViews>
  <sheetFormatPr defaultRowHeight="16.899999999999999" x14ac:dyDescent="0.6"/>
  <cols>
    <col min="1" max="2" width="19.625" customWidth="1"/>
    <col min="3" max="3" width="56" customWidth="1"/>
    <col min="4" max="4" width="40.625" customWidth="1"/>
  </cols>
  <sheetData>
    <row r="1" spans="1:4" ht="20.100000000000001" customHeight="1" x14ac:dyDescent="0.6">
      <c r="A1" s="31" t="s">
        <v>491</v>
      </c>
      <c r="B1" s="31"/>
      <c r="C1" s="31"/>
      <c r="D1" s="31"/>
    </row>
    <row r="2" spans="1:4" ht="20.100000000000001" customHeight="1" x14ac:dyDescent="0.6"/>
    <row r="3" spans="1:4" ht="20.100000000000001" customHeight="1" x14ac:dyDescent="0.6">
      <c r="A3" s="30" t="s">
        <v>104</v>
      </c>
      <c r="B3" s="30"/>
      <c r="C3" s="30"/>
      <c r="D3" s="30"/>
    </row>
    <row r="4" spans="1:4" ht="20.100000000000001" customHeight="1" x14ac:dyDescent="0.6"/>
    <row r="5" spans="1:4" s="6" customFormat="1" ht="39.950000000000003" customHeight="1" x14ac:dyDescent="0.6">
      <c r="A5" s="36" t="s">
        <v>105</v>
      </c>
      <c r="B5" s="3" t="s">
        <v>0</v>
      </c>
      <c r="C5" s="42" t="s">
        <v>17</v>
      </c>
      <c r="D5" s="42"/>
    </row>
    <row r="6" spans="1:4" s="6" customFormat="1" ht="39.950000000000003" customHeight="1" x14ac:dyDescent="0.6">
      <c r="A6" s="37"/>
      <c r="B6" s="3" t="s">
        <v>1</v>
      </c>
      <c r="C6" s="43" t="s">
        <v>239</v>
      </c>
      <c r="D6" s="44"/>
    </row>
    <row r="7" spans="1:4" s="6" customFormat="1" ht="39.950000000000003" customHeight="1" x14ac:dyDescent="0.6">
      <c r="A7" s="37"/>
      <c r="B7" s="3" t="s">
        <v>106</v>
      </c>
      <c r="C7" s="43" t="str">
        <f>VLOOKUP(C6,'1_분류체계(Taxonomy)'!$B$1:$E$15,2,FALSE)</f>
        <v>BS_SW</v>
      </c>
      <c r="D7" s="44"/>
    </row>
    <row r="8" spans="1:4" s="6" customFormat="1" ht="39.950000000000003" customHeight="1" x14ac:dyDescent="0.6">
      <c r="A8" s="38"/>
      <c r="B8" s="3" t="s">
        <v>107</v>
      </c>
      <c r="C8" s="45" t="s">
        <v>240</v>
      </c>
      <c r="D8" s="45"/>
    </row>
    <row r="9" spans="1:4" ht="20.100000000000001" customHeight="1" x14ac:dyDescent="0.6"/>
    <row r="10" spans="1:4" ht="20.100000000000001" customHeight="1" x14ac:dyDescent="0.6">
      <c r="A10" s="30" t="s">
        <v>108</v>
      </c>
      <c r="B10" s="30"/>
      <c r="C10" s="30"/>
      <c r="D10" s="30"/>
    </row>
    <row r="11" spans="1:4" ht="20.100000000000001" customHeight="1" x14ac:dyDescent="0.6"/>
    <row r="12" spans="1:4" ht="19.5" customHeight="1" x14ac:dyDescent="0.6">
      <c r="A12" s="4" t="s">
        <v>109</v>
      </c>
      <c r="B12" s="4" t="s">
        <v>54</v>
      </c>
      <c r="C12" s="4" t="s">
        <v>110</v>
      </c>
      <c r="D12" s="4" t="s">
        <v>111</v>
      </c>
    </row>
    <row r="13" spans="1:4" s="6" customFormat="1" ht="51.95" customHeight="1" x14ac:dyDescent="0.6">
      <c r="A13" s="5" t="s">
        <v>62</v>
      </c>
      <c r="B13" s="7" t="s">
        <v>63</v>
      </c>
      <c r="C13" s="11" t="s">
        <v>241</v>
      </c>
      <c r="D13" s="11" t="s">
        <v>242</v>
      </c>
    </row>
    <row r="14" spans="1:4" s="6" customFormat="1" ht="51.95" customHeight="1" x14ac:dyDescent="0.6">
      <c r="A14" s="5" t="s">
        <v>68</v>
      </c>
      <c r="B14" s="7" t="s">
        <v>69</v>
      </c>
      <c r="C14" s="11" t="s">
        <v>243</v>
      </c>
      <c r="D14" s="11" t="s">
        <v>244</v>
      </c>
    </row>
    <row r="15" spans="1:4" s="6" customFormat="1" ht="51.95" customHeight="1" x14ac:dyDescent="0.6">
      <c r="A15" s="5" t="s">
        <v>74</v>
      </c>
      <c r="B15" s="7" t="s">
        <v>75</v>
      </c>
      <c r="C15" s="11" t="s">
        <v>245</v>
      </c>
      <c r="D15" s="11" t="s">
        <v>246</v>
      </c>
    </row>
    <row r="16" spans="1:4" s="6" customFormat="1" ht="51.95" customHeight="1" x14ac:dyDescent="0.6">
      <c r="A16" s="5" t="s">
        <v>80</v>
      </c>
      <c r="B16" s="7" t="s">
        <v>81</v>
      </c>
      <c r="C16" s="11" t="s">
        <v>247</v>
      </c>
      <c r="D16" s="11" t="s">
        <v>248</v>
      </c>
    </row>
    <row r="17" spans="1:4" s="6" customFormat="1" ht="51.95" customHeight="1" x14ac:dyDescent="0.6">
      <c r="A17" s="5" t="s">
        <v>86</v>
      </c>
      <c r="B17" s="7" t="s">
        <v>87</v>
      </c>
      <c r="C17" s="11" t="s">
        <v>249</v>
      </c>
      <c r="D17" s="11" t="s">
        <v>250</v>
      </c>
    </row>
    <row r="18" spans="1:4" s="6" customFormat="1" ht="51.95" customHeight="1" x14ac:dyDescent="0.6">
      <c r="A18" s="5" t="s">
        <v>92</v>
      </c>
      <c r="B18" s="7" t="s">
        <v>93</v>
      </c>
      <c r="C18" s="11" t="s">
        <v>251</v>
      </c>
      <c r="D18" s="11" t="s">
        <v>252</v>
      </c>
    </row>
    <row r="19" spans="1:4" s="6" customFormat="1" ht="51.95" customHeight="1" x14ac:dyDescent="0.6">
      <c r="A19" s="5" t="s">
        <v>98</v>
      </c>
      <c r="B19" s="7" t="s">
        <v>99</v>
      </c>
      <c r="C19" s="11" t="s">
        <v>253</v>
      </c>
      <c r="D19" s="11" t="s">
        <v>254</v>
      </c>
    </row>
    <row r="20" spans="1:4" ht="20.100000000000001" customHeight="1" x14ac:dyDescent="0.6"/>
    <row r="21" spans="1:4" ht="20.100000000000001" customHeight="1" x14ac:dyDescent="0.6">
      <c r="A21" s="30" t="s">
        <v>112</v>
      </c>
      <c r="B21" s="30"/>
      <c r="C21" s="30"/>
      <c r="D21" s="30"/>
    </row>
    <row r="22" spans="1:4" ht="20.100000000000001" customHeight="1" x14ac:dyDescent="0.6"/>
    <row r="23" spans="1:4" ht="20.100000000000001" customHeight="1" x14ac:dyDescent="0.6">
      <c r="A23" s="4" t="s">
        <v>3</v>
      </c>
      <c r="B23" s="4" t="s">
        <v>113</v>
      </c>
      <c r="C23" s="4" t="s">
        <v>114</v>
      </c>
      <c r="D23" s="4" t="s">
        <v>115</v>
      </c>
    </row>
    <row r="24" spans="1:4" s="6" customFormat="1" ht="51.95" customHeight="1" x14ac:dyDescent="0.6">
      <c r="A24" s="45" t="s">
        <v>24</v>
      </c>
      <c r="B24" s="1" t="s">
        <v>255</v>
      </c>
      <c r="C24" s="1" t="s">
        <v>256</v>
      </c>
      <c r="D24" s="1" t="s">
        <v>257</v>
      </c>
    </row>
    <row r="25" spans="1:4" s="6" customFormat="1" ht="51.95" customHeight="1" x14ac:dyDescent="0.6">
      <c r="A25" s="45"/>
      <c r="B25" s="1" t="s">
        <v>258</v>
      </c>
      <c r="C25" s="1" t="s">
        <v>259</v>
      </c>
      <c r="D25" s="1" t="s">
        <v>260</v>
      </c>
    </row>
    <row r="26" spans="1:4" s="6" customFormat="1" ht="51.95" customHeight="1" x14ac:dyDescent="0.6">
      <c r="A26" s="45"/>
      <c r="B26" s="1" t="s">
        <v>261</v>
      </c>
      <c r="C26" s="1" t="s">
        <v>262</v>
      </c>
      <c r="D26" s="1" t="s">
        <v>263</v>
      </c>
    </row>
    <row r="27" spans="1:4" s="6" customFormat="1" ht="51.95" customHeight="1" x14ac:dyDescent="0.6">
      <c r="A27" s="45"/>
      <c r="B27" s="1" t="s">
        <v>264</v>
      </c>
      <c r="C27" s="1" t="s">
        <v>265</v>
      </c>
      <c r="D27" s="1" t="s">
        <v>266</v>
      </c>
    </row>
    <row r="28" spans="1:4" s="6" customFormat="1" ht="51.95" customHeight="1" x14ac:dyDescent="0.6">
      <c r="A28" s="45"/>
      <c r="B28" s="1" t="s">
        <v>267</v>
      </c>
      <c r="C28" s="1" t="s">
        <v>268</v>
      </c>
      <c r="D28" s="1" t="s">
        <v>269</v>
      </c>
    </row>
    <row r="29" spans="1:4" ht="20.100000000000001" customHeight="1" x14ac:dyDescent="0.6"/>
    <row r="30" spans="1:4" ht="20.100000000000001" customHeight="1" x14ac:dyDescent="0.6">
      <c r="A30" s="30" t="s">
        <v>116</v>
      </c>
      <c r="B30" s="30"/>
      <c r="C30" s="30"/>
      <c r="D30" s="30"/>
    </row>
    <row r="31" spans="1:4" ht="20.100000000000001" customHeight="1" x14ac:dyDescent="0.6">
      <c r="A31" s="2"/>
      <c r="B31" s="2"/>
    </row>
    <row r="32" spans="1:4" s="13" customFormat="1" ht="51.95" customHeight="1" x14ac:dyDescent="0.6">
      <c r="A32" s="8" t="s">
        <v>117</v>
      </c>
      <c r="B32" s="63" t="s">
        <v>503</v>
      </c>
      <c r="C32" s="64"/>
      <c r="D32" s="65"/>
    </row>
    <row r="33" spans="1:4" s="13" customFormat="1" ht="51.95" customHeight="1" x14ac:dyDescent="0.6">
      <c r="A33" s="8" t="s">
        <v>118</v>
      </c>
      <c r="B33" s="63" t="s">
        <v>270</v>
      </c>
      <c r="C33" s="64"/>
      <c r="D33" s="65"/>
    </row>
    <row r="34" spans="1:4" s="13" customFormat="1" ht="51.95" customHeight="1" x14ac:dyDescent="0.6">
      <c r="A34" s="8" t="s">
        <v>119</v>
      </c>
      <c r="B34" s="63" t="s">
        <v>271</v>
      </c>
      <c r="C34" s="64"/>
      <c r="D34" s="65"/>
    </row>
    <row r="35" spans="1:4" s="13" customFormat="1" ht="51.95" customHeight="1" x14ac:dyDescent="0.6">
      <c r="A35" s="8" t="s">
        <v>120</v>
      </c>
      <c r="B35" s="63" t="s">
        <v>272</v>
      </c>
      <c r="C35" s="64"/>
      <c r="D35" s="65"/>
    </row>
    <row r="36" spans="1:4" ht="20.100000000000001" customHeight="1" x14ac:dyDescent="0.6"/>
    <row r="37" spans="1:4" ht="20.100000000000001" customHeight="1" x14ac:dyDescent="0.6">
      <c r="A37" s="30" t="s">
        <v>121</v>
      </c>
      <c r="B37" s="30"/>
      <c r="C37" s="30"/>
      <c r="D37" s="30"/>
    </row>
    <row r="38" spans="1:4" ht="20.100000000000001" customHeight="1" x14ac:dyDescent="0.6"/>
    <row r="39" spans="1:4" ht="20.100000000000001" customHeight="1" x14ac:dyDescent="0.6">
      <c r="A39" s="4" t="s">
        <v>109</v>
      </c>
      <c r="B39" s="4" t="s">
        <v>54</v>
      </c>
      <c r="C39" s="4" t="s">
        <v>122</v>
      </c>
      <c r="D39" s="4" t="s">
        <v>123</v>
      </c>
    </row>
    <row r="40" spans="1:4" s="6" customFormat="1" ht="51.95" customHeight="1" x14ac:dyDescent="0.6">
      <c r="A40" s="5" t="s">
        <v>62</v>
      </c>
      <c r="B40" s="7" t="s">
        <v>63</v>
      </c>
      <c r="C40" s="1" t="s">
        <v>273</v>
      </c>
      <c r="D40" s="9" t="s">
        <v>274</v>
      </c>
    </row>
    <row r="41" spans="1:4" s="6" customFormat="1" ht="51.95" customHeight="1" x14ac:dyDescent="0.6">
      <c r="A41" s="5" t="s">
        <v>68</v>
      </c>
      <c r="B41" s="7" t="s">
        <v>69</v>
      </c>
      <c r="C41" s="1" t="s">
        <v>275</v>
      </c>
      <c r="D41" s="9" t="s">
        <v>276</v>
      </c>
    </row>
    <row r="42" spans="1:4" s="6" customFormat="1" ht="51.95" customHeight="1" x14ac:dyDescent="0.6">
      <c r="A42" s="5" t="s">
        <v>74</v>
      </c>
      <c r="B42" s="7" t="s">
        <v>75</v>
      </c>
      <c r="C42" s="1" t="s">
        <v>277</v>
      </c>
      <c r="D42" s="9" t="s">
        <v>278</v>
      </c>
    </row>
    <row r="43" spans="1:4" s="6" customFormat="1" ht="51.95" customHeight="1" x14ac:dyDescent="0.6">
      <c r="A43" s="5" t="s">
        <v>80</v>
      </c>
      <c r="B43" s="7" t="s">
        <v>81</v>
      </c>
      <c r="C43" s="1" t="s">
        <v>279</v>
      </c>
      <c r="D43" s="9" t="s">
        <v>280</v>
      </c>
    </row>
    <row r="44" spans="1:4" s="6" customFormat="1" ht="51.95" customHeight="1" x14ac:dyDescent="0.6">
      <c r="A44" s="5" t="s">
        <v>86</v>
      </c>
      <c r="B44" s="7" t="s">
        <v>87</v>
      </c>
      <c r="C44" s="1" t="s">
        <v>281</v>
      </c>
      <c r="D44" s="9" t="s">
        <v>282</v>
      </c>
    </row>
    <row r="45" spans="1:4" s="6" customFormat="1" ht="51.95" customHeight="1" x14ac:dyDescent="0.6">
      <c r="A45" s="5" t="s">
        <v>92</v>
      </c>
      <c r="B45" s="7" t="s">
        <v>93</v>
      </c>
      <c r="C45" s="1" t="s">
        <v>283</v>
      </c>
      <c r="D45" s="9" t="s">
        <v>284</v>
      </c>
    </row>
    <row r="46" spans="1:4" s="6" customFormat="1" ht="51.95" customHeight="1" x14ac:dyDescent="0.6">
      <c r="A46" s="5" t="s">
        <v>98</v>
      </c>
      <c r="B46" s="7" t="s">
        <v>99</v>
      </c>
      <c r="C46" s="1" t="s">
        <v>285</v>
      </c>
      <c r="D46" s="9" t="s">
        <v>286</v>
      </c>
    </row>
    <row r="47" spans="1:4" ht="50.1" customHeight="1" x14ac:dyDescent="0.6">
      <c r="A47" s="2"/>
      <c r="B47" s="2"/>
    </row>
    <row r="48" spans="1:4" ht="50.1" customHeight="1" x14ac:dyDescent="0.6"/>
    <row r="49" ht="50.1" customHeight="1" x14ac:dyDescent="0.6"/>
    <row r="50" ht="50.1" customHeight="1" x14ac:dyDescent="0.6"/>
    <row r="51" ht="50.1" customHeight="1" x14ac:dyDescent="0.6"/>
    <row r="52" ht="20.100000000000001" customHeight="1" x14ac:dyDescent="0.6"/>
    <row r="53" ht="20.100000000000001" customHeight="1" x14ac:dyDescent="0.6"/>
    <row r="54" ht="20.100000000000001" customHeight="1" x14ac:dyDescent="0.6"/>
    <row r="55" ht="20.100000000000001" customHeight="1" x14ac:dyDescent="0.6"/>
    <row r="56" ht="20.100000000000001" customHeight="1" x14ac:dyDescent="0.6"/>
    <row r="57" ht="20.100000000000001" customHeight="1" x14ac:dyDescent="0.6"/>
    <row r="58" ht="20.100000000000001" customHeight="1" x14ac:dyDescent="0.6"/>
    <row r="59" ht="20.100000000000001" customHeight="1" x14ac:dyDescent="0.6"/>
    <row r="60" ht="20.100000000000001" customHeight="1" x14ac:dyDescent="0.6"/>
    <row r="61" ht="20.100000000000001" customHeight="1" x14ac:dyDescent="0.6"/>
    <row r="62" ht="20.100000000000001" customHeight="1" x14ac:dyDescent="0.6"/>
    <row r="63" ht="20.100000000000001" customHeight="1" x14ac:dyDescent="0.6"/>
    <row r="64" ht="20.100000000000001" customHeight="1" x14ac:dyDescent="0.6"/>
    <row r="65" ht="20.100000000000001" customHeight="1" x14ac:dyDescent="0.6"/>
    <row r="66" ht="20.100000000000001" customHeight="1" x14ac:dyDescent="0.6"/>
    <row r="67" ht="20.100000000000001" customHeight="1" x14ac:dyDescent="0.6"/>
    <row r="68" ht="20.100000000000001" customHeight="1" x14ac:dyDescent="0.6"/>
    <row r="69" ht="20.100000000000001" customHeight="1" x14ac:dyDescent="0.6"/>
    <row r="70" ht="20.100000000000001" customHeight="1" x14ac:dyDescent="0.6"/>
    <row r="71" ht="20.100000000000001" customHeight="1" x14ac:dyDescent="0.6"/>
    <row r="72" ht="20.100000000000001" customHeight="1" x14ac:dyDescent="0.6"/>
    <row r="73" ht="20.100000000000001" customHeight="1" x14ac:dyDescent="0.6"/>
    <row r="74" ht="20.100000000000001" customHeight="1" x14ac:dyDescent="0.6"/>
    <row r="75" ht="20.100000000000001" customHeight="1" x14ac:dyDescent="0.6"/>
    <row r="76" ht="20.100000000000001" customHeight="1" x14ac:dyDescent="0.6"/>
    <row r="77" ht="20.100000000000001" customHeight="1" x14ac:dyDescent="0.6"/>
    <row r="78" ht="20.100000000000001" customHeight="1" x14ac:dyDescent="0.6"/>
    <row r="79" ht="20.100000000000001" customHeight="1" x14ac:dyDescent="0.6"/>
    <row r="80" ht="20.100000000000001" customHeight="1" x14ac:dyDescent="0.6"/>
    <row r="81" ht="20.100000000000001" customHeight="1" x14ac:dyDescent="0.6"/>
    <row r="82" ht="20.100000000000001" customHeight="1" x14ac:dyDescent="0.6"/>
    <row r="83" ht="20.100000000000001" customHeight="1" x14ac:dyDescent="0.6"/>
    <row r="84" ht="20.100000000000001" customHeight="1" x14ac:dyDescent="0.6"/>
    <row r="85" ht="20.100000000000001" customHeight="1" x14ac:dyDescent="0.6"/>
    <row r="86" ht="20.100000000000001" customHeight="1" x14ac:dyDescent="0.6"/>
    <row r="87" ht="20.100000000000001" customHeight="1" x14ac:dyDescent="0.6"/>
    <row r="88" ht="20.100000000000001" customHeight="1" x14ac:dyDescent="0.6"/>
    <row r="89" ht="20.100000000000001" customHeight="1" x14ac:dyDescent="0.6"/>
    <row r="90" ht="20.100000000000001" customHeight="1" x14ac:dyDescent="0.6"/>
    <row r="91" ht="20.100000000000001" customHeight="1" x14ac:dyDescent="0.6"/>
    <row r="92" ht="20.100000000000001" customHeight="1" x14ac:dyDescent="0.6"/>
    <row r="93" ht="20.100000000000001" customHeight="1" x14ac:dyDescent="0.6"/>
    <row r="94" ht="20.100000000000001" customHeight="1" x14ac:dyDescent="0.6"/>
    <row r="95" ht="20.100000000000001" customHeight="1" x14ac:dyDescent="0.6"/>
    <row r="96" ht="20.100000000000001" customHeight="1" x14ac:dyDescent="0.6"/>
    <row r="97" ht="20.100000000000001" customHeight="1" x14ac:dyDescent="0.6"/>
    <row r="98" ht="20.100000000000001" customHeight="1" x14ac:dyDescent="0.6"/>
  </sheetData>
  <mergeCells count="16">
    <mergeCell ref="B34:D34"/>
    <mergeCell ref="B35:D35"/>
    <mergeCell ref="A37:D37"/>
    <mergeCell ref="A10:D10"/>
    <mergeCell ref="A21:D21"/>
    <mergeCell ref="A24:A28"/>
    <mergeCell ref="A30:D30"/>
    <mergeCell ref="B32:D32"/>
    <mergeCell ref="B33:D33"/>
    <mergeCell ref="A1:D1"/>
    <mergeCell ref="A3:D3"/>
    <mergeCell ref="A5:A8"/>
    <mergeCell ref="C5:D5"/>
    <mergeCell ref="C6:D6"/>
    <mergeCell ref="C7:D7"/>
    <mergeCell ref="C8:D8"/>
  </mergeCells>
  <phoneticPr fontId="2" type="noConversion"/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2498D3D-7CC3-4B7E-819F-2DA1EF20E402}">
          <x14:formula1>
            <xm:f>'1_분류체계(Taxonomy)'!$B$2:$B$15</xm:f>
          </x14:formula1>
          <xm:sqref>C6</xm:sqref>
        </x14:dataValidation>
        <x14:dataValidation type="list" allowBlank="1" showInputMessage="1" showErrorMessage="1" xr:uid="{48446124-FED0-426D-962A-79D197661D5F}">
          <x14:formula1>
            <xm:f>'1_분류체계(Taxonomy)'!$A$2:$A$15</xm:f>
          </x14:formula1>
          <xm:sqref>C5:D5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AB0F-E243-43D8-A619-A2F66605CDC2}">
  <dimension ref="A1:D107"/>
  <sheetViews>
    <sheetView zoomScale="85" zoomScaleNormal="85" workbookViewId="0">
      <selection sqref="A1:D1"/>
    </sheetView>
  </sheetViews>
  <sheetFormatPr defaultRowHeight="16.899999999999999" x14ac:dyDescent="0.6"/>
  <cols>
    <col min="1" max="2" width="19.625" customWidth="1"/>
    <col min="3" max="3" width="56" customWidth="1"/>
    <col min="4" max="4" width="40.625" customWidth="1"/>
    <col min="6" max="6" width="9" customWidth="1"/>
  </cols>
  <sheetData>
    <row r="1" spans="1:4" ht="20.100000000000001" customHeight="1" x14ac:dyDescent="0.6">
      <c r="A1" s="31" t="s">
        <v>491</v>
      </c>
      <c r="B1" s="31"/>
      <c r="C1" s="31"/>
      <c r="D1" s="31"/>
    </row>
    <row r="2" spans="1:4" ht="20.100000000000001" customHeight="1" x14ac:dyDescent="0.6"/>
    <row r="3" spans="1:4" ht="20.100000000000001" customHeight="1" x14ac:dyDescent="0.6">
      <c r="A3" s="30" t="s">
        <v>104</v>
      </c>
      <c r="B3" s="30"/>
      <c r="C3" s="30"/>
      <c r="D3" s="30"/>
    </row>
    <row r="4" spans="1:4" ht="20.100000000000001" customHeight="1" x14ac:dyDescent="0.6"/>
    <row r="5" spans="1:4" s="6" customFormat="1" ht="39.950000000000003" customHeight="1" x14ac:dyDescent="0.6">
      <c r="A5" s="36" t="s">
        <v>105</v>
      </c>
      <c r="B5" s="3" t="s">
        <v>0</v>
      </c>
      <c r="C5" s="42" t="s">
        <v>26</v>
      </c>
      <c r="D5" s="42"/>
    </row>
    <row r="6" spans="1:4" s="6" customFormat="1" ht="39.950000000000003" customHeight="1" x14ac:dyDescent="0.6">
      <c r="A6" s="37"/>
      <c r="B6" s="3" t="s">
        <v>1</v>
      </c>
      <c r="C6" s="43" t="s">
        <v>287</v>
      </c>
      <c r="D6" s="44"/>
    </row>
    <row r="7" spans="1:4" s="6" customFormat="1" ht="39.950000000000003" customHeight="1" x14ac:dyDescent="0.6">
      <c r="A7" s="37"/>
      <c r="B7" s="3" t="s">
        <v>106</v>
      </c>
      <c r="C7" s="43" t="str">
        <f>VLOOKUP(C6,'1_분류체계(Taxonomy)'!$B$1:$E$15,2,FALSE)</f>
        <v>BS_BIM</v>
      </c>
      <c r="D7" s="44"/>
    </row>
    <row r="8" spans="1:4" s="6" customFormat="1" ht="39.950000000000003" customHeight="1" x14ac:dyDescent="0.6">
      <c r="A8" s="38"/>
      <c r="B8" s="3" t="s">
        <v>107</v>
      </c>
      <c r="C8" s="45" t="s">
        <v>288</v>
      </c>
      <c r="D8" s="45"/>
    </row>
    <row r="9" spans="1:4" ht="20.100000000000001" customHeight="1" x14ac:dyDescent="0.6"/>
    <row r="10" spans="1:4" ht="20.100000000000001" customHeight="1" x14ac:dyDescent="0.6">
      <c r="A10" s="30" t="s">
        <v>108</v>
      </c>
      <c r="B10" s="30"/>
      <c r="C10" s="30"/>
      <c r="D10" s="30"/>
    </row>
    <row r="11" spans="1:4" ht="20.100000000000001" customHeight="1" x14ac:dyDescent="0.6"/>
    <row r="12" spans="1:4" ht="19.5" customHeight="1" x14ac:dyDescent="0.6">
      <c r="A12" s="4" t="s">
        <v>109</v>
      </c>
      <c r="B12" s="4" t="s">
        <v>54</v>
      </c>
      <c r="C12" s="4" t="s">
        <v>110</v>
      </c>
      <c r="D12" s="4" t="s">
        <v>111</v>
      </c>
    </row>
    <row r="13" spans="1:4" s="6" customFormat="1" ht="50.1" customHeight="1" x14ac:dyDescent="0.6">
      <c r="A13" s="5" t="s">
        <v>62</v>
      </c>
      <c r="B13" s="7" t="s">
        <v>63</v>
      </c>
      <c r="C13" s="11" t="s">
        <v>289</v>
      </c>
      <c r="D13" s="11" t="s">
        <v>290</v>
      </c>
    </row>
    <row r="14" spans="1:4" s="6" customFormat="1" ht="50.1" customHeight="1" x14ac:dyDescent="0.6">
      <c r="A14" s="5" t="s">
        <v>68</v>
      </c>
      <c r="B14" s="7" t="s">
        <v>69</v>
      </c>
      <c r="C14" s="11" t="s">
        <v>291</v>
      </c>
      <c r="D14" s="11" t="s">
        <v>292</v>
      </c>
    </row>
    <row r="15" spans="1:4" s="6" customFormat="1" ht="50.1" customHeight="1" x14ac:dyDescent="0.6">
      <c r="A15" s="5" t="s">
        <v>74</v>
      </c>
      <c r="B15" s="7" t="s">
        <v>75</v>
      </c>
      <c r="C15" s="11" t="s">
        <v>293</v>
      </c>
      <c r="D15" s="11" t="s">
        <v>294</v>
      </c>
    </row>
    <row r="16" spans="1:4" s="6" customFormat="1" ht="50.1" customHeight="1" x14ac:dyDescent="0.6">
      <c r="A16" s="5" t="s">
        <v>80</v>
      </c>
      <c r="B16" s="7" t="s">
        <v>81</v>
      </c>
      <c r="C16" s="11" t="s">
        <v>295</v>
      </c>
      <c r="D16" s="11" t="s">
        <v>296</v>
      </c>
    </row>
    <row r="17" spans="1:4" s="6" customFormat="1" ht="50.1" customHeight="1" x14ac:dyDescent="0.6">
      <c r="A17" s="5" t="s">
        <v>86</v>
      </c>
      <c r="B17" s="7" t="s">
        <v>87</v>
      </c>
      <c r="C17" s="11" t="s">
        <v>297</v>
      </c>
      <c r="D17" s="11" t="s">
        <v>298</v>
      </c>
    </row>
    <row r="18" spans="1:4" s="6" customFormat="1" ht="50.1" customHeight="1" x14ac:dyDescent="0.6">
      <c r="A18" s="5" t="s">
        <v>92</v>
      </c>
      <c r="B18" s="7" t="s">
        <v>93</v>
      </c>
      <c r="C18" s="11" t="s">
        <v>299</v>
      </c>
      <c r="D18" s="11" t="s">
        <v>300</v>
      </c>
    </row>
    <row r="19" spans="1:4" s="6" customFormat="1" ht="50.1" customHeight="1" x14ac:dyDescent="0.6">
      <c r="A19" s="5" t="s">
        <v>98</v>
      </c>
      <c r="B19" s="7" t="s">
        <v>99</v>
      </c>
      <c r="C19" s="22" t="s">
        <v>301</v>
      </c>
      <c r="D19" s="11" t="s">
        <v>302</v>
      </c>
    </row>
    <row r="20" spans="1:4" ht="20.100000000000001" customHeight="1" x14ac:dyDescent="0.6"/>
    <row r="21" spans="1:4" ht="20.100000000000001" customHeight="1" x14ac:dyDescent="0.6">
      <c r="A21" s="30" t="s">
        <v>112</v>
      </c>
      <c r="B21" s="30"/>
      <c r="C21" s="30"/>
      <c r="D21" s="30"/>
    </row>
    <row r="22" spans="1:4" ht="20.100000000000001" customHeight="1" x14ac:dyDescent="0.6"/>
    <row r="23" spans="1:4" ht="20.100000000000001" customHeight="1" x14ac:dyDescent="0.6">
      <c r="A23" s="4" t="s">
        <v>3</v>
      </c>
      <c r="B23" s="4" t="s">
        <v>113</v>
      </c>
      <c r="C23" s="4" t="s">
        <v>114</v>
      </c>
      <c r="D23" s="4" t="s">
        <v>115</v>
      </c>
    </row>
    <row r="24" spans="1:4" s="6" customFormat="1" ht="51" customHeight="1" x14ac:dyDescent="0.6">
      <c r="A24" s="58" t="s">
        <v>29</v>
      </c>
      <c r="B24" s="66" t="s">
        <v>303</v>
      </c>
      <c r="C24" s="66" t="s">
        <v>504</v>
      </c>
      <c r="D24" s="66" t="s">
        <v>304</v>
      </c>
    </row>
    <row r="25" spans="1:4" s="6" customFormat="1" ht="51" customHeight="1" x14ac:dyDescent="0.6">
      <c r="A25" s="58"/>
      <c r="B25" s="66" t="s">
        <v>305</v>
      </c>
      <c r="C25" s="66" t="s">
        <v>505</v>
      </c>
      <c r="D25" s="66" t="s">
        <v>306</v>
      </c>
    </row>
    <row r="26" spans="1:4" s="6" customFormat="1" ht="51" customHeight="1" x14ac:dyDescent="0.6">
      <c r="A26" s="58"/>
      <c r="B26" s="66" t="s">
        <v>307</v>
      </c>
      <c r="C26" s="66" t="s">
        <v>506</v>
      </c>
      <c r="D26" s="66" t="s">
        <v>308</v>
      </c>
    </row>
    <row r="27" spans="1:4" s="6" customFormat="1" ht="51" customHeight="1" x14ac:dyDescent="0.6">
      <c r="A27" s="58" t="s">
        <v>31</v>
      </c>
      <c r="B27" s="66" t="s">
        <v>309</v>
      </c>
      <c r="C27" s="66" t="s">
        <v>507</v>
      </c>
      <c r="D27" s="66" t="s">
        <v>310</v>
      </c>
    </row>
    <row r="28" spans="1:4" s="6" customFormat="1" ht="51" customHeight="1" x14ac:dyDescent="0.6">
      <c r="A28" s="58"/>
      <c r="B28" s="66" t="s">
        <v>311</v>
      </c>
      <c r="C28" s="66" t="s">
        <v>508</v>
      </c>
      <c r="D28" s="66" t="s">
        <v>509</v>
      </c>
    </row>
    <row r="29" spans="1:4" s="6" customFormat="1" ht="51" customHeight="1" x14ac:dyDescent="0.6">
      <c r="A29" s="58"/>
      <c r="B29" s="66" t="s">
        <v>312</v>
      </c>
      <c r="C29" s="66" t="s">
        <v>510</v>
      </c>
      <c r="D29" s="66" t="s">
        <v>511</v>
      </c>
    </row>
    <row r="30" spans="1:4" s="6" customFormat="1" ht="51" customHeight="1" x14ac:dyDescent="0.6">
      <c r="A30" s="58"/>
      <c r="B30" s="66" t="s">
        <v>313</v>
      </c>
      <c r="C30" s="66" t="s">
        <v>314</v>
      </c>
      <c r="D30" s="66" t="s">
        <v>315</v>
      </c>
    </row>
    <row r="31" spans="1:4" s="6" customFormat="1" ht="51" customHeight="1" x14ac:dyDescent="0.6">
      <c r="A31" s="54" t="s">
        <v>316</v>
      </c>
      <c r="B31" s="66" t="s">
        <v>317</v>
      </c>
      <c r="C31" s="66" t="s">
        <v>318</v>
      </c>
      <c r="D31" s="66" t="s">
        <v>319</v>
      </c>
    </row>
    <row r="32" spans="1:4" s="6" customFormat="1" ht="51" customHeight="1" x14ac:dyDescent="0.6">
      <c r="A32" s="56"/>
      <c r="B32" s="66" t="s">
        <v>313</v>
      </c>
      <c r="C32" s="66" t="s">
        <v>320</v>
      </c>
      <c r="D32" s="66" t="s">
        <v>321</v>
      </c>
    </row>
    <row r="33" spans="1:4" s="6" customFormat="1" ht="67.5" x14ac:dyDescent="0.6">
      <c r="A33" s="56"/>
      <c r="B33" s="66" t="s">
        <v>322</v>
      </c>
      <c r="C33" s="66" t="s">
        <v>323</v>
      </c>
      <c r="D33" s="66" t="s">
        <v>324</v>
      </c>
    </row>
    <row r="34" spans="1:4" s="6" customFormat="1" ht="50.65" x14ac:dyDescent="0.6">
      <c r="A34" s="57"/>
      <c r="B34" s="66" t="s">
        <v>325</v>
      </c>
      <c r="C34" s="66" t="s">
        <v>326</v>
      </c>
      <c r="D34" s="66" t="s">
        <v>327</v>
      </c>
    </row>
    <row r="35" spans="1:4" s="6" customFormat="1" ht="90.75" customHeight="1" x14ac:dyDescent="0.6">
      <c r="A35" s="58" t="s">
        <v>35</v>
      </c>
      <c r="B35" s="67" t="s">
        <v>512</v>
      </c>
      <c r="C35" s="66" t="s">
        <v>513</v>
      </c>
      <c r="D35" s="66" t="s">
        <v>328</v>
      </c>
    </row>
    <row r="36" spans="1:4" s="6" customFormat="1" ht="51" customHeight="1" x14ac:dyDescent="0.6">
      <c r="A36" s="58"/>
      <c r="B36" s="66" t="s">
        <v>329</v>
      </c>
      <c r="C36" s="66" t="s">
        <v>330</v>
      </c>
      <c r="D36" s="66" t="s">
        <v>331</v>
      </c>
    </row>
    <row r="37" spans="1:4" s="6" customFormat="1" ht="51" customHeight="1" x14ac:dyDescent="0.6">
      <c r="A37" s="58"/>
      <c r="B37" s="66" t="s">
        <v>332</v>
      </c>
      <c r="C37" s="66" t="s">
        <v>333</v>
      </c>
      <c r="D37" s="66" t="s">
        <v>334</v>
      </c>
    </row>
    <row r="38" spans="1:4" ht="20.100000000000001" customHeight="1" x14ac:dyDescent="0.6"/>
    <row r="39" spans="1:4" ht="20.100000000000001" customHeight="1" x14ac:dyDescent="0.6">
      <c r="A39" s="30" t="s">
        <v>116</v>
      </c>
      <c r="B39" s="30"/>
      <c r="C39" s="30"/>
      <c r="D39" s="30"/>
    </row>
    <row r="40" spans="1:4" ht="20.100000000000001" customHeight="1" x14ac:dyDescent="0.6">
      <c r="A40" s="2"/>
      <c r="B40" s="2"/>
    </row>
    <row r="41" spans="1:4" s="6" customFormat="1" ht="39.950000000000003" customHeight="1" x14ac:dyDescent="0.6">
      <c r="A41" s="8" t="s">
        <v>117</v>
      </c>
      <c r="B41" s="63" t="s">
        <v>335</v>
      </c>
      <c r="C41" s="64"/>
      <c r="D41" s="65"/>
    </row>
    <row r="42" spans="1:4" s="6" customFormat="1" ht="51" customHeight="1" x14ac:dyDescent="0.6">
      <c r="A42" s="8" t="s">
        <v>118</v>
      </c>
      <c r="B42" s="68" t="s">
        <v>336</v>
      </c>
      <c r="C42" s="69"/>
      <c r="D42" s="70"/>
    </row>
    <row r="43" spans="1:4" s="6" customFormat="1" ht="49.5" customHeight="1" x14ac:dyDescent="0.6">
      <c r="A43" s="8" t="s">
        <v>119</v>
      </c>
      <c r="B43" s="68" t="s">
        <v>514</v>
      </c>
      <c r="C43" s="69"/>
      <c r="D43" s="70"/>
    </row>
    <row r="44" spans="1:4" s="6" customFormat="1" ht="51.75" customHeight="1" x14ac:dyDescent="0.6">
      <c r="A44" s="8" t="s">
        <v>120</v>
      </c>
      <c r="B44" s="68" t="s">
        <v>337</v>
      </c>
      <c r="C44" s="69"/>
      <c r="D44" s="70"/>
    </row>
    <row r="45" spans="1:4" ht="20.100000000000001" customHeight="1" x14ac:dyDescent="0.6"/>
    <row r="46" spans="1:4" ht="20.100000000000001" customHeight="1" x14ac:dyDescent="0.6">
      <c r="A46" s="30" t="s">
        <v>121</v>
      </c>
      <c r="B46" s="30"/>
      <c r="C46" s="30"/>
      <c r="D46" s="30"/>
    </row>
    <row r="47" spans="1:4" ht="20.100000000000001" customHeight="1" x14ac:dyDescent="0.6"/>
    <row r="48" spans="1:4" ht="20.100000000000001" customHeight="1" x14ac:dyDescent="0.6">
      <c r="A48" s="4" t="s">
        <v>109</v>
      </c>
      <c r="B48" s="4" t="s">
        <v>54</v>
      </c>
      <c r="C48" s="4" t="s">
        <v>122</v>
      </c>
      <c r="D48" s="4" t="s">
        <v>123</v>
      </c>
    </row>
    <row r="49" spans="1:4" s="6" customFormat="1" ht="51.95" customHeight="1" x14ac:dyDescent="0.6">
      <c r="A49" s="5" t="s">
        <v>62</v>
      </c>
      <c r="B49" s="7" t="s">
        <v>63</v>
      </c>
      <c r="C49" s="11" t="s">
        <v>338</v>
      </c>
      <c r="D49" s="9" t="s">
        <v>339</v>
      </c>
    </row>
    <row r="50" spans="1:4" s="6" customFormat="1" ht="51.95" customHeight="1" x14ac:dyDescent="0.6">
      <c r="A50" s="5" t="s">
        <v>68</v>
      </c>
      <c r="B50" s="7" t="s">
        <v>69</v>
      </c>
      <c r="C50" s="11" t="s">
        <v>340</v>
      </c>
      <c r="D50" s="9" t="s">
        <v>341</v>
      </c>
    </row>
    <row r="51" spans="1:4" s="6" customFormat="1" ht="51.95" customHeight="1" x14ac:dyDescent="0.6">
      <c r="A51" s="5" t="s">
        <v>74</v>
      </c>
      <c r="B51" s="7" t="s">
        <v>75</v>
      </c>
      <c r="C51" s="11" t="s">
        <v>342</v>
      </c>
      <c r="D51" s="9" t="s">
        <v>341</v>
      </c>
    </row>
    <row r="52" spans="1:4" s="6" customFormat="1" ht="51.95" customHeight="1" x14ac:dyDescent="0.6">
      <c r="A52" s="5" t="s">
        <v>80</v>
      </c>
      <c r="B52" s="7" t="s">
        <v>81</v>
      </c>
      <c r="C52" s="11" t="s">
        <v>343</v>
      </c>
      <c r="D52" s="9" t="s">
        <v>344</v>
      </c>
    </row>
    <row r="53" spans="1:4" s="6" customFormat="1" ht="51.95" customHeight="1" x14ac:dyDescent="0.6">
      <c r="A53" s="5" t="s">
        <v>86</v>
      </c>
      <c r="B53" s="7" t="s">
        <v>87</v>
      </c>
      <c r="C53" s="11" t="s">
        <v>345</v>
      </c>
      <c r="D53" s="9" t="s">
        <v>344</v>
      </c>
    </row>
    <row r="54" spans="1:4" s="6" customFormat="1" ht="51.95" customHeight="1" x14ac:dyDescent="0.6">
      <c r="A54" s="5" t="s">
        <v>92</v>
      </c>
      <c r="B54" s="7" t="s">
        <v>93</v>
      </c>
      <c r="C54" s="11" t="s">
        <v>346</v>
      </c>
      <c r="D54" s="9" t="s">
        <v>347</v>
      </c>
    </row>
    <row r="55" spans="1:4" s="6" customFormat="1" ht="51.95" customHeight="1" x14ac:dyDescent="0.6">
      <c r="A55" s="5" t="s">
        <v>98</v>
      </c>
      <c r="B55" s="7" t="s">
        <v>99</v>
      </c>
      <c r="C55" s="11" t="s">
        <v>348</v>
      </c>
      <c r="D55" s="9" t="s">
        <v>349</v>
      </c>
    </row>
    <row r="56" spans="1:4" ht="50.1" customHeight="1" x14ac:dyDescent="0.6">
      <c r="A56" s="2"/>
      <c r="B56" s="2"/>
    </row>
    <row r="57" spans="1:4" ht="50.1" customHeight="1" x14ac:dyDescent="0.6"/>
    <row r="58" spans="1:4" ht="50.1" customHeight="1" x14ac:dyDescent="0.6"/>
    <row r="59" spans="1:4" ht="50.1" customHeight="1" x14ac:dyDescent="0.6"/>
    <row r="60" spans="1:4" ht="50.1" customHeight="1" x14ac:dyDescent="0.6"/>
    <row r="61" spans="1:4" ht="20.100000000000001" customHeight="1" x14ac:dyDescent="0.6"/>
    <row r="62" spans="1:4" ht="20.100000000000001" customHeight="1" x14ac:dyDescent="0.6"/>
    <row r="63" spans="1:4" ht="20.100000000000001" customHeight="1" x14ac:dyDescent="0.6"/>
    <row r="64" spans="1:4" ht="20.100000000000001" customHeight="1" x14ac:dyDescent="0.6"/>
    <row r="65" ht="20.100000000000001" customHeight="1" x14ac:dyDescent="0.6"/>
    <row r="66" ht="20.100000000000001" customHeight="1" x14ac:dyDescent="0.6"/>
    <row r="67" ht="20.100000000000001" customHeight="1" x14ac:dyDescent="0.6"/>
    <row r="68" ht="20.100000000000001" customHeight="1" x14ac:dyDescent="0.6"/>
    <row r="69" ht="20.100000000000001" customHeight="1" x14ac:dyDescent="0.6"/>
    <row r="70" ht="20.100000000000001" customHeight="1" x14ac:dyDescent="0.6"/>
    <row r="71" ht="20.100000000000001" customHeight="1" x14ac:dyDescent="0.6"/>
    <row r="72" ht="20.100000000000001" customHeight="1" x14ac:dyDescent="0.6"/>
    <row r="73" ht="20.100000000000001" customHeight="1" x14ac:dyDescent="0.6"/>
    <row r="74" ht="20.100000000000001" customHeight="1" x14ac:dyDescent="0.6"/>
    <row r="75" ht="20.100000000000001" customHeight="1" x14ac:dyDescent="0.6"/>
    <row r="76" ht="20.100000000000001" customHeight="1" x14ac:dyDescent="0.6"/>
    <row r="77" ht="20.100000000000001" customHeight="1" x14ac:dyDescent="0.6"/>
    <row r="78" ht="20.100000000000001" customHeight="1" x14ac:dyDescent="0.6"/>
    <row r="79" ht="20.100000000000001" customHeight="1" x14ac:dyDescent="0.6"/>
    <row r="80" ht="20.100000000000001" customHeight="1" x14ac:dyDescent="0.6"/>
    <row r="81" ht="20.100000000000001" customHeight="1" x14ac:dyDescent="0.6"/>
    <row r="82" ht="20.100000000000001" customHeight="1" x14ac:dyDescent="0.6"/>
    <row r="83" ht="20.100000000000001" customHeight="1" x14ac:dyDescent="0.6"/>
    <row r="84" ht="20.100000000000001" customHeight="1" x14ac:dyDescent="0.6"/>
    <row r="85" ht="20.100000000000001" customHeight="1" x14ac:dyDescent="0.6"/>
    <row r="86" ht="20.100000000000001" customHeight="1" x14ac:dyDescent="0.6"/>
    <row r="87" ht="20.100000000000001" customHeight="1" x14ac:dyDescent="0.6"/>
    <row r="88" ht="20.100000000000001" customHeight="1" x14ac:dyDescent="0.6"/>
    <row r="89" ht="20.100000000000001" customHeight="1" x14ac:dyDescent="0.6"/>
    <row r="90" ht="20.100000000000001" customHeight="1" x14ac:dyDescent="0.6"/>
    <row r="91" ht="20.100000000000001" customHeight="1" x14ac:dyDescent="0.6"/>
    <row r="92" ht="20.100000000000001" customHeight="1" x14ac:dyDescent="0.6"/>
    <row r="93" ht="20.100000000000001" customHeight="1" x14ac:dyDescent="0.6"/>
    <row r="94" ht="20.100000000000001" customHeight="1" x14ac:dyDescent="0.6"/>
    <row r="95" ht="20.100000000000001" customHeight="1" x14ac:dyDescent="0.6"/>
    <row r="96" ht="20.100000000000001" customHeight="1" x14ac:dyDescent="0.6"/>
    <row r="97" ht="20.100000000000001" customHeight="1" x14ac:dyDescent="0.6"/>
    <row r="98" ht="20.100000000000001" customHeight="1" x14ac:dyDescent="0.6"/>
    <row r="99" ht="20.100000000000001" customHeight="1" x14ac:dyDescent="0.6"/>
    <row r="100" ht="20.100000000000001" customHeight="1" x14ac:dyDescent="0.6"/>
    <row r="101" ht="20.100000000000001" customHeight="1" x14ac:dyDescent="0.6"/>
    <row r="102" ht="20.100000000000001" customHeight="1" x14ac:dyDescent="0.6"/>
    <row r="103" ht="20.100000000000001" customHeight="1" x14ac:dyDescent="0.6"/>
    <row r="104" ht="20.100000000000001" customHeight="1" x14ac:dyDescent="0.6"/>
    <row r="105" ht="20.100000000000001" customHeight="1" x14ac:dyDescent="0.6"/>
    <row r="106" ht="20.100000000000001" customHeight="1" x14ac:dyDescent="0.6"/>
    <row r="107" ht="20.100000000000001" customHeight="1" x14ac:dyDescent="0.6"/>
  </sheetData>
  <mergeCells count="19">
    <mergeCell ref="B43:D43"/>
    <mergeCell ref="B44:D44"/>
    <mergeCell ref="A46:D46"/>
    <mergeCell ref="A27:A30"/>
    <mergeCell ref="A35:A37"/>
    <mergeCell ref="B42:D42"/>
    <mergeCell ref="A10:D10"/>
    <mergeCell ref="A21:D21"/>
    <mergeCell ref="A24:A26"/>
    <mergeCell ref="A39:D39"/>
    <mergeCell ref="B41:D41"/>
    <mergeCell ref="A31:A34"/>
    <mergeCell ref="A1:D1"/>
    <mergeCell ref="A3:D3"/>
    <mergeCell ref="A5:A8"/>
    <mergeCell ref="C5:D5"/>
    <mergeCell ref="C6:D6"/>
    <mergeCell ref="C7:D7"/>
    <mergeCell ref="C8:D8"/>
  </mergeCells>
  <phoneticPr fontId="2" type="noConversion"/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182637-1CC2-4A3F-AC4B-5CD7877B3AE7}">
          <x14:formula1>
            <xm:f>'1_분류체계(Taxonomy)'!$A$2:$A$15</xm:f>
          </x14:formula1>
          <xm:sqref>C5:D5</xm:sqref>
        </x14:dataValidation>
        <x14:dataValidation type="list" allowBlank="1" showInputMessage="1" showErrorMessage="1" xr:uid="{AE35C747-7186-461D-A81B-BF1D5F1C8AEC}">
          <x14:formula1>
            <xm:f>'1_분류체계(Taxonomy)'!$B$2:$B$15</xm:f>
          </x14:formula1>
          <xm:sqref>C6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7F40-321F-47CC-86B2-1297992E9129}">
  <dimension ref="A1:D98"/>
  <sheetViews>
    <sheetView zoomScale="85" zoomScaleNormal="85" workbookViewId="0">
      <selection sqref="A1:D1"/>
    </sheetView>
  </sheetViews>
  <sheetFormatPr defaultRowHeight="16.899999999999999" x14ac:dyDescent="0.6"/>
  <cols>
    <col min="1" max="2" width="19.625" customWidth="1"/>
    <col min="3" max="3" width="56" customWidth="1"/>
    <col min="4" max="4" width="40.625" customWidth="1"/>
  </cols>
  <sheetData>
    <row r="1" spans="1:4" ht="20.100000000000001" customHeight="1" x14ac:dyDescent="0.6">
      <c r="A1" s="31" t="s">
        <v>491</v>
      </c>
      <c r="B1" s="31"/>
      <c r="C1" s="31"/>
      <c r="D1" s="31"/>
    </row>
    <row r="2" spans="1:4" ht="20.100000000000001" customHeight="1" x14ac:dyDescent="0.6"/>
    <row r="3" spans="1:4" ht="20.100000000000001" customHeight="1" x14ac:dyDescent="0.6">
      <c r="A3" s="30" t="s">
        <v>104</v>
      </c>
      <c r="B3" s="30"/>
      <c r="C3" s="30"/>
      <c r="D3" s="30"/>
    </row>
    <row r="4" spans="1:4" ht="20.100000000000001" customHeight="1" x14ac:dyDescent="0.6"/>
    <row r="5" spans="1:4" s="6" customFormat="1" ht="39.950000000000003" customHeight="1" x14ac:dyDescent="0.6">
      <c r="A5" s="36" t="s">
        <v>105</v>
      </c>
      <c r="B5" s="3" t="s">
        <v>0</v>
      </c>
      <c r="C5" s="42" t="s">
        <v>37</v>
      </c>
      <c r="D5" s="42"/>
    </row>
    <row r="6" spans="1:4" s="6" customFormat="1" ht="39.950000000000003" customHeight="1" x14ac:dyDescent="0.6">
      <c r="A6" s="37"/>
      <c r="B6" s="3" t="s">
        <v>1</v>
      </c>
      <c r="C6" s="43" t="s">
        <v>38</v>
      </c>
      <c r="D6" s="44"/>
    </row>
    <row r="7" spans="1:4" s="6" customFormat="1" ht="39.950000000000003" customHeight="1" x14ac:dyDescent="0.6">
      <c r="A7" s="37"/>
      <c r="B7" s="3" t="s">
        <v>106</v>
      </c>
      <c r="C7" s="43" t="str">
        <f>VLOOKUP(C6,'1_분류체계(Taxonomy)'!$B$1:$E$15,2,FALSE)</f>
        <v>BS_EDU</v>
      </c>
      <c r="D7" s="44"/>
    </row>
    <row r="8" spans="1:4" s="6" customFormat="1" ht="39.950000000000003" customHeight="1" x14ac:dyDescent="0.6">
      <c r="A8" s="38"/>
      <c r="B8" s="3" t="s">
        <v>107</v>
      </c>
      <c r="C8" s="45" t="s">
        <v>350</v>
      </c>
      <c r="D8" s="45"/>
    </row>
    <row r="9" spans="1:4" ht="20.100000000000001" customHeight="1" x14ac:dyDescent="0.6"/>
    <row r="10" spans="1:4" ht="20.100000000000001" customHeight="1" x14ac:dyDescent="0.6">
      <c r="A10" s="30" t="s">
        <v>108</v>
      </c>
      <c r="B10" s="30"/>
      <c r="C10" s="30"/>
      <c r="D10" s="30"/>
    </row>
    <row r="11" spans="1:4" ht="20.100000000000001" customHeight="1" x14ac:dyDescent="0.6"/>
    <row r="12" spans="1:4" ht="19.5" customHeight="1" x14ac:dyDescent="0.6">
      <c r="A12" s="4" t="s">
        <v>109</v>
      </c>
      <c r="B12" s="4" t="s">
        <v>54</v>
      </c>
      <c r="C12" s="4" t="s">
        <v>110</v>
      </c>
      <c r="D12" s="4" t="s">
        <v>111</v>
      </c>
    </row>
    <row r="13" spans="1:4" s="6" customFormat="1" ht="50.1" customHeight="1" x14ac:dyDescent="0.6">
      <c r="A13" s="5" t="s">
        <v>62</v>
      </c>
      <c r="B13" s="7" t="s">
        <v>63</v>
      </c>
      <c r="C13" s="11" t="s">
        <v>351</v>
      </c>
      <c r="D13" s="11" t="s">
        <v>352</v>
      </c>
    </row>
    <row r="14" spans="1:4" s="6" customFormat="1" ht="50.1" customHeight="1" x14ac:dyDescent="0.6">
      <c r="A14" s="5" t="s">
        <v>68</v>
      </c>
      <c r="B14" s="7" t="s">
        <v>69</v>
      </c>
      <c r="C14" s="11" t="s">
        <v>353</v>
      </c>
      <c r="D14" s="11" t="s">
        <v>354</v>
      </c>
    </row>
    <row r="15" spans="1:4" s="6" customFormat="1" ht="50.1" customHeight="1" x14ac:dyDescent="0.6">
      <c r="A15" s="5" t="s">
        <v>74</v>
      </c>
      <c r="B15" s="7" t="s">
        <v>75</v>
      </c>
      <c r="C15" s="11" t="s">
        <v>355</v>
      </c>
      <c r="D15" s="11" t="s">
        <v>356</v>
      </c>
    </row>
    <row r="16" spans="1:4" s="6" customFormat="1" ht="50.1" customHeight="1" x14ac:dyDescent="0.6">
      <c r="A16" s="5" t="s">
        <v>80</v>
      </c>
      <c r="B16" s="7" t="s">
        <v>81</v>
      </c>
      <c r="C16" s="11" t="s">
        <v>357</v>
      </c>
      <c r="D16" s="11" t="s">
        <v>358</v>
      </c>
    </row>
    <row r="17" spans="1:4" s="6" customFormat="1" ht="50.1" customHeight="1" x14ac:dyDescent="0.6">
      <c r="A17" s="5" t="s">
        <v>86</v>
      </c>
      <c r="B17" s="7" t="s">
        <v>87</v>
      </c>
      <c r="C17" s="11" t="s">
        <v>359</v>
      </c>
      <c r="D17" s="11" t="s">
        <v>360</v>
      </c>
    </row>
    <row r="18" spans="1:4" s="6" customFormat="1" ht="50.1" customHeight="1" x14ac:dyDescent="0.6">
      <c r="A18" s="5" t="s">
        <v>92</v>
      </c>
      <c r="B18" s="7" t="s">
        <v>93</v>
      </c>
      <c r="C18" s="11" t="s">
        <v>361</v>
      </c>
      <c r="D18" s="11" t="s">
        <v>362</v>
      </c>
    </row>
    <row r="19" spans="1:4" s="6" customFormat="1" ht="50.1" customHeight="1" x14ac:dyDescent="0.6">
      <c r="A19" s="5" t="s">
        <v>98</v>
      </c>
      <c r="B19" s="7" t="s">
        <v>99</v>
      </c>
      <c r="C19" s="11" t="s">
        <v>363</v>
      </c>
      <c r="D19" s="11" t="s">
        <v>364</v>
      </c>
    </row>
    <row r="20" spans="1:4" ht="20.100000000000001" customHeight="1" x14ac:dyDescent="0.6"/>
    <row r="21" spans="1:4" ht="20.100000000000001" customHeight="1" x14ac:dyDescent="0.6">
      <c r="A21" s="30" t="s">
        <v>112</v>
      </c>
      <c r="B21" s="30"/>
      <c r="C21" s="30"/>
      <c r="D21" s="30"/>
    </row>
    <row r="22" spans="1:4" ht="20.100000000000001" customHeight="1" x14ac:dyDescent="0.6"/>
    <row r="23" spans="1:4" ht="20.100000000000001" customHeight="1" x14ac:dyDescent="0.6">
      <c r="A23" s="4" t="s">
        <v>3</v>
      </c>
      <c r="B23" s="4" t="s">
        <v>113</v>
      </c>
      <c r="C23" s="4" t="s">
        <v>114</v>
      </c>
      <c r="D23" s="4" t="s">
        <v>115</v>
      </c>
    </row>
    <row r="24" spans="1:4" s="6" customFormat="1" ht="51.95" customHeight="1" x14ac:dyDescent="0.6">
      <c r="A24" s="45" t="s">
        <v>40</v>
      </c>
      <c r="B24" s="1" t="s">
        <v>365</v>
      </c>
      <c r="C24" s="1" t="s">
        <v>366</v>
      </c>
      <c r="D24" s="1" t="s">
        <v>367</v>
      </c>
    </row>
    <row r="25" spans="1:4" s="6" customFormat="1" ht="51.95" customHeight="1" x14ac:dyDescent="0.6">
      <c r="A25" s="45"/>
      <c r="B25" s="1" t="s">
        <v>368</v>
      </c>
      <c r="C25" s="1" t="s">
        <v>369</v>
      </c>
      <c r="D25" s="1" t="s">
        <v>370</v>
      </c>
    </row>
    <row r="26" spans="1:4" s="6" customFormat="1" ht="51.95" customHeight="1" x14ac:dyDescent="0.6">
      <c r="A26" s="45"/>
      <c r="B26" s="1" t="s">
        <v>371</v>
      </c>
      <c r="C26" s="1" t="s">
        <v>372</v>
      </c>
      <c r="D26" s="1" t="s">
        <v>373</v>
      </c>
    </row>
    <row r="27" spans="1:4" s="6" customFormat="1" ht="51.95" customHeight="1" x14ac:dyDescent="0.6">
      <c r="A27" s="45"/>
      <c r="B27" s="1" t="s">
        <v>374</v>
      </c>
      <c r="C27" s="1" t="s">
        <v>375</v>
      </c>
      <c r="D27" s="1" t="s">
        <v>376</v>
      </c>
    </row>
    <row r="28" spans="1:4" s="6" customFormat="1" ht="51.95" customHeight="1" x14ac:dyDescent="0.6">
      <c r="A28" s="45"/>
      <c r="B28" s="1" t="s">
        <v>377</v>
      </c>
      <c r="C28" s="1" t="s">
        <v>378</v>
      </c>
      <c r="D28" s="1" t="s">
        <v>379</v>
      </c>
    </row>
    <row r="29" spans="1:4" ht="20.100000000000001" customHeight="1" x14ac:dyDescent="0.6"/>
    <row r="30" spans="1:4" ht="20.100000000000001" customHeight="1" x14ac:dyDescent="0.6">
      <c r="A30" s="30" t="s">
        <v>116</v>
      </c>
      <c r="B30" s="30"/>
      <c r="C30" s="30"/>
      <c r="D30" s="30"/>
    </row>
    <row r="31" spans="1:4" ht="20.100000000000001" customHeight="1" x14ac:dyDescent="0.6">
      <c r="A31" s="2"/>
      <c r="B31" s="2"/>
    </row>
    <row r="32" spans="1:4" s="6" customFormat="1" ht="39.950000000000003" customHeight="1" x14ac:dyDescent="0.6">
      <c r="A32" s="8" t="s">
        <v>117</v>
      </c>
      <c r="B32" s="48" t="s">
        <v>380</v>
      </c>
      <c r="C32" s="46"/>
      <c r="D32" s="47"/>
    </row>
    <row r="33" spans="1:4" s="6" customFormat="1" ht="39.950000000000003" customHeight="1" x14ac:dyDescent="0.6">
      <c r="A33" s="8" t="s">
        <v>118</v>
      </c>
      <c r="B33" s="48" t="s">
        <v>381</v>
      </c>
      <c r="C33" s="46"/>
      <c r="D33" s="47"/>
    </row>
    <row r="34" spans="1:4" s="6" customFormat="1" ht="39.950000000000003" customHeight="1" x14ac:dyDescent="0.6">
      <c r="A34" s="8" t="s">
        <v>119</v>
      </c>
      <c r="B34" s="48" t="s">
        <v>382</v>
      </c>
      <c r="C34" s="46"/>
      <c r="D34" s="47"/>
    </row>
    <row r="35" spans="1:4" s="6" customFormat="1" ht="39.950000000000003" customHeight="1" x14ac:dyDescent="0.6">
      <c r="A35" s="8" t="s">
        <v>120</v>
      </c>
      <c r="B35" s="48" t="s">
        <v>383</v>
      </c>
      <c r="C35" s="46"/>
      <c r="D35" s="47"/>
    </row>
    <row r="36" spans="1:4" ht="20.100000000000001" customHeight="1" x14ac:dyDescent="0.6"/>
    <row r="37" spans="1:4" ht="20.100000000000001" customHeight="1" x14ac:dyDescent="0.6">
      <c r="A37" s="30" t="s">
        <v>121</v>
      </c>
      <c r="B37" s="30"/>
      <c r="C37" s="30"/>
      <c r="D37" s="30"/>
    </row>
    <row r="38" spans="1:4" ht="20.100000000000001" customHeight="1" x14ac:dyDescent="0.6"/>
    <row r="39" spans="1:4" ht="20.100000000000001" customHeight="1" x14ac:dyDescent="0.6">
      <c r="A39" s="4" t="s">
        <v>109</v>
      </c>
      <c r="B39" s="4" t="s">
        <v>54</v>
      </c>
      <c r="C39" s="4" t="s">
        <v>122</v>
      </c>
      <c r="D39" s="4" t="s">
        <v>123</v>
      </c>
    </row>
    <row r="40" spans="1:4" s="6" customFormat="1" ht="51.95" customHeight="1" x14ac:dyDescent="0.6">
      <c r="A40" s="5" t="s">
        <v>62</v>
      </c>
      <c r="B40" s="7" t="s">
        <v>63</v>
      </c>
      <c r="C40" s="1" t="s">
        <v>384</v>
      </c>
      <c r="D40" s="1" t="s">
        <v>339</v>
      </c>
    </row>
    <row r="41" spans="1:4" s="6" customFormat="1" ht="51.95" customHeight="1" x14ac:dyDescent="0.6">
      <c r="A41" s="5" t="s">
        <v>68</v>
      </c>
      <c r="B41" s="7" t="s">
        <v>69</v>
      </c>
      <c r="C41" s="1" t="s">
        <v>385</v>
      </c>
      <c r="D41" s="1" t="s">
        <v>341</v>
      </c>
    </row>
    <row r="42" spans="1:4" s="6" customFormat="1" ht="51.95" customHeight="1" x14ac:dyDescent="0.6">
      <c r="A42" s="5" t="s">
        <v>74</v>
      </c>
      <c r="B42" s="7" t="s">
        <v>75</v>
      </c>
      <c r="C42" s="1" t="s">
        <v>386</v>
      </c>
      <c r="D42" s="1" t="s">
        <v>341</v>
      </c>
    </row>
    <row r="43" spans="1:4" s="6" customFormat="1" ht="51.95" customHeight="1" x14ac:dyDescent="0.6">
      <c r="A43" s="5" t="s">
        <v>80</v>
      </c>
      <c r="B43" s="7" t="s">
        <v>81</v>
      </c>
      <c r="C43" s="1" t="s">
        <v>387</v>
      </c>
      <c r="D43" s="1" t="s">
        <v>344</v>
      </c>
    </row>
    <row r="44" spans="1:4" s="6" customFormat="1" ht="51.95" customHeight="1" x14ac:dyDescent="0.6">
      <c r="A44" s="5" t="s">
        <v>86</v>
      </c>
      <c r="B44" s="7" t="s">
        <v>87</v>
      </c>
      <c r="C44" s="1" t="s">
        <v>388</v>
      </c>
      <c r="D44" s="1" t="s">
        <v>344</v>
      </c>
    </row>
    <row r="45" spans="1:4" s="6" customFormat="1" ht="51.95" customHeight="1" x14ac:dyDescent="0.6">
      <c r="A45" s="5" t="s">
        <v>92</v>
      </c>
      <c r="B45" s="7" t="s">
        <v>93</v>
      </c>
      <c r="C45" s="1" t="s">
        <v>389</v>
      </c>
      <c r="D45" s="1" t="s">
        <v>347</v>
      </c>
    </row>
    <row r="46" spans="1:4" s="6" customFormat="1" ht="51.95" customHeight="1" x14ac:dyDescent="0.6">
      <c r="A46" s="5" t="s">
        <v>98</v>
      </c>
      <c r="B46" s="7" t="s">
        <v>99</v>
      </c>
      <c r="C46" s="1" t="s">
        <v>390</v>
      </c>
      <c r="D46" s="1" t="s">
        <v>284</v>
      </c>
    </row>
    <row r="47" spans="1:4" ht="50.1" customHeight="1" x14ac:dyDescent="0.6">
      <c r="A47" s="2"/>
      <c r="B47" s="2"/>
    </row>
    <row r="48" spans="1:4" ht="50.1" customHeight="1" x14ac:dyDescent="0.6"/>
    <row r="49" ht="50.1" customHeight="1" x14ac:dyDescent="0.6"/>
    <row r="50" ht="50.1" customHeight="1" x14ac:dyDescent="0.6"/>
    <row r="51" ht="50.1" customHeight="1" x14ac:dyDescent="0.6"/>
    <row r="52" ht="20.100000000000001" customHeight="1" x14ac:dyDescent="0.6"/>
    <row r="53" ht="20.100000000000001" customHeight="1" x14ac:dyDescent="0.6"/>
    <row r="54" ht="20.100000000000001" customHeight="1" x14ac:dyDescent="0.6"/>
    <row r="55" ht="20.100000000000001" customHeight="1" x14ac:dyDescent="0.6"/>
    <row r="56" ht="20.100000000000001" customHeight="1" x14ac:dyDescent="0.6"/>
    <row r="57" ht="20.100000000000001" customHeight="1" x14ac:dyDescent="0.6"/>
    <row r="58" ht="20.100000000000001" customHeight="1" x14ac:dyDescent="0.6"/>
    <row r="59" ht="20.100000000000001" customHeight="1" x14ac:dyDescent="0.6"/>
    <row r="60" ht="20.100000000000001" customHeight="1" x14ac:dyDescent="0.6"/>
    <row r="61" ht="20.100000000000001" customHeight="1" x14ac:dyDescent="0.6"/>
    <row r="62" ht="20.100000000000001" customHeight="1" x14ac:dyDescent="0.6"/>
    <row r="63" ht="20.100000000000001" customHeight="1" x14ac:dyDescent="0.6"/>
    <row r="64" ht="20.100000000000001" customHeight="1" x14ac:dyDescent="0.6"/>
    <row r="65" ht="20.100000000000001" customHeight="1" x14ac:dyDescent="0.6"/>
    <row r="66" ht="20.100000000000001" customHeight="1" x14ac:dyDescent="0.6"/>
    <row r="67" ht="20.100000000000001" customHeight="1" x14ac:dyDescent="0.6"/>
    <row r="68" ht="20.100000000000001" customHeight="1" x14ac:dyDescent="0.6"/>
    <row r="69" ht="20.100000000000001" customHeight="1" x14ac:dyDescent="0.6"/>
    <row r="70" ht="20.100000000000001" customHeight="1" x14ac:dyDescent="0.6"/>
    <row r="71" ht="20.100000000000001" customHeight="1" x14ac:dyDescent="0.6"/>
    <row r="72" ht="20.100000000000001" customHeight="1" x14ac:dyDescent="0.6"/>
    <row r="73" ht="20.100000000000001" customHeight="1" x14ac:dyDescent="0.6"/>
    <row r="74" ht="20.100000000000001" customHeight="1" x14ac:dyDescent="0.6"/>
    <row r="75" ht="20.100000000000001" customHeight="1" x14ac:dyDescent="0.6"/>
    <row r="76" ht="20.100000000000001" customHeight="1" x14ac:dyDescent="0.6"/>
    <row r="77" ht="20.100000000000001" customHeight="1" x14ac:dyDescent="0.6"/>
    <row r="78" ht="20.100000000000001" customHeight="1" x14ac:dyDescent="0.6"/>
    <row r="79" ht="20.100000000000001" customHeight="1" x14ac:dyDescent="0.6"/>
    <row r="80" ht="20.100000000000001" customHeight="1" x14ac:dyDescent="0.6"/>
    <row r="81" ht="20.100000000000001" customHeight="1" x14ac:dyDescent="0.6"/>
    <row r="82" ht="20.100000000000001" customHeight="1" x14ac:dyDescent="0.6"/>
    <row r="83" ht="20.100000000000001" customHeight="1" x14ac:dyDescent="0.6"/>
    <row r="84" ht="20.100000000000001" customHeight="1" x14ac:dyDescent="0.6"/>
    <row r="85" ht="20.100000000000001" customHeight="1" x14ac:dyDescent="0.6"/>
    <row r="86" ht="20.100000000000001" customHeight="1" x14ac:dyDescent="0.6"/>
    <row r="87" ht="20.100000000000001" customHeight="1" x14ac:dyDescent="0.6"/>
    <row r="88" ht="20.100000000000001" customHeight="1" x14ac:dyDescent="0.6"/>
    <row r="89" ht="20.100000000000001" customHeight="1" x14ac:dyDescent="0.6"/>
    <row r="90" ht="20.100000000000001" customHeight="1" x14ac:dyDescent="0.6"/>
    <row r="91" ht="20.100000000000001" customHeight="1" x14ac:dyDescent="0.6"/>
    <row r="92" ht="20.100000000000001" customHeight="1" x14ac:dyDescent="0.6"/>
    <row r="93" ht="20.100000000000001" customHeight="1" x14ac:dyDescent="0.6"/>
    <row r="94" ht="20.100000000000001" customHeight="1" x14ac:dyDescent="0.6"/>
    <row r="95" ht="20.100000000000001" customHeight="1" x14ac:dyDescent="0.6"/>
    <row r="96" ht="20.100000000000001" customHeight="1" x14ac:dyDescent="0.6"/>
    <row r="97" ht="20.100000000000001" customHeight="1" x14ac:dyDescent="0.6"/>
    <row r="98" ht="20.100000000000001" customHeight="1" x14ac:dyDescent="0.6"/>
  </sheetData>
  <mergeCells count="16">
    <mergeCell ref="B34:D34"/>
    <mergeCell ref="B35:D35"/>
    <mergeCell ref="A37:D37"/>
    <mergeCell ref="A10:D10"/>
    <mergeCell ref="A21:D21"/>
    <mergeCell ref="A24:A28"/>
    <mergeCell ref="A30:D30"/>
    <mergeCell ref="B32:D32"/>
    <mergeCell ref="B33:D33"/>
    <mergeCell ref="A1:D1"/>
    <mergeCell ref="A3:D3"/>
    <mergeCell ref="A5:A8"/>
    <mergeCell ref="C5:D5"/>
    <mergeCell ref="C6:D6"/>
    <mergeCell ref="C7:D7"/>
    <mergeCell ref="C8:D8"/>
  </mergeCells>
  <phoneticPr fontId="2" type="noConversion"/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0776EB-07F0-46A2-AB35-23915239489F}">
          <x14:formula1>
            <xm:f>'1_분류체계(Taxonomy)'!$B$2:$B$15</xm:f>
          </x14:formula1>
          <xm:sqref>C6</xm:sqref>
        </x14:dataValidation>
        <x14:dataValidation type="list" allowBlank="1" showInputMessage="1" showErrorMessage="1" xr:uid="{8D611100-D710-4407-888C-5A2CC4156C57}">
          <x14:formula1>
            <xm:f>'1_분류체계(Taxonomy)'!$A$2:$A$15</xm:f>
          </x14:formula1>
          <xm:sqref>C5:D5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2F4F-5D4D-4972-B651-B5A63800EC09}">
  <dimension ref="A1:D96"/>
  <sheetViews>
    <sheetView zoomScale="85" zoomScaleNormal="85" workbookViewId="0">
      <selection sqref="A1:D1"/>
    </sheetView>
  </sheetViews>
  <sheetFormatPr defaultRowHeight="16.899999999999999" x14ac:dyDescent="0.6"/>
  <cols>
    <col min="1" max="2" width="19.625" customWidth="1"/>
    <col min="3" max="3" width="56" customWidth="1"/>
    <col min="4" max="4" width="40.625" customWidth="1"/>
  </cols>
  <sheetData>
    <row r="1" spans="1:4" ht="20.100000000000001" customHeight="1" x14ac:dyDescent="0.6">
      <c r="A1" s="31" t="s">
        <v>491</v>
      </c>
      <c r="B1" s="31"/>
      <c r="C1" s="31"/>
      <c r="D1" s="31"/>
    </row>
    <row r="2" spans="1:4" ht="20.100000000000001" customHeight="1" x14ac:dyDescent="0.6"/>
    <row r="3" spans="1:4" ht="20.100000000000001" customHeight="1" x14ac:dyDescent="0.6">
      <c r="A3" s="30" t="s">
        <v>104</v>
      </c>
      <c r="B3" s="30"/>
      <c r="C3" s="30"/>
      <c r="D3" s="30"/>
    </row>
    <row r="4" spans="1:4" ht="20.100000000000001" customHeight="1" x14ac:dyDescent="0.6"/>
    <row r="5" spans="1:4" s="6" customFormat="1" ht="39.950000000000003" customHeight="1" x14ac:dyDescent="0.6">
      <c r="A5" s="36" t="s">
        <v>105</v>
      </c>
      <c r="B5" s="3" t="s">
        <v>0</v>
      </c>
      <c r="C5" s="42" t="s">
        <v>37</v>
      </c>
      <c r="D5" s="42"/>
    </row>
    <row r="6" spans="1:4" s="6" customFormat="1" ht="39.950000000000003" customHeight="1" x14ac:dyDescent="0.6">
      <c r="A6" s="37"/>
      <c r="B6" s="3" t="s">
        <v>1</v>
      </c>
      <c r="C6" s="43" t="s">
        <v>42</v>
      </c>
      <c r="D6" s="44"/>
    </row>
    <row r="7" spans="1:4" s="6" customFormat="1" ht="39.950000000000003" customHeight="1" x14ac:dyDescent="0.6">
      <c r="A7" s="37"/>
      <c r="B7" s="3" t="s">
        <v>106</v>
      </c>
      <c r="C7" s="43" t="str">
        <f>VLOOKUP(C6,'1_분류체계(Taxonomy)'!$B$1:$E$15,2,FALSE)</f>
        <v>BS_TS</v>
      </c>
      <c r="D7" s="44"/>
    </row>
    <row r="8" spans="1:4" s="6" customFormat="1" ht="39.950000000000003" customHeight="1" x14ac:dyDescent="0.6">
      <c r="A8" s="38"/>
      <c r="B8" s="3" t="s">
        <v>107</v>
      </c>
      <c r="C8" s="45" t="s">
        <v>391</v>
      </c>
      <c r="D8" s="45"/>
    </row>
    <row r="9" spans="1:4" ht="20.100000000000001" customHeight="1" x14ac:dyDescent="0.6"/>
    <row r="10" spans="1:4" ht="20.100000000000001" customHeight="1" x14ac:dyDescent="0.6">
      <c r="A10" s="30" t="s">
        <v>108</v>
      </c>
      <c r="B10" s="30"/>
      <c r="C10" s="30"/>
      <c r="D10" s="30"/>
    </row>
    <row r="11" spans="1:4" ht="20.100000000000001" customHeight="1" x14ac:dyDescent="0.6"/>
    <row r="12" spans="1:4" ht="19.5" customHeight="1" x14ac:dyDescent="0.6">
      <c r="A12" s="4" t="s">
        <v>109</v>
      </c>
      <c r="B12" s="4" t="s">
        <v>54</v>
      </c>
      <c r="C12" s="4" t="s">
        <v>110</v>
      </c>
      <c r="D12" s="4" t="s">
        <v>111</v>
      </c>
    </row>
    <row r="13" spans="1:4" s="6" customFormat="1" ht="50.1" customHeight="1" x14ac:dyDescent="0.6">
      <c r="A13" s="5" t="s">
        <v>62</v>
      </c>
      <c r="B13" s="7" t="s">
        <v>63</v>
      </c>
      <c r="C13" s="11" t="s">
        <v>392</v>
      </c>
      <c r="D13" s="11" t="s">
        <v>393</v>
      </c>
    </row>
    <row r="14" spans="1:4" s="6" customFormat="1" ht="50.1" customHeight="1" x14ac:dyDescent="0.6">
      <c r="A14" s="5" t="s">
        <v>68</v>
      </c>
      <c r="B14" s="7" t="s">
        <v>69</v>
      </c>
      <c r="C14" s="11" t="s">
        <v>394</v>
      </c>
      <c r="D14" s="11" t="s">
        <v>395</v>
      </c>
    </row>
    <row r="15" spans="1:4" s="6" customFormat="1" ht="50.1" customHeight="1" x14ac:dyDescent="0.6">
      <c r="A15" s="5" t="s">
        <v>74</v>
      </c>
      <c r="B15" s="7" t="s">
        <v>75</v>
      </c>
      <c r="C15" s="11" t="s">
        <v>396</v>
      </c>
      <c r="D15" s="11" t="s">
        <v>397</v>
      </c>
    </row>
    <row r="16" spans="1:4" s="6" customFormat="1" ht="50.1" customHeight="1" x14ac:dyDescent="0.6">
      <c r="A16" s="5" t="s">
        <v>80</v>
      </c>
      <c r="B16" s="7" t="s">
        <v>81</v>
      </c>
      <c r="C16" s="11" t="s">
        <v>398</v>
      </c>
      <c r="D16" s="11" t="s">
        <v>399</v>
      </c>
    </row>
    <row r="17" spans="1:4" s="6" customFormat="1" ht="50.1" customHeight="1" x14ac:dyDescent="0.6">
      <c r="A17" s="5" t="s">
        <v>86</v>
      </c>
      <c r="B17" s="7" t="s">
        <v>87</v>
      </c>
      <c r="C17" s="11" t="s">
        <v>400</v>
      </c>
      <c r="D17" s="11" t="s">
        <v>401</v>
      </c>
    </row>
    <row r="18" spans="1:4" s="6" customFormat="1" ht="50.1" customHeight="1" x14ac:dyDescent="0.6">
      <c r="A18" s="5" t="s">
        <v>92</v>
      </c>
      <c r="B18" s="7" t="s">
        <v>93</v>
      </c>
      <c r="C18" s="11" t="s">
        <v>402</v>
      </c>
      <c r="D18" s="11" t="s">
        <v>403</v>
      </c>
    </row>
    <row r="19" spans="1:4" s="6" customFormat="1" ht="50.1" customHeight="1" x14ac:dyDescent="0.6">
      <c r="A19" s="5" t="s">
        <v>98</v>
      </c>
      <c r="B19" s="7" t="s">
        <v>99</v>
      </c>
      <c r="C19" s="11" t="s">
        <v>404</v>
      </c>
      <c r="D19" s="11" t="s">
        <v>405</v>
      </c>
    </row>
    <row r="20" spans="1:4" ht="20.100000000000001" customHeight="1" x14ac:dyDescent="0.6"/>
    <row r="21" spans="1:4" ht="20.100000000000001" customHeight="1" x14ac:dyDescent="0.6">
      <c r="A21" s="30" t="s">
        <v>112</v>
      </c>
      <c r="B21" s="30"/>
      <c r="C21" s="30"/>
      <c r="D21" s="30"/>
    </row>
    <row r="22" spans="1:4" ht="20.100000000000001" customHeight="1" x14ac:dyDescent="0.6"/>
    <row r="23" spans="1:4" ht="20.100000000000001" customHeight="1" x14ac:dyDescent="0.6">
      <c r="A23" s="4" t="s">
        <v>3</v>
      </c>
      <c r="B23" s="4" t="s">
        <v>113</v>
      </c>
      <c r="C23" s="4" t="s">
        <v>114</v>
      </c>
      <c r="D23" s="4" t="s">
        <v>115</v>
      </c>
    </row>
    <row r="24" spans="1:4" s="6" customFormat="1" ht="51" customHeight="1" x14ac:dyDescent="0.6">
      <c r="A24" s="58" t="s">
        <v>44</v>
      </c>
      <c r="B24" s="66" t="s">
        <v>406</v>
      </c>
      <c r="C24" s="66" t="s">
        <v>407</v>
      </c>
      <c r="D24" s="66" t="s">
        <v>408</v>
      </c>
    </row>
    <row r="25" spans="1:4" s="6" customFormat="1" ht="51" customHeight="1" x14ac:dyDescent="0.6">
      <c r="A25" s="58"/>
      <c r="B25" s="66" t="s">
        <v>409</v>
      </c>
      <c r="C25" s="66" t="s">
        <v>515</v>
      </c>
      <c r="D25" s="66" t="s">
        <v>410</v>
      </c>
    </row>
    <row r="26" spans="1:4" s="6" customFormat="1" ht="51" customHeight="1" x14ac:dyDescent="0.6">
      <c r="A26" s="58"/>
      <c r="B26" s="66" t="s">
        <v>411</v>
      </c>
      <c r="C26" s="66" t="s">
        <v>412</v>
      </c>
      <c r="D26" s="66" t="s">
        <v>413</v>
      </c>
    </row>
    <row r="27" spans="1:4" ht="20.100000000000001" customHeight="1" x14ac:dyDescent="0.6"/>
    <row r="28" spans="1:4" ht="20.100000000000001" customHeight="1" x14ac:dyDescent="0.6">
      <c r="A28" s="30" t="s">
        <v>116</v>
      </c>
      <c r="B28" s="30"/>
      <c r="C28" s="30"/>
      <c r="D28" s="30"/>
    </row>
    <row r="29" spans="1:4" ht="20.100000000000001" customHeight="1" x14ac:dyDescent="0.6">
      <c r="A29" s="2"/>
      <c r="B29" s="2"/>
    </row>
    <row r="30" spans="1:4" s="6" customFormat="1" ht="39.950000000000003" customHeight="1" x14ac:dyDescent="0.6">
      <c r="A30" s="8" t="s">
        <v>117</v>
      </c>
      <c r="B30" s="71" t="s">
        <v>414</v>
      </c>
      <c r="C30" s="64"/>
      <c r="D30" s="65"/>
    </row>
    <row r="31" spans="1:4" s="6" customFormat="1" ht="39.950000000000003" customHeight="1" x14ac:dyDescent="0.6">
      <c r="A31" s="8" t="s">
        <v>118</v>
      </c>
      <c r="B31" s="63" t="s">
        <v>415</v>
      </c>
      <c r="C31" s="64"/>
      <c r="D31" s="65"/>
    </row>
    <row r="32" spans="1:4" s="6" customFormat="1" ht="39.950000000000003" customHeight="1" x14ac:dyDescent="0.6">
      <c r="A32" s="8" t="s">
        <v>119</v>
      </c>
      <c r="B32" s="63" t="s">
        <v>416</v>
      </c>
      <c r="C32" s="64"/>
      <c r="D32" s="65"/>
    </row>
    <row r="33" spans="1:4" s="6" customFormat="1" ht="39.950000000000003" customHeight="1" x14ac:dyDescent="0.6">
      <c r="A33" s="8" t="s">
        <v>120</v>
      </c>
      <c r="B33" s="63" t="s">
        <v>417</v>
      </c>
      <c r="C33" s="64"/>
      <c r="D33" s="65"/>
    </row>
    <row r="34" spans="1:4" ht="20.100000000000001" customHeight="1" x14ac:dyDescent="0.6"/>
    <row r="35" spans="1:4" ht="20.100000000000001" customHeight="1" x14ac:dyDescent="0.6">
      <c r="A35" s="30" t="s">
        <v>121</v>
      </c>
      <c r="B35" s="30"/>
      <c r="C35" s="30"/>
      <c r="D35" s="30"/>
    </row>
    <row r="36" spans="1:4" ht="20.100000000000001" customHeight="1" x14ac:dyDescent="0.6"/>
    <row r="37" spans="1:4" ht="20.100000000000001" customHeight="1" x14ac:dyDescent="0.6">
      <c r="A37" s="4" t="s">
        <v>109</v>
      </c>
      <c r="B37" s="4" t="s">
        <v>54</v>
      </c>
      <c r="C37" s="4" t="s">
        <v>122</v>
      </c>
      <c r="D37" s="4" t="s">
        <v>123</v>
      </c>
    </row>
    <row r="38" spans="1:4" s="6" customFormat="1" ht="51.95" customHeight="1" x14ac:dyDescent="0.6">
      <c r="A38" s="5" t="s">
        <v>62</v>
      </c>
      <c r="B38" s="7" t="s">
        <v>63</v>
      </c>
      <c r="C38" s="11" t="s">
        <v>418</v>
      </c>
      <c r="D38" s="1" t="s">
        <v>339</v>
      </c>
    </row>
    <row r="39" spans="1:4" s="6" customFormat="1" ht="51.95" customHeight="1" x14ac:dyDescent="0.6">
      <c r="A39" s="5" t="s">
        <v>68</v>
      </c>
      <c r="B39" s="7" t="s">
        <v>69</v>
      </c>
      <c r="C39" s="11" t="s">
        <v>419</v>
      </c>
      <c r="D39" s="1" t="s">
        <v>341</v>
      </c>
    </row>
    <row r="40" spans="1:4" s="6" customFormat="1" ht="51.95" customHeight="1" x14ac:dyDescent="0.6">
      <c r="A40" s="5" t="s">
        <v>74</v>
      </c>
      <c r="B40" s="7" t="s">
        <v>75</v>
      </c>
      <c r="C40" s="11" t="s">
        <v>420</v>
      </c>
      <c r="D40" s="1" t="s">
        <v>344</v>
      </c>
    </row>
    <row r="41" spans="1:4" s="6" customFormat="1" ht="51.95" customHeight="1" x14ac:dyDescent="0.6">
      <c r="A41" s="5" t="s">
        <v>80</v>
      </c>
      <c r="B41" s="7" t="s">
        <v>81</v>
      </c>
      <c r="C41" s="11" t="s">
        <v>421</v>
      </c>
      <c r="D41" s="1" t="s">
        <v>344</v>
      </c>
    </row>
    <row r="42" spans="1:4" s="6" customFormat="1" ht="51.95" customHeight="1" x14ac:dyDescent="0.6">
      <c r="A42" s="5" t="s">
        <v>86</v>
      </c>
      <c r="B42" s="7" t="s">
        <v>87</v>
      </c>
      <c r="C42" s="11" t="s">
        <v>422</v>
      </c>
      <c r="D42" s="1" t="s">
        <v>347</v>
      </c>
    </row>
    <row r="43" spans="1:4" s="6" customFormat="1" ht="51.95" customHeight="1" x14ac:dyDescent="0.6">
      <c r="A43" s="5" t="s">
        <v>92</v>
      </c>
      <c r="B43" s="7" t="s">
        <v>93</v>
      </c>
      <c r="C43" s="11" t="s">
        <v>423</v>
      </c>
      <c r="D43" s="1" t="s">
        <v>347</v>
      </c>
    </row>
    <row r="44" spans="1:4" s="6" customFormat="1" ht="51.95" customHeight="1" x14ac:dyDescent="0.6">
      <c r="A44" s="5" t="s">
        <v>98</v>
      </c>
      <c r="B44" s="7" t="s">
        <v>99</v>
      </c>
      <c r="C44" s="11" t="s">
        <v>424</v>
      </c>
      <c r="D44" s="1" t="s">
        <v>349</v>
      </c>
    </row>
    <row r="45" spans="1:4" ht="50.1" customHeight="1" x14ac:dyDescent="0.6">
      <c r="A45" s="2"/>
      <c r="B45" s="2"/>
    </row>
    <row r="46" spans="1:4" ht="50.1" customHeight="1" x14ac:dyDescent="0.6"/>
    <row r="47" spans="1:4" ht="50.1" customHeight="1" x14ac:dyDescent="0.6"/>
    <row r="48" spans="1:4" ht="50.1" customHeight="1" x14ac:dyDescent="0.6"/>
    <row r="49" ht="50.1" customHeight="1" x14ac:dyDescent="0.6"/>
    <row r="50" ht="20.100000000000001" customHeight="1" x14ac:dyDescent="0.6"/>
    <row r="51" ht="20.100000000000001" customHeight="1" x14ac:dyDescent="0.6"/>
    <row r="52" ht="20.100000000000001" customHeight="1" x14ac:dyDescent="0.6"/>
    <row r="53" ht="20.100000000000001" customHeight="1" x14ac:dyDescent="0.6"/>
    <row r="54" ht="20.100000000000001" customHeight="1" x14ac:dyDescent="0.6"/>
    <row r="55" ht="20.100000000000001" customHeight="1" x14ac:dyDescent="0.6"/>
    <row r="56" ht="20.100000000000001" customHeight="1" x14ac:dyDescent="0.6"/>
    <row r="57" ht="20.100000000000001" customHeight="1" x14ac:dyDescent="0.6"/>
    <row r="58" ht="20.100000000000001" customHeight="1" x14ac:dyDescent="0.6"/>
    <row r="59" ht="20.100000000000001" customHeight="1" x14ac:dyDescent="0.6"/>
    <row r="60" ht="20.100000000000001" customHeight="1" x14ac:dyDescent="0.6"/>
    <row r="61" ht="20.100000000000001" customHeight="1" x14ac:dyDescent="0.6"/>
    <row r="62" ht="20.100000000000001" customHeight="1" x14ac:dyDescent="0.6"/>
    <row r="63" ht="20.100000000000001" customHeight="1" x14ac:dyDescent="0.6"/>
    <row r="64" ht="20.100000000000001" customHeight="1" x14ac:dyDescent="0.6"/>
    <row r="65" ht="20.100000000000001" customHeight="1" x14ac:dyDescent="0.6"/>
    <row r="66" ht="20.100000000000001" customHeight="1" x14ac:dyDescent="0.6"/>
    <row r="67" ht="20.100000000000001" customHeight="1" x14ac:dyDescent="0.6"/>
    <row r="68" ht="20.100000000000001" customHeight="1" x14ac:dyDescent="0.6"/>
    <row r="69" ht="20.100000000000001" customHeight="1" x14ac:dyDescent="0.6"/>
    <row r="70" ht="20.100000000000001" customHeight="1" x14ac:dyDescent="0.6"/>
    <row r="71" ht="20.100000000000001" customHeight="1" x14ac:dyDescent="0.6"/>
    <row r="72" ht="20.100000000000001" customHeight="1" x14ac:dyDescent="0.6"/>
    <row r="73" ht="20.100000000000001" customHeight="1" x14ac:dyDescent="0.6"/>
    <row r="74" ht="20.100000000000001" customHeight="1" x14ac:dyDescent="0.6"/>
    <row r="75" ht="20.100000000000001" customHeight="1" x14ac:dyDescent="0.6"/>
    <row r="76" ht="20.100000000000001" customHeight="1" x14ac:dyDescent="0.6"/>
    <row r="77" ht="20.100000000000001" customHeight="1" x14ac:dyDescent="0.6"/>
    <row r="78" ht="20.100000000000001" customHeight="1" x14ac:dyDescent="0.6"/>
    <row r="79" ht="20.100000000000001" customHeight="1" x14ac:dyDescent="0.6"/>
    <row r="80" ht="20.100000000000001" customHeight="1" x14ac:dyDescent="0.6"/>
    <row r="81" ht="20.100000000000001" customHeight="1" x14ac:dyDescent="0.6"/>
    <row r="82" ht="20.100000000000001" customHeight="1" x14ac:dyDescent="0.6"/>
    <row r="83" ht="20.100000000000001" customHeight="1" x14ac:dyDescent="0.6"/>
    <row r="84" ht="20.100000000000001" customHeight="1" x14ac:dyDescent="0.6"/>
    <row r="85" ht="20.100000000000001" customHeight="1" x14ac:dyDescent="0.6"/>
    <row r="86" ht="20.100000000000001" customHeight="1" x14ac:dyDescent="0.6"/>
    <row r="87" ht="20.100000000000001" customHeight="1" x14ac:dyDescent="0.6"/>
    <row r="88" ht="20.100000000000001" customHeight="1" x14ac:dyDescent="0.6"/>
    <row r="89" ht="20.100000000000001" customHeight="1" x14ac:dyDescent="0.6"/>
    <row r="90" ht="20.100000000000001" customHeight="1" x14ac:dyDescent="0.6"/>
    <row r="91" ht="20.100000000000001" customHeight="1" x14ac:dyDescent="0.6"/>
    <row r="92" ht="20.100000000000001" customHeight="1" x14ac:dyDescent="0.6"/>
    <row r="93" ht="20.100000000000001" customHeight="1" x14ac:dyDescent="0.6"/>
    <row r="94" ht="20.100000000000001" customHeight="1" x14ac:dyDescent="0.6"/>
    <row r="95" ht="20.100000000000001" customHeight="1" x14ac:dyDescent="0.6"/>
    <row r="96" ht="20.100000000000001" customHeight="1" x14ac:dyDescent="0.6"/>
  </sheetData>
  <mergeCells count="16">
    <mergeCell ref="B32:D32"/>
    <mergeCell ref="B33:D33"/>
    <mergeCell ref="A35:D35"/>
    <mergeCell ref="A10:D10"/>
    <mergeCell ref="A21:D21"/>
    <mergeCell ref="A24:A26"/>
    <mergeCell ref="A28:D28"/>
    <mergeCell ref="B30:D30"/>
    <mergeCell ref="B31:D31"/>
    <mergeCell ref="A1:D1"/>
    <mergeCell ref="A3:D3"/>
    <mergeCell ref="A5:A8"/>
    <mergeCell ref="C5:D5"/>
    <mergeCell ref="C6:D6"/>
    <mergeCell ref="C7:D7"/>
    <mergeCell ref="C8:D8"/>
  </mergeCells>
  <phoneticPr fontId="2" type="noConversion"/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E526A42-A6D7-4189-9A03-85CD36404233}">
          <x14:formula1>
            <xm:f>'1_분류체계(Taxonomy)'!$A$2:$A$15</xm:f>
          </x14:formula1>
          <xm:sqref>C5:D5</xm:sqref>
        </x14:dataValidation>
        <x14:dataValidation type="list" allowBlank="1" showInputMessage="1" showErrorMessage="1" xr:uid="{A8EC3205-B56B-4A7F-88BE-8AD4AF1DDF74}">
          <x14:formula1>
            <xm:f>'1_분류체계(Taxonomy)'!$B$2:$B$15</xm:f>
          </x14:formula1>
          <xm:sqref>C6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BD81-E790-4089-8D0C-C900F6C6321C}">
  <dimension ref="A1:D104"/>
  <sheetViews>
    <sheetView zoomScale="85" zoomScaleNormal="85" workbookViewId="0">
      <selection sqref="A1:D1"/>
    </sheetView>
  </sheetViews>
  <sheetFormatPr defaultRowHeight="16.899999999999999" x14ac:dyDescent="0.6"/>
  <cols>
    <col min="1" max="2" width="19.625" customWidth="1"/>
    <col min="3" max="3" width="56" customWidth="1"/>
    <col min="4" max="4" width="40.625" customWidth="1"/>
  </cols>
  <sheetData>
    <row r="1" spans="1:4" ht="20.100000000000001" customHeight="1" x14ac:dyDescent="0.6">
      <c r="A1" s="31" t="s">
        <v>491</v>
      </c>
      <c r="B1" s="31"/>
      <c r="C1" s="31"/>
      <c r="D1" s="31"/>
    </row>
    <row r="2" spans="1:4" ht="20.100000000000001" customHeight="1" x14ac:dyDescent="0.6"/>
    <row r="3" spans="1:4" ht="20.100000000000001" customHeight="1" x14ac:dyDescent="0.6">
      <c r="A3" s="30" t="s">
        <v>104</v>
      </c>
      <c r="B3" s="30"/>
      <c r="C3" s="30"/>
      <c r="D3" s="30"/>
    </row>
    <row r="4" spans="1:4" ht="20.100000000000001" customHeight="1" x14ac:dyDescent="0.6"/>
    <row r="5" spans="1:4" s="6" customFormat="1" ht="39.950000000000003" customHeight="1" x14ac:dyDescent="0.6">
      <c r="A5" s="36" t="s">
        <v>105</v>
      </c>
      <c r="B5" s="3" t="s">
        <v>0</v>
      </c>
      <c r="C5" s="42" t="s">
        <v>37</v>
      </c>
      <c r="D5" s="42"/>
    </row>
    <row r="6" spans="1:4" s="6" customFormat="1" ht="39.950000000000003" customHeight="1" x14ac:dyDescent="0.6">
      <c r="A6" s="37"/>
      <c r="B6" s="3" t="s">
        <v>1</v>
      </c>
      <c r="C6" s="43" t="s">
        <v>47</v>
      </c>
      <c r="D6" s="44"/>
    </row>
    <row r="7" spans="1:4" s="6" customFormat="1" ht="39.950000000000003" customHeight="1" x14ac:dyDescent="0.6">
      <c r="A7" s="37"/>
      <c r="B7" s="3" t="s">
        <v>106</v>
      </c>
      <c r="C7" s="43" t="str">
        <f>VLOOKUP(C6,'1_분류체계(Taxonomy)'!$B$1:$E$15,2,FALSE)</f>
        <v>BS_RD</v>
      </c>
      <c r="D7" s="44"/>
    </row>
    <row r="8" spans="1:4" s="6" customFormat="1" ht="39.950000000000003" customHeight="1" x14ac:dyDescent="0.6">
      <c r="A8" s="38"/>
      <c r="B8" s="3" t="s">
        <v>107</v>
      </c>
      <c r="C8" s="45" t="s">
        <v>425</v>
      </c>
      <c r="D8" s="45"/>
    </row>
    <row r="9" spans="1:4" ht="20.100000000000001" customHeight="1" x14ac:dyDescent="0.6"/>
    <row r="10" spans="1:4" ht="20.100000000000001" customHeight="1" x14ac:dyDescent="0.6">
      <c r="A10" s="30" t="s">
        <v>108</v>
      </c>
      <c r="B10" s="30"/>
      <c r="C10" s="30"/>
      <c r="D10" s="30"/>
    </row>
    <row r="11" spans="1:4" ht="20.100000000000001" customHeight="1" x14ac:dyDescent="0.6"/>
    <row r="12" spans="1:4" ht="19.5" customHeight="1" x14ac:dyDescent="0.6">
      <c r="A12" s="4" t="s">
        <v>109</v>
      </c>
      <c r="B12" s="4" t="s">
        <v>54</v>
      </c>
      <c r="C12" s="4" t="s">
        <v>110</v>
      </c>
      <c r="D12" s="4" t="s">
        <v>111</v>
      </c>
    </row>
    <row r="13" spans="1:4" s="6" customFormat="1" ht="69.95" customHeight="1" x14ac:dyDescent="0.6">
      <c r="A13" s="5" t="s">
        <v>62</v>
      </c>
      <c r="B13" s="7" t="s">
        <v>63</v>
      </c>
      <c r="C13" s="11" t="s">
        <v>426</v>
      </c>
      <c r="D13" s="11" t="s">
        <v>427</v>
      </c>
    </row>
    <row r="14" spans="1:4" s="6" customFormat="1" ht="69.95" customHeight="1" x14ac:dyDescent="0.6">
      <c r="A14" s="5" t="s">
        <v>68</v>
      </c>
      <c r="B14" s="7" t="s">
        <v>69</v>
      </c>
      <c r="C14" s="11" t="s">
        <v>428</v>
      </c>
      <c r="D14" s="11" t="s">
        <v>429</v>
      </c>
    </row>
    <row r="15" spans="1:4" s="6" customFormat="1" ht="69.95" customHeight="1" x14ac:dyDescent="0.6">
      <c r="A15" s="5" t="s">
        <v>74</v>
      </c>
      <c r="B15" s="7" t="s">
        <v>75</v>
      </c>
      <c r="C15" s="11" t="s">
        <v>430</v>
      </c>
      <c r="D15" s="11" t="s">
        <v>431</v>
      </c>
    </row>
    <row r="16" spans="1:4" s="6" customFormat="1" ht="69.95" customHeight="1" x14ac:dyDescent="0.6">
      <c r="A16" s="5" t="s">
        <v>80</v>
      </c>
      <c r="B16" s="7" t="s">
        <v>81</v>
      </c>
      <c r="C16" s="11" t="s">
        <v>432</v>
      </c>
      <c r="D16" s="11" t="s">
        <v>433</v>
      </c>
    </row>
    <row r="17" spans="1:4" s="6" customFormat="1" ht="69.95" customHeight="1" x14ac:dyDescent="0.6">
      <c r="A17" s="5" t="s">
        <v>86</v>
      </c>
      <c r="B17" s="7" t="s">
        <v>87</v>
      </c>
      <c r="C17" s="11" t="s">
        <v>434</v>
      </c>
      <c r="D17" s="11" t="s">
        <v>435</v>
      </c>
    </row>
    <row r="18" spans="1:4" s="6" customFormat="1" ht="69.95" customHeight="1" x14ac:dyDescent="0.6">
      <c r="A18" s="5" t="s">
        <v>92</v>
      </c>
      <c r="B18" s="7" t="s">
        <v>93</v>
      </c>
      <c r="C18" s="11" t="s">
        <v>436</v>
      </c>
      <c r="D18" s="11" t="s">
        <v>437</v>
      </c>
    </row>
    <row r="19" spans="1:4" s="6" customFormat="1" ht="69.95" customHeight="1" x14ac:dyDescent="0.6">
      <c r="A19" s="5" t="s">
        <v>98</v>
      </c>
      <c r="B19" s="7" t="s">
        <v>99</v>
      </c>
      <c r="C19" s="11" t="s">
        <v>438</v>
      </c>
      <c r="D19" s="11" t="s">
        <v>439</v>
      </c>
    </row>
    <row r="20" spans="1:4" ht="20.100000000000001" customHeight="1" x14ac:dyDescent="0.6"/>
    <row r="21" spans="1:4" ht="20.100000000000001" customHeight="1" x14ac:dyDescent="0.6">
      <c r="A21" s="30" t="s">
        <v>112</v>
      </c>
      <c r="B21" s="30"/>
      <c r="C21" s="30"/>
      <c r="D21" s="30"/>
    </row>
    <row r="22" spans="1:4" ht="20.100000000000001" customHeight="1" x14ac:dyDescent="0.6"/>
    <row r="23" spans="1:4" ht="20.100000000000001" customHeight="1" x14ac:dyDescent="0.6">
      <c r="A23" s="4" t="s">
        <v>3</v>
      </c>
      <c r="B23" s="4" t="s">
        <v>113</v>
      </c>
      <c r="C23" s="4" t="s">
        <v>114</v>
      </c>
      <c r="D23" s="4" t="s">
        <v>115</v>
      </c>
    </row>
    <row r="24" spans="1:4" s="6" customFormat="1" ht="51.95" customHeight="1" x14ac:dyDescent="0.6">
      <c r="A24" s="58" t="s">
        <v>49</v>
      </c>
      <c r="B24" s="66" t="s">
        <v>440</v>
      </c>
      <c r="C24" s="66" t="s">
        <v>441</v>
      </c>
      <c r="D24" s="66" t="s">
        <v>442</v>
      </c>
    </row>
    <row r="25" spans="1:4" s="6" customFormat="1" ht="51.95" customHeight="1" x14ac:dyDescent="0.6">
      <c r="A25" s="58"/>
      <c r="B25" s="66" t="s">
        <v>443</v>
      </c>
      <c r="C25" s="66" t="s">
        <v>444</v>
      </c>
      <c r="D25" s="66" t="s">
        <v>445</v>
      </c>
    </row>
    <row r="26" spans="1:4" s="6" customFormat="1" ht="51.95" customHeight="1" x14ac:dyDescent="0.6">
      <c r="A26" s="58"/>
      <c r="B26" s="66" t="s">
        <v>446</v>
      </c>
      <c r="C26" s="66" t="s">
        <v>447</v>
      </c>
      <c r="D26" s="66" t="s">
        <v>448</v>
      </c>
    </row>
    <row r="27" spans="1:4" s="6" customFormat="1" ht="51.95" customHeight="1" x14ac:dyDescent="0.6">
      <c r="A27" s="58"/>
      <c r="B27" s="66" t="s">
        <v>449</v>
      </c>
      <c r="C27" s="66" t="s">
        <v>450</v>
      </c>
      <c r="D27" s="66" t="s">
        <v>451</v>
      </c>
    </row>
    <row r="28" spans="1:4" s="6" customFormat="1" ht="51.95" customHeight="1" x14ac:dyDescent="0.6">
      <c r="A28" s="58"/>
      <c r="B28" s="66" t="s">
        <v>452</v>
      </c>
      <c r="C28" s="66" t="s">
        <v>453</v>
      </c>
      <c r="D28" s="66" t="s">
        <v>454</v>
      </c>
    </row>
    <row r="29" spans="1:4" s="6" customFormat="1" ht="51.95" customHeight="1" x14ac:dyDescent="0.6">
      <c r="A29" s="58" t="s">
        <v>51</v>
      </c>
      <c r="B29" s="66" t="s">
        <v>455</v>
      </c>
      <c r="C29" s="66" t="s">
        <v>456</v>
      </c>
      <c r="D29" s="66" t="s">
        <v>457</v>
      </c>
    </row>
    <row r="30" spans="1:4" s="6" customFormat="1" ht="51.95" customHeight="1" x14ac:dyDescent="0.6">
      <c r="A30" s="58"/>
      <c r="B30" s="66" t="s">
        <v>458</v>
      </c>
      <c r="C30" s="66" t="s">
        <v>459</v>
      </c>
      <c r="D30" s="66" t="s">
        <v>460</v>
      </c>
    </row>
    <row r="31" spans="1:4" s="6" customFormat="1" ht="51.95" customHeight="1" x14ac:dyDescent="0.6">
      <c r="A31" s="58"/>
      <c r="B31" s="66" t="s">
        <v>461</v>
      </c>
      <c r="C31" s="66" t="s">
        <v>462</v>
      </c>
      <c r="D31" s="66" t="s">
        <v>463</v>
      </c>
    </row>
    <row r="32" spans="1:4" s="6" customFormat="1" ht="51.95" customHeight="1" x14ac:dyDescent="0.6">
      <c r="A32" s="58"/>
      <c r="B32" s="66" t="s">
        <v>464</v>
      </c>
      <c r="C32" s="66" t="s">
        <v>465</v>
      </c>
      <c r="D32" s="66" t="s">
        <v>466</v>
      </c>
    </row>
    <row r="33" spans="1:4" s="6" customFormat="1" ht="51.95" customHeight="1" x14ac:dyDescent="0.6">
      <c r="A33" s="58"/>
      <c r="B33" s="66" t="s">
        <v>467</v>
      </c>
      <c r="C33" s="66" t="s">
        <v>468</v>
      </c>
      <c r="D33" s="66" t="s">
        <v>469</v>
      </c>
    </row>
    <row r="34" spans="1:4" s="6" customFormat="1" ht="39.950000000000003" customHeight="1" x14ac:dyDescent="0.6">
      <c r="A34" s="12"/>
      <c r="B34" s="13"/>
      <c r="C34" s="13"/>
      <c r="D34" s="13"/>
    </row>
    <row r="35" spans="1:4" ht="20.100000000000001" customHeight="1" x14ac:dyDescent="0.6"/>
    <row r="36" spans="1:4" ht="20.100000000000001" customHeight="1" x14ac:dyDescent="0.6">
      <c r="A36" s="30" t="s">
        <v>116</v>
      </c>
      <c r="B36" s="30"/>
      <c r="C36" s="30"/>
      <c r="D36" s="30"/>
    </row>
    <row r="37" spans="1:4" ht="20.100000000000001" customHeight="1" x14ac:dyDescent="0.6">
      <c r="A37" s="2"/>
      <c r="B37" s="2"/>
    </row>
    <row r="38" spans="1:4" s="6" customFormat="1" ht="45" customHeight="1" x14ac:dyDescent="0.6">
      <c r="A38" s="8" t="s">
        <v>117</v>
      </c>
      <c r="B38" s="63" t="s">
        <v>470</v>
      </c>
      <c r="C38" s="64"/>
      <c r="D38" s="65"/>
    </row>
    <row r="39" spans="1:4" s="6" customFormat="1" ht="54.95" customHeight="1" x14ac:dyDescent="0.6">
      <c r="A39" s="8" t="s">
        <v>118</v>
      </c>
      <c r="B39" s="68" t="s">
        <v>471</v>
      </c>
      <c r="C39" s="69"/>
      <c r="D39" s="70"/>
    </row>
    <row r="40" spans="1:4" s="6" customFormat="1" ht="54.95" customHeight="1" x14ac:dyDescent="0.6">
      <c r="A40" s="8" t="s">
        <v>119</v>
      </c>
      <c r="B40" s="68" t="s">
        <v>472</v>
      </c>
      <c r="C40" s="69"/>
      <c r="D40" s="70"/>
    </row>
    <row r="41" spans="1:4" s="6" customFormat="1" ht="54.95" customHeight="1" x14ac:dyDescent="0.6">
      <c r="A41" s="8" t="s">
        <v>120</v>
      </c>
      <c r="B41" s="68" t="s">
        <v>473</v>
      </c>
      <c r="C41" s="69"/>
      <c r="D41" s="70"/>
    </row>
    <row r="42" spans="1:4" ht="20.100000000000001" customHeight="1" x14ac:dyDescent="0.6"/>
    <row r="43" spans="1:4" ht="20.100000000000001" customHeight="1" x14ac:dyDescent="0.6">
      <c r="A43" s="30" t="s">
        <v>121</v>
      </c>
      <c r="B43" s="30"/>
      <c r="C43" s="30"/>
      <c r="D43" s="30"/>
    </row>
    <row r="44" spans="1:4" ht="20.100000000000001" customHeight="1" x14ac:dyDescent="0.6"/>
    <row r="45" spans="1:4" ht="20.100000000000001" customHeight="1" x14ac:dyDescent="0.6">
      <c r="A45" s="4" t="s">
        <v>109</v>
      </c>
      <c r="B45" s="4" t="s">
        <v>54</v>
      </c>
      <c r="C45" s="4" t="s">
        <v>122</v>
      </c>
      <c r="D45" s="4" t="s">
        <v>123</v>
      </c>
    </row>
    <row r="46" spans="1:4" s="6" customFormat="1" ht="51.95" customHeight="1" x14ac:dyDescent="0.6">
      <c r="A46" s="5" t="s">
        <v>62</v>
      </c>
      <c r="B46" s="7" t="s">
        <v>63</v>
      </c>
      <c r="C46" s="11" t="s">
        <v>474</v>
      </c>
      <c r="D46" s="1" t="s">
        <v>339</v>
      </c>
    </row>
    <row r="47" spans="1:4" s="6" customFormat="1" ht="51.95" customHeight="1" x14ac:dyDescent="0.6">
      <c r="A47" s="5" t="s">
        <v>68</v>
      </c>
      <c r="B47" s="7" t="s">
        <v>69</v>
      </c>
      <c r="C47" s="11" t="s">
        <v>475</v>
      </c>
      <c r="D47" s="1" t="s">
        <v>341</v>
      </c>
    </row>
    <row r="48" spans="1:4" s="6" customFormat="1" ht="51.95" customHeight="1" x14ac:dyDescent="0.6">
      <c r="A48" s="5" t="s">
        <v>74</v>
      </c>
      <c r="B48" s="7" t="s">
        <v>75</v>
      </c>
      <c r="C48" s="11" t="s">
        <v>476</v>
      </c>
      <c r="D48" s="1" t="s">
        <v>341</v>
      </c>
    </row>
    <row r="49" spans="1:4" s="6" customFormat="1" ht="51.95" customHeight="1" x14ac:dyDescent="0.6">
      <c r="A49" s="5" t="s">
        <v>80</v>
      </c>
      <c r="B49" s="7" t="s">
        <v>81</v>
      </c>
      <c r="C49" s="11" t="s">
        <v>477</v>
      </c>
      <c r="D49" s="1" t="s">
        <v>344</v>
      </c>
    </row>
    <row r="50" spans="1:4" s="6" customFormat="1" ht="51.95" customHeight="1" x14ac:dyDescent="0.6">
      <c r="A50" s="5" t="s">
        <v>86</v>
      </c>
      <c r="B50" s="7" t="s">
        <v>87</v>
      </c>
      <c r="C50" s="11" t="s">
        <v>478</v>
      </c>
      <c r="D50" s="1" t="s">
        <v>344</v>
      </c>
    </row>
    <row r="51" spans="1:4" s="6" customFormat="1" ht="51.95" customHeight="1" x14ac:dyDescent="0.6">
      <c r="A51" s="5" t="s">
        <v>92</v>
      </c>
      <c r="B51" s="7" t="s">
        <v>93</v>
      </c>
      <c r="C51" s="11" t="s">
        <v>479</v>
      </c>
      <c r="D51" s="1" t="s">
        <v>347</v>
      </c>
    </row>
    <row r="52" spans="1:4" s="6" customFormat="1" ht="51.95" customHeight="1" x14ac:dyDescent="0.6">
      <c r="A52" s="5" t="s">
        <v>98</v>
      </c>
      <c r="B52" s="7" t="s">
        <v>99</v>
      </c>
      <c r="C52" s="11" t="s">
        <v>480</v>
      </c>
      <c r="D52" s="1" t="s">
        <v>284</v>
      </c>
    </row>
    <row r="53" spans="1:4" ht="50.1" customHeight="1" x14ac:dyDescent="0.6">
      <c r="A53" s="2"/>
      <c r="B53" s="2"/>
    </row>
    <row r="54" spans="1:4" ht="50.1" customHeight="1" x14ac:dyDescent="0.6"/>
    <row r="55" spans="1:4" ht="50.1" customHeight="1" x14ac:dyDescent="0.6"/>
    <row r="56" spans="1:4" ht="50.1" customHeight="1" x14ac:dyDescent="0.6"/>
    <row r="57" spans="1:4" ht="50.1" customHeight="1" x14ac:dyDescent="0.6"/>
    <row r="58" spans="1:4" ht="20.100000000000001" customHeight="1" x14ac:dyDescent="0.6"/>
    <row r="59" spans="1:4" ht="20.100000000000001" customHeight="1" x14ac:dyDescent="0.6"/>
    <row r="60" spans="1:4" ht="20.100000000000001" customHeight="1" x14ac:dyDescent="0.6"/>
    <row r="61" spans="1:4" ht="20.100000000000001" customHeight="1" x14ac:dyDescent="0.6"/>
    <row r="62" spans="1:4" ht="20.100000000000001" customHeight="1" x14ac:dyDescent="0.6"/>
    <row r="63" spans="1:4" ht="20.100000000000001" customHeight="1" x14ac:dyDescent="0.6"/>
    <row r="64" spans="1:4" ht="20.100000000000001" customHeight="1" x14ac:dyDescent="0.6"/>
    <row r="65" ht="20.100000000000001" customHeight="1" x14ac:dyDescent="0.6"/>
    <row r="66" ht="20.100000000000001" customHeight="1" x14ac:dyDescent="0.6"/>
    <row r="67" ht="20.100000000000001" customHeight="1" x14ac:dyDescent="0.6"/>
    <row r="68" ht="20.100000000000001" customHeight="1" x14ac:dyDescent="0.6"/>
    <row r="69" ht="20.100000000000001" customHeight="1" x14ac:dyDescent="0.6"/>
    <row r="70" ht="20.100000000000001" customHeight="1" x14ac:dyDescent="0.6"/>
    <row r="71" ht="20.100000000000001" customHeight="1" x14ac:dyDescent="0.6"/>
    <row r="72" ht="20.100000000000001" customHeight="1" x14ac:dyDescent="0.6"/>
    <row r="73" ht="20.100000000000001" customHeight="1" x14ac:dyDescent="0.6"/>
    <row r="74" ht="20.100000000000001" customHeight="1" x14ac:dyDescent="0.6"/>
    <row r="75" ht="20.100000000000001" customHeight="1" x14ac:dyDescent="0.6"/>
    <row r="76" ht="20.100000000000001" customHeight="1" x14ac:dyDescent="0.6"/>
    <row r="77" ht="20.100000000000001" customHeight="1" x14ac:dyDescent="0.6"/>
    <row r="78" ht="20.100000000000001" customHeight="1" x14ac:dyDescent="0.6"/>
    <row r="79" ht="20.100000000000001" customHeight="1" x14ac:dyDescent="0.6"/>
    <row r="80" ht="20.100000000000001" customHeight="1" x14ac:dyDescent="0.6"/>
    <row r="81" ht="20.100000000000001" customHeight="1" x14ac:dyDescent="0.6"/>
    <row r="82" ht="20.100000000000001" customHeight="1" x14ac:dyDescent="0.6"/>
    <row r="83" ht="20.100000000000001" customHeight="1" x14ac:dyDescent="0.6"/>
    <row r="84" ht="20.100000000000001" customHeight="1" x14ac:dyDescent="0.6"/>
    <row r="85" ht="20.100000000000001" customHeight="1" x14ac:dyDescent="0.6"/>
    <row r="86" ht="20.100000000000001" customHeight="1" x14ac:dyDescent="0.6"/>
    <row r="87" ht="20.100000000000001" customHeight="1" x14ac:dyDescent="0.6"/>
    <row r="88" ht="20.100000000000001" customHeight="1" x14ac:dyDescent="0.6"/>
    <row r="89" ht="20.100000000000001" customHeight="1" x14ac:dyDescent="0.6"/>
    <row r="90" ht="20.100000000000001" customHeight="1" x14ac:dyDescent="0.6"/>
    <row r="91" ht="20.100000000000001" customHeight="1" x14ac:dyDescent="0.6"/>
    <row r="92" ht="20.100000000000001" customHeight="1" x14ac:dyDescent="0.6"/>
    <row r="93" ht="20.100000000000001" customHeight="1" x14ac:dyDescent="0.6"/>
    <row r="94" ht="20.100000000000001" customHeight="1" x14ac:dyDescent="0.6"/>
    <row r="95" ht="20.100000000000001" customHeight="1" x14ac:dyDescent="0.6"/>
    <row r="96" ht="20.100000000000001" customHeight="1" x14ac:dyDescent="0.6"/>
    <row r="97" ht="20.100000000000001" customHeight="1" x14ac:dyDescent="0.6"/>
    <row r="98" ht="20.100000000000001" customHeight="1" x14ac:dyDescent="0.6"/>
    <row r="99" ht="20.100000000000001" customHeight="1" x14ac:dyDescent="0.6"/>
    <row r="100" ht="20.100000000000001" customHeight="1" x14ac:dyDescent="0.6"/>
    <row r="101" ht="20.100000000000001" customHeight="1" x14ac:dyDescent="0.6"/>
    <row r="102" ht="20.100000000000001" customHeight="1" x14ac:dyDescent="0.6"/>
    <row r="103" ht="20.100000000000001" customHeight="1" x14ac:dyDescent="0.6"/>
    <row r="104" ht="20.100000000000001" customHeight="1" x14ac:dyDescent="0.6"/>
  </sheetData>
  <mergeCells count="17">
    <mergeCell ref="B40:D40"/>
    <mergeCell ref="B41:D41"/>
    <mergeCell ref="A43:D43"/>
    <mergeCell ref="A29:A33"/>
    <mergeCell ref="A10:D10"/>
    <mergeCell ref="A21:D21"/>
    <mergeCell ref="A24:A28"/>
    <mergeCell ref="A36:D36"/>
    <mergeCell ref="B38:D38"/>
    <mergeCell ref="B39:D39"/>
    <mergeCell ref="A1:D1"/>
    <mergeCell ref="A3:D3"/>
    <mergeCell ref="A5:A8"/>
    <mergeCell ref="C5:D5"/>
    <mergeCell ref="C6:D6"/>
    <mergeCell ref="C7:D7"/>
    <mergeCell ref="C8:D8"/>
  </mergeCells>
  <phoneticPr fontId="2" type="noConversion"/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F75F7847-DAF4-4668-A110-A4AED7AFA52D}">
          <x14:formula1>
            <xm:f>'1_분류체계(Taxonomy)'!$B$2:$B$15</xm:f>
          </x14:formula1>
          <xm:sqref>C6</xm:sqref>
        </x14:dataValidation>
        <x14:dataValidation type="list" allowBlank="1" showInputMessage="1" showErrorMessage="1" xr:uid="{8131DAAD-B9D3-446C-BCA7-31155977C881}">
          <x14:formula1>
            <xm:f>'1_분류체계(Taxonomy)'!$A$2:$A$15</xm:f>
          </x14:formula1>
          <xm:sqref>C5:D5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8FFF75B6465A4AB790C2DA44253D31" ma:contentTypeVersion="12" ma:contentTypeDescription="새 문서를 만듭니다." ma:contentTypeScope="" ma:versionID="dd27a5336f7fa9b19ac7f61719e32e1b">
  <xsd:schema xmlns:xsd="http://www.w3.org/2001/XMLSchema" xmlns:xs="http://www.w3.org/2001/XMLSchema" xmlns:p="http://schemas.microsoft.com/office/2006/metadata/properties" xmlns:ns2="d8de2bf0-dcd9-49c6-b80b-fb2efef130fe" xmlns:ns3="d5a316c5-c9d6-4a94-87b9-735ea0537ac6" targetNamespace="http://schemas.microsoft.com/office/2006/metadata/properties" ma:root="true" ma:fieldsID="19746124fa5fc3532291de0c38cb167d" ns2:_="" ns3:_="">
    <xsd:import namespace="d8de2bf0-dcd9-49c6-b80b-fb2efef130fe"/>
    <xsd:import namespace="d5a316c5-c9d6-4a94-87b9-735ea0537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de2bf0-dcd9-49c6-b80b-fb2efef130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5f9f1ea2-7d2c-4e4e-8689-9fa60c73da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a316c5-c9d6-4a94-87b9-735ea0537ac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f23f48f-49d2-4b02-a9c9-aa402ece0f1b}" ma:internalName="TaxCatchAll" ma:showField="CatchAllData" ma:web="d5a316c5-c9d6-4a94-87b9-735ea0537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a316c5-c9d6-4a94-87b9-735ea0537ac6" xsi:nil="true"/>
    <lcf76f155ced4ddcb4097134ff3c332f xmlns="d8de2bf0-dcd9-49c6-b80b-fb2efef130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90F9A7-5391-41DB-B3FC-FE4CCEF217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87673F-B9FA-4315-A8E8-9AECC0D479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de2bf0-dcd9-49c6-b80b-fb2efef130fe"/>
    <ds:schemaRef ds:uri="d5a316c5-c9d6-4a94-87b9-735ea0537a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EAAF01-B97C-40AA-BBB8-44B54E8A612B}">
  <ds:schemaRefs>
    <ds:schemaRef ds:uri="http://schemas.microsoft.com/office/2006/metadata/properties"/>
    <ds:schemaRef ds:uri="http://schemas.microsoft.com/office/infopath/2007/PartnerControls"/>
    <ds:schemaRef ds:uri="d5a316c5-c9d6-4a94-87b9-735ea0537ac6"/>
    <ds:schemaRef ds:uri="d8de2bf0-dcd9-49c6-b80b-fb2efef130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1_분류체계(Taxonomy)</vt:lpstr>
      <vt:lpstr>2_역할등급(Role_Grades)</vt:lpstr>
      <vt:lpstr>3_직무프로파일(Job_Profile)_경영전략기획</vt:lpstr>
      <vt:lpstr>3_직무프로파일(Job_Profile)_프로젝트영업</vt:lpstr>
      <vt:lpstr>3_직무프로파일(Job_Profile)_SW판매영업</vt:lpstr>
      <vt:lpstr>3_직무프로파일(Job_Profile)_BIM컨설팅</vt:lpstr>
      <vt:lpstr>3_직무프로파일(Job_Profile)_교육</vt:lpstr>
      <vt:lpstr>3_직무프로파일(Job_Profile)_기술지원</vt:lpstr>
      <vt:lpstr>3_직무프로파일(Job_Profile)_연구개발(R&amp;D)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석주 이</cp:lastModifiedBy>
  <cp:revision/>
  <dcterms:created xsi:type="dcterms:W3CDTF">2025-09-15T07:11:21Z</dcterms:created>
  <dcterms:modified xsi:type="dcterms:W3CDTF">2026-05-14T04:28:28Z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0x010100CD8FFF75B6465A4AB790C2DA44253D31</vt:lpwstr>
  </property>
  <property fmtid="{D5CDD505-2E9C-101B-9397-08002B2CF9AE}" pid="3" name="MediaServiceImageTags">
    <vt:lpwstr/>
  </property>
</Properties>
</file>