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38520" yWindow="-16350" windowWidth="38640" windowHeight="21120" tabRatio="600" firstSheet="0" activeTab="1" autoFilterDateGrouping="1"/>
  </bookViews>
  <sheets>
    <sheet xmlns:r="http://schemas.openxmlformats.org/officeDocument/2006/relationships" name="00_작성안내" sheetId="1" state="visible" r:id="rId1"/>
    <sheet xmlns:r="http://schemas.openxmlformats.org/officeDocument/2006/relationships" name="양식_기술지원_G6" sheetId="2" state="visible" r:id="rId2"/>
    <sheet xmlns:r="http://schemas.openxmlformats.org/officeDocument/2006/relationships" name="양식_기술지원_G5-M" sheetId="3" state="visible" r:id="rId3"/>
    <sheet xmlns:r="http://schemas.openxmlformats.org/officeDocument/2006/relationships" name="양식_기술지원_G5-S" sheetId="4" state="visible" r:id="rId4"/>
    <sheet xmlns:r="http://schemas.openxmlformats.org/officeDocument/2006/relationships" name="양식_기술지원_G4" sheetId="5" state="visible" r:id="rId5"/>
    <sheet xmlns:r="http://schemas.openxmlformats.org/officeDocument/2006/relationships" name="양식_기술지원_G3" sheetId="6" state="visible" r:id="rId6"/>
    <sheet xmlns:r="http://schemas.openxmlformats.org/officeDocument/2006/relationships" name="양식_기술지원_G2" sheetId="7" state="visible" r:id="rId7"/>
    <sheet xmlns:r="http://schemas.openxmlformats.org/officeDocument/2006/relationships" name="양식_기술지원_G1" sheetId="8" state="visible" r:id="rId8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5">
    <font>
      <name val="맑은 고딕"/>
      <family val="2"/>
      <color theme="1"/>
      <sz val="11"/>
      <scheme val="minor"/>
    </font>
    <font>
      <name val="맑은 고딕"/>
      <charset val="129"/>
      <family val="3"/>
      <b val="1"/>
      <color rgb="FFFFFFFF"/>
      <sz val="14"/>
    </font>
    <font>
      <name val="맑은 고딕"/>
      <charset val="129"/>
      <family val="3"/>
      <color rgb="FF000000"/>
      <sz val="11"/>
    </font>
    <font>
      <name val="맑은 고딕"/>
      <charset val="129"/>
      <family val="3"/>
      <b val="1"/>
      <color rgb="FFFFFFFF"/>
      <sz val="12"/>
    </font>
    <font>
      <name val="맑은 고딕"/>
      <charset val="129"/>
      <family val="3"/>
      <b val="1"/>
      <color rgb="FF000000"/>
      <sz val="11"/>
    </font>
    <font>
      <name val="맑은 고딕"/>
      <charset val="129"/>
      <family val="3"/>
      <b val="1"/>
      <color rgb="FF000000"/>
      <sz val="10"/>
    </font>
    <font>
      <name val="맑은 고딕"/>
      <charset val="129"/>
      <family val="3"/>
      <b val="1"/>
      <color rgb="FF000000"/>
      <sz val="12"/>
    </font>
    <font>
      <name val="맑은 고딕"/>
      <charset val="129"/>
      <family val="3"/>
      <b val="1"/>
      <color rgb="FFFFFFFF"/>
      <sz val="10"/>
    </font>
    <font>
      <name val="맑은 고딕"/>
      <charset val="129"/>
      <family val="3"/>
      <color rgb="FF000000"/>
      <sz val="9"/>
    </font>
    <font>
      <name val="맑은 고딕"/>
      <charset val="129"/>
      <family val="3"/>
      <b val="1"/>
      <color rgb="FFFFFFFF"/>
      <sz val="11"/>
    </font>
    <font>
      <name val="맑은 고딕"/>
      <charset val="129"/>
      <family val="3"/>
      <sz val="11"/>
    </font>
    <font>
      <name val="맑은 고딕"/>
      <charset val="129"/>
      <family val="3"/>
      <color rgb="FF000000"/>
      <sz val="10"/>
    </font>
    <font>
      <name val="맑은 고딕"/>
      <charset val="129"/>
      <family val="3"/>
      <b val="1"/>
      <sz val="12"/>
    </font>
    <font>
      <name val="맑은 고딕"/>
      <charset val="129"/>
      <family val="3"/>
      <b val="1"/>
      <color rgb="FF000000"/>
      <sz val="14"/>
    </font>
    <font>
      <name val="맑은 고딕"/>
      <charset val="129"/>
      <family val="3"/>
      <sz val="8"/>
      <scheme val="minor"/>
    </font>
  </fonts>
  <fills count="13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F2F2F2"/>
      </patternFill>
    </fill>
    <fill>
      <patternFill patternType="solid">
        <fgColor rgb="FF2E74B5"/>
      </patternFill>
    </fill>
    <fill>
      <patternFill patternType="solid">
        <fgColor rgb="FFFFFFFF"/>
      </patternFill>
    </fill>
    <fill>
      <patternFill patternType="solid">
        <fgColor rgb="FFFFEB9C"/>
      </patternFill>
    </fill>
    <fill>
      <patternFill patternType="solid">
        <fgColor rgb="FFB4C7E7"/>
      </patternFill>
    </fill>
    <fill>
      <patternFill patternType="solid">
        <fgColor rgb="FFF4B084"/>
      </patternFill>
    </fill>
    <fill>
      <patternFill patternType="solid">
        <fgColor rgb="FFDDEBF7"/>
      </patternFill>
    </fill>
    <fill>
      <patternFill patternType="solid">
        <fgColor rgb="FFE2EFDA"/>
      </patternFill>
    </fill>
    <fill>
      <patternFill patternType="solid">
        <fgColor rgb="FFFFF2CC"/>
      </patternFill>
    </fill>
    <fill>
      <patternFill patternType="solid">
        <fgColor rgb="FFFFF9E5"/>
      </patternFill>
    </fill>
  </fills>
  <borders count="1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/>
      <bottom/>
      <diagonal/>
    </border>
    <border>
      <left style="thin">
        <color theme="1" tint="0.249977111117893"/>
      </left>
      <right style="thin">
        <color theme="1" tint="0.249977111117893"/>
      </right>
      <top style="thin">
        <color theme="1" tint="0.249977111117893"/>
      </top>
      <bottom style="thin">
        <color theme="1" tint="0.249977111117893"/>
      </bottom>
      <diagonal/>
    </border>
    <border>
      <left style="thin">
        <color theme="1" tint="0.249977111117893"/>
      </left>
      <right/>
      <top style="thin">
        <color theme="1" tint="0.249977111117893"/>
      </top>
      <bottom style="thin">
        <color theme="1" tint="0.249977111117893"/>
      </bottom>
      <diagonal/>
    </border>
    <border>
      <left/>
      <right style="thin">
        <color theme="1" tint="0.249977111117893"/>
      </right>
      <top style="thin">
        <color theme="1" tint="0.249977111117893"/>
      </top>
      <bottom style="thin">
        <color theme="1" tint="0.249977111117893"/>
      </bottom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/>
      <top style="thin">
        <color theme="1" tint="0.249977111117893"/>
      </top>
      <bottom/>
      <diagonal/>
    </border>
    <border>
      <left/>
      <right style="thin">
        <color theme="1" tint="0.249977111117893"/>
      </right>
      <top style="thin">
        <color theme="1" tint="0.249977111117893"/>
      </top>
      <bottom/>
      <diagonal/>
    </border>
    <border>
      <left/>
      <right/>
      <top style="thin">
        <color theme="1" tint="0.249977111117893"/>
      </top>
      <bottom style="thin">
        <color theme="1" tint="0.249977111117893"/>
      </bottom>
      <diagonal/>
    </border>
  </borders>
  <cellStyleXfs count="1">
    <xf numFmtId="0" fontId="0" fillId="0" borderId="4"/>
  </cellStyleXfs>
  <cellXfs count="109">
    <xf numFmtId="0" fontId="0" fillId="0" borderId="0" pivotButton="0" quotePrefix="0" xfId="0"/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2" fillId="8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7" fillId="2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left" vertical="center" wrapText="1"/>
    </xf>
    <xf numFmtId="0" fontId="4" fillId="11" borderId="1" applyAlignment="1" pivotButton="0" quotePrefix="0" xfId="0">
      <alignment horizontal="center" vertical="center" wrapText="1"/>
    </xf>
    <xf numFmtId="164" fontId="2" fillId="10" borderId="1" applyAlignment="1" pivotButton="0" quotePrefix="0" xfId="0">
      <alignment horizontal="center" vertical="center" wrapText="1"/>
    </xf>
    <xf numFmtId="2" fontId="2" fillId="1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6" fillId="10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10" fillId="0" borderId="4" pivotButton="0" quotePrefix="0" xfId="0"/>
    <xf numFmtId="0" fontId="11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12" fillId="10" borderId="1" applyAlignment="1" pivotButton="0" quotePrefix="0" xfId="0">
      <alignment horizontal="center" vertical="center"/>
    </xf>
    <xf numFmtId="0" fontId="11" fillId="3" borderId="1" applyAlignment="1" pivotButton="0" quotePrefix="0" xfId="0">
      <alignment horizontal="left" vertical="center" wrapText="1" indent="1"/>
    </xf>
    <xf numFmtId="0" fontId="8" fillId="12" borderId="1" applyAlignment="1" pivotButton="0" quotePrefix="0" xfId="0">
      <alignment horizontal="left" vertical="center" wrapText="1" indent="1"/>
    </xf>
    <xf numFmtId="164" fontId="4" fillId="11" borderId="1" applyAlignment="1" pivotButton="0" quotePrefix="0" xfId="0">
      <alignment horizontal="center" vertical="center" wrapText="1"/>
    </xf>
    <xf numFmtId="2" fontId="11" fillId="10" borderId="1" applyAlignment="1" pivotButton="0" quotePrefix="0" xfId="0">
      <alignment horizontal="center" vertical="center" wrapText="1"/>
    </xf>
    <xf numFmtId="2" fontId="4" fillId="10" borderId="1" applyAlignment="1" pivotButton="0" quotePrefix="0" xfId="0">
      <alignment horizontal="center" vertical="center" wrapText="1"/>
    </xf>
    <xf numFmtId="0" fontId="13" fillId="10" borderId="1" applyAlignment="1" pivotButton="0" quotePrefix="0" xfId="0">
      <alignment horizontal="center" vertical="center" wrapText="1"/>
    </xf>
    <xf numFmtId="0" fontId="11" fillId="11" borderId="1" applyAlignment="1" pivotButton="0" quotePrefix="0" xfId="0">
      <alignment horizontal="left" vertical="center" wrapText="1"/>
    </xf>
    <xf numFmtId="0" fontId="8" fillId="10" borderId="1" applyAlignment="1" pivotButton="0" quotePrefix="0" xfId="0">
      <alignment horizontal="left" vertical="center" wrapText="1" indent="1"/>
    </xf>
    <xf numFmtId="0" fontId="5" fillId="3" borderId="5" applyAlignment="1" pivotButton="0" quotePrefix="0" xfId="0">
      <alignment horizontal="center" vertical="center" wrapText="1"/>
    </xf>
    <xf numFmtId="0" fontId="5" fillId="8" borderId="5" applyAlignment="1" pivotButton="0" quotePrefix="0" xfId="0">
      <alignment horizontal="center" vertical="center" wrapText="1"/>
    </xf>
    <xf numFmtId="0" fontId="5" fillId="5" borderId="5" applyAlignment="1" pivotButton="0" quotePrefix="0" xfId="0">
      <alignment horizontal="center" vertical="center" wrapText="1"/>
    </xf>
    <xf numFmtId="0" fontId="4" fillId="7" borderId="5" applyAlignment="1" pivotButton="0" quotePrefix="0" xfId="0">
      <alignment horizontal="center" vertical="center" wrapText="1"/>
    </xf>
    <xf numFmtId="0" fontId="4" fillId="3" borderId="5" applyAlignment="1" pivotButton="0" quotePrefix="0" xfId="0">
      <alignment horizontal="left" vertical="center" wrapText="1"/>
    </xf>
    <xf numFmtId="0" fontId="2" fillId="8" borderId="5" applyAlignment="1" pivotButton="0" quotePrefix="0" xfId="0">
      <alignment horizontal="center" vertical="center" wrapText="1"/>
    </xf>
    <xf numFmtId="0" fontId="2" fillId="8" borderId="5" applyAlignment="1" pivotButton="0" quotePrefix="0" xfId="0">
      <alignment vertical="center" wrapText="1"/>
    </xf>
    <xf numFmtId="0" fontId="4" fillId="3" borderId="5" applyAlignment="1" pivotButton="0" quotePrefix="0" xfId="0">
      <alignment horizontal="center" vertical="center" wrapText="1"/>
    </xf>
    <xf numFmtId="0" fontId="7" fillId="2" borderId="5" applyAlignment="1" pivotButton="0" quotePrefix="0" xfId="0">
      <alignment horizontal="center" vertical="center" wrapText="1"/>
    </xf>
    <xf numFmtId="0" fontId="4" fillId="11" borderId="5" applyAlignment="1" pivotButton="0" quotePrefix="0" xfId="0">
      <alignment horizontal="center" vertical="center" wrapText="1"/>
    </xf>
    <xf numFmtId="2" fontId="2" fillId="10" borderId="5" applyAlignment="1" pivotButton="0" quotePrefix="0" xfId="0">
      <alignment horizontal="center" vertical="center" wrapText="1"/>
    </xf>
    <xf numFmtId="0" fontId="2" fillId="0" borderId="5" applyAlignment="1" pivotButton="0" quotePrefix="0" xfId="0">
      <alignment horizontal="center" vertical="center" wrapText="1"/>
    </xf>
    <xf numFmtId="0" fontId="2" fillId="3" borderId="5" applyAlignment="1" pivotButton="0" quotePrefix="0" xfId="0">
      <alignment horizontal="center" vertical="center" wrapText="1"/>
    </xf>
    <xf numFmtId="164" fontId="4" fillId="11" borderId="5" applyAlignment="1" pivotButton="0" quotePrefix="0" xfId="0">
      <alignment horizontal="center" vertical="center" wrapText="1"/>
    </xf>
    <xf numFmtId="2" fontId="11" fillId="10" borderId="5" applyAlignment="1" pivotButton="0" quotePrefix="0" xfId="0">
      <alignment horizontal="center" vertical="center" wrapText="1"/>
    </xf>
    <xf numFmtId="2" fontId="4" fillId="10" borderId="5" applyAlignment="1" pivotButton="0" quotePrefix="0" xfId="0">
      <alignment horizontal="center" vertical="center" wrapText="1"/>
    </xf>
    <xf numFmtId="0" fontId="5" fillId="7" borderId="5" applyAlignment="1" pivotButton="0" quotePrefix="0" xfId="0">
      <alignment horizontal="center" vertical="center" wrapText="1"/>
    </xf>
    <xf numFmtId="0" fontId="13" fillId="10" borderId="5" applyAlignment="1" pivotButton="0" quotePrefix="0" xfId="0">
      <alignment horizontal="center" vertical="center" wrapText="1"/>
    </xf>
    <xf numFmtId="0" fontId="2" fillId="3" borderId="5" applyAlignment="1" pivotButton="0" quotePrefix="0" xfId="0">
      <alignment horizontal="left" vertical="center" wrapText="1"/>
    </xf>
    <xf numFmtId="0" fontId="6" fillId="10" borderId="5" applyAlignment="1" pivotButton="0" quotePrefix="0" xfId="0">
      <alignment horizontal="center" vertical="center" wrapText="1"/>
    </xf>
    <xf numFmtId="0" fontId="8" fillId="10" borderId="5" applyAlignment="1" pivotButton="0" quotePrefix="0" xfId="0">
      <alignment horizontal="left" vertical="center" wrapText="1"/>
    </xf>
    <xf numFmtId="0" fontId="11" fillId="3" borderId="5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center" wrapText="1"/>
    </xf>
    <xf numFmtId="0" fontId="0" fillId="0" borderId="2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12" fillId="10" borderId="5" applyAlignment="1" pivotButton="0" quotePrefix="0" xfId="0">
      <alignment horizontal="center" vertical="center" wrapText="1"/>
    </xf>
    <xf numFmtId="0" fontId="10" fillId="0" borderId="4" applyAlignment="1" pivotButton="0" quotePrefix="0" xfId="0">
      <alignment wrapText="1"/>
    </xf>
    <xf numFmtId="0" fontId="10" fillId="0" borderId="5" applyAlignment="1" pivotButton="0" quotePrefix="0" xfId="0">
      <alignment wrapText="1"/>
    </xf>
    <xf numFmtId="0" fontId="1" fillId="2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wrapText="1"/>
    </xf>
    <xf numFmtId="0" fontId="11" fillId="11" borderId="5" applyAlignment="1" pivotButton="0" quotePrefix="0" xfId="0">
      <alignment horizontal="left" vertical="center" wrapText="1"/>
    </xf>
    <xf numFmtId="0" fontId="0" fillId="0" borderId="5" applyAlignment="1" pivotButton="0" quotePrefix="0" xfId="0">
      <alignment wrapText="1"/>
    </xf>
    <xf numFmtId="0" fontId="3" fillId="2" borderId="5" applyAlignment="1" pivotButton="0" quotePrefix="0" xfId="0">
      <alignment horizontal="left" vertical="center" wrapText="1"/>
    </xf>
    <xf numFmtId="0" fontId="3" fillId="4" borderId="5" applyAlignment="1" pivotButton="0" quotePrefix="0" xfId="0">
      <alignment horizontal="left" vertical="center" wrapText="1"/>
    </xf>
    <xf numFmtId="0" fontId="7" fillId="2" borderId="5" applyAlignment="1" pivotButton="0" quotePrefix="0" xfId="0">
      <alignment horizontal="center" vertical="center" wrapText="1"/>
    </xf>
    <xf numFmtId="164" fontId="2" fillId="10" borderId="6" applyAlignment="1" pivotButton="0" quotePrefix="0" xfId="0">
      <alignment horizontal="center" vertical="center" wrapText="1"/>
    </xf>
    <xf numFmtId="164" fontId="2" fillId="10" borderId="7" applyAlignment="1" pivotButton="0" quotePrefix="0" xfId="0">
      <alignment horizontal="center" vertical="center" wrapText="1"/>
    </xf>
    <xf numFmtId="0" fontId="12" fillId="10" borderId="5" applyAlignment="1" pivotButton="0" quotePrefix="0" xfId="0">
      <alignment horizontal="center" vertical="center" wrapText="1"/>
    </xf>
    <xf numFmtId="0" fontId="4" fillId="8" borderId="5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5" fillId="7" borderId="5" applyAlignment="1" pivotButton="0" quotePrefix="0" xfId="0">
      <alignment horizontal="left" vertical="center" wrapText="1"/>
    </xf>
    <xf numFmtId="0" fontId="2" fillId="0" borderId="5" applyAlignment="1" pivotButton="0" quotePrefix="0" xfId="0">
      <alignment horizontal="left" vertical="center" wrapText="1"/>
    </xf>
    <xf numFmtId="0" fontId="4" fillId="10" borderId="5" applyAlignment="1" pivotButton="0" quotePrefix="0" xfId="0">
      <alignment horizontal="left" vertical="center" wrapText="1"/>
    </xf>
    <xf numFmtId="0" fontId="6" fillId="9" borderId="5" applyAlignment="1" pivotButton="0" quotePrefix="0" xfId="0">
      <alignment horizontal="left" vertical="center" wrapText="1"/>
    </xf>
    <xf numFmtId="0" fontId="6" fillId="10" borderId="5" applyAlignment="1" pivotButton="0" quotePrefix="0" xfId="0">
      <alignment horizontal="left" vertical="center" wrapText="1"/>
    </xf>
    <xf numFmtId="0" fontId="4" fillId="9" borderId="5" applyAlignment="1" pivotButton="0" quotePrefix="0" xfId="0">
      <alignment horizontal="left" vertical="center" wrapText="1"/>
    </xf>
    <xf numFmtId="0" fontId="9" fillId="4" borderId="5" applyAlignment="1" pivotButton="0" quotePrefix="0" xfId="0">
      <alignment horizontal="left" vertical="center" wrapText="1"/>
    </xf>
    <xf numFmtId="0" fontId="8" fillId="3" borderId="5" applyAlignment="1" pivotButton="0" quotePrefix="0" xfId="0">
      <alignment horizontal="left" vertical="center" wrapText="1"/>
    </xf>
    <xf numFmtId="0" fontId="5" fillId="7" borderId="6" applyAlignment="1" pivotButton="0" quotePrefix="0" xfId="0">
      <alignment horizontal="center" vertical="center" wrapText="1"/>
    </xf>
    <xf numFmtId="0" fontId="5" fillId="7" borderId="7" applyAlignment="1" pivotButton="0" quotePrefix="0" xfId="0">
      <alignment horizontal="center" vertical="center" wrapText="1"/>
    </xf>
    <xf numFmtId="0" fontId="11" fillId="11" borderId="6" applyAlignment="1" pivotButton="0" quotePrefix="0" xfId="0">
      <alignment horizontal="center" vertical="center" wrapText="1"/>
    </xf>
    <xf numFmtId="0" fontId="11" fillId="11" borderId="7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11" fillId="0" borderId="1" applyAlignment="1" pivotButton="0" quotePrefix="0" xfId="0">
      <alignment horizontal="left" vertical="center" wrapText="1"/>
    </xf>
    <xf numFmtId="0" fontId="11" fillId="0" borderId="1" applyAlignment="1" pivotButton="0" quotePrefix="0" xfId="0">
      <alignment horizontal="left" vertical="center" wrapText="1" indent="1"/>
    </xf>
    <xf numFmtId="0" fontId="3" fillId="4" borderId="1" applyAlignment="1" pivotButton="0" quotePrefix="0" xfId="0">
      <alignment horizontal="left" vertical="center" wrapText="1"/>
    </xf>
    <xf numFmtId="0" fontId="11" fillId="3" borderId="1" applyAlignment="1" pivotButton="0" quotePrefix="0" xfId="0">
      <alignment horizontal="center" vertical="center" wrapText="1"/>
    </xf>
    <xf numFmtId="0" fontId="11" fillId="11" borderId="1" applyAlignment="1" pivotButton="0" quotePrefix="0" xfId="0">
      <alignment horizontal="left" vertical="center" wrapText="1" indent="1"/>
    </xf>
    <xf numFmtId="0" fontId="3" fillId="2" borderId="1" applyAlignment="1" pivotButton="0" quotePrefix="0" xfId="0">
      <alignment horizontal="left" vertical="center" wrapText="1" indent="1"/>
    </xf>
    <xf numFmtId="0" fontId="5" fillId="7" borderId="1" applyAlignment="1" pivotButton="0" quotePrefix="0" xfId="0">
      <alignment horizontal="left" vertical="center" wrapText="1" indent="1"/>
    </xf>
    <xf numFmtId="0" fontId="2" fillId="0" borderId="1" applyAlignment="1" pivotButton="0" quotePrefix="0" xfId="0">
      <alignment horizontal="left" vertical="center" wrapText="1"/>
    </xf>
    <xf numFmtId="0" fontId="4" fillId="10" borderId="1" applyAlignment="1" pivotButton="0" quotePrefix="0" xfId="0">
      <alignment horizontal="left" vertical="center" wrapText="1"/>
    </xf>
    <xf numFmtId="0" fontId="2" fillId="8" borderId="1" applyAlignment="1" pivotButton="0" quotePrefix="0" xfId="0">
      <alignment horizontal="left" vertical="center" wrapText="1"/>
    </xf>
    <xf numFmtId="0" fontId="6" fillId="9" borderId="1" applyAlignment="1" pivotButton="0" quotePrefix="0" xfId="0">
      <alignment horizontal="left" vertical="center" wrapText="1"/>
    </xf>
    <xf numFmtId="0" fontId="6" fillId="10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left" vertical="center" wrapText="1"/>
    </xf>
    <xf numFmtId="0" fontId="9" fillId="4" borderId="1" applyAlignment="1" pivotButton="0" quotePrefix="0" xfId="0">
      <alignment horizontal="left" vertical="center" wrapText="1" indent="1"/>
    </xf>
    <xf numFmtId="0" fontId="8" fillId="3" borderId="1" applyAlignment="1" pivotButton="0" quotePrefix="0" xfId="0">
      <alignment horizontal="left" vertical="center" wrapText="1" indent="1"/>
    </xf>
    <xf numFmtId="0" fontId="0" fillId="0" borderId="12" pivotButton="0" quotePrefix="0" xfId="0"/>
    <xf numFmtId="0" fontId="0" fillId="0" borderId="7" pivotButton="0" quotePrefix="0" xfId="0"/>
    <xf numFmtId="164" fontId="2" fillId="10" borderId="5" applyAlignment="1" pivotButton="0" quotePrefix="0" xfId="0">
      <alignment horizontal="center" vertical="center" wrapText="1"/>
    </xf>
    <xf numFmtId="164" fontId="4" fillId="11" borderId="5" applyAlignment="1" pivotButton="0" quotePrefix="0" xfId="0">
      <alignment horizontal="center" vertical="center" wrapText="1"/>
    </xf>
    <xf numFmtId="0" fontId="11" fillId="11" borderId="5" applyAlignment="1" pivotButton="0" quotePrefix="0" xfId="0">
      <alignment horizontal="center" vertical="center" wrapText="1"/>
    </xf>
  </cellXfs>
  <cellStyles count="1">
    <cellStyle name="표준" xfId="0" builtinId="0"/>
  </cellStyles>
  <dxfs count="28">
    <dxf>
      <fill>
        <patternFill patternType="solid">
          <fgColor rgb="FFFFC7CE"/>
        </patternFill>
      </fill>
    </dxf>
    <dxf>
      <fill>
        <patternFill patternType="solid">
          <fgColor rgb="FFFFEB9C"/>
        </patternFill>
      </fill>
    </dxf>
    <dxf>
      <fill>
        <patternFill patternType="solid">
          <fgColor rgb="FFD9E1F2"/>
        </patternFill>
      </fill>
    </dxf>
    <dxf>
      <fill>
        <patternFill patternType="solid">
          <fgColor rgb="FFC6E0B4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FFEB9C"/>
        </patternFill>
      </fill>
    </dxf>
    <dxf>
      <fill>
        <patternFill patternType="solid">
          <fgColor rgb="FFD9E1F2"/>
        </patternFill>
      </fill>
    </dxf>
    <dxf>
      <fill>
        <patternFill patternType="solid">
          <fgColor rgb="FFC6E0B4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FFEB9C"/>
        </patternFill>
      </fill>
    </dxf>
    <dxf>
      <fill>
        <patternFill patternType="solid">
          <fgColor rgb="FFD9E1F2"/>
        </patternFill>
      </fill>
    </dxf>
    <dxf>
      <fill>
        <patternFill patternType="solid">
          <fgColor rgb="FFC6E0B4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FFEB9C"/>
        </patternFill>
      </fill>
    </dxf>
    <dxf>
      <fill>
        <patternFill patternType="solid">
          <fgColor rgb="FFD9E1F2"/>
        </patternFill>
      </fill>
    </dxf>
    <dxf>
      <fill>
        <patternFill patternType="solid">
          <fgColor rgb="FFC6E0B4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FFEB9C"/>
        </patternFill>
      </fill>
    </dxf>
    <dxf>
      <fill>
        <patternFill patternType="solid">
          <fgColor rgb="FFD9E1F2"/>
        </patternFill>
      </fill>
    </dxf>
    <dxf>
      <fill>
        <patternFill patternType="solid">
          <fgColor rgb="FFC6E0B4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FFEB9C"/>
        </patternFill>
      </fill>
    </dxf>
    <dxf>
      <fill>
        <patternFill patternType="solid">
          <fgColor rgb="FFD9E1F2"/>
        </patternFill>
      </fill>
    </dxf>
    <dxf>
      <fill>
        <patternFill patternType="solid">
          <fgColor rgb="FFC6E0B4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FFEB9C"/>
        </patternFill>
      </fill>
    </dxf>
    <dxf>
      <fill>
        <patternFill patternType="solid">
          <fgColor rgb="FFD9E1F2"/>
        </patternFill>
      </fill>
    </dxf>
    <dxf>
      <fill>
        <patternFill patternType="solid">
          <fgColor rgb="FFC6E0B4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8"/>
    <outlinePr summaryBelow="1" summaryRight="1"/>
    <pageSetUpPr/>
  </sheetPr>
  <dimension ref="A1:M80"/>
  <sheetViews>
    <sheetView workbookViewId="0">
      <selection activeCell="C11" sqref="C11"/>
    </sheetView>
  </sheetViews>
  <sheetFormatPr baseColWidth="8" defaultRowHeight="16.9"/>
  <cols>
    <col width="14" customWidth="1" min="1" max="1"/>
    <col width="20" customWidth="1" min="2" max="2"/>
    <col width="76" customWidth="1" min="3" max="3"/>
    <col width="14" customWidth="1" min="4" max="9"/>
  </cols>
  <sheetData>
    <row r="1" ht="30" customHeight="1">
      <c r="A1" s="62" t="inlineStr">
        <is>
          <t>성과평가지 양식 - 기술지원</t>
        </is>
      </c>
      <c r="B1" s="86" t="n"/>
      <c r="C1" s="87" t="n"/>
      <c r="D1" s="21" t="n"/>
      <c r="E1" s="21" t="n"/>
      <c r="F1" s="21" t="n"/>
      <c r="G1" s="21" t="n"/>
      <c r="H1" s="21" t="n"/>
      <c r="I1" s="21" t="n"/>
      <c r="J1" s="21" t="n"/>
      <c r="K1" s="21" t="n"/>
      <c r="L1" s="21" t="n"/>
      <c r="M1" s="21" t="n"/>
    </row>
    <row r="2" ht="20" customHeight="1">
      <c r="A2" s="91" t="inlineStr">
        <is>
          <t>베이시스소프트 1년 2회(상반기·하반기) 정기 성과평가 표준 양식</t>
        </is>
      </c>
      <c r="B2" s="86" t="n"/>
      <c r="C2" s="87" t="n"/>
      <c r="D2" s="21" t="n"/>
      <c r="E2" s="21" t="n"/>
      <c r="F2" s="21" t="n"/>
      <c r="G2" s="21" t="n"/>
      <c r="H2" s="21" t="n"/>
      <c r="I2" s="21" t="n"/>
      <c r="J2" s="21" t="n"/>
      <c r="K2" s="21" t="n"/>
      <c r="L2" s="21" t="n"/>
      <c r="M2" s="21" t="n"/>
    </row>
    <row r="3">
      <c r="A3" s="21" t="n"/>
      <c r="B3" s="21" t="n"/>
      <c r="C3" s="21" t="n"/>
      <c r="D3" s="21" t="n"/>
      <c r="E3" s="21" t="n"/>
      <c r="F3" s="21" t="n"/>
      <c r="G3" s="21" t="n"/>
      <c r="H3" s="21" t="n"/>
      <c r="I3" s="21" t="n"/>
      <c r="J3" s="21" t="n"/>
      <c r="K3" s="21" t="n"/>
      <c r="L3" s="21" t="n"/>
      <c r="M3" s="21" t="n"/>
    </row>
    <row r="4" ht="26" customHeight="1">
      <c r="A4" s="90" t="inlineStr">
        <is>
          <t>■ 1. 평가 목적</t>
        </is>
      </c>
      <c r="B4" s="86" t="n"/>
      <c r="C4" s="87" t="n"/>
      <c r="D4" s="21" t="n"/>
      <c r="E4" s="21" t="n"/>
      <c r="F4" s="21" t="n"/>
      <c r="G4" s="21" t="n"/>
      <c r="H4" s="21" t="n"/>
      <c r="I4" s="21" t="n"/>
      <c r="J4" s="21" t="n"/>
      <c r="K4" s="21" t="n"/>
      <c r="L4" s="21" t="n"/>
      <c r="M4" s="21" t="n"/>
    </row>
    <row r="5" ht="20" customHeight="1">
      <c r="A5" s="89" t="inlineStr">
        <is>
          <t>• 객관적이고 공정한 평가를 통해 구성원의 역량과 성과를 체계적으로 파악</t>
        </is>
      </c>
      <c r="B5" s="86" t="n"/>
      <c r="C5" s="87" t="n"/>
      <c r="D5" s="21" t="n"/>
      <c r="E5" s="21" t="n"/>
      <c r="F5" s="21" t="n"/>
      <c r="G5" s="21" t="n"/>
      <c r="H5" s="21" t="n"/>
      <c r="I5" s="21" t="n"/>
      <c r="J5" s="21" t="n"/>
      <c r="K5" s="21" t="n"/>
      <c r="L5" s="21" t="n"/>
      <c r="M5" s="21" t="n"/>
    </row>
    <row r="6" ht="20" customHeight="1">
      <c r="A6" s="89" t="inlineStr">
        <is>
          <t>• 성과 중심의 인사관리 기반 마련 및 승진·보상·인재 육성의 기준 제공</t>
        </is>
      </c>
      <c r="B6" s="86" t="n"/>
      <c r="C6" s="87" t="n"/>
      <c r="D6" s="21" t="n"/>
      <c r="E6" s="21" t="n"/>
      <c r="F6" s="21" t="n"/>
      <c r="G6" s="21" t="n"/>
      <c r="H6" s="21" t="n"/>
      <c r="I6" s="21" t="n"/>
      <c r="J6" s="21" t="n"/>
      <c r="K6" s="21" t="n"/>
      <c r="L6" s="21" t="n"/>
      <c r="M6" s="21" t="n"/>
    </row>
    <row r="7" ht="20" customHeight="1">
      <c r="A7" s="89" t="inlineStr">
        <is>
          <t>• 구성원의 자기 인식·역량 개발 촉진과 성과 기반 보상 체계 확립</t>
        </is>
      </c>
      <c r="B7" s="86" t="n"/>
      <c r="C7" s="87" t="n"/>
      <c r="D7" s="21" t="n"/>
      <c r="E7" s="21" t="n"/>
      <c r="F7" s="21" t="n"/>
      <c r="G7" s="21" t="n"/>
      <c r="H7" s="21" t="n"/>
      <c r="I7" s="21" t="n"/>
      <c r="J7" s="21" t="n"/>
      <c r="K7" s="21" t="n"/>
      <c r="L7" s="21" t="n"/>
      <c r="M7" s="21" t="n"/>
    </row>
    <row r="8">
      <c r="A8" s="21" t="n"/>
      <c r="B8" s="21" t="n"/>
      <c r="C8" s="21" t="n"/>
      <c r="D8" s="21" t="n"/>
      <c r="E8" s="21" t="n"/>
      <c r="F8" s="21" t="n"/>
      <c r="G8" s="21" t="n"/>
      <c r="H8" s="21" t="n"/>
      <c r="I8" s="21" t="n"/>
      <c r="J8" s="21" t="n"/>
      <c r="K8" s="21" t="n"/>
      <c r="L8" s="21" t="n"/>
      <c r="M8" s="21" t="n"/>
    </row>
    <row r="9" ht="26" customHeight="1">
      <c r="A9" s="90" t="inlineStr">
        <is>
          <t>■ 2. 평가 진행 절차 (평가자가 해야 할 일)</t>
        </is>
      </c>
      <c r="B9" s="86" t="n"/>
      <c r="C9" s="87" t="n"/>
      <c r="D9" s="21" t="n"/>
      <c r="E9" s="21" t="n"/>
      <c r="F9" s="21" t="n"/>
      <c r="G9" s="21" t="n"/>
      <c r="H9" s="21" t="n"/>
      <c r="I9" s="21" t="n"/>
      <c r="J9" s="21" t="n"/>
      <c r="K9" s="21" t="n"/>
      <c r="L9" s="21" t="n"/>
      <c r="M9" s="21" t="n"/>
    </row>
    <row r="10" ht="36" customHeight="1">
      <c r="A10" s="19" t="inlineStr">
        <is>
          <t>STEP 1</t>
        </is>
      </c>
      <c r="B10" s="20" t="inlineStr">
        <is>
          <t>양식 복사</t>
        </is>
      </c>
      <c r="C10" s="88" t="inlineStr">
        <is>
          <t>평가 대상자의 역할등급에 맞는 양식 시트를 우클릭 → [시트 이동/복사 → 복사본 만들기] → 시트명을 [평가_사번_성명]으로 변경</t>
        </is>
      </c>
      <c r="D10" s="21" t="n"/>
      <c r="E10" s="21" t="n"/>
      <c r="F10" s="21" t="n"/>
      <c r="G10" s="21" t="n"/>
      <c r="H10" s="21" t="n"/>
      <c r="I10" s="21" t="n"/>
      <c r="J10" s="21" t="n"/>
      <c r="K10" s="21" t="n"/>
      <c r="L10" s="21" t="n"/>
      <c r="M10" s="21" t="n"/>
    </row>
    <row r="11" ht="36" customHeight="1">
      <c r="A11" s="19" t="inlineStr">
        <is>
          <t>STEP 2</t>
        </is>
      </c>
      <c r="B11" s="20" t="inlineStr">
        <is>
          <t>정보 입력</t>
        </is>
      </c>
      <c r="C11" s="88" t="inlineStr">
        <is>
          <t>복사한 시트 상단의 [평가 대상자 정보]와 [평가자 정보] 주황색 셀에 사번·성명·직책·이메일·평가차수 입력</t>
        </is>
      </c>
      <c r="D11" s="21" t="n"/>
      <c r="E11" s="21" t="n"/>
      <c r="F11" s="21" t="n"/>
      <c r="G11" s="21" t="n"/>
      <c r="H11" s="21" t="n"/>
      <c r="I11" s="21" t="n"/>
      <c r="J11" s="21" t="n"/>
      <c r="K11" s="21" t="n"/>
      <c r="L11" s="21" t="n"/>
      <c r="M11" s="21" t="n"/>
    </row>
    <row r="12" ht="36" customHeight="1">
      <c r="A12" s="19" t="inlineStr">
        <is>
          <t>STEP 3</t>
        </is>
      </c>
      <c r="B12" s="20" t="inlineStr">
        <is>
          <t>역할평가</t>
        </is>
      </c>
      <c r="C12" s="88" t="inlineStr">
        <is>
          <t>5개 BARS 항목(R-1~R-5)에 1·2차 평가자가 각자 등급(S/A/B/C/D) 입력. 각 항목 D열의 등급 기준 참고</t>
        </is>
      </c>
      <c r="D12" s="21" t="n"/>
      <c r="E12" s="21" t="n"/>
      <c r="F12" s="21" t="n"/>
      <c r="G12" s="21" t="n"/>
      <c r="H12" s="21" t="n"/>
      <c r="I12" s="21" t="n"/>
      <c r="J12" s="21" t="n"/>
      <c r="K12" s="21" t="n"/>
      <c r="L12" s="21" t="n"/>
      <c r="M12" s="21" t="n"/>
    </row>
    <row r="13" ht="36" customHeight="1">
      <c r="A13" s="19" t="inlineStr">
        <is>
          <t>STEP 4</t>
        </is>
      </c>
      <c r="B13" s="20" t="inlineStr">
        <is>
          <t>공통역량평가</t>
        </is>
      </c>
      <c r="C13" s="88" t="inlineStr">
        <is>
          <t>11개 공통역량(C-1~C-11)에 1·2차 평가자가 각자 등급 입력. 각 역량의 BARS 5단계 기준 참고</t>
        </is>
      </c>
      <c r="D13" s="21" t="n"/>
      <c r="E13" s="21" t="n"/>
      <c r="F13" s="21" t="n"/>
      <c r="G13" s="21" t="n"/>
      <c r="H13" s="21" t="n"/>
      <c r="I13" s="21" t="n"/>
      <c r="J13" s="21" t="n"/>
      <c r="K13" s="21" t="n"/>
      <c r="L13" s="21" t="n"/>
      <c r="M13" s="21" t="n"/>
    </row>
    <row r="14" ht="36" customHeight="1">
      <c r="A14" s="19" t="inlineStr">
        <is>
          <t>STEP 5</t>
        </is>
      </c>
      <c r="B14" s="20" t="inlineStr">
        <is>
          <t>직무역량평가</t>
        </is>
      </c>
      <c r="C14" s="88" t="inlineStr">
        <is>
          <t>직무 책무 목록의 E열(메인)에 메인 업무는 'O', 비메인은 'X' 표시 → O 표시된 책무만 1·2차 등급 입력. 각 책무 D열의 S/A/B/C/D 등급 기준 참고</t>
        </is>
      </c>
      <c r="D14" s="21" t="n"/>
      <c r="E14" s="21" t="n"/>
      <c r="F14" s="21" t="n"/>
      <c r="G14" s="21" t="n"/>
      <c r="H14" s="21" t="n"/>
      <c r="I14" s="21" t="n"/>
      <c r="J14" s="21" t="n"/>
      <c r="K14" s="21" t="n"/>
      <c r="L14" s="21" t="n"/>
      <c r="M14" s="21" t="n"/>
    </row>
    <row r="15" ht="36" customHeight="1">
      <c r="A15" s="19" t="inlineStr">
        <is>
          <t>STEP 6</t>
        </is>
      </c>
      <c r="B15" s="20" t="inlineStr">
        <is>
          <t>종합 소견</t>
        </is>
      </c>
      <c r="C15" s="88" t="inlineStr">
        <is>
          <t>강점·개선·육성 방향을 구체 사례 중심으로 작성</t>
        </is>
      </c>
      <c r="D15" s="21" t="n"/>
      <c r="E15" s="21" t="n"/>
      <c r="F15" s="21" t="n"/>
      <c r="G15" s="21" t="n"/>
      <c r="H15" s="21" t="n"/>
      <c r="I15" s="21" t="n"/>
      <c r="J15" s="21" t="n"/>
      <c r="K15" s="21" t="n"/>
      <c r="L15" s="21" t="n"/>
      <c r="M15" s="21" t="n"/>
    </row>
    <row r="16" ht="36" customHeight="1">
      <c r="A16" s="19" t="inlineStr">
        <is>
          <t>STEP 7</t>
        </is>
      </c>
      <c r="B16" s="20" t="inlineStr">
        <is>
          <t>HR 제출</t>
        </is>
      </c>
      <c r="C16" s="88" t="inlineStr">
        <is>
          <t>작성 완료된 평가지 파일을 HR 담당자에게 이메일로 송부 → 평가 절차 완료 (이후 처리는 HR 담당자가 통합관리시트에서 자동 산출)</t>
        </is>
      </c>
      <c r="D16" s="21" t="n"/>
      <c r="E16" s="21" t="n"/>
      <c r="F16" s="21" t="n"/>
      <c r="G16" s="21" t="n"/>
      <c r="H16" s="21" t="n"/>
      <c r="I16" s="21" t="n"/>
      <c r="J16" s="21" t="n"/>
      <c r="K16" s="21" t="n"/>
      <c r="L16" s="21" t="n"/>
      <c r="M16" s="21" t="n"/>
    </row>
    <row r="17">
      <c r="A17" s="21" t="n"/>
      <c r="B17" s="21" t="n"/>
      <c r="C17" s="21" t="n"/>
      <c r="D17" s="21" t="n"/>
      <c r="E17" s="21" t="n"/>
      <c r="F17" s="21" t="n"/>
      <c r="G17" s="21" t="n"/>
      <c r="H17" s="21" t="n"/>
      <c r="I17" s="21" t="n"/>
      <c r="J17" s="21" t="n"/>
      <c r="K17" s="21" t="n"/>
      <c r="L17" s="21" t="n"/>
      <c r="M17" s="21" t="n"/>
    </row>
    <row r="18" ht="26" customHeight="1">
      <c r="A18" s="90" t="inlineStr">
        <is>
          <t>■ 3. 평가 등급 체계 (S/A/B/C/D)</t>
        </is>
      </c>
      <c r="B18" s="86" t="n"/>
      <c r="C18" s="87" t="n"/>
      <c r="D18" s="21" t="n"/>
      <c r="E18" s="21" t="n"/>
      <c r="F18" s="21" t="n"/>
      <c r="G18" s="21" t="n"/>
      <c r="H18" s="21" t="n"/>
      <c r="I18" s="21" t="n"/>
      <c r="J18" s="21" t="n"/>
      <c r="K18" s="21" t="n"/>
      <c r="L18" s="21" t="n"/>
      <c r="M18" s="21" t="n"/>
    </row>
    <row r="19" ht="22.05" customHeight="1">
      <c r="A19" s="19" t="inlineStr">
        <is>
          <t>S (탁월)</t>
        </is>
      </c>
      <c r="B19" s="88" t="inlineStr">
        <is>
          <t>기대 수준을 현저히 초과. 모범 사례 / 조직 전체 파급 효과 창출</t>
        </is>
      </c>
      <c r="C19" s="87" t="n"/>
      <c r="D19" s="21" t="n"/>
      <c r="E19" s="21" t="n"/>
      <c r="F19" s="21" t="n"/>
      <c r="G19" s="21" t="n"/>
      <c r="H19" s="21" t="n"/>
      <c r="I19" s="21" t="n"/>
      <c r="J19" s="21" t="n"/>
      <c r="K19" s="21" t="n"/>
      <c r="L19" s="21" t="n"/>
      <c r="M19" s="21" t="n"/>
    </row>
    <row r="20" ht="22.05" customHeight="1">
      <c r="A20" s="19" t="inlineStr">
        <is>
          <t>A (우수)</t>
        </is>
      </c>
      <c r="B20" s="88" t="inlineStr">
        <is>
          <t>기대 수준 상회. 자기주도적·선제적 우수 성과</t>
        </is>
      </c>
      <c r="C20" s="87" t="n"/>
      <c r="D20" s="21" t="n"/>
      <c r="E20" s="21" t="n"/>
      <c r="F20" s="21" t="n"/>
      <c r="G20" s="21" t="n"/>
      <c r="H20" s="21" t="n"/>
      <c r="I20" s="21" t="n"/>
      <c r="J20" s="21" t="n"/>
      <c r="K20" s="21" t="n"/>
      <c r="L20" s="21" t="n"/>
      <c r="M20" s="21" t="n"/>
    </row>
    <row r="21" ht="22.05" customHeight="1">
      <c r="A21" s="19" t="inlineStr">
        <is>
          <t>B (양호)</t>
        </is>
      </c>
      <c r="B21" s="88" t="inlineStr">
        <is>
          <t>기대 수준 부합. 책임과 과제를 안정적으로 기한 내 완수</t>
        </is>
      </c>
      <c r="C21" s="87" t="n"/>
      <c r="D21" s="21" t="n"/>
      <c r="E21" s="21" t="n"/>
      <c r="F21" s="21" t="n"/>
      <c r="G21" s="21" t="n"/>
      <c r="H21" s="21" t="n"/>
      <c r="I21" s="21" t="n"/>
      <c r="J21" s="21" t="n"/>
      <c r="K21" s="21" t="n"/>
      <c r="L21" s="21" t="n"/>
      <c r="M21" s="21" t="n"/>
    </row>
    <row r="22" ht="22.05" customHeight="1">
      <c r="A22" s="19" t="inlineStr">
        <is>
          <t>C (미흡)</t>
        </is>
      </c>
      <c r="B22" s="88" t="inlineStr">
        <is>
          <t>기대 대비 부분 미흡. 추가 지도·지원 필요</t>
        </is>
      </c>
      <c r="C22" s="87" t="n"/>
      <c r="D22" s="21" t="n"/>
      <c r="E22" s="21" t="n"/>
      <c r="F22" s="21" t="n"/>
      <c r="G22" s="21" t="n"/>
      <c r="H22" s="21" t="n"/>
      <c r="I22" s="21" t="n"/>
      <c r="J22" s="21" t="n"/>
      <c r="K22" s="21" t="n"/>
      <c r="L22" s="21" t="n"/>
      <c r="M22" s="21" t="n"/>
    </row>
    <row r="23" ht="22.05" customHeight="1">
      <c r="A23" s="19" t="inlineStr">
        <is>
          <t>D (부족)</t>
        </is>
      </c>
      <c r="B23" s="88" t="inlineStr">
        <is>
          <t>전반 미흡. 근본 개선 계획 필요</t>
        </is>
      </c>
      <c r="C23" s="87" t="n"/>
      <c r="D23" s="21" t="n"/>
      <c r="E23" s="21" t="n"/>
      <c r="F23" s="21" t="n"/>
      <c r="G23" s="21" t="n"/>
      <c r="H23" s="21" t="n"/>
      <c r="I23" s="21" t="n"/>
      <c r="J23" s="21" t="n"/>
      <c r="K23" s="21" t="n"/>
      <c r="L23" s="21" t="n"/>
      <c r="M23" s="21" t="n"/>
    </row>
    <row r="24">
      <c r="A24" s="21" t="n"/>
      <c r="B24" s="21" t="n"/>
      <c r="C24" s="21" t="n"/>
      <c r="D24" s="21" t="n"/>
      <c r="E24" s="21" t="n"/>
      <c r="F24" s="21" t="n"/>
      <c r="G24" s="21" t="n"/>
      <c r="H24" s="21" t="n"/>
      <c r="I24" s="21" t="n"/>
      <c r="J24" s="21" t="n"/>
      <c r="K24" s="21" t="n"/>
      <c r="L24" s="21" t="n"/>
      <c r="M24" s="21" t="n"/>
    </row>
    <row r="25" ht="26" customHeight="1">
      <c r="A25" s="90" t="inlineStr">
        <is>
          <t>■ 4. 평가 시 유의사항</t>
        </is>
      </c>
      <c r="B25" s="86" t="n"/>
      <c r="C25" s="87" t="n"/>
      <c r="D25" s="21" t="n"/>
      <c r="E25" s="21" t="n"/>
      <c r="F25" s="21" t="n"/>
      <c r="G25" s="21" t="n"/>
      <c r="H25" s="21" t="n"/>
      <c r="I25" s="21" t="n"/>
      <c r="J25" s="21" t="n"/>
      <c r="K25" s="21" t="n"/>
      <c r="L25" s="21" t="n"/>
      <c r="M25" s="21" t="n"/>
    </row>
    <row r="26" ht="20" customHeight="1">
      <c r="A26" s="89" t="inlineStr">
        <is>
          <t>• 객관적 사실에 근거하여 평가하세요. 평가 기간(6개월) 동안 관찰한 구체 행동·산출물 기반</t>
        </is>
      </c>
      <c r="B26" s="86" t="n"/>
      <c r="C26" s="87" t="n"/>
      <c r="D26" s="21" t="n"/>
      <c r="E26" s="21" t="n"/>
      <c r="F26" s="21" t="n"/>
      <c r="G26" s="21" t="n"/>
      <c r="H26" s="21" t="n"/>
      <c r="I26" s="21" t="n"/>
      <c r="J26" s="21" t="n"/>
      <c r="K26" s="21" t="n"/>
      <c r="L26" s="21" t="n"/>
      <c r="M26" s="21" t="n"/>
    </row>
    <row r="27" ht="20" customHeight="1">
      <c r="A27" s="89" t="inlineStr">
        <is>
          <t>• BARS(행동기준 등급) 5단계 기준을 반드시 참고. 각 등급의 행동 예시를 확인 후 판단</t>
        </is>
      </c>
      <c r="B27" s="86" t="n"/>
      <c r="C27" s="87" t="n"/>
      <c r="D27" s="21" t="n"/>
      <c r="E27" s="21" t="n"/>
      <c r="F27" s="21" t="n"/>
      <c r="G27" s="21" t="n"/>
      <c r="H27" s="21" t="n"/>
      <c r="I27" s="21" t="n"/>
      <c r="J27" s="21" t="n"/>
      <c r="K27" s="21" t="n"/>
      <c r="L27" s="21" t="n"/>
      <c r="M27" s="21" t="n"/>
    </row>
    <row r="28" ht="20" customHeight="1">
      <c r="A28" s="89" t="inlineStr">
        <is>
          <t>• 개인 감정·관계가 아닌 업무 성과·역량 자체를 평가</t>
        </is>
      </c>
      <c r="B28" s="86" t="n"/>
      <c r="C28" s="87" t="n"/>
      <c r="D28" s="21" t="n"/>
      <c r="E28" s="21" t="n"/>
      <c r="F28" s="21" t="n"/>
      <c r="G28" s="21" t="n"/>
      <c r="H28" s="21" t="n"/>
      <c r="I28" s="21" t="n"/>
      <c r="J28" s="21" t="n"/>
      <c r="K28" s="21" t="n"/>
      <c r="L28" s="21" t="n"/>
      <c r="M28" s="21" t="n"/>
    </row>
    <row r="29" ht="20" customHeight="1">
      <c r="A29" s="89" t="inlineStr">
        <is>
          <t>• B(양호)가 기준점. 기대 수준 부합 시 B 부여. 초과·미달 정도에 따라 S/A 또는 C/D</t>
        </is>
      </c>
      <c r="B29" s="86" t="n"/>
      <c r="C29" s="87" t="n"/>
      <c r="D29" s="21" t="n"/>
      <c r="E29" s="21" t="n"/>
      <c r="F29" s="21" t="n"/>
      <c r="G29" s="21" t="n"/>
      <c r="H29" s="21" t="n"/>
      <c r="I29" s="21" t="n"/>
      <c r="J29" s="21" t="n"/>
      <c r="K29" s="21" t="n"/>
      <c r="L29" s="21" t="n"/>
      <c r="M29" s="21" t="n"/>
    </row>
    <row r="30" ht="20" customHeight="1">
      <c r="A30" s="89" t="inlineStr">
        <is>
          <t>• 1·2차 평가자는 독립적으로 평가. 통합관리시트에서 자동 가중평균 산출</t>
        </is>
      </c>
      <c r="B30" s="86" t="n"/>
      <c r="C30" s="87" t="n"/>
      <c r="D30" s="21" t="n"/>
      <c r="E30" s="21" t="n"/>
      <c r="F30" s="21" t="n"/>
      <c r="G30" s="21" t="n"/>
      <c r="H30" s="21" t="n"/>
      <c r="I30" s="21" t="n"/>
      <c r="J30" s="21" t="n"/>
      <c r="K30" s="21" t="n"/>
      <c r="L30" s="21" t="n"/>
      <c r="M30" s="21" t="n"/>
    </row>
    <row r="31" ht="20" customHeight="1">
      <c r="A31" s="89" t="inlineStr">
        <is>
          <t>• 직무역량은 메인(O) 책무만 평가. 비메인(X)은 평가 제외</t>
        </is>
      </c>
      <c r="B31" s="86" t="n"/>
      <c r="C31" s="87" t="n"/>
      <c r="D31" s="21" t="n"/>
      <c r="E31" s="21" t="n"/>
      <c r="F31" s="21" t="n"/>
      <c r="G31" s="21" t="n"/>
      <c r="H31" s="21" t="n"/>
      <c r="I31" s="21" t="n"/>
      <c r="J31" s="21" t="n"/>
      <c r="K31" s="21" t="n"/>
      <c r="L31" s="21" t="n"/>
      <c r="M31" s="21" t="n"/>
    </row>
    <row r="32" ht="20" customHeight="1">
      <c r="A32" s="89" t="inlineStr">
        <is>
          <t>• 평가 결과는 인사위원회·인사담당자 외에는 비공개. 보안 주의</t>
        </is>
      </c>
      <c r="B32" s="86" t="n"/>
      <c r="C32" s="87" t="n"/>
      <c r="D32" s="21" t="n"/>
      <c r="E32" s="21" t="n"/>
      <c r="F32" s="21" t="n"/>
      <c r="G32" s="21" t="n"/>
      <c r="H32" s="21" t="n"/>
      <c r="I32" s="21" t="n"/>
      <c r="J32" s="21" t="n"/>
      <c r="K32" s="21" t="n"/>
      <c r="L32" s="21" t="n"/>
      <c r="M32" s="21" t="n"/>
    </row>
    <row r="33">
      <c r="A33" s="21" t="n"/>
      <c r="B33" s="21" t="n"/>
      <c r="C33" s="21" t="n"/>
      <c r="D33" s="21" t="n"/>
      <c r="E33" s="21" t="n"/>
      <c r="F33" s="21" t="n"/>
      <c r="G33" s="21" t="n"/>
      <c r="H33" s="21" t="n"/>
      <c r="I33" s="21" t="n"/>
      <c r="J33" s="21" t="n"/>
      <c r="K33" s="21" t="n"/>
      <c r="L33" s="21" t="n"/>
      <c r="M33" s="21" t="n"/>
    </row>
    <row r="34" ht="26" customHeight="1">
      <c r="A34" s="90" t="inlineStr">
        <is>
          <t>■ 5. 평가 결과 활용</t>
        </is>
      </c>
      <c r="B34" s="86" t="n"/>
      <c r="C34" s="87" t="n"/>
      <c r="D34" s="21" t="n"/>
      <c r="E34" s="21" t="n"/>
      <c r="F34" s="21" t="n"/>
      <c r="G34" s="21" t="n"/>
      <c r="H34" s="21" t="n"/>
      <c r="I34" s="21" t="n"/>
      <c r="J34" s="21" t="n"/>
      <c r="K34" s="21" t="n"/>
      <c r="L34" s="21" t="n"/>
      <c r="M34" s="21" t="n"/>
    </row>
    <row r="35" ht="20" customHeight="1">
      <c r="A35" s="89" t="inlineStr">
        <is>
          <t>• 차년도 기본연봉 인상률 (S 6% / A 5% / B 4% / C 3% / D 2%)</t>
        </is>
      </c>
      <c r="B35" s="86" t="n"/>
      <c r="C35" s="87" t="n"/>
      <c r="D35" s="21" t="n"/>
      <c r="E35" s="21" t="n"/>
      <c r="F35" s="21" t="n"/>
      <c r="G35" s="21" t="n"/>
      <c r="H35" s="21" t="n"/>
      <c r="I35" s="21" t="n"/>
      <c r="J35" s="21" t="n"/>
      <c r="K35" s="21" t="n"/>
      <c r="L35" s="21" t="n"/>
      <c r="M35" s="21" t="n"/>
    </row>
    <row r="36" ht="20" customHeight="1">
      <c r="A36" s="89" t="inlineStr">
        <is>
          <t>• 성과급 지급률 (S 20% / A 15% / B 10% / C 5% / D 0%)</t>
        </is>
      </c>
      <c r="B36" s="86" t="n"/>
      <c r="C36" s="87" t="n"/>
      <c r="D36" s="21" t="n"/>
      <c r="E36" s="21" t="n"/>
      <c r="F36" s="21" t="n"/>
      <c r="G36" s="21" t="n"/>
      <c r="H36" s="21" t="n"/>
      <c r="I36" s="21" t="n"/>
      <c r="J36" s="21" t="n"/>
      <c r="K36" s="21" t="n"/>
      <c r="L36" s="21" t="n"/>
      <c r="M36" s="21" t="n"/>
    </row>
    <row r="37" ht="20" customHeight="1">
      <c r="A37" s="89" t="inlineStr">
        <is>
          <t>• 승진 심사 자료 (승진 연한 + 등급 기준)</t>
        </is>
      </c>
      <c r="B37" s="86" t="n"/>
      <c r="C37" s="87" t="n"/>
      <c r="D37" s="21" t="n"/>
      <c r="E37" s="21" t="n"/>
      <c r="F37" s="21" t="n"/>
      <c r="G37" s="21" t="n"/>
      <c r="H37" s="21" t="n"/>
      <c r="I37" s="21" t="n"/>
      <c r="J37" s="21" t="n"/>
      <c r="K37" s="21" t="n"/>
      <c r="L37" s="21" t="n"/>
      <c r="M37" s="21" t="n"/>
    </row>
    <row r="38" ht="20" customHeight="1">
      <c r="A38" s="89" t="inlineStr">
        <is>
          <t>• 역량 개발·교육 훈련 계획 수립 자료</t>
        </is>
      </c>
      <c r="B38" s="86" t="n"/>
      <c r="C38" s="87" t="n"/>
      <c r="D38" s="21" t="n"/>
      <c r="E38" s="21" t="n"/>
      <c r="F38" s="21" t="n"/>
      <c r="G38" s="21" t="n"/>
      <c r="H38" s="21" t="n"/>
      <c r="I38" s="21" t="n"/>
      <c r="J38" s="21" t="n"/>
      <c r="K38" s="21" t="n"/>
      <c r="L38" s="21" t="n"/>
      <c r="M38" s="21" t="n"/>
    </row>
    <row r="39">
      <c r="A39" s="21" t="n"/>
      <c r="B39" s="21" t="n"/>
      <c r="C39" s="21" t="n"/>
      <c r="D39" s="21" t="n"/>
      <c r="E39" s="21" t="n"/>
      <c r="F39" s="21" t="n"/>
      <c r="G39" s="21" t="n"/>
      <c r="H39" s="21" t="n"/>
      <c r="I39" s="21" t="n"/>
      <c r="J39" s="21" t="n"/>
      <c r="K39" s="21" t="n"/>
      <c r="L39" s="21" t="n"/>
      <c r="M39" s="21" t="n"/>
    </row>
    <row r="40" ht="26" customHeight="1">
      <c r="A40" s="90" t="inlineStr">
        <is>
          <t>■ 6. 본 파일에 포함된 양식 (역할등급별 7개 시트)</t>
        </is>
      </c>
      <c r="B40" s="86" t="n"/>
      <c r="C40" s="87" t="n"/>
      <c r="D40" s="21" t="n"/>
      <c r="E40" s="21" t="n"/>
      <c r="F40" s="21" t="n"/>
      <c r="G40" s="21" t="n"/>
      <c r="H40" s="21" t="n"/>
      <c r="I40" s="21" t="n"/>
      <c r="J40" s="21" t="n"/>
      <c r="K40" s="21" t="n"/>
      <c r="L40" s="21" t="n"/>
      <c r="M40" s="21" t="n"/>
    </row>
    <row r="41" ht="22.05" customHeight="1">
      <c r="A41" s="19" t="inlineStr">
        <is>
          <t>역할등급</t>
        </is>
      </c>
      <c r="B41" s="19" t="inlineStr">
        <is>
          <t>역할명</t>
        </is>
      </c>
      <c r="C41" s="19" t="inlineStr">
        <is>
          <t>시트명</t>
        </is>
      </c>
      <c r="D41" s="21" t="n"/>
      <c r="E41" s="21" t="n"/>
      <c r="F41" s="21" t="n"/>
      <c r="G41" s="21" t="n"/>
      <c r="H41" s="21" t="n"/>
      <c r="I41" s="21" t="n"/>
      <c r="J41" s="21" t="n"/>
      <c r="K41" s="21" t="n"/>
      <c r="L41" s="21" t="n"/>
      <c r="M41" s="21" t="n"/>
    </row>
    <row r="42" ht="22.05" customHeight="1">
      <c r="A42" s="23" t="inlineStr">
        <is>
          <t>G6</t>
        </is>
      </c>
      <c r="B42" s="88" t="inlineStr">
        <is>
          <t>사업·조직 관리</t>
        </is>
      </c>
      <c r="C42" s="88" t="inlineStr">
        <is>
          <t>양식_기술지원_G6</t>
        </is>
      </c>
      <c r="D42" s="21" t="n"/>
      <c r="E42" s="21" t="n"/>
      <c r="F42" s="21" t="n"/>
      <c r="G42" s="21" t="n"/>
      <c r="H42" s="21" t="n"/>
      <c r="I42" s="21" t="n"/>
      <c r="J42" s="21" t="n"/>
      <c r="K42" s="21" t="n"/>
      <c r="L42" s="21" t="n"/>
      <c r="M42" s="21" t="n"/>
    </row>
    <row r="43" ht="22.05" customHeight="1">
      <c r="A43" s="23" t="inlineStr">
        <is>
          <t>G5-M</t>
        </is>
      </c>
      <c r="B43" s="88" t="inlineStr">
        <is>
          <t>직무 관리(부서장)</t>
        </is>
      </c>
      <c r="C43" s="88" t="inlineStr">
        <is>
          <t>양식_기술지원_G5-M</t>
        </is>
      </c>
      <c r="D43" s="21" t="n"/>
      <c r="E43" s="21" t="n"/>
      <c r="F43" s="21" t="n"/>
      <c r="G43" s="21" t="n"/>
      <c r="H43" s="21" t="n"/>
      <c r="I43" s="21" t="n"/>
      <c r="J43" s="21" t="n"/>
      <c r="K43" s="21" t="n"/>
      <c r="L43" s="21" t="n"/>
      <c r="M43" s="21" t="n"/>
    </row>
    <row r="44" ht="22.05" customHeight="1">
      <c r="A44" s="23" t="inlineStr">
        <is>
          <t>G5-S</t>
        </is>
      </c>
      <c r="B44" s="88" t="inlineStr">
        <is>
          <t>실무 스페셜리스트</t>
        </is>
      </c>
      <c r="C44" s="88" t="inlineStr">
        <is>
          <t>양식_기술지원_G5-S</t>
        </is>
      </c>
      <c r="D44" s="21" t="n"/>
      <c r="E44" s="21" t="n"/>
      <c r="F44" s="21" t="n"/>
      <c r="G44" s="21" t="n"/>
      <c r="H44" s="21" t="n"/>
      <c r="I44" s="21" t="n"/>
      <c r="J44" s="21" t="n"/>
      <c r="K44" s="21" t="n"/>
      <c r="L44" s="21" t="n"/>
      <c r="M44" s="21" t="n"/>
    </row>
    <row r="45" ht="22.05" customHeight="1">
      <c r="A45" s="23" t="inlineStr">
        <is>
          <t>G4</t>
        </is>
      </c>
      <c r="B45" s="88" t="inlineStr">
        <is>
          <t>실무 책임(PM)</t>
        </is>
      </c>
      <c r="C45" s="88" t="inlineStr">
        <is>
          <t>양식_기술지원_G4</t>
        </is>
      </c>
      <c r="D45" s="21" t="n"/>
      <c r="E45" s="21" t="n"/>
      <c r="F45" s="21" t="n"/>
      <c r="G45" s="21" t="n"/>
      <c r="H45" s="21" t="n"/>
      <c r="I45" s="21" t="n"/>
      <c r="J45" s="21" t="n"/>
      <c r="K45" s="21" t="n"/>
      <c r="L45" s="21" t="n"/>
      <c r="M45" s="21" t="n"/>
    </row>
    <row r="46" ht="22.05" customHeight="1">
      <c r="A46" s="23" t="inlineStr">
        <is>
          <t>G3</t>
        </is>
      </c>
      <c r="B46" s="88" t="inlineStr">
        <is>
          <t>핵심 실무</t>
        </is>
      </c>
      <c r="C46" s="88" t="inlineStr">
        <is>
          <t>양식_기술지원_G3</t>
        </is>
      </c>
      <c r="D46" s="21" t="n"/>
      <c r="E46" s="21" t="n"/>
      <c r="F46" s="21" t="n"/>
      <c r="G46" s="21" t="n"/>
      <c r="H46" s="21" t="n"/>
      <c r="I46" s="21" t="n"/>
      <c r="J46" s="21" t="n"/>
      <c r="K46" s="21" t="n"/>
      <c r="L46" s="21" t="n"/>
      <c r="M46" s="21" t="n"/>
    </row>
    <row r="47" ht="22.05" customHeight="1">
      <c r="A47" s="23" t="inlineStr">
        <is>
          <t>G2</t>
        </is>
      </c>
      <c r="B47" s="88" t="inlineStr">
        <is>
          <t>실무</t>
        </is>
      </c>
      <c r="C47" s="88" t="inlineStr">
        <is>
          <t>양식_기술지원_G2</t>
        </is>
      </c>
      <c r="D47" s="21" t="n"/>
      <c r="E47" s="21" t="n"/>
      <c r="F47" s="21" t="n"/>
      <c r="G47" s="21" t="n"/>
      <c r="H47" s="21" t="n"/>
      <c r="I47" s="21" t="n"/>
      <c r="J47" s="21" t="n"/>
      <c r="K47" s="21" t="n"/>
      <c r="L47" s="21" t="n"/>
      <c r="M47" s="21" t="n"/>
    </row>
    <row r="48" ht="22.05" customHeight="1">
      <c r="A48" s="23" t="inlineStr">
        <is>
          <t>G1</t>
        </is>
      </c>
      <c r="B48" s="88" t="inlineStr">
        <is>
          <t>실무 보조</t>
        </is>
      </c>
      <c r="C48" s="88" t="inlineStr">
        <is>
          <t>양식_기술지원_G1</t>
        </is>
      </c>
      <c r="D48" s="21" t="n"/>
      <c r="E48" s="21" t="n"/>
      <c r="F48" s="21" t="n"/>
      <c r="G48" s="21" t="n"/>
      <c r="H48" s="21" t="n"/>
      <c r="I48" s="21" t="n"/>
      <c r="J48" s="21" t="n"/>
      <c r="K48" s="21" t="n"/>
      <c r="L48" s="21" t="n"/>
      <c r="M48" s="21" t="n"/>
    </row>
    <row r="49">
      <c r="A49" s="21" t="n"/>
      <c r="B49" s="21" t="n"/>
      <c r="C49" s="21" t="n"/>
      <c r="D49" s="21" t="n"/>
      <c r="E49" s="21" t="n"/>
      <c r="F49" s="21" t="n"/>
      <c r="G49" s="21" t="n"/>
      <c r="H49" s="21" t="n"/>
      <c r="I49" s="21" t="n"/>
      <c r="J49" s="21" t="n"/>
      <c r="K49" s="21" t="n"/>
      <c r="L49" s="21" t="n"/>
      <c r="M49" s="21" t="n"/>
    </row>
    <row r="50">
      <c r="A50" s="21" t="n"/>
      <c r="B50" s="21" t="n"/>
      <c r="C50" s="21" t="n"/>
      <c r="D50" s="21" t="n"/>
      <c r="E50" s="21" t="n"/>
      <c r="F50" s="21" t="n"/>
      <c r="G50" s="21" t="n"/>
      <c r="H50" s="21" t="n"/>
      <c r="I50" s="21" t="n"/>
      <c r="J50" s="21" t="n"/>
      <c r="K50" s="21" t="n"/>
      <c r="L50" s="21" t="n"/>
      <c r="M50" s="21" t="n"/>
    </row>
    <row r="51">
      <c r="A51" s="21" t="n"/>
      <c r="B51" s="21" t="n"/>
      <c r="C51" s="21" t="n"/>
      <c r="D51" s="21" t="n"/>
      <c r="E51" s="21" t="n"/>
      <c r="F51" s="21" t="n"/>
      <c r="G51" s="21" t="n"/>
      <c r="H51" s="21" t="n"/>
      <c r="I51" s="21" t="n"/>
      <c r="J51" s="21" t="n"/>
      <c r="K51" s="21" t="n"/>
      <c r="L51" s="21" t="n"/>
      <c r="M51" s="21" t="n"/>
    </row>
    <row r="52">
      <c r="A52" s="21" t="n"/>
      <c r="B52" s="21" t="n"/>
      <c r="C52" s="21" t="n"/>
      <c r="D52" s="21" t="n"/>
      <c r="E52" s="21" t="n"/>
      <c r="F52" s="21" t="n"/>
      <c r="G52" s="21" t="n"/>
      <c r="H52" s="21" t="n"/>
      <c r="I52" s="21" t="n"/>
      <c r="J52" s="21" t="n"/>
      <c r="K52" s="21" t="n"/>
      <c r="L52" s="21" t="n"/>
      <c r="M52" s="21" t="n"/>
    </row>
    <row r="53">
      <c r="A53" s="21" t="n"/>
      <c r="B53" s="21" t="n"/>
      <c r="C53" s="21" t="n"/>
      <c r="D53" s="21" t="n"/>
      <c r="E53" s="21" t="n"/>
      <c r="F53" s="21" t="n"/>
      <c r="G53" s="21" t="n"/>
      <c r="H53" s="21" t="n"/>
      <c r="I53" s="21" t="n"/>
      <c r="J53" s="21" t="n"/>
      <c r="K53" s="21" t="n"/>
      <c r="L53" s="21" t="n"/>
      <c r="M53" s="21" t="n"/>
    </row>
    <row r="54">
      <c r="A54" s="21" t="n"/>
      <c r="B54" s="21" t="n"/>
      <c r="C54" s="21" t="n"/>
      <c r="D54" s="21" t="n"/>
      <c r="E54" s="21" t="n"/>
      <c r="F54" s="21" t="n"/>
      <c r="G54" s="21" t="n"/>
      <c r="H54" s="21" t="n"/>
      <c r="I54" s="21" t="n"/>
      <c r="J54" s="21" t="n"/>
      <c r="K54" s="21" t="n"/>
      <c r="L54" s="21" t="n"/>
      <c r="M54" s="21" t="n"/>
    </row>
    <row r="55">
      <c r="A55" s="21" t="n"/>
      <c r="B55" s="21" t="n"/>
      <c r="C55" s="21" t="n"/>
      <c r="D55" s="21" t="n"/>
      <c r="E55" s="21" t="n"/>
      <c r="F55" s="21" t="n"/>
      <c r="G55" s="21" t="n"/>
      <c r="H55" s="21" t="n"/>
      <c r="I55" s="21" t="n"/>
      <c r="J55" s="21" t="n"/>
      <c r="K55" s="21" t="n"/>
      <c r="L55" s="21" t="n"/>
      <c r="M55" s="21" t="n"/>
    </row>
    <row r="56">
      <c r="A56" s="21" t="n"/>
      <c r="B56" s="21" t="n"/>
      <c r="C56" s="21" t="n"/>
      <c r="D56" s="21" t="n"/>
      <c r="E56" s="21" t="n"/>
      <c r="F56" s="21" t="n"/>
      <c r="G56" s="21" t="n"/>
      <c r="H56" s="21" t="n"/>
      <c r="I56" s="21" t="n"/>
      <c r="J56" s="21" t="n"/>
      <c r="K56" s="21" t="n"/>
      <c r="L56" s="21" t="n"/>
      <c r="M56" s="21" t="n"/>
    </row>
    <row r="57">
      <c r="A57" s="21" t="n"/>
      <c r="B57" s="21" t="n"/>
      <c r="C57" s="21" t="n"/>
      <c r="D57" s="21" t="n"/>
      <c r="E57" s="21" t="n"/>
      <c r="F57" s="21" t="n"/>
      <c r="G57" s="21" t="n"/>
      <c r="H57" s="21" t="n"/>
      <c r="I57" s="21" t="n"/>
      <c r="J57" s="21" t="n"/>
      <c r="K57" s="21" t="n"/>
      <c r="L57" s="21" t="n"/>
      <c r="M57" s="21" t="n"/>
    </row>
    <row r="58">
      <c r="A58" s="21" t="n"/>
      <c r="B58" s="21" t="n"/>
      <c r="C58" s="21" t="n"/>
      <c r="D58" s="21" t="n"/>
      <c r="E58" s="21" t="n"/>
      <c r="F58" s="21" t="n"/>
      <c r="G58" s="21" t="n"/>
      <c r="H58" s="21" t="n"/>
      <c r="I58" s="21" t="n"/>
      <c r="J58" s="21" t="n"/>
      <c r="K58" s="21" t="n"/>
      <c r="L58" s="21" t="n"/>
      <c r="M58" s="21" t="n"/>
    </row>
    <row r="59">
      <c r="A59" s="21" t="n"/>
      <c r="B59" s="21" t="n"/>
      <c r="C59" s="21" t="n"/>
      <c r="D59" s="21" t="n"/>
      <c r="E59" s="21" t="n"/>
      <c r="F59" s="21" t="n"/>
      <c r="G59" s="21" t="n"/>
      <c r="H59" s="21" t="n"/>
      <c r="I59" s="21" t="n"/>
      <c r="J59" s="21" t="n"/>
      <c r="K59" s="21" t="n"/>
      <c r="L59" s="21" t="n"/>
      <c r="M59" s="21" t="n"/>
    </row>
    <row r="60">
      <c r="A60" s="21" t="n"/>
      <c r="B60" s="21" t="n"/>
      <c r="C60" s="21" t="n"/>
      <c r="D60" s="21" t="n"/>
      <c r="E60" s="21" t="n"/>
      <c r="F60" s="21" t="n"/>
      <c r="G60" s="21" t="n"/>
      <c r="H60" s="21" t="n"/>
      <c r="I60" s="21" t="n"/>
      <c r="J60" s="21" t="n"/>
      <c r="K60" s="21" t="n"/>
      <c r="L60" s="21" t="n"/>
      <c r="M60" s="21" t="n"/>
    </row>
    <row r="61">
      <c r="A61" s="21" t="n"/>
      <c r="B61" s="21" t="n"/>
      <c r="C61" s="21" t="n"/>
      <c r="D61" s="21" t="n"/>
      <c r="E61" s="21" t="n"/>
      <c r="F61" s="21" t="n"/>
      <c r="G61" s="21" t="n"/>
      <c r="H61" s="21" t="n"/>
      <c r="I61" s="21" t="n"/>
      <c r="J61" s="21" t="n"/>
      <c r="K61" s="21" t="n"/>
      <c r="L61" s="21" t="n"/>
      <c r="M61" s="21" t="n"/>
    </row>
    <row r="62">
      <c r="A62" s="21" t="n"/>
      <c r="B62" s="21" t="n"/>
      <c r="C62" s="21" t="n"/>
      <c r="D62" s="21" t="n"/>
      <c r="E62" s="21" t="n"/>
      <c r="F62" s="21" t="n"/>
      <c r="G62" s="21" t="n"/>
      <c r="H62" s="21" t="n"/>
      <c r="I62" s="21" t="n"/>
      <c r="J62" s="21" t="n"/>
      <c r="K62" s="21" t="n"/>
      <c r="L62" s="21" t="n"/>
      <c r="M62" s="21" t="n"/>
    </row>
    <row r="63">
      <c r="A63" s="21" t="n"/>
      <c r="B63" s="21" t="n"/>
      <c r="C63" s="21" t="n"/>
      <c r="D63" s="21" t="n"/>
      <c r="E63" s="21" t="n"/>
      <c r="F63" s="21" t="n"/>
      <c r="G63" s="21" t="n"/>
      <c r="H63" s="21" t="n"/>
      <c r="I63" s="21" t="n"/>
      <c r="J63" s="21" t="n"/>
      <c r="K63" s="21" t="n"/>
      <c r="L63" s="21" t="n"/>
      <c r="M63" s="21" t="n"/>
    </row>
    <row r="64">
      <c r="A64" s="21" t="n"/>
      <c r="B64" s="21" t="n"/>
      <c r="C64" s="21" t="n"/>
      <c r="D64" s="21" t="n"/>
      <c r="E64" s="21" t="n"/>
      <c r="F64" s="21" t="n"/>
      <c r="G64" s="21" t="n"/>
      <c r="H64" s="21" t="n"/>
      <c r="I64" s="21" t="n"/>
      <c r="J64" s="21" t="n"/>
      <c r="K64" s="21" t="n"/>
      <c r="L64" s="21" t="n"/>
      <c r="M64" s="21" t="n"/>
    </row>
    <row r="65">
      <c r="A65" s="21" t="n"/>
      <c r="B65" s="21" t="n"/>
      <c r="C65" s="21" t="n"/>
      <c r="D65" s="21" t="n"/>
      <c r="E65" s="21" t="n"/>
      <c r="F65" s="21" t="n"/>
      <c r="G65" s="21" t="n"/>
      <c r="H65" s="21" t="n"/>
      <c r="I65" s="21" t="n"/>
      <c r="J65" s="21" t="n"/>
      <c r="K65" s="21" t="n"/>
      <c r="L65" s="21" t="n"/>
      <c r="M65" s="21" t="n"/>
    </row>
    <row r="66">
      <c r="A66" s="21" t="n"/>
      <c r="B66" s="21" t="n"/>
      <c r="C66" s="21" t="n"/>
      <c r="D66" s="21" t="n"/>
      <c r="E66" s="21" t="n"/>
      <c r="F66" s="21" t="n"/>
      <c r="G66" s="21" t="n"/>
      <c r="H66" s="21" t="n"/>
      <c r="I66" s="21" t="n"/>
      <c r="J66" s="21" t="n"/>
      <c r="K66" s="21" t="n"/>
      <c r="L66" s="21" t="n"/>
      <c r="M66" s="21" t="n"/>
    </row>
    <row r="67">
      <c r="A67" s="21" t="n"/>
      <c r="B67" s="21" t="n"/>
      <c r="C67" s="21" t="n"/>
      <c r="D67" s="21" t="n"/>
      <c r="E67" s="21" t="n"/>
      <c r="F67" s="21" t="n"/>
      <c r="G67" s="21" t="n"/>
      <c r="H67" s="21" t="n"/>
      <c r="I67" s="21" t="n"/>
      <c r="J67" s="21" t="n"/>
      <c r="K67" s="21" t="n"/>
      <c r="L67" s="21" t="n"/>
      <c r="M67" s="21" t="n"/>
    </row>
    <row r="68">
      <c r="A68" s="21" t="n"/>
      <c r="B68" s="21" t="n"/>
      <c r="C68" s="21" t="n"/>
      <c r="D68" s="21" t="n"/>
      <c r="E68" s="21" t="n"/>
      <c r="F68" s="21" t="n"/>
      <c r="G68" s="21" t="n"/>
      <c r="H68" s="21" t="n"/>
      <c r="I68" s="21" t="n"/>
      <c r="J68" s="21" t="n"/>
      <c r="K68" s="21" t="n"/>
      <c r="L68" s="21" t="n"/>
      <c r="M68" s="21" t="n"/>
    </row>
    <row r="69">
      <c r="A69" s="21" t="n"/>
      <c r="B69" s="21" t="n"/>
      <c r="C69" s="21" t="n"/>
      <c r="D69" s="21" t="n"/>
      <c r="E69" s="21" t="n"/>
      <c r="F69" s="21" t="n"/>
      <c r="G69" s="21" t="n"/>
      <c r="H69" s="21" t="n"/>
      <c r="I69" s="21" t="n"/>
      <c r="J69" s="21" t="n"/>
      <c r="K69" s="21" t="n"/>
      <c r="L69" s="21" t="n"/>
      <c r="M69" s="21" t="n"/>
    </row>
    <row r="70">
      <c r="A70" s="21" t="n"/>
      <c r="B70" s="21" t="n"/>
      <c r="C70" s="21" t="n"/>
      <c r="D70" s="21" t="n"/>
      <c r="E70" s="21" t="n"/>
      <c r="F70" s="21" t="n"/>
      <c r="G70" s="21" t="n"/>
      <c r="H70" s="21" t="n"/>
      <c r="I70" s="21" t="n"/>
      <c r="J70" s="21" t="n"/>
      <c r="K70" s="21" t="n"/>
      <c r="L70" s="21" t="n"/>
      <c r="M70" s="21" t="n"/>
    </row>
    <row r="71">
      <c r="A71" s="21" t="n"/>
      <c r="B71" s="21" t="n"/>
      <c r="C71" s="21" t="n"/>
      <c r="D71" s="21" t="n"/>
      <c r="E71" s="21" t="n"/>
      <c r="F71" s="21" t="n"/>
      <c r="G71" s="21" t="n"/>
      <c r="H71" s="21" t="n"/>
      <c r="I71" s="21" t="n"/>
      <c r="J71" s="21" t="n"/>
      <c r="K71" s="21" t="n"/>
      <c r="L71" s="21" t="n"/>
      <c r="M71" s="21" t="n"/>
    </row>
    <row r="72">
      <c r="A72" s="21" t="n"/>
      <c r="B72" s="21" t="n"/>
      <c r="C72" s="21" t="n"/>
      <c r="D72" s="21" t="n"/>
      <c r="E72" s="21" t="n"/>
      <c r="F72" s="21" t="n"/>
      <c r="G72" s="21" t="n"/>
      <c r="H72" s="21" t="n"/>
      <c r="I72" s="21" t="n"/>
      <c r="J72" s="21" t="n"/>
      <c r="K72" s="21" t="n"/>
      <c r="L72" s="21" t="n"/>
      <c r="M72" s="21" t="n"/>
    </row>
    <row r="73">
      <c r="A73" s="21" t="n"/>
      <c r="B73" s="21" t="n"/>
      <c r="C73" s="21" t="n"/>
      <c r="D73" s="21" t="n"/>
      <c r="E73" s="21" t="n"/>
      <c r="F73" s="21" t="n"/>
      <c r="G73" s="21" t="n"/>
      <c r="H73" s="21" t="n"/>
      <c r="I73" s="21" t="n"/>
      <c r="J73" s="21" t="n"/>
      <c r="K73" s="21" t="n"/>
      <c r="L73" s="21" t="n"/>
      <c r="M73" s="21" t="n"/>
    </row>
    <row r="74">
      <c r="A74" s="21" t="n"/>
      <c r="B74" s="21" t="n"/>
      <c r="C74" s="21" t="n"/>
      <c r="D74" s="21" t="n"/>
      <c r="E74" s="21" t="n"/>
      <c r="F74" s="21" t="n"/>
      <c r="G74" s="21" t="n"/>
      <c r="H74" s="21" t="n"/>
      <c r="I74" s="21" t="n"/>
      <c r="J74" s="21" t="n"/>
      <c r="K74" s="21" t="n"/>
      <c r="L74" s="21" t="n"/>
      <c r="M74" s="21" t="n"/>
    </row>
    <row r="75">
      <c r="A75" s="21" t="n"/>
      <c r="B75" s="21" t="n"/>
      <c r="C75" s="21" t="n"/>
      <c r="D75" s="21" t="n"/>
      <c r="E75" s="21" t="n"/>
      <c r="F75" s="21" t="n"/>
      <c r="G75" s="21" t="n"/>
      <c r="H75" s="21" t="n"/>
      <c r="I75" s="21" t="n"/>
      <c r="J75" s="21" t="n"/>
      <c r="K75" s="21" t="n"/>
      <c r="L75" s="21" t="n"/>
      <c r="M75" s="21" t="n"/>
    </row>
    <row r="76">
      <c r="A76" s="21" t="n"/>
      <c r="B76" s="21" t="n"/>
      <c r="C76" s="21" t="n"/>
      <c r="D76" s="21" t="n"/>
      <c r="E76" s="21" t="n"/>
      <c r="F76" s="21" t="n"/>
      <c r="G76" s="21" t="n"/>
      <c r="H76" s="21" t="n"/>
      <c r="I76" s="21" t="n"/>
      <c r="J76" s="21" t="n"/>
      <c r="K76" s="21" t="n"/>
      <c r="L76" s="21" t="n"/>
      <c r="M76" s="21" t="n"/>
    </row>
    <row r="77">
      <c r="A77" s="21" t="n"/>
      <c r="B77" s="21" t="n"/>
      <c r="C77" s="21" t="n"/>
      <c r="D77" s="21" t="n"/>
      <c r="E77" s="21" t="n"/>
      <c r="F77" s="21" t="n"/>
      <c r="G77" s="21" t="n"/>
      <c r="H77" s="21" t="n"/>
      <c r="I77" s="21" t="n"/>
      <c r="J77" s="21" t="n"/>
      <c r="K77" s="21" t="n"/>
      <c r="L77" s="21" t="n"/>
      <c r="M77" s="21" t="n"/>
    </row>
    <row r="78">
      <c r="A78" s="21" t="n"/>
      <c r="B78" s="21" t="n"/>
      <c r="C78" s="21" t="n"/>
      <c r="D78" s="21" t="n"/>
      <c r="E78" s="21" t="n"/>
      <c r="F78" s="21" t="n"/>
      <c r="G78" s="21" t="n"/>
      <c r="H78" s="21" t="n"/>
      <c r="I78" s="21" t="n"/>
      <c r="J78" s="21" t="n"/>
      <c r="K78" s="21" t="n"/>
      <c r="L78" s="21" t="n"/>
      <c r="M78" s="21" t="n"/>
    </row>
    <row r="79">
      <c r="A79" s="21" t="n"/>
      <c r="B79" s="21" t="n"/>
      <c r="C79" s="21" t="n"/>
      <c r="D79" s="21" t="n"/>
      <c r="E79" s="21" t="n"/>
      <c r="F79" s="21" t="n"/>
      <c r="G79" s="21" t="n"/>
      <c r="H79" s="21" t="n"/>
      <c r="I79" s="21" t="n"/>
      <c r="J79" s="21" t="n"/>
      <c r="K79" s="21" t="n"/>
      <c r="L79" s="21" t="n"/>
      <c r="M79" s="21" t="n"/>
    </row>
    <row r="80">
      <c r="A80" s="21" t="n"/>
      <c r="B80" s="21" t="n"/>
      <c r="C80" s="21" t="n"/>
      <c r="D80" s="21" t="n"/>
      <c r="E80" s="21" t="n"/>
      <c r="F80" s="21" t="n"/>
      <c r="G80" s="21" t="n"/>
      <c r="H80" s="21" t="n"/>
      <c r="I80" s="21" t="n"/>
      <c r="J80" s="21" t="n"/>
      <c r="K80" s="21" t="n"/>
      <c r="L80" s="21" t="n"/>
      <c r="M80" s="21" t="n"/>
    </row>
  </sheetData>
  <mergeCells count="27">
    <mergeCell ref="A25:C25"/>
    <mergeCell ref="A37:C37"/>
    <mergeCell ref="A18:C18"/>
    <mergeCell ref="B22:C22"/>
    <mergeCell ref="A27:C27"/>
    <mergeCell ref="A26:C26"/>
    <mergeCell ref="A2:C2"/>
    <mergeCell ref="B21:C21"/>
    <mergeCell ref="A5:C5"/>
    <mergeCell ref="A32:C32"/>
    <mergeCell ref="B23:C23"/>
    <mergeCell ref="A35:C35"/>
    <mergeCell ref="A4:C4"/>
    <mergeCell ref="A29:C29"/>
    <mergeCell ref="A38:C38"/>
    <mergeCell ref="A28:C28"/>
    <mergeCell ref="B19:C19"/>
    <mergeCell ref="A31:C31"/>
    <mergeCell ref="A40:C40"/>
    <mergeCell ref="A9:C9"/>
    <mergeCell ref="A30:C30"/>
    <mergeCell ref="A34:C34"/>
    <mergeCell ref="A36:C36"/>
    <mergeCell ref="A1:C1"/>
    <mergeCell ref="B20:C20"/>
    <mergeCell ref="A6:C6"/>
    <mergeCell ref="A7:C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70AD47"/>
    <outlinePr summaryBelow="1" summaryRight="1"/>
    <pageSetUpPr/>
  </sheetPr>
  <dimension ref="A1:L72"/>
  <sheetViews>
    <sheetView tabSelected="1" topLeftCell="A48" zoomScale="70" zoomScaleNormal="70" workbookViewId="0">
      <selection activeCell="E64" sqref="E64"/>
    </sheetView>
  </sheetViews>
  <sheetFormatPr baseColWidth="8" defaultRowHeight="16.9"/>
  <cols>
    <col width="30.5625" customWidth="1" style="58" min="1" max="8"/>
    <col width="11" customWidth="1" style="58" min="9" max="11"/>
    <col width="9" customWidth="1" style="58" min="12" max="16384"/>
  </cols>
  <sheetData>
    <row r="1" ht="30" customHeight="1">
      <c r="A1" s="62" t="inlineStr">
        <is>
          <t>성과평가지 양식 - 기술지원 / G6 (사업·조직 관리)</t>
        </is>
      </c>
      <c r="B1" s="86" t="n"/>
      <c r="C1" s="86" t="n"/>
      <c r="D1" s="86" t="n"/>
      <c r="E1" s="86" t="n"/>
      <c r="F1" s="86" t="n"/>
      <c r="G1" s="86" t="n"/>
      <c r="H1" s="87" t="n"/>
    </row>
    <row r="2" ht="22.05" customHeight="1">
      <c r="A2" s="73" t="inlineStr">
        <is>
          <t>1·2차 평가자가 등급(S/A/B/C/D)만 입력. 가중치는 통합관리시트에서 자동 처리.</t>
        </is>
      </c>
      <c r="B2" s="86" t="n"/>
      <c r="C2" s="86" t="n"/>
      <c r="D2" s="86" t="n"/>
      <c r="E2" s="86" t="n"/>
      <c r="F2" s="86" t="n"/>
      <c r="G2" s="86" t="n"/>
      <c r="H2" s="87" t="n"/>
    </row>
    <row r="4" ht="24" customHeight="1">
      <c r="A4" s="67" t="inlineStr">
        <is>
          <t>▶ 평가 대상자 정보 (주황셀에 입력)</t>
        </is>
      </c>
      <c r="B4" s="104" t="n"/>
      <c r="C4" s="104" t="n"/>
      <c r="D4" s="104" t="n"/>
      <c r="E4" s="104" t="n"/>
      <c r="F4" s="105" t="n"/>
      <c r="G4" s="63" t="n"/>
      <c r="H4" s="63" t="n"/>
    </row>
    <row r="5" ht="22.05" customHeight="1">
      <c r="A5" s="33" t="inlineStr">
        <is>
          <t>사번</t>
        </is>
      </c>
      <c r="B5" s="34" t="n"/>
      <c r="C5" s="33" t="inlineStr">
        <is>
          <t>성명</t>
        </is>
      </c>
      <c r="D5" s="34" t="n"/>
      <c r="E5" s="33" t="inlineStr">
        <is>
          <t>부서</t>
        </is>
      </c>
      <c r="F5" s="34" t="n"/>
    </row>
    <row r="6" ht="22.05" customHeight="1">
      <c r="A6" s="33" t="inlineStr">
        <is>
          <t>직군</t>
        </is>
      </c>
      <c r="B6" s="34" t="n"/>
      <c r="C6" s="33" t="inlineStr">
        <is>
          <t>직무</t>
        </is>
      </c>
      <c r="D6" s="35" t="inlineStr">
        <is>
          <t>BIM컨설팅</t>
        </is>
      </c>
      <c r="E6" s="33" t="inlineStr">
        <is>
          <t>역할등급(명)</t>
        </is>
      </c>
      <c r="F6" s="35" t="inlineStr">
        <is>
          <t>G6(사업·조직 관리)</t>
        </is>
      </c>
    </row>
    <row r="7" ht="24" customHeight="1">
      <c r="A7" s="67" t="inlineStr">
        <is>
          <t>▶ 평가자 정보 (주황셀에 입력)</t>
        </is>
      </c>
      <c r="B7" s="104" t="n"/>
      <c r="C7" s="104" t="n"/>
      <c r="D7" s="104" t="n"/>
      <c r="E7" s="104" t="n"/>
      <c r="F7" s="105" t="n"/>
      <c r="G7" s="63" t="n"/>
      <c r="H7" s="63" t="n"/>
    </row>
    <row r="8" ht="24" customHeight="1">
      <c r="A8" s="36" t="inlineStr">
        <is>
          <t>구분</t>
        </is>
      </c>
      <c r="B8" s="36" t="inlineStr">
        <is>
          <t>사번</t>
        </is>
      </c>
      <c r="C8" s="36" t="inlineStr">
        <is>
          <t>성명</t>
        </is>
      </c>
      <c r="D8" s="36" t="inlineStr">
        <is>
          <t>직책</t>
        </is>
      </c>
      <c r="E8" s="36" t="inlineStr">
        <is>
          <t>부서</t>
        </is>
      </c>
      <c r="F8" s="36" t="inlineStr">
        <is>
          <t>평가 일자</t>
        </is>
      </c>
      <c r="G8" s="63" t="n"/>
      <c r="H8" s="63" t="n"/>
    </row>
    <row r="9" ht="24" customHeight="1">
      <c r="A9" s="37" t="inlineStr">
        <is>
          <t>1차 평가자 (직속상사)</t>
        </is>
      </c>
      <c r="B9" s="38" t="n"/>
      <c r="C9" s="38" t="n"/>
      <c r="D9" s="38" t="n"/>
      <c r="E9" s="38" t="n"/>
      <c r="F9" s="39" t="n"/>
      <c r="G9" s="63" t="n"/>
      <c r="H9" s="63" t="n"/>
    </row>
    <row r="10" ht="24" customHeight="1">
      <c r="A10" s="37" t="inlineStr">
        <is>
          <t>2차 평가자 (조정자)</t>
        </is>
      </c>
      <c r="B10" s="38" t="n"/>
      <c r="C10" s="38" t="n"/>
      <c r="D10" s="38" t="n"/>
      <c r="E10" s="38" t="n"/>
      <c r="F10" s="39" t="n"/>
      <c r="G10" s="63" t="n"/>
      <c r="H10" s="63" t="n"/>
    </row>
    <row r="11" ht="24" customHeight="1">
      <c r="A11" s="37" t="inlineStr">
        <is>
          <t>평가 차수</t>
        </is>
      </c>
      <c r="B11" s="72" t="inlineStr">
        <is>
          <t>상반기</t>
        </is>
      </c>
      <c r="C11" s="104" t="n"/>
      <c r="D11" s="104" t="n"/>
      <c r="E11" s="104" t="n"/>
      <c r="F11" s="105" t="n"/>
      <c r="G11" s="63" t="n"/>
      <c r="H11" s="63" t="n"/>
    </row>
    <row r="13" ht="26" customHeight="1">
      <c r="A13" s="77" t="inlineStr">
        <is>
          <t>▶ ① 역할평가 — 5개 BARS 항목</t>
        </is>
      </c>
      <c r="B13" s="104" t="n"/>
      <c r="C13" s="104" t="n"/>
      <c r="D13" s="104" t="n"/>
      <c r="E13" s="104" t="n"/>
      <c r="F13" s="104" t="n"/>
      <c r="G13" s="104" t="n"/>
      <c r="H13" s="105" t="n"/>
    </row>
    <row r="14" ht="38" customHeight="1">
      <c r="A14" s="40" t="inlineStr">
        <is>
          <t>역할 정의</t>
        </is>
      </c>
      <c r="B14" s="75" t="inlineStr">
        <is>
          <t>회사의 비전·중장기 전략을 총괄하며, 전사 의사결정·대외 협력·리스크 관리를 주도.</t>
        </is>
      </c>
      <c r="C14" s="104" t="n"/>
      <c r="D14" s="104" t="n"/>
      <c r="E14" s="104" t="n"/>
      <c r="F14" s="104" t="n"/>
      <c r="G14" s="104" t="n"/>
      <c r="H14" s="105" t="n"/>
    </row>
    <row r="15" ht="28.05" customHeight="1">
      <c r="A15" s="68" t="inlineStr">
        <is>
          <t>No.</t>
        </is>
      </c>
      <c r="B15" s="68" t="inlineStr">
        <is>
          <t>평가항목</t>
        </is>
      </c>
      <c r="C15" s="68" t="inlineStr">
        <is>
          <t>평가 기준</t>
        </is>
      </c>
      <c r="D15" s="68" t="inlineStr">
        <is>
          <t>S/A/B/C/D 등급 기준</t>
        </is>
      </c>
      <c r="E15" s="68" t="inlineStr">
        <is>
          <t>1차 평가자</t>
        </is>
      </c>
      <c r="F15" s="68" t="inlineStr">
        <is>
          <t>2차 평가자</t>
        </is>
      </c>
      <c r="G15" s="68" t="inlineStr">
        <is>
          <t>평가 근거 및 피드백</t>
        </is>
      </c>
      <c r="H15" s="105" t="n"/>
    </row>
    <row r="16" ht="90" customHeight="1">
      <c r="A16" s="40" t="inlineStr">
        <is>
          <t>R-1</t>
        </is>
      </c>
      <c r="B16" s="55" t="inlineStr">
        <is>
          <t>책임범위 이행도</t>
        </is>
      </c>
      <c r="C16" s="56" t="inlineStr">
        <is>
          <t>역할등급에 부합하는 책임 범위 내 업무 수행</t>
        </is>
      </c>
      <c r="D16" s="53" t="inlineStr">
        <is>
          <t>S  기대 현저히 초과
A  기대 상회
B  기대 부합
C  부분 미흡
D  전반 미흡</t>
        </is>
      </c>
      <c r="E16" s="42" t="n"/>
      <c r="F16" s="42" t="n"/>
      <c r="G16" s="106" t="n"/>
      <c r="H16" s="105" t="n"/>
    </row>
    <row r="17" ht="90" customHeight="1">
      <c r="A17" s="40" t="inlineStr">
        <is>
          <t>R-2</t>
        </is>
      </c>
      <c r="B17" s="55" t="inlineStr">
        <is>
          <t>의사결정 적절성</t>
        </is>
      </c>
      <c r="C17" s="56" t="inlineStr">
        <is>
          <t>권한 수준 내 시의적절·합리적 의사결정</t>
        </is>
      </c>
      <c r="D17" s="53" t="inlineStr">
        <is>
          <t>S  기대 현저히 초과
A  기대 상회
B  기대 부합
C  부분 미흡
D  전반 미흡</t>
        </is>
      </c>
      <c r="E17" s="42" t="n"/>
      <c r="F17" s="42" t="n"/>
      <c r="G17" s="106" t="n"/>
      <c r="H17" s="105" t="n"/>
    </row>
    <row r="18" ht="90" customHeight="1">
      <c r="A18" s="40" t="inlineStr">
        <is>
          <t>R-3</t>
        </is>
      </c>
      <c r="B18" s="55" t="inlineStr">
        <is>
          <t>성과 기여도</t>
        </is>
      </c>
      <c r="C18" s="56" t="inlineStr">
        <is>
          <t>조직·프로젝트 목표 달성에 정량적 기여</t>
        </is>
      </c>
      <c r="D18" s="53" t="inlineStr">
        <is>
          <t>S  기대 현저히 초과
A  기대 상회
B  기대 부합
C  부분 미흡
D  전반 미흡</t>
        </is>
      </c>
      <c r="E18" s="42" t="n"/>
      <c r="F18" s="42" t="n"/>
      <c r="G18" s="106" t="n"/>
      <c r="H18" s="105" t="n"/>
    </row>
    <row r="19" ht="90" customHeight="1">
      <c r="A19" s="40" t="inlineStr">
        <is>
          <t>R-4</t>
        </is>
      </c>
      <c r="B19" s="55" t="inlineStr">
        <is>
          <t>조직 후배 코칭</t>
        </is>
      </c>
      <c r="C19" s="56" t="inlineStr">
        <is>
          <t>상·하위 역할과 효과적 협업 및 후배 코칭</t>
        </is>
      </c>
      <c r="D19" s="53" t="inlineStr">
        <is>
          <t>S  기대 현저히 초과
A  기대 상회
B  기대 부합
C  부분 미흡
D  전반 미흡</t>
        </is>
      </c>
      <c r="E19" s="42" t="n"/>
      <c r="F19" s="42" t="n"/>
      <c r="G19" s="106" t="n"/>
      <c r="H19" s="105" t="n"/>
    </row>
    <row r="20" ht="90" customHeight="1">
      <c r="A20" s="40" t="inlineStr">
        <is>
          <t>R-5</t>
        </is>
      </c>
      <c r="B20" s="55" t="inlineStr">
        <is>
          <t>산출물 완성도</t>
        </is>
      </c>
      <c r="C20" s="56" t="inlineStr">
        <is>
          <t>산출물 품질과 기한 준수</t>
        </is>
      </c>
      <c r="D20" s="53" t="inlineStr">
        <is>
          <t>S  기대 현저히 초과
A  기대 상회
B  기대 부합
C  부분 미흡
D  전반 미흡</t>
        </is>
      </c>
      <c r="E20" s="42" t="n"/>
      <c r="F20" s="42" t="n"/>
      <c r="G20" s="106" t="n"/>
      <c r="H20" s="105" t="n"/>
    </row>
    <row r="21" ht="24" customHeight="1">
      <c r="A21" s="79" t="inlineStr">
        <is>
          <t>1차 평가자 역할 종합 (5개 평균)</t>
        </is>
      </c>
      <c r="B21" s="104" t="n"/>
      <c r="C21" s="104" t="n"/>
      <c r="D21" s="105" t="n"/>
      <c r="E21" s="43">
        <f>IFERROR((IF(E16="S",5,IF(E16="A",4,IF(E16="B",3,IF(E16="C",2,IF(E16="D",1,0)))))+IF(E17="S",5,IF(E17="A",4,IF(E17="B",3,IF(E17="C",2,IF(E17="D",1,0)))))+IF(E18="S",5,IF(E18="A",4,IF(E18="B",3,IF(E18="C",2,IF(E18="D",1,0)))))+IF(E19="S",5,IF(E19="A",4,IF(E19="B",3,IF(E19="C",2,IF(E19="D",1,0)))))+IF(E20="S",5,IF(E20="A",4,IF(E20="B",3,IF(E20="C",2,IF(E20="D",1,0))))))/5,"")</f>
        <v/>
      </c>
      <c r="F21" s="44" t="inlineStr">
        <is>
          <t>→ 등급</t>
        </is>
      </c>
      <c r="G21" s="71">
        <f>IF(OR(E21="",E21&lt;0.5),"",IF(E21&gt;=4.5,"S",IF(E21&gt;=3.5,"A",IF(E21&gt;=2.5,"B",IF(E21&gt;=1.5,"C","D")))))</f>
        <v/>
      </c>
      <c r="H21" s="105" t="n"/>
    </row>
    <row r="22" ht="24" customHeight="1">
      <c r="A22" s="79" t="inlineStr">
        <is>
          <t>2차 평가자 역할 종합 (5개 평균)</t>
        </is>
      </c>
      <c r="B22" s="104" t="n"/>
      <c r="C22" s="104" t="n"/>
      <c r="D22" s="105" t="n"/>
      <c r="E22" s="43">
        <f>IFERROR((IF(F16="S",5,IF(F16="A",4,IF(F16="B",3,IF(F16="C",2,IF(F16="D",1,0)))))+IF(F17="S",5,IF(F17="A",4,IF(F17="B",3,IF(F17="C",2,IF(F17="D",1,0)))))+IF(F18="S",5,IF(F18="A",4,IF(F18="B",3,IF(F18="C",2,IF(F18="D",1,0)))))+IF(F19="S",5,IF(F19="A",4,IF(F19="B",3,IF(F19="C",2,IF(F19="D",1,0)))))+IF(F20="S",5,IF(F20="A",4,IF(F20="B",3,IF(F20="C",2,IF(F20="D",1,0))))))/5,"")</f>
        <v/>
      </c>
      <c r="F22" s="44" t="inlineStr">
        <is>
          <t>→ 등급</t>
        </is>
      </c>
      <c r="G22" s="71">
        <f>IF(OR(E22="",E22&lt;0.5),"",IF(E22&gt;=4.5,"S",IF(E22&gt;=3.5,"A",IF(E22&gt;=2.5,"B",IF(E22&gt;=1.5,"C","D")))))</f>
        <v/>
      </c>
      <c r="H22" s="105" t="n"/>
    </row>
    <row r="24" ht="26" customHeight="1">
      <c r="A24" s="78" t="inlineStr">
        <is>
          <t>▶ ② 공통역량평가 — 11개 (★ S/A/B/C/D 평가기준 포함)</t>
        </is>
      </c>
      <c r="B24" s="104" t="n"/>
      <c r="C24" s="104" t="n"/>
      <c r="D24" s="104" t="n"/>
      <c r="E24" s="104" t="n"/>
      <c r="F24" s="104" t="n"/>
      <c r="G24" s="104" t="n"/>
      <c r="H24" s="105" t="n"/>
    </row>
    <row r="25" ht="28.05" customHeight="1">
      <c r="A25" s="68" t="inlineStr">
        <is>
          <t>No.</t>
        </is>
      </c>
      <c r="B25" s="68" t="inlineStr">
        <is>
          <t>핵심 역량</t>
        </is>
      </c>
      <c r="C25" s="68" t="inlineStr">
        <is>
          <t>평가 기준</t>
        </is>
      </c>
      <c r="D25" s="68" t="inlineStr">
        <is>
          <t>S/A/B/C/D 등급 기준</t>
        </is>
      </c>
      <c r="E25" s="68" t="inlineStr">
        <is>
          <t>1차</t>
        </is>
      </c>
      <c r="F25" s="68" t="inlineStr">
        <is>
          <t>2차</t>
        </is>
      </c>
      <c r="G25" s="68" t="inlineStr">
        <is>
          <t>평가 근거 및 피드백</t>
        </is>
      </c>
      <c r="H25" s="105" t="n"/>
    </row>
    <row r="26" ht="100.05" customHeight="1">
      <c r="A26" s="45" t="inlineStr">
        <is>
          <t>C-1</t>
        </is>
      </c>
      <c r="B26" s="55" t="inlineStr">
        <is>
          <t>직무 전문성</t>
        </is>
      </c>
      <c r="C26" s="56" t="inlineStr">
        <is>
          <t>직무에 필요한 전문 지식 및 기술 보유, 실무 적용</t>
        </is>
      </c>
      <c r="D26" s="53" t="inlineStr">
        <is>
          <t>S  고급 지식과 숙련도, 타 부서 교육 가능
A  최신 트렌드 반영, 실무에 적절 활용
B  일반 수준 이해 및 적용
C  일부 기술 이해, 개선 필요
D  지식 부족, 실무 반영 어려움</t>
        </is>
      </c>
      <c r="E26" s="42" t="n"/>
      <c r="F26" s="42" t="n"/>
      <c r="G26" s="106" t="n"/>
      <c r="H26" s="105" t="n"/>
    </row>
    <row r="27" ht="100.05" customHeight="1">
      <c r="A27" s="45" t="inlineStr">
        <is>
          <t>C-2</t>
        </is>
      </c>
      <c r="B27" s="55" t="inlineStr">
        <is>
          <t>분석력</t>
        </is>
      </c>
      <c r="C27" s="56" t="inlineStr">
        <is>
          <t>데이터·수치 기반 사고로 업무 효율 향상</t>
        </is>
      </c>
      <c r="D27" s="53" t="inlineStr">
        <is>
          <t>S  데이터 기반 전략 도출 가능
A  분석 후 결과 활용 능숙
B  기본적 분석 및 간단한 적용 가능
C  기본 해석은 가능하나 활용 미흡
D  자료 해석 불가, 의사결정 어려움</t>
        </is>
      </c>
      <c r="E27" s="42" t="n"/>
      <c r="F27" s="42" t="n"/>
      <c r="G27" s="106" t="n"/>
      <c r="H27" s="105" t="n"/>
    </row>
    <row r="28" ht="100.05" customHeight="1">
      <c r="A28" s="45" t="inlineStr">
        <is>
          <t>C-3</t>
        </is>
      </c>
      <c r="B28" s="55" t="inlineStr">
        <is>
          <t>기획/실행력</t>
        </is>
      </c>
      <c r="C28" s="56" t="inlineStr">
        <is>
          <t>목표 설정·계획 수립·체계적 실행 능력</t>
        </is>
      </c>
      <c r="D28" s="53" t="inlineStr">
        <is>
          <t>S  스스로 목표 수립 및 조직 리딩 가능
A  계획 수립 능력 우수 및 실행 일관성
B  일반적 목표 수립 및 실현 가능
C  실행 계획 일부 있으나 체계 부족
D  목표 설정 부정확, 실행력 부족</t>
        </is>
      </c>
      <c r="E28" s="42" t="n"/>
      <c r="F28" s="42" t="n"/>
      <c r="G28" s="106" t="n"/>
      <c r="H28" s="105" t="n"/>
    </row>
    <row r="29" ht="100.05" customHeight="1">
      <c r="A29" s="45" t="inlineStr">
        <is>
          <t>C-4</t>
        </is>
      </c>
      <c r="B29" s="55" t="inlineStr">
        <is>
          <t>자원·시간 관리</t>
        </is>
      </c>
      <c r="C29" s="56" t="inlineStr">
        <is>
          <t>업무 우선순위 설정 및 시간 내 효과적 완수</t>
        </is>
      </c>
      <c r="D29" s="53" t="inlineStr">
        <is>
          <t>S  다중 과제 효율 배분, 시간관리 탁월
A  업무 효율성 높고 우선순위 명확
B  일반 수준 일정 조율 가능
C  마감 어려움, 우선순위 혼란
D  업무 지연 잦고 계획 없음</t>
        </is>
      </c>
      <c r="E29" s="42" t="n"/>
      <c r="F29" s="42" t="n"/>
      <c r="G29" s="106" t="n"/>
      <c r="H29" s="105" t="n"/>
    </row>
    <row r="30" ht="100.05" customHeight="1">
      <c r="A30" s="45" t="inlineStr">
        <is>
          <t>C-5</t>
        </is>
      </c>
      <c r="B30" s="55" t="inlineStr">
        <is>
          <t>협업 능력</t>
        </is>
      </c>
      <c r="C30" s="56" t="inlineStr">
        <is>
          <t>팀·타 부서와의 협업 태도, 정보 공유</t>
        </is>
      </c>
      <c r="D30" s="53" t="inlineStr">
        <is>
          <t>S  타 부서와의 시너지 창출
A  정보 공유, 원활한 협업
B  공동목표 수용 및 일부 협력
C  소극적 협조, 갈등 유발
D  협력 거부, 독단적 태도</t>
        </is>
      </c>
      <c r="E30" s="42" t="n"/>
      <c r="F30" s="42" t="n"/>
      <c r="G30" s="106" t="n"/>
      <c r="H30" s="105" t="n"/>
    </row>
    <row r="31" ht="100.05" customHeight="1">
      <c r="A31" s="45" t="inlineStr">
        <is>
          <t>C-6</t>
        </is>
      </c>
      <c r="B31" s="55" t="inlineStr">
        <is>
          <t>소통 능력</t>
        </is>
      </c>
      <c r="C31" s="56" t="inlineStr">
        <is>
          <t>명확한 의사 전달·경청·효과적 커뮤니케이션</t>
        </is>
      </c>
      <c r="D31" s="53" t="inlineStr">
        <is>
          <t>S  갈등 중재 및 공감능력 우수
A  정확한 의사 전달 및 경청
B  피드백 수용 및 전달 가능
C  소통 시 불편 유발
D  일방적 주장, 피드백 거부</t>
        </is>
      </c>
      <c r="E31" s="42" t="n"/>
      <c r="F31" s="42" t="n"/>
      <c r="G31" s="106" t="n"/>
      <c r="H31" s="105" t="n"/>
    </row>
    <row r="32" ht="100.05" customHeight="1">
      <c r="A32" s="45" t="inlineStr">
        <is>
          <t>C-7</t>
        </is>
      </c>
      <c r="B32" s="55" t="inlineStr">
        <is>
          <t>윤리/책임감</t>
        </is>
      </c>
      <c r="C32" s="56" t="inlineStr">
        <is>
          <t>공정·투명한 절차, 책임감 있는 업무</t>
        </is>
      </c>
      <c r="D32" s="53" t="inlineStr">
        <is>
          <t>S  모범적 자세, 조직문화 선도
A  조직 규범 내 성실 수행
B  기본 책임 수행
C  책임 회피 경향
D  무책임, 규정 무시</t>
        </is>
      </c>
      <c r="E32" s="42" t="n"/>
      <c r="F32" s="42" t="n"/>
      <c r="G32" s="106" t="n"/>
      <c r="H32" s="105" t="n"/>
    </row>
    <row r="33" ht="100.05" customHeight="1">
      <c r="A33" s="45" t="inlineStr">
        <is>
          <t>C-8</t>
        </is>
      </c>
      <c r="B33" s="55" t="inlineStr">
        <is>
          <t>업무 태도</t>
        </is>
      </c>
      <c r="C33" s="56" t="inlineStr">
        <is>
          <t>성실·주도적 태도, 변화 유연성</t>
        </is>
      </c>
      <c r="D33" s="53" t="inlineStr">
        <is>
          <t>S  문제 해결 중심의 선도적 자세
A  책임감, 적극적 태도
B  일정 주도성 보임
C  소극적, 피동적 태도
D  수동적, 지시 없이는 행동 안 함</t>
        </is>
      </c>
      <c r="E33" s="42" t="n"/>
      <c r="F33" s="42" t="n"/>
      <c r="G33" s="106" t="n"/>
      <c r="H33" s="105" t="n"/>
    </row>
    <row r="34" ht="100.05" customHeight="1">
      <c r="A34" s="45" t="inlineStr">
        <is>
          <t>C-9</t>
        </is>
      </c>
      <c r="B34" s="55" t="inlineStr">
        <is>
          <t>혁신 역량</t>
        </is>
      </c>
      <c r="C34" s="56" t="inlineStr">
        <is>
          <t>AI·자동화 등 최신 기술의 실무 접목</t>
        </is>
      </c>
      <c r="D34" s="53" t="inlineStr">
        <is>
          <t>S  혁신적 아이디어 제시 및 실현
A  적극 활용하여 효율성 제고
B  일상적 업무에 도구 활용
C  부분적 기능 사용
D  기술 활용 거의 없음</t>
        </is>
      </c>
      <c r="E34" s="42" t="n"/>
      <c r="F34" s="42" t="n"/>
      <c r="G34" s="106" t="n"/>
      <c r="H34" s="105" t="n"/>
    </row>
    <row r="35" ht="100.05" customHeight="1">
      <c r="A35" s="45" t="inlineStr">
        <is>
          <t>C-10</t>
        </is>
      </c>
      <c r="B35" s="55" t="inlineStr">
        <is>
          <t>프로세스 개선</t>
        </is>
      </c>
      <c r="C35" s="56" t="inlineStr">
        <is>
          <t>업무 절차 분석 및 비효율 개선</t>
        </is>
      </c>
      <c r="D35" s="53" t="inlineStr">
        <is>
          <t>S  제안 실행까지 주도함
A  능동적 개선 제안
B  개선의 필요성 인식
C  타인이 해야 할 일로 인식
D  개선 의지 없음</t>
        </is>
      </c>
      <c r="E35" s="42" t="n"/>
      <c r="F35" s="42" t="n"/>
      <c r="G35" s="106" t="n"/>
      <c r="H35" s="105" t="n"/>
    </row>
    <row r="36" ht="100.05" customHeight="1">
      <c r="A36" s="45" t="inlineStr">
        <is>
          <t>C-11</t>
        </is>
      </c>
      <c r="B36" s="55" t="inlineStr">
        <is>
          <t>지속가능 기여</t>
        </is>
      </c>
      <c r="C36" s="56" t="inlineStr">
        <is>
          <t>장기적 성과 향상·조직 기여</t>
        </is>
      </c>
      <c r="D36" s="53" t="inlineStr">
        <is>
          <t>S  성과 리딩 및 지속 성과 도출
A  개인 및 팀 성과 기여
B  기본 수준의 성과
C  성과 불명확, 기여 낮음
D  성과 없음, 소극적 태도</t>
        </is>
      </c>
      <c r="E36" s="42" t="n"/>
      <c r="F36" s="42" t="n"/>
      <c r="G36" s="106" t="n"/>
      <c r="H36" s="105" t="n"/>
    </row>
    <row r="37" ht="24" customHeight="1">
      <c r="A37" s="76" t="inlineStr">
        <is>
          <t>1차 평가자 공통역량 종합 (11개 단순 평균)</t>
        </is>
      </c>
      <c r="B37" s="104" t="n"/>
      <c r="C37" s="104" t="n"/>
      <c r="D37" s="104" t="n"/>
      <c r="E37" s="105" t="n"/>
      <c r="F37" s="43">
        <f>IFERROR((IF(F26="S",5,IF(F26="A",4,IF(F26="B",3,IF(F26="C",2,IF(F26="D",1,0)))))+IF(F27="S",5,IF(F27="A",4,IF(F27="B",3,IF(F27="C",2,IF(F27="D",1,0)))))+IF(F28="S",5,IF(F28="A",4,IF(F28="B",3,IF(F28="C",2,IF(F28="D",1,0)))))+IF(F29="S",5,IF(F29="A",4,IF(F29="B",3,IF(F29="C",2,IF(F29="D",1,0)))))+IF(F30="S",5,IF(F30="A",4,IF(F30="B",3,IF(F30="C",2,IF(F30="D",1,0)))))+IF(F31="S",5,IF(F31="A",4,IF(F31="B",3,IF(F31="C",2,IF(F31="D",1,0)))))+IF(F32="S",5,IF(F32="A",4,IF(F32="B",3,IF(F32="C",2,IF(F32="D",1,0)))))+IF(F33="S",5,IF(F33="A",4,IF(F33="B",3,IF(F33="C",2,IF(F33="D",1,0)))))+IF(F34="S",5,IF(F34="A",4,IF(F34="B",3,IF(F34="C",2,IF(F34="D",1,0)))))+IF(F35="S",5,IF(F35="A",4,IF(F35="B",3,IF(F35="C",2,IF(F35="D",1,0)))))+IF(F36="S",5,IF(F36="A",4,IF(F36="B",3,IF(F36="C",2,IF(F36="D",1,0))))))/11,"")</f>
        <v/>
      </c>
      <c r="G37" s="44" t="inlineStr">
        <is>
          <t>→ 등급</t>
        </is>
      </c>
      <c r="H37" s="71">
        <f>IF(OR(F37="",F37&lt;0.5),"",IF(F37&gt;=4.5,"S",IF(F37&gt;=3.5,"A",IF(F37&gt;=2.5,"B",IF(F37&gt;=1.5,"C","D")))))</f>
        <v/>
      </c>
    </row>
    <row r="38" ht="24" customHeight="1">
      <c r="A38" s="76" t="inlineStr">
        <is>
          <t>2차 평가자 공통역량 종합 (11개 단순 평균)</t>
        </is>
      </c>
      <c r="B38" s="104" t="n"/>
      <c r="C38" s="104" t="n"/>
      <c r="D38" s="104" t="n"/>
      <c r="E38" s="105" t="n"/>
      <c r="F38" s="43">
        <f>IFERROR((IF(G26="S",5,IF(G26="A",4,IF(G26="B",3,IF(G26="C",2,IF(G26="D",1,0)))))+IF(G27="S",5,IF(G27="A",4,IF(G27="B",3,IF(G27="C",2,IF(G27="D",1,0)))))+IF(G28="S",5,IF(G28="A",4,IF(G28="B",3,IF(G28="C",2,IF(G28="D",1,0)))))+IF(G29="S",5,IF(G29="A",4,IF(G29="B",3,IF(G29="C",2,IF(G29="D",1,0)))))+IF(G30="S",5,IF(G30="A",4,IF(G30="B",3,IF(G30="C",2,IF(G30="D",1,0)))))+IF(G31="S",5,IF(G31="A",4,IF(G31="B",3,IF(G31="C",2,IF(G31="D",1,0)))))+IF(G32="S",5,IF(G32="A",4,IF(G32="B",3,IF(G32="C",2,IF(G32="D",1,0)))))+IF(G33="S",5,IF(G33="A",4,IF(G33="B",3,IF(G33="C",2,IF(G33="D",1,0)))))+IF(G34="S",5,IF(G34="A",4,IF(G34="B",3,IF(G34="C",2,IF(G34="D",1,0)))))+IF(G35="S",5,IF(G35="A",4,IF(G35="B",3,IF(G35="C",2,IF(G35="D",1,0)))))+IF(G36="S",5,IF(G36="A",4,IF(G36="B",3,IF(G36="C",2,IF(G36="D",1,0))))))/11,"")</f>
        <v/>
      </c>
      <c r="G38" s="44" t="inlineStr">
        <is>
          <t>→ 등급</t>
        </is>
      </c>
      <c r="H38" s="71">
        <f>IF(OR(F38="",F38&lt;0.5),"",IF(F38&gt;=4.5,"S",IF(F38&gt;=3.5,"A",IF(F38&gt;=2.5,"B",IF(F38&gt;=1.5,"C","D")))))</f>
        <v/>
      </c>
    </row>
    <row r="40" ht="28.05" customHeight="1">
      <c r="A40" s="66" t="inlineStr">
        <is>
          <t>▶ ③ 직무역량평가 — 메인 책무(E열 O 표시)만 1·2차 평가자 등급 입력</t>
        </is>
      </c>
      <c r="B40" s="104" t="n"/>
      <c r="C40" s="104" t="n"/>
      <c r="D40" s="104" t="n"/>
      <c r="E40" s="104" t="n"/>
      <c r="F40" s="104" t="n"/>
      <c r="G40" s="104" t="n"/>
      <c r="H40" s="105" t="n"/>
      <c r="I40" s="60" t="n"/>
      <c r="J40" s="60" t="n"/>
      <c r="K40" s="60" t="n"/>
      <c r="L40" s="60" t="n"/>
    </row>
    <row r="41" ht="32" customHeight="1">
      <c r="A41" s="68" t="inlineStr">
        <is>
          <t>No.</t>
        </is>
      </c>
      <c r="B41" s="68" t="inlineStr">
        <is>
          <t>전문영역</t>
        </is>
      </c>
      <c r="C41" s="68" t="inlineStr">
        <is>
          <t>핵심 책무</t>
        </is>
      </c>
      <c r="D41" s="68" t="inlineStr">
        <is>
          <t>S/A/B/C/D 등급 기준</t>
        </is>
      </c>
      <c r="E41" s="68" t="inlineStr">
        <is>
          <t>메인</t>
        </is>
      </c>
      <c r="F41" s="68" t="inlineStr">
        <is>
          <t>1차</t>
        </is>
      </c>
      <c r="G41" s="68" t="inlineStr">
        <is>
          <t>2차</t>
        </is>
      </c>
      <c r="H41" s="68" t="inlineStr">
        <is>
          <t>평가 근거 및 피드백</t>
        </is>
      </c>
      <c r="I41" s="60" t="n"/>
      <c r="J41" s="60" t="n"/>
      <c r="K41" s="60" t="n"/>
      <c r="L41" s="60" t="n"/>
    </row>
    <row r="42" ht="85.05" customHeight="1">
      <c r="A42" s="33" t="inlineStr">
        <is>
          <t>J-1</t>
        </is>
      </c>
      <c r="B42" s="54" t="inlineStr">
        <is>
          <t>기술지원</t>
        </is>
      </c>
      <c r="C42" s="54" t="inlineStr">
        <is>
          <t>고객 문의 대응</t>
        </is>
      </c>
      <c r="D42" s="53" t="inlineStr">
        <is>
          <t>S  기대 현저히 초과
A  기대 상회
B  기대 부합
C  부분 미흡
D  전반 미흡</t>
        </is>
      </c>
      <c r="E42" s="42" t="n"/>
      <c r="F42" s="42" t="n"/>
      <c r="G42" s="107" t="n"/>
      <c r="H42" s="47">
        <f>IF(E42="O",IFERROR(IF(AND(F42&lt;&gt;"",G42&lt;&gt;""),(IFERROR(IF(F42="S",5,IF(F42="A",4,IF(F42="B",3,IF(F42="C",2,IF(F42="D",1,0))))),0)+IFERROR(IF(G42="S",5,IF(G42="A",4,IF(G42="B",3,IF(G42="C",2,IF(G42="D",1,0))))),0))/2,IF(F42&lt;&gt;"",IFERROR(IF(F42="S",5,IF(F42="A",4,IF(F42="B",3,IF(F42="C",2,IF(F42="D",1,0))))),0),IF(G42&lt;&gt;"",IFERROR(IF(G42="S",5,IF(G42="A",4,IF(G42="B",3,IF(G42="C",2,IF(G42="D",1,0))))),0),""))),""),"")</f>
        <v/>
      </c>
      <c r="I42" s="60" t="n"/>
      <c r="J42" s="60" t="n"/>
      <c r="K42" s="60" t="n"/>
      <c r="L42" s="60" t="n"/>
    </row>
    <row r="43" ht="85.05" customHeight="1">
      <c r="A43" s="33" t="inlineStr">
        <is>
          <t>J-2</t>
        </is>
      </c>
      <c r="B43" s="54" t="inlineStr">
        <is>
          <t>기술지원</t>
        </is>
      </c>
      <c r="C43" s="54" t="inlineStr">
        <is>
          <t>원격·현장 지원</t>
        </is>
      </c>
      <c r="D43" s="53" t="inlineStr">
        <is>
          <t>S  기대 현저히 초과
A  기대 상회
B  기대 부합
C  부분 미흡
D  전반 미흡</t>
        </is>
      </c>
      <c r="E43" s="42" t="n"/>
      <c r="F43" s="42" t="n"/>
      <c r="G43" s="107" t="n"/>
      <c r="H43" s="47">
        <f>IF(E43="O",IFERROR(IF(AND(F43&lt;&gt;"",G43&lt;&gt;""),(IFERROR(IF(F43="S",5,IF(F43="A",4,IF(F43="B",3,IF(F43="C",2,IF(F43="D",1,0))))),0)+IFERROR(IF(G43="S",5,IF(G43="A",4,IF(G43="B",3,IF(G43="C",2,IF(G43="D",1,0))))),0))/2,IF(F43&lt;&gt;"",IFERROR(IF(F43="S",5,IF(F43="A",4,IF(F43="B",3,IF(F43="C",2,IF(F43="D",1,0))))),0),IF(G43&lt;&gt;"",IFERROR(IF(G43="S",5,IF(G43="A",4,IF(G43="B",3,IF(G43="C",2,IF(G43="D",1,0))))),0),""))),""),"")</f>
        <v/>
      </c>
      <c r="I43" s="60" t="n"/>
      <c r="J43" s="60" t="n"/>
      <c r="K43" s="60" t="n"/>
      <c r="L43" s="60" t="n"/>
    </row>
    <row r="44" ht="85.05" customHeight="1">
      <c r="A44" s="33" t="inlineStr">
        <is>
          <t>J-3</t>
        </is>
      </c>
      <c r="B44" s="54" t="inlineStr">
        <is>
          <t>기술지원</t>
        </is>
      </c>
      <c r="C44" s="54" t="inlineStr">
        <is>
          <t>기술 문서 작성</t>
        </is>
      </c>
      <c r="D44" s="53" t="inlineStr">
        <is>
          <t>S  기대 현저히 초과
A  기대 상회
B  기대 부합
C  부분 미흡
D  전반 미흡</t>
        </is>
      </c>
      <c r="E44" s="42" t="n"/>
      <c r="F44" s="42" t="n"/>
      <c r="G44" s="107" t="n"/>
      <c r="H44" s="47">
        <f>IF(E44="O",IFERROR(IF(AND(F44&lt;&gt;"",G44&lt;&gt;""),(IFERROR(IF(F44="S",5,IF(F44="A",4,IF(F44="B",3,IF(F44="C",2,IF(F44="D",1,0))))),0)+IFERROR(IF(G44="S",5,IF(G44="A",4,IF(G44="B",3,IF(G44="C",2,IF(G44="D",1,0))))),0))/2,IF(F44&lt;&gt;"",IFERROR(IF(F44="S",5,IF(F44="A",4,IF(F44="B",3,IF(F44="C",2,IF(F44="D",1,0))))),0),IF(G44&lt;&gt;"",IFERROR(IF(G44="S",5,IF(G44="A",4,IF(G44="B",3,IF(G44="C",2,IF(G44="D",1,0))))),0),""))),""),"")</f>
        <v/>
      </c>
      <c r="I44" s="60" t="n"/>
      <c r="J44" s="60" t="n"/>
      <c r="K44" s="60" t="n"/>
      <c r="L44" s="60" t="n"/>
    </row>
    <row r="45" ht="85.05" customHeight="1">
      <c r="A45" s="33" t="inlineStr">
        <is>
          <t>J-4</t>
        </is>
      </c>
      <c r="B45" s="54" t="inlineStr">
        <is>
          <t>품질개선</t>
        </is>
      </c>
      <c r="C45" s="54" t="inlineStr">
        <is>
          <t>버그 리포트 및 피드백</t>
        </is>
      </c>
      <c r="D45" s="53" t="inlineStr">
        <is>
          <t>S  기대 현저히 초과
A  기대 상회
B  기대 부합
C  부분 미흡
D  전반 미흡</t>
        </is>
      </c>
      <c r="E45" s="42" t="n"/>
      <c r="F45" s="42" t="n"/>
      <c r="G45" s="107" t="n"/>
      <c r="H45" s="47">
        <f>IF(E45="O",IFERROR(IF(AND(F45&lt;&gt;"",G45&lt;&gt;""),(IFERROR(IF(F45="S",5,IF(F45="A",4,IF(F45="B",3,IF(F45="C",2,IF(F45="D",1,0))))),0)+IFERROR(IF(G45="S",5,IF(G45="A",4,IF(G45="B",3,IF(G45="C",2,IF(G45="D",1,0))))),0))/2,IF(F45&lt;&gt;"",IFERROR(IF(F45="S",5,IF(F45="A",4,IF(F45="B",3,IF(F45="C",2,IF(F45="D",1,0))))),0),IF(G45&lt;&gt;"",IFERROR(IF(G45="S",5,IF(G45="A",4,IF(G45="B",3,IF(G45="C",2,IF(G45="D",1,0))))),0),""))),""),"")</f>
        <v/>
      </c>
      <c r="I45" s="60" t="n"/>
      <c r="J45" s="60" t="n"/>
      <c r="K45" s="60" t="n"/>
      <c r="L45" s="60" t="n"/>
    </row>
    <row r="46" ht="85.05" customHeight="1">
      <c r="A46" s="33" t="inlineStr">
        <is>
          <t>J-5</t>
        </is>
      </c>
      <c r="B46" s="54" t="inlineStr">
        <is>
          <t>품질개선</t>
        </is>
      </c>
      <c r="C46" s="54" t="inlineStr">
        <is>
          <t>품질 모니터링</t>
        </is>
      </c>
      <c r="D46" s="53" t="inlineStr">
        <is>
          <t>S  기대 현저히 초과
A  기대 상회
B  기대 부합
C  부분 미흡
D  전반 미흡</t>
        </is>
      </c>
      <c r="E46" s="42" t="n"/>
      <c r="F46" s="42" t="n"/>
      <c r="G46" s="107" t="n"/>
      <c r="H46" s="47">
        <f>IF(E46="O",IFERROR(IF(AND(F46&lt;&gt;"",G46&lt;&gt;""),(IFERROR(IF(F46="S",5,IF(F46="A",4,IF(F46="B",3,IF(F46="C",2,IF(F46="D",1,0))))),0)+IFERROR(IF(G46="S",5,IF(G46="A",4,IF(G46="B",3,IF(G46="C",2,IF(G46="D",1,0))))),0))/2,IF(F46&lt;&gt;"",IFERROR(IF(F46="S",5,IF(F46="A",4,IF(F46="B",3,IF(F46="C",2,IF(F46="D",1,0))))),0),IF(G46&lt;&gt;"",IFERROR(IF(G46="S",5,IF(G46="A",4,IF(G46="B",3,IF(G46="C",2,IF(G46="D",1,0))))),0),""))),""),"")</f>
        <v/>
      </c>
      <c r="I46" s="60" t="n"/>
      <c r="J46" s="60" t="n"/>
      <c r="K46" s="60" t="n"/>
      <c r="L46" s="60" t="n"/>
    </row>
    <row r="47" ht="85.05" customHeight="1">
      <c r="A47" s="33" t="n"/>
      <c r="B47" s="54" t="n"/>
      <c r="C47" s="54" t="n"/>
      <c r="D47" s="53" t="n"/>
      <c r="E47" s="42" t="n"/>
      <c r="F47" s="42" t="n"/>
      <c r="G47" s="107" t="n"/>
      <c r="H47" s="47" t="n"/>
      <c r="I47" s="60" t="n"/>
      <c r="J47" s="60" t="n"/>
      <c r="K47" s="60" t="n"/>
      <c r="L47" s="60" t="n"/>
    </row>
    <row r="48" ht="85.05" customHeight="1">
      <c r="A48" s="33" t="n"/>
      <c r="B48" s="54" t="n"/>
      <c r="C48" s="54" t="n"/>
      <c r="D48" s="53" t="n"/>
      <c r="E48" s="42" t="n"/>
      <c r="F48" s="42" t="n"/>
      <c r="G48" s="107" t="n"/>
      <c r="H48" s="47" t="n"/>
      <c r="I48" s="60" t="n"/>
      <c r="J48" s="60" t="n"/>
      <c r="K48" s="60" t="n"/>
      <c r="L48" s="60" t="n"/>
    </row>
    <row r="49" ht="85.05" customHeight="1">
      <c r="A49" s="33" t="n"/>
      <c r="B49" s="54" t="n"/>
      <c r="C49" s="54" t="n"/>
      <c r="D49" s="53" t="n"/>
      <c r="E49" s="42" t="n"/>
      <c r="F49" s="42" t="n"/>
      <c r="G49" s="107" t="n"/>
      <c r="H49" s="47" t="n"/>
      <c r="I49" s="60" t="n"/>
      <c r="J49" s="60" t="n"/>
      <c r="K49" s="60" t="n"/>
      <c r="L49" s="60" t="n"/>
    </row>
    <row r="50" ht="85.05" customHeight="1">
      <c r="A50" s="33" t="n"/>
      <c r="B50" s="54" t="n"/>
      <c r="C50" s="54" t="n"/>
      <c r="D50" s="53" t="n"/>
      <c r="E50" s="42" t="n"/>
      <c r="F50" s="42" t="n"/>
      <c r="G50" s="107" t="n"/>
      <c r="H50" s="47" t="n"/>
      <c r="I50" s="60" t="n"/>
      <c r="J50" s="60" t="n"/>
      <c r="K50" s="60" t="n"/>
      <c r="L50" s="60" t="n"/>
    </row>
    <row r="51" ht="85.05" customHeight="1">
      <c r="A51" s="33" t="n"/>
      <c r="B51" s="54" t="n"/>
      <c r="C51" s="54" t="n"/>
      <c r="D51" s="53" t="n"/>
      <c r="E51" s="42" t="n"/>
      <c r="F51" s="42" t="n"/>
      <c r="G51" s="107" t="n"/>
      <c r="H51" s="47" t="n"/>
      <c r="I51" s="60" t="n"/>
      <c r="J51" s="60" t="n"/>
      <c r="K51" s="60" t="n"/>
      <c r="L51" s="60" t="n"/>
    </row>
    <row r="52" ht="85.05" customHeight="1">
      <c r="A52" s="33" t="n"/>
      <c r="B52" s="54" t="n"/>
      <c r="C52" s="54" t="n"/>
      <c r="D52" s="53" t="n"/>
      <c r="E52" s="42" t="n"/>
      <c r="F52" s="42" t="n"/>
      <c r="G52" s="107" t="n"/>
      <c r="H52" s="47" t="n"/>
      <c r="I52" s="60" t="n"/>
      <c r="J52" s="60" t="n"/>
      <c r="K52" s="60" t="n"/>
      <c r="L52" s="60" t="n"/>
    </row>
    <row r="53" ht="85.05" customHeight="1">
      <c r="A53" s="33" t="n"/>
      <c r="B53" s="54" t="n"/>
      <c r="C53" s="54" t="n"/>
      <c r="D53" s="53" t="n"/>
      <c r="E53" s="42" t="n"/>
      <c r="F53" s="42" t="n"/>
      <c r="G53" s="107" t="n"/>
      <c r="H53" s="47" t="n"/>
      <c r="I53" s="60" t="n"/>
      <c r="J53" s="60" t="n"/>
      <c r="K53" s="60" t="n"/>
      <c r="L53" s="60" t="n"/>
    </row>
    <row r="54" ht="85.05" customHeight="1">
      <c r="A54" s="33" t="n"/>
      <c r="B54" s="54" t="n"/>
      <c r="C54" s="54" t="n"/>
      <c r="D54" s="53" t="n"/>
      <c r="E54" s="42" t="n"/>
      <c r="F54" s="42" t="n"/>
      <c r="G54" s="107" t="n"/>
      <c r="H54" s="47" t="n"/>
      <c r="I54" s="60" t="n"/>
      <c r="J54" s="60" t="n"/>
      <c r="K54" s="60" t="n"/>
      <c r="L54" s="60" t="n"/>
    </row>
    <row r="55" ht="85.05" customHeight="1">
      <c r="A55" s="33" t="n"/>
      <c r="B55" s="54" t="n"/>
      <c r="C55" s="54" t="n"/>
      <c r="D55" s="53" t="n"/>
      <c r="E55" s="42" t="n"/>
      <c r="F55" s="42" t="n"/>
      <c r="G55" s="107" t="n"/>
      <c r="H55" s="47" t="n"/>
      <c r="I55" s="60" t="n"/>
      <c r="J55" s="60" t="n"/>
      <c r="K55" s="60" t="n"/>
      <c r="L55" s="60" t="n"/>
    </row>
    <row r="56" ht="85.05" customHeight="1">
      <c r="A56" s="33" t="n"/>
      <c r="B56" s="54" t="n"/>
      <c r="C56" s="54" t="n"/>
      <c r="D56" s="53" t="n"/>
      <c r="E56" s="42" t="n"/>
      <c r="F56" s="42" t="n"/>
      <c r="G56" s="107" t="n"/>
      <c r="H56" s="47" t="n"/>
      <c r="I56" s="60" t="n"/>
      <c r="J56" s="60" t="n"/>
      <c r="K56" s="60" t="n"/>
      <c r="L56" s="60" t="n"/>
    </row>
    <row r="57">
      <c r="A57" s="61" t="n"/>
      <c r="B57" s="61" t="n"/>
      <c r="C57" s="61" t="n"/>
      <c r="D57" s="61" t="n"/>
      <c r="E57" s="61" t="n"/>
      <c r="F57" s="61" t="n"/>
      <c r="G57" s="61" t="n"/>
      <c r="H57" s="61" t="n"/>
      <c r="I57" s="60" t="n"/>
      <c r="J57" s="60" t="n"/>
      <c r="K57" s="60" t="n"/>
      <c r="L57" s="60" t="n"/>
    </row>
    <row r="58" ht="28.05" customHeight="1">
      <c r="A58" s="74" t="inlineStr">
        <is>
          <t>1차 평가자 직무 종합 (메인 책무 평균)</t>
        </is>
      </c>
      <c r="B58" s="104" t="n"/>
      <c r="C58" s="104" t="n"/>
      <c r="D58" s="105" t="n"/>
      <c r="E58" s="48">
        <f>IFERROR(SUMPRODUCT((E42:E56="O")*IFERROR(IF(F42:F56="S",5,IF(F42:F56="A",4,IF(F42:F56="B",3,IF(F42:F56="C",2,IF(F42:F56="D",1,0))))),0))/MAX(SUMPRODUCT((E42:E56="O")*(F42:F56&lt;&gt;"")),1),0)</f>
        <v/>
      </c>
      <c r="F58" s="49" t="inlineStr">
        <is>
          <t>→ 등급</t>
        </is>
      </c>
      <c r="G58" s="50">
        <f>IF(OR(E58="",E58&lt;0.5),"",IF(E58&gt;=4.5,"S",IF(E58&gt;=3.5,"A",IF(E58&gt;=2.5,"B",IF(E58&gt;=1.5,"C","D")))))</f>
        <v/>
      </c>
      <c r="H58" s="51" t="n"/>
      <c r="I58" s="60" t="n"/>
      <c r="J58" s="60" t="n"/>
      <c r="K58" s="60" t="n"/>
      <c r="L58" s="60" t="n"/>
    </row>
    <row r="59" ht="28.05" customHeight="1">
      <c r="A59" s="74" t="inlineStr">
        <is>
          <t>2차 평가자 직무 종합 (메인 책무 평균)</t>
        </is>
      </c>
      <c r="B59" s="104" t="n"/>
      <c r="C59" s="104" t="n"/>
      <c r="D59" s="105" t="n"/>
      <c r="E59" s="48">
        <f>IFERROR(SUMPRODUCT((E42:E56="O")*IFERROR(IF(G42:G56="S",5,IF(G42:G56="A",4,IF(G42:G56="B",3,IF(G42:G56="C",2,IF(G42:G56="D",1,0))))),0))/MAX(SUMPRODUCT((E42:E56="O")*(G42:G56&lt;&gt;"")),1),0)</f>
        <v/>
      </c>
      <c r="F59" s="49" t="inlineStr">
        <is>
          <t>→ 등급</t>
        </is>
      </c>
      <c r="G59" s="50">
        <f>IF(OR(E59="",E59&lt;0.5),"",IF(E59&gt;=4.5,"S",IF(E59&gt;=3.5,"A",IF(E59&gt;=2.5,"B",IF(E59&gt;=1.5,"C","D")))))</f>
        <v/>
      </c>
      <c r="H59" s="51" t="n"/>
      <c r="I59" s="60" t="n"/>
      <c r="J59" s="60" t="n"/>
      <c r="K59" s="60" t="n"/>
      <c r="L59" s="60" t="n"/>
    </row>
    <row r="60">
      <c r="A60" s="60" t="n"/>
      <c r="B60" s="60" t="n"/>
      <c r="C60" s="60" t="n"/>
      <c r="D60" s="60" t="n"/>
      <c r="E60" s="60" t="n"/>
      <c r="F60" s="60" t="n"/>
      <c r="G60" s="60" t="n"/>
      <c r="H60" s="60" t="n"/>
      <c r="I60" s="60" t="n"/>
      <c r="J60" s="60" t="n"/>
      <c r="K60" s="60" t="n"/>
      <c r="L60" s="60" t="n"/>
    </row>
    <row r="61" ht="24" customHeight="1">
      <c r="A61" s="80" t="inlineStr">
        <is>
          <t>▶ 통합관리시트 입력 행 (아래 한 줄 A~G 7개 셀을 통째 복사 → 07a/07b의 G~M에 [값 붙여넣기])</t>
        </is>
      </c>
      <c r="B61" s="104" t="n"/>
      <c r="C61" s="104" t="n"/>
      <c r="D61" s="104" t="n"/>
      <c r="E61" s="104" t="n"/>
      <c r="F61" s="104" t="n"/>
      <c r="G61" s="104" t="n"/>
      <c r="H61" s="105" t="n"/>
      <c r="I61" s="60" t="n"/>
      <c r="J61" s="60" t="n"/>
      <c r="K61" s="60" t="n"/>
      <c r="L61" s="60" t="n"/>
    </row>
    <row r="62" ht="22.05" customHeight="1">
      <c r="A62" s="81" t="inlineStr">
        <is>
          <t>사용법: 아래 한 줄 A~G 선택 → Ctrl+C → 통합관리시트 07a 또는 07b의 해당 사원 행 G열에 [선택하여 붙여넣기 → 값] 실행</t>
        </is>
      </c>
      <c r="B62" s="104" t="n"/>
      <c r="C62" s="104" t="n"/>
      <c r="D62" s="104" t="n"/>
      <c r="E62" s="104" t="n"/>
      <c r="F62" s="104" t="n"/>
      <c r="G62" s="104" t="n"/>
      <c r="H62" s="105" t="n"/>
      <c r="I62" s="60" t="n"/>
      <c r="J62" s="60" t="n"/>
      <c r="K62" s="60" t="n"/>
      <c r="L62" s="60" t="n"/>
    </row>
    <row r="63" ht="24" customHeight="1">
      <c r="A63" s="49" t="inlineStr">
        <is>
          <t>역할(1차)</t>
        </is>
      </c>
      <c r="B63" s="49" t="inlineStr">
        <is>
          <t>역할(2차)</t>
        </is>
      </c>
      <c r="C63" s="49" t="inlineStr">
        <is>
          <t>공통(1차)</t>
        </is>
      </c>
      <c r="D63" s="49" t="inlineStr">
        <is>
          <t>공통(2차)</t>
        </is>
      </c>
      <c r="E63" s="49" t="inlineStr">
        <is>
          <t>직무(1차)</t>
        </is>
      </c>
      <c r="F63" s="49" t="inlineStr">
        <is>
          <t>직무(2차)</t>
        </is>
      </c>
      <c r="G63" s="49" t="inlineStr">
        <is>
          <t>소견</t>
        </is>
      </c>
      <c r="H63" s="105" t="n"/>
      <c r="I63" s="60" t="n"/>
      <c r="J63" s="60" t="n"/>
      <c r="K63" s="60" t="n"/>
      <c r="L63" s="60" t="n"/>
    </row>
    <row r="64" ht="30" customHeight="1">
      <c r="A64" s="52">
        <f>G21</f>
        <v/>
      </c>
      <c r="B64" s="52">
        <f>G22</f>
        <v/>
      </c>
      <c r="C64" s="52">
        <f>H37</f>
        <v/>
      </c>
      <c r="D64" s="52">
        <f>H38</f>
        <v/>
      </c>
      <c r="E64" s="52">
        <f>G58</f>
        <v/>
      </c>
      <c r="F64" s="52">
        <f>G59</f>
        <v/>
      </c>
      <c r="G64" s="108" t="n"/>
      <c r="H64" s="105" t="n"/>
      <c r="I64" s="60" t="n"/>
      <c r="J64" s="60" t="n"/>
      <c r="K64" s="60" t="n"/>
      <c r="L64" s="60" t="n"/>
    </row>
    <row r="65">
      <c r="A65" s="60" t="n"/>
      <c r="B65" s="60" t="n"/>
      <c r="C65" s="60" t="n"/>
      <c r="D65" s="60" t="n"/>
      <c r="E65" s="60" t="n"/>
      <c r="F65" s="60" t="n"/>
      <c r="G65" s="60" t="n"/>
      <c r="H65" s="60" t="n"/>
      <c r="I65" s="60" t="n"/>
      <c r="J65" s="60" t="n"/>
      <c r="K65" s="60" t="n"/>
      <c r="L65" s="60" t="n"/>
    </row>
    <row r="66" ht="24" customHeight="1">
      <c r="A66" s="80" t="inlineStr">
        <is>
          <t>▶ 종합 소견 (강점·개선·육성 방향)</t>
        </is>
      </c>
      <c r="B66" s="104" t="n"/>
      <c r="C66" s="104" t="n"/>
      <c r="D66" s="104" t="n"/>
      <c r="E66" s="104" t="n"/>
      <c r="F66" s="104" t="n"/>
      <c r="G66" s="104" t="n"/>
      <c r="H66" s="105" t="n"/>
      <c r="I66" s="60" t="n"/>
      <c r="J66" s="60" t="n"/>
      <c r="K66" s="60" t="n"/>
      <c r="L66" s="60" t="n"/>
    </row>
    <row r="67" ht="50" customHeight="1">
      <c r="A67" s="49" t="inlineStr">
        <is>
          <t>강점</t>
        </is>
      </c>
      <c r="B67" s="64" t="n"/>
      <c r="C67" s="104" t="n"/>
      <c r="D67" s="104" t="n"/>
      <c r="E67" s="104" t="n"/>
      <c r="F67" s="104" t="n"/>
      <c r="G67" s="104" t="n"/>
      <c r="H67" s="105" t="n"/>
      <c r="I67" s="60" t="n"/>
      <c r="J67" s="60" t="n"/>
      <c r="K67" s="60" t="n"/>
      <c r="L67" s="60" t="n"/>
    </row>
    <row r="68" ht="50" customHeight="1">
      <c r="A68" s="49" t="inlineStr">
        <is>
          <t>개선</t>
        </is>
      </c>
      <c r="B68" s="64" t="n"/>
      <c r="C68" s="104" t="n"/>
      <c r="D68" s="104" t="n"/>
      <c r="E68" s="104" t="n"/>
      <c r="F68" s="104" t="n"/>
      <c r="G68" s="104" t="n"/>
      <c r="H68" s="105" t="n"/>
      <c r="I68" s="60" t="n"/>
      <c r="J68" s="60" t="n"/>
      <c r="K68" s="60" t="n"/>
      <c r="L68" s="60" t="n"/>
    </row>
    <row r="69" ht="50" customHeight="1">
      <c r="A69" s="49" t="inlineStr">
        <is>
          <t>육성 방향</t>
        </is>
      </c>
      <c r="B69" s="64" t="n"/>
      <c r="C69" s="104" t="n"/>
      <c r="D69" s="104" t="n"/>
      <c r="E69" s="104" t="n"/>
      <c r="F69" s="104" t="n"/>
      <c r="G69" s="104" t="n"/>
      <c r="H69" s="105" t="n"/>
      <c r="I69" s="60" t="n"/>
      <c r="J69" s="60" t="n"/>
      <c r="K69" s="60" t="n"/>
      <c r="L69" s="60" t="n"/>
    </row>
    <row r="70">
      <c r="A70" s="60" t="n"/>
      <c r="B70" s="60" t="n"/>
      <c r="C70" s="60" t="n"/>
      <c r="D70" s="60" t="n"/>
      <c r="E70" s="60" t="n"/>
      <c r="F70" s="60" t="n"/>
      <c r="G70" s="60" t="n"/>
      <c r="H70" s="60" t="n"/>
      <c r="I70" s="60" t="n"/>
      <c r="J70" s="60" t="n"/>
      <c r="K70" s="60" t="n"/>
      <c r="L70" s="60" t="n"/>
    </row>
    <row r="71">
      <c r="A71" s="60" t="n"/>
      <c r="B71" s="60" t="n"/>
      <c r="C71" s="60" t="n"/>
      <c r="D71" s="60" t="n"/>
      <c r="E71" s="60" t="n"/>
      <c r="F71" s="60" t="n"/>
      <c r="G71" s="60" t="n"/>
      <c r="H71" s="60" t="n"/>
      <c r="I71" s="60" t="n"/>
      <c r="J71" s="60" t="n"/>
      <c r="K71" s="60" t="n"/>
      <c r="L71" s="60" t="n"/>
    </row>
    <row r="72">
      <c r="A72" s="60" t="n"/>
      <c r="B72" s="60" t="n"/>
      <c r="C72" s="60" t="n"/>
      <c r="D72" s="60" t="n"/>
      <c r="E72" s="60" t="n"/>
      <c r="F72" s="60" t="n"/>
      <c r="G72" s="60" t="n"/>
      <c r="H72" s="60" t="n"/>
      <c r="I72" s="60" t="n"/>
      <c r="J72" s="60" t="n"/>
      <c r="K72" s="60" t="n"/>
      <c r="L72" s="60" t="n"/>
    </row>
  </sheetData>
  <mergeCells count="43">
    <mergeCell ref="G21:H21"/>
    <mergeCell ref="A22:D22"/>
    <mergeCell ref="B68:H68"/>
    <mergeCell ref="A24:H24"/>
    <mergeCell ref="G27:H27"/>
    <mergeCell ref="G36:H36"/>
    <mergeCell ref="A1:H1"/>
    <mergeCell ref="G17:H17"/>
    <mergeCell ref="A61:H61"/>
    <mergeCell ref="A58:D58"/>
    <mergeCell ref="B11:F11"/>
    <mergeCell ref="G19:H19"/>
    <mergeCell ref="A59:D59"/>
    <mergeCell ref="A66:H66"/>
    <mergeCell ref="A37:E37"/>
    <mergeCell ref="G28:H28"/>
    <mergeCell ref="A4:F4"/>
    <mergeCell ref="G18:H18"/>
    <mergeCell ref="G34:H34"/>
    <mergeCell ref="G30:H30"/>
    <mergeCell ref="G15:H15"/>
    <mergeCell ref="A2:H2"/>
    <mergeCell ref="G33:H33"/>
    <mergeCell ref="B67:H67"/>
    <mergeCell ref="G64:H64"/>
    <mergeCell ref="G26:H26"/>
    <mergeCell ref="G35:H35"/>
    <mergeCell ref="G29:H29"/>
    <mergeCell ref="A62:H62"/>
    <mergeCell ref="B14:H14"/>
    <mergeCell ref="G20:H20"/>
    <mergeCell ref="A38:E38"/>
    <mergeCell ref="G16:H16"/>
    <mergeCell ref="G32:H32"/>
    <mergeCell ref="G63:H63"/>
    <mergeCell ref="G25:H25"/>
    <mergeCell ref="A21:D21"/>
    <mergeCell ref="B69:H69"/>
    <mergeCell ref="A13:H13"/>
    <mergeCell ref="G31:H31"/>
    <mergeCell ref="G22:H22"/>
    <mergeCell ref="A7:F7"/>
    <mergeCell ref="A40:H40"/>
  </mergeCells>
  <conditionalFormatting sqref="A64:G64">
    <cfRule type="cellIs" priority="1" operator="equal" dxfId="3">
      <formula>"S"</formula>
    </cfRule>
    <cfRule type="cellIs" priority="2" operator="equal" dxfId="2">
      <formula>"A"</formula>
    </cfRule>
    <cfRule type="cellIs" priority="3" operator="equal" dxfId="1">
      <formula>"C"</formula>
    </cfRule>
    <cfRule type="cellIs" priority="4" operator="equal" dxfId="0">
      <formula>"D"</formula>
    </cfRule>
  </conditionalFormatting>
  <dataValidations count="4">
    <dataValidation sqref="E42:E56" showDropDown="0" showInputMessage="1" showErrorMessage="0" allowBlank="1" promptTitle="메인 책무" prompt="메인 책무는 O, 비메인은 X" type="list">
      <formula1>"O,X"</formula1>
    </dataValidation>
    <dataValidation sqref="F42:G56" showDropDown="0" showInputMessage="1" showErrorMessage="0" allowBlank="1" promptTitle="평가 등급" prompt="S/A/B/C/D 중 선택" type="list">
      <formula1>"S,A,B,C,D"</formula1>
    </dataValidation>
    <dataValidation sqref="E16:F20 E26:F36" showDropDown="0" showInputMessage="1" showErrorMessage="0" allowBlank="1" type="list">
      <formula1>"S,A,B,C,D"</formula1>
    </dataValidation>
    <dataValidation sqref="B11" showDropDown="0" showInputMessage="1" showErrorMessage="0" allowBlank="1" type="list">
      <formula1>"상반기,하반기"</formula1>
    </dataValidation>
  </dataValidations>
  <pageMargins left="0.75" right="0.75" top="1" bottom="1" header="0.5" footer="0.5"/>
  <pageSetup orientation="portrait" paperSize="9" verticalDpi="0"/>
</worksheet>
</file>

<file path=xl/worksheets/sheet3.xml><?xml version="1.0" encoding="utf-8"?>
<worksheet xmlns="http://schemas.openxmlformats.org/spreadsheetml/2006/main">
  <sheetPr>
    <tabColor rgb="FF70AD47"/>
    <outlinePr summaryBelow="1" summaryRight="1"/>
    <pageSetUpPr/>
  </sheetPr>
  <dimension ref="A1:L72"/>
  <sheetViews>
    <sheetView workbookViewId="0">
      <selection activeCell="A1" sqref="A1"/>
    </sheetView>
  </sheetViews>
  <sheetFormatPr baseColWidth="8" defaultRowHeight="16.9"/>
  <cols>
    <col width="30.5625" customWidth="1" style="58" min="1" max="8"/>
    <col width="11" customWidth="1" style="58" min="9" max="11"/>
    <col width="9" customWidth="1" style="58" min="12" max="16384"/>
  </cols>
  <sheetData>
    <row r="1" ht="30" customHeight="1">
      <c r="A1" s="62" t="inlineStr">
        <is>
          <t>성과평가지 양식 - 기술지원 / G5-M (직무 관리(부서장))</t>
        </is>
      </c>
      <c r="B1" s="86" t="n"/>
      <c r="C1" s="86" t="n"/>
      <c r="D1" s="86" t="n"/>
      <c r="E1" s="86" t="n"/>
      <c r="F1" s="86" t="n"/>
      <c r="G1" s="86" t="n"/>
      <c r="H1" s="87" t="n"/>
    </row>
    <row r="2" ht="22.05" customHeight="1">
      <c r="A2" s="73" t="inlineStr">
        <is>
          <t>1·2차 평가자가 등급(S/A/B/C/D)만 입력. 가중치는 통합관리시트에서 자동 처리.</t>
        </is>
      </c>
      <c r="B2" s="86" t="n"/>
      <c r="C2" s="86" t="n"/>
      <c r="D2" s="86" t="n"/>
      <c r="E2" s="86" t="n"/>
      <c r="F2" s="86" t="n"/>
      <c r="G2" s="86" t="n"/>
      <c r="H2" s="87" t="n"/>
    </row>
    <row r="4" ht="24" customHeight="1">
      <c r="A4" s="67" t="inlineStr">
        <is>
          <t>▶ 평가 대상자 정보 (주황셀에 입력)</t>
        </is>
      </c>
      <c r="B4" s="104" t="n"/>
      <c r="C4" s="104" t="n"/>
      <c r="D4" s="104" t="n"/>
      <c r="E4" s="104" t="n"/>
      <c r="F4" s="105" t="n"/>
      <c r="G4" s="63" t="n"/>
      <c r="H4" s="63" t="n"/>
    </row>
    <row r="5" ht="22.05" customHeight="1">
      <c r="A5" s="33" t="inlineStr">
        <is>
          <t>사번</t>
        </is>
      </c>
      <c r="B5" s="34" t="n"/>
      <c r="C5" s="33" t="inlineStr">
        <is>
          <t>성명</t>
        </is>
      </c>
      <c r="D5" s="34" t="n"/>
      <c r="E5" s="33" t="inlineStr">
        <is>
          <t>부서</t>
        </is>
      </c>
      <c r="F5" s="34" t="n"/>
    </row>
    <row r="6" ht="22.05" customHeight="1">
      <c r="A6" s="33" t="inlineStr">
        <is>
          <t>직군</t>
        </is>
      </c>
      <c r="B6" s="34" t="n"/>
      <c r="C6" s="33" t="inlineStr">
        <is>
          <t>직무</t>
        </is>
      </c>
      <c r="D6" s="35" t="inlineStr">
        <is>
          <t>BIM컨설팅</t>
        </is>
      </c>
      <c r="E6" s="33" t="inlineStr">
        <is>
          <t>역할등급(명)</t>
        </is>
      </c>
      <c r="F6" s="35" t="inlineStr">
        <is>
          <t>G6(사업·조직 관리)</t>
        </is>
      </c>
    </row>
    <row r="7" ht="24" customHeight="1">
      <c r="A7" s="67" t="inlineStr">
        <is>
          <t>▶ 평가자 정보 (주황셀에 입력)</t>
        </is>
      </c>
      <c r="B7" s="104" t="n"/>
      <c r="C7" s="104" t="n"/>
      <c r="D7" s="104" t="n"/>
      <c r="E7" s="104" t="n"/>
      <c r="F7" s="105" t="n"/>
      <c r="G7" s="63" t="n"/>
      <c r="H7" s="63" t="n"/>
    </row>
    <row r="8" ht="24" customHeight="1">
      <c r="A8" s="36" t="inlineStr">
        <is>
          <t>구분</t>
        </is>
      </c>
      <c r="B8" s="36" t="inlineStr">
        <is>
          <t>사번</t>
        </is>
      </c>
      <c r="C8" s="36" t="inlineStr">
        <is>
          <t>성명</t>
        </is>
      </c>
      <c r="D8" s="36" t="inlineStr">
        <is>
          <t>직책</t>
        </is>
      </c>
      <c r="E8" s="36" t="inlineStr">
        <is>
          <t>부서</t>
        </is>
      </c>
      <c r="F8" s="36" t="inlineStr">
        <is>
          <t>평가 일자</t>
        </is>
      </c>
      <c r="G8" s="63" t="n"/>
      <c r="H8" s="63" t="n"/>
    </row>
    <row r="9" ht="24" customHeight="1">
      <c r="A9" s="37" t="inlineStr">
        <is>
          <t>1차 평가자 (직속상사)</t>
        </is>
      </c>
      <c r="B9" s="38" t="n"/>
      <c r="C9" s="38" t="n"/>
      <c r="D9" s="38" t="n"/>
      <c r="E9" s="38" t="n"/>
      <c r="F9" s="39" t="n"/>
      <c r="G9" s="63" t="n"/>
      <c r="H9" s="63" t="n"/>
    </row>
    <row r="10" ht="24" customHeight="1">
      <c r="A10" s="37" t="inlineStr">
        <is>
          <t>2차 평가자 (조정자)</t>
        </is>
      </c>
      <c r="B10" s="38" t="n"/>
      <c r="C10" s="38" t="n"/>
      <c r="D10" s="38" t="n"/>
      <c r="E10" s="38" t="n"/>
      <c r="F10" s="39" t="n"/>
      <c r="G10" s="63" t="n"/>
      <c r="H10" s="63" t="n"/>
    </row>
    <row r="11" ht="24" customHeight="1">
      <c r="A11" s="37" t="inlineStr">
        <is>
          <t>평가 차수</t>
        </is>
      </c>
      <c r="B11" s="72" t="inlineStr">
        <is>
          <t>상반기</t>
        </is>
      </c>
      <c r="C11" s="104" t="n"/>
      <c r="D11" s="104" t="n"/>
      <c r="E11" s="104" t="n"/>
      <c r="F11" s="105" t="n"/>
      <c r="G11" s="63" t="n"/>
      <c r="H11" s="63" t="n"/>
    </row>
    <row r="13" ht="26" customHeight="1">
      <c r="A13" s="77" t="inlineStr">
        <is>
          <t>▶ ① 역할평가 — 5개 BARS 항목</t>
        </is>
      </c>
      <c r="B13" s="104" t="n"/>
      <c r="C13" s="104" t="n"/>
      <c r="D13" s="104" t="n"/>
      <c r="E13" s="104" t="n"/>
      <c r="F13" s="104" t="n"/>
      <c r="G13" s="104" t="n"/>
      <c r="H13" s="105" t="n"/>
    </row>
    <row r="14" ht="38" customHeight="1">
      <c r="A14" s="40" t="inlineStr">
        <is>
          <t>역할 정의</t>
        </is>
      </c>
      <c r="B14" s="75" t="inlineStr">
        <is>
          <t>부서 전략·목표 수립, 자원 배분·예산 관리·성과 관리, 부서 의사결정 주도.</t>
        </is>
      </c>
      <c r="C14" s="104" t="n"/>
      <c r="D14" s="104" t="n"/>
      <c r="E14" s="104" t="n"/>
      <c r="F14" s="104" t="n"/>
      <c r="G14" s="104" t="n"/>
      <c r="H14" s="105" t="n"/>
    </row>
    <row r="15" ht="28.05" customHeight="1">
      <c r="A15" s="68" t="inlineStr">
        <is>
          <t>No.</t>
        </is>
      </c>
      <c r="B15" s="68" t="inlineStr">
        <is>
          <t>평가항목</t>
        </is>
      </c>
      <c r="C15" s="68" t="inlineStr">
        <is>
          <t>평가 기준</t>
        </is>
      </c>
      <c r="D15" s="68" t="inlineStr">
        <is>
          <t>S/A/B/C/D 등급 기준</t>
        </is>
      </c>
      <c r="E15" s="68" t="inlineStr">
        <is>
          <t>1차 평가자</t>
        </is>
      </c>
      <c r="F15" s="68" t="inlineStr">
        <is>
          <t>2차 평가자</t>
        </is>
      </c>
      <c r="G15" s="68" t="inlineStr">
        <is>
          <t>평가 근거 및 피드백</t>
        </is>
      </c>
      <c r="H15" s="105" t="n"/>
    </row>
    <row r="16" ht="90" customHeight="1">
      <c r="A16" s="40" t="inlineStr">
        <is>
          <t>R-1</t>
        </is>
      </c>
      <c r="B16" s="55" t="inlineStr">
        <is>
          <t>책임범위 이행도</t>
        </is>
      </c>
      <c r="C16" s="56" t="inlineStr">
        <is>
          <t>역할등급에 부합하는 책임 범위 내 업무 수행</t>
        </is>
      </c>
      <c r="D16" s="53" t="inlineStr">
        <is>
          <t>S  기대 현저히 초과
A  기대 상회
B  기대 부합
C  부분 미흡
D  전반 미흡</t>
        </is>
      </c>
      <c r="E16" s="42" t="n"/>
      <c r="F16" s="42" t="n"/>
      <c r="G16" s="106" t="n"/>
      <c r="H16" s="105" t="n"/>
    </row>
    <row r="17" ht="90" customHeight="1">
      <c r="A17" s="40" t="inlineStr">
        <is>
          <t>R-2</t>
        </is>
      </c>
      <c r="B17" s="55" t="inlineStr">
        <is>
          <t>의사결정 적절성</t>
        </is>
      </c>
      <c r="C17" s="56" t="inlineStr">
        <is>
          <t>권한 수준 내 시의적절·합리적 의사결정</t>
        </is>
      </c>
      <c r="D17" s="53" t="inlineStr">
        <is>
          <t>S  기대 현저히 초과
A  기대 상회
B  기대 부합
C  부분 미흡
D  전반 미흡</t>
        </is>
      </c>
      <c r="E17" s="42" t="n"/>
      <c r="F17" s="42" t="n"/>
      <c r="G17" s="106" t="n"/>
      <c r="H17" s="105" t="n"/>
    </row>
    <row r="18" ht="90" customHeight="1">
      <c r="A18" s="40" t="inlineStr">
        <is>
          <t>R-3</t>
        </is>
      </c>
      <c r="B18" s="55" t="inlineStr">
        <is>
          <t>성과 기여도</t>
        </is>
      </c>
      <c r="C18" s="56" t="inlineStr">
        <is>
          <t>조직·프로젝트 목표 달성에 정량적 기여</t>
        </is>
      </c>
      <c r="D18" s="53" t="inlineStr">
        <is>
          <t>S  기대 현저히 초과
A  기대 상회
B  기대 부합
C  부분 미흡
D  전반 미흡</t>
        </is>
      </c>
      <c r="E18" s="42" t="n"/>
      <c r="F18" s="42" t="n"/>
      <c r="G18" s="106" t="n"/>
      <c r="H18" s="105" t="n"/>
    </row>
    <row r="19" ht="90" customHeight="1">
      <c r="A19" s="40" t="inlineStr">
        <is>
          <t>R-4</t>
        </is>
      </c>
      <c r="B19" s="55" t="inlineStr">
        <is>
          <t>조직 후배 코칭</t>
        </is>
      </c>
      <c r="C19" s="56" t="inlineStr">
        <is>
          <t>상·하위 역할과 효과적 협업 및 후배 코칭</t>
        </is>
      </c>
      <c r="D19" s="53" t="inlineStr">
        <is>
          <t>S  기대 현저히 초과
A  기대 상회
B  기대 부합
C  부분 미흡
D  전반 미흡</t>
        </is>
      </c>
      <c r="E19" s="42" t="n"/>
      <c r="F19" s="42" t="n"/>
      <c r="G19" s="106" t="n"/>
      <c r="H19" s="105" t="n"/>
    </row>
    <row r="20" ht="90" customHeight="1">
      <c r="A20" s="40" t="inlineStr">
        <is>
          <t>R-5</t>
        </is>
      </c>
      <c r="B20" s="55" t="inlineStr">
        <is>
          <t>산출물 완성도</t>
        </is>
      </c>
      <c r="C20" s="56" t="inlineStr">
        <is>
          <t>산출물 품질과 기한 준수</t>
        </is>
      </c>
      <c r="D20" s="53" t="inlineStr">
        <is>
          <t>S  기대 현저히 초과
A  기대 상회
B  기대 부합
C  부분 미흡
D  전반 미흡</t>
        </is>
      </c>
      <c r="E20" s="42" t="n"/>
      <c r="F20" s="42" t="n"/>
      <c r="G20" s="106" t="n"/>
      <c r="H20" s="105" t="n"/>
    </row>
    <row r="21" ht="24" customHeight="1">
      <c r="A21" s="79" t="inlineStr">
        <is>
          <t>1차 평가자 역할 종합 (5개 평균)</t>
        </is>
      </c>
      <c r="B21" s="104" t="n"/>
      <c r="C21" s="104" t="n"/>
      <c r="D21" s="105" t="n"/>
      <c r="E21" s="43">
        <f>IFERROR((IF(E16="S",5,IF(E16="A",4,IF(E16="B",3,IF(E16="C",2,IF(E16="D",1,0)))))+IF(E17="S",5,IF(E17="A",4,IF(E17="B",3,IF(E17="C",2,IF(E17="D",1,0)))))+IF(E18="S",5,IF(E18="A",4,IF(E18="B",3,IF(E18="C",2,IF(E18="D",1,0)))))+IF(E19="S",5,IF(E19="A",4,IF(E19="B",3,IF(E19="C",2,IF(E19="D",1,0)))))+IF(E20="S",5,IF(E20="A",4,IF(E20="B",3,IF(E20="C",2,IF(E20="D",1,0))))))/5,"")</f>
        <v/>
      </c>
      <c r="F21" s="44" t="inlineStr">
        <is>
          <t>→ 등급</t>
        </is>
      </c>
      <c r="G21" s="71">
        <f>IF(OR(E21="",E21&lt;0.5),"",IF(E21&gt;=4.5,"S",IF(E21&gt;=3.5,"A",IF(E21&gt;=2.5,"B",IF(E21&gt;=1.5,"C","D")))))</f>
        <v/>
      </c>
      <c r="H21" s="105" t="n"/>
    </row>
    <row r="22" ht="24" customHeight="1">
      <c r="A22" s="79" t="inlineStr">
        <is>
          <t>2차 평가자 역할 종합 (5개 평균)</t>
        </is>
      </c>
      <c r="B22" s="104" t="n"/>
      <c r="C22" s="104" t="n"/>
      <c r="D22" s="105" t="n"/>
      <c r="E22" s="43">
        <f>IFERROR((IF(F16="S",5,IF(F16="A",4,IF(F16="B",3,IF(F16="C",2,IF(F16="D",1,0)))))+IF(F17="S",5,IF(F17="A",4,IF(F17="B",3,IF(F17="C",2,IF(F17="D",1,0)))))+IF(F18="S",5,IF(F18="A",4,IF(F18="B",3,IF(F18="C",2,IF(F18="D",1,0)))))+IF(F19="S",5,IF(F19="A",4,IF(F19="B",3,IF(F19="C",2,IF(F19="D",1,0)))))+IF(F20="S",5,IF(F20="A",4,IF(F20="B",3,IF(F20="C",2,IF(F20="D",1,0))))))/5,"")</f>
        <v/>
      </c>
      <c r="F22" s="44" t="inlineStr">
        <is>
          <t>→ 등급</t>
        </is>
      </c>
      <c r="G22" s="71">
        <f>IF(OR(E22="",E22&lt;0.5),"",IF(E22&gt;=4.5,"S",IF(E22&gt;=3.5,"A",IF(E22&gt;=2.5,"B",IF(E22&gt;=1.5,"C","D")))))</f>
        <v/>
      </c>
      <c r="H22" s="105" t="n"/>
    </row>
    <row r="24" ht="26" customHeight="1">
      <c r="A24" s="78" t="inlineStr">
        <is>
          <t>▶ ② 공통역량평가 — 11개 (★ S/A/B/C/D 평가기준 포함)</t>
        </is>
      </c>
      <c r="B24" s="104" t="n"/>
      <c r="C24" s="104" t="n"/>
      <c r="D24" s="104" t="n"/>
      <c r="E24" s="104" t="n"/>
      <c r="F24" s="104" t="n"/>
      <c r="G24" s="104" t="n"/>
      <c r="H24" s="105" t="n"/>
    </row>
    <row r="25" ht="28.05" customHeight="1">
      <c r="A25" s="68" t="inlineStr">
        <is>
          <t>No.</t>
        </is>
      </c>
      <c r="B25" s="68" t="inlineStr">
        <is>
          <t>핵심 역량</t>
        </is>
      </c>
      <c r="C25" s="68" t="inlineStr">
        <is>
          <t>평가 기준</t>
        </is>
      </c>
      <c r="D25" s="68" t="inlineStr">
        <is>
          <t>S/A/B/C/D 등급 기준</t>
        </is>
      </c>
      <c r="E25" s="68" t="inlineStr">
        <is>
          <t>1차</t>
        </is>
      </c>
      <c r="F25" s="68" t="inlineStr">
        <is>
          <t>2차</t>
        </is>
      </c>
      <c r="G25" s="68" t="inlineStr">
        <is>
          <t>평가 근거 및 피드백</t>
        </is>
      </c>
      <c r="H25" s="105" t="n"/>
    </row>
    <row r="26" ht="100.05" customHeight="1">
      <c r="A26" s="45" t="inlineStr">
        <is>
          <t>C-1</t>
        </is>
      </c>
      <c r="B26" s="55" t="inlineStr">
        <is>
          <t>직무 전문성</t>
        </is>
      </c>
      <c r="C26" s="56" t="inlineStr">
        <is>
          <t>직무에 필요한 전문 지식 및 기술 보유, 실무 적용</t>
        </is>
      </c>
      <c r="D26" s="53" t="inlineStr">
        <is>
          <t>S  고급 지식과 숙련도, 타 부서 교육 가능
A  최신 트렌드 반영, 실무에 적절 활용
B  일반 수준 이해 및 적용
C  일부 기술 이해, 개선 필요
D  지식 부족, 실무 반영 어려움</t>
        </is>
      </c>
      <c r="E26" s="42" t="n"/>
      <c r="F26" s="42" t="n"/>
      <c r="G26" s="106" t="n"/>
      <c r="H26" s="105" t="n"/>
    </row>
    <row r="27" ht="100.05" customHeight="1">
      <c r="A27" s="45" t="inlineStr">
        <is>
          <t>C-2</t>
        </is>
      </c>
      <c r="B27" s="55" t="inlineStr">
        <is>
          <t>분석력</t>
        </is>
      </c>
      <c r="C27" s="56" t="inlineStr">
        <is>
          <t>데이터·수치 기반 사고로 업무 효율 향상</t>
        </is>
      </c>
      <c r="D27" s="53" t="inlineStr">
        <is>
          <t>S  데이터 기반 전략 도출 가능
A  분석 후 결과 활용 능숙
B  기본적 분석 및 간단한 적용 가능
C  기본 해석은 가능하나 활용 미흡
D  자료 해석 불가, 의사결정 어려움</t>
        </is>
      </c>
      <c r="E27" s="42" t="n"/>
      <c r="F27" s="42" t="n"/>
      <c r="G27" s="106" t="n"/>
      <c r="H27" s="105" t="n"/>
    </row>
    <row r="28" ht="100.05" customHeight="1">
      <c r="A28" s="45" t="inlineStr">
        <is>
          <t>C-3</t>
        </is>
      </c>
      <c r="B28" s="55" t="inlineStr">
        <is>
          <t>기획/실행력</t>
        </is>
      </c>
      <c r="C28" s="56" t="inlineStr">
        <is>
          <t>목표 설정·계획 수립·체계적 실행 능력</t>
        </is>
      </c>
      <c r="D28" s="53" t="inlineStr">
        <is>
          <t>S  스스로 목표 수립 및 조직 리딩 가능
A  계획 수립 능력 우수 및 실행 일관성
B  일반적 목표 수립 및 실현 가능
C  실행 계획 일부 있으나 체계 부족
D  목표 설정 부정확, 실행력 부족</t>
        </is>
      </c>
      <c r="E28" s="42" t="n"/>
      <c r="F28" s="42" t="n"/>
      <c r="G28" s="106" t="n"/>
      <c r="H28" s="105" t="n"/>
    </row>
    <row r="29" ht="100.05" customHeight="1">
      <c r="A29" s="45" t="inlineStr">
        <is>
          <t>C-4</t>
        </is>
      </c>
      <c r="B29" s="55" t="inlineStr">
        <is>
          <t>자원·시간 관리</t>
        </is>
      </c>
      <c r="C29" s="56" t="inlineStr">
        <is>
          <t>업무 우선순위 설정 및 시간 내 효과적 완수</t>
        </is>
      </c>
      <c r="D29" s="53" t="inlineStr">
        <is>
          <t>S  다중 과제 효율 배분, 시간관리 탁월
A  업무 효율성 높고 우선순위 명확
B  일반 수준 일정 조율 가능
C  마감 어려움, 우선순위 혼란
D  업무 지연 잦고 계획 없음</t>
        </is>
      </c>
      <c r="E29" s="42" t="n"/>
      <c r="F29" s="42" t="n"/>
      <c r="G29" s="106" t="n"/>
      <c r="H29" s="105" t="n"/>
    </row>
    <row r="30" ht="100.05" customHeight="1">
      <c r="A30" s="45" t="inlineStr">
        <is>
          <t>C-5</t>
        </is>
      </c>
      <c r="B30" s="55" t="inlineStr">
        <is>
          <t>협업 능력</t>
        </is>
      </c>
      <c r="C30" s="56" t="inlineStr">
        <is>
          <t>팀·타 부서와의 협업 태도, 정보 공유</t>
        </is>
      </c>
      <c r="D30" s="53" t="inlineStr">
        <is>
          <t>S  타 부서와의 시너지 창출
A  정보 공유, 원활한 협업
B  공동목표 수용 및 일부 협력
C  소극적 협조, 갈등 유발
D  협력 거부, 독단적 태도</t>
        </is>
      </c>
      <c r="E30" s="42" t="n"/>
      <c r="F30" s="42" t="n"/>
      <c r="G30" s="106" t="n"/>
      <c r="H30" s="105" t="n"/>
    </row>
    <row r="31" ht="100.05" customHeight="1">
      <c r="A31" s="45" t="inlineStr">
        <is>
          <t>C-6</t>
        </is>
      </c>
      <c r="B31" s="55" t="inlineStr">
        <is>
          <t>소통 능력</t>
        </is>
      </c>
      <c r="C31" s="56" t="inlineStr">
        <is>
          <t>명확한 의사 전달·경청·효과적 커뮤니케이션</t>
        </is>
      </c>
      <c r="D31" s="53" t="inlineStr">
        <is>
          <t>S  갈등 중재 및 공감능력 우수
A  정확한 의사 전달 및 경청
B  피드백 수용 및 전달 가능
C  소통 시 불편 유발
D  일방적 주장, 피드백 거부</t>
        </is>
      </c>
      <c r="E31" s="42" t="n"/>
      <c r="F31" s="42" t="n"/>
      <c r="G31" s="106" t="n"/>
      <c r="H31" s="105" t="n"/>
    </row>
    <row r="32" ht="100.05" customHeight="1">
      <c r="A32" s="45" t="inlineStr">
        <is>
          <t>C-7</t>
        </is>
      </c>
      <c r="B32" s="55" t="inlineStr">
        <is>
          <t>윤리/책임감</t>
        </is>
      </c>
      <c r="C32" s="56" t="inlineStr">
        <is>
          <t>공정·투명한 절차, 책임감 있는 업무</t>
        </is>
      </c>
      <c r="D32" s="53" t="inlineStr">
        <is>
          <t>S  모범적 자세, 조직문화 선도
A  조직 규범 내 성실 수행
B  기본 책임 수행
C  책임 회피 경향
D  무책임, 규정 무시</t>
        </is>
      </c>
      <c r="E32" s="42" t="n"/>
      <c r="F32" s="42" t="n"/>
      <c r="G32" s="106" t="n"/>
      <c r="H32" s="105" t="n"/>
    </row>
    <row r="33" ht="100.05" customHeight="1">
      <c r="A33" s="45" t="inlineStr">
        <is>
          <t>C-8</t>
        </is>
      </c>
      <c r="B33" s="55" t="inlineStr">
        <is>
          <t>업무 태도</t>
        </is>
      </c>
      <c r="C33" s="56" t="inlineStr">
        <is>
          <t>성실·주도적 태도, 변화 유연성</t>
        </is>
      </c>
      <c r="D33" s="53" t="inlineStr">
        <is>
          <t>S  문제 해결 중심의 선도적 자세
A  책임감, 적극적 태도
B  일정 주도성 보임
C  소극적, 피동적 태도
D  수동적, 지시 없이는 행동 안 함</t>
        </is>
      </c>
      <c r="E33" s="42" t="n"/>
      <c r="F33" s="42" t="n"/>
      <c r="G33" s="106" t="n"/>
      <c r="H33" s="105" t="n"/>
    </row>
    <row r="34" ht="100.05" customHeight="1">
      <c r="A34" s="45" t="inlineStr">
        <is>
          <t>C-9</t>
        </is>
      </c>
      <c r="B34" s="55" t="inlineStr">
        <is>
          <t>혁신 역량</t>
        </is>
      </c>
      <c r="C34" s="56" t="inlineStr">
        <is>
          <t>AI·자동화 등 최신 기술의 실무 접목</t>
        </is>
      </c>
      <c r="D34" s="53" t="inlineStr">
        <is>
          <t>S  혁신적 아이디어 제시 및 실현
A  적극 활용하여 효율성 제고
B  일상적 업무에 도구 활용
C  부분적 기능 사용
D  기술 활용 거의 없음</t>
        </is>
      </c>
      <c r="E34" s="42" t="n"/>
      <c r="F34" s="42" t="n"/>
      <c r="G34" s="106" t="n"/>
      <c r="H34" s="105" t="n"/>
    </row>
    <row r="35" ht="100.05" customHeight="1">
      <c r="A35" s="45" t="inlineStr">
        <is>
          <t>C-10</t>
        </is>
      </c>
      <c r="B35" s="55" t="inlineStr">
        <is>
          <t>프로세스 개선</t>
        </is>
      </c>
      <c r="C35" s="56" t="inlineStr">
        <is>
          <t>업무 절차 분석 및 비효율 개선</t>
        </is>
      </c>
      <c r="D35" s="53" t="inlineStr">
        <is>
          <t>S  제안 실행까지 주도함
A  능동적 개선 제안
B  개선의 필요성 인식
C  타인이 해야 할 일로 인식
D  개선 의지 없음</t>
        </is>
      </c>
      <c r="E35" s="42" t="n"/>
      <c r="F35" s="42" t="n"/>
      <c r="G35" s="106" t="n"/>
      <c r="H35" s="105" t="n"/>
    </row>
    <row r="36" ht="100.05" customHeight="1">
      <c r="A36" s="45" t="inlineStr">
        <is>
          <t>C-11</t>
        </is>
      </c>
      <c r="B36" s="55" t="inlineStr">
        <is>
          <t>지속가능 기여</t>
        </is>
      </c>
      <c r="C36" s="56" t="inlineStr">
        <is>
          <t>장기적 성과 향상·조직 기여</t>
        </is>
      </c>
      <c r="D36" s="53" t="inlineStr">
        <is>
          <t>S  성과 리딩 및 지속 성과 도출
A  개인 및 팀 성과 기여
B  기본 수준의 성과
C  성과 불명확, 기여 낮음
D  성과 없음, 소극적 태도</t>
        </is>
      </c>
      <c r="E36" s="42" t="n"/>
      <c r="F36" s="42" t="n"/>
      <c r="G36" s="106" t="n"/>
      <c r="H36" s="105" t="n"/>
    </row>
    <row r="37" ht="24" customHeight="1">
      <c r="A37" s="76" t="inlineStr">
        <is>
          <t>1차 평가자 공통역량 종합 (11개 단순 평균)</t>
        </is>
      </c>
      <c r="B37" s="104" t="n"/>
      <c r="C37" s="104" t="n"/>
      <c r="D37" s="104" t="n"/>
      <c r="E37" s="105" t="n"/>
      <c r="F37" s="43">
        <f>IFERROR((IF(F26="S",5,IF(F26="A",4,IF(F26="B",3,IF(F26="C",2,IF(F26="D",1,0)))))+IF(F27="S",5,IF(F27="A",4,IF(F27="B",3,IF(F27="C",2,IF(F27="D",1,0)))))+IF(F28="S",5,IF(F28="A",4,IF(F28="B",3,IF(F28="C",2,IF(F28="D",1,0)))))+IF(F29="S",5,IF(F29="A",4,IF(F29="B",3,IF(F29="C",2,IF(F29="D",1,0)))))+IF(F30="S",5,IF(F30="A",4,IF(F30="B",3,IF(F30="C",2,IF(F30="D",1,0)))))+IF(F31="S",5,IF(F31="A",4,IF(F31="B",3,IF(F31="C",2,IF(F31="D",1,0)))))+IF(F32="S",5,IF(F32="A",4,IF(F32="B",3,IF(F32="C",2,IF(F32="D",1,0)))))+IF(F33="S",5,IF(F33="A",4,IF(F33="B",3,IF(F33="C",2,IF(F33="D",1,0)))))+IF(F34="S",5,IF(F34="A",4,IF(F34="B",3,IF(F34="C",2,IF(F34="D",1,0)))))+IF(F35="S",5,IF(F35="A",4,IF(F35="B",3,IF(F35="C",2,IF(F35="D",1,0)))))+IF(F36="S",5,IF(F36="A",4,IF(F36="B",3,IF(F36="C",2,IF(F36="D",1,0))))))/11,"")</f>
        <v/>
      </c>
      <c r="G37" s="44" t="inlineStr">
        <is>
          <t>→ 등급</t>
        </is>
      </c>
      <c r="H37" s="71">
        <f>IF(OR(F37="",F37&lt;0.5),"",IF(F37&gt;=4.5,"S",IF(F37&gt;=3.5,"A",IF(F37&gt;=2.5,"B",IF(F37&gt;=1.5,"C","D")))))</f>
        <v/>
      </c>
    </row>
    <row r="38" ht="24" customHeight="1">
      <c r="A38" s="76" t="inlineStr">
        <is>
          <t>2차 평가자 공통역량 종합 (11개 단순 평균)</t>
        </is>
      </c>
      <c r="B38" s="104" t="n"/>
      <c r="C38" s="104" t="n"/>
      <c r="D38" s="104" t="n"/>
      <c r="E38" s="105" t="n"/>
      <c r="F38" s="43">
        <f>IFERROR((IF(G26="S",5,IF(G26="A",4,IF(G26="B",3,IF(G26="C",2,IF(G26="D",1,0)))))+IF(G27="S",5,IF(G27="A",4,IF(G27="B",3,IF(G27="C",2,IF(G27="D",1,0)))))+IF(G28="S",5,IF(G28="A",4,IF(G28="B",3,IF(G28="C",2,IF(G28="D",1,0)))))+IF(G29="S",5,IF(G29="A",4,IF(G29="B",3,IF(G29="C",2,IF(G29="D",1,0)))))+IF(G30="S",5,IF(G30="A",4,IF(G30="B",3,IF(G30="C",2,IF(G30="D",1,0)))))+IF(G31="S",5,IF(G31="A",4,IF(G31="B",3,IF(G31="C",2,IF(G31="D",1,0)))))+IF(G32="S",5,IF(G32="A",4,IF(G32="B",3,IF(G32="C",2,IF(G32="D",1,0)))))+IF(G33="S",5,IF(G33="A",4,IF(G33="B",3,IF(G33="C",2,IF(G33="D",1,0)))))+IF(G34="S",5,IF(G34="A",4,IF(G34="B",3,IF(G34="C",2,IF(G34="D",1,0)))))+IF(G35="S",5,IF(G35="A",4,IF(G35="B",3,IF(G35="C",2,IF(G35="D",1,0)))))+IF(G36="S",5,IF(G36="A",4,IF(G36="B",3,IF(G36="C",2,IF(G36="D",1,0))))))/11,"")</f>
        <v/>
      </c>
      <c r="G38" s="44" t="inlineStr">
        <is>
          <t>→ 등급</t>
        </is>
      </c>
      <c r="H38" s="71">
        <f>IF(OR(F38="",F38&lt;0.5),"",IF(F38&gt;=4.5,"S",IF(F38&gt;=3.5,"A",IF(F38&gt;=2.5,"B",IF(F38&gt;=1.5,"C","D")))))</f>
        <v/>
      </c>
    </row>
    <row r="40" ht="28.05" customHeight="1">
      <c r="A40" s="66" t="inlineStr">
        <is>
          <t>▶ ③ 직무역량평가 — 메인 책무(E열 O 표시)만 1·2차 평가자 등급 입력</t>
        </is>
      </c>
      <c r="B40" s="104" t="n"/>
      <c r="C40" s="104" t="n"/>
      <c r="D40" s="104" t="n"/>
      <c r="E40" s="104" t="n"/>
      <c r="F40" s="104" t="n"/>
      <c r="G40" s="104" t="n"/>
      <c r="H40" s="105" t="n"/>
      <c r="I40" s="60" t="n"/>
      <c r="J40" s="60" t="n"/>
      <c r="K40" s="60" t="n"/>
      <c r="L40" s="60" t="n"/>
    </row>
    <row r="41" ht="32" customHeight="1">
      <c r="A41" s="68" t="inlineStr">
        <is>
          <t>No.</t>
        </is>
      </c>
      <c r="B41" s="68" t="inlineStr">
        <is>
          <t>전문영역</t>
        </is>
      </c>
      <c r="C41" s="68" t="inlineStr">
        <is>
          <t>핵심 책무</t>
        </is>
      </c>
      <c r="D41" s="68" t="inlineStr">
        <is>
          <t>S/A/B/C/D 등급 기준</t>
        </is>
      </c>
      <c r="E41" s="68" t="inlineStr">
        <is>
          <t>메인</t>
        </is>
      </c>
      <c r="F41" s="68" t="inlineStr">
        <is>
          <t>1차</t>
        </is>
      </c>
      <c r="G41" s="68" t="inlineStr">
        <is>
          <t>2차</t>
        </is>
      </c>
      <c r="H41" s="68" t="inlineStr">
        <is>
          <t>평가 근거 및 피드백</t>
        </is>
      </c>
      <c r="I41" s="60" t="n"/>
      <c r="J41" s="60" t="n"/>
      <c r="K41" s="60" t="n"/>
      <c r="L41" s="60" t="n"/>
    </row>
    <row r="42" ht="85.05" customHeight="1">
      <c r="A42" s="33" t="inlineStr">
        <is>
          <t>J-1</t>
        </is>
      </c>
      <c r="B42" s="54" t="inlineStr">
        <is>
          <t>기술지원</t>
        </is>
      </c>
      <c r="C42" s="54" t="inlineStr">
        <is>
          <t>고객 문의 대응</t>
        </is>
      </c>
      <c r="D42" s="53" t="inlineStr">
        <is>
          <t>S  기대 현저히 초과
A  기대 상회
B  기대 부합
C  부분 미흡
D  전반 미흡</t>
        </is>
      </c>
      <c r="E42" s="42" t="n"/>
      <c r="F42" s="42" t="n"/>
      <c r="G42" s="107" t="n"/>
      <c r="H42" s="47">
        <f>IF(E42="O",IFERROR(IF(AND(F42&lt;&gt;"",G42&lt;&gt;""),(IFERROR(IF(F42="S",5,IF(F42="A",4,IF(F42="B",3,IF(F42="C",2,IF(F42="D",1,0))))),0)+IFERROR(IF(G42="S",5,IF(G42="A",4,IF(G42="B",3,IF(G42="C",2,IF(G42="D",1,0))))),0))/2,IF(F42&lt;&gt;"",IFERROR(IF(F42="S",5,IF(F42="A",4,IF(F42="B",3,IF(F42="C",2,IF(F42="D",1,0))))),0),IF(G42&lt;&gt;"",IFERROR(IF(G42="S",5,IF(G42="A",4,IF(G42="B",3,IF(G42="C",2,IF(G42="D",1,0))))),0),""))),""),"")</f>
        <v/>
      </c>
      <c r="I42" s="60" t="n"/>
      <c r="J42" s="60" t="n"/>
      <c r="K42" s="60" t="n"/>
      <c r="L42" s="60" t="n"/>
    </row>
    <row r="43" ht="85.05" customHeight="1">
      <c r="A43" s="33" t="inlineStr">
        <is>
          <t>J-2</t>
        </is>
      </c>
      <c r="B43" s="54" t="inlineStr">
        <is>
          <t>기술지원</t>
        </is>
      </c>
      <c r="C43" s="54" t="inlineStr">
        <is>
          <t>원격·현장 지원</t>
        </is>
      </c>
      <c r="D43" s="53" t="inlineStr">
        <is>
          <t>S  기대 현저히 초과
A  기대 상회
B  기대 부합
C  부분 미흡
D  전반 미흡</t>
        </is>
      </c>
      <c r="E43" s="42" t="n"/>
      <c r="F43" s="42" t="n"/>
      <c r="G43" s="107" t="n"/>
      <c r="H43" s="47">
        <f>IF(E43="O",IFERROR(IF(AND(F43&lt;&gt;"",G43&lt;&gt;""),(IFERROR(IF(F43="S",5,IF(F43="A",4,IF(F43="B",3,IF(F43="C",2,IF(F43="D",1,0))))),0)+IFERROR(IF(G43="S",5,IF(G43="A",4,IF(G43="B",3,IF(G43="C",2,IF(G43="D",1,0))))),0))/2,IF(F43&lt;&gt;"",IFERROR(IF(F43="S",5,IF(F43="A",4,IF(F43="B",3,IF(F43="C",2,IF(F43="D",1,0))))),0),IF(G43&lt;&gt;"",IFERROR(IF(G43="S",5,IF(G43="A",4,IF(G43="B",3,IF(G43="C",2,IF(G43="D",1,0))))),0),""))),""),"")</f>
        <v/>
      </c>
      <c r="I43" s="60" t="n"/>
      <c r="J43" s="60" t="n"/>
      <c r="K43" s="60" t="n"/>
      <c r="L43" s="60" t="n"/>
    </row>
    <row r="44" ht="85.05" customHeight="1">
      <c r="A44" s="33" t="inlineStr">
        <is>
          <t>J-3</t>
        </is>
      </c>
      <c r="B44" s="54" t="inlineStr">
        <is>
          <t>기술지원</t>
        </is>
      </c>
      <c r="C44" s="54" t="inlineStr">
        <is>
          <t>기술 문서 작성</t>
        </is>
      </c>
      <c r="D44" s="53" t="inlineStr">
        <is>
          <t>S  기대 현저히 초과
A  기대 상회
B  기대 부합
C  부분 미흡
D  전반 미흡</t>
        </is>
      </c>
      <c r="E44" s="42" t="n"/>
      <c r="F44" s="42" t="n"/>
      <c r="G44" s="107" t="n"/>
      <c r="H44" s="47">
        <f>IF(E44="O",IFERROR(IF(AND(F44&lt;&gt;"",G44&lt;&gt;""),(IFERROR(IF(F44="S",5,IF(F44="A",4,IF(F44="B",3,IF(F44="C",2,IF(F44="D",1,0))))),0)+IFERROR(IF(G44="S",5,IF(G44="A",4,IF(G44="B",3,IF(G44="C",2,IF(G44="D",1,0))))),0))/2,IF(F44&lt;&gt;"",IFERROR(IF(F44="S",5,IF(F44="A",4,IF(F44="B",3,IF(F44="C",2,IF(F44="D",1,0))))),0),IF(G44&lt;&gt;"",IFERROR(IF(G44="S",5,IF(G44="A",4,IF(G44="B",3,IF(G44="C",2,IF(G44="D",1,0))))),0),""))),""),"")</f>
        <v/>
      </c>
      <c r="I44" s="60" t="n"/>
      <c r="J44" s="60" t="n"/>
      <c r="K44" s="60" t="n"/>
      <c r="L44" s="60" t="n"/>
    </row>
    <row r="45" ht="85.05" customHeight="1">
      <c r="A45" s="33" t="inlineStr">
        <is>
          <t>J-4</t>
        </is>
      </c>
      <c r="B45" s="54" t="inlineStr">
        <is>
          <t>품질개선</t>
        </is>
      </c>
      <c r="C45" s="54" t="inlineStr">
        <is>
          <t>버그 리포트 및 피드백</t>
        </is>
      </c>
      <c r="D45" s="53" t="inlineStr">
        <is>
          <t>S  기대 현저히 초과
A  기대 상회
B  기대 부합
C  부분 미흡
D  전반 미흡</t>
        </is>
      </c>
      <c r="E45" s="42" t="n"/>
      <c r="F45" s="42" t="n"/>
      <c r="G45" s="107" t="n"/>
      <c r="H45" s="47">
        <f>IF(E45="O",IFERROR(IF(AND(F45&lt;&gt;"",G45&lt;&gt;""),(IFERROR(IF(F45="S",5,IF(F45="A",4,IF(F45="B",3,IF(F45="C",2,IF(F45="D",1,0))))),0)+IFERROR(IF(G45="S",5,IF(G45="A",4,IF(G45="B",3,IF(G45="C",2,IF(G45="D",1,0))))),0))/2,IF(F45&lt;&gt;"",IFERROR(IF(F45="S",5,IF(F45="A",4,IF(F45="B",3,IF(F45="C",2,IF(F45="D",1,0))))),0),IF(G45&lt;&gt;"",IFERROR(IF(G45="S",5,IF(G45="A",4,IF(G45="B",3,IF(G45="C",2,IF(G45="D",1,0))))),0),""))),""),"")</f>
        <v/>
      </c>
      <c r="I45" s="60" t="n"/>
      <c r="J45" s="60" t="n"/>
      <c r="K45" s="60" t="n"/>
      <c r="L45" s="60" t="n"/>
    </row>
    <row r="46" ht="85.05" customHeight="1">
      <c r="A46" s="33" t="inlineStr">
        <is>
          <t>J-5</t>
        </is>
      </c>
      <c r="B46" s="54" t="inlineStr">
        <is>
          <t>품질개선</t>
        </is>
      </c>
      <c r="C46" s="54" t="inlineStr">
        <is>
          <t>품질 모니터링</t>
        </is>
      </c>
      <c r="D46" s="53" t="inlineStr">
        <is>
          <t>S  기대 현저히 초과
A  기대 상회
B  기대 부합
C  부분 미흡
D  전반 미흡</t>
        </is>
      </c>
      <c r="E46" s="42" t="n"/>
      <c r="F46" s="42" t="n"/>
      <c r="G46" s="107" t="n"/>
      <c r="H46" s="47">
        <f>IF(E46="O",IFERROR(IF(AND(F46&lt;&gt;"",G46&lt;&gt;""),(IFERROR(IF(F46="S",5,IF(F46="A",4,IF(F46="B",3,IF(F46="C",2,IF(F46="D",1,0))))),0)+IFERROR(IF(G46="S",5,IF(G46="A",4,IF(G46="B",3,IF(G46="C",2,IF(G46="D",1,0))))),0))/2,IF(F46&lt;&gt;"",IFERROR(IF(F46="S",5,IF(F46="A",4,IF(F46="B",3,IF(F46="C",2,IF(F46="D",1,0))))),0),IF(G46&lt;&gt;"",IFERROR(IF(G46="S",5,IF(G46="A",4,IF(G46="B",3,IF(G46="C",2,IF(G46="D",1,0))))),0),""))),""),"")</f>
        <v/>
      </c>
      <c r="I46" s="60" t="n"/>
      <c r="J46" s="60" t="n"/>
      <c r="K46" s="60" t="n"/>
      <c r="L46" s="60" t="n"/>
    </row>
    <row r="47" ht="85.05" customHeight="1">
      <c r="A47" s="33" t="n"/>
      <c r="B47" s="54" t="n"/>
      <c r="C47" s="54" t="n"/>
      <c r="D47" s="53" t="n"/>
      <c r="E47" s="42" t="n"/>
      <c r="F47" s="42" t="n"/>
      <c r="G47" s="107" t="n"/>
      <c r="H47" s="47" t="n"/>
      <c r="I47" s="60" t="n"/>
      <c r="J47" s="60" t="n"/>
      <c r="K47" s="60" t="n"/>
      <c r="L47" s="60" t="n"/>
    </row>
    <row r="48" ht="85.05" customHeight="1">
      <c r="A48" s="33" t="n"/>
      <c r="B48" s="54" t="n"/>
      <c r="C48" s="54" t="n"/>
      <c r="D48" s="53" t="n"/>
      <c r="E48" s="42" t="n"/>
      <c r="F48" s="42" t="n"/>
      <c r="G48" s="107" t="n"/>
      <c r="H48" s="47" t="n"/>
      <c r="I48" s="60" t="n"/>
      <c r="J48" s="60" t="n"/>
      <c r="K48" s="60" t="n"/>
      <c r="L48" s="60" t="n"/>
    </row>
    <row r="49" ht="85.05" customHeight="1">
      <c r="A49" s="33" t="n"/>
      <c r="B49" s="54" t="n"/>
      <c r="C49" s="54" t="n"/>
      <c r="D49" s="53" t="n"/>
      <c r="E49" s="42" t="n"/>
      <c r="F49" s="42" t="n"/>
      <c r="G49" s="107" t="n"/>
      <c r="H49" s="47" t="n"/>
      <c r="I49" s="60" t="n"/>
      <c r="J49" s="60" t="n"/>
      <c r="K49" s="60" t="n"/>
      <c r="L49" s="60" t="n"/>
    </row>
    <row r="50" ht="85.05" customHeight="1">
      <c r="A50" s="33" t="n"/>
      <c r="B50" s="54" t="n"/>
      <c r="C50" s="54" t="n"/>
      <c r="D50" s="53" t="n"/>
      <c r="E50" s="42" t="n"/>
      <c r="F50" s="42" t="n"/>
      <c r="G50" s="107" t="n"/>
      <c r="H50" s="47" t="n"/>
      <c r="I50" s="60" t="n"/>
      <c r="J50" s="60" t="n"/>
      <c r="K50" s="60" t="n"/>
      <c r="L50" s="60" t="n"/>
    </row>
    <row r="51" ht="85.05" customHeight="1">
      <c r="A51" s="33" t="n"/>
      <c r="B51" s="54" t="n"/>
      <c r="C51" s="54" t="n"/>
      <c r="D51" s="53" t="n"/>
      <c r="E51" s="42" t="n"/>
      <c r="F51" s="42" t="n"/>
      <c r="G51" s="107" t="n"/>
      <c r="H51" s="47" t="n"/>
      <c r="I51" s="60" t="n"/>
      <c r="J51" s="60" t="n"/>
      <c r="K51" s="60" t="n"/>
      <c r="L51" s="60" t="n"/>
    </row>
    <row r="52" ht="85.05" customHeight="1">
      <c r="A52" s="33" t="n"/>
      <c r="B52" s="54" t="n"/>
      <c r="C52" s="54" t="n"/>
      <c r="D52" s="53" t="n"/>
      <c r="E52" s="42" t="n"/>
      <c r="F52" s="42" t="n"/>
      <c r="G52" s="107" t="n"/>
      <c r="H52" s="47" t="n"/>
      <c r="I52" s="60" t="n"/>
      <c r="J52" s="60" t="n"/>
      <c r="K52" s="60" t="n"/>
      <c r="L52" s="60" t="n"/>
    </row>
    <row r="53" ht="85.05" customHeight="1">
      <c r="A53" s="33" t="n"/>
      <c r="B53" s="54" t="n"/>
      <c r="C53" s="54" t="n"/>
      <c r="D53" s="53" t="n"/>
      <c r="E53" s="42" t="n"/>
      <c r="F53" s="42" t="n"/>
      <c r="G53" s="107" t="n"/>
      <c r="H53" s="47" t="n"/>
      <c r="I53" s="60" t="n"/>
      <c r="J53" s="60" t="n"/>
      <c r="K53" s="60" t="n"/>
      <c r="L53" s="60" t="n"/>
    </row>
    <row r="54" ht="85.05" customHeight="1">
      <c r="A54" s="33" t="n"/>
      <c r="B54" s="54" t="n"/>
      <c r="C54" s="54" t="n"/>
      <c r="D54" s="53" t="n"/>
      <c r="E54" s="42" t="n"/>
      <c r="F54" s="42" t="n"/>
      <c r="G54" s="107" t="n"/>
      <c r="H54" s="47" t="n"/>
      <c r="I54" s="60" t="n"/>
      <c r="J54" s="60" t="n"/>
      <c r="K54" s="60" t="n"/>
      <c r="L54" s="60" t="n"/>
    </row>
    <row r="55" ht="85.05" customHeight="1">
      <c r="A55" s="33" t="n"/>
      <c r="B55" s="54" t="n"/>
      <c r="C55" s="54" t="n"/>
      <c r="D55" s="53" t="n"/>
      <c r="E55" s="42" t="n"/>
      <c r="F55" s="42" t="n"/>
      <c r="G55" s="107" t="n"/>
      <c r="H55" s="47" t="n"/>
      <c r="I55" s="60" t="n"/>
      <c r="J55" s="60" t="n"/>
      <c r="K55" s="60" t="n"/>
      <c r="L55" s="60" t="n"/>
    </row>
    <row r="56" ht="85.05" customHeight="1">
      <c r="A56" s="33" t="n"/>
      <c r="B56" s="54" t="n"/>
      <c r="C56" s="54" t="n"/>
      <c r="D56" s="53" t="n"/>
      <c r="E56" s="42" t="n"/>
      <c r="F56" s="42" t="n"/>
      <c r="G56" s="107" t="n"/>
      <c r="H56" s="47" t="n"/>
      <c r="I56" s="60" t="n"/>
      <c r="J56" s="60" t="n"/>
      <c r="K56" s="60" t="n"/>
      <c r="L56" s="60" t="n"/>
    </row>
    <row r="57">
      <c r="A57" s="61" t="n"/>
      <c r="B57" s="61" t="n"/>
      <c r="C57" s="61" t="n"/>
      <c r="D57" s="61" t="n"/>
      <c r="E57" s="61" t="n"/>
      <c r="F57" s="61" t="n"/>
      <c r="G57" s="61" t="n"/>
      <c r="H57" s="61" t="n"/>
      <c r="I57" s="60" t="n"/>
      <c r="J57" s="60" t="n"/>
      <c r="K57" s="60" t="n"/>
      <c r="L57" s="60" t="n"/>
    </row>
    <row r="58" ht="28.05" customHeight="1">
      <c r="A58" s="74" t="inlineStr">
        <is>
          <t>1차 평가자 직무 종합 (메인 책무 평균)</t>
        </is>
      </c>
      <c r="B58" s="104" t="n"/>
      <c r="C58" s="104" t="n"/>
      <c r="D58" s="105" t="n"/>
      <c r="E58" s="48">
        <f>IFERROR(SUMPRODUCT((E42:E56="O")*IFERROR(IF(F42:F56="S",5,IF(F42:F56="A",4,IF(F42:F56="B",3,IF(F42:F56="C",2,IF(F42:F56="D",1,0))))),0))/MAX(SUMPRODUCT((E42:E56="O")*(F42:F56&lt;&gt;"")),1),0)</f>
        <v/>
      </c>
      <c r="F58" s="49" t="inlineStr">
        <is>
          <t>→ 등급</t>
        </is>
      </c>
      <c r="G58" s="50">
        <f>IF(OR(E58="",E58&lt;0.5),"",IF(E58&gt;=4.5,"S",IF(E58&gt;=3.5,"A",IF(E58&gt;=2.5,"B",IF(E58&gt;=1.5,"C","D")))))</f>
        <v/>
      </c>
      <c r="H58" s="51" t="n"/>
      <c r="I58" s="60" t="n"/>
      <c r="J58" s="60" t="n"/>
      <c r="K58" s="60" t="n"/>
      <c r="L58" s="60" t="n"/>
    </row>
    <row r="59" ht="28.05" customHeight="1">
      <c r="A59" s="74" t="inlineStr">
        <is>
          <t>2차 평가자 직무 종합 (메인 책무 평균)</t>
        </is>
      </c>
      <c r="B59" s="104" t="n"/>
      <c r="C59" s="104" t="n"/>
      <c r="D59" s="105" t="n"/>
      <c r="E59" s="48">
        <f>IFERROR(SUMPRODUCT((E42:E56="O")*IFERROR(IF(G42:G56="S",5,IF(G42:G56="A",4,IF(G42:G56="B",3,IF(G42:G56="C",2,IF(G42:G56="D",1,0))))),0))/MAX(SUMPRODUCT((E42:E56="O")*(G42:G56&lt;&gt;"")),1),0)</f>
        <v/>
      </c>
      <c r="F59" s="49" t="inlineStr">
        <is>
          <t>→ 등급</t>
        </is>
      </c>
      <c r="G59" s="50">
        <f>IF(OR(E59="",E59&lt;0.5),"",IF(E59&gt;=4.5,"S",IF(E59&gt;=3.5,"A",IF(E59&gt;=2.5,"B",IF(E59&gt;=1.5,"C","D")))))</f>
        <v/>
      </c>
      <c r="H59" s="51" t="n"/>
      <c r="I59" s="60" t="n"/>
      <c r="J59" s="60" t="n"/>
      <c r="K59" s="60" t="n"/>
      <c r="L59" s="60" t="n"/>
    </row>
    <row r="60">
      <c r="A60" s="60" t="n"/>
      <c r="B60" s="60" t="n"/>
      <c r="C60" s="60" t="n"/>
      <c r="D60" s="60" t="n"/>
      <c r="E60" s="60" t="n"/>
      <c r="F60" s="60" t="n"/>
      <c r="G60" s="60" t="n"/>
      <c r="H60" s="60" t="n"/>
      <c r="I60" s="60" t="n"/>
      <c r="J60" s="60" t="n"/>
      <c r="K60" s="60" t="n"/>
      <c r="L60" s="60" t="n"/>
    </row>
    <row r="61" ht="24" customHeight="1">
      <c r="A61" s="80" t="inlineStr">
        <is>
          <t>▶ 통합관리시트 입력 행 (아래 한 줄 A~G 7개 셀을 통째 복사 → 07a/07b의 G~M에 [값 붙여넣기])</t>
        </is>
      </c>
      <c r="B61" s="104" t="n"/>
      <c r="C61" s="104" t="n"/>
      <c r="D61" s="104" t="n"/>
      <c r="E61" s="104" t="n"/>
      <c r="F61" s="104" t="n"/>
      <c r="G61" s="104" t="n"/>
      <c r="H61" s="105" t="n"/>
      <c r="I61" s="60" t="n"/>
      <c r="J61" s="60" t="n"/>
      <c r="K61" s="60" t="n"/>
      <c r="L61" s="60" t="n"/>
    </row>
    <row r="62" ht="22.05" customHeight="1">
      <c r="A62" s="81" t="inlineStr">
        <is>
          <t>사용법: 아래 한 줄 A~G 선택 → Ctrl+C → 통합관리시트 07a 또는 07b의 해당 사원 행 G열에 [선택하여 붙여넣기 → 값] 실행</t>
        </is>
      </c>
      <c r="B62" s="104" t="n"/>
      <c r="C62" s="104" t="n"/>
      <c r="D62" s="104" t="n"/>
      <c r="E62" s="104" t="n"/>
      <c r="F62" s="104" t="n"/>
      <c r="G62" s="104" t="n"/>
      <c r="H62" s="105" t="n"/>
      <c r="I62" s="60" t="n"/>
      <c r="J62" s="60" t="n"/>
      <c r="K62" s="60" t="n"/>
      <c r="L62" s="60" t="n"/>
    </row>
    <row r="63" ht="24" customHeight="1">
      <c r="A63" s="49" t="inlineStr">
        <is>
          <t>역할(1차)</t>
        </is>
      </c>
      <c r="B63" s="49" t="inlineStr">
        <is>
          <t>역할(2차)</t>
        </is>
      </c>
      <c r="C63" s="49" t="inlineStr">
        <is>
          <t>공통(1차)</t>
        </is>
      </c>
      <c r="D63" s="49" t="inlineStr">
        <is>
          <t>공통(2차)</t>
        </is>
      </c>
      <c r="E63" s="49" t="inlineStr">
        <is>
          <t>직무(1차)</t>
        </is>
      </c>
      <c r="F63" s="49" t="inlineStr">
        <is>
          <t>직무(2차)</t>
        </is>
      </c>
      <c r="G63" s="49" t="inlineStr">
        <is>
          <t>소견</t>
        </is>
      </c>
      <c r="H63" s="105" t="n"/>
      <c r="I63" s="60" t="n"/>
      <c r="J63" s="60" t="n"/>
      <c r="K63" s="60" t="n"/>
      <c r="L63" s="60" t="n"/>
    </row>
    <row r="64" ht="30" customHeight="1">
      <c r="A64" s="52">
        <f>G21</f>
        <v/>
      </c>
      <c r="B64" s="52">
        <f>G22</f>
        <v/>
      </c>
      <c r="C64" s="52">
        <f>H37</f>
        <v/>
      </c>
      <c r="D64" s="52">
        <f>H38</f>
        <v/>
      </c>
      <c r="E64" s="52">
        <f>G58</f>
        <v/>
      </c>
      <c r="F64" s="52">
        <f>G59</f>
        <v/>
      </c>
      <c r="G64" s="108" t="n"/>
      <c r="H64" s="105" t="n"/>
      <c r="I64" s="60" t="n"/>
      <c r="J64" s="60" t="n"/>
      <c r="K64" s="60" t="n"/>
      <c r="L64" s="60" t="n"/>
    </row>
    <row r="65">
      <c r="A65" s="60" t="n"/>
      <c r="B65" s="60" t="n"/>
      <c r="C65" s="60" t="n"/>
      <c r="D65" s="60" t="n"/>
      <c r="E65" s="60" t="n"/>
      <c r="F65" s="60" t="n"/>
      <c r="G65" s="60" t="n"/>
      <c r="H65" s="60" t="n"/>
      <c r="I65" s="60" t="n"/>
      <c r="J65" s="60" t="n"/>
      <c r="K65" s="60" t="n"/>
      <c r="L65" s="60" t="n"/>
    </row>
    <row r="66" ht="24" customHeight="1">
      <c r="A66" s="80" t="inlineStr">
        <is>
          <t>▶ 종합 소견 (강점·개선·육성 방향)</t>
        </is>
      </c>
      <c r="B66" s="104" t="n"/>
      <c r="C66" s="104" t="n"/>
      <c r="D66" s="104" t="n"/>
      <c r="E66" s="104" t="n"/>
      <c r="F66" s="104" t="n"/>
      <c r="G66" s="104" t="n"/>
      <c r="H66" s="105" t="n"/>
      <c r="I66" s="60" t="n"/>
      <c r="J66" s="60" t="n"/>
      <c r="K66" s="60" t="n"/>
      <c r="L66" s="60" t="n"/>
    </row>
    <row r="67" ht="50" customHeight="1">
      <c r="A67" s="49" t="inlineStr">
        <is>
          <t>강점</t>
        </is>
      </c>
      <c r="B67" s="64" t="n"/>
      <c r="C67" s="104" t="n"/>
      <c r="D67" s="104" t="n"/>
      <c r="E67" s="104" t="n"/>
      <c r="F67" s="104" t="n"/>
      <c r="G67" s="104" t="n"/>
      <c r="H67" s="105" t="n"/>
      <c r="I67" s="60" t="n"/>
      <c r="J67" s="60" t="n"/>
      <c r="K67" s="60" t="n"/>
      <c r="L67" s="60" t="n"/>
    </row>
    <row r="68" ht="50" customHeight="1">
      <c r="A68" s="49" t="inlineStr">
        <is>
          <t>개선</t>
        </is>
      </c>
      <c r="B68" s="64" t="n"/>
      <c r="C68" s="104" t="n"/>
      <c r="D68" s="104" t="n"/>
      <c r="E68" s="104" t="n"/>
      <c r="F68" s="104" t="n"/>
      <c r="G68" s="104" t="n"/>
      <c r="H68" s="105" t="n"/>
      <c r="I68" s="60" t="n"/>
      <c r="J68" s="60" t="n"/>
      <c r="K68" s="60" t="n"/>
      <c r="L68" s="60" t="n"/>
    </row>
    <row r="69" ht="50" customHeight="1">
      <c r="A69" s="49" t="inlineStr">
        <is>
          <t>육성 방향</t>
        </is>
      </c>
      <c r="B69" s="64" t="n"/>
      <c r="C69" s="104" t="n"/>
      <c r="D69" s="104" t="n"/>
      <c r="E69" s="104" t="n"/>
      <c r="F69" s="104" t="n"/>
      <c r="G69" s="104" t="n"/>
      <c r="H69" s="105" t="n"/>
      <c r="I69" s="60" t="n"/>
      <c r="J69" s="60" t="n"/>
      <c r="K69" s="60" t="n"/>
      <c r="L69" s="60" t="n"/>
    </row>
    <row r="70">
      <c r="A70" s="60" t="n"/>
      <c r="B70" s="60" t="n"/>
      <c r="C70" s="60" t="n"/>
      <c r="D70" s="60" t="n"/>
      <c r="E70" s="60" t="n"/>
      <c r="F70" s="60" t="n"/>
      <c r="G70" s="60" t="n"/>
      <c r="H70" s="60" t="n"/>
      <c r="I70" s="60" t="n"/>
      <c r="J70" s="60" t="n"/>
      <c r="K70" s="60" t="n"/>
      <c r="L70" s="60" t="n"/>
    </row>
    <row r="71">
      <c r="A71" s="60" t="n"/>
      <c r="B71" s="60" t="n"/>
      <c r="C71" s="60" t="n"/>
      <c r="D71" s="60" t="n"/>
      <c r="E71" s="60" t="n"/>
      <c r="F71" s="60" t="n"/>
      <c r="G71" s="60" t="n"/>
      <c r="H71" s="60" t="n"/>
      <c r="I71" s="60" t="n"/>
      <c r="J71" s="60" t="n"/>
      <c r="K71" s="60" t="n"/>
      <c r="L71" s="60" t="n"/>
    </row>
    <row r="72">
      <c r="A72" s="60" t="n"/>
      <c r="B72" s="60" t="n"/>
      <c r="C72" s="60" t="n"/>
      <c r="D72" s="60" t="n"/>
      <c r="E72" s="60" t="n"/>
      <c r="F72" s="60" t="n"/>
      <c r="G72" s="60" t="n"/>
      <c r="H72" s="60" t="n"/>
      <c r="I72" s="60" t="n"/>
      <c r="J72" s="60" t="n"/>
      <c r="K72" s="60" t="n"/>
      <c r="L72" s="60" t="n"/>
    </row>
  </sheetData>
  <mergeCells count="43">
    <mergeCell ref="G21:H21"/>
    <mergeCell ref="A22:D22"/>
    <mergeCell ref="B68:H68"/>
    <mergeCell ref="A24:H24"/>
    <mergeCell ref="G27:H27"/>
    <mergeCell ref="G36:H36"/>
    <mergeCell ref="A1:H1"/>
    <mergeCell ref="G17:H17"/>
    <mergeCell ref="A61:H61"/>
    <mergeCell ref="A58:D58"/>
    <mergeCell ref="B11:F11"/>
    <mergeCell ref="G19:H19"/>
    <mergeCell ref="A59:D59"/>
    <mergeCell ref="A66:H66"/>
    <mergeCell ref="A37:E37"/>
    <mergeCell ref="G28:H28"/>
    <mergeCell ref="A4:F4"/>
    <mergeCell ref="G18:H18"/>
    <mergeCell ref="G34:H34"/>
    <mergeCell ref="G30:H30"/>
    <mergeCell ref="G15:H15"/>
    <mergeCell ref="A2:H2"/>
    <mergeCell ref="G33:H33"/>
    <mergeCell ref="B67:H67"/>
    <mergeCell ref="G64:H64"/>
    <mergeCell ref="G26:H26"/>
    <mergeCell ref="G35:H35"/>
    <mergeCell ref="G29:H29"/>
    <mergeCell ref="A62:H62"/>
    <mergeCell ref="B14:H14"/>
    <mergeCell ref="G20:H20"/>
    <mergeCell ref="A38:E38"/>
    <mergeCell ref="G16:H16"/>
    <mergeCell ref="G32:H32"/>
    <mergeCell ref="G63:H63"/>
    <mergeCell ref="G25:H25"/>
    <mergeCell ref="A21:D21"/>
    <mergeCell ref="B69:H69"/>
    <mergeCell ref="A13:H13"/>
    <mergeCell ref="G31:H31"/>
    <mergeCell ref="G22:H22"/>
    <mergeCell ref="A7:F7"/>
    <mergeCell ref="A40:H40"/>
  </mergeCells>
  <dataValidations count="4">
    <dataValidation sqref="E42:E56" showDropDown="0" showInputMessage="1" showErrorMessage="0" allowBlank="1" promptTitle="메인 책무" prompt="메인 책무는 O, 비메인은 X" type="list">
      <formula1>"O,X"</formula1>
    </dataValidation>
    <dataValidation sqref="F42:G56" showDropDown="0" showInputMessage="1" showErrorMessage="0" allowBlank="1" promptTitle="평가 등급" prompt="S/A/B/C/D 중 선택" type="list">
      <formula1>"S,A,B,C,D"</formula1>
    </dataValidation>
    <dataValidation sqref="E16:F20 E26:F36" showDropDown="0" showInputMessage="1" showErrorMessage="0" allowBlank="1" type="list">
      <formula1>"S,A,B,C,D"</formula1>
    </dataValidation>
    <dataValidation sqref="B11" showDropDown="0" showInputMessage="1" showErrorMessage="0" allowBlank="1" type="list">
      <formula1>"상반기,하반기"</formula1>
    </dataValidation>
  </dataValidations>
  <pageMargins left="0.75" right="0.75" top="1" bottom="1" header="0.5" footer="0.5"/>
  <pageSetup orientation="portrait" paperSize="9" verticalDpi="0"/>
</worksheet>
</file>

<file path=xl/worksheets/sheet4.xml><?xml version="1.0" encoding="utf-8"?>
<worksheet xmlns="http://schemas.openxmlformats.org/spreadsheetml/2006/main">
  <sheetPr>
    <tabColor rgb="FF70AD47"/>
    <outlinePr summaryBelow="1" summaryRight="1"/>
    <pageSetUpPr/>
  </sheetPr>
  <dimension ref="A1:L72"/>
  <sheetViews>
    <sheetView workbookViewId="0">
      <selection activeCell="A1" sqref="A1"/>
    </sheetView>
  </sheetViews>
  <sheetFormatPr baseColWidth="8" defaultRowHeight="16.9"/>
  <cols>
    <col width="30.5625" customWidth="1" style="58" min="1" max="8"/>
    <col width="11" customWidth="1" style="58" min="9" max="11"/>
    <col width="9" customWidth="1" style="58" min="12" max="16384"/>
  </cols>
  <sheetData>
    <row r="1" ht="30" customHeight="1">
      <c r="A1" s="62" t="inlineStr">
        <is>
          <t>성과평가지 양식 - 기술지원 / G5-S (실무 스페셜리스트)</t>
        </is>
      </c>
      <c r="B1" s="86" t="n"/>
      <c r="C1" s="86" t="n"/>
      <c r="D1" s="86" t="n"/>
      <c r="E1" s="86" t="n"/>
      <c r="F1" s="86" t="n"/>
      <c r="G1" s="86" t="n"/>
      <c r="H1" s="87" t="n"/>
    </row>
    <row r="2" ht="22.05" customHeight="1">
      <c r="A2" s="73" t="inlineStr">
        <is>
          <t>1·2차 평가자가 등급(S/A/B/C/D)만 입력. 가중치는 통합관리시트에서 자동 처리.</t>
        </is>
      </c>
      <c r="B2" s="86" t="n"/>
      <c r="C2" s="86" t="n"/>
      <c r="D2" s="86" t="n"/>
      <c r="E2" s="86" t="n"/>
      <c r="F2" s="86" t="n"/>
      <c r="G2" s="86" t="n"/>
      <c r="H2" s="87" t="n"/>
    </row>
    <row r="4" ht="24" customHeight="1">
      <c r="A4" s="67" t="inlineStr">
        <is>
          <t>▶ 평가 대상자 정보 (주황셀에 입력)</t>
        </is>
      </c>
      <c r="B4" s="104" t="n"/>
      <c r="C4" s="104" t="n"/>
      <c r="D4" s="104" t="n"/>
      <c r="E4" s="104" t="n"/>
      <c r="F4" s="105" t="n"/>
      <c r="G4" s="63" t="n"/>
      <c r="H4" s="63" t="n"/>
    </row>
    <row r="5" ht="22.05" customHeight="1">
      <c r="A5" s="33" t="inlineStr">
        <is>
          <t>사번</t>
        </is>
      </c>
      <c r="B5" s="34" t="n"/>
      <c r="C5" s="33" t="inlineStr">
        <is>
          <t>성명</t>
        </is>
      </c>
      <c r="D5" s="34" t="n"/>
      <c r="E5" s="33" t="inlineStr">
        <is>
          <t>부서</t>
        </is>
      </c>
      <c r="F5" s="34" t="n"/>
    </row>
    <row r="6" ht="22.05" customHeight="1">
      <c r="A6" s="33" t="inlineStr">
        <is>
          <t>직군</t>
        </is>
      </c>
      <c r="B6" s="34" t="n"/>
      <c r="C6" s="33" t="inlineStr">
        <is>
          <t>직무</t>
        </is>
      </c>
      <c r="D6" s="35" t="inlineStr">
        <is>
          <t>BIM컨설팅</t>
        </is>
      </c>
      <c r="E6" s="33" t="inlineStr">
        <is>
          <t>역할등급(명)</t>
        </is>
      </c>
      <c r="F6" s="35" t="inlineStr">
        <is>
          <t>G6(사업·조직 관리)</t>
        </is>
      </c>
    </row>
    <row r="7" ht="24" customHeight="1">
      <c r="A7" s="67" t="inlineStr">
        <is>
          <t>▶ 평가자 정보 (주황셀에 입력)</t>
        </is>
      </c>
      <c r="B7" s="104" t="n"/>
      <c r="C7" s="104" t="n"/>
      <c r="D7" s="104" t="n"/>
      <c r="E7" s="104" t="n"/>
      <c r="F7" s="105" t="n"/>
      <c r="G7" s="63" t="n"/>
      <c r="H7" s="63" t="n"/>
    </row>
    <row r="8" ht="24" customHeight="1">
      <c r="A8" s="36" t="inlineStr">
        <is>
          <t>구분</t>
        </is>
      </c>
      <c r="B8" s="36" t="inlineStr">
        <is>
          <t>사번</t>
        </is>
      </c>
      <c r="C8" s="36" t="inlineStr">
        <is>
          <t>성명</t>
        </is>
      </c>
      <c r="D8" s="36" t="inlineStr">
        <is>
          <t>직책</t>
        </is>
      </c>
      <c r="E8" s="36" t="inlineStr">
        <is>
          <t>부서</t>
        </is>
      </c>
      <c r="F8" s="36" t="inlineStr">
        <is>
          <t>평가 일자</t>
        </is>
      </c>
      <c r="G8" s="63" t="n"/>
      <c r="H8" s="63" t="n"/>
    </row>
    <row r="9" ht="24" customHeight="1">
      <c r="A9" s="37" t="inlineStr">
        <is>
          <t>1차 평가자 (직속상사)</t>
        </is>
      </c>
      <c r="B9" s="38" t="n"/>
      <c r="C9" s="38" t="n"/>
      <c r="D9" s="38" t="n"/>
      <c r="E9" s="38" t="n"/>
      <c r="F9" s="39" t="n"/>
      <c r="G9" s="63" t="n"/>
      <c r="H9" s="63" t="n"/>
    </row>
    <row r="10" ht="24" customHeight="1">
      <c r="A10" s="37" t="inlineStr">
        <is>
          <t>2차 평가자 (조정자)</t>
        </is>
      </c>
      <c r="B10" s="38" t="n"/>
      <c r="C10" s="38" t="n"/>
      <c r="D10" s="38" t="n"/>
      <c r="E10" s="38" t="n"/>
      <c r="F10" s="39" t="n"/>
      <c r="G10" s="63" t="n"/>
      <c r="H10" s="63" t="n"/>
    </row>
    <row r="11" ht="24" customHeight="1">
      <c r="A11" s="37" t="inlineStr">
        <is>
          <t>평가 차수</t>
        </is>
      </c>
      <c r="B11" s="72" t="inlineStr">
        <is>
          <t>상반기</t>
        </is>
      </c>
      <c r="C11" s="104" t="n"/>
      <c r="D11" s="104" t="n"/>
      <c r="E11" s="104" t="n"/>
      <c r="F11" s="105" t="n"/>
      <c r="G11" s="63" t="n"/>
      <c r="H11" s="63" t="n"/>
    </row>
    <row r="13" ht="26" customHeight="1">
      <c r="A13" s="77" t="inlineStr">
        <is>
          <t>▶ ① 역할평가 — 5개 BARS 항목</t>
        </is>
      </c>
      <c r="B13" s="104" t="n"/>
      <c r="C13" s="104" t="n"/>
      <c r="D13" s="104" t="n"/>
      <c r="E13" s="104" t="n"/>
      <c r="F13" s="104" t="n"/>
      <c r="G13" s="104" t="n"/>
      <c r="H13" s="105" t="n"/>
    </row>
    <row r="14" ht="38" customHeight="1">
      <c r="A14" s="40" t="inlineStr">
        <is>
          <t>역할 정의</t>
        </is>
      </c>
      <c r="B14" s="75" t="inlineStr">
        <is>
          <t>직무 최고 수준의 전문성과 고난이도 프로젝트를 수행하며 기술 자산화·전파 주도.</t>
        </is>
      </c>
      <c r="C14" s="104" t="n"/>
      <c r="D14" s="104" t="n"/>
      <c r="E14" s="104" t="n"/>
      <c r="F14" s="104" t="n"/>
      <c r="G14" s="104" t="n"/>
      <c r="H14" s="105" t="n"/>
    </row>
    <row r="15" ht="28.05" customHeight="1">
      <c r="A15" s="68" t="inlineStr">
        <is>
          <t>No.</t>
        </is>
      </c>
      <c r="B15" s="68" t="inlineStr">
        <is>
          <t>평가항목</t>
        </is>
      </c>
      <c r="C15" s="68" t="inlineStr">
        <is>
          <t>평가 기준</t>
        </is>
      </c>
      <c r="D15" s="68" t="inlineStr">
        <is>
          <t>S/A/B/C/D 등급 기준</t>
        </is>
      </c>
      <c r="E15" s="68" t="inlineStr">
        <is>
          <t>1차 평가자</t>
        </is>
      </c>
      <c r="F15" s="68" t="inlineStr">
        <is>
          <t>2차 평가자</t>
        </is>
      </c>
      <c r="G15" s="68" t="inlineStr">
        <is>
          <t>평가 근거 및 피드백</t>
        </is>
      </c>
      <c r="H15" s="105" t="n"/>
    </row>
    <row r="16" ht="90" customHeight="1">
      <c r="A16" s="40" t="inlineStr">
        <is>
          <t>R-1</t>
        </is>
      </c>
      <c r="B16" s="55" t="inlineStr">
        <is>
          <t>책임범위 이행도</t>
        </is>
      </c>
      <c r="C16" s="56" t="inlineStr">
        <is>
          <t>역할등급에 부합하는 책임 범위 내 업무 수행</t>
        </is>
      </c>
      <c r="D16" s="53" t="inlineStr">
        <is>
          <t>S  기대 현저히 초과
A  기대 상회
B  기대 부합
C  부분 미흡
D  전반 미흡</t>
        </is>
      </c>
      <c r="E16" s="42" t="n"/>
      <c r="F16" s="42" t="n"/>
      <c r="G16" s="106" t="n"/>
      <c r="H16" s="105" t="n"/>
    </row>
    <row r="17" ht="90" customHeight="1">
      <c r="A17" s="40" t="inlineStr">
        <is>
          <t>R-2</t>
        </is>
      </c>
      <c r="B17" s="55" t="inlineStr">
        <is>
          <t>의사결정 적절성</t>
        </is>
      </c>
      <c r="C17" s="56" t="inlineStr">
        <is>
          <t>권한 수준 내 시의적절·합리적 의사결정</t>
        </is>
      </c>
      <c r="D17" s="53" t="inlineStr">
        <is>
          <t>S  기대 현저히 초과
A  기대 상회
B  기대 부합
C  부분 미흡
D  전반 미흡</t>
        </is>
      </c>
      <c r="E17" s="42" t="n"/>
      <c r="F17" s="42" t="n"/>
      <c r="G17" s="106" t="n"/>
      <c r="H17" s="105" t="n"/>
    </row>
    <row r="18" ht="90" customHeight="1">
      <c r="A18" s="40" t="inlineStr">
        <is>
          <t>R-3</t>
        </is>
      </c>
      <c r="B18" s="55" t="inlineStr">
        <is>
          <t>성과 기여도</t>
        </is>
      </c>
      <c r="C18" s="56" t="inlineStr">
        <is>
          <t>조직·프로젝트 목표 달성에 정량적 기여</t>
        </is>
      </c>
      <c r="D18" s="53" t="inlineStr">
        <is>
          <t>S  기대 현저히 초과
A  기대 상회
B  기대 부합
C  부분 미흡
D  전반 미흡</t>
        </is>
      </c>
      <c r="E18" s="42" t="n"/>
      <c r="F18" s="42" t="n"/>
      <c r="G18" s="106" t="n"/>
      <c r="H18" s="105" t="n"/>
    </row>
    <row r="19" ht="90" customHeight="1">
      <c r="A19" s="40" t="inlineStr">
        <is>
          <t>R-4</t>
        </is>
      </c>
      <c r="B19" s="55" t="inlineStr">
        <is>
          <t>조직 후배 코칭</t>
        </is>
      </c>
      <c r="C19" s="56" t="inlineStr">
        <is>
          <t>상·하위 역할과 효과적 협업 및 후배 코칭</t>
        </is>
      </c>
      <c r="D19" s="53" t="inlineStr">
        <is>
          <t>S  기대 현저히 초과
A  기대 상회
B  기대 부합
C  부분 미흡
D  전반 미흡</t>
        </is>
      </c>
      <c r="E19" s="42" t="n"/>
      <c r="F19" s="42" t="n"/>
      <c r="G19" s="106" t="n"/>
      <c r="H19" s="105" t="n"/>
    </row>
    <row r="20" ht="90" customHeight="1">
      <c r="A20" s="40" t="inlineStr">
        <is>
          <t>R-5</t>
        </is>
      </c>
      <c r="B20" s="55" t="inlineStr">
        <is>
          <t>산출물 완성도</t>
        </is>
      </c>
      <c r="C20" s="56" t="inlineStr">
        <is>
          <t>산출물 품질과 기한 준수</t>
        </is>
      </c>
      <c r="D20" s="53" t="inlineStr">
        <is>
          <t>S  기대 현저히 초과
A  기대 상회
B  기대 부합
C  부분 미흡
D  전반 미흡</t>
        </is>
      </c>
      <c r="E20" s="42" t="n"/>
      <c r="F20" s="42" t="n"/>
      <c r="G20" s="106" t="n"/>
      <c r="H20" s="105" t="n"/>
    </row>
    <row r="21" ht="24" customHeight="1">
      <c r="A21" s="79" t="inlineStr">
        <is>
          <t>1차 평가자 역할 종합 (5개 평균)</t>
        </is>
      </c>
      <c r="B21" s="104" t="n"/>
      <c r="C21" s="104" t="n"/>
      <c r="D21" s="105" t="n"/>
      <c r="E21" s="43">
        <f>IFERROR((IF(E16="S",5,IF(E16="A",4,IF(E16="B",3,IF(E16="C",2,IF(E16="D",1,0)))))+IF(E17="S",5,IF(E17="A",4,IF(E17="B",3,IF(E17="C",2,IF(E17="D",1,0)))))+IF(E18="S",5,IF(E18="A",4,IF(E18="B",3,IF(E18="C",2,IF(E18="D",1,0)))))+IF(E19="S",5,IF(E19="A",4,IF(E19="B",3,IF(E19="C",2,IF(E19="D",1,0)))))+IF(E20="S",5,IF(E20="A",4,IF(E20="B",3,IF(E20="C",2,IF(E20="D",1,0))))))/5,"")</f>
        <v/>
      </c>
      <c r="F21" s="44" t="inlineStr">
        <is>
          <t>→ 등급</t>
        </is>
      </c>
      <c r="G21" s="71">
        <f>IF(OR(E21="",E21&lt;0.5),"",IF(E21&gt;=4.5,"S",IF(E21&gt;=3.5,"A",IF(E21&gt;=2.5,"B",IF(E21&gt;=1.5,"C","D")))))</f>
        <v/>
      </c>
      <c r="H21" s="105" t="n"/>
    </row>
    <row r="22" ht="24" customHeight="1">
      <c r="A22" s="79" t="inlineStr">
        <is>
          <t>2차 평가자 역할 종합 (5개 평균)</t>
        </is>
      </c>
      <c r="B22" s="104" t="n"/>
      <c r="C22" s="104" t="n"/>
      <c r="D22" s="105" t="n"/>
      <c r="E22" s="43">
        <f>IFERROR((IF(F16="S",5,IF(F16="A",4,IF(F16="B",3,IF(F16="C",2,IF(F16="D",1,0)))))+IF(F17="S",5,IF(F17="A",4,IF(F17="B",3,IF(F17="C",2,IF(F17="D",1,0)))))+IF(F18="S",5,IF(F18="A",4,IF(F18="B",3,IF(F18="C",2,IF(F18="D",1,0)))))+IF(F19="S",5,IF(F19="A",4,IF(F19="B",3,IF(F19="C",2,IF(F19="D",1,0)))))+IF(F20="S",5,IF(F20="A",4,IF(F20="B",3,IF(F20="C",2,IF(F20="D",1,0))))))/5,"")</f>
        <v/>
      </c>
      <c r="F22" s="44" t="inlineStr">
        <is>
          <t>→ 등급</t>
        </is>
      </c>
      <c r="G22" s="71">
        <f>IF(OR(E22="",E22&lt;0.5),"",IF(E22&gt;=4.5,"S",IF(E22&gt;=3.5,"A",IF(E22&gt;=2.5,"B",IF(E22&gt;=1.5,"C","D")))))</f>
        <v/>
      </c>
      <c r="H22" s="105" t="n"/>
    </row>
    <row r="24" ht="26" customHeight="1">
      <c r="A24" s="78" t="inlineStr">
        <is>
          <t>▶ ② 공통역량평가 — 11개 (★ S/A/B/C/D 평가기준 포함)</t>
        </is>
      </c>
      <c r="B24" s="104" t="n"/>
      <c r="C24" s="104" t="n"/>
      <c r="D24" s="104" t="n"/>
      <c r="E24" s="104" t="n"/>
      <c r="F24" s="104" t="n"/>
      <c r="G24" s="104" t="n"/>
      <c r="H24" s="105" t="n"/>
    </row>
    <row r="25" ht="28.05" customHeight="1">
      <c r="A25" s="68" t="inlineStr">
        <is>
          <t>No.</t>
        </is>
      </c>
      <c r="B25" s="68" t="inlineStr">
        <is>
          <t>핵심 역량</t>
        </is>
      </c>
      <c r="C25" s="68" t="inlineStr">
        <is>
          <t>평가 기준</t>
        </is>
      </c>
      <c r="D25" s="68" t="inlineStr">
        <is>
          <t>S/A/B/C/D 등급 기준</t>
        </is>
      </c>
      <c r="E25" s="68" t="inlineStr">
        <is>
          <t>1차</t>
        </is>
      </c>
      <c r="F25" s="68" t="inlineStr">
        <is>
          <t>2차</t>
        </is>
      </c>
      <c r="G25" s="68" t="inlineStr">
        <is>
          <t>평가 근거 및 피드백</t>
        </is>
      </c>
      <c r="H25" s="105" t="n"/>
    </row>
    <row r="26" ht="100.05" customHeight="1">
      <c r="A26" s="45" t="inlineStr">
        <is>
          <t>C-1</t>
        </is>
      </c>
      <c r="B26" s="55" t="inlineStr">
        <is>
          <t>직무 전문성</t>
        </is>
      </c>
      <c r="C26" s="56" t="inlineStr">
        <is>
          <t>직무에 필요한 전문 지식 및 기술 보유, 실무 적용</t>
        </is>
      </c>
      <c r="D26" s="53" t="inlineStr">
        <is>
          <t>S  고급 지식과 숙련도, 타 부서 교육 가능
A  최신 트렌드 반영, 실무에 적절 활용
B  일반 수준 이해 및 적용
C  일부 기술 이해, 개선 필요
D  지식 부족, 실무 반영 어려움</t>
        </is>
      </c>
      <c r="E26" s="42" t="n"/>
      <c r="F26" s="42" t="n"/>
      <c r="G26" s="106" t="n"/>
      <c r="H26" s="105" t="n"/>
    </row>
    <row r="27" ht="100.05" customHeight="1">
      <c r="A27" s="45" t="inlineStr">
        <is>
          <t>C-2</t>
        </is>
      </c>
      <c r="B27" s="55" t="inlineStr">
        <is>
          <t>분석력</t>
        </is>
      </c>
      <c r="C27" s="56" t="inlineStr">
        <is>
          <t>데이터·수치 기반 사고로 업무 효율 향상</t>
        </is>
      </c>
      <c r="D27" s="53" t="inlineStr">
        <is>
          <t>S  데이터 기반 전략 도출 가능
A  분석 후 결과 활용 능숙
B  기본적 분석 및 간단한 적용 가능
C  기본 해석은 가능하나 활용 미흡
D  자료 해석 불가, 의사결정 어려움</t>
        </is>
      </c>
      <c r="E27" s="42" t="n"/>
      <c r="F27" s="42" t="n"/>
      <c r="G27" s="106" t="n"/>
      <c r="H27" s="105" t="n"/>
    </row>
    <row r="28" ht="100.05" customHeight="1">
      <c r="A28" s="45" t="inlineStr">
        <is>
          <t>C-3</t>
        </is>
      </c>
      <c r="B28" s="55" t="inlineStr">
        <is>
          <t>기획/실행력</t>
        </is>
      </c>
      <c r="C28" s="56" t="inlineStr">
        <is>
          <t>목표 설정·계획 수립·체계적 실행 능력</t>
        </is>
      </c>
      <c r="D28" s="53" t="inlineStr">
        <is>
          <t>S  스스로 목표 수립 및 조직 리딩 가능
A  계획 수립 능력 우수 및 실행 일관성
B  일반적 목표 수립 및 실현 가능
C  실행 계획 일부 있으나 체계 부족
D  목표 설정 부정확, 실행력 부족</t>
        </is>
      </c>
      <c r="E28" s="42" t="n"/>
      <c r="F28" s="42" t="n"/>
      <c r="G28" s="106" t="n"/>
      <c r="H28" s="105" t="n"/>
    </row>
    <row r="29" ht="100.05" customHeight="1">
      <c r="A29" s="45" t="inlineStr">
        <is>
          <t>C-4</t>
        </is>
      </c>
      <c r="B29" s="55" t="inlineStr">
        <is>
          <t>자원·시간 관리</t>
        </is>
      </c>
      <c r="C29" s="56" t="inlineStr">
        <is>
          <t>업무 우선순위 설정 및 시간 내 효과적 완수</t>
        </is>
      </c>
      <c r="D29" s="53" t="inlineStr">
        <is>
          <t>S  다중 과제 효율 배분, 시간관리 탁월
A  업무 효율성 높고 우선순위 명확
B  일반 수준 일정 조율 가능
C  마감 어려움, 우선순위 혼란
D  업무 지연 잦고 계획 없음</t>
        </is>
      </c>
      <c r="E29" s="42" t="n"/>
      <c r="F29" s="42" t="n"/>
      <c r="G29" s="106" t="n"/>
      <c r="H29" s="105" t="n"/>
    </row>
    <row r="30" ht="100.05" customHeight="1">
      <c r="A30" s="45" t="inlineStr">
        <is>
          <t>C-5</t>
        </is>
      </c>
      <c r="B30" s="55" t="inlineStr">
        <is>
          <t>협업 능력</t>
        </is>
      </c>
      <c r="C30" s="56" t="inlineStr">
        <is>
          <t>팀·타 부서와의 협업 태도, 정보 공유</t>
        </is>
      </c>
      <c r="D30" s="53" t="inlineStr">
        <is>
          <t>S  타 부서와의 시너지 창출
A  정보 공유, 원활한 협업
B  공동목표 수용 및 일부 협력
C  소극적 협조, 갈등 유발
D  협력 거부, 독단적 태도</t>
        </is>
      </c>
      <c r="E30" s="42" t="n"/>
      <c r="F30" s="42" t="n"/>
      <c r="G30" s="106" t="n"/>
      <c r="H30" s="105" t="n"/>
    </row>
    <row r="31" ht="100.05" customHeight="1">
      <c r="A31" s="45" t="inlineStr">
        <is>
          <t>C-6</t>
        </is>
      </c>
      <c r="B31" s="55" t="inlineStr">
        <is>
          <t>소통 능력</t>
        </is>
      </c>
      <c r="C31" s="56" t="inlineStr">
        <is>
          <t>명확한 의사 전달·경청·효과적 커뮤니케이션</t>
        </is>
      </c>
      <c r="D31" s="53" t="inlineStr">
        <is>
          <t>S  갈등 중재 및 공감능력 우수
A  정확한 의사 전달 및 경청
B  피드백 수용 및 전달 가능
C  소통 시 불편 유발
D  일방적 주장, 피드백 거부</t>
        </is>
      </c>
      <c r="E31" s="42" t="n"/>
      <c r="F31" s="42" t="n"/>
      <c r="G31" s="106" t="n"/>
      <c r="H31" s="105" t="n"/>
    </row>
    <row r="32" ht="100.05" customHeight="1">
      <c r="A32" s="45" t="inlineStr">
        <is>
          <t>C-7</t>
        </is>
      </c>
      <c r="B32" s="55" t="inlineStr">
        <is>
          <t>윤리/책임감</t>
        </is>
      </c>
      <c r="C32" s="56" t="inlineStr">
        <is>
          <t>공정·투명한 절차, 책임감 있는 업무</t>
        </is>
      </c>
      <c r="D32" s="53" t="inlineStr">
        <is>
          <t>S  모범적 자세, 조직문화 선도
A  조직 규범 내 성실 수행
B  기본 책임 수행
C  책임 회피 경향
D  무책임, 규정 무시</t>
        </is>
      </c>
      <c r="E32" s="42" t="n"/>
      <c r="F32" s="42" t="n"/>
      <c r="G32" s="106" t="n"/>
      <c r="H32" s="105" t="n"/>
    </row>
    <row r="33" ht="100.05" customHeight="1">
      <c r="A33" s="45" t="inlineStr">
        <is>
          <t>C-8</t>
        </is>
      </c>
      <c r="B33" s="55" t="inlineStr">
        <is>
          <t>업무 태도</t>
        </is>
      </c>
      <c r="C33" s="56" t="inlineStr">
        <is>
          <t>성실·주도적 태도, 변화 유연성</t>
        </is>
      </c>
      <c r="D33" s="53" t="inlineStr">
        <is>
          <t>S  문제 해결 중심의 선도적 자세
A  책임감, 적극적 태도
B  일정 주도성 보임
C  소극적, 피동적 태도
D  수동적, 지시 없이는 행동 안 함</t>
        </is>
      </c>
      <c r="E33" s="42" t="n"/>
      <c r="F33" s="42" t="n"/>
      <c r="G33" s="106" t="n"/>
      <c r="H33" s="105" t="n"/>
    </row>
    <row r="34" ht="100.05" customHeight="1">
      <c r="A34" s="45" t="inlineStr">
        <is>
          <t>C-9</t>
        </is>
      </c>
      <c r="B34" s="55" t="inlineStr">
        <is>
          <t>혁신 역량</t>
        </is>
      </c>
      <c r="C34" s="56" t="inlineStr">
        <is>
          <t>AI·자동화 등 최신 기술의 실무 접목</t>
        </is>
      </c>
      <c r="D34" s="53" t="inlineStr">
        <is>
          <t>S  혁신적 아이디어 제시 및 실현
A  적극 활용하여 효율성 제고
B  일상적 업무에 도구 활용
C  부분적 기능 사용
D  기술 활용 거의 없음</t>
        </is>
      </c>
      <c r="E34" s="42" t="n"/>
      <c r="F34" s="42" t="n"/>
      <c r="G34" s="106" t="n"/>
      <c r="H34" s="105" t="n"/>
    </row>
    <row r="35" ht="100.05" customHeight="1">
      <c r="A35" s="45" t="inlineStr">
        <is>
          <t>C-10</t>
        </is>
      </c>
      <c r="B35" s="55" t="inlineStr">
        <is>
          <t>프로세스 개선</t>
        </is>
      </c>
      <c r="C35" s="56" t="inlineStr">
        <is>
          <t>업무 절차 분석 및 비효율 개선</t>
        </is>
      </c>
      <c r="D35" s="53" t="inlineStr">
        <is>
          <t>S  제안 실행까지 주도함
A  능동적 개선 제안
B  개선의 필요성 인식
C  타인이 해야 할 일로 인식
D  개선 의지 없음</t>
        </is>
      </c>
      <c r="E35" s="42" t="n"/>
      <c r="F35" s="42" t="n"/>
      <c r="G35" s="106" t="n"/>
      <c r="H35" s="105" t="n"/>
    </row>
    <row r="36" ht="100.05" customHeight="1">
      <c r="A36" s="45" t="inlineStr">
        <is>
          <t>C-11</t>
        </is>
      </c>
      <c r="B36" s="55" t="inlineStr">
        <is>
          <t>지속가능 기여</t>
        </is>
      </c>
      <c r="C36" s="56" t="inlineStr">
        <is>
          <t>장기적 성과 향상·조직 기여</t>
        </is>
      </c>
      <c r="D36" s="53" t="inlineStr">
        <is>
          <t>S  성과 리딩 및 지속 성과 도출
A  개인 및 팀 성과 기여
B  기본 수준의 성과
C  성과 불명확, 기여 낮음
D  성과 없음, 소극적 태도</t>
        </is>
      </c>
      <c r="E36" s="42" t="n"/>
      <c r="F36" s="42" t="n"/>
      <c r="G36" s="106" t="n"/>
      <c r="H36" s="105" t="n"/>
    </row>
    <row r="37" ht="24" customHeight="1">
      <c r="A37" s="76" t="inlineStr">
        <is>
          <t>1차 평가자 공통역량 종합 (11개 단순 평균)</t>
        </is>
      </c>
      <c r="B37" s="104" t="n"/>
      <c r="C37" s="104" t="n"/>
      <c r="D37" s="104" t="n"/>
      <c r="E37" s="105" t="n"/>
      <c r="F37" s="43">
        <f>IFERROR((IF(F26="S",5,IF(F26="A",4,IF(F26="B",3,IF(F26="C",2,IF(F26="D",1,0)))))+IF(F27="S",5,IF(F27="A",4,IF(F27="B",3,IF(F27="C",2,IF(F27="D",1,0)))))+IF(F28="S",5,IF(F28="A",4,IF(F28="B",3,IF(F28="C",2,IF(F28="D",1,0)))))+IF(F29="S",5,IF(F29="A",4,IF(F29="B",3,IF(F29="C",2,IF(F29="D",1,0)))))+IF(F30="S",5,IF(F30="A",4,IF(F30="B",3,IF(F30="C",2,IF(F30="D",1,0)))))+IF(F31="S",5,IF(F31="A",4,IF(F31="B",3,IF(F31="C",2,IF(F31="D",1,0)))))+IF(F32="S",5,IF(F32="A",4,IF(F32="B",3,IF(F32="C",2,IF(F32="D",1,0)))))+IF(F33="S",5,IF(F33="A",4,IF(F33="B",3,IF(F33="C",2,IF(F33="D",1,0)))))+IF(F34="S",5,IF(F34="A",4,IF(F34="B",3,IF(F34="C",2,IF(F34="D",1,0)))))+IF(F35="S",5,IF(F35="A",4,IF(F35="B",3,IF(F35="C",2,IF(F35="D",1,0)))))+IF(F36="S",5,IF(F36="A",4,IF(F36="B",3,IF(F36="C",2,IF(F36="D",1,0))))))/11,"")</f>
        <v/>
      </c>
      <c r="G37" s="44" t="inlineStr">
        <is>
          <t>→ 등급</t>
        </is>
      </c>
      <c r="H37" s="71">
        <f>IF(OR(F37="",F37&lt;0.5),"",IF(F37&gt;=4.5,"S",IF(F37&gt;=3.5,"A",IF(F37&gt;=2.5,"B",IF(F37&gt;=1.5,"C","D")))))</f>
        <v/>
      </c>
    </row>
    <row r="38" ht="24" customHeight="1">
      <c r="A38" s="76" t="inlineStr">
        <is>
          <t>2차 평가자 공통역량 종합 (11개 단순 평균)</t>
        </is>
      </c>
      <c r="B38" s="104" t="n"/>
      <c r="C38" s="104" t="n"/>
      <c r="D38" s="104" t="n"/>
      <c r="E38" s="105" t="n"/>
      <c r="F38" s="43">
        <f>IFERROR((IF(G26="S",5,IF(G26="A",4,IF(G26="B",3,IF(G26="C",2,IF(G26="D",1,0)))))+IF(G27="S",5,IF(G27="A",4,IF(G27="B",3,IF(G27="C",2,IF(G27="D",1,0)))))+IF(G28="S",5,IF(G28="A",4,IF(G28="B",3,IF(G28="C",2,IF(G28="D",1,0)))))+IF(G29="S",5,IF(G29="A",4,IF(G29="B",3,IF(G29="C",2,IF(G29="D",1,0)))))+IF(G30="S",5,IF(G30="A",4,IF(G30="B",3,IF(G30="C",2,IF(G30="D",1,0)))))+IF(G31="S",5,IF(G31="A",4,IF(G31="B",3,IF(G31="C",2,IF(G31="D",1,0)))))+IF(G32="S",5,IF(G32="A",4,IF(G32="B",3,IF(G32="C",2,IF(G32="D",1,0)))))+IF(G33="S",5,IF(G33="A",4,IF(G33="B",3,IF(G33="C",2,IF(G33="D",1,0)))))+IF(G34="S",5,IF(G34="A",4,IF(G34="B",3,IF(G34="C",2,IF(G34="D",1,0)))))+IF(G35="S",5,IF(G35="A",4,IF(G35="B",3,IF(G35="C",2,IF(G35="D",1,0)))))+IF(G36="S",5,IF(G36="A",4,IF(G36="B",3,IF(G36="C",2,IF(G36="D",1,0))))))/11,"")</f>
        <v/>
      </c>
      <c r="G38" s="44" t="inlineStr">
        <is>
          <t>→ 등급</t>
        </is>
      </c>
      <c r="H38" s="71">
        <f>IF(OR(F38="",F38&lt;0.5),"",IF(F38&gt;=4.5,"S",IF(F38&gt;=3.5,"A",IF(F38&gt;=2.5,"B",IF(F38&gt;=1.5,"C","D")))))</f>
        <v/>
      </c>
    </row>
    <row r="40" ht="28.05" customHeight="1">
      <c r="A40" s="66" t="inlineStr">
        <is>
          <t>▶ ③ 직무역량평가 — 메인 책무(E열 O 표시)만 1·2차 평가자 등급 입력</t>
        </is>
      </c>
      <c r="B40" s="104" t="n"/>
      <c r="C40" s="104" t="n"/>
      <c r="D40" s="104" t="n"/>
      <c r="E40" s="104" t="n"/>
      <c r="F40" s="104" t="n"/>
      <c r="G40" s="104" t="n"/>
      <c r="H40" s="105" t="n"/>
      <c r="I40" s="60" t="n"/>
      <c r="J40" s="60" t="n"/>
      <c r="K40" s="60" t="n"/>
      <c r="L40" s="60" t="n"/>
    </row>
    <row r="41" ht="32" customHeight="1">
      <c r="A41" s="68" t="inlineStr">
        <is>
          <t>No.</t>
        </is>
      </c>
      <c r="B41" s="68" t="inlineStr">
        <is>
          <t>전문영역</t>
        </is>
      </c>
      <c r="C41" s="68" t="inlineStr">
        <is>
          <t>핵심 책무</t>
        </is>
      </c>
      <c r="D41" s="68" t="inlineStr">
        <is>
          <t>S/A/B/C/D 등급 기준</t>
        </is>
      </c>
      <c r="E41" s="68" t="inlineStr">
        <is>
          <t>메인</t>
        </is>
      </c>
      <c r="F41" s="68" t="inlineStr">
        <is>
          <t>1차</t>
        </is>
      </c>
      <c r="G41" s="68" t="inlineStr">
        <is>
          <t>2차</t>
        </is>
      </c>
      <c r="H41" s="68" t="inlineStr">
        <is>
          <t>평가 근거 및 피드백</t>
        </is>
      </c>
      <c r="I41" s="60" t="n"/>
      <c r="J41" s="60" t="n"/>
      <c r="K41" s="60" t="n"/>
      <c r="L41" s="60" t="n"/>
    </row>
    <row r="42" ht="85.05" customHeight="1">
      <c r="A42" s="33" t="inlineStr">
        <is>
          <t>J-1</t>
        </is>
      </c>
      <c r="B42" s="54" t="inlineStr">
        <is>
          <t>기술지원</t>
        </is>
      </c>
      <c r="C42" s="54" t="inlineStr">
        <is>
          <t>고객 문의 대응</t>
        </is>
      </c>
      <c r="D42" s="53" t="inlineStr">
        <is>
          <t>S  기대 현저히 초과
A  기대 상회
B  기대 부합
C  부분 미흡
D  전반 미흡</t>
        </is>
      </c>
      <c r="E42" s="42" t="n"/>
      <c r="F42" s="42" t="n"/>
      <c r="G42" s="107" t="n"/>
      <c r="H42" s="47">
        <f>IF(E42="O",IFERROR(IF(AND(F42&lt;&gt;"",G42&lt;&gt;""),(IFERROR(IF(F42="S",5,IF(F42="A",4,IF(F42="B",3,IF(F42="C",2,IF(F42="D",1,0))))),0)+IFERROR(IF(G42="S",5,IF(G42="A",4,IF(G42="B",3,IF(G42="C",2,IF(G42="D",1,0))))),0))/2,IF(F42&lt;&gt;"",IFERROR(IF(F42="S",5,IF(F42="A",4,IF(F42="B",3,IF(F42="C",2,IF(F42="D",1,0))))),0),IF(G42&lt;&gt;"",IFERROR(IF(G42="S",5,IF(G42="A",4,IF(G42="B",3,IF(G42="C",2,IF(G42="D",1,0))))),0),""))),""),"")</f>
        <v/>
      </c>
      <c r="I42" s="60" t="n"/>
      <c r="J42" s="60" t="n"/>
      <c r="K42" s="60" t="n"/>
      <c r="L42" s="60" t="n"/>
    </row>
    <row r="43" ht="85.05" customHeight="1">
      <c r="A43" s="33" t="inlineStr">
        <is>
          <t>J-2</t>
        </is>
      </c>
      <c r="B43" s="54" t="inlineStr">
        <is>
          <t>기술지원</t>
        </is>
      </c>
      <c r="C43" s="54" t="inlineStr">
        <is>
          <t>원격·현장 지원</t>
        </is>
      </c>
      <c r="D43" s="53" t="inlineStr">
        <is>
          <t>S  기대 현저히 초과
A  기대 상회
B  기대 부합
C  부분 미흡
D  전반 미흡</t>
        </is>
      </c>
      <c r="E43" s="42" t="n"/>
      <c r="F43" s="42" t="n"/>
      <c r="G43" s="107" t="n"/>
      <c r="H43" s="47">
        <f>IF(E43="O",IFERROR(IF(AND(F43&lt;&gt;"",G43&lt;&gt;""),(IFERROR(IF(F43="S",5,IF(F43="A",4,IF(F43="B",3,IF(F43="C",2,IF(F43="D",1,0))))),0)+IFERROR(IF(G43="S",5,IF(G43="A",4,IF(G43="B",3,IF(G43="C",2,IF(G43="D",1,0))))),0))/2,IF(F43&lt;&gt;"",IFERROR(IF(F43="S",5,IF(F43="A",4,IF(F43="B",3,IF(F43="C",2,IF(F43="D",1,0))))),0),IF(G43&lt;&gt;"",IFERROR(IF(G43="S",5,IF(G43="A",4,IF(G43="B",3,IF(G43="C",2,IF(G43="D",1,0))))),0),""))),""),"")</f>
        <v/>
      </c>
      <c r="I43" s="60" t="n"/>
      <c r="J43" s="60" t="n"/>
      <c r="K43" s="60" t="n"/>
      <c r="L43" s="60" t="n"/>
    </row>
    <row r="44" ht="85.05" customHeight="1">
      <c r="A44" s="33" t="inlineStr">
        <is>
          <t>J-3</t>
        </is>
      </c>
      <c r="B44" s="54" t="inlineStr">
        <is>
          <t>기술지원</t>
        </is>
      </c>
      <c r="C44" s="54" t="inlineStr">
        <is>
          <t>기술 문서 작성</t>
        </is>
      </c>
      <c r="D44" s="53" t="inlineStr">
        <is>
          <t>S  기대 현저히 초과
A  기대 상회
B  기대 부합
C  부분 미흡
D  전반 미흡</t>
        </is>
      </c>
      <c r="E44" s="42" t="n"/>
      <c r="F44" s="42" t="n"/>
      <c r="G44" s="107" t="n"/>
      <c r="H44" s="47">
        <f>IF(E44="O",IFERROR(IF(AND(F44&lt;&gt;"",G44&lt;&gt;""),(IFERROR(IF(F44="S",5,IF(F44="A",4,IF(F44="B",3,IF(F44="C",2,IF(F44="D",1,0))))),0)+IFERROR(IF(G44="S",5,IF(G44="A",4,IF(G44="B",3,IF(G44="C",2,IF(G44="D",1,0))))),0))/2,IF(F44&lt;&gt;"",IFERROR(IF(F44="S",5,IF(F44="A",4,IF(F44="B",3,IF(F44="C",2,IF(F44="D",1,0))))),0),IF(G44&lt;&gt;"",IFERROR(IF(G44="S",5,IF(G44="A",4,IF(G44="B",3,IF(G44="C",2,IF(G44="D",1,0))))),0),""))),""),"")</f>
        <v/>
      </c>
      <c r="I44" s="60" t="n"/>
      <c r="J44" s="60" t="n"/>
      <c r="K44" s="60" t="n"/>
      <c r="L44" s="60" t="n"/>
    </row>
    <row r="45" ht="85.05" customHeight="1">
      <c r="A45" s="33" t="inlineStr">
        <is>
          <t>J-4</t>
        </is>
      </c>
      <c r="B45" s="54" t="inlineStr">
        <is>
          <t>품질개선</t>
        </is>
      </c>
      <c r="C45" s="54" t="inlineStr">
        <is>
          <t>버그 리포트 및 피드백</t>
        </is>
      </c>
      <c r="D45" s="53" t="inlineStr">
        <is>
          <t>S  기대 현저히 초과
A  기대 상회
B  기대 부합
C  부분 미흡
D  전반 미흡</t>
        </is>
      </c>
      <c r="E45" s="42" t="n"/>
      <c r="F45" s="42" t="n"/>
      <c r="G45" s="107" t="n"/>
      <c r="H45" s="47">
        <f>IF(E45="O",IFERROR(IF(AND(F45&lt;&gt;"",G45&lt;&gt;""),(IFERROR(IF(F45="S",5,IF(F45="A",4,IF(F45="B",3,IF(F45="C",2,IF(F45="D",1,0))))),0)+IFERROR(IF(G45="S",5,IF(G45="A",4,IF(G45="B",3,IF(G45="C",2,IF(G45="D",1,0))))),0))/2,IF(F45&lt;&gt;"",IFERROR(IF(F45="S",5,IF(F45="A",4,IF(F45="B",3,IF(F45="C",2,IF(F45="D",1,0))))),0),IF(G45&lt;&gt;"",IFERROR(IF(G45="S",5,IF(G45="A",4,IF(G45="B",3,IF(G45="C",2,IF(G45="D",1,0))))),0),""))),""),"")</f>
        <v/>
      </c>
      <c r="I45" s="60" t="n"/>
      <c r="J45" s="60" t="n"/>
      <c r="K45" s="60" t="n"/>
      <c r="L45" s="60" t="n"/>
    </row>
    <row r="46" ht="85.05" customHeight="1">
      <c r="A46" s="33" t="inlineStr">
        <is>
          <t>J-5</t>
        </is>
      </c>
      <c r="B46" s="54" t="inlineStr">
        <is>
          <t>품질개선</t>
        </is>
      </c>
      <c r="C46" s="54" t="inlineStr">
        <is>
          <t>품질 모니터링</t>
        </is>
      </c>
      <c r="D46" s="53" t="inlineStr">
        <is>
          <t>S  기대 현저히 초과
A  기대 상회
B  기대 부합
C  부분 미흡
D  전반 미흡</t>
        </is>
      </c>
      <c r="E46" s="42" t="n"/>
      <c r="F46" s="42" t="n"/>
      <c r="G46" s="107" t="n"/>
      <c r="H46" s="47">
        <f>IF(E46="O",IFERROR(IF(AND(F46&lt;&gt;"",G46&lt;&gt;""),(IFERROR(IF(F46="S",5,IF(F46="A",4,IF(F46="B",3,IF(F46="C",2,IF(F46="D",1,0))))),0)+IFERROR(IF(G46="S",5,IF(G46="A",4,IF(G46="B",3,IF(G46="C",2,IF(G46="D",1,0))))),0))/2,IF(F46&lt;&gt;"",IFERROR(IF(F46="S",5,IF(F46="A",4,IF(F46="B",3,IF(F46="C",2,IF(F46="D",1,0))))),0),IF(G46&lt;&gt;"",IFERROR(IF(G46="S",5,IF(G46="A",4,IF(G46="B",3,IF(G46="C",2,IF(G46="D",1,0))))),0),""))),""),"")</f>
        <v/>
      </c>
      <c r="I46" s="60" t="n"/>
      <c r="J46" s="60" t="n"/>
      <c r="K46" s="60" t="n"/>
      <c r="L46" s="60" t="n"/>
    </row>
    <row r="47" ht="85.05" customHeight="1">
      <c r="A47" s="33" t="n"/>
      <c r="B47" s="54" t="n"/>
      <c r="C47" s="54" t="n"/>
      <c r="D47" s="53" t="n"/>
      <c r="E47" s="42" t="n"/>
      <c r="F47" s="42" t="n"/>
      <c r="G47" s="107" t="n"/>
      <c r="H47" s="47" t="n"/>
      <c r="I47" s="60" t="n"/>
      <c r="J47" s="60" t="n"/>
      <c r="K47" s="60" t="n"/>
      <c r="L47" s="60" t="n"/>
    </row>
    <row r="48" ht="85.05" customHeight="1">
      <c r="A48" s="33" t="n"/>
      <c r="B48" s="54" t="n"/>
      <c r="C48" s="54" t="n"/>
      <c r="D48" s="53" t="n"/>
      <c r="E48" s="42" t="n"/>
      <c r="F48" s="42" t="n"/>
      <c r="G48" s="107" t="n"/>
      <c r="H48" s="47" t="n"/>
      <c r="I48" s="60" t="n"/>
      <c r="J48" s="60" t="n"/>
      <c r="K48" s="60" t="n"/>
      <c r="L48" s="60" t="n"/>
    </row>
    <row r="49" ht="85.05" customHeight="1">
      <c r="A49" s="33" t="n"/>
      <c r="B49" s="54" t="n"/>
      <c r="C49" s="54" t="n"/>
      <c r="D49" s="53" t="n"/>
      <c r="E49" s="42" t="n"/>
      <c r="F49" s="42" t="n"/>
      <c r="G49" s="107" t="n"/>
      <c r="H49" s="47" t="n"/>
      <c r="I49" s="60" t="n"/>
      <c r="J49" s="60" t="n"/>
      <c r="K49" s="60" t="n"/>
      <c r="L49" s="60" t="n"/>
    </row>
    <row r="50" ht="85.05" customHeight="1">
      <c r="A50" s="33" t="n"/>
      <c r="B50" s="54" t="n"/>
      <c r="C50" s="54" t="n"/>
      <c r="D50" s="53" t="n"/>
      <c r="E50" s="42" t="n"/>
      <c r="F50" s="42" t="n"/>
      <c r="G50" s="107" t="n"/>
      <c r="H50" s="47" t="n"/>
      <c r="I50" s="60" t="n"/>
      <c r="J50" s="60" t="n"/>
      <c r="K50" s="60" t="n"/>
      <c r="L50" s="60" t="n"/>
    </row>
    <row r="51" ht="85.05" customHeight="1">
      <c r="A51" s="33" t="n"/>
      <c r="B51" s="54" t="n"/>
      <c r="C51" s="54" t="n"/>
      <c r="D51" s="53" t="n"/>
      <c r="E51" s="42" t="n"/>
      <c r="F51" s="42" t="n"/>
      <c r="G51" s="107" t="n"/>
      <c r="H51" s="47" t="n"/>
      <c r="I51" s="60" t="n"/>
      <c r="J51" s="60" t="n"/>
      <c r="K51" s="60" t="n"/>
      <c r="L51" s="60" t="n"/>
    </row>
    <row r="52" ht="85.05" customHeight="1">
      <c r="A52" s="33" t="n"/>
      <c r="B52" s="54" t="n"/>
      <c r="C52" s="54" t="n"/>
      <c r="D52" s="53" t="n"/>
      <c r="E52" s="42" t="n"/>
      <c r="F52" s="42" t="n"/>
      <c r="G52" s="107" t="n"/>
      <c r="H52" s="47" t="n"/>
      <c r="I52" s="60" t="n"/>
      <c r="J52" s="60" t="n"/>
      <c r="K52" s="60" t="n"/>
      <c r="L52" s="60" t="n"/>
    </row>
    <row r="53" ht="85.05" customHeight="1">
      <c r="A53" s="33" t="n"/>
      <c r="B53" s="54" t="n"/>
      <c r="C53" s="54" t="n"/>
      <c r="D53" s="53" t="n"/>
      <c r="E53" s="42" t="n"/>
      <c r="F53" s="42" t="n"/>
      <c r="G53" s="107" t="n"/>
      <c r="H53" s="47" t="n"/>
      <c r="I53" s="60" t="n"/>
      <c r="J53" s="60" t="n"/>
      <c r="K53" s="60" t="n"/>
      <c r="L53" s="60" t="n"/>
    </row>
    <row r="54" ht="85.05" customHeight="1">
      <c r="A54" s="33" t="n"/>
      <c r="B54" s="54" t="n"/>
      <c r="C54" s="54" t="n"/>
      <c r="D54" s="53" t="n"/>
      <c r="E54" s="42" t="n"/>
      <c r="F54" s="42" t="n"/>
      <c r="G54" s="107" t="n"/>
      <c r="H54" s="47" t="n"/>
      <c r="I54" s="60" t="n"/>
      <c r="J54" s="60" t="n"/>
      <c r="K54" s="60" t="n"/>
      <c r="L54" s="60" t="n"/>
    </row>
    <row r="55" ht="85.05" customHeight="1">
      <c r="A55" s="33" t="n"/>
      <c r="B55" s="54" t="n"/>
      <c r="C55" s="54" t="n"/>
      <c r="D55" s="53" t="n"/>
      <c r="E55" s="42" t="n"/>
      <c r="F55" s="42" t="n"/>
      <c r="G55" s="107" t="n"/>
      <c r="H55" s="47" t="n"/>
      <c r="I55" s="60" t="n"/>
      <c r="J55" s="60" t="n"/>
      <c r="K55" s="60" t="n"/>
      <c r="L55" s="60" t="n"/>
    </row>
    <row r="56" ht="85.05" customHeight="1">
      <c r="A56" s="33" t="n"/>
      <c r="B56" s="54" t="n"/>
      <c r="C56" s="54" t="n"/>
      <c r="D56" s="53" t="n"/>
      <c r="E56" s="42" t="n"/>
      <c r="F56" s="42" t="n"/>
      <c r="G56" s="107" t="n"/>
      <c r="H56" s="47" t="n"/>
      <c r="I56" s="60" t="n"/>
      <c r="J56" s="60" t="n"/>
      <c r="K56" s="60" t="n"/>
      <c r="L56" s="60" t="n"/>
    </row>
    <row r="57">
      <c r="A57" s="61" t="n"/>
      <c r="B57" s="61" t="n"/>
      <c r="C57" s="61" t="n"/>
      <c r="D57" s="61" t="n"/>
      <c r="E57" s="61" t="n"/>
      <c r="F57" s="61" t="n"/>
      <c r="G57" s="61" t="n"/>
      <c r="H57" s="61" t="n"/>
      <c r="I57" s="60" t="n"/>
      <c r="J57" s="60" t="n"/>
      <c r="K57" s="60" t="n"/>
      <c r="L57" s="60" t="n"/>
    </row>
    <row r="58" ht="28.05" customHeight="1">
      <c r="A58" s="74" t="inlineStr">
        <is>
          <t>1차 평가자 직무 종합 (메인 책무 평균)</t>
        </is>
      </c>
      <c r="B58" s="104" t="n"/>
      <c r="C58" s="104" t="n"/>
      <c r="D58" s="105" t="n"/>
      <c r="E58" s="48">
        <f>IFERROR(SUMPRODUCT((E42:E56="O")*IFERROR(IF(F42:F56="S",5,IF(F42:F56="A",4,IF(F42:F56="B",3,IF(F42:F56="C",2,IF(F42:F56="D",1,0))))),0))/MAX(SUMPRODUCT((E42:E56="O")*(F42:F56&lt;&gt;"")),1),0)</f>
        <v/>
      </c>
      <c r="F58" s="49" t="inlineStr">
        <is>
          <t>→ 등급</t>
        </is>
      </c>
      <c r="G58" s="50">
        <f>IF(OR(E58="",E58&lt;0.5),"",IF(E58&gt;=4.5,"S",IF(E58&gt;=3.5,"A",IF(E58&gt;=2.5,"B",IF(E58&gt;=1.5,"C","D")))))</f>
        <v/>
      </c>
      <c r="H58" s="51" t="n"/>
      <c r="I58" s="60" t="n"/>
      <c r="J58" s="60" t="n"/>
      <c r="K58" s="60" t="n"/>
      <c r="L58" s="60" t="n"/>
    </row>
    <row r="59" ht="28.05" customHeight="1">
      <c r="A59" s="74" t="inlineStr">
        <is>
          <t>2차 평가자 직무 종합 (메인 책무 평균)</t>
        </is>
      </c>
      <c r="B59" s="104" t="n"/>
      <c r="C59" s="104" t="n"/>
      <c r="D59" s="105" t="n"/>
      <c r="E59" s="48">
        <f>IFERROR(SUMPRODUCT((E42:E56="O")*IFERROR(IF(G42:G56="S",5,IF(G42:G56="A",4,IF(G42:G56="B",3,IF(G42:G56="C",2,IF(G42:G56="D",1,0))))),0))/MAX(SUMPRODUCT((E42:E56="O")*(G42:G56&lt;&gt;"")),1),0)</f>
        <v/>
      </c>
      <c r="F59" s="49" t="inlineStr">
        <is>
          <t>→ 등급</t>
        </is>
      </c>
      <c r="G59" s="50">
        <f>IF(OR(E59="",E59&lt;0.5),"",IF(E59&gt;=4.5,"S",IF(E59&gt;=3.5,"A",IF(E59&gt;=2.5,"B",IF(E59&gt;=1.5,"C","D")))))</f>
        <v/>
      </c>
      <c r="H59" s="51" t="n"/>
      <c r="I59" s="60" t="n"/>
      <c r="J59" s="60" t="n"/>
      <c r="K59" s="60" t="n"/>
      <c r="L59" s="60" t="n"/>
    </row>
    <row r="60">
      <c r="A60" s="60" t="n"/>
      <c r="B60" s="60" t="n"/>
      <c r="C60" s="60" t="n"/>
      <c r="D60" s="60" t="n"/>
      <c r="E60" s="60" t="n"/>
      <c r="F60" s="60" t="n"/>
      <c r="G60" s="60" t="n"/>
      <c r="H60" s="60" t="n"/>
      <c r="I60" s="60" t="n"/>
      <c r="J60" s="60" t="n"/>
      <c r="K60" s="60" t="n"/>
      <c r="L60" s="60" t="n"/>
    </row>
    <row r="61" ht="24" customHeight="1">
      <c r="A61" s="80" t="inlineStr">
        <is>
          <t>▶ 통합관리시트 입력 행 (아래 한 줄 A~G 7개 셀을 통째 복사 → 07a/07b의 G~M에 [값 붙여넣기])</t>
        </is>
      </c>
      <c r="B61" s="104" t="n"/>
      <c r="C61" s="104" t="n"/>
      <c r="D61" s="104" t="n"/>
      <c r="E61" s="104" t="n"/>
      <c r="F61" s="104" t="n"/>
      <c r="G61" s="104" t="n"/>
      <c r="H61" s="105" t="n"/>
      <c r="I61" s="60" t="n"/>
      <c r="J61" s="60" t="n"/>
      <c r="K61" s="60" t="n"/>
      <c r="L61" s="60" t="n"/>
    </row>
    <row r="62" ht="22.05" customHeight="1">
      <c r="A62" s="81" t="inlineStr">
        <is>
          <t>사용법: 아래 한 줄 A~G 선택 → Ctrl+C → 통합관리시트 07a 또는 07b의 해당 사원 행 G열에 [선택하여 붙여넣기 → 값] 실행</t>
        </is>
      </c>
      <c r="B62" s="104" t="n"/>
      <c r="C62" s="104" t="n"/>
      <c r="D62" s="104" t="n"/>
      <c r="E62" s="104" t="n"/>
      <c r="F62" s="104" t="n"/>
      <c r="G62" s="104" t="n"/>
      <c r="H62" s="105" t="n"/>
      <c r="I62" s="60" t="n"/>
      <c r="J62" s="60" t="n"/>
      <c r="K62" s="60" t="n"/>
      <c r="L62" s="60" t="n"/>
    </row>
    <row r="63" ht="24" customHeight="1">
      <c r="A63" s="49" t="inlineStr">
        <is>
          <t>역할(1차)</t>
        </is>
      </c>
      <c r="B63" s="49" t="inlineStr">
        <is>
          <t>역할(2차)</t>
        </is>
      </c>
      <c r="C63" s="49" t="inlineStr">
        <is>
          <t>공통(1차)</t>
        </is>
      </c>
      <c r="D63" s="49" t="inlineStr">
        <is>
          <t>공통(2차)</t>
        </is>
      </c>
      <c r="E63" s="49" t="inlineStr">
        <is>
          <t>직무(1차)</t>
        </is>
      </c>
      <c r="F63" s="49" t="inlineStr">
        <is>
          <t>직무(2차)</t>
        </is>
      </c>
      <c r="G63" s="49" t="inlineStr">
        <is>
          <t>소견</t>
        </is>
      </c>
      <c r="H63" s="105" t="n"/>
      <c r="I63" s="60" t="n"/>
      <c r="J63" s="60" t="n"/>
      <c r="K63" s="60" t="n"/>
      <c r="L63" s="60" t="n"/>
    </row>
    <row r="64" ht="30" customHeight="1">
      <c r="A64" s="52">
        <f>G21</f>
        <v/>
      </c>
      <c r="B64" s="52">
        <f>G22</f>
        <v/>
      </c>
      <c r="C64" s="52">
        <f>H37</f>
        <v/>
      </c>
      <c r="D64" s="52">
        <f>H38</f>
        <v/>
      </c>
      <c r="E64" s="52">
        <f>G58</f>
        <v/>
      </c>
      <c r="F64" s="52">
        <f>G59</f>
        <v/>
      </c>
      <c r="G64" s="108" t="n"/>
      <c r="H64" s="105" t="n"/>
      <c r="I64" s="60" t="n"/>
      <c r="J64" s="60" t="n"/>
      <c r="K64" s="60" t="n"/>
      <c r="L64" s="60" t="n"/>
    </row>
    <row r="65">
      <c r="A65" s="60" t="n"/>
      <c r="B65" s="60" t="n"/>
      <c r="C65" s="60" t="n"/>
      <c r="D65" s="60" t="n"/>
      <c r="E65" s="60" t="n"/>
      <c r="F65" s="60" t="n"/>
      <c r="G65" s="60" t="n"/>
      <c r="H65" s="60" t="n"/>
      <c r="I65" s="60" t="n"/>
      <c r="J65" s="60" t="n"/>
      <c r="K65" s="60" t="n"/>
      <c r="L65" s="60" t="n"/>
    </row>
    <row r="66" ht="24" customHeight="1">
      <c r="A66" s="80" t="inlineStr">
        <is>
          <t>▶ 종합 소견 (강점·개선·육성 방향)</t>
        </is>
      </c>
      <c r="B66" s="104" t="n"/>
      <c r="C66" s="104" t="n"/>
      <c r="D66" s="104" t="n"/>
      <c r="E66" s="104" t="n"/>
      <c r="F66" s="104" t="n"/>
      <c r="G66" s="104" t="n"/>
      <c r="H66" s="105" t="n"/>
      <c r="I66" s="60" t="n"/>
      <c r="J66" s="60" t="n"/>
      <c r="K66" s="60" t="n"/>
      <c r="L66" s="60" t="n"/>
    </row>
    <row r="67" ht="50" customHeight="1">
      <c r="A67" s="49" t="inlineStr">
        <is>
          <t>강점</t>
        </is>
      </c>
      <c r="B67" s="64" t="n"/>
      <c r="C67" s="104" t="n"/>
      <c r="D67" s="104" t="n"/>
      <c r="E67" s="104" t="n"/>
      <c r="F67" s="104" t="n"/>
      <c r="G67" s="104" t="n"/>
      <c r="H67" s="105" t="n"/>
      <c r="I67" s="60" t="n"/>
      <c r="J67" s="60" t="n"/>
      <c r="K67" s="60" t="n"/>
      <c r="L67" s="60" t="n"/>
    </row>
    <row r="68" ht="50" customHeight="1">
      <c r="A68" s="49" t="inlineStr">
        <is>
          <t>개선</t>
        </is>
      </c>
      <c r="B68" s="64" t="n"/>
      <c r="C68" s="104" t="n"/>
      <c r="D68" s="104" t="n"/>
      <c r="E68" s="104" t="n"/>
      <c r="F68" s="104" t="n"/>
      <c r="G68" s="104" t="n"/>
      <c r="H68" s="105" t="n"/>
      <c r="I68" s="60" t="n"/>
      <c r="J68" s="60" t="n"/>
      <c r="K68" s="60" t="n"/>
      <c r="L68" s="60" t="n"/>
    </row>
    <row r="69" ht="50" customHeight="1">
      <c r="A69" s="49" t="inlineStr">
        <is>
          <t>육성 방향</t>
        </is>
      </c>
      <c r="B69" s="64" t="n"/>
      <c r="C69" s="104" t="n"/>
      <c r="D69" s="104" t="n"/>
      <c r="E69" s="104" t="n"/>
      <c r="F69" s="104" t="n"/>
      <c r="G69" s="104" t="n"/>
      <c r="H69" s="105" t="n"/>
      <c r="I69" s="60" t="n"/>
      <c r="J69" s="60" t="n"/>
      <c r="K69" s="60" t="n"/>
      <c r="L69" s="60" t="n"/>
    </row>
    <row r="70">
      <c r="A70" s="60" t="n"/>
      <c r="B70" s="60" t="n"/>
      <c r="C70" s="60" t="n"/>
      <c r="D70" s="60" t="n"/>
      <c r="E70" s="60" t="n"/>
      <c r="F70" s="60" t="n"/>
      <c r="G70" s="60" t="n"/>
      <c r="H70" s="60" t="n"/>
      <c r="I70" s="60" t="n"/>
      <c r="J70" s="60" t="n"/>
      <c r="K70" s="60" t="n"/>
      <c r="L70" s="60" t="n"/>
    </row>
    <row r="71">
      <c r="A71" s="60" t="n"/>
      <c r="B71" s="60" t="n"/>
      <c r="C71" s="60" t="n"/>
      <c r="D71" s="60" t="n"/>
      <c r="E71" s="60" t="n"/>
      <c r="F71" s="60" t="n"/>
      <c r="G71" s="60" t="n"/>
      <c r="H71" s="60" t="n"/>
      <c r="I71" s="60" t="n"/>
      <c r="J71" s="60" t="n"/>
      <c r="K71" s="60" t="n"/>
      <c r="L71" s="60" t="n"/>
    </row>
    <row r="72">
      <c r="A72" s="60" t="n"/>
      <c r="B72" s="60" t="n"/>
      <c r="C72" s="60" t="n"/>
      <c r="D72" s="60" t="n"/>
      <c r="E72" s="60" t="n"/>
      <c r="F72" s="60" t="n"/>
      <c r="G72" s="60" t="n"/>
      <c r="H72" s="60" t="n"/>
      <c r="I72" s="60" t="n"/>
      <c r="J72" s="60" t="n"/>
      <c r="K72" s="60" t="n"/>
      <c r="L72" s="60" t="n"/>
    </row>
  </sheetData>
  <mergeCells count="43">
    <mergeCell ref="G21:H21"/>
    <mergeCell ref="A22:D22"/>
    <mergeCell ref="B68:H68"/>
    <mergeCell ref="A24:H24"/>
    <mergeCell ref="G27:H27"/>
    <mergeCell ref="G36:H36"/>
    <mergeCell ref="A1:H1"/>
    <mergeCell ref="G17:H17"/>
    <mergeCell ref="A61:H61"/>
    <mergeCell ref="A58:D58"/>
    <mergeCell ref="B11:F11"/>
    <mergeCell ref="G19:H19"/>
    <mergeCell ref="A59:D59"/>
    <mergeCell ref="A66:H66"/>
    <mergeCell ref="A37:E37"/>
    <mergeCell ref="G28:H28"/>
    <mergeCell ref="A4:F4"/>
    <mergeCell ref="G18:H18"/>
    <mergeCell ref="G34:H34"/>
    <mergeCell ref="G30:H30"/>
    <mergeCell ref="G15:H15"/>
    <mergeCell ref="A2:H2"/>
    <mergeCell ref="G33:H33"/>
    <mergeCell ref="B67:H67"/>
    <mergeCell ref="G64:H64"/>
    <mergeCell ref="G26:H26"/>
    <mergeCell ref="G35:H35"/>
    <mergeCell ref="G29:H29"/>
    <mergeCell ref="A62:H62"/>
    <mergeCell ref="B14:H14"/>
    <mergeCell ref="G20:H20"/>
    <mergeCell ref="A38:E38"/>
    <mergeCell ref="G16:H16"/>
    <mergeCell ref="G32:H32"/>
    <mergeCell ref="G63:H63"/>
    <mergeCell ref="G25:H25"/>
    <mergeCell ref="A21:D21"/>
    <mergeCell ref="B69:H69"/>
    <mergeCell ref="A13:H13"/>
    <mergeCell ref="G31:H31"/>
    <mergeCell ref="G22:H22"/>
    <mergeCell ref="A7:F7"/>
    <mergeCell ref="A40:H40"/>
  </mergeCells>
  <dataValidations count="4">
    <dataValidation sqref="E42:E56" showDropDown="0" showInputMessage="1" showErrorMessage="0" allowBlank="1" promptTitle="메인 책무" prompt="메인 책무는 O, 비메인은 X" type="list">
      <formula1>"O,X"</formula1>
    </dataValidation>
    <dataValidation sqref="F42:G56" showDropDown="0" showInputMessage="1" showErrorMessage="0" allowBlank="1" promptTitle="평가 등급" prompt="S/A/B/C/D 중 선택" type="list">
      <formula1>"S,A,B,C,D"</formula1>
    </dataValidation>
    <dataValidation sqref="E16:F20 E26:F36" showDropDown="0" showInputMessage="1" showErrorMessage="0" allowBlank="1" type="list">
      <formula1>"S,A,B,C,D"</formula1>
    </dataValidation>
    <dataValidation sqref="B11" showDropDown="0" showInputMessage="1" showErrorMessage="0" allowBlank="1" type="list">
      <formula1>"상반기,하반기"</formula1>
    </dataValidation>
  </dataValidations>
  <pageMargins left="0.75" right="0.75" top="1" bottom="1" header="0.5" footer="0.5"/>
  <pageSetup orientation="portrait" paperSize="9" verticalDpi="0"/>
</worksheet>
</file>

<file path=xl/worksheets/sheet5.xml><?xml version="1.0" encoding="utf-8"?>
<worksheet xmlns="http://schemas.openxmlformats.org/spreadsheetml/2006/main">
  <sheetPr>
    <tabColor rgb="FF70AD47"/>
    <outlinePr summaryBelow="1" summaryRight="1"/>
    <pageSetUpPr/>
  </sheetPr>
  <dimension ref="A1:L72"/>
  <sheetViews>
    <sheetView workbookViewId="0">
      <selection activeCell="A1" sqref="A1"/>
    </sheetView>
  </sheetViews>
  <sheetFormatPr baseColWidth="8" defaultRowHeight="16.9"/>
  <cols>
    <col width="30.5625" customWidth="1" style="58" min="1" max="8"/>
    <col width="11" customWidth="1" style="58" min="9" max="11"/>
    <col width="9" customWidth="1" style="58" min="12" max="16384"/>
  </cols>
  <sheetData>
    <row r="1" ht="30" customHeight="1">
      <c r="A1" s="62" t="inlineStr">
        <is>
          <t>성과평가지 양식 - 기술지원 / G4 (실무 책임(PM))</t>
        </is>
      </c>
      <c r="B1" s="86" t="n"/>
      <c r="C1" s="86" t="n"/>
      <c r="D1" s="86" t="n"/>
      <c r="E1" s="86" t="n"/>
      <c r="F1" s="86" t="n"/>
      <c r="G1" s="86" t="n"/>
      <c r="H1" s="87" t="n"/>
    </row>
    <row r="2" ht="22.05" customHeight="1">
      <c r="A2" s="73" t="inlineStr">
        <is>
          <t>1·2차 평가자가 등급(S/A/B/C/D)만 입력. 가중치는 통합관리시트에서 자동 처리.</t>
        </is>
      </c>
      <c r="B2" s="86" t="n"/>
      <c r="C2" s="86" t="n"/>
      <c r="D2" s="86" t="n"/>
      <c r="E2" s="86" t="n"/>
      <c r="F2" s="86" t="n"/>
      <c r="G2" s="86" t="n"/>
      <c r="H2" s="87" t="n"/>
    </row>
    <row r="4" ht="24" customHeight="1">
      <c r="A4" s="67" t="inlineStr">
        <is>
          <t>▶ 평가 대상자 정보 (주황셀에 입력)</t>
        </is>
      </c>
      <c r="B4" s="104" t="n"/>
      <c r="C4" s="104" t="n"/>
      <c r="D4" s="104" t="n"/>
      <c r="E4" s="104" t="n"/>
      <c r="F4" s="105" t="n"/>
      <c r="G4" s="63" t="n"/>
      <c r="H4" s="63" t="n"/>
    </row>
    <row r="5" ht="22.05" customHeight="1">
      <c r="A5" s="33" t="inlineStr">
        <is>
          <t>사번</t>
        </is>
      </c>
      <c r="B5" s="34" t="n"/>
      <c r="C5" s="33" t="inlineStr">
        <is>
          <t>성명</t>
        </is>
      </c>
      <c r="D5" s="34" t="n"/>
      <c r="E5" s="33" t="inlineStr">
        <is>
          <t>부서</t>
        </is>
      </c>
      <c r="F5" s="34" t="n"/>
    </row>
    <row r="6" ht="22.05" customHeight="1">
      <c r="A6" s="33" t="inlineStr">
        <is>
          <t>직군</t>
        </is>
      </c>
      <c r="B6" s="34" t="n"/>
      <c r="C6" s="33" t="inlineStr">
        <is>
          <t>직무</t>
        </is>
      </c>
      <c r="D6" s="35" t="inlineStr">
        <is>
          <t>BIM컨설팅</t>
        </is>
      </c>
      <c r="E6" s="33" t="inlineStr">
        <is>
          <t>역할등급(명)</t>
        </is>
      </c>
      <c r="F6" s="35" t="inlineStr">
        <is>
          <t>G6(사업·조직 관리)</t>
        </is>
      </c>
    </row>
    <row r="7" ht="24" customHeight="1">
      <c r="A7" s="67" t="inlineStr">
        <is>
          <t>▶ 평가자 정보 (주황셀에 입력)</t>
        </is>
      </c>
      <c r="B7" s="104" t="n"/>
      <c r="C7" s="104" t="n"/>
      <c r="D7" s="104" t="n"/>
      <c r="E7" s="104" t="n"/>
      <c r="F7" s="105" t="n"/>
      <c r="G7" s="63" t="n"/>
      <c r="H7" s="63" t="n"/>
    </row>
    <row r="8" ht="24" customHeight="1">
      <c r="A8" s="36" t="inlineStr">
        <is>
          <t>구분</t>
        </is>
      </c>
      <c r="B8" s="36" t="inlineStr">
        <is>
          <t>사번</t>
        </is>
      </c>
      <c r="C8" s="36" t="inlineStr">
        <is>
          <t>성명</t>
        </is>
      </c>
      <c r="D8" s="36" t="inlineStr">
        <is>
          <t>직책</t>
        </is>
      </c>
      <c r="E8" s="36" t="inlineStr">
        <is>
          <t>부서</t>
        </is>
      </c>
      <c r="F8" s="36" t="inlineStr">
        <is>
          <t>평가 일자</t>
        </is>
      </c>
      <c r="G8" s="63" t="n"/>
      <c r="H8" s="63" t="n"/>
    </row>
    <row r="9" ht="24" customHeight="1">
      <c r="A9" s="37" t="inlineStr">
        <is>
          <t>1차 평가자 (직속상사)</t>
        </is>
      </c>
      <c r="B9" s="38" t="n"/>
      <c r="C9" s="38" t="n"/>
      <c r="D9" s="38" t="n"/>
      <c r="E9" s="38" t="n"/>
      <c r="F9" s="39" t="n"/>
      <c r="G9" s="63" t="n"/>
      <c r="H9" s="63" t="n"/>
    </row>
    <row r="10" ht="24" customHeight="1">
      <c r="A10" s="37" t="inlineStr">
        <is>
          <t>2차 평가자 (조정자)</t>
        </is>
      </c>
      <c r="B10" s="38" t="n"/>
      <c r="C10" s="38" t="n"/>
      <c r="D10" s="38" t="n"/>
      <c r="E10" s="38" t="n"/>
      <c r="F10" s="39" t="n"/>
      <c r="G10" s="63" t="n"/>
      <c r="H10" s="63" t="n"/>
    </row>
    <row r="11" ht="24" customHeight="1">
      <c r="A11" s="37" t="inlineStr">
        <is>
          <t>평가 차수</t>
        </is>
      </c>
      <c r="B11" s="72" t="inlineStr">
        <is>
          <t>상반기</t>
        </is>
      </c>
      <c r="C11" s="104" t="n"/>
      <c r="D11" s="104" t="n"/>
      <c r="E11" s="104" t="n"/>
      <c r="F11" s="105" t="n"/>
      <c r="G11" s="63" t="n"/>
      <c r="H11" s="63" t="n"/>
    </row>
    <row r="13" ht="26" customHeight="1">
      <c r="A13" s="77" t="inlineStr">
        <is>
          <t>▶ ① 역할평가 — 5개 BARS 항목</t>
        </is>
      </c>
      <c r="B13" s="104" t="n"/>
      <c r="C13" s="104" t="n"/>
      <c r="D13" s="104" t="n"/>
      <c r="E13" s="104" t="n"/>
      <c r="F13" s="104" t="n"/>
      <c r="G13" s="104" t="n"/>
      <c r="H13" s="105" t="n"/>
    </row>
    <row r="14" ht="38" customHeight="1">
      <c r="A14" s="40" t="inlineStr">
        <is>
          <t>역할 정의</t>
        </is>
      </c>
      <c r="B14" s="75" t="inlineStr">
        <is>
          <t>단위 프로젝트의 전략 수립·추진을 주도하며 예산·일정·품질 목표 달성 책임.</t>
        </is>
      </c>
      <c r="C14" s="104" t="n"/>
      <c r="D14" s="104" t="n"/>
      <c r="E14" s="104" t="n"/>
      <c r="F14" s="104" t="n"/>
      <c r="G14" s="104" t="n"/>
      <c r="H14" s="105" t="n"/>
    </row>
    <row r="15" ht="28.05" customHeight="1">
      <c r="A15" s="68" t="inlineStr">
        <is>
          <t>No.</t>
        </is>
      </c>
      <c r="B15" s="68" t="inlineStr">
        <is>
          <t>평가항목</t>
        </is>
      </c>
      <c r="C15" s="68" t="inlineStr">
        <is>
          <t>평가 기준</t>
        </is>
      </c>
      <c r="D15" s="68" t="inlineStr">
        <is>
          <t>S/A/B/C/D 등급 기준</t>
        </is>
      </c>
      <c r="E15" s="68" t="inlineStr">
        <is>
          <t>1차 평가자</t>
        </is>
      </c>
      <c r="F15" s="68" t="inlineStr">
        <is>
          <t>2차 평가자</t>
        </is>
      </c>
      <c r="G15" s="68" t="inlineStr">
        <is>
          <t>평가 근거 및 피드백</t>
        </is>
      </c>
      <c r="H15" s="105" t="n"/>
    </row>
    <row r="16" ht="90" customHeight="1">
      <c r="A16" s="40" t="inlineStr">
        <is>
          <t>R-1</t>
        </is>
      </c>
      <c r="B16" s="55" t="inlineStr">
        <is>
          <t>책임범위 이행도</t>
        </is>
      </c>
      <c r="C16" s="56" t="inlineStr">
        <is>
          <t>역할등급에 부합하는 책임 범위 내 업무 수행</t>
        </is>
      </c>
      <c r="D16" s="53" t="inlineStr">
        <is>
          <t>S  기대 현저히 초과
A  기대 상회
B  기대 부합
C  부분 미흡
D  전반 미흡</t>
        </is>
      </c>
      <c r="E16" s="42" t="n"/>
      <c r="F16" s="42" t="n"/>
      <c r="G16" s="106" t="n"/>
      <c r="H16" s="105" t="n"/>
    </row>
    <row r="17" ht="90" customHeight="1">
      <c r="A17" s="40" t="inlineStr">
        <is>
          <t>R-2</t>
        </is>
      </c>
      <c r="B17" s="55" t="inlineStr">
        <is>
          <t>의사결정 적절성</t>
        </is>
      </c>
      <c r="C17" s="56" t="inlineStr">
        <is>
          <t>권한 수준 내 시의적절·합리적 의사결정</t>
        </is>
      </c>
      <c r="D17" s="53" t="inlineStr">
        <is>
          <t>S  기대 현저히 초과
A  기대 상회
B  기대 부합
C  부분 미흡
D  전반 미흡</t>
        </is>
      </c>
      <c r="E17" s="42" t="n"/>
      <c r="F17" s="42" t="n"/>
      <c r="G17" s="106" t="n"/>
      <c r="H17" s="105" t="n"/>
    </row>
    <row r="18" ht="90" customHeight="1">
      <c r="A18" s="40" t="inlineStr">
        <is>
          <t>R-3</t>
        </is>
      </c>
      <c r="B18" s="55" t="inlineStr">
        <is>
          <t>성과 기여도</t>
        </is>
      </c>
      <c r="C18" s="56" t="inlineStr">
        <is>
          <t>조직·프로젝트 목표 달성에 정량적 기여</t>
        </is>
      </c>
      <c r="D18" s="53" t="inlineStr">
        <is>
          <t>S  기대 현저히 초과
A  기대 상회
B  기대 부합
C  부분 미흡
D  전반 미흡</t>
        </is>
      </c>
      <c r="E18" s="42" t="n"/>
      <c r="F18" s="42" t="n"/>
      <c r="G18" s="106" t="n"/>
      <c r="H18" s="105" t="n"/>
    </row>
    <row r="19" ht="90" customHeight="1">
      <c r="A19" s="40" t="inlineStr">
        <is>
          <t>R-4</t>
        </is>
      </c>
      <c r="B19" s="55" t="inlineStr">
        <is>
          <t>조직 후배 코칭</t>
        </is>
      </c>
      <c r="C19" s="56" t="inlineStr">
        <is>
          <t>상·하위 역할과 효과적 협업 및 후배 코칭</t>
        </is>
      </c>
      <c r="D19" s="53" t="inlineStr">
        <is>
          <t>S  기대 현저히 초과
A  기대 상회
B  기대 부합
C  부분 미흡
D  전반 미흡</t>
        </is>
      </c>
      <c r="E19" s="42" t="n"/>
      <c r="F19" s="42" t="n"/>
      <c r="G19" s="106" t="n"/>
      <c r="H19" s="105" t="n"/>
    </row>
    <row r="20" ht="90" customHeight="1">
      <c r="A20" s="40" t="inlineStr">
        <is>
          <t>R-5</t>
        </is>
      </c>
      <c r="B20" s="55" t="inlineStr">
        <is>
          <t>산출물 완성도</t>
        </is>
      </c>
      <c r="C20" s="56" t="inlineStr">
        <is>
          <t>산출물 품질과 기한 준수</t>
        </is>
      </c>
      <c r="D20" s="53" t="inlineStr">
        <is>
          <t>S  기대 현저히 초과
A  기대 상회
B  기대 부합
C  부분 미흡
D  전반 미흡</t>
        </is>
      </c>
      <c r="E20" s="42" t="n"/>
      <c r="F20" s="42" t="n"/>
      <c r="G20" s="106" t="n"/>
      <c r="H20" s="105" t="n"/>
    </row>
    <row r="21" ht="24" customHeight="1">
      <c r="A21" s="79" t="inlineStr">
        <is>
          <t>1차 평가자 역할 종합 (5개 평균)</t>
        </is>
      </c>
      <c r="B21" s="104" t="n"/>
      <c r="C21" s="104" t="n"/>
      <c r="D21" s="105" t="n"/>
      <c r="E21" s="43">
        <f>IFERROR((IF(E16="S",5,IF(E16="A",4,IF(E16="B",3,IF(E16="C",2,IF(E16="D",1,0)))))+IF(E17="S",5,IF(E17="A",4,IF(E17="B",3,IF(E17="C",2,IF(E17="D",1,0)))))+IF(E18="S",5,IF(E18="A",4,IF(E18="B",3,IF(E18="C",2,IF(E18="D",1,0)))))+IF(E19="S",5,IF(E19="A",4,IF(E19="B",3,IF(E19="C",2,IF(E19="D",1,0)))))+IF(E20="S",5,IF(E20="A",4,IF(E20="B",3,IF(E20="C",2,IF(E20="D",1,0))))))/5,"")</f>
        <v/>
      </c>
      <c r="F21" s="44" t="inlineStr">
        <is>
          <t>→ 등급</t>
        </is>
      </c>
      <c r="G21" s="71">
        <f>IF(OR(E21="",E21&lt;0.5),"",IF(E21&gt;=4.5,"S",IF(E21&gt;=3.5,"A",IF(E21&gt;=2.5,"B",IF(E21&gt;=1.5,"C","D")))))</f>
        <v/>
      </c>
      <c r="H21" s="105" t="n"/>
    </row>
    <row r="22" ht="24" customHeight="1">
      <c r="A22" s="79" t="inlineStr">
        <is>
          <t>2차 평가자 역할 종합 (5개 평균)</t>
        </is>
      </c>
      <c r="B22" s="104" t="n"/>
      <c r="C22" s="104" t="n"/>
      <c r="D22" s="105" t="n"/>
      <c r="E22" s="43">
        <f>IFERROR((IF(F16="S",5,IF(F16="A",4,IF(F16="B",3,IF(F16="C",2,IF(F16="D",1,0)))))+IF(F17="S",5,IF(F17="A",4,IF(F17="B",3,IF(F17="C",2,IF(F17="D",1,0)))))+IF(F18="S",5,IF(F18="A",4,IF(F18="B",3,IF(F18="C",2,IF(F18="D",1,0)))))+IF(F19="S",5,IF(F19="A",4,IF(F19="B",3,IF(F19="C",2,IF(F19="D",1,0)))))+IF(F20="S",5,IF(F20="A",4,IF(F20="B",3,IF(F20="C",2,IF(F20="D",1,0))))))/5,"")</f>
        <v/>
      </c>
      <c r="F22" s="44" t="inlineStr">
        <is>
          <t>→ 등급</t>
        </is>
      </c>
      <c r="G22" s="71">
        <f>IF(OR(E22="",E22&lt;0.5),"",IF(E22&gt;=4.5,"S",IF(E22&gt;=3.5,"A",IF(E22&gt;=2.5,"B",IF(E22&gt;=1.5,"C","D")))))</f>
        <v/>
      </c>
      <c r="H22" s="105" t="n"/>
    </row>
    <row r="24" ht="26" customHeight="1">
      <c r="A24" s="78" t="inlineStr">
        <is>
          <t>▶ ② 공통역량평가 — 11개 (★ S/A/B/C/D 평가기준 포함)</t>
        </is>
      </c>
      <c r="B24" s="104" t="n"/>
      <c r="C24" s="104" t="n"/>
      <c r="D24" s="104" t="n"/>
      <c r="E24" s="104" t="n"/>
      <c r="F24" s="104" t="n"/>
      <c r="G24" s="104" t="n"/>
      <c r="H24" s="105" t="n"/>
    </row>
    <row r="25" ht="28.05" customHeight="1">
      <c r="A25" s="68" t="inlineStr">
        <is>
          <t>No.</t>
        </is>
      </c>
      <c r="B25" s="68" t="inlineStr">
        <is>
          <t>핵심 역량</t>
        </is>
      </c>
      <c r="C25" s="68" t="inlineStr">
        <is>
          <t>평가 기준</t>
        </is>
      </c>
      <c r="D25" s="68" t="inlineStr">
        <is>
          <t>S/A/B/C/D 등급 기준</t>
        </is>
      </c>
      <c r="E25" s="68" t="inlineStr">
        <is>
          <t>1차</t>
        </is>
      </c>
      <c r="F25" s="68" t="inlineStr">
        <is>
          <t>2차</t>
        </is>
      </c>
      <c r="G25" s="68" t="inlineStr">
        <is>
          <t>평가 근거 및 피드백</t>
        </is>
      </c>
      <c r="H25" s="105" t="n"/>
    </row>
    <row r="26" ht="100.05" customHeight="1">
      <c r="A26" s="45" t="inlineStr">
        <is>
          <t>C-1</t>
        </is>
      </c>
      <c r="B26" s="55" t="inlineStr">
        <is>
          <t>직무 전문성</t>
        </is>
      </c>
      <c r="C26" s="56" t="inlineStr">
        <is>
          <t>직무에 필요한 전문 지식 및 기술 보유, 실무 적용</t>
        </is>
      </c>
      <c r="D26" s="53" t="inlineStr">
        <is>
          <t>S  고급 지식과 숙련도, 타 부서 교육 가능
A  최신 트렌드 반영, 실무에 적절 활용
B  일반 수준 이해 및 적용
C  일부 기술 이해, 개선 필요
D  지식 부족, 실무 반영 어려움</t>
        </is>
      </c>
      <c r="E26" s="42" t="n"/>
      <c r="F26" s="42" t="n"/>
      <c r="G26" s="106" t="n"/>
      <c r="H26" s="105" t="n"/>
    </row>
    <row r="27" ht="100.05" customHeight="1">
      <c r="A27" s="45" t="inlineStr">
        <is>
          <t>C-2</t>
        </is>
      </c>
      <c r="B27" s="55" t="inlineStr">
        <is>
          <t>분석력</t>
        </is>
      </c>
      <c r="C27" s="56" t="inlineStr">
        <is>
          <t>데이터·수치 기반 사고로 업무 효율 향상</t>
        </is>
      </c>
      <c r="D27" s="53" t="inlineStr">
        <is>
          <t>S  데이터 기반 전략 도출 가능
A  분석 후 결과 활용 능숙
B  기본적 분석 및 간단한 적용 가능
C  기본 해석은 가능하나 활용 미흡
D  자료 해석 불가, 의사결정 어려움</t>
        </is>
      </c>
      <c r="E27" s="42" t="n"/>
      <c r="F27" s="42" t="n"/>
      <c r="G27" s="106" t="n"/>
      <c r="H27" s="105" t="n"/>
    </row>
    <row r="28" ht="100.05" customHeight="1">
      <c r="A28" s="45" t="inlineStr">
        <is>
          <t>C-3</t>
        </is>
      </c>
      <c r="B28" s="55" t="inlineStr">
        <is>
          <t>기획/실행력</t>
        </is>
      </c>
      <c r="C28" s="56" t="inlineStr">
        <is>
          <t>목표 설정·계획 수립·체계적 실행 능력</t>
        </is>
      </c>
      <c r="D28" s="53" t="inlineStr">
        <is>
          <t>S  스스로 목표 수립 및 조직 리딩 가능
A  계획 수립 능력 우수 및 실행 일관성
B  일반적 목표 수립 및 실현 가능
C  실행 계획 일부 있으나 체계 부족
D  목표 설정 부정확, 실행력 부족</t>
        </is>
      </c>
      <c r="E28" s="42" t="n"/>
      <c r="F28" s="42" t="n"/>
      <c r="G28" s="106" t="n"/>
      <c r="H28" s="105" t="n"/>
    </row>
    <row r="29" ht="100.05" customHeight="1">
      <c r="A29" s="45" t="inlineStr">
        <is>
          <t>C-4</t>
        </is>
      </c>
      <c r="B29" s="55" t="inlineStr">
        <is>
          <t>자원·시간 관리</t>
        </is>
      </c>
      <c r="C29" s="56" t="inlineStr">
        <is>
          <t>업무 우선순위 설정 및 시간 내 효과적 완수</t>
        </is>
      </c>
      <c r="D29" s="53" t="inlineStr">
        <is>
          <t>S  다중 과제 효율 배분, 시간관리 탁월
A  업무 효율성 높고 우선순위 명확
B  일반 수준 일정 조율 가능
C  마감 어려움, 우선순위 혼란
D  업무 지연 잦고 계획 없음</t>
        </is>
      </c>
      <c r="E29" s="42" t="n"/>
      <c r="F29" s="42" t="n"/>
      <c r="G29" s="106" t="n"/>
      <c r="H29" s="105" t="n"/>
    </row>
    <row r="30" ht="100.05" customHeight="1">
      <c r="A30" s="45" t="inlineStr">
        <is>
          <t>C-5</t>
        </is>
      </c>
      <c r="B30" s="55" t="inlineStr">
        <is>
          <t>협업 능력</t>
        </is>
      </c>
      <c r="C30" s="56" t="inlineStr">
        <is>
          <t>팀·타 부서와의 협업 태도, 정보 공유</t>
        </is>
      </c>
      <c r="D30" s="53" t="inlineStr">
        <is>
          <t>S  타 부서와의 시너지 창출
A  정보 공유, 원활한 협업
B  공동목표 수용 및 일부 협력
C  소극적 협조, 갈등 유발
D  협력 거부, 독단적 태도</t>
        </is>
      </c>
      <c r="E30" s="42" t="n"/>
      <c r="F30" s="42" t="n"/>
      <c r="G30" s="106" t="n"/>
      <c r="H30" s="105" t="n"/>
    </row>
    <row r="31" ht="100.05" customHeight="1">
      <c r="A31" s="45" t="inlineStr">
        <is>
          <t>C-6</t>
        </is>
      </c>
      <c r="B31" s="55" t="inlineStr">
        <is>
          <t>소통 능력</t>
        </is>
      </c>
      <c r="C31" s="56" t="inlineStr">
        <is>
          <t>명확한 의사 전달·경청·효과적 커뮤니케이션</t>
        </is>
      </c>
      <c r="D31" s="53" t="inlineStr">
        <is>
          <t>S  갈등 중재 및 공감능력 우수
A  정확한 의사 전달 및 경청
B  피드백 수용 및 전달 가능
C  소통 시 불편 유발
D  일방적 주장, 피드백 거부</t>
        </is>
      </c>
      <c r="E31" s="42" t="n"/>
      <c r="F31" s="42" t="n"/>
      <c r="G31" s="106" t="n"/>
      <c r="H31" s="105" t="n"/>
    </row>
    <row r="32" ht="100.05" customHeight="1">
      <c r="A32" s="45" t="inlineStr">
        <is>
          <t>C-7</t>
        </is>
      </c>
      <c r="B32" s="55" t="inlineStr">
        <is>
          <t>윤리/책임감</t>
        </is>
      </c>
      <c r="C32" s="56" t="inlineStr">
        <is>
          <t>공정·투명한 절차, 책임감 있는 업무</t>
        </is>
      </c>
      <c r="D32" s="53" t="inlineStr">
        <is>
          <t>S  모범적 자세, 조직문화 선도
A  조직 규범 내 성실 수행
B  기본 책임 수행
C  책임 회피 경향
D  무책임, 규정 무시</t>
        </is>
      </c>
      <c r="E32" s="42" t="n"/>
      <c r="F32" s="42" t="n"/>
      <c r="G32" s="106" t="n"/>
      <c r="H32" s="105" t="n"/>
    </row>
    <row r="33" ht="100.05" customHeight="1">
      <c r="A33" s="45" t="inlineStr">
        <is>
          <t>C-8</t>
        </is>
      </c>
      <c r="B33" s="55" t="inlineStr">
        <is>
          <t>업무 태도</t>
        </is>
      </c>
      <c r="C33" s="56" t="inlineStr">
        <is>
          <t>성실·주도적 태도, 변화 유연성</t>
        </is>
      </c>
      <c r="D33" s="53" t="inlineStr">
        <is>
          <t>S  문제 해결 중심의 선도적 자세
A  책임감, 적극적 태도
B  일정 주도성 보임
C  소극적, 피동적 태도
D  수동적, 지시 없이는 행동 안 함</t>
        </is>
      </c>
      <c r="E33" s="42" t="n"/>
      <c r="F33" s="42" t="n"/>
      <c r="G33" s="106" t="n"/>
      <c r="H33" s="105" t="n"/>
    </row>
    <row r="34" ht="100.05" customHeight="1">
      <c r="A34" s="45" t="inlineStr">
        <is>
          <t>C-9</t>
        </is>
      </c>
      <c r="B34" s="55" t="inlineStr">
        <is>
          <t>혁신 역량</t>
        </is>
      </c>
      <c r="C34" s="56" t="inlineStr">
        <is>
          <t>AI·자동화 등 최신 기술의 실무 접목</t>
        </is>
      </c>
      <c r="D34" s="53" t="inlineStr">
        <is>
          <t>S  혁신적 아이디어 제시 및 실현
A  적극 활용하여 효율성 제고
B  일상적 업무에 도구 활용
C  부분적 기능 사용
D  기술 활용 거의 없음</t>
        </is>
      </c>
      <c r="E34" s="42" t="n"/>
      <c r="F34" s="42" t="n"/>
      <c r="G34" s="106" t="n"/>
      <c r="H34" s="105" t="n"/>
    </row>
    <row r="35" ht="100.05" customHeight="1">
      <c r="A35" s="45" t="inlineStr">
        <is>
          <t>C-10</t>
        </is>
      </c>
      <c r="B35" s="55" t="inlineStr">
        <is>
          <t>프로세스 개선</t>
        </is>
      </c>
      <c r="C35" s="56" t="inlineStr">
        <is>
          <t>업무 절차 분석 및 비효율 개선</t>
        </is>
      </c>
      <c r="D35" s="53" t="inlineStr">
        <is>
          <t>S  제안 실행까지 주도함
A  능동적 개선 제안
B  개선의 필요성 인식
C  타인이 해야 할 일로 인식
D  개선 의지 없음</t>
        </is>
      </c>
      <c r="E35" s="42" t="n"/>
      <c r="F35" s="42" t="n"/>
      <c r="G35" s="106" t="n"/>
      <c r="H35" s="105" t="n"/>
    </row>
    <row r="36" ht="100.05" customHeight="1">
      <c r="A36" s="45" t="inlineStr">
        <is>
          <t>C-11</t>
        </is>
      </c>
      <c r="B36" s="55" t="inlineStr">
        <is>
          <t>지속가능 기여</t>
        </is>
      </c>
      <c r="C36" s="56" t="inlineStr">
        <is>
          <t>장기적 성과 향상·조직 기여</t>
        </is>
      </c>
      <c r="D36" s="53" t="inlineStr">
        <is>
          <t>S  성과 리딩 및 지속 성과 도출
A  개인 및 팀 성과 기여
B  기본 수준의 성과
C  성과 불명확, 기여 낮음
D  성과 없음, 소극적 태도</t>
        </is>
      </c>
      <c r="E36" s="42" t="n"/>
      <c r="F36" s="42" t="n"/>
      <c r="G36" s="106" t="n"/>
      <c r="H36" s="105" t="n"/>
    </row>
    <row r="37" ht="24" customHeight="1">
      <c r="A37" s="76" t="inlineStr">
        <is>
          <t>1차 평가자 공통역량 종합 (11개 단순 평균)</t>
        </is>
      </c>
      <c r="B37" s="104" t="n"/>
      <c r="C37" s="104" t="n"/>
      <c r="D37" s="104" t="n"/>
      <c r="E37" s="105" t="n"/>
      <c r="F37" s="43">
        <f>IFERROR((IF(F26="S",5,IF(F26="A",4,IF(F26="B",3,IF(F26="C",2,IF(F26="D",1,0)))))+IF(F27="S",5,IF(F27="A",4,IF(F27="B",3,IF(F27="C",2,IF(F27="D",1,0)))))+IF(F28="S",5,IF(F28="A",4,IF(F28="B",3,IF(F28="C",2,IF(F28="D",1,0)))))+IF(F29="S",5,IF(F29="A",4,IF(F29="B",3,IF(F29="C",2,IF(F29="D",1,0)))))+IF(F30="S",5,IF(F30="A",4,IF(F30="B",3,IF(F30="C",2,IF(F30="D",1,0)))))+IF(F31="S",5,IF(F31="A",4,IF(F31="B",3,IF(F31="C",2,IF(F31="D",1,0)))))+IF(F32="S",5,IF(F32="A",4,IF(F32="B",3,IF(F32="C",2,IF(F32="D",1,0)))))+IF(F33="S",5,IF(F33="A",4,IF(F33="B",3,IF(F33="C",2,IF(F33="D",1,0)))))+IF(F34="S",5,IF(F34="A",4,IF(F34="B",3,IF(F34="C",2,IF(F34="D",1,0)))))+IF(F35="S",5,IF(F35="A",4,IF(F35="B",3,IF(F35="C",2,IF(F35="D",1,0)))))+IF(F36="S",5,IF(F36="A",4,IF(F36="B",3,IF(F36="C",2,IF(F36="D",1,0))))))/11,"")</f>
        <v/>
      </c>
      <c r="G37" s="44" t="inlineStr">
        <is>
          <t>→ 등급</t>
        </is>
      </c>
      <c r="H37" s="71">
        <f>IF(OR(F37="",F37&lt;0.5),"",IF(F37&gt;=4.5,"S",IF(F37&gt;=3.5,"A",IF(F37&gt;=2.5,"B",IF(F37&gt;=1.5,"C","D")))))</f>
        <v/>
      </c>
    </row>
    <row r="38" ht="24" customHeight="1">
      <c r="A38" s="76" t="inlineStr">
        <is>
          <t>2차 평가자 공통역량 종합 (11개 단순 평균)</t>
        </is>
      </c>
      <c r="B38" s="104" t="n"/>
      <c r="C38" s="104" t="n"/>
      <c r="D38" s="104" t="n"/>
      <c r="E38" s="105" t="n"/>
      <c r="F38" s="43">
        <f>IFERROR((IF(G26="S",5,IF(G26="A",4,IF(G26="B",3,IF(G26="C",2,IF(G26="D",1,0)))))+IF(G27="S",5,IF(G27="A",4,IF(G27="B",3,IF(G27="C",2,IF(G27="D",1,0)))))+IF(G28="S",5,IF(G28="A",4,IF(G28="B",3,IF(G28="C",2,IF(G28="D",1,0)))))+IF(G29="S",5,IF(G29="A",4,IF(G29="B",3,IF(G29="C",2,IF(G29="D",1,0)))))+IF(G30="S",5,IF(G30="A",4,IF(G30="B",3,IF(G30="C",2,IF(G30="D",1,0)))))+IF(G31="S",5,IF(G31="A",4,IF(G31="B",3,IF(G31="C",2,IF(G31="D",1,0)))))+IF(G32="S",5,IF(G32="A",4,IF(G32="B",3,IF(G32="C",2,IF(G32="D",1,0)))))+IF(G33="S",5,IF(G33="A",4,IF(G33="B",3,IF(G33="C",2,IF(G33="D",1,0)))))+IF(G34="S",5,IF(G34="A",4,IF(G34="B",3,IF(G34="C",2,IF(G34="D",1,0)))))+IF(G35="S",5,IF(G35="A",4,IF(G35="B",3,IF(G35="C",2,IF(G35="D",1,0)))))+IF(G36="S",5,IF(G36="A",4,IF(G36="B",3,IF(G36="C",2,IF(G36="D",1,0))))))/11,"")</f>
        <v/>
      </c>
      <c r="G38" s="44" t="inlineStr">
        <is>
          <t>→ 등급</t>
        </is>
      </c>
      <c r="H38" s="71">
        <f>IF(OR(F38="",F38&lt;0.5),"",IF(F38&gt;=4.5,"S",IF(F38&gt;=3.5,"A",IF(F38&gt;=2.5,"B",IF(F38&gt;=1.5,"C","D")))))</f>
        <v/>
      </c>
    </row>
    <row r="40" ht="28.05" customHeight="1">
      <c r="A40" s="66" t="inlineStr">
        <is>
          <t>▶ ③ 직무역량평가 — 메인 책무(E열 O 표시)만 1·2차 평가자 등급 입력</t>
        </is>
      </c>
      <c r="B40" s="104" t="n"/>
      <c r="C40" s="104" t="n"/>
      <c r="D40" s="104" t="n"/>
      <c r="E40" s="104" t="n"/>
      <c r="F40" s="104" t="n"/>
      <c r="G40" s="104" t="n"/>
      <c r="H40" s="105" t="n"/>
      <c r="I40" s="60" t="n"/>
      <c r="J40" s="60" t="n"/>
      <c r="K40" s="60" t="n"/>
      <c r="L40" s="60" t="n"/>
    </row>
    <row r="41" ht="32" customHeight="1">
      <c r="A41" s="68" t="inlineStr">
        <is>
          <t>No.</t>
        </is>
      </c>
      <c r="B41" s="68" t="inlineStr">
        <is>
          <t>전문영역</t>
        </is>
      </c>
      <c r="C41" s="68" t="inlineStr">
        <is>
          <t>핵심 책무</t>
        </is>
      </c>
      <c r="D41" s="68" t="inlineStr">
        <is>
          <t>S/A/B/C/D 등급 기준</t>
        </is>
      </c>
      <c r="E41" s="68" t="inlineStr">
        <is>
          <t>메인</t>
        </is>
      </c>
      <c r="F41" s="68" t="inlineStr">
        <is>
          <t>1차</t>
        </is>
      </c>
      <c r="G41" s="68" t="inlineStr">
        <is>
          <t>2차</t>
        </is>
      </c>
      <c r="H41" s="68" t="inlineStr">
        <is>
          <t>평가 근거 및 피드백</t>
        </is>
      </c>
      <c r="I41" s="60" t="n"/>
      <c r="J41" s="60" t="n"/>
      <c r="K41" s="60" t="n"/>
      <c r="L41" s="60" t="n"/>
    </row>
    <row r="42" ht="85.05" customHeight="1">
      <c r="A42" s="33" t="inlineStr">
        <is>
          <t>J-1</t>
        </is>
      </c>
      <c r="B42" s="54" t="inlineStr">
        <is>
          <t>기술지원</t>
        </is>
      </c>
      <c r="C42" s="54" t="inlineStr">
        <is>
          <t>고객 문의 대응</t>
        </is>
      </c>
      <c r="D42" s="53" t="inlineStr">
        <is>
          <t>S  기대 현저히 초과
A  기대 상회
B  기대 부합
C  부분 미흡
D  전반 미흡</t>
        </is>
      </c>
      <c r="E42" s="42" t="n"/>
      <c r="F42" s="42" t="n"/>
      <c r="G42" s="107" t="n"/>
      <c r="H42" s="47">
        <f>IF(E42="O",IFERROR(IF(AND(F42&lt;&gt;"",G42&lt;&gt;""),(IFERROR(IF(F42="S",5,IF(F42="A",4,IF(F42="B",3,IF(F42="C",2,IF(F42="D",1,0))))),0)+IFERROR(IF(G42="S",5,IF(G42="A",4,IF(G42="B",3,IF(G42="C",2,IF(G42="D",1,0))))),0))/2,IF(F42&lt;&gt;"",IFERROR(IF(F42="S",5,IF(F42="A",4,IF(F42="B",3,IF(F42="C",2,IF(F42="D",1,0))))),0),IF(G42&lt;&gt;"",IFERROR(IF(G42="S",5,IF(G42="A",4,IF(G42="B",3,IF(G42="C",2,IF(G42="D",1,0))))),0),""))),""),"")</f>
        <v/>
      </c>
      <c r="I42" s="60" t="n"/>
      <c r="J42" s="60" t="n"/>
      <c r="K42" s="60" t="n"/>
      <c r="L42" s="60" t="n"/>
    </row>
    <row r="43" ht="85.05" customHeight="1">
      <c r="A43" s="33" t="inlineStr">
        <is>
          <t>J-2</t>
        </is>
      </c>
      <c r="B43" s="54" t="inlineStr">
        <is>
          <t>기술지원</t>
        </is>
      </c>
      <c r="C43" s="54" t="inlineStr">
        <is>
          <t>원격·현장 지원</t>
        </is>
      </c>
      <c r="D43" s="53" t="inlineStr">
        <is>
          <t>S  기대 현저히 초과
A  기대 상회
B  기대 부합
C  부분 미흡
D  전반 미흡</t>
        </is>
      </c>
      <c r="E43" s="42" t="n"/>
      <c r="F43" s="42" t="n"/>
      <c r="G43" s="107" t="n"/>
      <c r="H43" s="47">
        <f>IF(E43="O",IFERROR(IF(AND(F43&lt;&gt;"",G43&lt;&gt;""),(IFERROR(IF(F43="S",5,IF(F43="A",4,IF(F43="B",3,IF(F43="C",2,IF(F43="D",1,0))))),0)+IFERROR(IF(G43="S",5,IF(G43="A",4,IF(G43="B",3,IF(G43="C",2,IF(G43="D",1,0))))),0))/2,IF(F43&lt;&gt;"",IFERROR(IF(F43="S",5,IF(F43="A",4,IF(F43="B",3,IF(F43="C",2,IF(F43="D",1,0))))),0),IF(G43&lt;&gt;"",IFERROR(IF(G43="S",5,IF(G43="A",4,IF(G43="B",3,IF(G43="C",2,IF(G43="D",1,0))))),0),""))),""),"")</f>
        <v/>
      </c>
      <c r="I43" s="60" t="n"/>
      <c r="J43" s="60" t="n"/>
      <c r="K43" s="60" t="n"/>
      <c r="L43" s="60" t="n"/>
    </row>
    <row r="44" ht="85.05" customHeight="1">
      <c r="A44" s="33" t="inlineStr">
        <is>
          <t>J-3</t>
        </is>
      </c>
      <c r="B44" s="54" t="inlineStr">
        <is>
          <t>기술지원</t>
        </is>
      </c>
      <c r="C44" s="54" t="inlineStr">
        <is>
          <t>기술 문서 작성</t>
        </is>
      </c>
      <c r="D44" s="53" t="inlineStr">
        <is>
          <t>S  기대 현저히 초과
A  기대 상회
B  기대 부합
C  부분 미흡
D  전반 미흡</t>
        </is>
      </c>
      <c r="E44" s="42" t="n"/>
      <c r="F44" s="42" t="n"/>
      <c r="G44" s="107" t="n"/>
      <c r="H44" s="47">
        <f>IF(E44="O",IFERROR(IF(AND(F44&lt;&gt;"",G44&lt;&gt;""),(IFERROR(IF(F44="S",5,IF(F44="A",4,IF(F44="B",3,IF(F44="C",2,IF(F44="D",1,0))))),0)+IFERROR(IF(G44="S",5,IF(G44="A",4,IF(G44="B",3,IF(G44="C",2,IF(G44="D",1,0))))),0))/2,IF(F44&lt;&gt;"",IFERROR(IF(F44="S",5,IF(F44="A",4,IF(F44="B",3,IF(F44="C",2,IF(F44="D",1,0))))),0),IF(G44&lt;&gt;"",IFERROR(IF(G44="S",5,IF(G44="A",4,IF(G44="B",3,IF(G44="C",2,IF(G44="D",1,0))))),0),""))),""),"")</f>
        <v/>
      </c>
      <c r="I44" s="60" t="n"/>
      <c r="J44" s="60" t="n"/>
      <c r="K44" s="60" t="n"/>
      <c r="L44" s="60" t="n"/>
    </row>
    <row r="45" ht="85.05" customHeight="1">
      <c r="A45" s="33" t="inlineStr">
        <is>
          <t>J-4</t>
        </is>
      </c>
      <c r="B45" s="54" t="inlineStr">
        <is>
          <t>품질개선</t>
        </is>
      </c>
      <c r="C45" s="54" t="inlineStr">
        <is>
          <t>버그 리포트 및 피드백</t>
        </is>
      </c>
      <c r="D45" s="53" t="inlineStr">
        <is>
          <t>S  기대 현저히 초과
A  기대 상회
B  기대 부합
C  부분 미흡
D  전반 미흡</t>
        </is>
      </c>
      <c r="E45" s="42" t="n"/>
      <c r="F45" s="42" t="n"/>
      <c r="G45" s="107" t="n"/>
      <c r="H45" s="47">
        <f>IF(E45="O",IFERROR(IF(AND(F45&lt;&gt;"",G45&lt;&gt;""),(IFERROR(IF(F45="S",5,IF(F45="A",4,IF(F45="B",3,IF(F45="C",2,IF(F45="D",1,0))))),0)+IFERROR(IF(G45="S",5,IF(G45="A",4,IF(G45="B",3,IF(G45="C",2,IF(G45="D",1,0))))),0))/2,IF(F45&lt;&gt;"",IFERROR(IF(F45="S",5,IF(F45="A",4,IF(F45="B",3,IF(F45="C",2,IF(F45="D",1,0))))),0),IF(G45&lt;&gt;"",IFERROR(IF(G45="S",5,IF(G45="A",4,IF(G45="B",3,IF(G45="C",2,IF(G45="D",1,0))))),0),""))),""),"")</f>
        <v/>
      </c>
      <c r="I45" s="60" t="n"/>
      <c r="J45" s="60" t="n"/>
      <c r="K45" s="60" t="n"/>
      <c r="L45" s="60" t="n"/>
    </row>
    <row r="46" ht="85.05" customHeight="1">
      <c r="A46" s="33" t="inlineStr">
        <is>
          <t>J-5</t>
        </is>
      </c>
      <c r="B46" s="54" t="inlineStr">
        <is>
          <t>품질개선</t>
        </is>
      </c>
      <c r="C46" s="54" t="inlineStr">
        <is>
          <t>품질 모니터링</t>
        </is>
      </c>
      <c r="D46" s="53" t="inlineStr">
        <is>
          <t>S  기대 현저히 초과
A  기대 상회
B  기대 부합
C  부분 미흡
D  전반 미흡</t>
        </is>
      </c>
      <c r="E46" s="42" t="n"/>
      <c r="F46" s="42" t="n"/>
      <c r="G46" s="107" t="n"/>
      <c r="H46" s="47">
        <f>IF(E46="O",IFERROR(IF(AND(F46&lt;&gt;"",G46&lt;&gt;""),(IFERROR(IF(F46="S",5,IF(F46="A",4,IF(F46="B",3,IF(F46="C",2,IF(F46="D",1,0))))),0)+IFERROR(IF(G46="S",5,IF(G46="A",4,IF(G46="B",3,IF(G46="C",2,IF(G46="D",1,0))))),0))/2,IF(F46&lt;&gt;"",IFERROR(IF(F46="S",5,IF(F46="A",4,IF(F46="B",3,IF(F46="C",2,IF(F46="D",1,0))))),0),IF(G46&lt;&gt;"",IFERROR(IF(G46="S",5,IF(G46="A",4,IF(G46="B",3,IF(G46="C",2,IF(G46="D",1,0))))),0),""))),""),"")</f>
        <v/>
      </c>
      <c r="I46" s="60" t="n"/>
      <c r="J46" s="60" t="n"/>
      <c r="K46" s="60" t="n"/>
      <c r="L46" s="60" t="n"/>
    </row>
    <row r="47" ht="85.05" customHeight="1">
      <c r="A47" s="33" t="n"/>
      <c r="B47" s="54" t="n"/>
      <c r="C47" s="54" t="n"/>
      <c r="D47" s="53" t="n"/>
      <c r="E47" s="42" t="n"/>
      <c r="F47" s="42" t="n"/>
      <c r="G47" s="107" t="n"/>
      <c r="H47" s="47" t="n"/>
      <c r="I47" s="60" t="n"/>
      <c r="J47" s="60" t="n"/>
      <c r="K47" s="60" t="n"/>
      <c r="L47" s="60" t="n"/>
    </row>
    <row r="48" ht="85.05" customHeight="1">
      <c r="A48" s="33" t="n"/>
      <c r="B48" s="54" t="n"/>
      <c r="C48" s="54" t="n"/>
      <c r="D48" s="53" t="n"/>
      <c r="E48" s="42" t="n"/>
      <c r="F48" s="42" t="n"/>
      <c r="G48" s="107" t="n"/>
      <c r="H48" s="47" t="n"/>
      <c r="I48" s="60" t="n"/>
      <c r="J48" s="60" t="n"/>
      <c r="K48" s="60" t="n"/>
      <c r="L48" s="60" t="n"/>
    </row>
    <row r="49" ht="85.05" customHeight="1">
      <c r="A49" s="33" t="n"/>
      <c r="B49" s="54" t="n"/>
      <c r="C49" s="54" t="n"/>
      <c r="D49" s="53" t="n"/>
      <c r="E49" s="42" t="n"/>
      <c r="F49" s="42" t="n"/>
      <c r="G49" s="107" t="n"/>
      <c r="H49" s="47" t="n"/>
      <c r="I49" s="60" t="n"/>
      <c r="J49" s="60" t="n"/>
      <c r="K49" s="60" t="n"/>
      <c r="L49" s="60" t="n"/>
    </row>
    <row r="50" ht="85.05" customHeight="1">
      <c r="A50" s="33" t="n"/>
      <c r="B50" s="54" t="n"/>
      <c r="C50" s="54" t="n"/>
      <c r="D50" s="53" t="n"/>
      <c r="E50" s="42" t="n"/>
      <c r="F50" s="42" t="n"/>
      <c r="G50" s="107" t="n"/>
      <c r="H50" s="47" t="n"/>
      <c r="I50" s="60" t="n"/>
      <c r="J50" s="60" t="n"/>
      <c r="K50" s="60" t="n"/>
      <c r="L50" s="60" t="n"/>
    </row>
    <row r="51" ht="85.05" customHeight="1">
      <c r="A51" s="33" t="n"/>
      <c r="B51" s="54" t="n"/>
      <c r="C51" s="54" t="n"/>
      <c r="D51" s="53" t="n"/>
      <c r="E51" s="42" t="n"/>
      <c r="F51" s="42" t="n"/>
      <c r="G51" s="107" t="n"/>
      <c r="H51" s="47" t="n"/>
      <c r="I51" s="60" t="n"/>
      <c r="J51" s="60" t="n"/>
      <c r="K51" s="60" t="n"/>
      <c r="L51" s="60" t="n"/>
    </row>
    <row r="52" ht="85.05" customHeight="1">
      <c r="A52" s="33" t="n"/>
      <c r="B52" s="54" t="n"/>
      <c r="C52" s="54" t="n"/>
      <c r="D52" s="53" t="n"/>
      <c r="E52" s="42" t="n"/>
      <c r="F52" s="42" t="n"/>
      <c r="G52" s="107" t="n"/>
      <c r="H52" s="47" t="n"/>
      <c r="I52" s="60" t="n"/>
      <c r="J52" s="60" t="n"/>
      <c r="K52" s="60" t="n"/>
      <c r="L52" s="60" t="n"/>
    </row>
    <row r="53" ht="85.05" customHeight="1">
      <c r="A53" s="33" t="n"/>
      <c r="B53" s="54" t="n"/>
      <c r="C53" s="54" t="n"/>
      <c r="D53" s="53" t="n"/>
      <c r="E53" s="42" t="n"/>
      <c r="F53" s="42" t="n"/>
      <c r="G53" s="107" t="n"/>
      <c r="H53" s="47" t="n"/>
      <c r="I53" s="60" t="n"/>
      <c r="J53" s="60" t="n"/>
      <c r="K53" s="60" t="n"/>
      <c r="L53" s="60" t="n"/>
    </row>
    <row r="54" ht="85.05" customHeight="1">
      <c r="A54" s="33" t="n"/>
      <c r="B54" s="54" t="n"/>
      <c r="C54" s="54" t="n"/>
      <c r="D54" s="53" t="n"/>
      <c r="E54" s="42" t="n"/>
      <c r="F54" s="42" t="n"/>
      <c r="G54" s="107" t="n"/>
      <c r="H54" s="47" t="n"/>
      <c r="I54" s="60" t="n"/>
      <c r="J54" s="60" t="n"/>
      <c r="K54" s="60" t="n"/>
      <c r="L54" s="60" t="n"/>
    </row>
    <row r="55" ht="85.05" customHeight="1">
      <c r="A55" s="33" t="n"/>
      <c r="B55" s="54" t="n"/>
      <c r="C55" s="54" t="n"/>
      <c r="D55" s="53" t="n"/>
      <c r="E55" s="42" t="n"/>
      <c r="F55" s="42" t="n"/>
      <c r="G55" s="107" t="n"/>
      <c r="H55" s="47" t="n"/>
      <c r="I55" s="60" t="n"/>
      <c r="J55" s="60" t="n"/>
      <c r="K55" s="60" t="n"/>
      <c r="L55" s="60" t="n"/>
    </row>
    <row r="56" ht="85.05" customHeight="1">
      <c r="A56" s="33" t="n"/>
      <c r="B56" s="54" t="n"/>
      <c r="C56" s="54" t="n"/>
      <c r="D56" s="53" t="n"/>
      <c r="E56" s="42" t="n"/>
      <c r="F56" s="42" t="n"/>
      <c r="G56" s="107" t="n"/>
      <c r="H56" s="47" t="n"/>
      <c r="I56" s="60" t="n"/>
      <c r="J56" s="60" t="n"/>
      <c r="K56" s="60" t="n"/>
      <c r="L56" s="60" t="n"/>
    </row>
    <row r="57">
      <c r="A57" s="61" t="n"/>
      <c r="B57" s="61" t="n"/>
      <c r="C57" s="61" t="n"/>
      <c r="D57" s="61" t="n"/>
      <c r="E57" s="61" t="n"/>
      <c r="F57" s="61" t="n"/>
      <c r="G57" s="61" t="n"/>
      <c r="H57" s="61" t="n"/>
      <c r="I57" s="60" t="n"/>
      <c r="J57" s="60" t="n"/>
      <c r="K57" s="60" t="n"/>
      <c r="L57" s="60" t="n"/>
    </row>
    <row r="58" ht="28.05" customHeight="1">
      <c r="A58" s="74" t="inlineStr">
        <is>
          <t>1차 평가자 직무 종합 (메인 책무 평균)</t>
        </is>
      </c>
      <c r="B58" s="104" t="n"/>
      <c r="C58" s="104" t="n"/>
      <c r="D58" s="105" t="n"/>
      <c r="E58" s="48">
        <f>IFERROR(SUMPRODUCT((E42:E56="O")*IFERROR(IF(F42:F56="S",5,IF(F42:F56="A",4,IF(F42:F56="B",3,IF(F42:F56="C",2,IF(F42:F56="D",1,0))))),0))/MAX(SUMPRODUCT((E42:E56="O")*(F42:F56&lt;&gt;"")),1),0)</f>
        <v/>
      </c>
      <c r="F58" s="49" t="inlineStr">
        <is>
          <t>→ 등급</t>
        </is>
      </c>
      <c r="G58" s="50">
        <f>IF(OR(E58="",E58&lt;0.5),"",IF(E58&gt;=4.5,"S",IF(E58&gt;=3.5,"A",IF(E58&gt;=2.5,"B",IF(E58&gt;=1.5,"C","D")))))</f>
        <v/>
      </c>
      <c r="H58" s="51" t="n"/>
      <c r="I58" s="60" t="n"/>
      <c r="J58" s="60" t="n"/>
      <c r="K58" s="60" t="n"/>
      <c r="L58" s="60" t="n"/>
    </row>
    <row r="59" ht="28.05" customHeight="1">
      <c r="A59" s="74" t="inlineStr">
        <is>
          <t>2차 평가자 직무 종합 (메인 책무 평균)</t>
        </is>
      </c>
      <c r="B59" s="104" t="n"/>
      <c r="C59" s="104" t="n"/>
      <c r="D59" s="105" t="n"/>
      <c r="E59" s="48">
        <f>IFERROR(SUMPRODUCT((E42:E56="O")*IFERROR(IF(G42:G56="S",5,IF(G42:G56="A",4,IF(G42:G56="B",3,IF(G42:G56="C",2,IF(G42:G56="D",1,0))))),0))/MAX(SUMPRODUCT((E42:E56="O")*(G42:G56&lt;&gt;"")),1),0)</f>
        <v/>
      </c>
      <c r="F59" s="49" t="inlineStr">
        <is>
          <t>→ 등급</t>
        </is>
      </c>
      <c r="G59" s="50">
        <f>IF(OR(E59="",E59&lt;0.5),"",IF(E59&gt;=4.5,"S",IF(E59&gt;=3.5,"A",IF(E59&gt;=2.5,"B",IF(E59&gt;=1.5,"C","D")))))</f>
        <v/>
      </c>
      <c r="H59" s="51" t="n"/>
      <c r="I59" s="60" t="n"/>
      <c r="J59" s="60" t="n"/>
      <c r="K59" s="60" t="n"/>
      <c r="L59" s="60" t="n"/>
    </row>
    <row r="60">
      <c r="A60" s="60" t="n"/>
      <c r="B60" s="60" t="n"/>
      <c r="C60" s="60" t="n"/>
      <c r="D60" s="60" t="n"/>
      <c r="E60" s="60" t="n"/>
      <c r="F60" s="60" t="n"/>
      <c r="G60" s="60" t="n"/>
      <c r="H60" s="60" t="n"/>
      <c r="I60" s="60" t="n"/>
      <c r="J60" s="60" t="n"/>
      <c r="K60" s="60" t="n"/>
      <c r="L60" s="60" t="n"/>
    </row>
    <row r="61" ht="24" customHeight="1">
      <c r="A61" s="80" t="inlineStr">
        <is>
          <t>▶ 통합관리시트 입력 행 (아래 한 줄 A~G 7개 셀을 통째 복사 → 07a/07b의 G~M에 [값 붙여넣기])</t>
        </is>
      </c>
      <c r="B61" s="104" t="n"/>
      <c r="C61" s="104" t="n"/>
      <c r="D61" s="104" t="n"/>
      <c r="E61" s="104" t="n"/>
      <c r="F61" s="104" t="n"/>
      <c r="G61" s="104" t="n"/>
      <c r="H61" s="105" t="n"/>
      <c r="I61" s="60" t="n"/>
      <c r="J61" s="60" t="n"/>
      <c r="K61" s="60" t="n"/>
      <c r="L61" s="60" t="n"/>
    </row>
    <row r="62" ht="22.05" customHeight="1">
      <c r="A62" s="81" t="inlineStr">
        <is>
          <t>사용법: 아래 한 줄 A~G 선택 → Ctrl+C → 통합관리시트 07a 또는 07b의 해당 사원 행 G열에 [선택하여 붙여넣기 → 값] 실행</t>
        </is>
      </c>
      <c r="B62" s="104" t="n"/>
      <c r="C62" s="104" t="n"/>
      <c r="D62" s="104" t="n"/>
      <c r="E62" s="104" t="n"/>
      <c r="F62" s="104" t="n"/>
      <c r="G62" s="104" t="n"/>
      <c r="H62" s="105" t="n"/>
      <c r="I62" s="60" t="n"/>
      <c r="J62" s="60" t="n"/>
      <c r="K62" s="60" t="n"/>
      <c r="L62" s="60" t="n"/>
    </row>
    <row r="63" ht="24" customHeight="1">
      <c r="A63" s="49" t="inlineStr">
        <is>
          <t>역할(1차)</t>
        </is>
      </c>
      <c r="B63" s="49" t="inlineStr">
        <is>
          <t>역할(2차)</t>
        </is>
      </c>
      <c r="C63" s="49" t="inlineStr">
        <is>
          <t>공통(1차)</t>
        </is>
      </c>
      <c r="D63" s="49" t="inlineStr">
        <is>
          <t>공통(2차)</t>
        </is>
      </c>
      <c r="E63" s="49" t="inlineStr">
        <is>
          <t>직무(1차)</t>
        </is>
      </c>
      <c r="F63" s="49" t="inlineStr">
        <is>
          <t>직무(2차)</t>
        </is>
      </c>
      <c r="G63" s="49" t="inlineStr">
        <is>
          <t>소견</t>
        </is>
      </c>
      <c r="H63" s="105" t="n"/>
      <c r="I63" s="60" t="n"/>
      <c r="J63" s="60" t="n"/>
      <c r="K63" s="60" t="n"/>
      <c r="L63" s="60" t="n"/>
    </row>
    <row r="64" ht="30" customHeight="1">
      <c r="A64" s="52">
        <f>G21</f>
        <v/>
      </c>
      <c r="B64" s="52">
        <f>G22</f>
        <v/>
      </c>
      <c r="C64" s="52">
        <f>H37</f>
        <v/>
      </c>
      <c r="D64" s="52">
        <f>H38</f>
        <v/>
      </c>
      <c r="E64" s="52">
        <f>G58</f>
        <v/>
      </c>
      <c r="F64" s="52">
        <f>G59</f>
        <v/>
      </c>
      <c r="G64" s="108" t="n"/>
      <c r="H64" s="105" t="n"/>
      <c r="I64" s="60" t="n"/>
      <c r="J64" s="60" t="n"/>
      <c r="K64" s="60" t="n"/>
      <c r="L64" s="60" t="n"/>
    </row>
    <row r="65">
      <c r="A65" s="60" t="n"/>
      <c r="B65" s="60" t="n"/>
      <c r="C65" s="60" t="n"/>
      <c r="D65" s="60" t="n"/>
      <c r="E65" s="60" t="n"/>
      <c r="F65" s="60" t="n"/>
      <c r="G65" s="60" t="n"/>
      <c r="H65" s="60" t="n"/>
      <c r="I65" s="60" t="n"/>
      <c r="J65" s="60" t="n"/>
      <c r="K65" s="60" t="n"/>
      <c r="L65" s="60" t="n"/>
    </row>
    <row r="66" ht="24" customHeight="1">
      <c r="A66" s="80" t="inlineStr">
        <is>
          <t>▶ 종합 소견 (강점·개선·육성 방향)</t>
        </is>
      </c>
      <c r="B66" s="104" t="n"/>
      <c r="C66" s="104" t="n"/>
      <c r="D66" s="104" t="n"/>
      <c r="E66" s="104" t="n"/>
      <c r="F66" s="104" t="n"/>
      <c r="G66" s="104" t="n"/>
      <c r="H66" s="105" t="n"/>
      <c r="I66" s="60" t="n"/>
      <c r="J66" s="60" t="n"/>
      <c r="K66" s="60" t="n"/>
      <c r="L66" s="60" t="n"/>
    </row>
    <row r="67" ht="50" customHeight="1">
      <c r="A67" s="49" t="inlineStr">
        <is>
          <t>강점</t>
        </is>
      </c>
      <c r="B67" s="64" t="n"/>
      <c r="C67" s="104" t="n"/>
      <c r="D67" s="104" t="n"/>
      <c r="E67" s="104" t="n"/>
      <c r="F67" s="104" t="n"/>
      <c r="G67" s="104" t="n"/>
      <c r="H67" s="105" t="n"/>
      <c r="I67" s="60" t="n"/>
      <c r="J67" s="60" t="n"/>
      <c r="K67" s="60" t="n"/>
      <c r="L67" s="60" t="n"/>
    </row>
    <row r="68" ht="50" customHeight="1">
      <c r="A68" s="49" t="inlineStr">
        <is>
          <t>개선</t>
        </is>
      </c>
      <c r="B68" s="64" t="n"/>
      <c r="C68" s="104" t="n"/>
      <c r="D68" s="104" t="n"/>
      <c r="E68" s="104" t="n"/>
      <c r="F68" s="104" t="n"/>
      <c r="G68" s="104" t="n"/>
      <c r="H68" s="105" t="n"/>
      <c r="I68" s="60" t="n"/>
      <c r="J68" s="60" t="n"/>
      <c r="K68" s="60" t="n"/>
      <c r="L68" s="60" t="n"/>
    </row>
    <row r="69" ht="50" customHeight="1">
      <c r="A69" s="49" t="inlineStr">
        <is>
          <t>육성 방향</t>
        </is>
      </c>
      <c r="B69" s="64" t="n"/>
      <c r="C69" s="104" t="n"/>
      <c r="D69" s="104" t="n"/>
      <c r="E69" s="104" t="n"/>
      <c r="F69" s="104" t="n"/>
      <c r="G69" s="104" t="n"/>
      <c r="H69" s="105" t="n"/>
      <c r="I69" s="60" t="n"/>
      <c r="J69" s="60" t="n"/>
      <c r="K69" s="60" t="n"/>
      <c r="L69" s="60" t="n"/>
    </row>
    <row r="70">
      <c r="A70" s="60" t="n"/>
      <c r="B70" s="60" t="n"/>
      <c r="C70" s="60" t="n"/>
      <c r="D70" s="60" t="n"/>
      <c r="E70" s="60" t="n"/>
      <c r="F70" s="60" t="n"/>
      <c r="G70" s="60" t="n"/>
      <c r="H70" s="60" t="n"/>
      <c r="I70" s="60" t="n"/>
      <c r="J70" s="60" t="n"/>
      <c r="K70" s="60" t="n"/>
      <c r="L70" s="60" t="n"/>
    </row>
    <row r="71">
      <c r="A71" s="60" t="n"/>
      <c r="B71" s="60" t="n"/>
      <c r="C71" s="60" t="n"/>
      <c r="D71" s="60" t="n"/>
      <c r="E71" s="60" t="n"/>
      <c r="F71" s="60" t="n"/>
      <c r="G71" s="60" t="n"/>
      <c r="H71" s="60" t="n"/>
      <c r="I71" s="60" t="n"/>
      <c r="J71" s="60" t="n"/>
      <c r="K71" s="60" t="n"/>
      <c r="L71" s="60" t="n"/>
    </row>
    <row r="72">
      <c r="A72" s="60" t="n"/>
      <c r="B72" s="60" t="n"/>
      <c r="C72" s="60" t="n"/>
      <c r="D72" s="60" t="n"/>
      <c r="E72" s="60" t="n"/>
      <c r="F72" s="60" t="n"/>
      <c r="G72" s="60" t="n"/>
      <c r="H72" s="60" t="n"/>
      <c r="I72" s="60" t="n"/>
      <c r="J72" s="60" t="n"/>
      <c r="K72" s="60" t="n"/>
      <c r="L72" s="60" t="n"/>
    </row>
  </sheetData>
  <mergeCells count="43">
    <mergeCell ref="G21:H21"/>
    <mergeCell ref="A22:D22"/>
    <mergeCell ref="B68:H68"/>
    <mergeCell ref="A24:H24"/>
    <mergeCell ref="G27:H27"/>
    <mergeCell ref="G36:H36"/>
    <mergeCell ref="A1:H1"/>
    <mergeCell ref="G17:H17"/>
    <mergeCell ref="A61:H61"/>
    <mergeCell ref="A58:D58"/>
    <mergeCell ref="B11:F11"/>
    <mergeCell ref="G19:H19"/>
    <mergeCell ref="A59:D59"/>
    <mergeCell ref="A66:H66"/>
    <mergeCell ref="A37:E37"/>
    <mergeCell ref="G28:H28"/>
    <mergeCell ref="A4:F4"/>
    <mergeCell ref="G18:H18"/>
    <mergeCell ref="G34:H34"/>
    <mergeCell ref="G30:H30"/>
    <mergeCell ref="G15:H15"/>
    <mergeCell ref="A2:H2"/>
    <mergeCell ref="G33:H33"/>
    <mergeCell ref="B67:H67"/>
    <mergeCell ref="G64:H64"/>
    <mergeCell ref="G26:H26"/>
    <mergeCell ref="G35:H35"/>
    <mergeCell ref="G29:H29"/>
    <mergeCell ref="A62:H62"/>
    <mergeCell ref="B14:H14"/>
    <mergeCell ref="G20:H20"/>
    <mergeCell ref="A38:E38"/>
    <mergeCell ref="G16:H16"/>
    <mergeCell ref="G32:H32"/>
    <mergeCell ref="G63:H63"/>
    <mergeCell ref="G25:H25"/>
    <mergeCell ref="A21:D21"/>
    <mergeCell ref="B69:H69"/>
    <mergeCell ref="A13:H13"/>
    <mergeCell ref="G31:H31"/>
    <mergeCell ref="G22:H22"/>
    <mergeCell ref="A7:F7"/>
    <mergeCell ref="A40:H40"/>
  </mergeCells>
  <dataValidations count="4">
    <dataValidation sqref="E42:E56" showDropDown="0" showInputMessage="1" showErrorMessage="0" allowBlank="1" promptTitle="메인 책무" prompt="메인 책무는 O, 비메인은 X" type="list">
      <formula1>"O,X"</formula1>
    </dataValidation>
    <dataValidation sqref="F42:G56" showDropDown="0" showInputMessage="1" showErrorMessage="0" allowBlank="1" promptTitle="평가 등급" prompt="S/A/B/C/D 중 선택" type="list">
      <formula1>"S,A,B,C,D"</formula1>
    </dataValidation>
    <dataValidation sqref="E16:F20 E26:F36" showDropDown="0" showInputMessage="1" showErrorMessage="0" allowBlank="1" type="list">
      <formula1>"S,A,B,C,D"</formula1>
    </dataValidation>
    <dataValidation sqref="B11" showDropDown="0" showInputMessage="1" showErrorMessage="0" allowBlank="1" type="list">
      <formula1>"상반기,하반기"</formula1>
    </dataValidation>
  </dataValidations>
  <pageMargins left="0.75" right="0.75" top="1" bottom="1" header="0.5" footer="0.5"/>
  <pageSetup orientation="portrait" paperSize="9" verticalDpi="0"/>
</worksheet>
</file>

<file path=xl/worksheets/sheet6.xml><?xml version="1.0" encoding="utf-8"?>
<worksheet xmlns="http://schemas.openxmlformats.org/spreadsheetml/2006/main">
  <sheetPr>
    <tabColor rgb="FF70AD47"/>
    <outlinePr summaryBelow="1" summaryRight="1"/>
    <pageSetUpPr/>
  </sheetPr>
  <dimension ref="A1:L72"/>
  <sheetViews>
    <sheetView workbookViewId="0">
      <selection activeCell="A1" sqref="A1"/>
    </sheetView>
  </sheetViews>
  <sheetFormatPr baseColWidth="8" defaultRowHeight="16.9"/>
  <cols>
    <col width="30.5625" customWidth="1" style="58" min="1" max="8"/>
    <col width="11" customWidth="1" style="58" min="9" max="11"/>
    <col width="9" customWidth="1" style="58" min="12" max="16384"/>
  </cols>
  <sheetData>
    <row r="1" ht="30" customHeight="1">
      <c r="A1" s="62" t="inlineStr">
        <is>
          <t>성과평가지 양식 - 기술지원 / G3 (핵심 실무)</t>
        </is>
      </c>
      <c r="B1" s="86" t="n"/>
      <c r="C1" s="86" t="n"/>
      <c r="D1" s="86" t="n"/>
      <c r="E1" s="86" t="n"/>
      <c r="F1" s="86" t="n"/>
      <c r="G1" s="86" t="n"/>
      <c r="H1" s="87" t="n"/>
    </row>
    <row r="2" ht="22.05" customHeight="1">
      <c r="A2" s="73" t="inlineStr">
        <is>
          <t>1·2차 평가자가 등급(S/A/B/C/D)만 입력. 가중치는 통합관리시트에서 자동 처리.</t>
        </is>
      </c>
      <c r="B2" s="86" t="n"/>
      <c r="C2" s="86" t="n"/>
      <c r="D2" s="86" t="n"/>
      <c r="E2" s="86" t="n"/>
      <c r="F2" s="86" t="n"/>
      <c r="G2" s="86" t="n"/>
      <c r="H2" s="87" t="n"/>
    </row>
    <row r="4" ht="24" customHeight="1">
      <c r="A4" s="67" t="inlineStr">
        <is>
          <t>▶ 평가 대상자 정보 (주황셀에 입력)</t>
        </is>
      </c>
      <c r="B4" s="104" t="n"/>
      <c r="C4" s="104" t="n"/>
      <c r="D4" s="104" t="n"/>
      <c r="E4" s="104" t="n"/>
      <c r="F4" s="105" t="n"/>
      <c r="G4" s="63" t="n"/>
      <c r="H4" s="63" t="n"/>
    </row>
    <row r="5" ht="22.05" customHeight="1">
      <c r="A5" s="33" t="inlineStr">
        <is>
          <t>사번</t>
        </is>
      </c>
      <c r="B5" s="34" t="n"/>
      <c r="C5" s="33" t="inlineStr">
        <is>
          <t>성명</t>
        </is>
      </c>
      <c r="D5" s="34" t="n"/>
      <c r="E5" s="33" t="inlineStr">
        <is>
          <t>부서</t>
        </is>
      </c>
      <c r="F5" s="34" t="n"/>
    </row>
    <row r="6" ht="22.05" customHeight="1">
      <c r="A6" s="33" t="inlineStr">
        <is>
          <t>직군</t>
        </is>
      </c>
      <c r="B6" s="34" t="n"/>
      <c r="C6" s="33" t="inlineStr">
        <is>
          <t>직무</t>
        </is>
      </c>
      <c r="D6" s="35" t="inlineStr">
        <is>
          <t>BIM컨설팅</t>
        </is>
      </c>
      <c r="E6" s="33" t="inlineStr">
        <is>
          <t>역할등급(명)</t>
        </is>
      </c>
      <c r="F6" s="35" t="inlineStr">
        <is>
          <t>G6(사업·조직 관리)</t>
        </is>
      </c>
    </row>
    <row r="7" ht="24" customHeight="1">
      <c r="A7" s="67" t="inlineStr">
        <is>
          <t>▶ 평가자 정보 (주황셀에 입력)</t>
        </is>
      </c>
      <c r="B7" s="104" t="n"/>
      <c r="C7" s="104" t="n"/>
      <c r="D7" s="104" t="n"/>
      <c r="E7" s="104" t="n"/>
      <c r="F7" s="105" t="n"/>
      <c r="G7" s="63" t="n"/>
      <c r="H7" s="63" t="n"/>
    </row>
    <row r="8" ht="24" customHeight="1">
      <c r="A8" s="36" t="inlineStr">
        <is>
          <t>구분</t>
        </is>
      </c>
      <c r="B8" s="36" t="inlineStr">
        <is>
          <t>사번</t>
        </is>
      </c>
      <c r="C8" s="36" t="inlineStr">
        <is>
          <t>성명</t>
        </is>
      </c>
      <c r="D8" s="36" t="inlineStr">
        <is>
          <t>직책</t>
        </is>
      </c>
      <c r="E8" s="36" t="inlineStr">
        <is>
          <t>부서</t>
        </is>
      </c>
      <c r="F8" s="36" t="inlineStr">
        <is>
          <t>평가 일자</t>
        </is>
      </c>
      <c r="G8" s="63" t="n"/>
      <c r="H8" s="63" t="n"/>
    </row>
    <row r="9" ht="24" customHeight="1">
      <c r="A9" s="37" t="inlineStr">
        <is>
          <t>1차 평가자 (직속상사)</t>
        </is>
      </c>
      <c r="B9" s="38" t="n"/>
      <c r="C9" s="38" t="n"/>
      <c r="D9" s="38" t="n"/>
      <c r="E9" s="38" t="n"/>
      <c r="F9" s="39" t="n"/>
      <c r="G9" s="63" t="n"/>
      <c r="H9" s="63" t="n"/>
    </row>
    <row r="10" ht="24" customHeight="1">
      <c r="A10" s="37" t="inlineStr">
        <is>
          <t>2차 평가자 (조정자)</t>
        </is>
      </c>
      <c r="B10" s="38" t="n"/>
      <c r="C10" s="38" t="n"/>
      <c r="D10" s="38" t="n"/>
      <c r="E10" s="38" t="n"/>
      <c r="F10" s="39" t="n"/>
      <c r="G10" s="63" t="n"/>
      <c r="H10" s="63" t="n"/>
    </row>
    <row r="11" ht="24" customHeight="1">
      <c r="A11" s="37" t="inlineStr">
        <is>
          <t>평가 차수</t>
        </is>
      </c>
      <c r="B11" s="72" t="inlineStr">
        <is>
          <t>상반기</t>
        </is>
      </c>
      <c r="C11" s="104" t="n"/>
      <c r="D11" s="104" t="n"/>
      <c r="E11" s="104" t="n"/>
      <c r="F11" s="105" t="n"/>
      <c r="G11" s="63" t="n"/>
      <c r="H11" s="63" t="n"/>
    </row>
    <row r="13" ht="26" customHeight="1">
      <c r="A13" s="77" t="inlineStr">
        <is>
          <t>▶ ① 역할평가 — 5개 BARS 항목</t>
        </is>
      </c>
      <c r="B13" s="104" t="n"/>
      <c r="C13" s="104" t="n"/>
      <c r="D13" s="104" t="n"/>
      <c r="E13" s="104" t="n"/>
      <c r="F13" s="104" t="n"/>
      <c r="G13" s="104" t="n"/>
      <c r="H13" s="105" t="n"/>
    </row>
    <row r="14" ht="38" customHeight="1">
      <c r="A14" s="40" t="inlineStr">
        <is>
          <t>역할 정의</t>
        </is>
      </c>
      <c r="B14" s="75" t="inlineStr">
        <is>
          <t>전문 지식과 기술로 핵심 과업을 기획·수행하며 산출물 품질·일정 준수 책임.</t>
        </is>
      </c>
      <c r="C14" s="104" t="n"/>
      <c r="D14" s="104" t="n"/>
      <c r="E14" s="104" t="n"/>
      <c r="F14" s="104" t="n"/>
      <c r="G14" s="104" t="n"/>
      <c r="H14" s="105" t="n"/>
    </row>
    <row r="15" ht="28.05" customHeight="1">
      <c r="A15" s="68" t="inlineStr">
        <is>
          <t>No.</t>
        </is>
      </c>
      <c r="B15" s="68" t="inlineStr">
        <is>
          <t>평가항목</t>
        </is>
      </c>
      <c r="C15" s="68" t="inlineStr">
        <is>
          <t>평가 기준</t>
        </is>
      </c>
      <c r="D15" s="68" t="inlineStr">
        <is>
          <t>S/A/B/C/D 등급 기준</t>
        </is>
      </c>
      <c r="E15" s="68" t="inlineStr">
        <is>
          <t>1차 평가자</t>
        </is>
      </c>
      <c r="F15" s="68" t="inlineStr">
        <is>
          <t>2차 평가자</t>
        </is>
      </c>
      <c r="G15" s="68" t="inlineStr">
        <is>
          <t>평가 근거 및 피드백</t>
        </is>
      </c>
      <c r="H15" s="105" t="n"/>
    </row>
    <row r="16" ht="90" customHeight="1">
      <c r="A16" s="40" t="inlineStr">
        <is>
          <t>R-1</t>
        </is>
      </c>
      <c r="B16" s="55" t="inlineStr">
        <is>
          <t>책임범위 이행도</t>
        </is>
      </c>
      <c r="C16" s="56" t="inlineStr">
        <is>
          <t>역할등급에 부합하는 책임 범위 내 업무 수행</t>
        </is>
      </c>
      <c r="D16" s="53" t="inlineStr">
        <is>
          <t>S  기대 현저히 초과
A  기대 상회
B  기대 부합
C  부분 미흡
D  전반 미흡</t>
        </is>
      </c>
      <c r="E16" s="42" t="n"/>
      <c r="F16" s="42" t="n"/>
      <c r="G16" s="106" t="n"/>
      <c r="H16" s="105" t="n"/>
    </row>
    <row r="17" ht="90" customHeight="1">
      <c r="A17" s="40" t="inlineStr">
        <is>
          <t>R-2</t>
        </is>
      </c>
      <c r="B17" s="55" t="inlineStr">
        <is>
          <t>의사결정 적절성</t>
        </is>
      </c>
      <c r="C17" s="56" t="inlineStr">
        <is>
          <t>권한 수준 내 시의적절·합리적 의사결정</t>
        </is>
      </c>
      <c r="D17" s="53" t="inlineStr">
        <is>
          <t>S  기대 현저히 초과
A  기대 상회
B  기대 부합
C  부분 미흡
D  전반 미흡</t>
        </is>
      </c>
      <c r="E17" s="42" t="n"/>
      <c r="F17" s="42" t="n"/>
      <c r="G17" s="106" t="n"/>
      <c r="H17" s="105" t="n"/>
    </row>
    <row r="18" ht="90" customHeight="1">
      <c r="A18" s="40" t="inlineStr">
        <is>
          <t>R-3</t>
        </is>
      </c>
      <c r="B18" s="55" t="inlineStr">
        <is>
          <t>성과 기여도</t>
        </is>
      </c>
      <c r="C18" s="56" t="inlineStr">
        <is>
          <t>조직·프로젝트 목표 달성에 정량적 기여</t>
        </is>
      </c>
      <c r="D18" s="53" t="inlineStr">
        <is>
          <t>S  기대 현저히 초과
A  기대 상회
B  기대 부합
C  부분 미흡
D  전반 미흡</t>
        </is>
      </c>
      <c r="E18" s="42" t="n"/>
      <c r="F18" s="42" t="n"/>
      <c r="G18" s="106" t="n"/>
      <c r="H18" s="105" t="n"/>
    </row>
    <row r="19" ht="90" customHeight="1">
      <c r="A19" s="40" t="inlineStr">
        <is>
          <t>R-4</t>
        </is>
      </c>
      <c r="B19" s="55" t="inlineStr">
        <is>
          <t>조직 후배 코칭</t>
        </is>
      </c>
      <c r="C19" s="56" t="inlineStr">
        <is>
          <t>상·하위 역할과 효과적 협업 및 후배 코칭</t>
        </is>
      </c>
      <c r="D19" s="53" t="inlineStr">
        <is>
          <t>S  기대 현저히 초과
A  기대 상회
B  기대 부합
C  부분 미흡
D  전반 미흡</t>
        </is>
      </c>
      <c r="E19" s="42" t="n"/>
      <c r="F19" s="42" t="n"/>
      <c r="G19" s="106" t="n"/>
      <c r="H19" s="105" t="n"/>
    </row>
    <row r="20" ht="90" customHeight="1">
      <c r="A20" s="40" t="inlineStr">
        <is>
          <t>R-5</t>
        </is>
      </c>
      <c r="B20" s="55" t="inlineStr">
        <is>
          <t>산출물 완성도</t>
        </is>
      </c>
      <c r="C20" s="56" t="inlineStr">
        <is>
          <t>산출물 품질과 기한 준수</t>
        </is>
      </c>
      <c r="D20" s="53" t="inlineStr">
        <is>
          <t>S  기대 현저히 초과
A  기대 상회
B  기대 부합
C  부분 미흡
D  전반 미흡</t>
        </is>
      </c>
      <c r="E20" s="42" t="n"/>
      <c r="F20" s="42" t="n"/>
      <c r="G20" s="106" t="n"/>
      <c r="H20" s="105" t="n"/>
    </row>
    <row r="21" ht="24" customHeight="1">
      <c r="A21" s="79" t="inlineStr">
        <is>
          <t>1차 평가자 역할 종합 (5개 평균)</t>
        </is>
      </c>
      <c r="B21" s="104" t="n"/>
      <c r="C21" s="104" t="n"/>
      <c r="D21" s="105" t="n"/>
      <c r="E21" s="43">
        <f>IFERROR((IF(E16="S",5,IF(E16="A",4,IF(E16="B",3,IF(E16="C",2,IF(E16="D",1,0)))))+IF(E17="S",5,IF(E17="A",4,IF(E17="B",3,IF(E17="C",2,IF(E17="D",1,0)))))+IF(E18="S",5,IF(E18="A",4,IF(E18="B",3,IF(E18="C",2,IF(E18="D",1,0)))))+IF(E19="S",5,IF(E19="A",4,IF(E19="B",3,IF(E19="C",2,IF(E19="D",1,0)))))+IF(E20="S",5,IF(E20="A",4,IF(E20="B",3,IF(E20="C",2,IF(E20="D",1,0))))))/5,"")</f>
        <v/>
      </c>
      <c r="F21" s="44" t="inlineStr">
        <is>
          <t>→ 등급</t>
        </is>
      </c>
      <c r="G21" s="71">
        <f>IF(OR(E21="",E21&lt;0.5),"",IF(E21&gt;=4.5,"S",IF(E21&gt;=3.5,"A",IF(E21&gt;=2.5,"B",IF(E21&gt;=1.5,"C","D")))))</f>
        <v/>
      </c>
      <c r="H21" s="105" t="n"/>
    </row>
    <row r="22" ht="24" customHeight="1">
      <c r="A22" s="79" t="inlineStr">
        <is>
          <t>2차 평가자 역할 종합 (5개 평균)</t>
        </is>
      </c>
      <c r="B22" s="104" t="n"/>
      <c r="C22" s="104" t="n"/>
      <c r="D22" s="105" t="n"/>
      <c r="E22" s="43">
        <f>IFERROR((IF(F16="S",5,IF(F16="A",4,IF(F16="B",3,IF(F16="C",2,IF(F16="D",1,0)))))+IF(F17="S",5,IF(F17="A",4,IF(F17="B",3,IF(F17="C",2,IF(F17="D",1,0)))))+IF(F18="S",5,IF(F18="A",4,IF(F18="B",3,IF(F18="C",2,IF(F18="D",1,0)))))+IF(F19="S",5,IF(F19="A",4,IF(F19="B",3,IF(F19="C",2,IF(F19="D",1,0)))))+IF(F20="S",5,IF(F20="A",4,IF(F20="B",3,IF(F20="C",2,IF(F20="D",1,0))))))/5,"")</f>
        <v/>
      </c>
      <c r="F22" s="44" t="inlineStr">
        <is>
          <t>→ 등급</t>
        </is>
      </c>
      <c r="G22" s="71">
        <f>IF(OR(E22="",E22&lt;0.5),"",IF(E22&gt;=4.5,"S",IF(E22&gt;=3.5,"A",IF(E22&gt;=2.5,"B",IF(E22&gt;=1.5,"C","D")))))</f>
        <v/>
      </c>
      <c r="H22" s="105" t="n"/>
    </row>
    <row r="24" ht="26" customHeight="1">
      <c r="A24" s="78" t="inlineStr">
        <is>
          <t>▶ ② 공통역량평가 — 11개 (★ S/A/B/C/D 평가기준 포함)</t>
        </is>
      </c>
      <c r="B24" s="104" t="n"/>
      <c r="C24" s="104" t="n"/>
      <c r="D24" s="104" t="n"/>
      <c r="E24" s="104" t="n"/>
      <c r="F24" s="104" t="n"/>
      <c r="G24" s="104" t="n"/>
      <c r="H24" s="105" t="n"/>
    </row>
    <row r="25" ht="28.05" customHeight="1">
      <c r="A25" s="68" t="inlineStr">
        <is>
          <t>No.</t>
        </is>
      </c>
      <c r="B25" s="68" t="inlineStr">
        <is>
          <t>핵심 역량</t>
        </is>
      </c>
      <c r="C25" s="68" t="inlineStr">
        <is>
          <t>평가 기준</t>
        </is>
      </c>
      <c r="D25" s="68" t="inlineStr">
        <is>
          <t>S/A/B/C/D 등급 기준</t>
        </is>
      </c>
      <c r="E25" s="68" t="inlineStr">
        <is>
          <t>1차</t>
        </is>
      </c>
      <c r="F25" s="68" t="inlineStr">
        <is>
          <t>2차</t>
        </is>
      </c>
      <c r="G25" s="68" t="inlineStr">
        <is>
          <t>평가 근거 및 피드백</t>
        </is>
      </c>
      <c r="H25" s="105" t="n"/>
    </row>
    <row r="26" ht="100.05" customHeight="1">
      <c r="A26" s="45" t="inlineStr">
        <is>
          <t>C-1</t>
        </is>
      </c>
      <c r="B26" s="55" t="inlineStr">
        <is>
          <t>직무 전문성</t>
        </is>
      </c>
      <c r="C26" s="56" t="inlineStr">
        <is>
          <t>직무에 필요한 전문 지식 및 기술 보유, 실무 적용</t>
        </is>
      </c>
      <c r="D26" s="53" t="inlineStr">
        <is>
          <t>S  고급 지식과 숙련도, 타 부서 교육 가능
A  최신 트렌드 반영, 실무에 적절 활용
B  일반 수준 이해 및 적용
C  일부 기술 이해, 개선 필요
D  지식 부족, 실무 반영 어려움</t>
        </is>
      </c>
      <c r="E26" s="42" t="n"/>
      <c r="F26" s="42" t="n"/>
      <c r="G26" s="106" t="n"/>
      <c r="H26" s="105" t="n"/>
    </row>
    <row r="27" ht="100.05" customHeight="1">
      <c r="A27" s="45" t="inlineStr">
        <is>
          <t>C-2</t>
        </is>
      </c>
      <c r="B27" s="55" t="inlineStr">
        <is>
          <t>분석력</t>
        </is>
      </c>
      <c r="C27" s="56" t="inlineStr">
        <is>
          <t>데이터·수치 기반 사고로 업무 효율 향상</t>
        </is>
      </c>
      <c r="D27" s="53" t="inlineStr">
        <is>
          <t>S  데이터 기반 전략 도출 가능
A  분석 후 결과 활용 능숙
B  기본적 분석 및 간단한 적용 가능
C  기본 해석은 가능하나 활용 미흡
D  자료 해석 불가, 의사결정 어려움</t>
        </is>
      </c>
      <c r="E27" s="42" t="n"/>
      <c r="F27" s="42" t="n"/>
      <c r="G27" s="106" t="n"/>
      <c r="H27" s="105" t="n"/>
    </row>
    <row r="28" ht="100.05" customHeight="1">
      <c r="A28" s="45" t="inlineStr">
        <is>
          <t>C-3</t>
        </is>
      </c>
      <c r="B28" s="55" t="inlineStr">
        <is>
          <t>기획/실행력</t>
        </is>
      </c>
      <c r="C28" s="56" t="inlineStr">
        <is>
          <t>목표 설정·계획 수립·체계적 실행 능력</t>
        </is>
      </c>
      <c r="D28" s="53" t="inlineStr">
        <is>
          <t>S  스스로 목표 수립 및 조직 리딩 가능
A  계획 수립 능력 우수 및 실행 일관성
B  일반적 목표 수립 및 실현 가능
C  실행 계획 일부 있으나 체계 부족
D  목표 설정 부정확, 실행력 부족</t>
        </is>
      </c>
      <c r="E28" s="42" t="n"/>
      <c r="F28" s="42" t="n"/>
      <c r="G28" s="106" t="n"/>
      <c r="H28" s="105" t="n"/>
    </row>
    <row r="29" ht="100.05" customHeight="1">
      <c r="A29" s="45" t="inlineStr">
        <is>
          <t>C-4</t>
        </is>
      </c>
      <c r="B29" s="55" t="inlineStr">
        <is>
          <t>자원·시간 관리</t>
        </is>
      </c>
      <c r="C29" s="56" t="inlineStr">
        <is>
          <t>업무 우선순위 설정 및 시간 내 효과적 완수</t>
        </is>
      </c>
      <c r="D29" s="53" t="inlineStr">
        <is>
          <t>S  다중 과제 효율 배분, 시간관리 탁월
A  업무 효율성 높고 우선순위 명확
B  일반 수준 일정 조율 가능
C  마감 어려움, 우선순위 혼란
D  업무 지연 잦고 계획 없음</t>
        </is>
      </c>
      <c r="E29" s="42" t="n"/>
      <c r="F29" s="42" t="n"/>
      <c r="G29" s="106" t="n"/>
      <c r="H29" s="105" t="n"/>
    </row>
    <row r="30" ht="100.05" customHeight="1">
      <c r="A30" s="45" t="inlineStr">
        <is>
          <t>C-5</t>
        </is>
      </c>
      <c r="B30" s="55" t="inlineStr">
        <is>
          <t>협업 능력</t>
        </is>
      </c>
      <c r="C30" s="56" t="inlineStr">
        <is>
          <t>팀·타 부서와의 협업 태도, 정보 공유</t>
        </is>
      </c>
      <c r="D30" s="53" t="inlineStr">
        <is>
          <t>S  타 부서와의 시너지 창출
A  정보 공유, 원활한 협업
B  공동목표 수용 및 일부 협력
C  소극적 협조, 갈등 유발
D  협력 거부, 독단적 태도</t>
        </is>
      </c>
      <c r="E30" s="42" t="n"/>
      <c r="F30" s="42" t="n"/>
      <c r="G30" s="106" t="n"/>
      <c r="H30" s="105" t="n"/>
    </row>
    <row r="31" ht="100.05" customHeight="1">
      <c r="A31" s="45" t="inlineStr">
        <is>
          <t>C-6</t>
        </is>
      </c>
      <c r="B31" s="55" t="inlineStr">
        <is>
          <t>소통 능력</t>
        </is>
      </c>
      <c r="C31" s="56" t="inlineStr">
        <is>
          <t>명확한 의사 전달·경청·효과적 커뮤니케이션</t>
        </is>
      </c>
      <c r="D31" s="53" t="inlineStr">
        <is>
          <t>S  갈등 중재 및 공감능력 우수
A  정확한 의사 전달 및 경청
B  피드백 수용 및 전달 가능
C  소통 시 불편 유발
D  일방적 주장, 피드백 거부</t>
        </is>
      </c>
      <c r="E31" s="42" t="n"/>
      <c r="F31" s="42" t="n"/>
      <c r="G31" s="106" t="n"/>
      <c r="H31" s="105" t="n"/>
    </row>
    <row r="32" ht="100.05" customHeight="1">
      <c r="A32" s="45" t="inlineStr">
        <is>
          <t>C-7</t>
        </is>
      </c>
      <c r="B32" s="55" t="inlineStr">
        <is>
          <t>윤리/책임감</t>
        </is>
      </c>
      <c r="C32" s="56" t="inlineStr">
        <is>
          <t>공정·투명한 절차, 책임감 있는 업무</t>
        </is>
      </c>
      <c r="D32" s="53" t="inlineStr">
        <is>
          <t>S  모범적 자세, 조직문화 선도
A  조직 규범 내 성실 수행
B  기본 책임 수행
C  책임 회피 경향
D  무책임, 규정 무시</t>
        </is>
      </c>
      <c r="E32" s="42" t="n"/>
      <c r="F32" s="42" t="n"/>
      <c r="G32" s="106" t="n"/>
      <c r="H32" s="105" t="n"/>
    </row>
    <row r="33" ht="100.05" customHeight="1">
      <c r="A33" s="45" t="inlineStr">
        <is>
          <t>C-8</t>
        </is>
      </c>
      <c r="B33" s="55" t="inlineStr">
        <is>
          <t>업무 태도</t>
        </is>
      </c>
      <c r="C33" s="56" t="inlineStr">
        <is>
          <t>성실·주도적 태도, 변화 유연성</t>
        </is>
      </c>
      <c r="D33" s="53" t="inlineStr">
        <is>
          <t>S  문제 해결 중심의 선도적 자세
A  책임감, 적극적 태도
B  일정 주도성 보임
C  소극적, 피동적 태도
D  수동적, 지시 없이는 행동 안 함</t>
        </is>
      </c>
      <c r="E33" s="42" t="n"/>
      <c r="F33" s="42" t="n"/>
      <c r="G33" s="106" t="n"/>
      <c r="H33" s="105" t="n"/>
    </row>
    <row r="34" ht="100.05" customHeight="1">
      <c r="A34" s="45" t="inlineStr">
        <is>
          <t>C-9</t>
        </is>
      </c>
      <c r="B34" s="55" t="inlineStr">
        <is>
          <t>혁신 역량</t>
        </is>
      </c>
      <c r="C34" s="56" t="inlineStr">
        <is>
          <t>AI·자동화 등 최신 기술의 실무 접목</t>
        </is>
      </c>
      <c r="D34" s="53" t="inlineStr">
        <is>
          <t>S  혁신적 아이디어 제시 및 실현
A  적극 활용하여 효율성 제고
B  일상적 업무에 도구 활용
C  부분적 기능 사용
D  기술 활용 거의 없음</t>
        </is>
      </c>
      <c r="E34" s="42" t="n"/>
      <c r="F34" s="42" t="n"/>
      <c r="G34" s="106" t="n"/>
      <c r="H34" s="105" t="n"/>
    </row>
    <row r="35" ht="100.05" customHeight="1">
      <c r="A35" s="45" t="inlineStr">
        <is>
          <t>C-10</t>
        </is>
      </c>
      <c r="B35" s="55" t="inlineStr">
        <is>
          <t>프로세스 개선</t>
        </is>
      </c>
      <c r="C35" s="56" t="inlineStr">
        <is>
          <t>업무 절차 분석 및 비효율 개선</t>
        </is>
      </c>
      <c r="D35" s="53" t="inlineStr">
        <is>
          <t>S  제안 실행까지 주도함
A  능동적 개선 제안
B  개선의 필요성 인식
C  타인이 해야 할 일로 인식
D  개선 의지 없음</t>
        </is>
      </c>
      <c r="E35" s="42" t="n"/>
      <c r="F35" s="42" t="n"/>
      <c r="G35" s="106" t="n"/>
      <c r="H35" s="105" t="n"/>
    </row>
    <row r="36" ht="100.05" customHeight="1">
      <c r="A36" s="45" t="inlineStr">
        <is>
          <t>C-11</t>
        </is>
      </c>
      <c r="B36" s="55" t="inlineStr">
        <is>
          <t>지속가능 기여</t>
        </is>
      </c>
      <c r="C36" s="56" t="inlineStr">
        <is>
          <t>장기적 성과 향상·조직 기여</t>
        </is>
      </c>
      <c r="D36" s="53" t="inlineStr">
        <is>
          <t>S  성과 리딩 및 지속 성과 도출
A  개인 및 팀 성과 기여
B  기본 수준의 성과
C  성과 불명확, 기여 낮음
D  성과 없음, 소극적 태도</t>
        </is>
      </c>
      <c r="E36" s="42" t="n"/>
      <c r="F36" s="42" t="n"/>
      <c r="G36" s="106" t="n"/>
      <c r="H36" s="105" t="n"/>
    </row>
    <row r="37" ht="24" customHeight="1">
      <c r="A37" s="76" t="inlineStr">
        <is>
          <t>1차 평가자 공통역량 종합 (11개 단순 평균)</t>
        </is>
      </c>
      <c r="B37" s="104" t="n"/>
      <c r="C37" s="104" t="n"/>
      <c r="D37" s="104" t="n"/>
      <c r="E37" s="105" t="n"/>
      <c r="F37" s="43">
        <f>IFERROR((IF(F26="S",5,IF(F26="A",4,IF(F26="B",3,IF(F26="C",2,IF(F26="D",1,0)))))+IF(F27="S",5,IF(F27="A",4,IF(F27="B",3,IF(F27="C",2,IF(F27="D",1,0)))))+IF(F28="S",5,IF(F28="A",4,IF(F28="B",3,IF(F28="C",2,IF(F28="D",1,0)))))+IF(F29="S",5,IF(F29="A",4,IF(F29="B",3,IF(F29="C",2,IF(F29="D",1,0)))))+IF(F30="S",5,IF(F30="A",4,IF(F30="B",3,IF(F30="C",2,IF(F30="D",1,0)))))+IF(F31="S",5,IF(F31="A",4,IF(F31="B",3,IF(F31="C",2,IF(F31="D",1,0)))))+IF(F32="S",5,IF(F32="A",4,IF(F32="B",3,IF(F32="C",2,IF(F32="D",1,0)))))+IF(F33="S",5,IF(F33="A",4,IF(F33="B",3,IF(F33="C",2,IF(F33="D",1,0)))))+IF(F34="S",5,IF(F34="A",4,IF(F34="B",3,IF(F34="C",2,IF(F34="D",1,0)))))+IF(F35="S",5,IF(F35="A",4,IF(F35="B",3,IF(F35="C",2,IF(F35="D",1,0)))))+IF(F36="S",5,IF(F36="A",4,IF(F36="B",3,IF(F36="C",2,IF(F36="D",1,0))))))/11,"")</f>
        <v/>
      </c>
      <c r="G37" s="44" t="inlineStr">
        <is>
          <t>→ 등급</t>
        </is>
      </c>
      <c r="H37" s="71">
        <f>IF(OR(F37="",F37&lt;0.5),"",IF(F37&gt;=4.5,"S",IF(F37&gt;=3.5,"A",IF(F37&gt;=2.5,"B",IF(F37&gt;=1.5,"C","D")))))</f>
        <v/>
      </c>
    </row>
    <row r="38" ht="24" customHeight="1">
      <c r="A38" s="76" t="inlineStr">
        <is>
          <t>2차 평가자 공통역량 종합 (11개 단순 평균)</t>
        </is>
      </c>
      <c r="B38" s="104" t="n"/>
      <c r="C38" s="104" t="n"/>
      <c r="D38" s="104" t="n"/>
      <c r="E38" s="105" t="n"/>
      <c r="F38" s="43">
        <f>IFERROR((IF(G26="S",5,IF(G26="A",4,IF(G26="B",3,IF(G26="C",2,IF(G26="D",1,0)))))+IF(G27="S",5,IF(G27="A",4,IF(G27="B",3,IF(G27="C",2,IF(G27="D",1,0)))))+IF(G28="S",5,IF(G28="A",4,IF(G28="B",3,IF(G28="C",2,IF(G28="D",1,0)))))+IF(G29="S",5,IF(G29="A",4,IF(G29="B",3,IF(G29="C",2,IF(G29="D",1,0)))))+IF(G30="S",5,IF(G30="A",4,IF(G30="B",3,IF(G30="C",2,IF(G30="D",1,0)))))+IF(G31="S",5,IF(G31="A",4,IF(G31="B",3,IF(G31="C",2,IF(G31="D",1,0)))))+IF(G32="S",5,IF(G32="A",4,IF(G32="B",3,IF(G32="C",2,IF(G32="D",1,0)))))+IF(G33="S",5,IF(G33="A",4,IF(G33="B",3,IF(G33="C",2,IF(G33="D",1,0)))))+IF(G34="S",5,IF(G34="A",4,IF(G34="B",3,IF(G34="C",2,IF(G34="D",1,0)))))+IF(G35="S",5,IF(G35="A",4,IF(G35="B",3,IF(G35="C",2,IF(G35="D",1,0)))))+IF(G36="S",5,IF(G36="A",4,IF(G36="B",3,IF(G36="C",2,IF(G36="D",1,0))))))/11,"")</f>
        <v/>
      </c>
      <c r="G38" s="44" t="inlineStr">
        <is>
          <t>→ 등급</t>
        </is>
      </c>
      <c r="H38" s="71">
        <f>IF(OR(F38="",F38&lt;0.5),"",IF(F38&gt;=4.5,"S",IF(F38&gt;=3.5,"A",IF(F38&gt;=2.5,"B",IF(F38&gt;=1.5,"C","D")))))</f>
        <v/>
      </c>
    </row>
    <row r="40" ht="28.05" customHeight="1">
      <c r="A40" s="66" t="inlineStr">
        <is>
          <t>▶ ③ 직무역량평가 — 메인 책무(E열 O 표시)만 1·2차 평가자 등급 입력</t>
        </is>
      </c>
      <c r="B40" s="104" t="n"/>
      <c r="C40" s="104" t="n"/>
      <c r="D40" s="104" t="n"/>
      <c r="E40" s="104" t="n"/>
      <c r="F40" s="104" t="n"/>
      <c r="G40" s="104" t="n"/>
      <c r="H40" s="105" t="n"/>
      <c r="I40" s="60" t="n"/>
      <c r="J40" s="60" t="n"/>
      <c r="K40" s="60" t="n"/>
      <c r="L40" s="60" t="n"/>
    </row>
    <row r="41" ht="32" customHeight="1">
      <c r="A41" s="68" t="inlineStr">
        <is>
          <t>No.</t>
        </is>
      </c>
      <c r="B41" s="68" t="inlineStr">
        <is>
          <t>전문영역</t>
        </is>
      </c>
      <c r="C41" s="68" t="inlineStr">
        <is>
          <t>핵심 책무</t>
        </is>
      </c>
      <c r="D41" s="68" t="inlineStr">
        <is>
          <t>S/A/B/C/D 등급 기준</t>
        </is>
      </c>
      <c r="E41" s="68" t="inlineStr">
        <is>
          <t>메인</t>
        </is>
      </c>
      <c r="F41" s="68" t="inlineStr">
        <is>
          <t>1차</t>
        </is>
      </c>
      <c r="G41" s="68" t="inlineStr">
        <is>
          <t>2차</t>
        </is>
      </c>
      <c r="H41" s="68" t="inlineStr">
        <is>
          <t>평가 근거 및 피드백</t>
        </is>
      </c>
      <c r="I41" s="60" t="n"/>
      <c r="J41" s="60" t="n"/>
      <c r="K41" s="60" t="n"/>
      <c r="L41" s="60" t="n"/>
    </row>
    <row r="42" ht="85.05" customHeight="1">
      <c r="A42" s="33" t="inlineStr">
        <is>
          <t>J-1</t>
        </is>
      </c>
      <c r="B42" s="54" t="inlineStr">
        <is>
          <t>기술지원</t>
        </is>
      </c>
      <c r="C42" s="54" t="inlineStr">
        <is>
          <t>고객 문의 대응</t>
        </is>
      </c>
      <c r="D42" s="53" t="inlineStr">
        <is>
          <t>S  기대 현저히 초과
A  기대 상회
B  기대 부합
C  부분 미흡
D  전반 미흡</t>
        </is>
      </c>
      <c r="E42" s="42" t="n"/>
      <c r="F42" s="42" t="n"/>
      <c r="G42" s="107" t="n"/>
      <c r="H42" s="47">
        <f>IF(E42="O",IFERROR(IF(AND(F42&lt;&gt;"",G42&lt;&gt;""),(IFERROR(IF(F42="S",5,IF(F42="A",4,IF(F42="B",3,IF(F42="C",2,IF(F42="D",1,0))))),0)+IFERROR(IF(G42="S",5,IF(G42="A",4,IF(G42="B",3,IF(G42="C",2,IF(G42="D",1,0))))),0))/2,IF(F42&lt;&gt;"",IFERROR(IF(F42="S",5,IF(F42="A",4,IF(F42="B",3,IF(F42="C",2,IF(F42="D",1,0))))),0),IF(G42&lt;&gt;"",IFERROR(IF(G42="S",5,IF(G42="A",4,IF(G42="B",3,IF(G42="C",2,IF(G42="D",1,0))))),0),""))),""),"")</f>
        <v/>
      </c>
      <c r="I42" s="60" t="n"/>
      <c r="J42" s="60" t="n"/>
      <c r="K42" s="60" t="n"/>
      <c r="L42" s="60" t="n"/>
    </row>
    <row r="43" ht="85.05" customHeight="1">
      <c r="A43" s="33" t="inlineStr">
        <is>
          <t>J-2</t>
        </is>
      </c>
      <c r="B43" s="54" t="inlineStr">
        <is>
          <t>기술지원</t>
        </is>
      </c>
      <c r="C43" s="54" t="inlineStr">
        <is>
          <t>원격·현장 지원</t>
        </is>
      </c>
      <c r="D43" s="53" t="inlineStr">
        <is>
          <t>S  기대 현저히 초과
A  기대 상회
B  기대 부합
C  부분 미흡
D  전반 미흡</t>
        </is>
      </c>
      <c r="E43" s="42" t="n"/>
      <c r="F43" s="42" t="n"/>
      <c r="G43" s="107" t="n"/>
      <c r="H43" s="47">
        <f>IF(E43="O",IFERROR(IF(AND(F43&lt;&gt;"",G43&lt;&gt;""),(IFERROR(IF(F43="S",5,IF(F43="A",4,IF(F43="B",3,IF(F43="C",2,IF(F43="D",1,0))))),0)+IFERROR(IF(G43="S",5,IF(G43="A",4,IF(G43="B",3,IF(G43="C",2,IF(G43="D",1,0))))),0))/2,IF(F43&lt;&gt;"",IFERROR(IF(F43="S",5,IF(F43="A",4,IF(F43="B",3,IF(F43="C",2,IF(F43="D",1,0))))),0),IF(G43&lt;&gt;"",IFERROR(IF(G43="S",5,IF(G43="A",4,IF(G43="B",3,IF(G43="C",2,IF(G43="D",1,0))))),0),""))),""),"")</f>
        <v/>
      </c>
      <c r="I43" s="60" t="n"/>
      <c r="J43" s="60" t="n"/>
      <c r="K43" s="60" t="n"/>
      <c r="L43" s="60" t="n"/>
    </row>
    <row r="44" ht="85.05" customHeight="1">
      <c r="A44" s="33" t="inlineStr">
        <is>
          <t>J-3</t>
        </is>
      </c>
      <c r="B44" s="54" t="inlineStr">
        <is>
          <t>기술지원</t>
        </is>
      </c>
      <c r="C44" s="54" t="inlineStr">
        <is>
          <t>기술 문서 작성</t>
        </is>
      </c>
      <c r="D44" s="53" t="inlineStr">
        <is>
          <t>S  기대 현저히 초과
A  기대 상회
B  기대 부합
C  부분 미흡
D  전반 미흡</t>
        </is>
      </c>
      <c r="E44" s="42" t="n"/>
      <c r="F44" s="42" t="n"/>
      <c r="G44" s="107" t="n"/>
      <c r="H44" s="47">
        <f>IF(E44="O",IFERROR(IF(AND(F44&lt;&gt;"",G44&lt;&gt;""),(IFERROR(IF(F44="S",5,IF(F44="A",4,IF(F44="B",3,IF(F44="C",2,IF(F44="D",1,0))))),0)+IFERROR(IF(G44="S",5,IF(G44="A",4,IF(G44="B",3,IF(G44="C",2,IF(G44="D",1,0))))),0))/2,IF(F44&lt;&gt;"",IFERROR(IF(F44="S",5,IF(F44="A",4,IF(F44="B",3,IF(F44="C",2,IF(F44="D",1,0))))),0),IF(G44&lt;&gt;"",IFERROR(IF(G44="S",5,IF(G44="A",4,IF(G44="B",3,IF(G44="C",2,IF(G44="D",1,0))))),0),""))),""),"")</f>
        <v/>
      </c>
      <c r="I44" s="60" t="n"/>
      <c r="J44" s="60" t="n"/>
      <c r="K44" s="60" t="n"/>
      <c r="L44" s="60" t="n"/>
    </row>
    <row r="45" ht="85.05" customHeight="1">
      <c r="A45" s="33" t="inlineStr">
        <is>
          <t>J-4</t>
        </is>
      </c>
      <c r="B45" s="54" t="inlineStr">
        <is>
          <t>품질개선</t>
        </is>
      </c>
      <c r="C45" s="54" t="inlineStr">
        <is>
          <t>버그 리포트 및 피드백</t>
        </is>
      </c>
      <c r="D45" s="53" t="inlineStr">
        <is>
          <t>S  기대 현저히 초과
A  기대 상회
B  기대 부합
C  부분 미흡
D  전반 미흡</t>
        </is>
      </c>
      <c r="E45" s="42" t="n"/>
      <c r="F45" s="42" t="n"/>
      <c r="G45" s="107" t="n"/>
      <c r="H45" s="47">
        <f>IF(E45="O",IFERROR(IF(AND(F45&lt;&gt;"",G45&lt;&gt;""),(IFERROR(IF(F45="S",5,IF(F45="A",4,IF(F45="B",3,IF(F45="C",2,IF(F45="D",1,0))))),0)+IFERROR(IF(G45="S",5,IF(G45="A",4,IF(G45="B",3,IF(G45="C",2,IF(G45="D",1,0))))),0))/2,IF(F45&lt;&gt;"",IFERROR(IF(F45="S",5,IF(F45="A",4,IF(F45="B",3,IF(F45="C",2,IF(F45="D",1,0))))),0),IF(G45&lt;&gt;"",IFERROR(IF(G45="S",5,IF(G45="A",4,IF(G45="B",3,IF(G45="C",2,IF(G45="D",1,0))))),0),""))),""),"")</f>
        <v/>
      </c>
      <c r="I45" s="60" t="n"/>
      <c r="J45" s="60" t="n"/>
      <c r="K45" s="60" t="n"/>
      <c r="L45" s="60" t="n"/>
    </row>
    <row r="46" ht="85.05" customHeight="1">
      <c r="A46" s="33" t="inlineStr">
        <is>
          <t>J-5</t>
        </is>
      </c>
      <c r="B46" s="54" t="inlineStr">
        <is>
          <t>품질개선</t>
        </is>
      </c>
      <c r="C46" s="54" t="inlineStr">
        <is>
          <t>품질 모니터링</t>
        </is>
      </c>
      <c r="D46" s="53" t="inlineStr">
        <is>
          <t>S  기대 현저히 초과
A  기대 상회
B  기대 부합
C  부분 미흡
D  전반 미흡</t>
        </is>
      </c>
      <c r="E46" s="42" t="n"/>
      <c r="F46" s="42" t="n"/>
      <c r="G46" s="107" t="n"/>
      <c r="H46" s="47">
        <f>IF(E46="O",IFERROR(IF(AND(F46&lt;&gt;"",G46&lt;&gt;""),(IFERROR(IF(F46="S",5,IF(F46="A",4,IF(F46="B",3,IF(F46="C",2,IF(F46="D",1,0))))),0)+IFERROR(IF(G46="S",5,IF(G46="A",4,IF(G46="B",3,IF(G46="C",2,IF(G46="D",1,0))))),0))/2,IF(F46&lt;&gt;"",IFERROR(IF(F46="S",5,IF(F46="A",4,IF(F46="B",3,IF(F46="C",2,IF(F46="D",1,0))))),0),IF(G46&lt;&gt;"",IFERROR(IF(G46="S",5,IF(G46="A",4,IF(G46="B",3,IF(G46="C",2,IF(G46="D",1,0))))),0),""))),""),"")</f>
        <v/>
      </c>
      <c r="I46" s="60" t="n"/>
      <c r="J46" s="60" t="n"/>
      <c r="K46" s="60" t="n"/>
      <c r="L46" s="60" t="n"/>
    </row>
    <row r="47" ht="85.05" customHeight="1">
      <c r="A47" s="33" t="n"/>
      <c r="B47" s="54" t="n"/>
      <c r="C47" s="54" t="n"/>
      <c r="D47" s="53" t="n"/>
      <c r="E47" s="42" t="n"/>
      <c r="F47" s="42" t="n"/>
      <c r="G47" s="107" t="n"/>
      <c r="H47" s="47" t="n"/>
      <c r="I47" s="60" t="n"/>
      <c r="J47" s="60" t="n"/>
      <c r="K47" s="60" t="n"/>
      <c r="L47" s="60" t="n"/>
    </row>
    <row r="48" ht="85.05" customHeight="1">
      <c r="A48" s="33" t="n"/>
      <c r="B48" s="54" t="n"/>
      <c r="C48" s="54" t="n"/>
      <c r="D48" s="53" t="n"/>
      <c r="E48" s="42" t="n"/>
      <c r="F48" s="42" t="n"/>
      <c r="G48" s="107" t="n"/>
      <c r="H48" s="47" t="n"/>
      <c r="I48" s="60" t="n"/>
      <c r="J48" s="60" t="n"/>
      <c r="K48" s="60" t="n"/>
      <c r="L48" s="60" t="n"/>
    </row>
    <row r="49" ht="85.05" customHeight="1">
      <c r="A49" s="33" t="n"/>
      <c r="B49" s="54" t="n"/>
      <c r="C49" s="54" t="n"/>
      <c r="D49" s="53" t="n"/>
      <c r="E49" s="42" t="n"/>
      <c r="F49" s="42" t="n"/>
      <c r="G49" s="107" t="n"/>
      <c r="H49" s="47" t="n"/>
      <c r="I49" s="60" t="n"/>
      <c r="J49" s="60" t="n"/>
      <c r="K49" s="60" t="n"/>
      <c r="L49" s="60" t="n"/>
    </row>
    <row r="50" ht="85.05" customHeight="1">
      <c r="A50" s="33" t="n"/>
      <c r="B50" s="54" t="n"/>
      <c r="C50" s="54" t="n"/>
      <c r="D50" s="53" t="n"/>
      <c r="E50" s="42" t="n"/>
      <c r="F50" s="42" t="n"/>
      <c r="G50" s="107" t="n"/>
      <c r="H50" s="47" t="n"/>
      <c r="I50" s="60" t="n"/>
      <c r="J50" s="60" t="n"/>
      <c r="K50" s="60" t="n"/>
      <c r="L50" s="60" t="n"/>
    </row>
    <row r="51" ht="85.05" customHeight="1">
      <c r="A51" s="33" t="n"/>
      <c r="B51" s="54" t="n"/>
      <c r="C51" s="54" t="n"/>
      <c r="D51" s="53" t="n"/>
      <c r="E51" s="42" t="n"/>
      <c r="F51" s="42" t="n"/>
      <c r="G51" s="107" t="n"/>
      <c r="H51" s="47" t="n"/>
      <c r="I51" s="60" t="n"/>
      <c r="J51" s="60" t="n"/>
      <c r="K51" s="60" t="n"/>
      <c r="L51" s="60" t="n"/>
    </row>
    <row r="52" ht="85.05" customHeight="1">
      <c r="A52" s="33" t="n"/>
      <c r="B52" s="54" t="n"/>
      <c r="C52" s="54" t="n"/>
      <c r="D52" s="53" t="n"/>
      <c r="E52" s="42" t="n"/>
      <c r="F52" s="42" t="n"/>
      <c r="G52" s="107" t="n"/>
      <c r="H52" s="47" t="n"/>
      <c r="I52" s="60" t="n"/>
      <c r="J52" s="60" t="n"/>
      <c r="K52" s="60" t="n"/>
      <c r="L52" s="60" t="n"/>
    </row>
    <row r="53" ht="85.05" customHeight="1">
      <c r="A53" s="33" t="n"/>
      <c r="B53" s="54" t="n"/>
      <c r="C53" s="54" t="n"/>
      <c r="D53" s="53" t="n"/>
      <c r="E53" s="42" t="n"/>
      <c r="F53" s="42" t="n"/>
      <c r="G53" s="107" t="n"/>
      <c r="H53" s="47" t="n"/>
      <c r="I53" s="60" t="n"/>
      <c r="J53" s="60" t="n"/>
      <c r="K53" s="60" t="n"/>
      <c r="L53" s="60" t="n"/>
    </row>
    <row r="54" ht="85.05" customHeight="1">
      <c r="A54" s="33" t="n"/>
      <c r="B54" s="54" t="n"/>
      <c r="C54" s="54" t="n"/>
      <c r="D54" s="53" t="n"/>
      <c r="E54" s="42" t="n"/>
      <c r="F54" s="42" t="n"/>
      <c r="G54" s="107" t="n"/>
      <c r="H54" s="47" t="n"/>
      <c r="I54" s="60" t="n"/>
      <c r="J54" s="60" t="n"/>
      <c r="K54" s="60" t="n"/>
      <c r="L54" s="60" t="n"/>
    </row>
    <row r="55" ht="85.05" customHeight="1">
      <c r="A55" s="33" t="n"/>
      <c r="B55" s="54" t="n"/>
      <c r="C55" s="54" t="n"/>
      <c r="D55" s="53" t="n"/>
      <c r="E55" s="42" t="n"/>
      <c r="F55" s="42" t="n"/>
      <c r="G55" s="107" t="n"/>
      <c r="H55" s="47" t="n"/>
      <c r="I55" s="60" t="n"/>
      <c r="J55" s="60" t="n"/>
      <c r="K55" s="60" t="n"/>
      <c r="L55" s="60" t="n"/>
    </row>
    <row r="56" ht="85.05" customHeight="1">
      <c r="A56" s="33" t="n"/>
      <c r="B56" s="54" t="n"/>
      <c r="C56" s="54" t="n"/>
      <c r="D56" s="53" t="n"/>
      <c r="E56" s="42" t="n"/>
      <c r="F56" s="42" t="n"/>
      <c r="G56" s="107" t="n"/>
      <c r="H56" s="47" t="n"/>
      <c r="I56" s="60" t="n"/>
      <c r="J56" s="60" t="n"/>
      <c r="K56" s="60" t="n"/>
      <c r="L56" s="60" t="n"/>
    </row>
    <row r="57">
      <c r="A57" s="61" t="n"/>
      <c r="B57" s="61" t="n"/>
      <c r="C57" s="61" t="n"/>
      <c r="D57" s="61" t="n"/>
      <c r="E57" s="61" t="n"/>
      <c r="F57" s="61" t="n"/>
      <c r="G57" s="61" t="n"/>
      <c r="H57" s="61" t="n"/>
      <c r="I57" s="60" t="n"/>
      <c r="J57" s="60" t="n"/>
      <c r="K57" s="60" t="n"/>
      <c r="L57" s="60" t="n"/>
    </row>
    <row r="58" ht="28.05" customHeight="1">
      <c r="A58" s="74" t="inlineStr">
        <is>
          <t>1차 평가자 직무 종합 (메인 책무 평균)</t>
        </is>
      </c>
      <c r="B58" s="104" t="n"/>
      <c r="C58" s="104" t="n"/>
      <c r="D58" s="105" t="n"/>
      <c r="E58" s="48">
        <f>IFERROR(SUMPRODUCT((E42:E56="O")*IFERROR(IF(F42:F56="S",5,IF(F42:F56="A",4,IF(F42:F56="B",3,IF(F42:F56="C",2,IF(F42:F56="D",1,0))))),0))/MAX(SUMPRODUCT((E42:E56="O")*(F42:F56&lt;&gt;"")),1),0)</f>
        <v/>
      </c>
      <c r="F58" s="49" t="inlineStr">
        <is>
          <t>→ 등급</t>
        </is>
      </c>
      <c r="G58" s="50">
        <f>IF(OR(E58="",E58&lt;0.5),"",IF(E58&gt;=4.5,"S",IF(E58&gt;=3.5,"A",IF(E58&gt;=2.5,"B",IF(E58&gt;=1.5,"C","D")))))</f>
        <v/>
      </c>
      <c r="H58" s="51" t="n"/>
      <c r="I58" s="60" t="n"/>
      <c r="J58" s="60" t="n"/>
      <c r="K58" s="60" t="n"/>
      <c r="L58" s="60" t="n"/>
    </row>
    <row r="59" ht="28.05" customHeight="1">
      <c r="A59" s="74" t="inlineStr">
        <is>
          <t>2차 평가자 직무 종합 (메인 책무 평균)</t>
        </is>
      </c>
      <c r="B59" s="104" t="n"/>
      <c r="C59" s="104" t="n"/>
      <c r="D59" s="105" t="n"/>
      <c r="E59" s="48">
        <f>IFERROR(SUMPRODUCT((E42:E56="O")*IFERROR(IF(G42:G56="S",5,IF(G42:G56="A",4,IF(G42:G56="B",3,IF(G42:G56="C",2,IF(G42:G56="D",1,0))))),0))/MAX(SUMPRODUCT((E42:E56="O")*(G42:G56&lt;&gt;"")),1),0)</f>
        <v/>
      </c>
      <c r="F59" s="49" t="inlineStr">
        <is>
          <t>→ 등급</t>
        </is>
      </c>
      <c r="G59" s="50">
        <f>IF(OR(E59="",E59&lt;0.5),"",IF(E59&gt;=4.5,"S",IF(E59&gt;=3.5,"A",IF(E59&gt;=2.5,"B",IF(E59&gt;=1.5,"C","D")))))</f>
        <v/>
      </c>
      <c r="H59" s="51" t="n"/>
      <c r="I59" s="60" t="n"/>
      <c r="J59" s="60" t="n"/>
      <c r="K59" s="60" t="n"/>
      <c r="L59" s="60" t="n"/>
    </row>
    <row r="60">
      <c r="A60" s="60" t="n"/>
      <c r="B60" s="60" t="n"/>
      <c r="C60" s="60" t="n"/>
      <c r="D60" s="60" t="n"/>
      <c r="E60" s="60" t="n"/>
      <c r="F60" s="60" t="n"/>
      <c r="G60" s="60" t="n"/>
      <c r="H60" s="60" t="n"/>
      <c r="I60" s="60" t="n"/>
      <c r="J60" s="60" t="n"/>
      <c r="K60" s="60" t="n"/>
      <c r="L60" s="60" t="n"/>
    </row>
    <row r="61" ht="24" customHeight="1">
      <c r="A61" s="80" t="inlineStr">
        <is>
          <t>▶ 통합관리시트 입력 행 (아래 한 줄 A~G 7개 셀을 통째 복사 → 07a/07b의 G~M에 [값 붙여넣기])</t>
        </is>
      </c>
      <c r="B61" s="104" t="n"/>
      <c r="C61" s="104" t="n"/>
      <c r="D61" s="104" t="n"/>
      <c r="E61" s="104" t="n"/>
      <c r="F61" s="104" t="n"/>
      <c r="G61" s="104" t="n"/>
      <c r="H61" s="105" t="n"/>
      <c r="I61" s="60" t="n"/>
      <c r="J61" s="60" t="n"/>
      <c r="K61" s="60" t="n"/>
      <c r="L61" s="60" t="n"/>
    </row>
    <row r="62" ht="22.05" customHeight="1">
      <c r="A62" s="81" t="inlineStr">
        <is>
          <t>사용법: 아래 한 줄 A~G 선택 → Ctrl+C → 통합관리시트 07a 또는 07b의 해당 사원 행 G열에 [선택하여 붙여넣기 → 값] 실행</t>
        </is>
      </c>
      <c r="B62" s="104" t="n"/>
      <c r="C62" s="104" t="n"/>
      <c r="D62" s="104" t="n"/>
      <c r="E62" s="104" t="n"/>
      <c r="F62" s="104" t="n"/>
      <c r="G62" s="104" t="n"/>
      <c r="H62" s="105" t="n"/>
      <c r="I62" s="60" t="n"/>
      <c r="J62" s="60" t="n"/>
      <c r="K62" s="60" t="n"/>
      <c r="L62" s="60" t="n"/>
    </row>
    <row r="63" ht="24" customHeight="1">
      <c r="A63" s="49" t="inlineStr">
        <is>
          <t>역할(1차)</t>
        </is>
      </c>
      <c r="B63" s="49" t="inlineStr">
        <is>
          <t>역할(2차)</t>
        </is>
      </c>
      <c r="C63" s="49" t="inlineStr">
        <is>
          <t>공통(1차)</t>
        </is>
      </c>
      <c r="D63" s="49" t="inlineStr">
        <is>
          <t>공통(2차)</t>
        </is>
      </c>
      <c r="E63" s="49" t="inlineStr">
        <is>
          <t>직무(1차)</t>
        </is>
      </c>
      <c r="F63" s="49" t="inlineStr">
        <is>
          <t>직무(2차)</t>
        </is>
      </c>
      <c r="G63" s="49" t="inlineStr">
        <is>
          <t>소견</t>
        </is>
      </c>
      <c r="H63" s="105" t="n"/>
      <c r="I63" s="60" t="n"/>
      <c r="J63" s="60" t="n"/>
      <c r="K63" s="60" t="n"/>
      <c r="L63" s="60" t="n"/>
    </row>
    <row r="64" ht="30" customHeight="1">
      <c r="A64" s="52">
        <f>G21</f>
        <v/>
      </c>
      <c r="B64" s="52">
        <f>G22</f>
        <v/>
      </c>
      <c r="C64" s="52">
        <f>H37</f>
        <v/>
      </c>
      <c r="D64" s="52">
        <f>H38</f>
        <v/>
      </c>
      <c r="E64" s="52">
        <f>G58</f>
        <v/>
      </c>
      <c r="F64" s="52">
        <f>G59</f>
        <v/>
      </c>
      <c r="G64" s="108" t="n"/>
      <c r="H64" s="105" t="n"/>
      <c r="I64" s="60" t="n"/>
      <c r="J64" s="60" t="n"/>
      <c r="K64" s="60" t="n"/>
      <c r="L64" s="60" t="n"/>
    </row>
    <row r="65">
      <c r="A65" s="60" t="n"/>
      <c r="B65" s="60" t="n"/>
      <c r="C65" s="60" t="n"/>
      <c r="D65" s="60" t="n"/>
      <c r="E65" s="60" t="n"/>
      <c r="F65" s="60" t="n"/>
      <c r="G65" s="60" t="n"/>
      <c r="H65" s="60" t="n"/>
      <c r="I65" s="60" t="n"/>
      <c r="J65" s="60" t="n"/>
      <c r="K65" s="60" t="n"/>
      <c r="L65" s="60" t="n"/>
    </row>
    <row r="66" ht="24" customHeight="1">
      <c r="A66" s="80" t="inlineStr">
        <is>
          <t>▶ 종합 소견 (강점·개선·육성 방향)</t>
        </is>
      </c>
      <c r="B66" s="104" t="n"/>
      <c r="C66" s="104" t="n"/>
      <c r="D66" s="104" t="n"/>
      <c r="E66" s="104" t="n"/>
      <c r="F66" s="104" t="n"/>
      <c r="G66" s="104" t="n"/>
      <c r="H66" s="105" t="n"/>
      <c r="I66" s="60" t="n"/>
      <c r="J66" s="60" t="n"/>
      <c r="K66" s="60" t="n"/>
      <c r="L66" s="60" t="n"/>
    </row>
    <row r="67" ht="50" customHeight="1">
      <c r="A67" s="49" t="inlineStr">
        <is>
          <t>강점</t>
        </is>
      </c>
      <c r="B67" s="64" t="n"/>
      <c r="C67" s="104" t="n"/>
      <c r="D67" s="104" t="n"/>
      <c r="E67" s="104" t="n"/>
      <c r="F67" s="104" t="n"/>
      <c r="G67" s="104" t="n"/>
      <c r="H67" s="105" t="n"/>
      <c r="I67" s="60" t="n"/>
      <c r="J67" s="60" t="n"/>
      <c r="K67" s="60" t="n"/>
      <c r="L67" s="60" t="n"/>
    </row>
    <row r="68" ht="50" customHeight="1">
      <c r="A68" s="49" t="inlineStr">
        <is>
          <t>개선</t>
        </is>
      </c>
      <c r="B68" s="64" t="n"/>
      <c r="C68" s="104" t="n"/>
      <c r="D68" s="104" t="n"/>
      <c r="E68" s="104" t="n"/>
      <c r="F68" s="104" t="n"/>
      <c r="G68" s="104" t="n"/>
      <c r="H68" s="105" t="n"/>
      <c r="I68" s="60" t="n"/>
      <c r="J68" s="60" t="n"/>
      <c r="K68" s="60" t="n"/>
      <c r="L68" s="60" t="n"/>
    </row>
    <row r="69" ht="50" customHeight="1">
      <c r="A69" s="49" t="inlineStr">
        <is>
          <t>육성 방향</t>
        </is>
      </c>
      <c r="B69" s="64" t="n"/>
      <c r="C69" s="104" t="n"/>
      <c r="D69" s="104" t="n"/>
      <c r="E69" s="104" t="n"/>
      <c r="F69" s="104" t="n"/>
      <c r="G69" s="104" t="n"/>
      <c r="H69" s="105" t="n"/>
      <c r="I69" s="60" t="n"/>
      <c r="J69" s="60" t="n"/>
      <c r="K69" s="60" t="n"/>
      <c r="L69" s="60" t="n"/>
    </row>
    <row r="70">
      <c r="A70" s="60" t="n"/>
      <c r="B70" s="60" t="n"/>
      <c r="C70" s="60" t="n"/>
      <c r="D70" s="60" t="n"/>
      <c r="E70" s="60" t="n"/>
      <c r="F70" s="60" t="n"/>
      <c r="G70" s="60" t="n"/>
      <c r="H70" s="60" t="n"/>
      <c r="I70" s="60" t="n"/>
      <c r="J70" s="60" t="n"/>
      <c r="K70" s="60" t="n"/>
      <c r="L70" s="60" t="n"/>
    </row>
    <row r="71">
      <c r="A71" s="60" t="n"/>
      <c r="B71" s="60" t="n"/>
      <c r="C71" s="60" t="n"/>
      <c r="D71" s="60" t="n"/>
      <c r="E71" s="60" t="n"/>
      <c r="F71" s="60" t="n"/>
      <c r="G71" s="60" t="n"/>
      <c r="H71" s="60" t="n"/>
      <c r="I71" s="60" t="n"/>
      <c r="J71" s="60" t="n"/>
      <c r="K71" s="60" t="n"/>
      <c r="L71" s="60" t="n"/>
    </row>
    <row r="72">
      <c r="A72" s="60" t="n"/>
      <c r="B72" s="60" t="n"/>
      <c r="C72" s="60" t="n"/>
      <c r="D72" s="60" t="n"/>
      <c r="E72" s="60" t="n"/>
      <c r="F72" s="60" t="n"/>
      <c r="G72" s="60" t="n"/>
      <c r="H72" s="60" t="n"/>
      <c r="I72" s="60" t="n"/>
      <c r="J72" s="60" t="n"/>
      <c r="K72" s="60" t="n"/>
      <c r="L72" s="60" t="n"/>
    </row>
  </sheetData>
  <mergeCells count="43">
    <mergeCell ref="G21:H21"/>
    <mergeCell ref="A22:D22"/>
    <mergeCell ref="B68:H68"/>
    <mergeCell ref="A24:H24"/>
    <mergeCell ref="G27:H27"/>
    <mergeCell ref="G36:H36"/>
    <mergeCell ref="A1:H1"/>
    <mergeCell ref="G17:H17"/>
    <mergeCell ref="A61:H61"/>
    <mergeCell ref="A58:D58"/>
    <mergeCell ref="B11:F11"/>
    <mergeCell ref="G19:H19"/>
    <mergeCell ref="A59:D59"/>
    <mergeCell ref="A66:H66"/>
    <mergeCell ref="A37:E37"/>
    <mergeCell ref="G28:H28"/>
    <mergeCell ref="A4:F4"/>
    <mergeCell ref="G18:H18"/>
    <mergeCell ref="G34:H34"/>
    <mergeCell ref="G30:H30"/>
    <mergeCell ref="G15:H15"/>
    <mergeCell ref="A2:H2"/>
    <mergeCell ref="G33:H33"/>
    <mergeCell ref="B67:H67"/>
    <mergeCell ref="G64:H64"/>
    <mergeCell ref="G26:H26"/>
    <mergeCell ref="G35:H35"/>
    <mergeCell ref="G29:H29"/>
    <mergeCell ref="A62:H62"/>
    <mergeCell ref="B14:H14"/>
    <mergeCell ref="G20:H20"/>
    <mergeCell ref="A38:E38"/>
    <mergeCell ref="G16:H16"/>
    <mergeCell ref="G32:H32"/>
    <mergeCell ref="G63:H63"/>
    <mergeCell ref="G25:H25"/>
    <mergeCell ref="A21:D21"/>
    <mergeCell ref="B69:H69"/>
    <mergeCell ref="A13:H13"/>
    <mergeCell ref="G31:H31"/>
    <mergeCell ref="G22:H22"/>
    <mergeCell ref="A7:F7"/>
    <mergeCell ref="A40:H40"/>
  </mergeCells>
  <dataValidations count="4">
    <dataValidation sqref="E42:E56" showDropDown="0" showInputMessage="1" showErrorMessage="0" allowBlank="1" promptTitle="메인 책무" prompt="메인 책무는 O, 비메인은 X" type="list">
      <formula1>"O,X"</formula1>
    </dataValidation>
    <dataValidation sqref="F42:G56" showDropDown="0" showInputMessage="1" showErrorMessage="0" allowBlank="1" promptTitle="평가 등급" prompt="S/A/B/C/D 중 선택" type="list">
      <formula1>"S,A,B,C,D"</formula1>
    </dataValidation>
    <dataValidation sqref="E16:F20 E26:F36" showDropDown="0" showInputMessage="1" showErrorMessage="0" allowBlank="1" type="list">
      <formula1>"S,A,B,C,D"</formula1>
    </dataValidation>
    <dataValidation sqref="B11" showDropDown="0" showInputMessage="1" showErrorMessage="0" allowBlank="1" type="list">
      <formula1>"상반기,하반기"</formula1>
    </dataValidation>
  </dataValidations>
  <pageMargins left="0.75" right="0.75" top="1" bottom="1" header="0.5" footer="0.5"/>
  <pageSetup orientation="portrait" paperSize="9" verticalDpi="0"/>
</worksheet>
</file>

<file path=xl/worksheets/sheet7.xml><?xml version="1.0" encoding="utf-8"?>
<worksheet xmlns="http://schemas.openxmlformats.org/spreadsheetml/2006/main">
  <sheetPr>
    <tabColor rgb="FF70AD47"/>
    <outlinePr summaryBelow="1" summaryRight="1"/>
    <pageSetUpPr/>
  </sheetPr>
  <dimension ref="A1:L72"/>
  <sheetViews>
    <sheetView workbookViewId="0">
      <selection activeCell="A1" sqref="A1"/>
    </sheetView>
  </sheetViews>
  <sheetFormatPr baseColWidth="8" defaultRowHeight="16.9"/>
  <cols>
    <col width="30.5625" customWidth="1" style="58" min="1" max="8"/>
    <col width="11" customWidth="1" style="58" min="9" max="11"/>
    <col width="9" customWidth="1" style="58" min="12" max="16384"/>
  </cols>
  <sheetData>
    <row r="1" ht="30" customHeight="1">
      <c r="A1" s="62" t="inlineStr">
        <is>
          <t>성과평가지 양식 - 기술지원 / G2 (실무)</t>
        </is>
      </c>
      <c r="B1" s="86" t="n"/>
      <c r="C1" s="86" t="n"/>
      <c r="D1" s="86" t="n"/>
      <c r="E1" s="86" t="n"/>
      <c r="F1" s="86" t="n"/>
      <c r="G1" s="86" t="n"/>
      <c r="H1" s="87" t="n"/>
    </row>
    <row r="2" ht="22.05" customHeight="1">
      <c r="A2" s="73" t="inlineStr">
        <is>
          <t>1·2차 평가자가 등급(S/A/B/C/D)만 입력. 가중치는 통합관리시트에서 자동 처리.</t>
        </is>
      </c>
      <c r="B2" s="86" t="n"/>
      <c r="C2" s="86" t="n"/>
      <c r="D2" s="86" t="n"/>
      <c r="E2" s="86" t="n"/>
      <c r="F2" s="86" t="n"/>
      <c r="G2" s="86" t="n"/>
      <c r="H2" s="87" t="n"/>
    </row>
    <row r="4" ht="24" customHeight="1">
      <c r="A4" s="67" t="inlineStr">
        <is>
          <t>▶ 평가 대상자 정보 (주황셀에 입력)</t>
        </is>
      </c>
      <c r="B4" s="104" t="n"/>
      <c r="C4" s="104" t="n"/>
      <c r="D4" s="104" t="n"/>
      <c r="E4" s="104" t="n"/>
      <c r="F4" s="105" t="n"/>
      <c r="G4" s="63" t="n"/>
      <c r="H4" s="63" t="n"/>
    </row>
    <row r="5" ht="22.05" customHeight="1">
      <c r="A5" s="33" t="inlineStr">
        <is>
          <t>사번</t>
        </is>
      </c>
      <c r="B5" s="34" t="n"/>
      <c r="C5" s="33" t="inlineStr">
        <is>
          <t>성명</t>
        </is>
      </c>
      <c r="D5" s="34" t="n"/>
      <c r="E5" s="33" t="inlineStr">
        <is>
          <t>부서</t>
        </is>
      </c>
      <c r="F5" s="34" t="n"/>
    </row>
    <row r="6" ht="22.05" customHeight="1">
      <c r="A6" s="33" t="inlineStr">
        <is>
          <t>직군</t>
        </is>
      </c>
      <c r="B6" s="34" t="n"/>
      <c r="C6" s="33" t="inlineStr">
        <is>
          <t>직무</t>
        </is>
      </c>
      <c r="D6" s="35" t="inlineStr">
        <is>
          <t>BIM컨설팅</t>
        </is>
      </c>
      <c r="E6" s="33" t="inlineStr">
        <is>
          <t>역할등급(명)</t>
        </is>
      </c>
      <c r="F6" s="35" t="inlineStr">
        <is>
          <t>G6(사업·조직 관리)</t>
        </is>
      </c>
    </row>
    <row r="7" ht="24" customHeight="1">
      <c r="A7" s="67" t="inlineStr">
        <is>
          <t>▶ 평가자 정보 (주황셀에 입력)</t>
        </is>
      </c>
      <c r="B7" s="104" t="n"/>
      <c r="C7" s="104" t="n"/>
      <c r="D7" s="104" t="n"/>
      <c r="E7" s="104" t="n"/>
      <c r="F7" s="105" t="n"/>
      <c r="G7" s="63" t="n"/>
      <c r="H7" s="63" t="n"/>
    </row>
    <row r="8" ht="24" customHeight="1">
      <c r="A8" s="36" t="inlineStr">
        <is>
          <t>구분</t>
        </is>
      </c>
      <c r="B8" s="36" t="inlineStr">
        <is>
          <t>사번</t>
        </is>
      </c>
      <c r="C8" s="36" t="inlineStr">
        <is>
          <t>성명</t>
        </is>
      </c>
      <c r="D8" s="36" t="inlineStr">
        <is>
          <t>직책</t>
        </is>
      </c>
      <c r="E8" s="36" t="inlineStr">
        <is>
          <t>부서</t>
        </is>
      </c>
      <c r="F8" s="36" t="inlineStr">
        <is>
          <t>평가 일자</t>
        </is>
      </c>
      <c r="G8" s="63" t="n"/>
      <c r="H8" s="63" t="n"/>
    </row>
    <row r="9" ht="24" customHeight="1">
      <c r="A9" s="37" t="inlineStr">
        <is>
          <t>1차 평가자 (직속상사)</t>
        </is>
      </c>
      <c r="B9" s="38" t="n"/>
      <c r="C9" s="38" t="n"/>
      <c r="D9" s="38" t="n"/>
      <c r="E9" s="38" t="n"/>
      <c r="F9" s="39" t="n"/>
      <c r="G9" s="63" t="n"/>
      <c r="H9" s="63" t="n"/>
    </row>
    <row r="10" ht="24" customHeight="1">
      <c r="A10" s="37" t="inlineStr">
        <is>
          <t>2차 평가자 (조정자)</t>
        </is>
      </c>
      <c r="B10" s="38" t="n"/>
      <c r="C10" s="38" t="n"/>
      <c r="D10" s="38" t="n"/>
      <c r="E10" s="38" t="n"/>
      <c r="F10" s="39" t="n"/>
      <c r="G10" s="63" t="n"/>
      <c r="H10" s="63" t="n"/>
    </row>
    <row r="11" ht="24" customHeight="1">
      <c r="A11" s="37" t="inlineStr">
        <is>
          <t>평가 차수</t>
        </is>
      </c>
      <c r="B11" s="72" t="inlineStr">
        <is>
          <t>상반기</t>
        </is>
      </c>
      <c r="C11" s="104" t="n"/>
      <c r="D11" s="104" t="n"/>
      <c r="E11" s="104" t="n"/>
      <c r="F11" s="105" t="n"/>
      <c r="G11" s="63" t="n"/>
      <c r="H11" s="63" t="n"/>
    </row>
    <row r="13" ht="26" customHeight="1">
      <c r="A13" s="77" t="inlineStr">
        <is>
          <t>▶ ① 역할평가 — 5개 BARS 항목</t>
        </is>
      </c>
      <c r="B13" s="104" t="n"/>
      <c r="C13" s="104" t="n"/>
      <c r="D13" s="104" t="n"/>
      <c r="E13" s="104" t="n"/>
      <c r="F13" s="104" t="n"/>
      <c r="G13" s="104" t="n"/>
      <c r="H13" s="105" t="n"/>
    </row>
    <row r="14" ht="38" customHeight="1">
      <c r="A14" s="40" t="inlineStr">
        <is>
          <t>역할 정의</t>
        </is>
      </c>
      <c r="B14" s="75" t="inlineStr">
        <is>
          <t>프로젝트 계획에 따라 독립적·자율적으로 세부 과업을 수행하고 산출물을 도출.</t>
        </is>
      </c>
      <c r="C14" s="104" t="n"/>
      <c r="D14" s="104" t="n"/>
      <c r="E14" s="104" t="n"/>
      <c r="F14" s="104" t="n"/>
      <c r="G14" s="104" t="n"/>
      <c r="H14" s="105" t="n"/>
    </row>
    <row r="15" ht="28.05" customHeight="1">
      <c r="A15" s="68" t="inlineStr">
        <is>
          <t>No.</t>
        </is>
      </c>
      <c r="B15" s="68" t="inlineStr">
        <is>
          <t>평가항목</t>
        </is>
      </c>
      <c r="C15" s="68" t="inlineStr">
        <is>
          <t>평가 기준</t>
        </is>
      </c>
      <c r="D15" s="68" t="inlineStr">
        <is>
          <t>S/A/B/C/D 등급 기준</t>
        </is>
      </c>
      <c r="E15" s="68" t="inlineStr">
        <is>
          <t>1차 평가자</t>
        </is>
      </c>
      <c r="F15" s="68" t="inlineStr">
        <is>
          <t>2차 평가자</t>
        </is>
      </c>
      <c r="G15" s="68" t="inlineStr">
        <is>
          <t>평가 근거 및 피드백</t>
        </is>
      </c>
      <c r="H15" s="105" t="n"/>
    </row>
    <row r="16" ht="90" customHeight="1">
      <c r="A16" s="40" t="inlineStr">
        <is>
          <t>R-1</t>
        </is>
      </c>
      <c r="B16" s="55" t="inlineStr">
        <is>
          <t>책임범위 이행도</t>
        </is>
      </c>
      <c r="C16" s="56" t="inlineStr">
        <is>
          <t>역할등급에 부합하는 책임 범위 내 업무 수행</t>
        </is>
      </c>
      <c r="D16" s="53" t="inlineStr">
        <is>
          <t>S  기대 현저히 초과
A  기대 상회
B  기대 부합
C  부분 미흡
D  전반 미흡</t>
        </is>
      </c>
      <c r="E16" s="42" t="n"/>
      <c r="F16" s="42" t="n"/>
      <c r="G16" s="106" t="n"/>
      <c r="H16" s="105" t="n"/>
    </row>
    <row r="17" ht="90" customHeight="1">
      <c r="A17" s="40" t="inlineStr">
        <is>
          <t>R-2</t>
        </is>
      </c>
      <c r="B17" s="55" t="inlineStr">
        <is>
          <t>의사결정 적절성</t>
        </is>
      </c>
      <c r="C17" s="56" t="inlineStr">
        <is>
          <t>권한 수준 내 시의적절·합리적 의사결정</t>
        </is>
      </c>
      <c r="D17" s="53" t="inlineStr">
        <is>
          <t>S  기대 현저히 초과
A  기대 상회
B  기대 부합
C  부분 미흡
D  전반 미흡</t>
        </is>
      </c>
      <c r="E17" s="42" t="n"/>
      <c r="F17" s="42" t="n"/>
      <c r="G17" s="106" t="n"/>
      <c r="H17" s="105" t="n"/>
    </row>
    <row r="18" ht="90" customHeight="1">
      <c r="A18" s="40" t="inlineStr">
        <is>
          <t>R-3</t>
        </is>
      </c>
      <c r="B18" s="55" t="inlineStr">
        <is>
          <t>성과 기여도</t>
        </is>
      </c>
      <c r="C18" s="56" t="inlineStr">
        <is>
          <t>조직·프로젝트 목표 달성에 정량적 기여</t>
        </is>
      </c>
      <c r="D18" s="53" t="inlineStr">
        <is>
          <t>S  기대 현저히 초과
A  기대 상회
B  기대 부합
C  부분 미흡
D  전반 미흡</t>
        </is>
      </c>
      <c r="E18" s="42" t="n"/>
      <c r="F18" s="42" t="n"/>
      <c r="G18" s="106" t="n"/>
      <c r="H18" s="105" t="n"/>
    </row>
    <row r="19" ht="90" customHeight="1">
      <c r="A19" s="40" t="inlineStr">
        <is>
          <t>R-4</t>
        </is>
      </c>
      <c r="B19" s="55" t="inlineStr">
        <is>
          <t>조직 후배 코칭</t>
        </is>
      </c>
      <c r="C19" s="56" t="inlineStr">
        <is>
          <t>상·하위 역할과 효과적 협업 및 후배 코칭</t>
        </is>
      </c>
      <c r="D19" s="53" t="inlineStr">
        <is>
          <t>S  기대 현저히 초과
A  기대 상회
B  기대 부합
C  부분 미흡
D  전반 미흡</t>
        </is>
      </c>
      <c r="E19" s="42" t="n"/>
      <c r="F19" s="42" t="n"/>
      <c r="G19" s="106" t="n"/>
      <c r="H19" s="105" t="n"/>
    </row>
    <row r="20" ht="90" customHeight="1">
      <c r="A20" s="40" t="inlineStr">
        <is>
          <t>R-5</t>
        </is>
      </c>
      <c r="B20" s="55" t="inlineStr">
        <is>
          <t>산출물 완성도</t>
        </is>
      </c>
      <c r="C20" s="56" t="inlineStr">
        <is>
          <t>산출물 품질과 기한 준수</t>
        </is>
      </c>
      <c r="D20" s="53" t="inlineStr">
        <is>
          <t>S  기대 현저히 초과
A  기대 상회
B  기대 부합
C  부분 미흡
D  전반 미흡</t>
        </is>
      </c>
      <c r="E20" s="42" t="n"/>
      <c r="F20" s="42" t="n"/>
      <c r="G20" s="106" t="n"/>
      <c r="H20" s="105" t="n"/>
    </row>
    <row r="21" ht="24" customHeight="1">
      <c r="A21" s="79" t="inlineStr">
        <is>
          <t>1차 평가자 역할 종합 (5개 평균)</t>
        </is>
      </c>
      <c r="B21" s="104" t="n"/>
      <c r="C21" s="104" t="n"/>
      <c r="D21" s="105" t="n"/>
      <c r="E21" s="43">
        <f>IFERROR((IF(E16="S",5,IF(E16="A",4,IF(E16="B",3,IF(E16="C",2,IF(E16="D",1,0)))))+IF(E17="S",5,IF(E17="A",4,IF(E17="B",3,IF(E17="C",2,IF(E17="D",1,0)))))+IF(E18="S",5,IF(E18="A",4,IF(E18="B",3,IF(E18="C",2,IF(E18="D",1,0)))))+IF(E19="S",5,IF(E19="A",4,IF(E19="B",3,IF(E19="C",2,IF(E19="D",1,0)))))+IF(E20="S",5,IF(E20="A",4,IF(E20="B",3,IF(E20="C",2,IF(E20="D",1,0))))))/5,"")</f>
        <v/>
      </c>
      <c r="F21" s="44" t="inlineStr">
        <is>
          <t>→ 등급</t>
        </is>
      </c>
      <c r="G21" s="71">
        <f>IF(OR(E21="",E21&lt;0.5),"",IF(E21&gt;=4.5,"S",IF(E21&gt;=3.5,"A",IF(E21&gt;=2.5,"B",IF(E21&gt;=1.5,"C","D")))))</f>
        <v/>
      </c>
      <c r="H21" s="105" t="n"/>
    </row>
    <row r="22" ht="24" customHeight="1">
      <c r="A22" s="79" t="inlineStr">
        <is>
          <t>2차 평가자 역할 종합 (5개 평균)</t>
        </is>
      </c>
      <c r="B22" s="104" t="n"/>
      <c r="C22" s="104" t="n"/>
      <c r="D22" s="105" t="n"/>
      <c r="E22" s="43">
        <f>IFERROR((IF(F16="S",5,IF(F16="A",4,IF(F16="B",3,IF(F16="C",2,IF(F16="D",1,0)))))+IF(F17="S",5,IF(F17="A",4,IF(F17="B",3,IF(F17="C",2,IF(F17="D",1,0)))))+IF(F18="S",5,IF(F18="A",4,IF(F18="B",3,IF(F18="C",2,IF(F18="D",1,0)))))+IF(F19="S",5,IF(F19="A",4,IF(F19="B",3,IF(F19="C",2,IF(F19="D",1,0)))))+IF(F20="S",5,IF(F20="A",4,IF(F20="B",3,IF(F20="C",2,IF(F20="D",1,0))))))/5,"")</f>
        <v/>
      </c>
      <c r="F22" s="44" t="inlineStr">
        <is>
          <t>→ 등급</t>
        </is>
      </c>
      <c r="G22" s="71">
        <f>IF(OR(E22="",E22&lt;0.5),"",IF(E22&gt;=4.5,"S",IF(E22&gt;=3.5,"A",IF(E22&gt;=2.5,"B",IF(E22&gt;=1.5,"C","D")))))</f>
        <v/>
      </c>
      <c r="H22" s="105" t="n"/>
    </row>
    <row r="24" ht="26" customHeight="1">
      <c r="A24" s="78" t="inlineStr">
        <is>
          <t>▶ ② 공통역량평가 — 11개 (★ S/A/B/C/D 평가기준 포함)</t>
        </is>
      </c>
      <c r="B24" s="104" t="n"/>
      <c r="C24" s="104" t="n"/>
      <c r="D24" s="104" t="n"/>
      <c r="E24" s="104" t="n"/>
      <c r="F24" s="104" t="n"/>
      <c r="G24" s="104" t="n"/>
      <c r="H24" s="105" t="n"/>
    </row>
    <row r="25" ht="28.05" customHeight="1">
      <c r="A25" s="68" t="inlineStr">
        <is>
          <t>No.</t>
        </is>
      </c>
      <c r="B25" s="68" t="inlineStr">
        <is>
          <t>핵심 역량</t>
        </is>
      </c>
      <c r="C25" s="68" t="inlineStr">
        <is>
          <t>평가 기준</t>
        </is>
      </c>
      <c r="D25" s="68" t="inlineStr">
        <is>
          <t>S/A/B/C/D 등급 기준</t>
        </is>
      </c>
      <c r="E25" s="68" t="inlineStr">
        <is>
          <t>1차</t>
        </is>
      </c>
      <c r="F25" s="68" t="inlineStr">
        <is>
          <t>2차</t>
        </is>
      </c>
      <c r="G25" s="68" t="inlineStr">
        <is>
          <t>평가 근거 및 피드백</t>
        </is>
      </c>
      <c r="H25" s="105" t="n"/>
    </row>
    <row r="26" ht="100.05" customHeight="1">
      <c r="A26" s="45" t="inlineStr">
        <is>
          <t>C-1</t>
        </is>
      </c>
      <c r="B26" s="55" t="inlineStr">
        <is>
          <t>직무 전문성</t>
        </is>
      </c>
      <c r="C26" s="56" t="inlineStr">
        <is>
          <t>직무에 필요한 전문 지식 및 기술 보유, 실무 적용</t>
        </is>
      </c>
      <c r="D26" s="53" t="inlineStr">
        <is>
          <t>S  고급 지식과 숙련도, 타 부서 교육 가능
A  최신 트렌드 반영, 실무에 적절 활용
B  일반 수준 이해 및 적용
C  일부 기술 이해, 개선 필요
D  지식 부족, 실무 반영 어려움</t>
        </is>
      </c>
      <c r="E26" s="42" t="n"/>
      <c r="F26" s="42" t="n"/>
      <c r="G26" s="106" t="n"/>
      <c r="H26" s="105" t="n"/>
    </row>
    <row r="27" ht="100.05" customHeight="1">
      <c r="A27" s="45" t="inlineStr">
        <is>
          <t>C-2</t>
        </is>
      </c>
      <c r="B27" s="55" t="inlineStr">
        <is>
          <t>분석력</t>
        </is>
      </c>
      <c r="C27" s="56" t="inlineStr">
        <is>
          <t>데이터·수치 기반 사고로 업무 효율 향상</t>
        </is>
      </c>
      <c r="D27" s="53" t="inlineStr">
        <is>
          <t>S  데이터 기반 전략 도출 가능
A  분석 후 결과 활용 능숙
B  기본적 분석 및 간단한 적용 가능
C  기본 해석은 가능하나 활용 미흡
D  자료 해석 불가, 의사결정 어려움</t>
        </is>
      </c>
      <c r="E27" s="42" t="n"/>
      <c r="F27" s="42" t="n"/>
      <c r="G27" s="106" t="n"/>
      <c r="H27" s="105" t="n"/>
    </row>
    <row r="28" ht="100.05" customHeight="1">
      <c r="A28" s="45" t="inlineStr">
        <is>
          <t>C-3</t>
        </is>
      </c>
      <c r="B28" s="55" t="inlineStr">
        <is>
          <t>기획/실행력</t>
        </is>
      </c>
      <c r="C28" s="56" t="inlineStr">
        <is>
          <t>목표 설정·계획 수립·체계적 실행 능력</t>
        </is>
      </c>
      <c r="D28" s="53" t="inlineStr">
        <is>
          <t>S  스스로 목표 수립 및 조직 리딩 가능
A  계획 수립 능력 우수 및 실행 일관성
B  일반적 목표 수립 및 실현 가능
C  실행 계획 일부 있으나 체계 부족
D  목표 설정 부정확, 실행력 부족</t>
        </is>
      </c>
      <c r="E28" s="42" t="n"/>
      <c r="F28" s="42" t="n"/>
      <c r="G28" s="106" t="n"/>
      <c r="H28" s="105" t="n"/>
    </row>
    <row r="29" ht="100.05" customHeight="1">
      <c r="A29" s="45" t="inlineStr">
        <is>
          <t>C-4</t>
        </is>
      </c>
      <c r="B29" s="55" t="inlineStr">
        <is>
          <t>자원·시간 관리</t>
        </is>
      </c>
      <c r="C29" s="56" t="inlineStr">
        <is>
          <t>업무 우선순위 설정 및 시간 내 효과적 완수</t>
        </is>
      </c>
      <c r="D29" s="53" t="inlineStr">
        <is>
          <t>S  다중 과제 효율 배분, 시간관리 탁월
A  업무 효율성 높고 우선순위 명확
B  일반 수준 일정 조율 가능
C  마감 어려움, 우선순위 혼란
D  업무 지연 잦고 계획 없음</t>
        </is>
      </c>
      <c r="E29" s="42" t="n"/>
      <c r="F29" s="42" t="n"/>
      <c r="G29" s="106" t="n"/>
      <c r="H29" s="105" t="n"/>
    </row>
    <row r="30" ht="100.05" customHeight="1">
      <c r="A30" s="45" t="inlineStr">
        <is>
          <t>C-5</t>
        </is>
      </c>
      <c r="B30" s="55" t="inlineStr">
        <is>
          <t>협업 능력</t>
        </is>
      </c>
      <c r="C30" s="56" t="inlineStr">
        <is>
          <t>팀·타 부서와의 협업 태도, 정보 공유</t>
        </is>
      </c>
      <c r="D30" s="53" t="inlineStr">
        <is>
          <t>S  타 부서와의 시너지 창출
A  정보 공유, 원활한 협업
B  공동목표 수용 및 일부 협력
C  소극적 협조, 갈등 유발
D  협력 거부, 독단적 태도</t>
        </is>
      </c>
      <c r="E30" s="42" t="n"/>
      <c r="F30" s="42" t="n"/>
      <c r="G30" s="106" t="n"/>
      <c r="H30" s="105" t="n"/>
    </row>
    <row r="31" ht="100.05" customHeight="1">
      <c r="A31" s="45" t="inlineStr">
        <is>
          <t>C-6</t>
        </is>
      </c>
      <c r="B31" s="55" t="inlineStr">
        <is>
          <t>소통 능력</t>
        </is>
      </c>
      <c r="C31" s="56" t="inlineStr">
        <is>
          <t>명확한 의사 전달·경청·효과적 커뮤니케이션</t>
        </is>
      </c>
      <c r="D31" s="53" t="inlineStr">
        <is>
          <t>S  갈등 중재 및 공감능력 우수
A  정확한 의사 전달 및 경청
B  피드백 수용 및 전달 가능
C  소통 시 불편 유발
D  일방적 주장, 피드백 거부</t>
        </is>
      </c>
      <c r="E31" s="42" t="n"/>
      <c r="F31" s="42" t="n"/>
      <c r="G31" s="106" t="n"/>
      <c r="H31" s="105" t="n"/>
    </row>
    <row r="32" ht="100.05" customHeight="1">
      <c r="A32" s="45" t="inlineStr">
        <is>
          <t>C-7</t>
        </is>
      </c>
      <c r="B32" s="55" t="inlineStr">
        <is>
          <t>윤리/책임감</t>
        </is>
      </c>
      <c r="C32" s="56" t="inlineStr">
        <is>
          <t>공정·투명한 절차, 책임감 있는 업무</t>
        </is>
      </c>
      <c r="D32" s="53" t="inlineStr">
        <is>
          <t>S  모범적 자세, 조직문화 선도
A  조직 규범 내 성실 수행
B  기본 책임 수행
C  책임 회피 경향
D  무책임, 규정 무시</t>
        </is>
      </c>
      <c r="E32" s="42" t="n"/>
      <c r="F32" s="42" t="n"/>
      <c r="G32" s="106" t="n"/>
      <c r="H32" s="105" t="n"/>
    </row>
    <row r="33" ht="100.05" customHeight="1">
      <c r="A33" s="45" t="inlineStr">
        <is>
          <t>C-8</t>
        </is>
      </c>
      <c r="B33" s="55" t="inlineStr">
        <is>
          <t>업무 태도</t>
        </is>
      </c>
      <c r="C33" s="56" t="inlineStr">
        <is>
          <t>성실·주도적 태도, 변화 유연성</t>
        </is>
      </c>
      <c r="D33" s="53" t="inlineStr">
        <is>
          <t>S  문제 해결 중심의 선도적 자세
A  책임감, 적극적 태도
B  일정 주도성 보임
C  소극적, 피동적 태도
D  수동적, 지시 없이는 행동 안 함</t>
        </is>
      </c>
      <c r="E33" s="42" t="n"/>
      <c r="F33" s="42" t="n"/>
      <c r="G33" s="106" t="n"/>
      <c r="H33" s="105" t="n"/>
    </row>
    <row r="34" ht="100.05" customHeight="1">
      <c r="A34" s="45" t="inlineStr">
        <is>
          <t>C-9</t>
        </is>
      </c>
      <c r="B34" s="55" t="inlineStr">
        <is>
          <t>혁신 역량</t>
        </is>
      </c>
      <c r="C34" s="56" t="inlineStr">
        <is>
          <t>AI·자동화 등 최신 기술의 실무 접목</t>
        </is>
      </c>
      <c r="D34" s="53" t="inlineStr">
        <is>
          <t>S  혁신적 아이디어 제시 및 실현
A  적극 활용하여 효율성 제고
B  일상적 업무에 도구 활용
C  부분적 기능 사용
D  기술 활용 거의 없음</t>
        </is>
      </c>
      <c r="E34" s="42" t="n"/>
      <c r="F34" s="42" t="n"/>
      <c r="G34" s="106" t="n"/>
      <c r="H34" s="105" t="n"/>
    </row>
    <row r="35" ht="100.05" customHeight="1">
      <c r="A35" s="45" t="inlineStr">
        <is>
          <t>C-10</t>
        </is>
      </c>
      <c r="B35" s="55" t="inlineStr">
        <is>
          <t>프로세스 개선</t>
        </is>
      </c>
      <c r="C35" s="56" t="inlineStr">
        <is>
          <t>업무 절차 분석 및 비효율 개선</t>
        </is>
      </c>
      <c r="D35" s="53" t="inlineStr">
        <is>
          <t>S  제안 실행까지 주도함
A  능동적 개선 제안
B  개선의 필요성 인식
C  타인이 해야 할 일로 인식
D  개선 의지 없음</t>
        </is>
      </c>
      <c r="E35" s="42" t="n"/>
      <c r="F35" s="42" t="n"/>
      <c r="G35" s="106" t="n"/>
      <c r="H35" s="105" t="n"/>
    </row>
    <row r="36" ht="100.05" customHeight="1">
      <c r="A36" s="45" t="inlineStr">
        <is>
          <t>C-11</t>
        </is>
      </c>
      <c r="B36" s="55" t="inlineStr">
        <is>
          <t>지속가능 기여</t>
        </is>
      </c>
      <c r="C36" s="56" t="inlineStr">
        <is>
          <t>장기적 성과 향상·조직 기여</t>
        </is>
      </c>
      <c r="D36" s="53" t="inlineStr">
        <is>
          <t>S  성과 리딩 및 지속 성과 도출
A  개인 및 팀 성과 기여
B  기본 수준의 성과
C  성과 불명확, 기여 낮음
D  성과 없음, 소극적 태도</t>
        </is>
      </c>
      <c r="E36" s="42" t="n"/>
      <c r="F36" s="42" t="n"/>
      <c r="G36" s="106" t="n"/>
      <c r="H36" s="105" t="n"/>
    </row>
    <row r="37" ht="24" customHeight="1">
      <c r="A37" s="76" t="inlineStr">
        <is>
          <t>1차 평가자 공통역량 종합 (11개 단순 평균)</t>
        </is>
      </c>
      <c r="B37" s="104" t="n"/>
      <c r="C37" s="104" t="n"/>
      <c r="D37" s="104" t="n"/>
      <c r="E37" s="105" t="n"/>
      <c r="F37" s="43">
        <f>IFERROR((IF(F26="S",5,IF(F26="A",4,IF(F26="B",3,IF(F26="C",2,IF(F26="D",1,0)))))+IF(F27="S",5,IF(F27="A",4,IF(F27="B",3,IF(F27="C",2,IF(F27="D",1,0)))))+IF(F28="S",5,IF(F28="A",4,IF(F28="B",3,IF(F28="C",2,IF(F28="D",1,0)))))+IF(F29="S",5,IF(F29="A",4,IF(F29="B",3,IF(F29="C",2,IF(F29="D",1,0)))))+IF(F30="S",5,IF(F30="A",4,IF(F30="B",3,IF(F30="C",2,IF(F30="D",1,0)))))+IF(F31="S",5,IF(F31="A",4,IF(F31="B",3,IF(F31="C",2,IF(F31="D",1,0)))))+IF(F32="S",5,IF(F32="A",4,IF(F32="B",3,IF(F32="C",2,IF(F32="D",1,0)))))+IF(F33="S",5,IF(F33="A",4,IF(F33="B",3,IF(F33="C",2,IF(F33="D",1,0)))))+IF(F34="S",5,IF(F34="A",4,IF(F34="B",3,IF(F34="C",2,IF(F34="D",1,0)))))+IF(F35="S",5,IF(F35="A",4,IF(F35="B",3,IF(F35="C",2,IF(F35="D",1,0)))))+IF(F36="S",5,IF(F36="A",4,IF(F36="B",3,IF(F36="C",2,IF(F36="D",1,0))))))/11,"")</f>
        <v/>
      </c>
      <c r="G37" s="44" t="inlineStr">
        <is>
          <t>→ 등급</t>
        </is>
      </c>
      <c r="H37" s="71">
        <f>IF(OR(F37="",F37&lt;0.5),"",IF(F37&gt;=4.5,"S",IF(F37&gt;=3.5,"A",IF(F37&gt;=2.5,"B",IF(F37&gt;=1.5,"C","D")))))</f>
        <v/>
      </c>
    </row>
    <row r="38" ht="24" customHeight="1">
      <c r="A38" s="76" t="inlineStr">
        <is>
          <t>2차 평가자 공통역량 종합 (11개 단순 평균)</t>
        </is>
      </c>
      <c r="B38" s="104" t="n"/>
      <c r="C38" s="104" t="n"/>
      <c r="D38" s="104" t="n"/>
      <c r="E38" s="105" t="n"/>
      <c r="F38" s="43">
        <f>IFERROR((IF(G26="S",5,IF(G26="A",4,IF(G26="B",3,IF(G26="C",2,IF(G26="D",1,0)))))+IF(G27="S",5,IF(G27="A",4,IF(G27="B",3,IF(G27="C",2,IF(G27="D",1,0)))))+IF(G28="S",5,IF(G28="A",4,IF(G28="B",3,IF(G28="C",2,IF(G28="D",1,0)))))+IF(G29="S",5,IF(G29="A",4,IF(G29="B",3,IF(G29="C",2,IF(G29="D",1,0)))))+IF(G30="S",5,IF(G30="A",4,IF(G30="B",3,IF(G30="C",2,IF(G30="D",1,0)))))+IF(G31="S",5,IF(G31="A",4,IF(G31="B",3,IF(G31="C",2,IF(G31="D",1,0)))))+IF(G32="S",5,IF(G32="A",4,IF(G32="B",3,IF(G32="C",2,IF(G32="D",1,0)))))+IF(G33="S",5,IF(G33="A",4,IF(G33="B",3,IF(G33="C",2,IF(G33="D",1,0)))))+IF(G34="S",5,IF(G34="A",4,IF(G34="B",3,IF(G34="C",2,IF(G34="D",1,0)))))+IF(G35="S",5,IF(G35="A",4,IF(G35="B",3,IF(G35="C",2,IF(G35="D",1,0)))))+IF(G36="S",5,IF(G36="A",4,IF(G36="B",3,IF(G36="C",2,IF(G36="D",1,0))))))/11,"")</f>
        <v/>
      </c>
      <c r="G38" s="44" t="inlineStr">
        <is>
          <t>→ 등급</t>
        </is>
      </c>
      <c r="H38" s="71">
        <f>IF(OR(F38="",F38&lt;0.5),"",IF(F38&gt;=4.5,"S",IF(F38&gt;=3.5,"A",IF(F38&gt;=2.5,"B",IF(F38&gt;=1.5,"C","D")))))</f>
        <v/>
      </c>
    </row>
    <row r="40" ht="28.05" customHeight="1">
      <c r="A40" s="66" t="inlineStr">
        <is>
          <t>▶ ③ 직무역량평가 — 메인 책무(E열 O 표시)만 1·2차 평가자 등급 입력</t>
        </is>
      </c>
      <c r="B40" s="104" t="n"/>
      <c r="C40" s="104" t="n"/>
      <c r="D40" s="104" t="n"/>
      <c r="E40" s="104" t="n"/>
      <c r="F40" s="104" t="n"/>
      <c r="G40" s="104" t="n"/>
      <c r="H40" s="105" t="n"/>
      <c r="I40" s="60" t="n"/>
      <c r="J40" s="60" t="n"/>
      <c r="K40" s="60" t="n"/>
      <c r="L40" s="60" t="n"/>
    </row>
    <row r="41" ht="32" customHeight="1">
      <c r="A41" s="68" t="inlineStr">
        <is>
          <t>No.</t>
        </is>
      </c>
      <c r="B41" s="68" t="inlineStr">
        <is>
          <t>전문영역</t>
        </is>
      </c>
      <c r="C41" s="68" t="inlineStr">
        <is>
          <t>핵심 책무</t>
        </is>
      </c>
      <c r="D41" s="68" t="inlineStr">
        <is>
          <t>S/A/B/C/D 등급 기준</t>
        </is>
      </c>
      <c r="E41" s="68" t="inlineStr">
        <is>
          <t>메인</t>
        </is>
      </c>
      <c r="F41" s="68" t="inlineStr">
        <is>
          <t>1차</t>
        </is>
      </c>
      <c r="G41" s="68" t="inlineStr">
        <is>
          <t>2차</t>
        </is>
      </c>
      <c r="H41" s="68" t="inlineStr">
        <is>
          <t>평가 근거 및 피드백</t>
        </is>
      </c>
      <c r="I41" s="60" t="n"/>
      <c r="J41" s="60" t="n"/>
      <c r="K41" s="60" t="n"/>
      <c r="L41" s="60" t="n"/>
    </row>
    <row r="42" ht="85.05" customHeight="1">
      <c r="A42" s="33" t="inlineStr">
        <is>
          <t>J-1</t>
        </is>
      </c>
      <c r="B42" s="54" t="inlineStr">
        <is>
          <t>기술지원</t>
        </is>
      </c>
      <c r="C42" s="54" t="inlineStr">
        <is>
          <t>고객 문의 대응</t>
        </is>
      </c>
      <c r="D42" s="53" t="inlineStr">
        <is>
          <t>S  기대 현저히 초과
A  기대 상회
B  기대 부합
C  부분 미흡
D  전반 미흡</t>
        </is>
      </c>
      <c r="E42" s="42" t="n"/>
      <c r="F42" s="42" t="n"/>
      <c r="G42" s="107" t="n"/>
      <c r="H42" s="47">
        <f>IF(E42="O",IFERROR(IF(AND(F42&lt;&gt;"",G42&lt;&gt;""),(IFERROR(IF(F42="S",5,IF(F42="A",4,IF(F42="B",3,IF(F42="C",2,IF(F42="D",1,0))))),0)+IFERROR(IF(G42="S",5,IF(G42="A",4,IF(G42="B",3,IF(G42="C",2,IF(G42="D",1,0))))),0))/2,IF(F42&lt;&gt;"",IFERROR(IF(F42="S",5,IF(F42="A",4,IF(F42="B",3,IF(F42="C",2,IF(F42="D",1,0))))),0),IF(G42&lt;&gt;"",IFERROR(IF(G42="S",5,IF(G42="A",4,IF(G42="B",3,IF(G42="C",2,IF(G42="D",1,0))))),0),""))),""),"")</f>
        <v/>
      </c>
      <c r="I42" s="60" t="n"/>
      <c r="J42" s="60" t="n"/>
      <c r="K42" s="60" t="n"/>
      <c r="L42" s="60" t="n"/>
    </row>
    <row r="43" ht="85.05" customHeight="1">
      <c r="A43" s="33" t="inlineStr">
        <is>
          <t>J-2</t>
        </is>
      </c>
      <c r="B43" s="54" t="inlineStr">
        <is>
          <t>기술지원</t>
        </is>
      </c>
      <c r="C43" s="54" t="inlineStr">
        <is>
          <t>원격·현장 지원</t>
        </is>
      </c>
      <c r="D43" s="53" t="inlineStr">
        <is>
          <t>S  기대 현저히 초과
A  기대 상회
B  기대 부합
C  부분 미흡
D  전반 미흡</t>
        </is>
      </c>
      <c r="E43" s="42" t="n"/>
      <c r="F43" s="42" t="n"/>
      <c r="G43" s="107" t="n"/>
      <c r="H43" s="47">
        <f>IF(E43="O",IFERROR(IF(AND(F43&lt;&gt;"",G43&lt;&gt;""),(IFERROR(IF(F43="S",5,IF(F43="A",4,IF(F43="B",3,IF(F43="C",2,IF(F43="D",1,0))))),0)+IFERROR(IF(G43="S",5,IF(G43="A",4,IF(G43="B",3,IF(G43="C",2,IF(G43="D",1,0))))),0))/2,IF(F43&lt;&gt;"",IFERROR(IF(F43="S",5,IF(F43="A",4,IF(F43="B",3,IF(F43="C",2,IF(F43="D",1,0))))),0),IF(G43&lt;&gt;"",IFERROR(IF(G43="S",5,IF(G43="A",4,IF(G43="B",3,IF(G43="C",2,IF(G43="D",1,0))))),0),""))),""),"")</f>
        <v/>
      </c>
      <c r="I43" s="60" t="n"/>
      <c r="J43" s="60" t="n"/>
      <c r="K43" s="60" t="n"/>
      <c r="L43" s="60" t="n"/>
    </row>
    <row r="44" ht="85.05" customHeight="1">
      <c r="A44" s="33" t="inlineStr">
        <is>
          <t>J-3</t>
        </is>
      </c>
      <c r="B44" s="54" t="inlineStr">
        <is>
          <t>기술지원</t>
        </is>
      </c>
      <c r="C44" s="54" t="inlineStr">
        <is>
          <t>기술 문서 작성</t>
        </is>
      </c>
      <c r="D44" s="53" t="inlineStr">
        <is>
          <t>S  기대 현저히 초과
A  기대 상회
B  기대 부합
C  부분 미흡
D  전반 미흡</t>
        </is>
      </c>
      <c r="E44" s="42" t="n"/>
      <c r="F44" s="42" t="n"/>
      <c r="G44" s="107" t="n"/>
      <c r="H44" s="47">
        <f>IF(E44="O",IFERROR(IF(AND(F44&lt;&gt;"",G44&lt;&gt;""),(IFERROR(IF(F44="S",5,IF(F44="A",4,IF(F44="B",3,IF(F44="C",2,IF(F44="D",1,0))))),0)+IFERROR(IF(G44="S",5,IF(G44="A",4,IF(G44="B",3,IF(G44="C",2,IF(G44="D",1,0))))),0))/2,IF(F44&lt;&gt;"",IFERROR(IF(F44="S",5,IF(F44="A",4,IF(F44="B",3,IF(F44="C",2,IF(F44="D",1,0))))),0),IF(G44&lt;&gt;"",IFERROR(IF(G44="S",5,IF(G44="A",4,IF(G44="B",3,IF(G44="C",2,IF(G44="D",1,0))))),0),""))),""),"")</f>
        <v/>
      </c>
      <c r="I44" s="60" t="n"/>
      <c r="J44" s="60" t="n"/>
      <c r="K44" s="60" t="n"/>
      <c r="L44" s="60" t="n"/>
    </row>
    <row r="45" ht="85.05" customHeight="1">
      <c r="A45" s="33" t="inlineStr">
        <is>
          <t>J-4</t>
        </is>
      </c>
      <c r="B45" s="54" t="inlineStr">
        <is>
          <t>품질개선</t>
        </is>
      </c>
      <c r="C45" s="54" t="inlineStr">
        <is>
          <t>버그 리포트 및 피드백</t>
        </is>
      </c>
      <c r="D45" s="53" t="inlineStr">
        <is>
          <t>S  기대 현저히 초과
A  기대 상회
B  기대 부합
C  부분 미흡
D  전반 미흡</t>
        </is>
      </c>
      <c r="E45" s="42" t="n"/>
      <c r="F45" s="42" t="n"/>
      <c r="G45" s="107" t="n"/>
      <c r="H45" s="47">
        <f>IF(E45="O",IFERROR(IF(AND(F45&lt;&gt;"",G45&lt;&gt;""),(IFERROR(IF(F45="S",5,IF(F45="A",4,IF(F45="B",3,IF(F45="C",2,IF(F45="D",1,0))))),0)+IFERROR(IF(G45="S",5,IF(G45="A",4,IF(G45="B",3,IF(G45="C",2,IF(G45="D",1,0))))),0))/2,IF(F45&lt;&gt;"",IFERROR(IF(F45="S",5,IF(F45="A",4,IF(F45="B",3,IF(F45="C",2,IF(F45="D",1,0))))),0),IF(G45&lt;&gt;"",IFERROR(IF(G45="S",5,IF(G45="A",4,IF(G45="B",3,IF(G45="C",2,IF(G45="D",1,0))))),0),""))),""),"")</f>
        <v/>
      </c>
      <c r="I45" s="60" t="n"/>
      <c r="J45" s="60" t="n"/>
      <c r="K45" s="60" t="n"/>
      <c r="L45" s="60" t="n"/>
    </row>
    <row r="46" ht="85.05" customHeight="1">
      <c r="A46" s="33" t="inlineStr">
        <is>
          <t>J-5</t>
        </is>
      </c>
      <c r="B46" s="54" t="inlineStr">
        <is>
          <t>품질개선</t>
        </is>
      </c>
      <c r="C46" s="54" t="inlineStr">
        <is>
          <t>품질 모니터링</t>
        </is>
      </c>
      <c r="D46" s="53" t="inlineStr">
        <is>
          <t>S  기대 현저히 초과
A  기대 상회
B  기대 부합
C  부분 미흡
D  전반 미흡</t>
        </is>
      </c>
      <c r="E46" s="42" t="n"/>
      <c r="F46" s="42" t="n"/>
      <c r="G46" s="107" t="n"/>
      <c r="H46" s="47">
        <f>IF(E46="O",IFERROR(IF(AND(F46&lt;&gt;"",G46&lt;&gt;""),(IFERROR(IF(F46="S",5,IF(F46="A",4,IF(F46="B",3,IF(F46="C",2,IF(F46="D",1,0))))),0)+IFERROR(IF(G46="S",5,IF(G46="A",4,IF(G46="B",3,IF(G46="C",2,IF(G46="D",1,0))))),0))/2,IF(F46&lt;&gt;"",IFERROR(IF(F46="S",5,IF(F46="A",4,IF(F46="B",3,IF(F46="C",2,IF(F46="D",1,0))))),0),IF(G46&lt;&gt;"",IFERROR(IF(G46="S",5,IF(G46="A",4,IF(G46="B",3,IF(G46="C",2,IF(G46="D",1,0))))),0),""))),""),"")</f>
        <v/>
      </c>
      <c r="I46" s="60" t="n"/>
      <c r="J46" s="60" t="n"/>
      <c r="K46" s="60" t="n"/>
      <c r="L46" s="60" t="n"/>
    </row>
    <row r="47" ht="85.05" customHeight="1">
      <c r="A47" s="33" t="n"/>
      <c r="B47" s="54" t="n"/>
      <c r="C47" s="54" t="n"/>
      <c r="D47" s="53" t="n"/>
      <c r="E47" s="42" t="n"/>
      <c r="F47" s="42" t="n"/>
      <c r="G47" s="107" t="n"/>
      <c r="H47" s="47" t="n"/>
      <c r="I47" s="60" t="n"/>
      <c r="J47" s="60" t="n"/>
      <c r="K47" s="60" t="n"/>
      <c r="L47" s="60" t="n"/>
    </row>
    <row r="48" ht="85.05" customHeight="1">
      <c r="A48" s="33" t="n"/>
      <c r="B48" s="54" t="n"/>
      <c r="C48" s="54" t="n"/>
      <c r="D48" s="53" t="n"/>
      <c r="E48" s="42" t="n"/>
      <c r="F48" s="42" t="n"/>
      <c r="G48" s="107" t="n"/>
      <c r="H48" s="47" t="n"/>
      <c r="I48" s="60" t="n"/>
      <c r="J48" s="60" t="n"/>
      <c r="K48" s="60" t="n"/>
      <c r="L48" s="60" t="n"/>
    </row>
    <row r="49" ht="85.05" customHeight="1">
      <c r="A49" s="33" t="n"/>
      <c r="B49" s="54" t="n"/>
      <c r="C49" s="54" t="n"/>
      <c r="D49" s="53" t="n"/>
      <c r="E49" s="42" t="n"/>
      <c r="F49" s="42" t="n"/>
      <c r="G49" s="107" t="n"/>
      <c r="H49" s="47" t="n"/>
      <c r="I49" s="60" t="n"/>
      <c r="J49" s="60" t="n"/>
      <c r="K49" s="60" t="n"/>
      <c r="L49" s="60" t="n"/>
    </row>
    <row r="50" ht="85.05" customHeight="1">
      <c r="A50" s="33" t="n"/>
      <c r="B50" s="54" t="n"/>
      <c r="C50" s="54" t="n"/>
      <c r="D50" s="53" t="n"/>
      <c r="E50" s="42" t="n"/>
      <c r="F50" s="42" t="n"/>
      <c r="G50" s="107" t="n"/>
      <c r="H50" s="47" t="n"/>
      <c r="I50" s="60" t="n"/>
      <c r="J50" s="60" t="n"/>
      <c r="K50" s="60" t="n"/>
      <c r="L50" s="60" t="n"/>
    </row>
    <row r="51" ht="85.05" customHeight="1">
      <c r="A51" s="33" t="n"/>
      <c r="B51" s="54" t="n"/>
      <c r="C51" s="54" t="n"/>
      <c r="D51" s="53" t="n"/>
      <c r="E51" s="42" t="n"/>
      <c r="F51" s="42" t="n"/>
      <c r="G51" s="107" t="n"/>
      <c r="H51" s="47" t="n"/>
      <c r="I51" s="60" t="n"/>
      <c r="J51" s="60" t="n"/>
      <c r="K51" s="60" t="n"/>
      <c r="L51" s="60" t="n"/>
    </row>
    <row r="52" ht="85.05" customHeight="1">
      <c r="A52" s="33" t="n"/>
      <c r="B52" s="54" t="n"/>
      <c r="C52" s="54" t="n"/>
      <c r="D52" s="53" t="n"/>
      <c r="E52" s="42" t="n"/>
      <c r="F52" s="42" t="n"/>
      <c r="G52" s="107" t="n"/>
      <c r="H52" s="47" t="n"/>
      <c r="I52" s="60" t="n"/>
      <c r="J52" s="60" t="n"/>
      <c r="K52" s="60" t="n"/>
      <c r="L52" s="60" t="n"/>
    </row>
    <row r="53" ht="85.05" customHeight="1">
      <c r="A53" s="33" t="n"/>
      <c r="B53" s="54" t="n"/>
      <c r="C53" s="54" t="n"/>
      <c r="D53" s="53" t="n"/>
      <c r="E53" s="42" t="n"/>
      <c r="F53" s="42" t="n"/>
      <c r="G53" s="107" t="n"/>
      <c r="H53" s="47" t="n"/>
      <c r="I53" s="60" t="n"/>
      <c r="J53" s="60" t="n"/>
      <c r="K53" s="60" t="n"/>
      <c r="L53" s="60" t="n"/>
    </row>
    <row r="54" ht="85.05" customHeight="1">
      <c r="A54" s="33" t="n"/>
      <c r="B54" s="54" t="n"/>
      <c r="C54" s="54" t="n"/>
      <c r="D54" s="53" t="n"/>
      <c r="E54" s="42" t="n"/>
      <c r="F54" s="42" t="n"/>
      <c r="G54" s="107" t="n"/>
      <c r="H54" s="47" t="n"/>
      <c r="I54" s="60" t="n"/>
      <c r="J54" s="60" t="n"/>
      <c r="K54" s="60" t="n"/>
      <c r="L54" s="60" t="n"/>
    </row>
    <row r="55" ht="85.05" customHeight="1">
      <c r="A55" s="33" t="n"/>
      <c r="B55" s="54" t="n"/>
      <c r="C55" s="54" t="n"/>
      <c r="D55" s="53" t="n"/>
      <c r="E55" s="42" t="n"/>
      <c r="F55" s="42" t="n"/>
      <c r="G55" s="107" t="n"/>
      <c r="H55" s="47" t="n"/>
      <c r="I55" s="60" t="n"/>
      <c r="J55" s="60" t="n"/>
      <c r="K55" s="60" t="n"/>
      <c r="L55" s="60" t="n"/>
    </row>
    <row r="56" ht="85.05" customHeight="1">
      <c r="A56" s="33" t="n"/>
      <c r="B56" s="54" t="n"/>
      <c r="C56" s="54" t="n"/>
      <c r="D56" s="53" t="n"/>
      <c r="E56" s="42" t="n"/>
      <c r="F56" s="42" t="n"/>
      <c r="G56" s="107" t="n"/>
      <c r="H56" s="47" t="n"/>
      <c r="I56" s="60" t="n"/>
      <c r="J56" s="60" t="n"/>
      <c r="K56" s="60" t="n"/>
      <c r="L56" s="60" t="n"/>
    </row>
    <row r="57">
      <c r="A57" s="61" t="n"/>
      <c r="B57" s="61" t="n"/>
      <c r="C57" s="61" t="n"/>
      <c r="D57" s="61" t="n"/>
      <c r="E57" s="61" t="n"/>
      <c r="F57" s="61" t="n"/>
      <c r="G57" s="61" t="n"/>
      <c r="H57" s="61" t="n"/>
      <c r="I57" s="60" t="n"/>
      <c r="J57" s="60" t="n"/>
      <c r="K57" s="60" t="n"/>
      <c r="L57" s="60" t="n"/>
    </row>
    <row r="58" ht="28.05" customHeight="1">
      <c r="A58" s="74" t="inlineStr">
        <is>
          <t>1차 평가자 직무 종합 (메인 책무 평균)</t>
        </is>
      </c>
      <c r="B58" s="104" t="n"/>
      <c r="C58" s="104" t="n"/>
      <c r="D58" s="105" t="n"/>
      <c r="E58" s="48">
        <f>IFERROR(SUMPRODUCT((E42:E56="O")*IFERROR(IF(F42:F56="S",5,IF(F42:F56="A",4,IF(F42:F56="B",3,IF(F42:F56="C",2,IF(F42:F56="D",1,0))))),0))/MAX(SUMPRODUCT((E42:E56="O")*(F42:F56&lt;&gt;"")),1),0)</f>
        <v/>
      </c>
      <c r="F58" s="49" t="inlineStr">
        <is>
          <t>→ 등급</t>
        </is>
      </c>
      <c r="G58" s="50">
        <f>IF(OR(E58="",E58&lt;0.5),"",IF(E58&gt;=4.5,"S",IF(E58&gt;=3.5,"A",IF(E58&gt;=2.5,"B",IF(E58&gt;=1.5,"C","D")))))</f>
        <v/>
      </c>
      <c r="H58" s="51" t="n"/>
      <c r="I58" s="60" t="n"/>
      <c r="J58" s="60" t="n"/>
      <c r="K58" s="60" t="n"/>
      <c r="L58" s="60" t="n"/>
    </row>
    <row r="59" ht="28.05" customHeight="1">
      <c r="A59" s="74" t="inlineStr">
        <is>
          <t>2차 평가자 직무 종합 (메인 책무 평균)</t>
        </is>
      </c>
      <c r="B59" s="104" t="n"/>
      <c r="C59" s="104" t="n"/>
      <c r="D59" s="105" t="n"/>
      <c r="E59" s="48">
        <f>IFERROR(SUMPRODUCT((E42:E56="O")*IFERROR(IF(G42:G56="S",5,IF(G42:G56="A",4,IF(G42:G56="B",3,IF(G42:G56="C",2,IF(G42:G56="D",1,0))))),0))/MAX(SUMPRODUCT((E42:E56="O")*(G42:G56&lt;&gt;"")),1),0)</f>
        <v/>
      </c>
      <c r="F59" s="49" t="inlineStr">
        <is>
          <t>→ 등급</t>
        </is>
      </c>
      <c r="G59" s="50">
        <f>IF(OR(E59="",E59&lt;0.5),"",IF(E59&gt;=4.5,"S",IF(E59&gt;=3.5,"A",IF(E59&gt;=2.5,"B",IF(E59&gt;=1.5,"C","D")))))</f>
        <v/>
      </c>
      <c r="H59" s="51" t="n"/>
      <c r="I59" s="60" t="n"/>
      <c r="J59" s="60" t="n"/>
      <c r="K59" s="60" t="n"/>
      <c r="L59" s="60" t="n"/>
    </row>
    <row r="60">
      <c r="A60" s="60" t="n"/>
      <c r="B60" s="60" t="n"/>
      <c r="C60" s="60" t="n"/>
      <c r="D60" s="60" t="n"/>
      <c r="E60" s="60" t="n"/>
      <c r="F60" s="60" t="n"/>
      <c r="G60" s="60" t="n"/>
      <c r="H60" s="60" t="n"/>
      <c r="I60" s="60" t="n"/>
      <c r="J60" s="60" t="n"/>
      <c r="K60" s="60" t="n"/>
      <c r="L60" s="60" t="n"/>
    </row>
    <row r="61" ht="24" customHeight="1">
      <c r="A61" s="80" t="inlineStr">
        <is>
          <t>▶ 통합관리시트 입력 행 (아래 한 줄 A~G 7개 셀을 통째 복사 → 07a/07b의 G~M에 [값 붙여넣기])</t>
        </is>
      </c>
      <c r="B61" s="104" t="n"/>
      <c r="C61" s="104" t="n"/>
      <c r="D61" s="104" t="n"/>
      <c r="E61" s="104" t="n"/>
      <c r="F61" s="104" t="n"/>
      <c r="G61" s="104" t="n"/>
      <c r="H61" s="105" t="n"/>
      <c r="I61" s="60" t="n"/>
      <c r="J61" s="60" t="n"/>
      <c r="K61" s="60" t="n"/>
      <c r="L61" s="60" t="n"/>
    </row>
    <row r="62" ht="22.05" customHeight="1">
      <c r="A62" s="81" t="inlineStr">
        <is>
          <t>사용법: 아래 한 줄 A~G 선택 → Ctrl+C → 통합관리시트 07a 또는 07b의 해당 사원 행 G열에 [선택하여 붙여넣기 → 값] 실행</t>
        </is>
      </c>
      <c r="B62" s="104" t="n"/>
      <c r="C62" s="104" t="n"/>
      <c r="D62" s="104" t="n"/>
      <c r="E62" s="104" t="n"/>
      <c r="F62" s="104" t="n"/>
      <c r="G62" s="104" t="n"/>
      <c r="H62" s="105" t="n"/>
      <c r="I62" s="60" t="n"/>
      <c r="J62" s="60" t="n"/>
      <c r="K62" s="60" t="n"/>
      <c r="L62" s="60" t="n"/>
    </row>
    <row r="63" ht="24" customHeight="1">
      <c r="A63" s="49" t="inlineStr">
        <is>
          <t>역할(1차)</t>
        </is>
      </c>
      <c r="B63" s="49" t="inlineStr">
        <is>
          <t>역할(2차)</t>
        </is>
      </c>
      <c r="C63" s="49" t="inlineStr">
        <is>
          <t>공통(1차)</t>
        </is>
      </c>
      <c r="D63" s="49" t="inlineStr">
        <is>
          <t>공통(2차)</t>
        </is>
      </c>
      <c r="E63" s="49" t="inlineStr">
        <is>
          <t>직무(1차)</t>
        </is>
      </c>
      <c r="F63" s="49" t="inlineStr">
        <is>
          <t>직무(2차)</t>
        </is>
      </c>
      <c r="G63" s="49" t="inlineStr">
        <is>
          <t>소견</t>
        </is>
      </c>
      <c r="H63" s="105" t="n"/>
      <c r="I63" s="60" t="n"/>
      <c r="J63" s="60" t="n"/>
      <c r="K63" s="60" t="n"/>
      <c r="L63" s="60" t="n"/>
    </row>
    <row r="64" ht="30" customHeight="1">
      <c r="A64" s="52">
        <f>G21</f>
        <v/>
      </c>
      <c r="B64" s="52">
        <f>G22</f>
        <v/>
      </c>
      <c r="C64" s="52">
        <f>H37</f>
        <v/>
      </c>
      <c r="D64" s="52">
        <f>H38</f>
        <v/>
      </c>
      <c r="E64" s="52">
        <f>G58</f>
        <v/>
      </c>
      <c r="F64" s="52">
        <f>G59</f>
        <v/>
      </c>
      <c r="G64" s="108" t="n"/>
      <c r="H64" s="105" t="n"/>
      <c r="I64" s="60" t="n"/>
      <c r="J64" s="60" t="n"/>
      <c r="K64" s="60" t="n"/>
      <c r="L64" s="60" t="n"/>
    </row>
    <row r="65">
      <c r="A65" s="60" t="n"/>
      <c r="B65" s="60" t="n"/>
      <c r="C65" s="60" t="n"/>
      <c r="D65" s="60" t="n"/>
      <c r="E65" s="60" t="n"/>
      <c r="F65" s="60" t="n"/>
      <c r="G65" s="60" t="n"/>
      <c r="H65" s="60" t="n"/>
      <c r="I65" s="60" t="n"/>
      <c r="J65" s="60" t="n"/>
      <c r="K65" s="60" t="n"/>
      <c r="L65" s="60" t="n"/>
    </row>
    <row r="66" ht="24" customHeight="1">
      <c r="A66" s="80" t="inlineStr">
        <is>
          <t>▶ 종합 소견 (강점·개선·육성 방향)</t>
        </is>
      </c>
      <c r="B66" s="104" t="n"/>
      <c r="C66" s="104" t="n"/>
      <c r="D66" s="104" t="n"/>
      <c r="E66" s="104" t="n"/>
      <c r="F66" s="104" t="n"/>
      <c r="G66" s="104" t="n"/>
      <c r="H66" s="105" t="n"/>
      <c r="I66" s="60" t="n"/>
      <c r="J66" s="60" t="n"/>
      <c r="K66" s="60" t="n"/>
      <c r="L66" s="60" t="n"/>
    </row>
    <row r="67" ht="50" customHeight="1">
      <c r="A67" s="49" t="inlineStr">
        <is>
          <t>강점</t>
        </is>
      </c>
      <c r="B67" s="64" t="n"/>
      <c r="C67" s="104" t="n"/>
      <c r="D67" s="104" t="n"/>
      <c r="E67" s="104" t="n"/>
      <c r="F67" s="104" t="n"/>
      <c r="G67" s="104" t="n"/>
      <c r="H67" s="105" t="n"/>
      <c r="I67" s="60" t="n"/>
      <c r="J67" s="60" t="n"/>
      <c r="K67" s="60" t="n"/>
      <c r="L67" s="60" t="n"/>
    </row>
    <row r="68" ht="50" customHeight="1">
      <c r="A68" s="49" t="inlineStr">
        <is>
          <t>개선</t>
        </is>
      </c>
      <c r="B68" s="64" t="n"/>
      <c r="C68" s="104" t="n"/>
      <c r="D68" s="104" t="n"/>
      <c r="E68" s="104" t="n"/>
      <c r="F68" s="104" t="n"/>
      <c r="G68" s="104" t="n"/>
      <c r="H68" s="105" t="n"/>
      <c r="I68" s="60" t="n"/>
      <c r="J68" s="60" t="n"/>
      <c r="K68" s="60" t="n"/>
      <c r="L68" s="60" t="n"/>
    </row>
    <row r="69" ht="50" customHeight="1">
      <c r="A69" s="49" t="inlineStr">
        <is>
          <t>육성 방향</t>
        </is>
      </c>
      <c r="B69" s="64" t="n"/>
      <c r="C69" s="104" t="n"/>
      <c r="D69" s="104" t="n"/>
      <c r="E69" s="104" t="n"/>
      <c r="F69" s="104" t="n"/>
      <c r="G69" s="104" t="n"/>
      <c r="H69" s="105" t="n"/>
      <c r="I69" s="60" t="n"/>
      <c r="J69" s="60" t="n"/>
      <c r="K69" s="60" t="n"/>
      <c r="L69" s="60" t="n"/>
    </row>
    <row r="70">
      <c r="A70" s="60" t="n"/>
      <c r="B70" s="60" t="n"/>
      <c r="C70" s="60" t="n"/>
      <c r="D70" s="60" t="n"/>
      <c r="E70" s="60" t="n"/>
      <c r="F70" s="60" t="n"/>
      <c r="G70" s="60" t="n"/>
      <c r="H70" s="60" t="n"/>
      <c r="I70" s="60" t="n"/>
      <c r="J70" s="60" t="n"/>
      <c r="K70" s="60" t="n"/>
      <c r="L70" s="60" t="n"/>
    </row>
    <row r="71">
      <c r="A71" s="60" t="n"/>
      <c r="B71" s="60" t="n"/>
      <c r="C71" s="60" t="n"/>
      <c r="D71" s="60" t="n"/>
      <c r="E71" s="60" t="n"/>
      <c r="F71" s="60" t="n"/>
      <c r="G71" s="60" t="n"/>
      <c r="H71" s="60" t="n"/>
      <c r="I71" s="60" t="n"/>
      <c r="J71" s="60" t="n"/>
      <c r="K71" s="60" t="n"/>
      <c r="L71" s="60" t="n"/>
    </row>
    <row r="72">
      <c r="A72" s="60" t="n"/>
      <c r="B72" s="60" t="n"/>
      <c r="C72" s="60" t="n"/>
      <c r="D72" s="60" t="n"/>
      <c r="E72" s="60" t="n"/>
      <c r="F72" s="60" t="n"/>
      <c r="G72" s="60" t="n"/>
      <c r="H72" s="60" t="n"/>
      <c r="I72" s="60" t="n"/>
      <c r="J72" s="60" t="n"/>
      <c r="K72" s="60" t="n"/>
      <c r="L72" s="60" t="n"/>
    </row>
  </sheetData>
  <mergeCells count="43">
    <mergeCell ref="G21:H21"/>
    <mergeCell ref="A22:D22"/>
    <mergeCell ref="B68:H68"/>
    <mergeCell ref="A24:H24"/>
    <mergeCell ref="G27:H27"/>
    <mergeCell ref="G36:H36"/>
    <mergeCell ref="A1:H1"/>
    <mergeCell ref="G17:H17"/>
    <mergeCell ref="A61:H61"/>
    <mergeCell ref="A58:D58"/>
    <mergeCell ref="B11:F11"/>
    <mergeCell ref="G19:H19"/>
    <mergeCell ref="A59:D59"/>
    <mergeCell ref="A66:H66"/>
    <mergeCell ref="A37:E37"/>
    <mergeCell ref="G28:H28"/>
    <mergeCell ref="A4:F4"/>
    <mergeCell ref="G18:H18"/>
    <mergeCell ref="G34:H34"/>
    <mergeCell ref="G30:H30"/>
    <mergeCell ref="G15:H15"/>
    <mergeCell ref="A2:H2"/>
    <mergeCell ref="G33:H33"/>
    <mergeCell ref="B67:H67"/>
    <mergeCell ref="G64:H64"/>
    <mergeCell ref="G26:H26"/>
    <mergeCell ref="G35:H35"/>
    <mergeCell ref="G29:H29"/>
    <mergeCell ref="A62:H62"/>
    <mergeCell ref="B14:H14"/>
    <mergeCell ref="G20:H20"/>
    <mergeCell ref="A38:E38"/>
    <mergeCell ref="G16:H16"/>
    <mergeCell ref="G32:H32"/>
    <mergeCell ref="G63:H63"/>
    <mergeCell ref="G25:H25"/>
    <mergeCell ref="A21:D21"/>
    <mergeCell ref="B69:H69"/>
    <mergeCell ref="A13:H13"/>
    <mergeCell ref="G31:H31"/>
    <mergeCell ref="G22:H22"/>
    <mergeCell ref="A7:F7"/>
    <mergeCell ref="A40:H40"/>
  </mergeCells>
  <dataValidations count="4">
    <dataValidation sqref="E42:E56" showDropDown="0" showInputMessage="1" showErrorMessage="0" allowBlank="1" promptTitle="메인 책무" prompt="메인 책무는 O, 비메인은 X" type="list">
      <formula1>"O,X"</formula1>
    </dataValidation>
    <dataValidation sqref="F42:G56" showDropDown="0" showInputMessage="1" showErrorMessage="0" allowBlank="1" promptTitle="평가 등급" prompt="S/A/B/C/D 중 선택" type="list">
      <formula1>"S,A,B,C,D"</formula1>
    </dataValidation>
    <dataValidation sqref="E16:F20 E26:F36" showDropDown="0" showInputMessage="1" showErrorMessage="0" allowBlank="1" type="list">
      <formula1>"S,A,B,C,D"</formula1>
    </dataValidation>
    <dataValidation sqref="B11" showDropDown="0" showInputMessage="1" showErrorMessage="0" allowBlank="1" type="list">
      <formula1>"상반기,하반기"</formula1>
    </dataValidation>
  </dataValidations>
  <pageMargins left="0.75" right="0.75" top="1" bottom="1" header="0.5" footer="0.5"/>
  <pageSetup orientation="portrait" paperSize="9" verticalDpi="0"/>
</worksheet>
</file>

<file path=xl/worksheets/sheet8.xml><?xml version="1.0" encoding="utf-8"?>
<worksheet xmlns="http://schemas.openxmlformats.org/spreadsheetml/2006/main">
  <sheetPr>
    <tabColor rgb="FF70AD47"/>
    <outlinePr summaryBelow="1" summaryRight="1"/>
    <pageSetUpPr/>
  </sheetPr>
  <dimension ref="A1:L72"/>
  <sheetViews>
    <sheetView workbookViewId="0">
      <selection activeCell="A1" sqref="A1"/>
    </sheetView>
  </sheetViews>
  <sheetFormatPr baseColWidth="8" defaultRowHeight="16.9"/>
  <cols>
    <col width="30.5625" customWidth="1" style="58" min="1" max="8"/>
    <col width="11" customWidth="1" style="58" min="9" max="11"/>
    <col width="9" customWidth="1" style="58" min="12" max="16384"/>
  </cols>
  <sheetData>
    <row r="1" ht="30" customHeight="1">
      <c r="A1" s="62" t="inlineStr">
        <is>
          <t>성과평가지 양식 - 기술지원 / G1 (실무 보조)</t>
        </is>
      </c>
      <c r="B1" s="86" t="n"/>
      <c r="C1" s="86" t="n"/>
      <c r="D1" s="86" t="n"/>
      <c r="E1" s="86" t="n"/>
      <c r="F1" s="86" t="n"/>
      <c r="G1" s="86" t="n"/>
      <c r="H1" s="87" t="n"/>
    </row>
    <row r="2" ht="22.05" customHeight="1">
      <c r="A2" s="73" t="inlineStr">
        <is>
          <t>1·2차 평가자가 등급(S/A/B/C/D)만 입력. 가중치는 통합관리시트에서 자동 처리.</t>
        </is>
      </c>
      <c r="B2" s="86" t="n"/>
      <c r="C2" s="86" t="n"/>
      <c r="D2" s="86" t="n"/>
      <c r="E2" s="86" t="n"/>
      <c r="F2" s="86" t="n"/>
      <c r="G2" s="86" t="n"/>
      <c r="H2" s="87" t="n"/>
    </row>
    <row r="4" ht="24" customHeight="1">
      <c r="A4" s="67" t="inlineStr">
        <is>
          <t>▶ 평가 대상자 정보 (주황셀에 입력)</t>
        </is>
      </c>
      <c r="B4" s="104" t="n"/>
      <c r="C4" s="104" t="n"/>
      <c r="D4" s="104" t="n"/>
      <c r="E4" s="104" t="n"/>
      <c r="F4" s="105" t="n"/>
      <c r="G4" s="63" t="n"/>
      <c r="H4" s="63" t="n"/>
    </row>
    <row r="5" ht="22.05" customHeight="1">
      <c r="A5" s="33" t="inlineStr">
        <is>
          <t>사번</t>
        </is>
      </c>
      <c r="B5" s="34" t="n"/>
      <c r="C5" s="33" t="inlineStr">
        <is>
          <t>성명</t>
        </is>
      </c>
      <c r="D5" s="34" t="n"/>
      <c r="E5" s="33" t="inlineStr">
        <is>
          <t>부서</t>
        </is>
      </c>
      <c r="F5" s="34" t="n"/>
    </row>
    <row r="6" ht="22.05" customHeight="1">
      <c r="A6" s="33" t="inlineStr">
        <is>
          <t>직군</t>
        </is>
      </c>
      <c r="B6" s="34" t="n"/>
      <c r="C6" s="33" t="inlineStr">
        <is>
          <t>직무</t>
        </is>
      </c>
      <c r="D6" s="35" t="inlineStr">
        <is>
          <t>BIM컨설팅</t>
        </is>
      </c>
      <c r="E6" s="33" t="inlineStr">
        <is>
          <t>역할등급(명)</t>
        </is>
      </c>
      <c r="F6" s="35" t="inlineStr">
        <is>
          <t>G6(사업·조직 관리)</t>
        </is>
      </c>
    </row>
    <row r="7" ht="24" customHeight="1">
      <c r="A7" s="67" t="inlineStr">
        <is>
          <t>▶ 평가자 정보 (주황셀에 입력)</t>
        </is>
      </c>
      <c r="B7" s="104" t="n"/>
      <c r="C7" s="104" t="n"/>
      <c r="D7" s="104" t="n"/>
      <c r="E7" s="104" t="n"/>
      <c r="F7" s="105" t="n"/>
      <c r="G7" s="63" t="n"/>
      <c r="H7" s="63" t="n"/>
    </row>
    <row r="8" ht="24" customHeight="1">
      <c r="A8" s="36" t="inlineStr">
        <is>
          <t>구분</t>
        </is>
      </c>
      <c r="B8" s="36" t="inlineStr">
        <is>
          <t>사번</t>
        </is>
      </c>
      <c r="C8" s="36" t="inlineStr">
        <is>
          <t>성명</t>
        </is>
      </c>
      <c r="D8" s="36" t="inlineStr">
        <is>
          <t>직책</t>
        </is>
      </c>
      <c r="E8" s="36" t="inlineStr">
        <is>
          <t>부서</t>
        </is>
      </c>
      <c r="F8" s="36" t="inlineStr">
        <is>
          <t>평가 일자</t>
        </is>
      </c>
      <c r="G8" s="63" t="n"/>
      <c r="H8" s="63" t="n"/>
    </row>
    <row r="9" ht="24" customHeight="1">
      <c r="A9" s="37" t="inlineStr">
        <is>
          <t>1차 평가자 (직속상사)</t>
        </is>
      </c>
      <c r="B9" s="38" t="n"/>
      <c r="C9" s="38" t="n"/>
      <c r="D9" s="38" t="n"/>
      <c r="E9" s="38" t="n"/>
      <c r="F9" s="39" t="n"/>
      <c r="G9" s="63" t="n"/>
      <c r="H9" s="63" t="n"/>
    </row>
    <row r="10" ht="24" customHeight="1">
      <c r="A10" s="37" t="inlineStr">
        <is>
          <t>2차 평가자 (조정자)</t>
        </is>
      </c>
      <c r="B10" s="38" t="n"/>
      <c r="C10" s="38" t="n"/>
      <c r="D10" s="38" t="n"/>
      <c r="E10" s="38" t="n"/>
      <c r="F10" s="39" t="n"/>
      <c r="G10" s="63" t="n"/>
      <c r="H10" s="63" t="n"/>
    </row>
    <row r="11" ht="24" customHeight="1">
      <c r="A11" s="37" t="inlineStr">
        <is>
          <t>평가 차수</t>
        </is>
      </c>
      <c r="B11" s="72" t="inlineStr">
        <is>
          <t>상반기</t>
        </is>
      </c>
      <c r="C11" s="104" t="n"/>
      <c r="D11" s="104" t="n"/>
      <c r="E11" s="104" t="n"/>
      <c r="F11" s="105" t="n"/>
      <c r="G11" s="63" t="n"/>
      <c r="H11" s="63" t="n"/>
    </row>
    <row r="13" ht="26" customHeight="1">
      <c r="A13" s="77" t="inlineStr">
        <is>
          <t>▶ ① 역할평가 — 5개 BARS 항목</t>
        </is>
      </c>
      <c r="B13" s="104" t="n"/>
      <c r="C13" s="104" t="n"/>
      <c r="D13" s="104" t="n"/>
      <c r="E13" s="104" t="n"/>
      <c r="F13" s="104" t="n"/>
      <c r="G13" s="104" t="n"/>
      <c r="H13" s="105" t="n"/>
    </row>
    <row r="14" ht="38" customHeight="1">
      <c r="A14" s="40" t="inlineStr">
        <is>
          <t>역할 정의</t>
        </is>
      </c>
      <c r="B14" s="75" t="inlineStr">
        <is>
          <t>실무 이해와 기술·지식을 습득하며 프로젝트 진행 과정의 기본 과업을 보조.</t>
        </is>
      </c>
      <c r="C14" s="104" t="n"/>
      <c r="D14" s="104" t="n"/>
      <c r="E14" s="104" t="n"/>
      <c r="F14" s="104" t="n"/>
      <c r="G14" s="104" t="n"/>
      <c r="H14" s="105" t="n"/>
    </row>
    <row r="15" ht="28.05" customHeight="1">
      <c r="A15" s="68" t="inlineStr">
        <is>
          <t>No.</t>
        </is>
      </c>
      <c r="B15" s="68" t="inlineStr">
        <is>
          <t>평가항목</t>
        </is>
      </c>
      <c r="C15" s="68" t="inlineStr">
        <is>
          <t>평가 기준</t>
        </is>
      </c>
      <c r="D15" s="68" t="inlineStr">
        <is>
          <t>S/A/B/C/D 등급 기준</t>
        </is>
      </c>
      <c r="E15" s="68" t="inlineStr">
        <is>
          <t>1차 평가자</t>
        </is>
      </c>
      <c r="F15" s="68" t="inlineStr">
        <is>
          <t>2차 평가자</t>
        </is>
      </c>
      <c r="G15" s="68" t="inlineStr">
        <is>
          <t>평가 근거 및 피드백</t>
        </is>
      </c>
      <c r="H15" s="105" t="n"/>
    </row>
    <row r="16" ht="90" customHeight="1">
      <c r="A16" s="40" t="inlineStr">
        <is>
          <t>R-1</t>
        </is>
      </c>
      <c r="B16" s="55" t="inlineStr">
        <is>
          <t>책임범위 이행도</t>
        </is>
      </c>
      <c r="C16" s="56" t="inlineStr">
        <is>
          <t>역할등급에 부합하는 책임 범위 내 업무 수행</t>
        </is>
      </c>
      <c r="D16" s="53" t="inlineStr">
        <is>
          <t>S  기대 현저히 초과
A  기대 상회
B  기대 부합
C  부분 미흡
D  전반 미흡</t>
        </is>
      </c>
      <c r="E16" s="42" t="n"/>
      <c r="F16" s="42" t="n"/>
      <c r="G16" s="106" t="n"/>
      <c r="H16" s="105" t="n"/>
    </row>
    <row r="17" ht="90" customHeight="1">
      <c r="A17" s="40" t="inlineStr">
        <is>
          <t>R-2</t>
        </is>
      </c>
      <c r="B17" s="55" t="inlineStr">
        <is>
          <t>의사결정 적절성</t>
        </is>
      </c>
      <c r="C17" s="56" t="inlineStr">
        <is>
          <t>권한 수준 내 시의적절·합리적 의사결정</t>
        </is>
      </c>
      <c r="D17" s="53" t="inlineStr">
        <is>
          <t>S  기대 현저히 초과
A  기대 상회
B  기대 부합
C  부분 미흡
D  전반 미흡</t>
        </is>
      </c>
      <c r="E17" s="42" t="n"/>
      <c r="F17" s="42" t="n"/>
      <c r="G17" s="106" t="n"/>
      <c r="H17" s="105" t="n"/>
    </row>
    <row r="18" ht="90" customHeight="1">
      <c r="A18" s="40" t="inlineStr">
        <is>
          <t>R-3</t>
        </is>
      </c>
      <c r="B18" s="55" t="inlineStr">
        <is>
          <t>성과 기여도</t>
        </is>
      </c>
      <c r="C18" s="56" t="inlineStr">
        <is>
          <t>조직·프로젝트 목표 달성에 정량적 기여</t>
        </is>
      </c>
      <c r="D18" s="53" t="inlineStr">
        <is>
          <t>S  기대 현저히 초과
A  기대 상회
B  기대 부합
C  부분 미흡
D  전반 미흡</t>
        </is>
      </c>
      <c r="E18" s="42" t="n"/>
      <c r="F18" s="42" t="n"/>
      <c r="G18" s="106" t="n"/>
      <c r="H18" s="105" t="n"/>
    </row>
    <row r="19" ht="90" customHeight="1">
      <c r="A19" s="40" t="inlineStr">
        <is>
          <t>R-4</t>
        </is>
      </c>
      <c r="B19" s="55" t="inlineStr">
        <is>
          <t>조직 후배 코칭</t>
        </is>
      </c>
      <c r="C19" s="56" t="inlineStr">
        <is>
          <t>상·하위 역할과 효과적 협업 및 후배 코칭</t>
        </is>
      </c>
      <c r="D19" s="53" t="inlineStr">
        <is>
          <t>S  기대 현저히 초과
A  기대 상회
B  기대 부합
C  부분 미흡
D  전반 미흡</t>
        </is>
      </c>
      <c r="E19" s="42" t="n"/>
      <c r="F19" s="42" t="n"/>
      <c r="G19" s="106" t="n"/>
      <c r="H19" s="105" t="n"/>
    </row>
    <row r="20" ht="90" customHeight="1">
      <c r="A20" s="40" t="inlineStr">
        <is>
          <t>R-5</t>
        </is>
      </c>
      <c r="B20" s="55" t="inlineStr">
        <is>
          <t>산출물 완성도</t>
        </is>
      </c>
      <c r="C20" s="56" t="inlineStr">
        <is>
          <t>산출물 품질과 기한 준수</t>
        </is>
      </c>
      <c r="D20" s="53" t="inlineStr">
        <is>
          <t>S  기대 현저히 초과
A  기대 상회
B  기대 부합
C  부분 미흡
D  전반 미흡</t>
        </is>
      </c>
      <c r="E20" s="42" t="n"/>
      <c r="F20" s="42" t="n"/>
      <c r="G20" s="106" t="n"/>
      <c r="H20" s="105" t="n"/>
    </row>
    <row r="21" ht="24" customHeight="1">
      <c r="A21" s="79" t="inlineStr">
        <is>
          <t>1차 평가자 역할 종합 (5개 평균)</t>
        </is>
      </c>
      <c r="B21" s="104" t="n"/>
      <c r="C21" s="104" t="n"/>
      <c r="D21" s="105" t="n"/>
      <c r="E21" s="43">
        <f>IFERROR((IF(E16="S",5,IF(E16="A",4,IF(E16="B",3,IF(E16="C",2,IF(E16="D",1,0)))))+IF(E17="S",5,IF(E17="A",4,IF(E17="B",3,IF(E17="C",2,IF(E17="D",1,0)))))+IF(E18="S",5,IF(E18="A",4,IF(E18="B",3,IF(E18="C",2,IF(E18="D",1,0)))))+IF(E19="S",5,IF(E19="A",4,IF(E19="B",3,IF(E19="C",2,IF(E19="D",1,0)))))+IF(E20="S",5,IF(E20="A",4,IF(E20="B",3,IF(E20="C",2,IF(E20="D",1,0))))))/5,"")</f>
        <v/>
      </c>
      <c r="F21" s="44" t="inlineStr">
        <is>
          <t>→ 등급</t>
        </is>
      </c>
      <c r="G21" s="71">
        <f>IF(OR(E21="",E21&lt;0.5),"",IF(E21&gt;=4.5,"S",IF(E21&gt;=3.5,"A",IF(E21&gt;=2.5,"B",IF(E21&gt;=1.5,"C","D")))))</f>
        <v/>
      </c>
      <c r="H21" s="105" t="n"/>
    </row>
    <row r="22" ht="24" customHeight="1">
      <c r="A22" s="79" t="inlineStr">
        <is>
          <t>2차 평가자 역할 종합 (5개 평균)</t>
        </is>
      </c>
      <c r="B22" s="104" t="n"/>
      <c r="C22" s="104" t="n"/>
      <c r="D22" s="105" t="n"/>
      <c r="E22" s="43">
        <f>IFERROR((IF(F16="S",5,IF(F16="A",4,IF(F16="B",3,IF(F16="C",2,IF(F16="D",1,0)))))+IF(F17="S",5,IF(F17="A",4,IF(F17="B",3,IF(F17="C",2,IF(F17="D",1,0)))))+IF(F18="S",5,IF(F18="A",4,IF(F18="B",3,IF(F18="C",2,IF(F18="D",1,0)))))+IF(F19="S",5,IF(F19="A",4,IF(F19="B",3,IF(F19="C",2,IF(F19="D",1,0)))))+IF(F20="S",5,IF(F20="A",4,IF(F20="B",3,IF(F20="C",2,IF(F20="D",1,0))))))/5,"")</f>
        <v/>
      </c>
      <c r="F22" s="44" t="inlineStr">
        <is>
          <t>→ 등급</t>
        </is>
      </c>
      <c r="G22" s="71">
        <f>IF(OR(E22="",E22&lt;0.5),"",IF(E22&gt;=4.5,"S",IF(E22&gt;=3.5,"A",IF(E22&gt;=2.5,"B",IF(E22&gt;=1.5,"C","D")))))</f>
        <v/>
      </c>
      <c r="H22" s="105" t="n"/>
    </row>
    <row r="24" ht="26" customHeight="1">
      <c r="A24" s="78" t="inlineStr">
        <is>
          <t>▶ ② 공통역량평가 — 11개 (★ S/A/B/C/D 평가기준 포함)</t>
        </is>
      </c>
      <c r="B24" s="104" t="n"/>
      <c r="C24" s="104" t="n"/>
      <c r="D24" s="104" t="n"/>
      <c r="E24" s="104" t="n"/>
      <c r="F24" s="104" t="n"/>
      <c r="G24" s="104" t="n"/>
      <c r="H24" s="105" t="n"/>
    </row>
    <row r="25" ht="28.05" customHeight="1">
      <c r="A25" s="68" t="inlineStr">
        <is>
          <t>No.</t>
        </is>
      </c>
      <c r="B25" s="68" t="inlineStr">
        <is>
          <t>핵심 역량</t>
        </is>
      </c>
      <c r="C25" s="68" t="inlineStr">
        <is>
          <t>평가 기준</t>
        </is>
      </c>
      <c r="D25" s="68" t="inlineStr">
        <is>
          <t>S/A/B/C/D 등급 기준</t>
        </is>
      </c>
      <c r="E25" s="68" t="inlineStr">
        <is>
          <t>1차</t>
        </is>
      </c>
      <c r="F25" s="68" t="inlineStr">
        <is>
          <t>2차</t>
        </is>
      </c>
      <c r="G25" s="68" t="inlineStr">
        <is>
          <t>평가 근거 및 피드백</t>
        </is>
      </c>
      <c r="H25" s="105" t="n"/>
    </row>
    <row r="26" ht="100.05" customHeight="1">
      <c r="A26" s="45" t="inlineStr">
        <is>
          <t>C-1</t>
        </is>
      </c>
      <c r="B26" s="55" t="inlineStr">
        <is>
          <t>직무 전문성</t>
        </is>
      </c>
      <c r="C26" s="56" t="inlineStr">
        <is>
          <t>직무에 필요한 전문 지식 및 기술 보유, 실무 적용</t>
        </is>
      </c>
      <c r="D26" s="53" t="inlineStr">
        <is>
          <t>S  고급 지식과 숙련도, 타 부서 교육 가능
A  최신 트렌드 반영, 실무에 적절 활용
B  일반 수준 이해 및 적용
C  일부 기술 이해, 개선 필요
D  지식 부족, 실무 반영 어려움</t>
        </is>
      </c>
      <c r="E26" s="42" t="n"/>
      <c r="F26" s="42" t="n"/>
      <c r="G26" s="106" t="n"/>
      <c r="H26" s="105" t="n"/>
    </row>
    <row r="27" ht="100.05" customHeight="1">
      <c r="A27" s="45" t="inlineStr">
        <is>
          <t>C-2</t>
        </is>
      </c>
      <c r="B27" s="55" t="inlineStr">
        <is>
          <t>분석력</t>
        </is>
      </c>
      <c r="C27" s="56" t="inlineStr">
        <is>
          <t>데이터·수치 기반 사고로 업무 효율 향상</t>
        </is>
      </c>
      <c r="D27" s="53" t="inlineStr">
        <is>
          <t>S  데이터 기반 전략 도출 가능
A  분석 후 결과 활용 능숙
B  기본적 분석 및 간단한 적용 가능
C  기본 해석은 가능하나 활용 미흡
D  자료 해석 불가, 의사결정 어려움</t>
        </is>
      </c>
      <c r="E27" s="42" t="n"/>
      <c r="F27" s="42" t="n"/>
      <c r="G27" s="106" t="n"/>
      <c r="H27" s="105" t="n"/>
    </row>
    <row r="28" ht="100.05" customHeight="1">
      <c r="A28" s="45" t="inlineStr">
        <is>
          <t>C-3</t>
        </is>
      </c>
      <c r="B28" s="55" t="inlineStr">
        <is>
          <t>기획/실행력</t>
        </is>
      </c>
      <c r="C28" s="56" t="inlineStr">
        <is>
          <t>목표 설정·계획 수립·체계적 실행 능력</t>
        </is>
      </c>
      <c r="D28" s="53" t="inlineStr">
        <is>
          <t>S  스스로 목표 수립 및 조직 리딩 가능
A  계획 수립 능력 우수 및 실행 일관성
B  일반적 목표 수립 및 실현 가능
C  실행 계획 일부 있으나 체계 부족
D  목표 설정 부정확, 실행력 부족</t>
        </is>
      </c>
      <c r="E28" s="42" t="n"/>
      <c r="F28" s="42" t="n"/>
      <c r="G28" s="106" t="n"/>
      <c r="H28" s="105" t="n"/>
    </row>
    <row r="29" ht="100.05" customHeight="1">
      <c r="A29" s="45" t="inlineStr">
        <is>
          <t>C-4</t>
        </is>
      </c>
      <c r="B29" s="55" t="inlineStr">
        <is>
          <t>자원·시간 관리</t>
        </is>
      </c>
      <c r="C29" s="56" t="inlineStr">
        <is>
          <t>업무 우선순위 설정 및 시간 내 효과적 완수</t>
        </is>
      </c>
      <c r="D29" s="53" t="inlineStr">
        <is>
          <t>S  다중 과제 효율 배분, 시간관리 탁월
A  업무 효율성 높고 우선순위 명확
B  일반 수준 일정 조율 가능
C  마감 어려움, 우선순위 혼란
D  업무 지연 잦고 계획 없음</t>
        </is>
      </c>
      <c r="E29" s="42" t="n"/>
      <c r="F29" s="42" t="n"/>
      <c r="G29" s="106" t="n"/>
      <c r="H29" s="105" t="n"/>
    </row>
    <row r="30" ht="100.05" customHeight="1">
      <c r="A30" s="45" t="inlineStr">
        <is>
          <t>C-5</t>
        </is>
      </c>
      <c r="B30" s="55" t="inlineStr">
        <is>
          <t>협업 능력</t>
        </is>
      </c>
      <c r="C30" s="56" t="inlineStr">
        <is>
          <t>팀·타 부서와의 협업 태도, 정보 공유</t>
        </is>
      </c>
      <c r="D30" s="53" t="inlineStr">
        <is>
          <t>S  타 부서와의 시너지 창출
A  정보 공유, 원활한 협업
B  공동목표 수용 및 일부 협력
C  소극적 협조, 갈등 유발
D  협력 거부, 독단적 태도</t>
        </is>
      </c>
      <c r="E30" s="42" t="n"/>
      <c r="F30" s="42" t="n"/>
      <c r="G30" s="106" t="n"/>
      <c r="H30" s="105" t="n"/>
    </row>
    <row r="31" ht="100.05" customHeight="1">
      <c r="A31" s="45" t="inlineStr">
        <is>
          <t>C-6</t>
        </is>
      </c>
      <c r="B31" s="55" t="inlineStr">
        <is>
          <t>소통 능력</t>
        </is>
      </c>
      <c r="C31" s="56" t="inlineStr">
        <is>
          <t>명확한 의사 전달·경청·효과적 커뮤니케이션</t>
        </is>
      </c>
      <c r="D31" s="53" t="inlineStr">
        <is>
          <t>S  갈등 중재 및 공감능력 우수
A  정확한 의사 전달 및 경청
B  피드백 수용 및 전달 가능
C  소통 시 불편 유발
D  일방적 주장, 피드백 거부</t>
        </is>
      </c>
      <c r="E31" s="42" t="n"/>
      <c r="F31" s="42" t="n"/>
      <c r="G31" s="106" t="n"/>
      <c r="H31" s="105" t="n"/>
    </row>
    <row r="32" ht="100.05" customHeight="1">
      <c r="A32" s="45" t="inlineStr">
        <is>
          <t>C-7</t>
        </is>
      </c>
      <c r="B32" s="55" t="inlineStr">
        <is>
          <t>윤리/책임감</t>
        </is>
      </c>
      <c r="C32" s="56" t="inlineStr">
        <is>
          <t>공정·투명한 절차, 책임감 있는 업무</t>
        </is>
      </c>
      <c r="D32" s="53" t="inlineStr">
        <is>
          <t>S  모범적 자세, 조직문화 선도
A  조직 규범 내 성실 수행
B  기본 책임 수행
C  책임 회피 경향
D  무책임, 규정 무시</t>
        </is>
      </c>
      <c r="E32" s="42" t="n"/>
      <c r="F32" s="42" t="n"/>
      <c r="G32" s="106" t="n"/>
      <c r="H32" s="105" t="n"/>
    </row>
    <row r="33" ht="100.05" customHeight="1">
      <c r="A33" s="45" t="inlineStr">
        <is>
          <t>C-8</t>
        </is>
      </c>
      <c r="B33" s="55" t="inlineStr">
        <is>
          <t>업무 태도</t>
        </is>
      </c>
      <c r="C33" s="56" t="inlineStr">
        <is>
          <t>성실·주도적 태도, 변화 유연성</t>
        </is>
      </c>
      <c r="D33" s="53" t="inlineStr">
        <is>
          <t>S  문제 해결 중심의 선도적 자세
A  책임감, 적극적 태도
B  일정 주도성 보임
C  소극적, 피동적 태도
D  수동적, 지시 없이는 행동 안 함</t>
        </is>
      </c>
      <c r="E33" s="42" t="n"/>
      <c r="F33" s="42" t="n"/>
      <c r="G33" s="106" t="n"/>
      <c r="H33" s="105" t="n"/>
    </row>
    <row r="34" ht="100.05" customHeight="1">
      <c r="A34" s="45" t="inlineStr">
        <is>
          <t>C-9</t>
        </is>
      </c>
      <c r="B34" s="55" t="inlineStr">
        <is>
          <t>혁신 역량</t>
        </is>
      </c>
      <c r="C34" s="56" t="inlineStr">
        <is>
          <t>AI·자동화 등 최신 기술의 실무 접목</t>
        </is>
      </c>
      <c r="D34" s="53" t="inlineStr">
        <is>
          <t>S  혁신적 아이디어 제시 및 실현
A  적극 활용하여 효율성 제고
B  일상적 업무에 도구 활용
C  부분적 기능 사용
D  기술 활용 거의 없음</t>
        </is>
      </c>
      <c r="E34" s="42" t="n"/>
      <c r="F34" s="42" t="n"/>
      <c r="G34" s="106" t="n"/>
      <c r="H34" s="105" t="n"/>
    </row>
    <row r="35" ht="100.05" customHeight="1">
      <c r="A35" s="45" t="inlineStr">
        <is>
          <t>C-10</t>
        </is>
      </c>
      <c r="B35" s="55" t="inlineStr">
        <is>
          <t>프로세스 개선</t>
        </is>
      </c>
      <c r="C35" s="56" t="inlineStr">
        <is>
          <t>업무 절차 분석 및 비효율 개선</t>
        </is>
      </c>
      <c r="D35" s="53" t="inlineStr">
        <is>
          <t>S  제안 실행까지 주도함
A  능동적 개선 제안
B  개선의 필요성 인식
C  타인이 해야 할 일로 인식
D  개선 의지 없음</t>
        </is>
      </c>
      <c r="E35" s="42" t="n"/>
      <c r="F35" s="42" t="n"/>
      <c r="G35" s="106" t="n"/>
      <c r="H35" s="105" t="n"/>
    </row>
    <row r="36" ht="100.05" customHeight="1">
      <c r="A36" s="45" t="inlineStr">
        <is>
          <t>C-11</t>
        </is>
      </c>
      <c r="B36" s="55" t="inlineStr">
        <is>
          <t>지속가능 기여</t>
        </is>
      </c>
      <c r="C36" s="56" t="inlineStr">
        <is>
          <t>장기적 성과 향상·조직 기여</t>
        </is>
      </c>
      <c r="D36" s="53" t="inlineStr">
        <is>
          <t>S  성과 리딩 및 지속 성과 도출
A  개인 및 팀 성과 기여
B  기본 수준의 성과
C  성과 불명확, 기여 낮음
D  성과 없음, 소극적 태도</t>
        </is>
      </c>
      <c r="E36" s="42" t="n"/>
      <c r="F36" s="42" t="n"/>
      <c r="G36" s="106" t="n"/>
      <c r="H36" s="105" t="n"/>
    </row>
    <row r="37" ht="24" customHeight="1">
      <c r="A37" s="76" t="inlineStr">
        <is>
          <t>1차 평가자 공통역량 종합 (11개 단순 평균)</t>
        </is>
      </c>
      <c r="B37" s="104" t="n"/>
      <c r="C37" s="104" t="n"/>
      <c r="D37" s="104" t="n"/>
      <c r="E37" s="105" t="n"/>
      <c r="F37" s="43">
        <f>IFERROR((IF(F26="S",5,IF(F26="A",4,IF(F26="B",3,IF(F26="C",2,IF(F26="D",1,0)))))+IF(F27="S",5,IF(F27="A",4,IF(F27="B",3,IF(F27="C",2,IF(F27="D",1,0)))))+IF(F28="S",5,IF(F28="A",4,IF(F28="B",3,IF(F28="C",2,IF(F28="D",1,0)))))+IF(F29="S",5,IF(F29="A",4,IF(F29="B",3,IF(F29="C",2,IF(F29="D",1,0)))))+IF(F30="S",5,IF(F30="A",4,IF(F30="B",3,IF(F30="C",2,IF(F30="D",1,0)))))+IF(F31="S",5,IF(F31="A",4,IF(F31="B",3,IF(F31="C",2,IF(F31="D",1,0)))))+IF(F32="S",5,IF(F32="A",4,IF(F32="B",3,IF(F32="C",2,IF(F32="D",1,0)))))+IF(F33="S",5,IF(F33="A",4,IF(F33="B",3,IF(F33="C",2,IF(F33="D",1,0)))))+IF(F34="S",5,IF(F34="A",4,IF(F34="B",3,IF(F34="C",2,IF(F34="D",1,0)))))+IF(F35="S",5,IF(F35="A",4,IF(F35="B",3,IF(F35="C",2,IF(F35="D",1,0)))))+IF(F36="S",5,IF(F36="A",4,IF(F36="B",3,IF(F36="C",2,IF(F36="D",1,0))))))/11,"")</f>
        <v/>
      </c>
      <c r="G37" s="44" t="inlineStr">
        <is>
          <t>→ 등급</t>
        </is>
      </c>
      <c r="H37" s="71">
        <f>IF(OR(F37="",F37&lt;0.5),"",IF(F37&gt;=4.5,"S",IF(F37&gt;=3.5,"A",IF(F37&gt;=2.5,"B",IF(F37&gt;=1.5,"C","D")))))</f>
        <v/>
      </c>
    </row>
    <row r="38" ht="24" customHeight="1">
      <c r="A38" s="76" t="inlineStr">
        <is>
          <t>2차 평가자 공통역량 종합 (11개 단순 평균)</t>
        </is>
      </c>
      <c r="B38" s="104" t="n"/>
      <c r="C38" s="104" t="n"/>
      <c r="D38" s="104" t="n"/>
      <c r="E38" s="105" t="n"/>
      <c r="F38" s="43">
        <f>IFERROR((IF(G26="S",5,IF(G26="A",4,IF(G26="B",3,IF(G26="C",2,IF(G26="D",1,0)))))+IF(G27="S",5,IF(G27="A",4,IF(G27="B",3,IF(G27="C",2,IF(G27="D",1,0)))))+IF(G28="S",5,IF(G28="A",4,IF(G28="B",3,IF(G28="C",2,IF(G28="D",1,0)))))+IF(G29="S",5,IF(G29="A",4,IF(G29="B",3,IF(G29="C",2,IF(G29="D",1,0)))))+IF(G30="S",5,IF(G30="A",4,IF(G30="B",3,IF(G30="C",2,IF(G30="D",1,0)))))+IF(G31="S",5,IF(G31="A",4,IF(G31="B",3,IF(G31="C",2,IF(G31="D",1,0)))))+IF(G32="S",5,IF(G32="A",4,IF(G32="B",3,IF(G32="C",2,IF(G32="D",1,0)))))+IF(G33="S",5,IF(G33="A",4,IF(G33="B",3,IF(G33="C",2,IF(G33="D",1,0)))))+IF(G34="S",5,IF(G34="A",4,IF(G34="B",3,IF(G34="C",2,IF(G34="D",1,0)))))+IF(G35="S",5,IF(G35="A",4,IF(G35="B",3,IF(G35="C",2,IF(G35="D",1,0)))))+IF(G36="S",5,IF(G36="A",4,IF(G36="B",3,IF(G36="C",2,IF(G36="D",1,0))))))/11,"")</f>
        <v/>
      </c>
      <c r="G38" s="44" t="inlineStr">
        <is>
          <t>→ 등급</t>
        </is>
      </c>
      <c r="H38" s="71">
        <f>IF(OR(F38="",F38&lt;0.5),"",IF(F38&gt;=4.5,"S",IF(F38&gt;=3.5,"A",IF(F38&gt;=2.5,"B",IF(F38&gt;=1.5,"C","D")))))</f>
        <v/>
      </c>
    </row>
    <row r="40" ht="28.05" customHeight="1">
      <c r="A40" s="66" t="inlineStr">
        <is>
          <t>▶ ③ 직무역량평가 — 메인 책무(E열 O 표시)만 1·2차 평가자 등급 입력</t>
        </is>
      </c>
      <c r="B40" s="104" t="n"/>
      <c r="C40" s="104" t="n"/>
      <c r="D40" s="104" t="n"/>
      <c r="E40" s="104" t="n"/>
      <c r="F40" s="104" t="n"/>
      <c r="G40" s="104" t="n"/>
      <c r="H40" s="105" t="n"/>
      <c r="I40" s="60" t="n"/>
      <c r="J40" s="60" t="n"/>
      <c r="K40" s="60" t="n"/>
      <c r="L40" s="60" t="n"/>
    </row>
    <row r="41" ht="32" customHeight="1">
      <c r="A41" s="68" t="inlineStr">
        <is>
          <t>No.</t>
        </is>
      </c>
      <c r="B41" s="68" t="inlineStr">
        <is>
          <t>전문영역</t>
        </is>
      </c>
      <c r="C41" s="68" t="inlineStr">
        <is>
          <t>핵심 책무</t>
        </is>
      </c>
      <c r="D41" s="68" t="inlineStr">
        <is>
          <t>S/A/B/C/D 등급 기준</t>
        </is>
      </c>
      <c r="E41" s="68" t="inlineStr">
        <is>
          <t>메인</t>
        </is>
      </c>
      <c r="F41" s="68" t="inlineStr">
        <is>
          <t>1차</t>
        </is>
      </c>
      <c r="G41" s="68" t="inlineStr">
        <is>
          <t>2차</t>
        </is>
      </c>
      <c r="H41" s="68" t="inlineStr">
        <is>
          <t>평가 근거 및 피드백</t>
        </is>
      </c>
      <c r="I41" s="60" t="n"/>
      <c r="J41" s="60" t="n"/>
      <c r="K41" s="60" t="n"/>
      <c r="L41" s="60" t="n"/>
    </row>
    <row r="42" ht="85.05" customHeight="1">
      <c r="A42" s="33" t="inlineStr">
        <is>
          <t>J-1</t>
        </is>
      </c>
      <c r="B42" s="54" t="inlineStr">
        <is>
          <t>기술지원</t>
        </is>
      </c>
      <c r="C42" s="54" t="inlineStr">
        <is>
          <t>고객 문의 대응</t>
        </is>
      </c>
      <c r="D42" s="53" t="inlineStr">
        <is>
          <t>S  기대 현저히 초과
A  기대 상회
B  기대 부합
C  부분 미흡
D  전반 미흡</t>
        </is>
      </c>
      <c r="E42" s="42" t="n"/>
      <c r="F42" s="42" t="n"/>
      <c r="G42" s="107" t="n"/>
      <c r="H42" s="47">
        <f>IF(E42="O",IFERROR(IF(AND(F42&lt;&gt;"",G42&lt;&gt;""),(IFERROR(IF(F42="S",5,IF(F42="A",4,IF(F42="B",3,IF(F42="C",2,IF(F42="D",1,0))))),0)+IFERROR(IF(G42="S",5,IF(G42="A",4,IF(G42="B",3,IF(G42="C",2,IF(G42="D",1,0))))),0))/2,IF(F42&lt;&gt;"",IFERROR(IF(F42="S",5,IF(F42="A",4,IF(F42="B",3,IF(F42="C",2,IF(F42="D",1,0))))),0),IF(G42&lt;&gt;"",IFERROR(IF(G42="S",5,IF(G42="A",4,IF(G42="B",3,IF(G42="C",2,IF(G42="D",1,0))))),0),""))),""),"")</f>
        <v/>
      </c>
      <c r="I42" s="60" t="n"/>
      <c r="J42" s="60" t="n"/>
      <c r="K42" s="60" t="n"/>
      <c r="L42" s="60" t="n"/>
    </row>
    <row r="43" ht="85.05" customHeight="1">
      <c r="A43" s="33" t="inlineStr">
        <is>
          <t>J-2</t>
        </is>
      </c>
      <c r="B43" s="54" t="inlineStr">
        <is>
          <t>기술지원</t>
        </is>
      </c>
      <c r="C43" s="54" t="inlineStr">
        <is>
          <t>원격·현장 지원</t>
        </is>
      </c>
      <c r="D43" s="53" t="inlineStr">
        <is>
          <t>S  기대 현저히 초과
A  기대 상회
B  기대 부합
C  부분 미흡
D  전반 미흡</t>
        </is>
      </c>
      <c r="E43" s="42" t="n"/>
      <c r="F43" s="42" t="n"/>
      <c r="G43" s="107" t="n"/>
      <c r="H43" s="47">
        <f>IF(E43="O",IFERROR(IF(AND(F43&lt;&gt;"",G43&lt;&gt;""),(IFERROR(IF(F43="S",5,IF(F43="A",4,IF(F43="B",3,IF(F43="C",2,IF(F43="D",1,0))))),0)+IFERROR(IF(G43="S",5,IF(G43="A",4,IF(G43="B",3,IF(G43="C",2,IF(G43="D",1,0))))),0))/2,IF(F43&lt;&gt;"",IFERROR(IF(F43="S",5,IF(F43="A",4,IF(F43="B",3,IF(F43="C",2,IF(F43="D",1,0))))),0),IF(G43&lt;&gt;"",IFERROR(IF(G43="S",5,IF(G43="A",4,IF(G43="B",3,IF(G43="C",2,IF(G43="D",1,0))))),0),""))),""),"")</f>
        <v/>
      </c>
      <c r="I43" s="60" t="n"/>
      <c r="J43" s="60" t="n"/>
      <c r="K43" s="60" t="n"/>
      <c r="L43" s="60" t="n"/>
    </row>
    <row r="44" ht="85.05" customHeight="1">
      <c r="A44" s="33" t="inlineStr">
        <is>
          <t>J-3</t>
        </is>
      </c>
      <c r="B44" s="54" t="inlineStr">
        <is>
          <t>기술지원</t>
        </is>
      </c>
      <c r="C44" s="54" t="inlineStr">
        <is>
          <t>기술 문서 작성</t>
        </is>
      </c>
      <c r="D44" s="53" t="inlineStr">
        <is>
          <t>S  기대 현저히 초과
A  기대 상회
B  기대 부합
C  부분 미흡
D  전반 미흡</t>
        </is>
      </c>
      <c r="E44" s="42" t="n"/>
      <c r="F44" s="42" t="n"/>
      <c r="G44" s="107" t="n"/>
      <c r="H44" s="47">
        <f>IF(E44="O",IFERROR(IF(AND(F44&lt;&gt;"",G44&lt;&gt;""),(IFERROR(IF(F44="S",5,IF(F44="A",4,IF(F44="B",3,IF(F44="C",2,IF(F44="D",1,0))))),0)+IFERROR(IF(G44="S",5,IF(G44="A",4,IF(G44="B",3,IF(G44="C",2,IF(G44="D",1,0))))),0))/2,IF(F44&lt;&gt;"",IFERROR(IF(F44="S",5,IF(F44="A",4,IF(F44="B",3,IF(F44="C",2,IF(F44="D",1,0))))),0),IF(G44&lt;&gt;"",IFERROR(IF(G44="S",5,IF(G44="A",4,IF(G44="B",3,IF(G44="C",2,IF(G44="D",1,0))))),0),""))),""),"")</f>
        <v/>
      </c>
      <c r="I44" s="60" t="n"/>
      <c r="J44" s="60" t="n"/>
      <c r="K44" s="60" t="n"/>
      <c r="L44" s="60" t="n"/>
    </row>
    <row r="45" ht="85.05" customHeight="1">
      <c r="A45" s="33" t="inlineStr">
        <is>
          <t>J-4</t>
        </is>
      </c>
      <c r="B45" s="54" t="inlineStr">
        <is>
          <t>품질개선</t>
        </is>
      </c>
      <c r="C45" s="54" t="inlineStr">
        <is>
          <t>버그 리포트 및 피드백</t>
        </is>
      </c>
      <c r="D45" s="53" t="inlineStr">
        <is>
          <t>S  기대 현저히 초과
A  기대 상회
B  기대 부합
C  부분 미흡
D  전반 미흡</t>
        </is>
      </c>
      <c r="E45" s="42" t="n"/>
      <c r="F45" s="42" t="n"/>
      <c r="G45" s="107" t="n"/>
      <c r="H45" s="47">
        <f>IF(E45="O",IFERROR(IF(AND(F45&lt;&gt;"",G45&lt;&gt;""),(IFERROR(IF(F45="S",5,IF(F45="A",4,IF(F45="B",3,IF(F45="C",2,IF(F45="D",1,0))))),0)+IFERROR(IF(G45="S",5,IF(G45="A",4,IF(G45="B",3,IF(G45="C",2,IF(G45="D",1,0))))),0))/2,IF(F45&lt;&gt;"",IFERROR(IF(F45="S",5,IF(F45="A",4,IF(F45="B",3,IF(F45="C",2,IF(F45="D",1,0))))),0),IF(G45&lt;&gt;"",IFERROR(IF(G45="S",5,IF(G45="A",4,IF(G45="B",3,IF(G45="C",2,IF(G45="D",1,0))))),0),""))),""),"")</f>
        <v/>
      </c>
      <c r="I45" s="60" t="n"/>
      <c r="J45" s="60" t="n"/>
      <c r="K45" s="60" t="n"/>
      <c r="L45" s="60" t="n"/>
    </row>
    <row r="46" ht="85.05" customHeight="1">
      <c r="A46" s="33" t="inlineStr">
        <is>
          <t>J-5</t>
        </is>
      </c>
      <c r="B46" s="54" t="inlineStr">
        <is>
          <t>품질개선</t>
        </is>
      </c>
      <c r="C46" s="54" t="inlineStr">
        <is>
          <t>품질 모니터링</t>
        </is>
      </c>
      <c r="D46" s="53" t="inlineStr">
        <is>
          <t>S  기대 현저히 초과
A  기대 상회
B  기대 부합
C  부분 미흡
D  전반 미흡</t>
        </is>
      </c>
      <c r="E46" s="42" t="n"/>
      <c r="F46" s="42" t="n"/>
      <c r="G46" s="107" t="n"/>
      <c r="H46" s="47">
        <f>IF(E46="O",IFERROR(IF(AND(F46&lt;&gt;"",G46&lt;&gt;""),(IFERROR(IF(F46="S",5,IF(F46="A",4,IF(F46="B",3,IF(F46="C",2,IF(F46="D",1,0))))),0)+IFERROR(IF(G46="S",5,IF(G46="A",4,IF(G46="B",3,IF(G46="C",2,IF(G46="D",1,0))))),0))/2,IF(F46&lt;&gt;"",IFERROR(IF(F46="S",5,IF(F46="A",4,IF(F46="B",3,IF(F46="C",2,IF(F46="D",1,0))))),0),IF(G46&lt;&gt;"",IFERROR(IF(G46="S",5,IF(G46="A",4,IF(G46="B",3,IF(G46="C",2,IF(G46="D",1,0))))),0),""))),""),"")</f>
        <v/>
      </c>
      <c r="I46" s="60" t="n"/>
      <c r="J46" s="60" t="n"/>
      <c r="K46" s="60" t="n"/>
      <c r="L46" s="60" t="n"/>
    </row>
    <row r="47" ht="85.05" customHeight="1">
      <c r="A47" s="33" t="n"/>
      <c r="B47" s="54" t="n"/>
      <c r="C47" s="54" t="n"/>
      <c r="D47" s="53" t="n"/>
      <c r="E47" s="42" t="n"/>
      <c r="F47" s="42" t="n"/>
      <c r="G47" s="107" t="n"/>
      <c r="H47" s="47" t="n"/>
      <c r="I47" s="60" t="n"/>
      <c r="J47" s="60" t="n"/>
      <c r="K47" s="60" t="n"/>
      <c r="L47" s="60" t="n"/>
    </row>
    <row r="48" ht="85.05" customHeight="1">
      <c r="A48" s="33" t="n"/>
      <c r="B48" s="54" t="n"/>
      <c r="C48" s="54" t="n"/>
      <c r="D48" s="53" t="n"/>
      <c r="E48" s="42" t="n"/>
      <c r="F48" s="42" t="n"/>
      <c r="G48" s="107" t="n"/>
      <c r="H48" s="47" t="n"/>
      <c r="I48" s="60" t="n"/>
      <c r="J48" s="60" t="n"/>
      <c r="K48" s="60" t="n"/>
      <c r="L48" s="60" t="n"/>
    </row>
    <row r="49" ht="85.05" customHeight="1">
      <c r="A49" s="33" t="n"/>
      <c r="B49" s="54" t="n"/>
      <c r="C49" s="54" t="n"/>
      <c r="D49" s="53" t="n"/>
      <c r="E49" s="42" t="n"/>
      <c r="F49" s="42" t="n"/>
      <c r="G49" s="107" t="n"/>
      <c r="H49" s="47" t="n"/>
      <c r="I49" s="60" t="n"/>
      <c r="J49" s="60" t="n"/>
      <c r="K49" s="60" t="n"/>
      <c r="L49" s="60" t="n"/>
    </row>
    <row r="50" ht="85.05" customHeight="1">
      <c r="A50" s="33" t="n"/>
      <c r="B50" s="54" t="n"/>
      <c r="C50" s="54" t="n"/>
      <c r="D50" s="53" t="n"/>
      <c r="E50" s="42" t="n"/>
      <c r="F50" s="42" t="n"/>
      <c r="G50" s="107" t="n"/>
      <c r="H50" s="47" t="n"/>
      <c r="I50" s="60" t="n"/>
      <c r="J50" s="60" t="n"/>
      <c r="K50" s="60" t="n"/>
      <c r="L50" s="60" t="n"/>
    </row>
    <row r="51" ht="85.05" customHeight="1">
      <c r="A51" s="33" t="n"/>
      <c r="B51" s="54" t="n"/>
      <c r="C51" s="54" t="n"/>
      <c r="D51" s="53" t="n"/>
      <c r="E51" s="42" t="n"/>
      <c r="F51" s="42" t="n"/>
      <c r="G51" s="107" t="n"/>
      <c r="H51" s="47" t="n"/>
      <c r="I51" s="60" t="n"/>
      <c r="J51" s="60" t="n"/>
      <c r="K51" s="60" t="n"/>
      <c r="L51" s="60" t="n"/>
    </row>
    <row r="52" ht="85.05" customHeight="1">
      <c r="A52" s="33" t="n"/>
      <c r="B52" s="54" t="n"/>
      <c r="C52" s="54" t="n"/>
      <c r="D52" s="53" t="n"/>
      <c r="E52" s="42" t="n"/>
      <c r="F52" s="42" t="n"/>
      <c r="G52" s="107" t="n"/>
      <c r="H52" s="47" t="n"/>
      <c r="I52" s="60" t="n"/>
      <c r="J52" s="60" t="n"/>
      <c r="K52" s="60" t="n"/>
      <c r="L52" s="60" t="n"/>
    </row>
    <row r="53" ht="85.05" customHeight="1">
      <c r="A53" s="33" t="n"/>
      <c r="B53" s="54" t="n"/>
      <c r="C53" s="54" t="n"/>
      <c r="D53" s="53" t="n"/>
      <c r="E53" s="42" t="n"/>
      <c r="F53" s="42" t="n"/>
      <c r="G53" s="107" t="n"/>
      <c r="H53" s="47" t="n"/>
      <c r="I53" s="60" t="n"/>
      <c r="J53" s="60" t="n"/>
      <c r="K53" s="60" t="n"/>
      <c r="L53" s="60" t="n"/>
    </row>
    <row r="54" ht="85.05" customHeight="1">
      <c r="A54" s="33" t="n"/>
      <c r="B54" s="54" t="n"/>
      <c r="C54" s="54" t="n"/>
      <c r="D54" s="53" t="n"/>
      <c r="E54" s="42" t="n"/>
      <c r="F54" s="42" t="n"/>
      <c r="G54" s="107" t="n"/>
      <c r="H54" s="47" t="n"/>
      <c r="I54" s="60" t="n"/>
      <c r="J54" s="60" t="n"/>
      <c r="K54" s="60" t="n"/>
      <c r="L54" s="60" t="n"/>
    </row>
    <row r="55" ht="85.05" customHeight="1">
      <c r="A55" s="33" t="n"/>
      <c r="B55" s="54" t="n"/>
      <c r="C55" s="54" t="n"/>
      <c r="D55" s="53" t="n"/>
      <c r="E55" s="42" t="n"/>
      <c r="F55" s="42" t="n"/>
      <c r="G55" s="107" t="n"/>
      <c r="H55" s="47" t="n"/>
      <c r="I55" s="60" t="n"/>
      <c r="J55" s="60" t="n"/>
      <c r="K55" s="60" t="n"/>
      <c r="L55" s="60" t="n"/>
    </row>
    <row r="56" ht="85.05" customHeight="1">
      <c r="A56" s="33" t="n"/>
      <c r="B56" s="54" t="n"/>
      <c r="C56" s="54" t="n"/>
      <c r="D56" s="53" t="n"/>
      <c r="E56" s="42" t="n"/>
      <c r="F56" s="42" t="n"/>
      <c r="G56" s="107" t="n"/>
      <c r="H56" s="47" t="n"/>
      <c r="I56" s="60" t="n"/>
      <c r="J56" s="60" t="n"/>
      <c r="K56" s="60" t="n"/>
      <c r="L56" s="60" t="n"/>
    </row>
    <row r="57">
      <c r="A57" s="61" t="n"/>
      <c r="B57" s="61" t="n"/>
      <c r="C57" s="61" t="n"/>
      <c r="D57" s="61" t="n"/>
      <c r="E57" s="61" t="n"/>
      <c r="F57" s="61" t="n"/>
      <c r="G57" s="61" t="n"/>
      <c r="H57" s="61" t="n"/>
      <c r="I57" s="60" t="n"/>
      <c r="J57" s="60" t="n"/>
      <c r="K57" s="60" t="n"/>
      <c r="L57" s="60" t="n"/>
    </row>
    <row r="58" ht="28.05" customHeight="1">
      <c r="A58" s="74" t="inlineStr">
        <is>
          <t>1차 평가자 직무 종합 (메인 책무 평균)</t>
        </is>
      </c>
      <c r="B58" s="104" t="n"/>
      <c r="C58" s="104" t="n"/>
      <c r="D58" s="105" t="n"/>
      <c r="E58" s="48">
        <f>IFERROR(SUMPRODUCT((E42:E56="O")*IFERROR(IF(F42:F56="S",5,IF(F42:F56="A",4,IF(F42:F56="B",3,IF(F42:F56="C",2,IF(F42:F56="D",1,0))))),0))/MAX(SUMPRODUCT((E42:E56="O")*(F42:F56&lt;&gt;"")),1),0)</f>
        <v/>
      </c>
      <c r="F58" s="49" t="inlineStr">
        <is>
          <t>→ 등급</t>
        </is>
      </c>
      <c r="G58" s="50">
        <f>IF(OR(E58="",E58&lt;0.5),"",IF(E58&gt;=4.5,"S",IF(E58&gt;=3.5,"A",IF(E58&gt;=2.5,"B",IF(E58&gt;=1.5,"C","D")))))</f>
        <v/>
      </c>
      <c r="H58" s="51" t="n"/>
      <c r="I58" s="60" t="n"/>
      <c r="J58" s="60" t="n"/>
      <c r="K58" s="60" t="n"/>
      <c r="L58" s="60" t="n"/>
    </row>
    <row r="59" ht="28.05" customHeight="1">
      <c r="A59" s="74" t="inlineStr">
        <is>
          <t>2차 평가자 직무 종합 (메인 책무 평균)</t>
        </is>
      </c>
      <c r="B59" s="104" t="n"/>
      <c r="C59" s="104" t="n"/>
      <c r="D59" s="105" t="n"/>
      <c r="E59" s="48">
        <f>IFERROR(SUMPRODUCT((E42:E56="O")*IFERROR(IF(G42:G56="S",5,IF(G42:G56="A",4,IF(G42:G56="B",3,IF(G42:G56="C",2,IF(G42:G56="D",1,0))))),0))/MAX(SUMPRODUCT((E42:E56="O")*(G42:G56&lt;&gt;"")),1),0)</f>
        <v/>
      </c>
      <c r="F59" s="49" t="inlineStr">
        <is>
          <t>→ 등급</t>
        </is>
      </c>
      <c r="G59" s="50">
        <f>IF(OR(E59="",E59&lt;0.5),"",IF(E59&gt;=4.5,"S",IF(E59&gt;=3.5,"A",IF(E59&gt;=2.5,"B",IF(E59&gt;=1.5,"C","D")))))</f>
        <v/>
      </c>
      <c r="H59" s="51" t="n"/>
      <c r="I59" s="60" t="n"/>
      <c r="J59" s="60" t="n"/>
      <c r="K59" s="60" t="n"/>
      <c r="L59" s="60" t="n"/>
    </row>
    <row r="60">
      <c r="A60" s="60" t="n"/>
      <c r="B60" s="60" t="n"/>
      <c r="C60" s="60" t="n"/>
      <c r="D60" s="60" t="n"/>
      <c r="E60" s="60" t="n"/>
      <c r="F60" s="60" t="n"/>
      <c r="G60" s="60" t="n"/>
      <c r="H60" s="60" t="n"/>
      <c r="I60" s="60" t="n"/>
      <c r="J60" s="60" t="n"/>
      <c r="K60" s="60" t="n"/>
      <c r="L60" s="60" t="n"/>
    </row>
    <row r="61" ht="24" customHeight="1">
      <c r="A61" s="80" t="inlineStr">
        <is>
          <t>▶ 통합관리시트 입력 행 (아래 한 줄 A~G 7개 셀을 통째 복사 → 07a/07b의 G~M에 [값 붙여넣기])</t>
        </is>
      </c>
      <c r="B61" s="104" t="n"/>
      <c r="C61" s="104" t="n"/>
      <c r="D61" s="104" t="n"/>
      <c r="E61" s="104" t="n"/>
      <c r="F61" s="104" t="n"/>
      <c r="G61" s="104" t="n"/>
      <c r="H61" s="105" t="n"/>
      <c r="I61" s="60" t="n"/>
      <c r="J61" s="60" t="n"/>
      <c r="K61" s="60" t="n"/>
      <c r="L61" s="60" t="n"/>
    </row>
    <row r="62" ht="22.05" customHeight="1">
      <c r="A62" s="81" t="inlineStr">
        <is>
          <t>사용법: 아래 한 줄 A~G 선택 → Ctrl+C → 통합관리시트 07a 또는 07b의 해당 사원 행 G열에 [선택하여 붙여넣기 → 값] 실행</t>
        </is>
      </c>
      <c r="B62" s="104" t="n"/>
      <c r="C62" s="104" t="n"/>
      <c r="D62" s="104" t="n"/>
      <c r="E62" s="104" t="n"/>
      <c r="F62" s="104" t="n"/>
      <c r="G62" s="104" t="n"/>
      <c r="H62" s="105" t="n"/>
      <c r="I62" s="60" t="n"/>
      <c r="J62" s="60" t="n"/>
      <c r="K62" s="60" t="n"/>
      <c r="L62" s="60" t="n"/>
    </row>
    <row r="63" ht="24" customHeight="1">
      <c r="A63" s="49" t="inlineStr">
        <is>
          <t>역할(1차)</t>
        </is>
      </c>
      <c r="B63" s="49" t="inlineStr">
        <is>
          <t>역할(2차)</t>
        </is>
      </c>
      <c r="C63" s="49" t="inlineStr">
        <is>
          <t>공통(1차)</t>
        </is>
      </c>
      <c r="D63" s="49" t="inlineStr">
        <is>
          <t>공통(2차)</t>
        </is>
      </c>
      <c r="E63" s="49" t="inlineStr">
        <is>
          <t>직무(1차)</t>
        </is>
      </c>
      <c r="F63" s="49" t="inlineStr">
        <is>
          <t>직무(2차)</t>
        </is>
      </c>
      <c r="G63" s="49" t="inlineStr">
        <is>
          <t>소견</t>
        </is>
      </c>
      <c r="H63" s="105" t="n"/>
      <c r="I63" s="60" t="n"/>
      <c r="J63" s="60" t="n"/>
      <c r="K63" s="60" t="n"/>
      <c r="L63" s="60" t="n"/>
    </row>
    <row r="64" ht="30" customHeight="1">
      <c r="A64" s="52">
        <f>G21</f>
        <v/>
      </c>
      <c r="B64" s="52">
        <f>G22</f>
        <v/>
      </c>
      <c r="C64" s="52">
        <f>H37</f>
        <v/>
      </c>
      <c r="D64" s="52">
        <f>H38</f>
        <v/>
      </c>
      <c r="E64" s="52">
        <f>G58</f>
        <v/>
      </c>
      <c r="F64" s="52">
        <f>G59</f>
        <v/>
      </c>
      <c r="G64" s="108" t="n"/>
      <c r="H64" s="105" t="n"/>
      <c r="I64" s="60" t="n"/>
      <c r="J64" s="60" t="n"/>
      <c r="K64" s="60" t="n"/>
      <c r="L64" s="60" t="n"/>
    </row>
    <row r="65">
      <c r="A65" s="60" t="n"/>
      <c r="B65" s="60" t="n"/>
      <c r="C65" s="60" t="n"/>
      <c r="D65" s="60" t="n"/>
      <c r="E65" s="60" t="n"/>
      <c r="F65" s="60" t="n"/>
      <c r="G65" s="60" t="n"/>
      <c r="H65" s="60" t="n"/>
      <c r="I65" s="60" t="n"/>
      <c r="J65" s="60" t="n"/>
      <c r="K65" s="60" t="n"/>
      <c r="L65" s="60" t="n"/>
    </row>
    <row r="66" ht="24" customHeight="1">
      <c r="A66" s="80" t="inlineStr">
        <is>
          <t>▶ 종합 소견 (강점·개선·육성 방향)</t>
        </is>
      </c>
      <c r="B66" s="104" t="n"/>
      <c r="C66" s="104" t="n"/>
      <c r="D66" s="104" t="n"/>
      <c r="E66" s="104" t="n"/>
      <c r="F66" s="104" t="n"/>
      <c r="G66" s="104" t="n"/>
      <c r="H66" s="105" t="n"/>
      <c r="I66" s="60" t="n"/>
      <c r="J66" s="60" t="n"/>
      <c r="K66" s="60" t="n"/>
      <c r="L66" s="60" t="n"/>
    </row>
    <row r="67" ht="50" customHeight="1">
      <c r="A67" s="49" t="inlineStr">
        <is>
          <t>강점</t>
        </is>
      </c>
      <c r="B67" s="64" t="n"/>
      <c r="C67" s="104" t="n"/>
      <c r="D67" s="104" t="n"/>
      <c r="E67" s="104" t="n"/>
      <c r="F67" s="104" t="n"/>
      <c r="G67" s="104" t="n"/>
      <c r="H67" s="105" t="n"/>
      <c r="I67" s="60" t="n"/>
      <c r="J67" s="60" t="n"/>
      <c r="K67" s="60" t="n"/>
      <c r="L67" s="60" t="n"/>
    </row>
    <row r="68" ht="50" customHeight="1">
      <c r="A68" s="49" t="inlineStr">
        <is>
          <t>개선</t>
        </is>
      </c>
      <c r="B68" s="64" t="n"/>
      <c r="C68" s="104" t="n"/>
      <c r="D68" s="104" t="n"/>
      <c r="E68" s="104" t="n"/>
      <c r="F68" s="104" t="n"/>
      <c r="G68" s="104" t="n"/>
      <c r="H68" s="105" t="n"/>
      <c r="I68" s="60" t="n"/>
      <c r="J68" s="60" t="n"/>
      <c r="K68" s="60" t="n"/>
      <c r="L68" s="60" t="n"/>
    </row>
    <row r="69" ht="50" customHeight="1">
      <c r="A69" s="49" t="inlineStr">
        <is>
          <t>육성 방향</t>
        </is>
      </c>
      <c r="B69" s="64" t="n"/>
      <c r="C69" s="104" t="n"/>
      <c r="D69" s="104" t="n"/>
      <c r="E69" s="104" t="n"/>
      <c r="F69" s="104" t="n"/>
      <c r="G69" s="104" t="n"/>
      <c r="H69" s="105" t="n"/>
      <c r="I69" s="60" t="n"/>
      <c r="J69" s="60" t="n"/>
      <c r="K69" s="60" t="n"/>
      <c r="L69" s="60" t="n"/>
    </row>
    <row r="70">
      <c r="A70" s="60" t="n"/>
      <c r="B70" s="60" t="n"/>
      <c r="C70" s="60" t="n"/>
      <c r="D70" s="60" t="n"/>
      <c r="E70" s="60" t="n"/>
      <c r="F70" s="60" t="n"/>
      <c r="G70" s="60" t="n"/>
      <c r="H70" s="60" t="n"/>
      <c r="I70" s="60" t="n"/>
      <c r="J70" s="60" t="n"/>
      <c r="K70" s="60" t="n"/>
      <c r="L70" s="60" t="n"/>
    </row>
    <row r="71">
      <c r="A71" s="60" t="n"/>
      <c r="B71" s="60" t="n"/>
      <c r="C71" s="60" t="n"/>
      <c r="D71" s="60" t="n"/>
      <c r="E71" s="60" t="n"/>
      <c r="F71" s="60" t="n"/>
      <c r="G71" s="60" t="n"/>
      <c r="H71" s="60" t="n"/>
      <c r="I71" s="60" t="n"/>
      <c r="J71" s="60" t="n"/>
      <c r="K71" s="60" t="n"/>
      <c r="L71" s="60" t="n"/>
    </row>
    <row r="72">
      <c r="A72" s="60" t="n"/>
      <c r="B72" s="60" t="n"/>
      <c r="C72" s="60" t="n"/>
      <c r="D72" s="60" t="n"/>
      <c r="E72" s="60" t="n"/>
      <c r="F72" s="60" t="n"/>
      <c r="G72" s="60" t="n"/>
      <c r="H72" s="60" t="n"/>
      <c r="I72" s="60" t="n"/>
      <c r="J72" s="60" t="n"/>
      <c r="K72" s="60" t="n"/>
      <c r="L72" s="60" t="n"/>
    </row>
  </sheetData>
  <mergeCells count="43">
    <mergeCell ref="G21:H21"/>
    <mergeCell ref="A22:D22"/>
    <mergeCell ref="B68:H68"/>
    <mergeCell ref="A24:H24"/>
    <mergeCell ref="G27:H27"/>
    <mergeCell ref="G36:H36"/>
    <mergeCell ref="A1:H1"/>
    <mergeCell ref="G17:H17"/>
    <mergeCell ref="A61:H61"/>
    <mergeCell ref="A58:D58"/>
    <mergeCell ref="B11:F11"/>
    <mergeCell ref="G19:H19"/>
    <mergeCell ref="A59:D59"/>
    <mergeCell ref="A66:H66"/>
    <mergeCell ref="A37:E37"/>
    <mergeCell ref="G28:H28"/>
    <mergeCell ref="A4:F4"/>
    <mergeCell ref="G18:H18"/>
    <mergeCell ref="G34:H34"/>
    <mergeCell ref="G30:H30"/>
    <mergeCell ref="G15:H15"/>
    <mergeCell ref="A2:H2"/>
    <mergeCell ref="G33:H33"/>
    <mergeCell ref="B67:H67"/>
    <mergeCell ref="G64:H64"/>
    <mergeCell ref="G26:H26"/>
    <mergeCell ref="G35:H35"/>
    <mergeCell ref="G29:H29"/>
    <mergeCell ref="A62:H62"/>
    <mergeCell ref="B14:H14"/>
    <mergeCell ref="G20:H20"/>
    <mergeCell ref="A38:E38"/>
    <mergeCell ref="G16:H16"/>
    <mergeCell ref="G32:H32"/>
    <mergeCell ref="G63:H63"/>
    <mergeCell ref="G25:H25"/>
    <mergeCell ref="A21:D21"/>
    <mergeCell ref="B69:H69"/>
    <mergeCell ref="A13:H13"/>
    <mergeCell ref="G31:H31"/>
    <mergeCell ref="G22:H22"/>
    <mergeCell ref="A7:F7"/>
    <mergeCell ref="A40:H40"/>
  </mergeCells>
  <dataValidations count="4">
    <dataValidation sqref="E42:E56" showDropDown="0" showInputMessage="1" showErrorMessage="0" allowBlank="1" promptTitle="메인 책무" prompt="메인 책무는 O, 비메인은 X" type="list">
      <formula1>"O,X"</formula1>
    </dataValidation>
    <dataValidation sqref="F42:G56" showDropDown="0" showInputMessage="1" showErrorMessage="0" allowBlank="1" promptTitle="평가 등급" prompt="S/A/B/C/D 중 선택" type="list">
      <formula1>"S,A,B,C,D"</formula1>
    </dataValidation>
    <dataValidation sqref="E16:F20 E26:F36" showDropDown="0" showInputMessage="1" showErrorMessage="0" allowBlank="1" type="list">
      <formula1>"S,A,B,C,D"</formula1>
    </dataValidation>
    <dataValidation sqref="B11" showDropDown="0" showInputMessage="1" showErrorMessage="0" allowBlank="1" type="list">
      <formula1>"상반기,하반기"</formula1>
    </dataValidation>
  </dataValidations>
  <pageMargins left="0.75" right="0.75" top="1" bottom="1" header="0.5" footer="0.5"/>
  <pageSetup orientation="portrait" paperSize="9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2026-05-13T06:25:12Z</dcterms:created>
  <dcterms:modified xmlns:dcterms="http://purl.org/dc/terms/" xmlns:xsi="http://www.w3.org/2001/XMLSchema-instance" xsi:type="dcterms:W3CDTF">2026-05-14T03:40:40Z</dcterms:modified>
  <cp:lastModifiedBy>석주 이</cp:lastModifiedBy>
</cp:coreProperties>
</file>