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베이시스소프트_HR통합관리_TOOL_최종/"/>
    </mc:Choice>
  </mc:AlternateContent>
  <xr:revisionPtr revIDLastSave="64" documentId="11_7130447CA55B5F916F6466F512A8FEDDFEB8E443" xr6:coauthVersionLast="47" xr6:coauthVersionMax="47" xr10:uidLastSave="{55BA1A94-D64F-4486-849B-125A72B06F7F}"/>
  <bookViews>
    <workbookView xWindow="-120" yWindow="-16320" windowWidth="29040" windowHeight="15720" activeTab="1" xr2:uid="{00000000-000D-0000-FFFF-FFFF00000000}"/>
  </bookViews>
  <sheets>
    <sheet name="00_운영가이드" sheetId="1" r:id="rId1"/>
    <sheet name="00_운영현황판" sheetId="2" r:id="rId2"/>
    <sheet name="01_인적정보" sheetId="3" r:id="rId3"/>
    <sheet name="02_의사결정·종합결과" sheetId="4" r:id="rId4"/>
    <sheet name="03_전사업적평가" sheetId="5" r:id="rId5"/>
    <sheet name="04_역할평가" sheetId="6" r:id="rId6"/>
    <sheet name="05_공통역량평가" sheetId="7" r:id="rId7"/>
    <sheet name="06_직무역량평가" sheetId="8" r:id="rId8"/>
    <sheet name="07a_상반기입력" sheetId="9" r:id="rId9"/>
    <sheet name="07b_하반기입력" sheetId="10" r:id="rId10"/>
    <sheet name="08_종합평가" sheetId="11" r:id="rId11"/>
    <sheet name="09_보상연계" sheetId="12" r:id="rId12"/>
    <sheet name="10_성과급관리" sheetId="13" r:id="rId13"/>
    <sheet name="11_페이밴드검증" sheetId="14" r:id="rId14"/>
    <sheet name="12_시뮬레이션" sheetId="15" r:id="rId15"/>
    <sheet name="13_직무역할DB" sheetId="16" r:id="rId16"/>
    <sheet name="14_직무책무DB" sheetId="17" r:id="rId17"/>
    <sheet name="15_직원별책무매핑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1" i="18" l="1"/>
  <c r="E70" i="18"/>
  <c r="E64" i="18"/>
  <c r="E63" i="18"/>
  <c r="E57" i="18"/>
  <c r="E56" i="18"/>
  <c r="E55" i="18"/>
  <c r="E49" i="18"/>
  <c r="L39" i="3" s="1"/>
  <c r="F39" i="8" s="1"/>
  <c r="E48" i="18"/>
  <c r="E47" i="18"/>
  <c r="L37" i="3" s="1"/>
  <c r="E46" i="18"/>
  <c r="L36" i="3" s="1"/>
  <c r="F36" i="8" s="1"/>
  <c r="E45" i="18"/>
  <c r="L35" i="3" s="1"/>
  <c r="F93" i="8" s="1"/>
  <c r="E44" i="18"/>
  <c r="L34" i="3" s="1"/>
  <c r="F92" i="8" s="1"/>
  <c r="E43" i="18"/>
  <c r="L33" i="3" s="1"/>
  <c r="F91" i="8" s="1"/>
  <c r="E42" i="18"/>
  <c r="L29" i="3" s="1"/>
  <c r="E41" i="18"/>
  <c r="L28" i="3" s="1"/>
  <c r="F86" i="8" s="1"/>
  <c r="E40" i="18"/>
  <c r="L27" i="3" s="1"/>
  <c r="F85" i="8" s="1"/>
  <c r="E39" i="18"/>
  <c r="L26" i="3" s="1"/>
  <c r="E38" i="18"/>
  <c r="L24" i="3" s="1"/>
  <c r="E37" i="18"/>
  <c r="L23" i="3" s="1"/>
  <c r="F81" i="8" s="1"/>
  <c r="E36" i="18"/>
  <c r="L21" i="3" s="1"/>
  <c r="F79" i="8" s="1"/>
  <c r="E35" i="18"/>
  <c r="L20" i="3" s="1"/>
  <c r="F20" i="8" s="1"/>
  <c r="E34" i="18"/>
  <c r="E33" i="18"/>
  <c r="E32" i="18"/>
  <c r="E31" i="18"/>
  <c r="L15" i="3" s="1"/>
  <c r="F73" i="8" s="1"/>
  <c r="E30" i="18"/>
  <c r="L14" i="3" s="1"/>
  <c r="F72" i="8" s="1"/>
  <c r="E29" i="18"/>
  <c r="E18" i="18"/>
  <c r="L6" i="3" s="1"/>
  <c r="E12" i="18"/>
  <c r="E11" i="18"/>
  <c r="E10" i="18"/>
  <c r="E9" i="18"/>
  <c r="E8" i="18"/>
  <c r="L9" i="3" s="1"/>
  <c r="B5" i="15"/>
  <c r="C49" i="14"/>
  <c r="B49" i="14"/>
  <c r="F48" i="14"/>
  <c r="B47" i="14"/>
  <c r="G46" i="14"/>
  <c r="F46" i="14"/>
  <c r="D46" i="14"/>
  <c r="C46" i="14"/>
  <c r="B46" i="14"/>
  <c r="A45" i="14"/>
  <c r="D44" i="14"/>
  <c r="C44" i="14"/>
  <c r="G43" i="14"/>
  <c r="D43" i="14"/>
  <c r="G41" i="14"/>
  <c r="D41" i="14"/>
  <c r="C41" i="14"/>
  <c r="D40" i="14"/>
  <c r="A40" i="14"/>
  <c r="D39" i="14"/>
  <c r="A39" i="14"/>
  <c r="A37" i="14"/>
  <c r="G36" i="14"/>
  <c r="D36" i="14"/>
  <c r="A36" i="14"/>
  <c r="C35" i="14"/>
  <c r="D34" i="14"/>
  <c r="A34" i="14"/>
  <c r="B32" i="14"/>
  <c r="A32" i="14"/>
  <c r="B31" i="14"/>
  <c r="A31" i="14"/>
  <c r="A30" i="14"/>
  <c r="F29" i="14"/>
  <c r="A29" i="14"/>
  <c r="G28" i="14"/>
  <c r="B28" i="14"/>
  <c r="C27" i="14"/>
  <c r="B27" i="14"/>
  <c r="A27" i="14"/>
  <c r="G26" i="14"/>
  <c r="B25" i="14"/>
  <c r="C24" i="14"/>
  <c r="B24" i="14"/>
  <c r="C23" i="14"/>
  <c r="A23" i="14"/>
  <c r="D22" i="14"/>
  <c r="C22" i="14"/>
  <c r="A22" i="14"/>
  <c r="G21" i="14"/>
  <c r="D21" i="14"/>
  <c r="D18" i="14"/>
  <c r="A18" i="14"/>
  <c r="D17" i="14"/>
  <c r="C17" i="14"/>
  <c r="B17" i="14"/>
  <c r="A17" i="14"/>
  <c r="E12" i="14"/>
  <c r="D12" i="14"/>
  <c r="C12" i="14"/>
  <c r="B12" i="14"/>
  <c r="D11" i="14"/>
  <c r="C11" i="14"/>
  <c r="B11" i="14"/>
  <c r="E11" i="14" s="1"/>
  <c r="E10" i="14"/>
  <c r="D10" i="14"/>
  <c r="C10" i="14"/>
  <c r="B10" i="14"/>
  <c r="D9" i="14"/>
  <c r="C9" i="14"/>
  <c r="B9" i="14"/>
  <c r="E9" i="14" s="1"/>
  <c r="D8" i="14"/>
  <c r="E8" i="14" s="1"/>
  <c r="C8" i="14"/>
  <c r="B8" i="14"/>
  <c r="D7" i="14"/>
  <c r="E7" i="14" s="1"/>
  <c r="C7" i="14"/>
  <c r="B7" i="14"/>
  <c r="D6" i="14"/>
  <c r="E6" i="14" s="1"/>
  <c r="C6" i="14"/>
  <c r="B6" i="14"/>
  <c r="F42" i="13"/>
  <c r="H42" i="13" s="1"/>
  <c r="E42" i="13"/>
  <c r="D42" i="13"/>
  <c r="C42" i="13"/>
  <c r="B42" i="13"/>
  <c r="A42" i="13"/>
  <c r="H41" i="13"/>
  <c r="F41" i="13"/>
  <c r="E41" i="13"/>
  <c r="D41" i="13"/>
  <c r="C41" i="13"/>
  <c r="B41" i="13"/>
  <c r="A41" i="13"/>
  <c r="H40" i="13"/>
  <c r="F40" i="13"/>
  <c r="E40" i="13"/>
  <c r="D40" i="13"/>
  <c r="C40" i="13"/>
  <c r="B40" i="13"/>
  <c r="A40" i="13"/>
  <c r="H39" i="13"/>
  <c r="F39" i="13"/>
  <c r="E39" i="13"/>
  <c r="D39" i="13"/>
  <c r="C39" i="13"/>
  <c r="B39" i="13"/>
  <c r="A39" i="13"/>
  <c r="H38" i="13"/>
  <c r="F38" i="13"/>
  <c r="E38" i="13"/>
  <c r="D38" i="13"/>
  <c r="C38" i="13"/>
  <c r="B38" i="13"/>
  <c r="A38" i="13"/>
  <c r="H37" i="13"/>
  <c r="F37" i="13"/>
  <c r="E37" i="13"/>
  <c r="D37" i="13"/>
  <c r="C37" i="13"/>
  <c r="B37" i="13"/>
  <c r="A37" i="13"/>
  <c r="F36" i="13"/>
  <c r="H36" i="13" s="1"/>
  <c r="E36" i="13"/>
  <c r="D36" i="13"/>
  <c r="C36" i="13"/>
  <c r="B36" i="13"/>
  <c r="A36" i="13"/>
  <c r="F35" i="13"/>
  <c r="H35" i="13" s="1"/>
  <c r="E35" i="13"/>
  <c r="D35" i="13"/>
  <c r="C35" i="13"/>
  <c r="B35" i="13"/>
  <c r="A35" i="13"/>
  <c r="H34" i="13"/>
  <c r="F34" i="13"/>
  <c r="E34" i="13"/>
  <c r="D34" i="13"/>
  <c r="C34" i="13"/>
  <c r="B34" i="13"/>
  <c r="A34" i="13"/>
  <c r="H33" i="13"/>
  <c r="F33" i="13"/>
  <c r="E33" i="13"/>
  <c r="D33" i="13"/>
  <c r="C33" i="13"/>
  <c r="B33" i="13"/>
  <c r="A33" i="13"/>
  <c r="F32" i="13"/>
  <c r="H32" i="13" s="1"/>
  <c r="E32" i="13"/>
  <c r="D32" i="13"/>
  <c r="C32" i="13"/>
  <c r="B32" i="13"/>
  <c r="A32" i="13"/>
  <c r="F31" i="13"/>
  <c r="H31" i="13" s="1"/>
  <c r="E31" i="13"/>
  <c r="D31" i="13"/>
  <c r="C31" i="13"/>
  <c r="B31" i="13"/>
  <c r="A31" i="13"/>
  <c r="F30" i="13"/>
  <c r="H30" i="13" s="1"/>
  <c r="E30" i="13"/>
  <c r="D30" i="13"/>
  <c r="C30" i="13"/>
  <c r="B30" i="13"/>
  <c r="A30" i="13"/>
  <c r="H29" i="13"/>
  <c r="F29" i="13"/>
  <c r="E29" i="13"/>
  <c r="D29" i="13"/>
  <c r="C29" i="13"/>
  <c r="B29" i="13"/>
  <c r="A29" i="13"/>
  <c r="H28" i="13"/>
  <c r="F28" i="13"/>
  <c r="E28" i="13"/>
  <c r="D28" i="13"/>
  <c r="C28" i="13"/>
  <c r="B28" i="13"/>
  <c r="A28" i="13"/>
  <c r="H27" i="13"/>
  <c r="F27" i="13"/>
  <c r="E27" i="13"/>
  <c r="D27" i="13"/>
  <c r="C27" i="13"/>
  <c r="B27" i="13"/>
  <c r="A27" i="13"/>
  <c r="H26" i="13"/>
  <c r="F26" i="13"/>
  <c r="E26" i="13"/>
  <c r="D26" i="13"/>
  <c r="C26" i="13"/>
  <c r="B26" i="13"/>
  <c r="A26" i="13"/>
  <c r="F25" i="13"/>
  <c r="H25" i="13" s="1"/>
  <c r="E25" i="13"/>
  <c r="D25" i="13"/>
  <c r="C25" i="13"/>
  <c r="B25" i="13"/>
  <c r="A25" i="13"/>
  <c r="F24" i="13"/>
  <c r="H24" i="13" s="1"/>
  <c r="E24" i="13"/>
  <c r="D24" i="13"/>
  <c r="C24" i="13"/>
  <c r="B24" i="13"/>
  <c r="A24" i="13"/>
  <c r="H23" i="13"/>
  <c r="F23" i="13"/>
  <c r="E23" i="13"/>
  <c r="D23" i="13"/>
  <c r="C23" i="13"/>
  <c r="B23" i="13"/>
  <c r="A23" i="13"/>
  <c r="H22" i="13"/>
  <c r="F22" i="13"/>
  <c r="E22" i="13"/>
  <c r="D22" i="13"/>
  <c r="C22" i="13"/>
  <c r="B22" i="13"/>
  <c r="A22" i="13"/>
  <c r="F21" i="13"/>
  <c r="H21" i="13" s="1"/>
  <c r="E21" i="13"/>
  <c r="D21" i="13"/>
  <c r="C21" i="13"/>
  <c r="B21" i="13"/>
  <c r="A21" i="13"/>
  <c r="F20" i="13"/>
  <c r="H20" i="13" s="1"/>
  <c r="E20" i="13"/>
  <c r="D20" i="13"/>
  <c r="C20" i="13"/>
  <c r="B20" i="13"/>
  <c r="A20" i="13"/>
  <c r="H19" i="13"/>
  <c r="F19" i="13"/>
  <c r="E19" i="13"/>
  <c r="D19" i="13"/>
  <c r="C19" i="13"/>
  <c r="B19" i="13"/>
  <c r="A19" i="13"/>
  <c r="F18" i="13"/>
  <c r="H18" i="13" s="1"/>
  <c r="E18" i="13"/>
  <c r="D18" i="13"/>
  <c r="C18" i="13"/>
  <c r="B18" i="13"/>
  <c r="A18" i="13"/>
  <c r="H17" i="13"/>
  <c r="F17" i="13"/>
  <c r="E17" i="13"/>
  <c r="D17" i="13"/>
  <c r="C17" i="13"/>
  <c r="B17" i="13"/>
  <c r="A17" i="13"/>
  <c r="H16" i="13"/>
  <c r="F16" i="13"/>
  <c r="E16" i="13"/>
  <c r="D16" i="13"/>
  <c r="C16" i="13"/>
  <c r="B16" i="13"/>
  <c r="A16" i="13"/>
  <c r="H15" i="13"/>
  <c r="F15" i="13"/>
  <c r="E15" i="13"/>
  <c r="D15" i="13"/>
  <c r="C15" i="13"/>
  <c r="B15" i="13"/>
  <c r="A15" i="13"/>
  <c r="F14" i="13"/>
  <c r="H14" i="13" s="1"/>
  <c r="E14" i="13"/>
  <c r="D14" i="13"/>
  <c r="C14" i="13"/>
  <c r="B14" i="13"/>
  <c r="A14" i="13"/>
  <c r="F13" i="13"/>
  <c r="H13" i="13" s="1"/>
  <c r="E13" i="13"/>
  <c r="D13" i="13"/>
  <c r="C13" i="13"/>
  <c r="B13" i="13"/>
  <c r="A13" i="13"/>
  <c r="H12" i="13"/>
  <c r="F12" i="13"/>
  <c r="E12" i="13"/>
  <c r="D12" i="13"/>
  <c r="C12" i="13"/>
  <c r="B12" i="13"/>
  <c r="A12" i="13"/>
  <c r="F11" i="13"/>
  <c r="H11" i="13" s="1"/>
  <c r="E11" i="13"/>
  <c r="D11" i="13"/>
  <c r="C11" i="13"/>
  <c r="B11" i="13"/>
  <c r="A11" i="13"/>
  <c r="F10" i="13"/>
  <c r="H10" i="13" s="1"/>
  <c r="E10" i="13"/>
  <c r="D10" i="13"/>
  <c r="C10" i="13"/>
  <c r="B10" i="13"/>
  <c r="A10" i="13"/>
  <c r="H9" i="13"/>
  <c r="F9" i="13"/>
  <c r="E9" i="13"/>
  <c r="D9" i="13"/>
  <c r="C9" i="13"/>
  <c r="B9" i="13"/>
  <c r="A9" i="13"/>
  <c r="N39" i="12"/>
  <c r="G49" i="14" s="1"/>
  <c r="K39" i="12"/>
  <c r="G39" i="12"/>
  <c r="F39" i="12"/>
  <c r="E39" i="12"/>
  <c r="D39" i="12"/>
  <c r="C39" i="12"/>
  <c r="B39" i="12"/>
  <c r="A39" i="12"/>
  <c r="A49" i="14" s="1"/>
  <c r="N38" i="12"/>
  <c r="G48" i="14" s="1"/>
  <c r="M38" i="12"/>
  <c r="K38" i="12"/>
  <c r="G38" i="12"/>
  <c r="F38" i="12"/>
  <c r="D48" i="14" s="1"/>
  <c r="E38" i="12"/>
  <c r="D38" i="12"/>
  <c r="C38" i="12"/>
  <c r="C48" i="14" s="1"/>
  <c r="B38" i="12"/>
  <c r="B48" i="14" s="1"/>
  <c r="A38" i="12"/>
  <c r="A48" i="14" s="1"/>
  <c r="K37" i="12"/>
  <c r="G37" i="12"/>
  <c r="F37" i="12"/>
  <c r="E37" i="12"/>
  <c r="D37" i="12"/>
  <c r="C37" i="12"/>
  <c r="C47" i="14" s="1"/>
  <c r="B37" i="12"/>
  <c r="A37" i="12"/>
  <c r="A47" i="14" s="1"/>
  <c r="N36" i="12"/>
  <c r="M36" i="12"/>
  <c r="K36" i="12"/>
  <c r="G36" i="12"/>
  <c r="F36" i="12"/>
  <c r="E36" i="12"/>
  <c r="D36" i="12"/>
  <c r="C36" i="12"/>
  <c r="B36" i="12"/>
  <c r="A36" i="12"/>
  <c r="A46" i="14" s="1"/>
  <c r="K35" i="12"/>
  <c r="G35" i="12"/>
  <c r="F35" i="12"/>
  <c r="E35" i="12"/>
  <c r="D35" i="12"/>
  <c r="C35" i="12"/>
  <c r="C45" i="14" s="1"/>
  <c r="B35" i="12"/>
  <c r="B45" i="14" s="1"/>
  <c r="A35" i="12"/>
  <c r="K34" i="12"/>
  <c r="G34" i="12"/>
  <c r="F34" i="12"/>
  <c r="N34" i="12" s="1"/>
  <c r="G44" i="14" s="1"/>
  <c r="E34" i="12"/>
  <c r="D34" i="12"/>
  <c r="C34" i="12"/>
  <c r="B34" i="12"/>
  <c r="B44" i="14" s="1"/>
  <c r="A34" i="12"/>
  <c r="A44" i="14" s="1"/>
  <c r="N33" i="12"/>
  <c r="M33" i="12"/>
  <c r="F43" i="14" s="1"/>
  <c r="K33" i="12"/>
  <c r="G33" i="12"/>
  <c r="F33" i="12"/>
  <c r="E33" i="12"/>
  <c r="D33" i="12"/>
  <c r="C33" i="12"/>
  <c r="C43" i="14" s="1"/>
  <c r="B33" i="12"/>
  <c r="B43" i="14" s="1"/>
  <c r="A33" i="12"/>
  <c r="A43" i="14" s="1"/>
  <c r="K32" i="12"/>
  <c r="G32" i="12"/>
  <c r="F32" i="12"/>
  <c r="E32" i="12"/>
  <c r="D32" i="12"/>
  <c r="C32" i="12"/>
  <c r="C42" i="14" s="1"/>
  <c r="B32" i="12"/>
  <c r="B42" i="14" s="1"/>
  <c r="A32" i="12"/>
  <c r="A42" i="14" s="1"/>
  <c r="K31" i="12"/>
  <c r="G31" i="12"/>
  <c r="F31" i="12"/>
  <c r="N31" i="12" s="1"/>
  <c r="E31" i="12"/>
  <c r="D31" i="12"/>
  <c r="C31" i="12"/>
  <c r="B31" i="12"/>
  <c r="B41" i="14" s="1"/>
  <c r="A31" i="12"/>
  <c r="A41" i="14" s="1"/>
  <c r="N30" i="12"/>
  <c r="G40" i="14" s="1"/>
  <c r="K30" i="12"/>
  <c r="G30" i="12"/>
  <c r="F30" i="12"/>
  <c r="M30" i="12" s="1"/>
  <c r="F40" i="14" s="1"/>
  <c r="E30" i="12"/>
  <c r="D30" i="12"/>
  <c r="C30" i="12"/>
  <c r="C40" i="14" s="1"/>
  <c r="B30" i="12"/>
  <c r="B40" i="14" s="1"/>
  <c r="A30" i="12"/>
  <c r="N29" i="12"/>
  <c r="G39" i="14" s="1"/>
  <c r="M29" i="12"/>
  <c r="F39" i="14" s="1"/>
  <c r="K29" i="12"/>
  <c r="G29" i="12"/>
  <c r="F29" i="12"/>
  <c r="E29" i="12"/>
  <c r="D29" i="12"/>
  <c r="C29" i="12"/>
  <c r="C39" i="14" s="1"/>
  <c r="B29" i="12"/>
  <c r="B39" i="14" s="1"/>
  <c r="A29" i="12"/>
  <c r="N28" i="12"/>
  <c r="G38" i="14" s="1"/>
  <c r="M28" i="12"/>
  <c r="F38" i="14" s="1"/>
  <c r="K28" i="12"/>
  <c r="G28" i="12"/>
  <c r="F28" i="12"/>
  <c r="D38" i="14" s="1"/>
  <c r="E28" i="12"/>
  <c r="D28" i="12"/>
  <c r="C28" i="12"/>
  <c r="C38" i="14" s="1"/>
  <c r="B28" i="12"/>
  <c r="B38" i="14" s="1"/>
  <c r="A28" i="12"/>
  <c r="A38" i="14" s="1"/>
  <c r="M27" i="12"/>
  <c r="F37" i="14" s="1"/>
  <c r="K27" i="12"/>
  <c r="G27" i="12"/>
  <c r="F27" i="12"/>
  <c r="E27" i="12"/>
  <c r="D27" i="12"/>
  <c r="C27" i="12"/>
  <c r="C37" i="14" s="1"/>
  <c r="B27" i="12"/>
  <c r="B37" i="14" s="1"/>
  <c r="A27" i="12"/>
  <c r="M26" i="12"/>
  <c r="F36" i="14" s="1"/>
  <c r="K26" i="12"/>
  <c r="G26" i="12"/>
  <c r="F26" i="12"/>
  <c r="N26" i="12" s="1"/>
  <c r="E26" i="12"/>
  <c r="D26" i="12"/>
  <c r="C26" i="12"/>
  <c r="C36" i="14" s="1"/>
  <c r="B26" i="12"/>
  <c r="B36" i="14" s="1"/>
  <c r="A26" i="12"/>
  <c r="N25" i="12"/>
  <c r="G35" i="14" s="1"/>
  <c r="M25" i="12"/>
  <c r="F35" i="14" s="1"/>
  <c r="K25" i="12"/>
  <c r="G25" i="12"/>
  <c r="F25" i="12"/>
  <c r="D35" i="14" s="1"/>
  <c r="E25" i="12"/>
  <c r="D25" i="12"/>
  <c r="C25" i="12"/>
  <c r="B25" i="12"/>
  <c r="B35" i="14" s="1"/>
  <c r="A25" i="12"/>
  <c r="A35" i="14" s="1"/>
  <c r="K24" i="12"/>
  <c r="G24" i="12"/>
  <c r="F24" i="12"/>
  <c r="E24" i="12"/>
  <c r="D24" i="12"/>
  <c r="C24" i="12"/>
  <c r="C34" i="14" s="1"/>
  <c r="B24" i="12"/>
  <c r="B34" i="14" s="1"/>
  <c r="A24" i="12"/>
  <c r="K23" i="12"/>
  <c r="G23" i="12"/>
  <c r="F23" i="12"/>
  <c r="D33" i="14" s="1"/>
  <c r="E23" i="12"/>
  <c r="D23" i="12"/>
  <c r="C23" i="12"/>
  <c r="C33" i="14" s="1"/>
  <c r="B23" i="12"/>
  <c r="B33" i="14" s="1"/>
  <c r="A23" i="12"/>
  <c r="A33" i="14" s="1"/>
  <c r="N22" i="12"/>
  <c r="G32" i="14" s="1"/>
  <c r="M22" i="12"/>
  <c r="F32" i="14" s="1"/>
  <c r="K22" i="12"/>
  <c r="G22" i="12"/>
  <c r="F22" i="12"/>
  <c r="D32" i="14" s="1"/>
  <c r="E22" i="12"/>
  <c r="D22" i="12"/>
  <c r="C22" i="12"/>
  <c r="C32" i="14" s="1"/>
  <c r="B22" i="12"/>
  <c r="A22" i="12"/>
  <c r="K21" i="12"/>
  <c r="G21" i="12"/>
  <c r="F21" i="12"/>
  <c r="E21" i="12"/>
  <c r="D21" i="12"/>
  <c r="C21" i="12"/>
  <c r="C31" i="14" s="1"/>
  <c r="B21" i="12"/>
  <c r="A21" i="12"/>
  <c r="M20" i="12"/>
  <c r="F30" i="14" s="1"/>
  <c r="K20" i="12"/>
  <c r="G20" i="12"/>
  <c r="F20" i="12"/>
  <c r="N20" i="12" s="1"/>
  <c r="G30" i="14" s="1"/>
  <c r="E20" i="12"/>
  <c r="D20" i="12"/>
  <c r="C20" i="12"/>
  <c r="C30" i="14" s="1"/>
  <c r="B20" i="12"/>
  <c r="B30" i="14" s="1"/>
  <c r="A20" i="12"/>
  <c r="K19" i="12"/>
  <c r="G19" i="12"/>
  <c r="F19" i="12"/>
  <c r="M19" i="12" s="1"/>
  <c r="E19" i="12"/>
  <c r="D19" i="12"/>
  <c r="C19" i="12"/>
  <c r="C29" i="14" s="1"/>
  <c r="B19" i="12"/>
  <c r="B29" i="14" s="1"/>
  <c r="A19" i="12"/>
  <c r="N18" i="12"/>
  <c r="M18" i="12"/>
  <c r="F28" i="14" s="1"/>
  <c r="K18" i="12"/>
  <c r="G18" i="12"/>
  <c r="F18" i="12"/>
  <c r="D28" i="14" s="1"/>
  <c r="E18" i="12"/>
  <c r="D18" i="12"/>
  <c r="C18" i="12"/>
  <c r="C28" i="14" s="1"/>
  <c r="B18" i="12"/>
  <c r="A18" i="12"/>
  <c r="A28" i="14" s="1"/>
  <c r="K17" i="12"/>
  <c r="G17" i="12"/>
  <c r="F17" i="12"/>
  <c r="E17" i="12"/>
  <c r="D17" i="12"/>
  <c r="C17" i="12"/>
  <c r="B17" i="12"/>
  <c r="A17" i="12"/>
  <c r="N16" i="12"/>
  <c r="M16" i="12"/>
  <c r="F26" i="14" s="1"/>
  <c r="K16" i="12"/>
  <c r="G16" i="12"/>
  <c r="F16" i="12"/>
  <c r="D26" i="14" s="1"/>
  <c r="E16" i="12"/>
  <c r="D16" i="12"/>
  <c r="C16" i="12"/>
  <c r="C26" i="14" s="1"/>
  <c r="B16" i="12"/>
  <c r="B26" i="14" s="1"/>
  <c r="A16" i="12"/>
  <c r="A26" i="14" s="1"/>
  <c r="K15" i="12"/>
  <c r="G15" i="12"/>
  <c r="F15" i="12"/>
  <c r="E15" i="12"/>
  <c r="D15" i="12"/>
  <c r="C15" i="12"/>
  <c r="C25" i="14" s="1"/>
  <c r="B15" i="12"/>
  <c r="A15" i="12"/>
  <c r="A25" i="14" s="1"/>
  <c r="K14" i="12"/>
  <c r="G14" i="12"/>
  <c r="F14" i="12"/>
  <c r="N14" i="12" s="1"/>
  <c r="G24" i="14" s="1"/>
  <c r="E14" i="12"/>
  <c r="D14" i="12"/>
  <c r="C14" i="12"/>
  <c r="B14" i="12"/>
  <c r="A14" i="12"/>
  <c r="A24" i="14" s="1"/>
  <c r="K13" i="12"/>
  <c r="G13" i="12"/>
  <c r="F13" i="12"/>
  <c r="E13" i="12"/>
  <c r="D13" i="12"/>
  <c r="C13" i="12"/>
  <c r="B13" i="12"/>
  <c r="B23" i="14" s="1"/>
  <c r="A13" i="12"/>
  <c r="K12" i="12"/>
  <c r="G12" i="12"/>
  <c r="F12" i="12"/>
  <c r="N12" i="12" s="1"/>
  <c r="G22" i="14" s="1"/>
  <c r="E12" i="12"/>
  <c r="D12" i="12"/>
  <c r="C12" i="12"/>
  <c r="B12" i="12"/>
  <c r="B22" i="14" s="1"/>
  <c r="A12" i="12"/>
  <c r="N11" i="12"/>
  <c r="M11" i="12"/>
  <c r="F21" i="14" s="1"/>
  <c r="K11" i="12"/>
  <c r="G11" i="12"/>
  <c r="F11" i="12"/>
  <c r="E11" i="12"/>
  <c r="D11" i="12"/>
  <c r="C11" i="12"/>
  <c r="C21" i="14" s="1"/>
  <c r="B11" i="12"/>
  <c r="B21" i="14" s="1"/>
  <c r="A11" i="12"/>
  <c r="A21" i="14" s="1"/>
  <c r="M10" i="12"/>
  <c r="F20" i="14" s="1"/>
  <c r="K10" i="12"/>
  <c r="G10" i="12"/>
  <c r="F10" i="12"/>
  <c r="E10" i="12"/>
  <c r="D10" i="12"/>
  <c r="C10" i="12"/>
  <c r="C20" i="14" s="1"/>
  <c r="B10" i="12"/>
  <c r="B20" i="14" s="1"/>
  <c r="A10" i="12"/>
  <c r="A20" i="14" s="1"/>
  <c r="K9" i="12"/>
  <c r="G9" i="12"/>
  <c r="F9" i="12"/>
  <c r="E9" i="12"/>
  <c r="D9" i="12"/>
  <c r="C9" i="12"/>
  <c r="C19" i="14" s="1"/>
  <c r="B9" i="12"/>
  <c r="B19" i="14" s="1"/>
  <c r="A9" i="12"/>
  <c r="A19" i="14" s="1"/>
  <c r="N8" i="12"/>
  <c r="G18" i="14" s="1"/>
  <c r="M8" i="12"/>
  <c r="F18" i="14" s="1"/>
  <c r="K8" i="12"/>
  <c r="G8" i="12"/>
  <c r="F8" i="12"/>
  <c r="E8" i="12"/>
  <c r="D8" i="12"/>
  <c r="C8" i="12"/>
  <c r="C18" i="14" s="1"/>
  <c r="B8" i="12"/>
  <c r="B18" i="14" s="1"/>
  <c r="A8" i="12"/>
  <c r="N7" i="12"/>
  <c r="G17" i="14" s="1"/>
  <c r="M7" i="12"/>
  <c r="F17" i="14" s="1"/>
  <c r="K7" i="12"/>
  <c r="G7" i="12"/>
  <c r="F7" i="12"/>
  <c r="E7" i="12"/>
  <c r="D7" i="12"/>
  <c r="C7" i="12"/>
  <c r="B7" i="12"/>
  <c r="A7" i="12"/>
  <c r="K6" i="12"/>
  <c r="G6" i="12"/>
  <c r="F6" i="12"/>
  <c r="E6" i="12"/>
  <c r="D6" i="12"/>
  <c r="C6" i="12"/>
  <c r="C16" i="14" s="1"/>
  <c r="B6" i="12"/>
  <c r="B16" i="14" s="1"/>
  <c r="A6" i="12"/>
  <c r="A16" i="14" s="1"/>
  <c r="J54" i="11"/>
  <c r="N48" i="11"/>
  <c r="K48" i="11"/>
  <c r="K46" i="11"/>
  <c r="F39" i="11"/>
  <c r="E39" i="11"/>
  <c r="D39" i="11"/>
  <c r="C39" i="11"/>
  <c r="B39" i="11"/>
  <c r="A39" i="11"/>
  <c r="R38" i="11"/>
  <c r="P38" i="11"/>
  <c r="F38" i="11"/>
  <c r="Q38" i="11" s="1"/>
  <c r="E38" i="11"/>
  <c r="D38" i="11"/>
  <c r="C38" i="11"/>
  <c r="B38" i="11"/>
  <c r="A38" i="11"/>
  <c r="R37" i="11"/>
  <c r="Q37" i="11"/>
  <c r="F37" i="11"/>
  <c r="P37" i="11" s="1"/>
  <c r="E37" i="11"/>
  <c r="D37" i="11"/>
  <c r="C37" i="11"/>
  <c r="B37" i="11"/>
  <c r="A37" i="11"/>
  <c r="R36" i="11"/>
  <c r="Q36" i="11"/>
  <c r="P36" i="11"/>
  <c r="N36" i="11"/>
  <c r="F36" i="11"/>
  <c r="E36" i="11"/>
  <c r="D36" i="11"/>
  <c r="C36" i="11"/>
  <c r="B36" i="11"/>
  <c r="A36" i="11"/>
  <c r="Q35" i="11"/>
  <c r="F35" i="11"/>
  <c r="E35" i="11"/>
  <c r="D35" i="11"/>
  <c r="C35" i="11"/>
  <c r="B35" i="11"/>
  <c r="A35" i="11"/>
  <c r="F34" i="11"/>
  <c r="E34" i="11"/>
  <c r="D34" i="11"/>
  <c r="C34" i="11"/>
  <c r="B34" i="11"/>
  <c r="A34" i="11"/>
  <c r="F33" i="11"/>
  <c r="R33" i="11" s="1"/>
  <c r="E33" i="11"/>
  <c r="D33" i="11"/>
  <c r="C33" i="11"/>
  <c r="B33" i="11"/>
  <c r="A33" i="11"/>
  <c r="R32" i="11"/>
  <c r="Q32" i="11"/>
  <c r="P32" i="11"/>
  <c r="O32" i="11"/>
  <c r="F32" i="11"/>
  <c r="E32" i="11"/>
  <c r="D32" i="11"/>
  <c r="C32" i="11"/>
  <c r="B32" i="11"/>
  <c r="A32" i="11"/>
  <c r="Q31" i="11"/>
  <c r="P31" i="11"/>
  <c r="M31" i="11"/>
  <c r="O31" i="11" s="1"/>
  <c r="K31" i="11"/>
  <c r="F31" i="11"/>
  <c r="R31" i="11" s="1"/>
  <c r="E31" i="11"/>
  <c r="D31" i="11"/>
  <c r="C31" i="11"/>
  <c r="B31" i="11"/>
  <c r="A31" i="11"/>
  <c r="F30" i="11"/>
  <c r="E30" i="11"/>
  <c r="D30" i="11"/>
  <c r="C30" i="11"/>
  <c r="B30" i="11"/>
  <c r="A30" i="11"/>
  <c r="Q29" i="11"/>
  <c r="F29" i="11"/>
  <c r="P29" i="11" s="1"/>
  <c r="E29" i="11"/>
  <c r="D29" i="11"/>
  <c r="C29" i="11"/>
  <c r="B29" i="11"/>
  <c r="A29" i="11"/>
  <c r="K28" i="11"/>
  <c r="F28" i="11"/>
  <c r="R28" i="11" s="1"/>
  <c r="E28" i="11"/>
  <c r="D28" i="11"/>
  <c r="C28" i="11"/>
  <c r="B28" i="11"/>
  <c r="A28" i="11"/>
  <c r="R27" i="11"/>
  <c r="Q27" i="11"/>
  <c r="P27" i="11"/>
  <c r="F27" i="11"/>
  <c r="E27" i="11"/>
  <c r="D27" i="11"/>
  <c r="C27" i="11"/>
  <c r="B27" i="11"/>
  <c r="A27" i="11"/>
  <c r="P26" i="11"/>
  <c r="F26" i="11"/>
  <c r="Q26" i="11" s="1"/>
  <c r="E26" i="11"/>
  <c r="D26" i="11"/>
  <c r="C26" i="11"/>
  <c r="B26" i="11"/>
  <c r="A26" i="11"/>
  <c r="R25" i="11"/>
  <c r="Q25" i="11"/>
  <c r="P25" i="11"/>
  <c r="K25" i="11"/>
  <c r="F25" i="11"/>
  <c r="E25" i="11"/>
  <c r="D25" i="11"/>
  <c r="C25" i="11"/>
  <c r="B25" i="11"/>
  <c r="A25" i="11"/>
  <c r="F24" i="11"/>
  <c r="E24" i="11"/>
  <c r="D24" i="11"/>
  <c r="C24" i="11"/>
  <c r="B24" i="11"/>
  <c r="A24" i="11"/>
  <c r="R23" i="11"/>
  <c r="F23" i="11"/>
  <c r="E23" i="11"/>
  <c r="D23" i="11"/>
  <c r="C23" i="11"/>
  <c r="B23" i="11"/>
  <c r="A23" i="11"/>
  <c r="F22" i="11"/>
  <c r="E22" i="11"/>
  <c r="D22" i="11"/>
  <c r="C22" i="11"/>
  <c r="B22" i="11"/>
  <c r="A22" i="11"/>
  <c r="P21" i="11"/>
  <c r="F21" i="11"/>
  <c r="E21" i="11"/>
  <c r="D21" i="11"/>
  <c r="C21" i="11"/>
  <c r="B21" i="11"/>
  <c r="A21" i="11"/>
  <c r="R20" i="11"/>
  <c r="F20" i="11"/>
  <c r="E20" i="11"/>
  <c r="D20" i="11"/>
  <c r="C20" i="11"/>
  <c r="B20" i="11"/>
  <c r="A20" i="11"/>
  <c r="R19" i="11"/>
  <c r="Q19" i="11"/>
  <c r="K19" i="11"/>
  <c r="F19" i="11"/>
  <c r="P19" i="11" s="1"/>
  <c r="E19" i="11"/>
  <c r="D19" i="11"/>
  <c r="C19" i="11"/>
  <c r="B19" i="11"/>
  <c r="A19" i="11"/>
  <c r="F18" i="11"/>
  <c r="R18" i="11" s="1"/>
  <c r="E18" i="11"/>
  <c r="D18" i="11"/>
  <c r="C18" i="11"/>
  <c r="B18" i="11"/>
  <c r="A18" i="11"/>
  <c r="P17" i="11"/>
  <c r="F17" i="11"/>
  <c r="R17" i="11" s="1"/>
  <c r="E17" i="11"/>
  <c r="D17" i="11"/>
  <c r="C17" i="11"/>
  <c r="B17" i="11"/>
  <c r="A17" i="11"/>
  <c r="F16" i="11"/>
  <c r="Q16" i="11" s="1"/>
  <c r="E16" i="11"/>
  <c r="D16" i="11"/>
  <c r="C16" i="11"/>
  <c r="B16" i="11"/>
  <c r="A16" i="11"/>
  <c r="R15" i="11"/>
  <c r="Q15" i="11"/>
  <c r="F15" i="11"/>
  <c r="P15" i="11" s="1"/>
  <c r="E15" i="11"/>
  <c r="D15" i="11"/>
  <c r="C15" i="11"/>
  <c r="B15" i="11"/>
  <c r="A15" i="11"/>
  <c r="R14" i="11"/>
  <c r="Q14" i="11"/>
  <c r="P14" i="11"/>
  <c r="F14" i="11"/>
  <c r="E14" i="11"/>
  <c r="D14" i="11"/>
  <c r="C14" i="11"/>
  <c r="B14" i="11"/>
  <c r="A14" i="11"/>
  <c r="R13" i="11"/>
  <c r="F13" i="11"/>
  <c r="Q13" i="11" s="1"/>
  <c r="E13" i="11"/>
  <c r="D13" i="11"/>
  <c r="C13" i="11"/>
  <c r="B13" i="11"/>
  <c r="A13" i="11"/>
  <c r="R12" i="11"/>
  <c r="F12" i="11"/>
  <c r="Q12" i="11" s="1"/>
  <c r="E12" i="11"/>
  <c r="D12" i="11"/>
  <c r="C12" i="11"/>
  <c r="B12" i="11"/>
  <c r="A12" i="11"/>
  <c r="F11" i="11"/>
  <c r="R11" i="11" s="1"/>
  <c r="E11" i="11"/>
  <c r="D11" i="11"/>
  <c r="C11" i="11"/>
  <c r="B11" i="11"/>
  <c r="A11" i="11"/>
  <c r="R10" i="11"/>
  <c r="Q10" i="11"/>
  <c r="P10" i="11"/>
  <c r="F10" i="11"/>
  <c r="E10" i="11"/>
  <c r="D10" i="11"/>
  <c r="C10" i="11"/>
  <c r="B10" i="11"/>
  <c r="A10" i="11"/>
  <c r="Q9" i="11"/>
  <c r="P9" i="11"/>
  <c r="F9" i="11"/>
  <c r="R9" i="11" s="1"/>
  <c r="E9" i="11"/>
  <c r="D9" i="11"/>
  <c r="C9" i="11"/>
  <c r="B9" i="11"/>
  <c r="A9" i="11"/>
  <c r="P8" i="11"/>
  <c r="M8" i="11"/>
  <c r="O8" i="11" s="1"/>
  <c r="H8" i="11"/>
  <c r="F8" i="11"/>
  <c r="E8" i="11"/>
  <c r="D8" i="11"/>
  <c r="C8" i="11"/>
  <c r="B8" i="11"/>
  <c r="A8" i="11"/>
  <c r="J7" i="11"/>
  <c r="F7" i="11"/>
  <c r="E7" i="11"/>
  <c r="D7" i="11"/>
  <c r="C7" i="11"/>
  <c r="B7" i="11"/>
  <c r="A7" i="11"/>
  <c r="F6" i="11"/>
  <c r="R6" i="11" s="1"/>
  <c r="E6" i="11"/>
  <c r="D6" i="11"/>
  <c r="C6" i="11"/>
  <c r="B6" i="11"/>
  <c r="A6" i="11"/>
  <c r="F39" i="10"/>
  <c r="E39" i="10"/>
  <c r="D39" i="10"/>
  <c r="C39" i="10"/>
  <c r="B39" i="10"/>
  <c r="A39" i="10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F25" i="10"/>
  <c r="E25" i="10"/>
  <c r="D25" i="10"/>
  <c r="C25" i="10"/>
  <c r="B25" i="10"/>
  <c r="A25" i="10"/>
  <c r="F24" i="10"/>
  <c r="E24" i="10"/>
  <c r="D24" i="10"/>
  <c r="C24" i="10"/>
  <c r="B24" i="10"/>
  <c r="A24" i="10"/>
  <c r="F23" i="10"/>
  <c r="E23" i="10"/>
  <c r="D23" i="10"/>
  <c r="C23" i="10"/>
  <c r="B23" i="10"/>
  <c r="A23" i="10"/>
  <c r="F22" i="10"/>
  <c r="E22" i="10"/>
  <c r="D22" i="10"/>
  <c r="C22" i="10"/>
  <c r="B22" i="10"/>
  <c r="A22" i="10"/>
  <c r="F21" i="10"/>
  <c r="E21" i="10"/>
  <c r="D21" i="10"/>
  <c r="C21" i="10"/>
  <c r="B21" i="10"/>
  <c r="A21" i="10"/>
  <c r="F20" i="10"/>
  <c r="E20" i="10"/>
  <c r="D20" i="10"/>
  <c r="C20" i="10"/>
  <c r="B20" i="10"/>
  <c r="A20" i="10"/>
  <c r="F19" i="10"/>
  <c r="E19" i="10"/>
  <c r="D19" i="10"/>
  <c r="C19" i="10"/>
  <c r="B19" i="10"/>
  <c r="A19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F16" i="10"/>
  <c r="E16" i="10"/>
  <c r="D16" i="10"/>
  <c r="C16" i="10"/>
  <c r="B16" i="10"/>
  <c r="A16" i="10"/>
  <c r="F15" i="10"/>
  <c r="E15" i="10"/>
  <c r="D15" i="10"/>
  <c r="C15" i="10"/>
  <c r="B15" i="10"/>
  <c r="A15" i="10"/>
  <c r="F14" i="10"/>
  <c r="E14" i="10"/>
  <c r="D14" i="10"/>
  <c r="C14" i="10"/>
  <c r="B14" i="10"/>
  <c r="A14" i="10"/>
  <c r="F13" i="10"/>
  <c r="E13" i="10"/>
  <c r="D13" i="10"/>
  <c r="C13" i="10"/>
  <c r="B13" i="10"/>
  <c r="A13" i="10"/>
  <c r="F12" i="10"/>
  <c r="E12" i="10"/>
  <c r="D12" i="10"/>
  <c r="C12" i="10"/>
  <c r="B12" i="10"/>
  <c r="A12" i="10"/>
  <c r="F11" i="10"/>
  <c r="E11" i="10"/>
  <c r="D11" i="10"/>
  <c r="C11" i="10"/>
  <c r="B11" i="10"/>
  <c r="A11" i="10"/>
  <c r="F10" i="10"/>
  <c r="E10" i="10"/>
  <c r="D10" i="10"/>
  <c r="C10" i="10"/>
  <c r="B10" i="10"/>
  <c r="A10" i="10"/>
  <c r="F9" i="10"/>
  <c r="E9" i="10"/>
  <c r="D9" i="10"/>
  <c r="C9" i="10"/>
  <c r="B9" i="10"/>
  <c r="A9" i="10"/>
  <c r="F8" i="10"/>
  <c r="E8" i="10"/>
  <c r="D8" i="10"/>
  <c r="C8" i="10"/>
  <c r="B8" i="10"/>
  <c r="A8" i="10"/>
  <c r="F7" i="10"/>
  <c r="E7" i="10"/>
  <c r="D7" i="10"/>
  <c r="C7" i="10"/>
  <c r="B7" i="10"/>
  <c r="A7" i="10"/>
  <c r="F6" i="10"/>
  <c r="E6" i="10"/>
  <c r="D6" i="10"/>
  <c r="C6" i="10"/>
  <c r="B6" i="10"/>
  <c r="A6" i="10"/>
  <c r="F39" i="9"/>
  <c r="E39" i="9"/>
  <c r="D39" i="9"/>
  <c r="C39" i="9"/>
  <c r="B39" i="9"/>
  <c r="A39" i="9"/>
  <c r="F38" i="9"/>
  <c r="E38" i="9"/>
  <c r="D38" i="9"/>
  <c r="C38" i="9"/>
  <c r="B38" i="9"/>
  <c r="A38" i="9"/>
  <c r="F37" i="9"/>
  <c r="E37" i="9"/>
  <c r="D37" i="9"/>
  <c r="C37" i="9"/>
  <c r="B37" i="9"/>
  <c r="A37" i="9"/>
  <c r="F36" i="9"/>
  <c r="E36" i="9"/>
  <c r="D36" i="9"/>
  <c r="C36" i="9"/>
  <c r="B36" i="9"/>
  <c r="A36" i="9"/>
  <c r="F35" i="9"/>
  <c r="E35" i="9"/>
  <c r="D35" i="9"/>
  <c r="C35" i="9"/>
  <c r="B35" i="9"/>
  <c r="A35" i="9"/>
  <c r="F34" i="9"/>
  <c r="E34" i="9"/>
  <c r="D34" i="9"/>
  <c r="C34" i="9"/>
  <c r="B34" i="9"/>
  <c r="A34" i="9"/>
  <c r="F33" i="9"/>
  <c r="E33" i="9"/>
  <c r="D33" i="9"/>
  <c r="C33" i="9"/>
  <c r="B33" i="9"/>
  <c r="A33" i="9"/>
  <c r="F32" i="9"/>
  <c r="E32" i="9"/>
  <c r="D32" i="9"/>
  <c r="C32" i="9"/>
  <c r="B32" i="9"/>
  <c r="A32" i="9"/>
  <c r="F31" i="9"/>
  <c r="E31" i="9"/>
  <c r="D31" i="9"/>
  <c r="C31" i="9"/>
  <c r="B31" i="9"/>
  <c r="A31" i="9"/>
  <c r="F30" i="9"/>
  <c r="E30" i="9"/>
  <c r="D30" i="9"/>
  <c r="C30" i="9"/>
  <c r="B30" i="9"/>
  <c r="A30" i="9"/>
  <c r="F29" i="9"/>
  <c r="E29" i="9"/>
  <c r="D29" i="9"/>
  <c r="C29" i="9"/>
  <c r="B29" i="9"/>
  <c r="A29" i="9"/>
  <c r="F28" i="9"/>
  <c r="E28" i="9"/>
  <c r="D28" i="9"/>
  <c r="C28" i="9"/>
  <c r="B28" i="9"/>
  <c r="A28" i="9"/>
  <c r="F27" i="9"/>
  <c r="E27" i="9"/>
  <c r="D27" i="9"/>
  <c r="C27" i="9"/>
  <c r="B27" i="9"/>
  <c r="A27" i="9"/>
  <c r="F26" i="9"/>
  <c r="E26" i="9"/>
  <c r="D26" i="9"/>
  <c r="C26" i="9"/>
  <c r="B26" i="9"/>
  <c r="A26" i="9"/>
  <c r="F25" i="9"/>
  <c r="E25" i="9"/>
  <c r="D25" i="9"/>
  <c r="C25" i="9"/>
  <c r="B25" i="9"/>
  <c r="A25" i="9"/>
  <c r="F24" i="9"/>
  <c r="E24" i="9"/>
  <c r="D24" i="9"/>
  <c r="C24" i="9"/>
  <c r="B24" i="9"/>
  <c r="A24" i="9"/>
  <c r="F23" i="9"/>
  <c r="E23" i="9"/>
  <c r="D23" i="9"/>
  <c r="C23" i="9"/>
  <c r="B23" i="9"/>
  <c r="A23" i="9"/>
  <c r="F22" i="9"/>
  <c r="E22" i="9"/>
  <c r="D22" i="9"/>
  <c r="C22" i="9"/>
  <c r="B22" i="9"/>
  <c r="A22" i="9"/>
  <c r="F21" i="9"/>
  <c r="E21" i="9"/>
  <c r="D21" i="9"/>
  <c r="C21" i="9"/>
  <c r="B21" i="9"/>
  <c r="A21" i="9"/>
  <c r="F20" i="9"/>
  <c r="E20" i="9"/>
  <c r="D20" i="9"/>
  <c r="C20" i="9"/>
  <c r="B20" i="9"/>
  <c r="A20" i="9"/>
  <c r="F19" i="9"/>
  <c r="E19" i="9"/>
  <c r="D19" i="9"/>
  <c r="C19" i="9"/>
  <c r="B19" i="9"/>
  <c r="A19" i="9"/>
  <c r="F18" i="9"/>
  <c r="E18" i="9"/>
  <c r="D18" i="9"/>
  <c r="C18" i="9"/>
  <c r="B18" i="9"/>
  <c r="A18" i="9"/>
  <c r="F17" i="9"/>
  <c r="E17" i="9"/>
  <c r="D17" i="9"/>
  <c r="C17" i="9"/>
  <c r="B17" i="9"/>
  <c r="A17" i="9"/>
  <c r="F16" i="9"/>
  <c r="E16" i="9"/>
  <c r="D16" i="9"/>
  <c r="C16" i="9"/>
  <c r="B16" i="9"/>
  <c r="A16" i="9"/>
  <c r="F15" i="9"/>
  <c r="E15" i="9"/>
  <c r="D15" i="9"/>
  <c r="C15" i="9"/>
  <c r="B15" i="9"/>
  <c r="A15" i="9"/>
  <c r="F14" i="9"/>
  <c r="E14" i="9"/>
  <c r="D14" i="9"/>
  <c r="C14" i="9"/>
  <c r="B14" i="9"/>
  <c r="A14" i="9"/>
  <c r="F13" i="9"/>
  <c r="E13" i="9"/>
  <c r="D13" i="9"/>
  <c r="C13" i="9"/>
  <c r="B13" i="9"/>
  <c r="A13" i="9"/>
  <c r="F12" i="9"/>
  <c r="E12" i="9"/>
  <c r="D12" i="9"/>
  <c r="C12" i="9"/>
  <c r="B12" i="9"/>
  <c r="A12" i="9"/>
  <c r="F11" i="9"/>
  <c r="E11" i="9"/>
  <c r="D11" i="9"/>
  <c r="C11" i="9"/>
  <c r="B11" i="9"/>
  <c r="A11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F6" i="9"/>
  <c r="E6" i="9"/>
  <c r="D6" i="9"/>
  <c r="C6" i="9"/>
  <c r="B6" i="9"/>
  <c r="A6" i="9"/>
  <c r="I113" i="8"/>
  <c r="J113" i="8" s="1"/>
  <c r="N55" i="11" s="1"/>
  <c r="H113" i="8"/>
  <c r="G113" i="8"/>
  <c r="F113" i="8"/>
  <c r="E113" i="8"/>
  <c r="D113" i="8"/>
  <c r="C113" i="8"/>
  <c r="B113" i="8"/>
  <c r="A113" i="8"/>
  <c r="J112" i="8"/>
  <c r="N54" i="11" s="1"/>
  <c r="H112" i="8"/>
  <c r="G112" i="8"/>
  <c r="I112" i="8" s="1"/>
  <c r="F112" i="8"/>
  <c r="E112" i="8"/>
  <c r="D112" i="8"/>
  <c r="C112" i="8"/>
  <c r="B112" i="8"/>
  <c r="A112" i="8"/>
  <c r="H111" i="8"/>
  <c r="G111" i="8"/>
  <c r="I111" i="8" s="1"/>
  <c r="J111" i="8" s="1"/>
  <c r="N53" i="11" s="1"/>
  <c r="F111" i="8"/>
  <c r="E111" i="8"/>
  <c r="D111" i="8"/>
  <c r="C111" i="8"/>
  <c r="B111" i="8"/>
  <c r="A111" i="8"/>
  <c r="H110" i="8"/>
  <c r="G110" i="8"/>
  <c r="I110" i="8" s="1"/>
  <c r="J110" i="8" s="1"/>
  <c r="N52" i="11" s="1"/>
  <c r="F110" i="8"/>
  <c r="E110" i="8"/>
  <c r="D110" i="8"/>
  <c r="C110" i="8"/>
  <c r="B110" i="8"/>
  <c r="A110" i="8"/>
  <c r="H109" i="8"/>
  <c r="G109" i="8"/>
  <c r="I109" i="8" s="1"/>
  <c r="J109" i="8" s="1"/>
  <c r="N51" i="11" s="1"/>
  <c r="F109" i="8"/>
  <c r="E109" i="8"/>
  <c r="D109" i="8"/>
  <c r="C109" i="8"/>
  <c r="B109" i="8"/>
  <c r="A109" i="8"/>
  <c r="J108" i="8"/>
  <c r="N50" i="11" s="1"/>
  <c r="H108" i="8"/>
  <c r="G108" i="8"/>
  <c r="I108" i="8" s="1"/>
  <c r="F108" i="8"/>
  <c r="E108" i="8"/>
  <c r="D108" i="8"/>
  <c r="C108" i="8"/>
  <c r="B108" i="8"/>
  <c r="A108" i="8"/>
  <c r="H107" i="8"/>
  <c r="G107" i="8"/>
  <c r="I107" i="8" s="1"/>
  <c r="J107" i="8" s="1"/>
  <c r="N49" i="11" s="1"/>
  <c r="F107" i="8"/>
  <c r="E107" i="8"/>
  <c r="D107" i="8"/>
  <c r="C107" i="8"/>
  <c r="B107" i="8"/>
  <c r="A107" i="8"/>
  <c r="J106" i="8"/>
  <c r="I106" i="8"/>
  <c r="H106" i="8"/>
  <c r="G106" i="8"/>
  <c r="F106" i="8"/>
  <c r="E106" i="8"/>
  <c r="D106" i="8"/>
  <c r="C106" i="8"/>
  <c r="B106" i="8"/>
  <c r="A106" i="8"/>
  <c r="H105" i="8"/>
  <c r="I105" i="8" s="1"/>
  <c r="J105" i="8" s="1"/>
  <c r="N47" i="11" s="1"/>
  <c r="G105" i="8"/>
  <c r="F105" i="8"/>
  <c r="E105" i="8"/>
  <c r="D105" i="8"/>
  <c r="C105" i="8"/>
  <c r="B105" i="8"/>
  <c r="A105" i="8"/>
  <c r="H104" i="8"/>
  <c r="G104" i="8"/>
  <c r="I104" i="8" s="1"/>
  <c r="J104" i="8" s="1"/>
  <c r="N46" i="11" s="1"/>
  <c r="F104" i="8"/>
  <c r="E104" i="8"/>
  <c r="D104" i="8"/>
  <c r="C104" i="8"/>
  <c r="B104" i="8"/>
  <c r="A104" i="8"/>
  <c r="H103" i="8"/>
  <c r="I103" i="8" s="1"/>
  <c r="J103" i="8" s="1"/>
  <c r="N45" i="11" s="1"/>
  <c r="G103" i="8"/>
  <c r="F103" i="8"/>
  <c r="E103" i="8"/>
  <c r="D103" i="8"/>
  <c r="C103" i="8"/>
  <c r="B103" i="8"/>
  <c r="A103" i="8"/>
  <c r="H102" i="8"/>
  <c r="I102" i="8" s="1"/>
  <c r="J102" i="8" s="1"/>
  <c r="N44" i="11" s="1"/>
  <c r="G102" i="8"/>
  <c r="F102" i="8"/>
  <c r="E102" i="8"/>
  <c r="D102" i="8"/>
  <c r="C102" i="8"/>
  <c r="B102" i="8"/>
  <c r="A102" i="8"/>
  <c r="H101" i="8"/>
  <c r="G101" i="8"/>
  <c r="I101" i="8" s="1"/>
  <c r="J101" i="8" s="1"/>
  <c r="N43" i="11" s="1"/>
  <c r="F101" i="8"/>
  <c r="E101" i="8"/>
  <c r="D101" i="8"/>
  <c r="C101" i="8"/>
  <c r="B101" i="8"/>
  <c r="A101" i="8"/>
  <c r="H100" i="8"/>
  <c r="G100" i="8"/>
  <c r="I100" i="8" s="1"/>
  <c r="J100" i="8" s="1"/>
  <c r="N42" i="11" s="1"/>
  <c r="F100" i="8"/>
  <c r="E100" i="8"/>
  <c r="D100" i="8"/>
  <c r="C100" i="8"/>
  <c r="B100" i="8"/>
  <c r="A100" i="8"/>
  <c r="H99" i="8"/>
  <c r="I99" i="8" s="1"/>
  <c r="J99" i="8" s="1"/>
  <c r="N41" i="11" s="1"/>
  <c r="G99" i="8"/>
  <c r="F99" i="8"/>
  <c r="E99" i="8"/>
  <c r="D99" i="8"/>
  <c r="C99" i="8"/>
  <c r="B99" i="8"/>
  <c r="A99" i="8"/>
  <c r="H98" i="8"/>
  <c r="G98" i="8"/>
  <c r="I98" i="8" s="1"/>
  <c r="J98" i="8" s="1"/>
  <c r="N40" i="11" s="1"/>
  <c r="F98" i="8"/>
  <c r="E98" i="8"/>
  <c r="D98" i="8"/>
  <c r="C98" i="8"/>
  <c r="B98" i="8"/>
  <c r="A98" i="8"/>
  <c r="H97" i="8"/>
  <c r="G97" i="8"/>
  <c r="E97" i="8"/>
  <c r="D97" i="8"/>
  <c r="C97" i="8"/>
  <c r="B97" i="8"/>
  <c r="A97" i="8"/>
  <c r="H96" i="8"/>
  <c r="G96" i="8"/>
  <c r="E96" i="8"/>
  <c r="D96" i="8"/>
  <c r="C96" i="8"/>
  <c r="B96" i="8"/>
  <c r="A96" i="8"/>
  <c r="H95" i="8"/>
  <c r="I95" i="8" s="1"/>
  <c r="J95" i="8" s="1"/>
  <c r="N37" i="11" s="1"/>
  <c r="O37" i="11" s="1"/>
  <c r="G95" i="8"/>
  <c r="E95" i="8"/>
  <c r="D95" i="8"/>
  <c r="C95" i="8"/>
  <c r="B95" i="8"/>
  <c r="A95" i="8"/>
  <c r="I94" i="8"/>
  <c r="J94" i="8" s="1"/>
  <c r="H94" i="8"/>
  <c r="G94" i="8"/>
  <c r="E94" i="8"/>
  <c r="D94" i="8"/>
  <c r="C94" i="8"/>
  <c r="B94" i="8"/>
  <c r="A94" i="8"/>
  <c r="H93" i="8"/>
  <c r="G93" i="8"/>
  <c r="E93" i="8"/>
  <c r="D93" i="8"/>
  <c r="C93" i="8"/>
  <c r="B93" i="8"/>
  <c r="A93" i="8"/>
  <c r="H92" i="8"/>
  <c r="I92" i="8" s="1"/>
  <c r="J92" i="8" s="1"/>
  <c r="N34" i="11" s="1"/>
  <c r="G92" i="8"/>
  <c r="E92" i="8"/>
  <c r="D92" i="8"/>
  <c r="C92" i="8"/>
  <c r="B92" i="8"/>
  <c r="A92" i="8"/>
  <c r="H91" i="8"/>
  <c r="I91" i="8" s="1"/>
  <c r="J91" i="8" s="1"/>
  <c r="N33" i="11" s="1"/>
  <c r="G91" i="8"/>
  <c r="E91" i="8"/>
  <c r="D91" i="8"/>
  <c r="C91" i="8"/>
  <c r="B91" i="8"/>
  <c r="A91" i="8"/>
  <c r="J90" i="8"/>
  <c r="N32" i="11" s="1"/>
  <c r="H90" i="8"/>
  <c r="G90" i="8"/>
  <c r="I90" i="8" s="1"/>
  <c r="E90" i="8"/>
  <c r="D90" i="8"/>
  <c r="C90" i="8"/>
  <c r="B90" i="8"/>
  <c r="A90" i="8"/>
  <c r="H89" i="8"/>
  <c r="G89" i="8"/>
  <c r="I89" i="8" s="1"/>
  <c r="J89" i="8" s="1"/>
  <c r="N31" i="11" s="1"/>
  <c r="E89" i="8"/>
  <c r="D89" i="8"/>
  <c r="C89" i="8"/>
  <c r="B89" i="8"/>
  <c r="A89" i="8"/>
  <c r="I88" i="8"/>
  <c r="J88" i="8" s="1"/>
  <c r="N30" i="11" s="1"/>
  <c r="H88" i="8"/>
  <c r="G88" i="8"/>
  <c r="E88" i="8"/>
  <c r="D88" i="8"/>
  <c r="C88" i="8"/>
  <c r="B88" i="8"/>
  <c r="A88" i="8"/>
  <c r="H87" i="8"/>
  <c r="I87" i="8" s="1"/>
  <c r="J87" i="8" s="1"/>
  <c r="N29" i="11" s="1"/>
  <c r="G87" i="8"/>
  <c r="E87" i="8"/>
  <c r="D87" i="8"/>
  <c r="C87" i="8"/>
  <c r="B87" i="8"/>
  <c r="A87" i="8"/>
  <c r="H86" i="8"/>
  <c r="G86" i="8"/>
  <c r="E86" i="8"/>
  <c r="D86" i="8"/>
  <c r="C86" i="8"/>
  <c r="B86" i="8"/>
  <c r="A86" i="8"/>
  <c r="J85" i="8"/>
  <c r="N27" i="11" s="1"/>
  <c r="H85" i="8"/>
  <c r="G85" i="8"/>
  <c r="I85" i="8" s="1"/>
  <c r="E85" i="8"/>
  <c r="D85" i="8"/>
  <c r="C85" i="8"/>
  <c r="B85" i="8"/>
  <c r="A85" i="8"/>
  <c r="H84" i="8"/>
  <c r="I84" i="8" s="1"/>
  <c r="J84" i="8" s="1"/>
  <c r="N26" i="11" s="1"/>
  <c r="O26" i="11" s="1"/>
  <c r="G84" i="8"/>
  <c r="E84" i="8"/>
  <c r="D84" i="8"/>
  <c r="C84" i="8"/>
  <c r="B84" i="8"/>
  <c r="A84" i="8"/>
  <c r="H83" i="8"/>
  <c r="G83" i="8"/>
  <c r="E83" i="8"/>
  <c r="D83" i="8"/>
  <c r="C83" i="8"/>
  <c r="B83" i="8"/>
  <c r="A83" i="8"/>
  <c r="H82" i="8"/>
  <c r="G82" i="8"/>
  <c r="E82" i="8"/>
  <c r="D82" i="8"/>
  <c r="C82" i="8"/>
  <c r="B82" i="8"/>
  <c r="A82" i="8"/>
  <c r="H81" i="8"/>
  <c r="G81" i="8"/>
  <c r="I81" i="8" s="1"/>
  <c r="J81" i="8" s="1"/>
  <c r="N23" i="11" s="1"/>
  <c r="E81" i="8"/>
  <c r="D81" i="8"/>
  <c r="C81" i="8"/>
  <c r="B81" i="8"/>
  <c r="A81" i="8"/>
  <c r="I80" i="8"/>
  <c r="J80" i="8" s="1"/>
  <c r="N22" i="11" s="1"/>
  <c r="H80" i="8"/>
  <c r="G80" i="8"/>
  <c r="E80" i="8"/>
  <c r="D80" i="8"/>
  <c r="C80" i="8"/>
  <c r="B80" i="8"/>
  <c r="A80" i="8"/>
  <c r="H79" i="8"/>
  <c r="G79" i="8"/>
  <c r="I79" i="8" s="1"/>
  <c r="J79" i="8" s="1"/>
  <c r="N21" i="11" s="1"/>
  <c r="E79" i="8"/>
  <c r="D79" i="8"/>
  <c r="C79" i="8"/>
  <c r="B79" i="8"/>
  <c r="A79" i="8"/>
  <c r="I78" i="8"/>
  <c r="J78" i="8" s="1"/>
  <c r="N20" i="11" s="1"/>
  <c r="H78" i="8"/>
  <c r="G78" i="8"/>
  <c r="E78" i="8"/>
  <c r="D78" i="8"/>
  <c r="C78" i="8"/>
  <c r="B78" i="8"/>
  <c r="A78" i="8"/>
  <c r="I77" i="8"/>
  <c r="J77" i="8" s="1"/>
  <c r="N19" i="11" s="1"/>
  <c r="H77" i="8"/>
  <c r="G77" i="8"/>
  <c r="E77" i="8"/>
  <c r="D77" i="8"/>
  <c r="C77" i="8"/>
  <c r="B77" i="8"/>
  <c r="A77" i="8"/>
  <c r="I76" i="8"/>
  <c r="J76" i="8" s="1"/>
  <c r="N18" i="11" s="1"/>
  <c r="H76" i="8"/>
  <c r="G76" i="8"/>
  <c r="E76" i="8"/>
  <c r="D76" i="8"/>
  <c r="C76" i="8"/>
  <c r="B76" i="8"/>
  <c r="A76" i="8"/>
  <c r="H75" i="8"/>
  <c r="G75" i="8"/>
  <c r="E75" i="8"/>
  <c r="D75" i="8"/>
  <c r="C75" i="8"/>
  <c r="B75" i="8"/>
  <c r="A75" i="8"/>
  <c r="H74" i="8"/>
  <c r="G74" i="8"/>
  <c r="E74" i="8"/>
  <c r="D74" i="8"/>
  <c r="C74" i="8"/>
  <c r="B74" i="8"/>
  <c r="A74" i="8"/>
  <c r="I73" i="8"/>
  <c r="J73" i="8" s="1"/>
  <c r="N15" i="11" s="1"/>
  <c r="O15" i="11" s="1"/>
  <c r="H73" i="8"/>
  <c r="G73" i="8"/>
  <c r="E73" i="8"/>
  <c r="D73" i="8"/>
  <c r="C73" i="8"/>
  <c r="B73" i="8"/>
  <c r="A73" i="8"/>
  <c r="H72" i="8"/>
  <c r="I72" i="8" s="1"/>
  <c r="J72" i="8" s="1"/>
  <c r="N14" i="11" s="1"/>
  <c r="G72" i="8"/>
  <c r="E72" i="8"/>
  <c r="D72" i="8"/>
  <c r="C72" i="8"/>
  <c r="B72" i="8"/>
  <c r="A72" i="8"/>
  <c r="H71" i="8"/>
  <c r="G71" i="8"/>
  <c r="I71" i="8" s="1"/>
  <c r="J71" i="8" s="1"/>
  <c r="N13" i="11" s="1"/>
  <c r="E71" i="8"/>
  <c r="D71" i="8"/>
  <c r="C71" i="8"/>
  <c r="B71" i="8"/>
  <c r="A71" i="8"/>
  <c r="J70" i="8"/>
  <c r="N12" i="11" s="1"/>
  <c r="H70" i="8"/>
  <c r="G70" i="8"/>
  <c r="I70" i="8" s="1"/>
  <c r="E70" i="8"/>
  <c r="D70" i="8"/>
  <c r="C70" i="8"/>
  <c r="B70" i="8"/>
  <c r="A70" i="8"/>
  <c r="I69" i="8"/>
  <c r="J69" i="8" s="1"/>
  <c r="N11" i="11" s="1"/>
  <c r="H69" i="8"/>
  <c r="G69" i="8"/>
  <c r="E69" i="8"/>
  <c r="D69" i="8"/>
  <c r="C69" i="8"/>
  <c r="B69" i="8"/>
  <c r="A69" i="8"/>
  <c r="H68" i="8"/>
  <c r="I68" i="8" s="1"/>
  <c r="J68" i="8" s="1"/>
  <c r="N10" i="11" s="1"/>
  <c r="G68" i="8"/>
  <c r="E68" i="8"/>
  <c r="D68" i="8"/>
  <c r="C68" i="8"/>
  <c r="B68" i="8"/>
  <c r="A68" i="8"/>
  <c r="H67" i="8"/>
  <c r="G67" i="8"/>
  <c r="I67" i="8" s="1"/>
  <c r="J67" i="8" s="1"/>
  <c r="N9" i="11" s="1"/>
  <c r="E67" i="8"/>
  <c r="D67" i="8"/>
  <c r="C67" i="8"/>
  <c r="B67" i="8"/>
  <c r="A67" i="8"/>
  <c r="H66" i="8"/>
  <c r="G66" i="8"/>
  <c r="I66" i="8" s="1"/>
  <c r="J66" i="8" s="1"/>
  <c r="N8" i="11" s="1"/>
  <c r="E66" i="8"/>
  <c r="D66" i="8"/>
  <c r="C66" i="8"/>
  <c r="B66" i="8"/>
  <c r="A66" i="8"/>
  <c r="I65" i="8"/>
  <c r="J65" i="8" s="1"/>
  <c r="N7" i="11" s="1"/>
  <c r="H65" i="8"/>
  <c r="G65" i="8"/>
  <c r="E65" i="8"/>
  <c r="D65" i="8"/>
  <c r="C65" i="8"/>
  <c r="B65" i="8"/>
  <c r="A65" i="8"/>
  <c r="H64" i="8"/>
  <c r="G64" i="8"/>
  <c r="E64" i="8"/>
  <c r="D64" i="8"/>
  <c r="C64" i="8"/>
  <c r="B64" i="8"/>
  <c r="A64" i="8"/>
  <c r="H55" i="8"/>
  <c r="G55" i="8"/>
  <c r="I55" i="8" s="1"/>
  <c r="J55" i="8" s="1"/>
  <c r="M55" i="11" s="1"/>
  <c r="F55" i="8"/>
  <c r="E55" i="8"/>
  <c r="D55" i="8"/>
  <c r="C55" i="8"/>
  <c r="B55" i="8"/>
  <c r="A55" i="8"/>
  <c r="I54" i="8"/>
  <c r="J54" i="8" s="1"/>
  <c r="M54" i="11" s="1"/>
  <c r="O54" i="11" s="1"/>
  <c r="H54" i="8"/>
  <c r="G54" i="8"/>
  <c r="F54" i="8"/>
  <c r="E54" i="8"/>
  <c r="D54" i="8"/>
  <c r="C54" i="8"/>
  <c r="B54" i="8"/>
  <c r="A54" i="8"/>
  <c r="H53" i="8"/>
  <c r="I53" i="8" s="1"/>
  <c r="J53" i="8" s="1"/>
  <c r="M53" i="11" s="1"/>
  <c r="O53" i="11" s="1"/>
  <c r="G53" i="8"/>
  <c r="F53" i="8"/>
  <c r="E53" i="8"/>
  <c r="D53" i="8"/>
  <c r="C53" i="8"/>
  <c r="B53" i="8"/>
  <c r="A53" i="8"/>
  <c r="H52" i="8"/>
  <c r="G52" i="8"/>
  <c r="F52" i="8"/>
  <c r="E52" i="8"/>
  <c r="D52" i="8"/>
  <c r="C52" i="8"/>
  <c r="B52" i="8"/>
  <c r="A52" i="8"/>
  <c r="H51" i="8"/>
  <c r="G51" i="8"/>
  <c r="I51" i="8" s="1"/>
  <c r="J51" i="8" s="1"/>
  <c r="M51" i="11" s="1"/>
  <c r="O51" i="11" s="1"/>
  <c r="F51" i="8"/>
  <c r="E51" i="8"/>
  <c r="D51" i="8"/>
  <c r="C51" i="8"/>
  <c r="B51" i="8"/>
  <c r="A51" i="8"/>
  <c r="J50" i="8"/>
  <c r="M50" i="11" s="1"/>
  <c r="I50" i="8"/>
  <c r="H50" i="8"/>
  <c r="G50" i="8"/>
  <c r="F50" i="8"/>
  <c r="E50" i="8"/>
  <c r="D50" i="8"/>
  <c r="C50" i="8"/>
  <c r="B50" i="8"/>
  <c r="A50" i="8"/>
  <c r="H49" i="8"/>
  <c r="G49" i="8"/>
  <c r="I49" i="8" s="1"/>
  <c r="J49" i="8" s="1"/>
  <c r="M49" i="11" s="1"/>
  <c r="O49" i="11" s="1"/>
  <c r="F49" i="8"/>
  <c r="E49" i="8"/>
  <c r="D49" i="8"/>
  <c r="C49" i="8"/>
  <c r="B49" i="8"/>
  <c r="A49" i="8"/>
  <c r="H48" i="8"/>
  <c r="G48" i="8"/>
  <c r="I48" i="8" s="1"/>
  <c r="J48" i="8" s="1"/>
  <c r="M48" i="11" s="1"/>
  <c r="O48" i="11" s="1"/>
  <c r="F48" i="8"/>
  <c r="E48" i="8"/>
  <c r="D48" i="8"/>
  <c r="C48" i="8"/>
  <c r="B48" i="8"/>
  <c r="A48" i="8"/>
  <c r="I47" i="8"/>
  <c r="J47" i="8" s="1"/>
  <c r="M47" i="11" s="1"/>
  <c r="O47" i="11" s="1"/>
  <c r="H47" i="8"/>
  <c r="G47" i="8"/>
  <c r="F47" i="8"/>
  <c r="E47" i="8"/>
  <c r="D47" i="8"/>
  <c r="C47" i="8"/>
  <c r="B47" i="8"/>
  <c r="A47" i="8"/>
  <c r="H46" i="8"/>
  <c r="I46" i="8" s="1"/>
  <c r="J46" i="8" s="1"/>
  <c r="M46" i="11" s="1"/>
  <c r="G46" i="8"/>
  <c r="F46" i="8"/>
  <c r="E46" i="8"/>
  <c r="D46" i="8"/>
  <c r="C46" i="8"/>
  <c r="B46" i="8"/>
  <c r="A46" i="8"/>
  <c r="H45" i="8"/>
  <c r="G45" i="8"/>
  <c r="I45" i="8" s="1"/>
  <c r="J45" i="8" s="1"/>
  <c r="M45" i="11" s="1"/>
  <c r="F45" i="8"/>
  <c r="E45" i="8"/>
  <c r="D45" i="8"/>
  <c r="C45" i="8"/>
  <c r="B45" i="8"/>
  <c r="A45" i="8"/>
  <c r="J44" i="8"/>
  <c r="M44" i="11" s="1"/>
  <c r="O44" i="11" s="1"/>
  <c r="H44" i="8"/>
  <c r="G44" i="8"/>
  <c r="I44" i="8" s="1"/>
  <c r="F44" i="8"/>
  <c r="E44" i="8"/>
  <c r="D44" i="8"/>
  <c r="C44" i="8"/>
  <c r="B44" i="8"/>
  <c r="A44" i="8"/>
  <c r="H43" i="8"/>
  <c r="I43" i="8" s="1"/>
  <c r="J43" i="8" s="1"/>
  <c r="M43" i="11" s="1"/>
  <c r="O43" i="11" s="1"/>
  <c r="G43" i="8"/>
  <c r="F43" i="8"/>
  <c r="E43" i="8"/>
  <c r="D43" i="8"/>
  <c r="C43" i="8"/>
  <c r="B43" i="8"/>
  <c r="A43" i="8"/>
  <c r="H42" i="8"/>
  <c r="I42" i="8" s="1"/>
  <c r="J42" i="8" s="1"/>
  <c r="M42" i="11" s="1"/>
  <c r="G42" i="8"/>
  <c r="F42" i="8"/>
  <c r="E42" i="8"/>
  <c r="D42" i="8"/>
  <c r="C42" i="8"/>
  <c r="B42" i="8"/>
  <c r="A42" i="8"/>
  <c r="H41" i="8"/>
  <c r="G41" i="8"/>
  <c r="F41" i="8"/>
  <c r="E41" i="8"/>
  <c r="D41" i="8"/>
  <c r="C41" i="8"/>
  <c r="B41" i="8"/>
  <c r="A41" i="8"/>
  <c r="H40" i="8"/>
  <c r="G40" i="8"/>
  <c r="I40" i="8" s="1"/>
  <c r="J40" i="8" s="1"/>
  <c r="M40" i="11" s="1"/>
  <c r="O40" i="11" s="1"/>
  <c r="F40" i="8"/>
  <c r="E40" i="8"/>
  <c r="D40" i="8"/>
  <c r="C40" i="8"/>
  <c r="B40" i="8"/>
  <c r="A40" i="8"/>
  <c r="I39" i="8"/>
  <c r="J39" i="8" s="1"/>
  <c r="M39" i="11" s="1"/>
  <c r="H39" i="8"/>
  <c r="G39" i="8"/>
  <c r="E39" i="8"/>
  <c r="D39" i="8"/>
  <c r="C39" i="8"/>
  <c r="B39" i="8"/>
  <c r="A39" i="8"/>
  <c r="H38" i="8"/>
  <c r="I38" i="8" s="1"/>
  <c r="J38" i="8" s="1"/>
  <c r="M38" i="11" s="1"/>
  <c r="G38" i="8"/>
  <c r="E38" i="8"/>
  <c r="D38" i="8"/>
  <c r="C38" i="8"/>
  <c r="B38" i="8"/>
  <c r="A38" i="8"/>
  <c r="H37" i="8"/>
  <c r="G37" i="8"/>
  <c r="I37" i="8" s="1"/>
  <c r="J37" i="8" s="1"/>
  <c r="M37" i="11" s="1"/>
  <c r="E37" i="8"/>
  <c r="D37" i="8"/>
  <c r="C37" i="8"/>
  <c r="B37" i="8"/>
  <c r="A37" i="8"/>
  <c r="H36" i="8"/>
  <c r="G36" i="8"/>
  <c r="I36" i="8" s="1"/>
  <c r="J36" i="8" s="1"/>
  <c r="M36" i="11" s="1"/>
  <c r="O36" i="11" s="1"/>
  <c r="E36" i="8"/>
  <c r="D36" i="8"/>
  <c r="C36" i="8"/>
  <c r="B36" i="8"/>
  <c r="A36" i="8"/>
  <c r="H35" i="8"/>
  <c r="G35" i="8"/>
  <c r="I35" i="8" s="1"/>
  <c r="J35" i="8" s="1"/>
  <c r="M35" i="11" s="1"/>
  <c r="E35" i="8"/>
  <c r="D35" i="8"/>
  <c r="C35" i="8"/>
  <c r="B35" i="8"/>
  <c r="A35" i="8"/>
  <c r="H34" i="8"/>
  <c r="G34" i="8"/>
  <c r="E34" i="8"/>
  <c r="D34" i="8"/>
  <c r="C34" i="8"/>
  <c r="B34" i="8"/>
  <c r="A34" i="8"/>
  <c r="H33" i="8"/>
  <c r="G33" i="8"/>
  <c r="E33" i="8"/>
  <c r="D33" i="8"/>
  <c r="C33" i="8"/>
  <c r="B33" i="8"/>
  <c r="A33" i="8"/>
  <c r="I32" i="8"/>
  <c r="J32" i="8" s="1"/>
  <c r="M32" i="11" s="1"/>
  <c r="H32" i="8"/>
  <c r="G32" i="8"/>
  <c r="E32" i="8"/>
  <c r="D32" i="8"/>
  <c r="C32" i="8"/>
  <c r="B32" i="8"/>
  <c r="A32" i="8"/>
  <c r="J31" i="8"/>
  <c r="H31" i="8"/>
  <c r="I31" i="8" s="1"/>
  <c r="G31" i="8"/>
  <c r="E31" i="8"/>
  <c r="D31" i="8"/>
  <c r="C31" i="8"/>
  <c r="B31" i="8"/>
  <c r="A31" i="8"/>
  <c r="H30" i="8"/>
  <c r="G30" i="8"/>
  <c r="E30" i="8"/>
  <c r="D30" i="8"/>
  <c r="C30" i="8"/>
  <c r="B30" i="8"/>
  <c r="A30" i="8"/>
  <c r="H29" i="8"/>
  <c r="I29" i="8" s="1"/>
  <c r="J29" i="8" s="1"/>
  <c r="M29" i="11" s="1"/>
  <c r="O29" i="11" s="1"/>
  <c r="G29" i="8"/>
  <c r="E29" i="8"/>
  <c r="D29" i="8"/>
  <c r="C29" i="8"/>
  <c r="B29" i="8"/>
  <c r="A29" i="8"/>
  <c r="H28" i="8"/>
  <c r="G28" i="8"/>
  <c r="E28" i="8"/>
  <c r="D28" i="8"/>
  <c r="C28" i="8"/>
  <c r="B28" i="8"/>
  <c r="A28" i="8"/>
  <c r="J27" i="8"/>
  <c r="M27" i="11" s="1"/>
  <c r="O27" i="11" s="1"/>
  <c r="H27" i="8"/>
  <c r="G27" i="8"/>
  <c r="I27" i="8" s="1"/>
  <c r="E27" i="8"/>
  <c r="D27" i="8"/>
  <c r="C27" i="8"/>
  <c r="B27" i="8"/>
  <c r="A27" i="8"/>
  <c r="I26" i="8"/>
  <c r="J26" i="8" s="1"/>
  <c r="M26" i="11" s="1"/>
  <c r="H26" i="8"/>
  <c r="G26" i="8"/>
  <c r="E26" i="8"/>
  <c r="D26" i="8"/>
  <c r="C26" i="8"/>
  <c r="B26" i="8"/>
  <c r="A26" i="8"/>
  <c r="H25" i="8"/>
  <c r="I25" i="8" s="1"/>
  <c r="J25" i="8" s="1"/>
  <c r="M25" i="11" s="1"/>
  <c r="G25" i="8"/>
  <c r="E25" i="8"/>
  <c r="D25" i="8"/>
  <c r="C25" i="8"/>
  <c r="B25" i="8"/>
  <c r="A25" i="8"/>
  <c r="H24" i="8"/>
  <c r="G24" i="8"/>
  <c r="I24" i="8" s="1"/>
  <c r="J24" i="8" s="1"/>
  <c r="M24" i="11" s="1"/>
  <c r="E24" i="8"/>
  <c r="D24" i="8"/>
  <c r="C24" i="8"/>
  <c r="B24" i="8"/>
  <c r="A24" i="8"/>
  <c r="H23" i="8"/>
  <c r="G23" i="8"/>
  <c r="E23" i="8"/>
  <c r="D23" i="8"/>
  <c r="C23" i="8"/>
  <c r="B23" i="8"/>
  <c r="A23" i="8"/>
  <c r="H22" i="8"/>
  <c r="G22" i="8"/>
  <c r="E22" i="8"/>
  <c r="D22" i="8"/>
  <c r="C22" i="8"/>
  <c r="B22" i="8"/>
  <c r="A22" i="8"/>
  <c r="H21" i="8"/>
  <c r="I21" i="8" s="1"/>
  <c r="J21" i="8" s="1"/>
  <c r="M21" i="11" s="1"/>
  <c r="G21" i="8"/>
  <c r="E21" i="8"/>
  <c r="D21" i="8"/>
  <c r="C21" i="8"/>
  <c r="B21" i="8"/>
  <c r="A21" i="8"/>
  <c r="H20" i="8"/>
  <c r="I20" i="8" s="1"/>
  <c r="J20" i="8" s="1"/>
  <c r="M20" i="11" s="1"/>
  <c r="O20" i="11" s="1"/>
  <c r="G20" i="8"/>
  <c r="E20" i="8"/>
  <c r="D20" i="8"/>
  <c r="C20" i="8"/>
  <c r="B20" i="8"/>
  <c r="A20" i="8"/>
  <c r="H19" i="8"/>
  <c r="G19" i="8"/>
  <c r="E19" i="8"/>
  <c r="D19" i="8"/>
  <c r="C19" i="8"/>
  <c r="B19" i="8"/>
  <c r="A19" i="8"/>
  <c r="I18" i="8"/>
  <c r="J18" i="8" s="1"/>
  <c r="M18" i="11" s="1"/>
  <c r="O18" i="11" s="1"/>
  <c r="H18" i="8"/>
  <c r="G18" i="8"/>
  <c r="E18" i="8"/>
  <c r="D18" i="8"/>
  <c r="C18" i="8"/>
  <c r="B18" i="8"/>
  <c r="A18" i="8"/>
  <c r="H17" i="8"/>
  <c r="I17" i="8" s="1"/>
  <c r="J17" i="8" s="1"/>
  <c r="M17" i="11" s="1"/>
  <c r="G17" i="8"/>
  <c r="E17" i="8"/>
  <c r="D17" i="8"/>
  <c r="C17" i="8"/>
  <c r="B17" i="8"/>
  <c r="A17" i="8"/>
  <c r="H16" i="8"/>
  <c r="G16" i="8"/>
  <c r="I16" i="8" s="1"/>
  <c r="J16" i="8" s="1"/>
  <c r="M16" i="11" s="1"/>
  <c r="E16" i="8"/>
  <c r="D16" i="8"/>
  <c r="C16" i="8"/>
  <c r="B16" i="8"/>
  <c r="A16" i="8"/>
  <c r="H15" i="8"/>
  <c r="G15" i="8"/>
  <c r="I15" i="8" s="1"/>
  <c r="J15" i="8" s="1"/>
  <c r="M15" i="11" s="1"/>
  <c r="E15" i="8"/>
  <c r="D15" i="8"/>
  <c r="C15" i="8"/>
  <c r="B15" i="8"/>
  <c r="A15" i="8"/>
  <c r="I14" i="8"/>
  <c r="J14" i="8" s="1"/>
  <c r="M14" i="11" s="1"/>
  <c r="O14" i="11" s="1"/>
  <c r="H14" i="8"/>
  <c r="G14" i="8"/>
  <c r="E14" i="8"/>
  <c r="D14" i="8"/>
  <c r="C14" i="8"/>
  <c r="B14" i="8"/>
  <c r="A14" i="8"/>
  <c r="H13" i="8"/>
  <c r="G13" i="8"/>
  <c r="I13" i="8" s="1"/>
  <c r="J13" i="8" s="1"/>
  <c r="M13" i="11" s="1"/>
  <c r="E13" i="8"/>
  <c r="D13" i="8"/>
  <c r="C13" i="8"/>
  <c r="B13" i="8"/>
  <c r="A13" i="8"/>
  <c r="H12" i="8"/>
  <c r="G12" i="8"/>
  <c r="E12" i="8"/>
  <c r="D12" i="8"/>
  <c r="C12" i="8"/>
  <c r="B12" i="8"/>
  <c r="A12" i="8"/>
  <c r="H11" i="8"/>
  <c r="G11" i="8"/>
  <c r="E11" i="8"/>
  <c r="D11" i="8"/>
  <c r="C11" i="8"/>
  <c r="B11" i="8"/>
  <c r="A11" i="8"/>
  <c r="H10" i="8"/>
  <c r="I10" i="8" s="1"/>
  <c r="J10" i="8" s="1"/>
  <c r="M10" i="11" s="1"/>
  <c r="G10" i="8"/>
  <c r="E10" i="8"/>
  <c r="D10" i="8"/>
  <c r="C10" i="8"/>
  <c r="B10" i="8"/>
  <c r="A10" i="8"/>
  <c r="J9" i="8"/>
  <c r="M9" i="11" s="1"/>
  <c r="O9" i="11" s="1"/>
  <c r="I9" i="8"/>
  <c r="H9" i="8"/>
  <c r="G9" i="8"/>
  <c r="E9" i="8"/>
  <c r="D9" i="8"/>
  <c r="C9" i="8"/>
  <c r="B9" i="8"/>
  <c r="A9" i="8"/>
  <c r="H8" i="8"/>
  <c r="G8" i="8"/>
  <c r="I8" i="8" s="1"/>
  <c r="J8" i="8" s="1"/>
  <c r="E8" i="8"/>
  <c r="D8" i="8"/>
  <c r="C8" i="8"/>
  <c r="B8" i="8"/>
  <c r="A8" i="8"/>
  <c r="J7" i="8"/>
  <c r="M7" i="11" s="1"/>
  <c r="O7" i="11" s="1"/>
  <c r="H7" i="8"/>
  <c r="G7" i="8"/>
  <c r="I7" i="8" s="1"/>
  <c r="E7" i="8"/>
  <c r="D7" i="8"/>
  <c r="C7" i="8"/>
  <c r="B7" i="8"/>
  <c r="A7" i="8"/>
  <c r="H6" i="8"/>
  <c r="I6" i="8" s="1"/>
  <c r="J6" i="8" s="1"/>
  <c r="M6" i="11" s="1"/>
  <c r="G6" i="8"/>
  <c r="E6" i="8"/>
  <c r="D6" i="8"/>
  <c r="C6" i="8"/>
  <c r="B6" i="8"/>
  <c r="A6" i="8"/>
  <c r="G113" i="7"/>
  <c r="F113" i="7"/>
  <c r="H113" i="7" s="1"/>
  <c r="I113" i="7" s="1"/>
  <c r="K55" i="11" s="1"/>
  <c r="E113" i="7"/>
  <c r="D113" i="7"/>
  <c r="C113" i="7"/>
  <c r="B113" i="7"/>
  <c r="A113" i="7"/>
  <c r="G112" i="7"/>
  <c r="H112" i="7" s="1"/>
  <c r="I112" i="7" s="1"/>
  <c r="K54" i="11" s="1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H110" i="7"/>
  <c r="I110" i="7" s="1"/>
  <c r="K52" i="11" s="1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H108" i="7"/>
  <c r="I108" i="7" s="1"/>
  <c r="K50" i="11" s="1"/>
  <c r="G108" i="7"/>
  <c r="F108" i="7"/>
  <c r="E108" i="7"/>
  <c r="D108" i="7"/>
  <c r="C108" i="7"/>
  <c r="B108" i="7"/>
  <c r="A108" i="7"/>
  <c r="H107" i="7"/>
  <c r="I107" i="7" s="1"/>
  <c r="K49" i="11" s="1"/>
  <c r="G107" i="7"/>
  <c r="F107" i="7"/>
  <c r="E107" i="7"/>
  <c r="D107" i="7"/>
  <c r="C107" i="7"/>
  <c r="B107" i="7"/>
  <c r="A107" i="7"/>
  <c r="H106" i="7"/>
  <c r="I106" i="7" s="1"/>
  <c r="G106" i="7"/>
  <c r="F106" i="7"/>
  <c r="E106" i="7"/>
  <c r="D106" i="7"/>
  <c r="C106" i="7"/>
  <c r="B106" i="7"/>
  <c r="A106" i="7"/>
  <c r="G105" i="7"/>
  <c r="F105" i="7"/>
  <c r="H105" i="7" s="1"/>
  <c r="I105" i="7" s="1"/>
  <c r="K47" i="11" s="1"/>
  <c r="E105" i="7"/>
  <c r="D105" i="7"/>
  <c r="C105" i="7"/>
  <c r="B105" i="7"/>
  <c r="A105" i="7"/>
  <c r="H104" i="7"/>
  <c r="I104" i="7" s="1"/>
  <c r="G104" i="7"/>
  <c r="F104" i="7"/>
  <c r="E104" i="7"/>
  <c r="D104" i="7"/>
  <c r="C104" i="7"/>
  <c r="B104" i="7"/>
  <c r="A104" i="7"/>
  <c r="G103" i="7"/>
  <c r="F103" i="7"/>
  <c r="H103" i="7" s="1"/>
  <c r="I103" i="7" s="1"/>
  <c r="K45" i="11" s="1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H101" i="7" s="1"/>
  <c r="I101" i="7" s="1"/>
  <c r="K43" i="11" s="1"/>
  <c r="F101" i="7"/>
  <c r="E101" i="7"/>
  <c r="D101" i="7"/>
  <c r="C101" i="7"/>
  <c r="B101" i="7"/>
  <c r="A101" i="7"/>
  <c r="G100" i="7"/>
  <c r="F100" i="7"/>
  <c r="H100" i="7" s="1"/>
  <c r="I100" i="7" s="1"/>
  <c r="K42" i="11" s="1"/>
  <c r="E100" i="7"/>
  <c r="D100" i="7"/>
  <c r="C100" i="7"/>
  <c r="B100" i="7"/>
  <c r="A100" i="7"/>
  <c r="I99" i="7"/>
  <c r="K41" i="11" s="1"/>
  <c r="G99" i="7"/>
  <c r="H99" i="7" s="1"/>
  <c r="F99" i="7"/>
  <c r="E99" i="7"/>
  <c r="D99" i="7"/>
  <c r="C99" i="7"/>
  <c r="B99" i="7"/>
  <c r="A99" i="7"/>
  <c r="G98" i="7"/>
  <c r="H98" i="7" s="1"/>
  <c r="I98" i="7" s="1"/>
  <c r="K40" i="11" s="1"/>
  <c r="F98" i="7"/>
  <c r="E98" i="7"/>
  <c r="D98" i="7"/>
  <c r="C98" i="7"/>
  <c r="B98" i="7"/>
  <c r="A98" i="7"/>
  <c r="G97" i="7"/>
  <c r="H97" i="7" s="1"/>
  <c r="I97" i="7" s="1"/>
  <c r="K39" i="11" s="1"/>
  <c r="F97" i="7"/>
  <c r="E97" i="7"/>
  <c r="D97" i="7"/>
  <c r="C97" i="7"/>
  <c r="B97" i="7"/>
  <c r="A97" i="7"/>
  <c r="H96" i="7"/>
  <c r="I96" i="7" s="1"/>
  <c r="K38" i="11" s="1"/>
  <c r="G96" i="7"/>
  <c r="F96" i="7"/>
  <c r="E96" i="7"/>
  <c r="D96" i="7"/>
  <c r="C96" i="7"/>
  <c r="B96" i="7"/>
  <c r="A96" i="7"/>
  <c r="G95" i="7"/>
  <c r="F95" i="7"/>
  <c r="H95" i="7" s="1"/>
  <c r="I95" i="7" s="1"/>
  <c r="K37" i="11" s="1"/>
  <c r="E95" i="7"/>
  <c r="D95" i="7"/>
  <c r="C95" i="7"/>
  <c r="B95" i="7"/>
  <c r="A95" i="7"/>
  <c r="G94" i="7"/>
  <c r="F94" i="7"/>
  <c r="H94" i="7" s="1"/>
  <c r="I94" i="7" s="1"/>
  <c r="K36" i="11" s="1"/>
  <c r="E94" i="7"/>
  <c r="D94" i="7"/>
  <c r="C94" i="7"/>
  <c r="B94" i="7"/>
  <c r="A94" i="7"/>
  <c r="G93" i="7"/>
  <c r="F93" i="7"/>
  <c r="H93" i="7" s="1"/>
  <c r="I93" i="7" s="1"/>
  <c r="K35" i="11" s="1"/>
  <c r="E93" i="7"/>
  <c r="D93" i="7"/>
  <c r="C93" i="7"/>
  <c r="B93" i="7"/>
  <c r="A93" i="7"/>
  <c r="G92" i="7"/>
  <c r="F92" i="7"/>
  <c r="H92" i="7" s="1"/>
  <c r="I92" i="7" s="1"/>
  <c r="K34" i="11" s="1"/>
  <c r="E92" i="7"/>
  <c r="D92" i="7"/>
  <c r="C92" i="7"/>
  <c r="B92" i="7"/>
  <c r="A92" i="7"/>
  <c r="I91" i="7"/>
  <c r="K33" i="11" s="1"/>
  <c r="G91" i="7"/>
  <c r="F91" i="7"/>
  <c r="H91" i="7" s="1"/>
  <c r="E91" i="7"/>
  <c r="D91" i="7"/>
  <c r="C91" i="7"/>
  <c r="B91" i="7"/>
  <c r="A91" i="7"/>
  <c r="G90" i="7"/>
  <c r="H90" i="7" s="1"/>
  <c r="I90" i="7" s="1"/>
  <c r="K32" i="11" s="1"/>
  <c r="F90" i="7"/>
  <c r="E90" i="7"/>
  <c r="D90" i="7"/>
  <c r="C90" i="7"/>
  <c r="B90" i="7"/>
  <c r="A90" i="7"/>
  <c r="G89" i="7"/>
  <c r="F89" i="7"/>
  <c r="H89" i="7" s="1"/>
  <c r="I89" i="7" s="1"/>
  <c r="E89" i="7"/>
  <c r="D89" i="7"/>
  <c r="C89" i="7"/>
  <c r="B89" i="7"/>
  <c r="A89" i="7"/>
  <c r="G88" i="7"/>
  <c r="F88" i="7"/>
  <c r="H88" i="7" s="1"/>
  <c r="I88" i="7" s="1"/>
  <c r="K30" i="11" s="1"/>
  <c r="E88" i="7"/>
  <c r="D88" i="7"/>
  <c r="C88" i="7"/>
  <c r="B88" i="7"/>
  <c r="A88" i="7"/>
  <c r="G87" i="7"/>
  <c r="H87" i="7" s="1"/>
  <c r="I87" i="7" s="1"/>
  <c r="K29" i="11" s="1"/>
  <c r="F87" i="7"/>
  <c r="E87" i="7"/>
  <c r="D87" i="7"/>
  <c r="C87" i="7"/>
  <c r="B87" i="7"/>
  <c r="A87" i="7"/>
  <c r="G86" i="7"/>
  <c r="F86" i="7"/>
  <c r="H86" i="7" s="1"/>
  <c r="I86" i="7" s="1"/>
  <c r="E86" i="7"/>
  <c r="D86" i="7"/>
  <c r="C86" i="7"/>
  <c r="B86" i="7"/>
  <c r="A86" i="7"/>
  <c r="H85" i="7"/>
  <c r="I85" i="7" s="1"/>
  <c r="K27" i="11" s="1"/>
  <c r="G85" i="7"/>
  <c r="F85" i="7"/>
  <c r="E85" i="7"/>
  <c r="D85" i="7"/>
  <c r="C85" i="7"/>
  <c r="B85" i="7"/>
  <c r="A85" i="7"/>
  <c r="G84" i="7"/>
  <c r="F84" i="7"/>
  <c r="H84" i="7" s="1"/>
  <c r="I84" i="7" s="1"/>
  <c r="K26" i="11" s="1"/>
  <c r="L26" i="11" s="1"/>
  <c r="E84" i="7"/>
  <c r="D84" i="7"/>
  <c r="C84" i="7"/>
  <c r="B84" i="7"/>
  <c r="A84" i="7"/>
  <c r="H83" i="7"/>
  <c r="I83" i="7" s="1"/>
  <c r="G83" i="7"/>
  <c r="F83" i="7"/>
  <c r="E83" i="7"/>
  <c r="D83" i="7"/>
  <c r="C83" i="7"/>
  <c r="B83" i="7"/>
  <c r="A83" i="7"/>
  <c r="H82" i="7"/>
  <c r="I82" i="7" s="1"/>
  <c r="K24" i="11" s="1"/>
  <c r="G82" i="7"/>
  <c r="F82" i="7"/>
  <c r="E82" i="7"/>
  <c r="D82" i="7"/>
  <c r="C82" i="7"/>
  <c r="B82" i="7"/>
  <c r="A82" i="7"/>
  <c r="G81" i="7"/>
  <c r="F81" i="7"/>
  <c r="H81" i="7" s="1"/>
  <c r="I81" i="7" s="1"/>
  <c r="K23" i="11" s="1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H79" i="7" s="1"/>
  <c r="I79" i="7" s="1"/>
  <c r="K21" i="11" s="1"/>
  <c r="F79" i="7"/>
  <c r="E79" i="7"/>
  <c r="D79" i="7"/>
  <c r="C79" i="7"/>
  <c r="B79" i="7"/>
  <c r="A79" i="7"/>
  <c r="G78" i="7"/>
  <c r="F78" i="7"/>
  <c r="H78" i="7" s="1"/>
  <c r="I78" i="7" s="1"/>
  <c r="K20" i="11" s="1"/>
  <c r="E78" i="7"/>
  <c r="D78" i="7"/>
  <c r="C78" i="7"/>
  <c r="B78" i="7"/>
  <c r="A78" i="7"/>
  <c r="I77" i="7"/>
  <c r="G77" i="7"/>
  <c r="F77" i="7"/>
  <c r="H77" i="7" s="1"/>
  <c r="E77" i="7"/>
  <c r="D77" i="7"/>
  <c r="C77" i="7"/>
  <c r="B77" i="7"/>
  <c r="A77" i="7"/>
  <c r="G76" i="7"/>
  <c r="F76" i="7"/>
  <c r="H76" i="7" s="1"/>
  <c r="I76" i="7" s="1"/>
  <c r="K18" i="11" s="1"/>
  <c r="E76" i="7"/>
  <c r="D76" i="7"/>
  <c r="C76" i="7"/>
  <c r="B76" i="7"/>
  <c r="A76" i="7"/>
  <c r="G75" i="7"/>
  <c r="H75" i="7" s="1"/>
  <c r="I75" i="7" s="1"/>
  <c r="K17" i="11" s="1"/>
  <c r="F75" i="7"/>
  <c r="E75" i="7"/>
  <c r="D75" i="7"/>
  <c r="C75" i="7"/>
  <c r="B75" i="7"/>
  <c r="A75" i="7"/>
  <c r="H74" i="7"/>
  <c r="I74" i="7" s="1"/>
  <c r="K16" i="11" s="1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H72" i="7" s="1"/>
  <c r="I72" i="7" s="1"/>
  <c r="K14" i="11" s="1"/>
  <c r="E72" i="7"/>
  <c r="D72" i="7"/>
  <c r="C72" i="7"/>
  <c r="B72" i="7"/>
  <c r="A72" i="7"/>
  <c r="G71" i="7"/>
  <c r="F71" i="7"/>
  <c r="H71" i="7" s="1"/>
  <c r="I71" i="7" s="1"/>
  <c r="K13" i="11" s="1"/>
  <c r="E71" i="7"/>
  <c r="D71" i="7"/>
  <c r="C71" i="7"/>
  <c r="B71" i="7"/>
  <c r="A71" i="7"/>
  <c r="G70" i="7"/>
  <c r="H70" i="7" s="1"/>
  <c r="I70" i="7" s="1"/>
  <c r="K12" i="11" s="1"/>
  <c r="F70" i="7"/>
  <c r="E70" i="7"/>
  <c r="D70" i="7"/>
  <c r="C70" i="7"/>
  <c r="B70" i="7"/>
  <c r="A70" i="7"/>
  <c r="G69" i="7"/>
  <c r="F69" i="7"/>
  <c r="H69" i="7" s="1"/>
  <c r="I69" i="7" s="1"/>
  <c r="K11" i="11" s="1"/>
  <c r="E69" i="7"/>
  <c r="D69" i="7"/>
  <c r="C69" i="7"/>
  <c r="B69" i="7"/>
  <c r="A69" i="7"/>
  <c r="H68" i="7"/>
  <c r="I68" i="7" s="1"/>
  <c r="K10" i="11" s="1"/>
  <c r="G68" i="7"/>
  <c r="F68" i="7"/>
  <c r="E68" i="7"/>
  <c r="D68" i="7"/>
  <c r="C68" i="7"/>
  <c r="B68" i="7"/>
  <c r="A68" i="7"/>
  <c r="G67" i="7"/>
  <c r="F67" i="7"/>
  <c r="H67" i="7" s="1"/>
  <c r="I67" i="7" s="1"/>
  <c r="K9" i="11" s="1"/>
  <c r="E67" i="7"/>
  <c r="D67" i="7"/>
  <c r="C67" i="7"/>
  <c r="B67" i="7"/>
  <c r="A67" i="7"/>
  <c r="H66" i="7"/>
  <c r="I66" i="7" s="1"/>
  <c r="K8" i="11" s="1"/>
  <c r="G66" i="7"/>
  <c r="F66" i="7"/>
  <c r="E66" i="7"/>
  <c r="D66" i="7"/>
  <c r="C66" i="7"/>
  <c r="B66" i="7"/>
  <c r="A66" i="7"/>
  <c r="H65" i="7"/>
  <c r="I65" i="7" s="1"/>
  <c r="K7" i="11" s="1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55" i="7"/>
  <c r="F55" i="7"/>
  <c r="H55" i="7" s="1"/>
  <c r="I55" i="7" s="1"/>
  <c r="J55" i="11" s="1"/>
  <c r="L55" i="11" s="1"/>
  <c r="E55" i="7"/>
  <c r="D55" i="7"/>
  <c r="C55" i="7"/>
  <c r="B55" i="7"/>
  <c r="A55" i="7"/>
  <c r="G54" i="7"/>
  <c r="F54" i="7"/>
  <c r="H54" i="7" s="1"/>
  <c r="I54" i="7" s="1"/>
  <c r="E54" i="7"/>
  <c r="D54" i="7"/>
  <c r="C54" i="7"/>
  <c r="B54" i="7"/>
  <c r="A54" i="7"/>
  <c r="I53" i="7"/>
  <c r="J53" i="11" s="1"/>
  <c r="H53" i="7"/>
  <c r="G53" i="7"/>
  <c r="F53" i="7"/>
  <c r="E53" i="7"/>
  <c r="D53" i="7"/>
  <c r="C53" i="7"/>
  <c r="B53" i="7"/>
  <c r="A53" i="7"/>
  <c r="H52" i="7"/>
  <c r="I52" i="7" s="1"/>
  <c r="J52" i="11" s="1"/>
  <c r="L52" i="11" s="1"/>
  <c r="G52" i="7"/>
  <c r="F52" i="7"/>
  <c r="E52" i="7"/>
  <c r="D52" i="7"/>
  <c r="C52" i="7"/>
  <c r="B52" i="7"/>
  <c r="A52" i="7"/>
  <c r="G51" i="7"/>
  <c r="F51" i="7"/>
  <c r="H51" i="7" s="1"/>
  <c r="I51" i="7" s="1"/>
  <c r="J51" i="11" s="1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H49" i="7" s="1"/>
  <c r="I49" i="7" s="1"/>
  <c r="J49" i="11" s="1"/>
  <c r="F49" i="7"/>
  <c r="E49" i="7"/>
  <c r="D49" i="7"/>
  <c r="C49" i="7"/>
  <c r="B49" i="7"/>
  <c r="A49" i="7"/>
  <c r="G48" i="7"/>
  <c r="F48" i="7"/>
  <c r="H48" i="7" s="1"/>
  <c r="I48" i="7" s="1"/>
  <c r="J48" i="11" s="1"/>
  <c r="L48" i="11" s="1"/>
  <c r="E48" i="7"/>
  <c r="D48" i="7"/>
  <c r="C48" i="7"/>
  <c r="B48" i="7"/>
  <c r="A48" i="7"/>
  <c r="I47" i="7"/>
  <c r="J47" i="11" s="1"/>
  <c r="L47" i="11" s="1"/>
  <c r="G47" i="7"/>
  <c r="F47" i="7"/>
  <c r="H47" i="7" s="1"/>
  <c r="E47" i="7"/>
  <c r="D47" i="7"/>
  <c r="C47" i="7"/>
  <c r="B47" i="7"/>
  <c r="A47" i="7"/>
  <c r="G46" i="7"/>
  <c r="F46" i="7"/>
  <c r="H46" i="7" s="1"/>
  <c r="I46" i="7" s="1"/>
  <c r="J46" i="11" s="1"/>
  <c r="L46" i="11" s="1"/>
  <c r="E46" i="7"/>
  <c r="D46" i="7"/>
  <c r="C46" i="7"/>
  <c r="B46" i="7"/>
  <c r="A46" i="7"/>
  <c r="G45" i="7"/>
  <c r="F45" i="7"/>
  <c r="H45" i="7" s="1"/>
  <c r="I45" i="7" s="1"/>
  <c r="J45" i="11" s="1"/>
  <c r="L45" i="11" s="1"/>
  <c r="E45" i="7"/>
  <c r="D45" i="7"/>
  <c r="C45" i="7"/>
  <c r="B45" i="7"/>
  <c r="A45" i="7"/>
  <c r="H44" i="7"/>
  <c r="I44" i="7" s="1"/>
  <c r="J44" i="11" s="1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H42" i="7" s="1"/>
  <c r="I42" i="7" s="1"/>
  <c r="J42" i="11" s="1"/>
  <c r="E42" i="7"/>
  <c r="D42" i="7"/>
  <c r="C42" i="7"/>
  <c r="B42" i="7"/>
  <c r="A42" i="7"/>
  <c r="G41" i="7"/>
  <c r="F41" i="7"/>
  <c r="H41" i="7" s="1"/>
  <c r="I41" i="7" s="1"/>
  <c r="J41" i="11" s="1"/>
  <c r="E41" i="7"/>
  <c r="D41" i="7"/>
  <c r="C41" i="7"/>
  <c r="B41" i="7"/>
  <c r="A41" i="7"/>
  <c r="G40" i="7"/>
  <c r="H40" i="7" s="1"/>
  <c r="I40" i="7" s="1"/>
  <c r="J40" i="11" s="1"/>
  <c r="L40" i="11" s="1"/>
  <c r="F40" i="7"/>
  <c r="E40" i="7"/>
  <c r="D40" i="7"/>
  <c r="C40" i="7"/>
  <c r="B40" i="7"/>
  <c r="A40" i="7"/>
  <c r="I39" i="7"/>
  <c r="J39" i="11" s="1"/>
  <c r="G39" i="7"/>
  <c r="F39" i="7"/>
  <c r="H39" i="7" s="1"/>
  <c r="E39" i="7"/>
  <c r="D39" i="7"/>
  <c r="C39" i="7"/>
  <c r="B39" i="7"/>
  <c r="A39" i="7"/>
  <c r="G38" i="7"/>
  <c r="H38" i="7" s="1"/>
  <c r="I38" i="7" s="1"/>
  <c r="J38" i="11" s="1"/>
  <c r="L38" i="11" s="1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H36" i="7" s="1"/>
  <c r="I36" i="7" s="1"/>
  <c r="J36" i="11" s="1"/>
  <c r="L36" i="11" s="1"/>
  <c r="F36" i="7"/>
  <c r="E36" i="7"/>
  <c r="D36" i="7"/>
  <c r="C36" i="7"/>
  <c r="B36" i="7"/>
  <c r="A36" i="7"/>
  <c r="G35" i="7"/>
  <c r="H35" i="7" s="1"/>
  <c r="I35" i="7" s="1"/>
  <c r="J35" i="11" s="1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H33" i="7" s="1"/>
  <c r="I33" i="7" s="1"/>
  <c r="J33" i="11" s="1"/>
  <c r="L33" i="11" s="1"/>
  <c r="E33" i="7"/>
  <c r="D33" i="7"/>
  <c r="C33" i="7"/>
  <c r="B33" i="7"/>
  <c r="A33" i="7"/>
  <c r="G32" i="7"/>
  <c r="F32" i="7"/>
  <c r="H32" i="7" s="1"/>
  <c r="I32" i="7" s="1"/>
  <c r="J32" i="11" s="1"/>
  <c r="E32" i="7"/>
  <c r="D32" i="7"/>
  <c r="C32" i="7"/>
  <c r="B32" i="7"/>
  <c r="A32" i="7"/>
  <c r="H31" i="7"/>
  <c r="I31" i="7" s="1"/>
  <c r="J31" i="11" s="1"/>
  <c r="L31" i="11" s="1"/>
  <c r="G31" i="7"/>
  <c r="F31" i="7"/>
  <c r="E31" i="7"/>
  <c r="D31" i="7"/>
  <c r="C31" i="7"/>
  <c r="B31" i="7"/>
  <c r="A31" i="7"/>
  <c r="H30" i="7"/>
  <c r="I30" i="7" s="1"/>
  <c r="J30" i="11" s="1"/>
  <c r="L30" i="11" s="1"/>
  <c r="G30" i="7"/>
  <c r="F30" i="7"/>
  <c r="E30" i="7"/>
  <c r="D30" i="7"/>
  <c r="C30" i="7"/>
  <c r="B30" i="7"/>
  <c r="A30" i="7"/>
  <c r="G29" i="7"/>
  <c r="F29" i="7"/>
  <c r="H29" i="7" s="1"/>
  <c r="I29" i="7" s="1"/>
  <c r="J29" i="11" s="1"/>
  <c r="E29" i="7"/>
  <c r="D29" i="7"/>
  <c r="C29" i="7"/>
  <c r="B29" i="7"/>
  <c r="A29" i="7"/>
  <c r="G28" i="7"/>
  <c r="F28" i="7"/>
  <c r="H28" i="7" s="1"/>
  <c r="I28" i="7" s="1"/>
  <c r="J28" i="11" s="1"/>
  <c r="L28" i="11" s="1"/>
  <c r="E28" i="7"/>
  <c r="D28" i="7"/>
  <c r="C28" i="7"/>
  <c r="B28" i="7"/>
  <c r="A28" i="7"/>
  <c r="G27" i="7"/>
  <c r="H27" i="7" s="1"/>
  <c r="I27" i="7" s="1"/>
  <c r="J27" i="11" s="1"/>
  <c r="F27" i="7"/>
  <c r="E27" i="7"/>
  <c r="D27" i="7"/>
  <c r="C27" i="7"/>
  <c r="B27" i="7"/>
  <c r="A27" i="7"/>
  <c r="I26" i="7"/>
  <c r="J26" i="11" s="1"/>
  <c r="G26" i="7"/>
  <c r="F26" i="7"/>
  <c r="H26" i="7" s="1"/>
  <c r="E26" i="7"/>
  <c r="D26" i="7"/>
  <c r="C26" i="7"/>
  <c r="B26" i="7"/>
  <c r="A26" i="7"/>
  <c r="G25" i="7"/>
  <c r="F25" i="7"/>
  <c r="H25" i="7" s="1"/>
  <c r="I25" i="7" s="1"/>
  <c r="J25" i="11" s="1"/>
  <c r="L25" i="11" s="1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H23" i="7" s="1"/>
  <c r="I23" i="7" s="1"/>
  <c r="J23" i="11" s="1"/>
  <c r="E23" i="7"/>
  <c r="D23" i="7"/>
  <c r="C23" i="7"/>
  <c r="B23" i="7"/>
  <c r="A23" i="7"/>
  <c r="H22" i="7"/>
  <c r="I22" i="7" s="1"/>
  <c r="J22" i="11" s="1"/>
  <c r="G22" i="7"/>
  <c r="F22" i="7"/>
  <c r="E22" i="7"/>
  <c r="D22" i="7"/>
  <c r="C22" i="7"/>
  <c r="B22" i="7"/>
  <c r="A22" i="7"/>
  <c r="G21" i="7"/>
  <c r="F21" i="7"/>
  <c r="H21" i="7" s="1"/>
  <c r="I21" i="7" s="1"/>
  <c r="J21" i="11" s="1"/>
  <c r="L21" i="11" s="1"/>
  <c r="E21" i="7"/>
  <c r="D21" i="7"/>
  <c r="C21" i="7"/>
  <c r="B21" i="7"/>
  <c r="A21" i="7"/>
  <c r="G20" i="7"/>
  <c r="F20" i="7"/>
  <c r="H20" i="7" s="1"/>
  <c r="I20" i="7" s="1"/>
  <c r="J20" i="11" s="1"/>
  <c r="E20" i="7"/>
  <c r="D20" i="7"/>
  <c r="C20" i="7"/>
  <c r="B20" i="7"/>
  <c r="A20" i="7"/>
  <c r="G19" i="7"/>
  <c r="F19" i="7"/>
  <c r="H19" i="7" s="1"/>
  <c r="I19" i="7" s="1"/>
  <c r="J19" i="11" s="1"/>
  <c r="L19" i="11" s="1"/>
  <c r="E19" i="7"/>
  <c r="D19" i="7"/>
  <c r="C19" i="7"/>
  <c r="B19" i="7"/>
  <c r="A19" i="7"/>
  <c r="G18" i="7"/>
  <c r="H18" i="7" s="1"/>
  <c r="I18" i="7" s="1"/>
  <c r="J18" i="11" s="1"/>
  <c r="L18" i="11" s="1"/>
  <c r="F18" i="7"/>
  <c r="E18" i="7"/>
  <c r="D18" i="7"/>
  <c r="C18" i="7"/>
  <c r="B18" i="7"/>
  <c r="A18" i="7"/>
  <c r="I17" i="7"/>
  <c r="J17" i="11" s="1"/>
  <c r="G17" i="7"/>
  <c r="F17" i="7"/>
  <c r="H17" i="7" s="1"/>
  <c r="E17" i="7"/>
  <c r="D17" i="7"/>
  <c r="C17" i="7"/>
  <c r="B17" i="7"/>
  <c r="A17" i="7"/>
  <c r="G16" i="7"/>
  <c r="H16" i="7" s="1"/>
  <c r="I16" i="7" s="1"/>
  <c r="J16" i="11" s="1"/>
  <c r="L16" i="11" s="1"/>
  <c r="F16" i="7"/>
  <c r="E16" i="7"/>
  <c r="D16" i="7"/>
  <c r="C16" i="7"/>
  <c r="B16" i="7"/>
  <c r="A16" i="7"/>
  <c r="G15" i="7"/>
  <c r="H15" i="7" s="1"/>
  <c r="I15" i="7" s="1"/>
  <c r="J15" i="11" s="1"/>
  <c r="F15" i="7"/>
  <c r="E15" i="7"/>
  <c r="D15" i="7"/>
  <c r="C15" i="7"/>
  <c r="B15" i="7"/>
  <c r="A15" i="7"/>
  <c r="G14" i="7"/>
  <c r="H14" i="7" s="1"/>
  <c r="I14" i="7" s="1"/>
  <c r="J14" i="11" s="1"/>
  <c r="L14" i="11" s="1"/>
  <c r="F14" i="7"/>
  <c r="E14" i="7"/>
  <c r="D14" i="7"/>
  <c r="C14" i="7"/>
  <c r="B14" i="7"/>
  <c r="A14" i="7"/>
  <c r="G13" i="7"/>
  <c r="H13" i="7" s="1"/>
  <c r="I13" i="7" s="1"/>
  <c r="J13" i="11" s="1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H11" i="7"/>
  <c r="I11" i="7" s="1"/>
  <c r="J11" i="11" s="1"/>
  <c r="G11" i="7"/>
  <c r="F11" i="7"/>
  <c r="E11" i="7"/>
  <c r="D11" i="7"/>
  <c r="C11" i="7"/>
  <c r="B11" i="7"/>
  <c r="A11" i="7"/>
  <c r="G10" i="7"/>
  <c r="F10" i="7"/>
  <c r="H10" i="7" s="1"/>
  <c r="I10" i="7" s="1"/>
  <c r="J10" i="11" s="1"/>
  <c r="E10" i="7"/>
  <c r="D10" i="7"/>
  <c r="C10" i="7"/>
  <c r="B10" i="7"/>
  <c r="A10" i="7"/>
  <c r="H9" i="7"/>
  <c r="I9" i="7" s="1"/>
  <c r="J9" i="11" s="1"/>
  <c r="L9" i="11" s="1"/>
  <c r="G9" i="7"/>
  <c r="F9" i="7"/>
  <c r="E9" i="7"/>
  <c r="D9" i="7"/>
  <c r="C9" i="7"/>
  <c r="B9" i="7"/>
  <c r="A9" i="7"/>
  <c r="H8" i="7"/>
  <c r="I8" i="7" s="1"/>
  <c r="J8" i="11" s="1"/>
  <c r="G8" i="7"/>
  <c r="F8" i="7"/>
  <c r="E8" i="7"/>
  <c r="D8" i="7"/>
  <c r="C8" i="7"/>
  <c r="B8" i="7"/>
  <c r="A8" i="7"/>
  <c r="G7" i="7"/>
  <c r="F7" i="7"/>
  <c r="H7" i="7" s="1"/>
  <c r="I7" i="7" s="1"/>
  <c r="E7" i="7"/>
  <c r="D7" i="7"/>
  <c r="C7" i="7"/>
  <c r="B7" i="7"/>
  <c r="A7" i="7"/>
  <c r="G6" i="7"/>
  <c r="F6" i="7"/>
  <c r="H6" i="7" s="1"/>
  <c r="I6" i="7" s="1"/>
  <c r="J6" i="11" s="1"/>
  <c r="E6" i="7"/>
  <c r="D6" i="7"/>
  <c r="C6" i="7"/>
  <c r="B6" i="7"/>
  <c r="A6" i="7"/>
  <c r="G113" i="6"/>
  <c r="H113" i="6" s="1"/>
  <c r="I113" i="6" s="1"/>
  <c r="H55" i="11" s="1"/>
  <c r="F113" i="6"/>
  <c r="E113" i="6"/>
  <c r="D113" i="6"/>
  <c r="C113" i="6"/>
  <c r="B113" i="6"/>
  <c r="A113" i="6"/>
  <c r="G112" i="6"/>
  <c r="F112" i="6"/>
  <c r="H112" i="6" s="1"/>
  <c r="I112" i="6" s="1"/>
  <c r="H54" i="11" s="1"/>
  <c r="E112" i="6"/>
  <c r="D112" i="6"/>
  <c r="C112" i="6"/>
  <c r="B112" i="6"/>
  <c r="A112" i="6"/>
  <c r="I111" i="6"/>
  <c r="H53" i="11" s="1"/>
  <c r="G111" i="6"/>
  <c r="F111" i="6"/>
  <c r="H111" i="6" s="1"/>
  <c r="E111" i="6"/>
  <c r="D111" i="6"/>
  <c r="C111" i="6"/>
  <c r="B111" i="6"/>
  <c r="A111" i="6"/>
  <c r="G110" i="6"/>
  <c r="F110" i="6"/>
  <c r="H110" i="6" s="1"/>
  <c r="I110" i="6" s="1"/>
  <c r="H52" i="11" s="1"/>
  <c r="E110" i="6"/>
  <c r="D110" i="6"/>
  <c r="C110" i="6"/>
  <c r="B110" i="6"/>
  <c r="A110" i="6"/>
  <c r="G109" i="6"/>
  <c r="F109" i="6"/>
  <c r="H109" i="6" s="1"/>
  <c r="I109" i="6" s="1"/>
  <c r="H51" i="11" s="1"/>
  <c r="E109" i="6"/>
  <c r="D109" i="6"/>
  <c r="C109" i="6"/>
  <c r="B109" i="6"/>
  <c r="A109" i="6"/>
  <c r="H108" i="6"/>
  <c r="I108" i="6" s="1"/>
  <c r="H50" i="11" s="1"/>
  <c r="G108" i="6"/>
  <c r="F108" i="6"/>
  <c r="E108" i="6"/>
  <c r="D108" i="6"/>
  <c r="C108" i="6"/>
  <c r="B108" i="6"/>
  <c r="A108" i="6"/>
  <c r="G107" i="6"/>
  <c r="H107" i="6" s="1"/>
  <c r="I107" i="6" s="1"/>
  <c r="H49" i="11" s="1"/>
  <c r="F107" i="6"/>
  <c r="E107" i="6"/>
  <c r="D107" i="6"/>
  <c r="C107" i="6"/>
  <c r="B107" i="6"/>
  <c r="A107" i="6"/>
  <c r="G106" i="6"/>
  <c r="F106" i="6"/>
  <c r="H106" i="6" s="1"/>
  <c r="I106" i="6" s="1"/>
  <c r="H48" i="11" s="1"/>
  <c r="E106" i="6"/>
  <c r="D106" i="6"/>
  <c r="C106" i="6"/>
  <c r="B106" i="6"/>
  <c r="A106" i="6"/>
  <c r="G105" i="6"/>
  <c r="F105" i="6"/>
  <c r="H105" i="6" s="1"/>
  <c r="I105" i="6" s="1"/>
  <c r="H47" i="11" s="1"/>
  <c r="E105" i="6"/>
  <c r="D105" i="6"/>
  <c r="C105" i="6"/>
  <c r="B105" i="6"/>
  <c r="A105" i="6"/>
  <c r="G104" i="6"/>
  <c r="H104" i="6" s="1"/>
  <c r="I104" i="6" s="1"/>
  <c r="H46" i="11" s="1"/>
  <c r="F104" i="6"/>
  <c r="E104" i="6"/>
  <c r="D104" i="6"/>
  <c r="C104" i="6"/>
  <c r="B104" i="6"/>
  <c r="A104" i="6"/>
  <c r="G103" i="6"/>
  <c r="F103" i="6"/>
  <c r="H103" i="6" s="1"/>
  <c r="I103" i="6" s="1"/>
  <c r="H45" i="11" s="1"/>
  <c r="E103" i="6"/>
  <c r="D103" i="6"/>
  <c r="C103" i="6"/>
  <c r="B103" i="6"/>
  <c r="A103" i="6"/>
  <c r="G102" i="6"/>
  <c r="H102" i="6" s="1"/>
  <c r="I102" i="6" s="1"/>
  <c r="H44" i="11" s="1"/>
  <c r="F102" i="6"/>
  <c r="E102" i="6"/>
  <c r="D102" i="6"/>
  <c r="C102" i="6"/>
  <c r="B102" i="6"/>
  <c r="A102" i="6"/>
  <c r="G101" i="6"/>
  <c r="H101" i="6" s="1"/>
  <c r="I101" i="6" s="1"/>
  <c r="H43" i="11" s="1"/>
  <c r="F101" i="6"/>
  <c r="E101" i="6"/>
  <c r="D101" i="6"/>
  <c r="C101" i="6"/>
  <c r="B101" i="6"/>
  <c r="A101" i="6"/>
  <c r="G100" i="6"/>
  <c r="F100" i="6"/>
  <c r="H100" i="6" s="1"/>
  <c r="I100" i="6" s="1"/>
  <c r="H42" i="11" s="1"/>
  <c r="E100" i="6"/>
  <c r="D100" i="6"/>
  <c r="C100" i="6"/>
  <c r="B100" i="6"/>
  <c r="A100" i="6"/>
  <c r="G99" i="6"/>
  <c r="H99" i="6" s="1"/>
  <c r="I99" i="6" s="1"/>
  <c r="H41" i="11" s="1"/>
  <c r="F99" i="6"/>
  <c r="E99" i="6"/>
  <c r="D99" i="6"/>
  <c r="C99" i="6"/>
  <c r="B99" i="6"/>
  <c r="A99" i="6"/>
  <c r="H98" i="6"/>
  <c r="I98" i="6" s="1"/>
  <c r="H40" i="11" s="1"/>
  <c r="G98" i="6"/>
  <c r="F98" i="6"/>
  <c r="E98" i="6"/>
  <c r="D98" i="6"/>
  <c r="C98" i="6"/>
  <c r="B98" i="6"/>
  <c r="A98" i="6"/>
  <c r="H97" i="6"/>
  <c r="I97" i="6" s="1"/>
  <c r="H39" i="11" s="1"/>
  <c r="G97" i="6"/>
  <c r="F97" i="6"/>
  <c r="E97" i="6"/>
  <c r="D97" i="6"/>
  <c r="C97" i="6"/>
  <c r="B97" i="6"/>
  <c r="A97" i="6"/>
  <c r="G96" i="6"/>
  <c r="F96" i="6"/>
  <c r="H96" i="6" s="1"/>
  <c r="I96" i="6" s="1"/>
  <c r="H38" i="11" s="1"/>
  <c r="E96" i="6"/>
  <c r="D96" i="6"/>
  <c r="C96" i="6"/>
  <c r="B96" i="6"/>
  <c r="A96" i="6"/>
  <c r="G95" i="6"/>
  <c r="H95" i="6" s="1"/>
  <c r="I95" i="6" s="1"/>
  <c r="H37" i="11" s="1"/>
  <c r="F95" i="6"/>
  <c r="E95" i="6"/>
  <c r="D95" i="6"/>
  <c r="C95" i="6"/>
  <c r="B95" i="6"/>
  <c r="A95" i="6"/>
  <c r="H94" i="6"/>
  <c r="I94" i="6" s="1"/>
  <c r="H36" i="11" s="1"/>
  <c r="G94" i="6"/>
  <c r="F94" i="6"/>
  <c r="E94" i="6"/>
  <c r="D94" i="6"/>
  <c r="C94" i="6"/>
  <c r="B94" i="6"/>
  <c r="A94" i="6"/>
  <c r="G93" i="6"/>
  <c r="F93" i="6"/>
  <c r="H93" i="6" s="1"/>
  <c r="I93" i="6" s="1"/>
  <c r="H35" i="11" s="1"/>
  <c r="E93" i="6"/>
  <c r="D93" i="6"/>
  <c r="C93" i="6"/>
  <c r="B93" i="6"/>
  <c r="A93" i="6"/>
  <c r="G92" i="6"/>
  <c r="F92" i="6"/>
  <c r="E92" i="6"/>
  <c r="D92" i="6"/>
  <c r="C92" i="6"/>
  <c r="B92" i="6"/>
  <c r="A92" i="6"/>
  <c r="G91" i="6"/>
  <c r="H91" i="6" s="1"/>
  <c r="I91" i="6" s="1"/>
  <c r="H33" i="11" s="1"/>
  <c r="F91" i="6"/>
  <c r="E91" i="6"/>
  <c r="D91" i="6"/>
  <c r="C91" i="6"/>
  <c r="B91" i="6"/>
  <c r="A91" i="6"/>
  <c r="G90" i="6"/>
  <c r="H90" i="6" s="1"/>
  <c r="I90" i="6" s="1"/>
  <c r="H32" i="11" s="1"/>
  <c r="F90" i="6"/>
  <c r="E90" i="6"/>
  <c r="D90" i="6"/>
  <c r="C90" i="6"/>
  <c r="B90" i="6"/>
  <c r="A90" i="6"/>
  <c r="G89" i="6"/>
  <c r="F89" i="6"/>
  <c r="H89" i="6" s="1"/>
  <c r="I89" i="6" s="1"/>
  <c r="H31" i="11" s="1"/>
  <c r="E89" i="6"/>
  <c r="D89" i="6"/>
  <c r="C89" i="6"/>
  <c r="B89" i="6"/>
  <c r="A89" i="6"/>
  <c r="G88" i="6"/>
  <c r="F88" i="6"/>
  <c r="E88" i="6"/>
  <c r="D88" i="6"/>
  <c r="C88" i="6"/>
  <c r="B88" i="6"/>
  <c r="A88" i="6"/>
  <c r="H87" i="6"/>
  <c r="I87" i="6" s="1"/>
  <c r="H29" i="11" s="1"/>
  <c r="G87" i="6"/>
  <c r="F87" i="6"/>
  <c r="E87" i="6"/>
  <c r="D87" i="6"/>
  <c r="C87" i="6"/>
  <c r="B87" i="6"/>
  <c r="A87" i="6"/>
  <c r="H86" i="6"/>
  <c r="I86" i="6" s="1"/>
  <c r="H28" i="11" s="1"/>
  <c r="G86" i="6"/>
  <c r="F86" i="6"/>
  <c r="E86" i="6"/>
  <c r="D86" i="6"/>
  <c r="C86" i="6"/>
  <c r="B86" i="6"/>
  <c r="A86" i="6"/>
  <c r="G85" i="6"/>
  <c r="F85" i="6"/>
  <c r="H85" i="6" s="1"/>
  <c r="I85" i="6" s="1"/>
  <c r="H27" i="11" s="1"/>
  <c r="E85" i="6"/>
  <c r="D85" i="6"/>
  <c r="C85" i="6"/>
  <c r="B85" i="6"/>
  <c r="A85" i="6"/>
  <c r="H84" i="6"/>
  <c r="I84" i="6" s="1"/>
  <c r="H26" i="11" s="1"/>
  <c r="G84" i="6"/>
  <c r="F84" i="6"/>
  <c r="E84" i="6"/>
  <c r="D84" i="6"/>
  <c r="C84" i="6"/>
  <c r="B84" i="6"/>
  <c r="A84" i="6"/>
  <c r="G83" i="6"/>
  <c r="F83" i="6"/>
  <c r="H83" i="6" s="1"/>
  <c r="I83" i="6" s="1"/>
  <c r="H25" i="11" s="1"/>
  <c r="E83" i="6"/>
  <c r="D83" i="6"/>
  <c r="C83" i="6"/>
  <c r="B83" i="6"/>
  <c r="A83" i="6"/>
  <c r="G82" i="6"/>
  <c r="F82" i="6"/>
  <c r="H82" i="6" s="1"/>
  <c r="I82" i="6" s="1"/>
  <c r="H24" i="11" s="1"/>
  <c r="E82" i="6"/>
  <c r="D82" i="6"/>
  <c r="C82" i="6"/>
  <c r="B82" i="6"/>
  <c r="A82" i="6"/>
  <c r="I81" i="6"/>
  <c r="H23" i="11" s="1"/>
  <c r="G81" i="6"/>
  <c r="F81" i="6"/>
  <c r="H81" i="6" s="1"/>
  <c r="E81" i="6"/>
  <c r="D81" i="6"/>
  <c r="C81" i="6"/>
  <c r="B81" i="6"/>
  <c r="A81" i="6"/>
  <c r="H80" i="6"/>
  <c r="I80" i="6" s="1"/>
  <c r="H22" i="11" s="1"/>
  <c r="G80" i="6"/>
  <c r="F80" i="6"/>
  <c r="E80" i="6"/>
  <c r="D80" i="6"/>
  <c r="C80" i="6"/>
  <c r="B80" i="6"/>
  <c r="A80" i="6"/>
  <c r="I79" i="6"/>
  <c r="H21" i="11" s="1"/>
  <c r="G79" i="6"/>
  <c r="H79" i="6" s="1"/>
  <c r="F79" i="6"/>
  <c r="E79" i="6"/>
  <c r="D79" i="6"/>
  <c r="C79" i="6"/>
  <c r="B79" i="6"/>
  <c r="A79" i="6"/>
  <c r="H78" i="6"/>
  <c r="I78" i="6" s="1"/>
  <c r="H20" i="11" s="1"/>
  <c r="G78" i="6"/>
  <c r="F78" i="6"/>
  <c r="E78" i="6"/>
  <c r="D78" i="6"/>
  <c r="C78" i="6"/>
  <c r="B78" i="6"/>
  <c r="A78" i="6"/>
  <c r="H77" i="6"/>
  <c r="I77" i="6" s="1"/>
  <c r="H19" i="11" s="1"/>
  <c r="G77" i="6"/>
  <c r="F77" i="6"/>
  <c r="E77" i="6"/>
  <c r="D77" i="6"/>
  <c r="C77" i="6"/>
  <c r="B77" i="6"/>
  <c r="A77" i="6"/>
  <c r="G76" i="6"/>
  <c r="F76" i="6"/>
  <c r="E76" i="6"/>
  <c r="D76" i="6"/>
  <c r="C76" i="6"/>
  <c r="B76" i="6"/>
  <c r="A76" i="6"/>
  <c r="G75" i="6"/>
  <c r="F75" i="6"/>
  <c r="H75" i="6" s="1"/>
  <c r="I75" i="6" s="1"/>
  <c r="H17" i="11" s="1"/>
  <c r="E75" i="6"/>
  <c r="D75" i="6"/>
  <c r="C75" i="6"/>
  <c r="B75" i="6"/>
  <c r="A75" i="6"/>
  <c r="G74" i="6"/>
  <c r="F74" i="6"/>
  <c r="H74" i="6" s="1"/>
  <c r="I74" i="6" s="1"/>
  <c r="H16" i="11" s="1"/>
  <c r="E74" i="6"/>
  <c r="D74" i="6"/>
  <c r="C74" i="6"/>
  <c r="B74" i="6"/>
  <c r="A74" i="6"/>
  <c r="G73" i="6"/>
  <c r="F73" i="6"/>
  <c r="H73" i="6" s="1"/>
  <c r="I73" i="6" s="1"/>
  <c r="H15" i="11" s="1"/>
  <c r="E73" i="6"/>
  <c r="D73" i="6"/>
  <c r="C73" i="6"/>
  <c r="B73" i="6"/>
  <c r="A73" i="6"/>
  <c r="I72" i="6"/>
  <c r="H14" i="11" s="1"/>
  <c r="H72" i="6"/>
  <c r="G72" i="6"/>
  <c r="F72" i="6"/>
  <c r="E72" i="6"/>
  <c r="D72" i="6"/>
  <c r="C72" i="6"/>
  <c r="B72" i="6"/>
  <c r="A72" i="6"/>
  <c r="G71" i="6"/>
  <c r="F71" i="6"/>
  <c r="H71" i="6" s="1"/>
  <c r="I71" i="6" s="1"/>
  <c r="H13" i="11" s="1"/>
  <c r="E71" i="6"/>
  <c r="D71" i="6"/>
  <c r="C71" i="6"/>
  <c r="B71" i="6"/>
  <c r="A71" i="6"/>
  <c r="H70" i="6"/>
  <c r="I70" i="6" s="1"/>
  <c r="H12" i="11" s="1"/>
  <c r="G70" i="6"/>
  <c r="F70" i="6"/>
  <c r="E70" i="6"/>
  <c r="D70" i="6"/>
  <c r="C70" i="6"/>
  <c r="B70" i="6"/>
  <c r="A70" i="6"/>
  <c r="G69" i="6"/>
  <c r="H69" i="6" s="1"/>
  <c r="I69" i="6" s="1"/>
  <c r="H11" i="11" s="1"/>
  <c r="F69" i="6"/>
  <c r="E69" i="6"/>
  <c r="D69" i="6"/>
  <c r="C69" i="6"/>
  <c r="B69" i="6"/>
  <c r="A69" i="6"/>
  <c r="H68" i="6"/>
  <c r="I68" i="6" s="1"/>
  <c r="H10" i="11" s="1"/>
  <c r="G68" i="6"/>
  <c r="F68" i="6"/>
  <c r="E68" i="6"/>
  <c r="D68" i="6"/>
  <c r="C68" i="6"/>
  <c r="B68" i="6"/>
  <c r="A68" i="6"/>
  <c r="G67" i="6"/>
  <c r="F67" i="6"/>
  <c r="E67" i="6"/>
  <c r="D67" i="6"/>
  <c r="C67" i="6"/>
  <c r="B67" i="6"/>
  <c r="A67" i="6"/>
  <c r="G66" i="6"/>
  <c r="F66" i="6"/>
  <c r="H66" i="6" s="1"/>
  <c r="I66" i="6" s="1"/>
  <c r="E66" i="6"/>
  <c r="D66" i="6"/>
  <c r="C66" i="6"/>
  <c r="B66" i="6"/>
  <c r="A66" i="6"/>
  <c r="H65" i="6"/>
  <c r="I65" i="6" s="1"/>
  <c r="H7" i="11" s="1"/>
  <c r="I7" i="11" s="1"/>
  <c r="G65" i="6"/>
  <c r="F65" i="6"/>
  <c r="E65" i="6"/>
  <c r="D65" i="6"/>
  <c r="C65" i="6"/>
  <c r="B65" i="6"/>
  <c r="A65" i="6"/>
  <c r="H64" i="6"/>
  <c r="I64" i="6" s="1"/>
  <c r="H6" i="11" s="1"/>
  <c r="G64" i="6"/>
  <c r="F64" i="6"/>
  <c r="E64" i="6"/>
  <c r="D64" i="6"/>
  <c r="C64" i="6"/>
  <c r="B64" i="6"/>
  <c r="A64" i="6"/>
  <c r="G55" i="6"/>
  <c r="F55" i="6"/>
  <c r="H55" i="6" s="1"/>
  <c r="I55" i="6" s="1"/>
  <c r="G55" i="11" s="1"/>
  <c r="I55" i="11" s="1"/>
  <c r="E55" i="6"/>
  <c r="D55" i="6"/>
  <c r="C55" i="6"/>
  <c r="B55" i="6"/>
  <c r="A55" i="6"/>
  <c r="H54" i="6"/>
  <c r="I54" i="6" s="1"/>
  <c r="G54" i="11" s="1"/>
  <c r="G54" i="6"/>
  <c r="F54" i="6"/>
  <c r="E54" i="6"/>
  <c r="D54" i="6"/>
  <c r="C54" i="6"/>
  <c r="B54" i="6"/>
  <c r="A54" i="6"/>
  <c r="G53" i="6"/>
  <c r="F53" i="6"/>
  <c r="H53" i="6" s="1"/>
  <c r="I53" i="6" s="1"/>
  <c r="G53" i="11" s="1"/>
  <c r="E53" i="6"/>
  <c r="D53" i="6"/>
  <c r="C53" i="6"/>
  <c r="B53" i="6"/>
  <c r="A53" i="6"/>
  <c r="H52" i="6"/>
  <c r="I52" i="6" s="1"/>
  <c r="G52" i="11" s="1"/>
  <c r="I52" i="11" s="1"/>
  <c r="G52" i="6"/>
  <c r="F52" i="6"/>
  <c r="E52" i="6"/>
  <c r="D52" i="6"/>
  <c r="C52" i="6"/>
  <c r="B52" i="6"/>
  <c r="A52" i="6"/>
  <c r="G51" i="6"/>
  <c r="F51" i="6"/>
  <c r="H51" i="6" s="1"/>
  <c r="I51" i="6" s="1"/>
  <c r="G51" i="11" s="1"/>
  <c r="E51" i="6"/>
  <c r="D51" i="6"/>
  <c r="C51" i="6"/>
  <c r="B51" i="6"/>
  <c r="A51" i="6"/>
  <c r="G50" i="6"/>
  <c r="H50" i="6" s="1"/>
  <c r="I50" i="6" s="1"/>
  <c r="G50" i="11" s="1"/>
  <c r="I50" i="11" s="1"/>
  <c r="F50" i="6"/>
  <c r="E50" i="6"/>
  <c r="D50" i="6"/>
  <c r="C50" i="6"/>
  <c r="B50" i="6"/>
  <c r="A50" i="6"/>
  <c r="G49" i="6"/>
  <c r="H49" i="6" s="1"/>
  <c r="I49" i="6" s="1"/>
  <c r="G49" i="11" s="1"/>
  <c r="I49" i="11" s="1"/>
  <c r="F49" i="6"/>
  <c r="E49" i="6"/>
  <c r="D49" i="6"/>
  <c r="C49" i="6"/>
  <c r="B49" i="6"/>
  <c r="A49" i="6"/>
  <c r="G48" i="6"/>
  <c r="H48" i="6" s="1"/>
  <c r="I48" i="6" s="1"/>
  <c r="G48" i="11" s="1"/>
  <c r="I48" i="11" s="1"/>
  <c r="F48" i="6"/>
  <c r="E48" i="6"/>
  <c r="D48" i="6"/>
  <c r="C48" i="6"/>
  <c r="B48" i="6"/>
  <c r="A48" i="6"/>
  <c r="G47" i="6"/>
  <c r="H47" i="6" s="1"/>
  <c r="I47" i="6" s="1"/>
  <c r="G47" i="11" s="1"/>
  <c r="F47" i="6"/>
  <c r="E47" i="6"/>
  <c r="D47" i="6"/>
  <c r="C47" i="6"/>
  <c r="B47" i="6"/>
  <c r="A47" i="6"/>
  <c r="H46" i="6"/>
  <c r="I46" i="6" s="1"/>
  <c r="G46" i="11" s="1"/>
  <c r="G46" i="6"/>
  <c r="F46" i="6"/>
  <c r="E46" i="6"/>
  <c r="D46" i="6"/>
  <c r="C46" i="6"/>
  <c r="B46" i="6"/>
  <c r="A46" i="6"/>
  <c r="G45" i="6"/>
  <c r="F45" i="6"/>
  <c r="H45" i="6" s="1"/>
  <c r="I45" i="6" s="1"/>
  <c r="G45" i="11" s="1"/>
  <c r="I45" i="11" s="1"/>
  <c r="E45" i="6"/>
  <c r="D45" i="6"/>
  <c r="C45" i="6"/>
  <c r="B45" i="6"/>
  <c r="A45" i="6"/>
  <c r="G44" i="6"/>
  <c r="F44" i="6"/>
  <c r="H44" i="6" s="1"/>
  <c r="I44" i="6" s="1"/>
  <c r="G44" i="11" s="1"/>
  <c r="E44" i="6"/>
  <c r="D44" i="6"/>
  <c r="C44" i="6"/>
  <c r="B44" i="6"/>
  <c r="A44" i="6"/>
  <c r="G43" i="6"/>
  <c r="H43" i="6" s="1"/>
  <c r="I43" i="6" s="1"/>
  <c r="G43" i="11" s="1"/>
  <c r="I43" i="11" s="1"/>
  <c r="F43" i="6"/>
  <c r="E43" i="6"/>
  <c r="D43" i="6"/>
  <c r="C43" i="6"/>
  <c r="B43" i="6"/>
  <c r="A43" i="6"/>
  <c r="G42" i="6"/>
  <c r="F42" i="6"/>
  <c r="H42" i="6" s="1"/>
  <c r="I42" i="6" s="1"/>
  <c r="G42" i="11" s="1"/>
  <c r="E42" i="6"/>
  <c r="D42" i="6"/>
  <c r="C42" i="6"/>
  <c r="B42" i="6"/>
  <c r="A42" i="6"/>
  <c r="G41" i="6"/>
  <c r="F41" i="6"/>
  <c r="H41" i="6" s="1"/>
  <c r="I41" i="6" s="1"/>
  <c r="G41" i="11" s="1"/>
  <c r="E41" i="6"/>
  <c r="D41" i="6"/>
  <c r="C41" i="6"/>
  <c r="B41" i="6"/>
  <c r="A41" i="6"/>
  <c r="G40" i="6"/>
  <c r="F40" i="6"/>
  <c r="H40" i="6" s="1"/>
  <c r="I40" i="6" s="1"/>
  <c r="G40" i="11" s="1"/>
  <c r="I40" i="11" s="1"/>
  <c r="S40" i="11" s="1"/>
  <c r="E40" i="6"/>
  <c r="D40" i="6"/>
  <c r="C40" i="6"/>
  <c r="B40" i="6"/>
  <c r="A40" i="6"/>
  <c r="G39" i="6"/>
  <c r="H39" i="6" s="1"/>
  <c r="I39" i="6" s="1"/>
  <c r="G39" i="11" s="1"/>
  <c r="F39" i="6"/>
  <c r="E39" i="6"/>
  <c r="D39" i="6"/>
  <c r="C39" i="6"/>
  <c r="B39" i="6"/>
  <c r="A39" i="6"/>
  <c r="G38" i="6"/>
  <c r="F38" i="6"/>
  <c r="H38" i="6" s="1"/>
  <c r="I38" i="6" s="1"/>
  <c r="G38" i="11" s="1"/>
  <c r="I38" i="11" s="1"/>
  <c r="E38" i="6"/>
  <c r="D38" i="6"/>
  <c r="C38" i="6"/>
  <c r="B38" i="6"/>
  <c r="A38" i="6"/>
  <c r="G37" i="6"/>
  <c r="F37" i="6"/>
  <c r="H37" i="6" s="1"/>
  <c r="I37" i="6" s="1"/>
  <c r="G37" i="11" s="1"/>
  <c r="I37" i="11" s="1"/>
  <c r="S37" i="11" s="1"/>
  <c r="E37" i="6"/>
  <c r="D37" i="6"/>
  <c r="C37" i="6"/>
  <c r="B37" i="6"/>
  <c r="A37" i="6"/>
  <c r="G36" i="6"/>
  <c r="F36" i="6"/>
  <c r="H36" i="6" s="1"/>
  <c r="I36" i="6" s="1"/>
  <c r="G36" i="11" s="1"/>
  <c r="E36" i="6"/>
  <c r="D36" i="6"/>
  <c r="C36" i="6"/>
  <c r="B36" i="6"/>
  <c r="A36" i="6"/>
  <c r="G35" i="6"/>
  <c r="F35" i="6"/>
  <c r="H35" i="6" s="1"/>
  <c r="I35" i="6" s="1"/>
  <c r="G35" i="11" s="1"/>
  <c r="E35" i="6"/>
  <c r="D35" i="6"/>
  <c r="C35" i="6"/>
  <c r="B35" i="6"/>
  <c r="A35" i="6"/>
  <c r="H34" i="6"/>
  <c r="I34" i="6" s="1"/>
  <c r="G34" i="11" s="1"/>
  <c r="G34" i="6"/>
  <c r="F34" i="6"/>
  <c r="E34" i="6"/>
  <c r="D34" i="6"/>
  <c r="C34" i="6"/>
  <c r="B34" i="6"/>
  <c r="A34" i="6"/>
  <c r="G33" i="6"/>
  <c r="F33" i="6"/>
  <c r="H33" i="6" s="1"/>
  <c r="I33" i="6" s="1"/>
  <c r="G33" i="11" s="1"/>
  <c r="I33" i="11" s="1"/>
  <c r="E33" i="6"/>
  <c r="D33" i="6"/>
  <c r="C33" i="6"/>
  <c r="B33" i="6"/>
  <c r="A33" i="6"/>
  <c r="H32" i="6"/>
  <c r="I32" i="6" s="1"/>
  <c r="G32" i="11" s="1"/>
  <c r="G32" i="6"/>
  <c r="F32" i="6"/>
  <c r="E32" i="6"/>
  <c r="D32" i="6"/>
  <c r="C32" i="6"/>
  <c r="B32" i="6"/>
  <c r="A32" i="6"/>
  <c r="G31" i="6"/>
  <c r="F31" i="6"/>
  <c r="H31" i="6" s="1"/>
  <c r="I31" i="6" s="1"/>
  <c r="G31" i="11" s="1"/>
  <c r="I31" i="11" s="1"/>
  <c r="S31" i="11" s="1"/>
  <c r="E31" i="6"/>
  <c r="D31" i="6"/>
  <c r="C31" i="6"/>
  <c r="B31" i="6"/>
  <c r="A31" i="6"/>
  <c r="G30" i="6"/>
  <c r="F30" i="6"/>
  <c r="H30" i="6" s="1"/>
  <c r="I30" i="6" s="1"/>
  <c r="G30" i="11" s="1"/>
  <c r="E30" i="6"/>
  <c r="D30" i="6"/>
  <c r="C30" i="6"/>
  <c r="B30" i="6"/>
  <c r="A30" i="6"/>
  <c r="G29" i="6"/>
  <c r="F29" i="6"/>
  <c r="H29" i="6" s="1"/>
  <c r="I29" i="6" s="1"/>
  <c r="G29" i="11" s="1"/>
  <c r="I29" i="11" s="1"/>
  <c r="E29" i="6"/>
  <c r="D29" i="6"/>
  <c r="C29" i="6"/>
  <c r="B29" i="6"/>
  <c r="A29" i="6"/>
  <c r="H28" i="6"/>
  <c r="I28" i="6" s="1"/>
  <c r="G28" i="11" s="1"/>
  <c r="I28" i="11" s="1"/>
  <c r="G28" i="6"/>
  <c r="F28" i="6"/>
  <c r="E28" i="6"/>
  <c r="D28" i="6"/>
  <c r="C28" i="6"/>
  <c r="B28" i="6"/>
  <c r="A28" i="6"/>
  <c r="G27" i="6"/>
  <c r="H27" i="6" s="1"/>
  <c r="I27" i="6" s="1"/>
  <c r="G27" i="11" s="1"/>
  <c r="F27" i="6"/>
  <c r="E27" i="6"/>
  <c r="D27" i="6"/>
  <c r="C27" i="6"/>
  <c r="B27" i="6"/>
  <c r="A27" i="6"/>
  <c r="G26" i="6"/>
  <c r="F26" i="6"/>
  <c r="H26" i="6" s="1"/>
  <c r="I26" i="6" s="1"/>
  <c r="G26" i="11" s="1"/>
  <c r="I26" i="11" s="1"/>
  <c r="E26" i="6"/>
  <c r="D26" i="6"/>
  <c r="C26" i="6"/>
  <c r="B26" i="6"/>
  <c r="A26" i="6"/>
  <c r="H25" i="6"/>
  <c r="I25" i="6" s="1"/>
  <c r="G25" i="11" s="1"/>
  <c r="I25" i="11" s="1"/>
  <c r="G25" i="6"/>
  <c r="F25" i="6"/>
  <c r="E25" i="6"/>
  <c r="D25" i="6"/>
  <c r="C25" i="6"/>
  <c r="B25" i="6"/>
  <c r="A25" i="6"/>
  <c r="G24" i="6"/>
  <c r="F24" i="6"/>
  <c r="E24" i="6"/>
  <c r="D24" i="6"/>
  <c r="C24" i="6"/>
  <c r="B24" i="6"/>
  <c r="A24" i="6"/>
  <c r="H23" i="6"/>
  <c r="I23" i="6" s="1"/>
  <c r="G23" i="11" s="1"/>
  <c r="I23" i="11" s="1"/>
  <c r="G23" i="6"/>
  <c r="F23" i="6"/>
  <c r="E23" i="6"/>
  <c r="D23" i="6"/>
  <c r="C23" i="6"/>
  <c r="B23" i="6"/>
  <c r="A23" i="6"/>
  <c r="G22" i="6"/>
  <c r="F22" i="6"/>
  <c r="H22" i="6" s="1"/>
  <c r="I22" i="6" s="1"/>
  <c r="G22" i="11" s="1"/>
  <c r="E22" i="6"/>
  <c r="D22" i="6"/>
  <c r="C22" i="6"/>
  <c r="B22" i="6"/>
  <c r="A22" i="6"/>
  <c r="G21" i="6"/>
  <c r="F21" i="6"/>
  <c r="H21" i="6" s="1"/>
  <c r="I21" i="6" s="1"/>
  <c r="G21" i="11" s="1"/>
  <c r="I21" i="11" s="1"/>
  <c r="E21" i="6"/>
  <c r="D21" i="6"/>
  <c r="C21" i="6"/>
  <c r="B21" i="6"/>
  <c r="A21" i="6"/>
  <c r="G20" i="6"/>
  <c r="F20" i="6"/>
  <c r="H20" i="6" s="1"/>
  <c r="I20" i="6" s="1"/>
  <c r="G20" i="11" s="1"/>
  <c r="E20" i="6"/>
  <c r="D20" i="6"/>
  <c r="C20" i="6"/>
  <c r="B20" i="6"/>
  <c r="A20" i="6"/>
  <c r="G19" i="6"/>
  <c r="F19" i="6"/>
  <c r="H19" i="6" s="1"/>
  <c r="I19" i="6" s="1"/>
  <c r="G19" i="11" s="1"/>
  <c r="I19" i="11" s="1"/>
  <c r="E19" i="6"/>
  <c r="D19" i="6"/>
  <c r="C19" i="6"/>
  <c r="B19" i="6"/>
  <c r="A19" i="6"/>
  <c r="G18" i="6"/>
  <c r="F18" i="6"/>
  <c r="H18" i="6" s="1"/>
  <c r="I18" i="6" s="1"/>
  <c r="G18" i="11" s="1"/>
  <c r="E18" i="6"/>
  <c r="D18" i="6"/>
  <c r="C18" i="6"/>
  <c r="B18" i="6"/>
  <c r="A18" i="6"/>
  <c r="G17" i="6"/>
  <c r="H17" i="6" s="1"/>
  <c r="I17" i="6" s="1"/>
  <c r="G17" i="11" s="1"/>
  <c r="F17" i="6"/>
  <c r="E17" i="6"/>
  <c r="D17" i="6"/>
  <c r="C17" i="6"/>
  <c r="B17" i="6"/>
  <c r="A17" i="6"/>
  <c r="G16" i="6"/>
  <c r="F16" i="6"/>
  <c r="H16" i="6" s="1"/>
  <c r="I16" i="6" s="1"/>
  <c r="G16" i="11" s="1"/>
  <c r="I16" i="11" s="1"/>
  <c r="E16" i="6"/>
  <c r="D16" i="6"/>
  <c r="C16" i="6"/>
  <c r="B16" i="6"/>
  <c r="A16" i="6"/>
  <c r="G15" i="6"/>
  <c r="F15" i="6"/>
  <c r="E15" i="6"/>
  <c r="D15" i="6"/>
  <c r="C15" i="6"/>
  <c r="B15" i="6"/>
  <c r="A15" i="6"/>
  <c r="G14" i="6"/>
  <c r="F14" i="6"/>
  <c r="H14" i="6" s="1"/>
  <c r="I14" i="6" s="1"/>
  <c r="G14" i="11" s="1"/>
  <c r="E14" i="6"/>
  <c r="D14" i="6"/>
  <c r="C14" i="6"/>
  <c r="B14" i="6"/>
  <c r="A14" i="6"/>
  <c r="G13" i="6"/>
  <c r="F13" i="6"/>
  <c r="H13" i="6" s="1"/>
  <c r="I13" i="6" s="1"/>
  <c r="G13" i="11" s="1"/>
  <c r="I13" i="11" s="1"/>
  <c r="E13" i="6"/>
  <c r="D13" i="6"/>
  <c r="C13" i="6"/>
  <c r="B13" i="6"/>
  <c r="A13" i="6"/>
  <c r="H12" i="6"/>
  <c r="I12" i="6" s="1"/>
  <c r="G12" i="11" s="1"/>
  <c r="G12" i="6"/>
  <c r="F12" i="6"/>
  <c r="E12" i="6"/>
  <c r="D12" i="6"/>
  <c r="C12" i="6"/>
  <c r="B12" i="6"/>
  <c r="A12" i="6"/>
  <c r="G11" i="6"/>
  <c r="H11" i="6" s="1"/>
  <c r="I11" i="6" s="1"/>
  <c r="G11" i="11" s="1"/>
  <c r="I11" i="11" s="1"/>
  <c r="F11" i="6"/>
  <c r="E11" i="6"/>
  <c r="D11" i="6"/>
  <c r="C11" i="6"/>
  <c r="B11" i="6"/>
  <c r="A11" i="6"/>
  <c r="H10" i="6"/>
  <c r="I10" i="6" s="1"/>
  <c r="G10" i="11" s="1"/>
  <c r="G10" i="6"/>
  <c r="F10" i="6"/>
  <c r="E10" i="6"/>
  <c r="D10" i="6"/>
  <c r="C10" i="6"/>
  <c r="B10" i="6"/>
  <c r="A10" i="6"/>
  <c r="G9" i="6"/>
  <c r="F9" i="6"/>
  <c r="H9" i="6" s="1"/>
  <c r="I9" i="6" s="1"/>
  <c r="G9" i="11" s="1"/>
  <c r="E9" i="6"/>
  <c r="D9" i="6"/>
  <c r="C9" i="6"/>
  <c r="B9" i="6"/>
  <c r="A9" i="6"/>
  <c r="G8" i="6"/>
  <c r="F8" i="6"/>
  <c r="H8" i="6" s="1"/>
  <c r="I8" i="6" s="1"/>
  <c r="G8" i="11" s="1"/>
  <c r="I8" i="11" s="1"/>
  <c r="E8" i="6"/>
  <c r="D8" i="6"/>
  <c r="C8" i="6"/>
  <c r="B8" i="6"/>
  <c r="A8" i="6"/>
  <c r="I7" i="6"/>
  <c r="G7" i="11" s="1"/>
  <c r="G7" i="6"/>
  <c r="F7" i="6"/>
  <c r="H7" i="6" s="1"/>
  <c r="E7" i="6"/>
  <c r="D7" i="6"/>
  <c r="C7" i="6"/>
  <c r="B7" i="6"/>
  <c r="A7" i="6"/>
  <c r="G6" i="6"/>
  <c r="F6" i="6"/>
  <c r="H6" i="6" s="1"/>
  <c r="I6" i="6" s="1"/>
  <c r="G6" i="11" s="1"/>
  <c r="I6" i="11" s="1"/>
  <c r="E6" i="6"/>
  <c r="D6" i="6"/>
  <c r="C6" i="6"/>
  <c r="B6" i="6"/>
  <c r="A6" i="6"/>
  <c r="B11" i="5"/>
  <c r="B5" i="13" s="1"/>
  <c r="D5" i="13" s="1"/>
  <c r="K40" i="13" s="1"/>
  <c r="B68" i="4"/>
  <c r="H37" i="7" s="1"/>
  <c r="I37" i="7" s="1"/>
  <c r="J37" i="11" s="1"/>
  <c r="L37" i="11" s="1"/>
  <c r="E38" i="4"/>
  <c r="E37" i="4"/>
  <c r="E36" i="4"/>
  <c r="E35" i="4"/>
  <c r="E34" i="4"/>
  <c r="E33" i="4"/>
  <c r="E32" i="4"/>
  <c r="E22" i="4"/>
  <c r="F22" i="4" s="1"/>
  <c r="E21" i="4"/>
  <c r="F21" i="4" s="1"/>
  <c r="E20" i="4"/>
  <c r="F20" i="4" s="1"/>
  <c r="F19" i="4"/>
  <c r="E19" i="4"/>
  <c r="F18" i="4"/>
  <c r="E18" i="4"/>
  <c r="F17" i="4"/>
  <c r="E17" i="4"/>
  <c r="E16" i="4"/>
  <c r="F16" i="4" s="1"/>
  <c r="G11" i="4"/>
  <c r="A12" i="4" s="1"/>
  <c r="B8" i="4"/>
  <c r="M55" i="3"/>
  <c r="L55" i="3"/>
  <c r="J55" i="3"/>
  <c r="M54" i="3"/>
  <c r="L54" i="3"/>
  <c r="J54" i="3"/>
  <c r="M53" i="3"/>
  <c r="L53" i="3"/>
  <c r="J53" i="3"/>
  <c r="M52" i="3"/>
  <c r="L52" i="3"/>
  <c r="J52" i="3"/>
  <c r="M51" i="3"/>
  <c r="L51" i="3"/>
  <c r="J51" i="3"/>
  <c r="M50" i="3"/>
  <c r="L50" i="3"/>
  <c r="J50" i="3"/>
  <c r="M49" i="3"/>
  <c r="L49" i="3"/>
  <c r="J49" i="3"/>
  <c r="M48" i="3"/>
  <c r="L48" i="3"/>
  <c r="J48" i="3"/>
  <c r="M47" i="3"/>
  <c r="L47" i="3"/>
  <c r="J47" i="3"/>
  <c r="M46" i="3"/>
  <c r="L46" i="3"/>
  <c r="J46" i="3"/>
  <c r="M45" i="3"/>
  <c r="L45" i="3"/>
  <c r="J45" i="3"/>
  <c r="M44" i="3"/>
  <c r="L44" i="3"/>
  <c r="J44" i="3"/>
  <c r="M43" i="3"/>
  <c r="L43" i="3"/>
  <c r="J43" i="3"/>
  <c r="M42" i="3"/>
  <c r="L42" i="3"/>
  <c r="J42" i="3"/>
  <c r="M41" i="3"/>
  <c r="L41" i="3"/>
  <c r="J41" i="3"/>
  <c r="M40" i="3"/>
  <c r="L40" i="3"/>
  <c r="J40" i="3"/>
  <c r="M39" i="3"/>
  <c r="J39" i="3"/>
  <c r="M38" i="3"/>
  <c r="L38" i="3"/>
  <c r="J38" i="3"/>
  <c r="M37" i="3"/>
  <c r="J37" i="3"/>
  <c r="M36" i="3"/>
  <c r="J36" i="3"/>
  <c r="M35" i="3"/>
  <c r="J35" i="3"/>
  <c r="M34" i="3"/>
  <c r="J34" i="3"/>
  <c r="M33" i="3"/>
  <c r="J33" i="3"/>
  <c r="M32" i="3"/>
  <c r="L32" i="3"/>
  <c r="F32" i="8" s="1"/>
  <c r="J32" i="3"/>
  <c r="M31" i="3"/>
  <c r="L31" i="3"/>
  <c r="J31" i="3"/>
  <c r="M30" i="3"/>
  <c r="L30" i="3"/>
  <c r="F88" i="8" s="1"/>
  <c r="J30" i="3"/>
  <c r="M29" i="3"/>
  <c r="J29" i="3"/>
  <c r="M28" i="3"/>
  <c r="J28" i="3"/>
  <c r="M27" i="3"/>
  <c r="J27" i="3"/>
  <c r="M26" i="3"/>
  <c r="J26" i="3"/>
  <c r="M25" i="3"/>
  <c r="L25" i="3"/>
  <c r="F25" i="8" s="1"/>
  <c r="J25" i="3"/>
  <c r="M24" i="3"/>
  <c r="J24" i="3"/>
  <c r="M23" i="3"/>
  <c r="J23" i="3"/>
  <c r="M22" i="3"/>
  <c r="L22" i="3"/>
  <c r="J22" i="3"/>
  <c r="M21" i="3"/>
  <c r="J21" i="3"/>
  <c r="M20" i="3"/>
  <c r="J20" i="3"/>
  <c r="M19" i="3"/>
  <c r="L19" i="3"/>
  <c r="J19" i="3"/>
  <c r="M18" i="3"/>
  <c r="L18" i="3"/>
  <c r="F18" i="8" s="1"/>
  <c r="J18" i="3"/>
  <c r="M17" i="3"/>
  <c r="L17" i="3"/>
  <c r="F17" i="8" s="1"/>
  <c r="J17" i="3"/>
  <c r="M16" i="3"/>
  <c r="L16" i="3"/>
  <c r="J16" i="3"/>
  <c r="M15" i="3"/>
  <c r="J15" i="3"/>
  <c r="M14" i="3"/>
  <c r="J14" i="3"/>
  <c r="M13" i="3"/>
  <c r="L13" i="3"/>
  <c r="F13" i="8" s="1"/>
  <c r="J13" i="3"/>
  <c r="M12" i="3"/>
  <c r="L12" i="3"/>
  <c r="F70" i="8" s="1"/>
  <c r="J12" i="3"/>
  <c r="M11" i="3"/>
  <c r="L11" i="3"/>
  <c r="F69" i="8" s="1"/>
  <c r="J11" i="3"/>
  <c r="M10" i="3"/>
  <c r="L10" i="3"/>
  <c r="F68" i="8" s="1"/>
  <c r="J10" i="3"/>
  <c r="M9" i="3"/>
  <c r="J9" i="3"/>
  <c r="M8" i="3"/>
  <c r="L8" i="3"/>
  <c r="F8" i="8" s="1"/>
  <c r="J8" i="3"/>
  <c r="M7" i="3"/>
  <c r="L7" i="3"/>
  <c r="F7" i="8" s="1"/>
  <c r="J7" i="3"/>
  <c r="M6" i="3"/>
  <c r="J6" i="3"/>
  <c r="B14" i="2"/>
  <c r="B13" i="2"/>
  <c r="D8" i="2"/>
  <c r="C8" i="2"/>
  <c r="B8" i="2"/>
  <c r="D7" i="2"/>
  <c r="C7" i="2"/>
  <c r="B7" i="2"/>
  <c r="D6" i="2"/>
  <c r="C6" i="2"/>
  <c r="B6" i="2"/>
  <c r="D5" i="2"/>
  <c r="B5" i="2"/>
  <c r="C5" i="2" s="1"/>
  <c r="F28" i="8" l="1"/>
  <c r="F90" i="8"/>
  <c r="F34" i="8"/>
  <c r="F76" i="8"/>
  <c r="F11" i="8"/>
  <c r="F12" i="8"/>
  <c r="F67" i="8"/>
  <c r="F9" i="8"/>
  <c r="F71" i="8"/>
  <c r="F83" i="8"/>
  <c r="F27" i="8"/>
  <c r="F33" i="8"/>
  <c r="F65" i="8"/>
  <c r="F75" i="8"/>
  <c r="S49" i="11"/>
  <c r="T37" i="11"/>
  <c r="T31" i="11"/>
  <c r="I53" i="11"/>
  <c r="I20" i="11"/>
  <c r="I35" i="11"/>
  <c r="L13" i="11"/>
  <c r="S13" i="11" s="1"/>
  <c r="T40" i="11"/>
  <c r="U40" i="11"/>
  <c r="I51" i="11"/>
  <c r="L41" i="11"/>
  <c r="I14" i="11"/>
  <c r="S14" i="11" s="1"/>
  <c r="I17" i="11"/>
  <c r="I42" i="11"/>
  <c r="L23" i="11"/>
  <c r="L35" i="11"/>
  <c r="O10" i="11"/>
  <c r="O13" i="11"/>
  <c r="I47" i="11"/>
  <c r="S47" i="11" s="1"/>
  <c r="S48" i="11"/>
  <c r="L20" i="11"/>
  <c r="I36" i="11"/>
  <c r="S36" i="11" s="1"/>
  <c r="I27" i="11"/>
  <c r="S27" i="11" s="1"/>
  <c r="L11" i="11"/>
  <c r="S11" i="11" s="1"/>
  <c r="S7" i="11"/>
  <c r="I30" i="11"/>
  <c r="L8" i="11"/>
  <c r="S8" i="11" s="1"/>
  <c r="O45" i="11"/>
  <c r="S45" i="11" s="1"/>
  <c r="I10" i="11"/>
  <c r="K33" i="13"/>
  <c r="H67" i="6"/>
  <c r="I67" i="6" s="1"/>
  <c r="H9" i="11" s="1"/>
  <c r="I9" i="11" s="1"/>
  <c r="S9" i="11" s="1"/>
  <c r="L32" i="11"/>
  <c r="H43" i="7"/>
  <c r="I43" i="7" s="1"/>
  <c r="J43" i="11" s="1"/>
  <c r="L43" i="11" s="1"/>
  <c r="S43" i="11" s="1"/>
  <c r="F21" i="8"/>
  <c r="F29" i="8"/>
  <c r="F87" i="8"/>
  <c r="I22" i="11"/>
  <c r="F12" i="14"/>
  <c r="F8" i="14"/>
  <c r="N9" i="12"/>
  <c r="G19" i="14" s="1"/>
  <c r="D19" i="14"/>
  <c r="M9" i="12"/>
  <c r="F19" i="14" s="1"/>
  <c r="F6" i="14"/>
  <c r="L10" i="11"/>
  <c r="O21" i="11"/>
  <c r="S21" i="11" s="1"/>
  <c r="O42" i="11"/>
  <c r="Q8" i="11"/>
  <c r="R8" i="11"/>
  <c r="L39" i="11"/>
  <c r="R39" i="11"/>
  <c r="Q39" i="11"/>
  <c r="P39" i="11"/>
  <c r="F80" i="8"/>
  <c r="F22" i="8"/>
  <c r="F95" i="8"/>
  <c r="F37" i="8"/>
  <c r="I46" i="11"/>
  <c r="H24" i="7"/>
  <c r="I24" i="7" s="1"/>
  <c r="J24" i="11" s="1"/>
  <c r="L24" i="11" s="1"/>
  <c r="L49" i="11"/>
  <c r="H102" i="7"/>
  <c r="I102" i="7" s="1"/>
  <c r="K44" i="11" s="1"/>
  <c r="I54" i="11"/>
  <c r="L27" i="11"/>
  <c r="R24" i="11"/>
  <c r="P24" i="11"/>
  <c r="I41" i="11"/>
  <c r="S41" i="11" s="1"/>
  <c r="L54" i="11"/>
  <c r="F74" i="8"/>
  <c r="F16" i="8"/>
  <c r="F38" i="8"/>
  <c r="F96" i="8"/>
  <c r="O55" i="11"/>
  <c r="S55" i="11" s="1"/>
  <c r="F31" i="8"/>
  <c r="F89" i="8"/>
  <c r="I44" i="11"/>
  <c r="H92" i="6"/>
  <c r="I92" i="6" s="1"/>
  <c r="H34" i="11" s="1"/>
  <c r="H80" i="7"/>
  <c r="I80" i="7" s="1"/>
  <c r="K22" i="11" s="1"/>
  <c r="L22" i="11" s="1"/>
  <c r="I11" i="8"/>
  <c r="J11" i="8" s="1"/>
  <c r="M11" i="11" s="1"/>
  <c r="O11" i="11" s="1"/>
  <c r="D37" i="14"/>
  <c r="N27" i="12"/>
  <c r="G37" i="14" s="1"/>
  <c r="O50" i="11"/>
  <c r="F66" i="8"/>
  <c r="F82" i="8"/>
  <c r="F24" i="8"/>
  <c r="I12" i="11"/>
  <c r="H15" i="6"/>
  <c r="I15" i="6" s="1"/>
  <c r="G15" i="11" s="1"/>
  <c r="I15" i="11" s="1"/>
  <c r="L44" i="11"/>
  <c r="H50" i="7"/>
  <c r="I50" i="7" s="1"/>
  <c r="J50" i="11" s="1"/>
  <c r="L50" i="11" s="1"/>
  <c r="S50" i="11" s="1"/>
  <c r="F14" i="8"/>
  <c r="F30" i="8"/>
  <c r="I39" i="11"/>
  <c r="B26" i="15"/>
  <c r="B25" i="15"/>
  <c r="B30" i="15"/>
  <c r="B29" i="15"/>
  <c r="B28" i="15"/>
  <c r="B27" i="15"/>
  <c r="B12" i="2"/>
  <c r="O17" i="11"/>
  <c r="Q24" i="11"/>
  <c r="D42" i="14"/>
  <c r="N32" i="12"/>
  <c r="G42" i="14" s="1"/>
  <c r="M32" i="12"/>
  <c r="F42" i="14" s="1"/>
  <c r="Q6" i="11"/>
  <c r="P6" i="11"/>
  <c r="R22" i="11"/>
  <c r="Q22" i="11"/>
  <c r="P22" i="11"/>
  <c r="Q30" i="11"/>
  <c r="R30" i="11"/>
  <c r="P30" i="11"/>
  <c r="R34" i="11"/>
  <c r="Q34" i="11"/>
  <c r="P34" i="11"/>
  <c r="P7" i="11"/>
  <c r="R7" i="11"/>
  <c r="Q7" i="11"/>
  <c r="F23" i="8"/>
  <c r="F94" i="8"/>
  <c r="R26" i="11"/>
  <c r="S26" i="11" s="1"/>
  <c r="F84" i="8"/>
  <c r="F26" i="8"/>
  <c r="L17" i="11"/>
  <c r="D27" i="14"/>
  <c r="N17" i="12"/>
  <c r="G27" i="14" s="1"/>
  <c r="O46" i="11"/>
  <c r="L7" i="11"/>
  <c r="F15" i="8"/>
  <c r="F78" i="8"/>
  <c r="F97" i="8"/>
  <c r="Q23" i="11"/>
  <c r="P23" i="11"/>
  <c r="S23" i="11" s="1"/>
  <c r="R35" i="11"/>
  <c r="P35" i="11"/>
  <c r="M17" i="12"/>
  <c r="F27" i="14" s="1"/>
  <c r="F77" i="8"/>
  <c r="F19" i="8"/>
  <c r="I34" i="11"/>
  <c r="L29" i="11"/>
  <c r="S29" i="11" s="1"/>
  <c r="L42" i="11"/>
  <c r="K37" i="13"/>
  <c r="K26" i="13"/>
  <c r="K15" i="13"/>
  <c r="K35" i="13"/>
  <c r="K24" i="13"/>
  <c r="K13" i="13"/>
  <c r="K42" i="13"/>
  <c r="K31" i="13"/>
  <c r="K20" i="13"/>
  <c r="K9" i="13"/>
  <c r="K34" i="13"/>
  <c r="K23" i="13"/>
  <c r="K12" i="13"/>
  <c r="K41" i="13"/>
  <c r="K30" i="13"/>
  <c r="K19" i="13"/>
  <c r="K28" i="13"/>
  <c r="K21" i="13"/>
  <c r="K14" i="13"/>
  <c r="K16" i="13"/>
  <c r="K18" i="13"/>
  <c r="K39" i="13"/>
  <c r="K32" i="13"/>
  <c r="K11" i="13"/>
  <c r="K25" i="13"/>
  <c r="K27" i="13"/>
  <c r="K29" i="13"/>
  <c r="K22" i="13"/>
  <c r="K36" i="13"/>
  <c r="K38" i="13"/>
  <c r="K17" i="13"/>
  <c r="K10" i="13"/>
  <c r="F64" i="8"/>
  <c r="F6" i="8"/>
  <c r="I32" i="11"/>
  <c r="S32" i="11" s="1"/>
  <c r="H88" i="6"/>
  <c r="I88" i="6" s="1"/>
  <c r="H30" i="11" s="1"/>
  <c r="H73" i="7"/>
  <c r="I73" i="7" s="1"/>
  <c r="K15" i="11" s="1"/>
  <c r="L15" i="11" s="1"/>
  <c r="P13" i="11"/>
  <c r="D25" i="14"/>
  <c r="N15" i="12"/>
  <c r="G25" i="14" s="1"/>
  <c r="D47" i="14"/>
  <c r="N37" i="12"/>
  <c r="G47" i="14" s="1"/>
  <c r="M37" i="12"/>
  <c r="F47" i="14" s="1"/>
  <c r="M39" i="12"/>
  <c r="F49" i="14" s="1"/>
  <c r="D49" i="14"/>
  <c r="I34" i="8"/>
  <c r="J34" i="8" s="1"/>
  <c r="M34" i="11" s="1"/>
  <c r="O34" i="11" s="1"/>
  <c r="I52" i="8"/>
  <c r="J52" i="8" s="1"/>
  <c r="M52" i="11" s="1"/>
  <c r="O52" i="11" s="1"/>
  <c r="S52" i="11" s="1"/>
  <c r="M15" i="12"/>
  <c r="F25" i="14" s="1"/>
  <c r="I23" i="8"/>
  <c r="J23" i="8" s="1"/>
  <c r="M23" i="11" s="1"/>
  <c r="O23" i="11" s="1"/>
  <c r="I41" i="8"/>
  <c r="J41" i="8" s="1"/>
  <c r="M41" i="11" s="1"/>
  <c r="O41" i="11" s="1"/>
  <c r="I97" i="8"/>
  <c r="J97" i="8" s="1"/>
  <c r="N39" i="11" s="1"/>
  <c r="O39" i="11" s="1"/>
  <c r="F9" i="14"/>
  <c r="F7" i="14"/>
  <c r="F10" i="14"/>
  <c r="D16" i="14"/>
  <c r="N24" i="12"/>
  <c r="G34" i="14" s="1"/>
  <c r="M24" i="12"/>
  <c r="F34" i="14" s="1"/>
  <c r="I74" i="8"/>
  <c r="J74" i="8" s="1"/>
  <c r="N16" i="11" s="1"/>
  <c r="O16" i="11" s="1"/>
  <c r="S16" i="11" s="1"/>
  <c r="I83" i="8"/>
  <c r="J83" i="8" s="1"/>
  <c r="N25" i="11" s="1"/>
  <c r="O25" i="11" s="1"/>
  <c r="S25" i="11" s="1"/>
  <c r="G41" i="12"/>
  <c r="I12" i="8"/>
  <c r="J12" i="8" s="1"/>
  <c r="M12" i="11" s="1"/>
  <c r="O12" i="11" s="1"/>
  <c r="I30" i="8"/>
  <c r="J30" i="8" s="1"/>
  <c r="M30" i="11" s="1"/>
  <c r="O30" i="11" s="1"/>
  <c r="F11" i="14"/>
  <c r="N21" i="12"/>
  <c r="G31" i="14" s="1"/>
  <c r="D31" i="14"/>
  <c r="F10" i="8"/>
  <c r="F35" i="8"/>
  <c r="I86" i="8"/>
  <c r="J86" i="8" s="1"/>
  <c r="N28" i="11" s="1"/>
  <c r="P18" i="11"/>
  <c r="M6" i="12"/>
  <c r="F16" i="14" s="1"/>
  <c r="N19" i="12"/>
  <c r="G29" i="14" s="1"/>
  <c r="H111" i="7"/>
  <c r="I111" i="7" s="1"/>
  <c r="K53" i="11" s="1"/>
  <c r="L53" i="11" s="1"/>
  <c r="I19" i="8"/>
  <c r="J19" i="8" s="1"/>
  <c r="M19" i="11" s="1"/>
  <c r="O19" i="11" s="1"/>
  <c r="S19" i="11" s="1"/>
  <c r="Q18" i="11"/>
  <c r="R21" i="11"/>
  <c r="Q21" i="11"/>
  <c r="N6" i="12"/>
  <c r="G16" i="14" s="1"/>
  <c r="M14" i="12"/>
  <c r="F24" i="14" s="1"/>
  <c r="D24" i="14"/>
  <c r="H24" i="6"/>
  <c r="I24" i="6" s="1"/>
  <c r="G24" i="11" s="1"/>
  <c r="I24" i="11" s="1"/>
  <c r="H76" i="6"/>
  <c r="I76" i="6" s="1"/>
  <c r="H18" i="11" s="1"/>
  <c r="I18" i="11" s="1"/>
  <c r="S18" i="11" s="1"/>
  <c r="H12" i="7"/>
  <c r="I12" i="7" s="1"/>
  <c r="J12" i="11" s="1"/>
  <c r="L12" i="11" s="1"/>
  <c r="H34" i="7"/>
  <c r="I34" i="7" s="1"/>
  <c r="J34" i="11" s="1"/>
  <c r="L34" i="11" s="1"/>
  <c r="H64" i="7"/>
  <c r="I64" i="7" s="1"/>
  <c r="K6" i="11" s="1"/>
  <c r="L6" i="11" s="1"/>
  <c r="I28" i="8"/>
  <c r="J28" i="8" s="1"/>
  <c r="M28" i="11" s="1"/>
  <c r="O28" i="11" s="1"/>
  <c r="S28" i="11" s="1"/>
  <c r="I93" i="8"/>
  <c r="J93" i="8" s="1"/>
  <c r="N35" i="11" s="1"/>
  <c r="O35" i="11" s="1"/>
  <c r="P12" i="11"/>
  <c r="D29" i="14"/>
  <c r="M31" i="12"/>
  <c r="F41" i="14" s="1"/>
  <c r="I33" i="8"/>
  <c r="J33" i="8" s="1"/>
  <c r="M33" i="11" s="1"/>
  <c r="O33" i="11" s="1"/>
  <c r="S33" i="11" s="1"/>
  <c r="I75" i="8"/>
  <c r="J75" i="8" s="1"/>
  <c r="N17" i="11" s="1"/>
  <c r="Q17" i="11"/>
  <c r="R29" i="11"/>
  <c r="D23" i="14"/>
  <c r="N13" i="12"/>
  <c r="G23" i="14" s="1"/>
  <c r="M13" i="12"/>
  <c r="F23" i="14" s="1"/>
  <c r="M21" i="12"/>
  <c r="F31" i="14" s="1"/>
  <c r="H109" i="7"/>
  <c r="I109" i="7" s="1"/>
  <c r="K51" i="11" s="1"/>
  <c r="L51" i="11" s="1"/>
  <c r="Q20" i="11"/>
  <c r="P20" i="11"/>
  <c r="P33" i="11"/>
  <c r="D45" i="14"/>
  <c r="N35" i="12"/>
  <c r="G45" i="14" s="1"/>
  <c r="M35" i="12"/>
  <c r="F45" i="14" s="1"/>
  <c r="I82" i="8"/>
  <c r="J82" i="8" s="1"/>
  <c r="N24" i="11" s="1"/>
  <c r="O24" i="11" s="1"/>
  <c r="P11" i="11"/>
  <c r="Q33" i="11"/>
  <c r="D20" i="14"/>
  <c r="N10" i="12"/>
  <c r="G20" i="14" s="1"/>
  <c r="D30" i="14"/>
  <c r="I22" i="8"/>
  <c r="J22" i="8" s="1"/>
  <c r="M22" i="11" s="1"/>
  <c r="O22" i="11" s="1"/>
  <c r="I64" i="8"/>
  <c r="J64" i="8" s="1"/>
  <c r="N6" i="11" s="1"/>
  <c r="O6" i="11" s="1"/>
  <c r="I96" i="8"/>
  <c r="J96" i="8" s="1"/>
  <c r="N38" i="11" s="1"/>
  <c r="O38" i="11" s="1"/>
  <c r="S38" i="11" s="1"/>
  <c r="Q11" i="11"/>
  <c r="P16" i="11"/>
  <c r="P28" i="11"/>
  <c r="B6" i="15"/>
  <c r="R16" i="11"/>
  <c r="Q28" i="11"/>
  <c r="M12" i="12"/>
  <c r="F22" i="14" s="1"/>
  <c r="M23" i="12"/>
  <c r="F33" i="14" s="1"/>
  <c r="M34" i="12"/>
  <c r="F44" i="14" s="1"/>
  <c r="N23" i="12"/>
  <c r="G33" i="14" s="1"/>
  <c r="T16" i="11" l="1"/>
  <c r="T38" i="11"/>
  <c r="U52" i="11"/>
  <c r="T52" i="11"/>
  <c r="U43" i="11"/>
  <c r="T43" i="11"/>
  <c r="T33" i="11"/>
  <c r="T26" i="11"/>
  <c r="T9" i="11"/>
  <c r="T23" i="11"/>
  <c r="T13" i="11"/>
  <c r="T18" i="11"/>
  <c r="T25" i="11"/>
  <c r="U50" i="11"/>
  <c r="T50" i="11"/>
  <c r="T19" i="11"/>
  <c r="T29" i="11"/>
  <c r="T11" i="11"/>
  <c r="T45" i="11"/>
  <c r="U45" i="11"/>
  <c r="T55" i="11"/>
  <c r="U55" i="11"/>
  <c r="T8" i="11"/>
  <c r="T28" i="11"/>
  <c r="S6" i="11"/>
  <c r="U9" i="11" s="1"/>
  <c r="T21" i="11"/>
  <c r="S22" i="11"/>
  <c r="T48" i="11"/>
  <c r="U48" i="11"/>
  <c r="T32" i="11"/>
  <c r="S46" i="11"/>
  <c r="U47" i="11"/>
  <c r="T47" i="11"/>
  <c r="S35" i="11"/>
  <c r="S20" i="11"/>
  <c r="S44" i="11"/>
  <c r="S17" i="11"/>
  <c r="S30" i="11"/>
  <c r="T7" i="11"/>
  <c r="S54" i="11"/>
  <c r="S53" i="11"/>
  <c r="S10" i="11"/>
  <c r="T14" i="11"/>
  <c r="S39" i="11"/>
  <c r="S42" i="11"/>
  <c r="S15" i="11"/>
  <c r="T27" i="11"/>
  <c r="S34" i="11"/>
  <c r="S12" i="11"/>
  <c r="S51" i="11"/>
  <c r="T36" i="11"/>
  <c r="T49" i="11"/>
  <c r="U49" i="11"/>
  <c r="S24" i="11"/>
  <c r="U41" i="11"/>
  <c r="T41" i="11"/>
  <c r="G12" i="13" l="1"/>
  <c r="I12" i="13" s="1"/>
  <c r="J12" i="13" s="1"/>
  <c r="L12" i="13" s="1"/>
  <c r="H9" i="12"/>
  <c r="I9" i="12" s="1"/>
  <c r="L9" i="12" s="1"/>
  <c r="U25" i="11"/>
  <c r="U53" i="11"/>
  <c r="T53" i="11"/>
  <c r="U23" i="11"/>
  <c r="U20" i="11"/>
  <c r="T20" i="11"/>
  <c r="U12" i="11"/>
  <c r="T12" i="11"/>
  <c r="U35" i="11"/>
  <c r="T35" i="11"/>
  <c r="U6" i="11"/>
  <c r="T6" i="11"/>
  <c r="U37" i="11"/>
  <c r="U31" i="11"/>
  <c r="U24" i="11"/>
  <c r="T24" i="11"/>
  <c r="U26" i="11"/>
  <c r="U29" i="11"/>
  <c r="U13" i="11"/>
  <c r="U22" i="11"/>
  <c r="T22" i="11"/>
  <c r="T54" i="11"/>
  <c r="U54" i="11"/>
  <c r="U30" i="11"/>
  <c r="T30" i="11"/>
  <c r="U8" i="11"/>
  <c r="U36" i="11"/>
  <c r="U51" i="11"/>
  <c r="T51" i="11"/>
  <c r="U34" i="11"/>
  <c r="T34" i="11"/>
  <c r="U27" i="11"/>
  <c r="U46" i="11"/>
  <c r="T46" i="11"/>
  <c r="U19" i="11"/>
  <c r="U38" i="11"/>
  <c r="U18" i="11"/>
  <c r="U11" i="11"/>
  <c r="U42" i="11"/>
  <c r="T42" i="11"/>
  <c r="U14" i="11"/>
  <c r="U10" i="11"/>
  <c r="T10" i="11"/>
  <c r="U21" i="11"/>
  <c r="U7" i="11"/>
  <c r="U28" i="11"/>
  <c r="U17" i="11"/>
  <c r="T17" i="11"/>
  <c r="T44" i="11"/>
  <c r="U44" i="11"/>
  <c r="U33" i="11"/>
  <c r="U15" i="11"/>
  <c r="T15" i="11"/>
  <c r="U32" i="11"/>
  <c r="T39" i="11"/>
  <c r="U39" i="11"/>
  <c r="U16" i="11"/>
  <c r="G16" i="13" l="1"/>
  <c r="I16" i="13" s="1"/>
  <c r="J16" i="13" s="1"/>
  <c r="L16" i="13" s="1"/>
  <c r="H13" i="12"/>
  <c r="I13" i="12" s="1"/>
  <c r="L13" i="12" s="1"/>
  <c r="O13" i="12" s="1"/>
  <c r="P13" i="12" s="1"/>
  <c r="G27" i="13"/>
  <c r="I27" i="13" s="1"/>
  <c r="J27" i="13" s="1"/>
  <c r="L27" i="13" s="1"/>
  <c r="H24" i="12"/>
  <c r="I24" i="12" s="1"/>
  <c r="L24" i="12" s="1"/>
  <c r="O24" i="12" s="1"/>
  <c r="P24" i="12" s="1"/>
  <c r="G34" i="13"/>
  <c r="I34" i="13" s="1"/>
  <c r="J34" i="13" s="1"/>
  <c r="L34" i="13" s="1"/>
  <c r="H31" i="12"/>
  <c r="I31" i="12" s="1"/>
  <c r="L31" i="12" s="1"/>
  <c r="O31" i="12" s="1"/>
  <c r="P31" i="12" s="1"/>
  <c r="G14" i="13"/>
  <c r="I14" i="13" s="1"/>
  <c r="J14" i="13" s="1"/>
  <c r="L14" i="13" s="1"/>
  <c r="H11" i="12"/>
  <c r="I11" i="12" s="1"/>
  <c r="L11" i="12" s="1"/>
  <c r="O11" i="12" s="1"/>
  <c r="P11" i="12" s="1"/>
  <c r="G17" i="13"/>
  <c r="I17" i="13" s="1"/>
  <c r="J17" i="13" s="1"/>
  <c r="L17" i="13" s="1"/>
  <c r="H14" i="12"/>
  <c r="I14" i="12" s="1"/>
  <c r="L14" i="12" s="1"/>
  <c r="O14" i="12" s="1"/>
  <c r="P14" i="12" s="1"/>
  <c r="B16" i="15"/>
  <c r="E20" i="2"/>
  <c r="G9" i="13"/>
  <c r="I9" i="13" s="1"/>
  <c r="J9" i="13" s="1"/>
  <c r="L9" i="13" s="1"/>
  <c r="B20" i="15"/>
  <c r="B19" i="15"/>
  <c r="B18" i="15"/>
  <c r="B17" i="15"/>
  <c r="C17" i="15" s="1"/>
  <c r="D20" i="2"/>
  <c r="C20" i="2"/>
  <c r="F20" i="2"/>
  <c r="B20" i="2"/>
  <c r="H6" i="12"/>
  <c r="I6" i="12" s="1"/>
  <c r="L6" i="12" s="1"/>
  <c r="B9" i="2"/>
  <c r="G38" i="13"/>
  <c r="I38" i="13" s="1"/>
  <c r="J38" i="13" s="1"/>
  <c r="L38" i="13" s="1"/>
  <c r="H35" i="12"/>
  <c r="I35" i="12" s="1"/>
  <c r="L35" i="12" s="1"/>
  <c r="O35" i="12" s="1"/>
  <c r="P35" i="12" s="1"/>
  <c r="H26" i="12"/>
  <c r="I26" i="12" s="1"/>
  <c r="L26" i="12" s="1"/>
  <c r="O26" i="12" s="1"/>
  <c r="P26" i="12" s="1"/>
  <c r="G29" i="13"/>
  <c r="I29" i="13" s="1"/>
  <c r="J29" i="13" s="1"/>
  <c r="L29" i="13" s="1"/>
  <c r="G35" i="13"/>
  <c r="I35" i="13" s="1"/>
  <c r="J35" i="13" s="1"/>
  <c r="L35" i="13" s="1"/>
  <c r="H32" i="12"/>
  <c r="I32" i="12" s="1"/>
  <c r="L32" i="12" s="1"/>
  <c r="O32" i="12" s="1"/>
  <c r="P32" i="12" s="1"/>
  <c r="G37" i="13"/>
  <c r="I37" i="13" s="1"/>
  <c r="J37" i="13" s="1"/>
  <c r="L37" i="13" s="1"/>
  <c r="H34" i="12"/>
  <c r="I34" i="12" s="1"/>
  <c r="L34" i="12" s="1"/>
  <c r="O34" i="12" s="1"/>
  <c r="P34" i="12" s="1"/>
  <c r="G19" i="13"/>
  <c r="I19" i="13" s="1"/>
  <c r="J19" i="13" s="1"/>
  <c r="L19" i="13" s="1"/>
  <c r="H16" i="12"/>
  <c r="I16" i="12" s="1"/>
  <c r="L16" i="12" s="1"/>
  <c r="O16" i="12" s="1"/>
  <c r="P16" i="12" s="1"/>
  <c r="H22" i="12"/>
  <c r="I22" i="12" s="1"/>
  <c r="L22" i="12" s="1"/>
  <c r="O22" i="12" s="1"/>
  <c r="P22" i="12" s="1"/>
  <c r="G25" i="13"/>
  <c r="I25" i="13" s="1"/>
  <c r="J25" i="13" s="1"/>
  <c r="L25" i="13" s="1"/>
  <c r="G42" i="13"/>
  <c r="I42" i="13" s="1"/>
  <c r="J42" i="13" s="1"/>
  <c r="L42" i="13" s="1"/>
  <c r="H39" i="12"/>
  <c r="I39" i="12" s="1"/>
  <c r="L39" i="12" s="1"/>
  <c r="O39" i="12" s="1"/>
  <c r="P39" i="12" s="1"/>
  <c r="H15" i="12"/>
  <c r="I15" i="12" s="1"/>
  <c r="L15" i="12" s="1"/>
  <c r="O15" i="12" s="1"/>
  <c r="P15" i="12" s="1"/>
  <c r="G18" i="13"/>
  <c r="I18" i="13" s="1"/>
  <c r="J18" i="13" s="1"/>
  <c r="L18" i="13" s="1"/>
  <c r="H33" i="12"/>
  <c r="I33" i="12" s="1"/>
  <c r="L33" i="12" s="1"/>
  <c r="O33" i="12" s="1"/>
  <c r="P33" i="12" s="1"/>
  <c r="G36" i="13"/>
  <c r="I36" i="13" s="1"/>
  <c r="J36" i="13" s="1"/>
  <c r="L36" i="13" s="1"/>
  <c r="H12" i="12"/>
  <c r="I12" i="12" s="1"/>
  <c r="L12" i="12" s="1"/>
  <c r="G15" i="13"/>
  <c r="I15" i="13" s="1"/>
  <c r="J15" i="13" s="1"/>
  <c r="L15" i="13" s="1"/>
  <c r="G39" i="13"/>
  <c r="I39" i="13" s="1"/>
  <c r="J39" i="13" s="1"/>
  <c r="L39" i="13" s="1"/>
  <c r="H36" i="12"/>
  <c r="I36" i="12" s="1"/>
  <c r="L36" i="12" s="1"/>
  <c r="O36" i="12" s="1"/>
  <c r="P36" i="12" s="1"/>
  <c r="G41" i="13"/>
  <c r="I41" i="13" s="1"/>
  <c r="J41" i="13" s="1"/>
  <c r="L41" i="13" s="1"/>
  <c r="H38" i="12"/>
  <c r="I38" i="12" s="1"/>
  <c r="L38" i="12" s="1"/>
  <c r="O38" i="12" s="1"/>
  <c r="P38" i="12" s="1"/>
  <c r="G23" i="13"/>
  <c r="I23" i="13" s="1"/>
  <c r="J23" i="13" s="1"/>
  <c r="L23" i="13" s="1"/>
  <c r="H20" i="12"/>
  <c r="I20" i="12" s="1"/>
  <c r="L20" i="12" s="1"/>
  <c r="O20" i="12" s="1"/>
  <c r="P20" i="12" s="1"/>
  <c r="H8" i="12"/>
  <c r="I8" i="12" s="1"/>
  <c r="L8" i="12" s="1"/>
  <c r="G11" i="13"/>
  <c r="I11" i="13" s="1"/>
  <c r="J11" i="13" s="1"/>
  <c r="L11" i="13" s="1"/>
  <c r="G26" i="13"/>
  <c r="I26" i="13" s="1"/>
  <c r="J26" i="13" s="1"/>
  <c r="L26" i="13" s="1"/>
  <c r="H23" i="12"/>
  <c r="I23" i="12" s="1"/>
  <c r="L23" i="12" s="1"/>
  <c r="O23" i="12" s="1"/>
  <c r="P23" i="12" s="1"/>
  <c r="H37" i="12"/>
  <c r="I37" i="12" s="1"/>
  <c r="L37" i="12" s="1"/>
  <c r="O37" i="12" s="1"/>
  <c r="P37" i="12" s="1"/>
  <c r="G40" i="13"/>
  <c r="I40" i="13" s="1"/>
  <c r="J40" i="13" s="1"/>
  <c r="L40" i="13" s="1"/>
  <c r="G20" i="13"/>
  <c r="I20" i="13" s="1"/>
  <c r="J20" i="13" s="1"/>
  <c r="L20" i="13" s="1"/>
  <c r="H17" i="12"/>
  <c r="I17" i="12" s="1"/>
  <c r="L17" i="12" s="1"/>
  <c r="G13" i="13"/>
  <c r="I13" i="13" s="1"/>
  <c r="J13" i="13" s="1"/>
  <c r="L13" i="13" s="1"/>
  <c r="H10" i="12"/>
  <c r="I10" i="12" s="1"/>
  <c r="L10" i="12" s="1"/>
  <c r="O10" i="12" s="1"/>
  <c r="P10" i="12" s="1"/>
  <c r="G21" i="13"/>
  <c r="I21" i="13" s="1"/>
  <c r="J21" i="13" s="1"/>
  <c r="L21" i="13" s="1"/>
  <c r="H18" i="12"/>
  <c r="I18" i="12" s="1"/>
  <c r="L18" i="12" s="1"/>
  <c r="O18" i="12" s="1"/>
  <c r="P18" i="12" s="1"/>
  <c r="H28" i="12"/>
  <c r="I28" i="12" s="1"/>
  <c r="L28" i="12" s="1"/>
  <c r="O28" i="12" s="1"/>
  <c r="P28" i="12" s="1"/>
  <c r="G31" i="13"/>
  <c r="I31" i="13" s="1"/>
  <c r="J31" i="13" s="1"/>
  <c r="L31" i="13" s="1"/>
  <c r="G28" i="13"/>
  <c r="I28" i="13" s="1"/>
  <c r="J28" i="13" s="1"/>
  <c r="L28" i="13" s="1"/>
  <c r="H25" i="12"/>
  <c r="I25" i="12" s="1"/>
  <c r="L25" i="12" s="1"/>
  <c r="O25" i="12" s="1"/>
  <c r="P25" i="12" s="1"/>
  <c r="G22" i="13"/>
  <c r="I22" i="13" s="1"/>
  <c r="J22" i="13" s="1"/>
  <c r="L22" i="13" s="1"/>
  <c r="H19" i="12"/>
  <c r="I19" i="12" s="1"/>
  <c r="L19" i="12" s="1"/>
  <c r="O19" i="12" s="1"/>
  <c r="P19" i="12" s="1"/>
  <c r="H7" i="12"/>
  <c r="I7" i="12" s="1"/>
  <c r="L7" i="12" s="1"/>
  <c r="G10" i="13"/>
  <c r="I10" i="13" s="1"/>
  <c r="J10" i="13" s="1"/>
  <c r="L10" i="13" s="1"/>
  <c r="G32" i="13"/>
  <c r="I32" i="13" s="1"/>
  <c r="J32" i="13" s="1"/>
  <c r="L32" i="13" s="1"/>
  <c r="H29" i="12"/>
  <c r="I29" i="12" s="1"/>
  <c r="L29" i="12" s="1"/>
  <c r="O29" i="12" s="1"/>
  <c r="P29" i="12" s="1"/>
  <c r="G30" i="13"/>
  <c r="I30" i="13" s="1"/>
  <c r="J30" i="13" s="1"/>
  <c r="L30" i="13" s="1"/>
  <c r="H27" i="12"/>
  <c r="I27" i="12" s="1"/>
  <c r="L27" i="12" s="1"/>
  <c r="O27" i="12" s="1"/>
  <c r="P27" i="12" s="1"/>
  <c r="G33" i="13"/>
  <c r="I33" i="13" s="1"/>
  <c r="J33" i="13" s="1"/>
  <c r="L33" i="13" s="1"/>
  <c r="H30" i="12"/>
  <c r="I30" i="12" s="1"/>
  <c r="L30" i="12" s="1"/>
  <c r="O30" i="12" s="1"/>
  <c r="P30" i="12" s="1"/>
  <c r="G24" i="13"/>
  <c r="I24" i="13" s="1"/>
  <c r="J24" i="13" s="1"/>
  <c r="L24" i="13" s="1"/>
  <c r="H21" i="12"/>
  <c r="I21" i="12" s="1"/>
  <c r="L21" i="12" s="1"/>
  <c r="O21" i="12" s="1"/>
  <c r="P21" i="12" s="1"/>
  <c r="O9" i="12"/>
  <c r="P9" i="12" s="1"/>
  <c r="C26" i="15"/>
  <c r="O6" i="12" l="1"/>
  <c r="C29" i="15"/>
  <c r="O12" i="12"/>
  <c r="P12" i="12" s="1"/>
  <c r="C28" i="15"/>
  <c r="E43" i="14"/>
  <c r="Q33" i="12"/>
  <c r="E28" i="14"/>
  <c r="Q18" i="12"/>
  <c r="E25" i="14"/>
  <c r="Q15" i="12"/>
  <c r="E49" i="14"/>
  <c r="Q39" i="12"/>
  <c r="Q22" i="12"/>
  <c r="E32" i="14"/>
  <c r="C16" i="15"/>
  <c r="C19" i="15"/>
  <c r="C20" i="15"/>
  <c r="E47" i="14"/>
  <c r="Q37" i="12"/>
  <c r="E21" i="14"/>
  <c r="Q11" i="12"/>
  <c r="E37" i="14"/>
  <c r="Q27" i="12"/>
  <c r="E42" i="14"/>
  <c r="Q32" i="12"/>
  <c r="O8" i="12"/>
  <c r="P8" i="12" s="1"/>
  <c r="C30" i="15"/>
  <c r="Q31" i="12"/>
  <c r="E41" i="14"/>
  <c r="O17" i="12"/>
  <c r="P17" i="12" s="1"/>
  <c r="C27" i="15"/>
  <c r="E24" i="14"/>
  <c r="Q14" i="12"/>
  <c r="Q28" i="12"/>
  <c r="E38" i="14"/>
  <c r="E20" i="14"/>
  <c r="Q10" i="12"/>
  <c r="L44" i="13"/>
  <c r="B10" i="15" s="1"/>
  <c r="Q21" i="12"/>
  <c r="E31" i="14"/>
  <c r="E40" i="14"/>
  <c r="Q30" i="12"/>
  <c r="E44" i="14"/>
  <c r="Q34" i="12"/>
  <c r="E39" i="14"/>
  <c r="Q29" i="12"/>
  <c r="E34" i="14"/>
  <c r="Q24" i="12"/>
  <c r="E48" i="14"/>
  <c r="Q38" i="12"/>
  <c r="E45" i="14"/>
  <c r="Q35" i="12"/>
  <c r="O7" i="12"/>
  <c r="P7" i="12" s="1"/>
  <c r="C25" i="15"/>
  <c r="E23" i="14"/>
  <c r="Q13" i="12"/>
  <c r="E35" i="14"/>
  <c r="Q25" i="12"/>
  <c r="C18" i="15"/>
  <c r="Q9" i="12"/>
  <c r="D26" i="15" s="1"/>
  <c r="E19" i="14"/>
  <c r="E26" i="14"/>
  <c r="Q16" i="12"/>
  <c r="E33" i="14"/>
  <c r="Q23" i="12"/>
  <c r="E30" i="14"/>
  <c r="Q20" i="12"/>
  <c r="Q26" i="12"/>
  <c r="E36" i="14"/>
  <c r="E29" i="14"/>
  <c r="Q19" i="12"/>
  <c r="Q36" i="12"/>
  <c r="E46" i="14"/>
  <c r="D9" i="2"/>
  <c r="C9" i="2"/>
  <c r="I21" i="14" l="1"/>
  <c r="H21" i="14"/>
  <c r="H40" i="14"/>
  <c r="I40" i="14"/>
  <c r="H47" i="14"/>
  <c r="I47" i="14"/>
  <c r="I30" i="14"/>
  <c r="H30" i="14"/>
  <c r="I31" i="14"/>
  <c r="H31" i="14"/>
  <c r="I20" i="14"/>
  <c r="H20" i="14"/>
  <c r="I32" i="14"/>
  <c r="H32" i="14"/>
  <c r="H37" i="14"/>
  <c r="I37" i="14"/>
  <c r="I44" i="14"/>
  <c r="H44" i="14"/>
  <c r="H33" i="14"/>
  <c r="I33" i="14"/>
  <c r="I26" i="14"/>
  <c r="H26" i="14"/>
  <c r="I19" i="14"/>
  <c r="H19" i="14"/>
  <c r="I23" i="14"/>
  <c r="H23" i="14"/>
  <c r="H49" i="14"/>
  <c r="I49" i="14"/>
  <c r="I35" i="14"/>
  <c r="H35" i="14"/>
  <c r="I38" i="14"/>
  <c r="H38" i="14"/>
  <c r="H25" i="14"/>
  <c r="I25" i="14"/>
  <c r="E27" i="14"/>
  <c r="Q17" i="12"/>
  <c r="D27" i="15" s="1"/>
  <c r="I45" i="14"/>
  <c r="H45" i="14"/>
  <c r="I41" i="14"/>
  <c r="H41" i="14"/>
  <c r="I28" i="14"/>
  <c r="H28" i="14"/>
  <c r="I29" i="14"/>
  <c r="H29" i="14"/>
  <c r="Q8" i="12"/>
  <c r="D30" i="15" s="1"/>
  <c r="E18" i="14"/>
  <c r="I24" i="14"/>
  <c r="H24" i="14"/>
  <c r="Q7" i="12"/>
  <c r="D25" i="15" s="1"/>
  <c r="E17" i="14"/>
  <c r="I46" i="14"/>
  <c r="H46" i="14"/>
  <c r="I48" i="14"/>
  <c r="H48" i="14"/>
  <c r="I43" i="14"/>
  <c r="H43" i="14"/>
  <c r="H36" i="14"/>
  <c r="I36" i="14"/>
  <c r="H34" i="14"/>
  <c r="I34" i="14"/>
  <c r="E22" i="14"/>
  <c r="Q12" i="12"/>
  <c r="D28" i="15" s="1"/>
  <c r="I42" i="14"/>
  <c r="H42" i="14"/>
  <c r="I39" i="14"/>
  <c r="H39" i="14"/>
  <c r="P6" i="12"/>
  <c r="B15" i="2"/>
  <c r="O41" i="12"/>
  <c r="H27" i="14" l="1"/>
  <c r="I27" i="14"/>
  <c r="I22" i="14"/>
  <c r="H22" i="14"/>
  <c r="H18" i="14"/>
  <c r="I18" i="14"/>
  <c r="I17" i="14"/>
  <c r="H17" i="14"/>
  <c r="G12" i="14"/>
  <c r="H12" i="14" s="1"/>
  <c r="G10" i="14"/>
  <c r="H10" i="14" s="1"/>
  <c r="G9" i="14"/>
  <c r="H9" i="14" s="1"/>
  <c r="E16" i="14"/>
  <c r="Q6" i="12"/>
  <c r="G11" i="14"/>
  <c r="H11" i="14" s="1"/>
  <c r="G7" i="14"/>
  <c r="H7" i="14" s="1"/>
  <c r="P41" i="12"/>
  <c r="B7" i="15" s="1"/>
  <c r="G6" i="14"/>
  <c r="H6" i="14" s="1"/>
  <c r="G8" i="14"/>
  <c r="H8" i="14" s="1"/>
  <c r="Q41" i="12" l="1"/>
  <c r="D29" i="15"/>
  <c r="I16" i="14"/>
  <c r="H16" i="14"/>
  <c r="B11" i="15"/>
  <c r="B16" i="2"/>
  <c r="B9" i="15" l="1"/>
  <c r="B8" i="15"/>
</calcChain>
</file>

<file path=xl/sharedStrings.xml><?xml version="1.0" encoding="utf-8"?>
<sst xmlns="http://schemas.openxmlformats.org/spreadsheetml/2006/main" count="2750" uniqueCount="895">
  <si>
    <t>운영가이드</t>
  </si>
  <si>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DejaVu Sans"/>
        <family val="2"/>
      </rPr>
      <t xml:space="preserve">년 </t>
    </r>
    <r>
      <rPr>
        <sz val="11"/>
        <color rgb="FF000000"/>
        <rFont val="맑은 고딕"/>
        <family val="3"/>
        <charset val="129"/>
      </rPr>
      <t>2</t>
    </r>
    <r>
      <rPr>
        <sz val="11"/>
        <color rgb="FF000000"/>
        <rFont val="DejaVu Sans"/>
        <family val="2"/>
      </rPr>
      <t>회 평가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DejaVu Sans"/>
        <family val="2"/>
      </rPr>
      <t>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하반기</t>
    </r>
    <r>
      <rPr>
        <sz val="11"/>
        <color rgb="FF000000"/>
        <rFont val="맑은 고딕"/>
        <family val="3"/>
        <charset val="129"/>
      </rPr>
      <t xml:space="preserve">) → </t>
    </r>
    <r>
      <rPr>
        <sz val="11"/>
        <color rgb="FF000000"/>
        <rFont val="DejaVu Sans"/>
        <family val="2"/>
      </rPr>
      <t xml:space="preserve">등급 결정 → 임금 조정 → 페이밴드 검증의 </t>
    </r>
    <r>
      <rPr>
        <sz val="11"/>
        <color rgb="FF000000"/>
        <rFont val="맑은 고딕"/>
        <family val="3"/>
        <charset val="129"/>
      </rPr>
      <t xml:space="preserve">End-to-End </t>
    </r>
    <r>
      <rPr>
        <sz val="11"/>
        <color rgb="FF000000"/>
        <rFont val="DejaVu Sans"/>
        <family val="2"/>
      </rPr>
      <t>운영 도구</t>
    </r>
  </si>
  <si>
    <r>
      <rPr>
        <b/>
        <sz val="13"/>
        <color rgb="FFFFFFFF"/>
        <rFont val="DejaVu Sans"/>
        <family val="2"/>
      </rPr>
      <t xml:space="preserve">■ 우리가 하려는 일 </t>
    </r>
    <r>
      <rPr>
        <b/>
        <sz val="13"/>
        <color rgb="FFFFFFFF"/>
        <rFont val="맑은 고딕"/>
        <family val="3"/>
        <charset val="129"/>
      </rPr>
      <t>(</t>
    </r>
    <r>
      <rPr>
        <b/>
        <sz val="13"/>
        <color rgb="FFFFFFFF"/>
        <rFont val="DejaVu Sans"/>
        <family val="2"/>
      </rPr>
      <t xml:space="preserve">핵심 의사결정 </t>
    </r>
    <r>
      <rPr>
        <b/>
        <sz val="13"/>
        <color rgb="FFFFFFFF"/>
        <rFont val="맑은 고딕"/>
        <family val="3"/>
        <charset val="129"/>
      </rPr>
      <t>4</t>
    </r>
    <r>
      <rPr>
        <b/>
        <sz val="13"/>
        <color rgb="FFFFFFFF"/>
        <rFont val="DejaVu Sans"/>
        <family val="2"/>
      </rPr>
      <t>단계</t>
    </r>
    <r>
      <rPr>
        <b/>
        <sz val="13"/>
        <color rgb="FFFFFFFF"/>
        <rFont val="맑은 고딕"/>
        <family val="3"/>
        <charset val="129"/>
      </rPr>
      <t>)</t>
    </r>
  </si>
  <si>
    <t>단계</t>
  </si>
  <si>
    <t>핵심 작업</t>
  </si>
  <si>
    <t>의사결정</t>
  </si>
  <si>
    <t>주요 내용</t>
  </si>
  <si>
    <t>STEP 1</t>
  </si>
  <si>
    <t>평가 실시</t>
  </si>
  <si>
    <r>
      <rPr>
        <sz val="10"/>
        <color rgb="FF000000"/>
        <rFont val="DejaVu Sans"/>
        <family val="2"/>
      </rPr>
      <t xml:space="preserve">연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상반기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하반기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DejaVu Sans"/>
        <family val="2"/>
      </rPr>
      <t xml:space="preserve">개인별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DejaVu Sans"/>
        <family val="2"/>
      </rPr>
      <t>축 평가</t>
    </r>
  </si>
  <si>
    <r>
      <rPr>
        <sz val="10"/>
        <color rgb="FF000000"/>
        <rFont val="DejaVu Sans"/>
        <family val="2"/>
      </rPr>
      <t xml:space="preserve">역할평가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 xml:space="preserve">공통역량평가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>직무역량평가</t>
    </r>
  </si>
  <si>
    <t>STEP 2</t>
  </si>
  <si>
    <t>등급 결정</t>
  </si>
  <si>
    <r>
      <rPr>
        <sz val="10"/>
        <color rgb="FF000000"/>
        <rFont val="DejaVu Sans"/>
        <family val="2"/>
      </rPr>
      <t xml:space="preserve">회사 전체 </t>
    </r>
    <r>
      <rPr>
        <sz val="10"/>
        <color rgb="FF000000"/>
        <rFont val="맑은 고딕"/>
        <family val="3"/>
        <charset val="129"/>
      </rPr>
      <t xml:space="preserve">KPI + </t>
    </r>
    <r>
      <rPr>
        <sz val="10"/>
        <color rgb="FF000000"/>
        <rFont val="DejaVu Sans"/>
        <family val="2"/>
      </rPr>
      <t>개인 평가 결과 종합</t>
    </r>
  </si>
  <si>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DejaVu Sans"/>
        <family val="2"/>
      </rPr>
      <t>축 가중통합 → 최종 등급</t>
    </r>
    <r>
      <rPr>
        <sz val="10"/>
        <color rgb="FF000000"/>
        <rFont val="맑은 고딕"/>
        <family val="3"/>
        <charset val="129"/>
      </rPr>
      <t xml:space="preserve">(S/A/B/C/D) </t>
    </r>
    <r>
      <rPr>
        <sz val="10"/>
        <color rgb="FF000000"/>
        <rFont val="DejaVu Sans"/>
        <family val="2"/>
      </rPr>
      <t>산출</t>
    </r>
  </si>
  <si>
    <t>STEP 3</t>
  </si>
  <si>
    <t>임금 조정</t>
  </si>
  <si>
    <t>평가 등급에 따라 차년도 기본연봉 인상</t>
  </si>
  <si>
    <r>
      <rPr>
        <sz val="10"/>
        <color rgb="FF000000"/>
        <rFont val="맑은 고딕"/>
        <family val="3"/>
        <charset val="129"/>
      </rPr>
      <t xml:space="preserve">S 6% / A 5% / B 4% / C 3% / D 2% (+ </t>
    </r>
    <r>
      <rPr>
        <sz val="10"/>
        <color rgb="FF000000"/>
        <rFont val="DejaVu Sans"/>
        <family val="2"/>
      </rPr>
      <t>승진 가산</t>
    </r>
    <r>
      <rPr>
        <sz val="10"/>
        <color rgb="FF000000"/>
        <rFont val="맑은 고딕"/>
        <family val="3"/>
        <charset val="129"/>
      </rPr>
      <t>)</t>
    </r>
  </si>
  <si>
    <t>STEP 4</t>
  </si>
  <si>
    <t>페이밴드 관리</t>
  </si>
  <si>
    <t>전체 임직원 임금이 역할등급별 범위 내 유지</t>
  </si>
  <si>
    <r>
      <rPr>
        <sz val="10"/>
        <color rgb="FF000000"/>
        <rFont val="맑은 고딕"/>
        <family val="3"/>
        <charset val="129"/>
      </rPr>
      <t xml:space="preserve">Min/Mid/Max </t>
    </r>
    <r>
      <rPr>
        <sz val="10"/>
        <color rgb="FF000000"/>
        <rFont val="DejaVu Sans"/>
        <family val="2"/>
      </rPr>
      <t>검증 → 이탈자 조정 권고</t>
    </r>
  </si>
  <si>
    <r>
      <rPr>
        <b/>
        <sz val="13"/>
        <color rgb="FFFFFFFF"/>
        <rFont val="DejaVu Sans"/>
        <family val="2"/>
      </rPr>
      <t xml:space="preserve">■ 우리가 가진 도구 </t>
    </r>
    <r>
      <rPr>
        <b/>
        <sz val="13"/>
        <color rgb="FFFFFFFF"/>
        <rFont val="맑은 고딕"/>
        <family val="3"/>
        <charset val="129"/>
      </rPr>
      <t>(</t>
    </r>
    <r>
      <rPr>
        <b/>
        <sz val="13"/>
        <color rgb="FFFFFFFF"/>
        <rFont val="DejaVu Sans"/>
        <family val="2"/>
      </rPr>
      <t>산출물</t>
    </r>
    <r>
      <rPr>
        <b/>
        <sz val="13"/>
        <color rgb="FFFFFFFF"/>
        <rFont val="맑은 고딕"/>
        <family val="3"/>
        <charset val="129"/>
      </rPr>
      <t>)</t>
    </r>
  </si>
  <si>
    <t>도구</t>
  </si>
  <si>
    <r>
      <rPr>
        <b/>
        <sz val="11"/>
        <color rgb="FF000000"/>
        <rFont val="DejaVu Sans"/>
        <family val="2"/>
      </rPr>
      <t>파일</t>
    </r>
    <r>
      <rPr>
        <b/>
        <sz val="11"/>
        <color rgb="FF000000"/>
        <rFont val="맑은 고딕"/>
        <family val="3"/>
        <charset val="129"/>
      </rPr>
      <t>/</t>
    </r>
    <r>
      <rPr>
        <b/>
        <sz val="11"/>
        <color rgb="FF000000"/>
        <rFont val="DejaVu Sans"/>
        <family val="2"/>
      </rPr>
      <t>시트</t>
    </r>
  </si>
  <si>
    <r>
      <rPr>
        <b/>
        <sz val="11"/>
        <color rgb="FF000000"/>
        <rFont val="DejaVu Sans"/>
        <family val="2"/>
      </rPr>
      <t>용도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운영 주체</t>
    </r>
  </si>
  <si>
    <t>통합 관리 시트</t>
  </si>
  <si>
    <r>
      <rPr>
        <sz val="11"/>
        <color rgb="FF000000"/>
        <rFont val="DejaVu Sans"/>
        <family val="2"/>
      </rPr>
      <t xml:space="preserve">본 파일 </t>
    </r>
    <r>
      <rPr>
        <sz val="11"/>
        <color rgb="FF000000"/>
        <rFont val="맑은 고딕"/>
        <family val="3"/>
        <charset val="129"/>
      </rPr>
      <t xml:space="preserve">(HR </t>
    </r>
    <r>
      <rPr>
        <sz val="11"/>
        <color rgb="FF000000"/>
        <rFont val="DejaVu Sans"/>
        <family val="2"/>
      </rPr>
      <t xml:space="preserve">통합관리시스템 </t>
    </r>
    <r>
      <rPr>
        <sz val="11"/>
        <color rgb="FF000000"/>
        <rFont val="맑은 고딕"/>
        <family val="3"/>
        <charset val="129"/>
      </rPr>
      <t>v5.xlsx)</t>
    </r>
  </si>
  <si>
    <r>
      <rPr>
        <sz val="10"/>
        <color rgb="FF000000"/>
        <rFont val="맑은 고딕"/>
        <family val="3"/>
        <charset val="129"/>
      </rPr>
      <t xml:space="preserve">HR </t>
    </r>
    <r>
      <rPr>
        <sz val="10"/>
        <color rgb="FF000000"/>
        <rFont val="DejaVu Sans"/>
        <family val="2"/>
      </rPr>
      <t>담당자가 모든 평가 결과를 모아 종합 등급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인상률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페이밴드를 산출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>본 파일</t>
    </r>
    <r>
      <rPr>
        <sz val="10"/>
        <color rgb="FF000000"/>
        <rFont val="맑은 고딕"/>
        <family val="3"/>
        <charset val="129"/>
      </rPr>
      <t>.</t>
    </r>
  </si>
  <si>
    <t>직무별 평가지</t>
  </si>
  <si>
    <r>
      <rPr>
        <sz val="11"/>
        <color rgb="FF000000"/>
        <rFont val="DejaVu Sans"/>
        <family val="2"/>
      </rPr>
      <t>평가지</t>
    </r>
    <r>
      <rPr>
        <sz val="11"/>
        <color rgb="FF000000"/>
        <rFont val="맑은 고딕"/>
        <family val="3"/>
        <charset val="129"/>
      </rPr>
      <t>_2026_v2/</t>
    </r>
    <r>
      <rPr>
        <sz val="11"/>
        <color rgb="FF000000"/>
        <rFont val="DejaVu Sans"/>
        <family val="2"/>
      </rPr>
      <t>평가지</t>
    </r>
    <r>
      <rPr>
        <sz val="11"/>
        <color rgb="FF000000"/>
        <rFont val="맑은 고딕"/>
        <family val="3"/>
        <charset val="129"/>
      </rPr>
      <t>_{</t>
    </r>
    <r>
      <rPr>
        <sz val="11"/>
        <color rgb="FF000000"/>
        <rFont val="DejaVu Sans"/>
        <family val="2"/>
      </rPr>
      <t>부서</t>
    </r>
    <r>
      <rPr>
        <sz val="11"/>
        <color rgb="FF000000"/>
        <rFont val="맑은 고딕"/>
        <family val="3"/>
        <charset val="129"/>
      </rPr>
      <t>}_2026_v2.xlsx (</t>
    </r>
    <r>
      <rPr>
        <sz val="11"/>
        <color rgb="FF000000"/>
        <rFont val="DejaVu Sans"/>
        <family val="2"/>
      </rPr>
      <t xml:space="preserve">부서별 </t>
    </r>
    <r>
      <rPr>
        <sz val="11"/>
        <color rgb="FF000000"/>
        <rFont val="맑은 고딕"/>
        <family val="3"/>
        <charset val="129"/>
      </rPr>
      <t>6</t>
    </r>
    <r>
      <rPr>
        <sz val="11"/>
        <color rgb="FF000000"/>
        <rFont val="DejaVu Sans"/>
        <family val="2"/>
      </rPr>
      <t>종</t>
    </r>
    <r>
      <rPr>
        <sz val="11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</si>
  <si>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부서장</t>
    </r>
    <r>
      <rPr>
        <sz val="10"/>
        <color rgb="FF000000"/>
        <rFont val="맑은 고딕"/>
        <family val="3"/>
        <charset val="129"/>
      </rPr>
      <t>(1·2</t>
    </r>
    <r>
      <rPr>
        <sz val="10"/>
        <color rgb="FF000000"/>
        <rFont val="DejaVu Sans"/>
        <family val="2"/>
      </rPr>
      <t>차 평가자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이 작성</t>
    </r>
    <r>
      <rPr>
        <sz val="10"/>
        <color rgb="FF000000"/>
        <rFont val="맑은 고딕"/>
        <family val="3"/>
        <charset val="129"/>
      </rPr>
      <t>. HR</t>
    </r>
    <r>
      <rPr>
        <sz val="10"/>
        <color rgb="FF000000"/>
        <rFont val="DejaVu Sans"/>
        <family val="2"/>
      </rPr>
      <t>이 배포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 xml:space="preserve">회수 후 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DejaVu Sans"/>
        <family val="2"/>
      </rPr>
      <t>복사용 행</t>
    </r>
    <r>
      <rPr>
        <sz val="10"/>
        <color rgb="FF000000"/>
        <rFont val="맑은 고딕"/>
        <family val="3"/>
        <charset val="129"/>
      </rPr>
      <t>]</t>
    </r>
    <r>
      <rPr>
        <sz val="10"/>
        <color rgb="FF000000"/>
        <rFont val="DejaVu Sans"/>
        <family val="2"/>
      </rPr>
      <t>을 통합시트에 옮김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</si>
  <si>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3"/>
        <color rgb="FFFFFFFF"/>
        <rFont val="맑은 고딕"/>
        <family val="3"/>
        <charset val="129"/>
      </rPr>
      <t xml:space="preserve">■ HR </t>
    </r>
    <r>
      <rPr>
        <b/>
        <sz val="13"/>
        <color rgb="FFFFFFFF"/>
        <rFont val="DejaVu Sans"/>
        <family val="2"/>
      </rPr>
      <t xml:space="preserve">담당자 운영 흐름 </t>
    </r>
    <r>
      <rPr>
        <b/>
        <sz val="13"/>
        <color rgb="FFFFFFFF"/>
        <rFont val="맑은 고딕"/>
        <family val="3"/>
        <charset val="129"/>
      </rPr>
      <t>(</t>
    </r>
    <r>
      <rPr>
        <b/>
        <sz val="13"/>
        <color rgb="FFFFFFFF"/>
        <rFont val="DejaVu Sans"/>
        <family val="2"/>
      </rPr>
      <t>한 평가 사이클</t>
    </r>
    <r>
      <rPr>
        <b/>
        <sz val="13"/>
        <color rgb="FFFFFFFF"/>
        <rFont val="맑은 고딕"/>
        <family val="3"/>
        <charset val="129"/>
      </rPr>
      <t>)</t>
    </r>
  </si>
  <si>
    <t>내용</t>
  </si>
  <si>
    <t>① 준비</t>
  </si>
  <si>
    <r>
      <rPr>
        <sz val="10"/>
        <color rgb="FF000000"/>
        <rFont val="맑은 고딕"/>
        <family val="3"/>
        <charset val="129"/>
      </rPr>
      <t>01_</t>
    </r>
    <r>
      <rPr>
        <sz val="10"/>
        <color rgb="FF000000"/>
        <rFont val="DejaVu Sans"/>
        <family val="2"/>
      </rPr>
      <t xml:space="preserve">인적정보 확인 </t>
    </r>
    <r>
      <rPr>
        <sz val="10"/>
        <color rgb="FF000000"/>
        <rFont val="맑은 고딕"/>
        <family val="3"/>
        <charset val="129"/>
      </rPr>
      <t>+ 15_</t>
    </r>
    <r>
      <rPr>
        <sz val="10"/>
        <color rgb="FF000000"/>
        <rFont val="DejaVu Sans"/>
        <family val="2"/>
      </rPr>
      <t xml:space="preserve">직원별책무매핑에서 직원별 메인 책무 </t>
    </r>
    <r>
      <rPr>
        <sz val="10"/>
        <color rgb="FF000000"/>
        <rFont val="맑은 고딕"/>
        <family val="3"/>
        <charset val="129"/>
      </rPr>
      <t xml:space="preserve">O/X </t>
    </r>
    <r>
      <rPr>
        <sz val="10"/>
        <color rgb="FF000000"/>
        <rFont val="DejaVu Sans"/>
        <family val="2"/>
      </rPr>
      <t>선택</t>
    </r>
  </si>
  <si>
    <t>② 배포</t>
  </si>
  <si>
    <r>
      <rPr>
        <sz val="10"/>
        <color rgb="FF000000"/>
        <rFont val="DejaVu Sans"/>
        <family val="2"/>
      </rPr>
      <t>평가지</t>
    </r>
    <r>
      <rPr>
        <sz val="10"/>
        <color rgb="FF000000"/>
        <rFont val="맑은 고딕"/>
        <family val="3"/>
        <charset val="129"/>
      </rPr>
      <t>_{</t>
    </r>
    <r>
      <rPr>
        <sz val="10"/>
        <color rgb="FF000000"/>
        <rFont val="DejaVu Sans"/>
        <family val="2"/>
      </rPr>
      <t>부서</t>
    </r>
    <r>
      <rPr>
        <sz val="10"/>
        <color rgb="FF000000"/>
        <rFont val="맑은 고딕"/>
        <family val="3"/>
        <charset val="129"/>
      </rPr>
      <t>}_2026_v2.xlsx 6</t>
    </r>
    <r>
      <rPr>
        <sz val="10"/>
        <color rgb="FF000000"/>
        <rFont val="DejaVu Sans"/>
        <family val="2"/>
      </rPr>
      <t xml:space="preserve">개 파일을 각 부서장에게 배포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이메일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공유폴더</t>
    </r>
    <r>
      <rPr>
        <sz val="10"/>
        <color rgb="FF000000"/>
        <rFont val="맑은 고딕"/>
        <family val="3"/>
        <charset val="129"/>
      </rPr>
      <t>)</t>
    </r>
  </si>
  <si>
    <t>③ 평가</t>
  </si>
  <si>
    <r>
      <rPr>
        <sz val="10"/>
        <color rgb="FF000000"/>
        <rFont val="DejaVu Sans"/>
        <family val="2"/>
      </rPr>
      <t>부서장</t>
    </r>
    <r>
      <rPr>
        <sz val="10"/>
        <color rgb="FF000000"/>
        <rFont val="맑은 고딕"/>
        <family val="3"/>
        <charset val="129"/>
      </rPr>
      <t>(1·2</t>
    </r>
    <r>
      <rPr>
        <sz val="10"/>
        <color rgb="FF000000"/>
        <rFont val="DejaVu Sans"/>
        <family val="2"/>
      </rPr>
      <t>차 평가자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이 각자 등급</t>
    </r>
    <r>
      <rPr>
        <sz val="10"/>
        <color rgb="FF000000"/>
        <rFont val="맑은 고딕"/>
        <family val="3"/>
        <charset val="129"/>
      </rPr>
      <t xml:space="preserve">(S/A/B/C/D) </t>
    </r>
    <r>
      <rPr>
        <sz val="10"/>
        <color rgb="FF000000"/>
        <rFont val="DejaVu Sans"/>
        <family val="2"/>
      </rPr>
      <t>입력 → 시트가 가중평균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등급 자동 산출</t>
    </r>
  </si>
  <si>
    <t>④ 회수</t>
  </si>
  <si>
    <r>
      <rPr>
        <sz val="10"/>
        <color rgb="FF000000"/>
        <rFont val="DejaVu Sans"/>
        <family val="2"/>
      </rPr>
      <t xml:space="preserve">평가지 회수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 xml:space="preserve">보통 평가 마감 후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주일 내</t>
    </r>
    <r>
      <rPr>
        <sz val="10"/>
        <color rgb="FF000000"/>
        <rFont val="맑은 고딕"/>
        <family val="3"/>
        <charset val="129"/>
      </rPr>
      <t>)</t>
    </r>
  </si>
  <si>
    <t>⑤ 입력</t>
  </si>
  <si>
    <r>
      <rPr>
        <sz val="10"/>
        <color rgb="FF000000"/>
        <rFont val="DejaVu Sans"/>
        <family val="2"/>
      </rPr>
      <t xml:space="preserve">각 평가지 직원 시트 하단 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DejaVu Sans"/>
        <family val="2"/>
      </rPr>
      <t>복사용 입력 행</t>
    </r>
    <r>
      <rPr>
        <sz val="10"/>
        <color rgb="FF000000"/>
        <rFont val="맑은 고딕"/>
        <family val="3"/>
        <charset val="129"/>
      </rPr>
      <t>] A~U 21</t>
    </r>
    <r>
      <rPr>
        <sz val="10"/>
        <color rgb="FF000000"/>
        <rFont val="DejaVu Sans"/>
        <family val="2"/>
      </rPr>
      <t xml:space="preserve">개 셀 통째 복사 → 본 파일 </t>
    </r>
    <r>
      <rPr>
        <sz val="10"/>
        <color rgb="FF000000"/>
        <rFont val="맑은 고딕"/>
        <family val="3"/>
        <charset val="129"/>
      </rPr>
      <t>07a/07b</t>
    </r>
    <r>
      <rPr>
        <sz val="10"/>
        <color rgb="FF000000"/>
        <rFont val="DejaVu Sans"/>
        <family val="2"/>
      </rPr>
      <t xml:space="preserve">의 해당 사번 행 </t>
    </r>
    <r>
      <rPr>
        <sz val="10"/>
        <color rgb="FF000000"/>
        <rFont val="맑은 고딕"/>
        <family val="3"/>
        <charset val="129"/>
      </rPr>
      <t>G~AA</t>
    </r>
    <r>
      <rPr>
        <sz val="10"/>
        <color rgb="FF000000"/>
        <rFont val="DejaVu Sans"/>
        <family val="2"/>
      </rPr>
      <t xml:space="preserve">에 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DejaVu Sans"/>
        <family val="2"/>
      </rPr>
      <t>값 붙여넣기</t>
    </r>
    <r>
      <rPr>
        <sz val="10"/>
        <color rgb="FF000000"/>
        <rFont val="맑은 고딕"/>
        <family val="3"/>
        <charset val="129"/>
      </rPr>
      <t>]</t>
    </r>
  </si>
  <si>
    <t>⑥ 점검</t>
  </si>
  <si>
    <r>
      <rPr>
        <sz val="10"/>
        <color rgb="FF000000"/>
        <rFont val="맑은 고딕"/>
        <family val="3"/>
        <charset val="129"/>
      </rPr>
      <t>00_</t>
    </r>
    <r>
      <rPr>
        <sz val="10"/>
        <color rgb="FF000000"/>
        <rFont val="DejaVu Sans"/>
        <family val="2"/>
      </rPr>
      <t>운영현황판에서 누락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이상 알림 확인 → 보완</t>
    </r>
  </si>
  <si>
    <t>⑦ 결과 확인</t>
  </si>
  <si>
    <r>
      <rPr>
        <sz val="10"/>
        <color rgb="FF000000"/>
        <rFont val="맑은 고딕"/>
        <family val="3"/>
        <charset val="129"/>
      </rPr>
      <t>08_</t>
    </r>
    <r>
      <rPr>
        <sz val="10"/>
        <color rgb="FF000000"/>
        <rFont val="DejaVu Sans"/>
        <family val="2"/>
      </rPr>
      <t xml:space="preserve">종합평가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최종등급</t>
    </r>
    <r>
      <rPr>
        <sz val="10"/>
        <color rgb="FF000000"/>
        <rFont val="맑은 고딕"/>
        <family val="3"/>
        <charset val="129"/>
      </rPr>
      <t>) / 09_</t>
    </r>
    <r>
      <rPr>
        <sz val="10"/>
        <color rgb="FF000000"/>
        <rFont val="DejaVu Sans"/>
        <family val="2"/>
      </rPr>
      <t xml:space="preserve">보상연계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인상률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신규연봉</t>
    </r>
    <r>
      <rPr>
        <sz val="10"/>
        <color rgb="FF000000"/>
        <rFont val="맑은 고딕"/>
        <family val="3"/>
        <charset val="129"/>
      </rPr>
      <t>) / 10_</t>
    </r>
    <r>
      <rPr>
        <sz val="10"/>
        <color rgb="FF000000"/>
        <rFont val="DejaVu Sans"/>
        <family val="2"/>
      </rPr>
      <t xml:space="preserve">성과급관리 </t>
    </r>
    <r>
      <rPr>
        <sz val="10"/>
        <color rgb="FF000000"/>
        <rFont val="맑은 고딕"/>
        <family val="3"/>
        <charset val="129"/>
      </rPr>
      <t>/ 11_</t>
    </r>
    <r>
      <rPr>
        <sz val="10"/>
        <color rgb="FF000000"/>
        <rFont val="DejaVu Sans"/>
        <family val="2"/>
      </rPr>
      <t xml:space="preserve">페이밴드검증 </t>
    </r>
    <r>
      <rPr>
        <sz val="10"/>
        <color rgb="FF000000"/>
        <rFont val="맑은 고딕"/>
        <family val="3"/>
        <charset val="129"/>
      </rPr>
      <t>/ 12_</t>
    </r>
    <r>
      <rPr>
        <sz val="10"/>
        <color rgb="FF000000"/>
        <rFont val="DejaVu Sans"/>
        <family val="2"/>
      </rPr>
      <t>시뮬레이션</t>
    </r>
  </si>
  <si>
    <r>
      <rPr>
        <b/>
        <sz val="13"/>
        <color rgb="FFFFFFFF"/>
        <rFont val="DejaVu Sans"/>
        <family val="2"/>
      </rPr>
      <t xml:space="preserve">■ 본 파일 시트 역할 </t>
    </r>
    <r>
      <rPr>
        <b/>
        <sz val="13"/>
        <color rgb="FFFFFFFF"/>
        <rFont val="맑은 고딕"/>
        <family val="3"/>
        <charset val="129"/>
      </rPr>
      <t>(18</t>
    </r>
    <r>
      <rPr>
        <b/>
        <sz val="13"/>
        <color rgb="FFFFFFFF"/>
        <rFont val="DejaVu Sans"/>
        <family val="2"/>
      </rPr>
      <t>개</t>
    </r>
    <r>
      <rPr>
        <b/>
        <sz val="13"/>
        <color rgb="FFFFFFFF"/>
        <rFont val="맑은 고딕"/>
        <family val="3"/>
        <charset val="129"/>
      </rPr>
      <t>)</t>
    </r>
  </si>
  <si>
    <t>시트</t>
  </si>
  <si>
    <t>역할</t>
  </si>
  <si>
    <t>유형</t>
  </si>
  <si>
    <r>
      <rPr>
        <b/>
        <sz val="11"/>
        <color rgb="FF000000"/>
        <rFont val="맑은 고딕"/>
        <family val="3"/>
        <charset val="129"/>
      </rPr>
      <t>00_</t>
    </r>
    <r>
      <rPr>
        <b/>
        <sz val="11"/>
        <color rgb="FF000000"/>
        <rFont val="DejaVu Sans"/>
        <family val="2"/>
      </rPr>
      <t>운영가이드</t>
    </r>
  </si>
  <si>
    <r>
      <rPr>
        <sz val="10"/>
        <color rgb="FF000000"/>
        <rFont val="DejaVu Sans"/>
        <family val="2"/>
      </rPr>
      <t xml:space="preserve">본 시트 </t>
    </r>
    <r>
      <rPr>
        <sz val="10"/>
        <color rgb="FF000000"/>
        <rFont val="맑은 고딕"/>
        <family val="3"/>
        <charset val="129"/>
      </rPr>
      <t xml:space="preserve">- </t>
    </r>
    <r>
      <rPr>
        <sz val="10"/>
        <color rgb="FF000000"/>
        <rFont val="DejaVu Sans"/>
        <family val="2"/>
      </rPr>
      <t>운영 흐름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시트 안내</t>
    </r>
  </si>
  <si>
    <t>안내</t>
  </si>
  <si>
    <r>
      <rPr>
        <b/>
        <sz val="11"/>
        <color rgb="FF000000"/>
        <rFont val="맑은 고딕"/>
        <family val="3"/>
        <charset val="129"/>
      </rPr>
      <t>00_</t>
    </r>
    <r>
      <rPr>
        <b/>
        <sz val="11"/>
        <color rgb="FF000000"/>
        <rFont val="DejaVu Sans"/>
        <family val="2"/>
      </rPr>
      <t>운영현황판</t>
    </r>
  </si>
  <si>
    <r>
      <rPr>
        <sz val="10"/>
        <color rgb="FF000000"/>
        <rFont val="DejaVu Sans"/>
        <family val="2"/>
      </rPr>
      <t>평가 진행률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이상 알림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등급 분포 한눈에</t>
    </r>
  </si>
  <si>
    <t>대시보드</t>
  </si>
  <si>
    <r>
      <rPr>
        <b/>
        <sz val="11"/>
        <color rgb="FF000000"/>
        <rFont val="맑은 고딕"/>
        <family val="3"/>
        <charset val="129"/>
      </rPr>
      <t>01_</t>
    </r>
    <r>
      <rPr>
        <b/>
        <sz val="11"/>
        <color rgb="FF000000"/>
        <rFont val="DejaVu Sans"/>
        <family val="2"/>
      </rPr>
      <t>인적정보</t>
    </r>
  </si>
  <si>
    <r>
      <rPr>
        <sz val="10"/>
        <color rgb="FF000000"/>
        <rFont val="DejaVu Sans"/>
        <family val="2"/>
      </rPr>
      <t>직원 마스터</t>
    </r>
    <r>
      <rPr>
        <sz val="10"/>
        <color rgb="FF000000"/>
        <rFont val="맑은 고딕"/>
        <family val="3"/>
        <charset val="129"/>
      </rPr>
      <t>(34</t>
    </r>
    <r>
      <rPr>
        <sz val="10"/>
        <color rgb="FF000000"/>
        <rFont val="DejaVu Sans"/>
        <family val="2"/>
      </rPr>
      <t>명</t>
    </r>
    <r>
      <rPr>
        <sz val="10"/>
        <color rgb="FF000000"/>
        <rFont val="맑은 고딕"/>
        <family val="3"/>
        <charset val="129"/>
      </rPr>
      <t xml:space="preserve">). </t>
    </r>
    <r>
      <rPr>
        <sz val="10"/>
        <color rgb="FF000000"/>
        <rFont val="DejaVu Sans"/>
        <family val="2"/>
      </rPr>
      <t>사번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역할등급 입력</t>
    </r>
  </si>
  <si>
    <r>
      <rPr>
        <b/>
        <sz val="10"/>
        <color rgb="FF000000"/>
        <rFont val="맑은 고딕"/>
        <family val="3"/>
        <charset val="129"/>
      </rPr>
      <t xml:space="preserve">HR </t>
    </r>
    <r>
      <rPr>
        <b/>
        <sz val="10"/>
        <color rgb="FF000000"/>
        <rFont val="DejaVu Sans"/>
        <family val="2"/>
      </rPr>
      <t>입력</t>
    </r>
  </si>
  <si>
    <r>
      <rPr>
        <b/>
        <sz val="11"/>
        <color rgb="FF000000"/>
        <rFont val="맑은 고딕"/>
        <family val="3"/>
        <charset val="129"/>
      </rPr>
      <t>02_</t>
    </r>
    <r>
      <rPr>
        <b/>
        <sz val="11"/>
        <color rgb="FF000000"/>
        <rFont val="DejaVu Sans"/>
        <family val="2"/>
      </rPr>
      <t>의사결정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종합결과</t>
    </r>
  </si>
  <si>
    <r>
      <rPr>
        <sz val="10"/>
        <color rgb="FF000000"/>
        <rFont val="DejaVu Sans"/>
        <family val="2"/>
      </rPr>
      <t>가중치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인상률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페이밴드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평가자 비중 설정</t>
    </r>
  </si>
  <si>
    <r>
      <rPr>
        <b/>
        <sz val="11"/>
        <color rgb="FF000000"/>
        <rFont val="맑은 고딕"/>
        <family val="3"/>
        <charset val="129"/>
      </rPr>
      <t>03_</t>
    </r>
    <r>
      <rPr>
        <b/>
        <sz val="11"/>
        <color rgb="FF000000"/>
        <rFont val="DejaVu Sans"/>
        <family val="2"/>
      </rPr>
      <t>전사업적평가</t>
    </r>
  </si>
  <si>
    <r>
      <rPr>
        <sz val="10"/>
        <color rgb="FF000000"/>
        <rFont val="DejaVu Sans"/>
        <family val="2"/>
      </rPr>
      <t xml:space="preserve">전사 </t>
    </r>
    <r>
      <rPr>
        <sz val="10"/>
        <color rgb="FF000000"/>
        <rFont val="맑은 고딕"/>
        <family val="3"/>
        <charset val="129"/>
      </rPr>
      <t xml:space="preserve">KPI </t>
    </r>
    <r>
      <rPr>
        <sz val="10"/>
        <color rgb="FF000000"/>
        <rFont val="DejaVu Sans"/>
        <family val="2"/>
      </rPr>
      <t>실적 입력 → 성과급 재원 가산</t>
    </r>
  </si>
  <si>
    <r>
      <rPr>
        <b/>
        <sz val="11"/>
        <color rgb="FF000000"/>
        <rFont val="맑은 고딕"/>
        <family val="3"/>
        <charset val="129"/>
      </rPr>
      <t>04_</t>
    </r>
    <r>
      <rPr>
        <b/>
        <sz val="11"/>
        <color rgb="FF000000"/>
        <rFont val="DejaVu Sans"/>
        <family val="2"/>
      </rPr>
      <t>역할평가</t>
    </r>
  </si>
  <si>
    <r>
      <rPr>
        <sz val="10"/>
        <color rgb="FF000000"/>
        <rFont val="DejaVu Sans"/>
        <family val="2"/>
      </rPr>
      <t xml:space="preserve">자동 산출 </t>
    </r>
    <r>
      <rPr>
        <sz val="10"/>
        <color rgb="FF000000"/>
        <rFont val="맑은 고딕"/>
        <family val="3"/>
        <charset val="129"/>
      </rPr>
      <t xml:space="preserve">(07a/07b </t>
    </r>
    <r>
      <rPr>
        <sz val="10"/>
        <color rgb="FF000000"/>
        <rFont val="DejaVu Sans"/>
        <family val="2"/>
      </rPr>
      <t>입력값 기반</t>
    </r>
    <r>
      <rPr>
        <sz val="10"/>
        <color rgb="FF000000"/>
        <rFont val="맑은 고딕"/>
        <family val="3"/>
        <charset val="129"/>
      </rPr>
      <t>)</t>
    </r>
  </si>
  <si>
    <t>자동</t>
  </si>
  <si>
    <r>
      <rPr>
        <b/>
        <sz val="11"/>
        <color rgb="FF000000"/>
        <rFont val="맑은 고딕"/>
        <family val="3"/>
        <charset val="129"/>
      </rPr>
      <t>05_</t>
    </r>
    <r>
      <rPr>
        <b/>
        <sz val="11"/>
        <color rgb="FF000000"/>
        <rFont val="DejaVu Sans"/>
        <family val="2"/>
      </rPr>
      <t>공통역량평가</t>
    </r>
  </si>
  <si>
    <r>
      <rPr>
        <sz val="10"/>
        <color rgb="FF000000"/>
        <rFont val="DejaVu Sans"/>
        <family val="2"/>
      </rPr>
      <t xml:space="preserve">자동 산출 </t>
    </r>
    <r>
      <rPr>
        <sz val="10"/>
        <color rgb="FF000000"/>
        <rFont val="맑은 고딕"/>
        <family val="3"/>
        <charset val="129"/>
      </rPr>
      <t>(11</t>
    </r>
    <r>
      <rPr>
        <sz val="10"/>
        <color rgb="FF000000"/>
        <rFont val="DejaVu Sans"/>
        <family val="2"/>
      </rPr>
      <t>개 역량 가중합산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</si>
  <si>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1"/>
        <color rgb="FF000000"/>
        <rFont val="맑은 고딕"/>
        <family val="3"/>
        <charset val="129"/>
      </rPr>
      <t>06_</t>
    </r>
    <r>
      <rPr>
        <b/>
        <sz val="11"/>
        <color rgb="FF000000"/>
        <rFont val="DejaVu Sans"/>
        <family val="2"/>
      </rPr>
      <t>직무역량평가</t>
    </r>
  </si>
  <si>
    <r>
      <rPr>
        <sz val="10"/>
        <color rgb="FF000000"/>
        <rFont val="DejaVu Sans"/>
        <family val="2"/>
      </rPr>
      <t xml:space="preserve">자동 산출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개인별 메인 책무 평균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</si>
  <si>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1"/>
        <color rgb="FF000000"/>
        <rFont val="맑은 고딕"/>
        <family val="3"/>
        <charset val="129"/>
      </rPr>
      <t>07a_</t>
    </r>
    <r>
      <rPr>
        <b/>
        <sz val="11"/>
        <color rgb="FF000000"/>
        <rFont val="DejaVu Sans"/>
        <family val="2"/>
      </rPr>
      <t>상반기입력</t>
    </r>
  </si>
  <si>
    <r>
      <rPr>
        <sz val="10"/>
        <color rgb="FF000000"/>
        <rFont val="DejaVu Sans"/>
        <family val="2"/>
      </rPr>
      <t xml:space="preserve">부서별 평가지의 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DejaVu Sans"/>
        <family val="2"/>
      </rPr>
      <t>복사용 행</t>
    </r>
    <r>
      <rPr>
        <sz val="10"/>
        <color rgb="FF000000"/>
        <rFont val="맑은 고딕"/>
        <family val="3"/>
        <charset val="129"/>
      </rPr>
      <t>]</t>
    </r>
    <r>
      <rPr>
        <sz val="10"/>
        <color rgb="FF000000"/>
        <rFont val="DejaVu Sans"/>
        <family val="2"/>
      </rPr>
      <t xml:space="preserve">을 여기 </t>
    </r>
    <r>
      <rPr>
        <sz val="10"/>
        <color rgb="FF000000"/>
        <rFont val="맑은 고딕"/>
        <family val="3"/>
        <charset val="129"/>
      </rPr>
      <t>G~AA</t>
    </r>
    <r>
      <rPr>
        <sz val="10"/>
        <color rgb="FF000000"/>
        <rFont val="DejaVu Sans"/>
        <family val="2"/>
      </rPr>
      <t>에 붙여넣기</t>
    </r>
  </si>
  <si>
    <r>
      <rPr>
        <b/>
        <sz val="10"/>
        <color rgb="FF000000"/>
        <rFont val="맑은 고딕"/>
        <family val="3"/>
        <charset val="129"/>
      </rPr>
      <t xml:space="preserve">HR </t>
    </r>
    <r>
      <rPr>
        <b/>
        <sz val="10"/>
        <color rgb="FF000000"/>
        <rFont val="DejaVu Sans"/>
        <family val="2"/>
      </rPr>
      <t xml:space="preserve">입력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핵심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</si>
  <si>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1"/>
        <color rgb="FF000000"/>
        <rFont val="맑은 고딕"/>
        <family val="3"/>
        <charset val="129"/>
      </rPr>
      <t>07b_</t>
    </r>
    <r>
      <rPr>
        <b/>
        <sz val="11"/>
        <color rgb="FF000000"/>
        <rFont val="DejaVu Sans"/>
        <family val="2"/>
      </rPr>
      <t>하반기입력</t>
    </r>
  </si>
  <si>
    <t>하반기 동일 구조</t>
  </si>
  <si>
    <r>
      <rPr>
        <b/>
        <sz val="11"/>
        <color rgb="FF000000"/>
        <rFont val="맑은 고딕"/>
        <family val="3"/>
        <charset val="129"/>
      </rPr>
      <t>08_</t>
    </r>
    <r>
      <rPr>
        <b/>
        <sz val="11"/>
        <color rgb="FF000000"/>
        <rFont val="DejaVu Sans"/>
        <family val="2"/>
      </rPr>
      <t>종합평가</t>
    </r>
  </si>
  <si>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DejaVu Sans"/>
        <family val="2"/>
      </rPr>
      <t>축 가중통합 → 최종 등급</t>
    </r>
  </si>
  <si>
    <r>
      <rPr>
        <b/>
        <sz val="11"/>
        <color rgb="FF000000"/>
        <rFont val="맑은 고딕"/>
        <family val="3"/>
        <charset val="129"/>
      </rPr>
      <t>09_</t>
    </r>
    <r>
      <rPr>
        <b/>
        <sz val="11"/>
        <color rgb="FF000000"/>
        <rFont val="DejaVu Sans"/>
        <family val="2"/>
      </rPr>
      <t>보상연계</t>
    </r>
  </si>
  <si>
    <t>등급 → 인상률 → 차년도 연봉 자동 산출</t>
  </si>
  <si>
    <r>
      <rPr>
        <b/>
        <sz val="11"/>
        <color rgb="FF000000"/>
        <rFont val="맑은 고딕"/>
        <family val="3"/>
        <charset val="129"/>
      </rPr>
      <t>10_</t>
    </r>
    <r>
      <rPr>
        <b/>
        <sz val="11"/>
        <color rgb="FF000000"/>
        <rFont val="DejaVu Sans"/>
        <family val="2"/>
      </rPr>
      <t>성과급관리</t>
    </r>
  </si>
  <si>
    <r>
      <rPr>
        <sz val="10"/>
        <color rgb="FF000000"/>
        <rFont val="DejaVu Sans"/>
        <family val="2"/>
      </rPr>
      <t xml:space="preserve">등급별 성과급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 xml:space="preserve">전사 </t>
    </r>
    <r>
      <rPr>
        <sz val="10"/>
        <color rgb="FF000000"/>
        <rFont val="맑은 고딕"/>
        <family val="3"/>
        <charset val="129"/>
      </rPr>
      <t xml:space="preserve">KPI </t>
    </r>
    <r>
      <rPr>
        <sz val="10"/>
        <color rgb="FF000000"/>
        <rFont val="DejaVu Sans"/>
        <family val="2"/>
      </rPr>
      <t>가산</t>
    </r>
  </si>
  <si>
    <r>
      <rPr>
        <b/>
        <sz val="11"/>
        <color rgb="FF000000"/>
        <rFont val="맑은 고딕"/>
        <family val="3"/>
        <charset val="129"/>
      </rPr>
      <t>11_</t>
    </r>
    <r>
      <rPr>
        <b/>
        <sz val="11"/>
        <color rgb="FF000000"/>
        <rFont val="DejaVu Sans"/>
        <family val="2"/>
      </rPr>
      <t>페이밴드검증</t>
    </r>
  </si>
  <si>
    <r>
      <rPr>
        <sz val="10"/>
        <color rgb="FF000000"/>
        <rFont val="DejaVu Sans"/>
        <family val="2"/>
      </rPr>
      <t>이탈자 명단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조정 권고액 자동</t>
    </r>
  </si>
  <si>
    <r>
      <rPr>
        <b/>
        <sz val="11"/>
        <color rgb="FF000000"/>
        <rFont val="맑은 고딕"/>
        <family val="3"/>
        <charset val="129"/>
      </rPr>
      <t>12_</t>
    </r>
    <r>
      <rPr>
        <b/>
        <sz val="11"/>
        <color rgb="FF000000"/>
        <rFont val="DejaVu Sans"/>
        <family val="2"/>
      </rPr>
      <t>시뮬레이션</t>
    </r>
  </si>
  <si>
    <r>
      <rPr>
        <sz val="10"/>
        <color rgb="FF000000"/>
        <rFont val="맑은 고딕"/>
        <family val="3"/>
        <charset val="129"/>
      </rPr>
      <t xml:space="preserve">End-to-End </t>
    </r>
    <r>
      <rPr>
        <sz val="10"/>
        <color rgb="FF000000"/>
        <rFont val="DejaVu Sans"/>
        <family val="2"/>
      </rPr>
      <t xml:space="preserve">결과 요약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>부서별 평균</t>
    </r>
  </si>
  <si>
    <r>
      <rPr>
        <b/>
        <sz val="11"/>
        <color rgb="FF000000"/>
        <rFont val="맑은 고딕"/>
        <family val="3"/>
        <charset val="129"/>
      </rPr>
      <t>13_</t>
    </r>
    <r>
      <rPr>
        <b/>
        <sz val="11"/>
        <color rgb="FF000000"/>
        <rFont val="DejaVu Sans"/>
        <family val="2"/>
      </rPr>
      <t>직무역할</t>
    </r>
    <r>
      <rPr>
        <b/>
        <sz val="11"/>
        <color rgb="FF000000"/>
        <rFont val="맑은 고딕"/>
        <family val="3"/>
        <charset val="129"/>
      </rPr>
      <t>DB</t>
    </r>
  </si>
  <si>
    <r>
      <rPr>
        <sz val="10"/>
        <color rgb="FF000000"/>
        <rFont val="DejaVu Sans"/>
        <family val="2"/>
      </rPr>
      <t>직무</t>
    </r>
    <r>
      <rPr>
        <sz val="10"/>
        <color rgb="FF000000"/>
        <rFont val="맑은 고딕"/>
        <family val="3"/>
        <charset val="129"/>
      </rPr>
      <t>×</t>
    </r>
    <r>
      <rPr>
        <sz val="10"/>
        <color rgb="FF000000"/>
        <rFont val="DejaVu Sans"/>
        <family val="2"/>
      </rPr>
      <t xml:space="preserve">역할등급 정의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참조용</t>
    </r>
    <r>
      <rPr>
        <sz val="10"/>
        <color rgb="FF000000"/>
        <rFont val="맑은 고딕"/>
        <family val="3"/>
        <charset val="129"/>
      </rPr>
      <t>)</t>
    </r>
  </si>
  <si>
    <t>DB</t>
  </si>
  <si>
    <r>
      <rPr>
        <b/>
        <sz val="11"/>
        <color rgb="FF000000"/>
        <rFont val="맑은 고딕"/>
        <family val="3"/>
        <charset val="129"/>
      </rPr>
      <t>14_</t>
    </r>
    <r>
      <rPr>
        <b/>
        <sz val="11"/>
        <color rgb="FF000000"/>
        <rFont val="DejaVu Sans"/>
        <family val="2"/>
      </rPr>
      <t>직무책무</t>
    </r>
    <r>
      <rPr>
        <b/>
        <sz val="11"/>
        <color rgb="FF000000"/>
        <rFont val="맑은 고딕"/>
        <family val="3"/>
        <charset val="129"/>
      </rPr>
      <t>DB</t>
    </r>
  </si>
  <si>
    <r>
      <rPr>
        <sz val="10"/>
        <color rgb="FF000000"/>
        <rFont val="DejaVu Sans"/>
        <family val="2"/>
      </rPr>
      <t xml:space="preserve">직무별 책무 카탈로그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참조용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</si>
  <si>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1"/>
        <color rgb="FF000000"/>
        <rFont val="맑은 고딕"/>
        <family val="3"/>
        <charset val="129"/>
      </rPr>
      <t>15_</t>
    </r>
    <r>
      <rPr>
        <b/>
        <sz val="11"/>
        <color rgb="FF000000"/>
        <rFont val="DejaVu Sans"/>
        <family val="2"/>
      </rPr>
      <t>직원별책무매핑</t>
    </r>
  </si>
  <si>
    <r>
      <rPr>
        <sz val="10"/>
        <color rgb="FF000000"/>
        <rFont val="DejaVu Sans"/>
        <family val="2"/>
      </rPr>
      <t xml:space="preserve">직원별 메인 책무 </t>
    </r>
    <r>
      <rPr>
        <sz val="10"/>
        <color rgb="FF000000"/>
        <rFont val="맑은 고딕"/>
        <family val="3"/>
        <charset val="129"/>
      </rPr>
      <t xml:space="preserve">O/X </t>
    </r>
    <r>
      <rPr>
        <sz val="10"/>
        <color rgb="FF000000"/>
        <rFont val="DejaVu Sans"/>
        <family val="2"/>
      </rPr>
      <t>선택</t>
    </r>
  </si>
  <si>
    <t>■ 색상 범례</t>
  </si>
  <si>
    <t>노란셀</t>
  </si>
  <si>
    <r>
      <rPr>
        <sz val="10"/>
        <color rgb="FF000000"/>
        <rFont val="맑은 고딕"/>
        <family val="3"/>
        <charset val="129"/>
      </rPr>
      <t>HR</t>
    </r>
    <r>
      <rPr>
        <sz val="10"/>
        <color rgb="FF000000"/>
        <rFont val="DejaVu Sans"/>
        <family val="2"/>
      </rPr>
      <t>이 직접 입력</t>
    </r>
  </si>
  <si>
    <t>연두셀</t>
  </si>
  <si>
    <r>
      <rPr>
        <sz val="10"/>
        <color rgb="FF000000"/>
        <rFont val="DejaVu Sans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 xml:space="preserve">- </t>
    </r>
    <r>
      <rPr>
        <sz val="10"/>
        <color rgb="FF000000"/>
        <rFont val="DejaVu Sans"/>
        <family val="2"/>
      </rPr>
      <t>수정 금지</t>
    </r>
  </si>
  <si>
    <t>회색셀</t>
  </si>
  <si>
    <t>참고 라벨</t>
  </si>
  <si>
    <t>주황셀</t>
  </si>
  <si>
    <r>
      <rPr>
        <sz val="10"/>
        <color rgb="FF000000"/>
        <rFont val="DejaVu Sans"/>
        <family val="2"/>
      </rPr>
      <t>안내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중요 표시</t>
    </r>
  </si>
  <si>
    <r>
      <rPr>
        <b/>
        <sz val="11"/>
        <color rgb="FF000000"/>
        <rFont val="맑은 고딕"/>
        <family val="3"/>
        <charset val="129"/>
      </rPr>
      <t xml:space="preserve">S/A </t>
    </r>
    <r>
      <rPr>
        <b/>
        <sz val="11"/>
        <color rgb="FF000000"/>
        <rFont val="DejaVu Sans"/>
        <family val="2"/>
      </rPr>
      <t>등급</t>
    </r>
  </si>
  <si>
    <r>
      <rPr>
        <sz val="10"/>
        <color rgb="FF000000"/>
        <rFont val="DejaVu Sans"/>
        <family val="2"/>
      </rPr>
      <t>탁월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우수</t>
    </r>
  </si>
  <si>
    <r>
      <rPr>
        <b/>
        <sz val="11"/>
        <color rgb="FF000000"/>
        <rFont val="맑은 고딕"/>
        <family val="3"/>
        <charset val="129"/>
      </rPr>
      <t xml:space="preserve">D </t>
    </r>
    <r>
      <rPr>
        <b/>
        <sz val="11"/>
        <color rgb="FF000000"/>
        <rFont val="DejaVu Sans"/>
        <family val="2"/>
      </rPr>
      <t>등급</t>
    </r>
    <r>
      <rPr>
        <b/>
        <sz val="11"/>
        <color rgb="FF000000"/>
        <rFont val="맑은 고딕"/>
        <family val="3"/>
        <charset val="129"/>
      </rPr>
      <t>/</t>
    </r>
    <r>
      <rPr>
        <b/>
        <sz val="11"/>
        <color rgb="FF000000"/>
        <rFont val="DejaVu Sans"/>
        <family val="2"/>
      </rPr>
      <t>이탈</t>
    </r>
  </si>
  <si>
    <t>즉시 조치</t>
  </si>
  <si>
    <r>
      <rPr>
        <sz val="10"/>
        <color rgb="FF000000"/>
        <rFont val="DejaVu Sans"/>
        <family val="2"/>
      </rPr>
      <t>본 시스템은 베이시스소프트의 임금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평가 운영을 위해 설계되었습니다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>사용 중 의문 사항은 컨설팅 담당자 또는 시앤피컨설팅 이석주 컨설턴트에게 문의해 주세요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</si>
  <si>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2"/>
        <color rgb="FFFFFFFF"/>
        <rFont val="DejaVu Sans"/>
        <family val="2"/>
      </rPr>
      <t xml:space="preserve">★ 평가 방식 선택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절대평가 </t>
    </r>
    <r>
      <rPr>
        <b/>
        <sz val="12"/>
        <color rgb="FFFFFFFF"/>
        <rFont val="맑은 고딕"/>
        <family val="3"/>
        <charset val="129"/>
      </rPr>
      <t xml:space="preserve">/ </t>
    </r>
    <r>
      <rPr>
        <b/>
        <sz val="12"/>
        <color rgb="FFFFFFFF"/>
        <rFont val="DejaVu Sans"/>
        <family val="2"/>
      </rPr>
      <t>상대평가</t>
    </r>
    <r>
      <rPr>
        <b/>
        <sz val="12"/>
        <color rgb="FFFFFFFF"/>
        <rFont val="맑은 고딕"/>
        <family val="3"/>
        <charset val="129"/>
      </rPr>
      <t>) - 02_</t>
    </r>
    <r>
      <rPr>
        <b/>
        <sz val="12"/>
        <color rgb="FFFFFFFF"/>
        <rFont val="DejaVu Sans"/>
        <family val="2"/>
      </rPr>
      <t xml:space="preserve">의사결정 시트 </t>
    </r>
    <r>
      <rPr>
        <b/>
        <sz val="12"/>
        <color rgb="FFFFFFFF"/>
        <rFont val="맑은 고딕"/>
        <family val="3"/>
        <charset val="129"/>
      </rPr>
      <t xml:space="preserve">B6 </t>
    </r>
    <r>
      <rPr>
        <b/>
        <sz val="12"/>
        <color rgb="FFFFFFFF"/>
        <rFont val="DejaVu Sans"/>
        <family val="2"/>
      </rPr>
      <t>셀에서 드롭다운으로 선택</t>
    </r>
  </si>
  <si>
    <r>
      <rPr>
        <sz val="10"/>
        <color rgb="FF000000"/>
        <rFont val="DejaVu Sans"/>
        <family val="2"/>
      </rPr>
      <t>• 절대평가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DejaVu Sans"/>
        <family val="2"/>
      </rPr>
      <t xml:space="preserve">점수→등급 자동 환산 </t>
    </r>
    <r>
      <rPr>
        <sz val="10"/>
        <color rgb="FF000000"/>
        <rFont val="맑은 고딕"/>
        <family val="3"/>
        <charset val="129"/>
      </rPr>
      <t>(S≥4.5 / A≥3.5 / B≥2.5 / C≥1.5 / D)
• 상대평가: 02_</t>
    </r>
    <r>
      <rPr>
        <sz val="10"/>
        <color rgb="FF000000"/>
        <rFont val="DejaVu Sans"/>
        <family val="2"/>
      </rPr>
      <t xml:space="preserve">의사결정 행 </t>
    </r>
    <r>
      <rPr>
        <sz val="10"/>
        <color rgb="FF000000"/>
        <rFont val="맑은 고딕"/>
        <family val="3"/>
        <charset val="129"/>
      </rPr>
      <t>11</t>
    </r>
    <r>
      <rPr>
        <sz val="10"/>
        <color rgb="FF000000"/>
        <rFont val="DejaVu Sans"/>
        <family val="2"/>
      </rPr>
      <t>의 강제분포</t>
    </r>
    <r>
      <rPr>
        <sz val="10"/>
        <color rgb="FF000000"/>
        <rFont val="맑은 고딕"/>
        <family val="3"/>
        <charset val="129"/>
      </rPr>
      <t xml:space="preserve">(S 10%·A 15%·B 50%·C 15%·D 10% </t>
    </r>
    <r>
      <rPr>
        <sz val="10"/>
        <color rgb="FF000000"/>
        <rFont val="DejaVu Sans"/>
        <family val="2"/>
      </rPr>
      <t>등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 xml:space="preserve">에 맞춰 </t>
    </r>
    <r>
      <rPr>
        <sz val="10"/>
        <color rgb="FF000000"/>
        <rFont val="맑은 고딕"/>
        <family val="3"/>
        <charset val="129"/>
      </rPr>
      <t xml:space="preserve">PERCENTRANK </t>
    </r>
    <r>
      <rPr>
        <sz val="10"/>
        <color rgb="FF000000"/>
        <rFont val="DejaVu Sans"/>
        <family val="2"/>
      </rPr>
      <t>기반 부여
• 전환 효과</t>
    </r>
    <r>
      <rPr>
        <sz val="10"/>
        <color rgb="FF000000"/>
        <rFont val="맑은 고딕"/>
        <family val="3"/>
        <charset val="129"/>
      </rPr>
      <t>: 08_</t>
    </r>
    <r>
      <rPr>
        <sz val="10"/>
        <color rgb="FF000000"/>
        <rFont val="DejaVu Sans"/>
        <family val="2"/>
      </rPr>
      <t xml:space="preserve">종합평가 </t>
    </r>
    <r>
      <rPr>
        <sz val="10"/>
        <color rgb="FF000000"/>
        <rFont val="맑은 고딕"/>
        <family val="3"/>
        <charset val="129"/>
      </rPr>
      <t>U</t>
    </r>
    <r>
      <rPr>
        <sz val="10"/>
        <color rgb="FF000000"/>
        <rFont val="DejaVu Sans"/>
        <family val="2"/>
      </rPr>
      <t>열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최종 등급</t>
    </r>
    <r>
      <rPr>
        <sz val="10"/>
        <color rgb="FF000000"/>
        <rFont val="맑은 고딕"/>
        <family val="3"/>
        <charset val="129"/>
      </rPr>
      <t>) → 09_</t>
    </r>
    <r>
      <rPr>
        <sz val="10"/>
        <color rgb="FF000000"/>
        <rFont val="DejaVu Sans"/>
        <family val="2"/>
      </rPr>
      <t xml:space="preserve">보상연계 → </t>
    </r>
    <r>
      <rPr>
        <sz val="10"/>
        <color rgb="FF000000"/>
        <rFont val="맑은 고딕"/>
        <family val="3"/>
        <charset val="129"/>
      </rPr>
      <t>10_</t>
    </r>
    <r>
      <rPr>
        <sz val="10"/>
        <color rgb="FF000000"/>
        <rFont val="DejaVu Sans"/>
        <family val="2"/>
      </rPr>
      <t xml:space="preserve">성과급관리 → </t>
    </r>
    <r>
      <rPr>
        <sz val="10"/>
        <color rgb="FF000000"/>
        <rFont val="맑은 고딕"/>
        <family val="3"/>
        <charset val="129"/>
      </rPr>
      <t>12_</t>
    </r>
    <r>
      <rPr>
        <sz val="10"/>
        <color rgb="FF000000"/>
        <rFont val="DejaVu Sans"/>
        <family val="2"/>
      </rPr>
      <t>시뮬레이션 까지 즉시 반영</t>
    </r>
  </si>
  <si>
    <r>
      <rPr>
        <b/>
        <sz val="14"/>
        <color rgb="FFFFFFFF"/>
        <rFont val="맑은 고딕"/>
        <family val="3"/>
        <charset val="129"/>
      </rPr>
      <t xml:space="preserve">HR </t>
    </r>
    <r>
      <rPr>
        <b/>
        <sz val="14"/>
        <color rgb="FFFFFFFF"/>
        <rFont val="DejaVu Sans"/>
        <family val="2"/>
      </rPr>
      <t>운영 현황판</t>
    </r>
  </si>
  <si>
    <r>
      <rPr>
        <b/>
        <sz val="10"/>
        <color rgb="FF000000"/>
        <rFont val="DejaVu Sans"/>
        <family val="2"/>
      </rPr>
      <t>✻ 이 시트는 평가 사이클이 진행되는 동안 매일 가장 먼저 확인하는 페이지입니다</t>
    </r>
    <r>
      <rPr>
        <b/>
        <sz val="10"/>
        <color rgb="FF000000"/>
        <rFont val="맑은 고딕"/>
        <family val="3"/>
        <charset val="129"/>
      </rPr>
      <t xml:space="preserve">. </t>
    </r>
    <r>
      <rPr>
        <b/>
        <sz val="10"/>
        <color rgb="FF000000"/>
        <rFont val="DejaVu Sans"/>
        <family val="2"/>
      </rPr>
      <t>진행률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DejaVu Sans"/>
        <family val="2"/>
      </rPr>
      <t>이상 알림으로 현재 상태를 즉시 파악하세요</t>
    </r>
    <r>
      <rPr>
        <b/>
        <sz val="10"/>
        <color rgb="FF000000"/>
        <rFont val="맑은 고딕"/>
        <family val="3"/>
        <charset val="129"/>
      </rPr>
      <t>.</t>
    </r>
  </si>
  <si>
    <t>■ 평가 진행 현황</t>
  </si>
  <si>
    <t>지표</t>
  </si>
  <si>
    <t>상반기 진행</t>
  </si>
  <si>
    <t>하반기 진행</t>
  </si>
  <si>
    <t>상태</t>
  </si>
  <si>
    <t>총 직원수</t>
  </si>
  <si>
    <t>역할평가 입력완료</t>
  </si>
  <si>
    <t>공통역량 입력완료</t>
  </si>
  <si>
    <t>직무역량 입력완료</t>
  </si>
  <si>
    <t>종합평가 산출완료</t>
  </si>
  <si>
    <r>
      <rPr>
        <b/>
        <sz val="12"/>
        <color rgb="FFFFFFFF"/>
        <rFont val="DejaVu Sans"/>
        <family val="2"/>
      </rPr>
      <t xml:space="preserve">■ 이상 알림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>자동 점검</t>
    </r>
    <r>
      <rPr>
        <b/>
        <sz val="12"/>
        <color rgb="FFFFFFFF"/>
        <rFont val="맑은 고딕"/>
        <family val="3"/>
        <charset val="129"/>
      </rPr>
      <t>)</t>
    </r>
  </si>
  <si>
    <r>
      <rPr>
        <b/>
        <sz val="11"/>
        <color rgb="FF000000"/>
        <rFont val="DejaVu Sans"/>
        <family val="2"/>
      </rPr>
      <t xml:space="preserve">가중치 합계 검증 </t>
    </r>
    <r>
      <rPr>
        <b/>
        <sz val="11"/>
        <color rgb="FF000000"/>
        <rFont val="맑은 고딕"/>
        <family val="3"/>
        <charset val="129"/>
      </rPr>
      <t>(G6~G1)</t>
    </r>
  </si>
  <si>
    <t>상반기 등급 누락자 수</t>
  </si>
  <si>
    <t>하반기 등급 누락자 수</t>
  </si>
  <si>
    <t>페이밴드 이탈자 수</t>
  </si>
  <si>
    <r>
      <rPr>
        <b/>
        <sz val="11"/>
        <color rgb="FF000000"/>
        <rFont val="DejaVu Sans"/>
        <family val="2"/>
      </rPr>
      <t xml:space="preserve">페이밴드 검증 시트의 이탈자 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DejaVu Sans"/>
        <family val="2"/>
      </rPr>
      <t>참조</t>
    </r>
    <r>
      <rPr>
        <b/>
        <sz val="11"/>
        <color rgb="FF000000"/>
        <rFont val="맑은 고딕"/>
        <family val="3"/>
        <charset val="129"/>
      </rPr>
      <t>)</t>
    </r>
  </si>
  <si>
    <r>
      <rPr>
        <b/>
        <sz val="12"/>
        <color rgb="FFFFFFFF"/>
        <rFont val="DejaVu Sans"/>
        <family val="2"/>
      </rPr>
      <t xml:space="preserve">■ 평가 등급 분포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>전사 종합</t>
    </r>
    <r>
      <rPr>
        <b/>
        <sz val="12"/>
        <color rgb="FFFFFFFF"/>
        <rFont val="맑은 고딕"/>
        <family val="3"/>
        <charset val="129"/>
      </rPr>
      <t>)</t>
    </r>
  </si>
  <si>
    <t>등급</t>
  </si>
  <si>
    <t>S</t>
  </si>
  <si>
    <t>A</t>
  </si>
  <si>
    <t>B</t>
  </si>
  <si>
    <t>C</t>
  </si>
  <si>
    <t>D</t>
  </si>
  <si>
    <t>인원수</t>
  </si>
  <si>
    <r>
      <rPr>
        <sz val="11"/>
        <color rgb="FF000000"/>
        <rFont val="맑은 고딕"/>
        <family val="3"/>
        <charset val="129"/>
      </rPr>
      <t>1) 01_</t>
    </r>
    <r>
      <rPr>
        <sz val="11"/>
        <color rgb="FF000000"/>
        <rFont val="DejaVu Sans"/>
        <family val="2"/>
      </rPr>
      <t>인적정보에서 직원 명단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역할등급</t>
    </r>
    <r>
      <rPr>
        <sz val="11"/>
        <color rgb="FF000000"/>
        <rFont val="맑은 고딕"/>
        <family val="3"/>
        <charset val="129"/>
      </rPr>
      <t xml:space="preserve">(G5-M/G5-S </t>
    </r>
    <r>
      <rPr>
        <sz val="11"/>
        <color rgb="FF000000"/>
        <rFont val="DejaVu Sans"/>
        <family val="2"/>
      </rPr>
      <t>포함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DejaVu Sans"/>
        <family val="2"/>
      </rPr>
      <t>확인</t>
    </r>
  </si>
  <si>
    <r>
      <rPr>
        <sz val="11"/>
        <color rgb="FF000000"/>
        <rFont val="맑은 고딕"/>
        <family val="3"/>
        <charset val="129"/>
      </rPr>
      <t>2) 15_</t>
    </r>
    <r>
      <rPr>
        <sz val="11"/>
        <color rgb="FF000000"/>
        <rFont val="DejaVu Sans"/>
        <family val="2"/>
      </rPr>
      <t xml:space="preserve">직원별책무매핑에서 직원별 메인 책무 선택 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DejaVu Sans"/>
        <family val="2"/>
      </rPr>
      <t xml:space="preserve">신규 </t>
    </r>
    <r>
      <rPr>
        <sz val="11"/>
        <color rgb="FF000000"/>
        <rFont val="맑은 고딕"/>
        <family val="3"/>
        <charset val="129"/>
      </rPr>
      <t xml:space="preserve">- </t>
    </r>
    <r>
      <rPr>
        <sz val="11"/>
        <color rgb="FF000000"/>
        <rFont val="DejaVu Sans"/>
        <family val="2"/>
      </rPr>
      <t>평가 시작 전 필수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</si>
  <si>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맑은 고딕"/>
        <family val="3"/>
        <charset val="129"/>
      </rPr>
      <t xml:space="preserve">3) </t>
    </r>
    <r>
      <rPr>
        <sz val="11"/>
        <color rgb="FF000000"/>
        <rFont val="DejaVu Sans"/>
        <family val="2"/>
      </rPr>
      <t xml:space="preserve">부서별 평가지 </t>
    </r>
    <r>
      <rPr>
        <sz val="11"/>
        <color rgb="FF000000"/>
        <rFont val="맑은 고딕"/>
        <family val="3"/>
        <charset val="129"/>
      </rPr>
      <t>6</t>
    </r>
    <r>
      <rPr>
        <sz val="11"/>
        <color rgb="FF000000"/>
        <rFont val="DejaVu Sans"/>
        <family val="2"/>
      </rPr>
      <t xml:space="preserve">종 배포 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DejaVu Sans"/>
        <family val="2"/>
      </rPr>
      <t>평가자에게 이메일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공유폴더 전달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</si>
  <si>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맑은 고딕"/>
        <family val="3"/>
        <charset val="129"/>
      </rPr>
      <t xml:space="preserve">4) </t>
    </r>
    <r>
      <rPr>
        <sz val="11"/>
        <color rgb="FF000000"/>
        <rFont val="DejaVu Sans"/>
        <family val="2"/>
      </rPr>
      <t xml:space="preserve">평가지 회수 후 </t>
    </r>
    <r>
      <rPr>
        <sz val="11"/>
        <color rgb="FF000000"/>
        <rFont val="맑은 고딕"/>
        <family val="3"/>
        <charset val="129"/>
      </rPr>
      <t xml:space="preserve">07a/07b </t>
    </r>
    <r>
      <rPr>
        <sz val="11"/>
        <color rgb="FF000000"/>
        <rFont val="DejaVu Sans"/>
        <family val="2"/>
      </rPr>
      <t>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하반기 입력 시트에 등급 입력</t>
    </r>
  </si>
  <si>
    <r>
      <rPr>
        <sz val="11"/>
        <color rgb="FF000000"/>
        <rFont val="맑은 고딕"/>
        <family val="3"/>
        <charset val="129"/>
      </rPr>
      <t xml:space="preserve">5) </t>
    </r>
    <r>
      <rPr>
        <sz val="11"/>
        <color rgb="FF000000"/>
        <rFont val="DejaVu Sans"/>
        <family val="2"/>
      </rPr>
      <t>본 시트에서 진행률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이상알림 확인</t>
    </r>
  </si>
  <si>
    <r>
      <rPr>
        <sz val="11"/>
        <color rgb="FF000000"/>
        <rFont val="맑은 고딕"/>
        <family val="3"/>
        <charset val="129"/>
      </rPr>
      <t xml:space="preserve">6) </t>
    </r>
    <r>
      <rPr>
        <sz val="11"/>
        <color rgb="FF000000"/>
        <rFont val="DejaVu Sans"/>
        <family val="2"/>
      </rPr>
      <t xml:space="preserve">모두 완료 시 </t>
    </r>
    <r>
      <rPr>
        <sz val="11"/>
        <color rgb="FF000000"/>
        <rFont val="맑은 고딕"/>
        <family val="3"/>
        <charset val="129"/>
      </rPr>
      <t xml:space="preserve">08~12 </t>
    </r>
    <r>
      <rPr>
        <sz val="11"/>
        <color rgb="FF000000"/>
        <rFont val="DejaVu Sans"/>
        <family val="2"/>
      </rPr>
      <t>산출 시트에서 결과 확인</t>
    </r>
  </si>
  <si>
    <r>
      <rPr>
        <b/>
        <sz val="14"/>
        <color rgb="FFFFFFFF"/>
        <rFont val="DejaVu Sans"/>
        <family val="2"/>
      </rPr>
      <t xml:space="preserve">임직원 명부 마스터 </t>
    </r>
    <r>
      <rPr>
        <b/>
        <sz val="14"/>
        <color rgb="FFFFFFFF"/>
        <rFont val="맑은 고딕"/>
        <family val="3"/>
        <charset val="129"/>
      </rPr>
      <t>(Master)</t>
    </r>
  </si>
  <si>
    <r>
      <rPr>
        <sz val="10"/>
        <color rgb="FF000000"/>
        <rFont val="DejaVu Sans"/>
        <family val="2"/>
      </rPr>
      <t>사번을 키로 모든 시트를 연결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>노란셀만 직접 수정</t>
    </r>
    <r>
      <rPr>
        <sz val="10"/>
        <color rgb="FF000000"/>
        <rFont val="맑은 고딕"/>
        <family val="3"/>
        <charset val="129"/>
      </rPr>
      <t>. ★ G5</t>
    </r>
    <r>
      <rPr>
        <sz val="10"/>
        <color rgb="FF000000"/>
        <rFont val="DejaVu Sans"/>
        <family val="2"/>
      </rPr>
      <t xml:space="preserve">는 </t>
    </r>
    <r>
      <rPr>
        <sz val="10"/>
        <color rgb="FF000000"/>
        <rFont val="맑은 고딕"/>
        <family val="3"/>
        <charset val="129"/>
      </rPr>
      <t>M(</t>
    </r>
    <r>
      <rPr>
        <sz val="10"/>
        <color rgb="FF000000"/>
        <rFont val="DejaVu Sans"/>
        <family val="2"/>
      </rPr>
      <t>부서장</t>
    </r>
    <r>
      <rPr>
        <sz val="10"/>
        <color rgb="FF000000"/>
        <rFont val="맑은 고딕"/>
        <family val="3"/>
        <charset val="129"/>
      </rPr>
      <t>)/S(</t>
    </r>
    <r>
      <rPr>
        <sz val="10"/>
        <color rgb="FF000000"/>
        <rFont val="DejaVu Sans"/>
        <family val="2"/>
      </rPr>
      <t>스페셜리스트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로 분리되어 있습니다</t>
    </r>
    <r>
      <rPr>
        <sz val="10"/>
        <color rgb="FF000000"/>
        <rFont val="맑은 고딕"/>
        <family val="3"/>
        <charset val="129"/>
      </rPr>
      <t>.</t>
    </r>
  </si>
  <si>
    <t>No.</t>
  </si>
  <si>
    <t>사번</t>
  </si>
  <si>
    <t>성명</t>
  </si>
  <si>
    <t>직군</t>
  </si>
  <si>
    <t>직무</t>
  </si>
  <si>
    <t>부서</t>
  </si>
  <si>
    <t>기존직급</t>
  </si>
  <si>
    <t>역할등급</t>
  </si>
  <si>
    <t>입사일</t>
  </si>
  <si>
    <t>근속연수</t>
  </si>
  <si>
    <t>기존연봉</t>
  </si>
  <si>
    <t>주요 책무 수</t>
  </si>
  <si>
    <r>
      <rPr>
        <b/>
        <sz val="11"/>
        <color rgb="FFFFFFFF"/>
        <rFont val="DejaVu Sans"/>
        <family val="2"/>
      </rPr>
      <t>조회키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직무</t>
    </r>
    <r>
      <rPr>
        <b/>
        <sz val="11"/>
        <color rgb="FFFFFFFF"/>
        <rFont val="맑은 고딕"/>
        <family val="3"/>
        <charset val="129"/>
      </rPr>
      <t>_</t>
    </r>
    <r>
      <rPr>
        <b/>
        <sz val="11"/>
        <color rgb="FFFFFFFF"/>
        <rFont val="DejaVu Sans"/>
        <family val="2"/>
      </rPr>
      <t>등급</t>
    </r>
    <r>
      <rPr>
        <b/>
        <sz val="11"/>
        <color rgb="FFFFFFFF"/>
        <rFont val="맑은 고딕"/>
        <family val="3"/>
        <charset val="129"/>
      </rPr>
      <t>)</t>
    </r>
  </si>
  <si>
    <t>비고</t>
  </si>
  <si>
    <t>BSS-001</t>
  </si>
  <si>
    <t>OOO</t>
  </si>
  <si>
    <t>영업</t>
  </si>
  <si>
    <t>프로젝트영업</t>
  </si>
  <si>
    <t>스마트사업부</t>
  </si>
  <si>
    <t>전무</t>
  </si>
  <si>
    <t>G6</t>
  </si>
  <si>
    <t>2014-01-08</t>
  </si>
  <si>
    <t>BSS-002</t>
  </si>
  <si>
    <r>
      <rPr>
        <sz val="11"/>
        <color rgb="FF000000"/>
        <rFont val="DejaVu Sans"/>
        <family val="2"/>
      </rPr>
      <t>연구</t>
    </r>
    <r>
      <rPr>
        <sz val="11"/>
        <color rgb="FF000000"/>
        <rFont val="맑은 고딕"/>
        <family val="3"/>
        <charset val="129"/>
      </rPr>
      <t>&amp;</t>
    </r>
    <r>
      <rPr>
        <sz val="11"/>
        <color rgb="FF000000"/>
        <rFont val="DejaVu Sans"/>
        <family val="2"/>
      </rPr>
      <t>개발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</si>
  <si>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</t>
    </r>
  </si>
  <si>
    <r>
      <rPr>
        <sz val="11"/>
        <color rgb="FF000000"/>
        <rFont val="맑은 고딕"/>
        <family val="3"/>
        <charset val="129"/>
      </rPr>
      <t>R&amp;D</t>
    </r>
    <r>
      <rPr>
        <sz val="11"/>
        <color rgb="FF000000"/>
        <rFont val="DejaVu Sans"/>
        <family val="2"/>
      </rPr>
      <t>본부</t>
    </r>
  </si>
  <si>
    <t>상무</t>
  </si>
  <si>
    <t>2014-02-15</t>
  </si>
  <si>
    <t>BSS-003</t>
  </si>
  <si>
    <t>설계</t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</si>
  <si>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</si>
  <si>
    <t>컨설팅본부</t>
  </si>
  <si>
    <t>2014-03-22</t>
  </si>
  <si>
    <t>BSS-004</t>
  </si>
  <si>
    <t>경영관리</t>
  </si>
  <si>
    <t>경영전략기획</t>
  </si>
  <si>
    <t>경영전략실</t>
  </si>
  <si>
    <t>이사</t>
  </si>
  <si>
    <t>2014-04-01</t>
  </si>
  <si>
    <t>BSS-005</t>
  </si>
  <si>
    <t>2015-05-08</t>
  </si>
  <si>
    <t>BSS-006</t>
  </si>
  <si>
    <t>2015-06-15</t>
  </si>
  <si>
    <t>BSS-007</t>
  </si>
  <si>
    <t>교육 및 기술지원</t>
  </si>
  <si>
    <t>교육</t>
  </si>
  <si>
    <t>솔루션본부</t>
  </si>
  <si>
    <t>부장</t>
  </si>
  <si>
    <t>G5-M</t>
  </si>
  <si>
    <t>2015-07-22</t>
  </si>
  <si>
    <t>BSS-008</t>
  </si>
  <si>
    <t>기술지원</t>
  </si>
  <si>
    <t>2015-08-01</t>
  </si>
  <si>
    <t>BSS-009</t>
  </si>
  <si>
    <t>2016-09-08</t>
  </si>
  <si>
    <t>BSS-010</t>
  </si>
  <si>
    <t>G5-S</t>
  </si>
  <si>
    <t>2016-10-15</t>
  </si>
  <si>
    <t>BSS-011</t>
  </si>
  <si>
    <t>2016-11-22</t>
  </si>
  <si>
    <t>BSS-012</t>
  </si>
  <si>
    <t>마케팅팀</t>
  </si>
  <si>
    <t>2016-12-01</t>
  </si>
  <si>
    <t>BSS-013</t>
  </si>
  <si>
    <t>2017-01-08</t>
  </si>
  <si>
    <t>BSS-014</t>
  </si>
  <si>
    <t>2017-02-15</t>
  </si>
  <si>
    <t>BSS-015</t>
  </si>
  <si>
    <t>차장</t>
  </si>
  <si>
    <t>2017-03-22</t>
  </si>
  <si>
    <t>BSS-016</t>
  </si>
  <si>
    <t>2017-04-01</t>
  </si>
  <si>
    <t>BSS-017</t>
  </si>
  <si>
    <t>과장</t>
  </si>
  <si>
    <t>G4</t>
  </si>
  <si>
    <t>2018-05-08</t>
  </si>
  <si>
    <t>BSS-018</t>
  </si>
  <si>
    <t>2018-06-15</t>
  </si>
  <si>
    <t>BSS-019</t>
  </si>
  <si>
    <t>G3</t>
  </si>
  <si>
    <t>2018-07-22</t>
  </si>
  <si>
    <t>BSS-020</t>
  </si>
  <si>
    <t>대리</t>
  </si>
  <si>
    <t>2018-08-01</t>
  </si>
  <si>
    <t>BSS-021</t>
  </si>
  <si>
    <t>G2</t>
  </si>
  <si>
    <t>2019-09-08</t>
  </si>
  <si>
    <t>BSS-022</t>
  </si>
  <si>
    <t>2019-10-15</t>
  </si>
  <si>
    <t>BSS-023</t>
  </si>
  <si>
    <t>2019-11-22</t>
  </si>
  <si>
    <t>BSS-024</t>
  </si>
  <si>
    <t>2019-12-01</t>
  </si>
  <si>
    <t>BSS-025</t>
  </si>
  <si>
    <t>2020-01-08</t>
  </si>
  <si>
    <t>BSS-026</t>
  </si>
  <si>
    <t>주임</t>
  </si>
  <si>
    <t>G1</t>
  </si>
  <si>
    <t>2020-02-15</t>
  </si>
  <si>
    <t>BSS-027</t>
  </si>
  <si>
    <t>2020-03-22</t>
  </si>
  <si>
    <t>BSS-028</t>
  </si>
  <si>
    <t>2020-04-01</t>
  </si>
  <si>
    <t>BSS-029</t>
  </si>
  <si>
    <t>2021-05-08</t>
  </si>
  <si>
    <t>BSS-030</t>
  </si>
  <si>
    <t>2021-06-15</t>
  </si>
  <si>
    <t>BSS-031</t>
  </si>
  <si>
    <t>2021-07-22</t>
  </si>
  <si>
    <t>BSS-032</t>
  </si>
  <si>
    <t>사원</t>
  </si>
  <si>
    <t>2021-08-01</t>
  </si>
  <si>
    <t>BSS-033</t>
  </si>
  <si>
    <t>2022-09-08</t>
  </si>
  <si>
    <t>BSS-034</t>
  </si>
  <si>
    <t>2022-10-15</t>
  </si>
  <si>
    <r>
      <rPr>
        <b/>
        <sz val="14"/>
        <color rgb="FFFFFFFF"/>
        <rFont val="맑은 고딕"/>
        <family val="3"/>
        <charset val="129"/>
      </rPr>
      <t xml:space="preserve">HR </t>
    </r>
    <r>
      <rPr>
        <b/>
        <sz val="14"/>
        <color rgb="FFFFFFFF"/>
        <rFont val="DejaVu Sans"/>
        <family val="2"/>
      </rPr>
      <t xml:space="preserve">의사결정 컨피그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>가중치</t>
    </r>
    <r>
      <rPr>
        <b/>
        <sz val="14"/>
        <color rgb="FFFFFFFF"/>
        <rFont val="맑은 고딕"/>
        <family val="3"/>
        <charset val="129"/>
      </rPr>
      <t>·</t>
    </r>
    <r>
      <rPr>
        <b/>
        <sz val="14"/>
        <color rgb="FFFFFFFF"/>
        <rFont val="DejaVu Sans"/>
        <family val="2"/>
      </rPr>
      <t>인상률</t>
    </r>
    <r>
      <rPr>
        <b/>
        <sz val="14"/>
        <color rgb="FFFFFFFF"/>
        <rFont val="맑은 고딕"/>
        <family val="3"/>
        <charset val="129"/>
      </rPr>
      <t>·</t>
    </r>
    <r>
      <rPr>
        <b/>
        <sz val="14"/>
        <color rgb="FFFFFFFF"/>
        <rFont val="DejaVu Sans"/>
        <family val="2"/>
      </rPr>
      <t>페이밴드</t>
    </r>
    <r>
      <rPr>
        <b/>
        <sz val="14"/>
        <color rgb="FFFFFFFF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</si>
  <si>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이 시트에서 가중치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인상률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페이밴드를 정의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>모든 산출 시트가 자동 참조합니다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</si>
  <si>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3"/>
        <color rgb="FFFFFFFF"/>
        <rFont val="DejaVu Sans"/>
        <family val="2"/>
      </rPr>
      <t xml:space="preserve">■ ① 평가 방식 </t>
    </r>
    <r>
      <rPr>
        <b/>
        <sz val="13"/>
        <color rgb="FFFFFFFF"/>
        <rFont val="맑은 고딕"/>
        <family val="3"/>
        <charset val="129"/>
      </rPr>
      <t xml:space="preserve">· </t>
    </r>
    <r>
      <rPr>
        <b/>
        <sz val="13"/>
        <color rgb="FFFFFFFF"/>
        <rFont val="DejaVu Sans"/>
        <family val="2"/>
      </rPr>
      <t xml:space="preserve">반기 가중치 </t>
    </r>
    <r>
      <rPr>
        <b/>
        <sz val="13"/>
        <color rgb="FFFFFFFF"/>
        <rFont val="맑은 고딕"/>
        <family val="3"/>
        <charset val="129"/>
      </rPr>
      <t>(</t>
    </r>
    <r>
      <rPr>
        <b/>
        <sz val="13"/>
        <color rgb="FFFFFFFF"/>
        <rFont val="DejaVu Sans"/>
        <family val="2"/>
      </rPr>
      <t>먼저 선택</t>
    </r>
    <r>
      <rPr>
        <b/>
        <sz val="13"/>
        <color rgb="FFFFFFFF"/>
        <rFont val="맑은 고딕"/>
        <family val="3"/>
        <charset val="129"/>
      </rPr>
      <t>)</t>
    </r>
  </si>
  <si>
    <t>평가 척도</t>
  </si>
  <si>
    <r>
      <rPr>
        <b/>
        <sz val="12"/>
        <color rgb="FF000000"/>
        <rFont val="맑은 고딕"/>
        <family val="3"/>
        <charset val="129"/>
      </rPr>
      <t>5</t>
    </r>
    <r>
      <rPr>
        <b/>
        <sz val="12"/>
        <color rgb="FF000000"/>
        <rFont val="DejaVu Sans"/>
        <family val="2"/>
      </rPr>
      <t>점</t>
    </r>
  </si>
  <si>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DejaVu Sans"/>
        <family val="2"/>
      </rPr>
      <t xml:space="preserve">점 </t>
    </r>
    <r>
      <rPr>
        <sz val="10"/>
        <color rgb="FF000000"/>
        <rFont val="맑은 고딕"/>
        <family val="3"/>
        <charset val="129"/>
      </rPr>
      <t>/ 100</t>
    </r>
    <r>
      <rPr>
        <sz val="10"/>
        <color rgb="FF000000"/>
        <rFont val="DejaVu Sans"/>
        <family val="2"/>
      </rPr>
      <t xml:space="preserve">점 중 선택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 xml:space="preserve">현재 시스템은 </t>
    </r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DejaVu Sans"/>
        <family val="2"/>
      </rPr>
      <t xml:space="preserve">점 </t>
    </r>
    <r>
      <rPr>
        <sz val="10"/>
        <color rgb="FF000000"/>
        <rFont val="맑은 고딕"/>
        <family val="3"/>
        <charset val="129"/>
      </rPr>
      <t xml:space="preserve">BARS </t>
    </r>
    <r>
      <rPr>
        <sz val="10"/>
        <color rgb="FF000000"/>
        <rFont val="DejaVu Sans"/>
        <family val="2"/>
      </rPr>
      <t>척도 기반</t>
    </r>
    <r>
      <rPr>
        <sz val="10"/>
        <color rgb="FF000000"/>
        <rFont val="맑은 고딕"/>
        <family val="3"/>
        <charset val="129"/>
      </rPr>
      <t>)</t>
    </r>
  </si>
  <si>
    <t>★ 평가 방식</t>
  </si>
  <si>
    <t>상대평가</t>
  </si>
  <si>
    <r>
      <rPr>
        <b/>
        <sz val="10"/>
        <color rgb="FF000000"/>
        <rFont val="DejaVu Sans"/>
        <family val="2"/>
      </rPr>
      <t xml:space="preserve">▼ 셀 클릭 → 드롭다운에서 </t>
    </r>
    <r>
      <rPr>
        <b/>
        <sz val="10"/>
        <color rgb="FF000000"/>
        <rFont val="맑은 고딕"/>
        <family val="3"/>
        <charset val="129"/>
      </rPr>
      <t>[</t>
    </r>
    <r>
      <rPr>
        <b/>
        <sz val="10"/>
        <color rgb="FF000000"/>
        <rFont val="DejaVu Sans"/>
        <family val="2"/>
      </rPr>
      <t xml:space="preserve">절대평가 </t>
    </r>
    <r>
      <rPr>
        <b/>
        <sz val="10"/>
        <color rgb="FF000000"/>
        <rFont val="맑은 고딕"/>
        <family val="3"/>
        <charset val="129"/>
      </rPr>
      <t xml:space="preserve">/ </t>
    </r>
    <r>
      <rPr>
        <b/>
        <sz val="10"/>
        <color rgb="FF000000"/>
        <rFont val="DejaVu Sans"/>
        <family val="2"/>
      </rPr>
      <t>상대평가</t>
    </r>
    <r>
      <rPr>
        <b/>
        <sz val="10"/>
        <color rgb="FF000000"/>
        <rFont val="맑은 고딕"/>
        <family val="3"/>
        <charset val="129"/>
      </rPr>
      <t xml:space="preserve">] </t>
    </r>
    <r>
      <rPr>
        <b/>
        <sz val="10"/>
        <color rgb="FF000000"/>
        <rFont val="DejaVu Sans"/>
        <family val="2"/>
      </rPr>
      <t xml:space="preserve">선택 </t>
    </r>
    <r>
      <rPr>
        <b/>
        <sz val="10"/>
        <color rgb="FF000000"/>
        <rFont val="맑은 고딕"/>
        <family val="3"/>
        <charset val="129"/>
      </rPr>
      <t>(08_</t>
    </r>
    <r>
      <rPr>
        <b/>
        <sz val="10"/>
        <color rgb="FF000000"/>
        <rFont val="DejaVu Sans"/>
        <family val="2"/>
      </rPr>
      <t>종합평가 최종 등급에 즉시 반영</t>
    </r>
    <r>
      <rPr>
        <b/>
        <sz val="10"/>
        <color rgb="FF000000"/>
        <rFont val="맑은 고딕"/>
        <family val="3"/>
        <charset val="129"/>
      </rPr>
      <t>)</t>
    </r>
  </si>
  <si>
    <t>상반기 가중치</t>
  </si>
  <si>
    <r>
      <rPr>
        <sz val="10"/>
        <color rgb="FF000000"/>
        <rFont val="DejaVu Sans"/>
        <family val="2"/>
      </rPr>
      <t xml:space="preserve">상반기 평가의 연간 가중치 </t>
    </r>
    <r>
      <rPr>
        <sz val="10"/>
        <color rgb="FF000000"/>
        <rFont val="맑은 고딕"/>
        <family val="3"/>
        <charset val="129"/>
      </rPr>
      <t>(0~1). 1</t>
    </r>
    <r>
      <rPr>
        <sz val="10"/>
        <color rgb="FF000000"/>
        <rFont val="DejaVu Sans"/>
        <family val="2"/>
      </rPr>
      <t>차</t>
    </r>
    <r>
      <rPr>
        <sz val="10"/>
        <color rgb="FF000000"/>
        <rFont val="맑은 고딕"/>
        <family val="3"/>
        <charset val="129"/>
      </rPr>
      <t>/2</t>
    </r>
    <r>
      <rPr>
        <sz val="10"/>
        <color rgb="FF000000"/>
        <rFont val="DejaVu Sans"/>
        <family val="2"/>
      </rPr>
      <t>차 평가자 가중치는 ⑥번 항목 참고</t>
    </r>
    <r>
      <rPr>
        <sz val="10"/>
        <color rgb="FF000000"/>
        <rFont val="맑은 고딕"/>
        <family val="3"/>
        <charset val="129"/>
      </rPr>
      <t>.</t>
    </r>
  </si>
  <si>
    <t>하반기 가중치</t>
  </si>
  <si>
    <r>
      <rPr>
        <sz val="10"/>
        <color rgb="FF000000"/>
        <rFont val="DejaVu Sans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 xml:space="preserve">(1 - </t>
    </r>
    <r>
      <rPr>
        <sz val="10"/>
        <color rgb="FF000000"/>
        <rFont val="DejaVu Sans"/>
        <family val="2"/>
      </rPr>
      <t>상반기</t>
    </r>
    <r>
      <rPr>
        <sz val="10"/>
        <color rgb="FF000000"/>
        <rFont val="맑은 고딕"/>
        <family val="3"/>
        <charset val="129"/>
      </rPr>
      <t xml:space="preserve">). </t>
    </r>
    <r>
      <rPr>
        <sz val="10"/>
        <color rgb="FF000000"/>
        <rFont val="DejaVu Sans"/>
        <family val="2"/>
      </rPr>
      <t xml:space="preserve">합계 </t>
    </r>
    <r>
      <rPr>
        <sz val="10"/>
        <color rgb="FF000000"/>
        <rFont val="맑은 고딕"/>
        <family val="3"/>
        <charset val="129"/>
      </rPr>
      <t xml:space="preserve">100% </t>
    </r>
    <r>
      <rPr>
        <sz val="10"/>
        <color rgb="FF000000"/>
        <rFont val="DejaVu Sans"/>
        <family val="2"/>
      </rPr>
      <t>강제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</si>
  <si>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DejaVu Sans"/>
        <family val="2"/>
      </rPr>
      <t>절대평가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DejaVu Sans"/>
        <family val="2"/>
      </rPr>
      <t xml:space="preserve">평가 점수에 따라 등급 산출 </t>
    </r>
    <r>
      <rPr>
        <sz val="10"/>
        <color rgb="FF000000"/>
        <rFont val="맑은 고딕"/>
        <family val="3"/>
        <charset val="129"/>
      </rPr>
      <t xml:space="preserve">(S≥4.5, A≥3.5, B≥2.5, C≥1.5, </t>
    </r>
    <r>
      <rPr>
        <sz val="10"/>
        <color rgb="FF000000"/>
        <rFont val="DejaVu Sans"/>
        <family val="2"/>
      </rPr>
      <t xml:space="preserve">그 외 </t>
    </r>
    <r>
      <rPr>
        <sz val="10"/>
        <color rgb="FF000000"/>
        <rFont val="맑은 고딕"/>
        <family val="3"/>
        <charset val="129"/>
      </rPr>
      <t xml:space="preserve">D)  
</t>
    </r>
    <r>
      <rPr>
        <sz val="10"/>
        <color rgb="FF000000"/>
        <rFont val="DejaVu Sans"/>
        <family val="2"/>
      </rPr>
      <t>상대평가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DejaVu Sans"/>
        <family val="2"/>
      </rPr>
      <t xml:space="preserve">행 </t>
    </r>
    <r>
      <rPr>
        <sz val="10"/>
        <color rgb="FF000000"/>
        <rFont val="맑은 고딕"/>
        <family val="3"/>
        <charset val="129"/>
      </rPr>
      <t>11</t>
    </r>
    <r>
      <rPr>
        <sz val="10"/>
        <color rgb="FF000000"/>
        <rFont val="DejaVu Sans"/>
        <family val="2"/>
      </rPr>
      <t>의 강제분포</t>
    </r>
    <r>
      <rPr>
        <sz val="10"/>
        <color rgb="FF000000"/>
        <rFont val="맑은 고딕"/>
        <family val="3"/>
        <charset val="129"/>
      </rPr>
      <t xml:space="preserve">(S/A/B/C/D </t>
    </r>
    <r>
      <rPr>
        <sz val="10"/>
        <color rgb="FF000000"/>
        <rFont val="DejaVu Sans"/>
        <family val="2"/>
      </rPr>
      <t>비중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 xml:space="preserve">에 맞춰 </t>
    </r>
    <r>
      <rPr>
        <sz val="10"/>
        <color rgb="FF000000"/>
        <rFont val="맑은 고딕"/>
        <family val="3"/>
        <charset val="129"/>
      </rPr>
      <t xml:space="preserve">PERCENTRANK </t>
    </r>
    <r>
      <rPr>
        <sz val="10"/>
        <color rgb="FF000000"/>
        <rFont val="DejaVu Sans"/>
        <family val="2"/>
      </rPr>
      <t>기반 등급 부여</t>
    </r>
  </si>
  <si>
    <r>
      <rPr>
        <b/>
        <sz val="11"/>
        <color rgb="FFFFFFFF"/>
        <rFont val="DejaVu Sans"/>
        <family val="2"/>
      </rPr>
      <t xml:space="preserve">강제분포 비중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상대평가 시</t>
    </r>
    <r>
      <rPr>
        <b/>
        <sz val="11"/>
        <color rgb="FFFFFFFF"/>
        <rFont val="맑은 고딕"/>
        <family val="3"/>
        <charset val="129"/>
      </rPr>
      <t>)</t>
    </r>
  </si>
  <si>
    <t>합계</t>
  </si>
  <si>
    <t>비중</t>
  </si>
  <si>
    <r>
      <rPr>
        <b/>
        <sz val="12"/>
        <color rgb="FFFFFFFF"/>
        <rFont val="DejaVu Sans"/>
        <family val="2"/>
      </rPr>
      <t xml:space="preserve">■ ② 직급별 </t>
    </r>
    <r>
      <rPr>
        <b/>
        <sz val="12"/>
        <color rgb="FFFFFFFF"/>
        <rFont val="맑은 고딕"/>
        <family val="3"/>
        <charset val="129"/>
      </rPr>
      <t>3</t>
    </r>
    <r>
      <rPr>
        <b/>
        <sz val="12"/>
        <color rgb="FFFFFFFF"/>
        <rFont val="DejaVu Sans"/>
        <family val="2"/>
      </rPr>
      <t xml:space="preserve">축 평가 가중치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역할 </t>
    </r>
    <r>
      <rPr>
        <b/>
        <sz val="12"/>
        <color rgb="FFFFFFFF"/>
        <rFont val="맑은 고딕"/>
        <family val="3"/>
        <charset val="129"/>
      </rPr>
      <t xml:space="preserve">+ </t>
    </r>
    <r>
      <rPr>
        <b/>
        <sz val="12"/>
        <color rgb="FFFFFFFF"/>
        <rFont val="DejaVu Sans"/>
        <family val="2"/>
      </rPr>
      <t xml:space="preserve">공통역량 </t>
    </r>
    <r>
      <rPr>
        <b/>
        <sz val="12"/>
        <color rgb="FFFFFFFF"/>
        <rFont val="맑은 고딕"/>
        <family val="3"/>
        <charset val="129"/>
      </rPr>
      <t xml:space="preserve">+ </t>
    </r>
    <r>
      <rPr>
        <b/>
        <sz val="12"/>
        <color rgb="FFFFFFFF"/>
        <rFont val="DejaVu Sans"/>
        <family val="2"/>
      </rPr>
      <t xml:space="preserve">직무역량 </t>
    </r>
    <r>
      <rPr>
        <b/>
        <sz val="12"/>
        <color rgb="FFFFFFFF"/>
        <rFont val="맑은 고딕"/>
        <family val="3"/>
        <charset val="129"/>
      </rPr>
      <t xml:space="preserve">= 100%) ★ G5-M/G5-S </t>
    </r>
    <r>
      <rPr>
        <b/>
        <sz val="12"/>
        <color rgb="FFFFFFFF"/>
        <rFont val="DejaVu Sans"/>
        <family val="2"/>
      </rPr>
      <t>분리</t>
    </r>
  </si>
  <si>
    <r>
      <rPr>
        <b/>
        <sz val="11"/>
        <color rgb="FF000000"/>
        <rFont val="DejaVu Sans"/>
        <family val="2"/>
      </rPr>
      <t xml:space="preserve">역할평가 </t>
    </r>
    <r>
      <rPr>
        <b/>
        <sz val="11"/>
        <color rgb="FF000000"/>
        <rFont val="맑은 고딕"/>
        <family val="3"/>
        <charset val="129"/>
      </rPr>
      <t>W</t>
    </r>
  </si>
  <si>
    <r>
      <rPr>
        <b/>
        <sz val="11"/>
        <color rgb="FF000000"/>
        <rFont val="DejaVu Sans"/>
        <family val="2"/>
      </rPr>
      <t xml:space="preserve">공통역량 </t>
    </r>
    <r>
      <rPr>
        <b/>
        <sz val="11"/>
        <color rgb="FF000000"/>
        <rFont val="맑은 고딕"/>
        <family val="3"/>
        <charset val="129"/>
      </rPr>
      <t>W</t>
    </r>
  </si>
  <si>
    <r>
      <rPr>
        <b/>
        <sz val="11"/>
        <color rgb="FF000000"/>
        <rFont val="DejaVu Sans"/>
        <family val="2"/>
      </rPr>
      <t xml:space="preserve">직무역량 </t>
    </r>
    <r>
      <rPr>
        <b/>
        <sz val="11"/>
        <color rgb="FF000000"/>
        <rFont val="맑은 고딕"/>
        <family val="3"/>
        <charset val="129"/>
      </rPr>
      <t>W</t>
    </r>
  </si>
  <si>
    <t>검증</t>
  </si>
  <si>
    <t>설계 의도</t>
  </si>
  <si>
    <r>
      <rPr>
        <sz val="11"/>
        <color rgb="FF000000"/>
        <rFont val="DejaVu Sans"/>
        <family val="2"/>
      </rPr>
      <t>경영성과 책임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전사 의사결정 중심</t>
    </r>
  </si>
  <si>
    <r>
      <rPr>
        <sz val="11"/>
        <color rgb="FF000000"/>
        <rFont val="DejaVu Sans"/>
        <family val="2"/>
      </rPr>
      <t>조직 관리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부서장 성과 책임</t>
    </r>
  </si>
  <si>
    <r>
      <rPr>
        <sz val="11"/>
        <color rgb="FF000000"/>
        <rFont val="DejaVu Sans"/>
        <family val="2"/>
      </rPr>
      <t>실무 스페셜리스트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전문성 강조</t>
    </r>
  </si>
  <si>
    <r>
      <rPr>
        <sz val="11"/>
        <color rgb="FF000000"/>
        <rFont val="DejaVu Sans"/>
        <family val="2"/>
      </rPr>
      <t>실무 책임자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직무역량 강조</t>
    </r>
  </si>
  <si>
    <r>
      <rPr>
        <sz val="11"/>
        <color rgb="FF000000"/>
        <rFont val="DejaVu Sans"/>
        <family val="2"/>
      </rPr>
      <t>핵심 실무자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직무 깊이 가중</t>
    </r>
  </si>
  <si>
    <r>
      <rPr>
        <sz val="11"/>
        <color rgb="FF000000"/>
        <rFont val="DejaVu Sans"/>
        <family val="2"/>
      </rPr>
      <t>실무자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역량 개발 집중</t>
    </r>
  </si>
  <si>
    <r>
      <rPr>
        <sz val="11"/>
        <color rgb="FF000000"/>
        <rFont val="DejaVu Sans"/>
        <family val="2"/>
      </rPr>
      <t>신입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실무 보조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기본기 학습</t>
    </r>
  </si>
  <si>
    <r>
      <rPr>
        <b/>
        <sz val="12"/>
        <color rgb="FFFFFFFF"/>
        <rFont val="DejaVu Sans"/>
        <family val="2"/>
      </rPr>
      <t>■ ③ 평가 등급별 인상률</t>
    </r>
    <r>
      <rPr>
        <b/>
        <sz val="12"/>
        <color rgb="FFFFFFFF"/>
        <rFont val="맑은 고딕"/>
        <family val="3"/>
        <charset val="129"/>
      </rPr>
      <t>·</t>
    </r>
    <r>
      <rPr>
        <b/>
        <sz val="12"/>
        <color rgb="FFFFFFFF"/>
        <rFont val="DejaVu Sans"/>
        <family val="2"/>
      </rPr>
      <t>성과급률</t>
    </r>
  </si>
  <si>
    <t>구분</t>
  </si>
  <si>
    <t>기본연봉 인상률</t>
  </si>
  <si>
    <r>
      <rPr>
        <sz val="11"/>
        <color rgb="FF000000"/>
        <rFont val="맑은 고딕"/>
        <family val="3"/>
        <charset val="129"/>
      </rPr>
      <t>09_</t>
    </r>
    <r>
      <rPr>
        <sz val="11"/>
        <color rgb="FF000000"/>
        <rFont val="DejaVu Sans"/>
        <family val="2"/>
      </rPr>
      <t>보상연계에 자동 반영</t>
    </r>
  </si>
  <si>
    <t>성과급 지급률</t>
  </si>
  <si>
    <r>
      <rPr>
        <sz val="11"/>
        <color rgb="FF000000"/>
        <rFont val="맑은 고딕"/>
        <family val="3"/>
        <charset val="129"/>
      </rPr>
      <t>10_</t>
    </r>
    <r>
      <rPr>
        <sz val="11"/>
        <color rgb="FF000000"/>
        <rFont val="DejaVu Sans"/>
        <family val="2"/>
      </rPr>
      <t>성과급관리에 자동 반영</t>
    </r>
  </si>
  <si>
    <t>승진 가산률</t>
  </si>
  <si>
    <r>
      <rPr>
        <sz val="11"/>
        <color rgb="FF000000"/>
        <rFont val="DejaVu Sans"/>
        <family val="2"/>
      </rPr>
      <t>승진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DejaVu Sans"/>
        <family val="2"/>
      </rPr>
      <t>역할등급 상승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DejaVu Sans"/>
        <family val="2"/>
      </rPr>
      <t>시 기본연봉 인상률에 가산</t>
    </r>
  </si>
  <si>
    <r>
      <rPr>
        <sz val="11"/>
        <color rgb="FF000000"/>
        <rFont val="맑은 고딕"/>
        <family val="3"/>
        <charset val="129"/>
      </rPr>
      <t xml:space="preserve">Y/N </t>
    </r>
    <r>
      <rPr>
        <sz val="11"/>
        <color rgb="FF000000"/>
        <rFont val="DejaVu Sans"/>
        <family val="2"/>
      </rPr>
      <t>선택 시 자동 적용</t>
    </r>
  </si>
  <si>
    <r>
      <rPr>
        <b/>
        <sz val="12"/>
        <color rgb="FFFFFFFF"/>
        <rFont val="DejaVu Sans"/>
        <family val="2"/>
      </rPr>
      <t xml:space="preserve">■ ④ 페이밴드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>역할등급별 기본연봉 범위</t>
    </r>
    <r>
      <rPr>
        <b/>
        <sz val="12"/>
        <color rgb="FFFFFFFF"/>
        <rFont val="맑은 고딕"/>
        <family val="3"/>
        <charset val="129"/>
      </rPr>
      <t>)</t>
    </r>
  </si>
  <si>
    <r>
      <rPr>
        <b/>
        <sz val="11"/>
        <color rgb="FF000000"/>
        <rFont val="DejaVu Sans"/>
        <family val="2"/>
      </rPr>
      <t>최소</t>
    </r>
    <r>
      <rPr>
        <b/>
        <sz val="11"/>
        <color rgb="FF000000"/>
        <rFont val="맑은 고딕"/>
        <family val="3"/>
        <charset val="129"/>
      </rPr>
      <t>(Min)</t>
    </r>
  </si>
  <si>
    <r>
      <rPr>
        <b/>
        <sz val="11"/>
        <color rgb="FF000000"/>
        <rFont val="DejaVu Sans"/>
        <family val="2"/>
      </rPr>
      <t>중위</t>
    </r>
    <r>
      <rPr>
        <b/>
        <sz val="11"/>
        <color rgb="FF000000"/>
        <rFont val="맑은 고딕"/>
        <family val="3"/>
        <charset val="129"/>
      </rPr>
      <t>(Mid)</t>
    </r>
  </si>
  <si>
    <r>
      <rPr>
        <b/>
        <sz val="11"/>
        <color rgb="FF000000"/>
        <rFont val="DejaVu Sans"/>
        <family val="2"/>
      </rPr>
      <t>최대</t>
    </r>
    <r>
      <rPr>
        <b/>
        <sz val="11"/>
        <color rgb="FF000000"/>
        <rFont val="맑은 고딕"/>
        <family val="3"/>
        <charset val="129"/>
      </rPr>
      <t>(Max)</t>
    </r>
  </si>
  <si>
    <t>Range Spread</t>
  </si>
  <si>
    <r>
      <rPr>
        <b/>
        <sz val="12"/>
        <color rgb="FFFFFFFF"/>
        <rFont val="DejaVu Sans"/>
        <family val="2"/>
      </rPr>
      <t xml:space="preserve">■ ⑤ 공통역량별 가중치 </t>
    </r>
    <r>
      <rPr>
        <b/>
        <sz val="12"/>
        <color rgb="FFFFFFFF"/>
        <rFont val="맑은 고딕"/>
        <family val="3"/>
        <charset val="129"/>
      </rPr>
      <t>(11</t>
    </r>
    <r>
      <rPr>
        <b/>
        <sz val="12"/>
        <color rgb="FFFFFFFF"/>
        <rFont val="DejaVu Sans"/>
        <family val="2"/>
      </rPr>
      <t>개 역량</t>
    </r>
    <r>
      <rPr>
        <b/>
        <sz val="12"/>
        <color rgb="FFFFFFFF"/>
        <rFont val="맑은 고딕"/>
        <family val="3"/>
        <charset val="129"/>
      </rPr>
      <t>)</t>
    </r>
  </si>
  <si>
    <t>역량군</t>
  </si>
  <si>
    <t>핵심 역량</t>
  </si>
  <si>
    <t>역량 설명</t>
  </si>
  <si>
    <t>C-1</t>
  </si>
  <si>
    <t>업무역량</t>
  </si>
  <si>
    <t>직무 전문성</t>
  </si>
  <si>
    <t>직무에 필요한 전문 지식 및 기술을 충분히 보유하고 실무에 적절히 적용하는지 평가</t>
  </si>
  <si>
    <t>C-2</t>
  </si>
  <si>
    <t>분석력</t>
  </si>
  <si>
    <r>
      <rPr>
        <sz val="11"/>
        <color rgb="FF000000"/>
        <rFont val="DejaVu Sans"/>
        <family val="2"/>
      </rPr>
      <t>데이터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수치를 기반으로 사고하며 업무 효율을 높이는 능력</t>
    </r>
  </si>
  <si>
    <t>C-3</t>
  </si>
  <si>
    <r>
      <rPr>
        <b/>
        <sz val="11"/>
        <color rgb="FF000000"/>
        <rFont val="DejaVu Sans"/>
        <family val="2"/>
      </rPr>
      <t>기획</t>
    </r>
    <r>
      <rPr>
        <b/>
        <sz val="11"/>
        <color rgb="FF000000"/>
        <rFont val="맑은 고딕"/>
        <family val="3"/>
        <charset val="129"/>
      </rPr>
      <t>/</t>
    </r>
    <r>
      <rPr>
        <b/>
        <sz val="11"/>
        <color rgb="FF000000"/>
        <rFont val="DejaVu Sans"/>
        <family val="2"/>
      </rPr>
      <t>실행력</t>
    </r>
  </si>
  <si>
    <r>
      <rPr>
        <sz val="11"/>
        <color rgb="FF000000"/>
        <rFont val="DejaVu Sans"/>
        <family val="2"/>
      </rPr>
      <t>실행 가능한 목표 설정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계획 수립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체계적 실행 능력</t>
    </r>
  </si>
  <si>
    <t>C-4</t>
  </si>
  <si>
    <t>조직역량</t>
  </si>
  <si>
    <r>
      <rPr>
        <b/>
        <sz val="11"/>
        <color rgb="FF000000"/>
        <rFont val="DejaVu Sans"/>
        <family val="2"/>
      </rPr>
      <t>자원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시간 관리</t>
    </r>
  </si>
  <si>
    <t>업무 우선순위 설정 및 시간 내 효과적 업무 완수 능력</t>
  </si>
  <si>
    <t>C-5</t>
  </si>
  <si>
    <t>협업 능력</t>
  </si>
  <si>
    <r>
      <rPr>
        <sz val="11"/>
        <color rgb="FF000000"/>
        <rFont val="DejaVu Sans"/>
        <family val="2"/>
      </rPr>
      <t>팀원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타 부서와의 협업 태도와 적극적 협력</t>
    </r>
  </si>
  <si>
    <t>C-6</t>
  </si>
  <si>
    <t>소통 능력</t>
  </si>
  <si>
    <r>
      <rPr>
        <sz val="11"/>
        <color rgb="FF000000"/>
        <rFont val="DejaVu Sans"/>
        <family val="2"/>
      </rPr>
      <t>명확한 의견 전달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경청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효과적 커뮤니케이션</t>
    </r>
  </si>
  <si>
    <t>C-7</t>
  </si>
  <si>
    <t>인성역량</t>
  </si>
  <si>
    <r>
      <rPr>
        <b/>
        <sz val="11"/>
        <color rgb="FF000000"/>
        <rFont val="DejaVu Sans"/>
        <family val="2"/>
      </rPr>
      <t>윤리</t>
    </r>
    <r>
      <rPr>
        <b/>
        <sz val="11"/>
        <color rgb="FF000000"/>
        <rFont val="맑은 고딕"/>
        <family val="3"/>
        <charset val="129"/>
      </rPr>
      <t>/</t>
    </r>
    <r>
      <rPr>
        <b/>
        <sz val="11"/>
        <color rgb="FF000000"/>
        <rFont val="DejaVu Sans"/>
        <family val="2"/>
      </rPr>
      <t>책임감</t>
    </r>
  </si>
  <si>
    <r>
      <rPr>
        <sz val="11"/>
        <color rgb="FF000000"/>
        <rFont val="DejaVu Sans"/>
        <family val="2"/>
      </rPr>
      <t>공정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투명한 업무 처리와 책임감 있는 업무 수행</t>
    </r>
  </si>
  <si>
    <t>C-8</t>
  </si>
  <si>
    <t>업무 태도</t>
  </si>
  <si>
    <r>
      <rPr>
        <sz val="11"/>
        <color rgb="FF000000"/>
        <rFont val="DejaVu Sans"/>
        <family val="2"/>
      </rPr>
      <t>성실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주도적 태도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변화에 대한 유연성</t>
    </r>
  </si>
  <si>
    <t>C-9</t>
  </si>
  <si>
    <t>미래역량</t>
  </si>
  <si>
    <t>혁신 역량</t>
  </si>
  <si>
    <r>
      <rPr>
        <sz val="11"/>
        <color rgb="FF000000"/>
        <rFont val="맑은 고딕"/>
        <family val="3"/>
        <charset val="129"/>
      </rPr>
      <t>AI·</t>
    </r>
    <r>
      <rPr>
        <sz val="11"/>
        <color rgb="FF000000"/>
        <rFont val="DejaVu Sans"/>
        <family val="2"/>
      </rPr>
      <t>자동화 등 최신 기술을 실무에 접목</t>
    </r>
  </si>
  <si>
    <t>C-10</t>
  </si>
  <si>
    <t>프로세스 개선</t>
  </si>
  <si>
    <r>
      <rPr>
        <sz val="11"/>
        <color rgb="FF000000"/>
        <rFont val="DejaVu Sans"/>
        <family val="2"/>
      </rPr>
      <t>업무 절차 분석 및 비효율 개선 아이디어 제시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실행</t>
    </r>
  </si>
  <si>
    <t>C-11</t>
  </si>
  <si>
    <t>지속가능 기여</t>
  </si>
  <si>
    <r>
      <rPr>
        <sz val="11"/>
        <color rgb="FF000000"/>
        <rFont val="DejaVu Sans"/>
        <family val="2"/>
      </rPr>
      <t>장기적 성과 향상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조직 기여도</t>
    </r>
  </si>
  <si>
    <r>
      <rPr>
        <b/>
        <sz val="12"/>
        <color rgb="FFFFFFFF"/>
        <rFont val="맑은 고딕"/>
        <family val="3"/>
        <charset val="129"/>
      </rPr>
      <t>■ ⑥ 1</t>
    </r>
    <r>
      <rPr>
        <b/>
        <sz val="12"/>
        <color rgb="FFFFFFFF"/>
        <rFont val="DejaVu Sans"/>
        <family val="2"/>
      </rPr>
      <t>차</t>
    </r>
    <r>
      <rPr>
        <b/>
        <sz val="12"/>
        <color rgb="FFFFFFFF"/>
        <rFont val="맑은 고딕"/>
        <family val="3"/>
        <charset val="129"/>
      </rPr>
      <t>/2</t>
    </r>
    <r>
      <rPr>
        <b/>
        <sz val="12"/>
        <color rgb="FFFFFFFF"/>
        <rFont val="DejaVu Sans"/>
        <family val="2"/>
      </rPr>
      <t>차 평가자 가중치</t>
    </r>
  </si>
  <si>
    <r>
      <rPr>
        <b/>
        <sz val="11"/>
        <color rgb="FF000000"/>
        <rFont val="맑은 고딕"/>
        <family val="3"/>
        <charset val="129"/>
      </rPr>
      <t>1</t>
    </r>
    <r>
      <rPr>
        <b/>
        <sz val="11"/>
        <color rgb="FF000000"/>
        <rFont val="DejaVu Sans"/>
        <family val="2"/>
      </rPr>
      <t xml:space="preserve">차 평가자 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DejaVu Sans"/>
        <family val="2"/>
      </rPr>
      <t>직속상사</t>
    </r>
    <r>
      <rPr>
        <b/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</si>
  <si>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DejaVu Sans"/>
        <family val="2"/>
      </rPr>
      <t>직속상사 평가 가중치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DejaVu Sans"/>
        <family val="2"/>
      </rPr>
      <t>평가지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통합시트에서 자동 적용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DejaVu Sans"/>
        <family val="2"/>
      </rPr>
      <t xml:space="preserve">기본 </t>
    </r>
    <r>
      <rPr>
        <sz val="11"/>
        <color rgb="FF000000"/>
        <rFont val="맑은 고딕"/>
        <family val="3"/>
        <charset val="129"/>
      </rPr>
      <t xml:space="preserve">50%, </t>
    </r>
    <r>
      <rPr>
        <sz val="11"/>
        <color rgb="FF000000"/>
        <rFont val="DejaVu Sans"/>
        <family val="2"/>
      </rPr>
      <t>조직 상황에 맞게 조정</t>
    </r>
    <r>
      <rPr>
        <sz val="11"/>
        <color rgb="FF000000"/>
        <rFont val="맑은 고딕"/>
        <family val="3"/>
        <charset val="129"/>
      </rPr>
      <t>.</t>
    </r>
  </si>
  <si>
    <r>
      <rPr>
        <b/>
        <sz val="11"/>
        <color rgb="FF000000"/>
        <rFont val="맑은 고딕"/>
        <family val="3"/>
        <charset val="129"/>
      </rPr>
      <t>2</t>
    </r>
    <r>
      <rPr>
        <b/>
        <sz val="11"/>
        <color rgb="FF000000"/>
        <rFont val="DejaVu Sans"/>
        <family val="2"/>
      </rPr>
      <t xml:space="preserve">차 평가자 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DejaVu Sans"/>
        <family val="2"/>
      </rPr>
      <t>조정자</t>
    </r>
    <r>
      <rPr>
        <b/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</si>
  <si>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DejaVu Sans"/>
        <family val="2"/>
      </rPr>
      <t xml:space="preserve">자동 계산 </t>
    </r>
    <r>
      <rPr>
        <sz val="11"/>
        <color rgb="FF000000"/>
        <rFont val="맑은 고딕"/>
        <family val="3"/>
        <charset val="129"/>
      </rPr>
      <t>(1 - 1</t>
    </r>
    <r>
      <rPr>
        <sz val="11"/>
        <color rgb="FF000000"/>
        <rFont val="DejaVu Sans"/>
        <family val="2"/>
      </rPr>
      <t>차 가중치</t>
    </r>
    <r>
      <rPr>
        <sz val="11"/>
        <color rgb="FF000000"/>
        <rFont val="맑은 고딕"/>
        <family val="3"/>
        <charset val="129"/>
      </rPr>
      <t xml:space="preserve">). </t>
    </r>
    <r>
      <rPr>
        <sz val="11"/>
        <color rgb="FF000000"/>
        <rFont val="DejaVu Sans"/>
        <family val="2"/>
      </rPr>
      <t>조정자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DejaVu Sans"/>
        <family val="2"/>
      </rPr>
      <t>부서장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임원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DejaVu Sans"/>
        <family val="2"/>
      </rPr>
      <t>가중치</t>
    </r>
    <r>
      <rPr>
        <sz val="11"/>
        <color rgb="FF000000"/>
        <rFont val="맑은 고딕"/>
        <family val="3"/>
        <charset val="129"/>
      </rPr>
      <t>.</t>
    </r>
  </si>
  <si>
    <r>
      <rPr>
        <b/>
        <sz val="14"/>
        <color rgb="FFFFFFFF"/>
        <rFont val="DejaVu Sans"/>
        <family val="2"/>
      </rPr>
      <t xml:space="preserve">전사 업적 평가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 xml:space="preserve">전사 </t>
    </r>
    <r>
      <rPr>
        <b/>
        <sz val="14"/>
        <color rgb="FFFFFFFF"/>
        <rFont val="맑은 고딕"/>
        <family val="3"/>
        <charset val="129"/>
      </rPr>
      <t>KPI)</t>
    </r>
  </si>
  <si>
    <r>
      <rPr>
        <sz val="10"/>
        <color rgb="FF000000"/>
        <rFont val="DejaVu Sans"/>
        <family val="2"/>
      </rPr>
      <t xml:space="preserve">전사 </t>
    </r>
    <r>
      <rPr>
        <sz val="10"/>
        <color rgb="FF000000"/>
        <rFont val="맑은 고딕"/>
        <family val="3"/>
        <charset val="129"/>
      </rPr>
      <t xml:space="preserve">KPI </t>
    </r>
    <r>
      <rPr>
        <sz val="10"/>
        <color rgb="FF000000"/>
        <rFont val="DejaVu Sans"/>
        <family val="2"/>
      </rPr>
      <t xml:space="preserve">달성도 → 성과급 가산 계수로 활용 </t>
    </r>
    <r>
      <rPr>
        <sz val="10"/>
        <color rgb="FF000000"/>
        <rFont val="맑은 고딕"/>
        <family val="3"/>
        <charset val="129"/>
      </rPr>
      <t>(10_</t>
    </r>
    <r>
      <rPr>
        <sz val="10"/>
        <color rgb="FF000000"/>
        <rFont val="DejaVu Sans"/>
        <family val="2"/>
      </rPr>
      <t>성과급관리에서 자동 참조</t>
    </r>
    <r>
      <rPr>
        <sz val="10"/>
        <color rgb="FF000000"/>
        <rFont val="맑은 고딕"/>
        <family val="3"/>
        <charset val="129"/>
      </rPr>
      <t>)</t>
    </r>
  </si>
  <si>
    <t>KPI</t>
  </si>
  <si>
    <t>측정방법</t>
  </si>
  <si>
    <t>가중치</t>
  </si>
  <si>
    <t>목표</t>
  </si>
  <si>
    <r>
      <rPr>
        <b/>
        <sz val="11"/>
        <color rgb="FFFFFFFF"/>
        <rFont val="맑은 고딕"/>
        <family val="3"/>
        <charset val="129"/>
      </rPr>
      <t xml:space="preserve">S </t>
    </r>
    <r>
      <rPr>
        <b/>
        <sz val="11"/>
        <color rgb="FFFFFFFF"/>
        <rFont val="DejaVu Sans"/>
        <family val="2"/>
      </rPr>
      <t>기준</t>
    </r>
  </si>
  <si>
    <r>
      <rPr>
        <b/>
        <sz val="11"/>
        <color rgb="FFFFFFFF"/>
        <rFont val="맑은 고딕"/>
        <family val="3"/>
        <charset val="129"/>
      </rPr>
      <t xml:space="preserve">A </t>
    </r>
    <r>
      <rPr>
        <b/>
        <sz val="11"/>
        <color rgb="FFFFFFFF"/>
        <rFont val="DejaVu Sans"/>
        <family val="2"/>
      </rPr>
      <t>기준</t>
    </r>
  </si>
  <si>
    <r>
      <rPr>
        <b/>
        <sz val="11"/>
        <color rgb="FFFFFFFF"/>
        <rFont val="맑은 고딕"/>
        <family val="3"/>
        <charset val="129"/>
      </rPr>
      <t xml:space="preserve">B </t>
    </r>
    <r>
      <rPr>
        <b/>
        <sz val="11"/>
        <color rgb="FFFFFFFF"/>
        <rFont val="DejaVu Sans"/>
        <family val="2"/>
      </rPr>
      <t>기준</t>
    </r>
  </si>
  <si>
    <r>
      <rPr>
        <b/>
        <sz val="11"/>
        <color rgb="FFFFFFFF"/>
        <rFont val="맑은 고딕"/>
        <family val="3"/>
        <charset val="129"/>
      </rPr>
      <t xml:space="preserve">C </t>
    </r>
    <r>
      <rPr>
        <b/>
        <sz val="11"/>
        <color rgb="FFFFFFFF"/>
        <rFont val="DejaVu Sans"/>
        <family val="2"/>
      </rPr>
      <t>기준</t>
    </r>
  </si>
  <si>
    <r>
      <rPr>
        <b/>
        <sz val="11"/>
        <color rgb="FFFFFFFF"/>
        <rFont val="맑은 고딕"/>
        <family val="3"/>
        <charset val="129"/>
      </rPr>
      <t xml:space="preserve">D </t>
    </r>
    <r>
      <rPr>
        <b/>
        <sz val="11"/>
        <color rgb="FFFFFFFF"/>
        <rFont val="DejaVu Sans"/>
        <family val="2"/>
      </rPr>
      <t>기준</t>
    </r>
  </si>
  <si>
    <t>실적</t>
  </si>
  <si>
    <t>영업이익률</t>
  </si>
  <si>
    <r>
      <rPr>
        <sz val="11"/>
        <color rgb="FF000000"/>
        <rFont val="DejaVu Sans"/>
        <family val="2"/>
      </rPr>
      <t xml:space="preserve">영업이익 </t>
    </r>
    <r>
      <rPr>
        <sz val="11"/>
        <color rgb="FF000000"/>
        <rFont val="맑은 고딕"/>
        <family val="3"/>
        <charset val="129"/>
      </rPr>
      <t xml:space="preserve">÷ </t>
    </r>
    <r>
      <rPr>
        <sz val="11"/>
        <color rgb="FF000000"/>
        <rFont val="DejaVu Sans"/>
        <family val="2"/>
      </rPr>
      <t xml:space="preserve">매출액 </t>
    </r>
    <r>
      <rPr>
        <sz val="11"/>
        <color rgb="FF000000"/>
        <rFont val="맑은 고딕"/>
        <family val="3"/>
        <charset val="129"/>
      </rPr>
      <t>× 100</t>
    </r>
  </si>
  <si>
    <t>매출 성장률</t>
  </si>
  <si>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DejaVu Sans"/>
        <family val="2"/>
      </rPr>
      <t>금년</t>
    </r>
    <r>
      <rPr>
        <sz val="11"/>
        <color rgb="FF000000"/>
        <rFont val="맑은 고딕"/>
        <family val="3"/>
        <charset val="129"/>
      </rPr>
      <t>-</t>
    </r>
    <r>
      <rPr>
        <sz val="11"/>
        <color rgb="FF000000"/>
        <rFont val="DejaVu Sans"/>
        <family val="2"/>
      </rPr>
      <t>전년</t>
    </r>
    <r>
      <rPr>
        <sz val="11"/>
        <color rgb="FF000000"/>
        <rFont val="맑은 고딕"/>
        <family val="3"/>
        <charset val="129"/>
      </rPr>
      <t>)/</t>
    </r>
    <r>
      <rPr>
        <sz val="11"/>
        <color rgb="FF000000"/>
        <rFont val="DejaVu Sans"/>
        <family val="2"/>
      </rPr>
      <t xml:space="preserve">전년 </t>
    </r>
    <r>
      <rPr>
        <sz val="11"/>
        <color rgb="FF000000"/>
        <rFont val="맑은 고딕"/>
        <family val="3"/>
        <charset val="129"/>
      </rPr>
      <t>× 100</t>
    </r>
  </si>
  <si>
    <r>
      <rPr>
        <b/>
        <sz val="11"/>
        <color rgb="FF000000"/>
        <rFont val="DejaVu Sans"/>
        <family val="2"/>
      </rPr>
      <t>프로젝트 납기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품질 준수율</t>
    </r>
  </si>
  <si>
    <r>
      <rPr>
        <sz val="11"/>
        <color rgb="FF000000"/>
        <rFont val="DejaVu Sans"/>
        <family val="2"/>
      </rPr>
      <t>납기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 xml:space="preserve">품질 충족 </t>
    </r>
    <r>
      <rPr>
        <sz val="11"/>
        <color rgb="FF000000"/>
        <rFont val="맑은 고딕"/>
        <family val="3"/>
        <charset val="129"/>
      </rPr>
      <t xml:space="preserve">÷ </t>
    </r>
    <r>
      <rPr>
        <sz val="11"/>
        <color rgb="FF000000"/>
        <rFont val="DejaVu Sans"/>
        <family val="2"/>
      </rPr>
      <t xml:space="preserve">총 프로젝트 </t>
    </r>
    <r>
      <rPr>
        <sz val="11"/>
        <color rgb="FF000000"/>
        <rFont val="맑은 고딕"/>
        <family val="3"/>
        <charset val="129"/>
      </rPr>
      <t>× 100</t>
    </r>
  </si>
  <si>
    <r>
      <rPr>
        <b/>
        <sz val="12"/>
        <color rgb="FFFFFFFF"/>
        <rFont val="DejaVu Sans"/>
        <family val="2"/>
      </rPr>
      <t xml:space="preserve">■ 전사 </t>
    </r>
    <r>
      <rPr>
        <b/>
        <sz val="12"/>
        <color rgb="FFFFFFFF"/>
        <rFont val="맑은 고딕"/>
        <family val="3"/>
        <charset val="129"/>
      </rPr>
      <t xml:space="preserve">KPI </t>
    </r>
    <r>
      <rPr>
        <b/>
        <sz val="12"/>
        <color rgb="FFFFFFFF"/>
        <rFont val="DejaVu Sans"/>
        <family val="2"/>
      </rPr>
      <t>종합</t>
    </r>
  </si>
  <si>
    <t>전사 종합 등급</t>
  </si>
  <si>
    <r>
      <rPr>
        <sz val="11"/>
        <color rgb="FF000000"/>
        <rFont val="DejaVu Sans"/>
        <family val="2"/>
      </rPr>
      <t>실적 입력 후 자동 산출</t>
    </r>
    <r>
      <rPr>
        <sz val="11"/>
        <color rgb="FF000000"/>
        <rFont val="맑은 고딕"/>
        <family val="3"/>
        <charset val="129"/>
      </rPr>
      <t>. 10_</t>
    </r>
    <r>
      <rPr>
        <sz val="11"/>
        <color rgb="FF000000"/>
        <rFont val="DejaVu Sans"/>
        <family val="2"/>
      </rPr>
      <t xml:space="preserve">성과급관리의 </t>
    </r>
    <r>
      <rPr>
        <sz val="11"/>
        <color rgb="FF000000"/>
        <rFont val="맑은 고딕"/>
        <family val="3"/>
        <charset val="129"/>
      </rPr>
      <t xml:space="preserve">KPI </t>
    </r>
    <r>
      <rPr>
        <sz val="11"/>
        <color rgb="FF000000"/>
        <rFont val="DejaVu Sans"/>
        <family val="2"/>
      </rPr>
      <t>가산계수로 활용</t>
    </r>
    <r>
      <rPr>
        <sz val="11"/>
        <color rgb="FF000000"/>
        <rFont val="맑은 고딕"/>
        <family val="3"/>
        <charset val="129"/>
      </rPr>
      <t>.</t>
    </r>
  </si>
  <si>
    <r>
      <rPr>
        <b/>
        <sz val="14"/>
        <color rgb="FFFFFFFF"/>
        <rFont val="DejaVu Sans"/>
        <family val="2"/>
      </rPr>
      <t xml:space="preserve">역할평가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>자동 산출</t>
    </r>
    <r>
      <rPr>
        <b/>
        <sz val="14"/>
        <color rgb="FFFFFFFF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</si>
  <si>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>07a/07b</t>
    </r>
    <r>
      <rPr>
        <b/>
        <sz val="10"/>
        <color rgb="FF000000"/>
        <rFont val="DejaVu Sans"/>
        <family val="2"/>
      </rPr>
      <t xml:space="preserve">의 </t>
    </r>
    <r>
      <rPr>
        <b/>
        <sz val="10"/>
        <color rgb="FF000000"/>
        <rFont val="맑은 고딕"/>
        <family val="3"/>
        <charset val="129"/>
      </rPr>
      <t>1·2</t>
    </r>
    <r>
      <rPr>
        <b/>
        <sz val="10"/>
        <color rgb="FF000000"/>
        <rFont val="DejaVu Sans"/>
        <family val="2"/>
      </rPr>
      <t xml:space="preserve">차 평가자 종합 등급 → </t>
    </r>
    <r>
      <rPr>
        <b/>
        <sz val="10"/>
        <color rgb="FF000000"/>
        <rFont val="맑은 고딕"/>
        <family val="3"/>
        <charset val="129"/>
      </rPr>
      <t>02_</t>
    </r>
    <r>
      <rPr>
        <b/>
        <sz val="10"/>
        <color rgb="FF000000"/>
        <rFont val="DejaVu Sans"/>
        <family val="2"/>
      </rPr>
      <t>의사결정의 평가자 가중치 자동 적용 → 확정 등급</t>
    </r>
  </si>
  <si>
    <t>■ 상반기 역할평가</t>
  </si>
  <si>
    <r>
      <rPr>
        <b/>
        <sz val="10"/>
        <color rgb="FFFFFFFF"/>
        <rFont val="맑은 고딕"/>
        <family val="3"/>
        <charset val="129"/>
      </rPr>
      <t>1</t>
    </r>
    <r>
      <rPr>
        <b/>
        <sz val="10"/>
        <color rgb="FFFFFFFF"/>
        <rFont val="DejaVu Sans"/>
        <family val="2"/>
      </rPr>
      <t>차</t>
    </r>
  </si>
  <si>
    <r>
      <rPr>
        <b/>
        <sz val="10"/>
        <color rgb="FFFFFFFF"/>
        <rFont val="맑은 고딕"/>
        <family val="3"/>
        <charset val="129"/>
      </rPr>
      <t>2</t>
    </r>
    <r>
      <rPr>
        <b/>
        <sz val="10"/>
        <color rgb="FFFFFFFF"/>
        <rFont val="DejaVu Sans"/>
        <family val="2"/>
      </rPr>
      <t>차</t>
    </r>
  </si>
  <si>
    <r>
      <rPr>
        <b/>
        <sz val="10"/>
        <color rgb="FFFFFFFF"/>
        <rFont val="DejaVu Sans"/>
        <family val="2"/>
      </rPr>
      <t>가중평균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점수</t>
    </r>
    <r>
      <rPr>
        <b/>
        <sz val="10"/>
        <color rgb="FFFFFFFF"/>
        <rFont val="맑은 고딕"/>
        <family val="3"/>
        <charset val="129"/>
      </rPr>
      <t>)</t>
    </r>
  </si>
  <si>
    <t>확정등급</t>
  </si>
  <si>
    <t>■ 하반기 역할평가</t>
  </si>
  <si>
    <r>
      <rPr>
        <b/>
        <sz val="14"/>
        <color rgb="FFFFFFFF"/>
        <rFont val="DejaVu Sans"/>
        <family val="2"/>
      </rPr>
      <t xml:space="preserve">공통역량평가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>자동 산출</t>
    </r>
    <r>
      <rPr>
        <b/>
        <sz val="14"/>
        <color rgb="FFFFFFFF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</si>
  <si>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>07a/07b</t>
    </r>
    <r>
      <rPr>
        <b/>
        <sz val="10"/>
        <color rgb="FF000000"/>
        <rFont val="DejaVu Sans"/>
        <family val="2"/>
      </rPr>
      <t xml:space="preserve">의 </t>
    </r>
    <r>
      <rPr>
        <b/>
        <sz val="10"/>
        <color rgb="FF000000"/>
        <rFont val="맑은 고딕"/>
        <family val="3"/>
        <charset val="129"/>
      </rPr>
      <t>1·2</t>
    </r>
    <r>
      <rPr>
        <b/>
        <sz val="10"/>
        <color rgb="FF000000"/>
        <rFont val="DejaVu Sans"/>
        <family val="2"/>
      </rPr>
      <t>차 공통역량 종합 등급 → 평가자 가중치 적용 → 확정 등급</t>
    </r>
  </si>
  <si>
    <t>■ 상반기 공통역량평가</t>
  </si>
  <si>
    <t>■ 하반기 공통역량평가</t>
  </si>
  <si>
    <r>
      <rPr>
        <b/>
        <sz val="14"/>
        <color rgb="FFFFFFFF"/>
        <rFont val="DejaVu Sans"/>
        <family val="2"/>
      </rPr>
      <t xml:space="preserve">직무역량평가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>자동 산출</t>
    </r>
    <r>
      <rPr>
        <b/>
        <sz val="14"/>
        <color rgb="FFFFFFFF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</si>
  <si>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>07a/07b</t>
    </r>
    <r>
      <rPr>
        <b/>
        <sz val="10"/>
        <color rgb="FF000000"/>
        <rFont val="DejaVu Sans"/>
        <family val="2"/>
      </rPr>
      <t xml:space="preserve">의 </t>
    </r>
    <r>
      <rPr>
        <b/>
        <sz val="10"/>
        <color rgb="FF000000"/>
        <rFont val="맑은 고딕"/>
        <family val="3"/>
        <charset val="129"/>
      </rPr>
      <t>1·2</t>
    </r>
    <r>
      <rPr>
        <b/>
        <sz val="10"/>
        <color rgb="FF000000"/>
        <rFont val="DejaVu Sans"/>
        <family val="2"/>
      </rPr>
      <t>차 직무역량 종합 등급 → 평가자 가중치 적용 → 확정 등급</t>
    </r>
  </si>
  <si>
    <t>■ 상반기 직무역량평가</t>
  </si>
  <si>
    <t>메인 책무 수</t>
  </si>
  <si>
    <t>■ 하반기 직무역량평가</t>
  </si>
  <si>
    <t>상반기 평가 결과 입력</t>
  </si>
  <si>
    <r>
      <rPr>
        <b/>
        <sz val="10"/>
        <color rgb="FF000000"/>
        <rFont val="DejaVu Sans"/>
        <family val="2"/>
      </rPr>
      <t xml:space="preserve">평가지에서 각 직원별 </t>
    </r>
    <r>
      <rPr>
        <b/>
        <sz val="10"/>
        <color rgb="FF000000"/>
        <rFont val="맑은 고딕"/>
        <family val="3"/>
        <charset val="129"/>
      </rPr>
      <t>[</t>
    </r>
    <r>
      <rPr>
        <b/>
        <sz val="10"/>
        <color rgb="FF000000"/>
        <rFont val="DejaVu Sans"/>
        <family val="2"/>
      </rPr>
      <t>복사용 입력 행</t>
    </r>
    <r>
      <rPr>
        <b/>
        <sz val="10"/>
        <color rgb="FF000000"/>
        <rFont val="맑은 고딕"/>
        <family val="3"/>
        <charset val="129"/>
      </rPr>
      <t>]</t>
    </r>
    <r>
      <rPr>
        <b/>
        <sz val="10"/>
        <color rgb="FF000000"/>
        <rFont val="DejaVu Sans"/>
        <family val="2"/>
      </rPr>
      <t xml:space="preserve">을 통째로 복사 → 해당 사번 행 </t>
    </r>
    <r>
      <rPr>
        <b/>
        <sz val="10"/>
        <color rgb="FF000000"/>
        <rFont val="맑은 고딕"/>
        <family val="3"/>
        <charset val="129"/>
      </rPr>
      <t>G</t>
    </r>
    <r>
      <rPr>
        <b/>
        <sz val="10"/>
        <color rgb="FF000000"/>
        <rFont val="DejaVu Sans"/>
        <family val="2"/>
      </rPr>
      <t xml:space="preserve">열부터 </t>
    </r>
    <r>
      <rPr>
        <b/>
        <sz val="10"/>
        <color rgb="FF000000"/>
        <rFont val="맑은 고딕"/>
        <family val="3"/>
        <charset val="129"/>
      </rPr>
      <t>[</t>
    </r>
    <r>
      <rPr>
        <b/>
        <sz val="10"/>
        <color rgb="FF000000"/>
        <rFont val="DejaVu Sans"/>
        <family val="2"/>
      </rPr>
      <t>값 붙여넣기</t>
    </r>
    <r>
      <rPr>
        <b/>
        <sz val="10"/>
        <color rgb="FF000000"/>
        <rFont val="맑은 고딕"/>
        <family val="3"/>
        <charset val="129"/>
      </rPr>
      <t>]. 1</t>
    </r>
    <r>
      <rPr>
        <b/>
        <sz val="10"/>
        <color rgb="FF000000"/>
        <rFont val="DejaVu Sans"/>
        <family val="2"/>
      </rPr>
      <t>차</t>
    </r>
    <r>
      <rPr>
        <b/>
        <sz val="10"/>
        <color rgb="FF000000"/>
        <rFont val="맑은 고딕"/>
        <family val="3"/>
        <charset val="129"/>
      </rPr>
      <t>·2</t>
    </r>
    <r>
      <rPr>
        <b/>
        <sz val="10"/>
        <color rgb="FF000000"/>
        <rFont val="DejaVu Sans"/>
        <family val="2"/>
      </rPr>
      <t>차 평가자별 종합 등급을 받고</t>
    </r>
    <r>
      <rPr>
        <b/>
        <sz val="10"/>
        <color rgb="FF000000"/>
        <rFont val="맑은 고딕"/>
        <family val="3"/>
        <charset val="129"/>
      </rPr>
      <t>, 02_</t>
    </r>
    <r>
      <rPr>
        <b/>
        <sz val="10"/>
        <color rgb="FF000000"/>
        <rFont val="DejaVu Sans"/>
        <family val="2"/>
      </rPr>
      <t xml:space="preserve">의사결정의 평가자 가중치를 자동 적용해 </t>
    </r>
    <r>
      <rPr>
        <b/>
        <sz val="10"/>
        <color rgb="FF000000"/>
        <rFont val="맑은 고딕"/>
        <family val="3"/>
        <charset val="129"/>
      </rPr>
      <t xml:space="preserve">04~06 </t>
    </r>
    <r>
      <rPr>
        <b/>
        <sz val="10"/>
        <color rgb="FF000000"/>
        <rFont val="DejaVu Sans"/>
        <family val="2"/>
      </rPr>
      <t>시트에서 확정 등급 산출</t>
    </r>
    <r>
      <rPr>
        <b/>
        <sz val="10"/>
        <color rgb="FF000000"/>
        <rFont val="맑은 고딕"/>
        <family val="3"/>
        <charset val="129"/>
      </rPr>
      <t>.</t>
    </r>
  </si>
  <si>
    <t>인적정보</t>
  </si>
  <si>
    <t>역할평가</t>
  </si>
  <si>
    <t>공통역량</t>
  </si>
  <si>
    <t>직무역량</t>
  </si>
  <si>
    <t>소견</t>
  </si>
  <si>
    <r>
      <rPr>
        <b/>
        <sz val="10"/>
        <color rgb="FFFFFFFF"/>
        <rFont val="DejaVu Sans"/>
        <family val="2"/>
      </rPr>
      <t>역할</t>
    </r>
    <r>
      <rPr>
        <b/>
        <sz val="10"/>
        <color rgb="FFFFFFFF"/>
        <rFont val="맑은 고딕"/>
        <family val="3"/>
        <charset val="129"/>
      </rPr>
      <t>(1</t>
    </r>
    <r>
      <rPr>
        <b/>
        <sz val="10"/>
        <color rgb="FFFFFFFF"/>
        <rFont val="DejaVu Sans"/>
        <family val="2"/>
      </rPr>
      <t>차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</si>
  <si>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역할</t>
    </r>
    <r>
      <rPr>
        <b/>
        <sz val="10"/>
        <color rgb="FFFFFFFF"/>
        <rFont val="맑은 고딕"/>
        <family val="3"/>
        <charset val="129"/>
      </rPr>
      <t>(2</t>
    </r>
    <r>
      <rPr>
        <b/>
        <sz val="10"/>
        <color rgb="FFFFFFFF"/>
        <rFont val="DejaVu Sans"/>
        <family val="2"/>
      </rPr>
      <t>차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</si>
  <si>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공통</t>
    </r>
    <r>
      <rPr>
        <b/>
        <sz val="10"/>
        <color rgb="FFFFFFFF"/>
        <rFont val="맑은 고딕"/>
        <family val="3"/>
        <charset val="129"/>
      </rPr>
      <t>(1</t>
    </r>
    <r>
      <rPr>
        <b/>
        <sz val="10"/>
        <color rgb="FFFFFFFF"/>
        <rFont val="DejaVu Sans"/>
        <family val="2"/>
      </rPr>
      <t>차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</si>
  <si>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공통</t>
    </r>
    <r>
      <rPr>
        <b/>
        <sz val="10"/>
        <color rgb="FFFFFFFF"/>
        <rFont val="맑은 고딕"/>
        <family val="3"/>
        <charset val="129"/>
      </rPr>
      <t>(2</t>
    </r>
    <r>
      <rPr>
        <b/>
        <sz val="10"/>
        <color rgb="FFFFFFFF"/>
        <rFont val="DejaVu Sans"/>
        <family val="2"/>
      </rPr>
      <t>차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</si>
  <si>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직무</t>
    </r>
    <r>
      <rPr>
        <b/>
        <sz val="10"/>
        <color rgb="FFFFFFFF"/>
        <rFont val="맑은 고딕"/>
        <family val="3"/>
        <charset val="129"/>
      </rPr>
      <t>(1</t>
    </r>
    <r>
      <rPr>
        <b/>
        <sz val="10"/>
        <color rgb="FFFFFFFF"/>
        <rFont val="DejaVu Sans"/>
        <family val="2"/>
      </rPr>
      <t>차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</si>
  <si>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직무</t>
    </r>
    <r>
      <rPr>
        <b/>
        <sz val="10"/>
        <color rgb="FFFFFFFF"/>
        <rFont val="맑은 고딕"/>
        <family val="3"/>
        <charset val="129"/>
      </rPr>
      <t>(2</t>
    </r>
    <r>
      <rPr>
        <b/>
        <sz val="10"/>
        <color rgb="FFFFFFFF"/>
        <rFont val="DejaVu Sans"/>
        <family val="2"/>
      </rPr>
      <t>차</t>
    </r>
    <r>
      <rPr>
        <b/>
        <sz val="10"/>
        <color rgb="FFFFFFFF"/>
        <rFont val="맑은 고딕"/>
        <family val="3"/>
        <charset val="129"/>
      </rPr>
      <t>)</t>
    </r>
  </si>
  <si>
    <t>종합 소견</t>
  </si>
  <si>
    <t>하반기 평가 결과 입력</t>
  </si>
  <si>
    <r>
      <rPr>
        <b/>
        <sz val="14"/>
        <color rgb="FFFFFFFF"/>
        <rFont val="DejaVu Sans"/>
        <family val="2"/>
      </rPr>
      <t xml:space="preserve">종합 성과평가 </t>
    </r>
    <r>
      <rPr>
        <b/>
        <sz val="14"/>
        <color rgb="FFFFFFFF"/>
        <rFont val="맑은 고딕"/>
        <family val="3"/>
        <charset val="129"/>
      </rPr>
      <t>- 3</t>
    </r>
    <r>
      <rPr>
        <b/>
        <sz val="14"/>
        <color rgb="FFFFFFFF"/>
        <rFont val="DejaVu Sans"/>
        <family val="2"/>
      </rPr>
      <t xml:space="preserve">축 통합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 xml:space="preserve">역할 </t>
    </r>
    <r>
      <rPr>
        <b/>
        <sz val="14"/>
        <color rgb="FFFFFFFF"/>
        <rFont val="맑은 고딕"/>
        <family val="3"/>
        <charset val="129"/>
      </rPr>
      <t xml:space="preserve">+ </t>
    </r>
    <r>
      <rPr>
        <b/>
        <sz val="14"/>
        <color rgb="FFFFFFFF"/>
        <rFont val="DejaVu Sans"/>
        <family val="2"/>
      </rPr>
      <t xml:space="preserve">공통 </t>
    </r>
    <r>
      <rPr>
        <b/>
        <sz val="14"/>
        <color rgb="FFFFFFFF"/>
        <rFont val="맑은 고딕"/>
        <family val="3"/>
        <charset val="129"/>
      </rPr>
      <t xml:space="preserve">+ </t>
    </r>
    <r>
      <rPr>
        <b/>
        <sz val="14"/>
        <color rgb="FFFFFFFF"/>
        <rFont val="DejaVu Sans"/>
        <family val="2"/>
      </rPr>
      <t>직무</t>
    </r>
    <r>
      <rPr>
        <b/>
        <sz val="14"/>
        <color rgb="FFFFFFFF"/>
        <rFont val="맑은 고딕"/>
        <family val="3"/>
        <charset val="129"/>
      </rPr>
      <t xml:space="preserve">) + </t>
    </r>
    <r>
      <rPr>
        <b/>
        <sz val="14"/>
        <color rgb="FFFFFFFF"/>
        <rFont val="DejaVu Sans"/>
        <family val="2"/>
      </rPr>
      <t>최종등급</t>
    </r>
  </si>
  <si>
    <r>
      <rPr>
        <sz val="10"/>
        <color rgb="FF000000"/>
        <rFont val="DejaVu Sans"/>
        <family val="2"/>
      </rPr>
      <t>직급별 가변 가중치 적용 → 종합점수 → 절대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상대평가 최종등급 자동 산출</t>
    </r>
  </si>
  <si>
    <r>
      <rPr>
        <b/>
        <sz val="9"/>
        <color rgb="FFFFFFFF"/>
        <rFont val="DejaVu Sans"/>
        <family val="2"/>
      </rPr>
      <t>역할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상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</si>
  <si>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DejaVu Sans"/>
        <family val="2"/>
      </rPr>
      <t>역할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하</t>
    </r>
    <r>
      <rPr>
        <b/>
        <sz val="9"/>
        <color rgb="FFFFFFFF"/>
        <rFont val="맑은 고딕"/>
        <family val="3"/>
        <charset val="129"/>
      </rPr>
      <t>)</t>
    </r>
  </si>
  <si>
    <t>역할점수</t>
  </si>
  <si>
    <r>
      <rPr>
        <b/>
        <sz val="9"/>
        <color rgb="FFFFFFFF"/>
        <rFont val="DejaVu Sans"/>
        <family val="2"/>
      </rPr>
      <t>공통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상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</si>
  <si>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DejaVu Sans"/>
        <family val="2"/>
      </rPr>
      <t>공통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하</t>
    </r>
    <r>
      <rPr>
        <b/>
        <sz val="9"/>
        <color rgb="FFFFFFFF"/>
        <rFont val="맑은 고딕"/>
        <family val="3"/>
        <charset val="129"/>
      </rPr>
      <t>)</t>
    </r>
  </si>
  <si>
    <t>공통점수</t>
  </si>
  <si>
    <r>
      <rPr>
        <b/>
        <sz val="9"/>
        <color rgb="FFFFFFFF"/>
        <rFont val="DejaVu Sans"/>
        <family val="2"/>
      </rPr>
      <t>직무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상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</si>
  <si>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DejaVu Sans"/>
        <family val="2"/>
      </rPr>
      <t>직무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하</t>
    </r>
    <r>
      <rPr>
        <b/>
        <sz val="9"/>
        <color rgb="FFFFFFFF"/>
        <rFont val="맑은 고딕"/>
        <family val="3"/>
        <charset val="129"/>
      </rPr>
      <t>)</t>
    </r>
  </si>
  <si>
    <t>직무점수</t>
  </si>
  <si>
    <r>
      <rPr>
        <b/>
        <sz val="9"/>
        <color rgb="FFFFFFFF"/>
        <rFont val="DejaVu Sans"/>
        <family val="2"/>
      </rPr>
      <t>가중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역할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</si>
  <si>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DejaVu Sans"/>
        <family val="2"/>
      </rPr>
      <t>가중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공통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</si>
  <si>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DejaVu Sans"/>
        <family val="2"/>
      </rPr>
      <t>가중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직무</t>
    </r>
    <r>
      <rPr>
        <b/>
        <sz val="9"/>
        <color rgb="FFFFFFFF"/>
        <rFont val="맑은 고딕"/>
        <family val="3"/>
        <charset val="129"/>
      </rPr>
      <t>)</t>
    </r>
  </si>
  <si>
    <t>종합점수</t>
  </si>
  <si>
    <t>절대등급</t>
  </si>
  <si>
    <t>최종등급</t>
  </si>
  <si>
    <t>종합 코멘트</t>
  </si>
  <si>
    <r>
      <rPr>
        <b/>
        <sz val="14"/>
        <color rgb="FFFFFFFF"/>
        <rFont val="DejaVu Sans"/>
        <family val="2"/>
      </rPr>
      <t xml:space="preserve">성과평가 → 보상 연계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>기본연봉 인상</t>
    </r>
    <r>
      <rPr>
        <b/>
        <sz val="14"/>
        <color rgb="FFFFFFFF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</si>
  <si>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08 </t>
    </r>
    <r>
      <rPr>
        <sz val="10"/>
        <color rgb="FF000000"/>
        <rFont val="DejaVu Sans"/>
        <family val="2"/>
      </rPr>
      <t>종합평가의 최종등급 → 인상률 → 차년도 기본연봉 자동 산출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>페이밴드 검증 포함</t>
    </r>
    <r>
      <rPr>
        <sz val="10"/>
        <color rgb="FF000000"/>
        <rFont val="맑은 고딕"/>
        <family val="3"/>
        <charset val="129"/>
      </rPr>
      <t>.</t>
    </r>
  </si>
  <si>
    <t>현재 연봉</t>
  </si>
  <si>
    <t>평가인상률</t>
  </si>
  <si>
    <t>승진여부</t>
  </si>
  <si>
    <t>승진인상률</t>
  </si>
  <si>
    <t>총인상률</t>
  </si>
  <si>
    <r>
      <rPr>
        <b/>
        <sz val="10"/>
        <color rgb="FFFFFFFF"/>
        <rFont val="DejaVu Sans"/>
        <family val="2"/>
      </rPr>
      <t xml:space="preserve">페이밴드 </t>
    </r>
    <r>
      <rPr>
        <b/>
        <sz val="10"/>
        <color rgb="FFFFFFFF"/>
        <rFont val="맑은 고딕"/>
        <family val="3"/>
        <charset val="129"/>
      </rPr>
      <t>Min</t>
    </r>
  </si>
  <si>
    <r>
      <rPr>
        <b/>
        <sz val="10"/>
        <color rgb="FFFFFFFF"/>
        <rFont val="DejaVu Sans"/>
        <family val="2"/>
      </rPr>
      <t xml:space="preserve">페이밴드 </t>
    </r>
    <r>
      <rPr>
        <b/>
        <sz val="10"/>
        <color rgb="FFFFFFFF"/>
        <rFont val="맑은 고딕"/>
        <family val="3"/>
        <charset val="129"/>
      </rPr>
      <t>Max</t>
    </r>
  </si>
  <si>
    <r>
      <rPr>
        <b/>
        <sz val="10"/>
        <color rgb="FFFFFFFF"/>
        <rFont val="DejaVu Sans"/>
        <family val="2"/>
      </rPr>
      <t>신규연봉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안</t>
    </r>
    <r>
      <rPr>
        <b/>
        <sz val="10"/>
        <color rgb="FFFFFFFF"/>
        <rFont val="맑은 고딕"/>
        <family val="3"/>
        <charset val="129"/>
      </rPr>
      <t>)</t>
    </r>
  </si>
  <si>
    <t>연봉확정</t>
  </si>
  <si>
    <t>인상액</t>
  </si>
  <si>
    <t>N</t>
  </si>
  <si>
    <r>
      <rPr>
        <b/>
        <sz val="14"/>
        <color rgb="FFFFFFFF"/>
        <rFont val="DejaVu Sans"/>
        <family val="2"/>
      </rPr>
      <t>성과급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>인센티브</t>
    </r>
    <r>
      <rPr>
        <b/>
        <sz val="14"/>
        <color rgb="FFFFFFFF"/>
        <rFont val="맑은 고딕"/>
        <family val="3"/>
        <charset val="129"/>
      </rPr>
      <t xml:space="preserve">) </t>
    </r>
    <r>
      <rPr>
        <b/>
        <sz val="14"/>
        <color rgb="FFFFFFFF"/>
        <rFont val="DejaVu Sans"/>
        <family val="2"/>
      </rPr>
      <t>관리 — 등급별 자동 산출</t>
    </r>
  </si>
  <si>
    <r>
      <rPr>
        <sz val="10"/>
        <color rgb="FF000000"/>
        <rFont val="맑은 고딕"/>
        <family val="3"/>
        <charset val="129"/>
      </rPr>
      <t xml:space="preserve">08 </t>
    </r>
    <r>
      <rPr>
        <sz val="10"/>
        <color rgb="FF000000"/>
        <rFont val="DejaVu Sans"/>
        <family val="2"/>
      </rPr>
      <t>종합평가의 최종등급에 따라 자동 산정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 xml:space="preserve">전사 </t>
    </r>
    <r>
      <rPr>
        <sz val="10"/>
        <color rgb="FF000000"/>
        <rFont val="맑은 고딕"/>
        <family val="3"/>
        <charset val="129"/>
      </rPr>
      <t xml:space="preserve">KPI </t>
    </r>
    <r>
      <rPr>
        <sz val="10"/>
        <color rgb="FF000000"/>
        <rFont val="DejaVu Sans"/>
        <family val="2"/>
      </rPr>
      <t>달성률로 재원 가산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</si>
  <si>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2"/>
        <color rgb="FFFFFFFF"/>
        <rFont val="DejaVu Sans"/>
        <family val="2"/>
      </rPr>
      <t xml:space="preserve">■ 전사 </t>
    </r>
    <r>
      <rPr>
        <b/>
        <sz val="12"/>
        <color rgb="FFFFFFFF"/>
        <rFont val="맑은 고딕"/>
        <family val="3"/>
        <charset val="129"/>
      </rPr>
      <t xml:space="preserve">KPI </t>
    </r>
    <r>
      <rPr>
        <b/>
        <sz val="12"/>
        <color rgb="FFFFFFFF"/>
        <rFont val="DejaVu Sans"/>
        <family val="2"/>
      </rPr>
      <t>달성률 → 성과급 재원 가산 계수</t>
    </r>
  </si>
  <si>
    <r>
      <rPr>
        <b/>
        <sz val="11"/>
        <color rgb="FF000000"/>
        <rFont val="DejaVu Sans"/>
        <family val="2"/>
      </rPr>
      <t xml:space="preserve">전사 </t>
    </r>
    <r>
      <rPr>
        <b/>
        <sz val="11"/>
        <color rgb="FF000000"/>
        <rFont val="맑은 고딕"/>
        <family val="3"/>
        <charset val="129"/>
      </rPr>
      <t xml:space="preserve">KPI </t>
    </r>
    <r>
      <rPr>
        <b/>
        <sz val="11"/>
        <color rgb="FF000000"/>
        <rFont val="DejaVu Sans"/>
        <family val="2"/>
      </rPr>
      <t>종합등급</t>
    </r>
  </si>
  <si>
    <r>
      <rPr>
        <b/>
        <sz val="11"/>
        <color rgb="FF000000"/>
        <rFont val="맑은 고딕"/>
        <family val="3"/>
        <charset val="129"/>
      </rPr>
      <t xml:space="preserve">KPI </t>
    </r>
    <r>
      <rPr>
        <b/>
        <sz val="11"/>
        <color rgb="FF000000"/>
        <rFont val="DejaVu Sans"/>
        <family val="2"/>
      </rPr>
      <t>가산 계수</t>
    </r>
  </si>
  <si>
    <t>수동 조정</t>
  </si>
  <si>
    <r>
      <rPr>
        <sz val="11"/>
        <color rgb="FF000000"/>
        <rFont val="맑은 고딕"/>
        <family val="3"/>
        <charset val="129"/>
      </rPr>
      <t xml:space="preserve">S/A </t>
    </r>
    <r>
      <rPr>
        <sz val="11"/>
        <color rgb="FF000000"/>
        <rFont val="DejaVu Sans"/>
        <family val="2"/>
      </rPr>
      <t>등급 시 가산</t>
    </r>
    <r>
      <rPr>
        <sz val="11"/>
        <color rgb="FF000000"/>
        <rFont val="맑은 고딕"/>
        <family val="3"/>
        <charset val="129"/>
      </rPr>
      <t xml:space="preserve">, C/D </t>
    </r>
    <r>
      <rPr>
        <sz val="11"/>
        <color rgb="FF000000"/>
        <rFont val="DejaVu Sans"/>
        <family val="2"/>
      </rPr>
      <t>등급 시 감산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DejaVu Sans"/>
        <family val="2"/>
      </rPr>
      <t>수동 조정란에 직접 입력해 덮어쓰기 가능</t>
    </r>
    <r>
      <rPr>
        <sz val="11"/>
        <color rgb="FF000000"/>
        <rFont val="맑은 고딕"/>
        <family val="3"/>
        <charset val="129"/>
      </rPr>
      <t>.</t>
    </r>
  </si>
  <si>
    <t>■ 개인별 성과급 산출</t>
  </si>
  <si>
    <r>
      <rPr>
        <b/>
        <sz val="10"/>
        <color rgb="FFFFFFFF"/>
        <rFont val="DejaVu Sans"/>
        <family val="2"/>
      </rPr>
      <t>연봉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현재</t>
    </r>
    <r>
      <rPr>
        <b/>
        <sz val="10"/>
        <color rgb="FFFFFFFF"/>
        <rFont val="맑은 고딕"/>
        <family val="3"/>
        <charset val="129"/>
      </rPr>
      <t>)</t>
    </r>
  </si>
  <si>
    <t>월급여</t>
  </si>
  <si>
    <t>기본 성과급률</t>
  </si>
  <si>
    <r>
      <rPr>
        <b/>
        <sz val="10"/>
        <color rgb="FFFFFFFF"/>
        <rFont val="DejaVu Sans"/>
        <family val="2"/>
      </rPr>
      <t>기본 성과급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</si>
  <si>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가산계수</t>
  </si>
  <si>
    <t>최종 성과급</t>
  </si>
  <si>
    <t>총 성과급 재원</t>
  </si>
  <si>
    <t>페이밴드 적합성 검증</t>
  </si>
  <si>
    <r>
      <rPr>
        <sz val="10"/>
        <color rgb="FF000000"/>
        <rFont val="DejaVu Sans"/>
        <family val="2"/>
      </rPr>
      <t>현재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인상 후 연봉의 페이밴드 위치를 자동 검증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>이탈자는 자동 식별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</si>
  <si>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2"/>
        <color rgb="FFFFFFFF"/>
        <rFont val="DejaVu Sans"/>
        <family val="2"/>
      </rPr>
      <t xml:space="preserve">■ 등급별 페이밴드 </t>
    </r>
    <r>
      <rPr>
        <b/>
        <sz val="12"/>
        <color rgb="FFFFFFFF"/>
        <rFont val="맑은 고딕"/>
        <family val="3"/>
        <charset val="129"/>
      </rPr>
      <t xml:space="preserve">(02 </t>
    </r>
    <r>
      <rPr>
        <b/>
        <sz val="12"/>
        <color rgb="FFFFFFFF"/>
        <rFont val="DejaVu Sans"/>
        <family val="2"/>
      </rPr>
      <t>자동 참조</t>
    </r>
    <r>
      <rPr>
        <b/>
        <sz val="12"/>
        <color rgb="FFFFFFFF"/>
        <rFont val="맑은 고딕"/>
        <family val="3"/>
        <charset val="129"/>
      </rPr>
      <t>)</t>
    </r>
  </si>
  <si>
    <t>최소</t>
  </si>
  <si>
    <t>중위</t>
  </si>
  <si>
    <t>최대</t>
  </si>
  <si>
    <t>해당 인원</t>
  </si>
  <si>
    <t>범위 내</t>
  </si>
  <si>
    <t>이탈</t>
  </si>
  <si>
    <r>
      <rPr>
        <b/>
        <sz val="12"/>
        <color rgb="FFFFFFFF"/>
        <rFont val="DejaVu Sans"/>
        <family val="2"/>
      </rPr>
      <t xml:space="preserve">■ 페이밴드 이탈자 명단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>자동 식별</t>
    </r>
    <r>
      <rPr>
        <b/>
        <sz val="12"/>
        <color rgb="FFFFFFFF"/>
        <rFont val="맑은 고딕"/>
        <family val="3"/>
        <charset val="129"/>
      </rPr>
      <t>)</t>
    </r>
  </si>
  <si>
    <t>확정 연봉</t>
  </si>
  <si>
    <t>Min</t>
  </si>
  <si>
    <t>Max</t>
  </si>
  <si>
    <t>이탈 방향</t>
  </si>
  <si>
    <t>조정 권고</t>
  </si>
  <si>
    <r>
      <rPr>
        <b/>
        <sz val="14"/>
        <color rgb="FFFFFFFF"/>
        <rFont val="맑은 고딕"/>
        <family val="3"/>
        <charset val="129"/>
      </rPr>
      <t xml:space="preserve">End-to-End </t>
    </r>
    <r>
      <rPr>
        <b/>
        <sz val="14"/>
        <color rgb="FFFFFFFF"/>
        <rFont val="DejaVu Sans"/>
        <family val="2"/>
      </rPr>
      <t>시뮬레이션 대시보드</t>
    </r>
  </si>
  <si>
    <r>
      <rPr>
        <sz val="10"/>
        <color rgb="FF000000"/>
        <rFont val="맑은 고딕"/>
        <family val="3"/>
        <charset val="129"/>
      </rPr>
      <t>07a/07b</t>
    </r>
    <r>
      <rPr>
        <sz val="10"/>
        <color rgb="FF000000"/>
        <rFont val="DejaVu Sans"/>
        <family val="2"/>
      </rPr>
      <t>에 등급 입력 시 모든 시트가 갱신되어 여기에 종합 요약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>변경 시뮬레이션 확인용</t>
    </r>
    <r>
      <rPr>
        <sz val="10"/>
        <color rgb="FF000000"/>
        <rFont val="맑은 고딕"/>
        <family val="3"/>
        <charset val="129"/>
      </rPr>
      <t>.</t>
    </r>
  </si>
  <si>
    <t>▶ 종합 요약</t>
  </si>
  <si>
    <t>총 인원</t>
  </si>
  <si>
    <r>
      <rPr>
        <b/>
        <sz val="11"/>
        <color rgb="FF000000"/>
        <rFont val="DejaVu Sans"/>
        <family val="2"/>
      </rPr>
      <t>연봉 총액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DejaVu Sans"/>
        <family val="2"/>
      </rPr>
      <t>현재</t>
    </r>
    <r>
      <rPr>
        <b/>
        <sz val="11"/>
        <color rgb="FF000000"/>
        <rFont val="맑은 고딕"/>
        <family val="3"/>
        <charset val="129"/>
      </rPr>
      <t>)</t>
    </r>
  </si>
  <si>
    <r>
      <rPr>
        <b/>
        <sz val="11"/>
        <color rgb="FF000000"/>
        <rFont val="DejaVu Sans"/>
        <family val="2"/>
      </rPr>
      <t>연봉 총액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DejaVu Sans"/>
        <family val="2"/>
      </rPr>
      <t>인상후</t>
    </r>
    <r>
      <rPr>
        <b/>
        <sz val="11"/>
        <color rgb="FF000000"/>
        <rFont val="맑은 고딕"/>
        <family val="3"/>
        <charset val="129"/>
      </rPr>
      <t>)</t>
    </r>
  </si>
  <si>
    <t>총 인상액</t>
  </si>
  <si>
    <r>
      <rPr>
        <b/>
        <sz val="11"/>
        <color rgb="FF000000"/>
        <rFont val="DejaVu Sans"/>
        <family val="2"/>
      </rPr>
      <t xml:space="preserve">인상률 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DejaVu Sans"/>
        <family val="2"/>
      </rPr>
      <t>평균</t>
    </r>
    <r>
      <rPr>
        <b/>
        <sz val="11"/>
        <color rgb="FF000000"/>
        <rFont val="맑은 고딕"/>
        <family val="3"/>
        <charset val="129"/>
      </rPr>
      <t>)</t>
    </r>
  </si>
  <si>
    <t>성과급 재원</t>
  </si>
  <si>
    <t>페이밴드 이탈자</t>
  </si>
  <si>
    <r>
      <rPr>
        <b/>
        <sz val="12"/>
        <color rgb="FFFFFFFF"/>
        <rFont val="DejaVu Sans"/>
        <family val="2"/>
      </rPr>
      <t xml:space="preserve">▶ 평가 등급 분포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>전사</t>
    </r>
    <r>
      <rPr>
        <b/>
        <sz val="12"/>
        <color rgb="FFFFFFFF"/>
        <rFont val="맑은 고딕"/>
        <family val="3"/>
        <charset val="129"/>
      </rPr>
      <t>)</t>
    </r>
  </si>
  <si>
    <t>비율</t>
  </si>
  <si>
    <t>▶ 부서별 평균 인상률</t>
  </si>
  <si>
    <t>인원</t>
  </si>
  <si>
    <t>평균 인상률</t>
  </si>
  <si>
    <r>
      <rPr>
        <b/>
        <sz val="11"/>
        <color rgb="FF000000"/>
        <rFont val="맑은 고딕"/>
        <family val="3"/>
        <charset val="129"/>
      </rPr>
      <t>R&amp;D</t>
    </r>
    <r>
      <rPr>
        <b/>
        <sz val="11"/>
        <color rgb="FF000000"/>
        <rFont val="DejaVu Sans"/>
        <family val="2"/>
      </rPr>
      <t>본부</t>
    </r>
  </si>
  <si>
    <r>
      <rPr>
        <b/>
        <sz val="14"/>
        <color rgb="FFFFFFFF"/>
        <rFont val="DejaVu Sans"/>
        <family val="2"/>
      </rPr>
      <t>직무</t>
    </r>
    <r>
      <rPr>
        <b/>
        <sz val="14"/>
        <color rgb="FFFFFFFF"/>
        <rFont val="맑은 고딕"/>
        <family val="3"/>
        <charset val="129"/>
      </rPr>
      <t>·</t>
    </r>
    <r>
      <rPr>
        <b/>
        <sz val="14"/>
        <color rgb="FFFFFFFF"/>
        <rFont val="DejaVu Sans"/>
        <family val="2"/>
      </rPr>
      <t>역할등급 정의 데이터베이스</t>
    </r>
  </si>
  <si>
    <r>
      <rPr>
        <sz val="10"/>
        <color rgb="FF000000"/>
        <rFont val="DejaVu Sans"/>
        <family val="2"/>
      </rPr>
      <t xml:space="preserve">직무 </t>
    </r>
    <r>
      <rPr>
        <sz val="10"/>
        <color rgb="FF000000"/>
        <rFont val="맑은 고딕"/>
        <family val="3"/>
        <charset val="129"/>
      </rPr>
      <t xml:space="preserve">× </t>
    </r>
    <r>
      <rPr>
        <sz val="10"/>
        <color rgb="FF000000"/>
        <rFont val="DejaVu Sans"/>
        <family val="2"/>
      </rPr>
      <t>역할등급</t>
    </r>
    <r>
      <rPr>
        <sz val="10"/>
        <color rgb="FF000000"/>
        <rFont val="맑은 고딕"/>
        <family val="3"/>
        <charset val="129"/>
      </rPr>
      <t xml:space="preserve">(G1~G6). </t>
    </r>
    <r>
      <rPr>
        <sz val="10"/>
        <color rgb="FF000000"/>
        <rFont val="DejaVu Sans"/>
        <family val="2"/>
      </rPr>
      <t>모든 시트가 조회키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직무</t>
    </r>
    <r>
      <rPr>
        <sz val="10"/>
        <color rgb="FF000000"/>
        <rFont val="맑은 고딕"/>
        <family val="3"/>
        <charset val="129"/>
      </rPr>
      <t>_</t>
    </r>
    <r>
      <rPr>
        <sz val="10"/>
        <color rgb="FF000000"/>
        <rFont val="DejaVu Sans"/>
        <family val="2"/>
      </rPr>
      <t>등급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 xml:space="preserve">로 </t>
    </r>
    <r>
      <rPr>
        <sz val="10"/>
        <color rgb="FF000000"/>
        <rFont val="맑은 고딕"/>
        <family val="3"/>
        <charset val="129"/>
      </rPr>
      <t xml:space="preserve">VLOOKUP </t>
    </r>
    <r>
      <rPr>
        <sz val="10"/>
        <color rgb="FF000000"/>
        <rFont val="DejaVu Sans"/>
        <family val="2"/>
      </rPr>
      <t>참조</t>
    </r>
  </si>
  <si>
    <t>조회키</t>
  </si>
  <si>
    <t>역할명</t>
  </si>
  <si>
    <t>역할 정의</t>
  </si>
  <si>
    <t>책임범위</t>
  </si>
  <si>
    <t>권한 수준</t>
  </si>
  <si>
    <t>표준연한</t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</si>
  <si>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_G6</t>
    </r>
  </si>
  <si>
    <r>
      <rPr>
        <b/>
        <sz val="11"/>
        <color rgb="FF000000"/>
        <rFont val="DejaVu Sans"/>
        <family val="2"/>
      </rPr>
      <t>사업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조직 관리</t>
    </r>
  </si>
  <si>
    <r>
      <rPr>
        <sz val="11"/>
        <color rgb="FF000000"/>
        <rFont val="DejaVu Sans"/>
        <family val="2"/>
      </rPr>
      <t>회사의 비전과 중장기 전략을 총괄하며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경영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인사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재무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마케팅 등 핵심 기능을 통합 관리하고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전사 의사결정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대외 협력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리스크 관리를 주도</t>
    </r>
  </si>
  <si>
    <r>
      <rPr>
        <sz val="11"/>
        <color rgb="FF000000"/>
        <rFont val="DejaVu Sans"/>
        <family val="2"/>
      </rPr>
      <t xml:space="preserve">전사 </t>
    </r>
    <r>
      <rPr>
        <sz val="11"/>
        <color rgb="FF000000"/>
        <rFont val="맑은 고딕"/>
        <family val="3"/>
        <charset val="129"/>
      </rPr>
      <t xml:space="preserve">KPI </t>
    </r>
    <r>
      <rPr>
        <sz val="11"/>
        <color rgb="FF000000"/>
        <rFont val="DejaVu Sans"/>
        <family val="2"/>
      </rPr>
      <t>달성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손익 책임</t>
    </r>
  </si>
  <si>
    <r>
      <rPr>
        <sz val="11"/>
        <color rgb="FF000000"/>
        <rFont val="DejaVu Sans"/>
        <family val="2"/>
      </rPr>
      <t>전사 의사결정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예산 편성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인력 승인</t>
    </r>
  </si>
  <si>
    <r>
      <rPr>
        <sz val="11"/>
        <color rgb="FF000000"/>
        <rFont val="맑은 고딕"/>
        <family val="3"/>
        <charset val="129"/>
      </rPr>
      <t>5</t>
    </r>
    <r>
      <rPr>
        <sz val="11"/>
        <color rgb="FF000000"/>
        <rFont val="DejaVu Sans"/>
        <family val="2"/>
      </rPr>
      <t>년 이상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</si>
  <si>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_G5-M</t>
    </r>
  </si>
  <si>
    <r>
      <rPr>
        <b/>
        <sz val="11"/>
        <color rgb="FF000000"/>
        <rFont val="DejaVu Sans"/>
        <family val="2"/>
      </rPr>
      <t>직무 관리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DejaVu Sans"/>
        <family val="2"/>
      </rPr>
      <t>부서장</t>
    </r>
    <r>
      <rPr>
        <b/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</si>
  <si>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DejaVu Sans"/>
        <family val="2"/>
      </rPr>
      <t>부서 전략 및 목표를 수립하고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자원 배분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예산 관리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성과 관리를 통해 조직 성과 달성을 책임지고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부서 내 의사결정을 주도</t>
    </r>
  </si>
  <si>
    <r>
      <rPr>
        <sz val="11"/>
        <color rgb="FF000000"/>
        <rFont val="DejaVu Sans"/>
        <family val="2"/>
      </rPr>
      <t xml:space="preserve">부서 </t>
    </r>
    <r>
      <rPr>
        <sz val="11"/>
        <color rgb="FF000000"/>
        <rFont val="맑은 고딕"/>
        <family val="3"/>
        <charset val="129"/>
      </rPr>
      <t xml:space="preserve">KPI </t>
    </r>
    <r>
      <rPr>
        <sz val="11"/>
        <color rgb="FF000000"/>
        <rFont val="DejaVu Sans"/>
        <family val="2"/>
      </rPr>
      <t>달성 책임</t>
    </r>
  </si>
  <si>
    <r>
      <rPr>
        <sz val="11"/>
        <color rgb="FF000000"/>
        <rFont val="DejaVu Sans"/>
        <family val="2"/>
      </rPr>
      <t>부서 의사결정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예산 배분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채용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승진 제안</t>
    </r>
  </si>
  <si>
    <r>
      <rPr>
        <sz val="11"/>
        <color rgb="FF000000"/>
        <rFont val="맑은 고딕"/>
        <family val="3"/>
        <charset val="129"/>
      </rPr>
      <t>4</t>
    </r>
    <r>
      <rPr>
        <sz val="11"/>
        <color rgb="FF000000"/>
        <rFont val="DejaVu Sans"/>
        <family val="2"/>
      </rPr>
      <t>년 이상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</si>
  <si>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_G5-S</t>
    </r>
  </si>
  <si>
    <t>실무 스페셜리스트</t>
  </si>
  <si>
    <r>
      <rPr>
        <sz val="11"/>
        <color rgb="FF000000"/>
        <rFont val="DejaVu Sans"/>
        <family val="2"/>
      </rPr>
      <t>직무 최고 수준의 전문성과 현장 경험을 기반으로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복잡하고 고난이도의 프로젝트를 성공적으로 수행하며 내부 기술 자산화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전파를 주도</t>
    </r>
  </si>
  <si>
    <r>
      <rPr>
        <sz val="11"/>
        <color rgb="FF000000"/>
        <rFont val="DejaVu Sans"/>
        <family val="2"/>
      </rPr>
      <t>핵심 기술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과제 성과 책임</t>
    </r>
  </si>
  <si>
    <t>전문 영역 의사결정</t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</si>
  <si>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_G4</t>
    </r>
  </si>
  <si>
    <r>
      <rPr>
        <b/>
        <sz val="11"/>
        <color rgb="FF000000"/>
        <rFont val="DejaVu Sans"/>
        <family val="2"/>
      </rPr>
      <t>실무 책임</t>
    </r>
    <r>
      <rPr>
        <b/>
        <sz val="11"/>
        <color rgb="FF000000"/>
        <rFont val="맑은 고딕"/>
        <family val="3"/>
        <charset val="129"/>
      </rPr>
      <t>(PM)</t>
    </r>
  </si>
  <si>
    <r>
      <rPr>
        <sz val="11"/>
        <color rgb="FF000000"/>
        <rFont val="DejaVu Sans"/>
        <family val="2"/>
      </rPr>
      <t>단위 프로젝트의 전략 수립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추진을 주도하며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예산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일정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품질 등 목표 달성을 책임지고 성과를 보고</t>
    </r>
  </si>
  <si>
    <t>프로젝트 성과 책임</t>
  </si>
  <si>
    <r>
      <rPr>
        <sz val="11"/>
        <color rgb="FF000000"/>
        <rFont val="DejaVu Sans"/>
        <family val="2"/>
      </rPr>
      <t>프로젝트 의사결정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예산 집행</t>
    </r>
  </si>
  <si>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DejaVu Sans"/>
        <family val="2"/>
      </rPr>
      <t>년 이상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</si>
  <si>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_G3</t>
    </r>
  </si>
  <si>
    <t>핵심 실무</t>
  </si>
  <si>
    <r>
      <rPr>
        <sz val="11"/>
        <color rgb="FF000000"/>
        <rFont val="DejaVu Sans"/>
        <family val="2"/>
      </rPr>
      <t>전문 지식과 기술을 활용해 프로젝트 핵심 과업을 기획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수행하며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산출물 품질과 일정 준수를 책임지는 중추적 역할</t>
    </r>
  </si>
  <si>
    <r>
      <rPr>
        <sz val="11"/>
        <color rgb="FF000000"/>
        <rFont val="DejaVu Sans"/>
        <family val="2"/>
      </rPr>
      <t>모듈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과업 성과</t>
    </r>
  </si>
  <si>
    <t>모듈 범위 자율</t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</si>
  <si>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_G2</t>
    </r>
  </si>
  <si>
    <t>실무</t>
  </si>
  <si>
    <r>
      <rPr>
        <sz val="11"/>
        <color rgb="FF000000"/>
        <rFont val="DejaVu Sans"/>
        <family val="2"/>
      </rPr>
      <t>프로젝트 계획에 따라 독립적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자율적으로 세부 과업을 계획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수행하며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완성도 있는 산출물을 도출</t>
    </r>
  </si>
  <si>
    <t>개별 과업 성과</t>
  </si>
  <si>
    <t>과업 범위 자율</t>
  </si>
  <si>
    <r>
      <rPr>
        <sz val="11"/>
        <color rgb="FF000000"/>
        <rFont val="맑은 고딕"/>
        <family val="3"/>
        <charset val="129"/>
      </rPr>
      <t>2</t>
    </r>
    <r>
      <rPr>
        <sz val="11"/>
        <color rgb="FF000000"/>
        <rFont val="DejaVu Sans"/>
        <family val="2"/>
      </rPr>
      <t>년 이상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</si>
  <si>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_G1</t>
    </r>
  </si>
  <si>
    <t>실무 보조</t>
  </si>
  <si>
    <r>
      <rPr>
        <sz val="11"/>
        <color rgb="FF000000"/>
        <rFont val="DejaVu Sans"/>
        <family val="2"/>
      </rPr>
      <t>실무에 대한 이해와 과업 수행에 필요한 기술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지식을 습득하며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프로젝트 진행 과정에서 기본적인 과업을 보조</t>
    </r>
  </si>
  <si>
    <r>
      <rPr>
        <sz val="11"/>
        <color rgb="FF000000"/>
        <rFont val="DejaVu Sans"/>
        <family val="2"/>
      </rPr>
      <t>학습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보조 수행도</t>
    </r>
  </si>
  <si>
    <t>제한적 권한</t>
  </si>
  <si>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DejaVu Sans"/>
        <family val="2"/>
      </rPr>
      <t>년 이상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</si>
  <si>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_G6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</si>
  <si>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_G5-M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</si>
  <si>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_G5-S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</si>
  <si>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_G4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</si>
  <si>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_G3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</si>
  <si>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_G2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</si>
  <si>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_G1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</si>
  <si>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_G6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</si>
  <si>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</si>
  <si>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_G5-M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</si>
  <si>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_G5-S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</si>
  <si>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_G4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</si>
  <si>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_G3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</si>
  <si>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_G2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</si>
  <si>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_G1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</si>
  <si>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_G6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</si>
  <si>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_G5-M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</si>
  <si>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_G5-S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</si>
  <si>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_G4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</si>
  <si>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_G3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</si>
  <si>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_G2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</si>
  <si>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_G1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</si>
  <si>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_G6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</si>
  <si>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_G5-M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</si>
  <si>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_G5-S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</si>
  <si>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_G4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</si>
  <si>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_G3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</si>
  <si>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_G2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</si>
  <si>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_G1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</si>
  <si>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_G6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</si>
  <si>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_G5-M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</si>
  <si>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_G5-S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</si>
  <si>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_G4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</si>
  <si>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_G3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</si>
  <si>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_G2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</si>
  <si>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_G1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</si>
  <si>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(R&amp;D)_G6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</si>
  <si>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(R&amp;D)_G5-M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</si>
  <si>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(R&amp;D)_G5-S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</si>
  <si>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(R&amp;D)_G4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</si>
  <si>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(R&amp;D)_G3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</si>
  <si>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(R&amp;D)_G2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</si>
  <si>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(R&amp;D)_G1</t>
    </r>
  </si>
  <si>
    <r>
      <rPr>
        <b/>
        <sz val="14"/>
        <color rgb="FFFFFFFF"/>
        <rFont val="DejaVu Sans"/>
        <family val="2"/>
      </rPr>
      <t>직무별 책무</t>
    </r>
    <r>
      <rPr>
        <b/>
        <sz val="14"/>
        <color rgb="FFFFFFFF"/>
        <rFont val="맑은 고딕"/>
        <family val="3"/>
        <charset val="129"/>
      </rPr>
      <t>·</t>
    </r>
    <r>
      <rPr>
        <b/>
        <sz val="14"/>
        <color rgb="FFFFFFFF"/>
        <rFont val="DejaVu Sans"/>
        <family val="2"/>
      </rPr>
      <t xml:space="preserve">과업 상세 </t>
    </r>
    <r>
      <rPr>
        <b/>
        <sz val="14"/>
        <color rgb="FFFFFFFF"/>
        <rFont val="맑은 고딕"/>
        <family val="3"/>
        <charset val="129"/>
      </rPr>
      <t>DB (</t>
    </r>
    <r>
      <rPr>
        <b/>
        <sz val="14"/>
        <color rgb="FFFFFFFF"/>
        <rFont val="DejaVu Sans"/>
        <family val="2"/>
      </rPr>
      <t>직무 프로파일</t>
    </r>
    <r>
      <rPr>
        <b/>
        <sz val="14"/>
        <color rgb="FFFFFFFF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</si>
  <si>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각 직무의 전체 책무 카탈로그</t>
    </r>
    <r>
      <rPr>
        <sz val="10"/>
        <color rgb="FF000000"/>
        <rFont val="맑은 고딕"/>
        <family val="3"/>
        <charset val="129"/>
      </rPr>
      <t>. 15_</t>
    </r>
    <r>
      <rPr>
        <sz val="10"/>
        <color rgb="FF000000"/>
        <rFont val="DejaVu Sans"/>
        <family val="2"/>
      </rPr>
      <t>직원별책무매핑에서 개인별로 메인 책무를 선택해 평가</t>
    </r>
    <r>
      <rPr>
        <sz val="10"/>
        <color rgb="FF000000"/>
        <rFont val="맑은 고딕"/>
        <family val="3"/>
        <charset val="129"/>
      </rPr>
      <t>.</t>
    </r>
  </si>
  <si>
    <t>전문영역</t>
  </si>
  <si>
    <t>핵심 책무</t>
  </si>
  <si>
    <r>
      <rPr>
        <b/>
        <sz val="11"/>
        <color rgb="FFFFFFFF"/>
        <rFont val="DejaVu Sans"/>
        <family val="2"/>
      </rPr>
      <t xml:space="preserve">핵심 과업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평가기준</t>
    </r>
    <r>
      <rPr>
        <b/>
        <sz val="11"/>
        <color rgb="FFFFFFFF"/>
        <rFont val="맑은 고딕"/>
        <family val="3"/>
        <charset val="129"/>
      </rPr>
      <t>)</t>
    </r>
  </si>
  <si>
    <t>필요 스킬</t>
  </si>
  <si>
    <r>
      <rPr>
        <b/>
        <sz val="11"/>
        <color rgb="FFFFFFFF"/>
        <rFont val="DejaVu Sans"/>
        <family val="2"/>
      </rPr>
      <t>조회키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직무</t>
    </r>
    <r>
      <rPr>
        <b/>
        <sz val="11"/>
        <color rgb="FFFFFFFF"/>
        <rFont val="맑은 고딕"/>
        <family val="3"/>
        <charset val="129"/>
      </rPr>
      <t>_</t>
    </r>
    <r>
      <rPr>
        <b/>
        <sz val="11"/>
        <color rgb="FFFFFFFF"/>
        <rFont val="DejaVu Sans"/>
        <family val="2"/>
      </rPr>
      <t>책무</t>
    </r>
    <r>
      <rPr>
        <b/>
        <sz val="11"/>
        <color rgb="FFFFFFFF"/>
        <rFont val="맑은 고딕"/>
        <family val="3"/>
        <charset val="129"/>
      </rPr>
      <t>)</t>
    </r>
  </si>
  <si>
    <t>경영기획</t>
  </si>
  <si>
    <t>중장기 경영전략 수립</t>
  </si>
  <si>
    <r>
      <rPr>
        <sz val="11"/>
        <color rgb="FF000000"/>
        <rFont val="DejaVu Sans"/>
        <family val="2"/>
      </rPr>
      <t>내외부 경영환경 분석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중장기 전략방향 설정</t>
    </r>
    <r>
      <rPr>
        <sz val="11"/>
        <color rgb="FF000000"/>
        <rFont val="맑은 고딕"/>
        <family val="3"/>
        <charset val="129"/>
      </rPr>
      <t xml:space="preserve">, PEST·SWOT </t>
    </r>
    <r>
      <rPr>
        <sz val="11"/>
        <color rgb="FF000000"/>
        <rFont val="DejaVu Sans"/>
        <family val="2"/>
      </rPr>
      <t>분석</t>
    </r>
  </si>
  <si>
    <r>
      <rPr>
        <sz val="11"/>
        <color rgb="FF000000"/>
        <rFont val="DejaVu Sans"/>
        <family val="2"/>
      </rPr>
      <t>전략적 사고력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데이터 분석력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기획력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</si>
  <si>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중장기 경영전략 수립</t>
    </r>
  </si>
  <si>
    <r>
      <rPr>
        <b/>
        <sz val="11"/>
        <color rgb="FF000000"/>
        <rFont val="DejaVu Sans"/>
        <family val="2"/>
      </rPr>
      <t xml:space="preserve">조직 목표 및 </t>
    </r>
    <r>
      <rPr>
        <b/>
        <sz val="11"/>
        <color rgb="FF000000"/>
        <rFont val="맑은 고딕"/>
        <family val="3"/>
        <charset val="129"/>
      </rPr>
      <t xml:space="preserve">KPI </t>
    </r>
    <r>
      <rPr>
        <b/>
        <sz val="11"/>
        <color rgb="FF000000"/>
        <rFont val="DejaVu Sans"/>
        <family val="2"/>
      </rPr>
      <t>관리</t>
    </r>
  </si>
  <si>
    <r>
      <rPr>
        <sz val="11"/>
        <color rgb="FF000000"/>
        <rFont val="DejaVu Sans"/>
        <family val="2"/>
      </rPr>
      <t>연간 사업계획</t>
    </r>
    <r>
      <rPr>
        <sz val="11"/>
        <color rgb="FF000000"/>
        <rFont val="맑은 고딕"/>
        <family val="3"/>
        <charset val="129"/>
      </rPr>
      <t xml:space="preserve">·KPI </t>
    </r>
    <r>
      <rPr>
        <sz val="11"/>
        <color rgb="FF000000"/>
        <rFont val="DejaVu Sans"/>
        <family val="2"/>
      </rPr>
      <t>체계 수립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성과지표 정의서 작성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관리</t>
    </r>
  </si>
  <si>
    <r>
      <rPr>
        <sz val="11"/>
        <color rgb="FF000000"/>
        <rFont val="DejaVu Sans"/>
        <family val="2"/>
      </rPr>
      <t>성과관리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문제해결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데이터 시각화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</si>
  <si>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 xml:space="preserve">조직 목표 및 </t>
    </r>
    <r>
      <rPr>
        <sz val="11"/>
        <color rgb="FF000000"/>
        <rFont val="맑은 고딕"/>
        <family val="3"/>
        <charset val="129"/>
      </rPr>
      <t xml:space="preserve">KPI </t>
    </r>
    <r>
      <rPr>
        <sz val="11"/>
        <color rgb="FF000000"/>
        <rFont val="DejaVu Sans"/>
        <family val="2"/>
      </rPr>
      <t>관리</t>
    </r>
  </si>
  <si>
    <t>경영계획 및 예산수립</t>
  </si>
  <si>
    <r>
      <rPr>
        <sz val="11"/>
        <color rgb="FF000000"/>
        <rFont val="DejaVu Sans"/>
        <family val="2"/>
      </rPr>
      <t>연간사업계획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예산 조정관리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예산편성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전사 예산안</t>
    </r>
  </si>
  <si>
    <r>
      <rPr>
        <sz val="11"/>
        <color rgb="FF000000"/>
        <rFont val="DejaVu Sans"/>
        <family val="2"/>
      </rPr>
      <t>재무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회계 지식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엑셀 활용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</si>
  <si>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경영계획 및 예산수립</t>
    </r>
  </si>
  <si>
    <t>경영평가 및 모니터링</t>
  </si>
  <si>
    <r>
      <rPr>
        <sz val="11"/>
        <color rgb="FF000000"/>
        <rFont val="DejaVu Sans"/>
        <family val="2"/>
      </rPr>
      <t>경영실적 점검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성과지표 운영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부서별 실적측정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편차분석</t>
    </r>
  </si>
  <si>
    <r>
      <rPr>
        <sz val="11"/>
        <color rgb="FF000000"/>
        <rFont val="DejaVu Sans"/>
        <family val="2"/>
      </rPr>
      <t>분석력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통계해석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리포팅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</si>
  <si>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경영평가 및 모니터링</t>
    </r>
  </si>
  <si>
    <t>신규 사업 기획 및 타당성 검토</t>
  </si>
  <si>
    <r>
      <rPr>
        <sz val="11"/>
        <color rgb="FF000000"/>
        <rFont val="DejaVu Sans"/>
        <family val="2"/>
      </rPr>
      <t>신사업 발굴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시장조사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사업성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타당성 검토</t>
    </r>
  </si>
  <si>
    <r>
      <rPr>
        <sz val="11"/>
        <color rgb="FF000000"/>
        <rFont val="DejaVu Sans"/>
        <family val="2"/>
      </rPr>
      <t>시장조사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재무분석</t>
    </r>
    <r>
      <rPr>
        <sz val="11"/>
        <color rgb="FF000000"/>
        <rFont val="맑은 고딕"/>
        <family val="3"/>
        <charset val="129"/>
      </rPr>
      <t>, PM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</si>
  <si>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신규 사업 기획 및 타당성 검토</t>
    </r>
  </si>
  <si>
    <t>리스크 성과분석</t>
  </si>
  <si>
    <r>
      <rPr>
        <sz val="11"/>
        <color rgb="FF000000"/>
        <rFont val="DejaVu Sans"/>
        <family val="2"/>
      </rPr>
      <t>경영리스크 파악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대응계획 수립</t>
    </r>
    <r>
      <rPr>
        <sz val="11"/>
        <color rgb="FF000000"/>
        <rFont val="맑은 고딕"/>
        <family val="3"/>
        <charset val="129"/>
      </rPr>
      <t xml:space="preserve">, KRI </t>
    </r>
    <r>
      <rPr>
        <sz val="11"/>
        <color rgb="FF000000"/>
        <rFont val="DejaVu Sans"/>
        <family val="2"/>
      </rPr>
      <t>관리</t>
    </r>
  </si>
  <si>
    <r>
      <rPr>
        <sz val="11"/>
        <color rgb="FF000000"/>
        <rFont val="DejaVu Sans"/>
        <family val="2"/>
      </rPr>
      <t>리스크관리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협상력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문서작성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</si>
  <si>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리스크 성과분석</t>
    </r>
  </si>
  <si>
    <t>인사총무</t>
  </si>
  <si>
    <t>인사관리 및 인력운영</t>
  </si>
  <si>
    <r>
      <rPr>
        <sz val="11"/>
        <color rgb="FF000000"/>
        <rFont val="DejaVu Sans"/>
        <family val="2"/>
      </rPr>
      <t>입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퇴사 인사프로세스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근태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휴가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인사기록</t>
    </r>
  </si>
  <si>
    <r>
      <rPr>
        <sz val="11"/>
        <color rgb="FF000000"/>
        <rFont val="맑은 고딕"/>
        <family val="3"/>
        <charset val="129"/>
      </rPr>
      <t xml:space="preserve">HRM </t>
    </r>
    <r>
      <rPr>
        <sz val="11"/>
        <color rgb="FF000000"/>
        <rFont val="DejaVu Sans"/>
        <family val="2"/>
      </rPr>
      <t>시스템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문서작성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개인정보 관리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</si>
  <si>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인사관리 및 인력운영</t>
    </r>
  </si>
  <si>
    <t>급여 및 복리후생</t>
  </si>
  <si>
    <r>
      <rPr>
        <sz val="11"/>
        <color rgb="FF000000"/>
        <rFont val="DejaVu Sans"/>
        <family val="2"/>
      </rPr>
      <t>급여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상여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성과급 정산</t>
    </r>
    <r>
      <rPr>
        <sz val="11"/>
        <color rgb="FF000000"/>
        <rFont val="맑은 고딕"/>
        <family val="3"/>
        <charset val="129"/>
      </rPr>
      <t>, 4</t>
    </r>
    <r>
      <rPr>
        <sz val="11"/>
        <color rgb="FF000000"/>
        <rFont val="DejaVu Sans"/>
        <family val="2"/>
      </rPr>
      <t>대보험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연말정산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복리후생 운영</t>
    </r>
  </si>
  <si>
    <r>
      <rPr>
        <sz val="11"/>
        <color rgb="FF000000"/>
        <rFont val="DejaVu Sans"/>
        <family val="2"/>
      </rPr>
      <t>급여정산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세무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보험 이해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</si>
  <si>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급여 및 복리후생</t>
    </r>
  </si>
  <si>
    <t>총무 및 자산관리</t>
  </si>
  <si>
    <r>
      <rPr>
        <sz val="11"/>
        <color rgb="FF000000"/>
        <rFont val="DejaVu Sans"/>
        <family val="2"/>
      </rPr>
      <t>사무실 운영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비품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시설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차량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보안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출입통제</t>
    </r>
  </si>
  <si>
    <r>
      <rPr>
        <sz val="11"/>
        <color rgb="FF000000"/>
        <rFont val="DejaVu Sans"/>
        <family val="2"/>
      </rPr>
      <t>행정처리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회계 이해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문서관리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</si>
  <si>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총무 및 자산관리</t>
    </r>
  </si>
  <si>
    <t>노무 및 법규</t>
  </si>
  <si>
    <r>
      <rPr>
        <sz val="11"/>
        <color rgb="FF000000"/>
        <rFont val="DejaVu Sans"/>
        <family val="2"/>
      </rPr>
      <t>근로계약서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취업규칙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인사제도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노동법 준수 모니터링</t>
    </r>
  </si>
  <si>
    <r>
      <rPr>
        <sz val="11"/>
        <color rgb="FF000000"/>
        <rFont val="DejaVu Sans"/>
        <family val="2"/>
      </rPr>
      <t>근로기준법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노무 실무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</si>
  <si>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노무 및 법규</t>
    </r>
  </si>
  <si>
    <t>조직문화 및 사내행사</t>
  </si>
  <si>
    <r>
      <rPr>
        <sz val="11"/>
        <color rgb="FF000000"/>
        <rFont val="DejaVu Sans"/>
        <family val="2"/>
      </rPr>
      <t>사내 행사 기획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진행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내부 커뮤니케이션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온보딩</t>
    </r>
  </si>
  <si>
    <r>
      <rPr>
        <sz val="11"/>
        <color rgb="FF000000"/>
        <rFont val="DejaVu Sans"/>
        <family val="2"/>
      </rPr>
      <t>행사기획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운영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대인 커뮤니케이션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</si>
  <si>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조직문화 및 사내행사</t>
    </r>
  </si>
  <si>
    <t>재무회계</t>
  </si>
  <si>
    <t>재무 전략 및 자금 관리</t>
  </si>
  <si>
    <r>
      <rPr>
        <sz val="11"/>
        <color rgb="FF000000"/>
        <rFont val="DejaVu Sans"/>
        <family val="2"/>
      </rPr>
      <t>자금 조달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운영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재무 리스크 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투자 검토</t>
    </r>
  </si>
  <si>
    <r>
      <rPr>
        <sz val="11"/>
        <color rgb="FF000000"/>
        <rFont val="DejaVu Sans"/>
        <family val="2"/>
      </rPr>
      <t>재무지식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분석력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</si>
  <si>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재무 전략 및 자금 관리</t>
    </r>
  </si>
  <si>
    <t>회계 관리 및 결산</t>
  </si>
  <si>
    <r>
      <rPr>
        <sz val="11"/>
        <color rgb="FF000000"/>
        <rFont val="DejaVu Sans"/>
        <family val="2"/>
      </rPr>
      <t>결산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재무제표 작성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회계 감사 대응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세무 관리</t>
    </r>
  </si>
  <si>
    <r>
      <rPr>
        <sz val="11"/>
        <color rgb="FF000000"/>
        <rFont val="DejaVu Sans"/>
        <family val="2"/>
      </rPr>
      <t>회계 지식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꼼꼼함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</si>
  <si>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회계 관리 및 결산</t>
    </r>
  </si>
  <si>
    <t>결산 및 세무</t>
  </si>
  <si>
    <r>
      <rPr>
        <sz val="11"/>
        <color rgb="FF000000"/>
        <rFont val="DejaVu Sans"/>
        <family val="2"/>
      </rPr>
      <t>월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분기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연 결산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재무제표 작성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외부감사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세무조정</t>
    </r>
  </si>
  <si>
    <r>
      <rPr>
        <sz val="11"/>
        <color rgb="FF000000"/>
        <rFont val="DejaVu Sans"/>
        <family val="2"/>
      </rPr>
      <t>재무회계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세법</t>
    </r>
    <r>
      <rPr>
        <sz val="11"/>
        <color rgb="FF000000"/>
        <rFont val="맑은 고딕"/>
        <family val="3"/>
        <charset val="129"/>
      </rPr>
      <t xml:space="preserve">, ERP </t>
    </r>
    <r>
      <rPr>
        <sz val="11"/>
        <color rgb="FF000000"/>
        <rFont val="DejaVu Sans"/>
        <family val="2"/>
      </rPr>
      <t>활용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</si>
  <si>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결산 및 세무</t>
    </r>
  </si>
  <si>
    <t>프로젝트 손익 및 원가관리</t>
  </si>
  <si>
    <r>
      <rPr>
        <sz val="11"/>
        <color rgb="FF000000"/>
        <rFont val="DejaVu Sans"/>
        <family val="2"/>
      </rPr>
      <t>매출 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원가 분석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손익 보고</t>
    </r>
  </si>
  <si>
    <r>
      <rPr>
        <sz val="11"/>
        <color rgb="FF000000"/>
        <rFont val="DejaVu Sans"/>
        <family val="2"/>
      </rPr>
      <t>원가회계</t>
    </r>
    <r>
      <rPr>
        <sz val="11"/>
        <color rgb="FF000000"/>
        <rFont val="맑은 고딕"/>
        <family val="3"/>
        <charset val="129"/>
      </rPr>
      <t xml:space="preserve">, ERP </t>
    </r>
    <r>
      <rPr>
        <sz val="11"/>
        <color rgb="FF000000"/>
        <rFont val="DejaVu Sans"/>
        <family val="2"/>
      </rPr>
      <t>활용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</si>
  <si>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프로젝트 손익 및 원가관리</t>
    </r>
  </si>
  <si>
    <t>자금 및 경영지원</t>
  </si>
  <si>
    <r>
      <rPr>
        <sz val="11"/>
        <color rgb="FF000000"/>
        <rFont val="DejaVu Sans"/>
        <family val="2"/>
      </rPr>
      <t>일일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월간 자금계획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집행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자금현황 보고</t>
    </r>
  </si>
  <si>
    <r>
      <rPr>
        <sz val="11"/>
        <color rgb="FF000000"/>
        <rFont val="DejaVu Sans"/>
        <family val="2"/>
      </rPr>
      <t>재무관리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재무분석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</si>
  <si>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자금 및 경영지원</t>
    </r>
  </si>
  <si>
    <t>마케팅</t>
  </si>
  <si>
    <t>마케팅 전략 수립</t>
  </si>
  <si>
    <r>
      <rPr>
        <sz val="11"/>
        <color rgb="FF000000"/>
        <rFont val="DejaVu Sans"/>
        <family val="2"/>
      </rPr>
      <t>시장조사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고객분석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포지셔닝 전략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마케팅 캠페인 기획</t>
    </r>
  </si>
  <si>
    <r>
      <rPr>
        <sz val="11"/>
        <color rgb="FF000000"/>
        <rFont val="DejaVu Sans"/>
        <family val="2"/>
      </rPr>
      <t>시장 분석력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기획력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</si>
  <si>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마케팅 전략 수립</t>
    </r>
  </si>
  <si>
    <t>브랜드 마케팅</t>
  </si>
  <si>
    <r>
      <rPr>
        <sz val="11"/>
        <color rgb="FF000000"/>
        <rFont val="DejaVu Sans"/>
        <family val="2"/>
      </rPr>
      <t>홈페이지</t>
    </r>
    <r>
      <rPr>
        <sz val="11"/>
        <color rgb="FF000000"/>
        <rFont val="맑은 고딕"/>
        <family val="3"/>
        <charset val="129"/>
      </rPr>
      <t>·SNS·</t>
    </r>
    <r>
      <rPr>
        <sz val="11"/>
        <color rgb="FF000000"/>
        <rFont val="DejaVu Sans"/>
        <family val="2"/>
      </rPr>
      <t>유튜브 운영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세미나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전시회 기획</t>
    </r>
  </si>
  <si>
    <r>
      <rPr>
        <sz val="11"/>
        <color rgb="FF000000"/>
        <rFont val="DejaVu Sans"/>
        <family val="2"/>
      </rPr>
      <t>커뮤니케이션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브랜드 감각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</si>
  <si>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브랜드 마케팅</t>
    </r>
  </si>
  <si>
    <t>컨텐츠 마케팅</t>
  </si>
  <si>
    <r>
      <rPr>
        <sz val="11"/>
        <color rgb="FF000000"/>
        <rFont val="DejaVu Sans"/>
        <family val="2"/>
      </rPr>
      <t>뉴스레터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영상 콘텐츠 기획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제작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온라인 성과분석</t>
    </r>
  </si>
  <si>
    <r>
      <rPr>
        <sz val="11"/>
        <color rgb="FF000000"/>
        <rFont val="DejaVu Sans"/>
        <family val="2"/>
      </rPr>
      <t>디지털 리터러시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콘텐츠 제작</t>
    </r>
  </si>
  <si>
    <r>
      <rPr>
        <sz val="11"/>
        <color rgb="FF000000"/>
        <rFont val="DejaVu Sans"/>
        <family val="2"/>
      </rPr>
      <t>경영전략기획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컨텐츠 마케팅</t>
    </r>
  </si>
  <si>
    <r>
      <rPr>
        <b/>
        <sz val="11"/>
        <color rgb="FF000000"/>
        <rFont val="맑은 고딕"/>
        <family val="3"/>
        <charset val="129"/>
      </rPr>
      <t>BIM</t>
    </r>
    <r>
      <rPr>
        <b/>
        <sz val="11"/>
        <color rgb="FF000000"/>
        <rFont val="DejaVu Sans"/>
        <family val="2"/>
      </rPr>
      <t>컨설팅</t>
    </r>
  </si>
  <si>
    <t>계획모델링</t>
  </si>
  <si>
    <r>
      <rPr>
        <b/>
        <sz val="11"/>
        <color rgb="FF000000"/>
        <rFont val="맑은 고딕"/>
        <family val="3"/>
        <charset val="129"/>
      </rPr>
      <t xml:space="preserve">BIM </t>
    </r>
    <r>
      <rPr>
        <b/>
        <sz val="11"/>
        <color rgb="FF000000"/>
        <rFont val="DejaVu Sans"/>
        <family val="2"/>
      </rPr>
      <t>기반 설계 계획수립</t>
    </r>
  </si>
  <si>
    <r>
      <rPr>
        <sz val="11"/>
        <color rgb="FF000000"/>
        <rFont val="DejaVu Sans"/>
        <family val="2"/>
      </rPr>
      <t>발주처 요구사항 분석</t>
    </r>
    <r>
      <rPr>
        <sz val="11"/>
        <color rgb="FF000000"/>
        <rFont val="맑은 고딕"/>
        <family val="3"/>
        <charset val="129"/>
      </rPr>
      <t xml:space="preserve">·BIM </t>
    </r>
    <r>
      <rPr>
        <sz val="11"/>
        <color rgb="FF000000"/>
        <rFont val="DejaVu Sans"/>
        <family val="2"/>
      </rPr>
      <t>모델링 표준 적용</t>
    </r>
  </si>
  <si>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표준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설계 이해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</si>
  <si>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 xml:space="preserve">_BIM </t>
    </r>
    <r>
      <rPr>
        <sz val="11"/>
        <color rgb="FF000000"/>
        <rFont val="DejaVu Sans"/>
        <family val="2"/>
      </rPr>
      <t>기반 설계 계획수립</t>
    </r>
  </si>
  <si>
    <t>설계 모델링 수행</t>
  </si>
  <si>
    <r>
      <rPr>
        <sz val="11"/>
        <color rgb="FF000000"/>
        <rFont val="맑은 고딕"/>
        <family val="3"/>
        <charset val="129"/>
      </rPr>
      <t>Revit·ArchiCAD</t>
    </r>
    <r>
      <rPr>
        <sz val="11"/>
        <color rgb="FF000000"/>
        <rFont val="DejaVu Sans"/>
        <family val="2"/>
      </rPr>
      <t>로 건축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구조</t>
    </r>
    <r>
      <rPr>
        <sz val="11"/>
        <color rgb="FF000000"/>
        <rFont val="맑은 고딕"/>
        <family val="3"/>
        <charset val="129"/>
      </rPr>
      <t xml:space="preserve">·MEP </t>
    </r>
    <r>
      <rPr>
        <sz val="11"/>
        <color rgb="FF000000"/>
        <rFont val="DejaVu Sans"/>
        <family val="2"/>
      </rPr>
      <t>모델링</t>
    </r>
  </si>
  <si>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소프트웨어 활용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</si>
  <si>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설계 모델링 수행</t>
    </r>
  </si>
  <si>
    <t>품질 검토 및 협업</t>
  </si>
  <si>
    <r>
      <rPr>
        <sz val="11"/>
        <color rgb="FF000000"/>
        <rFont val="DejaVu Sans"/>
        <family val="2"/>
      </rPr>
      <t>모델 정합성 점검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간섭 검토</t>
    </r>
    <r>
      <rPr>
        <sz val="11"/>
        <color rgb="FF000000"/>
        <rFont val="맑은 고딕"/>
        <family val="3"/>
        <charset val="129"/>
      </rPr>
      <t>(Clash Detection)</t>
    </r>
  </si>
  <si>
    <r>
      <rPr>
        <sz val="11"/>
        <color rgb="FF000000"/>
        <rFont val="DejaVu Sans"/>
        <family val="2"/>
      </rPr>
      <t>품질관리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협업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</si>
  <si>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품질 검토 및 협업</t>
    </r>
  </si>
  <si>
    <t>드론응용모델링</t>
  </si>
  <si>
    <t>드론 측량 및 데이터 수집</t>
  </si>
  <si>
    <r>
      <rPr>
        <sz val="11"/>
        <color rgb="FF000000"/>
        <rFont val="DejaVu Sans"/>
        <family val="2"/>
      </rPr>
      <t>드론 비행계획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현장 측량 데이터 수집</t>
    </r>
  </si>
  <si>
    <r>
      <rPr>
        <sz val="11"/>
        <color rgb="FF000000"/>
        <rFont val="DejaVu Sans"/>
        <family val="2"/>
      </rPr>
      <t>드론 조종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측량 지식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</si>
  <si>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드론 측량 및 데이터 수집</t>
    </r>
  </si>
  <si>
    <r>
      <rPr>
        <b/>
        <sz val="11"/>
        <color rgb="FF000000"/>
        <rFont val="맑은 고딕"/>
        <family val="3"/>
        <charset val="129"/>
      </rPr>
      <t xml:space="preserve">3D </t>
    </r>
    <r>
      <rPr>
        <b/>
        <sz val="11"/>
        <color rgb="FF000000"/>
        <rFont val="DejaVu Sans"/>
        <family val="2"/>
      </rPr>
      <t>메쉬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포인트클라우드 생성</t>
    </r>
  </si>
  <si>
    <r>
      <rPr>
        <sz val="11"/>
        <color rgb="FF000000"/>
        <rFont val="DejaVu Sans"/>
        <family val="2"/>
      </rPr>
      <t>드론 데이터 처리</t>
    </r>
    <r>
      <rPr>
        <sz val="11"/>
        <color rgb="FF000000"/>
        <rFont val="맑은 고딕"/>
        <family val="3"/>
        <charset val="129"/>
      </rPr>
      <t xml:space="preserve">·3D </t>
    </r>
    <r>
      <rPr>
        <sz val="11"/>
        <color rgb="FF000000"/>
        <rFont val="DejaVu Sans"/>
        <family val="2"/>
      </rPr>
      <t>모델 변환</t>
    </r>
  </si>
  <si>
    <r>
      <rPr>
        <sz val="11"/>
        <color rgb="FF000000"/>
        <rFont val="DejaVu Sans"/>
        <family val="2"/>
      </rPr>
      <t>포토그래메트리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데이터 처리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</si>
  <si>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 xml:space="preserve">_3D </t>
    </r>
    <r>
      <rPr>
        <sz val="11"/>
        <color rgb="FF000000"/>
        <rFont val="DejaVu Sans"/>
        <family val="2"/>
      </rPr>
      <t>메쉬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포인트클라우드 생성</t>
    </r>
  </si>
  <si>
    <t>구조모델링</t>
  </si>
  <si>
    <r>
      <rPr>
        <b/>
        <sz val="11"/>
        <color rgb="FF000000"/>
        <rFont val="DejaVu Sans"/>
        <family val="2"/>
      </rPr>
      <t xml:space="preserve">구조 </t>
    </r>
    <r>
      <rPr>
        <b/>
        <sz val="11"/>
        <color rgb="FF000000"/>
        <rFont val="맑은 고딕"/>
        <family val="3"/>
        <charset val="129"/>
      </rPr>
      <t xml:space="preserve">BIM </t>
    </r>
    <r>
      <rPr>
        <b/>
        <sz val="11"/>
        <color rgb="FF000000"/>
        <rFont val="DejaVu Sans"/>
        <family val="2"/>
      </rPr>
      <t>모델링</t>
    </r>
  </si>
  <si>
    <r>
      <rPr>
        <sz val="11"/>
        <color rgb="FF000000"/>
        <rFont val="DejaVu Sans"/>
        <family val="2"/>
      </rPr>
      <t>구조 부재 모델링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강도 검토 연계</t>
    </r>
  </si>
  <si>
    <r>
      <rPr>
        <sz val="11"/>
        <color rgb="FF000000"/>
        <rFont val="DejaVu Sans"/>
        <family val="2"/>
      </rPr>
      <t>구조 이해</t>
    </r>
    <r>
      <rPr>
        <sz val="11"/>
        <color rgb="FF000000"/>
        <rFont val="맑은 고딕"/>
        <family val="3"/>
        <charset val="129"/>
      </rPr>
      <t xml:space="preserve">, BIM </t>
    </r>
    <r>
      <rPr>
        <sz val="11"/>
        <color rgb="FF000000"/>
        <rFont val="DejaVu Sans"/>
        <family val="2"/>
      </rPr>
      <t>활용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</si>
  <si>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 xml:space="preserve">구조 </t>
    </r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모델링</t>
    </r>
  </si>
  <si>
    <t>상하수도모델링</t>
  </si>
  <si>
    <r>
      <rPr>
        <b/>
        <sz val="11"/>
        <color rgb="FF000000"/>
        <rFont val="DejaVu Sans"/>
        <family val="2"/>
      </rPr>
      <t xml:space="preserve">상하수도 </t>
    </r>
    <r>
      <rPr>
        <b/>
        <sz val="11"/>
        <color rgb="FF000000"/>
        <rFont val="맑은 고딕"/>
        <family val="3"/>
        <charset val="129"/>
      </rPr>
      <t xml:space="preserve">BIM </t>
    </r>
    <r>
      <rPr>
        <b/>
        <sz val="11"/>
        <color rgb="FF000000"/>
        <rFont val="DejaVu Sans"/>
        <family val="2"/>
      </rPr>
      <t>모델링</t>
    </r>
  </si>
  <si>
    <r>
      <rPr>
        <sz val="11"/>
        <color rgb="FF000000"/>
        <rFont val="DejaVu Sans"/>
        <family val="2"/>
      </rPr>
      <t>관로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 xml:space="preserve">시설 </t>
    </r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구축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기존 인프라 연계</t>
    </r>
  </si>
  <si>
    <t>상하수도 설계 이해</t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</si>
  <si>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 xml:space="preserve">상하수도 </t>
    </r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모델링</t>
    </r>
  </si>
  <si>
    <t>컨설팅</t>
  </si>
  <si>
    <t>클라이언트 요구분석</t>
  </si>
  <si>
    <r>
      <rPr>
        <sz val="11"/>
        <color rgb="FF000000"/>
        <rFont val="DejaVu Sans"/>
        <family val="2"/>
      </rPr>
      <t>발주처 미팅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요구사항 정리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범위 정의</t>
    </r>
  </si>
  <si>
    <r>
      <rPr>
        <sz val="11"/>
        <color rgb="FF000000"/>
        <rFont val="DejaVu Sans"/>
        <family val="2"/>
      </rPr>
      <t>커뮤니케이션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요건분석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</si>
  <si>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클라이언트 요구분석</t>
    </r>
  </si>
  <si>
    <r>
      <rPr>
        <b/>
        <sz val="11"/>
        <color rgb="FF000000"/>
        <rFont val="맑은 고딕"/>
        <family val="3"/>
        <charset val="129"/>
      </rPr>
      <t xml:space="preserve">BIM </t>
    </r>
    <r>
      <rPr>
        <b/>
        <sz val="11"/>
        <color rgb="FF000000"/>
        <rFont val="DejaVu Sans"/>
        <family val="2"/>
      </rPr>
      <t>도입 컨설팅</t>
    </r>
  </si>
  <si>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로드맵 수립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운영 가이드</t>
    </r>
  </si>
  <si>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전략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컨설팅 스킬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</si>
  <si>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 xml:space="preserve">_BIM </t>
    </r>
    <r>
      <rPr>
        <sz val="11"/>
        <color rgb="FF000000"/>
        <rFont val="DejaVu Sans"/>
        <family val="2"/>
      </rPr>
      <t>도입 컨설팅</t>
    </r>
  </si>
  <si>
    <t>보고서 작성 및 발표</t>
  </si>
  <si>
    <r>
      <rPr>
        <sz val="11"/>
        <color rgb="FF000000"/>
        <rFont val="DejaVu Sans"/>
        <family val="2"/>
      </rPr>
      <t>컨설팅 결과 보고서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프레젠테이션</t>
    </r>
  </si>
  <si>
    <r>
      <rPr>
        <sz val="11"/>
        <color rgb="FF000000"/>
        <rFont val="DejaVu Sans"/>
        <family val="2"/>
      </rPr>
      <t>문서작성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발표력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</si>
  <si>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보고서 작성 및 발표</t>
    </r>
  </si>
  <si>
    <t>프로젝트관리</t>
  </si>
  <si>
    <t>일정 및 자원 관리</t>
  </si>
  <si>
    <r>
      <rPr>
        <sz val="11"/>
        <color rgb="FF000000"/>
        <rFont val="맑은 고딕"/>
        <family val="3"/>
        <charset val="129"/>
      </rPr>
      <t xml:space="preserve">WBS </t>
    </r>
    <r>
      <rPr>
        <sz val="11"/>
        <color rgb="FF000000"/>
        <rFont val="DejaVu Sans"/>
        <family val="2"/>
      </rPr>
      <t>수립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일정 관리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인력 자원 배분</t>
    </r>
  </si>
  <si>
    <r>
      <rPr>
        <sz val="11"/>
        <color rgb="FF000000"/>
        <rFont val="맑은 고딕"/>
        <family val="3"/>
        <charset val="129"/>
      </rPr>
      <t xml:space="preserve">PM </t>
    </r>
    <r>
      <rPr>
        <sz val="11"/>
        <color rgb="FF000000"/>
        <rFont val="DejaVu Sans"/>
        <family val="2"/>
      </rPr>
      <t>기법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일정관리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</si>
  <si>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일정 및 자원 관리</t>
    </r>
  </si>
  <si>
    <t>품질 관리</t>
  </si>
  <si>
    <r>
      <rPr>
        <sz val="11"/>
        <color rgb="FF000000"/>
        <rFont val="DejaVu Sans"/>
        <family val="2"/>
      </rPr>
      <t>산출물 품질 기준 정의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검수 프로세스</t>
    </r>
  </si>
  <si>
    <t>품질관리 도구</t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</si>
  <si>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품질 관리</t>
    </r>
  </si>
  <si>
    <t>리스크 관리</t>
  </si>
  <si>
    <r>
      <rPr>
        <sz val="11"/>
        <color rgb="FF000000"/>
        <rFont val="DejaVu Sans"/>
        <family val="2"/>
      </rPr>
      <t>프로젝트 리스크 식별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대응계획</t>
    </r>
  </si>
  <si>
    <t>리스크 분석</t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</si>
  <si>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리스크 관리</t>
    </r>
  </si>
  <si>
    <t>기술개발</t>
  </si>
  <si>
    <r>
      <rPr>
        <b/>
        <sz val="11"/>
        <color rgb="FF000000"/>
        <rFont val="맑은 고딕"/>
        <family val="3"/>
        <charset val="129"/>
      </rPr>
      <t xml:space="preserve">BIM </t>
    </r>
    <r>
      <rPr>
        <b/>
        <sz val="11"/>
        <color rgb="FF000000"/>
        <rFont val="DejaVu Sans"/>
        <family val="2"/>
      </rPr>
      <t>라이브러리 구축</t>
    </r>
  </si>
  <si>
    <r>
      <rPr>
        <sz val="11"/>
        <color rgb="FF000000"/>
        <rFont val="DejaVu Sans"/>
        <family val="2"/>
      </rPr>
      <t xml:space="preserve">재사용 가능한 </t>
    </r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컴포넌트 라이브러리</t>
    </r>
  </si>
  <si>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라이브러리 관리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</si>
  <si>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 xml:space="preserve">_BIM </t>
    </r>
    <r>
      <rPr>
        <sz val="11"/>
        <color rgb="FF000000"/>
        <rFont val="DejaVu Sans"/>
        <family val="2"/>
      </rPr>
      <t>라이브러리 구축</t>
    </r>
  </si>
  <si>
    <t>내부 가이드라인 작성</t>
  </si>
  <si>
    <r>
      <rPr>
        <sz val="11"/>
        <color rgb="FF000000"/>
        <rFont val="맑은 고딕"/>
        <family val="3"/>
        <charset val="129"/>
      </rPr>
      <t xml:space="preserve">BIM </t>
    </r>
    <r>
      <rPr>
        <sz val="11"/>
        <color rgb="FF000000"/>
        <rFont val="DejaVu Sans"/>
        <family val="2"/>
      </rPr>
      <t>작업 표준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매뉴얼 작성</t>
    </r>
  </si>
  <si>
    <r>
      <rPr>
        <sz val="11"/>
        <color rgb="FF000000"/>
        <rFont val="DejaVu Sans"/>
        <family val="2"/>
      </rPr>
      <t>문서화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표준화</t>
    </r>
  </si>
  <si>
    <r>
      <rPr>
        <sz val="11"/>
        <color rgb="FF000000"/>
        <rFont val="맑은 고딕"/>
        <family val="3"/>
        <charset val="129"/>
      </rPr>
      <t>BIM</t>
    </r>
    <r>
      <rPr>
        <sz val="11"/>
        <color rgb="FF000000"/>
        <rFont val="DejaVu Sans"/>
        <family val="2"/>
      </rPr>
      <t>컨설팅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내부 가이드라인 작성</t>
    </r>
  </si>
  <si>
    <t>영업기획</t>
  </si>
  <si>
    <t>시장조사 및 고객 발굴</t>
  </si>
  <si>
    <r>
      <rPr>
        <sz val="11"/>
        <color rgb="FF000000"/>
        <rFont val="DejaVu Sans"/>
        <family val="2"/>
      </rPr>
      <t>잠재고객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발주처 발굴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시장정보 수집</t>
    </r>
  </si>
  <si>
    <r>
      <rPr>
        <sz val="11"/>
        <color rgb="FF000000"/>
        <rFont val="DejaVu Sans"/>
        <family val="2"/>
      </rPr>
      <t>시장조사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고객발굴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</si>
  <si>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시장조사 및 고객 발굴</t>
    </r>
  </si>
  <si>
    <t>제안 및 입찰 준비</t>
  </si>
  <si>
    <r>
      <rPr>
        <sz val="11"/>
        <color rgb="FF000000"/>
        <rFont val="DejaVu Sans"/>
        <family val="2"/>
      </rPr>
      <t>제안서 작성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입찰서류 준비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견적</t>
    </r>
  </si>
  <si>
    <r>
      <rPr>
        <sz val="11"/>
        <color rgb="FF000000"/>
        <rFont val="DejaVu Sans"/>
        <family val="2"/>
      </rPr>
      <t>제안서 작성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견적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</si>
  <si>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제안 및 입찰 준비</t>
    </r>
  </si>
  <si>
    <t>계약 협상</t>
  </si>
  <si>
    <r>
      <rPr>
        <sz val="11"/>
        <color rgb="FF000000"/>
        <rFont val="DejaVu Sans"/>
        <family val="2"/>
      </rPr>
      <t>발주처와 계약 조건 협상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체결</t>
    </r>
  </si>
  <si>
    <r>
      <rPr>
        <sz val="11"/>
        <color rgb="FF000000"/>
        <rFont val="DejaVu Sans"/>
        <family val="2"/>
      </rPr>
      <t>협상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계약법 이해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</si>
  <si>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계약 협상</t>
    </r>
  </si>
  <si>
    <t>고객관리</t>
  </si>
  <si>
    <t>기존 고객 관리</t>
  </si>
  <si>
    <r>
      <rPr>
        <sz val="11"/>
        <color rgb="FF000000"/>
        <rFont val="DejaVu Sans"/>
        <family val="2"/>
      </rPr>
      <t>주요 고객 정기 미팅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관계 유지</t>
    </r>
  </si>
  <si>
    <r>
      <rPr>
        <sz val="11"/>
        <color rgb="FF000000"/>
        <rFont val="DejaVu Sans"/>
        <family val="2"/>
      </rPr>
      <t>고객관리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커뮤니케이션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</si>
  <si>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기존 고객 관리</t>
    </r>
  </si>
  <si>
    <t>신규 고객 개발</t>
  </si>
  <si>
    <r>
      <rPr>
        <sz val="11"/>
        <color rgb="FF000000"/>
        <rFont val="DejaVu Sans"/>
        <family val="2"/>
      </rPr>
      <t>네트워킹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세미나 참여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인맥 확장</t>
    </r>
  </si>
  <si>
    <r>
      <rPr>
        <sz val="11"/>
        <color rgb="FF000000"/>
        <rFont val="DejaVu Sans"/>
        <family val="2"/>
      </rPr>
      <t>네트워킹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영업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</si>
  <si>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신규 고객 개발</t>
    </r>
  </si>
  <si>
    <t>프로젝트 영업</t>
  </si>
  <si>
    <t>프로젝트 발굴 및 수주</t>
  </si>
  <si>
    <r>
      <rPr>
        <sz val="11"/>
        <color rgb="FF000000"/>
        <rFont val="DejaVu Sans"/>
        <family val="2"/>
      </rPr>
      <t>공공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민간 프로젝트 발굴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수주 활동</t>
    </r>
  </si>
  <si>
    <r>
      <rPr>
        <sz val="11"/>
        <color rgb="FF000000"/>
        <rFont val="DejaVu Sans"/>
        <family val="2"/>
      </rPr>
      <t>프로젝트 이해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영업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</si>
  <si>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프로젝트 발굴 및 수주</t>
    </r>
  </si>
  <si>
    <t>계약 후 사후관리</t>
  </si>
  <si>
    <r>
      <rPr>
        <sz val="11"/>
        <color rgb="FF000000"/>
        <rFont val="맑은 고딕"/>
        <family val="3"/>
        <charset val="129"/>
      </rPr>
      <t>CS·</t>
    </r>
    <r>
      <rPr>
        <sz val="11"/>
        <color rgb="FF000000"/>
        <rFont val="DejaVu Sans"/>
        <family val="2"/>
      </rPr>
      <t>추가 수주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재계약</t>
    </r>
  </si>
  <si>
    <r>
      <rPr>
        <sz val="11"/>
        <color rgb="FF000000"/>
        <rFont val="DejaVu Sans"/>
        <family val="2"/>
      </rPr>
      <t>고객 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관계 유지</t>
    </r>
  </si>
  <si>
    <r>
      <rPr>
        <sz val="11"/>
        <color rgb="FF000000"/>
        <rFont val="DejaVu Sans"/>
        <family val="2"/>
      </rPr>
      <t>프로젝트영업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계약 후 사후관리</t>
    </r>
  </si>
  <si>
    <r>
      <rPr>
        <b/>
        <sz val="11"/>
        <color rgb="FF000000"/>
        <rFont val="맑은 고딕"/>
        <family val="3"/>
        <charset val="129"/>
      </rPr>
      <t>SW</t>
    </r>
    <r>
      <rPr>
        <b/>
        <sz val="11"/>
        <color rgb="FF000000"/>
        <rFont val="DejaVu Sans"/>
        <family val="2"/>
      </rPr>
      <t>판매영업</t>
    </r>
  </si>
  <si>
    <r>
      <rPr>
        <sz val="11"/>
        <color rgb="FF000000"/>
        <rFont val="맑은 고딕"/>
        <family val="3"/>
        <charset val="129"/>
      </rPr>
      <t xml:space="preserve">SW </t>
    </r>
    <r>
      <rPr>
        <sz val="11"/>
        <color rgb="FF000000"/>
        <rFont val="DejaVu Sans"/>
        <family val="2"/>
      </rPr>
      <t>영업</t>
    </r>
  </si>
  <si>
    <r>
      <rPr>
        <b/>
        <sz val="11"/>
        <color rgb="FF000000"/>
        <rFont val="맑은 고딕"/>
        <family val="3"/>
        <charset val="129"/>
      </rPr>
      <t xml:space="preserve">SW </t>
    </r>
    <r>
      <rPr>
        <b/>
        <sz val="11"/>
        <color rgb="FF000000"/>
        <rFont val="DejaVu Sans"/>
        <family val="2"/>
      </rPr>
      <t>패키지 영업</t>
    </r>
  </si>
  <si>
    <r>
      <rPr>
        <sz val="11"/>
        <color rgb="FF000000"/>
        <rFont val="맑은 고딕"/>
        <family val="3"/>
        <charset val="129"/>
      </rPr>
      <t xml:space="preserve">BIM·CAD SW </t>
    </r>
    <r>
      <rPr>
        <sz val="11"/>
        <color rgb="FF000000"/>
        <rFont val="DejaVu Sans"/>
        <family val="2"/>
      </rPr>
      <t>패키지 판매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시연</t>
    </r>
  </si>
  <si>
    <r>
      <rPr>
        <sz val="11"/>
        <color rgb="FF000000"/>
        <rFont val="맑은 고딕"/>
        <family val="3"/>
        <charset val="129"/>
      </rPr>
      <t xml:space="preserve">SW </t>
    </r>
    <r>
      <rPr>
        <sz val="11"/>
        <color rgb="FF000000"/>
        <rFont val="DejaVu Sans"/>
        <family val="2"/>
      </rPr>
      <t>지식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영업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</si>
  <si>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 xml:space="preserve">_SW </t>
    </r>
    <r>
      <rPr>
        <sz val="11"/>
        <color rgb="FF000000"/>
        <rFont val="DejaVu Sans"/>
        <family val="2"/>
      </rPr>
      <t>패키지 영업</t>
    </r>
  </si>
  <si>
    <r>
      <rPr>
        <b/>
        <sz val="11"/>
        <color rgb="FF000000"/>
        <rFont val="DejaVu Sans"/>
        <family val="2"/>
      </rPr>
      <t>라이선스 관리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갱신</t>
    </r>
  </si>
  <si>
    <r>
      <rPr>
        <sz val="11"/>
        <color rgb="FF000000"/>
        <rFont val="DejaVu Sans"/>
        <family val="2"/>
      </rPr>
      <t>라이선스 발급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갱신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관리</t>
    </r>
  </si>
  <si>
    <t>라이선스 관리</t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</si>
  <si>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라이선스 관리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갱신</t>
    </r>
  </si>
  <si>
    <t>파트너십</t>
  </si>
  <si>
    <t>파트너사 관리</t>
  </si>
  <si>
    <r>
      <rPr>
        <sz val="11"/>
        <color rgb="FF000000"/>
        <rFont val="DejaVu Sans"/>
        <family val="2"/>
      </rPr>
      <t>벤더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총판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리셀러 네트워크 관리</t>
    </r>
  </si>
  <si>
    <t>파트너 관리</t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</si>
  <si>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파트너사 관리</t>
    </r>
  </si>
  <si>
    <t>고객지원</t>
  </si>
  <si>
    <t>고객 기술 지원</t>
  </si>
  <si>
    <r>
      <rPr>
        <sz val="11"/>
        <color rgb="FF000000"/>
        <rFont val="DejaVu Sans"/>
        <family val="2"/>
      </rPr>
      <t>도입 컨설팅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초기 셋업 지원</t>
    </r>
  </si>
  <si>
    <r>
      <rPr>
        <sz val="11"/>
        <color rgb="FF000000"/>
        <rFont val="DejaVu Sans"/>
        <family val="2"/>
      </rPr>
      <t>기술 이해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고객 응대</t>
    </r>
  </si>
  <si>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판매영업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고객 기술 지원</t>
    </r>
  </si>
  <si>
    <t>교육 기획</t>
  </si>
  <si>
    <t>교육과정 기획</t>
  </si>
  <si>
    <r>
      <rPr>
        <sz val="11"/>
        <color rgb="FF000000"/>
        <rFont val="DejaVu Sans"/>
        <family val="2"/>
      </rPr>
      <t>연간 교육과정 설계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커리큘럼 수립</t>
    </r>
  </si>
  <si>
    <r>
      <rPr>
        <sz val="11"/>
        <color rgb="FF000000"/>
        <rFont val="DejaVu Sans"/>
        <family val="2"/>
      </rPr>
      <t>교육 기획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커리큘럼 설계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</si>
  <si>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교육과정 기획</t>
    </r>
  </si>
  <si>
    <t>교재 개발</t>
  </si>
  <si>
    <r>
      <rPr>
        <sz val="11"/>
        <color rgb="FF000000"/>
        <rFont val="맑은 고딕"/>
        <family val="3"/>
        <charset val="129"/>
      </rPr>
      <t xml:space="preserve">BIM·SW </t>
    </r>
    <r>
      <rPr>
        <sz val="11"/>
        <color rgb="FF000000"/>
        <rFont val="DejaVu Sans"/>
        <family val="2"/>
      </rPr>
      <t>실습 교재 작성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업데이트</t>
    </r>
  </si>
  <si>
    <r>
      <rPr>
        <sz val="11"/>
        <color rgb="FF000000"/>
        <rFont val="DejaVu Sans"/>
        <family val="2"/>
      </rPr>
      <t>교재 개발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문서화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</si>
  <si>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교재 개발</t>
    </r>
  </si>
  <si>
    <t>교육 운영</t>
  </si>
  <si>
    <t>교육 진행 및 강의</t>
  </si>
  <si>
    <r>
      <rPr>
        <sz val="11"/>
        <color rgb="FF000000"/>
        <rFont val="DejaVu Sans"/>
        <family val="2"/>
      </rPr>
      <t>오프라인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온라인 강의 진행</t>
    </r>
  </si>
  <si>
    <r>
      <rPr>
        <sz val="11"/>
        <color rgb="FF000000"/>
        <rFont val="DejaVu Sans"/>
        <family val="2"/>
      </rPr>
      <t>강의 역량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발표력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</si>
  <si>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교육 진행 및 강의</t>
    </r>
  </si>
  <si>
    <t>실습 지원</t>
  </si>
  <si>
    <r>
      <rPr>
        <sz val="11"/>
        <color rgb="FF000000"/>
        <rFont val="DejaVu Sans"/>
        <family val="2"/>
      </rPr>
      <t>실습 환경 구축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수강생 지원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</si>
  <si>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실습 지원</t>
    </r>
  </si>
  <si>
    <t>평가 및 피드백</t>
  </si>
  <si>
    <r>
      <rPr>
        <sz val="11"/>
        <color rgb="FF000000"/>
        <rFont val="DejaVu Sans"/>
        <family val="2"/>
      </rPr>
      <t>교육 평가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만족도 조사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개선</t>
    </r>
  </si>
  <si>
    <r>
      <rPr>
        <sz val="11"/>
        <color rgb="FF000000"/>
        <rFont val="DejaVu Sans"/>
        <family val="2"/>
      </rPr>
      <t>평가 설계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피드백</t>
    </r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</si>
  <si>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평가 및 피드백</t>
    </r>
  </si>
  <si>
    <r>
      <rPr>
        <sz val="11"/>
        <color rgb="FF000000"/>
        <rFont val="DejaVu Sans"/>
        <family val="2"/>
      </rPr>
      <t>수료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DejaVu Sans"/>
        <family val="2"/>
      </rPr>
      <t>인증</t>
    </r>
  </si>
  <si>
    <r>
      <rPr>
        <b/>
        <sz val="11"/>
        <color rgb="FF000000"/>
        <rFont val="DejaVu Sans"/>
        <family val="2"/>
      </rPr>
      <t>수료 관리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인증 발급</t>
    </r>
  </si>
  <si>
    <r>
      <rPr>
        <sz val="11"/>
        <color rgb="FF000000"/>
        <rFont val="DejaVu Sans"/>
        <family val="2"/>
      </rPr>
      <t>수강생 관리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수료증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인증 발급</t>
    </r>
  </si>
  <si>
    <t>행정관리</t>
  </si>
  <si>
    <r>
      <rPr>
        <sz val="11"/>
        <color rgb="FF000000"/>
        <rFont val="DejaVu Sans"/>
        <family val="2"/>
      </rPr>
      <t>교육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수료 관리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인증 발급</t>
    </r>
  </si>
  <si>
    <t>고객 문의 대응</t>
  </si>
  <si>
    <r>
      <rPr>
        <sz val="11"/>
        <color rgb="FF000000"/>
        <rFont val="DejaVu Sans"/>
        <family val="2"/>
      </rPr>
      <t>제품 사용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트러블슈팅 대응</t>
    </r>
  </si>
  <si>
    <r>
      <rPr>
        <sz val="11"/>
        <color rgb="FF000000"/>
        <rFont val="DejaVu Sans"/>
        <family val="2"/>
      </rPr>
      <t>제품 지식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커뮤니케이션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</si>
  <si>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고객 문의 대응</t>
    </r>
  </si>
  <si>
    <r>
      <rPr>
        <b/>
        <sz val="11"/>
        <color rgb="FF000000"/>
        <rFont val="DejaVu Sans"/>
        <family val="2"/>
      </rPr>
      <t>원격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현장 지원</t>
    </r>
  </si>
  <si>
    <r>
      <rPr>
        <sz val="11"/>
        <color rgb="FF000000"/>
        <rFont val="DejaVu Sans"/>
        <family val="2"/>
      </rPr>
      <t>원격 접속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현장 방문 지원</t>
    </r>
  </si>
  <si>
    <r>
      <rPr>
        <sz val="11"/>
        <color rgb="FF000000"/>
        <rFont val="DejaVu Sans"/>
        <family val="2"/>
      </rPr>
      <t>문제해결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현장 대응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</si>
  <si>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원격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현장 지원</t>
    </r>
  </si>
  <si>
    <t>기술 문서 작성</t>
  </si>
  <si>
    <r>
      <rPr>
        <sz val="11"/>
        <color rgb="FF000000"/>
        <rFont val="맑은 고딕"/>
        <family val="3"/>
        <charset val="129"/>
      </rPr>
      <t>FAQ·</t>
    </r>
    <r>
      <rPr>
        <sz val="11"/>
        <color rgb="FF000000"/>
        <rFont val="DejaVu Sans"/>
        <family val="2"/>
      </rPr>
      <t>매뉴얼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트러블슈팅 가이드 작성</t>
    </r>
  </si>
  <si>
    <t>문서화</t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</si>
  <si>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기술 문서 작성</t>
    </r>
  </si>
  <si>
    <t>품질개선</t>
  </si>
  <si>
    <t>버그 리포트 및 피드백</t>
  </si>
  <si>
    <r>
      <rPr>
        <sz val="11"/>
        <color rgb="FF000000"/>
        <rFont val="DejaVu Sans"/>
        <family val="2"/>
      </rPr>
      <t>개발팀에 버그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개선요청 전달</t>
    </r>
  </si>
  <si>
    <r>
      <rPr>
        <sz val="11"/>
        <color rgb="FF000000"/>
        <rFont val="DejaVu Sans"/>
        <family val="2"/>
      </rPr>
      <t>커뮤니케이션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기록</t>
    </r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</si>
  <si>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버그 리포트 및 피드백</t>
    </r>
  </si>
  <si>
    <t>품질 모니터링</t>
  </si>
  <si>
    <r>
      <rPr>
        <sz val="11"/>
        <color rgb="FF000000"/>
        <rFont val="DejaVu Sans"/>
        <family val="2"/>
      </rPr>
      <t>고객 사용 패턴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문제유형 모니터링</t>
    </r>
  </si>
  <si>
    <t>데이터 분석</t>
  </si>
  <si>
    <r>
      <rPr>
        <sz val="11"/>
        <color rgb="FF000000"/>
        <rFont val="DejaVu Sans"/>
        <family val="2"/>
      </rPr>
      <t>기술지원</t>
    </r>
    <r>
      <rPr>
        <sz val="11"/>
        <color rgb="FF000000"/>
        <rFont val="맑은 고딕"/>
        <family val="3"/>
        <charset val="129"/>
      </rPr>
      <t>_</t>
    </r>
    <r>
      <rPr>
        <sz val="11"/>
        <color rgb="FF000000"/>
        <rFont val="DejaVu Sans"/>
        <family val="2"/>
      </rPr>
      <t>품질 모니터링</t>
    </r>
  </si>
  <si>
    <r>
      <rPr>
        <b/>
        <sz val="11"/>
        <color rgb="FF000000"/>
        <rFont val="DejaVu Sans"/>
        <family val="2"/>
      </rPr>
      <t>연구개발</t>
    </r>
    <r>
      <rPr>
        <b/>
        <sz val="11"/>
        <color rgb="FF000000"/>
        <rFont val="맑은 고딕"/>
        <family val="3"/>
        <charset val="129"/>
      </rPr>
      <t>(R&amp;D)</t>
    </r>
  </si>
  <si>
    <r>
      <rPr>
        <sz val="11"/>
        <color rgb="FF000000"/>
        <rFont val="DejaVu Sans"/>
        <family val="2"/>
      </rPr>
      <t>건설</t>
    </r>
    <r>
      <rPr>
        <sz val="11"/>
        <color rgb="FF000000"/>
        <rFont val="맑은 고딕"/>
        <family val="3"/>
        <charset val="129"/>
      </rPr>
      <t>SW</t>
    </r>
    <r>
      <rPr>
        <sz val="11"/>
        <color rgb="FF000000"/>
        <rFont val="DejaVu Sans"/>
        <family val="2"/>
      </rPr>
      <t>개발</t>
    </r>
  </si>
  <si>
    <r>
      <rPr>
        <b/>
        <sz val="11"/>
        <color rgb="FF000000"/>
        <rFont val="DejaVu Sans"/>
        <family val="2"/>
      </rPr>
      <t>요구사항 분석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설계</t>
    </r>
  </si>
  <si>
    <r>
      <rPr>
        <sz val="11"/>
        <color rgb="FF000000"/>
        <rFont val="DejaVu Sans"/>
        <family val="2"/>
      </rPr>
      <t>고객 요구사항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기능 명세 설계</t>
    </r>
  </si>
  <si>
    <r>
      <rPr>
        <sz val="11"/>
        <color rgb="FF000000"/>
        <rFont val="DejaVu Sans"/>
        <family val="2"/>
      </rPr>
      <t>요구분석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시스템 설계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</si>
  <si>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</t>
    </r>
    <r>
      <rPr>
        <sz val="11"/>
        <color rgb="FF000000"/>
        <rFont val="DejaVu Sans"/>
        <family val="2"/>
      </rPr>
      <t>요구사항 분석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설계</t>
    </r>
  </si>
  <si>
    <t>코딩 및 단위 테스트</t>
  </si>
  <si>
    <r>
      <rPr>
        <sz val="11"/>
        <color rgb="FF000000"/>
        <rFont val="맑은 고딕"/>
        <family val="3"/>
        <charset val="129"/>
      </rPr>
      <t xml:space="preserve">C#/Python/JavaScript </t>
    </r>
    <r>
      <rPr>
        <sz val="11"/>
        <color rgb="FF000000"/>
        <rFont val="DejaVu Sans"/>
        <family val="2"/>
      </rPr>
      <t>개발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테스트</t>
    </r>
  </si>
  <si>
    <r>
      <rPr>
        <sz val="11"/>
        <color rgb="FF000000"/>
        <rFont val="DejaVu Sans"/>
        <family val="2"/>
      </rPr>
      <t>프로그래밍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테스트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</si>
  <si>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</t>
    </r>
    <r>
      <rPr>
        <sz val="11"/>
        <color rgb="FF000000"/>
        <rFont val="DejaVu Sans"/>
        <family val="2"/>
      </rPr>
      <t>코딩 및 단위 테스트</t>
    </r>
  </si>
  <si>
    <t>통합 및 배포</t>
  </si>
  <si>
    <r>
      <rPr>
        <sz val="11"/>
        <color rgb="FF000000"/>
        <rFont val="DejaVu Sans"/>
        <family val="2"/>
      </rPr>
      <t>빌드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배포</t>
    </r>
    <r>
      <rPr>
        <sz val="11"/>
        <color rgb="FF000000"/>
        <rFont val="맑은 고딕"/>
        <family val="3"/>
        <charset val="129"/>
      </rPr>
      <t xml:space="preserve">·CI/CD </t>
    </r>
    <r>
      <rPr>
        <sz val="11"/>
        <color rgb="FF000000"/>
        <rFont val="DejaVu Sans"/>
        <family val="2"/>
      </rPr>
      <t>운영</t>
    </r>
  </si>
  <si>
    <r>
      <rPr>
        <sz val="11"/>
        <color rgb="FF000000"/>
        <rFont val="맑은 고딕"/>
        <family val="3"/>
        <charset val="129"/>
      </rPr>
      <t xml:space="preserve">DevOps, </t>
    </r>
    <r>
      <rPr>
        <sz val="11"/>
        <color rgb="FF000000"/>
        <rFont val="DejaVu Sans"/>
        <family val="2"/>
      </rPr>
      <t>통합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</si>
  <si>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</t>
    </r>
    <r>
      <rPr>
        <sz val="11"/>
        <color rgb="FF000000"/>
        <rFont val="DejaVu Sans"/>
        <family val="2"/>
      </rPr>
      <t>통합 및 배포</t>
    </r>
  </si>
  <si>
    <t>국책연구과제</t>
  </si>
  <si>
    <r>
      <rPr>
        <b/>
        <sz val="11"/>
        <color rgb="FF000000"/>
        <rFont val="DejaVu Sans"/>
        <family val="2"/>
      </rPr>
      <t>과제 기획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제안</t>
    </r>
  </si>
  <si>
    <r>
      <rPr>
        <sz val="11"/>
        <color rgb="FF000000"/>
        <rFont val="DejaVu Sans"/>
        <family val="2"/>
      </rPr>
      <t>국토부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과기부 연구과제 발굴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제안서</t>
    </r>
  </si>
  <si>
    <r>
      <rPr>
        <sz val="11"/>
        <color rgb="FF000000"/>
        <rFont val="DejaVu Sans"/>
        <family val="2"/>
      </rPr>
      <t>제안서 작성</t>
    </r>
    <r>
      <rPr>
        <sz val="11"/>
        <color rgb="FF000000"/>
        <rFont val="맑은 고딕"/>
        <family val="3"/>
        <charset val="129"/>
      </rPr>
      <t xml:space="preserve">, R&amp;D </t>
    </r>
    <r>
      <rPr>
        <sz val="11"/>
        <color rgb="FF000000"/>
        <rFont val="DejaVu Sans"/>
        <family val="2"/>
      </rPr>
      <t>기획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</si>
  <si>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</t>
    </r>
    <r>
      <rPr>
        <sz val="11"/>
        <color rgb="FF000000"/>
        <rFont val="DejaVu Sans"/>
        <family val="2"/>
      </rPr>
      <t>과제 기획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제안</t>
    </r>
  </si>
  <si>
    <t>연구 수행 및 보고</t>
  </si>
  <si>
    <r>
      <rPr>
        <sz val="11"/>
        <color rgb="FF000000"/>
        <rFont val="DejaVu Sans"/>
        <family val="2"/>
      </rPr>
      <t>연구 실행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중간보고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최종보고</t>
    </r>
  </si>
  <si>
    <r>
      <rPr>
        <sz val="11"/>
        <color rgb="FF000000"/>
        <rFont val="DejaVu Sans"/>
        <family val="2"/>
      </rPr>
      <t>연구방법론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>보고서 작성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</si>
  <si>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</t>
    </r>
    <r>
      <rPr>
        <sz val="11"/>
        <color rgb="FF000000"/>
        <rFont val="DejaVu Sans"/>
        <family val="2"/>
      </rPr>
      <t>연구 수행 및 보고</t>
    </r>
  </si>
  <si>
    <r>
      <rPr>
        <b/>
        <sz val="11"/>
        <color rgb="FF000000"/>
        <rFont val="DejaVu Sans"/>
        <family val="2"/>
      </rPr>
      <t>특허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논문</t>
    </r>
  </si>
  <si>
    <r>
      <rPr>
        <sz val="11"/>
        <color rgb="FF000000"/>
        <rFont val="DejaVu Sans"/>
        <family val="2"/>
      </rPr>
      <t>특허 출원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학술논문 발표</t>
    </r>
  </si>
  <si>
    <r>
      <rPr>
        <sz val="11"/>
        <color rgb="FF000000"/>
        <rFont val="DejaVu Sans"/>
        <family val="2"/>
      </rPr>
      <t>특허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논문 작성</t>
    </r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</si>
  <si>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</t>
    </r>
    <r>
      <rPr>
        <sz val="11"/>
        <color rgb="FF000000"/>
        <rFont val="DejaVu Sans"/>
        <family val="2"/>
      </rPr>
      <t>특허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논문</t>
    </r>
  </si>
  <si>
    <t>품질관리</t>
  </si>
  <si>
    <r>
      <rPr>
        <b/>
        <sz val="11"/>
        <color rgb="FF000000"/>
        <rFont val="DejaVu Sans"/>
        <family val="2"/>
      </rPr>
      <t>코드 리뷰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DejaVu Sans"/>
        <family val="2"/>
      </rPr>
      <t>품질 표준</t>
    </r>
  </si>
  <si>
    <r>
      <rPr>
        <sz val="11"/>
        <color rgb="FF000000"/>
        <rFont val="DejaVu Sans"/>
        <family val="2"/>
      </rPr>
      <t>코드 리뷰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정적 분석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품질 표준</t>
    </r>
  </si>
  <si>
    <t>코드 품질</t>
  </si>
  <si>
    <r>
      <rPr>
        <sz val="11"/>
        <color rgb="FF000000"/>
        <rFont val="DejaVu Sans"/>
        <family val="2"/>
      </rPr>
      <t>연구개발</t>
    </r>
    <r>
      <rPr>
        <sz val="11"/>
        <color rgb="FF000000"/>
        <rFont val="맑은 고딕"/>
        <family val="3"/>
        <charset val="129"/>
      </rPr>
      <t>(R&amp;D)_</t>
    </r>
    <r>
      <rPr>
        <sz val="11"/>
        <color rgb="FF000000"/>
        <rFont val="DejaVu Sans"/>
        <family val="2"/>
      </rPr>
      <t>코드 리뷰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품질 표준</t>
    </r>
  </si>
  <si>
    <t xml:space="preserve">★ 직원별 메인 책무 매핑 </t>
  </si>
  <si>
    <r>
      <rPr>
        <sz val="10"/>
        <color rgb="FF000000"/>
        <rFont val="DejaVu Sans"/>
        <family val="2"/>
      </rPr>
      <t>각 직무 책무 헤더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파란 셀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는 고정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 xml:space="preserve">직원 행의 책무 칸에 </t>
    </r>
    <r>
      <rPr>
        <sz val="10"/>
        <color rgb="FF000000"/>
        <rFont val="맑은 고딕"/>
        <family val="3"/>
        <charset val="129"/>
      </rPr>
      <t>O(</t>
    </r>
    <r>
      <rPr>
        <sz val="10"/>
        <color rgb="FF000000"/>
        <rFont val="DejaVu Sans"/>
        <family val="2"/>
      </rPr>
      <t>메인 책무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DejaVu Sans"/>
        <family val="2"/>
      </rPr>
      <t xml:space="preserve">또는 </t>
    </r>
    <r>
      <rPr>
        <sz val="10"/>
        <color rgb="FF000000"/>
        <rFont val="맑은 고딕"/>
        <family val="3"/>
        <charset val="129"/>
      </rPr>
      <t>X(</t>
    </r>
    <r>
      <rPr>
        <sz val="10"/>
        <color rgb="FF000000"/>
        <rFont val="DejaVu Sans"/>
        <family val="2"/>
      </rPr>
      <t>아님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만 입력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DejaVu Sans"/>
        <family val="2"/>
      </rPr>
      <t>메인 책무 수는 자동 카운트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</si>
  <si>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000000"/>
        <rFont val="DejaVu Sans"/>
        <family val="2"/>
      </rPr>
      <t>▶ 사용법</t>
    </r>
    <r>
      <rPr>
        <b/>
        <sz val="10"/>
        <color rgb="FF000000"/>
        <rFont val="맑은 고딕"/>
        <family val="3"/>
        <charset val="129"/>
      </rPr>
      <t xml:space="preserve">: </t>
    </r>
    <r>
      <rPr>
        <b/>
        <sz val="10"/>
        <color rgb="FF000000"/>
        <rFont val="DejaVu Sans"/>
        <family val="2"/>
      </rPr>
      <t xml:space="preserve">직원별로 자신의 직무 섹션을 찾아 → 메인 책무 셀에 </t>
    </r>
    <r>
      <rPr>
        <b/>
        <sz val="10"/>
        <color rgb="FF000000"/>
        <rFont val="맑은 고딕"/>
        <family val="3"/>
        <charset val="129"/>
      </rPr>
      <t xml:space="preserve">O, </t>
    </r>
    <r>
      <rPr>
        <b/>
        <sz val="10"/>
        <color rgb="FF000000"/>
        <rFont val="DejaVu Sans"/>
        <family val="2"/>
      </rPr>
      <t xml:space="preserve">비메인 셀에 </t>
    </r>
    <r>
      <rPr>
        <b/>
        <sz val="10"/>
        <color rgb="FF000000"/>
        <rFont val="맑은 고딕"/>
        <family val="3"/>
        <charset val="129"/>
      </rPr>
      <t xml:space="preserve">X </t>
    </r>
    <r>
      <rPr>
        <b/>
        <sz val="10"/>
        <color rgb="FF000000"/>
        <rFont val="DejaVu Sans"/>
        <family val="2"/>
      </rPr>
      <t xml:space="preserve">입력 → </t>
    </r>
    <r>
      <rPr>
        <b/>
        <sz val="10"/>
        <color rgb="FF000000"/>
        <rFont val="맑은 고딕"/>
        <family val="3"/>
        <charset val="129"/>
      </rPr>
      <t>E</t>
    </r>
    <r>
      <rPr>
        <b/>
        <sz val="10"/>
        <color rgb="FF000000"/>
        <rFont val="DejaVu Sans"/>
        <family val="2"/>
      </rPr>
      <t>열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메인 책무 수</t>
    </r>
    <r>
      <rPr>
        <b/>
        <sz val="10"/>
        <color rgb="FF000000"/>
        <rFont val="맑은 고딕"/>
        <family val="3"/>
        <charset val="129"/>
      </rPr>
      <t>)</t>
    </r>
    <r>
      <rPr>
        <b/>
        <sz val="10"/>
        <color rgb="FF000000"/>
        <rFont val="DejaVu Sans"/>
        <family val="2"/>
      </rPr>
      <t>이 자동 갱신</t>
    </r>
  </si>
  <si>
    <r>
      <rPr>
        <b/>
        <sz val="12"/>
        <color rgb="FFFFFFFF"/>
        <rFont val="DejaVu Sans"/>
        <family val="2"/>
      </rPr>
      <t>■ 직무</t>
    </r>
    <r>
      <rPr>
        <b/>
        <sz val="12"/>
        <color rgb="FFFFFFFF"/>
        <rFont val="맑은 고딕"/>
        <family val="3"/>
        <charset val="129"/>
      </rPr>
      <t xml:space="preserve">: </t>
    </r>
    <r>
      <rPr>
        <b/>
        <sz val="12"/>
        <color rgb="FFFFFFFF"/>
        <rFont val="DejaVu Sans"/>
        <family val="2"/>
      </rPr>
      <t xml:space="preserve">경영전략기획 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책무 </t>
    </r>
    <r>
      <rPr>
        <b/>
        <sz val="12"/>
        <color rgb="FFFFFFFF"/>
        <rFont val="맑은 고딕"/>
        <family val="3"/>
        <charset val="129"/>
      </rPr>
      <t>19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맑은 고딕"/>
        <family val="3"/>
        <charset val="129"/>
      </rPr>
      <t xml:space="preserve">)  |  </t>
    </r>
    <r>
      <rPr>
        <b/>
        <sz val="12"/>
        <color rgb="FFFFFFFF"/>
        <rFont val="DejaVu Sans"/>
        <family val="2"/>
      </rPr>
      <t xml:space="preserve">해당 직원 </t>
    </r>
    <r>
      <rPr>
        <b/>
        <sz val="12"/>
        <color rgb="FFFFFFFF"/>
        <rFont val="맑은 고딕"/>
        <family val="3"/>
        <charset val="129"/>
      </rPr>
      <t>5</t>
    </r>
    <r>
      <rPr>
        <b/>
        <sz val="12"/>
        <color rgb="FFFFFFFF"/>
        <rFont val="DejaVu Sans"/>
        <family val="2"/>
      </rPr>
      <t>명</t>
    </r>
  </si>
  <si>
    <r>
      <rPr>
        <b/>
        <sz val="9"/>
        <color rgb="FFFFFFFF"/>
        <rFont val="DejaVu Sans"/>
        <family val="2"/>
      </rPr>
      <t xml:space="preserve">조직 목표 및 </t>
    </r>
    <r>
      <rPr>
        <b/>
        <sz val="9"/>
        <color rgb="FFFFFFFF"/>
        <rFont val="맑은 고딕"/>
        <family val="3"/>
        <charset val="129"/>
      </rPr>
      <t xml:space="preserve">KPI </t>
    </r>
    <r>
      <rPr>
        <b/>
        <sz val="9"/>
        <color rgb="FFFFFFFF"/>
        <rFont val="DejaVu Sans"/>
        <family val="2"/>
      </rPr>
      <t>관리</t>
    </r>
  </si>
  <si>
    <t>OOO (G6)</t>
  </si>
  <si>
    <t>X</t>
  </si>
  <si>
    <t>OOO (G5-M)</t>
  </si>
  <si>
    <t>OOO (G1)</t>
  </si>
  <si>
    <r>
      <rPr>
        <b/>
        <sz val="12"/>
        <color rgb="FFFFFFFF"/>
        <rFont val="DejaVu Sans"/>
        <family val="2"/>
      </rPr>
      <t>■ 직무</t>
    </r>
    <r>
      <rPr>
        <b/>
        <sz val="12"/>
        <color rgb="FFFFFFFF"/>
        <rFont val="맑은 고딕"/>
        <family val="3"/>
        <charset val="129"/>
      </rPr>
      <t xml:space="preserve">: </t>
    </r>
    <r>
      <rPr>
        <b/>
        <sz val="12"/>
        <color rgb="FFFFFFFF"/>
        <rFont val="DejaVu Sans"/>
        <family val="2"/>
      </rPr>
      <t xml:space="preserve">프로젝트영업 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책무 </t>
    </r>
    <r>
      <rPr>
        <b/>
        <sz val="12"/>
        <color rgb="FFFFFFFF"/>
        <rFont val="맑은 고딕"/>
        <family val="3"/>
        <charset val="129"/>
      </rPr>
      <t>7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맑은 고딕"/>
        <family val="3"/>
        <charset val="129"/>
      </rPr>
      <t xml:space="preserve">)  |  </t>
    </r>
    <r>
      <rPr>
        <b/>
        <sz val="12"/>
        <color rgb="FFFFFFFF"/>
        <rFont val="DejaVu Sans"/>
        <family val="2"/>
      </rPr>
      <t xml:space="preserve">해당 직원 </t>
    </r>
    <r>
      <rPr>
        <b/>
        <sz val="12"/>
        <color rgb="FFFFFFFF"/>
        <rFont val="맑은 고딕"/>
        <family val="3"/>
        <charset val="129"/>
      </rPr>
      <t>1</t>
    </r>
    <r>
      <rPr>
        <b/>
        <sz val="12"/>
        <color rgb="FFFFFFFF"/>
        <rFont val="DejaVu Sans"/>
        <family val="2"/>
      </rPr>
      <t>명</t>
    </r>
  </si>
  <si>
    <r>
      <rPr>
        <b/>
        <sz val="12"/>
        <color rgb="FFFFFFFF"/>
        <rFont val="DejaVu Sans"/>
        <family val="2"/>
      </rPr>
      <t>■ 직무</t>
    </r>
    <r>
      <rPr>
        <b/>
        <sz val="12"/>
        <color rgb="FFFFFFFF"/>
        <rFont val="맑은 고딕"/>
        <family val="3"/>
        <charset val="129"/>
      </rPr>
      <t>: SW</t>
    </r>
    <r>
      <rPr>
        <b/>
        <sz val="12"/>
        <color rgb="FFFFFFFF"/>
        <rFont val="DejaVu Sans"/>
        <family val="2"/>
      </rPr>
      <t xml:space="preserve">판매영업 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책무 </t>
    </r>
    <r>
      <rPr>
        <b/>
        <sz val="12"/>
        <color rgb="FFFFFFFF"/>
        <rFont val="맑은 고딕"/>
        <family val="3"/>
        <charset val="129"/>
      </rPr>
      <t>4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맑은 고딕"/>
        <family val="3"/>
        <charset val="129"/>
      </rPr>
      <t xml:space="preserve">)  |  </t>
    </r>
    <r>
      <rPr>
        <b/>
        <sz val="12"/>
        <color rgb="FFFFFFFF"/>
        <rFont val="DejaVu Sans"/>
        <family val="2"/>
      </rPr>
      <t xml:space="preserve">해당 직원 </t>
    </r>
    <r>
      <rPr>
        <b/>
        <sz val="12"/>
        <color rgb="FFFFFFFF"/>
        <rFont val="맑은 고딕"/>
        <family val="3"/>
        <charset val="129"/>
      </rPr>
      <t>0</t>
    </r>
    <r>
      <rPr>
        <b/>
        <sz val="12"/>
        <color rgb="FFFFFFFF"/>
        <rFont val="DejaVu Sans"/>
        <family val="2"/>
      </rPr>
      <t>명</t>
    </r>
  </si>
  <si>
    <r>
      <rPr>
        <b/>
        <sz val="9"/>
        <color rgb="FF000000"/>
        <rFont val="맑은 고딕"/>
        <family val="3"/>
        <charset val="129"/>
      </rPr>
      <t xml:space="preserve">SW </t>
    </r>
    <r>
      <rPr>
        <b/>
        <sz val="9"/>
        <color rgb="FF000000"/>
        <rFont val="DejaVu Sans"/>
        <family val="2"/>
      </rPr>
      <t>영업</t>
    </r>
  </si>
  <si>
    <r>
      <rPr>
        <b/>
        <sz val="9"/>
        <color rgb="FFFFFFFF"/>
        <rFont val="맑은 고딕"/>
        <family val="3"/>
        <charset val="129"/>
      </rPr>
      <t xml:space="preserve">SW </t>
    </r>
    <r>
      <rPr>
        <b/>
        <sz val="9"/>
        <color rgb="FFFFFFFF"/>
        <rFont val="DejaVu Sans"/>
        <family val="2"/>
      </rPr>
      <t>패키지 영업</t>
    </r>
  </si>
  <si>
    <r>
      <rPr>
        <b/>
        <sz val="9"/>
        <color rgb="FFFFFFFF"/>
        <rFont val="DejaVu Sans"/>
        <family val="2"/>
      </rPr>
      <t>라이선스 관리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DejaVu Sans"/>
        <family val="2"/>
      </rPr>
      <t>갱신</t>
    </r>
  </si>
  <si>
    <r>
      <rPr>
        <b/>
        <sz val="12"/>
        <color rgb="FFFFFFFF"/>
        <rFont val="DejaVu Sans"/>
        <family val="2"/>
      </rPr>
      <t>■ 직무</t>
    </r>
    <r>
      <rPr>
        <b/>
        <sz val="12"/>
        <color rgb="FFFFFFFF"/>
        <rFont val="맑은 고딕"/>
        <family val="3"/>
        <charset val="129"/>
      </rPr>
      <t>: BIM</t>
    </r>
    <r>
      <rPr>
        <b/>
        <sz val="12"/>
        <color rgb="FFFFFFFF"/>
        <rFont val="DejaVu Sans"/>
        <family val="2"/>
      </rPr>
      <t xml:space="preserve">컨설팅 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책무 </t>
    </r>
    <r>
      <rPr>
        <b/>
        <sz val="12"/>
        <color rgb="FFFFFFFF"/>
        <rFont val="맑은 고딕"/>
        <family val="3"/>
        <charset val="129"/>
      </rPr>
      <t>15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맑은 고딕"/>
        <family val="3"/>
        <charset val="129"/>
      </rPr>
      <t xml:space="preserve">)  |  </t>
    </r>
    <r>
      <rPr>
        <b/>
        <sz val="12"/>
        <color rgb="FFFFFFFF"/>
        <rFont val="DejaVu Sans"/>
        <family val="2"/>
      </rPr>
      <t xml:space="preserve">해당 직원 </t>
    </r>
    <r>
      <rPr>
        <b/>
        <sz val="12"/>
        <color rgb="FFFFFFFF"/>
        <rFont val="맑은 고딕"/>
        <family val="3"/>
        <charset val="129"/>
      </rPr>
      <t>21</t>
    </r>
    <r>
      <rPr>
        <b/>
        <sz val="12"/>
        <color rgb="FFFFFFFF"/>
        <rFont val="DejaVu Sans"/>
        <family val="2"/>
      </rPr>
      <t>명</t>
    </r>
  </si>
  <si>
    <r>
      <rPr>
        <b/>
        <sz val="9"/>
        <color rgb="FFFFFFFF"/>
        <rFont val="맑은 고딕"/>
        <family val="3"/>
        <charset val="129"/>
      </rPr>
      <t xml:space="preserve">BIM </t>
    </r>
    <r>
      <rPr>
        <b/>
        <sz val="9"/>
        <color rgb="FFFFFFFF"/>
        <rFont val="DejaVu Sans"/>
        <family val="2"/>
      </rPr>
      <t>기반 설계 계획수립</t>
    </r>
  </si>
  <si>
    <r>
      <rPr>
        <b/>
        <sz val="9"/>
        <color rgb="FFFFFFFF"/>
        <rFont val="맑은 고딕"/>
        <family val="3"/>
        <charset val="129"/>
      </rPr>
      <t xml:space="preserve">3D </t>
    </r>
    <r>
      <rPr>
        <b/>
        <sz val="9"/>
        <color rgb="FFFFFFFF"/>
        <rFont val="DejaVu Sans"/>
        <family val="2"/>
      </rPr>
      <t>메쉬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DejaVu Sans"/>
        <family val="2"/>
      </rPr>
      <t>포인트클라우드 생성</t>
    </r>
  </si>
  <si>
    <r>
      <rPr>
        <b/>
        <sz val="9"/>
        <color rgb="FFFFFFFF"/>
        <rFont val="DejaVu Sans"/>
        <family val="2"/>
      </rPr>
      <t xml:space="preserve">구조 </t>
    </r>
    <r>
      <rPr>
        <b/>
        <sz val="9"/>
        <color rgb="FFFFFFFF"/>
        <rFont val="맑은 고딕"/>
        <family val="3"/>
        <charset val="129"/>
      </rPr>
      <t xml:space="preserve">BIM </t>
    </r>
    <r>
      <rPr>
        <b/>
        <sz val="9"/>
        <color rgb="FFFFFFFF"/>
        <rFont val="DejaVu Sans"/>
        <family val="2"/>
      </rPr>
      <t>모델링</t>
    </r>
  </si>
  <si>
    <r>
      <rPr>
        <b/>
        <sz val="9"/>
        <color rgb="FFFFFFFF"/>
        <rFont val="DejaVu Sans"/>
        <family val="2"/>
      </rPr>
      <t xml:space="preserve">상하수도 </t>
    </r>
    <r>
      <rPr>
        <b/>
        <sz val="9"/>
        <color rgb="FFFFFFFF"/>
        <rFont val="맑은 고딕"/>
        <family val="3"/>
        <charset val="129"/>
      </rPr>
      <t xml:space="preserve">BIM </t>
    </r>
    <r>
      <rPr>
        <b/>
        <sz val="9"/>
        <color rgb="FFFFFFFF"/>
        <rFont val="DejaVu Sans"/>
        <family val="2"/>
      </rPr>
      <t>모델링</t>
    </r>
  </si>
  <si>
    <r>
      <rPr>
        <b/>
        <sz val="9"/>
        <color rgb="FFFFFFFF"/>
        <rFont val="맑은 고딕"/>
        <family val="3"/>
        <charset val="129"/>
      </rPr>
      <t xml:space="preserve">BIM </t>
    </r>
    <r>
      <rPr>
        <b/>
        <sz val="9"/>
        <color rgb="FFFFFFFF"/>
        <rFont val="DejaVu Sans"/>
        <family val="2"/>
      </rPr>
      <t>도입 컨설팅</t>
    </r>
  </si>
  <si>
    <r>
      <rPr>
        <b/>
        <sz val="9"/>
        <color rgb="FFFFFFFF"/>
        <rFont val="맑은 고딕"/>
        <family val="3"/>
        <charset val="129"/>
      </rPr>
      <t xml:space="preserve">BIM </t>
    </r>
    <r>
      <rPr>
        <b/>
        <sz val="9"/>
        <color rgb="FFFFFFFF"/>
        <rFont val="DejaVu Sans"/>
        <family val="2"/>
      </rPr>
      <t>라이브러리 구축</t>
    </r>
  </si>
  <si>
    <t>OOO (G5-S)</t>
  </si>
  <si>
    <t>OOO (G4)</t>
  </si>
  <si>
    <t>OOO (G3)</t>
  </si>
  <si>
    <t>OOO (G2)</t>
  </si>
  <si>
    <r>
      <rPr>
        <b/>
        <sz val="12"/>
        <color rgb="FFFFFFFF"/>
        <rFont val="DejaVu Sans"/>
        <family val="2"/>
      </rPr>
      <t>■ 직무</t>
    </r>
    <r>
      <rPr>
        <b/>
        <sz val="12"/>
        <color rgb="FFFFFFFF"/>
        <rFont val="맑은 고딕"/>
        <family val="3"/>
        <charset val="129"/>
      </rPr>
      <t xml:space="preserve">: </t>
    </r>
    <r>
      <rPr>
        <b/>
        <sz val="12"/>
        <color rgb="FFFFFFFF"/>
        <rFont val="DejaVu Sans"/>
        <family val="2"/>
      </rPr>
      <t xml:space="preserve">교육 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책무 </t>
    </r>
    <r>
      <rPr>
        <b/>
        <sz val="12"/>
        <color rgb="FFFFFFFF"/>
        <rFont val="맑은 고딕"/>
        <family val="3"/>
        <charset val="129"/>
      </rPr>
      <t>6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맑은 고딕"/>
        <family val="3"/>
        <charset val="129"/>
      </rPr>
      <t xml:space="preserve">)  |  </t>
    </r>
    <r>
      <rPr>
        <b/>
        <sz val="12"/>
        <color rgb="FFFFFFFF"/>
        <rFont val="DejaVu Sans"/>
        <family val="2"/>
      </rPr>
      <t xml:space="preserve">해당 직원 </t>
    </r>
    <r>
      <rPr>
        <b/>
        <sz val="12"/>
        <color rgb="FFFFFFFF"/>
        <rFont val="맑은 고딕"/>
        <family val="3"/>
        <charset val="129"/>
      </rPr>
      <t>3</t>
    </r>
    <r>
      <rPr>
        <b/>
        <sz val="12"/>
        <color rgb="FFFFFFFF"/>
        <rFont val="DejaVu Sans"/>
        <family val="2"/>
      </rPr>
      <t>명</t>
    </r>
  </si>
  <si>
    <r>
      <rPr>
        <b/>
        <sz val="9"/>
        <color rgb="FF000000"/>
        <rFont val="DejaVu Sans"/>
        <family val="2"/>
      </rPr>
      <t>수료</t>
    </r>
    <r>
      <rPr>
        <b/>
        <sz val="9"/>
        <color rgb="FF000000"/>
        <rFont val="맑은 고딕"/>
        <family val="3"/>
        <charset val="129"/>
      </rPr>
      <t>/</t>
    </r>
    <r>
      <rPr>
        <b/>
        <sz val="9"/>
        <color rgb="FF000000"/>
        <rFont val="DejaVu Sans"/>
        <family val="2"/>
      </rPr>
      <t>인증</t>
    </r>
  </si>
  <si>
    <r>
      <rPr>
        <b/>
        <sz val="9"/>
        <color rgb="FFFFFFFF"/>
        <rFont val="DejaVu Sans"/>
        <family val="2"/>
      </rPr>
      <t>수료 관리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DejaVu Sans"/>
        <family val="2"/>
      </rPr>
      <t>인증 발급</t>
    </r>
  </si>
  <si>
    <r>
      <rPr>
        <b/>
        <sz val="12"/>
        <color rgb="FFFFFFFF"/>
        <rFont val="DejaVu Sans"/>
        <family val="2"/>
      </rPr>
      <t>■ 직무</t>
    </r>
    <r>
      <rPr>
        <b/>
        <sz val="12"/>
        <color rgb="FFFFFFFF"/>
        <rFont val="맑은 고딕"/>
        <family val="3"/>
        <charset val="129"/>
      </rPr>
      <t xml:space="preserve">: </t>
    </r>
    <r>
      <rPr>
        <b/>
        <sz val="12"/>
        <color rgb="FFFFFFFF"/>
        <rFont val="DejaVu Sans"/>
        <family val="2"/>
      </rPr>
      <t xml:space="preserve">기술지원 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책무 </t>
    </r>
    <r>
      <rPr>
        <b/>
        <sz val="12"/>
        <color rgb="FFFFFFFF"/>
        <rFont val="맑은 고딕"/>
        <family val="3"/>
        <charset val="129"/>
      </rPr>
      <t>5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맑은 고딕"/>
        <family val="3"/>
        <charset val="129"/>
      </rPr>
      <t xml:space="preserve">)  |  </t>
    </r>
    <r>
      <rPr>
        <b/>
        <sz val="12"/>
        <color rgb="FFFFFFFF"/>
        <rFont val="DejaVu Sans"/>
        <family val="2"/>
      </rPr>
      <t xml:space="preserve">해당 직원 </t>
    </r>
    <r>
      <rPr>
        <b/>
        <sz val="12"/>
        <color rgb="FFFFFFFF"/>
        <rFont val="맑은 고딕"/>
        <family val="3"/>
        <charset val="129"/>
      </rPr>
      <t>2</t>
    </r>
    <r>
      <rPr>
        <b/>
        <sz val="12"/>
        <color rgb="FFFFFFFF"/>
        <rFont val="DejaVu Sans"/>
        <family val="2"/>
      </rPr>
      <t>명</t>
    </r>
  </si>
  <si>
    <r>
      <rPr>
        <b/>
        <sz val="9"/>
        <color rgb="FFFFFFFF"/>
        <rFont val="DejaVu Sans"/>
        <family val="2"/>
      </rPr>
      <t>원격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DejaVu Sans"/>
        <family val="2"/>
      </rPr>
      <t>현장 지원</t>
    </r>
  </si>
  <si>
    <r>
      <rPr>
        <b/>
        <sz val="12"/>
        <color rgb="FFFFFFFF"/>
        <rFont val="DejaVu Sans"/>
        <family val="2"/>
      </rPr>
      <t>■ 직무</t>
    </r>
    <r>
      <rPr>
        <b/>
        <sz val="12"/>
        <color rgb="FFFFFFFF"/>
        <rFont val="맑은 고딕"/>
        <family val="3"/>
        <charset val="129"/>
      </rPr>
      <t xml:space="preserve">: </t>
    </r>
    <r>
      <rPr>
        <b/>
        <sz val="12"/>
        <color rgb="FFFFFFFF"/>
        <rFont val="DejaVu Sans"/>
        <family val="2"/>
      </rPr>
      <t>연구개발</t>
    </r>
    <r>
      <rPr>
        <b/>
        <sz val="12"/>
        <color rgb="FFFFFFFF"/>
        <rFont val="맑은 고딕"/>
        <family val="3"/>
        <charset val="129"/>
      </rPr>
      <t>(R&amp;D)  (</t>
    </r>
    <r>
      <rPr>
        <b/>
        <sz val="12"/>
        <color rgb="FFFFFFFF"/>
        <rFont val="DejaVu Sans"/>
        <family val="2"/>
      </rPr>
      <t xml:space="preserve">책무 </t>
    </r>
    <r>
      <rPr>
        <b/>
        <sz val="12"/>
        <color rgb="FFFFFFFF"/>
        <rFont val="맑은 고딕"/>
        <family val="3"/>
        <charset val="129"/>
      </rPr>
      <t>7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맑은 고딕"/>
        <family val="3"/>
        <charset val="129"/>
      </rPr>
      <t xml:space="preserve">)  |  </t>
    </r>
    <r>
      <rPr>
        <b/>
        <sz val="12"/>
        <color rgb="FFFFFFFF"/>
        <rFont val="DejaVu Sans"/>
        <family val="2"/>
      </rPr>
      <t xml:space="preserve">해당 직원 </t>
    </r>
    <r>
      <rPr>
        <b/>
        <sz val="12"/>
        <color rgb="FFFFFFFF"/>
        <rFont val="맑은 고딕"/>
        <family val="3"/>
        <charset val="129"/>
      </rPr>
      <t>2</t>
    </r>
    <r>
      <rPr>
        <b/>
        <sz val="12"/>
        <color rgb="FFFFFFFF"/>
        <rFont val="DejaVu Sans"/>
        <family val="2"/>
      </rPr>
      <t>명</t>
    </r>
  </si>
  <si>
    <r>
      <rPr>
        <b/>
        <sz val="9"/>
        <color rgb="FF000000"/>
        <rFont val="DejaVu Sans"/>
        <family val="2"/>
      </rPr>
      <t>건설</t>
    </r>
    <r>
      <rPr>
        <b/>
        <sz val="9"/>
        <color rgb="FF000000"/>
        <rFont val="맑은 고딕"/>
        <family val="3"/>
        <charset val="129"/>
      </rPr>
      <t>SW</t>
    </r>
    <r>
      <rPr>
        <b/>
        <sz val="9"/>
        <color rgb="FF000000"/>
        <rFont val="DejaVu Sans"/>
        <family val="2"/>
      </rPr>
      <t>개발</t>
    </r>
  </si>
  <si>
    <r>
      <rPr>
        <b/>
        <sz val="9"/>
        <color rgb="FFFFFFFF"/>
        <rFont val="DejaVu Sans"/>
        <family val="2"/>
      </rPr>
      <t>요구사항 분석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DejaVu Sans"/>
        <family val="2"/>
      </rPr>
      <t>설계</t>
    </r>
  </si>
  <si>
    <r>
      <rPr>
        <b/>
        <sz val="9"/>
        <color rgb="FFFFFFFF"/>
        <rFont val="DejaVu Sans"/>
        <family val="2"/>
      </rPr>
      <t>과제 기획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DejaVu Sans"/>
        <family val="2"/>
      </rPr>
      <t>제안</t>
    </r>
  </si>
  <si>
    <r>
      <rPr>
        <b/>
        <sz val="9"/>
        <color rgb="FFFFFFFF"/>
        <rFont val="DejaVu Sans"/>
        <family val="2"/>
      </rPr>
      <t>특허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DejaVu Sans"/>
        <family val="2"/>
      </rPr>
      <t>논문</t>
    </r>
  </si>
  <si>
    <r>
      <rPr>
        <b/>
        <sz val="9"/>
        <color rgb="FFFFFFFF"/>
        <rFont val="DejaVu Sans"/>
        <family val="2"/>
      </rPr>
      <t>코드 리뷰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DejaVu Sans"/>
        <family val="2"/>
      </rPr>
      <t>품질 표준</t>
    </r>
  </si>
  <si>
    <t>O</t>
  </si>
  <si>
    <r>
      <rPr>
        <b/>
        <sz val="12"/>
        <color rgb="FFFFFFFF"/>
        <rFont val="Segoe UI Symbol"/>
        <family val="2"/>
      </rPr>
      <t>■</t>
    </r>
    <r>
      <rPr>
        <b/>
        <sz val="12"/>
        <color rgb="FFFFFFFF"/>
        <rFont val="DejaVu Sans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가이드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</si>
</sst>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#,##0;\-#,##0;\-"/>
  </numFmts>
  <fonts count="30">
    <font>
      <sz val="11"/>
      <color theme="1"/>
      <name val="맑은 고딕"/>
      <family val="2"/>
      <charset val="1"/>
    </font>
    <font>
      <b/>
      <sz val="16"/>
      <color rgb="FFFFFFFF"/>
      <name val="DejaVu Sans"/>
      <family val="2"/>
    </font>
    <font>
      <sz val="11"/>
      <color rgb="FF000000"/>
      <name val="맑은 고딕"/>
      <family val="3"/>
      <charset val="129"/>
    </font>
    <font>
      <sz val="11"/>
      <color rgb="FF000000"/>
      <name val="DejaVu Sans"/>
      <family val="2"/>
    </font>
    <font>
      <b/>
      <sz val="13"/>
      <color rgb="FFFFFFFF"/>
      <name val="DejaVu Sans"/>
      <family val="2"/>
    </font>
    <font>
      <b/>
      <sz val="13"/>
      <color rgb="FFFFFFFF"/>
      <name val="맑은 고딕"/>
      <family val="3"/>
      <charset val="129"/>
    </font>
    <font>
      <b/>
      <sz val="11"/>
      <color rgb="FF000000"/>
      <name val="DejaVu Sans"/>
      <family val="2"/>
    </font>
    <font>
      <b/>
      <sz val="12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DejaVu Sans"/>
      <family val="2"/>
    </font>
    <font>
      <b/>
      <sz val="10"/>
      <color rgb="FF000000"/>
      <name val="맑은 고딕"/>
      <family val="3"/>
      <charset val="129"/>
    </font>
    <font>
      <b/>
      <sz val="12"/>
      <color rgb="FFFFFFFF"/>
      <name val="DejaVu Sans"/>
      <family val="2"/>
    </font>
    <font>
      <b/>
      <sz val="12"/>
      <color rgb="FFFFFF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DejaVu Sans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DejaVu Sans"/>
      <family val="2"/>
    </font>
    <font>
      <b/>
      <sz val="12"/>
      <color rgb="FF000000"/>
      <name val="DejaVu Sans"/>
      <family val="2"/>
    </font>
    <font>
      <b/>
      <sz val="14"/>
      <color rgb="FFC00000"/>
      <name val="DejaVu Sans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DejaVu Sans"/>
      <family val="2"/>
    </font>
    <font>
      <b/>
      <sz val="9"/>
      <color rgb="FFFFFFFF"/>
      <name val="맑은 고딕"/>
      <family val="3"/>
      <charset val="129"/>
    </font>
    <font>
      <b/>
      <sz val="9"/>
      <color rgb="FFFFFFFF"/>
      <name val="DejaVu Sans"/>
      <family val="2"/>
    </font>
    <font>
      <b/>
      <sz val="14"/>
      <color rgb="FF000000"/>
      <name val="맑은 고딕"/>
      <family val="3"/>
      <charset val="129"/>
    </font>
    <font>
      <b/>
      <sz val="9"/>
      <color rgb="FF000000"/>
      <name val="DejaVu Sans"/>
      <family val="2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FFFFFF"/>
      <name val="Segoe UI Symbo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2E74B5"/>
        <bgColor rgb="FF0066CC"/>
      </patternFill>
    </fill>
    <fill>
      <patternFill patternType="solid">
        <fgColor rgb="FFB4C7E7"/>
        <bgColor rgb="FFBFBFBF"/>
      </patternFill>
    </fill>
    <fill>
      <patternFill patternType="solid">
        <fgColor rgb="FFFFD966"/>
        <bgColor rgb="FFFFEB9C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548135"/>
        <bgColor rgb="FF595959"/>
      </patternFill>
    </fill>
    <fill>
      <patternFill patternType="solid">
        <fgColor rgb="FFC65911"/>
        <bgColor rgb="FF993300"/>
      </patternFill>
    </fill>
    <fill>
      <patternFill patternType="solid">
        <fgColor rgb="FF595959"/>
        <bgColor rgb="FF548135"/>
      </patternFill>
    </fill>
    <fill>
      <patternFill patternType="solid">
        <fgColor rgb="FFD9E1F2"/>
        <b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8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right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9" fontId="10" fillId="8" borderId="1" xfId="0" applyNumberFormat="1" applyFont="1" applyFill="1" applyBorder="1" applyAlignment="1">
      <alignment horizontal="center" vertical="center" wrapText="1"/>
    </xf>
    <xf numFmtId="9" fontId="10" fillId="9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9" fontId="2" fillId="8" borderId="1" xfId="0" applyNumberFormat="1" applyFont="1" applyFill="1" applyBorder="1" applyAlignment="1">
      <alignment horizontal="center" vertical="center" wrapText="1"/>
    </xf>
    <xf numFmtId="9" fontId="2" fillId="9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9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left" vertical="center" wrapText="1"/>
    </xf>
    <xf numFmtId="177" fontId="2" fillId="0" borderId="0" xfId="0" applyNumberFormat="1" applyFont="1" applyAlignment="1">
      <alignment horizontal="left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2" fontId="10" fillId="9" borderId="1" xfId="0" applyNumberFormat="1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76" fontId="10" fillId="9" borderId="1" xfId="0" applyNumberFormat="1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right" vertical="center" wrapText="1"/>
    </xf>
    <xf numFmtId="3" fontId="10" fillId="8" borderId="1" xfId="0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center" wrapText="1"/>
    </xf>
    <xf numFmtId="3" fontId="10" fillId="9" borderId="1" xfId="0" applyNumberFormat="1" applyFont="1" applyFill="1" applyBorder="1" applyAlignment="1">
      <alignment horizontal="right" vertical="center" wrapText="1"/>
    </xf>
    <xf numFmtId="177" fontId="10" fillId="9" borderId="1" xfId="0" applyNumberFormat="1" applyFont="1" applyFill="1" applyBorder="1" applyAlignment="1">
      <alignment horizontal="center" vertical="center" wrapText="1"/>
    </xf>
    <xf numFmtId="177" fontId="2" fillId="8" borderId="1" xfId="0" applyNumberFormat="1" applyFont="1" applyFill="1" applyBorder="1" applyAlignment="1">
      <alignment horizontal="center" vertical="center" wrapText="1"/>
    </xf>
    <xf numFmtId="177" fontId="2" fillId="9" borderId="1" xfId="0" applyNumberFormat="1" applyFont="1" applyFill="1" applyBorder="1" applyAlignment="1">
      <alignment horizontal="center" vertical="center" wrapText="1"/>
    </xf>
    <xf numFmtId="178" fontId="2" fillId="9" borderId="1" xfId="0" applyNumberFormat="1" applyFont="1" applyFill="1" applyBorder="1" applyAlignment="1">
      <alignment horizontal="right" vertical="center" wrapText="1"/>
    </xf>
    <xf numFmtId="0" fontId="7" fillId="9" borderId="1" xfId="0" applyFont="1" applyFill="1" applyBorder="1" applyAlignment="1">
      <alignment horizontal="right" vertical="center" wrapText="1"/>
    </xf>
    <xf numFmtId="3" fontId="7" fillId="9" borderId="1" xfId="0" applyNumberFormat="1" applyFont="1" applyFill="1" applyBorder="1" applyAlignment="1">
      <alignment horizontal="right" vertical="center" wrapText="1"/>
    </xf>
    <xf numFmtId="176" fontId="7" fillId="9" borderId="1" xfId="0" applyNumberFormat="1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82"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ill>
        <patternFill>
          <bgColor rgb="FFC6E0B4"/>
        </patternFill>
      </fill>
    </dxf>
    <dxf>
      <font>
        <color rgb="FF999999"/>
        <name val="맑은 고딕"/>
        <charset val="1"/>
      </font>
      <fill>
        <patternFill>
          <bgColor rgb="FFD9D9D9"/>
        </patternFill>
      </fill>
    </dxf>
    <dxf>
      <font>
        <b/>
        <sz val="14"/>
        <color rgb="FFC00000"/>
        <name val="맑은 고딕"/>
        <charset val="1"/>
      </font>
      <fill>
        <patternFill>
          <bgColor rgb="FFFFD966"/>
        </patternFill>
      </fill>
    </dxf>
    <dxf>
      <font>
        <b/>
        <sz val="14"/>
        <color rgb="FFFFFFFF"/>
        <name val="맑은 고딕"/>
        <charset val="1"/>
      </font>
      <fill>
        <patternFill>
          <bgColor rgb="FF70AD47"/>
        </patternFill>
      </fill>
    </dxf>
    <dxf>
      <fill>
        <patternFill>
          <bgColor rgb="FFC6E0B4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548135"/>
      <rgbColor rgb="FF800080"/>
      <rgbColor rgb="FF008080"/>
      <rgbColor rgb="FFBFBFBF"/>
      <rgbColor rgb="FF808080"/>
      <rgbColor rgb="FFD9E1F2"/>
      <rgbColor rgb="FF993366"/>
      <rgbColor rgb="FFFFF2CC"/>
      <rgbColor rgb="FFDDEB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B9C"/>
      <rgbColor rgb="FFC6E0B4"/>
      <rgbColor rgb="FFFCE4D6"/>
      <rgbColor rgb="FFD9D9D9"/>
      <rgbColor rgb="FFFFC7CE"/>
      <rgbColor rgb="FF2E74B5"/>
      <rgbColor rgb="FF33CCCC"/>
      <rgbColor rgb="FF99CC00"/>
      <rgbColor rgb="FFFFC000"/>
      <rgbColor rgb="FFFF9900"/>
      <rgbColor rgb="FFC65911"/>
      <rgbColor rgb="FF595959"/>
      <rgbColor rgb="FF999999"/>
      <rgbColor rgb="FF003366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N84"/>
  <sheetViews>
    <sheetView zoomScaleNormal="100" workbookViewId="0">
      <selection sqref="A1:H1"/>
    </sheetView>
  </sheetViews>
  <sheetFormatPr defaultColWidth="8.5625" defaultRowHeight="16.899999999999999"/>
  <cols>
    <col min="1" max="1" width="21.3125" customWidth="1"/>
    <col min="2" max="2" width="16" customWidth="1"/>
    <col min="3" max="3" width="34.4375" customWidth="1"/>
    <col min="4" max="4" width="12" customWidth="1"/>
    <col min="5" max="5" width="17.375" customWidth="1"/>
    <col min="6" max="6" width="16" customWidth="1"/>
    <col min="7" max="7" width="18" customWidth="1"/>
    <col min="8" max="8" width="12" customWidth="1"/>
  </cols>
  <sheetData>
    <row r="1" spans="1:14" ht="36" customHeight="1">
      <c r="A1" s="103" t="s">
        <v>0</v>
      </c>
      <c r="B1" s="103"/>
      <c r="C1" s="103"/>
      <c r="D1" s="103"/>
      <c r="E1" s="103"/>
      <c r="F1" s="103"/>
      <c r="G1" s="103"/>
      <c r="H1" s="103"/>
      <c r="I1" s="5"/>
      <c r="J1" s="5"/>
      <c r="K1" s="5"/>
      <c r="L1" s="5"/>
      <c r="M1" s="5"/>
      <c r="N1" s="5"/>
    </row>
    <row r="2" spans="1:14" ht="21.75" customHeight="1">
      <c r="A2" s="104" t="s">
        <v>1</v>
      </c>
      <c r="B2" s="104"/>
      <c r="C2" s="104"/>
      <c r="D2" s="104"/>
      <c r="E2" s="104"/>
      <c r="F2" s="104"/>
      <c r="G2" s="104"/>
      <c r="H2" s="104"/>
      <c r="I2" s="5"/>
      <c r="J2" s="5"/>
      <c r="K2" s="5"/>
      <c r="L2" s="5"/>
      <c r="M2" s="5"/>
      <c r="N2" s="5"/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5.5" customHeight="1">
      <c r="A4" s="91" t="s">
        <v>2</v>
      </c>
      <c r="B4" s="91"/>
      <c r="C4" s="91"/>
      <c r="D4" s="91"/>
      <c r="E4" s="91"/>
      <c r="F4" s="91"/>
      <c r="G4" s="91"/>
      <c r="H4" s="91"/>
      <c r="I4" s="5"/>
      <c r="J4" s="5"/>
      <c r="K4" s="5"/>
      <c r="L4" s="5"/>
      <c r="M4" s="5"/>
      <c r="N4" s="5"/>
    </row>
    <row r="5" spans="1:14" ht="25.5" customHeight="1">
      <c r="A5" s="3" t="s">
        <v>3</v>
      </c>
      <c r="B5" s="3" t="s">
        <v>4</v>
      </c>
      <c r="C5" s="3" t="s">
        <v>5</v>
      </c>
      <c r="D5" s="99" t="s">
        <v>6</v>
      </c>
      <c r="E5" s="99"/>
      <c r="F5" s="99"/>
      <c r="G5" s="99"/>
      <c r="H5" s="99"/>
      <c r="I5" s="5"/>
      <c r="J5" s="5"/>
      <c r="K5" s="5"/>
      <c r="L5" s="5"/>
      <c r="M5" s="5"/>
      <c r="N5" s="5"/>
    </row>
    <row r="6" spans="1:14" ht="37.5" customHeight="1">
      <c r="A6" s="6" t="s">
        <v>7</v>
      </c>
      <c r="B6" s="7" t="s">
        <v>8</v>
      </c>
      <c r="C6" s="1" t="s">
        <v>9</v>
      </c>
      <c r="D6" s="105" t="s">
        <v>10</v>
      </c>
      <c r="E6" s="105"/>
      <c r="F6" s="105"/>
      <c r="G6" s="105"/>
      <c r="H6" s="105"/>
      <c r="I6" s="5"/>
      <c r="J6" s="5"/>
      <c r="K6" s="5"/>
      <c r="L6" s="5"/>
      <c r="M6" s="5"/>
      <c r="N6" s="5"/>
    </row>
    <row r="7" spans="1:14" ht="37.5" customHeight="1">
      <c r="A7" s="6" t="s">
        <v>11</v>
      </c>
      <c r="B7" s="7" t="s">
        <v>12</v>
      </c>
      <c r="C7" s="1" t="s">
        <v>13</v>
      </c>
      <c r="D7" s="102" t="s">
        <v>14</v>
      </c>
      <c r="E7" s="102"/>
      <c r="F7" s="102"/>
      <c r="G7" s="102"/>
      <c r="H7" s="102"/>
      <c r="I7" s="5"/>
      <c r="J7" s="5"/>
      <c r="K7" s="5"/>
      <c r="L7" s="5"/>
      <c r="M7" s="5"/>
      <c r="N7" s="5"/>
    </row>
    <row r="8" spans="1:14" ht="37.5" customHeight="1">
      <c r="A8" s="6" t="s">
        <v>15</v>
      </c>
      <c r="B8" s="7" t="s">
        <v>16</v>
      </c>
      <c r="C8" s="1" t="s">
        <v>17</v>
      </c>
      <c r="D8" s="102" t="s">
        <v>18</v>
      </c>
      <c r="E8" s="102"/>
      <c r="F8" s="102"/>
      <c r="G8" s="102"/>
      <c r="H8" s="102"/>
      <c r="I8" s="5"/>
      <c r="J8" s="5"/>
      <c r="K8" s="5"/>
      <c r="L8" s="5"/>
      <c r="M8" s="5"/>
      <c r="N8" s="5"/>
    </row>
    <row r="9" spans="1:14" ht="37.5" customHeight="1">
      <c r="A9" s="6" t="s">
        <v>19</v>
      </c>
      <c r="B9" s="7" t="s">
        <v>20</v>
      </c>
      <c r="C9" s="1" t="s">
        <v>21</v>
      </c>
      <c r="D9" s="102" t="s">
        <v>22</v>
      </c>
      <c r="E9" s="102"/>
      <c r="F9" s="102"/>
      <c r="G9" s="102"/>
      <c r="H9" s="102"/>
      <c r="I9" s="5"/>
      <c r="J9" s="5"/>
      <c r="K9" s="5"/>
      <c r="L9" s="5"/>
      <c r="M9" s="5"/>
      <c r="N9" s="5"/>
    </row>
    <row r="10" spans="1:1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25.5" customHeight="1">
      <c r="A12" s="91" t="s">
        <v>23</v>
      </c>
      <c r="B12" s="91"/>
      <c r="C12" s="91"/>
      <c r="D12" s="91"/>
      <c r="E12" s="91"/>
      <c r="F12" s="91"/>
      <c r="G12" s="91"/>
      <c r="H12" s="91"/>
      <c r="I12" s="5"/>
      <c r="J12" s="5"/>
      <c r="K12" s="5"/>
      <c r="L12" s="5"/>
      <c r="M12" s="5"/>
      <c r="N12" s="5"/>
    </row>
    <row r="13" spans="1:14" ht="25.5" customHeight="1">
      <c r="A13" s="3" t="s">
        <v>24</v>
      </c>
      <c r="B13" s="99" t="s">
        <v>25</v>
      </c>
      <c r="C13" s="99"/>
      <c r="D13" s="99"/>
      <c r="E13" s="99" t="s">
        <v>26</v>
      </c>
      <c r="F13" s="99"/>
      <c r="G13" s="99"/>
      <c r="H13" s="99"/>
      <c r="I13" s="5"/>
      <c r="J13" s="5"/>
      <c r="K13" s="5"/>
      <c r="L13" s="5"/>
      <c r="M13" s="5"/>
      <c r="N13" s="5"/>
    </row>
    <row r="14" spans="1:14" ht="39.75" customHeight="1">
      <c r="A14" s="8" t="s">
        <v>27</v>
      </c>
      <c r="B14" s="100" t="s">
        <v>28</v>
      </c>
      <c r="C14" s="100"/>
      <c r="D14" s="100"/>
      <c r="E14" s="92" t="s">
        <v>29</v>
      </c>
      <c r="F14" s="92"/>
      <c r="G14" s="92"/>
      <c r="H14" s="92"/>
      <c r="I14" s="5"/>
      <c r="J14" s="5"/>
      <c r="K14" s="5"/>
      <c r="L14" s="5"/>
      <c r="M14" s="5"/>
      <c r="N14" s="5"/>
    </row>
    <row r="15" spans="1:14" ht="39.75" customHeight="1">
      <c r="A15" s="8" t="s">
        <v>30</v>
      </c>
      <c r="B15" s="100" t="s">
        <v>31</v>
      </c>
      <c r="C15" s="100"/>
      <c r="D15" s="100"/>
      <c r="E15" s="87" t="s">
        <v>32</v>
      </c>
      <c r="F15" s="87"/>
      <c r="G15" s="87"/>
      <c r="H15" s="87"/>
      <c r="I15" s="5"/>
      <c r="J15" s="5"/>
      <c r="K15" s="5"/>
      <c r="L15" s="5"/>
      <c r="M15" s="5"/>
      <c r="N15" s="5"/>
    </row>
    <row r="16" spans="1:1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25.5" customHeight="1">
      <c r="A17" s="101" t="s">
        <v>33</v>
      </c>
      <c r="B17" s="101"/>
      <c r="C17" s="101"/>
      <c r="D17" s="101"/>
      <c r="E17" s="101"/>
      <c r="F17" s="101"/>
      <c r="G17" s="101"/>
      <c r="H17" s="101"/>
      <c r="I17" s="5"/>
      <c r="J17" s="5"/>
      <c r="K17" s="5"/>
      <c r="L17" s="5"/>
      <c r="M17" s="5"/>
      <c r="N17" s="5"/>
    </row>
    <row r="18" spans="1:14" ht="25.5" customHeight="1">
      <c r="A18" s="3" t="s">
        <v>3</v>
      </c>
      <c r="B18" s="99" t="s">
        <v>34</v>
      </c>
      <c r="C18" s="99"/>
      <c r="D18" s="99"/>
      <c r="E18" s="99"/>
      <c r="F18" s="99"/>
      <c r="G18" s="99"/>
      <c r="H18" s="99"/>
      <c r="I18" s="5"/>
      <c r="J18" s="5"/>
      <c r="K18" s="5"/>
      <c r="L18" s="5"/>
      <c r="M18" s="5"/>
      <c r="N18" s="5"/>
    </row>
    <row r="19" spans="1:14" ht="36" customHeight="1">
      <c r="A19" s="8" t="s">
        <v>35</v>
      </c>
      <c r="B19" s="92" t="s">
        <v>36</v>
      </c>
      <c r="C19" s="92"/>
      <c r="D19" s="92"/>
      <c r="E19" s="92"/>
      <c r="F19" s="92"/>
      <c r="G19" s="92"/>
      <c r="H19" s="92"/>
      <c r="I19" s="5"/>
      <c r="J19" s="5"/>
      <c r="K19" s="5"/>
      <c r="L19" s="5"/>
      <c r="M19" s="5"/>
      <c r="N19" s="5"/>
    </row>
    <row r="20" spans="1:14" ht="36" customHeight="1">
      <c r="A20" s="8" t="s">
        <v>37</v>
      </c>
      <c r="B20" s="87" t="s">
        <v>38</v>
      </c>
      <c r="C20" s="87"/>
      <c r="D20" s="87"/>
      <c r="E20" s="87"/>
      <c r="F20" s="87"/>
      <c r="G20" s="87"/>
      <c r="H20" s="87"/>
      <c r="I20" s="5"/>
      <c r="J20" s="5"/>
      <c r="K20" s="5"/>
      <c r="L20" s="5"/>
      <c r="M20" s="5"/>
      <c r="N20" s="5"/>
    </row>
    <row r="21" spans="1:14" ht="36" customHeight="1">
      <c r="A21" s="8" t="s">
        <v>39</v>
      </c>
      <c r="B21" s="87" t="s">
        <v>40</v>
      </c>
      <c r="C21" s="87"/>
      <c r="D21" s="87"/>
      <c r="E21" s="87"/>
      <c r="F21" s="87"/>
      <c r="G21" s="87"/>
      <c r="H21" s="87"/>
      <c r="I21" s="5"/>
      <c r="J21" s="5"/>
      <c r="K21" s="5"/>
      <c r="L21" s="5"/>
      <c r="M21" s="5"/>
      <c r="N21" s="5"/>
    </row>
    <row r="22" spans="1:14" ht="36" customHeight="1">
      <c r="A22" s="8" t="s">
        <v>41</v>
      </c>
      <c r="B22" s="87" t="s">
        <v>42</v>
      </c>
      <c r="C22" s="87"/>
      <c r="D22" s="87"/>
      <c r="E22" s="87"/>
      <c r="F22" s="87"/>
      <c r="G22" s="87"/>
      <c r="H22" s="87"/>
      <c r="I22" s="5"/>
      <c r="J22" s="5"/>
      <c r="K22" s="5"/>
      <c r="L22" s="5"/>
      <c r="M22" s="5"/>
      <c r="N22" s="5"/>
    </row>
    <row r="23" spans="1:14" ht="36" customHeight="1">
      <c r="A23" s="8" t="s">
        <v>43</v>
      </c>
      <c r="B23" s="87" t="s">
        <v>44</v>
      </c>
      <c r="C23" s="87"/>
      <c r="D23" s="87"/>
      <c r="E23" s="87"/>
      <c r="F23" s="87"/>
      <c r="G23" s="87"/>
      <c r="H23" s="87"/>
      <c r="I23" s="5"/>
      <c r="J23" s="5"/>
      <c r="K23" s="5"/>
      <c r="L23" s="5"/>
      <c r="M23" s="5"/>
      <c r="N23" s="5"/>
    </row>
    <row r="24" spans="1:14" ht="36" customHeight="1">
      <c r="A24" s="8" t="s">
        <v>45</v>
      </c>
      <c r="B24" s="92" t="s">
        <v>46</v>
      </c>
      <c r="C24" s="92"/>
      <c r="D24" s="92"/>
      <c r="E24" s="92"/>
      <c r="F24" s="92"/>
      <c r="G24" s="92"/>
      <c r="H24" s="92"/>
      <c r="I24" s="5"/>
      <c r="J24" s="5"/>
      <c r="K24" s="5"/>
      <c r="L24" s="5"/>
      <c r="M24" s="5"/>
      <c r="N24" s="5"/>
    </row>
    <row r="25" spans="1:14" ht="36" customHeight="1">
      <c r="A25" s="8" t="s">
        <v>47</v>
      </c>
      <c r="B25" s="92" t="s">
        <v>48</v>
      </c>
      <c r="C25" s="92"/>
      <c r="D25" s="92"/>
      <c r="E25" s="92"/>
      <c r="F25" s="92"/>
      <c r="G25" s="92"/>
      <c r="H25" s="92"/>
      <c r="I25" s="5"/>
      <c r="J25" s="5"/>
      <c r="K25" s="5"/>
      <c r="L25" s="5"/>
      <c r="M25" s="5"/>
      <c r="N25" s="5"/>
    </row>
    <row r="26" spans="1:1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25.5" customHeight="1">
      <c r="A27" s="91" t="s">
        <v>49</v>
      </c>
      <c r="B27" s="91"/>
      <c r="C27" s="91"/>
      <c r="D27" s="91"/>
      <c r="E27" s="91"/>
      <c r="F27" s="91"/>
      <c r="G27" s="91"/>
      <c r="H27" s="91"/>
      <c r="I27" s="5"/>
      <c r="J27" s="5"/>
      <c r="K27" s="5"/>
      <c r="L27" s="5"/>
      <c r="M27" s="5"/>
      <c r="N27" s="5"/>
    </row>
    <row r="28" spans="1:14" ht="25.5" customHeight="1">
      <c r="A28" s="3" t="s">
        <v>50</v>
      </c>
      <c r="B28" s="99" t="s">
        <v>51</v>
      </c>
      <c r="C28" s="99"/>
      <c r="D28" s="99"/>
      <c r="E28" s="99"/>
      <c r="F28" s="99"/>
      <c r="G28" s="99" t="s">
        <v>52</v>
      </c>
      <c r="H28" s="99"/>
      <c r="I28" s="5"/>
      <c r="J28" s="5"/>
      <c r="K28" s="5"/>
      <c r="L28" s="5"/>
      <c r="M28" s="5"/>
      <c r="N28" s="5"/>
    </row>
    <row r="29" spans="1:14" ht="24" customHeight="1">
      <c r="A29" s="9" t="s">
        <v>53</v>
      </c>
      <c r="B29" s="87" t="s">
        <v>54</v>
      </c>
      <c r="C29" s="87"/>
      <c r="D29" s="87"/>
      <c r="E29" s="87"/>
      <c r="F29" s="87"/>
      <c r="G29" s="97" t="s">
        <v>55</v>
      </c>
      <c r="H29" s="97"/>
      <c r="I29" s="5"/>
      <c r="J29" s="5"/>
      <c r="K29" s="5"/>
      <c r="L29" s="5"/>
      <c r="M29" s="5"/>
      <c r="N29" s="5"/>
    </row>
    <row r="30" spans="1:14" ht="24" customHeight="1">
      <c r="A30" s="9" t="s">
        <v>56</v>
      </c>
      <c r="B30" s="87" t="s">
        <v>57</v>
      </c>
      <c r="C30" s="87"/>
      <c r="D30" s="87"/>
      <c r="E30" s="87"/>
      <c r="F30" s="87"/>
      <c r="G30" s="98" t="s">
        <v>58</v>
      </c>
      <c r="H30" s="98"/>
      <c r="I30" s="5"/>
      <c r="J30" s="5"/>
      <c r="K30" s="5"/>
      <c r="L30" s="5"/>
      <c r="M30" s="5"/>
      <c r="N30" s="5"/>
    </row>
    <row r="31" spans="1:14" ht="24" customHeight="1">
      <c r="A31" s="9" t="s">
        <v>59</v>
      </c>
      <c r="B31" s="87" t="s">
        <v>60</v>
      </c>
      <c r="C31" s="87"/>
      <c r="D31" s="87"/>
      <c r="E31" s="87"/>
      <c r="F31" s="87"/>
      <c r="G31" s="94" t="s">
        <v>61</v>
      </c>
      <c r="H31" s="94"/>
      <c r="I31" s="5"/>
      <c r="J31" s="5"/>
      <c r="K31" s="5"/>
      <c r="L31" s="5"/>
      <c r="M31" s="5"/>
      <c r="N31" s="5"/>
    </row>
    <row r="32" spans="1:14" ht="24" customHeight="1">
      <c r="A32" s="9" t="s">
        <v>62</v>
      </c>
      <c r="B32" s="87" t="s">
        <v>63</v>
      </c>
      <c r="C32" s="87"/>
      <c r="D32" s="87"/>
      <c r="E32" s="87"/>
      <c r="F32" s="87"/>
      <c r="G32" s="94" t="s">
        <v>61</v>
      </c>
      <c r="H32" s="94"/>
      <c r="I32" s="5"/>
      <c r="J32" s="5"/>
      <c r="K32" s="5"/>
      <c r="L32" s="5"/>
      <c r="M32" s="5"/>
      <c r="N32" s="5"/>
    </row>
    <row r="33" spans="1:14" ht="24" customHeight="1">
      <c r="A33" s="9" t="s">
        <v>64</v>
      </c>
      <c r="B33" s="87" t="s">
        <v>65</v>
      </c>
      <c r="C33" s="87"/>
      <c r="D33" s="87"/>
      <c r="E33" s="87"/>
      <c r="F33" s="87"/>
      <c r="G33" s="94" t="s">
        <v>61</v>
      </c>
      <c r="H33" s="94"/>
      <c r="I33" s="5"/>
      <c r="J33" s="5"/>
      <c r="K33" s="5"/>
      <c r="L33" s="5"/>
      <c r="M33" s="5"/>
      <c r="N33" s="5"/>
    </row>
    <row r="34" spans="1:14" ht="24" customHeight="1">
      <c r="A34" s="9" t="s">
        <v>66</v>
      </c>
      <c r="B34" s="87" t="s">
        <v>67</v>
      </c>
      <c r="C34" s="87"/>
      <c r="D34" s="87"/>
      <c r="E34" s="87"/>
      <c r="F34" s="87"/>
      <c r="G34" s="95" t="s">
        <v>68</v>
      </c>
      <c r="H34" s="95"/>
      <c r="I34" s="5"/>
      <c r="J34" s="5"/>
      <c r="K34" s="5"/>
      <c r="L34" s="5"/>
      <c r="M34" s="5"/>
      <c r="N34" s="5"/>
    </row>
    <row r="35" spans="1:14" ht="24" customHeight="1">
      <c r="A35" s="9" t="s">
        <v>69</v>
      </c>
      <c r="B35" s="87" t="s">
        <v>70</v>
      </c>
      <c r="C35" s="87"/>
      <c r="D35" s="87"/>
      <c r="E35" s="87"/>
      <c r="F35" s="87"/>
      <c r="G35" s="95" t="s">
        <v>68</v>
      </c>
      <c r="H35" s="95"/>
      <c r="I35" s="5"/>
      <c r="J35" s="5"/>
      <c r="K35" s="5"/>
      <c r="L35" s="5"/>
      <c r="M35" s="5"/>
      <c r="N35" s="5"/>
    </row>
    <row r="36" spans="1:14" ht="24" customHeight="1">
      <c r="A36" s="9" t="s">
        <v>71</v>
      </c>
      <c r="B36" s="87" t="s">
        <v>72</v>
      </c>
      <c r="C36" s="87"/>
      <c r="D36" s="87"/>
      <c r="E36" s="87"/>
      <c r="F36" s="87"/>
      <c r="G36" s="95" t="s">
        <v>68</v>
      </c>
      <c r="H36" s="95"/>
      <c r="I36" s="5"/>
      <c r="J36" s="5"/>
      <c r="K36" s="5"/>
      <c r="L36" s="5"/>
      <c r="M36" s="5"/>
      <c r="N36" s="5"/>
    </row>
    <row r="37" spans="1:14" ht="24" customHeight="1">
      <c r="A37" s="9" t="s">
        <v>73</v>
      </c>
      <c r="B37" s="87" t="s">
        <v>74</v>
      </c>
      <c r="C37" s="87"/>
      <c r="D37" s="87"/>
      <c r="E37" s="87"/>
      <c r="F37" s="87"/>
      <c r="G37" s="96" t="s">
        <v>75</v>
      </c>
      <c r="H37" s="96"/>
      <c r="I37" s="5"/>
      <c r="J37" s="5"/>
      <c r="K37" s="5"/>
      <c r="L37" s="5"/>
      <c r="M37" s="5"/>
      <c r="N37" s="5"/>
    </row>
    <row r="38" spans="1:14" ht="24" customHeight="1">
      <c r="A38" s="9" t="s">
        <v>76</v>
      </c>
      <c r="B38" s="87" t="s">
        <v>77</v>
      </c>
      <c r="C38" s="87"/>
      <c r="D38" s="87"/>
      <c r="E38" s="87"/>
      <c r="F38" s="87"/>
      <c r="G38" s="96" t="s">
        <v>75</v>
      </c>
      <c r="H38" s="96"/>
      <c r="I38" s="5"/>
      <c r="J38" s="5"/>
      <c r="K38" s="5"/>
      <c r="L38" s="5"/>
      <c r="M38" s="5"/>
      <c r="N38" s="5"/>
    </row>
    <row r="39" spans="1:14" ht="24" customHeight="1">
      <c r="A39" s="9" t="s">
        <v>78</v>
      </c>
      <c r="B39" s="92" t="s">
        <v>79</v>
      </c>
      <c r="C39" s="92"/>
      <c r="D39" s="92"/>
      <c r="E39" s="92"/>
      <c r="F39" s="92"/>
      <c r="G39" s="95" t="s">
        <v>68</v>
      </c>
      <c r="H39" s="95"/>
      <c r="I39" s="5"/>
      <c r="J39" s="5"/>
      <c r="K39" s="5"/>
      <c r="L39" s="5"/>
      <c r="M39" s="5"/>
      <c r="N39" s="5"/>
    </row>
    <row r="40" spans="1:14" ht="24" customHeight="1">
      <c r="A40" s="9" t="s">
        <v>80</v>
      </c>
      <c r="B40" s="87" t="s">
        <v>81</v>
      </c>
      <c r="C40" s="87"/>
      <c r="D40" s="87"/>
      <c r="E40" s="87"/>
      <c r="F40" s="87"/>
      <c r="G40" s="95" t="s">
        <v>68</v>
      </c>
      <c r="H40" s="95"/>
      <c r="I40" s="5"/>
      <c r="J40" s="5"/>
      <c r="K40" s="5"/>
      <c r="L40" s="5"/>
      <c r="M40" s="5"/>
      <c r="N40" s="5"/>
    </row>
    <row r="41" spans="1:14" ht="24" customHeight="1">
      <c r="A41" s="9" t="s">
        <v>82</v>
      </c>
      <c r="B41" s="87" t="s">
        <v>83</v>
      </c>
      <c r="C41" s="87"/>
      <c r="D41" s="87"/>
      <c r="E41" s="87"/>
      <c r="F41" s="87"/>
      <c r="G41" s="95" t="s">
        <v>68</v>
      </c>
      <c r="H41" s="95"/>
      <c r="I41" s="5"/>
      <c r="J41" s="5"/>
      <c r="K41" s="5"/>
      <c r="L41" s="5"/>
      <c r="M41" s="5"/>
      <c r="N41" s="5"/>
    </row>
    <row r="42" spans="1:14" ht="24" customHeight="1">
      <c r="A42" s="9" t="s">
        <v>84</v>
      </c>
      <c r="B42" s="87" t="s">
        <v>85</v>
      </c>
      <c r="C42" s="87"/>
      <c r="D42" s="87"/>
      <c r="E42" s="87"/>
      <c r="F42" s="87"/>
      <c r="G42" s="95" t="s">
        <v>68</v>
      </c>
      <c r="H42" s="95"/>
      <c r="I42" s="5"/>
      <c r="J42" s="5"/>
      <c r="K42" s="5"/>
      <c r="L42" s="5"/>
      <c r="M42" s="5"/>
      <c r="N42" s="5"/>
    </row>
    <row r="43" spans="1:14" ht="24" customHeight="1">
      <c r="A43" s="9" t="s">
        <v>86</v>
      </c>
      <c r="B43" s="92" t="s">
        <v>87</v>
      </c>
      <c r="C43" s="92"/>
      <c r="D43" s="92"/>
      <c r="E43" s="92"/>
      <c r="F43" s="92"/>
      <c r="G43" s="95" t="s">
        <v>68</v>
      </c>
      <c r="H43" s="95"/>
      <c r="I43" s="5"/>
      <c r="J43" s="5"/>
      <c r="K43" s="5"/>
      <c r="L43" s="5"/>
      <c r="M43" s="5"/>
      <c r="N43" s="5"/>
    </row>
    <row r="44" spans="1:14" ht="24" customHeight="1">
      <c r="A44" s="9" t="s">
        <v>88</v>
      </c>
      <c r="B44" s="87" t="s">
        <v>89</v>
      </c>
      <c r="C44" s="87"/>
      <c r="D44" s="87"/>
      <c r="E44" s="87"/>
      <c r="F44" s="87"/>
      <c r="G44" s="93" t="s">
        <v>90</v>
      </c>
      <c r="H44" s="93"/>
      <c r="I44" s="5"/>
      <c r="J44" s="5"/>
      <c r="K44" s="5"/>
      <c r="L44" s="5"/>
      <c r="M44" s="5"/>
      <c r="N44" s="5"/>
    </row>
    <row r="45" spans="1:14" ht="24" customHeight="1">
      <c r="A45" s="9" t="s">
        <v>91</v>
      </c>
      <c r="B45" s="87" t="s">
        <v>92</v>
      </c>
      <c r="C45" s="87"/>
      <c r="D45" s="87"/>
      <c r="E45" s="87"/>
      <c r="F45" s="87"/>
      <c r="G45" s="93" t="s">
        <v>90</v>
      </c>
      <c r="H45" s="93"/>
      <c r="I45" s="5"/>
      <c r="J45" s="5"/>
      <c r="K45" s="5"/>
      <c r="L45" s="5"/>
      <c r="M45" s="5"/>
      <c r="N45" s="5"/>
    </row>
    <row r="46" spans="1:14" ht="24" customHeight="1">
      <c r="A46" s="9" t="s">
        <v>93</v>
      </c>
      <c r="B46" s="87" t="s">
        <v>94</v>
      </c>
      <c r="C46" s="87"/>
      <c r="D46" s="87"/>
      <c r="E46" s="87"/>
      <c r="F46" s="87"/>
      <c r="G46" s="94" t="s">
        <v>61</v>
      </c>
      <c r="H46" s="94"/>
      <c r="I46" s="5"/>
      <c r="J46" s="5"/>
      <c r="K46" s="5"/>
      <c r="L46" s="5"/>
      <c r="M46" s="5"/>
      <c r="N46" s="5"/>
    </row>
    <row r="47" spans="1:1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ht="25.5" customHeight="1">
      <c r="A48" s="91" t="s">
        <v>95</v>
      </c>
      <c r="B48" s="91"/>
      <c r="C48" s="91"/>
      <c r="D48" s="91"/>
      <c r="E48" s="91"/>
      <c r="F48" s="91"/>
      <c r="G48" s="91"/>
      <c r="H48" s="91"/>
      <c r="I48" s="5"/>
      <c r="J48" s="5"/>
      <c r="K48" s="5"/>
      <c r="L48" s="5"/>
      <c r="M48" s="5"/>
      <c r="N48" s="5"/>
    </row>
    <row r="49" spans="1:14" ht="21.75" customHeight="1">
      <c r="A49" s="10"/>
      <c r="B49" s="11" t="s">
        <v>96</v>
      </c>
      <c r="C49" s="92" t="s">
        <v>97</v>
      </c>
      <c r="D49" s="92"/>
      <c r="E49" s="12"/>
      <c r="F49" s="11" t="s">
        <v>98</v>
      </c>
      <c r="G49" s="87" t="s">
        <v>99</v>
      </c>
      <c r="H49" s="87"/>
      <c r="I49" s="5"/>
      <c r="J49" s="5"/>
      <c r="K49" s="5"/>
      <c r="L49" s="5"/>
      <c r="M49" s="5"/>
      <c r="N49" s="5"/>
    </row>
    <row r="50" spans="1:14" ht="21.75" customHeight="1">
      <c r="A50" s="13"/>
      <c r="B50" s="11" t="s">
        <v>100</v>
      </c>
      <c r="C50" s="87" t="s">
        <v>101</v>
      </c>
      <c r="D50" s="87"/>
      <c r="E50" s="14"/>
      <c r="F50" s="11" t="s">
        <v>102</v>
      </c>
      <c r="G50" s="87" t="s">
        <v>103</v>
      </c>
      <c r="H50" s="87"/>
      <c r="I50" s="5"/>
      <c r="J50" s="5"/>
      <c r="K50" s="5"/>
      <c r="L50" s="5"/>
      <c r="M50" s="5"/>
      <c r="N50" s="5"/>
    </row>
    <row r="51" spans="1:14" ht="21.75" customHeight="1">
      <c r="A51" s="15"/>
      <c r="B51" s="16" t="s">
        <v>104</v>
      </c>
      <c r="C51" s="87" t="s">
        <v>105</v>
      </c>
      <c r="D51" s="87"/>
      <c r="E51" s="17"/>
      <c r="F51" s="16" t="s">
        <v>106</v>
      </c>
      <c r="G51" s="87" t="s">
        <v>107</v>
      </c>
      <c r="H51" s="87"/>
      <c r="I51" s="5"/>
      <c r="J51" s="5"/>
      <c r="K51" s="5"/>
      <c r="L51" s="5"/>
      <c r="M51" s="5"/>
      <c r="N51" s="5"/>
    </row>
    <row r="52" spans="1:14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81" spans="1:8" ht="27.75" customHeight="1">
      <c r="A81" s="88" t="s">
        <v>108</v>
      </c>
      <c r="B81" s="88"/>
      <c r="C81" s="88"/>
      <c r="D81" s="88"/>
      <c r="E81" s="88"/>
      <c r="F81" s="88"/>
      <c r="G81" s="88"/>
      <c r="H81" s="88"/>
    </row>
    <row r="83" spans="1:8" ht="27.75" customHeight="1">
      <c r="A83" s="89" t="s">
        <v>109</v>
      </c>
      <c r="B83" s="89"/>
      <c r="C83" s="89"/>
      <c r="D83" s="89"/>
      <c r="E83" s="89"/>
      <c r="F83" s="89"/>
      <c r="G83" s="89"/>
      <c r="H83" s="89"/>
    </row>
    <row r="84" spans="1:8" ht="63.75" customHeight="1">
      <c r="A84" s="90" t="s">
        <v>110</v>
      </c>
      <c r="B84" s="90"/>
      <c r="C84" s="90"/>
      <c r="D84" s="90"/>
      <c r="E84" s="90"/>
      <c r="F84" s="90"/>
      <c r="G84" s="90"/>
      <c r="H84" s="90"/>
    </row>
  </sheetData>
  <mergeCells count="73">
    <mergeCell ref="A1:H1"/>
    <mergeCell ref="A2:H2"/>
    <mergeCell ref="A4:H4"/>
    <mergeCell ref="D5:H5"/>
    <mergeCell ref="D6:H6"/>
    <mergeCell ref="D7:H7"/>
    <mergeCell ref="D8:H8"/>
    <mergeCell ref="D9:H9"/>
    <mergeCell ref="A12:H12"/>
    <mergeCell ref="B13:D13"/>
    <mergeCell ref="E13:H13"/>
    <mergeCell ref="B14:D14"/>
    <mergeCell ref="E14:H14"/>
    <mergeCell ref="B15:D15"/>
    <mergeCell ref="E15:H15"/>
    <mergeCell ref="A17:H17"/>
    <mergeCell ref="B18:H18"/>
    <mergeCell ref="B19:H19"/>
    <mergeCell ref="B20:H20"/>
    <mergeCell ref="B21:H21"/>
    <mergeCell ref="B22:H22"/>
    <mergeCell ref="B23:H23"/>
    <mergeCell ref="B24:H24"/>
    <mergeCell ref="B25:H25"/>
    <mergeCell ref="A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3:F33"/>
    <mergeCell ref="G33:H33"/>
    <mergeCell ref="B34:F34"/>
    <mergeCell ref="G34:H34"/>
    <mergeCell ref="B35:F35"/>
    <mergeCell ref="G35:H35"/>
    <mergeCell ref="B36:F36"/>
    <mergeCell ref="G36:H36"/>
    <mergeCell ref="B37:F37"/>
    <mergeCell ref="G37:H37"/>
    <mergeCell ref="B38:F38"/>
    <mergeCell ref="G38:H38"/>
    <mergeCell ref="B39:F39"/>
    <mergeCell ref="G39:H39"/>
    <mergeCell ref="B40:F40"/>
    <mergeCell ref="G40:H40"/>
    <mergeCell ref="B41:F41"/>
    <mergeCell ref="G41:H41"/>
    <mergeCell ref="B42:F42"/>
    <mergeCell ref="G42:H42"/>
    <mergeCell ref="B43:F43"/>
    <mergeCell ref="G43:H43"/>
    <mergeCell ref="B44:F44"/>
    <mergeCell ref="G44:H44"/>
    <mergeCell ref="B45:F45"/>
    <mergeCell ref="G45:H45"/>
    <mergeCell ref="B46:F46"/>
    <mergeCell ref="G46:H46"/>
    <mergeCell ref="A48:H48"/>
    <mergeCell ref="C49:D49"/>
    <mergeCell ref="G49:H49"/>
    <mergeCell ref="C50:D50"/>
    <mergeCell ref="G50:H50"/>
    <mergeCell ref="C51:D51"/>
    <mergeCell ref="G51:H51"/>
    <mergeCell ref="A81:H81"/>
    <mergeCell ref="A83:H83"/>
    <mergeCell ref="A84:H84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J29"/>
  <sheetViews>
    <sheetView tabSelected="1" zoomScaleNormal="100" workbookViewId="0">
      <selection sqref="A1:J1"/>
    </sheetView>
  </sheetViews>
  <sheetFormatPr defaultColWidth="8.5625" defaultRowHeight="16.899999999999999"/>
  <cols>
    <col min="1" max="1" width="30" customWidth="1"/>
    <col min="2" max="10" width="13" customWidth="1"/>
  </cols>
  <sheetData>
    <row r="1" spans="1:10" ht="27.75" customHeight="1">
      <c r="A1" s="109" t="s">
        <v>111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0" ht="24" customHeight="1">
      <c r="A2" s="110" t="s">
        <v>112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6.5" customHeight="1">
      <c r="A3" s="107" t="s">
        <v>113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>
      <c r="A4" s="3" t="s">
        <v>114</v>
      </c>
      <c r="B4" s="3" t="s">
        <v>115</v>
      </c>
      <c r="C4" s="3" t="s">
        <v>116</v>
      </c>
      <c r="D4" s="3" t="s">
        <v>117</v>
      </c>
    </row>
    <row r="5" spans="1:10">
      <c r="A5" s="11" t="s">
        <v>118</v>
      </c>
      <c r="B5" s="19">
        <f>COUNTA('01_인적정보'!C6:C65)</f>
        <v>34</v>
      </c>
      <c r="C5" s="19">
        <f>B5</f>
        <v>34</v>
      </c>
      <c r="D5" s="20" t="str">
        <f>IF(B$5=0,"",IF(B5&gt;=B$5,"✓ 완료",IF(B5&gt;0,"진행중","미시작")))</f>
        <v>✓ 완료</v>
      </c>
    </row>
    <row r="6" spans="1:10">
      <c r="A6" s="11" t="s">
        <v>119</v>
      </c>
      <c r="B6" s="19">
        <f>COUNTA('07a_상반기입력'!L6:L39)</f>
        <v>34</v>
      </c>
      <c r="C6" s="19">
        <f>COUNTA('07b_하반기입력'!L6:L39)</f>
        <v>34</v>
      </c>
      <c r="D6" s="20" t="str">
        <f>IF(B$5=0,"",IF(B6&gt;=B$5,"✓ 완료",IF(B6&gt;0,"진행중","미시작")))</f>
        <v>✓ 완료</v>
      </c>
    </row>
    <row r="7" spans="1:10">
      <c r="A7" s="11" t="s">
        <v>120</v>
      </c>
      <c r="B7" s="19">
        <f>COUNTA('07a_상반기입력'!N6:N39)</f>
        <v>0</v>
      </c>
      <c r="C7" s="19">
        <f>COUNTA('07b_하반기입력'!N6:N39)</f>
        <v>0</v>
      </c>
      <c r="D7" s="20" t="str">
        <f>IF(B$5=0,"",IF(B7&gt;=B$5,"✓ 완료",IF(B7&gt;0,"진행중","미시작")))</f>
        <v>미시작</v>
      </c>
    </row>
    <row r="8" spans="1:10">
      <c r="A8" s="11" t="s">
        <v>121</v>
      </c>
      <c r="B8" s="19">
        <f>COUNTA('07a_상반기입력'!Y6:Y39)</f>
        <v>0</v>
      </c>
      <c r="C8" s="19">
        <f>COUNTA('07b_하반기입력'!Y6:Y39)</f>
        <v>0</v>
      </c>
      <c r="D8" s="20" t="str">
        <f>IF(B$5=0,"",IF(B8&gt;=B$5,"✓ 완료",IF(B8&gt;0,"진행중","미시작")))</f>
        <v>미시작</v>
      </c>
    </row>
    <row r="9" spans="1:10">
      <c r="A9" s="11" t="s">
        <v>122</v>
      </c>
      <c r="B9" s="19">
        <f>COUNTA('08_종합평가'!U6:U39)</f>
        <v>34</v>
      </c>
      <c r="C9" s="19">
        <f>B9</f>
        <v>34</v>
      </c>
      <c r="D9" s="20" t="str">
        <f>IF(B$5=0,"",IF(B9&gt;=B$5,"✓ 완료",IF(B9&gt;0,"진행중","미시작")))</f>
        <v>✓ 완료</v>
      </c>
    </row>
    <row r="11" spans="1:10" ht="16.5" customHeight="1">
      <c r="A11" s="107" t="s">
        <v>123</v>
      </c>
      <c r="B11" s="107"/>
      <c r="C11" s="107"/>
      <c r="D11" s="107"/>
      <c r="E11" s="107"/>
      <c r="F11" s="107"/>
      <c r="G11" s="107"/>
      <c r="H11" s="107"/>
      <c r="I11" s="107"/>
      <c r="J11" s="107"/>
    </row>
    <row r="12" spans="1:10">
      <c r="A12" s="11" t="s">
        <v>124</v>
      </c>
      <c r="B12" s="108" t="str">
        <f>IF(SUMPRODUCT(('02_의사결정·종합결과'!E16:E22&lt;&gt;1)*1)&gt;0,"✗ 가중치 합계 ≠ 100% 행 존재","✓ 모든 가중치 OK")</f>
        <v>✓ 모든 가중치 OK</v>
      </c>
      <c r="C12" s="108"/>
      <c r="D12" s="108"/>
      <c r="E12" s="108"/>
      <c r="F12" s="108"/>
      <c r="G12" s="108"/>
      <c r="H12" s="108"/>
      <c r="I12" s="108"/>
    </row>
    <row r="13" spans="1:10">
      <c r="A13" s="11" t="s">
        <v>125</v>
      </c>
      <c r="B13" s="108">
        <f>COUNTA('01_인적정보'!B6:B39) - COUNTA('07a_상반기입력'!L6:L39)</f>
        <v>0</v>
      </c>
      <c r="C13" s="108"/>
      <c r="D13" s="108"/>
      <c r="E13" s="108"/>
      <c r="F13" s="108"/>
      <c r="G13" s="108"/>
      <c r="H13" s="108"/>
      <c r="I13" s="108"/>
    </row>
    <row r="14" spans="1:10">
      <c r="A14" s="11" t="s">
        <v>126</v>
      </c>
      <c r="B14" s="108">
        <f>COUNTA('01_인적정보'!B6:B39) - COUNTA('07b_하반기입력'!L6:L39)</f>
        <v>0</v>
      </c>
      <c r="C14" s="108"/>
      <c r="D14" s="108"/>
      <c r="E14" s="108"/>
      <c r="F14" s="108"/>
      <c r="G14" s="108"/>
      <c r="H14" s="108"/>
      <c r="I14" s="108"/>
    </row>
    <row r="15" spans="1:10">
      <c r="A15" s="11" t="s">
        <v>127</v>
      </c>
      <c r="B15" s="108">
        <f>SUMPRODUCT(('09_보상연계'!O6:O39&lt;'09_보상연계'!L6:L39)+('09_보상연계'!O6:O39&gt;'09_보상연계'!M6:M39))</f>
        <v>34</v>
      </c>
      <c r="C15" s="108"/>
      <c r="D15" s="108"/>
      <c r="E15" s="108"/>
      <c r="F15" s="108"/>
      <c r="G15" s="108"/>
      <c r="H15" s="108"/>
      <c r="I15" s="108"/>
    </row>
    <row r="16" spans="1:10">
      <c r="A16" s="11" t="s">
        <v>128</v>
      </c>
      <c r="B16" s="108">
        <f>SUM('11_페이밴드검증'!H6:H12)</f>
        <v>0</v>
      </c>
      <c r="C16" s="108"/>
      <c r="D16" s="108"/>
      <c r="E16" s="108"/>
      <c r="F16" s="108"/>
      <c r="G16" s="108"/>
      <c r="H16" s="108"/>
      <c r="I16" s="108"/>
    </row>
    <row r="18" spans="1:10" ht="16.5" customHeight="1">
      <c r="A18" s="107" t="s">
        <v>129</v>
      </c>
      <c r="B18" s="107"/>
      <c r="C18" s="107"/>
      <c r="D18" s="107"/>
      <c r="E18" s="107"/>
      <c r="F18" s="107"/>
      <c r="G18" s="107"/>
      <c r="H18" s="107"/>
      <c r="I18" s="107"/>
      <c r="J18" s="107"/>
    </row>
    <row r="19" spans="1:10">
      <c r="A19" s="3" t="s">
        <v>130</v>
      </c>
      <c r="B19" s="21" t="s">
        <v>131</v>
      </c>
      <c r="C19" s="21" t="s">
        <v>132</v>
      </c>
      <c r="D19" s="21" t="s">
        <v>133</v>
      </c>
      <c r="E19" s="21" t="s">
        <v>134</v>
      </c>
      <c r="F19" s="21" t="s">
        <v>135</v>
      </c>
    </row>
    <row r="20" spans="1:10">
      <c r="A20" s="11" t="s">
        <v>136</v>
      </c>
      <c r="B20" s="19">
        <f>COUNTIF('08_종합평가'!U6:U39,"S")</f>
        <v>3</v>
      </c>
      <c r="C20" s="19">
        <f>COUNTIF('08_종합평가'!U6:U39,"A")</f>
        <v>5</v>
      </c>
      <c r="D20" s="19">
        <f>COUNTIF('08_종합평가'!U6:U39,"B")</f>
        <v>18</v>
      </c>
      <c r="E20" s="19">
        <f>COUNTIF('08_종합평가'!U6:U39,"C")</f>
        <v>4</v>
      </c>
      <c r="F20" s="19">
        <f>COUNTIF('08_종합평가'!U6:U39,"D")</f>
        <v>4</v>
      </c>
    </row>
    <row r="23" spans="1:10" ht="16.5" customHeight="1">
      <c r="A23" s="107" t="s">
        <v>894</v>
      </c>
      <c r="B23" s="107"/>
      <c r="C23" s="107"/>
      <c r="D23" s="107"/>
      <c r="E23" s="107"/>
      <c r="F23" s="107"/>
      <c r="G23" s="107"/>
      <c r="H23" s="107"/>
      <c r="I23" s="107"/>
      <c r="J23" s="107"/>
    </row>
    <row r="24" spans="1:10" ht="16.5" customHeight="1">
      <c r="A24" s="106" t="s">
        <v>137</v>
      </c>
      <c r="B24" s="106"/>
      <c r="C24" s="106"/>
      <c r="D24" s="106"/>
      <c r="E24" s="106"/>
      <c r="F24" s="106"/>
      <c r="G24" s="106"/>
      <c r="H24" s="106"/>
      <c r="I24" s="106"/>
      <c r="J24" s="106"/>
    </row>
    <row r="25" spans="1:10" ht="16.5" customHeight="1">
      <c r="A25" s="106" t="s">
        <v>138</v>
      </c>
      <c r="B25" s="106"/>
      <c r="C25" s="106"/>
      <c r="D25" s="106"/>
      <c r="E25" s="106"/>
      <c r="F25" s="106"/>
      <c r="G25" s="106"/>
      <c r="H25" s="106"/>
      <c r="I25" s="106"/>
      <c r="J25" s="106"/>
    </row>
    <row r="26" spans="1:10" ht="16.5" customHeight="1">
      <c r="A26" s="106" t="s">
        <v>139</v>
      </c>
      <c r="B26" s="106"/>
      <c r="C26" s="106"/>
      <c r="D26" s="106"/>
      <c r="E26" s="106"/>
      <c r="F26" s="106"/>
      <c r="G26" s="106"/>
      <c r="H26" s="106"/>
      <c r="I26" s="106"/>
      <c r="J26" s="106"/>
    </row>
    <row r="27" spans="1:10" ht="16.5" customHeight="1">
      <c r="A27" s="106" t="s">
        <v>140</v>
      </c>
      <c r="B27" s="106"/>
      <c r="C27" s="106"/>
      <c r="D27" s="106"/>
      <c r="E27" s="106"/>
      <c r="F27" s="106"/>
      <c r="G27" s="106"/>
      <c r="H27" s="106"/>
      <c r="I27" s="106"/>
      <c r="J27" s="106"/>
    </row>
    <row r="28" spans="1:10" ht="16.5" customHeight="1">
      <c r="A28" s="106" t="s">
        <v>141</v>
      </c>
      <c r="B28" s="106"/>
      <c r="C28" s="106"/>
      <c r="D28" s="106"/>
      <c r="E28" s="106"/>
      <c r="F28" s="106"/>
      <c r="G28" s="106"/>
      <c r="H28" s="106"/>
      <c r="I28" s="106"/>
      <c r="J28" s="106"/>
    </row>
    <row r="29" spans="1:10" ht="16.5" customHeight="1">
      <c r="A29" s="106" t="s">
        <v>142</v>
      </c>
      <c r="B29" s="106"/>
      <c r="C29" s="106"/>
      <c r="D29" s="106"/>
      <c r="E29" s="106"/>
      <c r="F29" s="106"/>
      <c r="G29" s="106"/>
      <c r="H29" s="106"/>
      <c r="I29" s="106"/>
      <c r="J29" s="106"/>
    </row>
  </sheetData>
  <mergeCells count="17">
    <mergeCell ref="A1:J1"/>
    <mergeCell ref="A2:J2"/>
    <mergeCell ref="A3:J3"/>
    <mergeCell ref="A11:J11"/>
    <mergeCell ref="B12:I12"/>
    <mergeCell ref="B13:I13"/>
    <mergeCell ref="B14:I14"/>
    <mergeCell ref="B15:I15"/>
    <mergeCell ref="B16:I16"/>
    <mergeCell ref="A18:J18"/>
    <mergeCell ref="A28:J28"/>
    <mergeCell ref="A29:J29"/>
    <mergeCell ref="A23:J23"/>
    <mergeCell ref="A24:J24"/>
    <mergeCell ref="A25:J25"/>
    <mergeCell ref="A26:J26"/>
    <mergeCell ref="A27:J27"/>
  </mergeCells>
  <phoneticPr fontId="28" type="noConversion"/>
  <conditionalFormatting sqref="D5:D9">
    <cfRule type="cellIs" dxfId="81" priority="2" operator="equal">
      <formula>"미시작"</formula>
    </cfRule>
    <cfRule type="cellIs" dxfId="80" priority="3" operator="equal">
      <formula>"진행중"</formula>
    </cfRule>
    <cfRule type="cellIs" dxfId="79" priority="4" operator="equal">
      <formula>"✓ 완료"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N55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9" sqref="H19"/>
    </sheetView>
  </sheetViews>
  <sheetFormatPr defaultColWidth="8.5625" defaultRowHeight="16.899999999999999"/>
  <cols>
    <col min="1" max="1" width="5" customWidth="1"/>
    <col min="2" max="3" width="10" customWidth="1"/>
    <col min="4" max="4" width="16.4375" customWidth="1"/>
    <col min="5" max="5" width="14.6875" customWidth="1"/>
    <col min="6" max="6" width="12.9375" customWidth="1"/>
    <col min="7" max="7" width="10" customWidth="1"/>
    <col min="8" max="8" width="9.1875" customWidth="1"/>
    <col min="9" max="9" width="11.0625" customWidth="1"/>
    <col min="10" max="10" width="9.1875" customWidth="1"/>
    <col min="11" max="11" width="10.1875" customWidth="1"/>
    <col min="12" max="12" width="12.5625" customWidth="1"/>
    <col min="13" max="13" width="19.1875" customWidth="1"/>
    <col min="14" max="14" width="10" customWidth="1"/>
  </cols>
  <sheetData>
    <row r="1" spans="1:14" ht="30" customHeight="1">
      <c r="A1" s="111" t="s">
        <v>143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ht="21.75" customHeight="1">
      <c r="A2" s="88" t="s">
        <v>144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</row>
    <row r="5" spans="1:14" ht="31.5" customHeight="1">
      <c r="A5" s="22" t="s">
        <v>145</v>
      </c>
      <c r="B5" s="23" t="s">
        <v>146</v>
      </c>
      <c r="C5" s="23" t="s">
        <v>147</v>
      </c>
      <c r="D5" s="23" t="s">
        <v>148</v>
      </c>
      <c r="E5" s="23" t="s">
        <v>149</v>
      </c>
      <c r="F5" s="23" t="s">
        <v>150</v>
      </c>
      <c r="G5" s="23" t="s">
        <v>151</v>
      </c>
      <c r="H5" s="23" t="s">
        <v>152</v>
      </c>
      <c r="I5" s="23" t="s">
        <v>153</v>
      </c>
      <c r="J5" s="23" t="s">
        <v>154</v>
      </c>
      <c r="K5" s="23" t="s">
        <v>155</v>
      </c>
      <c r="L5" s="23" t="s">
        <v>156</v>
      </c>
      <c r="M5" s="23" t="s">
        <v>157</v>
      </c>
      <c r="N5" s="23" t="s">
        <v>158</v>
      </c>
    </row>
    <row r="6" spans="1:14" ht="21.75" customHeight="1">
      <c r="A6" s="24">
        <v>1</v>
      </c>
      <c r="B6" s="25" t="s">
        <v>159</v>
      </c>
      <c r="C6" s="10" t="s">
        <v>160</v>
      </c>
      <c r="D6" s="26" t="s">
        <v>161</v>
      </c>
      <c r="E6" s="26" t="s">
        <v>162</v>
      </c>
      <c r="F6" s="26" t="s">
        <v>163</v>
      </c>
      <c r="G6" s="27" t="s">
        <v>164</v>
      </c>
      <c r="H6" s="28" t="s">
        <v>165</v>
      </c>
      <c r="I6" s="25" t="s">
        <v>166</v>
      </c>
      <c r="J6" s="19">
        <f t="shared" ref="J6:J39" ca="1" si="0">IFERROR(ROUND((TODAY()-DATEVALUE(I6))/365,1),"")</f>
        <v>12.4</v>
      </c>
      <c r="K6" s="29">
        <v>72500000</v>
      </c>
      <c r="L6" s="19">
        <f>IFERROR(INDEX('15_직원별책무매핑'!$E:$E,MATCH(B6,'15_직원별책무매핑'!$B:$B,0)),0)</f>
        <v>7</v>
      </c>
      <c r="M6" s="12" t="str">
        <f t="shared" ref="M6:M39" si="1">E6&amp;"_"&amp;H6</f>
        <v>프로젝트영업_G6</v>
      </c>
      <c r="N6" s="10"/>
    </row>
    <row r="7" spans="1:14" ht="21.75" customHeight="1">
      <c r="A7" s="24">
        <v>2</v>
      </c>
      <c r="B7" s="25" t="s">
        <v>167</v>
      </c>
      <c r="C7" s="10" t="s">
        <v>160</v>
      </c>
      <c r="D7" s="26" t="s">
        <v>168</v>
      </c>
      <c r="E7" s="26" t="s">
        <v>169</v>
      </c>
      <c r="F7" s="10" t="s">
        <v>170</v>
      </c>
      <c r="G7" s="27" t="s">
        <v>171</v>
      </c>
      <c r="H7" s="28" t="s">
        <v>165</v>
      </c>
      <c r="I7" s="25" t="s">
        <v>172</v>
      </c>
      <c r="J7" s="19">
        <f t="shared" ca="1" si="0"/>
        <v>12.2</v>
      </c>
      <c r="K7" s="29">
        <v>68870000</v>
      </c>
      <c r="L7" s="19">
        <f>IFERROR(INDEX('15_직원별책무매핑'!$E:$E,MATCH(B7,'15_직원별책무매핑'!$B:$B,0)),0)</f>
        <v>0</v>
      </c>
      <c r="M7" s="12" t="str">
        <f t="shared" si="1"/>
        <v>연구개발(R&amp;D)_G6</v>
      </c>
      <c r="N7" s="10"/>
    </row>
    <row r="8" spans="1:14" ht="21.75" customHeight="1">
      <c r="A8" s="24">
        <v>3</v>
      </c>
      <c r="B8" s="25" t="s">
        <v>173</v>
      </c>
      <c r="C8" s="10" t="s">
        <v>160</v>
      </c>
      <c r="D8" s="26" t="s">
        <v>174</v>
      </c>
      <c r="E8" s="10" t="s">
        <v>175</v>
      </c>
      <c r="F8" s="26" t="s">
        <v>176</v>
      </c>
      <c r="G8" s="27" t="s">
        <v>171</v>
      </c>
      <c r="H8" s="28" t="s">
        <v>165</v>
      </c>
      <c r="I8" s="25" t="s">
        <v>177</v>
      </c>
      <c r="J8" s="19">
        <f t="shared" ca="1" si="0"/>
        <v>12.2</v>
      </c>
      <c r="K8" s="29">
        <v>67500000</v>
      </c>
      <c r="L8" s="19">
        <f>IFERROR(INDEX('15_직원별책무매핑'!$E:$E,MATCH(B8,'15_직원별책무매핑'!$B:$B,0)),0)</f>
        <v>4</v>
      </c>
      <c r="M8" s="12" t="str">
        <f t="shared" si="1"/>
        <v>BIM컨설팅_G6</v>
      </c>
      <c r="N8" s="10"/>
    </row>
    <row r="9" spans="1:14" ht="21.75" customHeight="1">
      <c r="A9" s="24">
        <v>4</v>
      </c>
      <c r="B9" s="25" t="s">
        <v>178</v>
      </c>
      <c r="C9" s="10" t="s">
        <v>160</v>
      </c>
      <c r="D9" s="26" t="s">
        <v>179</v>
      </c>
      <c r="E9" s="26" t="s">
        <v>180</v>
      </c>
      <c r="F9" s="26" t="s">
        <v>181</v>
      </c>
      <c r="G9" s="27" t="s">
        <v>182</v>
      </c>
      <c r="H9" s="28" t="s">
        <v>165</v>
      </c>
      <c r="I9" s="25" t="s">
        <v>183</v>
      </c>
      <c r="J9" s="19">
        <f t="shared" ca="1" si="0"/>
        <v>12.1</v>
      </c>
      <c r="K9" s="29">
        <v>64530000</v>
      </c>
      <c r="L9" s="19">
        <f>IFERROR(INDEX('15_직원별책무매핑'!$E:$E,MATCH(B9,'15_직원별책무매핑'!$B:$B,0)),0)</f>
        <v>5</v>
      </c>
      <c r="M9" s="12" t="str">
        <f t="shared" si="1"/>
        <v>경영전략기획_G6</v>
      </c>
      <c r="N9" s="10"/>
    </row>
    <row r="10" spans="1:14" ht="21.75" customHeight="1">
      <c r="A10" s="24">
        <v>5</v>
      </c>
      <c r="B10" s="25" t="s">
        <v>184</v>
      </c>
      <c r="C10" s="10" t="s">
        <v>160</v>
      </c>
      <c r="D10" s="26" t="s">
        <v>179</v>
      </c>
      <c r="E10" s="26" t="s">
        <v>180</v>
      </c>
      <c r="F10" s="26" t="s">
        <v>181</v>
      </c>
      <c r="G10" s="27" t="s">
        <v>182</v>
      </c>
      <c r="H10" s="28" t="s">
        <v>165</v>
      </c>
      <c r="I10" s="25" t="s">
        <v>185</v>
      </c>
      <c r="J10" s="19">
        <f t="shared" ca="1" si="0"/>
        <v>11</v>
      </c>
      <c r="K10" s="29">
        <v>65180000</v>
      </c>
      <c r="L10" s="19">
        <f>IFERROR(INDEX('15_직원별책무매핑'!$E:$E,MATCH(B10,'15_직원별책무매핑'!$B:$B,0)),0)</f>
        <v>7</v>
      </c>
      <c r="M10" s="12" t="str">
        <f t="shared" si="1"/>
        <v>경영전략기획_G6</v>
      </c>
      <c r="N10" s="10"/>
    </row>
    <row r="11" spans="1:14" ht="21.75" customHeight="1">
      <c r="A11" s="24">
        <v>6</v>
      </c>
      <c r="B11" s="25" t="s">
        <v>186</v>
      </c>
      <c r="C11" s="10" t="s">
        <v>160</v>
      </c>
      <c r="D11" s="26" t="s">
        <v>179</v>
      </c>
      <c r="E11" s="26" t="s">
        <v>180</v>
      </c>
      <c r="F11" s="26" t="s">
        <v>181</v>
      </c>
      <c r="G11" s="27" t="s">
        <v>182</v>
      </c>
      <c r="H11" s="28" t="s">
        <v>165</v>
      </c>
      <c r="I11" s="25" t="s">
        <v>187</v>
      </c>
      <c r="J11" s="19">
        <f t="shared" ca="1" si="0"/>
        <v>10.9</v>
      </c>
      <c r="K11" s="29">
        <v>62000000</v>
      </c>
      <c r="L11" s="19">
        <f>IFERROR(INDEX('15_직원별책무매핑'!$E:$E,MATCH(B11,'15_직원별책무매핑'!$B:$B,0)),0)</f>
        <v>7</v>
      </c>
      <c r="M11" s="12" t="str">
        <f t="shared" si="1"/>
        <v>경영전략기획_G6</v>
      </c>
      <c r="N11" s="10"/>
    </row>
    <row r="12" spans="1:14" ht="21.75" customHeight="1">
      <c r="A12" s="24">
        <v>7</v>
      </c>
      <c r="B12" s="25" t="s">
        <v>188</v>
      </c>
      <c r="C12" s="10" t="s">
        <v>160</v>
      </c>
      <c r="D12" s="26" t="s">
        <v>189</v>
      </c>
      <c r="E12" s="26" t="s">
        <v>190</v>
      </c>
      <c r="F12" s="26" t="s">
        <v>191</v>
      </c>
      <c r="G12" s="27" t="s">
        <v>192</v>
      </c>
      <c r="H12" s="28" t="s">
        <v>193</v>
      </c>
      <c r="I12" s="25" t="s">
        <v>194</v>
      </c>
      <c r="J12" s="19">
        <f t="shared" ca="1" si="0"/>
        <v>10.8</v>
      </c>
      <c r="K12" s="29">
        <v>59700000</v>
      </c>
      <c r="L12" s="19">
        <f>IFERROR(INDEX('15_직원별책무매핑'!$E:$E,MATCH(B12,'15_직원별책무매핑'!$B:$B,0)),0)</f>
        <v>0</v>
      </c>
      <c r="M12" s="12" t="str">
        <f t="shared" si="1"/>
        <v>교육_G5-M</v>
      </c>
      <c r="N12" s="10"/>
    </row>
    <row r="13" spans="1:14" ht="21.75" customHeight="1">
      <c r="A13" s="24">
        <v>8</v>
      </c>
      <c r="B13" s="25" t="s">
        <v>195</v>
      </c>
      <c r="C13" s="10" t="s">
        <v>160</v>
      </c>
      <c r="D13" s="26" t="s">
        <v>189</v>
      </c>
      <c r="E13" s="26" t="s">
        <v>196</v>
      </c>
      <c r="F13" s="26" t="s">
        <v>191</v>
      </c>
      <c r="G13" s="27" t="s">
        <v>192</v>
      </c>
      <c r="H13" s="28" t="s">
        <v>193</v>
      </c>
      <c r="I13" s="25" t="s">
        <v>197</v>
      </c>
      <c r="J13" s="19">
        <f t="shared" ca="1" si="0"/>
        <v>10.8</v>
      </c>
      <c r="K13" s="29">
        <v>59050000</v>
      </c>
      <c r="L13" s="19">
        <f>IFERROR(INDEX('15_직원별책무매핑'!$E:$E,MATCH(B13,'15_직원별책무매핑'!$B:$B,0)),0)</f>
        <v>0</v>
      </c>
      <c r="M13" s="12" t="str">
        <f t="shared" si="1"/>
        <v>기술지원_G5-M</v>
      </c>
      <c r="N13" s="10"/>
    </row>
    <row r="14" spans="1:14" ht="21.75" customHeight="1">
      <c r="A14" s="24">
        <v>9</v>
      </c>
      <c r="B14" s="25" t="s">
        <v>198</v>
      </c>
      <c r="C14" s="10" t="s">
        <v>160</v>
      </c>
      <c r="D14" s="26" t="s">
        <v>174</v>
      </c>
      <c r="E14" s="10" t="s">
        <v>175</v>
      </c>
      <c r="F14" s="26" t="s">
        <v>176</v>
      </c>
      <c r="G14" s="27" t="s">
        <v>192</v>
      </c>
      <c r="H14" s="28" t="s">
        <v>193</v>
      </c>
      <c r="I14" s="25" t="s">
        <v>199</v>
      </c>
      <c r="J14" s="19">
        <f t="shared" ca="1" si="0"/>
        <v>9.6999999999999993</v>
      </c>
      <c r="K14" s="29">
        <v>59050000</v>
      </c>
      <c r="L14" s="19">
        <f>IFERROR(INDEX('15_직원별책무매핑'!$E:$E,MATCH(B14,'15_직원별책무매핑'!$B:$B,0)),0)</f>
        <v>4</v>
      </c>
      <c r="M14" s="12" t="str">
        <f t="shared" si="1"/>
        <v>BIM컨설팅_G5-M</v>
      </c>
      <c r="N14" s="10"/>
    </row>
    <row r="15" spans="1:14" ht="21.75" customHeight="1">
      <c r="A15" s="24">
        <v>10</v>
      </c>
      <c r="B15" s="25" t="s">
        <v>200</v>
      </c>
      <c r="C15" s="10" t="s">
        <v>160</v>
      </c>
      <c r="D15" s="26" t="s">
        <v>174</v>
      </c>
      <c r="E15" s="10" t="s">
        <v>175</v>
      </c>
      <c r="F15" s="26" t="s">
        <v>176</v>
      </c>
      <c r="G15" s="27" t="s">
        <v>192</v>
      </c>
      <c r="H15" s="28" t="s">
        <v>201</v>
      </c>
      <c r="I15" s="25" t="s">
        <v>202</v>
      </c>
      <c r="J15" s="19">
        <f t="shared" ca="1" si="0"/>
        <v>9.6</v>
      </c>
      <c r="K15" s="29">
        <v>59050000</v>
      </c>
      <c r="L15" s="19">
        <f>IFERROR(INDEX('15_직원별책무매핑'!$E:$E,MATCH(B15,'15_직원별책무매핑'!$B:$B,0)),0)</f>
        <v>7</v>
      </c>
      <c r="M15" s="12" t="str">
        <f t="shared" si="1"/>
        <v>BIM컨설팅_G5-S</v>
      </c>
      <c r="N15" s="10"/>
    </row>
    <row r="16" spans="1:14" ht="21.75" customHeight="1">
      <c r="A16" s="24">
        <v>11</v>
      </c>
      <c r="B16" s="25" t="s">
        <v>203</v>
      </c>
      <c r="C16" s="10" t="s">
        <v>160</v>
      </c>
      <c r="D16" s="26" t="s">
        <v>174</v>
      </c>
      <c r="E16" s="10" t="s">
        <v>175</v>
      </c>
      <c r="F16" s="26" t="s">
        <v>176</v>
      </c>
      <c r="G16" s="27" t="s">
        <v>192</v>
      </c>
      <c r="H16" s="28" t="s">
        <v>201</v>
      </c>
      <c r="I16" s="25" t="s">
        <v>204</v>
      </c>
      <c r="J16" s="19">
        <f t="shared" ca="1" si="0"/>
        <v>9.5</v>
      </c>
      <c r="K16" s="29">
        <v>57760000</v>
      </c>
      <c r="L16" s="19">
        <f>IFERROR(INDEX('15_직원별책무매핑'!$E:$E,MATCH(B16,'15_직원별책무매핑'!$B:$B,0)),0)</f>
        <v>4</v>
      </c>
      <c r="M16" s="12" t="str">
        <f t="shared" si="1"/>
        <v>BIM컨설팅_G5-S</v>
      </c>
      <c r="N16" s="10"/>
    </row>
    <row r="17" spans="1:14" ht="21.75" customHeight="1">
      <c r="A17" s="24">
        <v>12</v>
      </c>
      <c r="B17" s="25" t="s">
        <v>205</v>
      </c>
      <c r="C17" s="10" t="s">
        <v>160</v>
      </c>
      <c r="D17" s="26" t="s">
        <v>179</v>
      </c>
      <c r="E17" s="26" t="s">
        <v>180</v>
      </c>
      <c r="F17" s="26" t="s">
        <v>206</v>
      </c>
      <c r="G17" s="27" t="s">
        <v>192</v>
      </c>
      <c r="H17" s="28" t="s">
        <v>193</v>
      </c>
      <c r="I17" s="25" t="s">
        <v>207</v>
      </c>
      <c r="J17" s="19">
        <f t="shared" ca="1" si="0"/>
        <v>9.5</v>
      </c>
      <c r="K17" s="29">
        <v>57760000</v>
      </c>
      <c r="L17" s="19">
        <f>IFERROR(INDEX('15_직원별책무매핑'!$E:$E,MATCH(B17,'15_직원별책무매핑'!$B:$B,0)),0)</f>
        <v>9</v>
      </c>
      <c r="M17" s="12" t="str">
        <f t="shared" si="1"/>
        <v>경영전략기획_G5-M</v>
      </c>
      <c r="N17" s="10"/>
    </row>
    <row r="18" spans="1:14" ht="21.75" customHeight="1">
      <c r="A18" s="24">
        <v>13</v>
      </c>
      <c r="B18" s="25" t="s">
        <v>208</v>
      </c>
      <c r="C18" s="10" t="s">
        <v>160</v>
      </c>
      <c r="D18" s="26" t="s">
        <v>174</v>
      </c>
      <c r="E18" s="10" t="s">
        <v>175</v>
      </c>
      <c r="F18" s="26" t="s">
        <v>176</v>
      </c>
      <c r="G18" s="27" t="s">
        <v>192</v>
      </c>
      <c r="H18" s="28" t="s">
        <v>201</v>
      </c>
      <c r="I18" s="25" t="s">
        <v>209</v>
      </c>
      <c r="J18" s="19">
        <f t="shared" ca="1" si="0"/>
        <v>9.4</v>
      </c>
      <c r="K18" s="29">
        <v>58400000</v>
      </c>
      <c r="L18" s="19">
        <f>IFERROR(INDEX('15_직원별책무매핑'!$E:$E,MATCH(B18,'15_직원별책무매핑'!$B:$B,0)),0)</f>
        <v>7</v>
      </c>
      <c r="M18" s="12" t="str">
        <f t="shared" si="1"/>
        <v>BIM컨설팅_G5-S</v>
      </c>
      <c r="N18" s="10"/>
    </row>
    <row r="19" spans="1:14" ht="21.75" customHeight="1">
      <c r="A19" s="24">
        <v>14</v>
      </c>
      <c r="B19" s="25" t="s">
        <v>210</v>
      </c>
      <c r="C19" s="10" t="s">
        <v>160</v>
      </c>
      <c r="D19" s="26" t="s">
        <v>174</v>
      </c>
      <c r="E19" s="10" t="s">
        <v>175</v>
      </c>
      <c r="F19" s="26" t="s">
        <v>176</v>
      </c>
      <c r="G19" s="27" t="s">
        <v>192</v>
      </c>
      <c r="H19" s="28" t="s">
        <v>201</v>
      </c>
      <c r="I19" s="25" t="s">
        <v>211</v>
      </c>
      <c r="J19" s="19">
        <f t="shared" ca="1" si="0"/>
        <v>9.1999999999999993</v>
      </c>
      <c r="K19" s="29">
        <v>56500000</v>
      </c>
      <c r="L19" s="19">
        <f>IFERROR(INDEX('15_직원별책무매핑'!$E:$E,MATCH(B19,'15_직원별책무매핑'!$B:$B,0)),0)</f>
        <v>9</v>
      </c>
      <c r="M19" s="12" t="str">
        <f t="shared" si="1"/>
        <v>BIM컨설팅_G5-S</v>
      </c>
      <c r="N19" s="10"/>
    </row>
    <row r="20" spans="1:14" ht="21.75" customHeight="1">
      <c r="A20" s="24">
        <v>15</v>
      </c>
      <c r="B20" s="25" t="s">
        <v>212</v>
      </c>
      <c r="C20" s="10" t="s">
        <v>160</v>
      </c>
      <c r="D20" s="26" t="s">
        <v>174</v>
      </c>
      <c r="E20" s="10" t="s">
        <v>175</v>
      </c>
      <c r="F20" s="26" t="s">
        <v>176</v>
      </c>
      <c r="G20" s="27" t="s">
        <v>213</v>
      </c>
      <c r="H20" s="28" t="s">
        <v>201</v>
      </c>
      <c r="I20" s="25" t="s">
        <v>214</v>
      </c>
      <c r="J20" s="19">
        <f t="shared" ca="1" si="0"/>
        <v>9.1999999999999993</v>
      </c>
      <c r="K20" s="29">
        <v>53160000</v>
      </c>
      <c r="L20" s="19">
        <f>IFERROR(INDEX('15_직원별책무매핑'!$E:$E,MATCH(B20,'15_직원별책무매핑'!$B:$B,0)),0)</f>
        <v>10</v>
      </c>
      <c r="M20" s="12" t="str">
        <f t="shared" si="1"/>
        <v>BIM컨설팅_G5-S</v>
      </c>
      <c r="N20" s="10"/>
    </row>
    <row r="21" spans="1:14" ht="21.75" customHeight="1">
      <c r="A21" s="24">
        <v>16</v>
      </c>
      <c r="B21" s="25" t="s">
        <v>215</v>
      </c>
      <c r="C21" s="10" t="s">
        <v>160</v>
      </c>
      <c r="D21" s="26" t="s">
        <v>174</v>
      </c>
      <c r="E21" s="10" t="s">
        <v>175</v>
      </c>
      <c r="F21" s="26" t="s">
        <v>176</v>
      </c>
      <c r="G21" s="27" t="s">
        <v>213</v>
      </c>
      <c r="H21" s="28" t="s">
        <v>201</v>
      </c>
      <c r="I21" s="25" t="s">
        <v>216</v>
      </c>
      <c r="J21" s="19">
        <f t="shared" ca="1" si="0"/>
        <v>9.1</v>
      </c>
      <c r="K21" s="29">
        <v>53750000</v>
      </c>
      <c r="L21" s="19">
        <f>IFERROR(INDEX('15_직원별책무매핑'!$E:$E,MATCH(B21,'15_직원별책무매핑'!$B:$B,0)),0)</f>
        <v>9</v>
      </c>
      <c r="M21" s="12" t="str">
        <f t="shared" si="1"/>
        <v>BIM컨설팅_G5-S</v>
      </c>
      <c r="N21" s="10"/>
    </row>
    <row r="22" spans="1:14" ht="21.75" customHeight="1">
      <c r="A22" s="24">
        <v>17</v>
      </c>
      <c r="B22" s="25" t="s">
        <v>217</v>
      </c>
      <c r="C22" s="10" t="s">
        <v>160</v>
      </c>
      <c r="D22" s="26" t="s">
        <v>189</v>
      </c>
      <c r="E22" s="26" t="s">
        <v>190</v>
      </c>
      <c r="F22" s="26" t="s">
        <v>191</v>
      </c>
      <c r="G22" s="27" t="s">
        <v>218</v>
      </c>
      <c r="H22" s="28" t="s">
        <v>219</v>
      </c>
      <c r="I22" s="25" t="s">
        <v>220</v>
      </c>
      <c r="J22" s="19">
        <f t="shared" ca="1" si="0"/>
        <v>8</v>
      </c>
      <c r="K22" s="29">
        <v>49240000</v>
      </c>
      <c r="L22" s="19">
        <f>IFERROR(INDEX('15_직원별책무매핑'!$E:$E,MATCH(B22,'15_직원별책무매핑'!$B:$B,0)),0)</f>
        <v>0</v>
      </c>
      <c r="M22" s="12" t="str">
        <f t="shared" si="1"/>
        <v>교육_G4</v>
      </c>
      <c r="N22" s="10"/>
    </row>
    <row r="23" spans="1:14" ht="21.75" customHeight="1">
      <c r="A23" s="24">
        <v>18</v>
      </c>
      <c r="B23" s="25" t="s">
        <v>221</v>
      </c>
      <c r="C23" s="10" t="s">
        <v>160</v>
      </c>
      <c r="D23" s="26" t="s">
        <v>174</v>
      </c>
      <c r="E23" s="10" t="s">
        <v>175</v>
      </c>
      <c r="F23" s="26" t="s">
        <v>176</v>
      </c>
      <c r="G23" s="27" t="s">
        <v>218</v>
      </c>
      <c r="H23" s="28" t="s">
        <v>219</v>
      </c>
      <c r="I23" s="25" t="s">
        <v>222</v>
      </c>
      <c r="J23" s="19">
        <f t="shared" ca="1" si="0"/>
        <v>7.9</v>
      </c>
      <c r="K23" s="29">
        <v>48650000</v>
      </c>
      <c r="L23" s="19">
        <f>IFERROR(INDEX('15_직원별책무매핑'!$E:$E,MATCH(B23,'15_직원별책무매핑'!$B:$B,0)),0)</f>
        <v>8</v>
      </c>
      <c r="M23" s="12" t="str">
        <f t="shared" si="1"/>
        <v>BIM컨설팅_G4</v>
      </c>
      <c r="N23" s="10"/>
    </row>
    <row r="24" spans="1:14" ht="21.75" customHeight="1">
      <c r="A24" s="24">
        <v>19</v>
      </c>
      <c r="B24" s="25" t="s">
        <v>223</v>
      </c>
      <c r="C24" s="10" t="s">
        <v>160</v>
      </c>
      <c r="D24" s="26" t="s">
        <v>174</v>
      </c>
      <c r="E24" s="10" t="s">
        <v>175</v>
      </c>
      <c r="F24" s="26" t="s">
        <v>176</v>
      </c>
      <c r="G24" s="27" t="s">
        <v>218</v>
      </c>
      <c r="H24" s="28" t="s">
        <v>224</v>
      </c>
      <c r="I24" s="25" t="s">
        <v>225</v>
      </c>
      <c r="J24" s="19">
        <f t="shared" ca="1" si="0"/>
        <v>7.8</v>
      </c>
      <c r="K24" s="29">
        <v>47500000</v>
      </c>
      <c r="L24" s="19">
        <f>IFERROR(INDEX('15_직원별책무매핑'!$E:$E,MATCH(B24,'15_직원별책무매핑'!$B:$B,0)),0)</f>
        <v>8</v>
      </c>
      <c r="M24" s="12" t="str">
        <f t="shared" si="1"/>
        <v>BIM컨설팅_G3</v>
      </c>
      <c r="N24" s="10"/>
    </row>
    <row r="25" spans="1:14" ht="21.75" customHeight="1">
      <c r="A25" s="24">
        <v>20</v>
      </c>
      <c r="B25" s="25" t="s">
        <v>226</v>
      </c>
      <c r="C25" s="10" t="s">
        <v>160</v>
      </c>
      <c r="D25" s="26" t="s">
        <v>189</v>
      </c>
      <c r="E25" s="26" t="s">
        <v>196</v>
      </c>
      <c r="F25" s="26" t="s">
        <v>191</v>
      </c>
      <c r="G25" s="27" t="s">
        <v>227</v>
      </c>
      <c r="H25" s="28" t="s">
        <v>224</v>
      </c>
      <c r="I25" s="25" t="s">
        <v>228</v>
      </c>
      <c r="J25" s="19">
        <f t="shared" ca="1" si="0"/>
        <v>7.8</v>
      </c>
      <c r="K25" s="29">
        <v>43060000</v>
      </c>
      <c r="L25" s="19">
        <f>IFERROR(INDEX('15_직원별책무매핑'!$E:$E,MATCH(B25,'15_직원별책무매핑'!$B:$B,0)),0)</f>
        <v>0</v>
      </c>
      <c r="M25" s="12" t="str">
        <f t="shared" si="1"/>
        <v>기술지원_G3</v>
      </c>
      <c r="N25" s="10"/>
    </row>
    <row r="26" spans="1:14" ht="21.75" customHeight="1">
      <c r="A26" s="24">
        <v>21</v>
      </c>
      <c r="B26" s="25" t="s">
        <v>229</v>
      </c>
      <c r="C26" s="10" t="s">
        <v>160</v>
      </c>
      <c r="D26" s="26" t="s">
        <v>174</v>
      </c>
      <c r="E26" s="10" t="s">
        <v>175</v>
      </c>
      <c r="F26" s="26" t="s">
        <v>176</v>
      </c>
      <c r="G26" s="27" t="s">
        <v>227</v>
      </c>
      <c r="H26" s="28" t="s">
        <v>230</v>
      </c>
      <c r="I26" s="25" t="s">
        <v>231</v>
      </c>
      <c r="J26" s="19">
        <f t="shared" ca="1" si="0"/>
        <v>6.7</v>
      </c>
      <c r="K26" s="29">
        <v>42500000</v>
      </c>
      <c r="L26" s="19">
        <f>IFERROR(INDEX('15_직원별책무매핑'!$E:$E,MATCH(B26,'15_직원별책무매핑'!$B:$B,0)),0)</f>
        <v>8</v>
      </c>
      <c r="M26" s="12" t="str">
        <f t="shared" si="1"/>
        <v>BIM컨설팅_G2</v>
      </c>
      <c r="N26" s="10"/>
    </row>
    <row r="27" spans="1:14" ht="21.75" customHeight="1">
      <c r="A27" s="24">
        <v>22</v>
      </c>
      <c r="B27" s="25" t="s">
        <v>232</v>
      </c>
      <c r="C27" s="10" t="s">
        <v>160</v>
      </c>
      <c r="D27" s="26" t="s">
        <v>174</v>
      </c>
      <c r="E27" s="10" t="s">
        <v>175</v>
      </c>
      <c r="F27" s="26" t="s">
        <v>176</v>
      </c>
      <c r="G27" s="27" t="s">
        <v>227</v>
      </c>
      <c r="H27" s="28" t="s">
        <v>230</v>
      </c>
      <c r="I27" s="25" t="s">
        <v>233</v>
      </c>
      <c r="J27" s="19">
        <f t="shared" ca="1" si="0"/>
        <v>6.6</v>
      </c>
      <c r="K27" s="29">
        <v>42500000</v>
      </c>
      <c r="L27" s="19">
        <f>IFERROR(INDEX('15_직원별책무매핑'!$E:$E,MATCH(B27,'15_직원별책무매핑'!$B:$B,0)),0)</f>
        <v>8</v>
      </c>
      <c r="M27" s="12" t="str">
        <f t="shared" si="1"/>
        <v>BIM컨설팅_G2</v>
      </c>
      <c r="N27" s="10"/>
    </row>
    <row r="28" spans="1:14" ht="21.75" customHeight="1">
      <c r="A28" s="24">
        <v>23</v>
      </c>
      <c r="B28" s="25" t="s">
        <v>234</v>
      </c>
      <c r="C28" s="10" t="s">
        <v>160</v>
      </c>
      <c r="D28" s="26" t="s">
        <v>174</v>
      </c>
      <c r="E28" s="10" t="s">
        <v>175</v>
      </c>
      <c r="F28" s="26" t="s">
        <v>176</v>
      </c>
      <c r="G28" s="27" t="s">
        <v>227</v>
      </c>
      <c r="H28" s="28" t="s">
        <v>230</v>
      </c>
      <c r="I28" s="25" t="s">
        <v>235</v>
      </c>
      <c r="J28" s="19">
        <f t="shared" ca="1" si="0"/>
        <v>6.5</v>
      </c>
      <c r="K28" s="29">
        <v>42500000</v>
      </c>
      <c r="L28" s="19">
        <f>IFERROR(INDEX('15_직원별책무매핑'!$E:$E,MATCH(B28,'15_직원별책무매핑'!$B:$B,0)),0)</f>
        <v>10</v>
      </c>
      <c r="M28" s="12" t="str">
        <f t="shared" si="1"/>
        <v>BIM컨설팅_G2</v>
      </c>
      <c r="N28" s="10"/>
    </row>
    <row r="29" spans="1:14" ht="21.75" customHeight="1">
      <c r="A29" s="24">
        <v>24</v>
      </c>
      <c r="B29" s="25" t="s">
        <v>236</v>
      </c>
      <c r="C29" s="10" t="s">
        <v>160</v>
      </c>
      <c r="D29" s="26" t="s">
        <v>174</v>
      </c>
      <c r="E29" s="10" t="s">
        <v>175</v>
      </c>
      <c r="F29" s="26" t="s">
        <v>176</v>
      </c>
      <c r="G29" s="27" t="s">
        <v>227</v>
      </c>
      <c r="H29" s="28" t="s">
        <v>230</v>
      </c>
      <c r="I29" s="25" t="s">
        <v>237</v>
      </c>
      <c r="J29" s="19">
        <f t="shared" ca="1" si="0"/>
        <v>6.5</v>
      </c>
      <c r="K29" s="29">
        <v>42500000</v>
      </c>
      <c r="L29" s="19">
        <f>IFERROR(INDEX('15_직원별책무매핑'!$E:$E,MATCH(B29,'15_직원별책무매핑'!$B:$B,0)),0)</f>
        <v>9</v>
      </c>
      <c r="M29" s="12" t="str">
        <f t="shared" si="1"/>
        <v>BIM컨설팅_G2</v>
      </c>
      <c r="N29" s="10"/>
    </row>
    <row r="30" spans="1:14" ht="21.75" customHeight="1">
      <c r="A30" s="24">
        <v>25</v>
      </c>
      <c r="B30" s="25" t="s">
        <v>238</v>
      </c>
      <c r="C30" s="10" t="s">
        <v>160</v>
      </c>
      <c r="D30" s="26" t="s">
        <v>168</v>
      </c>
      <c r="E30" s="26" t="s">
        <v>169</v>
      </c>
      <c r="F30" s="26" t="s">
        <v>176</v>
      </c>
      <c r="G30" s="27" t="s">
        <v>227</v>
      </c>
      <c r="H30" s="28" t="s">
        <v>230</v>
      </c>
      <c r="I30" s="25" t="s">
        <v>239</v>
      </c>
      <c r="J30" s="19">
        <f t="shared" ca="1" si="0"/>
        <v>6.4</v>
      </c>
      <c r="K30" s="29">
        <v>42500000</v>
      </c>
      <c r="L30" s="19">
        <f>IFERROR(INDEX('15_직원별책무매핑'!$E:$E,MATCH(B30,'15_직원별책무매핑'!$B:$B,0)),0)</f>
        <v>0</v>
      </c>
      <c r="M30" s="12" t="str">
        <f t="shared" si="1"/>
        <v>연구개발(R&amp;D)_G2</v>
      </c>
      <c r="N30" s="10"/>
    </row>
    <row r="31" spans="1:14" ht="21.75" customHeight="1">
      <c r="A31" s="24">
        <v>26</v>
      </c>
      <c r="B31" s="25" t="s">
        <v>240</v>
      </c>
      <c r="C31" s="10" t="s">
        <v>160</v>
      </c>
      <c r="D31" s="26" t="s">
        <v>179</v>
      </c>
      <c r="E31" s="26" t="s">
        <v>180</v>
      </c>
      <c r="F31" s="26" t="s">
        <v>206</v>
      </c>
      <c r="G31" s="27" t="s">
        <v>241</v>
      </c>
      <c r="H31" s="28" t="s">
        <v>242</v>
      </c>
      <c r="I31" s="25" t="s">
        <v>243</v>
      </c>
      <c r="J31" s="19">
        <f t="shared" ca="1" si="0"/>
        <v>6.2</v>
      </c>
      <c r="K31" s="29">
        <v>34935000</v>
      </c>
      <c r="L31" s="19">
        <f>IFERROR(INDEX('15_직원별책무매핑'!$E:$E,MATCH(B31,'15_직원별책무매핑'!$B:$B,0)),0)</f>
        <v>2</v>
      </c>
      <c r="M31" s="12" t="str">
        <f t="shared" si="1"/>
        <v>경영전략기획_G1</v>
      </c>
      <c r="N31" s="10"/>
    </row>
    <row r="32" spans="1:14" ht="21.75" customHeight="1">
      <c r="A32" s="24">
        <v>27</v>
      </c>
      <c r="B32" s="25" t="s">
        <v>244</v>
      </c>
      <c r="C32" s="10" t="s">
        <v>160</v>
      </c>
      <c r="D32" s="26" t="s">
        <v>189</v>
      </c>
      <c r="E32" s="26" t="s">
        <v>190</v>
      </c>
      <c r="F32" s="26" t="s">
        <v>191</v>
      </c>
      <c r="G32" s="27" t="s">
        <v>241</v>
      </c>
      <c r="H32" s="28" t="s">
        <v>230</v>
      </c>
      <c r="I32" s="25" t="s">
        <v>245</v>
      </c>
      <c r="J32" s="19">
        <f t="shared" ca="1" si="0"/>
        <v>6.1</v>
      </c>
      <c r="K32" s="29">
        <v>35000000</v>
      </c>
      <c r="L32" s="19">
        <f>IFERROR(INDEX('15_직원별책무매핑'!$E:$E,MATCH(B32,'15_직원별책무매핑'!$B:$B,0)),0)</f>
        <v>0</v>
      </c>
      <c r="M32" s="12" t="str">
        <f t="shared" si="1"/>
        <v>교육_G2</v>
      </c>
      <c r="N32" s="10"/>
    </row>
    <row r="33" spans="1:14" ht="21.75" customHeight="1">
      <c r="A33" s="24">
        <v>28</v>
      </c>
      <c r="B33" s="25" t="s">
        <v>246</v>
      </c>
      <c r="C33" s="10" t="s">
        <v>160</v>
      </c>
      <c r="D33" s="26" t="s">
        <v>174</v>
      </c>
      <c r="E33" s="10" t="s">
        <v>175</v>
      </c>
      <c r="F33" s="26" t="s">
        <v>176</v>
      </c>
      <c r="G33" s="27" t="s">
        <v>241</v>
      </c>
      <c r="H33" s="28" t="s">
        <v>242</v>
      </c>
      <c r="I33" s="25" t="s">
        <v>247</v>
      </c>
      <c r="J33" s="19">
        <f t="shared" ca="1" si="0"/>
        <v>6.1</v>
      </c>
      <c r="K33" s="29">
        <v>36000000</v>
      </c>
      <c r="L33" s="19">
        <f>IFERROR(INDEX('15_직원별책무매핑'!$E:$E,MATCH(B33,'15_직원별책무매핑'!$B:$B,0)),0)</f>
        <v>12</v>
      </c>
      <c r="M33" s="12" t="str">
        <f t="shared" si="1"/>
        <v>BIM컨설팅_G1</v>
      </c>
      <c r="N33" s="10"/>
    </row>
    <row r="34" spans="1:14" ht="21.75" customHeight="1">
      <c r="A34" s="24">
        <v>29</v>
      </c>
      <c r="B34" s="25" t="s">
        <v>248</v>
      </c>
      <c r="C34" s="10" t="s">
        <v>160</v>
      </c>
      <c r="D34" s="26" t="s">
        <v>174</v>
      </c>
      <c r="E34" s="10" t="s">
        <v>175</v>
      </c>
      <c r="F34" s="26" t="s">
        <v>176</v>
      </c>
      <c r="G34" s="27" t="s">
        <v>241</v>
      </c>
      <c r="H34" s="28" t="s">
        <v>242</v>
      </c>
      <c r="I34" s="25" t="s">
        <v>249</v>
      </c>
      <c r="J34" s="19">
        <f t="shared" ca="1" si="0"/>
        <v>5</v>
      </c>
      <c r="K34" s="29">
        <v>36000000</v>
      </c>
      <c r="L34" s="19">
        <f>IFERROR(INDEX('15_직원별책무매핑'!$E:$E,MATCH(B34,'15_직원별책무매핑'!$B:$B,0)),0)</f>
        <v>12</v>
      </c>
      <c r="M34" s="12" t="str">
        <f t="shared" si="1"/>
        <v>BIM컨설팅_G1</v>
      </c>
      <c r="N34" s="10"/>
    </row>
    <row r="35" spans="1:14" ht="21.75" customHeight="1">
      <c r="A35" s="24">
        <v>30</v>
      </c>
      <c r="B35" s="25" t="s">
        <v>250</v>
      </c>
      <c r="C35" s="10" t="s">
        <v>160</v>
      </c>
      <c r="D35" s="26" t="s">
        <v>174</v>
      </c>
      <c r="E35" s="10" t="s">
        <v>175</v>
      </c>
      <c r="F35" s="26" t="s">
        <v>176</v>
      </c>
      <c r="G35" s="27" t="s">
        <v>241</v>
      </c>
      <c r="H35" s="28" t="s">
        <v>242</v>
      </c>
      <c r="I35" s="25" t="s">
        <v>251</v>
      </c>
      <c r="J35" s="19">
        <f t="shared" ca="1" si="0"/>
        <v>4.9000000000000004</v>
      </c>
      <c r="K35" s="29">
        <v>36540000</v>
      </c>
      <c r="L35" s="19">
        <f>IFERROR(INDEX('15_직원별책무매핑'!$E:$E,MATCH(B35,'15_직원별책무매핑'!$B:$B,0)),0)</f>
        <v>7</v>
      </c>
      <c r="M35" s="12" t="str">
        <f t="shared" si="1"/>
        <v>BIM컨설팅_G1</v>
      </c>
      <c r="N35" s="10"/>
    </row>
    <row r="36" spans="1:14" ht="21.75" customHeight="1">
      <c r="A36" s="24">
        <v>31</v>
      </c>
      <c r="B36" s="25" t="s">
        <v>252</v>
      </c>
      <c r="C36" s="10" t="s">
        <v>160</v>
      </c>
      <c r="D36" s="26" t="s">
        <v>174</v>
      </c>
      <c r="E36" s="10" t="s">
        <v>175</v>
      </c>
      <c r="F36" s="26" t="s">
        <v>176</v>
      </c>
      <c r="G36" s="27" t="s">
        <v>241</v>
      </c>
      <c r="H36" s="28" t="s">
        <v>242</v>
      </c>
      <c r="I36" s="25" t="s">
        <v>253</v>
      </c>
      <c r="J36" s="19">
        <f t="shared" ca="1" si="0"/>
        <v>4.8</v>
      </c>
      <c r="K36" s="29">
        <v>37090000</v>
      </c>
      <c r="L36" s="19">
        <f>IFERROR(INDEX('15_직원별책무매핑'!$E:$E,MATCH(B36,'15_직원별책무매핑'!$B:$B,0)),0)</f>
        <v>13</v>
      </c>
      <c r="M36" s="12" t="str">
        <f t="shared" si="1"/>
        <v>BIM컨설팅_G1</v>
      </c>
      <c r="N36" s="10"/>
    </row>
    <row r="37" spans="1:14" ht="21.75" customHeight="1">
      <c r="A37" s="24">
        <v>32</v>
      </c>
      <c r="B37" s="25" t="s">
        <v>254</v>
      </c>
      <c r="C37" s="10" t="s">
        <v>160</v>
      </c>
      <c r="D37" s="26" t="s">
        <v>174</v>
      </c>
      <c r="E37" s="10" t="s">
        <v>175</v>
      </c>
      <c r="F37" s="26" t="s">
        <v>176</v>
      </c>
      <c r="G37" s="27" t="s">
        <v>255</v>
      </c>
      <c r="H37" s="28" t="s">
        <v>242</v>
      </c>
      <c r="I37" s="25" t="s">
        <v>256</v>
      </c>
      <c r="J37" s="19">
        <f t="shared" ca="1" si="0"/>
        <v>4.8</v>
      </c>
      <c r="K37" s="29">
        <v>32000000</v>
      </c>
      <c r="L37" s="19">
        <f>IFERROR(INDEX('15_직원별책무매핑'!$E:$E,MATCH(B37,'15_직원별책무매핑'!$B:$B,0)),0)</f>
        <v>13</v>
      </c>
      <c r="M37" s="12" t="str">
        <f t="shared" si="1"/>
        <v>BIM컨설팅_G1</v>
      </c>
      <c r="N37" s="10"/>
    </row>
    <row r="38" spans="1:14" ht="21.75" customHeight="1">
      <c r="A38" s="24">
        <v>33</v>
      </c>
      <c r="B38" s="25" t="s">
        <v>257</v>
      </c>
      <c r="C38" s="10" t="s">
        <v>160</v>
      </c>
      <c r="D38" s="26" t="s">
        <v>174</v>
      </c>
      <c r="E38" s="10" t="s">
        <v>175</v>
      </c>
      <c r="F38" s="26" t="s">
        <v>176</v>
      </c>
      <c r="G38" s="27" t="s">
        <v>255</v>
      </c>
      <c r="H38" s="28" t="s">
        <v>242</v>
      </c>
      <c r="I38" s="25" t="s">
        <v>258</v>
      </c>
      <c r="J38" s="19">
        <f t="shared" ca="1" si="0"/>
        <v>3.7</v>
      </c>
      <c r="K38" s="29">
        <v>32000000</v>
      </c>
      <c r="L38" s="19">
        <f>IFERROR(INDEX('15_직원별책무매핑'!$E:$E,MATCH(B38,'15_직원별책무매핑'!$B:$B,0)),0)</f>
        <v>6</v>
      </c>
      <c r="M38" s="12" t="str">
        <f t="shared" si="1"/>
        <v>BIM컨설팅_G1</v>
      </c>
      <c r="N38" s="10"/>
    </row>
    <row r="39" spans="1:14" ht="21.75" customHeight="1">
      <c r="A39" s="24">
        <v>34</v>
      </c>
      <c r="B39" s="25" t="s">
        <v>259</v>
      </c>
      <c r="C39" s="10" t="s">
        <v>160</v>
      </c>
      <c r="D39" s="26" t="s">
        <v>174</v>
      </c>
      <c r="E39" s="10" t="s">
        <v>175</v>
      </c>
      <c r="F39" s="26" t="s">
        <v>176</v>
      </c>
      <c r="G39" s="27" t="s">
        <v>255</v>
      </c>
      <c r="H39" s="28" t="s">
        <v>242</v>
      </c>
      <c r="I39" s="25" t="s">
        <v>260</v>
      </c>
      <c r="J39" s="19">
        <f t="shared" ca="1" si="0"/>
        <v>3.6</v>
      </c>
      <c r="K39" s="29">
        <v>32000000</v>
      </c>
      <c r="L39" s="19">
        <f>IFERROR(INDEX('15_직원별책무매핑'!$E:$E,MATCH(B39,'15_직원별책무매핑'!$B:$B,0)),0)</f>
        <v>6</v>
      </c>
      <c r="M39" s="12" t="str">
        <f t="shared" si="1"/>
        <v>BIM컨설팅_G1</v>
      </c>
      <c r="N39" s="10"/>
    </row>
    <row r="40" spans="1:14">
      <c r="A40" s="24">
        <v>35</v>
      </c>
      <c r="B40" s="30"/>
      <c r="C40" s="30"/>
      <c r="D40" s="30"/>
      <c r="E40" s="30"/>
      <c r="F40" s="30"/>
      <c r="G40" s="30"/>
      <c r="H40" s="28"/>
      <c r="I40" s="30"/>
      <c r="J40" s="31" t="str">
        <f t="shared" ref="J40:J55" ca="1" si="2">IFERROR(IF(I40="","",ROUND((TODAY()-DATEVALUE(I40))/365,1)),"")</f>
        <v/>
      </c>
      <c r="K40" s="30"/>
      <c r="L40" s="31" t="str">
        <f>IF(B40="","",IFERROR(INDEX('15_직원별책무매핑'!$E:$E,MATCH(B40,'15_직원별책무매핑'!$B:$B,0)),0))</f>
        <v/>
      </c>
      <c r="M40" s="32" t="str">
        <f t="shared" ref="M40:M55" si="3">IF(B40="","",E40&amp;"_"&amp;H40)</f>
        <v/>
      </c>
      <c r="N40" s="30"/>
    </row>
    <row r="41" spans="1:14">
      <c r="A41" s="24">
        <v>36</v>
      </c>
      <c r="B41" s="30"/>
      <c r="C41" s="30"/>
      <c r="D41" s="30"/>
      <c r="E41" s="30"/>
      <c r="F41" s="30"/>
      <c r="G41" s="30"/>
      <c r="H41" s="28"/>
      <c r="I41" s="30"/>
      <c r="J41" s="31" t="str">
        <f t="shared" ca="1" si="2"/>
        <v/>
      </c>
      <c r="K41" s="30"/>
      <c r="L41" s="31" t="str">
        <f>IF(B41="","",IFERROR(INDEX('15_직원별책무매핑'!$E:$E,MATCH(B41,'15_직원별책무매핑'!$B:$B,0)),0))</f>
        <v/>
      </c>
      <c r="M41" s="32" t="str">
        <f t="shared" si="3"/>
        <v/>
      </c>
      <c r="N41" s="30"/>
    </row>
    <row r="42" spans="1:14">
      <c r="A42" s="24">
        <v>37</v>
      </c>
      <c r="B42" s="30"/>
      <c r="C42" s="30"/>
      <c r="D42" s="30"/>
      <c r="E42" s="30"/>
      <c r="F42" s="30"/>
      <c r="G42" s="30"/>
      <c r="H42" s="28"/>
      <c r="I42" s="30"/>
      <c r="J42" s="31" t="str">
        <f t="shared" ca="1" si="2"/>
        <v/>
      </c>
      <c r="K42" s="30"/>
      <c r="L42" s="31" t="str">
        <f>IF(B42="","",IFERROR(INDEX('15_직원별책무매핑'!$E:$E,MATCH(B42,'15_직원별책무매핑'!$B:$B,0)),0))</f>
        <v/>
      </c>
      <c r="M42" s="32" t="str">
        <f t="shared" si="3"/>
        <v/>
      </c>
      <c r="N42" s="30"/>
    </row>
    <row r="43" spans="1:14" ht="33.75" customHeight="1">
      <c r="A43" s="24">
        <v>38</v>
      </c>
      <c r="B43" s="33"/>
      <c r="C43" s="30"/>
      <c r="D43" s="30"/>
      <c r="E43" s="30"/>
      <c r="F43" s="30"/>
      <c r="G43" s="30"/>
      <c r="H43" s="28"/>
      <c r="I43" s="30"/>
      <c r="J43" s="31" t="str">
        <f t="shared" ca="1" si="2"/>
        <v/>
      </c>
      <c r="K43" s="30"/>
      <c r="L43" s="31" t="str">
        <f>IF(B43="","",IFERROR(INDEX('15_직원별책무매핑'!$E:$E,MATCH(B43,'15_직원별책무매핑'!$B:$B,0)),0))</f>
        <v/>
      </c>
      <c r="M43" s="32" t="str">
        <f t="shared" si="3"/>
        <v/>
      </c>
      <c r="N43" s="30"/>
    </row>
    <row r="44" spans="1:14">
      <c r="A44" s="24">
        <v>39</v>
      </c>
      <c r="B44" s="10"/>
      <c r="C44" s="30"/>
      <c r="D44" s="30"/>
      <c r="E44" s="30"/>
      <c r="F44" s="30"/>
      <c r="G44" s="30"/>
      <c r="H44" s="28"/>
      <c r="I44" s="30"/>
      <c r="J44" s="31" t="str">
        <f t="shared" ca="1" si="2"/>
        <v/>
      </c>
      <c r="K44" s="30"/>
      <c r="L44" s="31" t="str">
        <f>IF(B44="","",IFERROR(INDEX('15_직원별책무매핑'!$E:$E,MATCH(B44,'15_직원별책무매핑'!$B:$B,0)),0))</f>
        <v/>
      </c>
      <c r="M44" s="32" t="str">
        <f t="shared" si="3"/>
        <v/>
      </c>
      <c r="N44" s="30"/>
    </row>
    <row r="45" spans="1:14" ht="33.75" customHeight="1">
      <c r="A45" s="24">
        <v>40</v>
      </c>
      <c r="B45" s="10"/>
      <c r="C45" s="30"/>
      <c r="D45" s="30"/>
      <c r="E45" s="30"/>
      <c r="F45" s="30"/>
      <c r="G45" s="30"/>
      <c r="H45" s="28"/>
      <c r="I45" s="30"/>
      <c r="J45" s="31" t="str">
        <f t="shared" ca="1" si="2"/>
        <v/>
      </c>
      <c r="K45" s="30"/>
      <c r="L45" s="31" t="str">
        <f>IF(B45="","",IFERROR(INDEX('15_직원별책무매핑'!$E:$E,MATCH(B45,'15_직원별책무매핑'!$B:$B,0)),0))</f>
        <v/>
      </c>
      <c r="M45" s="32" t="str">
        <f t="shared" si="3"/>
        <v/>
      </c>
      <c r="N45" s="30"/>
    </row>
    <row r="46" spans="1:14">
      <c r="A46" s="24">
        <v>41</v>
      </c>
      <c r="B46" s="10"/>
      <c r="C46" s="30"/>
      <c r="D46" s="30"/>
      <c r="E46" s="30"/>
      <c r="F46" s="30"/>
      <c r="G46" s="30"/>
      <c r="H46" s="28"/>
      <c r="I46" s="30"/>
      <c r="J46" s="31" t="str">
        <f t="shared" ca="1" si="2"/>
        <v/>
      </c>
      <c r="K46" s="30"/>
      <c r="L46" s="31" t="str">
        <f>IF(B46="","",IFERROR(INDEX('15_직원별책무매핑'!$E:$E,MATCH(B46,'15_직원별책무매핑'!$B:$B,0)),0))</f>
        <v/>
      </c>
      <c r="M46" s="32" t="str">
        <f t="shared" si="3"/>
        <v/>
      </c>
      <c r="N46" s="30"/>
    </row>
    <row r="47" spans="1:14">
      <c r="A47" s="24">
        <v>42</v>
      </c>
      <c r="B47" s="10"/>
      <c r="C47" s="30"/>
      <c r="D47" s="30"/>
      <c r="E47" s="30"/>
      <c r="F47" s="30"/>
      <c r="G47" s="30"/>
      <c r="H47" s="28"/>
      <c r="I47" s="30"/>
      <c r="J47" s="31" t="str">
        <f t="shared" ca="1" si="2"/>
        <v/>
      </c>
      <c r="K47" s="30"/>
      <c r="L47" s="31" t="str">
        <f>IF(B47="","",IFERROR(INDEX('15_직원별책무매핑'!$E:$E,MATCH(B47,'15_직원별책무매핑'!$B:$B,0)),0))</f>
        <v/>
      </c>
      <c r="M47" s="32" t="str">
        <f t="shared" si="3"/>
        <v/>
      </c>
      <c r="N47" s="30"/>
    </row>
    <row r="48" spans="1:14">
      <c r="A48" s="24">
        <v>43</v>
      </c>
      <c r="B48" s="10"/>
      <c r="C48" s="30"/>
      <c r="D48" s="30"/>
      <c r="E48" s="30"/>
      <c r="F48" s="30"/>
      <c r="G48" s="30"/>
      <c r="H48" s="28"/>
      <c r="I48" s="30"/>
      <c r="J48" s="31" t="str">
        <f t="shared" ca="1" si="2"/>
        <v/>
      </c>
      <c r="K48" s="30"/>
      <c r="L48" s="31" t="str">
        <f>IF(B48="","",IFERROR(INDEX('15_직원별책무매핑'!$E:$E,MATCH(B48,'15_직원별책무매핑'!$B:$B,0)),0))</f>
        <v/>
      </c>
      <c r="M48" s="32" t="str">
        <f t="shared" si="3"/>
        <v/>
      </c>
      <c r="N48" s="30"/>
    </row>
    <row r="49" spans="1:14">
      <c r="A49" s="24">
        <v>44</v>
      </c>
      <c r="B49" s="10"/>
      <c r="C49" s="30"/>
      <c r="D49" s="30"/>
      <c r="E49" s="30"/>
      <c r="F49" s="30"/>
      <c r="G49" s="30"/>
      <c r="H49" s="28"/>
      <c r="I49" s="30"/>
      <c r="J49" s="31" t="str">
        <f t="shared" ca="1" si="2"/>
        <v/>
      </c>
      <c r="K49" s="30"/>
      <c r="L49" s="31" t="str">
        <f>IF(B49="","",IFERROR(INDEX('15_직원별책무매핑'!$E:$E,MATCH(B49,'15_직원별책무매핑'!$B:$B,0)),0))</f>
        <v/>
      </c>
      <c r="M49" s="32" t="str">
        <f t="shared" si="3"/>
        <v/>
      </c>
      <c r="N49" s="30"/>
    </row>
    <row r="50" spans="1:14">
      <c r="A50" s="24">
        <v>45</v>
      </c>
      <c r="B50" s="10"/>
      <c r="C50" s="30"/>
      <c r="D50" s="30"/>
      <c r="E50" s="30"/>
      <c r="F50" s="30"/>
      <c r="G50" s="30"/>
      <c r="H50" s="28"/>
      <c r="I50" s="30"/>
      <c r="J50" s="31" t="str">
        <f t="shared" ca="1" si="2"/>
        <v/>
      </c>
      <c r="K50" s="30"/>
      <c r="L50" s="31" t="str">
        <f>IF(B50="","",IFERROR(INDEX('15_직원별책무매핑'!$E:$E,MATCH(B50,'15_직원별책무매핑'!$B:$B,0)),0))</f>
        <v/>
      </c>
      <c r="M50" s="32" t="str">
        <f t="shared" si="3"/>
        <v/>
      </c>
      <c r="N50" s="30"/>
    </row>
    <row r="51" spans="1:14">
      <c r="A51" s="24">
        <v>46</v>
      </c>
      <c r="B51" s="30"/>
      <c r="C51" s="30"/>
      <c r="D51" s="30"/>
      <c r="E51" s="30"/>
      <c r="F51" s="30"/>
      <c r="G51" s="30"/>
      <c r="H51" s="28"/>
      <c r="I51" s="30"/>
      <c r="J51" s="31" t="str">
        <f t="shared" ca="1" si="2"/>
        <v/>
      </c>
      <c r="K51" s="30"/>
      <c r="L51" s="31" t="str">
        <f>IF(B51="","",IFERROR(INDEX('15_직원별책무매핑'!$E:$E,MATCH(B51,'15_직원별책무매핑'!$B:$B,0)),0))</f>
        <v/>
      </c>
      <c r="M51" s="32" t="str">
        <f t="shared" si="3"/>
        <v/>
      </c>
      <c r="N51" s="30"/>
    </row>
    <row r="52" spans="1:14">
      <c r="A52" s="24">
        <v>47</v>
      </c>
      <c r="B52" s="30"/>
      <c r="C52" s="30"/>
      <c r="D52" s="30"/>
      <c r="E52" s="30"/>
      <c r="F52" s="30"/>
      <c r="G52" s="30"/>
      <c r="H52" s="28"/>
      <c r="I52" s="30"/>
      <c r="J52" s="31" t="str">
        <f t="shared" ca="1" si="2"/>
        <v/>
      </c>
      <c r="K52" s="30"/>
      <c r="L52" s="31" t="str">
        <f>IF(B52="","",IFERROR(INDEX('15_직원별책무매핑'!$E:$E,MATCH(B52,'15_직원별책무매핑'!$B:$B,0)),0))</f>
        <v/>
      </c>
      <c r="M52" s="32" t="str">
        <f t="shared" si="3"/>
        <v/>
      </c>
      <c r="N52" s="30"/>
    </row>
    <row r="53" spans="1:14">
      <c r="A53" s="24">
        <v>48</v>
      </c>
      <c r="B53" s="30"/>
      <c r="C53" s="30"/>
      <c r="D53" s="30"/>
      <c r="E53" s="30"/>
      <c r="F53" s="30"/>
      <c r="G53" s="30"/>
      <c r="H53" s="28"/>
      <c r="I53" s="30"/>
      <c r="J53" s="31" t="str">
        <f t="shared" ca="1" si="2"/>
        <v/>
      </c>
      <c r="K53" s="30"/>
      <c r="L53" s="31" t="str">
        <f>IF(B53="","",IFERROR(INDEX('15_직원별책무매핑'!$E:$E,MATCH(B53,'15_직원별책무매핑'!$B:$B,0)),0))</f>
        <v/>
      </c>
      <c r="M53" s="32" t="str">
        <f t="shared" si="3"/>
        <v/>
      </c>
      <c r="N53" s="30"/>
    </row>
    <row r="54" spans="1:14">
      <c r="A54" s="24">
        <v>49</v>
      </c>
      <c r="B54" s="30"/>
      <c r="C54" s="30"/>
      <c r="D54" s="30"/>
      <c r="E54" s="30"/>
      <c r="F54" s="30"/>
      <c r="G54" s="30"/>
      <c r="H54" s="28"/>
      <c r="I54" s="30"/>
      <c r="J54" s="31" t="str">
        <f t="shared" ca="1" si="2"/>
        <v/>
      </c>
      <c r="K54" s="30"/>
      <c r="L54" s="31" t="str">
        <f>IF(B54="","",IFERROR(INDEX('15_직원별책무매핑'!$E:$E,MATCH(B54,'15_직원별책무매핑'!$B:$B,0)),0))</f>
        <v/>
      </c>
      <c r="M54" s="32" t="str">
        <f t="shared" si="3"/>
        <v/>
      </c>
      <c r="N54" s="30"/>
    </row>
    <row r="55" spans="1:14">
      <c r="A55" s="24">
        <v>50</v>
      </c>
      <c r="B55" s="30"/>
      <c r="C55" s="30"/>
      <c r="D55" s="30"/>
      <c r="E55" s="30"/>
      <c r="F55" s="30"/>
      <c r="G55" s="30"/>
      <c r="H55" s="28"/>
      <c r="I55" s="30"/>
      <c r="J55" s="31" t="str">
        <f t="shared" ca="1" si="2"/>
        <v/>
      </c>
      <c r="K55" s="30"/>
      <c r="L55" s="31" t="str">
        <f>IF(B55="","",IFERROR(INDEX('15_직원별책무매핑'!$E:$E,MATCH(B55,'15_직원별책무매핑'!$B:$B,0)),0))</f>
        <v/>
      </c>
      <c r="M55" s="32" t="str">
        <f t="shared" si="3"/>
        <v/>
      </c>
      <c r="N55" s="30"/>
    </row>
  </sheetData>
  <mergeCells count="2">
    <mergeCell ref="A1:N1"/>
    <mergeCell ref="A2:N2"/>
  </mergeCells>
  <phoneticPr fontId="28" type="noConversion"/>
  <dataValidations count="1">
    <dataValidation type="list" sqref="H6:H85" xr:uid="{00000000-0002-0000-0200-000000000000}">
      <formula1>"G6,G5-M,G5-S,G4,G3,G2,G1"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G68"/>
  <sheetViews>
    <sheetView topLeftCell="A16" zoomScaleNormal="100" workbookViewId="0">
      <selection activeCell="D51" sqref="D51:G51"/>
    </sheetView>
  </sheetViews>
  <sheetFormatPr defaultColWidth="8.5625" defaultRowHeight="16.899999999999999"/>
  <cols>
    <col min="1" max="1" width="28" customWidth="1"/>
    <col min="2" max="6" width="14" customWidth="1"/>
    <col min="7" max="7" width="25.6875" customWidth="1"/>
  </cols>
  <sheetData>
    <row r="1" spans="1:7" ht="30" customHeight="1">
      <c r="A1" s="109" t="s">
        <v>261</v>
      </c>
      <c r="B1" s="109"/>
      <c r="C1" s="109"/>
      <c r="D1" s="109"/>
      <c r="E1" s="109"/>
      <c r="F1" s="109"/>
      <c r="G1" s="109"/>
    </row>
    <row r="2" spans="1:7" ht="21.75" customHeight="1">
      <c r="A2" s="88" t="s">
        <v>262</v>
      </c>
      <c r="B2" s="88"/>
      <c r="C2" s="88"/>
      <c r="D2" s="88"/>
      <c r="E2" s="88"/>
      <c r="F2" s="88"/>
      <c r="G2" s="88"/>
    </row>
    <row r="4" spans="1:7" ht="27.75" customHeight="1">
      <c r="A4" s="119" t="s">
        <v>263</v>
      </c>
      <c r="B4" s="119"/>
      <c r="C4" s="119"/>
      <c r="D4" s="119"/>
      <c r="E4" s="119"/>
      <c r="F4" s="119"/>
      <c r="G4" s="119"/>
    </row>
    <row r="5" spans="1:7" ht="27.75" customHeight="1">
      <c r="A5" s="3" t="s">
        <v>264</v>
      </c>
      <c r="B5" s="34" t="s">
        <v>265</v>
      </c>
      <c r="C5" s="102" t="s">
        <v>266</v>
      </c>
      <c r="D5" s="102"/>
      <c r="E5" s="102"/>
      <c r="F5" s="102"/>
      <c r="G5" s="102"/>
    </row>
    <row r="6" spans="1:7" ht="33.75" customHeight="1">
      <c r="A6" s="18" t="s">
        <v>267</v>
      </c>
      <c r="B6" s="35" t="s">
        <v>268</v>
      </c>
      <c r="C6" s="120" t="s">
        <v>269</v>
      </c>
      <c r="D6" s="120"/>
      <c r="E6" s="120"/>
      <c r="F6" s="120"/>
      <c r="G6" s="120"/>
    </row>
    <row r="7" spans="1:7" ht="24" customHeight="1">
      <c r="A7" s="3" t="s">
        <v>270</v>
      </c>
      <c r="B7" s="36">
        <v>0.5</v>
      </c>
      <c r="C7" s="105" t="s">
        <v>271</v>
      </c>
      <c r="D7" s="105"/>
      <c r="E7" s="105"/>
      <c r="F7" s="105"/>
      <c r="G7" s="105"/>
    </row>
    <row r="8" spans="1:7" ht="24" customHeight="1">
      <c r="A8" s="3" t="s">
        <v>272</v>
      </c>
      <c r="B8" s="37">
        <f>1-B7</f>
        <v>0.5</v>
      </c>
      <c r="C8" s="105" t="s">
        <v>273</v>
      </c>
      <c r="D8" s="105"/>
      <c r="E8" s="105"/>
      <c r="F8" s="105"/>
      <c r="G8" s="105"/>
    </row>
    <row r="9" spans="1:7" ht="46.5" customHeight="1">
      <c r="A9" s="117" t="s">
        <v>274</v>
      </c>
      <c r="B9" s="117"/>
      <c r="C9" s="117"/>
      <c r="D9" s="117"/>
      <c r="E9" s="117"/>
      <c r="F9" s="117"/>
      <c r="G9" s="117"/>
    </row>
    <row r="10" spans="1:7" ht="24" customHeight="1">
      <c r="A10" s="23" t="s">
        <v>275</v>
      </c>
      <c r="B10" s="38" t="s">
        <v>131</v>
      </c>
      <c r="C10" s="38" t="s">
        <v>132</v>
      </c>
      <c r="D10" s="38" t="s">
        <v>133</v>
      </c>
      <c r="E10" s="38" t="s">
        <v>134</v>
      </c>
      <c r="F10" s="38" t="s">
        <v>135</v>
      </c>
      <c r="G10" s="39" t="s">
        <v>276</v>
      </c>
    </row>
    <row r="11" spans="1:7" ht="24" customHeight="1">
      <c r="A11" s="3" t="s">
        <v>277</v>
      </c>
      <c r="B11" s="36">
        <v>0.1</v>
      </c>
      <c r="C11" s="36">
        <v>0.15</v>
      </c>
      <c r="D11" s="36">
        <v>0.5</v>
      </c>
      <c r="E11" s="36">
        <v>0.15</v>
      </c>
      <c r="F11" s="36">
        <v>0.1</v>
      </c>
      <c r="G11" s="37">
        <f>SUM(B11:F11)</f>
        <v>1</v>
      </c>
    </row>
    <row r="12" spans="1:7" ht="21.75" customHeight="1">
      <c r="A12" s="118" t="str">
        <f>IF(G11=1,"✓ 강제분포 합계 100% OK","✗ 강제분포 합계 ≠ 100% — 수정 필요")</f>
        <v>✓ 강제분포 합계 100% OK</v>
      </c>
      <c r="B12" s="118"/>
      <c r="C12" s="118"/>
      <c r="D12" s="118"/>
      <c r="E12" s="118"/>
      <c r="F12" s="118"/>
      <c r="G12" s="118"/>
    </row>
    <row r="14" spans="1:7" ht="24" customHeight="1">
      <c r="A14" s="107" t="s">
        <v>278</v>
      </c>
      <c r="B14" s="107"/>
      <c r="C14" s="107"/>
      <c r="D14" s="107"/>
      <c r="E14" s="107"/>
      <c r="F14" s="107"/>
      <c r="G14" s="107"/>
    </row>
    <row r="15" spans="1:7" ht="27.75" customHeight="1">
      <c r="A15" s="3" t="s">
        <v>152</v>
      </c>
      <c r="B15" s="3" t="s">
        <v>279</v>
      </c>
      <c r="C15" s="3" t="s">
        <v>280</v>
      </c>
      <c r="D15" s="3" t="s">
        <v>281</v>
      </c>
      <c r="E15" s="3" t="s">
        <v>276</v>
      </c>
      <c r="F15" s="3" t="s">
        <v>282</v>
      </c>
      <c r="G15" s="3" t="s">
        <v>283</v>
      </c>
    </row>
    <row r="16" spans="1:7" ht="33.75" customHeight="1">
      <c r="A16" s="41" t="s">
        <v>165</v>
      </c>
      <c r="B16" s="42">
        <v>0.4</v>
      </c>
      <c r="C16" s="42">
        <v>0.25</v>
      </c>
      <c r="D16" s="42">
        <v>0.35</v>
      </c>
      <c r="E16" s="43">
        <f t="shared" ref="E16:E22" si="0">B16+C16+D16</f>
        <v>1</v>
      </c>
      <c r="F16" s="19" t="str">
        <f t="shared" ref="F16:F22" si="1">IF(E16=1,"✓ OK","✗ ≠100%")</f>
        <v>✓ OK</v>
      </c>
      <c r="G16" s="44" t="s">
        <v>284</v>
      </c>
    </row>
    <row r="17" spans="1:7">
      <c r="A17" s="41" t="s">
        <v>193</v>
      </c>
      <c r="B17" s="42">
        <v>0.35</v>
      </c>
      <c r="C17" s="42">
        <v>0.3</v>
      </c>
      <c r="D17" s="42">
        <v>0.35</v>
      </c>
      <c r="E17" s="43">
        <f t="shared" si="0"/>
        <v>0.99999999999999989</v>
      </c>
      <c r="F17" s="19" t="str">
        <f t="shared" si="1"/>
        <v>✓ OK</v>
      </c>
      <c r="G17" s="44" t="s">
        <v>285</v>
      </c>
    </row>
    <row r="18" spans="1:7" ht="33.75" customHeight="1">
      <c r="A18" s="41" t="s">
        <v>201</v>
      </c>
      <c r="B18" s="42">
        <v>0.3</v>
      </c>
      <c r="C18" s="42">
        <v>0.3</v>
      </c>
      <c r="D18" s="42">
        <v>0.4</v>
      </c>
      <c r="E18" s="43">
        <f t="shared" si="0"/>
        <v>1</v>
      </c>
      <c r="F18" s="19" t="str">
        <f t="shared" si="1"/>
        <v>✓ OK</v>
      </c>
      <c r="G18" s="44" t="s">
        <v>286</v>
      </c>
    </row>
    <row r="19" spans="1:7">
      <c r="A19" s="41" t="s">
        <v>219</v>
      </c>
      <c r="B19" s="42">
        <v>0.3</v>
      </c>
      <c r="C19" s="42">
        <v>0.3</v>
      </c>
      <c r="D19" s="42">
        <v>0.4</v>
      </c>
      <c r="E19" s="43">
        <f t="shared" si="0"/>
        <v>1</v>
      </c>
      <c r="F19" s="19" t="str">
        <f t="shared" si="1"/>
        <v>✓ OK</v>
      </c>
      <c r="G19" s="44" t="s">
        <v>287</v>
      </c>
    </row>
    <row r="20" spans="1:7">
      <c r="A20" s="41" t="s">
        <v>224</v>
      </c>
      <c r="B20" s="42">
        <v>0.25</v>
      </c>
      <c r="C20" s="42">
        <v>0.3</v>
      </c>
      <c r="D20" s="42">
        <v>0.45</v>
      </c>
      <c r="E20" s="43">
        <f t="shared" si="0"/>
        <v>1</v>
      </c>
      <c r="F20" s="19" t="str">
        <f t="shared" si="1"/>
        <v>✓ OK</v>
      </c>
      <c r="G20" s="44" t="s">
        <v>288</v>
      </c>
    </row>
    <row r="21" spans="1:7">
      <c r="A21" s="41" t="s">
        <v>230</v>
      </c>
      <c r="B21" s="42">
        <v>0.2</v>
      </c>
      <c r="C21" s="42">
        <v>0.35</v>
      </c>
      <c r="D21" s="42">
        <v>0.45</v>
      </c>
      <c r="E21" s="43">
        <f t="shared" si="0"/>
        <v>1</v>
      </c>
      <c r="F21" s="19" t="str">
        <f t="shared" si="1"/>
        <v>✓ OK</v>
      </c>
      <c r="G21" s="44" t="s">
        <v>289</v>
      </c>
    </row>
    <row r="22" spans="1:7">
      <c r="A22" s="41" t="s">
        <v>242</v>
      </c>
      <c r="B22" s="42">
        <v>0.15</v>
      </c>
      <c r="C22" s="42">
        <v>0.35</v>
      </c>
      <c r="D22" s="42">
        <v>0.5</v>
      </c>
      <c r="E22" s="43">
        <f t="shared" si="0"/>
        <v>1</v>
      </c>
      <c r="F22" s="19" t="str">
        <f t="shared" si="1"/>
        <v>✓ OK</v>
      </c>
      <c r="G22" s="44" t="s">
        <v>290</v>
      </c>
    </row>
    <row r="24" spans="1:7" ht="24" customHeight="1">
      <c r="A24" s="107" t="s">
        <v>291</v>
      </c>
      <c r="B24" s="107"/>
      <c r="C24" s="107"/>
      <c r="D24" s="107"/>
      <c r="E24" s="107"/>
      <c r="F24" s="107"/>
      <c r="G24" s="107"/>
    </row>
    <row r="25" spans="1:7">
      <c r="A25" s="3" t="s">
        <v>292</v>
      </c>
      <c r="B25" s="21" t="s">
        <v>131</v>
      </c>
      <c r="C25" s="21" t="s">
        <v>132</v>
      </c>
      <c r="D25" s="21" t="s">
        <v>133</v>
      </c>
      <c r="E25" s="21" t="s">
        <v>134</v>
      </c>
      <c r="F25" s="21" t="s">
        <v>135</v>
      </c>
      <c r="G25" s="3" t="s">
        <v>158</v>
      </c>
    </row>
    <row r="26" spans="1:7" ht="33.75" customHeight="1">
      <c r="A26" s="11" t="s">
        <v>293</v>
      </c>
      <c r="B26" s="45">
        <v>0.06</v>
      </c>
      <c r="C26" s="45">
        <v>0.05</v>
      </c>
      <c r="D26" s="45">
        <v>0.04</v>
      </c>
      <c r="E26" s="45">
        <v>0.03</v>
      </c>
      <c r="F26" s="45">
        <v>0.02</v>
      </c>
      <c r="G26" s="46" t="s">
        <v>294</v>
      </c>
    </row>
    <row r="27" spans="1:7" ht="33.75" customHeight="1">
      <c r="A27" s="11" t="s">
        <v>295</v>
      </c>
      <c r="B27" s="42">
        <v>0.2</v>
      </c>
      <c r="C27" s="42">
        <v>0.15</v>
      </c>
      <c r="D27" s="42">
        <v>0.1</v>
      </c>
      <c r="E27" s="42">
        <v>0.05</v>
      </c>
      <c r="F27" s="42">
        <v>0</v>
      </c>
      <c r="G27" s="46" t="s">
        <v>296</v>
      </c>
    </row>
    <row r="28" spans="1:7" ht="33.75" customHeight="1">
      <c r="A28" s="11" t="s">
        <v>297</v>
      </c>
      <c r="B28" s="45">
        <v>0.01</v>
      </c>
      <c r="C28" s="114" t="s">
        <v>298</v>
      </c>
      <c r="D28" s="114"/>
      <c r="E28" s="114"/>
      <c r="F28" s="114"/>
      <c r="G28" s="46" t="s">
        <v>299</v>
      </c>
    </row>
    <row r="30" spans="1:7" ht="24" customHeight="1">
      <c r="A30" s="107" t="s">
        <v>300</v>
      </c>
      <c r="B30" s="107"/>
      <c r="C30" s="107"/>
      <c r="D30" s="107"/>
      <c r="E30" s="107"/>
      <c r="F30" s="107"/>
      <c r="G30" s="107"/>
    </row>
    <row r="31" spans="1:7" ht="27.75" customHeight="1">
      <c r="A31" s="3" t="s">
        <v>152</v>
      </c>
      <c r="B31" s="3" t="s">
        <v>301</v>
      </c>
      <c r="C31" s="3" t="s">
        <v>302</v>
      </c>
      <c r="D31" s="3" t="s">
        <v>303</v>
      </c>
      <c r="E31" s="21" t="s">
        <v>304</v>
      </c>
    </row>
    <row r="32" spans="1:7">
      <c r="A32" s="41" t="s">
        <v>165</v>
      </c>
      <c r="B32" s="29">
        <v>58000000</v>
      </c>
      <c r="C32" s="29">
        <v>69000000</v>
      </c>
      <c r="D32" s="29">
        <v>80000000</v>
      </c>
      <c r="E32" s="47">
        <f t="shared" ref="E32:E38" si="2">(D32-B32)/B32</f>
        <v>0.37931034482758619</v>
      </c>
    </row>
    <row r="33" spans="1:7">
      <c r="A33" s="41" t="s">
        <v>193</v>
      </c>
      <c r="B33" s="29">
        <v>53000000</v>
      </c>
      <c r="C33" s="29">
        <v>63000000</v>
      </c>
      <c r="D33" s="29">
        <v>73000000</v>
      </c>
      <c r="E33" s="47">
        <f t="shared" si="2"/>
        <v>0.37735849056603776</v>
      </c>
    </row>
    <row r="34" spans="1:7">
      <c r="A34" s="41" t="s">
        <v>201</v>
      </c>
      <c r="B34" s="29">
        <v>53000000</v>
      </c>
      <c r="C34" s="29">
        <v>63000000</v>
      </c>
      <c r="D34" s="29">
        <v>73000000</v>
      </c>
      <c r="E34" s="47">
        <f t="shared" si="2"/>
        <v>0.37735849056603776</v>
      </c>
    </row>
    <row r="35" spans="1:7">
      <c r="A35" s="41" t="s">
        <v>219</v>
      </c>
      <c r="B35" s="29">
        <v>49000000</v>
      </c>
      <c r="C35" s="29">
        <v>57500000</v>
      </c>
      <c r="D35" s="29">
        <v>66000000</v>
      </c>
      <c r="E35" s="47">
        <f t="shared" si="2"/>
        <v>0.34693877551020408</v>
      </c>
    </row>
    <row r="36" spans="1:7">
      <c r="A36" s="41" t="s">
        <v>224</v>
      </c>
      <c r="B36" s="29">
        <v>42000000</v>
      </c>
      <c r="C36" s="29">
        <v>49500000</v>
      </c>
      <c r="D36" s="29">
        <v>57000000</v>
      </c>
      <c r="E36" s="47">
        <f t="shared" si="2"/>
        <v>0.35714285714285715</v>
      </c>
    </row>
    <row r="37" spans="1:7">
      <c r="A37" s="41" t="s">
        <v>230</v>
      </c>
      <c r="B37" s="29">
        <v>36000000</v>
      </c>
      <c r="C37" s="29">
        <v>42500000</v>
      </c>
      <c r="D37" s="29">
        <v>49000000</v>
      </c>
      <c r="E37" s="47">
        <f t="shared" si="2"/>
        <v>0.3611111111111111</v>
      </c>
    </row>
    <row r="38" spans="1:7">
      <c r="A38" s="41" t="s">
        <v>242</v>
      </c>
      <c r="B38" s="29">
        <v>33000000</v>
      </c>
      <c r="C38" s="29">
        <v>38500000</v>
      </c>
      <c r="D38" s="29">
        <v>44000000</v>
      </c>
      <c r="E38" s="47">
        <f t="shared" si="2"/>
        <v>0.33333333333333331</v>
      </c>
    </row>
    <row r="40" spans="1:7" ht="24" customHeight="1">
      <c r="A40" s="107" t="s">
        <v>305</v>
      </c>
      <c r="B40" s="107"/>
      <c r="C40" s="107"/>
      <c r="D40" s="107"/>
      <c r="E40" s="107"/>
      <c r="F40" s="107"/>
      <c r="G40" s="107"/>
    </row>
    <row r="41" spans="1:7" ht="27.75" customHeight="1">
      <c r="A41" s="21" t="s">
        <v>145</v>
      </c>
      <c r="B41" s="3" t="s">
        <v>306</v>
      </c>
      <c r="C41" s="3" t="s">
        <v>307</v>
      </c>
      <c r="D41" s="116" t="s">
        <v>308</v>
      </c>
      <c r="E41" s="116"/>
      <c r="F41" s="116"/>
      <c r="G41" s="116"/>
    </row>
    <row r="42" spans="1:7" ht="16.5" customHeight="1">
      <c r="A42" s="24" t="s">
        <v>309</v>
      </c>
      <c r="B42" s="7" t="s">
        <v>310</v>
      </c>
      <c r="C42" s="48" t="s">
        <v>311</v>
      </c>
      <c r="D42" s="112" t="s">
        <v>312</v>
      </c>
      <c r="E42" s="112"/>
      <c r="F42" s="112"/>
      <c r="G42" s="112"/>
    </row>
    <row r="43" spans="1:7" ht="16.5" customHeight="1">
      <c r="A43" s="24" t="s">
        <v>313</v>
      </c>
      <c r="B43" s="7" t="s">
        <v>310</v>
      </c>
      <c r="C43" s="48" t="s">
        <v>314</v>
      </c>
      <c r="D43" s="112" t="s">
        <v>315</v>
      </c>
      <c r="E43" s="112"/>
      <c r="F43" s="112"/>
      <c r="G43" s="112"/>
    </row>
    <row r="44" spans="1:7" ht="16.5" customHeight="1">
      <c r="A44" s="24" t="s">
        <v>316</v>
      </c>
      <c r="B44" s="7" t="s">
        <v>310</v>
      </c>
      <c r="C44" s="48" t="s">
        <v>317</v>
      </c>
      <c r="D44" s="112" t="s">
        <v>318</v>
      </c>
      <c r="E44" s="112"/>
      <c r="F44" s="112"/>
      <c r="G44" s="112"/>
    </row>
    <row r="45" spans="1:7" ht="16.5" customHeight="1">
      <c r="A45" s="24" t="s">
        <v>319</v>
      </c>
      <c r="B45" s="7" t="s">
        <v>320</v>
      </c>
      <c r="C45" s="48" t="s">
        <v>321</v>
      </c>
      <c r="D45" s="112" t="s">
        <v>322</v>
      </c>
      <c r="E45" s="112"/>
      <c r="F45" s="112"/>
      <c r="G45" s="112"/>
    </row>
    <row r="46" spans="1:7" ht="16.5" customHeight="1">
      <c r="A46" s="24" t="s">
        <v>323</v>
      </c>
      <c r="B46" s="7" t="s">
        <v>320</v>
      </c>
      <c r="C46" s="48" t="s">
        <v>324</v>
      </c>
      <c r="D46" s="112" t="s">
        <v>325</v>
      </c>
      <c r="E46" s="112"/>
      <c r="F46" s="112"/>
      <c r="G46" s="112"/>
    </row>
    <row r="47" spans="1:7" ht="16.5" customHeight="1">
      <c r="A47" s="24" t="s">
        <v>326</v>
      </c>
      <c r="B47" s="7" t="s">
        <v>320</v>
      </c>
      <c r="C47" s="48" t="s">
        <v>327</v>
      </c>
      <c r="D47" s="112" t="s">
        <v>328</v>
      </c>
      <c r="E47" s="112"/>
      <c r="F47" s="112"/>
      <c r="G47" s="112"/>
    </row>
    <row r="48" spans="1:7" ht="16.5" customHeight="1">
      <c r="A48" s="24" t="s">
        <v>329</v>
      </c>
      <c r="B48" s="7" t="s">
        <v>330</v>
      </c>
      <c r="C48" s="48" t="s">
        <v>331</v>
      </c>
      <c r="D48" s="112" t="s">
        <v>332</v>
      </c>
      <c r="E48" s="112"/>
      <c r="F48" s="112"/>
      <c r="G48" s="112"/>
    </row>
    <row r="49" spans="1:7" ht="16.5" customHeight="1">
      <c r="A49" s="24" t="s">
        <v>333</v>
      </c>
      <c r="B49" s="7" t="s">
        <v>330</v>
      </c>
      <c r="C49" s="48" t="s">
        <v>334</v>
      </c>
      <c r="D49" s="112" t="s">
        <v>335</v>
      </c>
      <c r="E49" s="112"/>
      <c r="F49" s="112"/>
      <c r="G49" s="112"/>
    </row>
    <row r="50" spans="1:7" ht="16.5" customHeight="1">
      <c r="A50" s="24" t="s">
        <v>336</v>
      </c>
      <c r="B50" s="7" t="s">
        <v>337</v>
      </c>
      <c r="C50" s="48" t="s">
        <v>338</v>
      </c>
      <c r="D50" s="115" t="s">
        <v>339</v>
      </c>
      <c r="E50" s="115"/>
      <c r="F50" s="115"/>
      <c r="G50" s="115"/>
    </row>
    <row r="51" spans="1:7" ht="16.5" customHeight="1">
      <c r="A51" s="24" t="s">
        <v>340</v>
      </c>
      <c r="B51" s="7" t="s">
        <v>337</v>
      </c>
      <c r="C51" s="48" t="s">
        <v>341</v>
      </c>
      <c r="D51" s="112" t="s">
        <v>342</v>
      </c>
      <c r="E51" s="112"/>
      <c r="F51" s="112"/>
      <c r="G51" s="112"/>
    </row>
    <row r="52" spans="1:7" ht="16.5" customHeight="1">
      <c r="A52" s="24" t="s">
        <v>343</v>
      </c>
      <c r="B52" s="7" t="s">
        <v>337</v>
      </c>
      <c r="C52" s="48" t="s">
        <v>344</v>
      </c>
      <c r="D52" s="112" t="s">
        <v>345</v>
      </c>
      <c r="E52" s="112"/>
      <c r="F52" s="112"/>
      <c r="G52" s="112"/>
    </row>
    <row r="66" spans="1:7" ht="24" customHeight="1">
      <c r="A66" s="113" t="s">
        <v>346</v>
      </c>
      <c r="B66" s="113"/>
      <c r="C66" s="113"/>
      <c r="D66" s="113"/>
      <c r="E66" s="113"/>
      <c r="F66" s="113"/>
      <c r="G66" s="113"/>
    </row>
    <row r="67" spans="1:7" ht="24" customHeight="1">
      <c r="A67" s="16" t="s">
        <v>347</v>
      </c>
      <c r="B67" s="36">
        <v>0.5</v>
      </c>
      <c r="C67" s="114" t="s">
        <v>348</v>
      </c>
      <c r="D67" s="114"/>
      <c r="E67" s="114"/>
      <c r="F67" s="114"/>
      <c r="G67" s="114"/>
    </row>
    <row r="68" spans="1:7" ht="24" customHeight="1">
      <c r="A68" s="16" t="s">
        <v>349</v>
      </c>
      <c r="B68" s="37">
        <f>1-B67</f>
        <v>0.5</v>
      </c>
      <c r="C68" s="114" t="s">
        <v>350</v>
      </c>
      <c r="D68" s="114"/>
      <c r="E68" s="114"/>
      <c r="F68" s="114"/>
      <c r="G68" s="114"/>
    </row>
  </sheetData>
  <mergeCells count="29">
    <mergeCell ref="A1:G1"/>
    <mergeCell ref="A2:G2"/>
    <mergeCell ref="A4:G4"/>
    <mergeCell ref="C5:G5"/>
    <mergeCell ref="C6:G6"/>
    <mergeCell ref="C7:G7"/>
    <mergeCell ref="C8:G8"/>
    <mergeCell ref="A9:G9"/>
    <mergeCell ref="A12:G12"/>
    <mergeCell ref="A14:G14"/>
    <mergeCell ref="A24:G24"/>
    <mergeCell ref="C28:F28"/>
    <mergeCell ref="A30:G30"/>
    <mergeCell ref="A40:G40"/>
    <mergeCell ref="D41:G41"/>
    <mergeCell ref="D42:G42"/>
    <mergeCell ref="D43:G43"/>
    <mergeCell ref="D44:G44"/>
    <mergeCell ref="D45:G45"/>
    <mergeCell ref="D46:G46"/>
    <mergeCell ref="D52:G52"/>
    <mergeCell ref="A66:G66"/>
    <mergeCell ref="C67:G67"/>
    <mergeCell ref="C68:G68"/>
    <mergeCell ref="D47:G47"/>
    <mergeCell ref="D48:G48"/>
    <mergeCell ref="D49:G49"/>
    <mergeCell ref="D50:G50"/>
    <mergeCell ref="D51:G51"/>
  </mergeCells>
  <phoneticPr fontId="28" type="noConversion"/>
  <conditionalFormatting sqref="B6">
    <cfRule type="expression" dxfId="78" priority="2">
      <formula>$B$6="상대평가"</formula>
    </cfRule>
    <cfRule type="expression" dxfId="77" priority="3">
      <formula>$B$6="절대평가"</formula>
    </cfRule>
  </conditionalFormatting>
  <conditionalFormatting sqref="B11:F11">
    <cfRule type="expression" dxfId="76" priority="4">
      <formula>$B$6="절대평가"</formula>
    </cfRule>
  </conditionalFormatting>
  <dataValidations count="4">
    <dataValidation type="list" showInputMessage="1" showErrorMessage="1" errorTitle="평가 방식 선택" error="절대평가 또는 상대평가만 선택 가능합니다" promptTitle="★ 평가 방식" prompt="드롭다운에서 평가 방식을 선택하세요" sqref="B6" xr:uid="{00000000-0002-0000-0300-000000000000}">
      <formula1>"절대평가,상대평가"</formula1>
      <formula2>0</formula2>
    </dataValidation>
    <dataValidation type="list" showInputMessage="1" promptTitle="평가 척도" prompt="5점 또는 100점 척도 선택" sqref="B5" xr:uid="{00000000-0002-0000-0300-000001000000}">
      <formula1>"5점,100점"</formula1>
      <formula2>0</formula2>
    </dataValidation>
    <dataValidation type="decimal" showInputMessage="1" promptTitle="상반기 가중치" prompt="0~1 사이의 값을 입력 (예: 0.5)" sqref="B7" xr:uid="{00000000-0002-0000-0300-000002000000}">
      <formula1>0</formula1>
      <formula2>1</formula2>
    </dataValidation>
    <dataValidation type="decimal" showInputMessage="1" promptTitle="강제분포" prompt="0~1 사이의 비율. 5개 셀 합이 1이 되도록 입력" sqref="B11:F11" xr:uid="{00000000-0002-0000-0300-000003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K11"/>
  <sheetViews>
    <sheetView zoomScale="115" zoomScaleNormal="115" workbookViewId="0">
      <selection activeCell="B9" sqref="B9"/>
    </sheetView>
  </sheetViews>
  <sheetFormatPr defaultColWidth="8.5625" defaultRowHeight="16.899999999999999"/>
  <cols>
    <col min="1" max="1" width="5" customWidth="1"/>
    <col min="2" max="2" width="29.4375" customWidth="1"/>
    <col min="3" max="3" width="39.4375" customWidth="1"/>
    <col min="4" max="4" width="8" customWidth="1"/>
    <col min="5" max="5" width="10" customWidth="1"/>
    <col min="6" max="10" width="9" customWidth="1"/>
    <col min="11" max="11" width="11" customWidth="1"/>
  </cols>
  <sheetData>
    <row r="1" spans="1:11" ht="27.75" customHeight="1">
      <c r="A1" s="111" t="s">
        <v>351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ht="16.5" customHeight="1">
      <c r="A2" s="88" t="s">
        <v>352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5" spans="1:11">
      <c r="A5" s="22" t="s">
        <v>145</v>
      </c>
      <c r="B5" s="22" t="s">
        <v>353</v>
      </c>
      <c r="C5" s="23" t="s">
        <v>354</v>
      </c>
      <c r="D5" s="23" t="s">
        <v>355</v>
      </c>
      <c r="E5" s="23" t="s">
        <v>356</v>
      </c>
      <c r="F5" s="22" t="s">
        <v>357</v>
      </c>
      <c r="G5" s="22" t="s">
        <v>358</v>
      </c>
      <c r="H5" s="22" t="s">
        <v>359</v>
      </c>
      <c r="I5" s="22" t="s">
        <v>360</v>
      </c>
      <c r="J5" s="22" t="s">
        <v>361</v>
      </c>
      <c r="K5" s="23" t="s">
        <v>362</v>
      </c>
    </row>
    <row r="6" spans="1:11" ht="24" customHeight="1">
      <c r="A6" s="24">
        <v>1</v>
      </c>
      <c r="B6" s="48" t="s">
        <v>363</v>
      </c>
      <c r="C6" s="44" t="s">
        <v>364</v>
      </c>
      <c r="D6" s="42">
        <v>0.4</v>
      </c>
      <c r="E6" s="45">
        <v>0.12</v>
      </c>
      <c r="F6" s="45">
        <v>0.15</v>
      </c>
      <c r="G6" s="45">
        <v>0.12</v>
      </c>
      <c r="H6" s="45">
        <v>0.1</v>
      </c>
      <c r="I6" s="45">
        <v>0.08</v>
      </c>
      <c r="J6" s="45">
        <v>0.06</v>
      </c>
      <c r="K6" s="45"/>
    </row>
    <row r="7" spans="1:11" ht="24" customHeight="1">
      <c r="A7" s="24">
        <v>2</v>
      </c>
      <c r="B7" s="48" t="s">
        <v>365</v>
      </c>
      <c r="C7" s="46" t="s">
        <v>366</v>
      </c>
      <c r="D7" s="42">
        <v>0.35</v>
      </c>
      <c r="E7" s="45">
        <v>7.0000000000000007E-2</v>
      </c>
      <c r="F7" s="45">
        <v>0.08</v>
      </c>
      <c r="G7" s="45">
        <v>7.0000000000000007E-2</v>
      </c>
      <c r="H7" s="45">
        <v>0.06</v>
      </c>
      <c r="I7" s="45">
        <v>0.05</v>
      </c>
      <c r="J7" s="45">
        <v>0.04</v>
      </c>
      <c r="K7" s="45"/>
    </row>
    <row r="8" spans="1:11" ht="24" customHeight="1">
      <c r="A8" s="24">
        <v>3</v>
      </c>
      <c r="B8" s="48" t="s">
        <v>367</v>
      </c>
      <c r="C8" s="44" t="s">
        <v>368</v>
      </c>
      <c r="D8" s="42">
        <v>0.25</v>
      </c>
      <c r="E8" s="45">
        <v>0.92</v>
      </c>
      <c r="F8" s="45">
        <v>0.93</v>
      </c>
      <c r="G8" s="45">
        <v>0.92</v>
      </c>
      <c r="H8" s="45">
        <v>0.91</v>
      </c>
      <c r="I8" s="45">
        <v>0.9</v>
      </c>
      <c r="J8" s="45">
        <v>0.89</v>
      </c>
      <c r="K8" s="45"/>
    </row>
    <row r="10" spans="1:11" ht="16.5" customHeight="1">
      <c r="A10" s="107" t="s">
        <v>369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</row>
    <row r="11" spans="1:11" ht="50.25" customHeight="1">
      <c r="A11" s="11" t="s">
        <v>370</v>
      </c>
      <c r="B11" s="49" t="str">
        <f>IFERROR(IF(COUNTBLANK(K6:K8)&gt;0,"",IF(SUMPRODUCT(D6:D8,(K6:K8&gt;=F6:F8)*1)&gt;=0.8,"S",IF(SUMPRODUCT(D6:D8,(K6:K8&gt;=G6:G8)*1)&gt;=0.8,"A",IF(SUMPRODUCT(D6:D8,(K6:K8&gt;=H6:H8)*1)&gt;=0.8,"B",IF(SUMPRODUCT(D6:D8,(K6:K8&gt;=I6:I8)*1)&gt;=0.8,"C","D"))))),"-")</f>
        <v/>
      </c>
      <c r="C11" s="114" t="s">
        <v>371</v>
      </c>
      <c r="D11" s="114"/>
      <c r="E11" s="114"/>
      <c r="F11" s="114"/>
      <c r="G11" s="114"/>
      <c r="H11" s="114"/>
      <c r="I11" s="114"/>
      <c r="J11" s="114"/>
      <c r="K11" s="114"/>
    </row>
  </sheetData>
  <mergeCells count="4">
    <mergeCell ref="A1:K1"/>
    <mergeCell ref="A2:K2"/>
    <mergeCell ref="A10:K10"/>
    <mergeCell ref="C11:K11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4B5"/>
  </sheetPr>
  <dimension ref="A1:U129"/>
  <sheetViews>
    <sheetView zoomScaleNormal="100" workbookViewId="0">
      <pane xSplit="3" ySplit="5" topLeftCell="D6" activePane="bottomRight" state="frozen"/>
      <selection pane="topRight" activeCell="D1" sqref="D1"/>
      <selection pane="bottomLeft" activeCell="A41" sqref="A41"/>
      <selection pane="bottomRight" activeCell="H54" sqref="H54"/>
    </sheetView>
  </sheetViews>
  <sheetFormatPr defaultColWidth="8.5625" defaultRowHeight="16.899999999999999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7" width="11" customWidth="1"/>
    <col min="8" max="8" width="13" customWidth="1"/>
    <col min="9" max="9" width="11" customWidth="1"/>
    <col min="10" max="11" width="5" customWidth="1"/>
    <col min="12" max="12" width="8" customWidth="1"/>
    <col min="13" max="15" width="9" customWidth="1"/>
    <col min="16" max="16" width="8" customWidth="1"/>
    <col min="17" max="17" width="25" customWidth="1"/>
  </cols>
  <sheetData>
    <row r="1" spans="1:21" ht="30" customHeight="1">
      <c r="A1" s="111" t="s">
        <v>372</v>
      </c>
      <c r="B1" s="111"/>
      <c r="C1" s="111"/>
      <c r="D1" s="111"/>
      <c r="E1" s="111"/>
      <c r="F1" s="111"/>
      <c r="G1" s="111"/>
      <c r="H1" s="111"/>
      <c r="I1" s="11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4" customHeight="1">
      <c r="A2" s="96" t="s">
        <v>373</v>
      </c>
      <c r="B2" s="96"/>
      <c r="C2" s="96"/>
      <c r="D2" s="96"/>
      <c r="E2" s="96"/>
      <c r="F2" s="96"/>
      <c r="G2" s="96"/>
      <c r="H2" s="96"/>
      <c r="I2" s="9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5.5" customHeight="1">
      <c r="A4" s="121" t="s">
        <v>374</v>
      </c>
      <c r="B4" s="121"/>
      <c r="C4" s="121"/>
      <c r="D4" s="121"/>
      <c r="E4" s="121"/>
      <c r="F4" s="121"/>
      <c r="G4" s="121"/>
      <c r="H4" s="121"/>
      <c r="I4" s="12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27.75" customHeight="1">
      <c r="A5" s="50" t="s">
        <v>145</v>
      </c>
      <c r="B5" s="51" t="s">
        <v>146</v>
      </c>
      <c r="C5" s="51" t="s">
        <v>147</v>
      </c>
      <c r="D5" s="51" t="s">
        <v>149</v>
      </c>
      <c r="E5" s="51" t="s">
        <v>152</v>
      </c>
      <c r="F5" s="50" t="s">
        <v>375</v>
      </c>
      <c r="G5" s="50" t="s">
        <v>376</v>
      </c>
      <c r="H5" s="51" t="s">
        <v>377</v>
      </c>
      <c r="I5" s="51" t="s">
        <v>378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75" customHeight="1">
      <c r="A6" s="4">
        <f>IF('01_인적정보'!B6="","",'01_인적정보'!A6)</f>
        <v>1</v>
      </c>
      <c r="B6" s="4" t="str">
        <f>IF('01_인적정보'!B6="","",'01_인적정보'!B6)</f>
        <v>BSS-001</v>
      </c>
      <c r="C6" s="13" t="str">
        <f>IF('01_인적정보'!B6="","",'01_인적정보'!C6)</f>
        <v>OOO</v>
      </c>
      <c r="D6" s="13" t="str">
        <f>IF('01_인적정보'!B6="","",'01_인적정보'!E6)</f>
        <v>프로젝트영업</v>
      </c>
      <c r="E6" s="40" t="str">
        <f>IF('01_인적정보'!B6="","",'01_인적정보'!H6)</f>
        <v>G6</v>
      </c>
      <c r="F6" s="19" t="str">
        <f>IF(OR('01_인적정보'!B6="",'07a_상반기입력'!G6=""),"",'07a_상반기입력'!G6)</f>
        <v>A</v>
      </c>
      <c r="G6" s="19" t="str">
        <f>IF(OR('01_인적정보'!B6="",'07a_상반기입력'!H6=""),"",'07a_상반기입력'!H6)</f>
        <v>A</v>
      </c>
      <c r="H6" s="52">
        <f>IFERROR(IF(AND(LEN(F6)&gt;0,LEN(G6)&gt;0),'02_의사결정·종합결과'!$B$67*IFERROR(CHOOSE(FIND(F6,"DCBAS"),1,2,3,4,5),0)+'02_의사결정·종합결과'!$B$68*IFERROR(CHOOSE(FIND(G6,"DCBAS"),1,2,3,4,5),0),IF(LEN(F6)&gt;0,IFERROR(CHOOSE(FIND(F6,"DCBAS"),1,2,3,4,5),0),IF(LEN(G6)&gt;0,IFERROR(CHOOSE(FIND(G6,"DCBAS"),1,2,3,4,5),0),""))),"")</f>
        <v>4</v>
      </c>
      <c r="I6" s="53" t="str">
        <f t="shared" ref="I6:I37" si="0">IF(OR(H6="",NOT(ISNUMBER(H6)),H6&lt;0.5),"",IF(H6&gt;=4.5,"S",IF(H6&gt;=3.5,"A",IF(H6&gt;=2.5,"B",IF(H6&gt;=1.5,"C","D")))))</f>
        <v>A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21.75" customHeight="1">
      <c r="A7" s="4">
        <f>IF('01_인적정보'!B7="","",'01_인적정보'!A7)</f>
        <v>2</v>
      </c>
      <c r="B7" s="4" t="str">
        <f>IF('01_인적정보'!B7="","",'01_인적정보'!B7)</f>
        <v>BSS-002</v>
      </c>
      <c r="C7" s="13" t="str">
        <f>IF('01_인적정보'!B7="","",'01_인적정보'!C7)</f>
        <v>OOO</v>
      </c>
      <c r="D7" s="13" t="str">
        <f>IF('01_인적정보'!B7="","",'01_인적정보'!E7)</f>
        <v>연구개발(R&amp;D)</v>
      </c>
      <c r="E7" s="40" t="str">
        <f>IF('01_인적정보'!B7="","",'01_인적정보'!H7)</f>
        <v>G6</v>
      </c>
      <c r="F7" s="19" t="str">
        <f>IF(OR('01_인적정보'!B7="",'07a_상반기입력'!G7=""),"",'07a_상반기입력'!G7)</f>
        <v>B</v>
      </c>
      <c r="G7" s="19" t="str">
        <f>IF(OR('01_인적정보'!B7="",'07a_상반기입력'!H7=""),"",'07a_상반기입력'!H7)</f>
        <v>B</v>
      </c>
      <c r="H7" s="52">
        <f>IFERROR(IF(AND(LEN(F7)&gt;0,LEN(G7)&gt;0),'02_의사결정·종합결과'!$B$67*IFERROR(CHOOSE(FIND(F7,"DCBAS"),1,2,3,4,5),0)+'02_의사결정·종합결과'!$B$68*IFERROR(CHOOSE(FIND(G7,"DCBAS"),1,2,3,4,5),0),IF(LEN(F7)&gt;0,IFERROR(CHOOSE(FIND(F7,"DCBAS"),1,2,3,4,5),0),IF(LEN(G7)&gt;0,IFERROR(CHOOSE(FIND(G7,"DCBAS"),1,2,3,4,5),0),""))),"")</f>
        <v>3</v>
      </c>
      <c r="I7" s="53" t="str">
        <f t="shared" si="0"/>
        <v>B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21.75" customHeight="1">
      <c r="A8" s="4">
        <f>IF('01_인적정보'!B8="","",'01_인적정보'!A8)</f>
        <v>3</v>
      </c>
      <c r="B8" s="4" t="str">
        <f>IF('01_인적정보'!B8="","",'01_인적정보'!B8)</f>
        <v>BSS-003</v>
      </c>
      <c r="C8" s="13" t="str">
        <f>IF('01_인적정보'!B8="","",'01_인적정보'!C8)</f>
        <v>OOO</v>
      </c>
      <c r="D8" s="13" t="str">
        <f>IF('01_인적정보'!B8="","",'01_인적정보'!E8)</f>
        <v>BIM컨설팅</v>
      </c>
      <c r="E8" s="40" t="str">
        <f>IF('01_인적정보'!B8="","",'01_인적정보'!H8)</f>
        <v>G6</v>
      </c>
      <c r="F8" s="19" t="str">
        <f>IF(OR('01_인적정보'!B8="",'07a_상반기입력'!G8=""),"",'07a_상반기입력'!G8)</f>
        <v>B</v>
      </c>
      <c r="G8" s="19" t="str">
        <f>IF(OR('01_인적정보'!B8="",'07a_상반기입력'!H8=""),"",'07a_상반기입력'!H8)</f>
        <v>A</v>
      </c>
      <c r="H8" s="52">
        <f>IFERROR(IF(AND(LEN(F8)&gt;0,LEN(G8)&gt;0),'02_의사결정·종합결과'!$B$67*IFERROR(CHOOSE(FIND(F8,"DCBAS"),1,2,3,4,5),0)+'02_의사결정·종합결과'!$B$68*IFERROR(CHOOSE(FIND(G8,"DCBAS"),1,2,3,4,5),0),IF(LEN(F8)&gt;0,IFERROR(CHOOSE(FIND(F8,"DCBAS"),1,2,3,4,5),0),IF(LEN(G8)&gt;0,IFERROR(CHOOSE(FIND(G8,"DCBAS"),1,2,3,4,5),0),""))),"")</f>
        <v>3.5</v>
      </c>
      <c r="I8" s="53" t="str">
        <f t="shared" si="0"/>
        <v>A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21.75" customHeight="1">
      <c r="A9" s="4">
        <f>IF('01_인적정보'!B9="","",'01_인적정보'!A9)</f>
        <v>4</v>
      </c>
      <c r="B9" s="4" t="str">
        <f>IF('01_인적정보'!B9="","",'01_인적정보'!B9)</f>
        <v>BSS-004</v>
      </c>
      <c r="C9" s="13" t="str">
        <f>IF('01_인적정보'!B9="","",'01_인적정보'!C9)</f>
        <v>OOO</v>
      </c>
      <c r="D9" s="13" t="str">
        <f>IF('01_인적정보'!B9="","",'01_인적정보'!E9)</f>
        <v>경영전략기획</v>
      </c>
      <c r="E9" s="40" t="str">
        <f>IF('01_인적정보'!B9="","",'01_인적정보'!H9)</f>
        <v>G6</v>
      </c>
      <c r="F9" s="19" t="str">
        <f>IF(OR('01_인적정보'!B9="",'07a_상반기입력'!G9=""),"",'07a_상반기입력'!G9)</f>
        <v>B</v>
      </c>
      <c r="G9" s="19" t="str">
        <f>IF(OR('01_인적정보'!B9="",'07a_상반기입력'!H9=""),"",'07a_상반기입력'!H9)</f>
        <v>A</v>
      </c>
      <c r="H9" s="52">
        <f>IFERROR(IF(AND(LEN(F9)&gt;0,LEN(G9)&gt;0),'02_의사결정·종합결과'!$B$67*IFERROR(CHOOSE(FIND(F9,"DCBAS"),1,2,3,4,5),0)+'02_의사결정·종합결과'!$B$68*IFERROR(CHOOSE(FIND(G9,"DCBAS"),1,2,3,4,5),0),IF(LEN(F9)&gt;0,IFERROR(CHOOSE(FIND(F9,"DCBAS"),1,2,3,4,5),0),IF(LEN(G9)&gt;0,IFERROR(CHOOSE(FIND(G9,"DCBAS"),1,2,3,4,5),0),""))),"")</f>
        <v>3.5</v>
      </c>
      <c r="I9" s="53" t="str">
        <f t="shared" si="0"/>
        <v>A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21.75" customHeight="1">
      <c r="A10" s="4">
        <f>IF('01_인적정보'!B10="","",'01_인적정보'!A10)</f>
        <v>5</v>
      </c>
      <c r="B10" s="4" t="str">
        <f>IF('01_인적정보'!B10="","",'01_인적정보'!B10)</f>
        <v>BSS-005</v>
      </c>
      <c r="C10" s="13" t="str">
        <f>IF('01_인적정보'!B10="","",'01_인적정보'!C10)</f>
        <v>OOO</v>
      </c>
      <c r="D10" s="13" t="str">
        <f>IF('01_인적정보'!B10="","",'01_인적정보'!E10)</f>
        <v>경영전략기획</v>
      </c>
      <c r="E10" s="40" t="str">
        <f>IF('01_인적정보'!B10="","",'01_인적정보'!H10)</f>
        <v>G6</v>
      </c>
      <c r="F10" s="19" t="str">
        <f>IF(OR('01_인적정보'!B10="",'07a_상반기입력'!G10=""),"",'07a_상반기입력'!G10)</f>
        <v>B</v>
      </c>
      <c r="G10" s="19" t="str">
        <f>IF(OR('01_인적정보'!B10="",'07a_상반기입력'!H10=""),"",'07a_상반기입력'!H10)</f>
        <v>B</v>
      </c>
      <c r="H10" s="52">
        <f>IFERROR(IF(AND(LEN(F10)&gt;0,LEN(G10)&gt;0),'02_의사결정·종합결과'!$B$67*IFERROR(CHOOSE(FIND(F10,"DCBAS"),1,2,3,4,5),0)+'02_의사결정·종합결과'!$B$68*IFERROR(CHOOSE(FIND(G10,"DCBAS"),1,2,3,4,5),0),IF(LEN(F10)&gt;0,IFERROR(CHOOSE(FIND(F10,"DCBAS"),1,2,3,4,5),0),IF(LEN(G10)&gt;0,IFERROR(CHOOSE(FIND(G10,"DCBAS"),1,2,3,4,5),0),""))),"")</f>
        <v>3</v>
      </c>
      <c r="I10" s="53" t="str">
        <f t="shared" si="0"/>
        <v>B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21.75" customHeight="1">
      <c r="A11" s="4">
        <f>IF('01_인적정보'!B11="","",'01_인적정보'!A11)</f>
        <v>6</v>
      </c>
      <c r="B11" s="4" t="str">
        <f>IF('01_인적정보'!B11="","",'01_인적정보'!B11)</f>
        <v>BSS-006</v>
      </c>
      <c r="C11" s="13" t="str">
        <f>IF('01_인적정보'!B11="","",'01_인적정보'!C11)</f>
        <v>OOO</v>
      </c>
      <c r="D11" s="13" t="str">
        <f>IF('01_인적정보'!B11="","",'01_인적정보'!E11)</f>
        <v>경영전략기획</v>
      </c>
      <c r="E11" s="40" t="str">
        <f>IF('01_인적정보'!B11="","",'01_인적정보'!H11)</f>
        <v>G6</v>
      </c>
      <c r="F11" s="19" t="str">
        <f>IF(OR('01_인적정보'!B11="",'07a_상반기입력'!G11=""),"",'07a_상반기입력'!G11)</f>
        <v>C</v>
      </c>
      <c r="G11" s="19" t="str">
        <f>IF(OR('01_인적정보'!B11="",'07a_상반기입력'!H11=""),"",'07a_상반기입력'!H11)</f>
        <v>C</v>
      </c>
      <c r="H11" s="52">
        <f>IFERROR(IF(AND(LEN(F11)&gt;0,LEN(G11)&gt;0),'02_의사결정·종합결과'!$B$67*IFERROR(CHOOSE(FIND(F11,"DCBAS"),1,2,3,4,5),0)+'02_의사결정·종합결과'!$B$68*IFERROR(CHOOSE(FIND(G11,"DCBAS"),1,2,3,4,5),0),IF(LEN(F11)&gt;0,IFERROR(CHOOSE(FIND(F11,"DCBAS"),1,2,3,4,5),0),IF(LEN(G11)&gt;0,IFERROR(CHOOSE(FIND(G11,"DCBAS"),1,2,3,4,5),0),""))),"")</f>
        <v>2</v>
      </c>
      <c r="I11" s="53" t="str">
        <f t="shared" si="0"/>
        <v>C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21.75" customHeight="1">
      <c r="A12" s="4">
        <f>IF('01_인적정보'!B12="","",'01_인적정보'!A12)</f>
        <v>7</v>
      </c>
      <c r="B12" s="4" t="str">
        <f>IF('01_인적정보'!B12="","",'01_인적정보'!B12)</f>
        <v>BSS-007</v>
      </c>
      <c r="C12" s="13" t="str">
        <f>IF('01_인적정보'!B12="","",'01_인적정보'!C12)</f>
        <v>OOO</v>
      </c>
      <c r="D12" s="13" t="str">
        <f>IF('01_인적정보'!B12="","",'01_인적정보'!E12)</f>
        <v>교육</v>
      </c>
      <c r="E12" s="40" t="str">
        <f>IF('01_인적정보'!B12="","",'01_인적정보'!H12)</f>
        <v>G5-M</v>
      </c>
      <c r="F12" s="19" t="str">
        <f>IF(OR('01_인적정보'!B12="",'07a_상반기입력'!G12=""),"",'07a_상반기입력'!G12)</f>
        <v>B</v>
      </c>
      <c r="G12" s="19" t="str">
        <f>IF(OR('01_인적정보'!B12="",'07a_상반기입력'!H12=""),"",'07a_상반기입력'!H12)</f>
        <v>B</v>
      </c>
      <c r="H12" s="52">
        <f>IFERROR(IF(AND(LEN(F12)&gt;0,LEN(G12)&gt;0),'02_의사결정·종합결과'!$B$67*IFERROR(CHOOSE(FIND(F12,"DCBAS"),1,2,3,4,5),0)+'02_의사결정·종합결과'!$B$68*IFERROR(CHOOSE(FIND(G12,"DCBAS"),1,2,3,4,5),0),IF(LEN(F12)&gt;0,IFERROR(CHOOSE(FIND(F12,"DCBAS"),1,2,3,4,5),0),IF(LEN(G12)&gt;0,IFERROR(CHOOSE(FIND(G12,"DCBAS"),1,2,3,4,5),0),""))),"")</f>
        <v>3</v>
      </c>
      <c r="I12" s="53" t="str">
        <f t="shared" si="0"/>
        <v>B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21.75" customHeight="1">
      <c r="A13" s="4">
        <f>IF('01_인적정보'!B13="","",'01_인적정보'!A13)</f>
        <v>8</v>
      </c>
      <c r="B13" s="4" t="str">
        <f>IF('01_인적정보'!B13="","",'01_인적정보'!B13)</f>
        <v>BSS-008</v>
      </c>
      <c r="C13" s="13" t="str">
        <f>IF('01_인적정보'!B13="","",'01_인적정보'!C13)</f>
        <v>OOO</v>
      </c>
      <c r="D13" s="13" t="str">
        <f>IF('01_인적정보'!B13="","",'01_인적정보'!E13)</f>
        <v>기술지원</v>
      </c>
      <c r="E13" s="40" t="str">
        <f>IF('01_인적정보'!B13="","",'01_인적정보'!H13)</f>
        <v>G5-M</v>
      </c>
      <c r="F13" s="19" t="str">
        <f>IF(OR('01_인적정보'!B13="",'07a_상반기입력'!G13=""),"",'07a_상반기입력'!G13)</f>
        <v>C</v>
      </c>
      <c r="G13" s="19" t="str">
        <f>IF(OR('01_인적정보'!B13="",'07a_상반기입력'!H13=""),"",'07a_상반기입력'!H13)</f>
        <v>C</v>
      </c>
      <c r="H13" s="52">
        <f>IFERROR(IF(AND(LEN(F13)&gt;0,LEN(G13)&gt;0),'02_의사결정·종합결과'!$B$67*IFERROR(CHOOSE(FIND(F13,"DCBAS"),1,2,3,4,5),0)+'02_의사결정·종합결과'!$B$68*IFERROR(CHOOSE(FIND(G13,"DCBAS"),1,2,3,4,5),0),IF(LEN(F13)&gt;0,IFERROR(CHOOSE(FIND(F13,"DCBAS"),1,2,3,4,5),0),IF(LEN(G13)&gt;0,IFERROR(CHOOSE(FIND(G13,"DCBAS"),1,2,3,4,5),0),""))),"")</f>
        <v>2</v>
      </c>
      <c r="I13" s="53" t="str">
        <f t="shared" si="0"/>
        <v>C</v>
      </c>
      <c r="J13" s="5"/>
      <c r="K13" s="5"/>
      <c r="L13" s="54"/>
      <c r="M13" s="5"/>
      <c r="N13" s="5"/>
      <c r="O13" s="5"/>
      <c r="P13" s="55"/>
      <c r="Q13" s="5"/>
      <c r="R13" s="5"/>
      <c r="S13" s="5"/>
      <c r="T13" s="5"/>
      <c r="U13" s="5"/>
    </row>
    <row r="14" spans="1:21" ht="21.75" customHeight="1">
      <c r="A14" s="4">
        <f>IF('01_인적정보'!B14="","",'01_인적정보'!A14)</f>
        <v>9</v>
      </c>
      <c r="B14" s="4" t="str">
        <f>IF('01_인적정보'!B14="","",'01_인적정보'!B14)</f>
        <v>BSS-009</v>
      </c>
      <c r="C14" s="13" t="str">
        <f>IF('01_인적정보'!B14="","",'01_인적정보'!C14)</f>
        <v>OOO</v>
      </c>
      <c r="D14" s="13" t="str">
        <f>IF('01_인적정보'!B14="","",'01_인적정보'!E14)</f>
        <v>BIM컨설팅</v>
      </c>
      <c r="E14" s="40" t="str">
        <f>IF('01_인적정보'!B14="","",'01_인적정보'!H14)</f>
        <v>G5-M</v>
      </c>
      <c r="F14" s="19" t="str">
        <f>IF(OR('01_인적정보'!B14="",'07a_상반기입력'!G14=""),"",'07a_상반기입력'!G14)</f>
        <v>A</v>
      </c>
      <c r="G14" s="19" t="str">
        <f>IF(OR('01_인적정보'!B14="",'07a_상반기입력'!H14=""),"",'07a_상반기입력'!H14)</f>
        <v>A</v>
      </c>
      <c r="H14" s="52">
        <f>IFERROR(IF(AND(LEN(F14)&gt;0,LEN(G14)&gt;0),'02_의사결정·종합결과'!$B$67*IFERROR(CHOOSE(FIND(F14,"DCBAS"),1,2,3,4,5),0)+'02_의사결정·종합결과'!$B$68*IFERROR(CHOOSE(FIND(G14,"DCBAS"),1,2,3,4,5),0),IF(LEN(F14)&gt;0,IFERROR(CHOOSE(FIND(F14,"DCBAS"),1,2,3,4,5),0),IF(LEN(G14)&gt;0,IFERROR(CHOOSE(FIND(G14,"DCBAS"),1,2,3,4,5),0),""))),"")</f>
        <v>4</v>
      </c>
      <c r="I14" s="53" t="str">
        <f t="shared" si="0"/>
        <v>A</v>
      </c>
      <c r="J14" s="5"/>
      <c r="K14" s="5"/>
      <c r="L14" s="54"/>
      <c r="M14" s="5"/>
      <c r="N14" s="5"/>
      <c r="O14" s="5"/>
      <c r="P14" s="55"/>
      <c r="Q14" s="5"/>
      <c r="R14" s="5"/>
      <c r="S14" s="5"/>
      <c r="T14" s="5"/>
      <c r="U14" s="5"/>
    </row>
    <row r="15" spans="1:21" ht="21.75" customHeight="1">
      <c r="A15" s="4">
        <f>IF('01_인적정보'!B15="","",'01_인적정보'!A15)</f>
        <v>10</v>
      </c>
      <c r="B15" s="4" t="str">
        <f>IF('01_인적정보'!B15="","",'01_인적정보'!B15)</f>
        <v>BSS-010</v>
      </c>
      <c r="C15" s="13" t="str">
        <f>IF('01_인적정보'!B15="","",'01_인적정보'!C15)</f>
        <v>OOO</v>
      </c>
      <c r="D15" s="13" t="str">
        <f>IF('01_인적정보'!B15="","",'01_인적정보'!E15)</f>
        <v>BIM컨설팅</v>
      </c>
      <c r="E15" s="40" t="str">
        <f>IF('01_인적정보'!B15="","",'01_인적정보'!H15)</f>
        <v>G5-S</v>
      </c>
      <c r="F15" s="19" t="str">
        <f>IF(OR('01_인적정보'!B15="",'07a_상반기입력'!G15=""),"",'07a_상반기입력'!G15)</f>
        <v>A</v>
      </c>
      <c r="G15" s="19" t="str">
        <f>IF(OR('01_인적정보'!B15="",'07a_상반기입력'!H15=""),"",'07a_상반기입력'!H15)</f>
        <v>A</v>
      </c>
      <c r="H15" s="52">
        <f>IFERROR(IF(AND(LEN(F15)&gt;0,LEN(G15)&gt;0),'02_의사결정·종합결과'!$B$67*IFERROR(CHOOSE(FIND(F15,"DCBAS"),1,2,3,4,5),0)+'02_의사결정·종합결과'!$B$68*IFERROR(CHOOSE(FIND(G15,"DCBAS"),1,2,3,4,5),0),IF(LEN(F15)&gt;0,IFERROR(CHOOSE(FIND(F15,"DCBAS"),1,2,3,4,5),0),IF(LEN(G15)&gt;0,IFERROR(CHOOSE(FIND(G15,"DCBAS"),1,2,3,4,5),0),""))),"")</f>
        <v>4</v>
      </c>
      <c r="I15" s="53" t="str">
        <f t="shared" si="0"/>
        <v>A</v>
      </c>
      <c r="J15" s="5"/>
      <c r="K15" s="5"/>
      <c r="L15" s="54"/>
      <c r="M15" s="5"/>
      <c r="N15" s="5"/>
      <c r="O15" s="5"/>
      <c r="P15" s="55"/>
      <c r="Q15" s="5"/>
      <c r="R15" s="5"/>
      <c r="S15" s="5"/>
      <c r="T15" s="5"/>
      <c r="U15" s="5"/>
    </row>
    <row r="16" spans="1:21" ht="21.75" customHeight="1">
      <c r="A16" s="4">
        <f>IF('01_인적정보'!B16="","",'01_인적정보'!A16)</f>
        <v>11</v>
      </c>
      <c r="B16" s="4" t="str">
        <f>IF('01_인적정보'!B16="","",'01_인적정보'!B16)</f>
        <v>BSS-011</v>
      </c>
      <c r="C16" s="13" t="str">
        <f>IF('01_인적정보'!B16="","",'01_인적정보'!C16)</f>
        <v>OOO</v>
      </c>
      <c r="D16" s="13" t="str">
        <f>IF('01_인적정보'!B16="","",'01_인적정보'!E16)</f>
        <v>BIM컨설팅</v>
      </c>
      <c r="E16" s="40" t="str">
        <f>IF('01_인적정보'!B16="","",'01_인적정보'!H16)</f>
        <v>G5-S</v>
      </c>
      <c r="F16" s="19" t="str">
        <f>IF(OR('01_인적정보'!B16="",'07a_상반기입력'!G16=""),"",'07a_상반기입력'!G16)</f>
        <v>C</v>
      </c>
      <c r="G16" s="19" t="str">
        <f>IF(OR('01_인적정보'!B16="",'07a_상반기입력'!H16=""),"",'07a_상반기입력'!H16)</f>
        <v>C</v>
      </c>
      <c r="H16" s="52">
        <f>IFERROR(IF(AND(LEN(F16)&gt;0,LEN(G16)&gt;0),'02_의사결정·종합결과'!$B$67*IFERROR(CHOOSE(FIND(F16,"DCBAS"),1,2,3,4,5),0)+'02_의사결정·종합결과'!$B$68*IFERROR(CHOOSE(FIND(G16,"DCBAS"),1,2,3,4,5),0),IF(LEN(F16)&gt;0,IFERROR(CHOOSE(FIND(F16,"DCBAS"),1,2,3,4,5),0),IF(LEN(G16)&gt;0,IFERROR(CHOOSE(FIND(G16,"DCBAS"),1,2,3,4,5),0),""))),"")</f>
        <v>2</v>
      </c>
      <c r="I16" s="53" t="str">
        <f t="shared" si="0"/>
        <v>C</v>
      </c>
      <c r="J16" s="5"/>
      <c r="K16" s="5"/>
      <c r="L16" s="54"/>
      <c r="M16" s="5"/>
      <c r="N16" s="5"/>
      <c r="O16" s="5"/>
      <c r="P16" s="55"/>
      <c r="Q16" s="5"/>
      <c r="R16" s="5"/>
      <c r="S16" s="5"/>
      <c r="T16" s="5"/>
      <c r="U16" s="5"/>
    </row>
    <row r="17" spans="1:21" ht="21.75" customHeight="1">
      <c r="A17" s="4">
        <f>IF('01_인적정보'!B17="","",'01_인적정보'!A17)</f>
        <v>12</v>
      </c>
      <c r="B17" s="4" t="str">
        <f>IF('01_인적정보'!B17="","",'01_인적정보'!B17)</f>
        <v>BSS-012</v>
      </c>
      <c r="C17" s="13" t="str">
        <f>IF('01_인적정보'!B17="","",'01_인적정보'!C17)</f>
        <v>OOO</v>
      </c>
      <c r="D17" s="13" t="str">
        <f>IF('01_인적정보'!B17="","",'01_인적정보'!E17)</f>
        <v>경영전략기획</v>
      </c>
      <c r="E17" s="40" t="str">
        <f>IF('01_인적정보'!B17="","",'01_인적정보'!H17)</f>
        <v>G5-M</v>
      </c>
      <c r="F17" s="19" t="str">
        <f>IF(OR('01_인적정보'!B17="",'07a_상반기입력'!G17=""),"",'07a_상반기입력'!G17)</f>
        <v>C</v>
      </c>
      <c r="G17" s="19" t="str">
        <f>IF(OR('01_인적정보'!B17="",'07a_상반기입력'!H17=""),"",'07a_상반기입력'!H17)</f>
        <v>C</v>
      </c>
      <c r="H17" s="52">
        <f>IFERROR(IF(AND(LEN(F17)&gt;0,LEN(G17)&gt;0),'02_의사결정·종합결과'!$B$67*IFERROR(CHOOSE(FIND(F17,"DCBAS"),1,2,3,4,5),0)+'02_의사결정·종합결과'!$B$68*IFERROR(CHOOSE(FIND(G17,"DCBAS"),1,2,3,4,5),0),IF(LEN(F17)&gt;0,IFERROR(CHOOSE(FIND(F17,"DCBAS"),1,2,3,4,5),0),IF(LEN(G17)&gt;0,IFERROR(CHOOSE(FIND(G17,"DCBAS"),1,2,3,4,5),0),""))),"")</f>
        <v>2</v>
      </c>
      <c r="I17" s="53" t="str">
        <f t="shared" si="0"/>
        <v>C</v>
      </c>
      <c r="J17" s="5"/>
      <c r="K17" s="5"/>
      <c r="L17" s="54"/>
      <c r="M17" s="5"/>
      <c r="N17" s="5"/>
      <c r="O17" s="5"/>
      <c r="P17" s="55"/>
      <c r="Q17" s="5"/>
      <c r="R17" s="5"/>
      <c r="S17" s="5"/>
      <c r="T17" s="5"/>
      <c r="U17" s="5"/>
    </row>
    <row r="18" spans="1:21" ht="21.75" customHeight="1">
      <c r="A18" s="4">
        <f>IF('01_인적정보'!B18="","",'01_인적정보'!A18)</f>
        <v>13</v>
      </c>
      <c r="B18" s="4" t="str">
        <f>IF('01_인적정보'!B18="","",'01_인적정보'!B18)</f>
        <v>BSS-013</v>
      </c>
      <c r="C18" s="13" t="str">
        <f>IF('01_인적정보'!B18="","",'01_인적정보'!C18)</f>
        <v>OOO</v>
      </c>
      <c r="D18" s="13" t="str">
        <f>IF('01_인적정보'!B18="","",'01_인적정보'!E18)</f>
        <v>BIM컨설팅</v>
      </c>
      <c r="E18" s="40" t="str">
        <f>IF('01_인적정보'!B18="","",'01_인적정보'!H18)</f>
        <v>G5-S</v>
      </c>
      <c r="F18" s="19" t="str">
        <f>IF(OR('01_인적정보'!B18="",'07a_상반기입력'!G18=""),"",'07a_상반기입력'!G18)</f>
        <v>S</v>
      </c>
      <c r="G18" s="19" t="str">
        <f>IF(OR('01_인적정보'!B18="",'07a_상반기입력'!H18=""),"",'07a_상반기입력'!H18)</f>
        <v>S</v>
      </c>
      <c r="H18" s="52">
        <f>IFERROR(IF(AND(LEN(F18)&gt;0,LEN(G18)&gt;0),'02_의사결정·종합결과'!$B$67*IFERROR(CHOOSE(FIND(F18,"DCBAS"),1,2,3,4,5),0)+'02_의사결정·종합결과'!$B$68*IFERROR(CHOOSE(FIND(G18,"DCBAS"),1,2,3,4,5),0),IF(LEN(F18)&gt;0,IFERROR(CHOOSE(FIND(F18,"DCBAS"),1,2,3,4,5),0),IF(LEN(G18)&gt;0,IFERROR(CHOOSE(FIND(G18,"DCBAS"),1,2,3,4,5),0),""))),"")</f>
        <v>5</v>
      </c>
      <c r="I18" s="53" t="str">
        <f t="shared" si="0"/>
        <v>S</v>
      </c>
      <c r="J18" s="5"/>
      <c r="K18" s="5"/>
      <c r="L18" s="54"/>
      <c r="M18" s="5"/>
      <c r="N18" s="5"/>
      <c r="O18" s="5"/>
      <c r="P18" s="55"/>
      <c r="Q18" s="5"/>
      <c r="R18" s="5"/>
      <c r="S18" s="5"/>
      <c r="T18" s="5"/>
      <c r="U18" s="5"/>
    </row>
    <row r="19" spans="1:21" ht="21.75" customHeight="1">
      <c r="A19" s="4">
        <f>IF('01_인적정보'!B19="","",'01_인적정보'!A19)</f>
        <v>14</v>
      </c>
      <c r="B19" s="4" t="str">
        <f>IF('01_인적정보'!B19="","",'01_인적정보'!B19)</f>
        <v>BSS-014</v>
      </c>
      <c r="C19" s="13" t="str">
        <f>IF('01_인적정보'!B19="","",'01_인적정보'!C19)</f>
        <v>OOO</v>
      </c>
      <c r="D19" s="13" t="str">
        <f>IF('01_인적정보'!B19="","",'01_인적정보'!E19)</f>
        <v>BIM컨설팅</v>
      </c>
      <c r="E19" s="40" t="str">
        <f>IF('01_인적정보'!B19="","",'01_인적정보'!H19)</f>
        <v>G5-S</v>
      </c>
      <c r="F19" s="19" t="str">
        <f>IF(OR('01_인적정보'!B19="",'07a_상반기입력'!G19=""),"",'07a_상반기입력'!G19)</f>
        <v>B</v>
      </c>
      <c r="G19" s="19" t="str">
        <f>IF(OR('01_인적정보'!B19="",'07a_상반기입력'!H19=""),"",'07a_상반기입력'!H19)</f>
        <v>C</v>
      </c>
      <c r="H19" s="52">
        <f>IFERROR(IF(AND(LEN(F19)&gt;0,LEN(G19)&gt;0),'02_의사결정·종합결과'!$B$67*IFERROR(CHOOSE(FIND(F19,"DCBAS"),1,2,3,4,5),0)+'02_의사결정·종합결과'!$B$68*IFERROR(CHOOSE(FIND(G19,"DCBAS"),1,2,3,4,5),0),IF(LEN(F19)&gt;0,IFERROR(CHOOSE(FIND(F19,"DCBAS"),1,2,3,4,5),0),IF(LEN(G19)&gt;0,IFERROR(CHOOSE(FIND(G19,"DCBAS"),1,2,3,4,5),0),""))),"")</f>
        <v>2.5</v>
      </c>
      <c r="I19" s="53" t="str">
        <f t="shared" si="0"/>
        <v>B</v>
      </c>
      <c r="J19" s="5"/>
      <c r="K19" s="5"/>
      <c r="L19" s="54"/>
      <c r="M19" s="5"/>
      <c r="N19" s="5"/>
      <c r="O19" s="5"/>
      <c r="P19" s="55"/>
      <c r="Q19" s="5"/>
      <c r="R19" s="5"/>
      <c r="S19" s="5"/>
      <c r="T19" s="5"/>
      <c r="U19" s="5"/>
    </row>
    <row r="20" spans="1:21" ht="21.75" customHeight="1">
      <c r="A20" s="4">
        <f>IF('01_인적정보'!B20="","",'01_인적정보'!A20)</f>
        <v>15</v>
      </c>
      <c r="B20" s="4" t="str">
        <f>IF('01_인적정보'!B20="","",'01_인적정보'!B20)</f>
        <v>BSS-015</v>
      </c>
      <c r="C20" s="13" t="str">
        <f>IF('01_인적정보'!B20="","",'01_인적정보'!C20)</f>
        <v>OOO</v>
      </c>
      <c r="D20" s="13" t="str">
        <f>IF('01_인적정보'!B20="","",'01_인적정보'!E20)</f>
        <v>BIM컨설팅</v>
      </c>
      <c r="E20" s="40" t="str">
        <f>IF('01_인적정보'!B20="","",'01_인적정보'!H20)</f>
        <v>G5-S</v>
      </c>
      <c r="F20" s="19" t="str">
        <f>IF(OR('01_인적정보'!B20="",'07a_상반기입력'!G20=""),"",'07a_상반기입력'!G20)</f>
        <v>A</v>
      </c>
      <c r="G20" s="19" t="str">
        <f>IF(OR('01_인적정보'!B20="",'07a_상반기입력'!H20=""),"",'07a_상반기입력'!H20)</f>
        <v>C</v>
      </c>
      <c r="H20" s="52">
        <f>IFERROR(IF(AND(LEN(F20)&gt;0,LEN(G20)&gt;0),'02_의사결정·종합결과'!$B$67*IFERROR(CHOOSE(FIND(F20,"DCBAS"),1,2,3,4,5),0)+'02_의사결정·종합결과'!$B$68*IFERROR(CHOOSE(FIND(G20,"DCBAS"),1,2,3,4,5),0),IF(LEN(F20)&gt;0,IFERROR(CHOOSE(FIND(F20,"DCBAS"),1,2,3,4,5),0),IF(LEN(G20)&gt;0,IFERROR(CHOOSE(FIND(G20,"DCBAS"),1,2,3,4,5),0),""))),"")</f>
        <v>3</v>
      </c>
      <c r="I20" s="53" t="str">
        <f t="shared" si="0"/>
        <v>B</v>
      </c>
      <c r="J20" s="5"/>
      <c r="K20" s="5"/>
      <c r="L20" s="54"/>
      <c r="M20" s="5"/>
      <c r="N20" s="5"/>
      <c r="O20" s="5"/>
      <c r="P20" s="55"/>
      <c r="Q20" s="5"/>
      <c r="R20" s="5"/>
      <c r="S20" s="5"/>
      <c r="T20" s="5"/>
      <c r="U20" s="5"/>
    </row>
    <row r="21" spans="1:21" ht="21.75" customHeight="1">
      <c r="A21" s="4">
        <f>IF('01_인적정보'!B21="","",'01_인적정보'!A21)</f>
        <v>16</v>
      </c>
      <c r="B21" s="4" t="str">
        <f>IF('01_인적정보'!B21="","",'01_인적정보'!B21)</f>
        <v>BSS-016</v>
      </c>
      <c r="C21" s="13" t="str">
        <f>IF('01_인적정보'!B21="","",'01_인적정보'!C21)</f>
        <v>OOO</v>
      </c>
      <c r="D21" s="13" t="str">
        <f>IF('01_인적정보'!B21="","",'01_인적정보'!E21)</f>
        <v>BIM컨설팅</v>
      </c>
      <c r="E21" s="40" t="str">
        <f>IF('01_인적정보'!B21="","",'01_인적정보'!H21)</f>
        <v>G5-S</v>
      </c>
      <c r="F21" s="19" t="str">
        <f>IF(OR('01_인적정보'!B21="",'07a_상반기입력'!G21=""),"",'07a_상반기입력'!G21)</f>
        <v>A</v>
      </c>
      <c r="G21" s="19" t="str">
        <f>IF(OR('01_인적정보'!B21="",'07a_상반기입력'!H21=""),"",'07a_상반기입력'!H21)</f>
        <v>B</v>
      </c>
      <c r="H21" s="52">
        <f>IFERROR(IF(AND(LEN(F21)&gt;0,LEN(G21)&gt;0),'02_의사결정·종합결과'!$B$67*IFERROR(CHOOSE(FIND(F21,"DCBAS"),1,2,3,4,5),0)+'02_의사결정·종합결과'!$B$68*IFERROR(CHOOSE(FIND(G21,"DCBAS"),1,2,3,4,5),0),IF(LEN(F21)&gt;0,IFERROR(CHOOSE(FIND(F21,"DCBAS"),1,2,3,4,5),0),IF(LEN(G21)&gt;0,IFERROR(CHOOSE(FIND(G21,"DCBAS"),1,2,3,4,5),0),""))),"")</f>
        <v>3.5</v>
      </c>
      <c r="I21" s="53" t="str">
        <f t="shared" si="0"/>
        <v>A</v>
      </c>
      <c r="J21" s="5"/>
      <c r="K21" s="5"/>
      <c r="L21" s="54"/>
      <c r="M21" s="5"/>
      <c r="N21" s="5"/>
      <c r="O21" s="5"/>
      <c r="P21" s="55"/>
      <c r="Q21" s="5"/>
      <c r="R21" s="5"/>
      <c r="S21" s="5"/>
      <c r="T21" s="5"/>
      <c r="U21" s="5"/>
    </row>
    <row r="22" spans="1:21" ht="21.75" customHeight="1">
      <c r="A22" s="4">
        <f>IF('01_인적정보'!B22="","",'01_인적정보'!A22)</f>
        <v>17</v>
      </c>
      <c r="B22" s="4" t="str">
        <f>IF('01_인적정보'!B22="","",'01_인적정보'!B22)</f>
        <v>BSS-017</v>
      </c>
      <c r="C22" s="13" t="str">
        <f>IF('01_인적정보'!B22="","",'01_인적정보'!C22)</f>
        <v>OOO</v>
      </c>
      <c r="D22" s="13" t="str">
        <f>IF('01_인적정보'!B22="","",'01_인적정보'!E22)</f>
        <v>교육</v>
      </c>
      <c r="E22" s="40" t="str">
        <f>IF('01_인적정보'!B22="","",'01_인적정보'!H22)</f>
        <v>G4</v>
      </c>
      <c r="F22" s="19" t="str">
        <f>IF(OR('01_인적정보'!B22="",'07a_상반기입력'!G22=""),"",'07a_상반기입력'!G22)</f>
        <v>C</v>
      </c>
      <c r="G22" s="19" t="str">
        <f>IF(OR('01_인적정보'!B22="",'07a_상반기입력'!H22=""),"",'07a_상반기입력'!H22)</f>
        <v>B</v>
      </c>
      <c r="H22" s="52">
        <f>IFERROR(IF(AND(LEN(F22)&gt;0,LEN(G22)&gt;0),'02_의사결정·종합결과'!$B$67*IFERROR(CHOOSE(FIND(F22,"DCBAS"),1,2,3,4,5),0)+'02_의사결정·종합결과'!$B$68*IFERROR(CHOOSE(FIND(G22,"DCBAS"),1,2,3,4,5),0),IF(LEN(F22)&gt;0,IFERROR(CHOOSE(FIND(F22,"DCBAS"),1,2,3,4,5),0),IF(LEN(G22)&gt;0,IFERROR(CHOOSE(FIND(G22,"DCBAS"),1,2,3,4,5),0),""))),"")</f>
        <v>2.5</v>
      </c>
      <c r="I22" s="53" t="str">
        <f t="shared" si="0"/>
        <v>B</v>
      </c>
      <c r="J22" s="5"/>
      <c r="K22" s="5"/>
      <c r="L22" s="54"/>
      <c r="M22" s="5"/>
      <c r="N22" s="5"/>
      <c r="O22" s="5"/>
      <c r="P22" s="55"/>
      <c r="Q22" s="5"/>
      <c r="R22" s="5"/>
      <c r="S22" s="5"/>
      <c r="T22" s="5"/>
      <c r="U22" s="5"/>
    </row>
    <row r="23" spans="1:21" ht="21.75" customHeight="1">
      <c r="A23" s="4">
        <f>IF('01_인적정보'!B23="","",'01_인적정보'!A23)</f>
        <v>18</v>
      </c>
      <c r="B23" s="4" t="str">
        <f>IF('01_인적정보'!B23="","",'01_인적정보'!B23)</f>
        <v>BSS-018</v>
      </c>
      <c r="C23" s="13" t="str">
        <f>IF('01_인적정보'!B23="","",'01_인적정보'!C23)</f>
        <v>OOO</v>
      </c>
      <c r="D23" s="13" t="str">
        <f>IF('01_인적정보'!B23="","",'01_인적정보'!E23)</f>
        <v>BIM컨설팅</v>
      </c>
      <c r="E23" s="40" t="str">
        <f>IF('01_인적정보'!B23="","",'01_인적정보'!H23)</f>
        <v>G4</v>
      </c>
      <c r="F23" s="19" t="str">
        <f>IF(OR('01_인적정보'!B23="",'07a_상반기입력'!G23=""),"",'07a_상반기입력'!G23)</f>
        <v>B</v>
      </c>
      <c r="G23" s="19" t="str">
        <f>IF(OR('01_인적정보'!B23="",'07a_상반기입력'!H23=""),"",'07a_상반기입력'!H23)</f>
        <v>B</v>
      </c>
      <c r="H23" s="52">
        <f>IFERROR(IF(AND(LEN(F23)&gt;0,LEN(G23)&gt;0),'02_의사결정·종합결과'!$B$67*IFERROR(CHOOSE(FIND(F23,"DCBAS"),1,2,3,4,5),0)+'02_의사결정·종합결과'!$B$68*IFERROR(CHOOSE(FIND(G23,"DCBAS"),1,2,3,4,5),0),IF(LEN(F23)&gt;0,IFERROR(CHOOSE(FIND(F23,"DCBAS"),1,2,3,4,5),0),IF(LEN(G23)&gt;0,IFERROR(CHOOSE(FIND(G23,"DCBAS"),1,2,3,4,5),0),""))),"")</f>
        <v>3</v>
      </c>
      <c r="I23" s="53" t="str">
        <f t="shared" si="0"/>
        <v>B</v>
      </c>
      <c r="J23" s="5"/>
      <c r="K23" s="5"/>
      <c r="L23" s="54"/>
      <c r="M23" s="5"/>
      <c r="N23" s="5"/>
      <c r="O23" s="5"/>
      <c r="P23" s="55"/>
      <c r="Q23" s="5"/>
      <c r="R23" s="5"/>
      <c r="S23" s="5"/>
      <c r="T23" s="5"/>
      <c r="U23" s="5"/>
    </row>
    <row r="24" spans="1:21" ht="21.75" customHeight="1">
      <c r="A24" s="4">
        <f>IF('01_인적정보'!B24="","",'01_인적정보'!A24)</f>
        <v>19</v>
      </c>
      <c r="B24" s="4" t="str">
        <f>IF('01_인적정보'!B24="","",'01_인적정보'!B24)</f>
        <v>BSS-019</v>
      </c>
      <c r="C24" s="13" t="str">
        <f>IF('01_인적정보'!B24="","",'01_인적정보'!C24)</f>
        <v>OOO</v>
      </c>
      <c r="D24" s="13" t="str">
        <f>IF('01_인적정보'!B24="","",'01_인적정보'!E24)</f>
        <v>BIM컨설팅</v>
      </c>
      <c r="E24" s="40" t="str">
        <f>IF('01_인적정보'!B24="","",'01_인적정보'!H24)</f>
        <v>G3</v>
      </c>
      <c r="F24" s="19" t="str">
        <f>IF(OR('01_인적정보'!B24="",'07a_상반기입력'!G24=""),"",'07a_상반기입력'!G24)</f>
        <v>B</v>
      </c>
      <c r="G24" s="19" t="str">
        <f>IF(OR('01_인적정보'!B24="",'07a_상반기입력'!H24=""),"",'07a_상반기입력'!H24)</f>
        <v>B</v>
      </c>
      <c r="H24" s="52">
        <f>IFERROR(IF(AND(LEN(F24)&gt;0,LEN(G24)&gt;0),'02_의사결정·종합결과'!$B$67*IFERROR(CHOOSE(FIND(F24,"DCBAS"),1,2,3,4,5),0)+'02_의사결정·종합결과'!$B$68*IFERROR(CHOOSE(FIND(G24,"DCBAS"),1,2,3,4,5),0),IF(LEN(F24)&gt;0,IFERROR(CHOOSE(FIND(F24,"DCBAS"),1,2,3,4,5),0),IF(LEN(G24)&gt;0,IFERROR(CHOOSE(FIND(G24,"DCBAS"),1,2,3,4,5),0),""))),"")</f>
        <v>3</v>
      </c>
      <c r="I24" s="53" t="str">
        <f t="shared" si="0"/>
        <v>B</v>
      </c>
      <c r="J24" s="5"/>
      <c r="K24" s="5"/>
      <c r="L24" s="54"/>
      <c r="M24" s="5"/>
      <c r="N24" s="5"/>
      <c r="O24" s="5"/>
      <c r="P24" s="55"/>
      <c r="Q24" s="5"/>
      <c r="R24" s="5"/>
      <c r="S24" s="5"/>
      <c r="T24" s="5"/>
      <c r="U24" s="5"/>
    </row>
    <row r="25" spans="1:21" ht="21.75" customHeight="1">
      <c r="A25" s="4">
        <f>IF('01_인적정보'!B25="","",'01_인적정보'!A25)</f>
        <v>20</v>
      </c>
      <c r="B25" s="4" t="str">
        <f>IF('01_인적정보'!B25="","",'01_인적정보'!B25)</f>
        <v>BSS-020</v>
      </c>
      <c r="C25" s="13" t="str">
        <f>IF('01_인적정보'!B25="","",'01_인적정보'!C25)</f>
        <v>OOO</v>
      </c>
      <c r="D25" s="13" t="str">
        <f>IF('01_인적정보'!B25="","",'01_인적정보'!E25)</f>
        <v>기술지원</v>
      </c>
      <c r="E25" s="40" t="str">
        <f>IF('01_인적정보'!B25="","",'01_인적정보'!H25)</f>
        <v>G3</v>
      </c>
      <c r="F25" s="19" t="str">
        <f>IF(OR('01_인적정보'!B25="",'07a_상반기입력'!G25=""),"",'07a_상반기입력'!G25)</f>
        <v>B</v>
      </c>
      <c r="G25" s="19" t="str">
        <f>IF(OR('01_인적정보'!B25="",'07a_상반기입력'!H25=""),"",'07a_상반기입력'!H25)</f>
        <v>B</v>
      </c>
      <c r="H25" s="52">
        <f>IFERROR(IF(AND(LEN(F25)&gt;0,LEN(G25)&gt;0),'02_의사결정·종합결과'!$B$67*IFERROR(CHOOSE(FIND(F25,"DCBAS"),1,2,3,4,5),0)+'02_의사결정·종합결과'!$B$68*IFERROR(CHOOSE(FIND(G25,"DCBAS"),1,2,3,4,5),0),IF(LEN(F25)&gt;0,IFERROR(CHOOSE(FIND(F25,"DCBAS"),1,2,3,4,5),0),IF(LEN(G25)&gt;0,IFERROR(CHOOSE(FIND(G25,"DCBAS"),1,2,3,4,5),0),""))),"")</f>
        <v>3</v>
      </c>
      <c r="I25" s="53" t="str">
        <f t="shared" si="0"/>
        <v>B</v>
      </c>
      <c r="J25" s="5"/>
      <c r="K25" s="5"/>
      <c r="L25" s="54"/>
      <c r="M25" s="5"/>
      <c r="N25" s="5"/>
      <c r="O25" s="5"/>
      <c r="P25" s="55"/>
      <c r="Q25" s="5"/>
      <c r="R25" s="5"/>
      <c r="S25" s="5"/>
      <c r="T25" s="5"/>
      <c r="U25" s="5"/>
    </row>
    <row r="26" spans="1:21" ht="21.75" customHeight="1">
      <c r="A26" s="4">
        <f>IF('01_인적정보'!B26="","",'01_인적정보'!A26)</f>
        <v>21</v>
      </c>
      <c r="B26" s="4" t="str">
        <f>IF('01_인적정보'!B26="","",'01_인적정보'!B26)</f>
        <v>BSS-021</v>
      </c>
      <c r="C26" s="13" t="str">
        <f>IF('01_인적정보'!B26="","",'01_인적정보'!C26)</f>
        <v>OOO</v>
      </c>
      <c r="D26" s="13" t="str">
        <f>IF('01_인적정보'!B26="","",'01_인적정보'!E26)</f>
        <v>BIM컨설팅</v>
      </c>
      <c r="E26" s="40" t="str">
        <f>IF('01_인적정보'!B26="","",'01_인적정보'!H26)</f>
        <v>G2</v>
      </c>
      <c r="F26" s="19" t="str">
        <f>IF(OR('01_인적정보'!B26="",'07a_상반기입력'!G26=""),"",'07a_상반기입력'!G26)</f>
        <v>C</v>
      </c>
      <c r="G26" s="19" t="str">
        <f>IF(OR('01_인적정보'!B26="",'07a_상반기입력'!H26=""),"",'07a_상반기입력'!H26)</f>
        <v>B</v>
      </c>
      <c r="H26" s="52">
        <f>IFERROR(IF(AND(LEN(F26)&gt;0,LEN(G26)&gt;0),'02_의사결정·종합결과'!$B$67*IFERROR(CHOOSE(FIND(F26,"DCBAS"),1,2,3,4,5),0)+'02_의사결정·종합결과'!$B$68*IFERROR(CHOOSE(FIND(G26,"DCBAS"),1,2,3,4,5),0),IF(LEN(F26)&gt;0,IFERROR(CHOOSE(FIND(F26,"DCBAS"),1,2,3,4,5),0),IF(LEN(G26)&gt;0,IFERROR(CHOOSE(FIND(G26,"DCBAS"),1,2,3,4,5),0),""))),"")</f>
        <v>2.5</v>
      </c>
      <c r="I26" s="53" t="str">
        <f t="shared" si="0"/>
        <v>B</v>
      </c>
      <c r="J26" s="5"/>
      <c r="K26" s="5"/>
      <c r="L26" s="54"/>
      <c r="M26" s="5"/>
      <c r="N26" s="5"/>
      <c r="O26" s="5"/>
      <c r="P26" s="55"/>
      <c r="Q26" s="5"/>
      <c r="R26" s="5"/>
      <c r="S26" s="5"/>
      <c r="T26" s="5"/>
      <c r="U26" s="5"/>
    </row>
    <row r="27" spans="1:21" ht="21.75" customHeight="1">
      <c r="A27" s="4">
        <f>IF('01_인적정보'!B27="","",'01_인적정보'!A27)</f>
        <v>22</v>
      </c>
      <c r="B27" s="4" t="str">
        <f>IF('01_인적정보'!B27="","",'01_인적정보'!B27)</f>
        <v>BSS-022</v>
      </c>
      <c r="C27" s="13" t="str">
        <f>IF('01_인적정보'!B27="","",'01_인적정보'!C27)</f>
        <v>OOO</v>
      </c>
      <c r="D27" s="13" t="str">
        <f>IF('01_인적정보'!B27="","",'01_인적정보'!E27)</f>
        <v>BIM컨설팅</v>
      </c>
      <c r="E27" s="40" t="str">
        <f>IF('01_인적정보'!B27="","",'01_인적정보'!H27)</f>
        <v>G2</v>
      </c>
      <c r="F27" s="19" t="str">
        <f>IF(OR('01_인적정보'!B27="",'07a_상반기입력'!G27=""),"",'07a_상반기입력'!G27)</f>
        <v>B</v>
      </c>
      <c r="G27" s="19" t="str">
        <f>IF(OR('01_인적정보'!B27="",'07a_상반기입력'!H27=""),"",'07a_상반기입력'!H27)</f>
        <v>B</v>
      </c>
      <c r="H27" s="52">
        <f>IFERROR(IF(AND(LEN(F27)&gt;0,LEN(G27)&gt;0),'02_의사결정·종합결과'!$B$67*IFERROR(CHOOSE(FIND(F27,"DCBAS"),1,2,3,4,5),0)+'02_의사결정·종합결과'!$B$68*IFERROR(CHOOSE(FIND(G27,"DCBAS"),1,2,3,4,5),0),IF(LEN(F27)&gt;0,IFERROR(CHOOSE(FIND(F27,"DCBAS"),1,2,3,4,5),0),IF(LEN(G27)&gt;0,IFERROR(CHOOSE(FIND(G27,"DCBAS"),1,2,3,4,5),0),""))),"")</f>
        <v>3</v>
      </c>
      <c r="I27" s="53" t="str">
        <f t="shared" si="0"/>
        <v>B</v>
      </c>
      <c r="J27" s="5"/>
      <c r="K27" s="5"/>
      <c r="L27" s="54"/>
      <c r="M27" s="5"/>
      <c r="N27" s="5"/>
      <c r="O27" s="5"/>
      <c r="P27" s="55"/>
      <c r="Q27" s="5"/>
      <c r="R27" s="5"/>
      <c r="S27" s="5"/>
      <c r="T27" s="5"/>
      <c r="U27" s="5"/>
    </row>
    <row r="28" spans="1:21" ht="21.75" customHeight="1">
      <c r="A28" s="4">
        <f>IF('01_인적정보'!B28="","",'01_인적정보'!A28)</f>
        <v>23</v>
      </c>
      <c r="B28" s="4" t="str">
        <f>IF('01_인적정보'!B28="","",'01_인적정보'!B28)</f>
        <v>BSS-023</v>
      </c>
      <c r="C28" s="13" t="str">
        <f>IF('01_인적정보'!B28="","",'01_인적정보'!C28)</f>
        <v>OOO</v>
      </c>
      <c r="D28" s="13" t="str">
        <f>IF('01_인적정보'!B28="","",'01_인적정보'!E28)</f>
        <v>BIM컨설팅</v>
      </c>
      <c r="E28" s="40" t="str">
        <f>IF('01_인적정보'!B28="","",'01_인적정보'!H28)</f>
        <v>G2</v>
      </c>
      <c r="F28" s="19" t="str">
        <f>IF(OR('01_인적정보'!B28="",'07a_상반기입력'!G28=""),"",'07a_상반기입력'!G28)</f>
        <v>B</v>
      </c>
      <c r="G28" s="19" t="str">
        <f>IF(OR('01_인적정보'!B28="",'07a_상반기입력'!H28=""),"",'07a_상반기입력'!H28)</f>
        <v>B</v>
      </c>
      <c r="H28" s="52">
        <f>IFERROR(IF(AND(LEN(F28)&gt;0,LEN(G28)&gt;0),'02_의사결정·종합결과'!$B$67*IFERROR(CHOOSE(FIND(F28,"DCBAS"),1,2,3,4,5),0)+'02_의사결정·종합결과'!$B$68*IFERROR(CHOOSE(FIND(G28,"DCBAS"),1,2,3,4,5),0),IF(LEN(F28)&gt;0,IFERROR(CHOOSE(FIND(F28,"DCBAS"),1,2,3,4,5),0),IF(LEN(G28)&gt;0,IFERROR(CHOOSE(FIND(G28,"DCBAS"),1,2,3,4,5),0),""))),"")</f>
        <v>3</v>
      </c>
      <c r="I28" s="53" t="str">
        <f t="shared" si="0"/>
        <v>B</v>
      </c>
      <c r="J28" s="5"/>
      <c r="K28" s="5"/>
      <c r="L28" s="54"/>
      <c r="M28" s="5"/>
      <c r="N28" s="5"/>
      <c r="O28" s="5"/>
      <c r="P28" s="55"/>
      <c r="Q28" s="5"/>
      <c r="R28" s="5"/>
      <c r="S28" s="5"/>
      <c r="T28" s="5"/>
      <c r="U28" s="5"/>
    </row>
    <row r="29" spans="1:21" ht="21.75" customHeight="1">
      <c r="A29" s="4">
        <f>IF('01_인적정보'!B29="","",'01_인적정보'!A29)</f>
        <v>24</v>
      </c>
      <c r="B29" s="4" t="str">
        <f>IF('01_인적정보'!B29="","",'01_인적정보'!B29)</f>
        <v>BSS-024</v>
      </c>
      <c r="C29" s="13" t="str">
        <f>IF('01_인적정보'!B29="","",'01_인적정보'!C29)</f>
        <v>OOO</v>
      </c>
      <c r="D29" s="13" t="str">
        <f>IF('01_인적정보'!B29="","",'01_인적정보'!E29)</f>
        <v>BIM컨설팅</v>
      </c>
      <c r="E29" s="40" t="str">
        <f>IF('01_인적정보'!B29="","",'01_인적정보'!H29)</f>
        <v>G2</v>
      </c>
      <c r="F29" s="19" t="str">
        <f>IF(OR('01_인적정보'!B29="",'07a_상반기입력'!G29=""),"",'07a_상반기입력'!G29)</f>
        <v>B</v>
      </c>
      <c r="G29" s="19" t="str">
        <f>IF(OR('01_인적정보'!B29="",'07a_상반기입력'!H29=""),"",'07a_상반기입력'!H29)</f>
        <v>B</v>
      </c>
      <c r="H29" s="52">
        <f>IFERROR(IF(AND(LEN(F29)&gt;0,LEN(G29)&gt;0),'02_의사결정·종합결과'!$B$67*IFERROR(CHOOSE(FIND(F29,"DCBAS"),1,2,3,4,5),0)+'02_의사결정·종합결과'!$B$68*IFERROR(CHOOSE(FIND(G29,"DCBAS"),1,2,3,4,5),0),IF(LEN(F29)&gt;0,IFERROR(CHOOSE(FIND(F29,"DCBAS"),1,2,3,4,5),0),IF(LEN(G29)&gt;0,IFERROR(CHOOSE(FIND(G29,"DCBAS"),1,2,3,4,5),0),""))),"")</f>
        <v>3</v>
      </c>
      <c r="I29" s="53" t="str">
        <f t="shared" si="0"/>
        <v>B</v>
      </c>
      <c r="J29" s="5"/>
      <c r="K29" s="5"/>
      <c r="L29" s="54"/>
      <c r="M29" s="5"/>
      <c r="N29" s="5"/>
      <c r="O29" s="5"/>
      <c r="P29" s="55"/>
      <c r="Q29" s="5"/>
      <c r="R29" s="5"/>
      <c r="S29" s="5"/>
      <c r="T29" s="5"/>
      <c r="U29" s="5"/>
    </row>
    <row r="30" spans="1:21" ht="21.75" customHeight="1">
      <c r="A30" s="4">
        <f>IF('01_인적정보'!B30="","",'01_인적정보'!A30)</f>
        <v>25</v>
      </c>
      <c r="B30" s="4" t="str">
        <f>IF('01_인적정보'!B30="","",'01_인적정보'!B30)</f>
        <v>BSS-025</v>
      </c>
      <c r="C30" s="13" t="str">
        <f>IF('01_인적정보'!B30="","",'01_인적정보'!C30)</f>
        <v>OOO</v>
      </c>
      <c r="D30" s="13" t="str">
        <f>IF('01_인적정보'!B30="","",'01_인적정보'!E30)</f>
        <v>연구개발(R&amp;D)</v>
      </c>
      <c r="E30" s="40" t="str">
        <f>IF('01_인적정보'!B30="","",'01_인적정보'!H30)</f>
        <v>G2</v>
      </c>
      <c r="F30" s="19" t="str">
        <f>IF(OR('01_인적정보'!B30="",'07a_상반기입력'!G30=""),"",'07a_상반기입력'!G30)</f>
        <v>D</v>
      </c>
      <c r="G30" s="19" t="str">
        <f>IF(OR('01_인적정보'!B30="",'07a_상반기입력'!H30=""),"",'07a_상반기입력'!H30)</f>
        <v>D</v>
      </c>
      <c r="H30" s="52">
        <f>IFERROR(IF(AND(LEN(F30)&gt;0,LEN(G30)&gt;0),'02_의사결정·종합결과'!$B$67*IFERROR(CHOOSE(FIND(F30,"DCBAS"),1,2,3,4,5),0)+'02_의사결정·종합결과'!$B$68*IFERROR(CHOOSE(FIND(G30,"DCBAS"),1,2,3,4,5),0),IF(LEN(F30)&gt;0,IFERROR(CHOOSE(FIND(F30,"DCBAS"),1,2,3,4,5),0),IF(LEN(G30)&gt;0,IFERROR(CHOOSE(FIND(G30,"DCBAS"),1,2,3,4,5),0),""))),"")</f>
        <v>1</v>
      </c>
      <c r="I30" s="53" t="str">
        <f t="shared" si="0"/>
        <v>D</v>
      </c>
      <c r="J30" s="5"/>
      <c r="K30" s="5"/>
      <c r="L30" s="54"/>
      <c r="M30" s="5"/>
      <c r="N30" s="5"/>
      <c r="O30" s="5"/>
      <c r="P30" s="55"/>
      <c r="Q30" s="5"/>
      <c r="R30" s="5"/>
      <c r="S30" s="5"/>
      <c r="T30" s="5"/>
      <c r="U30" s="5"/>
    </row>
    <row r="31" spans="1:21" ht="21.75" customHeight="1">
      <c r="A31" s="4">
        <f>IF('01_인적정보'!B31="","",'01_인적정보'!A31)</f>
        <v>26</v>
      </c>
      <c r="B31" s="4" t="str">
        <f>IF('01_인적정보'!B31="","",'01_인적정보'!B31)</f>
        <v>BSS-026</v>
      </c>
      <c r="C31" s="13" t="str">
        <f>IF('01_인적정보'!B31="","",'01_인적정보'!C31)</f>
        <v>OOO</v>
      </c>
      <c r="D31" s="13" t="str">
        <f>IF('01_인적정보'!B31="","",'01_인적정보'!E31)</f>
        <v>경영전략기획</v>
      </c>
      <c r="E31" s="40" t="str">
        <f>IF('01_인적정보'!B31="","",'01_인적정보'!H31)</f>
        <v>G1</v>
      </c>
      <c r="F31" s="19" t="str">
        <f>IF(OR('01_인적정보'!B31="",'07a_상반기입력'!G31=""),"",'07a_상반기입력'!G31)</f>
        <v>B</v>
      </c>
      <c r="G31" s="19" t="str">
        <f>IF(OR('01_인적정보'!B31="",'07a_상반기입력'!H31=""),"",'07a_상반기입력'!H31)</f>
        <v>B</v>
      </c>
      <c r="H31" s="52">
        <f>IFERROR(IF(AND(LEN(F31)&gt;0,LEN(G31)&gt;0),'02_의사결정·종합결과'!$B$67*IFERROR(CHOOSE(FIND(F31,"DCBAS"),1,2,3,4,5),0)+'02_의사결정·종합결과'!$B$68*IFERROR(CHOOSE(FIND(G31,"DCBAS"),1,2,3,4,5),0),IF(LEN(F31)&gt;0,IFERROR(CHOOSE(FIND(F31,"DCBAS"),1,2,3,4,5),0),IF(LEN(G31)&gt;0,IFERROR(CHOOSE(FIND(G31,"DCBAS"),1,2,3,4,5),0),""))),"")</f>
        <v>3</v>
      </c>
      <c r="I31" s="53" t="str">
        <f t="shared" si="0"/>
        <v>B</v>
      </c>
      <c r="J31" s="5"/>
      <c r="K31" s="5"/>
      <c r="L31" s="54"/>
      <c r="M31" s="5"/>
      <c r="N31" s="5"/>
      <c r="O31" s="5"/>
      <c r="P31" s="55"/>
      <c r="Q31" s="5"/>
      <c r="R31" s="5"/>
      <c r="S31" s="5"/>
      <c r="T31" s="5"/>
      <c r="U31" s="5"/>
    </row>
    <row r="32" spans="1:21" ht="21.75" customHeight="1">
      <c r="A32" s="4">
        <f>IF('01_인적정보'!B32="","",'01_인적정보'!A32)</f>
        <v>27</v>
      </c>
      <c r="B32" s="4" t="str">
        <f>IF('01_인적정보'!B32="","",'01_인적정보'!B32)</f>
        <v>BSS-027</v>
      </c>
      <c r="C32" s="13" t="str">
        <f>IF('01_인적정보'!B32="","",'01_인적정보'!C32)</f>
        <v>OOO</v>
      </c>
      <c r="D32" s="13" t="str">
        <f>IF('01_인적정보'!B32="","",'01_인적정보'!E32)</f>
        <v>교육</v>
      </c>
      <c r="E32" s="40" t="str">
        <f>IF('01_인적정보'!B32="","",'01_인적정보'!H32)</f>
        <v>G2</v>
      </c>
      <c r="F32" s="19" t="str">
        <f>IF(OR('01_인적정보'!B32="",'07a_상반기입력'!G32=""),"",'07a_상반기입력'!G32)</f>
        <v>A</v>
      </c>
      <c r="G32" s="19" t="str">
        <f>IF(OR('01_인적정보'!B32="",'07a_상반기입력'!H32=""),"",'07a_상반기입력'!H32)</f>
        <v>A</v>
      </c>
      <c r="H32" s="52">
        <f>IFERROR(IF(AND(LEN(F32)&gt;0,LEN(G32)&gt;0),'02_의사결정·종합결과'!$B$67*IFERROR(CHOOSE(FIND(F32,"DCBAS"),1,2,3,4,5),0)+'02_의사결정·종합결과'!$B$68*IFERROR(CHOOSE(FIND(G32,"DCBAS"),1,2,3,4,5),0),IF(LEN(F32)&gt;0,IFERROR(CHOOSE(FIND(F32,"DCBAS"),1,2,3,4,5),0),IF(LEN(G32)&gt;0,IFERROR(CHOOSE(FIND(G32,"DCBAS"),1,2,3,4,5),0),""))),"")</f>
        <v>4</v>
      </c>
      <c r="I32" s="53" t="str">
        <f t="shared" si="0"/>
        <v>A</v>
      </c>
      <c r="J32" s="5"/>
      <c r="K32" s="5"/>
      <c r="L32" s="54"/>
      <c r="M32" s="5"/>
      <c r="N32" s="5"/>
      <c r="O32" s="5"/>
      <c r="P32" s="55"/>
      <c r="Q32" s="5"/>
      <c r="R32" s="5"/>
      <c r="S32" s="5"/>
      <c r="T32" s="5"/>
      <c r="U32" s="5"/>
    </row>
    <row r="33" spans="1:21" ht="21.75" customHeight="1">
      <c r="A33" s="4">
        <f>IF('01_인적정보'!B33="","",'01_인적정보'!A33)</f>
        <v>28</v>
      </c>
      <c r="B33" s="4" t="str">
        <f>IF('01_인적정보'!B33="","",'01_인적정보'!B33)</f>
        <v>BSS-028</v>
      </c>
      <c r="C33" s="13" t="str">
        <f>IF('01_인적정보'!B33="","",'01_인적정보'!C33)</f>
        <v>OOO</v>
      </c>
      <c r="D33" s="13" t="str">
        <f>IF('01_인적정보'!B33="","",'01_인적정보'!E33)</f>
        <v>BIM컨설팅</v>
      </c>
      <c r="E33" s="40" t="str">
        <f>IF('01_인적정보'!B33="","",'01_인적정보'!H33)</f>
        <v>G1</v>
      </c>
      <c r="F33" s="19" t="str">
        <f>IF(OR('01_인적정보'!B33="",'07a_상반기입력'!G33=""),"",'07a_상반기입력'!G33)</f>
        <v>A</v>
      </c>
      <c r="G33" s="19" t="str">
        <f>IF(OR('01_인적정보'!B33="",'07a_상반기입력'!H33=""),"",'07a_상반기입력'!H33)</f>
        <v>A</v>
      </c>
      <c r="H33" s="52">
        <f>IFERROR(IF(AND(LEN(F33)&gt;0,LEN(G33)&gt;0),'02_의사결정·종합결과'!$B$67*IFERROR(CHOOSE(FIND(F33,"DCBAS"),1,2,3,4,5),0)+'02_의사결정·종합결과'!$B$68*IFERROR(CHOOSE(FIND(G33,"DCBAS"),1,2,3,4,5),0),IF(LEN(F33)&gt;0,IFERROR(CHOOSE(FIND(F33,"DCBAS"),1,2,3,4,5),0),IF(LEN(G33)&gt;0,IFERROR(CHOOSE(FIND(G33,"DCBAS"),1,2,3,4,5),0),""))),"")</f>
        <v>4</v>
      </c>
      <c r="I33" s="53" t="str">
        <f t="shared" si="0"/>
        <v>A</v>
      </c>
      <c r="J33" s="5"/>
      <c r="K33" s="5"/>
      <c r="L33" s="54"/>
      <c r="M33" s="5"/>
      <c r="N33" s="5"/>
      <c r="O33" s="5"/>
      <c r="P33" s="55"/>
      <c r="Q33" s="5"/>
      <c r="R33" s="5"/>
      <c r="S33" s="5"/>
      <c r="T33" s="5"/>
      <c r="U33" s="5"/>
    </row>
    <row r="34" spans="1:21" ht="21.75" customHeight="1">
      <c r="A34" s="4">
        <f>IF('01_인적정보'!B34="","",'01_인적정보'!A34)</f>
        <v>29</v>
      </c>
      <c r="B34" s="4" t="str">
        <f>IF('01_인적정보'!B34="","",'01_인적정보'!B34)</f>
        <v>BSS-029</v>
      </c>
      <c r="C34" s="13" t="str">
        <f>IF('01_인적정보'!B34="","",'01_인적정보'!C34)</f>
        <v>OOO</v>
      </c>
      <c r="D34" s="13" t="str">
        <f>IF('01_인적정보'!B34="","",'01_인적정보'!E34)</f>
        <v>BIM컨설팅</v>
      </c>
      <c r="E34" s="40" t="str">
        <f>IF('01_인적정보'!B34="","",'01_인적정보'!H34)</f>
        <v>G1</v>
      </c>
      <c r="F34" s="19" t="str">
        <f>IF(OR('01_인적정보'!B34="",'07a_상반기입력'!G34=""),"",'07a_상반기입력'!G34)</f>
        <v>B</v>
      </c>
      <c r="G34" s="19" t="str">
        <f>IF(OR('01_인적정보'!B34="",'07a_상반기입력'!H34=""),"",'07a_상반기입력'!H34)</f>
        <v>B</v>
      </c>
      <c r="H34" s="52">
        <f>IFERROR(IF(AND(LEN(F34)&gt;0,LEN(G34)&gt;0),'02_의사결정·종합결과'!$B$67*IFERROR(CHOOSE(FIND(F34,"DCBAS"),1,2,3,4,5),0)+'02_의사결정·종합결과'!$B$68*IFERROR(CHOOSE(FIND(G34,"DCBAS"),1,2,3,4,5),0),IF(LEN(F34)&gt;0,IFERROR(CHOOSE(FIND(F34,"DCBAS"),1,2,3,4,5),0),IF(LEN(G34)&gt;0,IFERROR(CHOOSE(FIND(G34,"DCBAS"),1,2,3,4,5),0),""))),"")</f>
        <v>3</v>
      </c>
      <c r="I34" s="53" t="str">
        <f t="shared" si="0"/>
        <v>B</v>
      </c>
      <c r="J34" s="5"/>
      <c r="K34" s="5"/>
      <c r="L34" s="54"/>
      <c r="M34" s="5"/>
      <c r="N34" s="5"/>
      <c r="O34" s="5"/>
      <c r="P34" s="55"/>
      <c r="Q34" s="5"/>
      <c r="R34" s="5"/>
      <c r="S34" s="5"/>
      <c r="T34" s="5"/>
      <c r="U34" s="5"/>
    </row>
    <row r="35" spans="1:21" ht="21.75" customHeight="1">
      <c r="A35" s="4">
        <f>IF('01_인적정보'!B35="","",'01_인적정보'!A35)</f>
        <v>30</v>
      </c>
      <c r="B35" s="4" t="str">
        <f>IF('01_인적정보'!B35="","",'01_인적정보'!B35)</f>
        <v>BSS-030</v>
      </c>
      <c r="C35" s="13" t="str">
        <f>IF('01_인적정보'!B35="","",'01_인적정보'!C35)</f>
        <v>OOO</v>
      </c>
      <c r="D35" s="13" t="str">
        <f>IF('01_인적정보'!B35="","",'01_인적정보'!E35)</f>
        <v>BIM컨설팅</v>
      </c>
      <c r="E35" s="40" t="str">
        <f>IF('01_인적정보'!B35="","",'01_인적정보'!H35)</f>
        <v>G1</v>
      </c>
      <c r="F35" s="19" t="str">
        <f>IF(OR('01_인적정보'!B35="",'07a_상반기입력'!G35=""),"",'07a_상반기입력'!G35)</f>
        <v>B</v>
      </c>
      <c r="G35" s="19" t="str">
        <f>IF(OR('01_인적정보'!B35="",'07a_상반기입력'!H35=""),"",'07a_상반기입력'!H35)</f>
        <v>A</v>
      </c>
      <c r="H35" s="52">
        <f>IFERROR(IF(AND(LEN(F35)&gt;0,LEN(G35)&gt;0),'02_의사결정·종합결과'!$B$67*IFERROR(CHOOSE(FIND(F35,"DCBAS"),1,2,3,4,5),0)+'02_의사결정·종합결과'!$B$68*IFERROR(CHOOSE(FIND(G35,"DCBAS"),1,2,3,4,5),0),IF(LEN(F35)&gt;0,IFERROR(CHOOSE(FIND(F35,"DCBAS"),1,2,3,4,5),0),IF(LEN(G35)&gt;0,IFERROR(CHOOSE(FIND(G35,"DCBAS"),1,2,3,4,5),0),""))),"")</f>
        <v>3.5</v>
      </c>
      <c r="I35" s="53" t="str">
        <f t="shared" si="0"/>
        <v>A</v>
      </c>
      <c r="J35" s="5"/>
      <c r="K35" s="5"/>
      <c r="L35" s="54"/>
      <c r="M35" s="5"/>
      <c r="N35" s="5"/>
      <c r="O35" s="5"/>
      <c r="P35" s="55"/>
      <c r="Q35" s="5"/>
      <c r="R35" s="5"/>
      <c r="S35" s="5"/>
      <c r="T35" s="5"/>
      <c r="U35" s="5"/>
    </row>
    <row r="36" spans="1:21" ht="21.75" customHeight="1">
      <c r="A36" s="4">
        <f>IF('01_인적정보'!B36="","",'01_인적정보'!A36)</f>
        <v>31</v>
      </c>
      <c r="B36" s="4" t="str">
        <f>IF('01_인적정보'!B36="","",'01_인적정보'!B36)</f>
        <v>BSS-031</v>
      </c>
      <c r="C36" s="13" t="str">
        <f>IF('01_인적정보'!B36="","",'01_인적정보'!C36)</f>
        <v>OOO</v>
      </c>
      <c r="D36" s="13" t="str">
        <f>IF('01_인적정보'!B36="","",'01_인적정보'!E36)</f>
        <v>BIM컨설팅</v>
      </c>
      <c r="E36" s="40" t="str">
        <f>IF('01_인적정보'!B36="","",'01_인적정보'!H36)</f>
        <v>G1</v>
      </c>
      <c r="F36" s="19" t="str">
        <f>IF(OR('01_인적정보'!B36="",'07a_상반기입력'!G36=""),"",'07a_상반기입력'!G36)</f>
        <v>A</v>
      </c>
      <c r="G36" s="19" t="str">
        <f>IF(OR('01_인적정보'!B36="",'07a_상반기입력'!H36=""),"",'07a_상반기입력'!H36)</f>
        <v>B</v>
      </c>
      <c r="H36" s="52">
        <f>IFERROR(IF(AND(LEN(F36)&gt;0,LEN(G36)&gt;0),'02_의사결정·종합결과'!$B$67*IFERROR(CHOOSE(FIND(F36,"DCBAS"),1,2,3,4,5),0)+'02_의사결정·종합결과'!$B$68*IFERROR(CHOOSE(FIND(G36,"DCBAS"),1,2,3,4,5),0),IF(LEN(F36)&gt;0,IFERROR(CHOOSE(FIND(F36,"DCBAS"),1,2,3,4,5),0),IF(LEN(G36)&gt;0,IFERROR(CHOOSE(FIND(G36,"DCBAS"),1,2,3,4,5),0),""))),"")</f>
        <v>3.5</v>
      </c>
      <c r="I36" s="53" t="str">
        <f t="shared" si="0"/>
        <v>A</v>
      </c>
      <c r="J36" s="5"/>
      <c r="K36" s="5"/>
      <c r="L36" s="54"/>
      <c r="M36" s="5"/>
      <c r="N36" s="5"/>
      <c r="O36" s="5"/>
      <c r="P36" s="55"/>
      <c r="Q36" s="5"/>
      <c r="R36" s="5"/>
      <c r="S36" s="5"/>
      <c r="T36" s="5"/>
      <c r="U36" s="5"/>
    </row>
    <row r="37" spans="1:21" ht="21.75" customHeight="1">
      <c r="A37" s="4">
        <f>IF('01_인적정보'!B37="","",'01_인적정보'!A37)</f>
        <v>32</v>
      </c>
      <c r="B37" s="4" t="str">
        <f>IF('01_인적정보'!B37="","",'01_인적정보'!B37)</f>
        <v>BSS-032</v>
      </c>
      <c r="C37" s="13" t="str">
        <f>IF('01_인적정보'!B37="","",'01_인적정보'!C37)</f>
        <v>OOO</v>
      </c>
      <c r="D37" s="13" t="str">
        <f>IF('01_인적정보'!B37="","",'01_인적정보'!E37)</f>
        <v>BIM컨설팅</v>
      </c>
      <c r="E37" s="40" t="str">
        <f>IF('01_인적정보'!B37="","",'01_인적정보'!H37)</f>
        <v>G1</v>
      </c>
      <c r="F37" s="19" t="str">
        <f>IF(OR('01_인적정보'!B37="",'07a_상반기입력'!G37=""),"",'07a_상반기입력'!G37)</f>
        <v>B</v>
      </c>
      <c r="G37" s="19" t="str">
        <f>IF(OR('01_인적정보'!B37="",'07a_상반기입력'!H37=""),"",'07a_상반기입력'!H37)</f>
        <v>A</v>
      </c>
      <c r="H37" s="52">
        <f>IFERROR(IF(AND(LEN(F37)&gt;0,LEN(G37)&gt;0),'02_의사결정·종합결과'!$B$67*IFERROR(CHOOSE(FIND(F37,"DCBAS"),1,2,3,4,5),0)+'02_의사결정·종합결과'!$B$68*IFERROR(CHOOSE(FIND(G37,"DCBAS"),1,2,3,4,5),0),IF(LEN(F37)&gt;0,IFERROR(CHOOSE(FIND(F37,"DCBAS"),1,2,3,4,5),0),IF(LEN(G37)&gt;0,IFERROR(CHOOSE(FIND(G37,"DCBAS"),1,2,3,4,5),0),""))),"")</f>
        <v>3.5</v>
      </c>
      <c r="I37" s="53" t="str">
        <f t="shared" si="0"/>
        <v>A</v>
      </c>
      <c r="J37" s="5"/>
      <c r="K37" s="5"/>
      <c r="L37" s="54"/>
      <c r="M37" s="5"/>
      <c r="N37" s="5"/>
      <c r="O37" s="5"/>
      <c r="P37" s="55"/>
      <c r="Q37" s="5"/>
      <c r="R37" s="5"/>
      <c r="S37" s="5"/>
      <c r="T37" s="5"/>
      <c r="U37" s="5"/>
    </row>
    <row r="38" spans="1:21" ht="21.75" customHeight="1">
      <c r="A38" s="4">
        <f>IF('01_인적정보'!B38="","",'01_인적정보'!A38)</f>
        <v>33</v>
      </c>
      <c r="B38" s="4" t="str">
        <f>IF('01_인적정보'!B38="","",'01_인적정보'!B38)</f>
        <v>BSS-033</v>
      </c>
      <c r="C38" s="13" t="str">
        <f>IF('01_인적정보'!B38="","",'01_인적정보'!C38)</f>
        <v>OOO</v>
      </c>
      <c r="D38" s="13" t="str">
        <f>IF('01_인적정보'!B38="","",'01_인적정보'!E38)</f>
        <v>BIM컨설팅</v>
      </c>
      <c r="E38" s="40" t="str">
        <f>IF('01_인적정보'!B38="","",'01_인적정보'!H38)</f>
        <v>G1</v>
      </c>
      <c r="F38" s="19" t="str">
        <f>IF(OR('01_인적정보'!B38="",'07a_상반기입력'!G38=""),"",'07a_상반기입력'!G38)</f>
        <v>B</v>
      </c>
      <c r="G38" s="19" t="str">
        <f>IF(OR('01_인적정보'!B38="",'07a_상반기입력'!H38=""),"",'07a_상반기입력'!H38)</f>
        <v>B</v>
      </c>
      <c r="H38" s="52">
        <f>IFERROR(IF(AND(LEN(F38)&gt;0,LEN(G38)&gt;0),'02_의사결정·종합결과'!$B$67*IFERROR(CHOOSE(FIND(F38,"DCBAS"),1,2,3,4,5),0)+'02_의사결정·종합결과'!$B$68*IFERROR(CHOOSE(FIND(G38,"DCBAS"),1,2,3,4,5),0),IF(LEN(F38)&gt;0,IFERROR(CHOOSE(FIND(F38,"DCBAS"),1,2,3,4,5),0),IF(LEN(G38)&gt;0,IFERROR(CHOOSE(FIND(G38,"DCBAS"),1,2,3,4,5),0),""))),"")</f>
        <v>3</v>
      </c>
      <c r="I38" s="53" t="str">
        <f t="shared" ref="I38:I55" si="1">IF(OR(H38="",NOT(ISNUMBER(H38)),H38&lt;0.5),"",IF(H38&gt;=4.5,"S",IF(H38&gt;=3.5,"A",IF(H38&gt;=2.5,"B",IF(H38&gt;=1.5,"C","D")))))</f>
        <v>B</v>
      </c>
      <c r="J38" s="5"/>
      <c r="K38" s="5"/>
      <c r="L38" s="54"/>
      <c r="M38" s="5"/>
      <c r="N38" s="5"/>
      <c r="O38" s="5"/>
      <c r="P38" s="55"/>
      <c r="Q38" s="5"/>
      <c r="R38" s="5"/>
      <c r="S38" s="5"/>
      <c r="T38" s="5"/>
      <c r="U38" s="5"/>
    </row>
    <row r="39" spans="1:21" ht="21.75" customHeight="1">
      <c r="A39" s="4">
        <f>IF('01_인적정보'!B39="","",'01_인적정보'!A39)</f>
        <v>34</v>
      </c>
      <c r="B39" s="4" t="str">
        <f>IF('01_인적정보'!B39="","",'01_인적정보'!B39)</f>
        <v>BSS-034</v>
      </c>
      <c r="C39" s="13" t="str">
        <f>IF('01_인적정보'!B39="","",'01_인적정보'!C39)</f>
        <v>OOO</v>
      </c>
      <c r="D39" s="13" t="str">
        <f>IF('01_인적정보'!B39="","",'01_인적정보'!E39)</f>
        <v>BIM컨설팅</v>
      </c>
      <c r="E39" s="40" t="str">
        <f>IF('01_인적정보'!B39="","",'01_인적정보'!H39)</f>
        <v>G1</v>
      </c>
      <c r="F39" s="19" t="str">
        <f>IF(OR('01_인적정보'!B39="",'07a_상반기입력'!G39=""),"",'07a_상반기입력'!G39)</f>
        <v>S</v>
      </c>
      <c r="G39" s="19" t="str">
        <f>IF(OR('01_인적정보'!B39="",'07a_상반기입력'!H39=""),"",'07a_상반기입력'!H39)</f>
        <v>S</v>
      </c>
      <c r="H39" s="52">
        <f>IFERROR(IF(AND(LEN(F39)&gt;0,LEN(G39)&gt;0),'02_의사결정·종합결과'!$B$67*IFERROR(CHOOSE(FIND(F39,"DCBAS"),1,2,3,4,5),0)+'02_의사결정·종합결과'!$B$68*IFERROR(CHOOSE(FIND(G39,"DCBAS"),1,2,3,4,5),0),IF(LEN(F39)&gt;0,IFERROR(CHOOSE(FIND(F39,"DCBAS"),1,2,3,4,5),0),IF(LEN(G39)&gt;0,IFERROR(CHOOSE(FIND(G39,"DCBAS"),1,2,3,4,5),0),""))),"")</f>
        <v>5</v>
      </c>
      <c r="I39" s="53" t="str">
        <f t="shared" si="1"/>
        <v>S</v>
      </c>
      <c r="J39" s="5"/>
      <c r="K39" s="5"/>
      <c r="L39" s="54"/>
      <c r="M39" s="5"/>
      <c r="N39" s="5"/>
      <c r="O39" s="5"/>
      <c r="P39" s="55"/>
      <c r="Q39" s="5"/>
      <c r="R39" s="5"/>
      <c r="S39" s="5"/>
      <c r="T39" s="5"/>
      <c r="U39" s="5"/>
    </row>
    <row r="40" spans="1:21" ht="21.75" customHeight="1">
      <c r="A40" s="4" t="str">
        <f>IF('01_인적정보'!B40="","",'01_인적정보'!A40)</f>
        <v/>
      </c>
      <c r="B40" s="4" t="str">
        <f>IF('01_인적정보'!B40="","",'01_인적정보'!B40)</f>
        <v/>
      </c>
      <c r="C40" s="13" t="str">
        <f>IF('01_인적정보'!B40="","",'01_인적정보'!C40)</f>
        <v/>
      </c>
      <c r="D40" s="13" t="str">
        <f>IF('01_인적정보'!B40="","",'01_인적정보'!E40)</f>
        <v/>
      </c>
      <c r="E40" s="40" t="str">
        <f>IF('01_인적정보'!B40="","",'01_인적정보'!H40)</f>
        <v/>
      </c>
      <c r="F40" s="19" t="str">
        <f>IF(OR('01_인적정보'!B40="",'07a_상반기입력'!G40=""),"",'07a_상반기입력'!G40)</f>
        <v/>
      </c>
      <c r="G40" s="19" t="str">
        <f>IF(OR('01_인적정보'!B40="",'07a_상반기입력'!H40=""),"",'07a_상반기입력'!H40)</f>
        <v/>
      </c>
      <c r="H40" s="52" t="str">
        <f>IFERROR(IF(AND(LEN(F40)&gt;0,LEN(G40)&gt;0),'02_의사결정·종합결과'!$B$67*IFERROR(CHOOSE(FIND(F40,"DCBAS"),1,2,3,4,5),0)+'02_의사결정·종합결과'!$B$68*IFERROR(CHOOSE(FIND(G40,"DCBAS"),1,2,3,4,5),0),IF(LEN(F40)&gt;0,IFERROR(CHOOSE(FIND(F40,"DCBAS"),1,2,3,4,5),0),IF(LEN(G40)&gt;0,IFERROR(CHOOSE(FIND(G40,"DCBAS"),1,2,3,4,5),0),""))),"")</f>
        <v/>
      </c>
      <c r="I40" s="53" t="str">
        <f t="shared" si="1"/>
        <v/>
      </c>
      <c r="J40" s="5"/>
      <c r="K40" s="5"/>
      <c r="L40" s="54"/>
      <c r="M40" s="5"/>
      <c r="N40" s="5"/>
      <c r="O40" s="5"/>
      <c r="P40" s="55"/>
      <c r="Q40" s="5"/>
      <c r="R40" s="5"/>
      <c r="S40" s="5"/>
      <c r="T40" s="5"/>
      <c r="U40" s="5"/>
    </row>
    <row r="41" spans="1:21" ht="21.75" customHeight="1">
      <c r="A41" s="4" t="str">
        <f>IF('01_인적정보'!B41="","",'01_인적정보'!A41)</f>
        <v/>
      </c>
      <c r="B41" s="4" t="str">
        <f>IF('01_인적정보'!B41="","",'01_인적정보'!B41)</f>
        <v/>
      </c>
      <c r="C41" s="13" t="str">
        <f>IF('01_인적정보'!B41="","",'01_인적정보'!C41)</f>
        <v/>
      </c>
      <c r="D41" s="13" t="str">
        <f>IF('01_인적정보'!B41="","",'01_인적정보'!E41)</f>
        <v/>
      </c>
      <c r="E41" s="40" t="str">
        <f>IF('01_인적정보'!B41="","",'01_인적정보'!H41)</f>
        <v/>
      </c>
      <c r="F41" s="19" t="str">
        <f>IF(OR('01_인적정보'!B41="",'07a_상반기입력'!G41=""),"",'07a_상반기입력'!G41)</f>
        <v/>
      </c>
      <c r="G41" s="19" t="str">
        <f>IF(OR('01_인적정보'!B41="",'07a_상반기입력'!H41=""),"",'07a_상반기입력'!H41)</f>
        <v/>
      </c>
      <c r="H41" s="52" t="str">
        <f>IFERROR(IF(AND(LEN(F41)&gt;0,LEN(G41)&gt;0),'02_의사결정·종합결과'!$B$67*IFERROR(CHOOSE(FIND(F41,"DCBAS"),1,2,3,4,5),0)+'02_의사결정·종합결과'!$B$68*IFERROR(CHOOSE(FIND(G41,"DCBAS"),1,2,3,4,5),0),IF(LEN(F41)&gt;0,IFERROR(CHOOSE(FIND(F41,"DCBAS"),1,2,3,4,5),0),IF(LEN(G41)&gt;0,IFERROR(CHOOSE(FIND(G41,"DCBAS"),1,2,3,4,5),0),""))),"")</f>
        <v/>
      </c>
      <c r="I41" s="53" t="str">
        <f t="shared" si="1"/>
        <v/>
      </c>
      <c r="J41" s="5"/>
      <c r="K41" s="5"/>
      <c r="L41" s="54"/>
      <c r="M41" s="5"/>
      <c r="N41" s="5"/>
      <c r="O41" s="5"/>
      <c r="P41" s="55"/>
      <c r="Q41" s="5"/>
      <c r="R41" s="5"/>
      <c r="S41" s="5"/>
      <c r="T41" s="5"/>
      <c r="U41" s="5"/>
    </row>
    <row r="42" spans="1:21" ht="21.75" customHeight="1">
      <c r="A42" s="4" t="str">
        <f>IF('01_인적정보'!B42="","",'01_인적정보'!A42)</f>
        <v/>
      </c>
      <c r="B42" s="4" t="str">
        <f>IF('01_인적정보'!B42="","",'01_인적정보'!B42)</f>
        <v/>
      </c>
      <c r="C42" s="13" t="str">
        <f>IF('01_인적정보'!B42="","",'01_인적정보'!C42)</f>
        <v/>
      </c>
      <c r="D42" s="13" t="str">
        <f>IF('01_인적정보'!B42="","",'01_인적정보'!E42)</f>
        <v/>
      </c>
      <c r="E42" s="40" t="str">
        <f>IF('01_인적정보'!B42="","",'01_인적정보'!H42)</f>
        <v/>
      </c>
      <c r="F42" s="19" t="str">
        <f>IF(OR('01_인적정보'!B42="",'07a_상반기입력'!G42=""),"",'07a_상반기입력'!G42)</f>
        <v/>
      </c>
      <c r="G42" s="19" t="str">
        <f>IF(OR('01_인적정보'!B42="",'07a_상반기입력'!H42=""),"",'07a_상반기입력'!H42)</f>
        <v/>
      </c>
      <c r="H42" s="52" t="str">
        <f>IFERROR(IF(AND(LEN(F42)&gt;0,LEN(G42)&gt;0),'02_의사결정·종합결과'!$B$67*IFERROR(CHOOSE(FIND(F42,"DCBAS"),1,2,3,4,5),0)+'02_의사결정·종합결과'!$B$68*IFERROR(CHOOSE(FIND(G42,"DCBAS"),1,2,3,4,5),0),IF(LEN(F42)&gt;0,IFERROR(CHOOSE(FIND(F42,"DCBAS"),1,2,3,4,5),0),IF(LEN(G42)&gt;0,IFERROR(CHOOSE(FIND(G42,"DCBAS"),1,2,3,4,5),0),""))),"")</f>
        <v/>
      </c>
      <c r="I42" s="53" t="str">
        <f t="shared" si="1"/>
        <v/>
      </c>
      <c r="J42" s="5"/>
      <c r="K42" s="5"/>
      <c r="L42" s="54"/>
      <c r="M42" s="5"/>
      <c r="N42" s="5"/>
      <c r="O42" s="5"/>
      <c r="P42" s="55"/>
      <c r="Q42" s="5"/>
      <c r="R42" s="5"/>
      <c r="S42" s="5"/>
      <c r="T42" s="5"/>
      <c r="U42" s="5"/>
    </row>
    <row r="43" spans="1:21" ht="21.75" customHeight="1">
      <c r="A43" s="4" t="str">
        <f>IF('01_인적정보'!B43="","",'01_인적정보'!A43)</f>
        <v/>
      </c>
      <c r="B43" s="4" t="str">
        <f>IF('01_인적정보'!B43="","",'01_인적정보'!B43)</f>
        <v/>
      </c>
      <c r="C43" s="13" t="str">
        <f>IF('01_인적정보'!B43="","",'01_인적정보'!C43)</f>
        <v/>
      </c>
      <c r="D43" s="13" t="str">
        <f>IF('01_인적정보'!B43="","",'01_인적정보'!E43)</f>
        <v/>
      </c>
      <c r="E43" s="40" t="str">
        <f>IF('01_인적정보'!B43="","",'01_인적정보'!H43)</f>
        <v/>
      </c>
      <c r="F43" s="19" t="str">
        <f>IF(OR('01_인적정보'!B43="",'07a_상반기입력'!G43=""),"",'07a_상반기입력'!G43)</f>
        <v/>
      </c>
      <c r="G43" s="19" t="str">
        <f>IF(OR('01_인적정보'!B43="",'07a_상반기입력'!H43=""),"",'07a_상반기입력'!H43)</f>
        <v/>
      </c>
      <c r="H43" s="52" t="str">
        <f>IFERROR(IF(AND(LEN(F43)&gt;0,LEN(G43)&gt;0),'02_의사결정·종합결과'!$B$67*IFERROR(CHOOSE(FIND(F43,"DCBAS"),1,2,3,4,5),0)+'02_의사결정·종합결과'!$B$68*IFERROR(CHOOSE(FIND(G43,"DCBAS"),1,2,3,4,5),0),IF(LEN(F43)&gt;0,IFERROR(CHOOSE(FIND(F43,"DCBAS"),1,2,3,4,5),0),IF(LEN(G43)&gt;0,IFERROR(CHOOSE(FIND(G43,"DCBAS"),1,2,3,4,5),0),""))),"")</f>
        <v/>
      </c>
      <c r="I43" s="53" t="str">
        <f t="shared" si="1"/>
        <v/>
      </c>
      <c r="J43" s="5"/>
      <c r="K43" s="5"/>
      <c r="L43" s="54"/>
      <c r="M43" s="5"/>
      <c r="N43" s="5"/>
      <c r="O43" s="5"/>
      <c r="P43" s="55"/>
      <c r="Q43" s="5"/>
      <c r="R43" s="5"/>
      <c r="S43" s="5"/>
      <c r="T43" s="5"/>
      <c r="U43" s="5"/>
    </row>
    <row r="44" spans="1:21" ht="21.75" customHeight="1">
      <c r="A44" s="4" t="str">
        <f>IF('01_인적정보'!B44="","",'01_인적정보'!A44)</f>
        <v/>
      </c>
      <c r="B44" s="4" t="str">
        <f>IF('01_인적정보'!B44="","",'01_인적정보'!B44)</f>
        <v/>
      </c>
      <c r="C44" s="13" t="str">
        <f>IF('01_인적정보'!B44="","",'01_인적정보'!C44)</f>
        <v/>
      </c>
      <c r="D44" s="13" t="str">
        <f>IF('01_인적정보'!B44="","",'01_인적정보'!E44)</f>
        <v/>
      </c>
      <c r="E44" s="40" t="str">
        <f>IF('01_인적정보'!B44="","",'01_인적정보'!H44)</f>
        <v/>
      </c>
      <c r="F44" s="19" t="str">
        <f>IF(OR('01_인적정보'!B44="",'07a_상반기입력'!G44=""),"",'07a_상반기입력'!G44)</f>
        <v/>
      </c>
      <c r="G44" s="19" t="str">
        <f>IF(OR('01_인적정보'!B44="",'07a_상반기입력'!H44=""),"",'07a_상반기입력'!H44)</f>
        <v/>
      </c>
      <c r="H44" s="52" t="str">
        <f>IFERROR(IF(AND(LEN(F44)&gt;0,LEN(G44)&gt;0),'02_의사결정·종합결과'!$B$67*IFERROR(CHOOSE(FIND(F44,"DCBAS"),1,2,3,4,5),0)+'02_의사결정·종합결과'!$B$68*IFERROR(CHOOSE(FIND(G44,"DCBAS"),1,2,3,4,5),0),IF(LEN(F44)&gt;0,IFERROR(CHOOSE(FIND(F44,"DCBAS"),1,2,3,4,5),0),IF(LEN(G44)&gt;0,IFERROR(CHOOSE(FIND(G44,"DCBAS"),1,2,3,4,5),0),""))),"")</f>
        <v/>
      </c>
      <c r="I44" s="53" t="str">
        <f t="shared" si="1"/>
        <v/>
      </c>
      <c r="J44" s="5"/>
      <c r="K44" s="5"/>
      <c r="L44" s="54"/>
      <c r="M44" s="5"/>
      <c r="N44" s="5"/>
      <c r="O44" s="5"/>
      <c r="P44" s="55"/>
      <c r="Q44" s="5"/>
      <c r="R44" s="5"/>
      <c r="S44" s="5"/>
      <c r="T44" s="5"/>
      <c r="U44" s="5"/>
    </row>
    <row r="45" spans="1:21" ht="21.75" customHeight="1">
      <c r="A45" s="4" t="str">
        <f>IF('01_인적정보'!B45="","",'01_인적정보'!A45)</f>
        <v/>
      </c>
      <c r="B45" s="4" t="str">
        <f>IF('01_인적정보'!B45="","",'01_인적정보'!B45)</f>
        <v/>
      </c>
      <c r="C45" s="13" t="str">
        <f>IF('01_인적정보'!B45="","",'01_인적정보'!C45)</f>
        <v/>
      </c>
      <c r="D45" s="13" t="str">
        <f>IF('01_인적정보'!B45="","",'01_인적정보'!E45)</f>
        <v/>
      </c>
      <c r="E45" s="40" t="str">
        <f>IF('01_인적정보'!B45="","",'01_인적정보'!H45)</f>
        <v/>
      </c>
      <c r="F45" s="19" t="str">
        <f>IF(OR('01_인적정보'!B45="",'07a_상반기입력'!G45=""),"",'07a_상반기입력'!G45)</f>
        <v/>
      </c>
      <c r="G45" s="19" t="str">
        <f>IF(OR('01_인적정보'!B45="",'07a_상반기입력'!H45=""),"",'07a_상반기입력'!H45)</f>
        <v/>
      </c>
      <c r="H45" s="52" t="str">
        <f>IFERROR(IF(AND(LEN(F45)&gt;0,LEN(G45)&gt;0),'02_의사결정·종합결과'!$B$67*IFERROR(CHOOSE(FIND(F45,"DCBAS"),1,2,3,4,5),0)+'02_의사결정·종합결과'!$B$68*IFERROR(CHOOSE(FIND(G45,"DCBAS"),1,2,3,4,5),0),IF(LEN(F45)&gt;0,IFERROR(CHOOSE(FIND(F45,"DCBAS"),1,2,3,4,5),0),IF(LEN(G45)&gt;0,IFERROR(CHOOSE(FIND(G45,"DCBAS"),1,2,3,4,5),0),""))),"")</f>
        <v/>
      </c>
      <c r="I45" s="53" t="str">
        <f t="shared" si="1"/>
        <v/>
      </c>
      <c r="J45" s="5"/>
      <c r="K45" s="5"/>
      <c r="L45" s="54"/>
      <c r="M45" s="5"/>
      <c r="N45" s="5"/>
      <c r="O45" s="5"/>
      <c r="P45" s="55"/>
      <c r="Q45" s="5"/>
      <c r="R45" s="5"/>
      <c r="S45" s="5"/>
      <c r="T45" s="5"/>
      <c r="U45" s="5"/>
    </row>
    <row r="46" spans="1:21" ht="21.75" customHeight="1">
      <c r="A46" s="4" t="str">
        <f>IF('01_인적정보'!B46="","",'01_인적정보'!A46)</f>
        <v/>
      </c>
      <c r="B46" s="4" t="str">
        <f>IF('01_인적정보'!B46="","",'01_인적정보'!B46)</f>
        <v/>
      </c>
      <c r="C46" s="13" t="str">
        <f>IF('01_인적정보'!B46="","",'01_인적정보'!C46)</f>
        <v/>
      </c>
      <c r="D46" s="13" t="str">
        <f>IF('01_인적정보'!B46="","",'01_인적정보'!E46)</f>
        <v/>
      </c>
      <c r="E46" s="40" t="str">
        <f>IF('01_인적정보'!B46="","",'01_인적정보'!H46)</f>
        <v/>
      </c>
      <c r="F46" s="19" t="str">
        <f>IF(OR('01_인적정보'!B46="",'07a_상반기입력'!G46=""),"",'07a_상반기입력'!G46)</f>
        <v/>
      </c>
      <c r="G46" s="19" t="str">
        <f>IF(OR('01_인적정보'!B46="",'07a_상반기입력'!H46=""),"",'07a_상반기입력'!H46)</f>
        <v/>
      </c>
      <c r="H46" s="52" t="str">
        <f>IFERROR(IF(AND(LEN(F46)&gt;0,LEN(G46)&gt;0),'02_의사결정·종합결과'!$B$67*IFERROR(CHOOSE(FIND(F46,"DCBAS"),1,2,3,4,5),0)+'02_의사결정·종합결과'!$B$68*IFERROR(CHOOSE(FIND(G46,"DCBAS"),1,2,3,4,5),0),IF(LEN(F46)&gt;0,IFERROR(CHOOSE(FIND(F46,"DCBAS"),1,2,3,4,5),0),IF(LEN(G46)&gt;0,IFERROR(CHOOSE(FIND(G46,"DCBAS"),1,2,3,4,5),0),""))),"")</f>
        <v/>
      </c>
      <c r="I46" s="53" t="str">
        <f t="shared" si="1"/>
        <v/>
      </c>
      <c r="J46" s="5"/>
      <c r="K46" s="5"/>
      <c r="L46" s="54"/>
      <c r="M46" s="5"/>
      <c r="N46" s="5"/>
      <c r="O46" s="5"/>
      <c r="P46" s="55"/>
      <c r="Q46" s="5"/>
      <c r="R46" s="5"/>
      <c r="S46" s="5"/>
      <c r="T46" s="5"/>
      <c r="U46" s="5"/>
    </row>
    <row r="47" spans="1:21" ht="21.75" customHeight="1">
      <c r="A47" s="4" t="str">
        <f>IF('01_인적정보'!B47="","",'01_인적정보'!A47)</f>
        <v/>
      </c>
      <c r="B47" s="4" t="str">
        <f>IF('01_인적정보'!B47="","",'01_인적정보'!B47)</f>
        <v/>
      </c>
      <c r="C47" s="13" t="str">
        <f>IF('01_인적정보'!B47="","",'01_인적정보'!C47)</f>
        <v/>
      </c>
      <c r="D47" s="13" t="str">
        <f>IF('01_인적정보'!B47="","",'01_인적정보'!E47)</f>
        <v/>
      </c>
      <c r="E47" s="40" t="str">
        <f>IF('01_인적정보'!B47="","",'01_인적정보'!H47)</f>
        <v/>
      </c>
      <c r="F47" s="19" t="str">
        <f>IF(OR('01_인적정보'!B47="",'07a_상반기입력'!G47=""),"",'07a_상반기입력'!G47)</f>
        <v/>
      </c>
      <c r="G47" s="19" t="str">
        <f>IF(OR('01_인적정보'!B47="",'07a_상반기입력'!H47=""),"",'07a_상반기입력'!H47)</f>
        <v/>
      </c>
      <c r="H47" s="52" t="str">
        <f>IFERROR(IF(AND(LEN(F47)&gt;0,LEN(G47)&gt;0),'02_의사결정·종합결과'!$B$67*IFERROR(CHOOSE(FIND(F47,"DCBAS"),1,2,3,4,5),0)+'02_의사결정·종합결과'!$B$68*IFERROR(CHOOSE(FIND(G47,"DCBAS"),1,2,3,4,5),0),IF(LEN(F47)&gt;0,IFERROR(CHOOSE(FIND(F47,"DCBAS"),1,2,3,4,5),0),IF(LEN(G47)&gt;0,IFERROR(CHOOSE(FIND(G47,"DCBAS"),1,2,3,4,5),0),""))),"")</f>
        <v/>
      </c>
      <c r="I47" s="53" t="str">
        <f t="shared" si="1"/>
        <v/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21.75" customHeight="1">
      <c r="A48" s="4" t="str">
        <f>IF('01_인적정보'!B48="","",'01_인적정보'!A48)</f>
        <v/>
      </c>
      <c r="B48" s="4" t="str">
        <f>IF('01_인적정보'!B48="","",'01_인적정보'!B48)</f>
        <v/>
      </c>
      <c r="C48" s="13" t="str">
        <f>IF('01_인적정보'!B48="","",'01_인적정보'!C48)</f>
        <v/>
      </c>
      <c r="D48" s="13" t="str">
        <f>IF('01_인적정보'!B48="","",'01_인적정보'!E48)</f>
        <v/>
      </c>
      <c r="E48" s="40" t="str">
        <f>IF('01_인적정보'!B48="","",'01_인적정보'!H48)</f>
        <v/>
      </c>
      <c r="F48" s="19" t="str">
        <f>IF(OR('01_인적정보'!B48="",'07a_상반기입력'!G48=""),"",'07a_상반기입력'!G48)</f>
        <v/>
      </c>
      <c r="G48" s="19" t="str">
        <f>IF(OR('01_인적정보'!B48="",'07a_상반기입력'!H48=""),"",'07a_상반기입력'!H48)</f>
        <v/>
      </c>
      <c r="H48" s="52" t="str">
        <f>IFERROR(IF(AND(LEN(F48)&gt;0,LEN(G48)&gt;0),'02_의사결정·종합결과'!$B$67*IFERROR(CHOOSE(FIND(F48,"DCBAS"),1,2,3,4,5),0)+'02_의사결정·종합결과'!$B$68*IFERROR(CHOOSE(FIND(G48,"DCBAS"),1,2,3,4,5),0),IF(LEN(F48)&gt;0,IFERROR(CHOOSE(FIND(F48,"DCBAS"),1,2,3,4,5),0),IF(LEN(G48)&gt;0,IFERROR(CHOOSE(FIND(G48,"DCBAS"),1,2,3,4,5),0),""))),"")</f>
        <v/>
      </c>
      <c r="I48" s="53" t="str">
        <f t="shared" si="1"/>
        <v/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21.75" customHeight="1">
      <c r="A49" s="4" t="str">
        <f>IF('01_인적정보'!B49="","",'01_인적정보'!A49)</f>
        <v/>
      </c>
      <c r="B49" s="4" t="str">
        <f>IF('01_인적정보'!B49="","",'01_인적정보'!B49)</f>
        <v/>
      </c>
      <c r="C49" s="13" t="str">
        <f>IF('01_인적정보'!B49="","",'01_인적정보'!C49)</f>
        <v/>
      </c>
      <c r="D49" s="13" t="str">
        <f>IF('01_인적정보'!B49="","",'01_인적정보'!E49)</f>
        <v/>
      </c>
      <c r="E49" s="40" t="str">
        <f>IF('01_인적정보'!B49="","",'01_인적정보'!H49)</f>
        <v/>
      </c>
      <c r="F49" s="19" t="str">
        <f>IF(OR('01_인적정보'!B49="",'07a_상반기입력'!G49=""),"",'07a_상반기입력'!G49)</f>
        <v/>
      </c>
      <c r="G49" s="19" t="str">
        <f>IF(OR('01_인적정보'!B49="",'07a_상반기입력'!H49=""),"",'07a_상반기입력'!H49)</f>
        <v/>
      </c>
      <c r="H49" s="52" t="str">
        <f>IFERROR(IF(AND(LEN(F49)&gt;0,LEN(G49)&gt;0),'02_의사결정·종합결과'!$B$67*IFERROR(CHOOSE(FIND(F49,"DCBAS"),1,2,3,4,5),0)+'02_의사결정·종합결과'!$B$68*IFERROR(CHOOSE(FIND(G49,"DCBAS"),1,2,3,4,5),0),IF(LEN(F49)&gt;0,IFERROR(CHOOSE(FIND(F49,"DCBAS"),1,2,3,4,5),0),IF(LEN(G49)&gt;0,IFERROR(CHOOSE(FIND(G49,"DCBAS"),1,2,3,4,5),0),""))),"")</f>
        <v/>
      </c>
      <c r="I49" s="53" t="str">
        <f t="shared" si="1"/>
        <v/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21.75" customHeight="1">
      <c r="A50" s="4" t="str">
        <f>IF('01_인적정보'!B50="","",'01_인적정보'!A50)</f>
        <v/>
      </c>
      <c r="B50" s="4" t="str">
        <f>IF('01_인적정보'!B50="","",'01_인적정보'!B50)</f>
        <v/>
      </c>
      <c r="C50" s="13" t="str">
        <f>IF('01_인적정보'!B50="","",'01_인적정보'!C50)</f>
        <v/>
      </c>
      <c r="D50" s="13" t="str">
        <f>IF('01_인적정보'!B50="","",'01_인적정보'!E50)</f>
        <v/>
      </c>
      <c r="E50" s="40" t="str">
        <f>IF('01_인적정보'!B50="","",'01_인적정보'!H50)</f>
        <v/>
      </c>
      <c r="F50" s="19" t="str">
        <f>IF(OR('01_인적정보'!B50="",'07a_상반기입력'!G50=""),"",'07a_상반기입력'!G50)</f>
        <v/>
      </c>
      <c r="G50" s="19" t="str">
        <f>IF(OR('01_인적정보'!B50="",'07a_상반기입력'!H50=""),"",'07a_상반기입력'!H50)</f>
        <v/>
      </c>
      <c r="H50" s="52" t="str">
        <f>IFERROR(IF(AND(LEN(F50)&gt;0,LEN(G50)&gt;0),'02_의사결정·종합결과'!$B$67*IFERROR(CHOOSE(FIND(F50,"DCBAS"),1,2,3,4,5),0)+'02_의사결정·종합결과'!$B$68*IFERROR(CHOOSE(FIND(G50,"DCBAS"),1,2,3,4,5),0),IF(LEN(F50)&gt;0,IFERROR(CHOOSE(FIND(F50,"DCBAS"),1,2,3,4,5),0),IF(LEN(G50)&gt;0,IFERROR(CHOOSE(FIND(G50,"DCBAS"),1,2,3,4,5),0),""))),"")</f>
        <v/>
      </c>
      <c r="I50" s="53" t="str">
        <f t="shared" si="1"/>
        <v/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21.75" customHeight="1">
      <c r="A51" s="4" t="str">
        <f>IF('01_인적정보'!B51="","",'01_인적정보'!A51)</f>
        <v/>
      </c>
      <c r="B51" s="4" t="str">
        <f>IF('01_인적정보'!B51="","",'01_인적정보'!B51)</f>
        <v/>
      </c>
      <c r="C51" s="13" t="str">
        <f>IF('01_인적정보'!B51="","",'01_인적정보'!C51)</f>
        <v/>
      </c>
      <c r="D51" s="13" t="str">
        <f>IF('01_인적정보'!B51="","",'01_인적정보'!E51)</f>
        <v/>
      </c>
      <c r="E51" s="40" t="str">
        <f>IF('01_인적정보'!B51="","",'01_인적정보'!H51)</f>
        <v/>
      </c>
      <c r="F51" s="19" t="str">
        <f>IF(OR('01_인적정보'!B51="",'07a_상반기입력'!G51=""),"",'07a_상반기입력'!G51)</f>
        <v/>
      </c>
      <c r="G51" s="19" t="str">
        <f>IF(OR('01_인적정보'!B51="",'07a_상반기입력'!H51=""),"",'07a_상반기입력'!H51)</f>
        <v/>
      </c>
      <c r="H51" s="52" t="str">
        <f>IFERROR(IF(AND(LEN(F51)&gt;0,LEN(G51)&gt;0),'02_의사결정·종합결과'!$B$67*IFERROR(CHOOSE(FIND(F51,"DCBAS"),1,2,3,4,5),0)+'02_의사결정·종합결과'!$B$68*IFERROR(CHOOSE(FIND(G51,"DCBAS"),1,2,3,4,5),0),IF(LEN(F51)&gt;0,IFERROR(CHOOSE(FIND(F51,"DCBAS"),1,2,3,4,5),0),IF(LEN(G51)&gt;0,IFERROR(CHOOSE(FIND(G51,"DCBAS"),1,2,3,4,5),0),""))),"")</f>
        <v/>
      </c>
      <c r="I51" s="53" t="str">
        <f t="shared" si="1"/>
        <v/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21.75" customHeight="1">
      <c r="A52" s="4" t="str">
        <f>IF('01_인적정보'!B52="","",'01_인적정보'!A52)</f>
        <v/>
      </c>
      <c r="B52" s="4" t="str">
        <f>IF('01_인적정보'!B52="","",'01_인적정보'!B52)</f>
        <v/>
      </c>
      <c r="C52" s="13" t="str">
        <f>IF('01_인적정보'!B52="","",'01_인적정보'!C52)</f>
        <v/>
      </c>
      <c r="D52" s="13" t="str">
        <f>IF('01_인적정보'!B52="","",'01_인적정보'!E52)</f>
        <v/>
      </c>
      <c r="E52" s="40" t="str">
        <f>IF('01_인적정보'!B52="","",'01_인적정보'!H52)</f>
        <v/>
      </c>
      <c r="F52" s="19" t="str">
        <f>IF(OR('01_인적정보'!B52="",'07a_상반기입력'!G52=""),"",'07a_상반기입력'!G52)</f>
        <v/>
      </c>
      <c r="G52" s="19" t="str">
        <f>IF(OR('01_인적정보'!B52="",'07a_상반기입력'!H52=""),"",'07a_상반기입력'!H52)</f>
        <v/>
      </c>
      <c r="H52" s="52" t="str">
        <f>IFERROR(IF(AND(LEN(F52)&gt;0,LEN(G52)&gt;0),'02_의사결정·종합결과'!$B$67*IFERROR(CHOOSE(FIND(F52,"DCBAS"),1,2,3,4,5),0)+'02_의사결정·종합결과'!$B$68*IFERROR(CHOOSE(FIND(G52,"DCBAS"),1,2,3,4,5),0),IF(LEN(F52)&gt;0,IFERROR(CHOOSE(FIND(F52,"DCBAS"),1,2,3,4,5),0),IF(LEN(G52)&gt;0,IFERROR(CHOOSE(FIND(G52,"DCBAS"),1,2,3,4,5),0),""))),"")</f>
        <v/>
      </c>
      <c r="I52" s="53" t="str">
        <f t="shared" si="1"/>
        <v/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21.75" customHeight="1">
      <c r="A53" s="4" t="str">
        <f>IF('01_인적정보'!B53="","",'01_인적정보'!A53)</f>
        <v/>
      </c>
      <c r="B53" s="4" t="str">
        <f>IF('01_인적정보'!B53="","",'01_인적정보'!B53)</f>
        <v/>
      </c>
      <c r="C53" s="13" t="str">
        <f>IF('01_인적정보'!B53="","",'01_인적정보'!C53)</f>
        <v/>
      </c>
      <c r="D53" s="13" t="str">
        <f>IF('01_인적정보'!B53="","",'01_인적정보'!E53)</f>
        <v/>
      </c>
      <c r="E53" s="40" t="str">
        <f>IF('01_인적정보'!B53="","",'01_인적정보'!H53)</f>
        <v/>
      </c>
      <c r="F53" s="19" t="str">
        <f>IF(OR('01_인적정보'!B53="",'07a_상반기입력'!G53=""),"",'07a_상반기입력'!G53)</f>
        <v/>
      </c>
      <c r="G53" s="19" t="str">
        <f>IF(OR('01_인적정보'!B53="",'07a_상반기입력'!H53=""),"",'07a_상반기입력'!H53)</f>
        <v/>
      </c>
      <c r="H53" s="52" t="str">
        <f>IFERROR(IF(AND(LEN(F53)&gt;0,LEN(G53)&gt;0),'02_의사결정·종합결과'!$B$67*IFERROR(CHOOSE(FIND(F53,"DCBAS"),1,2,3,4,5),0)+'02_의사결정·종합결과'!$B$68*IFERROR(CHOOSE(FIND(G53,"DCBAS"),1,2,3,4,5),0),IF(LEN(F53)&gt;0,IFERROR(CHOOSE(FIND(F53,"DCBAS"),1,2,3,4,5),0),IF(LEN(G53)&gt;0,IFERROR(CHOOSE(FIND(G53,"DCBAS"),1,2,3,4,5),0),""))),"")</f>
        <v/>
      </c>
      <c r="I53" s="53" t="str">
        <f t="shared" si="1"/>
        <v/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21.75" customHeight="1">
      <c r="A54" s="4" t="str">
        <f>IF('01_인적정보'!B54="","",'01_인적정보'!A54)</f>
        <v/>
      </c>
      <c r="B54" s="4" t="str">
        <f>IF('01_인적정보'!B54="","",'01_인적정보'!B54)</f>
        <v/>
      </c>
      <c r="C54" s="13" t="str">
        <f>IF('01_인적정보'!B54="","",'01_인적정보'!C54)</f>
        <v/>
      </c>
      <c r="D54" s="13" t="str">
        <f>IF('01_인적정보'!B54="","",'01_인적정보'!E54)</f>
        <v/>
      </c>
      <c r="E54" s="40" t="str">
        <f>IF('01_인적정보'!B54="","",'01_인적정보'!H54)</f>
        <v/>
      </c>
      <c r="F54" s="19" t="str">
        <f>IF(OR('01_인적정보'!B54="",'07a_상반기입력'!G54=""),"",'07a_상반기입력'!G54)</f>
        <v/>
      </c>
      <c r="G54" s="19" t="str">
        <f>IF(OR('01_인적정보'!B54="",'07a_상반기입력'!H54=""),"",'07a_상반기입력'!H54)</f>
        <v/>
      </c>
      <c r="H54" s="52" t="str">
        <f>IFERROR(IF(AND(LEN(F54)&gt;0,LEN(G54)&gt;0),'02_의사결정·종합결과'!$B$67*IFERROR(CHOOSE(FIND(F54,"DCBAS"),1,2,3,4,5),0)+'02_의사결정·종합결과'!$B$68*IFERROR(CHOOSE(FIND(G54,"DCBAS"),1,2,3,4,5),0),IF(LEN(F54)&gt;0,IFERROR(CHOOSE(FIND(F54,"DCBAS"),1,2,3,4,5),0),IF(LEN(G54)&gt;0,IFERROR(CHOOSE(FIND(G54,"DCBAS"),1,2,3,4,5),0),""))),"")</f>
        <v/>
      </c>
      <c r="I54" s="53" t="str">
        <f t="shared" si="1"/>
        <v/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21.75" customHeight="1">
      <c r="A55" s="4" t="str">
        <f>IF('01_인적정보'!B55="","",'01_인적정보'!A55)</f>
        <v/>
      </c>
      <c r="B55" s="4" t="str">
        <f>IF('01_인적정보'!B55="","",'01_인적정보'!B55)</f>
        <v/>
      </c>
      <c r="C55" s="13" t="str">
        <f>IF('01_인적정보'!B55="","",'01_인적정보'!C55)</f>
        <v/>
      </c>
      <c r="D55" s="13" t="str">
        <f>IF('01_인적정보'!B55="","",'01_인적정보'!E55)</f>
        <v/>
      </c>
      <c r="E55" s="40" t="str">
        <f>IF('01_인적정보'!B55="","",'01_인적정보'!H55)</f>
        <v/>
      </c>
      <c r="F55" s="19" t="str">
        <f>IF(OR('01_인적정보'!B55="",'07a_상반기입력'!G55=""),"",'07a_상반기입력'!G55)</f>
        <v/>
      </c>
      <c r="G55" s="19" t="str">
        <f>IF(OR('01_인적정보'!B55="",'07a_상반기입력'!H55=""),"",'07a_상반기입력'!H55)</f>
        <v/>
      </c>
      <c r="H55" s="52" t="str">
        <f>IFERROR(IF(AND(LEN(F55)&gt;0,LEN(G55)&gt;0),'02_의사결정·종합결과'!$B$67*IFERROR(CHOOSE(FIND(F55,"DCBAS"),1,2,3,4,5),0)+'02_의사결정·종합결과'!$B$68*IFERROR(CHOOSE(FIND(G55,"DCBAS"),1,2,3,4,5),0),IF(LEN(F55)&gt;0,IFERROR(CHOOSE(FIND(F55,"DCBAS"),1,2,3,4,5),0),IF(LEN(G55)&gt;0,IFERROR(CHOOSE(FIND(G55,"DCBAS"),1,2,3,4,5),0),""))),"")</f>
        <v/>
      </c>
      <c r="I55" s="53" t="str">
        <f t="shared" si="1"/>
        <v/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>
      <c r="A56" s="5"/>
      <c r="B56" s="5"/>
      <c r="C56" s="5"/>
      <c r="D56" s="5"/>
      <c r="E56" s="5"/>
      <c r="F56" s="5"/>
      <c r="G56" s="5"/>
      <c r="H56" s="5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>
      <c r="A57" s="5"/>
      <c r="B57" s="5"/>
      <c r="C57" s="5"/>
      <c r="D57" s="5"/>
      <c r="E57" s="5"/>
      <c r="F57" s="5"/>
      <c r="G57" s="5"/>
      <c r="H57" s="5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>
      <c r="A58" s="5"/>
      <c r="B58" s="5"/>
      <c r="C58" s="5"/>
      <c r="D58" s="5"/>
      <c r="E58" s="5"/>
      <c r="F58" s="5"/>
      <c r="G58" s="5"/>
      <c r="H58" s="54"/>
      <c r="I58" s="5"/>
      <c r="J58" s="5"/>
      <c r="K58" s="5"/>
      <c r="L58" s="54"/>
      <c r="M58" s="5"/>
      <c r="N58" s="5"/>
      <c r="O58" s="5"/>
      <c r="P58" s="55"/>
      <c r="Q58" s="5"/>
      <c r="R58" s="5"/>
      <c r="S58" s="5"/>
      <c r="T58" s="5"/>
      <c r="U58" s="5"/>
    </row>
    <row r="59" spans="1:21">
      <c r="A59" s="5"/>
      <c r="B59" s="5"/>
      <c r="C59" s="5"/>
      <c r="D59" s="5"/>
      <c r="E59" s="5"/>
      <c r="F59" s="5"/>
      <c r="G59" s="5"/>
      <c r="H59" s="54"/>
      <c r="I59" s="5"/>
      <c r="J59" s="5"/>
      <c r="K59" s="5"/>
      <c r="L59" s="54"/>
      <c r="M59" s="5"/>
      <c r="N59" s="5"/>
      <c r="O59" s="5"/>
      <c r="P59" s="55"/>
      <c r="Q59" s="5"/>
      <c r="R59" s="5"/>
      <c r="S59" s="5"/>
      <c r="T59" s="5"/>
      <c r="U59" s="5"/>
    </row>
    <row r="60" spans="1:21">
      <c r="A60" s="5"/>
      <c r="B60" s="5"/>
      <c r="C60" s="5"/>
      <c r="D60" s="5"/>
      <c r="E60" s="5"/>
      <c r="F60" s="5"/>
      <c r="G60" s="5"/>
      <c r="H60" s="54"/>
      <c r="I60" s="5"/>
      <c r="J60" s="5"/>
      <c r="K60" s="5"/>
      <c r="L60" s="54"/>
      <c r="M60" s="5"/>
      <c r="N60" s="5"/>
      <c r="O60" s="5"/>
      <c r="P60" s="55"/>
      <c r="Q60" s="5"/>
      <c r="R60" s="5"/>
      <c r="S60" s="5"/>
      <c r="T60" s="5"/>
      <c r="U60" s="5"/>
    </row>
    <row r="61" spans="1:21">
      <c r="A61" s="5"/>
      <c r="B61" s="5"/>
      <c r="C61" s="5"/>
      <c r="D61" s="5"/>
      <c r="E61" s="5"/>
      <c r="F61" s="5"/>
      <c r="G61" s="5"/>
      <c r="H61" s="54"/>
      <c r="I61" s="5"/>
      <c r="J61" s="5"/>
      <c r="K61" s="5"/>
      <c r="L61" s="54"/>
      <c r="M61" s="5"/>
      <c r="N61" s="5"/>
      <c r="O61" s="5"/>
      <c r="P61" s="55"/>
      <c r="Q61" s="5"/>
      <c r="R61" s="5"/>
      <c r="S61" s="5"/>
      <c r="T61" s="5"/>
      <c r="U61" s="5"/>
    </row>
    <row r="62" spans="1:21" ht="25.5" customHeight="1">
      <c r="A62" s="121" t="s">
        <v>379</v>
      </c>
      <c r="B62" s="121"/>
      <c r="C62" s="121"/>
      <c r="D62" s="121"/>
      <c r="E62" s="121"/>
      <c r="F62" s="121"/>
      <c r="G62" s="121"/>
      <c r="H62" s="121"/>
      <c r="I62" s="121"/>
      <c r="J62" s="5"/>
      <c r="K62" s="5"/>
      <c r="L62" s="54"/>
      <c r="M62" s="5"/>
      <c r="N62" s="5"/>
      <c r="O62" s="5"/>
      <c r="P62" s="55"/>
      <c r="Q62" s="5"/>
      <c r="R62" s="5"/>
      <c r="S62" s="5"/>
      <c r="T62" s="5"/>
      <c r="U62" s="5"/>
    </row>
    <row r="63" spans="1:21" ht="27.75" customHeight="1">
      <c r="A63" s="50" t="s">
        <v>145</v>
      </c>
      <c r="B63" s="51" t="s">
        <v>146</v>
      </c>
      <c r="C63" s="51" t="s">
        <v>147</v>
      </c>
      <c r="D63" s="51" t="s">
        <v>149</v>
      </c>
      <c r="E63" s="51" t="s">
        <v>152</v>
      </c>
      <c r="F63" s="50" t="s">
        <v>375</v>
      </c>
      <c r="G63" s="50" t="s">
        <v>376</v>
      </c>
      <c r="H63" s="56" t="s">
        <v>377</v>
      </c>
      <c r="I63" s="51" t="s">
        <v>378</v>
      </c>
      <c r="J63" s="5"/>
      <c r="K63" s="5"/>
      <c r="L63" s="54"/>
      <c r="M63" s="5"/>
      <c r="N63" s="5"/>
      <c r="O63" s="5"/>
      <c r="P63" s="55"/>
      <c r="Q63" s="5"/>
      <c r="R63" s="5"/>
      <c r="S63" s="5"/>
      <c r="T63" s="5"/>
      <c r="U63" s="5"/>
    </row>
    <row r="64" spans="1:21" ht="21.75" customHeight="1">
      <c r="A64" s="4">
        <f>IF('01_인적정보'!B6="","",'01_인적정보'!A6)</f>
        <v>1</v>
      </c>
      <c r="B64" s="4" t="str">
        <f>IF('01_인적정보'!B6="","",'01_인적정보'!B6)</f>
        <v>BSS-001</v>
      </c>
      <c r="C64" s="13" t="str">
        <f>IF('01_인적정보'!B6="","",'01_인적정보'!C6)</f>
        <v>OOO</v>
      </c>
      <c r="D64" s="13" t="str">
        <f>IF('01_인적정보'!B6="","",'01_인적정보'!E6)</f>
        <v>프로젝트영업</v>
      </c>
      <c r="E64" s="40" t="str">
        <f>IF('01_인적정보'!B6="","",'01_인적정보'!H6)</f>
        <v>G6</v>
      </c>
      <c r="F64" s="19" t="str">
        <f>IF(OR('01_인적정보'!B6="",'07b_하반기입력'!G6=""),"",'07b_하반기입력'!G6)</f>
        <v>B</v>
      </c>
      <c r="G64" s="19" t="str">
        <f>IF(OR('01_인적정보'!B6="",'07b_하반기입력'!H6=""),"",'07b_하반기입력'!H6)</f>
        <v>B</v>
      </c>
      <c r="H64" s="52">
        <f>IFERROR(IF(AND(LEN(F64)&gt;0,LEN(G64)&gt;0),'02_의사결정·종합결과'!$B$67*IFERROR(CHOOSE(FIND(F64,"DCBAS"),1,2,3,4,5),0)+'02_의사결정·종합결과'!$B$68*IFERROR(CHOOSE(FIND(G64,"DCBAS"),1,2,3,4,5),0),IF(LEN(F64)&gt;0,IFERROR(CHOOSE(FIND(F64,"DCBAS"),1,2,3,4,5),0),IF(LEN(G64)&gt;0,IFERROR(CHOOSE(FIND(G64,"DCBAS"),1,2,3,4,5),0),""))),"")</f>
        <v>3</v>
      </c>
      <c r="I64" s="53" t="str">
        <f t="shared" ref="I64:I95" si="2">IF(OR(H64="",NOT(ISNUMBER(H64)),H64&lt;0.5),"",IF(H64&gt;=4.5,"S",IF(H64&gt;=3.5,"A",IF(H64&gt;=2.5,"B",IF(H64&gt;=1.5,"C","D")))))</f>
        <v>B</v>
      </c>
      <c r="J64" s="5"/>
      <c r="K64" s="5"/>
      <c r="L64" s="54"/>
      <c r="M64" s="5"/>
      <c r="N64" s="5"/>
      <c r="O64" s="5"/>
      <c r="P64" s="55"/>
      <c r="Q64" s="5"/>
      <c r="R64" s="5"/>
      <c r="S64" s="5"/>
      <c r="T64" s="5"/>
      <c r="U64" s="5"/>
    </row>
    <row r="65" spans="1:21" ht="21.75" customHeight="1">
      <c r="A65" s="4">
        <f>IF('01_인적정보'!B7="","",'01_인적정보'!A7)</f>
        <v>2</v>
      </c>
      <c r="B65" s="4" t="str">
        <f>IF('01_인적정보'!B7="","",'01_인적정보'!B7)</f>
        <v>BSS-002</v>
      </c>
      <c r="C65" s="13" t="str">
        <f>IF('01_인적정보'!B7="","",'01_인적정보'!C7)</f>
        <v>OOO</v>
      </c>
      <c r="D65" s="13" t="str">
        <f>IF('01_인적정보'!B7="","",'01_인적정보'!E7)</f>
        <v>연구개발(R&amp;D)</v>
      </c>
      <c r="E65" s="40" t="str">
        <f>IF('01_인적정보'!B7="","",'01_인적정보'!H7)</f>
        <v>G6</v>
      </c>
      <c r="F65" s="19" t="str">
        <f>IF(OR('01_인적정보'!B7="",'07b_하반기입력'!G7=""),"",'07b_하반기입력'!G7)</f>
        <v>B</v>
      </c>
      <c r="G65" s="19" t="str">
        <f>IF(OR('01_인적정보'!B7="",'07b_하반기입력'!H7=""),"",'07b_하반기입력'!H7)</f>
        <v>C</v>
      </c>
      <c r="H65" s="52">
        <f>IFERROR(IF(AND(LEN(F65)&gt;0,LEN(G65)&gt;0),'02_의사결정·종합결과'!$B$67*IFERROR(CHOOSE(FIND(F65,"DCBAS"),1,2,3,4,5),0)+'02_의사결정·종합결과'!$B$68*IFERROR(CHOOSE(FIND(G65,"DCBAS"),1,2,3,4,5),0),IF(LEN(F65)&gt;0,IFERROR(CHOOSE(FIND(F65,"DCBAS"),1,2,3,4,5),0),IF(LEN(G65)&gt;0,IFERROR(CHOOSE(FIND(G65,"DCBAS"),1,2,3,4,5),0),""))),"")</f>
        <v>2.5</v>
      </c>
      <c r="I65" s="53" t="str">
        <f t="shared" si="2"/>
        <v>B</v>
      </c>
      <c r="J65" s="5"/>
      <c r="K65" s="5"/>
      <c r="L65" s="54"/>
      <c r="M65" s="5"/>
      <c r="N65" s="5"/>
      <c r="O65" s="5"/>
      <c r="P65" s="55"/>
      <c r="Q65" s="5"/>
      <c r="R65" s="5"/>
      <c r="S65" s="5"/>
      <c r="T65" s="5"/>
      <c r="U65" s="5"/>
    </row>
    <row r="66" spans="1:21" ht="21.75" customHeight="1">
      <c r="A66" s="4">
        <f>IF('01_인적정보'!B8="","",'01_인적정보'!A8)</f>
        <v>3</v>
      </c>
      <c r="B66" s="4" t="str">
        <f>IF('01_인적정보'!B8="","",'01_인적정보'!B8)</f>
        <v>BSS-003</v>
      </c>
      <c r="C66" s="13" t="str">
        <f>IF('01_인적정보'!B8="","",'01_인적정보'!C8)</f>
        <v>OOO</v>
      </c>
      <c r="D66" s="13" t="str">
        <f>IF('01_인적정보'!B8="","",'01_인적정보'!E8)</f>
        <v>BIM컨설팅</v>
      </c>
      <c r="E66" s="40" t="str">
        <f>IF('01_인적정보'!B8="","",'01_인적정보'!H8)</f>
        <v>G6</v>
      </c>
      <c r="F66" s="19" t="str">
        <f>IF(OR('01_인적정보'!B8="",'07b_하반기입력'!G8=""),"",'07b_하반기입력'!G8)</f>
        <v>B</v>
      </c>
      <c r="G66" s="19" t="str">
        <f>IF(OR('01_인적정보'!B8="",'07b_하반기입력'!H8=""),"",'07b_하반기입력'!H8)</f>
        <v>B</v>
      </c>
      <c r="H66" s="52">
        <f>IFERROR(IF(AND(LEN(F66)&gt;0,LEN(G66)&gt;0),'02_의사결정·종합결과'!$B$67*IFERROR(CHOOSE(FIND(F66,"DCBAS"),1,2,3,4,5),0)+'02_의사결정·종합결과'!$B$68*IFERROR(CHOOSE(FIND(G66,"DCBAS"),1,2,3,4,5),0),IF(LEN(F66)&gt;0,IFERROR(CHOOSE(FIND(F66,"DCBAS"),1,2,3,4,5),0),IF(LEN(G66)&gt;0,IFERROR(CHOOSE(FIND(G66,"DCBAS"),1,2,3,4,5),0),""))),"")</f>
        <v>3</v>
      </c>
      <c r="I66" s="53" t="str">
        <f t="shared" si="2"/>
        <v>B</v>
      </c>
      <c r="J66" s="5"/>
      <c r="K66" s="5"/>
      <c r="L66" s="54"/>
      <c r="M66" s="5"/>
      <c r="N66" s="5"/>
      <c r="O66" s="5"/>
      <c r="P66" s="55"/>
      <c r="Q66" s="5"/>
      <c r="R66" s="5"/>
      <c r="S66" s="5"/>
      <c r="T66" s="5"/>
      <c r="U66" s="5"/>
    </row>
    <row r="67" spans="1:21" ht="21.75" customHeight="1">
      <c r="A67" s="4">
        <f>IF('01_인적정보'!B9="","",'01_인적정보'!A9)</f>
        <v>4</v>
      </c>
      <c r="B67" s="4" t="str">
        <f>IF('01_인적정보'!B9="","",'01_인적정보'!B9)</f>
        <v>BSS-004</v>
      </c>
      <c r="C67" s="13" t="str">
        <f>IF('01_인적정보'!B9="","",'01_인적정보'!C9)</f>
        <v>OOO</v>
      </c>
      <c r="D67" s="13" t="str">
        <f>IF('01_인적정보'!B9="","",'01_인적정보'!E9)</f>
        <v>경영전략기획</v>
      </c>
      <c r="E67" s="40" t="str">
        <f>IF('01_인적정보'!B9="","",'01_인적정보'!H9)</f>
        <v>G6</v>
      </c>
      <c r="F67" s="19" t="str">
        <f>IF(OR('01_인적정보'!B9="",'07b_하반기입력'!G9=""),"",'07b_하반기입력'!G9)</f>
        <v>A</v>
      </c>
      <c r="G67" s="19" t="str">
        <f>IF(OR('01_인적정보'!B9="",'07b_하반기입력'!H9=""),"",'07b_하반기입력'!H9)</f>
        <v>B</v>
      </c>
      <c r="H67" s="52">
        <f>IFERROR(IF(AND(LEN(F67)&gt;0,LEN(G67)&gt;0),'02_의사결정·종합결과'!$B$67*IFERROR(CHOOSE(FIND(F67,"DCBAS"),1,2,3,4,5),0)+'02_의사결정·종합결과'!$B$68*IFERROR(CHOOSE(FIND(G67,"DCBAS"),1,2,3,4,5),0),IF(LEN(F67)&gt;0,IFERROR(CHOOSE(FIND(F67,"DCBAS"),1,2,3,4,5),0),IF(LEN(G67)&gt;0,IFERROR(CHOOSE(FIND(G67,"DCBAS"),1,2,3,4,5),0),""))),"")</f>
        <v>3.5</v>
      </c>
      <c r="I67" s="53" t="str">
        <f t="shared" si="2"/>
        <v>A</v>
      </c>
      <c r="J67" s="5"/>
      <c r="K67" s="5"/>
      <c r="L67" s="54"/>
      <c r="M67" s="5"/>
      <c r="N67" s="5"/>
      <c r="O67" s="5"/>
      <c r="P67" s="55"/>
      <c r="Q67" s="5"/>
      <c r="R67" s="5"/>
      <c r="S67" s="5"/>
      <c r="T67" s="5"/>
      <c r="U67" s="5"/>
    </row>
    <row r="68" spans="1:21" ht="21.75" customHeight="1">
      <c r="A68" s="4">
        <f>IF('01_인적정보'!B10="","",'01_인적정보'!A10)</f>
        <v>5</v>
      </c>
      <c r="B68" s="4" t="str">
        <f>IF('01_인적정보'!B10="","",'01_인적정보'!B10)</f>
        <v>BSS-005</v>
      </c>
      <c r="C68" s="13" t="str">
        <f>IF('01_인적정보'!B10="","",'01_인적정보'!C10)</f>
        <v>OOO</v>
      </c>
      <c r="D68" s="13" t="str">
        <f>IF('01_인적정보'!B10="","",'01_인적정보'!E10)</f>
        <v>경영전략기획</v>
      </c>
      <c r="E68" s="40" t="str">
        <f>IF('01_인적정보'!B10="","",'01_인적정보'!H10)</f>
        <v>G6</v>
      </c>
      <c r="F68" s="19" t="str">
        <f>IF(OR('01_인적정보'!B10="",'07b_하반기입력'!G10=""),"",'07b_하반기입력'!G10)</f>
        <v>B</v>
      </c>
      <c r="G68" s="19" t="str">
        <f>IF(OR('01_인적정보'!B10="",'07b_하반기입력'!H10=""),"",'07b_하반기입력'!H10)</f>
        <v>B</v>
      </c>
      <c r="H68" s="52">
        <f>IFERROR(IF(AND(LEN(F68)&gt;0,LEN(G68)&gt;0),'02_의사결정·종합결과'!$B$67*IFERROR(CHOOSE(FIND(F68,"DCBAS"),1,2,3,4,5),0)+'02_의사결정·종합결과'!$B$68*IFERROR(CHOOSE(FIND(G68,"DCBAS"),1,2,3,4,5),0),IF(LEN(F68)&gt;0,IFERROR(CHOOSE(FIND(F68,"DCBAS"),1,2,3,4,5),0),IF(LEN(G68)&gt;0,IFERROR(CHOOSE(FIND(G68,"DCBAS"),1,2,3,4,5),0),""))),"")</f>
        <v>3</v>
      </c>
      <c r="I68" s="53" t="str">
        <f t="shared" si="2"/>
        <v>B</v>
      </c>
      <c r="J68" s="5"/>
      <c r="K68" s="5"/>
      <c r="L68" s="54"/>
      <c r="M68" s="5"/>
      <c r="N68" s="5"/>
      <c r="O68" s="5"/>
      <c r="P68" s="55"/>
      <c r="Q68" s="5"/>
      <c r="R68" s="5"/>
      <c r="S68" s="5"/>
      <c r="T68" s="5"/>
      <c r="U68" s="5"/>
    </row>
    <row r="69" spans="1:21" ht="21.75" customHeight="1">
      <c r="A69" s="4">
        <f>IF('01_인적정보'!B11="","",'01_인적정보'!A11)</f>
        <v>6</v>
      </c>
      <c r="B69" s="4" t="str">
        <f>IF('01_인적정보'!B11="","",'01_인적정보'!B11)</f>
        <v>BSS-006</v>
      </c>
      <c r="C69" s="13" t="str">
        <f>IF('01_인적정보'!B11="","",'01_인적정보'!C11)</f>
        <v>OOO</v>
      </c>
      <c r="D69" s="13" t="str">
        <f>IF('01_인적정보'!B11="","",'01_인적정보'!E11)</f>
        <v>경영전략기획</v>
      </c>
      <c r="E69" s="40" t="str">
        <f>IF('01_인적정보'!B11="","",'01_인적정보'!H11)</f>
        <v>G6</v>
      </c>
      <c r="F69" s="19" t="str">
        <f>IF(OR('01_인적정보'!B11="",'07b_하반기입력'!G11=""),"",'07b_하반기입력'!G11)</f>
        <v>C</v>
      </c>
      <c r="G69" s="19" t="str">
        <f>IF(OR('01_인적정보'!B11="",'07b_하반기입력'!H11=""),"",'07b_하반기입력'!H11)</f>
        <v>C</v>
      </c>
      <c r="H69" s="52">
        <f>IFERROR(IF(AND(LEN(F69)&gt;0,LEN(G69)&gt;0),'02_의사결정·종합결과'!$B$67*IFERROR(CHOOSE(FIND(F69,"DCBAS"),1,2,3,4,5),0)+'02_의사결정·종합결과'!$B$68*IFERROR(CHOOSE(FIND(G69,"DCBAS"),1,2,3,4,5),0),IF(LEN(F69)&gt;0,IFERROR(CHOOSE(FIND(F69,"DCBAS"),1,2,3,4,5),0),IF(LEN(G69)&gt;0,IFERROR(CHOOSE(FIND(G69,"DCBAS"),1,2,3,4,5),0),""))),"")</f>
        <v>2</v>
      </c>
      <c r="I69" s="53" t="str">
        <f t="shared" si="2"/>
        <v>C</v>
      </c>
      <c r="J69" s="5"/>
      <c r="K69" s="5"/>
      <c r="L69" s="54"/>
      <c r="M69" s="5"/>
      <c r="N69" s="5"/>
      <c r="O69" s="5"/>
      <c r="P69" s="55"/>
      <c r="Q69" s="5"/>
      <c r="R69" s="5"/>
      <c r="S69" s="5"/>
      <c r="T69" s="5"/>
      <c r="U69" s="5"/>
    </row>
    <row r="70" spans="1:21" ht="21.75" customHeight="1">
      <c r="A70" s="4">
        <f>IF('01_인적정보'!B12="","",'01_인적정보'!A12)</f>
        <v>7</v>
      </c>
      <c r="B70" s="4" t="str">
        <f>IF('01_인적정보'!B12="","",'01_인적정보'!B12)</f>
        <v>BSS-007</v>
      </c>
      <c r="C70" s="13" t="str">
        <f>IF('01_인적정보'!B12="","",'01_인적정보'!C12)</f>
        <v>OOO</v>
      </c>
      <c r="D70" s="13" t="str">
        <f>IF('01_인적정보'!B12="","",'01_인적정보'!E12)</f>
        <v>교육</v>
      </c>
      <c r="E70" s="40" t="str">
        <f>IF('01_인적정보'!B12="","",'01_인적정보'!H12)</f>
        <v>G5-M</v>
      </c>
      <c r="F70" s="19" t="str">
        <f>IF(OR('01_인적정보'!B12="",'07b_하반기입력'!G12=""),"",'07b_하반기입력'!G12)</f>
        <v>B</v>
      </c>
      <c r="G70" s="19" t="str">
        <f>IF(OR('01_인적정보'!B12="",'07b_하반기입력'!H12=""),"",'07b_하반기입력'!H12)</f>
        <v>A</v>
      </c>
      <c r="H70" s="52">
        <f>IFERROR(IF(AND(LEN(F70)&gt;0,LEN(G70)&gt;0),'02_의사결정·종합결과'!$B$67*IFERROR(CHOOSE(FIND(F70,"DCBAS"),1,2,3,4,5),0)+'02_의사결정·종합결과'!$B$68*IFERROR(CHOOSE(FIND(G70,"DCBAS"),1,2,3,4,5),0),IF(LEN(F70)&gt;0,IFERROR(CHOOSE(FIND(F70,"DCBAS"),1,2,3,4,5),0),IF(LEN(G70)&gt;0,IFERROR(CHOOSE(FIND(G70,"DCBAS"),1,2,3,4,5),0),""))),"")</f>
        <v>3.5</v>
      </c>
      <c r="I70" s="53" t="str">
        <f t="shared" si="2"/>
        <v>A</v>
      </c>
      <c r="J70" s="5"/>
      <c r="K70" s="5"/>
      <c r="L70" s="54"/>
      <c r="M70" s="5"/>
      <c r="N70" s="5"/>
      <c r="O70" s="5"/>
      <c r="P70" s="55"/>
      <c r="Q70" s="5"/>
      <c r="R70" s="5"/>
      <c r="S70" s="5"/>
      <c r="T70" s="5"/>
      <c r="U70" s="5"/>
    </row>
    <row r="71" spans="1:21" ht="21.75" customHeight="1">
      <c r="A71" s="4">
        <f>IF('01_인적정보'!B13="","",'01_인적정보'!A13)</f>
        <v>8</v>
      </c>
      <c r="B71" s="4" t="str">
        <f>IF('01_인적정보'!B13="","",'01_인적정보'!B13)</f>
        <v>BSS-008</v>
      </c>
      <c r="C71" s="13" t="str">
        <f>IF('01_인적정보'!B13="","",'01_인적정보'!C13)</f>
        <v>OOO</v>
      </c>
      <c r="D71" s="13" t="str">
        <f>IF('01_인적정보'!B13="","",'01_인적정보'!E13)</f>
        <v>기술지원</v>
      </c>
      <c r="E71" s="40" t="str">
        <f>IF('01_인적정보'!B13="","",'01_인적정보'!H13)</f>
        <v>G5-M</v>
      </c>
      <c r="F71" s="19" t="str">
        <f>IF(OR('01_인적정보'!B13="",'07b_하반기입력'!G13=""),"",'07b_하반기입력'!G13)</f>
        <v>D</v>
      </c>
      <c r="G71" s="19" t="str">
        <f>IF(OR('01_인적정보'!B13="",'07b_하반기입력'!H13=""),"",'07b_하반기입력'!H13)</f>
        <v>C</v>
      </c>
      <c r="H71" s="52">
        <f>IFERROR(IF(AND(LEN(F71)&gt;0,LEN(G71)&gt;0),'02_의사결정·종합결과'!$B$67*IFERROR(CHOOSE(FIND(F71,"DCBAS"),1,2,3,4,5),0)+'02_의사결정·종합결과'!$B$68*IFERROR(CHOOSE(FIND(G71,"DCBAS"),1,2,3,4,5),0),IF(LEN(F71)&gt;0,IFERROR(CHOOSE(FIND(F71,"DCBAS"),1,2,3,4,5),0),IF(LEN(G71)&gt;0,IFERROR(CHOOSE(FIND(G71,"DCBAS"),1,2,3,4,5),0),""))),"")</f>
        <v>1.5</v>
      </c>
      <c r="I71" s="53" t="str">
        <f t="shared" si="2"/>
        <v>C</v>
      </c>
      <c r="J71" s="5"/>
      <c r="K71" s="5"/>
      <c r="L71" s="54"/>
      <c r="M71" s="5"/>
      <c r="N71" s="5"/>
      <c r="O71" s="5"/>
      <c r="P71" s="55"/>
      <c r="Q71" s="5"/>
      <c r="R71" s="5"/>
      <c r="S71" s="5"/>
      <c r="T71" s="5"/>
      <c r="U71" s="5"/>
    </row>
    <row r="72" spans="1:21" ht="21.75" customHeight="1">
      <c r="A72" s="4">
        <f>IF('01_인적정보'!B14="","",'01_인적정보'!A14)</f>
        <v>9</v>
      </c>
      <c r="B72" s="4" t="str">
        <f>IF('01_인적정보'!B14="","",'01_인적정보'!B14)</f>
        <v>BSS-009</v>
      </c>
      <c r="C72" s="13" t="str">
        <f>IF('01_인적정보'!B14="","",'01_인적정보'!C14)</f>
        <v>OOO</v>
      </c>
      <c r="D72" s="13" t="str">
        <f>IF('01_인적정보'!B14="","",'01_인적정보'!E14)</f>
        <v>BIM컨설팅</v>
      </c>
      <c r="E72" s="40" t="str">
        <f>IF('01_인적정보'!B14="","",'01_인적정보'!H14)</f>
        <v>G5-M</v>
      </c>
      <c r="F72" s="19" t="str">
        <f>IF(OR('01_인적정보'!B14="",'07b_하반기입력'!G14=""),"",'07b_하반기입력'!G14)</f>
        <v>A</v>
      </c>
      <c r="G72" s="19" t="str">
        <f>IF(OR('01_인적정보'!B14="",'07b_하반기입력'!H14=""),"",'07b_하반기입력'!H14)</f>
        <v>A</v>
      </c>
      <c r="H72" s="52">
        <f>IFERROR(IF(AND(LEN(F72)&gt;0,LEN(G72)&gt;0),'02_의사결정·종합결과'!$B$67*IFERROR(CHOOSE(FIND(F72,"DCBAS"),1,2,3,4,5),0)+'02_의사결정·종합결과'!$B$68*IFERROR(CHOOSE(FIND(G72,"DCBAS"),1,2,3,4,5),0),IF(LEN(F72)&gt;0,IFERROR(CHOOSE(FIND(F72,"DCBAS"),1,2,3,4,5),0),IF(LEN(G72)&gt;0,IFERROR(CHOOSE(FIND(G72,"DCBAS"),1,2,3,4,5),0),""))),"")</f>
        <v>4</v>
      </c>
      <c r="I72" s="53" t="str">
        <f t="shared" si="2"/>
        <v>A</v>
      </c>
      <c r="J72" s="5"/>
      <c r="K72" s="5"/>
      <c r="L72" s="54"/>
      <c r="M72" s="5"/>
      <c r="N72" s="5"/>
      <c r="O72" s="5"/>
      <c r="P72" s="55"/>
      <c r="Q72" s="5"/>
      <c r="R72" s="5"/>
      <c r="S72" s="5"/>
      <c r="T72" s="5"/>
      <c r="U72" s="5"/>
    </row>
    <row r="73" spans="1:21" ht="21.75" customHeight="1">
      <c r="A73" s="4">
        <f>IF('01_인적정보'!B15="","",'01_인적정보'!A15)</f>
        <v>10</v>
      </c>
      <c r="B73" s="4" t="str">
        <f>IF('01_인적정보'!B15="","",'01_인적정보'!B15)</f>
        <v>BSS-010</v>
      </c>
      <c r="C73" s="13" t="str">
        <f>IF('01_인적정보'!B15="","",'01_인적정보'!C15)</f>
        <v>OOO</v>
      </c>
      <c r="D73" s="13" t="str">
        <f>IF('01_인적정보'!B15="","",'01_인적정보'!E15)</f>
        <v>BIM컨설팅</v>
      </c>
      <c r="E73" s="40" t="str">
        <f>IF('01_인적정보'!B15="","",'01_인적정보'!H15)</f>
        <v>G5-S</v>
      </c>
      <c r="F73" s="19" t="str">
        <f>IF(OR('01_인적정보'!B15="",'07b_하반기입력'!G15=""),"",'07b_하반기입력'!G15)</f>
        <v>A</v>
      </c>
      <c r="G73" s="19" t="str">
        <f>IF(OR('01_인적정보'!B15="",'07b_하반기입력'!H15=""),"",'07b_하반기입력'!H15)</f>
        <v>A</v>
      </c>
      <c r="H73" s="52">
        <f>IFERROR(IF(AND(LEN(F73)&gt;0,LEN(G73)&gt;0),'02_의사결정·종합결과'!$B$67*IFERROR(CHOOSE(FIND(F73,"DCBAS"),1,2,3,4,5),0)+'02_의사결정·종합결과'!$B$68*IFERROR(CHOOSE(FIND(G73,"DCBAS"),1,2,3,4,5),0),IF(LEN(F73)&gt;0,IFERROR(CHOOSE(FIND(F73,"DCBAS"),1,2,3,4,5),0),IF(LEN(G73)&gt;0,IFERROR(CHOOSE(FIND(G73,"DCBAS"),1,2,3,4,5),0),""))),"")</f>
        <v>4</v>
      </c>
      <c r="I73" s="53" t="str">
        <f t="shared" si="2"/>
        <v>A</v>
      </c>
      <c r="J73" s="5"/>
      <c r="K73" s="5"/>
      <c r="L73" s="54"/>
      <c r="M73" s="5"/>
      <c r="N73" s="5"/>
      <c r="O73" s="5"/>
      <c r="P73" s="55"/>
      <c r="Q73" s="5"/>
      <c r="R73" s="5"/>
      <c r="S73" s="5"/>
      <c r="T73" s="5"/>
      <c r="U73" s="5"/>
    </row>
    <row r="74" spans="1:21" ht="21.75" customHeight="1">
      <c r="A74" s="4">
        <f>IF('01_인적정보'!B16="","",'01_인적정보'!A16)</f>
        <v>11</v>
      </c>
      <c r="B74" s="4" t="str">
        <f>IF('01_인적정보'!B16="","",'01_인적정보'!B16)</f>
        <v>BSS-011</v>
      </c>
      <c r="C74" s="13" t="str">
        <f>IF('01_인적정보'!B16="","",'01_인적정보'!C16)</f>
        <v>OOO</v>
      </c>
      <c r="D74" s="13" t="str">
        <f>IF('01_인적정보'!B16="","",'01_인적정보'!E16)</f>
        <v>BIM컨설팅</v>
      </c>
      <c r="E74" s="40" t="str">
        <f>IF('01_인적정보'!B16="","",'01_인적정보'!H16)</f>
        <v>G5-S</v>
      </c>
      <c r="F74" s="19" t="str">
        <f>IF(OR('01_인적정보'!B16="",'07b_하반기입력'!G16=""),"",'07b_하반기입력'!G16)</f>
        <v>C</v>
      </c>
      <c r="G74" s="19" t="str">
        <f>IF(OR('01_인적정보'!B16="",'07b_하반기입력'!H16=""),"",'07b_하반기입력'!H16)</f>
        <v>B</v>
      </c>
      <c r="H74" s="52">
        <f>IFERROR(IF(AND(LEN(F74)&gt;0,LEN(G74)&gt;0),'02_의사결정·종합결과'!$B$67*IFERROR(CHOOSE(FIND(F74,"DCBAS"),1,2,3,4,5),0)+'02_의사결정·종합결과'!$B$68*IFERROR(CHOOSE(FIND(G74,"DCBAS"),1,2,3,4,5),0),IF(LEN(F74)&gt;0,IFERROR(CHOOSE(FIND(F74,"DCBAS"),1,2,3,4,5),0),IF(LEN(G74)&gt;0,IFERROR(CHOOSE(FIND(G74,"DCBAS"),1,2,3,4,5),0),""))),"")</f>
        <v>2.5</v>
      </c>
      <c r="I74" s="53" t="str">
        <f t="shared" si="2"/>
        <v>B</v>
      </c>
      <c r="J74" s="5"/>
      <c r="K74" s="5"/>
      <c r="L74" s="54"/>
      <c r="M74" s="5"/>
      <c r="N74" s="5"/>
      <c r="O74" s="5"/>
      <c r="P74" s="55"/>
      <c r="Q74" s="5"/>
      <c r="R74" s="5"/>
      <c r="S74" s="5"/>
      <c r="T74" s="5"/>
      <c r="U74" s="5"/>
    </row>
    <row r="75" spans="1:21" ht="21.75" customHeight="1">
      <c r="A75" s="4">
        <f>IF('01_인적정보'!B17="","",'01_인적정보'!A17)</f>
        <v>12</v>
      </c>
      <c r="B75" s="4" t="str">
        <f>IF('01_인적정보'!B17="","",'01_인적정보'!B17)</f>
        <v>BSS-012</v>
      </c>
      <c r="C75" s="13" t="str">
        <f>IF('01_인적정보'!B17="","",'01_인적정보'!C17)</f>
        <v>OOO</v>
      </c>
      <c r="D75" s="13" t="str">
        <f>IF('01_인적정보'!B17="","",'01_인적정보'!E17)</f>
        <v>경영전략기획</v>
      </c>
      <c r="E75" s="40" t="str">
        <f>IF('01_인적정보'!B17="","",'01_인적정보'!H17)</f>
        <v>G5-M</v>
      </c>
      <c r="F75" s="19" t="str">
        <f>IF(OR('01_인적정보'!B17="",'07b_하반기입력'!G17=""),"",'07b_하반기입력'!G17)</f>
        <v>C</v>
      </c>
      <c r="G75" s="19" t="str">
        <f>IF(OR('01_인적정보'!B17="",'07b_하반기입력'!H17=""),"",'07b_하반기입력'!H17)</f>
        <v>C</v>
      </c>
      <c r="H75" s="52">
        <f>IFERROR(IF(AND(LEN(F75)&gt;0,LEN(G75)&gt;0),'02_의사결정·종합결과'!$B$67*IFERROR(CHOOSE(FIND(F75,"DCBAS"),1,2,3,4,5),0)+'02_의사결정·종합결과'!$B$68*IFERROR(CHOOSE(FIND(G75,"DCBAS"),1,2,3,4,5),0),IF(LEN(F75)&gt;0,IFERROR(CHOOSE(FIND(F75,"DCBAS"),1,2,3,4,5),0),IF(LEN(G75)&gt;0,IFERROR(CHOOSE(FIND(G75,"DCBAS"),1,2,3,4,5),0),""))),"")</f>
        <v>2</v>
      </c>
      <c r="I75" s="53" t="str">
        <f t="shared" si="2"/>
        <v>C</v>
      </c>
      <c r="J75" s="5"/>
      <c r="K75" s="5"/>
      <c r="L75" s="54"/>
      <c r="M75" s="5"/>
      <c r="N75" s="5"/>
      <c r="O75" s="5"/>
      <c r="P75" s="55"/>
      <c r="Q75" s="5"/>
      <c r="R75" s="5"/>
      <c r="S75" s="5"/>
      <c r="T75" s="5"/>
      <c r="U75" s="5"/>
    </row>
    <row r="76" spans="1:21" ht="21.75" customHeight="1">
      <c r="A76" s="4">
        <f>IF('01_인적정보'!B18="","",'01_인적정보'!A18)</f>
        <v>13</v>
      </c>
      <c r="B76" s="4" t="str">
        <f>IF('01_인적정보'!B18="","",'01_인적정보'!B18)</f>
        <v>BSS-013</v>
      </c>
      <c r="C76" s="13" t="str">
        <f>IF('01_인적정보'!B18="","",'01_인적정보'!C18)</f>
        <v>OOO</v>
      </c>
      <c r="D76" s="13" t="str">
        <f>IF('01_인적정보'!B18="","",'01_인적정보'!E18)</f>
        <v>BIM컨설팅</v>
      </c>
      <c r="E76" s="40" t="str">
        <f>IF('01_인적정보'!B18="","",'01_인적정보'!H18)</f>
        <v>G5-S</v>
      </c>
      <c r="F76" s="19" t="str">
        <f>IF(OR('01_인적정보'!B18="",'07b_하반기입력'!G18=""),"",'07b_하반기입력'!G18)</f>
        <v>S</v>
      </c>
      <c r="G76" s="19" t="str">
        <f>IF(OR('01_인적정보'!B18="",'07b_하반기입력'!H18=""),"",'07b_하반기입력'!H18)</f>
        <v>S</v>
      </c>
      <c r="H76" s="52">
        <f>IFERROR(IF(AND(LEN(F76)&gt;0,LEN(G76)&gt;0),'02_의사결정·종합결과'!$B$67*IFERROR(CHOOSE(FIND(F76,"DCBAS"),1,2,3,4,5),0)+'02_의사결정·종합결과'!$B$68*IFERROR(CHOOSE(FIND(G76,"DCBAS"),1,2,3,4,5),0),IF(LEN(F76)&gt;0,IFERROR(CHOOSE(FIND(F76,"DCBAS"),1,2,3,4,5),0),IF(LEN(G76)&gt;0,IFERROR(CHOOSE(FIND(G76,"DCBAS"),1,2,3,4,5),0),""))),"")</f>
        <v>5</v>
      </c>
      <c r="I76" s="53" t="str">
        <f t="shared" si="2"/>
        <v>S</v>
      </c>
      <c r="J76" s="5"/>
      <c r="K76" s="5"/>
      <c r="L76" s="54"/>
      <c r="M76" s="5"/>
      <c r="N76" s="5"/>
      <c r="O76" s="5"/>
      <c r="P76" s="55"/>
      <c r="Q76" s="5"/>
      <c r="R76" s="5"/>
      <c r="S76" s="5"/>
      <c r="T76" s="5"/>
      <c r="U76" s="5"/>
    </row>
    <row r="77" spans="1:21" ht="21.75" customHeight="1">
      <c r="A77" s="4">
        <f>IF('01_인적정보'!B19="","",'01_인적정보'!A19)</f>
        <v>14</v>
      </c>
      <c r="B77" s="4" t="str">
        <f>IF('01_인적정보'!B19="","",'01_인적정보'!B19)</f>
        <v>BSS-014</v>
      </c>
      <c r="C77" s="13" t="str">
        <f>IF('01_인적정보'!B19="","",'01_인적정보'!C19)</f>
        <v>OOO</v>
      </c>
      <c r="D77" s="13" t="str">
        <f>IF('01_인적정보'!B19="","",'01_인적정보'!E19)</f>
        <v>BIM컨설팅</v>
      </c>
      <c r="E77" s="40" t="str">
        <f>IF('01_인적정보'!B19="","",'01_인적정보'!H19)</f>
        <v>G5-S</v>
      </c>
      <c r="F77" s="19" t="str">
        <f>IF(OR('01_인적정보'!B19="",'07b_하반기입력'!G19=""),"",'07b_하반기입력'!G19)</f>
        <v>B</v>
      </c>
      <c r="G77" s="19" t="str">
        <f>IF(OR('01_인적정보'!B19="",'07b_하반기입력'!H19=""),"",'07b_하반기입력'!H19)</f>
        <v>B</v>
      </c>
      <c r="H77" s="52">
        <f>IFERROR(IF(AND(LEN(F77)&gt;0,LEN(G77)&gt;0),'02_의사결정·종합결과'!$B$67*IFERROR(CHOOSE(FIND(F77,"DCBAS"),1,2,3,4,5),0)+'02_의사결정·종합결과'!$B$68*IFERROR(CHOOSE(FIND(G77,"DCBAS"),1,2,3,4,5),0),IF(LEN(F77)&gt;0,IFERROR(CHOOSE(FIND(F77,"DCBAS"),1,2,3,4,5),0),IF(LEN(G77)&gt;0,IFERROR(CHOOSE(FIND(G77,"DCBAS"),1,2,3,4,5),0),""))),"")</f>
        <v>3</v>
      </c>
      <c r="I77" s="53" t="str">
        <f t="shared" si="2"/>
        <v>B</v>
      </c>
      <c r="J77" s="5"/>
      <c r="K77" s="5"/>
      <c r="L77" s="54"/>
      <c r="M77" s="5"/>
      <c r="N77" s="5"/>
      <c r="O77" s="5"/>
      <c r="P77" s="55"/>
      <c r="Q77" s="5"/>
      <c r="R77" s="5"/>
      <c r="S77" s="5"/>
      <c r="T77" s="5"/>
      <c r="U77" s="5"/>
    </row>
    <row r="78" spans="1:21" ht="21.75" customHeight="1">
      <c r="A78" s="4">
        <f>IF('01_인적정보'!B20="","",'01_인적정보'!A20)</f>
        <v>15</v>
      </c>
      <c r="B78" s="4" t="str">
        <f>IF('01_인적정보'!B20="","",'01_인적정보'!B20)</f>
        <v>BSS-015</v>
      </c>
      <c r="C78" s="13" t="str">
        <f>IF('01_인적정보'!B20="","",'01_인적정보'!C20)</f>
        <v>OOO</v>
      </c>
      <c r="D78" s="13" t="str">
        <f>IF('01_인적정보'!B20="","",'01_인적정보'!E20)</f>
        <v>BIM컨설팅</v>
      </c>
      <c r="E78" s="40" t="str">
        <f>IF('01_인적정보'!B20="","",'01_인적정보'!H20)</f>
        <v>G5-S</v>
      </c>
      <c r="F78" s="19" t="str">
        <f>IF(OR('01_인적정보'!B20="",'07b_하반기입력'!G20=""),"",'07b_하반기입력'!G20)</f>
        <v>B</v>
      </c>
      <c r="G78" s="19" t="str">
        <f>IF(OR('01_인적정보'!B20="",'07b_하반기입력'!H20=""),"",'07b_하반기입력'!H20)</f>
        <v>C</v>
      </c>
      <c r="H78" s="52">
        <f>IFERROR(IF(AND(LEN(F78)&gt;0,LEN(G78)&gt;0),'02_의사결정·종합결과'!$B$67*IFERROR(CHOOSE(FIND(F78,"DCBAS"),1,2,3,4,5),0)+'02_의사결정·종합결과'!$B$68*IFERROR(CHOOSE(FIND(G78,"DCBAS"),1,2,3,4,5),0),IF(LEN(F78)&gt;0,IFERROR(CHOOSE(FIND(F78,"DCBAS"),1,2,3,4,5),0),IF(LEN(G78)&gt;0,IFERROR(CHOOSE(FIND(G78,"DCBAS"),1,2,3,4,5),0),""))),"")</f>
        <v>2.5</v>
      </c>
      <c r="I78" s="53" t="str">
        <f t="shared" si="2"/>
        <v>B</v>
      </c>
      <c r="J78" s="5"/>
      <c r="K78" s="5"/>
      <c r="L78" s="54"/>
      <c r="M78" s="5"/>
      <c r="N78" s="5"/>
      <c r="O78" s="5"/>
      <c r="P78" s="55"/>
      <c r="Q78" s="5"/>
      <c r="R78" s="5"/>
      <c r="S78" s="5"/>
      <c r="T78" s="5"/>
      <c r="U78" s="5"/>
    </row>
    <row r="79" spans="1:21" ht="21.75" customHeight="1">
      <c r="A79" s="4">
        <f>IF('01_인적정보'!B21="","",'01_인적정보'!A21)</f>
        <v>16</v>
      </c>
      <c r="B79" s="4" t="str">
        <f>IF('01_인적정보'!B21="","",'01_인적정보'!B21)</f>
        <v>BSS-016</v>
      </c>
      <c r="C79" s="13" t="str">
        <f>IF('01_인적정보'!B21="","",'01_인적정보'!C21)</f>
        <v>OOO</v>
      </c>
      <c r="D79" s="13" t="str">
        <f>IF('01_인적정보'!B21="","",'01_인적정보'!E21)</f>
        <v>BIM컨설팅</v>
      </c>
      <c r="E79" s="40" t="str">
        <f>IF('01_인적정보'!B21="","",'01_인적정보'!H21)</f>
        <v>G5-S</v>
      </c>
      <c r="F79" s="19" t="str">
        <f>IF(OR('01_인적정보'!B21="",'07b_하반기입력'!G21=""),"",'07b_하반기입력'!G21)</f>
        <v>A</v>
      </c>
      <c r="G79" s="19" t="str">
        <f>IF(OR('01_인적정보'!B21="",'07b_하반기입력'!H21=""),"",'07b_하반기입력'!H21)</f>
        <v>B</v>
      </c>
      <c r="H79" s="52">
        <f>IFERROR(IF(AND(LEN(F79)&gt;0,LEN(G79)&gt;0),'02_의사결정·종합결과'!$B$67*IFERROR(CHOOSE(FIND(F79,"DCBAS"),1,2,3,4,5),0)+'02_의사결정·종합결과'!$B$68*IFERROR(CHOOSE(FIND(G79,"DCBAS"),1,2,3,4,5),0),IF(LEN(F79)&gt;0,IFERROR(CHOOSE(FIND(F79,"DCBAS"),1,2,3,4,5),0),IF(LEN(G79)&gt;0,IFERROR(CHOOSE(FIND(G79,"DCBAS"),1,2,3,4,5),0),""))),"")</f>
        <v>3.5</v>
      </c>
      <c r="I79" s="53" t="str">
        <f t="shared" si="2"/>
        <v>A</v>
      </c>
      <c r="J79" s="5"/>
      <c r="K79" s="5"/>
      <c r="L79" s="54"/>
      <c r="M79" s="5"/>
      <c r="N79" s="5"/>
      <c r="O79" s="5"/>
      <c r="P79" s="55"/>
      <c r="Q79" s="5"/>
      <c r="R79" s="5"/>
      <c r="S79" s="5"/>
      <c r="T79" s="5"/>
      <c r="U79" s="5"/>
    </row>
    <row r="80" spans="1:21" ht="21.75" customHeight="1">
      <c r="A80" s="4">
        <f>IF('01_인적정보'!B22="","",'01_인적정보'!A22)</f>
        <v>17</v>
      </c>
      <c r="B80" s="4" t="str">
        <f>IF('01_인적정보'!B22="","",'01_인적정보'!B22)</f>
        <v>BSS-017</v>
      </c>
      <c r="C80" s="13" t="str">
        <f>IF('01_인적정보'!B22="","",'01_인적정보'!C22)</f>
        <v>OOO</v>
      </c>
      <c r="D80" s="13" t="str">
        <f>IF('01_인적정보'!B22="","",'01_인적정보'!E22)</f>
        <v>교육</v>
      </c>
      <c r="E80" s="40" t="str">
        <f>IF('01_인적정보'!B22="","",'01_인적정보'!H22)</f>
        <v>G4</v>
      </c>
      <c r="F80" s="19" t="str">
        <f>IF(OR('01_인적정보'!B22="",'07b_하반기입력'!G22=""),"",'07b_하반기입력'!G22)</f>
        <v>B</v>
      </c>
      <c r="G80" s="19" t="str">
        <f>IF(OR('01_인적정보'!B22="",'07b_하반기입력'!H22=""),"",'07b_하반기입력'!H22)</f>
        <v>B</v>
      </c>
      <c r="H80" s="52">
        <f>IFERROR(IF(AND(LEN(F80)&gt;0,LEN(G80)&gt;0),'02_의사결정·종합결과'!$B$67*IFERROR(CHOOSE(FIND(F80,"DCBAS"),1,2,3,4,5),0)+'02_의사결정·종합결과'!$B$68*IFERROR(CHOOSE(FIND(G80,"DCBAS"),1,2,3,4,5),0),IF(LEN(F80)&gt;0,IFERROR(CHOOSE(FIND(F80,"DCBAS"),1,2,3,4,5),0),IF(LEN(G80)&gt;0,IFERROR(CHOOSE(FIND(G80,"DCBAS"),1,2,3,4,5),0),""))),"")</f>
        <v>3</v>
      </c>
      <c r="I80" s="53" t="str">
        <f t="shared" si="2"/>
        <v>B</v>
      </c>
      <c r="J80" s="5"/>
      <c r="K80" s="5"/>
      <c r="L80" s="54"/>
      <c r="M80" s="5"/>
      <c r="N80" s="5"/>
      <c r="O80" s="5"/>
      <c r="P80" s="55"/>
      <c r="Q80" s="5"/>
      <c r="R80" s="5"/>
      <c r="S80" s="5"/>
      <c r="T80" s="5"/>
      <c r="U80" s="5"/>
    </row>
    <row r="81" spans="1:21" ht="21.75" customHeight="1">
      <c r="A81" s="4">
        <f>IF('01_인적정보'!B23="","",'01_인적정보'!A23)</f>
        <v>18</v>
      </c>
      <c r="B81" s="4" t="str">
        <f>IF('01_인적정보'!B23="","",'01_인적정보'!B23)</f>
        <v>BSS-018</v>
      </c>
      <c r="C81" s="13" t="str">
        <f>IF('01_인적정보'!B23="","",'01_인적정보'!C23)</f>
        <v>OOO</v>
      </c>
      <c r="D81" s="13" t="str">
        <f>IF('01_인적정보'!B23="","",'01_인적정보'!E23)</f>
        <v>BIM컨설팅</v>
      </c>
      <c r="E81" s="40" t="str">
        <f>IF('01_인적정보'!B23="","",'01_인적정보'!H23)</f>
        <v>G4</v>
      </c>
      <c r="F81" s="19" t="str">
        <f>IF(OR('01_인적정보'!B23="",'07b_하반기입력'!G23=""),"",'07b_하반기입력'!G23)</f>
        <v>A</v>
      </c>
      <c r="G81" s="19" t="str">
        <f>IF(OR('01_인적정보'!B23="",'07b_하반기입력'!H23=""),"",'07b_하반기입력'!H23)</f>
        <v>A</v>
      </c>
      <c r="H81" s="52">
        <f>IFERROR(IF(AND(LEN(F81)&gt;0,LEN(G81)&gt;0),'02_의사결정·종합결과'!$B$67*IFERROR(CHOOSE(FIND(F81,"DCBAS"),1,2,3,4,5),0)+'02_의사결정·종합결과'!$B$68*IFERROR(CHOOSE(FIND(G81,"DCBAS"),1,2,3,4,5),0),IF(LEN(F81)&gt;0,IFERROR(CHOOSE(FIND(F81,"DCBAS"),1,2,3,4,5),0),IF(LEN(G81)&gt;0,IFERROR(CHOOSE(FIND(G81,"DCBAS"),1,2,3,4,5),0),""))),"")</f>
        <v>4</v>
      </c>
      <c r="I81" s="53" t="str">
        <f t="shared" si="2"/>
        <v>A</v>
      </c>
      <c r="J81" s="5"/>
      <c r="K81" s="5"/>
      <c r="L81" s="54"/>
      <c r="M81" s="5"/>
      <c r="N81" s="5"/>
      <c r="O81" s="5"/>
      <c r="P81" s="55"/>
      <c r="Q81" s="5"/>
      <c r="R81" s="5"/>
      <c r="S81" s="5"/>
      <c r="T81" s="5"/>
      <c r="U81" s="5"/>
    </row>
    <row r="82" spans="1:21" ht="21.75" customHeight="1">
      <c r="A82" s="4">
        <f>IF('01_인적정보'!B24="","",'01_인적정보'!A24)</f>
        <v>19</v>
      </c>
      <c r="B82" s="4" t="str">
        <f>IF('01_인적정보'!B24="","",'01_인적정보'!B24)</f>
        <v>BSS-019</v>
      </c>
      <c r="C82" s="13" t="str">
        <f>IF('01_인적정보'!B24="","",'01_인적정보'!C24)</f>
        <v>OOO</v>
      </c>
      <c r="D82" s="13" t="str">
        <f>IF('01_인적정보'!B24="","",'01_인적정보'!E24)</f>
        <v>BIM컨설팅</v>
      </c>
      <c r="E82" s="40" t="str">
        <f>IF('01_인적정보'!B24="","",'01_인적정보'!H24)</f>
        <v>G3</v>
      </c>
      <c r="F82" s="19" t="str">
        <f>IF(OR('01_인적정보'!B24="",'07b_하반기입력'!G24=""),"",'07b_하반기입력'!G24)</f>
        <v>B</v>
      </c>
      <c r="G82" s="19" t="str">
        <f>IF(OR('01_인적정보'!B24="",'07b_하반기입력'!H24=""),"",'07b_하반기입력'!H24)</f>
        <v>B</v>
      </c>
      <c r="H82" s="52">
        <f>IFERROR(IF(AND(LEN(F82)&gt;0,LEN(G82)&gt;0),'02_의사결정·종합결과'!$B$67*IFERROR(CHOOSE(FIND(F82,"DCBAS"),1,2,3,4,5),0)+'02_의사결정·종합결과'!$B$68*IFERROR(CHOOSE(FIND(G82,"DCBAS"),1,2,3,4,5),0),IF(LEN(F82)&gt;0,IFERROR(CHOOSE(FIND(F82,"DCBAS"),1,2,3,4,5),0),IF(LEN(G82)&gt;0,IFERROR(CHOOSE(FIND(G82,"DCBAS"),1,2,3,4,5),0),""))),"")</f>
        <v>3</v>
      </c>
      <c r="I82" s="53" t="str">
        <f t="shared" si="2"/>
        <v>B</v>
      </c>
      <c r="J82" s="5"/>
      <c r="K82" s="5"/>
      <c r="L82" s="54"/>
      <c r="M82" s="5"/>
      <c r="N82" s="5"/>
      <c r="O82" s="5"/>
      <c r="P82" s="55"/>
      <c r="Q82" s="5"/>
      <c r="R82" s="5"/>
      <c r="S82" s="5"/>
      <c r="T82" s="5"/>
      <c r="U82" s="5"/>
    </row>
    <row r="83" spans="1:21" ht="21.75" customHeight="1">
      <c r="A83" s="4">
        <f>IF('01_인적정보'!B25="","",'01_인적정보'!A25)</f>
        <v>20</v>
      </c>
      <c r="B83" s="4" t="str">
        <f>IF('01_인적정보'!B25="","",'01_인적정보'!B25)</f>
        <v>BSS-020</v>
      </c>
      <c r="C83" s="13" t="str">
        <f>IF('01_인적정보'!B25="","",'01_인적정보'!C25)</f>
        <v>OOO</v>
      </c>
      <c r="D83" s="13" t="str">
        <f>IF('01_인적정보'!B25="","",'01_인적정보'!E25)</f>
        <v>기술지원</v>
      </c>
      <c r="E83" s="40" t="str">
        <f>IF('01_인적정보'!B25="","",'01_인적정보'!H25)</f>
        <v>G3</v>
      </c>
      <c r="F83" s="19" t="str">
        <f>IF(OR('01_인적정보'!B25="",'07b_하반기입력'!G25=""),"",'07b_하반기입력'!G25)</f>
        <v>B</v>
      </c>
      <c r="G83" s="19" t="str">
        <f>IF(OR('01_인적정보'!B25="",'07b_하반기입력'!H25=""),"",'07b_하반기입력'!H25)</f>
        <v>C</v>
      </c>
      <c r="H83" s="52">
        <f>IFERROR(IF(AND(LEN(F83)&gt;0,LEN(G83)&gt;0),'02_의사결정·종합결과'!$B$67*IFERROR(CHOOSE(FIND(F83,"DCBAS"),1,2,3,4,5),0)+'02_의사결정·종합결과'!$B$68*IFERROR(CHOOSE(FIND(G83,"DCBAS"),1,2,3,4,5),0),IF(LEN(F83)&gt;0,IFERROR(CHOOSE(FIND(F83,"DCBAS"),1,2,3,4,5),0),IF(LEN(G83)&gt;0,IFERROR(CHOOSE(FIND(G83,"DCBAS"),1,2,3,4,5),0),""))),"")</f>
        <v>2.5</v>
      </c>
      <c r="I83" s="53" t="str">
        <f t="shared" si="2"/>
        <v>B</v>
      </c>
      <c r="J83" s="5"/>
      <c r="K83" s="5"/>
      <c r="L83" s="54"/>
      <c r="M83" s="5"/>
      <c r="N83" s="5"/>
      <c r="O83" s="5"/>
      <c r="P83" s="55"/>
      <c r="Q83" s="5"/>
      <c r="R83" s="5"/>
      <c r="S83" s="5"/>
      <c r="T83" s="5"/>
      <c r="U83" s="5"/>
    </row>
    <row r="84" spans="1:21" ht="21.75" customHeight="1">
      <c r="A84" s="4">
        <f>IF('01_인적정보'!B26="","",'01_인적정보'!A26)</f>
        <v>21</v>
      </c>
      <c r="B84" s="4" t="str">
        <f>IF('01_인적정보'!B26="","",'01_인적정보'!B26)</f>
        <v>BSS-021</v>
      </c>
      <c r="C84" s="13" t="str">
        <f>IF('01_인적정보'!B26="","",'01_인적정보'!C26)</f>
        <v>OOO</v>
      </c>
      <c r="D84" s="13" t="str">
        <f>IF('01_인적정보'!B26="","",'01_인적정보'!E26)</f>
        <v>BIM컨설팅</v>
      </c>
      <c r="E84" s="40" t="str">
        <f>IF('01_인적정보'!B26="","",'01_인적정보'!H26)</f>
        <v>G2</v>
      </c>
      <c r="F84" s="19" t="str">
        <f>IF(OR('01_인적정보'!B26="",'07b_하반기입력'!G26=""),"",'07b_하반기입력'!G26)</f>
        <v>C</v>
      </c>
      <c r="G84" s="19" t="str">
        <f>IF(OR('01_인적정보'!B26="",'07b_하반기입력'!H26=""),"",'07b_하반기입력'!H26)</f>
        <v>C</v>
      </c>
      <c r="H84" s="52">
        <f>IFERROR(IF(AND(LEN(F84)&gt;0,LEN(G84)&gt;0),'02_의사결정·종합결과'!$B$67*IFERROR(CHOOSE(FIND(F84,"DCBAS"),1,2,3,4,5),0)+'02_의사결정·종합결과'!$B$68*IFERROR(CHOOSE(FIND(G84,"DCBAS"),1,2,3,4,5),0),IF(LEN(F84)&gt;0,IFERROR(CHOOSE(FIND(F84,"DCBAS"),1,2,3,4,5),0),IF(LEN(G84)&gt;0,IFERROR(CHOOSE(FIND(G84,"DCBAS"),1,2,3,4,5),0),""))),"")</f>
        <v>2</v>
      </c>
      <c r="I84" s="53" t="str">
        <f t="shared" si="2"/>
        <v>C</v>
      </c>
      <c r="J84" s="5"/>
      <c r="K84" s="5"/>
      <c r="L84" s="54"/>
      <c r="M84" s="5"/>
      <c r="N84" s="5"/>
      <c r="O84" s="5"/>
      <c r="P84" s="55"/>
      <c r="Q84" s="5"/>
      <c r="R84" s="5"/>
      <c r="S84" s="5"/>
      <c r="T84" s="5"/>
      <c r="U84" s="5"/>
    </row>
    <row r="85" spans="1:21" ht="21.75" customHeight="1">
      <c r="A85" s="4">
        <f>IF('01_인적정보'!B27="","",'01_인적정보'!A27)</f>
        <v>22</v>
      </c>
      <c r="B85" s="4" t="str">
        <f>IF('01_인적정보'!B27="","",'01_인적정보'!B27)</f>
        <v>BSS-022</v>
      </c>
      <c r="C85" s="13" t="str">
        <f>IF('01_인적정보'!B27="","",'01_인적정보'!C27)</f>
        <v>OOO</v>
      </c>
      <c r="D85" s="13" t="str">
        <f>IF('01_인적정보'!B27="","",'01_인적정보'!E27)</f>
        <v>BIM컨설팅</v>
      </c>
      <c r="E85" s="40" t="str">
        <f>IF('01_인적정보'!B27="","",'01_인적정보'!H27)</f>
        <v>G2</v>
      </c>
      <c r="F85" s="19" t="str">
        <f>IF(OR('01_인적정보'!B27="",'07b_하반기입력'!G27=""),"",'07b_하반기입력'!G27)</f>
        <v>B</v>
      </c>
      <c r="G85" s="19" t="str">
        <f>IF(OR('01_인적정보'!B27="",'07b_하반기입력'!H27=""),"",'07b_하반기입력'!H27)</f>
        <v>B</v>
      </c>
      <c r="H85" s="52">
        <f>IFERROR(IF(AND(LEN(F85)&gt;0,LEN(G85)&gt;0),'02_의사결정·종합결과'!$B$67*IFERROR(CHOOSE(FIND(F85,"DCBAS"),1,2,3,4,5),0)+'02_의사결정·종합결과'!$B$68*IFERROR(CHOOSE(FIND(G85,"DCBAS"),1,2,3,4,5),0),IF(LEN(F85)&gt;0,IFERROR(CHOOSE(FIND(F85,"DCBAS"),1,2,3,4,5),0),IF(LEN(G85)&gt;0,IFERROR(CHOOSE(FIND(G85,"DCBAS"),1,2,3,4,5),0),""))),"")</f>
        <v>3</v>
      </c>
      <c r="I85" s="53" t="str">
        <f t="shared" si="2"/>
        <v>B</v>
      </c>
      <c r="J85" s="5"/>
      <c r="K85" s="5"/>
      <c r="L85" s="54"/>
      <c r="M85" s="5"/>
      <c r="N85" s="5"/>
      <c r="O85" s="5"/>
      <c r="P85" s="55"/>
      <c r="Q85" s="5"/>
      <c r="R85" s="5"/>
      <c r="S85" s="5"/>
      <c r="T85" s="5"/>
      <c r="U85" s="5"/>
    </row>
    <row r="86" spans="1:21" ht="21.75" customHeight="1">
      <c r="A86" s="4">
        <f>IF('01_인적정보'!B28="","",'01_인적정보'!A28)</f>
        <v>23</v>
      </c>
      <c r="B86" s="4" t="str">
        <f>IF('01_인적정보'!B28="","",'01_인적정보'!B28)</f>
        <v>BSS-023</v>
      </c>
      <c r="C86" s="13" t="str">
        <f>IF('01_인적정보'!B28="","",'01_인적정보'!C28)</f>
        <v>OOO</v>
      </c>
      <c r="D86" s="13" t="str">
        <f>IF('01_인적정보'!B28="","",'01_인적정보'!E28)</f>
        <v>BIM컨설팅</v>
      </c>
      <c r="E86" s="40" t="str">
        <f>IF('01_인적정보'!B28="","",'01_인적정보'!H28)</f>
        <v>G2</v>
      </c>
      <c r="F86" s="19" t="str">
        <f>IF(OR('01_인적정보'!B28="",'07b_하반기입력'!G28=""),"",'07b_하반기입력'!G28)</f>
        <v>B</v>
      </c>
      <c r="G86" s="19" t="str">
        <f>IF(OR('01_인적정보'!B28="",'07b_하반기입력'!H28=""),"",'07b_하반기입력'!H28)</f>
        <v>A</v>
      </c>
      <c r="H86" s="52">
        <f>IFERROR(IF(AND(LEN(F86)&gt;0,LEN(G86)&gt;0),'02_의사결정·종합결과'!$B$67*IFERROR(CHOOSE(FIND(F86,"DCBAS"),1,2,3,4,5),0)+'02_의사결정·종합결과'!$B$68*IFERROR(CHOOSE(FIND(G86,"DCBAS"),1,2,3,4,5),0),IF(LEN(F86)&gt;0,IFERROR(CHOOSE(FIND(F86,"DCBAS"),1,2,3,4,5),0),IF(LEN(G86)&gt;0,IFERROR(CHOOSE(FIND(G86,"DCBAS"),1,2,3,4,5),0),""))),"")</f>
        <v>3.5</v>
      </c>
      <c r="I86" s="53" t="str">
        <f t="shared" si="2"/>
        <v>A</v>
      </c>
      <c r="J86" s="5"/>
      <c r="K86" s="5"/>
      <c r="L86" s="54"/>
      <c r="M86" s="5"/>
      <c r="N86" s="5"/>
      <c r="O86" s="5"/>
      <c r="P86" s="55"/>
      <c r="Q86" s="5"/>
      <c r="R86" s="5"/>
      <c r="S86" s="5"/>
      <c r="T86" s="5"/>
      <c r="U86" s="5"/>
    </row>
    <row r="87" spans="1:21" ht="21.75" customHeight="1">
      <c r="A87" s="4">
        <f>IF('01_인적정보'!B29="","",'01_인적정보'!A29)</f>
        <v>24</v>
      </c>
      <c r="B87" s="4" t="str">
        <f>IF('01_인적정보'!B29="","",'01_인적정보'!B29)</f>
        <v>BSS-024</v>
      </c>
      <c r="C87" s="13" t="str">
        <f>IF('01_인적정보'!B29="","",'01_인적정보'!C29)</f>
        <v>OOO</v>
      </c>
      <c r="D87" s="13" t="str">
        <f>IF('01_인적정보'!B29="","",'01_인적정보'!E29)</f>
        <v>BIM컨설팅</v>
      </c>
      <c r="E87" s="40" t="str">
        <f>IF('01_인적정보'!B29="","",'01_인적정보'!H29)</f>
        <v>G2</v>
      </c>
      <c r="F87" s="19" t="str">
        <f>IF(OR('01_인적정보'!B29="",'07b_하반기입력'!G29=""),"",'07b_하반기입력'!G29)</f>
        <v>B</v>
      </c>
      <c r="G87" s="19" t="str">
        <f>IF(OR('01_인적정보'!B29="",'07b_하반기입력'!H29=""),"",'07b_하반기입력'!H29)</f>
        <v>A</v>
      </c>
      <c r="H87" s="52">
        <f>IFERROR(IF(AND(LEN(F87)&gt;0,LEN(G87)&gt;0),'02_의사결정·종합결과'!$B$67*IFERROR(CHOOSE(FIND(F87,"DCBAS"),1,2,3,4,5),0)+'02_의사결정·종합결과'!$B$68*IFERROR(CHOOSE(FIND(G87,"DCBAS"),1,2,3,4,5),0),IF(LEN(F87)&gt;0,IFERROR(CHOOSE(FIND(F87,"DCBAS"),1,2,3,4,5),0),IF(LEN(G87)&gt;0,IFERROR(CHOOSE(FIND(G87,"DCBAS"),1,2,3,4,5),0),""))),"")</f>
        <v>3.5</v>
      </c>
      <c r="I87" s="53" t="str">
        <f t="shared" si="2"/>
        <v>A</v>
      </c>
      <c r="J87" s="5"/>
      <c r="K87" s="5"/>
      <c r="L87" s="54"/>
      <c r="M87" s="5"/>
      <c r="N87" s="5"/>
      <c r="O87" s="5"/>
      <c r="P87" s="55"/>
      <c r="Q87" s="5"/>
      <c r="R87" s="5"/>
      <c r="S87" s="5"/>
      <c r="T87" s="5"/>
      <c r="U87" s="5"/>
    </row>
    <row r="88" spans="1:21" ht="21.75" customHeight="1">
      <c r="A88" s="4">
        <f>IF('01_인적정보'!B30="","",'01_인적정보'!A30)</f>
        <v>25</v>
      </c>
      <c r="B88" s="4" t="str">
        <f>IF('01_인적정보'!B30="","",'01_인적정보'!B30)</f>
        <v>BSS-025</v>
      </c>
      <c r="C88" s="13" t="str">
        <f>IF('01_인적정보'!B30="","",'01_인적정보'!C30)</f>
        <v>OOO</v>
      </c>
      <c r="D88" s="13" t="str">
        <f>IF('01_인적정보'!B30="","",'01_인적정보'!E30)</f>
        <v>연구개발(R&amp;D)</v>
      </c>
      <c r="E88" s="40" t="str">
        <f>IF('01_인적정보'!B30="","",'01_인적정보'!H30)</f>
        <v>G2</v>
      </c>
      <c r="F88" s="19" t="str">
        <f>IF(OR('01_인적정보'!B30="",'07b_하반기입력'!G30=""),"",'07b_하반기입력'!G30)</f>
        <v>D</v>
      </c>
      <c r="G88" s="19" t="str">
        <f>IF(OR('01_인적정보'!B30="",'07b_하반기입력'!H30=""),"",'07b_하반기입력'!H30)</f>
        <v>C</v>
      </c>
      <c r="H88" s="52">
        <f>IFERROR(IF(AND(LEN(F88)&gt;0,LEN(G88)&gt;0),'02_의사결정·종합결과'!$B$67*IFERROR(CHOOSE(FIND(F88,"DCBAS"),1,2,3,4,5),0)+'02_의사결정·종합결과'!$B$68*IFERROR(CHOOSE(FIND(G88,"DCBAS"),1,2,3,4,5),0),IF(LEN(F88)&gt;0,IFERROR(CHOOSE(FIND(F88,"DCBAS"),1,2,3,4,5),0),IF(LEN(G88)&gt;0,IFERROR(CHOOSE(FIND(G88,"DCBAS"),1,2,3,4,5),0),""))),"")</f>
        <v>1.5</v>
      </c>
      <c r="I88" s="53" t="str">
        <f t="shared" si="2"/>
        <v>C</v>
      </c>
      <c r="J88" s="5"/>
      <c r="K88" s="5"/>
      <c r="L88" s="54"/>
      <c r="M88" s="5"/>
      <c r="N88" s="5"/>
      <c r="O88" s="5"/>
      <c r="P88" s="55"/>
      <c r="Q88" s="5"/>
      <c r="R88" s="5"/>
      <c r="S88" s="5"/>
      <c r="T88" s="5"/>
      <c r="U88" s="5"/>
    </row>
    <row r="89" spans="1:21" ht="21.75" customHeight="1">
      <c r="A89" s="4">
        <f>IF('01_인적정보'!B31="","",'01_인적정보'!A31)</f>
        <v>26</v>
      </c>
      <c r="B89" s="4" t="str">
        <f>IF('01_인적정보'!B31="","",'01_인적정보'!B31)</f>
        <v>BSS-026</v>
      </c>
      <c r="C89" s="13" t="str">
        <f>IF('01_인적정보'!B31="","",'01_인적정보'!C31)</f>
        <v>OOO</v>
      </c>
      <c r="D89" s="13" t="str">
        <f>IF('01_인적정보'!B31="","",'01_인적정보'!E31)</f>
        <v>경영전략기획</v>
      </c>
      <c r="E89" s="40" t="str">
        <f>IF('01_인적정보'!B31="","",'01_인적정보'!H31)</f>
        <v>G1</v>
      </c>
      <c r="F89" s="19" t="str">
        <f>IF(OR('01_인적정보'!B31="",'07b_하반기입력'!G31=""),"",'07b_하반기입력'!G31)</f>
        <v>B</v>
      </c>
      <c r="G89" s="19" t="str">
        <f>IF(OR('01_인적정보'!B31="",'07b_하반기입력'!H31=""),"",'07b_하반기입력'!H31)</f>
        <v>B</v>
      </c>
      <c r="H89" s="52">
        <f>IFERROR(IF(AND(LEN(F89)&gt;0,LEN(G89)&gt;0),'02_의사결정·종합결과'!$B$67*IFERROR(CHOOSE(FIND(F89,"DCBAS"),1,2,3,4,5),0)+'02_의사결정·종합결과'!$B$68*IFERROR(CHOOSE(FIND(G89,"DCBAS"),1,2,3,4,5),0),IF(LEN(F89)&gt;0,IFERROR(CHOOSE(FIND(F89,"DCBAS"),1,2,3,4,5),0),IF(LEN(G89)&gt;0,IFERROR(CHOOSE(FIND(G89,"DCBAS"),1,2,3,4,5),0),""))),"")</f>
        <v>3</v>
      </c>
      <c r="I89" s="53" t="str">
        <f t="shared" si="2"/>
        <v>B</v>
      </c>
      <c r="J89" s="5"/>
      <c r="K89" s="5"/>
      <c r="L89" s="54"/>
      <c r="M89" s="5"/>
      <c r="N89" s="5"/>
      <c r="O89" s="5"/>
      <c r="P89" s="55"/>
      <c r="Q89" s="5"/>
      <c r="R89" s="5"/>
      <c r="S89" s="5"/>
      <c r="T89" s="5"/>
      <c r="U89" s="5"/>
    </row>
    <row r="90" spans="1:21" ht="21.75" customHeight="1">
      <c r="A90" s="4">
        <f>IF('01_인적정보'!B32="","",'01_인적정보'!A32)</f>
        <v>27</v>
      </c>
      <c r="B90" s="4" t="str">
        <f>IF('01_인적정보'!B32="","",'01_인적정보'!B32)</f>
        <v>BSS-027</v>
      </c>
      <c r="C90" s="13" t="str">
        <f>IF('01_인적정보'!B32="","",'01_인적정보'!C32)</f>
        <v>OOO</v>
      </c>
      <c r="D90" s="13" t="str">
        <f>IF('01_인적정보'!B32="","",'01_인적정보'!E32)</f>
        <v>교육</v>
      </c>
      <c r="E90" s="40" t="str">
        <f>IF('01_인적정보'!B32="","",'01_인적정보'!H32)</f>
        <v>G2</v>
      </c>
      <c r="F90" s="19" t="str">
        <f>IF(OR('01_인적정보'!B32="",'07b_하반기입력'!G32=""),"",'07b_하반기입력'!G32)</f>
        <v>A</v>
      </c>
      <c r="G90" s="19" t="str">
        <f>IF(OR('01_인적정보'!B32="",'07b_하반기입력'!H32=""),"",'07b_하반기입력'!H32)</f>
        <v>A</v>
      </c>
      <c r="H90" s="52">
        <f>IFERROR(IF(AND(LEN(F90)&gt;0,LEN(G90)&gt;0),'02_의사결정·종합결과'!$B$67*IFERROR(CHOOSE(FIND(F90,"DCBAS"),1,2,3,4,5),0)+'02_의사결정·종합결과'!$B$68*IFERROR(CHOOSE(FIND(G90,"DCBAS"),1,2,3,4,5),0),IF(LEN(F90)&gt;0,IFERROR(CHOOSE(FIND(F90,"DCBAS"),1,2,3,4,5),0),IF(LEN(G90)&gt;0,IFERROR(CHOOSE(FIND(G90,"DCBAS"),1,2,3,4,5),0),""))),"")</f>
        <v>4</v>
      </c>
      <c r="I90" s="53" t="str">
        <f t="shared" si="2"/>
        <v>A</v>
      </c>
      <c r="J90" s="5"/>
      <c r="K90" s="5"/>
      <c r="L90" s="54"/>
      <c r="M90" s="5"/>
      <c r="N90" s="5"/>
      <c r="O90" s="5"/>
      <c r="P90" s="55"/>
      <c r="Q90" s="5"/>
      <c r="R90" s="5"/>
      <c r="S90" s="5"/>
      <c r="T90" s="5"/>
      <c r="U90" s="5"/>
    </row>
    <row r="91" spans="1:21" ht="21.75" customHeight="1">
      <c r="A91" s="4">
        <f>IF('01_인적정보'!B33="","",'01_인적정보'!A33)</f>
        <v>28</v>
      </c>
      <c r="B91" s="4" t="str">
        <f>IF('01_인적정보'!B33="","",'01_인적정보'!B33)</f>
        <v>BSS-028</v>
      </c>
      <c r="C91" s="13" t="str">
        <f>IF('01_인적정보'!B33="","",'01_인적정보'!C33)</f>
        <v>OOO</v>
      </c>
      <c r="D91" s="13" t="str">
        <f>IF('01_인적정보'!B33="","",'01_인적정보'!E33)</f>
        <v>BIM컨설팅</v>
      </c>
      <c r="E91" s="40" t="str">
        <f>IF('01_인적정보'!B33="","",'01_인적정보'!H33)</f>
        <v>G1</v>
      </c>
      <c r="F91" s="19" t="str">
        <f>IF(OR('01_인적정보'!B33="",'07b_하반기입력'!G33=""),"",'07b_하반기입력'!G33)</f>
        <v>B</v>
      </c>
      <c r="G91" s="19" t="str">
        <f>IF(OR('01_인적정보'!B33="",'07b_하반기입력'!H33=""),"",'07b_하반기입력'!H33)</f>
        <v>B</v>
      </c>
      <c r="H91" s="52">
        <f>IFERROR(IF(AND(LEN(F91)&gt;0,LEN(G91)&gt;0),'02_의사결정·종합결과'!$B$67*IFERROR(CHOOSE(FIND(F91,"DCBAS"),1,2,3,4,5),0)+'02_의사결정·종합결과'!$B$68*IFERROR(CHOOSE(FIND(G91,"DCBAS"),1,2,3,4,5),0),IF(LEN(F91)&gt;0,IFERROR(CHOOSE(FIND(F91,"DCBAS"),1,2,3,4,5),0),IF(LEN(G91)&gt;0,IFERROR(CHOOSE(FIND(G91,"DCBAS"),1,2,3,4,5),0),""))),"")</f>
        <v>3</v>
      </c>
      <c r="I91" s="53" t="str">
        <f t="shared" si="2"/>
        <v>B</v>
      </c>
      <c r="J91" s="5"/>
      <c r="K91" s="5"/>
      <c r="L91" s="54"/>
      <c r="M91" s="5"/>
      <c r="N91" s="5"/>
      <c r="O91" s="5"/>
      <c r="P91" s="55"/>
      <c r="Q91" s="5"/>
      <c r="R91" s="5"/>
      <c r="S91" s="5"/>
      <c r="T91" s="5"/>
      <c r="U91" s="5"/>
    </row>
    <row r="92" spans="1:21" ht="21.75" customHeight="1">
      <c r="A92" s="4">
        <f>IF('01_인적정보'!B34="","",'01_인적정보'!A34)</f>
        <v>29</v>
      </c>
      <c r="B92" s="4" t="str">
        <f>IF('01_인적정보'!B34="","",'01_인적정보'!B34)</f>
        <v>BSS-029</v>
      </c>
      <c r="C92" s="13" t="str">
        <f>IF('01_인적정보'!B34="","",'01_인적정보'!C34)</f>
        <v>OOO</v>
      </c>
      <c r="D92" s="13" t="str">
        <f>IF('01_인적정보'!B34="","",'01_인적정보'!E34)</f>
        <v>BIM컨설팅</v>
      </c>
      <c r="E92" s="40" t="str">
        <f>IF('01_인적정보'!B34="","",'01_인적정보'!H34)</f>
        <v>G1</v>
      </c>
      <c r="F92" s="19" t="str">
        <f>IF(OR('01_인적정보'!B34="",'07b_하반기입력'!G34=""),"",'07b_하반기입력'!G34)</f>
        <v>A</v>
      </c>
      <c r="G92" s="19" t="str">
        <f>IF(OR('01_인적정보'!B34="",'07b_하반기입력'!H34=""),"",'07b_하반기입력'!H34)</f>
        <v>B</v>
      </c>
      <c r="H92" s="52">
        <f>IFERROR(IF(AND(LEN(F92)&gt;0,LEN(G92)&gt;0),'02_의사결정·종합결과'!$B$67*IFERROR(CHOOSE(FIND(F92,"DCBAS"),1,2,3,4,5),0)+'02_의사결정·종합결과'!$B$68*IFERROR(CHOOSE(FIND(G92,"DCBAS"),1,2,3,4,5),0),IF(LEN(F92)&gt;0,IFERROR(CHOOSE(FIND(F92,"DCBAS"),1,2,3,4,5),0),IF(LEN(G92)&gt;0,IFERROR(CHOOSE(FIND(G92,"DCBAS"),1,2,3,4,5),0),""))),"")</f>
        <v>3.5</v>
      </c>
      <c r="I92" s="53" t="str">
        <f t="shared" si="2"/>
        <v>A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21.75" customHeight="1">
      <c r="A93" s="4">
        <f>IF('01_인적정보'!B35="","",'01_인적정보'!A35)</f>
        <v>30</v>
      </c>
      <c r="B93" s="4" t="str">
        <f>IF('01_인적정보'!B35="","",'01_인적정보'!B35)</f>
        <v>BSS-030</v>
      </c>
      <c r="C93" s="13" t="str">
        <f>IF('01_인적정보'!B35="","",'01_인적정보'!C35)</f>
        <v>OOO</v>
      </c>
      <c r="D93" s="13" t="str">
        <f>IF('01_인적정보'!B35="","",'01_인적정보'!E35)</f>
        <v>BIM컨설팅</v>
      </c>
      <c r="E93" s="40" t="str">
        <f>IF('01_인적정보'!B35="","",'01_인적정보'!H35)</f>
        <v>G1</v>
      </c>
      <c r="F93" s="19" t="str">
        <f>IF(OR('01_인적정보'!B35="",'07b_하반기입력'!G35=""),"",'07b_하반기입력'!G35)</f>
        <v>B</v>
      </c>
      <c r="G93" s="19" t="str">
        <f>IF(OR('01_인적정보'!B35="",'07b_하반기입력'!H35=""),"",'07b_하반기입력'!H35)</f>
        <v>A</v>
      </c>
      <c r="H93" s="52">
        <f>IFERROR(IF(AND(LEN(F93)&gt;0,LEN(G93)&gt;0),'02_의사결정·종합결과'!$B$67*IFERROR(CHOOSE(FIND(F93,"DCBAS"),1,2,3,4,5),0)+'02_의사결정·종합결과'!$B$68*IFERROR(CHOOSE(FIND(G93,"DCBAS"),1,2,3,4,5),0),IF(LEN(F93)&gt;0,IFERROR(CHOOSE(FIND(F93,"DCBAS"),1,2,3,4,5),0),IF(LEN(G93)&gt;0,IFERROR(CHOOSE(FIND(G93,"DCBAS"),1,2,3,4,5),0),""))),"")</f>
        <v>3.5</v>
      </c>
      <c r="I93" s="53" t="str">
        <f t="shared" si="2"/>
        <v>A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21.75" customHeight="1">
      <c r="A94" s="4">
        <f>IF('01_인적정보'!B36="","",'01_인적정보'!A36)</f>
        <v>31</v>
      </c>
      <c r="B94" s="4" t="str">
        <f>IF('01_인적정보'!B36="","",'01_인적정보'!B36)</f>
        <v>BSS-031</v>
      </c>
      <c r="C94" s="13" t="str">
        <f>IF('01_인적정보'!B36="","",'01_인적정보'!C36)</f>
        <v>OOO</v>
      </c>
      <c r="D94" s="13" t="str">
        <f>IF('01_인적정보'!B36="","",'01_인적정보'!E36)</f>
        <v>BIM컨설팅</v>
      </c>
      <c r="E94" s="40" t="str">
        <f>IF('01_인적정보'!B36="","",'01_인적정보'!H36)</f>
        <v>G1</v>
      </c>
      <c r="F94" s="19" t="str">
        <f>IF(OR('01_인적정보'!B36="",'07b_하반기입력'!G36=""),"",'07b_하반기입력'!G36)</f>
        <v>A</v>
      </c>
      <c r="G94" s="19" t="str">
        <f>IF(OR('01_인적정보'!B36="",'07b_하반기입력'!H36=""),"",'07b_하반기입력'!H36)</f>
        <v>A</v>
      </c>
      <c r="H94" s="52">
        <f>IFERROR(IF(AND(LEN(F94)&gt;0,LEN(G94)&gt;0),'02_의사결정·종합결과'!$B$67*IFERROR(CHOOSE(FIND(F94,"DCBAS"),1,2,3,4,5),0)+'02_의사결정·종합결과'!$B$68*IFERROR(CHOOSE(FIND(G94,"DCBAS"),1,2,3,4,5),0),IF(LEN(F94)&gt;0,IFERROR(CHOOSE(FIND(F94,"DCBAS"),1,2,3,4,5),0),IF(LEN(G94)&gt;0,IFERROR(CHOOSE(FIND(G94,"DCBAS"),1,2,3,4,5),0),""))),"")</f>
        <v>4</v>
      </c>
      <c r="I94" s="53" t="str">
        <f t="shared" si="2"/>
        <v>A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21.75" customHeight="1">
      <c r="A95" s="4">
        <f>IF('01_인적정보'!B37="","",'01_인적정보'!A37)</f>
        <v>32</v>
      </c>
      <c r="B95" s="4" t="str">
        <f>IF('01_인적정보'!B37="","",'01_인적정보'!B37)</f>
        <v>BSS-032</v>
      </c>
      <c r="C95" s="13" t="str">
        <f>IF('01_인적정보'!B37="","",'01_인적정보'!C37)</f>
        <v>OOO</v>
      </c>
      <c r="D95" s="13" t="str">
        <f>IF('01_인적정보'!B37="","",'01_인적정보'!E37)</f>
        <v>BIM컨설팅</v>
      </c>
      <c r="E95" s="40" t="str">
        <f>IF('01_인적정보'!B37="","",'01_인적정보'!H37)</f>
        <v>G1</v>
      </c>
      <c r="F95" s="19" t="str">
        <f>IF(OR('01_인적정보'!B37="",'07b_하반기입력'!G37=""),"",'07b_하반기입력'!G37)</f>
        <v>A</v>
      </c>
      <c r="G95" s="19" t="str">
        <f>IF(OR('01_인적정보'!B37="",'07b_하반기입력'!H37=""),"",'07b_하반기입력'!H37)</f>
        <v>B</v>
      </c>
      <c r="H95" s="52">
        <f>IFERROR(IF(AND(LEN(F95)&gt;0,LEN(G95)&gt;0),'02_의사결정·종합결과'!$B$67*IFERROR(CHOOSE(FIND(F95,"DCBAS"),1,2,3,4,5),0)+'02_의사결정·종합결과'!$B$68*IFERROR(CHOOSE(FIND(G95,"DCBAS"),1,2,3,4,5),0),IF(LEN(F95)&gt;0,IFERROR(CHOOSE(FIND(F95,"DCBAS"),1,2,3,4,5),0),IF(LEN(G95)&gt;0,IFERROR(CHOOSE(FIND(G95,"DCBAS"),1,2,3,4,5),0),""))),"")</f>
        <v>3.5</v>
      </c>
      <c r="I95" s="53" t="str">
        <f t="shared" si="2"/>
        <v>A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21.75" customHeight="1">
      <c r="A96" s="4">
        <f>IF('01_인적정보'!B38="","",'01_인적정보'!A38)</f>
        <v>33</v>
      </c>
      <c r="B96" s="4" t="str">
        <f>IF('01_인적정보'!B38="","",'01_인적정보'!B38)</f>
        <v>BSS-033</v>
      </c>
      <c r="C96" s="13" t="str">
        <f>IF('01_인적정보'!B38="","",'01_인적정보'!C38)</f>
        <v>OOO</v>
      </c>
      <c r="D96" s="13" t="str">
        <f>IF('01_인적정보'!B38="","",'01_인적정보'!E38)</f>
        <v>BIM컨설팅</v>
      </c>
      <c r="E96" s="40" t="str">
        <f>IF('01_인적정보'!B38="","",'01_인적정보'!H38)</f>
        <v>G1</v>
      </c>
      <c r="F96" s="19" t="str">
        <f>IF(OR('01_인적정보'!B38="",'07b_하반기입력'!G38=""),"",'07b_하반기입력'!G38)</f>
        <v>B</v>
      </c>
      <c r="G96" s="19" t="str">
        <f>IF(OR('01_인적정보'!B38="",'07b_하반기입력'!H38=""),"",'07b_하반기입력'!H38)</f>
        <v>B</v>
      </c>
      <c r="H96" s="52">
        <f>IFERROR(IF(AND(LEN(F96)&gt;0,LEN(G96)&gt;0),'02_의사결정·종합결과'!$B$67*IFERROR(CHOOSE(FIND(F96,"DCBAS"),1,2,3,4,5),0)+'02_의사결정·종합결과'!$B$68*IFERROR(CHOOSE(FIND(G96,"DCBAS"),1,2,3,4,5),0),IF(LEN(F96)&gt;0,IFERROR(CHOOSE(FIND(F96,"DCBAS"),1,2,3,4,5),0),IF(LEN(G96)&gt;0,IFERROR(CHOOSE(FIND(G96,"DCBAS"),1,2,3,4,5),0),""))),"")</f>
        <v>3</v>
      </c>
      <c r="I96" s="53" t="str">
        <f t="shared" ref="I96:I113" si="3">IF(OR(H96="",NOT(ISNUMBER(H96)),H96&lt;0.5),"",IF(H96&gt;=4.5,"S",IF(H96&gt;=3.5,"A",IF(H96&gt;=2.5,"B",IF(H96&gt;=1.5,"C","D")))))</f>
        <v>B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21.75" customHeight="1">
      <c r="A97" s="4">
        <f>IF('01_인적정보'!B39="","",'01_인적정보'!A39)</f>
        <v>34</v>
      </c>
      <c r="B97" s="4" t="str">
        <f>IF('01_인적정보'!B39="","",'01_인적정보'!B39)</f>
        <v>BSS-034</v>
      </c>
      <c r="C97" s="13" t="str">
        <f>IF('01_인적정보'!B39="","",'01_인적정보'!C39)</f>
        <v>OOO</v>
      </c>
      <c r="D97" s="13" t="str">
        <f>IF('01_인적정보'!B39="","",'01_인적정보'!E39)</f>
        <v>BIM컨설팅</v>
      </c>
      <c r="E97" s="40" t="str">
        <f>IF('01_인적정보'!B39="","",'01_인적정보'!H39)</f>
        <v>G1</v>
      </c>
      <c r="F97" s="19" t="str">
        <f>IF(OR('01_인적정보'!B39="",'07b_하반기입력'!G39=""),"",'07b_하반기입력'!G39)</f>
        <v>A</v>
      </c>
      <c r="G97" s="19" t="str">
        <f>IF(OR('01_인적정보'!B39="",'07b_하반기입력'!H39=""),"",'07b_하반기입력'!H39)</f>
        <v>S</v>
      </c>
      <c r="H97" s="52">
        <f>IFERROR(IF(AND(LEN(F97)&gt;0,LEN(G97)&gt;0),'02_의사결정·종합결과'!$B$67*IFERROR(CHOOSE(FIND(F97,"DCBAS"),1,2,3,4,5),0)+'02_의사결정·종합결과'!$B$68*IFERROR(CHOOSE(FIND(G97,"DCBAS"),1,2,3,4,5),0),IF(LEN(F97)&gt;0,IFERROR(CHOOSE(FIND(F97,"DCBAS"),1,2,3,4,5),0),IF(LEN(G97)&gt;0,IFERROR(CHOOSE(FIND(G97,"DCBAS"),1,2,3,4,5),0),""))),"")</f>
        <v>4.5</v>
      </c>
      <c r="I97" s="53" t="str">
        <f t="shared" si="3"/>
        <v>S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21.75" customHeight="1">
      <c r="A98" s="4" t="str">
        <f>IF('01_인적정보'!B40="","",'01_인적정보'!A40)</f>
        <v/>
      </c>
      <c r="B98" s="4" t="str">
        <f>IF('01_인적정보'!B40="","",'01_인적정보'!B40)</f>
        <v/>
      </c>
      <c r="C98" s="13" t="str">
        <f>IF('01_인적정보'!B40="","",'01_인적정보'!C40)</f>
        <v/>
      </c>
      <c r="D98" s="13" t="str">
        <f>IF('01_인적정보'!B40="","",'01_인적정보'!E40)</f>
        <v/>
      </c>
      <c r="E98" s="40" t="str">
        <f>IF('01_인적정보'!B40="","",'01_인적정보'!H40)</f>
        <v/>
      </c>
      <c r="F98" s="19" t="str">
        <f>IF(OR('01_인적정보'!B40="",'07b_하반기입력'!G40=""),"",'07b_하반기입력'!G40)</f>
        <v/>
      </c>
      <c r="G98" s="19" t="str">
        <f>IF(OR('01_인적정보'!B40="",'07b_하반기입력'!H40=""),"",'07b_하반기입력'!H40)</f>
        <v/>
      </c>
      <c r="H98" s="52" t="str">
        <f>IFERROR(IF(AND(LEN(F98)&gt;0,LEN(G98)&gt;0),'02_의사결정·종합결과'!$B$67*IFERROR(CHOOSE(FIND(F98,"DCBAS"),1,2,3,4,5),0)+'02_의사결정·종합결과'!$B$68*IFERROR(CHOOSE(FIND(G98,"DCBAS"),1,2,3,4,5),0),IF(LEN(F98)&gt;0,IFERROR(CHOOSE(FIND(F98,"DCBAS"),1,2,3,4,5),0),IF(LEN(G98)&gt;0,IFERROR(CHOOSE(FIND(G98,"DCBAS"),1,2,3,4,5),0),""))),"")</f>
        <v/>
      </c>
      <c r="I98" s="53" t="str">
        <f t="shared" si="3"/>
        <v/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21.75" customHeight="1">
      <c r="A99" s="4" t="str">
        <f>IF('01_인적정보'!B41="","",'01_인적정보'!A41)</f>
        <v/>
      </c>
      <c r="B99" s="4" t="str">
        <f>IF('01_인적정보'!B41="","",'01_인적정보'!B41)</f>
        <v/>
      </c>
      <c r="C99" s="13" t="str">
        <f>IF('01_인적정보'!B41="","",'01_인적정보'!C41)</f>
        <v/>
      </c>
      <c r="D99" s="13" t="str">
        <f>IF('01_인적정보'!B41="","",'01_인적정보'!E41)</f>
        <v/>
      </c>
      <c r="E99" s="40" t="str">
        <f>IF('01_인적정보'!B41="","",'01_인적정보'!H41)</f>
        <v/>
      </c>
      <c r="F99" s="19" t="str">
        <f>IF(OR('01_인적정보'!B41="",'07b_하반기입력'!G41=""),"",'07b_하반기입력'!G41)</f>
        <v/>
      </c>
      <c r="G99" s="19" t="str">
        <f>IF(OR('01_인적정보'!B41="",'07b_하반기입력'!H41=""),"",'07b_하반기입력'!H41)</f>
        <v/>
      </c>
      <c r="H99" s="52" t="str">
        <f>IFERROR(IF(AND(LEN(F99)&gt;0,LEN(G99)&gt;0),'02_의사결정·종합결과'!$B$67*IFERROR(CHOOSE(FIND(F99,"DCBAS"),1,2,3,4,5),0)+'02_의사결정·종합결과'!$B$68*IFERROR(CHOOSE(FIND(G99,"DCBAS"),1,2,3,4,5),0),IF(LEN(F99)&gt;0,IFERROR(CHOOSE(FIND(F99,"DCBAS"),1,2,3,4,5),0),IF(LEN(G99)&gt;0,IFERROR(CHOOSE(FIND(G99,"DCBAS"),1,2,3,4,5),0),""))),"")</f>
        <v/>
      </c>
      <c r="I99" s="53" t="str">
        <f t="shared" si="3"/>
        <v/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21.75" customHeight="1">
      <c r="A100" s="4" t="str">
        <f>IF('01_인적정보'!B42="","",'01_인적정보'!A42)</f>
        <v/>
      </c>
      <c r="B100" s="4" t="str">
        <f>IF('01_인적정보'!B42="","",'01_인적정보'!B42)</f>
        <v/>
      </c>
      <c r="C100" s="13" t="str">
        <f>IF('01_인적정보'!B42="","",'01_인적정보'!C42)</f>
        <v/>
      </c>
      <c r="D100" s="13" t="str">
        <f>IF('01_인적정보'!B42="","",'01_인적정보'!E42)</f>
        <v/>
      </c>
      <c r="E100" s="40" t="str">
        <f>IF('01_인적정보'!B42="","",'01_인적정보'!H42)</f>
        <v/>
      </c>
      <c r="F100" s="19" t="str">
        <f>IF(OR('01_인적정보'!B42="",'07b_하반기입력'!G42=""),"",'07b_하반기입력'!G42)</f>
        <v/>
      </c>
      <c r="G100" s="19" t="str">
        <f>IF(OR('01_인적정보'!B42="",'07b_하반기입력'!H42=""),"",'07b_하반기입력'!H42)</f>
        <v/>
      </c>
      <c r="H100" s="52" t="str">
        <f>IFERROR(IF(AND(LEN(F100)&gt;0,LEN(G100)&gt;0),'02_의사결정·종합결과'!$B$67*IFERROR(CHOOSE(FIND(F100,"DCBAS"),1,2,3,4,5),0)+'02_의사결정·종합결과'!$B$68*IFERROR(CHOOSE(FIND(G100,"DCBAS"),1,2,3,4,5),0),IF(LEN(F100)&gt;0,IFERROR(CHOOSE(FIND(F100,"DCBAS"),1,2,3,4,5),0),IF(LEN(G100)&gt;0,IFERROR(CHOOSE(FIND(G100,"DCBAS"),1,2,3,4,5),0),""))),"")</f>
        <v/>
      </c>
      <c r="I100" s="53" t="str">
        <f t="shared" si="3"/>
        <v/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21.75" customHeight="1">
      <c r="A101" s="4" t="str">
        <f>IF('01_인적정보'!B43="","",'01_인적정보'!A43)</f>
        <v/>
      </c>
      <c r="B101" s="4" t="str">
        <f>IF('01_인적정보'!B43="","",'01_인적정보'!B43)</f>
        <v/>
      </c>
      <c r="C101" s="13" t="str">
        <f>IF('01_인적정보'!B43="","",'01_인적정보'!C43)</f>
        <v/>
      </c>
      <c r="D101" s="13" t="str">
        <f>IF('01_인적정보'!B43="","",'01_인적정보'!E43)</f>
        <v/>
      </c>
      <c r="E101" s="40" t="str">
        <f>IF('01_인적정보'!B43="","",'01_인적정보'!H43)</f>
        <v/>
      </c>
      <c r="F101" s="19" t="str">
        <f>IF(OR('01_인적정보'!B43="",'07b_하반기입력'!G43=""),"",'07b_하반기입력'!G43)</f>
        <v/>
      </c>
      <c r="G101" s="19" t="str">
        <f>IF(OR('01_인적정보'!B43="",'07b_하반기입력'!H43=""),"",'07b_하반기입력'!H43)</f>
        <v/>
      </c>
      <c r="H101" s="52" t="str">
        <f>IFERROR(IF(AND(LEN(F101)&gt;0,LEN(G101)&gt;0),'02_의사결정·종합결과'!$B$67*IFERROR(CHOOSE(FIND(F101,"DCBAS"),1,2,3,4,5),0)+'02_의사결정·종합결과'!$B$68*IFERROR(CHOOSE(FIND(G101,"DCBAS"),1,2,3,4,5),0),IF(LEN(F101)&gt;0,IFERROR(CHOOSE(FIND(F101,"DCBAS"),1,2,3,4,5),0),IF(LEN(G101)&gt;0,IFERROR(CHOOSE(FIND(G101,"DCBAS"),1,2,3,4,5),0),""))),"")</f>
        <v/>
      </c>
      <c r="I101" s="53" t="str">
        <f t="shared" si="3"/>
        <v/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21.75" customHeight="1">
      <c r="A102" s="4" t="str">
        <f>IF('01_인적정보'!B44="","",'01_인적정보'!A44)</f>
        <v/>
      </c>
      <c r="B102" s="4" t="str">
        <f>IF('01_인적정보'!B44="","",'01_인적정보'!B44)</f>
        <v/>
      </c>
      <c r="C102" s="13" t="str">
        <f>IF('01_인적정보'!B44="","",'01_인적정보'!C44)</f>
        <v/>
      </c>
      <c r="D102" s="13" t="str">
        <f>IF('01_인적정보'!B44="","",'01_인적정보'!E44)</f>
        <v/>
      </c>
      <c r="E102" s="40" t="str">
        <f>IF('01_인적정보'!B44="","",'01_인적정보'!H44)</f>
        <v/>
      </c>
      <c r="F102" s="19" t="str">
        <f>IF(OR('01_인적정보'!B44="",'07b_하반기입력'!G44=""),"",'07b_하반기입력'!G44)</f>
        <v/>
      </c>
      <c r="G102" s="19" t="str">
        <f>IF(OR('01_인적정보'!B44="",'07b_하반기입력'!H44=""),"",'07b_하반기입력'!H44)</f>
        <v/>
      </c>
      <c r="H102" s="52" t="str">
        <f>IFERROR(IF(AND(LEN(F102)&gt;0,LEN(G102)&gt;0),'02_의사결정·종합결과'!$B$67*IFERROR(CHOOSE(FIND(F102,"DCBAS"),1,2,3,4,5),0)+'02_의사결정·종합결과'!$B$68*IFERROR(CHOOSE(FIND(G102,"DCBAS"),1,2,3,4,5),0),IF(LEN(F102)&gt;0,IFERROR(CHOOSE(FIND(F102,"DCBAS"),1,2,3,4,5),0),IF(LEN(G102)&gt;0,IFERROR(CHOOSE(FIND(G102,"DCBAS"),1,2,3,4,5),0),""))),"")</f>
        <v/>
      </c>
      <c r="I102" s="53" t="str">
        <f t="shared" si="3"/>
        <v/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21.75" customHeight="1">
      <c r="A103" s="4" t="str">
        <f>IF('01_인적정보'!B45="","",'01_인적정보'!A45)</f>
        <v/>
      </c>
      <c r="B103" s="4" t="str">
        <f>IF('01_인적정보'!B45="","",'01_인적정보'!B45)</f>
        <v/>
      </c>
      <c r="C103" s="13" t="str">
        <f>IF('01_인적정보'!B45="","",'01_인적정보'!C45)</f>
        <v/>
      </c>
      <c r="D103" s="13" t="str">
        <f>IF('01_인적정보'!B45="","",'01_인적정보'!E45)</f>
        <v/>
      </c>
      <c r="E103" s="40" t="str">
        <f>IF('01_인적정보'!B45="","",'01_인적정보'!H45)</f>
        <v/>
      </c>
      <c r="F103" s="19" t="str">
        <f>IF(OR('01_인적정보'!B45="",'07b_하반기입력'!G45=""),"",'07b_하반기입력'!G45)</f>
        <v/>
      </c>
      <c r="G103" s="19" t="str">
        <f>IF(OR('01_인적정보'!B45="",'07b_하반기입력'!H45=""),"",'07b_하반기입력'!H45)</f>
        <v/>
      </c>
      <c r="H103" s="52" t="str">
        <f>IFERROR(IF(AND(LEN(F103)&gt;0,LEN(G103)&gt;0),'02_의사결정·종합결과'!$B$67*IFERROR(CHOOSE(FIND(F103,"DCBAS"),1,2,3,4,5),0)+'02_의사결정·종합결과'!$B$68*IFERROR(CHOOSE(FIND(G103,"DCBAS"),1,2,3,4,5),0),IF(LEN(F103)&gt;0,IFERROR(CHOOSE(FIND(F103,"DCBAS"),1,2,3,4,5),0),IF(LEN(G103)&gt;0,IFERROR(CHOOSE(FIND(G103,"DCBAS"),1,2,3,4,5),0),""))),"")</f>
        <v/>
      </c>
      <c r="I103" s="53" t="str">
        <f t="shared" si="3"/>
        <v/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21.75" customHeight="1">
      <c r="A104" s="4" t="str">
        <f>IF('01_인적정보'!B46="","",'01_인적정보'!A46)</f>
        <v/>
      </c>
      <c r="B104" s="4" t="str">
        <f>IF('01_인적정보'!B46="","",'01_인적정보'!B46)</f>
        <v/>
      </c>
      <c r="C104" s="13" t="str">
        <f>IF('01_인적정보'!B46="","",'01_인적정보'!C46)</f>
        <v/>
      </c>
      <c r="D104" s="13" t="str">
        <f>IF('01_인적정보'!B46="","",'01_인적정보'!E46)</f>
        <v/>
      </c>
      <c r="E104" s="40" t="str">
        <f>IF('01_인적정보'!B46="","",'01_인적정보'!H46)</f>
        <v/>
      </c>
      <c r="F104" s="19" t="str">
        <f>IF(OR('01_인적정보'!B46="",'07b_하반기입력'!G46=""),"",'07b_하반기입력'!G46)</f>
        <v/>
      </c>
      <c r="G104" s="19" t="str">
        <f>IF(OR('01_인적정보'!B46="",'07b_하반기입력'!H46=""),"",'07b_하반기입력'!H46)</f>
        <v/>
      </c>
      <c r="H104" s="52" t="str">
        <f>IFERROR(IF(AND(LEN(F104)&gt;0,LEN(G104)&gt;0),'02_의사결정·종합결과'!$B$67*IFERROR(CHOOSE(FIND(F104,"DCBAS"),1,2,3,4,5),0)+'02_의사결정·종합결과'!$B$68*IFERROR(CHOOSE(FIND(G104,"DCBAS"),1,2,3,4,5),0),IF(LEN(F104)&gt;0,IFERROR(CHOOSE(FIND(F104,"DCBAS"),1,2,3,4,5),0),IF(LEN(G104)&gt;0,IFERROR(CHOOSE(FIND(G104,"DCBAS"),1,2,3,4,5),0),""))),"")</f>
        <v/>
      </c>
      <c r="I104" s="53" t="str">
        <f t="shared" si="3"/>
        <v/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21.75" customHeight="1">
      <c r="A105" s="4" t="str">
        <f>IF('01_인적정보'!B47="","",'01_인적정보'!A47)</f>
        <v/>
      </c>
      <c r="B105" s="4" t="str">
        <f>IF('01_인적정보'!B47="","",'01_인적정보'!B47)</f>
        <v/>
      </c>
      <c r="C105" s="13" t="str">
        <f>IF('01_인적정보'!B47="","",'01_인적정보'!C47)</f>
        <v/>
      </c>
      <c r="D105" s="13" t="str">
        <f>IF('01_인적정보'!B47="","",'01_인적정보'!E47)</f>
        <v/>
      </c>
      <c r="E105" s="40" t="str">
        <f>IF('01_인적정보'!B47="","",'01_인적정보'!H47)</f>
        <v/>
      </c>
      <c r="F105" s="19" t="str">
        <f>IF(OR('01_인적정보'!B47="",'07b_하반기입력'!G47=""),"",'07b_하반기입력'!G47)</f>
        <v/>
      </c>
      <c r="G105" s="19" t="str">
        <f>IF(OR('01_인적정보'!B47="",'07b_하반기입력'!H47=""),"",'07b_하반기입력'!H47)</f>
        <v/>
      </c>
      <c r="H105" s="52" t="str">
        <f>IFERROR(IF(AND(LEN(F105)&gt;0,LEN(G105)&gt;0),'02_의사결정·종합결과'!$B$67*IFERROR(CHOOSE(FIND(F105,"DCBAS"),1,2,3,4,5),0)+'02_의사결정·종합결과'!$B$68*IFERROR(CHOOSE(FIND(G105,"DCBAS"),1,2,3,4,5),0),IF(LEN(F105)&gt;0,IFERROR(CHOOSE(FIND(F105,"DCBAS"),1,2,3,4,5),0),IF(LEN(G105)&gt;0,IFERROR(CHOOSE(FIND(G105,"DCBAS"),1,2,3,4,5),0),""))),"")</f>
        <v/>
      </c>
      <c r="I105" s="53" t="str">
        <f t="shared" si="3"/>
        <v/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21.75" customHeight="1">
      <c r="A106" s="4" t="str">
        <f>IF('01_인적정보'!B48="","",'01_인적정보'!A48)</f>
        <v/>
      </c>
      <c r="B106" s="4" t="str">
        <f>IF('01_인적정보'!B48="","",'01_인적정보'!B48)</f>
        <v/>
      </c>
      <c r="C106" s="13" t="str">
        <f>IF('01_인적정보'!B48="","",'01_인적정보'!C48)</f>
        <v/>
      </c>
      <c r="D106" s="13" t="str">
        <f>IF('01_인적정보'!B48="","",'01_인적정보'!E48)</f>
        <v/>
      </c>
      <c r="E106" s="40" t="str">
        <f>IF('01_인적정보'!B48="","",'01_인적정보'!H48)</f>
        <v/>
      </c>
      <c r="F106" s="19" t="str">
        <f>IF(OR('01_인적정보'!B48="",'07b_하반기입력'!G48=""),"",'07b_하반기입력'!G48)</f>
        <v/>
      </c>
      <c r="G106" s="19" t="str">
        <f>IF(OR('01_인적정보'!B48="",'07b_하반기입력'!H48=""),"",'07b_하반기입력'!H48)</f>
        <v/>
      </c>
      <c r="H106" s="52" t="str">
        <f>IFERROR(IF(AND(LEN(F106)&gt;0,LEN(G106)&gt;0),'02_의사결정·종합결과'!$B$67*IFERROR(CHOOSE(FIND(F106,"DCBAS"),1,2,3,4,5),0)+'02_의사결정·종합결과'!$B$68*IFERROR(CHOOSE(FIND(G106,"DCBAS"),1,2,3,4,5),0),IF(LEN(F106)&gt;0,IFERROR(CHOOSE(FIND(F106,"DCBAS"),1,2,3,4,5),0),IF(LEN(G106)&gt;0,IFERROR(CHOOSE(FIND(G106,"DCBAS"),1,2,3,4,5),0),""))),"")</f>
        <v/>
      </c>
      <c r="I106" s="53" t="str">
        <f t="shared" si="3"/>
        <v/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21.75" customHeight="1">
      <c r="A107" s="4" t="str">
        <f>IF('01_인적정보'!B49="","",'01_인적정보'!A49)</f>
        <v/>
      </c>
      <c r="B107" s="4" t="str">
        <f>IF('01_인적정보'!B49="","",'01_인적정보'!B49)</f>
        <v/>
      </c>
      <c r="C107" s="13" t="str">
        <f>IF('01_인적정보'!B49="","",'01_인적정보'!C49)</f>
        <v/>
      </c>
      <c r="D107" s="13" t="str">
        <f>IF('01_인적정보'!B49="","",'01_인적정보'!E49)</f>
        <v/>
      </c>
      <c r="E107" s="40" t="str">
        <f>IF('01_인적정보'!B49="","",'01_인적정보'!H49)</f>
        <v/>
      </c>
      <c r="F107" s="19" t="str">
        <f>IF(OR('01_인적정보'!B49="",'07b_하반기입력'!G49=""),"",'07b_하반기입력'!G49)</f>
        <v/>
      </c>
      <c r="G107" s="19" t="str">
        <f>IF(OR('01_인적정보'!B49="",'07b_하반기입력'!H49=""),"",'07b_하반기입력'!H49)</f>
        <v/>
      </c>
      <c r="H107" s="52" t="str">
        <f>IFERROR(IF(AND(LEN(F107)&gt;0,LEN(G107)&gt;0),'02_의사결정·종합결과'!$B$67*IFERROR(CHOOSE(FIND(F107,"DCBAS"),1,2,3,4,5),0)+'02_의사결정·종합결과'!$B$68*IFERROR(CHOOSE(FIND(G107,"DCBAS"),1,2,3,4,5),0),IF(LEN(F107)&gt;0,IFERROR(CHOOSE(FIND(F107,"DCBAS"),1,2,3,4,5),0),IF(LEN(G107)&gt;0,IFERROR(CHOOSE(FIND(G107,"DCBAS"),1,2,3,4,5),0),""))),"")</f>
        <v/>
      </c>
      <c r="I107" s="53" t="str">
        <f t="shared" si="3"/>
        <v/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21.75" customHeight="1">
      <c r="A108" s="4" t="str">
        <f>IF('01_인적정보'!B50="","",'01_인적정보'!A50)</f>
        <v/>
      </c>
      <c r="B108" s="4" t="str">
        <f>IF('01_인적정보'!B50="","",'01_인적정보'!B50)</f>
        <v/>
      </c>
      <c r="C108" s="13" t="str">
        <f>IF('01_인적정보'!B50="","",'01_인적정보'!C50)</f>
        <v/>
      </c>
      <c r="D108" s="13" t="str">
        <f>IF('01_인적정보'!B50="","",'01_인적정보'!E50)</f>
        <v/>
      </c>
      <c r="E108" s="40" t="str">
        <f>IF('01_인적정보'!B50="","",'01_인적정보'!H50)</f>
        <v/>
      </c>
      <c r="F108" s="19" t="str">
        <f>IF(OR('01_인적정보'!B50="",'07b_하반기입력'!G50=""),"",'07b_하반기입력'!G50)</f>
        <v/>
      </c>
      <c r="G108" s="19" t="str">
        <f>IF(OR('01_인적정보'!B50="",'07b_하반기입력'!H50=""),"",'07b_하반기입력'!H50)</f>
        <v/>
      </c>
      <c r="H108" s="52" t="str">
        <f>IFERROR(IF(AND(LEN(F108)&gt;0,LEN(G108)&gt;0),'02_의사결정·종합결과'!$B$67*IFERROR(CHOOSE(FIND(F108,"DCBAS"),1,2,3,4,5),0)+'02_의사결정·종합결과'!$B$68*IFERROR(CHOOSE(FIND(G108,"DCBAS"),1,2,3,4,5),0),IF(LEN(F108)&gt;0,IFERROR(CHOOSE(FIND(F108,"DCBAS"),1,2,3,4,5),0),IF(LEN(G108)&gt;0,IFERROR(CHOOSE(FIND(G108,"DCBAS"),1,2,3,4,5),0),""))),"")</f>
        <v/>
      </c>
      <c r="I108" s="53" t="str">
        <f t="shared" si="3"/>
        <v/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21.75" customHeight="1">
      <c r="A109" s="4" t="str">
        <f>IF('01_인적정보'!B51="","",'01_인적정보'!A51)</f>
        <v/>
      </c>
      <c r="B109" s="4" t="str">
        <f>IF('01_인적정보'!B51="","",'01_인적정보'!B51)</f>
        <v/>
      </c>
      <c r="C109" s="13" t="str">
        <f>IF('01_인적정보'!B51="","",'01_인적정보'!C51)</f>
        <v/>
      </c>
      <c r="D109" s="13" t="str">
        <f>IF('01_인적정보'!B51="","",'01_인적정보'!E51)</f>
        <v/>
      </c>
      <c r="E109" s="40" t="str">
        <f>IF('01_인적정보'!B51="","",'01_인적정보'!H51)</f>
        <v/>
      </c>
      <c r="F109" s="19" t="str">
        <f>IF(OR('01_인적정보'!B51="",'07b_하반기입력'!G51=""),"",'07b_하반기입력'!G51)</f>
        <v/>
      </c>
      <c r="G109" s="19" t="str">
        <f>IF(OR('01_인적정보'!B51="",'07b_하반기입력'!H51=""),"",'07b_하반기입력'!H51)</f>
        <v/>
      </c>
      <c r="H109" s="52" t="str">
        <f>IFERROR(IF(AND(LEN(F109)&gt;0,LEN(G109)&gt;0),'02_의사결정·종합결과'!$B$67*IFERROR(CHOOSE(FIND(F109,"DCBAS"),1,2,3,4,5),0)+'02_의사결정·종합결과'!$B$68*IFERROR(CHOOSE(FIND(G109,"DCBAS"),1,2,3,4,5),0),IF(LEN(F109)&gt;0,IFERROR(CHOOSE(FIND(F109,"DCBAS"),1,2,3,4,5),0),IF(LEN(G109)&gt;0,IFERROR(CHOOSE(FIND(G109,"DCBAS"),1,2,3,4,5),0),""))),"")</f>
        <v/>
      </c>
      <c r="I109" s="53" t="str">
        <f t="shared" si="3"/>
        <v/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21.75" customHeight="1">
      <c r="A110" s="4" t="str">
        <f>IF('01_인적정보'!B52="","",'01_인적정보'!A52)</f>
        <v/>
      </c>
      <c r="B110" s="4" t="str">
        <f>IF('01_인적정보'!B52="","",'01_인적정보'!B52)</f>
        <v/>
      </c>
      <c r="C110" s="13" t="str">
        <f>IF('01_인적정보'!B52="","",'01_인적정보'!C52)</f>
        <v/>
      </c>
      <c r="D110" s="13" t="str">
        <f>IF('01_인적정보'!B52="","",'01_인적정보'!E52)</f>
        <v/>
      </c>
      <c r="E110" s="40" t="str">
        <f>IF('01_인적정보'!B52="","",'01_인적정보'!H52)</f>
        <v/>
      </c>
      <c r="F110" s="19" t="str">
        <f>IF(OR('01_인적정보'!B52="",'07b_하반기입력'!G52=""),"",'07b_하반기입력'!G52)</f>
        <v/>
      </c>
      <c r="G110" s="19" t="str">
        <f>IF(OR('01_인적정보'!B52="",'07b_하반기입력'!H52=""),"",'07b_하반기입력'!H52)</f>
        <v/>
      </c>
      <c r="H110" s="52" t="str">
        <f>IFERROR(IF(AND(LEN(F110)&gt;0,LEN(G110)&gt;0),'02_의사결정·종합결과'!$B$67*IFERROR(CHOOSE(FIND(F110,"DCBAS"),1,2,3,4,5),0)+'02_의사결정·종합결과'!$B$68*IFERROR(CHOOSE(FIND(G110,"DCBAS"),1,2,3,4,5),0),IF(LEN(F110)&gt;0,IFERROR(CHOOSE(FIND(F110,"DCBAS"),1,2,3,4,5),0),IF(LEN(G110)&gt;0,IFERROR(CHOOSE(FIND(G110,"DCBAS"),1,2,3,4,5),0),""))),"")</f>
        <v/>
      </c>
      <c r="I110" s="53" t="str">
        <f t="shared" si="3"/>
        <v/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21.75" customHeight="1">
      <c r="A111" s="4" t="str">
        <f>IF('01_인적정보'!B53="","",'01_인적정보'!A53)</f>
        <v/>
      </c>
      <c r="B111" s="4" t="str">
        <f>IF('01_인적정보'!B53="","",'01_인적정보'!B53)</f>
        <v/>
      </c>
      <c r="C111" s="13" t="str">
        <f>IF('01_인적정보'!B53="","",'01_인적정보'!C53)</f>
        <v/>
      </c>
      <c r="D111" s="13" t="str">
        <f>IF('01_인적정보'!B53="","",'01_인적정보'!E53)</f>
        <v/>
      </c>
      <c r="E111" s="40" t="str">
        <f>IF('01_인적정보'!B53="","",'01_인적정보'!H53)</f>
        <v/>
      </c>
      <c r="F111" s="19" t="str">
        <f>IF(OR('01_인적정보'!B53="",'07b_하반기입력'!G53=""),"",'07b_하반기입력'!G53)</f>
        <v/>
      </c>
      <c r="G111" s="19" t="str">
        <f>IF(OR('01_인적정보'!B53="",'07b_하반기입력'!H53=""),"",'07b_하반기입력'!H53)</f>
        <v/>
      </c>
      <c r="H111" s="52" t="str">
        <f>IFERROR(IF(AND(LEN(F111)&gt;0,LEN(G111)&gt;0),'02_의사결정·종합결과'!$B$67*IFERROR(CHOOSE(FIND(F111,"DCBAS"),1,2,3,4,5),0)+'02_의사결정·종합결과'!$B$68*IFERROR(CHOOSE(FIND(G111,"DCBAS"),1,2,3,4,5),0),IF(LEN(F111)&gt;0,IFERROR(CHOOSE(FIND(F111,"DCBAS"),1,2,3,4,5),0),IF(LEN(G111)&gt;0,IFERROR(CHOOSE(FIND(G111,"DCBAS"),1,2,3,4,5),0),""))),"")</f>
        <v/>
      </c>
      <c r="I111" s="53" t="str">
        <f t="shared" si="3"/>
        <v/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21.75" customHeight="1">
      <c r="A112" s="4" t="str">
        <f>IF('01_인적정보'!B54="","",'01_인적정보'!A54)</f>
        <v/>
      </c>
      <c r="B112" s="4" t="str">
        <f>IF('01_인적정보'!B54="","",'01_인적정보'!B54)</f>
        <v/>
      </c>
      <c r="C112" s="13" t="str">
        <f>IF('01_인적정보'!B54="","",'01_인적정보'!C54)</f>
        <v/>
      </c>
      <c r="D112" s="13" t="str">
        <f>IF('01_인적정보'!B54="","",'01_인적정보'!E54)</f>
        <v/>
      </c>
      <c r="E112" s="40" t="str">
        <f>IF('01_인적정보'!B54="","",'01_인적정보'!H54)</f>
        <v/>
      </c>
      <c r="F112" s="19" t="str">
        <f>IF(OR('01_인적정보'!B54="",'07b_하반기입력'!G54=""),"",'07b_하반기입력'!G54)</f>
        <v/>
      </c>
      <c r="G112" s="19" t="str">
        <f>IF(OR('01_인적정보'!B54="",'07b_하반기입력'!H54=""),"",'07b_하반기입력'!H54)</f>
        <v/>
      </c>
      <c r="H112" s="52" t="str">
        <f>IFERROR(IF(AND(LEN(F112)&gt;0,LEN(G112)&gt;0),'02_의사결정·종합결과'!$B$67*IFERROR(CHOOSE(FIND(F112,"DCBAS"),1,2,3,4,5),0)+'02_의사결정·종합결과'!$B$68*IFERROR(CHOOSE(FIND(G112,"DCBAS"),1,2,3,4,5),0),IF(LEN(F112)&gt;0,IFERROR(CHOOSE(FIND(F112,"DCBAS"),1,2,3,4,5),0),IF(LEN(G112)&gt;0,IFERROR(CHOOSE(FIND(G112,"DCBAS"),1,2,3,4,5),0),""))),"")</f>
        <v/>
      </c>
      <c r="I112" s="53" t="str">
        <f t="shared" si="3"/>
        <v/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21.75" customHeight="1">
      <c r="A113" s="4" t="str">
        <f>IF('01_인적정보'!B55="","",'01_인적정보'!A55)</f>
        <v/>
      </c>
      <c r="B113" s="4" t="str">
        <f>IF('01_인적정보'!B55="","",'01_인적정보'!B55)</f>
        <v/>
      </c>
      <c r="C113" s="13" t="str">
        <f>IF('01_인적정보'!B55="","",'01_인적정보'!C55)</f>
        <v/>
      </c>
      <c r="D113" s="13" t="str">
        <f>IF('01_인적정보'!B55="","",'01_인적정보'!E55)</f>
        <v/>
      </c>
      <c r="E113" s="40" t="str">
        <f>IF('01_인적정보'!B55="","",'01_인적정보'!H55)</f>
        <v/>
      </c>
      <c r="F113" s="19" t="str">
        <f>IF(OR('01_인적정보'!B55="",'07b_하반기입력'!G55=""),"",'07b_하반기입력'!G55)</f>
        <v/>
      </c>
      <c r="G113" s="19" t="str">
        <f>IF(OR('01_인적정보'!B55="",'07b_하반기입력'!H55=""),"",'07b_하반기입력'!H55)</f>
        <v/>
      </c>
      <c r="H113" s="52" t="str">
        <f>IFERROR(IF(AND(LEN(F113)&gt;0,LEN(G113)&gt;0),'02_의사결정·종합결과'!$B$67*IFERROR(CHOOSE(FIND(F113,"DCBAS"),1,2,3,4,5),0)+'02_의사결정·종합결과'!$B$68*IFERROR(CHOOSE(FIND(G113,"DCBAS"),1,2,3,4,5),0),IF(LEN(F113)&gt;0,IFERROR(CHOOSE(FIND(F113,"DCBAS"),1,2,3,4,5),0),IF(LEN(G113)&gt;0,IFERROR(CHOOSE(FIND(G113,"DCBAS"),1,2,3,4,5),0),""))),"")</f>
        <v/>
      </c>
      <c r="I113" s="53" t="str">
        <f t="shared" si="3"/>
        <v/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</sheetData>
  <mergeCells count="4">
    <mergeCell ref="A1:I1"/>
    <mergeCell ref="A2:I2"/>
    <mergeCell ref="A4:I4"/>
    <mergeCell ref="A62:I62"/>
  </mergeCells>
  <phoneticPr fontId="28" type="noConversion"/>
  <conditionalFormatting sqref="F6:I55">
    <cfRule type="cellIs" dxfId="75" priority="2" operator="equal">
      <formula>"S"</formula>
    </cfRule>
    <cfRule type="cellIs" dxfId="74" priority="3" operator="equal">
      <formula>"A"</formula>
    </cfRule>
    <cfRule type="cellIs" dxfId="73" priority="4" operator="equal">
      <formula>"C"</formula>
    </cfRule>
    <cfRule type="cellIs" dxfId="72" priority="5" operator="equal">
      <formula>"D"</formula>
    </cfRule>
  </conditionalFormatting>
  <conditionalFormatting sqref="F64:I113">
    <cfRule type="cellIs" dxfId="71" priority="6" operator="equal">
      <formula>"S"</formula>
    </cfRule>
    <cfRule type="cellIs" dxfId="70" priority="7" operator="equal">
      <formula>"A"</formula>
    </cfRule>
    <cfRule type="cellIs" dxfId="69" priority="8" operator="equal">
      <formula>"C"</formula>
    </cfRule>
    <cfRule type="cellIs" dxfId="68" priority="9" operator="equal">
      <formula>"D"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135"/>
  </sheetPr>
  <dimension ref="A1:U129"/>
  <sheetViews>
    <sheetView zoomScaleNormal="100" workbookViewId="0">
      <pane xSplit="3" ySplit="5" topLeftCell="D8" activePane="bottomRight" state="frozen"/>
      <selection pane="topRight" activeCell="D1" sqref="D1"/>
      <selection pane="bottomLeft" activeCell="A53" sqref="A53"/>
      <selection pane="bottomRight" activeCell="A62" sqref="A62:I62"/>
    </sheetView>
  </sheetViews>
  <sheetFormatPr defaultColWidth="8.5625" defaultRowHeight="16.899999999999999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7" width="11" customWidth="1"/>
    <col min="8" max="8" width="13" customWidth="1"/>
    <col min="9" max="9" width="11" customWidth="1"/>
    <col min="10" max="15" width="8" customWidth="1"/>
    <col min="16" max="16" width="10" customWidth="1"/>
    <col min="17" max="17" width="8" customWidth="1"/>
    <col min="18" max="18" width="20" customWidth="1"/>
  </cols>
  <sheetData>
    <row r="1" spans="1:21" ht="30" customHeight="1">
      <c r="A1" s="111" t="s">
        <v>380</v>
      </c>
      <c r="B1" s="111"/>
      <c r="C1" s="111"/>
      <c r="D1" s="111"/>
      <c r="E1" s="111"/>
      <c r="F1" s="111"/>
      <c r="G1" s="111"/>
      <c r="H1" s="111"/>
      <c r="I1" s="11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4" customHeight="1">
      <c r="A2" s="96" t="s">
        <v>381</v>
      </c>
      <c r="B2" s="96"/>
      <c r="C2" s="96"/>
      <c r="D2" s="96"/>
      <c r="E2" s="96"/>
      <c r="F2" s="96"/>
      <c r="G2" s="96"/>
      <c r="H2" s="96"/>
      <c r="I2" s="9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5.5" customHeight="1">
      <c r="A4" s="121" t="s">
        <v>382</v>
      </c>
      <c r="B4" s="121"/>
      <c r="C4" s="121"/>
      <c r="D4" s="121"/>
      <c r="E4" s="121"/>
      <c r="F4" s="121"/>
      <c r="G4" s="121"/>
      <c r="H4" s="121"/>
      <c r="I4" s="12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27.75" customHeight="1">
      <c r="A5" s="50" t="s">
        <v>145</v>
      </c>
      <c r="B5" s="51" t="s">
        <v>146</v>
      </c>
      <c r="C5" s="51" t="s">
        <v>147</v>
      </c>
      <c r="D5" s="51" t="s">
        <v>149</v>
      </c>
      <c r="E5" s="51" t="s">
        <v>152</v>
      </c>
      <c r="F5" s="50" t="s">
        <v>375</v>
      </c>
      <c r="G5" s="50" t="s">
        <v>376</v>
      </c>
      <c r="H5" s="51" t="s">
        <v>377</v>
      </c>
      <c r="I5" s="51" t="s">
        <v>378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75" customHeight="1">
      <c r="A6" s="4">
        <f>IF('01_인적정보'!B6="","",'01_인적정보'!A6)</f>
        <v>1</v>
      </c>
      <c r="B6" s="4" t="str">
        <f>IF('01_인적정보'!B6="","",'01_인적정보'!B6)</f>
        <v>BSS-001</v>
      </c>
      <c r="C6" s="13" t="str">
        <f>IF('01_인적정보'!B6="","",'01_인적정보'!C6)</f>
        <v>OOO</v>
      </c>
      <c r="D6" s="13" t="str">
        <f>IF('01_인적정보'!B6="","",'01_인적정보'!E6)</f>
        <v>프로젝트영업</v>
      </c>
      <c r="E6" s="40" t="str">
        <f>IF('01_인적정보'!B6="","",'01_인적정보'!H6)</f>
        <v>G6</v>
      </c>
      <c r="F6" s="19" t="str">
        <f>IF(OR('01_인적정보'!B6="",'07a_상반기입력'!I6=""),"",'07a_상반기입력'!I6)</f>
        <v>B</v>
      </c>
      <c r="G6" s="19" t="str">
        <f>IF(OR('01_인적정보'!B6="",'07a_상반기입력'!J6=""),"",'07a_상반기입력'!J6)</f>
        <v>A</v>
      </c>
      <c r="H6" s="52">
        <f>IFERROR(IF(AND(LEN(F6)&gt;0,LEN(G6)&gt;0),'02_의사결정·종합결과'!$B$67*IFERROR(CHOOSE(FIND(F6,"DCBAS"),1,2,3,4,5),0)+'02_의사결정·종합결과'!$B$68*IFERROR(CHOOSE(FIND(G6,"DCBAS"),1,2,3,4,5),0),IF(LEN(F6)&gt;0,IFERROR(CHOOSE(FIND(F6,"DCBAS"),1,2,3,4,5),0),IF(LEN(G6)&gt;0,IFERROR(CHOOSE(FIND(G6,"DCBAS"),1,2,3,4,5),0),""))),"")</f>
        <v>3.5</v>
      </c>
      <c r="I6" s="53" t="str">
        <f t="shared" ref="I6:I37" si="0">IF(OR(H6="",NOT(ISNUMBER(H6)),H6&lt;0.5),"",IF(H6&gt;=4.5,"S",IF(H6&gt;=3.5,"A",IF(H6&gt;=2.5,"B",IF(H6&gt;=1.5,"C","D")))))</f>
        <v>A</v>
      </c>
      <c r="J6" s="5"/>
      <c r="K6" s="5"/>
      <c r="L6" s="5"/>
      <c r="M6" s="5"/>
      <c r="N6" s="5"/>
      <c r="O6" s="5"/>
      <c r="P6" s="54"/>
      <c r="Q6" s="5"/>
      <c r="R6" s="5"/>
      <c r="S6" s="5"/>
      <c r="T6" s="5"/>
      <c r="U6" s="5"/>
    </row>
    <row r="7" spans="1:21" ht="21.75" customHeight="1">
      <c r="A7" s="4">
        <f>IF('01_인적정보'!B7="","",'01_인적정보'!A7)</f>
        <v>2</v>
      </c>
      <c r="B7" s="4" t="str">
        <f>IF('01_인적정보'!B7="","",'01_인적정보'!B7)</f>
        <v>BSS-002</v>
      </c>
      <c r="C7" s="13" t="str">
        <f>IF('01_인적정보'!B7="","",'01_인적정보'!C7)</f>
        <v>OOO</v>
      </c>
      <c r="D7" s="13" t="str">
        <f>IF('01_인적정보'!B7="","",'01_인적정보'!E7)</f>
        <v>연구개발(R&amp;D)</v>
      </c>
      <c r="E7" s="40" t="str">
        <f>IF('01_인적정보'!B7="","",'01_인적정보'!H7)</f>
        <v>G6</v>
      </c>
      <c r="F7" s="19" t="str">
        <f>IF(OR('01_인적정보'!B7="",'07a_상반기입력'!I7=""),"",'07a_상반기입력'!I7)</f>
        <v>B</v>
      </c>
      <c r="G7" s="19" t="str">
        <f>IF(OR('01_인적정보'!B7="",'07a_상반기입력'!J7=""),"",'07a_상반기입력'!J7)</f>
        <v>B</v>
      </c>
      <c r="H7" s="52">
        <f>IFERROR(IF(AND(LEN(F7)&gt;0,LEN(G7)&gt;0),'02_의사결정·종합결과'!$B$67*IFERROR(CHOOSE(FIND(F7,"DCBAS"),1,2,3,4,5),0)+'02_의사결정·종합결과'!$B$68*IFERROR(CHOOSE(FIND(G7,"DCBAS"),1,2,3,4,5),0),IF(LEN(F7)&gt;0,IFERROR(CHOOSE(FIND(F7,"DCBAS"),1,2,3,4,5),0),IF(LEN(G7)&gt;0,IFERROR(CHOOSE(FIND(G7,"DCBAS"),1,2,3,4,5),0),""))),"")</f>
        <v>3</v>
      </c>
      <c r="I7" s="53" t="str">
        <f t="shared" si="0"/>
        <v>B</v>
      </c>
      <c r="J7" s="5"/>
      <c r="K7" s="5"/>
      <c r="L7" s="5"/>
      <c r="M7" s="5"/>
      <c r="N7" s="5"/>
      <c r="O7" s="5"/>
      <c r="P7" s="54"/>
      <c r="Q7" s="5"/>
      <c r="R7" s="5"/>
      <c r="S7" s="5"/>
      <c r="T7" s="5"/>
      <c r="U7" s="5"/>
    </row>
    <row r="8" spans="1:21" ht="21.75" customHeight="1">
      <c r="A8" s="4">
        <f>IF('01_인적정보'!B8="","",'01_인적정보'!A8)</f>
        <v>3</v>
      </c>
      <c r="B8" s="4" t="str">
        <f>IF('01_인적정보'!B8="","",'01_인적정보'!B8)</f>
        <v>BSS-003</v>
      </c>
      <c r="C8" s="13" t="str">
        <f>IF('01_인적정보'!B8="","",'01_인적정보'!C8)</f>
        <v>OOO</v>
      </c>
      <c r="D8" s="13" t="str">
        <f>IF('01_인적정보'!B8="","",'01_인적정보'!E8)</f>
        <v>BIM컨설팅</v>
      </c>
      <c r="E8" s="40" t="str">
        <f>IF('01_인적정보'!B8="","",'01_인적정보'!H8)</f>
        <v>G6</v>
      </c>
      <c r="F8" s="19" t="str">
        <f>IF(OR('01_인적정보'!B8="",'07a_상반기입력'!I8=""),"",'07a_상반기입력'!I8)</f>
        <v>B</v>
      </c>
      <c r="G8" s="19" t="str">
        <f>IF(OR('01_인적정보'!B8="",'07a_상반기입력'!J8=""),"",'07a_상반기입력'!J8)</f>
        <v>B</v>
      </c>
      <c r="H8" s="52">
        <f>IFERROR(IF(AND(LEN(F8)&gt;0,LEN(G8)&gt;0),'02_의사결정·종합결과'!$B$67*IFERROR(CHOOSE(FIND(F8,"DCBAS"),1,2,3,4,5),0)+'02_의사결정·종합결과'!$B$68*IFERROR(CHOOSE(FIND(G8,"DCBAS"),1,2,3,4,5),0),IF(LEN(F8)&gt;0,IFERROR(CHOOSE(FIND(F8,"DCBAS"),1,2,3,4,5),0),IF(LEN(G8)&gt;0,IFERROR(CHOOSE(FIND(G8,"DCBAS"),1,2,3,4,5),0),""))),"")</f>
        <v>3</v>
      </c>
      <c r="I8" s="53" t="str">
        <f t="shared" si="0"/>
        <v>B</v>
      </c>
      <c r="J8" s="5"/>
      <c r="K8" s="5"/>
      <c r="L8" s="5"/>
      <c r="M8" s="5"/>
      <c r="N8" s="5"/>
      <c r="O8" s="5"/>
      <c r="P8" s="54"/>
      <c r="Q8" s="5"/>
      <c r="R8" s="5"/>
      <c r="S8" s="5"/>
      <c r="T8" s="5"/>
      <c r="U8" s="5"/>
    </row>
    <row r="9" spans="1:21" ht="21.75" customHeight="1">
      <c r="A9" s="4">
        <f>IF('01_인적정보'!B9="","",'01_인적정보'!A9)</f>
        <v>4</v>
      </c>
      <c r="B9" s="4" t="str">
        <f>IF('01_인적정보'!B9="","",'01_인적정보'!B9)</f>
        <v>BSS-004</v>
      </c>
      <c r="C9" s="13" t="str">
        <f>IF('01_인적정보'!B9="","",'01_인적정보'!C9)</f>
        <v>OOO</v>
      </c>
      <c r="D9" s="13" t="str">
        <f>IF('01_인적정보'!B9="","",'01_인적정보'!E9)</f>
        <v>경영전략기획</v>
      </c>
      <c r="E9" s="40" t="str">
        <f>IF('01_인적정보'!B9="","",'01_인적정보'!H9)</f>
        <v>G6</v>
      </c>
      <c r="F9" s="19" t="str">
        <f>IF(OR('01_인적정보'!B9="",'07a_상반기입력'!I9=""),"",'07a_상반기입력'!I9)</f>
        <v>A</v>
      </c>
      <c r="G9" s="19" t="str">
        <f>IF(OR('01_인적정보'!B9="",'07a_상반기입력'!J9=""),"",'07a_상반기입력'!J9)</f>
        <v>A</v>
      </c>
      <c r="H9" s="52">
        <f>IFERROR(IF(AND(LEN(F9)&gt;0,LEN(G9)&gt;0),'02_의사결정·종합결과'!$B$67*IFERROR(CHOOSE(FIND(F9,"DCBAS"),1,2,3,4,5),0)+'02_의사결정·종합결과'!$B$68*IFERROR(CHOOSE(FIND(G9,"DCBAS"),1,2,3,4,5),0),IF(LEN(F9)&gt;0,IFERROR(CHOOSE(FIND(F9,"DCBAS"),1,2,3,4,5),0),IF(LEN(G9)&gt;0,IFERROR(CHOOSE(FIND(G9,"DCBAS"),1,2,3,4,5),0),""))),"")</f>
        <v>4</v>
      </c>
      <c r="I9" s="53" t="str">
        <f t="shared" si="0"/>
        <v>A</v>
      </c>
      <c r="J9" s="5"/>
      <c r="K9" s="5"/>
      <c r="L9" s="5"/>
      <c r="M9" s="5"/>
      <c r="N9" s="5"/>
      <c r="O9" s="5"/>
      <c r="P9" s="54"/>
      <c r="Q9" s="5"/>
      <c r="R9" s="5"/>
      <c r="S9" s="5"/>
      <c r="T9" s="5"/>
      <c r="U9" s="5"/>
    </row>
    <row r="10" spans="1:21" ht="21.75" customHeight="1">
      <c r="A10" s="4">
        <f>IF('01_인적정보'!B10="","",'01_인적정보'!A10)</f>
        <v>5</v>
      </c>
      <c r="B10" s="4" t="str">
        <f>IF('01_인적정보'!B10="","",'01_인적정보'!B10)</f>
        <v>BSS-005</v>
      </c>
      <c r="C10" s="13" t="str">
        <f>IF('01_인적정보'!B10="","",'01_인적정보'!C10)</f>
        <v>OOO</v>
      </c>
      <c r="D10" s="13" t="str">
        <f>IF('01_인적정보'!B10="","",'01_인적정보'!E10)</f>
        <v>경영전략기획</v>
      </c>
      <c r="E10" s="40" t="str">
        <f>IF('01_인적정보'!B10="","",'01_인적정보'!H10)</f>
        <v>G6</v>
      </c>
      <c r="F10" s="19" t="str">
        <f>IF(OR('01_인적정보'!B10="",'07a_상반기입력'!I10=""),"",'07a_상반기입력'!I10)</f>
        <v>B</v>
      </c>
      <c r="G10" s="19" t="str">
        <f>IF(OR('01_인적정보'!B10="",'07a_상반기입력'!J10=""),"",'07a_상반기입력'!J10)</f>
        <v>B</v>
      </c>
      <c r="H10" s="52">
        <f>IFERROR(IF(AND(LEN(F10)&gt;0,LEN(G10)&gt;0),'02_의사결정·종합결과'!$B$67*IFERROR(CHOOSE(FIND(F10,"DCBAS"),1,2,3,4,5),0)+'02_의사결정·종합결과'!$B$68*IFERROR(CHOOSE(FIND(G10,"DCBAS"),1,2,3,4,5),0),IF(LEN(F10)&gt;0,IFERROR(CHOOSE(FIND(F10,"DCBAS"),1,2,3,4,5),0),IF(LEN(G10)&gt;0,IFERROR(CHOOSE(FIND(G10,"DCBAS"),1,2,3,4,5),0),""))),"")</f>
        <v>3</v>
      </c>
      <c r="I10" s="53" t="str">
        <f t="shared" si="0"/>
        <v>B</v>
      </c>
      <c r="J10" s="5"/>
      <c r="K10" s="5"/>
      <c r="L10" s="5"/>
      <c r="M10" s="5"/>
      <c r="N10" s="5"/>
      <c r="O10" s="5"/>
      <c r="P10" s="54"/>
      <c r="Q10" s="5"/>
      <c r="R10" s="5"/>
      <c r="S10" s="5"/>
      <c r="T10" s="5"/>
      <c r="U10" s="5"/>
    </row>
    <row r="11" spans="1:21" ht="21.75" customHeight="1">
      <c r="A11" s="4">
        <f>IF('01_인적정보'!B11="","",'01_인적정보'!A11)</f>
        <v>6</v>
      </c>
      <c r="B11" s="4" t="str">
        <f>IF('01_인적정보'!B11="","",'01_인적정보'!B11)</f>
        <v>BSS-006</v>
      </c>
      <c r="C11" s="13" t="str">
        <f>IF('01_인적정보'!B11="","",'01_인적정보'!C11)</f>
        <v>OOO</v>
      </c>
      <c r="D11" s="13" t="str">
        <f>IF('01_인적정보'!B11="","",'01_인적정보'!E11)</f>
        <v>경영전략기획</v>
      </c>
      <c r="E11" s="40" t="str">
        <f>IF('01_인적정보'!B11="","",'01_인적정보'!H11)</f>
        <v>G6</v>
      </c>
      <c r="F11" s="19" t="str">
        <f>IF(OR('01_인적정보'!B11="",'07a_상반기입력'!I11=""),"",'07a_상반기입력'!I11)</f>
        <v>C</v>
      </c>
      <c r="G11" s="19" t="str">
        <f>IF(OR('01_인적정보'!B11="",'07a_상반기입력'!J11=""),"",'07a_상반기입력'!J11)</f>
        <v>B</v>
      </c>
      <c r="H11" s="52">
        <f>IFERROR(IF(AND(LEN(F11)&gt;0,LEN(G11)&gt;0),'02_의사결정·종합결과'!$B$67*IFERROR(CHOOSE(FIND(F11,"DCBAS"),1,2,3,4,5),0)+'02_의사결정·종합결과'!$B$68*IFERROR(CHOOSE(FIND(G11,"DCBAS"),1,2,3,4,5),0),IF(LEN(F11)&gt;0,IFERROR(CHOOSE(FIND(F11,"DCBAS"),1,2,3,4,5),0),IF(LEN(G11)&gt;0,IFERROR(CHOOSE(FIND(G11,"DCBAS"),1,2,3,4,5),0),""))),"")</f>
        <v>2.5</v>
      </c>
      <c r="I11" s="53" t="str">
        <f t="shared" si="0"/>
        <v>B</v>
      </c>
      <c r="J11" s="5"/>
      <c r="K11" s="5"/>
      <c r="L11" s="5"/>
      <c r="M11" s="5"/>
      <c r="N11" s="5"/>
      <c r="O11" s="5"/>
      <c r="P11" s="54"/>
      <c r="Q11" s="5"/>
      <c r="R11" s="5"/>
      <c r="S11" s="5"/>
      <c r="T11" s="5"/>
      <c r="U11" s="5"/>
    </row>
    <row r="12" spans="1:21" ht="21.75" customHeight="1">
      <c r="A12" s="4">
        <f>IF('01_인적정보'!B12="","",'01_인적정보'!A12)</f>
        <v>7</v>
      </c>
      <c r="B12" s="4" t="str">
        <f>IF('01_인적정보'!B12="","",'01_인적정보'!B12)</f>
        <v>BSS-007</v>
      </c>
      <c r="C12" s="13" t="str">
        <f>IF('01_인적정보'!B12="","",'01_인적정보'!C12)</f>
        <v>OOO</v>
      </c>
      <c r="D12" s="13" t="str">
        <f>IF('01_인적정보'!B12="","",'01_인적정보'!E12)</f>
        <v>교육</v>
      </c>
      <c r="E12" s="40" t="str">
        <f>IF('01_인적정보'!B12="","",'01_인적정보'!H12)</f>
        <v>G5-M</v>
      </c>
      <c r="F12" s="19" t="str">
        <f>IF(OR('01_인적정보'!B12="",'07a_상반기입력'!I12=""),"",'07a_상반기입력'!I12)</f>
        <v>B</v>
      </c>
      <c r="G12" s="19" t="str">
        <f>IF(OR('01_인적정보'!B12="",'07a_상반기입력'!J12=""),"",'07a_상반기입력'!J12)</f>
        <v>C</v>
      </c>
      <c r="H12" s="52">
        <f>IFERROR(IF(AND(LEN(F12)&gt;0,LEN(G12)&gt;0),'02_의사결정·종합결과'!$B$67*IFERROR(CHOOSE(FIND(F12,"DCBAS"),1,2,3,4,5),0)+'02_의사결정·종합결과'!$B$68*IFERROR(CHOOSE(FIND(G12,"DCBAS"),1,2,3,4,5),0),IF(LEN(F12)&gt;0,IFERROR(CHOOSE(FIND(F12,"DCBAS"),1,2,3,4,5),0),IF(LEN(G12)&gt;0,IFERROR(CHOOSE(FIND(G12,"DCBAS"),1,2,3,4,5),0),""))),"")</f>
        <v>2.5</v>
      </c>
      <c r="I12" s="53" t="str">
        <f t="shared" si="0"/>
        <v>B</v>
      </c>
      <c r="J12" s="5"/>
      <c r="K12" s="5"/>
      <c r="L12" s="5"/>
      <c r="M12" s="5"/>
      <c r="N12" s="5"/>
      <c r="O12" s="5"/>
      <c r="P12" s="54"/>
      <c r="Q12" s="5"/>
      <c r="R12" s="5"/>
      <c r="S12" s="5"/>
      <c r="T12" s="5"/>
      <c r="U12" s="5"/>
    </row>
    <row r="13" spans="1:21" ht="21.75" customHeight="1">
      <c r="A13" s="4">
        <f>IF('01_인적정보'!B13="","",'01_인적정보'!A13)</f>
        <v>8</v>
      </c>
      <c r="B13" s="4" t="str">
        <f>IF('01_인적정보'!B13="","",'01_인적정보'!B13)</f>
        <v>BSS-008</v>
      </c>
      <c r="C13" s="13" t="str">
        <f>IF('01_인적정보'!B13="","",'01_인적정보'!C13)</f>
        <v>OOO</v>
      </c>
      <c r="D13" s="13" t="str">
        <f>IF('01_인적정보'!B13="","",'01_인적정보'!E13)</f>
        <v>기술지원</v>
      </c>
      <c r="E13" s="40" t="str">
        <f>IF('01_인적정보'!B13="","",'01_인적정보'!H13)</f>
        <v>G5-M</v>
      </c>
      <c r="F13" s="19" t="str">
        <f>IF(OR('01_인적정보'!B13="",'07a_상반기입력'!I13=""),"",'07a_상반기입력'!I13)</f>
        <v>B</v>
      </c>
      <c r="G13" s="19" t="str">
        <f>IF(OR('01_인적정보'!B13="",'07a_상반기입력'!J13=""),"",'07a_상반기입력'!J13)</f>
        <v>C</v>
      </c>
      <c r="H13" s="52">
        <f>IFERROR(IF(AND(LEN(F13)&gt;0,LEN(G13)&gt;0),'02_의사결정·종합결과'!$B$67*IFERROR(CHOOSE(FIND(F13,"DCBAS"),1,2,3,4,5),0)+'02_의사결정·종합결과'!$B$68*IFERROR(CHOOSE(FIND(G13,"DCBAS"),1,2,3,4,5),0),IF(LEN(F13)&gt;0,IFERROR(CHOOSE(FIND(F13,"DCBAS"),1,2,3,4,5),0),IF(LEN(G13)&gt;0,IFERROR(CHOOSE(FIND(G13,"DCBAS"),1,2,3,4,5),0),""))),"")</f>
        <v>2.5</v>
      </c>
      <c r="I13" s="53" t="str">
        <f t="shared" si="0"/>
        <v>B</v>
      </c>
      <c r="J13" s="5"/>
      <c r="K13" s="5"/>
      <c r="L13" s="5"/>
      <c r="M13" s="5"/>
      <c r="N13" s="5"/>
      <c r="O13" s="5"/>
      <c r="P13" s="54"/>
      <c r="Q13" s="5"/>
      <c r="R13" s="5"/>
      <c r="S13" s="5"/>
      <c r="T13" s="5"/>
      <c r="U13" s="5"/>
    </row>
    <row r="14" spans="1:21" ht="21.75" customHeight="1">
      <c r="A14" s="4">
        <f>IF('01_인적정보'!B14="","",'01_인적정보'!A14)</f>
        <v>9</v>
      </c>
      <c r="B14" s="4" t="str">
        <f>IF('01_인적정보'!B14="","",'01_인적정보'!B14)</f>
        <v>BSS-009</v>
      </c>
      <c r="C14" s="13" t="str">
        <f>IF('01_인적정보'!B14="","",'01_인적정보'!C14)</f>
        <v>OOO</v>
      </c>
      <c r="D14" s="13" t="str">
        <f>IF('01_인적정보'!B14="","",'01_인적정보'!E14)</f>
        <v>BIM컨설팅</v>
      </c>
      <c r="E14" s="40" t="str">
        <f>IF('01_인적정보'!B14="","",'01_인적정보'!H14)</f>
        <v>G5-M</v>
      </c>
      <c r="F14" s="19" t="str">
        <f>IF(OR('01_인적정보'!B14="",'07a_상반기입력'!I14=""),"",'07a_상반기입력'!I14)</f>
        <v>A</v>
      </c>
      <c r="G14" s="19" t="str">
        <f>IF(OR('01_인적정보'!B14="",'07a_상반기입력'!J14=""),"",'07a_상반기입력'!J14)</f>
        <v>S</v>
      </c>
      <c r="H14" s="52">
        <f>IFERROR(IF(AND(LEN(F14)&gt;0,LEN(G14)&gt;0),'02_의사결정·종합결과'!$B$67*IFERROR(CHOOSE(FIND(F14,"DCBAS"),1,2,3,4,5),0)+'02_의사결정·종합결과'!$B$68*IFERROR(CHOOSE(FIND(G14,"DCBAS"),1,2,3,4,5),0),IF(LEN(F14)&gt;0,IFERROR(CHOOSE(FIND(F14,"DCBAS"),1,2,3,4,5),0),IF(LEN(G14)&gt;0,IFERROR(CHOOSE(FIND(G14,"DCBAS"),1,2,3,4,5),0),""))),"")</f>
        <v>4.5</v>
      </c>
      <c r="I14" s="53" t="str">
        <f t="shared" si="0"/>
        <v>S</v>
      </c>
      <c r="J14" s="5"/>
      <c r="K14" s="5"/>
      <c r="L14" s="5"/>
      <c r="M14" s="5"/>
      <c r="N14" s="5"/>
      <c r="O14" s="5"/>
      <c r="P14" s="54"/>
      <c r="Q14" s="5"/>
      <c r="R14" s="5"/>
      <c r="S14" s="5"/>
      <c r="T14" s="5"/>
      <c r="U14" s="5"/>
    </row>
    <row r="15" spans="1:21" ht="21.75" customHeight="1">
      <c r="A15" s="4">
        <f>IF('01_인적정보'!B15="","",'01_인적정보'!A15)</f>
        <v>10</v>
      </c>
      <c r="B15" s="4" t="str">
        <f>IF('01_인적정보'!B15="","",'01_인적정보'!B15)</f>
        <v>BSS-010</v>
      </c>
      <c r="C15" s="13" t="str">
        <f>IF('01_인적정보'!B15="","",'01_인적정보'!C15)</f>
        <v>OOO</v>
      </c>
      <c r="D15" s="13" t="str">
        <f>IF('01_인적정보'!B15="","",'01_인적정보'!E15)</f>
        <v>BIM컨설팅</v>
      </c>
      <c r="E15" s="40" t="str">
        <f>IF('01_인적정보'!B15="","",'01_인적정보'!H15)</f>
        <v>G5-S</v>
      </c>
      <c r="F15" s="19" t="str">
        <f>IF(OR('01_인적정보'!B15="",'07a_상반기입력'!I15=""),"",'07a_상반기입력'!I15)</f>
        <v>A</v>
      </c>
      <c r="G15" s="19" t="str">
        <f>IF(OR('01_인적정보'!B15="",'07a_상반기입력'!J15=""),"",'07a_상반기입력'!J15)</f>
        <v>A</v>
      </c>
      <c r="H15" s="52">
        <f>IFERROR(IF(AND(LEN(F15)&gt;0,LEN(G15)&gt;0),'02_의사결정·종합결과'!$B$67*IFERROR(CHOOSE(FIND(F15,"DCBAS"),1,2,3,4,5),0)+'02_의사결정·종합결과'!$B$68*IFERROR(CHOOSE(FIND(G15,"DCBAS"),1,2,3,4,5),0),IF(LEN(F15)&gt;0,IFERROR(CHOOSE(FIND(F15,"DCBAS"),1,2,3,4,5),0),IF(LEN(G15)&gt;0,IFERROR(CHOOSE(FIND(G15,"DCBAS"),1,2,3,4,5),0),""))),"")</f>
        <v>4</v>
      </c>
      <c r="I15" s="53" t="str">
        <f t="shared" si="0"/>
        <v>A</v>
      </c>
      <c r="J15" s="5"/>
      <c r="K15" s="5"/>
      <c r="L15" s="5"/>
      <c r="M15" s="5"/>
      <c r="N15" s="5"/>
      <c r="O15" s="5"/>
      <c r="P15" s="54"/>
      <c r="Q15" s="5"/>
      <c r="R15" s="5"/>
      <c r="S15" s="5"/>
      <c r="T15" s="5"/>
      <c r="U15" s="5"/>
    </row>
    <row r="16" spans="1:21" ht="21.75" customHeight="1">
      <c r="A16" s="4">
        <f>IF('01_인적정보'!B16="","",'01_인적정보'!A16)</f>
        <v>11</v>
      </c>
      <c r="B16" s="4" t="str">
        <f>IF('01_인적정보'!B16="","",'01_인적정보'!B16)</f>
        <v>BSS-011</v>
      </c>
      <c r="C16" s="13" t="str">
        <f>IF('01_인적정보'!B16="","",'01_인적정보'!C16)</f>
        <v>OOO</v>
      </c>
      <c r="D16" s="13" t="str">
        <f>IF('01_인적정보'!B16="","",'01_인적정보'!E16)</f>
        <v>BIM컨설팅</v>
      </c>
      <c r="E16" s="40" t="str">
        <f>IF('01_인적정보'!B16="","",'01_인적정보'!H16)</f>
        <v>G5-S</v>
      </c>
      <c r="F16" s="19" t="str">
        <f>IF(OR('01_인적정보'!B16="",'07a_상반기입력'!I16=""),"",'07a_상반기입력'!I16)</f>
        <v>C</v>
      </c>
      <c r="G16" s="19" t="str">
        <f>IF(OR('01_인적정보'!B16="",'07a_상반기입력'!J16=""),"",'07a_상반기입력'!J16)</f>
        <v>B</v>
      </c>
      <c r="H16" s="52">
        <f>IFERROR(IF(AND(LEN(F16)&gt;0,LEN(G16)&gt;0),'02_의사결정·종합결과'!$B$67*IFERROR(CHOOSE(FIND(F16,"DCBAS"),1,2,3,4,5),0)+'02_의사결정·종합결과'!$B$68*IFERROR(CHOOSE(FIND(G16,"DCBAS"),1,2,3,4,5),0),IF(LEN(F16)&gt;0,IFERROR(CHOOSE(FIND(F16,"DCBAS"),1,2,3,4,5),0),IF(LEN(G16)&gt;0,IFERROR(CHOOSE(FIND(G16,"DCBAS"),1,2,3,4,5),0),""))),"")</f>
        <v>2.5</v>
      </c>
      <c r="I16" s="53" t="str">
        <f t="shared" si="0"/>
        <v>B</v>
      </c>
      <c r="J16" s="5"/>
      <c r="K16" s="5"/>
      <c r="L16" s="5"/>
      <c r="M16" s="5"/>
      <c r="N16" s="5"/>
      <c r="O16" s="5"/>
      <c r="P16" s="54"/>
      <c r="Q16" s="5"/>
      <c r="R16" s="5"/>
      <c r="S16" s="5"/>
      <c r="T16" s="5"/>
      <c r="U16" s="5"/>
    </row>
    <row r="17" spans="1:21" ht="21.75" customHeight="1">
      <c r="A17" s="4">
        <f>IF('01_인적정보'!B17="","",'01_인적정보'!A17)</f>
        <v>12</v>
      </c>
      <c r="B17" s="4" t="str">
        <f>IF('01_인적정보'!B17="","",'01_인적정보'!B17)</f>
        <v>BSS-012</v>
      </c>
      <c r="C17" s="13" t="str">
        <f>IF('01_인적정보'!B17="","",'01_인적정보'!C17)</f>
        <v>OOO</v>
      </c>
      <c r="D17" s="13" t="str">
        <f>IF('01_인적정보'!B17="","",'01_인적정보'!E17)</f>
        <v>경영전략기획</v>
      </c>
      <c r="E17" s="40" t="str">
        <f>IF('01_인적정보'!B17="","",'01_인적정보'!H17)</f>
        <v>G5-M</v>
      </c>
      <c r="F17" s="19" t="str">
        <f>IF(OR('01_인적정보'!B17="",'07a_상반기입력'!I17=""),"",'07a_상반기입력'!I17)</f>
        <v>D</v>
      </c>
      <c r="G17" s="19" t="str">
        <f>IF(OR('01_인적정보'!B17="",'07a_상반기입력'!J17=""),"",'07a_상반기입력'!J17)</f>
        <v>C</v>
      </c>
      <c r="H17" s="52">
        <f>IFERROR(IF(AND(LEN(F17)&gt;0,LEN(G17)&gt;0),'02_의사결정·종합결과'!$B$67*IFERROR(CHOOSE(FIND(F17,"DCBAS"),1,2,3,4,5),0)+'02_의사결정·종합결과'!$B$68*IFERROR(CHOOSE(FIND(G17,"DCBAS"),1,2,3,4,5),0),IF(LEN(F17)&gt;0,IFERROR(CHOOSE(FIND(F17,"DCBAS"),1,2,3,4,5),0),IF(LEN(G17)&gt;0,IFERROR(CHOOSE(FIND(G17,"DCBAS"),1,2,3,4,5),0),""))),"")</f>
        <v>1.5</v>
      </c>
      <c r="I17" s="53" t="str">
        <f t="shared" si="0"/>
        <v>C</v>
      </c>
      <c r="J17" s="5"/>
      <c r="K17" s="5"/>
      <c r="L17" s="5"/>
      <c r="M17" s="5"/>
      <c r="N17" s="5"/>
      <c r="O17" s="5"/>
      <c r="P17" s="54"/>
      <c r="Q17" s="5"/>
      <c r="R17" s="5"/>
      <c r="S17" s="5"/>
      <c r="T17" s="5"/>
      <c r="U17" s="5"/>
    </row>
    <row r="18" spans="1:21" ht="21.75" customHeight="1">
      <c r="A18" s="4">
        <f>IF('01_인적정보'!B18="","",'01_인적정보'!A18)</f>
        <v>13</v>
      </c>
      <c r="B18" s="4" t="str">
        <f>IF('01_인적정보'!B18="","",'01_인적정보'!B18)</f>
        <v>BSS-013</v>
      </c>
      <c r="C18" s="13" t="str">
        <f>IF('01_인적정보'!B18="","",'01_인적정보'!C18)</f>
        <v>OOO</v>
      </c>
      <c r="D18" s="13" t="str">
        <f>IF('01_인적정보'!B18="","",'01_인적정보'!E18)</f>
        <v>BIM컨설팅</v>
      </c>
      <c r="E18" s="40" t="str">
        <f>IF('01_인적정보'!B18="","",'01_인적정보'!H18)</f>
        <v>G5-S</v>
      </c>
      <c r="F18" s="19" t="str">
        <f>IF(OR('01_인적정보'!B18="",'07a_상반기입력'!I18=""),"",'07a_상반기입력'!I18)</f>
        <v>S</v>
      </c>
      <c r="G18" s="19" t="str">
        <f>IF(OR('01_인적정보'!B18="",'07a_상반기입력'!J18=""),"",'07a_상반기입력'!J18)</f>
        <v>S</v>
      </c>
      <c r="H18" s="52">
        <f>IFERROR(IF(AND(LEN(F18)&gt;0,LEN(G18)&gt;0),'02_의사결정·종합결과'!$B$67*IFERROR(CHOOSE(FIND(F18,"DCBAS"),1,2,3,4,5),0)+'02_의사결정·종합결과'!$B$68*IFERROR(CHOOSE(FIND(G18,"DCBAS"),1,2,3,4,5),0),IF(LEN(F18)&gt;0,IFERROR(CHOOSE(FIND(F18,"DCBAS"),1,2,3,4,5),0),IF(LEN(G18)&gt;0,IFERROR(CHOOSE(FIND(G18,"DCBAS"),1,2,3,4,5),0),""))),"")</f>
        <v>5</v>
      </c>
      <c r="I18" s="53" t="str">
        <f t="shared" si="0"/>
        <v>S</v>
      </c>
      <c r="J18" s="5"/>
      <c r="K18" s="5"/>
      <c r="L18" s="5"/>
      <c r="M18" s="5"/>
      <c r="N18" s="5"/>
      <c r="O18" s="5"/>
      <c r="P18" s="54"/>
      <c r="Q18" s="5"/>
      <c r="R18" s="5"/>
      <c r="S18" s="5"/>
      <c r="T18" s="5"/>
      <c r="U18" s="5"/>
    </row>
    <row r="19" spans="1:21" ht="21.75" customHeight="1">
      <c r="A19" s="4">
        <f>IF('01_인적정보'!B19="","",'01_인적정보'!A19)</f>
        <v>14</v>
      </c>
      <c r="B19" s="4" t="str">
        <f>IF('01_인적정보'!B19="","",'01_인적정보'!B19)</f>
        <v>BSS-014</v>
      </c>
      <c r="C19" s="13" t="str">
        <f>IF('01_인적정보'!B19="","",'01_인적정보'!C19)</f>
        <v>OOO</v>
      </c>
      <c r="D19" s="13" t="str">
        <f>IF('01_인적정보'!B19="","",'01_인적정보'!E19)</f>
        <v>BIM컨설팅</v>
      </c>
      <c r="E19" s="40" t="str">
        <f>IF('01_인적정보'!B19="","",'01_인적정보'!H19)</f>
        <v>G5-S</v>
      </c>
      <c r="F19" s="19" t="str">
        <f>IF(OR('01_인적정보'!B19="",'07a_상반기입력'!I19=""),"",'07a_상반기입력'!I19)</f>
        <v>B</v>
      </c>
      <c r="G19" s="19" t="str">
        <f>IF(OR('01_인적정보'!B19="",'07a_상반기입력'!J19=""),"",'07a_상반기입력'!J19)</f>
        <v>B</v>
      </c>
      <c r="H19" s="52">
        <f>IFERROR(IF(AND(LEN(F19)&gt;0,LEN(G19)&gt;0),'02_의사결정·종합결과'!$B$67*IFERROR(CHOOSE(FIND(F19,"DCBAS"),1,2,3,4,5),0)+'02_의사결정·종합결과'!$B$68*IFERROR(CHOOSE(FIND(G19,"DCBAS"),1,2,3,4,5),0),IF(LEN(F19)&gt;0,IFERROR(CHOOSE(FIND(F19,"DCBAS"),1,2,3,4,5),0),IF(LEN(G19)&gt;0,IFERROR(CHOOSE(FIND(G19,"DCBAS"),1,2,3,4,5),0),""))),"")</f>
        <v>3</v>
      </c>
      <c r="I19" s="53" t="str">
        <f t="shared" si="0"/>
        <v>B</v>
      </c>
      <c r="J19" s="5"/>
      <c r="K19" s="5"/>
      <c r="L19" s="5"/>
      <c r="M19" s="5"/>
      <c r="N19" s="5"/>
      <c r="O19" s="5"/>
      <c r="P19" s="54"/>
      <c r="Q19" s="5"/>
      <c r="R19" s="5"/>
      <c r="S19" s="5"/>
      <c r="T19" s="5"/>
      <c r="U19" s="5"/>
    </row>
    <row r="20" spans="1:21" ht="21.75" customHeight="1">
      <c r="A20" s="4">
        <f>IF('01_인적정보'!B20="","",'01_인적정보'!A20)</f>
        <v>15</v>
      </c>
      <c r="B20" s="4" t="str">
        <f>IF('01_인적정보'!B20="","",'01_인적정보'!B20)</f>
        <v>BSS-015</v>
      </c>
      <c r="C20" s="13" t="str">
        <f>IF('01_인적정보'!B20="","",'01_인적정보'!C20)</f>
        <v>OOO</v>
      </c>
      <c r="D20" s="13" t="str">
        <f>IF('01_인적정보'!B20="","",'01_인적정보'!E20)</f>
        <v>BIM컨설팅</v>
      </c>
      <c r="E20" s="40" t="str">
        <f>IF('01_인적정보'!B20="","",'01_인적정보'!H20)</f>
        <v>G5-S</v>
      </c>
      <c r="F20" s="19" t="str">
        <f>IF(OR('01_인적정보'!B20="",'07a_상반기입력'!I20=""),"",'07a_상반기입력'!I20)</f>
        <v>B</v>
      </c>
      <c r="G20" s="19" t="str">
        <f>IF(OR('01_인적정보'!B20="",'07a_상반기입력'!J20=""),"",'07a_상반기입력'!J20)</f>
        <v>C</v>
      </c>
      <c r="H20" s="52">
        <f>IFERROR(IF(AND(LEN(F20)&gt;0,LEN(G20)&gt;0),'02_의사결정·종합결과'!$B$67*IFERROR(CHOOSE(FIND(F20,"DCBAS"),1,2,3,4,5),0)+'02_의사결정·종합결과'!$B$68*IFERROR(CHOOSE(FIND(G20,"DCBAS"),1,2,3,4,5),0),IF(LEN(F20)&gt;0,IFERROR(CHOOSE(FIND(F20,"DCBAS"),1,2,3,4,5),0),IF(LEN(G20)&gt;0,IFERROR(CHOOSE(FIND(G20,"DCBAS"),1,2,3,4,5),0),""))),"")</f>
        <v>2.5</v>
      </c>
      <c r="I20" s="53" t="str">
        <f t="shared" si="0"/>
        <v>B</v>
      </c>
      <c r="J20" s="5"/>
      <c r="K20" s="5"/>
      <c r="L20" s="5"/>
      <c r="M20" s="5"/>
      <c r="N20" s="5"/>
      <c r="O20" s="5"/>
      <c r="P20" s="54"/>
      <c r="Q20" s="5"/>
      <c r="R20" s="5"/>
      <c r="S20" s="5"/>
      <c r="T20" s="5"/>
      <c r="U20" s="5"/>
    </row>
    <row r="21" spans="1:21" ht="21.75" customHeight="1">
      <c r="A21" s="4">
        <f>IF('01_인적정보'!B21="","",'01_인적정보'!A21)</f>
        <v>16</v>
      </c>
      <c r="B21" s="4" t="str">
        <f>IF('01_인적정보'!B21="","",'01_인적정보'!B21)</f>
        <v>BSS-016</v>
      </c>
      <c r="C21" s="13" t="str">
        <f>IF('01_인적정보'!B21="","",'01_인적정보'!C21)</f>
        <v>OOO</v>
      </c>
      <c r="D21" s="13" t="str">
        <f>IF('01_인적정보'!B21="","",'01_인적정보'!E21)</f>
        <v>BIM컨설팅</v>
      </c>
      <c r="E21" s="40" t="str">
        <f>IF('01_인적정보'!B21="","",'01_인적정보'!H21)</f>
        <v>G5-S</v>
      </c>
      <c r="F21" s="19" t="str">
        <f>IF(OR('01_인적정보'!B21="",'07a_상반기입력'!I21=""),"",'07a_상반기입력'!I21)</f>
        <v>B</v>
      </c>
      <c r="G21" s="19" t="str">
        <f>IF(OR('01_인적정보'!B21="",'07a_상반기입력'!J21=""),"",'07a_상반기입력'!J21)</f>
        <v>B</v>
      </c>
      <c r="H21" s="52">
        <f>IFERROR(IF(AND(LEN(F21)&gt;0,LEN(G21)&gt;0),'02_의사결정·종합결과'!$B$67*IFERROR(CHOOSE(FIND(F21,"DCBAS"),1,2,3,4,5),0)+'02_의사결정·종합결과'!$B$68*IFERROR(CHOOSE(FIND(G21,"DCBAS"),1,2,3,4,5),0),IF(LEN(F21)&gt;0,IFERROR(CHOOSE(FIND(F21,"DCBAS"),1,2,3,4,5),0),IF(LEN(G21)&gt;0,IFERROR(CHOOSE(FIND(G21,"DCBAS"),1,2,3,4,5),0),""))),"")</f>
        <v>3</v>
      </c>
      <c r="I21" s="53" t="str">
        <f t="shared" si="0"/>
        <v>B</v>
      </c>
      <c r="J21" s="5"/>
      <c r="K21" s="5"/>
      <c r="L21" s="5"/>
      <c r="M21" s="5"/>
      <c r="N21" s="5"/>
      <c r="O21" s="5"/>
      <c r="P21" s="54"/>
      <c r="Q21" s="5"/>
      <c r="R21" s="5"/>
      <c r="S21" s="5"/>
      <c r="T21" s="5"/>
      <c r="U21" s="5"/>
    </row>
    <row r="22" spans="1:21" ht="21.75" customHeight="1">
      <c r="A22" s="4">
        <f>IF('01_인적정보'!B22="","",'01_인적정보'!A22)</f>
        <v>17</v>
      </c>
      <c r="B22" s="4" t="str">
        <f>IF('01_인적정보'!B22="","",'01_인적정보'!B22)</f>
        <v>BSS-017</v>
      </c>
      <c r="C22" s="13" t="str">
        <f>IF('01_인적정보'!B22="","",'01_인적정보'!C22)</f>
        <v>OOO</v>
      </c>
      <c r="D22" s="13" t="str">
        <f>IF('01_인적정보'!B22="","",'01_인적정보'!E22)</f>
        <v>교육</v>
      </c>
      <c r="E22" s="40" t="str">
        <f>IF('01_인적정보'!B22="","",'01_인적정보'!H22)</f>
        <v>G4</v>
      </c>
      <c r="F22" s="19" t="str">
        <f>IF(OR('01_인적정보'!B22="",'07a_상반기입력'!I22=""),"",'07a_상반기입력'!I22)</f>
        <v>B</v>
      </c>
      <c r="G22" s="19" t="str">
        <f>IF(OR('01_인적정보'!B22="",'07a_상반기입력'!J22=""),"",'07a_상반기입력'!J22)</f>
        <v>B</v>
      </c>
      <c r="H22" s="52">
        <f>IFERROR(IF(AND(LEN(F22)&gt;0,LEN(G22)&gt;0),'02_의사결정·종합결과'!$B$67*IFERROR(CHOOSE(FIND(F22,"DCBAS"),1,2,3,4,5),0)+'02_의사결정·종합결과'!$B$68*IFERROR(CHOOSE(FIND(G22,"DCBAS"),1,2,3,4,5),0),IF(LEN(F22)&gt;0,IFERROR(CHOOSE(FIND(F22,"DCBAS"),1,2,3,4,5),0),IF(LEN(G22)&gt;0,IFERROR(CHOOSE(FIND(G22,"DCBAS"),1,2,3,4,5),0),""))),"")</f>
        <v>3</v>
      </c>
      <c r="I22" s="53" t="str">
        <f t="shared" si="0"/>
        <v>B</v>
      </c>
      <c r="J22" s="5"/>
      <c r="K22" s="5"/>
      <c r="L22" s="5"/>
      <c r="M22" s="5"/>
      <c r="N22" s="5"/>
      <c r="O22" s="5"/>
      <c r="P22" s="54"/>
      <c r="Q22" s="5"/>
      <c r="R22" s="5"/>
      <c r="S22" s="5"/>
      <c r="T22" s="5"/>
      <c r="U22" s="5"/>
    </row>
    <row r="23" spans="1:21" ht="21.75" customHeight="1">
      <c r="A23" s="4">
        <f>IF('01_인적정보'!B23="","",'01_인적정보'!A23)</f>
        <v>18</v>
      </c>
      <c r="B23" s="4" t="str">
        <f>IF('01_인적정보'!B23="","",'01_인적정보'!B23)</f>
        <v>BSS-018</v>
      </c>
      <c r="C23" s="13" t="str">
        <f>IF('01_인적정보'!B23="","",'01_인적정보'!C23)</f>
        <v>OOO</v>
      </c>
      <c r="D23" s="13" t="str">
        <f>IF('01_인적정보'!B23="","",'01_인적정보'!E23)</f>
        <v>BIM컨설팅</v>
      </c>
      <c r="E23" s="40" t="str">
        <f>IF('01_인적정보'!B23="","",'01_인적정보'!H23)</f>
        <v>G4</v>
      </c>
      <c r="F23" s="19" t="str">
        <f>IF(OR('01_인적정보'!B23="",'07a_상반기입력'!I23=""),"",'07a_상반기입력'!I23)</f>
        <v>A</v>
      </c>
      <c r="G23" s="19" t="str">
        <f>IF(OR('01_인적정보'!B23="",'07a_상반기입력'!J23=""),"",'07a_상반기입력'!J23)</f>
        <v>B</v>
      </c>
      <c r="H23" s="52">
        <f>IFERROR(IF(AND(LEN(F23)&gt;0,LEN(G23)&gt;0),'02_의사결정·종합결과'!$B$67*IFERROR(CHOOSE(FIND(F23,"DCBAS"),1,2,3,4,5),0)+'02_의사결정·종합결과'!$B$68*IFERROR(CHOOSE(FIND(G23,"DCBAS"),1,2,3,4,5),0),IF(LEN(F23)&gt;0,IFERROR(CHOOSE(FIND(F23,"DCBAS"),1,2,3,4,5),0),IF(LEN(G23)&gt;0,IFERROR(CHOOSE(FIND(G23,"DCBAS"),1,2,3,4,5),0),""))),"")</f>
        <v>3.5</v>
      </c>
      <c r="I23" s="53" t="str">
        <f t="shared" si="0"/>
        <v>A</v>
      </c>
      <c r="J23" s="5"/>
      <c r="K23" s="5"/>
      <c r="L23" s="5"/>
      <c r="M23" s="5"/>
      <c r="N23" s="5"/>
      <c r="O23" s="5"/>
      <c r="P23" s="54"/>
      <c r="Q23" s="5"/>
      <c r="R23" s="5"/>
      <c r="S23" s="5"/>
      <c r="T23" s="5"/>
      <c r="U23" s="5"/>
    </row>
    <row r="24" spans="1:21" ht="21.75" customHeight="1">
      <c r="A24" s="4">
        <f>IF('01_인적정보'!B24="","",'01_인적정보'!A24)</f>
        <v>19</v>
      </c>
      <c r="B24" s="4" t="str">
        <f>IF('01_인적정보'!B24="","",'01_인적정보'!B24)</f>
        <v>BSS-019</v>
      </c>
      <c r="C24" s="13" t="str">
        <f>IF('01_인적정보'!B24="","",'01_인적정보'!C24)</f>
        <v>OOO</v>
      </c>
      <c r="D24" s="13" t="str">
        <f>IF('01_인적정보'!B24="","",'01_인적정보'!E24)</f>
        <v>BIM컨설팅</v>
      </c>
      <c r="E24" s="40" t="str">
        <f>IF('01_인적정보'!B24="","",'01_인적정보'!H24)</f>
        <v>G3</v>
      </c>
      <c r="F24" s="19" t="str">
        <f>IF(OR('01_인적정보'!B24="",'07a_상반기입력'!I24=""),"",'07a_상반기입력'!I24)</f>
        <v>B</v>
      </c>
      <c r="G24" s="19" t="str">
        <f>IF(OR('01_인적정보'!B24="",'07a_상반기입력'!J24=""),"",'07a_상반기입력'!J24)</f>
        <v>C</v>
      </c>
      <c r="H24" s="52">
        <f>IFERROR(IF(AND(LEN(F24)&gt;0,LEN(G24)&gt;0),'02_의사결정·종합결과'!$B$67*IFERROR(CHOOSE(FIND(F24,"DCBAS"),1,2,3,4,5),0)+'02_의사결정·종합결과'!$B$68*IFERROR(CHOOSE(FIND(G24,"DCBAS"),1,2,3,4,5),0),IF(LEN(F24)&gt;0,IFERROR(CHOOSE(FIND(F24,"DCBAS"),1,2,3,4,5),0),IF(LEN(G24)&gt;0,IFERROR(CHOOSE(FIND(G24,"DCBAS"),1,2,3,4,5),0),""))),"")</f>
        <v>2.5</v>
      </c>
      <c r="I24" s="53" t="str">
        <f t="shared" si="0"/>
        <v>B</v>
      </c>
      <c r="J24" s="5"/>
      <c r="K24" s="5"/>
      <c r="L24" s="5"/>
      <c r="M24" s="5"/>
      <c r="N24" s="5"/>
      <c r="O24" s="5"/>
      <c r="P24" s="54"/>
      <c r="Q24" s="5"/>
      <c r="R24" s="5"/>
      <c r="S24" s="5"/>
      <c r="T24" s="5"/>
      <c r="U24" s="5"/>
    </row>
    <row r="25" spans="1:21" ht="21.75" customHeight="1">
      <c r="A25" s="4">
        <f>IF('01_인적정보'!B25="","",'01_인적정보'!A25)</f>
        <v>20</v>
      </c>
      <c r="B25" s="4" t="str">
        <f>IF('01_인적정보'!B25="","",'01_인적정보'!B25)</f>
        <v>BSS-020</v>
      </c>
      <c r="C25" s="13" t="str">
        <f>IF('01_인적정보'!B25="","",'01_인적정보'!C25)</f>
        <v>OOO</v>
      </c>
      <c r="D25" s="13" t="str">
        <f>IF('01_인적정보'!B25="","",'01_인적정보'!E25)</f>
        <v>기술지원</v>
      </c>
      <c r="E25" s="40" t="str">
        <f>IF('01_인적정보'!B25="","",'01_인적정보'!H25)</f>
        <v>G3</v>
      </c>
      <c r="F25" s="19" t="str">
        <f>IF(OR('01_인적정보'!B25="",'07a_상반기입력'!I25=""),"",'07a_상반기입력'!I25)</f>
        <v>B</v>
      </c>
      <c r="G25" s="19" t="str">
        <f>IF(OR('01_인적정보'!B25="",'07a_상반기입력'!J25=""),"",'07a_상반기입력'!J25)</f>
        <v>B</v>
      </c>
      <c r="H25" s="52">
        <f>IFERROR(IF(AND(LEN(F25)&gt;0,LEN(G25)&gt;0),'02_의사결정·종합결과'!$B$67*IFERROR(CHOOSE(FIND(F25,"DCBAS"),1,2,3,4,5),0)+'02_의사결정·종합결과'!$B$68*IFERROR(CHOOSE(FIND(G25,"DCBAS"),1,2,3,4,5),0),IF(LEN(F25)&gt;0,IFERROR(CHOOSE(FIND(F25,"DCBAS"),1,2,3,4,5),0),IF(LEN(G25)&gt;0,IFERROR(CHOOSE(FIND(G25,"DCBAS"),1,2,3,4,5),0),""))),"")</f>
        <v>3</v>
      </c>
      <c r="I25" s="53" t="str">
        <f t="shared" si="0"/>
        <v>B</v>
      </c>
      <c r="J25" s="5"/>
      <c r="K25" s="5"/>
      <c r="L25" s="5"/>
      <c r="M25" s="5"/>
      <c r="N25" s="5"/>
      <c r="O25" s="5"/>
      <c r="P25" s="54"/>
      <c r="Q25" s="5"/>
      <c r="R25" s="5"/>
      <c r="S25" s="5"/>
      <c r="T25" s="5"/>
      <c r="U25" s="5"/>
    </row>
    <row r="26" spans="1:21" ht="21.75" customHeight="1">
      <c r="A26" s="4">
        <f>IF('01_인적정보'!B26="","",'01_인적정보'!A26)</f>
        <v>21</v>
      </c>
      <c r="B26" s="4" t="str">
        <f>IF('01_인적정보'!B26="","",'01_인적정보'!B26)</f>
        <v>BSS-021</v>
      </c>
      <c r="C26" s="13" t="str">
        <f>IF('01_인적정보'!B26="","",'01_인적정보'!C26)</f>
        <v>OOO</v>
      </c>
      <c r="D26" s="13" t="str">
        <f>IF('01_인적정보'!B26="","",'01_인적정보'!E26)</f>
        <v>BIM컨설팅</v>
      </c>
      <c r="E26" s="40" t="str">
        <f>IF('01_인적정보'!B26="","",'01_인적정보'!H26)</f>
        <v>G2</v>
      </c>
      <c r="F26" s="19" t="str">
        <f>IF(OR('01_인적정보'!B26="",'07a_상반기입력'!I26=""),"",'07a_상반기입력'!I26)</f>
        <v>B</v>
      </c>
      <c r="G26" s="19" t="str">
        <f>IF(OR('01_인적정보'!B26="",'07a_상반기입력'!J26=""),"",'07a_상반기입력'!J26)</f>
        <v>C</v>
      </c>
      <c r="H26" s="52">
        <f>IFERROR(IF(AND(LEN(F26)&gt;0,LEN(G26)&gt;0),'02_의사결정·종합결과'!$B$67*IFERROR(CHOOSE(FIND(F26,"DCBAS"),1,2,3,4,5),0)+'02_의사결정·종합결과'!$B$68*IFERROR(CHOOSE(FIND(G26,"DCBAS"),1,2,3,4,5),0),IF(LEN(F26)&gt;0,IFERROR(CHOOSE(FIND(F26,"DCBAS"),1,2,3,4,5),0),IF(LEN(G26)&gt;0,IFERROR(CHOOSE(FIND(G26,"DCBAS"),1,2,3,4,5),0),""))),"")</f>
        <v>2.5</v>
      </c>
      <c r="I26" s="53" t="str">
        <f t="shared" si="0"/>
        <v>B</v>
      </c>
      <c r="J26" s="5"/>
      <c r="K26" s="5"/>
      <c r="L26" s="5"/>
      <c r="M26" s="5"/>
      <c r="N26" s="5"/>
      <c r="O26" s="5"/>
      <c r="P26" s="54"/>
      <c r="Q26" s="5"/>
      <c r="R26" s="5"/>
      <c r="S26" s="5"/>
      <c r="T26" s="5"/>
      <c r="U26" s="5"/>
    </row>
    <row r="27" spans="1:21" ht="21.75" customHeight="1">
      <c r="A27" s="4">
        <f>IF('01_인적정보'!B27="","",'01_인적정보'!A27)</f>
        <v>22</v>
      </c>
      <c r="B27" s="4" t="str">
        <f>IF('01_인적정보'!B27="","",'01_인적정보'!B27)</f>
        <v>BSS-022</v>
      </c>
      <c r="C27" s="13" t="str">
        <f>IF('01_인적정보'!B27="","",'01_인적정보'!C27)</f>
        <v>OOO</v>
      </c>
      <c r="D27" s="13" t="str">
        <f>IF('01_인적정보'!B27="","",'01_인적정보'!E27)</f>
        <v>BIM컨설팅</v>
      </c>
      <c r="E27" s="40" t="str">
        <f>IF('01_인적정보'!B27="","",'01_인적정보'!H27)</f>
        <v>G2</v>
      </c>
      <c r="F27" s="19" t="str">
        <f>IF(OR('01_인적정보'!B27="",'07a_상반기입력'!I27=""),"",'07a_상반기입력'!I27)</f>
        <v>B</v>
      </c>
      <c r="G27" s="19" t="str">
        <f>IF(OR('01_인적정보'!B27="",'07a_상반기입력'!J27=""),"",'07a_상반기입력'!J27)</f>
        <v>A</v>
      </c>
      <c r="H27" s="52">
        <f>IFERROR(IF(AND(LEN(F27)&gt;0,LEN(G27)&gt;0),'02_의사결정·종합결과'!$B$67*IFERROR(CHOOSE(FIND(F27,"DCBAS"),1,2,3,4,5),0)+'02_의사결정·종합결과'!$B$68*IFERROR(CHOOSE(FIND(G27,"DCBAS"),1,2,3,4,5),0),IF(LEN(F27)&gt;0,IFERROR(CHOOSE(FIND(F27,"DCBAS"),1,2,3,4,5),0),IF(LEN(G27)&gt;0,IFERROR(CHOOSE(FIND(G27,"DCBAS"),1,2,3,4,5),0),""))),"")</f>
        <v>3.5</v>
      </c>
      <c r="I27" s="53" t="str">
        <f t="shared" si="0"/>
        <v>A</v>
      </c>
      <c r="J27" s="5"/>
      <c r="K27" s="5"/>
      <c r="L27" s="5"/>
      <c r="M27" s="5"/>
      <c r="N27" s="5"/>
      <c r="O27" s="5"/>
      <c r="P27" s="54"/>
      <c r="Q27" s="5"/>
      <c r="R27" s="5"/>
      <c r="S27" s="5"/>
      <c r="T27" s="5"/>
      <c r="U27" s="5"/>
    </row>
    <row r="28" spans="1:21" ht="21.75" customHeight="1">
      <c r="A28" s="4">
        <f>IF('01_인적정보'!B28="","",'01_인적정보'!A28)</f>
        <v>23</v>
      </c>
      <c r="B28" s="4" t="str">
        <f>IF('01_인적정보'!B28="","",'01_인적정보'!B28)</f>
        <v>BSS-023</v>
      </c>
      <c r="C28" s="13" t="str">
        <f>IF('01_인적정보'!B28="","",'01_인적정보'!C28)</f>
        <v>OOO</v>
      </c>
      <c r="D28" s="13" t="str">
        <f>IF('01_인적정보'!B28="","",'01_인적정보'!E28)</f>
        <v>BIM컨설팅</v>
      </c>
      <c r="E28" s="40" t="str">
        <f>IF('01_인적정보'!B28="","",'01_인적정보'!H28)</f>
        <v>G2</v>
      </c>
      <c r="F28" s="19" t="str">
        <f>IF(OR('01_인적정보'!B28="",'07a_상반기입력'!I28=""),"",'07a_상반기입력'!I28)</f>
        <v>A</v>
      </c>
      <c r="G28" s="19" t="str">
        <f>IF(OR('01_인적정보'!B28="",'07a_상반기입력'!J28=""),"",'07a_상반기입력'!J28)</f>
        <v>A</v>
      </c>
      <c r="H28" s="52">
        <f>IFERROR(IF(AND(LEN(F28)&gt;0,LEN(G28)&gt;0),'02_의사결정·종합결과'!$B$67*IFERROR(CHOOSE(FIND(F28,"DCBAS"),1,2,3,4,5),0)+'02_의사결정·종합결과'!$B$68*IFERROR(CHOOSE(FIND(G28,"DCBAS"),1,2,3,4,5),0),IF(LEN(F28)&gt;0,IFERROR(CHOOSE(FIND(F28,"DCBAS"),1,2,3,4,5),0),IF(LEN(G28)&gt;0,IFERROR(CHOOSE(FIND(G28,"DCBAS"),1,2,3,4,5),0),""))),"")</f>
        <v>4</v>
      </c>
      <c r="I28" s="53" t="str">
        <f t="shared" si="0"/>
        <v>A</v>
      </c>
      <c r="J28" s="5"/>
      <c r="K28" s="5"/>
      <c r="L28" s="5"/>
      <c r="M28" s="5"/>
      <c r="N28" s="5"/>
      <c r="O28" s="5"/>
      <c r="P28" s="54"/>
      <c r="Q28" s="5"/>
      <c r="R28" s="5"/>
      <c r="S28" s="5"/>
      <c r="T28" s="5"/>
      <c r="U28" s="5"/>
    </row>
    <row r="29" spans="1:21" ht="21.75" customHeight="1">
      <c r="A29" s="4">
        <f>IF('01_인적정보'!B29="","",'01_인적정보'!A29)</f>
        <v>24</v>
      </c>
      <c r="B29" s="4" t="str">
        <f>IF('01_인적정보'!B29="","",'01_인적정보'!B29)</f>
        <v>BSS-024</v>
      </c>
      <c r="C29" s="13" t="str">
        <f>IF('01_인적정보'!B29="","",'01_인적정보'!C29)</f>
        <v>OOO</v>
      </c>
      <c r="D29" s="13" t="str">
        <f>IF('01_인적정보'!B29="","",'01_인적정보'!E29)</f>
        <v>BIM컨설팅</v>
      </c>
      <c r="E29" s="40" t="str">
        <f>IF('01_인적정보'!B29="","",'01_인적정보'!H29)</f>
        <v>G2</v>
      </c>
      <c r="F29" s="19" t="str">
        <f>IF(OR('01_인적정보'!B29="",'07a_상반기입력'!I29=""),"",'07a_상반기입력'!I29)</f>
        <v>A</v>
      </c>
      <c r="G29" s="19" t="str">
        <f>IF(OR('01_인적정보'!B29="",'07a_상반기입력'!J29=""),"",'07a_상반기입력'!J29)</f>
        <v>S</v>
      </c>
      <c r="H29" s="52">
        <f>IFERROR(IF(AND(LEN(F29)&gt;0,LEN(G29)&gt;0),'02_의사결정·종합결과'!$B$67*IFERROR(CHOOSE(FIND(F29,"DCBAS"),1,2,3,4,5),0)+'02_의사결정·종합결과'!$B$68*IFERROR(CHOOSE(FIND(G29,"DCBAS"),1,2,3,4,5),0),IF(LEN(F29)&gt;0,IFERROR(CHOOSE(FIND(F29,"DCBAS"),1,2,3,4,5),0),IF(LEN(G29)&gt;0,IFERROR(CHOOSE(FIND(G29,"DCBAS"),1,2,3,4,5),0),""))),"")</f>
        <v>4.5</v>
      </c>
      <c r="I29" s="53" t="str">
        <f t="shared" si="0"/>
        <v>S</v>
      </c>
      <c r="J29" s="5"/>
      <c r="K29" s="5"/>
      <c r="L29" s="5"/>
      <c r="M29" s="5"/>
      <c r="N29" s="5"/>
      <c r="O29" s="5"/>
      <c r="P29" s="54"/>
      <c r="Q29" s="5"/>
      <c r="R29" s="5"/>
      <c r="S29" s="5"/>
      <c r="T29" s="5"/>
      <c r="U29" s="5"/>
    </row>
    <row r="30" spans="1:21" ht="21.75" customHeight="1">
      <c r="A30" s="4">
        <f>IF('01_인적정보'!B30="","",'01_인적정보'!A30)</f>
        <v>25</v>
      </c>
      <c r="B30" s="4" t="str">
        <f>IF('01_인적정보'!B30="","",'01_인적정보'!B30)</f>
        <v>BSS-025</v>
      </c>
      <c r="C30" s="13" t="str">
        <f>IF('01_인적정보'!B30="","",'01_인적정보'!C30)</f>
        <v>OOO</v>
      </c>
      <c r="D30" s="13" t="str">
        <f>IF('01_인적정보'!B30="","",'01_인적정보'!E30)</f>
        <v>연구개발(R&amp;D)</v>
      </c>
      <c r="E30" s="40" t="str">
        <f>IF('01_인적정보'!B30="","",'01_인적정보'!H30)</f>
        <v>G2</v>
      </c>
      <c r="F30" s="19" t="str">
        <f>IF(OR('01_인적정보'!B30="",'07a_상반기입력'!I30=""),"",'07a_상반기입력'!I30)</f>
        <v>C</v>
      </c>
      <c r="G30" s="19" t="str">
        <f>IF(OR('01_인적정보'!B30="",'07a_상반기입력'!J30=""),"",'07a_상반기입력'!J30)</f>
        <v>C</v>
      </c>
      <c r="H30" s="52">
        <f>IFERROR(IF(AND(LEN(F30)&gt;0,LEN(G30)&gt;0),'02_의사결정·종합결과'!$B$67*IFERROR(CHOOSE(FIND(F30,"DCBAS"),1,2,3,4,5),0)+'02_의사결정·종합결과'!$B$68*IFERROR(CHOOSE(FIND(G30,"DCBAS"),1,2,3,4,5),0),IF(LEN(F30)&gt;0,IFERROR(CHOOSE(FIND(F30,"DCBAS"),1,2,3,4,5),0),IF(LEN(G30)&gt;0,IFERROR(CHOOSE(FIND(G30,"DCBAS"),1,2,3,4,5),0),""))),"")</f>
        <v>2</v>
      </c>
      <c r="I30" s="53" t="str">
        <f t="shared" si="0"/>
        <v>C</v>
      </c>
      <c r="J30" s="5"/>
      <c r="K30" s="5"/>
      <c r="L30" s="5"/>
      <c r="M30" s="5"/>
      <c r="N30" s="5"/>
      <c r="O30" s="5"/>
      <c r="P30" s="54"/>
      <c r="Q30" s="5"/>
      <c r="R30" s="5"/>
      <c r="S30" s="5"/>
      <c r="T30" s="5"/>
      <c r="U30" s="5"/>
    </row>
    <row r="31" spans="1:21" ht="21.75" customHeight="1">
      <c r="A31" s="4">
        <f>IF('01_인적정보'!B31="","",'01_인적정보'!A31)</f>
        <v>26</v>
      </c>
      <c r="B31" s="4" t="str">
        <f>IF('01_인적정보'!B31="","",'01_인적정보'!B31)</f>
        <v>BSS-026</v>
      </c>
      <c r="C31" s="13" t="str">
        <f>IF('01_인적정보'!B31="","",'01_인적정보'!C31)</f>
        <v>OOO</v>
      </c>
      <c r="D31" s="13" t="str">
        <f>IF('01_인적정보'!B31="","",'01_인적정보'!E31)</f>
        <v>경영전략기획</v>
      </c>
      <c r="E31" s="40" t="str">
        <f>IF('01_인적정보'!B31="","",'01_인적정보'!H31)</f>
        <v>G1</v>
      </c>
      <c r="F31" s="19" t="str">
        <f>IF(OR('01_인적정보'!B31="",'07a_상반기입력'!I31=""),"",'07a_상반기입력'!I31)</f>
        <v>A</v>
      </c>
      <c r="G31" s="19" t="str">
        <f>IF(OR('01_인적정보'!B31="",'07a_상반기입력'!J31=""),"",'07a_상반기입력'!J31)</f>
        <v>A</v>
      </c>
      <c r="H31" s="52">
        <f>IFERROR(IF(AND(LEN(F31)&gt;0,LEN(G31)&gt;0),'02_의사결정·종합결과'!$B$67*IFERROR(CHOOSE(FIND(F31,"DCBAS"),1,2,3,4,5),0)+'02_의사결정·종합결과'!$B$68*IFERROR(CHOOSE(FIND(G31,"DCBAS"),1,2,3,4,5),0),IF(LEN(F31)&gt;0,IFERROR(CHOOSE(FIND(F31,"DCBAS"),1,2,3,4,5),0),IF(LEN(G31)&gt;0,IFERROR(CHOOSE(FIND(G31,"DCBAS"),1,2,3,4,5),0),""))),"")</f>
        <v>4</v>
      </c>
      <c r="I31" s="53" t="str">
        <f t="shared" si="0"/>
        <v>A</v>
      </c>
      <c r="J31" s="5"/>
      <c r="K31" s="5"/>
      <c r="L31" s="5"/>
      <c r="M31" s="5"/>
      <c r="N31" s="5"/>
      <c r="O31" s="5"/>
      <c r="P31" s="54"/>
      <c r="Q31" s="5"/>
      <c r="R31" s="5"/>
      <c r="S31" s="5"/>
      <c r="T31" s="5"/>
      <c r="U31" s="5"/>
    </row>
    <row r="32" spans="1:21" ht="21.75" customHeight="1">
      <c r="A32" s="4">
        <f>IF('01_인적정보'!B32="","",'01_인적정보'!A32)</f>
        <v>27</v>
      </c>
      <c r="B32" s="4" t="str">
        <f>IF('01_인적정보'!B32="","",'01_인적정보'!B32)</f>
        <v>BSS-027</v>
      </c>
      <c r="C32" s="13" t="str">
        <f>IF('01_인적정보'!B32="","",'01_인적정보'!C32)</f>
        <v>OOO</v>
      </c>
      <c r="D32" s="13" t="str">
        <f>IF('01_인적정보'!B32="","",'01_인적정보'!E32)</f>
        <v>교육</v>
      </c>
      <c r="E32" s="40" t="str">
        <f>IF('01_인적정보'!B32="","",'01_인적정보'!H32)</f>
        <v>G2</v>
      </c>
      <c r="F32" s="19" t="str">
        <f>IF(OR('01_인적정보'!B32="",'07a_상반기입력'!I32=""),"",'07a_상반기입력'!I32)</f>
        <v>A</v>
      </c>
      <c r="G32" s="19" t="str">
        <f>IF(OR('01_인적정보'!B32="",'07a_상반기입력'!J32=""),"",'07a_상반기입력'!J32)</f>
        <v>A</v>
      </c>
      <c r="H32" s="52">
        <f>IFERROR(IF(AND(LEN(F32)&gt;0,LEN(G32)&gt;0),'02_의사결정·종합결과'!$B$67*IFERROR(CHOOSE(FIND(F32,"DCBAS"),1,2,3,4,5),0)+'02_의사결정·종합결과'!$B$68*IFERROR(CHOOSE(FIND(G32,"DCBAS"),1,2,3,4,5),0),IF(LEN(F32)&gt;0,IFERROR(CHOOSE(FIND(F32,"DCBAS"),1,2,3,4,5),0),IF(LEN(G32)&gt;0,IFERROR(CHOOSE(FIND(G32,"DCBAS"),1,2,3,4,5),0),""))),"")</f>
        <v>4</v>
      </c>
      <c r="I32" s="53" t="str">
        <f t="shared" si="0"/>
        <v>A</v>
      </c>
      <c r="J32" s="5"/>
      <c r="K32" s="5"/>
      <c r="L32" s="5"/>
      <c r="M32" s="5"/>
      <c r="N32" s="5"/>
      <c r="O32" s="5"/>
      <c r="P32" s="54"/>
      <c r="Q32" s="5"/>
      <c r="R32" s="5"/>
      <c r="S32" s="5"/>
      <c r="T32" s="5"/>
      <c r="U32" s="5"/>
    </row>
    <row r="33" spans="1:21" ht="21.75" customHeight="1">
      <c r="A33" s="4">
        <f>IF('01_인적정보'!B33="","",'01_인적정보'!A33)</f>
        <v>28</v>
      </c>
      <c r="B33" s="4" t="str">
        <f>IF('01_인적정보'!B33="","",'01_인적정보'!B33)</f>
        <v>BSS-028</v>
      </c>
      <c r="C33" s="13" t="str">
        <f>IF('01_인적정보'!B33="","",'01_인적정보'!C33)</f>
        <v>OOO</v>
      </c>
      <c r="D33" s="13" t="str">
        <f>IF('01_인적정보'!B33="","",'01_인적정보'!E33)</f>
        <v>BIM컨설팅</v>
      </c>
      <c r="E33" s="40" t="str">
        <f>IF('01_인적정보'!B33="","",'01_인적정보'!H33)</f>
        <v>G1</v>
      </c>
      <c r="F33" s="19" t="str">
        <f>IF(OR('01_인적정보'!B33="",'07a_상반기입력'!I33=""),"",'07a_상반기입력'!I33)</f>
        <v>A</v>
      </c>
      <c r="G33" s="19" t="str">
        <f>IF(OR('01_인적정보'!B33="",'07a_상반기입력'!J33=""),"",'07a_상반기입력'!J33)</f>
        <v>A</v>
      </c>
      <c r="H33" s="52">
        <f>IFERROR(IF(AND(LEN(F33)&gt;0,LEN(G33)&gt;0),'02_의사결정·종합결과'!$B$67*IFERROR(CHOOSE(FIND(F33,"DCBAS"),1,2,3,4,5),0)+'02_의사결정·종합결과'!$B$68*IFERROR(CHOOSE(FIND(G33,"DCBAS"),1,2,3,4,5),0),IF(LEN(F33)&gt;0,IFERROR(CHOOSE(FIND(F33,"DCBAS"),1,2,3,4,5),0),IF(LEN(G33)&gt;0,IFERROR(CHOOSE(FIND(G33,"DCBAS"),1,2,3,4,5),0),""))),"")</f>
        <v>4</v>
      </c>
      <c r="I33" s="53" t="str">
        <f t="shared" si="0"/>
        <v>A</v>
      </c>
      <c r="J33" s="5"/>
      <c r="K33" s="5"/>
      <c r="L33" s="5"/>
      <c r="M33" s="5"/>
      <c r="N33" s="5"/>
      <c r="O33" s="5"/>
      <c r="P33" s="54"/>
      <c r="Q33" s="5"/>
      <c r="R33" s="5"/>
      <c r="S33" s="5"/>
      <c r="T33" s="5"/>
      <c r="U33" s="5"/>
    </row>
    <row r="34" spans="1:21" ht="21.75" customHeight="1">
      <c r="A34" s="4">
        <f>IF('01_인적정보'!B34="","",'01_인적정보'!A34)</f>
        <v>29</v>
      </c>
      <c r="B34" s="4" t="str">
        <f>IF('01_인적정보'!B34="","",'01_인적정보'!B34)</f>
        <v>BSS-029</v>
      </c>
      <c r="C34" s="13" t="str">
        <f>IF('01_인적정보'!B34="","",'01_인적정보'!C34)</f>
        <v>OOO</v>
      </c>
      <c r="D34" s="13" t="str">
        <f>IF('01_인적정보'!B34="","",'01_인적정보'!E34)</f>
        <v>BIM컨설팅</v>
      </c>
      <c r="E34" s="40" t="str">
        <f>IF('01_인적정보'!B34="","",'01_인적정보'!H34)</f>
        <v>G1</v>
      </c>
      <c r="F34" s="19" t="str">
        <f>IF(OR('01_인적정보'!B34="",'07a_상반기입력'!I34=""),"",'07a_상반기입력'!I34)</f>
        <v>B</v>
      </c>
      <c r="G34" s="19" t="str">
        <f>IF(OR('01_인적정보'!B34="",'07a_상반기입력'!J34=""),"",'07a_상반기입력'!J34)</f>
        <v>B</v>
      </c>
      <c r="H34" s="52">
        <f>IFERROR(IF(AND(LEN(F34)&gt;0,LEN(G34)&gt;0),'02_의사결정·종합결과'!$B$67*IFERROR(CHOOSE(FIND(F34,"DCBAS"),1,2,3,4,5),0)+'02_의사결정·종합결과'!$B$68*IFERROR(CHOOSE(FIND(G34,"DCBAS"),1,2,3,4,5),0),IF(LEN(F34)&gt;0,IFERROR(CHOOSE(FIND(F34,"DCBAS"),1,2,3,4,5),0),IF(LEN(G34)&gt;0,IFERROR(CHOOSE(FIND(G34,"DCBAS"),1,2,3,4,5),0),""))),"")</f>
        <v>3</v>
      </c>
      <c r="I34" s="53" t="str">
        <f t="shared" si="0"/>
        <v>B</v>
      </c>
      <c r="J34" s="5"/>
      <c r="K34" s="5"/>
      <c r="L34" s="5"/>
      <c r="M34" s="5"/>
      <c r="N34" s="5"/>
      <c r="O34" s="5"/>
      <c r="P34" s="54"/>
      <c r="Q34" s="5"/>
      <c r="R34" s="5"/>
      <c r="S34" s="5"/>
      <c r="T34" s="5"/>
      <c r="U34" s="5"/>
    </row>
    <row r="35" spans="1:21" ht="21.75" customHeight="1">
      <c r="A35" s="4">
        <f>IF('01_인적정보'!B35="","",'01_인적정보'!A35)</f>
        <v>30</v>
      </c>
      <c r="B35" s="4" t="str">
        <f>IF('01_인적정보'!B35="","",'01_인적정보'!B35)</f>
        <v>BSS-030</v>
      </c>
      <c r="C35" s="13" t="str">
        <f>IF('01_인적정보'!B35="","",'01_인적정보'!C35)</f>
        <v>OOO</v>
      </c>
      <c r="D35" s="13" t="str">
        <f>IF('01_인적정보'!B35="","",'01_인적정보'!E35)</f>
        <v>BIM컨설팅</v>
      </c>
      <c r="E35" s="40" t="str">
        <f>IF('01_인적정보'!B35="","",'01_인적정보'!H35)</f>
        <v>G1</v>
      </c>
      <c r="F35" s="19" t="str">
        <f>IF(OR('01_인적정보'!B35="",'07a_상반기입력'!I35=""),"",'07a_상반기입력'!I35)</f>
        <v>B</v>
      </c>
      <c r="G35" s="19" t="str">
        <f>IF(OR('01_인적정보'!B35="",'07a_상반기입력'!J35=""),"",'07a_상반기입력'!J35)</f>
        <v>B</v>
      </c>
      <c r="H35" s="52">
        <f>IFERROR(IF(AND(LEN(F35)&gt;0,LEN(G35)&gt;0),'02_의사결정·종합결과'!$B$67*IFERROR(CHOOSE(FIND(F35,"DCBAS"),1,2,3,4,5),0)+'02_의사결정·종합결과'!$B$68*IFERROR(CHOOSE(FIND(G35,"DCBAS"),1,2,3,4,5),0),IF(LEN(F35)&gt;0,IFERROR(CHOOSE(FIND(F35,"DCBAS"),1,2,3,4,5),0),IF(LEN(G35)&gt;0,IFERROR(CHOOSE(FIND(G35,"DCBAS"),1,2,3,4,5),0),""))),"")</f>
        <v>3</v>
      </c>
      <c r="I35" s="53" t="str">
        <f t="shared" si="0"/>
        <v>B</v>
      </c>
      <c r="J35" s="5"/>
      <c r="K35" s="5"/>
      <c r="L35" s="5"/>
      <c r="M35" s="5"/>
      <c r="N35" s="5"/>
      <c r="O35" s="5"/>
      <c r="P35" s="54"/>
      <c r="Q35" s="5"/>
      <c r="R35" s="5"/>
      <c r="S35" s="5"/>
      <c r="T35" s="5"/>
      <c r="U35" s="5"/>
    </row>
    <row r="36" spans="1:21" ht="21.75" customHeight="1">
      <c r="A36" s="4">
        <f>IF('01_인적정보'!B36="","",'01_인적정보'!A36)</f>
        <v>31</v>
      </c>
      <c r="B36" s="4" t="str">
        <f>IF('01_인적정보'!B36="","",'01_인적정보'!B36)</f>
        <v>BSS-031</v>
      </c>
      <c r="C36" s="13" t="str">
        <f>IF('01_인적정보'!B36="","",'01_인적정보'!C36)</f>
        <v>OOO</v>
      </c>
      <c r="D36" s="13" t="str">
        <f>IF('01_인적정보'!B36="","",'01_인적정보'!E36)</f>
        <v>BIM컨설팅</v>
      </c>
      <c r="E36" s="40" t="str">
        <f>IF('01_인적정보'!B36="","",'01_인적정보'!H36)</f>
        <v>G1</v>
      </c>
      <c r="F36" s="19" t="str">
        <f>IF(OR('01_인적정보'!B36="",'07a_상반기입력'!I36=""),"",'07a_상반기입력'!I36)</f>
        <v>A</v>
      </c>
      <c r="G36" s="19" t="str">
        <f>IF(OR('01_인적정보'!B36="",'07a_상반기입력'!J36=""),"",'07a_상반기입력'!J36)</f>
        <v>A</v>
      </c>
      <c r="H36" s="52">
        <f>IFERROR(IF(AND(LEN(F36)&gt;0,LEN(G36)&gt;0),'02_의사결정·종합결과'!$B$67*IFERROR(CHOOSE(FIND(F36,"DCBAS"),1,2,3,4,5),0)+'02_의사결정·종합결과'!$B$68*IFERROR(CHOOSE(FIND(G36,"DCBAS"),1,2,3,4,5),0),IF(LEN(F36)&gt;0,IFERROR(CHOOSE(FIND(F36,"DCBAS"),1,2,3,4,5),0),IF(LEN(G36)&gt;0,IFERROR(CHOOSE(FIND(G36,"DCBAS"),1,2,3,4,5),0),""))),"")</f>
        <v>4</v>
      </c>
      <c r="I36" s="53" t="str">
        <f t="shared" si="0"/>
        <v>A</v>
      </c>
      <c r="J36" s="5"/>
      <c r="K36" s="5"/>
      <c r="L36" s="5"/>
      <c r="M36" s="5"/>
      <c r="N36" s="5"/>
      <c r="O36" s="5"/>
      <c r="P36" s="54"/>
      <c r="Q36" s="5"/>
      <c r="R36" s="5"/>
      <c r="S36" s="5"/>
      <c r="T36" s="5"/>
      <c r="U36" s="5"/>
    </row>
    <row r="37" spans="1:21" ht="21.75" customHeight="1">
      <c r="A37" s="4">
        <f>IF('01_인적정보'!B37="","",'01_인적정보'!A37)</f>
        <v>32</v>
      </c>
      <c r="B37" s="4" t="str">
        <f>IF('01_인적정보'!B37="","",'01_인적정보'!B37)</f>
        <v>BSS-032</v>
      </c>
      <c r="C37" s="13" t="str">
        <f>IF('01_인적정보'!B37="","",'01_인적정보'!C37)</f>
        <v>OOO</v>
      </c>
      <c r="D37" s="13" t="str">
        <f>IF('01_인적정보'!B37="","",'01_인적정보'!E37)</f>
        <v>BIM컨설팅</v>
      </c>
      <c r="E37" s="40" t="str">
        <f>IF('01_인적정보'!B37="","",'01_인적정보'!H37)</f>
        <v>G1</v>
      </c>
      <c r="F37" s="19" t="str">
        <f>IF(OR('01_인적정보'!B37="",'07a_상반기입력'!I37=""),"",'07a_상반기입력'!I37)</f>
        <v>B</v>
      </c>
      <c r="G37" s="19" t="str">
        <f>IF(OR('01_인적정보'!B37="",'07a_상반기입력'!J37=""),"",'07a_상반기입력'!J37)</f>
        <v>A</v>
      </c>
      <c r="H37" s="52">
        <f>IFERROR(IF(AND(LEN(F37)&gt;0,LEN(G37)&gt;0),'02_의사결정·종합결과'!$B$67*IFERROR(CHOOSE(FIND(F37,"DCBAS"),1,2,3,4,5),0)+'02_의사결정·종합결과'!$B$68*IFERROR(CHOOSE(FIND(G37,"DCBAS"),1,2,3,4,5),0),IF(LEN(F37)&gt;0,IFERROR(CHOOSE(FIND(F37,"DCBAS"),1,2,3,4,5),0),IF(LEN(G37)&gt;0,IFERROR(CHOOSE(FIND(G37,"DCBAS"),1,2,3,4,5),0),""))),"")</f>
        <v>3.5</v>
      </c>
      <c r="I37" s="53" t="str">
        <f t="shared" si="0"/>
        <v>A</v>
      </c>
      <c r="J37" s="5"/>
      <c r="K37" s="5"/>
      <c r="L37" s="5"/>
      <c r="M37" s="5"/>
      <c r="N37" s="5"/>
      <c r="O37" s="5"/>
      <c r="P37" s="54"/>
      <c r="Q37" s="5"/>
      <c r="R37" s="5"/>
      <c r="S37" s="5"/>
      <c r="T37" s="5"/>
      <c r="U37" s="5"/>
    </row>
    <row r="38" spans="1:21" ht="21.75" customHeight="1">
      <c r="A38" s="4">
        <f>IF('01_인적정보'!B38="","",'01_인적정보'!A38)</f>
        <v>33</v>
      </c>
      <c r="B38" s="4" t="str">
        <f>IF('01_인적정보'!B38="","",'01_인적정보'!B38)</f>
        <v>BSS-033</v>
      </c>
      <c r="C38" s="13" t="str">
        <f>IF('01_인적정보'!B38="","",'01_인적정보'!C38)</f>
        <v>OOO</v>
      </c>
      <c r="D38" s="13" t="str">
        <f>IF('01_인적정보'!B38="","",'01_인적정보'!E38)</f>
        <v>BIM컨설팅</v>
      </c>
      <c r="E38" s="40" t="str">
        <f>IF('01_인적정보'!B38="","",'01_인적정보'!H38)</f>
        <v>G1</v>
      </c>
      <c r="F38" s="19" t="str">
        <f>IF(OR('01_인적정보'!B38="",'07a_상반기입력'!I38=""),"",'07a_상반기입력'!I38)</f>
        <v>B</v>
      </c>
      <c r="G38" s="19" t="str">
        <f>IF(OR('01_인적정보'!B38="",'07a_상반기입력'!J38=""),"",'07a_상반기입력'!J38)</f>
        <v>B</v>
      </c>
      <c r="H38" s="52">
        <f>IFERROR(IF(AND(LEN(F38)&gt;0,LEN(G38)&gt;0),'02_의사결정·종합결과'!$B$67*IFERROR(CHOOSE(FIND(F38,"DCBAS"),1,2,3,4,5),0)+'02_의사결정·종합결과'!$B$68*IFERROR(CHOOSE(FIND(G38,"DCBAS"),1,2,3,4,5),0),IF(LEN(F38)&gt;0,IFERROR(CHOOSE(FIND(F38,"DCBAS"),1,2,3,4,5),0),IF(LEN(G38)&gt;0,IFERROR(CHOOSE(FIND(G38,"DCBAS"),1,2,3,4,5),0),""))),"")</f>
        <v>3</v>
      </c>
      <c r="I38" s="53" t="str">
        <f t="shared" ref="I38:I55" si="1">IF(OR(H38="",NOT(ISNUMBER(H38)),H38&lt;0.5),"",IF(H38&gt;=4.5,"S",IF(H38&gt;=3.5,"A",IF(H38&gt;=2.5,"B",IF(H38&gt;=1.5,"C","D")))))</f>
        <v>B</v>
      </c>
      <c r="J38" s="5"/>
      <c r="K38" s="5"/>
      <c r="L38" s="5"/>
      <c r="M38" s="5"/>
      <c r="N38" s="5"/>
      <c r="O38" s="5"/>
      <c r="P38" s="54"/>
      <c r="Q38" s="5"/>
      <c r="R38" s="5"/>
      <c r="S38" s="5"/>
      <c r="T38" s="5"/>
      <c r="U38" s="5"/>
    </row>
    <row r="39" spans="1:21" ht="21.75" customHeight="1">
      <c r="A39" s="4">
        <f>IF('01_인적정보'!B39="","",'01_인적정보'!A39)</f>
        <v>34</v>
      </c>
      <c r="B39" s="4" t="str">
        <f>IF('01_인적정보'!B39="","",'01_인적정보'!B39)</f>
        <v>BSS-034</v>
      </c>
      <c r="C39" s="13" t="str">
        <f>IF('01_인적정보'!B39="","",'01_인적정보'!C39)</f>
        <v>OOO</v>
      </c>
      <c r="D39" s="13" t="str">
        <f>IF('01_인적정보'!B39="","",'01_인적정보'!E39)</f>
        <v>BIM컨설팅</v>
      </c>
      <c r="E39" s="40" t="str">
        <f>IF('01_인적정보'!B39="","",'01_인적정보'!H39)</f>
        <v>G1</v>
      </c>
      <c r="F39" s="19" t="str">
        <f>IF(OR('01_인적정보'!B39="",'07a_상반기입력'!I39=""),"",'07a_상반기입력'!I39)</f>
        <v>S</v>
      </c>
      <c r="G39" s="19" t="str">
        <f>IF(OR('01_인적정보'!B39="",'07a_상반기입력'!J39=""),"",'07a_상반기입력'!J39)</f>
        <v>A</v>
      </c>
      <c r="H39" s="52">
        <f>IFERROR(IF(AND(LEN(F39)&gt;0,LEN(G39)&gt;0),'02_의사결정·종합결과'!$B$67*IFERROR(CHOOSE(FIND(F39,"DCBAS"),1,2,3,4,5),0)+'02_의사결정·종합결과'!$B$68*IFERROR(CHOOSE(FIND(G39,"DCBAS"),1,2,3,4,5),0),IF(LEN(F39)&gt;0,IFERROR(CHOOSE(FIND(F39,"DCBAS"),1,2,3,4,5),0),IF(LEN(G39)&gt;0,IFERROR(CHOOSE(FIND(G39,"DCBAS"),1,2,3,4,5),0),""))),"")</f>
        <v>4.5</v>
      </c>
      <c r="I39" s="53" t="str">
        <f t="shared" si="1"/>
        <v>S</v>
      </c>
      <c r="J39" s="5"/>
      <c r="K39" s="5"/>
      <c r="L39" s="5"/>
      <c r="M39" s="5"/>
      <c r="N39" s="5"/>
      <c r="O39" s="5"/>
      <c r="P39" s="54"/>
      <c r="Q39" s="5"/>
      <c r="R39" s="5"/>
      <c r="S39" s="5"/>
      <c r="T39" s="5"/>
      <c r="U39" s="5"/>
    </row>
    <row r="40" spans="1:21" ht="21.75" customHeight="1">
      <c r="A40" s="4" t="str">
        <f>IF('01_인적정보'!B40="","",'01_인적정보'!A40)</f>
        <v/>
      </c>
      <c r="B40" s="4" t="str">
        <f>IF('01_인적정보'!B40="","",'01_인적정보'!B40)</f>
        <v/>
      </c>
      <c r="C40" s="13" t="str">
        <f>IF('01_인적정보'!B40="","",'01_인적정보'!C40)</f>
        <v/>
      </c>
      <c r="D40" s="13" t="str">
        <f>IF('01_인적정보'!B40="","",'01_인적정보'!E40)</f>
        <v/>
      </c>
      <c r="E40" s="40" t="str">
        <f>IF('01_인적정보'!B40="","",'01_인적정보'!H40)</f>
        <v/>
      </c>
      <c r="F40" s="19" t="str">
        <f>IF(OR('01_인적정보'!B40="",'07a_상반기입력'!I40=""),"",'07a_상반기입력'!I40)</f>
        <v/>
      </c>
      <c r="G40" s="19" t="str">
        <f>IF(OR('01_인적정보'!B40="",'07a_상반기입력'!J40=""),"",'07a_상반기입력'!J40)</f>
        <v/>
      </c>
      <c r="H40" s="52" t="str">
        <f>IFERROR(IF(AND(LEN(F40)&gt;0,LEN(G40)&gt;0),'02_의사결정·종합결과'!$B$67*IFERROR(CHOOSE(FIND(F40,"DCBAS"),1,2,3,4,5),0)+'02_의사결정·종합결과'!$B$68*IFERROR(CHOOSE(FIND(G40,"DCBAS"),1,2,3,4,5),0),IF(LEN(F40)&gt;0,IFERROR(CHOOSE(FIND(F40,"DCBAS"),1,2,3,4,5),0),IF(LEN(G40)&gt;0,IFERROR(CHOOSE(FIND(G40,"DCBAS"),1,2,3,4,5),0),""))),"")</f>
        <v/>
      </c>
      <c r="I40" s="53" t="str">
        <f t="shared" si="1"/>
        <v/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21.75" customHeight="1">
      <c r="A41" s="4" t="str">
        <f>IF('01_인적정보'!B41="","",'01_인적정보'!A41)</f>
        <v/>
      </c>
      <c r="B41" s="4" t="str">
        <f>IF('01_인적정보'!B41="","",'01_인적정보'!B41)</f>
        <v/>
      </c>
      <c r="C41" s="13" t="str">
        <f>IF('01_인적정보'!B41="","",'01_인적정보'!C41)</f>
        <v/>
      </c>
      <c r="D41" s="13" t="str">
        <f>IF('01_인적정보'!B41="","",'01_인적정보'!E41)</f>
        <v/>
      </c>
      <c r="E41" s="40" t="str">
        <f>IF('01_인적정보'!B41="","",'01_인적정보'!H41)</f>
        <v/>
      </c>
      <c r="F41" s="19" t="str">
        <f>IF(OR('01_인적정보'!B41="",'07a_상반기입력'!I41=""),"",'07a_상반기입력'!I41)</f>
        <v/>
      </c>
      <c r="G41" s="19" t="str">
        <f>IF(OR('01_인적정보'!B41="",'07a_상반기입력'!J41=""),"",'07a_상반기입력'!J41)</f>
        <v/>
      </c>
      <c r="H41" s="52" t="str">
        <f>IFERROR(IF(AND(LEN(F41)&gt;0,LEN(G41)&gt;0),'02_의사결정·종합결과'!$B$67*IFERROR(CHOOSE(FIND(F41,"DCBAS"),1,2,3,4,5),0)+'02_의사결정·종합결과'!$B$68*IFERROR(CHOOSE(FIND(G41,"DCBAS"),1,2,3,4,5),0),IF(LEN(F41)&gt;0,IFERROR(CHOOSE(FIND(F41,"DCBAS"),1,2,3,4,5),0),IF(LEN(G41)&gt;0,IFERROR(CHOOSE(FIND(G41,"DCBAS"),1,2,3,4,5),0),""))),"")</f>
        <v/>
      </c>
      <c r="I41" s="53" t="str">
        <f t="shared" si="1"/>
        <v/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21.75" customHeight="1">
      <c r="A42" s="4" t="str">
        <f>IF('01_인적정보'!B42="","",'01_인적정보'!A42)</f>
        <v/>
      </c>
      <c r="B42" s="4" t="str">
        <f>IF('01_인적정보'!B42="","",'01_인적정보'!B42)</f>
        <v/>
      </c>
      <c r="C42" s="13" t="str">
        <f>IF('01_인적정보'!B42="","",'01_인적정보'!C42)</f>
        <v/>
      </c>
      <c r="D42" s="13" t="str">
        <f>IF('01_인적정보'!B42="","",'01_인적정보'!E42)</f>
        <v/>
      </c>
      <c r="E42" s="40" t="str">
        <f>IF('01_인적정보'!B42="","",'01_인적정보'!H42)</f>
        <v/>
      </c>
      <c r="F42" s="19" t="str">
        <f>IF(OR('01_인적정보'!B42="",'07a_상반기입력'!I42=""),"",'07a_상반기입력'!I42)</f>
        <v/>
      </c>
      <c r="G42" s="19" t="str">
        <f>IF(OR('01_인적정보'!B42="",'07a_상반기입력'!J42=""),"",'07a_상반기입력'!J42)</f>
        <v/>
      </c>
      <c r="H42" s="52" t="str">
        <f>IFERROR(IF(AND(LEN(F42)&gt;0,LEN(G42)&gt;0),'02_의사결정·종합결과'!$B$67*IFERROR(CHOOSE(FIND(F42,"DCBAS"),1,2,3,4,5),0)+'02_의사결정·종합결과'!$B$68*IFERROR(CHOOSE(FIND(G42,"DCBAS"),1,2,3,4,5),0),IF(LEN(F42)&gt;0,IFERROR(CHOOSE(FIND(F42,"DCBAS"),1,2,3,4,5),0),IF(LEN(G42)&gt;0,IFERROR(CHOOSE(FIND(G42,"DCBAS"),1,2,3,4,5),0),""))),"")</f>
        <v/>
      </c>
      <c r="I42" s="53" t="str">
        <f t="shared" si="1"/>
        <v/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21.75" customHeight="1">
      <c r="A43" s="4" t="str">
        <f>IF('01_인적정보'!B43="","",'01_인적정보'!A43)</f>
        <v/>
      </c>
      <c r="B43" s="4" t="str">
        <f>IF('01_인적정보'!B43="","",'01_인적정보'!B43)</f>
        <v/>
      </c>
      <c r="C43" s="13" t="str">
        <f>IF('01_인적정보'!B43="","",'01_인적정보'!C43)</f>
        <v/>
      </c>
      <c r="D43" s="13" t="str">
        <f>IF('01_인적정보'!B43="","",'01_인적정보'!E43)</f>
        <v/>
      </c>
      <c r="E43" s="40" t="str">
        <f>IF('01_인적정보'!B43="","",'01_인적정보'!H43)</f>
        <v/>
      </c>
      <c r="F43" s="19" t="str">
        <f>IF(OR('01_인적정보'!B43="",'07a_상반기입력'!I43=""),"",'07a_상반기입력'!I43)</f>
        <v/>
      </c>
      <c r="G43" s="19" t="str">
        <f>IF(OR('01_인적정보'!B43="",'07a_상반기입력'!J43=""),"",'07a_상반기입력'!J43)</f>
        <v/>
      </c>
      <c r="H43" s="52" t="str">
        <f>IFERROR(IF(AND(LEN(F43)&gt;0,LEN(G43)&gt;0),'02_의사결정·종합결과'!$B$67*IFERROR(CHOOSE(FIND(F43,"DCBAS"),1,2,3,4,5),0)+'02_의사결정·종합결과'!$B$68*IFERROR(CHOOSE(FIND(G43,"DCBAS"),1,2,3,4,5),0),IF(LEN(F43)&gt;0,IFERROR(CHOOSE(FIND(F43,"DCBAS"),1,2,3,4,5),0),IF(LEN(G43)&gt;0,IFERROR(CHOOSE(FIND(G43,"DCBAS"),1,2,3,4,5),0),""))),"")</f>
        <v/>
      </c>
      <c r="I43" s="53" t="str">
        <f t="shared" si="1"/>
        <v/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21.75" customHeight="1">
      <c r="A44" s="4" t="str">
        <f>IF('01_인적정보'!B44="","",'01_인적정보'!A44)</f>
        <v/>
      </c>
      <c r="B44" s="4" t="str">
        <f>IF('01_인적정보'!B44="","",'01_인적정보'!B44)</f>
        <v/>
      </c>
      <c r="C44" s="13" t="str">
        <f>IF('01_인적정보'!B44="","",'01_인적정보'!C44)</f>
        <v/>
      </c>
      <c r="D44" s="13" t="str">
        <f>IF('01_인적정보'!B44="","",'01_인적정보'!E44)</f>
        <v/>
      </c>
      <c r="E44" s="40" t="str">
        <f>IF('01_인적정보'!B44="","",'01_인적정보'!H44)</f>
        <v/>
      </c>
      <c r="F44" s="19" t="str">
        <f>IF(OR('01_인적정보'!B44="",'07a_상반기입력'!I44=""),"",'07a_상반기입력'!I44)</f>
        <v/>
      </c>
      <c r="G44" s="19" t="str">
        <f>IF(OR('01_인적정보'!B44="",'07a_상반기입력'!J44=""),"",'07a_상반기입력'!J44)</f>
        <v/>
      </c>
      <c r="H44" s="52" t="str">
        <f>IFERROR(IF(AND(LEN(F44)&gt;0,LEN(G44)&gt;0),'02_의사결정·종합결과'!$B$67*IFERROR(CHOOSE(FIND(F44,"DCBAS"),1,2,3,4,5),0)+'02_의사결정·종합결과'!$B$68*IFERROR(CHOOSE(FIND(G44,"DCBAS"),1,2,3,4,5),0),IF(LEN(F44)&gt;0,IFERROR(CHOOSE(FIND(F44,"DCBAS"),1,2,3,4,5),0),IF(LEN(G44)&gt;0,IFERROR(CHOOSE(FIND(G44,"DCBAS"),1,2,3,4,5),0),""))),"")</f>
        <v/>
      </c>
      <c r="I44" s="53" t="str">
        <f t="shared" si="1"/>
        <v/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21.75" customHeight="1">
      <c r="A45" s="4" t="str">
        <f>IF('01_인적정보'!B45="","",'01_인적정보'!A45)</f>
        <v/>
      </c>
      <c r="B45" s="4" t="str">
        <f>IF('01_인적정보'!B45="","",'01_인적정보'!B45)</f>
        <v/>
      </c>
      <c r="C45" s="13" t="str">
        <f>IF('01_인적정보'!B45="","",'01_인적정보'!C45)</f>
        <v/>
      </c>
      <c r="D45" s="13" t="str">
        <f>IF('01_인적정보'!B45="","",'01_인적정보'!E45)</f>
        <v/>
      </c>
      <c r="E45" s="40" t="str">
        <f>IF('01_인적정보'!B45="","",'01_인적정보'!H45)</f>
        <v/>
      </c>
      <c r="F45" s="19" t="str">
        <f>IF(OR('01_인적정보'!B45="",'07a_상반기입력'!I45=""),"",'07a_상반기입력'!I45)</f>
        <v/>
      </c>
      <c r="G45" s="19" t="str">
        <f>IF(OR('01_인적정보'!B45="",'07a_상반기입력'!J45=""),"",'07a_상반기입력'!J45)</f>
        <v/>
      </c>
      <c r="H45" s="52" t="str">
        <f>IFERROR(IF(AND(LEN(F45)&gt;0,LEN(G45)&gt;0),'02_의사결정·종합결과'!$B$67*IFERROR(CHOOSE(FIND(F45,"DCBAS"),1,2,3,4,5),0)+'02_의사결정·종합결과'!$B$68*IFERROR(CHOOSE(FIND(G45,"DCBAS"),1,2,3,4,5),0),IF(LEN(F45)&gt;0,IFERROR(CHOOSE(FIND(F45,"DCBAS"),1,2,3,4,5),0),IF(LEN(G45)&gt;0,IFERROR(CHOOSE(FIND(G45,"DCBAS"),1,2,3,4,5),0),""))),"")</f>
        <v/>
      </c>
      <c r="I45" s="53" t="str">
        <f t="shared" si="1"/>
        <v/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21.75" customHeight="1">
      <c r="A46" s="4" t="str">
        <f>IF('01_인적정보'!B46="","",'01_인적정보'!A46)</f>
        <v/>
      </c>
      <c r="B46" s="4" t="str">
        <f>IF('01_인적정보'!B46="","",'01_인적정보'!B46)</f>
        <v/>
      </c>
      <c r="C46" s="13" t="str">
        <f>IF('01_인적정보'!B46="","",'01_인적정보'!C46)</f>
        <v/>
      </c>
      <c r="D46" s="13" t="str">
        <f>IF('01_인적정보'!B46="","",'01_인적정보'!E46)</f>
        <v/>
      </c>
      <c r="E46" s="40" t="str">
        <f>IF('01_인적정보'!B46="","",'01_인적정보'!H46)</f>
        <v/>
      </c>
      <c r="F46" s="19" t="str">
        <f>IF(OR('01_인적정보'!B46="",'07a_상반기입력'!I46=""),"",'07a_상반기입력'!I46)</f>
        <v/>
      </c>
      <c r="G46" s="19" t="str">
        <f>IF(OR('01_인적정보'!B46="",'07a_상반기입력'!J46=""),"",'07a_상반기입력'!J46)</f>
        <v/>
      </c>
      <c r="H46" s="52" t="str">
        <f>IFERROR(IF(AND(LEN(F46)&gt;0,LEN(G46)&gt;0),'02_의사결정·종합결과'!$B$67*IFERROR(CHOOSE(FIND(F46,"DCBAS"),1,2,3,4,5),0)+'02_의사결정·종합결과'!$B$68*IFERROR(CHOOSE(FIND(G46,"DCBAS"),1,2,3,4,5),0),IF(LEN(F46)&gt;0,IFERROR(CHOOSE(FIND(F46,"DCBAS"),1,2,3,4,5),0),IF(LEN(G46)&gt;0,IFERROR(CHOOSE(FIND(G46,"DCBAS"),1,2,3,4,5),0),""))),"")</f>
        <v/>
      </c>
      <c r="I46" s="53" t="str">
        <f t="shared" si="1"/>
        <v/>
      </c>
      <c r="J46" s="5"/>
      <c r="K46" s="5"/>
      <c r="L46" s="5"/>
      <c r="M46" s="5"/>
      <c r="N46" s="5"/>
      <c r="O46" s="5"/>
      <c r="P46" s="54"/>
      <c r="Q46" s="5"/>
      <c r="R46" s="5"/>
      <c r="S46" s="5"/>
      <c r="T46" s="5"/>
      <c r="U46" s="5"/>
    </row>
    <row r="47" spans="1:21" ht="21.75" customHeight="1">
      <c r="A47" s="4" t="str">
        <f>IF('01_인적정보'!B47="","",'01_인적정보'!A47)</f>
        <v/>
      </c>
      <c r="B47" s="4" t="str">
        <f>IF('01_인적정보'!B47="","",'01_인적정보'!B47)</f>
        <v/>
      </c>
      <c r="C47" s="13" t="str">
        <f>IF('01_인적정보'!B47="","",'01_인적정보'!C47)</f>
        <v/>
      </c>
      <c r="D47" s="13" t="str">
        <f>IF('01_인적정보'!B47="","",'01_인적정보'!E47)</f>
        <v/>
      </c>
      <c r="E47" s="40" t="str">
        <f>IF('01_인적정보'!B47="","",'01_인적정보'!H47)</f>
        <v/>
      </c>
      <c r="F47" s="19" t="str">
        <f>IF(OR('01_인적정보'!B47="",'07a_상반기입력'!I47=""),"",'07a_상반기입력'!I47)</f>
        <v/>
      </c>
      <c r="G47" s="19" t="str">
        <f>IF(OR('01_인적정보'!B47="",'07a_상반기입력'!J47=""),"",'07a_상반기입력'!J47)</f>
        <v/>
      </c>
      <c r="H47" s="52" t="str">
        <f>IFERROR(IF(AND(LEN(F47)&gt;0,LEN(G47)&gt;0),'02_의사결정·종합결과'!$B$67*IFERROR(CHOOSE(FIND(F47,"DCBAS"),1,2,3,4,5),0)+'02_의사결정·종합결과'!$B$68*IFERROR(CHOOSE(FIND(G47,"DCBAS"),1,2,3,4,5),0),IF(LEN(F47)&gt;0,IFERROR(CHOOSE(FIND(F47,"DCBAS"),1,2,3,4,5),0),IF(LEN(G47)&gt;0,IFERROR(CHOOSE(FIND(G47,"DCBAS"),1,2,3,4,5),0),""))),"")</f>
        <v/>
      </c>
      <c r="I47" s="53" t="str">
        <f t="shared" si="1"/>
        <v/>
      </c>
      <c r="J47" s="5"/>
      <c r="K47" s="5"/>
      <c r="L47" s="5"/>
      <c r="M47" s="5"/>
      <c r="N47" s="5"/>
      <c r="O47" s="5"/>
      <c r="P47" s="54"/>
      <c r="Q47" s="5"/>
      <c r="R47" s="5"/>
      <c r="S47" s="5"/>
      <c r="T47" s="5"/>
      <c r="U47" s="5"/>
    </row>
    <row r="48" spans="1:21" ht="21.75" customHeight="1">
      <c r="A48" s="4" t="str">
        <f>IF('01_인적정보'!B48="","",'01_인적정보'!A48)</f>
        <v/>
      </c>
      <c r="B48" s="4" t="str">
        <f>IF('01_인적정보'!B48="","",'01_인적정보'!B48)</f>
        <v/>
      </c>
      <c r="C48" s="13" t="str">
        <f>IF('01_인적정보'!B48="","",'01_인적정보'!C48)</f>
        <v/>
      </c>
      <c r="D48" s="13" t="str">
        <f>IF('01_인적정보'!B48="","",'01_인적정보'!E48)</f>
        <v/>
      </c>
      <c r="E48" s="40" t="str">
        <f>IF('01_인적정보'!B48="","",'01_인적정보'!H48)</f>
        <v/>
      </c>
      <c r="F48" s="19" t="str">
        <f>IF(OR('01_인적정보'!B48="",'07a_상반기입력'!I48=""),"",'07a_상반기입력'!I48)</f>
        <v/>
      </c>
      <c r="G48" s="19" t="str">
        <f>IF(OR('01_인적정보'!B48="",'07a_상반기입력'!J48=""),"",'07a_상반기입력'!J48)</f>
        <v/>
      </c>
      <c r="H48" s="52" t="str">
        <f>IFERROR(IF(AND(LEN(F48)&gt;0,LEN(G48)&gt;0),'02_의사결정·종합결과'!$B$67*IFERROR(CHOOSE(FIND(F48,"DCBAS"),1,2,3,4,5),0)+'02_의사결정·종합결과'!$B$68*IFERROR(CHOOSE(FIND(G48,"DCBAS"),1,2,3,4,5),0),IF(LEN(F48)&gt;0,IFERROR(CHOOSE(FIND(F48,"DCBAS"),1,2,3,4,5),0),IF(LEN(G48)&gt;0,IFERROR(CHOOSE(FIND(G48,"DCBAS"),1,2,3,4,5),0),""))),"")</f>
        <v/>
      </c>
      <c r="I48" s="53" t="str">
        <f t="shared" si="1"/>
        <v/>
      </c>
      <c r="J48" s="5"/>
      <c r="K48" s="5"/>
      <c r="L48" s="5"/>
      <c r="M48" s="5"/>
      <c r="N48" s="5"/>
      <c r="O48" s="5"/>
      <c r="P48" s="54"/>
      <c r="Q48" s="5"/>
      <c r="R48" s="5"/>
      <c r="S48" s="5"/>
      <c r="T48" s="5"/>
      <c r="U48" s="5"/>
    </row>
    <row r="49" spans="1:21" ht="21.75" customHeight="1">
      <c r="A49" s="4" t="str">
        <f>IF('01_인적정보'!B49="","",'01_인적정보'!A49)</f>
        <v/>
      </c>
      <c r="B49" s="4" t="str">
        <f>IF('01_인적정보'!B49="","",'01_인적정보'!B49)</f>
        <v/>
      </c>
      <c r="C49" s="13" t="str">
        <f>IF('01_인적정보'!B49="","",'01_인적정보'!C49)</f>
        <v/>
      </c>
      <c r="D49" s="13" t="str">
        <f>IF('01_인적정보'!B49="","",'01_인적정보'!E49)</f>
        <v/>
      </c>
      <c r="E49" s="40" t="str">
        <f>IF('01_인적정보'!B49="","",'01_인적정보'!H49)</f>
        <v/>
      </c>
      <c r="F49" s="19" t="str">
        <f>IF(OR('01_인적정보'!B49="",'07a_상반기입력'!I49=""),"",'07a_상반기입력'!I49)</f>
        <v/>
      </c>
      <c r="G49" s="19" t="str">
        <f>IF(OR('01_인적정보'!B49="",'07a_상반기입력'!J49=""),"",'07a_상반기입력'!J49)</f>
        <v/>
      </c>
      <c r="H49" s="52" t="str">
        <f>IFERROR(IF(AND(LEN(F49)&gt;0,LEN(G49)&gt;0),'02_의사결정·종합결과'!$B$67*IFERROR(CHOOSE(FIND(F49,"DCBAS"),1,2,3,4,5),0)+'02_의사결정·종합결과'!$B$68*IFERROR(CHOOSE(FIND(G49,"DCBAS"),1,2,3,4,5),0),IF(LEN(F49)&gt;0,IFERROR(CHOOSE(FIND(F49,"DCBAS"),1,2,3,4,5),0),IF(LEN(G49)&gt;0,IFERROR(CHOOSE(FIND(G49,"DCBAS"),1,2,3,4,5),0),""))),"")</f>
        <v/>
      </c>
      <c r="I49" s="53" t="str">
        <f t="shared" si="1"/>
        <v/>
      </c>
      <c r="J49" s="5"/>
      <c r="K49" s="5"/>
      <c r="L49" s="5"/>
      <c r="M49" s="5"/>
      <c r="N49" s="5"/>
      <c r="O49" s="5"/>
      <c r="P49" s="54"/>
      <c r="Q49" s="5"/>
      <c r="R49" s="5"/>
      <c r="S49" s="5"/>
      <c r="T49" s="5"/>
      <c r="U49" s="5"/>
    </row>
    <row r="50" spans="1:21" ht="21.75" customHeight="1">
      <c r="A50" s="4" t="str">
        <f>IF('01_인적정보'!B50="","",'01_인적정보'!A50)</f>
        <v/>
      </c>
      <c r="B50" s="4" t="str">
        <f>IF('01_인적정보'!B50="","",'01_인적정보'!B50)</f>
        <v/>
      </c>
      <c r="C50" s="13" t="str">
        <f>IF('01_인적정보'!B50="","",'01_인적정보'!C50)</f>
        <v/>
      </c>
      <c r="D50" s="13" t="str">
        <f>IF('01_인적정보'!B50="","",'01_인적정보'!E50)</f>
        <v/>
      </c>
      <c r="E50" s="40" t="str">
        <f>IF('01_인적정보'!B50="","",'01_인적정보'!H50)</f>
        <v/>
      </c>
      <c r="F50" s="19" t="str">
        <f>IF(OR('01_인적정보'!B50="",'07a_상반기입력'!I50=""),"",'07a_상반기입력'!I50)</f>
        <v/>
      </c>
      <c r="G50" s="19" t="str">
        <f>IF(OR('01_인적정보'!B50="",'07a_상반기입력'!J50=""),"",'07a_상반기입력'!J50)</f>
        <v/>
      </c>
      <c r="H50" s="52" t="str">
        <f>IFERROR(IF(AND(LEN(F50)&gt;0,LEN(G50)&gt;0),'02_의사결정·종합결과'!$B$67*IFERROR(CHOOSE(FIND(F50,"DCBAS"),1,2,3,4,5),0)+'02_의사결정·종합결과'!$B$68*IFERROR(CHOOSE(FIND(G50,"DCBAS"),1,2,3,4,5),0),IF(LEN(F50)&gt;0,IFERROR(CHOOSE(FIND(F50,"DCBAS"),1,2,3,4,5),0),IF(LEN(G50)&gt;0,IFERROR(CHOOSE(FIND(G50,"DCBAS"),1,2,3,4,5),0),""))),"")</f>
        <v/>
      </c>
      <c r="I50" s="53" t="str">
        <f t="shared" si="1"/>
        <v/>
      </c>
      <c r="J50" s="5"/>
      <c r="K50" s="5"/>
      <c r="L50" s="5"/>
      <c r="M50" s="5"/>
      <c r="N50" s="5"/>
      <c r="O50" s="5"/>
      <c r="P50" s="54"/>
      <c r="Q50" s="5"/>
      <c r="R50" s="5"/>
      <c r="S50" s="5"/>
      <c r="T50" s="5"/>
      <c r="U50" s="5"/>
    </row>
    <row r="51" spans="1:21" ht="21.75" customHeight="1">
      <c r="A51" s="4" t="str">
        <f>IF('01_인적정보'!B51="","",'01_인적정보'!A51)</f>
        <v/>
      </c>
      <c r="B51" s="4" t="str">
        <f>IF('01_인적정보'!B51="","",'01_인적정보'!B51)</f>
        <v/>
      </c>
      <c r="C51" s="13" t="str">
        <f>IF('01_인적정보'!B51="","",'01_인적정보'!C51)</f>
        <v/>
      </c>
      <c r="D51" s="13" t="str">
        <f>IF('01_인적정보'!B51="","",'01_인적정보'!E51)</f>
        <v/>
      </c>
      <c r="E51" s="40" t="str">
        <f>IF('01_인적정보'!B51="","",'01_인적정보'!H51)</f>
        <v/>
      </c>
      <c r="F51" s="19" t="str">
        <f>IF(OR('01_인적정보'!B51="",'07a_상반기입력'!I51=""),"",'07a_상반기입력'!I51)</f>
        <v/>
      </c>
      <c r="G51" s="19" t="str">
        <f>IF(OR('01_인적정보'!B51="",'07a_상반기입력'!J51=""),"",'07a_상반기입력'!J51)</f>
        <v/>
      </c>
      <c r="H51" s="52" t="str">
        <f>IFERROR(IF(AND(LEN(F51)&gt;0,LEN(G51)&gt;0),'02_의사결정·종합결과'!$B$67*IFERROR(CHOOSE(FIND(F51,"DCBAS"),1,2,3,4,5),0)+'02_의사결정·종합결과'!$B$68*IFERROR(CHOOSE(FIND(G51,"DCBAS"),1,2,3,4,5),0),IF(LEN(F51)&gt;0,IFERROR(CHOOSE(FIND(F51,"DCBAS"),1,2,3,4,5),0),IF(LEN(G51)&gt;0,IFERROR(CHOOSE(FIND(G51,"DCBAS"),1,2,3,4,5),0),""))),"")</f>
        <v/>
      </c>
      <c r="I51" s="53" t="str">
        <f t="shared" si="1"/>
        <v/>
      </c>
      <c r="J51" s="5"/>
      <c r="K51" s="5"/>
      <c r="L51" s="5"/>
      <c r="M51" s="5"/>
      <c r="N51" s="5"/>
      <c r="O51" s="5"/>
      <c r="P51" s="54"/>
      <c r="Q51" s="5"/>
      <c r="R51" s="5"/>
      <c r="S51" s="5"/>
      <c r="T51" s="5"/>
      <c r="U51" s="5"/>
    </row>
    <row r="52" spans="1:21" ht="21.75" customHeight="1">
      <c r="A52" s="4" t="str">
        <f>IF('01_인적정보'!B52="","",'01_인적정보'!A52)</f>
        <v/>
      </c>
      <c r="B52" s="4" t="str">
        <f>IF('01_인적정보'!B52="","",'01_인적정보'!B52)</f>
        <v/>
      </c>
      <c r="C52" s="13" t="str">
        <f>IF('01_인적정보'!B52="","",'01_인적정보'!C52)</f>
        <v/>
      </c>
      <c r="D52" s="13" t="str">
        <f>IF('01_인적정보'!B52="","",'01_인적정보'!E52)</f>
        <v/>
      </c>
      <c r="E52" s="40" t="str">
        <f>IF('01_인적정보'!B52="","",'01_인적정보'!H52)</f>
        <v/>
      </c>
      <c r="F52" s="19" t="str">
        <f>IF(OR('01_인적정보'!B52="",'07a_상반기입력'!I52=""),"",'07a_상반기입력'!I52)</f>
        <v/>
      </c>
      <c r="G52" s="19" t="str">
        <f>IF(OR('01_인적정보'!B52="",'07a_상반기입력'!J52=""),"",'07a_상반기입력'!J52)</f>
        <v/>
      </c>
      <c r="H52" s="52" t="str">
        <f>IFERROR(IF(AND(LEN(F52)&gt;0,LEN(G52)&gt;0),'02_의사결정·종합결과'!$B$67*IFERROR(CHOOSE(FIND(F52,"DCBAS"),1,2,3,4,5),0)+'02_의사결정·종합결과'!$B$68*IFERROR(CHOOSE(FIND(G52,"DCBAS"),1,2,3,4,5),0),IF(LEN(F52)&gt;0,IFERROR(CHOOSE(FIND(F52,"DCBAS"),1,2,3,4,5),0),IF(LEN(G52)&gt;0,IFERROR(CHOOSE(FIND(G52,"DCBAS"),1,2,3,4,5),0),""))),"")</f>
        <v/>
      </c>
      <c r="I52" s="53" t="str">
        <f t="shared" si="1"/>
        <v/>
      </c>
      <c r="J52" s="5"/>
      <c r="K52" s="5"/>
      <c r="L52" s="5"/>
      <c r="M52" s="5"/>
      <c r="N52" s="5"/>
      <c r="O52" s="5"/>
      <c r="P52" s="54"/>
      <c r="Q52" s="5"/>
      <c r="R52" s="5"/>
      <c r="S52" s="5"/>
      <c r="T52" s="5"/>
      <c r="U52" s="5"/>
    </row>
    <row r="53" spans="1:21" ht="21.75" customHeight="1">
      <c r="A53" s="4" t="str">
        <f>IF('01_인적정보'!B53="","",'01_인적정보'!A53)</f>
        <v/>
      </c>
      <c r="B53" s="4" t="str">
        <f>IF('01_인적정보'!B53="","",'01_인적정보'!B53)</f>
        <v/>
      </c>
      <c r="C53" s="13" t="str">
        <f>IF('01_인적정보'!B53="","",'01_인적정보'!C53)</f>
        <v/>
      </c>
      <c r="D53" s="13" t="str">
        <f>IF('01_인적정보'!B53="","",'01_인적정보'!E53)</f>
        <v/>
      </c>
      <c r="E53" s="40" t="str">
        <f>IF('01_인적정보'!B53="","",'01_인적정보'!H53)</f>
        <v/>
      </c>
      <c r="F53" s="19" t="str">
        <f>IF(OR('01_인적정보'!B53="",'07a_상반기입력'!I53=""),"",'07a_상반기입력'!I53)</f>
        <v/>
      </c>
      <c r="G53" s="19" t="str">
        <f>IF(OR('01_인적정보'!B53="",'07a_상반기입력'!J53=""),"",'07a_상반기입력'!J53)</f>
        <v/>
      </c>
      <c r="H53" s="52" t="str">
        <f>IFERROR(IF(AND(LEN(F53)&gt;0,LEN(G53)&gt;0),'02_의사결정·종합결과'!$B$67*IFERROR(CHOOSE(FIND(F53,"DCBAS"),1,2,3,4,5),0)+'02_의사결정·종합결과'!$B$68*IFERROR(CHOOSE(FIND(G53,"DCBAS"),1,2,3,4,5),0),IF(LEN(F53)&gt;0,IFERROR(CHOOSE(FIND(F53,"DCBAS"),1,2,3,4,5),0),IF(LEN(G53)&gt;0,IFERROR(CHOOSE(FIND(G53,"DCBAS"),1,2,3,4,5),0),""))),"")</f>
        <v/>
      </c>
      <c r="I53" s="53" t="str">
        <f t="shared" si="1"/>
        <v/>
      </c>
      <c r="J53" s="5"/>
      <c r="K53" s="5"/>
      <c r="L53" s="5"/>
      <c r="M53" s="5"/>
      <c r="N53" s="5"/>
      <c r="O53" s="5"/>
      <c r="P53" s="54"/>
      <c r="Q53" s="5"/>
      <c r="R53" s="5"/>
      <c r="S53" s="5"/>
      <c r="T53" s="5"/>
      <c r="U53" s="5"/>
    </row>
    <row r="54" spans="1:21" ht="21.75" customHeight="1">
      <c r="A54" s="4" t="str">
        <f>IF('01_인적정보'!B54="","",'01_인적정보'!A54)</f>
        <v/>
      </c>
      <c r="B54" s="4" t="str">
        <f>IF('01_인적정보'!B54="","",'01_인적정보'!B54)</f>
        <v/>
      </c>
      <c r="C54" s="13" t="str">
        <f>IF('01_인적정보'!B54="","",'01_인적정보'!C54)</f>
        <v/>
      </c>
      <c r="D54" s="13" t="str">
        <f>IF('01_인적정보'!B54="","",'01_인적정보'!E54)</f>
        <v/>
      </c>
      <c r="E54" s="40" t="str">
        <f>IF('01_인적정보'!B54="","",'01_인적정보'!H54)</f>
        <v/>
      </c>
      <c r="F54" s="19" t="str">
        <f>IF(OR('01_인적정보'!B54="",'07a_상반기입력'!I54=""),"",'07a_상반기입력'!I54)</f>
        <v/>
      </c>
      <c r="G54" s="19" t="str">
        <f>IF(OR('01_인적정보'!B54="",'07a_상반기입력'!J54=""),"",'07a_상반기입력'!J54)</f>
        <v/>
      </c>
      <c r="H54" s="52" t="str">
        <f>IFERROR(IF(AND(LEN(F54)&gt;0,LEN(G54)&gt;0),'02_의사결정·종합결과'!$B$67*IFERROR(CHOOSE(FIND(F54,"DCBAS"),1,2,3,4,5),0)+'02_의사결정·종합결과'!$B$68*IFERROR(CHOOSE(FIND(G54,"DCBAS"),1,2,3,4,5),0),IF(LEN(F54)&gt;0,IFERROR(CHOOSE(FIND(F54,"DCBAS"),1,2,3,4,5),0),IF(LEN(G54)&gt;0,IFERROR(CHOOSE(FIND(G54,"DCBAS"),1,2,3,4,5),0),""))),"")</f>
        <v/>
      </c>
      <c r="I54" s="53" t="str">
        <f t="shared" si="1"/>
        <v/>
      </c>
      <c r="J54" s="5"/>
      <c r="K54" s="5"/>
      <c r="L54" s="5"/>
      <c r="M54" s="5"/>
      <c r="N54" s="5"/>
      <c r="O54" s="5"/>
      <c r="P54" s="54"/>
      <c r="Q54" s="5"/>
      <c r="R54" s="5"/>
      <c r="S54" s="5"/>
      <c r="T54" s="5"/>
      <c r="U54" s="5"/>
    </row>
    <row r="55" spans="1:21" ht="21.75" customHeight="1">
      <c r="A55" s="4" t="str">
        <f>IF('01_인적정보'!B55="","",'01_인적정보'!A55)</f>
        <v/>
      </c>
      <c r="B55" s="4" t="str">
        <f>IF('01_인적정보'!B55="","",'01_인적정보'!B55)</f>
        <v/>
      </c>
      <c r="C55" s="13" t="str">
        <f>IF('01_인적정보'!B55="","",'01_인적정보'!C55)</f>
        <v/>
      </c>
      <c r="D55" s="13" t="str">
        <f>IF('01_인적정보'!B55="","",'01_인적정보'!E55)</f>
        <v/>
      </c>
      <c r="E55" s="40" t="str">
        <f>IF('01_인적정보'!B55="","",'01_인적정보'!H55)</f>
        <v/>
      </c>
      <c r="F55" s="19" t="str">
        <f>IF(OR('01_인적정보'!B55="",'07a_상반기입력'!I55=""),"",'07a_상반기입력'!I55)</f>
        <v/>
      </c>
      <c r="G55" s="19" t="str">
        <f>IF(OR('01_인적정보'!B55="",'07a_상반기입력'!J55=""),"",'07a_상반기입력'!J55)</f>
        <v/>
      </c>
      <c r="H55" s="52" t="str">
        <f>IFERROR(IF(AND(LEN(F55)&gt;0,LEN(G55)&gt;0),'02_의사결정·종합결과'!$B$67*IFERROR(CHOOSE(FIND(F55,"DCBAS"),1,2,3,4,5),0)+'02_의사결정·종합결과'!$B$68*IFERROR(CHOOSE(FIND(G55,"DCBAS"),1,2,3,4,5),0),IF(LEN(F55)&gt;0,IFERROR(CHOOSE(FIND(F55,"DCBAS"),1,2,3,4,5),0),IF(LEN(G55)&gt;0,IFERROR(CHOOSE(FIND(G55,"DCBAS"),1,2,3,4,5),0),""))),"")</f>
        <v/>
      </c>
      <c r="I55" s="53" t="str">
        <f t="shared" si="1"/>
        <v/>
      </c>
      <c r="J55" s="5"/>
      <c r="K55" s="5"/>
      <c r="L55" s="5"/>
      <c r="M55" s="5"/>
      <c r="N55" s="5"/>
      <c r="O55" s="5"/>
      <c r="P55" s="54"/>
      <c r="Q55" s="5"/>
      <c r="R55" s="5"/>
      <c r="S55" s="5"/>
      <c r="T55" s="5"/>
      <c r="U55" s="5"/>
    </row>
    <row r="56" spans="1:21">
      <c r="A56" s="5"/>
      <c r="B56" s="5"/>
      <c r="C56" s="5"/>
      <c r="D56" s="5"/>
      <c r="E56" s="5"/>
      <c r="F56" s="5"/>
      <c r="G56" s="5"/>
      <c r="H56" s="54"/>
      <c r="I56" s="5"/>
      <c r="J56" s="5"/>
      <c r="K56" s="5"/>
      <c r="L56" s="5"/>
      <c r="M56" s="5"/>
      <c r="N56" s="5"/>
      <c r="O56" s="5"/>
      <c r="P56" s="54"/>
      <c r="Q56" s="5"/>
      <c r="R56" s="5"/>
      <c r="S56" s="5"/>
      <c r="T56" s="5"/>
      <c r="U56" s="5"/>
    </row>
    <row r="57" spans="1:21">
      <c r="A57" s="5"/>
      <c r="B57" s="5"/>
      <c r="C57" s="5"/>
      <c r="D57" s="5"/>
      <c r="E57" s="5"/>
      <c r="F57" s="5"/>
      <c r="G57" s="5"/>
      <c r="H57" s="54"/>
      <c r="I57" s="5"/>
      <c r="J57" s="5"/>
      <c r="K57" s="5"/>
      <c r="L57" s="5"/>
      <c r="M57" s="5"/>
      <c r="N57" s="5"/>
      <c r="O57" s="5"/>
      <c r="P57" s="54"/>
      <c r="Q57" s="5"/>
      <c r="R57" s="5"/>
      <c r="S57" s="5"/>
      <c r="T57" s="5"/>
      <c r="U57" s="5"/>
    </row>
    <row r="58" spans="1:21">
      <c r="A58" s="5"/>
      <c r="B58" s="5"/>
      <c r="C58" s="5"/>
      <c r="D58" s="5"/>
      <c r="E58" s="5"/>
      <c r="F58" s="5"/>
      <c r="G58" s="5"/>
      <c r="H58" s="54"/>
      <c r="I58" s="5"/>
      <c r="J58" s="5"/>
      <c r="K58" s="5"/>
      <c r="L58" s="5"/>
      <c r="M58" s="5"/>
      <c r="N58" s="5"/>
      <c r="O58" s="5"/>
      <c r="P58" s="54"/>
      <c r="Q58" s="5"/>
      <c r="R58" s="5"/>
      <c r="S58" s="5"/>
      <c r="T58" s="5"/>
      <c r="U58" s="5"/>
    </row>
    <row r="59" spans="1:21">
      <c r="A59" s="5"/>
      <c r="B59" s="5"/>
      <c r="C59" s="5"/>
      <c r="D59" s="5"/>
      <c r="E59" s="5"/>
      <c r="F59" s="5"/>
      <c r="G59" s="5"/>
      <c r="H59" s="54"/>
      <c r="I59" s="5"/>
      <c r="J59" s="5"/>
      <c r="K59" s="5"/>
      <c r="L59" s="5"/>
      <c r="M59" s="5"/>
      <c r="N59" s="5"/>
      <c r="O59" s="5"/>
      <c r="P59" s="54"/>
      <c r="Q59" s="5"/>
      <c r="R59" s="5"/>
      <c r="S59" s="5"/>
      <c r="T59" s="5"/>
      <c r="U59" s="5"/>
    </row>
    <row r="60" spans="1:21">
      <c r="A60" s="5"/>
      <c r="B60" s="5"/>
      <c r="C60" s="5"/>
      <c r="D60" s="5"/>
      <c r="E60" s="5"/>
      <c r="F60" s="5"/>
      <c r="G60" s="5"/>
      <c r="H60" s="54"/>
      <c r="I60" s="5"/>
      <c r="J60" s="5"/>
      <c r="K60" s="5"/>
      <c r="L60" s="5"/>
      <c r="M60" s="5"/>
      <c r="N60" s="5"/>
      <c r="O60" s="5"/>
      <c r="P60" s="54"/>
      <c r="Q60" s="5"/>
      <c r="R60" s="5"/>
      <c r="S60" s="5"/>
      <c r="T60" s="5"/>
      <c r="U60" s="5"/>
    </row>
    <row r="61" spans="1:21">
      <c r="A61" s="5"/>
      <c r="B61" s="5"/>
      <c r="C61" s="5"/>
      <c r="D61" s="5"/>
      <c r="E61" s="5"/>
      <c r="F61" s="5"/>
      <c r="G61" s="5"/>
      <c r="H61" s="54"/>
      <c r="I61" s="5"/>
      <c r="J61" s="5"/>
      <c r="K61" s="5"/>
      <c r="L61" s="5"/>
      <c r="M61" s="5"/>
      <c r="N61" s="5"/>
      <c r="O61" s="5"/>
      <c r="P61" s="54"/>
      <c r="Q61" s="5"/>
      <c r="R61" s="5"/>
      <c r="S61" s="5"/>
      <c r="T61" s="5"/>
      <c r="U61" s="5"/>
    </row>
    <row r="62" spans="1:21" ht="25.5" customHeight="1">
      <c r="A62" s="121" t="s">
        <v>383</v>
      </c>
      <c r="B62" s="121"/>
      <c r="C62" s="121"/>
      <c r="D62" s="121"/>
      <c r="E62" s="121"/>
      <c r="F62" s="121"/>
      <c r="G62" s="121"/>
      <c r="H62" s="121"/>
      <c r="I62" s="121"/>
      <c r="J62" s="5"/>
      <c r="K62" s="5"/>
      <c r="L62" s="5"/>
      <c r="M62" s="5"/>
      <c r="N62" s="5"/>
      <c r="O62" s="5"/>
      <c r="P62" s="54"/>
      <c r="Q62" s="5"/>
      <c r="R62" s="5"/>
      <c r="S62" s="5"/>
      <c r="T62" s="5"/>
      <c r="U62" s="5"/>
    </row>
    <row r="63" spans="1:21" ht="27.75" customHeight="1">
      <c r="A63" s="50" t="s">
        <v>145</v>
      </c>
      <c r="B63" s="51" t="s">
        <v>146</v>
      </c>
      <c r="C63" s="51" t="s">
        <v>147</v>
      </c>
      <c r="D63" s="51" t="s">
        <v>149</v>
      </c>
      <c r="E63" s="51" t="s">
        <v>152</v>
      </c>
      <c r="F63" s="50" t="s">
        <v>375</v>
      </c>
      <c r="G63" s="50" t="s">
        <v>376</v>
      </c>
      <c r="H63" s="56" t="s">
        <v>377</v>
      </c>
      <c r="I63" s="51" t="s">
        <v>378</v>
      </c>
      <c r="J63" s="5"/>
      <c r="K63" s="5"/>
      <c r="L63" s="5"/>
      <c r="M63" s="5"/>
      <c r="N63" s="5"/>
      <c r="O63" s="5"/>
      <c r="P63" s="54"/>
      <c r="Q63" s="5"/>
      <c r="R63" s="5"/>
      <c r="S63" s="5"/>
      <c r="T63" s="5"/>
      <c r="U63" s="5"/>
    </row>
    <row r="64" spans="1:21" ht="21.75" customHeight="1">
      <c r="A64" s="4">
        <f>IF('01_인적정보'!B6="","",'01_인적정보'!A6)</f>
        <v>1</v>
      </c>
      <c r="B64" s="4" t="str">
        <f>IF('01_인적정보'!B6="","",'01_인적정보'!B6)</f>
        <v>BSS-001</v>
      </c>
      <c r="C64" s="13" t="str">
        <f>IF('01_인적정보'!B6="","",'01_인적정보'!C6)</f>
        <v>OOO</v>
      </c>
      <c r="D64" s="13" t="str">
        <f>IF('01_인적정보'!B6="","",'01_인적정보'!E6)</f>
        <v>프로젝트영업</v>
      </c>
      <c r="E64" s="40" t="str">
        <f>IF('01_인적정보'!B6="","",'01_인적정보'!H6)</f>
        <v>G6</v>
      </c>
      <c r="F64" s="19" t="str">
        <f>IF(OR('01_인적정보'!B6="",'07b_하반기입력'!I6=""),"",'07b_하반기입력'!I6)</f>
        <v>A</v>
      </c>
      <c r="G64" s="19" t="str">
        <f>IF(OR('01_인적정보'!B6="",'07b_하반기입력'!J6=""),"",'07b_하반기입력'!J6)</f>
        <v>A</v>
      </c>
      <c r="H64" s="52">
        <f>IFERROR(IF(AND(LEN(F64)&gt;0,LEN(G64)&gt;0),'02_의사결정·종합결과'!$B$67*IFERROR(CHOOSE(FIND(F64,"DCBAS"),1,2,3,4,5),0)+'02_의사결정·종합결과'!$B$68*IFERROR(CHOOSE(FIND(G64,"DCBAS"),1,2,3,4,5),0),IF(LEN(F64)&gt;0,IFERROR(CHOOSE(FIND(F64,"DCBAS"),1,2,3,4,5),0),IF(LEN(G64)&gt;0,IFERROR(CHOOSE(FIND(G64,"DCBAS"),1,2,3,4,5),0),""))),"")</f>
        <v>4</v>
      </c>
      <c r="I64" s="53" t="str">
        <f t="shared" ref="I64:I95" si="2">IF(OR(H64="",NOT(ISNUMBER(H64)),H64&lt;0.5),"",IF(H64&gt;=4.5,"S",IF(H64&gt;=3.5,"A",IF(H64&gt;=2.5,"B",IF(H64&gt;=1.5,"C","D")))))</f>
        <v>A</v>
      </c>
      <c r="J64" s="5"/>
      <c r="K64" s="5"/>
      <c r="L64" s="5"/>
      <c r="M64" s="5"/>
      <c r="N64" s="5"/>
      <c r="O64" s="5"/>
      <c r="P64" s="54"/>
      <c r="Q64" s="5"/>
      <c r="R64" s="5"/>
      <c r="S64" s="5"/>
      <c r="T64" s="5"/>
      <c r="U64" s="5"/>
    </row>
    <row r="65" spans="1:21" ht="21.75" customHeight="1">
      <c r="A65" s="4">
        <f>IF('01_인적정보'!B7="","",'01_인적정보'!A7)</f>
        <v>2</v>
      </c>
      <c r="B65" s="4" t="str">
        <f>IF('01_인적정보'!B7="","",'01_인적정보'!B7)</f>
        <v>BSS-002</v>
      </c>
      <c r="C65" s="13" t="str">
        <f>IF('01_인적정보'!B7="","",'01_인적정보'!C7)</f>
        <v>OOO</v>
      </c>
      <c r="D65" s="13" t="str">
        <f>IF('01_인적정보'!B7="","",'01_인적정보'!E7)</f>
        <v>연구개발(R&amp;D)</v>
      </c>
      <c r="E65" s="40" t="str">
        <f>IF('01_인적정보'!B7="","",'01_인적정보'!H7)</f>
        <v>G6</v>
      </c>
      <c r="F65" s="19" t="str">
        <f>IF(OR('01_인적정보'!B7="",'07b_하반기입력'!I7=""),"",'07b_하반기입력'!I7)</f>
        <v>B</v>
      </c>
      <c r="G65" s="19" t="str">
        <f>IF(OR('01_인적정보'!B7="",'07b_하반기입력'!J7=""),"",'07b_하반기입력'!J7)</f>
        <v>B</v>
      </c>
      <c r="H65" s="52">
        <f>IFERROR(IF(AND(LEN(F65)&gt;0,LEN(G65)&gt;0),'02_의사결정·종합결과'!$B$67*IFERROR(CHOOSE(FIND(F65,"DCBAS"),1,2,3,4,5),0)+'02_의사결정·종합결과'!$B$68*IFERROR(CHOOSE(FIND(G65,"DCBAS"),1,2,3,4,5),0),IF(LEN(F65)&gt;0,IFERROR(CHOOSE(FIND(F65,"DCBAS"),1,2,3,4,5),0),IF(LEN(G65)&gt;0,IFERROR(CHOOSE(FIND(G65,"DCBAS"),1,2,3,4,5),0),""))),"")</f>
        <v>3</v>
      </c>
      <c r="I65" s="53" t="str">
        <f t="shared" si="2"/>
        <v>B</v>
      </c>
      <c r="J65" s="5"/>
      <c r="K65" s="5"/>
      <c r="L65" s="5"/>
      <c r="M65" s="5"/>
      <c r="N65" s="5"/>
      <c r="O65" s="5"/>
      <c r="P65" s="54"/>
      <c r="Q65" s="5"/>
      <c r="R65" s="5"/>
      <c r="S65" s="5"/>
      <c r="T65" s="5"/>
      <c r="U65" s="5"/>
    </row>
    <row r="66" spans="1:21" ht="21.75" customHeight="1">
      <c r="A66" s="4">
        <f>IF('01_인적정보'!B8="","",'01_인적정보'!A8)</f>
        <v>3</v>
      </c>
      <c r="B66" s="4" t="str">
        <f>IF('01_인적정보'!B8="","",'01_인적정보'!B8)</f>
        <v>BSS-003</v>
      </c>
      <c r="C66" s="13" t="str">
        <f>IF('01_인적정보'!B8="","",'01_인적정보'!C8)</f>
        <v>OOO</v>
      </c>
      <c r="D66" s="13" t="str">
        <f>IF('01_인적정보'!B8="","",'01_인적정보'!E8)</f>
        <v>BIM컨설팅</v>
      </c>
      <c r="E66" s="40" t="str">
        <f>IF('01_인적정보'!B8="","",'01_인적정보'!H8)</f>
        <v>G6</v>
      </c>
      <c r="F66" s="19" t="str">
        <f>IF(OR('01_인적정보'!B8="",'07b_하반기입력'!I8=""),"",'07b_하반기입력'!I8)</f>
        <v>B</v>
      </c>
      <c r="G66" s="19" t="str">
        <f>IF(OR('01_인적정보'!B8="",'07b_하반기입력'!J8=""),"",'07b_하반기입력'!J8)</f>
        <v>B</v>
      </c>
      <c r="H66" s="52">
        <f>IFERROR(IF(AND(LEN(F66)&gt;0,LEN(G66)&gt;0),'02_의사결정·종합결과'!$B$67*IFERROR(CHOOSE(FIND(F66,"DCBAS"),1,2,3,4,5),0)+'02_의사결정·종합결과'!$B$68*IFERROR(CHOOSE(FIND(G66,"DCBAS"),1,2,3,4,5),0),IF(LEN(F66)&gt;0,IFERROR(CHOOSE(FIND(F66,"DCBAS"),1,2,3,4,5),0),IF(LEN(G66)&gt;0,IFERROR(CHOOSE(FIND(G66,"DCBAS"),1,2,3,4,5),0),""))),"")</f>
        <v>3</v>
      </c>
      <c r="I66" s="53" t="str">
        <f t="shared" si="2"/>
        <v>B</v>
      </c>
      <c r="J66" s="5"/>
      <c r="K66" s="5"/>
      <c r="L66" s="5"/>
      <c r="M66" s="5"/>
      <c r="N66" s="5"/>
      <c r="O66" s="5"/>
      <c r="P66" s="54"/>
      <c r="Q66" s="5"/>
      <c r="R66" s="5"/>
      <c r="S66" s="5"/>
      <c r="T66" s="5"/>
      <c r="U66" s="5"/>
    </row>
    <row r="67" spans="1:21" ht="21.75" customHeight="1">
      <c r="A67" s="4">
        <f>IF('01_인적정보'!B9="","",'01_인적정보'!A9)</f>
        <v>4</v>
      </c>
      <c r="B67" s="4" t="str">
        <f>IF('01_인적정보'!B9="","",'01_인적정보'!B9)</f>
        <v>BSS-004</v>
      </c>
      <c r="C67" s="13" t="str">
        <f>IF('01_인적정보'!B9="","",'01_인적정보'!C9)</f>
        <v>OOO</v>
      </c>
      <c r="D67" s="13" t="str">
        <f>IF('01_인적정보'!B9="","",'01_인적정보'!E9)</f>
        <v>경영전략기획</v>
      </c>
      <c r="E67" s="40" t="str">
        <f>IF('01_인적정보'!B9="","",'01_인적정보'!H9)</f>
        <v>G6</v>
      </c>
      <c r="F67" s="19" t="str">
        <f>IF(OR('01_인적정보'!B9="",'07b_하반기입력'!I9=""),"",'07b_하반기입력'!I9)</f>
        <v>B</v>
      </c>
      <c r="G67" s="19" t="str">
        <f>IF(OR('01_인적정보'!B9="",'07b_하반기입력'!J9=""),"",'07b_하반기입력'!J9)</f>
        <v>B</v>
      </c>
      <c r="H67" s="52">
        <f>IFERROR(IF(AND(LEN(F67)&gt;0,LEN(G67)&gt;0),'02_의사결정·종합결과'!$B$67*IFERROR(CHOOSE(FIND(F67,"DCBAS"),1,2,3,4,5),0)+'02_의사결정·종합결과'!$B$68*IFERROR(CHOOSE(FIND(G67,"DCBAS"),1,2,3,4,5),0),IF(LEN(F67)&gt;0,IFERROR(CHOOSE(FIND(F67,"DCBAS"),1,2,3,4,5),0),IF(LEN(G67)&gt;0,IFERROR(CHOOSE(FIND(G67,"DCBAS"),1,2,3,4,5),0),""))),"")</f>
        <v>3</v>
      </c>
      <c r="I67" s="53" t="str">
        <f t="shared" si="2"/>
        <v>B</v>
      </c>
      <c r="J67" s="5"/>
      <c r="K67" s="5"/>
      <c r="L67" s="5"/>
      <c r="M67" s="5"/>
      <c r="N67" s="5"/>
      <c r="O67" s="5"/>
      <c r="P67" s="54"/>
      <c r="Q67" s="5"/>
      <c r="R67" s="5"/>
      <c r="S67" s="5"/>
      <c r="T67" s="5"/>
      <c r="U67" s="5"/>
    </row>
    <row r="68" spans="1:21" ht="21.75" customHeight="1">
      <c r="A68" s="4">
        <f>IF('01_인적정보'!B10="","",'01_인적정보'!A10)</f>
        <v>5</v>
      </c>
      <c r="B68" s="4" t="str">
        <f>IF('01_인적정보'!B10="","",'01_인적정보'!B10)</f>
        <v>BSS-005</v>
      </c>
      <c r="C68" s="13" t="str">
        <f>IF('01_인적정보'!B10="","",'01_인적정보'!C10)</f>
        <v>OOO</v>
      </c>
      <c r="D68" s="13" t="str">
        <f>IF('01_인적정보'!B10="","",'01_인적정보'!E10)</f>
        <v>경영전략기획</v>
      </c>
      <c r="E68" s="40" t="str">
        <f>IF('01_인적정보'!B10="","",'01_인적정보'!H10)</f>
        <v>G6</v>
      </c>
      <c r="F68" s="19" t="str">
        <f>IF(OR('01_인적정보'!B10="",'07b_하반기입력'!I10=""),"",'07b_하반기입력'!I10)</f>
        <v>B</v>
      </c>
      <c r="G68" s="19" t="str">
        <f>IF(OR('01_인적정보'!B10="",'07b_하반기입력'!J10=""),"",'07b_하반기입력'!J10)</f>
        <v>A</v>
      </c>
      <c r="H68" s="52">
        <f>IFERROR(IF(AND(LEN(F68)&gt;0,LEN(G68)&gt;0),'02_의사결정·종합결과'!$B$67*IFERROR(CHOOSE(FIND(F68,"DCBAS"),1,2,3,4,5),0)+'02_의사결정·종합결과'!$B$68*IFERROR(CHOOSE(FIND(G68,"DCBAS"),1,2,3,4,5),0),IF(LEN(F68)&gt;0,IFERROR(CHOOSE(FIND(F68,"DCBAS"),1,2,3,4,5),0),IF(LEN(G68)&gt;0,IFERROR(CHOOSE(FIND(G68,"DCBAS"),1,2,3,4,5),0),""))),"")</f>
        <v>3.5</v>
      </c>
      <c r="I68" s="53" t="str">
        <f t="shared" si="2"/>
        <v>A</v>
      </c>
      <c r="J68" s="5"/>
      <c r="K68" s="5"/>
      <c r="L68" s="5"/>
      <c r="M68" s="5"/>
      <c r="N68" s="5"/>
      <c r="O68" s="5"/>
      <c r="P68" s="54"/>
      <c r="Q68" s="5"/>
      <c r="R68" s="5"/>
      <c r="S68" s="5"/>
      <c r="T68" s="5"/>
      <c r="U68" s="5"/>
    </row>
    <row r="69" spans="1:21" ht="21.75" customHeight="1">
      <c r="A69" s="4">
        <f>IF('01_인적정보'!B11="","",'01_인적정보'!A11)</f>
        <v>6</v>
      </c>
      <c r="B69" s="4" t="str">
        <f>IF('01_인적정보'!B11="","",'01_인적정보'!B11)</f>
        <v>BSS-006</v>
      </c>
      <c r="C69" s="13" t="str">
        <f>IF('01_인적정보'!B11="","",'01_인적정보'!C11)</f>
        <v>OOO</v>
      </c>
      <c r="D69" s="13" t="str">
        <f>IF('01_인적정보'!B11="","",'01_인적정보'!E11)</f>
        <v>경영전략기획</v>
      </c>
      <c r="E69" s="40" t="str">
        <f>IF('01_인적정보'!B11="","",'01_인적정보'!H11)</f>
        <v>G6</v>
      </c>
      <c r="F69" s="19" t="str">
        <f>IF(OR('01_인적정보'!B11="",'07b_하반기입력'!I11=""),"",'07b_하반기입력'!I11)</f>
        <v>C</v>
      </c>
      <c r="G69" s="19" t="str">
        <f>IF(OR('01_인적정보'!B11="",'07b_하반기입력'!J11=""),"",'07b_하반기입력'!J11)</f>
        <v>C</v>
      </c>
      <c r="H69" s="52">
        <f>IFERROR(IF(AND(LEN(F69)&gt;0,LEN(G69)&gt;0),'02_의사결정·종합결과'!$B$67*IFERROR(CHOOSE(FIND(F69,"DCBAS"),1,2,3,4,5),0)+'02_의사결정·종합결과'!$B$68*IFERROR(CHOOSE(FIND(G69,"DCBAS"),1,2,3,4,5),0),IF(LEN(F69)&gt;0,IFERROR(CHOOSE(FIND(F69,"DCBAS"),1,2,3,4,5),0),IF(LEN(G69)&gt;0,IFERROR(CHOOSE(FIND(G69,"DCBAS"),1,2,3,4,5),0),""))),"")</f>
        <v>2</v>
      </c>
      <c r="I69" s="53" t="str">
        <f t="shared" si="2"/>
        <v>C</v>
      </c>
      <c r="J69" s="5"/>
      <c r="K69" s="5"/>
      <c r="L69" s="5"/>
      <c r="M69" s="5"/>
      <c r="N69" s="5"/>
      <c r="O69" s="5"/>
      <c r="P69" s="54"/>
      <c r="Q69" s="5"/>
      <c r="R69" s="5"/>
      <c r="S69" s="5"/>
      <c r="T69" s="5"/>
      <c r="U69" s="5"/>
    </row>
    <row r="70" spans="1:21" ht="21.75" customHeight="1">
      <c r="A70" s="4">
        <f>IF('01_인적정보'!B12="","",'01_인적정보'!A12)</f>
        <v>7</v>
      </c>
      <c r="B70" s="4" t="str">
        <f>IF('01_인적정보'!B12="","",'01_인적정보'!B12)</f>
        <v>BSS-007</v>
      </c>
      <c r="C70" s="13" t="str">
        <f>IF('01_인적정보'!B12="","",'01_인적정보'!C12)</f>
        <v>OOO</v>
      </c>
      <c r="D70" s="13" t="str">
        <f>IF('01_인적정보'!B12="","",'01_인적정보'!E12)</f>
        <v>교육</v>
      </c>
      <c r="E70" s="40" t="str">
        <f>IF('01_인적정보'!B12="","",'01_인적정보'!H12)</f>
        <v>G5-M</v>
      </c>
      <c r="F70" s="19" t="str">
        <f>IF(OR('01_인적정보'!B12="",'07b_하반기입력'!I12=""),"",'07b_하반기입력'!I12)</f>
        <v>B</v>
      </c>
      <c r="G70" s="19" t="str">
        <f>IF(OR('01_인적정보'!B12="",'07b_하반기입력'!J12=""),"",'07b_하반기입력'!J12)</f>
        <v>B</v>
      </c>
      <c r="H70" s="52">
        <f>IFERROR(IF(AND(LEN(F70)&gt;0,LEN(G70)&gt;0),'02_의사결정·종합결과'!$B$67*IFERROR(CHOOSE(FIND(F70,"DCBAS"),1,2,3,4,5),0)+'02_의사결정·종합결과'!$B$68*IFERROR(CHOOSE(FIND(G70,"DCBAS"),1,2,3,4,5),0),IF(LEN(F70)&gt;0,IFERROR(CHOOSE(FIND(F70,"DCBAS"),1,2,3,4,5),0),IF(LEN(G70)&gt;0,IFERROR(CHOOSE(FIND(G70,"DCBAS"),1,2,3,4,5),0),""))),"")</f>
        <v>3</v>
      </c>
      <c r="I70" s="53" t="str">
        <f t="shared" si="2"/>
        <v>B</v>
      </c>
      <c r="J70" s="5"/>
      <c r="K70" s="5"/>
      <c r="L70" s="5"/>
      <c r="M70" s="5"/>
      <c r="N70" s="5"/>
      <c r="O70" s="5"/>
      <c r="P70" s="54"/>
      <c r="Q70" s="5"/>
      <c r="R70" s="5"/>
      <c r="S70" s="5"/>
      <c r="T70" s="5"/>
      <c r="U70" s="5"/>
    </row>
    <row r="71" spans="1:21" ht="21.75" customHeight="1">
      <c r="A71" s="4">
        <f>IF('01_인적정보'!B13="","",'01_인적정보'!A13)</f>
        <v>8</v>
      </c>
      <c r="B71" s="4" t="str">
        <f>IF('01_인적정보'!B13="","",'01_인적정보'!B13)</f>
        <v>BSS-008</v>
      </c>
      <c r="C71" s="13" t="str">
        <f>IF('01_인적정보'!B13="","",'01_인적정보'!C13)</f>
        <v>OOO</v>
      </c>
      <c r="D71" s="13" t="str">
        <f>IF('01_인적정보'!B13="","",'01_인적정보'!E13)</f>
        <v>기술지원</v>
      </c>
      <c r="E71" s="40" t="str">
        <f>IF('01_인적정보'!B13="","",'01_인적정보'!H13)</f>
        <v>G5-M</v>
      </c>
      <c r="F71" s="19" t="str">
        <f>IF(OR('01_인적정보'!B13="",'07b_하반기입력'!I13=""),"",'07b_하반기입력'!I13)</f>
        <v>C</v>
      </c>
      <c r="G71" s="19" t="str">
        <f>IF(OR('01_인적정보'!B13="",'07b_하반기입력'!J13=""),"",'07b_하반기입력'!J13)</f>
        <v>C</v>
      </c>
      <c r="H71" s="52">
        <f>IFERROR(IF(AND(LEN(F71)&gt;0,LEN(G71)&gt;0),'02_의사결정·종합결과'!$B$67*IFERROR(CHOOSE(FIND(F71,"DCBAS"),1,2,3,4,5),0)+'02_의사결정·종합결과'!$B$68*IFERROR(CHOOSE(FIND(G71,"DCBAS"),1,2,3,4,5),0),IF(LEN(F71)&gt;0,IFERROR(CHOOSE(FIND(F71,"DCBAS"),1,2,3,4,5),0),IF(LEN(G71)&gt;0,IFERROR(CHOOSE(FIND(G71,"DCBAS"),1,2,3,4,5),0),""))),"")</f>
        <v>2</v>
      </c>
      <c r="I71" s="53" t="str">
        <f t="shared" si="2"/>
        <v>C</v>
      </c>
      <c r="J71" s="5"/>
      <c r="K71" s="5"/>
      <c r="L71" s="5"/>
      <c r="M71" s="5"/>
      <c r="N71" s="5"/>
      <c r="O71" s="5"/>
      <c r="P71" s="54"/>
      <c r="Q71" s="5"/>
      <c r="R71" s="5"/>
      <c r="S71" s="5"/>
      <c r="T71" s="5"/>
      <c r="U71" s="5"/>
    </row>
    <row r="72" spans="1:21" ht="21.75" customHeight="1">
      <c r="A72" s="4">
        <f>IF('01_인적정보'!B14="","",'01_인적정보'!A14)</f>
        <v>9</v>
      </c>
      <c r="B72" s="4" t="str">
        <f>IF('01_인적정보'!B14="","",'01_인적정보'!B14)</f>
        <v>BSS-009</v>
      </c>
      <c r="C72" s="13" t="str">
        <f>IF('01_인적정보'!B14="","",'01_인적정보'!C14)</f>
        <v>OOO</v>
      </c>
      <c r="D72" s="13" t="str">
        <f>IF('01_인적정보'!B14="","",'01_인적정보'!E14)</f>
        <v>BIM컨설팅</v>
      </c>
      <c r="E72" s="40" t="str">
        <f>IF('01_인적정보'!B14="","",'01_인적정보'!H14)</f>
        <v>G5-M</v>
      </c>
      <c r="F72" s="19" t="str">
        <f>IF(OR('01_인적정보'!B14="",'07b_하반기입력'!I14=""),"",'07b_하반기입력'!I14)</f>
        <v>A</v>
      </c>
      <c r="G72" s="19" t="str">
        <f>IF(OR('01_인적정보'!B14="",'07b_하반기입력'!J14=""),"",'07b_하반기입력'!J14)</f>
        <v>B</v>
      </c>
      <c r="H72" s="52">
        <f>IFERROR(IF(AND(LEN(F72)&gt;0,LEN(G72)&gt;0),'02_의사결정·종합결과'!$B$67*IFERROR(CHOOSE(FIND(F72,"DCBAS"),1,2,3,4,5),0)+'02_의사결정·종합결과'!$B$68*IFERROR(CHOOSE(FIND(G72,"DCBAS"),1,2,3,4,5),0),IF(LEN(F72)&gt;0,IFERROR(CHOOSE(FIND(F72,"DCBAS"),1,2,3,4,5),0),IF(LEN(G72)&gt;0,IFERROR(CHOOSE(FIND(G72,"DCBAS"),1,2,3,4,5),0),""))),"")</f>
        <v>3.5</v>
      </c>
      <c r="I72" s="53" t="str">
        <f t="shared" si="2"/>
        <v>A</v>
      </c>
      <c r="J72" s="5"/>
      <c r="K72" s="5"/>
      <c r="L72" s="5"/>
      <c r="M72" s="5"/>
      <c r="N72" s="5"/>
      <c r="O72" s="5"/>
      <c r="P72" s="54"/>
      <c r="Q72" s="5"/>
      <c r="R72" s="5"/>
      <c r="S72" s="5"/>
      <c r="T72" s="5"/>
      <c r="U72" s="5"/>
    </row>
    <row r="73" spans="1:21" ht="21.75" customHeight="1">
      <c r="A73" s="4">
        <f>IF('01_인적정보'!B15="","",'01_인적정보'!A15)</f>
        <v>10</v>
      </c>
      <c r="B73" s="4" t="str">
        <f>IF('01_인적정보'!B15="","",'01_인적정보'!B15)</f>
        <v>BSS-010</v>
      </c>
      <c r="C73" s="13" t="str">
        <f>IF('01_인적정보'!B15="","",'01_인적정보'!C15)</f>
        <v>OOO</v>
      </c>
      <c r="D73" s="13" t="str">
        <f>IF('01_인적정보'!B15="","",'01_인적정보'!E15)</f>
        <v>BIM컨설팅</v>
      </c>
      <c r="E73" s="40" t="str">
        <f>IF('01_인적정보'!B15="","",'01_인적정보'!H15)</f>
        <v>G5-S</v>
      </c>
      <c r="F73" s="19" t="str">
        <f>IF(OR('01_인적정보'!B15="",'07b_하반기입력'!I15=""),"",'07b_하반기입력'!I15)</f>
        <v>B</v>
      </c>
      <c r="G73" s="19" t="str">
        <f>IF(OR('01_인적정보'!B15="",'07b_하반기입력'!J15=""),"",'07b_하반기입력'!J15)</f>
        <v>A</v>
      </c>
      <c r="H73" s="52">
        <f>IFERROR(IF(AND(LEN(F73)&gt;0,LEN(G73)&gt;0),'02_의사결정·종합결과'!$B$67*IFERROR(CHOOSE(FIND(F73,"DCBAS"),1,2,3,4,5),0)+'02_의사결정·종합결과'!$B$68*IFERROR(CHOOSE(FIND(G73,"DCBAS"),1,2,3,4,5),0),IF(LEN(F73)&gt;0,IFERROR(CHOOSE(FIND(F73,"DCBAS"),1,2,3,4,5),0),IF(LEN(G73)&gt;0,IFERROR(CHOOSE(FIND(G73,"DCBAS"),1,2,3,4,5),0),""))),"")</f>
        <v>3.5</v>
      </c>
      <c r="I73" s="53" t="str">
        <f t="shared" si="2"/>
        <v>A</v>
      </c>
      <c r="J73" s="5"/>
      <c r="K73" s="5"/>
      <c r="L73" s="5"/>
      <c r="M73" s="5"/>
      <c r="N73" s="5"/>
      <c r="O73" s="5"/>
      <c r="P73" s="54"/>
      <c r="Q73" s="5"/>
      <c r="R73" s="5"/>
      <c r="S73" s="5"/>
      <c r="T73" s="5"/>
      <c r="U73" s="5"/>
    </row>
    <row r="74" spans="1:21" ht="21.75" customHeight="1">
      <c r="A74" s="4">
        <f>IF('01_인적정보'!B16="","",'01_인적정보'!A16)</f>
        <v>11</v>
      </c>
      <c r="B74" s="4" t="str">
        <f>IF('01_인적정보'!B16="","",'01_인적정보'!B16)</f>
        <v>BSS-011</v>
      </c>
      <c r="C74" s="13" t="str">
        <f>IF('01_인적정보'!B16="","",'01_인적정보'!C16)</f>
        <v>OOO</v>
      </c>
      <c r="D74" s="13" t="str">
        <f>IF('01_인적정보'!B16="","",'01_인적정보'!E16)</f>
        <v>BIM컨설팅</v>
      </c>
      <c r="E74" s="40" t="str">
        <f>IF('01_인적정보'!B16="","",'01_인적정보'!H16)</f>
        <v>G5-S</v>
      </c>
      <c r="F74" s="19" t="str">
        <f>IF(OR('01_인적정보'!B16="",'07b_하반기입력'!I16=""),"",'07b_하반기입력'!I16)</f>
        <v>C</v>
      </c>
      <c r="G74" s="19" t="str">
        <f>IF(OR('01_인적정보'!B16="",'07b_하반기입력'!J16=""),"",'07b_하반기입력'!J16)</f>
        <v>C</v>
      </c>
      <c r="H74" s="52">
        <f>IFERROR(IF(AND(LEN(F74)&gt;0,LEN(G74)&gt;0),'02_의사결정·종합결과'!$B$67*IFERROR(CHOOSE(FIND(F74,"DCBAS"),1,2,3,4,5),0)+'02_의사결정·종합결과'!$B$68*IFERROR(CHOOSE(FIND(G74,"DCBAS"),1,2,3,4,5),0),IF(LEN(F74)&gt;0,IFERROR(CHOOSE(FIND(F74,"DCBAS"),1,2,3,4,5),0),IF(LEN(G74)&gt;0,IFERROR(CHOOSE(FIND(G74,"DCBAS"),1,2,3,4,5),0),""))),"")</f>
        <v>2</v>
      </c>
      <c r="I74" s="53" t="str">
        <f t="shared" si="2"/>
        <v>C</v>
      </c>
      <c r="J74" s="5"/>
      <c r="K74" s="5"/>
      <c r="L74" s="5"/>
      <c r="M74" s="5"/>
      <c r="N74" s="5"/>
      <c r="O74" s="5"/>
      <c r="P74" s="54"/>
      <c r="Q74" s="5"/>
      <c r="R74" s="5"/>
      <c r="S74" s="5"/>
      <c r="T74" s="5"/>
      <c r="U74" s="5"/>
    </row>
    <row r="75" spans="1:21" ht="21.75" customHeight="1">
      <c r="A75" s="4">
        <f>IF('01_인적정보'!B17="","",'01_인적정보'!A17)</f>
        <v>12</v>
      </c>
      <c r="B75" s="4" t="str">
        <f>IF('01_인적정보'!B17="","",'01_인적정보'!B17)</f>
        <v>BSS-012</v>
      </c>
      <c r="C75" s="13" t="str">
        <f>IF('01_인적정보'!B17="","",'01_인적정보'!C17)</f>
        <v>OOO</v>
      </c>
      <c r="D75" s="13" t="str">
        <f>IF('01_인적정보'!B17="","",'01_인적정보'!E17)</f>
        <v>경영전략기획</v>
      </c>
      <c r="E75" s="40" t="str">
        <f>IF('01_인적정보'!B17="","",'01_인적정보'!H17)</f>
        <v>G5-M</v>
      </c>
      <c r="F75" s="19" t="str">
        <f>IF(OR('01_인적정보'!B17="",'07b_하반기입력'!I17=""),"",'07b_하반기입력'!I17)</f>
        <v>D</v>
      </c>
      <c r="G75" s="19" t="str">
        <f>IF(OR('01_인적정보'!B17="",'07b_하반기입력'!J17=""),"",'07b_하반기입력'!J17)</f>
        <v>D</v>
      </c>
      <c r="H75" s="52">
        <f>IFERROR(IF(AND(LEN(F75)&gt;0,LEN(G75)&gt;0),'02_의사결정·종합결과'!$B$67*IFERROR(CHOOSE(FIND(F75,"DCBAS"),1,2,3,4,5),0)+'02_의사결정·종합결과'!$B$68*IFERROR(CHOOSE(FIND(G75,"DCBAS"),1,2,3,4,5),0),IF(LEN(F75)&gt;0,IFERROR(CHOOSE(FIND(F75,"DCBAS"),1,2,3,4,5),0),IF(LEN(G75)&gt;0,IFERROR(CHOOSE(FIND(G75,"DCBAS"),1,2,3,4,5),0),""))),"")</f>
        <v>1</v>
      </c>
      <c r="I75" s="53" t="str">
        <f t="shared" si="2"/>
        <v>D</v>
      </c>
      <c r="J75" s="5"/>
      <c r="K75" s="5"/>
      <c r="L75" s="5"/>
      <c r="M75" s="5"/>
      <c r="N75" s="5"/>
      <c r="O75" s="5"/>
      <c r="P75" s="54"/>
      <c r="Q75" s="5"/>
      <c r="R75" s="5"/>
      <c r="S75" s="5"/>
      <c r="T75" s="5"/>
      <c r="U75" s="5"/>
    </row>
    <row r="76" spans="1:21" ht="21.75" customHeight="1">
      <c r="A76" s="4">
        <f>IF('01_인적정보'!B18="","",'01_인적정보'!A18)</f>
        <v>13</v>
      </c>
      <c r="B76" s="4" t="str">
        <f>IF('01_인적정보'!B18="","",'01_인적정보'!B18)</f>
        <v>BSS-013</v>
      </c>
      <c r="C76" s="13" t="str">
        <f>IF('01_인적정보'!B18="","",'01_인적정보'!C18)</f>
        <v>OOO</v>
      </c>
      <c r="D76" s="13" t="str">
        <f>IF('01_인적정보'!B18="","",'01_인적정보'!E18)</f>
        <v>BIM컨설팅</v>
      </c>
      <c r="E76" s="40" t="str">
        <f>IF('01_인적정보'!B18="","",'01_인적정보'!H18)</f>
        <v>G5-S</v>
      </c>
      <c r="F76" s="19" t="str">
        <f>IF(OR('01_인적정보'!B18="",'07b_하반기입력'!I18=""),"",'07b_하반기입력'!I18)</f>
        <v>A</v>
      </c>
      <c r="G76" s="19" t="str">
        <f>IF(OR('01_인적정보'!B18="",'07b_하반기입력'!J18=""),"",'07b_하반기입력'!J18)</f>
        <v>A</v>
      </c>
      <c r="H76" s="52">
        <f>IFERROR(IF(AND(LEN(F76)&gt;0,LEN(G76)&gt;0),'02_의사결정·종합결과'!$B$67*IFERROR(CHOOSE(FIND(F76,"DCBAS"),1,2,3,4,5),0)+'02_의사결정·종합결과'!$B$68*IFERROR(CHOOSE(FIND(G76,"DCBAS"),1,2,3,4,5),0),IF(LEN(F76)&gt;0,IFERROR(CHOOSE(FIND(F76,"DCBAS"),1,2,3,4,5),0),IF(LEN(G76)&gt;0,IFERROR(CHOOSE(FIND(G76,"DCBAS"),1,2,3,4,5),0),""))),"")</f>
        <v>4</v>
      </c>
      <c r="I76" s="53" t="str">
        <f t="shared" si="2"/>
        <v>A</v>
      </c>
      <c r="J76" s="5"/>
      <c r="K76" s="5"/>
      <c r="L76" s="5"/>
      <c r="M76" s="5"/>
      <c r="N76" s="5"/>
      <c r="O76" s="5"/>
      <c r="P76" s="54"/>
      <c r="Q76" s="5"/>
      <c r="R76" s="5"/>
      <c r="S76" s="5"/>
      <c r="T76" s="5"/>
      <c r="U76" s="5"/>
    </row>
    <row r="77" spans="1:21" ht="21.75" customHeight="1">
      <c r="A77" s="4">
        <f>IF('01_인적정보'!B19="","",'01_인적정보'!A19)</f>
        <v>14</v>
      </c>
      <c r="B77" s="4" t="str">
        <f>IF('01_인적정보'!B19="","",'01_인적정보'!B19)</f>
        <v>BSS-014</v>
      </c>
      <c r="C77" s="13" t="str">
        <f>IF('01_인적정보'!B19="","",'01_인적정보'!C19)</f>
        <v>OOO</v>
      </c>
      <c r="D77" s="13" t="str">
        <f>IF('01_인적정보'!B19="","",'01_인적정보'!E19)</f>
        <v>BIM컨설팅</v>
      </c>
      <c r="E77" s="40" t="str">
        <f>IF('01_인적정보'!B19="","",'01_인적정보'!H19)</f>
        <v>G5-S</v>
      </c>
      <c r="F77" s="19" t="str">
        <f>IF(OR('01_인적정보'!B19="",'07b_하반기입력'!I19=""),"",'07b_하반기입력'!I19)</f>
        <v>B</v>
      </c>
      <c r="G77" s="19" t="str">
        <f>IF(OR('01_인적정보'!B19="",'07b_하반기입력'!J19=""),"",'07b_하반기입력'!J19)</f>
        <v>B</v>
      </c>
      <c r="H77" s="52">
        <f>IFERROR(IF(AND(LEN(F77)&gt;0,LEN(G77)&gt;0),'02_의사결정·종합결과'!$B$67*IFERROR(CHOOSE(FIND(F77,"DCBAS"),1,2,3,4,5),0)+'02_의사결정·종합결과'!$B$68*IFERROR(CHOOSE(FIND(G77,"DCBAS"),1,2,3,4,5),0),IF(LEN(F77)&gt;0,IFERROR(CHOOSE(FIND(F77,"DCBAS"),1,2,3,4,5),0),IF(LEN(G77)&gt;0,IFERROR(CHOOSE(FIND(G77,"DCBAS"),1,2,3,4,5),0),""))),"")</f>
        <v>3</v>
      </c>
      <c r="I77" s="53" t="str">
        <f t="shared" si="2"/>
        <v>B</v>
      </c>
      <c r="J77" s="5"/>
      <c r="K77" s="5"/>
      <c r="L77" s="5"/>
      <c r="M77" s="5"/>
      <c r="N77" s="5"/>
      <c r="O77" s="5"/>
      <c r="P77" s="54"/>
      <c r="Q77" s="5"/>
      <c r="R77" s="5"/>
      <c r="S77" s="5"/>
      <c r="T77" s="5"/>
      <c r="U77" s="5"/>
    </row>
    <row r="78" spans="1:21" ht="21.75" customHeight="1">
      <c r="A78" s="4">
        <f>IF('01_인적정보'!B20="","",'01_인적정보'!A20)</f>
        <v>15</v>
      </c>
      <c r="B78" s="4" t="str">
        <f>IF('01_인적정보'!B20="","",'01_인적정보'!B20)</f>
        <v>BSS-015</v>
      </c>
      <c r="C78" s="13" t="str">
        <f>IF('01_인적정보'!B20="","",'01_인적정보'!C20)</f>
        <v>OOO</v>
      </c>
      <c r="D78" s="13" t="str">
        <f>IF('01_인적정보'!B20="","",'01_인적정보'!E20)</f>
        <v>BIM컨설팅</v>
      </c>
      <c r="E78" s="40" t="str">
        <f>IF('01_인적정보'!B20="","",'01_인적정보'!H20)</f>
        <v>G5-S</v>
      </c>
      <c r="F78" s="19" t="str">
        <f>IF(OR('01_인적정보'!B20="",'07b_하반기입력'!I20=""),"",'07b_하반기입력'!I20)</f>
        <v>B</v>
      </c>
      <c r="G78" s="19" t="str">
        <f>IF(OR('01_인적정보'!B20="",'07b_하반기입력'!J20=""),"",'07b_하반기입력'!J20)</f>
        <v>B</v>
      </c>
      <c r="H78" s="52">
        <f>IFERROR(IF(AND(LEN(F78)&gt;0,LEN(G78)&gt;0),'02_의사결정·종합결과'!$B$67*IFERROR(CHOOSE(FIND(F78,"DCBAS"),1,2,3,4,5),0)+'02_의사결정·종합결과'!$B$68*IFERROR(CHOOSE(FIND(G78,"DCBAS"),1,2,3,4,5),0),IF(LEN(F78)&gt;0,IFERROR(CHOOSE(FIND(F78,"DCBAS"),1,2,3,4,5),0),IF(LEN(G78)&gt;0,IFERROR(CHOOSE(FIND(G78,"DCBAS"),1,2,3,4,5),0),""))),"")</f>
        <v>3</v>
      </c>
      <c r="I78" s="53" t="str">
        <f t="shared" si="2"/>
        <v>B</v>
      </c>
      <c r="J78" s="5"/>
      <c r="K78" s="5"/>
      <c r="L78" s="5"/>
      <c r="M78" s="5"/>
      <c r="N78" s="5"/>
      <c r="O78" s="5"/>
      <c r="P78" s="54"/>
      <c r="Q78" s="5"/>
      <c r="R78" s="5"/>
      <c r="S78" s="5"/>
      <c r="T78" s="5"/>
      <c r="U78" s="5"/>
    </row>
    <row r="79" spans="1:21" ht="21.75" customHeight="1">
      <c r="A79" s="4">
        <f>IF('01_인적정보'!B21="","",'01_인적정보'!A21)</f>
        <v>16</v>
      </c>
      <c r="B79" s="4" t="str">
        <f>IF('01_인적정보'!B21="","",'01_인적정보'!B21)</f>
        <v>BSS-016</v>
      </c>
      <c r="C79" s="13" t="str">
        <f>IF('01_인적정보'!B21="","",'01_인적정보'!C21)</f>
        <v>OOO</v>
      </c>
      <c r="D79" s="13" t="str">
        <f>IF('01_인적정보'!B21="","",'01_인적정보'!E21)</f>
        <v>BIM컨설팅</v>
      </c>
      <c r="E79" s="40" t="str">
        <f>IF('01_인적정보'!B21="","",'01_인적정보'!H21)</f>
        <v>G5-S</v>
      </c>
      <c r="F79" s="19" t="str">
        <f>IF(OR('01_인적정보'!B21="",'07b_하반기입력'!I21=""),"",'07b_하반기입력'!I21)</f>
        <v>B</v>
      </c>
      <c r="G79" s="19" t="str">
        <f>IF(OR('01_인적정보'!B21="",'07b_하반기입력'!J21=""),"",'07b_하반기입력'!J21)</f>
        <v>B</v>
      </c>
      <c r="H79" s="52">
        <f>IFERROR(IF(AND(LEN(F79)&gt;0,LEN(G79)&gt;0),'02_의사결정·종합결과'!$B$67*IFERROR(CHOOSE(FIND(F79,"DCBAS"),1,2,3,4,5),0)+'02_의사결정·종합결과'!$B$68*IFERROR(CHOOSE(FIND(G79,"DCBAS"),1,2,3,4,5),0),IF(LEN(F79)&gt;0,IFERROR(CHOOSE(FIND(F79,"DCBAS"),1,2,3,4,5),0),IF(LEN(G79)&gt;0,IFERROR(CHOOSE(FIND(G79,"DCBAS"),1,2,3,4,5),0),""))),"")</f>
        <v>3</v>
      </c>
      <c r="I79" s="53" t="str">
        <f t="shared" si="2"/>
        <v>B</v>
      </c>
      <c r="J79" s="5"/>
      <c r="K79" s="5"/>
      <c r="L79" s="5"/>
      <c r="M79" s="5"/>
      <c r="N79" s="5"/>
      <c r="O79" s="5"/>
      <c r="P79" s="54"/>
      <c r="Q79" s="5"/>
      <c r="R79" s="5"/>
      <c r="S79" s="5"/>
      <c r="T79" s="5"/>
      <c r="U79" s="5"/>
    </row>
    <row r="80" spans="1:21" ht="21.75" customHeight="1">
      <c r="A80" s="4">
        <f>IF('01_인적정보'!B22="","",'01_인적정보'!A22)</f>
        <v>17</v>
      </c>
      <c r="B80" s="4" t="str">
        <f>IF('01_인적정보'!B22="","",'01_인적정보'!B22)</f>
        <v>BSS-017</v>
      </c>
      <c r="C80" s="13" t="str">
        <f>IF('01_인적정보'!B22="","",'01_인적정보'!C22)</f>
        <v>OOO</v>
      </c>
      <c r="D80" s="13" t="str">
        <f>IF('01_인적정보'!B22="","",'01_인적정보'!E22)</f>
        <v>교육</v>
      </c>
      <c r="E80" s="40" t="str">
        <f>IF('01_인적정보'!B22="","",'01_인적정보'!H22)</f>
        <v>G4</v>
      </c>
      <c r="F80" s="19" t="str">
        <f>IF(OR('01_인적정보'!B22="",'07b_하반기입력'!I22=""),"",'07b_하반기입력'!I22)</f>
        <v>C</v>
      </c>
      <c r="G80" s="19" t="str">
        <f>IF(OR('01_인적정보'!B22="",'07b_하반기입력'!J22=""),"",'07b_하반기입력'!J22)</f>
        <v>B</v>
      </c>
      <c r="H80" s="52">
        <f>IFERROR(IF(AND(LEN(F80)&gt;0,LEN(G80)&gt;0),'02_의사결정·종합결과'!$B$67*IFERROR(CHOOSE(FIND(F80,"DCBAS"),1,2,3,4,5),0)+'02_의사결정·종합결과'!$B$68*IFERROR(CHOOSE(FIND(G80,"DCBAS"),1,2,3,4,5),0),IF(LEN(F80)&gt;0,IFERROR(CHOOSE(FIND(F80,"DCBAS"),1,2,3,4,5),0),IF(LEN(G80)&gt;0,IFERROR(CHOOSE(FIND(G80,"DCBAS"),1,2,3,4,5),0),""))),"")</f>
        <v>2.5</v>
      </c>
      <c r="I80" s="53" t="str">
        <f t="shared" si="2"/>
        <v>B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21.75" customHeight="1">
      <c r="A81" s="4">
        <f>IF('01_인적정보'!B23="","",'01_인적정보'!A23)</f>
        <v>18</v>
      </c>
      <c r="B81" s="4" t="str">
        <f>IF('01_인적정보'!B23="","",'01_인적정보'!B23)</f>
        <v>BSS-018</v>
      </c>
      <c r="C81" s="13" t="str">
        <f>IF('01_인적정보'!B23="","",'01_인적정보'!C23)</f>
        <v>OOO</v>
      </c>
      <c r="D81" s="13" t="str">
        <f>IF('01_인적정보'!B23="","",'01_인적정보'!E23)</f>
        <v>BIM컨설팅</v>
      </c>
      <c r="E81" s="40" t="str">
        <f>IF('01_인적정보'!B23="","",'01_인적정보'!H23)</f>
        <v>G4</v>
      </c>
      <c r="F81" s="19" t="str">
        <f>IF(OR('01_인적정보'!B23="",'07b_하반기입력'!I23=""),"",'07b_하반기입력'!I23)</f>
        <v>A</v>
      </c>
      <c r="G81" s="19" t="str">
        <f>IF(OR('01_인적정보'!B23="",'07b_하반기입력'!J23=""),"",'07b_하반기입력'!J23)</f>
        <v>A</v>
      </c>
      <c r="H81" s="52">
        <f>IFERROR(IF(AND(LEN(F81)&gt;0,LEN(G81)&gt;0),'02_의사결정·종합결과'!$B$67*IFERROR(CHOOSE(FIND(F81,"DCBAS"),1,2,3,4,5),0)+'02_의사결정·종합결과'!$B$68*IFERROR(CHOOSE(FIND(G81,"DCBAS"),1,2,3,4,5),0),IF(LEN(F81)&gt;0,IFERROR(CHOOSE(FIND(F81,"DCBAS"),1,2,3,4,5),0),IF(LEN(G81)&gt;0,IFERROR(CHOOSE(FIND(G81,"DCBAS"),1,2,3,4,5),0),""))),"")</f>
        <v>4</v>
      </c>
      <c r="I81" s="53" t="str">
        <f t="shared" si="2"/>
        <v>A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21.75" customHeight="1">
      <c r="A82" s="4">
        <f>IF('01_인적정보'!B24="","",'01_인적정보'!A24)</f>
        <v>19</v>
      </c>
      <c r="B82" s="4" t="str">
        <f>IF('01_인적정보'!B24="","",'01_인적정보'!B24)</f>
        <v>BSS-019</v>
      </c>
      <c r="C82" s="13" t="str">
        <f>IF('01_인적정보'!B24="","",'01_인적정보'!C24)</f>
        <v>OOO</v>
      </c>
      <c r="D82" s="13" t="str">
        <f>IF('01_인적정보'!B24="","",'01_인적정보'!E24)</f>
        <v>BIM컨설팅</v>
      </c>
      <c r="E82" s="40" t="str">
        <f>IF('01_인적정보'!B24="","",'01_인적정보'!H24)</f>
        <v>G3</v>
      </c>
      <c r="F82" s="19" t="str">
        <f>IF(OR('01_인적정보'!B24="",'07b_하반기입력'!I24=""),"",'07b_하반기입력'!I24)</f>
        <v>B</v>
      </c>
      <c r="G82" s="19" t="str">
        <f>IF(OR('01_인적정보'!B24="",'07b_하반기입력'!J24=""),"",'07b_하반기입력'!J24)</f>
        <v>C</v>
      </c>
      <c r="H82" s="52">
        <f>IFERROR(IF(AND(LEN(F82)&gt;0,LEN(G82)&gt;0),'02_의사결정·종합결과'!$B$67*IFERROR(CHOOSE(FIND(F82,"DCBAS"),1,2,3,4,5),0)+'02_의사결정·종합결과'!$B$68*IFERROR(CHOOSE(FIND(G82,"DCBAS"),1,2,3,4,5),0),IF(LEN(F82)&gt;0,IFERROR(CHOOSE(FIND(F82,"DCBAS"),1,2,3,4,5),0),IF(LEN(G82)&gt;0,IFERROR(CHOOSE(FIND(G82,"DCBAS"),1,2,3,4,5),0),""))),"")</f>
        <v>2.5</v>
      </c>
      <c r="I82" s="53" t="str">
        <f t="shared" si="2"/>
        <v>B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21.75" customHeight="1">
      <c r="A83" s="4">
        <f>IF('01_인적정보'!B25="","",'01_인적정보'!A25)</f>
        <v>20</v>
      </c>
      <c r="B83" s="4" t="str">
        <f>IF('01_인적정보'!B25="","",'01_인적정보'!B25)</f>
        <v>BSS-020</v>
      </c>
      <c r="C83" s="13" t="str">
        <f>IF('01_인적정보'!B25="","",'01_인적정보'!C25)</f>
        <v>OOO</v>
      </c>
      <c r="D83" s="13" t="str">
        <f>IF('01_인적정보'!B25="","",'01_인적정보'!E25)</f>
        <v>기술지원</v>
      </c>
      <c r="E83" s="40" t="str">
        <f>IF('01_인적정보'!B25="","",'01_인적정보'!H25)</f>
        <v>G3</v>
      </c>
      <c r="F83" s="19" t="str">
        <f>IF(OR('01_인적정보'!B25="",'07b_하반기입력'!I25=""),"",'07b_하반기입력'!I25)</f>
        <v>C</v>
      </c>
      <c r="G83" s="19" t="str">
        <f>IF(OR('01_인적정보'!B25="",'07b_하반기입력'!J25=""),"",'07b_하반기입력'!J25)</f>
        <v>C</v>
      </c>
      <c r="H83" s="52">
        <f>IFERROR(IF(AND(LEN(F83)&gt;0,LEN(G83)&gt;0),'02_의사결정·종합결과'!$B$67*IFERROR(CHOOSE(FIND(F83,"DCBAS"),1,2,3,4,5),0)+'02_의사결정·종합결과'!$B$68*IFERROR(CHOOSE(FIND(G83,"DCBAS"),1,2,3,4,5),0),IF(LEN(F83)&gt;0,IFERROR(CHOOSE(FIND(F83,"DCBAS"),1,2,3,4,5),0),IF(LEN(G83)&gt;0,IFERROR(CHOOSE(FIND(G83,"DCBAS"),1,2,3,4,5),0),""))),"")</f>
        <v>2</v>
      </c>
      <c r="I83" s="53" t="str">
        <f t="shared" si="2"/>
        <v>C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21.75" customHeight="1">
      <c r="A84" s="4">
        <f>IF('01_인적정보'!B26="","",'01_인적정보'!A26)</f>
        <v>21</v>
      </c>
      <c r="B84" s="4" t="str">
        <f>IF('01_인적정보'!B26="","",'01_인적정보'!B26)</f>
        <v>BSS-021</v>
      </c>
      <c r="C84" s="13" t="str">
        <f>IF('01_인적정보'!B26="","",'01_인적정보'!C26)</f>
        <v>OOO</v>
      </c>
      <c r="D84" s="13" t="str">
        <f>IF('01_인적정보'!B26="","",'01_인적정보'!E26)</f>
        <v>BIM컨설팅</v>
      </c>
      <c r="E84" s="40" t="str">
        <f>IF('01_인적정보'!B26="","",'01_인적정보'!H26)</f>
        <v>G2</v>
      </c>
      <c r="F84" s="19" t="str">
        <f>IF(OR('01_인적정보'!B26="",'07b_하반기입력'!I26=""),"",'07b_하반기입력'!I26)</f>
        <v>C</v>
      </c>
      <c r="G84" s="19" t="str">
        <f>IF(OR('01_인적정보'!B26="",'07b_하반기입력'!J26=""),"",'07b_하반기입력'!J26)</f>
        <v>C</v>
      </c>
      <c r="H84" s="52">
        <f>IFERROR(IF(AND(LEN(F84)&gt;0,LEN(G84)&gt;0),'02_의사결정·종합결과'!$B$67*IFERROR(CHOOSE(FIND(F84,"DCBAS"),1,2,3,4,5),0)+'02_의사결정·종합결과'!$B$68*IFERROR(CHOOSE(FIND(G84,"DCBAS"),1,2,3,4,5),0),IF(LEN(F84)&gt;0,IFERROR(CHOOSE(FIND(F84,"DCBAS"),1,2,3,4,5),0),IF(LEN(G84)&gt;0,IFERROR(CHOOSE(FIND(G84,"DCBAS"),1,2,3,4,5),0),""))),"")</f>
        <v>2</v>
      </c>
      <c r="I84" s="53" t="str">
        <f t="shared" si="2"/>
        <v>C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21.75" customHeight="1">
      <c r="A85" s="4">
        <f>IF('01_인적정보'!B27="","",'01_인적정보'!A27)</f>
        <v>22</v>
      </c>
      <c r="B85" s="4" t="str">
        <f>IF('01_인적정보'!B27="","",'01_인적정보'!B27)</f>
        <v>BSS-022</v>
      </c>
      <c r="C85" s="13" t="str">
        <f>IF('01_인적정보'!B27="","",'01_인적정보'!C27)</f>
        <v>OOO</v>
      </c>
      <c r="D85" s="13" t="str">
        <f>IF('01_인적정보'!B27="","",'01_인적정보'!E27)</f>
        <v>BIM컨설팅</v>
      </c>
      <c r="E85" s="40" t="str">
        <f>IF('01_인적정보'!B27="","",'01_인적정보'!H27)</f>
        <v>G2</v>
      </c>
      <c r="F85" s="19" t="str">
        <f>IF(OR('01_인적정보'!B27="",'07b_하반기입력'!I27=""),"",'07b_하반기입력'!I27)</f>
        <v>A</v>
      </c>
      <c r="G85" s="19" t="str">
        <f>IF(OR('01_인적정보'!B27="",'07b_하반기입력'!J27=""),"",'07b_하반기입력'!J27)</f>
        <v>B</v>
      </c>
      <c r="H85" s="52">
        <f>IFERROR(IF(AND(LEN(F85)&gt;0,LEN(G85)&gt;0),'02_의사결정·종합결과'!$B$67*IFERROR(CHOOSE(FIND(F85,"DCBAS"),1,2,3,4,5),0)+'02_의사결정·종합결과'!$B$68*IFERROR(CHOOSE(FIND(G85,"DCBAS"),1,2,3,4,5),0),IF(LEN(F85)&gt;0,IFERROR(CHOOSE(FIND(F85,"DCBAS"),1,2,3,4,5),0),IF(LEN(G85)&gt;0,IFERROR(CHOOSE(FIND(G85,"DCBAS"),1,2,3,4,5),0),""))),"")</f>
        <v>3.5</v>
      </c>
      <c r="I85" s="53" t="str">
        <f t="shared" si="2"/>
        <v>A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21.75" customHeight="1">
      <c r="A86" s="4">
        <f>IF('01_인적정보'!B28="","",'01_인적정보'!A28)</f>
        <v>23</v>
      </c>
      <c r="B86" s="4" t="str">
        <f>IF('01_인적정보'!B28="","",'01_인적정보'!B28)</f>
        <v>BSS-023</v>
      </c>
      <c r="C86" s="13" t="str">
        <f>IF('01_인적정보'!B28="","",'01_인적정보'!C28)</f>
        <v>OOO</v>
      </c>
      <c r="D86" s="13" t="str">
        <f>IF('01_인적정보'!B28="","",'01_인적정보'!E28)</f>
        <v>BIM컨설팅</v>
      </c>
      <c r="E86" s="40" t="str">
        <f>IF('01_인적정보'!B28="","",'01_인적정보'!H28)</f>
        <v>G2</v>
      </c>
      <c r="F86" s="19" t="str">
        <f>IF(OR('01_인적정보'!B28="",'07b_하반기입력'!I28=""),"",'07b_하반기입력'!I28)</f>
        <v>A</v>
      </c>
      <c r="G86" s="19" t="str">
        <f>IF(OR('01_인적정보'!B28="",'07b_하반기입력'!J28=""),"",'07b_하반기입력'!J28)</f>
        <v>A</v>
      </c>
      <c r="H86" s="52">
        <f>IFERROR(IF(AND(LEN(F86)&gt;0,LEN(G86)&gt;0),'02_의사결정·종합결과'!$B$67*IFERROR(CHOOSE(FIND(F86,"DCBAS"),1,2,3,4,5),0)+'02_의사결정·종합결과'!$B$68*IFERROR(CHOOSE(FIND(G86,"DCBAS"),1,2,3,4,5),0),IF(LEN(F86)&gt;0,IFERROR(CHOOSE(FIND(F86,"DCBAS"),1,2,3,4,5),0),IF(LEN(G86)&gt;0,IFERROR(CHOOSE(FIND(G86,"DCBAS"),1,2,3,4,5),0),""))),"")</f>
        <v>4</v>
      </c>
      <c r="I86" s="53" t="str">
        <f t="shared" si="2"/>
        <v>A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21.75" customHeight="1">
      <c r="A87" s="4">
        <f>IF('01_인적정보'!B29="","",'01_인적정보'!A29)</f>
        <v>24</v>
      </c>
      <c r="B87" s="4" t="str">
        <f>IF('01_인적정보'!B29="","",'01_인적정보'!B29)</f>
        <v>BSS-024</v>
      </c>
      <c r="C87" s="13" t="str">
        <f>IF('01_인적정보'!B29="","",'01_인적정보'!C29)</f>
        <v>OOO</v>
      </c>
      <c r="D87" s="13" t="str">
        <f>IF('01_인적정보'!B29="","",'01_인적정보'!E29)</f>
        <v>BIM컨설팅</v>
      </c>
      <c r="E87" s="40" t="str">
        <f>IF('01_인적정보'!B29="","",'01_인적정보'!H29)</f>
        <v>G2</v>
      </c>
      <c r="F87" s="19" t="str">
        <f>IF(OR('01_인적정보'!B29="",'07b_하반기입력'!I29=""),"",'07b_하반기입력'!I29)</f>
        <v>A</v>
      </c>
      <c r="G87" s="19" t="str">
        <f>IF(OR('01_인적정보'!B29="",'07b_하반기입력'!J29=""),"",'07b_하반기입력'!J29)</f>
        <v>S</v>
      </c>
      <c r="H87" s="52">
        <f>IFERROR(IF(AND(LEN(F87)&gt;0,LEN(G87)&gt;0),'02_의사결정·종합결과'!$B$67*IFERROR(CHOOSE(FIND(F87,"DCBAS"),1,2,3,4,5),0)+'02_의사결정·종합결과'!$B$68*IFERROR(CHOOSE(FIND(G87,"DCBAS"),1,2,3,4,5),0),IF(LEN(F87)&gt;0,IFERROR(CHOOSE(FIND(F87,"DCBAS"),1,2,3,4,5),0),IF(LEN(G87)&gt;0,IFERROR(CHOOSE(FIND(G87,"DCBAS"),1,2,3,4,5),0),""))),"")</f>
        <v>4.5</v>
      </c>
      <c r="I87" s="53" t="str">
        <f t="shared" si="2"/>
        <v>S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21.75" customHeight="1">
      <c r="A88" s="4">
        <f>IF('01_인적정보'!B30="","",'01_인적정보'!A30)</f>
        <v>25</v>
      </c>
      <c r="B88" s="4" t="str">
        <f>IF('01_인적정보'!B30="","",'01_인적정보'!B30)</f>
        <v>BSS-025</v>
      </c>
      <c r="C88" s="13" t="str">
        <f>IF('01_인적정보'!B30="","",'01_인적정보'!C30)</f>
        <v>OOO</v>
      </c>
      <c r="D88" s="13" t="str">
        <f>IF('01_인적정보'!B30="","",'01_인적정보'!E30)</f>
        <v>연구개발(R&amp;D)</v>
      </c>
      <c r="E88" s="40" t="str">
        <f>IF('01_인적정보'!B30="","",'01_인적정보'!H30)</f>
        <v>G2</v>
      </c>
      <c r="F88" s="19" t="str">
        <f>IF(OR('01_인적정보'!B30="",'07b_하반기입력'!I30=""),"",'07b_하반기입력'!I30)</f>
        <v>D</v>
      </c>
      <c r="G88" s="19" t="str">
        <f>IF(OR('01_인적정보'!B30="",'07b_하반기입력'!J30=""),"",'07b_하반기입력'!J30)</f>
        <v>D</v>
      </c>
      <c r="H88" s="52">
        <f>IFERROR(IF(AND(LEN(F88)&gt;0,LEN(G88)&gt;0),'02_의사결정·종합결과'!$B$67*IFERROR(CHOOSE(FIND(F88,"DCBAS"),1,2,3,4,5),0)+'02_의사결정·종합결과'!$B$68*IFERROR(CHOOSE(FIND(G88,"DCBAS"),1,2,3,4,5),0),IF(LEN(F88)&gt;0,IFERROR(CHOOSE(FIND(F88,"DCBAS"),1,2,3,4,5),0),IF(LEN(G88)&gt;0,IFERROR(CHOOSE(FIND(G88,"DCBAS"),1,2,3,4,5),0),""))),"")</f>
        <v>1</v>
      </c>
      <c r="I88" s="53" t="str">
        <f t="shared" si="2"/>
        <v>D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21.75" customHeight="1">
      <c r="A89" s="4">
        <f>IF('01_인적정보'!B31="","",'01_인적정보'!A31)</f>
        <v>26</v>
      </c>
      <c r="B89" s="4" t="str">
        <f>IF('01_인적정보'!B31="","",'01_인적정보'!B31)</f>
        <v>BSS-026</v>
      </c>
      <c r="C89" s="13" t="str">
        <f>IF('01_인적정보'!B31="","",'01_인적정보'!C31)</f>
        <v>OOO</v>
      </c>
      <c r="D89" s="13" t="str">
        <f>IF('01_인적정보'!B31="","",'01_인적정보'!E31)</f>
        <v>경영전략기획</v>
      </c>
      <c r="E89" s="40" t="str">
        <f>IF('01_인적정보'!B31="","",'01_인적정보'!H31)</f>
        <v>G1</v>
      </c>
      <c r="F89" s="19" t="str">
        <f>IF(OR('01_인적정보'!B31="",'07b_하반기입력'!I31=""),"",'07b_하반기입력'!I31)</f>
        <v>B</v>
      </c>
      <c r="G89" s="19" t="str">
        <f>IF(OR('01_인적정보'!B31="",'07b_하반기입력'!J31=""),"",'07b_하반기입력'!J31)</f>
        <v>A</v>
      </c>
      <c r="H89" s="52">
        <f>IFERROR(IF(AND(LEN(F89)&gt;0,LEN(G89)&gt;0),'02_의사결정·종합결과'!$B$67*IFERROR(CHOOSE(FIND(F89,"DCBAS"),1,2,3,4,5),0)+'02_의사결정·종합결과'!$B$68*IFERROR(CHOOSE(FIND(G89,"DCBAS"),1,2,3,4,5),0),IF(LEN(F89)&gt;0,IFERROR(CHOOSE(FIND(F89,"DCBAS"),1,2,3,4,5),0),IF(LEN(G89)&gt;0,IFERROR(CHOOSE(FIND(G89,"DCBAS"),1,2,3,4,5),0),""))),"")</f>
        <v>3.5</v>
      </c>
      <c r="I89" s="53" t="str">
        <f t="shared" si="2"/>
        <v>A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21.75" customHeight="1">
      <c r="A90" s="4">
        <f>IF('01_인적정보'!B32="","",'01_인적정보'!A32)</f>
        <v>27</v>
      </c>
      <c r="B90" s="4" t="str">
        <f>IF('01_인적정보'!B32="","",'01_인적정보'!B32)</f>
        <v>BSS-027</v>
      </c>
      <c r="C90" s="13" t="str">
        <f>IF('01_인적정보'!B32="","",'01_인적정보'!C32)</f>
        <v>OOO</v>
      </c>
      <c r="D90" s="13" t="str">
        <f>IF('01_인적정보'!B32="","",'01_인적정보'!E32)</f>
        <v>교육</v>
      </c>
      <c r="E90" s="40" t="str">
        <f>IF('01_인적정보'!B32="","",'01_인적정보'!H32)</f>
        <v>G2</v>
      </c>
      <c r="F90" s="19" t="str">
        <f>IF(OR('01_인적정보'!B32="",'07b_하반기입력'!I32=""),"",'07b_하반기입력'!I32)</f>
        <v>A</v>
      </c>
      <c r="G90" s="19" t="str">
        <f>IF(OR('01_인적정보'!B32="",'07b_하반기입력'!J32=""),"",'07b_하반기입력'!J32)</f>
        <v>A</v>
      </c>
      <c r="H90" s="52">
        <f>IFERROR(IF(AND(LEN(F90)&gt;0,LEN(G90)&gt;0),'02_의사결정·종합결과'!$B$67*IFERROR(CHOOSE(FIND(F90,"DCBAS"),1,2,3,4,5),0)+'02_의사결정·종합결과'!$B$68*IFERROR(CHOOSE(FIND(G90,"DCBAS"),1,2,3,4,5),0),IF(LEN(F90)&gt;0,IFERROR(CHOOSE(FIND(F90,"DCBAS"),1,2,3,4,5),0),IF(LEN(G90)&gt;0,IFERROR(CHOOSE(FIND(G90,"DCBAS"),1,2,3,4,5),0),""))),"")</f>
        <v>4</v>
      </c>
      <c r="I90" s="53" t="str">
        <f t="shared" si="2"/>
        <v>A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21.75" customHeight="1">
      <c r="A91" s="4">
        <f>IF('01_인적정보'!B33="","",'01_인적정보'!A33)</f>
        <v>28</v>
      </c>
      <c r="B91" s="4" t="str">
        <f>IF('01_인적정보'!B33="","",'01_인적정보'!B33)</f>
        <v>BSS-028</v>
      </c>
      <c r="C91" s="13" t="str">
        <f>IF('01_인적정보'!B33="","",'01_인적정보'!C33)</f>
        <v>OOO</v>
      </c>
      <c r="D91" s="13" t="str">
        <f>IF('01_인적정보'!B33="","",'01_인적정보'!E33)</f>
        <v>BIM컨설팅</v>
      </c>
      <c r="E91" s="40" t="str">
        <f>IF('01_인적정보'!B33="","",'01_인적정보'!H33)</f>
        <v>G1</v>
      </c>
      <c r="F91" s="19" t="str">
        <f>IF(OR('01_인적정보'!B33="",'07b_하반기입력'!I33=""),"",'07b_하반기입력'!I33)</f>
        <v>A</v>
      </c>
      <c r="G91" s="19" t="str">
        <f>IF(OR('01_인적정보'!B33="",'07b_하반기입력'!J33=""),"",'07b_하반기입력'!J33)</f>
        <v>A</v>
      </c>
      <c r="H91" s="52">
        <f>IFERROR(IF(AND(LEN(F91)&gt;0,LEN(G91)&gt;0),'02_의사결정·종합결과'!$B$67*IFERROR(CHOOSE(FIND(F91,"DCBAS"),1,2,3,4,5),0)+'02_의사결정·종합결과'!$B$68*IFERROR(CHOOSE(FIND(G91,"DCBAS"),1,2,3,4,5),0),IF(LEN(F91)&gt;0,IFERROR(CHOOSE(FIND(F91,"DCBAS"),1,2,3,4,5),0),IF(LEN(G91)&gt;0,IFERROR(CHOOSE(FIND(G91,"DCBAS"),1,2,3,4,5),0),""))),"")</f>
        <v>4</v>
      </c>
      <c r="I91" s="53" t="str">
        <f t="shared" si="2"/>
        <v>A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21.75" customHeight="1">
      <c r="A92" s="4">
        <f>IF('01_인적정보'!B34="","",'01_인적정보'!A34)</f>
        <v>29</v>
      </c>
      <c r="B92" s="4" t="str">
        <f>IF('01_인적정보'!B34="","",'01_인적정보'!B34)</f>
        <v>BSS-029</v>
      </c>
      <c r="C92" s="13" t="str">
        <f>IF('01_인적정보'!B34="","",'01_인적정보'!C34)</f>
        <v>OOO</v>
      </c>
      <c r="D92" s="13" t="str">
        <f>IF('01_인적정보'!B34="","",'01_인적정보'!E34)</f>
        <v>BIM컨설팅</v>
      </c>
      <c r="E92" s="40" t="str">
        <f>IF('01_인적정보'!B34="","",'01_인적정보'!H34)</f>
        <v>G1</v>
      </c>
      <c r="F92" s="19" t="str">
        <f>IF(OR('01_인적정보'!B34="",'07b_하반기입력'!I34=""),"",'07b_하반기입력'!I34)</f>
        <v>B</v>
      </c>
      <c r="G92" s="19" t="str">
        <f>IF(OR('01_인적정보'!B34="",'07b_하반기입력'!J34=""),"",'07b_하반기입력'!J34)</f>
        <v>B</v>
      </c>
      <c r="H92" s="52">
        <f>IFERROR(IF(AND(LEN(F92)&gt;0,LEN(G92)&gt;0),'02_의사결정·종합결과'!$B$67*IFERROR(CHOOSE(FIND(F92,"DCBAS"),1,2,3,4,5),0)+'02_의사결정·종합결과'!$B$68*IFERROR(CHOOSE(FIND(G92,"DCBAS"),1,2,3,4,5),0),IF(LEN(F92)&gt;0,IFERROR(CHOOSE(FIND(F92,"DCBAS"),1,2,3,4,5),0),IF(LEN(G92)&gt;0,IFERROR(CHOOSE(FIND(G92,"DCBAS"),1,2,3,4,5),0),""))),"")</f>
        <v>3</v>
      </c>
      <c r="I92" s="53" t="str">
        <f t="shared" si="2"/>
        <v>B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21.75" customHeight="1">
      <c r="A93" s="4">
        <f>IF('01_인적정보'!B35="","",'01_인적정보'!A35)</f>
        <v>30</v>
      </c>
      <c r="B93" s="4" t="str">
        <f>IF('01_인적정보'!B35="","",'01_인적정보'!B35)</f>
        <v>BSS-030</v>
      </c>
      <c r="C93" s="13" t="str">
        <f>IF('01_인적정보'!B35="","",'01_인적정보'!C35)</f>
        <v>OOO</v>
      </c>
      <c r="D93" s="13" t="str">
        <f>IF('01_인적정보'!B35="","",'01_인적정보'!E35)</f>
        <v>BIM컨설팅</v>
      </c>
      <c r="E93" s="40" t="str">
        <f>IF('01_인적정보'!B35="","",'01_인적정보'!H35)</f>
        <v>G1</v>
      </c>
      <c r="F93" s="19" t="str">
        <f>IF(OR('01_인적정보'!B35="",'07b_하반기입력'!I35=""),"",'07b_하반기입력'!I35)</f>
        <v>B</v>
      </c>
      <c r="G93" s="19" t="str">
        <f>IF(OR('01_인적정보'!B35="",'07b_하반기입력'!J35=""),"",'07b_하반기입력'!J35)</f>
        <v>A</v>
      </c>
      <c r="H93" s="52">
        <f>IFERROR(IF(AND(LEN(F93)&gt;0,LEN(G93)&gt;0),'02_의사결정·종합결과'!$B$67*IFERROR(CHOOSE(FIND(F93,"DCBAS"),1,2,3,4,5),0)+'02_의사결정·종합결과'!$B$68*IFERROR(CHOOSE(FIND(G93,"DCBAS"),1,2,3,4,5),0),IF(LEN(F93)&gt;0,IFERROR(CHOOSE(FIND(F93,"DCBAS"),1,2,3,4,5),0),IF(LEN(G93)&gt;0,IFERROR(CHOOSE(FIND(G93,"DCBAS"),1,2,3,4,5),0),""))),"")</f>
        <v>3.5</v>
      </c>
      <c r="I93" s="53" t="str">
        <f t="shared" si="2"/>
        <v>A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21.75" customHeight="1">
      <c r="A94" s="4">
        <f>IF('01_인적정보'!B36="","",'01_인적정보'!A36)</f>
        <v>31</v>
      </c>
      <c r="B94" s="4" t="str">
        <f>IF('01_인적정보'!B36="","",'01_인적정보'!B36)</f>
        <v>BSS-031</v>
      </c>
      <c r="C94" s="13" t="str">
        <f>IF('01_인적정보'!B36="","",'01_인적정보'!C36)</f>
        <v>OOO</v>
      </c>
      <c r="D94" s="13" t="str">
        <f>IF('01_인적정보'!B36="","",'01_인적정보'!E36)</f>
        <v>BIM컨설팅</v>
      </c>
      <c r="E94" s="40" t="str">
        <f>IF('01_인적정보'!B36="","",'01_인적정보'!H36)</f>
        <v>G1</v>
      </c>
      <c r="F94" s="19" t="str">
        <f>IF(OR('01_인적정보'!B36="",'07b_하반기입력'!I36=""),"",'07b_하반기입력'!I36)</f>
        <v>B</v>
      </c>
      <c r="G94" s="19" t="str">
        <f>IF(OR('01_인적정보'!B36="",'07b_하반기입력'!J36=""),"",'07b_하반기입력'!J36)</f>
        <v>B</v>
      </c>
      <c r="H94" s="52">
        <f>IFERROR(IF(AND(LEN(F94)&gt;0,LEN(G94)&gt;0),'02_의사결정·종합결과'!$B$67*IFERROR(CHOOSE(FIND(F94,"DCBAS"),1,2,3,4,5),0)+'02_의사결정·종합결과'!$B$68*IFERROR(CHOOSE(FIND(G94,"DCBAS"),1,2,3,4,5),0),IF(LEN(F94)&gt;0,IFERROR(CHOOSE(FIND(F94,"DCBAS"),1,2,3,4,5),0),IF(LEN(G94)&gt;0,IFERROR(CHOOSE(FIND(G94,"DCBAS"),1,2,3,4,5),0),""))),"")</f>
        <v>3</v>
      </c>
      <c r="I94" s="53" t="str">
        <f t="shared" si="2"/>
        <v>B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21.75" customHeight="1">
      <c r="A95" s="4">
        <f>IF('01_인적정보'!B37="","",'01_인적정보'!A37)</f>
        <v>32</v>
      </c>
      <c r="B95" s="4" t="str">
        <f>IF('01_인적정보'!B37="","",'01_인적정보'!B37)</f>
        <v>BSS-032</v>
      </c>
      <c r="C95" s="13" t="str">
        <f>IF('01_인적정보'!B37="","",'01_인적정보'!C37)</f>
        <v>OOO</v>
      </c>
      <c r="D95" s="13" t="str">
        <f>IF('01_인적정보'!B37="","",'01_인적정보'!E37)</f>
        <v>BIM컨설팅</v>
      </c>
      <c r="E95" s="40" t="str">
        <f>IF('01_인적정보'!B37="","",'01_인적정보'!H37)</f>
        <v>G1</v>
      </c>
      <c r="F95" s="19" t="str">
        <f>IF(OR('01_인적정보'!B37="",'07b_하반기입력'!I37=""),"",'07b_하반기입력'!I37)</f>
        <v>A</v>
      </c>
      <c r="G95" s="19" t="str">
        <f>IF(OR('01_인적정보'!B37="",'07b_하반기입력'!J37=""),"",'07b_하반기입력'!J37)</f>
        <v>A</v>
      </c>
      <c r="H95" s="52">
        <f>IFERROR(IF(AND(LEN(F95)&gt;0,LEN(G95)&gt;0),'02_의사결정·종합결과'!$B$67*IFERROR(CHOOSE(FIND(F95,"DCBAS"),1,2,3,4,5),0)+'02_의사결정·종합결과'!$B$68*IFERROR(CHOOSE(FIND(G95,"DCBAS"),1,2,3,4,5),0),IF(LEN(F95)&gt;0,IFERROR(CHOOSE(FIND(F95,"DCBAS"),1,2,3,4,5),0),IF(LEN(G95)&gt;0,IFERROR(CHOOSE(FIND(G95,"DCBAS"),1,2,3,4,5),0),""))),"")</f>
        <v>4</v>
      </c>
      <c r="I95" s="53" t="str">
        <f t="shared" si="2"/>
        <v>A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21.75" customHeight="1">
      <c r="A96" s="4">
        <f>IF('01_인적정보'!B38="","",'01_인적정보'!A38)</f>
        <v>33</v>
      </c>
      <c r="B96" s="4" t="str">
        <f>IF('01_인적정보'!B38="","",'01_인적정보'!B38)</f>
        <v>BSS-033</v>
      </c>
      <c r="C96" s="13" t="str">
        <f>IF('01_인적정보'!B38="","",'01_인적정보'!C38)</f>
        <v>OOO</v>
      </c>
      <c r="D96" s="13" t="str">
        <f>IF('01_인적정보'!B38="","",'01_인적정보'!E38)</f>
        <v>BIM컨설팅</v>
      </c>
      <c r="E96" s="40" t="str">
        <f>IF('01_인적정보'!B38="","",'01_인적정보'!H38)</f>
        <v>G1</v>
      </c>
      <c r="F96" s="19" t="str">
        <f>IF(OR('01_인적정보'!B38="",'07b_하반기입력'!I38=""),"",'07b_하반기입력'!I38)</f>
        <v>B</v>
      </c>
      <c r="G96" s="19" t="str">
        <f>IF(OR('01_인적정보'!B38="",'07b_하반기입력'!J38=""),"",'07b_하반기입력'!J38)</f>
        <v>B</v>
      </c>
      <c r="H96" s="52">
        <f>IFERROR(IF(AND(LEN(F96)&gt;0,LEN(G96)&gt;0),'02_의사결정·종합결과'!$B$67*IFERROR(CHOOSE(FIND(F96,"DCBAS"),1,2,3,4,5),0)+'02_의사결정·종합결과'!$B$68*IFERROR(CHOOSE(FIND(G96,"DCBAS"),1,2,3,4,5),0),IF(LEN(F96)&gt;0,IFERROR(CHOOSE(FIND(F96,"DCBAS"),1,2,3,4,5),0),IF(LEN(G96)&gt;0,IFERROR(CHOOSE(FIND(G96,"DCBAS"),1,2,3,4,5),0),""))),"")</f>
        <v>3</v>
      </c>
      <c r="I96" s="53" t="str">
        <f t="shared" ref="I96:I113" si="3">IF(OR(H96="",NOT(ISNUMBER(H96)),H96&lt;0.5),"",IF(H96&gt;=4.5,"S",IF(H96&gt;=3.5,"A",IF(H96&gt;=2.5,"B",IF(H96&gt;=1.5,"C","D")))))</f>
        <v>B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21.75" customHeight="1">
      <c r="A97" s="4">
        <f>IF('01_인적정보'!B39="","",'01_인적정보'!A39)</f>
        <v>34</v>
      </c>
      <c r="B97" s="4" t="str">
        <f>IF('01_인적정보'!B39="","",'01_인적정보'!B39)</f>
        <v>BSS-034</v>
      </c>
      <c r="C97" s="13" t="str">
        <f>IF('01_인적정보'!B39="","",'01_인적정보'!C39)</f>
        <v>OOO</v>
      </c>
      <c r="D97" s="13" t="str">
        <f>IF('01_인적정보'!B39="","",'01_인적정보'!E39)</f>
        <v>BIM컨설팅</v>
      </c>
      <c r="E97" s="40" t="str">
        <f>IF('01_인적정보'!B39="","",'01_인적정보'!H39)</f>
        <v>G1</v>
      </c>
      <c r="F97" s="19" t="str">
        <f>IF(OR('01_인적정보'!B39="",'07b_하반기입력'!I39=""),"",'07b_하반기입력'!I39)</f>
        <v>A</v>
      </c>
      <c r="G97" s="19" t="str">
        <f>IF(OR('01_인적정보'!B39="",'07b_하반기입력'!J39=""),"",'07b_하반기입력'!J39)</f>
        <v>S</v>
      </c>
      <c r="H97" s="52">
        <f>IFERROR(IF(AND(LEN(F97)&gt;0,LEN(G97)&gt;0),'02_의사결정·종합결과'!$B$67*IFERROR(CHOOSE(FIND(F97,"DCBAS"),1,2,3,4,5),0)+'02_의사결정·종합결과'!$B$68*IFERROR(CHOOSE(FIND(G97,"DCBAS"),1,2,3,4,5),0),IF(LEN(F97)&gt;0,IFERROR(CHOOSE(FIND(F97,"DCBAS"),1,2,3,4,5),0),IF(LEN(G97)&gt;0,IFERROR(CHOOSE(FIND(G97,"DCBAS"),1,2,3,4,5),0),""))),"")</f>
        <v>4.5</v>
      </c>
      <c r="I97" s="53" t="str">
        <f t="shared" si="3"/>
        <v>S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21.75" customHeight="1">
      <c r="A98" s="4" t="str">
        <f>IF('01_인적정보'!B40="","",'01_인적정보'!A40)</f>
        <v/>
      </c>
      <c r="B98" s="4" t="str">
        <f>IF('01_인적정보'!B40="","",'01_인적정보'!B40)</f>
        <v/>
      </c>
      <c r="C98" s="13" t="str">
        <f>IF('01_인적정보'!B40="","",'01_인적정보'!C40)</f>
        <v/>
      </c>
      <c r="D98" s="13" t="str">
        <f>IF('01_인적정보'!B40="","",'01_인적정보'!E40)</f>
        <v/>
      </c>
      <c r="E98" s="40" t="str">
        <f>IF('01_인적정보'!B40="","",'01_인적정보'!H40)</f>
        <v/>
      </c>
      <c r="F98" s="19" t="str">
        <f>IF(OR('01_인적정보'!B40="",'07b_하반기입력'!I40=""),"",'07b_하반기입력'!I40)</f>
        <v/>
      </c>
      <c r="G98" s="19" t="str">
        <f>IF(OR('01_인적정보'!B40="",'07b_하반기입력'!J40=""),"",'07b_하반기입력'!J40)</f>
        <v/>
      </c>
      <c r="H98" s="52" t="str">
        <f>IFERROR(IF(AND(LEN(F98)&gt;0,LEN(G98)&gt;0),'02_의사결정·종합결과'!$B$67*IFERROR(CHOOSE(FIND(F98,"DCBAS"),1,2,3,4,5),0)+'02_의사결정·종합결과'!$B$68*IFERROR(CHOOSE(FIND(G98,"DCBAS"),1,2,3,4,5),0),IF(LEN(F98)&gt;0,IFERROR(CHOOSE(FIND(F98,"DCBAS"),1,2,3,4,5),0),IF(LEN(G98)&gt;0,IFERROR(CHOOSE(FIND(G98,"DCBAS"),1,2,3,4,5),0),""))),"")</f>
        <v/>
      </c>
      <c r="I98" s="53" t="str">
        <f t="shared" si="3"/>
        <v/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21.75" customHeight="1">
      <c r="A99" s="4" t="str">
        <f>IF('01_인적정보'!B41="","",'01_인적정보'!A41)</f>
        <v/>
      </c>
      <c r="B99" s="4" t="str">
        <f>IF('01_인적정보'!B41="","",'01_인적정보'!B41)</f>
        <v/>
      </c>
      <c r="C99" s="13" t="str">
        <f>IF('01_인적정보'!B41="","",'01_인적정보'!C41)</f>
        <v/>
      </c>
      <c r="D99" s="13" t="str">
        <f>IF('01_인적정보'!B41="","",'01_인적정보'!E41)</f>
        <v/>
      </c>
      <c r="E99" s="40" t="str">
        <f>IF('01_인적정보'!B41="","",'01_인적정보'!H41)</f>
        <v/>
      </c>
      <c r="F99" s="19" t="str">
        <f>IF(OR('01_인적정보'!B41="",'07b_하반기입력'!I41=""),"",'07b_하반기입력'!I41)</f>
        <v/>
      </c>
      <c r="G99" s="19" t="str">
        <f>IF(OR('01_인적정보'!B41="",'07b_하반기입력'!J41=""),"",'07b_하반기입력'!J41)</f>
        <v/>
      </c>
      <c r="H99" s="52" t="str">
        <f>IFERROR(IF(AND(LEN(F99)&gt;0,LEN(G99)&gt;0),'02_의사결정·종합결과'!$B$67*IFERROR(CHOOSE(FIND(F99,"DCBAS"),1,2,3,4,5),0)+'02_의사결정·종합결과'!$B$68*IFERROR(CHOOSE(FIND(G99,"DCBAS"),1,2,3,4,5),0),IF(LEN(F99)&gt;0,IFERROR(CHOOSE(FIND(F99,"DCBAS"),1,2,3,4,5),0),IF(LEN(G99)&gt;0,IFERROR(CHOOSE(FIND(G99,"DCBAS"),1,2,3,4,5),0),""))),"")</f>
        <v/>
      </c>
      <c r="I99" s="53" t="str">
        <f t="shared" si="3"/>
        <v/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21.75" customHeight="1">
      <c r="A100" s="4" t="str">
        <f>IF('01_인적정보'!B42="","",'01_인적정보'!A42)</f>
        <v/>
      </c>
      <c r="B100" s="4" t="str">
        <f>IF('01_인적정보'!B42="","",'01_인적정보'!B42)</f>
        <v/>
      </c>
      <c r="C100" s="13" t="str">
        <f>IF('01_인적정보'!B42="","",'01_인적정보'!C42)</f>
        <v/>
      </c>
      <c r="D100" s="13" t="str">
        <f>IF('01_인적정보'!B42="","",'01_인적정보'!E42)</f>
        <v/>
      </c>
      <c r="E100" s="40" t="str">
        <f>IF('01_인적정보'!B42="","",'01_인적정보'!H42)</f>
        <v/>
      </c>
      <c r="F100" s="19" t="str">
        <f>IF(OR('01_인적정보'!B42="",'07b_하반기입력'!I42=""),"",'07b_하반기입력'!I42)</f>
        <v/>
      </c>
      <c r="G100" s="19" t="str">
        <f>IF(OR('01_인적정보'!B42="",'07b_하반기입력'!J42=""),"",'07b_하반기입력'!J42)</f>
        <v/>
      </c>
      <c r="H100" s="52" t="str">
        <f>IFERROR(IF(AND(LEN(F100)&gt;0,LEN(G100)&gt;0),'02_의사결정·종합결과'!$B$67*IFERROR(CHOOSE(FIND(F100,"DCBAS"),1,2,3,4,5),0)+'02_의사결정·종합결과'!$B$68*IFERROR(CHOOSE(FIND(G100,"DCBAS"),1,2,3,4,5),0),IF(LEN(F100)&gt;0,IFERROR(CHOOSE(FIND(F100,"DCBAS"),1,2,3,4,5),0),IF(LEN(G100)&gt;0,IFERROR(CHOOSE(FIND(G100,"DCBAS"),1,2,3,4,5),0),""))),"")</f>
        <v/>
      </c>
      <c r="I100" s="53" t="str">
        <f t="shared" si="3"/>
        <v/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21.75" customHeight="1">
      <c r="A101" s="4" t="str">
        <f>IF('01_인적정보'!B43="","",'01_인적정보'!A43)</f>
        <v/>
      </c>
      <c r="B101" s="4" t="str">
        <f>IF('01_인적정보'!B43="","",'01_인적정보'!B43)</f>
        <v/>
      </c>
      <c r="C101" s="13" t="str">
        <f>IF('01_인적정보'!B43="","",'01_인적정보'!C43)</f>
        <v/>
      </c>
      <c r="D101" s="13" t="str">
        <f>IF('01_인적정보'!B43="","",'01_인적정보'!E43)</f>
        <v/>
      </c>
      <c r="E101" s="40" t="str">
        <f>IF('01_인적정보'!B43="","",'01_인적정보'!H43)</f>
        <v/>
      </c>
      <c r="F101" s="19" t="str">
        <f>IF(OR('01_인적정보'!B43="",'07b_하반기입력'!I43=""),"",'07b_하반기입력'!I43)</f>
        <v/>
      </c>
      <c r="G101" s="19" t="str">
        <f>IF(OR('01_인적정보'!B43="",'07b_하반기입력'!J43=""),"",'07b_하반기입력'!J43)</f>
        <v/>
      </c>
      <c r="H101" s="52" t="str">
        <f>IFERROR(IF(AND(LEN(F101)&gt;0,LEN(G101)&gt;0),'02_의사결정·종합결과'!$B$67*IFERROR(CHOOSE(FIND(F101,"DCBAS"),1,2,3,4,5),0)+'02_의사결정·종합결과'!$B$68*IFERROR(CHOOSE(FIND(G101,"DCBAS"),1,2,3,4,5),0),IF(LEN(F101)&gt;0,IFERROR(CHOOSE(FIND(F101,"DCBAS"),1,2,3,4,5),0),IF(LEN(G101)&gt;0,IFERROR(CHOOSE(FIND(G101,"DCBAS"),1,2,3,4,5),0),""))),"")</f>
        <v/>
      </c>
      <c r="I101" s="53" t="str">
        <f t="shared" si="3"/>
        <v/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21.75" customHeight="1">
      <c r="A102" s="4" t="str">
        <f>IF('01_인적정보'!B44="","",'01_인적정보'!A44)</f>
        <v/>
      </c>
      <c r="B102" s="4" t="str">
        <f>IF('01_인적정보'!B44="","",'01_인적정보'!B44)</f>
        <v/>
      </c>
      <c r="C102" s="13" t="str">
        <f>IF('01_인적정보'!B44="","",'01_인적정보'!C44)</f>
        <v/>
      </c>
      <c r="D102" s="13" t="str">
        <f>IF('01_인적정보'!B44="","",'01_인적정보'!E44)</f>
        <v/>
      </c>
      <c r="E102" s="40" t="str">
        <f>IF('01_인적정보'!B44="","",'01_인적정보'!H44)</f>
        <v/>
      </c>
      <c r="F102" s="19" t="str">
        <f>IF(OR('01_인적정보'!B44="",'07b_하반기입력'!I44=""),"",'07b_하반기입력'!I44)</f>
        <v/>
      </c>
      <c r="G102" s="19" t="str">
        <f>IF(OR('01_인적정보'!B44="",'07b_하반기입력'!J44=""),"",'07b_하반기입력'!J44)</f>
        <v/>
      </c>
      <c r="H102" s="52" t="str">
        <f>IFERROR(IF(AND(LEN(F102)&gt;0,LEN(G102)&gt;0),'02_의사결정·종합결과'!$B$67*IFERROR(CHOOSE(FIND(F102,"DCBAS"),1,2,3,4,5),0)+'02_의사결정·종합결과'!$B$68*IFERROR(CHOOSE(FIND(G102,"DCBAS"),1,2,3,4,5),0),IF(LEN(F102)&gt;0,IFERROR(CHOOSE(FIND(F102,"DCBAS"),1,2,3,4,5),0),IF(LEN(G102)&gt;0,IFERROR(CHOOSE(FIND(G102,"DCBAS"),1,2,3,4,5),0),""))),"")</f>
        <v/>
      </c>
      <c r="I102" s="53" t="str">
        <f t="shared" si="3"/>
        <v/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21.75" customHeight="1">
      <c r="A103" s="4" t="str">
        <f>IF('01_인적정보'!B45="","",'01_인적정보'!A45)</f>
        <v/>
      </c>
      <c r="B103" s="4" t="str">
        <f>IF('01_인적정보'!B45="","",'01_인적정보'!B45)</f>
        <v/>
      </c>
      <c r="C103" s="13" t="str">
        <f>IF('01_인적정보'!B45="","",'01_인적정보'!C45)</f>
        <v/>
      </c>
      <c r="D103" s="13" t="str">
        <f>IF('01_인적정보'!B45="","",'01_인적정보'!E45)</f>
        <v/>
      </c>
      <c r="E103" s="40" t="str">
        <f>IF('01_인적정보'!B45="","",'01_인적정보'!H45)</f>
        <v/>
      </c>
      <c r="F103" s="19" t="str">
        <f>IF(OR('01_인적정보'!B45="",'07b_하반기입력'!I45=""),"",'07b_하반기입력'!I45)</f>
        <v/>
      </c>
      <c r="G103" s="19" t="str">
        <f>IF(OR('01_인적정보'!B45="",'07b_하반기입력'!J45=""),"",'07b_하반기입력'!J45)</f>
        <v/>
      </c>
      <c r="H103" s="52" t="str">
        <f>IFERROR(IF(AND(LEN(F103)&gt;0,LEN(G103)&gt;0),'02_의사결정·종합결과'!$B$67*IFERROR(CHOOSE(FIND(F103,"DCBAS"),1,2,3,4,5),0)+'02_의사결정·종합결과'!$B$68*IFERROR(CHOOSE(FIND(G103,"DCBAS"),1,2,3,4,5),0),IF(LEN(F103)&gt;0,IFERROR(CHOOSE(FIND(F103,"DCBAS"),1,2,3,4,5),0),IF(LEN(G103)&gt;0,IFERROR(CHOOSE(FIND(G103,"DCBAS"),1,2,3,4,5),0),""))),"")</f>
        <v/>
      </c>
      <c r="I103" s="53" t="str">
        <f t="shared" si="3"/>
        <v/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21.75" customHeight="1">
      <c r="A104" s="4" t="str">
        <f>IF('01_인적정보'!B46="","",'01_인적정보'!A46)</f>
        <v/>
      </c>
      <c r="B104" s="4" t="str">
        <f>IF('01_인적정보'!B46="","",'01_인적정보'!B46)</f>
        <v/>
      </c>
      <c r="C104" s="13" t="str">
        <f>IF('01_인적정보'!B46="","",'01_인적정보'!C46)</f>
        <v/>
      </c>
      <c r="D104" s="13" t="str">
        <f>IF('01_인적정보'!B46="","",'01_인적정보'!E46)</f>
        <v/>
      </c>
      <c r="E104" s="40" t="str">
        <f>IF('01_인적정보'!B46="","",'01_인적정보'!H46)</f>
        <v/>
      </c>
      <c r="F104" s="19" t="str">
        <f>IF(OR('01_인적정보'!B46="",'07b_하반기입력'!I46=""),"",'07b_하반기입력'!I46)</f>
        <v/>
      </c>
      <c r="G104" s="19" t="str">
        <f>IF(OR('01_인적정보'!B46="",'07b_하반기입력'!J46=""),"",'07b_하반기입력'!J46)</f>
        <v/>
      </c>
      <c r="H104" s="52" t="str">
        <f>IFERROR(IF(AND(LEN(F104)&gt;0,LEN(G104)&gt;0),'02_의사결정·종합결과'!$B$67*IFERROR(CHOOSE(FIND(F104,"DCBAS"),1,2,3,4,5),0)+'02_의사결정·종합결과'!$B$68*IFERROR(CHOOSE(FIND(G104,"DCBAS"),1,2,3,4,5),0),IF(LEN(F104)&gt;0,IFERROR(CHOOSE(FIND(F104,"DCBAS"),1,2,3,4,5),0),IF(LEN(G104)&gt;0,IFERROR(CHOOSE(FIND(G104,"DCBAS"),1,2,3,4,5),0),""))),"")</f>
        <v/>
      </c>
      <c r="I104" s="53" t="str">
        <f t="shared" si="3"/>
        <v/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21.75" customHeight="1">
      <c r="A105" s="4" t="str">
        <f>IF('01_인적정보'!B47="","",'01_인적정보'!A47)</f>
        <v/>
      </c>
      <c r="B105" s="4" t="str">
        <f>IF('01_인적정보'!B47="","",'01_인적정보'!B47)</f>
        <v/>
      </c>
      <c r="C105" s="13" t="str">
        <f>IF('01_인적정보'!B47="","",'01_인적정보'!C47)</f>
        <v/>
      </c>
      <c r="D105" s="13" t="str">
        <f>IF('01_인적정보'!B47="","",'01_인적정보'!E47)</f>
        <v/>
      </c>
      <c r="E105" s="40" t="str">
        <f>IF('01_인적정보'!B47="","",'01_인적정보'!H47)</f>
        <v/>
      </c>
      <c r="F105" s="19" t="str">
        <f>IF(OR('01_인적정보'!B47="",'07b_하반기입력'!I47=""),"",'07b_하반기입력'!I47)</f>
        <v/>
      </c>
      <c r="G105" s="19" t="str">
        <f>IF(OR('01_인적정보'!B47="",'07b_하반기입력'!J47=""),"",'07b_하반기입력'!J47)</f>
        <v/>
      </c>
      <c r="H105" s="52" t="str">
        <f>IFERROR(IF(AND(LEN(F105)&gt;0,LEN(G105)&gt;0),'02_의사결정·종합결과'!$B$67*IFERROR(CHOOSE(FIND(F105,"DCBAS"),1,2,3,4,5),0)+'02_의사결정·종합결과'!$B$68*IFERROR(CHOOSE(FIND(G105,"DCBAS"),1,2,3,4,5),0),IF(LEN(F105)&gt;0,IFERROR(CHOOSE(FIND(F105,"DCBAS"),1,2,3,4,5),0),IF(LEN(G105)&gt;0,IFERROR(CHOOSE(FIND(G105,"DCBAS"),1,2,3,4,5),0),""))),"")</f>
        <v/>
      </c>
      <c r="I105" s="53" t="str">
        <f t="shared" si="3"/>
        <v/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21.75" customHeight="1">
      <c r="A106" s="4" t="str">
        <f>IF('01_인적정보'!B48="","",'01_인적정보'!A48)</f>
        <v/>
      </c>
      <c r="B106" s="4" t="str">
        <f>IF('01_인적정보'!B48="","",'01_인적정보'!B48)</f>
        <v/>
      </c>
      <c r="C106" s="13" t="str">
        <f>IF('01_인적정보'!B48="","",'01_인적정보'!C48)</f>
        <v/>
      </c>
      <c r="D106" s="13" t="str">
        <f>IF('01_인적정보'!B48="","",'01_인적정보'!E48)</f>
        <v/>
      </c>
      <c r="E106" s="40" t="str">
        <f>IF('01_인적정보'!B48="","",'01_인적정보'!H48)</f>
        <v/>
      </c>
      <c r="F106" s="19" t="str">
        <f>IF(OR('01_인적정보'!B48="",'07b_하반기입력'!I48=""),"",'07b_하반기입력'!I48)</f>
        <v/>
      </c>
      <c r="G106" s="19" t="str">
        <f>IF(OR('01_인적정보'!B48="",'07b_하반기입력'!J48=""),"",'07b_하반기입력'!J48)</f>
        <v/>
      </c>
      <c r="H106" s="52" t="str">
        <f>IFERROR(IF(AND(LEN(F106)&gt;0,LEN(G106)&gt;0),'02_의사결정·종합결과'!$B$67*IFERROR(CHOOSE(FIND(F106,"DCBAS"),1,2,3,4,5),0)+'02_의사결정·종합결과'!$B$68*IFERROR(CHOOSE(FIND(G106,"DCBAS"),1,2,3,4,5),0),IF(LEN(F106)&gt;0,IFERROR(CHOOSE(FIND(F106,"DCBAS"),1,2,3,4,5),0),IF(LEN(G106)&gt;0,IFERROR(CHOOSE(FIND(G106,"DCBAS"),1,2,3,4,5),0),""))),"")</f>
        <v/>
      </c>
      <c r="I106" s="53" t="str">
        <f t="shared" si="3"/>
        <v/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21.75" customHeight="1">
      <c r="A107" s="4" t="str">
        <f>IF('01_인적정보'!B49="","",'01_인적정보'!A49)</f>
        <v/>
      </c>
      <c r="B107" s="4" t="str">
        <f>IF('01_인적정보'!B49="","",'01_인적정보'!B49)</f>
        <v/>
      </c>
      <c r="C107" s="13" t="str">
        <f>IF('01_인적정보'!B49="","",'01_인적정보'!C49)</f>
        <v/>
      </c>
      <c r="D107" s="13" t="str">
        <f>IF('01_인적정보'!B49="","",'01_인적정보'!E49)</f>
        <v/>
      </c>
      <c r="E107" s="40" t="str">
        <f>IF('01_인적정보'!B49="","",'01_인적정보'!H49)</f>
        <v/>
      </c>
      <c r="F107" s="19" t="str">
        <f>IF(OR('01_인적정보'!B49="",'07b_하반기입력'!I49=""),"",'07b_하반기입력'!I49)</f>
        <v/>
      </c>
      <c r="G107" s="19" t="str">
        <f>IF(OR('01_인적정보'!B49="",'07b_하반기입력'!J49=""),"",'07b_하반기입력'!J49)</f>
        <v/>
      </c>
      <c r="H107" s="52" t="str">
        <f>IFERROR(IF(AND(LEN(F107)&gt;0,LEN(G107)&gt;0),'02_의사결정·종합결과'!$B$67*IFERROR(CHOOSE(FIND(F107,"DCBAS"),1,2,3,4,5),0)+'02_의사결정·종합결과'!$B$68*IFERROR(CHOOSE(FIND(G107,"DCBAS"),1,2,3,4,5),0),IF(LEN(F107)&gt;0,IFERROR(CHOOSE(FIND(F107,"DCBAS"),1,2,3,4,5),0),IF(LEN(G107)&gt;0,IFERROR(CHOOSE(FIND(G107,"DCBAS"),1,2,3,4,5),0),""))),"")</f>
        <v/>
      </c>
      <c r="I107" s="53" t="str">
        <f t="shared" si="3"/>
        <v/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21.75" customHeight="1">
      <c r="A108" s="4" t="str">
        <f>IF('01_인적정보'!B50="","",'01_인적정보'!A50)</f>
        <v/>
      </c>
      <c r="B108" s="4" t="str">
        <f>IF('01_인적정보'!B50="","",'01_인적정보'!B50)</f>
        <v/>
      </c>
      <c r="C108" s="13" t="str">
        <f>IF('01_인적정보'!B50="","",'01_인적정보'!C50)</f>
        <v/>
      </c>
      <c r="D108" s="13" t="str">
        <f>IF('01_인적정보'!B50="","",'01_인적정보'!E50)</f>
        <v/>
      </c>
      <c r="E108" s="40" t="str">
        <f>IF('01_인적정보'!B50="","",'01_인적정보'!H50)</f>
        <v/>
      </c>
      <c r="F108" s="19" t="str">
        <f>IF(OR('01_인적정보'!B50="",'07b_하반기입력'!I50=""),"",'07b_하반기입력'!I50)</f>
        <v/>
      </c>
      <c r="G108" s="19" t="str">
        <f>IF(OR('01_인적정보'!B50="",'07b_하반기입력'!J50=""),"",'07b_하반기입력'!J50)</f>
        <v/>
      </c>
      <c r="H108" s="52" t="str">
        <f>IFERROR(IF(AND(LEN(F108)&gt;0,LEN(G108)&gt;0),'02_의사결정·종합결과'!$B$67*IFERROR(CHOOSE(FIND(F108,"DCBAS"),1,2,3,4,5),0)+'02_의사결정·종합결과'!$B$68*IFERROR(CHOOSE(FIND(G108,"DCBAS"),1,2,3,4,5),0),IF(LEN(F108)&gt;0,IFERROR(CHOOSE(FIND(F108,"DCBAS"),1,2,3,4,5),0),IF(LEN(G108)&gt;0,IFERROR(CHOOSE(FIND(G108,"DCBAS"),1,2,3,4,5),0),""))),"")</f>
        <v/>
      </c>
      <c r="I108" s="53" t="str">
        <f t="shared" si="3"/>
        <v/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21.75" customHeight="1">
      <c r="A109" s="4" t="str">
        <f>IF('01_인적정보'!B51="","",'01_인적정보'!A51)</f>
        <v/>
      </c>
      <c r="B109" s="4" t="str">
        <f>IF('01_인적정보'!B51="","",'01_인적정보'!B51)</f>
        <v/>
      </c>
      <c r="C109" s="13" t="str">
        <f>IF('01_인적정보'!B51="","",'01_인적정보'!C51)</f>
        <v/>
      </c>
      <c r="D109" s="13" t="str">
        <f>IF('01_인적정보'!B51="","",'01_인적정보'!E51)</f>
        <v/>
      </c>
      <c r="E109" s="40" t="str">
        <f>IF('01_인적정보'!B51="","",'01_인적정보'!H51)</f>
        <v/>
      </c>
      <c r="F109" s="19" t="str">
        <f>IF(OR('01_인적정보'!B51="",'07b_하반기입력'!I51=""),"",'07b_하반기입력'!I51)</f>
        <v/>
      </c>
      <c r="G109" s="19" t="str">
        <f>IF(OR('01_인적정보'!B51="",'07b_하반기입력'!J51=""),"",'07b_하반기입력'!J51)</f>
        <v/>
      </c>
      <c r="H109" s="52" t="str">
        <f>IFERROR(IF(AND(LEN(F109)&gt;0,LEN(G109)&gt;0),'02_의사결정·종합결과'!$B$67*IFERROR(CHOOSE(FIND(F109,"DCBAS"),1,2,3,4,5),0)+'02_의사결정·종합결과'!$B$68*IFERROR(CHOOSE(FIND(G109,"DCBAS"),1,2,3,4,5),0),IF(LEN(F109)&gt;0,IFERROR(CHOOSE(FIND(F109,"DCBAS"),1,2,3,4,5),0),IF(LEN(G109)&gt;0,IFERROR(CHOOSE(FIND(G109,"DCBAS"),1,2,3,4,5),0),""))),"")</f>
        <v/>
      </c>
      <c r="I109" s="53" t="str">
        <f t="shared" si="3"/>
        <v/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21.75" customHeight="1">
      <c r="A110" s="4" t="str">
        <f>IF('01_인적정보'!B52="","",'01_인적정보'!A52)</f>
        <v/>
      </c>
      <c r="B110" s="4" t="str">
        <f>IF('01_인적정보'!B52="","",'01_인적정보'!B52)</f>
        <v/>
      </c>
      <c r="C110" s="13" t="str">
        <f>IF('01_인적정보'!B52="","",'01_인적정보'!C52)</f>
        <v/>
      </c>
      <c r="D110" s="13" t="str">
        <f>IF('01_인적정보'!B52="","",'01_인적정보'!E52)</f>
        <v/>
      </c>
      <c r="E110" s="40" t="str">
        <f>IF('01_인적정보'!B52="","",'01_인적정보'!H52)</f>
        <v/>
      </c>
      <c r="F110" s="19" t="str">
        <f>IF(OR('01_인적정보'!B52="",'07b_하반기입력'!I52=""),"",'07b_하반기입력'!I52)</f>
        <v/>
      </c>
      <c r="G110" s="19" t="str">
        <f>IF(OR('01_인적정보'!B52="",'07b_하반기입력'!J52=""),"",'07b_하반기입력'!J52)</f>
        <v/>
      </c>
      <c r="H110" s="52" t="str">
        <f>IFERROR(IF(AND(LEN(F110)&gt;0,LEN(G110)&gt;0),'02_의사결정·종합결과'!$B$67*IFERROR(CHOOSE(FIND(F110,"DCBAS"),1,2,3,4,5),0)+'02_의사결정·종합결과'!$B$68*IFERROR(CHOOSE(FIND(G110,"DCBAS"),1,2,3,4,5),0),IF(LEN(F110)&gt;0,IFERROR(CHOOSE(FIND(F110,"DCBAS"),1,2,3,4,5),0),IF(LEN(G110)&gt;0,IFERROR(CHOOSE(FIND(G110,"DCBAS"),1,2,3,4,5),0),""))),"")</f>
        <v/>
      </c>
      <c r="I110" s="53" t="str">
        <f t="shared" si="3"/>
        <v/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21.75" customHeight="1">
      <c r="A111" s="4" t="str">
        <f>IF('01_인적정보'!B53="","",'01_인적정보'!A53)</f>
        <v/>
      </c>
      <c r="B111" s="4" t="str">
        <f>IF('01_인적정보'!B53="","",'01_인적정보'!B53)</f>
        <v/>
      </c>
      <c r="C111" s="13" t="str">
        <f>IF('01_인적정보'!B53="","",'01_인적정보'!C53)</f>
        <v/>
      </c>
      <c r="D111" s="13" t="str">
        <f>IF('01_인적정보'!B53="","",'01_인적정보'!E53)</f>
        <v/>
      </c>
      <c r="E111" s="40" t="str">
        <f>IF('01_인적정보'!B53="","",'01_인적정보'!H53)</f>
        <v/>
      </c>
      <c r="F111" s="19" t="str">
        <f>IF(OR('01_인적정보'!B53="",'07b_하반기입력'!I53=""),"",'07b_하반기입력'!I53)</f>
        <v/>
      </c>
      <c r="G111" s="19" t="str">
        <f>IF(OR('01_인적정보'!B53="",'07b_하반기입력'!J53=""),"",'07b_하반기입력'!J53)</f>
        <v/>
      </c>
      <c r="H111" s="52" t="str">
        <f>IFERROR(IF(AND(LEN(F111)&gt;0,LEN(G111)&gt;0),'02_의사결정·종합결과'!$B$67*IFERROR(CHOOSE(FIND(F111,"DCBAS"),1,2,3,4,5),0)+'02_의사결정·종합결과'!$B$68*IFERROR(CHOOSE(FIND(G111,"DCBAS"),1,2,3,4,5),0),IF(LEN(F111)&gt;0,IFERROR(CHOOSE(FIND(F111,"DCBAS"),1,2,3,4,5),0),IF(LEN(G111)&gt;0,IFERROR(CHOOSE(FIND(G111,"DCBAS"),1,2,3,4,5),0),""))),"")</f>
        <v/>
      </c>
      <c r="I111" s="53" t="str">
        <f t="shared" si="3"/>
        <v/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21.75" customHeight="1">
      <c r="A112" s="4" t="str">
        <f>IF('01_인적정보'!B54="","",'01_인적정보'!A54)</f>
        <v/>
      </c>
      <c r="B112" s="4" t="str">
        <f>IF('01_인적정보'!B54="","",'01_인적정보'!B54)</f>
        <v/>
      </c>
      <c r="C112" s="13" t="str">
        <f>IF('01_인적정보'!B54="","",'01_인적정보'!C54)</f>
        <v/>
      </c>
      <c r="D112" s="13" t="str">
        <f>IF('01_인적정보'!B54="","",'01_인적정보'!E54)</f>
        <v/>
      </c>
      <c r="E112" s="40" t="str">
        <f>IF('01_인적정보'!B54="","",'01_인적정보'!H54)</f>
        <v/>
      </c>
      <c r="F112" s="19" t="str">
        <f>IF(OR('01_인적정보'!B54="",'07b_하반기입력'!I54=""),"",'07b_하반기입력'!I54)</f>
        <v/>
      </c>
      <c r="G112" s="19" t="str">
        <f>IF(OR('01_인적정보'!B54="",'07b_하반기입력'!J54=""),"",'07b_하반기입력'!J54)</f>
        <v/>
      </c>
      <c r="H112" s="52" t="str">
        <f>IFERROR(IF(AND(LEN(F112)&gt;0,LEN(G112)&gt;0),'02_의사결정·종합결과'!$B$67*IFERROR(CHOOSE(FIND(F112,"DCBAS"),1,2,3,4,5),0)+'02_의사결정·종합결과'!$B$68*IFERROR(CHOOSE(FIND(G112,"DCBAS"),1,2,3,4,5),0),IF(LEN(F112)&gt;0,IFERROR(CHOOSE(FIND(F112,"DCBAS"),1,2,3,4,5),0),IF(LEN(G112)&gt;0,IFERROR(CHOOSE(FIND(G112,"DCBAS"),1,2,3,4,5),0),""))),"")</f>
        <v/>
      </c>
      <c r="I112" s="53" t="str">
        <f t="shared" si="3"/>
        <v/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21.75" customHeight="1">
      <c r="A113" s="4" t="str">
        <f>IF('01_인적정보'!B55="","",'01_인적정보'!A55)</f>
        <v/>
      </c>
      <c r="B113" s="4" t="str">
        <f>IF('01_인적정보'!B55="","",'01_인적정보'!B55)</f>
        <v/>
      </c>
      <c r="C113" s="13" t="str">
        <f>IF('01_인적정보'!B55="","",'01_인적정보'!C55)</f>
        <v/>
      </c>
      <c r="D113" s="13" t="str">
        <f>IF('01_인적정보'!B55="","",'01_인적정보'!E55)</f>
        <v/>
      </c>
      <c r="E113" s="40" t="str">
        <f>IF('01_인적정보'!B55="","",'01_인적정보'!H55)</f>
        <v/>
      </c>
      <c r="F113" s="19" t="str">
        <f>IF(OR('01_인적정보'!B55="",'07b_하반기입력'!I55=""),"",'07b_하반기입력'!I55)</f>
        <v/>
      </c>
      <c r="G113" s="19" t="str">
        <f>IF(OR('01_인적정보'!B55="",'07b_하반기입력'!J55=""),"",'07b_하반기입력'!J55)</f>
        <v/>
      </c>
      <c r="H113" s="52" t="str">
        <f>IFERROR(IF(AND(LEN(F113)&gt;0,LEN(G113)&gt;0),'02_의사결정·종합결과'!$B$67*IFERROR(CHOOSE(FIND(F113,"DCBAS"),1,2,3,4,5),0)+'02_의사결정·종합결과'!$B$68*IFERROR(CHOOSE(FIND(G113,"DCBAS"),1,2,3,4,5),0),IF(LEN(F113)&gt;0,IFERROR(CHOOSE(FIND(F113,"DCBAS"),1,2,3,4,5),0),IF(LEN(G113)&gt;0,IFERROR(CHOOSE(FIND(G113,"DCBAS"),1,2,3,4,5),0),""))),"")</f>
        <v/>
      </c>
      <c r="I113" s="53" t="str">
        <f t="shared" si="3"/>
        <v/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</sheetData>
  <mergeCells count="4">
    <mergeCell ref="A1:I1"/>
    <mergeCell ref="A2:I2"/>
    <mergeCell ref="A4:I4"/>
    <mergeCell ref="A62:I62"/>
  </mergeCells>
  <phoneticPr fontId="28" type="noConversion"/>
  <conditionalFormatting sqref="F6:I55">
    <cfRule type="cellIs" dxfId="67" priority="2" operator="equal">
      <formula>"S"</formula>
    </cfRule>
    <cfRule type="cellIs" dxfId="66" priority="3" operator="equal">
      <formula>"A"</formula>
    </cfRule>
    <cfRule type="cellIs" dxfId="65" priority="4" operator="equal">
      <formula>"C"</formula>
    </cfRule>
    <cfRule type="cellIs" dxfId="64" priority="5" operator="equal">
      <formula>"D"</formula>
    </cfRule>
  </conditionalFormatting>
  <conditionalFormatting sqref="F64:I113">
    <cfRule type="cellIs" dxfId="63" priority="6" operator="equal">
      <formula>"S"</formula>
    </cfRule>
    <cfRule type="cellIs" dxfId="62" priority="7" operator="equal">
      <formula>"A"</formula>
    </cfRule>
    <cfRule type="cellIs" dxfId="61" priority="8" operator="equal">
      <formula>"C"</formula>
    </cfRule>
    <cfRule type="cellIs" dxfId="60" priority="9" operator="equal">
      <formula>"D"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5911"/>
  </sheetPr>
  <dimension ref="A1:U129"/>
  <sheetViews>
    <sheetView zoomScaleNormal="100" workbookViewId="0">
      <pane xSplit="3" ySplit="5" topLeftCell="E25" activePane="bottomRight" state="frozen"/>
      <selection pane="topRight" activeCell="D1" sqref="D1"/>
      <selection pane="bottomLeft" activeCell="A55" sqref="A55"/>
      <selection pane="bottomRight" activeCell="J52" sqref="J52"/>
    </sheetView>
  </sheetViews>
  <sheetFormatPr defaultColWidth="8.5625" defaultRowHeight="16.899999999999999"/>
  <cols>
    <col min="1" max="1" width="5" customWidth="1"/>
    <col min="2" max="2" width="10" customWidth="1"/>
    <col min="3" max="3" width="9" customWidth="1"/>
    <col min="4" max="4" width="14" customWidth="1"/>
    <col min="5" max="10" width="10.5625" customWidth="1"/>
    <col min="11" max="11" width="8" customWidth="1"/>
    <col min="12" max="12" width="25" customWidth="1"/>
  </cols>
  <sheetData>
    <row r="1" spans="1:21" ht="30" customHeight="1">
      <c r="A1" s="111" t="s">
        <v>384</v>
      </c>
      <c r="B1" s="111"/>
      <c r="C1" s="111"/>
      <c r="D1" s="111"/>
      <c r="E1" s="111"/>
      <c r="F1" s="111"/>
      <c r="G1" s="111"/>
      <c r="H1" s="111"/>
      <c r="I1" s="111"/>
      <c r="J1" s="111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4" customHeight="1">
      <c r="A2" s="96" t="s">
        <v>385</v>
      </c>
      <c r="B2" s="96"/>
      <c r="C2" s="96"/>
      <c r="D2" s="96"/>
      <c r="E2" s="96"/>
      <c r="F2" s="96"/>
      <c r="G2" s="96"/>
      <c r="H2" s="96"/>
      <c r="I2" s="96"/>
      <c r="J2" s="96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5.5" customHeight="1">
      <c r="A4" s="121" t="s">
        <v>386</v>
      </c>
      <c r="B4" s="121"/>
      <c r="C4" s="121"/>
      <c r="D4" s="121"/>
      <c r="E4" s="121"/>
      <c r="F4" s="121"/>
      <c r="G4" s="121"/>
      <c r="H4" s="121"/>
      <c r="I4" s="121"/>
      <c r="J4" s="121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27.75" customHeight="1">
      <c r="A5" s="50" t="s">
        <v>145</v>
      </c>
      <c r="B5" s="51" t="s">
        <v>146</v>
      </c>
      <c r="C5" s="51" t="s">
        <v>147</v>
      </c>
      <c r="D5" s="51" t="s">
        <v>149</v>
      </c>
      <c r="E5" s="51" t="s">
        <v>152</v>
      </c>
      <c r="F5" s="51" t="s">
        <v>387</v>
      </c>
      <c r="G5" s="50" t="s">
        <v>375</v>
      </c>
      <c r="H5" s="50" t="s">
        <v>376</v>
      </c>
      <c r="I5" s="51" t="s">
        <v>377</v>
      </c>
      <c r="J5" s="51" t="s">
        <v>378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75" customHeight="1">
      <c r="A6" s="4">
        <f>IF('01_인적정보'!B6="","",'01_인적정보'!A6)</f>
        <v>1</v>
      </c>
      <c r="B6" s="4" t="str">
        <f>IF('01_인적정보'!B6="","",'01_인적정보'!B6)</f>
        <v>BSS-001</v>
      </c>
      <c r="C6" s="13" t="str">
        <f>IF('01_인적정보'!B6="","",'01_인적정보'!C6)</f>
        <v>OOO</v>
      </c>
      <c r="D6" s="13" t="str">
        <f>IF('01_인적정보'!B6="","",'01_인적정보'!E6)</f>
        <v>프로젝트영업</v>
      </c>
      <c r="E6" s="40" t="str">
        <f>IF('01_인적정보'!B6="","",'01_인적정보'!H6)</f>
        <v>G6</v>
      </c>
      <c r="F6" s="49">
        <f>IF('01_인적정보'!B6="","",'01_인적정보'!L6)</f>
        <v>7</v>
      </c>
      <c r="G6" s="19" t="str">
        <f>IF(OR('01_인적정보'!B6="",'07a_상반기입력'!K6=""),"",'07a_상반기입력'!K6)</f>
        <v>S</v>
      </c>
      <c r="H6" s="19" t="str">
        <f>IF(OR('01_인적정보'!B6="",'07a_상반기입력'!L6=""),"",'07a_상반기입력'!L6)</f>
        <v>A</v>
      </c>
      <c r="I6" s="52">
        <f>IFERROR(IF(AND(LEN(G6)&gt;0,LEN(H6)&gt;0),'02_의사결정·종합결과'!$B$67*IFERROR(CHOOSE(FIND(G6,"DCBAS"),1,2,3,4,5),0)+'02_의사결정·종합결과'!$B$68*IFERROR(CHOOSE(FIND(H6,"DCBAS"),1,2,3,4,5),0),IF(LEN(G6)&gt;0,IFERROR(CHOOSE(FIND(G6,"DCBAS"),1,2,3,4,5),0),IF(LEN(H6)&gt;0,IFERROR(CHOOSE(FIND(H6,"DCBAS"),1,2,3,4,5),0),""))),"")</f>
        <v>4.5</v>
      </c>
      <c r="J6" s="53" t="str">
        <f t="shared" ref="J6:J37" si="0">IF(OR(I6="",NOT(ISNUMBER(I6)),I6&lt;0.5),"",IF(I6&gt;=4.5,"S",IF(I6&gt;=3.5,"A",IF(I6&gt;=2.5,"B",IF(I6&gt;=1.5,"C","D")))))</f>
        <v>S</v>
      </c>
      <c r="K6" s="5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21.75" customHeight="1">
      <c r="A7" s="4">
        <f>IF('01_인적정보'!B7="","",'01_인적정보'!A7)</f>
        <v>2</v>
      </c>
      <c r="B7" s="4" t="str">
        <f>IF('01_인적정보'!B7="","",'01_인적정보'!B7)</f>
        <v>BSS-002</v>
      </c>
      <c r="C7" s="13" t="str">
        <f>IF('01_인적정보'!B7="","",'01_인적정보'!C7)</f>
        <v>OOO</v>
      </c>
      <c r="D7" s="13" t="str">
        <f>IF('01_인적정보'!B7="","",'01_인적정보'!E7)</f>
        <v>연구개발(R&amp;D)</v>
      </c>
      <c r="E7" s="40" t="str">
        <f>IF('01_인적정보'!B7="","",'01_인적정보'!H7)</f>
        <v>G6</v>
      </c>
      <c r="F7" s="49">
        <f>IF('01_인적정보'!B7="","",'01_인적정보'!L7)</f>
        <v>0</v>
      </c>
      <c r="G7" s="19" t="str">
        <f>IF(OR('01_인적정보'!B7="",'07a_상반기입력'!K7=""),"",'07a_상반기입력'!K7)</f>
        <v>A</v>
      </c>
      <c r="H7" s="19" t="str">
        <f>IF(OR('01_인적정보'!B7="",'07a_상반기입력'!L7=""),"",'07a_상반기입력'!L7)</f>
        <v>B</v>
      </c>
      <c r="I7" s="52">
        <f>IFERROR(IF(AND(LEN(G7)&gt;0,LEN(H7)&gt;0),'02_의사결정·종합결과'!$B$67*IFERROR(CHOOSE(FIND(G7,"DCBAS"),1,2,3,4,5),0)+'02_의사결정·종합결과'!$B$68*IFERROR(CHOOSE(FIND(H7,"DCBAS"),1,2,3,4,5),0),IF(LEN(G7)&gt;0,IFERROR(CHOOSE(FIND(G7,"DCBAS"),1,2,3,4,5),0),IF(LEN(H7)&gt;0,IFERROR(CHOOSE(FIND(H7,"DCBAS"),1,2,3,4,5),0),""))),"")</f>
        <v>3.5</v>
      </c>
      <c r="J7" s="53" t="str">
        <f t="shared" si="0"/>
        <v>A</v>
      </c>
      <c r="K7" s="5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21.75" customHeight="1">
      <c r="A8" s="4">
        <f>IF('01_인적정보'!B8="","",'01_인적정보'!A8)</f>
        <v>3</v>
      </c>
      <c r="B8" s="4" t="str">
        <f>IF('01_인적정보'!B8="","",'01_인적정보'!B8)</f>
        <v>BSS-003</v>
      </c>
      <c r="C8" s="13" t="str">
        <f>IF('01_인적정보'!B8="","",'01_인적정보'!C8)</f>
        <v>OOO</v>
      </c>
      <c r="D8" s="13" t="str">
        <f>IF('01_인적정보'!B8="","",'01_인적정보'!E8)</f>
        <v>BIM컨설팅</v>
      </c>
      <c r="E8" s="40" t="str">
        <f>IF('01_인적정보'!B8="","",'01_인적정보'!H8)</f>
        <v>G6</v>
      </c>
      <c r="F8" s="49">
        <f>IF('01_인적정보'!B8="","",'01_인적정보'!L8)</f>
        <v>4</v>
      </c>
      <c r="G8" s="19" t="str">
        <f>IF(OR('01_인적정보'!B8="",'07a_상반기입력'!K8=""),"",'07a_상반기입력'!K8)</f>
        <v>B</v>
      </c>
      <c r="H8" s="19" t="str">
        <f>IF(OR('01_인적정보'!B8="",'07a_상반기입력'!L8=""),"",'07a_상반기입력'!L8)</f>
        <v>B</v>
      </c>
      <c r="I8" s="52">
        <f>IFERROR(IF(AND(LEN(G8)&gt;0,LEN(H8)&gt;0),'02_의사결정·종합결과'!$B$67*IFERROR(CHOOSE(FIND(G8,"DCBAS"),1,2,3,4,5),0)+'02_의사결정·종합결과'!$B$68*IFERROR(CHOOSE(FIND(H8,"DCBAS"),1,2,3,4,5),0),IF(LEN(G8)&gt;0,IFERROR(CHOOSE(FIND(G8,"DCBAS"),1,2,3,4,5),0),IF(LEN(H8)&gt;0,IFERROR(CHOOSE(FIND(H8,"DCBAS"),1,2,3,4,5),0),""))),"")</f>
        <v>3</v>
      </c>
      <c r="J8" s="53" t="str">
        <f t="shared" si="0"/>
        <v>B</v>
      </c>
      <c r="K8" s="5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21.75" customHeight="1">
      <c r="A9" s="4">
        <f>IF('01_인적정보'!B9="","",'01_인적정보'!A9)</f>
        <v>4</v>
      </c>
      <c r="B9" s="4" t="str">
        <f>IF('01_인적정보'!B9="","",'01_인적정보'!B9)</f>
        <v>BSS-004</v>
      </c>
      <c r="C9" s="13" t="str">
        <f>IF('01_인적정보'!B9="","",'01_인적정보'!C9)</f>
        <v>OOO</v>
      </c>
      <c r="D9" s="13" t="str">
        <f>IF('01_인적정보'!B9="","",'01_인적정보'!E9)</f>
        <v>경영전략기획</v>
      </c>
      <c r="E9" s="40" t="str">
        <f>IF('01_인적정보'!B9="","",'01_인적정보'!H9)</f>
        <v>G6</v>
      </c>
      <c r="F9" s="49">
        <f>IF('01_인적정보'!B9="","",'01_인적정보'!L9)</f>
        <v>5</v>
      </c>
      <c r="G9" s="19" t="str">
        <f>IF(OR('01_인적정보'!B9="",'07a_상반기입력'!K9=""),"",'07a_상반기입력'!K9)</f>
        <v>B</v>
      </c>
      <c r="H9" s="19" t="str">
        <f>IF(OR('01_인적정보'!B9="",'07a_상반기입력'!L9=""),"",'07a_상반기입력'!L9)</f>
        <v>A</v>
      </c>
      <c r="I9" s="52">
        <f>IFERROR(IF(AND(LEN(G9)&gt;0,LEN(H9)&gt;0),'02_의사결정·종합결과'!$B$67*IFERROR(CHOOSE(FIND(G9,"DCBAS"),1,2,3,4,5),0)+'02_의사결정·종합결과'!$B$68*IFERROR(CHOOSE(FIND(H9,"DCBAS"),1,2,3,4,5),0),IF(LEN(G9)&gt;0,IFERROR(CHOOSE(FIND(G9,"DCBAS"),1,2,3,4,5),0),IF(LEN(H9)&gt;0,IFERROR(CHOOSE(FIND(H9,"DCBAS"),1,2,3,4,5),0),""))),"")</f>
        <v>3.5</v>
      </c>
      <c r="J9" s="53" t="str">
        <f t="shared" si="0"/>
        <v>A</v>
      </c>
      <c r="K9" s="5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21.75" customHeight="1">
      <c r="A10" s="4">
        <f>IF('01_인적정보'!B10="","",'01_인적정보'!A10)</f>
        <v>5</v>
      </c>
      <c r="B10" s="4" t="str">
        <f>IF('01_인적정보'!B10="","",'01_인적정보'!B10)</f>
        <v>BSS-005</v>
      </c>
      <c r="C10" s="13" t="str">
        <f>IF('01_인적정보'!B10="","",'01_인적정보'!C10)</f>
        <v>OOO</v>
      </c>
      <c r="D10" s="13" t="str">
        <f>IF('01_인적정보'!B10="","",'01_인적정보'!E10)</f>
        <v>경영전략기획</v>
      </c>
      <c r="E10" s="40" t="str">
        <f>IF('01_인적정보'!B10="","",'01_인적정보'!H10)</f>
        <v>G6</v>
      </c>
      <c r="F10" s="49">
        <f>IF('01_인적정보'!B10="","",'01_인적정보'!L10)</f>
        <v>7</v>
      </c>
      <c r="G10" s="19" t="str">
        <f>IF(OR('01_인적정보'!B10="",'07a_상반기입력'!K10=""),"",'07a_상반기입력'!K10)</f>
        <v>A</v>
      </c>
      <c r="H10" s="19" t="str">
        <f>IF(OR('01_인적정보'!B10="",'07a_상반기입력'!L10=""),"",'07a_상반기입력'!L10)</f>
        <v>A</v>
      </c>
      <c r="I10" s="52">
        <f>IFERROR(IF(AND(LEN(G10)&gt;0,LEN(H10)&gt;0),'02_의사결정·종합결과'!$B$67*IFERROR(CHOOSE(FIND(G10,"DCBAS"),1,2,3,4,5),0)+'02_의사결정·종합결과'!$B$68*IFERROR(CHOOSE(FIND(H10,"DCBAS"),1,2,3,4,5),0),IF(LEN(G10)&gt;0,IFERROR(CHOOSE(FIND(G10,"DCBAS"),1,2,3,4,5),0),IF(LEN(H10)&gt;0,IFERROR(CHOOSE(FIND(H10,"DCBAS"),1,2,3,4,5),0),""))),"")</f>
        <v>4</v>
      </c>
      <c r="J10" s="53" t="str">
        <f t="shared" si="0"/>
        <v>A</v>
      </c>
      <c r="K10" s="5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21.75" customHeight="1">
      <c r="A11" s="4">
        <f>IF('01_인적정보'!B11="","",'01_인적정보'!A11)</f>
        <v>6</v>
      </c>
      <c r="B11" s="4" t="str">
        <f>IF('01_인적정보'!B11="","",'01_인적정보'!B11)</f>
        <v>BSS-006</v>
      </c>
      <c r="C11" s="13" t="str">
        <f>IF('01_인적정보'!B11="","",'01_인적정보'!C11)</f>
        <v>OOO</v>
      </c>
      <c r="D11" s="13" t="str">
        <f>IF('01_인적정보'!B11="","",'01_인적정보'!E11)</f>
        <v>경영전략기획</v>
      </c>
      <c r="E11" s="40" t="str">
        <f>IF('01_인적정보'!B11="","",'01_인적정보'!H11)</f>
        <v>G6</v>
      </c>
      <c r="F11" s="49">
        <f>IF('01_인적정보'!B11="","",'01_인적정보'!L11)</f>
        <v>7</v>
      </c>
      <c r="G11" s="19" t="str">
        <f>IF(OR('01_인적정보'!B11="",'07a_상반기입력'!K11=""),"",'07a_상반기입력'!K11)</f>
        <v>C</v>
      </c>
      <c r="H11" s="19" t="str">
        <f>IF(OR('01_인적정보'!B11="",'07a_상반기입력'!L11=""),"",'07a_상반기입력'!L11)</f>
        <v>D</v>
      </c>
      <c r="I11" s="52">
        <f>IFERROR(IF(AND(LEN(G11)&gt;0,LEN(H11)&gt;0),'02_의사결정·종합결과'!$B$67*IFERROR(CHOOSE(FIND(G11,"DCBAS"),1,2,3,4,5),0)+'02_의사결정·종합결과'!$B$68*IFERROR(CHOOSE(FIND(H11,"DCBAS"),1,2,3,4,5),0),IF(LEN(G11)&gt;0,IFERROR(CHOOSE(FIND(G11,"DCBAS"),1,2,3,4,5),0),IF(LEN(H11)&gt;0,IFERROR(CHOOSE(FIND(H11,"DCBAS"),1,2,3,4,5),0),""))),"")</f>
        <v>1.5</v>
      </c>
      <c r="J11" s="53" t="str">
        <f t="shared" si="0"/>
        <v>C</v>
      </c>
      <c r="K11" s="5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21.75" customHeight="1">
      <c r="A12" s="4">
        <f>IF('01_인적정보'!B12="","",'01_인적정보'!A12)</f>
        <v>7</v>
      </c>
      <c r="B12" s="4" t="str">
        <f>IF('01_인적정보'!B12="","",'01_인적정보'!B12)</f>
        <v>BSS-007</v>
      </c>
      <c r="C12" s="13" t="str">
        <f>IF('01_인적정보'!B12="","",'01_인적정보'!C12)</f>
        <v>OOO</v>
      </c>
      <c r="D12" s="13" t="str">
        <f>IF('01_인적정보'!B12="","",'01_인적정보'!E12)</f>
        <v>교육</v>
      </c>
      <c r="E12" s="40" t="str">
        <f>IF('01_인적정보'!B12="","",'01_인적정보'!H12)</f>
        <v>G5-M</v>
      </c>
      <c r="F12" s="49">
        <f>IF('01_인적정보'!B12="","",'01_인적정보'!L12)</f>
        <v>0</v>
      </c>
      <c r="G12" s="19" t="str">
        <f>IF(OR('01_인적정보'!B12="",'07a_상반기입력'!K12=""),"",'07a_상반기입력'!K12)</f>
        <v>B</v>
      </c>
      <c r="H12" s="19" t="str">
        <f>IF(OR('01_인적정보'!B12="",'07a_상반기입력'!L12=""),"",'07a_상반기입력'!L12)</f>
        <v>C</v>
      </c>
      <c r="I12" s="52">
        <f>IFERROR(IF(AND(LEN(G12)&gt;0,LEN(H12)&gt;0),'02_의사결정·종합결과'!$B$67*IFERROR(CHOOSE(FIND(G12,"DCBAS"),1,2,3,4,5),0)+'02_의사결정·종합결과'!$B$68*IFERROR(CHOOSE(FIND(H12,"DCBAS"),1,2,3,4,5),0),IF(LEN(G12)&gt;0,IFERROR(CHOOSE(FIND(G12,"DCBAS"),1,2,3,4,5),0),IF(LEN(H12)&gt;0,IFERROR(CHOOSE(FIND(H12,"DCBAS"),1,2,3,4,5),0),""))),"")</f>
        <v>2.5</v>
      </c>
      <c r="J12" s="53" t="str">
        <f t="shared" si="0"/>
        <v>B</v>
      </c>
      <c r="K12" s="5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21.75" customHeight="1">
      <c r="A13" s="4">
        <f>IF('01_인적정보'!B13="","",'01_인적정보'!A13)</f>
        <v>8</v>
      </c>
      <c r="B13" s="4" t="str">
        <f>IF('01_인적정보'!B13="","",'01_인적정보'!B13)</f>
        <v>BSS-008</v>
      </c>
      <c r="C13" s="13" t="str">
        <f>IF('01_인적정보'!B13="","",'01_인적정보'!C13)</f>
        <v>OOO</v>
      </c>
      <c r="D13" s="13" t="str">
        <f>IF('01_인적정보'!B13="","",'01_인적정보'!E13)</f>
        <v>기술지원</v>
      </c>
      <c r="E13" s="40" t="str">
        <f>IF('01_인적정보'!B13="","",'01_인적정보'!H13)</f>
        <v>G5-M</v>
      </c>
      <c r="F13" s="49">
        <f>IF('01_인적정보'!B13="","",'01_인적정보'!L13)</f>
        <v>0</v>
      </c>
      <c r="G13" s="19" t="str">
        <f>IF(OR('01_인적정보'!B13="",'07a_상반기입력'!K13=""),"",'07a_상반기입력'!K13)</f>
        <v>C</v>
      </c>
      <c r="H13" s="19" t="str">
        <f>IF(OR('01_인적정보'!B13="",'07a_상반기입력'!L13=""),"",'07a_상반기입력'!L13)</f>
        <v>C</v>
      </c>
      <c r="I13" s="52">
        <f>IFERROR(IF(AND(LEN(G13)&gt;0,LEN(H13)&gt;0),'02_의사결정·종합결과'!$B$67*IFERROR(CHOOSE(FIND(G13,"DCBAS"),1,2,3,4,5),0)+'02_의사결정·종합결과'!$B$68*IFERROR(CHOOSE(FIND(H13,"DCBAS"),1,2,3,4,5),0),IF(LEN(G13)&gt;0,IFERROR(CHOOSE(FIND(G13,"DCBAS"),1,2,3,4,5),0),IF(LEN(H13)&gt;0,IFERROR(CHOOSE(FIND(H13,"DCBAS"),1,2,3,4,5),0),""))),"")</f>
        <v>2</v>
      </c>
      <c r="J13" s="53" t="str">
        <f t="shared" si="0"/>
        <v>C</v>
      </c>
      <c r="K13" s="5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21.75" customHeight="1">
      <c r="A14" s="4">
        <f>IF('01_인적정보'!B14="","",'01_인적정보'!A14)</f>
        <v>9</v>
      </c>
      <c r="B14" s="4" t="str">
        <f>IF('01_인적정보'!B14="","",'01_인적정보'!B14)</f>
        <v>BSS-009</v>
      </c>
      <c r="C14" s="13" t="str">
        <f>IF('01_인적정보'!B14="","",'01_인적정보'!C14)</f>
        <v>OOO</v>
      </c>
      <c r="D14" s="13" t="str">
        <f>IF('01_인적정보'!B14="","",'01_인적정보'!E14)</f>
        <v>BIM컨설팅</v>
      </c>
      <c r="E14" s="40" t="str">
        <f>IF('01_인적정보'!B14="","",'01_인적정보'!H14)</f>
        <v>G5-M</v>
      </c>
      <c r="F14" s="49">
        <f>IF('01_인적정보'!B14="","",'01_인적정보'!L14)</f>
        <v>4</v>
      </c>
      <c r="G14" s="19" t="str">
        <f>IF(OR('01_인적정보'!B14="",'07a_상반기입력'!K14=""),"",'07a_상반기입력'!K14)</f>
        <v>A</v>
      </c>
      <c r="H14" s="19" t="str">
        <f>IF(OR('01_인적정보'!B14="",'07a_상반기입력'!L14=""),"",'07a_상반기입력'!L14)</f>
        <v>A</v>
      </c>
      <c r="I14" s="52">
        <f>IFERROR(IF(AND(LEN(G14)&gt;0,LEN(H14)&gt;0),'02_의사결정·종합결과'!$B$67*IFERROR(CHOOSE(FIND(G14,"DCBAS"),1,2,3,4,5),0)+'02_의사결정·종합결과'!$B$68*IFERROR(CHOOSE(FIND(H14,"DCBAS"),1,2,3,4,5),0),IF(LEN(G14)&gt;0,IFERROR(CHOOSE(FIND(G14,"DCBAS"),1,2,3,4,5),0),IF(LEN(H14)&gt;0,IFERROR(CHOOSE(FIND(H14,"DCBAS"),1,2,3,4,5),0),""))),"")</f>
        <v>4</v>
      </c>
      <c r="J14" s="53" t="str">
        <f t="shared" si="0"/>
        <v>A</v>
      </c>
      <c r="K14" s="5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21.75" customHeight="1">
      <c r="A15" s="4">
        <f>IF('01_인적정보'!B15="","",'01_인적정보'!A15)</f>
        <v>10</v>
      </c>
      <c r="B15" s="4" t="str">
        <f>IF('01_인적정보'!B15="","",'01_인적정보'!B15)</f>
        <v>BSS-010</v>
      </c>
      <c r="C15" s="13" t="str">
        <f>IF('01_인적정보'!B15="","",'01_인적정보'!C15)</f>
        <v>OOO</v>
      </c>
      <c r="D15" s="13" t="str">
        <f>IF('01_인적정보'!B15="","",'01_인적정보'!E15)</f>
        <v>BIM컨설팅</v>
      </c>
      <c r="E15" s="40" t="str">
        <f>IF('01_인적정보'!B15="","",'01_인적정보'!H15)</f>
        <v>G5-S</v>
      </c>
      <c r="F15" s="49">
        <f>IF('01_인적정보'!B15="","",'01_인적정보'!L15)</f>
        <v>7</v>
      </c>
      <c r="G15" s="19" t="str">
        <f>IF(OR('01_인적정보'!B15="",'07a_상반기입력'!K15=""),"",'07a_상반기입력'!K15)</f>
        <v>B</v>
      </c>
      <c r="H15" s="19" t="str">
        <f>IF(OR('01_인적정보'!B15="",'07a_상반기입력'!L15=""),"",'07a_상반기입력'!L15)</f>
        <v>B</v>
      </c>
      <c r="I15" s="52">
        <f>IFERROR(IF(AND(LEN(G15)&gt;0,LEN(H15)&gt;0),'02_의사결정·종합결과'!$B$67*IFERROR(CHOOSE(FIND(G15,"DCBAS"),1,2,3,4,5),0)+'02_의사결정·종합결과'!$B$68*IFERROR(CHOOSE(FIND(H15,"DCBAS"),1,2,3,4,5),0),IF(LEN(G15)&gt;0,IFERROR(CHOOSE(FIND(G15,"DCBAS"),1,2,3,4,5),0),IF(LEN(H15)&gt;0,IFERROR(CHOOSE(FIND(H15,"DCBAS"),1,2,3,4,5),0),""))),"")</f>
        <v>3</v>
      </c>
      <c r="J15" s="53" t="str">
        <f t="shared" si="0"/>
        <v>B</v>
      </c>
      <c r="K15" s="5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21.75" customHeight="1">
      <c r="A16" s="4">
        <f>IF('01_인적정보'!B16="","",'01_인적정보'!A16)</f>
        <v>11</v>
      </c>
      <c r="B16" s="4" t="str">
        <f>IF('01_인적정보'!B16="","",'01_인적정보'!B16)</f>
        <v>BSS-011</v>
      </c>
      <c r="C16" s="13" t="str">
        <f>IF('01_인적정보'!B16="","",'01_인적정보'!C16)</f>
        <v>OOO</v>
      </c>
      <c r="D16" s="13" t="str">
        <f>IF('01_인적정보'!B16="","",'01_인적정보'!E16)</f>
        <v>BIM컨설팅</v>
      </c>
      <c r="E16" s="40" t="str">
        <f>IF('01_인적정보'!B16="","",'01_인적정보'!H16)</f>
        <v>G5-S</v>
      </c>
      <c r="F16" s="49">
        <f>IF('01_인적정보'!B16="","",'01_인적정보'!L16)</f>
        <v>4</v>
      </c>
      <c r="G16" s="19" t="str">
        <f>IF(OR('01_인적정보'!B16="",'07a_상반기입력'!K16=""),"",'07a_상반기입력'!K16)</f>
        <v>C</v>
      </c>
      <c r="H16" s="19" t="str">
        <f>IF(OR('01_인적정보'!B16="",'07a_상반기입력'!L16=""),"",'07a_상반기입력'!L16)</f>
        <v>B</v>
      </c>
      <c r="I16" s="52">
        <f>IFERROR(IF(AND(LEN(G16)&gt;0,LEN(H16)&gt;0),'02_의사결정·종합결과'!$B$67*IFERROR(CHOOSE(FIND(G16,"DCBAS"),1,2,3,4,5),0)+'02_의사결정·종합결과'!$B$68*IFERROR(CHOOSE(FIND(H16,"DCBAS"),1,2,3,4,5),0),IF(LEN(G16)&gt;0,IFERROR(CHOOSE(FIND(G16,"DCBAS"),1,2,3,4,5),0),IF(LEN(H16)&gt;0,IFERROR(CHOOSE(FIND(H16,"DCBAS"),1,2,3,4,5),0),""))),"")</f>
        <v>2.5</v>
      </c>
      <c r="J16" s="53" t="str">
        <f t="shared" si="0"/>
        <v>B</v>
      </c>
      <c r="K16" s="5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21.75" customHeight="1">
      <c r="A17" s="4">
        <f>IF('01_인적정보'!B17="","",'01_인적정보'!A17)</f>
        <v>12</v>
      </c>
      <c r="B17" s="4" t="str">
        <f>IF('01_인적정보'!B17="","",'01_인적정보'!B17)</f>
        <v>BSS-012</v>
      </c>
      <c r="C17" s="13" t="str">
        <f>IF('01_인적정보'!B17="","",'01_인적정보'!C17)</f>
        <v>OOO</v>
      </c>
      <c r="D17" s="13" t="str">
        <f>IF('01_인적정보'!B17="","",'01_인적정보'!E17)</f>
        <v>경영전략기획</v>
      </c>
      <c r="E17" s="40" t="str">
        <f>IF('01_인적정보'!B17="","",'01_인적정보'!H17)</f>
        <v>G5-M</v>
      </c>
      <c r="F17" s="49">
        <f>IF('01_인적정보'!B17="","",'01_인적정보'!L17)</f>
        <v>9</v>
      </c>
      <c r="G17" s="19" t="str">
        <f>IF(OR('01_인적정보'!B17="",'07a_상반기입력'!K17=""),"",'07a_상반기입력'!K17)</f>
        <v>D</v>
      </c>
      <c r="H17" s="19" t="str">
        <f>IF(OR('01_인적정보'!B17="",'07a_상반기입력'!L17=""),"",'07a_상반기입력'!L17)</f>
        <v>C</v>
      </c>
      <c r="I17" s="52">
        <f>IFERROR(IF(AND(LEN(G17)&gt;0,LEN(H17)&gt;0),'02_의사결정·종합결과'!$B$67*IFERROR(CHOOSE(FIND(G17,"DCBAS"),1,2,3,4,5),0)+'02_의사결정·종합결과'!$B$68*IFERROR(CHOOSE(FIND(H17,"DCBAS"),1,2,3,4,5),0),IF(LEN(G17)&gt;0,IFERROR(CHOOSE(FIND(G17,"DCBAS"),1,2,3,4,5),0),IF(LEN(H17)&gt;0,IFERROR(CHOOSE(FIND(H17,"DCBAS"),1,2,3,4,5),0),""))),"")</f>
        <v>1.5</v>
      </c>
      <c r="J17" s="53" t="str">
        <f t="shared" si="0"/>
        <v>C</v>
      </c>
      <c r="K17" s="5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21.75" customHeight="1">
      <c r="A18" s="4">
        <f>IF('01_인적정보'!B18="","",'01_인적정보'!A18)</f>
        <v>13</v>
      </c>
      <c r="B18" s="4" t="str">
        <f>IF('01_인적정보'!B18="","",'01_인적정보'!B18)</f>
        <v>BSS-013</v>
      </c>
      <c r="C18" s="13" t="str">
        <f>IF('01_인적정보'!B18="","",'01_인적정보'!C18)</f>
        <v>OOO</v>
      </c>
      <c r="D18" s="13" t="str">
        <f>IF('01_인적정보'!B18="","",'01_인적정보'!E18)</f>
        <v>BIM컨설팅</v>
      </c>
      <c r="E18" s="40" t="str">
        <f>IF('01_인적정보'!B18="","",'01_인적정보'!H18)</f>
        <v>G5-S</v>
      </c>
      <c r="F18" s="49">
        <f>IF('01_인적정보'!B18="","",'01_인적정보'!L18)</f>
        <v>7</v>
      </c>
      <c r="G18" s="19" t="str">
        <f>IF(OR('01_인적정보'!B18="",'07a_상반기입력'!K18=""),"",'07a_상반기입력'!K18)</f>
        <v>S</v>
      </c>
      <c r="H18" s="19" t="str">
        <f>IF(OR('01_인적정보'!B18="",'07a_상반기입력'!L18=""),"",'07a_상반기입력'!L18)</f>
        <v>S</v>
      </c>
      <c r="I18" s="52">
        <f>IFERROR(IF(AND(LEN(G18)&gt;0,LEN(H18)&gt;0),'02_의사결정·종합결과'!$B$67*IFERROR(CHOOSE(FIND(G18,"DCBAS"),1,2,3,4,5),0)+'02_의사결정·종합결과'!$B$68*IFERROR(CHOOSE(FIND(H18,"DCBAS"),1,2,3,4,5),0),IF(LEN(G18)&gt;0,IFERROR(CHOOSE(FIND(G18,"DCBAS"),1,2,3,4,5),0),IF(LEN(H18)&gt;0,IFERROR(CHOOSE(FIND(H18,"DCBAS"),1,2,3,4,5),0),""))),"")</f>
        <v>5</v>
      </c>
      <c r="J18" s="53" t="str">
        <f t="shared" si="0"/>
        <v>S</v>
      </c>
      <c r="K18" s="5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21.75" customHeight="1">
      <c r="A19" s="4">
        <f>IF('01_인적정보'!B19="","",'01_인적정보'!A19)</f>
        <v>14</v>
      </c>
      <c r="B19" s="4" t="str">
        <f>IF('01_인적정보'!B19="","",'01_인적정보'!B19)</f>
        <v>BSS-014</v>
      </c>
      <c r="C19" s="13" t="str">
        <f>IF('01_인적정보'!B19="","",'01_인적정보'!C19)</f>
        <v>OOO</v>
      </c>
      <c r="D19" s="13" t="str">
        <f>IF('01_인적정보'!B19="","",'01_인적정보'!E19)</f>
        <v>BIM컨설팅</v>
      </c>
      <c r="E19" s="40" t="str">
        <f>IF('01_인적정보'!B19="","",'01_인적정보'!H19)</f>
        <v>G5-S</v>
      </c>
      <c r="F19" s="49">
        <f>IF('01_인적정보'!B19="","",'01_인적정보'!L19)</f>
        <v>9</v>
      </c>
      <c r="G19" s="19" t="str">
        <f>IF(OR('01_인적정보'!B19="",'07a_상반기입력'!K19=""),"",'07a_상반기입력'!K19)</f>
        <v>C</v>
      </c>
      <c r="H19" s="19" t="str">
        <f>IF(OR('01_인적정보'!B19="",'07a_상반기입력'!L19=""),"",'07a_상반기입력'!L19)</f>
        <v>B</v>
      </c>
      <c r="I19" s="52">
        <f>IFERROR(IF(AND(LEN(G19)&gt;0,LEN(H19)&gt;0),'02_의사결정·종합결과'!$B$67*IFERROR(CHOOSE(FIND(G19,"DCBAS"),1,2,3,4,5),0)+'02_의사결정·종합결과'!$B$68*IFERROR(CHOOSE(FIND(H19,"DCBAS"),1,2,3,4,5),0),IF(LEN(G19)&gt;0,IFERROR(CHOOSE(FIND(G19,"DCBAS"),1,2,3,4,5),0),IF(LEN(H19)&gt;0,IFERROR(CHOOSE(FIND(H19,"DCBAS"),1,2,3,4,5),0),""))),"")</f>
        <v>2.5</v>
      </c>
      <c r="J19" s="53" t="str">
        <f t="shared" si="0"/>
        <v>B</v>
      </c>
      <c r="K19" s="5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21.75" customHeight="1">
      <c r="A20" s="4">
        <f>IF('01_인적정보'!B20="","",'01_인적정보'!A20)</f>
        <v>15</v>
      </c>
      <c r="B20" s="4" t="str">
        <f>IF('01_인적정보'!B20="","",'01_인적정보'!B20)</f>
        <v>BSS-015</v>
      </c>
      <c r="C20" s="13" t="str">
        <f>IF('01_인적정보'!B20="","",'01_인적정보'!C20)</f>
        <v>OOO</v>
      </c>
      <c r="D20" s="13" t="str">
        <f>IF('01_인적정보'!B20="","",'01_인적정보'!E20)</f>
        <v>BIM컨설팅</v>
      </c>
      <c r="E20" s="40" t="str">
        <f>IF('01_인적정보'!B20="","",'01_인적정보'!H20)</f>
        <v>G5-S</v>
      </c>
      <c r="F20" s="49">
        <f>IF('01_인적정보'!B20="","",'01_인적정보'!L20)</f>
        <v>10</v>
      </c>
      <c r="G20" s="19" t="str">
        <f>IF(OR('01_인적정보'!B20="",'07a_상반기입력'!K20=""),"",'07a_상반기입력'!K20)</f>
        <v>B</v>
      </c>
      <c r="H20" s="19" t="str">
        <f>IF(OR('01_인적정보'!B20="",'07a_상반기입력'!L20=""),"",'07a_상반기입력'!L20)</f>
        <v>D</v>
      </c>
      <c r="I20" s="52">
        <f>IFERROR(IF(AND(LEN(G20)&gt;0,LEN(H20)&gt;0),'02_의사결정·종합결과'!$B$67*IFERROR(CHOOSE(FIND(G20,"DCBAS"),1,2,3,4,5),0)+'02_의사결정·종합결과'!$B$68*IFERROR(CHOOSE(FIND(H20,"DCBAS"),1,2,3,4,5),0),IF(LEN(G20)&gt;0,IFERROR(CHOOSE(FIND(G20,"DCBAS"),1,2,3,4,5),0),IF(LEN(H20)&gt;0,IFERROR(CHOOSE(FIND(H20,"DCBAS"),1,2,3,4,5),0),""))),"")</f>
        <v>2</v>
      </c>
      <c r="J20" s="53" t="str">
        <f t="shared" si="0"/>
        <v>C</v>
      </c>
      <c r="K20" s="5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21.75" customHeight="1">
      <c r="A21" s="4">
        <f>IF('01_인적정보'!B21="","",'01_인적정보'!A21)</f>
        <v>16</v>
      </c>
      <c r="B21" s="4" t="str">
        <f>IF('01_인적정보'!B21="","",'01_인적정보'!B21)</f>
        <v>BSS-016</v>
      </c>
      <c r="C21" s="13" t="str">
        <f>IF('01_인적정보'!B21="","",'01_인적정보'!C21)</f>
        <v>OOO</v>
      </c>
      <c r="D21" s="13" t="str">
        <f>IF('01_인적정보'!B21="","",'01_인적정보'!E21)</f>
        <v>BIM컨설팅</v>
      </c>
      <c r="E21" s="40" t="str">
        <f>IF('01_인적정보'!B21="","",'01_인적정보'!H21)</f>
        <v>G5-S</v>
      </c>
      <c r="F21" s="49">
        <f>IF('01_인적정보'!B21="","",'01_인적정보'!L21)</f>
        <v>9</v>
      </c>
      <c r="G21" s="19" t="str">
        <f>IF(OR('01_인적정보'!B21="",'07a_상반기입력'!K21=""),"",'07a_상반기입력'!K21)</f>
        <v>B</v>
      </c>
      <c r="H21" s="19" t="str">
        <f>IF(OR('01_인적정보'!B21="",'07a_상반기입력'!L21=""),"",'07a_상반기입력'!L21)</f>
        <v>B</v>
      </c>
      <c r="I21" s="52">
        <f>IFERROR(IF(AND(LEN(G21)&gt;0,LEN(H21)&gt;0),'02_의사결정·종합결과'!$B$67*IFERROR(CHOOSE(FIND(G21,"DCBAS"),1,2,3,4,5),0)+'02_의사결정·종합결과'!$B$68*IFERROR(CHOOSE(FIND(H21,"DCBAS"),1,2,3,4,5),0),IF(LEN(G21)&gt;0,IFERROR(CHOOSE(FIND(G21,"DCBAS"),1,2,3,4,5),0),IF(LEN(H21)&gt;0,IFERROR(CHOOSE(FIND(H21,"DCBAS"),1,2,3,4,5),0),""))),"")</f>
        <v>3</v>
      </c>
      <c r="J21" s="53" t="str">
        <f t="shared" si="0"/>
        <v>B</v>
      </c>
      <c r="K21" s="5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21.75" customHeight="1">
      <c r="A22" s="4">
        <f>IF('01_인적정보'!B22="","",'01_인적정보'!A22)</f>
        <v>17</v>
      </c>
      <c r="B22" s="4" t="str">
        <f>IF('01_인적정보'!B22="","",'01_인적정보'!B22)</f>
        <v>BSS-017</v>
      </c>
      <c r="C22" s="13" t="str">
        <f>IF('01_인적정보'!B22="","",'01_인적정보'!C22)</f>
        <v>OOO</v>
      </c>
      <c r="D22" s="13" t="str">
        <f>IF('01_인적정보'!B22="","",'01_인적정보'!E22)</f>
        <v>교육</v>
      </c>
      <c r="E22" s="40" t="str">
        <f>IF('01_인적정보'!B22="","",'01_인적정보'!H22)</f>
        <v>G4</v>
      </c>
      <c r="F22" s="49">
        <f>IF('01_인적정보'!B22="","",'01_인적정보'!L22)</f>
        <v>0</v>
      </c>
      <c r="G22" s="19" t="str">
        <f>IF(OR('01_인적정보'!B22="",'07a_상반기입력'!K22=""),"",'07a_상반기입력'!K22)</f>
        <v>B</v>
      </c>
      <c r="H22" s="19" t="str">
        <f>IF(OR('01_인적정보'!B22="",'07a_상반기입력'!L22=""),"",'07a_상반기입력'!L22)</f>
        <v>B</v>
      </c>
      <c r="I22" s="52">
        <f>IFERROR(IF(AND(LEN(G22)&gt;0,LEN(H22)&gt;0),'02_의사결정·종합결과'!$B$67*IFERROR(CHOOSE(FIND(G22,"DCBAS"),1,2,3,4,5),0)+'02_의사결정·종합결과'!$B$68*IFERROR(CHOOSE(FIND(H22,"DCBAS"),1,2,3,4,5),0),IF(LEN(G22)&gt;0,IFERROR(CHOOSE(FIND(G22,"DCBAS"),1,2,3,4,5),0),IF(LEN(H22)&gt;0,IFERROR(CHOOSE(FIND(H22,"DCBAS"),1,2,3,4,5),0),""))),"")</f>
        <v>3</v>
      </c>
      <c r="J22" s="53" t="str">
        <f t="shared" si="0"/>
        <v>B</v>
      </c>
      <c r="K22" s="5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21.75" customHeight="1">
      <c r="A23" s="4">
        <f>IF('01_인적정보'!B23="","",'01_인적정보'!A23)</f>
        <v>18</v>
      </c>
      <c r="B23" s="4" t="str">
        <f>IF('01_인적정보'!B23="","",'01_인적정보'!B23)</f>
        <v>BSS-018</v>
      </c>
      <c r="C23" s="13" t="str">
        <f>IF('01_인적정보'!B23="","",'01_인적정보'!C23)</f>
        <v>OOO</v>
      </c>
      <c r="D23" s="13" t="str">
        <f>IF('01_인적정보'!B23="","",'01_인적정보'!E23)</f>
        <v>BIM컨설팅</v>
      </c>
      <c r="E23" s="40" t="str">
        <f>IF('01_인적정보'!B23="","",'01_인적정보'!H23)</f>
        <v>G4</v>
      </c>
      <c r="F23" s="49">
        <f>IF('01_인적정보'!B23="","",'01_인적정보'!L23)</f>
        <v>8</v>
      </c>
      <c r="G23" s="19" t="str">
        <f>IF(OR('01_인적정보'!B23="",'07a_상반기입력'!K23=""),"",'07a_상반기입력'!K23)</f>
        <v>A</v>
      </c>
      <c r="H23" s="19" t="str">
        <f>IF(OR('01_인적정보'!B23="",'07a_상반기입력'!L23=""),"",'07a_상반기입력'!L23)</f>
        <v>S</v>
      </c>
      <c r="I23" s="52">
        <f>IFERROR(IF(AND(LEN(G23)&gt;0,LEN(H23)&gt;0),'02_의사결정·종합결과'!$B$67*IFERROR(CHOOSE(FIND(G23,"DCBAS"),1,2,3,4,5),0)+'02_의사결정·종합결과'!$B$68*IFERROR(CHOOSE(FIND(H23,"DCBAS"),1,2,3,4,5),0),IF(LEN(G23)&gt;0,IFERROR(CHOOSE(FIND(G23,"DCBAS"),1,2,3,4,5),0),IF(LEN(H23)&gt;0,IFERROR(CHOOSE(FIND(H23,"DCBAS"),1,2,3,4,5),0),""))),"")</f>
        <v>4.5</v>
      </c>
      <c r="J23" s="53" t="str">
        <f t="shared" si="0"/>
        <v>S</v>
      </c>
      <c r="K23" s="5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21.75" customHeight="1">
      <c r="A24" s="4">
        <f>IF('01_인적정보'!B24="","",'01_인적정보'!A24)</f>
        <v>19</v>
      </c>
      <c r="B24" s="4" t="str">
        <f>IF('01_인적정보'!B24="","",'01_인적정보'!B24)</f>
        <v>BSS-019</v>
      </c>
      <c r="C24" s="13" t="str">
        <f>IF('01_인적정보'!B24="","",'01_인적정보'!C24)</f>
        <v>OOO</v>
      </c>
      <c r="D24" s="13" t="str">
        <f>IF('01_인적정보'!B24="","",'01_인적정보'!E24)</f>
        <v>BIM컨설팅</v>
      </c>
      <c r="E24" s="40" t="str">
        <f>IF('01_인적정보'!B24="","",'01_인적정보'!H24)</f>
        <v>G3</v>
      </c>
      <c r="F24" s="49">
        <f>IF('01_인적정보'!B24="","",'01_인적정보'!L24)</f>
        <v>8</v>
      </c>
      <c r="G24" s="19" t="str">
        <f>IF(OR('01_인적정보'!B24="",'07a_상반기입력'!K24=""),"",'07a_상반기입력'!K24)</f>
        <v>B</v>
      </c>
      <c r="H24" s="19" t="str">
        <f>IF(OR('01_인적정보'!B24="",'07a_상반기입력'!L24=""),"",'07a_상반기입력'!L24)</f>
        <v>B</v>
      </c>
      <c r="I24" s="52">
        <f>IFERROR(IF(AND(LEN(G24)&gt;0,LEN(H24)&gt;0),'02_의사결정·종합결과'!$B$67*IFERROR(CHOOSE(FIND(G24,"DCBAS"),1,2,3,4,5),0)+'02_의사결정·종합결과'!$B$68*IFERROR(CHOOSE(FIND(H24,"DCBAS"),1,2,3,4,5),0),IF(LEN(G24)&gt;0,IFERROR(CHOOSE(FIND(G24,"DCBAS"),1,2,3,4,5),0),IF(LEN(H24)&gt;0,IFERROR(CHOOSE(FIND(H24,"DCBAS"),1,2,3,4,5),0),""))),"")</f>
        <v>3</v>
      </c>
      <c r="J24" s="53" t="str">
        <f t="shared" si="0"/>
        <v>B</v>
      </c>
      <c r="K24" s="5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21.75" customHeight="1">
      <c r="A25" s="4">
        <f>IF('01_인적정보'!B25="","",'01_인적정보'!A25)</f>
        <v>20</v>
      </c>
      <c r="B25" s="4" t="str">
        <f>IF('01_인적정보'!B25="","",'01_인적정보'!B25)</f>
        <v>BSS-020</v>
      </c>
      <c r="C25" s="13" t="str">
        <f>IF('01_인적정보'!B25="","",'01_인적정보'!C25)</f>
        <v>OOO</v>
      </c>
      <c r="D25" s="13" t="str">
        <f>IF('01_인적정보'!B25="","",'01_인적정보'!E25)</f>
        <v>기술지원</v>
      </c>
      <c r="E25" s="40" t="str">
        <f>IF('01_인적정보'!B25="","",'01_인적정보'!H25)</f>
        <v>G3</v>
      </c>
      <c r="F25" s="49">
        <f>IF('01_인적정보'!B25="","",'01_인적정보'!L25)</f>
        <v>0</v>
      </c>
      <c r="G25" s="19" t="str">
        <f>IF(OR('01_인적정보'!B25="",'07a_상반기입력'!K25=""),"",'07a_상반기입력'!K25)</f>
        <v>B</v>
      </c>
      <c r="H25" s="19" t="str">
        <f>IF(OR('01_인적정보'!B25="",'07a_상반기입력'!L25=""),"",'07a_상반기입력'!L25)</f>
        <v>B</v>
      </c>
      <c r="I25" s="52">
        <f>IFERROR(IF(AND(LEN(G25)&gt;0,LEN(H25)&gt;0),'02_의사결정·종합결과'!$B$67*IFERROR(CHOOSE(FIND(G25,"DCBAS"),1,2,3,4,5),0)+'02_의사결정·종합결과'!$B$68*IFERROR(CHOOSE(FIND(H25,"DCBAS"),1,2,3,4,5),0),IF(LEN(G25)&gt;0,IFERROR(CHOOSE(FIND(G25,"DCBAS"),1,2,3,4,5),0),IF(LEN(H25)&gt;0,IFERROR(CHOOSE(FIND(H25,"DCBAS"),1,2,3,4,5),0),""))),"")</f>
        <v>3</v>
      </c>
      <c r="J25" s="53" t="str">
        <f t="shared" si="0"/>
        <v>B</v>
      </c>
      <c r="K25" s="5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21.75" customHeight="1">
      <c r="A26" s="4">
        <f>IF('01_인적정보'!B26="","",'01_인적정보'!A26)</f>
        <v>21</v>
      </c>
      <c r="B26" s="4" t="str">
        <f>IF('01_인적정보'!B26="","",'01_인적정보'!B26)</f>
        <v>BSS-021</v>
      </c>
      <c r="C26" s="13" t="str">
        <f>IF('01_인적정보'!B26="","",'01_인적정보'!C26)</f>
        <v>OOO</v>
      </c>
      <c r="D26" s="13" t="str">
        <f>IF('01_인적정보'!B26="","",'01_인적정보'!E26)</f>
        <v>BIM컨설팅</v>
      </c>
      <c r="E26" s="40" t="str">
        <f>IF('01_인적정보'!B26="","",'01_인적정보'!H26)</f>
        <v>G2</v>
      </c>
      <c r="F26" s="49">
        <f>IF('01_인적정보'!B26="","",'01_인적정보'!L26)</f>
        <v>8</v>
      </c>
      <c r="G26" s="19" t="str">
        <f>IF(OR('01_인적정보'!B26="",'07a_상반기입력'!K26=""),"",'07a_상반기입력'!K26)</f>
        <v>C</v>
      </c>
      <c r="H26" s="19" t="str">
        <f>IF(OR('01_인적정보'!B26="",'07a_상반기입력'!L26=""),"",'07a_상반기입력'!L26)</f>
        <v>C</v>
      </c>
      <c r="I26" s="52">
        <f>IFERROR(IF(AND(LEN(G26)&gt;0,LEN(H26)&gt;0),'02_의사결정·종합결과'!$B$67*IFERROR(CHOOSE(FIND(G26,"DCBAS"),1,2,3,4,5),0)+'02_의사결정·종합결과'!$B$68*IFERROR(CHOOSE(FIND(H26,"DCBAS"),1,2,3,4,5),0),IF(LEN(G26)&gt;0,IFERROR(CHOOSE(FIND(G26,"DCBAS"),1,2,3,4,5),0),IF(LEN(H26)&gt;0,IFERROR(CHOOSE(FIND(H26,"DCBAS"),1,2,3,4,5),0),""))),"")</f>
        <v>2</v>
      </c>
      <c r="J26" s="53" t="str">
        <f t="shared" si="0"/>
        <v>C</v>
      </c>
      <c r="K26" s="5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21.75" customHeight="1">
      <c r="A27" s="4">
        <f>IF('01_인적정보'!B27="","",'01_인적정보'!A27)</f>
        <v>22</v>
      </c>
      <c r="B27" s="4" t="str">
        <f>IF('01_인적정보'!B27="","",'01_인적정보'!B27)</f>
        <v>BSS-022</v>
      </c>
      <c r="C27" s="13" t="str">
        <f>IF('01_인적정보'!B27="","",'01_인적정보'!C27)</f>
        <v>OOO</v>
      </c>
      <c r="D27" s="13" t="str">
        <f>IF('01_인적정보'!B27="","",'01_인적정보'!E27)</f>
        <v>BIM컨설팅</v>
      </c>
      <c r="E27" s="40" t="str">
        <f>IF('01_인적정보'!B27="","",'01_인적정보'!H27)</f>
        <v>G2</v>
      </c>
      <c r="F27" s="49">
        <f>IF('01_인적정보'!B27="","",'01_인적정보'!L27)</f>
        <v>8</v>
      </c>
      <c r="G27" s="19" t="str">
        <f>IF(OR('01_인적정보'!B27="",'07a_상반기입력'!K27=""),"",'07a_상반기입력'!K27)</f>
        <v>B</v>
      </c>
      <c r="H27" s="19" t="str">
        <f>IF(OR('01_인적정보'!B27="",'07a_상반기입력'!L27=""),"",'07a_상반기입력'!L27)</f>
        <v>A</v>
      </c>
      <c r="I27" s="52">
        <f>IFERROR(IF(AND(LEN(G27)&gt;0,LEN(H27)&gt;0),'02_의사결정·종합결과'!$B$67*IFERROR(CHOOSE(FIND(G27,"DCBAS"),1,2,3,4,5),0)+'02_의사결정·종합결과'!$B$68*IFERROR(CHOOSE(FIND(H27,"DCBAS"),1,2,3,4,5),0),IF(LEN(G27)&gt;0,IFERROR(CHOOSE(FIND(G27,"DCBAS"),1,2,3,4,5),0),IF(LEN(H27)&gt;0,IFERROR(CHOOSE(FIND(H27,"DCBAS"),1,2,3,4,5),0),""))),"")</f>
        <v>3.5</v>
      </c>
      <c r="J27" s="53" t="str">
        <f t="shared" si="0"/>
        <v>A</v>
      </c>
      <c r="K27" s="5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21.75" customHeight="1">
      <c r="A28" s="4">
        <f>IF('01_인적정보'!B28="","",'01_인적정보'!A28)</f>
        <v>23</v>
      </c>
      <c r="B28" s="4" t="str">
        <f>IF('01_인적정보'!B28="","",'01_인적정보'!B28)</f>
        <v>BSS-023</v>
      </c>
      <c r="C28" s="13" t="str">
        <f>IF('01_인적정보'!B28="","",'01_인적정보'!C28)</f>
        <v>OOO</v>
      </c>
      <c r="D28" s="13" t="str">
        <f>IF('01_인적정보'!B28="","",'01_인적정보'!E28)</f>
        <v>BIM컨설팅</v>
      </c>
      <c r="E28" s="40" t="str">
        <f>IF('01_인적정보'!B28="","",'01_인적정보'!H28)</f>
        <v>G2</v>
      </c>
      <c r="F28" s="49">
        <f>IF('01_인적정보'!B28="","",'01_인적정보'!L28)</f>
        <v>10</v>
      </c>
      <c r="G28" s="19" t="str">
        <f>IF(OR('01_인적정보'!B28="",'07a_상반기입력'!K28=""),"",'07a_상반기입력'!K28)</f>
        <v>A</v>
      </c>
      <c r="H28" s="19" t="str">
        <f>IF(OR('01_인적정보'!B28="",'07a_상반기입력'!L28=""),"",'07a_상반기입력'!L28)</f>
        <v>B</v>
      </c>
      <c r="I28" s="52">
        <f>IFERROR(IF(AND(LEN(G28)&gt;0,LEN(H28)&gt;0),'02_의사결정·종합결과'!$B$67*IFERROR(CHOOSE(FIND(G28,"DCBAS"),1,2,3,4,5),0)+'02_의사결정·종합결과'!$B$68*IFERROR(CHOOSE(FIND(H28,"DCBAS"),1,2,3,4,5),0),IF(LEN(G28)&gt;0,IFERROR(CHOOSE(FIND(G28,"DCBAS"),1,2,3,4,5),0),IF(LEN(H28)&gt;0,IFERROR(CHOOSE(FIND(H28,"DCBAS"),1,2,3,4,5),0),""))),"")</f>
        <v>3.5</v>
      </c>
      <c r="J28" s="53" t="str">
        <f t="shared" si="0"/>
        <v>A</v>
      </c>
      <c r="K28" s="5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21.75" customHeight="1">
      <c r="A29" s="4">
        <f>IF('01_인적정보'!B29="","",'01_인적정보'!A29)</f>
        <v>24</v>
      </c>
      <c r="B29" s="4" t="str">
        <f>IF('01_인적정보'!B29="","",'01_인적정보'!B29)</f>
        <v>BSS-024</v>
      </c>
      <c r="C29" s="13" t="str">
        <f>IF('01_인적정보'!B29="","",'01_인적정보'!C29)</f>
        <v>OOO</v>
      </c>
      <c r="D29" s="13" t="str">
        <f>IF('01_인적정보'!B29="","",'01_인적정보'!E29)</f>
        <v>BIM컨설팅</v>
      </c>
      <c r="E29" s="40" t="str">
        <f>IF('01_인적정보'!B29="","",'01_인적정보'!H29)</f>
        <v>G2</v>
      </c>
      <c r="F29" s="49">
        <f>IF('01_인적정보'!B29="","",'01_인적정보'!L29)</f>
        <v>9</v>
      </c>
      <c r="G29" s="19" t="str">
        <f>IF(OR('01_인적정보'!B29="",'07a_상반기입력'!K29=""),"",'07a_상반기입력'!K29)</f>
        <v>A</v>
      </c>
      <c r="H29" s="19" t="str">
        <f>IF(OR('01_인적정보'!B29="",'07a_상반기입력'!L29=""),"",'07a_상반기입력'!L29)</f>
        <v>B</v>
      </c>
      <c r="I29" s="52">
        <f>IFERROR(IF(AND(LEN(G29)&gt;0,LEN(H29)&gt;0),'02_의사결정·종합결과'!$B$67*IFERROR(CHOOSE(FIND(G29,"DCBAS"),1,2,3,4,5),0)+'02_의사결정·종합결과'!$B$68*IFERROR(CHOOSE(FIND(H29,"DCBAS"),1,2,3,4,5),0),IF(LEN(G29)&gt;0,IFERROR(CHOOSE(FIND(G29,"DCBAS"),1,2,3,4,5),0),IF(LEN(H29)&gt;0,IFERROR(CHOOSE(FIND(H29,"DCBAS"),1,2,3,4,5),0),""))),"")</f>
        <v>3.5</v>
      </c>
      <c r="J29" s="53" t="str">
        <f t="shared" si="0"/>
        <v>A</v>
      </c>
      <c r="K29" s="5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21.75" customHeight="1">
      <c r="A30" s="4">
        <f>IF('01_인적정보'!B30="","",'01_인적정보'!A30)</f>
        <v>25</v>
      </c>
      <c r="B30" s="4" t="str">
        <f>IF('01_인적정보'!B30="","",'01_인적정보'!B30)</f>
        <v>BSS-025</v>
      </c>
      <c r="C30" s="13" t="str">
        <f>IF('01_인적정보'!B30="","",'01_인적정보'!C30)</f>
        <v>OOO</v>
      </c>
      <c r="D30" s="13" t="str">
        <f>IF('01_인적정보'!B30="","",'01_인적정보'!E30)</f>
        <v>연구개발(R&amp;D)</v>
      </c>
      <c r="E30" s="40" t="str">
        <f>IF('01_인적정보'!B30="","",'01_인적정보'!H30)</f>
        <v>G2</v>
      </c>
      <c r="F30" s="49">
        <f>IF('01_인적정보'!B30="","",'01_인적정보'!L30)</f>
        <v>0</v>
      </c>
      <c r="G30" s="19" t="str">
        <f>IF(OR('01_인적정보'!B30="",'07a_상반기입력'!K30=""),"",'07a_상반기입력'!K30)</f>
        <v>C</v>
      </c>
      <c r="H30" s="19" t="str">
        <f>IF(OR('01_인적정보'!B30="",'07a_상반기입력'!L30=""),"",'07a_상반기입력'!L30)</f>
        <v>C</v>
      </c>
      <c r="I30" s="52">
        <f>IFERROR(IF(AND(LEN(G30)&gt;0,LEN(H30)&gt;0),'02_의사결정·종합결과'!$B$67*IFERROR(CHOOSE(FIND(G30,"DCBAS"),1,2,3,4,5),0)+'02_의사결정·종합결과'!$B$68*IFERROR(CHOOSE(FIND(H30,"DCBAS"),1,2,3,4,5),0),IF(LEN(G30)&gt;0,IFERROR(CHOOSE(FIND(G30,"DCBAS"),1,2,3,4,5),0),IF(LEN(H30)&gt;0,IFERROR(CHOOSE(FIND(H30,"DCBAS"),1,2,3,4,5),0),""))),"")</f>
        <v>2</v>
      </c>
      <c r="J30" s="53" t="str">
        <f t="shared" si="0"/>
        <v>C</v>
      </c>
      <c r="K30" s="5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21.75" customHeight="1">
      <c r="A31" s="4">
        <f>IF('01_인적정보'!B31="","",'01_인적정보'!A31)</f>
        <v>26</v>
      </c>
      <c r="B31" s="4" t="str">
        <f>IF('01_인적정보'!B31="","",'01_인적정보'!B31)</f>
        <v>BSS-026</v>
      </c>
      <c r="C31" s="13" t="str">
        <f>IF('01_인적정보'!B31="","",'01_인적정보'!C31)</f>
        <v>OOO</v>
      </c>
      <c r="D31" s="13" t="str">
        <f>IF('01_인적정보'!B31="","",'01_인적정보'!E31)</f>
        <v>경영전략기획</v>
      </c>
      <c r="E31" s="40" t="str">
        <f>IF('01_인적정보'!B31="","",'01_인적정보'!H31)</f>
        <v>G1</v>
      </c>
      <c r="F31" s="49">
        <f>IF('01_인적정보'!B31="","",'01_인적정보'!L31)</f>
        <v>2</v>
      </c>
      <c r="G31" s="19" t="str">
        <f>IF(OR('01_인적정보'!B31="",'07a_상반기입력'!K31=""),"",'07a_상반기입력'!K31)</f>
        <v>B</v>
      </c>
      <c r="H31" s="19" t="str">
        <f>IF(OR('01_인적정보'!B31="",'07a_상반기입력'!L31=""),"",'07a_상반기입력'!L31)</f>
        <v>B</v>
      </c>
      <c r="I31" s="52">
        <f>IFERROR(IF(AND(LEN(G31)&gt;0,LEN(H31)&gt;0),'02_의사결정·종합결과'!$B$67*IFERROR(CHOOSE(FIND(G31,"DCBAS"),1,2,3,4,5),0)+'02_의사결정·종합결과'!$B$68*IFERROR(CHOOSE(FIND(H31,"DCBAS"),1,2,3,4,5),0),IF(LEN(G31)&gt;0,IFERROR(CHOOSE(FIND(G31,"DCBAS"),1,2,3,4,5),0),IF(LEN(H31)&gt;0,IFERROR(CHOOSE(FIND(H31,"DCBAS"),1,2,3,4,5),0),""))),"")</f>
        <v>3</v>
      </c>
      <c r="J31" s="53" t="str">
        <f t="shared" si="0"/>
        <v>B</v>
      </c>
      <c r="K31" s="5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21.75" customHeight="1">
      <c r="A32" s="4">
        <f>IF('01_인적정보'!B32="","",'01_인적정보'!A32)</f>
        <v>27</v>
      </c>
      <c r="B32" s="4" t="str">
        <f>IF('01_인적정보'!B32="","",'01_인적정보'!B32)</f>
        <v>BSS-027</v>
      </c>
      <c r="C32" s="13" t="str">
        <f>IF('01_인적정보'!B32="","",'01_인적정보'!C32)</f>
        <v>OOO</v>
      </c>
      <c r="D32" s="13" t="str">
        <f>IF('01_인적정보'!B32="","",'01_인적정보'!E32)</f>
        <v>교육</v>
      </c>
      <c r="E32" s="40" t="str">
        <f>IF('01_인적정보'!B32="","",'01_인적정보'!H32)</f>
        <v>G2</v>
      </c>
      <c r="F32" s="49">
        <f>IF('01_인적정보'!B32="","",'01_인적정보'!L32)</f>
        <v>0</v>
      </c>
      <c r="G32" s="19" t="str">
        <f>IF(OR('01_인적정보'!B32="",'07a_상반기입력'!K32=""),"",'07a_상반기입력'!K32)</f>
        <v>A</v>
      </c>
      <c r="H32" s="19" t="str">
        <f>IF(OR('01_인적정보'!B32="",'07a_상반기입력'!L32=""),"",'07a_상반기입력'!L32)</f>
        <v>A</v>
      </c>
      <c r="I32" s="52">
        <f>IFERROR(IF(AND(LEN(G32)&gt;0,LEN(H32)&gt;0),'02_의사결정·종합결과'!$B$67*IFERROR(CHOOSE(FIND(G32,"DCBAS"),1,2,3,4,5),0)+'02_의사결정·종합결과'!$B$68*IFERROR(CHOOSE(FIND(H32,"DCBAS"),1,2,3,4,5),0),IF(LEN(G32)&gt;0,IFERROR(CHOOSE(FIND(G32,"DCBAS"),1,2,3,4,5),0),IF(LEN(H32)&gt;0,IFERROR(CHOOSE(FIND(H32,"DCBAS"),1,2,3,4,5),0),""))),"")</f>
        <v>4</v>
      </c>
      <c r="J32" s="53" t="str">
        <f t="shared" si="0"/>
        <v>A</v>
      </c>
      <c r="K32" s="5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21.75" customHeight="1">
      <c r="A33" s="4">
        <f>IF('01_인적정보'!B33="","",'01_인적정보'!A33)</f>
        <v>28</v>
      </c>
      <c r="B33" s="4" t="str">
        <f>IF('01_인적정보'!B33="","",'01_인적정보'!B33)</f>
        <v>BSS-028</v>
      </c>
      <c r="C33" s="13" t="str">
        <f>IF('01_인적정보'!B33="","",'01_인적정보'!C33)</f>
        <v>OOO</v>
      </c>
      <c r="D33" s="13" t="str">
        <f>IF('01_인적정보'!B33="","",'01_인적정보'!E33)</f>
        <v>BIM컨설팅</v>
      </c>
      <c r="E33" s="40" t="str">
        <f>IF('01_인적정보'!B33="","",'01_인적정보'!H33)</f>
        <v>G1</v>
      </c>
      <c r="F33" s="49">
        <f>IF('01_인적정보'!B33="","",'01_인적정보'!L33)</f>
        <v>12</v>
      </c>
      <c r="G33" s="19" t="str">
        <f>IF(OR('01_인적정보'!B33="",'07a_상반기입력'!K33=""),"",'07a_상반기입력'!K33)</f>
        <v>S</v>
      </c>
      <c r="H33" s="19" t="str">
        <f>IF(OR('01_인적정보'!B33="",'07a_상반기입력'!L33=""),"",'07a_상반기입력'!L33)</f>
        <v>S</v>
      </c>
      <c r="I33" s="52">
        <f>IFERROR(IF(AND(LEN(G33)&gt;0,LEN(H33)&gt;0),'02_의사결정·종합결과'!$B$67*IFERROR(CHOOSE(FIND(G33,"DCBAS"),1,2,3,4,5),0)+'02_의사결정·종합결과'!$B$68*IFERROR(CHOOSE(FIND(H33,"DCBAS"),1,2,3,4,5),0),IF(LEN(G33)&gt;0,IFERROR(CHOOSE(FIND(G33,"DCBAS"),1,2,3,4,5),0),IF(LEN(H33)&gt;0,IFERROR(CHOOSE(FIND(H33,"DCBAS"),1,2,3,4,5),0),""))),"")</f>
        <v>5</v>
      </c>
      <c r="J33" s="53" t="str">
        <f t="shared" si="0"/>
        <v>S</v>
      </c>
      <c r="K33" s="5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21.75" customHeight="1">
      <c r="A34" s="4">
        <f>IF('01_인적정보'!B34="","",'01_인적정보'!A34)</f>
        <v>29</v>
      </c>
      <c r="B34" s="4" t="str">
        <f>IF('01_인적정보'!B34="","",'01_인적정보'!B34)</f>
        <v>BSS-029</v>
      </c>
      <c r="C34" s="13" t="str">
        <f>IF('01_인적정보'!B34="","",'01_인적정보'!C34)</f>
        <v>OOO</v>
      </c>
      <c r="D34" s="13" t="str">
        <f>IF('01_인적정보'!B34="","",'01_인적정보'!E34)</f>
        <v>BIM컨설팅</v>
      </c>
      <c r="E34" s="40" t="str">
        <f>IF('01_인적정보'!B34="","",'01_인적정보'!H34)</f>
        <v>G1</v>
      </c>
      <c r="F34" s="49">
        <f>IF('01_인적정보'!B34="","",'01_인적정보'!L34)</f>
        <v>12</v>
      </c>
      <c r="G34" s="19" t="str">
        <f>IF(OR('01_인적정보'!B34="",'07a_상반기입력'!K34=""),"",'07a_상반기입력'!K34)</f>
        <v>B</v>
      </c>
      <c r="H34" s="19" t="str">
        <f>IF(OR('01_인적정보'!B34="",'07a_상반기입력'!L34=""),"",'07a_상반기입력'!L34)</f>
        <v>B</v>
      </c>
      <c r="I34" s="52">
        <f>IFERROR(IF(AND(LEN(G34)&gt;0,LEN(H34)&gt;0),'02_의사결정·종합결과'!$B$67*IFERROR(CHOOSE(FIND(G34,"DCBAS"),1,2,3,4,5),0)+'02_의사결정·종합결과'!$B$68*IFERROR(CHOOSE(FIND(H34,"DCBAS"),1,2,3,4,5),0),IF(LEN(G34)&gt;0,IFERROR(CHOOSE(FIND(G34,"DCBAS"),1,2,3,4,5),0),IF(LEN(H34)&gt;0,IFERROR(CHOOSE(FIND(H34,"DCBAS"),1,2,3,4,5),0),""))),"")</f>
        <v>3</v>
      </c>
      <c r="J34" s="53" t="str">
        <f t="shared" si="0"/>
        <v>B</v>
      </c>
      <c r="K34" s="5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21.75" customHeight="1">
      <c r="A35" s="4">
        <f>IF('01_인적정보'!B35="","",'01_인적정보'!A35)</f>
        <v>30</v>
      </c>
      <c r="B35" s="4" t="str">
        <f>IF('01_인적정보'!B35="","",'01_인적정보'!B35)</f>
        <v>BSS-030</v>
      </c>
      <c r="C35" s="13" t="str">
        <f>IF('01_인적정보'!B35="","",'01_인적정보'!C35)</f>
        <v>OOO</v>
      </c>
      <c r="D35" s="13" t="str">
        <f>IF('01_인적정보'!B35="","",'01_인적정보'!E35)</f>
        <v>BIM컨설팅</v>
      </c>
      <c r="E35" s="40" t="str">
        <f>IF('01_인적정보'!B35="","",'01_인적정보'!H35)</f>
        <v>G1</v>
      </c>
      <c r="F35" s="49">
        <f>IF('01_인적정보'!B35="","",'01_인적정보'!L35)</f>
        <v>7</v>
      </c>
      <c r="G35" s="19" t="str">
        <f>IF(OR('01_인적정보'!B35="",'07a_상반기입력'!K35=""),"",'07a_상반기입력'!K35)</f>
        <v>B</v>
      </c>
      <c r="H35" s="19" t="str">
        <f>IF(OR('01_인적정보'!B35="",'07a_상반기입력'!L35=""),"",'07a_상반기입력'!L35)</f>
        <v>B</v>
      </c>
      <c r="I35" s="52">
        <f>IFERROR(IF(AND(LEN(G35)&gt;0,LEN(H35)&gt;0),'02_의사결정·종합결과'!$B$67*IFERROR(CHOOSE(FIND(G35,"DCBAS"),1,2,3,4,5),0)+'02_의사결정·종합결과'!$B$68*IFERROR(CHOOSE(FIND(H35,"DCBAS"),1,2,3,4,5),0),IF(LEN(G35)&gt;0,IFERROR(CHOOSE(FIND(G35,"DCBAS"),1,2,3,4,5),0),IF(LEN(H35)&gt;0,IFERROR(CHOOSE(FIND(H35,"DCBAS"),1,2,3,4,5),0),""))),"")</f>
        <v>3</v>
      </c>
      <c r="J35" s="53" t="str">
        <f t="shared" si="0"/>
        <v>B</v>
      </c>
      <c r="K35" s="5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21.75" customHeight="1">
      <c r="A36" s="4">
        <f>IF('01_인적정보'!B36="","",'01_인적정보'!A36)</f>
        <v>31</v>
      </c>
      <c r="B36" s="4" t="str">
        <f>IF('01_인적정보'!B36="","",'01_인적정보'!B36)</f>
        <v>BSS-031</v>
      </c>
      <c r="C36" s="13" t="str">
        <f>IF('01_인적정보'!B36="","",'01_인적정보'!C36)</f>
        <v>OOO</v>
      </c>
      <c r="D36" s="13" t="str">
        <f>IF('01_인적정보'!B36="","",'01_인적정보'!E36)</f>
        <v>BIM컨설팅</v>
      </c>
      <c r="E36" s="40" t="str">
        <f>IF('01_인적정보'!B36="","",'01_인적정보'!H36)</f>
        <v>G1</v>
      </c>
      <c r="F36" s="49">
        <f>IF('01_인적정보'!B36="","",'01_인적정보'!L36)</f>
        <v>13</v>
      </c>
      <c r="G36" s="19" t="str">
        <f>IF(OR('01_인적정보'!B36="",'07a_상반기입력'!K36=""),"",'07a_상반기입력'!K36)</f>
        <v>A</v>
      </c>
      <c r="H36" s="19" t="str">
        <f>IF(OR('01_인적정보'!B36="",'07a_상반기입력'!L36=""),"",'07a_상반기입력'!L36)</f>
        <v>B</v>
      </c>
      <c r="I36" s="52">
        <f>IFERROR(IF(AND(LEN(G36)&gt;0,LEN(H36)&gt;0),'02_의사결정·종합결과'!$B$67*IFERROR(CHOOSE(FIND(G36,"DCBAS"),1,2,3,4,5),0)+'02_의사결정·종합결과'!$B$68*IFERROR(CHOOSE(FIND(H36,"DCBAS"),1,2,3,4,5),0),IF(LEN(G36)&gt;0,IFERROR(CHOOSE(FIND(G36,"DCBAS"),1,2,3,4,5),0),IF(LEN(H36)&gt;0,IFERROR(CHOOSE(FIND(H36,"DCBAS"),1,2,3,4,5),0),""))),"")</f>
        <v>3.5</v>
      </c>
      <c r="J36" s="53" t="str">
        <f t="shared" si="0"/>
        <v>A</v>
      </c>
      <c r="K36" s="5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21.75" customHeight="1">
      <c r="A37" s="4">
        <f>IF('01_인적정보'!B37="","",'01_인적정보'!A37)</f>
        <v>32</v>
      </c>
      <c r="B37" s="4" t="str">
        <f>IF('01_인적정보'!B37="","",'01_인적정보'!B37)</f>
        <v>BSS-032</v>
      </c>
      <c r="C37" s="13" t="str">
        <f>IF('01_인적정보'!B37="","",'01_인적정보'!C37)</f>
        <v>OOO</v>
      </c>
      <c r="D37" s="13" t="str">
        <f>IF('01_인적정보'!B37="","",'01_인적정보'!E37)</f>
        <v>BIM컨설팅</v>
      </c>
      <c r="E37" s="40" t="str">
        <f>IF('01_인적정보'!B37="","",'01_인적정보'!H37)</f>
        <v>G1</v>
      </c>
      <c r="F37" s="49">
        <f>IF('01_인적정보'!B37="","",'01_인적정보'!L37)</f>
        <v>13</v>
      </c>
      <c r="G37" s="19" t="str">
        <f>IF(OR('01_인적정보'!B37="",'07a_상반기입력'!K37=""),"",'07a_상반기입력'!K37)</f>
        <v>A</v>
      </c>
      <c r="H37" s="19" t="str">
        <f>IF(OR('01_인적정보'!B37="",'07a_상반기입력'!L37=""),"",'07a_상반기입력'!L37)</f>
        <v>A</v>
      </c>
      <c r="I37" s="52">
        <f>IFERROR(IF(AND(LEN(G37)&gt;0,LEN(H37)&gt;0),'02_의사결정·종합결과'!$B$67*IFERROR(CHOOSE(FIND(G37,"DCBAS"),1,2,3,4,5),0)+'02_의사결정·종합결과'!$B$68*IFERROR(CHOOSE(FIND(H37,"DCBAS"),1,2,3,4,5),0),IF(LEN(G37)&gt;0,IFERROR(CHOOSE(FIND(G37,"DCBAS"),1,2,3,4,5),0),IF(LEN(H37)&gt;0,IFERROR(CHOOSE(FIND(H37,"DCBAS"),1,2,3,4,5),0),""))),"")</f>
        <v>4</v>
      </c>
      <c r="J37" s="53" t="str">
        <f t="shared" si="0"/>
        <v>A</v>
      </c>
      <c r="K37" s="5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21.75" customHeight="1">
      <c r="A38" s="4">
        <f>IF('01_인적정보'!B38="","",'01_인적정보'!A38)</f>
        <v>33</v>
      </c>
      <c r="B38" s="4" t="str">
        <f>IF('01_인적정보'!B38="","",'01_인적정보'!B38)</f>
        <v>BSS-033</v>
      </c>
      <c r="C38" s="13" t="str">
        <f>IF('01_인적정보'!B38="","",'01_인적정보'!C38)</f>
        <v>OOO</v>
      </c>
      <c r="D38" s="13" t="str">
        <f>IF('01_인적정보'!B38="","",'01_인적정보'!E38)</f>
        <v>BIM컨설팅</v>
      </c>
      <c r="E38" s="40" t="str">
        <f>IF('01_인적정보'!B38="","",'01_인적정보'!H38)</f>
        <v>G1</v>
      </c>
      <c r="F38" s="49">
        <f>IF('01_인적정보'!B38="","",'01_인적정보'!L38)</f>
        <v>6</v>
      </c>
      <c r="G38" s="19" t="str">
        <f>IF(OR('01_인적정보'!B38="",'07a_상반기입력'!K38=""),"",'07a_상반기입력'!K38)</f>
        <v>B</v>
      </c>
      <c r="H38" s="19" t="str">
        <f>IF(OR('01_인적정보'!B38="",'07a_상반기입력'!L38=""),"",'07a_상반기입력'!L38)</f>
        <v>B</v>
      </c>
      <c r="I38" s="52">
        <f>IFERROR(IF(AND(LEN(G38)&gt;0,LEN(H38)&gt;0),'02_의사결정·종합결과'!$B$67*IFERROR(CHOOSE(FIND(G38,"DCBAS"),1,2,3,4,5),0)+'02_의사결정·종합결과'!$B$68*IFERROR(CHOOSE(FIND(H38,"DCBAS"),1,2,3,4,5),0),IF(LEN(G38)&gt;0,IFERROR(CHOOSE(FIND(G38,"DCBAS"),1,2,3,4,5),0),IF(LEN(H38)&gt;0,IFERROR(CHOOSE(FIND(H38,"DCBAS"),1,2,3,4,5),0),""))),"")</f>
        <v>3</v>
      </c>
      <c r="J38" s="53" t="str">
        <f t="shared" ref="J38:J55" si="1">IF(OR(I38="",NOT(ISNUMBER(I38)),I38&lt;0.5),"",IF(I38&gt;=4.5,"S",IF(I38&gt;=3.5,"A",IF(I38&gt;=2.5,"B",IF(I38&gt;=1.5,"C","D")))))</f>
        <v>B</v>
      </c>
      <c r="K38" s="5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21.75" customHeight="1">
      <c r="A39" s="4">
        <f>IF('01_인적정보'!B39="","",'01_인적정보'!A39)</f>
        <v>34</v>
      </c>
      <c r="B39" s="4" t="str">
        <f>IF('01_인적정보'!B39="","",'01_인적정보'!B39)</f>
        <v>BSS-034</v>
      </c>
      <c r="C39" s="13" t="str">
        <f>IF('01_인적정보'!B39="","",'01_인적정보'!C39)</f>
        <v>OOO</v>
      </c>
      <c r="D39" s="13" t="str">
        <f>IF('01_인적정보'!B39="","",'01_인적정보'!E39)</f>
        <v>BIM컨설팅</v>
      </c>
      <c r="E39" s="40" t="str">
        <f>IF('01_인적정보'!B39="","",'01_인적정보'!H39)</f>
        <v>G1</v>
      </c>
      <c r="F39" s="49">
        <f>IF('01_인적정보'!B39="","",'01_인적정보'!L39)</f>
        <v>6</v>
      </c>
      <c r="G39" s="19" t="str">
        <f>IF(OR('01_인적정보'!B39="",'07a_상반기입력'!K39=""),"",'07a_상반기입력'!K39)</f>
        <v>S</v>
      </c>
      <c r="H39" s="19" t="str">
        <f>IF(OR('01_인적정보'!B39="",'07a_상반기입력'!L39=""),"",'07a_상반기입력'!L39)</f>
        <v>S</v>
      </c>
      <c r="I39" s="52">
        <f>IFERROR(IF(AND(LEN(G39)&gt;0,LEN(H39)&gt;0),'02_의사결정·종합결과'!$B$67*IFERROR(CHOOSE(FIND(G39,"DCBAS"),1,2,3,4,5),0)+'02_의사결정·종합결과'!$B$68*IFERROR(CHOOSE(FIND(H39,"DCBAS"),1,2,3,4,5),0),IF(LEN(G39)&gt;0,IFERROR(CHOOSE(FIND(G39,"DCBAS"),1,2,3,4,5),0),IF(LEN(H39)&gt;0,IFERROR(CHOOSE(FIND(H39,"DCBAS"),1,2,3,4,5),0),""))),"")</f>
        <v>5</v>
      </c>
      <c r="J39" s="53" t="str">
        <f t="shared" si="1"/>
        <v>S</v>
      </c>
      <c r="K39" s="5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21.75" customHeight="1">
      <c r="A40" s="4" t="str">
        <f>IF('01_인적정보'!B40="","",'01_인적정보'!A40)</f>
        <v/>
      </c>
      <c r="B40" s="4" t="str">
        <f>IF('01_인적정보'!B40="","",'01_인적정보'!B40)</f>
        <v/>
      </c>
      <c r="C40" s="13" t="str">
        <f>IF('01_인적정보'!B40="","",'01_인적정보'!C40)</f>
        <v/>
      </c>
      <c r="D40" s="13" t="str">
        <f>IF('01_인적정보'!B40="","",'01_인적정보'!E40)</f>
        <v/>
      </c>
      <c r="E40" s="40" t="str">
        <f>IF('01_인적정보'!B40="","",'01_인적정보'!H40)</f>
        <v/>
      </c>
      <c r="F40" s="49" t="str">
        <f>IF('01_인적정보'!B40="","",'01_인적정보'!L40)</f>
        <v/>
      </c>
      <c r="G40" s="19" t="str">
        <f>IF(OR('01_인적정보'!B40="",'07a_상반기입력'!K40=""),"",'07a_상반기입력'!K40)</f>
        <v/>
      </c>
      <c r="H40" s="19" t="str">
        <f>IF(OR('01_인적정보'!B40="",'07a_상반기입력'!L40=""),"",'07a_상반기입력'!L40)</f>
        <v/>
      </c>
      <c r="I40" s="52" t="str">
        <f>IFERROR(IF(AND(LEN(G40)&gt;0,LEN(H40)&gt;0),'02_의사결정·종합결과'!$B$67*IFERROR(CHOOSE(FIND(G40,"DCBAS"),1,2,3,4,5),0)+'02_의사결정·종합결과'!$B$68*IFERROR(CHOOSE(FIND(H40,"DCBAS"),1,2,3,4,5),0),IF(LEN(G40)&gt;0,IFERROR(CHOOSE(FIND(G40,"DCBAS"),1,2,3,4,5),0),IF(LEN(H40)&gt;0,IFERROR(CHOOSE(FIND(H40,"DCBAS"),1,2,3,4,5),0),""))),"")</f>
        <v/>
      </c>
      <c r="J40" s="53" t="str">
        <f t="shared" si="1"/>
        <v/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21.75" customHeight="1">
      <c r="A41" s="4" t="str">
        <f>IF('01_인적정보'!B41="","",'01_인적정보'!A41)</f>
        <v/>
      </c>
      <c r="B41" s="4" t="str">
        <f>IF('01_인적정보'!B41="","",'01_인적정보'!B41)</f>
        <v/>
      </c>
      <c r="C41" s="13" t="str">
        <f>IF('01_인적정보'!B41="","",'01_인적정보'!C41)</f>
        <v/>
      </c>
      <c r="D41" s="13" t="str">
        <f>IF('01_인적정보'!B41="","",'01_인적정보'!E41)</f>
        <v/>
      </c>
      <c r="E41" s="40" t="str">
        <f>IF('01_인적정보'!B41="","",'01_인적정보'!H41)</f>
        <v/>
      </c>
      <c r="F41" s="49" t="str">
        <f>IF('01_인적정보'!B41="","",'01_인적정보'!L41)</f>
        <v/>
      </c>
      <c r="G41" s="19" t="str">
        <f>IF(OR('01_인적정보'!B41="",'07a_상반기입력'!K41=""),"",'07a_상반기입력'!K41)</f>
        <v/>
      </c>
      <c r="H41" s="19" t="str">
        <f>IF(OR('01_인적정보'!B41="",'07a_상반기입력'!L41=""),"",'07a_상반기입력'!L41)</f>
        <v/>
      </c>
      <c r="I41" s="52" t="str">
        <f>IFERROR(IF(AND(LEN(G41)&gt;0,LEN(H41)&gt;0),'02_의사결정·종합결과'!$B$67*IFERROR(CHOOSE(FIND(G41,"DCBAS"),1,2,3,4,5),0)+'02_의사결정·종합결과'!$B$68*IFERROR(CHOOSE(FIND(H41,"DCBAS"),1,2,3,4,5),0),IF(LEN(G41)&gt;0,IFERROR(CHOOSE(FIND(G41,"DCBAS"),1,2,3,4,5),0),IF(LEN(H41)&gt;0,IFERROR(CHOOSE(FIND(H41,"DCBAS"),1,2,3,4,5),0),""))),"")</f>
        <v/>
      </c>
      <c r="J41" s="53" t="str">
        <f t="shared" si="1"/>
        <v/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21.75" customHeight="1">
      <c r="A42" s="4" t="str">
        <f>IF('01_인적정보'!B42="","",'01_인적정보'!A42)</f>
        <v/>
      </c>
      <c r="B42" s="4" t="str">
        <f>IF('01_인적정보'!B42="","",'01_인적정보'!B42)</f>
        <v/>
      </c>
      <c r="C42" s="13" t="str">
        <f>IF('01_인적정보'!B42="","",'01_인적정보'!C42)</f>
        <v/>
      </c>
      <c r="D42" s="13" t="str">
        <f>IF('01_인적정보'!B42="","",'01_인적정보'!E42)</f>
        <v/>
      </c>
      <c r="E42" s="40" t="str">
        <f>IF('01_인적정보'!B42="","",'01_인적정보'!H42)</f>
        <v/>
      </c>
      <c r="F42" s="49" t="str">
        <f>IF('01_인적정보'!B42="","",'01_인적정보'!L42)</f>
        <v/>
      </c>
      <c r="G42" s="19" t="str">
        <f>IF(OR('01_인적정보'!B42="",'07a_상반기입력'!K42=""),"",'07a_상반기입력'!K42)</f>
        <v/>
      </c>
      <c r="H42" s="19" t="str">
        <f>IF(OR('01_인적정보'!B42="",'07a_상반기입력'!L42=""),"",'07a_상반기입력'!L42)</f>
        <v/>
      </c>
      <c r="I42" s="52" t="str">
        <f>IFERROR(IF(AND(LEN(G42)&gt;0,LEN(H42)&gt;0),'02_의사결정·종합결과'!$B$67*IFERROR(CHOOSE(FIND(G42,"DCBAS"),1,2,3,4,5),0)+'02_의사결정·종합결과'!$B$68*IFERROR(CHOOSE(FIND(H42,"DCBAS"),1,2,3,4,5),0),IF(LEN(G42)&gt;0,IFERROR(CHOOSE(FIND(G42,"DCBAS"),1,2,3,4,5),0),IF(LEN(H42)&gt;0,IFERROR(CHOOSE(FIND(H42,"DCBAS"),1,2,3,4,5),0),""))),"")</f>
        <v/>
      </c>
      <c r="J42" s="53" t="str">
        <f t="shared" si="1"/>
        <v/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21.75" customHeight="1">
      <c r="A43" s="4" t="str">
        <f>IF('01_인적정보'!B43="","",'01_인적정보'!A43)</f>
        <v/>
      </c>
      <c r="B43" s="4" t="str">
        <f>IF('01_인적정보'!B43="","",'01_인적정보'!B43)</f>
        <v/>
      </c>
      <c r="C43" s="13" t="str">
        <f>IF('01_인적정보'!B43="","",'01_인적정보'!C43)</f>
        <v/>
      </c>
      <c r="D43" s="13" t="str">
        <f>IF('01_인적정보'!B43="","",'01_인적정보'!E43)</f>
        <v/>
      </c>
      <c r="E43" s="40" t="str">
        <f>IF('01_인적정보'!B43="","",'01_인적정보'!H43)</f>
        <v/>
      </c>
      <c r="F43" s="49" t="str">
        <f>IF('01_인적정보'!B43="","",'01_인적정보'!L43)</f>
        <v/>
      </c>
      <c r="G43" s="19" t="str">
        <f>IF(OR('01_인적정보'!B43="",'07a_상반기입력'!K43=""),"",'07a_상반기입력'!K43)</f>
        <v/>
      </c>
      <c r="H43" s="19" t="str">
        <f>IF(OR('01_인적정보'!B43="",'07a_상반기입력'!L43=""),"",'07a_상반기입력'!L43)</f>
        <v/>
      </c>
      <c r="I43" s="52" t="str">
        <f>IFERROR(IF(AND(LEN(G43)&gt;0,LEN(H43)&gt;0),'02_의사결정·종합결과'!$B$67*IFERROR(CHOOSE(FIND(G43,"DCBAS"),1,2,3,4,5),0)+'02_의사결정·종합결과'!$B$68*IFERROR(CHOOSE(FIND(H43,"DCBAS"),1,2,3,4,5),0),IF(LEN(G43)&gt;0,IFERROR(CHOOSE(FIND(G43,"DCBAS"),1,2,3,4,5),0),IF(LEN(H43)&gt;0,IFERROR(CHOOSE(FIND(H43,"DCBAS"),1,2,3,4,5),0),""))),"")</f>
        <v/>
      </c>
      <c r="J43" s="53" t="str">
        <f t="shared" si="1"/>
        <v/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21.75" customHeight="1">
      <c r="A44" s="4" t="str">
        <f>IF('01_인적정보'!B44="","",'01_인적정보'!A44)</f>
        <v/>
      </c>
      <c r="B44" s="4" t="str">
        <f>IF('01_인적정보'!B44="","",'01_인적정보'!B44)</f>
        <v/>
      </c>
      <c r="C44" s="13" t="str">
        <f>IF('01_인적정보'!B44="","",'01_인적정보'!C44)</f>
        <v/>
      </c>
      <c r="D44" s="13" t="str">
        <f>IF('01_인적정보'!B44="","",'01_인적정보'!E44)</f>
        <v/>
      </c>
      <c r="E44" s="40" t="str">
        <f>IF('01_인적정보'!B44="","",'01_인적정보'!H44)</f>
        <v/>
      </c>
      <c r="F44" s="49" t="str">
        <f>IF('01_인적정보'!B44="","",'01_인적정보'!L44)</f>
        <v/>
      </c>
      <c r="G44" s="19" t="str">
        <f>IF(OR('01_인적정보'!B44="",'07a_상반기입력'!K44=""),"",'07a_상반기입력'!K44)</f>
        <v/>
      </c>
      <c r="H44" s="19" t="str">
        <f>IF(OR('01_인적정보'!B44="",'07a_상반기입력'!L44=""),"",'07a_상반기입력'!L44)</f>
        <v/>
      </c>
      <c r="I44" s="52" t="str">
        <f>IFERROR(IF(AND(LEN(G44)&gt;0,LEN(H44)&gt;0),'02_의사결정·종합결과'!$B$67*IFERROR(CHOOSE(FIND(G44,"DCBAS"),1,2,3,4,5),0)+'02_의사결정·종합결과'!$B$68*IFERROR(CHOOSE(FIND(H44,"DCBAS"),1,2,3,4,5),0),IF(LEN(G44)&gt;0,IFERROR(CHOOSE(FIND(G44,"DCBAS"),1,2,3,4,5),0),IF(LEN(H44)&gt;0,IFERROR(CHOOSE(FIND(H44,"DCBAS"),1,2,3,4,5),0),""))),"")</f>
        <v/>
      </c>
      <c r="J44" s="53" t="str">
        <f t="shared" si="1"/>
        <v/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21.75" customHeight="1">
      <c r="A45" s="4" t="str">
        <f>IF('01_인적정보'!B45="","",'01_인적정보'!A45)</f>
        <v/>
      </c>
      <c r="B45" s="4" t="str">
        <f>IF('01_인적정보'!B45="","",'01_인적정보'!B45)</f>
        <v/>
      </c>
      <c r="C45" s="13" t="str">
        <f>IF('01_인적정보'!B45="","",'01_인적정보'!C45)</f>
        <v/>
      </c>
      <c r="D45" s="13" t="str">
        <f>IF('01_인적정보'!B45="","",'01_인적정보'!E45)</f>
        <v/>
      </c>
      <c r="E45" s="40" t="str">
        <f>IF('01_인적정보'!B45="","",'01_인적정보'!H45)</f>
        <v/>
      </c>
      <c r="F45" s="49" t="str">
        <f>IF('01_인적정보'!B45="","",'01_인적정보'!L45)</f>
        <v/>
      </c>
      <c r="G45" s="19" t="str">
        <f>IF(OR('01_인적정보'!B45="",'07a_상반기입력'!K45=""),"",'07a_상반기입력'!K45)</f>
        <v/>
      </c>
      <c r="H45" s="19" t="str">
        <f>IF(OR('01_인적정보'!B45="",'07a_상반기입력'!L45=""),"",'07a_상반기입력'!L45)</f>
        <v/>
      </c>
      <c r="I45" s="52" t="str">
        <f>IFERROR(IF(AND(LEN(G45)&gt;0,LEN(H45)&gt;0),'02_의사결정·종합결과'!$B$67*IFERROR(CHOOSE(FIND(G45,"DCBAS"),1,2,3,4,5),0)+'02_의사결정·종합결과'!$B$68*IFERROR(CHOOSE(FIND(H45,"DCBAS"),1,2,3,4,5),0),IF(LEN(G45)&gt;0,IFERROR(CHOOSE(FIND(G45,"DCBAS"),1,2,3,4,5),0),IF(LEN(H45)&gt;0,IFERROR(CHOOSE(FIND(H45,"DCBAS"),1,2,3,4,5),0),""))),"")</f>
        <v/>
      </c>
      <c r="J45" s="53" t="str">
        <f t="shared" si="1"/>
        <v/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21.75" customHeight="1">
      <c r="A46" s="4" t="str">
        <f>IF('01_인적정보'!B46="","",'01_인적정보'!A46)</f>
        <v/>
      </c>
      <c r="B46" s="4" t="str">
        <f>IF('01_인적정보'!B46="","",'01_인적정보'!B46)</f>
        <v/>
      </c>
      <c r="C46" s="13" t="str">
        <f>IF('01_인적정보'!B46="","",'01_인적정보'!C46)</f>
        <v/>
      </c>
      <c r="D46" s="13" t="str">
        <f>IF('01_인적정보'!B46="","",'01_인적정보'!E46)</f>
        <v/>
      </c>
      <c r="E46" s="40" t="str">
        <f>IF('01_인적정보'!B46="","",'01_인적정보'!H46)</f>
        <v/>
      </c>
      <c r="F46" s="49" t="str">
        <f>IF('01_인적정보'!B46="","",'01_인적정보'!L46)</f>
        <v/>
      </c>
      <c r="G46" s="19" t="str">
        <f>IF(OR('01_인적정보'!B46="",'07a_상반기입력'!K46=""),"",'07a_상반기입력'!K46)</f>
        <v/>
      </c>
      <c r="H46" s="19" t="str">
        <f>IF(OR('01_인적정보'!B46="",'07a_상반기입력'!L46=""),"",'07a_상반기입력'!L46)</f>
        <v/>
      </c>
      <c r="I46" s="52" t="str">
        <f>IFERROR(IF(AND(LEN(G46)&gt;0,LEN(H46)&gt;0),'02_의사결정·종합결과'!$B$67*IFERROR(CHOOSE(FIND(G46,"DCBAS"),1,2,3,4,5),0)+'02_의사결정·종합결과'!$B$68*IFERROR(CHOOSE(FIND(H46,"DCBAS"),1,2,3,4,5),0),IF(LEN(G46)&gt;0,IFERROR(CHOOSE(FIND(G46,"DCBAS"),1,2,3,4,5),0),IF(LEN(H46)&gt;0,IFERROR(CHOOSE(FIND(H46,"DCBAS"),1,2,3,4,5),0),""))),"")</f>
        <v/>
      </c>
      <c r="J46" s="53" t="str">
        <f t="shared" si="1"/>
        <v/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21.75" customHeight="1">
      <c r="A47" s="4" t="str">
        <f>IF('01_인적정보'!B47="","",'01_인적정보'!A47)</f>
        <v/>
      </c>
      <c r="B47" s="4" t="str">
        <f>IF('01_인적정보'!B47="","",'01_인적정보'!B47)</f>
        <v/>
      </c>
      <c r="C47" s="13" t="str">
        <f>IF('01_인적정보'!B47="","",'01_인적정보'!C47)</f>
        <v/>
      </c>
      <c r="D47" s="13" t="str">
        <f>IF('01_인적정보'!B47="","",'01_인적정보'!E47)</f>
        <v/>
      </c>
      <c r="E47" s="40" t="str">
        <f>IF('01_인적정보'!B47="","",'01_인적정보'!H47)</f>
        <v/>
      </c>
      <c r="F47" s="49" t="str">
        <f>IF('01_인적정보'!B47="","",'01_인적정보'!L47)</f>
        <v/>
      </c>
      <c r="G47" s="19" t="str">
        <f>IF(OR('01_인적정보'!B47="",'07a_상반기입력'!K47=""),"",'07a_상반기입력'!K47)</f>
        <v/>
      </c>
      <c r="H47" s="19" t="str">
        <f>IF(OR('01_인적정보'!B47="",'07a_상반기입력'!L47=""),"",'07a_상반기입력'!L47)</f>
        <v/>
      </c>
      <c r="I47" s="52" t="str">
        <f>IFERROR(IF(AND(LEN(G47)&gt;0,LEN(H47)&gt;0),'02_의사결정·종합결과'!$B$67*IFERROR(CHOOSE(FIND(G47,"DCBAS"),1,2,3,4,5),0)+'02_의사결정·종합결과'!$B$68*IFERROR(CHOOSE(FIND(H47,"DCBAS"),1,2,3,4,5),0),IF(LEN(G47)&gt;0,IFERROR(CHOOSE(FIND(G47,"DCBAS"),1,2,3,4,5),0),IF(LEN(H47)&gt;0,IFERROR(CHOOSE(FIND(H47,"DCBAS"),1,2,3,4,5),0),""))),"")</f>
        <v/>
      </c>
      <c r="J47" s="53" t="str">
        <f t="shared" si="1"/>
        <v/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21.75" customHeight="1">
      <c r="A48" s="4" t="str">
        <f>IF('01_인적정보'!B48="","",'01_인적정보'!A48)</f>
        <v/>
      </c>
      <c r="B48" s="4" t="str">
        <f>IF('01_인적정보'!B48="","",'01_인적정보'!B48)</f>
        <v/>
      </c>
      <c r="C48" s="13" t="str">
        <f>IF('01_인적정보'!B48="","",'01_인적정보'!C48)</f>
        <v/>
      </c>
      <c r="D48" s="13" t="str">
        <f>IF('01_인적정보'!B48="","",'01_인적정보'!E48)</f>
        <v/>
      </c>
      <c r="E48" s="40" t="str">
        <f>IF('01_인적정보'!B48="","",'01_인적정보'!H48)</f>
        <v/>
      </c>
      <c r="F48" s="49" t="str">
        <f>IF('01_인적정보'!B48="","",'01_인적정보'!L48)</f>
        <v/>
      </c>
      <c r="G48" s="19" t="str">
        <f>IF(OR('01_인적정보'!B48="",'07a_상반기입력'!K48=""),"",'07a_상반기입력'!K48)</f>
        <v/>
      </c>
      <c r="H48" s="19" t="str">
        <f>IF(OR('01_인적정보'!B48="",'07a_상반기입력'!L48=""),"",'07a_상반기입력'!L48)</f>
        <v/>
      </c>
      <c r="I48" s="52" t="str">
        <f>IFERROR(IF(AND(LEN(G48)&gt;0,LEN(H48)&gt;0),'02_의사결정·종합결과'!$B$67*IFERROR(CHOOSE(FIND(G48,"DCBAS"),1,2,3,4,5),0)+'02_의사결정·종합결과'!$B$68*IFERROR(CHOOSE(FIND(H48,"DCBAS"),1,2,3,4,5),0),IF(LEN(G48)&gt;0,IFERROR(CHOOSE(FIND(G48,"DCBAS"),1,2,3,4,5),0),IF(LEN(H48)&gt;0,IFERROR(CHOOSE(FIND(H48,"DCBAS"),1,2,3,4,5),0),""))),"")</f>
        <v/>
      </c>
      <c r="J48" s="53" t="str">
        <f t="shared" si="1"/>
        <v/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21.75" customHeight="1">
      <c r="A49" s="4" t="str">
        <f>IF('01_인적정보'!B49="","",'01_인적정보'!A49)</f>
        <v/>
      </c>
      <c r="B49" s="4" t="str">
        <f>IF('01_인적정보'!B49="","",'01_인적정보'!B49)</f>
        <v/>
      </c>
      <c r="C49" s="13" t="str">
        <f>IF('01_인적정보'!B49="","",'01_인적정보'!C49)</f>
        <v/>
      </c>
      <c r="D49" s="13" t="str">
        <f>IF('01_인적정보'!B49="","",'01_인적정보'!E49)</f>
        <v/>
      </c>
      <c r="E49" s="40" t="str">
        <f>IF('01_인적정보'!B49="","",'01_인적정보'!H49)</f>
        <v/>
      </c>
      <c r="F49" s="49" t="str">
        <f>IF('01_인적정보'!B49="","",'01_인적정보'!L49)</f>
        <v/>
      </c>
      <c r="G49" s="19" t="str">
        <f>IF(OR('01_인적정보'!B49="",'07a_상반기입력'!K49=""),"",'07a_상반기입력'!K49)</f>
        <v/>
      </c>
      <c r="H49" s="19" t="str">
        <f>IF(OR('01_인적정보'!B49="",'07a_상반기입력'!L49=""),"",'07a_상반기입력'!L49)</f>
        <v/>
      </c>
      <c r="I49" s="52" t="str">
        <f>IFERROR(IF(AND(LEN(G49)&gt;0,LEN(H49)&gt;0),'02_의사결정·종합결과'!$B$67*IFERROR(CHOOSE(FIND(G49,"DCBAS"),1,2,3,4,5),0)+'02_의사결정·종합결과'!$B$68*IFERROR(CHOOSE(FIND(H49,"DCBAS"),1,2,3,4,5),0),IF(LEN(G49)&gt;0,IFERROR(CHOOSE(FIND(G49,"DCBAS"),1,2,3,4,5),0),IF(LEN(H49)&gt;0,IFERROR(CHOOSE(FIND(H49,"DCBAS"),1,2,3,4,5),0),""))),"")</f>
        <v/>
      </c>
      <c r="J49" s="53" t="str">
        <f t="shared" si="1"/>
        <v/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21.75" customHeight="1">
      <c r="A50" s="4" t="str">
        <f>IF('01_인적정보'!B50="","",'01_인적정보'!A50)</f>
        <v/>
      </c>
      <c r="B50" s="4" t="str">
        <f>IF('01_인적정보'!B50="","",'01_인적정보'!B50)</f>
        <v/>
      </c>
      <c r="C50" s="13" t="str">
        <f>IF('01_인적정보'!B50="","",'01_인적정보'!C50)</f>
        <v/>
      </c>
      <c r="D50" s="13" t="str">
        <f>IF('01_인적정보'!B50="","",'01_인적정보'!E50)</f>
        <v/>
      </c>
      <c r="E50" s="40" t="str">
        <f>IF('01_인적정보'!B50="","",'01_인적정보'!H50)</f>
        <v/>
      </c>
      <c r="F50" s="49" t="str">
        <f>IF('01_인적정보'!B50="","",'01_인적정보'!L50)</f>
        <v/>
      </c>
      <c r="G50" s="19" t="str">
        <f>IF(OR('01_인적정보'!B50="",'07a_상반기입력'!K50=""),"",'07a_상반기입력'!K50)</f>
        <v/>
      </c>
      <c r="H50" s="19" t="str">
        <f>IF(OR('01_인적정보'!B50="",'07a_상반기입력'!L50=""),"",'07a_상반기입력'!L50)</f>
        <v/>
      </c>
      <c r="I50" s="52" t="str">
        <f>IFERROR(IF(AND(LEN(G50)&gt;0,LEN(H50)&gt;0),'02_의사결정·종합결과'!$B$67*IFERROR(CHOOSE(FIND(G50,"DCBAS"),1,2,3,4,5),0)+'02_의사결정·종합결과'!$B$68*IFERROR(CHOOSE(FIND(H50,"DCBAS"),1,2,3,4,5),0),IF(LEN(G50)&gt;0,IFERROR(CHOOSE(FIND(G50,"DCBAS"),1,2,3,4,5),0),IF(LEN(H50)&gt;0,IFERROR(CHOOSE(FIND(H50,"DCBAS"),1,2,3,4,5),0),""))),"")</f>
        <v/>
      </c>
      <c r="J50" s="53" t="str">
        <f t="shared" si="1"/>
        <v/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21.75" customHeight="1">
      <c r="A51" s="4" t="str">
        <f>IF('01_인적정보'!B51="","",'01_인적정보'!A51)</f>
        <v/>
      </c>
      <c r="B51" s="4" t="str">
        <f>IF('01_인적정보'!B51="","",'01_인적정보'!B51)</f>
        <v/>
      </c>
      <c r="C51" s="13" t="str">
        <f>IF('01_인적정보'!B51="","",'01_인적정보'!C51)</f>
        <v/>
      </c>
      <c r="D51" s="13" t="str">
        <f>IF('01_인적정보'!B51="","",'01_인적정보'!E51)</f>
        <v/>
      </c>
      <c r="E51" s="40" t="str">
        <f>IF('01_인적정보'!B51="","",'01_인적정보'!H51)</f>
        <v/>
      </c>
      <c r="F51" s="49" t="str">
        <f>IF('01_인적정보'!B51="","",'01_인적정보'!L51)</f>
        <v/>
      </c>
      <c r="G51" s="19" t="str">
        <f>IF(OR('01_인적정보'!B51="",'07a_상반기입력'!K51=""),"",'07a_상반기입력'!K51)</f>
        <v/>
      </c>
      <c r="H51" s="19" t="str">
        <f>IF(OR('01_인적정보'!B51="",'07a_상반기입력'!L51=""),"",'07a_상반기입력'!L51)</f>
        <v/>
      </c>
      <c r="I51" s="52" t="str">
        <f>IFERROR(IF(AND(LEN(G51)&gt;0,LEN(H51)&gt;0),'02_의사결정·종합결과'!$B$67*IFERROR(CHOOSE(FIND(G51,"DCBAS"),1,2,3,4,5),0)+'02_의사결정·종합결과'!$B$68*IFERROR(CHOOSE(FIND(H51,"DCBAS"),1,2,3,4,5),0),IF(LEN(G51)&gt;0,IFERROR(CHOOSE(FIND(G51,"DCBAS"),1,2,3,4,5),0),IF(LEN(H51)&gt;0,IFERROR(CHOOSE(FIND(H51,"DCBAS"),1,2,3,4,5),0),""))),"")</f>
        <v/>
      </c>
      <c r="J51" s="53" t="str">
        <f t="shared" si="1"/>
        <v/>
      </c>
      <c r="K51" s="5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21.75" customHeight="1">
      <c r="A52" s="4" t="str">
        <f>IF('01_인적정보'!B52="","",'01_인적정보'!A52)</f>
        <v/>
      </c>
      <c r="B52" s="4" t="str">
        <f>IF('01_인적정보'!B52="","",'01_인적정보'!B52)</f>
        <v/>
      </c>
      <c r="C52" s="13" t="str">
        <f>IF('01_인적정보'!B52="","",'01_인적정보'!C52)</f>
        <v/>
      </c>
      <c r="D52" s="13" t="str">
        <f>IF('01_인적정보'!B52="","",'01_인적정보'!E52)</f>
        <v/>
      </c>
      <c r="E52" s="40" t="str">
        <f>IF('01_인적정보'!B52="","",'01_인적정보'!H52)</f>
        <v/>
      </c>
      <c r="F52" s="49" t="str">
        <f>IF('01_인적정보'!B52="","",'01_인적정보'!L52)</f>
        <v/>
      </c>
      <c r="G52" s="19" t="str">
        <f>IF(OR('01_인적정보'!B52="",'07a_상반기입력'!K52=""),"",'07a_상반기입력'!K52)</f>
        <v/>
      </c>
      <c r="H52" s="19" t="str">
        <f>IF(OR('01_인적정보'!B52="",'07a_상반기입력'!L52=""),"",'07a_상반기입력'!L52)</f>
        <v/>
      </c>
      <c r="I52" s="52" t="str">
        <f>IFERROR(IF(AND(LEN(G52)&gt;0,LEN(H52)&gt;0),'02_의사결정·종합결과'!$B$67*IFERROR(CHOOSE(FIND(G52,"DCBAS"),1,2,3,4,5),0)+'02_의사결정·종합결과'!$B$68*IFERROR(CHOOSE(FIND(H52,"DCBAS"),1,2,3,4,5),0),IF(LEN(G52)&gt;0,IFERROR(CHOOSE(FIND(G52,"DCBAS"),1,2,3,4,5),0),IF(LEN(H52)&gt;0,IFERROR(CHOOSE(FIND(H52,"DCBAS"),1,2,3,4,5),0),""))),"")</f>
        <v/>
      </c>
      <c r="J52" s="53" t="str">
        <f t="shared" si="1"/>
        <v/>
      </c>
      <c r="K52" s="5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21.75" customHeight="1">
      <c r="A53" s="4" t="str">
        <f>IF('01_인적정보'!B53="","",'01_인적정보'!A53)</f>
        <v/>
      </c>
      <c r="B53" s="4" t="str">
        <f>IF('01_인적정보'!B53="","",'01_인적정보'!B53)</f>
        <v/>
      </c>
      <c r="C53" s="13" t="str">
        <f>IF('01_인적정보'!B53="","",'01_인적정보'!C53)</f>
        <v/>
      </c>
      <c r="D53" s="13" t="str">
        <f>IF('01_인적정보'!B53="","",'01_인적정보'!E53)</f>
        <v/>
      </c>
      <c r="E53" s="40" t="str">
        <f>IF('01_인적정보'!B53="","",'01_인적정보'!H53)</f>
        <v/>
      </c>
      <c r="F53" s="49" t="str">
        <f>IF('01_인적정보'!B53="","",'01_인적정보'!L53)</f>
        <v/>
      </c>
      <c r="G53" s="19" t="str">
        <f>IF(OR('01_인적정보'!B53="",'07a_상반기입력'!K53=""),"",'07a_상반기입력'!K53)</f>
        <v/>
      </c>
      <c r="H53" s="19" t="str">
        <f>IF(OR('01_인적정보'!B53="",'07a_상반기입력'!L53=""),"",'07a_상반기입력'!L53)</f>
        <v/>
      </c>
      <c r="I53" s="52" t="str">
        <f>IFERROR(IF(AND(LEN(G53)&gt;0,LEN(H53)&gt;0),'02_의사결정·종합결과'!$B$67*IFERROR(CHOOSE(FIND(G53,"DCBAS"),1,2,3,4,5),0)+'02_의사결정·종합결과'!$B$68*IFERROR(CHOOSE(FIND(H53,"DCBAS"),1,2,3,4,5),0),IF(LEN(G53)&gt;0,IFERROR(CHOOSE(FIND(G53,"DCBAS"),1,2,3,4,5),0),IF(LEN(H53)&gt;0,IFERROR(CHOOSE(FIND(H53,"DCBAS"),1,2,3,4,5),0),""))),"")</f>
        <v/>
      </c>
      <c r="J53" s="53" t="str">
        <f t="shared" si="1"/>
        <v/>
      </c>
      <c r="K53" s="5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21.75" customHeight="1">
      <c r="A54" s="4" t="str">
        <f>IF('01_인적정보'!B54="","",'01_인적정보'!A54)</f>
        <v/>
      </c>
      <c r="B54" s="4" t="str">
        <f>IF('01_인적정보'!B54="","",'01_인적정보'!B54)</f>
        <v/>
      </c>
      <c r="C54" s="13" t="str">
        <f>IF('01_인적정보'!B54="","",'01_인적정보'!C54)</f>
        <v/>
      </c>
      <c r="D54" s="13" t="str">
        <f>IF('01_인적정보'!B54="","",'01_인적정보'!E54)</f>
        <v/>
      </c>
      <c r="E54" s="40" t="str">
        <f>IF('01_인적정보'!B54="","",'01_인적정보'!H54)</f>
        <v/>
      </c>
      <c r="F54" s="49" t="str">
        <f>IF('01_인적정보'!B54="","",'01_인적정보'!L54)</f>
        <v/>
      </c>
      <c r="G54" s="19" t="str">
        <f>IF(OR('01_인적정보'!B54="",'07a_상반기입력'!K54=""),"",'07a_상반기입력'!K54)</f>
        <v/>
      </c>
      <c r="H54" s="19" t="str">
        <f>IF(OR('01_인적정보'!B54="",'07a_상반기입력'!L54=""),"",'07a_상반기입력'!L54)</f>
        <v/>
      </c>
      <c r="I54" s="52" t="str">
        <f>IFERROR(IF(AND(LEN(G54)&gt;0,LEN(H54)&gt;0),'02_의사결정·종합결과'!$B$67*IFERROR(CHOOSE(FIND(G54,"DCBAS"),1,2,3,4,5),0)+'02_의사결정·종합결과'!$B$68*IFERROR(CHOOSE(FIND(H54,"DCBAS"),1,2,3,4,5),0),IF(LEN(G54)&gt;0,IFERROR(CHOOSE(FIND(G54,"DCBAS"),1,2,3,4,5),0),IF(LEN(H54)&gt;0,IFERROR(CHOOSE(FIND(H54,"DCBAS"),1,2,3,4,5),0),""))),"")</f>
        <v/>
      </c>
      <c r="J54" s="53" t="str">
        <f t="shared" si="1"/>
        <v/>
      </c>
      <c r="K54" s="5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21.75" customHeight="1">
      <c r="A55" s="4" t="str">
        <f>IF('01_인적정보'!B55="","",'01_인적정보'!A55)</f>
        <v/>
      </c>
      <c r="B55" s="4" t="str">
        <f>IF('01_인적정보'!B55="","",'01_인적정보'!B55)</f>
        <v/>
      </c>
      <c r="C55" s="13" t="str">
        <f>IF('01_인적정보'!B55="","",'01_인적정보'!C55)</f>
        <v/>
      </c>
      <c r="D55" s="13" t="str">
        <f>IF('01_인적정보'!B55="","",'01_인적정보'!E55)</f>
        <v/>
      </c>
      <c r="E55" s="40" t="str">
        <f>IF('01_인적정보'!B55="","",'01_인적정보'!H55)</f>
        <v/>
      </c>
      <c r="F55" s="49" t="str">
        <f>IF('01_인적정보'!B55="","",'01_인적정보'!L55)</f>
        <v/>
      </c>
      <c r="G55" s="19" t="str">
        <f>IF(OR('01_인적정보'!B55="",'07a_상반기입력'!K55=""),"",'07a_상반기입력'!K55)</f>
        <v/>
      </c>
      <c r="H55" s="19" t="str">
        <f>IF(OR('01_인적정보'!B55="",'07a_상반기입력'!L55=""),"",'07a_상반기입력'!L55)</f>
        <v/>
      </c>
      <c r="I55" s="52" t="str">
        <f>IFERROR(IF(AND(LEN(G55)&gt;0,LEN(H55)&gt;0),'02_의사결정·종합결과'!$B$67*IFERROR(CHOOSE(FIND(G55,"DCBAS"),1,2,3,4,5),0)+'02_의사결정·종합결과'!$B$68*IFERROR(CHOOSE(FIND(H55,"DCBAS"),1,2,3,4,5),0),IF(LEN(G55)&gt;0,IFERROR(CHOOSE(FIND(G55,"DCBAS"),1,2,3,4,5),0),IF(LEN(H55)&gt;0,IFERROR(CHOOSE(FIND(H55,"DCBAS"),1,2,3,4,5),0),""))),"")</f>
        <v/>
      </c>
      <c r="J55" s="53" t="str">
        <f t="shared" si="1"/>
        <v/>
      </c>
      <c r="K55" s="5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>
      <c r="A56" s="5"/>
      <c r="B56" s="5"/>
      <c r="C56" s="5"/>
      <c r="D56" s="5"/>
      <c r="E56" s="5"/>
      <c r="F56" s="5"/>
      <c r="G56" s="5"/>
      <c r="H56" s="5"/>
      <c r="I56" s="54"/>
      <c r="J56" s="5"/>
      <c r="K56" s="5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>
      <c r="A57" s="5"/>
      <c r="B57" s="5"/>
      <c r="C57" s="5"/>
      <c r="D57" s="5"/>
      <c r="E57" s="5"/>
      <c r="F57" s="5"/>
      <c r="G57" s="5"/>
      <c r="H57" s="5"/>
      <c r="I57" s="54"/>
      <c r="J57" s="5"/>
      <c r="K57" s="5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>
      <c r="A58" s="5"/>
      <c r="B58" s="5"/>
      <c r="C58" s="5"/>
      <c r="D58" s="5"/>
      <c r="E58" s="5"/>
      <c r="F58" s="5"/>
      <c r="G58" s="5"/>
      <c r="H58" s="5"/>
      <c r="I58" s="54"/>
      <c r="J58" s="5"/>
      <c r="K58" s="5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>
      <c r="A59" s="5"/>
      <c r="B59" s="5"/>
      <c r="C59" s="5"/>
      <c r="D59" s="5"/>
      <c r="E59" s="5"/>
      <c r="F59" s="5"/>
      <c r="G59" s="5"/>
      <c r="H59" s="5"/>
      <c r="I59" s="54"/>
      <c r="J59" s="5"/>
      <c r="K59" s="5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>
      <c r="A60" s="5"/>
      <c r="B60" s="5"/>
      <c r="C60" s="5"/>
      <c r="D60" s="5"/>
      <c r="E60" s="5"/>
      <c r="F60" s="5"/>
      <c r="G60" s="5"/>
      <c r="H60" s="5"/>
      <c r="I60" s="54"/>
      <c r="J60" s="5"/>
      <c r="K60" s="5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>
      <c r="A61" s="5"/>
      <c r="B61" s="5"/>
      <c r="C61" s="5"/>
      <c r="D61" s="5"/>
      <c r="E61" s="5"/>
      <c r="F61" s="5"/>
      <c r="G61" s="5"/>
      <c r="H61" s="5"/>
      <c r="I61" s="54"/>
      <c r="J61" s="5"/>
      <c r="K61" s="5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25.5" customHeight="1">
      <c r="A62" s="121" t="s">
        <v>388</v>
      </c>
      <c r="B62" s="121"/>
      <c r="C62" s="121"/>
      <c r="D62" s="121"/>
      <c r="E62" s="121"/>
      <c r="F62" s="121"/>
      <c r="G62" s="121"/>
      <c r="H62" s="121"/>
      <c r="I62" s="121"/>
      <c r="J62" s="121"/>
      <c r="K62" s="5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27.75" customHeight="1">
      <c r="A63" s="50" t="s">
        <v>145</v>
      </c>
      <c r="B63" s="51" t="s">
        <v>146</v>
      </c>
      <c r="C63" s="51" t="s">
        <v>147</v>
      </c>
      <c r="D63" s="51" t="s">
        <v>149</v>
      </c>
      <c r="E63" s="51" t="s">
        <v>152</v>
      </c>
      <c r="F63" s="51" t="s">
        <v>387</v>
      </c>
      <c r="G63" s="50" t="s">
        <v>375</v>
      </c>
      <c r="H63" s="50" t="s">
        <v>376</v>
      </c>
      <c r="I63" s="56" t="s">
        <v>377</v>
      </c>
      <c r="J63" s="51" t="s">
        <v>378</v>
      </c>
      <c r="K63" s="5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21.75" customHeight="1">
      <c r="A64" s="4">
        <f>IF('01_인적정보'!B6="","",'01_인적정보'!A6)</f>
        <v>1</v>
      </c>
      <c r="B64" s="4" t="str">
        <f>IF('01_인적정보'!B6="","",'01_인적정보'!B6)</f>
        <v>BSS-001</v>
      </c>
      <c r="C64" s="13" t="str">
        <f>IF('01_인적정보'!B6="","",'01_인적정보'!C6)</f>
        <v>OOO</v>
      </c>
      <c r="D64" s="13" t="str">
        <f>IF('01_인적정보'!B6="","",'01_인적정보'!E6)</f>
        <v>프로젝트영업</v>
      </c>
      <c r="E64" s="40" t="str">
        <f>IF('01_인적정보'!B6="","",'01_인적정보'!H6)</f>
        <v>G6</v>
      </c>
      <c r="F64" s="49">
        <f>IF('01_인적정보'!B6="","",'01_인적정보'!L6)</f>
        <v>7</v>
      </c>
      <c r="G64" s="19" t="str">
        <f>IF(OR('01_인적정보'!B6="",'07b_하반기입력'!K6=""),"",'07b_하반기입력'!K6)</f>
        <v>A</v>
      </c>
      <c r="H64" s="19" t="str">
        <f>IF(OR('01_인적정보'!B6="",'07b_하반기입력'!L6=""),"",'07b_하반기입력'!L6)</f>
        <v>A</v>
      </c>
      <c r="I64" s="52">
        <f>IFERROR(IF(AND(LEN(G64)&gt;0,LEN(H64)&gt;0),'02_의사결정·종합결과'!$B$67*IFERROR(CHOOSE(FIND(G64,"DCBAS"),1,2,3,4,5),0)+'02_의사결정·종합결과'!$B$68*IFERROR(CHOOSE(FIND(H64,"DCBAS"),1,2,3,4,5),0),IF(LEN(G64)&gt;0,IFERROR(CHOOSE(FIND(G64,"DCBAS"),1,2,3,4,5),0),IF(LEN(H64)&gt;0,IFERROR(CHOOSE(FIND(H64,"DCBAS"),1,2,3,4,5),0),""))),"")</f>
        <v>4</v>
      </c>
      <c r="J64" s="53" t="str">
        <f t="shared" ref="J64:J95" si="2">IF(OR(I64="",NOT(ISNUMBER(I64)),I64&lt;0.5),"",IF(I64&gt;=4.5,"S",IF(I64&gt;=3.5,"A",IF(I64&gt;=2.5,"B",IF(I64&gt;=1.5,"C","D")))))</f>
        <v>A</v>
      </c>
      <c r="K64" s="5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21.75" customHeight="1">
      <c r="A65" s="4">
        <f>IF('01_인적정보'!B7="","",'01_인적정보'!A7)</f>
        <v>2</v>
      </c>
      <c r="B65" s="4" t="str">
        <f>IF('01_인적정보'!B7="","",'01_인적정보'!B7)</f>
        <v>BSS-002</v>
      </c>
      <c r="C65" s="13" t="str">
        <f>IF('01_인적정보'!B7="","",'01_인적정보'!C7)</f>
        <v>OOO</v>
      </c>
      <c r="D65" s="13" t="str">
        <f>IF('01_인적정보'!B7="","",'01_인적정보'!E7)</f>
        <v>연구개발(R&amp;D)</v>
      </c>
      <c r="E65" s="40" t="str">
        <f>IF('01_인적정보'!B7="","",'01_인적정보'!H7)</f>
        <v>G6</v>
      </c>
      <c r="F65" s="49">
        <f>IF('01_인적정보'!B7="","",'01_인적정보'!L7)</f>
        <v>0</v>
      </c>
      <c r="G65" s="19" t="str">
        <f>IF(OR('01_인적정보'!B7="",'07b_하반기입력'!K7=""),"",'07b_하반기입력'!K7)</f>
        <v>B</v>
      </c>
      <c r="H65" s="19" t="str">
        <f>IF(OR('01_인적정보'!B7="",'07b_하반기입력'!L7=""),"",'07b_하반기입력'!L7)</f>
        <v>B</v>
      </c>
      <c r="I65" s="52">
        <f>IFERROR(IF(AND(LEN(G65)&gt;0,LEN(H65)&gt;0),'02_의사결정·종합결과'!$B$67*IFERROR(CHOOSE(FIND(G65,"DCBAS"),1,2,3,4,5),0)+'02_의사결정·종합결과'!$B$68*IFERROR(CHOOSE(FIND(H65,"DCBAS"),1,2,3,4,5),0),IF(LEN(G65)&gt;0,IFERROR(CHOOSE(FIND(G65,"DCBAS"),1,2,3,4,5),0),IF(LEN(H65)&gt;0,IFERROR(CHOOSE(FIND(H65,"DCBAS"),1,2,3,4,5),0),""))),"")</f>
        <v>3</v>
      </c>
      <c r="J65" s="53" t="str">
        <f t="shared" si="2"/>
        <v>B</v>
      </c>
      <c r="K65" s="5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21.75" customHeight="1">
      <c r="A66" s="4">
        <f>IF('01_인적정보'!B8="","",'01_인적정보'!A8)</f>
        <v>3</v>
      </c>
      <c r="B66" s="4" t="str">
        <f>IF('01_인적정보'!B8="","",'01_인적정보'!B8)</f>
        <v>BSS-003</v>
      </c>
      <c r="C66" s="13" t="str">
        <f>IF('01_인적정보'!B8="","",'01_인적정보'!C8)</f>
        <v>OOO</v>
      </c>
      <c r="D66" s="13" t="str">
        <f>IF('01_인적정보'!B8="","",'01_인적정보'!E8)</f>
        <v>BIM컨설팅</v>
      </c>
      <c r="E66" s="40" t="str">
        <f>IF('01_인적정보'!B8="","",'01_인적정보'!H8)</f>
        <v>G6</v>
      </c>
      <c r="F66" s="49">
        <f>IF('01_인적정보'!B8="","",'01_인적정보'!L8)</f>
        <v>4</v>
      </c>
      <c r="G66" s="19" t="str">
        <f>IF(OR('01_인적정보'!B8="",'07b_하반기입력'!K8=""),"",'07b_하반기입력'!K8)</f>
        <v>B</v>
      </c>
      <c r="H66" s="19" t="str">
        <f>IF(OR('01_인적정보'!B8="",'07b_하반기입력'!L8=""),"",'07b_하반기입력'!L8)</f>
        <v>B</v>
      </c>
      <c r="I66" s="52">
        <f>IFERROR(IF(AND(LEN(G66)&gt;0,LEN(H66)&gt;0),'02_의사결정·종합결과'!$B$67*IFERROR(CHOOSE(FIND(G66,"DCBAS"),1,2,3,4,5),0)+'02_의사결정·종합결과'!$B$68*IFERROR(CHOOSE(FIND(H66,"DCBAS"),1,2,3,4,5),0),IF(LEN(G66)&gt;0,IFERROR(CHOOSE(FIND(G66,"DCBAS"),1,2,3,4,5),0),IF(LEN(H66)&gt;0,IFERROR(CHOOSE(FIND(H66,"DCBAS"),1,2,3,4,5),0),""))),"")</f>
        <v>3</v>
      </c>
      <c r="J66" s="53" t="str">
        <f t="shared" si="2"/>
        <v>B</v>
      </c>
      <c r="K66" s="5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21.75" customHeight="1">
      <c r="A67" s="4">
        <f>IF('01_인적정보'!B9="","",'01_인적정보'!A9)</f>
        <v>4</v>
      </c>
      <c r="B67" s="4" t="str">
        <f>IF('01_인적정보'!B9="","",'01_인적정보'!B9)</f>
        <v>BSS-004</v>
      </c>
      <c r="C67" s="13" t="str">
        <f>IF('01_인적정보'!B9="","",'01_인적정보'!C9)</f>
        <v>OOO</v>
      </c>
      <c r="D67" s="13" t="str">
        <f>IF('01_인적정보'!B9="","",'01_인적정보'!E9)</f>
        <v>경영전략기획</v>
      </c>
      <c r="E67" s="40" t="str">
        <f>IF('01_인적정보'!B9="","",'01_인적정보'!H9)</f>
        <v>G6</v>
      </c>
      <c r="F67" s="49">
        <f>IF('01_인적정보'!B9="","",'01_인적정보'!L9)</f>
        <v>5</v>
      </c>
      <c r="G67" s="19" t="str">
        <f>IF(OR('01_인적정보'!B9="",'07b_하반기입력'!K9=""),"",'07b_하반기입력'!K9)</f>
        <v>B</v>
      </c>
      <c r="H67" s="19" t="str">
        <f>IF(OR('01_인적정보'!B9="",'07b_하반기입력'!L9=""),"",'07b_하반기입력'!L9)</f>
        <v>B</v>
      </c>
      <c r="I67" s="52">
        <f>IFERROR(IF(AND(LEN(G67)&gt;0,LEN(H67)&gt;0),'02_의사결정·종합결과'!$B$67*IFERROR(CHOOSE(FIND(G67,"DCBAS"),1,2,3,4,5),0)+'02_의사결정·종합결과'!$B$68*IFERROR(CHOOSE(FIND(H67,"DCBAS"),1,2,3,4,5),0),IF(LEN(G67)&gt;0,IFERROR(CHOOSE(FIND(G67,"DCBAS"),1,2,3,4,5),0),IF(LEN(H67)&gt;0,IFERROR(CHOOSE(FIND(H67,"DCBAS"),1,2,3,4,5),0),""))),"")</f>
        <v>3</v>
      </c>
      <c r="J67" s="53" t="str">
        <f t="shared" si="2"/>
        <v>B</v>
      </c>
      <c r="K67" s="5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21.75" customHeight="1">
      <c r="A68" s="4">
        <f>IF('01_인적정보'!B10="","",'01_인적정보'!A10)</f>
        <v>5</v>
      </c>
      <c r="B68" s="4" t="str">
        <f>IF('01_인적정보'!B10="","",'01_인적정보'!B10)</f>
        <v>BSS-005</v>
      </c>
      <c r="C68" s="13" t="str">
        <f>IF('01_인적정보'!B10="","",'01_인적정보'!C10)</f>
        <v>OOO</v>
      </c>
      <c r="D68" s="13" t="str">
        <f>IF('01_인적정보'!B10="","",'01_인적정보'!E10)</f>
        <v>경영전략기획</v>
      </c>
      <c r="E68" s="40" t="str">
        <f>IF('01_인적정보'!B10="","",'01_인적정보'!H10)</f>
        <v>G6</v>
      </c>
      <c r="F68" s="49">
        <f>IF('01_인적정보'!B10="","",'01_인적정보'!L10)</f>
        <v>7</v>
      </c>
      <c r="G68" s="19" t="str">
        <f>IF(OR('01_인적정보'!B10="",'07b_하반기입력'!K10=""),"",'07b_하반기입력'!K10)</f>
        <v>A</v>
      </c>
      <c r="H68" s="19" t="str">
        <f>IF(OR('01_인적정보'!B10="",'07b_하반기입력'!L10=""),"",'07b_하반기입력'!L10)</f>
        <v>B</v>
      </c>
      <c r="I68" s="52">
        <f>IFERROR(IF(AND(LEN(G68)&gt;0,LEN(H68)&gt;0),'02_의사결정·종합결과'!$B$67*IFERROR(CHOOSE(FIND(G68,"DCBAS"),1,2,3,4,5),0)+'02_의사결정·종합결과'!$B$68*IFERROR(CHOOSE(FIND(H68,"DCBAS"),1,2,3,4,5),0),IF(LEN(G68)&gt;0,IFERROR(CHOOSE(FIND(G68,"DCBAS"),1,2,3,4,5),0),IF(LEN(H68)&gt;0,IFERROR(CHOOSE(FIND(H68,"DCBAS"),1,2,3,4,5),0),""))),"")</f>
        <v>3.5</v>
      </c>
      <c r="J68" s="53" t="str">
        <f t="shared" si="2"/>
        <v>A</v>
      </c>
      <c r="K68" s="5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21.75" customHeight="1">
      <c r="A69" s="4">
        <f>IF('01_인적정보'!B11="","",'01_인적정보'!A11)</f>
        <v>6</v>
      </c>
      <c r="B69" s="4" t="str">
        <f>IF('01_인적정보'!B11="","",'01_인적정보'!B11)</f>
        <v>BSS-006</v>
      </c>
      <c r="C69" s="13" t="str">
        <f>IF('01_인적정보'!B11="","",'01_인적정보'!C11)</f>
        <v>OOO</v>
      </c>
      <c r="D69" s="13" t="str">
        <f>IF('01_인적정보'!B11="","",'01_인적정보'!E11)</f>
        <v>경영전략기획</v>
      </c>
      <c r="E69" s="40" t="str">
        <f>IF('01_인적정보'!B11="","",'01_인적정보'!H11)</f>
        <v>G6</v>
      </c>
      <c r="F69" s="49">
        <f>IF('01_인적정보'!B11="","",'01_인적정보'!L11)</f>
        <v>7</v>
      </c>
      <c r="G69" s="19" t="str">
        <f>IF(OR('01_인적정보'!B11="",'07b_하반기입력'!K11=""),"",'07b_하반기입력'!K11)</f>
        <v>C</v>
      </c>
      <c r="H69" s="19" t="str">
        <f>IF(OR('01_인적정보'!B11="",'07b_하반기입력'!L11=""),"",'07b_하반기입력'!L11)</f>
        <v>C</v>
      </c>
      <c r="I69" s="52">
        <f>IFERROR(IF(AND(LEN(G69)&gt;0,LEN(H69)&gt;0),'02_의사결정·종합결과'!$B$67*IFERROR(CHOOSE(FIND(G69,"DCBAS"),1,2,3,4,5),0)+'02_의사결정·종합결과'!$B$68*IFERROR(CHOOSE(FIND(H69,"DCBAS"),1,2,3,4,5),0),IF(LEN(G69)&gt;0,IFERROR(CHOOSE(FIND(G69,"DCBAS"),1,2,3,4,5),0),IF(LEN(H69)&gt;0,IFERROR(CHOOSE(FIND(H69,"DCBAS"),1,2,3,4,5),0),""))),"")</f>
        <v>2</v>
      </c>
      <c r="J69" s="53" t="str">
        <f t="shared" si="2"/>
        <v>C</v>
      </c>
      <c r="K69" s="5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21.75" customHeight="1">
      <c r="A70" s="4">
        <f>IF('01_인적정보'!B12="","",'01_인적정보'!A12)</f>
        <v>7</v>
      </c>
      <c r="B70" s="4" t="str">
        <f>IF('01_인적정보'!B12="","",'01_인적정보'!B12)</f>
        <v>BSS-007</v>
      </c>
      <c r="C70" s="13" t="str">
        <f>IF('01_인적정보'!B12="","",'01_인적정보'!C12)</f>
        <v>OOO</v>
      </c>
      <c r="D70" s="13" t="str">
        <f>IF('01_인적정보'!B12="","",'01_인적정보'!E12)</f>
        <v>교육</v>
      </c>
      <c r="E70" s="40" t="str">
        <f>IF('01_인적정보'!B12="","",'01_인적정보'!H12)</f>
        <v>G5-M</v>
      </c>
      <c r="F70" s="49">
        <f>IF('01_인적정보'!B12="","",'01_인적정보'!L12)</f>
        <v>0</v>
      </c>
      <c r="G70" s="19" t="str">
        <f>IF(OR('01_인적정보'!B12="",'07b_하반기입력'!K12=""),"",'07b_하반기입력'!K12)</f>
        <v>B</v>
      </c>
      <c r="H70" s="19" t="str">
        <f>IF(OR('01_인적정보'!B12="",'07b_하반기입력'!L12=""),"",'07b_하반기입력'!L12)</f>
        <v>C</v>
      </c>
      <c r="I70" s="52">
        <f>IFERROR(IF(AND(LEN(G70)&gt;0,LEN(H70)&gt;0),'02_의사결정·종합결과'!$B$67*IFERROR(CHOOSE(FIND(G70,"DCBAS"),1,2,3,4,5),0)+'02_의사결정·종합결과'!$B$68*IFERROR(CHOOSE(FIND(H70,"DCBAS"),1,2,3,4,5),0),IF(LEN(G70)&gt;0,IFERROR(CHOOSE(FIND(G70,"DCBAS"),1,2,3,4,5),0),IF(LEN(H70)&gt;0,IFERROR(CHOOSE(FIND(H70,"DCBAS"),1,2,3,4,5),0),""))),"")</f>
        <v>2.5</v>
      </c>
      <c r="J70" s="53" t="str">
        <f t="shared" si="2"/>
        <v>B</v>
      </c>
      <c r="K70" s="5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21.75" customHeight="1">
      <c r="A71" s="4">
        <f>IF('01_인적정보'!B13="","",'01_인적정보'!A13)</f>
        <v>8</v>
      </c>
      <c r="B71" s="4" t="str">
        <f>IF('01_인적정보'!B13="","",'01_인적정보'!B13)</f>
        <v>BSS-008</v>
      </c>
      <c r="C71" s="13" t="str">
        <f>IF('01_인적정보'!B13="","",'01_인적정보'!C13)</f>
        <v>OOO</v>
      </c>
      <c r="D71" s="13" t="str">
        <f>IF('01_인적정보'!B13="","",'01_인적정보'!E13)</f>
        <v>기술지원</v>
      </c>
      <c r="E71" s="40" t="str">
        <f>IF('01_인적정보'!B13="","",'01_인적정보'!H13)</f>
        <v>G5-M</v>
      </c>
      <c r="F71" s="49">
        <f>IF('01_인적정보'!B13="","",'01_인적정보'!L13)</f>
        <v>0</v>
      </c>
      <c r="G71" s="19" t="str">
        <f>IF(OR('01_인적정보'!B13="",'07b_하반기입력'!K13=""),"",'07b_하반기입력'!K13)</f>
        <v>C</v>
      </c>
      <c r="H71" s="19" t="str">
        <f>IF(OR('01_인적정보'!B13="",'07b_하반기입력'!L13=""),"",'07b_하반기입력'!L13)</f>
        <v>D</v>
      </c>
      <c r="I71" s="52">
        <f>IFERROR(IF(AND(LEN(G71)&gt;0,LEN(H71)&gt;0),'02_의사결정·종합결과'!$B$67*IFERROR(CHOOSE(FIND(G71,"DCBAS"),1,2,3,4,5),0)+'02_의사결정·종합결과'!$B$68*IFERROR(CHOOSE(FIND(H71,"DCBAS"),1,2,3,4,5),0),IF(LEN(G71)&gt;0,IFERROR(CHOOSE(FIND(G71,"DCBAS"),1,2,3,4,5),0),IF(LEN(H71)&gt;0,IFERROR(CHOOSE(FIND(H71,"DCBAS"),1,2,3,4,5),0),""))),"")</f>
        <v>1.5</v>
      </c>
      <c r="J71" s="53" t="str">
        <f t="shared" si="2"/>
        <v>C</v>
      </c>
      <c r="K71" s="5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21.75" customHeight="1">
      <c r="A72" s="4">
        <f>IF('01_인적정보'!B14="","",'01_인적정보'!A14)</f>
        <v>9</v>
      </c>
      <c r="B72" s="4" t="str">
        <f>IF('01_인적정보'!B14="","",'01_인적정보'!B14)</f>
        <v>BSS-009</v>
      </c>
      <c r="C72" s="13" t="str">
        <f>IF('01_인적정보'!B14="","",'01_인적정보'!C14)</f>
        <v>OOO</v>
      </c>
      <c r="D72" s="13" t="str">
        <f>IF('01_인적정보'!B14="","",'01_인적정보'!E14)</f>
        <v>BIM컨설팅</v>
      </c>
      <c r="E72" s="40" t="str">
        <f>IF('01_인적정보'!B14="","",'01_인적정보'!H14)</f>
        <v>G5-M</v>
      </c>
      <c r="F72" s="49">
        <f>IF('01_인적정보'!B14="","",'01_인적정보'!L14)</f>
        <v>4</v>
      </c>
      <c r="G72" s="19" t="str">
        <f>IF(OR('01_인적정보'!B14="",'07b_하반기입력'!K14=""),"",'07b_하반기입력'!K14)</f>
        <v>B</v>
      </c>
      <c r="H72" s="19" t="str">
        <f>IF(OR('01_인적정보'!B14="",'07b_하반기입력'!L14=""),"",'07b_하반기입력'!L14)</f>
        <v>A</v>
      </c>
      <c r="I72" s="52">
        <f>IFERROR(IF(AND(LEN(G72)&gt;0,LEN(H72)&gt;0),'02_의사결정·종합결과'!$B$67*IFERROR(CHOOSE(FIND(G72,"DCBAS"),1,2,3,4,5),0)+'02_의사결정·종합결과'!$B$68*IFERROR(CHOOSE(FIND(H72,"DCBAS"),1,2,3,4,5),0),IF(LEN(G72)&gt;0,IFERROR(CHOOSE(FIND(G72,"DCBAS"),1,2,3,4,5),0),IF(LEN(H72)&gt;0,IFERROR(CHOOSE(FIND(H72,"DCBAS"),1,2,3,4,5),0),""))),"")</f>
        <v>3.5</v>
      </c>
      <c r="J72" s="53" t="str">
        <f t="shared" si="2"/>
        <v>A</v>
      </c>
      <c r="K72" s="5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21.75" customHeight="1">
      <c r="A73" s="4">
        <f>IF('01_인적정보'!B15="","",'01_인적정보'!A15)</f>
        <v>10</v>
      </c>
      <c r="B73" s="4" t="str">
        <f>IF('01_인적정보'!B15="","",'01_인적정보'!B15)</f>
        <v>BSS-010</v>
      </c>
      <c r="C73" s="13" t="str">
        <f>IF('01_인적정보'!B15="","",'01_인적정보'!C15)</f>
        <v>OOO</v>
      </c>
      <c r="D73" s="13" t="str">
        <f>IF('01_인적정보'!B15="","",'01_인적정보'!E15)</f>
        <v>BIM컨설팅</v>
      </c>
      <c r="E73" s="40" t="str">
        <f>IF('01_인적정보'!B15="","",'01_인적정보'!H15)</f>
        <v>G5-S</v>
      </c>
      <c r="F73" s="49">
        <f>IF('01_인적정보'!B15="","",'01_인적정보'!L15)</f>
        <v>7</v>
      </c>
      <c r="G73" s="19" t="str">
        <f>IF(OR('01_인적정보'!B15="",'07b_하반기입력'!K15=""),"",'07b_하반기입력'!K15)</f>
        <v>B</v>
      </c>
      <c r="H73" s="19" t="str">
        <f>IF(OR('01_인적정보'!B15="",'07b_하반기입력'!L15=""),"",'07b_하반기입력'!L15)</f>
        <v>B</v>
      </c>
      <c r="I73" s="52">
        <f>IFERROR(IF(AND(LEN(G73)&gt;0,LEN(H73)&gt;0),'02_의사결정·종합결과'!$B$67*IFERROR(CHOOSE(FIND(G73,"DCBAS"),1,2,3,4,5),0)+'02_의사결정·종합결과'!$B$68*IFERROR(CHOOSE(FIND(H73,"DCBAS"),1,2,3,4,5),0),IF(LEN(G73)&gt;0,IFERROR(CHOOSE(FIND(G73,"DCBAS"),1,2,3,4,5),0),IF(LEN(H73)&gt;0,IFERROR(CHOOSE(FIND(H73,"DCBAS"),1,2,3,4,5),0),""))),"")</f>
        <v>3</v>
      </c>
      <c r="J73" s="53" t="str">
        <f t="shared" si="2"/>
        <v>B</v>
      </c>
      <c r="K73" s="5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21.75" customHeight="1">
      <c r="A74" s="4">
        <f>IF('01_인적정보'!B16="","",'01_인적정보'!A16)</f>
        <v>11</v>
      </c>
      <c r="B74" s="4" t="str">
        <f>IF('01_인적정보'!B16="","",'01_인적정보'!B16)</f>
        <v>BSS-011</v>
      </c>
      <c r="C74" s="13" t="str">
        <f>IF('01_인적정보'!B16="","",'01_인적정보'!C16)</f>
        <v>OOO</v>
      </c>
      <c r="D74" s="13" t="str">
        <f>IF('01_인적정보'!B16="","",'01_인적정보'!E16)</f>
        <v>BIM컨설팅</v>
      </c>
      <c r="E74" s="40" t="str">
        <f>IF('01_인적정보'!B16="","",'01_인적정보'!H16)</f>
        <v>G5-S</v>
      </c>
      <c r="F74" s="49">
        <f>IF('01_인적정보'!B16="","",'01_인적정보'!L16)</f>
        <v>4</v>
      </c>
      <c r="G74" s="19" t="str">
        <f>IF(OR('01_인적정보'!B16="",'07b_하반기입력'!K16=""),"",'07b_하반기입력'!K16)</f>
        <v>C</v>
      </c>
      <c r="H74" s="19" t="str">
        <f>IF(OR('01_인적정보'!B16="",'07b_하반기입력'!L16=""),"",'07b_하반기입력'!L16)</f>
        <v>B</v>
      </c>
      <c r="I74" s="52">
        <f>IFERROR(IF(AND(LEN(G74)&gt;0,LEN(H74)&gt;0),'02_의사결정·종합결과'!$B$67*IFERROR(CHOOSE(FIND(G74,"DCBAS"),1,2,3,4,5),0)+'02_의사결정·종합결과'!$B$68*IFERROR(CHOOSE(FIND(H74,"DCBAS"),1,2,3,4,5),0),IF(LEN(G74)&gt;0,IFERROR(CHOOSE(FIND(G74,"DCBAS"),1,2,3,4,5),0),IF(LEN(H74)&gt;0,IFERROR(CHOOSE(FIND(H74,"DCBAS"),1,2,3,4,5),0),""))),"")</f>
        <v>2.5</v>
      </c>
      <c r="J74" s="53" t="str">
        <f t="shared" si="2"/>
        <v>B</v>
      </c>
      <c r="K74" s="5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21.75" customHeight="1">
      <c r="A75" s="4">
        <f>IF('01_인적정보'!B17="","",'01_인적정보'!A17)</f>
        <v>12</v>
      </c>
      <c r="B75" s="4" t="str">
        <f>IF('01_인적정보'!B17="","",'01_인적정보'!B17)</f>
        <v>BSS-012</v>
      </c>
      <c r="C75" s="13" t="str">
        <f>IF('01_인적정보'!B17="","",'01_인적정보'!C17)</f>
        <v>OOO</v>
      </c>
      <c r="D75" s="13" t="str">
        <f>IF('01_인적정보'!B17="","",'01_인적정보'!E17)</f>
        <v>경영전략기획</v>
      </c>
      <c r="E75" s="40" t="str">
        <f>IF('01_인적정보'!B17="","",'01_인적정보'!H17)</f>
        <v>G5-M</v>
      </c>
      <c r="F75" s="49">
        <f>IF('01_인적정보'!B17="","",'01_인적정보'!L17)</f>
        <v>9</v>
      </c>
      <c r="G75" s="19" t="str">
        <f>IF(OR('01_인적정보'!B17="",'07b_하반기입력'!K17=""),"",'07b_하반기입력'!K17)</f>
        <v>D</v>
      </c>
      <c r="H75" s="19" t="str">
        <f>IF(OR('01_인적정보'!B17="",'07b_하반기입력'!L17=""),"",'07b_하반기입력'!L17)</f>
        <v>C</v>
      </c>
      <c r="I75" s="52">
        <f>IFERROR(IF(AND(LEN(G75)&gt;0,LEN(H75)&gt;0),'02_의사결정·종합결과'!$B$67*IFERROR(CHOOSE(FIND(G75,"DCBAS"),1,2,3,4,5),0)+'02_의사결정·종합결과'!$B$68*IFERROR(CHOOSE(FIND(H75,"DCBAS"),1,2,3,4,5),0),IF(LEN(G75)&gt;0,IFERROR(CHOOSE(FIND(G75,"DCBAS"),1,2,3,4,5),0),IF(LEN(H75)&gt;0,IFERROR(CHOOSE(FIND(H75,"DCBAS"),1,2,3,4,5),0),""))),"")</f>
        <v>1.5</v>
      </c>
      <c r="J75" s="53" t="str">
        <f t="shared" si="2"/>
        <v>C</v>
      </c>
      <c r="K75" s="5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21.75" customHeight="1">
      <c r="A76" s="4">
        <f>IF('01_인적정보'!B18="","",'01_인적정보'!A18)</f>
        <v>13</v>
      </c>
      <c r="B76" s="4" t="str">
        <f>IF('01_인적정보'!B18="","",'01_인적정보'!B18)</f>
        <v>BSS-013</v>
      </c>
      <c r="C76" s="13" t="str">
        <f>IF('01_인적정보'!B18="","",'01_인적정보'!C18)</f>
        <v>OOO</v>
      </c>
      <c r="D76" s="13" t="str">
        <f>IF('01_인적정보'!B18="","",'01_인적정보'!E18)</f>
        <v>BIM컨설팅</v>
      </c>
      <c r="E76" s="40" t="str">
        <f>IF('01_인적정보'!B18="","",'01_인적정보'!H18)</f>
        <v>G5-S</v>
      </c>
      <c r="F76" s="49">
        <f>IF('01_인적정보'!B18="","",'01_인적정보'!L18)</f>
        <v>7</v>
      </c>
      <c r="G76" s="19" t="str">
        <f>IF(OR('01_인적정보'!B18="",'07b_하반기입력'!K18=""),"",'07b_하반기입력'!K18)</f>
        <v>S</v>
      </c>
      <c r="H76" s="19" t="str">
        <f>IF(OR('01_인적정보'!B18="",'07b_하반기입력'!L18=""),"",'07b_하반기입력'!L18)</f>
        <v>S</v>
      </c>
      <c r="I76" s="52">
        <f>IFERROR(IF(AND(LEN(G76)&gt;0,LEN(H76)&gt;0),'02_의사결정·종합결과'!$B$67*IFERROR(CHOOSE(FIND(G76,"DCBAS"),1,2,3,4,5),0)+'02_의사결정·종합결과'!$B$68*IFERROR(CHOOSE(FIND(H76,"DCBAS"),1,2,3,4,5),0),IF(LEN(G76)&gt;0,IFERROR(CHOOSE(FIND(G76,"DCBAS"),1,2,3,4,5),0),IF(LEN(H76)&gt;0,IFERROR(CHOOSE(FIND(H76,"DCBAS"),1,2,3,4,5),0),""))),"")</f>
        <v>5</v>
      </c>
      <c r="J76" s="53" t="str">
        <f t="shared" si="2"/>
        <v>S</v>
      </c>
      <c r="K76" s="5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21.75" customHeight="1">
      <c r="A77" s="4">
        <f>IF('01_인적정보'!B19="","",'01_인적정보'!A19)</f>
        <v>14</v>
      </c>
      <c r="B77" s="4" t="str">
        <f>IF('01_인적정보'!B19="","",'01_인적정보'!B19)</f>
        <v>BSS-014</v>
      </c>
      <c r="C77" s="13" t="str">
        <f>IF('01_인적정보'!B19="","",'01_인적정보'!C19)</f>
        <v>OOO</v>
      </c>
      <c r="D77" s="13" t="str">
        <f>IF('01_인적정보'!B19="","",'01_인적정보'!E19)</f>
        <v>BIM컨설팅</v>
      </c>
      <c r="E77" s="40" t="str">
        <f>IF('01_인적정보'!B19="","",'01_인적정보'!H19)</f>
        <v>G5-S</v>
      </c>
      <c r="F77" s="49">
        <f>IF('01_인적정보'!B19="","",'01_인적정보'!L19)</f>
        <v>9</v>
      </c>
      <c r="G77" s="19" t="str">
        <f>IF(OR('01_인적정보'!B19="",'07b_하반기입력'!K19=""),"",'07b_하반기입력'!K19)</f>
        <v>B</v>
      </c>
      <c r="H77" s="19" t="str">
        <f>IF(OR('01_인적정보'!B19="",'07b_하반기입력'!L19=""),"",'07b_하반기입력'!L19)</f>
        <v>B</v>
      </c>
      <c r="I77" s="52">
        <f>IFERROR(IF(AND(LEN(G77)&gt;0,LEN(H77)&gt;0),'02_의사결정·종합결과'!$B$67*IFERROR(CHOOSE(FIND(G77,"DCBAS"),1,2,3,4,5),0)+'02_의사결정·종합결과'!$B$68*IFERROR(CHOOSE(FIND(H77,"DCBAS"),1,2,3,4,5),0),IF(LEN(G77)&gt;0,IFERROR(CHOOSE(FIND(G77,"DCBAS"),1,2,3,4,5),0),IF(LEN(H77)&gt;0,IFERROR(CHOOSE(FIND(H77,"DCBAS"),1,2,3,4,5),0),""))),"")</f>
        <v>3</v>
      </c>
      <c r="J77" s="53" t="str">
        <f t="shared" si="2"/>
        <v>B</v>
      </c>
      <c r="K77" s="5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21.75" customHeight="1">
      <c r="A78" s="4">
        <f>IF('01_인적정보'!B20="","",'01_인적정보'!A20)</f>
        <v>15</v>
      </c>
      <c r="B78" s="4" t="str">
        <f>IF('01_인적정보'!B20="","",'01_인적정보'!B20)</f>
        <v>BSS-015</v>
      </c>
      <c r="C78" s="13" t="str">
        <f>IF('01_인적정보'!B20="","",'01_인적정보'!C20)</f>
        <v>OOO</v>
      </c>
      <c r="D78" s="13" t="str">
        <f>IF('01_인적정보'!B20="","",'01_인적정보'!E20)</f>
        <v>BIM컨설팅</v>
      </c>
      <c r="E78" s="40" t="str">
        <f>IF('01_인적정보'!B20="","",'01_인적정보'!H20)</f>
        <v>G5-S</v>
      </c>
      <c r="F78" s="49">
        <f>IF('01_인적정보'!B20="","",'01_인적정보'!L20)</f>
        <v>10</v>
      </c>
      <c r="G78" s="19" t="str">
        <f>IF(OR('01_인적정보'!B20="",'07b_하반기입력'!K20=""),"",'07b_하반기입력'!K20)</f>
        <v>B</v>
      </c>
      <c r="H78" s="19" t="str">
        <f>IF(OR('01_인적정보'!B20="",'07b_하반기입력'!L20=""),"",'07b_하반기입력'!L20)</f>
        <v>B</v>
      </c>
      <c r="I78" s="52">
        <f>IFERROR(IF(AND(LEN(G78)&gt;0,LEN(H78)&gt;0),'02_의사결정·종합결과'!$B$67*IFERROR(CHOOSE(FIND(G78,"DCBAS"),1,2,3,4,5),0)+'02_의사결정·종합결과'!$B$68*IFERROR(CHOOSE(FIND(H78,"DCBAS"),1,2,3,4,5),0),IF(LEN(G78)&gt;0,IFERROR(CHOOSE(FIND(G78,"DCBAS"),1,2,3,4,5),0),IF(LEN(H78)&gt;0,IFERROR(CHOOSE(FIND(H78,"DCBAS"),1,2,3,4,5),0),""))),"")</f>
        <v>3</v>
      </c>
      <c r="J78" s="53" t="str">
        <f t="shared" si="2"/>
        <v>B</v>
      </c>
      <c r="K78" s="5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21.75" customHeight="1">
      <c r="A79" s="4">
        <f>IF('01_인적정보'!B21="","",'01_인적정보'!A21)</f>
        <v>16</v>
      </c>
      <c r="B79" s="4" t="str">
        <f>IF('01_인적정보'!B21="","",'01_인적정보'!B21)</f>
        <v>BSS-016</v>
      </c>
      <c r="C79" s="13" t="str">
        <f>IF('01_인적정보'!B21="","",'01_인적정보'!C21)</f>
        <v>OOO</v>
      </c>
      <c r="D79" s="13" t="str">
        <f>IF('01_인적정보'!B21="","",'01_인적정보'!E21)</f>
        <v>BIM컨설팅</v>
      </c>
      <c r="E79" s="40" t="str">
        <f>IF('01_인적정보'!B21="","",'01_인적정보'!H21)</f>
        <v>G5-S</v>
      </c>
      <c r="F79" s="49">
        <f>IF('01_인적정보'!B21="","",'01_인적정보'!L21)</f>
        <v>9</v>
      </c>
      <c r="G79" s="19" t="str">
        <f>IF(OR('01_인적정보'!B21="",'07b_하반기입력'!K21=""),"",'07b_하반기입력'!K21)</f>
        <v>B</v>
      </c>
      <c r="H79" s="19" t="str">
        <f>IF(OR('01_인적정보'!B21="",'07b_하반기입력'!L21=""),"",'07b_하반기입력'!L21)</f>
        <v>B</v>
      </c>
      <c r="I79" s="52">
        <f>IFERROR(IF(AND(LEN(G79)&gt;0,LEN(H79)&gt;0),'02_의사결정·종합결과'!$B$67*IFERROR(CHOOSE(FIND(G79,"DCBAS"),1,2,3,4,5),0)+'02_의사결정·종합결과'!$B$68*IFERROR(CHOOSE(FIND(H79,"DCBAS"),1,2,3,4,5),0),IF(LEN(G79)&gt;0,IFERROR(CHOOSE(FIND(G79,"DCBAS"),1,2,3,4,5),0),IF(LEN(H79)&gt;0,IFERROR(CHOOSE(FIND(H79,"DCBAS"),1,2,3,4,5),0),""))),"")</f>
        <v>3</v>
      </c>
      <c r="J79" s="53" t="str">
        <f t="shared" si="2"/>
        <v>B</v>
      </c>
      <c r="K79" s="5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21.75" customHeight="1">
      <c r="A80" s="4">
        <f>IF('01_인적정보'!B22="","",'01_인적정보'!A22)</f>
        <v>17</v>
      </c>
      <c r="B80" s="4" t="str">
        <f>IF('01_인적정보'!B22="","",'01_인적정보'!B22)</f>
        <v>BSS-017</v>
      </c>
      <c r="C80" s="13" t="str">
        <f>IF('01_인적정보'!B22="","",'01_인적정보'!C22)</f>
        <v>OOO</v>
      </c>
      <c r="D80" s="13" t="str">
        <f>IF('01_인적정보'!B22="","",'01_인적정보'!E22)</f>
        <v>교육</v>
      </c>
      <c r="E80" s="40" t="str">
        <f>IF('01_인적정보'!B22="","",'01_인적정보'!H22)</f>
        <v>G4</v>
      </c>
      <c r="F80" s="49">
        <f>IF('01_인적정보'!B22="","",'01_인적정보'!L22)</f>
        <v>0</v>
      </c>
      <c r="G80" s="19" t="str">
        <f>IF(OR('01_인적정보'!B22="",'07b_하반기입력'!K22=""),"",'07b_하반기입력'!K22)</f>
        <v>B</v>
      </c>
      <c r="H80" s="19" t="str">
        <f>IF(OR('01_인적정보'!B22="",'07b_하반기입력'!L22=""),"",'07b_하반기입력'!L22)</f>
        <v>B</v>
      </c>
      <c r="I80" s="52">
        <f>IFERROR(IF(AND(LEN(G80)&gt;0,LEN(H80)&gt;0),'02_의사결정·종합결과'!$B$67*IFERROR(CHOOSE(FIND(G80,"DCBAS"),1,2,3,4,5),0)+'02_의사결정·종합결과'!$B$68*IFERROR(CHOOSE(FIND(H80,"DCBAS"),1,2,3,4,5),0),IF(LEN(G80)&gt;0,IFERROR(CHOOSE(FIND(G80,"DCBAS"),1,2,3,4,5),0),IF(LEN(H80)&gt;0,IFERROR(CHOOSE(FIND(H80,"DCBAS"),1,2,3,4,5),0),""))),"")</f>
        <v>3</v>
      </c>
      <c r="J80" s="53" t="str">
        <f t="shared" si="2"/>
        <v>B</v>
      </c>
      <c r="K80" s="5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21.75" customHeight="1">
      <c r="A81" s="4">
        <f>IF('01_인적정보'!B23="","",'01_인적정보'!A23)</f>
        <v>18</v>
      </c>
      <c r="B81" s="4" t="str">
        <f>IF('01_인적정보'!B23="","",'01_인적정보'!B23)</f>
        <v>BSS-018</v>
      </c>
      <c r="C81" s="13" t="str">
        <f>IF('01_인적정보'!B23="","",'01_인적정보'!C23)</f>
        <v>OOO</v>
      </c>
      <c r="D81" s="13" t="str">
        <f>IF('01_인적정보'!B23="","",'01_인적정보'!E23)</f>
        <v>BIM컨설팅</v>
      </c>
      <c r="E81" s="40" t="str">
        <f>IF('01_인적정보'!B23="","",'01_인적정보'!H23)</f>
        <v>G4</v>
      </c>
      <c r="F81" s="49">
        <f>IF('01_인적정보'!B23="","",'01_인적정보'!L23)</f>
        <v>8</v>
      </c>
      <c r="G81" s="19" t="str">
        <f>IF(OR('01_인적정보'!B23="",'07b_하반기입력'!K23=""),"",'07b_하반기입력'!K23)</f>
        <v>A</v>
      </c>
      <c r="H81" s="19" t="str">
        <f>IF(OR('01_인적정보'!B23="",'07b_하반기입력'!L23=""),"",'07b_하반기입력'!L23)</f>
        <v>B</v>
      </c>
      <c r="I81" s="52">
        <f>IFERROR(IF(AND(LEN(G81)&gt;0,LEN(H81)&gt;0),'02_의사결정·종합결과'!$B$67*IFERROR(CHOOSE(FIND(G81,"DCBAS"),1,2,3,4,5),0)+'02_의사결정·종합결과'!$B$68*IFERROR(CHOOSE(FIND(H81,"DCBAS"),1,2,3,4,5),0),IF(LEN(G81)&gt;0,IFERROR(CHOOSE(FIND(G81,"DCBAS"),1,2,3,4,5),0),IF(LEN(H81)&gt;0,IFERROR(CHOOSE(FIND(H81,"DCBAS"),1,2,3,4,5),0),""))),"")</f>
        <v>3.5</v>
      </c>
      <c r="J81" s="53" t="str">
        <f t="shared" si="2"/>
        <v>A</v>
      </c>
      <c r="K81" s="5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21.75" customHeight="1">
      <c r="A82" s="4">
        <f>IF('01_인적정보'!B24="","",'01_인적정보'!A24)</f>
        <v>19</v>
      </c>
      <c r="B82" s="4" t="str">
        <f>IF('01_인적정보'!B24="","",'01_인적정보'!B24)</f>
        <v>BSS-019</v>
      </c>
      <c r="C82" s="13" t="str">
        <f>IF('01_인적정보'!B24="","",'01_인적정보'!C24)</f>
        <v>OOO</v>
      </c>
      <c r="D82" s="13" t="str">
        <f>IF('01_인적정보'!B24="","",'01_인적정보'!E24)</f>
        <v>BIM컨설팅</v>
      </c>
      <c r="E82" s="40" t="str">
        <f>IF('01_인적정보'!B24="","",'01_인적정보'!H24)</f>
        <v>G3</v>
      </c>
      <c r="F82" s="49">
        <f>IF('01_인적정보'!B24="","",'01_인적정보'!L24)</f>
        <v>8</v>
      </c>
      <c r="G82" s="19" t="str">
        <f>IF(OR('01_인적정보'!B24="",'07b_하반기입력'!K24=""),"",'07b_하반기입력'!K24)</f>
        <v>B</v>
      </c>
      <c r="H82" s="19" t="str">
        <f>IF(OR('01_인적정보'!B24="",'07b_하반기입력'!L24=""),"",'07b_하반기입력'!L24)</f>
        <v>B</v>
      </c>
      <c r="I82" s="52">
        <f>IFERROR(IF(AND(LEN(G82)&gt;0,LEN(H82)&gt;0),'02_의사결정·종합결과'!$B$67*IFERROR(CHOOSE(FIND(G82,"DCBAS"),1,2,3,4,5),0)+'02_의사결정·종합결과'!$B$68*IFERROR(CHOOSE(FIND(H82,"DCBAS"),1,2,3,4,5),0),IF(LEN(G82)&gt;0,IFERROR(CHOOSE(FIND(G82,"DCBAS"),1,2,3,4,5),0),IF(LEN(H82)&gt;0,IFERROR(CHOOSE(FIND(H82,"DCBAS"),1,2,3,4,5),0),""))),"")</f>
        <v>3</v>
      </c>
      <c r="J82" s="53" t="str">
        <f t="shared" si="2"/>
        <v>B</v>
      </c>
      <c r="K82" s="5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21.75" customHeight="1">
      <c r="A83" s="4">
        <f>IF('01_인적정보'!B25="","",'01_인적정보'!A25)</f>
        <v>20</v>
      </c>
      <c r="B83" s="4" t="str">
        <f>IF('01_인적정보'!B25="","",'01_인적정보'!B25)</f>
        <v>BSS-020</v>
      </c>
      <c r="C83" s="13" t="str">
        <f>IF('01_인적정보'!B25="","",'01_인적정보'!C25)</f>
        <v>OOO</v>
      </c>
      <c r="D83" s="13" t="str">
        <f>IF('01_인적정보'!B25="","",'01_인적정보'!E25)</f>
        <v>기술지원</v>
      </c>
      <c r="E83" s="40" t="str">
        <f>IF('01_인적정보'!B25="","",'01_인적정보'!H25)</f>
        <v>G3</v>
      </c>
      <c r="F83" s="49">
        <f>IF('01_인적정보'!B25="","",'01_인적정보'!L25)</f>
        <v>0</v>
      </c>
      <c r="G83" s="19" t="str">
        <f>IF(OR('01_인적정보'!B25="",'07b_하반기입력'!K25=""),"",'07b_하반기입력'!K25)</f>
        <v>B</v>
      </c>
      <c r="H83" s="19" t="str">
        <f>IF(OR('01_인적정보'!B25="",'07b_하반기입력'!L25=""),"",'07b_하반기입력'!L25)</f>
        <v>B</v>
      </c>
      <c r="I83" s="52">
        <f>IFERROR(IF(AND(LEN(G83)&gt;0,LEN(H83)&gt;0),'02_의사결정·종합결과'!$B$67*IFERROR(CHOOSE(FIND(G83,"DCBAS"),1,2,3,4,5),0)+'02_의사결정·종합결과'!$B$68*IFERROR(CHOOSE(FIND(H83,"DCBAS"),1,2,3,4,5),0),IF(LEN(G83)&gt;0,IFERROR(CHOOSE(FIND(G83,"DCBAS"),1,2,3,4,5),0),IF(LEN(H83)&gt;0,IFERROR(CHOOSE(FIND(H83,"DCBAS"),1,2,3,4,5),0),""))),"")</f>
        <v>3</v>
      </c>
      <c r="J83" s="53" t="str">
        <f t="shared" si="2"/>
        <v>B</v>
      </c>
      <c r="K83" s="5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21.75" customHeight="1">
      <c r="A84" s="4">
        <f>IF('01_인적정보'!B26="","",'01_인적정보'!A26)</f>
        <v>21</v>
      </c>
      <c r="B84" s="4" t="str">
        <f>IF('01_인적정보'!B26="","",'01_인적정보'!B26)</f>
        <v>BSS-021</v>
      </c>
      <c r="C84" s="13" t="str">
        <f>IF('01_인적정보'!B26="","",'01_인적정보'!C26)</f>
        <v>OOO</v>
      </c>
      <c r="D84" s="13" t="str">
        <f>IF('01_인적정보'!B26="","",'01_인적정보'!E26)</f>
        <v>BIM컨설팅</v>
      </c>
      <c r="E84" s="40" t="str">
        <f>IF('01_인적정보'!B26="","",'01_인적정보'!H26)</f>
        <v>G2</v>
      </c>
      <c r="F84" s="49">
        <f>IF('01_인적정보'!B26="","",'01_인적정보'!L26)</f>
        <v>8</v>
      </c>
      <c r="G84" s="19" t="str">
        <f>IF(OR('01_인적정보'!B26="",'07b_하반기입력'!K26=""),"",'07b_하반기입력'!K26)</f>
        <v>D</v>
      </c>
      <c r="H84" s="19" t="str">
        <f>IF(OR('01_인적정보'!B26="",'07b_하반기입력'!L26=""),"",'07b_하반기입력'!L26)</f>
        <v>D</v>
      </c>
      <c r="I84" s="52">
        <f>IFERROR(IF(AND(LEN(G84)&gt;0,LEN(H84)&gt;0),'02_의사결정·종합결과'!$B$67*IFERROR(CHOOSE(FIND(G84,"DCBAS"),1,2,3,4,5),0)+'02_의사결정·종합결과'!$B$68*IFERROR(CHOOSE(FIND(H84,"DCBAS"),1,2,3,4,5),0),IF(LEN(G84)&gt;0,IFERROR(CHOOSE(FIND(G84,"DCBAS"),1,2,3,4,5),0),IF(LEN(H84)&gt;0,IFERROR(CHOOSE(FIND(H84,"DCBAS"),1,2,3,4,5),0),""))),"")</f>
        <v>1</v>
      </c>
      <c r="J84" s="53" t="str">
        <f t="shared" si="2"/>
        <v>D</v>
      </c>
      <c r="K84" s="5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21.75" customHeight="1">
      <c r="A85" s="4">
        <f>IF('01_인적정보'!B27="","",'01_인적정보'!A27)</f>
        <v>22</v>
      </c>
      <c r="B85" s="4" t="str">
        <f>IF('01_인적정보'!B27="","",'01_인적정보'!B27)</f>
        <v>BSS-022</v>
      </c>
      <c r="C85" s="13" t="str">
        <f>IF('01_인적정보'!B27="","",'01_인적정보'!C27)</f>
        <v>OOO</v>
      </c>
      <c r="D85" s="13" t="str">
        <f>IF('01_인적정보'!B27="","",'01_인적정보'!E27)</f>
        <v>BIM컨설팅</v>
      </c>
      <c r="E85" s="40" t="str">
        <f>IF('01_인적정보'!B27="","",'01_인적정보'!H27)</f>
        <v>G2</v>
      </c>
      <c r="F85" s="49">
        <f>IF('01_인적정보'!B27="","",'01_인적정보'!L27)</f>
        <v>8</v>
      </c>
      <c r="G85" s="19" t="str">
        <f>IF(OR('01_인적정보'!B27="",'07b_하반기입력'!K27=""),"",'07b_하반기입력'!K27)</f>
        <v>A</v>
      </c>
      <c r="H85" s="19" t="str">
        <f>IF(OR('01_인적정보'!B27="",'07b_하반기입력'!L27=""),"",'07b_하반기입력'!L27)</f>
        <v>B</v>
      </c>
      <c r="I85" s="52">
        <f>IFERROR(IF(AND(LEN(G85)&gt;0,LEN(H85)&gt;0),'02_의사결정·종합결과'!$B$67*IFERROR(CHOOSE(FIND(G85,"DCBAS"),1,2,3,4,5),0)+'02_의사결정·종합결과'!$B$68*IFERROR(CHOOSE(FIND(H85,"DCBAS"),1,2,3,4,5),0),IF(LEN(G85)&gt;0,IFERROR(CHOOSE(FIND(G85,"DCBAS"),1,2,3,4,5),0),IF(LEN(H85)&gt;0,IFERROR(CHOOSE(FIND(H85,"DCBAS"),1,2,3,4,5),0),""))),"")</f>
        <v>3.5</v>
      </c>
      <c r="J85" s="53" t="str">
        <f t="shared" si="2"/>
        <v>A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21.75" customHeight="1">
      <c r="A86" s="4">
        <f>IF('01_인적정보'!B28="","",'01_인적정보'!A28)</f>
        <v>23</v>
      </c>
      <c r="B86" s="4" t="str">
        <f>IF('01_인적정보'!B28="","",'01_인적정보'!B28)</f>
        <v>BSS-023</v>
      </c>
      <c r="C86" s="13" t="str">
        <f>IF('01_인적정보'!B28="","",'01_인적정보'!C28)</f>
        <v>OOO</v>
      </c>
      <c r="D86" s="13" t="str">
        <f>IF('01_인적정보'!B28="","",'01_인적정보'!E28)</f>
        <v>BIM컨설팅</v>
      </c>
      <c r="E86" s="40" t="str">
        <f>IF('01_인적정보'!B28="","",'01_인적정보'!H28)</f>
        <v>G2</v>
      </c>
      <c r="F86" s="49">
        <f>IF('01_인적정보'!B28="","",'01_인적정보'!L28)</f>
        <v>10</v>
      </c>
      <c r="G86" s="19" t="str">
        <f>IF(OR('01_인적정보'!B28="",'07b_하반기입력'!K28=""),"",'07b_하반기입력'!K28)</f>
        <v>B</v>
      </c>
      <c r="H86" s="19" t="str">
        <f>IF(OR('01_인적정보'!B28="",'07b_하반기입력'!L28=""),"",'07b_하반기입력'!L28)</f>
        <v>A</v>
      </c>
      <c r="I86" s="52">
        <f>IFERROR(IF(AND(LEN(G86)&gt;0,LEN(H86)&gt;0),'02_의사결정·종합결과'!$B$67*IFERROR(CHOOSE(FIND(G86,"DCBAS"),1,2,3,4,5),0)+'02_의사결정·종합결과'!$B$68*IFERROR(CHOOSE(FIND(H86,"DCBAS"),1,2,3,4,5),0),IF(LEN(G86)&gt;0,IFERROR(CHOOSE(FIND(G86,"DCBAS"),1,2,3,4,5),0),IF(LEN(H86)&gt;0,IFERROR(CHOOSE(FIND(H86,"DCBAS"),1,2,3,4,5),0),""))),"")</f>
        <v>3.5</v>
      </c>
      <c r="J86" s="53" t="str">
        <f t="shared" si="2"/>
        <v>A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21.75" customHeight="1">
      <c r="A87" s="4">
        <f>IF('01_인적정보'!B29="","",'01_인적정보'!A29)</f>
        <v>24</v>
      </c>
      <c r="B87" s="4" t="str">
        <f>IF('01_인적정보'!B29="","",'01_인적정보'!B29)</f>
        <v>BSS-024</v>
      </c>
      <c r="C87" s="13" t="str">
        <f>IF('01_인적정보'!B29="","",'01_인적정보'!C29)</f>
        <v>OOO</v>
      </c>
      <c r="D87" s="13" t="str">
        <f>IF('01_인적정보'!B29="","",'01_인적정보'!E29)</f>
        <v>BIM컨설팅</v>
      </c>
      <c r="E87" s="40" t="str">
        <f>IF('01_인적정보'!B29="","",'01_인적정보'!H29)</f>
        <v>G2</v>
      </c>
      <c r="F87" s="49">
        <f>IF('01_인적정보'!B29="","",'01_인적정보'!L29)</f>
        <v>9</v>
      </c>
      <c r="G87" s="19" t="str">
        <f>IF(OR('01_인적정보'!B29="",'07b_하반기입력'!K29=""),"",'07b_하반기입력'!K29)</f>
        <v>B</v>
      </c>
      <c r="H87" s="19" t="str">
        <f>IF(OR('01_인적정보'!B29="",'07b_하반기입력'!L29=""),"",'07b_하반기입력'!L29)</f>
        <v>A</v>
      </c>
      <c r="I87" s="52">
        <f>IFERROR(IF(AND(LEN(G87)&gt;0,LEN(H87)&gt;0),'02_의사결정·종합결과'!$B$67*IFERROR(CHOOSE(FIND(G87,"DCBAS"),1,2,3,4,5),0)+'02_의사결정·종합결과'!$B$68*IFERROR(CHOOSE(FIND(H87,"DCBAS"),1,2,3,4,5),0),IF(LEN(G87)&gt;0,IFERROR(CHOOSE(FIND(G87,"DCBAS"),1,2,3,4,5),0),IF(LEN(H87)&gt;0,IFERROR(CHOOSE(FIND(H87,"DCBAS"),1,2,3,4,5),0),""))),"")</f>
        <v>3.5</v>
      </c>
      <c r="J87" s="53" t="str">
        <f t="shared" si="2"/>
        <v>A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21.75" customHeight="1">
      <c r="A88" s="4">
        <f>IF('01_인적정보'!B30="","",'01_인적정보'!A30)</f>
        <v>25</v>
      </c>
      <c r="B88" s="4" t="str">
        <f>IF('01_인적정보'!B30="","",'01_인적정보'!B30)</f>
        <v>BSS-025</v>
      </c>
      <c r="C88" s="13" t="str">
        <f>IF('01_인적정보'!B30="","",'01_인적정보'!C30)</f>
        <v>OOO</v>
      </c>
      <c r="D88" s="13" t="str">
        <f>IF('01_인적정보'!B30="","",'01_인적정보'!E30)</f>
        <v>연구개발(R&amp;D)</v>
      </c>
      <c r="E88" s="40" t="str">
        <f>IF('01_인적정보'!B30="","",'01_인적정보'!H30)</f>
        <v>G2</v>
      </c>
      <c r="F88" s="49">
        <f>IF('01_인적정보'!B30="","",'01_인적정보'!L30)</f>
        <v>0</v>
      </c>
      <c r="G88" s="19" t="str">
        <f>IF(OR('01_인적정보'!B30="",'07b_하반기입력'!K30=""),"",'07b_하반기입력'!K30)</f>
        <v>D</v>
      </c>
      <c r="H88" s="19" t="str">
        <f>IF(OR('01_인적정보'!B30="",'07b_하반기입력'!L30=""),"",'07b_하반기입력'!L30)</f>
        <v>D</v>
      </c>
      <c r="I88" s="52">
        <f>IFERROR(IF(AND(LEN(G88)&gt;0,LEN(H88)&gt;0),'02_의사결정·종합결과'!$B$67*IFERROR(CHOOSE(FIND(G88,"DCBAS"),1,2,3,4,5),0)+'02_의사결정·종합결과'!$B$68*IFERROR(CHOOSE(FIND(H88,"DCBAS"),1,2,3,4,5),0),IF(LEN(G88)&gt;0,IFERROR(CHOOSE(FIND(G88,"DCBAS"),1,2,3,4,5),0),IF(LEN(H88)&gt;0,IFERROR(CHOOSE(FIND(H88,"DCBAS"),1,2,3,4,5),0),""))),"")</f>
        <v>1</v>
      </c>
      <c r="J88" s="53" t="str">
        <f t="shared" si="2"/>
        <v>D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21.75" customHeight="1">
      <c r="A89" s="4">
        <f>IF('01_인적정보'!B31="","",'01_인적정보'!A31)</f>
        <v>26</v>
      </c>
      <c r="B89" s="4" t="str">
        <f>IF('01_인적정보'!B31="","",'01_인적정보'!B31)</f>
        <v>BSS-026</v>
      </c>
      <c r="C89" s="13" t="str">
        <f>IF('01_인적정보'!B31="","",'01_인적정보'!C31)</f>
        <v>OOO</v>
      </c>
      <c r="D89" s="13" t="str">
        <f>IF('01_인적정보'!B31="","",'01_인적정보'!E31)</f>
        <v>경영전략기획</v>
      </c>
      <c r="E89" s="40" t="str">
        <f>IF('01_인적정보'!B31="","",'01_인적정보'!H31)</f>
        <v>G1</v>
      </c>
      <c r="F89" s="49">
        <f>IF('01_인적정보'!B31="","",'01_인적정보'!L31)</f>
        <v>2</v>
      </c>
      <c r="G89" s="19" t="str">
        <f>IF(OR('01_인적정보'!B31="",'07b_하반기입력'!K31=""),"",'07b_하반기입력'!K31)</f>
        <v>B</v>
      </c>
      <c r="H89" s="19" t="str">
        <f>IF(OR('01_인적정보'!B31="",'07b_하반기입력'!L31=""),"",'07b_하반기입력'!L31)</f>
        <v>B</v>
      </c>
      <c r="I89" s="52">
        <f>IFERROR(IF(AND(LEN(G89)&gt;0,LEN(H89)&gt;0),'02_의사결정·종합결과'!$B$67*IFERROR(CHOOSE(FIND(G89,"DCBAS"),1,2,3,4,5),0)+'02_의사결정·종합결과'!$B$68*IFERROR(CHOOSE(FIND(H89,"DCBAS"),1,2,3,4,5),0),IF(LEN(G89)&gt;0,IFERROR(CHOOSE(FIND(G89,"DCBAS"),1,2,3,4,5),0),IF(LEN(H89)&gt;0,IFERROR(CHOOSE(FIND(H89,"DCBAS"),1,2,3,4,5),0),""))),"")</f>
        <v>3</v>
      </c>
      <c r="J89" s="53" t="str">
        <f t="shared" si="2"/>
        <v>B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21.75" customHeight="1">
      <c r="A90" s="4">
        <f>IF('01_인적정보'!B32="","",'01_인적정보'!A32)</f>
        <v>27</v>
      </c>
      <c r="B90" s="4" t="str">
        <f>IF('01_인적정보'!B32="","",'01_인적정보'!B32)</f>
        <v>BSS-027</v>
      </c>
      <c r="C90" s="13" t="str">
        <f>IF('01_인적정보'!B32="","",'01_인적정보'!C32)</f>
        <v>OOO</v>
      </c>
      <c r="D90" s="13" t="str">
        <f>IF('01_인적정보'!B32="","",'01_인적정보'!E32)</f>
        <v>교육</v>
      </c>
      <c r="E90" s="40" t="str">
        <f>IF('01_인적정보'!B32="","",'01_인적정보'!H32)</f>
        <v>G2</v>
      </c>
      <c r="F90" s="49">
        <f>IF('01_인적정보'!B32="","",'01_인적정보'!L32)</f>
        <v>0</v>
      </c>
      <c r="G90" s="19" t="str">
        <f>IF(OR('01_인적정보'!B32="",'07b_하반기입력'!K32=""),"",'07b_하반기입력'!K32)</f>
        <v>A</v>
      </c>
      <c r="H90" s="19" t="str">
        <f>IF(OR('01_인적정보'!B32="",'07b_하반기입력'!L32=""),"",'07b_하반기입력'!L32)</f>
        <v>B</v>
      </c>
      <c r="I90" s="52">
        <f>IFERROR(IF(AND(LEN(G90)&gt;0,LEN(H90)&gt;0),'02_의사결정·종합결과'!$B$67*IFERROR(CHOOSE(FIND(G90,"DCBAS"),1,2,3,4,5),0)+'02_의사결정·종합결과'!$B$68*IFERROR(CHOOSE(FIND(H90,"DCBAS"),1,2,3,4,5),0),IF(LEN(G90)&gt;0,IFERROR(CHOOSE(FIND(G90,"DCBAS"),1,2,3,4,5),0),IF(LEN(H90)&gt;0,IFERROR(CHOOSE(FIND(H90,"DCBAS"),1,2,3,4,5),0),""))),"")</f>
        <v>3.5</v>
      </c>
      <c r="J90" s="53" t="str">
        <f t="shared" si="2"/>
        <v>A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21.75" customHeight="1">
      <c r="A91" s="4">
        <f>IF('01_인적정보'!B33="","",'01_인적정보'!A33)</f>
        <v>28</v>
      </c>
      <c r="B91" s="4" t="str">
        <f>IF('01_인적정보'!B33="","",'01_인적정보'!B33)</f>
        <v>BSS-028</v>
      </c>
      <c r="C91" s="13" t="str">
        <f>IF('01_인적정보'!B33="","",'01_인적정보'!C33)</f>
        <v>OOO</v>
      </c>
      <c r="D91" s="13" t="str">
        <f>IF('01_인적정보'!B33="","",'01_인적정보'!E33)</f>
        <v>BIM컨설팅</v>
      </c>
      <c r="E91" s="40" t="str">
        <f>IF('01_인적정보'!B33="","",'01_인적정보'!H33)</f>
        <v>G1</v>
      </c>
      <c r="F91" s="49">
        <f>IF('01_인적정보'!B33="","",'01_인적정보'!L33)</f>
        <v>12</v>
      </c>
      <c r="G91" s="19" t="str">
        <f>IF(OR('01_인적정보'!B33="",'07b_하반기입력'!K33=""),"",'07b_하반기입력'!K33)</f>
        <v>A</v>
      </c>
      <c r="H91" s="19" t="str">
        <f>IF(OR('01_인적정보'!B33="",'07b_하반기입력'!L33=""),"",'07b_하반기입력'!L33)</f>
        <v>A</v>
      </c>
      <c r="I91" s="52">
        <f>IFERROR(IF(AND(LEN(G91)&gt;0,LEN(H91)&gt;0),'02_의사결정·종합결과'!$B$67*IFERROR(CHOOSE(FIND(G91,"DCBAS"),1,2,3,4,5),0)+'02_의사결정·종합결과'!$B$68*IFERROR(CHOOSE(FIND(H91,"DCBAS"),1,2,3,4,5),0),IF(LEN(G91)&gt;0,IFERROR(CHOOSE(FIND(G91,"DCBAS"),1,2,3,4,5),0),IF(LEN(H91)&gt;0,IFERROR(CHOOSE(FIND(H91,"DCBAS"),1,2,3,4,5),0),""))),"")</f>
        <v>4</v>
      </c>
      <c r="J91" s="53" t="str">
        <f t="shared" si="2"/>
        <v>A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21.75" customHeight="1">
      <c r="A92" s="4">
        <f>IF('01_인적정보'!B34="","",'01_인적정보'!A34)</f>
        <v>29</v>
      </c>
      <c r="B92" s="4" t="str">
        <f>IF('01_인적정보'!B34="","",'01_인적정보'!B34)</f>
        <v>BSS-029</v>
      </c>
      <c r="C92" s="13" t="str">
        <f>IF('01_인적정보'!B34="","",'01_인적정보'!C34)</f>
        <v>OOO</v>
      </c>
      <c r="D92" s="13" t="str">
        <f>IF('01_인적정보'!B34="","",'01_인적정보'!E34)</f>
        <v>BIM컨설팅</v>
      </c>
      <c r="E92" s="40" t="str">
        <f>IF('01_인적정보'!B34="","",'01_인적정보'!H34)</f>
        <v>G1</v>
      </c>
      <c r="F92" s="49">
        <f>IF('01_인적정보'!B34="","",'01_인적정보'!L34)</f>
        <v>12</v>
      </c>
      <c r="G92" s="19" t="str">
        <f>IF(OR('01_인적정보'!B34="",'07b_하반기입력'!K34=""),"",'07b_하반기입력'!K34)</f>
        <v>B</v>
      </c>
      <c r="H92" s="19" t="str">
        <f>IF(OR('01_인적정보'!B34="",'07b_하반기입력'!L34=""),"",'07b_하반기입력'!L34)</f>
        <v>B</v>
      </c>
      <c r="I92" s="52">
        <f>IFERROR(IF(AND(LEN(G92)&gt;0,LEN(H92)&gt;0),'02_의사결정·종합결과'!$B$67*IFERROR(CHOOSE(FIND(G92,"DCBAS"),1,2,3,4,5),0)+'02_의사결정·종합결과'!$B$68*IFERROR(CHOOSE(FIND(H92,"DCBAS"),1,2,3,4,5),0),IF(LEN(G92)&gt;0,IFERROR(CHOOSE(FIND(G92,"DCBAS"),1,2,3,4,5),0),IF(LEN(H92)&gt;0,IFERROR(CHOOSE(FIND(H92,"DCBAS"),1,2,3,4,5),0),""))),"")</f>
        <v>3</v>
      </c>
      <c r="J92" s="53" t="str">
        <f t="shared" si="2"/>
        <v>B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21.75" customHeight="1">
      <c r="A93" s="4">
        <f>IF('01_인적정보'!B35="","",'01_인적정보'!A35)</f>
        <v>30</v>
      </c>
      <c r="B93" s="4" t="str">
        <f>IF('01_인적정보'!B35="","",'01_인적정보'!B35)</f>
        <v>BSS-030</v>
      </c>
      <c r="C93" s="13" t="str">
        <f>IF('01_인적정보'!B35="","",'01_인적정보'!C35)</f>
        <v>OOO</v>
      </c>
      <c r="D93" s="13" t="str">
        <f>IF('01_인적정보'!B35="","",'01_인적정보'!E35)</f>
        <v>BIM컨설팅</v>
      </c>
      <c r="E93" s="40" t="str">
        <f>IF('01_인적정보'!B35="","",'01_인적정보'!H35)</f>
        <v>G1</v>
      </c>
      <c r="F93" s="49">
        <f>IF('01_인적정보'!B35="","",'01_인적정보'!L35)</f>
        <v>7</v>
      </c>
      <c r="G93" s="19" t="str">
        <f>IF(OR('01_인적정보'!B35="",'07b_하반기입력'!K35=""),"",'07b_하반기입력'!K35)</f>
        <v>B</v>
      </c>
      <c r="H93" s="19" t="str">
        <f>IF(OR('01_인적정보'!B35="",'07b_하반기입력'!L35=""),"",'07b_하반기입력'!L35)</f>
        <v>B</v>
      </c>
      <c r="I93" s="52">
        <f>IFERROR(IF(AND(LEN(G93)&gt;0,LEN(H93)&gt;0),'02_의사결정·종합결과'!$B$67*IFERROR(CHOOSE(FIND(G93,"DCBAS"),1,2,3,4,5),0)+'02_의사결정·종합결과'!$B$68*IFERROR(CHOOSE(FIND(H93,"DCBAS"),1,2,3,4,5),0),IF(LEN(G93)&gt;0,IFERROR(CHOOSE(FIND(G93,"DCBAS"),1,2,3,4,5),0),IF(LEN(H93)&gt;0,IFERROR(CHOOSE(FIND(H93,"DCBAS"),1,2,3,4,5),0),""))),"")</f>
        <v>3</v>
      </c>
      <c r="J93" s="53" t="str">
        <f t="shared" si="2"/>
        <v>B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21.75" customHeight="1">
      <c r="A94" s="4">
        <f>IF('01_인적정보'!B36="","",'01_인적정보'!A36)</f>
        <v>31</v>
      </c>
      <c r="B94" s="4" t="str">
        <f>IF('01_인적정보'!B36="","",'01_인적정보'!B36)</f>
        <v>BSS-031</v>
      </c>
      <c r="C94" s="13" t="str">
        <f>IF('01_인적정보'!B36="","",'01_인적정보'!C36)</f>
        <v>OOO</v>
      </c>
      <c r="D94" s="13" t="str">
        <f>IF('01_인적정보'!B36="","",'01_인적정보'!E36)</f>
        <v>BIM컨설팅</v>
      </c>
      <c r="E94" s="40" t="str">
        <f>IF('01_인적정보'!B36="","",'01_인적정보'!H36)</f>
        <v>G1</v>
      </c>
      <c r="F94" s="49">
        <f>IF('01_인적정보'!B36="","",'01_인적정보'!L36)</f>
        <v>13</v>
      </c>
      <c r="G94" s="19" t="str">
        <f>IF(OR('01_인적정보'!B36="",'07b_하반기입력'!K36=""),"",'07b_하반기입력'!K36)</f>
        <v>A</v>
      </c>
      <c r="H94" s="19" t="str">
        <f>IF(OR('01_인적정보'!B36="",'07b_하반기입력'!L36=""),"",'07b_하반기입력'!L36)</f>
        <v>A</v>
      </c>
      <c r="I94" s="52">
        <f>IFERROR(IF(AND(LEN(G94)&gt;0,LEN(H94)&gt;0),'02_의사결정·종합결과'!$B$67*IFERROR(CHOOSE(FIND(G94,"DCBAS"),1,2,3,4,5),0)+'02_의사결정·종합결과'!$B$68*IFERROR(CHOOSE(FIND(H94,"DCBAS"),1,2,3,4,5),0),IF(LEN(G94)&gt;0,IFERROR(CHOOSE(FIND(G94,"DCBAS"),1,2,3,4,5),0),IF(LEN(H94)&gt;0,IFERROR(CHOOSE(FIND(H94,"DCBAS"),1,2,3,4,5),0),""))),"")</f>
        <v>4</v>
      </c>
      <c r="J94" s="53" t="str">
        <f t="shared" si="2"/>
        <v>A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21.75" customHeight="1">
      <c r="A95" s="4">
        <f>IF('01_인적정보'!B37="","",'01_인적정보'!A37)</f>
        <v>32</v>
      </c>
      <c r="B95" s="4" t="str">
        <f>IF('01_인적정보'!B37="","",'01_인적정보'!B37)</f>
        <v>BSS-032</v>
      </c>
      <c r="C95" s="13" t="str">
        <f>IF('01_인적정보'!B37="","",'01_인적정보'!C37)</f>
        <v>OOO</v>
      </c>
      <c r="D95" s="13" t="str">
        <f>IF('01_인적정보'!B37="","",'01_인적정보'!E37)</f>
        <v>BIM컨설팅</v>
      </c>
      <c r="E95" s="40" t="str">
        <f>IF('01_인적정보'!B37="","",'01_인적정보'!H37)</f>
        <v>G1</v>
      </c>
      <c r="F95" s="49">
        <f>IF('01_인적정보'!B37="","",'01_인적정보'!L37)</f>
        <v>13</v>
      </c>
      <c r="G95" s="19" t="str">
        <f>IF(OR('01_인적정보'!B37="",'07b_하반기입력'!K37=""),"",'07b_하반기입력'!K37)</f>
        <v>A</v>
      </c>
      <c r="H95" s="19" t="str">
        <f>IF(OR('01_인적정보'!B37="",'07b_하반기입력'!L37=""),"",'07b_하반기입력'!L37)</f>
        <v>A</v>
      </c>
      <c r="I95" s="52">
        <f>IFERROR(IF(AND(LEN(G95)&gt;0,LEN(H95)&gt;0),'02_의사결정·종합결과'!$B$67*IFERROR(CHOOSE(FIND(G95,"DCBAS"),1,2,3,4,5),0)+'02_의사결정·종합결과'!$B$68*IFERROR(CHOOSE(FIND(H95,"DCBAS"),1,2,3,4,5),0),IF(LEN(G95)&gt;0,IFERROR(CHOOSE(FIND(G95,"DCBAS"),1,2,3,4,5),0),IF(LEN(H95)&gt;0,IFERROR(CHOOSE(FIND(H95,"DCBAS"),1,2,3,4,5),0),""))),"")</f>
        <v>4</v>
      </c>
      <c r="J95" s="53" t="str">
        <f t="shared" si="2"/>
        <v>A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21.75" customHeight="1">
      <c r="A96" s="4">
        <f>IF('01_인적정보'!B38="","",'01_인적정보'!A38)</f>
        <v>33</v>
      </c>
      <c r="B96" s="4" t="str">
        <f>IF('01_인적정보'!B38="","",'01_인적정보'!B38)</f>
        <v>BSS-033</v>
      </c>
      <c r="C96" s="13" t="str">
        <f>IF('01_인적정보'!B38="","",'01_인적정보'!C38)</f>
        <v>OOO</v>
      </c>
      <c r="D96" s="13" t="str">
        <f>IF('01_인적정보'!B38="","",'01_인적정보'!E38)</f>
        <v>BIM컨설팅</v>
      </c>
      <c r="E96" s="40" t="str">
        <f>IF('01_인적정보'!B38="","",'01_인적정보'!H38)</f>
        <v>G1</v>
      </c>
      <c r="F96" s="49">
        <f>IF('01_인적정보'!B38="","",'01_인적정보'!L38)</f>
        <v>6</v>
      </c>
      <c r="G96" s="19" t="str">
        <f>IF(OR('01_인적정보'!B38="",'07b_하반기입력'!K38=""),"",'07b_하반기입력'!K38)</f>
        <v>B</v>
      </c>
      <c r="H96" s="19" t="str">
        <f>IF(OR('01_인적정보'!B38="",'07b_하반기입력'!L38=""),"",'07b_하반기입력'!L38)</f>
        <v>B</v>
      </c>
      <c r="I96" s="52">
        <f>IFERROR(IF(AND(LEN(G96)&gt;0,LEN(H96)&gt;0),'02_의사결정·종합결과'!$B$67*IFERROR(CHOOSE(FIND(G96,"DCBAS"),1,2,3,4,5),0)+'02_의사결정·종합결과'!$B$68*IFERROR(CHOOSE(FIND(H96,"DCBAS"),1,2,3,4,5),0),IF(LEN(G96)&gt;0,IFERROR(CHOOSE(FIND(G96,"DCBAS"),1,2,3,4,5),0),IF(LEN(H96)&gt;0,IFERROR(CHOOSE(FIND(H96,"DCBAS"),1,2,3,4,5),0),""))),"")</f>
        <v>3</v>
      </c>
      <c r="J96" s="53" t="str">
        <f t="shared" ref="J96:J113" si="3">IF(OR(I96="",NOT(ISNUMBER(I96)),I96&lt;0.5),"",IF(I96&gt;=4.5,"S",IF(I96&gt;=3.5,"A",IF(I96&gt;=2.5,"B",IF(I96&gt;=1.5,"C","D")))))</f>
        <v>B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21.75" customHeight="1">
      <c r="A97" s="4">
        <f>IF('01_인적정보'!B39="","",'01_인적정보'!A39)</f>
        <v>34</v>
      </c>
      <c r="B97" s="4" t="str">
        <f>IF('01_인적정보'!B39="","",'01_인적정보'!B39)</f>
        <v>BSS-034</v>
      </c>
      <c r="C97" s="13" t="str">
        <f>IF('01_인적정보'!B39="","",'01_인적정보'!C39)</f>
        <v>OOO</v>
      </c>
      <c r="D97" s="13" t="str">
        <f>IF('01_인적정보'!B39="","",'01_인적정보'!E39)</f>
        <v>BIM컨설팅</v>
      </c>
      <c r="E97" s="40" t="str">
        <f>IF('01_인적정보'!B39="","",'01_인적정보'!H39)</f>
        <v>G1</v>
      </c>
      <c r="F97" s="49">
        <f>IF('01_인적정보'!B39="","",'01_인적정보'!L39)</f>
        <v>6</v>
      </c>
      <c r="G97" s="19" t="str">
        <f>IF(OR('01_인적정보'!B39="",'07b_하반기입력'!K39=""),"",'07b_하반기입력'!K39)</f>
        <v>S</v>
      </c>
      <c r="H97" s="19" t="str">
        <f>IF(OR('01_인적정보'!B39="",'07b_하반기입력'!L39=""),"",'07b_하반기입력'!L39)</f>
        <v>S</v>
      </c>
      <c r="I97" s="52">
        <f>IFERROR(IF(AND(LEN(G97)&gt;0,LEN(H97)&gt;0),'02_의사결정·종합결과'!$B$67*IFERROR(CHOOSE(FIND(G97,"DCBAS"),1,2,3,4,5),0)+'02_의사결정·종합결과'!$B$68*IFERROR(CHOOSE(FIND(H97,"DCBAS"),1,2,3,4,5),0),IF(LEN(G97)&gt;0,IFERROR(CHOOSE(FIND(G97,"DCBAS"),1,2,3,4,5),0),IF(LEN(H97)&gt;0,IFERROR(CHOOSE(FIND(H97,"DCBAS"),1,2,3,4,5),0),""))),"")</f>
        <v>5</v>
      </c>
      <c r="J97" s="53" t="str">
        <f t="shared" si="3"/>
        <v>S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21.75" customHeight="1">
      <c r="A98" s="4" t="str">
        <f>IF('01_인적정보'!B40="","",'01_인적정보'!A40)</f>
        <v/>
      </c>
      <c r="B98" s="4" t="str">
        <f>IF('01_인적정보'!B40="","",'01_인적정보'!B40)</f>
        <v/>
      </c>
      <c r="C98" s="13" t="str">
        <f>IF('01_인적정보'!B40="","",'01_인적정보'!C40)</f>
        <v/>
      </c>
      <c r="D98" s="13" t="str">
        <f>IF('01_인적정보'!B40="","",'01_인적정보'!E40)</f>
        <v/>
      </c>
      <c r="E98" s="40" t="str">
        <f>IF('01_인적정보'!B40="","",'01_인적정보'!H40)</f>
        <v/>
      </c>
      <c r="F98" s="49" t="str">
        <f>IF('01_인적정보'!B40="","",'01_인적정보'!L40)</f>
        <v/>
      </c>
      <c r="G98" s="19" t="str">
        <f>IF(OR('01_인적정보'!B40="",'07b_하반기입력'!K40=""),"",'07b_하반기입력'!K40)</f>
        <v/>
      </c>
      <c r="H98" s="19" t="str">
        <f>IF(OR('01_인적정보'!B40="",'07b_하반기입력'!L40=""),"",'07b_하반기입력'!L40)</f>
        <v/>
      </c>
      <c r="I98" s="52" t="str">
        <f>IFERROR(IF(AND(LEN(G98)&gt;0,LEN(H98)&gt;0),'02_의사결정·종합결과'!$B$67*IFERROR(CHOOSE(FIND(G98,"DCBAS"),1,2,3,4,5),0)+'02_의사결정·종합결과'!$B$68*IFERROR(CHOOSE(FIND(H98,"DCBAS"),1,2,3,4,5),0),IF(LEN(G98)&gt;0,IFERROR(CHOOSE(FIND(G98,"DCBAS"),1,2,3,4,5),0),IF(LEN(H98)&gt;0,IFERROR(CHOOSE(FIND(H98,"DCBAS"),1,2,3,4,5),0),""))),"")</f>
        <v/>
      </c>
      <c r="J98" s="53" t="str">
        <f t="shared" si="3"/>
        <v/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21.75" customHeight="1">
      <c r="A99" s="4" t="str">
        <f>IF('01_인적정보'!B41="","",'01_인적정보'!A41)</f>
        <v/>
      </c>
      <c r="B99" s="4" t="str">
        <f>IF('01_인적정보'!B41="","",'01_인적정보'!B41)</f>
        <v/>
      </c>
      <c r="C99" s="13" t="str">
        <f>IF('01_인적정보'!B41="","",'01_인적정보'!C41)</f>
        <v/>
      </c>
      <c r="D99" s="13" t="str">
        <f>IF('01_인적정보'!B41="","",'01_인적정보'!E41)</f>
        <v/>
      </c>
      <c r="E99" s="40" t="str">
        <f>IF('01_인적정보'!B41="","",'01_인적정보'!H41)</f>
        <v/>
      </c>
      <c r="F99" s="49" t="str">
        <f>IF('01_인적정보'!B41="","",'01_인적정보'!L41)</f>
        <v/>
      </c>
      <c r="G99" s="19" t="str">
        <f>IF(OR('01_인적정보'!B41="",'07b_하반기입력'!K41=""),"",'07b_하반기입력'!K41)</f>
        <v/>
      </c>
      <c r="H99" s="19" t="str">
        <f>IF(OR('01_인적정보'!B41="",'07b_하반기입력'!L41=""),"",'07b_하반기입력'!L41)</f>
        <v/>
      </c>
      <c r="I99" s="52" t="str">
        <f>IFERROR(IF(AND(LEN(G99)&gt;0,LEN(H99)&gt;0),'02_의사결정·종합결과'!$B$67*IFERROR(CHOOSE(FIND(G99,"DCBAS"),1,2,3,4,5),0)+'02_의사결정·종합결과'!$B$68*IFERROR(CHOOSE(FIND(H99,"DCBAS"),1,2,3,4,5),0),IF(LEN(G99)&gt;0,IFERROR(CHOOSE(FIND(G99,"DCBAS"),1,2,3,4,5),0),IF(LEN(H99)&gt;0,IFERROR(CHOOSE(FIND(H99,"DCBAS"),1,2,3,4,5),0),""))),"")</f>
        <v/>
      </c>
      <c r="J99" s="53" t="str">
        <f t="shared" si="3"/>
        <v/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21.75" customHeight="1">
      <c r="A100" s="4" t="str">
        <f>IF('01_인적정보'!B42="","",'01_인적정보'!A42)</f>
        <v/>
      </c>
      <c r="B100" s="4" t="str">
        <f>IF('01_인적정보'!B42="","",'01_인적정보'!B42)</f>
        <v/>
      </c>
      <c r="C100" s="13" t="str">
        <f>IF('01_인적정보'!B42="","",'01_인적정보'!C42)</f>
        <v/>
      </c>
      <c r="D100" s="13" t="str">
        <f>IF('01_인적정보'!B42="","",'01_인적정보'!E42)</f>
        <v/>
      </c>
      <c r="E100" s="40" t="str">
        <f>IF('01_인적정보'!B42="","",'01_인적정보'!H42)</f>
        <v/>
      </c>
      <c r="F100" s="49" t="str">
        <f>IF('01_인적정보'!B42="","",'01_인적정보'!L42)</f>
        <v/>
      </c>
      <c r="G100" s="19" t="str">
        <f>IF(OR('01_인적정보'!B42="",'07b_하반기입력'!K42=""),"",'07b_하반기입력'!K42)</f>
        <v/>
      </c>
      <c r="H100" s="19" t="str">
        <f>IF(OR('01_인적정보'!B42="",'07b_하반기입력'!L42=""),"",'07b_하반기입력'!L42)</f>
        <v/>
      </c>
      <c r="I100" s="52" t="str">
        <f>IFERROR(IF(AND(LEN(G100)&gt;0,LEN(H100)&gt;0),'02_의사결정·종합결과'!$B$67*IFERROR(CHOOSE(FIND(G100,"DCBAS"),1,2,3,4,5),0)+'02_의사결정·종합결과'!$B$68*IFERROR(CHOOSE(FIND(H100,"DCBAS"),1,2,3,4,5),0),IF(LEN(G100)&gt;0,IFERROR(CHOOSE(FIND(G100,"DCBAS"),1,2,3,4,5),0),IF(LEN(H100)&gt;0,IFERROR(CHOOSE(FIND(H100,"DCBAS"),1,2,3,4,5),0),""))),"")</f>
        <v/>
      </c>
      <c r="J100" s="53" t="str">
        <f t="shared" si="3"/>
        <v/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21.75" customHeight="1">
      <c r="A101" s="4" t="str">
        <f>IF('01_인적정보'!B43="","",'01_인적정보'!A43)</f>
        <v/>
      </c>
      <c r="B101" s="4" t="str">
        <f>IF('01_인적정보'!B43="","",'01_인적정보'!B43)</f>
        <v/>
      </c>
      <c r="C101" s="13" t="str">
        <f>IF('01_인적정보'!B43="","",'01_인적정보'!C43)</f>
        <v/>
      </c>
      <c r="D101" s="13" t="str">
        <f>IF('01_인적정보'!B43="","",'01_인적정보'!E43)</f>
        <v/>
      </c>
      <c r="E101" s="40" t="str">
        <f>IF('01_인적정보'!B43="","",'01_인적정보'!H43)</f>
        <v/>
      </c>
      <c r="F101" s="49" t="str">
        <f>IF('01_인적정보'!B43="","",'01_인적정보'!L43)</f>
        <v/>
      </c>
      <c r="G101" s="19" t="str">
        <f>IF(OR('01_인적정보'!B43="",'07b_하반기입력'!K43=""),"",'07b_하반기입력'!K43)</f>
        <v/>
      </c>
      <c r="H101" s="19" t="str">
        <f>IF(OR('01_인적정보'!B43="",'07b_하반기입력'!L43=""),"",'07b_하반기입력'!L43)</f>
        <v/>
      </c>
      <c r="I101" s="52" t="str">
        <f>IFERROR(IF(AND(LEN(G101)&gt;0,LEN(H101)&gt;0),'02_의사결정·종합결과'!$B$67*IFERROR(CHOOSE(FIND(G101,"DCBAS"),1,2,3,4,5),0)+'02_의사결정·종합결과'!$B$68*IFERROR(CHOOSE(FIND(H101,"DCBAS"),1,2,3,4,5),0),IF(LEN(G101)&gt;0,IFERROR(CHOOSE(FIND(G101,"DCBAS"),1,2,3,4,5),0),IF(LEN(H101)&gt;0,IFERROR(CHOOSE(FIND(H101,"DCBAS"),1,2,3,4,5),0),""))),"")</f>
        <v/>
      </c>
      <c r="J101" s="53" t="str">
        <f t="shared" si="3"/>
        <v/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21.75" customHeight="1">
      <c r="A102" s="4" t="str">
        <f>IF('01_인적정보'!B44="","",'01_인적정보'!A44)</f>
        <v/>
      </c>
      <c r="B102" s="4" t="str">
        <f>IF('01_인적정보'!B44="","",'01_인적정보'!B44)</f>
        <v/>
      </c>
      <c r="C102" s="13" t="str">
        <f>IF('01_인적정보'!B44="","",'01_인적정보'!C44)</f>
        <v/>
      </c>
      <c r="D102" s="13" t="str">
        <f>IF('01_인적정보'!B44="","",'01_인적정보'!E44)</f>
        <v/>
      </c>
      <c r="E102" s="40" t="str">
        <f>IF('01_인적정보'!B44="","",'01_인적정보'!H44)</f>
        <v/>
      </c>
      <c r="F102" s="49" t="str">
        <f>IF('01_인적정보'!B44="","",'01_인적정보'!L44)</f>
        <v/>
      </c>
      <c r="G102" s="19" t="str">
        <f>IF(OR('01_인적정보'!B44="",'07b_하반기입력'!K44=""),"",'07b_하반기입력'!K44)</f>
        <v/>
      </c>
      <c r="H102" s="19" t="str">
        <f>IF(OR('01_인적정보'!B44="",'07b_하반기입력'!L44=""),"",'07b_하반기입력'!L44)</f>
        <v/>
      </c>
      <c r="I102" s="52" t="str">
        <f>IFERROR(IF(AND(LEN(G102)&gt;0,LEN(H102)&gt;0),'02_의사결정·종합결과'!$B$67*IFERROR(CHOOSE(FIND(G102,"DCBAS"),1,2,3,4,5),0)+'02_의사결정·종합결과'!$B$68*IFERROR(CHOOSE(FIND(H102,"DCBAS"),1,2,3,4,5),0),IF(LEN(G102)&gt;0,IFERROR(CHOOSE(FIND(G102,"DCBAS"),1,2,3,4,5),0),IF(LEN(H102)&gt;0,IFERROR(CHOOSE(FIND(H102,"DCBAS"),1,2,3,4,5),0),""))),"")</f>
        <v/>
      </c>
      <c r="J102" s="53" t="str">
        <f t="shared" si="3"/>
        <v/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21.75" customHeight="1">
      <c r="A103" s="4" t="str">
        <f>IF('01_인적정보'!B45="","",'01_인적정보'!A45)</f>
        <v/>
      </c>
      <c r="B103" s="4" t="str">
        <f>IF('01_인적정보'!B45="","",'01_인적정보'!B45)</f>
        <v/>
      </c>
      <c r="C103" s="13" t="str">
        <f>IF('01_인적정보'!B45="","",'01_인적정보'!C45)</f>
        <v/>
      </c>
      <c r="D103" s="13" t="str">
        <f>IF('01_인적정보'!B45="","",'01_인적정보'!E45)</f>
        <v/>
      </c>
      <c r="E103" s="40" t="str">
        <f>IF('01_인적정보'!B45="","",'01_인적정보'!H45)</f>
        <v/>
      </c>
      <c r="F103" s="49" t="str">
        <f>IF('01_인적정보'!B45="","",'01_인적정보'!L45)</f>
        <v/>
      </c>
      <c r="G103" s="19" t="str">
        <f>IF(OR('01_인적정보'!B45="",'07b_하반기입력'!K45=""),"",'07b_하반기입력'!K45)</f>
        <v/>
      </c>
      <c r="H103" s="19" t="str">
        <f>IF(OR('01_인적정보'!B45="",'07b_하반기입력'!L45=""),"",'07b_하반기입력'!L45)</f>
        <v/>
      </c>
      <c r="I103" s="52" t="str">
        <f>IFERROR(IF(AND(LEN(G103)&gt;0,LEN(H103)&gt;0),'02_의사결정·종합결과'!$B$67*IFERROR(CHOOSE(FIND(G103,"DCBAS"),1,2,3,4,5),0)+'02_의사결정·종합결과'!$B$68*IFERROR(CHOOSE(FIND(H103,"DCBAS"),1,2,3,4,5),0),IF(LEN(G103)&gt;0,IFERROR(CHOOSE(FIND(G103,"DCBAS"),1,2,3,4,5),0),IF(LEN(H103)&gt;0,IFERROR(CHOOSE(FIND(H103,"DCBAS"),1,2,3,4,5),0),""))),"")</f>
        <v/>
      </c>
      <c r="J103" s="53" t="str">
        <f t="shared" si="3"/>
        <v/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21.75" customHeight="1">
      <c r="A104" s="4" t="str">
        <f>IF('01_인적정보'!B46="","",'01_인적정보'!A46)</f>
        <v/>
      </c>
      <c r="B104" s="4" t="str">
        <f>IF('01_인적정보'!B46="","",'01_인적정보'!B46)</f>
        <v/>
      </c>
      <c r="C104" s="13" t="str">
        <f>IF('01_인적정보'!B46="","",'01_인적정보'!C46)</f>
        <v/>
      </c>
      <c r="D104" s="13" t="str">
        <f>IF('01_인적정보'!B46="","",'01_인적정보'!E46)</f>
        <v/>
      </c>
      <c r="E104" s="40" t="str">
        <f>IF('01_인적정보'!B46="","",'01_인적정보'!H46)</f>
        <v/>
      </c>
      <c r="F104" s="49" t="str">
        <f>IF('01_인적정보'!B46="","",'01_인적정보'!L46)</f>
        <v/>
      </c>
      <c r="G104" s="19" t="str">
        <f>IF(OR('01_인적정보'!B46="",'07b_하반기입력'!K46=""),"",'07b_하반기입력'!K46)</f>
        <v/>
      </c>
      <c r="H104" s="19" t="str">
        <f>IF(OR('01_인적정보'!B46="",'07b_하반기입력'!L46=""),"",'07b_하반기입력'!L46)</f>
        <v/>
      </c>
      <c r="I104" s="52" t="str">
        <f>IFERROR(IF(AND(LEN(G104)&gt;0,LEN(H104)&gt;0),'02_의사결정·종합결과'!$B$67*IFERROR(CHOOSE(FIND(G104,"DCBAS"),1,2,3,4,5),0)+'02_의사결정·종합결과'!$B$68*IFERROR(CHOOSE(FIND(H104,"DCBAS"),1,2,3,4,5),0),IF(LEN(G104)&gt;0,IFERROR(CHOOSE(FIND(G104,"DCBAS"),1,2,3,4,5),0),IF(LEN(H104)&gt;0,IFERROR(CHOOSE(FIND(H104,"DCBAS"),1,2,3,4,5),0),""))),"")</f>
        <v/>
      </c>
      <c r="J104" s="53" t="str">
        <f t="shared" si="3"/>
        <v/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21.75" customHeight="1">
      <c r="A105" s="4" t="str">
        <f>IF('01_인적정보'!B47="","",'01_인적정보'!A47)</f>
        <v/>
      </c>
      <c r="B105" s="4" t="str">
        <f>IF('01_인적정보'!B47="","",'01_인적정보'!B47)</f>
        <v/>
      </c>
      <c r="C105" s="13" t="str">
        <f>IF('01_인적정보'!B47="","",'01_인적정보'!C47)</f>
        <v/>
      </c>
      <c r="D105" s="13" t="str">
        <f>IF('01_인적정보'!B47="","",'01_인적정보'!E47)</f>
        <v/>
      </c>
      <c r="E105" s="40" t="str">
        <f>IF('01_인적정보'!B47="","",'01_인적정보'!H47)</f>
        <v/>
      </c>
      <c r="F105" s="49" t="str">
        <f>IF('01_인적정보'!B47="","",'01_인적정보'!L47)</f>
        <v/>
      </c>
      <c r="G105" s="19" t="str">
        <f>IF(OR('01_인적정보'!B47="",'07b_하반기입력'!K47=""),"",'07b_하반기입력'!K47)</f>
        <v/>
      </c>
      <c r="H105" s="19" t="str">
        <f>IF(OR('01_인적정보'!B47="",'07b_하반기입력'!L47=""),"",'07b_하반기입력'!L47)</f>
        <v/>
      </c>
      <c r="I105" s="52" t="str">
        <f>IFERROR(IF(AND(LEN(G105)&gt;0,LEN(H105)&gt;0),'02_의사결정·종합결과'!$B$67*IFERROR(CHOOSE(FIND(G105,"DCBAS"),1,2,3,4,5),0)+'02_의사결정·종합결과'!$B$68*IFERROR(CHOOSE(FIND(H105,"DCBAS"),1,2,3,4,5),0),IF(LEN(G105)&gt;0,IFERROR(CHOOSE(FIND(G105,"DCBAS"),1,2,3,4,5),0),IF(LEN(H105)&gt;0,IFERROR(CHOOSE(FIND(H105,"DCBAS"),1,2,3,4,5),0),""))),"")</f>
        <v/>
      </c>
      <c r="J105" s="53" t="str">
        <f t="shared" si="3"/>
        <v/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21.75" customHeight="1">
      <c r="A106" s="4" t="str">
        <f>IF('01_인적정보'!B48="","",'01_인적정보'!A48)</f>
        <v/>
      </c>
      <c r="B106" s="4" t="str">
        <f>IF('01_인적정보'!B48="","",'01_인적정보'!B48)</f>
        <v/>
      </c>
      <c r="C106" s="13" t="str">
        <f>IF('01_인적정보'!B48="","",'01_인적정보'!C48)</f>
        <v/>
      </c>
      <c r="D106" s="13" t="str">
        <f>IF('01_인적정보'!B48="","",'01_인적정보'!E48)</f>
        <v/>
      </c>
      <c r="E106" s="40" t="str">
        <f>IF('01_인적정보'!B48="","",'01_인적정보'!H48)</f>
        <v/>
      </c>
      <c r="F106" s="49" t="str">
        <f>IF('01_인적정보'!B48="","",'01_인적정보'!L48)</f>
        <v/>
      </c>
      <c r="G106" s="19" t="str">
        <f>IF(OR('01_인적정보'!B48="",'07b_하반기입력'!K48=""),"",'07b_하반기입력'!K48)</f>
        <v/>
      </c>
      <c r="H106" s="19" t="str">
        <f>IF(OR('01_인적정보'!B48="",'07b_하반기입력'!L48=""),"",'07b_하반기입력'!L48)</f>
        <v/>
      </c>
      <c r="I106" s="52" t="str">
        <f>IFERROR(IF(AND(LEN(G106)&gt;0,LEN(H106)&gt;0),'02_의사결정·종합결과'!$B$67*IFERROR(CHOOSE(FIND(G106,"DCBAS"),1,2,3,4,5),0)+'02_의사결정·종합결과'!$B$68*IFERROR(CHOOSE(FIND(H106,"DCBAS"),1,2,3,4,5),0),IF(LEN(G106)&gt;0,IFERROR(CHOOSE(FIND(G106,"DCBAS"),1,2,3,4,5),0),IF(LEN(H106)&gt;0,IFERROR(CHOOSE(FIND(H106,"DCBAS"),1,2,3,4,5),0),""))),"")</f>
        <v/>
      </c>
      <c r="J106" s="53" t="str">
        <f t="shared" si="3"/>
        <v/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21.75" customHeight="1">
      <c r="A107" s="4" t="str">
        <f>IF('01_인적정보'!B49="","",'01_인적정보'!A49)</f>
        <v/>
      </c>
      <c r="B107" s="4" t="str">
        <f>IF('01_인적정보'!B49="","",'01_인적정보'!B49)</f>
        <v/>
      </c>
      <c r="C107" s="13" t="str">
        <f>IF('01_인적정보'!B49="","",'01_인적정보'!C49)</f>
        <v/>
      </c>
      <c r="D107" s="13" t="str">
        <f>IF('01_인적정보'!B49="","",'01_인적정보'!E49)</f>
        <v/>
      </c>
      <c r="E107" s="40" t="str">
        <f>IF('01_인적정보'!B49="","",'01_인적정보'!H49)</f>
        <v/>
      </c>
      <c r="F107" s="49" t="str">
        <f>IF('01_인적정보'!B49="","",'01_인적정보'!L49)</f>
        <v/>
      </c>
      <c r="G107" s="19" t="str">
        <f>IF(OR('01_인적정보'!B49="",'07b_하반기입력'!K49=""),"",'07b_하반기입력'!K49)</f>
        <v/>
      </c>
      <c r="H107" s="19" t="str">
        <f>IF(OR('01_인적정보'!B49="",'07b_하반기입력'!L49=""),"",'07b_하반기입력'!L49)</f>
        <v/>
      </c>
      <c r="I107" s="52" t="str">
        <f>IFERROR(IF(AND(LEN(G107)&gt;0,LEN(H107)&gt;0),'02_의사결정·종합결과'!$B$67*IFERROR(CHOOSE(FIND(G107,"DCBAS"),1,2,3,4,5),0)+'02_의사결정·종합결과'!$B$68*IFERROR(CHOOSE(FIND(H107,"DCBAS"),1,2,3,4,5),0),IF(LEN(G107)&gt;0,IFERROR(CHOOSE(FIND(G107,"DCBAS"),1,2,3,4,5),0),IF(LEN(H107)&gt;0,IFERROR(CHOOSE(FIND(H107,"DCBAS"),1,2,3,4,5),0),""))),"")</f>
        <v/>
      </c>
      <c r="J107" s="53" t="str">
        <f t="shared" si="3"/>
        <v/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21.75" customHeight="1">
      <c r="A108" s="4" t="str">
        <f>IF('01_인적정보'!B50="","",'01_인적정보'!A50)</f>
        <v/>
      </c>
      <c r="B108" s="4" t="str">
        <f>IF('01_인적정보'!B50="","",'01_인적정보'!B50)</f>
        <v/>
      </c>
      <c r="C108" s="13" t="str">
        <f>IF('01_인적정보'!B50="","",'01_인적정보'!C50)</f>
        <v/>
      </c>
      <c r="D108" s="13" t="str">
        <f>IF('01_인적정보'!B50="","",'01_인적정보'!E50)</f>
        <v/>
      </c>
      <c r="E108" s="40" t="str">
        <f>IF('01_인적정보'!B50="","",'01_인적정보'!H50)</f>
        <v/>
      </c>
      <c r="F108" s="49" t="str">
        <f>IF('01_인적정보'!B50="","",'01_인적정보'!L50)</f>
        <v/>
      </c>
      <c r="G108" s="19" t="str">
        <f>IF(OR('01_인적정보'!B50="",'07b_하반기입력'!K50=""),"",'07b_하반기입력'!K50)</f>
        <v/>
      </c>
      <c r="H108" s="19" t="str">
        <f>IF(OR('01_인적정보'!B50="",'07b_하반기입력'!L50=""),"",'07b_하반기입력'!L50)</f>
        <v/>
      </c>
      <c r="I108" s="52" t="str">
        <f>IFERROR(IF(AND(LEN(G108)&gt;0,LEN(H108)&gt;0),'02_의사결정·종합결과'!$B$67*IFERROR(CHOOSE(FIND(G108,"DCBAS"),1,2,3,4,5),0)+'02_의사결정·종합결과'!$B$68*IFERROR(CHOOSE(FIND(H108,"DCBAS"),1,2,3,4,5),0),IF(LEN(G108)&gt;0,IFERROR(CHOOSE(FIND(G108,"DCBAS"),1,2,3,4,5),0),IF(LEN(H108)&gt;0,IFERROR(CHOOSE(FIND(H108,"DCBAS"),1,2,3,4,5),0),""))),"")</f>
        <v/>
      </c>
      <c r="J108" s="53" t="str">
        <f t="shared" si="3"/>
        <v/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21.75" customHeight="1">
      <c r="A109" s="4" t="str">
        <f>IF('01_인적정보'!B51="","",'01_인적정보'!A51)</f>
        <v/>
      </c>
      <c r="B109" s="4" t="str">
        <f>IF('01_인적정보'!B51="","",'01_인적정보'!B51)</f>
        <v/>
      </c>
      <c r="C109" s="13" t="str">
        <f>IF('01_인적정보'!B51="","",'01_인적정보'!C51)</f>
        <v/>
      </c>
      <c r="D109" s="13" t="str">
        <f>IF('01_인적정보'!B51="","",'01_인적정보'!E51)</f>
        <v/>
      </c>
      <c r="E109" s="40" t="str">
        <f>IF('01_인적정보'!B51="","",'01_인적정보'!H51)</f>
        <v/>
      </c>
      <c r="F109" s="49" t="str">
        <f>IF('01_인적정보'!B51="","",'01_인적정보'!L51)</f>
        <v/>
      </c>
      <c r="G109" s="19" t="str">
        <f>IF(OR('01_인적정보'!B51="",'07b_하반기입력'!K51=""),"",'07b_하반기입력'!K51)</f>
        <v/>
      </c>
      <c r="H109" s="19" t="str">
        <f>IF(OR('01_인적정보'!B51="",'07b_하반기입력'!L51=""),"",'07b_하반기입력'!L51)</f>
        <v/>
      </c>
      <c r="I109" s="52" t="str">
        <f>IFERROR(IF(AND(LEN(G109)&gt;0,LEN(H109)&gt;0),'02_의사결정·종합결과'!$B$67*IFERROR(CHOOSE(FIND(G109,"DCBAS"),1,2,3,4,5),0)+'02_의사결정·종합결과'!$B$68*IFERROR(CHOOSE(FIND(H109,"DCBAS"),1,2,3,4,5),0),IF(LEN(G109)&gt;0,IFERROR(CHOOSE(FIND(G109,"DCBAS"),1,2,3,4,5),0),IF(LEN(H109)&gt;0,IFERROR(CHOOSE(FIND(H109,"DCBAS"),1,2,3,4,5),0),""))),"")</f>
        <v/>
      </c>
      <c r="J109" s="53" t="str">
        <f t="shared" si="3"/>
        <v/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21.75" customHeight="1">
      <c r="A110" s="4" t="str">
        <f>IF('01_인적정보'!B52="","",'01_인적정보'!A52)</f>
        <v/>
      </c>
      <c r="B110" s="4" t="str">
        <f>IF('01_인적정보'!B52="","",'01_인적정보'!B52)</f>
        <v/>
      </c>
      <c r="C110" s="13" t="str">
        <f>IF('01_인적정보'!B52="","",'01_인적정보'!C52)</f>
        <v/>
      </c>
      <c r="D110" s="13" t="str">
        <f>IF('01_인적정보'!B52="","",'01_인적정보'!E52)</f>
        <v/>
      </c>
      <c r="E110" s="40" t="str">
        <f>IF('01_인적정보'!B52="","",'01_인적정보'!H52)</f>
        <v/>
      </c>
      <c r="F110" s="49" t="str">
        <f>IF('01_인적정보'!B52="","",'01_인적정보'!L52)</f>
        <v/>
      </c>
      <c r="G110" s="19" t="str">
        <f>IF(OR('01_인적정보'!B52="",'07b_하반기입력'!K52=""),"",'07b_하반기입력'!K52)</f>
        <v/>
      </c>
      <c r="H110" s="19" t="str">
        <f>IF(OR('01_인적정보'!B52="",'07b_하반기입력'!L52=""),"",'07b_하반기입력'!L52)</f>
        <v/>
      </c>
      <c r="I110" s="52" t="str">
        <f>IFERROR(IF(AND(LEN(G110)&gt;0,LEN(H110)&gt;0),'02_의사결정·종합결과'!$B$67*IFERROR(CHOOSE(FIND(G110,"DCBAS"),1,2,3,4,5),0)+'02_의사결정·종합결과'!$B$68*IFERROR(CHOOSE(FIND(H110,"DCBAS"),1,2,3,4,5),0),IF(LEN(G110)&gt;0,IFERROR(CHOOSE(FIND(G110,"DCBAS"),1,2,3,4,5),0),IF(LEN(H110)&gt;0,IFERROR(CHOOSE(FIND(H110,"DCBAS"),1,2,3,4,5),0),""))),"")</f>
        <v/>
      </c>
      <c r="J110" s="53" t="str">
        <f t="shared" si="3"/>
        <v/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21.75" customHeight="1">
      <c r="A111" s="4" t="str">
        <f>IF('01_인적정보'!B53="","",'01_인적정보'!A53)</f>
        <v/>
      </c>
      <c r="B111" s="4" t="str">
        <f>IF('01_인적정보'!B53="","",'01_인적정보'!B53)</f>
        <v/>
      </c>
      <c r="C111" s="13" t="str">
        <f>IF('01_인적정보'!B53="","",'01_인적정보'!C53)</f>
        <v/>
      </c>
      <c r="D111" s="13" t="str">
        <f>IF('01_인적정보'!B53="","",'01_인적정보'!E53)</f>
        <v/>
      </c>
      <c r="E111" s="40" t="str">
        <f>IF('01_인적정보'!B53="","",'01_인적정보'!H53)</f>
        <v/>
      </c>
      <c r="F111" s="49" t="str">
        <f>IF('01_인적정보'!B53="","",'01_인적정보'!L53)</f>
        <v/>
      </c>
      <c r="G111" s="19" t="str">
        <f>IF(OR('01_인적정보'!B53="",'07b_하반기입력'!K53=""),"",'07b_하반기입력'!K53)</f>
        <v/>
      </c>
      <c r="H111" s="19" t="str">
        <f>IF(OR('01_인적정보'!B53="",'07b_하반기입력'!L53=""),"",'07b_하반기입력'!L53)</f>
        <v/>
      </c>
      <c r="I111" s="52" t="str">
        <f>IFERROR(IF(AND(LEN(G111)&gt;0,LEN(H111)&gt;0),'02_의사결정·종합결과'!$B$67*IFERROR(CHOOSE(FIND(G111,"DCBAS"),1,2,3,4,5),0)+'02_의사결정·종합결과'!$B$68*IFERROR(CHOOSE(FIND(H111,"DCBAS"),1,2,3,4,5),0),IF(LEN(G111)&gt;0,IFERROR(CHOOSE(FIND(G111,"DCBAS"),1,2,3,4,5),0),IF(LEN(H111)&gt;0,IFERROR(CHOOSE(FIND(H111,"DCBAS"),1,2,3,4,5),0),""))),"")</f>
        <v/>
      </c>
      <c r="J111" s="53" t="str">
        <f t="shared" si="3"/>
        <v/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21.75" customHeight="1">
      <c r="A112" s="4" t="str">
        <f>IF('01_인적정보'!B54="","",'01_인적정보'!A54)</f>
        <v/>
      </c>
      <c r="B112" s="4" t="str">
        <f>IF('01_인적정보'!B54="","",'01_인적정보'!B54)</f>
        <v/>
      </c>
      <c r="C112" s="13" t="str">
        <f>IF('01_인적정보'!B54="","",'01_인적정보'!C54)</f>
        <v/>
      </c>
      <c r="D112" s="13" t="str">
        <f>IF('01_인적정보'!B54="","",'01_인적정보'!E54)</f>
        <v/>
      </c>
      <c r="E112" s="40" t="str">
        <f>IF('01_인적정보'!B54="","",'01_인적정보'!H54)</f>
        <v/>
      </c>
      <c r="F112" s="49" t="str">
        <f>IF('01_인적정보'!B54="","",'01_인적정보'!L54)</f>
        <v/>
      </c>
      <c r="G112" s="19" t="str">
        <f>IF(OR('01_인적정보'!B54="",'07b_하반기입력'!K54=""),"",'07b_하반기입력'!K54)</f>
        <v/>
      </c>
      <c r="H112" s="19" t="str">
        <f>IF(OR('01_인적정보'!B54="",'07b_하반기입력'!L54=""),"",'07b_하반기입력'!L54)</f>
        <v/>
      </c>
      <c r="I112" s="52" t="str">
        <f>IFERROR(IF(AND(LEN(G112)&gt;0,LEN(H112)&gt;0),'02_의사결정·종합결과'!$B$67*IFERROR(CHOOSE(FIND(G112,"DCBAS"),1,2,3,4,5),0)+'02_의사결정·종합결과'!$B$68*IFERROR(CHOOSE(FIND(H112,"DCBAS"),1,2,3,4,5),0),IF(LEN(G112)&gt;0,IFERROR(CHOOSE(FIND(G112,"DCBAS"),1,2,3,4,5),0),IF(LEN(H112)&gt;0,IFERROR(CHOOSE(FIND(H112,"DCBAS"),1,2,3,4,5),0),""))),"")</f>
        <v/>
      </c>
      <c r="J112" s="53" t="str">
        <f t="shared" si="3"/>
        <v/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21.75" customHeight="1">
      <c r="A113" s="4" t="str">
        <f>IF('01_인적정보'!B55="","",'01_인적정보'!A55)</f>
        <v/>
      </c>
      <c r="B113" s="4" t="str">
        <f>IF('01_인적정보'!B55="","",'01_인적정보'!B55)</f>
        <v/>
      </c>
      <c r="C113" s="13" t="str">
        <f>IF('01_인적정보'!B55="","",'01_인적정보'!C55)</f>
        <v/>
      </c>
      <c r="D113" s="13" t="str">
        <f>IF('01_인적정보'!B55="","",'01_인적정보'!E55)</f>
        <v/>
      </c>
      <c r="E113" s="40" t="str">
        <f>IF('01_인적정보'!B55="","",'01_인적정보'!H55)</f>
        <v/>
      </c>
      <c r="F113" s="49" t="str">
        <f>IF('01_인적정보'!B55="","",'01_인적정보'!L55)</f>
        <v/>
      </c>
      <c r="G113" s="19" t="str">
        <f>IF(OR('01_인적정보'!B55="",'07b_하반기입력'!K55=""),"",'07b_하반기입력'!K55)</f>
        <v/>
      </c>
      <c r="H113" s="19" t="str">
        <f>IF(OR('01_인적정보'!B55="",'07b_하반기입력'!L55=""),"",'07b_하반기입력'!L55)</f>
        <v/>
      </c>
      <c r="I113" s="52" t="str">
        <f>IFERROR(IF(AND(LEN(G113)&gt;0,LEN(H113)&gt;0),'02_의사결정·종합결과'!$B$67*IFERROR(CHOOSE(FIND(G113,"DCBAS"),1,2,3,4,5),0)+'02_의사결정·종합결과'!$B$68*IFERROR(CHOOSE(FIND(H113,"DCBAS"),1,2,3,4,5),0),IF(LEN(G113)&gt;0,IFERROR(CHOOSE(FIND(G113,"DCBAS"),1,2,3,4,5),0),IF(LEN(H113)&gt;0,IFERROR(CHOOSE(FIND(H113,"DCBAS"),1,2,3,4,5),0),""))),"")</f>
        <v/>
      </c>
      <c r="J113" s="53" t="str">
        <f t="shared" si="3"/>
        <v/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</sheetData>
  <mergeCells count="4">
    <mergeCell ref="A1:J1"/>
    <mergeCell ref="A2:J2"/>
    <mergeCell ref="A4:J4"/>
    <mergeCell ref="A62:J62"/>
  </mergeCells>
  <phoneticPr fontId="28" type="noConversion"/>
  <conditionalFormatting sqref="G6:J55">
    <cfRule type="cellIs" dxfId="59" priority="2" operator="equal">
      <formula>"S"</formula>
    </cfRule>
    <cfRule type="cellIs" dxfId="58" priority="3" operator="equal">
      <formula>"A"</formula>
    </cfRule>
    <cfRule type="cellIs" dxfId="57" priority="4" operator="equal">
      <formula>"C"</formula>
    </cfRule>
    <cfRule type="cellIs" dxfId="56" priority="5" operator="equal">
      <formula>"D"</formula>
    </cfRule>
  </conditionalFormatting>
  <conditionalFormatting sqref="G64:J113">
    <cfRule type="cellIs" dxfId="55" priority="6" operator="equal">
      <formula>"S"</formula>
    </cfRule>
    <cfRule type="cellIs" dxfId="54" priority="7" operator="equal">
      <formula>"A"</formula>
    </cfRule>
    <cfRule type="cellIs" dxfId="53" priority="8" operator="equal">
      <formula>"C"</formula>
    </cfRule>
    <cfRule type="cellIs" dxfId="52" priority="9" operator="equal">
      <formula>"D"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C59"/>
  <sheetViews>
    <sheetView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17" sqref="I17"/>
    </sheetView>
  </sheetViews>
  <sheetFormatPr defaultColWidth="8.5625" defaultRowHeight="16.899999999999999"/>
  <cols>
    <col min="1" max="1" width="5" customWidth="1"/>
    <col min="2" max="2" width="10" customWidth="1"/>
    <col min="3" max="3" width="9" customWidth="1"/>
    <col min="4" max="12" width="15.5625" customWidth="1"/>
    <col min="13" max="13" width="28" customWidth="1"/>
    <col min="14" max="17" width="10" customWidth="1"/>
    <col min="18" max="22" width="9" customWidth="1"/>
    <col min="23" max="24" width="10" customWidth="1"/>
    <col min="25" max="26" width="9" customWidth="1"/>
    <col min="27" max="27" width="25" customWidth="1"/>
  </cols>
  <sheetData>
    <row r="1" spans="1:29" ht="30" customHeight="1">
      <c r="A1" s="111" t="s">
        <v>389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31.5" customHeight="1">
      <c r="A2" s="110" t="s">
        <v>390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8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21.75" customHeight="1">
      <c r="A4" s="97" t="s">
        <v>391</v>
      </c>
      <c r="B4" s="97"/>
      <c r="C4" s="97"/>
      <c r="D4" s="97"/>
      <c r="E4" s="97"/>
      <c r="F4" s="97"/>
      <c r="G4" s="122" t="s">
        <v>392</v>
      </c>
      <c r="H4" s="122"/>
      <c r="I4" s="95" t="s">
        <v>393</v>
      </c>
      <c r="J4" s="95"/>
      <c r="K4" s="123" t="s">
        <v>394</v>
      </c>
      <c r="L4" s="123"/>
      <c r="M4" s="57" t="s">
        <v>395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30" customHeight="1">
      <c r="A5" s="50" t="s">
        <v>145</v>
      </c>
      <c r="B5" s="51" t="s">
        <v>146</v>
      </c>
      <c r="C5" s="51" t="s">
        <v>147</v>
      </c>
      <c r="D5" s="51" t="s">
        <v>148</v>
      </c>
      <c r="E5" s="51" t="s">
        <v>149</v>
      </c>
      <c r="F5" s="51" t="s">
        <v>152</v>
      </c>
      <c r="G5" s="58" t="s">
        <v>396</v>
      </c>
      <c r="H5" s="58" t="s">
        <v>397</v>
      </c>
      <c r="I5" s="59" t="s">
        <v>398</v>
      </c>
      <c r="J5" s="59" t="s">
        <v>399</v>
      </c>
      <c r="K5" s="60" t="s">
        <v>400</v>
      </c>
      <c r="L5" s="60" t="s">
        <v>401</v>
      </c>
      <c r="M5" s="61" t="s">
        <v>402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4" customHeight="1">
      <c r="A6" s="4">
        <f>'01_인적정보'!A6</f>
        <v>1</v>
      </c>
      <c r="B6" s="4" t="str">
        <f>'01_인적정보'!B6</f>
        <v>BSS-001</v>
      </c>
      <c r="C6" s="13" t="str">
        <f>'01_인적정보'!C6</f>
        <v>OOO</v>
      </c>
      <c r="D6" s="13" t="str">
        <f>'01_인적정보'!D6</f>
        <v>영업</v>
      </c>
      <c r="E6" s="13" t="str">
        <f>'01_인적정보'!E6</f>
        <v>프로젝트영업</v>
      </c>
      <c r="F6" s="40" t="str">
        <f>'01_인적정보'!H6</f>
        <v>G6</v>
      </c>
      <c r="G6" s="28" t="s">
        <v>132</v>
      </c>
      <c r="H6" s="28" t="s">
        <v>132</v>
      </c>
      <c r="I6" s="28" t="s">
        <v>133</v>
      </c>
      <c r="J6" s="28" t="s">
        <v>132</v>
      </c>
      <c r="K6" s="28" t="s">
        <v>131</v>
      </c>
      <c r="L6" s="28" t="s">
        <v>132</v>
      </c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4" customHeight="1">
      <c r="A7" s="4">
        <f>'01_인적정보'!A7</f>
        <v>2</v>
      </c>
      <c r="B7" s="4" t="str">
        <f>'01_인적정보'!B7</f>
        <v>BSS-002</v>
      </c>
      <c r="C7" s="13" t="str">
        <f>'01_인적정보'!C7</f>
        <v>OOO</v>
      </c>
      <c r="D7" s="13" t="str">
        <f>'01_인적정보'!D7</f>
        <v>연구&amp;개발</v>
      </c>
      <c r="E7" s="13" t="str">
        <f>'01_인적정보'!E7</f>
        <v>연구개발(R&amp;D)</v>
      </c>
      <c r="F7" s="40" t="str">
        <f>'01_인적정보'!H7</f>
        <v>G6</v>
      </c>
      <c r="G7" s="28" t="s">
        <v>133</v>
      </c>
      <c r="H7" s="28" t="s">
        <v>133</v>
      </c>
      <c r="I7" s="28" t="s">
        <v>133</v>
      </c>
      <c r="J7" s="28" t="s">
        <v>133</v>
      </c>
      <c r="K7" s="28" t="s">
        <v>132</v>
      </c>
      <c r="L7" s="28" t="s">
        <v>133</v>
      </c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24" customHeight="1">
      <c r="A8" s="4">
        <f>'01_인적정보'!A8</f>
        <v>3</v>
      </c>
      <c r="B8" s="4" t="str">
        <f>'01_인적정보'!B8</f>
        <v>BSS-003</v>
      </c>
      <c r="C8" s="13" t="str">
        <f>'01_인적정보'!C8</f>
        <v>OOO</v>
      </c>
      <c r="D8" s="13" t="str">
        <f>'01_인적정보'!D8</f>
        <v>설계</v>
      </c>
      <c r="E8" s="13" t="str">
        <f>'01_인적정보'!E8</f>
        <v>BIM컨설팅</v>
      </c>
      <c r="F8" s="40" t="str">
        <f>'01_인적정보'!H8</f>
        <v>G6</v>
      </c>
      <c r="G8" s="28" t="s">
        <v>133</v>
      </c>
      <c r="H8" s="28" t="s">
        <v>132</v>
      </c>
      <c r="I8" s="28" t="s">
        <v>133</v>
      </c>
      <c r="J8" s="28" t="s">
        <v>133</v>
      </c>
      <c r="K8" s="28" t="s">
        <v>133</v>
      </c>
      <c r="L8" s="28" t="s">
        <v>133</v>
      </c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24" customHeight="1">
      <c r="A9" s="4">
        <f>'01_인적정보'!A9</f>
        <v>4</v>
      </c>
      <c r="B9" s="4" t="str">
        <f>'01_인적정보'!B9</f>
        <v>BSS-004</v>
      </c>
      <c r="C9" s="13" t="str">
        <f>'01_인적정보'!C9</f>
        <v>OOO</v>
      </c>
      <c r="D9" s="13" t="str">
        <f>'01_인적정보'!D9</f>
        <v>경영관리</v>
      </c>
      <c r="E9" s="13" t="str">
        <f>'01_인적정보'!E9</f>
        <v>경영전략기획</v>
      </c>
      <c r="F9" s="40" t="str">
        <f>'01_인적정보'!H9</f>
        <v>G6</v>
      </c>
      <c r="G9" s="28" t="s">
        <v>133</v>
      </c>
      <c r="H9" s="28" t="s">
        <v>132</v>
      </c>
      <c r="I9" s="28" t="s">
        <v>132</v>
      </c>
      <c r="J9" s="28" t="s">
        <v>132</v>
      </c>
      <c r="K9" s="28" t="s">
        <v>133</v>
      </c>
      <c r="L9" s="28" t="s">
        <v>132</v>
      </c>
      <c r="M9" s="1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4" customHeight="1">
      <c r="A10" s="4">
        <f>'01_인적정보'!A10</f>
        <v>5</v>
      </c>
      <c r="B10" s="4" t="str">
        <f>'01_인적정보'!B10</f>
        <v>BSS-005</v>
      </c>
      <c r="C10" s="13" t="str">
        <f>'01_인적정보'!C10</f>
        <v>OOO</v>
      </c>
      <c r="D10" s="13" t="str">
        <f>'01_인적정보'!D10</f>
        <v>경영관리</v>
      </c>
      <c r="E10" s="13" t="str">
        <f>'01_인적정보'!E10</f>
        <v>경영전략기획</v>
      </c>
      <c r="F10" s="40" t="str">
        <f>'01_인적정보'!H10</f>
        <v>G6</v>
      </c>
      <c r="G10" s="28" t="s">
        <v>133</v>
      </c>
      <c r="H10" s="28" t="s">
        <v>133</v>
      </c>
      <c r="I10" s="28" t="s">
        <v>133</v>
      </c>
      <c r="J10" s="28" t="s">
        <v>133</v>
      </c>
      <c r="K10" s="28" t="s">
        <v>132</v>
      </c>
      <c r="L10" s="28" t="s">
        <v>132</v>
      </c>
      <c r="M10" s="1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24" customHeight="1">
      <c r="A11" s="4">
        <f>'01_인적정보'!A11</f>
        <v>6</v>
      </c>
      <c r="B11" s="4" t="str">
        <f>'01_인적정보'!B11</f>
        <v>BSS-006</v>
      </c>
      <c r="C11" s="13" t="str">
        <f>'01_인적정보'!C11</f>
        <v>OOO</v>
      </c>
      <c r="D11" s="13" t="str">
        <f>'01_인적정보'!D11</f>
        <v>경영관리</v>
      </c>
      <c r="E11" s="13" t="str">
        <f>'01_인적정보'!E11</f>
        <v>경영전략기획</v>
      </c>
      <c r="F11" s="40" t="str">
        <f>'01_인적정보'!H11</f>
        <v>G6</v>
      </c>
      <c r="G11" s="28" t="s">
        <v>134</v>
      </c>
      <c r="H11" s="28" t="s">
        <v>134</v>
      </c>
      <c r="I11" s="28" t="s">
        <v>134</v>
      </c>
      <c r="J11" s="28" t="s">
        <v>133</v>
      </c>
      <c r="K11" s="28" t="s">
        <v>134</v>
      </c>
      <c r="L11" s="28" t="s">
        <v>135</v>
      </c>
      <c r="M11" s="1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24" customHeight="1">
      <c r="A12" s="4">
        <f>'01_인적정보'!A12</f>
        <v>7</v>
      </c>
      <c r="B12" s="4" t="str">
        <f>'01_인적정보'!B12</f>
        <v>BSS-007</v>
      </c>
      <c r="C12" s="13" t="str">
        <f>'01_인적정보'!C12</f>
        <v>OOO</v>
      </c>
      <c r="D12" s="13" t="str">
        <f>'01_인적정보'!D12</f>
        <v>교육 및 기술지원</v>
      </c>
      <c r="E12" s="13" t="str">
        <f>'01_인적정보'!E12</f>
        <v>교육</v>
      </c>
      <c r="F12" s="40" t="str">
        <f>'01_인적정보'!H12</f>
        <v>G5-M</v>
      </c>
      <c r="G12" s="28" t="s">
        <v>133</v>
      </c>
      <c r="H12" s="28" t="s">
        <v>133</v>
      </c>
      <c r="I12" s="28" t="s">
        <v>133</v>
      </c>
      <c r="J12" s="28" t="s">
        <v>134</v>
      </c>
      <c r="K12" s="28" t="s">
        <v>133</v>
      </c>
      <c r="L12" s="28" t="s">
        <v>134</v>
      </c>
      <c r="M12" s="1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24" customHeight="1">
      <c r="A13" s="4">
        <f>'01_인적정보'!A13</f>
        <v>8</v>
      </c>
      <c r="B13" s="4" t="str">
        <f>'01_인적정보'!B13</f>
        <v>BSS-008</v>
      </c>
      <c r="C13" s="13" t="str">
        <f>'01_인적정보'!C13</f>
        <v>OOO</v>
      </c>
      <c r="D13" s="13" t="str">
        <f>'01_인적정보'!D13</f>
        <v>교육 및 기술지원</v>
      </c>
      <c r="E13" s="13" t="str">
        <f>'01_인적정보'!E13</f>
        <v>기술지원</v>
      </c>
      <c r="F13" s="40" t="str">
        <f>'01_인적정보'!H13</f>
        <v>G5-M</v>
      </c>
      <c r="G13" s="28" t="s">
        <v>134</v>
      </c>
      <c r="H13" s="28" t="s">
        <v>134</v>
      </c>
      <c r="I13" s="28" t="s">
        <v>133</v>
      </c>
      <c r="J13" s="28" t="s">
        <v>134</v>
      </c>
      <c r="K13" s="28" t="s">
        <v>134</v>
      </c>
      <c r="L13" s="28" t="s">
        <v>134</v>
      </c>
      <c r="M13" s="1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24" customHeight="1">
      <c r="A14" s="4">
        <f>'01_인적정보'!A14</f>
        <v>9</v>
      </c>
      <c r="B14" s="4" t="str">
        <f>'01_인적정보'!B14</f>
        <v>BSS-009</v>
      </c>
      <c r="C14" s="13" t="str">
        <f>'01_인적정보'!C14</f>
        <v>OOO</v>
      </c>
      <c r="D14" s="13" t="str">
        <f>'01_인적정보'!D14</f>
        <v>설계</v>
      </c>
      <c r="E14" s="13" t="str">
        <f>'01_인적정보'!E14</f>
        <v>BIM컨설팅</v>
      </c>
      <c r="F14" s="40" t="str">
        <f>'01_인적정보'!H14</f>
        <v>G5-M</v>
      </c>
      <c r="G14" s="28" t="s">
        <v>132</v>
      </c>
      <c r="H14" s="28" t="s">
        <v>132</v>
      </c>
      <c r="I14" s="28" t="s">
        <v>132</v>
      </c>
      <c r="J14" s="28" t="s">
        <v>131</v>
      </c>
      <c r="K14" s="28" t="s">
        <v>132</v>
      </c>
      <c r="L14" s="28" t="s">
        <v>132</v>
      </c>
      <c r="M14" s="1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24" customHeight="1">
      <c r="A15" s="4">
        <f>'01_인적정보'!A15</f>
        <v>10</v>
      </c>
      <c r="B15" s="4" t="str">
        <f>'01_인적정보'!B15</f>
        <v>BSS-010</v>
      </c>
      <c r="C15" s="13" t="str">
        <f>'01_인적정보'!C15</f>
        <v>OOO</v>
      </c>
      <c r="D15" s="13" t="str">
        <f>'01_인적정보'!D15</f>
        <v>설계</v>
      </c>
      <c r="E15" s="13" t="str">
        <f>'01_인적정보'!E15</f>
        <v>BIM컨설팅</v>
      </c>
      <c r="F15" s="40" t="str">
        <f>'01_인적정보'!H15</f>
        <v>G5-S</v>
      </c>
      <c r="G15" s="28" t="s">
        <v>132</v>
      </c>
      <c r="H15" s="28" t="s">
        <v>132</v>
      </c>
      <c r="I15" s="28" t="s">
        <v>132</v>
      </c>
      <c r="J15" s="28" t="s">
        <v>132</v>
      </c>
      <c r="K15" s="28" t="s">
        <v>133</v>
      </c>
      <c r="L15" s="28" t="s">
        <v>133</v>
      </c>
      <c r="M15" s="1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24" customHeight="1">
      <c r="A16" s="4">
        <f>'01_인적정보'!A16</f>
        <v>11</v>
      </c>
      <c r="B16" s="4" t="str">
        <f>'01_인적정보'!B16</f>
        <v>BSS-011</v>
      </c>
      <c r="C16" s="13" t="str">
        <f>'01_인적정보'!C16</f>
        <v>OOO</v>
      </c>
      <c r="D16" s="13" t="str">
        <f>'01_인적정보'!D16</f>
        <v>설계</v>
      </c>
      <c r="E16" s="13" t="str">
        <f>'01_인적정보'!E16</f>
        <v>BIM컨설팅</v>
      </c>
      <c r="F16" s="40" t="str">
        <f>'01_인적정보'!H16</f>
        <v>G5-S</v>
      </c>
      <c r="G16" s="28" t="s">
        <v>134</v>
      </c>
      <c r="H16" s="28" t="s">
        <v>134</v>
      </c>
      <c r="I16" s="28" t="s">
        <v>134</v>
      </c>
      <c r="J16" s="28" t="s">
        <v>133</v>
      </c>
      <c r="K16" s="28" t="s">
        <v>134</v>
      </c>
      <c r="L16" s="28" t="s">
        <v>133</v>
      </c>
      <c r="M16" s="10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24" customHeight="1">
      <c r="A17" s="4">
        <f>'01_인적정보'!A17</f>
        <v>12</v>
      </c>
      <c r="B17" s="4" t="str">
        <f>'01_인적정보'!B17</f>
        <v>BSS-012</v>
      </c>
      <c r="C17" s="13" t="str">
        <f>'01_인적정보'!C17</f>
        <v>OOO</v>
      </c>
      <c r="D17" s="13" t="str">
        <f>'01_인적정보'!D17</f>
        <v>경영관리</v>
      </c>
      <c r="E17" s="13" t="str">
        <f>'01_인적정보'!E17</f>
        <v>경영전략기획</v>
      </c>
      <c r="F17" s="40" t="str">
        <f>'01_인적정보'!H17</f>
        <v>G5-M</v>
      </c>
      <c r="G17" s="28" t="s">
        <v>134</v>
      </c>
      <c r="H17" s="28" t="s">
        <v>134</v>
      </c>
      <c r="I17" s="28" t="s">
        <v>135</v>
      </c>
      <c r="J17" s="28" t="s">
        <v>134</v>
      </c>
      <c r="K17" s="28" t="s">
        <v>135</v>
      </c>
      <c r="L17" s="28" t="s">
        <v>134</v>
      </c>
      <c r="M17" s="1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24" customHeight="1">
      <c r="A18" s="4">
        <f>'01_인적정보'!A18</f>
        <v>13</v>
      </c>
      <c r="B18" s="4" t="str">
        <f>'01_인적정보'!B18</f>
        <v>BSS-013</v>
      </c>
      <c r="C18" s="13" t="str">
        <f>'01_인적정보'!C18</f>
        <v>OOO</v>
      </c>
      <c r="D18" s="13" t="str">
        <f>'01_인적정보'!D18</f>
        <v>설계</v>
      </c>
      <c r="E18" s="13" t="str">
        <f>'01_인적정보'!E18</f>
        <v>BIM컨설팅</v>
      </c>
      <c r="F18" s="40" t="str">
        <f>'01_인적정보'!H18</f>
        <v>G5-S</v>
      </c>
      <c r="G18" s="28" t="s">
        <v>131</v>
      </c>
      <c r="H18" s="28" t="s">
        <v>131</v>
      </c>
      <c r="I18" s="28" t="s">
        <v>131</v>
      </c>
      <c r="J18" s="28" t="s">
        <v>131</v>
      </c>
      <c r="K18" s="28" t="s">
        <v>131</v>
      </c>
      <c r="L18" s="28" t="s">
        <v>131</v>
      </c>
      <c r="M18" s="1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24" customHeight="1">
      <c r="A19" s="4">
        <f>'01_인적정보'!A19</f>
        <v>14</v>
      </c>
      <c r="B19" s="4" t="str">
        <f>'01_인적정보'!B19</f>
        <v>BSS-014</v>
      </c>
      <c r="C19" s="13" t="str">
        <f>'01_인적정보'!C19</f>
        <v>OOO</v>
      </c>
      <c r="D19" s="13" t="str">
        <f>'01_인적정보'!D19</f>
        <v>설계</v>
      </c>
      <c r="E19" s="13" t="str">
        <f>'01_인적정보'!E19</f>
        <v>BIM컨설팅</v>
      </c>
      <c r="F19" s="40" t="str">
        <f>'01_인적정보'!H19</f>
        <v>G5-S</v>
      </c>
      <c r="G19" s="28" t="s">
        <v>133</v>
      </c>
      <c r="H19" s="28" t="s">
        <v>134</v>
      </c>
      <c r="I19" s="28" t="s">
        <v>133</v>
      </c>
      <c r="J19" s="28" t="s">
        <v>133</v>
      </c>
      <c r="K19" s="28" t="s">
        <v>134</v>
      </c>
      <c r="L19" s="28" t="s">
        <v>133</v>
      </c>
      <c r="M19" s="1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24" customHeight="1">
      <c r="A20" s="4">
        <f>'01_인적정보'!A20</f>
        <v>15</v>
      </c>
      <c r="B20" s="4" t="str">
        <f>'01_인적정보'!B20</f>
        <v>BSS-015</v>
      </c>
      <c r="C20" s="13" t="str">
        <f>'01_인적정보'!C20</f>
        <v>OOO</v>
      </c>
      <c r="D20" s="13" t="str">
        <f>'01_인적정보'!D20</f>
        <v>설계</v>
      </c>
      <c r="E20" s="13" t="str">
        <f>'01_인적정보'!E20</f>
        <v>BIM컨설팅</v>
      </c>
      <c r="F20" s="40" t="str">
        <f>'01_인적정보'!H20</f>
        <v>G5-S</v>
      </c>
      <c r="G20" s="28" t="s">
        <v>132</v>
      </c>
      <c r="H20" s="28" t="s">
        <v>134</v>
      </c>
      <c r="I20" s="28" t="s">
        <v>133</v>
      </c>
      <c r="J20" s="28" t="s">
        <v>134</v>
      </c>
      <c r="K20" s="28" t="s">
        <v>133</v>
      </c>
      <c r="L20" s="28" t="s">
        <v>135</v>
      </c>
      <c r="M20" s="1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24" customHeight="1">
      <c r="A21" s="4">
        <f>'01_인적정보'!A21</f>
        <v>16</v>
      </c>
      <c r="B21" s="4" t="str">
        <f>'01_인적정보'!B21</f>
        <v>BSS-016</v>
      </c>
      <c r="C21" s="13" t="str">
        <f>'01_인적정보'!C21</f>
        <v>OOO</v>
      </c>
      <c r="D21" s="13" t="str">
        <f>'01_인적정보'!D21</f>
        <v>설계</v>
      </c>
      <c r="E21" s="13" t="str">
        <f>'01_인적정보'!E21</f>
        <v>BIM컨설팅</v>
      </c>
      <c r="F21" s="40" t="str">
        <f>'01_인적정보'!H21</f>
        <v>G5-S</v>
      </c>
      <c r="G21" s="28" t="s">
        <v>132</v>
      </c>
      <c r="H21" s="28" t="s">
        <v>133</v>
      </c>
      <c r="I21" s="28" t="s">
        <v>133</v>
      </c>
      <c r="J21" s="28" t="s">
        <v>133</v>
      </c>
      <c r="K21" s="28" t="s">
        <v>133</v>
      </c>
      <c r="L21" s="28" t="s">
        <v>133</v>
      </c>
      <c r="M21" s="1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24" customHeight="1">
      <c r="A22" s="4">
        <f>'01_인적정보'!A22</f>
        <v>17</v>
      </c>
      <c r="B22" s="4" t="str">
        <f>'01_인적정보'!B22</f>
        <v>BSS-017</v>
      </c>
      <c r="C22" s="13" t="str">
        <f>'01_인적정보'!C22</f>
        <v>OOO</v>
      </c>
      <c r="D22" s="13" t="str">
        <f>'01_인적정보'!D22</f>
        <v>교육 및 기술지원</v>
      </c>
      <c r="E22" s="13" t="str">
        <f>'01_인적정보'!E22</f>
        <v>교육</v>
      </c>
      <c r="F22" s="40" t="str">
        <f>'01_인적정보'!H22</f>
        <v>G4</v>
      </c>
      <c r="G22" s="28" t="s">
        <v>134</v>
      </c>
      <c r="H22" s="28" t="s">
        <v>133</v>
      </c>
      <c r="I22" s="28" t="s">
        <v>133</v>
      </c>
      <c r="J22" s="28" t="s">
        <v>133</v>
      </c>
      <c r="K22" s="28" t="s">
        <v>133</v>
      </c>
      <c r="L22" s="28" t="s">
        <v>133</v>
      </c>
      <c r="M22" s="1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4" customHeight="1">
      <c r="A23" s="4">
        <f>'01_인적정보'!A23</f>
        <v>18</v>
      </c>
      <c r="B23" s="4" t="str">
        <f>'01_인적정보'!B23</f>
        <v>BSS-018</v>
      </c>
      <c r="C23" s="13" t="str">
        <f>'01_인적정보'!C23</f>
        <v>OOO</v>
      </c>
      <c r="D23" s="13" t="str">
        <f>'01_인적정보'!D23</f>
        <v>설계</v>
      </c>
      <c r="E23" s="13" t="str">
        <f>'01_인적정보'!E23</f>
        <v>BIM컨설팅</v>
      </c>
      <c r="F23" s="40" t="str">
        <f>'01_인적정보'!H23</f>
        <v>G4</v>
      </c>
      <c r="G23" s="28" t="s">
        <v>133</v>
      </c>
      <c r="H23" s="28" t="s">
        <v>133</v>
      </c>
      <c r="I23" s="28" t="s">
        <v>132</v>
      </c>
      <c r="J23" s="28" t="s">
        <v>133</v>
      </c>
      <c r="K23" s="28" t="s">
        <v>132</v>
      </c>
      <c r="L23" s="28" t="s">
        <v>131</v>
      </c>
      <c r="M23" s="1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24" customHeight="1">
      <c r="A24" s="4">
        <f>'01_인적정보'!A24</f>
        <v>19</v>
      </c>
      <c r="B24" s="4" t="str">
        <f>'01_인적정보'!B24</f>
        <v>BSS-019</v>
      </c>
      <c r="C24" s="13" t="str">
        <f>'01_인적정보'!C24</f>
        <v>OOO</v>
      </c>
      <c r="D24" s="13" t="str">
        <f>'01_인적정보'!D24</f>
        <v>설계</v>
      </c>
      <c r="E24" s="13" t="str">
        <f>'01_인적정보'!E24</f>
        <v>BIM컨설팅</v>
      </c>
      <c r="F24" s="40" t="str">
        <f>'01_인적정보'!H24</f>
        <v>G3</v>
      </c>
      <c r="G24" s="28" t="s">
        <v>133</v>
      </c>
      <c r="H24" s="28" t="s">
        <v>133</v>
      </c>
      <c r="I24" s="28" t="s">
        <v>133</v>
      </c>
      <c r="J24" s="28" t="s">
        <v>134</v>
      </c>
      <c r="K24" s="28" t="s">
        <v>133</v>
      </c>
      <c r="L24" s="28" t="s">
        <v>133</v>
      </c>
      <c r="M24" s="1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4" customHeight="1">
      <c r="A25" s="4">
        <f>'01_인적정보'!A25</f>
        <v>20</v>
      </c>
      <c r="B25" s="4" t="str">
        <f>'01_인적정보'!B25</f>
        <v>BSS-020</v>
      </c>
      <c r="C25" s="13" t="str">
        <f>'01_인적정보'!C25</f>
        <v>OOO</v>
      </c>
      <c r="D25" s="13" t="str">
        <f>'01_인적정보'!D25</f>
        <v>교육 및 기술지원</v>
      </c>
      <c r="E25" s="13" t="str">
        <f>'01_인적정보'!E25</f>
        <v>기술지원</v>
      </c>
      <c r="F25" s="40" t="str">
        <f>'01_인적정보'!H25</f>
        <v>G3</v>
      </c>
      <c r="G25" s="28" t="s">
        <v>133</v>
      </c>
      <c r="H25" s="28" t="s">
        <v>133</v>
      </c>
      <c r="I25" s="28" t="s">
        <v>133</v>
      </c>
      <c r="J25" s="28" t="s">
        <v>133</v>
      </c>
      <c r="K25" s="28" t="s">
        <v>133</v>
      </c>
      <c r="L25" s="28" t="s">
        <v>133</v>
      </c>
      <c r="M25" s="1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24" customHeight="1">
      <c r="A26" s="4">
        <f>'01_인적정보'!A26</f>
        <v>21</v>
      </c>
      <c r="B26" s="4" t="str">
        <f>'01_인적정보'!B26</f>
        <v>BSS-021</v>
      </c>
      <c r="C26" s="13" t="str">
        <f>'01_인적정보'!C26</f>
        <v>OOO</v>
      </c>
      <c r="D26" s="13" t="str">
        <f>'01_인적정보'!D26</f>
        <v>설계</v>
      </c>
      <c r="E26" s="13" t="str">
        <f>'01_인적정보'!E26</f>
        <v>BIM컨설팅</v>
      </c>
      <c r="F26" s="40" t="str">
        <f>'01_인적정보'!H26</f>
        <v>G2</v>
      </c>
      <c r="G26" s="28" t="s">
        <v>134</v>
      </c>
      <c r="H26" s="28" t="s">
        <v>133</v>
      </c>
      <c r="I26" s="28" t="s">
        <v>133</v>
      </c>
      <c r="J26" s="28" t="s">
        <v>134</v>
      </c>
      <c r="K26" s="28" t="s">
        <v>134</v>
      </c>
      <c r="L26" s="28" t="s">
        <v>134</v>
      </c>
      <c r="M26" s="1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24" customHeight="1">
      <c r="A27" s="4">
        <f>'01_인적정보'!A27</f>
        <v>22</v>
      </c>
      <c r="B27" s="4" t="str">
        <f>'01_인적정보'!B27</f>
        <v>BSS-022</v>
      </c>
      <c r="C27" s="13" t="str">
        <f>'01_인적정보'!C27</f>
        <v>OOO</v>
      </c>
      <c r="D27" s="13" t="str">
        <f>'01_인적정보'!D27</f>
        <v>설계</v>
      </c>
      <c r="E27" s="13" t="str">
        <f>'01_인적정보'!E27</f>
        <v>BIM컨설팅</v>
      </c>
      <c r="F27" s="40" t="str">
        <f>'01_인적정보'!H27</f>
        <v>G2</v>
      </c>
      <c r="G27" s="28" t="s">
        <v>133</v>
      </c>
      <c r="H27" s="28" t="s">
        <v>133</v>
      </c>
      <c r="I27" s="28" t="s">
        <v>133</v>
      </c>
      <c r="J27" s="28" t="s">
        <v>132</v>
      </c>
      <c r="K27" s="28" t="s">
        <v>133</v>
      </c>
      <c r="L27" s="28" t="s">
        <v>132</v>
      </c>
      <c r="M27" s="1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24" customHeight="1">
      <c r="A28" s="4">
        <f>'01_인적정보'!A28</f>
        <v>23</v>
      </c>
      <c r="B28" s="4" t="str">
        <f>'01_인적정보'!B28</f>
        <v>BSS-023</v>
      </c>
      <c r="C28" s="13" t="str">
        <f>'01_인적정보'!C28</f>
        <v>OOO</v>
      </c>
      <c r="D28" s="13" t="str">
        <f>'01_인적정보'!D28</f>
        <v>설계</v>
      </c>
      <c r="E28" s="13" t="str">
        <f>'01_인적정보'!E28</f>
        <v>BIM컨설팅</v>
      </c>
      <c r="F28" s="40" t="str">
        <f>'01_인적정보'!H28</f>
        <v>G2</v>
      </c>
      <c r="G28" s="28" t="s">
        <v>133</v>
      </c>
      <c r="H28" s="28" t="s">
        <v>133</v>
      </c>
      <c r="I28" s="28" t="s">
        <v>132</v>
      </c>
      <c r="J28" s="28" t="s">
        <v>132</v>
      </c>
      <c r="K28" s="28" t="s">
        <v>132</v>
      </c>
      <c r="L28" s="28" t="s">
        <v>133</v>
      </c>
      <c r="M28" s="1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24" customHeight="1">
      <c r="A29" s="4">
        <f>'01_인적정보'!A29</f>
        <v>24</v>
      </c>
      <c r="B29" s="4" t="str">
        <f>'01_인적정보'!B29</f>
        <v>BSS-024</v>
      </c>
      <c r="C29" s="13" t="str">
        <f>'01_인적정보'!C29</f>
        <v>OOO</v>
      </c>
      <c r="D29" s="13" t="str">
        <f>'01_인적정보'!D29</f>
        <v>설계</v>
      </c>
      <c r="E29" s="13" t="str">
        <f>'01_인적정보'!E29</f>
        <v>BIM컨설팅</v>
      </c>
      <c r="F29" s="40" t="str">
        <f>'01_인적정보'!H29</f>
        <v>G2</v>
      </c>
      <c r="G29" s="28" t="s">
        <v>133</v>
      </c>
      <c r="H29" s="28" t="s">
        <v>133</v>
      </c>
      <c r="I29" s="28" t="s">
        <v>132</v>
      </c>
      <c r="J29" s="28" t="s">
        <v>131</v>
      </c>
      <c r="K29" s="28" t="s">
        <v>132</v>
      </c>
      <c r="L29" s="28" t="s">
        <v>133</v>
      </c>
      <c r="M29" s="1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24" customHeight="1">
      <c r="A30" s="4">
        <f>'01_인적정보'!A30</f>
        <v>25</v>
      </c>
      <c r="B30" s="4" t="str">
        <f>'01_인적정보'!B30</f>
        <v>BSS-025</v>
      </c>
      <c r="C30" s="13" t="str">
        <f>'01_인적정보'!C30</f>
        <v>OOO</v>
      </c>
      <c r="D30" s="13" t="str">
        <f>'01_인적정보'!D30</f>
        <v>연구&amp;개발</v>
      </c>
      <c r="E30" s="13" t="str">
        <f>'01_인적정보'!E30</f>
        <v>연구개발(R&amp;D)</v>
      </c>
      <c r="F30" s="40" t="str">
        <f>'01_인적정보'!H30</f>
        <v>G2</v>
      </c>
      <c r="G30" s="28" t="s">
        <v>135</v>
      </c>
      <c r="H30" s="28" t="s">
        <v>135</v>
      </c>
      <c r="I30" s="28" t="s">
        <v>134</v>
      </c>
      <c r="J30" s="28" t="s">
        <v>134</v>
      </c>
      <c r="K30" s="28" t="s">
        <v>134</v>
      </c>
      <c r="L30" s="28" t="s">
        <v>134</v>
      </c>
      <c r="M30" s="1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24" customHeight="1">
      <c r="A31" s="4">
        <f>'01_인적정보'!A31</f>
        <v>26</v>
      </c>
      <c r="B31" s="4" t="str">
        <f>'01_인적정보'!B31</f>
        <v>BSS-026</v>
      </c>
      <c r="C31" s="13" t="str">
        <f>'01_인적정보'!C31</f>
        <v>OOO</v>
      </c>
      <c r="D31" s="13" t="str">
        <f>'01_인적정보'!D31</f>
        <v>경영관리</v>
      </c>
      <c r="E31" s="13" t="str">
        <f>'01_인적정보'!E31</f>
        <v>경영전략기획</v>
      </c>
      <c r="F31" s="40" t="str">
        <f>'01_인적정보'!H31</f>
        <v>G1</v>
      </c>
      <c r="G31" s="28" t="s">
        <v>133</v>
      </c>
      <c r="H31" s="28" t="s">
        <v>133</v>
      </c>
      <c r="I31" s="28" t="s">
        <v>132</v>
      </c>
      <c r="J31" s="28" t="s">
        <v>132</v>
      </c>
      <c r="K31" s="28" t="s">
        <v>133</v>
      </c>
      <c r="L31" s="28" t="s">
        <v>133</v>
      </c>
      <c r="M31" s="1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24" customHeight="1">
      <c r="A32" s="4">
        <f>'01_인적정보'!A32</f>
        <v>27</v>
      </c>
      <c r="B32" s="4" t="str">
        <f>'01_인적정보'!B32</f>
        <v>BSS-027</v>
      </c>
      <c r="C32" s="13" t="str">
        <f>'01_인적정보'!C32</f>
        <v>OOO</v>
      </c>
      <c r="D32" s="13" t="str">
        <f>'01_인적정보'!D32</f>
        <v>교육 및 기술지원</v>
      </c>
      <c r="E32" s="13" t="str">
        <f>'01_인적정보'!E32</f>
        <v>교육</v>
      </c>
      <c r="F32" s="40" t="str">
        <f>'01_인적정보'!H32</f>
        <v>G2</v>
      </c>
      <c r="G32" s="28" t="s">
        <v>132</v>
      </c>
      <c r="H32" s="28" t="s">
        <v>132</v>
      </c>
      <c r="I32" s="28" t="s">
        <v>132</v>
      </c>
      <c r="J32" s="28" t="s">
        <v>132</v>
      </c>
      <c r="K32" s="28" t="s">
        <v>132</v>
      </c>
      <c r="L32" s="28" t="s">
        <v>132</v>
      </c>
      <c r="M32" s="1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24" customHeight="1">
      <c r="A33" s="4">
        <f>'01_인적정보'!A33</f>
        <v>28</v>
      </c>
      <c r="B33" s="4" t="str">
        <f>'01_인적정보'!B33</f>
        <v>BSS-028</v>
      </c>
      <c r="C33" s="13" t="str">
        <f>'01_인적정보'!C33</f>
        <v>OOO</v>
      </c>
      <c r="D33" s="13" t="str">
        <f>'01_인적정보'!D33</f>
        <v>설계</v>
      </c>
      <c r="E33" s="13" t="str">
        <f>'01_인적정보'!E33</f>
        <v>BIM컨설팅</v>
      </c>
      <c r="F33" s="40" t="str">
        <f>'01_인적정보'!H33</f>
        <v>G1</v>
      </c>
      <c r="G33" s="28" t="s">
        <v>132</v>
      </c>
      <c r="H33" s="28" t="s">
        <v>132</v>
      </c>
      <c r="I33" s="28" t="s">
        <v>132</v>
      </c>
      <c r="J33" s="28" t="s">
        <v>132</v>
      </c>
      <c r="K33" s="28" t="s">
        <v>131</v>
      </c>
      <c r="L33" s="28" t="s">
        <v>131</v>
      </c>
      <c r="M33" s="1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24" customHeight="1">
      <c r="A34" s="4">
        <f>'01_인적정보'!A34</f>
        <v>29</v>
      </c>
      <c r="B34" s="4" t="str">
        <f>'01_인적정보'!B34</f>
        <v>BSS-029</v>
      </c>
      <c r="C34" s="13" t="str">
        <f>'01_인적정보'!C34</f>
        <v>OOO</v>
      </c>
      <c r="D34" s="13" t="str">
        <f>'01_인적정보'!D34</f>
        <v>설계</v>
      </c>
      <c r="E34" s="13" t="str">
        <f>'01_인적정보'!E34</f>
        <v>BIM컨설팅</v>
      </c>
      <c r="F34" s="40" t="str">
        <f>'01_인적정보'!H34</f>
        <v>G1</v>
      </c>
      <c r="G34" s="28" t="s">
        <v>133</v>
      </c>
      <c r="H34" s="28" t="s">
        <v>133</v>
      </c>
      <c r="I34" s="28" t="s">
        <v>133</v>
      </c>
      <c r="J34" s="28" t="s">
        <v>133</v>
      </c>
      <c r="K34" s="28" t="s">
        <v>133</v>
      </c>
      <c r="L34" s="28" t="s">
        <v>133</v>
      </c>
      <c r="M34" s="1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24" customHeight="1">
      <c r="A35" s="4">
        <f>'01_인적정보'!A35</f>
        <v>30</v>
      </c>
      <c r="B35" s="4" t="str">
        <f>'01_인적정보'!B35</f>
        <v>BSS-030</v>
      </c>
      <c r="C35" s="13" t="str">
        <f>'01_인적정보'!C35</f>
        <v>OOO</v>
      </c>
      <c r="D35" s="13" t="str">
        <f>'01_인적정보'!D35</f>
        <v>설계</v>
      </c>
      <c r="E35" s="13" t="str">
        <f>'01_인적정보'!E35</f>
        <v>BIM컨설팅</v>
      </c>
      <c r="F35" s="40" t="str">
        <f>'01_인적정보'!H35</f>
        <v>G1</v>
      </c>
      <c r="G35" s="28" t="s">
        <v>133</v>
      </c>
      <c r="H35" s="28" t="s">
        <v>132</v>
      </c>
      <c r="I35" s="28" t="s">
        <v>133</v>
      </c>
      <c r="J35" s="28" t="s">
        <v>133</v>
      </c>
      <c r="K35" s="28" t="s">
        <v>133</v>
      </c>
      <c r="L35" s="28" t="s">
        <v>133</v>
      </c>
      <c r="M35" s="1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24" customHeight="1">
      <c r="A36" s="4">
        <f>'01_인적정보'!A36</f>
        <v>31</v>
      </c>
      <c r="B36" s="4" t="str">
        <f>'01_인적정보'!B36</f>
        <v>BSS-031</v>
      </c>
      <c r="C36" s="13" t="str">
        <f>'01_인적정보'!C36</f>
        <v>OOO</v>
      </c>
      <c r="D36" s="13" t="str">
        <f>'01_인적정보'!D36</f>
        <v>설계</v>
      </c>
      <c r="E36" s="13" t="str">
        <f>'01_인적정보'!E36</f>
        <v>BIM컨설팅</v>
      </c>
      <c r="F36" s="40" t="str">
        <f>'01_인적정보'!H36</f>
        <v>G1</v>
      </c>
      <c r="G36" s="28" t="s">
        <v>132</v>
      </c>
      <c r="H36" s="28" t="s">
        <v>133</v>
      </c>
      <c r="I36" s="28" t="s">
        <v>132</v>
      </c>
      <c r="J36" s="28" t="s">
        <v>132</v>
      </c>
      <c r="K36" s="28" t="s">
        <v>132</v>
      </c>
      <c r="L36" s="28" t="s">
        <v>133</v>
      </c>
      <c r="M36" s="1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24" customHeight="1">
      <c r="A37" s="4">
        <f>'01_인적정보'!A37</f>
        <v>32</v>
      </c>
      <c r="B37" s="4" t="str">
        <f>'01_인적정보'!B37</f>
        <v>BSS-032</v>
      </c>
      <c r="C37" s="13" t="str">
        <f>'01_인적정보'!C37</f>
        <v>OOO</v>
      </c>
      <c r="D37" s="13" t="str">
        <f>'01_인적정보'!D37</f>
        <v>설계</v>
      </c>
      <c r="E37" s="13" t="str">
        <f>'01_인적정보'!E37</f>
        <v>BIM컨설팅</v>
      </c>
      <c r="F37" s="40" t="str">
        <f>'01_인적정보'!H37</f>
        <v>G1</v>
      </c>
      <c r="G37" s="28" t="s">
        <v>133</v>
      </c>
      <c r="H37" s="28" t="s">
        <v>132</v>
      </c>
      <c r="I37" s="28" t="s">
        <v>133</v>
      </c>
      <c r="J37" s="28" t="s">
        <v>132</v>
      </c>
      <c r="K37" s="28" t="s">
        <v>132</v>
      </c>
      <c r="L37" s="28" t="s">
        <v>132</v>
      </c>
      <c r="M37" s="1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24" customHeight="1">
      <c r="A38" s="4">
        <f>'01_인적정보'!A38</f>
        <v>33</v>
      </c>
      <c r="B38" s="4" t="str">
        <f>'01_인적정보'!B38</f>
        <v>BSS-033</v>
      </c>
      <c r="C38" s="13" t="str">
        <f>'01_인적정보'!C38</f>
        <v>OOO</v>
      </c>
      <c r="D38" s="13" t="str">
        <f>'01_인적정보'!D38</f>
        <v>설계</v>
      </c>
      <c r="E38" s="13" t="str">
        <f>'01_인적정보'!E38</f>
        <v>BIM컨설팅</v>
      </c>
      <c r="F38" s="40" t="str">
        <f>'01_인적정보'!H38</f>
        <v>G1</v>
      </c>
      <c r="G38" s="28" t="s">
        <v>133</v>
      </c>
      <c r="H38" s="28" t="s">
        <v>133</v>
      </c>
      <c r="I38" s="28" t="s">
        <v>133</v>
      </c>
      <c r="J38" s="28" t="s">
        <v>133</v>
      </c>
      <c r="K38" s="28" t="s">
        <v>133</v>
      </c>
      <c r="L38" s="28" t="s">
        <v>133</v>
      </c>
      <c r="M38" s="1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24" customHeight="1">
      <c r="A39" s="4">
        <f>'01_인적정보'!A39</f>
        <v>34</v>
      </c>
      <c r="B39" s="4" t="str">
        <f>'01_인적정보'!B39</f>
        <v>BSS-034</v>
      </c>
      <c r="C39" s="13" t="str">
        <f>'01_인적정보'!C39</f>
        <v>OOO</v>
      </c>
      <c r="D39" s="13" t="str">
        <f>'01_인적정보'!D39</f>
        <v>설계</v>
      </c>
      <c r="E39" s="13" t="str">
        <f>'01_인적정보'!E39</f>
        <v>BIM컨설팅</v>
      </c>
      <c r="F39" s="40" t="str">
        <f>'01_인적정보'!H39</f>
        <v>G1</v>
      </c>
      <c r="G39" s="28" t="s">
        <v>131</v>
      </c>
      <c r="H39" s="28" t="s">
        <v>131</v>
      </c>
      <c r="I39" s="28" t="s">
        <v>131</v>
      </c>
      <c r="J39" s="28" t="s">
        <v>132</v>
      </c>
      <c r="K39" s="28" t="s">
        <v>131</v>
      </c>
      <c r="L39" s="28" t="s">
        <v>131</v>
      </c>
      <c r="M39" s="1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</sheetData>
  <mergeCells count="6">
    <mergeCell ref="A1:M1"/>
    <mergeCell ref="A2:M2"/>
    <mergeCell ref="A4:F4"/>
    <mergeCell ref="G4:H4"/>
    <mergeCell ref="I4:J4"/>
    <mergeCell ref="K4:L4"/>
  </mergeCells>
  <phoneticPr fontId="28" type="noConversion"/>
  <conditionalFormatting sqref="G6:Z39">
    <cfRule type="cellIs" dxfId="51" priority="2" operator="equal">
      <formula>"S"</formula>
    </cfRule>
    <cfRule type="cellIs" dxfId="50" priority="3" operator="equal">
      <formula>"A"</formula>
    </cfRule>
    <cfRule type="cellIs" dxfId="49" priority="4" operator="equal">
      <formula>"C"</formula>
    </cfRule>
    <cfRule type="cellIs" dxfId="48" priority="5" operator="equal">
      <formula>"D"</formula>
    </cfRule>
  </conditionalFormatting>
  <dataValidations count="1">
    <dataValidation type="list" allowBlank="1" sqref="G6:L39" xr:uid="{00000000-0002-0000-0800-000000000000}">
      <formula1>"S,A,B,C,D"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C59"/>
  <sheetViews>
    <sheetView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K21" sqref="K21"/>
    </sheetView>
  </sheetViews>
  <sheetFormatPr defaultColWidth="8.5625" defaultRowHeight="16.899999999999999"/>
  <cols>
    <col min="1" max="1" width="5" customWidth="1"/>
    <col min="2" max="2" width="10" customWidth="1"/>
    <col min="3" max="3" width="9" customWidth="1"/>
    <col min="4" max="12" width="15.5625" customWidth="1"/>
    <col min="13" max="13" width="28" customWidth="1"/>
    <col min="14" max="17" width="10" customWidth="1"/>
    <col min="18" max="22" width="9" customWidth="1"/>
    <col min="23" max="24" width="10" customWidth="1"/>
    <col min="25" max="26" width="9" customWidth="1"/>
    <col min="27" max="27" width="25" customWidth="1"/>
  </cols>
  <sheetData>
    <row r="1" spans="1:29" ht="30" customHeight="1">
      <c r="A1" s="111" t="s">
        <v>403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31.5" customHeight="1">
      <c r="A2" s="110" t="s">
        <v>390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8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21.75" customHeight="1">
      <c r="A4" s="97" t="s">
        <v>391</v>
      </c>
      <c r="B4" s="97"/>
      <c r="C4" s="97"/>
      <c r="D4" s="97"/>
      <c r="E4" s="97"/>
      <c r="F4" s="97"/>
      <c r="G4" s="122" t="s">
        <v>392</v>
      </c>
      <c r="H4" s="122"/>
      <c r="I4" s="95" t="s">
        <v>393</v>
      </c>
      <c r="J4" s="95"/>
      <c r="K4" s="123" t="s">
        <v>394</v>
      </c>
      <c r="L4" s="123"/>
      <c r="M4" s="57" t="s">
        <v>395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30" customHeight="1">
      <c r="A5" s="50" t="s">
        <v>145</v>
      </c>
      <c r="B5" s="51" t="s">
        <v>146</v>
      </c>
      <c r="C5" s="51" t="s">
        <v>147</v>
      </c>
      <c r="D5" s="51" t="s">
        <v>148</v>
      </c>
      <c r="E5" s="51" t="s">
        <v>149</v>
      </c>
      <c r="F5" s="51" t="s">
        <v>152</v>
      </c>
      <c r="G5" s="58" t="s">
        <v>396</v>
      </c>
      <c r="H5" s="58" t="s">
        <v>397</v>
      </c>
      <c r="I5" s="59" t="s">
        <v>398</v>
      </c>
      <c r="J5" s="59" t="s">
        <v>399</v>
      </c>
      <c r="K5" s="60" t="s">
        <v>400</v>
      </c>
      <c r="L5" s="60" t="s">
        <v>401</v>
      </c>
      <c r="M5" s="61" t="s">
        <v>402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4" customHeight="1">
      <c r="A6" s="4">
        <f>'01_인적정보'!A6</f>
        <v>1</v>
      </c>
      <c r="B6" s="4" t="str">
        <f>'01_인적정보'!B6</f>
        <v>BSS-001</v>
      </c>
      <c r="C6" s="13" t="str">
        <f>'01_인적정보'!C6</f>
        <v>OOO</v>
      </c>
      <c r="D6" s="13" t="str">
        <f>'01_인적정보'!D6</f>
        <v>영업</v>
      </c>
      <c r="E6" s="13" t="str">
        <f>'01_인적정보'!E6</f>
        <v>프로젝트영업</v>
      </c>
      <c r="F6" s="40" t="str">
        <f>'01_인적정보'!H6</f>
        <v>G6</v>
      </c>
      <c r="G6" s="28" t="s">
        <v>133</v>
      </c>
      <c r="H6" s="28" t="s">
        <v>133</v>
      </c>
      <c r="I6" s="28" t="s">
        <v>132</v>
      </c>
      <c r="J6" s="28" t="s">
        <v>132</v>
      </c>
      <c r="K6" s="28" t="s">
        <v>132</v>
      </c>
      <c r="L6" s="28" t="s">
        <v>132</v>
      </c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4" customHeight="1">
      <c r="A7" s="4">
        <f>'01_인적정보'!A7</f>
        <v>2</v>
      </c>
      <c r="B7" s="4" t="str">
        <f>'01_인적정보'!B7</f>
        <v>BSS-002</v>
      </c>
      <c r="C7" s="13" t="str">
        <f>'01_인적정보'!C7</f>
        <v>OOO</v>
      </c>
      <c r="D7" s="13" t="str">
        <f>'01_인적정보'!D7</f>
        <v>연구&amp;개발</v>
      </c>
      <c r="E7" s="13" t="str">
        <f>'01_인적정보'!E7</f>
        <v>연구개발(R&amp;D)</v>
      </c>
      <c r="F7" s="40" t="str">
        <f>'01_인적정보'!H7</f>
        <v>G6</v>
      </c>
      <c r="G7" s="28" t="s">
        <v>133</v>
      </c>
      <c r="H7" s="28" t="s">
        <v>134</v>
      </c>
      <c r="I7" s="28" t="s">
        <v>133</v>
      </c>
      <c r="J7" s="28" t="s">
        <v>133</v>
      </c>
      <c r="K7" s="28" t="s">
        <v>133</v>
      </c>
      <c r="L7" s="28" t="s">
        <v>133</v>
      </c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24" customHeight="1">
      <c r="A8" s="4">
        <f>'01_인적정보'!A8</f>
        <v>3</v>
      </c>
      <c r="B8" s="4" t="str">
        <f>'01_인적정보'!B8</f>
        <v>BSS-003</v>
      </c>
      <c r="C8" s="13" t="str">
        <f>'01_인적정보'!C8</f>
        <v>OOO</v>
      </c>
      <c r="D8" s="13" t="str">
        <f>'01_인적정보'!D8</f>
        <v>설계</v>
      </c>
      <c r="E8" s="13" t="str">
        <f>'01_인적정보'!E8</f>
        <v>BIM컨설팅</v>
      </c>
      <c r="F8" s="40" t="str">
        <f>'01_인적정보'!H8</f>
        <v>G6</v>
      </c>
      <c r="G8" s="28" t="s">
        <v>133</v>
      </c>
      <c r="H8" s="28" t="s">
        <v>133</v>
      </c>
      <c r="I8" s="28" t="s">
        <v>133</v>
      </c>
      <c r="J8" s="28" t="s">
        <v>133</v>
      </c>
      <c r="K8" s="28" t="s">
        <v>133</v>
      </c>
      <c r="L8" s="28" t="s">
        <v>133</v>
      </c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24" customHeight="1">
      <c r="A9" s="4">
        <f>'01_인적정보'!A9</f>
        <v>4</v>
      </c>
      <c r="B9" s="4" t="str">
        <f>'01_인적정보'!B9</f>
        <v>BSS-004</v>
      </c>
      <c r="C9" s="13" t="str">
        <f>'01_인적정보'!C9</f>
        <v>OOO</v>
      </c>
      <c r="D9" s="13" t="str">
        <f>'01_인적정보'!D9</f>
        <v>경영관리</v>
      </c>
      <c r="E9" s="13" t="str">
        <f>'01_인적정보'!E9</f>
        <v>경영전략기획</v>
      </c>
      <c r="F9" s="40" t="str">
        <f>'01_인적정보'!H9</f>
        <v>G6</v>
      </c>
      <c r="G9" s="28" t="s">
        <v>132</v>
      </c>
      <c r="H9" s="28" t="s">
        <v>133</v>
      </c>
      <c r="I9" s="28" t="s">
        <v>133</v>
      </c>
      <c r="J9" s="28" t="s">
        <v>133</v>
      </c>
      <c r="K9" s="28" t="s">
        <v>133</v>
      </c>
      <c r="L9" s="28" t="s">
        <v>133</v>
      </c>
      <c r="M9" s="1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4" customHeight="1">
      <c r="A10" s="4">
        <f>'01_인적정보'!A10</f>
        <v>5</v>
      </c>
      <c r="B10" s="4" t="str">
        <f>'01_인적정보'!B10</f>
        <v>BSS-005</v>
      </c>
      <c r="C10" s="13" t="str">
        <f>'01_인적정보'!C10</f>
        <v>OOO</v>
      </c>
      <c r="D10" s="13" t="str">
        <f>'01_인적정보'!D10</f>
        <v>경영관리</v>
      </c>
      <c r="E10" s="13" t="str">
        <f>'01_인적정보'!E10</f>
        <v>경영전략기획</v>
      </c>
      <c r="F10" s="40" t="str">
        <f>'01_인적정보'!H10</f>
        <v>G6</v>
      </c>
      <c r="G10" s="28" t="s">
        <v>133</v>
      </c>
      <c r="H10" s="28" t="s">
        <v>133</v>
      </c>
      <c r="I10" s="28" t="s">
        <v>133</v>
      </c>
      <c r="J10" s="28" t="s">
        <v>132</v>
      </c>
      <c r="K10" s="28" t="s">
        <v>132</v>
      </c>
      <c r="L10" s="28" t="s">
        <v>133</v>
      </c>
      <c r="M10" s="1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24" customHeight="1">
      <c r="A11" s="4">
        <f>'01_인적정보'!A11</f>
        <v>6</v>
      </c>
      <c r="B11" s="4" t="str">
        <f>'01_인적정보'!B11</f>
        <v>BSS-006</v>
      </c>
      <c r="C11" s="13" t="str">
        <f>'01_인적정보'!C11</f>
        <v>OOO</v>
      </c>
      <c r="D11" s="13" t="str">
        <f>'01_인적정보'!D11</f>
        <v>경영관리</v>
      </c>
      <c r="E11" s="13" t="str">
        <f>'01_인적정보'!E11</f>
        <v>경영전략기획</v>
      </c>
      <c r="F11" s="40" t="str">
        <f>'01_인적정보'!H11</f>
        <v>G6</v>
      </c>
      <c r="G11" s="28" t="s">
        <v>134</v>
      </c>
      <c r="H11" s="28" t="s">
        <v>134</v>
      </c>
      <c r="I11" s="28" t="s">
        <v>134</v>
      </c>
      <c r="J11" s="28" t="s">
        <v>134</v>
      </c>
      <c r="K11" s="28" t="s">
        <v>134</v>
      </c>
      <c r="L11" s="28" t="s">
        <v>134</v>
      </c>
      <c r="M11" s="1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24" customHeight="1">
      <c r="A12" s="4">
        <f>'01_인적정보'!A12</f>
        <v>7</v>
      </c>
      <c r="B12" s="4" t="str">
        <f>'01_인적정보'!B12</f>
        <v>BSS-007</v>
      </c>
      <c r="C12" s="13" t="str">
        <f>'01_인적정보'!C12</f>
        <v>OOO</v>
      </c>
      <c r="D12" s="13" t="str">
        <f>'01_인적정보'!D12</f>
        <v>교육 및 기술지원</v>
      </c>
      <c r="E12" s="13" t="str">
        <f>'01_인적정보'!E12</f>
        <v>교육</v>
      </c>
      <c r="F12" s="40" t="str">
        <f>'01_인적정보'!H12</f>
        <v>G5-M</v>
      </c>
      <c r="G12" s="28" t="s">
        <v>133</v>
      </c>
      <c r="H12" s="28" t="s">
        <v>132</v>
      </c>
      <c r="I12" s="28" t="s">
        <v>133</v>
      </c>
      <c r="J12" s="28" t="s">
        <v>133</v>
      </c>
      <c r="K12" s="28" t="s">
        <v>133</v>
      </c>
      <c r="L12" s="28" t="s">
        <v>134</v>
      </c>
      <c r="M12" s="1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24" customHeight="1">
      <c r="A13" s="4">
        <f>'01_인적정보'!A13</f>
        <v>8</v>
      </c>
      <c r="B13" s="4" t="str">
        <f>'01_인적정보'!B13</f>
        <v>BSS-008</v>
      </c>
      <c r="C13" s="13" t="str">
        <f>'01_인적정보'!C13</f>
        <v>OOO</v>
      </c>
      <c r="D13" s="13" t="str">
        <f>'01_인적정보'!D13</f>
        <v>교육 및 기술지원</v>
      </c>
      <c r="E13" s="13" t="str">
        <f>'01_인적정보'!E13</f>
        <v>기술지원</v>
      </c>
      <c r="F13" s="40" t="str">
        <f>'01_인적정보'!H13</f>
        <v>G5-M</v>
      </c>
      <c r="G13" s="28" t="s">
        <v>135</v>
      </c>
      <c r="H13" s="28" t="s">
        <v>134</v>
      </c>
      <c r="I13" s="28" t="s">
        <v>134</v>
      </c>
      <c r="J13" s="28" t="s">
        <v>134</v>
      </c>
      <c r="K13" s="28" t="s">
        <v>134</v>
      </c>
      <c r="L13" s="28" t="s">
        <v>135</v>
      </c>
      <c r="M13" s="1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24" customHeight="1">
      <c r="A14" s="4">
        <f>'01_인적정보'!A14</f>
        <v>9</v>
      </c>
      <c r="B14" s="4" t="str">
        <f>'01_인적정보'!B14</f>
        <v>BSS-009</v>
      </c>
      <c r="C14" s="13" t="str">
        <f>'01_인적정보'!C14</f>
        <v>OOO</v>
      </c>
      <c r="D14" s="13" t="str">
        <f>'01_인적정보'!D14</f>
        <v>설계</v>
      </c>
      <c r="E14" s="13" t="str">
        <f>'01_인적정보'!E14</f>
        <v>BIM컨설팅</v>
      </c>
      <c r="F14" s="40" t="str">
        <f>'01_인적정보'!H14</f>
        <v>G5-M</v>
      </c>
      <c r="G14" s="28" t="s">
        <v>132</v>
      </c>
      <c r="H14" s="28" t="s">
        <v>132</v>
      </c>
      <c r="I14" s="28" t="s">
        <v>132</v>
      </c>
      <c r="J14" s="28" t="s">
        <v>133</v>
      </c>
      <c r="K14" s="28" t="s">
        <v>133</v>
      </c>
      <c r="L14" s="28" t="s">
        <v>132</v>
      </c>
      <c r="M14" s="1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24" customHeight="1">
      <c r="A15" s="4">
        <f>'01_인적정보'!A15</f>
        <v>10</v>
      </c>
      <c r="B15" s="4" t="str">
        <f>'01_인적정보'!B15</f>
        <v>BSS-010</v>
      </c>
      <c r="C15" s="13" t="str">
        <f>'01_인적정보'!C15</f>
        <v>OOO</v>
      </c>
      <c r="D15" s="13" t="str">
        <f>'01_인적정보'!D15</f>
        <v>설계</v>
      </c>
      <c r="E15" s="13" t="str">
        <f>'01_인적정보'!E15</f>
        <v>BIM컨설팅</v>
      </c>
      <c r="F15" s="40" t="str">
        <f>'01_인적정보'!H15</f>
        <v>G5-S</v>
      </c>
      <c r="G15" s="28" t="s">
        <v>132</v>
      </c>
      <c r="H15" s="28" t="s">
        <v>132</v>
      </c>
      <c r="I15" s="28" t="s">
        <v>133</v>
      </c>
      <c r="J15" s="28" t="s">
        <v>132</v>
      </c>
      <c r="K15" s="28" t="s">
        <v>133</v>
      </c>
      <c r="L15" s="28" t="s">
        <v>133</v>
      </c>
      <c r="M15" s="1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24" customHeight="1">
      <c r="A16" s="4">
        <f>'01_인적정보'!A16</f>
        <v>11</v>
      </c>
      <c r="B16" s="4" t="str">
        <f>'01_인적정보'!B16</f>
        <v>BSS-011</v>
      </c>
      <c r="C16" s="13" t="str">
        <f>'01_인적정보'!C16</f>
        <v>OOO</v>
      </c>
      <c r="D16" s="13" t="str">
        <f>'01_인적정보'!D16</f>
        <v>설계</v>
      </c>
      <c r="E16" s="13" t="str">
        <f>'01_인적정보'!E16</f>
        <v>BIM컨설팅</v>
      </c>
      <c r="F16" s="40" t="str">
        <f>'01_인적정보'!H16</f>
        <v>G5-S</v>
      </c>
      <c r="G16" s="28" t="s">
        <v>134</v>
      </c>
      <c r="H16" s="28" t="s">
        <v>133</v>
      </c>
      <c r="I16" s="28" t="s">
        <v>134</v>
      </c>
      <c r="J16" s="28" t="s">
        <v>134</v>
      </c>
      <c r="K16" s="28" t="s">
        <v>134</v>
      </c>
      <c r="L16" s="28" t="s">
        <v>133</v>
      </c>
      <c r="M16" s="10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24" customHeight="1">
      <c r="A17" s="4">
        <f>'01_인적정보'!A17</f>
        <v>12</v>
      </c>
      <c r="B17" s="4" t="str">
        <f>'01_인적정보'!B17</f>
        <v>BSS-012</v>
      </c>
      <c r="C17" s="13" t="str">
        <f>'01_인적정보'!C17</f>
        <v>OOO</v>
      </c>
      <c r="D17" s="13" t="str">
        <f>'01_인적정보'!D17</f>
        <v>경영관리</v>
      </c>
      <c r="E17" s="13" t="str">
        <f>'01_인적정보'!E17</f>
        <v>경영전략기획</v>
      </c>
      <c r="F17" s="40" t="str">
        <f>'01_인적정보'!H17</f>
        <v>G5-M</v>
      </c>
      <c r="G17" s="28" t="s">
        <v>134</v>
      </c>
      <c r="H17" s="28" t="s">
        <v>134</v>
      </c>
      <c r="I17" s="28" t="s">
        <v>135</v>
      </c>
      <c r="J17" s="28" t="s">
        <v>135</v>
      </c>
      <c r="K17" s="28" t="s">
        <v>135</v>
      </c>
      <c r="L17" s="28" t="s">
        <v>134</v>
      </c>
      <c r="M17" s="1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24" customHeight="1">
      <c r="A18" s="4">
        <f>'01_인적정보'!A18</f>
        <v>13</v>
      </c>
      <c r="B18" s="4" t="str">
        <f>'01_인적정보'!B18</f>
        <v>BSS-013</v>
      </c>
      <c r="C18" s="13" t="str">
        <f>'01_인적정보'!C18</f>
        <v>OOO</v>
      </c>
      <c r="D18" s="13" t="str">
        <f>'01_인적정보'!D18</f>
        <v>설계</v>
      </c>
      <c r="E18" s="13" t="str">
        <f>'01_인적정보'!E18</f>
        <v>BIM컨설팅</v>
      </c>
      <c r="F18" s="40" t="str">
        <f>'01_인적정보'!H18</f>
        <v>G5-S</v>
      </c>
      <c r="G18" s="28" t="s">
        <v>131</v>
      </c>
      <c r="H18" s="28" t="s">
        <v>131</v>
      </c>
      <c r="I18" s="28" t="s">
        <v>132</v>
      </c>
      <c r="J18" s="28" t="s">
        <v>132</v>
      </c>
      <c r="K18" s="28" t="s">
        <v>131</v>
      </c>
      <c r="L18" s="28" t="s">
        <v>131</v>
      </c>
      <c r="M18" s="1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24" customHeight="1">
      <c r="A19" s="4">
        <f>'01_인적정보'!A19</f>
        <v>14</v>
      </c>
      <c r="B19" s="4" t="str">
        <f>'01_인적정보'!B19</f>
        <v>BSS-014</v>
      </c>
      <c r="C19" s="13" t="str">
        <f>'01_인적정보'!C19</f>
        <v>OOO</v>
      </c>
      <c r="D19" s="13" t="str">
        <f>'01_인적정보'!D19</f>
        <v>설계</v>
      </c>
      <c r="E19" s="13" t="str">
        <f>'01_인적정보'!E19</f>
        <v>BIM컨설팅</v>
      </c>
      <c r="F19" s="40" t="str">
        <f>'01_인적정보'!H19</f>
        <v>G5-S</v>
      </c>
      <c r="G19" s="28" t="s">
        <v>133</v>
      </c>
      <c r="H19" s="28" t="s">
        <v>133</v>
      </c>
      <c r="I19" s="28" t="s">
        <v>133</v>
      </c>
      <c r="J19" s="28" t="s">
        <v>133</v>
      </c>
      <c r="K19" s="28" t="s">
        <v>133</v>
      </c>
      <c r="L19" s="28" t="s">
        <v>133</v>
      </c>
      <c r="M19" s="1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24" customHeight="1">
      <c r="A20" s="4">
        <f>'01_인적정보'!A20</f>
        <v>15</v>
      </c>
      <c r="B20" s="4" t="str">
        <f>'01_인적정보'!B20</f>
        <v>BSS-015</v>
      </c>
      <c r="C20" s="13" t="str">
        <f>'01_인적정보'!C20</f>
        <v>OOO</v>
      </c>
      <c r="D20" s="13" t="str">
        <f>'01_인적정보'!D20</f>
        <v>설계</v>
      </c>
      <c r="E20" s="13" t="str">
        <f>'01_인적정보'!E20</f>
        <v>BIM컨설팅</v>
      </c>
      <c r="F20" s="40" t="str">
        <f>'01_인적정보'!H20</f>
        <v>G5-S</v>
      </c>
      <c r="G20" s="28" t="s">
        <v>133</v>
      </c>
      <c r="H20" s="28" t="s">
        <v>134</v>
      </c>
      <c r="I20" s="28" t="s">
        <v>133</v>
      </c>
      <c r="J20" s="28" t="s">
        <v>133</v>
      </c>
      <c r="K20" s="28" t="s">
        <v>133</v>
      </c>
      <c r="L20" s="28" t="s">
        <v>133</v>
      </c>
      <c r="M20" s="1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24" customHeight="1">
      <c r="A21" s="4">
        <f>'01_인적정보'!A21</f>
        <v>16</v>
      </c>
      <c r="B21" s="4" t="str">
        <f>'01_인적정보'!B21</f>
        <v>BSS-016</v>
      </c>
      <c r="C21" s="13" t="str">
        <f>'01_인적정보'!C21</f>
        <v>OOO</v>
      </c>
      <c r="D21" s="13" t="str">
        <f>'01_인적정보'!D21</f>
        <v>설계</v>
      </c>
      <c r="E21" s="13" t="str">
        <f>'01_인적정보'!E21</f>
        <v>BIM컨설팅</v>
      </c>
      <c r="F21" s="40" t="str">
        <f>'01_인적정보'!H21</f>
        <v>G5-S</v>
      </c>
      <c r="G21" s="28" t="s">
        <v>132</v>
      </c>
      <c r="H21" s="28" t="s">
        <v>133</v>
      </c>
      <c r="I21" s="28" t="s">
        <v>133</v>
      </c>
      <c r="J21" s="28" t="s">
        <v>133</v>
      </c>
      <c r="K21" s="28" t="s">
        <v>133</v>
      </c>
      <c r="L21" s="28" t="s">
        <v>133</v>
      </c>
      <c r="M21" s="1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24" customHeight="1">
      <c r="A22" s="4">
        <f>'01_인적정보'!A22</f>
        <v>17</v>
      </c>
      <c r="B22" s="4" t="str">
        <f>'01_인적정보'!B22</f>
        <v>BSS-017</v>
      </c>
      <c r="C22" s="13" t="str">
        <f>'01_인적정보'!C22</f>
        <v>OOO</v>
      </c>
      <c r="D22" s="13" t="str">
        <f>'01_인적정보'!D22</f>
        <v>교육 및 기술지원</v>
      </c>
      <c r="E22" s="13" t="str">
        <f>'01_인적정보'!E22</f>
        <v>교육</v>
      </c>
      <c r="F22" s="40" t="str">
        <f>'01_인적정보'!H22</f>
        <v>G4</v>
      </c>
      <c r="G22" s="28" t="s">
        <v>133</v>
      </c>
      <c r="H22" s="28" t="s">
        <v>133</v>
      </c>
      <c r="I22" s="28" t="s">
        <v>134</v>
      </c>
      <c r="J22" s="28" t="s">
        <v>133</v>
      </c>
      <c r="K22" s="28" t="s">
        <v>133</v>
      </c>
      <c r="L22" s="28" t="s">
        <v>133</v>
      </c>
      <c r="M22" s="1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4" customHeight="1">
      <c r="A23" s="4">
        <f>'01_인적정보'!A23</f>
        <v>18</v>
      </c>
      <c r="B23" s="4" t="str">
        <f>'01_인적정보'!B23</f>
        <v>BSS-018</v>
      </c>
      <c r="C23" s="13" t="str">
        <f>'01_인적정보'!C23</f>
        <v>OOO</v>
      </c>
      <c r="D23" s="13" t="str">
        <f>'01_인적정보'!D23</f>
        <v>설계</v>
      </c>
      <c r="E23" s="13" t="str">
        <f>'01_인적정보'!E23</f>
        <v>BIM컨설팅</v>
      </c>
      <c r="F23" s="40" t="str">
        <f>'01_인적정보'!H23</f>
        <v>G4</v>
      </c>
      <c r="G23" s="28" t="s">
        <v>132</v>
      </c>
      <c r="H23" s="28" t="s">
        <v>132</v>
      </c>
      <c r="I23" s="28" t="s">
        <v>132</v>
      </c>
      <c r="J23" s="28" t="s">
        <v>132</v>
      </c>
      <c r="K23" s="28" t="s">
        <v>132</v>
      </c>
      <c r="L23" s="28" t="s">
        <v>133</v>
      </c>
      <c r="M23" s="1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24" customHeight="1">
      <c r="A24" s="4">
        <f>'01_인적정보'!A24</f>
        <v>19</v>
      </c>
      <c r="B24" s="4" t="str">
        <f>'01_인적정보'!B24</f>
        <v>BSS-019</v>
      </c>
      <c r="C24" s="13" t="str">
        <f>'01_인적정보'!C24</f>
        <v>OOO</v>
      </c>
      <c r="D24" s="13" t="str">
        <f>'01_인적정보'!D24</f>
        <v>설계</v>
      </c>
      <c r="E24" s="13" t="str">
        <f>'01_인적정보'!E24</f>
        <v>BIM컨설팅</v>
      </c>
      <c r="F24" s="40" t="str">
        <f>'01_인적정보'!H24</f>
        <v>G3</v>
      </c>
      <c r="G24" s="28" t="s">
        <v>133</v>
      </c>
      <c r="H24" s="28" t="s">
        <v>133</v>
      </c>
      <c r="I24" s="28" t="s">
        <v>133</v>
      </c>
      <c r="J24" s="28" t="s">
        <v>134</v>
      </c>
      <c r="K24" s="28" t="s">
        <v>133</v>
      </c>
      <c r="L24" s="28" t="s">
        <v>133</v>
      </c>
      <c r="M24" s="1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4" customHeight="1">
      <c r="A25" s="4">
        <f>'01_인적정보'!A25</f>
        <v>20</v>
      </c>
      <c r="B25" s="4" t="str">
        <f>'01_인적정보'!B25</f>
        <v>BSS-020</v>
      </c>
      <c r="C25" s="13" t="str">
        <f>'01_인적정보'!C25</f>
        <v>OOO</v>
      </c>
      <c r="D25" s="13" t="str">
        <f>'01_인적정보'!D25</f>
        <v>교육 및 기술지원</v>
      </c>
      <c r="E25" s="13" t="str">
        <f>'01_인적정보'!E25</f>
        <v>기술지원</v>
      </c>
      <c r="F25" s="40" t="str">
        <f>'01_인적정보'!H25</f>
        <v>G3</v>
      </c>
      <c r="G25" s="28" t="s">
        <v>133</v>
      </c>
      <c r="H25" s="28" t="s">
        <v>134</v>
      </c>
      <c r="I25" s="28" t="s">
        <v>134</v>
      </c>
      <c r="J25" s="28" t="s">
        <v>134</v>
      </c>
      <c r="K25" s="28" t="s">
        <v>133</v>
      </c>
      <c r="L25" s="28" t="s">
        <v>133</v>
      </c>
      <c r="M25" s="1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24" customHeight="1">
      <c r="A26" s="4">
        <f>'01_인적정보'!A26</f>
        <v>21</v>
      </c>
      <c r="B26" s="4" t="str">
        <f>'01_인적정보'!B26</f>
        <v>BSS-021</v>
      </c>
      <c r="C26" s="13" t="str">
        <f>'01_인적정보'!C26</f>
        <v>OOO</v>
      </c>
      <c r="D26" s="13" t="str">
        <f>'01_인적정보'!D26</f>
        <v>설계</v>
      </c>
      <c r="E26" s="13" t="str">
        <f>'01_인적정보'!E26</f>
        <v>BIM컨설팅</v>
      </c>
      <c r="F26" s="40" t="str">
        <f>'01_인적정보'!H26</f>
        <v>G2</v>
      </c>
      <c r="G26" s="28" t="s">
        <v>134</v>
      </c>
      <c r="H26" s="28" t="s">
        <v>134</v>
      </c>
      <c r="I26" s="28" t="s">
        <v>134</v>
      </c>
      <c r="J26" s="28" t="s">
        <v>134</v>
      </c>
      <c r="K26" s="28" t="s">
        <v>135</v>
      </c>
      <c r="L26" s="28" t="s">
        <v>135</v>
      </c>
      <c r="M26" s="1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24" customHeight="1">
      <c r="A27" s="4">
        <f>'01_인적정보'!A27</f>
        <v>22</v>
      </c>
      <c r="B27" s="4" t="str">
        <f>'01_인적정보'!B27</f>
        <v>BSS-022</v>
      </c>
      <c r="C27" s="13" t="str">
        <f>'01_인적정보'!C27</f>
        <v>OOO</v>
      </c>
      <c r="D27" s="13" t="str">
        <f>'01_인적정보'!D27</f>
        <v>설계</v>
      </c>
      <c r="E27" s="13" t="str">
        <f>'01_인적정보'!E27</f>
        <v>BIM컨설팅</v>
      </c>
      <c r="F27" s="40" t="str">
        <f>'01_인적정보'!H27</f>
        <v>G2</v>
      </c>
      <c r="G27" s="28" t="s">
        <v>133</v>
      </c>
      <c r="H27" s="28" t="s">
        <v>133</v>
      </c>
      <c r="I27" s="28" t="s">
        <v>132</v>
      </c>
      <c r="J27" s="28" t="s">
        <v>133</v>
      </c>
      <c r="K27" s="28" t="s">
        <v>132</v>
      </c>
      <c r="L27" s="28" t="s">
        <v>133</v>
      </c>
      <c r="M27" s="1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24" customHeight="1">
      <c r="A28" s="4">
        <f>'01_인적정보'!A28</f>
        <v>23</v>
      </c>
      <c r="B28" s="4" t="str">
        <f>'01_인적정보'!B28</f>
        <v>BSS-023</v>
      </c>
      <c r="C28" s="13" t="str">
        <f>'01_인적정보'!C28</f>
        <v>OOO</v>
      </c>
      <c r="D28" s="13" t="str">
        <f>'01_인적정보'!D28</f>
        <v>설계</v>
      </c>
      <c r="E28" s="13" t="str">
        <f>'01_인적정보'!E28</f>
        <v>BIM컨설팅</v>
      </c>
      <c r="F28" s="40" t="str">
        <f>'01_인적정보'!H28</f>
        <v>G2</v>
      </c>
      <c r="G28" s="28" t="s">
        <v>133</v>
      </c>
      <c r="H28" s="28" t="s">
        <v>132</v>
      </c>
      <c r="I28" s="28" t="s">
        <v>132</v>
      </c>
      <c r="J28" s="28" t="s">
        <v>132</v>
      </c>
      <c r="K28" s="28" t="s">
        <v>133</v>
      </c>
      <c r="L28" s="28" t="s">
        <v>132</v>
      </c>
      <c r="M28" s="1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24" customHeight="1">
      <c r="A29" s="4">
        <f>'01_인적정보'!A29</f>
        <v>24</v>
      </c>
      <c r="B29" s="4" t="str">
        <f>'01_인적정보'!B29</f>
        <v>BSS-024</v>
      </c>
      <c r="C29" s="13" t="str">
        <f>'01_인적정보'!C29</f>
        <v>OOO</v>
      </c>
      <c r="D29" s="13" t="str">
        <f>'01_인적정보'!D29</f>
        <v>설계</v>
      </c>
      <c r="E29" s="13" t="str">
        <f>'01_인적정보'!E29</f>
        <v>BIM컨설팅</v>
      </c>
      <c r="F29" s="40" t="str">
        <f>'01_인적정보'!H29</f>
        <v>G2</v>
      </c>
      <c r="G29" s="28" t="s">
        <v>133</v>
      </c>
      <c r="H29" s="28" t="s">
        <v>132</v>
      </c>
      <c r="I29" s="28" t="s">
        <v>132</v>
      </c>
      <c r="J29" s="28" t="s">
        <v>131</v>
      </c>
      <c r="K29" s="28" t="s">
        <v>133</v>
      </c>
      <c r="L29" s="28" t="s">
        <v>132</v>
      </c>
      <c r="M29" s="1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24" customHeight="1">
      <c r="A30" s="4">
        <f>'01_인적정보'!A30</f>
        <v>25</v>
      </c>
      <c r="B30" s="4" t="str">
        <f>'01_인적정보'!B30</f>
        <v>BSS-025</v>
      </c>
      <c r="C30" s="13" t="str">
        <f>'01_인적정보'!C30</f>
        <v>OOO</v>
      </c>
      <c r="D30" s="13" t="str">
        <f>'01_인적정보'!D30</f>
        <v>연구&amp;개발</v>
      </c>
      <c r="E30" s="13" t="str">
        <f>'01_인적정보'!E30</f>
        <v>연구개발(R&amp;D)</v>
      </c>
      <c r="F30" s="40" t="str">
        <f>'01_인적정보'!H30</f>
        <v>G2</v>
      </c>
      <c r="G30" s="28" t="s">
        <v>135</v>
      </c>
      <c r="H30" s="28" t="s">
        <v>134</v>
      </c>
      <c r="I30" s="28" t="s">
        <v>135</v>
      </c>
      <c r="J30" s="28" t="s">
        <v>135</v>
      </c>
      <c r="K30" s="28" t="s">
        <v>135</v>
      </c>
      <c r="L30" s="28" t="s">
        <v>135</v>
      </c>
      <c r="M30" s="1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24" customHeight="1">
      <c r="A31" s="4">
        <f>'01_인적정보'!A31</f>
        <v>26</v>
      </c>
      <c r="B31" s="4" t="str">
        <f>'01_인적정보'!B31</f>
        <v>BSS-026</v>
      </c>
      <c r="C31" s="13" t="str">
        <f>'01_인적정보'!C31</f>
        <v>OOO</v>
      </c>
      <c r="D31" s="13" t="str">
        <f>'01_인적정보'!D31</f>
        <v>경영관리</v>
      </c>
      <c r="E31" s="13" t="str">
        <f>'01_인적정보'!E31</f>
        <v>경영전략기획</v>
      </c>
      <c r="F31" s="40" t="str">
        <f>'01_인적정보'!H31</f>
        <v>G1</v>
      </c>
      <c r="G31" s="28" t="s">
        <v>133</v>
      </c>
      <c r="H31" s="28" t="s">
        <v>133</v>
      </c>
      <c r="I31" s="28" t="s">
        <v>133</v>
      </c>
      <c r="J31" s="28" t="s">
        <v>132</v>
      </c>
      <c r="K31" s="28" t="s">
        <v>133</v>
      </c>
      <c r="L31" s="28" t="s">
        <v>133</v>
      </c>
      <c r="M31" s="1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24" customHeight="1">
      <c r="A32" s="4">
        <f>'01_인적정보'!A32</f>
        <v>27</v>
      </c>
      <c r="B32" s="4" t="str">
        <f>'01_인적정보'!B32</f>
        <v>BSS-027</v>
      </c>
      <c r="C32" s="13" t="str">
        <f>'01_인적정보'!C32</f>
        <v>OOO</v>
      </c>
      <c r="D32" s="13" t="str">
        <f>'01_인적정보'!D32</f>
        <v>교육 및 기술지원</v>
      </c>
      <c r="E32" s="13" t="str">
        <f>'01_인적정보'!E32</f>
        <v>교육</v>
      </c>
      <c r="F32" s="40" t="str">
        <f>'01_인적정보'!H32</f>
        <v>G2</v>
      </c>
      <c r="G32" s="28" t="s">
        <v>132</v>
      </c>
      <c r="H32" s="28" t="s">
        <v>132</v>
      </c>
      <c r="I32" s="28" t="s">
        <v>132</v>
      </c>
      <c r="J32" s="28" t="s">
        <v>132</v>
      </c>
      <c r="K32" s="28" t="s">
        <v>132</v>
      </c>
      <c r="L32" s="28" t="s">
        <v>133</v>
      </c>
      <c r="M32" s="1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24" customHeight="1">
      <c r="A33" s="4">
        <f>'01_인적정보'!A33</f>
        <v>28</v>
      </c>
      <c r="B33" s="4" t="str">
        <f>'01_인적정보'!B33</f>
        <v>BSS-028</v>
      </c>
      <c r="C33" s="13" t="str">
        <f>'01_인적정보'!C33</f>
        <v>OOO</v>
      </c>
      <c r="D33" s="13" t="str">
        <f>'01_인적정보'!D33</f>
        <v>설계</v>
      </c>
      <c r="E33" s="13" t="str">
        <f>'01_인적정보'!E33</f>
        <v>BIM컨설팅</v>
      </c>
      <c r="F33" s="40" t="str">
        <f>'01_인적정보'!H33</f>
        <v>G1</v>
      </c>
      <c r="G33" s="28" t="s">
        <v>133</v>
      </c>
      <c r="H33" s="28" t="s">
        <v>133</v>
      </c>
      <c r="I33" s="28" t="s">
        <v>132</v>
      </c>
      <c r="J33" s="28" t="s">
        <v>132</v>
      </c>
      <c r="K33" s="28" t="s">
        <v>132</v>
      </c>
      <c r="L33" s="28" t="s">
        <v>132</v>
      </c>
      <c r="M33" s="1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24" customHeight="1">
      <c r="A34" s="4">
        <f>'01_인적정보'!A34</f>
        <v>29</v>
      </c>
      <c r="B34" s="4" t="str">
        <f>'01_인적정보'!B34</f>
        <v>BSS-029</v>
      </c>
      <c r="C34" s="13" t="str">
        <f>'01_인적정보'!C34</f>
        <v>OOO</v>
      </c>
      <c r="D34" s="13" t="str">
        <f>'01_인적정보'!D34</f>
        <v>설계</v>
      </c>
      <c r="E34" s="13" t="str">
        <f>'01_인적정보'!E34</f>
        <v>BIM컨설팅</v>
      </c>
      <c r="F34" s="40" t="str">
        <f>'01_인적정보'!H34</f>
        <v>G1</v>
      </c>
      <c r="G34" s="28" t="s">
        <v>132</v>
      </c>
      <c r="H34" s="28" t="s">
        <v>133</v>
      </c>
      <c r="I34" s="28" t="s">
        <v>133</v>
      </c>
      <c r="J34" s="28" t="s">
        <v>133</v>
      </c>
      <c r="K34" s="28" t="s">
        <v>133</v>
      </c>
      <c r="L34" s="28" t="s">
        <v>133</v>
      </c>
      <c r="M34" s="1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24" customHeight="1">
      <c r="A35" s="4">
        <f>'01_인적정보'!A35</f>
        <v>30</v>
      </c>
      <c r="B35" s="4" t="str">
        <f>'01_인적정보'!B35</f>
        <v>BSS-030</v>
      </c>
      <c r="C35" s="13" t="str">
        <f>'01_인적정보'!C35</f>
        <v>OOO</v>
      </c>
      <c r="D35" s="13" t="str">
        <f>'01_인적정보'!D35</f>
        <v>설계</v>
      </c>
      <c r="E35" s="13" t="str">
        <f>'01_인적정보'!E35</f>
        <v>BIM컨설팅</v>
      </c>
      <c r="F35" s="40" t="str">
        <f>'01_인적정보'!H35</f>
        <v>G1</v>
      </c>
      <c r="G35" s="28" t="s">
        <v>133</v>
      </c>
      <c r="H35" s="28" t="s">
        <v>132</v>
      </c>
      <c r="I35" s="28" t="s">
        <v>133</v>
      </c>
      <c r="J35" s="28" t="s">
        <v>132</v>
      </c>
      <c r="K35" s="28" t="s">
        <v>133</v>
      </c>
      <c r="L35" s="28" t="s">
        <v>133</v>
      </c>
      <c r="M35" s="1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24" customHeight="1">
      <c r="A36" s="4">
        <f>'01_인적정보'!A36</f>
        <v>31</v>
      </c>
      <c r="B36" s="4" t="str">
        <f>'01_인적정보'!B36</f>
        <v>BSS-031</v>
      </c>
      <c r="C36" s="13" t="str">
        <f>'01_인적정보'!C36</f>
        <v>OOO</v>
      </c>
      <c r="D36" s="13" t="str">
        <f>'01_인적정보'!D36</f>
        <v>설계</v>
      </c>
      <c r="E36" s="13" t="str">
        <f>'01_인적정보'!E36</f>
        <v>BIM컨설팅</v>
      </c>
      <c r="F36" s="40" t="str">
        <f>'01_인적정보'!H36</f>
        <v>G1</v>
      </c>
      <c r="G36" s="28" t="s">
        <v>132</v>
      </c>
      <c r="H36" s="28" t="s">
        <v>132</v>
      </c>
      <c r="I36" s="28" t="s">
        <v>133</v>
      </c>
      <c r="J36" s="28" t="s">
        <v>133</v>
      </c>
      <c r="K36" s="28" t="s">
        <v>132</v>
      </c>
      <c r="L36" s="28" t="s">
        <v>132</v>
      </c>
      <c r="M36" s="1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24" customHeight="1">
      <c r="A37" s="4">
        <f>'01_인적정보'!A37</f>
        <v>32</v>
      </c>
      <c r="B37" s="4" t="str">
        <f>'01_인적정보'!B37</f>
        <v>BSS-032</v>
      </c>
      <c r="C37" s="13" t="str">
        <f>'01_인적정보'!C37</f>
        <v>OOO</v>
      </c>
      <c r="D37" s="13" t="str">
        <f>'01_인적정보'!D37</f>
        <v>설계</v>
      </c>
      <c r="E37" s="13" t="str">
        <f>'01_인적정보'!E37</f>
        <v>BIM컨설팅</v>
      </c>
      <c r="F37" s="40" t="str">
        <f>'01_인적정보'!H37</f>
        <v>G1</v>
      </c>
      <c r="G37" s="28" t="s">
        <v>132</v>
      </c>
      <c r="H37" s="28" t="s">
        <v>133</v>
      </c>
      <c r="I37" s="28" t="s">
        <v>132</v>
      </c>
      <c r="J37" s="28" t="s">
        <v>132</v>
      </c>
      <c r="K37" s="28" t="s">
        <v>132</v>
      </c>
      <c r="L37" s="28" t="s">
        <v>132</v>
      </c>
      <c r="M37" s="1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24" customHeight="1">
      <c r="A38" s="4">
        <f>'01_인적정보'!A38</f>
        <v>33</v>
      </c>
      <c r="B38" s="4" t="str">
        <f>'01_인적정보'!B38</f>
        <v>BSS-033</v>
      </c>
      <c r="C38" s="13" t="str">
        <f>'01_인적정보'!C38</f>
        <v>OOO</v>
      </c>
      <c r="D38" s="13" t="str">
        <f>'01_인적정보'!D38</f>
        <v>설계</v>
      </c>
      <c r="E38" s="13" t="str">
        <f>'01_인적정보'!E38</f>
        <v>BIM컨설팅</v>
      </c>
      <c r="F38" s="40" t="str">
        <f>'01_인적정보'!H38</f>
        <v>G1</v>
      </c>
      <c r="G38" s="28" t="s">
        <v>133</v>
      </c>
      <c r="H38" s="28" t="s">
        <v>133</v>
      </c>
      <c r="I38" s="28" t="s">
        <v>133</v>
      </c>
      <c r="J38" s="28" t="s">
        <v>133</v>
      </c>
      <c r="K38" s="28" t="s">
        <v>133</v>
      </c>
      <c r="L38" s="28" t="s">
        <v>133</v>
      </c>
      <c r="M38" s="1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24" customHeight="1">
      <c r="A39" s="4">
        <f>'01_인적정보'!A39</f>
        <v>34</v>
      </c>
      <c r="B39" s="4" t="str">
        <f>'01_인적정보'!B39</f>
        <v>BSS-034</v>
      </c>
      <c r="C39" s="13" t="str">
        <f>'01_인적정보'!C39</f>
        <v>OOO</v>
      </c>
      <c r="D39" s="13" t="str">
        <f>'01_인적정보'!D39</f>
        <v>설계</v>
      </c>
      <c r="E39" s="13" t="str">
        <f>'01_인적정보'!E39</f>
        <v>BIM컨설팅</v>
      </c>
      <c r="F39" s="40" t="str">
        <f>'01_인적정보'!H39</f>
        <v>G1</v>
      </c>
      <c r="G39" s="28" t="s">
        <v>132</v>
      </c>
      <c r="H39" s="28" t="s">
        <v>131</v>
      </c>
      <c r="I39" s="28" t="s">
        <v>132</v>
      </c>
      <c r="J39" s="28" t="s">
        <v>131</v>
      </c>
      <c r="K39" s="28" t="s">
        <v>131</v>
      </c>
      <c r="L39" s="28" t="s">
        <v>131</v>
      </c>
      <c r="M39" s="1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</sheetData>
  <mergeCells count="6">
    <mergeCell ref="A1:M1"/>
    <mergeCell ref="A2:M2"/>
    <mergeCell ref="A4:F4"/>
    <mergeCell ref="G4:H4"/>
    <mergeCell ref="I4:J4"/>
    <mergeCell ref="K4:L4"/>
  </mergeCells>
  <phoneticPr fontId="28" type="noConversion"/>
  <conditionalFormatting sqref="G6:Z39">
    <cfRule type="cellIs" dxfId="47" priority="2" operator="equal">
      <formula>"S"</formula>
    </cfRule>
    <cfRule type="cellIs" dxfId="46" priority="3" operator="equal">
      <formula>"A"</formula>
    </cfRule>
    <cfRule type="cellIs" dxfId="45" priority="4" operator="equal">
      <formula>"C"</formula>
    </cfRule>
    <cfRule type="cellIs" dxfId="44" priority="5" operator="equal">
      <formula>"D"</formula>
    </cfRule>
  </conditionalFormatting>
  <dataValidations count="1">
    <dataValidation type="list" allowBlank="1" sqref="G6:L39" xr:uid="{00000000-0002-0000-0900-000000000000}">
      <formula1>"S,A,B,C,D"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V55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L23" sqref="L23"/>
    </sheetView>
  </sheetViews>
  <sheetFormatPr defaultColWidth="8.5625" defaultRowHeight="16.899999999999999"/>
  <cols>
    <col min="1" max="1" width="4" customWidth="1"/>
    <col min="2" max="2" width="9" customWidth="1"/>
    <col min="3" max="3" width="8" customWidth="1"/>
    <col min="4" max="5" width="15.5625" customWidth="1"/>
    <col min="6" max="6" width="7" customWidth="1"/>
    <col min="7" max="21" width="10.625" customWidth="1"/>
    <col min="22" max="22" width="25" customWidth="1"/>
  </cols>
  <sheetData>
    <row r="1" spans="1:22" ht="27.75" customHeight="1">
      <c r="A1" s="111" t="s">
        <v>404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2" ht="16.5" customHeight="1">
      <c r="A2" s="88" t="s">
        <v>405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5" spans="1:22" ht="31.5" customHeight="1">
      <c r="A5" s="62" t="s">
        <v>145</v>
      </c>
      <c r="B5" s="63" t="s">
        <v>146</v>
      </c>
      <c r="C5" s="63" t="s">
        <v>147</v>
      </c>
      <c r="D5" s="63" t="s">
        <v>148</v>
      </c>
      <c r="E5" s="63" t="s">
        <v>149</v>
      </c>
      <c r="F5" s="63" t="s">
        <v>152</v>
      </c>
      <c r="G5" s="63" t="s">
        <v>406</v>
      </c>
      <c r="H5" s="63" t="s">
        <v>407</v>
      </c>
      <c r="I5" s="63" t="s">
        <v>408</v>
      </c>
      <c r="J5" s="63" t="s">
        <v>409</v>
      </c>
      <c r="K5" s="63" t="s">
        <v>410</v>
      </c>
      <c r="L5" s="63" t="s">
        <v>411</v>
      </c>
      <c r="M5" s="63" t="s">
        <v>412</v>
      </c>
      <c r="N5" s="63" t="s">
        <v>413</v>
      </c>
      <c r="O5" s="63" t="s">
        <v>414</v>
      </c>
      <c r="P5" s="63" t="s">
        <v>415</v>
      </c>
      <c r="Q5" s="63" t="s">
        <v>416</v>
      </c>
      <c r="R5" s="63" t="s">
        <v>417</v>
      </c>
      <c r="S5" s="63" t="s">
        <v>418</v>
      </c>
      <c r="T5" s="63" t="s">
        <v>419</v>
      </c>
      <c r="U5" s="63" t="s">
        <v>420</v>
      </c>
      <c r="V5" s="63" t="s">
        <v>421</v>
      </c>
    </row>
    <row r="6" spans="1:22" ht="21.75" customHeight="1">
      <c r="A6" s="4">
        <f>'01_인적정보'!A6</f>
        <v>1</v>
      </c>
      <c r="B6" s="4" t="str">
        <f>'01_인적정보'!B6</f>
        <v>BSS-001</v>
      </c>
      <c r="C6" s="13" t="str">
        <f>'01_인적정보'!C6</f>
        <v>OOO</v>
      </c>
      <c r="D6" s="13" t="str">
        <f>'01_인적정보'!D6</f>
        <v>영업</v>
      </c>
      <c r="E6" s="13" t="str">
        <f>'01_인적정보'!E6</f>
        <v>프로젝트영업</v>
      </c>
      <c r="F6" s="40" t="str">
        <f>'01_인적정보'!H6</f>
        <v>G6</v>
      </c>
      <c r="G6" s="19" t="str">
        <f>IF(OR('01_인적정보'!B6="",'04_역할평가'!I6=""),"",'04_역할평가'!I6)</f>
        <v>A</v>
      </c>
      <c r="H6" s="19" t="str">
        <f>IF(OR('01_인적정보'!B6="",'04_역할평가'!I64=""),"",'04_역할평가'!I64)</f>
        <v>B</v>
      </c>
      <c r="I6" s="52">
        <f>IFERROR(IF(AND(LEN(G6)&gt;0,LEN(H6)&gt;0),'02_의사결정·종합결과'!$B$7*IFERROR(CHOOSE(FIND(G6,"DCBAS"),1,2,3,4,5),0)+'02_의사결정·종합결과'!$B$8*IFERROR(CHOOSE(FIND(H6,"DCBAS"),1,2,3,4,5),0),IF(LEN(G6)&gt;0,IFERROR(CHOOSE(FIND(G6,"DCBAS"),1,2,3,4,5),0),IF(LEN(H6)&gt;0,IFERROR(CHOOSE(FIND(H6,"DCBAS"),1,2,3,4,5),0),""))),"")</f>
        <v>3.5</v>
      </c>
      <c r="J6" s="19" t="str">
        <f>IF(OR('01_인적정보'!B6="",'05_공통역량평가'!I6=""),"",'05_공통역량평가'!I6)</f>
        <v>A</v>
      </c>
      <c r="K6" s="19" t="str">
        <f>IF(OR('01_인적정보'!B6="",'05_공통역량평가'!I64=""),"",'05_공통역량평가'!I64)</f>
        <v>A</v>
      </c>
      <c r="L6" s="52">
        <f>IFERROR(IF(AND(LEN(J6)&gt;0,LEN(K6)&gt;0),'02_의사결정·종합결과'!$B$7*IFERROR(CHOOSE(FIND(J6,"DCBAS"),1,2,3,4,5),0)+'02_의사결정·종합결과'!$B$8*IFERROR(CHOOSE(FIND(K6,"DCBAS"),1,2,3,4,5),0),IF(LEN(J6)&gt;0,IFERROR(CHOOSE(FIND(J6,"DCBAS"),1,2,3,4,5),0),IF(LEN(K6)&gt;0,IFERROR(CHOOSE(FIND(K6,"DCBAS"),1,2,3,4,5),0),""))),"")</f>
        <v>4</v>
      </c>
      <c r="M6" s="19" t="str">
        <f>IF(OR('01_인적정보'!B6="",'06_직무역량평가'!J6=""),"",'06_직무역량평가'!J6)</f>
        <v>S</v>
      </c>
      <c r="N6" s="19" t="str">
        <f>IF(OR('01_인적정보'!B6="",'06_직무역량평가'!J64=""),"",'06_직무역량평가'!J64)</f>
        <v>A</v>
      </c>
      <c r="O6" s="52">
        <f>IFERROR(IF(AND(LEN(M6)&gt;0,LEN(N6)&gt;0),'02_의사결정·종합결과'!$B$7*IFERROR(CHOOSE(FIND(M6,"DCBAS"),1,2,3,4,5),0)+'02_의사결정·종합결과'!$B$8*IFERROR(CHOOSE(FIND(N6,"DCBAS"),1,2,3,4,5),0),IF(LEN(M6)&gt;0,IFERROR(CHOOSE(FIND(M6,"DCBAS"),1,2,3,4,5),0),IF(LEN(N6)&gt;0,IFERROR(CHOOSE(FIND(N6,"DCBAS"),1,2,3,4,5),0),""))),"")</f>
        <v>4.5</v>
      </c>
      <c r="P6" s="43">
        <f>IFERROR(VLOOKUP(F6,'02_의사결정·종합결과'!$A$16:$D$22,2,FALSE()),"")</f>
        <v>0.4</v>
      </c>
      <c r="Q6" s="43">
        <f>IFERROR(VLOOKUP(F6,'02_의사결정·종합결과'!$A$16:$D$22,3,FALSE()),"")</f>
        <v>0.25</v>
      </c>
      <c r="R6" s="43">
        <f>IFERROR(VLOOKUP(F6,'02_의사결정·종합결과'!$A$16:$D$22,4,FALSE()),"")</f>
        <v>0.35</v>
      </c>
      <c r="S6" s="64">
        <f t="shared" ref="S6:S37" si="0">IF(OR(NOT(ISNUMBER(I6)),NOT(ISNUMBER(L6)),NOT(ISNUMBER(O6))),"",I6*P6+L6*Q6+O6*R6)</f>
        <v>3.9750000000000005</v>
      </c>
      <c r="T6" s="53" t="str">
        <f t="shared" ref="T6:T37" si="1">IF(OR(S6="",NOT(ISNUMBER(S6)),S6&lt;0.5),"",IF(S6&gt;=4.5,"S",IF(S6&gt;=3.5,"A",IF(S6&gt;=2.5,"B",IF(S6&gt;=1.5,"C","D")))))</f>
        <v>A</v>
      </c>
      <c r="U6" s="65" t="str">
        <f>IF(OR(S6="",NOT(ISNUMBER(S6)),S6&lt;0.5),"",IF('02_의사결정·종합결과'!$B$6="절대평가",T6,IF(IFERROR(RANK(S6,$S$6:$S$55,0)/MAX(COUNTIF($S$6:$S$55,"&gt;0"),1),0)&lt;='02_의사결정·종합결과'!$B$11,"S",IF(IFERROR(RANK(S6,$S$6:$S$55,0)/MAX(COUNTIF($S$6:$S$55,"&gt;0"),1),0)&lt;='02_의사결정·종합결과'!$B$11+'02_의사결정·종합결과'!$C$11,"A",IF(IFERROR(RANK(S6,$S$6:$S$55,0)/MAX(COUNTIF($S$6:$S$55,"&gt;0"),1),0)&lt;='02_의사결정·종합결과'!$B$11+'02_의사결정·종합결과'!$C$11+'02_의사결정·종합결과'!$D$11,"B",IF(IFERROR(RANK(S6,$S$6:$S$55,0)/MAX(COUNTIF($S$6:$S$55,"&gt;0"),1),0)&lt;='02_의사결정·종합결과'!$B$11+'02_의사결정·종합결과'!$C$11+'02_의사결정·종합결과'!$D$11+'02_의사결정·종합결과'!$E$11,"C","D"))))))</f>
        <v>B</v>
      </c>
      <c r="V6" s="10"/>
    </row>
    <row r="7" spans="1:22" ht="21.75" customHeight="1">
      <c r="A7" s="4">
        <f>'01_인적정보'!A7</f>
        <v>2</v>
      </c>
      <c r="B7" s="4" t="str">
        <f>'01_인적정보'!B7</f>
        <v>BSS-002</v>
      </c>
      <c r="C7" s="13" t="str">
        <f>'01_인적정보'!C7</f>
        <v>OOO</v>
      </c>
      <c r="D7" s="13" t="str">
        <f>'01_인적정보'!D7</f>
        <v>연구&amp;개발</v>
      </c>
      <c r="E7" s="13" t="str">
        <f>'01_인적정보'!E7</f>
        <v>연구개발(R&amp;D)</v>
      </c>
      <c r="F7" s="40" t="str">
        <f>'01_인적정보'!H7</f>
        <v>G6</v>
      </c>
      <c r="G7" s="19" t="str">
        <f>IF(OR('01_인적정보'!B7="",'04_역할평가'!I7=""),"",'04_역할평가'!I7)</f>
        <v>B</v>
      </c>
      <c r="H7" s="19" t="str">
        <f>IF(OR('01_인적정보'!B7="",'04_역할평가'!I65=""),"",'04_역할평가'!I65)</f>
        <v>B</v>
      </c>
      <c r="I7" s="52">
        <f>IFERROR(IF(AND(LEN(G7)&gt;0,LEN(H7)&gt;0),'02_의사결정·종합결과'!$B$7*IFERROR(CHOOSE(FIND(G7,"DCBAS"),1,2,3,4,5),0)+'02_의사결정·종합결과'!$B$8*IFERROR(CHOOSE(FIND(H7,"DCBAS"),1,2,3,4,5),0),IF(LEN(G7)&gt;0,IFERROR(CHOOSE(FIND(G7,"DCBAS"),1,2,3,4,5),0),IF(LEN(H7)&gt;0,IFERROR(CHOOSE(FIND(H7,"DCBAS"),1,2,3,4,5),0),""))),"")</f>
        <v>3</v>
      </c>
      <c r="J7" s="19" t="str">
        <f>IF(OR('01_인적정보'!B7="",'05_공통역량평가'!I7=""),"",'05_공통역량평가'!I7)</f>
        <v>B</v>
      </c>
      <c r="K7" s="19" t="str">
        <f>IF(OR('01_인적정보'!B7="",'05_공통역량평가'!I65=""),"",'05_공통역량평가'!I65)</f>
        <v>B</v>
      </c>
      <c r="L7" s="52">
        <f>IFERROR(IF(AND(LEN(J7)&gt;0,LEN(K7)&gt;0),'02_의사결정·종합결과'!$B$7*IFERROR(CHOOSE(FIND(J7,"DCBAS"),1,2,3,4,5),0)+'02_의사결정·종합결과'!$B$8*IFERROR(CHOOSE(FIND(K7,"DCBAS"),1,2,3,4,5),0),IF(LEN(J7)&gt;0,IFERROR(CHOOSE(FIND(J7,"DCBAS"),1,2,3,4,5),0),IF(LEN(K7)&gt;0,IFERROR(CHOOSE(FIND(K7,"DCBAS"),1,2,3,4,5),0),""))),"")</f>
        <v>3</v>
      </c>
      <c r="M7" s="19" t="str">
        <f>IF(OR('01_인적정보'!B7="",'06_직무역량평가'!J7=""),"",'06_직무역량평가'!J7)</f>
        <v>A</v>
      </c>
      <c r="N7" s="19" t="str">
        <f>IF(OR('01_인적정보'!B7="",'06_직무역량평가'!J65=""),"",'06_직무역량평가'!J65)</f>
        <v>B</v>
      </c>
      <c r="O7" s="52">
        <f>IFERROR(IF(AND(LEN(M7)&gt;0,LEN(N7)&gt;0),'02_의사결정·종합결과'!$B$7*IFERROR(CHOOSE(FIND(M7,"DCBAS"),1,2,3,4,5),0)+'02_의사결정·종합결과'!$B$8*IFERROR(CHOOSE(FIND(N7,"DCBAS"),1,2,3,4,5),0),IF(LEN(M7)&gt;0,IFERROR(CHOOSE(FIND(M7,"DCBAS"),1,2,3,4,5),0),IF(LEN(N7)&gt;0,IFERROR(CHOOSE(FIND(N7,"DCBAS"),1,2,3,4,5),0),""))),"")</f>
        <v>3.5</v>
      </c>
      <c r="P7" s="43">
        <f>IFERROR(VLOOKUP(F7,'02_의사결정·종합결과'!$A$16:$D$22,2,FALSE()),"")</f>
        <v>0.4</v>
      </c>
      <c r="Q7" s="43">
        <f>IFERROR(VLOOKUP(F7,'02_의사결정·종합결과'!$A$16:$D$22,3,FALSE()),"")</f>
        <v>0.25</v>
      </c>
      <c r="R7" s="43">
        <f>IFERROR(VLOOKUP(F7,'02_의사결정·종합결과'!$A$16:$D$22,4,FALSE()),"")</f>
        <v>0.35</v>
      </c>
      <c r="S7" s="64">
        <f t="shared" si="0"/>
        <v>3.1749999999999998</v>
      </c>
      <c r="T7" s="53" t="str">
        <f t="shared" si="1"/>
        <v>B</v>
      </c>
      <c r="U7" s="65" t="str">
        <f>IF(OR(S7="",NOT(ISNUMBER(S7)),S7&lt;0.5),"",IF('02_의사결정·종합결과'!$B$6="절대평가",T7,IF(IFERROR(RANK(S7,$S$6:$S$55,0)/MAX(COUNTIF($S$6:$S$55,"&gt;0"),1),0)&lt;='02_의사결정·종합결과'!$B$11,"S",IF(IFERROR(RANK(S7,$S$6:$S$55,0)/MAX(COUNTIF($S$6:$S$55,"&gt;0"),1),0)&lt;='02_의사결정·종합결과'!$B$11+'02_의사결정·종합결과'!$C$11,"A",IF(IFERROR(RANK(S7,$S$6:$S$55,0)/MAX(COUNTIF($S$6:$S$55,"&gt;0"),1),0)&lt;='02_의사결정·종합결과'!$B$11+'02_의사결정·종합결과'!$C$11+'02_의사결정·종합결과'!$D$11,"B",IF(IFERROR(RANK(S7,$S$6:$S$55,0)/MAX(COUNTIF($S$6:$S$55,"&gt;0"),1),0)&lt;='02_의사결정·종합결과'!$B$11+'02_의사결정·종합결과'!$C$11+'02_의사결정·종합결과'!$D$11+'02_의사결정·종합결과'!$E$11,"C","D"))))))</f>
        <v>B</v>
      </c>
      <c r="V7" s="10"/>
    </row>
    <row r="8" spans="1:22" ht="21.75" customHeight="1">
      <c r="A8" s="4">
        <f>'01_인적정보'!A8</f>
        <v>3</v>
      </c>
      <c r="B8" s="4" t="str">
        <f>'01_인적정보'!B8</f>
        <v>BSS-003</v>
      </c>
      <c r="C8" s="13" t="str">
        <f>'01_인적정보'!C8</f>
        <v>OOO</v>
      </c>
      <c r="D8" s="13" t="str">
        <f>'01_인적정보'!D8</f>
        <v>설계</v>
      </c>
      <c r="E8" s="13" t="str">
        <f>'01_인적정보'!E8</f>
        <v>BIM컨설팅</v>
      </c>
      <c r="F8" s="40" t="str">
        <f>'01_인적정보'!H8</f>
        <v>G6</v>
      </c>
      <c r="G8" s="19" t="str">
        <f>IF(OR('01_인적정보'!B8="",'04_역할평가'!I8=""),"",'04_역할평가'!I8)</f>
        <v>A</v>
      </c>
      <c r="H8" s="19" t="str">
        <f>IF(OR('01_인적정보'!B8="",'04_역할평가'!I66=""),"",'04_역할평가'!I66)</f>
        <v>B</v>
      </c>
      <c r="I8" s="52">
        <f>IFERROR(IF(AND(LEN(G8)&gt;0,LEN(H8)&gt;0),'02_의사결정·종합결과'!$B$7*IFERROR(CHOOSE(FIND(G8,"DCBAS"),1,2,3,4,5),0)+'02_의사결정·종합결과'!$B$8*IFERROR(CHOOSE(FIND(H8,"DCBAS"),1,2,3,4,5),0),IF(LEN(G8)&gt;0,IFERROR(CHOOSE(FIND(G8,"DCBAS"),1,2,3,4,5),0),IF(LEN(H8)&gt;0,IFERROR(CHOOSE(FIND(H8,"DCBAS"),1,2,3,4,5),0),""))),"")</f>
        <v>3.5</v>
      </c>
      <c r="J8" s="19" t="str">
        <f>IF(OR('01_인적정보'!B8="",'05_공통역량평가'!I8=""),"",'05_공통역량평가'!I8)</f>
        <v>B</v>
      </c>
      <c r="K8" s="19" t="str">
        <f>IF(OR('01_인적정보'!B8="",'05_공통역량평가'!I66=""),"",'05_공통역량평가'!I66)</f>
        <v>B</v>
      </c>
      <c r="L8" s="52">
        <f>IFERROR(IF(AND(LEN(J8)&gt;0,LEN(K8)&gt;0),'02_의사결정·종합결과'!$B$7*IFERROR(CHOOSE(FIND(J8,"DCBAS"),1,2,3,4,5),0)+'02_의사결정·종합결과'!$B$8*IFERROR(CHOOSE(FIND(K8,"DCBAS"),1,2,3,4,5),0),IF(LEN(J8)&gt;0,IFERROR(CHOOSE(FIND(J8,"DCBAS"),1,2,3,4,5),0),IF(LEN(K8)&gt;0,IFERROR(CHOOSE(FIND(K8,"DCBAS"),1,2,3,4,5),0),""))),"")</f>
        <v>3</v>
      </c>
      <c r="M8" s="19" t="str">
        <f>IF(OR('01_인적정보'!B8="",'06_직무역량평가'!J8=""),"",'06_직무역량평가'!J8)</f>
        <v>B</v>
      </c>
      <c r="N8" s="19" t="str">
        <f>IF(OR('01_인적정보'!B8="",'06_직무역량평가'!J66=""),"",'06_직무역량평가'!J66)</f>
        <v>B</v>
      </c>
      <c r="O8" s="52">
        <f>IFERROR(IF(AND(LEN(M8)&gt;0,LEN(N8)&gt;0),'02_의사결정·종합결과'!$B$7*IFERROR(CHOOSE(FIND(M8,"DCBAS"),1,2,3,4,5),0)+'02_의사결정·종합결과'!$B$8*IFERROR(CHOOSE(FIND(N8,"DCBAS"),1,2,3,4,5),0),IF(LEN(M8)&gt;0,IFERROR(CHOOSE(FIND(M8,"DCBAS"),1,2,3,4,5),0),IF(LEN(N8)&gt;0,IFERROR(CHOOSE(FIND(N8,"DCBAS"),1,2,3,4,5),0),""))),"")</f>
        <v>3</v>
      </c>
      <c r="P8" s="43">
        <f>IFERROR(VLOOKUP(F8,'02_의사결정·종합결과'!$A$16:$D$22,2,FALSE()),"")</f>
        <v>0.4</v>
      </c>
      <c r="Q8" s="43">
        <f>IFERROR(VLOOKUP(F8,'02_의사결정·종합결과'!$A$16:$D$22,3,FALSE()),"")</f>
        <v>0.25</v>
      </c>
      <c r="R8" s="43">
        <f>IFERROR(VLOOKUP(F8,'02_의사결정·종합결과'!$A$16:$D$22,4,FALSE()),"")</f>
        <v>0.35</v>
      </c>
      <c r="S8" s="64">
        <f t="shared" si="0"/>
        <v>3.2</v>
      </c>
      <c r="T8" s="53" t="str">
        <f t="shared" si="1"/>
        <v>B</v>
      </c>
      <c r="U8" s="65" t="str">
        <f>IF(OR(S8="",NOT(ISNUMBER(S8)),S8&lt;0.5),"",IF('02_의사결정·종합결과'!$B$6="절대평가",T8,IF(IFERROR(RANK(S8,$S$6:$S$55,0)/MAX(COUNTIF($S$6:$S$55,"&gt;0"),1),0)&lt;='02_의사결정·종합결과'!$B$11,"S",IF(IFERROR(RANK(S8,$S$6:$S$55,0)/MAX(COUNTIF($S$6:$S$55,"&gt;0"),1),0)&lt;='02_의사결정·종합결과'!$B$11+'02_의사결정·종합결과'!$C$11,"A",IF(IFERROR(RANK(S8,$S$6:$S$55,0)/MAX(COUNTIF($S$6:$S$55,"&gt;0"),1),0)&lt;='02_의사결정·종합결과'!$B$11+'02_의사결정·종합결과'!$C$11+'02_의사결정·종합결과'!$D$11,"B",IF(IFERROR(RANK(S8,$S$6:$S$55,0)/MAX(COUNTIF($S$6:$S$55,"&gt;0"),1),0)&lt;='02_의사결정·종합결과'!$B$11+'02_의사결정·종합결과'!$C$11+'02_의사결정·종합결과'!$D$11+'02_의사결정·종합결과'!$E$11,"C","D"))))))</f>
        <v>B</v>
      </c>
      <c r="V8" s="10"/>
    </row>
    <row r="9" spans="1:22" ht="21.75" customHeight="1">
      <c r="A9" s="4">
        <f>'01_인적정보'!A9</f>
        <v>4</v>
      </c>
      <c r="B9" s="4" t="str">
        <f>'01_인적정보'!B9</f>
        <v>BSS-004</v>
      </c>
      <c r="C9" s="13" t="str">
        <f>'01_인적정보'!C9</f>
        <v>OOO</v>
      </c>
      <c r="D9" s="13" t="str">
        <f>'01_인적정보'!D9</f>
        <v>경영관리</v>
      </c>
      <c r="E9" s="13" t="str">
        <f>'01_인적정보'!E9</f>
        <v>경영전략기획</v>
      </c>
      <c r="F9" s="40" t="str">
        <f>'01_인적정보'!H9</f>
        <v>G6</v>
      </c>
      <c r="G9" s="19" t="str">
        <f>IF(OR('01_인적정보'!B9="",'04_역할평가'!I9=""),"",'04_역할평가'!I9)</f>
        <v>A</v>
      </c>
      <c r="H9" s="19" t="str">
        <f>IF(OR('01_인적정보'!B9="",'04_역할평가'!I67=""),"",'04_역할평가'!I67)</f>
        <v>A</v>
      </c>
      <c r="I9" s="52">
        <f>IFERROR(IF(AND(LEN(G9)&gt;0,LEN(H9)&gt;0),'02_의사결정·종합결과'!$B$7*IFERROR(CHOOSE(FIND(G9,"DCBAS"),1,2,3,4,5),0)+'02_의사결정·종합결과'!$B$8*IFERROR(CHOOSE(FIND(H9,"DCBAS"),1,2,3,4,5),0),IF(LEN(G9)&gt;0,IFERROR(CHOOSE(FIND(G9,"DCBAS"),1,2,3,4,5),0),IF(LEN(H9)&gt;0,IFERROR(CHOOSE(FIND(H9,"DCBAS"),1,2,3,4,5),0),""))),"")</f>
        <v>4</v>
      </c>
      <c r="J9" s="19" t="str">
        <f>IF(OR('01_인적정보'!B9="",'05_공통역량평가'!I9=""),"",'05_공통역량평가'!I9)</f>
        <v>A</v>
      </c>
      <c r="K9" s="19" t="str">
        <f>IF(OR('01_인적정보'!B9="",'05_공통역량평가'!I67=""),"",'05_공통역량평가'!I67)</f>
        <v>B</v>
      </c>
      <c r="L9" s="52">
        <f>IFERROR(IF(AND(LEN(J9)&gt;0,LEN(K9)&gt;0),'02_의사결정·종합결과'!$B$7*IFERROR(CHOOSE(FIND(J9,"DCBAS"),1,2,3,4,5),0)+'02_의사결정·종합결과'!$B$8*IFERROR(CHOOSE(FIND(K9,"DCBAS"),1,2,3,4,5),0),IF(LEN(J9)&gt;0,IFERROR(CHOOSE(FIND(J9,"DCBAS"),1,2,3,4,5),0),IF(LEN(K9)&gt;0,IFERROR(CHOOSE(FIND(K9,"DCBAS"),1,2,3,4,5),0),""))),"")</f>
        <v>3.5</v>
      </c>
      <c r="M9" s="19" t="str">
        <f>IF(OR('01_인적정보'!B9="",'06_직무역량평가'!J9=""),"",'06_직무역량평가'!J9)</f>
        <v>A</v>
      </c>
      <c r="N9" s="19" t="str">
        <f>IF(OR('01_인적정보'!B9="",'06_직무역량평가'!J67=""),"",'06_직무역량평가'!J67)</f>
        <v>B</v>
      </c>
      <c r="O9" s="52">
        <f>IFERROR(IF(AND(LEN(M9)&gt;0,LEN(N9)&gt;0),'02_의사결정·종합결과'!$B$7*IFERROR(CHOOSE(FIND(M9,"DCBAS"),1,2,3,4,5),0)+'02_의사결정·종합결과'!$B$8*IFERROR(CHOOSE(FIND(N9,"DCBAS"),1,2,3,4,5),0),IF(LEN(M9)&gt;0,IFERROR(CHOOSE(FIND(M9,"DCBAS"),1,2,3,4,5),0),IF(LEN(N9)&gt;0,IFERROR(CHOOSE(FIND(N9,"DCBAS"),1,2,3,4,5),0),""))),"")</f>
        <v>3.5</v>
      </c>
      <c r="P9" s="43">
        <f>IFERROR(VLOOKUP(F9,'02_의사결정·종합결과'!$A$16:$D$22,2,FALSE()),"")</f>
        <v>0.4</v>
      </c>
      <c r="Q9" s="43">
        <f>IFERROR(VLOOKUP(F9,'02_의사결정·종합결과'!$A$16:$D$22,3,FALSE()),"")</f>
        <v>0.25</v>
      </c>
      <c r="R9" s="43">
        <f>IFERROR(VLOOKUP(F9,'02_의사결정·종합결과'!$A$16:$D$22,4,FALSE()),"")</f>
        <v>0.35</v>
      </c>
      <c r="S9" s="64">
        <f t="shared" si="0"/>
        <v>3.7</v>
      </c>
      <c r="T9" s="53" t="str">
        <f t="shared" si="1"/>
        <v>A</v>
      </c>
      <c r="U9" s="65" t="str">
        <f>IF(OR(S9="",NOT(ISNUMBER(S9)),S9&lt;0.5),"",IF('02_의사결정·종합결과'!$B$6="절대평가",T9,IF(IFERROR(RANK(S9,$S$6:$S$55,0)/MAX(COUNTIF($S$6:$S$55,"&gt;0"),1),0)&lt;='02_의사결정·종합결과'!$B$11,"S",IF(IFERROR(RANK(S9,$S$6:$S$55,0)/MAX(COUNTIF($S$6:$S$55,"&gt;0"),1),0)&lt;='02_의사결정·종합결과'!$B$11+'02_의사결정·종합결과'!$C$11,"A",IF(IFERROR(RANK(S9,$S$6:$S$55,0)/MAX(COUNTIF($S$6:$S$55,"&gt;0"),1),0)&lt;='02_의사결정·종합결과'!$B$11+'02_의사결정·종합결과'!$C$11+'02_의사결정·종합결과'!$D$11,"B",IF(IFERROR(RANK(S9,$S$6:$S$55,0)/MAX(COUNTIF($S$6:$S$55,"&gt;0"),1),0)&lt;='02_의사결정·종합결과'!$B$11+'02_의사결정·종합결과'!$C$11+'02_의사결정·종합결과'!$D$11+'02_의사결정·종합결과'!$E$11,"C","D"))))))</f>
        <v>B</v>
      </c>
      <c r="V9" s="10"/>
    </row>
    <row r="10" spans="1:22" ht="21.75" customHeight="1">
      <c r="A10" s="4">
        <f>'01_인적정보'!A10</f>
        <v>5</v>
      </c>
      <c r="B10" s="4" t="str">
        <f>'01_인적정보'!B10</f>
        <v>BSS-005</v>
      </c>
      <c r="C10" s="13" t="str">
        <f>'01_인적정보'!C10</f>
        <v>OOO</v>
      </c>
      <c r="D10" s="13" t="str">
        <f>'01_인적정보'!D10</f>
        <v>경영관리</v>
      </c>
      <c r="E10" s="13" t="str">
        <f>'01_인적정보'!E10</f>
        <v>경영전략기획</v>
      </c>
      <c r="F10" s="40" t="str">
        <f>'01_인적정보'!H10</f>
        <v>G6</v>
      </c>
      <c r="G10" s="19" t="str">
        <f>IF(OR('01_인적정보'!B10="",'04_역할평가'!I10=""),"",'04_역할평가'!I10)</f>
        <v>B</v>
      </c>
      <c r="H10" s="19" t="str">
        <f>IF(OR('01_인적정보'!B10="",'04_역할평가'!I68=""),"",'04_역할평가'!I68)</f>
        <v>B</v>
      </c>
      <c r="I10" s="52">
        <f>IFERROR(IF(AND(LEN(G10)&gt;0,LEN(H10)&gt;0),'02_의사결정·종합결과'!$B$7*IFERROR(CHOOSE(FIND(G10,"DCBAS"),1,2,3,4,5),0)+'02_의사결정·종합결과'!$B$8*IFERROR(CHOOSE(FIND(H10,"DCBAS"),1,2,3,4,5),0),IF(LEN(G10)&gt;0,IFERROR(CHOOSE(FIND(G10,"DCBAS"),1,2,3,4,5),0),IF(LEN(H10)&gt;0,IFERROR(CHOOSE(FIND(H10,"DCBAS"),1,2,3,4,5),0),""))),"")</f>
        <v>3</v>
      </c>
      <c r="J10" s="19" t="str">
        <f>IF(OR('01_인적정보'!B10="",'05_공통역량평가'!I10=""),"",'05_공통역량평가'!I10)</f>
        <v>B</v>
      </c>
      <c r="K10" s="19" t="str">
        <f>IF(OR('01_인적정보'!B10="",'05_공통역량평가'!I68=""),"",'05_공통역량평가'!I68)</f>
        <v>A</v>
      </c>
      <c r="L10" s="52">
        <f>IFERROR(IF(AND(LEN(J10)&gt;0,LEN(K10)&gt;0),'02_의사결정·종합결과'!$B$7*IFERROR(CHOOSE(FIND(J10,"DCBAS"),1,2,3,4,5),0)+'02_의사결정·종합결과'!$B$8*IFERROR(CHOOSE(FIND(K10,"DCBAS"),1,2,3,4,5),0),IF(LEN(J10)&gt;0,IFERROR(CHOOSE(FIND(J10,"DCBAS"),1,2,3,4,5),0),IF(LEN(K10)&gt;0,IFERROR(CHOOSE(FIND(K10,"DCBAS"),1,2,3,4,5),0),""))),"")</f>
        <v>3.5</v>
      </c>
      <c r="M10" s="19" t="str">
        <f>IF(OR('01_인적정보'!B10="",'06_직무역량평가'!J10=""),"",'06_직무역량평가'!J10)</f>
        <v>A</v>
      </c>
      <c r="N10" s="19" t="str">
        <f>IF(OR('01_인적정보'!B10="",'06_직무역량평가'!J68=""),"",'06_직무역량평가'!J68)</f>
        <v>A</v>
      </c>
      <c r="O10" s="52">
        <f>IFERROR(IF(AND(LEN(M10)&gt;0,LEN(N10)&gt;0),'02_의사결정·종합결과'!$B$7*IFERROR(CHOOSE(FIND(M10,"DCBAS"),1,2,3,4,5),0)+'02_의사결정·종합결과'!$B$8*IFERROR(CHOOSE(FIND(N10,"DCBAS"),1,2,3,4,5),0),IF(LEN(M10)&gt;0,IFERROR(CHOOSE(FIND(M10,"DCBAS"),1,2,3,4,5),0),IF(LEN(N10)&gt;0,IFERROR(CHOOSE(FIND(N10,"DCBAS"),1,2,3,4,5),0),""))),"")</f>
        <v>4</v>
      </c>
      <c r="P10" s="43">
        <f>IFERROR(VLOOKUP(F10,'02_의사결정·종합결과'!$A$16:$D$22,2,FALSE()),"")</f>
        <v>0.4</v>
      </c>
      <c r="Q10" s="43">
        <f>IFERROR(VLOOKUP(F10,'02_의사결정·종합결과'!$A$16:$D$22,3,FALSE()),"")</f>
        <v>0.25</v>
      </c>
      <c r="R10" s="43">
        <f>IFERROR(VLOOKUP(F10,'02_의사결정·종합결과'!$A$16:$D$22,4,FALSE()),"")</f>
        <v>0.35</v>
      </c>
      <c r="S10" s="64">
        <f t="shared" si="0"/>
        <v>3.4750000000000001</v>
      </c>
      <c r="T10" s="53" t="str">
        <f t="shared" si="1"/>
        <v>B</v>
      </c>
      <c r="U10" s="65" t="str">
        <f>IF(OR(S10="",NOT(ISNUMBER(S10)),S10&lt;0.5),"",IF('02_의사결정·종합결과'!$B$6="절대평가",T10,IF(IFERROR(RANK(S10,$S$6:$S$55,0)/MAX(COUNTIF($S$6:$S$55,"&gt;0"),1),0)&lt;='02_의사결정·종합결과'!$B$11,"S",IF(IFERROR(RANK(S10,$S$6:$S$55,0)/MAX(COUNTIF($S$6:$S$55,"&gt;0"),1),0)&lt;='02_의사결정·종합결과'!$B$11+'02_의사결정·종합결과'!$C$11,"A",IF(IFERROR(RANK(S10,$S$6:$S$55,0)/MAX(COUNTIF($S$6:$S$55,"&gt;0"),1),0)&lt;='02_의사결정·종합결과'!$B$11+'02_의사결정·종합결과'!$C$11+'02_의사결정·종합결과'!$D$11,"B",IF(IFERROR(RANK(S10,$S$6:$S$55,0)/MAX(COUNTIF($S$6:$S$55,"&gt;0"),1),0)&lt;='02_의사결정·종합결과'!$B$11+'02_의사결정·종합결과'!$C$11+'02_의사결정·종합결과'!$D$11+'02_의사결정·종합결과'!$E$11,"C","D"))))))</f>
        <v>B</v>
      </c>
      <c r="V10" s="10"/>
    </row>
    <row r="11" spans="1:22" ht="21.75" customHeight="1">
      <c r="A11" s="4">
        <f>'01_인적정보'!A11</f>
        <v>6</v>
      </c>
      <c r="B11" s="4" t="str">
        <f>'01_인적정보'!B11</f>
        <v>BSS-006</v>
      </c>
      <c r="C11" s="13" t="str">
        <f>'01_인적정보'!C11</f>
        <v>OOO</v>
      </c>
      <c r="D11" s="13" t="str">
        <f>'01_인적정보'!D11</f>
        <v>경영관리</v>
      </c>
      <c r="E11" s="13" t="str">
        <f>'01_인적정보'!E11</f>
        <v>경영전략기획</v>
      </c>
      <c r="F11" s="40" t="str">
        <f>'01_인적정보'!H11</f>
        <v>G6</v>
      </c>
      <c r="G11" s="19" t="str">
        <f>IF(OR('01_인적정보'!B11="",'04_역할평가'!I11=""),"",'04_역할평가'!I11)</f>
        <v>C</v>
      </c>
      <c r="H11" s="19" t="str">
        <f>IF(OR('01_인적정보'!B11="",'04_역할평가'!I69=""),"",'04_역할평가'!I69)</f>
        <v>C</v>
      </c>
      <c r="I11" s="52">
        <f>IFERROR(IF(AND(LEN(G11)&gt;0,LEN(H11)&gt;0),'02_의사결정·종합결과'!$B$7*IFERROR(CHOOSE(FIND(G11,"DCBAS"),1,2,3,4,5),0)+'02_의사결정·종합결과'!$B$8*IFERROR(CHOOSE(FIND(H11,"DCBAS"),1,2,3,4,5),0),IF(LEN(G11)&gt;0,IFERROR(CHOOSE(FIND(G11,"DCBAS"),1,2,3,4,5),0),IF(LEN(H11)&gt;0,IFERROR(CHOOSE(FIND(H11,"DCBAS"),1,2,3,4,5),0),""))),"")</f>
        <v>2</v>
      </c>
      <c r="J11" s="19" t="str">
        <f>IF(OR('01_인적정보'!B11="",'05_공통역량평가'!I11=""),"",'05_공통역량평가'!I11)</f>
        <v>B</v>
      </c>
      <c r="K11" s="19" t="str">
        <f>IF(OR('01_인적정보'!B11="",'05_공통역량평가'!I69=""),"",'05_공통역량평가'!I69)</f>
        <v>C</v>
      </c>
      <c r="L11" s="52">
        <f>IFERROR(IF(AND(LEN(J11)&gt;0,LEN(K11)&gt;0),'02_의사결정·종합결과'!$B$7*IFERROR(CHOOSE(FIND(J11,"DCBAS"),1,2,3,4,5),0)+'02_의사결정·종합결과'!$B$8*IFERROR(CHOOSE(FIND(K11,"DCBAS"),1,2,3,4,5),0),IF(LEN(J11)&gt;0,IFERROR(CHOOSE(FIND(J11,"DCBAS"),1,2,3,4,5),0),IF(LEN(K11)&gt;0,IFERROR(CHOOSE(FIND(K11,"DCBAS"),1,2,3,4,5),0),""))),"")</f>
        <v>2.5</v>
      </c>
      <c r="M11" s="19" t="str">
        <f>IF(OR('01_인적정보'!B11="",'06_직무역량평가'!J11=""),"",'06_직무역량평가'!J11)</f>
        <v>C</v>
      </c>
      <c r="N11" s="19" t="str">
        <f>IF(OR('01_인적정보'!B11="",'06_직무역량평가'!J69=""),"",'06_직무역량평가'!J69)</f>
        <v>C</v>
      </c>
      <c r="O11" s="52">
        <f>IFERROR(IF(AND(LEN(M11)&gt;0,LEN(N11)&gt;0),'02_의사결정·종합결과'!$B$7*IFERROR(CHOOSE(FIND(M11,"DCBAS"),1,2,3,4,5),0)+'02_의사결정·종합결과'!$B$8*IFERROR(CHOOSE(FIND(N11,"DCBAS"),1,2,3,4,5),0),IF(LEN(M11)&gt;0,IFERROR(CHOOSE(FIND(M11,"DCBAS"),1,2,3,4,5),0),IF(LEN(N11)&gt;0,IFERROR(CHOOSE(FIND(N11,"DCBAS"),1,2,3,4,5),0),""))),"")</f>
        <v>2</v>
      </c>
      <c r="P11" s="43">
        <f>IFERROR(VLOOKUP(F11,'02_의사결정·종합결과'!$A$16:$D$22,2,FALSE()),"")</f>
        <v>0.4</v>
      </c>
      <c r="Q11" s="43">
        <f>IFERROR(VLOOKUP(F11,'02_의사결정·종합결과'!$A$16:$D$22,3,FALSE()),"")</f>
        <v>0.25</v>
      </c>
      <c r="R11" s="43">
        <f>IFERROR(VLOOKUP(F11,'02_의사결정·종합결과'!$A$16:$D$22,4,FALSE()),"")</f>
        <v>0.35</v>
      </c>
      <c r="S11" s="64">
        <f t="shared" si="0"/>
        <v>2.125</v>
      </c>
      <c r="T11" s="53" t="str">
        <f t="shared" si="1"/>
        <v>C</v>
      </c>
      <c r="U11" s="65" t="str">
        <f>IF(OR(S11="",NOT(ISNUMBER(S11)),S11&lt;0.5),"",IF('02_의사결정·종합결과'!$B$6="절대평가",T11,IF(IFERROR(RANK(S11,$S$6:$S$55,0)/MAX(COUNTIF($S$6:$S$55,"&gt;0"),1),0)&lt;='02_의사결정·종합결과'!$B$11,"S",IF(IFERROR(RANK(S11,$S$6:$S$55,0)/MAX(COUNTIF($S$6:$S$55,"&gt;0"),1),0)&lt;='02_의사결정·종합결과'!$B$11+'02_의사결정·종합결과'!$C$11,"A",IF(IFERROR(RANK(S11,$S$6:$S$55,0)/MAX(COUNTIF($S$6:$S$55,"&gt;0"),1),0)&lt;='02_의사결정·종합결과'!$B$11+'02_의사결정·종합결과'!$C$11+'02_의사결정·종합결과'!$D$11,"B",IF(IFERROR(RANK(S11,$S$6:$S$55,0)/MAX(COUNTIF($S$6:$S$55,"&gt;0"),1),0)&lt;='02_의사결정·종합결과'!$B$11+'02_의사결정·종합결과'!$C$11+'02_의사결정·종합결과'!$D$11+'02_의사결정·종합결과'!$E$11,"C","D"))))))</f>
        <v>D</v>
      </c>
      <c r="V11" s="10"/>
    </row>
    <row r="12" spans="1:22" ht="21.75" customHeight="1">
      <c r="A12" s="4">
        <f>'01_인적정보'!A12</f>
        <v>7</v>
      </c>
      <c r="B12" s="4" t="str">
        <f>'01_인적정보'!B12</f>
        <v>BSS-007</v>
      </c>
      <c r="C12" s="13" t="str">
        <f>'01_인적정보'!C12</f>
        <v>OOO</v>
      </c>
      <c r="D12" s="13" t="str">
        <f>'01_인적정보'!D12</f>
        <v>교육 및 기술지원</v>
      </c>
      <c r="E12" s="13" t="str">
        <f>'01_인적정보'!E12</f>
        <v>교육</v>
      </c>
      <c r="F12" s="40" t="str">
        <f>'01_인적정보'!H12</f>
        <v>G5-M</v>
      </c>
      <c r="G12" s="19" t="str">
        <f>IF(OR('01_인적정보'!B12="",'04_역할평가'!I12=""),"",'04_역할평가'!I12)</f>
        <v>B</v>
      </c>
      <c r="H12" s="19" t="str">
        <f>IF(OR('01_인적정보'!B12="",'04_역할평가'!I70=""),"",'04_역할평가'!I70)</f>
        <v>A</v>
      </c>
      <c r="I12" s="52">
        <f>IFERROR(IF(AND(LEN(G12)&gt;0,LEN(H12)&gt;0),'02_의사결정·종합결과'!$B$7*IFERROR(CHOOSE(FIND(G12,"DCBAS"),1,2,3,4,5),0)+'02_의사결정·종합결과'!$B$8*IFERROR(CHOOSE(FIND(H12,"DCBAS"),1,2,3,4,5),0),IF(LEN(G12)&gt;0,IFERROR(CHOOSE(FIND(G12,"DCBAS"),1,2,3,4,5),0),IF(LEN(H12)&gt;0,IFERROR(CHOOSE(FIND(H12,"DCBAS"),1,2,3,4,5),0),""))),"")</f>
        <v>3.5</v>
      </c>
      <c r="J12" s="19" t="str">
        <f>IF(OR('01_인적정보'!B12="",'05_공통역량평가'!I12=""),"",'05_공통역량평가'!I12)</f>
        <v>B</v>
      </c>
      <c r="K12" s="19" t="str">
        <f>IF(OR('01_인적정보'!B12="",'05_공통역량평가'!I70=""),"",'05_공통역량평가'!I70)</f>
        <v>B</v>
      </c>
      <c r="L12" s="52">
        <f>IFERROR(IF(AND(LEN(J12)&gt;0,LEN(K12)&gt;0),'02_의사결정·종합결과'!$B$7*IFERROR(CHOOSE(FIND(J12,"DCBAS"),1,2,3,4,5),0)+'02_의사결정·종합결과'!$B$8*IFERROR(CHOOSE(FIND(K12,"DCBAS"),1,2,3,4,5),0),IF(LEN(J12)&gt;0,IFERROR(CHOOSE(FIND(J12,"DCBAS"),1,2,3,4,5),0),IF(LEN(K12)&gt;0,IFERROR(CHOOSE(FIND(K12,"DCBAS"),1,2,3,4,5),0),""))),"")</f>
        <v>3</v>
      </c>
      <c r="M12" s="19" t="str">
        <f>IF(OR('01_인적정보'!B12="",'06_직무역량평가'!J12=""),"",'06_직무역량평가'!J12)</f>
        <v>B</v>
      </c>
      <c r="N12" s="19" t="str">
        <f>IF(OR('01_인적정보'!B12="",'06_직무역량평가'!J70=""),"",'06_직무역량평가'!J70)</f>
        <v>B</v>
      </c>
      <c r="O12" s="52">
        <f>IFERROR(IF(AND(LEN(M12)&gt;0,LEN(N12)&gt;0),'02_의사결정·종합결과'!$B$7*IFERROR(CHOOSE(FIND(M12,"DCBAS"),1,2,3,4,5),0)+'02_의사결정·종합결과'!$B$8*IFERROR(CHOOSE(FIND(N12,"DCBAS"),1,2,3,4,5),0),IF(LEN(M12)&gt;0,IFERROR(CHOOSE(FIND(M12,"DCBAS"),1,2,3,4,5),0),IF(LEN(N12)&gt;0,IFERROR(CHOOSE(FIND(N12,"DCBAS"),1,2,3,4,5),0),""))),"")</f>
        <v>3</v>
      </c>
      <c r="P12" s="43">
        <f>IFERROR(VLOOKUP(F12,'02_의사결정·종합결과'!$A$16:$D$22,2,FALSE()),"")</f>
        <v>0.35</v>
      </c>
      <c r="Q12" s="43">
        <f>IFERROR(VLOOKUP(F12,'02_의사결정·종합결과'!$A$16:$D$22,3,FALSE()),"")</f>
        <v>0.3</v>
      </c>
      <c r="R12" s="43">
        <f>IFERROR(VLOOKUP(F12,'02_의사결정·종합결과'!$A$16:$D$22,4,FALSE()),"")</f>
        <v>0.35</v>
      </c>
      <c r="S12" s="64">
        <f t="shared" si="0"/>
        <v>3.1749999999999998</v>
      </c>
      <c r="T12" s="53" t="str">
        <f t="shared" si="1"/>
        <v>B</v>
      </c>
      <c r="U12" s="65" t="str">
        <f>IF(OR(S12="",NOT(ISNUMBER(S12)),S12&lt;0.5),"",IF('02_의사결정·종합결과'!$B$6="절대평가",T12,IF(IFERROR(RANK(S12,$S$6:$S$55,0)/MAX(COUNTIF($S$6:$S$55,"&gt;0"),1),0)&lt;='02_의사결정·종합결과'!$B$11,"S",IF(IFERROR(RANK(S12,$S$6:$S$55,0)/MAX(COUNTIF($S$6:$S$55,"&gt;0"),1),0)&lt;='02_의사결정·종합결과'!$B$11+'02_의사결정·종합결과'!$C$11,"A",IF(IFERROR(RANK(S12,$S$6:$S$55,0)/MAX(COUNTIF($S$6:$S$55,"&gt;0"),1),0)&lt;='02_의사결정·종합결과'!$B$11+'02_의사결정·종합결과'!$C$11+'02_의사결정·종합결과'!$D$11,"B",IF(IFERROR(RANK(S12,$S$6:$S$55,0)/MAX(COUNTIF($S$6:$S$55,"&gt;0"),1),0)&lt;='02_의사결정·종합결과'!$B$11+'02_의사결정·종합결과'!$C$11+'02_의사결정·종합결과'!$D$11+'02_의사결정·종합결과'!$E$11,"C","D"))))))</f>
        <v>B</v>
      </c>
      <c r="V12" s="10"/>
    </row>
    <row r="13" spans="1:22" ht="21.75" customHeight="1">
      <c r="A13" s="4">
        <f>'01_인적정보'!A13</f>
        <v>8</v>
      </c>
      <c r="B13" s="4" t="str">
        <f>'01_인적정보'!B13</f>
        <v>BSS-008</v>
      </c>
      <c r="C13" s="13" t="str">
        <f>'01_인적정보'!C13</f>
        <v>OOO</v>
      </c>
      <c r="D13" s="13" t="str">
        <f>'01_인적정보'!D13</f>
        <v>교육 및 기술지원</v>
      </c>
      <c r="E13" s="13" t="str">
        <f>'01_인적정보'!E13</f>
        <v>기술지원</v>
      </c>
      <c r="F13" s="40" t="str">
        <f>'01_인적정보'!H13</f>
        <v>G5-M</v>
      </c>
      <c r="G13" s="19" t="str">
        <f>IF(OR('01_인적정보'!B13="",'04_역할평가'!I13=""),"",'04_역할평가'!I13)</f>
        <v>C</v>
      </c>
      <c r="H13" s="19" t="str">
        <f>IF(OR('01_인적정보'!B13="",'04_역할평가'!I71=""),"",'04_역할평가'!I71)</f>
        <v>C</v>
      </c>
      <c r="I13" s="52">
        <f>IFERROR(IF(AND(LEN(G13)&gt;0,LEN(H13)&gt;0),'02_의사결정·종합결과'!$B$7*IFERROR(CHOOSE(FIND(G13,"DCBAS"),1,2,3,4,5),0)+'02_의사결정·종합결과'!$B$8*IFERROR(CHOOSE(FIND(H13,"DCBAS"),1,2,3,4,5),0),IF(LEN(G13)&gt;0,IFERROR(CHOOSE(FIND(G13,"DCBAS"),1,2,3,4,5),0),IF(LEN(H13)&gt;0,IFERROR(CHOOSE(FIND(H13,"DCBAS"),1,2,3,4,5),0),""))),"")</f>
        <v>2</v>
      </c>
      <c r="J13" s="19" t="str">
        <f>IF(OR('01_인적정보'!B13="",'05_공통역량평가'!I13=""),"",'05_공통역량평가'!I13)</f>
        <v>B</v>
      </c>
      <c r="K13" s="19" t="str">
        <f>IF(OR('01_인적정보'!B13="",'05_공통역량평가'!I71=""),"",'05_공통역량평가'!I71)</f>
        <v>C</v>
      </c>
      <c r="L13" s="52">
        <f>IFERROR(IF(AND(LEN(J13)&gt;0,LEN(K13)&gt;0),'02_의사결정·종합결과'!$B$7*IFERROR(CHOOSE(FIND(J13,"DCBAS"),1,2,3,4,5),0)+'02_의사결정·종합결과'!$B$8*IFERROR(CHOOSE(FIND(K13,"DCBAS"),1,2,3,4,5),0),IF(LEN(J13)&gt;0,IFERROR(CHOOSE(FIND(J13,"DCBAS"),1,2,3,4,5),0),IF(LEN(K13)&gt;0,IFERROR(CHOOSE(FIND(K13,"DCBAS"),1,2,3,4,5),0),""))),"")</f>
        <v>2.5</v>
      </c>
      <c r="M13" s="19" t="str">
        <f>IF(OR('01_인적정보'!B13="",'06_직무역량평가'!J13=""),"",'06_직무역량평가'!J13)</f>
        <v>C</v>
      </c>
      <c r="N13" s="19" t="str">
        <f>IF(OR('01_인적정보'!B13="",'06_직무역량평가'!J71=""),"",'06_직무역량평가'!J71)</f>
        <v>C</v>
      </c>
      <c r="O13" s="52">
        <f>IFERROR(IF(AND(LEN(M13)&gt;0,LEN(N13)&gt;0),'02_의사결정·종합결과'!$B$7*IFERROR(CHOOSE(FIND(M13,"DCBAS"),1,2,3,4,5),0)+'02_의사결정·종합결과'!$B$8*IFERROR(CHOOSE(FIND(N13,"DCBAS"),1,2,3,4,5),0),IF(LEN(M13)&gt;0,IFERROR(CHOOSE(FIND(M13,"DCBAS"),1,2,3,4,5),0),IF(LEN(N13)&gt;0,IFERROR(CHOOSE(FIND(N13,"DCBAS"),1,2,3,4,5),0),""))),"")</f>
        <v>2</v>
      </c>
      <c r="P13" s="43">
        <f>IFERROR(VLOOKUP(F13,'02_의사결정·종합결과'!$A$16:$D$22,2,FALSE()),"")</f>
        <v>0.35</v>
      </c>
      <c r="Q13" s="43">
        <f>IFERROR(VLOOKUP(F13,'02_의사결정·종합결과'!$A$16:$D$22,3,FALSE()),"")</f>
        <v>0.3</v>
      </c>
      <c r="R13" s="43">
        <f>IFERROR(VLOOKUP(F13,'02_의사결정·종합결과'!$A$16:$D$22,4,FALSE()),"")</f>
        <v>0.35</v>
      </c>
      <c r="S13" s="64">
        <f t="shared" si="0"/>
        <v>2.15</v>
      </c>
      <c r="T13" s="53" t="str">
        <f t="shared" si="1"/>
        <v>C</v>
      </c>
      <c r="U13" s="65" t="str">
        <f>IF(OR(S13="",NOT(ISNUMBER(S13)),S13&lt;0.5),"",IF('02_의사결정·종합결과'!$B$6="절대평가",T13,IF(IFERROR(RANK(S13,$S$6:$S$55,0)/MAX(COUNTIF($S$6:$S$55,"&gt;0"),1),0)&lt;='02_의사결정·종합결과'!$B$11,"S",IF(IFERROR(RANK(S13,$S$6:$S$55,0)/MAX(COUNTIF($S$6:$S$55,"&gt;0"),1),0)&lt;='02_의사결정·종합결과'!$B$11+'02_의사결정·종합결과'!$C$11,"A",IF(IFERROR(RANK(S13,$S$6:$S$55,0)/MAX(COUNTIF($S$6:$S$55,"&gt;0"),1),0)&lt;='02_의사결정·종합결과'!$B$11+'02_의사결정·종합결과'!$C$11+'02_의사결정·종합결과'!$D$11,"B",IF(IFERROR(RANK(S13,$S$6:$S$55,0)/MAX(COUNTIF($S$6:$S$55,"&gt;0"),1),0)&lt;='02_의사결정·종합결과'!$B$11+'02_의사결정·종합결과'!$C$11+'02_의사결정·종합결과'!$D$11+'02_의사결정·종합결과'!$E$11,"C","D"))))))</f>
        <v>C</v>
      </c>
      <c r="V13" s="10"/>
    </row>
    <row r="14" spans="1:22" ht="21.75" customHeight="1">
      <c r="A14" s="4">
        <f>'01_인적정보'!A14</f>
        <v>9</v>
      </c>
      <c r="B14" s="4" t="str">
        <f>'01_인적정보'!B14</f>
        <v>BSS-009</v>
      </c>
      <c r="C14" s="13" t="str">
        <f>'01_인적정보'!C14</f>
        <v>OOO</v>
      </c>
      <c r="D14" s="13" t="str">
        <f>'01_인적정보'!D14</f>
        <v>설계</v>
      </c>
      <c r="E14" s="13" t="str">
        <f>'01_인적정보'!E14</f>
        <v>BIM컨설팅</v>
      </c>
      <c r="F14" s="40" t="str">
        <f>'01_인적정보'!H14</f>
        <v>G5-M</v>
      </c>
      <c r="G14" s="19" t="str">
        <f>IF(OR('01_인적정보'!B14="",'04_역할평가'!I14=""),"",'04_역할평가'!I14)</f>
        <v>A</v>
      </c>
      <c r="H14" s="19" t="str">
        <f>IF(OR('01_인적정보'!B14="",'04_역할평가'!I72=""),"",'04_역할평가'!I72)</f>
        <v>A</v>
      </c>
      <c r="I14" s="52">
        <f>IFERROR(IF(AND(LEN(G14)&gt;0,LEN(H14)&gt;0),'02_의사결정·종합결과'!$B$7*IFERROR(CHOOSE(FIND(G14,"DCBAS"),1,2,3,4,5),0)+'02_의사결정·종합결과'!$B$8*IFERROR(CHOOSE(FIND(H14,"DCBAS"),1,2,3,4,5),0),IF(LEN(G14)&gt;0,IFERROR(CHOOSE(FIND(G14,"DCBAS"),1,2,3,4,5),0),IF(LEN(H14)&gt;0,IFERROR(CHOOSE(FIND(H14,"DCBAS"),1,2,3,4,5),0),""))),"")</f>
        <v>4</v>
      </c>
      <c r="J14" s="19" t="str">
        <f>IF(OR('01_인적정보'!B14="",'05_공통역량평가'!I14=""),"",'05_공통역량평가'!I14)</f>
        <v>S</v>
      </c>
      <c r="K14" s="19" t="str">
        <f>IF(OR('01_인적정보'!B14="",'05_공통역량평가'!I72=""),"",'05_공통역량평가'!I72)</f>
        <v>A</v>
      </c>
      <c r="L14" s="52">
        <f>IFERROR(IF(AND(LEN(J14)&gt;0,LEN(K14)&gt;0),'02_의사결정·종합결과'!$B$7*IFERROR(CHOOSE(FIND(J14,"DCBAS"),1,2,3,4,5),0)+'02_의사결정·종합결과'!$B$8*IFERROR(CHOOSE(FIND(K14,"DCBAS"),1,2,3,4,5),0),IF(LEN(J14)&gt;0,IFERROR(CHOOSE(FIND(J14,"DCBAS"),1,2,3,4,5),0),IF(LEN(K14)&gt;0,IFERROR(CHOOSE(FIND(K14,"DCBAS"),1,2,3,4,5),0),""))),"")</f>
        <v>4.5</v>
      </c>
      <c r="M14" s="19" t="str">
        <f>IF(OR('01_인적정보'!B14="",'06_직무역량평가'!J14=""),"",'06_직무역량평가'!J14)</f>
        <v>A</v>
      </c>
      <c r="N14" s="19" t="str">
        <f>IF(OR('01_인적정보'!B14="",'06_직무역량평가'!J72=""),"",'06_직무역량평가'!J72)</f>
        <v>A</v>
      </c>
      <c r="O14" s="52">
        <f>IFERROR(IF(AND(LEN(M14)&gt;0,LEN(N14)&gt;0),'02_의사결정·종합결과'!$B$7*IFERROR(CHOOSE(FIND(M14,"DCBAS"),1,2,3,4,5),0)+'02_의사결정·종합결과'!$B$8*IFERROR(CHOOSE(FIND(N14,"DCBAS"),1,2,3,4,5),0),IF(LEN(M14)&gt;0,IFERROR(CHOOSE(FIND(M14,"DCBAS"),1,2,3,4,5),0),IF(LEN(N14)&gt;0,IFERROR(CHOOSE(FIND(N14,"DCBAS"),1,2,3,4,5),0),""))),"")</f>
        <v>4</v>
      </c>
      <c r="P14" s="43">
        <f>IFERROR(VLOOKUP(F14,'02_의사결정·종합결과'!$A$16:$D$22,2,FALSE()),"")</f>
        <v>0.35</v>
      </c>
      <c r="Q14" s="43">
        <f>IFERROR(VLOOKUP(F14,'02_의사결정·종합결과'!$A$16:$D$22,3,FALSE()),"")</f>
        <v>0.3</v>
      </c>
      <c r="R14" s="43">
        <f>IFERROR(VLOOKUP(F14,'02_의사결정·종합결과'!$A$16:$D$22,4,FALSE()),"")</f>
        <v>0.35</v>
      </c>
      <c r="S14" s="64">
        <f t="shared" si="0"/>
        <v>4.1500000000000004</v>
      </c>
      <c r="T14" s="53" t="str">
        <f t="shared" si="1"/>
        <v>A</v>
      </c>
      <c r="U14" s="65" t="str">
        <f>IF(OR(S14="",NOT(ISNUMBER(S14)),S14&lt;0.5),"",IF('02_의사결정·종합결과'!$B$6="절대평가",T14,IF(IFERROR(RANK(S14,$S$6:$S$55,0)/MAX(COUNTIF($S$6:$S$55,"&gt;0"),1),0)&lt;='02_의사결정·종합결과'!$B$11,"S",IF(IFERROR(RANK(S14,$S$6:$S$55,0)/MAX(COUNTIF($S$6:$S$55,"&gt;0"),1),0)&lt;='02_의사결정·종합결과'!$B$11+'02_의사결정·종합결과'!$C$11,"A",IF(IFERROR(RANK(S14,$S$6:$S$55,0)/MAX(COUNTIF($S$6:$S$55,"&gt;0"),1),0)&lt;='02_의사결정·종합결과'!$B$11+'02_의사결정·종합결과'!$C$11+'02_의사결정·종합결과'!$D$11,"B",IF(IFERROR(RANK(S14,$S$6:$S$55,0)/MAX(COUNTIF($S$6:$S$55,"&gt;0"),1),0)&lt;='02_의사결정·종합결과'!$B$11+'02_의사결정·종합결과'!$C$11+'02_의사결정·종합결과'!$D$11+'02_의사결정·종합결과'!$E$11,"C","D"))))))</f>
        <v>A</v>
      </c>
      <c r="V14" s="10"/>
    </row>
    <row r="15" spans="1:22" ht="21.75" customHeight="1">
      <c r="A15" s="4">
        <f>'01_인적정보'!A15</f>
        <v>10</v>
      </c>
      <c r="B15" s="4" t="str">
        <f>'01_인적정보'!B15</f>
        <v>BSS-010</v>
      </c>
      <c r="C15" s="13" t="str">
        <f>'01_인적정보'!C15</f>
        <v>OOO</v>
      </c>
      <c r="D15" s="13" t="str">
        <f>'01_인적정보'!D15</f>
        <v>설계</v>
      </c>
      <c r="E15" s="13" t="str">
        <f>'01_인적정보'!E15</f>
        <v>BIM컨설팅</v>
      </c>
      <c r="F15" s="40" t="str">
        <f>'01_인적정보'!H15</f>
        <v>G5-S</v>
      </c>
      <c r="G15" s="19" t="str">
        <f>IF(OR('01_인적정보'!B15="",'04_역할평가'!I15=""),"",'04_역할평가'!I15)</f>
        <v>A</v>
      </c>
      <c r="H15" s="19" t="str">
        <f>IF(OR('01_인적정보'!B15="",'04_역할평가'!I73=""),"",'04_역할평가'!I73)</f>
        <v>A</v>
      </c>
      <c r="I15" s="52">
        <f>IFERROR(IF(AND(LEN(G15)&gt;0,LEN(H15)&gt;0),'02_의사결정·종합결과'!$B$7*IFERROR(CHOOSE(FIND(G15,"DCBAS"),1,2,3,4,5),0)+'02_의사결정·종합결과'!$B$8*IFERROR(CHOOSE(FIND(H15,"DCBAS"),1,2,3,4,5),0),IF(LEN(G15)&gt;0,IFERROR(CHOOSE(FIND(G15,"DCBAS"),1,2,3,4,5),0),IF(LEN(H15)&gt;0,IFERROR(CHOOSE(FIND(H15,"DCBAS"),1,2,3,4,5),0),""))),"")</f>
        <v>4</v>
      </c>
      <c r="J15" s="19" t="str">
        <f>IF(OR('01_인적정보'!B15="",'05_공통역량평가'!I15=""),"",'05_공통역량평가'!I15)</f>
        <v>A</v>
      </c>
      <c r="K15" s="19" t="str">
        <f>IF(OR('01_인적정보'!B15="",'05_공통역량평가'!I73=""),"",'05_공통역량평가'!I73)</f>
        <v>A</v>
      </c>
      <c r="L15" s="52">
        <f>IFERROR(IF(AND(LEN(J15)&gt;0,LEN(K15)&gt;0),'02_의사결정·종합결과'!$B$7*IFERROR(CHOOSE(FIND(J15,"DCBAS"),1,2,3,4,5),0)+'02_의사결정·종합결과'!$B$8*IFERROR(CHOOSE(FIND(K15,"DCBAS"),1,2,3,4,5),0),IF(LEN(J15)&gt;0,IFERROR(CHOOSE(FIND(J15,"DCBAS"),1,2,3,4,5),0),IF(LEN(K15)&gt;0,IFERROR(CHOOSE(FIND(K15,"DCBAS"),1,2,3,4,5),0),""))),"")</f>
        <v>4</v>
      </c>
      <c r="M15" s="19" t="str">
        <f>IF(OR('01_인적정보'!B15="",'06_직무역량평가'!J15=""),"",'06_직무역량평가'!J15)</f>
        <v>B</v>
      </c>
      <c r="N15" s="19" t="str">
        <f>IF(OR('01_인적정보'!B15="",'06_직무역량평가'!J73=""),"",'06_직무역량평가'!J73)</f>
        <v>B</v>
      </c>
      <c r="O15" s="52">
        <f>IFERROR(IF(AND(LEN(M15)&gt;0,LEN(N15)&gt;0),'02_의사결정·종합결과'!$B$7*IFERROR(CHOOSE(FIND(M15,"DCBAS"),1,2,3,4,5),0)+'02_의사결정·종합결과'!$B$8*IFERROR(CHOOSE(FIND(N15,"DCBAS"),1,2,3,4,5),0),IF(LEN(M15)&gt;0,IFERROR(CHOOSE(FIND(M15,"DCBAS"),1,2,3,4,5),0),IF(LEN(N15)&gt;0,IFERROR(CHOOSE(FIND(N15,"DCBAS"),1,2,3,4,5),0),""))),"")</f>
        <v>3</v>
      </c>
      <c r="P15" s="43">
        <f>IFERROR(VLOOKUP(F15,'02_의사결정·종합결과'!$A$16:$D$22,2,FALSE()),"")</f>
        <v>0.3</v>
      </c>
      <c r="Q15" s="43">
        <f>IFERROR(VLOOKUP(F15,'02_의사결정·종합결과'!$A$16:$D$22,3,FALSE()),"")</f>
        <v>0.3</v>
      </c>
      <c r="R15" s="43">
        <f>IFERROR(VLOOKUP(F15,'02_의사결정·종합결과'!$A$16:$D$22,4,FALSE()),"")</f>
        <v>0.4</v>
      </c>
      <c r="S15" s="64">
        <f t="shared" si="0"/>
        <v>3.6</v>
      </c>
      <c r="T15" s="53" t="str">
        <f t="shared" si="1"/>
        <v>A</v>
      </c>
      <c r="U15" s="65" t="str">
        <f>IF(OR(S15="",NOT(ISNUMBER(S15)),S15&lt;0.5),"",IF('02_의사결정·종합결과'!$B$6="절대평가",T15,IF(IFERROR(RANK(S15,$S$6:$S$55,0)/MAX(COUNTIF($S$6:$S$55,"&gt;0"),1),0)&lt;='02_의사결정·종합결과'!$B$11,"S",IF(IFERROR(RANK(S15,$S$6:$S$55,0)/MAX(COUNTIF($S$6:$S$55,"&gt;0"),1),0)&lt;='02_의사결정·종합결과'!$B$11+'02_의사결정·종합결과'!$C$11,"A",IF(IFERROR(RANK(S15,$S$6:$S$55,0)/MAX(COUNTIF($S$6:$S$55,"&gt;0"),1),0)&lt;='02_의사결정·종합결과'!$B$11+'02_의사결정·종합결과'!$C$11+'02_의사결정·종합결과'!$D$11,"B",IF(IFERROR(RANK(S15,$S$6:$S$55,0)/MAX(COUNTIF($S$6:$S$55,"&gt;0"),1),0)&lt;='02_의사결정·종합결과'!$B$11+'02_의사결정·종합결과'!$C$11+'02_의사결정·종합결과'!$D$11+'02_의사결정·종합결과'!$E$11,"C","D"))))))</f>
        <v>B</v>
      </c>
      <c r="V15" s="10"/>
    </row>
    <row r="16" spans="1:22" ht="21.75" customHeight="1">
      <c r="A16" s="4">
        <f>'01_인적정보'!A16</f>
        <v>11</v>
      </c>
      <c r="B16" s="4" t="str">
        <f>'01_인적정보'!B16</f>
        <v>BSS-011</v>
      </c>
      <c r="C16" s="13" t="str">
        <f>'01_인적정보'!C16</f>
        <v>OOO</v>
      </c>
      <c r="D16" s="13" t="str">
        <f>'01_인적정보'!D16</f>
        <v>설계</v>
      </c>
      <c r="E16" s="13" t="str">
        <f>'01_인적정보'!E16</f>
        <v>BIM컨설팅</v>
      </c>
      <c r="F16" s="40" t="str">
        <f>'01_인적정보'!H16</f>
        <v>G5-S</v>
      </c>
      <c r="G16" s="19" t="str">
        <f>IF(OR('01_인적정보'!B16="",'04_역할평가'!I16=""),"",'04_역할평가'!I16)</f>
        <v>C</v>
      </c>
      <c r="H16" s="19" t="str">
        <f>IF(OR('01_인적정보'!B16="",'04_역할평가'!I74=""),"",'04_역할평가'!I74)</f>
        <v>B</v>
      </c>
      <c r="I16" s="52">
        <f>IFERROR(IF(AND(LEN(G16)&gt;0,LEN(H16)&gt;0),'02_의사결정·종합결과'!$B$7*IFERROR(CHOOSE(FIND(G16,"DCBAS"),1,2,3,4,5),0)+'02_의사결정·종합결과'!$B$8*IFERROR(CHOOSE(FIND(H16,"DCBAS"),1,2,3,4,5),0),IF(LEN(G16)&gt;0,IFERROR(CHOOSE(FIND(G16,"DCBAS"),1,2,3,4,5),0),IF(LEN(H16)&gt;0,IFERROR(CHOOSE(FIND(H16,"DCBAS"),1,2,3,4,5),0),""))),"")</f>
        <v>2.5</v>
      </c>
      <c r="J16" s="19" t="str">
        <f>IF(OR('01_인적정보'!B16="",'05_공통역량평가'!I16=""),"",'05_공통역량평가'!I16)</f>
        <v>B</v>
      </c>
      <c r="K16" s="19" t="str">
        <f>IF(OR('01_인적정보'!B16="",'05_공통역량평가'!I74=""),"",'05_공통역량평가'!I74)</f>
        <v>C</v>
      </c>
      <c r="L16" s="52">
        <f>IFERROR(IF(AND(LEN(J16)&gt;0,LEN(K16)&gt;0),'02_의사결정·종합결과'!$B$7*IFERROR(CHOOSE(FIND(J16,"DCBAS"),1,2,3,4,5),0)+'02_의사결정·종합결과'!$B$8*IFERROR(CHOOSE(FIND(K16,"DCBAS"),1,2,3,4,5),0),IF(LEN(J16)&gt;0,IFERROR(CHOOSE(FIND(J16,"DCBAS"),1,2,3,4,5),0),IF(LEN(K16)&gt;0,IFERROR(CHOOSE(FIND(K16,"DCBAS"),1,2,3,4,5),0),""))),"")</f>
        <v>2.5</v>
      </c>
      <c r="M16" s="19" t="str">
        <f>IF(OR('01_인적정보'!B16="",'06_직무역량평가'!J16=""),"",'06_직무역량평가'!J16)</f>
        <v>B</v>
      </c>
      <c r="N16" s="19" t="str">
        <f>IF(OR('01_인적정보'!B16="",'06_직무역량평가'!J74=""),"",'06_직무역량평가'!J74)</f>
        <v>B</v>
      </c>
      <c r="O16" s="52">
        <f>IFERROR(IF(AND(LEN(M16)&gt;0,LEN(N16)&gt;0),'02_의사결정·종합결과'!$B$7*IFERROR(CHOOSE(FIND(M16,"DCBAS"),1,2,3,4,5),0)+'02_의사결정·종합결과'!$B$8*IFERROR(CHOOSE(FIND(N16,"DCBAS"),1,2,3,4,5),0),IF(LEN(M16)&gt;0,IFERROR(CHOOSE(FIND(M16,"DCBAS"),1,2,3,4,5),0),IF(LEN(N16)&gt;0,IFERROR(CHOOSE(FIND(N16,"DCBAS"),1,2,3,4,5),0),""))),"")</f>
        <v>3</v>
      </c>
      <c r="P16" s="43">
        <f>IFERROR(VLOOKUP(F16,'02_의사결정·종합결과'!$A$16:$D$22,2,FALSE()),"")</f>
        <v>0.3</v>
      </c>
      <c r="Q16" s="43">
        <f>IFERROR(VLOOKUP(F16,'02_의사결정·종합결과'!$A$16:$D$22,3,FALSE()),"")</f>
        <v>0.3</v>
      </c>
      <c r="R16" s="43">
        <f>IFERROR(VLOOKUP(F16,'02_의사결정·종합결과'!$A$16:$D$22,4,FALSE()),"")</f>
        <v>0.4</v>
      </c>
      <c r="S16" s="64">
        <f t="shared" si="0"/>
        <v>2.7</v>
      </c>
      <c r="T16" s="53" t="str">
        <f t="shared" si="1"/>
        <v>B</v>
      </c>
      <c r="U16" s="65" t="str">
        <f>IF(OR(S16="",NOT(ISNUMBER(S16)),S16&lt;0.5),"",IF('02_의사결정·종합결과'!$B$6="절대평가",T16,IF(IFERROR(RANK(S16,$S$6:$S$55,0)/MAX(COUNTIF($S$6:$S$55,"&gt;0"),1),0)&lt;='02_의사결정·종합결과'!$B$11,"S",IF(IFERROR(RANK(S16,$S$6:$S$55,0)/MAX(COUNTIF($S$6:$S$55,"&gt;0"),1),0)&lt;='02_의사결정·종합결과'!$B$11+'02_의사결정·종합결과'!$C$11,"A",IF(IFERROR(RANK(S16,$S$6:$S$55,0)/MAX(COUNTIF($S$6:$S$55,"&gt;0"),1),0)&lt;='02_의사결정·종합결과'!$B$11+'02_의사결정·종합결과'!$C$11+'02_의사결정·종합결과'!$D$11,"B",IF(IFERROR(RANK(S16,$S$6:$S$55,0)/MAX(COUNTIF($S$6:$S$55,"&gt;0"),1),0)&lt;='02_의사결정·종합결과'!$B$11+'02_의사결정·종합결과'!$C$11+'02_의사결정·종합결과'!$D$11+'02_의사결정·종합결과'!$E$11,"C","D"))))))</f>
        <v>C</v>
      </c>
      <c r="V16" s="10"/>
    </row>
    <row r="17" spans="1:22" ht="21.75" customHeight="1">
      <c r="A17" s="4">
        <f>'01_인적정보'!A17</f>
        <v>12</v>
      </c>
      <c r="B17" s="4" t="str">
        <f>'01_인적정보'!B17</f>
        <v>BSS-012</v>
      </c>
      <c r="C17" s="13" t="str">
        <f>'01_인적정보'!C17</f>
        <v>OOO</v>
      </c>
      <c r="D17" s="13" t="str">
        <f>'01_인적정보'!D17</f>
        <v>경영관리</v>
      </c>
      <c r="E17" s="13" t="str">
        <f>'01_인적정보'!E17</f>
        <v>경영전략기획</v>
      </c>
      <c r="F17" s="40" t="str">
        <f>'01_인적정보'!H17</f>
        <v>G5-M</v>
      </c>
      <c r="G17" s="19" t="str">
        <f>IF(OR('01_인적정보'!B17="",'04_역할평가'!I17=""),"",'04_역할평가'!I17)</f>
        <v>C</v>
      </c>
      <c r="H17" s="19" t="str">
        <f>IF(OR('01_인적정보'!B17="",'04_역할평가'!I75=""),"",'04_역할평가'!I75)</f>
        <v>C</v>
      </c>
      <c r="I17" s="52">
        <f>IFERROR(IF(AND(LEN(G17)&gt;0,LEN(H17)&gt;0),'02_의사결정·종합결과'!$B$7*IFERROR(CHOOSE(FIND(G17,"DCBAS"),1,2,3,4,5),0)+'02_의사결정·종합결과'!$B$8*IFERROR(CHOOSE(FIND(H17,"DCBAS"),1,2,3,4,5),0),IF(LEN(G17)&gt;0,IFERROR(CHOOSE(FIND(G17,"DCBAS"),1,2,3,4,5),0),IF(LEN(H17)&gt;0,IFERROR(CHOOSE(FIND(H17,"DCBAS"),1,2,3,4,5),0),""))),"")</f>
        <v>2</v>
      </c>
      <c r="J17" s="19" t="str">
        <f>IF(OR('01_인적정보'!B17="",'05_공통역량평가'!I17=""),"",'05_공통역량평가'!I17)</f>
        <v>C</v>
      </c>
      <c r="K17" s="19" t="str">
        <f>IF(OR('01_인적정보'!B17="",'05_공통역량평가'!I75=""),"",'05_공통역량평가'!I75)</f>
        <v>D</v>
      </c>
      <c r="L17" s="52">
        <f>IFERROR(IF(AND(LEN(J17)&gt;0,LEN(K17)&gt;0),'02_의사결정·종합결과'!$B$7*IFERROR(CHOOSE(FIND(J17,"DCBAS"),1,2,3,4,5),0)+'02_의사결정·종합결과'!$B$8*IFERROR(CHOOSE(FIND(K17,"DCBAS"),1,2,3,4,5),0),IF(LEN(J17)&gt;0,IFERROR(CHOOSE(FIND(J17,"DCBAS"),1,2,3,4,5),0),IF(LEN(K17)&gt;0,IFERROR(CHOOSE(FIND(K17,"DCBAS"),1,2,3,4,5),0),""))),"")</f>
        <v>1.5</v>
      </c>
      <c r="M17" s="19" t="str">
        <f>IF(OR('01_인적정보'!B17="",'06_직무역량평가'!J17=""),"",'06_직무역량평가'!J17)</f>
        <v>C</v>
      </c>
      <c r="N17" s="19" t="str">
        <f>IF(OR('01_인적정보'!B17="",'06_직무역량평가'!J75=""),"",'06_직무역량평가'!J75)</f>
        <v>C</v>
      </c>
      <c r="O17" s="52">
        <f>IFERROR(IF(AND(LEN(M17)&gt;0,LEN(N17)&gt;0),'02_의사결정·종합결과'!$B$7*IFERROR(CHOOSE(FIND(M17,"DCBAS"),1,2,3,4,5),0)+'02_의사결정·종합결과'!$B$8*IFERROR(CHOOSE(FIND(N17,"DCBAS"),1,2,3,4,5),0),IF(LEN(M17)&gt;0,IFERROR(CHOOSE(FIND(M17,"DCBAS"),1,2,3,4,5),0),IF(LEN(N17)&gt;0,IFERROR(CHOOSE(FIND(N17,"DCBAS"),1,2,3,4,5),0),""))),"")</f>
        <v>2</v>
      </c>
      <c r="P17" s="43">
        <f>IFERROR(VLOOKUP(F17,'02_의사결정·종합결과'!$A$16:$D$22,2,FALSE()),"")</f>
        <v>0.35</v>
      </c>
      <c r="Q17" s="43">
        <f>IFERROR(VLOOKUP(F17,'02_의사결정·종합결과'!$A$16:$D$22,3,FALSE()),"")</f>
        <v>0.3</v>
      </c>
      <c r="R17" s="43">
        <f>IFERROR(VLOOKUP(F17,'02_의사결정·종합결과'!$A$16:$D$22,4,FALSE()),"")</f>
        <v>0.35</v>
      </c>
      <c r="S17" s="64">
        <f t="shared" si="0"/>
        <v>1.8499999999999999</v>
      </c>
      <c r="T17" s="53" t="str">
        <f t="shared" si="1"/>
        <v>C</v>
      </c>
      <c r="U17" s="65" t="str">
        <f>IF(OR(S17="",NOT(ISNUMBER(S17)),S17&lt;0.5),"",IF('02_의사결정·종합결과'!$B$6="절대평가",T17,IF(IFERROR(RANK(S17,$S$6:$S$55,0)/MAX(COUNTIF($S$6:$S$55,"&gt;0"),1),0)&lt;='02_의사결정·종합결과'!$B$11,"S",IF(IFERROR(RANK(S17,$S$6:$S$55,0)/MAX(COUNTIF($S$6:$S$55,"&gt;0"),1),0)&lt;='02_의사결정·종합결과'!$B$11+'02_의사결정·종합결과'!$C$11,"A",IF(IFERROR(RANK(S17,$S$6:$S$55,0)/MAX(COUNTIF($S$6:$S$55,"&gt;0"),1),0)&lt;='02_의사결정·종합결과'!$B$11+'02_의사결정·종합결과'!$C$11+'02_의사결정·종합결과'!$D$11,"B",IF(IFERROR(RANK(S17,$S$6:$S$55,0)/MAX(COUNTIF($S$6:$S$55,"&gt;0"),1),0)&lt;='02_의사결정·종합결과'!$B$11+'02_의사결정·종합결과'!$C$11+'02_의사결정·종합결과'!$D$11+'02_의사결정·종합결과'!$E$11,"C","D"))))))</f>
        <v>D</v>
      </c>
      <c r="V17" s="10"/>
    </row>
    <row r="18" spans="1:22" ht="21.75" customHeight="1">
      <c r="A18" s="4">
        <f>'01_인적정보'!A18</f>
        <v>13</v>
      </c>
      <c r="B18" s="4" t="str">
        <f>'01_인적정보'!B18</f>
        <v>BSS-013</v>
      </c>
      <c r="C18" s="13" t="str">
        <f>'01_인적정보'!C18</f>
        <v>OOO</v>
      </c>
      <c r="D18" s="13" t="str">
        <f>'01_인적정보'!D18</f>
        <v>설계</v>
      </c>
      <c r="E18" s="13" t="str">
        <f>'01_인적정보'!E18</f>
        <v>BIM컨설팅</v>
      </c>
      <c r="F18" s="40" t="str">
        <f>'01_인적정보'!H18</f>
        <v>G5-S</v>
      </c>
      <c r="G18" s="19" t="str">
        <f>IF(OR('01_인적정보'!B18="",'04_역할평가'!I18=""),"",'04_역할평가'!I18)</f>
        <v>S</v>
      </c>
      <c r="H18" s="19" t="str">
        <f>IF(OR('01_인적정보'!B18="",'04_역할평가'!I76=""),"",'04_역할평가'!I76)</f>
        <v>S</v>
      </c>
      <c r="I18" s="52">
        <f>IFERROR(IF(AND(LEN(G18)&gt;0,LEN(H18)&gt;0),'02_의사결정·종합결과'!$B$7*IFERROR(CHOOSE(FIND(G18,"DCBAS"),1,2,3,4,5),0)+'02_의사결정·종합결과'!$B$8*IFERROR(CHOOSE(FIND(H18,"DCBAS"),1,2,3,4,5),0),IF(LEN(G18)&gt;0,IFERROR(CHOOSE(FIND(G18,"DCBAS"),1,2,3,4,5),0),IF(LEN(H18)&gt;0,IFERROR(CHOOSE(FIND(H18,"DCBAS"),1,2,3,4,5),0),""))),"")</f>
        <v>5</v>
      </c>
      <c r="J18" s="19" t="str">
        <f>IF(OR('01_인적정보'!B18="",'05_공통역량평가'!I18=""),"",'05_공통역량평가'!I18)</f>
        <v>S</v>
      </c>
      <c r="K18" s="19" t="str">
        <f>IF(OR('01_인적정보'!B18="",'05_공통역량평가'!I76=""),"",'05_공통역량평가'!I76)</f>
        <v>A</v>
      </c>
      <c r="L18" s="52">
        <f>IFERROR(IF(AND(LEN(J18)&gt;0,LEN(K18)&gt;0),'02_의사결정·종합결과'!$B$7*IFERROR(CHOOSE(FIND(J18,"DCBAS"),1,2,3,4,5),0)+'02_의사결정·종합결과'!$B$8*IFERROR(CHOOSE(FIND(K18,"DCBAS"),1,2,3,4,5),0),IF(LEN(J18)&gt;0,IFERROR(CHOOSE(FIND(J18,"DCBAS"),1,2,3,4,5),0),IF(LEN(K18)&gt;0,IFERROR(CHOOSE(FIND(K18,"DCBAS"),1,2,3,4,5),0),""))),"")</f>
        <v>4.5</v>
      </c>
      <c r="M18" s="19" t="str">
        <f>IF(OR('01_인적정보'!B18="",'06_직무역량평가'!J18=""),"",'06_직무역량평가'!J18)</f>
        <v>S</v>
      </c>
      <c r="N18" s="19" t="str">
        <f>IF(OR('01_인적정보'!B18="",'06_직무역량평가'!J76=""),"",'06_직무역량평가'!J76)</f>
        <v>S</v>
      </c>
      <c r="O18" s="52">
        <f>IFERROR(IF(AND(LEN(M18)&gt;0,LEN(N18)&gt;0),'02_의사결정·종합결과'!$B$7*IFERROR(CHOOSE(FIND(M18,"DCBAS"),1,2,3,4,5),0)+'02_의사결정·종합결과'!$B$8*IFERROR(CHOOSE(FIND(N18,"DCBAS"),1,2,3,4,5),0),IF(LEN(M18)&gt;0,IFERROR(CHOOSE(FIND(M18,"DCBAS"),1,2,3,4,5),0),IF(LEN(N18)&gt;0,IFERROR(CHOOSE(FIND(N18,"DCBAS"),1,2,3,4,5),0),""))),"")</f>
        <v>5</v>
      </c>
      <c r="P18" s="43">
        <f>IFERROR(VLOOKUP(F18,'02_의사결정·종합결과'!$A$16:$D$22,2,FALSE()),"")</f>
        <v>0.3</v>
      </c>
      <c r="Q18" s="43">
        <f>IFERROR(VLOOKUP(F18,'02_의사결정·종합결과'!$A$16:$D$22,3,FALSE()),"")</f>
        <v>0.3</v>
      </c>
      <c r="R18" s="43">
        <f>IFERROR(VLOOKUP(F18,'02_의사결정·종합결과'!$A$16:$D$22,4,FALSE()),"")</f>
        <v>0.4</v>
      </c>
      <c r="S18" s="64">
        <f t="shared" si="0"/>
        <v>4.8499999999999996</v>
      </c>
      <c r="T18" s="53" t="str">
        <f t="shared" si="1"/>
        <v>S</v>
      </c>
      <c r="U18" s="65" t="str">
        <f>IF(OR(S18="",NOT(ISNUMBER(S18)),S18&lt;0.5),"",IF('02_의사결정·종합결과'!$B$6="절대평가",T18,IF(IFERROR(RANK(S18,$S$6:$S$55,0)/MAX(COUNTIF($S$6:$S$55,"&gt;0"),1),0)&lt;='02_의사결정·종합결과'!$B$11,"S",IF(IFERROR(RANK(S18,$S$6:$S$55,0)/MAX(COUNTIF($S$6:$S$55,"&gt;0"),1),0)&lt;='02_의사결정·종합결과'!$B$11+'02_의사결정·종합결과'!$C$11,"A",IF(IFERROR(RANK(S18,$S$6:$S$55,0)/MAX(COUNTIF($S$6:$S$55,"&gt;0"),1),0)&lt;='02_의사결정·종합결과'!$B$11+'02_의사결정·종합결과'!$C$11+'02_의사결정·종합결과'!$D$11,"B",IF(IFERROR(RANK(S18,$S$6:$S$55,0)/MAX(COUNTIF($S$6:$S$55,"&gt;0"),1),0)&lt;='02_의사결정·종합결과'!$B$11+'02_의사결정·종합결과'!$C$11+'02_의사결정·종합결과'!$D$11+'02_의사결정·종합결과'!$E$11,"C","D"))))))</f>
        <v>S</v>
      </c>
      <c r="V18" s="10"/>
    </row>
    <row r="19" spans="1:22" ht="21.75" customHeight="1">
      <c r="A19" s="4">
        <f>'01_인적정보'!A19</f>
        <v>14</v>
      </c>
      <c r="B19" s="4" t="str">
        <f>'01_인적정보'!B19</f>
        <v>BSS-014</v>
      </c>
      <c r="C19" s="13" t="str">
        <f>'01_인적정보'!C19</f>
        <v>OOO</v>
      </c>
      <c r="D19" s="13" t="str">
        <f>'01_인적정보'!D19</f>
        <v>설계</v>
      </c>
      <c r="E19" s="13" t="str">
        <f>'01_인적정보'!E19</f>
        <v>BIM컨설팅</v>
      </c>
      <c r="F19" s="40" t="str">
        <f>'01_인적정보'!H19</f>
        <v>G5-S</v>
      </c>
      <c r="G19" s="19" t="str">
        <f>IF(OR('01_인적정보'!B19="",'04_역할평가'!I19=""),"",'04_역할평가'!I19)</f>
        <v>B</v>
      </c>
      <c r="H19" s="19" t="str">
        <f>IF(OR('01_인적정보'!B19="",'04_역할평가'!I77=""),"",'04_역할평가'!I77)</f>
        <v>B</v>
      </c>
      <c r="I19" s="52">
        <f>IFERROR(IF(AND(LEN(G19)&gt;0,LEN(H19)&gt;0),'02_의사결정·종합결과'!$B$7*IFERROR(CHOOSE(FIND(G19,"DCBAS"),1,2,3,4,5),0)+'02_의사결정·종합결과'!$B$8*IFERROR(CHOOSE(FIND(H19,"DCBAS"),1,2,3,4,5),0),IF(LEN(G19)&gt;0,IFERROR(CHOOSE(FIND(G19,"DCBAS"),1,2,3,4,5),0),IF(LEN(H19)&gt;0,IFERROR(CHOOSE(FIND(H19,"DCBAS"),1,2,3,4,5),0),""))),"")</f>
        <v>3</v>
      </c>
      <c r="J19" s="19" t="str">
        <f>IF(OR('01_인적정보'!B19="",'05_공통역량평가'!I19=""),"",'05_공통역량평가'!I19)</f>
        <v>B</v>
      </c>
      <c r="K19" s="19" t="str">
        <f>IF(OR('01_인적정보'!B19="",'05_공통역량평가'!I77=""),"",'05_공통역량평가'!I77)</f>
        <v>B</v>
      </c>
      <c r="L19" s="52">
        <f>IFERROR(IF(AND(LEN(J19)&gt;0,LEN(K19)&gt;0),'02_의사결정·종합결과'!$B$7*IFERROR(CHOOSE(FIND(J19,"DCBAS"),1,2,3,4,5),0)+'02_의사결정·종합결과'!$B$8*IFERROR(CHOOSE(FIND(K19,"DCBAS"),1,2,3,4,5),0),IF(LEN(J19)&gt;0,IFERROR(CHOOSE(FIND(J19,"DCBAS"),1,2,3,4,5),0),IF(LEN(K19)&gt;0,IFERROR(CHOOSE(FIND(K19,"DCBAS"),1,2,3,4,5),0),""))),"")</f>
        <v>3</v>
      </c>
      <c r="M19" s="19" t="str">
        <f>IF(OR('01_인적정보'!B19="",'06_직무역량평가'!J19=""),"",'06_직무역량평가'!J19)</f>
        <v>B</v>
      </c>
      <c r="N19" s="19" t="str">
        <f>IF(OR('01_인적정보'!B19="",'06_직무역량평가'!J77=""),"",'06_직무역량평가'!J77)</f>
        <v>B</v>
      </c>
      <c r="O19" s="52">
        <f>IFERROR(IF(AND(LEN(M19)&gt;0,LEN(N19)&gt;0),'02_의사결정·종합결과'!$B$7*IFERROR(CHOOSE(FIND(M19,"DCBAS"),1,2,3,4,5),0)+'02_의사결정·종합결과'!$B$8*IFERROR(CHOOSE(FIND(N19,"DCBAS"),1,2,3,4,5),0),IF(LEN(M19)&gt;0,IFERROR(CHOOSE(FIND(M19,"DCBAS"),1,2,3,4,5),0),IF(LEN(N19)&gt;0,IFERROR(CHOOSE(FIND(N19,"DCBAS"),1,2,3,4,5),0),""))),"")</f>
        <v>3</v>
      </c>
      <c r="P19" s="43">
        <f>IFERROR(VLOOKUP(F19,'02_의사결정·종합결과'!$A$16:$D$22,2,FALSE()),"")</f>
        <v>0.3</v>
      </c>
      <c r="Q19" s="43">
        <f>IFERROR(VLOOKUP(F19,'02_의사결정·종합결과'!$A$16:$D$22,3,FALSE()),"")</f>
        <v>0.3</v>
      </c>
      <c r="R19" s="43">
        <f>IFERROR(VLOOKUP(F19,'02_의사결정·종합결과'!$A$16:$D$22,4,FALSE()),"")</f>
        <v>0.4</v>
      </c>
      <c r="S19" s="64">
        <f t="shared" si="0"/>
        <v>3</v>
      </c>
      <c r="T19" s="53" t="str">
        <f t="shared" si="1"/>
        <v>B</v>
      </c>
      <c r="U19" s="65" t="str">
        <f>IF(OR(S19="",NOT(ISNUMBER(S19)),S19&lt;0.5),"",IF('02_의사결정·종합결과'!$B$6="절대평가",T19,IF(IFERROR(RANK(S19,$S$6:$S$55,0)/MAX(COUNTIF($S$6:$S$55,"&gt;0"),1),0)&lt;='02_의사결정·종합결과'!$B$11,"S",IF(IFERROR(RANK(S19,$S$6:$S$55,0)/MAX(COUNTIF($S$6:$S$55,"&gt;0"),1),0)&lt;='02_의사결정·종합결과'!$B$11+'02_의사결정·종합결과'!$C$11,"A",IF(IFERROR(RANK(S19,$S$6:$S$55,0)/MAX(COUNTIF($S$6:$S$55,"&gt;0"),1),0)&lt;='02_의사결정·종합결과'!$B$11+'02_의사결정·종합결과'!$C$11+'02_의사결정·종합결과'!$D$11,"B",IF(IFERROR(RANK(S19,$S$6:$S$55,0)/MAX(COUNTIF($S$6:$S$55,"&gt;0"),1),0)&lt;='02_의사결정·종합결과'!$B$11+'02_의사결정·종합결과'!$C$11+'02_의사결정·종합결과'!$D$11+'02_의사결정·종합결과'!$E$11,"C","D"))))))</f>
        <v>B</v>
      </c>
      <c r="V19" s="10"/>
    </row>
    <row r="20" spans="1:22" ht="21.75" customHeight="1">
      <c r="A20" s="4">
        <f>'01_인적정보'!A20</f>
        <v>15</v>
      </c>
      <c r="B20" s="4" t="str">
        <f>'01_인적정보'!B20</f>
        <v>BSS-015</v>
      </c>
      <c r="C20" s="13" t="str">
        <f>'01_인적정보'!C20</f>
        <v>OOO</v>
      </c>
      <c r="D20" s="13" t="str">
        <f>'01_인적정보'!D20</f>
        <v>설계</v>
      </c>
      <c r="E20" s="13" t="str">
        <f>'01_인적정보'!E20</f>
        <v>BIM컨설팅</v>
      </c>
      <c r="F20" s="40" t="str">
        <f>'01_인적정보'!H20</f>
        <v>G5-S</v>
      </c>
      <c r="G20" s="19" t="str">
        <f>IF(OR('01_인적정보'!B20="",'04_역할평가'!I20=""),"",'04_역할평가'!I20)</f>
        <v>B</v>
      </c>
      <c r="H20" s="19" t="str">
        <f>IF(OR('01_인적정보'!B20="",'04_역할평가'!I78=""),"",'04_역할평가'!I78)</f>
        <v>B</v>
      </c>
      <c r="I20" s="52">
        <f>IFERROR(IF(AND(LEN(G20)&gt;0,LEN(H20)&gt;0),'02_의사결정·종합결과'!$B$7*IFERROR(CHOOSE(FIND(G20,"DCBAS"),1,2,3,4,5),0)+'02_의사결정·종합결과'!$B$8*IFERROR(CHOOSE(FIND(H20,"DCBAS"),1,2,3,4,5),0),IF(LEN(G20)&gt;0,IFERROR(CHOOSE(FIND(G20,"DCBAS"),1,2,3,4,5),0),IF(LEN(H20)&gt;0,IFERROR(CHOOSE(FIND(H20,"DCBAS"),1,2,3,4,5),0),""))),"")</f>
        <v>3</v>
      </c>
      <c r="J20" s="19" t="str">
        <f>IF(OR('01_인적정보'!B20="",'05_공통역량평가'!I20=""),"",'05_공통역량평가'!I20)</f>
        <v>B</v>
      </c>
      <c r="K20" s="19" t="str">
        <f>IF(OR('01_인적정보'!B20="",'05_공통역량평가'!I78=""),"",'05_공통역량평가'!I78)</f>
        <v>B</v>
      </c>
      <c r="L20" s="52">
        <f>IFERROR(IF(AND(LEN(J20)&gt;0,LEN(K20)&gt;0),'02_의사결정·종합결과'!$B$7*IFERROR(CHOOSE(FIND(J20,"DCBAS"),1,2,3,4,5),0)+'02_의사결정·종합결과'!$B$8*IFERROR(CHOOSE(FIND(K20,"DCBAS"),1,2,3,4,5),0),IF(LEN(J20)&gt;0,IFERROR(CHOOSE(FIND(J20,"DCBAS"),1,2,3,4,5),0),IF(LEN(K20)&gt;0,IFERROR(CHOOSE(FIND(K20,"DCBAS"),1,2,3,4,5),0),""))),"")</f>
        <v>3</v>
      </c>
      <c r="M20" s="19" t="str">
        <f>IF(OR('01_인적정보'!B20="",'06_직무역량평가'!J20=""),"",'06_직무역량평가'!J20)</f>
        <v>C</v>
      </c>
      <c r="N20" s="19" t="str">
        <f>IF(OR('01_인적정보'!B20="",'06_직무역량평가'!J78=""),"",'06_직무역량평가'!J78)</f>
        <v>B</v>
      </c>
      <c r="O20" s="52">
        <f>IFERROR(IF(AND(LEN(M20)&gt;0,LEN(N20)&gt;0),'02_의사결정·종합결과'!$B$7*IFERROR(CHOOSE(FIND(M20,"DCBAS"),1,2,3,4,5),0)+'02_의사결정·종합결과'!$B$8*IFERROR(CHOOSE(FIND(N20,"DCBAS"),1,2,3,4,5),0),IF(LEN(M20)&gt;0,IFERROR(CHOOSE(FIND(M20,"DCBAS"),1,2,3,4,5),0),IF(LEN(N20)&gt;0,IFERROR(CHOOSE(FIND(N20,"DCBAS"),1,2,3,4,5),0),""))),"")</f>
        <v>2.5</v>
      </c>
      <c r="P20" s="43">
        <f>IFERROR(VLOOKUP(F20,'02_의사결정·종합결과'!$A$16:$D$22,2,FALSE()),"")</f>
        <v>0.3</v>
      </c>
      <c r="Q20" s="43">
        <f>IFERROR(VLOOKUP(F20,'02_의사결정·종합결과'!$A$16:$D$22,3,FALSE()),"")</f>
        <v>0.3</v>
      </c>
      <c r="R20" s="43">
        <f>IFERROR(VLOOKUP(F20,'02_의사결정·종합결과'!$A$16:$D$22,4,FALSE()),"")</f>
        <v>0.4</v>
      </c>
      <c r="S20" s="64">
        <f t="shared" si="0"/>
        <v>2.8</v>
      </c>
      <c r="T20" s="53" t="str">
        <f t="shared" si="1"/>
        <v>B</v>
      </c>
      <c r="U20" s="65" t="str">
        <f>IF(OR(S20="",NOT(ISNUMBER(S20)),S20&lt;0.5),"",IF('02_의사결정·종합결과'!$B$6="절대평가",T20,IF(IFERROR(RANK(S20,$S$6:$S$55,0)/MAX(COUNTIF($S$6:$S$55,"&gt;0"),1),0)&lt;='02_의사결정·종합결과'!$B$11,"S",IF(IFERROR(RANK(S20,$S$6:$S$55,0)/MAX(COUNTIF($S$6:$S$55,"&gt;0"),1),0)&lt;='02_의사결정·종합결과'!$B$11+'02_의사결정·종합결과'!$C$11,"A",IF(IFERROR(RANK(S20,$S$6:$S$55,0)/MAX(COUNTIF($S$6:$S$55,"&gt;0"),1),0)&lt;='02_의사결정·종합결과'!$B$11+'02_의사결정·종합결과'!$C$11+'02_의사결정·종합결과'!$D$11,"B",IF(IFERROR(RANK(S20,$S$6:$S$55,0)/MAX(COUNTIF($S$6:$S$55,"&gt;0"),1),0)&lt;='02_의사결정·종합결과'!$B$11+'02_의사결정·종합결과'!$C$11+'02_의사결정·종합결과'!$D$11+'02_의사결정·종합결과'!$E$11,"C","D"))))))</f>
        <v>C</v>
      </c>
      <c r="V20" s="10"/>
    </row>
    <row r="21" spans="1:22" ht="21.75" customHeight="1">
      <c r="A21" s="4">
        <f>'01_인적정보'!A21</f>
        <v>16</v>
      </c>
      <c r="B21" s="4" t="str">
        <f>'01_인적정보'!B21</f>
        <v>BSS-016</v>
      </c>
      <c r="C21" s="13" t="str">
        <f>'01_인적정보'!C21</f>
        <v>OOO</v>
      </c>
      <c r="D21" s="13" t="str">
        <f>'01_인적정보'!D21</f>
        <v>설계</v>
      </c>
      <c r="E21" s="13" t="str">
        <f>'01_인적정보'!E21</f>
        <v>BIM컨설팅</v>
      </c>
      <c r="F21" s="40" t="str">
        <f>'01_인적정보'!H21</f>
        <v>G5-S</v>
      </c>
      <c r="G21" s="19" t="str">
        <f>IF(OR('01_인적정보'!B21="",'04_역할평가'!I21=""),"",'04_역할평가'!I21)</f>
        <v>A</v>
      </c>
      <c r="H21" s="19" t="str">
        <f>IF(OR('01_인적정보'!B21="",'04_역할평가'!I79=""),"",'04_역할평가'!I79)</f>
        <v>A</v>
      </c>
      <c r="I21" s="52">
        <f>IFERROR(IF(AND(LEN(G21)&gt;0,LEN(H21)&gt;0),'02_의사결정·종합결과'!$B$7*IFERROR(CHOOSE(FIND(G21,"DCBAS"),1,2,3,4,5),0)+'02_의사결정·종합결과'!$B$8*IFERROR(CHOOSE(FIND(H21,"DCBAS"),1,2,3,4,5),0),IF(LEN(G21)&gt;0,IFERROR(CHOOSE(FIND(G21,"DCBAS"),1,2,3,4,5),0),IF(LEN(H21)&gt;0,IFERROR(CHOOSE(FIND(H21,"DCBAS"),1,2,3,4,5),0),""))),"")</f>
        <v>4</v>
      </c>
      <c r="J21" s="19" t="str">
        <f>IF(OR('01_인적정보'!B21="",'05_공통역량평가'!I21=""),"",'05_공통역량평가'!I21)</f>
        <v>B</v>
      </c>
      <c r="K21" s="19" t="str">
        <f>IF(OR('01_인적정보'!B21="",'05_공통역량평가'!I79=""),"",'05_공통역량평가'!I79)</f>
        <v>B</v>
      </c>
      <c r="L21" s="52">
        <f>IFERROR(IF(AND(LEN(J21)&gt;0,LEN(K21)&gt;0),'02_의사결정·종합결과'!$B$7*IFERROR(CHOOSE(FIND(J21,"DCBAS"),1,2,3,4,5),0)+'02_의사결정·종합결과'!$B$8*IFERROR(CHOOSE(FIND(K21,"DCBAS"),1,2,3,4,5),0),IF(LEN(J21)&gt;0,IFERROR(CHOOSE(FIND(J21,"DCBAS"),1,2,3,4,5),0),IF(LEN(K21)&gt;0,IFERROR(CHOOSE(FIND(K21,"DCBAS"),1,2,3,4,5),0),""))),"")</f>
        <v>3</v>
      </c>
      <c r="M21" s="19" t="str">
        <f>IF(OR('01_인적정보'!B21="",'06_직무역량평가'!J21=""),"",'06_직무역량평가'!J21)</f>
        <v>B</v>
      </c>
      <c r="N21" s="19" t="str">
        <f>IF(OR('01_인적정보'!B21="",'06_직무역량평가'!J79=""),"",'06_직무역량평가'!J79)</f>
        <v>B</v>
      </c>
      <c r="O21" s="52">
        <f>IFERROR(IF(AND(LEN(M21)&gt;0,LEN(N21)&gt;0),'02_의사결정·종합결과'!$B$7*IFERROR(CHOOSE(FIND(M21,"DCBAS"),1,2,3,4,5),0)+'02_의사결정·종합결과'!$B$8*IFERROR(CHOOSE(FIND(N21,"DCBAS"),1,2,3,4,5),0),IF(LEN(M21)&gt;0,IFERROR(CHOOSE(FIND(M21,"DCBAS"),1,2,3,4,5),0),IF(LEN(N21)&gt;0,IFERROR(CHOOSE(FIND(N21,"DCBAS"),1,2,3,4,5),0),""))),"")</f>
        <v>3</v>
      </c>
      <c r="P21" s="43">
        <f>IFERROR(VLOOKUP(F21,'02_의사결정·종합결과'!$A$16:$D$22,2,FALSE()),"")</f>
        <v>0.3</v>
      </c>
      <c r="Q21" s="43">
        <f>IFERROR(VLOOKUP(F21,'02_의사결정·종합결과'!$A$16:$D$22,3,FALSE()),"")</f>
        <v>0.3</v>
      </c>
      <c r="R21" s="43">
        <f>IFERROR(VLOOKUP(F21,'02_의사결정·종합결과'!$A$16:$D$22,4,FALSE()),"")</f>
        <v>0.4</v>
      </c>
      <c r="S21" s="64">
        <f t="shared" si="0"/>
        <v>3.3</v>
      </c>
      <c r="T21" s="53" t="str">
        <f t="shared" si="1"/>
        <v>B</v>
      </c>
      <c r="U21" s="65" t="str">
        <f>IF(OR(S21="",NOT(ISNUMBER(S21)),S21&lt;0.5),"",IF('02_의사결정·종합결과'!$B$6="절대평가",T21,IF(IFERROR(RANK(S21,$S$6:$S$55,0)/MAX(COUNTIF($S$6:$S$55,"&gt;0"),1),0)&lt;='02_의사결정·종합결과'!$B$11,"S",IF(IFERROR(RANK(S21,$S$6:$S$55,0)/MAX(COUNTIF($S$6:$S$55,"&gt;0"),1),0)&lt;='02_의사결정·종합결과'!$B$11+'02_의사결정·종합결과'!$C$11,"A",IF(IFERROR(RANK(S21,$S$6:$S$55,0)/MAX(COUNTIF($S$6:$S$55,"&gt;0"),1),0)&lt;='02_의사결정·종합결과'!$B$11+'02_의사결정·종합결과'!$C$11+'02_의사결정·종합결과'!$D$11,"B",IF(IFERROR(RANK(S21,$S$6:$S$55,0)/MAX(COUNTIF($S$6:$S$55,"&gt;0"),1),0)&lt;='02_의사결정·종합결과'!$B$11+'02_의사결정·종합결과'!$C$11+'02_의사결정·종합결과'!$D$11+'02_의사결정·종합결과'!$E$11,"C","D"))))))</f>
        <v>B</v>
      </c>
      <c r="V21" s="10"/>
    </row>
    <row r="22" spans="1:22" ht="21.75" customHeight="1">
      <c r="A22" s="4">
        <f>'01_인적정보'!A22</f>
        <v>17</v>
      </c>
      <c r="B22" s="4" t="str">
        <f>'01_인적정보'!B22</f>
        <v>BSS-017</v>
      </c>
      <c r="C22" s="13" t="str">
        <f>'01_인적정보'!C22</f>
        <v>OOO</v>
      </c>
      <c r="D22" s="13" t="str">
        <f>'01_인적정보'!D22</f>
        <v>교육 및 기술지원</v>
      </c>
      <c r="E22" s="13" t="str">
        <f>'01_인적정보'!E22</f>
        <v>교육</v>
      </c>
      <c r="F22" s="40" t="str">
        <f>'01_인적정보'!H22</f>
        <v>G4</v>
      </c>
      <c r="G22" s="19" t="str">
        <f>IF(OR('01_인적정보'!B22="",'04_역할평가'!I22=""),"",'04_역할평가'!I22)</f>
        <v>B</v>
      </c>
      <c r="H22" s="19" t="str">
        <f>IF(OR('01_인적정보'!B22="",'04_역할평가'!I80=""),"",'04_역할평가'!I80)</f>
        <v>B</v>
      </c>
      <c r="I22" s="52">
        <f>IFERROR(IF(AND(LEN(G22)&gt;0,LEN(H22)&gt;0),'02_의사결정·종합결과'!$B$7*IFERROR(CHOOSE(FIND(G22,"DCBAS"),1,2,3,4,5),0)+'02_의사결정·종합결과'!$B$8*IFERROR(CHOOSE(FIND(H22,"DCBAS"),1,2,3,4,5),0),IF(LEN(G22)&gt;0,IFERROR(CHOOSE(FIND(G22,"DCBAS"),1,2,3,4,5),0),IF(LEN(H22)&gt;0,IFERROR(CHOOSE(FIND(H22,"DCBAS"),1,2,3,4,5),0),""))),"")</f>
        <v>3</v>
      </c>
      <c r="J22" s="19" t="str">
        <f>IF(OR('01_인적정보'!B22="",'05_공통역량평가'!I22=""),"",'05_공통역량평가'!I22)</f>
        <v>B</v>
      </c>
      <c r="K22" s="19" t="str">
        <f>IF(OR('01_인적정보'!B22="",'05_공통역량평가'!I80=""),"",'05_공통역량평가'!I80)</f>
        <v>B</v>
      </c>
      <c r="L22" s="52">
        <f>IFERROR(IF(AND(LEN(J22)&gt;0,LEN(K22)&gt;0),'02_의사결정·종합결과'!$B$7*IFERROR(CHOOSE(FIND(J22,"DCBAS"),1,2,3,4,5),0)+'02_의사결정·종합결과'!$B$8*IFERROR(CHOOSE(FIND(K22,"DCBAS"),1,2,3,4,5),0),IF(LEN(J22)&gt;0,IFERROR(CHOOSE(FIND(J22,"DCBAS"),1,2,3,4,5),0),IF(LEN(K22)&gt;0,IFERROR(CHOOSE(FIND(K22,"DCBAS"),1,2,3,4,5),0),""))),"")</f>
        <v>3</v>
      </c>
      <c r="M22" s="19" t="str">
        <f>IF(OR('01_인적정보'!B22="",'06_직무역량평가'!J22=""),"",'06_직무역량평가'!J22)</f>
        <v>B</v>
      </c>
      <c r="N22" s="19" t="str">
        <f>IF(OR('01_인적정보'!B22="",'06_직무역량평가'!J80=""),"",'06_직무역량평가'!J80)</f>
        <v>B</v>
      </c>
      <c r="O22" s="52">
        <f>IFERROR(IF(AND(LEN(M22)&gt;0,LEN(N22)&gt;0),'02_의사결정·종합결과'!$B$7*IFERROR(CHOOSE(FIND(M22,"DCBAS"),1,2,3,4,5),0)+'02_의사결정·종합결과'!$B$8*IFERROR(CHOOSE(FIND(N22,"DCBAS"),1,2,3,4,5),0),IF(LEN(M22)&gt;0,IFERROR(CHOOSE(FIND(M22,"DCBAS"),1,2,3,4,5),0),IF(LEN(N22)&gt;0,IFERROR(CHOOSE(FIND(N22,"DCBAS"),1,2,3,4,5),0),""))),"")</f>
        <v>3</v>
      </c>
      <c r="P22" s="43">
        <f>IFERROR(VLOOKUP(F22,'02_의사결정·종합결과'!$A$16:$D$22,2,FALSE()),"")</f>
        <v>0.3</v>
      </c>
      <c r="Q22" s="43">
        <f>IFERROR(VLOOKUP(F22,'02_의사결정·종합결과'!$A$16:$D$22,3,FALSE()),"")</f>
        <v>0.3</v>
      </c>
      <c r="R22" s="43">
        <f>IFERROR(VLOOKUP(F22,'02_의사결정·종합결과'!$A$16:$D$22,4,FALSE()),"")</f>
        <v>0.4</v>
      </c>
      <c r="S22" s="64">
        <f t="shared" si="0"/>
        <v>3</v>
      </c>
      <c r="T22" s="53" t="str">
        <f t="shared" si="1"/>
        <v>B</v>
      </c>
      <c r="U22" s="65" t="str">
        <f>IF(OR(S22="",NOT(ISNUMBER(S22)),S22&lt;0.5),"",IF('02_의사결정·종합결과'!$B$6="절대평가",T22,IF(IFERROR(RANK(S22,$S$6:$S$55,0)/MAX(COUNTIF($S$6:$S$55,"&gt;0"),1),0)&lt;='02_의사결정·종합결과'!$B$11,"S",IF(IFERROR(RANK(S22,$S$6:$S$55,0)/MAX(COUNTIF($S$6:$S$55,"&gt;0"),1),0)&lt;='02_의사결정·종합결과'!$B$11+'02_의사결정·종합결과'!$C$11,"A",IF(IFERROR(RANK(S22,$S$6:$S$55,0)/MAX(COUNTIF($S$6:$S$55,"&gt;0"),1),0)&lt;='02_의사결정·종합결과'!$B$11+'02_의사결정·종합결과'!$C$11+'02_의사결정·종합결과'!$D$11,"B",IF(IFERROR(RANK(S22,$S$6:$S$55,0)/MAX(COUNTIF($S$6:$S$55,"&gt;0"),1),0)&lt;='02_의사결정·종합결과'!$B$11+'02_의사결정·종합결과'!$C$11+'02_의사결정·종합결과'!$D$11+'02_의사결정·종합결과'!$E$11,"C","D"))))))</f>
        <v>B</v>
      </c>
      <c r="V22" s="10"/>
    </row>
    <row r="23" spans="1:22" ht="21.75" customHeight="1">
      <c r="A23" s="4">
        <f>'01_인적정보'!A23</f>
        <v>18</v>
      </c>
      <c r="B23" s="4" t="str">
        <f>'01_인적정보'!B23</f>
        <v>BSS-018</v>
      </c>
      <c r="C23" s="13" t="str">
        <f>'01_인적정보'!C23</f>
        <v>OOO</v>
      </c>
      <c r="D23" s="13" t="str">
        <f>'01_인적정보'!D23</f>
        <v>설계</v>
      </c>
      <c r="E23" s="13" t="str">
        <f>'01_인적정보'!E23</f>
        <v>BIM컨설팅</v>
      </c>
      <c r="F23" s="40" t="str">
        <f>'01_인적정보'!H23</f>
        <v>G4</v>
      </c>
      <c r="G23" s="19" t="str">
        <f>IF(OR('01_인적정보'!B23="",'04_역할평가'!I23=""),"",'04_역할평가'!I23)</f>
        <v>B</v>
      </c>
      <c r="H23" s="19" t="str">
        <f>IF(OR('01_인적정보'!B23="",'04_역할평가'!I81=""),"",'04_역할평가'!I81)</f>
        <v>A</v>
      </c>
      <c r="I23" s="52">
        <f>IFERROR(IF(AND(LEN(G23)&gt;0,LEN(H23)&gt;0),'02_의사결정·종합결과'!$B$7*IFERROR(CHOOSE(FIND(G23,"DCBAS"),1,2,3,4,5),0)+'02_의사결정·종합결과'!$B$8*IFERROR(CHOOSE(FIND(H23,"DCBAS"),1,2,3,4,5),0),IF(LEN(G23)&gt;0,IFERROR(CHOOSE(FIND(G23,"DCBAS"),1,2,3,4,5),0),IF(LEN(H23)&gt;0,IFERROR(CHOOSE(FIND(H23,"DCBAS"),1,2,3,4,5),0),""))),"")</f>
        <v>3.5</v>
      </c>
      <c r="J23" s="19" t="str">
        <f>IF(OR('01_인적정보'!B23="",'05_공통역량평가'!I23=""),"",'05_공통역량평가'!I23)</f>
        <v>A</v>
      </c>
      <c r="K23" s="19" t="str">
        <f>IF(OR('01_인적정보'!B23="",'05_공통역량평가'!I81=""),"",'05_공통역량평가'!I81)</f>
        <v>A</v>
      </c>
      <c r="L23" s="52">
        <f>IFERROR(IF(AND(LEN(J23)&gt;0,LEN(K23)&gt;0),'02_의사결정·종합결과'!$B$7*IFERROR(CHOOSE(FIND(J23,"DCBAS"),1,2,3,4,5),0)+'02_의사결정·종합결과'!$B$8*IFERROR(CHOOSE(FIND(K23,"DCBAS"),1,2,3,4,5),0),IF(LEN(J23)&gt;0,IFERROR(CHOOSE(FIND(J23,"DCBAS"),1,2,3,4,5),0),IF(LEN(K23)&gt;0,IFERROR(CHOOSE(FIND(K23,"DCBAS"),1,2,3,4,5),0),""))),"")</f>
        <v>4</v>
      </c>
      <c r="M23" s="19" t="str">
        <f>IF(OR('01_인적정보'!B23="",'06_직무역량평가'!J23=""),"",'06_직무역량평가'!J23)</f>
        <v>S</v>
      </c>
      <c r="N23" s="19" t="str">
        <f>IF(OR('01_인적정보'!B23="",'06_직무역량평가'!J81=""),"",'06_직무역량평가'!J81)</f>
        <v>A</v>
      </c>
      <c r="O23" s="52">
        <f>IFERROR(IF(AND(LEN(M23)&gt;0,LEN(N23)&gt;0),'02_의사결정·종합결과'!$B$7*IFERROR(CHOOSE(FIND(M23,"DCBAS"),1,2,3,4,5),0)+'02_의사결정·종합결과'!$B$8*IFERROR(CHOOSE(FIND(N23,"DCBAS"),1,2,3,4,5),0),IF(LEN(M23)&gt;0,IFERROR(CHOOSE(FIND(M23,"DCBAS"),1,2,3,4,5),0),IF(LEN(N23)&gt;0,IFERROR(CHOOSE(FIND(N23,"DCBAS"),1,2,3,4,5),0),""))),"")</f>
        <v>4.5</v>
      </c>
      <c r="P23" s="43">
        <f>IFERROR(VLOOKUP(F23,'02_의사결정·종합결과'!$A$16:$D$22,2,FALSE()),"")</f>
        <v>0.3</v>
      </c>
      <c r="Q23" s="43">
        <f>IFERROR(VLOOKUP(F23,'02_의사결정·종합결과'!$A$16:$D$22,3,FALSE()),"")</f>
        <v>0.3</v>
      </c>
      <c r="R23" s="43">
        <f>IFERROR(VLOOKUP(F23,'02_의사결정·종합결과'!$A$16:$D$22,4,FALSE()),"")</f>
        <v>0.4</v>
      </c>
      <c r="S23" s="64">
        <f t="shared" si="0"/>
        <v>4.05</v>
      </c>
      <c r="T23" s="53" t="str">
        <f t="shared" si="1"/>
        <v>A</v>
      </c>
      <c r="U23" s="65" t="str">
        <f>IF(OR(S23="",NOT(ISNUMBER(S23)),S23&lt;0.5),"",IF('02_의사결정·종합결과'!$B$6="절대평가",T23,IF(IFERROR(RANK(S23,$S$6:$S$55,0)/MAX(COUNTIF($S$6:$S$55,"&gt;0"),1),0)&lt;='02_의사결정·종합결과'!$B$11,"S",IF(IFERROR(RANK(S23,$S$6:$S$55,0)/MAX(COUNTIF($S$6:$S$55,"&gt;0"),1),0)&lt;='02_의사결정·종합결과'!$B$11+'02_의사결정·종합결과'!$C$11,"A",IF(IFERROR(RANK(S23,$S$6:$S$55,0)/MAX(COUNTIF($S$6:$S$55,"&gt;0"),1),0)&lt;='02_의사결정·종합결과'!$B$11+'02_의사결정·종합결과'!$C$11+'02_의사결정·종합결과'!$D$11,"B",IF(IFERROR(RANK(S23,$S$6:$S$55,0)/MAX(COUNTIF($S$6:$S$55,"&gt;0"),1),0)&lt;='02_의사결정·종합결과'!$B$11+'02_의사결정·종합결과'!$C$11+'02_의사결정·종합결과'!$D$11+'02_의사결정·종합결과'!$E$11,"C","D"))))))</f>
        <v>A</v>
      </c>
      <c r="V23" s="10"/>
    </row>
    <row r="24" spans="1:22" ht="21.75" customHeight="1">
      <c r="A24" s="4">
        <f>'01_인적정보'!A24</f>
        <v>19</v>
      </c>
      <c r="B24" s="4" t="str">
        <f>'01_인적정보'!B24</f>
        <v>BSS-019</v>
      </c>
      <c r="C24" s="13" t="str">
        <f>'01_인적정보'!C24</f>
        <v>OOO</v>
      </c>
      <c r="D24" s="13" t="str">
        <f>'01_인적정보'!D24</f>
        <v>설계</v>
      </c>
      <c r="E24" s="13" t="str">
        <f>'01_인적정보'!E24</f>
        <v>BIM컨설팅</v>
      </c>
      <c r="F24" s="40" t="str">
        <f>'01_인적정보'!H24</f>
        <v>G3</v>
      </c>
      <c r="G24" s="19" t="str">
        <f>IF(OR('01_인적정보'!B24="",'04_역할평가'!I24=""),"",'04_역할평가'!I24)</f>
        <v>B</v>
      </c>
      <c r="H24" s="19" t="str">
        <f>IF(OR('01_인적정보'!B24="",'04_역할평가'!I82=""),"",'04_역할평가'!I82)</f>
        <v>B</v>
      </c>
      <c r="I24" s="52">
        <f>IFERROR(IF(AND(LEN(G24)&gt;0,LEN(H24)&gt;0),'02_의사결정·종합결과'!$B$7*IFERROR(CHOOSE(FIND(G24,"DCBAS"),1,2,3,4,5),0)+'02_의사결정·종합결과'!$B$8*IFERROR(CHOOSE(FIND(H24,"DCBAS"),1,2,3,4,5),0),IF(LEN(G24)&gt;0,IFERROR(CHOOSE(FIND(G24,"DCBAS"),1,2,3,4,5),0),IF(LEN(H24)&gt;0,IFERROR(CHOOSE(FIND(H24,"DCBAS"),1,2,3,4,5),0),""))),"")</f>
        <v>3</v>
      </c>
      <c r="J24" s="19" t="str">
        <f>IF(OR('01_인적정보'!B24="",'05_공통역량평가'!I24=""),"",'05_공통역량평가'!I24)</f>
        <v>B</v>
      </c>
      <c r="K24" s="19" t="str">
        <f>IF(OR('01_인적정보'!B24="",'05_공통역량평가'!I82=""),"",'05_공통역량평가'!I82)</f>
        <v>B</v>
      </c>
      <c r="L24" s="52">
        <f>IFERROR(IF(AND(LEN(J24)&gt;0,LEN(K24)&gt;0),'02_의사결정·종합결과'!$B$7*IFERROR(CHOOSE(FIND(J24,"DCBAS"),1,2,3,4,5),0)+'02_의사결정·종합결과'!$B$8*IFERROR(CHOOSE(FIND(K24,"DCBAS"),1,2,3,4,5),0),IF(LEN(J24)&gt;0,IFERROR(CHOOSE(FIND(J24,"DCBAS"),1,2,3,4,5),0),IF(LEN(K24)&gt;0,IFERROR(CHOOSE(FIND(K24,"DCBAS"),1,2,3,4,5),0),""))),"")</f>
        <v>3</v>
      </c>
      <c r="M24" s="19" t="str">
        <f>IF(OR('01_인적정보'!B24="",'06_직무역량평가'!J24=""),"",'06_직무역량평가'!J24)</f>
        <v>B</v>
      </c>
      <c r="N24" s="19" t="str">
        <f>IF(OR('01_인적정보'!B24="",'06_직무역량평가'!J82=""),"",'06_직무역량평가'!J82)</f>
        <v>B</v>
      </c>
      <c r="O24" s="52">
        <f>IFERROR(IF(AND(LEN(M24)&gt;0,LEN(N24)&gt;0),'02_의사결정·종합결과'!$B$7*IFERROR(CHOOSE(FIND(M24,"DCBAS"),1,2,3,4,5),0)+'02_의사결정·종합결과'!$B$8*IFERROR(CHOOSE(FIND(N24,"DCBAS"),1,2,3,4,5),0),IF(LEN(M24)&gt;0,IFERROR(CHOOSE(FIND(M24,"DCBAS"),1,2,3,4,5),0),IF(LEN(N24)&gt;0,IFERROR(CHOOSE(FIND(N24,"DCBAS"),1,2,3,4,5),0),""))),"")</f>
        <v>3</v>
      </c>
      <c r="P24" s="43">
        <f>IFERROR(VLOOKUP(F24,'02_의사결정·종합결과'!$A$16:$D$22,2,FALSE()),"")</f>
        <v>0.25</v>
      </c>
      <c r="Q24" s="43">
        <f>IFERROR(VLOOKUP(F24,'02_의사결정·종합결과'!$A$16:$D$22,3,FALSE()),"")</f>
        <v>0.3</v>
      </c>
      <c r="R24" s="43">
        <f>IFERROR(VLOOKUP(F24,'02_의사결정·종합결과'!$A$16:$D$22,4,FALSE()),"")</f>
        <v>0.45</v>
      </c>
      <c r="S24" s="64">
        <f t="shared" si="0"/>
        <v>3</v>
      </c>
      <c r="T24" s="53" t="str">
        <f t="shared" si="1"/>
        <v>B</v>
      </c>
      <c r="U24" s="65" t="str">
        <f>IF(OR(S24="",NOT(ISNUMBER(S24)),S24&lt;0.5),"",IF('02_의사결정·종합결과'!$B$6="절대평가",T24,IF(IFERROR(RANK(S24,$S$6:$S$55,0)/MAX(COUNTIF($S$6:$S$55,"&gt;0"),1),0)&lt;='02_의사결정·종합결과'!$B$11,"S",IF(IFERROR(RANK(S24,$S$6:$S$55,0)/MAX(COUNTIF($S$6:$S$55,"&gt;0"),1),0)&lt;='02_의사결정·종합결과'!$B$11+'02_의사결정·종합결과'!$C$11,"A",IF(IFERROR(RANK(S24,$S$6:$S$55,0)/MAX(COUNTIF($S$6:$S$55,"&gt;0"),1),0)&lt;='02_의사결정·종합결과'!$B$11+'02_의사결정·종합결과'!$C$11+'02_의사결정·종합결과'!$D$11,"B",IF(IFERROR(RANK(S24,$S$6:$S$55,0)/MAX(COUNTIF($S$6:$S$55,"&gt;0"),1),0)&lt;='02_의사결정·종합결과'!$B$11+'02_의사결정·종합결과'!$C$11+'02_의사결정·종합결과'!$D$11+'02_의사결정·종합결과'!$E$11,"C","D"))))))</f>
        <v>B</v>
      </c>
      <c r="V24" s="10"/>
    </row>
    <row r="25" spans="1:22" ht="21.75" customHeight="1">
      <c r="A25" s="4">
        <f>'01_인적정보'!A25</f>
        <v>20</v>
      </c>
      <c r="B25" s="4" t="str">
        <f>'01_인적정보'!B25</f>
        <v>BSS-020</v>
      </c>
      <c r="C25" s="13" t="str">
        <f>'01_인적정보'!C25</f>
        <v>OOO</v>
      </c>
      <c r="D25" s="13" t="str">
        <f>'01_인적정보'!D25</f>
        <v>교육 및 기술지원</v>
      </c>
      <c r="E25" s="13" t="str">
        <f>'01_인적정보'!E25</f>
        <v>기술지원</v>
      </c>
      <c r="F25" s="40" t="str">
        <f>'01_인적정보'!H25</f>
        <v>G3</v>
      </c>
      <c r="G25" s="19" t="str">
        <f>IF(OR('01_인적정보'!B25="",'04_역할평가'!I25=""),"",'04_역할평가'!I25)</f>
        <v>B</v>
      </c>
      <c r="H25" s="19" t="str">
        <f>IF(OR('01_인적정보'!B25="",'04_역할평가'!I83=""),"",'04_역할평가'!I83)</f>
        <v>B</v>
      </c>
      <c r="I25" s="52">
        <f>IFERROR(IF(AND(LEN(G25)&gt;0,LEN(H25)&gt;0),'02_의사결정·종합결과'!$B$7*IFERROR(CHOOSE(FIND(G25,"DCBAS"),1,2,3,4,5),0)+'02_의사결정·종합결과'!$B$8*IFERROR(CHOOSE(FIND(H25,"DCBAS"),1,2,3,4,5),0),IF(LEN(G25)&gt;0,IFERROR(CHOOSE(FIND(G25,"DCBAS"),1,2,3,4,5),0),IF(LEN(H25)&gt;0,IFERROR(CHOOSE(FIND(H25,"DCBAS"),1,2,3,4,5),0),""))),"")</f>
        <v>3</v>
      </c>
      <c r="J25" s="19" t="str">
        <f>IF(OR('01_인적정보'!B25="",'05_공통역량평가'!I25=""),"",'05_공통역량평가'!I25)</f>
        <v>B</v>
      </c>
      <c r="K25" s="19" t="str">
        <f>IF(OR('01_인적정보'!B25="",'05_공통역량평가'!I83=""),"",'05_공통역량평가'!I83)</f>
        <v>C</v>
      </c>
      <c r="L25" s="52">
        <f>IFERROR(IF(AND(LEN(J25)&gt;0,LEN(K25)&gt;0),'02_의사결정·종합결과'!$B$7*IFERROR(CHOOSE(FIND(J25,"DCBAS"),1,2,3,4,5),0)+'02_의사결정·종합결과'!$B$8*IFERROR(CHOOSE(FIND(K25,"DCBAS"),1,2,3,4,5),0),IF(LEN(J25)&gt;0,IFERROR(CHOOSE(FIND(J25,"DCBAS"),1,2,3,4,5),0),IF(LEN(K25)&gt;0,IFERROR(CHOOSE(FIND(K25,"DCBAS"),1,2,3,4,5),0),""))),"")</f>
        <v>2.5</v>
      </c>
      <c r="M25" s="19" t="str">
        <f>IF(OR('01_인적정보'!B25="",'06_직무역량평가'!J25=""),"",'06_직무역량평가'!J25)</f>
        <v>B</v>
      </c>
      <c r="N25" s="19" t="str">
        <f>IF(OR('01_인적정보'!B25="",'06_직무역량평가'!J83=""),"",'06_직무역량평가'!J83)</f>
        <v>B</v>
      </c>
      <c r="O25" s="52">
        <f>IFERROR(IF(AND(LEN(M25)&gt;0,LEN(N25)&gt;0),'02_의사결정·종합결과'!$B$7*IFERROR(CHOOSE(FIND(M25,"DCBAS"),1,2,3,4,5),0)+'02_의사결정·종합결과'!$B$8*IFERROR(CHOOSE(FIND(N25,"DCBAS"),1,2,3,4,5),0),IF(LEN(M25)&gt;0,IFERROR(CHOOSE(FIND(M25,"DCBAS"),1,2,3,4,5),0),IF(LEN(N25)&gt;0,IFERROR(CHOOSE(FIND(N25,"DCBAS"),1,2,3,4,5),0),""))),"")</f>
        <v>3</v>
      </c>
      <c r="P25" s="43">
        <f>IFERROR(VLOOKUP(F25,'02_의사결정·종합결과'!$A$16:$D$22,2,FALSE()),"")</f>
        <v>0.25</v>
      </c>
      <c r="Q25" s="43">
        <f>IFERROR(VLOOKUP(F25,'02_의사결정·종합결과'!$A$16:$D$22,3,FALSE()),"")</f>
        <v>0.3</v>
      </c>
      <c r="R25" s="43">
        <f>IFERROR(VLOOKUP(F25,'02_의사결정·종합결과'!$A$16:$D$22,4,FALSE()),"")</f>
        <v>0.45</v>
      </c>
      <c r="S25" s="64">
        <f t="shared" si="0"/>
        <v>2.85</v>
      </c>
      <c r="T25" s="53" t="str">
        <f t="shared" si="1"/>
        <v>B</v>
      </c>
      <c r="U25" s="65" t="str">
        <f>IF(OR(S25="",NOT(ISNUMBER(S25)),S25&lt;0.5),"",IF('02_의사결정·종합결과'!$B$6="절대평가",T25,IF(IFERROR(RANK(S25,$S$6:$S$55,0)/MAX(COUNTIF($S$6:$S$55,"&gt;0"),1),0)&lt;='02_의사결정·종합결과'!$B$11,"S",IF(IFERROR(RANK(S25,$S$6:$S$55,0)/MAX(COUNTIF($S$6:$S$55,"&gt;0"),1),0)&lt;='02_의사결정·종합결과'!$B$11+'02_의사결정·종합결과'!$C$11,"A",IF(IFERROR(RANK(S25,$S$6:$S$55,0)/MAX(COUNTIF($S$6:$S$55,"&gt;0"),1),0)&lt;='02_의사결정·종합결과'!$B$11+'02_의사결정·종합결과'!$C$11+'02_의사결정·종합결과'!$D$11,"B",IF(IFERROR(RANK(S25,$S$6:$S$55,0)/MAX(COUNTIF($S$6:$S$55,"&gt;0"),1),0)&lt;='02_의사결정·종합결과'!$B$11+'02_의사결정·종합결과'!$C$11+'02_의사결정·종합결과'!$D$11+'02_의사결정·종합결과'!$E$11,"C","D"))))))</f>
        <v>C</v>
      </c>
      <c r="V25" s="10"/>
    </row>
    <row r="26" spans="1:22" ht="21.75" customHeight="1">
      <c r="A26" s="4">
        <f>'01_인적정보'!A26</f>
        <v>21</v>
      </c>
      <c r="B26" s="4" t="str">
        <f>'01_인적정보'!B26</f>
        <v>BSS-021</v>
      </c>
      <c r="C26" s="13" t="str">
        <f>'01_인적정보'!C26</f>
        <v>OOO</v>
      </c>
      <c r="D26" s="13" t="str">
        <f>'01_인적정보'!D26</f>
        <v>설계</v>
      </c>
      <c r="E26" s="13" t="str">
        <f>'01_인적정보'!E26</f>
        <v>BIM컨설팅</v>
      </c>
      <c r="F26" s="40" t="str">
        <f>'01_인적정보'!H26</f>
        <v>G2</v>
      </c>
      <c r="G26" s="19" t="str">
        <f>IF(OR('01_인적정보'!B26="",'04_역할평가'!I26=""),"",'04_역할평가'!I26)</f>
        <v>B</v>
      </c>
      <c r="H26" s="19" t="str">
        <f>IF(OR('01_인적정보'!B26="",'04_역할평가'!I84=""),"",'04_역할평가'!I84)</f>
        <v>C</v>
      </c>
      <c r="I26" s="52">
        <f>IFERROR(IF(AND(LEN(G26)&gt;0,LEN(H26)&gt;0),'02_의사결정·종합결과'!$B$7*IFERROR(CHOOSE(FIND(G26,"DCBAS"),1,2,3,4,5),0)+'02_의사결정·종합결과'!$B$8*IFERROR(CHOOSE(FIND(H26,"DCBAS"),1,2,3,4,5),0),IF(LEN(G26)&gt;0,IFERROR(CHOOSE(FIND(G26,"DCBAS"),1,2,3,4,5),0),IF(LEN(H26)&gt;0,IFERROR(CHOOSE(FIND(H26,"DCBAS"),1,2,3,4,5),0),""))),"")</f>
        <v>2.5</v>
      </c>
      <c r="J26" s="19" t="str">
        <f>IF(OR('01_인적정보'!B26="",'05_공통역량평가'!I26=""),"",'05_공통역량평가'!I26)</f>
        <v>B</v>
      </c>
      <c r="K26" s="19" t="str">
        <f>IF(OR('01_인적정보'!B26="",'05_공통역량평가'!I84=""),"",'05_공통역량평가'!I84)</f>
        <v>C</v>
      </c>
      <c r="L26" s="52">
        <f>IFERROR(IF(AND(LEN(J26)&gt;0,LEN(K26)&gt;0),'02_의사결정·종합결과'!$B$7*IFERROR(CHOOSE(FIND(J26,"DCBAS"),1,2,3,4,5),0)+'02_의사결정·종합결과'!$B$8*IFERROR(CHOOSE(FIND(K26,"DCBAS"),1,2,3,4,5),0),IF(LEN(J26)&gt;0,IFERROR(CHOOSE(FIND(J26,"DCBAS"),1,2,3,4,5),0),IF(LEN(K26)&gt;0,IFERROR(CHOOSE(FIND(K26,"DCBAS"),1,2,3,4,5),0),""))),"")</f>
        <v>2.5</v>
      </c>
      <c r="M26" s="19" t="str">
        <f>IF(OR('01_인적정보'!B26="",'06_직무역량평가'!J26=""),"",'06_직무역량평가'!J26)</f>
        <v>C</v>
      </c>
      <c r="N26" s="19" t="str">
        <f>IF(OR('01_인적정보'!B26="",'06_직무역량평가'!J84=""),"",'06_직무역량평가'!J84)</f>
        <v>D</v>
      </c>
      <c r="O26" s="52">
        <f>IFERROR(IF(AND(LEN(M26)&gt;0,LEN(N26)&gt;0),'02_의사결정·종합결과'!$B$7*IFERROR(CHOOSE(FIND(M26,"DCBAS"),1,2,3,4,5),0)+'02_의사결정·종합결과'!$B$8*IFERROR(CHOOSE(FIND(N26,"DCBAS"),1,2,3,4,5),0),IF(LEN(M26)&gt;0,IFERROR(CHOOSE(FIND(M26,"DCBAS"),1,2,3,4,5),0),IF(LEN(N26)&gt;0,IFERROR(CHOOSE(FIND(N26,"DCBAS"),1,2,3,4,5),0),""))),"")</f>
        <v>1.5</v>
      </c>
      <c r="P26" s="43">
        <f>IFERROR(VLOOKUP(F26,'02_의사결정·종합결과'!$A$16:$D$22,2,FALSE()),"")</f>
        <v>0.2</v>
      </c>
      <c r="Q26" s="43">
        <f>IFERROR(VLOOKUP(F26,'02_의사결정·종합결과'!$A$16:$D$22,3,FALSE()),"")</f>
        <v>0.35</v>
      </c>
      <c r="R26" s="43">
        <f>IFERROR(VLOOKUP(F26,'02_의사결정·종합결과'!$A$16:$D$22,4,FALSE()),"")</f>
        <v>0.45</v>
      </c>
      <c r="S26" s="64">
        <f t="shared" si="0"/>
        <v>2.0499999999999998</v>
      </c>
      <c r="T26" s="53" t="str">
        <f t="shared" si="1"/>
        <v>C</v>
      </c>
      <c r="U26" s="65" t="str">
        <f>IF(OR(S26="",NOT(ISNUMBER(S26)),S26&lt;0.5),"",IF('02_의사결정·종합결과'!$B$6="절대평가",T26,IF(IFERROR(RANK(S26,$S$6:$S$55,0)/MAX(COUNTIF($S$6:$S$55,"&gt;0"),1),0)&lt;='02_의사결정·종합결과'!$B$11,"S",IF(IFERROR(RANK(S26,$S$6:$S$55,0)/MAX(COUNTIF($S$6:$S$55,"&gt;0"),1),0)&lt;='02_의사결정·종합결과'!$B$11+'02_의사결정·종합결과'!$C$11,"A",IF(IFERROR(RANK(S26,$S$6:$S$55,0)/MAX(COUNTIF($S$6:$S$55,"&gt;0"),1),0)&lt;='02_의사결정·종합결과'!$B$11+'02_의사결정·종합결과'!$C$11+'02_의사결정·종합결과'!$D$11,"B",IF(IFERROR(RANK(S26,$S$6:$S$55,0)/MAX(COUNTIF($S$6:$S$55,"&gt;0"),1),0)&lt;='02_의사결정·종합결과'!$B$11+'02_의사결정·종합결과'!$C$11+'02_의사결정·종합결과'!$D$11+'02_의사결정·종합결과'!$E$11,"C","D"))))))</f>
        <v>D</v>
      </c>
      <c r="V26" s="10"/>
    </row>
    <row r="27" spans="1:22" ht="21.75" customHeight="1">
      <c r="A27" s="4">
        <f>'01_인적정보'!A27</f>
        <v>22</v>
      </c>
      <c r="B27" s="4" t="str">
        <f>'01_인적정보'!B27</f>
        <v>BSS-022</v>
      </c>
      <c r="C27" s="13" t="str">
        <f>'01_인적정보'!C27</f>
        <v>OOO</v>
      </c>
      <c r="D27" s="13" t="str">
        <f>'01_인적정보'!D27</f>
        <v>설계</v>
      </c>
      <c r="E27" s="13" t="str">
        <f>'01_인적정보'!E27</f>
        <v>BIM컨설팅</v>
      </c>
      <c r="F27" s="40" t="str">
        <f>'01_인적정보'!H27</f>
        <v>G2</v>
      </c>
      <c r="G27" s="19" t="str">
        <f>IF(OR('01_인적정보'!B27="",'04_역할평가'!I27=""),"",'04_역할평가'!I27)</f>
        <v>B</v>
      </c>
      <c r="H27" s="19" t="str">
        <f>IF(OR('01_인적정보'!B27="",'04_역할평가'!I85=""),"",'04_역할평가'!I85)</f>
        <v>B</v>
      </c>
      <c r="I27" s="52">
        <f>IFERROR(IF(AND(LEN(G27)&gt;0,LEN(H27)&gt;0),'02_의사결정·종합결과'!$B$7*IFERROR(CHOOSE(FIND(G27,"DCBAS"),1,2,3,4,5),0)+'02_의사결정·종합결과'!$B$8*IFERROR(CHOOSE(FIND(H27,"DCBAS"),1,2,3,4,5),0),IF(LEN(G27)&gt;0,IFERROR(CHOOSE(FIND(G27,"DCBAS"),1,2,3,4,5),0),IF(LEN(H27)&gt;0,IFERROR(CHOOSE(FIND(H27,"DCBAS"),1,2,3,4,5),0),""))),"")</f>
        <v>3</v>
      </c>
      <c r="J27" s="19" t="str">
        <f>IF(OR('01_인적정보'!B27="",'05_공통역량평가'!I27=""),"",'05_공통역량평가'!I27)</f>
        <v>A</v>
      </c>
      <c r="K27" s="19" t="str">
        <f>IF(OR('01_인적정보'!B27="",'05_공통역량평가'!I85=""),"",'05_공통역량평가'!I85)</f>
        <v>A</v>
      </c>
      <c r="L27" s="52">
        <f>IFERROR(IF(AND(LEN(J27)&gt;0,LEN(K27)&gt;0),'02_의사결정·종합결과'!$B$7*IFERROR(CHOOSE(FIND(J27,"DCBAS"),1,2,3,4,5),0)+'02_의사결정·종합결과'!$B$8*IFERROR(CHOOSE(FIND(K27,"DCBAS"),1,2,3,4,5),0),IF(LEN(J27)&gt;0,IFERROR(CHOOSE(FIND(J27,"DCBAS"),1,2,3,4,5),0),IF(LEN(K27)&gt;0,IFERROR(CHOOSE(FIND(K27,"DCBAS"),1,2,3,4,5),0),""))),"")</f>
        <v>4</v>
      </c>
      <c r="M27" s="19" t="str">
        <f>IF(OR('01_인적정보'!B27="",'06_직무역량평가'!J27=""),"",'06_직무역량평가'!J27)</f>
        <v>A</v>
      </c>
      <c r="N27" s="19" t="str">
        <f>IF(OR('01_인적정보'!B27="",'06_직무역량평가'!J85=""),"",'06_직무역량평가'!J85)</f>
        <v>A</v>
      </c>
      <c r="O27" s="52">
        <f>IFERROR(IF(AND(LEN(M27)&gt;0,LEN(N27)&gt;0),'02_의사결정·종합결과'!$B$7*IFERROR(CHOOSE(FIND(M27,"DCBAS"),1,2,3,4,5),0)+'02_의사결정·종합결과'!$B$8*IFERROR(CHOOSE(FIND(N27,"DCBAS"),1,2,3,4,5),0),IF(LEN(M27)&gt;0,IFERROR(CHOOSE(FIND(M27,"DCBAS"),1,2,3,4,5),0),IF(LEN(N27)&gt;0,IFERROR(CHOOSE(FIND(N27,"DCBAS"),1,2,3,4,5),0),""))),"")</f>
        <v>4</v>
      </c>
      <c r="P27" s="43">
        <f>IFERROR(VLOOKUP(F27,'02_의사결정·종합결과'!$A$16:$D$22,2,FALSE()),"")</f>
        <v>0.2</v>
      </c>
      <c r="Q27" s="43">
        <f>IFERROR(VLOOKUP(F27,'02_의사결정·종합결과'!$A$16:$D$22,3,FALSE()),"")</f>
        <v>0.35</v>
      </c>
      <c r="R27" s="43">
        <f>IFERROR(VLOOKUP(F27,'02_의사결정·종합결과'!$A$16:$D$22,4,FALSE()),"")</f>
        <v>0.45</v>
      </c>
      <c r="S27" s="64">
        <f t="shared" si="0"/>
        <v>3.8</v>
      </c>
      <c r="T27" s="53" t="str">
        <f t="shared" si="1"/>
        <v>A</v>
      </c>
      <c r="U27" s="65" t="str">
        <f>IF(OR(S27="",NOT(ISNUMBER(S27)),S27&lt;0.5),"",IF('02_의사결정·종합결과'!$B$6="절대평가",T27,IF(IFERROR(RANK(S27,$S$6:$S$55,0)/MAX(COUNTIF($S$6:$S$55,"&gt;0"),1),0)&lt;='02_의사결정·종합결과'!$B$11,"S",IF(IFERROR(RANK(S27,$S$6:$S$55,0)/MAX(COUNTIF($S$6:$S$55,"&gt;0"),1),0)&lt;='02_의사결정·종합결과'!$B$11+'02_의사결정·종합결과'!$C$11,"A",IF(IFERROR(RANK(S27,$S$6:$S$55,0)/MAX(COUNTIF($S$6:$S$55,"&gt;0"),1),0)&lt;='02_의사결정·종합결과'!$B$11+'02_의사결정·종합결과'!$C$11+'02_의사결정·종합결과'!$D$11,"B",IF(IFERROR(RANK(S27,$S$6:$S$55,0)/MAX(COUNTIF($S$6:$S$55,"&gt;0"),1),0)&lt;='02_의사결정·종합결과'!$B$11+'02_의사결정·종합결과'!$C$11+'02_의사결정·종합결과'!$D$11+'02_의사결정·종합결과'!$E$11,"C","D"))))))</f>
        <v>B</v>
      </c>
      <c r="V27" s="10"/>
    </row>
    <row r="28" spans="1:22" ht="21.75" customHeight="1">
      <c r="A28" s="4">
        <f>'01_인적정보'!A28</f>
        <v>23</v>
      </c>
      <c r="B28" s="4" t="str">
        <f>'01_인적정보'!B28</f>
        <v>BSS-023</v>
      </c>
      <c r="C28" s="13" t="str">
        <f>'01_인적정보'!C28</f>
        <v>OOO</v>
      </c>
      <c r="D28" s="13" t="str">
        <f>'01_인적정보'!D28</f>
        <v>설계</v>
      </c>
      <c r="E28" s="13" t="str">
        <f>'01_인적정보'!E28</f>
        <v>BIM컨설팅</v>
      </c>
      <c r="F28" s="40" t="str">
        <f>'01_인적정보'!H28</f>
        <v>G2</v>
      </c>
      <c r="G28" s="19" t="str">
        <f>IF(OR('01_인적정보'!B28="",'04_역할평가'!I28=""),"",'04_역할평가'!I28)</f>
        <v>B</v>
      </c>
      <c r="H28" s="19" t="str">
        <f>IF(OR('01_인적정보'!B28="",'04_역할평가'!I86=""),"",'04_역할평가'!I86)</f>
        <v>A</v>
      </c>
      <c r="I28" s="52">
        <f>IFERROR(IF(AND(LEN(G28)&gt;0,LEN(H28)&gt;0),'02_의사결정·종합결과'!$B$7*IFERROR(CHOOSE(FIND(G28,"DCBAS"),1,2,3,4,5),0)+'02_의사결정·종합결과'!$B$8*IFERROR(CHOOSE(FIND(H28,"DCBAS"),1,2,3,4,5),0),IF(LEN(G28)&gt;0,IFERROR(CHOOSE(FIND(G28,"DCBAS"),1,2,3,4,5),0),IF(LEN(H28)&gt;0,IFERROR(CHOOSE(FIND(H28,"DCBAS"),1,2,3,4,5),0),""))),"")</f>
        <v>3.5</v>
      </c>
      <c r="J28" s="19" t="str">
        <f>IF(OR('01_인적정보'!B28="",'05_공통역량평가'!I28=""),"",'05_공통역량평가'!I28)</f>
        <v>A</v>
      </c>
      <c r="K28" s="19" t="str">
        <f>IF(OR('01_인적정보'!B28="",'05_공통역량평가'!I86=""),"",'05_공통역량평가'!I86)</f>
        <v>A</v>
      </c>
      <c r="L28" s="52">
        <f>IFERROR(IF(AND(LEN(J28)&gt;0,LEN(K28)&gt;0),'02_의사결정·종합결과'!$B$7*IFERROR(CHOOSE(FIND(J28,"DCBAS"),1,2,3,4,5),0)+'02_의사결정·종합결과'!$B$8*IFERROR(CHOOSE(FIND(K28,"DCBAS"),1,2,3,4,5),0),IF(LEN(J28)&gt;0,IFERROR(CHOOSE(FIND(J28,"DCBAS"),1,2,3,4,5),0),IF(LEN(K28)&gt;0,IFERROR(CHOOSE(FIND(K28,"DCBAS"),1,2,3,4,5),0),""))),"")</f>
        <v>4</v>
      </c>
      <c r="M28" s="19" t="str">
        <f>IF(OR('01_인적정보'!B28="",'06_직무역량평가'!J28=""),"",'06_직무역량평가'!J28)</f>
        <v>A</v>
      </c>
      <c r="N28" s="19" t="str">
        <f>IF(OR('01_인적정보'!B28="",'06_직무역량평가'!J86=""),"",'06_직무역량평가'!J86)</f>
        <v>A</v>
      </c>
      <c r="O28" s="52">
        <f>IFERROR(IF(AND(LEN(M28)&gt;0,LEN(N28)&gt;0),'02_의사결정·종합결과'!$B$7*IFERROR(CHOOSE(FIND(M28,"DCBAS"),1,2,3,4,5),0)+'02_의사결정·종합결과'!$B$8*IFERROR(CHOOSE(FIND(N28,"DCBAS"),1,2,3,4,5),0),IF(LEN(M28)&gt;0,IFERROR(CHOOSE(FIND(M28,"DCBAS"),1,2,3,4,5),0),IF(LEN(N28)&gt;0,IFERROR(CHOOSE(FIND(N28,"DCBAS"),1,2,3,4,5),0),""))),"")</f>
        <v>4</v>
      </c>
      <c r="P28" s="43">
        <f>IFERROR(VLOOKUP(F28,'02_의사결정·종합결과'!$A$16:$D$22,2,FALSE()),"")</f>
        <v>0.2</v>
      </c>
      <c r="Q28" s="43">
        <f>IFERROR(VLOOKUP(F28,'02_의사결정·종합결과'!$A$16:$D$22,3,FALSE()),"")</f>
        <v>0.35</v>
      </c>
      <c r="R28" s="43">
        <f>IFERROR(VLOOKUP(F28,'02_의사결정·종합결과'!$A$16:$D$22,4,FALSE()),"")</f>
        <v>0.45</v>
      </c>
      <c r="S28" s="64">
        <f t="shared" si="0"/>
        <v>3.9000000000000004</v>
      </c>
      <c r="T28" s="53" t="str">
        <f t="shared" si="1"/>
        <v>A</v>
      </c>
      <c r="U28" s="65" t="str">
        <f>IF(OR(S28="",NOT(ISNUMBER(S28)),S28&lt;0.5),"",IF('02_의사결정·종합결과'!$B$6="절대평가",T28,IF(IFERROR(RANK(S28,$S$6:$S$55,0)/MAX(COUNTIF($S$6:$S$55,"&gt;0"),1),0)&lt;='02_의사결정·종합결과'!$B$11,"S",IF(IFERROR(RANK(S28,$S$6:$S$55,0)/MAX(COUNTIF($S$6:$S$55,"&gt;0"),1),0)&lt;='02_의사결정·종합결과'!$B$11+'02_의사결정·종합결과'!$C$11,"A",IF(IFERROR(RANK(S28,$S$6:$S$55,0)/MAX(COUNTIF($S$6:$S$55,"&gt;0"),1),0)&lt;='02_의사결정·종합결과'!$B$11+'02_의사결정·종합결과'!$C$11+'02_의사결정·종합결과'!$D$11,"B",IF(IFERROR(RANK(S28,$S$6:$S$55,0)/MAX(COUNTIF($S$6:$S$55,"&gt;0"),1),0)&lt;='02_의사결정·종합결과'!$B$11+'02_의사결정·종합결과'!$C$11+'02_의사결정·종합결과'!$D$11+'02_의사결정·종합결과'!$E$11,"C","D"))))))</f>
        <v>B</v>
      </c>
      <c r="V28" s="10"/>
    </row>
    <row r="29" spans="1:22" ht="21.75" customHeight="1">
      <c r="A29" s="4">
        <f>'01_인적정보'!A29</f>
        <v>24</v>
      </c>
      <c r="B29" s="4" t="str">
        <f>'01_인적정보'!B29</f>
        <v>BSS-024</v>
      </c>
      <c r="C29" s="13" t="str">
        <f>'01_인적정보'!C29</f>
        <v>OOO</v>
      </c>
      <c r="D29" s="13" t="str">
        <f>'01_인적정보'!D29</f>
        <v>설계</v>
      </c>
      <c r="E29" s="13" t="str">
        <f>'01_인적정보'!E29</f>
        <v>BIM컨설팅</v>
      </c>
      <c r="F29" s="40" t="str">
        <f>'01_인적정보'!H29</f>
        <v>G2</v>
      </c>
      <c r="G29" s="19" t="str">
        <f>IF(OR('01_인적정보'!B29="",'04_역할평가'!I29=""),"",'04_역할평가'!I29)</f>
        <v>B</v>
      </c>
      <c r="H29" s="19" t="str">
        <f>IF(OR('01_인적정보'!B29="",'04_역할평가'!I87=""),"",'04_역할평가'!I87)</f>
        <v>A</v>
      </c>
      <c r="I29" s="52">
        <f>IFERROR(IF(AND(LEN(G29)&gt;0,LEN(H29)&gt;0),'02_의사결정·종합결과'!$B$7*IFERROR(CHOOSE(FIND(G29,"DCBAS"),1,2,3,4,5),0)+'02_의사결정·종합결과'!$B$8*IFERROR(CHOOSE(FIND(H29,"DCBAS"),1,2,3,4,5),0),IF(LEN(G29)&gt;0,IFERROR(CHOOSE(FIND(G29,"DCBAS"),1,2,3,4,5),0),IF(LEN(H29)&gt;0,IFERROR(CHOOSE(FIND(H29,"DCBAS"),1,2,3,4,5),0),""))),"")</f>
        <v>3.5</v>
      </c>
      <c r="J29" s="19" t="str">
        <f>IF(OR('01_인적정보'!B29="",'05_공통역량평가'!I29=""),"",'05_공통역량평가'!I29)</f>
        <v>S</v>
      </c>
      <c r="K29" s="19" t="str">
        <f>IF(OR('01_인적정보'!B29="",'05_공통역량평가'!I87=""),"",'05_공통역량평가'!I87)</f>
        <v>S</v>
      </c>
      <c r="L29" s="52">
        <f>IFERROR(IF(AND(LEN(J29)&gt;0,LEN(K29)&gt;0),'02_의사결정·종합결과'!$B$7*IFERROR(CHOOSE(FIND(J29,"DCBAS"),1,2,3,4,5),0)+'02_의사결정·종합결과'!$B$8*IFERROR(CHOOSE(FIND(K29,"DCBAS"),1,2,3,4,5),0),IF(LEN(J29)&gt;0,IFERROR(CHOOSE(FIND(J29,"DCBAS"),1,2,3,4,5),0),IF(LEN(K29)&gt;0,IFERROR(CHOOSE(FIND(K29,"DCBAS"),1,2,3,4,5),0),""))),"")</f>
        <v>5</v>
      </c>
      <c r="M29" s="19" t="str">
        <f>IF(OR('01_인적정보'!B29="",'06_직무역량평가'!J29=""),"",'06_직무역량평가'!J29)</f>
        <v>A</v>
      </c>
      <c r="N29" s="19" t="str">
        <f>IF(OR('01_인적정보'!B29="",'06_직무역량평가'!J87=""),"",'06_직무역량평가'!J87)</f>
        <v>A</v>
      </c>
      <c r="O29" s="52">
        <f>IFERROR(IF(AND(LEN(M29)&gt;0,LEN(N29)&gt;0),'02_의사결정·종합결과'!$B$7*IFERROR(CHOOSE(FIND(M29,"DCBAS"),1,2,3,4,5),0)+'02_의사결정·종합결과'!$B$8*IFERROR(CHOOSE(FIND(N29,"DCBAS"),1,2,3,4,5),0),IF(LEN(M29)&gt;0,IFERROR(CHOOSE(FIND(M29,"DCBAS"),1,2,3,4,5),0),IF(LEN(N29)&gt;0,IFERROR(CHOOSE(FIND(N29,"DCBAS"),1,2,3,4,5),0),""))),"")</f>
        <v>4</v>
      </c>
      <c r="P29" s="43">
        <f>IFERROR(VLOOKUP(F29,'02_의사결정·종합결과'!$A$16:$D$22,2,FALSE()),"")</f>
        <v>0.2</v>
      </c>
      <c r="Q29" s="43">
        <f>IFERROR(VLOOKUP(F29,'02_의사결정·종합결과'!$A$16:$D$22,3,FALSE()),"")</f>
        <v>0.35</v>
      </c>
      <c r="R29" s="43">
        <f>IFERROR(VLOOKUP(F29,'02_의사결정·종합결과'!$A$16:$D$22,4,FALSE()),"")</f>
        <v>0.45</v>
      </c>
      <c r="S29" s="64">
        <f t="shared" si="0"/>
        <v>4.25</v>
      </c>
      <c r="T29" s="53" t="str">
        <f t="shared" si="1"/>
        <v>A</v>
      </c>
      <c r="U29" s="65" t="str">
        <f>IF(OR(S29="",NOT(ISNUMBER(S29)),S29&lt;0.5),"",IF('02_의사결정·종합결과'!$B$6="절대평가",T29,IF(IFERROR(RANK(S29,$S$6:$S$55,0)/MAX(COUNTIF($S$6:$S$55,"&gt;0"),1),0)&lt;='02_의사결정·종합결과'!$B$11,"S",IF(IFERROR(RANK(S29,$S$6:$S$55,0)/MAX(COUNTIF($S$6:$S$55,"&gt;0"),1),0)&lt;='02_의사결정·종합결과'!$B$11+'02_의사결정·종합결과'!$C$11,"A",IF(IFERROR(RANK(S29,$S$6:$S$55,0)/MAX(COUNTIF($S$6:$S$55,"&gt;0"),1),0)&lt;='02_의사결정·종합결과'!$B$11+'02_의사결정·종합결과'!$C$11+'02_의사결정·종합결과'!$D$11,"B",IF(IFERROR(RANK(S29,$S$6:$S$55,0)/MAX(COUNTIF($S$6:$S$55,"&gt;0"),1),0)&lt;='02_의사결정·종합결과'!$B$11+'02_의사결정·종합결과'!$C$11+'02_의사결정·종합결과'!$D$11+'02_의사결정·종합결과'!$E$11,"C","D"))))))</f>
        <v>S</v>
      </c>
      <c r="V29" s="10"/>
    </row>
    <row r="30" spans="1:22" ht="21.75" customHeight="1">
      <c r="A30" s="4">
        <f>'01_인적정보'!A30</f>
        <v>25</v>
      </c>
      <c r="B30" s="4" t="str">
        <f>'01_인적정보'!B30</f>
        <v>BSS-025</v>
      </c>
      <c r="C30" s="13" t="str">
        <f>'01_인적정보'!C30</f>
        <v>OOO</v>
      </c>
      <c r="D30" s="13" t="str">
        <f>'01_인적정보'!D30</f>
        <v>연구&amp;개발</v>
      </c>
      <c r="E30" s="13" t="str">
        <f>'01_인적정보'!E30</f>
        <v>연구개발(R&amp;D)</v>
      </c>
      <c r="F30" s="40" t="str">
        <f>'01_인적정보'!H30</f>
        <v>G2</v>
      </c>
      <c r="G30" s="19" t="str">
        <f>IF(OR('01_인적정보'!B30="",'04_역할평가'!I30=""),"",'04_역할평가'!I30)</f>
        <v>D</v>
      </c>
      <c r="H30" s="19" t="str">
        <f>IF(OR('01_인적정보'!B30="",'04_역할평가'!I88=""),"",'04_역할평가'!I88)</f>
        <v>C</v>
      </c>
      <c r="I30" s="52">
        <f>IFERROR(IF(AND(LEN(G30)&gt;0,LEN(H30)&gt;0),'02_의사결정·종합결과'!$B$7*IFERROR(CHOOSE(FIND(G30,"DCBAS"),1,2,3,4,5),0)+'02_의사결정·종합결과'!$B$8*IFERROR(CHOOSE(FIND(H30,"DCBAS"),1,2,3,4,5),0),IF(LEN(G30)&gt;0,IFERROR(CHOOSE(FIND(G30,"DCBAS"),1,2,3,4,5),0),IF(LEN(H30)&gt;0,IFERROR(CHOOSE(FIND(H30,"DCBAS"),1,2,3,4,5),0),""))),"")</f>
        <v>1.5</v>
      </c>
      <c r="J30" s="19" t="str">
        <f>IF(OR('01_인적정보'!B30="",'05_공통역량평가'!I30=""),"",'05_공통역량평가'!I30)</f>
        <v>C</v>
      </c>
      <c r="K30" s="19" t="str">
        <f>IF(OR('01_인적정보'!B30="",'05_공통역량평가'!I88=""),"",'05_공통역량평가'!I88)</f>
        <v>D</v>
      </c>
      <c r="L30" s="52">
        <f>IFERROR(IF(AND(LEN(J30)&gt;0,LEN(K30)&gt;0),'02_의사결정·종합결과'!$B$7*IFERROR(CHOOSE(FIND(J30,"DCBAS"),1,2,3,4,5),0)+'02_의사결정·종합결과'!$B$8*IFERROR(CHOOSE(FIND(K30,"DCBAS"),1,2,3,4,5),0),IF(LEN(J30)&gt;0,IFERROR(CHOOSE(FIND(J30,"DCBAS"),1,2,3,4,5),0),IF(LEN(K30)&gt;0,IFERROR(CHOOSE(FIND(K30,"DCBAS"),1,2,3,4,5),0),""))),"")</f>
        <v>1.5</v>
      </c>
      <c r="M30" s="19" t="str">
        <f>IF(OR('01_인적정보'!B30="",'06_직무역량평가'!J30=""),"",'06_직무역량평가'!J30)</f>
        <v>C</v>
      </c>
      <c r="N30" s="19" t="str">
        <f>IF(OR('01_인적정보'!B30="",'06_직무역량평가'!J88=""),"",'06_직무역량평가'!J88)</f>
        <v>D</v>
      </c>
      <c r="O30" s="52">
        <f>IFERROR(IF(AND(LEN(M30)&gt;0,LEN(N30)&gt;0),'02_의사결정·종합결과'!$B$7*IFERROR(CHOOSE(FIND(M30,"DCBAS"),1,2,3,4,5),0)+'02_의사결정·종합결과'!$B$8*IFERROR(CHOOSE(FIND(N30,"DCBAS"),1,2,3,4,5),0),IF(LEN(M30)&gt;0,IFERROR(CHOOSE(FIND(M30,"DCBAS"),1,2,3,4,5),0),IF(LEN(N30)&gt;0,IFERROR(CHOOSE(FIND(N30,"DCBAS"),1,2,3,4,5),0),""))),"")</f>
        <v>1.5</v>
      </c>
      <c r="P30" s="43">
        <f>IFERROR(VLOOKUP(F30,'02_의사결정·종합결과'!$A$16:$D$22,2,FALSE()),"")</f>
        <v>0.2</v>
      </c>
      <c r="Q30" s="43">
        <f>IFERROR(VLOOKUP(F30,'02_의사결정·종합결과'!$A$16:$D$22,3,FALSE()),"")</f>
        <v>0.35</v>
      </c>
      <c r="R30" s="43">
        <f>IFERROR(VLOOKUP(F30,'02_의사결정·종합결과'!$A$16:$D$22,4,FALSE()),"")</f>
        <v>0.45</v>
      </c>
      <c r="S30" s="64">
        <f t="shared" si="0"/>
        <v>1.5</v>
      </c>
      <c r="T30" s="53" t="str">
        <f t="shared" si="1"/>
        <v>C</v>
      </c>
      <c r="U30" s="65" t="str">
        <f>IF(OR(S30="",NOT(ISNUMBER(S30)),S30&lt;0.5),"",IF('02_의사결정·종합결과'!$B$6="절대평가",T30,IF(IFERROR(RANK(S30,$S$6:$S$55,0)/MAX(COUNTIF($S$6:$S$55,"&gt;0"),1),0)&lt;='02_의사결정·종합결과'!$B$11,"S",IF(IFERROR(RANK(S30,$S$6:$S$55,0)/MAX(COUNTIF($S$6:$S$55,"&gt;0"),1),0)&lt;='02_의사결정·종합결과'!$B$11+'02_의사결정·종합결과'!$C$11,"A",IF(IFERROR(RANK(S30,$S$6:$S$55,0)/MAX(COUNTIF($S$6:$S$55,"&gt;0"),1),0)&lt;='02_의사결정·종합결과'!$B$11+'02_의사결정·종합결과'!$C$11+'02_의사결정·종합결과'!$D$11,"B",IF(IFERROR(RANK(S30,$S$6:$S$55,0)/MAX(COUNTIF($S$6:$S$55,"&gt;0"),1),0)&lt;='02_의사결정·종합결과'!$B$11+'02_의사결정·종합결과'!$C$11+'02_의사결정·종합결과'!$D$11+'02_의사결정·종합결과'!$E$11,"C","D"))))))</f>
        <v>D</v>
      </c>
      <c r="V30" s="10"/>
    </row>
    <row r="31" spans="1:22" ht="21.75" customHeight="1">
      <c r="A31" s="4">
        <f>'01_인적정보'!A31</f>
        <v>26</v>
      </c>
      <c r="B31" s="4" t="str">
        <f>'01_인적정보'!B31</f>
        <v>BSS-026</v>
      </c>
      <c r="C31" s="13" t="str">
        <f>'01_인적정보'!C31</f>
        <v>OOO</v>
      </c>
      <c r="D31" s="13" t="str">
        <f>'01_인적정보'!D31</f>
        <v>경영관리</v>
      </c>
      <c r="E31" s="13" t="str">
        <f>'01_인적정보'!E31</f>
        <v>경영전략기획</v>
      </c>
      <c r="F31" s="40" t="str">
        <f>'01_인적정보'!H31</f>
        <v>G1</v>
      </c>
      <c r="G31" s="19" t="str">
        <f>IF(OR('01_인적정보'!B31="",'04_역할평가'!I31=""),"",'04_역할평가'!I31)</f>
        <v>B</v>
      </c>
      <c r="H31" s="19" t="str">
        <f>IF(OR('01_인적정보'!B31="",'04_역할평가'!I89=""),"",'04_역할평가'!I89)</f>
        <v>B</v>
      </c>
      <c r="I31" s="52">
        <f>IFERROR(IF(AND(LEN(G31)&gt;0,LEN(H31)&gt;0),'02_의사결정·종합결과'!$B$7*IFERROR(CHOOSE(FIND(G31,"DCBAS"),1,2,3,4,5),0)+'02_의사결정·종합결과'!$B$8*IFERROR(CHOOSE(FIND(H31,"DCBAS"),1,2,3,4,5),0),IF(LEN(G31)&gt;0,IFERROR(CHOOSE(FIND(G31,"DCBAS"),1,2,3,4,5),0),IF(LEN(H31)&gt;0,IFERROR(CHOOSE(FIND(H31,"DCBAS"),1,2,3,4,5),0),""))),"")</f>
        <v>3</v>
      </c>
      <c r="J31" s="19" t="str">
        <f>IF(OR('01_인적정보'!B31="",'05_공통역량평가'!I31=""),"",'05_공통역량평가'!I31)</f>
        <v>A</v>
      </c>
      <c r="K31" s="19" t="str">
        <f>IF(OR('01_인적정보'!B31="",'05_공통역량평가'!I89=""),"",'05_공통역량평가'!I89)</f>
        <v>A</v>
      </c>
      <c r="L31" s="52">
        <f>IFERROR(IF(AND(LEN(J31)&gt;0,LEN(K31)&gt;0),'02_의사결정·종합결과'!$B$7*IFERROR(CHOOSE(FIND(J31,"DCBAS"),1,2,3,4,5),0)+'02_의사결정·종합결과'!$B$8*IFERROR(CHOOSE(FIND(K31,"DCBAS"),1,2,3,4,5),0),IF(LEN(J31)&gt;0,IFERROR(CHOOSE(FIND(J31,"DCBAS"),1,2,3,4,5),0),IF(LEN(K31)&gt;0,IFERROR(CHOOSE(FIND(K31,"DCBAS"),1,2,3,4,5),0),""))),"")</f>
        <v>4</v>
      </c>
      <c r="M31" s="19" t="str">
        <f>IF(OR('01_인적정보'!B31="",'06_직무역량평가'!J31=""),"",'06_직무역량평가'!J31)</f>
        <v>B</v>
      </c>
      <c r="N31" s="19" t="str">
        <f>IF(OR('01_인적정보'!B31="",'06_직무역량평가'!J89=""),"",'06_직무역량평가'!J89)</f>
        <v>B</v>
      </c>
      <c r="O31" s="52">
        <f>IFERROR(IF(AND(LEN(M31)&gt;0,LEN(N31)&gt;0),'02_의사결정·종합결과'!$B$7*IFERROR(CHOOSE(FIND(M31,"DCBAS"),1,2,3,4,5),0)+'02_의사결정·종합결과'!$B$8*IFERROR(CHOOSE(FIND(N31,"DCBAS"),1,2,3,4,5),0),IF(LEN(M31)&gt;0,IFERROR(CHOOSE(FIND(M31,"DCBAS"),1,2,3,4,5),0),IF(LEN(N31)&gt;0,IFERROR(CHOOSE(FIND(N31,"DCBAS"),1,2,3,4,5),0),""))),"")</f>
        <v>3</v>
      </c>
      <c r="P31" s="43">
        <f>IFERROR(VLOOKUP(F31,'02_의사결정·종합결과'!$A$16:$D$22,2,FALSE()),"")</f>
        <v>0.15</v>
      </c>
      <c r="Q31" s="43">
        <f>IFERROR(VLOOKUP(F31,'02_의사결정·종합결과'!$A$16:$D$22,3,FALSE()),"")</f>
        <v>0.35</v>
      </c>
      <c r="R31" s="43">
        <f>IFERROR(VLOOKUP(F31,'02_의사결정·종합결과'!$A$16:$D$22,4,FALSE()),"")</f>
        <v>0.5</v>
      </c>
      <c r="S31" s="64">
        <f t="shared" si="0"/>
        <v>3.3499999999999996</v>
      </c>
      <c r="T31" s="53" t="str">
        <f t="shared" si="1"/>
        <v>B</v>
      </c>
      <c r="U31" s="65" t="str">
        <f>IF(OR(S31="",NOT(ISNUMBER(S31)),S31&lt;0.5),"",IF('02_의사결정·종합결과'!$B$6="절대평가",T31,IF(IFERROR(RANK(S31,$S$6:$S$55,0)/MAX(COUNTIF($S$6:$S$55,"&gt;0"),1),0)&lt;='02_의사결정·종합결과'!$B$11,"S",IF(IFERROR(RANK(S31,$S$6:$S$55,0)/MAX(COUNTIF($S$6:$S$55,"&gt;0"),1),0)&lt;='02_의사결정·종합결과'!$B$11+'02_의사결정·종합결과'!$C$11,"A",IF(IFERROR(RANK(S31,$S$6:$S$55,0)/MAX(COUNTIF($S$6:$S$55,"&gt;0"),1),0)&lt;='02_의사결정·종합결과'!$B$11+'02_의사결정·종합결과'!$C$11+'02_의사결정·종합결과'!$D$11,"B",IF(IFERROR(RANK(S31,$S$6:$S$55,0)/MAX(COUNTIF($S$6:$S$55,"&gt;0"),1),0)&lt;='02_의사결정·종합결과'!$B$11+'02_의사결정·종합결과'!$C$11+'02_의사결정·종합결과'!$D$11+'02_의사결정·종합결과'!$E$11,"C","D"))))))</f>
        <v>B</v>
      </c>
      <c r="V31" s="10"/>
    </row>
    <row r="32" spans="1:22" ht="21.75" customHeight="1">
      <c r="A32" s="4">
        <f>'01_인적정보'!A32</f>
        <v>27</v>
      </c>
      <c r="B32" s="4" t="str">
        <f>'01_인적정보'!B32</f>
        <v>BSS-027</v>
      </c>
      <c r="C32" s="13" t="str">
        <f>'01_인적정보'!C32</f>
        <v>OOO</v>
      </c>
      <c r="D32" s="13" t="str">
        <f>'01_인적정보'!D32</f>
        <v>교육 및 기술지원</v>
      </c>
      <c r="E32" s="13" t="str">
        <f>'01_인적정보'!E32</f>
        <v>교육</v>
      </c>
      <c r="F32" s="40" t="str">
        <f>'01_인적정보'!H32</f>
        <v>G2</v>
      </c>
      <c r="G32" s="19" t="str">
        <f>IF(OR('01_인적정보'!B32="",'04_역할평가'!I32=""),"",'04_역할평가'!I32)</f>
        <v>A</v>
      </c>
      <c r="H32" s="19" t="str">
        <f>IF(OR('01_인적정보'!B32="",'04_역할평가'!I90=""),"",'04_역할평가'!I90)</f>
        <v>A</v>
      </c>
      <c r="I32" s="52">
        <f>IFERROR(IF(AND(LEN(G32)&gt;0,LEN(H32)&gt;0),'02_의사결정·종합결과'!$B$7*IFERROR(CHOOSE(FIND(G32,"DCBAS"),1,2,3,4,5),0)+'02_의사결정·종합결과'!$B$8*IFERROR(CHOOSE(FIND(H32,"DCBAS"),1,2,3,4,5),0),IF(LEN(G32)&gt;0,IFERROR(CHOOSE(FIND(G32,"DCBAS"),1,2,3,4,5),0),IF(LEN(H32)&gt;0,IFERROR(CHOOSE(FIND(H32,"DCBAS"),1,2,3,4,5),0),""))),"")</f>
        <v>4</v>
      </c>
      <c r="J32" s="19" t="str">
        <f>IF(OR('01_인적정보'!B32="",'05_공통역량평가'!I32=""),"",'05_공통역량평가'!I32)</f>
        <v>A</v>
      </c>
      <c r="K32" s="19" t="str">
        <f>IF(OR('01_인적정보'!B32="",'05_공통역량평가'!I90=""),"",'05_공통역량평가'!I90)</f>
        <v>A</v>
      </c>
      <c r="L32" s="52">
        <f>IFERROR(IF(AND(LEN(J32)&gt;0,LEN(K32)&gt;0),'02_의사결정·종합결과'!$B$7*IFERROR(CHOOSE(FIND(J32,"DCBAS"),1,2,3,4,5),0)+'02_의사결정·종합결과'!$B$8*IFERROR(CHOOSE(FIND(K32,"DCBAS"),1,2,3,4,5),0),IF(LEN(J32)&gt;0,IFERROR(CHOOSE(FIND(J32,"DCBAS"),1,2,3,4,5),0),IF(LEN(K32)&gt;0,IFERROR(CHOOSE(FIND(K32,"DCBAS"),1,2,3,4,5),0),""))),"")</f>
        <v>4</v>
      </c>
      <c r="M32" s="19" t="str">
        <f>IF(OR('01_인적정보'!B32="",'06_직무역량평가'!J32=""),"",'06_직무역량평가'!J32)</f>
        <v>A</v>
      </c>
      <c r="N32" s="19" t="str">
        <f>IF(OR('01_인적정보'!B32="",'06_직무역량평가'!J90=""),"",'06_직무역량평가'!J90)</f>
        <v>A</v>
      </c>
      <c r="O32" s="52">
        <f>IFERROR(IF(AND(LEN(M32)&gt;0,LEN(N32)&gt;0),'02_의사결정·종합결과'!$B$7*IFERROR(CHOOSE(FIND(M32,"DCBAS"),1,2,3,4,5),0)+'02_의사결정·종합결과'!$B$8*IFERROR(CHOOSE(FIND(N32,"DCBAS"),1,2,3,4,5),0),IF(LEN(M32)&gt;0,IFERROR(CHOOSE(FIND(M32,"DCBAS"),1,2,3,4,5),0),IF(LEN(N32)&gt;0,IFERROR(CHOOSE(FIND(N32,"DCBAS"),1,2,3,4,5),0),""))),"")</f>
        <v>4</v>
      </c>
      <c r="P32" s="43">
        <f>IFERROR(VLOOKUP(F32,'02_의사결정·종합결과'!$A$16:$D$22,2,FALSE()),"")</f>
        <v>0.2</v>
      </c>
      <c r="Q32" s="43">
        <f>IFERROR(VLOOKUP(F32,'02_의사결정·종합결과'!$A$16:$D$22,3,FALSE()),"")</f>
        <v>0.35</v>
      </c>
      <c r="R32" s="43">
        <f>IFERROR(VLOOKUP(F32,'02_의사결정·종합결과'!$A$16:$D$22,4,FALSE()),"")</f>
        <v>0.45</v>
      </c>
      <c r="S32" s="64">
        <f t="shared" si="0"/>
        <v>4</v>
      </c>
      <c r="T32" s="53" t="str">
        <f t="shared" si="1"/>
        <v>A</v>
      </c>
      <c r="U32" s="65" t="str">
        <f>IF(OR(S32="",NOT(ISNUMBER(S32)),S32&lt;0.5),"",IF('02_의사결정·종합결과'!$B$6="절대평가",T32,IF(IFERROR(RANK(S32,$S$6:$S$55,0)/MAX(COUNTIF($S$6:$S$55,"&gt;0"),1),0)&lt;='02_의사결정·종합결과'!$B$11,"S",IF(IFERROR(RANK(S32,$S$6:$S$55,0)/MAX(COUNTIF($S$6:$S$55,"&gt;0"),1),0)&lt;='02_의사결정·종합결과'!$B$11+'02_의사결정·종합결과'!$C$11,"A",IF(IFERROR(RANK(S32,$S$6:$S$55,0)/MAX(COUNTIF($S$6:$S$55,"&gt;0"),1),0)&lt;='02_의사결정·종합결과'!$B$11+'02_의사결정·종합결과'!$C$11+'02_의사결정·종합결과'!$D$11,"B",IF(IFERROR(RANK(S32,$S$6:$S$55,0)/MAX(COUNTIF($S$6:$S$55,"&gt;0"),1),0)&lt;='02_의사결정·종합결과'!$B$11+'02_의사결정·종합결과'!$C$11+'02_의사결정·종합결과'!$D$11+'02_의사결정·종합결과'!$E$11,"C","D"))))))</f>
        <v>A</v>
      </c>
      <c r="V32" s="10"/>
    </row>
    <row r="33" spans="1:22" ht="21.75" customHeight="1">
      <c r="A33" s="4">
        <f>'01_인적정보'!A33</f>
        <v>28</v>
      </c>
      <c r="B33" s="4" t="str">
        <f>'01_인적정보'!B33</f>
        <v>BSS-028</v>
      </c>
      <c r="C33" s="13" t="str">
        <f>'01_인적정보'!C33</f>
        <v>OOO</v>
      </c>
      <c r="D33" s="13" t="str">
        <f>'01_인적정보'!D33</f>
        <v>설계</v>
      </c>
      <c r="E33" s="13" t="str">
        <f>'01_인적정보'!E33</f>
        <v>BIM컨설팅</v>
      </c>
      <c r="F33" s="40" t="str">
        <f>'01_인적정보'!H33</f>
        <v>G1</v>
      </c>
      <c r="G33" s="19" t="str">
        <f>IF(OR('01_인적정보'!B33="",'04_역할평가'!I33=""),"",'04_역할평가'!I33)</f>
        <v>A</v>
      </c>
      <c r="H33" s="19" t="str">
        <f>IF(OR('01_인적정보'!B33="",'04_역할평가'!I91=""),"",'04_역할평가'!I91)</f>
        <v>B</v>
      </c>
      <c r="I33" s="52">
        <f>IFERROR(IF(AND(LEN(G33)&gt;0,LEN(H33)&gt;0),'02_의사결정·종합결과'!$B$7*IFERROR(CHOOSE(FIND(G33,"DCBAS"),1,2,3,4,5),0)+'02_의사결정·종합결과'!$B$8*IFERROR(CHOOSE(FIND(H33,"DCBAS"),1,2,3,4,5),0),IF(LEN(G33)&gt;0,IFERROR(CHOOSE(FIND(G33,"DCBAS"),1,2,3,4,5),0),IF(LEN(H33)&gt;0,IFERROR(CHOOSE(FIND(H33,"DCBAS"),1,2,3,4,5),0),""))),"")</f>
        <v>3.5</v>
      </c>
      <c r="J33" s="19" t="str">
        <f>IF(OR('01_인적정보'!B33="",'05_공통역량평가'!I33=""),"",'05_공통역량평가'!I33)</f>
        <v>A</v>
      </c>
      <c r="K33" s="19" t="str">
        <f>IF(OR('01_인적정보'!B33="",'05_공통역량평가'!I91=""),"",'05_공통역량평가'!I91)</f>
        <v>A</v>
      </c>
      <c r="L33" s="52">
        <f>IFERROR(IF(AND(LEN(J33)&gt;0,LEN(K33)&gt;0),'02_의사결정·종합결과'!$B$7*IFERROR(CHOOSE(FIND(J33,"DCBAS"),1,2,3,4,5),0)+'02_의사결정·종합결과'!$B$8*IFERROR(CHOOSE(FIND(K33,"DCBAS"),1,2,3,4,5),0),IF(LEN(J33)&gt;0,IFERROR(CHOOSE(FIND(J33,"DCBAS"),1,2,3,4,5),0),IF(LEN(K33)&gt;0,IFERROR(CHOOSE(FIND(K33,"DCBAS"),1,2,3,4,5),0),""))),"")</f>
        <v>4</v>
      </c>
      <c r="M33" s="19" t="str">
        <f>IF(OR('01_인적정보'!B33="",'06_직무역량평가'!J33=""),"",'06_직무역량평가'!J33)</f>
        <v>S</v>
      </c>
      <c r="N33" s="19" t="str">
        <f>IF(OR('01_인적정보'!B33="",'06_직무역량평가'!J91=""),"",'06_직무역량평가'!J91)</f>
        <v>A</v>
      </c>
      <c r="O33" s="52">
        <f>IFERROR(IF(AND(LEN(M33)&gt;0,LEN(N33)&gt;0),'02_의사결정·종합결과'!$B$7*IFERROR(CHOOSE(FIND(M33,"DCBAS"),1,2,3,4,5),0)+'02_의사결정·종합결과'!$B$8*IFERROR(CHOOSE(FIND(N33,"DCBAS"),1,2,3,4,5),0),IF(LEN(M33)&gt;0,IFERROR(CHOOSE(FIND(M33,"DCBAS"),1,2,3,4,5),0),IF(LEN(N33)&gt;0,IFERROR(CHOOSE(FIND(N33,"DCBAS"),1,2,3,4,5),0),""))),"")</f>
        <v>4.5</v>
      </c>
      <c r="P33" s="43">
        <f>IFERROR(VLOOKUP(F33,'02_의사결정·종합결과'!$A$16:$D$22,2,FALSE()),"")</f>
        <v>0.15</v>
      </c>
      <c r="Q33" s="43">
        <f>IFERROR(VLOOKUP(F33,'02_의사결정·종합결과'!$A$16:$D$22,3,FALSE()),"")</f>
        <v>0.35</v>
      </c>
      <c r="R33" s="43">
        <f>IFERROR(VLOOKUP(F33,'02_의사결정·종합결과'!$A$16:$D$22,4,FALSE()),"")</f>
        <v>0.5</v>
      </c>
      <c r="S33" s="64">
        <f t="shared" si="0"/>
        <v>4.1749999999999998</v>
      </c>
      <c r="T33" s="53" t="str">
        <f t="shared" si="1"/>
        <v>A</v>
      </c>
      <c r="U33" s="65" t="str">
        <f>IF(OR(S33="",NOT(ISNUMBER(S33)),S33&lt;0.5),"",IF('02_의사결정·종합결과'!$B$6="절대평가",T33,IF(IFERROR(RANK(S33,$S$6:$S$55,0)/MAX(COUNTIF($S$6:$S$55,"&gt;0"),1),0)&lt;='02_의사결정·종합결과'!$B$11,"S",IF(IFERROR(RANK(S33,$S$6:$S$55,0)/MAX(COUNTIF($S$6:$S$55,"&gt;0"),1),0)&lt;='02_의사결정·종합결과'!$B$11+'02_의사결정·종합결과'!$C$11,"A",IF(IFERROR(RANK(S33,$S$6:$S$55,0)/MAX(COUNTIF($S$6:$S$55,"&gt;0"),1),0)&lt;='02_의사결정·종합결과'!$B$11+'02_의사결정·종합결과'!$C$11+'02_의사결정·종합결과'!$D$11,"B",IF(IFERROR(RANK(S33,$S$6:$S$55,0)/MAX(COUNTIF($S$6:$S$55,"&gt;0"),1),0)&lt;='02_의사결정·종합결과'!$B$11+'02_의사결정·종합결과'!$C$11+'02_의사결정·종합결과'!$D$11+'02_의사결정·종합결과'!$E$11,"C","D"))))))</f>
        <v>A</v>
      </c>
      <c r="V33" s="10"/>
    </row>
    <row r="34" spans="1:22" ht="21.75" customHeight="1">
      <c r="A34" s="4">
        <f>'01_인적정보'!A34</f>
        <v>29</v>
      </c>
      <c r="B34" s="4" t="str">
        <f>'01_인적정보'!B34</f>
        <v>BSS-029</v>
      </c>
      <c r="C34" s="13" t="str">
        <f>'01_인적정보'!C34</f>
        <v>OOO</v>
      </c>
      <c r="D34" s="13" t="str">
        <f>'01_인적정보'!D34</f>
        <v>설계</v>
      </c>
      <c r="E34" s="13" t="str">
        <f>'01_인적정보'!E34</f>
        <v>BIM컨설팅</v>
      </c>
      <c r="F34" s="40" t="str">
        <f>'01_인적정보'!H34</f>
        <v>G1</v>
      </c>
      <c r="G34" s="19" t="str">
        <f>IF(OR('01_인적정보'!B34="",'04_역할평가'!I34=""),"",'04_역할평가'!I34)</f>
        <v>B</v>
      </c>
      <c r="H34" s="19" t="str">
        <f>IF(OR('01_인적정보'!B34="",'04_역할평가'!I92=""),"",'04_역할평가'!I92)</f>
        <v>A</v>
      </c>
      <c r="I34" s="52">
        <f>IFERROR(IF(AND(LEN(G34)&gt;0,LEN(H34)&gt;0),'02_의사결정·종합결과'!$B$7*IFERROR(CHOOSE(FIND(G34,"DCBAS"),1,2,3,4,5),0)+'02_의사결정·종합결과'!$B$8*IFERROR(CHOOSE(FIND(H34,"DCBAS"),1,2,3,4,5),0),IF(LEN(G34)&gt;0,IFERROR(CHOOSE(FIND(G34,"DCBAS"),1,2,3,4,5),0),IF(LEN(H34)&gt;0,IFERROR(CHOOSE(FIND(H34,"DCBAS"),1,2,3,4,5),0),""))),"")</f>
        <v>3.5</v>
      </c>
      <c r="J34" s="19" t="str">
        <f>IF(OR('01_인적정보'!B34="",'05_공통역량평가'!I34=""),"",'05_공통역량평가'!I34)</f>
        <v>B</v>
      </c>
      <c r="K34" s="19" t="str">
        <f>IF(OR('01_인적정보'!B34="",'05_공통역량평가'!I92=""),"",'05_공통역량평가'!I92)</f>
        <v>B</v>
      </c>
      <c r="L34" s="52">
        <f>IFERROR(IF(AND(LEN(J34)&gt;0,LEN(K34)&gt;0),'02_의사결정·종합결과'!$B$7*IFERROR(CHOOSE(FIND(J34,"DCBAS"),1,2,3,4,5),0)+'02_의사결정·종합결과'!$B$8*IFERROR(CHOOSE(FIND(K34,"DCBAS"),1,2,3,4,5),0),IF(LEN(J34)&gt;0,IFERROR(CHOOSE(FIND(J34,"DCBAS"),1,2,3,4,5),0),IF(LEN(K34)&gt;0,IFERROR(CHOOSE(FIND(K34,"DCBAS"),1,2,3,4,5),0),""))),"")</f>
        <v>3</v>
      </c>
      <c r="M34" s="19" t="str">
        <f>IF(OR('01_인적정보'!B34="",'06_직무역량평가'!J34=""),"",'06_직무역량평가'!J34)</f>
        <v>B</v>
      </c>
      <c r="N34" s="19" t="str">
        <f>IF(OR('01_인적정보'!B34="",'06_직무역량평가'!J92=""),"",'06_직무역량평가'!J92)</f>
        <v>B</v>
      </c>
      <c r="O34" s="52">
        <f>IFERROR(IF(AND(LEN(M34)&gt;0,LEN(N34)&gt;0),'02_의사결정·종합결과'!$B$7*IFERROR(CHOOSE(FIND(M34,"DCBAS"),1,2,3,4,5),0)+'02_의사결정·종합결과'!$B$8*IFERROR(CHOOSE(FIND(N34,"DCBAS"),1,2,3,4,5),0),IF(LEN(M34)&gt;0,IFERROR(CHOOSE(FIND(M34,"DCBAS"),1,2,3,4,5),0),IF(LEN(N34)&gt;0,IFERROR(CHOOSE(FIND(N34,"DCBAS"),1,2,3,4,5),0),""))),"")</f>
        <v>3</v>
      </c>
      <c r="P34" s="43">
        <f>IFERROR(VLOOKUP(F34,'02_의사결정·종합결과'!$A$16:$D$22,2,FALSE()),"")</f>
        <v>0.15</v>
      </c>
      <c r="Q34" s="43">
        <f>IFERROR(VLOOKUP(F34,'02_의사결정·종합결과'!$A$16:$D$22,3,FALSE()),"")</f>
        <v>0.35</v>
      </c>
      <c r="R34" s="43">
        <f>IFERROR(VLOOKUP(F34,'02_의사결정·종합결과'!$A$16:$D$22,4,FALSE()),"")</f>
        <v>0.5</v>
      </c>
      <c r="S34" s="64">
        <f t="shared" si="0"/>
        <v>3.0749999999999997</v>
      </c>
      <c r="T34" s="53" t="str">
        <f t="shared" si="1"/>
        <v>B</v>
      </c>
      <c r="U34" s="65" t="str">
        <f>IF(OR(S34="",NOT(ISNUMBER(S34)),S34&lt;0.5),"",IF('02_의사결정·종합결과'!$B$6="절대평가",T34,IF(IFERROR(RANK(S34,$S$6:$S$55,0)/MAX(COUNTIF($S$6:$S$55,"&gt;0"),1),0)&lt;='02_의사결정·종합결과'!$B$11,"S",IF(IFERROR(RANK(S34,$S$6:$S$55,0)/MAX(COUNTIF($S$6:$S$55,"&gt;0"),1),0)&lt;='02_의사결정·종합결과'!$B$11+'02_의사결정·종합결과'!$C$11,"A",IF(IFERROR(RANK(S34,$S$6:$S$55,0)/MAX(COUNTIF($S$6:$S$55,"&gt;0"),1),0)&lt;='02_의사결정·종합결과'!$B$11+'02_의사결정·종합결과'!$C$11+'02_의사결정·종합결과'!$D$11,"B",IF(IFERROR(RANK(S34,$S$6:$S$55,0)/MAX(COUNTIF($S$6:$S$55,"&gt;0"),1),0)&lt;='02_의사결정·종합결과'!$B$11+'02_의사결정·종합결과'!$C$11+'02_의사결정·종합결과'!$D$11+'02_의사결정·종합결과'!$E$11,"C","D"))))))</f>
        <v>B</v>
      </c>
      <c r="V34" s="10"/>
    </row>
    <row r="35" spans="1:22" ht="21.75" customHeight="1">
      <c r="A35" s="4">
        <f>'01_인적정보'!A35</f>
        <v>30</v>
      </c>
      <c r="B35" s="4" t="str">
        <f>'01_인적정보'!B35</f>
        <v>BSS-030</v>
      </c>
      <c r="C35" s="13" t="str">
        <f>'01_인적정보'!C35</f>
        <v>OOO</v>
      </c>
      <c r="D35" s="13" t="str">
        <f>'01_인적정보'!D35</f>
        <v>설계</v>
      </c>
      <c r="E35" s="13" t="str">
        <f>'01_인적정보'!E35</f>
        <v>BIM컨설팅</v>
      </c>
      <c r="F35" s="40" t="str">
        <f>'01_인적정보'!H35</f>
        <v>G1</v>
      </c>
      <c r="G35" s="19" t="str">
        <f>IF(OR('01_인적정보'!B35="",'04_역할평가'!I35=""),"",'04_역할평가'!I35)</f>
        <v>A</v>
      </c>
      <c r="H35" s="19" t="str">
        <f>IF(OR('01_인적정보'!B35="",'04_역할평가'!I93=""),"",'04_역할평가'!I93)</f>
        <v>A</v>
      </c>
      <c r="I35" s="52">
        <f>IFERROR(IF(AND(LEN(G35)&gt;0,LEN(H35)&gt;0),'02_의사결정·종합결과'!$B$7*IFERROR(CHOOSE(FIND(G35,"DCBAS"),1,2,3,4,5),0)+'02_의사결정·종합결과'!$B$8*IFERROR(CHOOSE(FIND(H35,"DCBAS"),1,2,3,4,5),0),IF(LEN(G35)&gt;0,IFERROR(CHOOSE(FIND(G35,"DCBAS"),1,2,3,4,5),0),IF(LEN(H35)&gt;0,IFERROR(CHOOSE(FIND(H35,"DCBAS"),1,2,3,4,5),0),""))),"")</f>
        <v>4</v>
      </c>
      <c r="J35" s="19" t="str">
        <f>IF(OR('01_인적정보'!B35="",'05_공통역량평가'!I35=""),"",'05_공통역량평가'!I35)</f>
        <v>B</v>
      </c>
      <c r="K35" s="19" t="str">
        <f>IF(OR('01_인적정보'!B35="",'05_공통역량평가'!I93=""),"",'05_공통역량평가'!I93)</f>
        <v>A</v>
      </c>
      <c r="L35" s="52">
        <f>IFERROR(IF(AND(LEN(J35)&gt;0,LEN(K35)&gt;0),'02_의사결정·종합결과'!$B$7*IFERROR(CHOOSE(FIND(J35,"DCBAS"),1,2,3,4,5),0)+'02_의사결정·종합결과'!$B$8*IFERROR(CHOOSE(FIND(K35,"DCBAS"),1,2,3,4,5),0),IF(LEN(J35)&gt;0,IFERROR(CHOOSE(FIND(J35,"DCBAS"),1,2,3,4,5),0),IF(LEN(K35)&gt;0,IFERROR(CHOOSE(FIND(K35,"DCBAS"),1,2,3,4,5),0),""))),"")</f>
        <v>3.5</v>
      </c>
      <c r="M35" s="19" t="str">
        <f>IF(OR('01_인적정보'!B35="",'06_직무역량평가'!J35=""),"",'06_직무역량평가'!J35)</f>
        <v>B</v>
      </c>
      <c r="N35" s="19" t="str">
        <f>IF(OR('01_인적정보'!B35="",'06_직무역량평가'!J93=""),"",'06_직무역량평가'!J93)</f>
        <v>B</v>
      </c>
      <c r="O35" s="52">
        <f>IFERROR(IF(AND(LEN(M35)&gt;0,LEN(N35)&gt;0),'02_의사결정·종합결과'!$B$7*IFERROR(CHOOSE(FIND(M35,"DCBAS"),1,2,3,4,5),0)+'02_의사결정·종합결과'!$B$8*IFERROR(CHOOSE(FIND(N35,"DCBAS"),1,2,3,4,5),0),IF(LEN(M35)&gt;0,IFERROR(CHOOSE(FIND(M35,"DCBAS"),1,2,3,4,5),0),IF(LEN(N35)&gt;0,IFERROR(CHOOSE(FIND(N35,"DCBAS"),1,2,3,4,5),0),""))),"")</f>
        <v>3</v>
      </c>
      <c r="P35" s="43">
        <f>IFERROR(VLOOKUP(F35,'02_의사결정·종합결과'!$A$16:$D$22,2,FALSE()),"")</f>
        <v>0.15</v>
      </c>
      <c r="Q35" s="43">
        <f>IFERROR(VLOOKUP(F35,'02_의사결정·종합결과'!$A$16:$D$22,3,FALSE()),"")</f>
        <v>0.35</v>
      </c>
      <c r="R35" s="43">
        <f>IFERROR(VLOOKUP(F35,'02_의사결정·종합결과'!$A$16:$D$22,4,FALSE()),"")</f>
        <v>0.5</v>
      </c>
      <c r="S35" s="64">
        <f t="shared" si="0"/>
        <v>3.3249999999999997</v>
      </c>
      <c r="T35" s="53" t="str">
        <f t="shared" si="1"/>
        <v>B</v>
      </c>
      <c r="U35" s="65" t="str">
        <f>IF(OR(S35="",NOT(ISNUMBER(S35)),S35&lt;0.5),"",IF('02_의사결정·종합결과'!$B$6="절대평가",T35,IF(IFERROR(RANK(S35,$S$6:$S$55,0)/MAX(COUNTIF($S$6:$S$55,"&gt;0"),1),0)&lt;='02_의사결정·종합결과'!$B$11,"S",IF(IFERROR(RANK(S35,$S$6:$S$55,0)/MAX(COUNTIF($S$6:$S$55,"&gt;0"),1),0)&lt;='02_의사결정·종합결과'!$B$11+'02_의사결정·종합결과'!$C$11,"A",IF(IFERROR(RANK(S35,$S$6:$S$55,0)/MAX(COUNTIF($S$6:$S$55,"&gt;0"),1),0)&lt;='02_의사결정·종합결과'!$B$11+'02_의사결정·종합결과'!$C$11+'02_의사결정·종합결과'!$D$11,"B",IF(IFERROR(RANK(S35,$S$6:$S$55,0)/MAX(COUNTIF($S$6:$S$55,"&gt;0"),1),0)&lt;='02_의사결정·종합결과'!$B$11+'02_의사결정·종합결과'!$C$11+'02_의사결정·종합결과'!$D$11+'02_의사결정·종합결과'!$E$11,"C","D"))))))</f>
        <v>B</v>
      </c>
      <c r="V35" s="10"/>
    </row>
    <row r="36" spans="1:22" ht="21.75" customHeight="1">
      <c r="A36" s="4">
        <f>'01_인적정보'!A36</f>
        <v>31</v>
      </c>
      <c r="B36" s="4" t="str">
        <f>'01_인적정보'!B36</f>
        <v>BSS-031</v>
      </c>
      <c r="C36" s="13" t="str">
        <f>'01_인적정보'!C36</f>
        <v>OOO</v>
      </c>
      <c r="D36" s="13" t="str">
        <f>'01_인적정보'!D36</f>
        <v>설계</v>
      </c>
      <c r="E36" s="13" t="str">
        <f>'01_인적정보'!E36</f>
        <v>BIM컨설팅</v>
      </c>
      <c r="F36" s="40" t="str">
        <f>'01_인적정보'!H36</f>
        <v>G1</v>
      </c>
      <c r="G36" s="19" t="str">
        <f>IF(OR('01_인적정보'!B36="",'04_역할평가'!I36=""),"",'04_역할평가'!I36)</f>
        <v>A</v>
      </c>
      <c r="H36" s="19" t="str">
        <f>IF(OR('01_인적정보'!B36="",'04_역할평가'!I94=""),"",'04_역할평가'!I94)</f>
        <v>A</v>
      </c>
      <c r="I36" s="52">
        <f>IFERROR(IF(AND(LEN(G36)&gt;0,LEN(H36)&gt;0),'02_의사결정·종합결과'!$B$7*IFERROR(CHOOSE(FIND(G36,"DCBAS"),1,2,3,4,5),0)+'02_의사결정·종합결과'!$B$8*IFERROR(CHOOSE(FIND(H36,"DCBAS"),1,2,3,4,5),0),IF(LEN(G36)&gt;0,IFERROR(CHOOSE(FIND(G36,"DCBAS"),1,2,3,4,5),0),IF(LEN(H36)&gt;0,IFERROR(CHOOSE(FIND(H36,"DCBAS"),1,2,3,4,5),0),""))),"")</f>
        <v>4</v>
      </c>
      <c r="J36" s="19" t="str">
        <f>IF(OR('01_인적정보'!B36="",'05_공통역량평가'!I36=""),"",'05_공통역량평가'!I36)</f>
        <v>A</v>
      </c>
      <c r="K36" s="19" t="str">
        <f>IF(OR('01_인적정보'!B36="",'05_공통역량평가'!I94=""),"",'05_공통역량평가'!I94)</f>
        <v>B</v>
      </c>
      <c r="L36" s="52">
        <f>IFERROR(IF(AND(LEN(J36)&gt;0,LEN(K36)&gt;0),'02_의사결정·종합결과'!$B$7*IFERROR(CHOOSE(FIND(J36,"DCBAS"),1,2,3,4,5),0)+'02_의사결정·종합결과'!$B$8*IFERROR(CHOOSE(FIND(K36,"DCBAS"),1,2,3,4,5),0),IF(LEN(J36)&gt;0,IFERROR(CHOOSE(FIND(J36,"DCBAS"),1,2,3,4,5),0),IF(LEN(K36)&gt;0,IFERROR(CHOOSE(FIND(K36,"DCBAS"),1,2,3,4,5),0),""))),"")</f>
        <v>3.5</v>
      </c>
      <c r="M36" s="19" t="str">
        <f>IF(OR('01_인적정보'!B36="",'06_직무역량평가'!J36=""),"",'06_직무역량평가'!J36)</f>
        <v>A</v>
      </c>
      <c r="N36" s="19" t="str">
        <f>IF(OR('01_인적정보'!B36="",'06_직무역량평가'!J94=""),"",'06_직무역량평가'!J94)</f>
        <v>A</v>
      </c>
      <c r="O36" s="52">
        <f>IFERROR(IF(AND(LEN(M36)&gt;0,LEN(N36)&gt;0),'02_의사결정·종합결과'!$B$7*IFERROR(CHOOSE(FIND(M36,"DCBAS"),1,2,3,4,5),0)+'02_의사결정·종합결과'!$B$8*IFERROR(CHOOSE(FIND(N36,"DCBAS"),1,2,3,4,5),0),IF(LEN(M36)&gt;0,IFERROR(CHOOSE(FIND(M36,"DCBAS"),1,2,3,4,5),0),IF(LEN(N36)&gt;0,IFERROR(CHOOSE(FIND(N36,"DCBAS"),1,2,3,4,5),0),""))),"")</f>
        <v>4</v>
      </c>
      <c r="P36" s="43">
        <f>IFERROR(VLOOKUP(F36,'02_의사결정·종합결과'!$A$16:$D$22,2,FALSE()),"")</f>
        <v>0.15</v>
      </c>
      <c r="Q36" s="43">
        <f>IFERROR(VLOOKUP(F36,'02_의사결정·종합결과'!$A$16:$D$22,3,FALSE()),"")</f>
        <v>0.35</v>
      </c>
      <c r="R36" s="43">
        <f>IFERROR(VLOOKUP(F36,'02_의사결정·종합결과'!$A$16:$D$22,4,FALSE()),"")</f>
        <v>0.5</v>
      </c>
      <c r="S36" s="64">
        <f t="shared" si="0"/>
        <v>3.8249999999999997</v>
      </c>
      <c r="T36" s="53" t="str">
        <f t="shared" si="1"/>
        <v>A</v>
      </c>
      <c r="U36" s="65" t="str">
        <f>IF(OR(S36="",NOT(ISNUMBER(S36)),S36&lt;0.5),"",IF('02_의사결정·종합결과'!$B$6="절대평가",T36,IF(IFERROR(RANK(S36,$S$6:$S$55,0)/MAX(COUNTIF($S$6:$S$55,"&gt;0"),1),0)&lt;='02_의사결정·종합결과'!$B$11,"S",IF(IFERROR(RANK(S36,$S$6:$S$55,0)/MAX(COUNTIF($S$6:$S$55,"&gt;0"),1),0)&lt;='02_의사결정·종합결과'!$B$11+'02_의사결정·종합결과'!$C$11,"A",IF(IFERROR(RANK(S36,$S$6:$S$55,0)/MAX(COUNTIF($S$6:$S$55,"&gt;0"),1),0)&lt;='02_의사결정·종합결과'!$B$11+'02_의사결정·종합결과'!$C$11+'02_의사결정·종합결과'!$D$11,"B",IF(IFERROR(RANK(S36,$S$6:$S$55,0)/MAX(COUNTIF($S$6:$S$55,"&gt;0"),1),0)&lt;='02_의사결정·종합결과'!$B$11+'02_의사결정·종합결과'!$C$11+'02_의사결정·종합결과'!$D$11+'02_의사결정·종합결과'!$E$11,"C","D"))))))</f>
        <v>B</v>
      </c>
      <c r="V36" s="10"/>
    </row>
    <row r="37" spans="1:22" ht="21.75" customHeight="1">
      <c r="A37" s="4">
        <f>'01_인적정보'!A37</f>
        <v>32</v>
      </c>
      <c r="B37" s="4" t="str">
        <f>'01_인적정보'!B37</f>
        <v>BSS-032</v>
      </c>
      <c r="C37" s="13" t="str">
        <f>'01_인적정보'!C37</f>
        <v>OOO</v>
      </c>
      <c r="D37" s="13" t="str">
        <f>'01_인적정보'!D37</f>
        <v>설계</v>
      </c>
      <c r="E37" s="13" t="str">
        <f>'01_인적정보'!E37</f>
        <v>BIM컨설팅</v>
      </c>
      <c r="F37" s="40" t="str">
        <f>'01_인적정보'!H37</f>
        <v>G1</v>
      </c>
      <c r="G37" s="19" t="str">
        <f>IF(OR('01_인적정보'!B37="",'04_역할평가'!I37=""),"",'04_역할평가'!I37)</f>
        <v>A</v>
      </c>
      <c r="H37" s="19" t="str">
        <f>IF(OR('01_인적정보'!B37="",'04_역할평가'!I95=""),"",'04_역할평가'!I95)</f>
        <v>A</v>
      </c>
      <c r="I37" s="52">
        <f>IFERROR(IF(AND(LEN(G37)&gt;0,LEN(H37)&gt;0),'02_의사결정·종합결과'!$B$7*IFERROR(CHOOSE(FIND(G37,"DCBAS"),1,2,3,4,5),0)+'02_의사결정·종합결과'!$B$8*IFERROR(CHOOSE(FIND(H37,"DCBAS"),1,2,3,4,5),0),IF(LEN(G37)&gt;0,IFERROR(CHOOSE(FIND(G37,"DCBAS"),1,2,3,4,5),0),IF(LEN(H37)&gt;0,IFERROR(CHOOSE(FIND(H37,"DCBAS"),1,2,3,4,5),0),""))),"")</f>
        <v>4</v>
      </c>
      <c r="J37" s="19" t="str">
        <f>IF(OR('01_인적정보'!B37="",'05_공통역량평가'!I37=""),"",'05_공통역량평가'!I37)</f>
        <v>A</v>
      </c>
      <c r="K37" s="19" t="str">
        <f>IF(OR('01_인적정보'!B37="",'05_공통역량평가'!I95=""),"",'05_공통역량평가'!I95)</f>
        <v>A</v>
      </c>
      <c r="L37" s="52">
        <f>IFERROR(IF(AND(LEN(J37)&gt;0,LEN(K37)&gt;0),'02_의사결정·종합결과'!$B$7*IFERROR(CHOOSE(FIND(J37,"DCBAS"),1,2,3,4,5),0)+'02_의사결정·종합결과'!$B$8*IFERROR(CHOOSE(FIND(K37,"DCBAS"),1,2,3,4,5),0),IF(LEN(J37)&gt;0,IFERROR(CHOOSE(FIND(J37,"DCBAS"),1,2,3,4,5),0),IF(LEN(K37)&gt;0,IFERROR(CHOOSE(FIND(K37,"DCBAS"),1,2,3,4,5),0),""))),"")</f>
        <v>4</v>
      </c>
      <c r="M37" s="19" t="str">
        <f>IF(OR('01_인적정보'!B37="",'06_직무역량평가'!J37=""),"",'06_직무역량평가'!J37)</f>
        <v>A</v>
      </c>
      <c r="N37" s="19" t="str">
        <f>IF(OR('01_인적정보'!B37="",'06_직무역량평가'!J95=""),"",'06_직무역량평가'!J95)</f>
        <v>A</v>
      </c>
      <c r="O37" s="52">
        <f>IFERROR(IF(AND(LEN(M37)&gt;0,LEN(N37)&gt;0),'02_의사결정·종합결과'!$B$7*IFERROR(CHOOSE(FIND(M37,"DCBAS"),1,2,3,4,5),0)+'02_의사결정·종합결과'!$B$8*IFERROR(CHOOSE(FIND(N37,"DCBAS"),1,2,3,4,5),0),IF(LEN(M37)&gt;0,IFERROR(CHOOSE(FIND(M37,"DCBAS"),1,2,3,4,5),0),IF(LEN(N37)&gt;0,IFERROR(CHOOSE(FIND(N37,"DCBAS"),1,2,3,4,5),0),""))),"")</f>
        <v>4</v>
      </c>
      <c r="P37" s="43">
        <f>IFERROR(VLOOKUP(F37,'02_의사결정·종합결과'!$A$16:$D$22,2,FALSE()),"")</f>
        <v>0.15</v>
      </c>
      <c r="Q37" s="43">
        <f>IFERROR(VLOOKUP(F37,'02_의사결정·종합결과'!$A$16:$D$22,3,FALSE()),"")</f>
        <v>0.35</v>
      </c>
      <c r="R37" s="43">
        <f>IFERROR(VLOOKUP(F37,'02_의사결정·종합결과'!$A$16:$D$22,4,FALSE()),"")</f>
        <v>0.5</v>
      </c>
      <c r="S37" s="64">
        <f t="shared" si="0"/>
        <v>4</v>
      </c>
      <c r="T37" s="53" t="str">
        <f t="shared" si="1"/>
        <v>A</v>
      </c>
      <c r="U37" s="65" t="str">
        <f>IF(OR(S37="",NOT(ISNUMBER(S37)),S37&lt;0.5),"",IF('02_의사결정·종합결과'!$B$6="절대평가",T37,IF(IFERROR(RANK(S37,$S$6:$S$55,0)/MAX(COUNTIF($S$6:$S$55,"&gt;0"),1),0)&lt;='02_의사결정·종합결과'!$B$11,"S",IF(IFERROR(RANK(S37,$S$6:$S$55,0)/MAX(COUNTIF($S$6:$S$55,"&gt;0"),1),0)&lt;='02_의사결정·종합결과'!$B$11+'02_의사결정·종합결과'!$C$11,"A",IF(IFERROR(RANK(S37,$S$6:$S$55,0)/MAX(COUNTIF($S$6:$S$55,"&gt;0"),1),0)&lt;='02_의사결정·종합결과'!$B$11+'02_의사결정·종합결과'!$C$11+'02_의사결정·종합결과'!$D$11,"B",IF(IFERROR(RANK(S37,$S$6:$S$55,0)/MAX(COUNTIF($S$6:$S$55,"&gt;0"),1),0)&lt;='02_의사결정·종합결과'!$B$11+'02_의사결정·종합결과'!$C$11+'02_의사결정·종합결과'!$D$11+'02_의사결정·종합결과'!$E$11,"C","D"))))))</f>
        <v>A</v>
      </c>
      <c r="V37" s="10"/>
    </row>
    <row r="38" spans="1:22" ht="21.75" customHeight="1">
      <c r="A38" s="4">
        <f>'01_인적정보'!A38</f>
        <v>33</v>
      </c>
      <c r="B38" s="4" t="str">
        <f>'01_인적정보'!B38</f>
        <v>BSS-033</v>
      </c>
      <c r="C38" s="13" t="str">
        <f>'01_인적정보'!C38</f>
        <v>OOO</v>
      </c>
      <c r="D38" s="13" t="str">
        <f>'01_인적정보'!D38</f>
        <v>설계</v>
      </c>
      <c r="E38" s="13" t="str">
        <f>'01_인적정보'!E38</f>
        <v>BIM컨설팅</v>
      </c>
      <c r="F38" s="40" t="str">
        <f>'01_인적정보'!H38</f>
        <v>G1</v>
      </c>
      <c r="G38" s="19" t="str">
        <f>IF(OR('01_인적정보'!B38="",'04_역할평가'!I38=""),"",'04_역할평가'!I38)</f>
        <v>B</v>
      </c>
      <c r="H38" s="19" t="str">
        <f>IF(OR('01_인적정보'!B38="",'04_역할평가'!I96=""),"",'04_역할평가'!I96)</f>
        <v>B</v>
      </c>
      <c r="I38" s="52">
        <f>IFERROR(IF(AND(LEN(G38)&gt;0,LEN(H38)&gt;0),'02_의사결정·종합결과'!$B$7*IFERROR(CHOOSE(FIND(G38,"DCBAS"),1,2,3,4,5),0)+'02_의사결정·종합결과'!$B$8*IFERROR(CHOOSE(FIND(H38,"DCBAS"),1,2,3,4,5),0),IF(LEN(G38)&gt;0,IFERROR(CHOOSE(FIND(G38,"DCBAS"),1,2,3,4,5),0),IF(LEN(H38)&gt;0,IFERROR(CHOOSE(FIND(H38,"DCBAS"),1,2,3,4,5),0),""))),"")</f>
        <v>3</v>
      </c>
      <c r="J38" s="19" t="str">
        <f>IF(OR('01_인적정보'!B38="",'05_공통역량평가'!I38=""),"",'05_공통역량평가'!I38)</f>
        <v>B</v>
      </c>
      <c r="K38" s="19" t="str">
        <f>IF(OR('01_인적정보'!B38="",'05_공통역량평가'!I96=""),"",'05_공통역량평가'!I96)</f>
        <v>B</v>
      </c>
      <c r="L38" s="52">
        <f>IFERROR(IF(AND(LEN(J38)&gt;0,LEN(K38)&gt;0),'02_의사결정·종합결과'!$B$7*IFERROR(CHOOSE(FIND(J38,"DCBAS"),1,2,3,4,5),0)+'02_의사결정·종합결과'!$B$8*IFERROR(CHOOSE(FIND(K38,"DCBAS"),1,2,3,4,5),0),IF(LEN(J38)&gt;0,IFERROR(CHOOSE(FIND(J38,"DCBAS"),1,2,3,4,5),0),IF(LEN(K38)&gt;0,IFERROR(CHOOSE(FIND(K38,"DCBAS"),1,2,3,4,5),0),""))),"")</f>
        <v>3</v>
      </c>
      <c r="M38" s="19" t="str">
        <f>IF(OR('01_인적정보'!B38="",'06_직무역량평가'!J38=""),"",'06_직무역량평가'!J38)</f>
        <v>B</v>
      </c>
      <c r="N38" s="19" t="str">
        <f>IF(OR('01_인적정보'!B38="",'06_직무역량평가'!J96=""),"",'06_직무역량평가'!J96)</f>
        <v>B</v>
      </c>
      <c r="O38" s="52">
        <f>IFERROR(IF(AND(LEN(M38)&gt;0,LEN(N38)&gt;0),'02_의사결정·종합결과'!$B$7*IFERROR(CHOOSE(FIND(M38,"DCBAS"),1,2,3,4,5),0)+'02_의사결정·종합결과'!$B$8*IFERROR(CHOOSE(FIND(N38,"DCBAS"),1,2,3,4,5),0),IF(LEN(M38)&gt;0,IFERROR(CHOOSE(FIND(M38,"DCBAS"),1,2,3,4,5),0),IF(LEN(N38)&gt;0,IFERROR(CHOOSE(FIND(N38,"DCBAS"),1,2,3,4,5),0),""))),"")</f>
        <v>3</v>
      </c>
      <c r="P38" s="43">
        <f>IFERROR(VLOOKUP(F38,'02_의사결정·종합결과'!$A$16:$D$22,2,FALSE()),"")</f>
        <v>0.15</v>
      </c>
      <c r="Q38" s="43">
        <f>IFERROR(VLOOKUP(F38,'02_의사결정·종합결과'!$A$16:$D$22,3,FALSE()),"")</f>
        <v>0.35</v>
      </c>
      <c r="R38" s="43">
        <f>IFERROR(VLOOKUP(F38,'02_의사결정·종합결과'!$A$16:$D$22,4,FALSE()),"")</f>
        <v>0.5</v>
      </c>
      <c r="S38" s="64">
        <f t="shared" ref="S38:S55" si="2">IF(OR(NOT(ISNUMBER(I38)),NOT(ISNUMBER(L38)),NOT(ISNUMBER(O38))),"",I38*P38+L38*Q38+O38*R38)</f>
        <v>3</v>
      </c>
      <c r="T38" s="53" t="str">
        <f t="shared" ref="T38:T55" si="3">IF(OR(S38="",NOT(ISNUMBER(S38)),S38&lt;0.5),"",IF(S38&gt;=4.5,"S",IF(S38&gt;=3.5,"A",IF(S38&gt;=2.5,"B",IF(S38&gt;=1.5,"C","D")))))</f>
        <v>B</v>
      </c>
      <c r="U38" s="65" t="str">
        <f>IF(OR(S38="",NOT(ISNUMBER(S38)),S38&lt;0.5),"",IF('02_의사결정·종합결과'!$B$6="절대평가",T38,IF(IFERROR(RANK(S38,$S$6:$S$55,0)/MAX(COUNTIF($S$6:$S$55,"&gt;0"),1),0)&lt;='02_의사결정·종합결과'!$B$11,"S",IF(IFERROR(RANK(S38,$S$6:$S$55,0)/MAX(COUNTIF($S$6:$S$55,"&gt;0"),1),0)&lt;='02_의사결정·종합결과'!$B$11+'02_의사결정·종합결과'!$C$11,"A",IF(IFERROR(RANK(S38,$S$6:$S$55,0)/MAX(COUNTIF($S$6:$S$55,"&gt;0"),1),0)&lt;='02_의사결정·종합결과'!$B$11+'02_의사결정·종합결과'!$C$11+'02_의사결정·종합결과'!$D$11,"B",IF(IFERROR(RANK(S38,$S$6:$S$55,0)/MAX(COUNTIF($S$6:$S$55,"&gt;0"),1),0)&lt;='02_의사결정·종합결과'!$B$11+'02_의사결정·종합결과'!$C$11+'02_의사결정·종합결과'!$D$11+'02_의사결정·종합결과'!$E$11,"C","D"))))))</f>
        <v>B</v>
      </c>
      <c r="V38" s="10"/>
    </row>
    <row r="39" spans="1:22" ht="21.75" customHeight="1">
      <c r="A39" s="4">
        <f>'01_인적정보'!A39</f>
        <v>34</v>
      </c>
      <c r="B39" s="4" t="str">
        <f>'01_인적정보'!B39</f>
        <v>BSS-034</v>
      </c>
      <c r="C39" s="13" t="str">
        <f>'01_인적정보'!C39</f>
        <v>OOO</v>
      </c>
      <c r="D39" s="13" t="str">
        <f>'01_인적정보'!D39</f>
        <v>설계</v>
      </c>
      <c r="E39" s="13" t="str">
        <f>'01_인적정보'!E39</f>
        <v>BIM컨설팅</v>
      </c>
      <c r="F39" s="40" t="str">
        <f>'01_인적정보'!H39</f>
        <v>G1</v>
      </c>
      <c r="G39" s="19" t="str">
        <f>IF(OR('01_인적정보'!B39="",'04_역할평가'!I39=""),"",'04_역할평가'!I39)</f>
        <v>S</v>
      </c>
      <c r="H39" s="19" t="str">
        <f>IF(OR('01_인적정보'!B39="",'04_역할평가'!I97=""),"",'04_역할평가'!I97)</f>
        <v>S</v>
      </c>
      <c r="I39" s="52">
        <f>IFERROR(IF(AND(LEN(G39)&gt;0,LEN(H39)&gt;0),'02_의사결정·종합결과'!$B$7*IFERROR(CHOOSE(FIND(G39,"DCBAS"),1,2,3,4,5),0)+'02_의사결정·종합결과'!$B$8*IFERROR(CHOOSE(FIND(H39,"DCBAS"),1,2,3,4,5),0),IF(LEN(G39)&gt;0,IFERROR(CHOOSE(FIND(G39,"DCBAS"),1,2,3,4,5),0),IF(LEN(H39)&gt;0,IFERROR(CHOOSE(FIND(H39,"DCBAS"),1,2,3,4,5),0),""))),"")</f>
        <v>5</v>
      </c>
      <c r="J39" s="19" t="str">
        <f>IF(OR('01_인적정보'!B39="",'05_공통역량평가'!I39=""),"",'05_공통역량평가'!I39)</f>
        <v>S</v>
      </c>
      <c r="K39" s="19" t="str">
        <f>IF(OR('01_인적정보'!B39="",'05_공통역량평가'!I97=""),"",'05_공통역량평가'!I97)</f>
        <v>S</v>
      </c>
      <c r="L39" s="52">
        <f>IFERROR(IF(AND(LEN(J39)&gt;0,LEN(K39)&gt;0),'02_의사결정·종합결과'!$B$7*IFERROR(CHOOSE(FIND(J39,"DCBAS"),1,2,3,4,5),0)+'02_의사결정·종합결과'!$B$8*IFERROR(CHOOSE(FIND(K39,"DCBAS"),1,2,3,4,5),0),IF(LEN(J39)&gt;0,IFERROR(CHOOSE(FIND(J39,"DCBAS"),1,2,3,4,5),0),IF(LEN(K39)&gt;0,IFERROR(CHOOSE(FIND(K39,"DCBAS"),1,2,3,4,5),0),""))),"")</f>
        <v>5</v>
      </c>
      <c r="M39" s="19" t="str">
        <f>IF(OR('01_인적정보'!B39="",'06_직무역량평가'!J39=""),"",'06_직무역량평가'!J39)</f>
        <v>S</v>
      </c>
      <c r="N39" s="19" t="str">
        <f>IF(OR('01_인적정보'!B39="",'06_직무역량평가'!J97=""),"",'06_직무역량평가'!J97)</f>
        <v>S</v>
      </c>
      <c r="O39" s="52">
        <f>IFERROR(IF(AND(LEN(M39)&gt;0,LEN(N39)&gt;0),'02_의사결정·종합결과'!$B$7*IFERROR(CHOOSE(FIND(M39,"DCBAS"),1,2,3,4,5),0)+'02_의사결정·종합결과'!$B$8*IFERROR(CHOOSE(FIND(N39,"DCBAS"),1,2,3,4,5),0),IF(LEN(M39)&gt;0,IFERROR(CHOOSE(FIND(M39,"DCBAS"),1,2,3,4,5),0),IF(LEN(N39)&gt;0,IFERROR(CHOOSE(FIND(N39,"DCBAS"),1,2,3,4,5),0),""))),"")</f>
        <v>5</v>
      </c>
      <c r="P39" s="43">
        <f>IFERROR(VLOOKUP(F39,'02_의사결정·종합결과'!$A$16:$D$22,2,FALSE()),"")</f>
        <v>0.15</v>
      </c>
      <c r="Q39" s="43">
        <f>IFERROR(VLOOKUP(F39,'02_의사결정·종합결과'!$A$16:$D$22,3,FALSE()),"")</f>
        <v>0.35</v>
      </c>
      <c r="R39" s="43">
        <f>IFERROR(VLOOKUP(F39,'02_의사결정·종합결과'!$A$16:$D$22,4,FALSE()),"")</f>
        <v>0.5</v>
      </c>
      <c r="S39" s="64">
        <f t="shared" si="2"/>
        <v>5</v>
      </c>
      <c r="T39" s="53" t="str">
        <f t="shared" si="3"/>
        <v>S</v>
      </c>
      <c r="U39" s="65" t="str">
        <f>IF(OR(S39="",NOT(ISNUMBER(S39)),S39&lt;0.5),"",IF('02_의사결정·종합결과'!$B$6="절대평가",T39,IF(IFERROR(RANK(S39,$S$6:$S$55,0)/MAX(COUNTIF($S$6:$S$55,"&gt;0"),1),0)&lt;='02_의사결정·종합결과'!$B$11,"S",IF(IFERROR(RANK(S39,$S$6:$S$55,0)/MAX(COUNTIF($S$6:$S$55,"&gt;0"),1),0)&lt;='02_의사결정·종합결과'!$B$11+'02_의사결정·종합결과'!$C$11,"A",IF(IFERROR(RANK(S39,$S$6:$S$55,0)/MAX(COUNTIF($S$6:$S$55,"&gt;0"),1),0)&lt;='02_의사결정·종합결과'!$B$11+'02_의사결정·종합결과'!$C$11+'02_의사결정·종합결과'!$D$11,"B",IF(IFERROR(RANK(S39,$S$6:$S$55,0)/MAX(COUNTIF($S$6:$S$55,"&gt;0"),1),0)&lt;='02_의사결정·종합결과'!$B$11+'02_의사결정·종합결과'!$C$11+'02_의사결정·종합결과'!$D$11+'02_의사결정·종합결과'!$E$11,"C","D"))))))</f>
        <v>S</v>
      </c>
      <c r="V39" s="10"/>
    </row>
    <row r="40" spans="1:22" ht="20.25" customHeight="1">
      <c r="G40" s="19" t="str">
        <f>IF(OR('01_인적정보'!B40="",'04_역할평가'!I40=""),"",'04_역할평가'!I40)</f>
        <v/>
      </c>
      <c r="H40" s="19" t="str">
        <f>IF(OR('01_인적정보'!B40="",'04_역할평가'!I98=""),"",'04_역할평가'!I98)</f>
        <v/>
      </c>
      <c r="I40" s="52" t="str">
        <f>IFERROR(IF(AND(LEN(G40)&gt;0,LEN(H40)&gt;0),'02_의사결정·종합결과'!$B$7*IFERROR(CHOOSE(FIND(G40,"DCBAS"),1,2,3,4,5),0)+'02_의사결정·종합결과'!$B$8*IFERROR(CHOOSE(FIND(H40,"DCBAS"),1,2,3,4,5),0),IF(LEN(G40)&gt;0,IFERROR(CHOOSE(FIND(G40,"DCBAS"),1,2,3,4,5),0),IF(LEN(H40)&gt;0,IFERROR(CHOOSE(FIND(H40,"DCBAS"),1,2,3,4,5),0),""))),"")</f>
        <v/>
      </c>
      <c r="J40" s="19" t="str">
        <f>IF(OR('01_인적정보'!B40="",'05_공통역량평가'!I40=""),"",'05_공통역량평가'!I40)</f>
        <v/>
      </c>
      <c r="K40" s="19" t="str">
        <f>IF(OR('01_인적정보'!B40="",'05_공통역량평가'!I98=""),"",'05_공통역량평가'!I98)</f>
        <v/>
      </c>
      <c r="L40" s="52" t="str">
        <f>IFERROR(IF(AND(LEN(J40)&gt;0,LEN(K40)&gt;0),'02_의사결정·종합결과'!$B$7*IFERROR(CHOOSE(FIND(J40,"DCBAS"),1,2,3,4,5),0)+'02_의사결정·종합결과'!$B$8*IFERROR(CHOOSE(FIND(K40,"DCBAS"),1,2,3,4,5),0),IF(LEN(J40)&gt;0,IFERROR(CHOOSE(FIND(J40,"DCBAS"),1,2,3,4,5),0),IF(LEN(K40)&gt;0,IFERROR(CHOOSE(FIND(K40,"DCBAS"),1,2,3,4,5),0),""))),"")</f>
        <v/>
      </c>
      <c r="M40" s="19" t="str">
        <f>IF(OR('01_인적정보'!B40="",'06_직무역량평가'!J40=""),"",'06_직무역량평가'!J40)</f>
        <v/>
      </c>
      <c r="N40" s="19" t="str">
        <f>IF(OR('01_인적정보'!B40="",'06_직무역량평가'!J98=""),"",'06_직무역량평가'!J98)</f>
        <v/>
      </c>
      <c r="O40" s="52" t="str">
        <f>IFERROR(IF(AND(LEN(M40)&gt;0,LEN(N40)&gt;0),'02_의사결정·종합결과'!$B$7*IFERROR(CHOOSE(FIND(M40,"DCBAS"),1,2,3,4,5),0)+'02_의사결정·종합결과'!$B$8*IFERROR(CHOOSE(FIND(N40,"DCBAS"),1,2,3,4,5),0),IF(LEN(M40)&gt;0,IFERROR(CHOOSE(FIND(M40,"DCBAS"),1,2,3,4,5),0),IF(LEN(N40)&gt;0,IFERROR(CHOOSE(FIND(N40,"DCBAS"),1,2,3,4,5),0),""))),"")</f>
        <v/>
      </c>
      <c r="S40" s="64" t="str">
        <f t="shared" si="2"/>
        <v/>
      </c>
      <c r="T40" s="53" t="str">
        <f t="shared" si="3"/>
        <v/>
      </c>
      <c r="U40" s="65" t="str">
        <f>IF(OR(S40="",NOT(ISNUMBER(S40)),S40&lt;0.5),"",IF('02_의사결정·종합결과'!$B$6="절대평가",T40,IF(IFERROR(RANK(S40,$S$6:$S$55,0)/MAX(COUNTIF($S$6:$S$55,"&gt;0"),1),0)&lt;='02_의사결정·종합결과'!$B$11,"S",IF(IFERROR(RANK(S40,$S$6:$S$55,0)/MAX(COUNTIF($S$6:$S$55,"&gt;0"),1),0)&lt;='02_의사결정·종합결과'!$B$11+'02_의사결정·종합결과'!$C$11,"A",IF(IFERROR(RANK(S40,$S$6:$S$55,0)/MAX(COUNTIF($S$6:$S$55,"&gt;0"),1),0)&lt;='02_의사결정·종합결과'!$B$11+'02_의사결정·종합결과'!$C$11+'02_의사결정·종합결과'!$D$11,"B",IF(IFERROR(RANK(S40,$S$6:$S$55,0)/MAX(COUNTIF($S$6:$S$55,"&gt;0"),1),0)&lt;='02_의사결정·종합결과'!$B$11+'02_의사결정·종합결과'!$C$11+'02_의사결정·종합결과'!$D$11+'02_의사결정·종합결과'!$E$11,"C","D"))))))</f>
        <v/>
      </c>
    </row>
    <row r="41" spans="1:22" ht="20.25" customHeight="1">
      <c r="G41" s="19" t="str">
        <f>IF(OR('01_인적정보'!B41="",'04_역할평가'!I41=""),"",'04_역할평가'!I41)</f>
        <v/>
      </c>
      <c r="H41" s="19" t="str">
        <f>IF(OR('01_인적정보'!B41="",'04_역할평가'!I99=""),"",'04_역할평가'!I99)</f>
        <v/>
      </c>
      <c r="I41" s="52" t="str">
        <f>IFERROR(IF(AND(LEN(G41)&gt;0,LEN(H41)&gt;0),'02_의사결정·종합결과'!$B$7*IFERROR(CHOOSE(FIND(G41,"DCBAS"),1,2,3,4,5),0)+'02_의사결정·종합결과'!$B$8*IFERROR(CHOOSE(FIND(H41,"DCBAS"),1,2,3,4,5),0),IF(LEN(G41)&gt;0,IFERROR(CHOOSE(FIND(G41,"DCBAS"),1,2,3,4,5),0),IF(LEN(H41)&gt;0,IFERROR(CHOOSE(FIND(H41,"DCBAS"),1,2,3,4,5),0),""))),"")</f>
        <v/>
      </c>
      <c r="J41" s="19" t="str">
        <f>IF(OR('01_인적정보'!B41="",'05_공통역량평가'!I41=""),"",'05_공통역량평가'!I41)</f>
        <v/>
      </c>
      <c r="K41" s="19" t="str">
        <f>IF(OR('01_인적정보'!B41="",'05_공통역량평가'!I99=""),"",'05_공통역량평가'!I99)</f>
        <v/>
      </c>
      <c r="L41" s="52" t="str">
        <f>IFERROR(IF(AND(LEN(J41)&gt;0,LEN(K41)&gt;0),'02_의사결정·종합결과'!$B$7*IFERROR(CHOOSE(FIND(J41,"DCBAS"),1,2,3,4,5),0)+'02_의사결정·종합결과'!$B$8*IFERROR(CHOOSE(FIND(K41,"DCBAS"),1,2,3,4,5),0),IF(LEN(J41)&gt;0,IFERROR(CHOOSE(FIND(J41,"DCBAS"),1,2,3,4,5),0),IF(LEN(K41)&gt;0,IFERROR(CHOOSE(FIND(K41,"DCBAS"),1,2,3,4,5),0),""))),"")</f>
        <v/>
      </c>
      <c r="M41" s="19" t="str">
        <f>IF(OR('01_인적정보'!B41="",'06_직무역량평가'!J41=""),"",'06_직무역량평가'!J41)</f>
        <v/>
      </c>
      <c r="N41" s="19" t="str">
        <f>IF(OR('01_인적정보'!B41="",'06_직무역량평가'!J99=""),"",'06_직무역량평가'!J99)</f>
        <v/>
      </c>
      <c r="O41" s="52" t="str">
        <f>IFERROR(IF(AND(LEN(M41)&gt;0,LEN(N41)&gt;0),'02_의사결정·종합결과'!$B$7*IFERROR(CHOOSE(FIND(M41,"DCBAS"),1,2,3,4,5),0)+'02_의사결정·종합결과'!$B$8*IFERROR(CHOOSE(FIND(N41,"DCBAS"),1,2,3,4,5),0),IF(LEN(M41)&gt;0,IFERROR(CHOOSE(FIND(M41,"DCBAS"),1,2,3,4,5),0),IF(LEN(N41)&gt;0,IFERROR(CHOOSE(FIND(N41,"DCBAS"),1,2,3,4,5),0),""))),"")</f>
        <v/>
      </c>
      <c r="S41" s="64" t="str">
        <f t="shared" si="2"/>
        <v/>
      </c>
      <c r="T41" s="53" t="str">
        <f t="shared" si="3"/>
        <v/>
      </c>
      <c r="U41" s="65" t="str">
        <f>IF(OR(S41="",NOT(ISNUMBER(S41)),S41&lt;0.5),"",IF('02_의사결정·종합결과'!$B$6="절대평가",T41,IF(IFERROR(RANK(S41,$S$6:$S$55,0)/MAX(COUNTIF($S$6:$S$55,"&gt;0"),1),0)&lt;='02_의사결정·종합결과'!$B$11,"S",IF(IFERROR(RANK(S41,$S$6:$S$55,0)/MAX(COUNTIF($S$6:$S$55,"&gt;0"),1),0)&lt;='02_의사결정·종합결과'!$B$11+'02_의사결정·종합결과'!$C$11,"A",IF(IFERROR(RANK(S41,$S$6:$S$55,0)/MAX(COUNTIF($S$6:$S$55,"&gt;0"),1),0)&lt;='02_의사결정·종합결과'!$B$11+'02_의사결정·종합결과'!$C$11+'02_의사결정·종합결과'!$D$11,"B",IF(IFERROR(RANK(S41,$S$6:$S$55,0)/MAX(COUNTIF($S$6:$S$55,"&gt;0"),1),0)&lt;='02_의사결정·종합결과'!$B$11+'02_의사결정·종합결과'!$C$11+'02_의사결정·종합결과'!$D$11+'02_의사결정·종합결과'!$E$11,"C","D"))))))</f>
        <v/>
      </c>
    </row>
    <row r="42" spans="1:22" ht="20.25" customHeight="1">
      <c r="G42" s="19" t="str">
        <f>IF(OR('01_인적정보'!B42="",'04_역할평가'!I42=""),"",'04_역할평가'!I42)</f>
        <v/>
      </c>
      <c r="H42" s="19" t="str">
        <f>IF(OR('01_인적정보'!B42="",'04_역할평가'!I100=""),"",'04_역할평가'!I100)</f>
        <v/>
      </c>
      <c r="I42" s="52" t="str">
        <f>IFERROR(IF(AND(LEN(G42)&gt;0,LEN(H42)&gt;0),'02_의사결정·종합결과'!$B$7*IFERROR(CHOOSE(FIND(G42,"DCBAS"),1,2,3,4,5),0)+'02_의사결정·종합결과'!$B$8*IFERROR(CHOOSE(FIND(H42,"DCBAS"),1,2,3,4,5),0),IF(LEN(G42)&gt;0,IFERROR(CHOOSE(FIND(G42,"DCBAS"),1,2,3,4,5),0),IF(LEN(H42)&gt;0,IFERROR(CHOOSE(FIND(H42,"DCBAS"),1,2,3,4,5),0),""))),"")</f>
        <v/>
      </c>
      <c r="J42" s="19" t="str">
        <f>IF(OR('01_인적정보'!B42="",'05_공통역량평가'!I42=""),"",'05_공통역량평가'!I42)</f>
        <v/>
      </c>
      <c r="K42" s="19" t="str">
        <f>IF(OR('01_인적정보'!B42="",'05_공통역량평가'!I100=""),"",'05_공통역량평가'!I100)</f>
        <v/>
      </c>
      <c r="L42" s="52" t="str">
        <f>IFERROR(IF(AND(LEN(J42)&gt;0,LEN(K42)&gt;0),'02_의사결정·종합결과'!$B$7*IFERROR(CHOOSE(FIND(J42,"DCBAS"),1,2,3,4,5),0)+'02_의사결정·종합결과'!$B$8*IFERROR(CHOOSE(FIND(K42,"DCBAS"),1,2,3,4,5),0),IF(LEN(J42)&gt;0,IFERROR(CHOOSE(FIND(J42,"DCBAS"),1,2,3,4,5),0),IF(LEN(K42)&gt;0,IFERROR(CHOOSE(FIND(K42,"DCBAS"),1,2,3,4,5),0),""))),"")</f>
        <v/>
      </c>
      <c r="M42" s="19" t="str">
        <f>IF(OR('01_인적정보'!B42="",'06_직무역량평가'!J42=""),"",'06_직무역량평가'!J42)</f>
        <v/>
      </c>
      <c r="N42" s="19" t="str">
        <f>IF(OR('01_인적정보'!B42="",'06_직무역량평가'!J100=""),"",'06_직무역량평가'!J100)</f>
        <v/>
      </c>
      <c r="O42" s="52" t="str">
        <f>IFERROR(IF(AND(LEN(M42)&gt;0,LEN(N42)&gt;0),'02_의사결정·종합결과'!$B$7*IFERROR(CHOOSE(FIND(M42,"DCBAS"),1,2,3,4,5),0)+'02_의사결정·종합결과'!$B$8*IFERROR(CHOOSE(FIND(N42,"DCBAS"),1,2,3,4,5),0),IF(LEN(M42)&gt;0,IFERROR(CHOOSE(FIND(M42,"DCBAS"),1,2,3,4,5),0),IF(LEN(N42)&gt;0,IFERROR(CHOOSE(FIND(N42,"DCBAS"),1,2,3,4,5),0),""))),"")</f>
        <v/>
      </c>
      <c r="S42" s="64" t="str">
        <f t="shared" si="2"/>
        <v/>
      </c>
      <c r="T42" s="53" t="str">
        <f t="shared" si="3"/>
        <v/>
      </c>
      <c r="U42" s="65" t="str">
        <f>IF(OR(S42="",NOT(ISNUMBER(S42)),S42&lt;0.5),"",IF('02_의사결정·종합결과'!$B$6="절대평가",T42,IF(IFERROR(RANK(S42,$S$6:$S$55,0)/MAX(COUNTIF($S$6:$S$55,"&gt;0"),1),0)&lt;='02_의사결정·종합결과'!$B$11,"S",IF(IFERROR(RANK(S42,$S$6:$S$55,0)/MAX(COUNTIF($S$6:$S$55,"&gt;0"),1),0)&lt;='02_의사결정·종합결과'!$B$11+'02_의사결정·종합결과'!$C$11,"A",IF(IFERROR(RANK(S42,$S$6:$S$55,0)/MAX(COUNTIF($S$6:$S$55,"&gt;0"),1),0)&lt;='02_의사결정·종합결과'!$B$11+'02_의사결정·종합결과'!$C$11+'02_의사결정·종합결과'!$D$11,"B",IF(IFERROR(RANK(S42,$S$6:$S$55,0)/MAX(COUNTIF($S$6:$S$55,"&gt;0"),1),0)&lt;='02_의사결정·종합결과'!$B$11+'02_의사결정·종합결과'!$C$11+'02_의사결정·종합결과'!$D$11+'02_의사결정·종합결과'!$E$11,"C","D"))))))</f>
        <v/>
      </c>
    </row>
    <row r="43" spans="1:22" ht="20.25" customHeight="1">
      <c r="G43" s="19" t="str">
        <f>IF(OR('01_인적정보'!B43="",'04_역할평가'!I43=""),"",'04_역할평가'!I43)</f>
        <v/>
      </c>
      <c r="H43" s="19" t="str">
        <f>IF(OR('01_인적정보'!B43="",'04_역할평가'!I101=""),"",'04_역할평가'!I101)</f>
        <v/>
      </c>
      <c r="I43" s="52" t="str">
        <f>IFERROR(IF(AND(LEN(G43)&gt;0,LEN(H43)&gt;0),'02_의사결정·종합결과'!$B$7*IFERROR(CHOOSE(FIND(G43,"DCBAS"),1,2,3,4,5),0)+'02_의사결정·종합결과'!$B$8*IFERROR(CHOOSE(FIND(H43,"DCBAS"),1,2,3,4,5),0),IF(LEN(G43)&gt;0,IFERROR(CHOOSE(FIND(G43,"DCBAS"),1,2,3,4,5),0),IF(LEN(H43)&gt;0,IFERROR(CHOOSE(FIND(H43,"DCBAS"),1,2,3,4,5),0),""))),"")</f>
        <v/>
      </c>
      <c r="J43" s="19" t="str">
        <f>IF(OR('01_인적정보'!B43="",'05_공통역량평가'!I43=""),"",'05_공통역량평가'!I43)</f>
        <v/>
      </c>
      <c r="K43" s="19" t="str">
        <f>IF(OR('01_인적정보'!B43="",'05_공통역량평가'!I101=""),"",'05_공통역량평가'!I101)</f>
        <v/>
      </c>
      <c r="L43" s="52" t="str">
        <f>IFERROR(IF(AND(LEN(J43)&gt;0,LEN(K43)&gt;0),'02_의사결정·종합결과'!$B$7*IFERROR(CHOOSE(FIND(J43,"DCBAS"),1,2,3,4,5),0)+'02_의사결정·종합결과'!$B$8*IFERROR(CHOOSE(FIND(K43,"DCBAS"),1,2,3,4,5),0),IF(LEN(J43)&gt;0,IFERROR(CHOOSE(FIND(J43,"DCBAS"),1,2,3,4,5),0),IF(LEN(K43)&gt;0,IFERROR(CHOOSE(FIND(K43,"DCBAS"),1,2,3,4,5),0),""))),"")</f>
        <v/>
      </c>
      <c r="M43" s="19" t="str">
        <f>IF(OR('01_인적정보'!B43="",'06_직무역량평가'!J43=""),"",'06_직무역량평가'!J43)</f>
        <v/>
      </c>
      <c r="N43" s="19" t="str">
        <f>IF(OR('01_인적정보'!B43="",'06_직무역량평가'!J101=""),"",'06_직무역량평가'!J101)</f>
        <v/>
      </c>
      <c r="O43" s="52" t="str">
        <f>IFERROR(IF(AND(LEN(M43)&gt;0,LEN(N43)&gt;0),'02_의사결정·종합결과'!$B$7*IFERROR(CHOOSE(FIND(M43,"DCBAS"),1,2,3,4,5),0)+'02_의사결정·종합결과'!$B$8*IFERROR(CHOOSE(FIND(N43,"DCBAS"),1,2,3,4,5),0),IF(LEN(M43)&gt;0,IFERROR(CHOOSE(FIND(M43,"DCBAS"),1,2,3,4,5),0),IF(LEN(N43)&gt;0,IFERROR(CHOOSE(FIND(N43,"DCBAS"),1,2,3,4,5),0),""))),"")</f>
        <v/>
      </c>
      <c r="S43" s="64" t="str">
        <f t="shared" si="2"/>
        <v/>
      </c>
      <c r="T43" s="53" t="str">
        <f t="shared" si="3"/>
        <v/>
      </c>
      <c r="U43" s="65" t="str">
        <f>IF(OR(S43="",NOT(ISNUMBER(S43)),S43&lt;0.5),"",IF('02_의사결정·종합결과'!$B$6="절대평가",T43,IF(IFERROR(RANK(S43,$S$6:$S$55,0)/MAX(COUNTIF($S$6:$S$55,"&gt;0"),1),0)&lt;='02_의사결정·종합결과'!$B$11,"S",IF(IFERROR(RANK(S43,$S$6:$S$55,0)/MAX(COUNTIF($S$6:$S$55,"&gt;0"),1),0)&lt;='02_의사결정·종합결과'!$B$11+'02_의사결정·종합결과'!$C$11,"A",IF(IFERROR(RANK(S43,$S$6:$S$55,0)/MAX(COUNTIF($S$6:$S$55,"&gt;0"),1),0)&lt;='02_의사결정·종합결과'!$B$11+'02_의사결정·종합결과'!$C$11+'02_의사결정·종합결과'!$D$11,"B",IF(IFERROR(RANK(S43,$S$6:$S$55,0)/MAX(COUNTIF($S$6:$S$55,"&gt;0"),1),0)&lt;='02_의사결정·종합결과'!$B$11+'02_의사결정·종합결과'!$C$11+'02_의사결정·종합결과'!$D$11+'02_의사결정·종합결과'!$E$11,"C","D"))))))</f>
        <v/>
      </c>
    </row>
    <row r="44" spans="1:22" ht="20.25" customHeight="1">
      <c r="G44" s="19" t="str">
        <f>IF(OR('01_인적정보'!B44="",'04_역할평가'!I44=""),"",'04_역할평가'!I44)</f>
        <v/>
      </c>
      <c r="H44" s="19" t="str">
        <f>IF(OR('01_인적정보'!B44="",'04_역할평가'!I102=""),"",'04_역할평가'!I102)</f>
        <v/>
      </c>
      <c r="I44" s="52" t="str">
        <f>IFERROR(IF(AND(LEN(G44)&gt;0,LEN(H44)&gt;0),'02_의사결정·종합결과'!$B$7*IFERROR(CHOOSE(FIND(G44,"DCBAS"),1,2,3,4,5),0)+'02_의사결정·종합결과'!$B$8*IFERROR(CHOOSE(FIND(H44,"DCBAS"),1,2,3,4,5),0),IF(LEN(G44)&gt;0,IFERROR(CHOOSE(FIND(G44,"DCBAS"),1,2,3,4,5),0),IF(LEN(H44)&gt;0,IFERROR(CHOOSE(FIND(H44,"DCBAS"),1,2,3,4,5),0),""))),"")</f>
        <v/>
      </c>
      <c r="J44" s="19" t="str">
        <f>IF(OR('01_인적정보'!B44="",'05_공통역량평가'!I44=""),"",'05_공통역량평가'!I44)</f>
        <v/>
      </c>
      <c r="K44" s="19" t="str">
        <f>IF(OR('01_인적정보'!B44="",'05_공통역량평가'!I102=""),"",'05_공통역량평가'!I102)</f>
        <v/>
      </c>
      <c r="L44" s="52" t="str">
        <f>IFERROR(IF(AND(LEN(J44)&gt;0,LEN(K44)&gt;0),'02_의사결정·종합결과'!$B$7*IFERROR(CHOOSE(FIND(J44,"DCBAS"),1,2,3,4,5),0)+'02_의사결정·종합결과'!$B$8*IFERROR(CHOOSE(FIND(K44,"DCBAS"),1,2,3,4,5),0),IF(LEN(J44)&gt;0,IFERROR(CHOOSE(FIND(J44,"DCBAS"),1,2,3,4,5),0),IF(LEN(K44)&gt;0,IFERROR(CHOOSE(FIND(K44,"DCBAS"),1,2,3,4,5),0),""))),"")</f>
        <v/>
      </c>
      <c r="M44" s="19" t="str">
        <f>IF(OR('01_인적정보'!B44="",'06_직무역량평가'!J44=""),"",'06_직무역량평가'!J44)</f>
        <v/>
      </c>
      <c r="N44" s="19" t="str">
        <f>IF(OR('01_인적정보'!B44="",'06_직무역량평가'!J102=""),"",'06_직무역량평가'!J102)</f>
        <v/>
      </c>
      <c r="O44" s="52" t="str">
        <f>IFERROR(IF(AND(LEN(M44)&gt;0,LEN(N44)&gt;0),'02_의사결정·종합결과'!$B$7*IFERROR(CHOOSE(FIND(M44,"DCBAS"),1,2,3,4,5),0)+'02_의사결정·종합결과'!$B$8*IFERROR(CHOOSE(FIND(N44,"DCBAS"),1,2,3,4,5),0),IF(LEN(M44)&gt;0,IFERROR(CHOOSE(FIND(M44,"DCBAS"),1,2,3,4,5),0),IF(LEN(N44)&gt;0,IFERROR(CHOOSE(FIND(N44,"DCBAS"),1,2,3,4,5),0),""))),"")</f>
        <v/>
      </c>
      <c r="S44" s="64" t="str">
        <f t="shared" si="2"/>
        <v/>
      </c>
      <c r="T44" s="53" t="str">
        <f t="shared" si="3"/>
        <v/>
      </c>
      <c r="U44" s="65" t="str">
        <f>IF(OR(S44="",NOT(ISNUMBER(S44)),S44&lt;0.5),"",IF('02_의사결정·종합결과'!$B$6="절대평가",T44,IF(IFERROR(RANK(S44,$S$6:$S$55,0)/MAX(COUNTIF($S$6:$S$55,"&gt;0"),1),0)&lt;='02_의사결정·종합결과'!$B$11,"S",IF(IFERROR(RANK(S44,$S$6:$S$55,0)/MAX(COUNTIF($S$6:$S$55,"&gt;0"),1),0)&lt;='02_의사결정·종합결과'!$B$11+'02_의사결정·종합결과'!$C$11,"A",IF(IFERROR(RANK(S44,$S$6:$S$55,0)/MAX(COUNTIF($S$6:$S$55,"&gt;0"),1),0)&lt;='02_의사결정·종합결과'!$B$11+'02_의사결정·종합결과'!$C$11+'02_의사결정·종합결과'!$D$11,"B",IF(IFERROR(RANK(S44,$S$6:$S$55,0)/MAX(COUNTIF($S$6:$S$55,"&gt;0"),1),0)&lt;='02_의사결정·종합결과'!$B$11+'02_의사결정·종합결과'!$C$11+'02_의사결정·종합결과'!$D$11+'02_의사결정·종합결과'!$E$11,"C","D"))))))</f>
        <v/>
      </c>
    </row>
    <row r="45" spans="1:22" ht="20.25" customHeight="1">
      <c r="G45" s="19" t="str">
        <f>IF(OR('01_인적정보'!B45="",'04_역할평가'!I45=""),"",'04_역할평가'!I45)</f>
        <v/>
      </c>
      <c r="H45" s="19" t="str">
        <f>IF(OR('01_인적정보'!B45="",'04_역할평가'!I103=""),"",'04_역할평가'!I103)</f>
        <v/>
      </c>
      <c r="I45" s="52" t="str">
        <f>IFERROR(IF(AND(LEN(G45)&gt;0,LEN(H45)&gt;0),'02_의사결정·종합결과'!$B$7*IFERROR(CHOOSE(FIND(G45,"DCBAS"),1,2,3,4,5),0)+'02_의사결정·종합결과'!$B$8*IFERROR(CHOOSE(FIND(H45,"DCBAS"),1,2,3,4,5),0),IF(LEN(G45)&gt;0,IFERROR(CHOOSE(FIND(G45,"DCBAS"),1,2,3,4,5),0),IF(LEN(H45)&gt;0,IFERROR(CHOOSE(FIND(H45,"DCBAS"),1,2,3,4,5),0),""))),"")</f>
        <v/>
      </c>
      <c r="J45" s="19" t="str">
        <f>IF(OR('01_인적정보'!B45="",'05_공통역량평가'!I45=""),"",'05_공통역량평가'!I45)</f>
        <v/>
      </c>
      <c r="K45" s="19" t="str">
        <f>IF(OR('01_인적정보'!B45="",'05_공통역량평가'!I103=""),"",'05_공통역량평가'!I103)</f>
        <v/>
      </c>
      <c r="L45" s="52" t="str">
        <f>IFERROR(IF(AND(LEN(J45)&gt;0,LEN(K45)&gt;0),'02_의사결정·종합결과'!$B$7*IFERROR(CHOOSE(FIND(J45,"DCBAS"),1,2,3,4,5),0)+'02_의사결정·종합결과'!$B$8*IFERROR(CHOOSE(FIND(K45,"DCBAS"),1,2,3,4,5),0),IF(LEN(J45)&gt;0,IFERROR(CHOOSE(FIND(J45,"DCBAS"),1,2,3,4,5),0),IF(LEN(K45)&gt;0,IFERROR(CHOOSE(FIND(K45,"DCBAS"),1,2,3,4,5),0),""))),"")</f>
        <v/>
      </c>
      <c r="M45" s="19" t="str">
        <f>IF(OR('01_인적정보'!B45="",'06_직무역량평가'!J45=""),"",'06_직무역량평가'!J45)</f>
        <v/>
      </c>
      <c r="N45" s="19" t="str">
        <f>IF(OR('01_인적정보'!B45="",'06_직무역량평가'!J103=""),"",'06_직무역량평가'!J103)</f>
        <v/>
      </c>
      <c r="O45" s="52" t="str">
        <f>IFERROR(IF(AND(LEN(M45)&gt;0,LEN(N45)&gt;0),'02_의사결정·종합결과'!$B$7*IFERROR(CHOOSE(FIND(M45,"DCBAS"),1,2,3,4,5),0)+'02_의사결정·종합결과'!$B$8*IFERROR(CHOOSE(FIND(N45,"DCBAS"),1,2,3,4,5),0),IF(LEN(M45)&gt;0,IFERROR(CHOOSE(FIND(M45,"DCBAS"),1,2,3,4,5),0),IF(LEN(N45)&gt;0,IFERROR(CHOOSE(FIND(N45,"DCBAS"),1,2,3,4,5),0),""))),"")</f>
        <v/>
      </c>
      <c r="S45" s="64" t="str">
        <f t="shared" si="2"/>
        <v/>
      </c>
      <c r="T45" s="53" t="str">
        <f t="shared" si="3"/>
        <v/>
      </c>
      <c r="U45" s="65" t="str">
        <f>IF(OR(S45="",NOT(ISNUMBER(S45)),S45&lt;0.5),"",IF('02_의사결정·종합결과'!$B$6="절대평가",T45,IF(IFERROR(RANK(S45,$S$6:$S$55,0)/MAX(COUNTIF($S$6:$S$55,"&gt;0"),1),0)&lt;='02_의사결정·종합결과'!$B$11,"S",IF(IFERROR(RANK(S45,$S$6:$S$55,0)/MAX(COUNTIF($S$6:$S$55,"&gt;0"),1),0)&lt;='02_의사결정·종합결과'!$B$11+'02_의사결정·종합결과'!$C$11,"A",IF(IFERROR(RANK(S45,$S$6:$S$55,0)/MAX(COUNTIF($S$6:$S$55,"&gt;0"),1),0)&lt;='02_의사결정·종합결과'!$B$11+'02_의사결정·종합결과'!$C$11+'02_의사결정·종합결과'!$D$11,"B",IF(IFERROR(RANK(S45,$S$6:$S$55,0)/MAX(COUNTIF($S$6:$S$55,"&gt;0"),1),0)&lt;='02_의사결정·종합결과'!$B$11+'02_의사결정·종합결과'!$C$11+'02_의사결정·종합결과'!$D$11+'02_의사결정·종합결과'!$E$11,"C","D"))))))</f>
        <v/>
      </c>
    </row>
    <row r="46" spans="1:22" ht="20.25" customHeight="1">
      <c r="G46" s="19" t="str">
        <f>IF(OR('01_인적정보'!B46="",'04_역할평가'!I46=""),"",'04_역할평가'!I46)</f>
        <v/>
      </c>
      <c r="H46" s="19" t="str">
        <f>IF(OR('01_인적정보'!B46="",'04_역할평가'!I104=""),"",'04_역할평가'!I104)</f>
        <v/>
      </c>
      <c r="I46" s="52" t="str">
        <f>IFERROR(IF(AND(LEN(G46)&gt;0,LEN(H46)&gt;0),'02_의사결정·종합결과'!$B$7*IFERROR(CHOOSE(FIND(G46,"DCBAS"),1,2,3,4,5),0)+'02_의사결정·종합결과'!$B$8*IFERROR(CHOOSE(FIND(H46,"DCBAS"),1,2,3,4,5),0),IF(LEN(G46)&gt;0,IFERROR(CHOOSE(FIND(G46,"DCBAS"),1,2,3,4,5),0),IF(LEN(H46)&gt;0,IFERROR(CHOOSE(FIND(H46,"DCBAS"),1,2,3,4,5),0),""))),"")</f>
        <v/>
      </c>
      <c r="J46" s="19" t="str">
        <f>IF(OR('01_인적정보'!B46="",'05_공통역량평가'!I46=""),"",'05_공통역량평가'!I46)</f>
        <v/>
      </c>
      <c r="K46" s="19" t="str">
        <f>IF(OR('01_인적정보'!B46="",'05_공통역량평가'!I104=""),"",'05_공통역량평가'!I104)</f>
        <v/>
      </c>
      <c r="L46" s="52" t="str">
        <f>IFERROR(IF(AND(LEN(J46)&gt;0,LEN(K46)&gt;0),'02_의사결정·종합결과'!$B$7*IFERROR(CHOOSE(FIND(J46,"DCBAS"),1,2,3,4,5),0)+'02_의사결정·종합결과'!$B$8*IFERROR(CHOOSE(FIND(K46,"DCBAS"),1,2,3,4,5),0),IF(LEN(J46)&gt;0,IFERROR(CHOOSE(FIND(J46,"DCBAS"),1,2,3,4,5),0),IF(LEN(K46)&gt;0,IFERROR(CHOOSE(FIND(K46,"DCBAS"),1,2,3,4,5),0),""))),"")</f>
        <v/>
      </c>
      <c r="M46" s="19" t="str">
        <f>IF(OR('01_인적정보'!B46="",'06_직무역량평가'!J46=""),"",'06_직무역량평가'!J46)</f>
        <v/>
      </c>
      <c r="N46" s="19" t="str">
        <f>IF(OR('01_인적정보'!B46="",'06_직무역량평가'!J104=""),"",'06_직무역량평가'!J104)</f>
        <v/>
      </c>
      <c r="O46" s="52" t="str">
        <f>IFERROR(IF(AND(LEN(M46)&gt;0,LEN(N46)&gt;0),'02_의사결정·종합결과'!$B$7*IFERROR(CHOOSE(FIND(M46,"DCBAS"),1,2,3,4,5),0)+'02_의사결정·종합결과'!$B$8*IFERROR(CHOOSE(FIND(N46,"DCBAS"),1,2,3,4,5),0),IF(LEN(M46)&gt;0,IFERROR(CHOOSE(FIND(M46,"DCBAS"),1,2,3,4,5),0),IF(LEN(N46)&gt;0,IFERROR(CHOOSE(FIND(N46,"DCBAS"),1,2,3,4,5),0),""))),"")</f>
        <v/>
      </c>
      <c r="S46" s="64" t="str">
        <f t="shared" si="2"/>
        <v/>
      </c>
      <c r="T46" s="53" t="str">
        <f t="shared" si="3"/>
        <v/>
      </c>
      <c r="U46" s="65" t="str">
        <f>IF(OR(S46="",NOT(ISNUMBER(S46)),S46&lt;0.5),"",IF('02_의사결정·종합결과'!$B$6="절대평가",T46,IF(IFERROR(RANK(S46,$S$6:$S$55,0)/MAX(COUNTIF($S$6:$S$55,"&gt;0"),1),0)&lt;='02_의사결정·종합결과'!$B$11,"S",IF(IFERROR(RANK(S46,$S$6:$S$55,0)/MAX(COUNTIF($S$6:$S$55,"&gt;0"),1),0)&lt;='02_의사결정·종합결과'!$B$11+'02_의사결정·종합결과'!$C$11,"A",IF(IFERROR(RANK(S46,$S$6:$S$55,0)/MAX(COUNTIF($S$6:$S$55,"&gt;0"),1),0)&lt;='02_의사결정·종합결과'!$B$11+'02_의사결정·종합결과'!$C$11+'02_의사결정·종합결과'!$D$11,"B",IF(IFERROR(RANK(S46,$S$6:$S$55,0)/MAX(COUNTIF($S$6:$S$55,"&gt;0"),1),0)&lt;='02_의사결정·종합결과'!$B$11+'02_의사결정·종합결과'!$C$11+'02_의사결정·종합결과'!$D$11+'02_의사결정·종합결과'!$E$11,"C","D"))))))</f>
        <v/>
      </c>
    </row>
    <row r="47" spans="1:22" ht="20.25" customHeight="1">
      <c r="G47" s="19" t="str">
        <f>IF(OR('01_인적정보'!B47="",'04_역할평가'!I47=""),"",'04_역할평가'!I47)</f>
        <v/>
      </c>
      <c r="H47" s="19" t="str">
        <f>IF(OR('01_인적정보'!B47="",'04_역할평가'!I105=""),"",'04_역할평가'!I105)</f>
        <v/>
      </c>
      <c r="I47" s="52" t="str">
        <f>IFERROR(IF(AND(LEN(G47)&gt;0,LEN(H47)&gt;0),'02_의사결정·종합결과'!$B$7*IFERROR(CHOOSE(FIND(G47,"DCBAS"),1,2,3,4,5),0)+'02_의사결정·종합결과'!$B$8*IFERROR(CHOOSE(FIND(H47,"DCBAS"),1,2,3,4,5),0),IF(LEN(G47)&gt;0,IFERROR(CHOOSE(FIND(G47,"DCBAS"),1,2,3,4,5),0),IF(LEN(H47)&gt;0,IFERROR(CHOOSE(FIND(H47,"DCBAS"),1,2,3,4,5),0),""))),"")</f>
        <v/>
      </c>
      <c r="J47" s="19" t="str">
        <f>IF(OR('01_인적정보'!B47="",'05_공통역량평가'!I47=""),"",'05_공통역량평가'!I47)</f>
        <v/>
      </c>
      <c r="K47" s="19" t="str">
        <f>IF(OR('01_인적정보'!B47="",'05_공통역량평가'!I105=""),"",'05_공통역량평가'!I105)</f>
        <v/>
      </c>
      <c r="L47" s="52" t="str">
        <f>IFERROR(IF(AND(LEN(J47)&gt;0,LEN(K47)&gt;0),'02_의사결정·종합결과'!$B$7*IFERROR(CHOOSE(FIND(J47,"DCBAS"),1,2,3,4,5),0)+'02_의사결정·종합결과'!$B$8*IFERROR(CHOOSE(FIND(K47,"DCBAS"),1,2,3,4,5),0),IF(LEN(J47)&gt;0,IFERROR(CHOOSE(FIND(J47,"DCBAS"),1,2,3,4,5),0),IF(LEN(K47)&gt;0,IFERROR(CHOOSE(FIND(K47,"DCBAS"),1,2,3,4,5),0),""))),"")</f>
        <v/>
      </c>
      <c r="M47" s="19" t="str">
        <f>IF(OR('01_인적정보'!B47="",'06_직무역량평가'!J47=""),"",'06_직무역량평가'!J47)</f>
        <v/>
      </c>
      <c r="N47" s="19" t="str">
        <f>IF(OR('01_인적정보'!B47="",'06_직무역량평가'!J105=""),"",'06_직무역량평가'!J105)</f>
        <v/>
      </c>
      <c r="O47" s="52" t="str">
        <f>IFERROR(IF(AND(LEN(M47)&gt;0,LEN(N47)&gt;0),'02_의사결정·종합결과'!$B$7*IFERROR(CHOOSE(FIND(M47,"DCBAS"),1,2,3,4,5),0)+'02_의사결정·종합결과'!$B$8*IFERROR(CHOOSE(FIND(N47,"DCBAS"),1,2,3,4,5),0),IF(LEN(M47)&gt;0,IFERROR(CHOOSE(FIND(M47,"DCBAS"),1,2,3,4,5),0),IF(LEN(N47)&gt;0,IFERROR(CHOOSE(FIND(N47,"DCBAS"),1,2,3,4,5),0),""))),"")</f>
        <v/>
      </c>
      <c r="S47" s="64" t="str">
        <f t="shared" si="2"/>
        <v/>
      </c>
      <c r="T47" s="53" t="str">
        <f t="shared" si="3"/>
        <v/>
      </c>
      <c r="U47" s="65" t="str">
        <f>IF(OR(S47="",NOT(ISNUMBER(S47)),S47&lt;0.5),"",IF('02_의사결정·종합결과'!$B$6="절대평가",T47,IF(IFERROR(RANK(S47,$S$6:$S$55,0)/MAX(COUNTIF($S$6:$S$55,"&gt;0"),1),0)&lt;='02_의사결정·종합결과'!$B$11,"S",IF(IFERROR(RANK(S47,$S$6:$S$55,0)/MAX(COUNTIF($S$6:$S$55,"&gt;0"),1),0)&lt;='02_의사결정·종합결과'!$B$11+'02_의사결정·종합결과'!$C$11,"A",IF(IFERROR(RANK(S47,$S$6:$S$55,0)/MAX(COUNTIF($S$6:$S$55,"&gt;0"),1),0)&lt;='02_의사결정·종합결과'!$B$11+'02_의사결정·종합결과'!$C$11+'02_의사결정·종합결과'!$D$11,"B",IF(IFERROR(RANK(S47,$S$6:$S$55,0)/MAX(COUNTIF($S$6:$S$55,"&gt;0"),1),0)&lt;='02_의사결정·종합결과'!$B$11+'02_의사결정·종합결과'!$C$11+'02_의사결정·종합결과'!$D$11+'02_의사결정·종합결과'!$E$11,"C","D"))))))</f>
        <v/>
      </c>
    </row>
    <row r="48" spans="1:22" ht="20.25" customHeight="1">
      <c r="G48" s="19" t="str">
        <f>IF(OR('01_인적정보'!B48="",'04_역할평가'!I48=""),"",'04_역할평가'!I48)</f>
        <v/>
      </c>
      <c r="H48" s="19" t="str">
        <f>IF(OR('01_인적정보'!B48="",'04_역할평가'!I106=""),"",'04_역할평가'!I106)</f>
        <v/>
      </c>
      <c r="I48" s="52" t="str">
        <f>IFERROR(IF(AND(LEN(G48)&gt;0,LEN(H48)&gt;0),'02_의사결정·종합결과'!$B$7*IFERROR(CHOOSE(FIND(G48,"DCBAS"),1,2,3,4,5),0)+'02_의사결정·종합결과'!$B$8*IFERROR(CHOOSE(FIND(H48,"DCBAS"),1,2,3,4,5),0),IF(LEN(G48)&gt;0,IFERROR(CHOOSE(FIND(G48,"DCBAS"),1,2,3,4,5),0),IF(LEN(H48)&gt;0,IFERROR(CHOOSE(FIND(H48,"DCBAS"),1,2,3,4,5),0),""))),"")</f>
        <v/>
      </c>
      <c r="J48" s="19" t="str">
        <f>IF(OR('01_인적정보'!B48="",'05_공통역량평가'!I48=""),"",'05_공통역량평가'!I48)</f>
        <v/>
      </c>
      <c r="K48" s="19" t="str">
        <f>IF(OR('01_인적정보'!B48="",'05_공통역량평가'!I106=""),"",'05_공통역량평가'!I106)</f>
        <v/>
      </c>
      <c r="L48" s="52" t="str">
        <f>IFERROR(IF(AND(LEN(J48)&gt;0,LEN(K48)&gt;0),'02_의사결정·종합결과'!$B$7*IFERROR(CHOOSE(FIND(J48,"DCBAS"),1,2,3,4,5),0)+'02_의사결정·종합결과'!$B$8*IFERROR(CHOOSE(FIND(K48,"DCBAS"),1,2,3,4,5),0),IF(LEN(J48)&gt;0,IFERROR(CHOOSE(FIND(J48,"DCBAS"),1,2,3,4,5),0),IF(LEN(K48)&gt;0,IFERROR(CHOOSE(FIND(K48,"DCBAS"),1,2,3,4,5),0),""))),"")</f>
        <v/>
      </c>
      <c r="M48" s="19" t="str">
        <f>IF(OR('01_인적정보'!B48="",'06_직무역량평가'!J48=""),"",'06_직무역량평가'!J48)</f>
        <v/>
      </c>
      <c r="N48" s="19" t="str">
        <f>IF(OR('01_인적정보'!B48="",'06_직무역량평가'!J106=""),"",'06_직무역량평가'!J106)</f>
        <v/>
      </c>
      <c r="O48" s="52" t="str">
        <f>IFERROR(IF(AND(LEN(M48)&gt;0,LEN(N48)&gt;0),'02_의사결정·종합결과'!$B$7*IFERROR(CHOOSE(FIND(M48,"DCBAS"),1,2,3,4,5),0)+'02_의사결정·종합결과'!$B$8*IFERROR(CHOOSE(FIND(N48,"DCBAS"),1,2,3,4,5),0),IF(LEN(M48)&gt;0,IFERROR(CHOOSE(FIND(M48,"DCBAS"),1,2,3,4,5),0),IF(LEN(N48)&gt;0,IFERROR(CHOOSE(FIND(N48,"DCBAS"),1,2,3,4,5),0),""))),"")</f>
        <v/>
      </c>
      <c r="S48" s="64" t="str">
        <f t="shared" si="2"/>
        <v/>
      </c>
      <c r="T48" s="53" t="str">
        <f t="shared" si="3"/>
        <v/>
      </c>
      <c r="U48" s="65" t="str">
        <f>IF(OR(S48="",NOT(ISNUMBER(S48)),S48&lt;0.5),"",IF('02_의사결정·종합결과'!$B$6="절대평가",T48,IF(IFERROR(RANK(S48,$S$6:$S$55,0)/MAX(COUNTIF($S$6:$S$55,"&gt;0"),1),0)&lt;='02_의사결정·종합결과'!$B$11,"S",IF(IFERROR(RANK(S48,$S$6:$S$55,0)/MAX(COUNTIF($S$6:$S$55,"&gt;0"),1),0)&lt;='02_의사결정·종합결과'!$B$11+'02_의사결정·종합결과'!$C$11,"A",IF(IFERROR(RANK(S48,$S$6:$S$55,0)/MAX(COUNTIF($S$6:$S$55,"&gt;0"),1),0)&lt;='02_의사결정·종합결과'!$B$11+'02_의사결정·종합결과'!$C$11+'02_의사결정·종합결과'!$D$11,"B",IF(IFERROR(RANK(S48,$S$6:$S$55,0)/MAX(COUNTIF($S$6:$S$55,"&gt;0"),1),0)&lt;='02_의사결정·종합결과'!$B$11+'02_의사결정·종합결과'!$C$11+'02_의사결정·종합결과'!$D$11+'02_의사결정·종합결과'!$E$11,"C","D"))))))</f>
        <v/>
      </c>
    </row>
    <row r="49" spans="7:21" ht="20.25" customHeight="1">
      <c r="G49" s="19" t="str">
        <f>IF(OR('01_인적정보'!B49="",'04_역할평가'!I49=""),"",'04_역할평가'!I49)</f>
        <v/>
      </c>
      <c r="H49" s="19" t="str">
        <f>IF(OR('01_인적정보'!B49="",'04_역할평가'!I107=""),"",'04_역할평가'!I107)</f>
        <v/>
      </c>
      <c r="I49" s="52" t="str">
        <f>IFERROR(IF(AND(LEN(G49)&gt;0,LEN(H49)&gt;0),'02_의사결정·종합결과'!$B$7*IFERROR(CHOOSE(FIND(G49,"DCBAS"),1,2,3,4,5),0)+'02_의사결정·종합결과'!$B$8*IFERROR(CHOOSE(FIND(H49,"DCBAS"),1,2,3,4,5),0),IF(LEN(G49)&gt;0,IFERROR(CHOOSE(FIND(G49,"DCBAS"),1,2,3,4,5),0),IF(LEN(H49)&gt;0,IFERROR(CHOOSE(FIND(H49,"DCBAS"),1,2,3,4,5),0),""))),"")</f>
        <v/>
      </c>
      <c r="J49" s="19" t="str">
        <f>IF(OR('01_인적정보'!B49="",'05_공통역량평가'!I49=""),"",'05_공통역량평가'!I49)</f>
        <v/>
      </c>
      <c r="K49" s="19" t="str">
        <f>IF(OR('01_인적정보'!B49="",'05_공통역량평가'!I107=""),"",'05_공통역량평가'!I107)</f>
        <v/>
      </c>
      <c r="L49" s="52" t="str">
        <f>IFERROR(IF(AND(LEN(J49)&gt;0,LEN(K49)&gt;0),'02_의사결정·종합결과'!$B$7*IFERROR(CHOOSE(FIND(J49,"DCBAS"),1,2,3,4,5),0)+'02_의사결정·종합결과'!$B$8*IFERROR(CHOOSE(FIND(K49,"DCBAS"),1,2,3,4,5),0),IF(LEN(J49)&gt;0,IFERROR(CHOOSE(FIND(J49,"DCBAS"),1,2,3,4,5),0),IF(LEN(K49)&gt;0,IFERROR(CHOOSE(FIND(K49,"DCBAS"),1,2,3,4,5),0),""))),"")</f>
        <v/>
      </c>
      <c r="M49" s="19" t="str">
        <f>IF(OR('01_인적정보'!B49="",'06_직무역량평가'!J49=""),"",'06_직무역량평가'!J49)</f>
        <v/>
      </c>
      <c r="N49" s="19" t="str">
        <f>IF(OR('01_인적정보'!B49="",'06_직무역량평가'!J107=""),"",'06_직무역량평가'!J107)</f>
        <v/>
      </c>
      <c r="O49" s="52" t="str">
        <f>IFERROR(IF(AND(LEN(M49)&gt;0,LEN(N49)&gt;0),'02_의사결정·종합결과'!$B$7*IFERROR(CHOOSE(FIND(M49,"DCBAS"),1,2,3,4,5),0)+'02_의사결정·종합결과'!$B$8*IFERROR(CHOOSE(FIND(N49,"DCBAS"),1,2,3,4,5),0),IF(LEN(M49)&gt;0,IFERROR(CHOOSE(FIND(M49,"DCBAS"),1,2,3,4,5),0),IF(LEN(N49)&gt;0,IFERROR(CHOOSE(FIND(N49,"DCBAS"),1,2,3,4,5),0),""))),"")</f>
        <v/>
      </c>
      <c r="S49" s="64" t="str">
        <f t="shared" si="2"/>
        <v/>
      </c>
      <c r="T49" s="53" t="str">
        <f t="shared" si="3"/>
        <v/>
      </c>
      <c r="U49" s="65" t="str">
        <f>IF(OR(S49="",NOT(ISNUMBER(S49)),S49&lt;0.5),"",IF('02_의사결정·종합결과'!$B$6="절대평가",T49,IF(IFERROR(RANK(S49,$S$6:$S$55,0)/MAX(COUNTIF($S$6:$S$55,"&gt;0"),1),0)&lt;='02_의사결정·종합결과'!$B$11,"S",IF(IFERROR(RANK(S49,$S$6:$S$55,0)/MAX(COUNTIF($S$6:$S$55,"&gt;0"),1),0)&lt;='02_의사결정·종합결과'!$B$11+'02_의사결정·종합결과'!$C$11,"A",IF(IFERROR(RANK(S49,$S$6:$S$55,0)/MAX(COUNTIF($S$6:$S$55,"&gt;0"),1),0)&lt;='02_의사결정·종합결과'!$B$11+'02_의사결정·종합결과'!$C$11+'02_의사결정·종합결과'!$D$11,"B",IF(IFERROR(RANK(S49,$S$6:$S$55,0)/MAX(COUNTIF($S$6:$S$55,"&gt;0"),1),0)&lt;='02_의사결정·종합결과'!$B$11+'02_의사결정·종합결과'!$C$11+'02_의사결정·종합결과'!$D$11+'02_의사결정·종합결과'!$E$11,"C","D"))))))</f>
        <v/>
      </c>
    </row>
    <row r="50" spans="7:21" ht="20.25" customHeight="1">
      <c r="G50" s="19" t="str">
        <f>IF(OR('01_인적정보'!B50="",'04_역할평가'!I50=""),"",'04_역할평가'!I50)</f>
        <v/>
      </c>
      <c r="H50" s="19" t="str">
        <f>IF(OR('01_인적정보'!B50="",'04_역할평가'!I108=""),"",'04_역할평가'!I108)</f>
        <v/>
      </c>
      <c r="I50" s="52" t="str">
        <f>IFERROR(IF(AND(LEN(G50)&gt;0,LEN(H50)&gt;0),'02_의사결정·종합결과'!$B$7*IFERROR(CHOOSE(FIND(G50,"DCBAS"),1,2,3,4,5),0)+'02_의사결정·종합결과'!$B$8*IFERROR(CHOOSE(FIND(H50,"DCBAS"),1,2,3,4,5),0),IF(LEN(G50)&gt;0,IFERROR(CHOOSE(FIND(G50,"DCBAS"),1,2,3,4,5),0),IF(LEN(H50)&gt;0,IFERROR(CHOOSE(FIND(H50,"DCBAS"),1,2,3,4,5),0),""))),"")</f>
        <v/>
      </c>
      <c r="J50" s="19" t="str">
        <f>IF(OR('01_인적정보'!B50="",'05_공통역량평가'!I50=""),"",'05_공통역량평가'!I50)</f>
        <v/>
      </c>
      <c r="K50" s="19" t="str">
        <f>IF(OR('01_인적정보'!B50="",'05_공통역량평가'!I108=""),"",'05_공통역량평가'!I108)</f>
        <v/>
      </c>
      <c r="L50" s="52" t="str">
        <f>IFERROR(IF(AND(LEN(J50)&gt;0,LEN(K50)&gt;0),'02_의사결정·종합결과'!$B$7*IFERROR(CHOOSE(FIND(J50,"DCBAS"),1,2,3,4,5),0)+'02_의사결정·종합결과'!$B$8*IFERROR(CHOOSE(FIND(K50,"DCBAS"),1,2,3,4,5),0),IF(LEN(J50)&gt;0,IFERROR(CHOOSE(FIND(J50,"DCBAS"),1,2,3,4,5),0),IF(LEN(K50)&gt;0,IFERROR(CHOOSE(FIND(K50,"DCBAS"),1,2,3,4,5),0),""))),"")</f>
        <v/>
      </c>
      <c r="M50" s="19" t="str">
        <f>IF(OR('01_인적정보'!B50="",'06_직무역량평가'!J50=""),"",'06_직무역량평가'!J50)</f>
        <v/>
      </c>
      <c r="N50" s="19" t="str">
        <f>IF(OR('01_인적정보'!B50="",'06_직무역량평가'!J108=""),"",'06_직무역량평가'!J108)</f>
        <v/>
      </c>
      <c r="O50" s="52" t="str">
        <f>IFERROR(IF(AND(LEN(M50)&gt;0,LEN(N50)&gt;0),'02_의사결정·종합결과'!$B$7*IFERROR(CHOOSE(FIND(M50,"DCBAS"),1,2,3,4,5),0)+'02_의사결정·종합결과'!$B$8*IFERROR(CHOOSE(FIND(N50,"DCBAS"),1,2,3,4,5),0),IF(LEN(M50)&gt;0,IFERROR(CHOOSE(FIND(M50,"DCBAS"),1,2,3,4,5),0),IF(LEN(N50)&gt;0,IFERROR(CHOOSE(FIND(N50,"DCBAS"),1,2,3,4,5),0),""))),"")</f>
        <v/>
      </c>
      <c r="S50" s="64" t="str">
        <f t="shared" si="2"/>
        <v/>
      </c>
      <c r="T50" s="53" t="str">
        <f t="shared" si="3"/>
        <v/>
      </c>
      <c r="U50" s="65" t="str">
        <f>IF(OR(S50="",NOT(ISNUMBER(S50)),S50&lt;0.5),"",IF('02_의사결정·종합결과'!$B$6="절대평가",T50,IF(IFERROR(RANK(S50,$S$6:$S$55,0)/MAX(COUNTIF($S$6:$S$55,"&gt;0"),1),0)&lt;='02_의사결정·종합결과'!$B$11,"S",IF(IFERROR(RANK(S50,$S$6:$S$55,0)/MAX(COUNTIF($S$6:$S$55,"&gt;0"),1),0)&lt;='02_의사결정·종합결과'!$B$11+'02_의사결정·종합결과'!$C$11,"A",IF(IFERROR(RANK(S50,$S$6:$S$55,0)/MAX(COUNTIF($S$6:$S$55,"&gt;0"),1),0)&lt;='02_의사결정·종합결과'!$B$11+'02_의사결정·종합결과'!$C$11+'02_의사결정·종합결과'!$D$11,"B",IF(IFERROR(RANK(S50,$S$6:$S$55,0)/MAX(COUNTIF($S$6:$S$55,"&gt;0"),1),0)&lt;='02_의사결정·종합결과'!$B$11+'02_의사결정·종합결과'!$C$11+'02_의사결정·종합결과'!$D$11+'02_의사결정·종합결과'!$E$11,"C","D"))))))</f>
        <v/>
      </c>
    </row>
    <row r="51" spans="7:21" ht="20.25" customHeight="1">
      <c r="G51" s="19" t="str">
        <f>IF(OR('01_인적정보'!B51="",'04_역할평가'!I51=""),"",'04_역할평가'!I51)</f>
        <v/>
      </c>
      <c r="H51" s="19" t="str">
        <f>IF(OR('01_인적정보'!B51="",'04_역할평가'!I109=""),"",'04_역할평가'!I109)</f>
        <v/>
      </c>
      <c r="I51" s="52" t="str">
        <f>IFERROR(IF(AND(LEN(G51)&gt;0,LEN(H51)&gt;0),'02_의사결정·종합결과'!$B$7*IFERROR(CHOOSE(FIND(G51,"DCBAS"),1,2,3,4,5),0)+'02_의사결정·종합결과'!$B$8*IFERROR(CHOOSE(FIND(H51,"DCBAS"),1,2,3,4,5),0),IF(LEN(G51)&gt;0,IFERROR(CHOOSE(FIND(G51,"DCBAS"),1,2,3,4,5),0),IF(LEN(H51)&gt;0,IFERROR(CHOOSE(FIND(H51,"DCBAS"),1,2,3,4,5),0),""))),"")</f>
        <v/>
      </c>
      <c r="J51" s="19" t="str">
        <f>IF(OR('01_인적정보'!B51="",'05_공통역량평가'!I51=""),"",'05_공통역량평가'!I51)</f>
        <v/>
      </c>
      <c r="K51" s="19" t="str">
        <f>IF(OR('01_인적정보'!B51="",'05_공통역량평가'!I109=""),"",'05_공통역량평가'!I109)</f>
        <v/>
      </c>
      <c r="L51" s="52" t="str">
        <f>IFERROR(IF(AND(LEN(J51)&gt;0,LEN(K51)&gt;0),'02_의사결정·종합결과'!$B$7*IFERROR(CHOOSE(FIND(J51,"DCBAS"),1,2,3,4,5),0)+'02_의사결정·종합결과'!$B$8*IFERROR(CHOOSE(FIND(K51,"DCBAS"),1,2,3,4,5),0),IF(LEN(J51)&gt;0,IFERROR(CHOOSE(FIND(J51,"DCBAS"),1,2,3,4,5),0),IF(LEN(K51)&gt;0,IFERROR(CHOOSE(FIND(K51,"DCBAS"),1,2,3,4,5),0),""))),"")</f>
        <v/>
      </c>
      <c r="M51" s="19" t="str">
        <f>IF(OR('01_인적정보'!B51="",'06_직무역량평가'!J51=""),"",'06_직무역량평가'!J51)</f>
        <v/>
      </c>
      <c r="N51" s="19" t="str">
        <f>IF(OR('01_인적정보'!B51="",'06_직무역량평가'!J109=""),"",'06_직무역량평가'!J109)</f>
        <v/>
      </c>
      <c r="O51" s="52" t="str">
        <f>IFERROR(IF(AND(LEN(M51)&gt;0,LEN(N51)&gt;0),'02_의사결정·종합결과'!$B$7*IFERROR(CHOOSE(FIND(M51,"DCBAS"),1,2,3,4,5),0)+'02_의사결정·종합결과'!$B$8*IFERROR(CHOOSE(FIND(N51,"DCBAS"),1,2,3,4,5),0),IF(LEN(M51)&gt;0,IFERROR(CHOOSE(FIND(M51,"DCBAS"),1,2,3,4,5),0),IF(LEN(N51)&gt;0,IFERROR(CHOOSE(FIND(N51,"DCBAS"),1,2,3,4,5),0),""))),"")</f>
        <v/>
      </c>
      <c r="S51" s="64" t="str">
        <f t="shared" si="2"/>
        <v/>
      </c>
      <c r="T51" s="53" t="str">
        <f t="shared" si="3"/>
        <v/>
      </c>
      <c r="U51" s="65" t="str">
        <f>IF(OR(S51="",NOT(ISNUMBER(S51)),S51&lt;0.5),"",IF('02_의사결정·종합결과'!$B$6="절대평가",T51,IF(IFERROR(RANK(S51,$S$6:$S$55,0)/MAX(COUNTIF($S$6:$S$55,"&gt;0"),1),0)&lt;='02_의사결정·종합결과'!$B$11,"S",IF(IFERROR(RANK(S51,$S$6:$S$55,0)/MAX(COUNTIF($S$6:$S$55,"&gt;0"),1),0)&lt;='02_의사결정·종합결과'!$B$11+'02_의사결정·종합결과'!$C$11,"A",IF(IFERROR(RANK(S51,$S$6:$S$55,0)/MAX(COUNTIF($S$6:$S$55,"&gt;0"),1),0)&lt;='02_의사결정·종합결과'!$B$11+'02_의사결정·종합결과'!$C$11+'02_의사결정·종합결과'!$D$11,"B",IF(IFERROR(RANK(S51,$S$6:$S$55,0)/MAX(COUNTIF($S$6:$S$55,"&gt;0"),1),0)&lt;='02_의사결정·종합결과'!$B$11+'02_의사결정·종합결과'!$C$11+'02_의사결정·종합결과'!$D$11+'02_의사결정·종합결과'!$E$11,"C","D"))))))</f>
        <v/>
      </c>
    </row>
    <row r="52" spans="7:21" ht="20.25" customHeight="1">
      <c r="G52" s="19" t="str">
        <f>IF(OR('01_인적정보'!B52="",'04_역할평가'!I52=""),"",'04_역할평가'!I52)</f>
        <v/>
      </c>
      <c r="H52" s="19" t="str">
        <f>IF(OR('01_인적정보'!B52="",'04_역할평가'!I110=""),"",'04_역할평가'!I110)</f>
        <v/>
      </c>
      <c r="I52" s="52" t="str">
        <f>IFERROR(IF(AND(LEN(G52)&gt;0,LEN(H52)&gt;0),'02_의사결정·종합결과'!$B$7*IFERROR(CHOOSE(FIND(G52,"DCBAS"),1,2,3,4,5),0)+'02_의사결정·종합결과'!$B$8*IFERROR(CHOOSE(FIND(H52,"DCBAS"),1,2,3,4,5),0),IF(LEN(G52)&gt;0,IFERROR(CHOOSE(FIND(G52,"DCBAS"),1,2,3,4,5),0),IF(LEN(H52)&gt;0,IFERROR(CHOOSE(FIND(H52,"DCBAS"),1,2,3,4,5),0),""))),"")</f>
        <v/>
      </c>
      <c r="J52" s="19" t="str">
        <f>IF(OR('01_인적정보'!B52="",'05_공통역량평가'!I52=""),"",'05_공통역량평가'!I52)</f>
        <v/>
      </c>
      <c r="K52" s="19" t="str">
        <f>IF(OR('01_인적정보'!B52="",'05_공통역량평가'!I110=""),"",'05_공통역량평가'!I110)</f>
        <v/>
      </c>
      <c r="L52" s="52" t="str">
        <f>IFERROR(IF(AND(LEN(J52)&gt;0,LEN(K52)&gt;0),'02_의사결정·종합결과'!$B$7*IFERROR(CHOOSE(FIND(J52,"DCBAS"),1,2,3,4,5),0)+'02_의사결정·종합결과'!$B$8*IFERROR(CHOOSE(FIND(K52,"DCBAS"),1,2,3,4,5),0),IF(LEN(J52)&gt;0,IFERROR(CHOOSE(FIND(J52,"DCBAS"),1,2,3,4,5),0),IF(LEN(K52)&gt;0,IFERROR(CHOOSE(FIND(K52,"DCBAS"),1,2,3,4,5),0),""))),"")</f>
        <v/>
      </c>
      <c r="M52" s="19" t="str">
        <f>IF(OR('01_인적정보'!B52="",'06_직무역량평가'!J52=""),"",'06_직무역량평가'!J52)</f>
        <v/>
      </c>
      <c r="N52" s="19" t="str">
        <f>IF(OR('01_인적정보'!B52="",'06_직무역량평가'!J110=""),"",'06_직무역량평가'!J110)</f>
        <v/>
      </c>
      <c r="O52" s="52" t="str">
        <f>IFERROR(IF(AND(LEN(M52)&gt;0,LEN(N52)&gt;0),'02_의사결정·종합결과'!$B$7*IFERROR(CHOOSE(FIND(M52,"DCBAS"),1,2,3,4,5),0)+'02_의사결정·종합결과'!$B$8*IFERROR(CHOOSE(FIND(N52,"DCBAS"),1,2,3,4,5),0),IF(LEN(M52)&gt;0,IFERROR(CHOOSE(FIND(M52,"DCBAS"),1,2,3,4,5),0),IF(LEN(N52)&gt;0,IFERROR(CHOOSE(FIND(N52,"DCBAS"),1,2,3,4,5),0),""))),"")</f>
        <v/>
      </c>
      <c r="S52" s="64" t="str">
        <f t="shared" si="2"/>
        <v/>
      </c>
      <c r="T52" s="53" t="str">
        <f t="shared" si="3"/>
        <v/>
      </c>
      <c r="U52" s="65" t="str">
        <f>IF(OR(S52="",NOT(ISNUMBER(S52)),S52&lt;0.5),"",IF('02_의사결정·종합결과'!$B$6="절대평가",T52,IF(IFERROR(RANK(S52,$S$6:$S$55,0)/MAX(COUNTIF($S$6:$S$55,"&gt;0"),1),0)&lt;='02_의사결정·종합결과'!$B$11,"S",IF(IFERROR(RANK(S52,$S$6:$S$55,0)/MAX(COUNTIF($S$6:$S$55,"&gt;0"),1),0)&lt;='02_의사결정·종합결과'!$B$11+'02_의사결정·종합결과'!$C$11,"A",IF(IFERROR(RANK(S52,$S$6:$S$55,0)/MAX(COUNTIF($S$6:$S$55,"&gt;0"),1),0)&lt;='02_의사결정·종합결과'!$B$11+'02_의사결정·종합결과'!$C$11+'02_의사결정·종합결과'!$D$11,"B",IF(IFERROR(RANK(S52,$S$6:$S$55,0)/MAX(COUNTIF($S$6:$S$55,"&gt;0"),1),0)&lt;='02_의사결정·종합결과'!$B$11+'02_의사결정·종합결과'!$C$11+'02_의사결정·종합결과'!$D$11+'02_의사결정·종합결과'!$E$11,"C","D"))))))</f>
        <v/>
      </c>
    </row>
    <row r="53" spans="7:21" ht="20.25" customHeight="1">
      <c r="G53" s="19" t="str">
        <f>IF(OR('01_인적정보'!B53="",'04_역할평가'!I53=""),"",'04_역할평가'!I53)</f>
        <v/>
      </c>
      <c r="H53" s="19" t="str">
        <f>IF(OR('01_인적정보'!B53="",'04_역할평가'!I111=""),"",'04_역할평가'!I111)</f>
        <v/>
      </c>
      <c r="I53" s="52" t="str">
        <f>IFERROR(IF(AND(LEN(G53)&gt;0,LEN(H53)&gt;0),'02_의사결정·종합결과'!$B$7*IFERROR(CHOOSE(FIND(G53,"DCBAS"),1,2,3,4,5),0)+'02_의사결정·종합결과'!$B$8*IFERROR(CHOOSE(FIND(H53,"DCBAS"),1,2,3,4,5),0),IF(LEN(G53)&gt;0,IFERROR(CHOOSE(FIND(G53,"DCBAS"),1,2,3,4,5),0),IF(LEN(H53)&gt;0,IFERROR(CHOOSE(FIND(H53,"DCBAS"),1,2,3,4,5),0),""))),"")</f>
        <v/>
      </c>
      <c r="J53" s="19" t="str">
        <f>IF(OR('01_인적정보'!B53="",'05_공통역량평가'!I53=""),"",'05_공통역량평가'!I53)</f>
        <v/>
      </c>
      <c r="K53" s="19" t="str">
        <f>IF(OR('01_인적정보'!B53="",'05_공통역량평가'!I111=""),"",'05_공통역량평가'!I111)</f>
        <v/>
      </c>
      <c r="L53" s="52" t="str">
        <f>IFERROR(IF(AND(LEN(J53)&gt;0,LEN(K53)&gt;0),'02_의사결정·종합결과'!$B$7*IFERROR(CHOOSE(FIND(J53,"DCBAS"),1,2,3,4,5),0)+'02_의사결정·종합결과'!$B$8*IFERROR(CHOOSE(FIND(K53,"DCBAS"),1,2,3,4,5),0),IF(LEN(J53)&gt;0,IFERROR(CHOOSE(FIND(J53,"DCBAS"),1,2,3,4,5),0),IF(LEN(K53)&gt;0,IFERROR(CHOOSE(FIND(K53,"DCBAS"),1,2,3,4,5),0),""))),"")</f>
        <v/>
      </c>
      <c r="M53" s="19" t="str">
        <f>IF(OR('01_인적정보'!B53="",'06_직무역량평가'!J53=""),"",'06_직무역량평가'!J53)</f>
        <v/>
      </c>
      <c r="N53" s="19" t="str">
        <f>IF(OR('01_인적정보'!B53="",'06_직무역량평가'!J111=""),"",'06_직무역량평가'!J111)</f>
        <v/>
      </c>
      <c r="O53" s="52" t="str">
        <f>IFERROR(IF(AND(LEN(M53)&gt;0,LEN(N53)&gt;0),'02_의사결정·종합결과'!$B$7*IFERROR(CHOOSE(FIND(M53,"DCBAS"),1,2,3,4,5),0)+'02_의사결정·종합결과'!$B$8*IFERROR(CHOOSE(FIND(N53,"DCBAS"),1,2,3,4,5),0),IF(LEN(M53)&gt;0,IFERROR(CHOOSE(FIND(M53,"DCBAS"),1,2,3,4,5),0),IF(LEN(N53)&gt;0,IFERROR(CHOOSE(FIND(N53,"DCBAS"),1,2,3,4,5),0),""))),"")</f>
        <v/>
      </c>
      <c r="S53" s="64" t="str">
        <f t="shared" si="2"/>
        <v/>
      </c>
      <c r="T53" s="53" t="str">
        <f t="shared" si="3"/>
        <v/>
      </c>
      <c r="U53" s="65" t="str">
        <f>IF(OR(S53="",NOT(ISNUMBER(S53)),S53&lt;0.5),"",IF('02_의사결정·종합결과'!$B$6="절대평가",T53,IF(IFERROR(RANK(S53,$S$6:$S$55,0)/MAX(COUNTIF($S$6:$S$55,"&gt;0"),1),0)&lt;='02_의사결정·종합결과'!$B$11,"S",IF(IFERROR(RANK(S53,$S$6:$S$55,0)/MAX(COUNTIF($S$6:$S$55,"&gt;0"),1),0)&lt;='02_의사결정·종합결과'!$B$11+'02_의사결정·종합결과'!$C$11,"A",IF(IFERROR(RANK(S53,$S$6:$S$55,0)/MAX(COUNTIF($S$6:$S$55,"&gt;0"),1),0)&lt;='02_의사결정·종합결과'!$B$11+'02_의사결정·종합결과'!$C$11+'02_의사결정·종합결과'!$D$11,"B",IF(IFERROR(RANK(S53,$S$6:$S$55,0)/MAX(COUNTIF($S$6:$S$55,"&gt;0"),1),0)&lt;='02_의사결정·종합결과'!$B$11+'02_의사결정·종합결과'!$C$11+'02_의사결정·종합결과'!$D$11+'02_의사결정·종합결과'!$E$11,"C","D"))))))</f>
        <v/>
      </c>
    </row>
    <row r="54" spans="7:21" ht="20.25" customHeight="1">
      <c r="G54" s="19" t="str">
        <f>IF(OR('01_인적정보'!B54="",'04_역할평가'!I54=""),"",'04_역할평가'!I54)</f>
        <v/>
      </c>
      <c r="H54" s="19" t="str">
        <f>IF(OR('01_인적정보'!B54="",'04_역할평가'!I112=""),"",'04_역할평가'!I112)</f>
        <v/>
      </c>
      <c r="I54" s="52" t="str">
        <f>IFERROR(IF(AND(LEN(G54)&gt;0,LEN(H54)&gt;0),'02_의사결정·종합결과'!$B$7*IFERROR(CHOOSE(FIND(G54,"DCBAS"),1,2,3,4,5),0)+'02_의사결정·종합결과'!$B$8*IFERROR(CHOOSE(FIND(H54,"DCBAS"),1,2,3,4,5),0),IF(LEN(G54)&gt;0,IFERROR(CHOOSE(FIND(G54,"DCBAS"),1,2,3,4,5),0),IF(LEN(H54)&gt;0,IFERROR(CHOOSE(FIND(H54,"DCBAS"),1,2,3,4,5),0),""))),"")</f>
        <v/>
      </c>
      <c r="J54" s="19" t="str">
        <f>IF(OR('01_인적정보'!B54="",'05_공통역량평가'!I54=""),"",'05_공통역량평가'!I54)</f>
        <v/>
      </c>
      <c r="K54" s="19" t="str">
        <f>IF(OR('01_인적정보'!B54="",'05_공통역량평가'!I112=""),"",'05_공통역량평가'!I112)</f>
        <v/>
      </c>
      <c r="L54" s="52" t="str">
        <f>IFERROR(IF(AND(LEN(J54)&gt;0,LEN(K54)&gt;0),'02_의사결정·종합결과'!$B$7*IFERROR(CHOOSE(FIND(J54,"DCBAS"),1,2,3,4,5),0)+'02_의사결정·종합결과'!$B$8*IFERROR(CHOOSE(FIND(K54,"DCBAS"),1,2,3,4,5),0),IF(LEN(J54)&gt;0,IFERROR(CHOOSE(FIND(J54,"DCBAS"),1,2,3,4,5),0),IF(LEN(K54)&gt;0,IFERROR(CHOOSE(FIND(K54,"DCBAS"),1,2,3,4,5),0),""))),"")</f>
        <v/>
      </c>
      <c r="M54" s="19" t="str">
        <f>IF(OR('01_인적정보'!B54="",'06_직무역량평가'!J54=""),"",'06_직무역량평가'!J54)</f>
        <v/>
      </c>
      <c r="N54" s="19" t="str">
        <f>IF(OR('01_인적정보'!B54="",'06_직무역량평가'!J112=""),"",'06_직무역량평가'!J112)</f>
        <v/>
      </c>
      <c r="O54" s="52" t="str">
        <f>IFERROR(IF(AND(LEN(M54)&gt;0,LEN(N54)&gt;0),'02_의사결정·종합결과'!$B$7*IFERROR(CHOOSE(FIND(M54,"DCBAS"),1,2,3,4,5),0)+'02_의사결정·종합결과'!$B$8*IFERROR(CHOOSE(FIND(N54,"DCBAS"),1,2,3,4,5),0),IF(LEN(M54)&gt;0,IFERROR(CHOOSE(FIND(M54,"DCBAS"),1,2,3,4,5),0),IF(LEN(N54)&gt;0,IFERROR(CHOOSE(FIND(N54,"DCBAS"),1,2,3,4,5),0),""))),"")</f>
        <v/>
      </c>
      <c r="S54" s="64" t="str">
        <f t="shared" si="2"/>
        <v/>
      </c>
      <c r="T54" s="53" t="str">
        <f t="shared" si="3"/>
        <v/>
      </c>
      <c r="U54" s="65" t="str">
        <f>IF(OR(S54="",NOT(ISNUMBER(S54)),S54&lt;0.5),"",IF('02_의사결정·종합결과'!$B$6="절대평가",T54,IF(IFERROR(RANK(S54,$S$6:$S$55,0)/MAX(COUNTIF($S$6:$S$55,"&gt;0"),1),0)&lt;='02_의사결정·종합결과'!$B$11,"S",IF(IFERROR(RANK(S54,$S$6:$S$55,0)/MAX(COUNTIF($S$6:$S$55,"&gt;0"),1),0)&lt;='02_의사결정·종합결과'!$B$11+'02_의사결정·종합결과'!$C$11,"A",IF(IFERROR(RANK(S54,$S$6:$S$55,0)/MAX(COUNTIF($S$6:$S$55,"&gt;0"),1),0)&lt;='02_의사결정·종합결과'!$B$11+'02_의사결정·종합결과'!$C$11+'02_의사결정·종합결과'!$D$11,"B",IF(IFERROR(RANK(S54,$S$6:$S$55,0)/MAX(COUNTIF($S$6:$S$55,"&gt;0"),1),0)&lt;='02_의사결정·종합결과'!$B$11+'02_의사결정·종합결과'!$C$11+'02_의사결정·종합결과'!$D$11+'02_의사결정·종합결과'!$E$11,"C","D"))))))</f>
        <v/>
      </c>
    </row>
    <row r="55" spans="7:21" ht="20.25" customHeight="1">
      <c r="G55" s="19" t="str">
        <f>IF(OR('01_인적정보'!B55="",'04_역할평가'!I55=""),"",'04_역할평가'!I55)</f>
        <v/>
      </c>
      <c r="H55" s="19" t="str">
        <f>IF(OR('01_인적정보'!B55="",'04_역할평가'!I113=""),"",'04_역할평가'!I113)</f>
        <v/>
      </c>
      <c r="I55" s="52" t="str">
        <f>IFERROR(IF(AND(LEN(G55)&gt;0,LEN(H55)&gt;0),'02_의사결정·종합결과'!$B$7*IFERROR(CHOOSE(FIND(G55,"DCBAS"),1,2,3,4,5),0)+'02_의사결정·종합결과'!$B$8*IFERROR(CHOOSE(FIND(H55,"DCBAS"),1,2,3,4,5),0),IF(LEN(G55)&gt;0,IFERROR(CHOOSE(FIND(G55,"DCBAS"),1,2,3,4,5),0),IF(LEN(H55)&gt;0,IFERROR(CHOOSE(FIND(H55,"DCBAS"),1,2,3,4,5),0),""))),"")</f>
        <v/>
      </c>
      <c r="J55" s="19" t="str">
        <f>IF(OR('01_인적정보'!B55="",'05_공통역량평가'!I55=""),"",'05_공통역량평가'!I55)</f>
        <v/>
      </c>
      <c r="K55" s="19" t="str">
        <f>IF(OR('01_인적정보'!B55="",'05_공통역량평가'!I113=""),"",'05_공통역량평가'!I113)</f>
        <v/>
      </c>
      <c r="L55" s="52" t="str">
        <f>IFERROR(IF(AND(LEN(J55)&gt;0,LEN(K55)&gt;0),'02_의사결정·종합결과'!$B$7*IFERROR(CHOOSE(FIND(J55,"DCBAS"),1,2,3,4,5),0)+'02_의사결정·종합결과'!$B$8*IFERROR(CHOOSE(FIND(K55,"DCBAS"),1,2,3,4,5),0),IF(LEN(J55)&gt;0,IFERROR(CHOOSE(FIND(J55,"DCBAS"),1,2,3,4,5),0),IF(LEN(K55)&gt;0,IFERROR(CHOOSE(FIND(K55,"DCBAS"),1,2,3,4,5),0),""))),"")</f>
        <v/>
      </c>
      <c r="M55" s="19" t="str">
        <f>IF(OR('01_인적정보'!B55="",'06_직무역량평가'!J55=""),"",'06_직무역량평가'!J55)</f>
        <v/>
      </c>
      <c r="N55" s="19" t="str">
        <f>IF(OR('01_인적정보'!B55="",'06_직무역량평가'!J113=""),"",'06_직무역량평가'!J113)</f>
        <v/>
      </c>
      <c r="O55" s="52" t="str">
        <f>IFERROR(IF(AND(LEN(M55)&gt;0,LEN(N55)&gt;0),'02_의사결정·종합결과'!$B$7*IFERROR(CHOOSE(FIND(M55,"DCBAS"),1,2,3,4,5),0)+'02_의사결정·종합결과'!$B$8*IFERROR(CHOOSE(FIND(N55,"DCBAS"),1,2,3,4,5),0),IF(LEN(M55)&gt;0,IFERROR(CHOOSE(FIND(M55,"DCBAS"),1,2,3,4,5),0),IF(LEN(N55)&gt;0,IFERROR(CHOOSE(FIND(N55,"DCBAS"),1,2,3,4,5),0),""))),"")</f>
        <v/>
      </c>
      <c r="S55" s="64" t="str">
        <f t="shared" si="2"/>
        <v/>
      </c>
      <c r="T55" s="53" t="str">
        <f t="shared" si="3"/>
        <v/>
      </c>
      <c r="U55" s="65" t="str">
        <f>IF(OR(S55="",NOT(ISNUMBER(S55)),S55&lt;0.5),"",IF('02_의사결정·종합결과'!$B$6="절대평가",T55,IF(IFERROR(RANK(S55,$S$6:$S$55,0)/MAX(COUNTIF($S$6:$S$55,"&gt;0"),1),0)&lt;='02_의사결정·종합결과'!$B$11,"S",IF(IFERROR(RANK(S55,$S$6:$S$55,0)/MAX(COUNTIF($S$6:$S$55,"&gt;0"),1),0)&lt;='02_의사결정·종합결과'!$B$11+'02_의사결정·종합결과'!$C$11,"A",IF(IFERROR(RANK(S55,$S$6:$S$55,0)/MAX(COUNTIF($S$6:$S$55,"&gt;0"),1),0)&lt;='02_의사결정·종합결과'!$B$11+'02_의사결정·종합결과'!$C$11+'02_의사결정·종합결과'!$D$11,"B",IF(IFERROR(RANK(S55,$S$6:$S$55,0)/MAX(COUNTIF($S$6:$S$55,"&gt;0"),1),0)&lt;='02_의사결정·종합결과'!$B$11+'02_의사결정·종합결과'!$C$11+'02_의사결정·종합결과'!$D$11+'02_의사결정·종합결과'!$E$11,"C","D"))))))</f>
        <v/>
      </c>
    </row>
  </sheetData>
  <mergeCells count="2">
    <mergeCell ref="A1:V1"/>
    <mergeCell ref="A2:V2"/>
  </mergeCells>
  <phoneticPr fontId="28" type="noConversion"/>
  <conditionalFormatting sqref="G6:U39">
    <cfRule type="cellIs" dxfId="43" priority="2" operator="equal">
      <formula>"S"</formula>
    </cfRule>
    <cfRule type="cellIs" dxfId="42" priority="3" operator="equal">
      <formula>"A"</formula>
    </cfRule>
    <cfRule type="cellIs" dxfId="41" priority="4" operator="equal">
      <formula>"C"</formula>
    </cfRule>
    <cfRule type="cellIs" dxfId="40" priority="5" operator="equal">
      <formula>"D"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Q4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P6" sqref="P6"/>
    </sheetView>
  </sheetViews>
  <sheetFormatPr defaultColWidth="8.5625" defaultRowHeight="16.899999999999999"/>
  <cols>
    <col min="1" max="1" width="4" customWidth="1"/>
    <col min="2" max="2" width="9" customWidth="1"/>
    <col min="3" max="3" width="8" customWidth="1"/>
    <col min="4" max="7" width="15.5625" customWidth="1"/>
    <col min="8" max="15" width="10.5625" customWidth="1"/>
    <col min="16" max="16" width="14.9375" bestFit="1" customWidth="1"/>
    <col min="17" max="17" width="10.5625" customWidth="1"/>
  </cols>
  <sheetData>
    <row r="1" spans="1:17" ht="27.75" customHeight="1">
      <c r="A1" s="111" t="s">
        <v>422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7" ht="16.5" customHeight="1">
      <c r="A2" s="124" t="s">
        <v>423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5" spans="1:17" ht="31.5" customHeight="1">
      <c r="A5" s="50" t="s">
        <v>145</v>
      </c>
      <c r="B5" s="51" t="s">
        <v>146</v>
      </c>
      <c r="C5" s="51" t="s">
        <v>147</v>
      </c>
      <c r="D5" s="51" t="s">
        <v>148</v>
      </c>
      <c r="E5" s="51" t="s">
        <v>150</v>
      </c>
      <c r="F5" s="51" t="s">
        <v>152</v>
      </c>
      <c r="G5" s="51" t="s">
        <v>424</v>
      </c>
      <c r="H5" s="51" t="s">
        <v>420</v>
      </c>
      <c r="I5" s="51" t="s">
        <v>425</v>
      </c>
      <c r="J5" s="51" t="s">
        <v>426</v>
      </c>
      <c r="K5" s="51" t="s">
        <v>427</v>
      </c>
      <c r="L5" s="51" t="s">
        <v>428</v>
      </c>
      <c r="M5" s="51" t="s">
        <v>429</v>
      </c>
      <c r="N5" s="51" t="s">
        <v>430</v>
      </c>
      <c r="O5" s="51" t="s">
        <v>431</v>
      </c>
      <c r="P5" s="51" t="s">
        <v>432</v>
      </c>
      <c r="Q5" s="51" t="s">
        <v>433</v>
      </c>
    </row>
    <row r="6" spans="1:17" ht="21.75" customHeight="1">
      <c r="A6" s="4">
        <f>'01_인적정보'!A6</f>
        <v>1</v>
      </c>
      <c r="B6" s="4" t="str">
        <f>'01_인적정보'!B6</f>
        <v>BSS-001</v>
      </c>
      <c r="C6" s="13" t="str">
        <f>'01_인적정보'!C6</f>
        <v>OOO</v>
      </c>
      <c r="D6" s="13" t="str">
        <f>'01_인적정보'!D6</f>
        <v>영업</v>
      </c>
      <c r="E6" s="13" t="str">
        <f>'01_인적정보'!F6</f>
        <v>스마트사업부</v>
      </c>
      <c r="F6" s="40" t="str">
        <f>'01_인적정보'!H6</f>
        <v>G6</v>
      </c>
      <c r="G6" s="66">
        <f>'01_인적정보'!K6</f>
        <v>72500000</v>
      </c>
      <c r="H6" s="53" t="str">
        <f>'08_종합평가'!U6</f>
        <v>B</v>
      </c>
      <c r="I6" s="47">
        <f>IF(H6="","",IF(H6="S",'02_의사결정·종합결과'!$B$26,IF(H6="A",'02_의사결정·종합결과'!$C$26,IF(H6="B",'02_의사결정·종합결과'!$D$26,IF(H6="C",'02_의사결정·종합결과'!$E$26,'02_의사결정·종합결과'!$F$26)))))</f>
        <v>0.04</v>
      </c>
      <c r="J6" s="25" t="s">
        <v>434</v>
      </c>
      <c r="K6" s="47">
        <f>IF(J6="Y",'02_의사결정·종합결과'!$B$28,0)</f>
        <v>0</v>
      </c>
      <c r="L6" s="67">
        <f t="shared" ref="L6:L39" si="0">IF(I6="","",I6+K6)</f>
        <v>0.04</v>
      </c>
      <c r="M6" s="68">
        <f>IFERROR(VLOOKUP(F6,'02_의사결정·종합결과'!$A$32:$D$38,2,FALSE()),"")</f>
        <v>58000000</v>
      </c>
      <c r="N6" s="68">
        <f>IFERROR(VLOOKUP(F6,'02_의사결정·종합결과'!$A$32:$D$38,4,FALSE()),"")</f>
        <v>80000000</v>
      </c>
      <c r="O6" s="68">
        <f t="shared" ref="O6:O39" si="1">IF(L6="","",ROUND(G6*(1+L6),-4))</f>
        <v>75400000</v>
      </c>
      <c r="P6" s="69">
        <f t="shared" ref="P6:P39" si="2">O6</f>
        <v>75400000</v>
      </c>
      <c r="Q6" s="68">
        <f t="shared" ref="Q6:Q39" si="3">IF(P6="","",P6-G6)</f>
        <v>2900000</v>
      </c>
    </row>
    <row r="7" spans="1:17" ht="21.75" customHeight="1">
      <c r="A7" s="4">
        <f>'01_인적정보'!A7</f>
        <v>2</v>
      </c>
      <c r="B7" s="4" t="str">
        <f>'01_인적정보'!B7</f>
        <v>BSS-002</v>
      </c>
      <c r="C7" s="13" t="str">
        <f>'01_인적정보'!C7</f>
        <v>OOO</v>
      </c>
      <c r="D7" s="13" t="str">
        <f>'01_인적정보'!D7</f>
        <v>연구&amp;개발</v>
      </c>
      <c r="E7" s="13" t="str">
        <f>'01_인적정보'!F7</f>
        <v>R&amp;D본부</v>
      </c>
      <c r="F7" s="40" t="str">
        <f>'01_인적정보'!H7</f>
        <v>G6</v>
      </c>
      <c r="G7" s="66">
        <f>'01_인적정보'!K7</f>
        <v>68870000</v>
      </c>
      <c r="H7" s="53" t="str">
        <f>'08_종합평가'!U7</f>
        <v>B</v>
      </c>
      <c r="I7" s="47">
        <f>IF(H7="","",IF(H7="S",'02_의사결정·종합결과'!$B$26,IF(H7="A",'02_의사결정·종합결과'!$C$26,IF(H7="B",'02_의사결정·종합결과'!$D$26,IF(H7="C",'02_의사결정·종합결과'!$E$26,'02_의사결정·종합결과'!$F$26)))))</f>
        <v>0.04</v>
      </c>
      <c r="J7" s="25" t="s">
        <v>434</v>
      </c>
      <c r="K7" s="47">
        <f>IF(J7="Y",'02_의사결정·종합결과'!$B$28,0)</f>
        <v>0</v>
      </c>
      <c r="L7" s="67">
        <f t="shared" si="0"/>
        <v>0.04</v>
      </c>
      <c r="M7" s="68">
        <f>IFERROR(VLOOKUP(F7,'02_의사결정·종합결과'!$A$32:$D$38,2,FALSE()),"")</f>
        <v>58000000</v>
      </c>
      <c r="N7" s="68">
        <f>IFERROR(VLOOKUP(F7,'02_의사결정·종합결과'!$A$32:$D$38,4,FALSE()),"")</f>
        <v>80000000</v>
      </c>
      <c r="O7" s="68">
        <f t="shared" si="1"/>
        <v>71620000</v>
      </c>
      <c r="P7" s="69">
        <f t="shared" si="2"/>
        <v>71620000</v>
      </c>
      <c r="Q7" s="68">
        <f t="shared" si="3"/>
        <v>2750000</v>
      </c>
    </row>
    <row r="8" spans="1:17" ht="21.75" customHeight="1">
      <c r="A8" s="4">
        <f>'01_인적정보'!A8</f>
        <v>3</v>
      </c>
      <c r="B8" s="4" t="str">
        <f>'01_인적정보'!B8</f>
        <v>BSS-003</v>
      </c>
      <c r="C8" s="13" t="str">
        <f>'01_인적정보'!C8</f>
        <v>OOO</v>
      </c>
      <c r="D8" s="13" t="str">
        <f>'01_인적정보'!D8</f>
        <v>설계</v>
      </c>
      <c r="E8" s="13" t="str">
        <f>'01_인적정보'!F8</f>
        <v>컨설팅본부</v>
      </c>
      <c r="F8" s="40" t="str">
        <f>'01_인적정보'!H8</f>
        <v>G6</v>
      </c>
      <c r="G8" s="66">
        <f>'01_인적정보'!K8</f>
        <v>67500000</v>
      </c>
      <c r="H8" s="53" t="str">
        <f>'08_종합평가'!U8</f>
        <v>B</v>
      </c>
      <c r="I8" s="47">
        <f>IF(H8="","",IF(H8="S",'02_의사결정·종합결과'!$B$26,IF(H8="A",'02_의사결정·종합결과'!$C$26,IF(H8="B",'02_의사결정·종합결과'!$D$26,IF(H8="C",'02_의사결정·종합결과'!$E$26,'02_의사결정·종합결과'!$F$26)))))</f>
        <v>0.04</v>
      </c>
      <c r="J8" s="25" t="s">
        <v>434</v>
      </c>
      <c r="K8" s="47">
        <f>IF(J8="Y",'02_의사결정·종합결과'!$B$28,0)</f>
        <v>0</v>
      </c>
      <c r="L8" s="67">
        <f t="shared" si="0"/>
        <v>0.04</v>
      </c>
      <c r="M8" s="68">
        <f>IFERROR(VLOOKUP(F8,'02_의사결정·종합결과'!$A$32:$D$38,2,FALSE()),"")</f>
        <v>58000000</v>
      </c>
      <c r="N8" s="68">
        <f>IFERROR(VLOOKUP(F8,'02_의사결정·종합결과'!$A$32:$D$38,4,FALSE()),"")</f>
        <v>80000000</v>
      </c>
      <c r="O8" s="68">
        <f t="shared" si="1"/>
        <v>70200000</v>
      </c>
      <c r="P8" s="69">
        <f t="shared" si="2"/>
        <v>70200000</v>
      </c>
      <c r="Q8" s="68">
        <f t="shared" si="3"/>
        <v>2700000</v>
      </c>
    </row>
    <row r="9" spans="1:17" ht="21.75" customHeight="1">
      <c r="A9" s="4">
        <f>'01_인적정보'!A9</f>
        <v>4</v>
      </c>
      <c r="B9" s="4" t="str">
        <f>'01_인적정보'!B9</f>
        <v>BSS-004</v>
      </c>
      <c r="C9" s="13" t="str">
        <f>'01_인적정보'!C9</f>
        <v>OOO</v>
      </c>
      <c r="D9" s="13" t="str">
        <f>'01_인적정보'!D9</f>
        <v>경영관리</v>
      </c>
      <c r="E9" s="13" t="str">
        <f>'01_인적정보'!F9</f>
        <v>경영전략실</v>
      </c>
      <c r="F9" s="40" t="str">
        <f>'01_인적정보'!H9</f>
        <v>G6</v>
      </c>
      <c r="G9" s="66">
        <f>'01_인적정보'!K9</f>
        <v>64530000</v>
      </c>
      <c r="H9" s="53" t="str">
        <f>'08_종합평가'!U9</f>
        <v>B</v>
      </c>
      <c r="I9" s="47">
        <f>IF(H9="","",IF(H9="S",'02_의사결정·종합결과'!$B$26,IF(H9="A",'02_의사결정·종합결과'!$C$26,IF(H9="B",'02_의사결정·종합결과'!$D$26,IF(H9="C",'02_의사결정·종합결과'!$E$26,'02_의사결정·종합결과'!$F$26)))))</f>
        <v>0.04</v>
      </c>
      <c r="J9" s="25" t="s">
        <v>434</v>
      </c>
      <c r="K9" s="47">
        <f>IF(J9="Y",'02_의사결정·종합결과'!$B$28,0)</f>
        <v>0</v>
      </c>
      <c r="L9" s="67">
        <f t="shared" si="0"/>
        <v>0.04</v>
      </c>
      <c r="M9" s="68">
        <f>IFERROR(VLOOKUP(F9,'02_의사결정·종합결과'!$A$32:$D$38,2,FALSE()),"")</f>
        <v>58000000</v>
      </c>
      <c r="N9" s="68">
        <f>IFERROR(VLOOKUP(F9,'02_의사결정·종합결과'!$A$32:$D$38,4,FALSE()),"")</f>
        <v>80000000</v>
      </c>
      <c r="O9" s="68">
        <f t="shared" si="1"/>
        <v>67110000</v>
      </c>
      <c r="P9" s="69">
        <f t="shared" si="2"/>
        <v>67110000</v>
      </c>
      <c r="Q9" s="68">
        <f t="shared" si="3"/>
        <v>2580000</v>
      </c>
    </row>
    <row r="10" spans="1:17" ht="21.75" customHeight="1">
      <c r="A10" s="4">
        <f>'01_인적정보'!A10</f>
        <v>5</v>
      </c>
      <c r="B10" s="4" t="str">
        <f>'01_인적정보'!B10</f>
        <v>BSS-005</v>
      </c>
      <c r="C10" s="13" t="str">
        <f>'01_인적정보'!C10</f>
        <v>OOO</v>
      </c>
      <c r="D10" s="13" t="str">
        <f>'01_인적정보'!D10</f>
        <v>경영관리</v>
      </c>
      <c r="E10" s="13" t="str">
        <f>'01_인적정보'!F10</f>
        <v>경영전략실</v>
      </c>
      <c r="F10" s="40" t="str">
        <f>'01_인적정보'!H10</f>
        <v>G6</v>
      </c>
      <c r="G10" s="66">
        <f>'01_인적정보'!K10</f>
        <v>65180000</v>
      </c>
      <c r="H10" s="53" t="str">
        <f>'08_종합평가'!U10</f>
        <v>B</v>
      </c>
      <c r="I10" s="47">
        <f>IF(H10="","",IF(H10="S",'02_의사결정·종합결과'!$B$26,IF(H10="A",'02_의사결정·종합결과'!$C$26,IF(H10="B",'02_의사결정·종합결과'!$D$26,IF(H10="C",'02_의사결정·종합결과'!$E$26,'02_의사결정·종합결과'!$F$26)))))</f>
        <v>0.04</v>
      </c>
      <c r="J10" s="25" t="s">
        <v>434</v>
      </c>
      <c r="K10" s="47">
        <f>IF(J10="Y",'02_의사결정·종합결과'!$B$28,0)</f>
        <v>0</v>
      </c>
      <c r="L10" s="67">
        <f t="shared" si="0"/>
        <v>0.04</v>
      </c>
      <c r="M10" s="68">
        <f>IFERROR(VLOOKUP(F10,'02_의사결정·종합결과'!$A$32:$D$38,2,FALSE()),"")</f>
        <v>58000000</v>
      </c>
      <c r="N10" s="68">
        <f>IFERROR(VLOOKUP(F10,'02_의사결정·종합결과'!$A$32:$D$38,4,FALSE()),"")</f>
        <v>80000000</v>
      </c>
      <c r="O10" s="68">
        <f t="shared" si="1"/>
        <v>67790000</v>
      </c>
      <c r="P10" s="69">
        <f t="shared" si="2"/>
        <v>67790000</v>
      </c>
      <c r="Q10" s="68">
        <f t="shared" si="3"/>
        <v>2610000</v>
      </c>
    </row>
    <row r="11" spans="1:17" ht="21.75" customHeight="1">
      <c r="A11" s="4">
        <f>'01_인적정보'!A11</f>
        <v>6</v>
      </c>
      <c r="B11" s="4" t="str">
        <f>'01_인적정보'!B11</f>
        <v>BSS-006</v>
      </c>
      <c r="C11" s="13" t="str">
        <f>'01_인적정보'!C11</f>
        <v>OOO</v>
      </c>
      <c r="D11" s="13" t="str">
        <f>'01_인적정보'!D11</f>
        <v>경영관리</v>
      </c>
      <c r="E11" s="13" t="str">
        <f>'01_인적정보'!F11</f>
        <v>경영전략실</v>
      </c>
      <c r="F11" s="40" t="str">
        <f>'01_인적정보'!H11</f>
        <v>G6</v>
      </c>
      <c r="G11" s="66">
        <f>'01_인적정보'!K11</f>
        <v>62000000</v>
      </c>
      <c r="H11" s="53" t="str">
        <f>'08_종합평가'!U11</f>
        <v>D</v>
      </c>
      <c r="I11" s="47">
        <f>IF(H11="","",IF(H11="S",'02_의사결정·종합결과'!$B$26,IF(H11="A",'02_의사결정·종합결과'!$C$26,IF(H11="B",'02_의사결정·종합결과'!$D$26,IF(H11="C",'02_의사결정·종합결과'!$E$26,'02_의사결정·종합결과'!$F$26)))))</f>
        <v>0.02</v>
      </c>
      <c r="J11" s="25" t="s">
        <v>434</v>
      </c>
      <c r="K11" s="47">
        <f>IF(J11="Y",'02_의사결정·종합결과'!$B$28,0)</f>
        <v>0</v>
      </c>
      <c r="L11" s="67">
        <f t="shared" si="0"/>
        <v>0.02</v>
      </c>
      <c r="M11" s="68">
        <f>IFERROR(VLOOKUP(F11,'02_의사결정·종합결과'!$A$32:$D$38,2,FALSE()),"")</f>
        <v>58000000</v>
      </c>
      <c r="N11" s="68">
        <f>IFERROR(VLOOKUP(F11,'02_의사결정·종합결과'!$A$32:$D$38,4,FALSE()),"")</f>
        <v>80000000</v>
      </c>
      <c r="O11" s="68">
        <f t="shared" si="1"/>
        <v>63240000</v>
      </c>
      <c r="P11" s="69">
        <f t="shared" si="2"/>
        <v>63240000</v>
      </c>
      <c r="Q11" s="68">
        <f t="shared" si="3"/>
        <v>1240000</v>
      </c>
    </row>
    <row r="12" spans="1:17" ht="21.75" customHeight="1">
      <c r="A12" s="4">
        <f>'01_인적정보'!A12</f>
        <v>7</v>
      </c>
      <c r="B12" s="4" t="str">
        <f>'01_인적정보'!B12</f>
        <v>BSS-007</v>
      </c>
      <c r="C12" s="13" t="str">
        <f>'01_인적정보'!C12</f>
        <v>OOO</v>
      </c>
      <c r="D12" s="13" t="str">
        <f>'01_인적정보'!D12</f>
        <v>교육 및 기술지원</v>
      </c>
      <c r="E12" s="13" t="str">
        <f>'01_인적정보'!F12</f>
        <v>솔루션본부</v>
      </c>
      <c r="F12" s="40" t="str">
        <f>'01_인적정보'!H12</f>
        <v>G5-M</v>
      </c>
      <c r="G12" s="66">
        <f>'01_인적정보'!K12</f>
        <v>59700000</v>
      </c>
      <c r="H12" s="53" t="str">
        <f>'08_종합평가'!U12</f>
        <v>B</v>
      </c>
      <c r="I12" s="47">
        <f>IF(H12="","",IF(H12="S",'02_의사결정·종합결과'!$B$26,IF(H12="A",'02_의사결정·종합결과'!$C$26,IF(H12="B",'02_의사결정·종합결과'!$D$26,IF(H12="C",'02_의사결정·종합결과'!$E$26,'02_의사결정·종합결과'!$F$26)))))</f>
        <v>0.04</v>
      </c>
      <c r="J12" s="25" t="s">
        <v>434</v>
      </c>
      <c r="K12" s="47">
        <f>IF(J12="Y",'02_의사결정·종합결과'!$B$28,0)</f>
        <v>0</v>
      </c>
      <c r="L12" s="67">
        <f t="shared" si="0"/>
        <v>0.04</v>
      </c>
      <c r="M12" s="68">
        <f>IFERROR(VLOOKUP(F12,'02_의사결정·종합결과'!$A$32:$D$38,2,FALSE()),"")</f>
        <v>53000000</v>
      </c>
      <c r="N12" s="68">
        <f>IFERROR(VLOOKUP(F12,'02_의사결정·종합결과'!$A$32:$D$38,4,FALSE()),"")</f>
        <v>73000000</v>
      </c>
      <c r="O12" s="68">
        <f t="shared" si="1"/>
        <v>62090000</v>
      </c>
      <c r="P12" s="69">
        <f t="shared" si="2"/>
        <v>62090000</v>
      </c>
      <c r="Q12" s="68">
        <f t="shared" si="3"/>
        <v>2390000</v>
      </c>
    </row>
    <row r="13" spans="1:17" ht="21.75" customHeight="1">
      <c r="A13" s="4">
        <f>'01_인적정보'!A13</f>
        <v>8</v>
      </c>
      <c r="B13" s="4" t="str">
        <f>'01_인적정보'!B13</f>
        <v>BSS-008</v>
      </c>
      <c r="C13" s="13" t="str">
        <f>'01_인적정보'!C13</f>
        <v>OOO</v>
      </c>
      <c r="D13" s="13" t="str">
        <f>'01_인적정보'!D13</f>
        <v>교육 및 기술지원</v>
      </c>
      <c r="E13" s="13" t="str">
        <f>'01_인적정보'!F13</f>
        <v>솔루션본부</v>
      </c>
      <c r="F13" s="40" t="str">
        <f>'01_인적정보'!H13</f>
        <v>G5-M</v>
      </c>
      <c r="G13" s="66">
        <f>'01_인적정보'!K13</f>
        <v>59050000</v>
      </c>
      <c r="H13" s="53" t="str">
        <f>'08_종합평가'!U13</f>
        <v>C</v>
      </c>
      <c r="I13" s="47">
        <f>IF(H13="","",IF(H13="S",'02_의사결정·종합결과'!$B$26,IF(H13="A",'02_의사결정·종합결과'!$C$26,IF(H13="B",'02_의사결정·종합결과'!$D$26,IF(H13="C",'02_의사결정·종합결과'!$E$26,'02_의사결정·종합결과'!$F$26)))))</f>
        <v>0.03</v>
      </c>
      <c r="J13" s="25" t="s">
        <v>434</v>
      </c>
      <c r="K13" s="47">
        <f>IF(J13="Y",'02_의사결정·종합결과'!$B$28,0)</f>
        <v>0</v>
      </c>
      <c r="L13" s="67">
        <f t="shared" si="0"/>
        <v>0.03</v>
      </c>
      <c r="M13" s="68">
        <f>IFERROR(VLOOKUP(F13,'02_의사결정·종합결과'!$A$32:$D$38,2,FALSE()),"")</f>
        <v>53000000</v>
      </c>
      <c r="N13" s="68">
        <f>IFERROR(VLOOKUP(F13,'02_의사결정·종합결과'!$A$32:$D$38,4,FALSE()),"")</f>
        <v>73000000</v>
      </c>
      <c r="O13" s="68">
        <f t="shared" si="1"/>
        <v>60820000</v>
      </c>
      <c r="P13" s="69">
        <f t="shared" si="2"/>
        <v>60820000</v>
      </c>
      <c r="Q13" s="68">
        <f t="shared" si="3"/>
        <v>1770000</v>
      </c>
    </row>
    <row r="14" spans="1:17" ht="21.75" customHeight="1">
      <c r="A14" s="4">
        <f>'01_인적정보'!A14</f>
        <v>9</v>
      </c>
      <c r="B14" s="4" t="str">
        <f>'01_인적정보'!B14</f>
        <v>BSS-009</v>
      </c>
      <c r="C14" s="13" t="str">
        <f>'01_인적정보'!C14</f>
        <v>OOO</v>
      </c>
      <c r="D14" s="13" t="str">
        <f>'01_인적정보'!D14</f>
        <v>설계</v>
      </c>
      <c r="E14" s="13" t="str">
        <f>'01_인적정보'!F14</f>
        <v>컨설팅본부</v>
      </c>
      <c r="F14" s="40" t="str">
        <f>'01_인적정보'!H14</f>
        <v>G5-M</v>
      </c>
      <c r="G14" s="66">
        <f>'01_인적정보'!K14</f>
        <v>59050000</v>
      </c>
      <c r="H14" s="53" t="str">
        <f>'08_종합평가'!U14</f>
        <v>A</v>
      </c>
      <c r="I14" s="47">
        <f>IF(H14="","",IF(H14="S",'02_의사결정·종합결과'!$B$26,IF(H14="A",'02_의사결정·종합결과'!$C$26,IF(H14="B",'02_의사결정·종합결과'!$D$26,IF(H14="C",'02_의사결정·종합결과'!$E$26,'02_의사결정·종합결과'!$F$26)))))</f>
        <v>0.05</v>
      </c>
      <c r="J14" s="25" t="s">
        <v>434</v>
      </c>
      <c r="K14" s="47">
        <f>IF(J14="Y",'02_의사결정·종합결과'!$B$28,0)</f>
        <v>0</v>
      </c>
      <c r="L14" s="67">
        <f t="shared" si="0"/>
        <v>0.05</v>
      </c>
      <c r="M14" s="68">
        <f>IFERROR(VLOOKUP(F14,'02_의사결정·종합결과'!$A$32:$D$38,2,FALSE()),"")</f>
        <v>53000000</v>
      </c>
      <c r="N14" s="68">
        <f>IFERROR(VLOOKUP(F14,'02_의사결정·종합결과'!$A$32:$D$38,4,FALSE()),"")</f>
        <v>73000000</v>
      </c>
      <c r="O14" s="68">
        <f t="shared" si="1"/>
        <v>62000000</v>
      </c>
      <c r="P14" s="69">
        <f t="shared" si="2"/>
        <v>62000000</v>
      </c>
      <c r="Q14" s="68">
        <f t="shared" si="3"/>
        <v>2950000</v>
      </c>
    </row>
    <row r="15" spans="1:17" ht="21.75" customHeight="1">
      <c r="A15" s="4">
        <f>'01_인적정보'!A15</f>
        <v>10</v>
      </c>
      <c r="B15" s="4" t="str">
        <f>'01_인적정보'!B15</f>
        <v>BSS-010</v>
      </c>
      <c r="C15" s="13" t="str">
        <f>'01_인적정보'!C15</f>
        <v>OOO</v>
      </c>
      <c r="D15" s="13" t="str">
        <f>'01_인적정보'!D15</f>
        <v>설계</v>
      </c>
      <c r="E15" s="13" t="str">
        <f>'01_인적정보'!F15</f>
        <v>컨설팅본부</v>
      </c>
      <c r="F15" s="40" t="str">
        <f>'01_인적정보'!H15</f>
        <v>G5-S</v>
      </c>
      <c r="G15" s="66">
        <f>'01_인적정보'!K15</f>
        <v>59050000</v>
      </c>
      <c r="H15" s="53" t="str">
        <f>'08_종합평가'!U15</f>
        <v>B</v>
      </c>
      <c r="I15" s="47">
        <f>IF(H15="","",IF(H15="S",'02_의사결정·종합결과'!$B$26,IF(H15="A",'02_의사결정·종합결과'!$C$26,IF(H15="B",'02_의사결정·종합결과'!$D$26,IF(H15="C",'02_의사결정·종합결과'!$E$26,'02_의사결정·종합결과'!$F$26)))))</f>
        <v>0.04</v>
      </c>
      <c r="J15" s="25" t="s">
        <v>434</v>
      </c>
      <c r="K15" s="47">
        <f>IF(J15="Y",'02_의사결정·종합결과'!$B$28,0)</f>
        <v>0</v>
      </c>
      <c r="L15" s="67">
        <f t="shared" si="0"/>
        <v>0.04</v>
      </c>
      <c r="M15" s="68">
        <f>IFERROR(VLOOKUP(F15,'02_의사결정·종합결과'!$A$32:$D$38,2,FALSE()),"")</f>
        <v>53000000</v>
      </c>
      <c r="N15" s="68">
        <f>IFERROR(VLOOKUP(F15,'02_의사결정·종합결과'!$A$32:$D$38,4,FALSE()),"")</f>
        <v>73000000</v>
      </c>
      <c r="O15" s="68">
        <f t="shared" si="1"/>
        <v>61410000</v>
      </c>
      <c r="P15" s="69">
        <f t="shared" si="2"/>
        <v>61410000</v>
      </c>
      <c r="Q15" s="68">
        <f t="shared" si="3"/>
        <v>2360000</v>
      </c>
    </row>
    <row r="16" spans="1:17" ht="21.75" customHeight="1">
      <c r="A16" s="4">
        <f>'01_인적정보'!A16</f>
        <v>11</v>
      </c>
      <c r="B16" s="4" t="str">
        <f>'01_인적정보'!B16</f>
        <v>BSS-011</v>
      </c>
      <c r="C16" s="13" t="str">
        <f>'01_인적정보'!C16</f>
        <v>OOO</v>
      </c>
      <c r="D16" s="13" t="str">
        <f>'01_인적정보'!D16</f>
        <v>설계</v>
      </c>
      <c r="E16" s="13" t="str">
        <f>'01_인적정보'!F16</f>
        <v>컨설팅본부</v>
      </c>
      <c r="F16" s="40" t="str">
        <f>'01_인적정보'!H16</f>
        <v>G5-S</v>
      </c>
      <c r="G16" s="66">
        <f>'01_인적정보'!K16</f>
        <v>57760000</v>
      </c>
      <c r="H16" s="53" t="str">
        <f>'08_종합평가'!U16</f>
        <v>C</v>
      </c>
      <c r="I16" s="47">
        <f>IF(H16="","",IF(H16="S",'02_의사결정·종합결과'!$B$26,IF(H16="A",'02_의사결정·종합결과'!$C$26,IF(H16="B",'02_의사결정·종합결과'!$D$26,IF(H16="C",'02_의사결정·종합결과'!$E$26,'02_의사결정·종합결과'!$F$26)))))</f>
        <v>0.03</v>
      </c>
      <c r="J16" s="25" t="s">
        <v>434</v>
      </c>
      <c r="K16" s="47">
        <f>IF(J16="Y",'02_의사결정·종합결과'!$B$28,0)</f>
        <v>0</v>
      </c>
      <c r="L16" s="67">
        <f t="shared" si="0"/>
        <v>0.03</v>
      </c>
      <c r="M16" s="68">
        <f>IFERROR(VLOOKUP(F16,'02_의사결정·종합결과'!$A$32:$D$38,2,FALSE()),"")</f>
        <v>53000000</v>
      </c>
      <c r="N16" s="68">
        <f>IFERROR(VLOOKUP(F16,'02_의사결정·종합결과'!$A$32:$D$38,4,FALSE()),"")</f>
        <v>73000000</v>
      </c>
      <c r="O16" s="68">
        <f t="shared" si="1"/>
        <v>59490000</v>
      </c>
      <c r="P16" s="69">
        <f t="shared" si="2"/>
        <v>59490000</v>
      </c>
      <c r="Q16" s="68">
        <f t="shared" si="3"/>
        <v>1730000</v>
      </c>
    </row>
    <row r="17" spans="1:17" ht="21.75" customHeight="1">
      <c r="A17" s="4">
        <f>'01_인적정보'!A17</f>
        <v>12</v>
      </c>
      <c r="B17" s="4" t="str">
        <f>'01_인적정보'!B17</f>
        <v>BSS-012</v>
      </c>
      <c r="C17" s="13" t="str">
        <f>'01_인적정보'!C17</f>
        <v>OOO</v>
      </c>
      <c r="D17" s="13" t="str">
        <f>'01_인적정보'!D17</f>
        <v>경영관리</v>
      </c>
      <c r="E17" s="13" t="str">
        <f>'01_인적정보'!F17</f>
        <v>마케팅팀</v>
      </c>
      <c r="F17" s="40" t="str">
        <f>'01_인적정보'!H17</f>
        <v>G5-M</v>
      </c>
      <c r="G17" s="66">
        <f>'01_인적정보'!K17</f>
        <v>57760000</v>
      </c>
      <c r="H17" s="53" t="str">
        <f>'08_종합평가'!U17</f>
        <v>D</v>
      </c>
      <c r="I17" s="47">
        <f>IF(H17="","",IF(H17="S",'02_의사결정·종합결과'!$B$26,IF(H17="A",'02_의사결정·종합결과'!$C$26,IF(H17="B",'02_의사결정·종합결과'!$D$26,IF(H17="C",'02_의사결정·종합결과'!$E$26,'02_의사결정·종합결과'!$F$26)))))</f>
        <v>0.02</v>
      </c>
      <c r="J17" s="25" t="s">
        <v>434</v>
      </c>
      <c r="K17" s="47">
        <f>IF(J17="Y",'02_의사결정·종합결과'!$B$28,0)</f>
        <v>0</v>
      </c>
      <c r="L17" s="67">
        <f t="shared" si="0"/>
        <v>0.02</v>
      </c>
      <c r="M17" s="68">
        <f>IFERROR(VLOOKUP(F17,'02_의사결정·종합결과'!$A$32:$D$38,2,FALSE()),"")</f>
        <v>53000000</v>
      </c>
      <c r="N17" s="68">
        <f>IFERROR(VLOOKUP(F17,'02_의사결정·종합결과'!$A$32:$D$38,4,FALSE()),"")</f>
        <v>73000000</v>
      </c>
      <c r="O17" s="68">
        <f t="shared" si="1"/>
        <v>58920000</v>
      </c>
      <c r="P17" s="69">
        <f t="shared" si="2"/>
        <v>58920000</v>
      </c>
      <c r="Q17" s="68">
        <f t="shared" si="3"/>
        <v>1160000</v>
      </c>
    </row>
    <row r="18" spans="1:17" ht="21.75" customHeight="1">
      <c r="A18" s="4">
        <f>'01_인적정보'!A18</f>
        <v>13</v>
      </c>
      <c r="B18" s="4" t="str">
        <f>'01_인적정보'!B18</f>
        <v>BSS-013</v>
      </c>
      <c r="C18" s="13" t="str">
        <f>'01_인적정보'!C18</f>
        <v>OOO</v>
      </c>
      <c r="D18" s="13" t="str">
        <f>'01_인적정보'!D18</f>
        <v>설계</v>
      </c>
      <c r="E18" s="13" t="str">
        <f>'01_인적정보'!F18</f>
        <v>컨설팅본부</v>
      </c>
      <c r="F18" s="40" t="str">
        <f>'01_인적정보'!H18</f>
        <v>G5-S</v>
      </c>
      <c r="G18" s="66">
        <f>'01_인적정보'!K18</f>
        <v>58400000</v>
      </c>
      <c r="H18" s="53" t="str">
        <f>'08_종합평가'!U18</f>
        <v>S</v>
      </c>
      <c r="I18" s="47">
        <f>IF(H18="","",IF(H18="S",'02_의사결정·종합결과'!$B$26,IF(H18="A",'02_의사결정·종합결과'!$C$26,IF(H18="B",'02_의사결정·종합결과'!$D$26,IF(H18="C",'02_의사결정·종합결과'!$E$26,'02_의사결정·종합결과'!$F$26)))))</f>
        <v>0.06</v>
      </c>
      <c r="J18" s="25" t="s">
        <v>434</v>
      </c>
      <c r="K18" s="47">
        <f>IF(J18="Y",'02_의사결정·종합결과'!$B$28,0)</f>
        <v>0</v>
      </c>
      <c r="L18" s="67">
        <f t="shared" si="0"/>
        <v>0.06</v>
      </c>
      <c r="M18" s="68">
        <f>IFERROR(VLOOKUP(F18,'02_의사결정·종합결과'!$A$32:$D$38,2,FALSE()),"")</f>
        <v>53000000</v>
      </c>
      <c r="N18" s="68">
        <f>IFERROR(VLOOKUP(F18,'02_의사결정·종합결과'!$A$32:$D$38,4,FALSE()),"")</f>
        <v>73000000</v>
      </c>
      <c r="O18" s="68">
        <f t="shared" si="1"/>
        <v>61900000</v>
      </c>
      <c r="P18" s="69">
        <f t="shared" si="2"/>
        <v>61900000</v>
      </c>
      <c r="Q18" s="68">
        <f t="shared" si="3"/>
        <v>3500000</v>
      </c>
    </row>
    <row r="19" spans="1:17" ht="21.75" customHeight="1">
      <c r="A19" s="4">
        <f>'01_인적정보'!A19</f>
        <v>14</v>
      </c>
      <c r="B19" s="4" t="str">
        <f>'01_인적정보'!B19</f>
        <v>BSS-014</v>
      </c>
      <c r="C19" s="13" t="str">
        <f>'01_인적정보'!C19</f>
        <v>OOO</v>
      </c>
      <c r="D19" s="13" t="str">
        <f>'01_인적정보'!D19</f>
        <v>설계</v>
      </c>
      <c r="E19" s="13" t="str">
        <f>'01_인적정보'!F19</f>
        <v>컨설팅본부</v>
      </c>
      <c r="F19" s="40" t="str">
        <f>'01_인적정보'!H19</f>
        <v>G5-S</v>
      </c>
      <c r="G19" s="66">
        <f>'01_인적정보'!K19</f>
        <v>56500000</v>
      </c>
      <c r="H19" s="53" t="str">
        <f>'08_종합평가'!U19</f>
        <v>B</v>
      </c>
      <c r="I19" s="47">
        <f>IF(H19="","",IF(H19="S",'02_의사결정·종합결과'!$B$26,IF(H19="A",'02_의사결정·종합결과'!$C$26,IF(H19="B",'02_의사결정·종합결과'!$D$26,IF(H19="C",'02_의사결정·종합결과'!$E$26,'02_의사결정·종합결과'!$F$26)))))</f>
        <v>0.04</v>
      </c>
      <c r="J19" s="25" t="s">
        <v>434</v>
      </c>
      <c r="K19" s="47">
        <f>IF(J19="Y",'02_의사결정·종합결과'!$B$28,0)</f>
        <v>0</v>
      </c>
      <c r="L19" s="67">
        <f t="shared" si="0"/>
        <v>0.04</v>
      </c>
      <c r="M19" s="68">
        <f>IFERROR(VLOOKUP(F19,'02_의사결정·종합결과'!$A$32:$D$38,2,FALSE()),"")</f>
        <v>53000000</v>
      </c>
      <c r="N19" s="68">
        <f>IFERROR(VLOOKUP(F19,'02_의사결정·종합결과'!$A$32:$D$38,4,FALSE()),"")</f>
        <v>73000000</v>
      </c>
      <c r="O19" s="68">
        <f t="shared" si="1"/>
        <v>58760000</v>
      </c>
      <c r="P19" s="69">
        <f t="shared" si="2"/>
        <v>58760000</v>
      </c>
      <c r="Q19" s="68">
        <f t="shared" si="3"/>
        <v>2260000</v>
      </c>
    </row>
    <row r="20" spans="1:17" ht="21.75" customHeight="1">
      <c r="A20" s="4">
        <f>'01_인적정보'!A20</f>
        <v>15</v>
      </c>
      <c r="B20" s="4" t="str">
        <f>'01_인적정보'!B20</f>
        <v>BSS-015</v>
      </c>
      <c r="C20" s="13" t="str">
        <f>'01_인적정보'!C20</f>
        <v>OOO</v>
      </c>
      <c r="D20" s="13" t="str">
        <f>'01_인적정보'!D20</f>
        <v>설계</v>
      </c>
      <c r="E20" s="13" t="str">
        <f>'01_인적정보'!F20</f>
        <v>컨설팅본부</v>
      </c>
      <c r="F20" s="40" t="str">
        <f>'01_인적정보'!H20</f>
        <v>G5-S</v>
      </c>
      <c r="G20" s="66">
        <f>'01_인적정보'!K20</f>
        <v>53160000</v>
      </c>
      <c r="H20" s="53" t="str">
        <f>'08_종합평가'!U20</f>
        <v>C</v>
      </c>
      <c r="I20" s="47">
        <f>IF(H20="","",IF(H20="S",'02_의사결정·종합결과'!$B$26,IF(H20="A",'02_의사결정·종합결과'!$C$26,IF(H20="B",'02_의사결정·종합결과'!$D$26,IF(H20="C",'02_의사결정·종합결과'!$E$26,'02_의사결정·종합결과'!$F$26)))))</f>
        <v>0.03</v>
      </c>
      <c r="J20" s="25" t="s">
        <v>434</v>
      </c>
      <c r="K20" s="47">
        <f>IF(J20="Y",'02_의사결정·종합결과'!$B$28,0)</f>
        <v>0</v>
      </c>
      <c r="L20" s="67">
        <f t="shared" si="0"/>
        <v>0.03</v>
      </c>
      <c r="M20" s="68">
        <f>IFERROR(VLOOKUP(F20,'02_의사결정·종합결과'!$A$32:$D$38,2,FALSE()),"")</f>
        <v>53000000</v>
      </c>
      <c r="N20" s="68">
        <f>IFERROR(VLOOKUP(F20,'02_의사결정·종합결과'!$A$32:$D$38,4,FALSE()),"")</f>
        <v>73000000</v>
      </c>
      <c r="O20" s="68">
        <f t="shared" si="1"/>
        <v>54750000</v>
      </c>
      <c r="P20" s="69">
        <f t="shared" si="2"/>
        <v>54750000</v>
      </c>
      <c r="Q20" s="68">
        <f t="shared" si="3"/>
        <v>1590000</v>
      </c>
    </row>
    <row r="21" spans="1:17" ht="21.75" customHeight="1">
      <c r="A21" s="4">
        <f>'01_인적정보'!A21</f>
        <v>16</v>
      </c>
      <c r="B21" s="4" t="str">
        <f>'01_인적정보'!B21</f>
        <v>BSS-016</v>
      </c>
      <c r="C21" s="13" t="str">
        <f>'01_인적정보'!C21</f>
        <v>OOO</v>
      </c>
      <c r="D21" s="13" t="str">
        <f>'01_인적정보'!D21</f>
        <v>설계</v>
      </c>
      <c r="E21" s="13" t="str">
        <f>'01_인적정보'!F21</f>
        <v>컨설팅본부</v>
      </c>
      <c r="F21" s="40" t="str">
        <f>'01_인적정보'!H21</f>
        <v>G5-S</v>
      </c>
      <c r="G21" s="66">
        <f>'01_인적정보'!K21</f>
        <v>53750000</v>
      </c>
      <c r="H21" s="53" t="str">
        <f>'08_종합평가'!U21</f>
        <v>B</v>
      </c>
      <c r="I21" s="47">
        <f>IF(H21="","",IF(H21="S",'02_의사결정·종합결과'!$B$26,IF(H21="A",'02_의사결정·종합결과'!$C$26,IF(H21="B",'02_의사결정·종합결과'!$D$26,IF(H21="C",'02_의사결정·종합결과'!$E$26,'02_의사결정·종합결과'!$F$26)))))</f>
        <v>0.04</v>
      </c>
      <c r="J21" s="25" t="s">
        <v>434</v>
      </c>
      <c r="K21" s="47">
        <f>IF(J21="Y",'02_의사결정·종합결과'!$B$28,0)</f>
        <v>0</v>
      </c>
      <c r="L21" s="67">
        <f t="shared" si="0"/>
        <v>0.04</v>
      </c>
      <c r="M21" s="68">
        <f>IFERROR(VLOOKUP(F21,'02_의사결정·종합결과'!$A$32:$D$38,2,FALSE()),"")</f>
        <v>53000000</v>
      </c>
      <c r="N21" s="68">
        <f>IFERROR(VLOOKUP(F21,'02_의사결정·종합결과'!$A$32:$D$38,4,FALSE()),"")</f>
        <v>73000000</v>
      </c>
      <c r="O21" s="68">
        <f t="shared" si="1"/>
        <v>55900000</v>
      </c>
      <c r="P21" s="69">
        <f t="shared" si="2"/>
        <v>55900000</v>
      </c>
      <c r="Q21" s="68">
        <f t="shared" si="3"/>
        <v>2150000</v>
      </c>
    </row>
    <row r="22" spans="1:17" ht="21.75" customHeight="1">
      <c r="A22" s="4">
        <f>'01_인적정보'!A22</f>
        <v>17</v>
      </c>
      <c r="B22" s="4" t="str">
        <f>'01_인적정보'!B22</f>
        <v>BSS-017</v>
      </c>
      <c r="C22" s="13" t="str">
        <f>'01_인적정보'!C22</f>
        <v>OOO</v>
      </c>
      <c r="D22" s="13" t="str">
        <f>'01_인적정보'!D22</f>
        <v>교육 및 기술지원</v>
      </c>
      <c r="E22" s="13" t="str">
        <f>'01_인적정보'!F22</f>
        <v>솔루션본부</v>
      </c>
      <c r="F22" s="40" t="str">
        <f>'01_인적정보'!H22</f>
        <v>G4</v>
      </c>
      <c r="G22" s="66">
        <f>'01_인적정보'!K22</f>
        <v>49240000</v>
      </c>
      <c r="H22" s="53" t="str">
        <f>'08_종합평가'!U22</f>
        <v>B</v>
      </c>
      <c r="I22" s="47">
        <f>IF(H22="","",IF(H22="S",'02_의사결정·종합결과'!$B$26,IF(H22="A",'02_의사결정·종합결과'!$C$26,IF(H22="B",'02_의사결정·종합결과'!$D$26,IF(H22="C",'02_의사결정·종합결과'!$E$26,'02_의사결정·종합결과'!$F$26)))))</f>
        <v>0.04</v>
      </c>
      <c r="J22" s="25" t="s">
        <v>434</v>
      </c>
      <c r="K22" s="47">
        <f>IF(J22="Y",'02_의사결정·종합결과'!$B$28,0)</f>
        <v>0</v>
      </c>
      <c r="L22" s="67">
        <f t="shared" si="0"/>
        <v>0.04</v>
      </c>
      <c r="M22" s="68">
        <f>IFERROR(VLOOKUP(F22,'02_의사결정·종합결과'!$A$32:$D$38,2,FALSE()),"")</f>
        <v>49000000</v>
      </c>
      <c r="N22" s="68">
        <f>IFERROR(VLOOKUP(F22,'02_의사결정·종합결과'!$A$32:$D$38,4,FALSE()),"")</f>
        <v>66000000</v>
      </c>
      <c r="O22" s="68">
        <f t="shared" si="1"/>
        <v>51210000</v>
      </c>
      <c r="P22" s="69">
        <f t="shared" si="2"/>
        <v>51210000</v>
      </c>
      <c r="Q22" s="68">
        <f t="shared" si="3"/>
        <v>1970000</v>
      </c>
    </row>
    <row r="23" spans="1:17" ht="21.75" customHeight="1">
      <c r="A23" s="4">
        <f>'01_인적정보'!A23</f>
        <v>18</v>
      </c>
      <c r="B23" s="4" t="str">
        <f>'01_인적정보'!B23</f>
        <v>BSS-018</v>
      </c>
      <c r="C23" s="13" t="str">
        <f>'01_인적정보'!C23</f>
        <v>OOO</v>
      </c>
      <c r="D23" s="13" t="str">
        <f>'01_인적정보'!D23</f>
        <v>설계</v>
      </c>
      <c r="E23" s="13" t="str">
        <f>'01_인적정보'!F23</f>
        <v>컨설팅본부</v>
      </c>
      <c r="F23" s="40" t="str">
        <f>'01_인적정보'!H23</f>
        <v>G4</v>
      </c>
      <c r="G23" s="66">
        <f>'01_인적정보'!K23</f>
        <v>48650000</v>
      </c>
      <c r="H23" s="53" t="str">
        <f>'08_종합평가'!U23</f>
        <v>A</v>
      </c>
      <c r="I23" s="47">
        <f>IF(H23="","",IF(H23="S",'02_의사결정·종합결과'!$B$26,IF(H23="A",'02_의사결정·종합결과'!$C$26,IF(H23="B",'02_의사결정·종합결과'!$D$26,IF(H23="C",'02_의사결정·종합결과'!$E$26,'02_의사결정·종합결과'!$F$26)))))</f>
        <v>0.05</v>
      </c>
      <c r="J23" s="25" t="s">
        <v>434</v>
      </c>
      <c r="K23" s="47">
        <f>IF(J23="Y",'02_의사결정·종합결과'!$B$28,0)</f>
        <v>0</v>
      </c>
      <c r="L23" s="67">
        <f t="shared" si="0"/>
        <v>0.05</v>
      </c>
      <c r="M23" s="68">
        <f>IFERROR(VLOOKUP(F23,'02_의사결정·종합결과'!$A$32:$D$38,2,FALSE()),"")</f>
        <v>49000000</v>
      </c>
      <c r="N23" s="68">
        <f>IFERROR(VLOOKUP(F23,'02_의사결정·종합결과'!$A$32:$D$38,4,FALSE()),"")</f>
        <v>66000000</v>
      </c>
      <c r="O23" s="68">
        <f t="shared" si="1"/>
        <v>51080000</v>
      </c>
      <c r="P23" s="69">
        <f t="shared" si="2"/>
        <v>51080000</v>
      </c>
      <c r="Q23" s="68">
        <f t="shared" si="3"/>
        <v>2430000</v>
      </c>
    </row>
    <row r="24" spans="1:17" ht="21.75" customHeight="1">
      <c r="A24" s="4">
        <f>'01_인적정보'!A24</f>
        <v>19</v>
      </c>
      <c r="B24" s="4" t="str">
        <f>'01_인적정보'!B24</f>
        <v>BSS-019</v>
      </c>
      <c r="C24" s="13" t="str">
        <f>'01_인적정보'!C24</f>
        <v>OOO</v>
      </c>
      <c r="D24" s="13" t="str">
        <f>'01_인적정보'!D24</f>
        <v>설계</v>
      </c>
      <c r="E24" s="13" t="str">
        <f>'01_인적정보'!F24</f>
        <v>컨설팅본부</v>
      </c>
      <c r="F24" s="40" t="str">
        <f>'01_인적정보'!H24</f>
        <v>G3</v>
      </c>
      <c r="G24" s="66">
        <f>'01_인적정보'!K24</f>
        <v>47500000</v>
      </c>
      <c r="H24" s="53" t="str">
        <f>'08_종합평가'!U24</f>
        <v>B</v>
      </c>
      <c r="I24" s="47">
        <f>IF(H24="","",IF(H24="S",'02_의사결정·종합결과'!$B$26,IF(H24="A",'02_의사결정·종합결과'!$C$26,IF(H24="B",'02_의사결정·종합결과'!$D$26,IF(H24="C",'02_의사결정·종합결과'!$E$26,'02_의사결정·종합결과'!$F$26)))))</f>
        <v>0.04</v>
      </c>
      <c r="J24" s="25" t="s">
        <v>434</v>
      </c>
      <c r="K24" s="47">
        <f>IF(J24="Y",'02_의사결정·종합결과'!$B$28,0)</f>
        <v>0</v>
      </c>
      <c r="L24" s="67">
        <f t="shared" si="0"/>
        <v>0.04</v>
      </c>
      <c r="M24" s="68">
        <f>IFERROR(VLOOKUP(F24,'02_의사결정·종합결과'!$A$32:$D$38,2,FALSE()),"")</f>
        <v>42000000</v>
      </c>
      <c r="N24" s="68">
        <f>IFERROR(VLOOKUP(F24,'02_의사결정·종합결과'!$A$32:$D$38,4,FALSE()),"")</f>
        <v>57000000</v>
      </c>
      <c r="O24" s="68">
        <f t="shared" si="1"/>
        <v>49400000</v>
      </c>
      <c r="P24" s="69">
        <f t="shared" si="2"/>
        <v>49400000</v>
      </c>
      <c r="Q24" s="68">
        <f t="shared" si="3"/>
        <v>1900000</v>
      </c>
    </row>
    <row r="25" spans="1:17" ht="21.75" customHeight="1">
      <c r="A25" s="4">
        <f>'01_인적정보'!A25</f>
        <v>20</v>
      </c>
      <c r="B25" s="4" t="str">
        <f>'01_인적정보'!B25</f>
        <v>BSS-020</v>
      </c>
      <c r="C25" s="13" t="str">
        <f>'01_인적정보'!C25</f>
        <v>OOO</v>
      </c>
      <c r="D25" s="13" t="str">
        <f>'01_인적정보'!D25</f>
        <v>교육 및 기술지원</v>
      </c>
      <c r="E25" s="13" t="str">
        <f>'01_인적정보'!F25</f>
        <v>솔루션본부</v>
      </c>
      <c r="F25" s="40" t="str">
        <f>'01_인적정보'!H25</f>
        <v>G3</v>
      </c>
      <c r="G25" s="66">
        <f>'01_인적정보'!K25</f>
        <v>43060000</v>
      </c>
      <c r="H25" s="53" t="str">
        <f>'08_종합평가'!U25</f>
        <v>C</v>
      </c>
      <c r="I25" s="47">
        <f>IF(H25="","",IF(H25="S",'02_의사결정·종합결과'!$B$26,IF(H25="A",'02_의사결정·종합결과'!$C$26,IF(H25="B",'02_의사결정·종합결과'!$D$26,IF(H25="C",'02_의사결정·종합결과'!$E$26,'02_의사결정·종합결과'!$F$26)))))</f>
        <v>0.03</v>
      </c>
      <c r="J25" s="25" t="s">
        <v>434</v>
      </c>
      <c r="K25" s="47">
        <f>IF(J25="Y",'02_의사결정·종합결과'!$B$28,0)</f>
        <v>0</v>
      </c>
      <c r="L25" s="67">
        <f t="shared" si="0"/>
        <v>0.03</v>
      </c>
      <c r="M25" s="68">
        <f>IFERROR(VLOOKUP(F25,'02_의사결정·종합결과'!$A$32:$D$38,2,FALSE()),"")</f>
        <v>42000000</v>
      </c>
      <c r="N25" s="68">
        <f>IFERROR(VLOOKUP(F25,'02_의사결정·종합결과'!$A$32:$D$38,4,FALSE()),"")</f>
        <v>57000000</v>
      </c>
      <c r="O25" s="68">
        <f t="shared" si="1"/>
        <v>44350000</v>
      </c>
      <c r="P25" s="69">
        <f t="shared" si="2"/>
        <v>44350000</v>
      </c>
      <c r="Q25" s="68">
        <f t="shared" si="3"/>
        <v>1290000</v>
      </c>
    </row>
    <row r="26" spans="1:17" ht="21.75" customHeight="1">
      <c r="A26" s="4">
        <f>'01_인적정보'!A26</f>
        <v>21</v>
      </c>
      <c r="B26" s="4" t="str">
        <f>'01_인적정보'!B26</f>
        <v>BSS-021</v>
      </c>
      <c r="C26" s="13" t="str">
        <f>'01_인적정보'!C26</f>
        <v>OOO</v>
      </c>
      <c r="D26" s="13" t="str">
        <f>'01_인적정보'!D26</f>
        <v>설계</v>
      </c>
      <c r="E26" s="13" t="str">
        <f>'01_인적정보'!F26</f>
        <v>컨설팅본부</v>
      </c>
      <c r="F26" s="40" t="str">
        <f>'01_인적정보'!H26</f>
        <v>G2</v>
      </c>
      <c r="G26" s="66">
        <f>'01_인적정보'!K26</f>
        <v>42500000</v>
      </c>
      <c r="H26" s="53" t="str">
        <f>'08_종합평가'!U26</f>
        <v>D</v>
      </c>
      <c r="I26" s="47">
        <f>IF(H26="","",IF(H26="S",'02_의사결정·종합결과'!$B$26,IF(H26="A",'02_의사결정·종합결과'!$C$26,IF(H26="B",'02_의사결정·종합결과'!$D$26,IF(H26="C",'02_의사결정·종합결과'!$E$26,'02_의사결정·종합결과'!$F$26)))))</f>
        <v>0.02</v>
      </c>
      <c r="J26" s="25" t="s">
        <v>434</v>
      </c>
      <c r="K26" s="47">
        <f>IF(J26="Y",'02_의사결정·종합결과'!$B$28,0)</f>
        <v>0</v>
      </c>
      <c r="L26" s="67">
        <f t="shared" si="0"/>
        <v>0.02</v>
      </c>
      <c r="M26" s="68">
        <f>IFERROR(VLOOKUP(F26,'02_의사결정·종합결과'!$A$32:$D$38,2,FALSE()),"")</f>
        <v>36000000</v>
      </c>
      <c r="N26" s="68">
        <f>IFERROR(VLOOKUP(F26,'02_의사결정·종합결과'!$A$32:$D$38,4,FALSE()),"")</f>
        <v>49000000</v>
      </c>
      <c r="O26" s="68">
        <f t="shared" si="1"/>
        <v>43350000</v>
      </c>
      <c r="P26" s="69">
        <f t="shared" si="2"/>
        <v>43350000</v>
      </c>
      <c r="Q26" s="68">
        <f t="shared" si="3"/>
        <v>850000</v>
      </c>
    </row>
    <row r="27" spans="1:17" ht="21.75" customHeight="1">
      <c r="A27" s="4">
        <f>'01_인적정보'!A27</f>
        <v>22</v>
      </c>
      <c r="B27" s="4" t="str">
        <f>'01_인적정보'!B27</f>
        <v>BSS-022</v>
      </c>
      <c r="C27" s="13" t="str">
        <f>'01_인적정보'!C27</f>
        <v>OOO</v>
      </c>
      <c r="D27" s="13" t="str">
        <f>'01_인적정보'!D27</f>
        <v>설계</v>
      </c>
      <c r="E27" s="13" t="str">
        <f>'01_인적정보'!F27</f>
        <v>컨설팅본부</v>
      </c>
      <c r="F27" s="40" t="str">
        <f>'01_인적정보'!H27</f>
        <v>G2</v>
      </c>
      <c r="G27" s="66">
        <f>'01_인적정보'!K27</f>
        <v>42500000</v>
      </c>
      <c r="H27" s="53" t="str">
        <f>'08_종합평가'!U27</f>
        <v>B</v>
      </c>
      <c r="I27" s="47">
        <f>IF(H27="","",IF(H27="S",'02_의사결정·종합결과'!$B$26,IF(H27="A",'02_의사결정·종합결과'!$C$26,IF(H27="B",'02_의사결정·종합결과'!$D$26,IF(H27="C",'02_의사결정·종합결과'!$E$26,'02_의사결정·종합결과'!$F$26)))))</f>
        <v>0.04</v>
      </c>
      <c r="J27" s="25" t="s">
        <v>434</v>
      </c>
      <c r="K27" s="47">
        <f>IF(J27="Y",'02_의사결정·종합결과'!$B$28,0)</f>
        <v>0</v>
      </c>
      <c r="L27" s="67">
        <f t="shared" si="0"/>
        <v>0.04</v>
      </c>
      <c r="M27" s="68">
        <f>IFERROR(VLOOKUP(F27,'02_의사결정·종합결과'!$A$32:$D$38,2,FALSE()),"")</f>
        <v>36000000</v>
      </c>
      <c r="N27" s="68">
        <f>IFERROR(VLOOKUP(F27,'02_의사결정·종합결과'!$A$32:$D$38,4,FALSE()),"")</f>
        <v>49000000</v>
      </c>
      <c r="O27" s="68">
        <f t="shared" si="1"/>
        <v>44200000</v>
      </c>
      <c r="P27" s="69">
        <f t="shared" si="2"/>
        <v>44200000</v>
      </c>
      <c r="Q27" s="68">
        <f t="shared" si="3"/>
        <v>1700000</v>
      </c>
    </row>
    <row r="28" spans="1:17" ht="21.75" customHeight="1">
      <c r="A28" s="4">
        <f>'01_인적정보'!A28</f>
        <v>23</v>
      </c>
      <c r="B28" s="4" t="str">
        <f>'01_인적정보'!B28</f>
        <v>BSS-023</v>
      </c>
      <c r="C28" s="13" t="str">
        <f>'01_인적정보'!C28</f>
        <v>OOO</v>
      </c>
      <c r="D28" s="13" t="str">
        <f>'01_인적정보'!D28</f>
        <v>설계</v>
      </c>
      <c r="E28" s="13" t="str">
        <f>'01_인적정보'!F28</f>
        <v>컨설팅본부</v>
      </c>
      <c r="F28" s="40" t="str">
        <f>'01_인적정보'!H28</f>
        <v>G2</v>
      </c>
      <c r="G28" s="66">
        <f>'01_인적정보'!K28</f>
        <v>42500000</v>
      </c>
      <c r="H28" s="53" t="str">
        <f>'08_종합평가'!U28</f>
        <v>B</v>
      </c>
      <c r="I28" s="47">
        <f>IF(H28="","",IF(H28="S",'02_의사결정·종합결과'!$B$26,IF(H28="A",'02_의사결정·종합결과'!$C$26,IF(H28="B",'02_의사결정·종합결과'!$D$26,IF(H28="C",'02_의사결정·종합결과'!$E$26,'02_의사결정·종합결과'!$F$26)))))</f>
        <v>0.04</v>
      </c>
      <c r="J28" s="25" t="s">
        <v>434</v>
      </c>
      <c r="K28" s="47">
        <f>IF(J28="Y",'02_의사결정·종합결과'!$B$28,0)</f>
        <v>0</v>
      </c>
      <c r="L28" s="67">
        <f t="shared" si="0"/>
        <v>0.04</v>
      </c>
      <c r="M28" s="68">
        <f>IFERROR(VLOOKUP(F28,'02_의사결정·종합결과'!$A$32:$D$38,2,FALSE()),"")</f>
        <v>36000000</v>
      </c>
      <c r="N28" s="68">
        <f>IFERROR(VLOOKUP(F28,'02_의사결정·종합결과'!$A$32:$D$38,4,FALSE()),"")</f>
        <v>49000000</v>
      </c>
      <c r="O28" s="68">
        <f t="shared" si="1"/>
        <v>44200000</v>
      </c>
      <c r="P28" s="69">
        <f t="shared" si="2"/>
        <v>44200000</v>
      </c>
      <c r="Q28" s="68">
        <f t="shared" si="3"/>
        <v>1700000</v>
      </c>
    </row>
    <row r="29" spans="1:17" ht="21.75" customHeight="1">
      <c r="A29" s="4">
        <f>'01_인적정보'!A29</f>
        <v>24</v>
      </c>
      <c r="B29" s="4" t="str">
        <f>'01_인적정보'!B29</f>
        <v>BSS-024</v>
      </c>
      <c r="C29" s="13" t="str">
        <f>'01_인적정보'!C29</f>
        <v>OOO</v>
      </c>
      <c r="D29" s="13" t="str">
        <f>'01_인적정보'!D29</f>
        <v>설계</v>
      </c>
      <c r="E29" s="13" t="str">
        <f>'01_인적정보'!F29</f>
        <v>컨설팅본부</v>
      </c>
      <c r="F29" s="40" t="str">
        <f>'01_인적정보'!H29</f>
        <v>G2</v>
      </c>
      <c r="G29" s="66">
        <f>'01_인적정보'!K29</f>
        <v>42500000</v>
      </c>
      <c r="H29" s="53" t="str">
        <f>'08_종합평가'!U29</f>
        <v>S</v>
      </c>
      <c r="I29" s="47">
        <f>IF(H29="","",IF(H29="S",'02_의사결정·종합결과'!$B$26,IF(H29="A",'02_의사결정·종합결과'!$C$26,IF(H29="B",'02_의사결정·종합결과'!$D$26,IF(H29="C",'02_의사결정·종합결과'!$E$26,'02_의사결정·종합결과'!$F$26)))))</f>
        <v>0.06</v>
      </c>
      <c r="J29" s="25" t="s">
        <v>434</v>
      </c>
      <c r="K29" s="47">
        <f>IF(J29="Y",'02_의사결정·종합결과'!$B$28,0)</f>
        <v>0</v>
      </c>
      <c r="L29" s="67">
        <f t="shared" si="0"/>
        <v>0.06</v>
      </c>
      <c r="M29" s="68">
        <f>IFERROR(VLOOKUP(F29,'02_의사결정·종합결과'!$A$32:$D$38,2,FALSE()),"")</f>
        <v>36000000</v>
      </c>
      <c r="N29" s="68">
        <f>IFERROR(VLOOKUP(F29,'02_의사결정·종합결과'!$A$32:$D$38,4,FALSE()),"")</f>
        <v>49000000</v>
      </c>
      <c r="O29" s="68">
        <f t="shared" si="1"/>
        <v>45050000</v>
      </c>
      <c r="P29" s="69">
        <f t="shared" si="2"/>
        <v>45050000</v>
      </c>
      <c r="Q29" s="68">
        <f t="shared" si="3"/>
        <v>2550000</v>
      </c>
    </row>
    <row r="30" spans="1:17" ht="21.75" customHeight="1">
      <c r="A30" s="4">
        <f>'01_인적정보'!A30</f>
        <v>25</v>
      </c>
      <c r="B30" s="4" t="str">
        <f>'01_인적정보'!B30</f>
        <v>BSS-025</v>
      </c>
      <c r="C30" s="13" t="str">
        <f>'01_인적정보'!C30</f>
        <v>OOO</v>
      </c>
      <c r="D30" s="13" t="str">
        <f>'01_인적정보'!D30</f>
        <v>연구&amp;개발</v>
      </c>
      <c r="E30" s="13" t="str">
        <f>'01_인적정보'!F30</f>
        <v>컨설팅본부</v>
      </c>
      <c r="F30" s="40" t="str">
        <f>'01_인적정보'!H30</f>
        <v>G2</v>
      </c>
      <c r="G30" s="66">
        <f>'01_인적정보'!K30</f>
        <v>42500000</v>
      </c>
      <c r="H30" s="53" t="str">
        <f>'08_종합평가'!U30</f>
        <v>D</v>
      </c>
      <c r="I30" s="47">
        <f>IF(H30="","",IF(H30="S",'02_의사결정·종합결과'!$B$26,IF(H30="A",'02_의사결정·종합결과'!$C$26,IF(H30="B",'02_의사결정·종합결과'!$D$26,IF(H30="C",'02_의사결정·종합결과'!$E$26,'02_의사결정·종합결과'!$F$26)))))</f>
        <v>0.02</v>
      </c>
      <c r="J30" s="25" t="s">
        <v>434</v>
      </c>
      <c r="K30" s="47">
        <f>IF(J30="Y",'02_의사결정·종합결과'!$B$28,0)</f>
        <v>0</v>
      </c>
      <c r="L30" s="67">
        <f t="shared" si="0"/>
        <v>0.02</v>
      </c>
      <c r="M30" s="68">
        <f>IFERROR(VLOOKUP(F30,'02_의사결정·종합결과'!$A$32:$D$38,2,FALSE()),"")</f>
        <v>36000000</v>
      </c>
      <c r="N30" s="68">
        <f>IFERROR(VLOOKUP(F30,'02_의사결정·종합결과'!$A$32:$D$38,4,FALSE()),"")</f>
        <v>49000000</v>
      </c>
      <c r="O30" s="68">
        <f t="shared" si="1"/>
        <v>43350000</v>
      </c>
      <c r="P30" s="69">
        <f t="shared" si="2"/>
        <v>43350000</v>
      </c>
      <c r="Q30" s="68">
        <f t="shared" si="3"/>
        <v>850000</v>
      </c>
    </row>
    <row r="31" spans="1:17" ht="21.75" customHeight="1">
      <c r="A31" s="4">
        <f>'01_인적정보'!A31</f>
        <v>26</v>
      </c>
      <c r="B31" s="4" t="str">
        <f>'01_인적정보'!B31</f>
        <v>BSS-026</v>
      </c>
      <c r="C31" s="13" t="str">
        <f>'01_인적정보'!C31</f>
        <v>OOO</v>
      </c>
      <c r="D31" s="13" t="str">
        <f>'01_인적정보'!D31</f>
        <v>경영관리</v>
      </c>
      <c r="E31" s="13" t="str">
        <f>'01_인적정보'!F31</f>
        <v>마케팅팀</v>
      </c>
      <c r="F31" s="40" t="str">
        <f>'01_인적정보'!H31</f>
        <v>G1</v>
      </c>
      <c r="G31" s="66">
        <f>'01_인적정보'!K31</f>
        <v>34935000</v>
      </c>
      <c r="H31" s="53" t="str">
        <f>'08_종합평가'!U31</f>
        <v>B</v>
      </c>
      <c r="I31" s="47">
        <f>IF(H31="","",IF(H31="S",'02_의사결정·종합결과'!$B$26,IF(H31="A",'02_의사결정·종합결과'!$C$26,IF(H31="B",'02_의사결정·종합결과'!$D$26,IF(H31="C",'02_의사결정·종합결과'!$E$26,'02_의사결정·종합결과'!$F$26)))))</f>
        <v>0.04</v>
      </c>
      <c r="J31" s="25" t="s">
        <v>434</v>
      </c>
      <c r="K31" s="47">
        <f>IF(J31="Y",'02_의사결정·종합결과'!$B$28,0)</f>
        <v>0</v>
      </c>
      <c r="L31" s="67">
        <f t="shared" si="0"/>
        <v>0.04</v>
      </c>
      <c r="M31" s="68">
        <f>IFERROR(VLOOKUP(F31,'02_의사결정·종합결과'!$A$32:$D$38,2,FALSE()),"")</f>
        <v>33000000</v>
      </c>
      <c r="N31" s="68">
        <f>IFERROR(VLOOKUP(F31,'02_의사결정·종합결과'!$A$32:$D$38,4,FALSE()),"")</f>
        <v>44000000</v>
      </c>
      <c r="O31" s="68">
        <f t="shared" si="1"/>
        <v>36330000</v>
      </c>
      <c r="P31" s="69">
        <f t="shared" si="2"/>
        <v>36330000</v>
      </c>
      <c r="Q31" s="68">
        <f t="shared" si="3"/>
        <v>1395000</v>
      </c>
    </row>
    <row r="32" spans="1:17" ht="21.75" customHeight="1">
      <c r="A32" s="4">
        <f>'01_인적정보'!A32</f>
        <v>27</v>
      </c>
      <c r="B32" s="4" t="str">
        <f>'01_인적정보'!B32</f>
        <v>BSS-027</v>
      </c>
      <c r="C32" s="13" t="str">
        <f>'01_인적정보'!C32</f>
        <v>OOO</v>
      </c>
      <c r="D32" s="13" t="str">
        <f>'01_인적정보'!D32</f>
        <v>교육 및 기술지원</v>
      </c>
      <c r="E32" s="13" t="str">
        <f>'01_인적정보'!F32</f>
        <v>솔루션본부</v>
      </c>
      <c r="F32" s="40" t="str">
        <f>'01_인적정보'!H32</f>
        <v>G2</v>
      </c>
      <c r="G32" s="66">
        <f>'01_인적정보'!K32</f>
        <v>35000000</v>
      </c>
      <c r="H32" s="53" t="str">
        <f>'08_종합평가'!U32</f>
        <v>A</v>
      </c>
      <c r="I32" s="47">
        <f>IF(H32="","",IF(H32="S",'02_의사결정·종합결과'!$B$26,IF(H32="A",'02_의사결정·종합결과'!$C$26,IF(H32="B",'02_의사결정·종합결과'!$D$26,IF(H32="C",'02_의사결정·종합결과'!$E$26,'02_의사결정·종합결과'!$F$26)))))</f>
        <v>0.05</v>
      </c>
      <c r="J32" s="25" t="s">
        <v>434</v>
      </c>
      <c r="K32" s="47">
        <f>IF(J32="Y",'02_의사결정·종합결과'!$B$28,0)</f>
        <v>0</v>
      </c>
      <c r="L32" s="67">
        <f t="shared" si="0"/>
        <v>0.05</v>
      </c>
      <c r="M32" s="68">
        <f>IFERROR(VLOOKUP(F32,'02_의사결정·종합결과'!$A$32:$D$38,2,FALSE()),"")</f>
        <v>36000000</v>
      </c>
      <c r="N32" s="68">
        <f>IFERROR(VLOOKUP(F32,'02_의사결정·종합결과'!$A$32:$D$38,4,FALSE()),"")</f>
        <v>49000000</v>
      </c>
      <c r="O32" s="68">
        <f t="shared" si="1"/>
        <v>36750000</v>
      </c>
      <c r="P32" s="69">
        <f t="shared" si="2"/>
        <v>36750000</v>
      </c>
      <c r="Q32" s="68">
        <f t="shared" si="3"/>
        <v>1750000</v>
      </c>
    </row>
    <row r="33" spans="1:17" ht="21.75" customHeight="1">
      <c r="A33" s="4">
        <f>'01_인적정보'!A33</f>
        <v>28</v>
      </c>
      <c r="B33" s="4" t="str">
        <f>'01_인적정보'!B33</f>
        <v>BSS-028</v>
      </c>
      <c r="C33" s="13" t="str">
        <f>'01_인적정보'!C33</f>
        <v>OOO</v>
      </c>
      <c r="D33" s="13" t="str">
        <f>'01_인적정보'!D33</f>
        <v>설계</v>
      </c>
      <c r="E33" s="13" t="str">
        <f>'01_인적정보'!F33</f>
        <v>컨설팅본부</v>
      </c>
      <c r="F33" s="40" t="str">
        <f>'01_인적정보'!H33</f>
        <v>G1</v>
      </c>
      <c r="G33" s="66">
        <f>'01_인적정보'!K33</f>
        <v>36000000</v>
      </c>
      <c r="H33" s="53" t="str">
        <f>'08_종합평가'!U33</f>
        <v>A</v>
      </c>
      <c r="I33" s="47">
        <f>IF(H33="","",IF(H33="S",'02_의사결정·종합결과'!$B$26,IF(H33="A",'02_의사결정·종합결과'!$C$26,IF(H33="B",'02_의사결정·종합결과'!$D$26,IF(H33="C",'02_의사결정·종합결과'!$E$26,'02_의사결정·종합결과'!$F$26)))))</f>
        <v>0.05</v>
      </c>
      <c r="J33" s="25" t="s">
        <v>434</v>
      </c>
      <c r="K33" s="47">
        <f>IF(J33="Y",'02_의사결정·종합결과'!$B$28,0)</f>
        <v>0</v>
      </c>
      <c r="L33" s="67">
        <f t="shared" si="0"/>
        <v>0.05</v>
      </c>
      <c r="M33" s="68">
        <f>IFERROR(VLOOKUP(F33,'02_의사결정·종합결과'!$A$32:$D$38,2,FALSE()),"")</f>
        <v>33000000</v>
      </c>
      <c r="N33" s="68">
        <f>IFERROR(VLOOKUP(F33,'02_의사결정·종합결과'!$A$32:$D$38,4,FALSE()),"")</f>
        <v>44000000</v>
      </c>
      <c r="O33" s="68">
        <f t="shared" si="1"/>
        <v>37800000</v>
      </c>
      <c r="P33" s="69">
        <f t="shared" si="2"/>
        <v>37800000</v>
      </c>
      <c r="Q33" s="68">
        <f t="shared" si="3"/>
        <v>1800000</v>
      </c>
    </row>
    <row r="34" spans="1:17" ht="21.75" customHeight="1">
      <c r="A34" s="4">
        <f>'01_인적정보'!A34</f>
        <v>29</v>
      </c>
      <c r="B34" s="4" t="str">
        <f>'01_인적정보'!B34</f>
        <v>BSS-029</v>
      </c>
      <c r="C34" s="13" t="str">
        <f>'01_인적정보'!C34</f>
        <v>OOO</v>
      </c>
      <c r="D34" s="13" t="str">
        <f>'01_인적정보'!D34</f>
        <v>설계</v>
      </c>
      <c r="E34" s="13" t="str">
        <f>'01_인적정보'!F34</f>
        <v>컨설팅본부</v>
      </c>
      <c r="F34" s="40" t="str">
        <f>'01_인적정보'!H34</f>
        <v>G1</v>
      </c>
      <c r="G34" s="66">
        <f>'01_인적정보'!K34</f>
        <v>36000000</v>
      </c>
      <c r="H34" s="53" t="str">
        <f>'08_종합평가'!U34</f>
        <v>B</v>
      </c>
      <c r="I34" s="47">
        <f>IF(H34="","",IF(H34="S",'02_의사결정·종합결과'!$B$26,IF(H34="A",'02_의사결정·종합결과'!$C$26,IF(H34="B",'02_의사결정·종합결과'!$D$26,IF(H34="C",'02_의사결정·종합결과'!$E$26,'02_의사결정·종합결과'!$F$26)))))</f>
        <v>0.04</v>
      </c>
      <c r="J34" s="25" t="s">
        <v>434</v>
      </c>
      <c r="K34" s="47">
        <f>IF(J34="Y",'02_의사결정·종합결과'!$B$28,0)</f>
        <v>0</v>
      </c>
      <c r="L34" s="67">
        <f t="shared" si="0"/>
        <v>0.04</v>
      </c>
      <c r="M34" s="68">
        <f>IFERROR(VLOOKUP(F34,'02_의사결정·종합결과'!$A$32:$D$38,2,FALSE()),"")</f>
        <v>33000000</v>
      </c>
      <c r="N34" s="68">
        <f>IFERROR(VLOOKUP(F34,'02_의사결정·종합결과'!$A$32:$D$38,4,FALSE()),"")</f>
        <v>44000000</v>
      </c>
      <c r="O34" s="68">
        <f t="shared" si="1"/>
        <v>37440000</v>
      </c>
      <c r="P34" s="69">
        <f t="shared" si="2"/>
        <v>37440000</v>
      </c>
      <c r="Q34" s="68">
        <f t="shared" si="3"/>
        <v>1440000</v>
      </c>
    </row>
    <row r="35" spans="1:17" ht="21.75" customHeight="1">
      <c r="A35" s="4">
        <f>'01_인적정보'!A35</f>
        <v>30</v>
      </c>
      <c r="B35" s="4" t="str">
        <f>'01_인적정보'!B35</f>
        <v>BSS-030</v>
      </c>
      <c r="C35" s="13" t="str">
        <f>'01_인적정보'!C35</f>
        <v>OOO</v>
      </c>
      <c r="D35" s="13" t="str">
        <f>'01_인적정보'!D35</f>
        <v>설계</v>
      </c>
      <c r="E35" s="13" t="str">
        <f>'01_인적정보'!F35</f>
        <v>컨설팅본부</v>
      </c>
      <c r="F35" s="40" t="str">
        <f>'01_인적정보'!H35</f>
        <v>G1</v>
      </c>
      <c r="G35" s="66">
        <f>'01_인적정보'!K35</f>
        <v>36540000</v>
      </c>
      <c r="H35" s="53" t="str">
        <f>'08_종합평가'!U35</f>
        <v>B</v>
      </c>
      <c r="I35" s="47">
        <f>IF(H35="","",IF(H35="S",'02_의사결정·종합결과'!$B$26,IF(H35="A",'02_의사결정·종합결과'!$C$26,IF(H35="B",'02_의사결정·종합결과'!$D$26,IF(H35="C",'02_의사결정·종합결과'!$E$26,'02_의사결정·종합결과'!$F$26)))))</f>
        <v>0.04</v>
      </c>
      <c r="J35" s="25" t="s">
        <v>434</v>
      </c>
      <c r="K35" s="47">
        <f>IF(J35="Y",'02_의사결정·종합결과'!$B$28,0)</f>
        <v>0</v>
      </c>
      <c r="L35" s="67">
        <f t="shared" si="0"/>
        <v>0.04</v>
      </c>
      <c r="M35" s="68">
        <f>IFERROR(VLOOKUP(F35,'02_의사결정·종합결과'!$A$32:$D$38,2,FALSE()),"")</f>
        <v>33000000</v>
      </c>
      <c r="N35" s="68">
        <f>IFERROR(VLOOKUP(F35,'02_의사결정·종합결과'!$A$32:$D$38,4,FALSE()),"")</f>
        <v>44000000</v>
      </c>
      <c r="O35" s="68">
        <f t="shared" si="1"/>
        <v>38000000</v>
      </c>
      <c r="P35" s="69">
        <f t="shared" si="2"/>
        <v>38000000</v>
      </c>
      <c r="Q35" s="68">
        <f t="shared" si="3"/>
        <v>1460000</v>
      </c>
    </row>
    <row r="36" spans="1:17" ht="21.75" customHeight="1">
      <c r="A36" s="4">
        <f>'01_인적정보'!A36</f>
        <v>31</v>
      </c>
      <c r="B36" s="4" t="str">
        <f>'01_인적정보'!B36</f>
        <v>BSS-031</v>
      </c>
      <c r="C36" s="13" t="str">
        <f>'01_인적정보'!C36</f>
        <v>OOO</v>
      </c>
      <c r="D36" s="13" t="str">
        <f>'01_인적정보'!D36</f>
        <v>설계</v>
      </c>
      <c r="E36" s="13" t="str">
        <f>'01_인적정보'!F36</f>
        <v>컨설팅본부</v>
      </c>
      <c r="F36" s="40" t="str">
        <f>'01_인적정보'!H36</f>
        <v>G1</v>
      </c>
      <c r="G36" s="66">
        <f>'01_인적정보'!K36</f>
        <v>37090000</v>
      </c>
      <c r="H36" s="53" t="str">
        <f>'08_종합평가'!U36</f>
        <v>B</v>
      </c>
      <c r="I36" s="47">
        <f>IF(H36="","",IF(H36="S",'02_의사결정·종합결과'!$B$26,IF(H36="A",'02_의사결정·종합결과'!$C$26,IF(H36="B",'02_의사결정·종합결과'!$D$26,IF(H36="C",'02_의사결정·종합결과'!$E$26,'02_의사결정·종합결과'!$F$26)))))</f>
        <v>0.04</v>
      </c>
      <c r="J36" s="25" t="s">
        <v>434</v>
      </c>
      <c r="K36" s="47">
        <f>IF(J36="Y",'02_의사결정·종합결과'!$B$28,0)</f>
        <v>0</v>
      </c>
      <c r="L36" s="67">
        <f t="shared" si="0"/>
        <v>0.04</v>
      </c>
      <c r="M36" s="68">
        <f>IFERROR(VLOOKUP(F36,'02_의사결정·종합결과'!$A$32:$D$38,2,FALSE()),"")</f>
        <v>33000000</v>
      </c>
      <c r="N36" s="68">
        <f>IFERROR(VLOOKUP(F36,'02_의사결정·종합결과'!$A$32:$D$38,4,FALSE()),"")</f>
        <v>44000000</v>
      </c>
      <c r="O36" s="68">
        <f t="shared" si="1"/>
        <v>38570000</v>
      </c>
      <c r="P36" s="69">
        <f t="shared" si="2"/>
        <v>38570000</v>
      </c>
      <c r="Q36" s="68">
        <f t="shared" si="3"/>
        <v>1480000</v>
      </c>
    </row>
    <row r="37" spans="1:17" ht="21.75" customHeight="1">
      <c r="A37" s="4">
        <f>'01_인적정보'!A37</f>
        <v>32</v>
      </c>
      <c r="B37" s="4" t="str">
        <f>'01_인적정보'!B37</f>
        <v>BSS-032</v>
      </c>
      <c r="C37" s="13" t="str">
        <f>'01_인적정보'!C37</f>
        <v>OOO</v>
      </c>
      <c r="D37" s="13" t="str">
        <f>'01_인적정보'!D37</f>
        <v>설계</v>
      </c>
      <c r="E37" s="13" t="str">
        <f>'01_인적정보'!F37</f>
        <v>컨설팅본부</v>
      </c>
      <c r="F37" s="40" t="str">
        <f>'01_인적정보'!H37</f>
        <v>G1</v>
      </c>
      <c r="G37" s="66">
        <f>'01_인적정보'!K37</f>
        <v>32000000</v>
      </c>
      <c r="H37" s="53" t="str">
        <f>'08_종합평가'!U37</f>
        <v>A</v>
      </c>
      <c r="I37" s="47">
        <f>IF(H37="","",IF(H37="S",'02_의사결정·종합결과'!$B$26,IF(H37="A",'02_의사결정·종합결과'!$C$26,IF(H37="B",'02_의사결정·종합결과'!$D$26,IF(H37="C",'02_의사결정·종합결과'!$E$26,'02_의사결정·종합결과'!$F$26)))))</f>
        <v>0.05</v>
      </c>
      <c r="J37" s="25" t="s">
        <v>434</v>
      </c>
      <c r="K37" s="47">
        <f>IF(J37="Y",'02_의사결정·종합결과'!$B$28,0)</f>
        <v>0</v>
      </c>
      <c r="L37" s="67">
        <f t="shared" si="0"/>
        <v>0.05</v>
      </c>
      <c r="M37" s="68">
        <f>IFERROR(VLOOKUP(F37,'02_의사결정·종합결과'!$A$32:$D$38,2,FALSE()),"")</f>
        <v>33000000</v>
      </c>
      <c r="N37" s="68">
        <f>IFERROR(VLOOKUP(F37,'02_의사결정·종합결과'!$A$32:$D$38,4,FALSE()),"")</f>
        <v>44000000</v>
      </c>
      <c r="O37" s="68">
        <f t="shared" si="1"/>
        <v>33600000</v>
      </c>
      <c r="P37" s="69">
        <f t="shared" si="2"/>
        <v>33600000</v>
      </c>
      <c r="Q37" s="68">
        <f t="shared" si="3"/>
        <v>1600000</v>
      </c>
    </row>
    <row r="38" spans="1:17" ht="21.75" customHeight="1">
      <c r="A38" s="4">
        <f>'01_인적정보'!A38</f>
        <v>33</v>
      </c>
      <c r="B38" s="4" t="str">
        <f>'01_인적정보'!B38</f>
        <v>BSS-033</v>
      </c>
      <c r="C38" s="13" t="str">
        <f>'01_인적정보'!C38</f>
        <v>OOO</v>
      </c>
      <c r="D38" s="13" t="str">
        <f>'01_인적정보'!D38</f>
        <v>설계</v>
      </c>
      <c r="E38" s="13" t="str">
        <f>'01_인적정보'!F38</f>
        <v>컨설팅본부</v>
      </c>
      <c r="F38" s="40" t="str">
        <f>'01_인적정보'!H38</f>
        <v>G1</v>
      </c>
      <c r="G38" s="66">
        <f>'01_인적정보'!K38</f>
        <v>32000000</v>
      </c>
      <c r="H38" s="53" t="str">
        <f>'08_종합평가'!U38</f>
        <v>B</v>
      </c>
      <c r="I38" s="47">
        <f>IF(H38="","",IF(H38="S",'02_의사결정·종합결과'!$B$26,IF(H38="A",'02_의사결정·종합결과'!$C$26,IF(H38="B",'02_의사결정·종합결과'!$D$26,IF(H38="C",'02_의사결정·종합결과'!$E$26,'02_의사결정·종합결과'!$F$26)))))</f>
        <v>0.04</v>
      </c>
      <c r="J38" s="25" t="s">
        <v>434</v>
      </c>
      <c r="K38" s="47">
        <f>IF(J38="Y",'02_의사결정·종합결과'!$B$28,0)</f>
        <v>0</v>
      </c>
      <c r="L38" s="67">
        <f t="shared" si="0"/>
        <v>0.04</v>
      </c>
      <c r="M38" s="68">
        <f>IFERROR(VLOOKUP(F38,'02_의사결정·종합결과'!$A$32:$D$38,2,FALSE()),"")</f>
        <v>33000000</v>
      </c>
      <c r="N38" s="68">
        <f>IFERROR(VLOOKUP(F38,'02_의사결정·종합결과'!$A$32:$D$38,4,FALSE()),"")</f>
        <v>44000000</v>
      </c>
      <c r="O38" s="68">
        <f t="shared" si="1"/>
        <v>33280000</v>
      </c>
      <c r="P38" s="69">
        <f t="shared" si="2"/>
        <v>33280000</v>
      </c>
      <c r="Q38" s="68">
        <f t="shared" si="3"/>
        <v>1280000</v>
      </c>
    </row>
    <row r="39" spans="1:17" ht="21.75" customHeight="1">
      <c r="A39" s="4">
        <f>'01_인적정보'!A39</f>
        <v>34</v>
      </c>
      <c r="B39" s="4" t="str">
        <f>'01_인적정보'!B39</f>
        <v>BSS-034</v>
      </c>
      <c r="C39" s="13" t="str">
        <f>'01_인적정보'!C39</f>
        <v>OOO</v>
      </c>
      <c r="D39" s="13" t="str">
        <f>'01_인적정보'!D39</f>
        <v>설계</v>
      </c>
      <c r="E39" s="13" t="str">
        <f>'01_인적정보'!F39</f>
        <v>컨설팅본부</v>
      </c>
      <c r="F39" s="40" t="str">
        <f>'01_인적정보'!H39</f>
        <v>G1</v>
      </c>
      <c r="G39" s="66">
        <f>'01_인적정보'!K39</f>
        <v>32000000</v>
      </c>
      <c r="H39" s="53" t="str">
        <f>'08_종합평가'!U39</f>
        <v>S</v>
      </c>
      <c r="I39" s="47">
        <f>IF(H39="","",IF(H39="S",'02_의사결정·종합결과'!$B$26,IF(H39="A",'02_의사결정·종합결과'!$C$26,IF(H39="B",'02_의사결정·종합결과'!$D$26,IF(H39="C",'02_의사결정·종합결과'!$E$26,'02_의사결정·종합결과'!$F$26)))))</f>
        <v>0.06</v>
      </c>
      <c r="J39" s="25" t="s">
        <v>434</v>
      </c>
      <c r="K39" s="47">
        <f>IF(J39="Y",'02_의사결정·종합결과'!$B$28,0)</f>
        <v>0</v>
      </c>
      <c r="L39" s="67">
        <f t="shared" si="0"/>
        <v>0.06</v>
      </c>
      <c r="M39" s="68">
        <f>IFERROR(VLOOKUP(F39,'02_의사결정·종합결과'!$A$32:$D$38,2,FALSE()),"")</f>
        <v>33000000</v>
      </c>
      <c r="N39" s="68">
        <f>IFERROR(VLOOKUP(F39,'02_의사결정·종합결과'!$A$32:$D$38,4,FALSE()),"")</f>
        <v>44000000</v>
      </c>
      <c r="O39" s="68">
        <f t="shared" si="1"/>
        <v>33920000</v>
      </c>
      <c r="P39" s="69">
        <f t="shared" si="2"/>
        <v>33920000</v>
      </c>
      <c r="Q39" s="68">
        <f t="shared" si="3"/>
        <v>1920000</v>
      </c>
    </row>
    <row r="41" spans="1:17">
      <c r="F41" s="70" t="s">
        <v>276</v>
      </c>
      <c r="G41" s="71">
        <f>SUM(G6:G39)</f>
        <v>1687275000</v>
      </c>
      <c r="O41" s="71">
        <f>SUM(O6:O39)</f>
        <v>1753280000</v>
      </c>
      <c r="P41" s="71">
        <f>SUM(P6:P39)</f>
        <v>1753280000</v>
      </c>
      <c r="Q41" s="71">
        <f>SUM(Q6:Q39)</f>
        <v>66005000</v>
      </c>
    </row>
  </sheetData>
  <mergeCells count="2">
    <mergeCell ref="A1:Q1"/>
    <mergeCell ref="A2:Q2"/>
  </mergeCells>
  <phoneticPr fontId="28" type="noConversion"/>
  <conditionalFormatting sqref="P6:P39">
    <cfRule type="expression" dxfId="39" priority="2">
      <formula>AND(P6&lt;&gt;"",OR(P6&lt;M6,P6&gt;N6))</formula>
    </cfRule>
  </conditionalFormatting>
  <dataValidations count="1">
    <dataValidation type="list" sqref="J6:J39" xr:uid="{00000000-0002-0000-0B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N44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L15" sqref="L15"/>
    </sheetView>
  </sheetViews>
  <sheetFormatPr defaultColWidth="8.5625" defaultRowHeight="16.899999999999999"/>
  <cols>
    <col min="1" max="3" width="10" customWidth="1"/>
    <col min="4" max="12" width="15.5625" customWidth="1"/>
    <col min="13" max="13" width="15" customWidth="1"/>
  </cols>
  <sheetData>
    <row r="1" spans="1:14" ht="27.75" customHeight="1">
      <c r="A1" s="111" t="s">
        <v>435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ht="16.5" customHeight="1">
      <c r="A2" s="124" t="s">
        <v>436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</row>
    <row r="4" spans="1:14" ht="16.5" customHeight="1">
      <c r="A4" s="107" t="s">
        <v>437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</row>
    <row r="5" spans="1:14" ht="117.75" customHeight="1">
      <c r="A5" s="11" t="s">
        <v>438</v>
      </c>
      <c r="B5" s="49" t="str">
        <f>'03_전사업적평가'!B11</f>
        <v/>
      </c>
      <c r="C5" s="16" t="s">
        <v>439</v>
      </c>
      <c r="D5" s="72" t="str">
        <f>IFERROR(IF(B5="","",IF(B5="S",1.2,IF(B5="A",1.1,IF(B5="B",1,IF(B5="C",0.9,IF(B5="D",0.8,1)))))),1)</f>
        <v/>
      </c>
      <c r="E5" s="11" t="s">
        <v>440</v>
      </c>
      <c r="F5" s="73">
        <v>1</v>
      </c>
      <c r="G5" s="125" t="s">
        <v>441</v>
      </c>
      <c r="H5" s="125"/>
      <c r="I5" s="125"/>
      <c r="J5" s="125"/>
      <c r="K5" s="125"/>
      <c r="L5" s="125"/>
      <c r="M5" s="125"/>
      <c r="N5" s="125"/>
    </row>
    <row r="7" spans="1:14" ht="16.5" customHeight="1">
      <c r="A7" s="107" t="s">
        <v>442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</row>
    <row r="8" spans="1:14" ht="31.5" customHeight="1">
      <c r="A8" s="50" t="s">
        <v>145</v>
      </c>
      <c r="B8" s="51" t="s">
        <v>146</v>
      </c>
      <c r="C8" s="51" t="s">
        <v>147</v>
      </c>
      <c r="D8" s="51" t="s">
        <v>150</v>
      </c>
      <c r="E8" s="51" t="s">
        <v>152</v>
      </c>
      <c r="F8" s="51" t="s">
        <v>443</v>
      </c>
      <c r="G8" s="51" t="s">
        <v>420</v>
      </c>
      <c r="H8" s="51" t="s">
        <v>444</v>
      </c>
      <c r="I8" s="51" t="s">
        <v>445</v>
      </c>
      <c r="J8" s="51" t="s">
        <v>446</v>
      </c>
      <c r="K8" s="51" t="s">
        <v>447</v>
      </c>
      <c r="L8" s="51" t="s">
        <v>448</v>
      </c>
      <c r="M8" s="51" t="s">
        <v>158</v>
      </c>
    </row>
    <row r="9" spans="1:14" ht="21.75" customHeight="1">
      <c r="A9" s="4">
        <f>'01_인적정보'!A6</f>
        <v>1</v>
      </c>
      <c r="B9" s="4" t="str">
        <f>'01_인적정보'!B6</f>
        <v>BSS-001</v>
      </c>
      <c r="C9" s="13" t="str">
        <f>'01_인적정보'!C6</f>
        <v>OOO</v>
      </c>
      <c r="D9" s="13" t="str">
        <f>'01_인적정보'!F6</f>
        <v>스마트사업부</v>
      </c>
      <c r="E9" s="40" t="str">
        <f>'01_인적정보'!H6</f>
        <v>G6</v>
      </c>
      <c r="F9" s="66">
        <f>'01_인적정보'!K6</f>
        <v>72500000</v>
      </c>
      <c r="G9" s="49" t="str">
        <f>'08_종합평가'!U6</f>
        <v>B</v>
      </c>
      <c r="H9" s="68">
        <f t="shared" ref="H9:H42" si="0">ROUND(F9/12,-3)</f>
        <v>6042000</v>
      </c>
      <c r="I9" s="43">
        <f>IF(G9="","",IF(G9="S",'02_의사결정·종합결과'!$B$27,IF(G9="A",'02_의사결정·종합결과'!$C$27,IF(G9="B",'02_의사결정·종합결과'!$D$27,IF(G9="C",'02_의사결정·종합결과'!$E$27,'02_의사결정·종합결과'!$F$27)))))</f>
        <v>0.1</v>
      </c>
      <c r="J9" s="68">
        <f t="shared" ref="J9:J42" si="1">IF(I9="","",ROUND(H9*I9*12,-3))</f>
        <v>7250000</v>
      </c>
      <c r="K9" s="74">
        <f t="shared" ref="K9:K42" si="2">IF($F$5&lt;&gt;1,$F$5,IF($D$5="",1,$D$5))</f>
        <v>1</v>
      </c>
      <c r="L9" s="71">
        <f t="shared" ref="L9:L42" si="3">IF(J9="","",ROUND(J9*K9,-3))</f>
        <v>7250000</v>
      </c>
      <c r="M9" s="10"/>
    </row>
    <row r="10" spans="1:14" ht="21.75" customHeight="1">
      <c r="A10" s="4">
        <f>'01_인적정보'!A7</f>
        <v>2</v>
      </c>
      <c r="B10" s="4" t="str">
        <f>'01_인적정보'!B7</f>
        <v>BSS-002</v>
      </c>
      <c r="C10" s="13" t="str">
        <f>'01_인적정보'!C7</f>
        <v>OOO</v>
      </c>
      <c r="D10" s="13" t="str">
        <f>'01_인적정보'!F7</f>
        <v>R&amp;D본부</v>
      </c>
      <c r="E10" s="40" t="str">
        <f>'01_인적정보'!H7</f>
        <v>G6</v>
      </c>
      <c r="F10" s="66">
        <f>'01_인적정보'!K7</f>
        <v>68870000</v>
      </c>
      <c r="G10" s="49" t="str">
        <f>'08_종합평가'!U7</f>
        <v>B</v>
      </c>
      <c r="H10" s="68">
        <f t="shared" si="0"/>
        <v>5739000</v>
      </c>
      <c r="I10" s="43">
        <f>IF(G10="","",IF(G10="S",'02_의사결정·종합결과'!$B$27,IF(G10="A",'02_의사결정·종합결과'!$C$27,IF(G10="B",'02_의사결정·종합결과'!$D$27,IF(G10="C",'02_의사결정·종합결과'!$E$27,'02_의사결정·종합결과'!$F$27)))))</f>
        <v>0.1</v>
      </c>
      <c r="J10" s="68">
        <f t="shared" si="1"/>
        <v>6887000</v>
      </c>
      <c r="K10" s="74">
        <f t="shared" si="2"/>
        <v>1</v>
      </c>
      <c r="L10" s="71">
        <f t="shared" si="3"/>
        <v>6887000</v>
      </c>
      <c r="M10" s="10"/>
    </row>
    <row r="11" spans="1:14" ht="21.75" customHeight="1">
      <c r="A11" s="4">
        <f>'01_인적정보'!A8</f>
        <v>3</v>
      </c>
      <c r="B11" s="4" t="str">
        <f>'01_인적정보'!B8</f>
        <v>BSS-003</v>
      </c>
      <c r="C11" s="13" t="str">
        <f>'01_인적정보'!C8</f>
        <v>OOO</v>
      </c>
      <c r="D11" s="13" t="str">
        <f>'01_인적정보'!F8</f>
        <v>컨설팅본부</v>
      </c>
      <c r="E11" s="40" t="str">
        <f>'01_인적정보'!H8</f>
        <v>G6</v>
      </c>
      <c r="F11" s="66">
        <f>'01_인적정보'!K8</f>
        <v>67500000</v>
      </c>
      <c r="G11" s="49" t="str">
        <f>'08_종합평가'!U8</f>
        <v>B</v>
      </c>
      <c r="H11" s="68">
        <f t="shared" si="0"/>
        <v>5625000</v>
      </c>
      <c r="I11" s="43">
        <f>IF(G11="","",IF(G11="S",'02_의사결정·종합결과'!$B$27,IF(G11="A",'02_의사결정·종합결과'!$C$27,IF(G11="B",'02_의사결정·종합결과'!$D$27,IF(G11="C",'02_의사결정·종합결과'!$E$27,'02_의사결정·종합결과'!$F$27)))))</f>
        <v>0.1</v>
      </c>
      <c r="J11" s="68">
        <f t="shared" si="1"/>
        <v>6750000</v>
      </c>
      <c r="K11" s="74">
        <f t="shared" si="2"/>
        <v>1</v>
      </c>
      <c r="L11" s="71">
        <f t="shared" si="3"/>
        <v>6750000</v>
      </c>
      <c r="M11" s="10"/>
    </row>
    <row r="12" spans="1:14" ht="21.75" customHeight="1">
      <c r="A12" s="4">
        <f>'01_인적정보'!A9</f>
        <v>4</v>
      </c>
      <c r="B12" s="4" t="str">
        <f>'01_인적정보'!B9</f>
        <v>BSS-004</v>
      </c>
      <c r="C12" s="13" t="str">
        <f>'01_인적정보'!C9</f>
        <v>OOO</v>
      </c>
      <c r="D12" s="13" t="str">
        <f>'01_인적정보'!F9</f>
        <v>경영전략실</v>
      </c>
      <c r="E12" s="40" t="str">
        <f>'01_인적정보'!H9</f>
        <v>G6</v>
      </c>
      <c r="F12" s="66">
        <f>'01_인적정보'!K9</f>
        <v>64530000</v>
      </c>
      <c r="G12" s="49" t="str">
        <f>'08_종합평가'!U9</f>
        <v>B</v>
      </c>
      <c r="H12" s="68">
        <f t="shared" si="0"/>
        <v>5378000</v>
      </c>
      <c r="I12" s="43">
        <f>IF(G12="","",IF(G12="S",'02_의사결정·종합결과'!$B$27,IF(G12="A",'02_의사결정·종합결과'!$C$27,IF(G12="B",'02_의사결정·종합결과'!$D$27,IF(G12="C",'02_의사결정·종합결과'!$E$27,'02_의사결정·종합결과'!$F$27)))))</f>
        <v>0.1</v>
      </c>
      <c r="J12" s="68">
        <f t="shared" si="1"/>
        <v>6454000</v>
      </c>
      <c r="K12" s="74">
        <f t="shared" si="2"/>
        <v>1</v>
      </c>
      <c r="L12" s="71">
        <f t="shared" si="3"/>
        <v>6454000</v>
      </c>
      <c r="M12" s="10"/>
    </row>
    <row r="13" spans="1:14" ht="21.75" customHeight="1">
      <c r="A13" s="4">
        <f>'01_인적정보'!A10</f>
        <v>5</v>
      </c>
      <c r="B13" s="4" t="str">
        <f>'01_인적정보'!B10</f>
        <v>BSS-005</v>
      </c>
      <c r="C13" s="13" t="str">
        <f>'01_인적정보'!C10</f>
        <v>OOO</v>
      </c>
      <c r="D13" s="13" t="str">
        <f>'01_인적정보'!F10</f>
        <v>경영전략실</v>
      </c>
      <c r="E13" s="40" t="str">
        <f>'01_인적정보'!H10</f>
        <v>G6</v>
      </c>
      <c r="F13" s="66">
        <f>'01_인적정보'!K10</f>
        <v>65180000</v>
      </c>
      <c r="G13" s="49" t="str">
        <f>'08_종합평가'!U10</f>
        <v>B</v>
      </c>
      <c r="H13" s="68">
        <f t="shared" si="0"/>
        <v>5432000</v>
      </c>
      <c r="I13" s="43">
        <f>IF(G13="","",IF(G13="S",'02_의사결정·종합결과'!$B$27,IF(G13="A",'02_의사결정·종합결과'!$C$27,IF(G13="B",'02_의사결정·종합결과'!$D$27,IF(G13="C",'02_의사결정·종합결과'!$E$27,'02_의사결정·종합결과'!$F$27)))))</f>
        <v>0.1</v>
      </c>
      <c r="J13" s="68">
        <f t="shared" si="1"/>
        <v>6518000</v>
      </c>
      <c r="K13" s="74">
        <f t="shared" si="2"/>
        <v>1</v>
      </c>
      <c r="L13" s="71">
        <f t="shared" si="3"/>
        <v>6518000</v>
      </c>
      <c r="M13" s="10"/>
    </row>
    <row r="14" spans="1:14" ht="21.75" customHeight="1">
      <c r="A14" s="4">
        <f>'01_인적정보'!A11</f>
        <v>6</v>
      </c>
      <c r="B14" s="4" t="str">
        <f>'01_인적정보'!B11</f>
        <v>BSS-006</v>
      </c>
      <c r="C14" s="13" t="str">
        <f>'01_인적정보'!C11</f>
        <v>OOO</v>
      </c>
      <c r="D14" s="13" t="str">
        <f>'01_인적정보'!F11</f>
        <v>경영전략실</v>
      </c>
      <c r="E14" s="40" t="str">
        <f>'01_인적정보'!H11</f>
        <v>G6</v>
      </c>
      <c r="F14" s="66">
        <f>'01_인적정보'!K11</f>
        <v>62000000</v>
      </c>
      <c r="G14" s="49" t="str">
        <f>'08_종합평가'!U11</f>
        <v>D</v>
      </c>
      <c r="H14" s="68">
        <f t="shared" si="0"/>
        <v>5167000</v>
      </c>
      <c r="I14" s="43">
        <f>IF(G14="","",IF(G14="S",'02_의사결정·종합결과'!$B$27,IF(G14="A",'02_의사결정·종합결과'!$C$27,IF(G14="B",'02_의사결정·종합결과'!$D$27,IF(G14="C",'02_의사결정·종합결과'!$E$27,'02_의사결정·종합결과'!$F$27)))))</f>
        <v>0</v>
      </c>
      <c r="J14" s="68">
        <f t="shared" si="1"/>
        <v>0</v>
      </c>
      <c r="K14" s="74">
        <f t="shared" si="2"/>
        <v>1</v>
      </c>
      <c r="L14" s="71">
        <f t="shared" si="3"/>
        <v>0</v>
      </c>
      <c r="M14" s="10"/>
    </row>
    <row r="15" spans="1:14" ht="21.75" customHeight="1">
      <c r="A15" s="4">
        <f>'01_인적정보'!A12</f>
        <v>7</v>
      </c>
      <c r="B15" s="4" t="str">
        <f>'01_인적정보'!B12</f>
        <v>BSS-007</v>
      </c>
      <c r="C15" s="13" t="str">
        <f>'01_인적정보'!C12</f>
        <v>OOO</v>
      </c>
      <c r="D15" s="13" t="str">
        <f>'01_인적정보'!F12</f>
        <v>솔루션본부</v>
      </c>
      <c r="E15" s="40" t="str">
        <f>'01_인적정보'!H12</f>
        <v>G5-M</v>
      </c>
      <c r="F15" s="66">
        <f>'01_인적정보'!K12</f>
        <v>59700000</v>
      </c>
      <c r="G15" s="49" t="str">
        <f>'08_종합평가'!U12</f>
        <v>B</v>
      </c>
      <c r="H15" s="68">
        <f t="shared" si="0"/>
        <v>4975000</v>
      </c>
      <c r="I15" s="43">
        <f>IF(G15="","",IF(G15="S",'02_의사결정·종합결과'!$B$27,IF(G15="A",'02_의사결정·종합결과'!$C$27,IF(G15="B",'02_의사결정·종합결과'!$D$27,IF(G15="C",'02_의사결정·종합결과'!$E$27,'02_의사결정·종합결과'!$F$27)))))</f>
        <v>0.1</v>
      </c>
      <c r="J15" s="68">
        <f t="shared" si="1"/>
        <v>5970000</v>
      </c>
      <c r="K15" s="74">
        <f t="shared" si="2"/>
        <v>1</v>
      </c>
      <c r="L15" s="71">
        <f t="shared" si="3"/>
        <v>5970000</v>
      </c>
      <c r="M15" s="10"/>
    </row>
    <row r="16" spans="1:14" ht="21.75" customHeight="1">
      <c r="A16" s="4">
        <f>'01_인적정보'!A13</f>
        <v>8</v>
      </c>
      <c r="B16" s="4" t="str">
        <f>'01_인적정보'!B13</f>
        <v>BSS-008</v>
      </c>
      <c r="C16" s="13" t="str">
        <f>'01_인적정보'!C13</f>
        <v>OOO</v>
      </c>
      <c r="D16" s="13" t="str">
        <f>'01_인적정보'!F13</f>
        <v>솔루션본부</v>
      </c>
      <c r="E16" s="40" t="str">
        <f>'01_인적정보'!H13</f>
        <v>G5-M</v>
      </c>
      <c r="F16" s="66">
        <f>'01_인적정보'!K13</f>
        <v>59050000</v>
      </c>
      <c r="G16" s="49" t="str">
        <f>'08_종합평가'!U13</f>
        <v>C</v>
      </c>
      <c r="H16" s="68">
        <f t="shared" si="0"/>
        <v>4921000</v>
      </c>
      <c r="I16" s="43">
        <f>IF(G16="","",IF(G16="S",'02_의사결정·종합결과'!$B$27,IF(G16="A",'02_의사결정·종합결과'!$C$27,IF(G16="B",'02_의사결정·종합결과'!$D$27,IF(G16="C",'02_의사결정·종합결과'!$E$27,'02_의사결정·종합결과'!$F$27)))))</f>
        <v>0.05</v>
      </c>
      <c r="J16" s="68">
        <f t="shared" si="1"/>
        <v>2953000</v>
      </c>
      <c r="K16" s="74">
        <f t="shared" si="2"/>
        <v>1</v>
      </c>
      <c r="L16" s="71">
        <f t="shared" si="3"/>
        <v>2953000</v>
      </c>
      <c r="M16" s="10"/>
    </row>
    <row r="17" spans="1:13" ht="21.75" customHeight="1">
      <c r="A17" s="4">
        <f>'01_인적정보'!A14</f>
        <v>9</v>
      </c>
      <c r="B17" s="4" t="str">
        <f>'01_인적정보'!B14</f>
        <v>BSS-009</v>
      </c>
      <c r="C17" s="13" t="str">
        <f>'01_인적정보'!C14</f>
        <v>OOO</v>
      </c>
      <c r="D17" s="13" t="str">
        <f>'01_인적정보'!F14</f>
        <v>컨설팅본부</v>
      </c>
      <c r="E17" s="40" t="str">
        <f>'01_인적정보'!H14</f>
        <v>G5-M</v>
      </c>
      <c r="F17" s="66">
        <f>'01_인적정보'!K14</f>
        <v>59050000</v>
      </c>
      <c r="G17" s="49" t="str">
        <f>'08_종합평가'!U14</f>
        <v>A</v>
      </c>
      <c r="H17" s="68">
        <f t="shared" si="0"/>
        <v>4921000</v>
      </c>
      <c r="I17" s="43">
        <f>IF(G17="","",IF(G17="S",'02_의사결정·종합결과'!$B$27,IF(G17="A",'02_의사결정·종합결과'!$C$27,IF(G17="B",'02_의사결정·종합결과'!$D$27,IF(G17="C",'02_의사결정·종합결과'!$E$27,'02_의사결정·종합결과'!$F$27)))))</f>
        <v>0.15</v>
      </c>
      <c r="J17" s="68">
        <f t="shared" si="1"/>
        <v>8858000</v>
      </c>
      <c r="K17" s="74">
        <f t="shared" si="2"/>
        <v>1</v>
      </c>
      <c r="L17" s="71">
        <f t="shared" si="3"/>
        <v>8858000</v>
      </c>
      <c r="M17" s="10"/>
    </row>
    <row r="18" spans="1:13" ht="21.75" customHeight="1">
      <c r="A18" s="4">
        <f>'01_인적정보'!A15</f>
        <v>10</v>
      </c>
      <c r="B18" s="4" t="str">
        <f>'01_인적정보'!B15</f>
        <v>BSS-010</v>
      </c>
      <c r="C18" s="13" t="str">
        <f>'01_인적정보'!C15</f>
        <v>OOO</v>
      </c>
      <c r="D18" s="13" t="str">
        <f>'01_인적정보'!F15</f>
        <v>컨설팅본부</v>
      </c>
      <c r="E18" s="40" t="str">
        <f>'01_인적정보'!H15</f>
        <v>G5-S</v>
      </c>
      <c r="F18" s="66">
        <f>'01_인적정보'!K15</f>
        <v>59050000</v>
      </c>
      <c r="G18" s="49" t="str">
        <f>'08_종합평가'!U15</f>
        <v>B</v>
      </c>
      <c r="H18" s="68">
        <f t="shared" si="0"/>
        <v>4921000</v>
      </c>
      <c r="I18" s="43">
        <f>IF(G18="","",IF(G18="S",'02_의사결정·종합결과'!$B$27,IF(G18="A",'02_의사결정·종합결과'!$C$27,IF(G18="B",'02_의사결정·종합결과'!$D$27,IF(G18="C",'02_의사결정·종합결과'!$E$27,'02_의사결정·종합결과'!$F$27)))))</f>
        <v>0.1</v>
      </c>
      <c r="J18" s="68">
        <f t="shared" si="1"/>
        <v>5905000</v>
      </c>
      <c r="K18" s="74">
        <f t="shared" si="2"/>
        <v>1</v>
      </c>
      <c r="L18" s="71">
        <f t="shared" si="3"/>
        <v>5905000</v>
      </c>
      <c r="M18" s="10"/>
    </row>
    <row r="19" spans="1:13" ht="21.75" customHeight="1">
      <c r="A19" s="4">
        <f>'01_인적정보'!A16</f>
        <v>11</v>
      </c>
      <c r="B19" s="4" t="str">
        <f>'01_인적정보'!B16</f>
        <v>BSS-011</v>
      </c>
      <c r="C19" s="13" t="str">
        <f>'01_인적정보'!C16</f>
        <v>OOO</v>
      </c>
      <c r="D19" s="13" t="str">
        <f>'01_인적정보'!F16</f>
        <v>컨설팅본부</v>
      </c>
      <c r="E19" s="40" t="str">
        <f>'01_인적정보'!H16</f>
        <v>G5-S</v>
      </c>
      <c r="F19" s="66">
        <f>'01_인적정보'!K16</f>
        <v>57760000</v>
      </c>
      <c r="G19" s="49" t="str">
        <f>'08_종합평가'!U16</f>
        <v>C</v>
      </c>
      <c r="H19" s="68">
        <f t="shared" si="0"/>
        <v>4813000</v>
      </c>
      <c r="I19" s="43">
        <f>IF(G19="","",IF(G19="S",'02_의사결정·종합결과'!$B$27,IF(G19="A",'02_의사결정·종합결과'!$C$27,IF(G19="B",'02_의사결정·종합결과'!$D$27,IF(G19="C",'02_의사결정·종합결과'!$E$27,'02_의사결정·종합결과'!$F$27)))))</f>
        <v>0.05</v>
      </c>
      <c r="J19" s="68">
        <f t="shared" si="1"/>
        <v>2888000</v>
      </c>
      <c r="K19" s="74">
        <f t="shared" si="2"/>
        <v>1</v>
      </c>
      <c r="L19" s="71">
        <f t="shared" si="3"/>
        <v>2888000</v>
      </c>
      <c r="M19" s="10"/>
    </row>
    <row r="20" spans="1:13" ht="21.75" customHeight="1">
      <c r="A20" s="4">
        <f>'01_인적정보'!A17</f>
        <v>12</v>
      </c>
      <c r="B20" s="4" t="str">
        <f>'01_인적정보'!B17</f>
        <v>BSS-012</v>
      </c>
      <c r="C20" s="13" t="str">
        <f>'01_인적정보'!C17</f>
        <v>OOO</v>
      </c>
      <c r="D20" s="13" t="str">
        <f>'01_인적정보'!F17</f>
        <v>마케팅팀</v>
      </c>
      <c r="E20" s="40" t="str">
        <f>'01_인적정보'!H17</f>
        <v>G5-M</v>
      </c>
      <c r="F20" s="66">
        <f>'01_인적정보'!K17</f>
        <v>57760000</v>
      </c>
      <c r="G20" s="49" t="str">
        <f>'08_종합평가'!U17</f>
        <v>D</v>
      </c>
      <c r="H20" s="68">
        <f t="shared" si="0"/>
        <v>4813000</v>
      </c>
      <c r="I20" s="43">
        <f>IF(G20="","",IF(G20="S",'02_의사결정·종합결과'!$B$27,IF(G20="A",'02_의사결정·종합결과'!$C$27,IF(G20="B",'02_의사결정·종합결과'!$D$27,IF(G20="C",'02_의사결정·종합결과'!$E$27,'02_의사결정·종합결과'!$F$27)))))</f>
        <v>0</v>
      </c>
      <c r="J20" s="68">
        <f t="shared" si="1"/>
        <v>0</v>
      </c>
      <c r="K20" s="74">
        <f t="shared" si="2"/>
        <v>1</v>
      </c>
      <c r="L20" s="71">
        <f t="shared" si="3"/>
        <v>0</v>
      </c>
      <c r="M20" s="10"/>
    </row>
    <row r="21" spans="1:13" ht="21.75" customHeight="1">
      <c r="A21" s="4">
        <f>'01_인적정보'!A18</f>
        <v>13</v>
      </c>
      <c r="B21" s="4" t="str">
        <f>'01_인적정보'!B18</f>
        <v>BSS-013</v>
      </c>
      <c r="C21" s="13" t="str">
        <f>'01_인적정보'!C18</f>
        <v>OOO</v>
      </c>
      <c r="D21" s="13" t="str">
        <f>'01_인적정보'!F18</f>
        <v>컨설팅본부</v>
      </c>
      <c r="E21" s="40" t="str">
        <f>'01_인적정보'!H18</f>
        <v>G5-S</v>
      </c>
      <c r="F21" s="66">
        <f>'01_인적정보'!K18</f>
        <v>58400000</v>
      </c>
      <c r="G21" s="49" t="str">
        <f>'08_종합평가'!U18</f>
        <v>S</v>
      </c>
      <c r="H21" s="68">
        <f t="shared" si="0"/>
        <v>4867000</v>
      </c>
      <c r="I21" s="43">
        <f>IF(G21="","",IF(G21="S",'02_의사결정·종합결과'!$B$27,IF(G21="A",'02_의사결정·종합결과'!$C$27,IF(G21="B",'02_의사결정·종합결과'!$D$27,IF(G21="C",'02_의사결정·종합결과'!$E$27,'02_의사결정·종합결과'!$F$27)))))</f>
        <v>0.2</v>
      </c>
      <c r="J21" s="68">
        <f t="shared" si="1"/>
        <v>11681000</v>
      </c>
      <c r="K21" s="74">
        <f t="shared" si="2"/>
        <v>1</v>
      </c>
      <c r="L21" s="71">
        <f t="shared" si="3"/>
        <v>11681000</v>
      </c>
      <c r="M21" s="10"/>
    </row>
    <row r="22" spans="1:13" ht="21.75" customHeight="1">
      <c r="A22" s="4">
        <f>'01_인적정보'!A19</f>
        <v>14</v>
      </c>
      <c r="B22" s="4" t="str">
        <f>'01_인적정보'!B19</f>
        <v>BSS-014</v>
      </c>
      <c r="C22" s="13" t="str">
        <f>'01_인적정보'!C19</f>
        <v>OOO</v>
      </c>
      <c r="D22" s="13" t="str">
        <f>'01_인적정보'!F19</f>
        <v>컨설팅본부</v>
      </c>
      <c r="E22" s="40" t="str">
        <f>'01_인적정보'!H19</f>
        <v>G5-S</v>
      </c>
      <c r="F22" s="66">
        <f>'01_인적정보'!K19</f>
        <v>56500000</v>
      </c>
      <c r="G22" s="49" t="str">
        <f>'08_종합평가'!U19</f>
        <v>B</v>
      </c>
      <c r="H22" s="68">
        <f t="shared" si="0"/>
        <v>4708000</v>
      </c>
      <c r="I22" s="43">
        <f>IF(G22="","",IF(G22="S",'02_의사결정·종합결과'!$B$27,IF(G22="A",'02_의사결정·종합결과'!$C$27,IF(G22="B",'02_의사결정·종합결과'!$D$27,IF(G22="C",'02_의사결정·종합결과'!$E$27,'02_의사결정·종합결과'!$F$27)))))</f>
        <v>0.1</v>
      </c>
      <c r="J22" s="68">
        <f t="shared" si="1"/>
        <v>5650000</v>
      </c>
      <c r="K22" s="74">
        <f t="shared" si="2"/>
        <v>1</v>
      </c>
      <c r="L22" s="71">
        <f t="shared" si="3"/>
        <v>5650000</v>
      </c>
      <c r="M22" s="10"/>
    </row>
    <row r="23" spans="1:13" ht="21.75" customHeight="1">
      <c r="A23" s="4">
        <f>'01_인적정보'!A20</f>
        <v>15</v>
      </c>
      <c r="B23" s="4" t="str">
        <f>'01_인적정보'!B20</f>
        <v>BSS-015</v>
      </c>
      <c r="C23" s="13" t="str">
        <f>'01_인적정보'!C20</f>
        <v>OOO</v>
      </c>
      <c r="D23" s="13" t="str">
        <f>'01_인적정보'!F20</f>
        <v>컨설팅본부</v>
      </c>
      <c r="E23" s="40" t="str">
        <f>'01_인적정보'!H20</f>
        <v>G5-S</v>
      </c>
      <c r="F23" s="66">
        <f>'01_인적정보'!K20</f>
        <v>53160000</v>
      </c>
      <c r="G23" s="49" t="str">
        <f>'08_종합평가'!U20</f>
        <v>C</v>
      </c>
      <c r="H23" s="68">
        <f t="shared" si="0"/>
        <v>4430000</v>
      </c>
      <c r="I23" s="43">
        <f>IF(G23="","",IF(G23="S",'02_의사결정·종합결과'!$B$27,IF(G23="A",'02_의사결정·종합결과'!$C$27,IF(G23="B",'02_의사결정·종합결과'!$D$27,IF(G23="C",'02_의사결정·종합결과'!$E$27,'02_의사결정·종합결과'!$F$27)))))</f>
        <v>0.05</v>
      </c>
      <c r="J23" s="68">
        <f t="shared" si="1"/>
        <v>2658000</v>
      </c>
      <c r="K23" s="74">
        <f t="shared" si="2"/>
        <v>1</v>
      </c>
      <c r="L23" s="71">
        <f t="shared" si="3"/>
        <v>2658000</v>
      </c>
      <c r="M23" s="10"/>
    </row>
    <row r="24" spans="1:13" ht="21.75" customHeight="1">
      <c r="A24" s="4">
        <f>'01_인적정보'!A21</f>
        <v>16</v>
      </c>
      <c r="B24" s="4" t="str">
        <f>'01_인적정보'!B21</f>
        <v>BSS-016</v>
      </c>
      <c r="C24" s="13" t="str">
        <f>'01_인적정보'!C21</f>
        <v>OOO</v>
      </c>
      <c r="D24" s="13" t="str">
        <f>'01_인적정보'!F21</f>
        <v>컨설팅본부</v>
      </c>
      <c r="E24" s="40" t="str">
        <f>'01_인적정보'!H21</f>
        <v>G5-S</v>
      </c>
      <c r="F24" s="66">
        <f>'01_인적정보'!K21</f>
        <v>53750000</v>
      </c>
      <c r="G24" s="49" t="str">
        <f>'08_종합평가'!U21</f>
        <v>B</v>
      </c>
      <c r="H24" s="68">
        <f t="shared" si="0"/>
        <v>4479000</v>
      </c>
      <c r="I24" s="43">
        <f>IF(G24="","",IF(G24="S",'02_의사결정·종합결과'!$B$27,IF(G24="A",'02_의사결정·종합결과'!$C$27,IF(G24="B",'02_의사결정·종합결과'!$D$27,IF(G24="C",'02_의사결정·종합결과'!$E$27,'02_의사결정·종합결과'!$F$27)))))</f>
        <v>0.1</v>
      </c>
      <c r="J24" s="68">
        <f t="shared" si="1"/>
        <v>5375000</v>
      </c>
      <c r="K24" s="74">
        <f t="shared" si="2"/>
        <v>1</v>
      </c>
      <c r="L24" s="71">
        <f t="shared" si="3"/>
        <v>5375000</v>
      </c>
      <c r="M24" s="10"/>
    </row>
    <row r="25" spans="1:13" ht="21.75" customHeight="1">
      <c r="A25" s="4">
        <f>'01_인적정보'!A22</f>
        <v>17</v>
      </c>
      <c r="B25" s="4" t="str">
        <f>'01_인적정보'!B22</f>
        <v>BSS-017</v>
      </c>
      <c r="C25" s="13" t="str">
        <f>'01_인적정보'!C22</f>
        <v>OOO</v>
      </c>
      <c r="D25" s="13" t="str">
        <f>'01_인적정보'!F22</f>
        <v>솔루션본부</v>
      </c>
      <c r="E25" s="40" t="str">
        <f>'01_인적정보'!H22</f>
        <v>G4</v>
      </c>
      <c r="F25" s="66">
        <f>'01_인적정보'!K22</f>
        <v>49240000</v>
      </c>
      <c r="G25" s="49" t="str">
        <f>'08_종합평가'!U22</f>
        <v>B</v>
      </c>
      <c r="H25" s="68">
        <f t="shared" si="0"/>
        <v>4103000</v>
      </c>
      <c r="I25" s="43">
        <f>IF(G25="","",IF(G25="S",'02_의사결정·종합결과'!$B$27,IF(G25="A",'02_의사결정·종합결과'!$C$27,IF(G25="B",'02_의사결정·종합결과'!$D$27,IF(G25="C",'02_의사결정·종합결과'!$E$27,'02_의사결정·종합결과'!$F$27)))))</f>
        <v>0.1</v>
      </c>
      <c r="J25" s="68">
        <f t="shared" si="1"/>
        <v>4924000</v>
      </c>
      <c r="K25" s="74">
        <f t="shared" si="2"/>
        <v>1</v>
      </c>
      <c r="L25" s="71">
        <f t="shared" si="3"/>
        <v>4924000</v>
      </c>
      <c r="M25" s="10"/>
    </row>
    <row r="26" spans="1:13" ht="21.75" customHeight="1">
      <c r="A26" s="4">
        <f>'01_인적정보'!A23</f>
        <v>18</v>
      </c>
      <c r="B26" s="4" t="str">
        <f>'01_인적정보'!B23</f>
        <v>BSS-018</v>
      </c>
      <c r="C26" s="13" t="str">
        <f>'01_인적정보'!C23</f>
        <v>OOO</v>
      </c>
      <c r="D26" s="13" t="str">
        <f>'01_인적정보'!F23</f>
        <v>컨설팅본부</v>
      </c>
      <c r="E26" s="40" t="str">
        <f>'01_인적정보'!H23</f>
        <v>G4</v>
      </c>
      <c r="F26" s="66">
        <f>'01_인적정보'!K23</f>
        <v>48650000</v>
      </c>
      <c r="G26" s="49" t="str">
        <f>'08_종합평가'!U23</f>
        <v>A</v>
      </c>
      <c r="H26" s="68">
        <f t="shared" si="0"/>
        <v>4054000</v>
      </c>
      <c r="I26" s="43">
        <f>IF(G26="","",IF(G26="S",'02_의사결정·종합결과'!$B$27,IF(G26="A",'02_의사결정·종합결과'!$C$27,IF(G26="B",'02_의사결정·종합결과'!$D$27,IF(G26="C",'02_의사결정·종합결과'!$E$27,'02_의사결정·종합결과'!$F$27)))))</f>
        <v>0.15</v>
      </c>
      <c r="J26" s="68">
        <f t="shared" si="1"/>
        <v>7297000</v>
      </c>
      <c r="K26" s="74">
        <f t="shared" si="2"/>
        <v>1</v>
      </c>
      <c r="L26" s="71">
        <f t="shared" si="3"/>
        <v>7297000</v>
      </c>
      <c r="M26" s="10"/>
    </row>
    <row r="27" spans="1:13" ht="21.75" customHeight="1">
      <c r="A27" s="4">
        <f>'01_인적정보'!A24</f>
        <v>19</v>
      </c>
      <c r="B27" s="4" t="str">
        <f>'01_인적정보'!B24</f>
        <v>BSS-019</v>
      </c>
      <c r="C27" s="13" t="str">
        <f>'01_인적정보'!C24</f>
        <v>OOO</v>
      </c>
      <c r="D27" s="13" t="str">
        <f>'01_인적정보'!F24</f>
        <v>컨설팅본부</v>
      </c>
      <c r="E27" s="40" t="str">
        <f>'01_인적정보'!H24</f>
        <v>G3</v>
      </c>
      <c r="F27" s="66">
        <f>'01_인적정보'!K24</f>
        <v>47500000</v>
      </c>
      <c r="G27" s="49" t="str">
        <f>'08_종합평가'!U24</f>
        <v>B</v>
      </c>
      <c r="H27" s="68">
        <f t="shared" si="0"/>
        <v>3958000</v>
      </c>
      <c r="I27" s="43">
        <f>IF(G27="","",IF(G27="S",'02_의사결정·종합결과'!$B$27,IF(G27="A",'02_의사결정·종합결과'!$C$27,IF(G27="B",'02_의사결정·종합결과'!$D$27,IF(G27="C",'02_의사결정·종합결과'!$E$27,'02_의사결정·종합결과'!$F$27)))))</f>
        <v>0.1</v>
      </c>
      <c r="J27" s="68">
        <f t="shared" si="1"/>
        <v>4750000</v>
      </c>
      <c r="K27" s="74">
        <f t="shared" si="2"/>
        <v>1</v>
      </c>
      <c r="L27" s="71">
        <f t="shared" si="3"/>
        <v>4750000</v>
      </c>
      <c r="M27" s="10"/>
    </row>
    <row r="28" spans="1:13" ht="21.75" customHeight="1">
      <c r="A28" s="4">
        <f>'01_인적정보'!A25</f>
        <v>20</v>
      </c>
      <c r="B28" s="4" t="str">
        <f>'01_인적정보'!B25</f>
        <v>BSS-020</v>
      </c>
      <c r="C28" s="13" t="str">
        <f>'01_인적정보'!C25</f>
        <v>OOO</v>
      </c>
      <c r="D28" s="13" t="str">
        <f>'01_인적정보'!F25</f>
        <v>솔루션본부</v>
      </c>
      <c r="E28" s="40" t="str">
        <f>'01_인적정보'!H25</f>
        <v>G3</v>
      </c>
      <c r="F28" s="66">
        <f>'01_인적정보'!K25</f>
        <v>43060000</v>
      </c>
      <c r="G28" s="49" t="str">
        <f>'08_종합평가'!U25</f>
        <v>C</v>
      </c>
      <c r="H28" s="68">
        <f t="shared" si="0"/>
        <v>3588000</v>
      </c>
      <c r="I28" s="43">
        <f>IF(G28="","",IF(G28="S",'02_의사결정·종합결과'!$B$27,IF(G28="A",'02_의사결정·종합결과'!$C$27,IF(G28="B",'02_의사결정·종합결과'!$D$27,IF(G28="C",'02_의사결정·종합결과'!$E$27,'02_의사결정·종합결과'!$F$27)))))</f>
        <v>0.05</v>
      </c>
      <c r="J28" s="68">
        <f t="shared" si="1"/>
        <v>2153000</v>
      </c>
      <c r="K28" s="74">
        <f t="shared" si="2"/>
        <v>1</v>
      </c>
      <c r="L28" s="71">
        <f t="shared" si="3"/>
        <v>2153000</v>
      </c>
      <c r="M28" s="10"/>
    </row>
    <row r="29" spans="1:13" ht="21.75" customHeight="1">
      <c r="A29" s="4">
        <f>'01_인적정보'!A26</f>
        <v>21</v>
      </c>
      <c r="B29" s="4" t="str">
        <f>'01_인적정보'!B26</f>
        <v>BSS-021</v>
      </c>
      <c r="C29" s="13" t="str">
        <f>'01_인적정보'!C26</f>
        <v>OOO</v>
      </c>
      <c r="D29" s="13" t="str">
        <f>'01_인적정보'!F26</f>
        <v>컨설팅본부</v>
      </c>
      <c r="E29" s="40" t="str">
        <f>'01_인적정보'!H26</f>
        <v>G2</v>
      </c>
      <c r="F29" s="66">
        <f>'01_인적정보'!K26</f>
        <v>42500000</v>
      </c>
      <c r="G29" s="49" t="str">
        <f>'08_종합평가'!U26</f>
        <v>D</v>
      </c>
      <c r="H29" s="68">
        <f t="shared" si="0"/>
        <v>3542000</v>
      </c>
      <c r="I29" s="43">
        <f>IF(G29="","",IF(G29="S",'02_의사결정·종합결과'!$B$27,IF(G29="A",'02_의사결정·종합결과'!$C$27,IF(G29="B",'02_의사결정·종합결과'!$D$27,IF(G29="C",'02_의사결정·종합결과'!$E$27,'02_의사결정·종합결과'!$F$27)))))</f>
        <v>0</v>
      </c>
      <c r="J29" s="68">
        <f t="shared" si="1"/>
        <v>0</v>
      </c>
      <c r="K29" s="74">
        <f t="shared" si="2"/>
        <v>1</v>
      </c>
      <c r="L29" s="71">
        <f t="shared" si="3"/>
        <v>0</v>
      </c>
      <c r="M29" s="10"/>
    </row>
    <row r="30" spans="1:13" ht="21.75" customHeight="1">
      <c r="A30" s="4">
        <f>'01_인적정보'!A27</f>
        <v>22</v>
      </c>
      <c r="B30" s="4" t="str">
        <f>'01_인적정보'!B27</f>
        <v>BSS-022</v>
      </c>
      <c r="C30" s="13" t="str">
        <f>'01_인적정보'!C27</f>
        <v>OOO</v>
      </c>
      <c r="D30" s="13" t="str">
        <f>'01_인적정보'!F27</f>
        <v>컨설팅본부</v>
      </c>
      <c r="E30" s="40" t="str">
        <f>'01_인적정보'!H27</f>
        <v>G2</v>
      </c>
      <c r="F30" s="66">
        <f>'01_인적정보'!K27</f>
        <v>42500000</v>
      </c>
      <c r="G30" s="49" t="str">
        <f>'08_종합평가'!U27</f>
        <v>B</v>
      </c>
      <c r="H30" s="68">
        <f t="shared" si="0"/>
        <v>3542000</v>
      </c>
      <c r="I30" s="43">
        <f>IF(G30="","",IF(G30="S",'02_의사결정·종합결과'!$B$27,IF(G30="A",'02_의사결정·종합결과'!$C$27,IF(G30="B",'02_의사결정·종합결과'!$D$27,IF(G30="C",'02_의사결정·종합결과'!$E$27,'02_의사결정·종합결과'!$F$27)))))</f>
        <v>0.1</v>
      </c>
      <c r="J30" s="68">
        <f t="shared" si="1"/>
        <v>4250000</v>
      </c>
      <c r="K30" s="74">
        <f t="shared" si="2"/>
        <v>1</v>
      </c>
      <c r="L30" s="71">
        <f t="shared" si="3"/>
        <v>4250000</v>
      </c>
      <c r="M30" s="10"/>
    </row>
    <row r="31" spans="1:13" ht="21.75" customHeight="1">
      <c r="A31" s="4">
        <f>'01_인적정보'!A28</f>
        <v>23</v>
      </c>
      <c r="B31" s="4" t="str">
        <f>'01_인적정보'!B28</f>
        <v>BSS-023</v>
      </c>
      <c r="C31" s="13" t="str">
        <f>'01_인적정보'!C28</f>
        <v>OOO</v>
      </c>
      <c r="D31" s="13" t="str">
        <f>'01_인적정보'!F28</f>
        <v>컨설팅본부</v>
      </c>
      <c r="E31" s="40" t="str">
        <f>'01_인적정보'!H28</f>
        <v>G2</v>
      </c>
      <c r="F31" s="66">
        <f>'01_인적정보'!K28</f>
        <v>42500000</v>
      </c>
      <c r="G31" s="49" t="str">
        <f>'08_종합평가'!U28</f>
        <v>B</v>
      </c>
      <c r="H31" s="68">
        <f t="shared" si="0"/>
        <v>3542000</v>
      </c>
      <c r="I31" s="43">
        <f>IF(G31="","",IF(G31="S",'02_의사결정·종합결과'!$B$27,IF(G31="A",'02_의사결정·종합결과'!$C$27,IF(G31="B",'02_의사결정·종합결과'!$D$27,IF(G31="C",'02_의사결정·종합결과'!$E$27,'02_의사결정·종합결과'!$F$27)))))</f>
        <v>0.1</v>
      </c>
      <c r="J31" s="68">
        <f t="shared" si="1"/>
        <v>4250000</v>
      </c>
      <c r="K31" s="74">
        <f t="shared" si="2"/>
        <v>1</v>
      </c>
      <c r="L31" s="71">
        <f t="shared" si="3"/>
        <v>4250000</v>
      </c>
      <c r="M31" s="10"/>
    </row>
    <row r="32" spans="1:13" ht="21.75" customHeight="1">
      <c r="A32" s="4">
        <f>'01_인적정보'!A29</f>
        <v>24</v>
      </c>
      <c r="B32" s="4" t="str">
        <f>'01_인적정보'!B29</f>
        <v>BSS-024</v>
      </c>
      <c r="C32" s="13" t="str">
        <f>'01_인적정보'!C29</f>
        <v>OOO</v>
      </c>
      <c r="D32" s="13" t="str">
        <f>'01_인적정보'!F29</f>
        <v>컨설팅본부</v>
      </c>
      <c r="E32" s="40" t="str">
        <f>'01_인적정보'!H29</f>
        <v>G2</v>
      </c>
      <c r="F32" s="66">
        <f>'01_인적정보'!K29</f>
        <v>42500000</v>
      </c>
      <c r="G32" s="49" t="str">
        <f>'08_종합평가'!U29</f>
        <v>S</v>
      </c>
      <c r="H32" s="68">
        <f t="shared" si="0"/>
        <v>3542000</v>
      </c>
      <c r="I32" s="43">
        <f>IF(G32="","",IF(G32="S",'02_의사결정·종합결과'!$B$27,IF(G32="A",'02_의사결정·종합결과'!$C$27,IF(G32="B",'02_의사결정·종합결과'!$D$27,IF(G32="C",'02_의사결정·종합결과'!$E$27,'02_의사결정·종합결과'!$F$27)))))</f>
        <v>0.2</v>
      </c>
      <c r="J32" s="68">
        <f t="shared" si="1"/>
        <v>8501000</v>
      </c>
      <c r="K32" s="74">
        <f t="shared" si="2"/>
        <v>1</v>
      </c>
      <c r="L32" s="71">
        <f t="shared" si="3"/>
        <v>8501000</v>
      </c>
      <c r="M32" s="10"/>
    </row>
    <row r="33" spans="1:13" ht="21.75" customHeight="1">
      <c r="A33" s="4">
        <f>'01_인적정보'!A30</f>
        <v>25</v>
      </c>
      <c r="B33" s="4" t="str">
        <f>'01_인적정보'!B30</f>
        <v>BSS-025</v>
      </c>
      <c r="C33" s="13" t="str">
        <f>'01_인적정보'!C30</f>
        <v>OOO</v>
      </c>
      <c r="D33" s="13" t="str">
        <f>'01_인적정보'!F30</f>
        <v>컨설팅본부</v>
      </c>
      <c r="E33" s="40" t="str">
        <f>'01_인적정보'!H30</f>
        <v>G2</v>
      </c>
      <c r="F33" s="66">
        <f>'01_인적정보'!K30</f>
        <v>42500000</v>
      </c>
      <c r="G33" s="49" t="str">
        <f>'08_종합평가'!U30</f>
        <v>D</v>
      </c>
      <c r="H33" s="68">
        <f t="shared" si="0"/>
        <v>3542000</v>
      </c>
      <c r="I33" s="43">
        <f>IF(G33="","",IF(G33="S",'02_의사결정·종합결과'!$B$27,IF(G33="A",'02_의사결정·종합결과'!$C$27,IF(G33="B",'02_의사결정·종합결과'!$D$27,IF(G33="C",'02_의사결정·종합결과'!$E$27,'02_의사결정·종합결과'!$F$27)))))</f>
        <v>0</v>
      </c>
      <c r="J33" s="68">
        <f t="shared" si="1"/>
        <v>0</v>
      </c>
      <c r="K33" s="74">
        <f t="shared" si="2"/>
        <v>1</v>
      </c>
      <c r="L33" s="71">
        <f t="shared" si="3"/>
        <v>0</v>
      </c>
      <c r="M33" s="10"/>
    </row>
    <row r="34" spans="1:13" ht="21.75" customHeight="1">
      <c r="A34" s="4">
        <f>'01_인적정보'!A31</f>
        <v>26</v>
      </c>
      <c r="B34" s="4" t="str">
        <f>'01_인적정보'!B31</f>
        <v>BSS-026</v>
      </c>
      <c r="C34" s="13" t="str">
        <f>'01_인적정보'!C31</f>
        <v>OOO</v>
      </c>
      <c r="D34" s="13" t="str">
        <f>'01_인적정보'!F31</f>
        <v>마케팅팀</v>
      </c>
      <c r="E34" s="40" t="str">
        <f>'01_인적정보'!H31</f>
        <v>G1</v>
      </c>
      <c r="F34" s="66">
        <f>'01_인적정보'!K31</f>
        <v>34935000</v>
      </c>
      <c r="G34" s="49" t="str">
        <f>'08_종합평가'!U31</f>
        <v>B</v>
      </c>
      <c r="H34" s="68">
        <f t="shared" si="0"/>
        <v>2911000</v>
      </c>
      <c r="I34" s="43">
        <f>IF(G34="","",IF(G34="S",'02_의사결정·종합결과'!$B$27,IF(G34="A",'02_의사결정·종합결과'!$C$27,IF(G34="B",'02_의사결정·종합결과'!$D$27,IF(G34="C",'02_의사결정·종합결과'!$E$27,'02_의사결정·종합결과'!$F$27)))))</f>
        <v>0.1</v>
      </c>
      <c r="J34" s="68">
        <f t="shared" si="1"/>
        <v>3493000</v>
      </c>
      <c r="K34" s="74">
        <f t="shared" si="2"/>
        <v>1</v>
      </c>
      <c r="L34" s="71">
        <f t="shared" si="3"/>
        <v>3493000</v>
      </c>
      <c r="M34" s="10"/>
    </row>
    <row r="35" spans="1:13" ht="21.75" customHeight="1">
      <c r="A35" s="4">
        <f>'01_인적정보'!A32</f>
        <v>27</v>
      </c>
      <c r="B35" s="4" t="str">
        <f>'01_인적정보'!B32</f>
        <v>BSS-027</v>
      </c>
      <c r="C35" s="13" t="str">
        <f>'01_인적정보'!C32</f>
        <v>OOO</v>
      </c>
      <c r="D35" s="13" t="str">
        <f>'01_인적정보'!F32</f>
        <v>솔루션본부</v>
      </c>
      <c r="E35" s="40" t="str">
        <f>'01_인적정보'!H32</f>
        <v>G2</v>
      </c>
      <c r="F35" s="66">
        <f>'01_인적정보'!K32</f>
        <v>35000000</v>
      </c>
      <c r="G35" s="49" t="str">
        <f>'08_종합평가'!U32</f>
        <v>A</v>
      </c>
      <c r="H35" s="68">
        <f t="shared" si="0"/>
        <v>2917000</v>
      </c>
      <c r="I35" s="43">
        <f>IF(G35="","",IF(G35="S",'02_의사결정·종합결과'!$B$27,IF(G35="A",'02_의사결정·종합결과'!$C$27,IF(G35="B",'02_의사결정·종합결과'!$D$27,IF(G35="C",'02_의사결정·종합결과'!$E$27,'02_의사결정·종합결과'!$F$27)))))</f>
        <v>0.15</v>
      </c>
      <c r="J35" s="68">
        <f t="shared" si="1"/>
        <v>5251000</v>
      </c>
      <c r="K35" s="74">
        <f t="shared" si="2"/>
        <v>1</v>
      </c>
      <c r="L35" s="71">
        <f t="shared" si="3"/>
        <v>5251000</v>
      </c>
      <c r="M35" s="10"/>
    </row>
    <row r="36" spans="1:13" ht="21.75" customHeight="1">
      <c r="A36" s="4">
        <f>'01_인적정보'!A33</f>
        <v>28</v>
      </c>
      <c r="B36" s="4" t="str">
        <f>'01_인적정보'!B33</f>
        <v>BSS-028</v>
      </c>
      <c r="C36" s="13" t="str">
        <f>'01_인적정보'!C33</f>
        <v>OOO</v>
      </c>
      <c r="D36" s="13" t="str">
        <f>'01_인적정보'!F33</f>
        <v>컨설팅본부</v>
      </c>
      <c r="E36" s="40" t="str">
        <f>'01_인적정보'!H33</f>
        <v>G1</v>
      </c>
      <c r="F36" s="66">
        <f>'01_인적정보'!K33</f>
        <v>36000000</v>
      </c>
      <c r="G36" s="49" t="str">
        <f>'08_종합평가'!U33</f>
        <v>A</v>
      </c>
      <c r="H36" s="68">
        <f t="shared" si="0"/>
        <v>3000000</v>
      </c>
      <c r="I36" s="43">
        <f>IF(G36="","",IF(G36="S",'02_의사결정·종합결과'!$B$27,IF(G36="A",'02_의사결정·종합결과'!$C$27,IF(G36="B",'02_의사결정·종합결과'!$D$27,IF(G36="C",'02_의사결정·종합결과'!$E$27,'02_의사결정·종합결과'!$F$27)))))</f>
        <v>0.15</v>
      </c>
      <c r="J36" s="68">
        <f t="shared" si="1"/>
        <v>5400000</v>
      </c>
      <c r="K36" s="74">
        <f t="shared" si="2"/>
        <v>1</v>
      </c>
      <c r="L36" s="71">
        <f t="shared" si="3"/>
        <v>5400000</v>
      </c>
      <c r="M36" s="10"/>
    </row>
    <row r="37" spans="1:13" ht="21.75" customHeight="1">
      <c r="A37" s="4">
        <f>'01_인적정보'!A34</f>
        <v>29</v>
      </c>
      <c r="B37" s="4" t="str">
        <f>'01_인적정보'!B34</f>
        <v>BSS-029</v>
      </c>
      <c r="C37" s="13" t="str">
        <f>'01_인적정보'!C34</f>
        <v>OOO</v>
      </c>
      <c r="D37" s="13" t="str">
        <f>'01_인적정보'!F34</f>
        <v>컨설팅본부</v>
      </c>
      <c r="E37" s="40" t="str">
        <f>'01_인적정보'!H34</f>
        <v>G1</v>
      </c>
      <c r="F37" s="66">
        <f>'01_인적정보'!K34</f>
        <v>36000000</v>
      </c>
      <c r="G37" s="49" t="str">
        <f>'08_종합평가'!U34</f>
        <v>B</v>
      </c>
      <c r="H37" s="68">
        <f t="shared" si="0"/>
        <v>3000000</v>
      </c>
      <c r="I37" s="43">
        <f>IF(G37="","",IF(G37="S",'02_의사결정·종합결과'!$B$27,IF(G37="A",'02_의사결정·종합결과'!$C$27,IF(G37="B",'02_의사결정·종합결과'!$D$27,IF(G37="C",'02_의사결정·종합결과'!$E$27,'02_의사결정·종합결과'!$F$27)))))</f>
        <v>0.1</v>
      </c>
      <c r="J37" s="68">
        <f t="shared" si="1"/>
        <v>3600000</v>
      </c>
      <c r="K37" s="74">
        <f t="shared" si="2"/>
        <v>1</v>
      </c>
      <c r="L37" s="71">
        <f t="shared" si="3"/>
        <v>3600000</v>
      </c>
      <c r="M37" s="10"/>
    </row>
    <row r="38" spans="1:13" ht="21.75" customHeight="1">
      <c r="A38" s="4">
        <f>'01_인적정보'!A35</f>
        <v>30</v>
      </c>
      <c r="B38" s="4" t="str">
        <f>'01_인적정보'!B35</f>
        <v>BSS-030</v>
      </c>
      <c r="C38" s="13" t="str">
        <f>'01_인적정보'!C35</f>
        <v>OOO</v>
      </c>
      <c r="D38" s="13" t="str">
        <f>'01_인적정보'!F35</f>
        <v>컨설팅본부</v>
      </c>
      <c r="E38" s="40" t="str">
        <f>'01_인적정보'!H35</f>
        <v>G1</v>
      </c>
      <c r="F38" s="66">
        <f>'01_인적정보'!K35</f>
        <v>36540000</v>
      </c>
      <c r="G38" s="49" t="str">
        <f>'08_종합평가'!U35</f>
        <v>B</v>
      </c>
      <c r="H38" s="68">
        <f t="shared" si="0"/>
        <v>3045000</v>
      </c>
      <c r="I38" s="43">
        <f>IF(G38="","",IF(G38="S",'02_의사결정·종합결과'!$B$27,IF(G38="A",'02_의사결정·종합결과'!$C$27,IF(G38="B",'02_의사결정·종합결과'!$D$27,IF(G38="C",'02_의사결정·종합결과'!$E$27,'02_의사결정·종합결과'!$F$27)))))</f>
        <v>0.1</v>
      </c>
      <c r="J38" s="68">
        <f t="shared" si="1"/>
        <v>3654000</v>
      </c>
      <c r="K38" s="74">
        <f t="shared" si="2"/>
        <v>1</v>
      </c>
      <c r="L38" s="71">
        <f t="shared" si="3"/>
        <v>3654000</v>
      </c>
      <c r="M38" s="10"/>
    </row>
    <row r="39" spans="1:13" ht="21.75" customHeight="1">
      <c r="A39" s="4">
        <f>'01_인적정보'!A36</f>
        <v>31</v>
      </c>
      <c r="B39" s="4" t="str">
        <f>'01_인적정보'!B36</f>
        <v>BSS-031</v>
      </c>
      <c r="C39" s="13" t="str">
        <f>'01_인적정보'!C36</f>
        <v>OOO</v>
      </c>
      <c r="D39" s="13" t="str">
        <f>'01_인적정보'!F36</f>
        <v>컨설팅본부</v>
      </c>
      <c r="E39" s="40" t="str">
        <f>'01_인적정보'!H36</f>
        <v>G1</v>
      </c>
      <c r="F39" s="66">
        <f>'01_인적정보'!K36</f>
        <v>37090000</v>
      </c>
      <c r="G39" s="49" t="str">
        <f>'08_종합평가'!U36</f>
        <v>B</v>
      </c>
      <c r="H39" s="68">
        <f t="shared" si="0"/>
        <v>3091000</v>
      </c>
      <c r="I39" s="43">
        <f>IF(G39="","",IF(G39="S",'02_의사결정·종합결과'!$B$27,IF(G39="A",'02_의사결정·종합결과'!$C$27,IF(G39="B",'02_의사결정·종합결과'!$D$27,IF(G39="C",'02_의사결정·종합결과'!$E$27,'02_의사결정·종합결과'!$F$27)))))</f>
        <v>0.1</v>
      </c>
      <c r="J39" s="68">
        <f t="shared" si="1"/>
        <v>3709000</v>
      </c>
      <c r="K39" s="74">
        <f t="shared" si="2"/>
        <v>1</v>
      </c>
      <c r="L39" s="71">
        <f t="shared" si="3"/>
        <v>3709000</v>
      </c>
      <c r="M39" s="10"/>
    </row>
    <row r="40" spans="1:13" ht="21.75" customHeight="1">
      <c r="A40" s="4">
        <f>'01_인적정보'!A37</f>
        <v>32</v>
      </c>
      <c r="B40" s="4" t="str">
        <f>'01_인적정보'!B37</f>
        <v>BSS-032</v>
      </c>
      <c r="C40" s="13" t="str">
        <f>'01_인적정보'!C37</f>
        <v>OOO</v>
      </c>
      <c r="D40" s="13" t="str">
        <f>'01_인적정보'!F37</f>
        <v>컨설팅본부</v>
      </c>
      <c r="E40" s="40" t="str">
        <f>'01_인적정보'!H37</f>
        <v>G1</v>
      </c>
      <c r="F40" s="66">
        <f>'01_인적정보'!K37</f>
        <v>32000000</v>
      </c>
      <c r="G40" s="49" t="str">
        <f>'08_종합평가'!U37</f>
        <v>A</v>
      </c>
      <c r="H40" s="68">
        <f t="shared" si="0"/>
        <v>2667000</v>
      </c>
      <c r="I40" s="43">
        <f>IF(G40="","",IF(G40="S",'02_의사결정·종합결과'!$B$27,IF(G40="A",'02_의사결정·종합결과'!$C$27,IF(G40="B",'02_의사결정·종합결과'!$D$27,IF(G40="C",'02_의사결정·종합결과'!$E$27,'02_의사결정·종합결과'!$F$27)))))</f>
        <v>0.15</v>
      </c>
      <c r="J40" s="68">
        <f t="shared" si="1"/>
        <v>4801000</v>
      </c>
      <c r="K40" s="74">
        <f t="shared" si="2"/>
        <v>1</v>
      </c>
      <c r="L40" s="71">
        <f t="shared" si="3"/>
        <v>4801000</v>
      </c>
      <c r="M40" s="10"/>
    </row>
    <row r="41" spans="1:13" ht="21.75" customHeight="1">
      <c r="A41" s="4">
        <f>'01_인적정보'!A38</f>
        <v>33</v>
      </c>
      <c r="B41" s="4" t="str">
        <f>'01_인적정보'!B38</f>
        <v>BSS-033</v>
      </c>
      <c r="C41" s="13" t="str">
        <f>'01_인적정보'!C38</f>
        <v>OOO</v>
      </c>
      <c r="D41" s="13" t="str">
        <f>'01_인적정보'!F38</f>
        <v>컨설팅본부</v>
      </c>
      <c r="E41" s="40" t="str">
        <f>'01_인적정보'!H38</f>
        <v>G1</v>
      </c>
      <c r="F41" s="66">
        <f>'01_인적정보'!K38</f>
        <v>32000000</v>
      </c>
      <c r="G41" s="49" t="str">
        <f>'08_종합평가'!U38</f>
        <v>B</v>
      </c>
      <c r="H41" s="68">
        <f t="shared" si="0"/>
        <v>2667000</v>
      </c>
      <c r="I41" s="43">
        <f>IF(G41="","",IF(G41="S",'02_의사결정·종합결과'!$B$27,IF(G41="A",'02_의사결정·종합결과'!$C$27,IF(G41="B",'02_의사결정·종합결과'!$D$27,IF(G41="C",'02_의사결정·종합결과'!$E$27,'02_의사결정·종합결과'!$F$27)))))</f>
        <v>0.1</v>
      </c>
      <c r="J41" s="68">
        <f t="shared" si="1"/>
        <v>3200000</v>
      </c>
      <c r="K41" s="74">
        <f t="shared" si="2"/>
        <v>1</v>
      </c>
      <c r="L41" s="71">
        <f t="shared" si="3"/>
        <v>3200000</v>
      </c>
      <c r="M41" s="10"/>
    </row>
    <row r="42" spans="1:13" ht="21.75" customHeight="1">
      <c r="A42" s="4">
        <f>'01_인적정보'!A39</f>
        <v>34</v>
      </c>
      <c r="B42" s="4" t="str">
        <f>'01_인적정보'!B39</f>
        <v>BSS-034</v>
      </c>
      <c r="C42" s="13" t="str">
        <f>'01_인적정보'!C39</f>
        <v>OOO</v>
      </c>
      <c r="D42" s="13" t="str">
        <f>'01_인적정보'!F39</f>
        <v>컨설팅본부</v>
      </c>
      <c r="E42" s="40" t="str">
        <f>'01_인적정보'!H39</f>
        <v>G1</v>
      </c>
      <c r="F42" s="66">
        <f>'01_인적정보'!K39</f>
        <v>32000000</v>
      </c>
      <c r="G42" s="49" t="str">
        <f>'08_종합평가'!U39</f>
        <v>S</v>
      </c>
      <c r="H42" s="68">
        <f t="shared" si="0"/>
        <v>2667000</v>
      </c>
      <c r="I42" s="43">
        <f>IF(G42="","",IF(G42="S",'02_의사결정·종합결과'!$B$27,IF(G42="A",'02_의사결정·종합결과'!$C$27,IF(G42="B",'02_의사결정·종합결과'!$D$27,IF(G42="C",'02_의사결정·종합결과'!$E$27,'02_의사결정·종합결과'!$F$27)))))</f>
        <v>0.2</v>
      </c>
      <c r="J42" s="68">
        <f t="shared" si="1"/>
        <v>6401000</v>
      </c>
      <c r="K42" s="74">
        <f t="shared" si="2"/>
        <v>1</v>
      </c>
      <c r="L42" s="71">
        <f t="shared" si="3"/>
        <v>6401000</v>
      </c>
      <c r="M42" s="10"/>
    </row>
    <row r="44" spans="1:13" ht="33.75" customHeight="1">
      <c r="K44" s="70" t="s">
        <v>449</v>
      </c>
      <c r="L44" s="71">
        <f>SUM(L9:L42)</f>
        <v>161431000</v>
      </c>
    </row>
  </sheetData>
  <mergeCells count="5">
    <mergeCell ref="A1:N1"/>
    <mergeCell ref="A2:N2"/>
    <mergeCell ref="A4:N4"/>
    <mergeCell ref="G5:N5"/>
    <mergeCell ref="A7:N7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I49"/>
  <sheetViews>
    <sheetView zoomScaleNormal="100"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I26" sqref="I26"/>
    </sheetView>
  </sheetViews>
  <sheetFormatPr defaultColWidth="8.5625" defaultRowHeight="16.899999999999999"/>
  <cols>
    <col min="1" max="9" width="14.125" customWidth="1"/>
  </cols>
  <sheetData>
    <row r="1" spans="1:9" ht="27.75" customHeight="1">
      <c r="A1" s="111" t="s">
        <v>450</v>
      </c>
      <c r="B1" s="111"/>
      <c r="C1" s="111"/>
      <c r="D1" s="111"/>
      <c r="E1" s="111"/>
      <c r="F1" s="111"/>
      <c r="G1" s="111"/>
      <c r="H1" s="111"/>
      <c r="I1" s="111"/>
    </row>
    <row r="2" spans="1:9" ht="16.5" customHeight="1">
      <c r="A2" s="88" t="s">
        <v>451</v>
      </c>
      <c r="B2" s="88"/>
      <c r="C2" s="88"/>
      <c r="D2" s="88"/>
      <c r="E2" s="88"/>
      <c r="F2" s="88"/>
      <c r="G2" s="88"/>
      <c r="H2" s="88"/>
      <c r="I2" s="88"/>
    </row>
    <row r="4" spans="1:9" ht="16.5" customHeight="1">
      <c r="A4" s="107" t="s">
        <v>452</v>
      </c>
      <c r="B4" s="107"/>
      <c r="C4" s="107"/>
      <c r="D4" s="107"/>
      <c r="E4" s="107"/>
      <c r="F4" s="107"/>
      <c r="G4" s="107"/>
      <c r="H4" s="107"/>
      <c r="I4" s="107"/>
    </row>
    <row r="5" spans="1:9" ht="27.75" customHeight="1">
      <c r="A5" s="3" t="s">
        <v>152</v>
      </c>
      <c r="B5" s="3" t="s">
        <v>453</v>
      </c>
      <c r="C5" s="3" t="s">
        <v>454</v>
      </c>
      <c r="D5" s="3" t="s">
        <v>455</v>
      </c>
      <c r="E5" s="21" t="s">
        <v>304</v>
      </c>
      <c r="F5" s="3" t="s">
        <v>456</v>
      </c>
      <c r="G5" s="3" t="s">
        <v>457</v>
      </c>
      <c r="H5" s="3" t="s">
        <v>458</v>
      </c>
    </row>
    <row r="6" spans="1:9" ht="21.75" customHeight="1">
      <c r="A6" s="41" t="s">
        <v>165</v>
      </c>
      <c r="B6" s="68">
        <f>'02_의사결정·종합결과'!B32</f>
        <v>58000000</v>
      </c>
      <c r="C6" s="68">
        <f>'02_의사결정·종합결과'!C32</f>
        <v>69000000</v>
      </c>
      <c r="D6" s="68">
        <f>'02_의사결정·종합결과'!D32</f>
        <v>80000000</v>
      </c>
      <c r="E6" s="47">
        <f t="shared" ref="E6:E12" si="0">(D6-B6)/B6</f>
        <v>0.37931034482758619</v>
      </c>
      <c r="F6" s="19">
        <f>COUNTIF('09_보상연계'!$F$6:$F$39,A6)</f>
        <v>6</v>
      </c>
      <c r="G6" s="19">
        <f>SUMPRODUCT(('09_보상연계'!$F$6:$F$39=A6)*('09_보상연계'!$P$6:$P$39&gt;=B6)*('09_보상연계'!$P$6:$P$39&lt;=D6))</f>
        <v>6</v>
      </c>
      <c r="H6" s="49">
        <f t="shared" ref="H6:H12" si="1">F6-G6</f>
        <v>0</v>
      </c>
    </row>
    <row r="7" spans="1:9" ht="21.75" customHeight="1">
      <c r="A7" s="41" t="s">
        <v>193</v>
      </c>
      <c r="B7" s="68">
        <f>'02_의사결정·종합결과'!B33</f>
        <v>53000000</v>
      </c>
      <c r="C7" s="68">
        <f>'02_의사결정·종합결과'!C33</f>
        <v>63000000</v>
      </c>
      <c r="D7" s="68">
        <f>'02_의사결정·종합결과'!D33</f>
        <v>73000000</v>
      </c>
      <c r="E7" s="47">
        <f t="shared" si="0"/>
        <v>0.37735849056603776</v>
      </c>
      <c r="F7" s="19">
        <f>COUNTIF('09_보상연계'!$F$6:$F$39,A7)</f>
        <v>4</v>
      </c>
      <c r="G7" s="19">
        <f>SUMPRODUCT(('09_보상연계'!$F$6:$F$39=A7)*('09_보상연계'!$P$6:$P$39&gt;=B7)*('09_보상연계'!$P$6:$P$39&lt;=D7))</f>
        <v>4</v>
      </c>
      <c r="H7" s="49">
        <f t="shared" si="1"/>
        <v>0</v>
      </c>
    </row>
    <row r="8" spans="1:9" ht="21.75" customHeight="1">
      <c r="A8" s="41" t="s">
        <v>201</v>
      </c>
      <c r="B8" s="68">
        <f>'02_의사결정·종합결과'!B34</f>
        <v>53000000</v>
      </c>
      <c r="C8" s="68">
        <f>'02_의사결정·종합결과'!C34</f>
        <v>63000000</v>
      </c>
      <c r="D8" s="68">
        <f>'02_의사결정·종합결과'!D34</f>
        <v>73000000</v>
      </c>
      <c r="E8" s="47">
        <f t="shared" si="0"/>
        <v>0.37735849056603776</v>
      </c>
      <c r="F8" s="19">
        <f>COUNTIF('09_보상연계'!$F$6:$F$39,A8)</f>
        <v>6</v>
      </c>
      <c r="G8" s="19">
        <f>SUMPRODUCT(('09_보상연계'!$F$6:$F$39=A8)*('09_보상연계'!$P$6:$P$39&gt;=B8)*('09_보상연계'!$P$6:$P$39&lt;=D8))</f>
        <v>6</v>
      </c>
      <c r="H8" s="49">
        <f t="shared" si="1"/>
        <v>0</v>
      </c>
    </row>
    <row r="9" spans="1:9" ht="21.75" customHeight="1">
      <c r="A9" s="41" t="s">
        <v>219</v>
      </c>
      <c r="B9" s="68">
        <f>'02_의사결정·종합결과'!B35</f>
        <v>49000000</v>
      </c>
      <c r="C9" s="68">
        <f>'02_의사결정·종합결과'!C35</f>
        <v>57500000</v>
      </c>
      <c r="D9" s="68">
        <f>'02_의사결정·종합결과'!D35</f>
        <v>66000000</v>
      </c>
      <c r="E9" s="47">
        <f t="shared" si="0"/>
        <v>0.34693877551020408</v>
      </c>
      <c r="F9" s="19">
        <f>COUNTIF('09_보상연계'!$F$6:$F$39,A9)</f>
        <v>2</v>
      </c>
      <c r="G9" s="19">
        <f>SUMPRODUCT(('09_보상연계'!$F$6:$F$39=A9)*('09_보상연계'!$P$6:$P$39&gt;=B9)*('09_보상연계'!$P$6:$P$39&lt;=D9))</f>
        <v>2</v>
      </c>
      <c r="H9" s="49">
        <f t="shared" si="1"/>
        <v>0</v>
      </c>
    </row>
    <row r="10" spans="1:9" ht="21.75" customHeight="1">
      <c r="A10" s="41" t="s">
        <v>224</v>
      </c>
      <c r="B10" s="68">
        <f>'02_의사결정·종합결과'!B36</f>
        <v>42000000</v>
      </c>
      <c r="C10" s="68">
        <f>'02_의사결정·종합결과'!C36</f>
        <v>49500000</v>
      </c>
      <c r="D10" s="68">
        <f>'02_의사결정·종합결과'!D36</f>
        <v>57000000</v>
      </c>
      <c r="E10" s="47">
        <f t="shared" si="0"/>
        <v>0.35714285714285715</v>
      </c>
      <c r="F10" s="19">
        <f>COUNTIF('09_보상연계'!$F$6:$F$39,A10)</f>
        <v>2</v>
      </c>
      <c r="G10" s="19">
        <f>SUMPRODUCT(('09_보상연계'!$F$6:$F$39=A10)*('09_보상연계'!$P$6:$P$39&gt;=B10)*('09_보상연계'!$P$6:$P$39&lt;=D10))</f>
        <v>2</v>
      </c>
      <c r="H10" s="49">
        <f t="shared" si="1"/>
        <v>0</v>
      </c>
    </row>
    <row r="11" spans="1:9" ht="21.75" customHeight="1">
      <c r="A11" s="41" t="s">
        <v>230</v>
      </c>
      <c r="B11" s="68">
        <f>'02_의사결정·종합결과'!B37</f>
        <v>36000000</v>
      </c>
      <c r="C11" s="68">
        <f>'02_의사결정·종합결과'!C37</f>
        <v>42500000</v>
      </c>
      <c r="D11" s="68">
        <f>'02_의사결정·종합결과'!D37</f>
        <v>49000000</v>
      </c>
      <c r="E11" s="47">
        <f t="shared" si="0"/>
        <v>0.3611111111111111</v>
      </c>
      <c r="F11" s="19">
        <f>COUNTIF('09_보상연계'!$F$6:$F$39,A11)</f>
        <v>6</v>
      </c>
      <c r="G11" s="19">
        <f>SUMPRODUCT(('09_보상연계'!$F$6:$F$39=A11)*('09_보상연계'!$P$6:$P$39&gt;=B11)*('09_보상연계'!$P$6:$P$39&lt;=D11))</f>
        <v>6</v>
      </c>
      <c r="H11" s="49">
        <f t="shared" si="1"/>
        <v>0</v>
      </c>
    </row>
    <row r="12" spans="1:9" ht="21.75" customHeight="1">
      <c r="A12" s="41" t="s">
        <v>242</v>
      </c>
      <c r="B12" s="68">
        <f>'02_의사결정·종합결과'!B38</f>
        <v>33000000</v>
      </c>
      <c r="C12" s="68">
        <f>'02_의사결정·종합결과'!C38</f>
        <v>38500000</v>
      </c>
      <c r="D12" s="68">
        <f>'02_의사결정·종합결과'!D38</f>
        <v>44000000</v>
      </c>
      <c r="E12" s="47">
        <f t="shared" si="0"/>
        <v>0.33333333333333331</v>
      </c>
      <c r="F12" s="19">
        <f>COUNTIF('09_보상연계'!$F$6:$F$39,A12)</f>
        <v>8</v>
      </c>
      <c r="G12" s="19">
        <f>SUMPRODUCT(('09_보상연계'!$F$6:$F$39=A12)*('09_보상연계'!$P$6:$P$39&gt;=B12)*('09_보상연계'!$P$6:$P$39&lt;=D12))</f>
        <v>8</v>
      </c>
      <c r="H12" s="49">
        <f t="shared" si="1"/>
        <v>0</v>
      </c>
    </row>
    <row r="14" spans="1:9" ht="16.5" customHeight="1">
      <c r="A14" s="107" t="s">
        <v>459</v>
      </c>
      <c r="B14" s="107"/>
      <c r="C14" s="107"/>
      <c r="D14" s="107"/>
      <c r="E14" s="107"/>
      <c r="F14" s="107"/>
      <c r="G14" s="107"/>
      <c r="H14" s="107"/>
      <c r="I14" s="107"/>
    </row>
    <row r="15" spans="1:9" ht="27.75" customHeight="1">
      <c r="A15" s="22" t="s">
        <v>145</v>
      </c>
      <c r="B15" s="23" t="s">
        <v>146</v>
      </c>
      <c r="C15" s="23" t="s">
        <v>147</v>
      </c>
      <c r="D15" s="23" t="s">
        <v>152</v>
      </c>
      <c r="E15" s="23" t="s">
        <v>460</v>
      </c>
      <c r="F15" s="22" t="s">
        <v>461</v>
      </c>
      <c r="G15" s="22" t="s">
        <v>462</v>
      </c>
      <c r="H15" s="23" t="s">
        <v>463</v>
      </c>
      <c r="I15" s="23" t="s">
        <v>464</v>
      </c>
    </row>
    <row r="16" spans="1:9" ht="21.75" customHeight="1">
      <c r="A16" s="4">
        <f>'09_보상연계'!A6</f>
        <v>1</v>
      </c>
      <c r="B16" s="4" t="str">
        <f>'09_보상연계'!B6</f>
        <v>BSS-001</v>
      </c>
      <c r="C16" s="13" t="str">
        <f>'09_보상연계'!C6</f>
        <v>OOO</v>
      </c>
      <c r="D16" s="40" t="str">
        <f>'09_보상연계'!F6</f>
        <v>G6</v>
      </c>
      <c r="E16" s="68">
        <f>'09_보상연계'!P6</f>
        <v>75400000</v>
      </c>
      <c r="F16" s="68">
        <f>'09_보상연계'!M6</f>
        <v>58000000</v>
      </c>
      <c r="G16" s="68">
        <f>'09_보상연계'!N6</f>
        <v>80000000</v>
      </c>
      <c r="H16" s="20" t="str">
        <f t="shared" ref="H16:H49" si="2">IF(E16="","",IF(E16&lt;F16,"⬇ Min 미달",IF(E16&gt;G16,"⬆ Max 초과","✓ 범위 내")))</f>
        <v>✓ 범위 내</v>
      </c>
      <c r="I16" s="75">
        <f t="shared" ref="I16:I49" si="3">IF(E16="","",IF(E16&lt;F16,F16-E16,IF(E16&gt;G16,E16-G16,0)))</f>
        <v>0</v>
      </c>
    </row>
    <row r="17" spans="1:9" ht="21.75" customHeight="1">
      <c r="A17" s="4">
        <f>'09_보상연계'!A7</f>
        <v>2</v>
      </c>
      <c r="B17" s="4" t="str">
        <f>'09_보상연계'!B7</f>
        <v>BSS-002</v>
      </c>
      <c r="C17" s="13" t="str">
        <f>'09_보상연계'!C7</f>
        <v>OOO</v>
      </c>
      <c r="D17" s="40" t="str">
        <f>'09_보상연계'!F7</f>
        <v>G6</v>
      </c>
      <c r="E17" s="68">
        <f>'09_보상연계'!P7</f>
        <v>71620000</v>
      </c>
      <c r="F17" s="68">
        <f>'09_보상연계'!M7</f>
        <v>58000000</v>
      </c>
      <c r="G17" s="68">
        <f>'09_보상연계'!N7</f>
        <v>80000000</v>
      </c>
      <c r="H17" s="20" t="str">
        <f t="shared" si="2"/>
        <v>✓ 범위 내</v>
      </c>
      <c r="I17" s="75">
        <f t="shared" si="3"/>
        <v>0</v>
      </c>
    </row>
    <row r="18" spans="1:9" ht="21.75" customHeight="1">
      <c r="A18" s="4">
        <f>'09_보상연계'!A8</f>
        <v>3</v>
      </c>
      <c r="B18" s="4" t="str">
        <f>'09_보상연계'!B8</f>
        <v>BSS-003</v>
      </c>
      <c r="C18" s="13" t="str">
        <f>'09_보상연계'!C8</f>
        <v>OOO</v>
      </c>
      <c r="D18" s="40" t="str">
        <f>'09_보상연계'!F8</f>
        <v>G6</v>
      </c>
      <c r="E18" s="68">
        <f>'09_보상연계'!P8</f>
        <v>70200000</v>
      </c>
      <c r="F18" s="68">
        <f>'09_보상연계'!M8</f>
        <v>58000000</v>
      </c>
      <c r="G18" s="68">
        <f>'09_보상연계'!N8</f>
        <v>80000000</v>
      </c>
      <c r="H18" s="20" t="str">
        <f t="shared" si="2"/>
        <v>✓ 범위 내</v>
      </c>
      <c r="I18" s="75">
        <f t="shared" si="3"/>
        <v>0</v>
      </c>
    </row>
    <row r="19" spans="1:9" ht="21.75" customHeight="1">
      <c r="A19" s="4">
        <f>'09_보상연계'!A9</f>
        <v>4</v>
      </c>
      <c r="B19" s="4" t="str">
        <f>'09_보상연계'!B9</f>
        <v>BSS-004</v>
      </c>
      <c r="C19" s="13" t="str">
        <f>'09_보상연계'!C9</f>
        <v>OOO</v>
      </c>
      <c r="D19" s="40" t="str">
        <f>'09_보상연계'!F9</f>
        <v>G6</v>
      </c>
      <c r="E19" s="68">
        <f>'09_보상연계'!P9</f>
        <v>67110000</v>
      </c>
      <c r="F19" s="68">
        <f>'09_보상연계'!M9</f>
        <v>58000000</v>
      </c>
      <c r="G19" s="68">
        <f>'09_보상연계'!N9</f>
        <v>80000000</v>
      </c>
      <c r="H19" s="20" t="str">
        <f t="shared" si="2"/>
        <v>✓ 범위 내</v>
      </c>
      <c r="I19" s="75">
        <f t="shared" si="3"/>
        <v>0</v>
      </c>
    </row>
    <row r="20" spans="1:9" ht="21.75" customHeight="1">
      <c r="A20" s="4">
        <f>'09_보상연계'!A10</f>
        <v>5</v>
      </c>
      <c r="B20" s="4" t="str">
        <f>'09_보상연계'!B10</f>
        <v>BSS-005</v>
      </c>
      <c r="C20" s="13" t="str">
        <f>'09_보상연계'!C10</f>
        <v>OOO</v>
      </c>
      <c r="D20" s="40" t="str">
        <f>'09_보상연계'!F10</f>
        <v>G6</v>
      </c>
      <c r="E20" s="68">
        <f>'09_보상연계'!P10</f>
        <v>67790000</v>
      </c>
      <c r="F20" s="68">
        <f>'09_보상연계'!M10</f>
        <v>58000000</v>
      </c>
      <c r="G20" s="68">
        <f>'09_보상연계'!N10</f>
        <v>80000000</v>
      </c>
      <c r="H20" s="20" t="str">
        <f t="shared" si="2"/>
        <v>✓ 범위 내</v>
      </c>
      <c r="I20" s="75">
        <f t="shared" si="3"/>
        <v>0</v>
      </c>
    </row>
    <row r="21" spans="1:9" ht="21.75" customHeight="1">
      <c r="A21" s="4">
        <f>'09_보상연계'!A11</f>
        <v>6</v>
      </c>
      <c r="B21" s="4" t="str">
        <f>'09_보상연계'!B11</f>
        <v>BSS-006</v>
      </c>
      <c r="C21" s="13" t="str">
        <f>'09_보상연계'!C11</f>
        <v>OOO</v>
      </c>
      <c r="D21" s="40" t="str">
        <f>'09_보상연계'!F11</f>
        <v>G6</v>
      </c>
      <c r="E21" s="68">
        <f>'09_보상연계'!P11</f>
        <v>63240000</v>
      </c>
      <c r="F21" s="68">
        <f>'09_보상연계'!M11</f>
        <v>58000000</v>
      </c>
      <c r="G21" s="68">
        <f>'09_보상연계'!N11</f>
        <v>80000000</v>
      </c>
      <c r="H21" s="20" t="str">
        <f t="shared" si="2"/>
        <v>✓ 범위 내</v>
      </c>
      <c r="I21" s="75">
        <f t="shared" si="3"/>
        <v>0</v>
      </c>
    </row>
    <row r="22" spans="1:9" ht="21.75" customHeight="1">
      <c r="A22" s="4">
        <f>'09_보상연계'!A12</f>
        <v>7</v>
      </c>
      <c r="B22" s="4" t="str">
        <f>'09_보상연계'!B12</f>
        <v>BSS-007</v>
      </c>
      <c r="C22" s="13" t="str">
        <f>'09_보상연계'!C12</f>
        <v>OOO</v>
      </c>
      <c r="D22" s="40" t="str">
        <f>'09_보상연계'!F12</f>
        <v>G5-M</v>
      </c>
      <c r="E22" s="68">
        <f>'09_보상연계'!P12</f>
        <v>62090000</v>
      </c>
      <c r="F22" s="68">
        <f>'09_보상연계'!M12</f>
        <v>53000000</v>
      </c>
      <c r="G22" s="68">
        <f>'09_보상연계'!N12</f>
        <v>73000000</v>
      </c>
      <c r="H22" s="20" t="str">
        <f t="shared" si="2"/>
        <v>✓ 범위 내</v>
      </c>
      <c r="I22" s="75">
        <f t="shared" si="3"/>
        <v>0</v>
      </c>
    </row>
    <row r="23" spans="1:9" ht="21.75" customHeight="1">
      <c r="A23" s="4">
        <f>'09_보상연계'!A13</f>
        <v>8</v>
      </c>
      <c r="B23" s="4" t="str">
        <f>'09_보상연계'!B13</f>
        <v>BSS-008</v>
      </c>
      <c r="C23" s="13" t="str">
        <f>'09_보상연계'!C13</f>
        <v>OOO</v>
      </c>
      <c r="D23" s="40" t="str">
        <f>'09_보상연계'!F13</f>
        <v>G5-M</v>
      </c>
      <c r="E23" s="68">
        <f>'09_보상연계'!P13</f>
        <v>60820000</v>
      </c>
      <c r="F23" s="68">
        <f>'09_보상연계'!M13</f>
        <v>53000000</v>
      </c>
      <c r="G23" s="68">
        <f>'09_보상연계'!N13</f>
        <v>73000000</v>
      </c>
      <c r="H23" s="20" t="str">
        <f t="shared" si="2"/>
        <v>✓ 범위 내</v>
      </c>
      <c r="I23" s="75">
        <f t="shared" si="3"/>
        <v>0</v>
      </c>
    </row>
    <row r="24" spans="1:9" ht="21.75" customHeight="1">
      <c r="A24" s="4">
        <f>'09_보상연계'!A14</f>
        <v>9</v>
      </c>
      <c r="B24" s="4" t="str">
        <f>'09_보상연계'!B14</f>
        <v>BSS-009</v>
      </c>
      <c r="C24" s="13" t="str">
        <f>'09_보상연계'!C14</f>
        <v>OOO</v>
      </c>
      <c r="D24" s="40" t="str">
        <f>'09_보상연계'!F14</f>
        <v>G5-M</v>
      </c>
      <c r="E24" s="68">
        <f>'09_보상연계'!P14</f>
        <v>62000000</v>
      </c>
      <c r="F24" s="68">
        <f>'09_보상연계'!M14</f>
        <v>53000000</v>
      </c>
      <c r="G24" s="68">
        <f>'09_보상연계'!N14</f>
        <v>73000000</v>
      </c>
      <c r="H24" s="20" t="str">
        <f t="shared" si="2"/>
        <v>✓ 범위 내</v>
      </c>
      <c r="I24" s="75">
        <f t="shared" si="3"/>
        <v>0</v>
      </c>
    </row>
    <row r="25" spans="1:9" ht="21.75" customHeight="1">
      <c r="A25" s="4">
        <f>'09_보상연계'!A15</f>
        <v>10</v>
      </c>
      <c r="B25" s="4" t="str">
        <f>'09_보상연계'!B15</f>
        <v>BSS-010</v>
      </c>
      <c r="C25" s="13" t="str">
        <f>'09_보상연계'!C15</f>
        <v>OOO</v>
      </c>
      <c r="D25" s="40" t="str">
        <f>'09_보상연계'!F15</f>
        <v>G5-S</v>
      </c>
      <c r="E25" s="68">
        <f>'09_보상연계'!P15</f>
        <v>61410000</v>
      </c>
      <c r="F25" s="68">
        <f>'09_보상연계'!M15</f>
        <v>53000000</v>
      </c>
      <c r="G25" s="68">
        <f>'09_보상연계'!N15</f>
        <v>73000000</v>
      </c>
      <c r="H25" s="20" t="str">
        <f t="shared" si="2"/>
        <v>✓ 범위 내</v>
      </c>
      <c r="I25" s="75">
        <f t="shared" si="3"/>
        <v>0</v>
      </c>
    </row>
    <row r="26" spans="1:9" ht="21.75" customHeight="1">
      <c r="A26" s="4">
        <f>'09_보상연계'!A16</f>
        <v>11</v>
      </c>
      <c r="B26" s="4" t="str">
        <f>'09_보상연계'!B16</f>
        <v>BSS-011</v>
      </c>
      <c r="C26" s="13" t="str">
        <f>'09_보상연계'!C16</f>
        <v>OOO</v>
      </c>
      <c r="D26" s="40" t="str">
        <f>'09_보상연계'!F16</f>
        <v>G5-S</v>
      </c>
      <c r="E26" s="68">
        <f>'09_보상연계'!P16</f>
        <v>59490000</v>
      </c>
      <c r="F26" s="68">
        <f>'09_보상연계'!M16</f>
        <v>53000000</v>
      </c>
      <c r="G26" s="68">
        <f>'09_보상연계'!N16</f>
        <v>73000000</v>
      </c>
      <c r="H26" s="20" t="str">
        <f t="shared" si="2"/>
        <v>✓ 범위 내</v>
      </c>
      <c r="I26" s="75">
        <f t="shared" si="3"/>
        <v>0</v>
      </c>
    </row>
    <row r="27" spans="1:9" ht="21.75" customHeight="1">
      <c r="A27" s="4">
        <f>'09_보상연계'!A17</f>
        <v>12</v>
      </c>
      <c r="B27" s="4" t="str">
        <f>'09_보상연계'!B17</f>
        <v>BSS-012</v>
      </c>
      <c r="C27" s="13" t="str">
        <f>'09_보상연계'!C17</f>
        <v>OOO</v>
      </c>
      <c r="D27" s="40" t="str">
        <f>'09_보상연계'!F17</f>
        <v>G5-M</v>
      </c>
      <c r="E27" s="68">
        <f>'09_보상연계'!P17</f>
        <v>58920000</v>
      </c>
      <c r="F27" s="68">
        <f>'09_보상연계'!M17</f>
        <v>53000000</v>
      </c>
      <c r="G27" s="68">
        <f>'09_보상연계'!N17</f>
        <v>73000000</v>
      </c>
      <c r="H27" s="20" t="str">
        <f t="shared" si="2"/>
        <v>✓ 범위 내</v>
      </c>
      <c r="I27" s="75">
        <f t="shared" si="3"/>
        <v>0</v>
      </c>
    </row>
    <row r="28" spans="1:9" ht="21.75" customHeight="1">
      <c r="A28" s="4">
        <f>'09_보상연계'!A18</f>
        <v>13</v>
      </c>
      <c r="B28" s="4" t="str">
        <f>'09_보상연계'!B18</f>
        <v>BSS-013</v>
      </c>
      <c r="C28" s="13" t="str">
        <f>'09_보상연계'!C18</f>
        <v>OOO</v>
      </c>
      <c r="D28" s="40" t="str">
        <f>'09_보상연계'!F18</f>
        <v>G5-S</v>
      </c>
      <c r="E28" s="68">
        <f>'09_보상연계'!P18</f>
        <v>61900000</v>
      </c>
      <c r="F28" s="68">
        <f>'09_보상연계'!M18</f>
        <v>53000000</v>
      </c>
      <c r="G28" s="68">
        <f>'09_보상연계'!N18</f>
        <v>73000000</v>
      </c>
      <c r="H28" s="20" t="str">
        <f t="shared" si="2"/>
        <v>✓ 범위 내</v>
      </c>
      <c r="I28" s="75">
        <f t="shared" si="3"/>
        <v>0</v>
      </c>
    </row>
    <row r="29" spans="1:9" ht="21.75" customHeight="1">
      <c r="A29" s="4">
        <f>'09_보상연계'!A19</f>
        <v>14</v>
      </c>
      <c r="B29" s="4" t="str">
        <f>'09_보상연계'!B19</f>
        <v>BSS-014</v>
      </c>
      <c r="C29" s="13" t="str">
        <f>'09_보상연계'!C19</f>
        <v>OOO</v>
      </c>
      <c r="D29" s="40" t="str">
        <f>'09_보상연계'!F19</f>
        <v>G5-S</v>
      </c>
      <c r="E29" s="68">
        <f>'09_보상연계'!P19</f>
        <v>58760000</v>
      </c>
      <c r="F29" s="68">
        <f>'09_보상연계'!M19</f>
        <v>53000000</v>
      </c>
      <c r="G29" s="68">
        <f>'09_보상연계'!N19</f>
        <v>73000000</v>
      </c>
      <c r="H29" s="20" t="str">
        <f t="shared" si="2"/>
        <v>✓ 범위 내</v>
      </c>
      <c r="I29" s="75">
        <f t="shared" si="3"/>
        <v>0</v>
      </c>
    </row>
    <row r="30" spans="1:9" ht="21.75" customHeight="1">
      <c r="A30" s="4">
        <f>'09_보상연계'!A20</f>
        <v>15</v>
      </c>
      <c r="B30" s="4" t="str">
        <f>'09_보상연계'!B20</f>
        <v>BSS-015</v>
      </c>
      <c r="C30" s="13" t="str">
        <f>'09_보상연계'!C20</f>
        <v>OOO</v>
      </c>
      <c r="D30" s="40" t="str">
        <f>'09_보상연계'!F20</f>
        <v>G5-S</v>
      </c>
      <c r="E30" s="68">
        <f>'09_보상연계'!P20</f>
        <v>54750000</v>
      </c>
      <c r="F30" s="68">
        <f>'09_보상연계'!M20</f>
        <v>53000000</v>
      </c>
      <c r="G30" s="68">
        <f>'09_보상연계'!N20</f>
        <v>73000000</v>
      </c>
      <c r="H30" s="20" t="str">
        <f t="shared" si="2"/>
        <v>✓ 범위 내</v>
      </c>
      <c r="I30" s="75">
        <f t="shared" si="3"/>
        <v>0</v>
      </c>
    </row>
    <row r="31" spans="1:9" ht="21.75" customHeight="1">
      <c r="A31" s="4">
        <f>'09_보상연계'!A21</f>
        <v>16</v>
      </c>
      <c r="B31" s="4" t="str">
        <f>'09_보상연계'!B21</f>
        <v>BSS-016</v>
      </c>
      <c r="C31" s="13" t="str">
        <f>'09_보상연계'!C21</f>
        <v>OOO</v>
      </c>
      <c r="D31" s="40" t="str">
        <f>'09_보상연계'!F21</f>
        <v>G5-S</v>
      </c>
      <c r="E31" s="68">
        <f>'09_보상연계'!P21</f>
        <v>55900000</v>
      </c>
      <c r="F31" s="68">
        <f>'09_보상연계'!M21</f>
        <v>53000000</v>
      </c>
      <c r="G31" s="68">
        <f>'09_보상연계'!N21</f>
        <v>73000000</v>
      </c>
      <c r="H31" s="20" t="str">
        <f t="shared" si="2"/>
        <v>✓ 범위 내</v>
      </c>
      <c r="I31" s="75">
        <f t="shared" si="3"/>
        <v>0</v>
      </c>
    </row>
    <row r="32" spans="1:9" ht="21.75" customHeight="1">
      <c r="A32" s="4">
        <f>'09_보상연계'!A22</f>
        <v>17</v>
      </c>
      <c r="B32" s="4" t="str">
        <f>'09_보상연계'!B22</f>
        <v>BSS-017</v>
      </c>
      <c r="C32" s="13" t="str">
        <f>'09_보상연계'!C22</f>
        <v>OOO</v>
      </c>
      <c r="D32" s="40" t="str">
        <f>'09_보상연계'!F22</f>
        <v>G4</v>
      </c>
      <c r="E32" s="68">
        <f>'09_보상연계'!P22</f>
        <v>51210000</v>
      </c>
      <c r="F32" s="68">
        <f>'09_보상연계'!M22</f>
        <v>49000000</v>
      </c>
      <c r="G32" s="68">
        <f>'09_보상연계'!N22</f>
        <v>66000000</v>
      </c>
      <c r="H32" s="20" t="str">
        <f t="shared" si="2"/>
        <v>✓ 범위 내</v>
      </c>
      <c r="I32" s="75">
        <f t="shared" si="3"/>
        <v>0</v>
      </c>
    </row>
    <row r="33" spans="1:9" ht="21.75" customHeight="1">
      <c r="A33" s="4">
        <f>'09_보상연계'!A23</f>
        <v>18</v>
      </c>
      <c r="B33" s="4" t="str">
        <f>'09_보상연계'!B23</f>
        <v>BSS-018</v>
      </c>
      <c r="C33" s="13" t="str">
        <f>'09_보상연계'!C23</f>
        <v>OOO</v>
      </c>
      <c r="D33" s="40" t="str">
        <f>'09_보상연계'!F23</f>
        <v>G4</v>
      </c>
      <c r="E33" s="68">
        <f>'09_보상연계'!P23</f>
        <v>51080000</v>
      </c>
      <c r="F33" s="68">
        <f>'09_보상연계'!M23</f>
        <v>49000000</v>
      </c>
      <c r="G33" s="68">
        <f>'09_보상연계'!N23</f>
        <v>66000000</v>
      </c>
      <c r="H33" s="20" t="str">
        <f t="shared" si="2"/>
        <v>✓ 범위 내</v>
      </c>
      <c r="I33" s="75">
        <f t="shared" si="3"/>
        <v>0</v>
      </c>
    </row>
    <row r="34" spans="1:9" ht="21.75" customHeight="1">
      <c r="A34" s="4">
        <f>'09_보상연계'!A24</f>
        <v>19</v>
      </c>
      <c r="B34" s="4" t="str">
        <f>'09_보상연계'!B24</f>
        <v>BSS-019</v>
      </c>
      <c r="C34" s="13" t="str">
        <f>'09_보상연계'!C24</f>
        <v>OOO</v>
      </c>
      <c r="D34" s="40" t="str">
        <f>'09_보상연계'!F24</f>
        <v>G3</v>
      </c>
      <c r="E34" s="68">
        <f>'09_보상연계'!P24</f>
        <v>49400000</v>
      </c>
      <c r="F34" s="68">
        <f>'09_보상연계'!M24</f>
        <v>42000000</v>
      </c>
      <c r="G34" s="68">
        <f>'09_보상연계'!N24</f>
        <v>57000000</v>
      </c>
      <c r="H34" s="20" t="str">
        <f t="shared" si="2"/>
        <v>✓ 범위 내</v>
      </c>
      <c r="I34" s="75">
        <f t="shared" si="3"/>
        <v>0</v>
      </c>
    </row>
    <row r="35" spans="1:9" ht="21.75" customHeight="1">
      <c r="A35" s="4">
        <f>'09_보상연계'!A25</f>
        <v>20</v>
      </c>
      <c r="B35" s="4" t="str">
        <f>'09_보상연계'!B25</f>
        <v>BSS-020</v>
      </c>
      <c r="C35" s="13" t="str">
        <f>'09_보상연계'!C25</f>
        <v>OOO</v>
      </c>
      <c r="D35" s="40" t="str">
        <f>'09_보상연계'!F25</f>
        <v>G3</v>
      </c>
      <c r="E35" s="68">
        <f>'09_보상연계'!P25</f>
        <v>44350000</v>
      </c>
      <c r="F35" s="68">
        <f>'09_보상연계'!M25</f>
        <v>42000000</v>
      </c>
      <c r="G35" s="68">
        <f>'09_보상연계'!N25</f>
        <v>57000000</v>
      </c>
      <c r="H35" s="20" t="str">
        <f t="shared" si="2"/>
        <v>✓ 범위 내</v>
      </c>
      <c r="I35" s="75">
        <f t="shared" si="3"/>
        <v>0</v>
      </c>
    </row>
    <row r="36" spans="1:9" ht="21.75" customHeight="1">
      <c r="A36" s="4">
        <f>'09_보상연계'!A26</f>
        <v>21</v>
      </c>
      <c r="B36" s="4" t="str">
        <f>'09_보상연계'!B26</f>
        <v>BSS-021</v>
      </c>
      <c r="C36" s="13" t="str">
        <f>'09_보상연계'!C26</f>
        <v>OOO</v>
      </c>
      <c r="D36" s="40" t="str">
        <f>'09_보상연계'!F26</f>
        <v>G2</v>
      </c>
      <c r="E36" s="68">
        <f>'09_보상연계'!P26</f>
        <v>43350000</v>
      </c>
      <c r="F36" s="68">
        <f>'09_보상연계'!M26</f>
        <v>36000000</v>
      </c>
      <c r="G36" s="68">
        <f>'09_보상연계'!N26</f>
        <v>49000000</v>
      </c>
      <c r="H36" s="20" t="str">
        <f t="shared" si="2"/>
        <v>✓ 범위 내</v>
      </c>
      <c r="I36" s="75">
        <f t="shared" si="3"/>
        <v>0</v>
      </c>
    </row>
    <row r="37" spans="1:9" ht="21.75" customHeight="1">
      <c r="A37" s="4">
        <f>'09_보상연계'!A27</f>
        <v>22</v>
      </c>
      <c r="B37" s="4" t="str">
        <f>'09_보상연계'!B27</f>
        <v>BSS-022</v>
      </c>
      <c r="C37" s="13" t="str">
        <f>'09_보상연계'!C27</f>
        <v>OOO</v>
      </c>
      <c r="D37" s="40" t="str">
        <f>'09_보상연계'!F27</f>
        <v>G2</v>
      </c>
      <c r="E37" s="68">
        <f>'09_보상연계'!P27</f>
        <v>44200000</v>
      </c>
      <c r="F37" s="68">
        <f>'09_보상연계'!M27</f>
        <v>36000000</v>
      </c>
      <c r="G37" s="68">
        <f>'09_보상연계'!N27</f>
        <v>49000000</v>
      </c>
      <c r="H37" s="20" t="str">
        <f t="shared" si="2"/>
        <v>✓ 범위 내</v>
      </c>
      <c r="I37" s="75">
        <f t="shared" si="3"/>
        <v>0</v>
      </c>
    </row>
    <row r="38" spans="1:9" ht="21.75" customHeight="1">
      <c r="A38" s="4">
        <f>'09_보상연계'!A28</f>
        <v>23</v>
      </c>
      <c r="B38" s="4" t="str">
        <f>'09_보상연계'!B28</f>
        <v>BSS-023</v>
      </c>
      <c r="C38" s="13" t="str">
        <f>'09_보상연계'!C28</f>
        <v>OOO</v>
      </c>
      <c r="D38" s="40" t="str">
        <f>'09_보상연계'!F28</f>
        <v>G2</v>
      </c>
      <c r="E38" s="68">
        <f>'09_보상연계'!P28</f>
        <v>44200000</v>
      </c>
      <c r="F38" s="68">
        <f>'09_보상연계'!M28</f>
        <v>36000000</v>
      </c>
      <c r="G38" s="68">
        <f>'09_보상연계'!N28</f>
        <v>49000000</v>
      </c>
      <c r="H38" s="20" t="str">
        <f t="shared" si="2"/>
        <v>✓ 범위 내</v>
      </c>
      <c r="I38" s="75">
        <f t="shared" si="3"/>
        <v>0</v>
      </c>
    </row>
    <row r="39" spans="1:9" ht="21.75" customHeight="1">
      <c r="A39" s="4">
        <f>'09_보상연계'!A29</f>
        <v>24</v>
      </c>
      <c r="B39" s="4" t="str">
        <f>'09_보상연계'!B29</f>
        <v>BSS-024</v>
      </c>
      <c r="C39" s="13" t="str">
        <f>'09_보상연계'!C29</f>
        <v>OOO</v>
      </c>
      <c r="D39" s="40" t="str">
        <f>'09_보상연계'!F29</f>
        <v>G2</v>
      </c>
      <c r="E39" s="68">
        <f>'09_보상연계'!P29</f>
        <v>45050000</v>
      </c>
      <c r="F39" s="68">
        <f>'09_보상연계'!M29</f>
        <v>36000000</v>
      </c>
      <c r="G39" s="68">
        <f>'09_보상연계'!N29</f>
        <v>49000000</v>
      </c>
      <c r="H39" s="20" t="str">
        <f t="shared" si="2"/>
        <v>✓ 범위 내</v>
      </c>
      <c r="I39" s="75">
        <f t="shared" si="3"/>
        <v>0</v>
      </c>
    </row>
    <row r="40" spans="1:9" ht="21.75" customHeight="1">
      <c r="A40" s="4">
        <f>'09_보상연계'!A30</f>
        <v>25</v>
      </c>
      <c r="B40" s="4" t="str">
        <f>'09_보상연계'!B30</f>
        <v>BSS-025</v>
      </c>
      <c r="C40" s="13" t="str">
        <f>'09_보상연계'!C30</f>
        <v>OOO</v>
      </c>
      <c r="D40" s="40" t="str">
        <f>'09_보상연계'!F30</f>
        <v>G2</v>
      </c>
      <c r="E40" s="68">
        <f>'09_보상연계'!P30</f>
        <v>43350000</v>
      </c>
      <c r="F40" s="68">
        <f>'09_보상연계'!M30</f>
        <v>36000000</v>
      </c>
      <c r="G40" s="68">
        <f>'09_보상연계'!N30</f>
        <v>49000000</v>
      </c>
      <c r="H40" s="20" t="str">
        <f t="shared" si="2"/>
        <v>✓ 범위 내</v>
      </c>
      <c r="I40" s="75">
        <f t="shared" si="3"/>
        <v>0</v>
      </c>
    </row>
    <row r="41" spans="1:9" ht="21.75" customHeight="1">
      <c r="A41" s="4">
        <f>'09_보상연계'!A31</f>
        <v>26</v>
      </c>
      <c r="B41" s="4" t="str">
        <f>'09_보상연계'!B31</f>
        <v>BSS-026</v>
      </c>
      <c r="C41" s="13" t="str">
        <f>'09_보상연계'!C31</f>
        <v>OOO</v>
      </c>
      <c r="D41" s="40" t="str">
        <f>'09_보상연계'!F31</f>
        <v>G1</v>
      </c>
      <c r="E41" s="68">
        <f>'09_보상연계'!P31</f>
        <v>36330000</v>
      </c>
      <c r="F41" s="68">
        <f>'09_보상연계'!M31</f>
        <v>33000000</v>
      </c>
      <c r="G41" s="68">
        <f>'09_보상연계'!N31</f>
        <v>44000000</v>
      </c>
      <c r="H41" s="20" t="str">
        <f t="shared" si="2"/>
        <v>✓ 범위 내</v>
      </c>
      <c r="I41" s="75">
        <f t="shared" si="3"/>
        <v>0</v>
      </c>
    </row>
    <row r="42" spans="1:9" ht="21.75" customHeight="1">
      <c r="A42" s="4">
        <f>'09_보상연계'!A32</f>
        <v>27</v>
      </c>
      <c r="B42" s="4" t="str">
        <f>'09_보상연계'!B32</f>
        <v>BSS-027</v>
      </c>
      <c r="C42" s="13" t="str">
        <f>'09_보상연계'!C32</f>
        <v>OOO</v>
      </c>
      <c r="D42" s="40" t="str">
        <f>'09_보상연계'!F32</f>
        <v>G2</v>
      </c>
      <c r="E42" s="68">
        <f>'09_보상연계'!P32</f>
        <v>36750000</v>
      </c>
      <c r="F42" s="68">
        <f>'09_보상연계'!M32</f>
        <v>36000000</v>
      </c>
      <c r="G42" s="68">
        <f>'09_보상연계'!N32</f>
        <v>49000000</v>
      </c>
      <c r="H42" s="20" t="str">
        <f t="shared" si="2"/>
        <v>✓ 범위 내</v>
      </c>
      <c r="I42" s="75">
        <f t="shared" si="3"/>
        <v>0</v>
      </c>
    </row>
    <row r="43" spans="1:9" ht="21.75" customHeight="1">
      <c r="A43" s="4">
        <f>'09_보상연계'!A33</f>
        <v>28</v>
      </c>
      <c r="B43" s="4" t="str">
        <f>'09_보상연계'!B33</f>
        <v>BSS-028</v>
      </c>
      <c r="C43" s="13" t="str">
        <f>'09_보상연계'!C33</f>
        <v>OOO</v>
      </c>
      <c r="D43" s="40" t="str">
        <f>'09_보상연계'!F33</f>
        <v>G1</v>
      </c>
      <c r="E43" s="68">
        <f>'09_보상연계'!P33</f>
        <v>37800000</v>
      </c>
      <c r="F43" s="68">
        <f>'09_보상연계'!M33</f>
        <v>33000000</v>
      </c>
      <c r="G43" s="68">
        <f>'09_보상연계'!N33</f>
        <v>44000000</v>
      </c>
      <c r="H43" s="20" t="str">
        <f t="shared" si="2"/>
        <v>✓ 범위 내</v>
      </c>
      <c r="I43" s="75">
        <f t="shared" si="3"/>
        <v>0</v>
      </c>
    </row>
    <row r="44" spans="1:9" ht="21.75" customHeight="1">
      <c r="A44" s="4">
        <f>'09_보상연계'!A34</f>
        <v>29</v>
      </c>
      <c r="B44" s="4" t="str">
        <f>'09_보상연계'!B34</f>
        <v>BSS-029</v>
      </c>
      <c r="C44" s="13" t="str">
        <f>'09_보상연계'!C34</f>
        <v>OOO</v>
      </c>
      <c r="D44" s="40" t="str">
        <f>'09_보상연계'!F34</f>
        <v>G1</v>
      </c>
      <c r="E44" s="68">
        <f>'09_보상연계'!P34</f>
        <v>37440000</v>
      </c>
      <c r="F44" s="68">
        <f>'09_보상연계'!M34</f>
        <v>33000000</v>
      </c>
      <c r="G44" s="68">
        <f>'09_보상연계'!N34</f>
        <v>44000000</v>
      </c>
      <c r="H44" s="20" t="str">
        <f t="shared" si="2"/>
        <v>✓ 범위 내</v>
      </c>
      <c r="I44" s="75">
        <f t="shared" si="3"/>
        <v>0</v>
      </c>
    </row>
    <row r="45" spans="1:9" ht="21.75" customHeight="1">
      <c r="A45" s="4">
        <f>'09_보상연계'!A35</f>
        <v>30</v>
      </c>
      <c r="B45" s="4" t="str">
        <f>'09_보상연계'!B35</f>
        <v>BSS-030</v>
      </c>
      <c r="C45" s="13" t="str">
        <f>'09_보상연계'!C35</f>
        <v>OOO</v>
      </c>
      <c r="D45" s="40" t="str">
        <f>'09_보상연계'!F35</f>
        <v>G1</v>
      </c>
      <c r="E45" s="68">
        <f>'09_보상연계'!P35</f>
        <v>38000000</v>
      </c>
      <c r="F45" s="68">
        <f>'09_보상연계'!M35</f>
        <v>33000000</v>
      </c>
      <c r="G45" s="68">
        <f>'09_보상연계'!N35</f>
        <v>44000000</v>
      </c>
      <c r="H45" s="20" t="str">
        <f t="shared" si="2"/>
        <v>✓ 범위 내</v>
      </c>
      <c r="I45" s="75">
        <f t="shared" si="3"/>
        <v>0</v>
      </c>
    </row>
    <row r="46" spans="1:9" ht="21.75" customHeight="1">
      <c r="A46" s="4">
        <f>'09_보상연계'!A36</f>
        <v>31</v>
      </c>
      <c r="B46" s="4" t="str">
        <f>'09_보상연계'!B36</f>
        <v>BSS-031</v>
      </c>
      <c r="C46" s="13" t="str">
        <f>'09_보상연계'!C36</f>
        <v>OOO</v>
      </c>
      <c r="D46" s="40" t="str">
        <f>'09_보상연계'!F36</f>
        <v>G1</v>
      </c>
      <c r="E46" s="68">
        <f>'09_보상연계'!P36</f>
        <v>38570000</v>
      </c>
      <c r="F46" s="68">
        <f>'09_보상연계'!M36</f>
        <v>33000000</v>
      </c>
      <c r="G46" s="68">
        <f>'09_보상연계'!N36</f>
        <v>44000000</v>
      </c>
      <c r="H46" s="20" t="str">
        <f t="shared" si="2"/>
        <v>✓ 범위 내</v>
      </c>
      <c r="I46" s="75">
        <f t="shared" si="3"/>
        <v>0</v>
      </c>
    </row>
    <row r="47" spans="1:9" ht="21.75" customHeight="1">
      <c r="A47" s="4">
        <f>'09_보상연계'!A37</f>
        <v>32</v>
      </c>
      <c r="B47" s="4" t="str">
        <f>'09_보상연계'!B37</f>
        <v>BSS-032</v>
      </c>
      <c r="C47" s="13" t="str">
        <f>'09_보상연계'!C37</f>
        <v>OOO</v>
      </c>
      <c r="D47" s="40" t="str">
        <f>'09_보상연계'!F37</f>
        <v>G1</v>
      </c>
      <c r="E47" s="68">
        <f>'09_보상연계'!P37</f>
        <v>33600000</v>
      </c>
      <c r="F47" s="68">
        <f>'09_보상연계'!M37</f>
        <v>33000000</v>
      </c>
      <c r="G47" s="68">
        <f>'09_보상연계'!N37</f>
        <v>44000000</v>
      </c>
      <c r="H47" s="20" t="str">
        <f t="shared" si="2"/>
        <v>✓ 범위 내</v>
      </c>
      <c r="I47" s="75">
        <f t="shared" si="3"/>
        <v>0</v>
      </c>
    </row>
    <row r="48" spans="1:9" ht="21.75" customHeight="1">
      <c r="A48" s="4">
        <f>'09_보상연계'!A38</f>
        <v>33</v>
      </c>
      <c r="B48" s="4" t="str">
        <f>'09_보상연계'!B38</f>
        <v>BSS-033</v>
      </c>
      <c r="C48" s="13" t="str">
        <f>'09_보상연계'!C38</f>
        <v>OOO</v>
      </c>
      <c r="D48" s="40" t="str">
        <f>'09_보상연계'!F38</f>
        <v>G1</v>
      </c>
      <c r="E48" s="68">
        <f>'09_보상연계'!P38</f>
        <v>33280000</v>
      </c>
      <c r="F48" s="68">
        <f>'09_보상연계'!M38</f>
        <v>33000000</v>
      </c>
      <c r="G48" s="68">
        <f>'09_보상연계'!N38</f>
        <v>44000000</v>
      </c>
      <c r="H48" s="20" t="str">
        <f t="shared" si="2"/>
        <v>✓ 범위 내</v>
      </c>
      <c r="I48" s="75">
        <f t="shared" si="3"/>
        <v>0</v>
      </c>
    </row>
    <row r="49" spans="1:9" ht="21.75" customHeight="1">
      <c r="A49" s="4">
        <f>'09_보상연계'!A39</f>
        <v>34</v>
      </c>
      <c r="B49" s="4" t="str">
        <f>'09_보상연계'!B39</f>
        <v>BSS-034</v>
      </c>
      <c r="C49" s="13" t="str">
        <f>'09_보상연계'!C39</f>
        <v>OOO</v>
      </c>
      <c r="D49" s="40" t="str">
        <f>'09_보상연계'!F39</f>
        <v>G1</v>
      </c>
      <c r="E49" s="68">
        <f>'09_보상연계'!P39</f>
        <v>33920000</v>
      </c>
      <c r="F49" s="68">
        <f>'09_보상연계'!M39</f>
        <v>33000000</v>
      </c>
      <c r="G49" s="68">
        <f>'09_보상연계'!N39</f>
        <v>44000000</v>
      </c>
      <c r="H49" s="20" t="str">
        <f t="shared" si="2"/>
        <v>✓ 범위 내</v>
      </c>
      <c r="I49" s="75">
        <f t="shared" si="3"/>
        <v>0</v>
      </c>
    </row>
  </sheetData>
  <mergeCells count="4">
    <mergeCell ref="A1:I1"/>
    <mergeCell ref="A2:I2"/>
    <mergeCell ref="A4:I4"/>
    <mergeCell ref="A14:I14"/>
  </mergeCells>
  <phoneticPr fontId="28" type="noConversion"/>
  <conditionalFormatting sqref="A16:I49">
    <cfRule type="expression" dxfId="38" priority="2">
      <formula>OR($E16&lt;$F16,$E16&gt;$G16)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D30"/>
  <sheetViews>
    <sheetView zoomScaleNormal="100" workbookViewId="0">
      <selection activeCell="G30" sqref="G30"/>
    </sheetView>
  </sheetViews>
  <sheetFormatPr defaultColWidth="8.5625" defaultRowHeight="16.899999999999999"/>
  <cols>
    <col min="1" max="4" width="20.25" customWidth="1"/>
  </cols>
  <sheetData>
    <row r="1" spans="1:4" ht="27.75" customHeight="1">
      <c r="A1" s="109" t="s">
        <v>465</v>
      </c>
      <c r="B1" s="109"/>
      <c r="C1" s="109"/>
      <c r="D1" s="109"/>
    </row>
    <row r="2" spans="1:4" ht="16.5" customHeight="1">
      <c r="A2" s="124" t="s">
        <v>466</v>
      </c>
      <c r="B2" s="124"/>
      <c r="C2" s="124"/>
      <c r="D2" s="124"/>
    </row>
    <row r="4" spans="1:4" ht="16.5" customHeight="1">
      <c r="A4" s="107" t="s">
        <v>467</v>
      </c>
      <c r="B4" s="107"/>
      <c r="C4" s="107"/>
      <c r="D4" s="107"/>
    </row>
    <row r="5" spans="1:4" ht="18.75" customHeight="1">
      <c r="A5" s="11" t="s">
        <v>468</v>
      </c>
      <c r="B5" s="76">
        <f>COUNTA('01_인적정보'!C6:C65)</f>
        <v>34</v>
      </c>
    </row>
    <row r="6" spans="1:4" ht="18.75" customHeight="1">
      <c r="A6" s="11" t="s">
        <v>469</v>
      </c>
      <c r="B6" s="77">
        <f>SUM('09_보상연계'!G6:G39)</f>
        <v>1687275000</v>
      </c>
    </row>
    <row r="7" spans="1:4" ht="18.75" customHeight="1">
      <c r="A7" s="11" t="s">
        <v>470</v>
      </c>
      <c r="B7" s="77">
        <f>'09_보상연계'!P41</f>
        <v>1753280000</v>
      </c>
    </row>
    <row r="8" spans="1:4" ht="18.75" customHeight="1">
      <c r="A8" s="11" t="s">
        <v>471</v>
      </c>
      <c r="B8" s="77">
        <f>'09_보상연계'!Q41</f>
        <v>66005000</v>
      </c>
    </row>
    <row r="9" spans="1:4" ht="18.75" customHeight="1">
      <c r="A9" s="11" t="s">
        <v>472</v>
      </c>
      <c r="B9" s="78">
        <f>IFERROR('09_보상연계'!Q41/'09_보상연계'!G41,0)</f>
        <v>3.9119289979404663E-2</v>
      </c>
    </row>
    <row r="10" spans="1:4" ht="18.75" customHeight="1">
      <c r="A10" s="11" t="s">
        <v>473</v>
      </c>
      <c r="B10" s="77">
        <f>'10_성과급관리'!L44</f>
        <v>161431000</v>
      </c>
    </row>
    <row r="11" spans="1:4" ht="18.75" customHeight="1">
      <c r="A11" s="11" t="s">
        <v>474</v>
      </c>
      <c r="B11" s="76">
        <f>SUM('11_페이밴드검증'!H6:H12)</f>
        <v>0</v>
      </c>
    </row>
    <row r="14" spans="1:4" ht="16.5" customHeight="1">
      <c r="A14" s="107" t="s">
        <v>475</v>
      </c>
      <c r="B14" s="107"/>
      <c r="C14" s="107"/>
      <c r="D14" s="107"/>
    </row>
    <row r="15" spans="1:4">
      <c r="A15" s="3" t="s">
        <v>130</v>
      </c>
      <c r="B15" s="3" t="s">
        <v>136</v>
      </c>
      <c r="C15" s="3" t="s">
        <v>476</v>
      </c>
    </row>
    <row r="16" spans="1:4">
      <c r="A16" s="79" t="s">
        <v>131</v>
      </c>
      <c r="B16" s="19">
        <f>COUNTIF('08_종합평가'!U6:U39,"S")</f>
        <v>3</v>
      </c>
      <c r="C16" s="47">
        <f>IFERROR(B16/SUM($B$16:$B$20),0)</f>
        <v>8.8235294117647065E-2</v>
      </c>
    </row>
    <row r="17" spans="1:4">
      <c r="A17" s="80" t="s">
        <v>132</v>
      </c>
      <c r="B17" s="19">
        <f>COUNTIF('08_종합평가'!U6:U39,"A")</f>
        <v>5</v>
      </c>
      <c r="C17" s="47">
        <f>IFERROR(B17/SUM($B$16:$B$20),0)</f>
        <v>0.14705882352941177</v>
      </c>
    </row>
    <row r="18" spans="1:4">
      <c r="A18" s="81" t="s">
        <v>133</v>
      </c>
      <c r="B18" s="19">
        <f>COUNTIF('08_종합평가'!U6:U39,"B")</f>
        <v>18</v>
      </c>
      <c r="C18" s="47">
        <f>IFERROR(B18/SUM($B$16:$B$20),0)</f>
        <v>0.52941176470588236</v>
      </c>
    </row>
    <row r="19" spans="1:4">
      <c r="A19" s="82" t="s">
        <v>134</v>
      </c>
      <c r="B19" s="19">
        <f>COUNTIF('08_종합평가'!U6:U39,"C")</f>
        <v>4</v>
      </c>
      <c r="C19" s="47">
        <f>IFERROR(B19/SUM($B$16:$B$20),0)</f>
        <v>0.11764705882352941</v>
      </c>
    </row>
    <row r="20" spans="1:4">
      <c r="A20" s="83" t="s">
        <v>135</v>
      </c>
      <c r="B20" s="19">
        <f>COUNTIF('08_종합평가'!U6:U39,"D")</f>
        <v>4</v>
      </c>
      <c r="C20" s="47">
        <f>IFERROR(B20/SUM($B$16:$B$20),0)</f>
        <v>0.11764705882352941</v>
      </c>
    </row>
    <row r="23" spans="1:4" ht="16.5" customHeight="1">
      <c r="A23" s="107" t="s">
        <v>477</v>
      </c>
      <c r="B23" s="107"/>
      <c r="C23" s="107"/>
      <c r="D23" s="107"/>
    </row>
    <row r="24" spans="1:4">
      <c r="A24" s="3" t="s">
        <v>150</v>
      </c>
      <c r="B24" s="3" t="s">
        <v>478</v>
      </c>
      <c r="C24" s="3" t="s">
        <v>479</v>
      </c>
      <c r="D24" s="3" t="s">
        <v>471</v>
      </c>
    </row>
    <row r="25" spans="1:4">
      <c r="A25" s="9" t="s">
        <v>480</v>
      </c>
      <c r="B25" s="19">
        <f>COUNTIF('09_보상연계'!E6:E39,"R&amp;D본부")</f>
        <v>1</v>
      </c>
      <c r="C25" s="47">
        <f>IFERROR(AVERAGEIFS('09_보상연계'!L6:L39,'09_보상연계'!E6:E39,"R&amp;D본부"),"")</f>
        <v>0.04</v>
      </c>
      <c r="D25" s="68">
        <f>SUMIFS('09_보상연계'!Q6:Q39,'09_보상연계'!E6:E39,"R&amp;D본부")</f>
        <v>2750000</v>
      </c>
    </row>
    <row r="26" spans="1:4">
      <c r="A26" s="48" t="s">
        <v>181</v>
      </c>
      <c r="B26" s="19">
        <f>COUNTIF('09_보상연계'!E6:E39,"경영전략실")</f>
        <v>3</v>
      </c>
      <c r="C26" s="47">
        <f>IFERROR(AVERAGEIFS('09_보상연계'!L6:L39,'09_보상연계'!E6:E39,"경영전략실"),"")</f>
        <v>3.3333333333333333E-2</v>
      </c>
      <c r="D26" s="68">
        <f>SUMIFS('09_보상연계'!Q6:Q39,'09_보상연계'!E6:E39,"경영전략실")</f>
        <v>6430000</v>
      </c>
    </row>
    <row r="27" spans="1:4">
      <c r="A27" s="48" t="s">
        <v>206</v>
      </c>
      <c r="B27" s="19">
        <f>COUNTIF('09_보상연계'!E6:E39,"마케팅팀")</f>
        <v>2</v>
      </c>
      <c r="C27" s="47">
        <f>IFERROR(AVERAGEIFS('09_보상연계'!L6:L39,'09_보상연계'!E6:E39,"마케팅팀"),"")</f>
        <v>0.03</v>
      </c>
      <c r="D27" s="68">
        <f>SUMIFS('09_보상연계'!Q6:Q39,'09_보상연계'!E6:E39,"마케팅팀")</f>
        <v>2555000</v>
      </c>
    </row>
    <row r="28" spans="1:4">
      <c r="A28" s="48" t="s">
        <v>191</v>
      </c>
      <c r="B28" s="19">
        <f>COUNTIF('09_보상연계'!E6:E39,"솔루션본부")</f>
        <v>5</v>
      </c>
      <c r="C28" s="47">
        <f>IFERROR(AVERAGEIFS('09_보상연계'!L6:L39,'09_보상연계'!E6:E39,"솔루션본부"),"")</f>
        <v>3.7999999999999999E-2</v>
      </c>
      <c r="D28" s="68">
        <f>SUMIFS('09_보상연계'!Q6:Q39,'09_보상연계'!E6:E39,"솔루션본부")</f>
        <v>9170000</v>
      </c>
    </row>
    <row r="29" spans="1:4">
      <c r="A29" s="48" t="s">
        <v>163</v>
      </c>
      <c r="B29" s="19">
        <f>COUNTIF('09_보상연계'!E6:E39,"스마트사업부")</f>
        <v>1</v>
      </c>
      <c r="C29" s="47">
        <f>IFERROR(AVERAGEIFS('09_보상연계'!L6:L39,'09_보상연계'!E6:E39,"스마트사업부"),"")</f>
        <v>0.04</v>
      </c>
      <c r="D29" s="68">
        <f>SUMIFS('09_보상연계'!Q6:Q39,'09_보상연계'!E6:E39,"스마트사업부")</f>
        <v>2900000</v>
      </c>
    </row>
    <row r="30" spans="1:4">
      <c r="A30" s="48" t="s">
        <v>176</v>
      </c>
      <c r="B30" s="19">
        <f>COUNTIF('09_보상연계'!E6:E39,"컨설팅본부")</f>
        <v>22</v>
      </c>
      <c r="C30" s="47">
        <f>IFERROR(AVERAGEIFS('09_보상연계'!L6:L39,'09_보상연계'!E6:E39,"컨설팅본부"),"")</f>
        <v>4.1818181818181838E-2</v>
      </c>
      <c r="D30" s="68">
        <f>SUMIFS('09_보상연계'!Q6:Q39,'09_보상연계'!E6:E39,"컨설팅본부")</f>
        <v>42200000</v>
      </c>
    </row>
  </sheetData>
  <mergeCells count="5">
    <mergeCell ref="A1:D1"/>
    <mergeCell ref="A2:D2"/>
    <mergeCell ref="A4:D4"/>
    <mergeCell ref="A14:D14"/>
    <mergeCell ref="A23:D23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H54"/>
  <sheetViews>
    <sheetView zoomScaleNormal="100" workbookViewId="0">
      <pane ySplit="5" topLeftCell="A6" activePane="bottomLeft" state="frozen"/>
      <selection pane="bottomLeft" activeCell="E5" sqref="E5"/>
    </sheetView>
  </sheetViews>
  <sheetFormatPr defaultColWidth="8.5625" defaultRowHeight="16.899999999999999"/>
  <cols>
    <col min="1" max="1" width="22" customWidth="1"/>
    <col min="2" max="2" width="14.6875" customWidth="1"/>
    <col min="3" max="3" width="9.1875" customWidth="1"/>
    <col min="4" max="4" width="18.0625" customWidth="1"/>
    <col min="5" max="5" width="85.5625" customWidth="1"/>
    <col min="6" max="8" width="33.25" customWidth="1"/>
  </cols>
  <sheetData>
    <row r="1" spans="1:8" ht="27.75" customHeight="1">
      <c r="A1" s="111" t="s">
        <v>481</v>
      </c>
      <c r="B1" s="111"/>
      <c r="C1" s="111"/>
      <c r="D1" s="111"/>
      <c r="E1" s="111"/>
      <c r="F1" s="111"/>
      <c r="G1" s="111"/>
      <c r="H1" s="111"/>
    </row>
    <row r="2" spans="1:8" ht="16.5" customHeight="1">
      <c r="A2" s="88" t="s">
        <v>482</v>
      </c>
      <c r="B2" s="88"/>
      <c r="C2" s="88"/>
      <c r="D2" s="88"/>
      <c r="E2" s="88"/>
      <c r="F2" s="88"/>
      <c r="G2" s="88"/>
      <c r="H2" s="88"/>
    </row>
    <row r="5" spans="1:8" ht="30" customHeight="1">
      <c r="A5" s="23" t="s">
        <v>483</v>
      </c>
      <c r="B5" s="23" t="s">
        <v>149</v>
      </c>
      <c r="C5" s="23" t="s">
        <v>152</v>
      </c>
      <c r="D5" s="23" t="s">
        <v>484</v>
      </c>
      <c r="E5" s="23" t="s">
        <v>485</v>
      </c>
      <c r="F5" s="23" t="s">
        <v>486</v>
      </c>
      <c r="G5" s="23" t="s">
        <v>487</v>
      </c>
      <c r="H5" s="23" t="s">
        <v>488</v>
      </c>
    </row>
    <row r="6" spans="1:8" ht="49.5" customHeight="1">
      <c r="A6" s="84" t="s">
        <v>489</v>
      </c>
      <c r="B6" s="44" t="s">
        <v>180</v>
      </c>
      <c r="C6" s="41" t="s">
        <v>165</v>
      </c>
      <c r="D6" s="48" t="s">
        <v>490</v>
      </c>
      <c r="E6" s="44" t="s">
        <v>491</v>
      </c>
      <c r="F6" s="44" t="s">
        <v>492</v>
      </c>
      <c r="G6" s="44" t="s">
        <v>493</v>
      </c>
      <c r="H6" s="24" t="s">
        <v>494</v>
      </c>
    </row>
    <row r="7" spans="1:8" ht="49.5" customHeight="1">
      <c r="A7" s="84" t="s">
        <v>495</v>
      </c>
      <c r="B7" s="44" t="s">
        <v>180</v>
      </c>
      <c r="C7" s="41" t="s">
        <v>193</v>
      </c>
      <c r="D7" s="48" t="s">
        <v>496</v>
      </c>
      <c r="E7" s="44" t="s">
        <v>497</v>
      </c>
      <c r="F7" s="44" t="s">
        <v>498</v>
      </c>
      <c r="G7" s="44" t="s">
        <v>499</v>
      </c>
      <c r="H7" s="24" t="s">
        <v>500</v>
      </c>
    </row>
    <row r="8" spans="1:8" ht="49.5" customHeight="1">
      <c r="A8" s="84" t="s">
        <v>501</v>
      </c>
      <c r="B8" s="44" t="s">
        <v>180</v>
      </c>
      <c r="C8" s="41" t="s">
        <v>201</v>
      </c>
      <c r="D8" s="48" t="s">
        <v>502</v>
      </c>
      <c r="E8" s="44" t="s">
        <v>503</v>
      </c>
      <c r="F8" s="44" t="s">
        <v>504</v>
      </c>
      <c r="G8" s="44" t="s">
        <v>505</v>
      </c>
      <c r="H8" s="24" t="s">
        <v>500</v>
      </c>
    </row>
    <row r="9" spans="1:8" ht="49.5" customHeight="1">
      <c r="A9" s="84" t="s">
        <v>506</v>
      </c>
      <c r="B9" s="44" t="s">
        <v>180</v>
      </c>
      <c r="C9" s="41" t="s">
        <v>219</v>
      </c>
      <c r="D9" s="48" t="s">
        <v>507</v>
      </c>
      <c r="E9" s="44" t="s">
        <v>508</v>
      </c>
      <c r="F9" s="44" t="s">
        <v>509</v>
      </c>
      <c r="G9" s="44" t="s">
        <v>510</v>
      </c>
      <c r="H9" s="24" t="s">
        <v>511</v>
      </c>
    </row>
    <row r="10" spans="1:8" ht="49.5" customHeight="1">
      <c r="A10" s="84" t="s">
        <v>512</v>
      </c>
      <c r="B10" s="44" t="s">
        <v>180</v>
      </c>
      <c r="C10" s="41" t="s">
        <v>224</v>
      </c>
      <c r="D10" s="48" t="s">
        <v>513</v>
      </c>
      <c r="E10" s="44" t="s">
        <v>514</v>
      </c>
      <c r="F10" s="44" t="s">
        <v>515</v>
      </c>
      <c r="G10" s="44" t="s">
        <v>516</v>
      </c>
      <c r="H10" s="24" t="s">
        <v>511</v>
      </c>
    </row>
    <row r="11" spans="1:8" ht="49.5" customHeight="1">
      <c r="A11" s="84" t="s">
        <v>517</v>
      </c>
      <c r="B11" s="44" t="s">
        <v>180</v>
      </c>
      <c r="C11" s="41" t="s">
        <v>230</v>
      </c>
      <c r="D11" s="48" t="s">
        <v>518</v>
      </c>
      <c r="E11" s="44" t="s">
        <v>519</v>
      </c>
      <c r="F11" s="44" t="s">
        <v>520</v>
      </c>
      <c r="G11" s="44" t="s">
        <v>521</v>
      </c>
      <c r="H11" s="24" t="s">
        <v>522</v>
      </c>
    </row>
    <row r="12" spans="1:8" ht="49.5" customHeight="1">
      <c r="A12" s="84" t="s">
        <v>523</v>
      </c>
      <c r="B12" s="44" t="s">
        <v>180</v>
      </c>
      <c r="C12" s="41" t="s">
        <v>242</v>
      </c>
      <c r="D12" s="48" t="s">
        <v>524</v>
      </c>
      <c r="E12" s="44" t="s">
        <v>525</v>
      </c>
      <c r="F12" s="44" t="s">
        <v>526</v>
      </c>
      <c r="G12" s="44" t="s">
        <v>527</v>
      </c>
      <c r="H12" s="24" t="s">
        <v>528</v>
      </c>
    </row>
    <row r="13" spans="1:8" ht="49.5" customHeight="1">
      <c r="A13" s="84" t="s">
        <v>529</v>
      </c>
      <c r="B13" s="44" t="s">
        <v>162</v>
      </c>
      <c r="C13" s="41" t="s">
        <v>165</v>
      </c>
      <c r="D13" s="48" t="s">
        <v>490</v>
      </c>
      <c r="E13" s="44" t="s">
        <v>491</v>
      </c>
      <c r="F13" s="44" t="s">
        <v>492</v>
      </c>
      <c r="G13" s="44" t="s">
        <v>493</v>
      </c>
      <c r="H13" s="24" t="s">
        <v>494</v>
      </c>
    </row>
    <row r="14" spans="1:8" ht="49.5" customHeight="1">
      <c r="A14" s="84" t="s">
        <v>530</v>
      </c>
      <c r="B14" s="44" t="s">
        <v>162</v>
      </c>
      <c r="C14" s="41" t="s">
        <v>193</v>
      </c>
      <c r="D14" s="48" t="s">
        <v>496</v>
      </c>
      <c r="E14" s="44" t="s">
        <v>497</v>
      </c>
      <c r="F14" s="44" t="s">
        <v>498</v>
      </c>
      <c r="G14" s="44" t="s">
        <v>499</v>
      </c>
      <c r="H14" s="24" t="s">
        <v>500</v>
      </c>
    </row>
    <row r="15" spans="1:8" ht="49.5" customHeight="1">
      <c r="A15" s="84" t="s">
        <v>531</v>
      </c>
      <c r="B15" s="44" t="s">
        <v>162</v>
      </c>
      <c r="C15" s="41" t="s">
        <v>201</v>
      </c>
      <c r="D15" s="48" t="s">
        <v>502</v>
      </c>
      <c r="E15" s="44" t="s">
        <v>503</v>
      </c>
      <c r="F15" s="44" t="s">
        <v>504</v>
      </c>
      <c r="G15" s="44" t="s">
        <v>505</v>
      </c>
      <c r="H15" s="24" t="s">
        <v>500</v>
      </c>
    </row>
    <row r="16" spans="1:8" ht="49.5" customHeight="1">
      <c r="A16" s="84" t="s">
        <v>532</v>
      </c>
      <c r="B16" s="44" t="s">
        <v>162</v>
      </c>
      <c r="C16" s="41" t="s">
        <v>219</v>
      </c>
      <c r="D16" s="48" t="s">
        <v>507</v>
      </c>
      <c r="E16" s="44" t="s">
        <v>508</v>
      </c>
      <c r="F16" s="44" t="s">
        <v>509</v>
      </c>
      <c r="G16" s="44" t="s">
        <v>510</v>
      </c>
      <c r="H16" s="24" t="s">
        <v>511</v>
      </c>
    </row>
    <row r="17" spans="1:8" ht="49.5" customHeight="1">
      <c r="A17" s="84" t="s">
        <v>533</v>
      </c>
      <c r="B17" s="44" t="s">
        <v>162</v>
      </c>
      <c r="C17" s="41" t="s">
        <v>224</v>
      </c>
      <c r="D17" s="48" t="s">
        <v>513</v>
      </c>
      <c r="E17" s="44" t="s">
        <v>514</v>
      </c>
      <c r="F17" s="44" t="s">
        <v>515</v>
      </c>
      <c r="G17" s="44" t="s">
        <v>516</v>
      </c>
      <c r="H17" s="24" t="s">
        <v>511</v>
      </c>
    </row>
    <row r="18" spans="1:8" ht="49.5" customHeight="1">
      <c r="A18" s="84" t="s">
        <v>534</v>
      </c>
      <c r="B18" s="44" t="s">
        <v>162</v>
      </c>
      <c r="C18" s="41" t="s">
        <v>230</v>
      </c>
      <c r="D18" s="48" t="s">
        <v>518</v>
      </c>
      <c r="E18" s="44" t="s">
        <v>519</v>
      </c>
      <c r="F18" s="44" t="s">
        <v>520</v>
      </c>
      <c r="G18" s="44" t="s">
        <v>521</v>
      </c>
      <c r="H18" s="24" t="s">
        <v>522</v>
      </c>
    </row>
    <row r="19" spans="1:8" ht="49.5" customHeight="1">
      <c r="A19" s="84" t="s">
        <v>535</v>
      </c>
      <c r="B19" s="44" t="s">
        <v>162</v>
      </c>
      <c r="C19" s="41" t="s">
        <v>242</v>
      </c>
      <c r="D19" s="48" t="s">
        <v>524</v>
      </c>
      <c r="E19" s="44" t="s">
        <v>525</v>
      </c>
      <c r="F19" s="44" t="s">
        <v>526</v>
      </c>
      <c r="G19" s="44" t="s">
        <v>527</v>
      </c>
      <c r="H19" s="24" t="s">
        <v>528</v>
      </c>
    </row>
    <row r="20" spans="1:8" ht="49.5" customHeight="1">
      <c r="A20" s="4" t="s">
        <v>536</v>
      </c>
      <c r="B20" s="46" t="s">
        <v>537</v>
      </c>
      <c r="C20" s="41" t="s">
        <v>165</v>
      </c>
      <c r="D20" s="48" t="s">
        <v>490</v>
      </c>
      <c r="E20" s="44" t="s">
        <v>491</v>
      </c>
      <c r="F20" s="44" t="s">
        <v>492</v>
      </c>
      <c r="G20" s="44" t="s">
        <v>493</v>
      </c>
      <c r="H20" s="24" t="s">
        <v>494</v>
      </c>
    </row>
    <row r="21" spans="1:8" ht="49.5" customHeight="1">
      <c r="A21" s="4" t="s">
        <v>538</v>
      </c>
      <c r="B21" s="46" t="s">
        <v>537</v>
      </c>
      <c r="C21" s="41" t="s">
        <v>193</v>
      </c>
      <c r="D21" s="48" t="s">
        <v>496</v>
      </c>
      <c r="E21" s="44" t="s">
        <v>497</v>
      </c>
      <c r="F21" s="44" t="s">
        <v>498</v>
      </c>
      <c r="G21" s="44" t="s">
        <v>499</v>
      </c>
      <c r="H21" s="24" t="s">
        <v>500</v>
      </c>
    </row>
    <row r="22" spans="1:8" ht="49.5" customHeight="1">
      <c r="A22" s="4" t="s">
        <v>539</v>
      </c>
      <c r="B22" s="46" t="s">
        <v>537</v>
      </c>
      <c r="C22" s="41" t="s">
        <v>201</v>
      </c>
      <c r="D22" s="48" t="s">
        <v>502</v>
      </c>
      <c r="E22" s="44" t="s">
        <v>503</v>
      </c>
      <c r="F22" s="44" t="s">
        <v>504</v>
      </c>
      <c r="G22" s="44" t="s">
        <v>505</v>
      </c>
      <c r="H22" s="24" t="s">
        <v>500</v>
      </c>
    </row>
    <row r="23" spans="1:8" ht="49.5" customHeight="1">
      <c r="A23" s="4" t="s">
        <v>540</v>
      </c>
      <c r="B23" s="46" t="s">
        <v>537</v>
      </c>
      <c r="C23" s="41" t="s">
        <v>219</v>
      </c>
      <c r="D23" s="48" t="s">
        <v>507</v>
      </c>
      <c r="E23" s="44" t="s">
        <v>508</v>
      </c>
      <c r="F23" s="44" t="s">
        <v>509</v>
      </c>
      <c r="G23" s="44" t="s">
        <v>510</v>
      </c>
      <c r="H23" s="24" t="s">
        <v>511</v>
      </c>
    </row>
    <row r="24" spans="1:8" ht="49.5" customHeight="1">
      <c r="A24" s="4" t="s">
        <v>541</v>
      </c>
      <c r="B24" s="46" t="s">
        <v>537</v>
      </c>
      <c r="C24" s="41" t="s">
        <v>224</v>
      </c>
      <c r="D24" s="48" t="s">
        <v>513</v>
      </c>
      <c r="E24" s="44" t="s">
        <v>514</v>
      </c>
      <c r="F24" s="44" t="s">
        <v>515</v>
      </c>
      <c r="G24" s="44" t="s">
        <v>516</v>
      </c>
      <c r="H24" s="24" t="s">
        <v>511</v>
      </c>
    </row>
    <row r="25" spans="1:8" ht="49.5" customHeight="1">
      <c r="A25" s="4" t="s">
        <v>542</v>
      </c>
      <c r="B25" s="46" t="s">
        <v>537</v>
      </c>
      <c r="C25" s="41" t="s">
        <v>230</v>
      </c>
      <c r="D25" s="48" t="s">
        <v>518</v>
      </c>
      <c r="E25" s="44" t="s">
        <v>519</v>
      </c>
      <c r="F25" s="44" t="s">
        <v>520</v>
      </c>
      <c r="G25" s="44" t="s">
        <v>521</v>
      </c>
      <c r="H25" s="24" t="s">
        <v>522</v>
      </c>
    </row>
    <row r="26" spans="1:8" ht="49.5" customHeight="1">
      <c r="A26" s="4" t="s">
        <v>543</v>
      </c>
      <c r="B26" s="46" t="s">
        <v>537</v>
      </c>
      <c r="C26" s="41" t="s">
        <v>242</v>
      </c>
      <c r="D26" s="48" t="s">
        <v>524</v>
      </c>
      <c r="E26" s="44" t="s">
        <v>525</v>
      </c>
      <c r="F26" s="44" t="s">
        <v>526</v>
      </c>
      <c r="G26" s="44" t="s">
        <v>527</v>
      </c>
      <c r="H26" s="24" t="s">
        <v>528</v>
      </c>
    </row>
    <row r="27" spans="1:8" ht="49.5" customHeight="1">
      <c r="A27" s="4" t="s">
        <v>544</v>
      </c>
      <c r="B27" s="46" t="s">
        <v>175</v>
      </c>
      <c r="C27" s="41" t="s">
        <v>165</v>
      </c>
      <c r="D27" s="48" t="s">
        <v>490</v>
      </c>
      <c r="E27" s="44" t="s">
        <v>491</v>
      </c>
      <c r="F27" s="44" t="s">
        <v>492</v>
      </c>
      <c r="G27" s="44" t="s">
        <v>493</v>
      </c>
      <c r="H27" s="24" t="s">
        <v>494</v>
      </c>
    </row>
    <row r="28" spans="1:8" ht="49.5" customHeight="1">
      <c r="A28" s="4" t="s">
        <v>545</v>
      </c>
      <c r="B28" s="46" t="s">
        <v>175</v>
      </c>
      <c r="C28" s="41" t="s">
        <v>193</v>
      </c>
      <c r="D28" s="48" t="s">
        <v>496</v>
      </c>
      <c r="E28" s="44" t="s">
        <v>497</v>
      </c>
      <c r="F28" s="44" t="s">
        <v>498</v>
      </c>
      <c r="G28" s="44" t="s">
        <v>499</v>
      </c>
      <c r="H28" s="24" t="s">
        <v>500</v>
      </c>
    </row>
    <row r="29" spans="1:8" ht="49.5" customHeight="1">
      <c r="A29" s="4" t="s">
        <v>546</v>
      </c>
      <c r="B29" s="46" t="s">
        <v>175</v>
      </c>
      <c r="C29" s="41" t="s">
        <v>201</v>
      </c>
      <c r="D29" s="48" t="s">
        <v>502</v>
      </c>
      <c r="E29" s="44" t="s">
        <v>503</v>
      </c>
      <c r="F29" s="44" t="s">
        <v>504</v>
      </c>
      <c r="G29" s="44" t="s">
        <v>505</v>
      </c>
      <c r="H29" s="24" t="s">
        <v>500</v>
      </c>
    </row>
    <row r="30" spans="1:8" ht="49.5" customHeight="1">
      <c r="A30" s="4" t="s">
        <v>547</v>
      </c>
      <c r="B30" s="46" t="s">
        <v>175</v>
      </c>
      <c r="C30" s="41" t="s">
        <v>219</v>
      </c>
      <c r="D30" s="48" t="s">
        <v>507</v>
      </c>
      <c r="E30" s="44" t="s">
        <v>508</v>
      </c>
      <c r="F30" s="44" t="s">
        <v>509</v>
      </c>
      <c r="G30" s="44" t="s">
        <v>510</v>
      </c>
      <c r="H30" s="24" t="s">
        <v>511</v>
      </c>
    </row>
    <row r="31" spans="1:8" ht="49.5" customHeight="1">
      <c r="A31" s="4" t="s">
        <v>548</v>
      </c>
      <c r="B31" s="46" t="s">
        <v>175</v>
      </c>
      <c r="C31" s="41" t="s">
        <v>224</v>
      </c>
      <c r="D31" s="48" t="s">
        <v>513</v>
      </c>
      <c r="E31" s="44" t="s">
        <v>514</v>
      </c>
      <c r="F31" s="44" t="s">
        <v>515</v>
      </c>
      <c r="G31" s="44" t="s">
        <v>516</v>
      </c>
      <c r="H31" s="24" t="s">
        <v>511</v>
      </c>
    </row>
    <row r="32" spans="1:8" ht="49.5" customHeight="1">
      <c r="A32" s="4" t="s">
        <v>549</v>
      </c>
      <c r="B32" s="46" t="s">
        <v>175</v>
      </c>
      <c r="C32" s="41" t="s">
        <v>230</v>
      </c>
      <c r="D32" s="48" t="s">
        <v>518</v>
      </c>
      <c r="E32" s="44" t="s">
        <v>519</v>
      </c>
      <c r="F32" s="44" t="s">
        <v>520</v>
      </c>
      <c r="G32" s="44" t="s">
        <v>521</v>
      </c>
      <c r="H32" s="24" t="s">
        <v>522</v>
      </c>
    </row>
    <row r="33" spans="1:8" ht="49.5" customHeight="1">
      <c r="A33" s="4" t="s">
        <v>550</v>
      </c>
      <c r="B33" s="46" t="s">
        <v>175</v>
      </c>
      <c r="C33" s="41" t="s">
        <v>242</v>
      </c>
      <c r="D33" s="48" t="s">
        <v>524</v>
      </c>
      <c r="E33" s="44" t="s">
        <v>525</v>
      </c>
      <c r="F33" s="44" t="s">
        <v>526</v>
      </c>
      <c r="G33" s="44" t="s">
        <v>527</v>
      </c>
      <c r="H33" s="24" t="s">
        <v>528</v>
      </c>
    </row>
    <row r="34" spans="1:8" ht="49.5" customHeight="1">
      <c r="A34" s="84" t="s">
        <v>551</v>
      </c>
      <c r="B34" s="44" t="s">
        <v>190</v>
      </c>
      <c r="C34" s="41" t="s">
        <v>165</v>
      </c>
      <c r="D34" s="48" t="s">
        <v>490</v>
      </c>
      <c r="E34" s="44" t="s">
        <v>491</v>
      </c>
      <c r="F34" s="44" t="s">
        <v>492</v>
      </c>
      <c r="G34" s="44" t="s">
        <v>493</v>
      </c>
      <c r="H34" s="24" t="s">
        <v>494</v>
      </c>
    </row>
    <row r="35" spans="1:8" ht="49.5" customHeight="1">
      <c r="A35" s="84" t="s">
        <v>552</v>
      </c>
      <c r="B35" s="44" t="s">
        <v>190</v>
      </c>
      <c r="C35" s="41" t="s">
        <v>193</v>
      </c>
      <c r="D35" s="48" t="s">
        <v>496</v>
      </c>
      <c r="E35" s="44" t="s">
        <v>497</v>
      </c>
      <c r="F35" s="44" t="s">
        <v>498</v>
      </c>
      <c r="G35" s="44" t="s">
        <v>499</v>
      </c>
      <c r="H35" s="24" t="s">
        <v>500</v>
      </c>
    </row>
    <row r="36" spans="1:8" ht="49.5" customHeight="1">
      <c r="A36" s="84" t="s">
        <v>553</v>
      </c>
      <c r="B36" s="44" t="s">
        <v>190</v>
      </c>
      <c r="C36" s="41" t="s">
        <v>201</v>
      </c>
      <c r="D36" s="48" t="s">
        <v>502</v>
      </c>
      <c r="E36" s="44" t="s">
        <v>503</v>
      </c>
      <c r="F36" s="44" t="s">
        <v>504</v>
      </c>
      <c r="G36" s="44" t="s">
        <v>505</v>
      </c>
      <c r="H36" s="24" t="s">
        <v>500</v>
      </c>
    </row>
    <row r="37" spans="1:8" ht="49.5" customHeight="1">
      <c r="A37" s="84" t="s">
        <v>554</v>
      </c>
      <c r="B37" s="44" t="s">
        <v>190</v>
      </c>
      <c r="C37" s="41" t="s">
        <v>219</v>
      </c>
      <c r="D37" s="48" t="s">
        <v>507</v>
      </c>
      <c r="E37" s="44" t="s">
        <v>508</v>
      </c>
      <c r="F37" s="44" t="s">
        <v>509</v>
      </c>
      <c r="G37" s="44" t="s">
        <v>510</v>
      </c>
      <c r="H37" s="24" t="s">
        <v>511</v>
      </c>
    </row>
    <row r="38" spans="1:8" ht="49.5" customHeight="1">
      <c r="A38" s="84" t="s">
        <v>555</v>
      </c>
      <c r="B38" s="44" t="s">
        <v>190</v>
      </c>
      <c r="C38" s="41" t="s">
        <v>224</v>
      </c>
      <c r="D38" s="48" t="s">
        <v>513</v>
      </c>
      <c r="E38" s="44" t="s">
        <v>514</v>
      </c>
      <c r="F38" s="44" t="s">
        <v>515</v>
      </c>
      <c r="G38" s="44" t="s">
        <v>516</v>
      </c>
      <c r="H38" s="24" t="s">
        <v>511</v>
      </c>
    </row>
    <row r="39" spans="1:8" ht="49.5" customHeight="1">
      <c r="A39" s="84" t="s">
        <v>556</v>
      </c>
      <c r="B39" s="44" t="s">
        <v>190</v>
      </c>
      <c r="C39" s="41" t="s">
        <v>230</v>
      </c>
      <c r="D39" s="48" t="s">
        <v>518</v>
      </c>
      <c r="E39" s="44" t="s">
        <v>519</v>
      </c>
      <c r="F39" s="44" t="s">
        <v>520</v>
      </c>
      <c r="G39" s="44" t="s">
        <v>521</v>
      </c>
      <c r="H39" s="24" t="s">
        <v>522</v>
      </c>
    </row>
    <row r="40" spans="1:8" ht="49.5" customHeight="1">
      <c r="A40" s="84" t="s">
        <v>557</v>
      </c>
      <c r="B40" s="44" t="s">
        <v>190</v>
      </c>
      <c r="C40" s="41" t="s">
        <v>242</v>
      </c>
      <c r="D40" s="48" t="s">
        <v>524</v>
      </c>
      <c r="E40" s="44" t="s">
        <v>525</v>
      </c>
      <c r="F40" s="44" t="s">
        <v>526</v>
      </c>
      <c r="G40" s="44" t="s">
        <v>527</v>
      </c>
      <c r="H40" s="24" t="s">
        <v>528</v>
      </c>
    </row>
    <row r="41" spans="1:8" ht="49.5" customHeight="1">
      <c r="A41" s="84" t="s">
        <v>558</v>
      </c>
      <c r="B41" s="44" t="s">
        <v>196</v>
      </c>
      <c r="C41" s="41" t="s">
        <v>165</v>
      </c>
      <c r="D41" s="48" t="s">
        <v>490</v>
      </c>
      <c r="E41" s="44" t="s">
        <v>491</v>
      </c>
      <c r="F41" s="44" t="s">
        <v>492</v>
      </c>
      <c r="G41" s="44" t="s">
        <v>493</v>
      </c>
      <c r="H41" s="24" t="s">
        <v>494</v>
      </c>
    </row>
    <row r="42" spans="1:8" ht="49.5" customHeight="1">
      <c r="A42" s="84" t="s">
        <v>559</v>
      </c>
      <c r="B42" s="44" t="s">
        <v>196</v>
      </c>
      <c r="C42" s="41" t="s">
        <v>193</v>
      </c>
      <c r="D42" s="48" t="s">
        <v>496</v>
      </c>
      <c r="E42" s="44" t="s">
        <v>497</v>
      </c>
      <c r="F42" s="44" t="s">
        <v>498</v>
      </c>
      <c r="G42" s="44" t="s">
        <v>499</v>
      </c>
      <c r="H42" s="24" t="s">
        <v>500</v>
      </c>
    </row>
    <row r="43" spans="1:8" ht="49.5" customHeight="1">
      <c r="A43" s="84" t="s">
        <v>560</v>
      </c>
      <c r="B43" s="44" t="s">
        <v>196</v>
      </c>
      <c r="C43" s="41" t="s">
        <v>201</v>
      </c>
      <c r="D43" s="48" t="s">
        <v>502</v>
      </c>
      <c r="E43" s="44" t="s">
        <v>503</v>
      </c>
      <c r="F43" s="44" t="s">
        <v>504</v>
      </c>
      <c r="G43" s="44" t="s">
        <v>505</v>
      </c>
      <c r="H43" s="24" t="s">
        <v>500</v>
      </c>
    </row>
    <row r="44" spans="1:8" ht="49.5" customHeight="1">
      <c r="A44" s="84" t="s">
        <v>561</v>
      </c>
      <c r="B44" s="44" t="s">
        <v>196</v>
      </c>
      <c r="C44" s="41" t="s">
        <v>219</v>
      </c>
      <c r="D44" s="48" t="s">
        <v>507</v>
      </c>
      <c r="E44" s="44" t="s">
        <v>508</v>
      </c>
      <c r="F44" s="44" t="s">
        <v>509</v>
      </c>
      <c r="G44" s="44" t="s">
        <v>510</v>
      </c>
      <c r="H44" s="24" t="s">
        <v>511</v>
      </c>
    </row>
    <row r="45" spans="1:8" ht="49.5" customHeight="1">
      <c r="A45" s="84" t="s">
        <v>562</v>
      </c>
      <c r="B45" s="44" t="s">
        <v>196</v>
      </c>
      <c r="C45" s="41" t="s">
        <v>224</v>
      </c>
      <c r="D45" s="48" t="s">
        <v>513</v>
      </c>
      <c r="E45" s="44" t="s">
        <v>514</v>
      </c>
      <c r="F45" s="44" t="s">
        <v>515</v>
      </c>
      <c r="G45" s="44" t="s">
        <v>516</v>
      </c>
      <c r="H45" s="24" t="s">
        <v>511</v>
      </c>
    </row>
    <row r="46" spans="1:8" ht="49.5" customHeight="1">
      <c r="A46" s="84" t="s">
        <v>563</v>
      </c>
      <c r="B46" s="44" t="s">
        <v>196</v>
      </c>
      <c r="C46" s="41" t="s">
        <v>230</v>
      </c>
      <c r="D46" s="48" t="s">
        <v>518</v>
      </c>
      <c r="E46" s="44" t="s">
        <v>519</v>
      </c>
      <c r="F46" s="44" t="s">
        <v>520</v>
      </c>
      <c r="G46" s="44" t="s">
        <v>521</v>
      </c>
      <c r="H46" s="24" t="s">
        <v>522</v>
      </c>
    </row>
    <row r="47" spans="1:8" ht="49.5" customHeight="1">
      <c r="A47" s="84" t="s">
        <v>564</v>
      </c>
      <c r="B47" s="44" t="s">
        <v>196</v>
      </c>
      <c r="C47" s="41" t="s">
        <v>242</v>
      </c>
      <c r="D47" s="48" t="s">
        <v>524</v>
      </c>
      <c r="E47" s="44" t="s">
        <v>525</v>
      </c>
      <c r="F47" s="44" t="s">
        <v>526</v>
      </c>
      <c r="G47" s="44" t="s">
        <v>527</v>
      </c>
      <c r="H47" s="24" t="s">
        <v>528</v>
      </c>
    </row>
    <row r="48" spans="1:8" ht="49.5" customHeight="1">
      <c r="A48" s="84" t="s">
        <v>565</v>
      </c>
      <c r="B48" s="44" t="s">
        <v>169</v>
      </c>
      <c r="C48" s="41" t="s">
        <v>165</v>
      </c>
      <c r="D48" s="48" t="s">
        <v>490</v>
      </c>
      <c r="E48" s="44" t="s">
        <v>491</v>
      </c>
      <c r="F48" s="44" t="s">
        <v>492</v>
      </c>
      <c r="G48" s="44" t="s">
        <v>493</v>
      </c>
      <c r="H48" s="24" t="s">
        <v>494</v>
      </c>
    </row>
    <row r="49" spans="1:8" ht="49.5" customHeight="1">
      <c r="A49" s="84" t="s">
        <v>566</v>
      </c>
      <c r="B49" s="44" t="s">
        <v>169</v>
      </c>
      <c r="C49" s="41" t="s">
        <v>193</v>
      </c>
      <c r="D49" s="48" t="s">
        <v>496</v>
      </c>
      <c r="E49" s="44" t="s">
        <v>497</v>
      </c>
      <c r="F49" s="44" t="s">
        <v>498</v>
      </c>
      <c r="G49" s="44" t="s">
        <v>499</v>
      </c>
      <c r="H49" s="24" t="s">
        <v>500</v>
      </c>
    </row>
    <row r="50" spans="1:8" ht="49.5" customHeight="1">
      <c r="A50" s="84" t="s">
        <v>567</v>
      </c>
      <c r="B50" s="44" t="s">
        <v>169</v>
      </c>
      <c r="C50" s="41" t="s">
        <v>201</v>
      </c>
      <c r="D50" s="48" t="s">
        <v>502</v>
      </c>
      <c r="E50" s="44" t="s">
        <v>503</v>
      </c>
      <c r="F50" s="44" t="s">
        <v>504</v>
      </c>
      <c r="G50" s="44" t="s">
        <v>505</v>
      </c>
      <c r="H50" s="24" t="s">
        <v>500</v>
      </c>
    </row>
    <row r="51" spans="1:8" ht="49.5" customHeight="1">
      <c r="A51" s="84" t="s">
        <v>568</v>
      </c>
      <c r="B51" s="44" t="s">
        <v>169</v>
      </c>
      <c r="C51" s="41" t="s">
        <v>219</v>
      </c>
      <c r="D51" s="48" t="s">
        <v>507</v>
      </c>
      <c r="E51" s="44" t="s">
        <v>508</v>
      </c>
      <c r="F51" s="44" t="s">
        <v>509</v>
      </c>
      <c r="G51" s="44" t="s">
        <v>510</v>
      </c>
      <c r="H51" s="24" t="s">
        <v>511</v>
      </c>
    </row>
    <row r="52" spans="1:8" ht="49.5" customHeight="1">
      <c r="A52" s="84" t="s">
        <v>569</v>
      </c>
      <c r="B52" s="44" t="s">
        <v>169</v>
      </c>
      <c r="C52" s="41" t="s">
        <v>224</v>
      </c>
      <c r="D52" s="48" t="s">
        <v>513</v>
      </c>
      <c r="E52" s="44" t="s">
        <v>514</v>
      </c>
      <c r="F52" s="44" t="s">
        <v>515</v>
      </c>
      <c r="G52" s="44" t="s">
        <v>516</v>
      </c>
      <c r="H52" s="24" t="s">
        <v>511</v>
      </c>
    </row>
    <row r="53" spans="1:8" ht="49.5" customHeight="1">
      <c r="A53" s="84" t="s">
        <v>570</v>
      </c>
      <c r="B53" s="44" t="s">
        <v>169</v>
      </c>
      <c r="C53" s="41" t="s">
        <v>230</v>
      </c>
      <c r="D53" s="48" t="s">
        <v>518</v>
      </c>
      <c r="E53" s="44" t="s">
        <v>519</v>
      </c>
      <c r="F53" s="44" t="s">
        <v>520</v>
      </c>
      <c r="G53" s="44" t="s">
        <v>521</v>
      </c>
      <c r="H53" s="24" t="s">
        <v>522</v>
      </c>
    </row>
    <row r="54" spans="1:8" ht="49.5" customHeight="1">
      <c r="A54" s="84" t="s">
        <v>571</v>
      </c>
      <c r="B54" s="44" t="s">
        <v>169</v>
      </c>
      <c r="C54" s="41" t="s">
        <v>242</v>
      </c>
      <c r="D54" s="48" t="s">
        <v>524</v>
      </c>
      <c r="E54" s="44" t="s">
        <v>525</v>
      </c>
      <c r="F54" s="44" t="s">
        <v>526</v>
      </c>
      <c r="G54" s="44" t="s">
        <v>527</v>
      </c>
      <c r="H54" s="24" t="s">
        <v>528</v>
      </c>
    </row>
  </sheetData>
  <mergeCells count="2">
    <mergeCell ref="A1:H1"/>
    <mergeCell ref="A2:H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G74"/>
  <sheetViews>
    <sheetView zoomScaleNormal="100" workbookViewId="0">
      <pane ySplit="5" topLeftCell="A6" activePane="bottomLeft" state="frozen"/>
      <selection pane="bottomLeft" activeCell="C6" sqref="C6"/>
    </sheetView>
  </sheetViews>
  <sheetFormatPr defaultColWidth="8.5625" defaultRowHeight="16.899999999999999"/>
  <cols>
    <col min="1" max="1" width="5" customWidth="1"/>
    <col min="2" max="3" width="16.375" customWidth="1"/>
    <col min="4" max="4" width="29" customWidth="1"/>
    <col min="5" max="7" width="58.875" customWidth="1"/>
    <col min="8" max="8" width="16.375" customWidth="1"/>
  </cols>
  <sheetData>
    <row r="1" spans="1:7" ht="27.75" customHeight="1">
      <c r="A1" s="111" t="s">
        <v>572</v>
      </c>
      <c r="B1" s="111"/>
      <c r="C1" s="111"/>
      <c r="D1" s="111"/>
      <c r="E1" s="111"/>
      <c r="F1" s="111"/>
      <c r="G1" s="111"/>
    </row>
    <row r="2" spans="1:7" ht="16.5" customHeight="1">
      <c r="A2" s="88" t="s">
        <v>573</v>
      </c>
      <c r="B2" s="88"/>
      <c r="C2" s="88"/>
      <c r="D2" s="88"/>
      <c r="E2" s="88"/>
      <c r="F2" s="88"/>
      <c r="G2" s="88"/>
    </row>
    <row r="5" spans="1:7" ht="30" customHeight="1">
      <c r="A5" s="22" t="s">
        <v>145</v>
      </c>
      <c r="B5" s="23" t="s">
        <v>149</v>
      </c>
      <c r="C5" s="23" t="s">
        <v>574</v>
      </c>
      <c r="D5" s="23" t="s">
        <v>575</v>
      </c>
      <c r="E5" s="23" t="s">
        <v>576</v>
      </c>
      <c r="F5" s="23" t="s">
        <v>577</v>
      </c>
      <c r="G5" s="23" t="s">
        <v>578</v>
      </c>
    </row>
    <row r="6" spans="1:7" ht="27.75" customHeight="1">
      <c r="A6" s="24">
        <v>1</v>
      </c>
      <c r="B6" s="48" t="s">
        <v>180</v>
      </c>
      <c r="C6" s="85" t="s">
        <v>579</v>
      </c>
      <c r="D6" s="48" t="s">
        <v>580</v>
      </c>
      <c r="E6" s="44" t="s">
        <v>581</v>
      </c>
      <c r="F6" s="44" t="s">
        <v>582</v>
      </c>
      <c r="G6" s="2" t="s">
        <v>583</v>
      </c>
    </row>
    <row r="7" spans="1:7" ht="27.75" customHeight="1">
      <c r="A7" s="24">
        <v>2</v>
      </c>
      <c r="B7" s="48" t="s">
        <v>180</v>
      </c>
      <c r="C7" s="85" t="s">
        <v>579</v>
      </c>
      <c r="D7" s="48" t="s">
        <v>584</v>
      </c>
      <c r="E7" s="44" t="s">
        <v>585</v>
      </c>
      <c r="F7" s="44" t="s">
        <v>586</v>
      </c>
      <c r="G7" s="2" t="s">
        <v>587</v>
      </c>
    </row>
    <row r="8" spans="1:7" ht="27.75" customHeight="1">
      <c r="A8" s="24">
        <v>3</v>
      </c>
      <c r="B8" s="48" t="s">
        <v>180</v>
      </c>
      <c r="C8" s="85" t="s">
        <v>579</v>
      </c>
      <c r="D8" s="48" t="s">
        <v>588</v>
      </c>
      <c r="E8" s="44" t="s">
        <v>589</v>
      </c>
      <c r="F8" s="44" t="s">
        <v>590</v>
      </c>
      <c r="G8" s="2" t="s">
        <v>591</v>
      </c>
    </row>
    <row r="9" spans="1:7" ht="27.75" customHeight="1">
      <c r="A9" s="24">
        <v>4</v>
      </c>
      <c r="B9" s="48" t="s">
        <v>180</v>
      </c>
      <c r="C9" s="85" t="s">
        <v>579</v>
      </c>
      <c r="D9" s="48" t="s">
        <v>592</v>
      </c>
      <c r="E9" s="44" t="s">
        <v>593</v>
      </c>
      <c r="F9" s="44" t="s">
        <v>594</v>
      </c>
      <c r="G9" s="2" t="s">
        <v>595</v>
      </c>
    </row>
    <row r="10" spans="1:7" ht="27.75" customHeight="1">
      <c r="A10" s="24">
        <v>5</v>
      </c>
      <c r="B10" s="48" t="s">
        <v>180</v>
      </c>
      <c r="C10" s="85" t="s">
        <v>579</v>
      </c>
      <c r="D10" s="48" t="s">
        <v>596</v>
      </c>
      <c r="E10" s="44" t="s">
        <v>597</v>
      </c>
      <c r="F10" s="44" t="s">
        <v>598</v>
      </c>
      <c r="G10" s="2" t="s">
        <v>599</v>
      </c>
    </row>
    <row r="11" spans="1:7" ht="27.75" customHeight="1">
      <c r="A11" s="24">
        <v>6</v>
      </c>
      <c r="B11" s="48" t="s">
        <v>180</v>
      </c>
      <c r="C11" s="85" t="s">
        <v>579</v>
      </c>
      <c r="D11" s="48" t="s">
        <v>600</v>
      </c>
      <c r="E11" s="44" t="s">
        <v>601</v>
      </c>
      <c r="F11" s="44" t="s">
        <v>602</v>
      </c>
      <c r="G11" s="2" t="s">
        <v>603</v>
      </c>
    </row>
    <row r="12" spans="1:7" ht="27.75" customHeight="1">
      <c r="A12" s="24">
        <v>7</v>
      </c>
      <c r="B12" s="48" t="s">
        <v>180</v>
      </c>
      <c r="C12" s="85" t="s">
        <v>604</v>
      </c>
      <c r="D12" s="48" t="s">
        <v>605</v>
      </c>
      <c r="E12" s="44" t="s">
        <v>606</v>
      </c>
      <c r="F12" s="46" t="s">
        <v>607</v>
      </c>
      <c r="G12" s="2" t="s">
        <v>608</v>
      </c>
    </row>
    <row r="13" spans="1:7" ht="27.75" customHeight="1">
      <c r="A13" s="24">
        <v>8</v>
      </c>
      <c r="B13" s="48" t="s">
        <v>180</v>
      </c>
      <c r="C13" s="85" t="s">
        <v>604</v>
      </c>
      <c r="D13" s="48" t="s">
        <v>609</v>
      </c>
      <c r="E13" s="44" t="s">
        <v>610</v>
      </c>
      <c r="F13" s="44" t="s">
        <v>611</v>
      </c>
      <c r="G13" s="2" t="s">
        <v>612</v>
      </c>
    </row>
    <row r="14" spans="1:7" ht="27.75" customHeight="1">
      <c r="A14" s="24">
        <v>9</v>
      </c>
      <c r="B14" s="48" t="s">
        <v>180</v>
      </c>
      <c r="C14" s="85" t="s">
        <v>604</v>
      </c>
      <c r="D14" s="48" t="s">
        <v>613</v>
      </c>
      <c r="E14" s="44" t="s">
        <v>614</v>
      </c>
      <c r="F14" s="44" t="s">
        <v>615</v>
      </c>
      <c r="G14" s="2" t="s">
        <v>616</v>
      </c>
    </row>
    <row r="15" spans="1:7" ht="27.75" customHeight="1">
      <c r="A15" s="24">
        <v>10</v>
      </c>
      <c r="B15" s="48" t="s">
        <v>180</v>
      </c>
      <c r="C15" s="85" t="s">
        <v>604</v>
      </c>
      <c r="D15" s="48" t="s">
        <v>617</v>
      </c>
      <c r="E15" s="44" t="s">
        <v>618</v>
      </c>
      <c r="F15" s="44" t="s">
        <v>619</v>
      </c>
      <c r="G15" s="2" t="s">
        <v>620</v>
      </c>
    </row>
    <row r="16" spans="1:7" ht="27.75" customHeight="1">
      <c r="A16" s="24">
        <v>11</v>
      </c>
      <c r="B16" s="48" t="s">
        <v>180</v>
      </c>
      <c r="C16" s="85" t="s">
        <v>604</v>
      </c>
      <c r="D16" s="48" t="s">
        <v>621</v>
      </c>
      <c r="E16" s="44" t="s">
        <v>622</v>
      </c>
      <c r="F16" s="44" t="s">
        <v>623</v>
      </c>
      <c r="G16" s="2" t="s">
        <v>624</v>
      </c>
    </row>
    <row r="17" spans="1:7" ht="27.75" customHeight="1">
      <c r="A17" s="24">
        <v>12</v>
      </c>
      <c r="B17" s="48" t="s">
        <v>180</v>
      </c>
      <c r="C17" s="85" t="s">
        <v>625</v>
      </c>
      <c r="D17" s="48" t="s">
        <v>626</v>
      </c>
      <c r="E17" s="44" t="s">
        <v>627</v>
      </c>
      <c r="F17" s="44" t="s">
        <v>628</v>
      </c>
      <c r="G17" s="2" t="s">
        <v>629</v>
      </c>
    </row>
    <row r="18" spans="1:7" ht="27.75" customHeight="1">
      <c r="A18" s="24">
        <v>13</v>
      </c>
      <c r="B18" s="48" t="s">
        <v>180</v>
      </c>
      <c r="C18" s="85" t="s">
        <v>625</v>
      </c>
      <c r="D18" s="48" t="s">
        <v>630</v>
      </c>
      <c r="E18" s="44" t="s">
        <v>631</v>
      </c>
      <c r="F18" s="44" t="s">
        <v>632</v>
      </c>
      <c r="G18" s="2" t="s">
        <v>633</v>
      </c>
    </row>
    <row r="19" spans="1:7" ht="27.75" customHeight="1">
      <c r="A19" s="24">
        <v>14</v>
      </c>
      <c r="B19" s="48" t="s">
        <v>180</v>
      </c>
      <c r="C19" s="85" t="s">
        <v>625</v>
      </c>
      <c r="D19" s="48" t="s">
        <v>634</v>
      </c>
      <c r="E19" s="44" t="s">
        <v>635</v>
      </c>
      <c r="F19" s="44" t="s">
        <v>636</v>
      </c>
      <c r="G19" s="2" t="s">
        <v>637</v>
      </c>
    </row>
    <row r="20" spans="1:7" ht="27.75" customHeight="1">
      <c r="A20" s="24">
        <v>15</v>
      </c>
      <c r="B20" s="48" t="s">
        <v>180</v>
      </c>
      <c r="C20" s="85" t="s">
        <v>625</v>
      </c>
      <c r="D20" s="48" t="s">
        <v>638</v>
      </c>
      <c r="E20" s="44" t="s">
        <v>639</v>
      </c>
      <c r="F20" s="44" t="s">
        <v>640</v>
      </c>
      <c r="G20" s="2" t="s">
        <v>641</v>
      </c>
    </row>
    <row r="21" spans="1:7" ht="27.75" customHeight="1">
      <c r="A21" s="24">
        <v>16</v>
      </c>
      <c r="B21" s="48" t="s">
        <v>180</v>
      </c>
      <c r="C21" s="85" t="s">
        <v>625</v>
      </c>
      <c r="D21" s="48" t="s">
        <v>642</v>
      </c>
      <c r="E21" s="44" t="s">
        <v>643</v>
      </c>
      <c r="F21" s="44" t="s">
        <v>644</v>
      </c>
      <c r="G21" s="2" t="s">
        <v>645</v>
      </c>
    </row>
    <row r="22" spans="1:7" ht="27.75" customHeight="1">
      <c r="A22" s="24">
        <v>17</v>
      </c>
      <c r="B22" s="48" t="s">
        <v>180</v>
      </c>
      <c r="C22" s="85" t="s">
        <v>646</v>
      </c>
      <c r="D22" s="48" t="s">
        <v>647</v>
      </c>
      <c r="E22" s="44" t="s">
        <v>648</v>
      </c>
      <c r="F22" s="44" t="s">
        <v>649</v>
      </c>
      <c r="G22" s="2" t="s">
        <v>650</v>
      </c>
    </row>
    <row r="23" spans="1:7" ht="27.75" customHeight="1">
      <c r="A23" s="24">
        <v>18</v>
      </c>
      <c r="B23" s="48" t="s">
        <v>180</v>
      </c>
      <c r="C23" s="85" t="s">
        <v>646</v>
      </c>
      <c r="D23" s="48" t="s">
        <v>651</v>
      </c>
      <c r="E23" s="44" t="s">
        <v>652</v>
      </c>
      <c r="F23" s="44" t="s">
        <v>653</v>
      </c>
      <c r="G23" s="2" t="s">
        <v>654</v>
      </c>
    </row>
    <row r="24" spans="1:7" ht="27.75" customHeight="1">
      <c r="A24" s="24">
        <v>19</v>
      </c>
      <c r="B24" s="48" t="s">
        <v>180</v>
      </c>
      <c r="C24" s="85" t="s">
        <v>646</v>
      </c>
      <c r="D24" s="48" t="s">
        <v>655</v>
      </c>
      <c r="E24" s="44" t="s">
        <v>656</v>
      </c>
      <c r="F24" s="44" t="s">
        <v>657</v>
      </c>
      <c r="G24" s="2" t="s">
        <v>658</v>
      </c>
    </row>
    <row r="25" spans="1:7" ht="27.75" customHeight="1">
      <c r="A25" s="24">
        <v>20</v>
      </c>
      <c r="B25" s="9" t="s">
        <v>659</v>
      </c>
      <c r="C25" s="85" t="s">
        <v>660</v>
      </c>
      <c r="D25" s="9" t="s">
        <v>661</v>
      </c>
      <c r="E25" s="44" t="s">
        <v>662</v>
      </c>
      <c r="F25" s="46" t="s">
        <v>663</v>
      </c>
      <c r="G25" s="13" t="s">
        <v>664</v>
      </c>
    </row>
    <row r="26" spans="1:7" ht="27.75" customHeight="1">
      <c r="A26" s="24">
        <v>21</v>
      </c>
      <c r="B26" s="9" t="s">
        <v>659</v>
      </c>
      <c r="C26" s="85" t="s">
        <v>660</v>
      </c>
      <c r="D26" s="48" t="s">
        <v>665</v>
      </c>
      <c r="E26" s="46" t="s">
        <v>666</v>
      </c>
      <c r="F26" s="46" t="s">
        <v>667</v>
      </c>
      <c r="G26" s="13" t="s">
        <v>668</v>
      </c>
    </row>
    <row r="27" spans="1:7" ht="27.75" customHeight="1">
      <c r="A27" s="24">
        <v>22</v>
      </c>
      <c r="B27" s="9" t="s">
        <v>659</v>
      </c>
      <c r="C27" s="85" t="s">
        <v>660</v>
      </c>
      <c r="D27" s="48" t="s">
        <v>669</v>
      </c>
      <c r="E27" s="44" t="s">
        <v>670</v>
      </c>
      <c r="F27" s="44" t="s">
        <v>671</v>
      </c>
      <c r="G27" s="13" t="s">
        <v>672</v>
      </c>
    </row>
    <row r="28" spans="1:7" ht="27.75" customHeight="1">
      <c r="A28" s="24">
        <v>23</v>
      </c>
      <c r="B28" s="9" t="s">
        <v>659</v>
      </c>
      <c r="C28" s="85" t="s">
        <v>673</v>
      </c>
      <c r="D28" s="48" t="s">
        <v>674</v>
      </c>
      <c r="E28" s="44" t="s">
        <v>675</v>
      </c>
      <c r="F28" s="44" t="s">
        <v>676</v>
      </c>
      <c r="G28" s="13" t="s">
        <v>677</v>
      </c>
    </row>
    <row r="29" spans="1:7" ht="27.75" customHeight="1">
      <c r="A29" s="24">
        <v>24</v>
      </c>
      <c r="B29" s="9" t="s">
        <v>659</v>
      </c>
      <c r="C29" s="85" t="s">
        <v>673</v>
      </c>
      <c r="D29" s="9" t="s">
        <v>678</v>
      </c>
      <c r="E29" s="44" t="s">
        <v>679</v>
      </c>
      <c r="F29" s="44" t="s">
        <v>680</v>
      </c>
      <c r="G29" s="13" t="s">
        <v>681</v>
      </c>
    </row>
    <row r="30" spans="1:7" ht="27.75" customHeight="1">
      <c r="A30" s="24">
        <v>25</v>
      </c>
      <c r="B30" s="9" t="s">
        <v>659</v>
      </c>
      <c r="C30" s="85" t="s">
        <v>682</v>
      </c>
      <c r="D30" s="48" t="s">
        <v>683</v>
      </c>
      <c r="E30" s="44" t="s">
        <v>684</v>
      </c>
      <c r="F30" s="44" t="s">
        <v>685</v>
      </c>
      <c r="G30" s="13" t="s">
        <v>686</v>
      </c>
    </row>
    <row r="31" spans="1:7" ht="27.75" customHeight="1">
      <c r="A31" s="24">
        <v>26</v>
      </c>
      <c r="B31" s="9" t="s">
        <v>659</v>
      </c>
      <c r="C31" s="85" t="s">
        <v>687</v>
      </c>
      <c r="D31" s="48" t="s">
        <v>688</v>
      </c>
      <c r="E31" s="44" t="s">
        <v>689</v>
      </c>
      <c r="F31" s="44" t="s">
        <v>690</v>
      </c>
      <c r="G31" s="13" t="s">
        <v>691</v>
      </c>
    </row>
    <row r="32" spans="1:7" ht="27.75" customHeight="1">
      <c r="A32" s="24">
        <v>27</v>
      </c>
      <c r="B32" s="9" t="s">
        <v>659</v>
      </c>
      <c r="C32" s="85" t="s">
        <v>692</v>
      </c>
      <c r="D32" s="48" t="s">
        <v>693</v>
      </c>
      <c r="E32" s="44" t="s">
        <v>694</v>
      </c>
      <c r="F32" s="44" t="s">
        <v>695</v>
      </c>
      <c r="G32" s="13" t="s">
        <v>696</v>
      </c>
    </row>
    <row r="33" spans="1:7" ht="27.75" customHeight="1">
      <c r="A33" s="24">
        <v>28</v>
      </c>
      <c r="B33" s="9" t="s">
        <v>659</v>
      </c>
      <c r="C33" s="85" t="s">
        <v>692</v>
      </c>
      <c r="D33" s="9" t="s">
        <v>697</v>
      </c>
      <c r="E33" s="46" t="s">
        <v>698</v>
      </c>
      <c r="F33" s="46" t="s">
        <v>699</v>
      </c>
      <c r="G33" s="13" t="s">
        <v>700</v>
      </c>
    </row>
    <row r="34" spans="1:7" ht="27.75" customHeight="1">
      <c r="A34" s="24">
        <v>29</v>
      </c>
      <c r="B34" s="9" t="s">
        <v>659</v>
      </c>
      <c r="C34" s="85" t="s">
        <v>692</v>
      </c>
      <c r="D34" s="48" t="s">
        <v>701</v>
      </c>
      <c r="E34" s="44" t="s">
        <v>702</v>
      </c>
      <c r="F34" s="44" t="s">
        <v>703</v>
      </c>
      <c r="G34" s="13" t="s">
        <v>704</v>
      </c>
    </row>
    <row r="35" spans="1:7" ht="27.75" customHeight="1">
      <c r="A35" s="24">
        <v>30</v>
      </c>
      <c r="B35" s="9" t="s">
        <v>659</v>
      </c>
      <c r="C35" s="85" t="s">
        <v>705</v>
      </c>
      <c r="D35" s="48" t="s">
        <v>706</v>
      </c>
      <c r="E35" s="46" t="s">
        <v>707</v>
      </c>
      <c r="F35" s="46" t="s">
        <v>708</v>
      </c>
      <c r="G35" s="13" t="s">
        <v>709</v>
      </c>
    </row>
    <row r="36" spans="1:7" ht="27.75" customHeight="1">
      <c r="A36" s="24">
        <v>31</v>
      </c>
      <c r="B36" s="9" t="s">
        <v>659</v>
      </c>
      <c r="C36" s="85" t="s">
        <v>705</v>
      </c>
      <c r="D36" s="48" t="s">
        <v>710</v>
      </c>
      <c r="E36" s="44" t="s">
        <v>711</v>
      </c>
      <c r="F36" s="44" t="s">
        <v>712</v>
      </c>
      <c r="G36" s="13" t="s">
        <v>713</v>
      </c>
    </row>
    <row r="37" spans="1:7" ht="27.75" customHeight="1">
      <c r="A37" s="24">
        <v>32</v>
      </c>
      <c r="B37" s="9" t="s">
        <v>659</v>
      </c>
      <c r="C37" s="85" t="s">
        <v>705</v>
      </c>
      <c r="D37" s="48" t="s">
        <v>714</v>
      </c>
      <c r="E37" s="44" t="s">
        <v>715</v>
      </c>
      <c r="F37" s="44" t="s">
        <v>716</v>
      </c>
      <c r="G37" s="13" t="s">
        <v>717</v>
      </c>
    </row>
    <row r="38" spans="1:7" ht="27.75" customHeight="1">
      <c r="A38" s="24">
        <v>33</v>
      </c>
      <c r="B38" s="9" t="s">
        <v>659</v>
      </c>
      <c r="C38" s="85" t="s">
        <v>718</v>
      </c>
      <c r="D38" s="9" t="s">
        <v>719</v>
      </c>
      <c r="E38" s="44" t="s">
        <v>720</v>
      </c>
      <c r="F38" s="46" t="s">
        <v>721</v>
      </c>
      <c r="G38" s="13" t="s">
        <v>722</v>
      </c>
    </row>
    <row r="39" spans="1:7" ht="27.75" customHeight="1">
      <c r="A39" s="24">
        <v>34</v>
      </c>
      <c r="B39" s="9" t="s">
        <v>659</v>
      </c>
      <c r="C39" s="85" t="s">
        <v>718</v>
      </c>
      <c r="D39" s="48" t="s">
        <v>723</v>
      </c>
      <c r="E39" s="46" t="s">
        <v>724</v>
      </c>
      <c r="F39" s="44" t="s">
        <v>725</v>
      </c>
      <c r="G39" s="13" t="s">
        <v>726</v>
      </c>
    </row>
    <row r="40" spans="1:7" ht="27.75" customHeight="1">
      <c r="A40" s="24">
        <v>35</v>
      </c>
      <c r="B40" s="48" t="s">
        <v>162</v>
      </c>
      <c r="C40" s="85" t="s">
        <v>727</v>
      </c>
      <c r="D40" s="48" t="s">
        <v>728</v>
      </c>
      <c r="E40" s="44" t="s">
        <v>729</v>
      </c>
      <c r="F40" s="44" t="s">
        <v>730</v>
      </c>
      <c r="G40" s="2" t="s">
        <v>731</v>
      </c>
    </row>
    <row r="41" spans="1:7" ht="27.75" customHeight="1">
      <c r="A41" s="24">
        <v>36</v>
      </c>
      <c r="B41" s="48" t="s">
        <v>162</v>
      </c>
      <c r="C41" s="85" t="s">
        <v>727</v>
      </c>
      <c r="D41" s="48" t="s">
        <v>732</v>
      </c>
      <c r="E41" s="44" t="s">
        <v>733</v>
      </c>
      <c r="F41" s="44" t="s">
        <v>734</v>
      </c>
      <c r="G41" s="2" t="s">
        <v>735</v>
      </c>
    </row>
    <row r="42" spans="1:7" ht="27.75" customHeight="1">
      <c r="A42" s="24">
        <v>37</v>
      </c>
      <c r="B42" s="48" t="s">
        <v>162</v>
      </c>
      <c r="C42" s="85" t="s">
        <v>727</v>
      </c>
      <c r="D42" s="48" t="s">
        <v>736</v>
      </c>
      <c r="E42" s="44" t="s">
        <v>737</v>
      </c>
      <c r="F42" s="44" t="s">
        <v>738</v>
      </c>
      <c r="G42" s="2" t="s">
        <v>739</v>
      </c>
    </row>
    <row r="43" spans="1:7" ht="27.75" customHeight="1">
      <c r="A43" s="24">
        <v>38</v>
      </c>
      <c r="B43" s="48" t="s">
        <v>162</v>
      </c>
      <c r="C43" s="85" t="s">
        <v>740</v>
      </c>
      <c r="D43" s="48" t="s">
        <v>741</v>
      </c>
      <c r="E43" s="44" t="s">
        <v>742</v>
      </c>
      <c r="F43" s="44" t="s">
        <v>743</v>
      </c>
      <c r="G43" s="2" t="s">
        <v>744</v>
      </c>
    </row>
    <row r="44" spans="1:7" ht="27.75" customHeight="1">
      <c r="A44" s="24">
        <v>39</v>
      </c>
      <c r="B44" s="48" t="s">
        <v>162</v>
      </c>
      <c r="C44" s="85" t="s">
        <v>740</v>
      </c>
      <c r="D44" s="48" t="s">
        <v>745</v>
      </c>
      <c r="E44" s="44" t="s">
        <v>746</v>
      </c>
      <c r="F44" s="44" t="s">
        <v>747</v>
      </c>
      <c r="G44" s="2" t="s">
        <v>748</v>
      </c>
    </row>
    <row r="45" spans="1:7" ht="27.75" customHeight="1">
      <c r="A45" s="24">
        <v>40</v>
      </c>
      <c r="B45" s="48" t="s">
        <v>162</v>
      </c>
      <c r="C45" s="85" t="s">
        <v>749</v>
      </c>
      <c r="D45" s="48" t="s">
        <v>750</v>
      </c>
      <c r="E45" s="44" t="s">
        <v>751</v>
      </c>
      <c r="F45" s="44" t="s">
        <v>752</v>
      </c>
      <c r="G45" s="2" t="s">
        <v>753</v>
      </c>
    </row>
    <row r="46" spans="1:7" ht="27.75" customHeight="1">
      <c r="A46" s="24">
        <v>41</v>
      </c>
      <c r="B46" s="48" t="s">
        <v>162</v>
      </c>
      <c r="C46" s="85" t="s">
        <v>749</v>
      </c>
      <c r="D46" s="48" t="s">
        <v>754</v>
      </c>
      <c r="E46" s="46" t="s">
        <v>755</v>
      </c>
      <c r="F46" s="44" t="s">
        <v>756</v>
      </c>
      <c r="G46" s="2" t="s">
        <v>757</v>
      </c>
    </row>
    <row r="47" spans="1:7" ht="27.75" customHeight="1">
      <c r="A47" s="24">
        <v>42</v>
      </c>
      <c r="B47" s="9" t="s">
        <v>758</v>
      </c>
      <c r="C47" s="24" t="s">
        <v>759</v>
      </c>
      <c r="D47" s="9" t="s">
        <v>760</v>
      </c>
      <c r="E47" s="46" t="s">
        <v>761</v>
      </c>
      <c r="F47" s="46" t="s">
        <v>762</v>
      </c>
      <c r="G47" s="13" t="s">
        <v>763</v>
      </c>
    </row>
    <row r="48" spans="1:7" ht="27.75" customHeight="1">
      <c r="A48" s="24">
        <v>43</v>
      </c>
      <c r="B48" s="9" t="s">
        <v>758</v>
      </c>
      <c r="C48" s="24" t="s">
        <v>759</v>
      </c>
      <c r="D48" s="48" t="s">
        <v>764</v>
      </c>
      <c r="E48" s="44" t="s">
        <v>765</v>
      </c>
      <c r="F48" s="44" t="s">
        <v>766</v>
      </c>
      <c r="G48" s="13" t="s">
        <v>767</v>
      </c>
    </row>
    <row r="49" spans="1:7" ht="27.75" customHeight="1">
      <c r="A49" s="24">
        <v>44</v>
      </c>
      <c r="B49" s="9" t="s">
        <v>758</v>
      </c>
      <c r="C49" s="85" t="s">
        <v>768</v>
      </c>
      <c r="D49" s="48" t="s">
        <v>769</v>
      </c>
      <c r="E49" s="44" t="s">
        <v>770</v>
      </c>
      <c r="F49" s="44" t="s">
        <v>771</v>
      </c>
      <c r="G49" s="13" t="s">
        <v>772</v>
      </c>
    </row>
    <row r="50" spans="1:7" ht="27.75" customHeight="1">
      <c r="A50" s="24">
        <v>45</v>
      </c>
      <c r="B50" s="9" t="s">
        <v>758</v>
      </c>
      <c r="C50" s="85" t="s">
        <v>773</v>
      </c>
      <c r="D50" s="48" t="s">
        <v>774</v>
      </c>
      <c r="E50" s="44" t="s">
        <v>775</v>
      </c>
      <c r="F50" s="44" t="s">
        <v>776</v>
      </c>
      <c r="G50" s="13" t="s">
        <v>777</v>
      </c>
    </row>
    <row r="51" spans="1:7" ht="27.75" customHeight="1">
      <c r="A51" s="24">
        <v>46</v>
      </c>
      <c r="B51" s="48" t="s">
        <v>190</v>
      </c>
      <c r="C51" s="85" t="s">
        <v>778</v>
      </c>
      <c r="D51" s="48" t="s">
        <v>779</v>
      </c>
      <c r="E51" s="44" t="s">
        <v>780</v>
      </c>
      <c r="F51" s="44" t="s">
        <v>781</v>
      </c>
      <c r="G51" s="2" t="s">
        <v>782</v>
      </c>
    </row>
    <row r="52" spans="1:7" ht="27.75" customHeight="1">
      <c r="A52" s="24">
        <v>47</v>
      </c>
      <c r="B52" s="48" t="s">
        <v>190</v>
      </c>
      <c r="C52" s="85" t="s">
        <v>778</v>
      </c>
      <c r="D52" s="48" t="s">
        <v>783</v>
      </c>
      <c r="E52" s="46" t="s">
        <v>784</v>
      </c>
      <c r="F52" s="44" t="s">
        <v>785</v>
      </c>
      <c r="G52" s="2" t="s">
        <v>786</v>
      </c>
    </row>
    <row r="53" spans="1:7" ht="27.75" customHeight="1">
      <c r="A53" s="24">
        <v>48</v>
      </c>
      <c r="B53" s="48" t="s">
        <v>190</v>
      </c>
      <c r="C53" s="85" t="s">
        <v>787</v>
      </c>
      <c r="D53" s="48" t="s">
        <v>788</v>
      </c>
      <c r="E53" s="44" t="s">
        <v>789</v>
      </c>
      <c r="F53" s="44" t="s">
        <v>790</v>
      </c>
      <c r="G53" s="2" t="s">
        <v>791</v>
      </c>
    </row>
    <row r="54" spans="1:7" ht="27.75" customHeight="1">
      <c r="A54" s="24">
        <v>49</v>
      </c>
      <c r="B54" s="48" t="s">
        <v>190</v>
      </c>
      <c r="C54" s="85" t="s">
        <v>787</v>
      </c>
      <c r="D54" s="48" t="s">
        <v>792</v>
      </c>
      <c r="E54" s="44" t="s">
        <v>793</v>
      </c>
      <c r="F54" s="44" t="s">
        <v>792</v>
      </c>
      <c r="G54" s="2" t="s">
        <v>794</v>
      </c>
    </row>
    <row r="55" spans="1:7" ht="27.75" customHeight="1">
      <c r="A55" s="24">
        <v>50</v>
      </c>
      <c r="B55" s="48" t="s">
        <v>190</v>
      </c>
      <c r="C55" s="85" t="s">
        <v>787</v>
      </c>
      <c r="D55" s="48" t="s">
        <v>795</v>
      </c>
      <c r="E55" s="44" t="s">
        <v>796</v>
      </c>
      <c r="F55" s="44" t="s">
        <v>797</v>
      </c>
      <c r="G55" s="2" t="s">
        <v>798</v>
      </c>
    </row>
    <row r="56" spans="1:7" ht="27.75" customHeight="1">
      <c r="A56" s="24">
        <v>51</v>
      </c>
      <c r="B56" s="48" t="s">
        <v>190</v>
      </c>
      <c r="C56" s="85" t="s">
        <v>799</v>
      </c>
      <c r="D56" s="48" t="s">
        <v>800</v>
      </c>
      <c r="E56" s="44" t="s">
        <v>801</v>
      </c>
      <c r="F56" s="44" t="s">
        <v>802</v>
      </c>
      <c r="G56" s="2" t="s">
        <v>803</v>
      </c>
    </row>
    <row r="57" spans="1:7" ht="27.75" customHeight="1">
      <c r="A57" s="24">
        <v>52</v>
      </c>
      <c r="B57" s="48" t="s">
        <v>196</v>
      </c>
      <c r="C57" s="85" t="s">
        <v>196</v>
      </c>
      <c r="D57" s="48" t="s">
        <v>804</v>
      </c>
      <c r="E57" s="44" t="s">
        <v>805</v>
      </c>
      <c r="F57" s="44" t="s">
        <v>806</v>
      </c>
      <c r="G57" s="2" t="s">
        <v>807</v>
      </c>
    </row>
    <row r="58" spans="1:7" ht="27.75" customHeight="1">
      <c r="A58" s="24">
        <v>53</v>
      </c>
      <c r="B58" s="48" t="s">
        <v>196</v>
      </c>
      <c r="C58" s="85" t="s">
        <v>196</v>
      </c>
      <c r="D58" s="48" t="s">
        <v>808</v>
      </c>
      <c r="E58" s="44" t="s">
        <v>809</v>
      </c>
      <c r="F58" s="44" t="s">
        <v>810</v>
      </c>
      <c r="G58" s="2" t="s">
        <v>811</v>
      </c>
    </row>
    <row r="59" spans="1:7" ht="27.75" customHeight="1">
      <c r="A59" s="24">
        <v>54</v>
      </c>
      <c r="B59" s="48" t="s">
        <v>196</v>
      </c>
      <c r="C59" s="85" t="s">
        <v>196</v>
      </c>
      <c r="D59" s="48" t="s">
        <v>812</v>
      </c>
      <c r="E59" s="46" t="s">
        <v>813</v>
      </c>
      <c r="F59" s="44" t="s">
        <v>814</v>
      </c>
      <c r="G59" s="2" t="s">
        <v>815</v>
      </c>
    </row>
    <row r="60" spans="1:7" ht="27.75" customHeight="1">
      <c r="A60" s="24">
        <v>55</v>
      </c>
      <c r="B60" s="48" t="s">
        <v>196</v>
      </c>
      <c r="C60" s="85" t="s">
        <v>816</v>
      </c>
      <c r="D60" s="48" t="s">
        <v>817</v>
      </c>
      <c r="E60" s="44" t="s">
        <v>818</v>
      </c>
      <c r="F60" s="44" t="s">
        <v>819</v>
      </c>
      <c r="G60" s="2" t="s">
        <v>820</v>
      </c>
    </row>
    <row r="61" spans="1:7" ht="27.75" customHeight="1">
      <c r="A61" s="24">
        <v>56</v>
      </c>
      <c r="B61" s="48" t="s">
        <v>196</v>
      </c>
      <c r="C61" s="85" t="s">
        <v>816</v>
      </c>
      <c r="D61" s="48" t="s">
        <v>821</v>
      </c>
      <c r="E61" s="44" t="s">
        <v>822</v>
      </c>
      <c r="F61" s="44" t="s">
        <v>823</v>
      </c>
      <c r="G61" s="2" t="s">
        <v>824</v>
      </c>
    </row>
    <row r="62" spans="1:7" ht="27.75" customHeight="1">
      <c r="A62" s="24">
        <v>57</v>
      </c>
      <c r="B62" s="48" t="s">
        <v>825</v>
      </c>
      <c r="C62" s="85" t="s">
        <v>826</v>
      </c>
      <c r="D62" s="48" t="s">
        <v>827</v>
      </c>
      <c r="E62" s="44" t="s">
        <v>828</v>
      </c>
      <c r="F62" s="44" t="s">
        <v>829</v>
      </c>
      <c r="G62" s="2" t="s">
        <v>830</v>
      </c>
    </row>
    <row r="63" spans="1:7" ht="27.75" customHeight="1">
      <c r="A63" s="24">
        <v>58</v>
      </c>
      <c r="B63" s="48" t="s">
        <v>825</v>
      </c>
      <c r="C63" s="85" t="s">
        <v>826</v>
      </c>
      <c r="D63" s="48" t="s">
        <v>831</v>
      </c>
      <c r="E63" s="46" t="s">
        <v>832</v>
      </c>
      <c r="F63" s="44" t="s">
        <v>833</v>
      </c>
      <c r="G63" s="2" t="s">
        <v>834</v>
      </c>
    </row>
    <row r="64" spans="1:7" ht="27.75" customHeight="1">
      <c r="A64" s="24">
        <v>59</v>
      </c>
      <c r="B64" s="48" t="s">
        <v>825</v>
      </c>
      <c r="C64" s="85" t="s">
        <v>826</v>
      </c>
      <c r="D64" s="48" t="s">
        <v>835</v>
      </c>
      <c r="E64" s="44" t="s">
        <v>836</v>
      </c>
      <c r="F64" s="46" t="s">
        <v>837</v>
      </c>
      <c r="G64" s="2" t="s">
        <v>838</v>
      </c>
    </row>
    <row r="65" spans="1:7" ht="27.75" customHeight="1">
      <c r="A65" s="24">
        <v>60</v>
      </c>
      <c r="B65" s="48" t="s">
        <v>825</v>
      </c>
      <c r="C65" s="85" t="s">
        <v>839</v>
      </c>
      <c r="D65" s="48" t="s">
        <v>840</v>
      </c>
      <c r="E65" s="44" t="s">
        <v>841</v>
      </c>
      <c r="F65" s="44" t="s">
        <v>842</v>
      </c>
      <c r="G65" s="2" t="s">
        <v>843</v>
      </c>
    </row>
    <row r="66" spans="1:7" ht="27.75" customHeight="1">
      <c r="A66" s="24">
        <v>61</v>
      </c>
      <c r="B66" s="48" t="s">
        <v>825</v>
      </c>
      <c r="C66" s="85" t="s">
        <v>839</v>
      </c>
      <c r="D66" s="48" t="s">
        <v>844</v>
      </c>
      <c r="E66" s="44" t="s">
        <v>845</v>
      </c>
      <c r="F66" s="44" t="s">
        <v>846</v>
      </c>
      <c r="G66" s="2" t="s">
        <v>847</v>
      </c>
    </row>
    <row r="67" spans="1:7" ht="27.75" customHeight="1">
      <c r="A67" s="24">
        <v>62</v>
      </c>
      <c r="B67" s="48" t="s">
        <v>825</v>
      </c>
      <c r="C67" s="85" t="s">
        <v>839</v>
      </c>
      <c r="D67" s="48" t="s">
        <v>848</v>
      </c>
      <c r="E67" s="44" t="s">
        <v>849</v>
      </c>
      <c r="F67" s="44" t="s">
        <v>850</v>
      </c>
      <c r="G67" s="2" t="s">
        <v>851</v>
      </c>
    </row>
    <row r="68" spans="1:7" ht="27.75" customHeight="1">
      <c r="A68" s="24">
        <v>63</v>
      </c>
      <c r="B68" s="48" t="s">
        <v>825</v>
      </c>
      <c r="C68" s="85" t="s">
        <v>852</v>
      </c>
      <c r="D68" s="48" t="s">
        <v>853</v>
      </c>
      <c r="E68" s="44" t="s">
        <v>854</v>
      </c>
      <c r="F68" s="44" t="s">
        <v>855</v>
      </c>
      <c r="G68" s="2" t="s">
        <v>856</v>
      </c>
    </row>
    <row r="69" spans="1:7" ht="27.75" customHeight="1"/>
    <row r="70" spans="1:7" ht="27.75" customHeight="1"/>
    <row r="71" spans="1:7" ht="27.75" customHeight="1"/>
    <row r="72" spans="1:7" ht="27.75" customHeight="1"/>
    <row r="73" spans="1:7" ht="27.75" customHeight="1"/>
    <row r="74" spans="1:7" ht="27.75" customHeight="1"/>
  </sheetData>
  <mergeCells count="2">
    <mergeCell ref="A1:G1"/>
    <mergeCell ref="A2:G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</sheetPr>
  <dimension ref="A1:Z71"/>
  <sheetViews>
    <sheetView zoomScaleNormal="100" workbookViewId="0">
      <pane xSplit="5" ySplit="3" topLeftCell="F20" activePane="bottomRight" state="frozen"/>
      <selection pane="topRight" activeCell="F1" sqref="F1"/>
      <selection pane="bottomLeft" activeCell="A52" sqref="A52"/>
      <selection pane="bottomRight" activeCell="N32" sqref="N32"/>
    </sheetView>
  </sheetViews>
  <sheetFormatPr defaultColWidth="8.5625" defaultRowHeight="16.899999999999999"/>
  <cols>
    <col min="1" max="1" width="5" customWidth="1"/>
    <col min="2" max="2" width="10" customWidth="1"/>
    <col min="3" max="4" width="14" customWidth="1"/>
    <col min="5" max="5" width="11" customWidth="1"/>
    <col min="6" max="24" width="9" customWidth="1"/>
  </cols>
  <sheetData>
    <row r="1" spans="1:26" ht="30" customHeight="1">
      <c r="A1" s="111" t="s">
        <v>857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6" ht="21.75" customHeight="1">
      <c r="A2" s="88" t="s">
        <v>858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21.75" customHeight="1">
      <c r="A3" s="120" t="s">
        <v>859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5" spans="1:26" ht="25.5" customHeight="1">
      <c r="A5" s="121" t="s">
        <v>860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</row>
    <row r="6" spans="1:26" ht="21.75" customHeight="1">
      <c r="A6" s="126" t="s">
        <v>145</v>
      </c>
      <c r="B6" s="127" t="s">
        <v>146</v>
      </c>
      <c r="C6" s="127" t="s">
        <v>147</v>
      </c>
      <c r="D6" s="127" t="s">
        <v>150</v>
      </c>
      <c r="E6" s="127" t="s">
        <v>387</v>
      </c>
      <c r="F6" s="128" t="s">
        <v>579</v>
      </c>
      <c r="G6" s="128"/>
      <c r="H6" s="128"/>
      <c r="I6" s="128"/>
      <c r="J6" s="128"/>
      <c r="K6" s="128"/>
      <c r="L6" s="128" t="s">
        <v>604</v>
      </c>
      <c r="M6" s="128"/>
      <c r="N6" s="128"/>
      <c r="O6" s="128"/>
      <c r="P6" s="128"/>
      <c r="Q6" s="128" t="s">
        <v>625</v>
      </c>
      <c r="R6" s="128"/>
      <c r="S6" s="128"/>
      <c r="T6" s="128"/>
      <c r="U6" s="128"/>
      <c r="V6" s="128" t="s">
        <v>646</v>
      </c>
      <c r="W6" s="128"/>
      <c r="X6" s="128"/>
    </row>
    <row r="7" spans="1:26" ht="60" customHeight="1">
      <c r="A7" s="126"/>
      <c r="B7" s="126"/>
      <c r="C7" s="126"/>
      <c r="D7" s="126"/>
      <c r="E7" s="126"/>
      <c r="F7" s="63" t="s">
        <v>580</v>
      </c>
      <c r="G7" s="63" t="s">
        <v>861</v>
      </c>
      <c r="H7" s="63" t="s">
        <v>588</v>
      </c>
      <c r="I7" s="63" t="s">
        <v>592</v>
      </c>
      <c r="J7" s="63" t="s">
        <v>596</v>
      </c>
      <c r="K7" s="63" t="s">
        <v>600</v>
      </c>
      <c r="L7" s="63" t="s">
        <v>605</v>
      </c>
      <c r="M7" s="63" t="s">
        <v>609</v>
      </c>
      <c r="N7" s="63" t="s">
        <v>613</v>
      </c>
      <c r="O7" s="63" t="s">
        <v>617</v>
      </c>
      <c r="P7" s="63" t="s">
        <v>621</v>
      </c>
      <c r="Q7" s="63" t="s">
        <v>626</v>
      </c>
      <c r="R7" s="63" t="s">
        <v>630</v>
      </c>
      <c r="S7" s="63" t="s">
        <v>634</v>
      </c>
      <c r="T7" s="63" t="s">
        <v>638</v>
      </c>
      <c r="U7" s="63" t="s">
        <v>642</v>
      </c>
      <c r="V7" s="63" t="s">
        <v>647</v>
      </c>
      <c r="W7" s="63" t="s">
        <v>651</v>
      </c>
      <c r="X7" s="63" t="s">
        <v>655</v>
      </c>
    </row>
    <row r="8" spans="1:26" ht="21.75" customHeight="1">
      <c r="A8" s="24">
        <v>1</v>
      </c>
      <c r="B8" s="4" t="s">
        <v>178</v>
      </c>
      <c r="C8" s="9" t="s">
        <v>862</v>
      </c>
      <c r="D8" s="2" t="s">
        <v>181</v>
      </c>
      <c r="E8" s="53">
        <f>COUNTIF(F8:X8,"O")</f>
        <v>5</v>
      </c>
      <c r="F8" s="28" t="s">
        <v>893</v>
      </c>
      <c r="G8" s="28" t="s">
        <v>863</v>
      </c>
      <c r="H8" s="28" t="s">
        <v>863</v>
      </c>
      <c r="I8" s="28" t="s">
        <v>863</v>
      </c>
      <c r="J8" s="28" t="s">
        <v>863</v>
      </c>
      <c r="K8" s="28" t="s">
        <v>893</v>
      </c>
      <c r="L8" s="28" t="s">
        <v>863</v>
      </c>
      <c r="M8" s="28" t="s">
        <v>863</v>
      </c>
      <c r="N8" s="28" t="s">
        <v>863</v>
      </c>
      <c r="O8" s="28" t="s">
        <v>863</v>
      </c>
      <c r="P8" s="28" t="s">
        <v>863</v>
      </c>
      <c r="Q8" s="28" t="s">
        <v>863</v>
      </c>
      <c r="R8" s="28" t="s">
        <v>863</v>
      </c>
      <c r="S8" s="28" t="s">
        <v>863</v>
      </c>
      <c r="T8" s="28" t="s">
        <v>863</v>
      </c>
      <c r="U8" s="28" t="s">
        <v>863</v>
      </c>
      <c r="V8" s="28" t="s">
        <v>893</v>
      </c>
      <c r="W8" s="28" t="s">
        <v>893</v>
      </c>
      <c r="X8" s="28" t="s">
        <v>893</v>
      </c>
    </row>
    <row r="9" spans="1:26" ht="21.75" customHeight="1">
      <c r="A9" s="24">
        <v>2</v>
      </c>
      <c r="B9" s="4" t="s">
        <v>184</v>
      </c>
      <c r="C9" s="9" t="s">
        <v>862</v>
      </c>
      <c r="D9" s="2" t="s">
        <v>181</v>
      </c>
      <c r="E9" s="53">
        <f>COUNTIF(F9:X9,"O")</f>
        <v>7</v>
      </c>
      <c r="F9" s="28" t="s">
        <v>863</v>
      </c>
      <c r="G9" s="28" t="s">
        <v>893</v>
      </c>
      <c r="H9" s="28" t="s">
        <v>863</v>
      </c>
      <c r="I9" s="28" t="s">
        <v>863</v>
      </c>
      <c r="J9" s="28" t="s">
        <v>863</v>
      </c>
      <c r="K9" s="28" t="s">
        <v>893</v>
      </c>
      <c r="L9" s="28" t="s">
        <v>893</v>
      </c>
      <c r="M9" s="28" t="s">
        <v>893</v>
      </c>
      <c r="N9" s="28" t="s">
        <v>863</v>
      </c>
      <c r="O9" s="28" t="s">
        <v>863</v>
      </c>
      <c r="P9" s="28" t="s">
        <v>863</v>
      </c>
      <c r="Q9" s="28" t="s">
        <v>863</v>
      </c>
      <c r="R9" s="28" t="s">
        <v>893</v>
      </c>
      <c r="S9" s="28" t="s">
        <v>893</v>
      </c>
      <c r="T9" s="28" t="s">
        <v>893</v>
      </c>
      <c r="U9" s="28" t="s">
        <v>863</v>
      </c>
      <c r="V9" s="28" t="s">
        <v>863</v>
      </c>
      <c r="W9" s="28" t="s">
        <v>863</v>
      </c>
      <c r="X9" s="28" t="s">
        <v>863</v>
      </c>
    </row>
    <row r="10" spans="1:26" ht="21.75" customHeight="1">
      <c r="A10" s="24">
        <v>3</v>
      </c>
      <c r="B10" s="4" t="s">
        <v>186</v>
      </c>
      <c r="C10" s="9" t="s">
        <v>862</v>
      </c>
      <c r="D10" s="2" t="s">
        <v>181</v>
      </c>
      <c r="E10" s="53">
        <f>COUNTIF(F10:X10,"O")</f>
        <v>7</v>
      </c>
      <c r="F10" s="28" t="s">
        <v>863</v>
      </c>
      <c r="G10" s="28" t="s">
        <v>863</v>
      </c>
      <c r="H10" s="28" t="s">
        <v>893</v>
      </c>
      <c r="I10" s="28" t="s">
        <v>863</v>
      </c>
      <c r="J10" s="28" t="s">
        <v>863</v>
      </c>
      <c r="K10" s="28" t="s">
        <v>893</v>
      </c>
      <c r="L10" s="28" t="s">
        <v>863</v>
      </c>
      <c r="M10" s="28" t="s">
        <v>863</v>
      </c>
      <c r="N10" s="28" t="s">
        <v>893</v>
      </c>
      <c r="O10" s="28" t="s">
        <v>893</v>
      </c>
      <c r="P10" s="28" t="s">
        <v>863</v>
      </c>
      <c r="Q10" s="28" t="s">
        <v>863</v>
      </c>
      <c r="R10" s="28" t="s">
        <v>893</v>
      </c>
      <c r="S10" s="28" t="s">
        <v>863</v>
      </c>
      <c r="T10" s="28" t="s">
        <v>893</v>
      </c>
      <c r="U10" s="28" t="s">
        <v>893</v>
      </c>
      <c r="V10" s="28" t="s">
        <v>863</v>
      </c>
      <c r="W10" s="28" t="s">
        <v>863</v>
      </c>
      <c r="X10" s="28" t="s">
        <v>863</v>
      </c>
    </row>
    <row r="11" spans="1:26" ht="21.75" customHeight="1">
      <c r="A11" s="24">
        <v>4</v>
      </c>
      <c r="B11" s="4" t="s">
        <v>205</v>
      </c>
      <c r="C11" s="9" t="s">
        <v>864</v>
      </c>
      <c r="D11" s="2" t="s">
        <v>206</v>
      </c>
      <c r="E11" s="53">
        <f>COUNTIF(F11:X11,"O")</f>
        <v>9</v>
      </c>
      <c r="F11" s="28" t="s">
        <v>863</v>
      </c>
      <c r="G11" s="28" t="s">
        <v>863</v>
      </c>
      <c r="H11" s="28" t="s">
        <v>863</v>
      </c>
      <c r="I11" s="28" t="s">
        <v>893</v>
      </c>
      <c r="J11" s="28" t="s">
        <v>893</v>
      </c>
      <c r="K11" s="28" t="s">
        <v>863</v>
      </c>
      <c r="L11" s="28" t="s">
        <v>863</v>
      </c>
      <c r="M11" s="28" t="s">
        <v>863</v>
      </c>
      <c r="N11" s="28" t="s">
        <v>863</v>
      </c>
      <c r="O11" s="28" t="s">
        <v>893</v>
      </c>
      <c r="P11" s="28" t="s">
        <v>893</v>
      </c>
      <c r="Q11" s="28" t="s">
        <v>893</v>
      </c>
      <c r="R11" s="28" t="s">
        <v>893</v>
      </c>
      <c r="S11" s="28" t="s">
        <v>863</v>
      </c>
      <c r="T11" s="28" t="s">
        <v>863</v>
      </c>
      <c r="U11" s="28" t="s">
        <v>863</v>
      </c>
      <c r="V11" s="28" t="s">
        <v>893</v>
      </c>
      <c r="W11" s="28" t="s">
        <v>893</v>
      </c>
      <c r="X11" s="28" t="s">
        <v>893</v>
      </c>
    </row>
    <row r="12" spans="1:26" ht="21.75" customHeight="1">
      <c r="A12" s="24">
        <v>5</v>
      </c>
      <c r="B12" s="4" t="s">
        <v>240</v>
      </c>
      <c r="C12" s="9" t="s">
        <v>865</v>
      </c>
      <c r="D12" s="2" t="s">
        <v>206</v>
      </c>
      <c r="E12" s="53">
        <f>COUNTIF(F12:X12,"O")</f>
        <v>2</v>
      </c>
      <c r="F12" s="28" t="s">
        <v>863</v>
      </c>
      <c r="G12" s="28" t="s">
        <v>863</v>
      </c>
      <c r="H12" s="28" t="s">
        <v>863</v>
      </c>
      <c r="I12" s="28" t="s">
        <v>863</v>
      </c>
      <c r="J12" s="28" t="s">
        <v>893</v>
      </c>
      <c r="K12" s="28" t="s">
        <v>863</v>
      </c>
      <c r="L12" s="28" t="s">
        <v>863</v>
      </c>
      <c r="M12" s="28" t="s">
        <v>863</v>
      </c>
      <c r="N12" s="28" t="s">
        <v>863</v>
      </c>
      <c r="O12" s="28" t="s">
        <v>863</v>
      </c>
      <c r="P12" s="28" t="s">
        <v>863</v>
      </c>
      <c r="Q12" s="28" t="s">
        <v>863</v>
      </c>
      <c r="R12" s="28" t="s">
        <v>863</v>
      </c>
      <c r="S12" s="28" t="s">
        <v>863</v>
      </c>
      <c r="T12" s="28" t="s">
        <v>893</v>
      </c>
      <c r="U12" s="28" t="s">
        <v>863</v>
      </c>
      <c r="V12" s="28" t="s">
        <v>863</v>
      </c>
      <c r="W12" s="28" t="s">
        <v>863</v>
      </c>
      <c r="X12" s="28" t="s">
        <v>863</v>
      </c>
    </row>
    <row r="15" spans="1:26" ht="25.5" customHeight="1">
      <c r="A15" s="121" t="s">
        <v>866</v>
      </c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</row>
    <row r="16" spans="1:26" ht="21.75" customHeight="1">
      <c r="A16" s="126" t="s">
        <v>145</v>
      </c>
      <c r="B16" s="127" t="s">
        <v>146</v>
      </c>
      <c r="C16" s="127" t="s">
        <v>147</v>
      </c>
      <c r="D16" s="127" t="s">
        <v>150</v>
      </c>
      <c r="E16" s="127" t="s">
        <v>387</v>
      </c>
      <c r="F16" s="128" t="s">
        <v>727</v>
      </c>
      <c r="G16" s="128"/>
      <c r="H16" s="128"/>
      <c r="I16" s="128" t="s">
        <v>740</v>
      </c>
      <c r="J16" s="128"/>
      <c r="K16" s="128" t="s">
        <v>749</v>
      </c>
      <c r="L16" s="128"/>
    </row>
    <row r="17" spans="1:20" ht="60" customHeight="1">
      <c r="A17" s="126"/>
      <c r="B17" s="126"/>
      <c r="C17" s="126"/>
      <c r="D17" s="126"/>
      <c r="E17" s="126"/>
      <c r="F17" s="63" t="s">
        <v>728</v>
      </c>
      <c r="G17" s="63" t="s">
        <v>732</v>
      </c>
      <c r="H17" s="63" t="s">
        <v>736</v>
      </c>
      <c r="I17" s="63" t="s">
        <v>741</v>
      </c>
      <c r="J17" s="63" t="s">
        <v>745</v>
      </c>
      <c r="K17" s="63" t="s">
        <v>750</v>
      </c>
      <c r="L17" s="63" t="s">
        <v>754</v>
      </c>
    </row>
    <row r="18" spans="1:20" ht="21.75" customHeight="1">
      <c r="A18" s="24">
        <v>1</v>
      </c>
      <c r="B18" s="4" t="s">
        <v>159</v>
      </c>
      <c r="C18" s="9" t="s">
        <v>862</v>
      </c>
      <c r="D18" s="2" t="s">
        <v>163</v>
      </c>
      <c r="E18" s="53">
        <f>COUNTIF(F18:L18,"O")</f>
        <v>7</v>
      </c>
      <c r="F18" s="28" t="s">
        <v>893</v>
      </c>
      <c r="G18" s="28" t="s">
        <v>893</v>
      </c>
      <c r="H18" s="28" t="s">
        <v>893</v>
      </c>
      <c r="I18" s="28" t="s">
        <v>893</v>
      </c>
      <c r="J18" s="28" t="s">
        <v>893</v>
      </c>
      <c r="K18" s="28" t="s">
        <v>893</v>
      </c>
      <c r="L18" s="28" t="s">
        <v>893</v>
      </c>
    </row>
    <row r="21" spans="1:20" ht="25.5" customHeight="1">
      <c r="A21" s="121" t="s">
        <v>867</v>
      </c>
      <c r="B21" s="121"/>
      <c r="C21" s="121"/>
      <c r="D21" s="121"/>
      <c r="E21" s="121"/>
      <c r="F21" s="121"/>
      <c r="G21" s="121"/>
      <c r="H21" s="121"/>
      <c r="I21" s="121"/>
    </row>
    <row r="22" spans="1:20" ht="21.75" customHeight="1">
      <c r="A22" s="126" t="s">
        <v>145</v>
      </c>
      <c r="B22" s="127" t="s">
        <v>146</v>
      </c>
      <c r="C22" s="127" t="s">
        <v>147</v>
      </c>
      <c r="D22" s="127" t="s">
        <v>150</v>
      </c>
      <c r="E22" s="127" t="s">
        <v>387</v>
      </c>
      <c r="F22" s="129" t="s">
        <v>868</v>
      </c>
      <c r="G22" s="129"/>
      <c r="H22" s="86" t="s">
        <v>768</v>
      </c>
      <c r="I22" s="86" t="s">
        <v>773</v>
      </c>
    </row>
    <row r="23" spans="1:20" ht="60" customHeight="1">
      <c r="A23" s="126"/>
      <c r="B23" s="126"/>
      <c r="C23" s="126"/>
      <c r="D23" s="126"/>
      <c r="E23" s="126"/>
      <c r="F23" s="62" t="s">
        <v>869</v>
      </c>
      <c r="G23" s="63" t="s">
        <v>870</v>
      </c>
      <c r="H23" s="63" t="s">
        <v>769</v>
      </c>
      <c r="I23" s="63" t="s">
        <v>774</v>
      </c>
    </row>
    <row r="26" spans="1:20" ht="25.5" customHeight="1">
      <c r="A26" s="121" t="s">
        <v>871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  <row r="27" spans="1:20" ht="21.75" customHeight="1">
      <c r="A27" s="126" t="s">
        <v>145</v>
      </c>
      <c r="B27" s="127" t="s">
        <v>146</v>
      </c>
      <c r="C27" s="127" t="s">
        <v>147</v>
      </c>
      <c r="D27" s="127" t="s">
        <v>150</v>
      </c>
      <c r="E27" s="127" t="s">
        <v>387</v>
      </c>
      <c r="F27" s="128" t="s">
        <v>660</v>
      </c>
      <c r="G27" s="128"/>
      <c r="H27" s="128"/>
      <c r="I27" s="128" t="s">
        <v>673</v>
      </c>
      <c r="J27" s="128"/>
      <c r="K27" s="86" t="s">
        <v>682</v>
      </c>
      <c r="L27" s="86" t="s">
        <v>687</v>
      </c>
      <c r="M27" s="128" t="s">
        <v>692</v>
      </c>
      <c r="N27" s="128"/>
      <c r="O27" s="128"/>
      <c r="P27" s="128" t="s">
        <v>705</v>
      </c>
      <c r="Q27" s="128"/>
      <c r="R27" s="128"/>
      <c r="S27" s="128" t="s">
        <v>718</v>
      </c>
      <c r="T27" s="128"/>
    </row>
    <row r="28" spans="1:20" ht="60" customHeight="1">
      <c r="A28" s="126"/>
      <c r="B28" s="126"/>
      <c r="C28" s="126"/>
      <c r="D28" s="126"/>
      <c r="E28" s="126"/>
      <c r="F28" s="62" t="s">
        <v>872</v>
      </c>
      <c r="G28" s="63" t="s">
        <v>665</v>
      </c>
      <c r="H28" s="63" t="s">
        <v>669</v>
      </c>
      <c r="I28" s="63" t="s">
        <v>674</v>
      </c>
      <c r="J28" s="62" t="s">
        <v>873</v>
      </c>
      <c r="K28" s="63" t="s">
        <v>874</v>
      </c>
      <c r="L28" s="63" t="s">
        <v>875</v>
      </c>
      <c r="M28" s="63" t="s">
        <v>693</v>
      </c>
      <c r="N28" s="62" t="s">
        <v>876</v>
      </c>
      <c r="O28" s="63" t="s">
        <v>701</v>
      </c>
      <c r="P28" s="63" t="s">
        <v>706</v>
      </c>
      <c r="Q28" s="63" t="s">
        <v>710</v>
      </c>
      <c r="R28" s="63" t="s">
        <v>714</v>
      </c>
      <c r="S28" s="62" t="s">
        <v>877</v>
      </c>
      <c r="T28" s="63" t="s">
        <v>723</v>
      </c>
    </row>
    <row r="29" spans="1:20" ht="21.75" customHeight="1">
      <c r="A29" s="24">
        <v>1</v>
      </c>
      <c r="B29" s="4" t="s">
        <v>173</v>
      </c>
      <c r="C29" s="9" t="s">
        <v>862</v>
      </c>
      <c r="D29" s="2" t="s">
        <v>176</v>
      </c>
      <c r="E29" s="53">
        <f t="shared" ref="E29:E49" si="0">COUNTIF(F29:T29,"O")</f>
        <v>4</v>
      </c>
      <c r="F29" s="28" t="s">
        <v>893</v>
      </c>
      <c r="G29" s="28" t="s">
        <v>893</v>
      </c>
      <c r="H29" s="28" t="s">
        <v>893</v>
      </c>
      <c r="I29" s="28" t="s">
        <v>893</v>
      </c>
      <c r="J29" s="28" t="s">
        <v>863</v>
      </c>
      <c r="K29" s="28" t="s">
        <v>863</v>
      </c>
      <c r="L29" s="28" t="s">
        <v>863</v>
      </c>
      <c r="M29" s="28" t="s">
        <v>863</v>
      </c>
      <c r="N29" s="28" t="s">
        <v>863</v>
      </c>
      <c r="O29" s="28" t="s">
        <v>863</v>
      </c>
      <c r="P29" s="28" t="s">
        <v>863</v>
      </c>
      <c r="Q29" s="28" t="s">
        <v>863</v>
      </c>
      <c r="R29" s="28" t="s">
        <v>863</v>
      </c>
      <c r="S29" s="28" t="s">
        <v>863</v>
      </c>
      <c r="T29" s="28" t="s">
        <v>863</v>
      </c>
    </row>
    <row r="30" spans="1:20" ht="21.75" customHeight="1">
      <c r="A30" s="24">
        <v>2</v>
      </c>
      <c r="B30" s="4" t="s">
        <v>198</v>
      </c>
      <c r="C30" s="9" t="s">
        <v>864</v>
      </c>
      <c r="D30" s="2" t="s">
        <v>176</v>
      </c>
      <c r="E30" s="53">
        <f t="shared" si="0"/>
        <v>4</v>
      </c>
      <c r="F30" s="28" t="s">
        <v>893</v>
      </c>
      <c r="G30" s="28" t="s">
        <v>893</v>
      </c>
      <c r="H30" s="28" t="s">
        <v>893</v>
      </c>
      <c r="I30" s="28" t="s">
        <v>893</v>
      </c>
      <c r="J30" s="28" t="s">
        <v>863</v>
      </c>
      <c r="K30" s="28" t="s">
        <v>863</v>
      </c>
      <c r="L30" s="28" t="s">
        <v>863</v>
      </c>
      <c r="M30" s="28" t="s">
        <v>863</v>
      </c>
      <c r="N30" s="28" t="s">
        <v>863</v>
      </c>
      <c r="O30" s="28" t="s">
        <v>863</v>
      </c>
      <c r="P30" s="28" t="s">
        <v>863</v>
      </c>
      <c r="Q30" s="28" t="s">
        <v>863</v>
      </c>
      <c r="R30" s="28" t="s">
        <v>863</v>
      </c>
      <c r="S30" s="28" t="s">
        <v>863</v>
      </c>
      <c r="T30" s="28" t="s">
        <v>863</v>
      </c>
    </row>
    <row r="31" spans="1:20" ht="21.75" customHeight="1">
      <c r="A31" s="24">
        <v>3</v>
      </c>
      <c r="B31" s="4" t="s">
        <v>200</v>
      </c>
      <c r="C31" s="9" t="s">
        <v>878</v>
      </c>
      <c r="D31" s="2" t="s">
        <v>176</v>
      </c>
      <c r="E31" s="53">
        <f t="shared" si="0"/>
        <v>7</v>
      </c>
      <c r="F31" s="28" t="s">
        <v>893</v>
      </c>
      <c r="G31" s="28" t="s">
        <v>893</v>
      </c>
      <c r="H31" s="28" t="s">
        <v>893</v>
      </c>
      <c r="I31" s="28" t="s">
        <v>893</v>
      </c>
      <c r="J31" s="28" t="s">
        <v>893</v>
      </c>
      <c r="K31" s="28" t="s">
        <v>893</v>
      </c>
      <c r="L31" s="28" t="s">
        <v>893</v>
      </c>
      <c r="M31" s="28" t="s">
        <v>863</v>
      </c>
      <c r="N31" s="28" t="s">
        <v>863</v>
      </c>
      <c r="O31" s="28" t="s">
        <v>863</v>
      </c>
      <c r="P31" s="28" t="s">
        <v>863</v>
      </c>
      <c r="Q31" s="28" t="s">
        <v>863</v>
      </c>
      <c r="R31" s="28" t="s">
        <v>863</v>
      </c>
      <c r="S31" s="28" t="s">
        <v>863</v>
      </c>
      <c r="T31" s="28" t="s">
        <v>863</v>
      </c>
    </row>
    <row r="32" spans="1:20" ht="21.75" customHeight="1">
      <c r="A32" s="24">
        <v>4</v>
      </c>
      <c r="B32" s="4" t="s">
        <v>203</v>
      </c>
      <c r="C32" s="9" t="s">
        <v>878</v>
      </c>
      <c r="D32" s="2" t="s">
        <v>176</v>
      </c>
      <c r="E32" s="53">
        <f t="shared" si="0"/>
        <v>4</v>
      </c>
      <c r="F32" s="28" t="s">
        <v>863</v>
      </c>
      <c r="G32" s="28" t="s">
        <v>893</v>
      </c>
      <c r="H32" s="28" t="s">
        <v>863</v>
      </c>
      <c r="I32" s="28" t="s">
        <v>863</v>
      </c>
      <c r="J32" s="28" t="s">
        <v>893</v>
      </c>
      <c r="K32" s="28" t="s">
        <v>893</v>
      </c>
      <c r="L32" s="28" t="s">
        <v>893</v>
      </c>
      <c r="M32" s="28" t="s">
        <v>863</v>
      </c>
      <c r="N32" s="28" t="s">
        <v>863</v>
      </c>
      <c r="O32" s="28" t="s">
        <v>863</v>
      </c>
      <c r="P32" s="28" t="s">
        <v>863</v>
      </c>
      <c r="Q32" s="28" t="s">
        <v>863</v>
      </c>
      <c r="R32" s="28" t="s">
        <v>863</v>
      </c>
      <c r="S32" s="28" t="s">
        <v>863</v>
      </c>
      <c r="T32" s="28" t="s">
        <v>863</v>
      </c>
    </row>
    <row r="33" spans="1:20" ht="21.75" customHeight="1">
      <c r="A33" s="24">
        <v>5</v>
      </c>
      <c r="B33" s="4" t="s">
        <v>208</v>
      </c>
      <c r="C33" s="9" t="s">
        <v>878</v>
      </c>
      <c r="D33" s="2" t="s">
        <v>176</v>
      </c>
      <c r="E33" s="53">
        <f t="shared" si="0"/>
        <v>7</v>
      </c>
      <c r="F33" s="28" t="s">
        <v>863</v>
      </c>
      <c r="G33" s="28" t="s">
        <v>893</v>
      </c>
      <c r="H33" s="28" t="s">
        <v>863</v>
      </c>
      <c r="I33" s="28" t="s">
        <v>863</v>
      </c>
      <c r="J33" s="28" t="s">
        <v>893</v>
      </c>
      <c r="K33" s="28" t="s">
        <v>893</v>
      </c>
      <c r="L33" s="28" t="s">
        <v>893</v>
      </c>
      <c r="M33" s="28" t="s">
        <v>863</v>
      </c>
      <c r="N33" s="28" t="s">
        <v>893</v>
      </c>
      <c r="O33" s="28" t="s">
        <v>893</v>
      </c>
      <c r="P33" s="28" t="s">
        <v>893</v>
      </c>
      <c r="Q33" s="28" t="s">
        <v>863</v>
      </c>
      <c r="R33" s="28" t="s">
        <v>863</v>
      </c>
      <c r="S33" s="28" t="s">
        <v>863</v>
      </c>
      <c r="T33" s="28" t="s">
        <v>863</v>
      </c>
    </row>
    <row r="34" spans="1:20" ht="21.75" customHeight="1">
      <c r="A34" s="24">
        <v>6</v>
      </c>
      <c r="B34" s="4" t="s">
        <v>210</v>
      </c>
      <c r="C34" s="9" t="s">
        <v>878</v>
      </c>
      <c r="D34" s="2" t="s">
        <v>176</v>
      </c>
      <c r="E34" s="53">
        <f t="shared" si="0"/>
        <v>9</v>
      </c>
      <c r="F34" s="28" t="s">
        <v>893</v>
      </c>
      <c r="G34" s="28" t="s">
        <v>893</v>
      </c>
      <c r="H34" s="28" t="s">
        <v>863</v>
      </c>
      <c r="I34" s="28" t="s">
        <v>863</v>
      </c>
      <c r="J34" s="28" t="s">
        <v>893</v>
      </c>
      <c r="K34" s="28" t="s">
        <v>893</v>
      </c>
      <c r="L34" s="28" t="s">
        <v>893</v>
      </c>
      <c r="M34" s="28" t="s">
        <v>863</v>
      </c>
      <c r="N34" s="28" t="s">
        <v>893</v>
      </c>
      <c r="O34" s="28" t="s">
        <v>893</v>
      </c>
      <c r="P34" s="28" t="s">
        <v>893</v>
      </c>
      <c r="Q34" s="28" t="s">
        <v>863</v>
      </c>
      <c r="R34" s="28" t="s">
        <v>893</v>
      </c>
      <c r="S34" s="28" t="s">
        <v>863</v>
      </c>
      <c r="T34" s="28" t="s">
        <v>863</v>
      </c>
    </row>
    <row r="35" spans="1:20" ht="21.75" customHeight="1">
      <c r="A35" s="24">
        <v>7</v>
      </c>
      <c r="B35" s="4" t="s">
        <v>212</v>
      </c>
      <c r="C35" s="9" t="s">
        <v>878</v>
      </c>
      <c r="D35" s="2" t="s">
        <v>176</v>
      </c>
      <c r="E35" s="53">
        <f t="shared" si="0"/>
        <v>10</v>
      </c>
      <c r="F35" s="28" t="s">
        <v>893</v>
      </c>
      <c r="G35" s="28" t="s">
        <v>893</v>
      </c>
      <c r="H35" s="28" t="s">
        <v>893</v>
      </c>
      <c r="I35" s="28" t="s">
        <v>863</v>
      </c>
      <c r="J35" s="28" t="s">
        <v>893</v>
      </c>
      <c r="K35" s="28" t="s">
        <v>893</v>
      </c>
      <c r="L35" s="28" t="s">
        <v>893</v>
      </c>
      <c r="M35" s="28" t="s">
        <v>863</v>
      </c>
      <c r="N35" s="28" t="s">
        <v>893</v>
      </c>
      <c r="O35" s="28" t="s">
        <v>893</v>
      </c>
      <c r="P35" s="28" t="s">
        <v>893</v>
      </c>
      <c r="Q35" s="28" t="s">
        <v>863</v>
      </c>
      <c r="R35" s="28" t="s">
        <v>893</v>
      </c>
      <c r="S35" s="28" t="s">
        <v>863</v>
      </c>
      <c r="T35" s="28" t="s">
        <v>863</v>
      </c>
    </row>
    <row r="36" spans="1:20" ht="21.75" customHeight="1">
      <c r="A36" s="24">
        <v>8</v>
      </c>
      <c r="B36" s="4" t="s">
        <v>215</v>
      </c>
      <c r="C36" s="9" t="s">
        <v>878</v>
      </c>
      <c r="D36" s="2" t="s">
        <v>176</v>
      </c>
      <c r="E36" s="53">
        <f t="shared" si="0"/>
        <v>9</v>
      </c>
      <c r="F36" s="28" t="s">
        <v>893</v>
      </c>
      <c r="G36" s="28" t="s">
        <v>893</v>
      </c>
      <c r="H36" s="28" t="s">
        <v>893</v>
      </c>
      <c r="I36" s="28" t="s">
        <v>863</v>
      </c>
      <c r="J36" s="28" t="s">
        <v>893</v>
      </c>
      <c r="K36" s="28" t="s">
        <v>893</v>
      </c>
      <c r="L36" s="28" t="s">
        <v>893</v>
      </c>
      <c r="M36" s="28" t="s">
        <v>863</v>
      </c>
      <c r="N36" s="28" t="s">
        <v>863</v>
      </c>
      <c r="O36" s="28" t="s">
        <v>893</v>
      </c>
      <c r="P36" s="28" t="s">
        <v>893</v>
      </c>
      <c r="Q36" s="28" t="s">
        <v>863</v>
      </c>
      <c r="R36" s="28" t="s">
        <v>893</v>
      </c>
      <c r="S36" s="28" t="s">
        <v>863</v>
      </c>
      <c r="T36" s="28" t="s">
        <v>863</v>
      </c>
    </row>
    <row r="37" spans="1:20" ht="21.75" customHeight="1">
      <c r="A37" s="24">
        <v>9</v>
      </c>
      <c r="B37" s="4" t="s">
        <v>221</v>
      </c>
      <c r="C37" s="9" t="s">
        <v>879</v>
      </c>
      <c r="D37" s="2" t="s">
        <v>176</v>
      </c>
      <c r="E37" s="53">
        <f t="shared" si="0"/>
        <v>8</v>
      </c>
      <c r="F37" s="28" t="s">
        <v>893</v>
      </c>
      <c r="G37" s="28" t="s">
        <v>893</v>
      </c>
      <c r="H37" s="28" t="s">
        <v>893</v>
      </c>
      <c r="I37" s="28" t="s">
        <v>863</v>
      </c>
      <c r="J37" s="28" t="s">
        <v>863</v>
      </c>
      <c r="K37" s="28" t="s">
        <v>863</v>
      </c>
      <c r="L37" s="28" t="s">
        <v>863</v>
      </c>
      <c r="M37" s="28" t="s">
        <v>863</v>
      </c>
      <c r="N37" s="28" t="s">
        <v>863</v>
      </c>
      <c r="O37" s="28" t="s">
        <v>893</v>
      </c>
      <c r="P37" s="28" t="s">
        <v>893</v>
      </c>
      <c r="Q37" s="28" t="s">
        <v>863</v>
      </c>
      <c r="R37" s="28" t="s">
        <v>893</v>
      </c>
      <c r="S37" s="28" t="s">
        <v>893</v>
      </c>
      <c r="T37" s="28" t="s">
        <v>893</v>
      </c>
    </row>
    <row r="38" spans="1:20" ht="21.75" customHeight="1">
      <c r="A38" s="24">
        <v>10</v>
      </c>
      <c r="B38" s="4" t="s">
        <v>223</v>
      </c>
      <c r="C38" s="9" t="s">
        <v>880</v>
      </c>
      <c r="D38" s="2" t="s">
        <v>176</v>
      </c>
      <c r="E38" s="53">
        <f t="shared" si="0"/>
        <v>8</v>
      </c>
      <c r="F38" s="28" t="s">
        <v>893</v>
      </c>
      <c r="G38" s="28" t="s">
        <v>893</v>
      </c>
      <c r="H38" s="28" t="s">
        <v>893</v>
      </c>
      <c r="I38" s="28" t="s">
        <v>863</v>
      </c>
      <c r="J38" s="28" t="s">
        <v>863</v>
      </c>
      <c r="K38" s="28" t="s">
        <v>863</v>
      </c>
      <c r="L38" s="28" t="s">
        <v>863</v>
      </c>
      <c r="M38" s="28" t="s">
        <v>863</v>
      </c>
      <c r="N38" s="28" t="s">
        <v>863</v>
      </c>
      <c r="O38" s="28" t="s">
        <v>893</v>
      </c>
      <c r="P38" s="28" t="s">
        <v>893</v>
      </c>
      <c r="Q38" s="28" t="s">
        <v>863</v>
      </c>
      <c r="R38" s="28" t="s">
        <v>893</v>
      </c>
      <c r="S38" s="28" t="s">
        <v>893</v>
      </c>
      <c r="T38" s="28" t="s">
        <v>893</v>
      </c>
    </row>
    <row r="39" spans="1:20" ht="21.75" customHeight="1">
      <c r="A39" s="24">
        <v>11</v>
      </c>
      <c r="B39" s="4" t="s">
        <v>229</v>
      </c>
      <c r="C39" s="9" t="s">
        <v>881</v>
      </c>
      <c r="D39" s="2" t="s">
        <v>176</v>
      </c>
      <c r="E39" s="53">
        <f t="shared" si="0"/>
        <v>8</v>
      </c>
      <c r="F39" s="28" t="s">
        <v>863</v>
      </c>
      <c r="G39" s="28" t="s">
        <v>863</v>
      </c>
      <c r="H39" s="28" t="s">
        <v>863</v>
      </c>
      <c r="I39" s="28" t="s">
        <v>863</v>
      </c>
      <c r="J39" s="28" t="s">
        <v>893</v>
      </c>
      <c r="K39" s="28" t="s">
        <v>893</v>
      </c>
      <c r="L39" s="28" t="s">
        <v>893</v>
      </c>
      <c r="M39" s="28" t="s">
        <v>863</v>
      </c>
      <c r="N39" s="28" t="s">
        <v>863</v>
      </c>
      <c r="O39" s="28" t="s">
        <v>893</v>
      </c>
      <c r="P39" s="28" t="s">
        <v>893</v>
      </c>
      <c r="Q39" s="28" t="s">
        <v>863</v>
      </c>
      <c r="R39" s="28" t="s">
        <v>893</v>
      </c>
      <c r="S39" s="28" t="s">
        <v>893</v>
      </c>
      <c r="T39" s="28" t="s">
        <v>893</v>
      </c>
    </row>
    <row r="40" spans="1:20" ht="21.75" customHeight="1">
      <c r="A40" s="24">
        <v>12</v>
      </c>
      <c r="B40" s="4" t="s">
        <v>232</v>
      </c>
      <c r="C40" s="9" t="s">
        <v>881</v>
      </c>
      <c r="D40" s="2" t="s">
        <v>176</v>
      </c>
      <c r="E40" s="53">
        <f t="shared" si="0"/>
        <v>8</v>
      </c>
      <c r="F40" s="28" t="s">
        <v>863</v>
      </c>
      <c r="G40" s="28" t="s">
        <v>863</v>
      </c>
      <c r="H40" s="28" t="s">
        <v>893</v>
      </c>
      <c r="I40" s="28" t="s">
        <v>893</v>
      </c>
      <c r="J40" s="28" t="s">
        <v>893</v>
      </c>
      <c r="K40" s="28" t="s">
        <v>893</v>
      </c>
      <c r="L40" s="28" t="s">
        <v>893</v>
      </c>
      <c r="M40" s="28" t="s">
        <v>863</v>
      </c>
      <c r="N40" s="28" t="s">
        <v>863</v>
      </c>
      <c r="O40" s="28" t="s">
        <v>863</v>
      </c>
      <c r="P40" s="28" t="s">
        <v>863</v>
      </c>
      <c r="Q40" s="28" t="s">
        <v>863</v>
      </c>
      <c r="R40" s="28" t="s">
        <v>893</v>
      </c>
      <c r="S40" s="28" t="s">
        <v>893</v>
      </c>
      <c r="T40" s="28" t="s">
        <v>893</v>
      </c>
    </row>
    <row r="41" spans="1:20" ht="21.75" customHeight="1">
      <c r="A41" s="24">
        <v>13</v>
      </c>
      <c r="B41" s="4" t="s">
        <v>234</v>
      </c>
      <c r="C41" s="9" t="s">
        <v>881</v>
      </c>
      <c r="D41" s="2" t="s">
        <v>176</v>
      </c>
      <c r="E41" s="53">
        <f t="shared" si="0"/>
        <v>10</v>
      </c>
      <c r="F41" s="28" t="s">
        <v>893</v>
      </c>
      <c r="G41" s="28" t="s">
        <v>893</v>
      </c>
      <c r="H41" s="28" t="s">
        <v>893</v>
      </c>
      <c r="I41" s="28" t="s">
        <v>893</v>
      </c>
      <c r="J41" s="28" t="s">
        <v>893</v>
      </c>
      <c r="K41" s="28" t="s">
        <v>893</v>
      </c>
      <c r="L41" s="28" t="s">
        <v>893</v>
      </c>
      <c r="M41" s="28" t="s">
        <v>863</v>
      </c>
      <c r="N41" s="28" t="s">
        <v>863</v>
      </c>
      <c r="O41" s="28" t="s">
        <v>863</v>
      </c>
      <c r="P41" s="28" t="s">
        <v>863</v>
      </c>
      <c r="Q41" s="28" t="s">
        <v>863</v>
      </c>
      <c r="R41" s="28" t="s">
        <v>893</v>
      </c>
      <c r="S41" s="28" t="s">
        <v>893</v>
      </c>
      <c r="T41" s="28" t="s">
        <v>893</v>
      </c>
    </row>
    <row r="42" spans="1:20" ht="21.75" customHeight="1">
      <c r="A42" s="24">
        <v>14</v>
      </c>
      <c r="B42" s="4" t="s">
        <v>236</v>
      </c>
      <c r="C42" s="9" t="s">
        <v>881</v>
      </c>
      <c r="D42" s="2" t="s">
        <v>176</v>
      </c>
      <c r="E42" s="53">
        <f t="shared" si="0"/>
        <v>9</v>
      </c>
      <c r="F42" s="28" t="s">
        <v>893</v>
      </c>
      <c r="G42" s="28" t="s">
        <v>893</v>
      </c>
      <c r="H42" s="28" t="s">
        <v>893</v>
      </c>
      <c r="I42" s="28" t="s">
        <v>893</v>
      </c>
      <c r="J42" s="28" t="s">
        <v>893</v>
      </c>
      <c r="K42" s="28" t="s">
        <v>893</v>
      </c>
      <c r="L42" s="28" t="s">
        <v>893</v>
      </c>
      <c r="M42" s="28" t="s">
        <v>863</v>
      </c>
      <c r="N42" s="28" t="s">
        <v>863</v>
      </c>
      <c r="O42" s="28" t="s">
        <v>863</v>
      </c>
      <c r="P42" s="28" t="s">
        <v>863</v>
      </c>
      <c r="Q42" s="28" t="s">
        <v>863</v>
      </c>
      <c r="R42" s="28" t="s">
        <v>863</v>
      </c>
      <c r="S42" s="28" t="s">
        <v>893</v>
      </c>
      <c r="T42" s="28" t="s">
        <v>893</v>
      </c>
    </row>
    <row r="43" spans="1:20" ht="21.75" customHeight="1">
      <c r="A43" s="24">
        <v>15</v>
      </c>
      <c r="B43" s="4" t="s">
        <v>246</v>
      </c>
      <c r="C43" s="9" t="s">
        <v>865</v>
      </c>
      <c r="D43" s="2" t="s">
        <v>176</v>
      </c>
      <c r="E43" s="53">
        <f t="shared" si="0"/>
        <v>12</v>
      </c>
      <c r="F43" s="28" t="s">
        <v>893</v>
      </c>
      <c r="G43" s="28" t="s">
        <v>893</v>
      </c>
      <c r="H43" s="28" t="s">
        <v>893</v>
      </c>
      <c r="I43" s="28" t="s">
        <v>893</v>
      </c>
      <c r="J43" s="28" t="s">
        <v>893</v>
      </c>
      <c r="K43" s="28" t="s">
        <v>893</v>
      </c>
      <c r="L43" s="28" t="s">
        <v>893</v>
      </c>
      <c r="M43" s="28" t="s">
        <v>863</v>
      </c>
      <c r="N43" s="28" t="s">
        <v>863</v>
      </c>
      <c r="O43" s="28" t="s">
        <v>893</v>
      </c>
      <c r="P43" s="28" t="s">
        <v>893</v>
      </c>
      <c r="Q43" s="28" t="s">
        <v>893</v>
      </c>
      <c r="R43" s="28" t="s">
        <v>863</v>
      </c>
      <c r="S43" s="28" t="s">
        <v>893</v>
      </c>
      <c r="T43" s="28" t="s">
        <v>893</v>
      </c>
    </row>
    <row r="44" spans="1:20" ht="21.75" customHeight="1">
      <c r="A44" s="24">
        <v>16</v>
      </c>
      <c r="B44" s="4" t="s">
        <v>248</v>
      </c>
      <c r="C44" s="9" t="s">
        <v>865</v>
      </c>
      <c r="D44" s="2" t="s">
        <v>176</v>
      </c>
      <c r="E44" s="53">
        <f t="shared" si="0"/>
        <v>12</v>
      </c>
      <c r="F44" s="28" t="s">
        <v>893</v>
      </c>
      <c r="G44" s="28" t="s">
        <v>893</v>
      </c>
      <c r="H44" s="28" t="s">
        <v>893</v>
      </c>
      <c r="I44" s="28" t="s">
        <v>893</v>
      </c>
      <c r="J44" s="28" t="s">
        <v>893</v>
      </c>
      <c r="K44" s="28" t="s">
        <v>893</v>
      </c>
      <c r="L44" s="28" t="s">
        <v>893</v>
      </c>
      <c r="M44" s="28" t="s">
        <v>863</v>
      </c>
      <c r="N44" s="28" t="s">
        <v>863</v>
      </c>
      <c r="O44" s="28" t="s">
        <v>893</v>
      </c>
      <c r="P44" s="28" t="s">
        <v>893</v>
      </c>
      <c r="Q44" s="28" t="s">
        <v>893</v>
      </c>
      <c r="R44" s="28" t="s">
        <v>863</v>
      </c>
      <c r="S44" s="28" t="s">
        <v>893</v>
      </c>
      <c r="T44" s="28" t="s">
        <v>893</v>
      </c>
    </row>
    <row r="45" spans="1:20" ht="21.75" customHeight="1">
      <c r="A45" s="24">
        <v>17</v>
      </c>
      <c r="B45" s="4" t="s">
        <v>250</v>
      </c>
      <c r="C45" s="9" t="s">
        <v>865</v>
      </c>
      <c r="D45" s="2" t="s">
        <v>176</v>
      </c>
      <c r="E45" s="53">
        <f t="shared" si="0"/>
        <v>7</v>
      </c>
      <c r="F45" s="28" t="s">
        <v>893</v>
      </c>
      <c r="G45" s="28" t="s">
        <v>893</v>
      </c>
      <c r="H45" s="28" t="s">
        <v>863</v>
      </c>
      <c r="I45" s="28" t="s">
        <v>863</v>
      </c>
      <c r="J45" s="28" t="s">
        <v>863</v>
      </c>
      <c r="K45" s="28" t="s">
        <v>863</v>
      </c>
      <c r="L45" s="28" t="s">
        <v>863</v>
      </c>
      <c r="M45" s="28" t="s">
        <v>863</v>
      </c>
      <c r="N45" s="28" t="s">
        <v>863</v>
      </c>
      <c r="O45" s="28" t="s">
        <v>893</v>
      </c>
      <c r="P45" s="28" t="s">
        <v>893</v>
      </c>
      <c r="Q45" s="28" t="s">
        <v>893</v>
      </c>
      <c r="R45" s="28" t="s">
        <v>863</v>
      </c>
      <c r="S45" s="28" t="s">
        <v>893</v>
      </c>
      <c r="T45" s="28" t="s">
        <v>893</v>
      </c>
    </row>
    <row r="46" spans="1:20" ht="21.75" customHeight="1">
      <c r="A46" s="24">
        <v>18</v>
      </c>
      <c r="B46" s="4" t="s">
        <v>252</v>
      </c>
      <c r="C46" s="9" t="s">
        <v>865</v>
      </c>
      <c r="D46" s="2" t="s">
        <v>176</v>
      </c>
      <c r="E46" s="53">
        <f t="shared" si="0"/>
        <v>13</v>
      </c>
      <c r="F46" s="28" t="s">
        <v>893</v>
      </c>
      <c r="G46" s="28" t="s">
        <v>893</v>
      </c>
      <c r="H46" s="28" t="s">
        <v>893</v>
      </c>
      <c r="I46" s="28" t="s">
        <v>863</v>
      </c>
      <c r="J46" s="28" t="s">
        <v>893</v>
      </c>
      <c r="K46" s="28" t="s">
        <v>893</v>
      </c>
      <c r="L46" s="28" t="s">
        <v>893</v>
      </c>
      <c r="M46" s="28" t="s">
        <v>893</v>
      </c>
      <c r="N46" s="28" t="s">
        <v>893</v>
      </c>
      <c r="O46" s="28" t="s">
        <v>893</v>
      </c>
      <c r="P46" s="28" t="s">
        <v>893</v>
      </c>
      <c r="Q46" s="28" t="s">
        <v>893</v>
      </c>
      <c r="R46" s="28" t="s">
        <v>863</v>
      </c>
      <c r="S46" s="28" t="s">
        <v>893</v>
      </c>
      <c r="T46" s="28" t="s">
        <v>893</v>
      </c>
    </row>
    <row r="47" spans="1:20" ht="21.75" customHeight="1">
      <c r="A47" s="24">
        <v>19</v>
      </c>
      <c r="B47" s="4" t="s">
        <v>254</v>
      </c>
      <c r="C47" s="9" t="s">
        <v>865</v>
      </c>
      <c r="D47" s="2" t="s">
        <v>176</v>
      </c>
      <c r="E47" s="53">
        <f t="shared" si="0"/>
        <v>13</v>
      </c>
      <c r="F47" s="28" t="s">
        <v>893</v>
      </c>
      <c r="G47" s="28" t="s">
        <v>893</v>
      </c>
      <c r="H47" s="28" t="s">
        <v>893</v>
      </c>
      <c r="I47" s="28" t="s">
        <v>863</v>
      </c>
      <c r="J47" s="28" t="s">
        <v>893</v>
      </c>
      <c r="K47" s="28" t="s">
        <v>893</v>
      </c>
      <c r="L47" s="28" t="s">
        <v>893</v>
      </c>
      <c r="M47" s="28" t="s">
        <v>893</v>
      </c>
      <c r="N47" s="28" t="s">
        <v>893</v>
      </c>
      <c r="O47" s="28" t="s">
        <v>893</v>
      </c>
      <c r="P47" s="28" t="s">
        <v>893</v>
      </c>
      <c r="Q47" s="28" t="s">
        <v>893</v>
      </c>
      <c r="R47" s="28" t="s">
        <v>863</v>
      </c>
      <c r="S47" s="28" t="s">
        <v>893</v>
      </c>
      <c r="T47" s="28" t="s">
        <v>893</v>
      </c>
    </row>
    <row r="48" spans="1:20" ht="21.75" customHeight="1">
      <c r="A48" s="24">
        <v>20</v>
      </c>
      <c r="B48" s="4" t="s">
        <v>257</v>
      </c>
      <c r="C48" s="9" t="s">
        <v>865</v>
      </c>
      <c r="D48" s="2" t="s">
        <v>176</v>
      </c>
      <c r="E48" s="53">
        <f t="shared" si="0"/>
        <v>6</v>
      </c>
      <c r="F48" s="28" t="s">
        <v>863</v>
      </c>
      <c r="G48" s="28" t="s">
        <v>863</v>
      </c>
      <c r="H48" s="28" t="s">
        <v>893</v>
      </c>
      <c r="I48" s="28" t="s">
        <v>863</v>
      </c>
      <c r="J48" s="28" t="s">
        <v>893</v>
      </c>
      <c r="K48" s="28" t="s">
        <v>893</v>
      </c>
      <c r="L48" s="28" t="s">
        <v>893</v>
      </c>
      <c r="M48" s="28" t="s">
        <v>893</v>
      </c>
      <c r="N48" s="28" t="s">
        <v>893</v>
      </c>
      <c r="O48" s="28" t="s">
        <v>863</v>
      </c>
      <c r="P48" s="28" t="s">
        <v>863</v>
      </c>
      <c r="Q48" s="28" t="s">
        <v>863</v>
      </c>
      <c r="R48" s="28" t="s">
        <v>863</v>
      </c>
      <c r="S48" s="28" t="s">
        <v>863</v>
      </c>
      <c r="T48" s="28" t="s">
        <v>863</v>
      </c>
    </row>
    <row r="49" spans="1:20" ht="21.75" customHeight="1">
      <c r="A49" s="24">
        <v>21</v>
      </c>
      <c r="B49" s="4" t="s">
        <v>259</v>
      </c>
      <c r="C49" s="9" t="s">
        <v>865</v>
      </c>
      <c r="D49" s="2" t="s">
        <v>176</v>
      </c>
      <c r="E49" s="53">
        <f t="shared" si="0"/>
        <v>6</v>
      </c>
      <c r="F49" s="28" t="s">
        <v>863</v>
      </c>
      <c r="G49" s="28" t="s">
        <v>863</v>
      </c>
      <c r="H49" s="28" t="s">
        <v>893</v>
      </c>
      <c r="I49" s="28" t="s">
        <v>863</v>
      </c>
      <c r="J49" s="28" t="s">
        <v>893</v>
      </c>
      <c r="K49" s="28" t="s">
        <v>893</v>
      </c>
      <c r="L49" s="28" t="s">
        <v>893</v>
      </c>
      <c r="M49" s="28" t="s">
        <v>893</v>
      </c>
      <c r="N49" s="28" t="s">
        <v>893</v>
      </c>
      <c r="O49" s="28" t="s">
        <v>863</v>
      </c>
      <c r="P49" s="28" t="s">
        <v>863</v>
      </c>
      <c r="Q49" s="28" t="s">
        <v>863</v>
      </c>
      <c r="R49" s="28" t="s">
        <v>863</v>
      </c>
      <c r="S49" s="28" t="s">
        <v>863</v>
      </c>
      <c r="T49" s="28" t="s">
        <v>863</v>
      </c>
    </row>
    <row r="52" spans="1:20" ht="25.5" customHeight="1">
      <c r="A52" s="121" t="s">
        <v>882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</row>
    <row r="53" spans="1:20" ht="21.75" customHeight="1">
      <c r="A53" s="126" t="s">
        <v>145</v>
      </c>
      <c r="B53" s="127" t="s">
        <v>146</v>
      </c>
      <c r="C53" s="127" t="s">
        <v>147</v>
      </c>
      <c r="D53" s="127" t="s">
        <v>150</v>
      </c>
      <c r="E53" s="127" t="s">
        <v>387</v>
      </c>
      <c r="F53" s="128" t="s">
        <v>778</v>
      </c>
      <c r="G53" s="128"/>
      <c r="H53" s="128" t="s">
        <v>787</v>
      </c>
      <c r="I53" s="128"/>
      <c r="J53" s="128"/>
      <c r="K53" s="86" t="s">
        <v>883</v>
      </c>
    </row>
    <row r="54" spans="1:20" ht="60" customHeight="1">
      <c r="A54" s="126"/>
      <c r="B54" s="126"/>
      <c r="C54" s="126"/>
      <c r="D54" s="126"/>
      <c r="E54" s="126"/>
      <c r="F54" s="63" t="s">
        <v>779</v>
      </c>
      <c r="G54" s="63" t="s">
        <v>783</v>
      </c>
      <c r="H54" s="63" t="s">
        <v>788</v>
      </c>
      <c r="I54" s="63" t="s">
        <v>792</v>
      </c>
      <c r="J54" s="63" t="s">
        <v>795</v>
      </c>
      <c r="K54" s="63" t="s">
        <v>884</v>
      </c>
    </row>
    <row r="55" spans="1:20" ht="21.75" customHeight="1">
      <c r="A55" s="24">
        <v>1</v>
      </c>
      <c r="B55" s="4" t="s">
        <v>188</v>
      </c>
      <c r="C55" s="9" t="s">
        <v>864</v>
      </c>
      <c r="D55" s="2" t="s">
        <v>191</v>
      </c>
      <c r="E55" s="53">
        <f>COUNTIF(F55:K55,"O")</f>
        <v>0</v>
      </c>
      <c r="F55" s="28" t="s">
        <v>863</v>
      </c>
      <c r="G55" s="28" t="s">
        <v>863</v>
      </c>
      <c r="H55" s="28" t="s">
        <v>863</v>
      </c>
      <c r="I55" s="28" t="s">
        <v>863</v>
      </c>
      <c r="J55" s="28" t="s">
        <v>863</v>
      </c>
      <c r="K55" s="28" t="s">
        <v>863</v>
      </c>
    </row>
    <row r="56" spans="1:20" ht="21.75" customHeight="1">
      <c r="A56" s="24">
        <v>2</v>
      </c>
      <c r="B56" s="4" t="s">
        <v>217</v>
      </c>
      <c r="C56" s="9" t="s">
        <v>879</v>
      </c>
      <c r="D56" s="2" t="s">
        <v>191</v>
      </c>
      <c r="E56" s="53">
        <f>COUNTIF(F56:K56,"O")</f>
        <v>0</v>
      </c>
      <c r="F56" s="28" t="s">
        <v>863</v>
      </c>
      <c r="G56" s="28" t="s">
        <v>863</v>
      </c>
      <c r="H56" s="28" t="s">
        <v>863</v>
      </c>
      <c r="I56" s="28" t="s">
        <v>863</v>
      </c>
      <c r="J56" s="28" t="s">
        <v>863</v>
      </c>
      <c r="K56" s="28" t="s">
        <v>863</v>
      </c>
    </row>
    <row r="57" spans="1:20" ht="21.75" customHeight="1">
      <c r="A57" s="24">
        <v>3</v>
      </c>
      <c r="B57" s="4" t="s">
        <v>244</v>
      </c>
      <c r="C57" s="9" t="s">
        <v>881</v>
      </c>
      <c r="D57" s="2" t="s">
        <v>191</v>
      </c>
      <c r="E57" s="53">
        <f>COUNTIF(F57:K57,"O")</f>
        <v>0</v>
      </c>
      <c r="F57" s="28" t="s">
        <v>863</v>
      </c>
      <c r="G57" s="28" t="s">
        <v>863</v>
      </c>
      <c r="H57" s="28" t="s">
        <v>863</v>
      </c>
      <c r="I57" s="28" t="s">
        <v>863</v>
      </c>
      <c r="J57" s="28" t="s">
        <v>863</v>
      </c>
      <c r="K57" s="28" t="s">
        <v>863</v>
      </c>
    </row>
    <row r="60" spans="1:20" ht="25.5" customHeight="1">
      <c r="A60" s="121" t="s">
        <v>885</v>
      </c>
      <c r="B60" s="121"/>
      <c r="C60" s="121"/>
      <c r="D60" s="121"/>
      <c r="E60" s="121"/>
      <c r="F60" s="121"/>
      <c r="G60" s="121"/>
      <c r="H60" s="121"/>
      <c r="I60" s="121"/>
      <c r="J60" s="121"/>
    </row>
    <row r="61" spans="1:20" ht="21.75" customHeight="1">
      <c r="A61" s="126" t="s">
        <v>145</v>
      </c>
      <c r="B61" s="127" t="s">
        <v>146</v>
      </c>
      <c r="C61" s="127" t="s">
        <v>147</v>
      </c>
      <c r="D61" s="127" t="s">
        <v>150</v>
      </c>
      <c r="E61" s="127" t="s">
        <v>387</v>
      </c>
      <c r="F61" s="128" t="s">
        <v>196</v>
      </c>
      <c r="G61" s="128"/>
      <c r="H61" s="128"/>
      <c r="I61" s="128" t="s">
        <v>816</v>
      </c>
      <c r="J61" s="128"/>
    </row>
    <row r="62" spans="1:20" ht="60" customHeight="1">
      <c r="A62" s="126"/>
      <c r="B62" s="126"/>
      <c r="C62" s="126"/>
      <c r="D62" s="126"/>
      <c r="E62" s="126"/>
      <c r="F62" s="63" t="s">
        <v>804</v>
      </c>
      <c r="G62" s="63" t="s">
        <v>886</v>
      </c>
      <c r="H62" s="63" t="s">
        <v>812</v>
      </c>
      <c r="I62" s="63" t="s">
        <v>817</v>
      </c>
      <c r="J62" s="63" t="s">
        <v>821</v>
      </c>
    </row>
    <row r="63" spans="1:20" ht="21.75" customHeight="1">
      <c r="A63" s="24">
        <v>1</v>
      </c>
      <c r="B63" s="4" t="s">
        <v>195</v>
      </c>
      <c r="C63" s="9" t="s">
        <v>864</v>
      </c>
      <c r="D63" s="2" t="s">
        <v>191</v>
      </c>
      <c r="E63" s="53">
        <f>COUNTIF(F63:J63,"O")</f>
        <v>0</v>
      </c>
      <c r="F63" s="28" t="s">
        <v>863</v>
      </c>
      <c r="G63" s="28" t="s">
        <v>863</v>
      </c>
      <c r="H63" s="28" t="s">
        <v>863</v>
      </c>
      <c r="I63" s="28" t="s">
        <v>863</v>
      </c>
      <c r="J63" s="28" t="s">
        <v>863</v>
      </c>
    </row>
    <row r="64" spans="1:20" ht="21.75" customHeight="1">
      <c r="A64" s="24">
        <v>2</v>
      </c>
      <c r="B64" s="4" t="s">
        <v>226</v>
      </c>
      <c r="C64" s="9" t="s">
        <v>880</v>
      </c>
      <c r="D64" s="2" t="s">
        <v>191</v>
      </c>
      <c r="E64" s="53">
        <f>COUNTIF(F64:J64,"O")</f>
        <v>0</v>
      </c>
      <c r="F64" s="28" t="s">
        <v>863</v>
      </c>
      <c r="G64" s="28" t="s">
        <v>863</v>
      </c>
      <c r="H64" s="28" t="s">
        <v>863</v>
      </c>
      <c r="I64" s="28" t="s">
        <v>863</v>
      </c>
      <c r="J64" s="28" t="s">
        <v>863</v>
      </c>
    </row>
    <row r="67" spans="1:12" ht="25.5" customHeight="1">
      <c r="A67" s="121" t="s">
        <v>887</v>
      </c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</row>
    <row r="68" spans="1:12" ht="21.75" customHeight="1">
      <c r="A68" s="126" t="s">
        <v>145</v>
      </c>
      <c r="B68" s="127" t="s">
        <v>146</v>
      </c>
      <c r="C68" s="127" t="s">
        <v>147</v>
      </c>
      <c r="D68" s="127" t="s">
        <v>150</v>
      </c>
      <c r="E68" s="127" t="s">
        <v>387</v>
      </c>
      <c r="F68" s="128" t="s">
        <v>888</v>
      </c>
      <c r="G68" s="128"/>
      <c r="H68" s="128"/>
      <c r="I68" s="128" t="s">
        <v>839</v>
      </c>
      <c r="J68" s="128"/>
      <c r="K68" s="128"/>
      <c r="L68" s="86" t="s">
        <v>852</v>
      </c>
    </row>
    <row r="69" spans="1:12" ht="60" customHeight="1">
      <c r="A69" s="126"/>
      <c r="B69" s="126"/>
      <c r="C69" s="126"/>
      <c r="D69" s="126"/>
      <c r="E69" s="126"/>
      <c r="F69" s="63" t="s">
        <v>889</v>
      </c>
      <c r="G69" s="63" t="s">
        <v>831</v>
      </c>
      <c r="H69" s="63" t="s">
        <v>835</v>
      </c>
      <c r="I69" s="63" t="s">
        <v>890</v>
      </c>
      <c r="J69" s="63" t="s">
        <v>844</v>
      </c>
      <c r="K69" s="63" t="s">
        <v>891</v>
      </c>
      <c r="L69" s="63" t="s">
        <v>892</v>
      </c>
    </row>
    <row r="70" spans="1:12" ht="21.75" customHeight="1">
      <c r="A70" s="24">
        <v>1</v>
      </c>
      <c r="B70" s="4" t="s">
        <v>167</v>
      </c>
      <c r="C70" s="9" t="s">
        <v>862</v>
      </c>
      <c r="D70" s="13" t="s">
        <v>170</v>
      </c>
      <c r="E70" s="53">
        <f>COUNTIF(F70:L70,"O")</f>
        <v>0</v>
      </c>
      <c r="F70" s="28" t="s">
        <v>863</v>
      </c>
      <c r="G70" s="28" t="s">
        <v>863</v>
      </c>
      <c r="H70" s="28" t="s">
        <v>863</v>
      </c>
      <c r="I70" s="28" t="s">
        <v>863</v>
      </c>
      <c r="J70" s="28" t="s">
        <v>863</v>
      </c>
      <c r="K70" s="28" t="s">
        <v>863</v>
      </c>
      <c r="L70" s="28" t="s">
        <v>863</v>
      </c>
    </row>
    <row r="71" spans="1:12" ht="21.75" customHeight="1">
      <c r="A71" s="24">
        <v>2</v>
      </c>
      <c r="B71" s="4" t="s">
        <v>238</v>
      </c>
      <c r="C71" s="9" t="s">
        <v>881</v>
      </c>
      <c r="D71" s="2" t="s">
        <v>176</v>
      </c>
      <c r="E71" s="53">
        <f>COUNTIF(F71:L71,"O")</f>
        <v>0</v>
      </c>
      <c r="F71" s="28" t="s">
        <v>863</v>
      </c>
      <c r="G71" s="28" t="s">
        <v>863</v>
      </c>
      <c r="H71" s="28" t="s">
        <v>863</v>
      </c>
      <c r="I71" s="28" t="s">
        <v>863</v>
      </c>
      <c r="J71" s="28" t="s">
        <v>863</v>
      </c>
      <c r="K71" s="28" t="s">
        <v>863</v>
      </c>
      <c r="L71" s="28" t="s">
        <v>863</v>
      </c>
    </row>
  </sheetData>
  <mergeCells count="64">
    <mergeCell ref="A1:Z1"/>
    <mergeCell ref="A2:Z2"/>
    <mergeCell ref="A3:Z3"/>
    <mergeCell ref="A5:X5"/>
    <mergeCell ref="A6:A7"/>
    <mergeCell ref="B6:B7"/>
    <mergeCell ref="C6:C7"/>
    <mergeCell ref="D6:D7"/>
    <mergeCell ref="E6:E7"/>
    <mergeCell ref="F6:K6"/>
    <mergeCell ref="L6:P6"/>
    <mergeCell ref="Q6:U6"/>
    <mergeCell ref="V6:X6"/>
    <mergeCell ref="A15:L15"/>
    <mergeCell ref="A16:A17"/>
    <mergeCell ref="B16:B17"/>
    <mergeCell ref="C16:C17"/>
    <mergeCell ref="D16:D17"/>
    <mergeCell ref="E16:E17"/>
    <mergeCell ref="F16:H16"/>
    <mergeCell ref="I16:J16"/>
    <mergeCell ref="K16:L16"/>
    <mergeCell ref="A21:I21"/>
    <mergeCell ref="A22:A23"/>
    <mergeCell ref="B22:B23"/>
    <mergeCell ref="C22:C23"/>
    <mergeCell ref="D22:D23"/>
    <mergeCell ref="E22:E23"/>
    <mergeCell ref="F22:G22"/>
    <mergeCell ref="A26:T26"/>
    <mergeCell ref="A27:A28"/>
    <mergeCell ref="B27:B28"/>
    <mergeCell ref="C27:C28"/>
    <mergeCell ref="D27:D28"/>
    <mergeCell ref="E27:E28"/>
    <mergeCell ref="F27:H27"/>
    <mergeCell ref="I27:J27"/>
    <mergeCell ref="M27:O27"/>
    <mergeCell ref="P27:R27"/>
    <mergeCell ref="S27:T27"/>
    <mergeCell ref="A52:K52"/>
    <mergeCell ref="A53:A54"/>
    <mergeCell ref="B53:B54"/>
    <mergeCell ref="C53:C54"/>
    <mergeCell ref="D53:D54"/>
    <mergeCell ref="E53:E54"/>
    <mergeCell ref="F53:G53"/>
    <mergeCell ref="H53:J53"/>
    <mergeCell ref="A60:J60"/>
    <mergeCell ref="A61:A62"/>
    <mergeCell ref="B61:B62"/>
    <mergeCell ref="C61:C62"/>
    <mergeCell ref="D61:D62"/>
    <mergeCell ref="E61:E62"/>
    <mergeCell ref="F61:H61"/>
    <mergeCell ref="I61:J61"/>
    <mergeCell ref="A67:L67"/>
    <mergeCell ref="A68:A69"/>
    <mergeCell ref="B68:B69"/>
    <mergeCell ref="C68:C69"/>
    <mergeCell ref="D68:D69"/>
    <mergeCell ref="E68:E69"/>
    <mergeCell ref="F68:H68"/>
    <mergeCell ref="I68:K68"/>
  </mergeCells>
  <phoneticPr fontId="28" type="noConversion"/>
  <conditionalFormatting sqref="F31:G38">
    <cfRule type="cellIs" dxfId="37" priority="3" operator="equal">
      <formula>"O"</formula>
    </cfRule>
    <cfRule type="cellIs" dxfId="36" priority="4" operator="equal">
      <formula>"X"</formula>
    </cfRule>
  </conditionalFormatting>
  <conditionalFormatting sqref="F40:G49">
    <cfRule type="cellIs" dxfId="35" priority="7" operator="equal">
      <formula>"O"</formula>
    </cfRule>
    <cfRule type="cellIs" dxfId="34" priority="8" operator="equal">
      <formula>"X"</formula>
    </cfRule>
  </conditionalFormatting>
  <conditionalFormatting sqref="F63:J64">
    <cfRule type="cellIs" dxfId="33" priority="43" operator="equal">
      <formula>"X"</formula>
    </cfRule>
    <cfRule type="cellIs" dxfId="32" priority="42" operator="equal">
      <formula>"O"</formula>
    </cfRule>
  </conditionalFormatting>
  <conditionalFormatting sqref="F55:K57">
    <cfRule type="cellIs" dxfId="31" priority="41" operator="equal">
      <formula>"X"</formula>
    </cfRule>
    <cfRule type="cellIs" dxfId="30" priority="40" operator="equal">
      <formula>"O"</formula>
    </cfRule>
  </conditionalFormatting>
  <conditionalFormatting sqref="F18:L18">
    <cfRule type="cellIs" dxfId="29" priority="32" operator="equal">
      <formula>"X"</formula>
    </cfRule>
    <cfRule type="cellIs" dxfId="28" priority="31" operator="equal">
      <formula>"O"</formula>
    </cfRule>
  </conditionalFormatting>
  <conditionalFormatting sqref="F70:L71">
    <cfRule type="cellIs" dxfId="27" priority="44" operator="equal">
      <formula>"O"</formula>
    </cfRule>
    <cfRule type="cellIs" dxfId="26" priority="45" operator="equal">
      <formula>"X"</formula>
    </cfRule>
  </conditionalFormatting>
  <conditionalFormatting sqref="F29:T30 H31:I34">
    <cfRule type="cellIs" dxfId="25" priority="30" operator="equal">
      <formula>"X"</formula>
    </cfRule>
    <cfRule type="cellIs" dxfId="24" priority="29" operator="equal">
      <formula>"O"</formula>
    </cfRule>
  </conditionalFormatting>
  <conditionalFormatting sqref="F8:X12">
    <cfRule type="cellIs" dxfId="23" priority="35" operator="equal">
      <formula>"X"</formula>
    </cfRule>
    <cfRule type="cellIs" dxfId="22" priority="34" operator="equal">
      <formula>"O"</formula>
    </cfRule>
  </conditionalFormatting>
  <conditionalFormatting sqref="H35:H38">
    <cfRule type="cellIs" dxfId="21" priority="26" operator="equal">
      <formula>"X"</formula>
    </cfRule>
    <cfRule type="cellIs" dxfId="20" priority="25" operator="equal">
      <formula>"O"</formula>
    </cfRule>
  </conditionalFormatting>
  <conditionalFormatting sqref="H40:I44">
    <cfRule type="cellIs" dxfId="19" priority="22" operator="equal">
      <formula>"X"</formula>
    </cfRule>
    <cfRule type="cellIs" dxfId="18" priority="21" operator="equal">
      <formula>"O"</formula>
    </cfRule>
  </conditionalFormatting>
  <conditionalFormatting sqref="H45:N49">
    <cfRule type="cellIs" dxfId="17" priority="1" operator="equal">
      <formula>"O"</formula>
    </cfRule>
    <cfRule type="cellIs" dxfId="16" priority="2" operator="equal">
      <formula>"X"</formula>
    </cfRule>
  </conditionalFormatting>
  <conditionalFormatting sqref="J31:L36">
    <cfRule type="cellIs" dxfId="15" priority="28" operator="equal">
      <formula>"X"</formula>
    </cfRule>
    <cfRule type="cellIs" dxfId="14" priority="27" operator="equal">
      <formula>"O"</formula>
    </cfRule>
  </conditionalFormatting>
  <conditionalFormatting sqref="J39:L44">
    <cfRule type="cellIs" dxfId="13" priority="16" operator="equal">
      <formula>"X"</formula>
    </cfRule>
    <cfRule type="cellIs" dxfId="12" priority="15" operator="equal">
      <formula>"O"</formula>
    </cfRule>
  </conditionalFormatting>
  <conditionalFormatting sqref="M33:P35">
    <cfRule type="cellIs" dxfId="11" priority="17" operator="equal">
      <formula>"O"</formula>
    </cfRule>
    <cfRule type="cellIs" dxfId="10" priority="18" operator="equal">
      <formula>"X"</formula>
    </cfRule>
  </conditionalFormatting>
  <conditionalFormatting sqref="M31:T32 Q33:T33 Q34:Q39 I35:I36 M36:N36 I37:N38 F39:I39 M39:N39 M40:Q41 M42:R42 M43:N44 O48:T49">
    <cfRule type="cellIs" dxfId="9" priority="38" operator="equal">
      <formula>"O"</formula>
    </cfRule>
    <cfRule type="cellIs" dxfId="8" priority="39" operator="equal">
      <formula>"X"</formula>
    </cfRule>
  </conditionalFormatting>
  <conditionalFormatting sqref="O36:P39">
    <cfRule type="cellIs" dxfId="7" priority="23" operator="equal">
      <formula>"O"</formula>
    </cfRule>
    <cfRule type="cellIs" dxfId="6" priority="24" operator="equal">
      <formula>"X"</formula>
    </cfRule>
  </conditionalFormatting>
  <conditionalFormatting sqref="O43:R47">
    <cfRule type="cellIs" dxfId="5" priority="20" operator="equal">
      <formula>"X"</formula>
    </cfRule>
    <cfRule type="cellIs" dxfId="4" priority="19" operator="equal">
      <formula>"O"</formula>
    </cfRule>
  </conditionalFormatting>
  <conditionalFormatting sqref="R34:R41">
    <cfRule type="cellIs" dxfId="3" priority="14" operator="equal">
      <formula>"X"</formula>
    </cfRule>
    <cfRule type="cellIs" dxfId="2" priority="13" operator="equal">
      <formula>"O"</formula>
    </cfRule>
  </conditionalFormatting>
  <conditionalFormatting sqref="S34:T47">
    <cfRule type="cellIs" dxfId="1" priority="12" operator="equal">
      <formula>"X"</formula>
    </cfRule>
    <cfRule type="cellIs" dxfId="0" priority="11" operator="equal">
      <formula>"O"</formula>
    </cfRule>
  </conditionalFormatting>
  <dataValidations count="1">
    <dataValidation type="list" sqref="F70:L71 F8:X12 F18:L18 F55:K57 F63:J64 F29:T49" xr:uid="{00000000-0002-0000-1100-000000000000}">
      <formula1>"O,X"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00_운영가이드</vt:lpstr>
      <vt:lpstr>00_운영현황판</vt:lpstr>
      <vt:lpstr>01_인적정보</vt:lpstr>
      <vt:lpstr>02_의사결정·종합결과</vt:lpstr>
      <vt:lpstr>03_전사업적평가</vt:lpstr>
      <vt:lpstr>04_역할평가</vt:lpstr>
      <vt:lpstr>05_공통역량평가</vt:lpstr>
      <vt:lpstr>06_직무역량평가</vt:lpstr>
      <vt:lpstr>07a_상반기입력</vt:lpstr>
      <vt:lpstr>07b_하반기입력</vt:lpstr>
      <vt:lpstr>08_종합평가</vt:lpstr>
      <vt:lpstr>09_보상연계</vt:lpstr>
      <vt:lpstr>10_성과급관리</vt:lpstr>
      <vt:lpstr>11_페이밴드검증</vt:lpstr>
      <vt:lpstr>12_시뮬레이션</vt:lpstr>
      <vt:lpstr>13_직무역할DB</vt:lpstr>
      <vt:lpstr>14_직무책무DB</vt:lpstr>
      <vt:lpstr>15_직원별책무매핑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석주 이</cp:lastModifiedBy>
  <cp:revision>0</cp:revision>
  <dcterms:created xsi:type="dcterms:W3CDTF">2026-05-13T02:51:18Z</dcterms:created>
  <dcterms:modified xsi:type="dcterms:W3CDTF">2026-05-14T04:05:18Z</dcterms:modified>
  <dc:language>en-US</dc:language>
</cp:coreProperties>
</file>