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12_HRM_임금성과평가/03_프로젝트/01_2026_베이시스소프트_임금평가/베이시스소프트_HR통합관리_TOOL_최종/"/>
    </mc:Choice>
  </mc:AlternateContent>
  <xr:revisionPtr revIDLastSave="8" documentId="13_ncr:1_{69BB21EC-A61B-4FE4-BD93-CC7163939FC6}" xr6:coauthVersionLast="47" xr6:coauthVersionMax="47" xr10:uidLastSave="{6EA88F21-7923-404C-8952-71E751BE179A}"/>
  <bookViews>
    <workbookView xWindow="-38520" yWindow="-16350" windowWidth="38640" windowHeight="21120" xr2:uid="{E9BDE15E-B2BF-492C-81A3-71D5CADE4B38}"/>
  </bookViews>
  <sheets>
    <sheet name="베이시스_임금 관리 시트" sheetId="15" r:id="rId1"/>
    <sheet name="베이시스_2026년 페이밴드 설계_시트" sheetId="8" r:id="rId2"/>
  </sheets>
  <externalReferences>
    <externalReference r:id="rId3"/>
    <externalReference r:id="rId4"/>
  </externalReferences>
  <definedNames>
    <definedName name="_xlnm._FilterDatabase" localSheetId="1" hidden="1">'베이시스_2026년 페이밴드 설계_시트'!$G$47:$H$49</definedName>
    <definedName name="_xlnm._FilterDatabase" localSheetId="0" hidden="1">'베이시스_임금 관리 시트'!$V$44:$W$46</definedName>
    <definedName name="_xlnm._FilterDatabase" hidden="1">#REF!</definedName>
    <definedName name="bizforms">"bizforms.co.kr"</definedName>
    <definedName name="_xlnm.Criteria" localSheetId="1">'베이시스_2026년 페이밴드 설계_시트'!#REF!</definedName>
    <definedName name="_xlnm.Criteria" localSheetId="0">'베이시스_임금 관리 시트'!#REF!</definedName>
    <definedName name="_xlnm.Extract" localSheetId="1">'베이시스_2026년 페이밴드 설계_시트'!#REF!</definedName>
    <definedName name="_xlnm.Extract" localSheetId="0">'베이시스_임금 관리 시트'!#REF!</definedName>
    <definedName name="감면">[1]인사관리현황!$R:$R</definedName>
    <definedName name="감면시작일">[1]인사관리현황!$S:$S</definedName>
    <definedName name="감면자1">[1]소득세감면명세서!$B$17</definedName>
    <definedName name="감면자1병역기간">[1]소득세감면명세서!$V$17</definedName>
    <definedName name="감면자1생년월일">[1]소득세감면명세서!$Z$17</definedName>
    <definedName name="감면자1입대일">[1]소득세감면명세서!$AB$17</definedName>
    <definedName name="감면자1입사연령">[1]소득세감면명세서!$T$17</definedName>
    <definedName name="감면자1입사일">[1]소득세감면명세서!$F$17</definedName>
    <definedName name="감면자1제대일">[1]소득세감면명세서!$AD$17</definedName>
    <definedName name="감면자1차감연령">[1]소득세감면명세서!$X$17</definedName>
    <definedName name="감면자2">[1]소득세감면명세서!$B$19</definedName>
    <definedName name="감면자2병역기간">[1]소득세감면명세서!$V$19</definedName>
    <definedName name="감면자2생년월일">[1]소득세감면명세서!$Z$19</definedName>
    <definedName name="감면자2입대일">[1]소득세감면명세서!$AB$19</definedName>
    <definedName name="감면자2입사연령">[1]소득세감면명세서!$T$19</definedName>
    <definedName name="감면자2입사일">[1]소득세감면명세서!$F$19</definedName>
    <definedName name="감면자2제대일">[1]소득세감면명세서!$AD$19</definedName>
    <definedName name="감면자2차감연령">[1]소득세감면명세서!$X$19</definedName>
    <definedName name="감면자3">[1]소득세감면명세서!$B$21</definedName>
    <definedName name="감면자3병역기간">[1]소득세감면명세서!$V$21</definedName>
    <definedName name="감면자3생년월일">[1]소득세감면명세서!$Z$21</definedName>
    <definedName name="감면자3입대일">[1]소득세감면명세서!$AB$21</definedName>
    <definedName name="감면자3입사연령">[1]소득세감면명세서!$T$21</definedName>
    <definedName name="감면자3입사일">[1]소득세감면명세서!$F$21</definedName>
    <definedName name="감면자3제대일">[1]소득세감면명세서!$AD$21</definedName>
    <definedName name="감면자3차감연령">[1]소득세감면명세서!$X$21</definedName>
    <definedName name="감면자4">[1]소득세감면명세서!$B$23</definedName>
    <definedName name="감면자4병역기간">[1]소득세감면명세서!$V$23</definedName>
    <definedName name="감면자4생년월일">[1]소득세감면명세서!$Z$23</definedName>
    <definedName name="감면자4입대일">[1]소득세감면명세서!$AB$23</definedName>
    <definedName name="감면자4입사연령">[1]소득세감면명세서!$T$23</definedName>
    <definedName name="감면자4입사일">[1]소득세감면명세서!$F$23</definedName>
    <definedName name="감면자4제대일">[1]소득세감면명세서!$AD$23</definedName>
    <definedName name="감면자4차감연령">[1]소득세감면명세서!$X$23</definedName>
    <definedName name="감면자5">[1]소득세감면명세서!$B$25</definedName>
    <definedName name="감면자5병역기간">[1]소득세감면명세서!$V$25</definedName>
    <definedName name="감면자5생년월일">[1]소득세감면명세서!$Z$25</definedName>
    <definedName name="감면자5입대일">[1]소득세감면명세서!$AB$25</definedName>
    <definedName name="감면자5입사연령">[1]소득세감면명세서!$T$25</definedName>
    <definedName name="감면자5입사일">[1]소득세감면명세서!$F$25</definedName>
    <definedName name="감면자5제대일">[1]소득세감면명세서!$AD$25</definedName>
    <definedName name="감면자5차감연령">[1]소득세감면명세서!$X$25</definedName>
    <definedName name="감면종료일">[1]인사관리현황!$T:$T</definedName>
    <definedName name="계좌번호">[1]인사관리현황!$X:$X</definedName>
    <definedName name="교육구분1">[1]인사관리현황!$BJ$4:$BJ$1048576</definedName>
    <definedName name="교육구분2">[1]인사관리현황!$BP$4:$BP$1048576</definedName>
    <definedName name="교육구분3">[1]인사관리현황!$BV$4:$BV$1048576</definedName>
    <definedName name="교육구분4">[1]인사관리현황!$CB$4:$CB$1048576</definedName>
    <definedName name="교육구분5">[1]인사관리현황!$CH$4:$CH$1048576</definedName>
    <definedName name="교육기간끝1">[1]인사관리현황!$BM$4:$BM$1048576</definedName>
    <definedName name="교육기간끝2">[1]인사관리현황!$BS$4:$BS$1048576</definedName>
    <definedName name="교육기간끝3">[1]인사관리현황!$BY$4:$BY$1048576</definedName>
    <definedName name="교육기간끝4">[1]인사관리현황!$CE$4:$CE$1048576</definedName>
    <definedName name="교육기간끝5">[1]인사관리현황!$CK$4:$CK$1048576</definedName>
    <definedName name="교육기간시작1">[1]인사관리현황!$BL$4:$BL$1048576</definedName>
    <definedName name="교육기간시작2">[1]인사관리현황!$BR$4:$BR$1048576</definedName>
    <definedName name="교육기간시작3">[1]인사관리현황!$BX$4:$BX$1048576</definedName>
    <definedName name="교육기간시작4">[1]인사관리현황!$CD$4:$CD$1048576</definedName>
    <definedName name="교육기간시작5">[1]인사관리현황!$CJ$4:$CJ$1048576</definedName>
    <definedName name="교육기관1">[1]인사관리현황!$BN$4:$BN$1048576</definedName>
    <definedName name="교육기관2">[1]인사관리현황!$BT$4:$BT$1048576</definedName>
    <definedName name="교육기관3">[1]인사관리현황!$BZ$4:$BZ$1048576</definedName>
    <definedName name="교육기관4">[1]인사관리현황!$CF$4:$CF$1048576</definedName>
    <definedName name="교육기관5">[1]인사관리현황!$CL$4:$CL$1048576</definedName>
    <definedName name="교육내용1">[1]인사관리현황!$BO$4:$BO$1048576</definedName>
    <definedName name="교육내용2">[1]인사관리현황!$BU$4:$BU$1048576</definedName>
    <definedName name="교육내용3">[1]인사관리현황!$CA$4:$CA$1048576</definedName>
    <definedName name="교육내용4">[1]인사관리현황!$CG$4:$CG$1048576</definedName>
    <definedName name="교육내용5">[1]인사관리현황!$CM$4:$CM$1048576</definedName>
    <definedName name="교육명1">[1]인사관리현황!$BK$4:$BK$1048576</definedName>
    <definedName name="교육명2">[1]인사관리현황!$BQ$4:$BQ$1048576</definedName>
    <definedName name="교육명3">[1]인사관리현황!$BW$4:$BW$1048576</definedName>
    <definedName name="교육명4">[1]인사관리현황!$CC$4:$CC$1048576</definedName>
    <definedName name="교육명5">[1]인사관리현황!$CI$4:$CI$1048576</definedName>
    <definedName name="대표이사">[1]연봉계약서!$M$13</definedName>
    <definedName name="대학교">[1]인사관리현황!$AA:$AA</definedName>
    <definedName name="대학원">[1]인사관리현황!$AB:$AB</definedName>
    <definedName name="발령구분1">[1]인사관리현황!$AF$4:$AF$1048576</definedName>
    <definedName name="발령구분2">[1]인사관리현황!$AL$4:$AL$1048576</definedName>
    <definedName name="발령구분3">[1]인사관리현황!$AR$4:$AR$1048576</definedName>
    <definedName name="발령구분4">[1]인사관리현황!$AX$4:$AX$1048576</definedName>
    <definedName name="발령구분5">[1]인사관리현황!$BD$4:$BD$1048576</definedName>
    <definedName name="발령내용1">[1]인사관리현황!$AK$4:$AK$1048576</definedName>
    <definedName name="발령내용2">[1]인사관리현황!$AQ$4:$AQ$1048576</definedName>
    <definedName name="발령내용3">[1]인사관리현황!$AW$4:$AW$1048576</definedName>
    <definedName name="발령내용4">[1]인사관리현황!$BC$4:$BC$1048576</definedName>
    <definedName name="발령내용5">[1]인사관리현황!$BI$4:$BI$1048576</definedName>
    <definedName name="발령소속1">[1]인사관리현황!$AH$4:$AH$1048576</definedName>
    <definedName name="발령소속2">[1]인사관리현황!$AN$4:$AN$1048576</definedName>
    <definedName name="발령소속3">[1]인사관리현황!$AT$4:$AT$1048576</definedName>
    <definedName name="발령소속4">[1]인사관리현황!$AZ$4:$AZ$1048576</definedName>
    <definedName name="발령소속5">[1]인사관리현황!$BF$4:$BF$1048576</definedName>
    <definedName name="발령일자1">[1]인사관리현황!$AG$4:$AG$1048576</definedName>
    <definedName name="발령일자2">[1]인사관리현황!$AM$4:$AM$1048576</definedName>
    <definedName name="발령일자3">[1]인사관리현황!$AS$4:$AS$1048576</definedName>
    <definedName name="발령일자4">[1]인사관리현황!$AY$4:$AY$1048576</definedName>
    <definedName name="발령일자5">[1]인사관리현황!$BE$4:$BE$1048576</definedName>
    <definedName name="발령직급1">[1]인사관리현황!$AI$4:$AI$1048576</definedName>
    <definedName name="발령직급2">[1]인사관리현황!$AO$4:$AO$1048576</definedName>
    <definedName name="발령직급3">[1]인사관리현황!$AU$4:$AU$1048576</definedName>
    <definedName name="발령직급4">[1]인사관리현황!$BA$4:$BA$1048576</definedName>
    <definedName name="발령직급5">[1]인사관리현황!$BG$4:$BG$1048576</definedName>
    <definedName name="발령직무1">[1]인사관리현황!$AJ$4:$AJ$1048576</definedName>
    <definedName name="발령직무2">[1]인사관리현황!$AP$4:$AP$1048576</definedName>
    <definedName name="발령직무3">[1]인사관리현황!$AV$4:$AV$1048576</definedName>
    <definedName name="발령직무4">[1]인사관리현황!$BB$4:$BB$1048576</definedName>
    <definedName name="발령직무5">[1]인사관리현황!$BH$4:$BH$1048576</definedName>
    <definedName name="사번">#REF!</definedName>
    <definedName name="사원명">[1]인사관리현황!$E:$E</definedName>
    <definedName name="사원코드">[1]인사관리현황!$A:$A</definedName>
    <definedName name="생년월일">[1]인사관리현황!$M:$M</definedName>
    <definedName name="성명">#REF!</definedName>
    <definedName name="성별">[1]인사관리현황!$O:$O</definedName>
    <definedName name="소속">[1]인사관리현황!$B:$B</definedName>
    <definedName name="시급">[1]인사관리현황!$Z:$Z</definedName>
    <definedName name="연봉" localSheetId="1">[2]!표9[연봉]</definedName>
    <definedName name="연봉" localSheetId="0">[2]!표9[연봉]</definedName>
    <definedName name="연봉">[2]!표9[연봉]</definedName>
    <definedName name="우편번호">[1]인사관리현황!$P:$P</definedName>
    <definedName name="유입">#REF!</definedName>
    <definedName name="유출">#REF!</definedName>
    <definedName name="은행">[1]인사관리현황!$W:$W</definedName>
    <definedName name="을소속">[1]인사기록카드!$D$6</definedName>
    <definedName name="을이름">[1]인사기록카드!$B$2</definedName>
    <definedName name="을입사일">[1]인사기록카드!$L$3</definedName>
    <definedName name="을퇴사일">[1]인사기록카드!$L$4</definedName>
    <definedName name="이메일">[1]인사관리현황!$V:$V</definedName>
    <definedName name="인사관리현황">[1]인사관리현황!$E:$AAH</definedName>
    <definedName name="입대일">[1]인사관리현황!$AD:$AD</definedName>
    <definedName name="입사일">[1]인사관리현황!$G:$G</definedName>
    <definedName name="전공">[1]인사관리현황!$AC:$AC</definedName>
    <definedName name="전화번호">[1]인사관리현황!$U:$U</definedName>
    <definedName name="제대일">[1]인사관리현황!$AE:$AE</definedName>
    <definedName name="주민등록번호">[1]인사관리현황!$L:$L</definedName>
    <definedName name="주소">[1]인사관리현황!$Q:$Q</definedName>
    <definedName name="지급총액" localSheetId="1">[2]!표9[연봉]</definedName>
    <definedName name="지급총액" localSheetId="0">[2]!표9[연봉]</definedName>
    <definedName name="지급총액">[2]!표9[연봉]</definedName>
    <definedName name="직급">[1]인사관리현황!$C:$C</definedName>
    <definedName name="직급번호">[2]payband1!$C$4:$C$55</definedName>
    <definedName name="직무">[1]인사관리현황!$D:$D</definedName>
    <definedName name="퇴사일">[1]인사관리현황!$I:$I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5" l="1"/>
  <c r="R22" i="15"/>
  <c r="L77" i="15"/>
  <c r="L76" i="15"/>
  <c r="L75" i="15"/>
  <c r="L74" i="15"/>
  <c r="L73" i="15"/>
  <c r="L72" i="15"/>
  <c r="L71" i="15"/>
  <c r="L68" i="15"/>
  <c r="L67" i="15"/>
  <c r="L66" i="15"/>
  <c r="L65" i="15"/>
  <c r="L64" i="15"/>
  <c r="L63" i="15"/>
  <c r="L60" i="15"/>
  <c r="L59" i="15"/>
  <c r="L58" i="15"/>
  <c r="L57" i="15"/>
  <c r="L56" i="15"/>
  <c r="L55" i="15"/>
  <c r="H77" i="15" a="1"/>
  <c r="H77" i="15" s="1"/>
  <c r="F77" i="15"/>
  <c r="E77" i="15"/>
  <c r="D77" i="15"/>
  <c r="C77" i="15"/>
  <c r="B77" i="15"/>
  <c r="H76" i="15" a="1"/>
  <c r="H76" i="15" s="1"/>
  <c r="F76" i="15"/>
  <c r="G76" i="15" s="1"/>
  <c r="E76" i="15"/>
  <c r="D76" i="15"/>
  <c r="C76" i="15"/>
  <c r="I76" i="15" s="1"/>
  <c r="B76" i="15"/>
  <c r="H75" i="15" a="1"/>
  <c r="H75" i="15" s="1"/>
  <c r="F75" i="15"/>
  <c r="G75" i="15" s="1"/>
  <c r="E75" i="15"/>
  <c r="D75" i="15"/>
  <c r="C75" i="15"/>
  <c r="I75" i="15" s="1"/>
  <c r="B75" i="15"/>
  <c r="H74" i="15" a="1"/>
  <c r="H74" i="15" s="1"/>
  <c r="F74" i="15"/>
  <c r="G74" i="15" s="1"/>
  <c r="E74" i="15"/>
  <c r="D74" i="15"/>
  <c r="C74" i="15"/>
  <c r="I74" i="15" s="1"/>
  <c r="B74" i="15"/>
  <c r="H73" i="15" a="1"/>
  <c r="H73" i="15" s="1"/>
  <c r="F73" i="15"/>
  <c r="G73" i="15" s="1"/>
  <c r="E73" i="15"/>
  <c r="D73" i="15"/>
  <c r="C73" i="15"/>
  <c r="I73" i="15" s="1"/>
  <c r="B73" i="15"/>
  <c r="H72" i="15" a="1"/>
  <c r="H72" i="15" s="1"/>
  <c r="F72" i="15"/>
  <c r="G72" i="15" s="1"/>
  <c r="E72" i="15"/>
  <c r="D72" i="15"/>
  <c r="C72" i="15"/>
  <c r="I72" i="15" s="1"/>
  <c r="B72" i="15"/>
  <c r="H71" i="15" a="1"/>
  <c r="H71" i="15" s="1"/>
  <c r="F71" i="15"/>
  <c r="G71" i="15" s="1"/>
  <c r="E71" i="15"/>
  <c r="D71" i="15"/>
  <c r="C71" i="15"/>
  <c r="I71" i="15" s="1"/>
  <c r="B71" i="15"/>
  <c r="H68" i="15" a="1"/>
  <c r="H68" i="15" s="1"/>
  <c r="F68" i="15"/>
  <c r="E68" i="15"/>
  <c r="D68" i="15"/>
  <c r="C68" i="15"/>
  <c r="B68" i="15"/>
  <c r="I67" i="15"/>
  <c r="H67" i="15" a="1"/>
  <c r="H67" i="15"/>
  <c r="G67" i="15"/>
  <c r="F67" i="15"/>
  <c r="E67" i="15"/>
  <c r="D67" i="15"/>
  <c r="C67" i="15"/>
  <c r="B67" i="15"/>
  <c r="I66" i="15"/>
  <c r="H66" i="15" a="1"/>
  <c r="H66" i="15"/>
  <c r="G66" i="15"/>
  <c r="F66" i="15"/>
  <c r="E66" i="15"/>
  <c r="D66" i="15"/>
  <c r="C66" i="15"/>
  <c r="B66" i="15"/>
  <c r="I65" i="15"/>
  <c r="H65" i="15" a="1"/>
  <c r="H65" i="15" s="1"/>
  <c r="G65" i="15"/>
  <c r="F65" i="15"/>
  <c r="E65" i="15"/>
  <c r="D65" i="15"/>
  <c r="C65" i="15"/>
  <c r="B65" i="15"/>
  <c r="I64" i="15"/>
  <c r="H64" i="15" a="1"/>
  <c r="H64" i="15" s="1"/>
  <c r="G64" i="15"/>
  <c r="F64" i="15"/>
  <c r="E64" i="15"/>
  <c r="D64" i="15"/>
  <c r="C64" i="15"/>
  <c r="B64" i="15"/>
  <c r="I63" i="15"/>
  <c r="H63" i="15" a="1"/>
  <c r="H63" i="15" s="1"/>
  <c r="G63" i="15"/>
  <c r="F63" i="15"/>
  <c r="E63" i="15"/>
  <c r="D63" i="15"/>
  <c r="C63" i="15"/>
  <c r="B63" i="15"/>
  <c r="H60" i="15" a="1"/>
  <c r="H60" i="15" s="1"/>
  <c r="F60" i="15"/>
  <c r="E60" i="15"/>
  <c r="D60" i="15"/>
  <c r="C60" i="15"/>
  <c r="B60" i="15"/>
  <c r="H59" i="15" a="1"/>
  <c r="H59" i="15" s="1"/>
  <c r="G59" i="15"/>
  <c r="F59" i="15"/>
  <c r="E59" i="15"/>
  <c r="D59" i="15"/>
  <c r="C59" i="15"/>
  <c r="B59" i="15"/>
  <c r="I58" i="15"/>
  <c r="H58" i="15" a="1"/>
  <c r="H58" i="15"/>
  <c r="G58" i="15"/>
  <c r="F58" i="15"/>
  <c r="E58" i="15"/>
  <c r="D58" i="15"/>
  <c r="C58" i="15"/>
  <c r="B58" i="15"/>
  <c r="I57" i="15"/>
  <c r="H57" i="15" a="1"/>
  <c r="H57" i="15" s="1"/>
  <c r="G57" i="15"/>
  <c r="F57" i="15"/>
  <c r="E57" i="15"/>
  <c r="D57" i="15"/>
  <c r="C57" i="15"/>
  <c r="B57" i="15"/>
  <c r="I56" i="15"/>
  <c r="H56" i="15" a="1"/>
  <c r="H56" i="15" s="1"/>
  <c r="G56" i="15"/>
  <c r="F56" i="15"/>
  <c r="E56" i="15"/>
  <c r="D56" i="15"/>
  <c r="C56" i="15"/>
  <c r="B56" i="15"/>
  <c r="I55" i="15"/>
  <c r="H55" i="15" a="1"/>
  <c r="H55" i="15" s="1"/>
  <c r="G55" i="15"/>
  <c r="F55" i="15"/>
  <c r="E55" i="15"/>
  <c r="D55" i="15"/>
  <c r="C55" i="15"/>
  <c r="B55" i="15"/>
  <c r="M19" i="8"/>
  <c r="L19" i="8"/>
  <c r="K19" i="8"/>
  <c r="J19" i="8"/>
  <c r="I19" i="8"/>
  <c r="H19" i="8"/>
  <c r="W45" i="15" a="1"/>
  <c r="W45" i="15" s="1"/>
  <c r="W44" i="15"/>
  <c r="W43" i="15"/>
  <c r="W42" i="15"/>
  <c r="W41" i="15"/>
  <c r="Y40" i="15"/>
  <c r="W40" i="15"/>
  <c r="S37" i="15"/>
  <c r="S38" i="15"/>
  <c r="S39" i="15"/>
  <c r="S40" i="15"/>
  <c r="S41" i="15"/>
  <c r="S42" i="15"/>
  <c r="S43" i="15"/>
  <c r="S44" i="15"/>
  <c r="S45" i="15"/>
  <c r="S46" i="15"/>
  <c r="S47" i="15"/>
  <c r="S48" i="15"/>
  <c r="S49" i="15"/>
  <c r="L4" i="8"/>
  <c r="L31" i="8" s="1"/>
  <c r="M4" i="8"/>
  <c r="M31" i="8" s="1"/>
  <c r="L5" i="8" a="1"/>
  <c r="L5" i="8" s="1"/>
  <c r="M5" i="8" a="1"/>
  <c r="M5" i="8" s="1"/>
  <c r="L6" i="8" a="1"/>
  <c r="L6" i="8" s="1"/>
  <c r="M6" i="8" a="1"/>
  <c r="M6" i="8" s="1"/>
  <c r="L7" i="8" a="1"/>
  <c r="L7" i="8" s="1"/>
  <c r="L34" i="8" s="1"/>
  <c r="M7" i="8" a="1"/>
  <c r="M7" i="8" s="1"/>
  <c r="M34" i="8" s="1"/>
  <c r="L8" i="8" a="1"/>
  <c r="L8" i="8" s="1"/>
  <c r="M8" i="8" a="1"/>
  <c r="M8" i="8" s="1"/>
  <c r="K5" i="8" a="1"/>
  <c r="K5" i="8" s="1"/>
  <c r="K6" i="8" a="1"/>
  <c r="K6" i="8" s="1"/>
  <c r="K7" i="8" a="1"/>
  <c r="K7" i="8" s="1"/>
  <c r="K34" i="8" s="1"/>
  <c r="K8" i="8" a="1"/>
  <c r="K8" i="8" s="1"/>
  <c r="H4" i="8"/>
  <c r="H31" i="8" s="1"/>
  <c r="I4" i="8"/>
  <c r="I31" i="8" s="1"/>
  <c r="H5" i="8" a="1"/>
  <c r="H5" i="8" s="1"/>
  <c r="I5" i="8" a="1"/>
  <c r="I5" i="8" s="1"/>
  <c r="H6" i="8" a="1"/>
  <c r="H6" i="8" s="1"/>
  <c r="H11" i="8" s="1"/>
  <c r="I6" i="8" a="1"/>
  <c r="I6" i="8" s="1"/>
  <c r="H7" i="8" a="1"/>
  <c r="H7" i="8" s="1"/>
  <c r="H34" i="8" s="1"/>
  <c r="I7" i="8" a="1"/>
  <c r="I7" i="8" s="1"/>
  <c r="I34" i="8" s="1"/>
  <c r="H8" i="8" a="1"/>
  <c r="H8" i="8" s="1"/>
  <c r="H10" i="8" s="1"/>
  <c r="I8" i="8" a="1"/>
  <c r="I8" i="8" s="1"/>
  <c r="S50" i="15"/>
  <c r="O50" i="15" a="1"/>
  <c r="O50" i="15" s="1"/>
  <c r="O49" i="15" a="1"/>
  <c r="O49" i="15" s="1"/>
  <c r="O48" i="15" a="1"/>
  <c r="O48" i="15" s="1"/>
  <c r="O47" i="15" a="1"/>
  <c r="O47" i="15" s="1"/>
  <c r="O46" i="15" a="1"/>
  <c r="O46" i="15" s="1"/>
  <c r="O45" i="15" a="1"/>
  <c r="O45" i="15" s="1"/>
  <c r="O44" i="15" a="1"/>
  <c r="O44" i="15" s="1"/>
  <c r="O43" i="15" a="1"/>
  <c r="O43" i="15" s="1"/>
  <c r="O42" i="15" a="1"/>
  <c r="O42" i="15" s="1"/>
  <c r="O41" i="15" a="1"/>
  <c r="O41" i="15" s="1"/>
  <c r="O40" i="15" a="1"/>
  <c r="O40" i="15" s="1"/>
  <c r="O39" i="15" a="1"/>
  <c r="O39" i="15" s="1"/>
  <c r="O38" i="15" a="1"/>
  <c r="O38" i="15" s="1"/>
  <c r="O37" i="15" a="1"/>
  <c r="O37" i="15" s="1"/>
  <c r="O36" i="15" a="1"/>
  <c r="O36" i="15" s="1"/>
  <c r="O35" i="15" a="1"/>
  <c r="O35" i="15" s="1"/>
  <c r="O34" i="15" a="1"/>
  <c r="O34" i="15" s="1"/>
  <c r="O33" i="15" a="1"/>
  <c r="O33" i="15" s="1"/>
  <c r="O32" i="15" a="1"/>
  <c r="O32" i="15" s="1"/>
  <c r="O31" i="15" a="1"/>
  <c r="O31" i="15" s="1"/>
  <c r="O30" i="15" a="1"/>
  <c r="O30" i="15" s="1"/>
  <c r="O29" i="15" a="1"/>
  <c r="O29" i="15" s="1"/>
  <c r="O28" i="15" a="1"/>
  <c r="O28" i="15" s="1"/>
  <c r="O27" i="15" a="1"/>
  <c r="O27" i="15" s="1"/>
  <c r="O26" i="15" a="1"/>
  <c r="O26" i="15" s="1"/>
  <c r="O25" i="15" a="1"/>
  <c r="O25" i="15" s="1"/>
  <c r="O24" i="15" a="1"/>
  <c r="O24" i="15" s="1"/>
  <c r="O23" i="15" a="1"/>
  <c r="O23" i="15" s="1"/>
  <c r="O22" i="15" a="1"/>
  <c r="O22" i="15" s="1"/>
  <c r="O21" i="15" a="1"/>
  <c r="O21" i="15" s="1"/>
  <c r="O20" i="15" a="1"/>
  <c r="O20" i="15" s="1"/>
  <c r="O19" i="15" a="1"/>
  <c r="O19" i="15" s="1"/>
  <c r="O18" i="15" a="1"/>
  <c r="O18" i="15" s="1"/>
  <c r="O17" i="15" a="1"/>
  <c r="O17" i="15" s="1"/>
  <c r="O16" i="15" a="1"/>
  <c r="O16" i="15" s="1"/>
  <c r="O15" i="15" a="1"/>
  <c r="O15" i="15" s="1"/>
  <c r="O14" i="15" a="1"/>
  <c r="O14" i="15" s="1"/>
  <c r="O13" i="15" a="1"/>
  <c r="O13" i="15" s="1"/>
  <c r="O12" i="15" a="1"/>
  <c r="O12" i="15" s="1"/>
  <c r="O11" i="15" a="1"/>
  <c r="O11" i="15" s="1"/>
  <c r="O10" i="15" a="1"/>
  <c r="O10" i="15" s="1"/>
  <c r="O9" i="15" a="1"/>
  <c r="O9" i="15" s="1"/>
  <c r="O8" i="15" a="1"/>
  <c r="O8" i="15" s="1"/>
  <c r="O7" i="15" a="1"/>
  <c r="O7" i="15" s="1"/>
  <c r="O6" i="15" a="1"/>
  <c r="O6" i="15" s="1"/>
  <c r="O5" i="15" a="1"/>
  <c r="O5" i="15" s="1"/>
  <c r="O4" i="15" a="1"/>
  <c r="O4" i="15" s="1"/>
  <c r="O3" i="15" a="1"/>
  <c r="O3" i="15" s="1"/>
  <c r="M49" i="15" a="1"/>
  <c r="M49" i="15" s="1"/>
  <c r="M48" i="15" a="1"/>
  <c r="M48" i="15" s="1"/>
  <c r="M47" i="15" a="1"/>
  <c r="M47" i="15" s="1"/>
  <c r="M46" i="15" a="1"/>
  <c r="M46" i="15" s="1"/>
  <c r="M45" i="15" a="1"/>
  <c r="M45" i="15" s="1"/>
  <c r="M44" i="15" a="1"/>
  <c r="M44" i="15" s="1"/>
  <c r="M43" i="15" a="1"/>
  <c r="M43" i="15" s="1"/>
  <c r="M42" i="15" a="1"/>
  <c r="M42" i="15" s="1"/>
  <c r="M41" i="15" a="1"/>
  <c r="M41" i="15" s="1"/>
  <c r="M40" i="15" a="1"/>
  <c r="M40" i="15" s="1"/>
  <c r="M39" i="15" a="1"/>
  <c r="M39" i="15" s="1"/>
  <c r="M38" i="15" a="1"/>
  <c r="M38" i="15" s="1"/>
  <c r="M37" i="15" a="1"/>
  <c r="M37" i="15" s="1"/>
  <c r="M36" i="15" a="1"/>
  <c r="M36" i="15" s="1"/>
  <c r="R36" i="15" s="1"/>
  <c r="M35" i="15" a="1"/>
  <c r="M35" i="15" s="1"/>
  <c r="R35" i="15" s="1"/>
  <c r="M34" i="15" a="1"/>
  <c r="M34" i="15" s="1"/>
  <c r="R34" i="15" s="1"/>
  <c r="M33" i="15" a="1"/>
  <c r="M33" i="15" s="1"/>
  <c r="M32" i="15" a="1"/>
  <c r="M32" i="15" s="1"/>
  <c r="M31" i="15" a="1"/>
  <c r="M31" i="15" s="1"/>
  <c r="R31" i="15" s="1"/>
  <c r="M30" i="15" a="1"/>
  <c r="M30" i="15" s="1"/>
  <c r="M29" i="15" a="1"/>
  <c r="M29" i="15" s="1"/>
  <c r="M28" i="15" a="1"/>
  <c r="M28" i="15" s="1"/>
  <c r="R28" i="15" s="1"/>
  <c r="M27" i="15" a="1"/>
  <c r="M27" i="15" s="1"/>
  <c r="M26" i="15" a="1"/>
  <c r="M26" i="15" s="1"/>
  <c r="M25" i="15" a="1"/>
  <c r="M25" i="15" s="1"/>
  <c r="R25" i="15" s="1"/>
  <c r="M24" i="15" a="1"/>
  <c r="M24" i="15" s="1"/>
  <c r="R24" i="15" s="1"/>
  <c r="M23" i="15" a="1"/>
  <c r="M23" i="15" s="1"/>
  <c r="M22" i="15" a="1"/>
  <c r="M22" i="15" s="1"/>
  <c r="M21" i="15" a="1"/>
  <c r="M21" i="15" s="1"/>
  <c r="R21" i="15" s="1"/>
  <c r="M20" i="15" a="1"/>
  <c r="M20" i="15" s="1"/>
  <c r="M19" i="15" a="1"/>
  <c r="M19" i="15" s="1"/>
  <c r="R19" i="15" s="1"/>
  <c r="M18" i="15" a="1"/>
  <c r="M18" i="15" s="1"/>
  <c r="R18" i="15" s="1"/>
  <c r="M17" i="15" a="1"/>
  <c r="M17" i="15" s="1"/>
  <c r="R17" i="15" s="1"/>
  <c r="M16" i="15" a="1"/>
  <c r="M16" i="15" s="1"/>
  <c r="R16" i="15" s="1"/>
  <c r="M15" i="15" a="1"/>
  <c r="M15" i="15" s="1"/>
  <c r="M14" i="15" a="1"/>
  <c r="M14" i="15" s="1"/>
  <c r="M13" i="15" a="1"/>
  <c r="M13" i="15" s="1"/>
  <c r="M12" i="15" a="1"/>
  <c r="M12" i="15" s="1"/>
  <c r="M11" i="15" a="1"/>
  <c r="M11" i="15" s="1"/>
  <c r="R11" i="15" s="1"/>
  <c r="M10" i="15" a="1"/>
  <c r="M10" i="15" s="1"/>
  <c r="M9" i="15" a="1"/>
  <c r="M9" i="15" s="1"/>
  <c r="M8" i="15" a="1"/>
  <c r="M8" i="15" s="1"/>
  <c r="M7" i="15" a="1"/>
  <c r="M7" i="15" s="1"/>
  <c r="M6" i="15" a="1"/>
  <c r="M6" i="15" s="1"/>
  <c r="R6" i="15" s="1"/>
  <c r="M5" i="15" a="1"/>
  <c r="M5" i="15" s="1"/>
  <c r="M4" i="15" a="1"/>
  <c r="M4" i="15" s="1"/>
  <c r="M3" i="15" a="1"/>
  <c r="M3" i="15" s="1"/>
  <c r="R3" i="15" s="1"/>
  <c r="J8" i="8" a="1"/>
  <c r="J8" i="8" s="1"/>
  <c r="J7" i="8" a="1"/>
  <c r="J7" i="8" s="1"/>
  <c r="J34" i="8" s="1"/>
  <c r="J6" i="8" a="1"/>
  <c r="J6" i="8" s="1"/>
  <c r="J5" i="8" a="1"/>
  <c r="J5" i="8" s="1"/>
  <c r="K4" i="8"/>
  <c r="K31" i="8" s="1"/>
  <c r="J4" i="8"/>
  <c r="J31" i="8" s="1"/>
  <c r="R15" i="15" l="1"/>
  <c r="S15" i="15" s="1"/>
  <c r="R14" i="15"/>
  <c r="S14" i="15" s="1"/>
  <c r="S17" i="15"/>
  <c r="R13" i="15"/>
  <c r="S13" i="15" s="1"/>
  <c r="S19" i="15"/>
  <c r="R8" i="15"/>
  <c r="S8" i="15" s="1"/>
  <c r="S22" i="15"/>
  <c r="R7" i="15"/>
  <c r="S7" i="15" s="1"/>
  <c r="S6" i="15"/>
  <c r="S28" i="15"/>
  <c r="R23" i="15"/>
  <c r="S23" i="15" s="1"/>
  <c r="S29" i="15"/>
  <c r="S31" i="15"/>
  <c r="R27" i="15"/>
  <c r="S27" i="15" s="1"/>
  <c r="R5" i="15"/>
  <c r="S5" i="15" s="1"/>
  <c r="S11" i="15"/>
  <c r="S34" i="15"/>
  <c r="S35" i="15"/>
  <c r="S16" i="15"/>
  <c r="R12" i="15"/>
  <c r="S12" i="15" s="1"/>
  <c r="S18" i="15"/>
  <c r="R33" i="15"/>
  <c r="S33" i="15" s="1"/>
  <c r="R32" i="15"/>
  <c r="S32" i="15" s="1"/>
  <c r="R10" i="15"/>
  <c r="S10" i="15" s="1"/>
  <c r="S20" i="15"/>
  <c r="R9" i="15"/>
  <c r="S9" i="15" s="1"/>
  <c r="S21" i="15"/>
  <c r="R30" i="15"/>
  <c r="S30" i="15" s="1"/>
  <c r="R29" i="15"/>
  <c r="S24" i="15"/>
  <c r="S25" i="15"/>
  <c r="R26" i="15"/>
  <c r="S26" i="15" s="1"/>
  <c r="R4" i="15"/>
  <c r="S4" i="15" s="1"/>
  <c r="S36" i="15"/>
  <c r="Z16" i="15" a="1"/>
  <c r="Z16" i="15" s="1"/>
  <c r="AB17" i="15" a="1"/>
  <c r="AB17" i="15" s="1"/>
  <c r="AA16" i="15" a="1"/>
  <c r="AA16" i="15" s="1"/>
  <c r="Y15" i="15" a="1"/>
  <c r="Y15" i="15" s="1"/>
  <c r="W14" i="15"/>
  <c r="X14" i="15"/>
  <c r="X16" i="15" a="1"/>
  <c r="X16" i="15" s="1"/>
  <c r="AB16" i="15" a="1"/>
  <c r="AB16" i="15" s="1"/>
  <c r="W17" i="15" a="1"/>
  <c r="W17" i="15" s="1"/>
  <c r="Y18" i="15" a="1"/>
  <c r="Y18" i="15" s="1"/>
  <c r="Z17" i="15" a="1"/>
  <c r="Z17" i="15" s="1"/>
  <c r="Z18" i="15" a="1"/>
  <c r="Z18" i="15" s="1"/>
  <c r="X15" i="15" a="1"/>
  <c r="X15" i="15" s="1"/>
  <c r="Y17" i="15" a="1"/>
  <c r="Y17" i="15" s="1"/>
  <c r="AA17" i="15" a="1"/>
  <c r="AA17" i="15" s="1"/>
  <c r="AB18" i="15" a="1"/>
  <c r="AB18" i="15" s="1"/>
  <c r="W18" i="15" a="1"/>
  <c r="W18" i="15" s="1"/>
  <c r="W20" i="15" s="1"/>
  <c r="AA15" i="15" a="1"/>
  <c r="AA15" i="15" s="1"/>
  <c r="X18" i="15" a="1"/>
  <c r="X18" i="15" s="1"/>
  <c r="W27" i="15"/>
  <c r="Y27" i="15"/>
  <c r="S3" i="15"/>
  <c r="L10" i="8"/>
  <c r="I10" i="8"/>
  <c r="K11" i="8"/>
  <c r="K38" i="8" s="1"/>
  <c r="M10" i="8"/>
  <c r="M37" i="8" s="1"/>
  <c r="K10" i="8"/>
  <c r="K37" i="8" s="1"/>
  <c r="L11" i="8"/>
  <c r="L38" i="8" s="1"/>
  <c r="M11" i="8"/>
  <c r="M38" i="8" s="1"/>
  <c r="L9" i="8"/>
  <c r="L36" i="8" s="1"/>
  <c r="M9" i="8"/>
  <c r="M36" i="8" s="1"/>
  <c r="K9" i="8"/>
  <c r="K36" i="8" s="1"/>
  <c r="I11" i="8"/>
  <c r="I38" i="8" s="1"/>
  <c r="H9" i="8"/>
  <c r="H36" i="8" s="1"/>
  <c r="I9" i="8"/>
  <c r="I36" i="8" s="1"/>
  <c r="H23" i="8"/>
  <c r="H35" i="8"/>
  <c r="H21" i="8"/>
  <c r="J9" i="8"/>
  <c r="J36" i="8" s="1"/>
  <c r="J32" i="8"/>
  <c r="J22" i="8"/>
  <c r="J23" i="8"/>
  <c r="J35" i="8"/>
  <c r="J21" i="8"/>
  <c r="J10" i="8"/>
  <c r="J37" i="8" s="1"/>
  <c r="I33" i="8"/>
  <c r="I20" i="8"/>
  <c r="L20" i="8"/>
  <c r="L33" i="8"/>
  <c r="H32" i="8"/>
  <c r="H22" i="8"/>
  <c r="M32" i="8"/>
  <c r="M22" i="8"/>
  <c r="M33" i="8"/>
  <c r="M20" i="8"/>
  <c r="K35" i="8"/>
  <c r="K21" i="8"/>
  <c r="K23" i="8"/>
  <c r="L35" i="8"/>
  <c r="L21" i="8"/>
  <c r="L37" i="8"/>
  <c r="L23" i="8"/>
  <c r="M35" i="8"/>
  <c r="M21" i="8"/>
  <c r="M23" i="8"/>
  <c r="I32" i="8"/>
  <c r="I22" i="8"/>
  <c r="J11" i="8"/>
  <c r="J38" i="8" s="1"/>
  <c r="K32" i="8"/>
  <c r="K22" i="8"/>
  <c r="L32" i="8"/>
  <c r="L22" i="8"/>
  <c r="H33" i="8"/>
  <c r="H20" i="8"/>
  <c r="J20" i="8"/>
  <c r="J33" i="8"/>
  <c r="I23" i="8"/>
  <c r="I35" i="8"/>
  <c r="I21" i="8"/>
  <c r="I37" i="8"/>
  <c r="K20" i="8"/>
  <c r="K33" i="8"/>
  <c r="O58" i="15" l="1"/>
  <c r="M58" i="15"/>
  <c r="N64" i="15"/>
  <c r="M64" i="15"/>
  <c r="P58" i="15"/>
  <c r="N58" i="15"/>
  <c r="M75" i="15"/>
  <c r="S75" i="15" s="1"/>
  <c r="P64" i="15"/>
  <c r="W29" i="15" s="1" a="1"/>
  <c r="W29" i="15" s="1"/>
  <c r="O64" i="15"/>
  <c r="P75" i="15"/>
  <c r="O75" i="15"/>
  <c r="N75" i="15"/>
  <c r="P56" i="15"/>
  <c r="N56" i="15"/>
  <c r="M56" i="15"/>
  <c r="O56" i="15"/>
  <c r="Y47" i="15"/>
  <c r="Y46" i="15"/>
  <c r="M72" i="15"/>
  <c r="S72" i="15" s="1"/>
  <c r="P72" i="15"/>
  <c r="O72" i="15"/>
  <c r="N72" i="15"/>
  <c r="N73" i="15"/>
  <c r="M73" i="15"/>
  <c r="S73" i="15" s="1"/>
  <c r="P73" i="15"/>
  <c r="O73" i="15"/>
  <c r="P74" i="15"/>
  <c r="M74" i="15"/>
  <c r="S74" i="15" s="1"/>
  <c r="O74" i="15"/>
  <c r="N74" i="15"/>
  <c r="N66" i="15"/>
  <c r="O57" i="15"/>
  <c r="M66" i="15"/>
  <c r="P57" i="15"/>
  <c r="N57" i="15"/>
  <c r="P66" i="15"/>
  <c r="M57" i="15"/>
  <c r="O66" i="15"/>
  <c r="P63" i="15"/>
  <c r="P55" i="15"/>
  <c r="Y28" i="15" s="1" a="1"/>
  <c r="Y28" i="15" s="1"/>
  <c r="O55" i="15"/>
  <c r="N63" i="15"/>
  <c r="M63" i="15"/>
  <c r="M55" i="15"/>
  <c r="O63" i="15"/>
  <c r="N55" i="15"/>
  <c r="P65" i="15"/>
  <c r="N59" i="15"/>
  <c r="M65" i="15"/>
  <c r="N65" i="15"/>
  <c r="O65" i="15"/>
  <c r="M59" i="15"/>
  <c r="P59" i="15"/>
  <c r="N71" i="15"/>
  <c r="O71" i="15"/>
  <c r="P71" i="15"/>
  <c r="O59" i="15"/>
  <c r="M71" i="15"/>
  <c r="S71" i="15" s="1"/>
  <c r="N76" i="15"/>
  <c r="S55" i="15"/>
  <c r="P77" i="15"/>
  <c r="P76" i="15"/>
  <c r="Q76" i="15" s="1"/>
  <c r="M76" i="15"/>
  <c r="S76" i="15" s="1"/>
  <c r="R75" i="15" a="1"/>
  <c r="R75" i="15" s="1"/>
  <c r="R73" i="15" a="1"/>
  <c r="R73" i="15" s="1"/>
  <c r="R63" i="15" a="1"/>
  <c r="R63" i="15" s="1"/>
  <c r="R77" i="15" a="1"/>
  <c r="R77" i="15" s="1"/>
  <c r="O77" i="15"/>
  <c r="N77" i="15"/>
  <c r="M77" i="15"/>
  <c r="R76" i="15" a="1"/>
  <c r="R76" i="15" s="1"/>
  <c r="O76" i="15"/>
  <c r="R74" i="15" a="1"/>
  <c r="R74" i="15" s="1"/>
  <c r="S65" i="15"/>
  <c r="S63" i="15"/>
  <c r="N60" i="15"/>
  <c r="S57" i="15"/>
  <c r="R72" i="15" a="1"/>
  <c r="R72" i="15" s="1"/>
  <c r="R71" i="15" a="1"/>
  <c r="R71" i="15" s="1"/>
  <c r="R68" i="15" a="1"/>
  <c r="R68" i="15" s="1"/>
  <c r="P68" i="15"/>
  <c r="O68" i="15"/>
  <c r="N68" i="15"/>
  <c r="M68" i="15"/>
  <c r="S67" i="15"/>
  <c r="R67" i="15" a="1"/>
  <c r="R67" i="15" s="1"/>
  <c r="P67" i="15"/>
  <c r="O67" i="15"/>
  <c r="M67" i="15"/>
  <c r="S66" i="15"/>
  <c r="R65" i="15" a="1"/>
  <c r="R65" i="15" s="1"/>
  <c r="P60" i="15"/>
  <c r="O60" i="15"/>
  <c r="M60" i="15"/>
  <c r="R59" i="15" a="1"/>
  <c r="R59" i="15" s="1"/>
  <c r="R58" i="15" a="1"/>
  <c r="R58" i="15" s="1"/>
  <c r="R55" i="15" a="1"/>
  <c r="R55" i="15" s="1"/>
  <c r="S64" i="15"/>
  <c r="R64" i="15" a="1"/>
  <c r="R64" i="15" s="1"/>
  <c r="S56" i="15"/>
  <c r="R56" i="15" a="1"/>
  <c r="R56" i="15" s="1"/>
  <c r="N67" i="15"/>
  <c r="R57" i="15" a="1"/>
  <c r="R57" i="15" s="1"/>
  <c r="S58" i="15"/>
  <c r="R66" i="15" a="1"/>
  <c r="R66" i="15" s="1"/>
  <c r="R60" i="15" a="1"/>
  <c r="R60" i="15" s="1"/>
  <c r="Y14" i="15"/>
  <c r="Z14" i="15"/>
  <c r="AA14" i="15"/>
  <c r="AB14" i="15"/>
  <c r="Y16" i="15" a="1"/>
  <c r="Y16" i="15" s="1"/>
  <c r="X17" i="15" a="1"/>
  <c r="X17" i="15" s="1"/>
  <c r="W15" i="15" a="1"/>
  <c r="W15" i="15" s="1"/>
  <c r="X21" i="15" s="1"/>
  <c r="X27" i="15"/>
  <c r="AA27" i="15"/>
  <c r="AB27" i="15"/>
  <c r="AA18" i="15" a="1"/>
  <c r="AA18" i="15" s="1"/>
  <c r="Z27" i="15"/>
  <c r="AB15" i="15" a="1"/>
  <c r="AB15" i="15" s="1"/>
  <c r="W16" i="15" a="1"/>
  <c r="W16" i="15" s="1"/>
  <c r="Z15" i="15" a="1"/>
  <c r="Z15" i="15" s="1"/>
  <c r="Y20" i="15"/>
  <c r="X20" i="15"/>
  <c r="Z20" i="15"/>
  <c r="X19" i="15"/>
  <c r="AA19" i="15"/>
  <c r="Y41" i="15"/>
  <c r="Y42" i="15"/>
  <c r="Y45" i="15" a="1"/>
  <c r="Y45" i="15" s="1"/>
  <c r="Y43" i="15"/>
  <c r="Y44" i="15"/>
  <c r="AA28" i="15" l="1" a="1"/>
  <c r="AA28" i="15" s="1"/>
  <c r="AA32" i="15" s="1"/>
  <c r="AA29" i="15" a="1"/>
  <c r="AA29" i="15" s="1"/>
  <c r="W31" i="15" a="1"/>
  <c r="W31" i="15" s="1"/>
  <c r="W33" i="15" s="1"/>
  <c r="Y30" i="15" a="1"/>
  <c r="Y30" i="15" s="1"/>
  <c r="Y29" i="15" a="1"/>
  <c r="Y29" i="15" s="1"/>
  <c r="Y32" i="15" s="1"/>
  <c r="X29" i="15" a="1"/>
  <c r="X29" i="15" s="1"/>
  <c r="W30" i="15" a="1"/>
  <c r="W30" i="15" s="1"/>
  <c r="Z28" i="15" a="1"/>
  <c r="Z28" i="15" s="1"/>
  <c r="X31" i="15" a="1"/>
  <c r="X31" i="15" s="1"/>
  <c r="X33" i="15" s="1"/>
  <c r="W28" i="15" a="1"/>
  <c r="W28" i="15" s="1"/>
  <c r="Z30" i="15" a="1"/>
  <c r="Z30" i="15" s="1"/>
  <c r="AA30" i="15" a="1"/>
  <c r="AA30" i="15" s="1"/>
  <c r="Y31" i="15" a="1"/>
  <c r="Y31" i="15" s="1"/>
  <c r="Z29" i="15" a="1"/>
  <c r="Z29" i="15" s="1"/>
  <c r="AA31" i="15" a="1"/>
  <c r="AA31" i="15" s="1"/>
  <c r="X30" i="15" a="1"/>
  <c r="X30" i="15" s="1"/>
  <c r="Q71" i="15"/>
  <c r="Q72" i="15"/>
  <c r="Q73" i="15"/>
  <c r="Q74" i="15"/>
  <c r="Q75" i="15"/>
  <c r="Q64" i="15"/>
  <c r="Q65" i="15"/>
  <c r="Q66" i="15"/>
  <c r="Q63" i="15"/>
  <c r="Q57" i="15"/>
  <c r="Q58" i="15"/>
  <c r="Q55" i="15"/>
  <c r="Q59" i="15"/>
  <c r="Q56" i="15"/>
  <c r="Q67" i="15"/>
  <c r="AB30" i="15" a="1"/>
  <c r="AB30" i="15" s="1"/>
  <c r="AB31" i="15" a="1"/>
  <c r="AB31" i="15" s="1"/>
  <c r="X28" i="15" a="1"/>
  <c r="X28" i="15" s="1"/>
  <c r="AB28" i="15" a="1"/>
  <c r="AB28" i="15" s="1"/>
  <c r="AB29" i="15" a="1"/>
  <c r="AB29" i="15" s="1"/>
  <c r="Z31" i="15" a="1"/>
  <c r="Z31" i="15" s="1"/>
  <c r="Y19" i="15"/>
  <c r="Y21" i="15"/>
  <c r="AB20" i="15"/>
  <c r="AA20" i="15"/>
  <c r="AB19" i="15"/>
  <c r="AB21" i="15"/>
  <c r="W21" i="15"/>
  <c r="W19" i="15"/>
  <c r="AA21" i="15"/>
  <c r="Z19" i="15"/>
  <c r="Z21" i="15"/>
  <c r="AB41" i="15"/>
  <c r="AA41" i="15"/>
  <c r="AB42" i="15"/>
  <c r="AA42" i="15"/>
  <c r="AB45" i="15"/>
  <c r="AA45" i="15"/>
  <c r="AB43" i="15"/>
  <c r="AA43" i="15"/>
  <c r="AB44" i="15"/>
  <c r="AA44" i="15"/>
  <c r="AB32" i="15" l="1"/>
  <c r="Y33" i="15"/>
  <c r="Z34" i="15"/>
  <c r="AB33" i="15"/>
  <c r="AB34" i="15"/>
  <c r="AA34" i="15"/>
  <c r="Z32" i="15"/>
  <c r="W34" i="15"/>
  <c r="W32" i="15"/>
  <c r="X34" i="15"/>
  <c r="X32" i="15"/>
  <c r="Y34" i="15"/>
  <c r="Z33" i="15"/>
  <c r="AA33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<sst xmlns="http://schemas.openxmlformats.org/spreadsheetml/2006/main" count="538" uniqueCount="163">
  <si>
    <t>순서</t>
    <phoneticPr fontId="3" type="noConversion"/>
  </si>
  <si>
    <t>연봉</t>
    <phoneticPr fontId="3" type="noConversion"/>
  </si>
  <si>
    <t>부장</t>
    <phoneticPr fontId="3" type="noConversion"/>
  </si>
  <si>
    <t>항목</t>
  </si>
  <si>
    <t>해당 인원</t>
  </si>
  <si>
    <t>차장</t>
    <phoneticPr fontId="3" type="noConversion"/>
  </si>
  <si>
    <t>최대값</t>
  </si>
  <si>
    <t>최소값</t>
  </si>
  <si>
    <t>과장</t>
    <phoneticPr fontId="3" type="noConversion"/>
  </si>
  <si>
    <t>평균값</t>
  </si>
  <si>
    <t>중위값</t>
  </si>
  <si>
    <t>대리</t>
    <phoneticPr fontId="3" type="noConversion"/>
  </si>
  <si>
    <t>임금폭(RANGESPREAD)</t>
  </si>
  <si>
    <t>상승폭(MIDPOINT)</t>
  </si>
  <si>
    <t>중복률(OVERLAP)</t>
  </si>
  <si>
    <t>&lt;그래프&gt;</t>
    <phoneticPr fontId="3" type="noConversion"/>
  </si>
  <si>
    <t>최소값</t>
    <phoneticPr fontId="3" type="noConversion"/>
  </si>
  <si>
    <t>하위폭</t>
    <phoneticPr fontId="3" type="noConversion"/>
  </si>
  <si>
    <t>상위폭</t>
    <phoneticPr fontId="3" type="noConversion"/>
  </si>
  <si>
    <t>중위값</t>
    <phoneticPr fontId="3" type="noConversion"/>
  </si>
  <si>
    <t>&lt;표&gt;</t>
    <phoneticPr fontId="3" type="noConversion"/>
  </si>
  <si>
    <t>금액 단위 변경</t>
    <phoneticPr fontId="3" type="noConversion"/>
  </si>
  <si>
    <t>항목</t>
    <phoneticPr fontId="3" type="noConversion"/>
  </si>
  <si>
    <t>임금폭</t>
  </si>
  <si>
    <t>상승폭</t>
    <phoneticPr fontId="3" type="noConversion"/>
  </si>
  <si>
    <t>-</t>
  </si>
  <si>
    <t>중복률</t>
    <phoneticPr fontId="3" type="noConversion"/>
  </si>
  <si>
    <t>주임</t>
    <phoneticPr fontId="3" type="noConversion"/>
  </si>
  <si>
    <t>G1</t>
    <phoneticPr fontId="3" type="noConversion"/>
  </si>
  <si>
    <t>G2</t>
    <phoneticPr fontId="3" type="noConversion"/>
  </si>
  <si>
    <t>G3</t>
    <phoneticPr fontId="3" type="noConversion"/>
  </si>
  <si>
    <t>G4</t>
    <phoneticPr fontId="3" type="noConversion"/>
  </si>
  <si>
    <t>G5</t>
    <phoneticPr fontId="3" type="noConversion"/>
  </si>
  <si>
    <t>G6</t>
    <phoneticPr fontId="3" type="noConversion"/>
  </si>
  <si>
    <t>이화형</t>
    <phoneticPr fontId="3" type="noConversion"/>
  </si>
  <si>
    <t>강전용</t>
    <phoneticPr fontId="3" type="noConversion"/>
  </si>
  <si>
    <t>김현민</t>
    <phoneticPr fontId="3" type="noConversion"/>
  </si>
  <si>
    <t>이일곤</t>
    <phoneticPr fontId="3" type="noConversion"/>
  </si>
  <si>
    <t>송헌영</t>
    <phoneticPr fontId="3" type="noConversion"/>
  </si>
  <si>
    <t>이재용</t>
    <phoneticPr fontId="3" type="noConversion"/>
  </si>
  <si>
    <t>이진행</t>
    <phoneticPr fontId="3" type="noConversion"/>
  </si>
  <si>
    <t>김민수</t>
    <phoneticPr fontId="3" type="noConversion"/>
  </si>
  <si>
    <t>박남식</t>
    <phoneticPr fontId="3" type="noConversion"/>
  </si>
  <si>
    <t>신재민</t>
    <phoneticPr fontId="3" type="noConversion"/>
  </si>
  <si>
    <t>마장엽</t>
    <phoneticPr fontId="3" type="noConversion"/>
  </si>
  <si>
    <t>하은주</t>
    <phoneticPr fontId="3" type="noConversion"/>
  </si>
  <si>
    <t>홍사훈</t>
    <phoneticPr fontId="3" type="noConversion"/>
  </si>
  <si>
    <t>유자영</t>
    <phoneticPr fontId="3" type="noConversion"/>
  </si>
  <si>
    <t>민지선</t>
    <phoneticPr fontId="3" type="noConversion"/>
  </si>
  <si>
    <t>장훈</t>
    <phoneticPr fontId="3" type="noConversion"/>
  </si>
  <si>
    <t>김우람</t>
    <phoneticPr fontId="3" type="noConversion"/>
  </si>
  <si>
    <t>조성준</t>
    <phoneticPr fontId="3" type="noConversion"/>
  </si>
  <si>
    <t>구서현</t>
    <phoneticPr fontId="3" type="noConversion"/>
  </si>
  <si>
    <t>박진용</t>
    <phoneticPr fontId="3" type="noConversion"/>
  </si>
  <si>
    <t>김가연</t>
    <phoneticPr fontId="3" type="noConversion"/>
  </si>
  <si>
    <t>한근수</t>
    <phoneticPr fontId="3" type="noConversion"/>
  </si>
  <si>
    <t>김성민</t>
    <phoneticPr fontId="3" type="noConversion"/>
  </si>
  <si>
    <t>고광우</t>
    <phoneticPr fontId="3" type="noConversion"/>
  </si>
  <si>
    <t>김성수</t>
    <phoneticPr fontId="3" type="noConversion"/>
  </si>
  <si>
    <t>박진희</t>
    <phoneticPr fontId="3" type="noConversion"/>
  </si>
  <si>
    <t>장은한</t>
    <phoneticPr fontId="3" type="noConversion"/>
  </si>
  <si>
    <t>김현수</t>
    <phoneticPr fontId="3" type="noConversion"/>
  </si>
  <si>
    <t>콜셍홍</t>
    <phoneticPr fontId="3" type="noConversion"/>
  </si>
  <si>
    <t>안성진</t>
    <phoneticPr fontId="3" type="noConversion"/>
  </si>
  <si>
    <t>이정일</t>
    <phoneticPr fontId="3" type="noConversion"/>
  </si>
  <si>
    <t>안재성</t>
    <phoneticPr fontId="3" type="noConversion"/>
  </si>
  <si>
    <t>유태석</t>
    <phoneticPr fontId="3" type="noConversion"/>
  </si>
  <si>
    <t>엄보근</t>
    <phoneticPr fontId="3" type="noConversion"/>
  </si>
  <si>
    <t>이름</t>
    <phoneticPr fontId="3" type="noConversion"/>
  </si>
  <si>
    <t>직군</t>
    <phoneticPr fontId="3" type="noConversion"/>
  </si>
  <si>
    <t>부서명</t>
    <phoneticPr fontId="3" type="noConversion"/>
  </si>
  <si>
    <t>스마트사업부</t>
    <phoneticPr fontId="3" type="noConversion"/>
  </si>
  <si>
    <t>R&amp;D 본부</t>
    <phoneticPr fontId="3" type="noConversion"/>
  </si>
  <si>
    <t>컨설틴본부</t>
    <phoneticPr fontId="3" type="noConversion"/>
  </si>
  <si>
    <t>경영전략실</t>
    <phoneticPr fontId="3" type="noConversion"/>
  </si>
  <si>
    <t>솔루션본부</t>
    <phoneticPr fontId="3" type="noConversion"/>
  </si>
  <si>
    <t>마케팅팀</t>
    <phoneticPr fontId="3" type="noConversion"/>
  </si>
  <si>
    <t>컨설팅본부</t>
    <phoneticPr fontId="3" type="noConversion"/>
  </si>
  <si>
    <t>영업</t>
    <phoneticPr fontId="3" type="noConversion"/>
  </si>
  <si>
    <t>연구&amp;개발</t>
    <phoneticPr fontId="3" type="noConversion"/>
  </si>
  <si>
    <t>설계</t>
    <phoneticPr fontId="3" type="noConversion"/>
  </si>
  <si>
    <t>경영관리</t>
    <phoneticPr fontId="3" type="noConversion"/>
  </si>
  <si>
    <t>교육 및 기술지원</t>
    <phoneticPr fontId="3" type="noConversion"/>
  </si>
  <si>
    <t>NO</t>
    <phoneticPr fontId="3" type="noConversion"/>
  </si>
  <si>
    <t>직급</t>
    <phoneticPr fontId="3" type="noConversion"/>
  </si>
  <si>
    <t>최소</t>
    <phoneticPr fontId="3" type="noConversion"/>
  </si>
  <si>
    <t>최대</t>
    <phoneticPr fontId="3" type="noConversion"/>
  </si>
  <si>
    <t>기존 직급</t>
    <phoneticPr fontId="3" type="noConversion"/>
  </si>
  <si>
    <t>전무</t>
    <phoneticPr fontId="3" type="noConversion"/>
  </si>
  <si>
    <t>상무</t>
    <phoneticPr fontId="3" type="noConversion"/>
  </si>
  <si>
    <t>이사</t>
    <phoneticPr fontId="3" type="noConversion"/>
  </si>
  <si>
    <t>사원</t>
    <phoneticPr fontId="3" type="noConversion"/>
  </si>
  <si>
    <t>역할급 직급</t>
    <phoneticPr fontId="3" type="noConversion"/>
  </si>
  <si>
    <t>비고</t>
    <phoneticPr fontId="3" type="noConversion"/>
  </si>
  <si>
    <t>기존 연봉</t>
    <phoneticPr fontId="3" type="noConversion"/>
  </si>
  <si>
    <t>기준인상률</t>
    <phoneticPr fontId="3" type="noConversion"/>
  </si>
  <si>
    <t>평가인상률</t>
    <phoneticPr fontId="3" type="noConversion"/>
  </si>
  <si>
    <t>평가등급</t>
    <phoneticPr fontId="3" type="noConversion"/>
  </si>
  <si>
    <t>승진여부</t>
    <phoneticPr fontId="3" type="noConversion"/>
  </si>
  <si>
    <t>승진인상률</t>
    <phoneticPr fontId="3" type="noConversion"/>
  </si>
  <si>
    <t>총 인상률</t>
    <phoneticPr fontId="3" type="noConversion"/>
  </si>
  <si>
    <t>인상 연봉(안)</t>
    <phoneticPr fontId="3" type="noConversion"/>
  </si>
  <si>
    <t>N</t>
    <phoneticPr fontId="3" type="noConversion"/>
  </si>
  <si>
    <t>연봉 확정안</t>
    <phoneticPr fontId="3" type="noConversion"/>
  </si>
  <si>
    <t>당해연도 임금 테이블</t>
    <phoneticPr fontId="3" type="noConversion"/>
  </si>
  <si>
    <t>차기년도 임금 테이블</t>
    <phoneticPr fontId="3" type="noConversion"/>
  </si>
  <si>
    <t>G1</t>
  </si>
  <si>
    <t>G3</t>
  </si>
  <si>
    <t>G4</t>
  </si>
  <si>
    <t>G5</t>
  </si>
  <si>
    <t>G6</t>
  </si>
  <si>
    <t>B</t>
    <phoneticPr fontId="3" type="noConversion"/>
  </si>
  <si>
    <t>G2</t>
  </si>
  <si>
    <t>하위폭</t>
  </si>
  <si>
    <t>상위폭</t>
  </si>
  <si>
    <t>임금 변경 요약</t>
  </si>
  <si>
    <t>당해연도</t>
  </si>
  <si>
    <t>차기년도</t>
  </si>
  <si>
    <t>변동액</t>
  </si>
  <si>
    <t>변동률</t>
  </si>
  <si>
    <t>인원수 (명)</t>
  </si>
  <si>
    <t>연봉 총계 (원)</t>
  </si>
  <si>
    <t>평균 연봉 (원)</t>
  </si>
  <si>
    <t>최대 연봉 (원)</t>
  </si>
  <si>
    <t>최소 연봉 (원)</t>
  </si>
  <si>
    <t>중위 연봉 (원)</t>
  </si>
  <si>
    <t>인상 인원 (명)</t>
  </si>
  <si>
    <t>평균 인상률 (%)</t>
  </si>
  <si>
    <t>당해연도 임금 현황</t>
    <phoneticPr fontId="3" type="noConversion"/>
  </si>
  <si>
    <t>2026년 페이밴드</t>
    <phoneticPr fontId="3" type="noConversion"/>
  </si>
  <si>
    <t>차기연도 임금 현황</t>
    <phoneticPr fontId="3" type="noConversion"/>
  </si>
  <si>
    <t>최대값</t>
    <phoneticPr fontId="3" type="noConversion"/>
  </si>
  <si>
    <t>그래프 반영 직급</t>
    <phoneticPr fontId="3" type="noConversion"/>
  </si>
  <si>
    <t>차년도 직급</t>
    <phoneticPr fontId="3" type="noConversion"/>
  </si>
  <si>
    <t>직군</t>
  </si>
  <si>
    <t>인원(명)</t>
  </si>
  <si>
    <t>경영관리</t>
  </si>
  <si>
    <t>교육 및 기술지원</t>
  </si>
  <si>
    <t>설계</t>
  </si>
  <si>
    <t>연구&amp;개발</t>
  </si>
  <si>
    <t>영업</t>
  </si>
  <si>
    <t>합계</t>
  </si>
  <si>
    <t>부서</t>
  </si>
  <si>
    <t>당해연도 임금 정보 요약</t>
  </si>
  <si>
    <t>차기연도 임금 정보 요약</t>
  </si>
  <si>
    <t>■ 부서별 임금 현황</t>
  </si>
  <si>
    <t>평균 연봉</t>
  </si>
  <si>
    <t>최대 연봉</t>
  </si>
  <si>
    <t>최소 연봉</t>
  </si>
  <si>
    <t>연봉 총계</t>
  </si>
  <si>
    <t>구성 비율</t>
  </si>
  <si>
    <t>중위 연봉</t>
  </si>
  <si>
    <t>최고직급</t>
  </si>
  <si>
    <t>경영전략실</t>
  </si>
  <si>
    <t>마케팅팀</t>
  </si>
  <si>
    <t>R&amp;D 본부</t>
  </si>
  <si>
    <t>솔루션본부</t>
  </si>
  <si>
    <t>■ 직군별 임금 현황</t>
  </si>
  <si>
    <t>주요 직급</t>
  </si>
  <si>
    <t>■ 직급별 임금 현황</t>
  </si>
  <si>
    <t>직급</t>
  </si>
  <si>
    <t>페이밴드적합</t>
  </si>
  <si>
    <t>컨설팅본부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</si>
</sst>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0"/>
      <color rgb="FFFFFF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FF00"/>
      <name val="나눔고딕"/>
      <family val="3"/>
      <charset val="129"/>
    </font>
    <font>
      <sz val="11"/>
      <color rgb="FF000000"/>
      <name val="나눔고딕"/>
      <family val="3"/>
      <charset val="129"/>
    </font>
    <font>
      <sz val="10"/>
      <color rgb="FF000000"/>
      <name val="나눔고딕"/>
      <family val="3"/>
      <charset val="129"/>
    </font>
    <font>
      <b/>
      <sz val="11"/>
      <color rgb="FFFFFF00"/>
      <name val="맑은 고딕"/>
      <family val="2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rgb="FF666666"/>
      <name val="맑은 고딕"/>
      <family val="2"/>
      <charset val="129"/>
      <scheme val="minor"/>
    </font>
    <font>
      <b/>
      <sz val="10"/>
      <color rgb="FF000000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1F386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auto="1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</cellStyleXfs>
  <cellXfs count="7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9" fontId="2" fillId="0" borderId="0" xfId="2" applyFont="1" applyAlignment="1">
      <alignment horizontal="center" vertical="center"/>
    </xf>
    <xf numFmtId="41" fontId="2" fillId="0" borderId="0" xfId="1" applyFont="1" applyAlignment="1">
      <alignment horizontal="center" vertical="center"/>
    </xf>
    <xf numFmtId="41" fontId="2" fillId="0" borderId="0" xfId="0" applyNumberFormat="1" applyFont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9" fontId="2" fillId="0" borderId="1" xfId="2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1" fontId="8" fillId="2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41" fontId="11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38" fontId="7" fillId="2" borderId="1" xfId="4" applyNumberFormat="1" applyFont="1" applyFill="1" applyBorder="1" applyAlignment="1">
      <alignment horizontal="center" vertical="center" wrapText="1"/>
    </xf>
    <xf numFmtId="41" fontId="7" fillId="2" borderId="1" xfId="1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vertical="center" wrapText="1"/>
    </xf>
    <xf numFmtId="41" fontId="8" fillId="2" borderId="1" xfId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41" fontId="2" fillId="2" borderId="1" xfId="0" applyNumberFormat="1" applyFont="1" applyFill="1" applyBorder="1" applyAlignment="1">
      <alignment horizontal="center" vertical="center"/>
    </xf>
    <xf numFmtId="41" fontId="2" fillId="2" borderId="0" xfId="1" applyFont="1" applyFill="1" applyAlignment="1">
      <alignment horizontal="center" vertical="center"/>
    </xf>
    <xf numFmtId="41" fontId="2" fillId="2" borderId="0" xfId="0" applyNumberFormat="1" applyFont="1" applyFill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0" fontId="6" fillId="3" borderId="5" xfId="0" applyFont="1" applyFill="1" applyBorder="1">
      <alignment vertical="center"/>
    </xf>
    <xf numFmtId="0" fontId="6" fillId="3" borderId="2" xfId="0" applyFont="1" applyFill="1" applyBorder="1">
      <alignment vertical="center"/>
    </xf>
    <xf numFmtId="0" fontId="6" fillId="3" borderId="4" xfId="0" applyFont="1" applyFill="1" applyBorder="1">
      <alignment vertical="center"/>
    </xf>
    <xf numFmtId="0" fontId="6" fillId="3" borderId="0" xfId="0" applyFont="1" applyFill="1">
      <alignment vertical="center"/>
    </xf>
    <xf numFmtId="0" fontId="6" fillId="3" borderId="6" xfId="0" applyFont="1" applyFill="1" applyBorder="1">
      <alignment vertical="center"/>
    </xf>
    <xf numFmtId="0" fontId="6" fillId="3" borderId="7" xfId="0" applyFont="1" applyFill="1" applyBorder="1">
      <alignment vertical="center"/>
    </xf>
    <xf numFmtId="0" fontId="6" fillId="3" borderId="3" xfId="0" applyFont="1" applyFill="1" applyBorder="1">
      <alignment vertical="center"/>
    </xf>
    <xf numFmtId="0" fontId="13" fillId="7" borderId="1" xfId="0" applyFont="1" applyFill="1" applyBorder="1" applyAlignment="1">
      <alignment horizontal="center" vertical="center"/>
    </xf>
    <xf numFmtId="3" fontId="13" fillId="7" borderId="1" xfId="1" applyNumberFormat="1" applyFont="1" applyFill="1" applyBorder="1" applyAlignment="1">
      <alignment horizontal="center" vertical="center"/>
    </xf>
    <xf numFmtId="176" fontId="13" fillId="7" borderId="1" xfId="2" applyNumberFormat="1" applyFont="1" applyFill="1" applyBorder="1" applyAlignment="1">
      <alignment horizontal="center" vertical="center"/>
    </xf>
    <xf numFmtId="176" fontId="13" fillId="7" borderId="1" xfId="0" applyNumberFormat="1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3" fontId="18" fillId="7" borderId="13" xfId="0" applyNumberFormat="1" applyFont="1" applyFill="1" applyBorder="1" applyAlignment="1">
      <alignment horizontal="center" vertical="center"/>
    </xf>
    <xf numFmtId="176" fontId="18" fillId="7" borderId="13" xfId="0" applyNumberFormat="1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center" vertical="center"/>
    </xf>
    <xf numFmtId="0" fontId="18" fillId="7" borderId="14" xfId="0" applyFont="1" applyFill="1" applyBorder="1" applyAlignment="1">
      <alignment horizontal="center" vertical="center"/>
    </xf>
    <xf numFmtId="0" fontId="19" fillId="7" borderId="14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center" vertical="center"/>
    </xf>
    <xf numFmtId="3" fontId="21" fillId="8" borderId="15" xfId="0" applyNumberFormat="1" applyFont="1" applyFill="1" applyBorder="1" applyAlignment="1">
      <alignment horizontal="center" vertical="center"/>
    </xf>
    <xf numFmtId="176" fontId="21" fillId="8" borderId="15" xfId="0" applyNumberFormat="1" applyFont="1" applyFill="1" applyBorder="1" applyAlignment="1">
      <alignment horizontal="center" vertical="center"/>
    </xf>
    <xf numFmtId="0" fontId="21" fillId="8" borderId="17" xfId="0" applyFont="1" applyFill="1" applyBorder="1">
      <alignment vertical="center"/>
    </xf>
    <xf numFmtId="0" fontId="18" fillId="6" borderId="10" xfId="0" applyFont="1" applyFill="1" applyBorder="1" applyAlignment="1">
      <alignment horizontal="center" vertical="center"/>
    </xf>
    <xf numFmtId="0" fontId="21" fillId="8" borderId="16" xfId="0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3" fontId="14" fillId="7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10" fontId="14" fillId="7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left" vertical="center"/>
    </xf>
    <xf numFmtId="0" fontId="0" fillId="0" borderId="0" xfId="0">
      <alignment vertical="center"/>
    </xf>
    <xf numFmtId="0" fontId="14" fillId="7" borderId="1" xfId="0" applyFont="1" applyFill="1" applyBorder="1" applyAlignment="1">
      <alignment horizontal="center" vertical="center"/>
    </xf>
    <xf numFmtId="10" fontId="14" fillId="7" borderId="1" xfId="0" applyNumberFormat="1" applyFont="1" applyFill="1" applyBorder="1" applyAlignment="1">
      <alignment horizontal="center" vertical="center"/>
    </xf>
    <xf numFmtId="3" fontId="14" fillId="7" borderId="1" xfId="0" applyNumberFormat="1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/>
    </xf>
    <xf numFmtId="0" fontId="15" fillId="9" borderId="9" xfId="0" applyFont="1" applyFill="1" applyBorder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</cellXfs>
  <cellStyles count="5">
    <cellStyle name="백분율" xfId="2" builtinId="5"/>
    <cellStyle name="쉼표 [0]" xfId="1" builtinId="6"/>
    <cellStyle name="표준" xfId="0" builtinId="0"/>
    <cellStyle name="표준 2" xfId="3" xr:uid="{B50E5934-6234-4C73-A263-CC9C6AABA32C}"/>
    <cellStyle name="표준 2 3" xfId="4" xr:uid="{08DFAEC0-F9A9-490B-BA94-E4B092F205BC}"/>
  </cellStyles>
  <dxfs count="4">
    <dxf>
      <font>
        <color rgb="FF006600"/>
      </font>
      <fill>
        <patternFill patternType="solid">
          <fgColor indexed="64"/>
          <bgColor rgb="FFCCFFCC"/>
        </patternFill>
      </fill>
    </dxf>
    <dxf>
      <font>
        <color rgb="FFCC0000"/>
      </font>
      <fill>
        <patternFill patternType="solid">
          <fgColor indexed="64"/>
          <bgColor rgb="FFFFCCCC"/>
        </patternFill>
      </fill>
    </dxf>
    <dxf>
      <font>
        <color rgb="FF006600"/>
      </font>
      <fill>
        <patternFill patternType="solid">
          <fgColor indexed="64"/>
          <bgColor rgb="FFCCFFCC"/>
        </patternFill>
      </fill>
    </dxf>
    <dxf>
      <font>
        <color rgb="FFCC0000"/>
      </font>
      <fill>
        <patternFill patternType="solid">
          <fgColor indexed="64"/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603634067292761"/>
          <c:y val="0.14512217089186843"/>
          <c:w val="0.88741361454804168"/>
          <c:h val="0.76136186172650777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'베이시스_임금 관리 시트'!$V$5</c:f>
              <c:strCache>
                <c:ptCount val="1"/>
                <c:pt idx="0">
                  <c:v>최소값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'베이시스_임금 관리 시트'!$W$3:$AB$3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'베이시스_임금 관리 시트'!$W$5:$AB$5</c:f>
              <c:numCache>
                <c:formatCode>_(* #,##0_);_(* \(#,##0\);_(* "-"_);_(@_)</c:formatCode>
                <c:ptCount val="6"/>
                <c:pt idx="0">
                  <c:v>33000000</c:v>
                </c:pt>
                <c:pt idx="1">
                  <c:v>36000000</c:v>
                </c:pt>
                <c:pt idx="2">
                  <c:v>42000000</c:v>
                </c:pt>
                <c:pt idx="3">
                  <c:v>49000000</c:v>
                </c:pt>
                <c:pt idx="4">
                  <c:v>53000000</c:v>
                </c:pt>
                <c:pt idx="5">
                  <c:v>58000000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D-40C0-B10C-C117BAE5647F}"/>
            </c:ext>
          </c:extLst>
        </c:ser>
        <c:ser>
          <c:idx val="2"/>
          <c:order val="1"/>
          <c:tx>
            <c:strRef>
              <c:f>'베이시스_임금 관리 시트'!$V$6</c:f>
              <c:strCache>
                <c:ptCount val="1"/>
                <c:pt idx="0">
                  <c:v>하위폭</c:v>
                </c:pt>
              </c:strCache>
            </c:strRef>
          </c:tx>
          <c:spPr>
            <a:pattFill prst="pct50">
              <a:fgClr>
                <a:schemeClr val="bg1">
                  <a:lumMod val="85000"/>
                </a:schemeClr>
              </a:fgClr>
              <a:bgClr>
                <a:schemeClr val="bg1"/>
              </a:bgClr>
            </a:pattFill>
            <a:ln w="12700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'베이시스_임금 관리 시트'!$W$3:$AB$3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'베이시스_임금 관리 시트'!$W$6:$AB$6</c:f>
              <c:numCache>
                <c:formatCode>_(* #,##0_);_(* \(#,##0\);_(* "-"_);_(@_)</c:formatCode>
                <c:ptCount val="6"/>
                <c:pt idx="0">
                  <c:v>5500000</c:v>
                </c:pt>
                <c:pt idx="1">
                  <c:v>6500000</c:v>
                </c:pt>
                <c:pt idx="2">
                  <c:v>7500000</c:v>
                </c:pt>
                <c:pt idx="3">
                  <c:v>8500000</c:v>
                </c:pt>
                <c:pt idx="4">
                  <c:v>10000000</c:v>
                </c:pt>
                <c:pt idx="5">
                  <c:v>11000000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DD-40C0-B10C-C117BAE5647F}"/>
            </c:ext>
          </c:extLst>
        </c:ser>
        <c:ser>
          <c:idx val="1"/>
          <c:order val="2"/>
          <c:tx>
            <c:strRef>
              <c:f>'베이시스_임금 관리 시트'!$V$7</c:f>
              <c:strCache>
                <c:ptCount val="1"/>
                <c:pt idx="0">
                  <c:v>상위폭</c:v>
                </c:pt>
              </c:strCache>
            </c:strRef>
          </c:tx>
          <c:spPr>
            <a:pattFill prst="wdDnDiag">
              <a:fgClr>
                <a:schemeClr val="accent1">
                  <a:lumMod val="20000"/>
                  <a:lumOff val="80000"/>
                </a:schemeClr>
              </a:fgClr>
              <a:bgClr>
                <a:schemeClr val="bg1"/>
              </a:bgClr>
            </a:pattFill>
            <a:ln w="12700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'베이시스_임금 관리 시트'!$W$3:$AB$3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'베이시스_임금 관리 시트'!$W$7:$AB$7</c:f>
              <c:numCache>
                <c:formatCode>_(* #,##0_);_(* \(#,##0\);_(* "-"_);_(@_)</c:formatCode>
                <c:ptCount val="6"/>
                <c:pt idx="0">
                  <c:v>5500000</c:v>
                </c:pt>
                <c:pt idx="1">
                  <c:v>6500000</c:v>
                </c:pt>
                <c:pt idx="2">
                  <c:v>7500000</c:v>
                </c:pt>
                <c:pt idx="3">
                  <c:v>8500000</c:v>
                </c:pt>
                <c:pt idx="4">
                  <c:v>10000000</c:v>
                </c:pt>
                <c:pt idx="5">
                  <c:v>11000000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DD-40C0-B10C-C117BAE56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1217664"/>
        <c:axId val="711218080"/>
      </c:barChart>
      <c:lineChart>
        <c:grouping val="standard"/>
        <c:varyColors val="0"/>
        <c:ser>
          <c:idx val="4"/>
          <c:order val="3"/>
          <c:tx>
            <c:strRef>
              <c:f>'베이시스_임금 관리 시트'!$V$8</c:f>
              <c:strCache>
                <c:ptCount val="1"/>
                <c:pt idx="0">
                  <c:v>중위값</c:v>
                </c:pt>
              </c:strCache>
            </c:strRef>
          </c:tx>
          <c:spPr>
            <a:ln w="15875" cap="rnd">
              <a:solidFill>
                <a:srgbClr val="FF0000">
                  <a:alpha val="4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'베이시스_임금 관리 시트'!$W$3:$AB$3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'베이시스_임금 관리 시트'!$W$8:$AB$8</c:f>
              <c:numCache>
                <c:formatCode>_(* #,##0_);_(* \(#,##0\);_(* "-"_);_(@_)</c:formatCode>
                <c:ptCount val="6"/>
                <c:pt idx="0">
                  <c:v>38500000</c:v>
                </c:pt>
                <c:pt idx="1">
                  <c:v>42500000</c:v>
                </c:pt>
                <c:pt idx="2">
                  <c:v>49500000</c:v>
                </c:pt>
                <c:pt idx="3">
                  <c:v>57500000</c:v>
                </c:pt>
                <c:pt idx="4">
                  <c:v>63000000</c:v>
                </c:pt>
                <c:pt idx="5">
                  <c:v>69000000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EDD-40C0-B10C-C117BAE56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003808"/>
        <c:axId val="1067990496"/>
      </c:lineChart>
      <c:scatterChart>
        <c:scatterStyle val="lineMarker"/>
        <c:varyColors val="0"/>
        <c:ser>
          <c:idx val="0"/>
          <c:order val="4"/>
          <c:tx>
            <c:strRef>
              <c:f>'베이시스_임금 관리 시트'!$H$2</c:f>
              <c:strCache>
                <c:ptCount val="1"/>
                <c:pt idx="0">
                  <c:v>기존 연봉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'베이시스_임금 관리 시트'!$G$3:$G$49</c:f>
              <c:numCache>
                <c:formatCode>General</c:formatCode>
                <c:ptCount val="47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7">
                  <c:v>4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xVal>
          <c:yVal>
            <c:numRef>
              <c:f>'베이시스_임금 관리 시트'!$H$3:$H$49</c:f>
              <c:numCache>
                <c:formatCode>_(* #,##0_);_(* \(#,##0\);_(* "-"_);_(@_)</c:formatCode>
                <c:ptCount val="47"/>
                <c:pt idx="0">
                  <c:v>72500000</c:v>
                </c:pt>
                <c:pt idx="1">
                  <c:v>68870000</c:v>
                </c:pt>
                <c:pt idx="2">
                  <c:v>67500000</c:v>
                </c:pt>
                <c:pt idx="3">
                  <c:v>64530000</c:v>
                </c:pt>
                <c:pt idx="4">
                  <c:v>65180000</c:v>
                </c:pt>
                <c:pt idx="5">
                  <c:v>62000000</c:v>
                </c:pt>
                <c:pt idx="6">
                  <c:v>59700000</c:v>
                </c:pt>
                <c:pt idx="7">
                  <c:v>59050000</c:v>
                </c:pt>
                <c:pt idx="8">
                  <c:v>59050000</c:v>
                </c:pt>
                <c:pt idx="9">
                  <c:v>59050000</c:v>
                </c:pt>
                <c:pt idx="10">
                  <c:v>57760000</c:v>
                </c:pt>
                <c:pt idx="11">
                  <c:v>57760000</c:v>
                </c:pt>
                <c:pt idx="12">
                  <c:v>58400000</c:v>
                </c:pt>
                <c:pt idx="13">
                  <c:v>56500000</c:v>
                </c:pt>
                <c:pt idx="14">
                  <c:v>53160000</c:v>
                </c:pt>
                <c:pt idx="15">
                  <c:v>53750000</c:v>
                </c:pt>
                <c:pt idx="16">
                  <c:v>49240000</c:v>
                </c:pt>
                <c:pt idx="17">
                  <c:v>48650000</c:v>
                </c:pt>
                <c:pt idx="18">
                  <c:v>47500000</c:v>
                </c:pt>
                <c:pt idx="19">
                  <c:v>43060000</c:v>
                </c:pt>
                <c:pt idx="20">
                  <c:v>42500000</c:v>
                </c:pt>
                <c:pt idx="21">
                  <c:v>42500000</c:v>
                </c:pt>
                <c:pt idx="22">
                  <c:v>42500000</c:v>
                </c:pt>
                <c:pt idx="23">
                  <c:v>42500000</c:v>
                </c:pt>
                <c:pt idx="24">
                  <c:v>42500000</c:v>
                </c:pt>
                <c:pt idx="25">
                  <c:v>34935000</c:v>
                </c:pt>
                <c:pt idx="26">
                  <c:v>35000000</c:v>
                </c:pt>
                <c:pt idx="27">
                  <c:v>36000000</c:v>
                </c:pt>
                <c:pt idx="28">
                  <c:v>36000000</c:v>
                </c:pt>
                <c:pt idx="29">
                  <c:v>36540000</c:v>
                </c:pt>
                <c:pt idx="30">
                  <c:v>37090000</c:v>
                </c:pt>
                <c:pt idx="31">
                  <c:v>32000000</c:v>
                </c:pt>
                <c:pt idx="32">
                  <c:v>32000000</c:v>
                </c:pt>
                <c:pt idx="33">
                  <c:v>32000000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EDD-40C0-B10C-C117BAE56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003808"/>
        <c:axId val="1067990496"/>
      </c:scatterChart>
      <c:catAx>
        <c:axId val="71121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1218080"/>
        <c:crosses val="autoZero"/>
        <c:auto val="1"/>
        <c:lblAlgn val="ctr"/>
        <c:lblOffset val="100"/>
        <c:tickMarkSkip val="1"/>
        <c:noMultiLvlLbl val="0"/>
      </c:catAx>
      <c:valAx>
        <c:axId val="711218080"/>
        <c:scaling>
          <c:orientation val="minMax"/>
          <c:min val="30000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1217664"/>
        <c:crosses val="autoZero"/>
        <c:crossBetween val="between"/>
        <c:majorUnit val="20000000"/>
        <c:dispUnits>
          <c:builtInUnit val="thousands"/>
        </c:dispUnits>
      </c:valAx>
      <c:valAx>
        <c:axId val="1067990496"/>
        <c:scaling>
          <c:orientation val="minMax"/>
        </c:scaling>
        <c:delete val="1"/>
        <c:axPos val="r"/>
        <c:numFmt formatCode="_(* #,##0_);_(* \(#,##0\);_(* &quot;-&quot;_);_(@_)" sourceLinked="1"/>
        <c:majorTickMark val="out"/>
        <c:minorTickMark val="none"/>
        <c:tickLblPos val="nextTo"/>
        <c:crossAx val="1068003808"/>
        <c:crosses val="max"/>
        <c:crossBetween val="between"/>
      </c:valAx>
      <c:catAx>
        <c:axId val="106800380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67990496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24614290586334367"/>
          <c:y val="2.9854126157581987E-2"/>
          <c:w val="0.4774911906198559"/>
          <c:h val="7.978645242820263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603634067292761"/>
          <c:y val="0.14512217089186843"/>
          <c:w val="0.88741361454804168"/>
          <c:h val="0.76136186172650777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'베이시스_임금 관리 시트'!$V$5</c:f>
              <c:strCache>
                <c:ptCount val="1"/>
                <c:pt idx="0">
                  <c:v>최소값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'베이시스_임금 관리 시트'!$W$3:$AB$3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'베이시스_임금 관리 시트'!$W$5:$AB$5</c:f>
              <c:numCache>
                <c:formatCode>_(* #,##0_);_(* \(#,##0\);_(* "-"_);_(@_)</c:formatCode>
                <c:ptCount val="6"/>
                <c:pt idx="0">
                  <c:v>33000000</c:v>
                </c:pt>
                <c:pt idx="1">
                  <c:v>36000000</c:v>
                </c:pt>
                <c:pt idx="2">
                  <c:v>42000000</c:v>
                </c:pt>
                <c:pt idx="3">
                  <c:v>49000000</c:v>
                </c:pt>
                <c:pt idx="4">
                  <c:v>53000000</c:v>
                </c:pt>
                <c:pt idx="5">
                  <c:v>58000000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5-4FE8-8AC1-4E6313751A5D}"/>
            </c:ext>
          </c:extLst>
        </c:ser>
        <c:ser>
          <c:idx val="2"/>
          <c:order val="1"/>
          <c:tx>
            <c:strRef>
              <c:f>'베이시스_임금 관리 시트'!$V$6</c:f>
              <c:strCache>
                <c:ptCount val="1"/>
                <c:pt idx="0">
                  <c:v>하위폭</c:v>
                </c:pt>
              </c:strCache>
            </c:strRef>
          </c:tx>
          <c:spPr>
            <a:pattFill prst="pct50">
              <a:fgClr>
                <a:schemeClr val="bg1">
                  <a:lumMod val="85000"/>
                </a:schemeClr>
              </a:fgClr>
              <a:bgClr>
                <a:schemeClr val="bg1"/>
              </a:bgClr>
            </a:pattFill>
            <a:ln w="12700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'베이시스_임금 관리 시트'!$W$3:$AB$3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'베이시스_임금 관리 시트'!$W$6:$AB$6</c:f>
              <c:numCache>
                <c:formatCode>_(* #,##0_);_(* \(#,##0\);_(* "-"_);_(@_)</c:formatCode>
                <c:ptCount val="6"/>
                <c:pt idx="0">
                  <c:v>5500000</c:v>
                </c:pt>
                <c:pt idx="1">
                  <c:v>6500000</c:v>
                </c:pt>
                <c:pt idx="2">
                  <c:v>7500000</c:v>
                </c:pt>
                <c:pt idx="3">
                  <c:v>8500000</c:v>
                </c:pt>
                <c:pt idx="4">
                  <c:v>10000000</c:v>
                </c:pt>
                <c:pt idx="5">
                  <c:v>11000000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E5-4FE8-8AC1-4E6313751A5D}"/>
            </c:ext>
          </c:extLst>
        </c:ser>
        <c:ser>
          <c:idx val="1"/>
          <c:order val="2"/>
          <c:tx>
            <c:strRef>
              <c:f>'베이시스_임금 관리 시트'!$V$7</c:f>
              <c:strCache>
                <c:ptCount val="1"/>
                <c:pt idx="0">
                  <c:v>상위폭</c:v>
                </c:pt>
              </c:strCache>
            </c:strRef>
          </c:tx>
          <c:spPr>
            <a:pattFill prst="wdDnDiag">
              <a:fgClr>
                <a:schemeClr val="accent1">
                  <a:lumMod val="20000"/>
                  <a:lumOff val="80000"/>
                </a:schemeClr>
              </a:fgClr>
              <a:bgClr>
                <a:schemeClr val="bg1"/>
              </a:bgClr>
            </a:pattFill>
            <a:ln w="12700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'베이시스_임금 관리 시트'!$W$3:$AB$3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'베이시스_임금 관리 시트'!$W$7:$AB$7</c:f>
              <c:numCache>
                <c:formatCode>_(* #,##0_);_(* \(#,##0\);_(* "-"_);_(@_)</c:formatCode>
                <c:ptCount val="6"/>
                <c:pt idx="0">
                  <c:v>5500000</c:v>
                </c:pt>
                <c:pt idx="1">
                  <c:v>6500000</c:v>
                </c:pt>
                <c:pt idx="2">
                  <c:v>7500000</c:v>
                </c:pt>
                <c:pt idx="3">
                  <c:v>8500000</c:v>
                </c:pt>
                <c:pt idx="4">
                  <c:v>10000000</c:v>
                </c:pt>
                <c:pt idx="5">
                  <c:v>11000000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E5-4FE8-8AC1-4E6313751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1217664"/>
        <c:axId val="711218080"/>
      </c:barChart>
      <c:lineChart>
        <c:grouping val="standard"/>
        <c:varyColors val="0"/>
        <c:ser>
          <c:idx val="4"/>
          <c:order val="3"/>
          <c:tx>
            <c:strRef>
              <c:f>'베이시스_임금 관리 시트'!$V$8</c:f>
              <c:strCache>
                <c:ptCount val="1"/>
                <c:pt idx="0">
                  <c:v>중위값</c:v>
                </c:pt>
              </c:strCache>
            </c:strRef>
          </c:tx>
          <c:spPr>
            <a:ln w="15875" cap="rnd">
              <a:solidFill>
                <a:srgbClr val="FF0000">
                  <a:alpha val="4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'베이시스_임금 관리 시트'!$W$3:$AB$3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'베이시스_임금 관리 시트'!$W$8:$AB$8</c:f>
              <c:numCache>
                <c:formatCode>_(* #,##0_);_(* \(#,##0\);_(* "-"_);_(@_)</c:formatCode>
                <c:ptCount val="6"/>
                <c:pt idx="0">
                  <c:v>38500000</c:v>
                </c:pt>
                <c:pt idx="1">
                  <c:v>42500000</c:v>
                </c:pt>
                <c:pt idx="2">
                  <c:v>49500000</c:v>
                </c:pt>
                <c:pt idx="3">
                  <c:v>57500000</c:v>
                </c:pt>
                <c:pt idx="4">
                  <c:v>63000000</c:v>
                </c:pt>
                <c:pt idx="5">
                  <c:v>69000000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DE5-4FE8-8AC1-4E6313751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003808"/>
        <c:axId val="1067990496"/>
      </c:lineChart>
      <c:scatterChart>
        <c:scatterStyle val="lineMarker"/>
        <c:varyColors val="0"/>
        <c:ser>
          <c:idx val="0"/>
          <c:order val="4"/>
          <c:tx>
            <c:strRef>
              <c:f>'베이시스_임금 관리 시트'!$S$2</c:f>
              <c:strCache>
                <c:ptCount val="1"/>
                <c:pt idx="0">
                  <c:v>인상 연봉(안)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'베이시스_임금 관리 시트'!$Q$3:$Q$49</c:f>
              <c:numCache>
                <c:formatCode>General</c:formatCode>
                <c:ptCount val="47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7">
                  <c:v>4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xVal>
          <c:yVal>
            <c:numRef>
              <c:f>'베이시스_임금 관리 시트'!$S$3:$S$49</c:f>
              <c:numCache>
                <c:formatCode>_(* #,##0_);_(* \(#,##0\);_(* "-"_);_(@_)</c:formatCode>
                <c:ptCount val="47"/>
                <c:pt idx="0">
                  <c:v>75400000</c:v>
                </c:pt>
                <c:pt idx="1">
                  <c:v>71620000</c:v>
                </c:pt>
                <c:pt idx="2">
                  <c:v>70200000</c:v>
                </c:pt>
                <c:pt idx="3">
                  <c:v>67110000</c:v>
                </c:pt>
                <c:pt idx="4">
                  <c:v>67790000</c:v>
                </c:pt>
                <c:pt idx="5">
                  <c:v>64480000</c:v>
                </c:pt>
                <c:pt idx="6">
                  <c:v>62090000</c:v>
                </c:pt>
                <c:pt idx="7">
                  <c:v>61410000</c:v>
                </c:pt>
                <c:pt idx="8">
                  <c:v>61410000</c:v>
                </c:pt>
                <c:pt idx="9">
                  <c:v>61410000</c:v>
                </c:pt>
                <c:pt idx="10">
                  <c:v>60070000</c:v>
                </c:pt>
                <c:pt idx="11">
                  <c:v>60070000</c:v>
                </c:pt>
                <c:pt idx="12">
                  <c:v>60740000</c:v>
                </c:pt>
                <c:pt idx="13">
                  <c:v>58760000</c:v>
                </c:pt>
                <c:pt idx="14">
                  <c:v>55290000</c:v>
                </c:pt>
                <c:pt idx="15">
                  <c:v>55900000</c:v>
                </c:pt>
                <c:pt idx="16">
                  <c:v>51210000</c:v>
                </c:pt>
                <c:pt idx="17">
                  <c:v>50600000</c:v>
                </c:pt>
                <c:pt idx="18">
                  <c:v>49400000</c:v>
                </c:pt>
                <c:pt idx="19">
                  <c:v>44780000</c:v>
                </c:pt>
                <c:pt idx="20">
                  <c:v>44200000</c:v>
                </c:pt>
                <c:pt idx="21">
                  <c:v>44200000</c:v>
                </c:pt>
                <c:pt idx="22">
                  <c:v>44200000</c:v>
                </c:pt>
                <c:pt idx="23">
                  <c:v>44200000</c:v>
                </c:pt>
                <c:pt idx="24">
                  <c:v>44200000</c:v>
                </c:pt>
                <c:pt idx="25">
                  <c:v>36330000</c:v>
                </c:pt>
                <c:pt idx="26">
                  <c:v>36400000</c:v>
                </c:pt>
                <c:pt idx="27">
                  <c:v>37440000</c:v>
                </c:pt>
                <c:pt idx="28">
                  <c:v>37440000</c:v>
                </c:pt>
                <c:pt idx="29">
                  <c:v>38000000</c:v>
                </c:pt>
                <c:pt idx="30">
                  <c:v>38570000</c:v>
                </c:pt>
                <c:pt idx="31">
                  <c:v>33280000</c:v>
                </c:pt>
                <c:pt idx="32">
                  <c:v>33280000</c:v>
                </c:pt>
                <c:pt idx="33">
                  <c:v>33280000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E5-4FE8-8AC1-4E6313751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003808"/>
        <c:axId val="1067990496"/>
      </c:scatterChart>
      <c:catAx>
        <c:axId val="71121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1218080"/>
        <c:crosses val="autoZero"/>
        <c:auto val="1"/>
        <c:lblAlgn val="ctr"/>
        <c:lblOffset val="100"/>
        <c:tickMarkSkip val="1"/>
        <c:noMultiLvlLbl val="0"/>
      </c:catAx>
      <c:valAx>
        <c:axId val="711218080"/>
        <c:scaling>
          <c:orientation val="minMax"/>
          <c:min val="30000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1217664"/>
        <c:crosses val="autoZero"/>
        <c:crossBetween val="between"/>
        <c:majorUnit val="20000000"/>
        <c:dispUnits>
          <c:builtInUnit val="thousands"/>
        </c:dispUnits>
      </c:valAx>
      <c:valAx>
        <c:axId val="1067990496"/>
        <c:scaling>
          <c:orientation val="minMax"/>
        </c:scaling>
        <c:delete val="1"/>
        <c:axPos val="r"/>
        <c:numFmt formatCode="_(* #,##0_);_(* \(#,##0\);_(* &quot;-&quot;_);_(@_)" sourceLinked="1"/>
        <c:majorTickMark val="out"/>
        <c:minorTickMark val="none"/>
        <c:tickLblPos val="nextTo"/>
        <c:crossAx val="1068003808"/>
        <c:crosses val="max"/>
        <c:crossBetween val="between"/>
      </c:valAx>
      <c:catAx>
        <c:axId val="106800380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67990496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24614290586334367"/>
          <c:y val="2.9854126157581987E-2"/>
          <c:w val="0.4774911906198559"/>
          <c:h val="7.978645242820263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603634067292761"/>
          <c:y val="0.14512217089186843"/>
          <c:w val="0.88741361454804168"/>
          <c:h val="0.76136186172650777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'베이시스_2026년 페이밴드 설계_시트'!$G$20</c:f>
              <c:strCache>
                <c:ptCount val="1"/>
                <c:pt idx="0">
                  <c:v>최소값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'베이시스_2026년 페이밴드 설계_시트'!$H$18:$M$18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'베이시스_2026년 페이밴드 설계_시트'!$H$20:$M$20</c:f>
              <c:numCache>
                <c:formatCode>_(* #,##0_);_(* \(#,##0\);_(* "-"_);_(@_)</c:formatCode>
                <c:ptCount val="6"/>
                <c:pt idx="0">
                  <c:v>33000000</c:v>
                </c:pt>
                <c:pt idx="1">
                  <c:v>36000000</c:v>
                </c:pt>
                <c:pt idx="2">
                  <c:v>42000000</c:v>
                </c:pt>
                <c:pt idx="3">
                  <c:v>49000000</c:v>
                </c:pt>
                <c:pt idx="4">
                  <c:v>53000000</c:v>
                </c:pt>
                <c:pt idx="5">
                  <c:v>58000000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8-4C7F-93EF-E4AA448F1952}"/>
            </c:ext>
          </c:extLst>
        </c:ser>
        <c:ser>
          <c:idx val="2"/>
          <c:order val="1"/>
          <c:tx>
            <c:strRef>
              <c:f>'베이시스_2026년 페이밴드 설계_시트'!$G$21</c:f>
              <c:strCache>
                <c:ptCount val="1"/>
                <c:pt idx="0">
                  <c:v>하위폭</c:v>
                </c:pt>
              </c:strCache>
            </c:strRef>
          </c:tx>
          <c:spPr>
            <a:pattFill prst="pct50">
              <a:fgClr>
                <a:schemeClr val="bg1">
                  <a:lumMod val="85000"/>
                </a:schemeClr>
              </a:fgClr>
              <a:bgClr>
                <a:schemeClr val="bg1"/>
              </a:bgClr>
            </a:pattFill>
            <a:ln w="12700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'베이시스_2026년 페이밴드 설계_시트'!$H$18:$M$18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'베이시스_2026년 페이밴드 설계_시트'!$H$21:$M$21</c:f>
              <c:numCache>
                <c:formatCode>_(* #,##0_);_(* \(#,##0\);_(* "-"_);_(@_)</c:formatCode>
                <c:ptCount val="6"/>
                <c:pt idx="0">
                  <c:v>5500000</c:v>
                </c:pt>
                <c:pt idx="1">
                  <c:v>6500000</c:v>
                </c:pt>
                <c:pt idx="2">
                  <c:v>7500000</c:v>
                </c:pt>
                <c:pt idx="3">
                  <c:v>8500000</c:v>
                </c:pt>
                <c:pt idx="4">
                  <c:v>10000000</c:v>
                </c:pt>
                <c:pt idx="5">
                  <c:v>11000000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B8-4C7F-93EF-E4AA448F1952}"/>
            </c:ext>
          </c:extLst>
        </c:ser>
        <c:ser>
          <c:idx val="1"/>
          <c:order val="2"/>
          <c:tx>
            <c:strRef>
              <c:f>'베이시스_2026년 페이밴드 설계_시트'!$G$22</c:f>
              <c:strCache>
                <c:ptCount val="1"/>
                <c:pt idx="0">
                  <c:v>상위폭</c:v>
                </c:pt>
              </c:strCache>
            </c:strRef>
          </c:tx>
          <c:spPr>
            <a:pattFill prst="wdDnDiag">
              <a:fgClr>
                <a:schemeClr val="accent1">
                  <a:lumMod val="20000"/>
                  <a:lumOff val="80000"/>
                </a:schemeClr>
              </a:fgClr>
              <a:bgClr>
                <a:schemeClr val="bg1"/>
              </a:bgClr>
            </a:pattFill>
            <a:ln w="12700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'베이시스_2026년 페이밴드 설계_시트'!$H$18:$M$18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'베이시스_2026년 페이밴드 설계_시트'!$H$22:$M$22</c:f>
              <c:numCache>
                <c:formatCode>_(* #,##0_);_(* \(#,##0\);_(* "-"_);_(@_)</c:formatCode>
                <c:ptCount val="6"/>
                <c:pt idx="0">
                  <c:v>5500000</c:v>
                </c:pt>
                <c:pt idx="1">
                  <c:v>6500000</c:v>
                </c:pt>
                <c:pt idx="2">
                  <c:v>7500000</c:v>
                </c:pt>
                <c:pt idx="3">
                  <c:v>8500000</c:v>
                </c:pt>
                <c:pt idx="4">
                  <c:v>10000000</c:v>
                </c:pt>
                <c:pt idx="5">
                  <c:v>11000000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B8-4C7F-93EF-E4AA448F1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1217664"/>
        <c:axId val="711218080"/>
      </c:barChart>
      <c:lineChart>
        <c:grouping val="standard"/>
        <c:varyColors val="0"/>
        <c:ser>
          <c:idx val="4"/>
          <c:order val="3"/>
          <c:tx>
            <c:strRef>
              <c:f>'베이시스_2026년 페이밴드 설계_시트'!$G$23</c:f>
              <c:strCache>
                <c:ptCount val="1"/>
                <c:pt idx="0">
                  <c:v>중위값</c:v>
                </c:pt>
              </c:strCache>
            </c:strRef>
          </c:tx>
          <c:spPr>
            <a:ln w="15875" cap="rnd">
              <a:solidFill>
                <a:srgbClr val="FF0000">
                  <a:alpha val="40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'베이시스_2026년 페이밴드 설계_시트'!$H$18:$M$18</c:f>
              <c:strCache>
                <c:ptCount val="6"/>
                <c:pt idx="0">
                  <c:v>G1</c:v>
                </c:pt>
                <c:pt idx="1">
                  <c:v>G2</c:v>
                </c:pt>
                <c:pt idx="2">
                  <c:v>G3</c:v>
                </c:pt>
                <c:pt idx="3">
                  <c:v>G4</c:v>
                </c:pt>
                <c:pt idx="4">
                  <c:v>G5</c:v>
                </c:pt>
                <c:pt idx="5">
                  <c:v>G6</c:v>
                </c:pt>
              </c:strCache>
            </c:strRef>
          </c:cat>
          <c:val>
            <c:numRef>
              <c:f>'베이시스_2026년 페이밴드 설계_시트'!$H$23:$M$23</c:f>
              <c:numCache>
                <c:formatCode>_(* #,##0_);_(* \(#,##0\);_(* "-"_);_(@_)</c:formatCode>
                <c:ptCount val="6"/>
                <c:pt idx="0">
                  <c:v>38500000</c:v>
                </c:pt>
                <c:pt idx="1">
                  <c:v>42500000</c:v>
                </c:pt>
                <c:pt idx="2">
                  <c:v>49500000</c:v>
                </c:pt>
                <c:pt idx="3">
                  <c:v>57500000</c:v>
                </c:pt>
                <c:pt idx="4">
                  <c:v>63000000</c:v>
                </c:pt>
                <c:pt idx="5">
                  <c:v>69000000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4B8-4C7F-93EF-E4AA448F1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003808"/>
        <c:axId val="1067990496"/>
      </c:lineChart>
      <c:catAx>
        <c:axId val="71121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1218080"/>
        <c:crosses val="autoZero"/>
        <c:auto val="1"/>
        <c:lblAlgn val="ctr"/>
        <c:lblOffset val="100"/>
        <c:tickMarkSkip val="1"/>
        <c:noMultiLvlLbl val="0"/>
      </c:catAx>
      <c:valAx>
        <c:axId val="711218080"/>
        <c:scaling>
          <c:orientation val="minMax"/>
          <c:min val="30000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1217664"/>
        <c:crosses val="autoZero"/>
        <c:crossBetween val="between"/>
        <c:majorUnit val="20000000"/>
        <c:dispUnits>
          <c:builtInUnit val="thousands"/>
        </c:dispUnits>
      </c:valAx>
      <c:valAx>
        <c:axId val="1067990496"/>
        <c:scaling>
          <c:orientation val="minMax"/>
        </c:scaling>
        <c:delete val="1"/>
        <c:axPos val="r"/>
        <c:numFmt formatCode="_(* #,##0_);_(* \(#,##0\);_(* &quot;-&quot;_);_(@_)" sourceLinked="1"/>
        <c:majorTickMark val="out"/>
        <c:minorTickMark val="none"/>
        <c:tickLblPos val="nextTo"/>
        <c:crossAx val="1068003808"/>
        <c:crosses val="max"/>
        <c:crossBetween val="between"/>
      </c:valAx>
      <c:catAx>
        <c:axId val="106800380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67990496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24614290586334367"/>
          <c:y val="2.9854126157581987E-2"/>
          <c:w val="0.4774911906198559"/>
          <c:h val="7.978645242820263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428384</xdr:colOff>
      <xdr:row>2</xdr:row>
      <xdr:rowOff>54427</xdr:rowOff>
    </xdr:from>
    <xdr:to>
      <xdr:col>38</xdr:col>
      <xdr:colOff>306610</xdr:colOff>
      <xdr:row>28</xdr:row>
      <xdr:rowOff>147641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11E8850-660B-407B-A612-EF05C7F49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0</xdr:colOff>
      <xdr:row>31</xdr:row>
      <xdr:rowOff>54429</xdr:rowOff>
    </xdr:from>
    <xdr:to>
      <xdr:col>38</xdr:col>
      <xdr:colOff>313654</xdr:colOff>
      <xdr:row>59</xdr:row>
      <xdr:rowOff>11571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478B842-3A10-4806-85E7-D0E23BE2D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86589</xdr:colOff>
      <xdr:row>16</xdr:row>
      <xdr:rowOff>161345</xdr:rowOff>
    </xdr:from>
    <xdr:to>
      <xdr:col>24</xdr:col>
      <xdr:colOff>218589</xdr:colOff>
      <xdr:row>43</xdr:row>
      <xdr:rowOff>55214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3F655E7-01FD-4238-A1EA-431AA4E82A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&#44428;&#48120;&#44221;/Desktop/&#49688;&#54665;&#44592;&#50629;/(3)&#49457;&#44221;&#49885;&#54408;/1.&#51228;&#46020;&#49444;&#44228;/&#51064;&#49324;&#44288;&#47532;_2020_05.26.xlsx" TargetMode="External"/><Relationship Id="rId1" Type="http://schemas.openxmlformats.org/officeDocument/2006/relationships/externalLinkPath" Target="/Users/&#44428;&#48120;&#44221;/Desktop/&#49688;&#54665;&#44592;&#50629;/(3)&#49457;&#44221;&#49885;&#54408;/1.&#51228;&#46020;&#49444;&#44228;/&#51064;&#49324;&#44288;&#47532;_2020_05.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PC/Downloads/&#54168;&#51060;&#48180;&#46300;_&#50577;&#49885;.xlsx" TargetMode="External"/><Relationship Id="rId2" Type="http://schemas.openxmlformats.org/officeDocument/2006/relationships/externalLinkPath" Target="file:///C:\Users\PC\Downloads\&#54168;&#51060;&#48180;&#46300;_&#50577;&#49885;.xlsx" TargetMode="External"/><Relationship Id="rId1" Type="http://schemas.openxmlformats.org/officeDocument/2006/relationships/externalLinkPath" Target="/Users/PC/Downloads/&#54168;&#51060;&#48180;&#46300;_&#50577;&#498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임금구성"/>
      <sheetName val="자격수당"/>
      <sheetName val="인사기록카드"/>
      <sheetName val="연봉계약서"/>
      <sheetName val="시급계약서"/>
      <sheetName val="소득세감면명세서"/>
      <sheetName val="인사관리현황"/>
      <sheetName val="시급"/>
      <sheetName val="인력현황가공"/>
      <sheetName val="인사관리현황_수정"/>
      <sheetName val="연봉"/>
      <sheetName val="연봉계산"/>
    </sheetNames>
    <sheetDataSet>
      <sheetData sheetId="0"/>
      <sheetData sheetId="1"/>
      <sheetData sheetId="2">
        <row r="2">
          <cell r="B2" t="str">
            <v>정경상</v>
          </cell>
        </row>
        <row r="3">
          <cell r="L3">
            <v>43948</v>
          </cell>
        </row>
        <row r="4">
          <cell r="L4" t="str">
            <v/>
          </cell>
        </row>
        <row r="6">
          <cell r="D6" t="str">
            <v>영업본부 영업전략팀</v>
          </cell>
        </row>
      </sheetData>
      <sheetData sheetId="3">
        <row r="13">
          <cell r="M13" t="str">
            <v>임영청</v>
          </cell>
        </row>
      </sheetData>
      <sheetData sheetId="4"/>
      <sheetData sheetId="5">
        <row r="17">
          <cell r="B17" t="str">
            <v>홍길동</v>
          </cell>
          <cell r="F17" t="str">
            <v/>
          </cell>
          <cell r="T17" t="e">
            <v>#VALUE!</v>
          </cell>
          <cell r="V17" t="str">
            <v/>
          </cell>
          <cell r="X17" t="e">
            <v>#VALUE!</v>
          </cell>
          <cell r="Z17" t="str">
            <v>이름오류</v>
          </cell>
          <cell r="AB17" t="str">
            <v>이름오류</v>
          </cell>
          <cell r="AD17" t="str">
            <v>이름오류</v>
          </cell>
        </row>
        <row r="19">
          <cell r="F19" t="str">
            <v/>
          </cell>
          <cell r="T19" t="e">
            <v>#VALUE!</v>
          </cell>
          <cell r="V19" t="str">
            <v/>
          </cell>
          <cell r="X19" t="e">
            <v>#VALUE!</v>
          </cell>
          <cell r="Z19" t="str">
            <v>이름오류</v>
          </cell>
          <cell r="AB19" t="str">
            <v>이름오류</v>
          </cell>
          <cell r="AD19" t="str">
            <v>이름오류</v>
          </cell>
        </row>
        <row r="21">
          <cell r="F21" t="str">
            <v/>
          </cell>
          <cell r="T21" t="e">
            <v>#VALUE!</v>
          </cell>
          <cell r="V21" t="str">
            <v/>
          </cell>
          <cell r="X21" t="e">
            <v>#VALUE!</v>
          </cell>
          <cell r="Z21" t="str">
            <v>이름오류</v>
          </cell>
          <cell r="AB21" t="str">
            <v>이름오류</v>
          </cell>
          <cell r="AD21" t="str">
            <v>이름오류</v>
          </cell>
        </row>
        <row r="23">
          <cell r="F23" t="str">
            <v/>
          </cell>
          <cell r="T23" t="e">
            <v>#VALUE!</v>
          </cell>
          <cell r="V23" t="str">
            <v/>
          </cell>
          <cell r="X23" t="e">
            <v>#VALUE!</v>
          </cell>
          <cell r="Z23" t="str">
            <v>이름오류</v>
          </cell>
          <cell r="AB23" t="str">
            <v>이름오류</v>
          </cell>
          <cell r="AD23" t="str">
            <v>이름오류</v>
          </cell>
        </row>
        <row r="25">
          <cell r="F25" t="str">
            <v/>
          </cell>
          <cell r="T25" t="e">
            <v>#VALUE!</v>
          </cell>
          <cell r="V25" t="str">
            <v/>
          </cell>
          <cell r="X25" t="e">
            <v>#VALUE!</v>
          </cell>
          <cell r="Z25" t="str">
            <v>이름오류</v>
          </cell>
          <cell r="AB25" t="str">
            <v>이름오류</v>
          </cell>
          <cell r="AD25" t="str">
            <v>이름오류</v>
          </cell>
        </row>
      </sheetData>
      <sheetData sheetId="6">
        <row r="1">
          <cell r="A1" t="str">
            <v>번호</v>
          </cell>
          <cell r="B1" t="str">
            <v>소속</v>
          </cell>
          <cell r="C1" t="str">
            <v>직급</v>
          </cell>
          <cell r="D1" t="str">
            <v>직무</v>
          </cell>
          <cell r="E1" t="str">
            <v>사원명</v>
          </cell>
          <cell r="F1" t="str">
            <v>수습적용일</v>
          </cell>
          <cell r="G1" t="str">
            <v>입사일</v>
          </cell>
          <cell r="H1" t="str">
            <v>근속년수</v>
          </cell>
          <cell r="I1" t="str">
            <v>퇴사일</v>
          </cell>
          <cell r="J1" t="str">
            <v>내외국인구분</v>
          </cell>
          <cell r="K1" t="str">
            <v>국적</v>
          </cell>
          <cell r="L1" t="str">
            <v>주민등록번호</v>
          </cell>
          <cell r="M1" t="str">
            <v>생년월일</v>
          </cell>
          <cell r="N1" t="str">
            <v>나이</v>
          </cell>
          <cell r="O1" t="str">
            <v>성별</v>
          </cell>
          <cell r="P1" t="str">
            <v>우편번호</v>
          </cell>
          <cell r="Q1" t="str">
            <v>주소</v>
          </cell>
          <cell r="R1" t="str">
            <v>감면</v>
          </cell>
          <cell r="S1" t="str">
            <v>감면시작일</v>
          </cell>
          <cell r="T1" t="str">
            <v>감면종료일</v>
          </cell>
          <cell r="U1" t="str">
            <v>전화번호</v>
          </cell>
          <cell r="V1" t="str">
            <v>이메일</v>
          </cell>
          <cell r="W1" t="str">
            <v>은행</v>
          </cell>
          <cell r="X1" t="str">
            <v>계좌번호</v>
          </cell>
          <cell r="Y1" t="str">
            <v>연봉</v>
          </cell>
          <cell r="Z1" t="str">
            <v>시급</v>
          </cell>
          <cell r="AA1" t="str">
            <v>대학교</v>
          </cell>
          <cell r="AB1" t="str">
            <v>대학원</v>
          </cell>
          <cell r="AC1" t="str">
            <v>전공</v>
          </cell>
          <cell r="AD1" t="str">
            <v>입대일</v>
          </cell>
          <cell r="AE1" t="str">
            <v>제대일</v>
          </cell>
          <cell r="AF1" t="str">
            <v>발령구분1</v>
          </cell>
          <cell r="AG1" t="str">
            <v>발령일자1</v>
          </cell>
          <cell r="AH1" t="str">
            <v>발령소속1</v>
          </cell>
          <cell r="AI1" t="str">
            <v>발령직급1</v>
          </cell>
          <cell r="AJ1" t="str">
            <v>발령직무1</v>
          </cell>
          <cell r="AK1" t="str">
            <v>발령내용1</v>
          </cell>
          <cell r="AL1" t="str">
            <v>발령구분2</v>
          </cell>
          <cell r="AM1" t="str">
            <v>발령일자2</v>
          </cell>
          <cell r="AN1" t="str">
            <v>발령소속2</v>
          </cell>
          <cell r="AO1" t="str">
            <v>발령직급2</v>
          </cell>
          <cell r="AP1" t="str">
            <v>발령직무2</v>
          </cell>
          <cell r="AQ1" t="str">
            <v>발령내용2</v>
          </cell>
          <cell r="AR1" t="str">
            <v>발령구분3</v>
          </cell>
          <cell r="AS1" t="str">
            <v>발령일자3</v>
          </cell>
          <cell r="AT1" t="str">
            <v>발령소속3</v>
          </cell>
          <cell r="AU1" t="str">
            <v>발령직급3</v>
          </cell>
          <cell r="AV1" t="str">
            <v>발령직무3</v>
          </cell>
          <cell r="AW1" t="str">
            <v>발령내용3</v>
          </cell>
          <cell r="AX1" t="str">
            <v>발령구분4</v>
          </cell>
          <cell r="AY1" t="str">
            <v>발령일자4</v>
          </cell>
          <cell r="AZ1" t="str">
            <v>발령소속4</v>
          </cell>
          <cell r="BA1" t="str">
            <v>발령직급4</v>
          </cell>
          <cell r="BB1" t="str">
            <v>발령직무4</v>
          </cell>
          <cell r="BC1" t="str">
            <v>발령내용4</v>
          </cell>
          <cell r="BD1" t="str">
            <v>발령구분5</v>
          </cell>
          <cell r="BE1" t="str">
            <v>발령일자5</v>
          </cell>
          <cell r="BF1" t="str">
            <v>발령소속5</v>
          </cell>
          <cell r="BG1" t="str">
            <v>발령직급5</v>
          </cell>
          <cell r="BH1" t="str">
            <v>발령직무5</v>
          </cell>
          <cell r="BI1" t="str">
            <v>발령내용5</v>
          </cell>
          <cell r="BJ1" t="str">
            <v>교육구분1</v>
          </cell>
          <cell r="BK1" t="str">
            <v>교육명1</v>
          </cell>
          <cell r="BL1" t="str">
            <v>교육기간시작1</v>
          </cell>
          <cell r="BM1" t="str">
            <v>교육기간끝1</v>
          </cell>
          <cell r="BN1" t="str">
            <v>교육기관1</v>
          </cell>
          <cell r="BO1" t="str">
            <v>교육내용1</v>
          </cell>
          <cell r="BP1" t="str">
            <v>교육구분2</v>
          </cell>
          <cell r="BQ1" t="str">
            <v>교육명2</v>
          </cell>
          <cell r="BR1" t="str">
            <v>교육기간시작2</v>
          </cell>
          <cell r="BS1" t="str">
            <v>교육기간끝2</v>
          </cell>
          <cell r="BT1" t="str">
            <v>교육기관2</v>
          </cell>
          <cell r="BU1" t="str">
            <v>교육내용2</v>
          </cell>
          <cell r="BV1" t="str">
            <v>교육구분3</v>
          </cell>
          <cell r="BW1" t="str">
            <v>교육명3</v>
          </cell>
          <cell r="BX1" t="str">
            <v>교육기간시작3</v>
          </cell>
          <cell r="BY1" t="str">
            <v>교육기간끝3</v>
          </cell>
          <cell r="BZ1" t="str">
            <v>교육기관3</v>
          </cell>
          <cell r="CA1" t="str">
            <v>교육내용3</v>
          </cell>
          <cell r="CB1" t="str">
            <v>교육구분4</v>
          </cell>
          <cell r="CC1" t="str">
            <v>교육명4</v>
          </cell>
          <cell r="CD1" t="str">
            <v>교육기간시작4</v>
          </cell>
          <cell r="CE1" t="str">
            <v>교육기간끝4</v>
          </cell>
          <cell r="CF1" t="str">
            <v>교육기관4</v>
          </cell>
          <cell r="CG1" t="str">
            <v>교육내용4</v>
          </cell>
          <cell r="CH1" t="str">
            <v>교육구분5</v>
          </cell>
          <cell r="CI1" t="str">
            <v>교육명5</v>
          </cell>
          <cell r="CJ1" t="str">
            <v>교육기간시작5</v>
          </cell>
          <cell r="CK1" t="str">
            <v>교육기간끝5</v>
          </cell>
          <cell r="CL1" t="str">
            <v>교육기관5</v>
          </cell>
          <cell r="CM1" t="str">
            <v>교육내용5</v>
          </cell>
        </row>
        <row r="2">
          <cell r="A2">
            <v>1</v>
          </cell>
          <cell r="B2" t="str">
            <v>CEO</v>
          </cell>
          <cell r="C2" t="str">
            <v>대표이사</v>
          </cell>
          <cell r="E2" t="str">
            <v>임영청</v>
          </cell>
          <cell r="G2">
            <v>43371</v>
          </cell>
          <cell r="H2">
            <v>1</v>
          </cell>
          <cell r="J2" t="str">
            <v>내국인</v>
          </cell>
          <cell r="K2" t="str">
            <v>대한민국</v>
          </cell>
          <cell r="L2" t="str">
            <v>630324-1109210</v>
          </cell>
          <cell r="M2">
            <v>23094</v>
          </cell>
          <cell r="N2">
            <v>57</v>
          </cell>
          <cell r="O2" t="str">
            <v>남</v>
          </cell>
          <cell r="Q2" t="str">
            <v xml:space="preserve">부산시남구 오륙도로85 오륙도 SK뷰 아파트 109동 702호 </v>
          </cell>
          <cell r="R2" t="str">
            <v>부</v>
          </cell>
          <cell r="S2" t="str">
            <v/>
          </cell>
          <cell r="T2" t="str">
            <v/>
          </cell>
          <cell r="U2" t="str">
            <v>010-4691-9210</v>
          </cell>
          <cell r="V2" t="str">
            <v>yclim@sgfoods.co.kr</v>
          </cell>
          <cell r="W2" t="str">
            <v>국민</v>
          </cell>
          <cell r="X2" t="str">
            <v>292501-01-155851</v>
          </cell>
          <cell r="Y2">
            <v>240000000</v>
          </cell>
          <cell r="Z2" t="str">
            <v>연봉제</v>
          </cell>
        </row>
        <row r="3">
          <cell r="A3">
            <v>2</v>
          </cell>
          <cell r="B3" t="str">
            <v>CSO</v>
          </cell>
          <cell r="C3" t="str">
            <v>본부장</v>
          </cell>
          <cell r="D3" t="str">
            <v>사무직</v>
          </cell>
          <cell r="E3" t="str">
            <v>육현진</v>
          </cell>
          <cell r="G3">
            <v>43088</v>
          </cell>
          <cell r="H3">
            <v>2</v>
          </cell>
          <cell r="J3" t="str">
            <v>내국인</v>
          </cell>
          <cell r="K3" t="str">
            <v>대한민국</v>
          </cell>
          <cell r="L3" t="str">
            <v>800821-1852715</v>
          </cell>
          <cell r="M3">
            <v>29454</v>
          </cell>
          <cell r="N3">
            <v>39</v>
          </cell>
          <cell r="O3" t="str">
            <v>남</v>
          </cell>
          <cell r="P3">
            <v>4036</v>
          </cell>
          <cell r="Q3" t="str">
            <v>서울특별시 마포구  양화로 45  102동 2501호 (서교동, 메세나폴리스)</v>
          </cell>
          <cell r="R3" t="str">
            <v>부</v>
          </cell>
          <cell r="S3" t="str">
            <v/>
          </cell>
          <cell r="T3" t="str">
            <v/>
          </cell>
          <cell r="U3" t="str">
            <v>010-8161-4011</v>
          </cell>
          <cell r="V3" t="str">
            <v>yuk@sgfoods.co.kr</v>
          </cell>
          <cell r="W3" t="str">
            <v>하나</v>
          </cell>
          <cell r="X3" t="str">
            <v>654-910360-90307</v>
          </cell>
          <cell r="Y3">
            <v>165000000</v>
          </cell>
          <cell r="Z3" t="str">
            <v>연봉제</v>
          </cell>
        </row>
        <row r="4">
          <cell r="A4">
            <v>3</v>
          </cell>
          <cell r="B4" t="str">
            <v>관리본부</v>
          </cell>
          <cell r="C4" t="str">
            <v>본부장</v>
          </cell>
          <cell r="D4" t="str">
            <v>사무직</v>
          </cell>
          <cell r="E4" t="str">
            <v>서정우</v>
          </cell>
          <cell r="G4">
            <v>43151</v>
          </cell>
          <cell r="H4">
            <v>2</v>
          </cell>
          <cell r="J4" t="str">
            <v>내국인</v>
          </cell>
          <cell r="K4" t="str">
            <v>대한민국</v>
          </cell>
          <cell r="L4" t="str">
            <v>681011-1005615</v>
          </cell>
          <cell r="M4">
            <v>25122</v>
          </cell>
          <cell r="N4">
            <v>51</v>
          </cell>
          <cell r="O4" t="str">
            <v>남</v>
          </cell>
          <cell r="P4">
            <v>16941</v>
          </cell>
          <cell r="Q4" t="str">
            <v>경기도 용인시 수지구  상현로 30-10  227동 501호(상현동, 상현마을성원상떼빌아파트)</v>
          </cell>
          <cell r="R4" t="str">
            <v>부</v>
          </cell>
          <cell r="S4" t="str">
            <v/>
          </cell>
          <cell r="T4" t="str">
            <v/>
          </cell>
          <cell r="U4" t="str">
            <v>010-6385-7409</v>
          </cell>
          <cell r="V4" t="str">
            <v>seowoo68@sgfoods.co.kr</v>
          </cell>
          <cell r="W4" t="str">
            <v>하나</v>
          </cell>
          <cell r="X4" t="str">
            <v>654-910363-21307</v>
          </cell>
          <cell r="Y4">
            <v>77328000</v>
          </cell>
          <cell r="Z4" t="str">
            <v>연봉제</v>
          </cell>
        </row>
        <row r="5">
          <cell r="A5">
            <v>4</v>
          </cell>
          <cell r="B5" t="str">
            <v>관리본부 경영지원팀</v>
          </cell>
          <cell r="C5" t="str">
            <v>대리</v>
          </cell>
          <cell r="E5" t="str">
            <v>서인재</v>
          </cell>
          <cell r="G5">
            <v>43642</v>
          </cell>
          <cell r="H5">
            <v>0</v>
          </cell>
          <cell r="J5" t="str">
            <v>내국인</v>
          </cell>
          <cell r="K5" t="str">
            <v>대한민국</v>
          </cell>
          <cell r="L5" t="str">
            <v>850128-1400422</v>
          </cell>
          <cell r="M5">
            <v>31075</v>
          </cell>
          <cell r="N5">
            <v>35</v>
          </cell>
          <cell r="O5" t="str">
            <v>남</v>
          </cell>
          <cell r="Q5" t="str">
            <v xml:space="preserve">대전 동구 용전동 163-5 </v>
          </cell>
          <cell r="R5" t="str">
            <v>여</v>
          </cell>
          <cell r="S5">
            <v>43642</v>
          </cell>
          <cell r="T5">
            <v>45473</v>
          </cell>
          <cell r="U5" t="str">
            <v>010-7259-3542</v>
          </cell>
          <cell r="V5" t="str">
            <v>ij.seo@sgfoods.co.kr</v>
          </cell>
          <cell r="W5" t="str">
            <v>하나</v>
          </cell>
          <cell r="X5" t="str">
            <v>648-910242-17307</v>
          </cell>
          <cell r="Y5">
            <v>34999999.775000006</v>
          </cell>
          <cell r="Z5" t="str">
            <v>연봉제</v>
          </cell>
          <cell r="AD5">
            <v>38586</v>
          </cell>
          <cell r="AE5">
            <v>39620</v>
          </cell>
        </row>
        <row r="6">
          <cell r="A6">
            <v>5</v>
          </cell>
          <cell r="B6" t="str">
            <v>관리본부 경영지원팀</v>
          </cell>
          <cell r="C6" t="str">
            <v>대리</v>
          </cell>
          <cell r="D6" t="str">
            <v>사무직</v>
          </cell>
          <cell r="E6" t="str">
            <v>천영태</v>
          </cell>
          <cell r="G6">
            <v>43136</v>
          </cell>
          <cell r="H6">
            <v>2</v>
          </cell>
          <cell r="J6" t="str">
            <v>내국인</v>
          </cell>
          <cell r="K6" t="str">
            <v>대한민국</v>
          </cell>
          <cell r="L6" t="str">
            <v>880808-1335011</v>
          </cell>
          <cell r="M6">
            <v>32363</v>
          </cell>
          <cell r="N6">
            <v>31</v>
          </cell>
          <cell r="O6" t="str">
            <v>남</v>
          </cell>
          <cell r="P6">
            <v>302243</v>
          </cell>
          <cell r="Q6" t="str">
            <v xml:space="preserve">대전광역시 서구 관저남로 12번길 12 중흥프라디움 104동 702호 </v>
          </cell>
          <cell r="R6" t="str">
            <v>여</v>
          </cell>
          <cell r="S6">
            <v>43136</v>
          </cell>
          <cell r="T6">
            <v>44316</v>
          </cell>
          <cell r="U6" t="str">
            <v>010-2360-2523</v>
          </cell>
          <cell r="V6" t="str">
            <v>cytdc88@sgfoods.co.kr</v>
          </cell>
          <cell r="W6" t="str">
            <v>하나</v>
          </cell>
          <cell r="X6" t="str">
            <v>654-910362-73407</v>
          </cell>
          <cell r="Y6">
            <v>35000000</v>
          </cell>
          <cell r="Z6" t="str">
            <v>연봉제</v>
          </cell>
          <cell r="AA6" t="str">
            <v>우송대학교</v>
          </cell>
          <cell r="AB6" t="str">
            <v>충남대학교 대학원</v>
          </cell>
        </row>
        <row r="7">
          <cell r="A7">
            <v>6</v>
          </cell>
          <cell r="B7" t="str">
            <v>관리본부 경영지원팀</v>
          </cell>
          <cell r="C7" t="str">
            <v>주임</v>
          </cell>
          <cell r="E7" t="str">
            <v>박혜진</v>
          </cell>
          <cell r="G7">
            <v>43773</v>
          </cell>
          <cell r="H7">
            <v>0</v>
          </cell>
          <cell r="J7" t="str">
            <v>내국인</v>
          </cell>
          <cell r="K7" t="str">
            <v>대한민국</v>
          </cell>
          <cell r="L7" t="str">
            <v>900516-2400315</v>
          </cell>
          <cell r="M7">
            <v>33009</v>
          </cell>
          <cell r="N7">
            <v>30</v>
          </cell>
          <cell r="O7" t="str">
            <v>여</v>
          </cell>
          <cell r="Q7" t="str">
            <v xml:space="preserve">대전광역시 유성구 계룡로74번길 79-13 302호 </v>
          </cell>
          <cell r="R7" t="str">
            <v>부</v>
          </cell>
          <cell r="S7" t="str">
            <v/>
          </cell>
          <cell r="T7" t="str">
            <v/>
          </cell>
          <cell r="U7" t="str">
            <v>010-6415-4012</v>
          </cell>
          <cell r="V7" t="str">
            <v>hyejin0044@sgfoods.co.kr</v>
          </cell>
          <cell r="W7" t="str">
            <v>하나</v>
          </cell>
          <cell r="X7" t="str">
            <v>637-910164-21007</v>
          </cell>
          <cell r="Y7">
            <v>28700000</v>
          </cell>
          <cell r="Z7" t="str">
            <v>연봉제</v>
          </cell>
        </row>
        <row r="8">
          <cell r="A8">
            <v>7</v>
          </cell>
          <cell r="B8" t="str">
            <v>관리본부 경영지원팀</v>
          </cell>
          <cell r="E8" t="str">
            <v>김남철</v>
          </cell>
          <cell r="G8">
            <v>42808</v>
          </cell>
          <cell r="H8">
            <v>3</v>
          </cell>
          <cell r="J8" t="str">
            <v>내국인</v>
          </cell>
          <cell r="K8" t="str">
            <v>대한민국</v>
          </cell>
          <cell r="L8" t="str">
            <v>610320-2452731</v>
          </cell>
          <cell r="M8">
            <v>22360</v>
          </cell>
          <cell r="N8">
            <v>59</v>
          </cell>
          <cell r="O8" t="str">
            <v>여</v>
          </cell>
          <cell r="P8">
            <v>34582</v>
          </cell>
          <cell r="Q8" t="str">
            <v>대전광역시 동구  성남로 15  103동 1704호(성남동, 스마트뷰)</v>
          </cell>
          <cell r="R8" t="str">
            <v>부</v>
          </cell>
          <cell r="S8" t="str">
            <v/>
          </cell>
          <cell r="U8" t="str">
            <v>016-402-2535</v>
          </cell>
          <cell r="W8" t="str">
            <v>하나</v>
          </cell>
          <cell r="X8" t="str">
            <v>636-089241-00107</v>
          </cell>
          <cell r="Y8" t="str">
            <v>정보없음</v>
          </cell>
          <cell r="Z8" t="str">
            <v>연봉제</v>
          </cell>
        </row>
        <row r="9">
          <cell r="A9">
            <v>8</v>
          </cell>
          <cell r="B9" t="str">
            <v>관리본부 경영지원팀</v>
          </cell>
          <cell r="E9" t="str">
            <v>김미애</v>
          </cell>
          <cell r="G9">
            <v>42156</v>
          </cell>
          <cell r="H9">
            <v>5</v>
          </cell>
          <cell r="J9" t="str">
            <v>내국인</v>
          </cell>
          <cell r="K9" t="str">
            <v>대한민국</v>
          </cell>
          <cell r="L9" t="str">
            <v>720218-2458410</v>
          </cell>
          <cell r="M9">
            <v>26347</v>
          </cell>
          <cell r="N9">
            <v>48</v>
          </cell>
          <cell r="O9" t="str">
            <v>여</v>
          </cell>
          <cell r="P9">
            <v>34428</v>
          </cell>
          <cell r="Q9" t="str">
            <v>대전광역시 대덕구  계족로521번길 89  202동 304호(중리동,영진상록아프트)</v>
          </cell>
          <cell r="R9" t="str">
            <v>부</v>
          </cell>
          <cell r="S9" t="str">
            <v/>
          </cell>
          <cell r="T9" t="str">
            <v/>
          </cell>
          <cell r="U9" t="str">
            <v>010-2386-8260</v>
          </cell>
          <cell r="W9" t="str">
            <v>하나</v>
          </cell>
          <cell r="X9" t="str">
            <v>654-910201-77507</v>
          </cell>
          <cell r="Y9" t="str">
            <v>정보없음</v>
          </cell>
          <cell r="Z9" t="str">
            <v>연봉제</v>
          </cell>
        </row>
        <row r="10">
          <cell r="A10">
            <v>9</v>
          </cell>
          <cell r="B10" t="str">
            <v>관리본부 경영지원팀</v>
          </cell>
          <cell r="E10" t="str">
            <v>김주연</v>
          </cell>
          <cell r="G10">
            <v>43531</v>
          </cell>
          <cell r="H10">
            <v>1</v>
          </cell>
          <cell r="J10" t="str">
            <v>내국인</v>
          </cell>
          <cell r="K10" t="str">
            <v>대한민국</v>
          </cell>
          <cell r="L10" t="str">
            <v>660321-2386135</v>
          </cell>
          <cell r="M10">
            <v>24187</v>
          </cell>
          <cell r="N10">
            <v>54</v>
          </cell>
          <cell r="O10" t="str">
            <v>여</v>
          </cell>
          <cell r="Q10" t="str">
            <v xml:space="preserve">대전광역시 동구 동서대로1572번길 165, 614호 </v>
          </cell>
          <cell r="R10" t="str">
            <v>부</v>
          </cell>
          <cell r="S10" t="str">
            <v/>
          </cell>
          <cell r="T10" t="str">
            <v/>
          </cell>
          <cell r="U10" t="str">
            <v>010-7520-2538</v>
          </cell>
          <cell r="W10" t="str">
            <v>하나</v>
          </cell>
          <cell r="X10" t="str">
            <v>652-910255-10107</v>
          </cell>
          <cell r="Y10" t="str">
            <v>정보없음</v>
          </cell>
          <cell r="Z10" t="str">
            <v>연봉제</v>
          </cell>
        </row>
        <row r="11">
          <cell r="A11">
            <v>10</v>
          </cell>
          <cell r="B11" t="str">
            <v>관리본부 전략구매팀</v>
          </cell>
          <cell r="C11" t="str">
            <v>팀장</v>
          </cell>
          <cell r="E11" t="str">
            <v>남현욱</v>
          </cell>
          <cell r="G11">
            <v>43682</v>
          </cell>
          <cell r="H11">
            <v>0</v>
          </cell>
          <cell r="J11" t="str">
            <v>내국인</v>
          </cell>
          <cell r="K11" t="str">
            <v>대한민국</v>
          </cell>
          <cell r="L11" t="str">
            <v>750415-1267310</v>
          </cell>
          <cell r="M11">
            <v>27499</v>
          </cell>
          <cell r="N11">
            <v>45</v>
          </cell>
          <cell r="O11" t="str">
            <v>남</v>
          </cell>
          <cell r="Q11" t="str">
            <v xml:space="preserve">충남 천안시 서북구 불당동 대동다숲 아파트 112동 101호 </v>
          </cell>
          <cell r="R11" t="str">
            <v>부</v>
          </cell>
          <cell r="S11" t="str">
            <v/>
          </cell>
          <cell r="T11" t="str">
            <v/>
          </cell>
          <cell r="U11" t="str">
            <v>010-5654-3376</v>
          </cell>
          <cell r="V11" t="str">
            <v>last728@sgfoods.co.kr</v>
          </cell>
          <cell r="W11" t="str">
            <v>농협</v>
          </cell>
          <cell r="X11" t="str">
            <v>356-1381-1757-13</v>
          </cell>
          <cell r="Y11">
            <v>47380000</v>
          </cell>
          <cell r="Z11" t="str">
            <v>연봉제</v>
          </cell>
        </row>
        <row r="12">
          <cell r="A12">
            <v>11</v>
          </cell>
          <cell r="B12" t="str">
            <v>관리본부 전략구매팀</v>
          </cell>
          <cell r="C12" t="str">
            <v>대리</v>
          </cell>
          <cell r="E12" t="str">
            <v>최호선</v>
          </cell>
          <cell r="G12">
            <v>43769</v>
          </cell>
          <cell r="H12">
            <v>0</v>
          </cell>
          <cell r="J12" t="str">
            <v>내국인</v>
          </cell>
          <cell r="K12" t="str">
            <v>대한민국</v>
          </cell>
          <cell r="L12" t="str">
            <v>870119-1853223</v>
          </cell>
          <cell r="M12">
            <v>31796</v>
          </cell>
          <cell r="N12">
            <v>33</v>
          </cell>
          <cell r="O12" t="str">
            <v>남</v>
          </cell>
          <cell r="Q12" t="str">
            <v xml:space="preserve">대전광역시 대덕구 비래동 106-3 </v>
          </cell>
          <cell r="R12" t="str">
            <v>여</v>
          </cell>
          <cell r="S12">
            <v>43769</v>
          </cell>
          <cell r="T12">
            <v>45596</v>
          </cell>
          <cell r="U12" t="str">
            <v>010-4141-7392</v>
          </cell>
          <cell r="V12" t="str">
            <v>mybestdream@sgfoods.co.kr</v>
          </cell>
          <cell r="W12" t="str">
            <v>기업</v>
          </cell>
          <cell r="X12" t="str">
            <v>476-020275-02-019</v>
          </cell>
          <cell r="Y12">
            <v>35000000</v>
          </cell>
          <cell r="Z12" t="str">
            <v>연봉제</v>
          </cell>
          <cell r="AD12">
            <v>40311</v>
          </cell>
          <cell r="AE12">
            <v>41345</v>
          </cell>
        </row>
        <row r="13">
          <cell r="A13">
            <v>12</v>
          </cell>
          <cell r="B13" t="str">
            <v>영업본부</v>
          </cell>
          <cell r="C13" t="str">
            <v>본부장</v>
          </cell>
          <cell r="E13" t="str">
            <v>최광호</v>
          </cell>
          <cell r="G13">
            <v>43452</v>
          </cell>
          <cell r="H13">
            <v>1</v>
          </cell>
          <cell r="J13" t="str">
            <v>내국인</v>
          </cell>
          <cell r="K13" t="str">
            <v>대한민국</v>
          </cell>
          <cell r="L13" t="str">
            <v>760914-1117227</v>
          </cell>
          <cell r="M13">
            <v>28017</v>
          </cell>
          <cell r="N13">
            <v>43</v>
          </cell>
          <cell r="O13" t="str">
            <v>남</v>
          </cell>
          <cell r="Q13" t="str">
            <v xml:space="preserve">부산시 수영구 광안로 20 (102동 1503호 광안쌍용예가 디오션) </v>
          </cell>
          <cell r="R13" t="str">
            <v>부</v>
          </cell>
          <cell r="S13" t="str">
            <v/>
          </cell>
          <cell r="T13" t="str">
            <v/>
          </cell>
          <cell r="U13" t="str">
            <v>010-8855-8158</v>
          </cell>
          <cell r="V13" t="str">
            <v>khchoi@sgfoods.co.kr</v>
          </cell>
          <cell r="W13" t="str">
            <v>하나</v>
          </cell>
          <cell r="X13" t="str">
            <v>306-910483-19307</v>
          </cell>
          <cell r="Y13">
            <v>75075000</v>
          </cell>
          <cell r="Z13" t="str">
            <v>연봉제</v>
          </cell>
        </row>
        <row r="14">
          <cell r="A14">
            <v>13</v>
          </cell>
          <cell r="B14" t="str">
            <v>영업본부 국내영업팀</v>
          </cell>
          <cell r="C14" t="str">
            <v>과장</v>
          </cell>
          <cell r="E14" t="str">
            <v>금기송</v>
          </cell>
          <cell r="F14">
            <v>43960</v>
          </cell>
          <cell r="G14">
            <v>43871</v>
          </cell>
          <cell r="H14">
            <v>0</v>
          </cell>
          <cell r="J14" t="str">
            <v>내국인</v>
          </cell>
          <cell r="K14" t="str">
            <v>대한민국</v>
          </cell>
          <cell r="L14" t="str">
            <v>760320-1384127</v>
          </cell>
          <cell r="M14">
            <v>27839</v>
          </cell>
          <cell r="N14">
            <v>44</v>
          </cell>
          <cell r="O14" t="str">
            <v>남</v>
          </cell>
          <cell r="Q14" t="str">
            <v xml:space="preserve">대전시 서구 둔산2동 가라아파트 2동 106호 </v>
          </cell>
          <cell r="R14" t="str">
            <v>부</v>
          </cell>
          <cell r="S14" t="str">
            <v/>
          </cell>
          <cell r="U14" t="str">
            <v>010-6405-6888</v>
          </cell>
          <cell r="W14" t="str">
            <v>농협</v>
          </cell>
          <cell r="X14" t="str">
            <v>446-12-122178</v>
          </cell>
          <cell r="Y14">
            <v>44000000</v>
          </cell>
          <cell r="Z14" t="str">
            <v>연봉제</v>
          </cell>
        </row>
        <row r="15">
          <cell r="A15">
            <v>14</v>
          </cell>
          <cell r="B15" t="str">
            <v>영업본부 국내영업팀</v>
          </cell>
          <cell r="C15" t="str">
            <v>대리</v>
          </cell>
          <cell r="D15" t="str">
            <v>사무직</v>
          </cell>
          <cell r="E15" t="str">
            <v>김기덕</v>
          </cell>
          <cell r="G15">
            <v>43556</v>
          </cell>
          <cell r="H15">
            <v>1</v>
          </cell>
          <cell r="J15" t="str">
            <v>내국인</v>
          </cell>
          <cell r="K15" t="str">
            <v>대한민국</v>
          </cell>
          <cell r="L15" t="str">
            <v>890318-1415011</v>
          </cell>
          <cell r="M15">
            <v>32585</v>
          </cell>
          <cell r="N15">
            <v>31</v>
          </cell>
          <cell r="O15" t="str">
            <v>남</v>
          </cell>
          <cell r="Q15" t="str">
            <v xml:space="preserve">세종특별자치시 대평로 56 , 510동 201호 </v>
          </cell>
          <cell r="R15" t="str">
            <v>부</v>
          </cell>
          <cell r="S15" t="str">
            <v/>
          </cell>
          <cell r="T15" t="str">
            <v/>
          </cell>
          <cell r="U15" t="str">
            <v>010-9956-7630</v>
          </cell>
          <cell r="V15" t="str">
            <v>kdkim@sgfoods.co.kr</v>
          </cell>
          <cell r="W15" t="str">
            <v>하나</v>
          </cell>
          <cell r="X15" t="str">
            <v>915-910169-45107</v>
          </cell>
          <cell r="Y15">
            <v>43000000</v>
          </cell>
          <cell r="Z15" t="str">
            <v>연봉제</v>
          </cell>
        </row>
        <row r="16">
          <cell r="A16">
            <v>15</v>
          </cell>
          <cell r="B16" t="str">
            <v>영업본부 국내영업팀</v>
          </cell>
          <cell r="C16" t="str">
            <v>대리</v>
          </cell>
          <cell r="E16" t="str">
            <v>김정섭</v>
          </cell>
          <cell r="G16">
            <v>43507</v>
          </cell>
          <cell r="H16">
            <v>1</v>
          </cell>
          <cell r="J16" t="str">
            <v>내국인</v>
          </cell>
          <cell r="K16" t="str">
            <v>대한민국</v>
          </cell>
          <cell r="L16" t="str">
            <v>851210-1064918</v>
          </cell>
          <cell r="M16">
            <v>31391</v>
          </cell>
          <cell r="N16">
            <v>34</v>
          </cell>
          <cell r="O16" t="str">
            <v>남</v>
          </cell>
          <cell r="Q16" t="str">
            <v xml:space="preserve">대전광역시 유성구 지족동 열매마을412동 306호 </v>
          </cell>
          <cell r="R16" t="str">
            <v>여</v>
          </cell>
          <cell r="S16">
            <v>43507</v>
          </cell>
          <cell r="T16">
            <v>45350</v>
          </cell>
          <cell r="U16" t="str">
            <v>010-4429-4080</v>
          </cell>
          <cell r="V16" t="str">
            <v>realjs77@sgfoods.co.kr</v>
          </cell>
          <cell r="W16" t="str">
            <v>하나</v>
          </cell>
          <cell r="X16" t="str">
            <v>652-910382-25107</v>
          </cell>
          <cell r="Y16">
            <v>37080000</v>
          </cell>
          <cell r="Z16" t="str">
            <v>연봉제</v>
          </cell>
        </row>
        <row r="17">
          <cell r="A17">
            <v>16</v>
          </cell>
          <cell r="B17" t="str">
            <v>영업본부 국내영업팀</v>
          </cell>
          <cell r="C17" t="str">
            <v>주임</v>
          </cell>
          <cell r="E17" t="str">
            <v>양우희</v>
          </cell>
          <cell r="F17">
            <v>43960</v>
          </cell>
          <cell r="G17">
            <v>43871</v>
          </cell>
          <cell r="H17">
            <v>0</v>
          </cell>
          <cell r="J17" t="str">
            <v>내국인</v>
          </cell>
          <cell r="K17" t="str">
            <v>대한민국</v>
          </cell>
          <cell r="L17" t="str">
            <v>921115-2406218</v>
          </cell>
          <cell r="M17">
            <v>33923</v>
          </cell>
          <cell r="N17">
            <v>27</v>
          </cell>
          <cell r="O17" t="str">
            <v>여</v>
          </cell>
          <cell r="Q17" t="str">
            <v>대전광역시 서구 탄방동 1340번지 태극빌라. 103호</v>
          </cell>
          <cell r="R17" t="str">
            <v>부</v>
          </cell>
          <cell r="S17" t="str">
            <v/>
          </cell>
          <cell r="U17" t="str">
            <v>010-5839-1115</v>
          </cell>
          <cell r="W17" t="str">
            <v>국민</v>
          </cell>
          <cell r="X17" t="str">
            <v>745402-01-221145</v>
          </cell>
          <cell r="Y17">
            <v>29500000</v>
          </cell>
          <cell r="Z17" t="str">
            <v>연봉제</v>
          </cell>
        </row>
        <row r="18">
          <cell r="A18">
            <v>17</v>
          </cell>
          <cell r="B18" t="str">
            <v>영업본부 국내영업팀</v>
          </cell>
          <cell r="C18" t="str">
            <v>사원</v>
          </cell>
          <cell r="D18" t="str">
            <v>사무직</v>
          </cell>
          <cell r="E18" t="str">
            <v>여면남</v>
          </cell>
          <cell r="G18">
            <v>42156</v>
          </cell>
          <cell r="H18">
            <v>5</v>
          </cell>
          <cell r="J18" t="str">
            <v>내국인</v>
          </cell>
          <cell r="K18" t="str">
            <v>대한민국</v>
          </cell>
          <cell r="L18" t="str">
            <v>690403-2624223</v>
          </cell>
          <cell r="M18">
            <v>25296</v>
          </cell>
          <cell r="N18">
            <v>51</v>
          </cell>
          <cell r="O18" t="str">
            <v>여</v>
          </cell>
          <cell r="P18">
            <v>6952</v>
          </cell>
          <cell r="Q18" t="str">
            <v>서울특별시 동작구  상도로 107  106동 602호(상도동, 쌍용스윗닷홈)</v>
          </cell>
          <cell r="R18" t="str">
            <v>부</v>
          </cell>
          <cell r="S18" t="str">
            <v/>
          </cell>
          <cell r="T18" t="str">
            <v/>
          </cell>
          <cell r="U18" t="str">
            <v>010-3595-9482</v>
          </cell>
          <cell r="W18" t="str">
            <v>기업</v>
          </cell>
          <cell r="X18" t="str">
            <v>010-3595-9482</v>
          </cell>
          <cell r="Y18">
            <v>21590860</v>
          </cell>
          <cell r="Z18" t="str">
            <v>연봉제</v>
          </cell>
        </row>
        <row r="19">
          <cell r="A19">
            <v>18</v>
          </cell>
          <cell r="B19" t="str">
            <v>영업본부 국내영업팀</v>
          </cell>
          <cell r="E19" t="str">
            <v>문제철</v>
          </cell>
          <cell r="G19">
            <v>43668</v>
          </cell>
          <cell r="H19">
            <v>0</v>
          </cell>
          <cell r="J19" t="str">
            <v>내국인</v>
          </cell>
          <cell r="K19" t="str">
            <v>대한민국</v>
          </cell>
          <cell r="L19" t="str">
            <v>811110-1522819</v>
          </cell>
          <cell r="M19">
            <v>29900</v>
          </cell>
          <cell r="N19">
            <v>38</v>
          </cell>
          <cell r="O19" t="str">
            <v>남</v>
          </cell>
          <cell r="Q19" t="str">
            <v xml:space="preserve">대전 유성구 진잠로 149번길 30 미메이드 205동 104호 </v>
          </cell>
          <cell r="R19" t="str">
            <v>부</v>
          </cell>
          <cell r="S19" t="str">
            <v/>
          </cell>
          <cell r="T19" t="str">
            <v/>
          </cell>
          <cell r="U19" t="str">
            <v>010-7181-1416</v>
          </cell>
          <cell r="V19" t="str">
            <v>jcmoon@sgfoods.co.kr</v>
          </cell>
          <cell r="W19" t="str">
            <v>농협</v>
          </cell>
          <cell r="X19" t="str">
            <v>1277-02-010048</v>
          </cell>
          <cell r="Y19">
            <v>48410000</v>
          </cell>
          <cell r="Z19" t="str">
            <v>연봉제</v>
          </cell>
        </row>
        <row r="20">
          <cell r="A20">
            <v>19</v>
          </cell>
          <cell r="B20" t="str">
            <v>영업본부 마케팅팀</v>
          </cell>
          <cell r="C20" t="str">
            <v>주임</v>
          </cell>
          <cell r="D20" t="str">
            <v>사무직</v>
          </cell>
          <cell r="E20" t="str">
            <v>정보교</v>
          </cell>
          <cell r="G20">
            <v>42200</v>
          </cell>
          <cell r="H20">
            <v>4</v>
          </cell>
          <cell r="J20" t="str">
            <v>내국인</v>
          </cell>
          <cell r="K20" t="str">
            <v>대한민국</v>
          </cell>
          <cell r="L20" t="str">
            <v>890820-1447718</v>
          </cell>
          <cell r="M20">
            <v>32740</v>
          </cell>
          <cell r="N20">
            <v>30</v>
          </cell>
          <cell r="O20" t="str">
            <v>남</v>
          </cell>
          <cell r="P20">
            <v>35070</v>
          </cell>
          <cell r="Q20" t="str">
            <v>대전광역시 중구  모암로42번길 9-12  102동 202호 (호동, 삼덕하이츠)</v>
          </cell>
          <cell r="R20" t="str">
            <v>여</v>
          </cell>
          <cell r="S20">
            <v>42200</v>
          </cell>
          <cell r="T20">
            <v>44043</v>
          </cell>
          <cell r="U20" t="str">
            <v>010-7744-4396</v>
          </cell>
          <cell r="V20" t="str">
            <v>sgfood89@sgfoods.co.kr</v>
          </cell>
          <cell r="W20" t="str">
            <v>하나</v>
          </cell>
          <cell r="X20" t="str">
            <v>654-910322-86607</v>
          </cell>
          <cell r="Y20">
            <v>34999999.882399999</v>
          </cell>
          <cell r="Z20" t="str">
            <v>연봉제</v>
          </cell>
        </row>
        <row r="21">
          <cell r="A21">
            <v>20</v>
          </cell>
          <cell r="B21" t="str">
            <v>영업본부 마케팅팀</v>
          </cell>
          <cell r="E21" t="str">
            <v>이소현</v>
          </cell>
          <cell r="G21">
            <v>43293</v>
          </cell>
          <cell r="H21">
            <v>1</v>
          </cell>
          <cell r="J21" t="str">
            <v>내국인</v>
          </cell>
          <cell r="K21" t="str">
            <v>대한민국</v>
          </cell>
          <cell r="L21" t="str">
            <v>920317-2194011</v>
          </cell>
          <cell r="M21">
            <v>33680</v>
          </cell>
          <cell r="N21">
            <v>28</v>
          </cell>
          <cell r="O21" t="str">
            <v>여</v>
          </cell>
          <cell r="Q21" t="str">
            <v xml:space="preserve"> </v>
          </cell>
          <cell r="R21" t="str">
            <v>여</v>
          </cell>
          <cell r="S21">
            <v>43293</v>
          </cell>
          <cell r="T21">
            <v>45138</v>
          </cell>
          <cell r="U21" t="str">
            <v>010-8483-2933</v>
          </cell>
          <cell r="V21" t="str">
            <v>zzam317@sgfoods.co.kr</v>
          </cell>
          <cell r="W21" t="str">
            <v>국민</v>
          </cell>
          <cell r="X21" t="str">
            <v>721801-01-513748</v>
          </cell>
          <cell r="Y21">
            <v>29150000</v>
          </cell>
          <cell r="Z21" t="str">
            <v>연봉제</v>
          </cell>
        </row>
        <row r="22">
          <cell r="A22">
            <v>21</v>
          </cell>
          <cell r="B22" t="str">
            <v>영업본부 영업전략팀</v>
          </cell>
          <cell r="C22" t="str">
            <v>팀장</v>
          </cell>
          <cell r="E22" t="str">
            <v>백우영</v>
          </cell>
          <cell r="G22">
            <v>43759</v>
          </cell>
          <cell r="H22">
            <v>0</v>
          </cell>
          <cell r="J22" t="str">
            <v>내국인</v>
          </cell>
          <cell r="K22" t="str">
            <v>대한민국</v>
          </cell>
          <cell r="L22" t="str">
            <v>780710-1403315</v>
          </cell>
          <cell r="M22">
            <v>28681</v>
          </cell>
          <cell r="N22">
            <v>41</v>
          </cell>
          <cell r="O22" t="str">
            <v>남</v>
          </cell>
          <cell r="Q22" t="str">
            <v xml:space="preserve">충남 천안시 청당동 코오롱하늘채 116동 1901호 </v>
          </cell>
          <cell r="R22" t="str">
            <v>부</v>
          </cell>
          <cell r="S22" t="str">
            <v/>
          </cell>
          <cell r="T22" t="str">
            <v/>
          </cell>
          <cell r="U22" t="str">
            <v>010-4707-6475</v>
          </cell>
          <cell r="V22" t="str">
            <v>honorpaek@sgfoods.co.kr</v>
          </cell>
          <cell r="W22" t="str">
            <v>농협</v>
          </cell>
          <cell r="X22" t="str">
            <v>446-12-155286</v>
          </cell>
          <cell r="Y22">
            <v>50000000</v>
          </cell>
          <cell r="Z22" t="str">
            <v>연봉제</v>
          </cell>
        </row>
        <row r="23">
          <cell r="A23">
            <v>22</v>
          </cell>
          <cell r="B23" t="str">
            <v>영업본부 영업전략팀</v>
          </cell>
          <cell r="C23" t="str">
            <v>파트장</v>
          </cell>
          <cell r="E23" t="str">
            <v>안효광2</v>
          </cell>
          <cell r="G23">
            <v>43647</v>
          </cell>
          <cell r="H23">
            <v>0</v>
          </cell>
          <cell r="J23" t="str">
            <v>내국인</v>
          </cell>
          <cell r="K23" t="str">
            <v>대한민국</v>
          </cell>
          <cell r="L23" t="str">
            <v>750910-1465115</v>
          </cell>
          <cell r="M23">
            <v>27647</v>
          </cell>
          <cell r="N23">
            <v>44</v>
          </cell>
          <cell r="O23" t="str">
            <v>남</v>
          </cell>
          <cell r="Q23" t="str">
            <v xml:space="preserve">충남 홍성군 광천읍 충서로 206-15 솔스빌아파트 101동 104호 </v>
          </cell>
          <cell r="R23" t="str">
            <v>부</v>
          </cell>
          <cell r="S23" t="str">
            <v/>
          </cell>
          <cell r="T23" t="str">
            <v/>
          </cell>
          <cell r="U23" t="str">
            <v>010-9400-7509</v>
          </cell>
          <cell r="V23" t="str">
            <v>ahnstyle@sgfoods.co.kr</v>
          </cell>
          <cell r="W23" t="str">
            <v>하나</v>
          </cell>
          <cell r="X23" t="str">
            <v>669-910356-38107</v>
          </cell>
          <cell r="Y23" t="str">
            <v>정보없음</v>
          </cell>
          <cell r="Z23" t="str">
            <v>연봉제</v>
          </cell>
        </row>
        <row r="24">
          <cell r="A24">
            <v>23</v>
          </cell>
          <cell r="B24" t="str">
            <v>영업본부 영업전략팀</v>
          </cell>
          <cell r="C24" t="str">
            <v>주임</v>
          </cell>
          <cell r="E24" t="str">
            <v>이수지</v>
          </cell>
          <cell r="G24">
            <v>43272</v>
          </cell>
          <cell r="H24">
            <v>1</v>
          </cell>
          <cell r="J24" t="str">
            <v>내국인</v>
          </cell>
          <cell r="K24" t="str">
            <v>대한민국</v>
          </cell>
          <cell r="L24" t="str">
            <v>910630-2400614</v>
          </cell>
          <cell r="M24">
            <v>33419</v>
          </cell>
          <cell r="N24">
            <v>28</v>
          </cell>
          <cell r="O24" t="str">
            <v>여</v>
          </cell>
          <cell r="P24">
            <v>30124</v>
          </cell>
          <cell r="Q24" t="str">
            <v>세종특별자치시   다정남로 22  114동 1203호 (다정동, 가온마을1단지)</v>
          </cell>
          <cell r="R24" t="str">
            <v>여</v>
          </cell>
          <cell r="S24">
            <v>43272</v>
          </cell>
          <cell r="T24">
            <v>45107</v>
          </cell>
          <cell r="U24" t="str">
            <v>010-8442-7250</v>
          </cell>
          <cell r="V24" t="str">
            <v>rhfkvk313@sgfoods.co.kr</v>
          </cell>
          <cell r="W24" t="str">
            <v>하나</v>
          </cell>
          <cell r="X24" t="str">
            <v>654-910369-30307</v>
          </cell>
          <cell r="Y24">
            <v>29150000</v>
          </cell>
          <cell r="Z24" t="str">
            <v>연봉제</v>
          </cell>
        </row>
        <row r="25">
          <cell r="A25">
            <v>24</v>
          </cell>
          <cell r="B25" t="str">
            <v>영업본부 영업전략팀</v>
          </cell>
          <cell r="C25" t="str">
            <v>사원</v>
          </cell>
          <cell r="E25" t="str">
            <v>정다은</v>
          </cell>
          <cell r="G25">
            <v>43486</v>
          </cell>
          <cell r="H25">
            <v>1</v>
          </cell>
          <cell r="J25" t="str">
            <v>내국인</v>
          </cell>
          <cell r="K25" t="str">
            <v>대한민국</v>
          </cell>
          <cell r="L25" t="str">
            <v>001205-4400618</v>
          </cell>
          <cell r="M25">
            <v>36865</v>
          </cell>
          <cell r="N25">
            <v>19</v>
          </cell>
          <cell r="O25" t="str">
            <v>여</v>
          </cell>
          <cell r="Q25" t="str">
            <v xml:space="preserve">대전광역시 동구 용운로 80 (용방마을아파트) 312동 102호 </v>
          </cell>
          <cell r="R25" t="str">
            <v>여</v>
          </cell>
          <cell r="S25">
            <v>43486</v>
          </cell>
          <cell r="T25">
            <v>45322</v>
          </cell>
          <cell r="U25" t="str">
            <v>010-9212-5622</v>
          </cell>
          <cell r="V25" t="str">
            <v>daeun5622@sgfoods.co.kr</v>
          </cell>
          <cell r="W25" t="str">
            <v>하나</v>
          </cell>
          <cell r="X25" t="str">
            <v>117-910488-19707</v>
          </cell>
          <cell r="Y25">
            <v>22917500</v>
          </cell>
          <cell r="Z25" t="str">
            <v>연봉제</v>
          </cell>
        </row>
        <row r="26">
          <cell r="A26">
            <v>25</v>
          </cell>
          <cell r="B26" t="str">
            <v>영업본부 총판영업팀</v>
          </cell>
          <cell r="C26" t="str">
            <v>팀장</v>
          </cell>
          <cell r="E26" t="str">
            <v>김흥준</v>
          </cell>
          <cell r="G26">
            <v>43770</v>
          </cell>
          <cell r="H26">
            <v>0</v>
          </cell>
          <cell r="J26" t="str">
            <v>내국인</v>
          </cell>
          <cell r="K26" t="str">
            <v>대한민국</v>
          </cell>
          <cell r="L26" t="str">
            <v>651010-1850512</v>
          </cell>
          <cell r="M26">
            <v>24025</v>
          </cell>
          <cell r="N26">
            <v>54</v>
          </cell>
          <cell r="O26" t="str">
            <v>남</v>
          </cell>
          <cell r="Q26" t="str">
            <v xml:space="preserve">울산광역시 남구 북부순환도로 35, 110동 2504호 </v>
          </cell>
          <cell r="R26" t="str">
            <v>부</v>
          </cell>
          <cell r="S26" t="str">
            <v/>
          </cell>
          <cell r="T26" t="str">
            <v/>
          </cell>
          <cell r="U26" t="str">
            <v>010-3847-4852</v>
          </cell>
          <cell r="V26" t="str">
            <v>khj1004@sgfoods.co.kr</v>
          </cell>
          <cell r="W26" t="str">
            <v>농협</v>
          </cell>
          <cell r="X26" t="str">
            <v>913-12-192481</v>
          </cell>
          <cell r="Y26">
            <v>55000000</v>
          </cell>
          <cell r="Z26" t="str">
            <v>연봉제</v>
          </cell>
        </row>
        <row r="27">
          <cell r="A27">
            <v>26</v>
          </cell>
          <cell r="B27" t="str">
            <v>영업본부 총판영업팀</v>
          </cell>
          <cell r="E27" t="str">
            <v>김재수</v>
          </cell>
          <cell r="G27">
            <v>43206</v>
          </cell>
          <cell r="H27">
            <v>2</v>
          </cell>
          <cell r="J27" t="str">
            <v>내국인</v>
          </cell>
          <cell r="K27" t="str">
            <v>대한민국</v>
          </cell>
          <cell r="L27" t="str">
            <v>680314-1328924</v>
          </cell>
          <cell r="M27">
            <v>24911</v>
          </cell>
          <cell r="N27">
            <v>52</v>
          </cell>
          <cell r="O27" t="str">
            <v>남</v>
          </cell>
          <cell r="Q27" t="str">
            <v xml:space="preserve"> </v>
          </cell>
          <cell r="R27" t="str">
            <v>부</v>
          </cell>
          <cell r="S27" t="str">
            <v/>
          </cell>
          <cell r="T27" t="str">
            <v/>
          </cell>
          <cell r="U27" t="str">
            <v>010-6340-8816</v>
          </cell>
          <cell r="V27" t="str">
            <v>jskim8816@sgfoods.co.kr</v>
          </cell>
          <cell r="W27" t="str">
            <v>신한</v>
          </cell>
          <cell r="X27" t="str">
            <v>110-007-639720</v>
          </cell>
          <cell r="Y27">
            <v>61000000</v>
          </cell>
          <cell r="Z27" t="str">
            <v>연봉제</v>
          </cell>
        </row>
        <row r="28">
          <cell r="A28">
            <v>27</v>
          </cell>
          <cell r="E28" t="str">
            <v>박종수</v>
          </cell>
          <cell r="G28">
            <v>43654</v>
          </cell>
          <cell r="H28">
            <v>0</v>
          </cell>
          <cell r="J28" t="str">
            <v>내국인</v>
          </cell>
          <cell r="K28" t="str">
            <v>대한민국</v>
          </cell>
          <cell r="L28" t="str">
            <v>780306-1448811</v>
          </cell>
          <cell r="M28">
            <v>28555</v>
          </cell>
          <cell r="N28">
            <v>42</v>
          </cell>
          <cell r="O28" t="str">
            <v>남</v>
          </cell>
          <cell r="Q28" t="str">
            <v xml:space="preserve">대전광역시 유성구 송강로42번길 61 101동 1402호 </v>
          </cell>
          <cell r="R28" t="str">
            <v>부</v>
          </cell>
          <cell r="S28" t="str">
            <v/>
          </cell>
          <cell r="T28" t="str">
            <v/>
          </cell>
          <cell r="U28" t="str">
            <v>010-2409-5329</v>
          </cell>
          <cell r="V28" t="str">
            <v>dopa1004@sgfoods.co.kr</v>
          </cell>
          <cell r="W28" t="str">
            <v>하나</v>
          </cell>
          <cell r="X28" t="str">
            <v>654-910252-82707</v>
          </cell>
          <cell r="Y28">
            <v>46350000</v>
          </cell>
          <cell r="Z28" t="str">
            <v>연봉제</v>
          </cell>
        </row>
        <row r="29">
          <cell r="A29">
            <v>28</v>
          </cell>
          <cell r="B29" t="str">
            <v>영업본부 총판영업팀</v>
          </cell>
          <cell r="E29" t="str">
            <v>한정호</v>
          </cell>
          <cell r="G29">
            <v>43409</v>
          </cell>
          <cell r="H29">
            <v>1</v>
          </cell>
          <cell r="J29" t="str">
            <v>내국인</v>
          </cell>
          <cell r="K29" t="str">
            <v>대한민국</v>
          </cell>
          <cell r="L29" t="str">
            <v>660228-1639326</v>
          </cell>
          <cell r="M29">
            <v>24166</v>
          </cell>
          <cell r="N29">
            <v>54</v>
          </cell>
          <cell r="O29" t="str">
            <v>남</v>
          </cell>
          <cell r="Q29" t="str">
            <v xml:space="preserve">경기 파주시 와석순환로 16 롯데캐슬 903동1502호 </v>
          </cell>
          <cell r="R29" t="str">
            <v>부</v>
          </cell>
          <cell r="S29" t="str">
            <v/>
          </cell>
          <cell r="T29" t="str">
            <v/>
          </cell>
          <cell r="U29" t="str">
            <v>010-8784-4197</v>
          </cell>
          <cell r="V29" t="str">
            <v>jhhan@sgfoods.co.kr</v>
          </cell>
          <cell r="W29" t="str">
            <v>우리</v>
          </cell>
          <cell r="X29" t="str">
            <v>060-198756-02-001</v>
          </cell>
          <cell r="Y29">
            <v>60000000</v>
          </cell>
          <cell r="Z29" t="str">
            <v>연봉제</v>
          </cell>
        </row>
        <row r="30">
          <cell r="A30">
            <v>29</v>
          </cell>
          <cell r="B30" t="str">
            <v>영업본부 해외영업팀</v>
          </cell>
          <cell r="C30" t="str">
            <v>주임</v>
          </cell>
          <cell r="D30" t="str">
            <v>사무직</v>
          </cell>
          <cell r="E30" t="str">
            <v>양유지</v>
          </cell>
          <cell r="F30">
            <v>43960</v>
          </cell>
          <cell r="G30">
            <v>43871</v>
          </cell>
          <cell r="H30">
            <v>0</v>
          </cell>
          <cell r="J30" t="str">
            <v>내국인</v>
          </cell>
          <cell r="K30" t="str">
            <v>대한민국</v>
          </cell>
          <cell r="L30" t="str">
            <v>910920-2403116</v>
          </cell>
          <cell r="M30">
            <v>33501</v>
          </cell>
          <cell r="N30">
            <v>28</v>
          </cell>
          <cell r="O30" t="str">
            <v>여</v>
          </cell>
          <cell r="Q30" t="str">
            <v xml:space="preserve">대전 서구 탄방로 108-13, 102 호 </v>
          </cell>
          <cell r="R30" t="str">
            <v>부</v>
          </cell>
          <cell r="S30" t="str">
            <v/>
          </cell>
          <cell r="U30" t="str">
            <v>010-4470-2728</v>
          </cell>
          <cell r="Y30">
            <v>29000000</v>
          </cell>
          <cell r="Z30" t="str">
            <v>연봉제</v>
          </cell>
        </row>
        <row r="31">
          <cell r="A31">
            <v>30</v>
          </cell>
          <cell r="B31" t="str">
            <v>영업본부 해외영업팀</v>
          </cell>
          <cell r="C31" t="str">
            <v>사원</v>
          </cell>
          <cell r="D31" t="str">
            <v>사무직</v>
          </cell>
          <cell r="E31" t="str">
            <v>조양</v>
          </cell>
          <cell r="G31">
            <v>42552</v>
          </cell>
          <cell r="H31">
            <v>3</v>
          </cell>
          <cell r="J31" t="str">
            <v>외국인</v>
          </cell>
          <cell r="K31" t="str">
            <v>대한민국</v>
          </cell>
          <cell r="L31" t="str">
            <v>871101-5200293</v>
          </cell>
          <cell r="M31">
            <v>32082</v>
          </cell>
          <cell r="N31">
            <v>32</v>
          </cell>
          <cell r="O31" t="str">
            <v>남</v>
          </cell>
          <cell r="P31">
            <v>34862</v>
          </cell>
          <cell r="Q31" t="str">
            <v>대전광역시 중구  선화로 108  14, 403호 (선화동)</v>
          </cell>
          <cell r="R31" t="str">
            <v>여</v>
          </cell>
          <cell r="S31">
            <v>42552</v>
          </cell>
          <cell r="T31">
            <v>44408</v>
          </cell>
          <cell r="U31" t="str">
            <v>010-7548-1314</v>
          </cell>
          <cell r="V31" t="str">
            <v>sg87@sgfoods.co.kr</v>
          </cell>
          <cell r="W31" t="str">
            <v>하나</v>
          </cell>
          <cell r="X31" t="str">
            <v>654-910334-10707</v>
          </cell>
          <cell r="Y31">
            <v>35000000</v>
          </cell>
          <cell r="Z31" t="str">
            <v>연봉제</v>
          </cell>
        </row>
        <row r="32">
          <cell r="A32">
            <v>31</v>
          </cell>
          <cell r="B32" t="str">
            <v>생산본부</v>
          </cell>
          <cell r="C32" t="str">
            <v>사원</v>
          </cell>
          <cell r="D32" t="str">
            <v>사무직</v>
          </cell>
          <cell r="E32" t="str">
            <v>윤길중</v>
          </cell>
          <cell r="G32">
            <v>43325</v>
          </cell>
          <cell r="H32">
            <v>1</v>
          </cell>
          <cell r="J32" t="str">
            <v>내국인</v>
          </cell>
          <cell r="K32" t="str">
            <v>대한민국</v>
          </cell>
          <cell r="L32" t="str">
            <v>900603-1454627</v>
          </cell>
          <cell r="M32">
            <v>33027</v>
          </cell>
          <cell r="N32">
            <v>30</v>
          </cell>
          <cell r="O32" t="str">
            <v>남</v>
          </cell>
          <cell r="Q32" t="str">
            <v xml:space="preserve"> 303g호 </v>
          </cell>
          <cell r="R32" t="str">
            <v>부</v>
          </cell>
          <cell r="S32" t="str">
            <v/>
          </cell>
          <cell r="T32" t="str">
            <v/>
          </cell>
          <cell r="U32" t="str">
            <v>010-5115-5348</v>
          </cell>
          <cell r="V32" t="str">
            <v>ygj5348@sgfoods.co.kr</v>
          </cell>
          <cell r="W32" t="str">
            <v>하나</v>
          </cell>
          <cell r="X32" t="str">
            <v>602-910506-68407</v>
          </cell>
          <cell r="Y32">
            <v>29150000.000000004</v>
          </cell>
          <cell r="Z32" t="str">
            <v>연봉제</v>
          </cell>
        </row>
        <row r="33">
          <cell r="A33">
            <v>32</v>
          </cell>
          <cell r="B33" t="str">
            <v>생산본부</v>
          </cell>
          <cell r="C33" t="str">
            <v>사원</v>
          </cell>
          <cell r="E33" t="str">
            <v>허재용</v>
          </cell>
          <cell r="G33">
            <v>43636</v>
          </cell>
          <cell r="H33">
            <v>0</v>
          </cell>
          <cell r="J33" t="str">
            <v>내국인</v>
          </cell>
          <cell r="K33" t="str">
            <v>대한민국</v>
          </cell>
          <cell r="L33" t="str">
            <v>900823-1012831</v>
          </cell>
          <cell r="M33">
            <v>33108</v>
          </cell>
          <cell r="N33">
            <v>29</v>
          </cell>
          <cell r="O33" t="str">
            <v>남</v>
          </cell>
          <cell r="Q33" t="str">
            <v xml:space="preserve">대전광역시 대덕구 와동 369-3 그린빌 304호대전광역시 대덕구 와동  </v>
          </cell>
          <cell r="R33" t="str">
            <v>여</v>
          </cell>
          <cell r="S33">
            <v>43636</v>
          </cell>
          <cell r="T33">
            <v>45473</v>
          </cell>
          <cell r="U33" t="str">
            <v>010-7474-9793</v>
          </cell>
          <cell r="V33" t="str">
            <v>her9793@sgfoods.co.kr</v>
          </cell>
          <cell r="W33" t="str">
            <v>하나</v>
          </cell>
          <cell r="X33" t="str">
            <v>348-910409-49607</v>
          </cell>
          <cell r="Y33">
            <v>29150000.000000004</v>
          </cell>
          <cell r="Z33" t="str">
            <v>연봉제</v>
          </cell>
          <cell r="AD33">
            <v>41055</v>
          </cell>
          <cell r="AE33">
            <v>41723</v>
          </cell>
        </row>
        <row r="34">
          <cell r="A34">
            <v>33</v>
          </cell>
          <cell r="B34" t="str">
            <v>생산본부</v>
          </cell>
          <cell r="E34" t="str">
            <v>육대근</v>
          </cell>
          <cell r="G34">
            <v>40330</v>
          </cell>
          <cell r="H34">
            <v>10</v>
          </cell>
          <cell r="J34" t="str">
            <v>내국인</v>
          </cell>
          <cell r="K34" t="str">
            <v>대한민국</v>
          </cell>
          <cell r="L34" t="str">
            <v>850213-1400516</v>
          </cell>
          <cell r="M34">
            <v>31091</v>
          </cell>
          <cell r="N34">
            <v>35</v>
          </cell>
          <cell r="O34" t="str">
            <v>남</v>
          </cell>
          <cell r="P34">
            <v>35268</v>
          </cell>
          <cell r="Q34" t="str">
            <v>대전광역시 서구  계룡로536번길 9, 103동 803호 (괴정동, 한신아파트)</v>
          </cell>
          <cell r="R34" t="str">
            <v>부</v>
          </cell>
          <cell r="S34" t="str">
            <v/>
          </cell>
          <cell r="T34" t="str">
            <v/>
          </cell>
          <cell r="U34" t="str">
            <v>010-8804-3876</v>
          </cell>
          <cell r="V34" t="str">
            <v>ydk3876@sgfoods.co.kr</v>
          </cell>
          <cell r="W34" t="str">
            <v>하나</v>
          </cell>
          <cell r="X34" t="str">
            <v>602-910201-51807</v>
          </cell>
          <cell r="Y34">
            <v>50000000</v>
          </cell>
          <cell r="Z34" t="str">
            <v>연봉제</v>
          </cell>
          <cell r="AD34">
            <v>38365</v>
          </cell>
          <cell r="AE34">
            <v>39094</v>
          </cell>
        </row>
        <row r="35">
          <cell r="A35">
            <v>34</v>
          </cell>
          <cell r="B35" t="str">
            <v>생산본부 공무팀</v>
          </cell>
          <cell r="C35" t="str">
            <v>팀장</v>
          </cell>
          <cell r="E35" t="str">
            <v>서정배</v>
          </cell>
          <cell r="G35">
            <v>42156</v>
          </cell>
          <cell r="H35">
            <v>5</v>
          </cell>
          <cell r="J35" t="str">
            <v>내국인</v>
          </cell>
          <cell r="K35" t="str">
            <v>대한민국</v>
          </cell>
          <cell r="L35" t="str">
            <v>700227-1787715</v>
          </cell>
          <cell r="M35">
            <v>25626</v>
          </cell>
          <cell r="N35">
            <v>50</v>
          </cell>
          <cell r="O35" t="str">
            <v>남</v>
          </cell>
          <cell r="P35">
            <v>34569</v>
          </cell>
          <cell r="Q35" t="str">
            <v>대전광역시 동구  대전로 935  106동 1501호(삼성동, 한밭자이아파트)</v>
          </cell>
          <cell r="R35" t="str">
            <v>부</v>
          </cell>
          <cell r="S35" t="str">
            <v/>
          </cell>
          <cell r="T35" t="str">
            <v/>
          </cell>
          <cell r="U35" t="str">
            <v>010-8586-7580</v>
          </cell>
          <cell r="V35" t="str">
            <v>nice758000@sgfoods.co.kr</v>
          </cell>
          <cell r="W35" t="str">
            <v>하나</v>
          </cell>
          <cell r="X35" t="str">
            <v>654-910165-88907</v>
          </cell>
          <cell r="Y35">
            <v>60000000</v>
          </cell>
          <cell r="Z35" t="str">
            <v>연봉제</v>
          </cell>
        </row>
        <row r="36">
          <cell r="A36">
            <v>35</v>
          </cell>
          <cell r="B36" t="str">
            <v>생산본부 공무팀</v>
          </cell>
          <cell r="C36" t="str">
            <v>사원</v>
          </cell>
          <cell r="E36" t="str">
            <v>최명석</v>
          </cell>
          <cell r="G36">
            <v>42675</v>
          </cell>
          <cell r="H36">
            <v>3</v>
          </cell>
          <cell r="J36" t="str">
            <v>내국인</v>
          </cell>
          <cell r="K36" t="str">
            <v>대한민국</v>
          </cell>
          <cell r="L36" t="str">
            <v>870115-1408511</v>
          </cell>
          <cell r="M36">
            <v>31792</v>
          </cell>
          <cell r="N36">
            <v>33</v>
          </cell>
          <cell r="O36" t="str">
            <v>남</v>
          </cell>
          <cell r="P36">
            <v>34846</v>
          </cell>
          <cell r="Q36" t="str">
            <v>대전광역시 중구  보문로337번길 9  303호 (선화동, 정연빌딩)</v>
          </cell>
          <cell r="R36" t="str">
            <v>부</v>
          </cell>
          <cell r="S36" t="str">
            <v/>
          </cell>
          <cell r="T36" t="str">
            <v/>
          </cell>
          <cell r="U36" t="str">
            <v>010-3944-2230</v>
          </cell>
          <cell r="W36" t="str">
            <v>하나</v>
          </cell>
          <cell r="X36" t="str">
            <v>661-910287-12707</v>
          </cell>
          <cell r="Y36" t="str">
            <v>정보없음</v>
          </cell>
          <cell r="Z36" t="str">
            <v>연봉제</v>
          </cell>
        </row>
        <row r="37">
          <cell r="A37">
            <v>36</v>
          </cell>
          <cell r="B37" t="str">
            <v>생산본부 공무팀</v>
          </cell>
          <cell r="E37" t="str">
            <v>박재창</v>
          </cell>
          <cell r="G37">
            <v>39996</v>
          </cell>
          <cell r="H37">
            <v>10</v>
          </cell>
          <cell r="J37" t="str">
            <v>내국인</v>
          </cell>
          <cell r="K37" t="str">
            <v>대한민국</v>
          </cell>
          <cell r="L37" t="str">
            <v>610207-1779113</v>
          </cell>
          <cell r="M37">
            <v>22319</v>
          </cell>
          <cell r="N37">
            <v>59</v>
          </cell>
          <cell r="O37" t="str">
            <v>남</v>
          </cell>
          <cell r="P37">
            <v>34849</v>
          </cell>
          <cell r="Q37" t="str">
            <v>대전광역시 중구  동서대로 1388  106동 1104호(목동, 금호한사랑아파트)</v>
          </cell>
          <cell r="R37" t="str">
            <v>부</v>
          </cell>
          <cell r="S37" t="str">
            <v/>
          </cell>
          <cell r="T37" t="str">
            <v/>
          </cell>
          <cell r="U37" t="str">
            <v>010-5140-4792</v>
          </cell>
          <cell r="W37" t="str">
            <v>하나</v>
          </cell>
          <cell r="X37" t="str">
            <v>654-910107-39307</v>
          </cell>
          <cell r="Y37" t="str">
            <v>정보없음</v>
          </cell>
          <cell r="Z37" t="str">
            <v>연봉제</v>
          </cell>
        </row>
        <row r="38">
          <cell r="A38">
            <v>37</v>
          </cell>
          <cell r="B38" t="str">
            <v>생산본부 공무팀</v>
          </cell>
          <cell r="D38" t="str">
            <v/>
          </cell>
          <cell r="E38" t="str">
            <v>오장석</v>
          </cell>
          <cell r="G38">
            <v>43528</v>
          </cell>
          <cell r="H38">
            <v>1</v>
          </cell>
          <cell r="J38" t="str">
            <v>내국인</v>
          </cell>
          <cell r="K38" t="str">
            <v>대한민국</v>
          </cell>
          <cell r="L38" t="str">
            <v>920921-1406228</v>
          </cell>
          <cell r="M38">
            <v>33868</v>
          </cell>
          <cell r="N38">
            <v>27</v>
          </cell>
          <cell r="O38" t="str">
            <v>남</v>
          </cell>
          <cell r="Q38" t="str">
            <v xml:space="preserve">대전 서구 용문로61 신영미소랑 212호 </v>
          </cell>
          <cell r="R38" t="str">
            <v>부</v>
          </cell>
          <cell r="S38" t="str">
            <v/>
          </cell>
          <cell r="T38" t="str">
            <v/>
          </cell>
          <cell r="U38" t="str">
            <v>010-9587-7087</v>
          </cell>
          <cell r="W38" t="str">
            <v>하나</v>
          </cell>
          <cell r="X38" t="str">
            <v>654-910340-18907</v>
          </cell>
          <cell r="Y38" t="str">
            <v>정보없음</v>
          </cell>
          <cell r="Z38" t="str">
            <v>연봉제</v>
          </cell>
        </row>
        <row r="39">
          <cell r="A39">
            <v>38</v>
          </cell>
          <cell r="B39" t="str">
            <v>생산본부 물류관리팀</v>
          </cell>
          <cell r="C39" t="str">
            <v>팀장</v>
          </cell>
          <cell r="D39" t="str">
            <v>사무직</v>
          </cell>
          <cell r="E39" t="str">
            <v>천세운</v>
          </cell>
          <cell r="G39">
            <v>42795</v>
          </cell>
          <cell r="H39">
            <v>3</v>
          </cell>
          <cell r="J39" t="str">
            <v>내국인</v>
          </cell>
          <cell r="K39" t="str">
            <v>대한민국</v>
          </cell>
          <cell r="L39" t="str">
            <v>821218-1114617</v>
          </cell>
          <cell r="M39">
            <v>30303</v>
          </cell>
          <cell r="N39">
            <v>37</v>
          </cell>
          <cell r="O39" t="str">
            <v>남</v>
          </cell>
          <cell r="P39">
            <v>34978</v>
          </cell>
          <cell r="Q39" t="str">
            <v>대전광역시 중구  대둔산로 512  101동 905호(유천동, 큰솔아파트)</v>
          </cell>
          <cell r="R39" t="str">
            <v>부</v>
          </cell>
          <cell r="S39" t="str">
            <v/>
          </cell>
          <cell r="T39" t="str">
            <v/>
          </cell>
          <cell r="U39" t="str">
            <v>010-4772-3534</v>
          </cell>
          <cell r="V39" t="str">
            <v>cheonsewoon@sgfoods.co.kr</v>
          </cell>
          <cell r="W39" t="str">
            <v>하나</v>
          </cell>
          <cell r="X39" t="str">
            <v>654-910344-86007</v>
          </cell>
          <cell r="Y39">
            <v>34999999.882399999</v>
          </cell>
          <cell r="Z39" t="str">
            <v>연봉제</v>
          </cell>
        </row>
        <row r="40">
          <cell r="A40">
            <v>39</v>
          </cell>
          <cell r="B40" t="str">
            <v>생산본부 물류관리팀</v>
          </cell>
          <cell r="C40" t="str">
            <v>주임</v>
          </cell>
          <cell r="E40" t="str">
            <v>김태우</v>
          </cell>
          <cell r="G40">
            <v>43773</v>
          </cell>
          <cell r="H40">
            <v>0</v>
          </cell>
          <cell r="J40" t="str">
            <v>내국인</v>
          </cell>
          <cell r="K40" t="str">
            <v>대한민국</v>
          </cell>
          <cell r="L40" t="str">
            <v>880509-1852311</v>
          </cell>
          <cell r="M40">
            <v>32272</v>
          </cell>
          <cell r="N40">
            <v>32</v>
          </cell>
          <cell r="O40" t="str">
            <v>남</v>
          </cell>
          <cell r="Q40" t="str">
            <v xml:space="preserve">대전광역시 대덕구 용전동 169-24 </v>
          </cell>
          <cell r="R40" t="str">
            <v>여</v>
          </cell>
          <cell r="S40">
            <v>43773</v>
          </cell>
          <cell r="T40">
            <v>45626</v>
          </cell>
          <cell r="U40" t="str">
            <v>010-7672-3698</v>
          </cell>
          <cell r="V40" t="str">
            <v>ktw3698@sgfoods.co.kr</v>
          </cell>
          <cell r="W40" t="str">
            <v>농협</v>
          </cell>
          <cell r="X40" t="str">
            <v>352-1528-2134-43</v>
          </cell>
          <cell r="Y40">
            <v>29600000</v>
          </cell>
          <cell r="Z40" t="str">
            <v>연봉제</v>
          </cell>
          <cell r="AD40">
            <v>39455</v>
          </cell>
          <cell r="AE40">
            <v>40149</v>
          </cell>
        </row>
        <row r="41">
          <cell r="A41">
            <v>40</v>
          </cell>
          <cell r="B41" t="str">
            <v>생산본부 물류팀</v>
          </cell>
          <cell r="C41" t="str">
            <v>팀장</v>
          </cell>
          <cell r="D41" t="str">
            <v>생산직</v>
          </cell>
          <cell r="E41" t="str">
            <v>이덕훈</v>
          </cell>
          <cell r="G41">
            <v>42156</v>
          </cell>
          <cell r="H41">
            <v>5</v>
          </cell>
          <cell r="J41" t="str">
            <v>내국인</v>
          </cell>
          <cell r="K41" t="str">
            <v>대한민국</v>
          </cell>
          <cell r="L41" t="str">
            <v>710114-1536816</v>
          </cell>
          <cell r="M41">
            <v>25947</v>
          </cell>
          <cell r="N41">
            <v>49</v>
          </cell>
          <cell r="O41" t="str">
            <v>남</v>
          </cell>
          <cell r="P41">
            <v>35373</v>
          </cell>
          <cell r="Q41" t="str">
            <v>대전광역시 서구  관저로 84  803동 503호 (관저동, 구봉마을8단지)</v>
          </cell>
          <cell r="R41" t="str">
            <v>부</v>
          </cell>
          <cell r="S41" t="str">
            <v/>
          </cell>
          <cell r="T41" t="str">
            <v/>
          </cell>
          <cell r="U41" t="str">
            <v>017-410-1241</v>
          </cell>
          <cell r="V41" t="str">
            <v>ldh1241@sgfoods.co.kr</v>
          </cell>
          <cell r="W41" t="str">
            <v>하나</v>
          </cell>
          <cell r="X41" t="str">
            <v>640-045881-00108</v>
          </cell>
          <cell r="Y41">
            <v>50000000</v>
          </cell>
          <cell r="Z41" t="str">
            <v>연봉제</v>
          </cell>
        </row>
        <row r="42">
          <cell r="A42">
            <v>41</v>
          </cell>
          <cell r="B42" t="str">
            <v>생산본부 물류팀</v>
          </cell>
          <cell r="C42" t="str">
            <v>반장</v>
          </cell>
          <cell r="D42" t="str">
            <v>생산직</v>
          </cell>
          <cell r="E42" t="str">
            <v>안효광</v>
          </cell>
          <cell r="G42">
            <v>42156</v>
          </cell>
          <cell r="H42">
            <v>5</v>
          </cell>
          <cell r="J42" t="str">
            <v>내국인</v>
          </cell>
          <cell r="K42" t="str">
            <v>대한민국</v>
          </cell>
          <cell r="L42" t="str">
            <v>790201-1386117</v>
          </cell>
          <cell r="M42">
            <v>28887</v>
          </cell>
          <cell r="N42">
            <v>41</v>
          </cell>
          <cell r="O42" t="str">
            <v>남</v>
          </cell>
          <cell r="Q42" t="str">
            <v xml:space="preserve"> </v>
          </cell>
          <cell r="R42" t="str">
            <v>부</v>
          </cell>
          <cell r="S42" t="str">
            <v/>
          </cell>
          <cell r="T42" t="str">
            <v/>
          </cell>
          <cell r="U42" t="str">
            <v>010-6379-7002</v>
          </cell>
          <cell r="W42" t="str">
            <v>하나</v>
          </cell>
          <cell r="X42" t="str">
            <v>657-910254-37307</v>
          </cell>
          <cell r="Y42">
            <v>45320000</v>
          </cell>
          <cell r="Z42" t="str">
            <v>연봉제</v>
          </cell>
        </row>
        <row r="43">
          <cell r="A43">
            <v>42</v>
          </cell>
          <cell r="B43" t="str">
            <v>생산본부 물류팀</v>
          </cell>
          <cell r="C43" t="str">
            <v>사원</v>
          </cell>
          <cell r="D43" t="str">
            <v>생산직</v>
          </cell>
          <cell r="E43" t="str">
            <v>전장우</v>
          </cell>
          <cell r="G43">
            <v>42156</v>
          </cell>
          <cell r="H43">
            <v>5</v>
          </cell>
          <cell r="J43" t="str">
            <v>내국인</v>
          </cell>
          <cell r="K43" t="str">
            <v>대한민국</v>
          </cell>
          <cell r="L43" t="str">
            <v>670304-1408517</v>
          </cell>
          <cell r="M43">
            <v>24535</v>
          </cell>
          <cell r="N43">
            <v>53</v>
          </cell>
          <cell r="O43" t="str">
            <v>남</v>
          </cell>
          <cell r="P43">
            <v>35373</v>
          </cell>
          <cell r="Q43" t="str">
            <v>대전광역시 서구  관저로 84  806동 1403호(관저동, 구봉마을8단지)</v>
          </cell>
          <cell r="R43" t="str">
            <v>부</v>
          </cell>
          <cell r="S43" t="str">
            <v/>
          </cell>
          <cell r="T43" t="str">
            <v/>
          </cell>
          <cell r="U43" t="str">
            <v>010-2989-6703</v>
          </cell>
          <cell r="W43" t="str">
            <v>농협</v>
          </cell>
          <cell r="X43" t="str">
            <v>453083-56-020761</v>
          </cell>
          <cell r="Y43" t="str">
            <v>정보없음</v>
          </cell>
          <cell r="Z43" t="str">
            <v>연봉제</v>
          </cell>
        </row>
        <row r="44">
          <cell r="A44">
            <v>43</v>
          </cell>
          <cell r="B44" t="str">
            <v>생산본부 물류팀</v>
          </cell>
          <cell r="E44" t="str">
            <v>김은광</v>
          </cell>
          <cell r="G44">
            <v>43381</v>
          </cell>
          <cell r="H44">
            <v>1</v>
          </cell>
          <cell r="J44" t="str">
            <v>내국인</v>
          </cell>
          <cell r="K44" t="str">
            <v>대한민국</v>
          </cell>
          <cell r="L44" t="str">
            <v>740821-1379917</v>
          </cell>
          <cell r="M44">
            <v>27262</v>
          </cell>
          <cell r="N44">
            <v>45</v>
          </cell>
          <cell r="O44" t="str">
            <v>남</v>
          </cell>
          <cell r="Q44" t="str">
            <v xml:space="preserve">대전광역시 동구 성둥로 74, 자양동 동아아파트103동901호 </v>
          </cell>
          <cell r="R44" t="str">
            <v>부</v>
          </cell>
          <cell r="S44" t="str">
            <v/>
          </cell>
          <cell r="T44" t="str">
            <v/>
          </cell>
          <cell r="U44" t="str">
            <v>010-8513-8104</v>
          </cell>
          <cell r="W44" t="str">
            <v>하나</v>
          </cell>
          <cell r="X44" t="str">
            <v>648-910452-29607</v>
          </cell>
          <cell r="Y44" t="str">
            <v>정보없음</v>
          </cell>
          <cell r="Z44" t="str">
            <v>연봉제</v>
          </cell>
        </row>
        <row r="45">
          <cell r="A45">
            <v>44</v>
          </cell>
          <cell r="B45" t="str">
            <v>생산본부 물류팀</v>
          </cell>
          <cell r="C45" t="str">
            <v>반장</v>
          </cell>
          <cell r="E45" t="str">
            <v>황철민</v>
          </cell>
          <cell r="G45">
            <v>43292</v>
          </cell>
          <cell r="H45">
            <v>1</v>
          </cell>
          <cell r="J45" t="str">
            <v>내국인</v>
          </cell>
          <cell r="K45" t="str">
            <v>대한민국</v>
          </cell>
          <cell r="L45" t="str">
            <v>750602-1006016</v>
          </cell>
          <cell r="M45">
            <v>27547</v>
          </cell>
          <cell r="N45">
            <v>45</v>
          </cell>
          <cell r="O45" t="str">
            <v>남</v>
          </cell>
          <cell r="Q45" t="str">
            <v xml:space="preserve"> </v>
          </cell>
          <cell r="R45" t="str">
            <v>부</v>
          </cell>
          <cell r="S45" t="str">
            <v/>
          </cell>
          <cell r="T45" t="str">
            <v/>
          </cell>
          <cell r="U45" t="str">
            <v>010-8583-1550</v>
          </cell>
          <cell r="W45" t="str">
            <v>국민</v>
          </cell>
          <cell r="X45" t="str">
            <v>463102-04-046348</v>
          </cell>
          <cell r="Y45" t="str">
            <v>정보없음</v>
          </cell>
          <cell r="Z45" t="str">
            <v>연봉제</v>
          </cell>
        </row>
        <row r="46">
          <cell r="A46">
            <v>45</v>
          </cell>
          <cell r="B46" t="str">
            <v>생산본부 물류팀</v>
          </cell>
          <cell r="E46" t="str">
            <v>이용현</v>
          </cell>
          <cell r="F46">
            <v>43960</v>
          </cell>
          <cell r="G46">
            <v>43871</v>
          </cell>
          <cell r="H46">
            <v>0</v>
          </cell>
          <cell r="J46" t="str">
            <v>내국인</v>
          </cell>
          <cell r="K46" t="str">
            <v>대한민국</v>
          </cell>
          <cell r="L46" t="str">
            <v>911114-1155319</v>
          </cell>
          <cell r="M46">
            <v>33556</v>
          </cell>
          <cell r="N46">
            <v>28</v>
          </cell>
          <cell r="O46" t="str">
            <v>남</v>
          </cell>
          <cell r="Q46" t="str">
            <v>대전광역시 중구 산성동 도암촌빌라 A동 402호</v>
          </cell>
          <cell r="R46" t="str">
            <v>부</v>
          </cell>
          <cell r="U46" t="str">
            <v>010-7598-7030</v>
          </cell>
          <cell r="W46" t="str">
            <v>국민</v>
          </cell>
          <cell r="X46" t="str">
            <v>460002-04-118228</v>
          </cell>
          <cell r="Y46" t="str">
            <v>정보없음</v>
          </cell>
          <cell r="Z46">
            <v>8940</v>
          </cell>
        </row>
        <row r="47">
          <cell r="A47">
            <v>46</v>
          </cell>
          <cell r="B47" t="str">
            <v>생산본부 물류팀</v>
          </cell>
          <cell r="E47" t="str">
            <v>최원석</v>
          </cell>
          <cell r="F47">
            <v>43963</v>
          </cell>
          <cell r="G47">
            <v>43874</v>
          </cell>
          <cell r="H47">
            <v>0</v>
          </cell>
          <cell r="J47" t="str">
            <v>내국인</v>
          </cell>
          <cell r="K47" t="str">
            <v>대한민국</v>
          </cell>
          <cell r="L47" t="str">
            <v>830608-1400517</v>
          </cell>
          <cell r="M47">
            <v>30475</v>
          </cell>
          <cell r="N47">
            <v>37</v>
          </cell>
          <cell r="O47" t="str">
            <v>남</v>
          </cell>
          <cell r="Q47" t="str">
            <v>대전광역시 유성구 송강동 송강그린아파트 303동 1201호</v>
          </cell>
          <cell r="R47" t="str">
            <v>부</v>
          </cell>
          <cell r="U47" t="str">
            <v>010-5729-4499</v>
          </cell>
          <cell r="W47" t="str">
            <v>국민</v>
          </cell>
          <cell r="X47" t="str">
            <v>724702-01-135638</v>
          </cell>
          <cell r="Y47" t="str">
            <v>정보없음</v>
          </cell>
          <cell r="Z47">
            <v>8940</v>
          </cell>
        </row>
        <row r="48">
          <cell r="A48">
            <v>47</v>
          </cell>
          <cell r="B48" t="str">
            <v>생산본부 생산지원팀</v>
          </cell>
          <cell r="E48" t="str">
            <v>김해선</v>
          </cell>
          <cell r="G48">
            <v>42156</v>
          </cell>
          <cell r="H48">
            <v>5</v>
          </cell>
          <cell r="J48" t="str">
            <v>내국인</v>
          </cell>
          <cell r="K48" t="str">
            <v>대한민국</v>
          </cell>
          <cell r="L48" t="str">
            <v>670708-1384411</v>
          </cell>
          <cell r="M48">
            <v>24661</v>
          </cell>
          <cell r="N48">
            <v>52</v>
          </cell>
          <cell r="O48" t="str">
            <v>남</v>
          </cell>
          <cell r="P48">
            <v>34513</v>
          </cell>
          <cell r="Q48" t="str">
            <v>대전광역시 동구  성동로 74  102동 1001호 (자양동, 동아아파트)</v>
          </cell>
          <cell r="R48" t="str">
            <v>부</v>
          </cell>
          <cell r="S48" t="str">
            <v/>
          </cell>
          <cell r="T48" t="str">
            <v/>
          </cell>
          <cell r="U48" t="str">
            <v>010-6403-2813</v>
          </cell>
          <cell r="W48" t="str">
            <v>새마을</v>
          </cell>
          <cell r="X48" t="str">
            <v>3145-09-010846-9</v>
          </cell>
          <cell r="Y48" t="str">
            <v>정보없음</v>
          </cell>
          <cell r="Z48" t="str">
            <v>연봉제</v>
          </cell>
        </row>
        <row r="49">
          <cell r="A49">
            <v>48</v>
          </cell>
          <cell r="B49" t="str">
            <v>생산본부 생산지원팀</v>
          </cell>
          <cell r="E49" t="str">
            <v>이문수</v>
          </cell>
          <cell r="G49">
            <v>42954</v>
          </cell>
          <cell r="H49">
            <v>2</v>
          </cell>
          <cell r="J49" t="str">
            <v>내국인</v>
          </cell>
          <cell r="K49" t="str">
            <v>대한민국</v>
          </cell>
          <cell r="L49" t="str">
            <v>620520-1683321</v>
          </cell>
          <cell r="M49">
            <v>22786</v>
          </cell>
          <cell r="N49">
            <v>58</v>
          </cell>
          <cell r="O49" t="str">
            <v>남</v>
          </cell>
          <cell r="P49">
            <v>34586</v>
          </cell>
          <cell r="Q49" t="str">
            <v>대전광역시 동구  우암로 255  (가양동)</v>
          </cell>
          <cell r="R49" t="str">
            <v>부</v>
          </cell>
          <cell r="S49" t="str">
            <v/>
          </cell>
          <cell r="T49" t="str">
            <v/>
          </cell>
          <cell r="U49" t="str">
            <v>0108-8583-5747</v>
          </cell>
          <cell r="W49" t="str">
            <v>하나</v>
          </cell>
          <cell r="X49" t="str">
            <v>645-910937-76507</v>
          </cell>
          <cell r="Y49" t="str">
            <v>정보없음</v>
          </cell>
          <cell r="Z49" t="str">
            <v>연봉제</v>
          </cell>
        </row>
        <row r="50">
          <cell r="A50">
            <v>49</v>
          </cell>
          <cell r="B50" t="str">
            <v>생산본부 생산지원팀</v>
          </cell>
          <cell r="E50" t="str">
            <v>정선모</v>
          </cell>
          <cell r="G50">
            <v>42156</v>
          </cell>
          <cell r="H50">
            <v>5</v>
          </cell>
          <cell r="J50" t="str">
            <v>내국인</v>
          </cell>
          <cell r="K50" t="str">
            <v>대한민국</v>
          </cell>
          <cell r="L50" t="str">
            <v>550821-1541214</v>
          </cell>
          <cell r="M50">
            <v>20322</v>
          </cell>
          <cell r="N50">
            <v>64</v>
          </cell>
          <cell r="O50" t="str">
            <v>남</v>
          </cell>
          <cell r="P50">
            <v>34052</v>
          </cell>
          <cell r="Q50" t="str">
            <v>대전광역시 유성구  엑스포로 453  302호 (전민동)</v>
          </cell>
          <cell r="R50" t="str">
            <v>부</v>
          </cell>
          <cell r="S50" t="str">
            <v/>
          </cell>
          <cell r="T50" t="str">
            <v/>
          </cell>
          <cell r="U50" t="str">
            <v>010-8405-5765</v>
          </cell>
          <cell r="W50" t="str">
            <v>하나</v>
          </cell>
          <cell r="X50" t="str">
            <v>661-910189-89407</v>
          </cell>
          <cell r="Y50" t="str">
            <v>정보없음</v>
          </cell>
          <cell r="Z50" t="str">
            <v>연봉제</v>
          </cell>
        </row>
        <row r="51">
          <cell r="A51">
            <v>50</v>
          </cell>
          <cell r="B51" t="str">
            <v>생산본부 생산지원팀</v>
          </cell>
          <cell r="D51" t="str">
            <v/>
          </cell>
          <cell r="E51" t="str">
            <v>조효진</v>
          </cell>
          <cell r="G51">
            <v>43486</v>
          </cell>
          <cell r="H51">
            <v>1</v>
          </cell>
          <cell r="J51" t="str">
            <v>내국인</v>
          </cell>
          <cell r="K51" t="str">
            <v>대한민국</v>
          </cell>
          <cell r="L51" t="str">
            <v>900112-1157216</v>
          </cell>
          <cell r="M51">
            <v>32885</v>
          </cell>
          <cell r="N51">
            <v>30</v>
          </cell>
          <cell r="O51" t="str">
            <v>남</v>
          </cell>
          <cell r="P51">
            <v>34896</v>
          </cell>
          <cell r="Q51" t="str">
            <v>대전광역시 중구  평촌로 93  105동 504호 (태평동, 쌍용예가아파트)</v>
          </cell>
          <cell r="R51" t="str">
            <v>부</v>
          </cell>
          <cell r="S51" t="str">
            <v/>
          </cell>
          <cell r="T51" t="str">
            <v/>
          </cell>
          <cell r="U51" t="str">
            <v>010-4440-4250</v>
          </cell>
          <cell r="W51" t="str">
            <v>하나</v>
          </cell>
          <cell r="X51" t="str">
            <v>623-910523-82907</v>
          </cell>
          <cell r="Y51" t="str">
            <v>정보없음</v>
          </cell>
          <cell r="Z51" t="str">
            <v>연봉제</v>
          </cell>
        </row>
        <row r="52">
          <cell r="A52">
            <v>51</v>
          </cell>
          <cell r="B52" t="str">
            <v>생산본부 생산지원팀</v>
          </cell>
          <cell r="E52" t="str">
            <v>최춘수</v>
          </cell>
          <cell r="G52">
            <v>42156</v>
          </cell>
          <cell r="H52">
            <v>5</v>
          </cell>
          <cell r="J52" t="str">
            <v>내국인</v>
          </cell>
          <cell r="K52" t="str">
            <v>대한민국</v>
          </cell>
          <cell r="L52" t="str">
            <v>590120-1448845</v>
          </cell>
          <cell r="M52">
            <v>21570</v>
          </cell>
          <cell r="N52">
            <v>61</v>
          </cell>
          <cell r="O52" t="str">
            <v>남</v>
          </cell>
          <cell r="Q52" t="str">
            <v xml:space="preserve">대전 대덕구 신일동 26 </v>
          </cell>
          <cell r="R52" t="str">
            <v>부</v>
          </cell>
          <cell r="S52" t="str">
            <v/>
          </cell>
          <cell r="T52" t="str">
            <v/>
          </cell>
          <cell r="U52" t="str">
            <v>010-5402-4392</v>
          </cell>
          <cell r="W52" t="str">
            <v>하나</v>
          </cell>
          <cell r="X52" t="str">
            <v>644-910215-39107</v>
          </cell>
          <cell r="Y52" t="str">
            <v>정보없음</v>
          </cell>
          <cell r="Z52" t="str">
            <v>연봉제</v>
          </cell>
        </row>
        <row r="53">
          <cell r="A53">
            <v>52</v>
          </cell>
          <cell r="B53" t="str">
            <v>생산본부 생산지원팀</v>
          </cell>
          <cell r="E53" t="str">
            <v>현기옥</v>
          </cell>
          <cell r="G53">
            <v>42156</v>
          </cell>
          <cell r="H53">
            <v>5</v>
          </cell>
          <cell r="J53" t="str">
            <v>내국인</v>
          </cell>
          <cell r="K53" t="str">
            <v>대한민국</v>
          </cell>
          <cell r="L53" t="str">
            <v>530501-1384423</v>
          </cell>
          <cell r="M53">
            <v>19480</v>
          </cell>
          <cell r="N53">
            <v>67</v>
          </cell>
          <cell r="O53" t="str">
            <v>남</v>
          </cell>
          <cell r="P53">
            <v>34673</v>
          </cell>
          <cell r="Q53" t="str">
            <v>대전광역시 동구  동구청로203번길 36  104동 403호 (판암동, 미리내아파트)</v>
          </cell>
          <cell r="R53" t="str">
            <v>부</v>
          </cell>
          <cell r="S53" t="str">
            <v/>
          </cell>
          <cell r="T53" t="str">
            <v/>
          </cell>
          <cell r="U53" t="str">
            <v>018-421-6900</v>
          </cell>
          <cell r="W53" t="str">
            <v>하나</v>
          </cell>
          <cell r="X53" t="str">
            <v>653-910300-64707</v>
          </cell>
          <cell r="Y53" t="str">
            <v>정보없음</v>
          </cell>
          <cell r="Z53" t="str">
            <v>연봉제</v>
          </cell>
        </row>
        <row r="54">
          <cell r="A54">
            <v>53</v>
          </cell>
          <cell r="B54" t="str">
            <v>생산본부 생산팀 착유파트</v>
          </cell>
          <cell r="D54" t="str">
            <v/>
          </cell>
          <cell r="E54" t="str">
            <v>문정대</v>
          </cell>
          <cell r="G54">
            <v>42309</v>
          </cell>
          <cell r="H54">
            <v>4</v>
          </cell>
          <cell r="J54" t="str">
            <v>내국인</v>
          </cell>
          <cell r="K54" t="str">
            <v>대한민국</v>
          </cell>
          <cell r="L54" t="str">
            <v>730416-1447412</v>
          </cell>
          <cell r="M54">
            <v>26770</v>
          </cell>
          <cell r="N54">
            <v>47</v>
          </cell>
          <cell r="O54" t="str">
            <v>남</v>
          </cell>
          <cell r="P54">
            <v>34661</v>
          </cell>
          <cell r="Q54" t="str">
            <v>대전광역시 동구  동부로73번길 95  5동 202호 (용운동, 삼정하이츠타운)</v>
          </cell>
          <cell r="R54" t="str">
            <v>부</v>
          </cell>
          <cell r="S54" t="str">
            <v/>
          </cell>
          <cell r="T54" t="str">
            <v/>
          </cell>
          <cell r="U54" t="str">
            <v>010-6411-7494</v>
          </cell>
          <cell r="W54" t="str">
            <v>하나</v>
          </cell>
          <cell r="X54" t="str">
            <v>648-103951-00307</v>
          </cell>
          <cell r="Y54" t="str">
            <v>시급제</v>
          </cell>
          <cell r="Z54" t="str">
            <v>정보없음</v>
          </cell>
        </row>
        <row r="55">
          <cell r="A55">
            <v>54</v>
          </cell>
          <cell r="B55" t="str">
            <v>생산본부 생산팀 착유파트</v>
          </cell>
          <cell r="D55" t="str">
            <v/>
          </cell>
          <cell r="E55" t="str">
            <v>조문식</v>
          </cell>
          <cell r="G55">
            <v>42156</v>
          </cell>
          <cell r="H55">
            <v>5</v>
          </cell>
          <cell r="J55" t="str">
            <v>내국인</v>
          </cell>
          <cell r="K55" t="str">
            <v>대한민국</v>
          </cell>
          <cell r="L55" t="str">
            <v>660905-1930511</v>
          </cell>
          <cell r="M55">
            <v>24355</v>
          </cell>
          <cell r="N55">
            <v>53</v>
          </cell>
          <cell r="O55" t="str">
            <v>남</v>
          </cell>
          <cell r="P55">
            <v>35342</v>
          </cell>
          <cell r="Q55" t="str">
            <v>대전광역시 서구  배재로227번길 85  201호 (변동)</v>
          </cell>
          <cell r="R55" t="str">
            <v>부</v>
          </cell>
          <cell r="S55" t="str">
            <v/>
          </cell>
          <cell r="T55" t="str">
            <v/>
          </cell>
          <cell r="U55" t="str">
            <v>010-4855-6851</v>
          </cell>
          <cell r="W55" t="str">
            <v>하나</v>
          </cell>
          <cell r="X55" t="str">
            <v>654-910172-13507</v>
          </cell>
          <cell r="Y55" t="str">
            <v>시급제</v>
          </cell>
          <cell r="Z55" t="str">
            <v>정보없음</v>
          </cell>
        </row>
        <row r="56">
          <cell r="A56">
            <v>55</v>
          </cell>
          <cell r="B56" t="str">
            <v>생산본부 자재팀</v>
          </cell>
          <cell r="C56" t="str">
            <v>팀장</v>
          </cell>
          <cell r="E56" t="str">
            <v>김영산</v>
          </cell>
          <cell r="G56">
            <v>42156</v>
          </cell>
          <cell r="H56">
            <v>5</v>
          </cell>
          <cell r="J56" t="str">
            <v>내국인</v>
          </cell>
          <cell r="K56" t="str">
            <v>대한민국</v>
          </cell>
          <cell r="L56" t="str">
            <v>751203-1458711</v>
          </cell>
          <cell r="M56">
            <v>27731</v>
          </cell>
          <cell r="N56">
            <v>44</v>
          </cell>
          <cell r="O56" t="str">
            <v>남</v>
          </cell>
          <cell r="P56">
            <v>34402</v>
          </cell>
          <cell r="Q56" t="str">
            <v>대전광역시 대덕구  계족산로 135  501동 1103호(송촌동, 선비마을아파트)</v>
          </cell>
          <cell r="R56" t="str">
            <v>부</v>
          </cell>
          <cell r="S56" t="str">
            <v/>
          </cell>
          <cell r="T56" t="str">
            <v/>
          </cell>
          <cell r="U56" t="str">
            <v>010-6411-1042</v>
          </cell>
          <cell r="V56" t="str">
            <v>empyrium@sgfoods.co.kr</v>
          </cell>
          <cell r="W56" t="str">
            <v>하나</v>
          </cell>
          <cell r="X56" t="str">
            <v>654-910165-84307</v>
          </cell>
          <cell r="Y56">
            <v>50000000</v>
          </cell>
          <cell r="Z56" t="str">
            <v>연봉제</v>
          </cell>
        </row>
        <row r="57">
          <cell r="A57">
            <v>56</v>
          </cell>
          <cell r="B57" t="str">
            <v>생산본부 자재팀</v>
          </cell>
          <cell r="C57" t="str">
            <v>사원</v>
          </cell>
          <cell r="E57" t="str">
            <v>김동현</v>
          </cell>
          <cell r="G57">
            <v>43752</v>
          </cell>
          <cell r="H57">
            <v>0</v>
          </cell>
          <cell r="J57" t="str">
            <v>내국인</v>
          </cell>
          <cell r="K57" t="str">
            <v>대한민국</v>
          </cell>
          <cell r="L57" t="str">
            <v>850910-1408811</v>
          </cell>
          <cell r="M57">
            <v>31300</v>
          </cell>
          <cell r="N57">
            <v>34</v>
          </cell>
          <cell r="O57" t="str">
            <v>남</v>
          </cell>
          <cell r="Q57" t="str">
            <v xml:space="preserve">대전광역시 동구 삼성동 390-35 아트빌라 301호 </v>
          </cell>
          <cell r="R57" t="str">
            <v>부</v>
          </cell>
          <cell r="S57" t="str">
            <v/>
          </cell>
          <cell r="T57" t="str">
            <v/>
          </cell>
          <cell r="U57" t="str">
            <v>010-4098-8925</v>
          </cell>
          <cell r="W57" t="str">
            <v>국민</v>
          </cell>
          <cell r="X57" t="str">
            <v>470701 04 264055</v>
          </cell>
          <cell r="Y57" t="str">
            <v>정보없음</v>
          </cell>
          <cell r="Z57" t="str">
            <v>연봉제</v>
          </cell>
        </row>
        <row r="58">
          <cell r="A58">
            <v>57</v>
          </cell>
          <cell r="B58" t="str">
            <v>생산본부 자재팀</v>
          </cell>
          <cell r="C58" t="str">
            <v>사원</v>
          </cell>
          <cell r="E58" t="str">
            <v>김영준</v>
          </cell>
          <cell r="G58">
            <v>43435</v>
          </cell>
          <cell r="H58">
            <v>1</v>
          </cell>
          <cell r="J58" t="str">
            <v>내국인</v>
          </cell>
          <cell r="K58" t="str">
            <v>대한민국</v>
          </cell>
          <cell r="L58" t="str">
            <v>890408-1395411</v>
          </cell>
          <cell r="M58">
            <v>32606</v>
          </cell>
          <cell r="N58">
            <v>31</v>
          </cell>
          <cell r="O58" t="str">
            <v>남</v>
          </cell>
          <cell r="Q58" t="str">
            <v xml:space="preserve">대전 동구 계족로464번길 23,301호 </v>
          </cell>
          <cell r="R58" t="str">
            <v>부</v>
          </cell>
          <cell r="S58" t="str">
            <v/>
          </cell>
          <cell r="T58" t="str">
            <v/>
          </cell>
          <cell r="U58" t="str">
            <v>010-5012-3485</v>
          </cell>
          <cell r="W58" t="str">
            <v>우리</v>
          </cell>
          <cell r="X58" t="str">
            <v>1002-452-981783</v>
          </cell>
          <cell r="Y58" t="str">
            <v>정보없음</v>
          </cell>
          <cell r="Z58" t="str">
            <v>연봉제</v>
          </cell>
        </row>
        <row r="59">
          <cell r="A59">
            <v>58</v>
          </cell>
          <cell r="B59" t="str">
            <v>생산본부 자재팀</v>
          </cell>
          <cell r="C59" t="str">
            <v>사원</v>
          </cell>
          <cell r="E59" t="str">
            <v>오국진</v>
          </cell>
          <cell r="G59">
            <v>43038</v>
          </cell>
          <cell r="H59">
            <v>2</v>
          </cell>
          <cell r="J59" t="str">
            <v>내국인</v>
          </cell>
          <cell r="K59" t="str">
            <v>대한민국</v>
          </cell>
          <cell r="L59" t="str">
            <v>781204-1490412</v>
          </cell>
          <cell r="M59">
            <v>28828</v>
          </cell>
          <cell r="N59">
            <v>41</v>
          </cell>
          <cell r="O59" t="str">
            <v>남</v>
          </cell>
          <cell r="P59">
            <v>34541</v>
          </cell>
          <cell r="Q59" t="str">
            <v>대전광역시 동구 계족로521번길(용전동) 프리미엄 204호</v>
          </cell>
          <cell r="R59" t="str">
            <v>부</v>
          </cell>
          <cell r="S59" t="str">
            <v/>
          </cell>
          <cell r="T59" t="str">
            <v/>
          </cell>
          <cell r="U59" t="str">
            <v>010-2499-8426</v>
          </cell>
          <cell r="W59" t="str">
            <v>하나</v>
          </cell>
          <cell r="X59" t="str">
            <v>654-910357-80007</v>
          </cell>
          <cell r="Y59" t="str">
            <v>정보없음</v>
          </cell>
          <cell r="Z59" t="str">
            <v>연봉제</v>
          </cell>
        </row>
        <row r="60">
          <cell r="A60">
            <v>59</v>
          </cell>
          <cell r="B60" t="str">
            <v>생산본부 자재팀</v>
          </cell>
          <cell r="C60" t="str">
            <v>사원</v>
          </cell>
          <cell r="E60" t="str">
            <v>노재현</v>
          </cell>
          <cell r="F60">
            <v>43960</v>
          </cell>
          <cell r="G60">
            <v>43871</v>
          </cell>
          <cell r="H60">
            <v>0</v>
          </cell>
          <cell r="J60" t="str">
            <v>내국인</v>
          </cell>
          <cell r="K60" t="str">
            <v>대한민국</v>
          </cell>
          <cell r="L60" t="str">
            <v>970714-1405410</v>
          </cell>
          <cell r="M60">
            <v>35625</v>
          </cell>
          <cell r="N60">
            <v>22</v>
          </cell>
          <cell r="O60" t="str">
            <v>남</v>
          </cell>
          <cell r="Q60" t="str">
            <v xml:space="preserve">대전광역시 중구 중앙로79번길 41,302호 </v>
          </cell>
          <cell r="R60" t="str">
            <v>부</v>
          </cell>
          <cell r="S60" t="str">
            <v/>
          </cell>
          <cell r="U60" t="str">
            <v>010-9593-6184</v>
          </cell>
          <cell r="W60" t="str">
            <v>농협</v>
          </cell>
          <cell r="X60" t="str">
            <v>352-0781-1869-13</v>
          </cell>
          <cell r="Y60" t="str">
            <v>정보없음</v>
          </cell>
          <cell r="Z60">
            <v>8940</v>
          </cell>
        </row>
        <row r="61">
          <cell r="A61">
            <v>60</v>
          </cell>
          <cell r="B61" t="str">
            <v>생산본부 품질관리팀</v>
          </cell>
          <cell r="C61" t="str">
            <v>대리</v>
          </cell>
          <cell r="E61" t="str">
            <v>황나리</v>
          </cell>
          <cell r="G61">
            <v>43780</v>
          </cell>
          <cell r="H61">
            <v>0</v>
          </cell>
          <cell r="J61" t="str">
            <v>내국인</v>
          </cell>
          <cell r="K61" t="str">
            <v>대한민국</v>
          </cell>
          <cell r="L61" t="str">
            <v>910911-2038049</v>
          </cell>
          <cell r="M61">
            <v>33492</v>
          </cell>
          <cell r="N61">
            <v>28</v>
          </cell>
          <cell r="O61" t="str">
            <v>여</v>
          </cell>
          <cell r="Q61" t="str">
            <v xml:space="preserve">대전 서구 청사로 282 수정타운 12동 206호 </v>
          </cell>
          <cell r="R61" t="str">
            <v>부</v>
          </cell>
          <cell r="S61" t="str">
            <v/>
          </cell>
          <cell r="T61" t="str">
            <v/>
          </cell>
          <cell r="U61" t="str">
            <v>010-6799-9688</v>
          </cell>
          <cell r="V61" t="str">
            <v>skflgg71@sgfoods.co.kr</v>
          </cell>
          <cell r="W61" t="str">
            <v>국민</v>
          </cell>
          <cell r="X61" t="str">
            <v>542302-04-044324</v>
          </cell>
          <cell r="Y61">
            <v>35000000</v>
          </cell>
          <cell r="Z61" t="str">
            <v>연봉제</v>
          </cell>
        </row>
        <row r="62">
          <cell r="A62">
            <v>61</v>
          </cell>
          <cell r="B62" t="str">
            <v>생산본부 품질관리팀</v>
          </cell>
          <cell r="C62" t="str">
            <v>사원</v>
          </cell>
          <cell r="E62" t="str">
            <v>김지혜</v>
          </cell>
          <cell r="G62">
            <v>43773</v>
          </cell>
          <cell r="H62">
            <v>0</v>
          </cell>
          <cell r="J62" t="str">
            <v>내국인</v>
          </cell>
          <cell r="K62" t="str">
            <v>대한민국</v>
          </cell>
          <cell r="L62" t="str">
            <v>950121-2703911</v>
          </cell>
          <cell r="M62">
            <v>34720</v>
          </cell>
          <cell r="N62">
            <v>25</v>
          </cell>
          <cell r="O62" t="str">
            <v>여</v>
          </cell>
          <cell r="Q62" t="str">
            <v xml:space="preserve">대전광역시 중구 유천로 48번길 88 해오름 205호 </v>
          </cell>
          <cell r="R62" t="str">
            <v>여</v>
          </cell>
          <cell r="S62">
            <v>43773</v>
          </cell>
          <cell r="T62">
            <v>45626</v>
          </cell>
          <cell r="U62" t="str">
            <v>010-6742-0121</v>
          </cell>
          <cell r="V62" t="str">
            <v>laver_jye@sgfoods.co.kr</v>
          </cell>
          <cell r="W62" t="str">
            <v>국민</v>
          </cell>
          <cell r="X62" t="str">
            <v>482602-01-229035</v>
          </cell>
          <cell r="Y62">
            <v>26500000</v>
          </cell>
          <cell r="Z62" t="str">
            <v>연봉제</v>
          </cell>
        </row>
        <row r="63">
          <cell r="A63">
            <v>62</v>
          </cell>
          <cell r="B63" t="str">
            <v>생산본부 품질관리팀</v>
          </cell>
          <cell r="E63" t="str">
            <v>김대현</v>
          </cell>
          <cell r="G63">
            <v>43432</v>
          </cell>
          <cell r="H63">
            <v>1</v>
          </cell>
          <cell r="J63" t="str">
            <v>내국인</v>
          </cell>
          <cell r="K63" t="str">
            <v>대한민국</v>
          </cell>
          <cell r="L63" t="str">
            <v>890808-1155924</v>
          </cell>
          <cell r="M63">
            <v>32728</v>
          </cell>
          <cell r="N63">
            <v>30</v>
          </cell>
          <cell r="O63" t="str">
            <v>남</v>
          </cell>
          <cell r="Q63" t="str">
            <v xml:space="preserve">충남 천안시 동남구 병천면 아우내장터 1길 </v>
          </cell>
          <cell r="R63" t="str">
            <v>부</v>
          </cell>
          <cell r="S63" t="str">
            <v/>
          </cell>
          <cell r="T63" t="str">
            <v/>
          </cell>
          <cell r="U63" t="str">
            <v>010-3441-2077</v>
          </cell>
          <cell r="V63" t="str">
            <v>rlaeogus89@sgfoods.co.kr</v>
          </cell>
          <cell r="W63" t="str">
            <v>기업</v>
          </cell>
          <cell r="X63" t="str">
            <v>144124017-01-014</v>
          </cell>
          <cell r="Y63">
            <v>38500000</v>
          </cell>
          <cell r="Z63" t="str">
            <v>연봉제</v>
          </cell>
        </row>
        <row r="64">
          <cell r="A64">
            <v>63</v>
          </cell>
          <cell r="B64" t="str">
            <v>생산본부 품질관리팀</v>
          </cell>
          <cell r="E64" t="str">
            <v>이보람</v>
          </cell>
          <cell r="G64">
            <v>43206</v>
          </cell>
          <cell r="H64">
            <v>2</v>
          </cell>
          <cell r="J64" t="str">
            <v>내국인</v>
          </cell>
          <cell r="K64" t="str">
            <v>대한민국</v>
          </cell>
          <cell r="L64" t="str">
            <v>930207-2496317</v>
          </cell>
          <cell r="M64">
            <v>34007</v>
          </cell>
          <cell r="N64">
            <v>27</v>
          </cell>
          <cell r="O64" t="str">
            <v>여</v>
          </cell>
          <cell r="P64">
            <v>30064</v>
          </cell>
          <cell r="Q64" t="str">
            <v>세종특별자치시   달빛1로 74  602동 2403호(종촌동, 가재마을6단지)</v>
          </cell>
          <cell r="R64" t="str">
            <v>여</v>
          </cell>
          <cell r="S64">
            <v>43206</v>
          </cell>
          <cell r="T64">
            <v>45046</v>
          </cell>
          <cell r="U64" t="str">
            <v>010-7371-7870</v>
          </cell>
          <cell r="V64" t="str">
            <v>rami_lb@sgfoods.co.kr</v>
          </cell>
          <cell r="W64" t="str">
            <v>하나</v>
          </cell>
          <cell r="X64" t="str">
            <v>541-910399-70107</v>
          </cell>
          <cell r="Y64">
            <v>30000000</v>
          </cell>
          <cell r="Z64" t="str">
            <v>연봉제</v>
          </cell>
        </row>
        <row r="65">
          <cell r="A65">
            <v>64</v>
          </cell>
          <cell r="B65" t="str">
            <v>생산본부 품질관리팀</v>
          </cell>
          <cell r="E65" t="str">
            <v>이승현</v>
          </cell>
          <cell r="G65">
            <v>43304</v>
          </cell>
          <cell r="H65">
            <v>1</v>
          </cell>
          <cell r="J65" t="str">
            <v>내국인</v>
          </cell>
          <cell r="K65" t="str">
            <v>대한민국</v>
          </cell>
          <cell r="L65" t="str">
            <v>801121-1697014</v>
          </cell>
          <cell r="M65">
            <v>29546</v>
          </cell>
          <cell r="N65">
            <v>39</v>
          </cell>
          <cell r="O65" t="str">
            <v>남</v>
          </cell>
          <cell r="P65">
            <v>16708</v>
          </cell>
          <cell r="Q65" t="str">
            <v>경기도 화성시 동탄순환대로 10길,88 산척동,레이크힐,반도유보라 아이비파크 10.2 3612동1403호</v>
          </cell>
          <cell r="R65" t="str">
            <v>부</v>
          </cell>
          <cell r="S65" t="str">
            <v/>
          </cell>
          <cell r="T65" t="str">
            <v/>
          </cell>
          <cell r="U65" t="str">
            <v>010-4159-8058</v>
          </cell>
          <cell r="V65" t="str">
            <v>sc999@sgfoods.co.kr</v>
          </cell>
          <cell r="W65" t="str">
            <v>제일</v>
          </cell>
          <cell r="X65" t="str">
            <v>620-20-124234</v>
          </cell>
          <cell r="Y65">
            <v>50000000</v>
          </cell>
          <cell r="Z65" t="str">
            <v>연봉제</v>
          </cell>
        </row>
        <row r="66">
          <cell r="A66">
            <v>65</v>
          </cell>
          <cell r="B66" t="str">
            <v>생산본부 품질관리팀</v>
          </cell>
          <cell r="E66" t="str">
            <v>최은주</v>
          </cell>
          <cell r="G66">
            <v>43290</v>
          </cell>
          <cell r="H66">
            <v>1</v>
          </cell>
          <cell r="J66" t="str">
            <v>내국인</v>
          </cell>
          <cell r="K66" t="str">
            <v>대한민국</v>
          </cell>
          <cell r="L66" t="str">
            <v>931009-2540616</v>
          </cell>
          <cell r="M66">
            <v>34251</v>
          </cell>
          <cell r="N66">
            <v>26</v>
          </cell>
          <cell r="O66" t="str">
            <v>여</v>
          </cell>
          <cell r="Q66" t="str">
            <v xml:space="preserve"> </v>
          </cell>
          <cell r="R66" t="str">
            <v>여</v>
          </cell>
          <cell r="S66">
            <v>43290</v>
          </cell>
          <cell r="T66">
            <v>44165</v>
          </cell>
          <cell r="U66" t="str">
            <v>010-5013-4564</v>
          </cell>
          <cell r="V66" t="str">
            <v>cej@sgfoods.co.kr</v>
          </cell>
          <cell r="W66" t="str">
            <v>농협</v>
          </cell>
          <cell r="X66" t="str">
            <v>356-0125-1388-23</v>
          </cell>
          <cell r="Y66">
            <v>32000000</v>
          </cell>
          <cell r="Z66" t="str">
            <v>연봉제</v>
          </cell>
        </row>
        <row r="67">
          <cell r="A67">
            <v>66</v>
          </cell>
          <cell r="B67" t="str">
            <v>생산본부 생산팀 생산1파트</v>
          </cell>
          <cell r="C67" t="str">
            <v>파트장</v>
          </cell>
          <cell r="D67" t="str">
            <v>파트장</v>
          </cell>
          <cell r="E67" t="str">
            <v>주영민</v>
          </cell>
          <cell r="G67">
            <v>42156</v>
          </cell>
          <cell r="H67">
            <v>5</v>
          </cell>
          <cell r="J67" t="str">
            <v>내국인</v>
          </cell>
          <cell r="K67" t="str">
            <v>대한민국</v>
          </cell>
          <cell r="L67" t="str">
            <v>770117-1535813</v>
          </cell>
          <cell r="M67">
            <v>28142</v>
          </cell>
          <cell r="N67">
            <v>43</v>
          </cell>
          <cell r="O67" t="str">
            <v>남</v>
          </cell>
          <cell r="P67">
            <v>34322</v>
          </cell>
          <cell r="Q67" t="str">
            <v>대전광역시 대덕구  대덕대로1470번길 55  104동 405호(목상동, 다사랑아파트)</v>
          </cell>
          <cell r="R67" t="str">
            <v>부</v>
          </cell>
          <cell r="S67" t="str">
            <v/>
          </cell>
          <cell r="T67" t="str">
            <v/>
          </cell>
          <cell r="U67" t="str">
            <v>010-2520-1222</v>
          </cell>
          <cell r="W67" t="str">
            <v>하나</v>
          </cell>
          <cell r="X67" t="str">
            <v>632-910526-18607</v>
          </cell>
          <cell r="Y67" t="str">
            <v>시급제</v>
          </cell>
          <cell r="Z67" t="str">
            <v>정보없음</v>
          </cell>
        </row>
        <row r="68">
          <cell r="A68">
            <v>67</v>
          </cell>
          <cell r="B68" t="str">
            <v>생산본부 생산팀 생산1파트</v>
          </cell>
          <cell r="C68" t="str">
            <v>남자반장</v>
          </cell>
          <cell r="D68" t="str">
            <v>남자반장</v>
          </cell>
          <cell r="E68" t="str">
            <v>정지성</v>
          </cell>
          <cell r="G68">
            <v>43570</v>
          </cell>
          <cell r="H68">
            <v>1</v>
          </cell>
          <cell r="J68" t="str">
            <v>내국인</v>
          </cell>
          <cell r="K68" t="str">
            <v>대한민국</v>
          </cell>
          <cell r="L68" t="str">
            <v>851209-1384918</v>
          </cell>
          <cell r="M68">
            <v>31390</v>
          </cell>
          <cell r="N68">
            <v>34</v>
          </cell>
          <cell r="O68" t="str">
            <v>남</v>
          </cell>
          <cell r="Q68" t="str">
            <v xml:space="preserve">대전광역시 서구 문예로 16 1동 109호 </v>
          </cell>
          <cell r="R68" t="str">
            <v>부</v>
          </cell>
          <cell r="S68" t="str">
            <v/>
          </cell>
          <cell r="T68" t="str">
            <v/>
          </cell>
          <cell r="U68" t="str">
            <v>010-2633-6888</v>
          </cell>
          <cell r="W68" t="str">
            <v>하나</v>
          </cell>
          <cell r="X68" t="str">
            <v>394-890214-12207</v>
          </cell>
          <cell r="Y68" t="str">
            <v>시급제</v>
          </cell>
          <cell r="Z68" t="str">
            <v>정보없음</v>
          </cell>
        </row>
        <row r="69">
          <cell r="A69">
            <v>68</v>
          </cell>
          <cell r="B69" t="str">
            <v>생산본부 생산팀 생산1파트</v>
          </cell>
          <cell r="C69" t="str">
            <v>여자반장</v>
          </cell>
          <cell r="D69" t="str">
            <v>여자반장</v>
          </cell>
          <cell r="E69" t="str">
            <v>배인옥</v>
          </cell>
          <cell r="G69">
            <v>37681</v>
          </cell>
          <cell r="H69">
            <v>17</v>
          </cell>
          <cell r="J69" t="str">
            <v>내국인</v>
          </cell>
          <cell r="K69" t="str">
            <v>대한민국</v>
          </cell>
          <cell r="L69" t="str">
            <v>620317-2455822</v>
          </cell>
          <cell r="M69">
            <v>22722</v>
          </cell>
          <cell r="N69">
            <v>58</v>
          </cell>
          <cell r="O69" t="str">
            <v>여</v>
          </cell>
          <cell r="Q69" t="str">
            <v xml:space="preserve"> </v>
          </cell>
          <cell r="R69" t="str">
            <v>부</v>
          </cell>
          <cell r="S69" t="str">
            <v/>
          </cell>
          <cell r="T69" t="str">
            <v/>
          </cell>
          <cell r="U69" t="str">
            <v>010-5407-7506</v>
          </cell>
          <cell r="W69" t="str">
            <v>하나</v>
          </cell>
          <cell r="X69" t="str">
            <v>646-910523-10707</v>
          </cell>
          <cell r="Y69" t="str">
            <v>시급제</v>
          </cell>
          <cell r="Z69" t="str">
            <v>정보없음</v>
          </cell>
        </row>
        <row r="70">
          <cell r="A70">
            <v>69</v>
          </cell>
          <cell r="B70" t="str">
            <v>생산본부 생산팀 생산1파트</v>
          </cell>
          <cell r="D70" t="str">
            <v>기본</v>
          </cell>
          <cell r="E70" t="str">
            <v>강승규</v>
          </cell>
          <cell r="G70">
            <v>43572</v>
          </cell>
          <cell r="H70">
            <v>1</v>
          </cell>
          <cell r="J70" t="str">
            <v>내국인</v>
          </cell>
          <cell r="K70" t="str">
            <v>대한민국</v>
          </cell>
          <cell r="L70" t="str">
            <v>830615-1453011</v>
          </cell>
          <cell r="M70">
            <v>30482</v>
          </cell>
          <cell r="N70">
            <v>37</v>
          </cell>
          <cell r="O70" t="str">
            <v>남</v>
          </cell>
          <cell r="Q70" t="str">
            <v xml:space="preserve">대전광역시 서구 도안동 아이파크 1506-901호 </v>
          </cell>
          <cell r="R70" t="str">
            <v>부</v>
          </cell>
          <cell r="S70" t="str">
            <v/>
          </cell>
          <cell r="T70" t="str">
            <v/>
          </cell>
          <cell r="U70" t="str">
            <v>010-9686-3025</v>
          </cell>
          <cell r="W70" t="str">
            <v>신한</v>
          </cell>
          <cell r="X70" t="str">
            <v>110-433-867856</v>
          </cell>
          <cell r="Y70" t="str">
            <v>시급제</v>
          </cell>
          <cell r="Z70">
            <v>9110</v>
          </cell>
        </row>
        <row r="71">
          <cell r="A71">
            <v>70</v>
          </cell>
          <cell r="B71" t="str">
            <v>생산본부 생산팀 생산1파트</v>
          </cell>
          <cell r="D71" t="str">
            <v>기본</v>
          </cell>
          <cell r="E71" t="str">
            <v>강영숙</v>
          </cell>
          <cell r="G71">
            <v>41827</v>
          </cell>
          <cell r="H71">
            <v>5</v>
          </cell>
          <cell r="J71" t="str">
            <v>내국인</v>
          </cell>
          <cell r="K71" t="str">
            <v>대한민국</v>
          </cell>
          <cell r="L71" t="str">
            <v>640527-2548610</v>
          </cell>
          <cell r="M71">
            <v>23524</v>
          </cell>
          <cell r="N71">
            <v>56</v>
          </cell>
          <cell r="O71" t="str">
            <v>여</v>
          </cell>
          <cell r="P71">
            <v>34569</v>
          </cell>
          <cell r="Q71" t="str">
            <v>대전광역시 동구  대전로 935,111동1403호 (삼성동, 한밭자이아파트)</v>
          </cell>
          <cell r="R71" t="str">
            <v>부</v>
          </cell>
          <cell r="S71" t="str">
            <v/>
          </cell>
          <cell r="T71" t="str">
            <v/>
          </cell>
          <cell r="U71" t="str">
            <v>010-5759-1032</v>
          </cell>
          <cell r="W71" t="str">
            <v>하나</v>
          </cell>
          <cell r="X71" t="str">
            <v>647-910284-08507</v>
          </cell>
          <cell r="Y71" t="str">
            <v>시급제</v>
          </cell>
          <cell r="Z71">
            <v>8590</v>
          </cell>
        </row>
        <row r="72">
          <cell r="A72">
            <v>71</v>
          </cell>
          <cell r="B72" t="str">
            <v>생산본부 생산팀 생산1파트</v>
          </cell>
          <cell r="D72" t="str">
            <v>기본</v>
          </cell>
          <cell r="E72" t="str">
            <v>구자형</v>
          </cell>
          <cell r="G72">
            <v>42675</v>
          </cell>
          <cell r="H72">
            <v>3</v>
          </cell>
          <cell r="J72" t="str">
            <v>내국인</v>
          </cell>
          <cell r="K72" t="str">
            <v>대한민국</v>
          </cell>
          <cell r="L72" t="str">
            <v>690411-2408417</v>
          </cell>
          <cell r="M72">
            <v>25304</v>
          </cell>
          <cell r="N72">
            <v>51</v>
          </cell>
          <cell r="O72" t="str">
            <v>여</v>
          </cell>
          <cell r="P72">
            <v>34385</v>
          </cell>
          <cell r="Q72" t="str">
            <v>대전광역시 대덕구  계족로663번길 29,201동806호 (법동, 주공아파트)</v>
          </cell>
          <cell r="R72" t="str">
            <v>부</v>
          </cell>
          <cell r="S72" t="str">
            <v/>
          </cell>
          <cell r="T72" t="str">
            <v/>
          </cell>
          <cell r="U72" t="str">
            <v>010-4069-8876</v>
          </cell>
          <cell r="W72" t="str">
            <v>하나</v>
          </cell>
          <cell r="X72" t="str">
            <v>654-910340-21107</v>
          </cell>
          <cell r="Y72" t="str">
            <v>시급제</v>
          </cell>
          <cell r="Z72">
            <v>8590</v>
          </cell>
        </row>
        <row r="73">
          <cell r="A73">
            <v>72</v>
          </cell>
          <cell r="B73" t="str">
            <v>생산본부 생산팀 생산1파트</v>
          </cell>
          <cell r="D73" t="str">
            <v>기름</v>
          </cell>
          <cell r="E73" t="str">
            <v>권차순</v>
          </cell>
          <cell r="G73">
            <v>42430</v>
          </cell>
          <cell r="H73">
            <v>4</v>
          </cell>
          <cell r="J73" t="str">
            <v>내국인</v>
          </cell>
          <cell r="K73" t="str">
            <v>대한민국</v>
          </cell>
          <cell r="L73" t="str">
            <v>670818-2812411</v>
          </cell>
          <cell r="M73">
            <v>24702</v>
          </cell>
          <cell r="N73">
            <v>52</v>
          </cell>
          <cell r="O73" t="str">
            <v>여</v>
          </cell>
          <cell r="P73">
            <v>34346</v>
          </cell>
          <cell r="Q73" t="str">
            <v>대전광역시 대덕구  신탄진로218번길 62  105동 502호(와동, 와동현대아파트)</v>
          </cell>
          <cell r="R73" t="str">
            <v>부</v>
          </cell>
          <cell r="S73" t="str">
            <v/>
          </cell>
          <cell r="T73" t="str">
            <v/>
          </cell>
          <cell r="U73" t="str">
            <v>010-9442-5067</v>
          </cell>
          <cell r="W73" t="str">
            <v>하나</v>
          </cell>
          <cell r="X73" t="str">
            <v>654-910327-96407</v>
          </cell>
          <cell r="Y73" t="str">
            <v>시급제</v>
          </cell>
          <cell r="Z73">
            <v>8760</v>
          </cell>
        </row>
        <row r="74">
          <cell r="A74">
            <v>73</v>
          </cell>
          <cell r="B74" t="str">
            <v>생산본부 생산팀 생산1파트</v>
          </cell>
          <cell r="D74" t="str">
            <v>절단기</v>
          </cell>
          <cell r="E74" t="str">
            <v>김미란</v>
          </cell>
          <cell r="G74">
            <v>41834</v>
          </cell>
          <cell r="H74">
            <v>5</v>
          </cell>
          <cell r="J74" t="str">
            <v>내국인</v>
          </cell>
          <cell r="K74" t="str">
            <v>대한민국</v>
          </cell>
          <cell r="L74" t="str">
            <v>681229-2447617</v>
          </cell>
          <cell r="M74">
            <v>25201</v>
          </cell>
          <cell r="N74">
            <v>51</v>
          </cell>
          <cell r="O74" t="str">
            <v>여</v>
          </cell>
          <cell r="P74">
            <v>34353</v>
          </cell>
          <cell r="Q74" t="str">
            <v>대전광역시 대덕구  신탄진로36번길 218  (연축동)</v>
          </cell>
          <cell r="R74" t="str">
            <v>부</v>
          </cell>
          <cell r="S74" t="str">
            <v/>
          </cell>
          <cell r="T74" t="str">
            <v/>
          </cell>
          <cell r="U74" t="str">
            <v>010-3373-2306</v>
          </cell>
          <cell r="W74" t="str">
            <v>하나</v>
          </cell>
          <cell r="X74" t="str">
            <v>653-910498-53607</v>
          </cell>
          <cell r="Y74" t="str">
            <v>시급제</v>
          </cell>
          <cell r="Z74">
            <v>8650</v>
          </cell>
        </row>
        <row r="75">
          <cell r="A75">
            <v>74</v>
          </cell>
          <cell r="B75" t="str">
            <v>생산본부 생산팀 생산1파트</v>
          </cell>
          <cell r="D75" t="str">
            <v>기본</v>
          </cell>
          <cell r="E75" t="str">
            <v>김미순</v>
          </cell>
          <cell r="G75">
            <v>42156</v>
          </cell>
          <cell r="H75">
            <v>5</v>
          </cell>
          <cell r="J75" t="str">
            <v>내국인</v>
          </cell>
          <cell r="K75" t="str">
            <v>대한민국</v>
          </cell>
          <cell r="L75" t="str">
            <v>661207-2403219</v>
          </cell>
          <cell r="M75">
            <v>24448</v>
          </cell>
          <cell r="N75">
            <v>53</v>
          </cell>
          <cell r="O75" t="str">
            <v>여</v>
          </cell>
          <cell r="P75">
            <v>34979</v>
          </cell>
          <cell r="Q75" t="str">
            <v>대전광역시 중구  대둔산로480번길 17  (산성동)</v>
          </cell>
          <cell r="R75" t="str">
            <v>부</v>
          </cell>
          <cell r="S75" t="str">
            <v/>
          </cell>
          <cell r="T75" t="str">
            <v/>
          </cell>
          <cell r="W75" t="str">
            <v>하나</v>
          </cell>
          <cell r="X75" t="str">
            <v>635-910159-96307</v>
          </cell>
          <cell r="Y75" t="str">
            <v>시급제</v>
          </cell>
          <cell r="Z75">
            <v>8590</v>
          </cell>
        </row>
        <row r="76">
          <cell r="A76">
            <v>75</v>
          </cell>
          <cell r="B76" t="str">
            <v>생산본부 생산팀 생산1파트</v>
          </cell>
          <cell r="D76" t="str">
            <v>기본</v>
          </cell>
          <cell r="E76" t="str">
            <v>김연미</v>
          </cell>
          <cell r="G76">
            <v>42767</v>
          </cell>
          <cell r="H76">
            <v>3</v>
          </cell>
          <cell r="J76" t="str">
            <v>내국인</v>
          </cell>
          <cell r="K76" t="str">
            <v>대한민국</v>
          </cell>
          <cell r="L76" t="str">
            <v>880504-2403016</v>
          </cell>
          <cell r="M76">
            <v>32267</v>
          </cell>
          <cell r="N76">
            <v>32</v>
          </cell>
          <cell r="O76" t="str">
            <v>여</v>
          </cell>
          <cell r="P76">
            <v>34889</v>
          </cell>
          <cell r="Q76" t="str">
            <v>대전광역시 중구  유등천동로 428 , 33동 1101호 (태평동, 파라곤아파트)</v>
          </cell>
          <cell r="R76" t="str">
            <v>여</v>
          </cell>
          <cell r="S76">
            <v>42767</v>
          </cell>
          <cell r="T76">
            <v>44620</v>
          </cell>
          <cell r="U76" t="str">
            <v>010-2395-1367</v>
          </cell>
          <cell r="W76" t="str">
            <v>하나</v>
          </cell>
          <cell r="X76" t="str">
            <v>654-910344-63607</v>
          </cell>
          <cell r="Y76" t="str">
            <v>시급제</v>
          </cell>
          <cell r="Z76">
            <v>8590</v>
          </cell>
        </row>
        <row r="77">
          <cell r="A77">
            <v>76</v>
          </cell>
          <cell r="B77" t="str">
            <v>생산본부 생산팀 생산1파트</v>
          </cell>
          <cell r="D77" t="str">
            <v>기본</v>
          </cell>
          <cell r="E77" t="str">
            <v>김연화</v>
          </cell>
          <cell r="G77">
            <v>39380</v>
          </cell>
          <cell r="H77">
            <v>12</v>
          </cell>
          <cell r="J77" t="str">
            <v>내국인</v>
          </cell>
          <cell r="K77" t="str">
            <v>대한민국</v>
          </cell>
          <cell r="L77" t="str">
            <v>690816-2400312</v>
          </cell>
          <cell r="M77">
            <v>25431</v>
          </cell>
          <cell r="N77">
            <v>50</v>
          </cell>
          <cell r="O77" t="str">
            <v>여</v>
          </cell>
          <cell r="P77">
            <v>34416</v>
          </cell>
          <cell r="Q77" t="str">
            <v>대전광역시 대덕구  신상로 21 102동 1403호 (비래동, 삼익둥지아파트)</v>
          </cell>
          <cell r="R77" t="str">
            <v>부</v>
          </cell>
          <cell r="S77" t="str">
            <v/>
          </cell>
          <cell r="T77" t="str">
            <v/>
          </cell>
          <cell r="U77" t="str">
            <v>010-6635-9945</v>
          </cell>
          <cell r="W77" t="str">
            <v>하나</v>
          </cell>
          <cell r="X77" t="str">
            <v>645-910106-25707</v>
          </cell>
          <cell r="Y77" t="str">
            <v>시급제</v>
          </cell>
          <cell r="Z77">
            <v>8590</v>
          </cell>
        </row>
        <row r="78">
          <cell r="A78">
            <v>77</v>
          </cell>
          <cell r="B78" t="str">
            <v>생산본부 생산팀 생산1파트</v>
          </cell>
          <cell r="D78" t="str">
            <v>절단기</v>
          </cell>
          <cell r="E78" t="str">
            <v>김춘숙</v>
          </cell>
          <cell r="G78">
            <v>38241</v>
          </cell>
          <cell r="H78">
            <v>15</v>
          </cell>
          <cell r="J78" t="str">
            <v>내국인</v>
          </cell>
          <cell r="K78" t="str">
            <v>대한민국</v>
          </cell>
          <cell r="L78" t="str">
            <v>600612-2380411</v>
          </cell>
          <cell r="M78">
            <v>22079</v>
          </cell>
          <cell r="N78">
            <v>60</v>
          </cell>
          <cell r="O78" t="str">
            <v>여</v>
          </cell>
          <cell r="P78">
            <v>34532</v>
          </cell>
          <cell r="Q78" t="str">
            <v>대전광역시 동구  흥룡로 33 , 신도아파트 6동203호 (가양동, 가양2동주민센터)</v>
          </cell>
          <cell r="R78" t="str">
            <v>부</v>
          </cell>
          <cell r="S78" t="str">
            <v/>
          </cell>
          <cell r="T78" t="str">
            <v/>
          </cell>
          <cell r="U78" t="str">
            <v>010-3936-7435</v>
          </cell>
          <cell r="W78" t="str">
            <v>하나</v>
          </cell>
          <cell r="X78" t="str">
            <v>656-220540-00108</v>
          </cell>
          <cell r="Y78" t="str">
            <v>시급제</v>
          </cell>
          <cell r="Z78">
            <v>8650</v>
          </cell>
        </row>
        <row r="79">
          <cell r="A79">
            <v>78</v>
          </cell>
          <cell r="B79" t="str">
            <v>생산본부 생산팀 생산1파트</v>
          </cell>
          <cell r="D79" t="str">
            <v>기본</v>
          </cell>
          <cell r="E79" t="str">
            <v>박수영</v>
          </cell>
          <cell r="G79">
            <v>42767</v>
          </cell>
          <cell r="H79">
            <v>3</v>
          </cell>
          <cell r="J79" t="str">
            <v>내국인</v>
          </cell>
          <cell r="K79" t="str">
            <v>대한민국</v>
          </cell>
          <cell r="L79" t="str">
            <v>690523-2162511</v>
          </cell>
          <cell r="M79">
            <v>25346</v>
          </cell>
          <cell r="N79">
            <v>51</v>
          </cell>
          <cell r="O79" t="str">
            <v>여</v>
          </cell>
          <cell r="P79">
            <v>34386</v>
          </cell>
          <cell r="Q79" t="str">
            <v>대전광역시 대덕구  계족로663번길 27  112동 402호 (법동, 주공아파트)</v>
          </cell>
          <cell r="R79" t="str">
            <v>부</v>
          </cell>
          <cell r="S79" t="str">
            <v/>
          </cell>
          <cell r="T79" t="str">
            <v/>
          </cell>
          <cell r="U79" t="str">
            <v>010-4016-1079</v>
          </cell>
          <cell r="W79" t="str">
            <v>하나</v>
          </cell>
          <cell r="X79" t="str">
            <v>654-910344-90907</v>
          </cell>
          <cell r="Y79" t="str">
            <v>시급제</v>
          </cell>
          <cell r="Z79">
            <v>8590</v>
          </cell>
        </row>
        <row r="80">
          <cell r="A80">
            <v>79</v>
          </cell>
          <cell r="B80" t="str">
            <v>생산본부 생산팀 생산1파트</v>
          </cell>
          <cell r="D80" t="str">
            <v>절단기</v>
          </cell>
          <cell r="E80" t="str">
            <v>박숙영</v>
          </cell>
          <cell r="G80">
            <v>42156</v>
          </cell>
          <cell r="H80">
            <v>5</v>
          </cell>
          <cell r="J80" t="str">
            <v>내국인</v>
          </cell>
          <cell r="K80" t="str">
            <v>대한민국</v>
          </cell>
          <cell r="L80" t="str">
            <v>731210-2454618</v>
          </cell>
          <cell r="M80">
            <v>27008</v>
          </cell>
          <cell r="N80">
            <v>46</v>
          </cell>
          <cell r="O80" t="str">
            <v>여</v>
          </cell>
          <cell r="P80">
            <v>300110</v>
          </cell>
          <cell r="Q80" t="str">
            <v>대전광역시 동구 신흥동  3-14번지</v>
          </cell>
          <cell r="R80" t="str">
            <v>부</v>
          </cell>
          <cell r="S80" t="str">
            <v/>
          </cell>
          <cell r="T80" t="str">
            <v/>
          </cell>
          <cell r="U80" t="str">
            <v>010-6894-6543</v>
          </cell>
          <cell r="W80" t="str">
            <v>하나</v>
          </cell>
          <cell r="X80" t="str">
            <v>648-910120-38607</v>
          </cell>
          <cell r="Y80" t="str">
            <v>시급제</v>
          </cell>
          <cell r="Z80">
            <v>8650</v>
          </cell>
        </row>
        <row r="81">
          <cell r="A81">
            <v>80</v>
          </cell>
          <cell r="B81" t="str">
            <v>생산본부 생산팀 생산1파트</v>
          </cell>
          <cell r="D81" t="str">
            <v>절단기</v>
          </cell>
          <cell r="E81" t="str">
            <v>박정옥</v>
          </cell>
          <cell r="G81">
            <v>37681</v>
          </cell>
          <cell r="H81">
            <v>17</v>
          </cell>
          <cell r="J81" t="str">
            <v>내국인</v>
          </cell>
          <cell r="K81" t="str">
            <v>대한민국</v>
          </cell>
          <cell r="L81" t="str">
            <v>600327-2384716</v>
          </cell>
          <cell r="M81">
            <v>22002</v>
          </cell>
          <cell r="N81">
            <v>60</v>
          </cell>
          <cell r="O81" t="str">
            <v>여</v>
          </cell>
          <cell r="P81">
            <v>34428</v>
          </cell>
          <cell r="Q81" t="str">
            <v>대전광역시 대덕구  계족로521번길 79,202동110호 (중리동, 영진상록아파트)</v>
          </cell>
          <cell r="R81" t="str">
            <v>부</v>
          </cell>
          <cell r="S81" t="str">
            <v/>
          </cell>
          <cell r="T81" t="str">
            <v/>
          </cell>
          <cell r="U81" t="str">
            <v>010-4498-2856</v>
          </cell>
          <cell r="W81" t="str">
            <v>하나</v>
          </cell>
          <cell r="X81" t="str">
            <v>646-910419-23407</v>
          </cell>
          <cell r="Y81" t="str">
            <v>시급제</v>
          </cell>
          <cell r="Z81">
            <v>8650</v>
          </cell>
        </row>
        <row r="82">
          <cell r="A82">
            <v>81</v>
          </cell>
          <cell r="B82" t="str">
            <v>생산본부 생산팀 생산1파트</v>
          </cell>
          <cell r="D82" t="str">
            <v>절단기</v>
          </cell>
          <cell r="E82" t="str">
            <v>박채연</v>
          </cell>
          <cell r="G82">
            <v>41813</v>
          </cell>
          <cell r="H82">
            <v>5</v>
          </cell>
          <cell r="J82" t="str">
            <v>내국인</v>
          </cell>
          <cell r="K82" t="str">
            <v>대한민국</v>
          </cell>
          <cell r="L82" t="str">
            <v>660325-2788014</v>
          </cell>
          <cell r="M82">
            <v>24191</v>
          </cell>
          <cell r="N82">
            <v>54</v>
          </cell>
          <cell r="O82" t="str">
            <v>여</v>
          </cell>
          <cell r="P82">
            <v>34424</v>
          </cell>
          <cell r="Q82" t="str">
            <v>대전광역시 대덕구  송촌남로37번길 5 나동302호 (송촌동, 송촌주택)</v>
          </cell>
          <cell r="R82" t="str">
            <v>부</v>
          </cell>
          <cell r="S82" t="str">
            <v/>
          </cell>
          <cell r="T82" t="str">
            <v/>
          </cell>
          <cell r="U82" t="str">
            <v>010-9856-1516</v>
          </cell>
          <cell r="W82" t="str">
            <v>하나</v>
          </cell>
          <cell r="X82" t="str">
            <v>734-910294-10107</v>
          </cell>
          <cell r="Y82" t="str">
            <v>시급제</v>
          </cell>
          <cell r="Z82">
            <v>8590</v>
          </cell>
        </row>
        <row r="83">
          <cell r="A83">
            <v>82</v>
          </cell>
          <cell r="B83" t="str">
            <v>생산본부 생산팀 생산1파트</v>
          </cell>
          <cell r="D83" t="str">
            <v>기본</v>
          </cell>
          <cell r="E83" t="str">
            <v>방영춘</v>
          </cell>
          <cell r="G83">
            <v>42767</v>
          </cell>
          <cell r="H83">
            <v>3</v>
          </cell>
          <cell r="J83" t="str">
            <v>외국인</v>
          </cell>
          <cell r="K83" t="str">
            <v>대한민국</v>
          </cell>
          <cell r="L83" t="str">
            <v>760327-6200010</v>
          </cell>
          <cell r="M83">
            <v>27846</v>
          </cell>
          <cell r="N83">
            <v>44</v>
          </cell>
          <cell r="O83" t="str">
            <v>여</v>
          </cell>
          <cell r="Q83" t="str">
            <v xml:space="preserve"> </v>
          </cell>
          <cell r="R83" t="str">
            <v>부</v>
          </cell>
          <cell r="S83" t="str">
            <v/>
          </cell>
          <cell r="T83" t="str">
            <v/>
          </cell>
          <cell r="U83" t="str">
            <v>010-7125-1040</v>
          </cell>
          <cell r="W83" t="str">
            <v>하나</v>
          </cell>
          <cell r="X83" t="str">
            <v>654-910344-64207</v>
          </cell>
          <cell r="Y83" t="str">
            <v>시급제</v>
          </cell>
          <cell r="Z83">
            <v>8590</v>
          </cell>
        </row>
        <row r="84">
          <cell r="A84">
            <v>83</v>
          </cell>
          <cell r="B84" t="str">
            <v>생산본부 생산팀 생산1파트</v>
          </cell>
          <cell r="D84" t="str">
            <v>기본</v>
          </cell>
          <cell r="E84" t="str">
            <v>빈</v>
          </cell>
          <cell r="G84">
            <v>43580</v>
          </cell>
          <cell r="H84">
            <v>1</v>
          </cell>
          <cell r="J84" t="str">
            <v>외국인</v>
          </cell>
          <cell r="K84" t="str">
            <v>대한민국</v>
          </cell>
          <cell r="L84" t="str">
            <v>890612-5200047</v>
          </cell>
          <cell r="M84">
            <v>32671</v>
          </cell>
          <cell r="N84">
            <v>31</v>
          </cell>
          <cell r="O84" t="str">
            <v>남</v>
          </cell>
          <cell r="Q84" t="str">
            <v xml:space="preserve"> </v>
          </cell>
          <cell r="R84" t="str">
            <v>부</v>
          </cell>
          <cell r="S84" t="str">
            <v/>
          </cell>
          <cell r="T84" t="str">
            <v/>
          </cell>
          <cell r="W84" t="str">
            <v>하나</v>
          </cell>
          <cell r="X84" t="str">
            <v>654-910378-34407</v>
          </cell>
          <cell r="Y84" t="str">
            <v>시급제</v>
          </cell>
          <cell r="Z84">
            <v>9110</v>
          </cell>
        </row>
        <row r="85">
          <cell r="A85">
            <v>84</v>
          </cell>
          <cell r="B85" t="str">
            <v>생산본부 생산팀 생산1파트</v>
          </cell>
          <cell r="D85" t="str">
            <v>기본</v>
          </cell>
          <cell r="E85" t="str">
            <v>성연숙</v>
          </cell>
          <cell r="G85">
            <v>39570</v>
          </cell>
          <cell r="H85">
            <v>12</v>
          </cell>
          <cell r="J85" t="str">
            <v>내국인</v>
          </cell>
          <cell r="K85" t="str">
            <v>대한민국</v>
          </cell>
          <cell r="L85" t="str">
            <v>651009-2449311</v>
          </cell>
          <cell r="M85">
            <v>24024</v>
          </cell>
          <cell r="N85">
            <v>54</v>
          </cell>
          <cell r="O85" t="str">
            <v>여</v>
          </cell>
          <cell r="Q85" t="str">
            <v xml:space="preserve"> </v>
          </cell>
          <cell r="R85" t="str">
            <v>부</v>
          </cell>
          <cell r="S85" t="str">
            <v/>
          </cell>
          <cell r="T85" t="str">
            <v/>
          </cell>
          <cell r="U85" t="str">
            <v>010-9935-4918</v>
          </cell>
          <cell r="W85" t="str">
            <v>하나</v>
          </cell>
          <cell r="X85" t="str">
            <v>630-910337-08507</v>
          </cell>
          <cell r="Y85" t="str">
            <v>시급제</v>
          </cell>
          <cell r="Z85">
            <v>8590</v>
          </cell>
        </row>
        <row r="86">
          <cell r="A86">
            <v>85</v>
          </cell>
          <cell r="B86" t="str">
            <v>생산본부 생산팀 생산1파트</v>
          </cell>
          <cell r="D86" t="str">
            <v>절단기</v>
          </cell>
          <cell r="E86" t="str">
            <v>손순임</v>
          </cell>
          <cell r="G86">
            <v>37891</v>
          </cell>
          <cell r="H86">
            <v>16</v>
          </cell>
          <cell r="J86" t="str">
            <v>내국인</v>
          </cell>
          <cell r="K86" t="str">
            <v>대한민국</v>
          </cell>
          <cell r="L86" t="str">
            <v>630208-2381011</v>
          </cell>
          <cell r="M86">
            <v>23050</v>
          </cell>
          <cell r="N86">
            <v>57</v>
          </cell>
          <cell r="O86" t="str">
            <v>여</v>
          </cell>
          <cell r="Q86" t="str">
            <v xml:space="preserve"> </v>
          </cell>
          <cell r="R86" t="str">
            <v>부</v>
          </cell>
          <cell r="S86" t="str">
            <v/>
          </cell>
          <cell r="T86" t="str">
            <v/>
          </cell>
          <cell r="U86" t="str">
            <v>010-7410-1187</v>
          </cell>
          <cell r="W86" t="str">
            <v>하나</v>
          </cell>
          <cell r="X86" t="str">
            <v>654-910256-45007</v>
          </cell>
          <cell r="Y86" t="str">
            <v>시급제</v>
          </cell>
          <cell r="Z86">
            <v>8650</v>
          </cell>
        </row>
        <row r="87">
          <cell r="A87">
            <v>86</v>
          </cell>
          <cell r="B87" t="str">
            <v>생산본부 생산팀 생산1파트</v>
          </cell>
          <cell r="D87" t="str">
            <v>기본</v>
          </cell>
          <cell r="E87" t="str">
            <v>손진선</v>
          </cell>
          <cell r="G87">
            <v>42767</v>
          </cell>
          <cell r="H87">
            <v>3</v>
          </cell>
          <cell r="J87" t="str">
            <v>내국인</v>
          </cell>
          <cell r="K87" t="str">
            <v>대한민국</v>
          </cell>
          <cell r="L87" t="str">
            <v>701205-2392824</v>
          </cell>
          <cell r="M87">
            <v>25907</v>
          </cell>
          <cell r="N87">
            <v>49</v>
          </cell>
          <cell r="O87" t="str">
            <v>여</v>
          </cell>
          <cell r="P87">
            <v>34379</v>
          </cell>
          <cell r="Q87" t="str">
            <v>대전광역시 대덕구  대전로1185번길 30 ,108동103호 (오정동, 삼익양지마을아파트)</v>
          </cell>
          <cell r="R87" t="str">
            <v>부</v>
          </cell>
          <cell r="S87" t="str">
            <v/>
          </cell>
          <cell r="T87" t="str">
            <v/>
          </cell>
          <cell r="U87" t="str">
            <v>010-4176-3293</v>
          </cell>
          <cell r="W87" t="str">
            <v>하나</v>
          </cell>
          <cell r="X87" t="str">
            <v>654-910344-85307</v>
          </cell>
          <cell r="Y87" t="str">
            <v>시급제</v>
          </cell>
          <cell r="Z87">
            <v>8590</v>
          </cell>
        </row>
        <row r="88">
          <cell r="A88">
            <v>87</v>
          </cell>
          <cell r="B88" t="str">
            <v>생산본부 생산팀 생산1파트</v>
          </cell>
          <cell r="D88" t="str">
            <v>기름</v>
          </cell>
          <cell r="E88" t="str">
            <v>안정화</v>
          </cell>
          <cell r="G88">
            <v>42156</v>
          </cell>
          <cell r="H88">
            <v>5</v>
          </cell>
          <cell r="J88" t="str">
            <v>내국인</v>
          </cell>
          <cell r="K88" t="str">
            <v>대한민국</v>
          </cell>
          <cell r="L88" t="str">
            <v>720814-2402712</v>
          </cell>
          <cell r="M88">
            <v>26525</v>
          </cell>
          <cell r="N88">
            <v>47</v>
          </cell>
          <cell r="O88" t="str">
            <v>여</v>
          </cell>
          <cell r="P88">
            <v>34390</v>
          </cell>
          <cell r="Q88" t="str">
            <v>대전광역시 대덕구  중리남로28번길 17  (중리동)</v>
          </cell>
          <cell r="R88" t="str">
            <v>부</v>
          </cell>
          <cell r="S88" t="str">
            <v/>
          </cell>
          <cell r="T88" t="str">
            <v/>
          </cell>
          <cell r="U88" t="str">
            <v>010-3480-8885</v>
          </cell>
          <cell r="W88" t="str">
            <v>새마을</v>
          </cell>
          <cell r="X88" t="str">
            <v>9003-2108-9939-5</v>
          </cell>
          <cell r="Y88" t="str">
            <v>시급제</v>
          </cell>
          <cell r="Z88">
            <v>8760</v>
          </cell>
        </row>
        <row r="89">
          <cell r="A89">
            <v>88</v>
          </cell>
          <cell r="B89" t="str">
            <v>생산본부 생산팀 생산1파트</v>
          </cell>
          <cell r="D89" t="str">
            <v>절단기</v>
          </cell>
          <cell r="E89" t="str">
            <v>양은숙</v>
          </cell>
          <cell r="G89">
            <v>39364</v>
          </cell>
          <cell r="H89">
            <v>12</v>
          </cell>
          <cell r="J89" t="str">
            <v>내국인</v>
          </cell>
          <cell r="K89" t="str">
            <v>대한민국</v>
          </cell>
          <cell r="L89" t="str">
            <v>640827-2446812</v>
          </cell>
          <cell r="M89">
            <v>23616</v>
          </cell>
          <cell r="N89">
            <v>55</v>
          </cell>
          <cell r="O89" t="str">
            <v>여</v>
          </cell>
          <cell r="Q89" t="str">
            <v xml:space="preserve"> </v>
          </cell>
          <cell r="R89" t="str">
            <v>부</v>
          </cell>
          <cell r="S89" t="str">
            <v/>
          </cell>
          <cell r="T89" t="str">
            <v/>
          </cell>
          <cell r="U89" t="str">
            <v>010-4292-5861</v>
          </cell>
          <cell r="W89" t="str">
            <v>하나</v>
          </cell>
          <cell r="X89" t="str">
            <v>646-910527-42407</v>
          </cell>
          <cell r="Y89" t="str">
            <v>시급제</v>
          </cell>
          <cell r="Z89">
            <v>8650</v>
          </cell>
        </row>
        <row r="90">
          <cell r="A90">
            <v>89</v>
          </cell>
          <cell r="B90" t="str">
            <v>생산본부 생산팀 생산1파트</v>
          </cell>
          <cell r="D90" t="str">
            <v>기름</v>
          </cell>
          <cell r="E90" t="str">
            <v>오연숙</v>
          </cell>
          <cell r="G90">
            <v>41869</v>
          </cell>
          <cell r="H90">
            <v>5</v>
          </cell>
          <cell r="J90" t="str">
            <v>내국인</v>
          </cell>
          <cell r="K90" t="str">
            <v>대한민국</v>
          </cell>
          <cell r="L90" t="str">
            <v>650506-2406316</v>
          </cell>
          <cell r="M90">
            <v>23868</v>
          </cell>
          <cell r="N90">
            <v>55</v>
          </cell>
          <cell r="O90" t="str">
            <v>여</v>
          </cell>
          <cell r="P90">
            <v>34332</v>
          </cell>
          <cell r="Q90" t="str">
            <v>대전광역시 대덕구  덕암로148번안길 95, 1동 102호 (평촌동, 정림아파트)</v>
          </cell>
          <cell r="R90" t="str">
            <v>부</v>
          </cell>
          <cell r="S90" t="str">
            <v/>
          </cell>
          <cell r="T90" t="str">
            <v/>
          </cell>
          <cell r="U90" t="str">
            <v>010-5430-9094</v>
          </cell>
          <cell r="W90" t="str">
            <v>하나</v>
          </cell>
          <cell r="X90" t="str">
            <v>654-910310-38207</v>
          </cell>
          <cell r="Y90" t="str">
            <v>시급제</v>
          </cell>
          <cell r="Z90">
            <v>8760</v>
          </cell>
        </row>
        <row r="91">
          <cell r="A91">
            <v>90</v>
          </cell>
          <cell r="B91" t="str">
            <v>생산본부 생산팀 생산1파트</v>
          </cell>
          <cell r="D91" t="str">
            <v>기본</v>
          </cell>
          <cell r="E91" t="str">
            <v>이미자</v>
          </cell>
          <cell r="G91">
            <v>37177</v>
          </cell>
          <cell r="H91">
            <v>18</v>
          </cell>
          <cell r="J91" t="str">
            <v>내국인</v>
          </cell>
          <cell r="K91" t="str">
            <v>대한민국</v>
          </cell>
          <cell r="L91" t="str">
            <v>650707-2648829</v>
          </cell>
          <cell r="M91">
            <v>23930</v>
          </cell>
          <cell r="N91">
            <v>54</v>
          </cell>
          <cell r="O91" t="str">
            <v>여</v>
          </cell>
          <cell r="P91">
            <v>34435</v>
          </cell>
          <cell r="Q91" t="str">
            <v>대전광역시 대덕구  옛신탄진로 101, 나/B02 (오정동, 광명빌라)</v>
          </cell>
          <cell r="R91" t="str">
            <v>부</v>
          </cell>
          <cell r="S91" t="str">
            <v/>
          </cell>
          <cell r="T91" t="str">
            <v/>
          </cell>
          <cell r="U91" t="str">
            <v>010-4225-5084</v>
          </cell>
          <cell r="W91" t="str">
            <v>하나</v>
          </cell>
          <cell r="X91" t="str">
            <v>654-910168-95107</v>
          </cell>
          <cell r="Y91" t="str">
            <v>시급제</v>
          </cell>
          <cell r="Z91">
            <v>8590</v>
          </cell>
        </row>
        <row r="92">
          <cell r="A92">
            <v>91</v>
          </cell>
          <cell r="B92" t="str">
            <v>생산본부 생산팀 생산1파트</v>
          </cell>
          <cell r="D92" t="str">
            <v>기름</v>
          </cell>
          <cell r="E92" t="str">
            <v>이숙의</v>
          </cell>
          <cell r="G92">
            <v>42156</v>
          </cell>
          <cell r="H92">
            <v>5</v>
          </cell>
          <cell r="J92" t="str">
            <v>내국인</v>
          </cell>
          <cell r="K92" t="str">
            <v>대한민국</v>
          </cell>
          <cell r="L92" t="str">
            <v>600828-2551010</v>
          </cell>
          <cell r="M92">
            <v>22156</v>
          </cell>
          <cell r="N92">
            <v>59</v>
          </cell>
          <cell r="O92" t="str">
            <v>여</v>
          </cell>
          <cell r="P92">
            <v>34347</v>
          </cell>
          <cell r="Q92" t="str">
            <v>대전광역시 대덕구  신탄진로218번길 12  113동 202호(와동, 와동주공아파트)</v>
          </cell>
          <cell r="R92" t="str">
            <v>부</v>
          </cell>
          <cell r="S92" t="str">
            <v/>
          </cell>
          <cell r="T92" t="str">
            <v/>
          </cell>
          <cell r="U92" t="str">
            <v>010-4450-0404</v>
          </cell>
          <cell r="W92" t="str">
            <v>새마을</v>
          </cell>
          <cell r="X92" t="str">
            <v>3042-09-037556-4</v>
          </cell>
          <cell r="Y92" t="str">
            <v>시급제</v>
          </cell>
          <cell r="Z92">
            <v>8760</v>
          </cell>
        </row>
        <row r="93">
          <cell r="A93">
            <v>92</v>
          </cell>
          <cell r="B93" t="str">
            <v>생산본부 생산팀 생산1파트</v>
          </cell>
          <cell r="D93" t="str">
            <v>기본</v>
          </cell>
          <cell r="E93" t="str">
            <v>이순안</v>
          </cell>
          <cell r="G93">
            <v>43066</v>
          </cell>
          <cell r="H93">
            <v>2</v>
          </cell>
          <cell r="J93" t="str">
            <v>내국인</v>
          </cell>
          <cell r="K93" t="str">
            <v>대한민국</v>
          </cell>
          <cell r="L93" t="str">
            <v>681223-2473626</v>
          </cell>
          <cell r="M93">
            <v>25195</v>
          </cell>
          <cell r="N93">
            <v>51</v>
          </cell>
          <cell r="O93" t="str">
            <v>여</v>
          </cell>
          <cell r="P93">
            <v>35216</v>
          </cell>
          <cell r="Q93" t="str">
            <v>대전광역시 서구  청사로 65  115동 302호(월평동, 황실타운)</v>
          </cell>
          <cell r="R93" t="str">
            <v>부</v>
          </cell>
          <cell r="S93" t="str">
            <v/>
          </cell>
          <cell r="T93" t="str">
            <v/>
          </cell>
          <cell r="U93" t="str">
            <v>010-4022-1608</v>
          </cell>
          <cell r="W93" t="str">
            <v>하나</v>
          </cell>
          <cell r="X93" t="str">
            <v>653-910181-35007</v>
          </cell>
          <cell r="Y93" t="str">
            <v>시급제</v>
          </cell>
          <cell r="Z93">
            <v>8590</v>
          </cell>
        </row>
        <row r="94">
          <cell r="A94">
            <v>93</v>
          </cell>
          <cell r="B94" t="str">
            <v>생산본부 생산팀 생산1파트</v>
          </cell>
          <cell r="D94" t="str">
            <v>기본</v>
          </cell>
          <cell r="E94" t="str">
            <v>이예진</v>
          </cell>
          <cell r="G94">
            <v>42191</v>
          </cell>
          <cell r="H94">
            <v>4</v>
          </cell>
          <cell r="J94" t="str">
            <v>내국인</v>
          </cell>
          <cell r="K94" t="str">
            <v>대한민국</v>
          </cell>
          <cell r="L94" t="str">
            <v>800716-2403122</v>
          </cell>
          <cell r="M94">
            <v>29418</v>
          </cell>
          <cell r="N94">
            <v>39</v>
          </cell>
          <cell r="O94" t="str">
            <v>여</v>
          </cell>
          <cell r="P94">
            <v>34379</v>
          </cell>
          <cell r="Q94" t="str">
            <v>대전광역시 대덕구  대전로1185번길 30  101동 903호 (오정동, 삼익양지마을아파트)</v>
          </cell>
          <cell r="R94" t="str">
            <v>부</v>
          </cell>
          <cell r="S94" t="str">
            <v/>
          </cell>
          <cell r="T94" t="str">
            <v/>
          </cell>
          <cell r="U94" t="str">
            <v>010-5593-2719</v>
          </cell>
          <cell r="W94" t="str">
            <v>하나</v>
          </cell>
          <cell r="X94" t="str">
            <v>656-910248-62407</v>
          </cell>
          <cell r="Y94" t="str">
            <v>시급제</v>
          </cell>
          <cell r="Z94">
            <v>8590</v>
          </cell>
        </row>
        <row r="95">
          <cell r="A95">
            <v>94</v>
          </cell>
          <cell r="B95" t="str">
            <v>생산본부 생산팀 생산1파트</v>
          </cell>
          <cell r="D95" t="str">
            <v>기본</v>
          </cell>
          <cell r="E95" t="str">
            <v>이정임</v>
          </cell>
          <cell r="G95">
            <v>42767</v>
          </cell>
          <cell r="H95">
            <v>3</v>
          </cell>
          <cell r="J95" t="str">
            <v>내국인</v>
          </cell>
          <cell r="K95" t="str">
            <v>대한민국</v>
          </cell>
          <cell r="L95" t="str">
            <v>670805-2066913</v>
          </cell>
          <cell r="M95">
            <v>24689</v>
          </cell>
          <cell r="N95">
            <v>52</v>
          </cell>
          <cell r="O95" t="str">
            <v>여</v>
          </cell>
          <cell r="P95">
            <v>34889</v>
          </cell>
          <cell r="Q95" t="str">
            <v>대전광역시 중구  유등천동로 428 ,33동1101호 (태평동, 파라곤아파트)</v>
          </cell>
          <cell r="R95" t="str">
            <v>부</v>
          </cell>
          <cell r="S95" t="str">
            <v/>
          </cell>
          <cell r="T95" t="str">
            <v/>
          </cell>
          <cell r="U95" t="str">
            <v>ㅏ</v>
          </cell>
          <cell r="W95" t="str">
            <v>하나</v>
          </cell>
          <cell r="X95" t="str">
            <v>635-910587-29407</v>
          </cell>
          <cell r="Y95" t="str">
            <v>시급제</v>
          </cell>
          <cell r="Z95">
            <v>8590</v>
          </cell>
        </row>
        <row r="96">
          <cell r="A96">
            <v>95</v>
          </cell>
          <cell r="B96" t="str">
            <v>생산본부 생산팀 생산1파트</v>
          </cell>
          <cell r="D96" t="str">
            <v>기본</v>
          </cell>
          <cell r="E96" t="str">
            <v>이홍연</v>
          </cell>
          <cell r="G96">
            <v>43437</v>
          </cell>
          <cell r="H96">
            <v>1</v>
          </cell>
          <cell r="J96" t="str">
            <v>내국인</v>
          </cell>
          <cell r="K96" t="str">
            <v>대한민국</v>
          </cell>
          <cell r="L96" t="str">
            <v>800504-2449313</v>
          </cell>
          <cell r="M96">
            <v>29345</v>
          </cell>
          <cell r="N96">
            <v>40</v>
          </cell>
          <cell r="O96" t="str">
            <v>여</v>
          </cell>
          <cell r="Q96" t="str">
            <v xml:space="preserve">대전 유성구 구즉로 25 306동 208호 </v>
          </cell>
          <cell r="R96" t="str">
            <v>부</v>
          </cell>
          <cell r="S96" t="str">
            <v/>
          </cell>
          <cell r="T96" t="str">
            <v/>
          </cell>
          <cell r="U96" t="str">
            <v>010-9800-6531</v>
          </cell>
          <cell r="W96" t="str">
            <v>농협</v>
          </cell>
          <cell r="X96" t="str">
            <v>356-0333-4210-83</v>
          </cell>
          <cell r="Y96" t="str">
            <v>시급제</v>
          </cell>
          <cell r="Z96">
            <v>8590</v>
          </cell>
        </row>
        <row r="97">
          <cell r="A97">
            <v>96</v>
          </cell>
          <cell r="B97" t="str">
            <v>생산본부 생산팀 생산1파트</v>
          </cell>
          <cell r="D97" t="str">
            <v>기름</v>
          </cell>
          <cell r="E97" t="str">
            <v>정명신</v>
          </cell>
          <cell r="G97">
            <v>42156</v>
          </cell>
          <cell r="H97">
            <v>5</v>
          </cell>
          <cell r="J97" t="str">
            <v>외국인</v>
          </cell>
          <cell r="K97" t="str">
            <v>대한민국</v>
          </cell>
          <cell r="L97" t="str">
            <v>730320-2446714</v>
          </cell>
          <cell r="M97">
            <v>26743</v>
          </cell>
          <cell r="N97">
            <v>47</v>
          </cell>
          <cell r="O97" t="str">
            <v>여</v>
          </cell>
          <cell r="P97">
            <v>34354</v>
          </cell>
          <cell r="Q97" t="str">
            <v>대전광역시 대덕구  계족로761번길 24  108동 1009호(읍내동, 현대아파트)</v>
          </cell>
          <cell r="R97" t="str">
            <v>부</v>
          </cell>
          <cell r="S97" t="str">
            <v/>
          </cell>
          <cell r="T97" t="str">
            <v/>
          </cell>
          <cell r="U97" t="str">
            <v>010-4422-7077</v>
          </cell>
          <cell r="W97" t="str">
            <v>하나</v>
          </cell>
          <cell r="X97" t="str">
            <v>010-4422-7077107</v>
          </cell>
          <cell r="Y97" t="str">
            <v>시급제</v>
          </cell>
          <cell r="Z97">
            <v>8760</v>
          </cell>
        </row>
        <row r="98">
          <cell r="A98">
            <v>97</v>
          </cell>
          <cell r="B98" t="str">
            <v>생산본부 생산팀 생산1파트</v>
          </cell>
          <cell r="D98" t="str">
            <v>기름</v>
          </cell>
          <cell r="E98" t="str">
            <v>진정임</v>
          </cell>
          <cell r="G98">
            <v>42236</v>
          </cell>
          <cell r="H98">
            <v>4</v>
          </cell>
          <cell r="J98" t="str">
            <v>내국인</v>
          </cell>
          <cell r="K98" t="str">
            <v>대한민국</v>
          </cell>
          <cell r="L98" t="str">
            <v>690120-2535229</v>
          </cell>
          <cell r="M98">
            <v>25223</v>
          </cell>
          <cell r="N98">
            <v>51</v>
          </cell>
          <cell r="O98" t="str">
            <v>여</v>
          </cell>
          <cell r="P98">
            <v>34593</v>
          </cell>
          <cell r="Q98" t="str">
            <v>대전광역시 동구  우암로 192  115동 801호(가양동, 아침마을)</v>
          </cell>
          <cell r="R98" t="str">
            <v>부</v>
          </cell>
          <cell r="S98" t="str">
            <v/>
          </cell>
          <cell r="T98" t="str">
            <v/>
          </cell>
          <cell r="U98" t="str">
            <v>010-8232-9149</v>
          </cell>
          <cell r="W98" t="str">
            <v>농협</v>
          </cell>
          <cell r="X98" t="str">
            <v>646-02-126272</v>
          </cell>
          <cell r="Y98" t="str">
            <v>시급제</v>
          </cell>
          <cell r="Z98">
            <v>8590</v>
          </cell>
        </row>
        <row r="99">
          <cell r="A99">
            <v>98</v>
          </cell>
          <cell r="B99" t="str">
            <v>생산본부 생산팀 생산1파트</v>
          </cell>
          <cell r="D99" t="str">
            <v>기본</v>
          </cell>
          <cell r="E99" t="str">
            <v>초은차이나</v>
          </cell>
          <cell r="G99">
            <v>42845</v>
          </cell>
          <cell r="H99">
            <v>3</v>
          </cell>
          <cell r="J99" t="str">
            <v>내국인</v>
          </cell>
          <cell r="K99" t="str">
            <v>대한민국</v>
          </cell>
          <cell r="L99" t="str">
            <v>880106-2408819</v>
          </cell>
          <cell r="M99">
            <v>32148</v>
          </cell>
          <cell r="N99">
            <v>32</v>
          </cell>
          <cell r="O99" t="str">
            <v>여</v>
          </cell>
          <cell r="P99">
            <v>34443</v>
          </cell>
          <cell r="Q99" t="str">
            <v>대전광역시 대덕구  한남로155번길 10  7동 301호 (오정동, 건우빌라)</v>
          </cell>
          <cell r="R99" t="str">
            <v>부</v>
          </cell>
          <cell r="S99" t="str">
            <v/>
          </cell>
          <cell r="T99" t="str">
            <v/>
          </cell>
          <cell r="W99" t="str">
            <v>하나</v>
          </cell>
          <cell r="X99" t="str">
            <v>654-910348-56107</v>
          </cell>
          <cell r="Y99" t="str">
            <v>시급제</v>
          </cell>
          <cell r="Z99">
            <v>8590</v>
          </cell>
        </row>
        <row r="100">
          <cell r="A100">
            <v>99</v>
          </cell>
          <cell r="B100" t="str">
            <v>생산본부 생산팀 생산1파트</v>
          </cell>
          <cell r="D100" t="str">
            <v>기본</v>
          </cell>
          <cell r="E100" t="str">
            <v>최유미</v>
          </cell>
          <cell r="F100">
            <v>43953</v>
          </cell>
          <cell r="G100">
            <v>43864</v>
          </cell>
          <cell r="H100">
            <v>0</v>
          </cell>
          <cell r="J100" t="str">
            <v>내국인</v>
          </cell>
          <cell r="K100" t="str">
            <v>대한민국</v>
          </cell>
          <cell r="L100" t="str">
            <v>820320-2408611</v>
          </cell>
          <cell r="M100">
            <v>30030</v>
          </cell>
          <cell r="N100">
            <v>38</v>
          </cell>
          <cell r="O100" t="str">
            <v>여</v>
          </cell>
          <cell r="Q100" t="str">
            <v xml:space="preserve">대전서구복수동로21-20  초록마을2단지 </v>
          </cell>
          <cell r="R100" t="str">
            <v>부</v>
          </cell>
          <cell r="S100" t="str">
            <v/>
          </cell>
          <cell r="W100" t="str">
            <v>국민</v>
          </cell>
          <cell r="X100" t="str">
            <v>770001-01-056847</v>
          </cell>
          <cell r="Y100" t="str">
            <v>시급제</v>
          </cell>
          <cell r="Z100">
            <v>8590</v>
          </cell>
        </row>
        <row r="101">
          <cell r="A101">
            <v>100</v>
          </cell>
          <cell r="B101" t="str">
            <v>생산본부 생산팀 생산1파트</v>
          </cell>
          <cell r="D101" t="str">
            <v>기본</v>
          </cell>
          <cell r="E101" t="str">
            <v>최정희</v>
          </cell>
          <cell r="G101">
            <v>39524</v>
          </cell>
          <cell r="H101">
            <v>12</v>
          </cell>
          <cell r="J101" t="str">
            <v>내국인</v>
          </cell>
          <cell r="K101" t="str">
            <v>대한민국</v>
          </cell>
          <cell r="L101" t="str">
            <v>610405-2471319</v>
          </cell>
          <cell r="M101">
            <v>22376</v>
          </cell>
          <cell r="N101">
            <v>59</v>
          </cell>
          <cell r="O101" t="str">
            <v>여</v>
          </cell>
          <cell r="P101">
            <v>34418</v>
          </cell>
          <cell r="Q101" t="str">
            <v>대전광역시 대덕구  비래동로24번길 52,, A동 102호 (비래동, 선진빌라)</v>
          </cell>
          <cell r="R101" t="str">
            <v>부</v>
          </cell>
          <cell r="S101" t="str">
            <v/>
          </cell>
          <cell r="T101" t="str">
            <v/>
          </cell>
          <cell r="U101" t="str">
            <v>010-9402-2105</v>
          </cell>
          <cell r="W101" t="str">
            <v>하나</v>
          </cell>
          <cell r="X101" t="str">
            <v>652-910122-44308</v>
          </cell>
          <cell r="Y101" t="str">
            <v>시급제</v>
          </cell>
          <cell r="Z101">
            <v>8590</v>
          </cell>
        </row>
        <row r="102">
          <cell r="A102">
            <v>101</v>
          </cell>
          <cell r="B102" t="str">
            <v>생산본부 생산팀 생산1파트</v>
          </cell>
          <cell r="D102" t="str">
            <v>기본</v>
          </cell>
          <cell r="E102" t="str">
            <v>쿠엔</v>
          </cell>
          <cell r="G102">
            <v>43580</v>
          </cell>
          <cell r="H102">
            <v>1</v>
          </cell>
          <cell r="J102" t="str">
            <v>외국인</v>
          </cell>
          <cell r="K102" t="str">
            <v>대한민국</v>
          </cell>
          <cell r="L102" t="str">
            <v>920604-5140298</v>
          </cell>
          <cell r="M102">
            <v>33759</v>
          </cell>
          <cell r="N102">
            <v>28</v>
          </cell>
          <cell r="O102" t="str">
            <v>남</v>
          </cell>
          <cell r="Q102" t="str">
            <v xml:space="preserve"> </v>
          </cell>
          <cell r="R102" t="str">
            <v>부</v>
          </cell>
          <cell r="S102" t="str">
            <v/>
          </cell>
          <cell r="T102" t="str">
            <v/>
          </cell>
          <cell r="W102" t="str">
            <v>하나</v>
          </cell>
          <cell r="X102" t="str">
            <v>654-910378-32107</v>
          </cell>
          <cell r="Y102" t="str">
            <v>시급제</v>
          </cell>
          <cell r="Z102">
            <v>9110</v>
          </cell>
        </row>
        <row r="103">
          <cell r="A103">
            <v>102</v>
          </cell>
          <cell r="B103" t="str">
            <v>생산본부 생산팀 생산1파트</v>
          </cell>
          <cell r="D103" t="str">
            <v>기본</v>
          </cell>
          <cell r="E103" t="str">
            <v>터</v>
          </cell>
          <cell r="G103">
            <v>43384</v>
          </cell>
          <cell r="H103">
            <v>1</v>
          </cell>
          <cell r="J103" t="str">
            <v>외국인</v>
          </cell>
          <cell r="K103" t="str">
            <v>베트남</v>
          </cell>
          <cell r="L103" t="str">
            <v>960524-5200110</v>
          </cell>
          <cell r="M103">
            <v>35209</v>
          </cell>
          <cell r="N103">
            <v>24</v>
          </cell>
          <cell r="O103" t="str">
            <v>남</v>
          </cell>
          <cell r="Q103" t="str">
            <v xml:space="preserve"> </v>
          </cell>
          <cell r="R103" t="str">
            <v>부</v>
          </cell>
          <cell r="S103" t="str">
            <v/>
          </cell>
          <cell r="T103" t="str">
            <v/>
          </cell>
          <cell r="W103" t="str">
            <v>하나</v>
          </cell>
          <cell r="X103" t="str">
            <v>654-910373-08707</v>
          </cell>
          <cell r="Y103" t="str">
            <v>시급제</v>
          </cell>
          <cell r="Z103">
            <v>9110</v>
          </cell>
        </row>
        <row r="104">
          <cell r="A104">
            <v>103</v>
          </cell>
          <cell r="B104" t="str">
            <v>생산본부 생산팀 생산1파트</v>
          </cell>
          <cell r="D104" t="str">
            <v>절단기</v>
          </cell>
          <cell r="E104" t="str">
            <v>한명진</v>
          </cell>
          <cell r="G104">
            <v>42675</v>
          </cell>
          <cell r="H104">
            <v>3</v>
          </cell>
          <cell r="J104" t="str">
            <v>내국인</v>
          </cell>
          <cell r="K104" t="str">
            <v>대한민국</v>
          </cell>
          <cell r="L104" t="str">
            <v>690210-2402814</v>
          </cell>
          <cell r="M104">
            <v>25244</v>
          </cell>
          <cell r="N104">
            <v>51</v>
          </cell>
          <cell r="O104" t="str">
            <v>여</v>
          </cell>
          <cell r="P104">
            <v>34627</v>
          </cell>
          <cell r="Q104" t="str">
            <v>대전광역시 동구  대전로813번길 40  (중동)</v>
          </cell>
          <cell r="R104" t="str">
            <v>부</v>
          </cell>
          <cell r="S104" t="str">
            <v/>
          </cell>
          <cell r="T104" t="str">
            <v/>
          </cell>
          <cell r="U104" t="str">
            <v>010-5680-2814</v>
          </cell>
          <cell r="W104" t="str">
            <v>하나</v>
          </cell>
          <cell r="X104" t="str">
            <v>654-910340-99307</v>
          </cell>
          <cell r="Y104" t="str">
            <v>시급제</v>
          </cell>
          <cell r="Z104">
            <v>8650</v>
          </cell>
        </row>
        <row r="105">
          <cell r="A105">
            <v>104</v>
          </cell>
          <cell r="B105" t="str">
            <v>생산본부 생산팀 생산1파트</v>
          </cell>
          <cell r="D105" t="str">
            <v>절단기</v>
          </cell>
          <cell r="E105" t="str">
            <v>한선주</v>
          </cell>
          <cell r="G105">
            <v>42352</v>
          </cell>
          <cell r="H105">
            <v>4</v>
          </cell>
          <cell r="J105" t="str">
            <v>내국인</v>
          </cell>
          <cell r="K105" t="str">
            <v>대한민국</v>
          </cell>
          <cell r="L105" t="str">
            <v>680130-2899716</v>
          </cell>
          <cell r="M105">
            <v>24867</v>
          </cell>
          <cell r="N105">
            <v>52</v>
          </cell>
          <cell r="O105" t="str">
            <v>여</v>
          </cell>
          <cell r="Q105" t="str">
            <v xml:space="preserve"> </v>
          </cell>
          <cell r="R105" t="str">
            <v>부</v>
          </cell>
          <cell r="S105" t="str">
            <v/>
          </cell>
          <cell r="T105" t="str">
            <v/>
          </cell>
          <cell r="U105" t="str">
            <v>010-9349-6458</v>
          </cell>
          <cell r="W105" t="str">
            <v>하나</v>
          </cell>
          <cell r="X105" t="str">
            <v>654-910330-21807</v>
          </cell>
          <cell r="Y105" t="str">
            <v>시급제</v>
          </cell>
          <cell r="Z105">
            <v>8650</v>
          </cell>
        </row>
        <row r="106">
          <cell r="A106">
            <v>105</v>
          </cell>
          <cell r="B106" t="str">
            <v>생산본부 생산팀 생산1파트</v>
          </cell>
          <cell r="D106" t="str">
            <v>기본</v>
          </cell>
          <cell r="E106" t="str">
            <v>한송이</v>
          </cell>
          <cell r="G106">
            <v>42156</v>
          </cell>
          <cell r="H106">
            <v>5</v>
          </cell>
          <cell r="J106" t="str">
            <v>내국인</v>
          </cell>
          <cell r="K106" t="str">
            <v>대한민국</v>
          </cell>
          <cell r="L106" t="str">
            <v>830215-2403123</v>
          </cell>
          <cell r="M106">
            <v>30362</v>
          </cell>
          <cell r="N106">
            <v>37</v>
          </cell>
          <cell r="O106" t="str">
            <v>여</v>
          </cell>
          <cell r="P106">
            <v>34379</v>
          </cell>
          <cell r="Q106" t="str">
            <v>대전광역시 대덕구  대전로1185번길 30  105동 104호(오정동, 삼익양지마을아파트)</v>
          </cell>
          <cell r="R106" t="str">
            <v>부</v>
          </cell>
          <cell r="S106" t="str">
            <v/>
          </cell>
          <cell r="T106" t="str">
            <v/>
          </cell>
          <cell r="U106" t="str">
            <v>010-7658-3687</v>
          </cell>
          <cell r="W106" t="str">
            <v>하나</v>
          </cell>
          <cell r="X106" t="str">
            <v>654-910291-04807</v>
          </cell>
          <cell r="Y106" t="str">
            <v>시급제</v>
          </cell>
          <cell r="Z106">
            <v>8590</v>
          </cell>
        </row>
        <row r="107">
          <cell r="A107">
            <v>106</v>
          </cell>
          <cell r="B107" t="str">
            <v>생산본부 생산팀 생산1파트</v>
          </cell>
          <cell r="D107" t="str">
            <v>기본</v>
          </cell>
          <cell r="E107" t="str">
            <v>함연실</v>
          </cell>
          <cell r="G107">
            <v>42156</v>
          </cell>
          <cell r="H107">
            <v>5</v>
          </cell>
          <cell r="J107" t="str">
            <v>내국인</v>
          </cell>
          <cell r="K107" t="str">
            <v>대한민국</v>
          </cell>
          <cell r="L107" t="str">
            <v>660204-2321211</v>
          </cell>
          <cell r="M107">
            <v>24142</v>
          </cell>
          <cell r="N107">
            <v>54</v>
          </cell>
          <cell r="O107" t="str">
            <v>여</v>
          </cell>
          <cell r="P107">
            <v>34330</v>
          </cell>
          <cell r="Q107" t="str">
            <v>대전광역시 대덕구  덕암북로22번길 145  2동 401호 (덕암동, 삼보빌라)</v>
          </cell>
          <cell r="R107" t="str">
            <v>부</v>
          </cell>
          <cell r="S107" t="str">
            <v/>
          </cell>
          <cell r="T107" t="str">
            <v/>
          </cell>
          <cell r="U107" t="str">
            <v>010-8866-0832</v>
          </cell>
          <cell r="W107" t="str">
            <v>하나</v>
          </cell>
          <cell r="X107" t="str">
            <v>634-910281-09907</v>
          </cell>
          <cell r="Y107" t="str">
            <v>시급제</v>
          </cell>
          <cell r="Z107">
            <v>8590</v>
          </cell>
        </row>
        <row r="108">
          <cell r="A108">
            <v>107</v>
          </cell>
          <cell r="B108" t="str">
            <v>생산본부 생산팀 생산2파트</v>
          </cell>
          <cell r="C108" t="str">
            <v>파트장</v>
          </cell>
          <cell r="D108" t="str">
            <v>파트장</v>
          </cell>
          <cell r="E108" t="str">
            <v>김연숙</v>
          </cell>
          <cell r="G108">
            <v>42156</v>
          </cell>
          <cell r="H108">
            <v>5</v>
          </cell>
          <cell r="J108" t="str">
            <v>내국인</v>
          </cell>
          <cell r="K108" t="str">
            <v>대한민국</v>
          </cell>
          <cell r="L108" t="str">
            <v>640407-2448816</v>
          </cell>
          <cell r="M108">
            <v>23474</v>
          </cell>
          <cell r="N108">
            <v>56</v>
          </cell>
          <cell r="O108" t="str">
            <v>여</v>
          </cell>
          <cell r="P108">
            <v>34875</v>
          </cell>
          <cell r="Q108" t="str">
            <v>대전광역시 중구  수침로 138  110동 2004호(태평동, 유등마을아파트)</v>
          </cell>
          <cell r="R108" t="str">
            <v>부</v>
          </cell>
          <cell r="S108" t="str">
            <v/>
          </cell>
          <cell r="T108" t="str">
            <v/>
          </cell>
          <cell r="U108" t="str">
            <v>010-4413-3167</v>
          </cell>
          <cell r="W108" t="str">
            <v>하나</v>
          </cell>
          <cell r="X108" t="str">
            <v>654-910165-83707</v>
          </cell>
          <cell r="Y108" t="str">
            <v>시급제</v>
          </cell>
          <cell r="Z108" t="str">
            <v>정보없음</v>
          </cell>
        </row>
        <row r="109">
          <cell r="A109">
            <v>108</v>
          </cell>
          <cell r="B109" t="str">
            <v>생산본부 생산팀 생산2파트</v>
          </cell>
          <cell r="C109" t="str">
            <v>남자반장</v>
          </cell>
          <cell r="D109" t="str">
            <v>남자반장</v>
          </cell>
          <cell r="E109" t="str">
            <v>송민헌</v>
          </cell>
          <cell r="G109">
            <v>42345</v>
          </cell>
          <cell r="H109">
            <v>4</v>
          </cell>
          <cell r="J109" t="str">
            <v>내국인</v>
          </cell>
          <cell r="K109" t="str">
            <v>대한민국</v>
          </cell>
          <cell r="L109" t="str">
            <v>761230-1449021</v>
          </cell>
          <cell r="M109">
            <v>28124</v>
          </cell>
          <cell r="N109">
            <v>43</v>
          </cell>
          <cell r="O109" t="str">
            <v>남</v>
          </cell>
          <cell r="P109">
            <v>34424</v>
          </cell>
          <cell r="Q109" t="str">
            <v>대전광역시 대덕구  송촌남로37번길 25  (송촌동)</v>
          </cell>
          <cell r="R109" t="str">
            <v>부</v>
          </cell>
          <cell r="S109" t="str">
            <v/>
          </cell>
          <cell r="T109" t="str">
            <v/>
          </cell>
          <cell r="U109" t="str">
            <v>010-9175-7100</v>
          </cell>
          <cell r="W109" t="str">
            <v>하나</v>
          </cell>
          <cell r="X109" t="str">
            <v>734-910275-14807</v>
          </cell>
          <cell r="Y109" t="str">
            <v>시급제</v>
          </cell>
          <cell r="Z109" t="str">
            <v>정보없음</v>
          </cell>
        </row>
        <row r="110">
          <cell r="A110">
            <v>109</v>
          </cell>
          <cell r="B110" t="str">
            <v>생산본부 생산팀 생산2파트</v>
          </cell>
          <cell r="C110" t="str">
            <v>여자반장</v>
          </cell>
          <cell r="D110" t="str">
            <v>여자반장</v>
          </cell>
          <cell r="E110" t="str">
            <v>이신영</v>
          </cell>
          <cell r="G110">
            <v>42156</v>
          </cell>
          <cell r="H110">
            <v>5</v>
          </cell>
          <cell r="J110" t="str">
            <v>내국인</v>
          </cell>
          <cell r="K110" t="str">
            <v>대한민국</v>
          </cell>
          <cell r="L110" t="str">
            <v>710425-2524714</v>
          </cell>
          <cell r="M110">
            <v>26048</v>
          </cell>
          <cell r="N110">
            <v>49</v>
          </cell>
          <cell r="O110" t="str">
            <v>여</v>
          </cell>
          <cell r="P110">
            <v>34660</v>
          </cell>
          <cell r="Q110" t="str">
            <v>대전광역시 동구  용운로 80  315동 604호(용운동, 용방마을아파트)</v>
          </cell>
          <cell r="R110" t="str">
            <v>부</v>
          </cell>
          <cell r="S110" t="str">
            <v/>
          </cell>
          <cell r="T110" t="str">
            <v/>
          </cell>
          <cell r="U110" t="str">
            <v>010-9465-4856</v>
          </cell>
          <cell r="W110" t="str">
            <v>하나</v>
          </cell>
          <cell r="X110" t="str">
            <v>645-910734-42407</v>
          </cell>
          <cell r="Y110" t="str">
            <v>시급제</v>
          </cell>
          <cell r="Z110" t="str">
            <v>정보없음</v>
          </cell>
        </row>
        <row r="111">
          <cell r="A111">
            <v>110</v>
          </cell>
          <cell r="B111" t="str">
            <v>생산본부 생산팀 생산2파트</v>
          </cell>
          <cell r="D111" t="str">
            <v>기본</v>
          </cell>
          <cell r="E111" t="str">
            <v>강평성</v>
          </cell>
          <cell r="G111">
            <v>42156</v>
          </cell>
          <cell r="H111">
            <v>5</v>
          </cell>
          <cell r="J111" t="str">
            <v>내국인</v>
          </cell>
          <cell r="K111" t="str">
            <v>대한민국</v>
          </cell>
          <cell r="L111" t="str">
            <v>610715-2464425</v>
          </cell>
          <cell r="M111">
            <v>22477</v>
          </cell>
          <cell r="N111">
            <v>58</v>
          </cell>
          <cell r="O111" t="str">
            <v>여</v>
          </cell>
          <cell r="P111">
            <v>34347</v>
          </cell>
          <cell r="Q111" t="str">
            <v>대전광역시 대덕구  신탄진로218번길 12  103동 502호(와동, 와동주공아파트)</v>
          </cell>
          <cell r="R111" t="str">
            <v>부</v>
          </cell>
          <cell r="S111" t="str">
            <v/>
          </cell>
          <cell r="T111" t="str">
            <v/>
          </cell>
          <cell r="U111" t="str">
            <v>010-4552-1089</v>
          </cell>
          <cell r="W111" t="str">
            <v>하나</v>
          </cell>
          <cell r="X111" t="str">
            <v>654-910256-48907</v>
          </cell>
          <cell r="Y111" t="str">
            <v>시급제</v>
          </cell>
          <cell r="Z111">
            <v>8590</v>
          </cell>
        </row>
        <row r="112">
          <cell r="A112">
            <v>111</v>
          </cell>
          <cell r="B112" t="str">
            <v>생산본부 생산팀 생산2파트</v>
          </cell>
          <cell r="D112" t="str">
            <v>기본</v>
          </cell>
          <cell r="E112" t="str">
            <v>권남홍</v>
          </cell>
          <cell r="G112">
            <v>42156</v>
          </cell>
          <cell r="H112">
            <v>5</v>
          </cell>
          <cell r="J112" t="str">
            <v>내국인</v>
          </cell>
          <cell r="K112" t="str">
            <v>대한민국</v>
          </cell>
          <cell r="L112" t="str">
            <v>690305-2721316</v>
          </cell>
          <cell r="M112">
            <v>25267</v>
          </cell>
          <cell r="N112">
            <v>51</v>
          </cell>
          <cell r="O112" t="str">
            <v>여</v>
          </cell>
          <cell r="P112">
            <v>34421</v>
          </cell>
          <cell r="Q112" t="str">
            <v>대전광역시 대덕구  동춘당로23번길 65  103호 (송촌동, 참솔아파트)</v>
          </cell>
          <cell r="R112" t="str">
            <v>부</v>
          </cell>
          <cell r="S112" t="str">
            <v/>
          </cell>
          <cell r="T112" t="str">
            <v/>
          </cell>
          <cell r="U112" t="str">
            <v>010-2162-6311</v>
          </cell>
          <cell r="W112" t="str">
            <v>하나</v>
          </cell>
          <cell r="X112" t="str">
            <v>654-910165-97007</v>
          </cell>
          <cell r="Y112" t="str">
            <v>시급제</v>
          </cell>
          <cell r="Z112">
            <v>8590</v>
          </cell>
        </row>
        <row r="113">
          <cell r="A113">
            <v>112</v>
          </cell>
          <cell r="B113" t="str">
            <v>생산본부 생산팀 생산2파트</v>
          </cell>
          <cell r="D113" t="str">
            <v>기본</v>
          </cell>
          <cell r="E113" t="str">
            <v>권순옥</v>
          </cell>
          <cell r="G113">
            <v>42156</v>
          </cell>
          <cell r="H113">
            <v>5</v>
          </cell>
          <cell r="J113" t="str">
            <v>내국인</v>
          </cell>
          <cell r="K113" t="str">
            <v>대한민국</v>
          </cell>
          <cell r="L113" t="str">
            <v>610410-2380842</v>
          </cell>
          <cell r="M113">
            <v>22381</v>
          </cell>
          <cell r="N113">
            <v>59</v>
          </cell>
          <cell r="O113" t="str">
            <v>여</v>
          </cell>
          <cell r="P113">
            <v>34408</v>
          </cell>
          <cell r="Q113" t="str">
            <v>대전광역시 대덕구  송촌북로20번길 13-5  (송촌동)</v>
          </cell>
          <cell r="R113" t="str">
            <v>부</v>
          </cell>
          <cell r="S113" t="str">
            <v/>
          </cell>
          <cell r="T113" t="str">
            <v/>
          </cell>
          <cell r="U113" t="str">
            <v>010-3174-3998</v>
          </cell>
          <cell r="W113" t="str">
            <v>하나</v>
          </cell>
          <cell r="X113" t="str">
            <v>654-910165-85007</v>
          </cell>
          <cell r="Y113" t="str">
            <v>시급제</v>
          </cell>
          <cell r="Z113">
            <v>8590</v>
          </cell>
        </row>
        <row r="114">
          <cell r="A114">
            <v>113</v>
          </cell>
          <cell r="B114" t="str">
            <v>생산본부 생산팀 생산2파트</v>
          </cell>
          <cell r="D114" t="str">
            <v>기본</v>
          </cell>
          <cell r="E114" t="str">
            <v>김금주</v>
          </cell>
          <cell r="G114">
            <v>42767</v>
          </cell>
          <cell r="H114">
            <v>3</v>
          </cell>
          <cell r="J114" t="str">
            <v>내국인</v>
          </cell>
          <cell r="K114" t="str">
            <v>대한민국</v>
          </cell>
          <cell r="L114" t="str">
            <v>760820-2466613</v>
          </cell>
          <cell r="M114">
            <v>27992</v>
          </cell>
          <cell r="N114">
            <v>43</v>
          </cell>
          <cell r="O114" t="str">
            <v>여</v>
          </cell>
          <cell r="P114">
            <v>34639</v>
          </cell>
          <cell r="Q114" t="str">
            <v>대전광역시 동구  계족로 65  103동 1702호(인동, 어진마을아파트)</v>
          </cell>
          <cell r="R114" t="str">
            <v>부</v>
          </cell>
          <cell r="S114" t="str">
            <v/>
          </cell>
          <cell r="T114" t="str">
            <v/>
          </cell>
          <cell r="U114" t="str">
            <v>010-6318-4463</v>
          </cell>
          <cell r="W114" t="str">
            <v>하나</v>
          </cell>
          <cell r="X114" t="str">
            <v>645-910942-71607</v>
          </cell>
          <cell r="Y114" t="str">
            <v>시급제</v>
          </cell>
          <cell r="Z114">
            <v>8590</v>
          </cell>
        </row>
        <row r="115">
          <cell r="A115">
            <v>114</v>
          </cell>
          <cell r="B115" t="str">
            <v>생산본부 생산팀 생산2파트</v>
          </cell>
          <cell r="D115" t="str">
            <v>기본</v>
          </cell>
          <cell r="E115" t="str">
            <v>김명옥</v>
          </cell>
          <cell r="G115">
            <v>42156</v>
          </cell>
          <cell r="H115">
            <v>5</v>
          </cell>
          <cell r="J115" t="str">
            <v>내국인</v>
          </cell>
          <cell r="K115" t="str">
            <v>대한민국</v>
          </cell>
          <cell r="L115" t="str">
            <v>640610-2524716</v>
          </cell>
          <cell r="M115">
            <v>23538</v>
          </cell>
          <cell r="N115">
            <v>56</v>
          </cell>
          <cell r="O115" t="str">
            <v>여</v>
          </cell>
          <cell r="P115">
            <v>34441</v>
          </cell>
          <cell r="Q115" t="str">
            <v>대전광역시 대덕구  오정로51번길 28-2  (오정동)</v>
          </cell>
          <cell r="R115" t="str">
            <v>부</v>
          </cell>
          <cell r="S115" t="str">
            <v/>
          </cell>
          <cell r="T115" t="str">
            <v/>
          </cell>
          <cell r="U115" t="str">
            <v>010-5436-1502</v>
          </cell>
          <cell r="W115" t="str">
            <v>하나</v>
          </cell>
          <cell r="X115" t="str">
            <v>654-049800-00108</v>
          </cell>
          <cell r="Y115" t="str">
            <v>시급제</v>
          </cell>
          <cell r="Z115">
            <v>8590</v>
          </cell>
        </row>
        <row r="116">
          <cell r="A116">
            <v>115</v>
          </cell>
          <cell r="B116" t="str">
            <v>생산본부 생산팀 생산2파트</v>
          </cell>
          <cell r="D116" t="str">
            <v>기본</v>
          </cell>
          <cell r="E116" t="str">
            <v>김민경</v>
          </cell>
          <cell r="G116">
            <v>42491</v>
          </cell>
          <cell r="H116">
            <v>4</v>
          </cell>
          <cell r="J116" t="str">
            <v>내국인</v>
          </cell>
          <cell r="K116" t="str">
            <v>대한민국</v>
          </cell>
          <cell r="L116" t="str">
            <v>740427-2552916</v>
          </cell>
          <cell r="M116">
            <v>27146</v>
          </cell>
          <cell r="N116">
            <v>46</v>
          </cell>
          <cell r="O116" t="str">
            <v>여</v>
          </cell>
          <cell r="P116">
            <v>34814</v>
          </cell>
          <cell r="Q116" t="str">
            <v>대전광역시 중구  동서대로1421번길 23  2층 (중촌동)</v>
          </cell>
          <cell r="R116" t="str">
            <v>부</v>
          </cell>
          <cell r="S116" t="str">
            <v/>
          </cell>
          <cell r="T116" t="str">
            <v/>
          </cell>
          <cell r="U116" t="str">
            <v>010-8332-7218</v>
          </cell>
          <cell r="W116" t="str">
            <v>하나</v>
          </cell>
          <cell r="X116" t="str">
            <v>654-910332-08407</v>
          </cell>
          <cell r="Y116" t="str">
            <v>시급제</v>
          </cell>
          <cell r="Z116">
            <v>8590</v>
          </cell>
        </row>
        <row r="117">
          <cell r="A117">
            <v>116</v>
          </cell>
          <cell r="B117" t="str">
            <v>생산본부 생산팀 생산2파트</v>
          </cell>
          <cell r="D117" t="str">
            <v>기본</v>
          </cell>
          <cell r="E117" t="str">
            <v>김보경</v>
          </cell>
          <cell r="G117">
            <v>43430</v>
          </cell>
          <cell r="H117">
            <v>1</v>
          </cell>
          <cell r="J117" t="str">
            <v>내국인</v>
          </cell>
          <cell r="K117" t="str">
            <v>대한민국</v>
          </cell>
          <cell r="L117" t="str">
            <v>871126-2114319</v>
          </cell>
          <cell r="M117">
            <v>32107</v>
          </cell>
          <cell r="N117">
            <v>32</v>
          </cell>
          <cell r="O117" t="str">
            <v>여</v>
          </cell>
          <cell r="Q117" t="str">
            <v xml:space="preserve">대전 동구 삼성동 342-2번지 2층 </v>
          </cell>
          <cell r="R117" t="str">
            <v>부</v>
          </cell>
          <cell r="S117" t="str">
            <v/>
          </cell>
          <cell r="T117" t="str">
            <v/>
          </cell>
          <cell r="U117" t="str">
            <v>010-7679-3507</v>
          </cell>
          <cell r="W117" t="str">
            <v>우리</v>
          </cell>
          <cell r="X117" t="str">
            <v>1002-251-612078</v>
          </cell>
          <cell r="Y117" t="str">
            <v>시급제</v>
          </cell>
          <cell r="Z117">
            <v>8590</v>
          </cell>
        </row>
        <row r="118">
          <cell r="A118">
            <v>117</v>
          </cell>
          <cell r="B118" t="str">
            <v>생산본부 생산팀 생산2파트</v>
          </cell>
          <cell r="D118" t="str">
            <v>기름</v>
          </cell>
          <cell r="E118" t="str">
            <v>김순덕</v>
          </cell>
          <cell r="G118">
            <v>42156</v>
          </cell>
          <cell r="H118">
            <v>5</v>
          </cell>
          <cell r="J118" t="str">
            <v>내국인</v>
          </cell>
          <cell r="K118" t="str">
            <v>대한민국</v>
          </cell>
          <cell r="L118" t="str">
            <v>630508-2524814</v>
          </cell>
          <cell r="M118">
            <v>23139</v>
          </cell>
          <cell r="N118">
            <v>57</v>
          </cell>
          <cell r="O118" t="str">
            <v>여</v>
          </cell>
          <cell r="P118">
            <v>34531</v>
          </cell>
          <cell r="Q118" t="str">
            <v>대전광역시 동구  흥룡로65번길 46  4동 501호(가양동, 임광하이츠)</v>
          </cell>
          <cell r="R118" t="str">
            <v>부</v>
          </cell>
          <cell r="S118" t="str">
            <v/>
          </cell>
          <cell r="T118" t="str">
            <v/>
          </cell>
          <cell r="U118" t="str">
            <v>010-6418-9901</v>
          </cell>
          <cell r="W118" t="str">
            <v>하나</v>
          </cell>
          <cell r="X118" t="str">
            <v>657-910275-37907</v>
          </cell>
          <cell r="Y118" t="str">
            <v>시급제</v>
          </cell>
          <cell r="Z118">
            <v>8760</v>
          </cell>
        </row>
        <row r="119">
          <cell r="A119">
            <v>118</v>
          </cell>
          <cell r="B119" t="str">
            <v>생산본부 생산팀 생산2파트</v>
          </cell>
          <cell r="D119" t="str">
            <v>기름</v>
          </cell>
          <cell r="E119" t="str">
            <v>김용순</v>
          </cell>
          <cell r="G119">
            <v>42156</v>
          </cell>
          <cell r="H119">
            <v>5</v>
          </cell>
          <cell r="J119" t="str">
            <v>내국인</v>
          </cell>
          <cell r="K119" t="str">
            <v>대한민국</v>
          </cell>
          <cell r="L119" t="str">
            <v>640401-2380411</v>
          </cell>
          <cell r="M119">
            <v>23468</v>
          </cell>
          <cell r="N119">
            <v>56</v>
          </cell>
          <cell r="O119" t="str">
            <v>여</v>
          </cell>
          <cell r="P119">
            <v>34332</v>
          </cell>
          <cell r="Q119" t="str">
            <v>대전광역시 대덕구  덕암로188번길 37-18  (평촌동)</v>
          </cell>
          <cell r="R119" t="str">
            <v>부</v>
          </cell>
          <cell r="S119" t="str">
            <v/>
          </cell>
          <cell r="T119" t="str">
            <v/>
          </cell>
          <cell r="U119" t="str">
            <v>010-2518-4745</v>
          </cell>
          <cell r="W119" t="str">
            <v>하나</v>
          </cell>
          <cell r="X119" t="str">
            <v>654-910256-53407</v>
          </cell>
          <cell r="Y119" t="str">
            <v>시급제</v>
          </cell>
          <cell r="Z119">
            <v>8760</v>
          </cell>
        </row>
        <row r="120">
          <cell r="A120">
            <v>119</v>
          </cell>
          <cell r="B120" t="str">
            <v>생산본부 생산팀 생산2파트</v>
          </cell>
          <cell r="D120" t="str">
            <v>기본</v>
          </cell>
          <cell r="E120" t="str">
            <v>김은자</v>
          </cell>
          <cell r="G120">
            <v>42491</v>
          </cell>
          <cell r="H120">
            <v>4</v>
          </cell>
          <cell r="J120" t="str">
            <v>내국인</v>
          </cell>
          <cell r="K120" t="str">
            <v>대한민국</v>
          </cell>
          <cell r="L120" t="str">
            <v>740406-2347811</v>
          </cell>
          <cell r="M120">
            <v>27125</v>
          </cell>
          <cell r="N120">
            <v>46</v>
          </cell>
          <cell r="O120" t="str">
            <v>여</v>
          </cell>
          <cell r="P120">
            <v>34395</v>
          </cell>
          <cell r="Q120" t="str">
            <v>대전광역시 대덕구  중리동로3번길 14-19  102호 (중리동)</v>
          </cell>
          <cell r="R120" t="str">
            <v>부</v>
          </cell>
          <cell r="S120" t="str">
            <v/>
          </cell>
          <cell r="T120" t="str">
            <v/>
          </cell>
          <cell r="U120" t="str">
            <v>010-9156-9384</v>
          </cell>
          <cell r="W120" t="str">
            <v>하나</v>
          </cell>
          <cell r="X120" t="str">
            <v>653-910407-16507</v>
          </cell>
          <cell r="Y120" t="str">
            <v>시급제</v>
          </cell>
          <cell r="Z120">
            <v>8590</v>
          </cell>
        </row>
        <row r="121">
          <cell r="A121">
            <v>120</v>
          </cell>
          <cell r="B121" t="str">
            <v>생산본부 생산팀 생산2파트</v>
          </cell>
          <cell r="D121" t="str">
            <v>기본</v>
          </cell>
          <cell r="E121" t="str">
            <v>김정숙</v>
          </cell>
          <cell r="G121">
            <v>42767</v>
          </cell>
          <cell r="H121">
            <v>3</v>
          </cell>
          <cell r="J121" t="str">
            <v>내국인</v>
          </cell>
          <cell r="K121" t="str">
            <v>대한민국</v>
          </cell>
          <cell r="L121" t="str">
            <v>751030-2683312</v>
          </cell>
          <cell r="M121">
            <v>27697</v>
          </cell>
          <cell r="N121">
            <v>44</v>
          </cell>
          <cell r="O121" t="str">
            <v>여</v>
          </cell>
          <cell r="P121">
            <v>34388</v>
          </cell>
          <cell r="Q121" t="str">
            <v>대전광역시 대덕구  중리로63번길 27  (중리동)</v>
          </cell>
          <cell r="R121" t="str">
            <v>부</v>
          </cell>
          <cell r="S121" t="str">
            <v/>
          </cell>
          <cell r="T121" t="str">
            <v/>
          </cell>
          <cell r="U121" t="str">
            <v>010-5527-2483</v>
          </cell>
          <cell r="W121" t="str">
            <v>하나</v>
          </cell>
          <cell r="X121" t="str">
            <v>654-910345-17307</v>
          </cell>
          <cell r="Y121" t="str">
            <v>시급제</v>
          </cell>
          <cell r="Z121">
            <v>8590</v>
          </cell>
        </row>
        <row r="122">
          <cell r="A122">
            <v>121</v>
          </cell>
          <cell r="B122" t="str">
            <v>생산본부 생산팀 생산2파트</v>
          </cell>
          <cell r="D122" t="str">
            <v>기본</v>
          </cell>
          <cell r="E122" t="str">
            <v>김정옥</v>
          </cell>
          <cell r="G122">
            <v>42156</v>
          </cell>
          <cell r="H122">
            <v>5</v>
          </cell>
          <cell r="J122" t="str">
            <v>내국인</v>
          </cell>
          <cell r="K122" t="str">
            <v>대한민국</v>
          </cell>
          <cell r="L122" t="str">
            <v>620801-2777611</v>
          </cell>
          <cell r="M122">
            <v>22859</v>
          </cell>
          <cell r="N122">
            <v>57</v>
          </cell>
          <cell r="O122" t="str">
            <v>여</v>
          </cell>
          <cell r="P122">
            <v>34391</v>
          </cell>
          <cell r="Q122" t="str">
            <v>대전광역시 대덕구  중리로21번길 40-10  (중리동)</v>
          </cell>
          <cell r="R122" t="str">
            <v>부</v>
          </cell>
          <cell r="S122" t="str">
            <v/>
          </cell>
          <cell r="T122" t="str">
            <v/>
          </cell>
          <cell r="U122" t="str">
            <v>010-3725-6809</v>
          </cell>
          <cell r="W122" t="str">
            <v>하나</v>
          </cell>
          <cell r="X122" t="str">
            <v>654-910196-81307</v>
          </cell>
          <cell r="Y122" t="str">
            <v>시급제</v>
          </cell>
          <cell r="Z122">
            <v>8590</v>
          </cell>
        </row>
        <row r="123">
          <cell r="A123">
            <v>122</v>
          </cell>
          <cell r="B123" t="str">
            <v>생산본부 생산팀 생산2파트</v>
          </cell>
          <cell r="D123" t="str">
            <v>기름</v>
          </cell>
          <cell r="E123" t="str">
            <v>김정자</v>
          </cell>
          <cell r="G123">
            <v>42156</v>
          </cell>
          <cell r="H123">
            <v>5</v>
          </cell>
          <cell r="J123" t="str">
            <v>내국인</v>
          </cell>
          <cell r="K123" t="str">
            <v>대한민국</v>
          </cell>
          <cell r="L123" t="str">
            <v>660310-2792726</v>
          </cell>
          <cell r="M123">
            <v>24176</v>
          </cell>
          <cell r="N123">
            <v>54</v>
          </cell>
          <cell r="O123" t="str">
            <v>여</v>
          </cell>
          <cell r="P123">
            <v>34849</v>
          </cell>
          <cell r="Q123" t="str">
            <v>대전광역시 중구  동서대로 1388  106동 1104호 (목동, 금호한사랑아파트)</v>
          </cell>
          <cell r="R123" t="str">
            <v>부</v>
          </cell>
          <cell r="S123" t="str">
            <v/>
          </cell>
          <cell r="T123" t="str">
            <v/>
          </cell>
          <cell r="U123" t="str">
            <v>010-3724-1958</v>
          </cell>
          <cell r="W123" t="str">
            <v>하나</v>
          </cell>
          <cell r="X123" t="str">
            <v>646-910387-19007</v>
          </cell>
          <cell r="Y123" t="str">
            <v>시급제</v>
          </cell>
          <cell r="Z123">
            <v>8760</v>
          </cell>
        </row>
        <row r="124">
          <cell r="A124">
            <v>123</v>
          </cell>
          <cell r="B124" t="str">
            <v>생산본부 생산팀 생산2파트</v>
          </cell>
          <cell r="D124" t="str">
            <v>기본</v>
          </cell>
          <cell r="E124" t="str">
            <v>끄엉</v>
          </cell>
          <cell r="G124">
            <v>43384</v>
          </cell>
          <cell r="H124">
            <v>1</v>
          </cell>
          <cell r="J124" t="str">
            <v>외국인</v>
          </cell>
          <cell r="K124" t="str">
            <v>베트남</v>
          </cell>
          <cell r="L124" t="str">
            <v>940810-5200149</v>
          </cell>
          <cell r="M124">
            <v>34556</v>
          </cell>
          <cell r="N124">
            <v>25</v>
          </cell>
          <cell r="O124" t="str">
            <v>남</v>
          </cell>
          <cell r="Q124" t="str">
            <v xml:space="preserve"> </v>
          </cell>
          <cell r="R124" t="str">
            <v>부</v>
          </cell>
          <cell r="S124" t="str">
            <v/>
          </cell>
          <cell r="T124" t="str">
            <v/>
          </cell>
          <cell r="W124" t="str">
            <v>하나</v>
          </cell>
          <cell r="X124" t="str">
            <v>654-910373-09307</v>
          </cell>
          <cell r="Y124" t="str">
            <v>시급제</v>
          </cell>
          <cell r="Z124">
            <v>9110</v>
          </cell>
        </row>
        <row r="125">
          <cell r="A125">
            <v>124</v>
          </cell>
          <cell r="B125" t="str">
            <v>생산본부 생산팀 생산2파트</v>
          </cell>
          <cell r="D125" t="str">
            <v>기본</v>
          </cell>
          <cell r="E125" t="str">
            <v>더안</v>
          </cell>
          <cell r="G125">
            <v>43384</v>
          </cell>
          <cell r="H125">
            <v>1</v>
          </cell>
          <cell r="J125" t="str">
            <v>외국인</v>
          </cell>
          <cell r="K125" t="str">
            <v>베트남</v>
          </cell>
          <cell r="L125" t="str">
            <v>980412-5200011</v>
          </cell>
          <cell r="M125">
            <v>35897</v>
          </cell>
          <cell r="N125">
            <v>22</v>
          </cell>
          <cell r="O125" t="str">
            <v>남</v>
          </cell>
          <cell r="Q125" t="str">
            <v xml:space="preserve"> </v>
          </cell>
          <cell r="R125" t="str">
            <v>부</v>
          </cell>
          <cell r="S125" t="str">
            <v/>
          </cell>
          <cell r="T125" t="str">
            <v/>
          </cell>
          <cell r="W125" t="str">
            <v>하나</v>
          </cell>
          <cell r="X125" t="str">
            <v>654-910373-07107</v>
          </cell>
          <cell r="Y125" t="str">
            <v>시급제</v>
          </cell>
          <cell r="Z125">
            <v>9110</v>
          </cell>
        </row>
        <row r="126">
          <cell r="A126">
            <v>125</v>
          </cell>
          <cell r="B126" t="str">
            <v>생산본부 생산팀 생산2파트</v>
          </cell>
          <cell r="D126" t="str">
            <v>기본</v>
          </cell>
          <cell r="E126" t="str">
            <v>두옹티디엠</v>
          </cell>
          <cell r="G126">
            <v>43430</v>
          </cell>
          <cell r="H126">
            <v>1</v>
          </cell>
          <cell r="J126" t="str">
            <v>외국인</v>
          </cell>
          <cell r="K126" t="str">
            <v>베트남</v>
          </cell>
          <cell r="L126" t="str">
            <v>830429-6200691</v>
          </cell>
          <cell r="M126">
            <v>30435</v>
          </cell>
          <cell r="N126">
            <v>37</v>
          </cell>
          <cell r="O126" t="str">
            <v>여</v>
          </cell>
          <cell r="Q126" t="str">
            <v xml:space="preserve">대전 동구 용전동 새피앙 101동 1408호 </v>
          </cell>
          <cell r="R126" t="str">
            <v>부</v>
          </cell>
          <cell r="S126" t="str">
            <v/>
          </cell>
          <cell r="T126" t="str">
            <v/>
          </cell>
          <cell r="U126" t="str">
            <v>010-6552-3286</v>
          </cell>
          <cell r="W126" t="str">
            <v>하나</v>
          </cell>
          <cell r="X126" t="str">
            <v>646-910528-19507</v>
          </cell>
          <cell r="Y126" t="str">
            <v>시급제</v>
          </cell>
          <cell r="Z126">
            <v>8590</v>
          </cell>
        </row>
        <row r="127">
          <cell r="A127">
            <v>126</v>
          </cell>
          <cell r="B127" t="str">
            <v>생산본부 생산팀 생산2파트</v>
          </cell>
          <cell r="D127" t="str">
            <v>기본</v>
          </cell>
          <cell r="E127" t="str">
            <v>류시엔롱</v>
          </cell>
          <cell r="G127">
            <v>43430</v>
          </cell>
          <cell r="H127">
            <v>1</v>
          </cell>
          <cell r="J127" t="str">
            <v>외국인</v>
          </cell>
          <cell r="K127" t="str">
            <v>대한민국</v>
          </cell>
          <cell r="L127" t="str">
            <v>710527-6200014</v>
          </cell>
          <cell r="M127">
            <v>26080</v>
          </cell>
          <cell r="N127">
            <v>49</v>
          </cell>
          <cell r="O127" t="str">
            <v>여</v>
          </cell>
          <cell r="Q127" t="str">
            <v xml:space="preserve">대전 대덕구 신탄진로218번길 12 110동 405호 </v>
          </cell>
          <cell r="R127" t="str">
            <v>부</v>
          </cell>
          <cell r="S127" t="str">
            <v/>
          </cell>
          <cell r="T127" t="str">
            <v/>
          </cell>
          <cell r="U127" t="str">
            <v>010-3940-0720</v>
          </cell>
          <cell r="W127" t="str">
            <v>하나</v>
          </cell>
          <cell r="X127" t="str">
            <v>646-910880-96407</v>
          </cell>
          <cell r="Y127" t="str">
            <v>시급제</v>
          </cell>
          <cell r="Z127">
            <v>8590</v>
          </cell>
        </row>
        <row r="128">
          <cell r="A128">
            <v>127</v>
          </cell>
          <cell r="B128" t="str">
            <v>생산본부 생산팀 생산2파트</v>
          </cell>
          <cell r="D128" t="str">
            <v>기본</v>
          </cell>
          <cell r="E128" t="str">
            <v>문순옥</v>
          </cell>
          <cell r="G128">
            <v>43797</v>
          </cell>
          <cell r="H128">
            <v>0</v>
          </cell>
          <cell r="J128" t="str">
            <v>내국인</v>
          </cell>
          <cell r="K128" t="str">
            <v>대한민국</v>
          </cell>
          <cell r="L128" t="str">
            <v>770220-2114323</v>
          </cell>
          <cell r="M128">
            <v>28176</v>
          </cell>
          <cell r="N128">
            <v>43</v>
          </cell>
          <cell r="O128" t="str">
            <v>여</v>
          </cell>
          <cell r="Q128" t="str">
            <v xml:space="preserve">대전광역시 대덕구 비래서로 10번길 21 104동 2302호 </v>
          </cell>
          <cell r="R128" t="str">
            <v>부</v>
          </cell>
          <cell r="S128" t="str">
            <v/>
          </cell>
          <cell r="T128" t="str">
            <v/>
          </cell>
          <cell r="U128" t="str">
            <v>010-3032-0771</v>
          </cell>
          <cell r="W128" t="str">
            <v>농협</v>
          </cell>
          <cell r="X128" t="str">
            <v>3120171-457621</v>
          </cell>
          <cell r="Y128" t="str">
            <v>시급제</v>
          </cell>
          <cell r="Z128">
            <v>8590</v>
          </cell>
        </row>
        <row r="129">
          <cell r="A129">
            <v>128</v>
          </cell>
          <cell r="B129" t="str">
            <v>생산본부 생산팀 생산2파트</v>
          </cell>
          <cell r="D129" t="str">
            <v>기본</v>
          </cell>
          <cell r="E129" t="str">
            <v>박선자</v>
          </cell>
          <cell r="G129">
            <v>42156</v>
          </cell>
          <cell r="H129">
            <v>5</v>
          </cell>
          <cell r="J129" t="str">
            <v>내국인</v>
          </cell>
          <cell r="K129" t="str">
            <v>대한민국</v>
          </cell>
          <cell r="L129" t="str">
            <v>650522-2542711</v>
          </cell>
          <cell r="M129">
            <v>23884</v>
          </cell>
          <cell r="N129">
            <v>55</v>
          </cell>
          <cell r="O129" t="str">
            <v>여</v>
          </cell>
          <cell r="P129">
            <v>34557</v>
          </cell>
          <cell r="Q129" t="str">
            <v>대전광역시 동구  동산초교로 15-14  4동 305호(홍도동, 경성아파트)</v>
          </cell>
          <cell r="R129" t="str">
            <v>부</v>
          </cell>
          <cell r="S129" t="str">
            <v/>
          </cell>
          <cell r="T129" t="str">
            <v/>
          </cell>
          <cell r="U129" t="str">
            <v>010-4388-3569</v>
          </cell>
          <cell r="W129" t="str">
            <v>하나</v>
          </cell>
          <cell r="X129" t="str">
            <v>654-910166-17007</v>
          </cell>
          <cell r="Y129" t="str">
            <v>시급제</v>
          </cell>
          <cell r="Z129">
            <v>8590</v>
          </cell>
        </row>
        <row r="130">
          <cell r="A130">
            <v>129</v>
          </cell>
          <cell r="B130" t="str">
            <v>생산본부 생산팀 생산2파트</v>
          </cell>
          <cell r="D130" t="str">
            <v>기본</v>
          </cell>
          <cell r="E130" t="str">
            <v>박옥순</v>
          </cell>
          <cell r="G130">
            <v>42156</v>
          </cell>
          <cell r="H130">
            <v>5</v>
          </cell>
          <cell r="J130" t="str">
            <v>내국인</v>
          </cell>
          <cell r="K130" t="str">
            <v>대한민국</v>
          </cell>
          <cell r="L130" t="str">
            <v>630415-2830518</v>
          </cell>
          <cell r="M130">
            <v>23116</v>
          </cell>
          <cell r="N130">
            <v>57</v>
          </cell>
          <cell r="O130" t="str">
            <v>여</v>
          </cell>
          <cell r="Q130" t="str">
            <v xml:space="preserve">대전 대덕구 신탄진동 새여울라이프 102동 706호 </v>
          </cell>
          <cell r="R130" t="str">
            <v>부</v>
          </cell>
          <cell r="S130" t="str">
            <v/>
          </cell>
          <cell r="T130" t="str">
            <v/>
          </cell>
          <cell r="U130" t="str">
            <v>010-2086-5657</v>
          </cell>
          <cell r="W130" t="str">
            <v>하나</v>
          </cell>
          <cell r="X130" t="str">
            <v>654-910291-58007</v>
          </cell>
          <cell r="Y130" t="str">
            <v>시급제</v>
          </cell>
          <cell r="Z130" t="str">
            <v>정보없음</v>
          </cell>
        </row>
        <row r="131">
          <cell r="A131">
            <v>130</v>
          </cell>
          <cell r="B131" t="str">
            <v>생산본부 생산팀 생산2파트</v>
          </cell>
          <cell r="D131" t="str">
            <v>기본</v>
          </cell>
          <cell r="E131" t="str">
            <v>박정숙</v>
          </cell>
          <cell r="G131">
            <v>42767</v>
          </cell>
          <cell r="H131">
            <v>3</v>
          </cell>
          <cell r="J131" t="str">
            <v>내국인</v>
          </cell>
          <cell r="K131" t="str">
            <v>대한민국</v>
          </cell>
          <cell r="L131" t="str">
            <v>710204-2386219</v>
          </cell>
          <cell r="M131">
            <v>25968</v>
          </cell>
          <cell r="N131">
            <v>49</v>
          </cell>
          <cell r="O131" t="str">
            <v>여</v>
          </cell>
          <cell r="P131">
            <v>34359</v>
          </cell>
          <cell r="Q131" t="str">
            <v>대전광역시 대덕구  대전로1397번길 79  102동 103호(읍내동, 백송아파트)</v>
          </cell>
          <cell r="R131" t="str">
            <v>부</v>
          </cell>
          <cell r="S131" t="str">
            <v/>
          </cell>
          <cell r="T131" t="str">
            <v/>
          </cell>
          <cell r="U131" t="str">
            <v>010-5140-4792</v>
          </cell>
          <cell r="W131" t="str">
            <v>하나</v>
          </cell>
          <cell r="X131" t="str">
            <v>654-910344-88207</v>
          </cell>
          <cell r="Y131" t="str">
            <v>시급제</v>
          </cell>
          <cell r="Z131" t="str">
            <v>정보없음</v>
          </cell>
        </row>
        <row r="132">
          <cell r="A132">
            <v>131</v>
          </cell>
          <cell r="B132" t="str">
            <v>생산본부 생산팀 생산2파트</v>
          </cell>
          <cell r="D132" t="str">
            <v>기본</v>
          </cell>
          <cell r="E132" t="str">
            <v>백문자</v>
          </cell>
          <cell r="G132">
            <v>42156</v>
          </cell>
          <cell r="H132">
            <v>5</v>
          </cell>
          <cell r="J132" t="str">
            <v>내국인</v>
          </cell>
          <cell r="K132" t="str">
            <v>대한민국</v>
          </cell>
          <cell r="L132" t="str">
            <v>620124-2006317</v>
          </cell>
          <cell r="M132">
            <v>22670</v>
          </cell>
          <cell r="N132">
            <v>58</v>
          </cell>
          <cell r="O132" t="str">
            <v>여</v>
          </cell>
          <cell r="P132">
            <v>34347</v>
          </cell>
          <cell r="Q132" t="str">
            <v>대전광역시 대덕구  신탄진로218번길 4  112동 305호(와동, 주공아파트)</v>
          </cell>
          <cell r="R132" t="str">
            <v>부</v>
          </cell>
          <cell r="S132" t="str">
            <v/>
          </cell>
          <cell r="T132" t="str">
            <v/>
          </cell>
          <cell r="U132" t="str">
            <v>010-6434-6973</v>
          </cell>
          <cell r="W132" t="str">
            <v>하나</v>
          </cell>
          <cell r="X132" t="str">
            <v>734-910061-66107</v>
          </cell>
          <cell r="Y132" t="str">
            <v>시급제</v>
          </cell>
          <cell r="Z132" t="str">
            <v>정보없음</v>
          </cell>
        </row>
        <row r="133">
          <cell r="A133">
            <v>132</v>
          </cell>
          <cell r="B133" t="str">
            <v>생산본부 생산팀 생산2파트</v>
          </cell>
          <cell r="D133" t="str">
            <v>기본</v>
          </cell>
          <cell r="E133" t="str">
            <v>백선화</v>
          </cell>
          <cell r="G133">
            <v>42156</v>
          </cell>
          <cell r="H133">
            <v>5</v>
          </cell>
          <cell r="J133" t="str">
            <v>내국인</v>
          </cell>
          <cell r="K133" t="str">
            <v>대한민국</v>
          </cell>
          <cell r="L133" t="str">
            <v>630116-2768014</v>
          </cell>
          <cell r="M133">
            <v>23027</v>
          </cell>
          <cell r="N133">
            <v>57</v>
          </cell>
          <cell r="O133" t="str">
            <v>여</v>
          </cell>
          <cell r="P133">
            <v>34564</v>
          </cell>
          <cell r="Q133" t="str">
            <v>대전광역시 동구  대전로987번길 105-10  (삼성동)</v>
          </cell>
          <cell r="R133" t="str">
            <v>부</v>
          </cell>
          <cell r="S133" t="str">
            <v/>
          </cell>
          <cell r="T133" t="str">
            <v/>
          </cell>
          <cell r="U133" t="str">
            <v>010-8754-9471</v>
          </cell>
          <cell r="W133" t="str">
            <v>하나</v>
          </cell>
          <cell r="X133" t="str">
            <v>654-053500-00108</v>
          </cell>
          <cell r="Y133" t="str">
            <v>시급제</v>
          </cell>
          <cell r="Z133">
            <v>8590</v>
          </cell>
        </row>
        <row r="134">
          <cell r="A134">
            <v>133</v>
          </cell>
          <cell r="B134" t="str">
            <v>생산본부 생산팀 생산2파트</v>
          </cell>
          <cell r="D134" t="str">
            <v>기본</v>
          </cell>
          <cell r="E134" t="str">
            <v>보티투엔땀</v>
          </cell>
          <cell r="G134">
            <v>42767</v>
          </cell>
          <cell r="H134">
            <v>3</v>
          </cell>
          <cell r="J134" t="str">
            <v>외국인</v>
          </cell>
          <cell r="K134" t="str">
            <v>베트남</v>
          </cell>
          <cell r="L134" t="str">
            <v>851120-6200799</v>
          </cell>
          <cell r="M134">
            <v>31371</v>
          </cell>
          <cell r="N134">
            <v>34</v>
          </cell>
          <cell r="O134" t="str">
            <v>여</v>
          </cell>
          <cell r="P134">
            <v>34590</v>
          </cell>
          <cell r="Q134" t="str">
            <v>대전광역시 동구  우암로171번길 42  (성남동)</v>
          </cell>
          <cell r="R134" t="str">
            <v>부</v>
          </cell>
          <cell r="S134" t="str">
            <v/>
          </cell>
          <cell r="T134" t="str">
            <v/>
          </cell>
          <cell r="U134" t="str">
            <v>010-8630-2016</v>
          </cell>
          <cell r="W134" t="str">
            <v>하나</v>
          </cell>
          <cell r="X134" t="str">
            <v>646-910888-15507</v>
          </cell>
          <cell r="Y134" t="str">
            <v>시급제</v>
          </cell>
          <cell r="Z134" t="str">
            <v>정보없음</v>
          </cell>
        </row>
        <row r="135">
          <cell r="A135">
            <v>134</v>
          </cell>
          <cell r="B135" t="str">
            <v>생산본부 생산팀 생산2파트</v>
          </cell>
          <cell r="D135" t="str">
            <v>기본</v>
          </cell>
          <cell r="E135" t="str">
            <v>부</v>
          </cell>
          <cell r="G135">
            <v>43580</v>
          </cell>
          <cell r="H135">
            <v>1</v>
          </cell>
          <cell r="J135" t="str">
            <v>외국인</v>
          </cell>
          <cell r="K135" t="str">
            <v>대한민국</v>
          </cell>
          <cell r="L135" t="str">
            <v>910512-5200063</v>
          </cell>
          <cell r="M135">
            <v>33370</v>
          </cell>
          <cell r="N135">
            <v>29</v>
          </cell>
          <cell r="O135" t="str">
            <v>남</v>
          </cell>
          <cell r="Q135" t="str">
            <v xml:space="preserve"> </v>
          </cell>
          <cell r="R135" t="str">
            <v>부</v>
          </cell>
          <cell r="S135" t="str">
            <v/>
          </cell>
          <cell r="T135" t="str">
            <v/>
          </cell>
          <cell r="W135" t="str">
            <v>하나</v>
          </cell>
          <cell r="X135" t="str">
            <v>654-910378-33807</v>
          </cell>
          <cell r="Y135" t="str">
            <v>시급제</v>
          </cell>
          <cell r="Z135">
            <v>9110</v>
          </cell>
        </row>
        <row r="136">
          <cell r="A136">
            <v>135</v>
          </cell>
          <cell r="B136" t="str">
            <v>생산본부 생산팀 생산2파트</v>
          </cell>
          <cell r="D136" t="str">
            <v>기본</v>
          </cell>
          <cell r="E136" t="str">
            <v>서정옥</v>
          </cell>
          <cell r="G136">
            <v>42156</v>
          </cell>
          <cell r="H136">
            <v>5</v>
          </cell>
          <cell r="J136" t="str">
            <v>내국인</v>
          </cell>
          <cell r="K136" t="str">
            <v>대한민국</v>
          </cell>
          <cell r="L136" t="str">
            <v>660210-2384527</v>
          </cell>
          <cell r="M136">
            <v>24148</v>
          </cell>
          <cell r="N136">
            <v>54</v>
          </cell>
          <cell r="O136" t="str">
            <v>여</v>
          </cell>
          <cell r="P136">
            <v>34443</v>
          </cell>
          <cell r="Q136" t="str">
            <v>대전광역시 대덕구  한남로155번길 40  701호 (오정동, 대덕맨션)</v>
          </cell>
          <cell r="R136" t="str">
            <v>부</v>
          </cell>
          <cell r="S136" t="str">
            <v/>
          </cell>
          <cell r="T136" t="str">
            <v/>
          </cell>
          <cell r="U136" t="str">
            <v>010-9411-0954</v>
          </cell>
          <cell r="W136" t="str">
            <v>하나</v>
          </cell>
          <cell r="X136" t="str">
            <v>656-197700-00107</v>
          </cell>
          <cell r="Y136" t="str">
            <v>시급제</v>
          </cell>
          <cell r="Z136">
            <v>8590</v>
          </cell>
        </row>
        <row r="137">
          <cell r="A137">
            <v>136</v>
          </cell>
          <cell r="B137" t="str">
            <v>생산본부 생산팀 생산2파트</v>
          </cell>
          <cell r="D137" t="str">
            <v>기름</v>
          </cell>
          <cell r="E137" t="str">
            <v>양영숙</v>
          </cell>
          <cell r="G137">
            <v>42156</v>
          </cell>
          <cell r="H137">
            <v>5</v>
          </cell>
          <cell r="J137" t="str">
            <v>내국인</v>
          </cell>
          <cell r="K137" t="str">
            <v>대한민국</v>
          </cell>
          <cell r="L137" t="str">
            <v>660512-2382810</v>
          </cell>
          <cell r="M137">
            <v>24239</v>
          </cell>
          <cell r="N137">
            <v>54</v>
          </cell>
          <cell r="O137" t="str">
            <v>여</v>
          </cell>
          <cell r="P137">
            <v>34415</v>
          </cell>
          <cell r="Q137" t="str">
            <v>대전광역시 대덕구  우암로412번길 95  A동 401호(비래동, 수산아트빌라)</v>
          </cell>
          <cell r="R137" t="str">
            <v>부</v>
          </cell>
          <cell r="S137" t="str">
            <v/>
          </cell>
          <cell r="T137" t="str">
            <v/>
          </cell>
          <cell r="U137" t="str">
            <v>010-7553-5034</v>
          </cell>
          <cell r="W137" t="str">
            <v>하나</v>
          </cell>
          <cell r="X137" t="str">
            <v>654-910174-56007</v>
          </cell>
          <cell r="Y137" t="str">
            <v>시급제</v>
          </cell>
          <cell r="Z137">
            <v>8760</v>
          </cell>
        </row>
        <row r="138">
          <cell r="A138">
            <v>137</v>
          </cell>
          <cell r="B138" t="str">
            <v>생산본부 생산팀 생산2파트</v>
          </cell>
          <cell r="D138" t="str">
            <v>기본</v>
          </cell>
          <cell r="E138" t="str">
            <v>여정현</v>
          </cell>
          <cell r="F138">
            <v>43949</v>
          </cell>
          <cell r="G138">
            <v>43859</v>
          </cell>
          <cell r="H138">
            <v>0</v>
          </cell>
          <cell r="J138" t="str">
            <v>내국인</v>
          </cell>
          <cell r="K138" t="str">
            <v>대한민국</v>
          </cell>
          <cell r="L138" t="str">
            <v>920816-1410119</v>
          </cell>
          <cell r="M138">
            <v>33832</v>
          </cell>
          <cell r="N138">
            <v>27</v>
          </cell>
          <cell r="O138" t="str">
            <v>남</v>
          </cell>
          <cell r="Q138" t="str">
            <v xml:space="preserve">대전광역시 중구 보문산로 209-24 한민빌라 나동 102호 </v>
          </cell>
          <cell r="R138" t="str">
            <v>부</v>
          </cell>
          <cell r="S138" t="str">
            <v/>
          </cell>
          <cell r="T138" t="str">
            <v/>
          </cell>
          <cell r="U138" t="str">
            <v>010-7628-3064</v>
          </cell>
          <cell r="W138" t="str">
            <v>우리</v>
          </cell>
          <cell r="X138" t="str">
            <v>1002-753-316467</v>
          </cell>
          <cell r="Y138" t="str">
            <v>시급제</v>
          </cell>
          <cell r="Z138">
            <v>9020</v>
          </cell>
        </row>
        <row r="139">
          <cell r="A139">
            <v>138</v>
          </cell>
          <cell r="B139" t="str">
            <v>생산본부 생산팀 생산2파트</v>
          </cell>
          <cell r="D139" t="str">
            <v>기본</v>
          </cell>
          <cell r="E139" t="str">
            <v>염윤희</v>
          </cell>
          <cell r="G139">
            <v>42767</v>
          </cell>
          <cell r="H139">
            <v>3</v>
          </cell>
          <cell r="J139" t="str">
            <v>내국인</v>
          </cell>
          <cell r="K139" t="str">
            <v>대한민국</v>
          </cell>
          <cell r="L139" t="str">
            <v>710117-2482622</v>
          </cell>
          <cell r="M139">
            <v>25950</v>
          </cell>
          <cell r="N139">
            <v>49</v>
          </cell>
          <cell r="O139" t="str">
            <v>여</v>
          </cell>
          <cell r="P139">
            <v>35297</v>
          </cell>
          <cell r="Q139" t="str">
            <v>대전광역시 서구  가장로 106  107동 204호(가장동, 삼성래미안아파트)</v>
          </cell>
          <cell r="R139" t="str">
            <v>부</v>
          </cell>
          <cell r="S139" t="str">
            <v/>
          </cell>
          <cell r="T139" t="str">
            <v/>
          </cell>
          <cell r="U139" t="str">
            <v>010-9943-1351</v>
          </cell>
          <cell r="W139" t="str">
            <v>하나</v>
          </cell>
          <cell r="X139" t="str">
            <v>010-994313-50907</v>
          </cell>
          <cell r="Y139" t="str">
            <v>시급제</v>
          </cell>
          <cell r="Z139">
            <v>8590</v>
          </cell>
        </row>
        <row r="140">
          <cell r="A140">
            <v>139</v>
          </cell>
          <cell r="B140" t="str">
            <v>생산본부 생산팀 생산2파트</v>
          </cell>
          <cell r="D140" t="str">
            <v>기름</v>
          </cell>
          <cell r="E140" t="str">
            <v>오세연</v>
          </cell>
          <cell r="G140">
            <v>42156</v>
          </cell>
          <cell r="H140">
            <v>5</v>
          </cell>
          <cell r="J140" t="str">
            <v>내국인</v>
          </cell>
          <cell r="K140" t="str">
            <v>대한민국</v>
          </cell>
          <cell r="L140" t="str">
            <v>611106-2328118</v>
          </cell>
          <cell r="M140">
            <v>22591</v>
          </cell>
          <cell r="N140">
            <v>58</v>
          </cell>
          <cell r="O140" t="str">
            <v>여</v>
          </cell>
          <cell r="P140">
            <v>35257</v>
          </cell>
          <cell r="Q140" t="str">
            <v>대전광역시 서구  도산로431번길 80  가동 201호(탄방동, 선경빌라)</v>
          </cell>
          <cell r="R140" t="str">
            <v>부</v>
          </cell>
          <cell r="S140" t="str">
            <v/>
          </cell>
          <cell r="T140" t="str">
            <v/>
          </cell>
          <cell r="U140" t="str">
            <v>010-3402-4081</v>
          </cell>
          <cell r="W140" t="str">
            <v>하나</v>
          </cell>
          <cell r="X140" t="str">
            <v>654-910256-51107</v>
          </cell>
          <cell r="Y140" t="str">
            <v>시급제</v>
          </cell>
          <cell r="Z140">
            <v>8760</v>
          </cell>
        </row>
        <row r="141">
          <cell r="A141">
            <v>140</v>
          </cell>
          <cell r="B141" t="str">
            <v>생산본부 생산팀 생산2파트</v>
          </cell>
          <cell r="D141" t="str">
            <v>기본</v>
          </cell>
          <cell r="E141" t="str">
            <v>유민수</v>
          </cell>
          <cell r="G141">
            <v>42156</v>
          </cell>
          <cell r="H141">
            <v>5</v>
          </cell>
          <cell r="J141" t="str">
            <v>내국인</v>
          </cell>
          <cell r="K141" t="str">
            <v>대한민국</v>
          </cell>
          <cell r="L141" t="str">
            <v>650512-2548315</v>
          </cell>
          <cell r="M141">
            <v>23874</v>
          </cell>
          <cell r="N141">
            <v>55</v>
          </cell>
          <cell r="O141" t="str">
            <v>여</v>
          </cell>
          <cell r="P141">
            <v>34322</v>
          </cell>
          <cell r="Q141" t="str">
            <v>대전광역시 대덕구  대덕대로1470번길 55  104동 412호(목상동, 다사랑아파트)</v>
          </cell>
          <cell r="R141" t="str">
            <v>부</v>
          </cell>
          <cell r="S141" t="str">
            <v/>
          </cell>
          <cell r="T141" t="str">
            <v/>
          </cell>
          <cell r="U141" t="str">
            <v>010-2251-0933</v>
          </cell>
          <cell r="W141" t="str">
            <v>하나</v>
          </cell>
          <cell r="X141" t="str">
            <v>652-910201-14607</v>
          </cell>
          <cell r="Y141" t="str">
            <v>시급제</v>
          </cell>
          <cell r="Z141">
            <v>8590</v>
          </cell>
        </row>
        <row r="142">
          <cell r="A142">
            <v>141</v>
          </cell>
          <cell r="B142" t="str">
            <v>생산본부 생산팀 생산2파트</v>
          </cell>
          <cell r="D142" t="str">
            <v>기본</v>
          </cell>
          <cell r="E142" t="str">
            <v>유은숙</v>
          </cell>
          <cell r="G142">
            <v>42443</v>
          </cell>
          <cell r="H142">
            <v>4</v>
          </cell>
          <cell r="J142" t="str">
            <v>내국인</v>
          </cell>
          <cell r="K142" t="str">
            <v>대한민국</v>
          </cell>
          <cell r="L142" t="str">
            <v>820402-2471514</v>
          </cell>
          <cell r="M142">
            <v>30043</v>
          </cell>
          <cell r="N142">
            <v>38</v>
          </cell>
          <cell r="O142" t="str">
            <v>여</v>
          </cell>
          <cell r="P142">
            <v>34385</v>
          </cell>
          <cell r="Q142" t="str">
            <v>대전광역시 대덕구  계족로663번길 29  201동 1111동(법동, 주공아파트)</v>
          </cell>
          <cell r="R142" t="str">
            <v>부</v>
          </cell>
          <cell r="S142" t="str">
            <v/>
          </cell>
          <cell r="T142" t="str">
            <v/>
          </cell>
          <cell r="U142" t="str">
            <v>010-6472-2197</v>
          </cell>
          <cell r="W142" t="str">
            <v>하나</v>
          </cell>
          <cell r="X142" t="str">
            <v>653-910395-28707</v>
          </cell>
          <cell r="Y142" t="str">
            <v>시급제</v>
          </cell>
          <cell r="Z142">
            <v>8590</v>
          </cell>
        </row>
        <row r="143">
          <cell r="A143">
            <v>142</v>
          </cell>
          <cell r="B143" t="str">
            <v>생산본부 생산팀 생산2파트</v>
          </cell>
          <cell r="D143" t="str">
            <v>기본</v>
          </cell>
          <cell r="E143" t="str">
            <v>윤나영</v>
          </cell>
          <cell r="G143">
            <v>42450</v>
          </cell>
          <cell r="H143">
            <v>4</v>
          </cell>
          <cell r="J143" t="str">
            <v>내국인</v>
          </cell>
          <cell r="K143" t="str">
            <v>대한민국</v>
          </cell>
          <cell r="L143" t="str">
            <v>610228-2357410</v>
          </cell>
          <cell r="M143">
            <v>22340</v>
          </cell>
          <cell r="N143">
            <v>59</v>
          </cell>
          <cell r="O143" t="str">
            <v>여</v>
          </cell>
          <cell r="P143">
            <v>28216</v>
          </cell>
          <cell r="Q143" t="str">
            <v xml:space="preserve">충청북도 청주시 서원구 현도면 노산2길 60-38  </v>
          </cell>
          <cell r="R143" t="str">
            <v>부</v>
          </cell>
          <cell r="S143" t="str">
            <v/>
          </cell>
          <cell r="T143" t="str">
            <v/>
          </cell>
          <cell r="U143" t="str">
            <v>010-3380-3508</v>
          </cell>
          <cell r="W143" t="str">
            <v>기업</v>
          </cell>
          <cell r="X143" t="str">
            <v>364-000138-01-031</v>
          </cell>
          <cell r="Y143" t="str">
            <v>시급제</v>
          </cell>
          <cell r="Z143">
            <v>8590</v>
          </cell>
        </row>
        <row r="144">
          <cell r="A144">
            <v>143</v>
          </cell>
          <cell r="B144" t="str">
            <v>생산본부 생산팀 생산2파트</v>
          </cell>
          <cell r="D144" t="str">
            <v>기본</v>
          </cell>
          <cell r="E144" t="str">
            <v>윤선예</v>
          </cell>
          <cell r="G144">
            <v>42156</v>
          </cell>
          <cell r="H144">
            <v>5</v>
          </cell>
          <cell r="J144" t="str">
            <v>내국인</v>
          </cell>
          <cell r="K144" t="str">
            <v>대한민국</v>
          </cell>
          <cell r="L144" t="str">
            <v>601113-2447024</v>
          </cell>
          <cell r="M144">
            <v>22233</v>
          </cell>
          <cell r="N144">
            <v>59</v>
          </cell>
          <cell r="O144" t="str">
            <v>여</v>
          </cell>
          <cell r="P144">
            <v>34428</v>
          </cell>
          <cell r="Q144" t="str">
            <v>대전광역시 대덕구  계족로521번길 79  202동 404호(중리동, 영진상록아파트)</v>
          </cell>
          <cell r="R144" t="str">
            <v>부</v>
          </cell>
          <cell r="S144" t="str">
            <v/>
          </cell>
          <cell r="T144" t="str">
            <v/>
          </cell>
          <cell r="U144" t="str">
            <v>010-7459-0912</v>
          </cell>
          <cell r="W144" t="str">
            <v>하나</v>
          </cell>
          <cell r="X144" t="str">
            <v>654-910256-37507</v>
          </cell>
          <cell r="Y144" t="str">
            <v>시급제</v>
          </cell>
          <cell r="Z144">
            <v>8590</v>
          </cell>
        </row>
        <row r="145">
          <cell r="A145">
            <v>144</v>
          </cell>
          <cell r="B145" t="str">
            <v>생산본부 생산팀 생산2파트</v>
          </cell>
          <cell r="D145" t="str">
            <v>기본</v>
          </cell>
          <cell r="E145" t="str">
            <v>이경미</v>
          </cell>
          <cell r="G145">
            <v>42156</v>
          </cell>
          <cell r="H145">
            <v>5</v>
          </cell>
          <cell r="J145" t="str">
            <v>내국인</v>
          </cell>
          <cell r="K145" t="str">
            <v>대한민국</v>
          </cell>
          <cell r="L145" t="str">
            <v>620115-2476610</v>
          </cell>
          <cell r="M145">
            <v>22661</v>
          </cell>
          <cell r="N145">
            <v>58</v>
          </cell>
          <cell r="O145" t="str">
            <v>여</v>
          </cell>
          <cell r="P145">
            <v>34407</v>
          </cell>
          <cell r="Q145" t="str">
            <v>대전광역시 대덕구  동춘당로 151  102동 804호(법동, 그린타운아파트)</v>
          </cell>
          <cell r="R145" t="str">
            <v>부</v>
          </cell>
          <cell r="S145" t="str">
            <v/>
          </cell>
          <cell r="T145" t="str">
            <v/>
          </cell>
          <cell r="U145" t="str">
            <v>011-9483-9779</v>
          </cell>
          <cell r="W145" t="str">
            <v>하나</v>
          </cell>
          <cell r="X145" t="str">
            <v>653-910022-15707</v>
          </cell>
          <cell r="Y145" t="str">
            <v>시급제</v>
          </cell>
          <cell r="Z145">
            <v>8590</v>
          </cell>
        </row>
        <row r="146">
          <cell r="A146">
            <v>145</v>
          </cell>
          <cell r="B146" t="str">
            <v>생산본부 생산팀 생산2파트</v>
          </cell>
          <cell r="D146" t="str">
            <v>기본</v>
          </cell>
          <cell r="E146" t="str">
            <v>이나영</v>
          </cell>
          <cell r="G146">
            <v>42339</v>
          </cell>
          <cell r="H146">
            <v>4</v>
          </cell>
          <cell r="J146" t="str">
            <v>내국인</v>
          </cell>
          <cell r="K146" t="str">
            <v>대한민국</v>
          </cell>
          <cell r="L146" t="str">
            <v>850712-2386712</v>
          </cell>
          <cell r="M146">
            <v>31240</v>
          </cell>
          <cell r="N146">
            <v>34</v>
          </cell>
          <cell r="O146" t="str">
            <v>여</v>
          </cell>
          <cell r="P146">
            <v>34439</v>
          </cell>
          <cell r="Q146" t="str">
            <v>대전광역시 대덕구  대전로1131번길 38-5  (오정동)</v>
          </cell>
          <cell r="R146" t="str">
            <v>부</v>
          </cell>
          <cell r="S146" t="str">
            <v/>
          </cell>
          <cell r="T146" t="str">
            <v/>
          </cell>
          <cell r="U146" t="str">
            <v>010-9563-1985</v>
          </cell>
          <cell r="W146" t="str">
            <v>하나</v>
          </cell>
          <cell r="X146" t="str">
            <v>654-910324-34307</v>
          </cell>
          <cell r="Y146" t="str">
            <v>시급제</v>
          </cell>
          <cell r="Z146">
            <v>8590</v>
          </cell>
        </row>
        <row r="147">
          <cell r="A147">
            <v>146</v>
          </cell>
          <cell r="B147" t="str">
            <v>생산본부 생산팀 생산2파트</v>
          </cell>
          <cell r="D147" t="str">
            <v>기본</v>
          </cell>
          <cell r="E147" t="str">
            <v>이명순</v>
          </cell>
          <cell r="G147">
            <v>42156</v>
          </cell>
          <cell r="H147">
            <v>5</v>
          </cell>
          <cell r="J147" t="str">
            <v>내국인</v>
          </cell>
          <cell r="K147" t="str">
            <v>대한민국</v>
          </cell>
          <cell r="L147" t="str">
            <v>630102-2447726</v>
          </cell>
          <cell r="M147">
            <v>23013</v>
          </cell>
          <cell r="N147">
            <v>57</v>
          </cell>
          <cell r="O147" t="str">
            <v>여</v>
          </cell>
          <cell r="P147">
            <v>34530</v>
          </cell>
          <cell r="Q147" t="str">
            <v>대전광역시 동구  비래서로62번길 57  (가양동, 시영아파트)</v>
          </cell>
          <cell r="R147" t="str">
            <v>부</v>
          </cell>
          <cell r="S147" t="str">
            <v/>
          </cell>
          <cell r="T147" t="str">
            <v/>
          </cell>
          <cell r="U147" t="str">
            <v>010-3415-7698</v>
          </cell>
          <cell r="W147" t="str">
            <v>하나</v>
          </cell>
          <cell r="X147" t="str">
            <v>654-910286-31807</v>
          </cell>
          <cell r="Y147" t="str">
            <v>시급제</v>
          </cell>
          <cell r="Z147">
            <v>8590</v>
          </cell>
        </row>
        <row r="148">
          <cell r="A148">
            <v>147</v>
          </cell>
          <cell r="B148" t="str">
            <v>생산본부 생산팀 생산2파트</v>
          </cell>
          <cell r="D148" t="str">
            <v>기본</v>
          </cell>
          <cell r="E148" t="str">
            <v>이미연</v>
          </cell>
          <cell r="G148">
            <v>42156</v>
          </cell>
          <cell r="H148">
            <v>5</v>
          </cell>
          <cell r="J148" t="str">
            <v>내국인</v>
          </cell>
          <cell r="K148" t="str">
            <v>대한민국</v>
          </cell>
          <cell r="L148" t="str">
            <v>820129-2449516</v>
          </cell>
          <cell r="M148">
            <v>29980</v>
          </cell>
          <cell r="N148">
            <v>38</v>
          </cell>
          <cell r="O148" t="str">
            <v>여</v>
          </cell>
          <cell r="P148">
            <v>35311</v>
          </cell>
          <cell r="Q148" t="str">
            <v>대전광역시 서구  도산로 280  (가장동)</v>
          </cell>
          <cell r="R148" t="str">
            <v>부</v>
          </cell>
          <cell r="S148" t="str">
            <v/>
          </cell>
          <cell r="T148" t="str">
            <v/>
          </cell>
          <cell r="U148" t="str">
            <v>010-2226-5522</v>
          </cell>
          <cell r="W148" t="str">
            <v>하나</v>
          </cell>
          <cell r="X148" t="str">
            <v>640-910301-83507</v>
          </cell>
          <cell r="Y148" t="str">
            <v>시급제</v>
          </cell>
          <cell r="Z148">
            <v>8590</v>
          </cell>
        </row>
        <row r="149">
          <cell r="A149">
            <v>148</v>
          </cell>
          <cell r="B149" t="str">
            <v>생산본부 생산팀 생산2파트</v>
          </cell>
          <cell r="D149" t="str">
            <v>기본</v>
          </cell>
          <cell r="E149" t="str">
            <v>이민주</v>
          </cell>
          <cell r="G149">
            <v>42767</v>
          </cell>
          <cell r="H149">
            <v>3</v>
          </cell>
          <cell r="J149" t="str">
            <v>내국인</v>
          </cell>
          <cell r="K149" t="str">
            <v>대한민국</v>
          </cell>
          <cell r="L149" t="str">
            <v>830210-2403221</v>
          </cell>
          <cell r="M149">
            <v>30357</v>
          </cell>
          <cell r="N149">
            <v>37</v>
          </cell>
          <cell r="O149" t="str">
            <v>여</v>
          </cell>
          <cell r="P149">
            <v>34565</v>
          </cell>
          <cell r="Q149" t="str">
            <v>대전광역시 동구  태전로161번길 73  (삼성동)</v>
          </cell>
          <cell r="R149" t="str">
            <v>부</v>
          </cell>
          <cell r="S149" t="str">
            <v/>
          </cell>
          <cell r="T149" t="str">
            <v/>
          </cell>
          <cell r="U149" t="str">
            <v>010-6864-7123</v>
          </cell>
          <cell r="W149" t="str">
            <v>하나</v>
          </cell>
          <cell r="X149" t="str">
            <v>654-910343-92307</v>
          </cell>
          <cell r="Y149" t="str">
            <v>시급제</v>
          </cell>
          <cell r="Z149">
            <v>8590</v>
          </cell>
        </row>
        <row r="150">
          <cell r="A150">
            <v>149</v>
          </cell>
          <cell r="B150" t="str">
            <v>생산본부 생산팀 생산2파트</v>
          </cell>
          <cell r="D150" t="str">
            <v>기본</v>
          </cell>
          <cell r="E150" t="str">
            <v>이선옥</v>
          </cell>
          <cell r="G150">
            <v>42430</v>
          </cell>
          <cell r="H150">
            <v>4</v>
          </cell>
          <cell r="J150" t="str">
            <v>내국인</v>
          </cell>
          <cell r="K150" t="str">
            <v>대한민국</v>
          </cell>
          <cell r="L150" t="str">
            <v>730713-2449511</v>
          </cell>
          <cell r="M150">
            <v>26858</v>
          </cell>
          <cell r="N150">
            <v>46</v>
          </cell>
          <cell r="O150" t="str">
            <v>여</v>
          </cell>
          <cell r="P150">
            <v>34357</v>
          </cell>
          <cell r="Q150" t="str">
            <v>대전광역시 대덕구  신탄진로315번길 88  (신대동)</v>
          </cell>
          <cell r="R150" t="str">
            <v>부</v>
          </cell>
          <cell r="S150" t="str">
            <v/>
          </cell>
          <cell r="T150" t="str">
            <v/>
          </cell>
          <cell r="U150" t="str">
            <v>010-3874-0733</v>
          </cell>
          <cell r="W150" t="str">
            <v>하나</v>
          </cell>
          <cell r="X150" t="str">
            <v>646-910633-22507</v>
          </cell>
          <cell r="Y150" t="str">
            <v>시급제</v>
          </cell>
          <cell r="Z150">
            <v>8590</v>
          </cell>
        </row>
        <row r="151">
          <cell r="A151">
            <v>150</v>
          </cell>
          <cell r="B151" t="str">
            <v>생산본부 생산팀 생산2파트</v>
          </cell>
          <cell r="D151" t="str">
            <v>기름</v>
          </cell>
          <cell r="E151" t="str">
            <v>이연식</v>
          </cell>
          <cell r="G151">
            <v>42156</v>
          </cell>
          <cell r="H151">
            <v>5</v>
          </cell>
          <cell r="J151" t="str">
            <v>내국인</v>
          </cell>
          <cell r="K151" t="str">
            <v>대한민국</v>
          </cell>
          <cell r="L151" t="str">
            <v>600501-2405613</v>
          </cell>
          <cell r="M151">
            <v>22037</v>
          </cell>
          <cell r="N151">
            <v>60</v>
          </cell>
          <cell r="O151" t="str">
            <v>여</v>
          </cell>
          <cell r="P151">
            <v>34439</v>
          </cell>
          <cell r="Q151" t="str">
            <v>대전광역시 대덕구  오정로52번길 25-8  (오정동)</v>
          </cell>
          <cell r="R151" t="str">
            <v>부</v>
          </cell>
          <cell r="S151" t="str">
            <v/>
          </cell>
          <cell r="T151" t="str">
            <v/>
          </cell>
          <cell r="U151" t="str">
            <v>010-9421-3102</v>
          </cell>
          <cell r="W151" t="str">
            <v>하나</v>
          </cell>
          <cell r="X151" t="str">
            <v>654-131136-00207</v>
          </cell>
          <cell r="Y151" t="str">
            <v>시급제</v>
          </cell>
          <cell r="Z151">
            <v>8760</v>
          </cell>
        </row>
        <row r="152">
          <cell r="A152">
            <v>151</v>
          </cell>
          <cell r="B152" t="str">
            <v>생산본부 생산팀 생산2파트</v>
          </cell>
          <cell r="D152" t="str">
            <v>기본</v>
          </cell>
          <cell r="E152" t="str">
            <v>이향숙</v>
          </cell>
          <cell r="G152">
            <v>42156</v>
          </cell>
          <cell r="H152">
            <v>5</v>
          </cell>
          <cell r="J152" t="str">
            <v>내국인</v>
          </cell>
          <cell r="K152" t="str">
            <v>대한민국</v>
          </cell>
          <cell r="L152" t="str">
            <v>610727-2449224</v>
          </cell>
          <cell r="M152">
            <v>22489</v>
          </cell>
          <cell r="N152">
            <v>58</v>
          </cell>
          <cell r="O152" t="str">
            <v>여</v>
          </cell>
          <cell r="P152">
            <v>34560</v>
          </cell>
          <cell r="Q152" t="str">
            <v>대전광역시 동구  대전로1002번길 24-15  흥진빌라 가동 301호(홍도동)</v>
          </cell>
          <cell r="R152" t="str">
            <v>부</v>
          </cell>
          <cell r="S152" t="str">
            <v/>
          </cell>
          <cell r="T152" t="str">
            <v/>
          </cell>
          <cell r="U152" t="str">
            <v>010-5436-8423</v>
          </cell>
          <cell r="W152" t="str">
            <v>하나</v>
          </cell>
          <cell r="X152" t="str">
            <v>654-910166-52707</v>
          </cell>
          <cell r="Y152" t="str">
            <v>시급제</v>
          </cell>
          <cell r="Z152">
            <v>8590</v>
          </cell>
        </row>
        <row r="153">
          <cell r="A153">
            <v>152</v>
          </cell>
          <cell r="B153" t="str">
            <v>생산본부 생산팀 생산2파트</v>
          </cell>
          <cell r="D153" t="str">
            <v>기름</v>
          </cell>
          <cell r="E153" t="str">
            <v>정금자</v>
          </cell>
          <cell r="G153">
            <v>42491</v>
          </cell>
          <cell r="H153">
            <v>4</v>
          </cell>
          <cell r="J153" t="str">
            <v>내국인</v>
          </cell>
          <cell r="K153" t="str">
            <v>대한민국</v>
          </cell>
          <cell r="L153" t="str">
            <v>660310-2812520</v>
          </cell>
          <cell r="M153">
            <v>24176</v>
          </cell>
          <cell r="N153">
            <v>54</v>
          </cell>
          <cell r="O153" t="str">
            <v>여</v>
          </cell>
          <cell r="P153">
            <v>34532</v>
          </cell>
          <cell r="Q153" t="str">
            <v>대전광역시 동구  흥룡로37번길 49  9동 504호(가양동, 신도아파트)</v>
          </cell>
          <cell r="R153" t="str">
            <v>부</v>
          </cell>
          <cell r="S153" t="str">
            <v/>
          </cell>
          <cell r="T153" t="str">
            <v/>
          </cell>
          <cell r="U153" t="str">
            <v>010-2780-0863</v>
          </cell>
          <cell r="W153" t="str">
            <v>하나</v>
          </cell>
          <cell r="X153" t="str">
            <v>654-910332-10107</v>
          </cell>
          <cell r="Y153" t="str">
            <v>시급제</v>
          </cell>
          <cell r="Z153">
            <v>8760</v>
          </cell>
        </row>
        <row r="154">
          <cell r="A154">
            <v>153</v>
          </cell>
          <cell r="B154" t="str">
            <v>생산본부 생산팀 생산2파트</v>
          </cell>
          <cell r="D154" t="str">
            <v>기름</v>
          </cell>
          <cell r="E154" t="str">
            <v>정옥자</v>
          </cell>
          <cell r="G154">
            <v>42156</v>
          </cell>
          <cell r="H154">
            <v>5</v>
          </cell>
          <cell r="J154" t="str">
            <v>내국인</v>
          </cell>
          <cell r="K154" t="str">
            <v>대한민국</v>
          </cell>
          <cell r="L154" t="str">
            <v>600223-2536318</v>
          </cell>
          <cell r="M154">
            <v>21969</v>
          </cell>
          <cell r="N154">
            <v>60</v>
          </cell>
          <cell r="O154" t="str">
            <v>여</v>
          </cell>
          <cell r="P154">
            <v>34391</v>
          </cell>
          <cell r="Q154" t="str">
            <v>대전광역시 대덕구  중리로43번길 32-13  (중리동)</v>
          </cell>
          <cell r="R154" t="str">
            <v>부</v>
          </cell>
          <cell r="S154" t="str">
            <v/>
          </cell>
          <cell r="T154" t="str">
            <v/>
          </cell>
          <cell r="U154" t="str">
            <v>010-9817-1744</v>
          </cell>
          <cell r="W154" t="str">
            <v>하나</v>
          </cell>
          <cell r="X154" t="str">
            <v>646-910569-01007</v>
          </cell>
          <cell r="Y154" t="str">
            <v>시급제</v>
          </cell>
          <cell r="Z154">
            <v>8760</v>
          </cell>
        </row>
        <row r="155">
          <cell r="A155">
            <v>154</v>
          </cell>
          <cell r="B155" t="str">
            <v>생산본부 생산팀 생산2파트</v>
          </cell>
          <cell r="D155" t="str">
            <v>기본</v>
          </cell>
          <cell r="E155" t="str">
            <v>조명숙</v>
          </cell>
          <cell r="G155">
            <v>43563</v>
          </cell>
          <cell r="H155">
            <v>1</v>
          </cell>
          <cell r="J155" t="str">
            <v>내국인</v>
          </cell>
          <cell r="K155" t="str">
            <v>대한민국</v>
          </cell>
          <cell r="L155" t="str">
            <v>670428-2547612</v>
          </cell>
          <cell r="M155">
            <v>24590</v>
          </cell>
          <cell r="N155">
            <v>53</v>
          </cell>
          <cell r="O155" t="str">
            <v>여</v>
          </cell>
          <cell r="P155">
            <v>34322</v>
          </cell>
          <cell r="Q155" t="str">
            <v>대전광역시 대덕구  대덕대로1470번길 27  101동 206호(목상동, 상록수아파트)</v>
          </cell>
          <cell r="R155" t="str">
            <v>부</v>
          </cell>
          <cell r="S155" t="str">
            <v/>
          </cell>
          <cell r="T155" t="str">
            <v/>
          </cell>
          <cell r="U155" t="str">
            <v>010-9420-0816</v>
          </cell>
          <cell r="W155" t="str">
            <v>우리</v>
          </cell>
          <cell r="X155" t="str">
            <v>1002-902-526374</v>
          </cell>
          <cell r="Y155" t="str">
            <v>시급제</v>
          </cell>
          <cell r="Z155">
            <v>8590</v>
          </cell>
        </row>
        <row r="156">
          <cell r="A156">
            <v>155</v>
          </cell>
          <cell r="B156" t="str">
            <v>생산본부 생산팀 생산2파트</v>
          </cell>
          <cell r="D156" t="str">
            <v>기본</v>
          </cell>
          <cell r="E156" t="str">
            <v>조숙예</v>
          </cell>
          <cell r="G156">
            <v>42156</v>
          </cell>
          <cell r="H156">
            <v>5</v>
          </cell>
          <cell r="J156" t="str">
            <v>내국인</v>
          </cell>
          <cell r="K156" t="str">
            <v>대한민국</v>
          </cell>
          <cell r="L156" t="str">
            <v>601020-2805210</v>
          </cell>
          <cell r="M156">
            <v>22209</v>
          </cell>
          <cell r="N156">
            <v>59</v>
          </cell>
          <cell r="O156" t="str">
            <v>여</v>
          </cell>
          <cell r="P156">
            <v>34433</v>
          </cell>
          <cell r="Q156" t="str">
            <v>대전광역시 대덕구  한남로88번길 33  (오정동)</v>
          </cell>
          <cell r="R156" t="str">
            <v>부</v>
          </cell>
          <cell r="S156" t="str">
            <v/>
          </cell>
          <cell r="T156" t="str">
            <v/>
          </cell>
          <cell r="U156" t="str">
            <v>010-2972-5119</v>
          </cell>
          <cell r="W156" t="str">
            <v>하나</v>
          </cell>
          <cell r="X156" t="str">
            <v>654-134150-00207</v>
          </cell>
          <cell r="Y156" t="str">
            <v>시급제</v>
          </cell>
          <cell r="Z156">
            <v>8590</v>
          </cell>
        </row>
        <row r="157">
          <cell r="A157">
            <v>156</v>
          </cell>
          <cell r="B157" t="str">
            <v>생산본부 생산팀 생산2파트</v>
          </cell>
          <cell r="D157" t="str">
            <v>기름</v>
          </cell>
          <cell r="E157" t="str">
            <v>조순애</v>
          </cell>
          <cell r="G157">
            <v>42156</v>
          </cell>
          <cell r="H157">
            <v>5</v>
          </cell>
          <cell r="J157" t="str">
            <v>내국인</v>
          </cell>
          <cell r="K157" t="str">
            <v>대한민국</v>
          </cell>
          <cell r="L157" t="str">
            <v>630110-2382616</v>
          </cell>
          <cell r="M157">
            <v>23021</v>
          </cell>
          <cell r="N157">
            <v>57</v>
          </cell>
          <cell r="O157" t="str">
            <v>여</v>
          </cell>
          <cell r="P157">
            <v>34527</v>
          </cell>
          <cell r="Q157" t="str">
            <v>대전광역시 동구  비래서로26번길 65  베스트빌 102동 201호(가양동)</v>
          </cell>
          <cell r="R157" t="str">
            <v>부</v>
          </cell>
          <cell r="S157" t="str">
            <v/>
          </cell>
          <cell r="T157" t="str">
            <v/>
          </cell>
          <cell r="U157" t="str">
            <v>010-9428-3265</v>
          </cell>
          <cell r="W157" t="str">
            <v>하나</v>
          </cell>
          <cell r="X157" t="str">
            <v>646-910422-06507</v>
          </cell>
          <cell r="Y157" t="str">
            <v>시급제</v>
          </cell>
          <cell r="Z157">
            <v>8760</v>
          </cell>
        </row>
        <row r="158">
          <cell r="A158">
            <v>157</v>
          </cell>
          <cell r="B158" t="str">
            <v>생산본부 생산팀 생산2파트</v>
          </cell>
          <cell r="D158" t="str">
            <v>기본</v>
          </cell>
          <cell r="E158" t="str">
            <v>최민정</v>
          </cell>
          <cell r="G158">
            <v>43437</v>
          </cell>
          <cell r="H158">
            <v>1</v>
          </cell>
          <cell r="J158" t="str">
            <v>내국인</v>
          </cell>
          <cell r="K158" t="str">
            <v>대한민국</v>
          </cell>
          <cell r="L158" t="str">
            <v>830103-2403217</v>
          </cell>
          <cell r="M158">
            <v>30319</v>
          </cell>
          <cell r="N158">
            <v>37</v>
          </cell>
          <cell r="O158" t="str">
            <v>여</v>
          </cell>
          <cell r="Q158" t="str">
            <v xml:space="preserve">대전 대덕구 비래동 오성빌라 6동 301호 </v>
          </cell>
          <cell r="R158" t="str">
            <v>부</v>
          </cell>
          <cell r="S158" t="str">
            <v/>
          </cell>
          <cell r="T158" t="str">
            <v/>
          </cell>
          <cell r="W158" t="str">
            <v>하나</v>
          </cell>
          <cell r="X158" t="str">
            <v>654-910279-83807</v>
          </cell>
          <cell r="Y158" t="str">
            <v>시급제</v>
          </cell>
          <cell r="Z158">
            <v>8590</v>
          </cell>
        </row>
        <row r="159">
          <cell r="A159">
            <v>158</v>
          </cell>
          <cell r="B159" t="str">
            <v>생산본부 생산팀 생산2파트</v>
          </cell>
          <cell r="D159" t="str">
            <v>기본</v>
          </cell>
          <cell r="E159" t="str">
            <v>최선자</v>
          </cell>
          <cell r="G159">
            <v>42156</v>
          </cell>
          <cell r="H159">
            <v>5</v>
          </cell>
          <cell r="J159" t="str">
            <v>내국인</v>
          </cell>
          <cell r="K159" t="str">
            <v>대한민국</v>
          </cell>
          <cell r="L159" t="str">
            <v>640415-2655221</v>
          </cell>
          <cell r="M159">
            <v>23482</v>
          </cell>
          <cell r="N159">
            <v>56</v>
          </cell>
          <cell r="O159" t="str">
            <v>여</v>
          </cell>
          <cell r="P159">
            <v>34442</v>
          </cell>
          <cell r="Q159" t="str">
            <v>대전광역시 대덕구  한남로138번길 61  2층 (오정동)</v>
          </cell>
          <cell r="R159" t="str">
            <v>부</v>
          </cell>
          <cell r="S159" t="str">
            <v/>
          </cell>
          <cell r="T159" t="str">
            <v/>
          </cell>
          <cell r="U159" t="str">
            <v>016-432-6802</v>
          </cell>
          <cell r="W159" t="str">
            <v>하나</v>
          </cell>
          <cell r="X159" t="str">
            <v>654-910165-90507</v>
          </cell>
          <cell r="Y159" t="str">
            <v>시급제</v>
          </cell>
          <cell r="Z159">
            <v>8590</v>
          </cell>
        </row>
        <row r="160">
          <cell r="A160">
            <v>159</v>
          </cell>
          <cell r="B160" t="str">
            <v>생산본부 생산팀 생산2파트</v>
          </cell>
          <cell r="D160" t="str">
            <v>기본</v>
          </cell>
          <cell r="E160" t="str">
            <v>최연주</v>
          </cell>
          <cell r="G160">
            <v>43759</v>
          </cell>
          <cell r="H160">
            <v>0</v>
          </cell>
          <cell r="J160" t="str">
            <v>내국인</v>
          </cell>
          <cell r="K160" t="str">
            <v>대한민국</v>
          </cell>
          <cell r="L160" t="str">
            <v>811018-2452920</v>
          </cell>
          <cell r="M160">
            <v>29877</v>
          </cell>
          <cell r="N160">
            <v>38</v>
          </cell>
          <cell r="O160" t="str">
            <v>여</v>
          </cell>
          <cell r="Q160" t="str">
            <v xml:space="preserve">대전광역시 중구 목동로 70,108동702호 </v>
          </cell>
          <cell r="R160" t="str">
            <v>부</v>
          </cell>
          <cell r="S160" t="str">
            <v/>
          </cell>
          <cell r="T160" t="str">
            <v/>
          </cell>
          <cell r="U160" t="str">
            <v>010-6312-1480</v>
          </cell>
          <cell r="W160" t="str">
            <v>하나</v>
          </cell>
          <cell r="X160" t="str">
            <v>626-910314-56207</v>
          </cell>
          <cell r="Y160" t="str">
            <v>시급제</v>
          </cell>
          <cell r="Z160">
            <v>8590</v>
          </cell>
        </row>
        <row r="161">
          <cell r="A161">
            <v>160</v>
          </cell>
          <cell r="B161" t="str">
            <v>생산본부 생산팀 생산2파트</v>
          </cell>
          <cell r="D161" t="str">
            <v>기본</v>
          </cell>
          <cell r="E161" t="str">
            <v>최원이</v>
          </cell>
          <cell r="G161">
            <v>42156</v>
          </cell>
          <cell r="H161">
            <v>5</v>
          </cell>
          <cell r="J161" t="str">
            <v>내국인</v>
          </cell>
          <cell r="K161" t="str">
            <v>대한민국</v>
          </cell>
          <cell r="L161" t="str">
            <v>591013-2380310</v>
          </cell>
          <cell r="M161">
            <v>21836</v>
          </cell>
          <cell r="N161">
            <v>60</v>
          </cell>
          <cell r="O161" t="str">
            <v>여</v>
          </cell>
          <cell r="P161">
            <v>34513</v>
          </cell>
          <cell r="Q161" t="str">
            <v>대전광역시 동구  충정로139번길 44  (자양동)</v>
          </cell>
          <cell r="R161" t="str">
            <v>부</v>
          </cell>
          <cell r="S161" t="str">
            <v/>
          </cell>
          <cell r="T161" t="str">
            <v/>
          </cell>
          <cell r="U161" t="str">
            <v>010-9210-8901</v>
          </cell>
          <cell r="W161" t="str">
            <v>하나</v>
          </cell>
          <cell r="X161" t="str">
            <v>645-910678-32007</v>
          </cell>
          <cell r="Y161" t="str">
            <v>시급제</v>
          </cell>
          <cell r="Z161">
            <v>8590</v>
          </cell>
        </row>
        <row r="162">
          <cell r="A162">
            <v>161</v>
          </cell>
          <cell r="B162" t="str">
            <v>생산본부 생산팀 생산2파트</v>
          </cell>
          <cell r="D162" t="str">
            <v>기본</v>
          </cell>
          <cell r="E162" t="str">
            <v>최진희</v>
          </cell>
          <cell r="G162">
            <v>43759</v>
          </cell>
          <cell r="H162">
            <v>0</v>
          </cell>
          <cell r="J162" t="str">
            <v>내국인</v>
          </cell>
          <cell r="K162" t="str">
            <v>대한민국</v>
          </cell>
          <cell r="L162" t="str">
            <v>850820-2163713</v>
          </cell>
          <cell r="M162">
            <v>31279</v>
          </cell>
          <cell r="N162">
            <v>34</v>
          </cell>
          <cell r="O162" t="str">
            <v>여</v>
          </cell>
          <cell r="Q162" t="str">
            <v xml:space="preserve">대전광역시 서구 배재로91번길 21, 6동 506호 </v>
          </cell>
          <cell r="R162" t="str">
            <v>부</v>
          </cell>
          <cell r="S162">
            <v>9</v>
          </cell>
          <cell r="T162" t="str">
            <v/>
          </cell>
          <cell r="U162" t="str">
            <v>010-2390-0348</v>
          </cell>
          <cell r="W162" t="str">
            <v>국민</v>
          </cell>
          <cell r="X162" t="str">
            <v>740901-01-472365</v>
          </cell>
          <cell r="Y162" t="str">
            <v>시급제</v>
          </cell>
          <cell r="Z162">
            <v>8590</v>
          </cell>
        </row>
        <row r="163">
          <cell r="A163">
            <v>162</v>
          </cell>
          <cell r="B163" t="str">
            <v>생산본부 생산팀 생산2파트</v>
          </cell>
          <cell r="D163" t="str">
            <v>기본</v>
          </cell>
          <cell r="E163" t="str">
            <v>홍민기</v>
          </cell>
          <cell r="G163">
            <v>43084</v>
          </cell>
          <cell r="H163">
            <v>2</v>
          </cell>
          <cell r="J163" t="str">
            <v>내국인</v>
          </cell>
          <cell r="K163" t="str">
            <v>대한민국</v>
          </cell>
          <cell r="L163" t="str">
            <v>750210-2408934</v>
          </cell>
          <cell r="M163">
            <v>27435</v>
          </cell>
          <cell r="N163">
            <v>45</v>
          </cell>
          <cell r="O163" t="str">
            <v>여</v>
          </cell>
          <cell r="P163">
            <v>34406</v>
          </cell>
          <cell r="Q163" t="str">
            <v>대전광역시 대덕구  계족로608번길 17-18  (법동)</v>
          </cell>
          <cell r="R163" t="str">
            <v>부</v>
          </cell>
          <cell r="S163" t="str">
            <v/>
          </cell>
          <cell r="T163" t="str">
            <v/>
          </cell>
          <cell r="U163" t="str">
            <v>010-4081-3131</v>
          </cell>
          <cell r="W163" t="str">
            <v>하나</v>
          </cell>
          <cell r="X163" t="str">
            <v>654-910361-58307</v>
          </cell>
          <cell r="Y163" t="str">
            <v>시급제</v>
          </cell>
          <cell r="Z163">
            <v>8590</v>
          </cell>
        </row>
        <row r="164">
          <cell r="A164">
            <v>163</v>
          </cell>
          <cell r="B164" t="str">
            <v>생산본부 생산팀 생산2파트</v>
          </cell>
          <cell r="D164" t="str">
            <v>기본</v>
          </cell>
          <cell r="E164" t="str">
            <v>홍성학</v>
          </cell>
          <cell r="G164">
            <v>42156</v>
          </cell>
          <cell r="H164">
            <v>5</v>
          </cell>
          <cell r="J164" t="str">
            <v>내국인</v>
          </cell>
          <cell r="K164" t="str">
            <v>대한민국</v>
          </cell>
          <cell r="L164" t="str">
            <v>680824-1457813</v>
          </cell>
          <cell r="M164">
            <v>25074</v>
          </cell>
          <cell r="N164">
            <v>51</v>
          </cell>
          <cell r="O164" t="str">
            <v>남</v>
          </cell>
          <cell r="P164">
            <v>34895</v>
          </cell>
          <cell r="Q164" t="str">
            <v>대전광역시 중구  평촌로 111  108동 705호(태평동, 태평아파트)</v>
          </cell>
          <cell r="R164" t="str">
            <v>부</v>
          </cell>
          <cell r="S164" t="str">
            <v/>
          </cell>
          <cell r="T164" t="str">
            <v/>
          </cell>
          <cell r="U164" t="str">
            <v>010-5425-8443</v>
          </cell>
          <cell r="W164" t="str">
            <v>하나</v>
          </cell>
          <cell r="X164" t="str">
            <v>623-910486-31807</v>
          </cell>
          <cell r="Y164" t="str">
            <v>시급제</v>
          </cell>
          <cell r="Z164">
            <v>9110</v>
          </cell>
        </row>
        <row r="165">
          <cell r="A165">
            <v>164</v>
          </cell>
          <cell r="B165" t="str">
            <v>생산본부 생산팀 생산3파트</v>
          </cell>
          <cell r="C165" t="str">
            <v>파트장</v>
          </cell>
          <cell r="D165" t="str">
            <v>파트장</v>
          </cell>
          <cell r="E165" t="str">
            <v>주연숙</v>
          </cell>
          <cell r="G165">
            <v>42156</v>
          </cell>
          <cell r="H165">
            <v>5</v>
          </cell>
          <cell r="J165" t="str">
            <v>내국인</v>
          </cell>
          <cell r="K165" t="str">
            <v>대한민국</v>
          </cell>
          <cell r="L165" t="str">
            <v>701115-2927316</v>
          </cell>
          <cell r="M165">
            <v>25887</v>
          </cell>
          <cell r="N165">
            <v>49</v>
          </cell>
          <cell r="O165" t="str">
            <v>여</v>
          </cell>
          <cell r="P165">
            <v>34569</v>
          </cell>
          <cell r="Q165" t="str">
            <v>대전광역시 동구  대전로 935  106동 1501호(삼성동, 한밭자이아파트)</v>
          </cell>
          <cell r="R165" t="str">
            <v>부</v>
          </cell>
          <cell r="S165" t="str">
            <v/>
          </cell>
          <cell r="T165" t="str">
            <v/>
          </cell>
          <cell r="U165" t="str">
            <v>010-3415-7580</v>
          </cell>
          <cell r="W165" t="str">
            <v>하나</v>
          </cell>
          <cell r="X165" t="str">
            <v>734-910005-05207</v>
          </cell>
          <cell r="Y165" t="str">
            <v>시급제</v>
          </cell>
          <cell r="Z165" t="str">
            <v>정보없음</v>
          </cell>
        </row>
        <row r="166">
          <cell r="A166">
            <v>165</v>
          </cell>
          <cell r="B166" t="str">
            <v>생산본부 생산팀 생산3파트</v>
          </cell>
          <cell r="C166" t="str">
            <v>남자반장</v>
          </cell>
          <cell r="D166" t="str">
            <v>남자반장</v>
          </cell>
          <cell r="E166" t="str">
            <v>오충석</v>
          </cell>
          <cell r="G166">
            <v>42156</v>
          </cell>
          <cell r="H166">
            <v>5</v>
          </cell>
          <cell r="J166" t="str">
            <v>내국인</v>
          </cell>
          <cell r="K166" t="str">
            <v>대한민국</v>
          </cell>
          <cell r="L166" t="str">
            <v>710816-1453521</v>
          </cell>
          <cell r="M166">
            <v>26161</v>
          </cell>
          <cell r="N166">
            <v>48</v>
          </cell>
          <cell r="O166" t="str">
            <v>남</v>
          </cell>
          <cell r="Q166" t="str">
            <v xml:space="preserve">대전 서구 만년동 초원아파트 105동 408호 </v>
          </cell>
          <cell r="R166" t="str">
            <v>부</v>
          </cell>
          <cell r="S166" t="str">
            <v/>
          </cell>
          <cell r="T166" t="str">
            <v/>
          </cell>
          <cell r="U166" t="str">
            <v>010-8838-9564</v>
          </cell>
          <cell r="W166" t="str">
            <v>하나</v>
          </cell>
          <cell r="X166" t="str">
            <v>647-213743-00107</v>
          </cell>
          <cell r="Y166" t="str">
            <v>시급제</v>
          </cell>
          <cell r="Z166" t="str">
            <v>정보없음</v>
          </cell>
        </row>
        <row r="167">
          <cell r="A167">
            <v>166</v>
          </cell>
          <cell r="B167" t="str">
            <v>생산본부 생산팀 생산3파트</v>
          </cell>
          <cell r="C167" t="str">
            <v>여자반장</v>
          </cell>
          <cell r="D167" t="str">
            <v>여자반장</v>
          </cell>
          <cell r="E167" t="str">
            <v>어미숙</v>
          </cell>
          <cell r="G167">
            <v>42156</v>
          </cell>
          <cell r="H167">
            <v>5</v>
          </cell>
          <cell r="J167" t="str">
            <v>내국인</v>
          </cell>
          <cell r="K167" t="str">
            <v>대한민국</v>
          </cell>
          <cell r="L167" t="str">
            <v>680210-2770111</v>
          </cell>
          <cell r="M167">
            <v>24878</v>
          </cell>
          <cell r="N167">
            <v>52</v>
          </cell>
          <cell r="O167" t="str">
            <v>여</v>
          </cell>
          <cell r="P167">
            <v>35311</v>
          </cell>
          <cell r="Q167" t="str">
            <v>대전광역시 서구  가장로 162  1동 302호(가장동, 삼창아파트)</v>
          </cell>
          <cell r="R167" t="str">
            <v>부</v>
          </cell>
          <cell r="S167" t="str">
            <v/>
          </cell>
          <cell r="T167" t="str">
            <v/>
          </cell>
          <cell r="U167" t="str">
            <v>010-6433-6203</v>
          </cell>
          <cell r="W167" t="str">
            <v>하나</v>
          </cell>
          <cell r="X167" t="str">
            <v>654-910256-65407</v>
          </cell>
          <cell r="Y167" t="str">
            <v>시급제</v>
          </cell>
          <cell r="Z167" t="str">
            <v>정보없음</v>
          </cell>
        </row>
        <row r="168">
          <cell r="A168">
            <v>167</v>
          </cell>
          <cell r="B168" t="str">
            <v>생산본부 생산팀 생산3파트</v>
          </cell>
          <cell r="D168" t="str">
            <v>기본</v>
          </cell>
          <cell r="E168" t="str">
            <v>강선하</v>
          </cell>
          <cell r="G168">
            <v>42156</v>
          </cell>
          <cell r="H168">
            <v>5</v>
          </cell>
          <cell r="J168" t="str">
            <v>내국인</v>
          </cell>
          <cell r="K168" t="str">
            <v>대한민국</v>
          </cell>
          <cell r="L168" t="str">
            <v>631229-2459912</v>
          </cell>
          <cell r="M168">
            <v>23374</v>
          </cell>
          <cell r="N168">
            <v>56</v>
          </cell>
          <cell r="O168" t="str">
            <v>여</v>
          </cell>
          <cell r="P168">
            <v>35321</v>
          </cell>
          <cell r="Q168" t="str">
            <v>대전광역시 서구  동서대로1080번길 4  (변동)</v>
          </cell>
          <cell r="R168" t="str">
            <v>부</v>
          </cell>
          <cell r="S168" t="str">
            <v/>
          </cell>
          <cell r="T168" t="str">
            <v/>
          </cell>
          <cell r="U168" t="str">
            <v>010-5420-8637</v>
          </cell>
          <cell r="W168" t="str">
            <v>하나</v>
          </cell>
          <cell r="X168" t="str">
            <v>641-044454-00107</v>
          </cell>
          <cell r="Y168" t="str">
            <v>시급제</v>
          </cell>
          <cell r="Z168">
            <v>8590</v>
          </cell>
        </row>
        <row r="169">
          <cell r="A169">
            <v>168</v>
          </cell>
          <cell r="B169" t="str">
            <v>생산본부 생산팀 생산3파트</v>
          </cell>
          <cell r="D169" t="str">
            <v>기본</v>
          </cell>
          <cell r="E169" t="str">
            <v>권중원</v>
          </cell>
          <cell r="G169">
            <v>42156</v>
          </cell>
          <cell r="H169">
            <v>5</v>
          </cell>
          <cell r="J169" t="str">
            <v>내국인</v>
          </cell>
          <cell r="K169" t="str">
            <v>대한민국</v>
          </cell>
          <cell r="L169" t="str">
            <v>840523-1410021</v>
          </cell>
          <cell r="M169">
            <v>30825</v>
          </cell>
          <cell r="N169">
            <v>36</v>
          </cell>
          <cell r="O169" t="str">
            <v>남</v>
          </cell>
          <cell r="P169">
            <v>35397</v>
          </cell>
          <cell r="Q169" t="str">
            <v>대전광역시 서구  정림서로 162-15  (정림동, 우성아파트2차)</v>
          </cell>
          <cell r="R169" t="str">
            <v>부</v>
          </cell>
          <cell r="S169" t="str">
            <v/>
          </cell>
          <cell r="T169" t="str">
            <v/>
          </cell>
          <cell r="U169" t="str">
            <v>010-9568-0321</v>
          </cell>
          <cell r="W169" t="str">
            <v>하나</v>
          </cell>
          <cell r="X169" t="str">
            <v>735-910071-01807</v>
          </cell>
          <cell r="Y169" t="str">
            <v>시급제</v>
          </cell>
          <cell r="Z169">
            <v>9110</v>
          </cell>
        </row>
        <row r="170">
          <cell r="A170">
            <v>169</v>
          </cell>
          <cell r="B170" t="str">
            <v>생산본부 생산팀 생산3파트</v>
          </cell>
          <cell r="D170" t="str">
            <v>기름</v>
          </cell>
          <cell r="E170" t="str">
            <v>김미숙</v>
          </cell>
          <cell r="G170">
            <v>42156</v>
          </cell>
          <cell r="H170">
            <v>5</v>
          </cell>
          <cell r="J170" t="str">
            <v>내국인</v>
          </cell>
          <cell r="K170" t="str">
            <v>대한민국</v>
          </cell>
          <cell r="L170" t="str">
            <v>660430-2400615</v>
          </cell>
          <cell r="M170">
            <v>24227</v>
          </cell>
          <cell r="N170">
            <v>54</v>
          </cell>
          <cell r="O170" t="str">
            <v>여</v>
          </cell>
          <cell r="P170">
            <v>34812</v>
          </cell>
          <cell r="Q170" t="str">
            <v>대전광역시 중구  목중로26번길 29  110동 202호(중촌동, 현대아파트)</v>
          </cell>
          <cell r="R170" t="str">
            <v>부</v>
          </cell>
          <cell r="S170" t="str">
            <v/>
          </cell>
          <cell r="T170" t="str">
            <v/>
          </cell>
          <cell r="U170" t="str">
            <v>010-6675-1592</v>
          </cell>
          <cell r="W170" t="str">
            <v>하나</v>
          </cell>
          <cell r="X170" t="str">
            <v>605-910271-08607</v>
          </cell>
          <cell r="Y170" t="str">
            <v>시급제</v>
          </cell>
          <cell r="Z170">
            <v>8590</v>
          </cell>
        </row>
        <row r="171">
          <cell r="A171">
            <v>170</v>
          </cell>
          <cell r="B171" t="str">
            <v>생산본부 생산팀 생산3파트</v>
          </cell>
          <cell r="D171" t="str">
            <v>기름</v>
          </cell>
          <cell r="E171" t="str">
            <v>김미향</v>
          </cell>
          <cell r="G171">
            <v>42156</v>
          </cell>
          <cell r="H171">
            <v>5</v>
          </cell>
          <cell r="J171" t="str">
            <v>내국인</v>
          </cell>
          <cell r="K171" t="str">
            <v>대한민국</v>
          </cell>
          <cell r="L171" t="str">
            <v>650422-2807811</v>
          </cell>
          <cell r="M171">
            <v>23854</v>
          </cell>
          <cell r="N171">
            <v>55</v>
          </cell>
          <cell r="O171" t="str">
            <v>여</v>
          </cell>
          <cell r="P171">
            <v>34580</v>
          </cell>
          <cell r="Q171" t="str">
            <v>대전광역시 동구  성남로 10-25  (성남동)</v>
          </cell>
          <cell r="R171" t="str">
            <v>부</v>
          </cell>
          <cell r="S171" t="str">
            <v/>
          </cell>
          <cell r="T171" t="str">
            <v/>
          </cell>
          <cell r="U171" t="str">
            <v>010-3003-5558</v>
          </cell>
          <cell r="W171" t="str">
            <v>하나</v>
          </cell>
          <cell r="X171" t="str">
            <v>646-910690-74107</v>
          </cell>
          <cell r="Y171" t="str">
            <v>시급제</v>
          </cell>
          <cell r="Z171">
            <v>8760</v>
          </cell>
        </row>
        <row r="172">
          <cell r="A172">
            <v>171</v>
          </cell>
          <cell r="B172" t="str">
            <v>생산본부 생산팀 생산3파트</v>
          </cell>
          <cell r="D172" t="str">
            <v>기본</v>
          </cell>
          <cell r="E172" t="str">
            <v>김민나</v>
          </cell>
          <cell r="G172">
            <v>42156</v>
          </cell>
          <cell r="H172">
            <v>5</v>
          </cell>
          <cell r="J172" t="str">
            <v>내국인</v>
          </cell>
          <cell r="K172" t="str">
            <v>대한민국</v>
          </cell>
          <cell r="L172" t="str">
            <v>631123-2548111</v>
          </cell>
          <cell r="M172">
            <v>23338</v>
          </cell>
          <cell r="N172">
            <v>56</v>
          </cell>
          <cell r="O172" t="str">
            <v>여</v>
          </cell>
          <cell r="P172">
            <v>34439</v>
          </cell>
          <cell r="Q172" t="str">
            <v>대전광역시 대덕구  오정로52번길 25-24  101호 (오정동)</v>
          </cell>
          <cell r="R172" t="str">
            <v>부</v>
          </cell>
          <cell r="S172" t="str">
            <v/>
          </cell>
          <cell r="T172" t="str">
            <v/>
          </cell>
          <cell r="U172" t="str">
            <v>010-5661-0257</v>
          </cell>
          <cell r="W172" t="str">
            <v>하나</v>
          </cell>
          <cell r="X172" t="str">
            <v>654-910256-43707</v>
          </cell>
          <cell r="Y172" t="str">
            <v>시급제</v>
          </cell>
          <cell r="Z172">
            <v>8590</v>
          </cell>
        </row>
        <row r="173">
          <cell r="A173">
            <v>172</v>
          </cell>
          <cell r="B173" t="str">
            <v>생산본부 생산팀 생산3파트</v>
          </cell>
          <cell r="D173" t="str">
            <v>기본</v>
          </cell>
          <cell r="E173" t="str">
            <v>김윤희</v>
          </cell>
          <cell r="G173">
            <v>42430</v>
          </cell>
          <cell r="H173">
            <v>4</v>
          </cell>
          <cell r="J173" t="str">
            <v>내국인</v>
          </cell>
          <cell r="K173" t="str">
            <v>대한민국</v>
          </cell>
          <cell r="L173" t="str">
            <v>850902-2408816</v>
          </cell>
          <cell r="M173">
            <v>31292</v>
          </cell>
          <cell r="N173">
            <v>34</v>
          </cell>
          <cell r="O173" t="str">
            <v>여</v>
          </cell>
          <cell r="P173">
            <v>35307</v>
          </cell>
          <cell r="Q173" t="str">
            <v>대전광역시 서구  계룡로649번길 29  401호 (용문동)</v>
          </cell>
          <cell r="R173" t="str">
            <v>부</v>
          </cell>
          <cell r="S173" t="str">
            <v/>
          </cell>
          <cell r="T173" t="str">
            <v/>
          </cell>
          <cell r="U173" t="str">
            <v>010-9557-0426</v>
          </cell>
          <cell r="W173" t="str">
            <v>하나</v>
          </cell>
          <cell r="X173" t="str">
            <v>634-910198-83507</v>
          </cell>
          <cell r="Y173" t="str">
            <v>시급제</v>
          </cell>
          <cell r="Z173">
            <v>8590</v>
          </cell>
        </row>
        <row r="174">
          <cell r="A174">
            <v>173</v>
          </cell>
          <cell r="B174" t="str">
            <v>생산본부 생산팀 생산3파트</v>
          </cell>
          <cell r="D174" t="str">
            <v>기본</v>
          </cell>
          <cell r="E174" t="str">
            <v>김종남</v>
          </cell>
          <cell r="G174">
            <v>42156</v>
          </cell>
          <cell r="H174">
            <v>5</v>
          </cell>
          <cell r="J174" t="str">
            <v>내국인</v>
          </cell>
          <cell r="K174" t="str">
            <v>대한민국</v>
          </cell>
          <cell r="L174" t="str">
            <v>660628-2394814</v>
          </cell>
          <cell r="M174">
            <v>24286</v>
          </cell>
          <cell r="N174">
            <v>53</v>
          </cell>
          <cell r="O174" t="str">
            <v>여</v>
          </cell>
          <cell r="P174">
            <v>34588</v>
          </cell>
          <cell r="Q174" t="str">
            <v>대전광역시 동구  동서대로1692번길 145-16  301호 (성남동, 대흥빌라(3동))</v>
          </cell>
          <cell r="R174" t="str">
            <v>부</v>
          </cell>
          <cell r="S174" t="str">
            <v/>
          </cell>
          <cell r="T174" t="str">
            <v/>
          </cell>
          <cell r="U174" t="str">
            <v>010-5349-1382</v>
          </cell>
          <cell r="W174" t="str">
            <v>하나</v>
          </cell>
          <cell r="X174" t="str">
            <v>646-910828-46107</v>
          </cell>
          <cell r="Y174" t="str">
            <v>시급제</v>
          </cell>
          <cell r="Z174">
            <v>8590</v>
          </cell>
        </row>
        <row r="175">
          <cell r="A175">
            <v>174</v>
          </cell>
          <cell r="B175" t="str">
            <v>생산본부 생산팀 생산3파트</v>
          </cell>
          <cell r="D175" t="str">
            <v>기본</v>
          </cell>
          <cell r="E175" t="str">
            <v>김형순</v>
          </cell>
          <cell r="G175">
            <v>42156</v>
          </cell>
          <cell r="H175">
            <v>5</v>
          </cell>
          <cell r="J175" t="str">
            <v>내국인</v>
          </cell>
          <cell r="K175" t="str">
            <v>대한민국</v>
          </cell>
          <cell r="L175" t="str">
            <v>661110-2384715</v>
          </cell>
          <cell r="M175">
            <v>24421</v>
          </cell>
          <cell r="N175">
            <v>53</v>
          </cell>
          <cell r="O175" t="str">
            <v>여</v>
          </cell>
          <cell r="P175">
            <v>34619</v>
          </cell>
          <cell r="Q175" t="str">
            <v>대전광역시 동구  우암로 61-13  (삼성동)</v>
          </cell>
          <cell r="R175" t="str">
            <v>부</v>
          </cell>
          <cell r="S175" t="str">
            <v/>
          </cell>
          <cell r="T175" t="str">
            <v/>
          </cell>
          <cell r="U175" t="str">
            <v>010-2489-1457</v>
          </cell>
          <cell r="W175" t="str">
            <v>하나</v>
          </cell>
          <cell r="X175" t="str">
            <v>647-910157-01007</v>
          </cell>
          <cell r="Y175" t="str">
            <v>시급제</v>
          </cell>
          <cell r="Z175">
            <v>8590</v>
          </cell>
        </row>
        <row r="176">
          <cell r="A176">
            <v>175</v>
          </cell>
          <cell r="B176" t="str">
            <v>생산본부 생산팀 생산3파트</v>
          </cell>
          <cell r="D176" t="str">
            <v>기름</v>
          </cell>
          <cell r="E176" t="str">
            <v>문금숙</v>
          </cell>
          <cell r="G176">
            <v>42156</v>
          </cell>
          <cell r="H176">
            <v>5</v>
          </cell>
          <cell r="J176" t="str">
            <v>내국인</v>
          </cell>
          <cell r="K176" t="str">
            <v>대한민국</v>
          </cell>
          <cell r="L176" t="str">
            <v>630623-2009715</v>
          </cell>
          <cell r="M176">
            <v>23185</v>
          </cell>
          <cell r="N176">
            <v>56</v>
          </cell>
          <cell r="O176" t="str">
            <v>여</v>
          </cell>
          <cell r="P176">
            <v>35347</v>
          </cell>
          <cell r="Q176" t="str">
            <v>대전광역시 서구  배재로91번길 21  9-402호(도마동, 럭키도마아파트)</v>
          </cell>
          <cell r="R176" t="str">
            <v>부</v>
          </cell>
          <cell r="S176" t="str">
            <v/>
          </cell>
          <cell r="T176" t="str">
            <v/>
          </cell>
          <cell r="U176" t="str">
            <v>010-5427-9311</v>
          </cell>
          <cell r="W176" t="str">
            <v>하나</v>
          </cell>
          <cell r="X176" t="str">
            <v>636-910219-76707</v>
          </cell>
          <cell r="Y176" t="str">
            <v>시급제</v>
          </cell>
          <cell r="Z176">
            <v>8760</v>
          </cell>
        </row>
        <row r="177">
          <cell r="A177">
            <v>176</v>
          </cell>
          <cell r="B177" t="str">
            <v>생산본부 생산팀 생산3파트</v>
          </cell>
          <cell r="D177" t="str">
            <v>기름</v>
          </cell>
          <cell r="E177" t="str">
            <v>박경미</v>
          </cell>
          <cell r="G177">
            <v>42156</v>
          </cell>
          <cell r="H177">
            <v>5</v>
          </cell>
          <cell r="J177" t="str">
            <v>내국인</v>
          </cell>
          <cell r="K177" t="str">
            <v>대한민국</v>
          </cell>
          <cell r="L177" t="str">
            <v>720323-2476819</v>
          </cell>
          <cell r="M177">
            <v>26381</v>
          </cell>
          <cell r="N177">
            <v>48</v>
          </cell>
          <cell r="O177" t="str">
            <v>여</v>
          </cell>
          <cell r="P177">
            <v>35281</v>
          </cell>
          <cell r="Q177" t="str">
            <v>대전광역시 서구  계룡로354번길 180-2  B동 101호(갈마동, 한밭빌라)</v>
          </cell>
          <cell r="R177" t="str">
            <v>부</v>
          </cell>
          <cell r="S177" t="str">
            <v/>
          </cell>
          <cell r="T177" t="str">
            <v/>
          </cell>
          <cell r="U177" t="str">
            <v>010-2756-6087</v>
          </cell>
          <cell r="W177" t="str">
            <v>하나</v>
          </cell>
          <cell r="X177" t="str">
            <v>654-910190-65507</v>
          </cell>
          <cell r="Y177" t="str">
            <v>시급제</v>
          </cell>
          <cell r="Z177">
            <v>8760</v>
          </cell>
        </row>
        <row r="178">
          <cell r="A178">
            <v>177</v>
          </cell>
          <cell r="B178" t="str">
            <v>생산본부 생산팀 생산3파트</v>
          </cell>
          <cell r="D178" t="str">
            <v>기본</v>
          </cell>
          <cell r="E178" t="str">
            <v>박연순</v>
          </cell>
          <cell r="G178">
            <v>42156</v>
          </cell>
          <cell r="H178">
            <v>5</v>
          </cell>
          <cell r="J178" t="str">
            <v>내국인</v>
          </cell>
          <cell r="K178" t="str">
            <v>대한민국</v>
          </cell>
          <cell r="L178" t="str">
            <v>630426-2458326</v>
          </cell>
          <cell r="M178">
            <v>23127</v>
          </cell>
          <cell r="N178">
            <v>57</v>
          </cell>
          <cell r="O178" t="str">
            <v>여</v>
          </cell>
          <cell r="Q178" t="str">
            <v xml:space="preserve">대전 동구 홍도동 시영아파트 2동 408호 </v>
          </cell>
          <cell r="R178" t="str">
            <v>부</v>
          </cell>
          <cell r="S178" t="str">
            <v/>
          </cell>
          <cell r="T178" t="str">
            <v/>
          </cell>
          <cell r="U178" t="str">
            <v>010-7666-5143</v>
          </cell>
          <cell r="W178" t="str">
            <v>하나</v>
          </cell>
          <cell r="X178" t="str">
            <v>654-910165-91107</v>
          </cell>
          <cell r="Y178" t="str">
            <v>시급제</v>
          </cell>
          <cell r="Z178">
            <v>8590</v>
          </cell>
        </row>
        <row r="179">
          <cell r="A179">
            <v>178</v>
          </cell>
          <cell r="B179" t="str">
            <v>생산본부 생산팀 생산3파트</v>
          </cell>
          <cell r="D179" t="str">
            <v>기본</v>
          </cell>
          <cell r="E179" t="str">
            <v>손희자</v>
          </cell>
          <cell r="G179">
            <v>42156</v>
          </cell>
          <cell r="H179">
            <v>5</v>
          </cell>
          <cell r="J179" t="str">
            <v>내국인</v>
          </cell>
          <cell r="K179" t="str">
            <v>대한민국</v>
          </cell>
          <cell r="L179" t="str">
            <v>611018-2792414</v>
          </cell>
          <cell r="M179">
            <v>22572</v>
          </cell>
          <cell r="N179">
            <v>58</v>
          </cell>
          <cell r="O179" t="str">
            <v>여</v>
          </cell>
          <cell r="P179">
            <v>35018</v>
          </cell>
          <cell r="Q179" t="str">
            <v>대전광역시 중구  서문로 32  115동 206호(문화동, 한밭우성아파트)</v>
          </cell>
          <cell r="R179" t="str">
            <v>부</v>
          </cell>
          <cell r="S179" t="str">
            <v/>
          </cell>
          <cell r="T179" t="str">
            <v/>
          </cell>
          <cell r="U179" t="str">
            <v>010-7743-2389</v>
          </cell>
          <cell r="W179" t="str">
            <v>하나</v>
          </cell>
          <cell r="X179" t="str">
            <v>689-910003-78105</v>
          </cell>
          <cell r="Y179" t="str">
            <v>시급제</v>
          </cell>
          <cell r="Z179">
            <v>8590</v>
          </cell>
        </row>
        <row r="180">
          <cell r="A180">
            <v>179</v>
          </cell>
          <cell r="B180" t="str">
            <v>생산본부 생산팀 생산3파트</v>
          </cell>
          <cell r="D180" t="str">
            <v>기본</v>
          </cell>
          <cell r="E180" t="str">
            <v>송속카이</v>
          </cell>
          <cell r="G180">
            <v>43823</v>
          </cell>
          <cell r="H180">
            <v>0</v>
          </cell>
          <cell r="J180" t="str">
            <v>내국인</v>
          </cell>
          <cell r="K180" t="str">
            <v>대한민국</v>
          </cell>
          <cell r="L180" t="str">
            <v>881111-2405511</v>
          </cell>
          <cell r="M180">
            <v>32458</v>
          </cell>
          <cell r="N180">
            <v>31</v>
          </cell>
          <cell r="O180" t="str">
            <v>여</v>
          </cell>
          <cell r="Q180" t="str">
            <v xml:space="preserve">대전 중구 목동 금호한사랑아파트 107동 1108호 </v>
          </cell>
          <cell r="R180" t="str">
            <v>부</v>
          </cell>
          <cell r="S180" t="str">
            <v/>
          </cell>
          <cell r="T180" t="str">
            <v/>
          </cell>
          <cell r="U180" t="str">
            <v>010-7773-8117</v>
          </cell>
          <cell r="W180" t="str">
            <v>하나</v>
          </cell>
          <cell r="X180" t="str">
            <v>654-910348-05807</v>
          </cell>
          <cell r="Y180" t="str">
            <v>시급제</v>
          </cell>
          <cell r="Z180">
            <v>8590</v>
          </cell>
        </row>
        <row r="181">
          <cell r="A181">
            <v>180</v>
          </cell>
          <cell r="B181" t="str">
            <v>생산본부 생산팀 생산3파트</v>
          </cell>
          <cell r="D181" t="str">
            <v>기본</v>
          </cell>
          <cell r="E181" t="str">
            <v>양선화</v>
          </cell>
          <cell r="G181">
            <v>42401</v>
          </cell>
          <cell r="H181">
            <v>4</v>
          </cell>
          <cell r="J181" t="str">
            <v>내국인</v>
          </cell>
          <cell r="K181" t="str">
            <v>대한민국</v>
          </cell>
          <cell r="L181" t="str">
            <v>650116-2386926</v>
          </cell>
          <cell r="M181">
            <v>23758</v>
          </cell>
          <cell r="N181">
            <v>55</v>
          </cell>
          <cell r="O181" t="str">
            <v>여</v>
          </cell>
          <cell r="P181">
            <v>34624</v>
          </cell>
          <cell r="Q181" t="str">
            <v>대전광역시 동구  선화로 183  A동 104호(삼성동, 삼성아파트)</v>
          </cell>
          <cell r="R181" t="str">
            <v>부</v>
          </cell>
          <cell r="S181" t="str">
            <v/>
          </cell>
          <cell r="T181" t="str">
            <v/>
          </cell>
          <cell r="U181" t="str">
            <v>010-5041-5786</v>
          </cell>
          <cell r="W181" t="str">
            <v>하나</v>
          </cell>
          <cell r="X181" t="str">
            <v>627-910166-50807</v>
          </cell>
          <cell r="Y181" t="str">
            <v>시급제</v>
          </cell>
          <cell r="Z181">
            <v>8590</v>
          </cell>
        </row>
        <row r="182">
          <cell r="A182">
            <v>181</v>
          </cell>
          <cell r="B182" t="str">
            <v>생산본부 생산팀 생산3파트</v>
          </cell>
          <cell r="D182" t="str">
            <v>기본</v>
          </cell>
          <cell r="E182" t="str">
            <v>유해순</v>
          </cell>
          <cell r="G182">
            <v>42156</v>
          </cell>
          <cell r="H182">
            <v>5</v>
          </cell>
          <cell r="J182" t="str">
            <v>내국인</v>
          </cell>
          <cell r="K182" t="str">
            <v>대한민국</v>
          </cell>
          <cell r="L182" t="str">
            <v>630505-2462921</v>
          </cell>
          <cell r="M182">
            <v>23136</v>
          </cell>
          <cell r="N182">
            <v>57</v>
          </cell>
          <cell r="O182" t="str">
            <v>여</v>
          </cell>
          <cell r="P182">
            <v>34545</v>
          </cell>
          <cell r="Q182" t="str">
            <v>대전광역시 동구  계족로489번길 73  113동 1502호(용전동, 한숲아파트)</v>
          </cell>
          <cell r="R182" t="str">
            <v>부</v>
          </cell>
          <cell r="S182" t="str">
            <v/>
          </cell>
          <cell r="T182" t="str">
            <v/>
          </cell>
          <cell r="U182" t="str">
            <v>010-6489-7971</v>
          </cell>
          <cell r="W182" t="str">
            <v>하나</v>
          </cell>
          <cell r="X182" t="str">
            <v>654-910256-59207</v>
          </cell>
          <cell r="Y182" t="str">
            <v>시급제</v>
          </cell>
          <cell r="Z182">
            <v>8590</v>
          </cell>
        </row>
        <row r="183">
          <cell r="A183">
            <v>182</v>
          </cell>
          <cell r="B183" t="str">
            <v>생산본부 생산팀 생산3파트</v>
          </cell>
          <cell r="D183" t="str">
            <v>기본</v>
          </cell>
          <cell r="E183" t="str">
            <v>윤영이</v>
          </cell>
          <cell r="G183">
            <v>43409</v>
          </cell>
          <cell r="H183">
            <v>1</v>
          </cell>
          <cell r="J183" t="str">
            <v>내국인</v>
          </cell>
          <cell r="K183" t="str">
            <v>대한민국</v>
          </cell>
          <cell r="L183" t="str">
            <v>770927-2522216</v>
          </cell>
          <cell r="M183">
            <v>28395</v>
          </cell>
          <cell r="N183">
            <v>42</v>
          </cell>
          <cell r="O183" t="str">
            <v>여</v>
          </cell>
          <cell r="Q183" t="str">
            <v xml:space="preserve">대전광역시 중구 당디로 45, 107동 303호 </v>
          </cell>
          <cell r="R183" t="str">
            <v>부</v>
          </cell>
          <cell r="S183" t="str">
            <v/>
          </cell>
          <cell r="T183" t="str">
            <v/>
          </cell>
          <cell r="U183" t="str">
            <v>010-2942-8631</v>
          </cell>
          <cell r="W183" t="str">
            <v>하나</v>
          </cell>
          <cell r="X183" t="str">
            <v>631-910182-90607</v>
          </cell>
          <cell r="Y183" t="str">
            <v>시급제</v>
          </cell>
          <cell r="Z183">
            <v>8590</v>
          </cell>
        </row>
        <row r="184">
          <cell r="A184">
            <v>183</v>
          </cell>
          <cell r="B184" t="str">
            <v>생산본부 생산팀 생산3파트</v>
          </cell>
          <cell r="D184" t="str">
            <v>기본</v>
          </cell>
          <cell r="E184" t="str">
            <v>이미영</v>
          </cell>
          <cell r="G184">
            <v>43073</v>
          </cell>
          <cell r="H184">
            <v>2</v>
          </cell>
          <cell r="J184" t="str">
            <v>내국인</v>
          </cell>
          <cell r="K184" t="str">
            <v>대한민국</v>
          </cell>
          <cell r="L184" t="str">
            <v>740703-2117616</v>
          </cell>
          <cell r="M184">
            <v>27213</v>
          </cell>
          <cell r="N184">
            <v>45</v>
          </cell>
          <cell r="O184" t="str">
            <v>여</v>
          </cell>
          <cell r="P184">
            <v>34683</v>
          </cell>
          <cell r="Q184" t="str">
            <v>대전광역시 동구  천동초등동길 13  (효동, 대동아파트)</v>
          </cell>
          <cell r="R184" t="str">
            <v>부</v>
          </cell>
          <cell r="S184" t="str">
            <v/>
          </cell>
          <cell r="T184" t="str">
            <v/>
          </cell>
          <cell r="U184" t="str">
            <v>010-2556-5335</v>
          </cell>
          <cell r="W184" t="str">
            <v>하나</v>
          </cell>
          <cell r="X184" t="str">
            <v>646-166732-00207</v>
          </cell>
          <cell r="Y184" t="str">
            <v>시급제</v>
          </cell>
          <cell r="Z184">
            <v>8590</v>
          </cell>
        </row>
        <row r="185">
          <cell r="A185">
            <v>184</v>
          </cell>
          <cell r="B185" t="str">
            <v>생산본부 생산팀 생산3파트</v>
          </cell>
          <cell r="D185" t="str">
            <v>기본</v>
          </cell>
          <cell r="E185" t="str">
            <v>이애자</v>
          </cell>
          <cell r="G185">
            <v>42156</v>
          </cell>
          <cell r="H185">
            <v>5</v>
          </cell>
          <cell r="J185" t="str">
            <v>내국인</v>
          </cell>
          <cell r="K185" t="str">
            <v>대한민국</v>
          </cell>
          <cell r="L185" t="str">
            <v>630411-2036619</v>
          </cell>
          <cell r="M185">
            <v>23112</v>
          </cell>
          <cell r="N185">
            <v>57</v>
          </cell>
          <cell r="O185" t="str">
            <v>여</v>
          </cell>
          <cell r="Q185" t="str">
            <v xml:space="preserve">대전 서구 내동 롯데아파트 118동 304호 </v>
          </cell>
          <cell r="R185" t="str">
            <v>부</v>
          </cell>
          <cell r="S185" t="str">
            <v/>
          </cell>
          <cell r="T185" t="str">
            <v/>
          </cell>
          <cell r="U185" t="str">
            <v>010-2689-6178</v>
          </cell>
          <cell r="W185" t="str">
            <v>하나</v>
          </cell>
          <cell r="X185" t="str">
            <v>608-910132-85907</v>
          </cell>
          <cell r="Y185" t="str">
            <v>시급제</v>
          </cell>
          <cell r="Z185">
            <v>8590</v>
          </cell>
        </row>
        <row r="186">
          <cell r="A186">
            <v>185</v>
          </cell>
          <cell r="B186" t="str">
            <v>생산본부 생산팀 생산3파트</v>
          </cell>
          <cell r="D186" t="str">
            <v>기본</v>
          </cell>
          <cell r="E186" t="str">
            <v>이의성</v>
          </cell>
          <cell r="G186">
            <v>42156</v>
          </cell>
          <cell r="H186">
            <v>5</v>
          </cell>
          <cell r="J186" t="str">
            <v>내국인</v>
          </cell>
          <cell r="K186" t="str">
            <v>대한민국</v>
          </cell>
          <cell r="L186" t="str">
            <v>720628-1400916</v>
          </cell>
          <cell r="M186">
            <v>26478</v>
          </cell>
          <cell r="N186">
            <v>47</v>
          </cell>
          <cell r="O186" t="str">
            <v>남</v>
          </cell>
          <cell r="P186">
            <v>34433</v>
          </cell>
          <cell r="Q186" t="str">
            <v>대전광역시 대덕구  대전로1076번길 39  (오정동)</v>
          </cell>
          <cell r="R186" t="str">
            <v>부</v>
          </cell>
          <cell r="S186" t="str">
            <v/>
          </cell>
          <cell r="T186" t="str">
            <v/>
          </cell>
          <cell r="U186" t="str">
            <v>010-3465-9674</v>
          </cell>
          <cell r="W186" t="str">
            <v>하나</v>
          </cell>
          <cell r="X186" t="str">
            <v>654-025287-00308</v>
          </cell>
          <cell r="Y186" t="str">
            <v>시급제</v>
          </cell>
          <cell r="Z186">
            <v>9110</v>
          </cell>
        </row>
        <row r="187">
          <cell r="A187">
            <v>186</v>
          </cell>
          <cell r="B187" t="str">
            <v>생산본부 생산팀 생산3파트</v>
          </cell>
          <cell r="D187" t="str">
            <v>기본</v>
          </cell>
          <cell r="E187" t="str">
            <v>이한순</v>
          </cell>
          <cell r="G187">
            <v>42156</v>
          </cell>
          <cell r="H187">
            <v>5</v>
          </cell>
          <cell r="J187" t="str">
            <v>내국인</v>
          </cell>
          <cell r="K187" t="str">
            <v>대한민국</v>
          </cell>
          <cell r="L187" t="str">
            <v>601016-2453110</v>
          </cell>
          <cell r="M187">
            <v>22205</v>
          </cell>
          <cell r="N187">
            <v>59</v>
          </cell>
          <cell r="O187" t="str">
            <v>여</v>
          </cell>
          <cell r="Q187" t="str">
            <v xml:space="preserve">대전 중구 중촌동 283 하늘아파트 305동 1103호 </v>
          </cell>
          <cell r="R187" t="str">
            <v>부</v>
          </cell>
          <cell r="S187" t="str">
            <v/>
          </cell>
          <cell r="T187" t="str">
            <v/>
          </cell>
          <cell r="U187" t="str">
            <v>010-8399-5199</v>
          </cell>
          <cell r="W187" t="str">
            <v>하나</v>
          </cell>
          <cell r="X187" t="str">
            <v>644-910202-73407</v>
          </cell>
          <cell r="Y187" t="str">
            <v>시급제</v>
          </cell>
          <cell r="Z187">
            <v>8590</v>
          </cell>
        </row>
        <row r="188">
          <cell r="A188">
            <v>187</v>
          </cell>
          <cell r="B188" t="str">
            <v>생산본부 생산팀 생산3파트</v>
          </cell>
          <cell r="D188" t="str">
            <v>기본</v>
          </cell>
          <cell r="E188" t="str">
            <v>임미정</v>
          </cell>
          <cell r="G188">
            <v>42767</v>
          </cell>
          <cell r="H188">
            <v>3</v>
          </cell>
          <cell r="J188" t="str">
            <v>내국인</v>
          </cell>
          <cell r="K188" t="str">
            <v>대한민국</v>
          </cell>
          <cell r="L188" t="str">
            <v>680724-2457319</v>
          </cell>
          <cell r="M188">
            <v>25043</v>
          </cell>
          <cell r="N188">
            <v>51</v>
          </cell>
          <cell r="O188" t="str">
            <v>여</v>
          </cell>
          <cell r="P188">
            <v>35269</v>
          </cell>
          <cell r="Q188" t="str">
            <v>대전광역시 서구  도솔로349번길 40  204호 (괴정동, 정든빌라)</v>
          </cell>
          <cell r="R188" t="str">
            <v>부</v>
          </cell>
          <cell r="S188" t="str">
            <v/>
          </cell>
          <cell r="T188" t="str">
            <v/>
          </cell>
          <cell r="U188" t="str">
            <v>010-8401-5375</v>
          </cell>
          <cell r="W188" t="str">
            <v>하나</v>
          </cell>
          <cell r="X188" t="str">
            <v>654-910345-03107</v>
          </cell>
          <cell r="Y188" t="str">
            <v>시급제</v>
          </cell>
          <cell r="Z188">
            <v>8590</v>
          </cell>
        </row>
        <row r="189">
          <cell r="A189">
            <v>188</v>
          </cell>
          <cell r="B189" t="str">
            <v>생산본부 생산팀 생산3파트</v>
          </cell>
          <cell r="D189" t="str">
            <v>기본</v>
          </cell>
          <cell r="E189" t="str">
            <v>임순임</v>
          </cell>
          <cell r="G189">
            <v>42156</v>
          </cell>
          <cell r="H189">
            <v>5</v>
          </cell>
          <cell r="J189" t="str">
            <v>내국인</v>
          </cell>
          <cell r="K189" t="str">
            <v>대한민국</v>
          </cell>
          <cell r="L189" t="str">
            <v>601228-2808414</v>
          </cell>
          <cell r="M189">
            <v>22278</v>
          </cell>
          <cell r="N189">
            <v>59</v>
          </cell>
          <cell r="O189" t="str">
            <v>여</v>
          </cell>
          <cell r="P189">
            <v>34396</v>
          </cell>
          <cell r="Q189" t="str">
            <v>대전광역시 대덕구  계족로690번길 21  108동 103호(법동, 선비마을아파트)</v>
          </cell>
          <cell r="R189" t="str">
            <v>부</v>
          </cell>
          <cell r="S189" t="str">
            <v/>
          </cell>
          <cell r="T189" t="str">
            <v/>
          </cell>
          <cell r="U189" t="str">
            <v>010-6460-2832</v>
          </cell>
          <cell r="W189" t="str">
            <v>하나</v>
          </cell>
          <cell r="X189" t="str">
            <v>654-910256-70007</v>
          </cell>
          <cell r="Y189" t="str">
            <v>시급제</v>
          </cell>
          <cell r="Z189">
            <v>8590</v>
          </cell>
        </row>
        <row r="190">
          <cell r="A190">
            <v>189</v>
          </cell>
          <cell r="B190" t="str">
            <v>생산본부 생산팀 생산3파트</v>
          </cell>
          <cell r="D190" t="str">
            <v>기름</v>
          </cell>
          <cell r="E190" t="str">
            <v>임지빈</v>
          </cell>
          <cell r="G190">
            <v>42156</v>
          </cell>
          <cell r="H190">
            <v>5</v>
          </cell>
          <cell r="J190" t="str">
            <v>내국인</v>
          </cell>
          <cell r="K190" t="str">
            <v>대한민국</v>
          </cell>
          <cell r="L190" t="str">
            <v>660521-2465017</v>
          </cell>
          <cell r="M190">
            <v>24248</v>
          </cell>
          <cell r="N190">
            <v>54</v>
          </cell>
          <cell r="O190" t="str">
            <v>여</v>
          </cell>
          <cell r="P190">
            <v>35225</v>
          </cell>
          <cell r="Q190" t="str">
            <v>대전광역시 서구  월평중로13번길 17-9  101호 (월평동)</v>
          </cell>
          <cell r="R190" t="str">
            <v>부</v>
          </cell>
          <cell r="S190" t="str">
            <v/>
          </cell>
          <cell r="T190" t="str">
            <v/>
          </cell>
          <cell r="U190" t="str">
            <v>010-9462-0697</v>
          </cell>
          <cell r="W190" t="str">
            <v>하나</v>
          </cell>
          <cell r="X190" t="str">
            <v>655-910158-20307</v>
          </cell>
          <cell r="Y190" t="str">
            <v>시급제</v>
          </cell>
          <cell r="Z190">
            <v>8760</v>
          </cell>
        </row>
        <row r="191">
          <cell r="A191">
            <v>190</v>
          </cell>
          <cell r="B191" t="str">
            <v>생산본부 생산팀 생산3파트</v>
          </cell>
          <cell r="D191" t="str">
            <v>기름</v>
          </cell>
          <cell r="E191" t="str">
            <v>장은주</v>
          </cell>
          <cell r="G191">
            <v>42156</v>
          </cell>
          <cell r="H191">
            <v>5</v>
          </cell>
          <cell r="J191" t="str">
            <v>내국인</v>
          </cell>
          <cell r="K191" t="str">
            <v>대한민국</v>
          </cell>
          <cell r="L191" t="str">
            <v>700815-2458311</v>
          </cell>
          <cell r="M191">
            <v>25795</v>
          </cell>
          <cell r="N191">
            <v>49</v>
          </cell>
          <cell r="O191" t="str">
            <v>여</v>
          </cell>
          <cell r="P191">
            <v>34546</v>
          </cell>
          <cell r="Q191" t="str">
            <v>대전광역시 동구  홍도로46번길 20  103동 504호(용전동, 새피앙아파트)</v>
          </cell>
          <cell r="R191" t="str">
            <v>부</v>
          </cell>
          <cell r="S191" t="str">
            <v/>
          </cell>
          <cell r="T191" t="str">
            <v/>
          </cell>
          <cell r="U191" t="str">
            <v>010-2896-3084</v>
          </cell>
          <cell r="W191" t="str">
            <v>하나</v>
          </cell>
          <cell r="X191" t="str">
            <v>646-910644-98607</v>
          </cell>
          <cell r="Y191" t="str">
            <v>시급제</v>
          </cell>
          <cell r="Z191">
            <v>8760</v>
          </cell>
        </row>
        <row r="192">
          <cell r="A192">
            <v>191</v>
          </cell>
          <cell r="B192" t="str">
            <v>생산본부 생산팀 생산3파트</v>
          </cell>
          <cell r="D192" t="str">
            <v>기본</v>
          </cell>
          <cell r="E192" t="str">
            <v>전미선</v>
          </cell>
          <cell r="G192">
            <v>42156</v>
          </cell>
          <cell r="H192">
            <v>5</v>
          </cell>
          <cell r="J192" t="str">
            <v>내국인</v>
          </cell>
          <cell r="K192" t="str">
            <v>대한민국</v>
          </cell>
          <cell r="L192" t="str">
            <v>730301-2384619</v>
          </cell>
          <cell r="M192">
            <v>26724</v>
          </cell>
          <cell r="N192">
            <v>47</v>
          </cell>
          <cell r="O192" t="str">
            <v>여</v>
          </cell>
          <cell r="P192">
            <v>35250</v>
          </cell>
          <cell r="Q192" t="str">
            <v>대전광역시 서구  둔산남로179번길 18  (둔산동)</v>
          </cell>
          <cell r="R192" t="str">
            <v>부</v>
          </cell>
          <cell r="S192" t="str">
            <v/>
          </cell>
          <cell r="T192" t="str">
            <v/>
          </cell>
          <cell r="U192" t="str">
            <v>010-8803-3297</v>
          </cell>
          <cell r="W192" t="str">
            <v>하나</v>
          </cell>
          <cell r="X192" t="str">
            <v>636-910264-51807</v>
          </cell>
          <cell r="Y192" t="str">
            <v>시급제</v>
          </cell>
          <cell r="Z192">
            <v>8590</v>
          </cell>
        </row>
        <row r="193">
          <cell r="A193">
            <v>192</v>
          </cell>
          <cell r="B193" t="str">
            <v>생산본부 생산팀 생산3파트</v>
          </cell>
          <cell r="D193" t="str">
            <v>기름</v>
          </cell>
          <cell r="E193" t="str">
            <v>정미은</v>
          </cell>
          <cell r="G193">
            <v>42156</v>
          </cell>
          <cell r="H193">
            <v>5</v>
          </cell>
          <cell r="J193" t="str">
            <v>내국인</v>
          </cell>
          <cell r="K193" t="str">
            <v>대한민국</v>
          </cell>
          <cell r="L193" t="str">
            <v>640318-2326411</v>
          </cell>
          <cell r="M193">
            <v>23454</v>
          </cell>
          <cell r="N193">
            <v>56</v>
          </cell>
          <cell r="O193" t="str">
            <v>여</v>
          </cell>
          <cell r="P193">
            <v>34395</v>
          </cell>
          <cell r="Q193" t="str">
            <v>대전광역시 대덕구  중리동로17번길 26  (중리동)</v>
          </cell>
          <cell r="R193" t="str">
            <v>부</v>
          </cell>
          <cell r="S193" t="str">
            <v/>
          </cell>
          <cell r="T193" t="str">
            <v/>
          </cell>
          <cell r="U193" t="str">
            <v>010-2396-1486</v>
          </cell>
          <cell r="W193" t="str">
            <v>하나</v>
          </cell>
          <cell r="X193" t="str">
            <v>654-910267-95807</v>
          </cell>
          <cell r="Y193" t="str">
            <v>시급제</v>
          </cell>
          <cell r="Z193">
            <v>8760</v>
          </cell>
        </row>
        <row r="194">
          <cell r="A194">
            <v>193</v>
          </cell>
          <cell r="B194" t="str">
            <v>생산본부 생산팀 생산3파트</v>
          </cell>
          <cell r="D194" t="str">
            <v>기본</v>
          </cell>
          <cell r="E194" t="str">
            <v>정수경</v>
          </cell>
          <cell r="G194">
            <v>43048</v>
          </cell>
          <cell r="H194">
            <v>2</v>
          </cell>
          <cell r="J194" t="str">
            <v>내국인</v>
          </cell>
          <cell r="K194" t="str">
            <v>대한민국</v>
          </cell>
          <cell r="L194" t="str">
            <v>660419-2386317</v>
          </cell>
          <cell r="M194">
            <v>24216</v>
          </cell>
          <cell r="N194">
            <v>54</v>
          </cell>
          <cell r="O194" t="str">
            <v>여</v>
          </cell>
          <cell r="Q194" t="str">
            <v>대전 대덕구 비래동 삼익둥지아파트  102동 1103호</v>
          </cell>
          <cell r="R194" t="str">
            <v>부</v>
          </cell>
          <cell r="S194" t="str">
            <v/>
          </cell>
          <cell r="T194" t="str">
            <v/>
          </cell>
          <cell r="U194" t="str">
            <v>010-4936-4497</v>
          </cell>
          <cell r="W194" t="str">
            <v>하나</v>
          </cell>
          <cell r="X194" t="str">
            <v>653-910306-42907</v>
          </cell>
          <cell r="Y194" t="str">
            <v>시급제</v>
          </cell>
          <cell r="Z194">
            <v>8590</v>
          </cell>
        </row>
        <row r="195">
          <cell r="A195">
            <v>194</v>
          </cell>
          <cell r="B195" t="str">
            <v>생산본부 생산팀 생산3파트</v>
          </cell>
          <cell r="D195" t="str">
            <v>기름</v>
          </cell>
          <cell r="E195" t="str">
            <v>정영임</v>
          </cell>
          <cell r="G195">
            <v>42156</v>
          </cell>
          <cell r="H195">
            <v>5</v>
          </cell>
          <cell r="J195" t="str">
            <v>내국인</v>
          </cell>
          <cell r="K195" t="str">
            <v>대한민국</v>
          </cell>
          <cell r="L195" t="str">
            <v>660117-2448819</v>
          </cell>
          <cell r="M195">
            <v>24124</v>
          </cell>
          <cell r="N195">
            <v>54</v>
          </cell>
          <cell r="O195" t="str">
            <v>여</v>
          </cell>
          <cell r="P195">
            <v>34442</v>
          </cell>
          <cell r="Q195" t="str">
            <v>대전광역시 대덕구  한남로138번길 55  b동 201호(오정동, 태극빌라)</v>
          </cell>
          <cell r="R195" t="str">
            <v>부</v>
          </cell>
          <cell r="S195" t="str">
            <v/>
          </cell>
          <cell r="T195" t="str">
            <v/>
          </cell>
          <cell r="U195" t="str">
            <v>010-8524-7561</v>
          </cell>
          <cell r="W195" t="str">
            <v>하나</v>
          </cell>
          <cell r="X195" t="str">
            <v>654-910275-77307</v>
          </cell>
          <cell r="Y195" t="str">
            <v>시급제</v>
          </cell>
          <cell r="Z195">
            <v>8760</v>
          </cell>
        </row>
        <row r="196">
          <cell r="A196">
            <v>195</v>
          </cell>
          <cell r="B196" t="str">
            <v>생산본부 생산팀 생산3파트</v>
          </cell>
          <cell r="D196" t="str">
            <v>기본</v>
          </cell>
          <cell r="E196" t="str">
            <v>정창기</v>
          </cell>
          <cell r="G196">
            <v>42156</v>
          </cell>
          <cell r="H196">
            <v>5</v>
          </cell>
          <cell r="J196" t="str">
            <v>내국인</v>
          </cell>
          <cell r="K196" t="str">
            <v>대한민국</v>
          </cell>
          <cell r="L196" t="str">
            <v>740105-1231126</v>
          </cell>
          <cell r="M196">
            <v>27034</v>
          </cell>
          <cell r="N196">
            <v>46</v>
          </cell>
          <cell r="O196" t="str">
            <v>남</v>
          </cell>
          <cell r="P196">
            <v>34392</v>
          </cell>
          <cell r="Q196" t="str">
            <v>대전광역시 대덕구  중리서로 31  102동 1309호(중리동, 영진로얄아파트)</v>
          </cell>
          <cell r="R196" t="str">
            <v>부</v>
          </cell>
          <cell r="S196" t="str">
            <v/>
          </cell>
          <cell r="T196" t="str">
            <v/>
          </cell>
          <cell r="U196" t="str">
            <v>010-2357-1389</v>
          </cell>
          <cell r="W196" t="str">
            <v>하나</v>
          </cell>
          <cell r="X196" t="str">
            <v>654-910314-58007</v>
          </cell>
          <cell r="Y196" t="str">
            <v>시급제</v>
          </cell>
          <cell r="Z196">
            <v>9110</v>
          </cell>
        </row>
        <row r="197">
          <cell r="A197">
            <v>196</v>
          </cell>
          <cell r="B197" t="str">
            <v>생산본부 생산팀 생산3파트</v>
          </cell>
          <cell r="D197" t="str">
            <v>기본</v>
          </cell>
          <cell r="E197" t="str">
            <v>한수진</v>
          </cell>
          <cell r="G197">
            <v>43385</v>
          </cell>
          <cell r="H197">
            <v>1</v>
          </cell>
          <cell r="J197" t="str">
            <v>내국인</v>
          </cell>
          <cell r="K197" t="str">
            <v>대한민국</v>
          </cell>
          <cell r="L197" t="str">
            <v>820130-2410817</v>
          </cell>
          <cell r="M197">
            <v>29981</v>
          </cell>
          <cell r="N197">
            <v>38</v>
          </cell>
          <cell r="O197" t="str">
            <v>여</v>
          </cell>
          <cell r="Q197" t="str">
            <v xml:space="preserve">대전 대덕구 중리동 251-9 보람빌 202호 </v>
          </cell>
          <cell r="R197" t="str">
            <v>부</v>
          </cell>
          <cell r="S197" t="str">
            <v/>
          </cell>
          <cell r="T197" t="str">
            <v/>
          </cell>
          <cell r="U197" t="str">
            <v>010-51027150</v>
          </cell>
          <cell r="W197" t="str">
            <v>하나</v>
          </cell>
          <cell r="X197" t="str">
            <v>654-910371-87207</v>
          </cell>
          <cell r="Y197" t="str">
            <v>시급제</v>
          </cell>
          <cell r="Z197">
            <v>8590</v>
          </cell>
        </row>
        <row r="198">
          <cell r="A198">
            <v>197</v>
          </cell>
          <cell r="B198" t="str">
            <v>생산본부 생산팀 생산3파트</v>
          </cell>
          <cell r="D198" t="str">
            <v>기름</v>
          </cell>
          <cell r="E198" t="str">
            <v>한은미</v>
          </cell>
          <cell r="G198">
            <v>42156</v>
          </cell>
          <cell r="H198">
            <v>5</v>
          </cell>
          <cell r="J198" t="str">
            <v>내국인</v>
          </cell>
          <cell r="K198" t="str">
            <v>대한민국</v>
          </cell>
          <cell r="L198" t="str">
            <v>790329-2407213</v>
          </cell>
          <cell r="M198">
            <v>28943</v>
          </cell>
          <cell r="N198">
            <v>41</v>
          </cell>
          <cell r="O198" t="str">
            <v>여</v>
          </cell>
          <cell r="P198">
            <v>34078</v>
          </cell>
          <cell r="Q198" t="str">
            <v>대전광역시 유성구  북유성대로155번길 19-2  (지족동)</v>
          </cell>
          <cell r="R198" t="str">
            <v>부</v>
          </cell>
          <cell r="S198" t="str">
            <v/>
          </cell>
          <cell r="T198" t="str">
            <v/>
          </cell>
          <cell r="U198" t="str">
            <v>010-8898-8832</v>
          </cell>
          <cell r="W198" t="str">
            <v>하나</v>
          </cell>
          <cell r="X198" t="str">
            <v>689-910314-43207</v>
          </cell>
          <cell r="Y198" t="str">
            <v>시급제</v>
          </cell>
          <cell r="Z198">
            <v>8760</v>
          </cell>
        </row>
        <row r="199">
          <cell r="A199">
            <v>198</v>
          </cell>
          <cell r="B199" t="str">
            <v>생산본부 생산팀 생산3파트</v>
          </cell>
          <cell r="D199" t="str">
            <v>기본</v>
          </cell>
          <cell r="E199" t="str">
            <v>한은숙</v>
          </cell>
          <cell r="G199">
            <v>42217</v>
          </cell>
          <cell r="H199">
            <v>4</v>
          </cell>
          <cell r="J199" t="str">
            <v>내국인</v>
          </cell>
          <cell r="K199" t="str">
            <v>대한민국</v>
          </cell>
          <cell r="L199" t="str">
            <v>890516-2403111</v>
          </cell>
          <cell r="M199">
            <v>32644</v>
          </cell>
          <cell r="N199">
            <v>31</v>
          </cell>
          <cell r="O199" t="str">
            <v>여</v>
          </cell>
          <cell r="P199">
            <v>34379</v>
          </cell>
          <cell r="Q199" t="str">
            <v>대전광역시 대덕구  대전로1177번길 11  (오정동)</v>
          </cell>
          <cell r="R199" t="str">
            <v>부</v>
          </cell>
          <cell r="S199" t="str">
            <v/>
          </cell>
          <cell r="T199" t="str">
            <v/>
          </cell>
          <cell r="U199" t="str">
            <v>010-4199-1446</v>
          </cell>
          <cell r="W199" t="str">
            <v>하나</v>
          </cell>
          <cell r="X199" t="str">
            <v>010-419914-46507</v>
          </cell>
          <cell r="Y199" t="str">
            <v>시급제</v>
          </cell>
          <cell r="Z199">
            <v>8590</v>
          </cell>
        </row>
        <row r="200">
          <cell r="A200">
            <v>199</v>
          </cell>
          <cell r="B200" t="str">
            <v>생산본부 생산팀 생산3파트</v>
          </cell>
          <cell r="D200" t="str">
            <v>기본</v>
          </cell>
          <cell r="E200" t="str">
            <v>한현준</v>
          </cell>
          <cell r="G200">
            <v>42156</v>
          </cell>
          <cell r="H200">
            <v>5</v>
          </cell>
          <cell r="J200" t="str">
            <v>내국인</v>
          </cell>
          <cell r="K200" t="str">
            <v>대한민국</v>
          </cell>
          <cell r="L200" t="str">
            <v>750505-1351123</v>
          </cell>
          <cell r="M200">
            <v>27519</v>
          </cell>
          <cell r="N200">
            <v>45</v>
          </cell>
          <cell r="O200" t="str">
            <v>남</v>
          </cell>
          <cell r="P200">
            <v>34804</v>
          </cell>
          <cell r="Q200" t="str">
            <v>대전광역시 중구  대전천서로 647-8  (중촌동)</v>
          </cell>
          <cell r="R200" t="str">
            <v>부</v>
          </cell>
          <cell r="S200" t="str">
            <v/>
          </cell>
          <cell r="T200" t="str">
            <v/>
          </cell>
          <cell r="U200" t="str">
            <v>010-7512-0505</v>
          </cell>
          <cell r="W200" t="str">
            <v>하나</v>
          </cell>
          <cell r="X200" t="str">
            <v>654-910313-30607</v>
          </cell>
          <cell r="Y200" t="str">
            <v>시급제</v>
          </cell>
          <cell r="Z200">
            <v>9110</v>
          </cell>
        </row>
        <row r="201">
          <cell r="A201">
            <v>200</v>
          </cell>
          <cell r="B201" t="str">
            <v>생산본부 생산팀 생산3파트</v>
          </cell>
          <cell r="D201" t="str">
            <v>기본</v>
          </cell>
          <cell r="E201" t="str">
            <v>현치용</v>
          </cell>
          <cell r="G201">
            <v>42401</v>
          </cell>
          <cell r="H201">
            <v>4</v>
          </cell>
          <cell r="J201" t="str">
            <v>내국인</v>
          </cell>
          <cell r="K201" t="str">
            <v>대한민국</v>
          </cell>
          <cell r="L201" t="str">
            <v>770620-1030424</v>
          </cell>
          <cell r="M201">
            <v>28296</v>
          </cell>
          <cell r="N201">
            <v>42</v>
          </cell>
          <cell r="O201" t="str">
            <v>남</v>
          </cell>
          <cell r="P201">
            <v>34190</v>
          </cell>
          <cell r="Q201" t="str">
            <v>대전광역시 유성구  봉명로 93  606동 1002호(봉명동, 도안6단지센트럴시티)</v>
          </cell>
          <cell r="R201" t="str">
            <v>부</v>
          </cell>
          <cell r="S201" t="str">
            <v/>
          </cell>
          <cell r="T201" t="str">
            <v/>
          </cell>
          <cell r="U201" t="str">
            <v>010-9763-0907</v>
          </cell>
          <cell r="W201" t="str">
            <v>하나</v>
          </cell>
          <cell r="X201" t="str">
            <v>636-202966-00108</v>
          </cell>
          <cell r="Y201" t="str">
            <v>시급제</v>
          </cell>
          <cell r="Z201">
            <v>9110</v>
          </cell>
        </row>
        <row r="202">
          <cell r="A202">
            <v>201</v>
          </cell>
          <cell r="B202" t="str">
            <v>생산본부 생산팀 생산3파트</v>
          </cell>
          <cell r="D202" t="str">
            <v>기본</v>
          </cell>
          <cell r="E202" t="str">
            <v>홍주영</v>
          </cell>
          <cell r="G202">
            <v>43605</v>
          </cell>
          <cell r="H202">
            <v>1</v>
          </cell>
          <cell r="J202" t="str">
            <v>내국인</v>
          </cell>
          <cell r="K202" t="str">
            <v>대한민국</v>
          </cell>
          <cell r="L202" t="str">
            <v>840507-1400911</v>
          </cell>
          <cell r="M202">
            <v>30809</v>
          </cell>
          <cell r="N202">
            <v>36</v>
          </cell>
          <cell r="O202" t="str">
            <v>남</v>
          </cell>
          <cell r="Q202" t="str">
            <v xml:space="preserve">대전광역시 서구 도산로341번길 89,201호 </v>
          </cell>
          <cell r="R202" t="str">
            <v>부</v>
          </cell>
          <cell r="S202" t="str">
            <v/>
          </cell>
          <cell r="T202" t="str">
            <v/>
          </cell>
          <cell r="U202" t="str">
            <v>010-2644-8597</v>
          </cell>
          <cell r="W202" t="str">
            <v>새마을</v>
          </cell>
          <cell r="X202" t="str">
            <v>3827-10-144189-7</v>
          </cell>
          <cell r="Y202" t="str">
            <v>시급제</v>
          </cell>
          <cell r="Z202">
            <v>9110</v>
          </cell>
        </row>
        <row r="203">
          <cell r="A203">
            <v>202</v>
          </cell>
          <cell r="B203" t="str">
            <v>생산본부 물류팀</v>
          </cell>
          <cell r="D203" t="str">
            <v>기본</v>
          </cell>
          <cell r="E203" t="str">
            <v>황인식</v>
          </cell>
          <cell r="F203">
            <v>43974</v>
          </cell>
          <cell r="G203">
            <v>43885</v>
          </cell>
          <cell r="H203">
            <v>0</v>
          </cell>
          <cell r="J203" t="str">
            <v>내국인</v>
          </cell>
          <cell r="K203" t="str">
            <v>대한민국</v>
          </cell>
          <cell r="L203" t="str">
            <v>890712-1449111</v>
          </cell>
          <cell r="M203">
            <v>32701</v>
          </cell>
          <cell r="N203">
            <v>30</v>
          </cell>
          <cell r="O203" t="str">
            <v>남</v>
          </cell>
          <cell r="Q203" t="str">
            <v>대전광역시 동구 대청호수로 315-26</v>
          </cell>
          <cell r="R203" t="str">
            <v>부</v>
          </cell>
          <cell r="U203" t="str">
            <v>010-6201-5556</v>
          </cell>
          <cell r="W203" t="str">
            <v>하나은행</v>
          </cell>
          <cell r="X203" t="str">
            <v>650-910260-59407</v>
          </cell>
          <cell r="Y203" t="str">
            <v>시급제</v>
          </cell>
          <cell r="Z203">
            <v>8940</v>
          </cell>
        </row>
        <row r="204">
          <cell r="A204">
            <v>203</v>
          </cell>
          <cell r="B204" t="str">
            <v>관리본부 경영지원팀</v>
          </cell>
          <cell r="D204" t="str">
            <v>사무직</v>
          </cell>
          <cell r="E204" t="str">
            <v>박새롬</v>
          </cell>
          <cell r="F204">
            <v>43983</v>
          </cell>
          <cell r="G204">
            <v>43892</v>
          </cell>
          <cell r="H204">
            <v>0</v>
          </cell>
          <cell r="J204" t="str">
            <v>내국인</v>
          </cell>
          <cell r="K204" t="str">
            <v>대한민국</v>
          </cell>
          <cell r="L204" t="str">
            <v>940624-2411419</v>
          </cell>
          <cell r="M204">
            <v>34509</v>
          </cell>
          <cell r="N204">
            <v>25</v>
          </cell>
          <cell r="O204" t="str">
            <v>여</v>
          </cell>
          <cell r="Q204" t="str">
            <v>대전 대덕구 남경마을로 22-6</v>
          </cell>
          <cell r="R204" t="str">
            <v>부</v>
          </cell>
          <cell r="U204" t="str">
            <v>010-4852-3760</v>
          </cell>
          <cell r="W204" t="str">
            <v>카카오</v>
          </cell>
          <cell r="X204" t="str">
            <v>3333-04-7810410</v>
          </cell>
          <cell r="Y204">
            <v>27800000</v>
          </cell>
          <cell r="AA204" t="str">
            <v>한남대학교</v>
          </cell>
        </row>
        <row r="205">
          <cell r="A205">
            <v>204</v>
          </cell>
          <cell r="B205" t="str">
            <v>생산본부 생산팀 생산1파트</v>
          </cell>
          <cell r="D205" t="str">
            <v>기본</v>
          </cell>
          <cell r="E205" t="str">
            <v>조정실</v>
          </cell>
          <cell r="F205">
            <v>43990</v>
          </cell>
          <cell r="G205">
            <v>43899</v>
          </cell>
          <cell r="H205">
            <v>0</v>
          </cell>
          <cell r="J205" t="str">
            <v>내국인</v>
          </cell>
          <cell r="K205" t="str">
            <v>대한민국</v>
          </cell>
          <cell r="L205" t="str">
            <v>740716-2410616</v>
          </cell>
          <cell r="M205">
            <v>27226</v>
          </cell>
          <cell r="N205">
            <v>45</v>
          </cell>
          <cell r="O205" t="str">
            <v>여</v>
          </cell>
          <cell r="Q205" t="str">
            <v>대전광역시 대덕구 덕암로125번안길 46,202호</v>
          </cell>
          <cell r="R205" t="str">
            <v>부</v>
          </cell>
          <cell r="U205" t="str">
            <v>010-3034-6625</v>
          </cell>
          <cell r="W205" t="str">
            <v>기업은행</v>
          </cell>
          <cell r="X205" t="str">
            <v>010-3034-6625</v>
          </cell>
          <cell r="Y205" t="str">
            <v>시급제</v>
          </cell>
          <cell r="Z205">
            <v>8590</v>
          </cell>
        </row>
        <row r="206">
          <cell r="A206">
            <v>205</v>
          </cell>
          <cell r="B206" t="str">
            <v>생산본부 생산팀 생산1파트</v>
          </cell>
          <cell r="D206" t="str">
            <v>기본</v>
          </cell>
          <cell r="E206" t="str">
            <v>김지순</v>
          </cell>
          <cell r="F206">
            <v>43990</v>
          </cell>
          <cell r="G206">
            <v>43899</v>
          </cell>
          <cell r="H206">
            <v>0</v>
          </cell>
          <cell r="J206" t="str">
            <v>내국인</v>
          </cell>
          <cell r="K206" t="str">
            <v>대한민국</v>
          </cell>
          <cell r="L206" t="str">
            <v>741110-2455318</v>
          </cell>
          <cell r="M206">
            <v>27343</v>
          </cell>
          <cell r="N206">
            <v>45</v>
          </cell>
          <cell r="O206" t="str">
            <v>여</v>
          </cell>
          <cell r="Q206" t="str">
            <v>대전 대덕구 벚꽃길 142 상서동 대창아파트 12동 404호</v>
          </cell>
          <cell r="R206" t="str">
            <v>부</v>
          </cell>
          <cell r="U206" t="str">
            <v>010-7156-5202</v>
          </cell>
          <cell r="W206" t="str">
            <v>농협</v>
          </cell>
          <cell r="X206" t="str">
            <v>302-0052-3787-11</v>
          </cell>
          <cell r="Y206" t="str">
            <v>시급제</v>
          </cell>
          <cell r="Z206">
            <v>8590</v>
          </cell>
        </row>
        <row r="207">
          <cell r="A207">
            <v>206</v>
          </cell>
          <cell r="B207" t="str">
            <v>영업본부 총판영업팀</v>
          </cell>
          <cell r="D207" t="str">
            <v>사무직</v>
          </cell>
          <cell r="E207" t="str">
            <v>김상우</v>
          </cell>
          <cell r="F207">
            <v>44007</v>
          </cell>
          <cell r="G207">
            <v>43916</v>
          </cell>
          <cell r="H207">
            <v>0</v>
          </cell>
          <cell r="J207" t="str">
            <v>내국인</v>
          </cell>
          <cell r="K207" t="str">
            <v>대한민국</v>
          </cell>
          <cell r="L207" t="str">
            <v>721120-1093519</v>
          </cell>
          <cell r="M207">
            <v>26623</v>
          </cell>
          <cell r="N207">
            <v>47</v>
          </cell>
          <cell r="Q207" t="str">
            <v>부산광역시 동래구 안남로,36  202동 503호</v>
          </cell>
          <cell r="U207" t="str">
            <v>010-6342-2582</v>
          </cell>
          <cell r="W207" t="str">
            <v>우리</v>
          </cell>
          <cell r="X207" t="str">
            <v>390 025077 12 001</v>
          </cell>
          <cell r="Y207">
            <v>50000000</v>
          </cell>
        </row>
        <row r="208">
          <cell r="A208">
            <v>207</v>
          </cell>
          <cell r="B208" t="str">
            <v>영업본부 총판영업팀</v>
          </cell>
          <cell r="D208" t="str">
            <v>사무직</v>
          </cell>
          <cell r="E208" t="str">
            <v>이용수</v>
          </cell>
          <cell r="F208">
            <v>44007</v>
          </cell>
          <cell r="G208">
            <v>43916</v>
          </cell>
          <cell r="H208">
            <v>0</v>
          </cell>
          <cell r="J208" t="str">
            <v>내국인</v>
          </cell>
          <cell r="K208" t="str">
            <v>대한민국</v>
          </cell>
          <cell r="L208" t="str">
            <v>730410-1930613</v>
          </cell>
          <cell r="M208">
            <v>26764</v>
          </cell>
          <cell r="N208">
            <v>47</v>
          </cell>
          <cell r="Q208" t="str">
            <v>부산광역시 부산진구 성지로 114번길 68, 1동 1802</v>
          </cell>
          <cell r="U208" t="str">
            <v>010-3524-9436</v>
          </cell>
          <cell r="W208" t="str">
            <v>농협</v>
          </cell>
          <cell r="X208" t="str">
            <v>747 02 035082</v>
          </cell>
          <cell r="Y208">
            <v>48000000</v>
          </cell>
        </row>
        <row r="209">
          <cell r="A209">
            <v>208</v>
          </cell>
          <cell r="B209" t="str">
            <v>생산본부 생산팀 생산1파트</v>
          </cell>
          <cell r="D209" t="str">
            <v>기본</v>
          </cell>
          <cell r="E209" t="str">
            <v>송희정</v>
          </cell>
          <cell r="F209">
            <v>44027</v>
          </cell>
          <cell r="G209">
            <v>43937</v>
          </cell>
          <cell r="H209">
            <v>0</v>
          </cell>
          <cell r="J209" t="str">
            <v>내국인</v>
          </cell>
          <cell r="K209" t="str">
            <v>대한민국</v>
          </cell>
          <cell r="L209" t="str">
            <v>750510-2451311</v>
          </cell>
          <cell r="M209">
            <v>27524</v>
          </cell>
          <cell r="N209">
            <v>45</v>
          </cell>
          <cell r="Q209" t="str">
            <v>대전광역시 유성구 송강 한솔아파트 201동 1402호</v>
          </cell>
          <cell r="W209" t="str">
            <v>하나</v>
          </cell>
          <cell r="X209" t="str">
            <v>646-9100698-09807</v>
          </cell>
          <cell r="Z209">
            <v>8590</v>
          </cell>
        </row>
        <row r="210">
          <cell r="A210">
            <v>209</v>
          </cell>
          <cell r="B210" t="str">
            <v>관리본부 경영지원팀</v>
          </cell>
          <cell r="D210" t="str">
            <v>사무직</v>
          </cell>
          <cell r="E210" t="str">
            <v>남승찬</v>
          </cell>
          <cell r="F210">
            <v>44024</v>
          </cell>
          <cell r="G210">
            <v>43934</v>
          </cell>
          <cell r="H210">
            <v>0</v>
          </cell>
          <cell r="J210" t="str">
            <v>내국인</v>
          </cell>
          <cell r="K210" t="str">
            <v>대한민국</v>
          </cell>
          <cell r="L210" t="str">
            <v>860126-1406218</v>
          </cell>
          <cell r="M210">
            <v>31438</v>
          </cell>
          <cell r="N210">
            <v>34</v>
          </cell>
          <cell r="Q210" t="str">
            <v>대전광역시 서구 구봉산북로 165,308동 304호</v>
          </cell>
          <cell r="U210" t="str">
            <v>010-5059-2028</v>
          </cell>
          <cell r="W210" t="str">
            <v>하나</v>
          </cell>
          <cell r="X210" t="str">
            <v>646-910698-09807</v>
          </cell>
        </row>
        <row r="211">
          <cell r="A211">
            <v>210</v>
          </cell>
          <cell r="B211" t="str">
            <v>영업본부 영업전략팀</v>
          </cell>
          <cell r="D211" t="str">
            <v>사무식</v>
          </cell>
          <cell r="E211" t="str">
            <v>정경상</v>
          </cell>
          <cell r="F211">
            <v>44038</v>
          </cell>
          <cell r="G211">
            <v>43948</v>
          </cell>
          <cell r="H211">
            <v>0</v>
          </cell>
          <cell r="J211" t="str">
            <v>내국인</v>
          </cell>
          <cell r="K211" t="str">
            <v>대한민국</v>
          </cell>
          <cell r="L211" t="str">
            <v>771204-1783810</v>
          </cell>
          <cell r="M211">
            <v>28463</v>
          </cell>
          <cell r="N211">
            <v>42</v>
          </cell>
          <cell r="Q211" t="str">
            <v>세종시 반곡동 수루배마을 3단지 318동 903호</v>
          </cell>
          <cell r="U211" t="str">
            <v>010-9216-8634</v>
          </cell>
          <cell r="W211" t="str">
            <v>우리</v>
          </cell>
          <cell r="X211" t="str">
            <v>1002-544-45589</v>
          </cell>
          <cell r="Y211">
            <v>45000000</v>
          </cell>
        </row>
        <row r="212">
          <cell r="A212">
            <v>211</v>
          </cell>
          <cell r="B212" t="str">
            <v>생산본부 물류팀</v>
          </cell>
          <cell r="D212" t="str">
            <v>기본</v>
          </cell>
          <cell r="E212" t="str">
            <v>이현준</v>
          </cell>
          <cell r="F212">
            <v>44031</v>
          </cell>
          <cell r="G212">
            <v>43941</v>
          </cell>
          <cell r="H212">
            <v>0</v>
          </cell>
          <cell r="J212" t="str">
            <v>내국인</v>
          </cell>
          <cell r="K212" t="str">
            <v>대한민국</v>
          </cell>
          <cell r="L212" t="str">
            <v>960909-1458111</v>
          </cell>
          <cell r="M212">
            <v>35317</v>
          </cell>
          <cell r="N212">
            <v>23</v>
          </cell>
          <cell r="Q212" t="str">
            <v>대전 동구 자양동 95-37 우리집빌라 102호</v>
          </cell>
          <cell r="U212" t="str">
            <v>010-9931-8144</v>
          </cell>
          <cell r="W212" t="str">
            <v>농협</v>
          </cell>
          <cell r="X212" t="str">
            <v>352-0662-8753-33</v>
          </cell>
          <cell r="Z212">
            <v>8940</v>
          </cell>
        </row>
        <row r="213">
          <cell r="A213">
            <v>241</v>
          </cell>
          <cell r="B213" t="str">
            <v>생산본부 물류팀</v>
          </cell>
          <cell r="D213" t="str">
            <v>기본</v>
          </cell>
          <cell r="E213" t="str">
            <v>이병학</v>
          </cell>
          <cell r="F213">
            <v>44048</v>
          </cell>
          <cell r="G213">
            <v>43957</v>
          </cell>
          <cell r="H213">
            <v>0</v>
          </cell>
          <cell r="J213" t="str">
            <v>내국인</v>
          </cell>
          <cell r="K213" t="str">
            <v>대한민국</v>
          </cell>
          <cell r="L213" t="str">
            <v>880118-1408210</v>
          </cell>
          <cell r="M213">
            <v>32160</v>
          </cell>
          <cell r="N213">
            <v>32</v>
          </cell>
          <cell r="Q213" t="str">
            <v>대전 서구 동서대로1014번길26 4동 505호</v>
          </cell>
          <cell r="U213" t="str">
            <v xml:space="preserve">010-3902-4649 </v>
          </cell>
          <cell r="W213" t="str">
            <v>국민</v>
          </cell>
          <cell r="X213" t="str">
            <v>991502-01-097981</v>
          </cell>
        </row>
        <row r="214">
          <cell r="A214">
            <v>242</v>
          </cell>
          <cell r="B214" t="str">
            <v>생산본부 생산팀 생산1파트</v>
          </cell>
          <cell r="D214" t="str">
            <v>기본</v>
          </cell>
          <cell r="E214" t="str">
            <v>김명섭</v>
          </cell>
          <cell r="F214">
            <v>44064</v>
          </cell>
          <cell r="G214">
            <v>43973</v>
          </cell>
          <cell r="H214">
            <v>0</v>
          </cell>
          <cell r="J214" t="str">
            <v>내국인</v>
          </cell>
          <cell r="K214" t="str">
            <v>대한민국</v>
          </cell>
          <cell r="L214" t="str">
            <v>830312-1400919</v>
          </cell>
          <cell r="M214">
            <v>30387</v>
          </cell>
          <cell r="N214">
            <v>37</v>
          </cell>
          <cell r="Q214" t="str">
            <v>대전광역시 동구 게족로 413-23 301호</v>
          </cell>
          <cell r="W214" t="str">
            <v>하나</v>
          </cell>
          <cell r="X214" t="str">
            <v>646-910824-82207</v>
          </cell>
          <cell r="Z214">
            <v>8940</v>
          </cell>
        </row>
        <row r="215">
          <cell r="A215">
            <v>242</v>
          </cell>
          <cell r="B215" t="str">
            <v>영업본부 해외영업팀</v>
          </cell>
          <cell r="D215" t="str">
            <v>기본</v>
          </cell>
          <cell r="E215" t="str">
            <v>김용민</v>
          </cell>
          <cell r="F215">
            <v>44067</v>
          </cell>
          <cell r="G215">
            <v>43976</v>
          </cell>
          <cell r="H215">
            <v>0</v>
          </cell>
          <cell r="J215" t="str">
            <v>내국인</v>
          </cell>
          <cell r="K215" t="str">
            <v>대한민국</v>
          </cell>
          <cell r="L215" t="str">
            <v>830814-1169517</v>
          </cell>
          <cell r="M215">
            <v>30542</v>
          </cell>
          <cell r="N215">
            <v>36</v>
          </cell>
          <cell r="Q215" t="str">
            <v>대전 유성구 문화원로 118-1 에이스타운2 906호</v>
          </cell>
          <cell r="U215" t="str">
            <v>010-9247-4199</v>
          </cell>
          <cell r="W215" t="str">
            <v>우리</v>
          </cell>
          <cell r="X215" t="str">
            <v>805-68806-02-001</v>
          </cell>
          <cell r="Y215">
            <v>32000000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재무현황"/>
      <sheetName val="인력현황(입력)"/>
      <sheetName val="인력현황(분석)"/>
      <sheetName val="장년고용"/>
      <sheetName val="장년고용 (2)"/>
      <sheetName val="payband1"/>
      <sheetName val="payband2"/>
      <sheetName val="베이시스_페이밴드"/>
      <sheetName val="베이시스_페이밴드 (2)"/>
      <sheetName val="베이시스_페이밴드 (3)"/>
      <sheetName val="산업별 data"/>
      <sheetName val="(V1)자가진단 입력"/>
      <sheetName val="(V1) 전체 영역 분석"/>
      <sheetName val="(V1) 특정 영역 분석"/>
      <sheetName val="(V2) 체크리스트 입력 및 분석"/>
      <sheetName val="노무리스크 게이지"/>
      <sheetName val="페이밴드_양식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4">
          <cell r="C4">
            <v>1</v>
          </cell>
        </row>
        <row r="5">
          <cell r="C5">
            <v>1</v>
          </cell>
        </row>
        <row r="6">
          <cell r="C6">
            <v>1</v>
          </cell>
        </row>
        <row r="7">
          <cell r="C7">
            <v>1</v>
          </cell>
        </row>
        <row r="8">
          <cell r="C8">
            <v>2</v>
          </cell>
        </row>
        <row r="9">
          <cell r="C9">
            <v>2</v>
          </cell>
        </row>
        <row r="10">
          <cell r="C10">
            <v>2</v>
          </cell>
        </row>
        <row r="11">
          <cell r="C11">
            <v>3</v>
          </cell>
        </row>
        <row r="12">
          <cell r="C12">
            <v>3</v>
          </cell>
        </row>
        <row r="13">
          <cell r="C13">
            <v>3</v>
          </cell>
        </row>
        <row r="14">
          <cell r="C14">
            <v>4</v>
          </cell>
        </row>
        <row r="15">
          <cell r="C15">
            <v>3</v>
          </cell>
        </row>
        <row r="16">
          <cell r="C16">
            <v>4</v>
          </cell>
        </row>
        <row r="17">
          <cell r="C17">
            <v>3</v>
          </cell>
        </row>
        <row r="18">
          <cell r="C18">
            <v>5</v>
          </cell>
        </row>
        <row r="19">
          <cell r="C19">
            <v>3</v>
          </cell>
        </row>
        <row r="20">
          <cell r="C20">
            <v>5</v>
          </cell>
        </row>
        <row r="21">
          <cell r="C21">
            <v>5</v>
          </cell>
        </row>
        <row r="22">
          <cell r="C22">
            <v>5</v>
          </cell>
        </row>
        <row r="23">
          <cell r="C23">
            <v>5</v>
          </cell>
        </row>
        <row r="24">
          <cell r="C24">
            <v>4</v>
          </cell>
        </row>
        <row r="25">
          <cell r="C25">
            <v>5</v>
          </cell>
        </row>
        <row r="26">
          <cell r="C26">
            <v>5</v>
          </cell>
        </row>
        <row r="27">
          <cell r="C27">
            <v>5</v>
          </cell>
        </row>
        <row r="28">
          <cell r="C28">
            <v>6</v>
          </cell>
        </row>
        <row r="29">
          <cell r="C29">
            <v>6</v>
          </cell>
        </row>
        <row r="30">
          <cell r="C30">
            <v>5</v>
          </cell>
        </row>
        <row r="31">
          <cell r="C31">
            <v>5</v>
          </cell>
        </row>
        <row r="32">
          <cell r="C32">
            <v>6</v>
          </cell>
        </row>
        <row r="33">
          <cell r="C33">
            <v>6</v>
          </cell>
        </row>
        <row r="34">
          <cell r="C34">
            <v>5</v>
          </cell>
        </row>
        <row r="35">
          <cell r="C35">
            <v>6</v>
          </cell>
        </row>
        <row r="36">
          <cell r="C36">
            <v>6</v>
          </cell>
        </row>
        <row r="37">
          <cell r="C37">
            <v>6</v>
          </cell>
        </row>
        <row r="38">
          <cell r="C38">
            <v>6</v>
          </cell>
        </row>
        <row r="39">
          <cell r="C39">
            <v>6</v>
          </cell>
        </row>
        <row r="40">
          <cell r="C40">
            <v>6</v>
          </cell>
        </row>
        <row r="41">
          <cell r="C41">
            <v>6</v>
          </cell>
        </row>
        <row r="42">
          <cell r="C42">
            <v>6</v>
          </cell>
        </row>
        <row r="43">
          <cell r="C43">
            <v>6</v>
          </cell>
        </row>
        <row r="44">
          <cell r="C44">
            <v>6</v>
          </cell>
        </row>
        <row r="45">
          <cell r="C45">
            <v>6</v>
          </cell>
        </row>
        <row r="46">
          <cell r="C46">
            <v>6</v>
          </cell>
        </row>
        <row r="47">
          <cell r="C47">
            <v>6</v>
          </cell>
        </row>
        <row r="48">
          <cell r="C48">
            <v>5</v>
          </cell>
        </row>
        <row r="49">
          <cell r="C49">
            <v>5</v>
          </cell>
        </row>
        <row r="50">
          <cell r="C50">
            <v>5</v>
          </cell>
        </row>
        <row r="51">
          <cell r="C51">
            <v>5</v>
          </cell>
        </row>
        <row r="52">
          <cell r="C52">
            <v>6</v>
          </cell>
        </row>
        <row r="53">
          <cell r="C53">
            <v>6</v>
          </cell>
        </row>
        <row r="54">
          <cell r="C54">
            <v>6</v>
          </cell>
        </row>
        <row r="55">
          <cell r="C55">
            <v>5</v>
          </cell>
        </row>
      </sheetData>
      <sheetData sheetId="6">
        <row r="2">
          <cell r="E2" t="str">
            <v>연봉</v>
          </cell>
        </row>
      </sheetData>
      <sheetData sheetId="7" refreshError="1"/>
      <sheetData sheetId="8">
        <row r="18">
          <cell r="H18" t="str">
            <v>사원</v>
          </cell>
        </row>
      </sheetData>
      <sheetData sheetId="9">
        <row r="18">
          <cell r="H18" t="str">
            <v>사원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나눔고딕">
    <a:majorFont>
      <a:latin typeface="나눔고딕 ExtraBold"/>
      <a:ea typeface="나눔고딕 ExtraBold"/>
      <a:cs typeface=""/>
    </a:majorFont>
    <a:minorFont>
      <a:latin typeface="나눔고딕"/>
      <a:ea typeface="나눔고딕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나눔고딕">
    <a:majorFont>
      <a:latin typeface="나눔고딕 ExtraBold"/>
      <a:ea typeface="나눔고딕 ExtraBold"/>
      <a:cs typeface=""/>
    </a:majorFont>
    <a:minorFont>
      <a:latin typeface="나눔고딕"/>
      <a:ea typeface="나눔고딕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나눔고딕">
    <a:majorFont>
      <a:latin typeface="나눔고딕 ExtraBold"/>
      <a:ea typeface="나눔고딕 ExtraBold"/>
      <a:cs typeface=""/>
    </a:majorFont>
    <a:minorFont>
      <a:latin typeface="나눔고딕"/>
      <a:ea typeface="나눔고딕"/>
      <a:cs typeface=""/>
    </a:minorFont>
  </a:fontScheme>
  <a:fmtScheme name="Office 테마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C2E1BB-7401-4564-BFE8-E394EEEDC316}">
  <we:reference id="wa200009404" version="1.0.0.5" store="ko-KR" storeType="OMEX"/>
  <we:alternateReferences>
    <we:reference id="WA200009404" version="1.0.0.5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0795-607D-4493-B3EB-563E75575E58}">
  <sheetPr>
    <tabColor theme="0" tint="-4.9989318521683403E-2"/>
  </sheetPr>
  <dimension ref="A1:AL79"/>
  <sheetViews>
    <sheetView tabSelected="1" zoomScale="70" zoomScaleNormal="70" workbookViewId="0">
      <selection activeCell="L3" sqref="L3"/>
    </sheetView>
  </sheetViews>
  <sheetFormatPr defaultColWidth="9" defaultRowHeight="13.9" x14ac:dyDescent="0.6"/>
  <cols>
    <col min="1" max="1" width="4.5625" style="1" bestFit="1" customWidth="1"/>
    <col min="2" max="7" width="12.25" style="1" customWidth="1"/>
    <col min="8" max="8" width="12.25" style="3" customWidth="1"/>
    <col min="9" max="9" width="12.25" style="1" customWidth="1"/>
    <col min="10" max="10" width="5.625" style="1" customWidth="1"/>
    <col min="11" max="18" width="12" style="1" customWidth="1"/>
    <col min="19" max="19" width="13.375" style="1" bestFit="1" customWidth="1"/>
    <col min="20" max="21" width="12" style="1" customWidth="1"/>
    <col min="22" max="22" width="22.4375" style="1" bestFit="1" customWidth="1"/>
    <col min="23" max="28" width="14.5" style="1" customWidth="1"/>
    <col min="29" max="29" width="5.625" style="1" customWidth="1"/>
    <col min="30" max="30" width="16.25" style="1" customWidth="1"/>
    <col min="31" max="38" width="15.25" style="1" customWidth="1"/>
    <col min="39" max="16384" width="9" style="1"/>
  </cols>
  <sheetData>
    <row r="1" spans="1:38" ht="15.75" x14ac:dyDescent="0.6">
      <c r="A1" s="32" t="s">
        <v>104</v>
      </c>
      <c r="B1" s="33"/>
      <c r="C1" s="33"/>
      <c r="D1" s="33"/>
      <c r="E1" s="33"/>
      <c r="F1" s="33"/>
      <c r="G1" s="33"/>
      <c r="H1" s="33"/>
      <c r="I1" s="33"/>
      <c r="K1" s="34" t="s">
        <v>105</v>
      </c>
      <c r="L1" s="35"/>
      <c r="M1" s="35"/>
      <c r="N1" s="35"/>
      <c r="O1" s="35"/>
      <c r="P1" s="35"/>
      <c r="Q1" s="35"/>
      <c r="R1" s="35"/>
      <c r="S1" s="35"/>
      <c r="T1" s="35"/>
    </row>
    <row r="2" spans="1:38" ht="15.75" x14ac:dyDescent="0.6">
      <c r="A2" s="8" t="s">
        <v>83</v>
      </c>
      <c r="B2" s="8" t="s">
        <v>68</v>
      </c>
      <c r="C2" s="8" t="s">
        <v>69</v>
      </c>
      <c r="D2" s="8" t="s">
        <v>70</v>
      </c>
      <c r="E2" s="8" t="s">
        <v>87</v>
      </c>
      <c r="F2" s="8" t="s">
        <v>92</v>
      </c>
      <c r="G2" s="8" t="s">
        <v>132</v>
      </c>
      <c r="H2" s="8" t="s">
        <v>94</v>
      </c>
      <c r="I2" s="8" t="s">
        <v>93</v>
      </c>
      <c r="K2" s="8" t="s">
        <v>95</v>
      </c>
      <c r="L2" s="8" t="s">
        <v>97</v>
      </c>
      <c r="M2" s="8" t="s">
        <v>96</v>
      </c>
      <c r="N2" s="8" t="s">
        <v>98</v>
      </c>
      <c r="O2" s="8" t="s">
        <v>99</v>
      </c>
      <c r="P2" s="8" t="s">
        <v>133</v>
      </c>
      <c r="Q2" s="8" t="s">
        <v>132</v>
      </c>
      <c r="R2" s="8" t="s">
        <v>100</v>
      </c>
      <c r="S2" s="8" t="s">
        <v>101</v>
      </c>
      <c r="T2" s="8" t="s">
        <v>103</v>
      </c>
      <c r="V2" s="36" t="s">
        <v>129</v>
      </c>
      <c r="W2" s="37"/>
      <c r="X2" s="37"/>
      <c r="Y2" s="37"/>
      <c r="Z2" s="37"/>
      <c r="AA2" s="37"/>
      <c r="AB2" s="38"/>
      <c r="AD2" s="73" t="s">
        <v>128</v>
      </c>
      <c r="AE2" s="74"/>
      <c r="AF2" s="74"/>
      <c r="AG2" s="74"/>
      <c r="AH2" s="74"/>
      <c r="AI2" s="74"/>
      <c r="AJ2" s="74"/>
      <c r="AK2" s="74"/>
      <c r="AL2" s="75"/>
    </row>
    <row r="3" spans="1:38" ht="15.75" x14ac:dyDescent="0.6">
      <c r="A3" s="9">
        <v>1</v>
      </c>
      <c r="B3" s="16" t="s">
        <v>34</v>
      </c>
      <c r="C3" s="16" t="s">
        <v>78</v>
      </c>
      <c r="D3" s="16" t="s">
        <v>71</v>
      </c>
      <c r="E3" s="17" t="s">
        <v>88</v>
      </c>
      <c r="F3" s="16" t="s">
        <v>33</v>
      </c>
      <c r="G3" s="16">
        <v>6</v>
      </c>
      <c r="H3" s="18">
        <v>72500000</v>
      </c>
      <c r="I3" s="19"/>
      <c r="K3" s="21">
        <v>0.02</v>
      </c>
      <c r="L3" s="22" t="s">
        <v>111</v>
      </c>
      <c r="M3" s="6" cm="1">
        <f t="array" ref="M3">IF(L3="","",_xlfn.IFS(L3="S",0.04,L3="A",0.03,L3="B",0.02,L3="C",0.01,L3="D",0,TRUE,""))</f>
        <v>0.02</v>
      </c>
      <c r="N3" s="22" t="s">
        <v>102</v>
      </c>
      <c r="O3" s="6" cm="1">
        <f t="array" ref="O3">IF(N3="","",_xlfn.IFS(N3="Y",0.01,N3="N",0,TRUE,""))</f>
        <v>0</v>
      </c>
      <c r="P3" s="16" t="s">
        <v>33</v>
      </c>
      <c r="Q3" s="16">
        <v>6</v>
      </c>
      <c r="R3" s="6">
        <f>K3+M3+O3</f>
        <v>0.04</v>
      </c>
      <c r="S3" s="7">
        <f>IF(R3="","",ROUND(H3*(1+R3),-4))</f>
        <v>75400000</v>
      </c>
      <c r="T3" s="22"/>
      <c r="V3" s="8" t="s">
        <v>3</v>
      </c>
      <c r="W3" s="8" t="s">
        <v>106</v>
      </c>
      <c r="X3" s="8" t="s">
        <v>112</v>
      </c>
      <c r="Y3" s="8" t="s">
        <v>107</v>
      </c>
      <c r="Z3" s="8" t="s">
        <v>108</v>
      </c>
      <c r="AA3" s="8" t="s">
        <v>109</v>
      </c>
      <c r="AB3" s="8" t="s">
        <v>110</v>
      </c>
    </row>
    <row r="4" spans="1:38" ht="15.75" x14ac:dyDescent="0.6">
      <c r="A4" s="9">
        <v>2</v>
      </c>
      <c r="B4" s="16" t="s">
        <v>35</v>
      </c>
      <c r="C4" s="16" t="s">
        <v>79</v>
      </c>
      <c r="D4" s="16" t="s">
        <v>72</v>
      </c>
      <c r="E4" s="17" t="s">
        <v>89</v>
      </c>
      <c r="F4" s="16" t="s">
        <v>33</v>
      </c>
      <c r="G4" s="16">
        <v>6</v>
      </c>
      <c r="H4" s="18">
        <v>68870000</v>
      </c>
      <c r="I4" s="19"/>
      <c r="K4" s="21">
        <v>0.02</v>
      </c>
      <c r="L4" s="22" t="s">
        <v>111</v>
      </c>
      <c r="M4" s="6" cm="1">
        <f t="array" ref="M4">IF(L4="","",_xlfn.IFS(L4="S",0.04,L4="A",0.03,L4="B",0.02,L4="C",0.01,L4="D",0,TRUE,""))</f>
        <v>0.02</v>
      </c>
      <c r="N4" s="22" t="s">
        <v>102</v>
      </c>
      <c r="O4" s="6" cm="1">
        <f t="array" ref="O4">IF(N4="","",_xlfn.IFS(N4="Y",0.01,N4="N",0,TRUE,""))</f>
        <v>0</v>
      </c>
      <c r="P4" s="16" t="s">
        <v>33</v>
      </c>
      <c r="Q4" s="16">
        <v>6</v>
      </c>
      <c r="R4" s="6">
        <f t="shared" ref="R4:R36" si="0">K4+M4+O4</f>
        <v>0.04</v>
      </c>
      <c r="S4" s="7">
        <f t="shared" ref="S4:S49" si="1">IF(R4="","",ROUND(H4*(1+R4),-4))</f>
        <v>71620000</v>
      </c>
      <c r="T4" s="22"/>
      <c r="V4" s="59" t="s">
        <v>6</v>
      </c>
      <c r="W4" s="5">
        <v>44000000</v>
      </c>
      <c r="X4" s="5">
        <v>49000000</v>
      </c>
      <c r="Y4" s="5">
        <v>57000000</v>
      </c>
      <c r="Z4" s="5">
        <v>66000000</v>
      </c>
      <c r="AA4" s="5">
        <v>73000000</v>
      </c>
      <c r="AB4" s="5">
        <v>80000000</v>
      </c>
    </row>
    <row r="5" spans="1:38" ht="15.75" x14ac:dyDescent="0.6">
      <c r="A5" s="9">
        <v>3</v>
      </c>
      <c r="B5" s="16" t="s">
        <v>36</v>
      </c>
      <c r="C5" s="16" t="s">
        <v>80</v>
      </c>
      <c r="D5" s="16" t="s">
        <v>73</v>
      </c>
      <c r="E5" s="17" t="s">
        <v>89</v>
      </c>
      <c r="F5" s="16" t="s">
        <v>33</v>
      </c>
      <c r="G5" s="16">
        <v>6</v>
      </c>
      <c r="H5" s="18">
        <v>67500000</v>
      </c>
      <c r="I5" s="19"/>
      <c r="K5" s="21">
        <v>0.02</v>
      </c>
      <c r="L5" s="22" t="s">
        <v>111</v>
      </c>
      <c r="M5" s="6" cm="1">
        <f t="array" ref="M5">IF(L5="","",_xlfn.IFS(L5="S",0.04,L5="A",0.03,L5="B",0.02,L5="C",0.01,L5="D",0,TRUE,""))</f>
        <v>0.02</v>
      </c>
      <c r="N5" s="22" t="s">
        <v>102</v>
      </c>
      <c r="O5" s="6" cm="1">
        <f t="array" ref="O5">IF(N5="","",_xlfn.IFS(N5="Y",0.01,N5="N",0,TRUE,""))</f>
        <v>0</v>
      </c>
      <c r="P5" s="16" t="s">
        <v>33</v>
      </c>
      <c r="Q5" s="16">
        <v>6</v>
      </c>
      <c r="R5" s="6">
        <f t="shared" si="0"/>
        <v>0.04</v>
      </c>
      <c r="S5" s="7">
        <f t="shared" si="1"/>
        <v>70200000</v>
      </c>
      <c r="T5" s="22"/>
      <c r="V5" s="59" t="s">
        <v>7</v>
      </c>
      <c r="W5" s="5">
        <v>33000000</v>
      </c>
      <c r="X5" s="5">
        <v>36000000</v>
      </c>
      <c r="Y5" s="5">
        <v>42000000</v>
      </c>
      <c r="Z5" s="5">
        <v>49000000</v>
      </c>
      <c r="AA5" s="5">
        <v>53000000</v>
      </c>
      <c r="AB5" s="5">
        <v>58000000</v>
      </c>
    </row>
    <row r="6" spans="1:38" ht="15.75" x14ac:dyDescent="0.6">
      <c r="A6" s="9">
        <v>4</v>
      </c>
      <c r="B6" s="16" t="s">
        <v>37</v>
      </c>
      <c r="C6" s="16" t="s">
        <v>81</v>
      </c>
      <c r="D6" s="16" t="s">
        <v>74</v>
      </c>
      <c r="E6" s="17" t="s">
        <v>90</v>
      </c>
      <c r="F6" s="16" t="s">
        <v>33</v>
      </c>
      <c r="G6" s="16">
        <v>6</v>
      </c>
      <c r="H6" s="18">
        <v>64530000</v>
      </c>
      <c r="I6" s="19"/>
      <c r="K6" s="21">
        <v>0.02</v>
      </c>
      <c r="L6" s="22" t="s">
        <v>111</v>
      </c>
      <c r="M6" s="6" cm="1">
        <f t="array" ref="M6">IF(L6="","",_xlfn.IFS(L6="S",0.04,L6="A",0.03,L6="B",0.02,L6="C",0.01,L6="D",0,TRUE,""))</f>
        <v>0.02</v>
      </c>
      <c r="N6" s="22" t="s">
        <v>102</v>
      </c>
      <c r="O6" s="6" cm="1">
        <f t="array" ref="O6">IF(N6="","",_xlfn.IFS(N6="Y",0.01,N6="N",0,TRUE,""))</f>
        <v>0</v>
      </c>
      <c r="P6" s="16" t="s">
        <v>33</v>
      </c>
      <c r="Q6" s="16">
        <v>6</v>
      </c>
      <c r="R6" s="6">
        <f t="shared" si="0"/>
        <v>0.04</v>
      </c>
      <c r="S6" s="7">
        <f t="shared" si="1"/>
        <v>67110000</v>
      </c>
      <c r="T6" s="22"/>
      <c r="V6" s="59" t="s">
        <v>113</v>
      </c>
      <c r="W6" s="5">
        <v>5500000</v>
      </c>
      <c r="X6" s="5">
        <v>6500000</v>
      </c>
      <c r="Y6" s="5">
        <v>7500000</v>
      </c>
      <c r="Z6" s="5">
        <v>8500000</v>
      </c>
      <c r="AA6" s="5">
        <v>10000000</v>
      </c>
      <c r="AB6" s="5">
        <v>11000000</v>
      </c>
    </row>
    <row r="7" spans="1:38" ht="15.75" x14ac:dyDescent="0.6">
      <c r="A7" s="9">
        <v>5</v>
      </c>
      <c r="B7" s="16" t="s">
        <v>38</v>
      </c>
      <c r="C7" s="16" t="s">
        <v>81</v>
      </c>
      <c r="D7" s="16" t="s">
        <v>74</v>
      </c>
      <c r="E7" s="17" t="s">
        <v>90</v>
      </c>
      <c r="F7" s="16" t="s">
        <v>33</v>
      </c>
      <c r="G7" s="16">
        <v>6</v>
      </c>
      <c r="H7" s="18">
        <v>65180000</v>
      </c>
      <c r="I7" s="19"/>
      <c r="K7" s="21">
        <v>0.02</v>
      </c>
      <c r="L7" s="22" t="s">
        <v>111</v>
      </c>
      <c r="M7" s="6" cm="1">
        <f t="array" ref="M7">IF(L7="","",_xlfn.IFS(L7="S",0.04,L7="A",0.03,L7="B",0.02,L7="C",0.01,L7="D",0,TRUE,""))</f>
        <v>0.02</v>
      </c>
      <c r="N7" s="22" t="s">
        <v>102</v>
      </c>
      <c r="O7" s="6" cm="1">
        <f t="array" ref="O7">IF(N7="","",_xlfn.IFS(N7="Y",0.01,N7="N",0,TRUE,""))</f>
        <v>0</v>
      </c>
      <c r="P7" s="16" t="s">
        <v>33</v>
      </c>
      <c r="Q7" s="16">
        <v>6</v>
      </c>
      <c r="R7" s="6">
        <f t="shared" si="0"/>
        <v>0.04</v>
      </c>
      <c r="S7" s="7">
        <f t="shared" si="1"/>
        <v>67790000</v>
      </c>
      <c r="T7" s="22"/>
      <c r="V7" s="59" t="s">
        <v>114</v>
      </c>
      <c r="W7" s="5">
        <v>5500000</v>
      </c>
      <c r="X7" s="5">
        <v>6500000</v>
      </c>
      <c r="Y7" s="5">
        <v>7500000</v>
      </c>
      <c r="Z7" s="5">
        <v>8500000</v>
      </c>
      <c r="AA7" s="5">
        <v>10000000</v>
      </c>
      <c r="AB7" s="5">
        <v>11000000</v>
      </c>
    </row>
    <row r="8" spans="1:38" ht="15.75" x14ac:dyDescent="0.6">
      <c r="A8" s="9">
        <v>6</v>
      </c>
      <c r="B8" s="16" t="s">
        <v>39</v>
      </c>
      <c r="C8" s="16" t="s">
        <v>81</v>
      </c>
      <c r="D8" s="16" t="s">
        <v>74</v>
      </c>
      <c r="E8" s="17" t="s">
        <v>90</v>
      </c>
      <c r="F8" s="16" t="s">
        <v>33</v>
      </c>
      <c r="G8" s="16">
        <v>6</v>
      </c>
      <c r="H8" s="18">
        <v>62000000</v>
      </c>
      <c r="I8" s="19"/>
      <c r="K8" s="21">
        <v>0.02</v>
      </c>
      <c r="L8" s="22" t="s">
        <v>111</v>
      </c>
      <c r="M8" s="6" cm="1">
        <f t="array" ref="M8">IF(L8="","",_xlfn.IFS(L8="S",0.04,L8="A",0.03,L8="B",0.02,L8="C",0.01,L8="D",0,TRUE,""))</f>
        <v>0.02</v>
      </c>
      <c r="N8" s="22" t="s">
        <v>102</v>
      </c>
      <c r="O8" s="6" cm="1">
        <f t="array" ref="O8">IF(N8="","",_xlfn.IFS(N8="Y",0.01,N8="N",0,TRUE,""))</f>
        <v>0</v>
      </c>
      <c r="P8" s="16" t="s">
        <v>33</v>
      </c>
      <c r="Q8" s="16">
        <v>6</v>
      </c>
      <c r="R8" s="6">
        <f t="shared" si="0"/>
        <v>0.04</v>
      </c>
      <c r="S8" s="7">
        <f t="shared" si="1"/>
        <v>64480000</v>
      </c>
      <c r="T8" s="22"/>
      <c r="V8" s="59" t="s">
        <v>10</v>
      </c>
      <c r="W8" s="5">
        <v>38500000</v>
      </c>
      <c r="X8" s="5">
        <v>42500000</v>
      </c>
      <c r="Y8" s="5">
        <v>49500000</v>
      </c>
      <c r="Z8" s="5">
        <v>57500000</v>
      </c>
      <c r="AA8" s="5">
        <v>63000000</v>
      </c>
      <c r="AB8" s="5">
        <v>69000000</v>
      </c>
    </row>
    <row r="9" spans="1:38" ht="15.75" x14ac:dyDescent="0.6">
      <c r="A9" s="9">
        <v>7</v>
      </c>
      <c r="B9" s="16" t="s">
        <v>40</v>
      </c>
      <c r="C9" s="16" t="s">
        <v>82</v>
      </c>
      <c r="D9" s="16" t="s">
        <v>75</v>
      </c>
      <c r="E9" s="17" t="s">
        <v>2</v>
      </c>
      <c r="F9" s="16" t="s">
        <v>32</v>
      </c>
      <c r="G9" s="16">
        <v>5</v>
      </c>
      <c r="H9" s="18">
        <v>59700000</v>
      </c>
      <c r="I9" s="19"/>
      <c r="K9" s="21">
        <v>0.02</v>
      </c>
      <c r="L9" s="22" t="s">
        <v>111</v>
      </c>
      <c r="M9" s="6" cm="1">
        <f t="array" ref="M9">IF(L9="","",_xlfn.IFS(L9="S",0.04,L9="A",0.03,L9="B",0.02,L9="C",0.01,L9="D",0,TRUE,""))</f>
        <v>0.02</v>
      </c>
      <c r="N9" s="22" t="s">
        <v>102</v>
      </c>
      <c r="O9" s="6" cm="1">
        <f t="array" ref="O9">IF(N9="","",_xlfn.IFS(N9="Y",0.01,N9="N",0,TRUE,""))</f>
        <v>0</v>
      </c>
      <c r="P9" s="16" t="s">
        <v>32</v>
      </c>
      <c r="Q9" s="16">
        <v>5</v>
      </c>
      <c r="R9" s="6">
        <f t="shared" si="0"/>
        <v>0.04</v>
      </c>
      <c r="S9" s="7">
        <f t="shared" si="1"/>
        <v>62090000</v>
      </c>
      <c r="T9" s="22"/>
    </row>
    <row r="10" spans="1:38" ht="15.75" x14ac:dyDescent="0.6">
      <c r="A10" s="9">
        <v>8</v>
      </c>
      <c r="B10" s="16" t="s">
        <v>41</v>
      </c>
      <c r="C10" s="16" t="s">
        <v>82</v>
      </c>
      <c r="D10" s="16" t="s">
        <v>75</v>
      </c>
      <c r="E10" s="17" t="s">
        <v>2</v>
      </c>
      <c r="F10" s="16" t="s">
        <v>32</v>
      </c>
      <c r="G10" s="16">
        <v>5</v>
      </c>
      <c r="H10" s="18">
        <v>59050000</v>
      </c>
      <c r="I10" s="19"/>
      <c r="K10" s="21">
        <v>0.02</v>
      </c>
      <c r="L10" s="22" t="s">
        <v>111</v>
      </c>
      <c r="M10" s="6" cm="1">
        <f t="array" ref="M10">IF(L10="","",_xlfn.IFS(L10="S",0.04,L10="A",0.03,L10="B",0.02,L10="C",0.01,L10="D",0,TRUE,""))</f>
        <v>0.02</v>
      </c>
      <c r="N10" s="22" t="s">
        <v>102</v>
      </c>
      <c r="O10" s="6" cm="1">
        <f t="array" ref="O10">IF(N10="","",_xlfn.IFS(N10="Y",0.01,N10="N",0,TRUE,""))</f>
        <v>0</v>
      </c>
      <c r="P10" s="16" t="s">
        <v>32</v>
      </c>
      <c r="Q10" s="16">
        <v>5</v>
      </c>
      <c r="R10" s="6">
        <f t="shared" si="0"/>
        <v>0.04</v>
      </c>
      <c r="S10" s="7">
        <f t="shared" si="1"/>
        <v>61410000</v>
      </c>
      <c r="T10" s="22"/>
    </row>
    <row r="11" spans="1:38" ht="15.75" x14ac:dyDescent="0.6">
      <c r="A11" s="9">
        <v>9</v>
      </c>
      <c r="B11" s="16" t="s">
        <v>42</v>
      </c>
      <c r="C11" s="16" t="s">
        <v>80</v>
      </c>
      <c r="D11" s="16" t="s">
        <v>77</v>
      </c>
      <c r="E11" s="17" t="s">
        <v>2</v>
      </c>
      <c r="F11" s="16" t="s">
        <v>32</v>
      </c>
      <c r="G11" s="16">
        <v>5</v>
      </c>
      <c r="H11" s="18">
        <v>59050000</v>
      </c>
      <c r="I11" s="19"/>
      <c r="K11" s="21">
        <v>0.02</v>
      </c>
      <c r="L11" s="22" t="s">
        <v>111</v>
      </c>
      <c r="M11" s="6" cm="1">
        <f t="array" ref="M11">IF(L11="","",_xlfn.IFS(L11="S",0.04,L11="A",0.03,L11="B",0.02,L11="C",0.01,L11="D",0,TRUE,""))</f>
        <v>0.02</v>
      </c>
      <c r="N11" s="22" t="s">
        <v>102</v>
      </c>
      <c r="O11" s="6" cm="1">
        <f t="array" ref="O11">IF(N11="","",_xlfn.IFS(N11="Y",0.01,N11="N",0,TRUE,""))</f>
        <v>0</v>
      </c>
      <c r="P11" s="16" t="s">
        <v>32</v>
      </c>
      <c r="Q11" s="16">
        <v>5</v>
      </c>
      <c r="R11" s="6">
        <f t="shared" si="0"/>
        <v>0.04</v>
      </c>
      <c r="S11" s="7">
        <f t="shared" si="1"/>
        <v>61410000</v>
      </c>
      <c r="T11" s="22"/>
      <c r="AC11" s="2"/>
    </row>
    <row r="12" spans="1:38" ht="15.75" x14ac:dyDescent="0.6">
      <c r="A12" s="9">
        <v>10</v>
      </c>
      <c r="B12" s="16" t="s">
        <v>43</v>
      </c>
      <c r="C12" s="16" t="s">
        <v>80</v>
      </c>
      <c r="D12" s="16" t="s">
        <v>77</v>
      </c>
      <c r="E12" s="17" t="s">
        <v>2</v>
      </c>
      <c r="F12" s="16" t="s">
        <v>32</v>
      </c>
      <c r="G12" s="16">
        <v>5</v>
      </c>
      <c r="H12" s="18">
        <v>59050000</v>
      </c>
      <c r="I12" s="19"/>
      <c r="K12" s="21">
        <v>0.02</v>
      </c>
      <c r="L12" s="22" t="s">
        <v>111</v>
      </c>
      <c r="M12" s="6" cm="1">
        <f t="array" ref="M12">IF(L12="","",_xlfn.IFS(L12="S",0.04,L12="A",0.03,L12="B",0.02,L12="C",0.01,L12="D",0,TRUE,""))</f>
        <v>0.02</v>
      </c>
      <c r="N12" s="22" t="s">
        <v>102</v>
      </c>
      <c r="O12" s="6" cm="1">
        <f t="array" ref="O12">IF(N12="","",_xlfn.IFS(N12="Y",0.01,N12="N",0,TRUE,""))</f>
        <v>0</v>
      </c>
      <c r="P12" s="16" t="s">
        <v>32</v>
      </c>
      <c r="Q12" s="16">
        <v>5</v>
      </c>
      <c r="R12" s="6">
        <f t="shared" si="0"/>
        <v>0.04</v>
      </c>
      <c r="S12" s="7">
        <f t="shared" si="1"/>
        <v>61410000</v>
      </c>
      <c r="T12" s="22"/>
      <c r="V12" s="36" t="s">
        <v>128</v>
      </c>
      <c r="W12" s="37"/>
      <c r="X12" s="37"/>
      <c r="Y12" s="37"/>
      <c r="Z12" s="37"/>
      <c r="AA12" s="37"/>
      <c r="AB12" s="38"/>
    </row>
    <row r="13" spans="1:38" ht="15.75" x14ac:dyDescent="0.6">
      <c r="A13" s="9">
        <v>11</v>
      </c>
      <c r="B13" s="16" t="s">
        <v>44</v>
      </c>
      <c r="C13" s="16" t="s">
        <v>80</v>
      </c>
      <c r="D13" s="16" t="s">
        <v>77</v>
      </c>
      <c r="E13" s="17" t="s">
        <v>2</v>
      </c>
      <c r="F13" s="16" t="s">
        <v>32</v>
      </c>
      <c r="G13" s="16">
        <v>5</v>
      </c>
      <c r="H13" s="18">
        <v>57760000</v>
      </c>
      <c r="I13" s="19"/>
      <c r="K13" s="21">
        <v>0.02</v>
      </c>
      <c r="L13" s="22" t="s">
        <v>111</v>
      </c>
      <c r="M13" s="6" cm="1">
        <f t="array" ref="M13">IF(L13="","",_xlfn.IFS(L13="S",0.04,L13="A",0.03,L13="B",0.02,L13="C",0.01,L13="D",0,TRUE,""))</f>
        <v>0.02</v>
      </c>
      <c r="N13" s="22" t="s">
        <v>102</v>
      </c>
      <c r="O13" s="6" cm="1">
        <f t="array" ref="O13">IF(N13="","",_xlfn.IFS(N13="Y",0.01,N13="N",0,TRUE,""))</f>
        <v>0</v>
      </c>
      <c r="P13" s="16" t="s">
        <v>32</v>
      </c>
      <c r="Q13" s="16">
        <v>5</v>
      </c>
      <c r="R13" s="6">
        <f t="shared" si="0"/>
        <v>0.04</v>
      </c>
      <c r="S13" s="7">
        <f t="shared" si="1"/>
        <v>60070000</v>
      </c>
      <c r="T13" s="22"/>
      <c r="V13" s="8" t="s">
        <v>22</v>
      </c>
      <c r="W13" s="8" t="s">
        <v>28</v>
      </c>
      <c r="X13" s="8" t="s">
        <v>29</v>
      </c>
      <c r="Y13" s="8" t="s">
        <v>30</v>
      </c>
      <c r="Z13" s="8" t="s">
        <v>31</v>
      </c>
      <c r="AA13" s="8" t="s">
        <v>32</v>
      </c>
      <c r="AB13" s="8" t="s">
        <v>33</v>
      </c>
    </row>
    <row r="14" spans="1:38" ht="15.75" x14ac:dyDescent="0.6">
      <c r="A14" s="9">
        <v>12</v>
      </c>
      <c r="B14" s="16" t="s">
        <v>45</v>
      </c>
      <c r="C14" s="16" t="s">
        <v>81</v>
      </c>
      <c r="D14" s="16" t="s">
        <v>76</v>
      </c>
      <c r="E14" s="17" t="s">
        <v>2</v>
      </c>
      <c r="F14" s="16" t="s">
        <v>32</v>
      </c>
      <c r="G14" s="16">
        <v>5</v>
      </c>
      <c r="H14" s="18">
        <v>57760000</v>
      </c>
      <c r="I14" s="19"/>
      <c r="K14" s="21">
        <v>0.02</v>
      </c>
      <c r="L14" s="22" t="s">
        <v>111</v>
      </c>
      <c r="M14" s="6" cm="1">
        <f t="array" ref="M14">IF(L14="","",_xlfn.IFS(L14="S",0.04,L14="A",0.03,L14="B",0.02,L14="C",0.01,L14="D",0,TRUE,""))</f>
        <v>0.02</v>
      </c>
      <c r="N14" s="22" t="s">
        <v>102</v>
      </c>
      <c r="O14" s="6" cm="1">
        <f t="array" ref="O14">IF(N14="","",_xlfn.IFS(N14="Y",0.01,N14="N",0,TRUE,""))</f>
        <v>0</v>
      </c>
      <c r="P14" s="16" t="s">
        <v>32</v>
      </c>
      <c r="Q14" s="16">
        <v>5</v>
      </c>
      <c r="R14" s="6">
        <f t="shared" si="0"/>
        <v>0.04</v>
      </c>
      <c r="S14" s="7">
        <f t="shared" si="1"/>
        <v>60070000</v>
      </c>
      <c r="T14" s="22"/>
      <c r="V14" s="59" t="s">
        <v>4</v>
      </c>
      <c r="W14" s="39">
        <f t="shared" ref="W14:AB14" si="2">COUNTIF($F:$F,W$13)</f>
        <v>8</v>
      </c>
      <c r="X14" s="39">
        <f t="shared" si="2"/>
        <v>7</v>
      </c>
      <c r="Y14" s="39">
        <f t="shared" si="2"/>
        <v>1</v>
      </c>
      <c r="Z14" s="39">
        <f t="shared" si="2"/>
        <v>2</v>
      </c>
      <c r="AA14" s="39">
        <f t="shared" si="2"/>
        <v>10</v>
      </c>
      <c r="AB14" s="39">
        <f t="shared" si="2"/>
        <v>6</v>
      </c>
    </row>
    <row r="15" spans="1:38" ht="15.75" x14ac:dyDescent="0.6">
      <c r="A15" s="9">
        <v>13</v>
      </c>
      <c r="B15" s="16" t="s">
        <v>46</v>
      </c>
      <c r="C15" s="16" t="s">
        <v>80</v>
      </c>
      <c r="D15" s="16" t="s">
        <v>77</v>
      </c>
      <c r="E15" s="17" t="s">
        <v>2</v>
      </c>
      <c r="F15" s="16" t="s">
        <v>32</v>
      </c>
      <c r="G15" s="16">
        <v>5</v>
      </c>
      <c r="H15" s="18">
        <v>58400000</v>
      </c>
      <c r="I15" s="19"/>
      <c r="K15" s="21">
        <v>0.02</v>
      </c>
      <c r="L15" s="22" t="s">
        <v>111</v>
      </c>
      <c r="M15" s="6" cm="1">
        <f t="array" ref="M15">IF(L15="","",_xlfn.IFS(L15="S",0.04,L15="A",0.03,L15="B",0.02,L15="C",0.01,L15="D",0,TRUE,""))</f>
        <v>0.02</v>
      </c>
      <c r="N15" s="22" t="s">
        <v>102</v>
      </c>
      <c r="O15" s="6" cm="1">
        <f t="array" ref="O15">IF(N15="","",_xlfn.IFS(N15="Y",0.01,N15="N",0,TRUE,""))</f>
        <v>0</v>
      </c>
      <c r="P15" s="16" t="s">
        <v>32</v>
      </c>
      <c r="Q15" s="16">
        <v>5</v>
      </c>
      <c r="R15" s="6">
        <f t="shared" si="0"/>
        <v>0.04</v>
      </c>
      <c r="S15" s="7">
        <f t="shared" si="1"/>
        <v>60740000</v>
      </c>
      <c r="T15" s="22"/>
      <c r="V15" s="59" t="s">
        <v>6</v>
      </c>
      <c r="W15" s="40" cm="1">
        <f t="array" ref="W15">MAX(IF($F:$F=W$13,$H:$H))</f>
        <v>37090000</v>
      </c>
      <c r="X15" s="40" cm="1">
        <f t="array" ref="X15">MAX(IF($F:$F=X$13,$H:$H))</f>
        <v>47500000</v>
      </c>
      <c r="Y15" s="40" cm="1">
        <f t="array" ref="Y15">MAX(IF($F:$F=Y$13,$H:$H))</f>
        <v>43060000</v>
      </c>
      <c r="Z15" s="40" cm="1">
        <f t="array" ref="Z15">MAX(IF($F:$F=Z$13,$H:$H))</f>
        <v>49240000</v>
      </c>
      <c r="AA15" s="40" cm="1">
        <f t="array" ref="AA15">MAX(IF($F:$F=AA$13,$H:$H))</f>
        <v>59700000</v>
      </c>
      <c r="AB15" s="40" cm="1">
        <f t="array" ref="AB15">MAX(IF($F:$F=AB$13,$H:$H))</f>
        <v>72500000</v>
      </c>
    </row>
    <row r="16" spans="1:38" ht="15.75" x14ac:dyDescent="0.6">
      <c r="A16" s="9">
        <v>14</v>
      </c>
      <c r="B16" s="16" t="s">
        <v>47</v>
      </c>
      <c r="C16" s="16" t="s">
        <v>80</v>
      </c>
      <c r="D16" s="16" t="s">
        <v>77</v>
      </c>
      <c r="E16" s="17" t="s">
        <v>2</v>
      </c>
      <c r="F16" s="16" t="s">
        <v>32</v>
      </c>
      <c r="G16" s="16">
        <v>5</v>
      </c>
      <c r="H16" s="18">
        <v>56500000</v>
      </c>
      <c r="I16" s="19"/>
      <c r="K16" s="21">
        <v>0.02</v>
      </c>
      <c r="L16" s="22" t="s">
        <v>111</v>
      </c>
      <c r="M16" s="6" cm="1">
        <f t="array" ref="M16">IF(L16="","",_xlfn.IFS(L16="S",0.04,L16="A",0.03,L16="B",0.02,L16="C",0.01,L16="D",0,TRUE,""))</f>
        <v>0.02</v>
      </c>
      <c r="N16" s="22" t="s">
        <v>102</v>
      </c>
      <c r="O16" s="6" cm="1">
        <f t="array" ref="O16">IF(N16="","",_xlfn.IFS(N16="Y",0.01,N16="N",0,TRUE,""))</f>
        <v>0</v>
      </c>
      <c r="P16" s="16" t="s">
        <v>32</v>
      </c>
      <c r="Q16" s="16">
        <v>5</v>
      </c>
      <c r="R16" s="6">
        <f t="shared" si="0"/>
        <v>0.04</v>
      </c>
      <c r="S16" s="7">
        <f t="shared" si="1"/>
        <v>58760000</v>
      </c>
      <c r="T16" s="22"/>
      <c r="V16" s="59" t="s">
        <v>7</v>
      </c>
      <c r="W16" s="40" cm="1">
        <f t="array" ref="W16">MIN(IF($F:$F=W$13,$H:$H))</f>
        <v>32000000</v>
      </c>
      <c r="X16" s="40" cm="1">
        <f t="array" ref="X16">MIN(IF($F:$F=X$13,$H:$H))</f>
        <v>35000000</v>
      </c>
      <c r="Y16" s="40" cm="1">
        <f t="array" ref="Y16">MIN(IF($F:$F=Y$13,$H:$H))</f>
        <v>43060000</v>
      </c>
      <c r="Z16" s="40" cm="1">
        <f t="array" ref="Z16">MIN(IF($F:$F=Z$13,$H:$H))</f>
        <v>48650000</v>
      </c>
      <c r="AA16" s="40" cm="1">
        <f t="array" ref="AA16">MIN(IF($F:$F=AA$13,$H:$H))</f>
        <v>53160000</v>
      </c>
      <c r="AB16" s="40" cm="1">
        <f t="array" ref="AB16">MIN(IF($F:$F=AB$13,$H:$H))</f>
        <v>62000000</v>
      </c>
    </row>
    <row r="17" spans="1:38" ht="15.75" x14ac:dyDescent="0.6">
      <c r="A17" s="9">
        <v>15</v>
      </c>
      <c r="B17" s="16" t="s">
        <v>48</v>
      </c>
      <c r="C17" s="16" t="s">
        <v>80</v>
      </c>
      <c r="D17" s="16" t="s">
        <v>77</v>
      </c>
      <c r="E17" s="17" t="s">
        <v>5</v>
      </c>
      <c r="F17" s="16" t="s">
        <v>32</v>
      </c>
      <c r="G17" s="16">
        <v>5</v>
      </c>
      <c r="H17" s="18">
        <v>53160000</v>
      </c>
      <c r="I17" s="19"/>
      <c r="K17" s="21">
        <v>0.02</v>
      </c>
      <c r="L17" s="22" t="s">
        <v>111</v>
      </c>
      <c r="M17" s="6" cm="1">
        <f t="array" ref="M17">IF(L17="","",_xlfn.IFS(L17="S",0.04,L17="A",0.03,L17="B",0.02,L17="C",0.01,L17="D",0,TRUE,""))</f>
        <v>0.02</v>
      </c>
      <c r="N17" s="22" t="s">
        <v>102</v>
      </c>
      <c r="O17" s="6" cm="1">
        <f t="array" ref="O17">IF(N17="","",_xlfn.IFS(N17="Y",0.01,N17="N",0,TRUE,""))</f>
        <v>0</v>
      </c>
      <c r="P17" s="16" t="s">
        <v>32</v>
      </c>
      <c r="Q17" s="16">
        <v>5</v>
      </c>
      <c r="R17" s="6">
        <f t="shared" si="0"/>
        <v>0.04</v>
      </c>
      <c r="S17" s="7">
        <f t="shared" si="1"/>
        <v>55290000</v>
      </c>
      <c r="T17" s="22"/>
      <c r="V17" s="59" t="s">
        <v>9</v>
      </c>
      <c r="W17" s="40" cm="1">
        <f t="array" ref="W17">IFERROR(AVERAGE(IF($F:$F=W$13,$H:$H)),"-")</f>
        <v>34570625</v>
      </c>
      <c r="X17" s="40" cm="1">
        <f t="array" ref="X17">IFERROR(AVERAGE(IF($F:$F=X$13,$H:$H)),"-")</f>
        <v>42142857.142857142</v>
      </c>
      <c r="Y17" s="40" cm="1">
        <f t="array" ref="Y17">IFERROR(AVERAGE(IF($F:$F=Y$13,$H:$H)),"-")</f>
        <v>43060000</v>
      </c>
      <c r="Z17" s="40" cm="1">
        <f t="array" ref="Z17">IFERROR(AVERAGE(IF($F:$F=Z$13,$H:$H)),"-")</f>
        <v>48945000</v>
      </c>
      <c r="AA17" s="40" cm="1">
        <f t="array" ref="AA17">IFERROR(AVERAGE(IF($F:$F=AA$13,$H:$H)),"-")</f>
        <v>57418000</v>
      </c>
      <c r="AB17" s="40" cm="1">
        <f t="array" ref="AB17">IFERROR(AVERAGE(IF($F:$F=AB$13,$H:$H)),"-")</f>
        <v>66763333.333333336</v>
      </c>
    </row>
    <row r="18" spans="1:38" ht="15.75" x14ac:dyDescent="0.6">
      <c r="A18" s="9">
        <v>16</v>
      </c>
      <c r="B18" s="16" t="s">
        <v>49</v>
      </c>
      <c r="C18" s="16" t="s">
        <v>80</v>
      </c>
      <c r="D18" s="16" t="s">
        <v>77</v>
      </c>
      <c r="E18" s="17" t="s">
        <v>5</v>
      </c>
      <c r="F18" s="16" t="s">
        <v>32</v>
      </c>
      <c r="G18" s="16">
        <v>5</v>
      </c>
      <c r="H18" s="18">
        <v>53750000</v>
      </c>
      <c r="I18" s="19"/>
      <c r="K18" s="21">
        <v>0.02</v>
      </c>
      <c r="L18" s="22" t="s">
        <v>111</v>
      </c>
      <c r="M18" s="6" cm="1">
        <f t="array" ref="M18">IF(L18="","",_xlfn.IFS(L18="S",0.04,L18="A",0.03,L18="B",0.02,L18="C",0.01,L18="D",0,TRUE,""))</f>
        <v>0.02</v>
      </c>
      <c r="N18" s="22" t="s">
        <v>102</v>
      </c>
      <c r="O18" s="6" cm="1">
        <f t="array" ref="O18">IF(N18="","",_xlfn.IFS(N18="Y",0.01,N18="N",0,TRUE,""))</f>
        <v>0</v>
      </c>
      <c r="P18" s="16" t="s">
        <v>32</v>
      </c>
      <c r="Q18" s="16">
        <v>5</v>
      </c>
      <c r="R18" s="6">
        <f t="shared" si="0"/>
        <v>0.04</v>
      </c>
      <c r="S18" s="7">
        <f t="shared" si="1"/>
        <v>55900000</v>
      </c>
      <c r="T18" s="22"/>
      <c r="V18" s="59" t="s">
        <v>10</v>
      </c>
      <c r="W18" s="40" cm="1">
        <f t="array" ref="W18">IFERROR(MEDIAN(IF($F:$F=W$13,$H:$H)),"-")</f>
        <v>35467500</v>
      </c>
      <c r="X18" s="40" cm="1">
        <f t="array" ref="X18">IFERROR(MEDIAN(IF($F:$F=X$13,$H:$H)),"-")</f>
        <v>42500000</v>
      </c>
      <c r="Y18" s="40" cm="1">
        <f t="array" ref="Y18">IFERROR(MEDIAN(IF($F:$F=Y$13,$H:$H)),"-")</f>
        <v>43060000</v>
      </c>
      <c r="Z18" s="40" cm="1">
        <f t="array" ref="Z18">IFERROR(MEDIAN(IF($F:$F=Z$13,$H:$H)),"-")</f>
        <v>48945000</v>
      </c>
      <c r="AA18" s="40" cm="1">
        <f t="array" ref="AA18">IFERROR(MEDIAN(IF($F:$F=AA$13,$H:$H)),"-")</f>
        <v>58080000</v>
      </c>
      <c r="AB18" s="40" cm="1">
        <f t="array" ref="AB18">IFERROR(MEDIAN(IF($F:$F=AB$13,$H:$H)),"-")</f>
        <v>66340000</v>
      </c>
    </row>
    <row r="19" spans="1:38" ht="15.75" x14ac:dyDescent="0.6">
      <c r="A19" s="9">
        <v>17</v>
      </c>
      <c r="B19" s="16" t="s">
        <v>50</v>
      </c>
      <c r="C19" s="16" t="s">
        <v>82</v>
      </c>
      <c r="D19" s="16" t="s">
        <v>75</v>
      </c>
      <c r="E19" s="17" t="s">
        <v>8</v>
      </c>
      <c r="F19" s="16" t="s">
        <v>31</v>
      </c>
      <c r="G19" s="16">
        <v>4</v>
      </c>
      <c r="H19" s="18">
        <v>49240000</v>
      </c>
      <c r="I19" s="19"/>
      <c r="K19" s="21">
        <v>0.02</v>
      </c>
      <c r="L19" s="22" t="s">
        <v>111</v>
      </c>
      <c r="M19" s="6" cm="1">
        <f t="array" ref="M19">IF(L19="","",_xlfn.IFS(L19="S",0.04,L19="A",0.03,L19="B",0.02,L19="C",0.01,L19="D",0,TRUE,""))</f>
        <v>0.02</v>
      </c>
      <c r="N19" s="22" t="s">
        <v>102</v>
      </c>
      <c r="O19" s="6" cm="1">
        <f t="array" ref="O19">IF(N19="","",_xlfn.IFS(N19="Y",0.01,N19="N",0,TRUE,""))</f>
        <v>0</v>
      </c>
      <c r="P19" s="16" t="s">
        <v>31</v>
      </c>
      <c r="Q19" s="16">
        <v>4</v>
      </c>
      <c r="R19" s="6">
        <f t="shared" si="0"/>
        <v>0.04</v>
      </c>
      <c r="S19" s="7">
        <f t="shared" si="1"/>
        <v>51210000</v>
      </c>
      <c r="T19" s="22"/>
      <c r="V19" s="59" t="s">
        <v>12</v>
      </c>
      <c r="W19" s="41">
        <f t="shared" ref="W19:AB19" si="3">IFERROR((W15-W16)/W16,"-")</f>
        <v>0.1590625</v>
      </c>
      <c r="X19" s="41">
        <f t="shared" si="3"/>
        <v>0.35714285714285715</v>
      </c>
      <c r="Y19" s="41">
        <f t="shared" si="3"/>
        <v>0</v>
      </c>
      <c r="Z19" s="41">
        <f t="shared" si="3"/>
        <v>1.2127440904419322E-2</v>
      </c>
      <c r="AA19" s="41">
        <f t="shared" si="3"/>
        <v>0.12302483069977427</v>
      </c>
      <c r="AB19" s="41">
        <f t="shared" si="3"/>
        <v>0.16935483870967741</v>
      </c>
    </row>
    <row r="20" spans="1:38" ht="15.75" x14ac:dyDescent="0.6">
      <c r="A20" s="9">
        <v>18</v>
      </c>
      <c r="B20" s="16" t="s">
        <v>51</v>
      </c>
      <c r="C20" s="16" t="s">
        <v>80</v>
      </c>
      <c r="D20" s="16" t="s">
        <v>77</v>
      </c>
      <c r="E20" s="17" t="s">
        <v>8</v>
      </c>
      <c r="F20" s="16" t="s">
        <v>31</v>
      </c>
      <c r="G20" s="16">
        <v>4</v>
      </c>
      <c r="H20" s="18">
        <v>48650000</v>
      </c>
      <c r="I20" s="19"/>
      <c r="K20" s="21">
        <v>0.02</v>
      </c>
      <c r="L20" s="22" t="s">
        <v>111</v>
      </c>
      <c r="M20" s="6" cm="1">
        <f t="array" ref="M20">IF(L20="","",_xlfn.IFS(L20="S",0.04,L20="A",0.03,L20="B",0.02,L20="C",0.01,L20="D",0,TRUE,""))</f>
        <v>0.02</v>
      </c>
      <c r="N20" s="22" t="s">
        <v>102</v>
      </c>
      <c r="O20" s="6" cm="1">
        <f t="array" ref="O20">IF(N20="","",_xlfn.IFS(N20="Y",0.01,N20="N",0,TRUE,""))</f>
        <v>0</v>
      </c>
      <c r="P20" s="16" t="s">
        <v>31</v>
      </c>
      <c r="Q20" s="16">
        <v>4</v>
      </c>
      <c r="R20" s="6">
        <f t="shared" si="0"/>
        <v>0.04</v>
      </c>
      <c r="S20" s="7">
        <f t="shared" si="1"/>
        <v>50600000</v>
      </c>
      <c r="T20" s="22"/>
      <c r="V20" s="59" t="s">
        <v>13</v>
      </c>
      <c r="W20" s="41" t="str">
        <f t="shared" ref="W20:AB20" si="4">IFERROR(W18/V18-1,"-")</f>
        <v>-</v>
      </c>
      <c r="X20" s="41">
        <f t="shared" si="4"/>
        <v>0.19828011559878767</v>
      </c>
      <c r="Y20" s="41">
        <f t="shared" si="4"/>
        <v>1.3176470588235345E-2</v>
      </c>
      <c r="Z20" s="41">
        <f t="shared" si="4"/>
        <v>0.13666976312122614</v>
      </c>
      <c r="AA20" s="41">
        <f t="shared" si="4"/>
        <v>0.18663806313208697</v>
      </c>
      <c r="AB20" s="41">
        <f t="shared" si="4"/>
        <v>0.14221763085399441</v>
      </c>
    </row>
    <row r="21" spans="1:38" ht="15.75" x14ac:dyDescent="0.6">
      <c r="A21" s="9">
        <v>19</v>
      </c>
      <c r="B21" s="16" t="s">
        <v>52</v>
      </c>
      <c r="C21" s="16" t="s">
        <v>80</v>
      </c>
      <c r="D21" s="16" t="s">
        <v>77</v>
      </c>
      <c r="E21" s="17" t="s">
        <v>8</v>
      </c>
      <c r="F21" s="16" t="s">
        <v>29</v>
      </c>
      <c r="G21" s="16">
        <v>2</v>
      </c>
      <c r="H21" s="18">
        <v>47500000</v>
      </c>
      <c r="I21" s="19"/>
      <c r="K21" s="21">
        <v>0.02</v>
      </c>
      <c r="L21" s="22" t="s">
        <v>111</v>
      </c>
      <c r="M21" s="6" cm="1">
        <f t="array" ref="M21">IF(L21="","",_xlfn.IFS(L21="S",0.04,L21="A",0.03,L21="B",0.02,L21="C",0.01,L21="D",0,TRUE,""))</f>
        <v>0.02</v>
      </c>
      <c r="N21" s="22" t="s">
        <v>102</v>
      </c>
      <c r="O21" s="6" cm="1">
        <f t="array" ref="O21">IF(N21="","",_xlfn.IFS(N21="Y",0.01,N21="N",0,TRUE,""))</f>
        <v>0</v>
      </c>
      <c r="P21" s="16" t="s">
        <v>29</v>
      </c>
      <c r="Q21" s="16">
        <v>2</v>
      </c>
      <c r="R21" s="6">
        <f t="shared" si="0"/>
        <v>0.04</v>
      </c>
      <c r="S21" s="7">
        <f t="shared" si="1"/>
        <v>49400000</v>
      </c>
      <c r="T21" s="22"/>
      <c r="V21" s="59" t="s">
        <v>14</v>
      </c>
      <c r="W21" s="41" t="str">
        <f t="shared" ref="W21:AB21" si="5">IFERROR(MAX((V15-W16)/(W15-W16),0),"-")</f>
        <v>-</v>
      </c>
      <c r="X21" s="41">
        <f t="shared" si="5"/>
        <v>0.16719999999999999</v>
      </c>
      <c r="Y21" s="41" t="str">
        <f t="shared" si="5"/>
        <v>-</v>
      </c>
      <c r="Z21" s="41">
        <f t="shared" si="5"/>
        <v>0</v>
      </c>
      <c r="AA21" s="41">
        <f t="shared" si="5"/>
        <v>0</v>
      </c>
      <c r="AB21" s="41">
        <f t="shared" si="5"/>
        <v>0</v>
      </c>
    </row>
    <row r="22" spans="1:38" ht="15.75" x14ac:dyDescent="0.6">
      <c r="A22" s="9">
        <v>20</v>
      </c>
      <c r="B22" s="16" t="s">
        <v>53</v>
      </c>
      <c r="C22" s="16" t="s">
        <v>82</v>
      </c>
      <c r="D22" s="16" t="s">
        <v>75</v>
      </c>
      <c r="E22" s="17" t="s">
        <v>11</v>
      </c>
      <c r="F22" s="16" t="s">
        <v>30</v>
      </c>
      <c r="G22" s="16">
        <v>3</v>
      </c>
      <c r="H22" s="18">
        <v>43060000</v>
      </c>
      <c r="I22" s="19"/>
      <c r="K22" s="21">
        <v>0.02</v>
      </c>
      <c r="L22" s="22" t="s">
        <v>111</v>
      </c>
      <c r="M22" s="6" cm="1">
        <f t="array" ref="M22">IF(L22="","",_xlfn.IFS(L22="S",0.04,L22="A",0.03,L22="B",0.02,L22="C",0.01,L22="D",0,TRUE,""))</f>
        <v>0.02</v>
      </c>
      <c r="N22" s="22" t="s">
        <v>102</v>
      </c>
      <c r="O22" s="6" cm="1">
        <f t="array" ref="O22">IF(N22="","",_xlfn.IFS(N22="Y",0.01,N22="N",0,TRUE,""))</f>
        <v>0</v>
      </c>
      <c r="P22" s="16" t="s">
        <v>30</v>
      </c>
      <c r="Q22" s="16">
        <v>3</v>
      </c>
      <c r="R22" s="6">
        <f t="shared" si="0"/>
        <v>0.04</v>
      </c>
      <c r="S22" s="7">
        <f t="shared" si="1"/>
        <v>44780000</v>
      </c>
      <c r="T22" s="22"/>
    </row>
    <row r="23" spans="1:38" ht="15.75" x14ac:dyDescent="0.6">
      <c r="A23" s="9">
        <v>21</v>
      </c>
      <c r="B23" s="16" t="s">
        <v>54</v>
      </c>
      <c r="C23" s="16" t="s">
        <v>80</v>
      </c>
      <c r="D23" s="16" t="s">
        <v>77</v>
      </c>
      <c r="E23" s="17" t="s">
        <v>11</v>
      </c>
      <c r="F23" s="16" t="s">
        <v>29</v>
      </c>
      <c r="G23" s="16">
        <v>2</v>
      </c>
      <c r="H23" s="18">
        <v>42500000</v>
      </c>
      <c r="I23" s="19"/>
      <c r="K23" s="21">
        <v>0.02</v>
      </c>
      <c r="L23" s="22" t="s">
        <v>111</v>
      </c>
      <c r="M23" s="6" cm="1">
        <f t="array" ref="M23">IF(L23="","",_xlfn.IFS(L23="S",0.04,L23="A",0.03,L23="B",0.02,L23="C",0.01,L23="D",0,TRUE,""))</f>
        <v>0.02</v>
      </c>
      <c r="N23" s="22" t="s">
        <v>102</v>
      </c>
      <c r="O23" s="6" cm="1">
        <f t="array" ref="O23">IF(N23="","",_xlfn.IFS(N23="Y",0.01,N23="N",0,TRUE,""))</f>
        <v>0</v>
      </c>
      <c r="P23" s="16" t="s">
        <v>29</v>
      </c>
      <c r="Q23" s="16">
        <v>2</v>
      </c>
      <c r="R23" s="6">
        <f t="shared" si="0"/>
        <v>0.04</v>
      </c>
      <c r="S23" s="7">
        <f t="shared" si="1"/>
        <v>44200000</v>
      </c>
      <c r="T23" s="22"/>
    </row>
    <row r="24" spans="1:38" ht="15.75" x14ac:dyDescent="0.6">
      <c r="A24" s="9">
        <v>22</v>
      </c>
      <c r="B24" s="16" t="s">
        <v>55</v>
      </c>
      <c r="C24" s="16" t="s">
        <v>80</v>
      </c>
      <c r="D24" s="16" t="s">
        <v>77</v>
      </c>
      <c r="E24" s="17" t="s">
        <v>11</v>
      </c>
      <c r="F24" s="16" t="s">
        <v>29</v>
      </c>
      <c r="G24" s="16">
        <v>2</v>
      </c>
      <c r="H24" s="18">
        <v>42500000</v>
      </c>
      <c r="I24" s="19"/>
      <c r="K24" s="21">
        <v>0.02</v>
      </c>
      <c r="L24" s="22" t="s">
        <v>111</v>
      </c>
      <c r="M24" s="6" cm="1">
        <f t="array" ref="M24">IF(L24="","",_xlfn.IFS(L24="S",0.04,L24="A",0.03,L24="B",0.02,L24="C",0.01,L24="D",0,TRUE,""))</f>
        <v>0.02</v>
      </c>
      <c r="N24" s="22" t="s">
        <v>102</v>
      </c>
      <c r="O24" s="6" cm="1">
        <f t="array" ref="O24">IF(N24="","",_xlfn.IFS(N24="Y",0.01,N24="N",0,TRUE,""))</f>
        <v>0</v>
      </c>
      <c r="P24" s="16" t="s">
        <v>29</v>
      </c>
      <c r="Q24" s="16">
        <v>2</v>
      </c>
      <c r="R24" s="6">
        <f t="shared" si="0"/>
        <v>0.04</v>
      </c>
      <c r="S24" s="7">
        <f t="shared" si="1"/>
        <v>44200000</v>
      </c>
      <c r="T24" s="22"/>
    </row>
    <row r="25" spans="1:38" ht="15.75" x14ac:dyDescent="0.6">
      <c r="A25" s="9">
        <v>23</v>
      </c>
      <c r="B25" s="16" t="s">
        <v>56</v>
      </c>
      <c r="C25" s="16" t="s">
        <v>80</v>
      </c>
      <c r="D25" s="16" t="s">
        <v>77</v>
      </c>
      <c r="E25" s="17" t="s">
        <v>11</v>
      </c>
      <c r="F25" s="16" t="s">
        <v>29</v>
      </c>
      <c r="G25" s="16">
        <v>2</v>
      </c>
      <c r="H25" s="18">
        <v>42500000</v>
      </c>
      <c r="I25" s="19"/>
      <c r="K25" s="21">
        <v>0.02</v>
      </c>
      <c r="L25" s="22" t="s">
        <v>111</v>
      </c>
      <c r="M25" s="6" cm="1">
        <f t="array" ref="M25">IF(L25="","",_xlfn.IFS(L25="S",0.04,L25="A",0.03,L25="B",0.02,L25="C",0.01,L25="D",0,TRUE,""))</f>
        <v>0.02</v>
      </c>
      <c r="N25" s="22" t="s">
        <v>102</v>
      </c>
      <c r="O25" s="6" cm="1">
        <f t="array" ref="O25">IF(N25="","",_xlfn.IFS(N25="Y",0.01,N25="N",0,TRUE,""))</f>
        <v>0</v>
      </c>
      <c r="P25" s="16" t="s">
        <v>29</v>
      </c>
      <c r="Q25" s="16">
        <v>2</v>
      </c>
      <c r="R25" s="6">
        <f t="shared" si="0"/>
        <v>0.04</v>
      </c>
      <c r="S25" s="7">
        <f t="shared" si="1"/>
        <v>44200000</v>
      </c>
      <c r="T25" s="22"/>
      <c r="V25" s="36" t="s">
        <v>130</v>
      </c>
      <c r="W25" s="37"/>
      <c r="X25" s="37"/>
      <c r="Y25" s="37"/>
      <c r="Z25" s="37"/>
      <c r="AA25" s="37"/>
      <c r="AB25" s="38"/>
    </row>
    <row r="26" spans="1:38" ht="15.75" x14ac:dyDescent="0.6">
      <c r="A26" s="9">
        <v>24</v>
      </c>
      <c r="B26" s="16" t="s">
        <v>57</v>
      </c>
      <c r="C26" s="16" t="s">
        <v>80</v>
      </c>
      <c r="D26" s="16" t="s">
        <v>77</v>
      </c>
      <c r="E26" s="17" t="s">
        <v>11</v>
      </c>
      <c r="F26" s="16" t="s">
        <v>29</v>
      </c>
      <c r="G26" s="16">
        <v>2</v>
      </c>
      <c r="H26" s="18">
        <v>42500000</v>
      </c>
      <c r="I26" s="19"/>
      <c r="K26" s="21">
        <v>0.02</v>
      </c>
      <c r="L26" s="22" t="s">
        <v>111</v>
      </c>
      <c r="M26" s="6" cm="1">
        <f t="array" ref="M26">IF(L26="","",_xlfn.IFS(L26="S",0.04,L26="A",0.03,L26="B",0.02,L26="C",0.01,L26="D",0,TRUE,""))</f>
        <v>0.02</v>
      </c>
      <c r="N26" s="22" t="s">
        <v>102</v>
      </c>
      <c r="O26" s="6" cm="1">
        <f t="array" ref="O26">IF(N26="","",_xlfn.IFS(N26="Y",0.01,N26="N",0,TRUE,""))</f>
        <v>0</v>
      </c>
      <c r="P26" s="16" t="s">
        <v>29</v>
      </c>
      <c r="Q26" s="16">
        <v>2</v>
      </c>
      <c r="R26" s="6">
        <f t="shared" si="0"/>
        <v>0.04</v>
      </c>
      <c r="S26" s="7">
        <f t="shared" si="1"/>
        <v>44200000</v>
      </c>
      <c r="T26" s="22"/>
      <c r="V26" s="8" t="s">
        <v>22</v>
      </c>
      <c r="W26" s="8" t="s">
        <v>28</v>
      </c>
      <c r="X26" s="8" t="s">
        <v>29</v>
      </c>
      <c r="Y26" s="8" t="s">
        <v>30</v>
      </c>
      <c r="Z26" s="8" t="s">
        <v>31</v>
      </c>
      <c r="AA26" s="8" t="s">
        <v>32</v>
      </c>
      <c r="AB26" s="8" t="s">
        <v>33</v>
      </c>
    </row>
    <row r="27" spans="1:38" ht="15.75" x14ac:dyDescent="0.6">
      <c r="A27" s="9">
        <v>25</v>
      </c>
      <c r="B27" s="16" t="s">
        <v>58</v>
      </c>
      <c r="C27" s="16" t="s">
        <v>79</v>
      </c>
      <c r="D27" s="16" t="s">
        <v>77</v>
      </c>
      <c r="E27" s="17" t="s">
        <v>11</v>
      </c>
      <c r="F27" s="16" t="s">
        <v>29</v>
      </c>
      <c r="G27" s="16">
        <v>2</v>
      </c>
      <c r="H27" s="18">
        <v>42500000</v>
      </c>
      <c r="I27" s="19"/>
      <c r="K27" s="21">
        <v>0.02</v>
      </c>
      <c r="L27" s="22" t="s">
        <v>111</v>
      </c>
      <c r="M27" s="6" cm="1">
        <f t="array" ref="M27">IF(L27="","",_xlfn.IFS(L27="S",0.04,L27="A",0.03,L27="B",0.02,L27="C",0.01,L27="D",0,TRUE,""))</f>
        <v>0.02</v>
      </c>
      <c r="N27" s="22" t="s">
        <v>102</v>
      </c>
      <c r="O27" s="6" cm="1">
        <f t="array" ref="O27">IF(N27="","",_xlfn.IFS(N27="Y",0.01,N27="N",0,TRUE,""))</f>
        <v>0</v>
      </c>
      <c r="P27" s="16" t="s">
        <v>29</v>
      </c>
      <c r="Q27" s="16">
        <v>2</v>
      </c>
      <c r="R27" s="6">
        <f t="shared" si="0"/>
        <v>0.04</v>
      </c>
      <c r="S27" s="7">
        <f t="shared" si="1"/>
        <v>44200000</v>
      </c>
      <c r="T27" s="22"/>
      <c r="V27" s="59" t="s">
        <v>4</v>
      </c>
      <c r="W27" s="39">
        <f t="shared" ref="W27:AB27" si="6">COUNTIF($F:$F,W$26)</f>
        <v>8</v>
      </c>
      <c r="X27" s="39">
        <f t="shared" si="6"/>
        <v>7</v>
      </c>
      <c r="Y27" s="39">
        <f t="shared" si="6"/>
        <v>1</v>
      </c>
      <c r="Z27" s="39">
        <f t="shared" si="6"/>
        <v>2</v>
      </c>
      <c r="AA27" s="39">
        <f t="shared" si="6"/>
        <v>10</v>
      </c>
      <c r="AB27" s="39">
        <f t="shared" si="6"/>
        <v>6</v>
      </c>
    </row>
    <row r="28" spans="1:38" ht="15.75" x14ac:dyDescent="0.6">
      <c r="A28" s="9">
        <v>26</v>
      </c>
      <c r="B28" s="16" t="s">
        <v>59</v>
      </c>
      <c r="C28" s="16" t="s">
        <v>81</v>
      </c>
      <c r="D28" s="16" t="s">
        <v>76</v>
      </c>
      <c r="E28" s="17" t="s">
        <v>27</v>
      </c>
      <c r="F28" s="16" t="s">
        <v>28</v>
      </c>
      <c r="G28" s="16">
        <v>1</v>
      </c>
      <c r="H28" s="18">
        <v>34935000</v>
      </c>
      <c r="I28" s="19"/>
      <c r="K28" s="21">
        <v>0.02</v>
      </c>
      <c r="L28" s="22" t="s">
        <v>111</v>
      </c>
      <c r="M28" s="6" cm="1">
        <f t="array" ref="M28">IF(L28="","",_xlfn.IFS(L28="S",0.04,L28="A",0.03,L28="B",0.02,L28="C",0.01,L28="D",0,TRUE,""))</f>
        <v>0.02</v>
      </c>
      <c r="N28" s="22" t="s">
        <v>102</v>
      </c>
      <c r="O28" s="6" cm="1">
        <f t="array" ref="O28">IF(N28="","",_xlfn.IFS(N28="Y",0.01,N28="N",0,TRUE,""))</f>
        <v>0</v>
      </c>
      <c r="P28" s="16" t="s">
        <v>28</v>
      </c>
      <c r="Q28" s="16">
        <v>1</v>
      </c>
      <c r="R28" s="6">
        <f t="shared" si="0"/>
        <v>0.04</v>
      </c>
      <c r="S28" s="7">
        <f t="shared" si="1"/>
        <v>36330000</v>
      </c>
      <c r="T28" s="22"/>
      <c r="V28" s="59" t="s">
        <v>6</v>
      </c>
      <c r="W28" s="40" cm="1">
        <f t="array" ref="W28">IFERROR(MAX(IF(IF($P3:$P1048576="",$F3:$F1048576,$P3:$P1048576)=W$26,$S3:$S1048576)),"-")</f>
        <v>38570000</v>
      </c>
      <c r="X28" s="40" cm="1">
        <f t="array" ref="X28">IFERROR(MAX(IF(IF($P3:$P1048576="",$F3:$F1048576,$P3:$P1048576)=X$26,$S3:$S1048576)),"-")</f>
        <v>49400000</v>
      </c>
      <c r="Y28" s="40" cm="1">
        <f t="array" ref="Y28">IFERROR(MAX(IF(IF($P3:$P1048576="",$F3:$F1048576,$P3:$P1048576)=Y$26,$S3:$S1048576)),"-")</f>
        <v>44780000</v>
      </c>
      <c r="Z28" s="40" cm="1">
        <f t="array" ref="Z28">IFERROR(MAX(IF(IF($P3:$P1048576="",$F3:$F1048576,$P3:$P1048576)=Z$26,$S3:$S1048576)),"-")</f>
        <v>51210000</v>
      </c>
      <c r="AA28" s="40" cm="1">
        <f t="array" ref="AA28">IFERROR(MAX(IF(IF($P3:$P1048576="",$F3:$F1048576,$P3:$P1048576)=AA$26,$S3:$S1048576)),"-")</f>
        <v>62090000</v>
      </c>
      <c r="AB28" s="40" cm="1">
        <f t="array" ref="AB28">IFERROR(MAX(IF(IF($P3:$P1048576="",$F3:$F1048576,$P3:$P1048576)=AB$26,$S3:$S1048576)),"-")</f>
        <v>75400000</v>
      </c>
    </row>
    <row r="29" spans="1:38" ht="15.75" x14ac:dyDescent="0.6">
      <c r="A29" s="9">
        <v>27</v>
      </c>
      <c r="B29" s="16" t="s">
        <v>60</v>
      </c>
      <c r="C29" s="16" t="s">
        <v>82</v>
      </c>
      <c r="D29" s="16" t="s">
        <v>75</v>
      </c>
      <c r="E29" s="17" t="s">
        <v>27</v>
      </c>
      <c r="F29" s="16" t="s">
        <v>29</v>
      </c>
      <c r="G29" s="16">
        <v>2</v>
      </c>
      <c r="H29" s="18">
        <v>35000000</v>
      </c>
      <c r="I29" s="19"/>
      <c r="K29" s="21">
        <v>0.02</v>
      </c>
      <c r="L29" s="22" t="s">
        <v>111</v>
      </c>
      <c r="M29" s="6" cm="1">
        <f t="array" ref="M29">IF(L29="","",_xlfn.IFS(L29="S",0.04,L29="A",0.03,L29="B",0.02,L29="C",0.01,L29="D",0,TRUE,""))</f>
        <v>0.02</v>
      </c>
      <c r="N29" s="22" t="s">
        <v>102</v>
      </c>
      <c r="O29" s="6" cm="1">
        <f t="array" ref="O29">IF(N29="","",_xlfn.IFS(N29="Y",0.01,N29="N",0,TRUE,""))</f>
        <v>0</v>
      </c>
      <c r="P29" s="16" t="s">
        <v>29</v>
      </c>
      <c r="Q29" s="16">
        <v>2</v>
      </c>
      <c r="R29" s="6">
        <f t="shared" si="0"/>
        <v>0.04</v>
      </c>
      <c r="S29" s="7">
        <f t="shared" si="1"/>
        <v>36400000</v>
      </c>
      <c r="T29" s="22"/>
      <c r="V29" s="59" t="s">
        <v>7</v>
      </c>
      <c r="W29" s="40" cm="1">
        <f t="array" ref="W29">IFERROR(MIN(IF(IF($P3:$P1048576="",$F3:$F1048576,$P3:$P1048576)=W$26,$S3:$S1048576)),"-")</f>
        <v>33280000</v>
      </c>
      <c r="X29" s="40" cm="1">
        <f t="array" ref="X29">IFERROR(MIN(IF(IF($P3:$P1048576="",$F3:$F1048576,$P3:$P1048576)=X$26,$S3:$S1048576)),"-")</f>
        <v>36400000</v>
      </c>
      <c r="Y29" s="40" cm="1">
        <f t="array" ref="Y29">IFERROR(MIN(IF(IF($P3:$P1048576="",$F3:$F1048576,$P3:$P1048576)=Y$26,$S3:$S1048576)),"-")</f>
        <v>44780000</v>
      </c>
      <c r="Z29" s="40" cm="1">
        <f t="array" ref="Z29">IFERROR(MIN(IF(IF($P3:$P1048576="",$F3:$F1048576,$P3:$P1048576)=Z$26,$S3:$S1048576)),"-")</f>
        <v>50600000</v>
      </c>
      <c r="AA29" s="40" cm="1">
        <f t="array" ref="AA29">IFERROR(MIN(IF(IF($P3:$P1048576="",$F3:$F1048576,$P3:$P1048576)=AA$26,$S3:$S1048576)),"-")</f>
        <v>55290000</v>
      </c>
      <c r="AB29" s="40" cm="1">
        <f t="array" ref="AB29">IFERROR(MIN(IF(IF($P3:$P1048576="",$F3:$F1048576,$P3:$P1048576)=AB$26,$S3:$S1048576)),"-")</f>
        <v>64480000</v>
      </c>
    </row>
    <row r="30" spans="1:38" ht="15.75" x14ac:dyDescent="0.6">
      <c r="A30" s="9">
        <v>28</v>
      </c>
      <c r="B30" s="16" t="s">
        <v>61</v>
      </c>
      <c r="C30" s="16" t="s">
        <v>80</v>
      </c>
      <c r="D30" s="16" t="s">
        <v>77</v>
      </c>
      <c r="E30" s="17" t="s">
        <v>27</v>
      </c>
      <c r="F30" s="16" t="s">
        <v>28</v>
      </c>
      <c r="G30" s="16">
        <v>1</v>
      </c>
      <c r="H30" s="18">
        <v>36000000</v>
      </c>
      <c r="I30" s="19"/>
      <c r="K30" s="21">
        <v>0.02</v>
      </c>
      <c r="L30" s="22" t="s">
        <v>111</v>
      </c>
      <c r="M30" s="6" cm="1">
        <f t="array" ref="M30">IF(L30="","",_xlfn.IFS(L30="S",0.04,L30="A",0.03,L30="B",0.02,L30="C",0.01,L30="D",0,TRUE,""))</f>
        <v>0.02</v>
      </c>
      <c r="N30" s="22" t="s">
        <v>102</v>
      </c>
      <c r="O30" s="6" cm="1">
        <f t="array" ref="O30">IF(N30="","",_xlfn.IFS(N30="Y",0.01,N30="N",0,TRUE,""))</f>
        <v>0</v>
      </c>
      <c r="P30" s="16" t="s">
        <v>28</v>
      </c>
      <c r="Q30" s="16">
        <v>1</v>
      </c>
      <c r="R30" s="6">
        <f t="shared" si="0"/>
        <v>0.04</v>
      </c>
      <c r="S30" s="7">
        <f t="shared" si="1"/>
        <v>37440000</v>
      </c>
      <c r="T30" s="22"/>
      <c r="V30" s="59" t="s">
        <v>9</v>
      </c>
      <c r="W30" s="40" cm="1">
        <f t="array" ref="W30">IFERROR(AVERAGE(IF(IF($P3:$P1048576="",$F3:$F1048576,$P3:$P1048576)=W$26,$S3:$S1048576)),"-")</f>
        <v>35952500</v>
      </c>
      <c r="X30" s="40" cm="1">
        <f t="array" ref="X30">IFERROR(AVERAGE(IF(IF($P3:$P1048576="",$F3:$F1048576,$P3:$P1048576)=X$26,$S3:$S1048576)),"-")</f>
        <v>43828571.428571425</v>
      </c>
      <c r="Y30" s="40" cm="1">
        <f t="array" ref="Y30">IFERROR(AVERAGE(IF(IF($P3:$P1048576="",$F3:$F1048576,$P3:$P1048576)=Y$26,$S3:$S1048576)),"-")</f>
        <v>44780000</v>
      </c>
      <c r="Z30" s="40" cm="1">
        <f t="array" ref="Z30">IFERROR(AVERAGE(IF(IF($P3:$P1048576="",$F3:$F1048576,$P3:$P1048576)=Z$26,$S3:$S1048576)),"-")</f>
        <v>50905000</v>
      </c>
      <c r="AA30" s="40" cm="1">
        <f t="array" ref="AA30">IFERROR(AVERAGE(IF(IF($P3:$P1048576="",$F3:$F1048576,$P3:$P1048576)=AA$26,$S3:$S1048576)),"-")</f>
        <v>59715000</v>
      </c>
      <c r="AB30" s="40" cm="1">
        <f t="array" ref="AB30">IFERROR(AVERAGE(IF(IF($P3:$P1048576="",$F3:$F1048576,$P3:$P1048576)=AB$26,$S3:$S1048576)),"-")</f>
        <v>69433333.333333328</v>
      </c>
    </row>
    <row r="31" spans="1:38" ht="15.75" x14ac:dyDescent="0.6">
      <c r="A31" s="9">
        <v>29</v>
      </c>
      <c r="B31" s="16" t="s">
        <v>62</v>
      </c>
      <c r="C31" s="16" t="s">
        <v>80</v>
      </c>
      <c r="D31" s="16" t="s">
        <v>77</v>
      </c>
      <c r="E31" s="17" t="s">
        <v>27</v>
      </c>
      <c r="F31" s="16" t="s">
        <v>28</v>
      </c>
      <c r="G31" s="16">
        <v>1</v>
      </c>
      <c r="H31" s="18">
        <v>36000000</v>
      </c>
      <c r="I31" s="19"/>
      <c r="K31" s="21">
        <v>0.02</v>
      </c>
      <c r="L31" s="22" t="s">
        <v>111</v>
      </c>
      <c r="M31" s="6" cm="1">
        <f t="array" ref="M31">IF(L31="","",_xlfn.IFS(L31="S",0.04,L31="A",0.03,L31="B",0.02,L31="C",0.01,L31="D",0,TRUE,""))</f>
        <v>0.02</v>
      </c>
      <c r="N31" s="22" t="s">
        <v>102</v>
      </c>
      <c r="O31" s="6" cm="1">
        <f t="array" ref="O31">IF(N31="","",_xlfn.IFS(N31="Y",0.01,N31="N",0,TRUE,""))</f>
        <v>0</v>
      </c>
      <c r="P31" s="16" t="s">
        <v>28</v>
      </c>
      <c r="Q31" s="16">
        <v>1</v>
      </c>
      <c r="R31" s="6">
        <f t="shared" si="0"/>
        <v>0.04</v>
      </c>
      <c r="S31" s="7">
        <f t="shared" si="1"/>
        <v>37440000</v>
      </c>
      <c r="T31" s="22"/>
      <c r="V31" s="59" t="s">
        <v>10</v>
      </c>
      <c r="W31" s="40" cm="1">
        <f t="array" ref="W31">IFERROR(MEDIAN(IF(IF($P3:$P1048576="",$F3:$F1048576,$P3:$P1048576)=W$26,$S3:$S1048576)),"-")</f>
        <v>36885000</v>
      </c>
      <c r="X31" s="40" cm="1">
        <f t="array" ref="X31">IFERROR(MEDIAN(IF(IF($P3:$P1048576="",$F3:$F1048576,$P3:$P1048576)=X$26,$S3:$S1048576)),"-")</f>
        <v>44200000</v>
      </c>
      <c r="Y31" s="40" cm="1">
        <f t="array" ref="Y31">IFERROR(MEDIAN(IF(IF($P3:$P1048576="",$F3:$F1048576,$P3:$P1048576)=Y$26,$S3:$S1048576)),"-")</f>
        <v>44780000</v>
      </c>
      <c r="Z31" s="40" cm="1">
        <f t="array" ref="Z31">IFERROR(MEDIAN(IF(IF($P3:$P1048576="",$F3:$F1048576,$P3:$P1048576)=Z$26,$S3:$S1048576)),"-")</f>
        <v>50905000</v>
      </c>
      <c r="AA31" s="40" cm="1">
        <f t="array" ref="AA31">IFERROR(MEDIAN(IF(IF($P3:$P1048576="",$F3:$F1048576,$P3:$P1048576)=AA$26,$S3:$S1048576)),"-")</f>
        <v>60405000</v>
      </c>
      <c r="AB31" s="40" cm="1">
        <f t="array" ref="AB31">IFERROR(MEDIAN(IF(IF($P3:$P1048576="",$F3:$F1048576,$P3:$P1048576)=AB$26,$S3:$S1048576)),"-")</f>
        <v>68995000</v>
      </c>
      <c r="AD31" s="73" t="s">
        <v>130</v>
      </c>
      <c r="AE31" s="74"/>
      <c r="AF31" s="74"/>
      <c r="AG31" s="74"/>
      <c r="AH31" s="74"/>
      <c r="AI31" s="74"/>
      <c r="AJ31" s="74"/>
      <c r="AK31" s="74"/>
      <c r="AL31" s="75"/>
    </row>
    <row r="32" spans="1:38" ht="15.75" x14ac:dyDescent="0.6">
      <c r="A32" s="9">
        <v>30</v>
      </c>
      <c r="B32" s="16" t="s">
        <v>63</v>
      </c>
      <c r="C32" s="16" t="s">
        <v>80</v>
      </c>
      <c r="D32" s="16" t="s">
        <v>77</v>
      </c>
      <c r="E32" s="17" t="s">
        <v>27</v>
      </c>
      <c r="F32" s="16" t="s">
        <v>28</v>
      </c>
      <c r="G32" s="16">
        <v>1</v>
      </c>
      <c r="H32" s="18">
        <v>36540000</v>
      </c>
      <c r="I32" s="11"/>
      <c r="K32" s="21">
        <v>0.02</v>
      </c>
      <c r="L32" s="22" t="s">
        <v>111</v>
      </c>
      <c r="M32" s="6" cm="1">
        <f t="array" ref="M32">IF(L32="","",_xlfn.IFS(L32="S",0.04,L32="A",0.03,L32="B",0.02,L32="C",0.01,L32="D",0,TRUE,""))</f>
        <v>0.02</v>
      </c>
      <c r="N32" s="22" t="s">
        <v>102</v>
      </c>
      <c r="O32" s="6" cm="1">
        <f t="array" ref="O32">IF(N32="","",_xlfn.IFS(N32="Y",0.01,N32="N",0,TRUE,""))</f>
        <v>0</v>
      </c>
      <c r="P32" s="16" t="s">
        <v>28</v>
      </c>
      <c r="Q32" s="16">
        <v>1</v>
      </c>
      <c r="R32" s="6">
        <f t="shared" si="0"/>
        <v>0.04</v>
      </c>
      <c r="S32" s="7">
        <f t="shared" si="1"/>
        <v>38000000</v>
      </c>
      <c r="T32" s="22"/>
      <c r="V32" s="59" t="s">
        <v>12</v>
      </c>
      <c r="W32" s="41">
        <f t="shared" ref="W32:AB32" si="7">IFERROR((W28-W29)/W29,"-")</f>
        <v>0.15895432692307693</v>
      </c>
      <c r="X32" s="41">
        <f t="shared" si="7"/>
        <v>0.35714285714285715</v>
      </c>
      <c r="Y32" s="41">
        <f t="shared" si="7"/>
        <v>0</v>
      </c>
      <c r="Z32" s="41">
        <f t="shared" si="7"/>
        <v>1.2055335968379446E-2</v>
      </c>
      <c r="AA32" s="41">
        <f t="shared" si="7"/>
        <v>0.12298788207632483</v>
      </c>
      <c r="AB32" s="41">
        <f t="shared" si="7"/>
        <v>0.16935483870967741</v>
      </c>
    </row>
    <row r="33" spans="1:36" ht="15.75" x14ac:dyDescent="0.6">
      <c r="A33" s="9">
        <v>31</v>
      </c>
      <c r="B33" s="16" t="s">
        <v>64</v>
      </c>
      <c r="C33" s="16" t="s">
        <v>80</v>
      </c>
      <c r="D33" s="16" t="s">
        <v>77</v>
      </c>
      <c r="E33" s="17" t="s">
        <v>27</v>
      </c>
      <c r="F33" s="16" t="s">
        <v>28</v>
      </c>
      <c r="G33" s="16">
        <v>1</v>
      </c>
      <c r="H33" s="18">
        <v>37090000</v>
      </c>
      <c r="I33" s="11"/>
      <c r="K33" s="21">
        <v>0.02</v>
      </c>
      <c r="L33" s="22" t="s">
        <v>111</v>
      </c>
      <c r="M33" s="6" cm="1">
        <f t="array" ref="M33">IF(L33="","",_xlfn.IFS(L33="S",0.04,L33="A",0.03,L33="B",0.02,L33="C",0.01,L33="D",0,TRUE,""))</f>
        <v>0.02</v>
      </c>
      <c r="N33" s="22" t="s">
        <v>102</v>
      </c>
      <c r="O33" s="6" cm="1">
        <f t="array" ref="O33">IF(N33="","",_xlfn.IFS(N33="Y",0.01,N33="N",0,TRUE,""))</f>
        <v>0</v>
      </c>
      <c r="P33" s="16" t="s">
        <v>28</v>
      </c>
      <c r="Q33" s="16">
        <v>1</v>
      </c>
      <c r="R33" s="6">
        <f t="shared" si="0"/>
        <v>0.04</v>
      </c>
      <c r="S33" s="7">
        <f t="shared" si="1"/>
        <v>38570000</v>
      </c>
      <c r="T33" s="22"/>
      <c r="V33" s="59" t="s">
        <v>13</v>
      </c>
      <c r="W33" s="42" t="str">
        <f t="shared" ref="W33:AB33" si="8">IFERROR(W31/V31-1,"-")</f>
        <v>-</v>
      </c>
      <c r="X33" s="41">
        <f t="shared" si="8"/>
        <v>0.19831909990511054</v>
      </c>
      <c r="Y33" s="41">
        <f t="shared" si="8"/>
        <v>1.3122171945701311E-2</v>
      </c>
      <c r="Z33" s="41">
        <f t="shared" si="8"/>
        <v>0.13677981241625736</v>
      </c>
      <c r="AA33" s="41">
        <f t="shared" si="8"/>
        <v>0.18662213927904925</v>
      </c>
      <c r="AB33" s="41">
        <f t="shared" si="8"/>
        <v>0.14220677096266865</v>
      </c>
    </row>
    <row r="34" spans="1:36" ht="15.75" x14ac:dyDescent="0.6">
      <c r="A34" s="9">
        <v>32</v>
      </c>
      <c r="B34" s="16" t="s">
        <v>65</v>
      </c>
      <c r="C34" s="16" t="s">
        <v>80</v>
      </c>
      <c r="D34" s="16" t="s">
        <v>77</v>
      </c>
      <c r="E34" s="17" t="s">
        <v>91</v>
      </c>
      <c r="F34" s="16" t="s">
        <v>28</v>
      </c>
      <c r="G34" s="16">
        <v>1</v>
      </c>
      <c r="H34" s="18">
        <v>32000000</v>
      </c>
      <c r="I34" s="11"/>
      <c r="K34" s="21">
        <v>0.02</v>
      </c>
      <c r="L34" s="22" t="s">
        <v>111</v>
      </c>
      <c r="M34" s="6" cm="1">
        <f t="array" ref="M34">IF(L34="","",_xlfn.IFS(L34="S",0.04,L34="A",0.03,L34="B",0.02,L34="C",0.01,L34="D",0,TRUE,""))</f>
        <v>0.02</v>
      </c>
      <c r="N34" s="22" t="s">
        <v>102</v>
      </c>
      <c r="O34" s="6" cm="1">
        <f t="array" ref="O34">IF(N34="","",_xlfn.IFS(N34="Y",0.01,N34="N",0,TRUE,""))</f>
        <v>0</v>
      </c>
      <c r="P34" s="16" t="s">
        <v>28</v>
      </c>
      <c r="Q34" s="16">
        <v>1</v>
      </c>
      <c r="R34" s="6">
        <f t="shared" si="0"/>
        <v>0.04</v>
      </c>
      <c r="S34" s="7">
        <f t="shared" si="1"/>
        <v>33280000</v>
      </c>
      <c r="T34" s="22"/>
      <c r="V34" s="59" t="s">
        <v>14</v>
      </c>
      <c r="W34" s="41" t="str">
        <f t="shared" ref="W34:AB34" si="9">IFERROR(MAX((V28-W29)/(W28-W29),0),"-")</f>
        <v>-</v>
      </c>
      <c r="X34" s="41">
        <f t="shared" si="9"/>
        <v>0.16692307692307692</v>
      </c>
      <c r="Y34" s="41" t="str">
        <f t="shared" si="9"/>
        <v>-</v>
      </c>
      <c r="Z34" s="41">
        <f t="shared" si="9"/>
        <v>0</v>
      </c>
      <c r="AA34" s="41">
        <f t="shared" si="9"/>
        <v>0</v>
      </c>
      <c r="AB34" s="41">
        <f t="shared" si="9"/>
        <v>0</v>
      </c>
    </row>
    <row r="35" spans="1:36" ht="15.75" x14ac:dyDescent="0.6">
      <c r="A35" s="9">
        <v>33</v>
      </c>
      <c r="B35" s="16" t="s">
        <v>66</v>
      </c>
      <c r="C35" s="16" t="s">
        <v>80</v>
      </c>
      <c r="D35" s="16" t="s">
        <v>77</v>
      </c>
      <c r="E35" s="17" t="s">
        <v>91</v>
      </c>
      <c r="F35" s="16" t="s">
        <v>28</v>
      </c>
      <c r="G35" s="16">
        <v>1</v>
      </c>
      <c r="H35" s="18">
        <v>32000000</v>
      </c>
      <c r="I35" s="11"/>
      <c r="K35" s="21">
        <v>0.02</v>
      </c>
      <c r="L35" s="22" t="s">
        <v>111</v>
      </c>
      <c r="M35" s="6" cm="1">
        <f t="array" ref="M35">IF(L35="","",_xlfn.IFS(L35="S",0.04,L35="A",0.03,L35="B",0.02,L35="C",0.01,L35="D",0,TRUE,""))</f>
        <v>0.02</v>
      </c>
      <c r="N35" s="22" t="s">
        <v>102</v>
      </c>
      <c r="O35" s="6" cm="1">
        <f t="array" ref="O35">IF(N35="","",_xlfn.IFS(N35="Y",0.01,N35="N",0,TRUE,""))</f>
        <v>0</v>
      </c>
      <c r="P35" s="16" t="s">
        <v>28</v>
      </c>
      <c r="Q35" s="16">
        <v>1</v>
      </c>
      <c r="R35" s="6">
        <f t="shared" si="0"/>
        <v>0.04</v>
      </c>
      <c r="S35" s="7">
        <f t="shared" si="1"/>
        <v>33280000</v>
      </c>
      <c r="T35" s="22"/>
    </row>
    <row r="36" spans="1:36" ht="15.75" x14ac:dyDescent="0.6">
      <c r="A36" s="9">
        <v>34</v>
      </c>
      <c r="B36" s="16" t="s">
        <v>67</v>
      </c>
      <c r="C36" s="16" t="s">
        <v>80</v>
      </c>
      <c r="D36" s="16" t="s">
        <v>77</v>
      </c>
      <c r="E36" s="17" t="s">
        <v>91</v>
      </c>
      <c r="F36" s="16" t="s">
        <v>28</v>
      </c>
      <c r="G36" s="16">
        <v>1</v>
      </c>
      <c r="H36" s="18">
        <v>32000000</v>
      </c>
      <c r="I36" s="11"/>
      <c r="K36" s="21">
        <v>0.02</v>
      </c>
      <c r="L36" s="22" t="s">
        <v>111</v>
      </c>
      <c r="M36" s="6" cm="1">
        <f t="array" ref="M36">IF(L36="","",_xlfn.IFS(L36="S",0.04,L36="A",0.03,L36="B",0.02,L36="C",0.01,L36="D",0,TRUE,""))</f>
        <v>0.02</v>
      </c>
      <c r="N36" s="22" t="s">
        <v>102</v>
      </c>
      <c r="O36" s="6" cm="1">
        <f t="array" ref="O36">IF(N36="","",_xlfn.IFS(N36="Y",0.01,N36="N",0,TRUE,""))</f>
        <v>0</v>
      </c>
      <c r="P36" s="16" t="s">
        <v>28</v>
      </c>
      <c r="Q36" s="16">
        <v>1</v>
      </c>
      <c r="R36" s="6">
        <f t="shared" si="0"/>
        <v>0.04</v>
      </c>
      <c r="S36" s="7">
        <f t="shared" si="1"/>
        <v>33280000</v>
      </c>
      <c r="T36" s="22"/>
    </row>
    <row r="37" spans="1:36" ht="15.75" x14ac:dyDescent="0.6">
      <c r="A37" s="9">
        <v>35</v>
      </c>
      <c r="B37" s="9"/>
      <c r="C37" s="9"/>
      <c r="D37" s="9"/>
      <c r="E37" s="9"/>
      <c r="F37" s="10"/>
      <c r="G37" s="9"/>
      <c r="H37" s="20"/>
      <c r="I37" s="11"/>
      <c r="K37" s="21"/>
      <c r="L37" s="22"/>
      <c r="M37" s="6" t="str" cm="1">
        <f t="array" ref="M37">IF(L37="","",_xlfn.IFS(L37="S",0.04,L37="A",0.03,L37="B",0.02,L37="C",0.01,L37="D",0,TRUE,""))</f>
        <v/>
      </c>
      <c r="N37" s="22"/>
      <c r="O37" s="6" t="str" cm="1">
        <f t="array" ref="O37">IF(N37="","",_xlfn.IFS(N37="Y",0.01,N37="N",0,TRUE,""))</f>
        <v/>
      </c>
      <c r="P37" s="6"/>
      <c r="Q37" s="6"/>
      <c r="R37" s="6"/>
      <c r="S37" s="7" t="str">
        <f t="shared" si="1"/>
        <v/>
      </c>
      <c r="T37" s="22"/>
    </row>
    <row r="38" spans="1:36" ht="15.75" x14ac:dyDescent="0.6">
      <c r="A38" s="9">
        <v>36</v>
      </c>
      <c r="B38" s="9"/>
      <c r="C38" s="9"/>
      <c r="D38" s="9"/>
      <c r="E38" s="9"/>
      <c r="F38" s="10"/>
      <c r="G38" s="9"/>
      <c r="H38" s="20"/>
      <c r="I38" s="11"/>
      <c r="K38" s="21"/>
      <c r="L38" s="22"/>
      <c r="M38" s="6" t="str" cm="1">
        <f t="array" ref="M38">IF(L38="","",_xlfn.IFS(L38="S",0.04,L38="A",0.03,L38="B",0.02,L38="C",0.01,L38="D",0,TRUE,""))</f>
        <v/>
      </c>
      <c r="N38" s="22"/>
      <c r="O38" s="6" t="str" cm="1">
        <f t="array" ref="O38">IF(N38="","",_xlfn.IFS(N38="Y",0.01,N38="N",0,TRUE,""))</f>
        <v/>
      </c>
      <c r="P38" s="6"/>
      <c r="Q38" s="6"/>
      <c r="R38" s="6"/>
      <c r="S38" s="7" t="str">
        <f t="shared" si="1"/>
        <v/>
      </c>
      <c r="T38" s="22"/>
      <c r="V38" s="37" t="s">
        <v>115</v>
      </c>
      <c r="W38" s="37"/>
      <c r="X38" s="37"/>
      <c r="Y38" s="37"/>
      <c r="Z38" s="37"/>
      <c r="AA38" s="37"/>
      <c r="AB38" s="37"/>
    </row>
    <row r="39" spans="1:36" ht="15.75" x14ac:dyDescent="0.6">
      <c r="A39" s="9">
        <v>37</v>
      </c>
      <c r="B39" s="9"/>
      <c r="C39" s="9"/>
      <c r="D39" s="9"/>
      <c r="E39" s="9"/>
      <c r="F39" s="10"/>
      <c r="G39" s="9"/>
      <c r="H39" s="20"/>
      <c r="I39" s="11"/>
      <c r="K39" s="21"/>
      <c r="L39" s="22"/>
      <c r="M39" s="6" t="str" cm="1">
        <f t="array" ref="M39">IF(L39="","",_xlfn.IFS(L39="S",0.04,L39="A",0.03,L39="B",0.02,L39="C",0.01,L39="D",0,TRUE,""))</f>
        <v/>
      </c>
      <c r="N39" s="22"/>
      <c r="O39" s="6" t="str" cm="1">
        <f t="array" ref="O39">IF(N39="","",_xlfn.IFS(N39="Y",0.01,N39="N",0,TRUE,""))</f>
        <v/>
      </c>
      <c r="P39" s="6"/>
      <c r="Q39" s="6"/>
      <c r="R39" s="6"/>
      <c r="S39" s="7" t="str">
        <f t="shared" si="1"/>
        <v/>
      </c>
      <c r="T39" s="22"/>
      <c r="V39" s="63" t="s">
        <v>3</v>
      </c>
      <c r="W39" s="76" t="s">
        <v>116</v>
      </c>
      <c r="X39" s="76"/>
      <c r="Y39" s="76" t="s">
        <v>117</v>
      </c>
      <c r="Z39" s="76"/>
      <c r="AA39" s="63" t="s">
        <v>118</v>
      </c>
      <c r="AB39" s="63" t="s">
        <v>119</v>
      </c>
    </row>
    <row r="40" spans="1:36" ht="15.75" x14ac:dyDescent="0.6">
      <c r="A40" s="9">
        <v>38</v>
      </c>
      <c r="B40" s="9"/>
      <c r="C40" s="9"/>
      <c r="D40" s="9"/>
      <c r="E40" s="9"/>
      <c r="F40" s="10"/>
      <c r="G40" s="9"/>
      <c r="H40" s="20"/>
      <c r="I40" s="11"/>
      <c r="K40" s="21"/>
      <c r="L40" s="22"/>
      <c r="M40" s="6" t="str" cm="1">
        <f t="array" ref="M40">IF(L40="","",_xlfn.IFS(L40="S",0.04,L40="A",0.03,L40="B",0.02,L40="C",0.01,L40="D",0,TRUE,""))</f>
        <v/>
      </c>
      <c r="N40" s="22"/>
      <c r="O40" s="6" t="str" cm="1">
        <f t="array" ref="O40">IF(N40="","",_xlfn.IFS(N40="Y",0.01,N40="N",0,TRUE,""))</f>
        <v/>
      </c>
      <c r="P40" s="6"/>
      <c r="Q40" s="6"/>
      <c r="R40" s="6"/>
      <c r="S40" s="7" t="str">
        <f t="shared" si="1"/>
        <v/>
      </c>
      <c r="T40" s="22"/>
      <c r="V40" s="59" t="s">
        <v>120</v>
      </c>
      <c r="W40" s="68">
        <f>COUNTA($B$3:$B$49)</f>
        <v>34</v>
      </c>
      <c r="X40" s="68"/>
      <c r="Y40" s="68">
        <f>COUNTA($B$3:$B$49)</f>
        <v>34</v>
      </c>
      <c r="Z40" s="68"/>
      <c r="AA40" s="61" t="s">
        <v>25</v>
      </c>
      <c r="AB40" s="61" t="s">
        <v>25</v>
      </c>
    </row>
    <row r="41" spans="1:36" ht="15.75" x14ac:dyDescent="0.6">
      <c r="A41" s="9">
        <v>39</v>
      </c>
      <c r="B41" s="9"/>
      <c r="C41" s="9"/>
      <c r="D41" s="9"/>
      <c r="E41" s="9"/>
      <c r="F41" s="10"/>
      <c r="G41" s="9"/>
      <c r="H41" s="20"/>
      <c r="I41" s="11"/>
      <c r="K41" s="21"/>
      <c r="L41" s="22"/>
      <c r="M41" s="6" t="str" cm="1">
        <f t="array" ref="M41">IF(L41="","",_xlfn.IFS(L41="S",0.04,L41="A",0.03,L41="B",0.02,L41="C",0.01,L41="D",0,TRUE,""))</f>
        <v/>
      </c>
      <c r="N41" s="22"/>
      <c r="O41" s="6" t="str" cm="1">
        <f t="array" ref="O41">IF(N41="","",_xlfn.IFS(N41="Y",0.01,N41="N",0,TRUE,""))</f>
        <v/>
      </c>
      <c r="P41" s="6"/>
      <c r="Q41" s="6"/>
      <c r="R41" s="6"/>
      <c r="S41" s="7" t="str">
        <f t="shared" si="1"/>
        <v/>
      </c>
      <c r="T41" s="22"/>
      <c r="V41" s="59" t="s">
        <v>121</v>
      </c>
      <c r="W41" s="68">
        <f>SUM($H$3:$H$49)</f>
        <v>1687275000</v>
      </c>
      <c r="X41" s="68"/>
      <c r="Y41" s="68">
        <f>SUMIF($S$3:$S$49,"&gt;0",$S$3:$S$49)</f>
        <v>1754760000</v>
      </c>
      <c r="Z41" s="68"/>
      <c r="AA41" s="60">
        <f>Y41-W41</f>
        <v>67485000</v>
      </c>
      <c r="AB41" s="62">
        <f>IF(W41=0,"-",Y41/W41-1)</f>
        <v>3.9996443970307105E-2</v>
      </c>
    </row>
    <row r="42" spans="1:36" ht="15.75" x14ac:dyDescent="0.6">
      <c r="A42" s="9">
        <v>40</v>
      </c>
      <c r="B42" s="9"/>
      <c r="C42" s="9"/>
      <c r="D42" s="9"/>
      <c r="E42" s="9"/>
      <c r="F42" s="10"/>
      <c r="G42" s="9"/>
      <c r="H42" s="20"/>
      <c r="I42" s="11"/>
      <c r="K42" s="21"/>
      <c r="L42" s="22"/>
      <c r="M42" s="6" t="str" cm="1">
        <f t="array" ref="M42">IF(L42="","",_xlfn.IFS(L42="S",0.04,L42="A",0.03,L42="B",0.02,L42="C",0.01,L42="D",0,TRUE,""))</f>
        <v/>
      </c>
      <c r="N42" s="22"/>
      <c r="O42" s="6" t="str" cm="1">
        <f t="array" ref="O42">IF(N42="","",_xlfn.IFS(N42="Y",0.01,N42="N",0,TRUE,""))</f>
        <v/>
      </c>
      <c r="P42" s="6"/>
      <c r="Q42" s="6"/>
      <c r="R42" s="6"/>
      <c r="S42" s="7" t="str">
        <f t="shared" si="1"/>
        <v/>
      </c>
      <c r="T42" s="22"/>
      <c r="V42" s="59" t="s">
        <v>122</v>
      </c>
      <c r="W42" s="68">
        <f>AVERAGEIF($H$3:$H$49,"&gt;0")</f>
        <v>49625735.294117644</v>
      </c>
      <c r="X42" s="68"/>
      <c r="Y42" s="68">
        <f>AVERAGEIF($S$3:$S$49,"&gt;0")</f>
        <v>51610588.235294119</v>
      </c>
      <c r="Z42" s="68"/>
      <c r="AA42" s="60">
        <f>Y42-W42</f>
        <v>1984852.9411764741</v>
      </c>
      <c r="AB42" s="62">
        <f>IF(W42=0,"-",Y42/W42-1)</f>
        <v>3.9996443970307327E-2</v>
      </c>
    </row>
    <row r="43" spans="1:36" ht="15.75" x14ac:dyDescent="0.6">
      <c r="A43" s="9">
        <v>41</v>
      </c>
      <c r="B43" s="9"/>
      <c r="C43" s="9"/>
      <c r="D43" s="9"/>
      <c r="E43" s="9"/>
      <c r="F43" s="10"/>
      <c r="G43" s="9"/>
      <c r="H43" s="20"/>
      <c r="I43" s="11"/>
      <c r="K43" s="21"/>
      <c r="L43" s="22"/>
      <c r="M43" s="6" t="str" cm="1">
        <f t="array" ref="M43">IF(L43="","",_xlfn.IFS(L43="S",0.04,L43="A",0.03,L43="B",0.02,L43="C",0.01,L43="D",0,TRUE,""))</f>
        <v/>
      </c>
      <c r="N43" s="22"/>
      <c r="O43" s="6" t="str" cm="1">
        <f t="array" ref="O43">IF(N43="","",_xlfn.IFS(N43="Y",0.01,N43="N",0,TRUE,""))</f>
        <v/>
      </c>
      <c r="P43" s="6"/>
      <c r="Q43" s="6"/>
      <c r="R43" s="6"/>
      <c r="S43" s="7" t="str">
        <f t="shared" si="1"/>
        <v/>
      </c>
      <c r="T43" s="22"/>
      <c r="V43" s="59" t="s">
        <v>123</v>
      </c>
      <c r="W43" s="68">
        <f>MAX($H$3:$H$49)</f>
        <v>72500000</v>
      </c>
      <c r="X43" s="68"/>
      <c r="Y43" s="68">
        <f>_xlfn.MAXIFS($S$3:$S$49,$S$3:$S$49,"&gt;0")</f>
        <v>75400000</v>
      </c>
      <c r="Z43" s="68"/>
      <c r="AA43" s="60">
        <f>Y43-W43</f>
        <v>2900000</v>
      </c>
      <c r="AB43" s="62">
        <f>IF(W43=0,"-",Y43/W43-1)</f>
        <v>4.0000000000000036E-2</v>
      </c>
    </row>
    <row r="44" spans="1:36" ht="15.75" x14ac:dyDescent="0.6">
      <c r="A44" s="9">
        <v>42</v>
      </c>
      <c r="B44" s="9"/>
      <c r="C44" s="9"/>
      <c r="D44" s="9"/>
      <c r="E44" s="9"/>
      <c r="F44" s="10"/>
      <c r="G44" s="9"/>
      <c r="H44" s="20"/>
      <c r="I44" s="11"/>
      <c r="K44" s="21"/>
      <c r="L44" s="22"/>
      <c r="M44" s="6" t="str" cm="1">
        <f t="array" ref="M44">IF(L44="","",_xlfn.IFS(L44="S",0.04,L44="A",0.03,L44="B",0.02,L44="C",0.01,L44="D",0,TRUE,""))</f>
        <v/>
      </c>
      <c r="N44" s="22"/>
      <c r="O44" s="6" t="str" cm="1">
        <f t="array" ref="O44">IF(N44="","",_xlfn.IFS(N44="Y",0.01,N44="N",0,TRUE,""))</f>
        <v/>
      </c>
      <c r="P44" s="6"/>
      <c r="Q44" s="6"/>
      <c r="R44" s="6"/>
      <c r="S44" s="7" t="str">
        <f t="shared" si="1"/>
        <v/>
      </c>
      <c r="T44" s="22"/>
      <c r="V44" s="59" t="s">
        <v>124</v>
      </c>
      <c r="W44" s="68">
        <f>_xlfn.MINIFS($H$3:$H$49,$H$3:$H$49,"&gt;0")</f>
        <v>32000000</v>
      </c>
      <c r="X44" s="68"/>
      <c r="Y44" s="68">
        <f>_xlfn.MINIFS($S$3:$S$49,$S$3:$S$49,"&gt;0")</f>
        <v>33280000</v>
      </c>
      <c r="Z44" s="68"/>
      <c r="AA44" s="60">
        <f>Y44-W44</f>
        <v>1280000</v>
      </c>
      <c r="AB44" s="62">
        <f>IF(W44=0,"-",Y44/W44-1)</f>
        <v>4.0000000000000036E-2</v>
      </c>
      <c r="AE44" s="3"/>
      <c r="AF44" s="3"/>
      <c r="AG44" s="3"/>
      <c r="AH44" s="3"/>
      <c r="AI44" s="3"/>
      <c r="AJ44" s="3"/>
    </row>
    <row r="45" spans="1:36" ht="15.75" x14ac:dyDescent="0.6">
      <c r="A45" s="9">
        <v>43</v>
      </c>
      <c r="B45" s="9"/>
      <c r="C45" s="9"/>
      <c r="D45" s="9"/>
      <c r="E45" s="9"/>
      <c r="F45" s="10"/>
      <c r="G45" s="9"/>
      <c r="H45" s="20"/>
      <c r="I45" s="11"/>
      <c r="K45" s="21"/>
      <c r="L45" s="22"/>
      <c r="M45" s="6" t="str" cm="1">
        <f t="array" ref="M45">IF(L45="","",_xlfn.IFS(L45="S",0.04,L45="A",0.03,L45="B",0.02,L45="C",0.01,L45="D",0,TRUE,""))</f>
        <v/>
      </c>
      <c r="N45" s="22"/>
      <c r="O45" s="6" t="str" cm="1">
        <f t="array" ref="O45">IF(N45="","",_xlfn.IFS(N45="Y",0.01,N45="N",0,TRUE,""))</f>
        <v/>
      </c>
      <c r="P45" s="6"/>
      <c r="Q45" s="6"/>
      <c r="R45" s="6"/>
      <c r="S45" s="7" t="str">
        <f t="shared" si="1"/>
        <v/>
      </c>
      <c r="T45" s="22"/>
      <c r="V45" s="59" t="s">
        <v>125</v>
      </c>
      <c r="W45" s="68" cm="1">
        <f t="array" ref="W45">MEDIAN(IF($H$3:$H$49&gt;0,$H$3:$H$49))</f>
        <v>48945000</v>
      </c>
      <c r="X45" s="68"/>
      <c r="Y45" s="68" cm="1">
        <f t="array" ref="Y45">MEDIAN(IF($S$3:$S$49&gt;0,$S$3:$S$49))</f>
        <v>50905000</v>
      </c>
      <c r="Z45" s="68"/>
      <c r="AA45" s="60">
        <f>Y45-W45</f>
        <v>1960000</v>
      </c>
      <c r="AB45" s="62">
        <f>IF(W45=0,"-",Y45/W45-1)</f>
        <v>4.0044948411482206E-2</v>
      </c>
      <c r="AE45" s="3"/>
      <c r="AF45" s="3"/>
      <c r="AG45" s="3"/>
      <c r="AH45" s="3"/>
      <c r="AI45" s="3"/>
      <c r="AJ45" s="3"/>
    </row>
    <row r="46" spans="1:36" ht="15.75" x14ac:dyDescent="0.6">
      <c r="A46" s="9">
        <v>44</v>
      </c>
      <c r="B46" s="9"/>
      <c r="C46" s="9"/>
      <c r="D46" s="9"/>
      <c r="E46" s="9"/>
      <c r="F46" s="10"/>
      <c r="G46" s="9"/>
      <c r="H46" s="20"/>
      <c r="I46" s="11"/>
      <c r="K46" s="21"/>
      <c r="L46" s="22"/>
      <c r="M46" s="6" t="str" cm="1">
        <f t="array" ref="M46">IF(L46="","",_xlfn.IFS(L46="S",0.04,L46="A",0.03,L46="B",0.02,L46="C",0.01,L46="D",0,TRUE,""))</f>
        <v/>
      </c>
      <c r="N46" s="22"/>
      <c r="O46" s="6" t="str" cm="1">
        <f t="array" ref="O46">IF(N46="","",_xlfn.IFS(N46="Y",0.01,N46="N",0,TRUE,""))</f>
        <v/>
      </c>
      <c r="P46" s="6"/>
      <c r="Q46" s="6"/>
      <c r="R46" s="6"/>
      <c r="S46" s="7" t="str">
        <f t="shared" si="1"/>
        <v/>
      </c>
      <c r="T46" s="22"/>
      <c r="V46" s="59" t="s">
        <v>126</v>
      </c>
      <c r="W46" s="66" t="s">
        <v>25</v>
      </c>
      <c r="X46" s="66"/>
      <c r="Y46" s="68">
        <f>COUNTIF($R$3:$R$49,"&gt;0")</f>
        <v>34</v>
      </c>
      <c r="Z46" s="68"/>
      <c r="AA46" s="61" t="s">
        <v>25</v>
      </c>
      <c r="AB46" s="61" t="s">
        <v>25</v>
      </c>
    </row>
    <row r="47" spans="1:36" ht="15.75" x14ac:dyDescent="0.6">
      <c r="A47" s="9">
        <v>45</v>
      </c>
      <c r="B47" s="9"/>
      <c r="C47" s="9"/>
      <c r="D47" s="9"/>
      <c r="E47" s="9"/>
      <c r="F47" s="10"/>
      <c r="G47" s="9"/>
      <c r="H47" s="20"/>
      <c r="I47" s="11"/>
      <c r="K47" s="21"/>
      <c r="L47" s="22"/>
      <c r="M47" s="6" t="str" cm="1">
        <f t="array" ref="M47">IF(L47="","",_xlfn.IFS(L47="S",0.04,L47="A",0.03,L47="B",0.02,L47="C",0.01,L47="D",0,TRUE,""))</f>
        <v/>
      </c>
      <c r="N47" s="22"/>
      <c r="O47" s="6" t="str" cm="1">
        <f t="array" ref="O47">IF(N47="","",_xlfn.IFS(N47="Y",0.01,N47="N",0,TRUE,""))</f>
        <v/>
      </c>
      <c r="P47" s="6"/>
      <c r="Q47" s="6"/>
      <c r="R47" s="6"/>
      <c r="S47" s="7" t="str">
        <f t="shared" si="1"/>
        <v/>
      </c>
      <c r="T47" s="22"/>
      <c r="V47" s="59" t="s">
        <v>127</v>
      </c>
      <c r="W47" s="66" t="s">
        <v>25</v>
      </c>
      <c r="X47" s="66"/>
      <c r="Y47" s="67">
        <f>AVERAGEIF($R$3:$R$49,"&gt;0")</f>
        <v>4.0000000000000015E-2</v>
      </c>
      <c r="Z47" s="67"/>
      <c r="AA47" s="61" t="s">
        <v>25</v>
      </c>
      <c r="AB47" s="61" t="s">
        <v>25</v>
      </c>
      <c r="AE47" s="3"/>
      <c r="AF47" s="3"/>
      <c r="AG47" s="3"/>
      <c r="AH47" s="3"/>
      <c r="AI47" s="3"/>
      <c r="AJ47" s="3"/>
    </row>
    <row r="48" spans="1:36" ht="15.75" x14ac:dyDescent="0.6">
      <c r="A48" s="9">
        <v>46</v>
      </c>
      <c r="B48" s="9"/>
      <c r="C48" s="9"/>
      <c r="D48" s="9"/>
      <c r="E48" s="9"/>
      <c r="F48" s="10"/>
      <c r="G48" s="9"/>
      <c r="H48" s="20"/>
      <c r="I48" s="11"/>
      <c r="K48" s="21"/>
      <c r="L48" s="22"/>
      <c r="M48" s="6" t="str" cm="1">
        <f t="array" ref="M48">IF(L48="","",_xlfn.IFS(L48="S",0.04,L48="A",0.03,L48="B",0.02,L48="C",0.01,L48="D",0,TRUE,""))</f>
        <v/>
      </c>
      <c r="N48" s="22"/>
      <c r="O48" s="6" t="str" cm="1">
        <f t="array" ref="O48">IF(N48="","",_xlfn.IFS(N48="Y",0.01,N48="N",0,TRUE,""))</f>
        <v/>
      </c>
      <c r="P48" s="6"/>
      <c r="Q48" s="6"/>
      <c r="R48" s="6"/>
      <c r="S48" s="7" t="str">
        <f t="shared" si="1"/>
        <v/>
      </c>
      <c r="T48" s="22"/>
    </row>
    <row r="49" spans="1:20" ht="15.75" x14ac:dyDescent="0.6">
      <c r="A49" s="9">
        <v>47</v>
      </c>
      <c r="B49" s="9"/>
      <c r="C49" s="9"/>
      <c r="D49" s="9"/>
      <c r="E49" s="9"/>
      <c r="F49" s="10"/>
      <c r="G49" s="9"/>
      <c r="H49" s="20"/>
      <c r="I49" s="11"/>
      <c r="K49" s="21"/>
      <c r="L49" s="22"/>
      <c r="M49" s="6" t="str" cm="1">
        <f t="array" ref="M49">IF(L49="","",_xlfn.IFS(L49="S",0.04,L49="A",0.03,L49="B",0.02,L49="C",0.01,L49="D",0,TRUE,""))</f>
        <v/>
      </c>
      <c r="N49" s="22"/>
      <c r="O49" s="6" t="str" cm="1">
        <f t="array" ref="O49">IF(N49="","",_xlfn.IFS(N49="Y",0.01,N49="N",0,TRUE,""))</f>
        <v/>
      </c>
      <c r="P49" s="6"/>
      <c r="Q49" s="6"/>
      <c r="R49" s="6"/>
      <c r="S49" s="7" t="str">
        <f t="shared" si="1"/>
        <v/>
      </c>
      <c r="T49" s="22"/>
    </row>
    <row r="50" spans="1:20" x14ac:dyDescent="0.6">
      <c r="O50" s="2" t="str" cm="1">
        <f t="array" ref="O50">IF(N50="","",_xlfn.IFS(N50="Y",0.01,N50="N",0,TRUE,""))</f>
        <v/>
      </c>
      <c r="P50" s="2"/>
      <c r="Q50" s="2"/>
      <c r="S50" s="4" t="str">
        <f t="shared" ref="S50" si="10">IF(R50="","",ROUND(H50*(1+R50),-4))</f>
        <v/>
      </c>
    </row>
    <row r="51" spans="1:20" ht="14.25" thickBot="1" x14ac:dyDescent="0.65"/>
    <row r="52" spans="1:20" ht="17.25" thickBot="1" x14ac:dyDescent="0.65">
      <c r="A52" s="69" t="s">
        <v>143</v>
      </c>
      <c r="B52" s="70"/>
      <c r="C52" s="70"/>
      <c r="D52" s="70"/>
      <c r="E52" s="70"/>
      <c r="F52" s="70"/>
      <c r="G52" s="70"/>
      <c r="H52" s="70"/>
      <c r="I52" s="71"/>
      <c r="J52"/>
      <c r="K52" s="69" t="s">
        <v>144</v>
      </c>
      <c r="L52" s="70"/>
      <c r="M52" s="70"/>
      <c r="N52" s="70"/>
      <c r="O52" s="70"/>
      <c r="P52" s="70"/>
      <c r="Q52" s="70"/>
      <c r="R52" s="70"/>
      <c r="S52" s="71"/>
    </row>
    <row r="53" spans="1:20" ht="16.899999999999999" x14ac:dyDescent="0.6">
      <c r="A53" s="64" t="s">
        <v>145</v>
      </c>
      <c r="B53" s="72"/>
      <c r="C53" s="72"/>
      <c r="D53" s="72"/>
      <c r="E53" s="72"/>
      <c r="F53" s="72"/>
      <c r="G53" s="72"/>
      <c r="H53" s="72"/>
      <c r="I53" s="72"/>
      <c r="J53"/>
      <c r="K53" s="64" t="s">
        <v>145</v>
      </c>
      <c r="L53" s="72"/>
      <c r="M53" s="72"/>
      <c r="N53" s="72"/>
      <c r="O53" s="72"/>
      <c r="P53" s="72"/>
      <c r="Q53" s="72"/>
      <c r="R53" s="72"/>
      <c r="S53" s="72"/>
    </row>
    <row r="54" spans="1:20" ht="16.899999999999999" x14ac:dyDescent="0.6">
      <c r="A54" s="44" t="s">
        <v>142</v>
      </c>
      <c r="B54" s="43" t="s">
        <v>135</v>
      </c>
      <c r="C54" s="43" t="s">
        <v>146</v>
      </c>
      <c r="D54" s="43" t="s">
        <v>147</v>
      </c>
      <c r="E54" s="43" t="s">
        <v>148</v>
      </c>
      <c r="F54" s="43" t="s">
        <v>149</v>
      </c>
      <c r="G54" s="43" t="s">
        <v>150</v>
      </c>
      <c r="H54" s="43" t="s">
        <v>151</v>
      </c>
      <c r="I54" s="47" t="s">
        <v>152</v>
      </c>
      <c r="J54"/>
      <c r="K54" s="44" t="s">
        <v>142</v>
      </c>
      <c r="L54" s="43" t="s">
        <v>135</v>
      </c>
      <c r="M54" s="43" t="s">
        <v>146</v>
      </c>
      <c r="N54" s="43" t="s">
        <v>147</v>
      </c>
      <c r="O54" s="43" t="s">
        <v>148</v>
      </c>
      <c r="P54" s="43" t="s">
        <v>149</v>
      </c>
      <c r="Q54" s="43" t="s">
        <v>150</v>
      </c>
      <c r="R54" s="43" t="s">
        <v>151</v>
      </c>
      <c r="S54" s="47" t="s">
        <v>152</v>
      </c>
    </row>
    <row r="55" spans="1:20" ht="16.899999999999999" x14ac:dyDescent="0.6">
      <c r="A55" s="48" t="s">
        <v>153</v>
      </c>
      <c r="B55" s="45">
        <f>COUNTIF($D$3:$D$36,A55)</f>
        <v>3</v>
      </c>
      <c r="C55" s="45">
        <f>IFERROR(AVERAGEIF($D$3:$D$36,A55,$H$3:$H$36),"-")</f>
        <v>63903333.333333336</v>
      </c>
      <c r="D55" s="45">
        <f>IFERROR(_xlfn.MAXIFS($H$3:$H$36,$D$3:$D$36,A55),"-")</f>
        <v>65180000</v>
      </c>
      <c r="E55" s="45">
        <f>IFERROR(_xlfn.MINIFS($H$3:$H$36,$D$3:$D$36,A55),"-")</f>
        <v>62000000</v>
      </c>
      <c r="F55" s="45">
        <f>SUMIF($D$3:$D$36,A55,$H$3:$H$36)</f>
        <v>191710000</v>
      </c>
      <c r="G55" s="46">
        <f>IFERROR(F55/F$60,"-")</f>
        <v>0.11362107540264628</v>
      </c>
      <c r="H55" s="45" cm="1">
        <f t="array" ref="H55">IFERROR(MEDIAN(IF($D$3:$D$36=A55,$H$3:$H$36)),"-")</f>
        <v>64530000</v>
      </c>
      <c r="I55" s="49" t="str">
        <f>IFERROR(INDEX($F$3:$F$36,MATCH(_xlfn.MAXIFS($H$3:$H$36,$D$3:$D$36,A55),$H$3:$H$36,0)),"-")</f>
        <v>G6</v>
      </c>
      <c r="J55"/>
      <c r="K55" s="55" t="s">
        <v>153</v>
      </c>
      <c r="L55" s="45">
        <f>COUNTIF($D$3:$D$36,K55)</f>
        <v>3</v>
      </c>
      <c r="M55" s="45">
        <f>IFERROR(AVERAGEIF($D$3:$D$36,K55,$S$3:$S$36),"-")</f>
        <v>66460000</v>
      </c>
      <c r="N55" s="45">
        <f>IFERROR(_xlfn.MAXIFS($S$3:$S$36,$D$3:$D$36,K55),"-")</f>
        <v>67790000</v>
      </c>
      <c r="O55" s="45">
        <f>IFERROR(_xlfn.MINIFS($S$3:$S$36,$D$3:$D$36,K55,$S$3:$S$36,"&gt;0"),"-")</f>
        <v>64480000</v>
      </c>
      <c r="P55" s="45">
        <f>SUMIF($D$3:$D$36,K55,$S$3:$S$36)</f>
        <v>199380000</v>
      </c>
      <c r="Q55" s="46">
        <f>IFERROR(P55/P$60,"-")</f>
        <v>0.11362237570949874</v>
      </c>
      <c r="R55" s="45" cm="1">
        <f t="array" ref="R55">IFERROR(MEDIAN(IF($D$3:$D$36=K55,$S$3:$S$36)),"-")</f>
        <v>67110000</v>
      </c>
      <c r="S55" s="49" t="str">
        <f>IFERROR(INDEX($F$3:$F$36,MATCH(_xlfn.MAXIFS($S$3:$S$36,$D$3:$D$36,K55),$S$3:$S$36,0)),"-")</f>
        <v>G6</v>
      </c>
    </row>
    <row r="56" spans="1:20" ht="16.899999999999999" x14ac:dyDescent="0.6">
      <c r="A56" s="48" t="s">
        <v>154</v>
      </c>
      <c r="B56" s="45">
        <f>COUNTIF($D$3:$D$36,A56)</f>
        <v>2</v>
      </c>
      <c r="C56" s="45">
        <f>IFERROR(AVERAGEIF($D$3:$D$36,A56,$H$3:$H$36),"-")</f>
        <v>46347500</v>
      </c>
      <c r="D56" s="45">
        <f>IFERROR(_xlfn.MAXIFS($H$3:$H$36,$D$3:$D$36,A56),"-")</f>
        <v>57760000</v>
      </c>
      <c r="E56" s="45">
        <f>IFERROR(_xlfn.MINIFS($H$3:$H$36,$D$3:$D$36,A56),"-")</f>
        <v>34935000</v>
      </c>
      <c r="F56" s="45">
        <f>SUMIF($D$3:$D$36,A56,$H$3:$H$36)</f>
        <v>92695000</v>
      </c>
      <c r="G56" s="46">
        <f>IFERROR(F56/F$60,"-")</f>
        <v>5.4937695396423229E-2</v>
      </c>
      <c r="H56" s="45" cm="1">
        <f t="array" ref="H56">IFERROR(MEDIAN(IF($D$3:$D$36=A56,$H$3:$H$36)),"-")</f>
        <v>46347500</v>
      </c>
      <c r="I56" s="49" t="str">
        <f>IFERROR(INDEX($F$3:$F$36,MATCH(_xlfn.MAXIFS($H$3:$H$36,$D$3:$D$36,A56),$H$3:$H$36,0)),"-")</f>
        <v>G5</v>
      </c>
      <c r="J56"/>
      <c r="K56" s="55" t="s">
        <v>154</v>
      </c>
      <c r="L56" s="45">
        <f>COUNTIF($D$3:$D$36,K56)</f>
        <v>2</v>
      </c>
      <c r="M56" s="45">
        <f>IFERROR(AVERAGEIF($D$3:$D$36,K56,$S$3:$S$36),"-")</f>
        <v>48200000</v>
      </c>
      <c r="N56" s="45">
        <f>IFERROR(_xlfn.MAXIFS($S$3:$S$36,$D$3:$D$36,K56),"-")</f>
        <v>60070000</v>
      </c>
      <c r="O56" s="45">
        <f>IFERROR(_xlfn.MINIFS($S$3:$S$36,$D$3:$D$36,K56,$S$3:$S$36,"&gt;0"),"-")</f>
        <v>36330000</v>
      </c>
      <c r="P56" s="45">
        <f>SUMIF($D$3:$D$36,K56,$S$3:$S$36)</f>
        <v>96400000</v>
      </c>
      <c r="Q56" s="46">
        <f>IFERROR(P56/P$60,"-")</f>
        <v>5.4936287583487203E-2</v>
      </c>
      <c r="R56" s="45" cm="1">
        <f t="array" ref="R56">IFERROR(MEDIAN(IF($D$3:$D$36=K56,$S$3:$S$36)),"-")</f>
        <v>48200000</v>
      </c>
      <c r="S56" s="49" t="str">
        <f>IFERROR(INDEX($F$3:$F$36,MATCH(_xlfn.MAXIFS($S$3:$S$36,$D$3:$D$36,K56),$S$3:$S$36,0)),"-")</f>
        <v>G5</v>
      </c>
    </row>
    <row r="57" spans="1:20" ht="16.899999999999999" x14ac:dyDescent="0.6">
      <c r="A57" s="48" t="s">
        <v>155</v>
      </c>
      <c r="B57" s="45">
        <f>COUNTIF($D$3:$D$36,A57)</f>
        <v>1</v>
      </c>
      <c r="C57" s="45">
        <f>IFERROR(AVERAGEIF($D$3:$D$36,A57,$H$3:$H$36),"-")</f>
        <v>68870000</v>
      </c>
      <c r="D57" s="45">
        <f>IFERROR(_xlfn.MAXIFS($H$3:$H$36,$D$3:$D$36,A57),"-")</f>
        <v>68870000</v>
      </c>
      <c r="E57" s="45">
        <f>IFERROR(_xlfn.MINIFS($H$3:$H$36,$D$3:$D$36,A57),"-")</f>
        <v>68870000</v>
      </c>
      <c r="F57" s="45">
        <f>SUMIF($D$3:$D$36,A57,$H$3:$H$36)</f>
        <v>68870000</v>
      </c>
      <c r="G57" s="46">
        <f>IFERROR(F57/F$60,"-")</f>
        <v>4.0817294157739548E-2</v>
      </c>
      <c r="H57" s="45" cm="1">
        <f t="array" ref="H57">IFERROR(MEDIAN(IF($D$3:$D$36=A57,$H$3:$H$36)),"-")</f>
        <v>68870000</v>
      </c>
      <c r="I57" s="49" t="str">
        <f>IFERROR(INDEX($F$3:$F$36,MATCH(_xlfn.MAXIFS($H$3:$H$36,$D$3:$D$36,A57),$H$3:$H$36,0)),"-")</f>
        <v>G6</v>
      </c>
      <c r="J57"/>
      <c r="K57" s="55" t="s">
        <v>155</v>
      </c>
      <c r="L57" s="45">
        <f>COUNTIF($D$3:$D$36,K57)</f>
        <v>1</v>
      </c>
      <c r="M57" s="45">
        <f>IFERROR(AVERAGEIF($D$3:$D$36,K57,$S$3:$S$36),"-")</f>
        <v>71620000</v>
      </c>
      <c r="N57" s="45">
        <f>IFERROR(_xlfn.MAXIFS($S$3:$S$36,$D$3:$D$36,K57),"-")</f>
        <v>71620000</v>
      </c>
      <c r="O57" s="45">
        <f>IFERROR(_xlfn.MINIFS($S$3:$S$36,$D$3:$D$36,K57,$S$3:$S$36,"&gt;0"),"-")</f>
        <v>71620000</v>
      </c>
      <c r="P57" s="45">
        <f>SUMIF($D$3:$D$36,K57,$S$3:$S$36)</f>
        <v>71620000</v>
      </c>
      <c r="Q57" s="46">
        <f>IFERROR(P57/P$60,"-")</f>
        <v>4.081469830632109E-2</v>
      </c>
      <c r="R57" s="45" cm="1">
        <f t="array" ref="R57">IFERROR(MEDIAN(IF($D$3:$D$36=K57,$S$3:$S$36)),"-")</f>
        <v>71620000</v>
      </c>
      <c r="S57" s="49" t="str">
        <f>IFERROR(INDEX($F$3:$F$36,MATCH(_xlfn.MAXIFS($S$3:$S$36,$D$3:$D$36,K57),$S$3:$S$36,0)),"-")</f>
        <v>G6</v>
      </c>
    </row>
    <row r="58" spans="1:20" ht="16.899999999999999" x14ac:dyDescent="0.6">
      <c r="A58" s="48" t="s">
        <v>156</v>
      </c>
      <c r="B58" s="45">
        <f>COUNTIF($D$3:$D$36,A58)</f>
        <v>5</v>
      </c>
      <c r="C58" s="45">
        <f>IFERROR(AVERAGEIF($D$3:$D$36,A58,$H$3:$H$36),"-")</f>
        <v>49210000</v>
      </c>
      <c r="D58" s="45">
        <f>IFERROR(_xlfn.MAXIFS($H$3:$H$36,$D$3:$D$36,A58),"-")</f>
        <v>59700000</v>
      </c>
      <c r="E58" s="45">
        <f>IFERROR(_xlfn.MINIFS($H$3:$H$36,$D$3:$D$36,A58),"-")</f>
        <v>35000000</v>
      </c>
      <c r="F58" s="45">
        <f>SUMIF($D$3:$D$36,A58,$H$3:$H$36)</f>
        <v>246050000</v>
      </c>
      <c r="G58" s="46">
        <f>IFERROR(F58/F$60,"-")</f>
        <v>0.14582685098753909</v>
      </c>
      <c r="H58" s="45" cm="1">
        <f t="array" ref="H58">IFERROR(MEDIAN(IF($D$3:$D$36=A58,$H$3:$H$36)),"-")</f>
        <v>49240000</v>
      </c>
      <c r="I58" s="49" t="str">
        <f>IFERROR(INDEX($F$3:$F$36,MATCH(_xlfn.MAXIFS($H$3:$H$36,$D$3:$D$36,A58),$H$3:$H$36,0)),"-")</f>
        <v>G5</v>
      </c>
      <c r="J58"/>
      <c r="K58" s="55" t="s">
        <v>156</v>
      </c>
      <c r="L58" s="45">
        <f>COUNTIF($D$3:$D$36,K58)</f>
        <v>5</v>
      </c>
      <c r="M58" s="45">
        <f>IFERROR(AVERAGEIF($D$3:$D$36,K58,$S$3:$S$36),"-")</f>
        <v>51178000</v>
      </c>
      <c r="N58" s="45">
        <f>IFERROR(_xlfn.MAXIFS($S$3:$S$36,$D$3:$D$36,K58),"-")</f>
        <v>62090000</v>
      </c>
      <c r="O58" s="45">
        <f>IFERROR(_xlfn.MINIFS($S$3:$S$36,$D$3:$D$36,K58,$S$3:$S$36,"&gt;0"),"-")</f>
        <v>36400000</v>
      </c>
      <c r="P58" s="45">
        <f>SUMIF($D$3:$D$36,K58,$S$3:$S$36)</f>
        <v>255890000</v>
      </c>
      <c r="Q58" s="46">
        <f>IFERROR(P58/P$60,"-")</f>
        <v>0.14582620985205955</v>
      </c>
      <c r="R58" s="45" cm="1">
        <f t="array" ref="R58">IFERROR(MEDIAN(IF($D$3:$D$36=K58,$S$3:$S$36)),"-")</f>
        <v>51210000</v>
      </c>
      <c r="S58" s="49" t="str">
        <f>IFERROR(INDEX($F$3:$F$36,MATCH(_xlfn.MAXIFS($S$3:$S$36,$D$3:$D$36,K58),$S$3:$S$36,0)),"-")</f>
        <v>G5</v>
      </c>
    </row>
    <row r="59" spans="1:20" ht="16.899999999999999" x14ac:dyDescent="0.6">
      <c r="A59" s="48" t="s">
        <v>162</v>
      </c>
      <c r="B59" s="45">
        <f>COUNTIFS($D$3:$D$36,"컨설팅본부")+COUNTIFS($D$3:$D$36,"컨설틴본부")</f>
        <v>22</v>
      </c>
      <c r="C59" s="45">
        <f>IFERROR((SUMIFS($H$3:$H$36,$D$3:$D$36,"컨설팅본부")+SUMIFS($H$3:$H$36,$D$3:$D$36,"컨설틴본부"))/(COUNTIFS($D$3:$D$36,"컨설팅본부")+COUNTIFS($D$3:$D$36,"컨설틴본부")),"-")</f>
        <v>46156818.18181818</v>
      </c>
      <c r="D59" s="45">
        <f>MAX(_xlfn.MAXIFS($H$3:$H$36,$D$3:$D$36,"컨설팅본부"),_xlfn.MAXIFS($H$3:$H$36,$D$3:$D$36,"컨설틴본부"))</f>
        <v>67500000</v>
      </c>
      <c r="E59" s="45">
        <f>MIN(_xlfn.MINIFS($H$3:$H$36,$D$3:$D$36,"컨설팅본부"),_xlfn.MINIFS($H$3:$H$36,$D$3:$D$36,"컨설틴본부"))</f>
        <v>32000000</v>
      </c>
      <c r="F59" s="45">
        <f>SUMIFS($H$3:$H$36,$D$3:$D$36,"컨설팅본부")+SUMIFS($H$3:$H$36,$D$3:$D$36,"컨설틴본부")</f>
        <v>1015450000</v>
      </c>
      <c r="G59" s="46">
        <f>IFERROR(F59/F$60,"-")</f>
        <v>0.60182839193373927</v>
      </c>
      <c r="H59" s="45" cm="1">
        <f t="array" ref="H59">IFERROR(MEDIAN(IF(($D$3:$D$36="컨설팅본부")+($D$3:$D$36="컨설틴본부"),$H$3:$H$36)),"-")</f>
        <v>42500000</v>
      </c>
      <c r="I59" s="50"/>
      <c r="J59"/>
      <c r="K59" s="55" t="s">
        <v>162</v>
      </c>
      <c r="L59" s="45">
        <f>COUNTIFS($D$3:$D$36,"컨설팅본부")+COUNTIFS($D$3:$D$36,"컨설틴본부")</f>
        <v>22</v>
      </c>
      <c r="M59" s="45">
        <f>IFERROR((SUMIFS($S$3:$S$36,$D$3:$D$36,"컨설팅본부")+SUMIFS($S$3:$S$36,$D$3:$D$36,"컨설틴본부"))/(COUNTIFS($D$3:$D$36,"컨설팅본부")+COUNTIFS($D$3:$D$36,"컨설틴본부")),"-")</f>
        <v>48003181.81818182</v>
      </c>
      <c r="N59" s="45">
        <f>MAX(_xlfn.MAXIFS($S$3:$S$36,$D$3:$D$36,"컨설팅본부"),_xlfn.MAXIFS($S$3:$S$36,$D$3:$D$36,"컨설틴본부"))</f>
        <v>70200000</v>
      </c>
      <c r="O59" s="45">
        <f>MIN(_xlfn.MINIFS($S$3:$S$36,$D$3:$D$36,"컨설팅본부",$S$3:$S$36,"&gt;0"),_xlfn.MINIFS($S$3:$S$36,$D$3:$D$36,"컨설틴본부",$S$3:$S$36,"&gt;0"))</f>
        <v>33280000</v>
      </c>
      <c r="P59" s="45">
        <f>SUMIFS($S$3:$S$36,$D$3:$D$36,"컨설팅본부")+SUMIFS($S$3:$S$36,$D$3:$D$36,"컨설틴본부")</f>
        <v>1056070000</v>
      </c>
      <c r="Q59" s="46">
        <f>IFERROR(P59/P$60,"-")</f>
        <v>0.6018315895051175</v>
      </c>
      <c r="R59" s="45" cm="1">
        <f t="array" ref="R59">IFERROR(MEDIAN(IF(($D$3:$D$36="컨설팅본부")+($D$3:$D$36="컨설틴본부"),$S$3:$S$36)),"-")</f>
        <v>44200000</v>
      </c>
      <c r="S59" s="50"/>
    </row>
    <row r="60" spans="1:20" ht="17.25" thickBot="1" x14ac:dyDescent="0.65">
      <c r="A60" s="51" t="s">
        <v>141</v>
      </c>
      <c r="B60" s="52">
        <f>COUNTA($B$3:$B$36)</f>
        <v>34</v>
      </c>
      <c r="C60" s="52">
        <f>AVERAGEIF($H$3:$H$36,"&gt;0")</f>
        <v>49625735.294117644</v>
      </c>
      <c r="D60" s="52">
        <f>MAX($H$3:$H$36)</f>
        <v>72500000</v>
      </c>
      <c r="E60" s="52">
        <f>_xlfn.MINIFS($H$3:$H$36,$H$3:$H$36,"&gt;0")</f>
        <v>32000000</v>
      </c>
      <c r="F60" s="52">
        <f>SUM($H$3:$H$36)</f>
        <v>1687275000</v>
      </c>
      <c r="G60" s="53">
        <v>1</v>
      </c>
      <c r="H60" s="52" cm="1">
        <f t="array" ref="H60">MEDIAN(IF($H$3:$H$36&gt;0,$H$3:$H$36))</f>
        <v>48945000</v>
      </c>
      <c r="I60" s="54"/>
      <c r="J60"/>
      <c r="K60" s="58" t="s">
        <v>141</v>
      </c>
      <c r="L60" s="52">
        <f>COUNTA($B$3:$B$36)</f>
        <v>34</v>
      </c>
      <c r="M60" s="52">
        <f>AVERAGEIF($S$3:$S$36,"&gt;0")</f>
        <v>51610588.235294119</v>
      </c>
      <c r="N60" s="52">
        <f>_xlfn.MAXIFS($S$3:$S$36,$S$3:$S$36,"&gt;0")</f>
        <v>75400000</v>
      </c>
      <c r="O60" s="52">
        <f>_xlfn.MINIFS($S$3:$S$36,$S$3:$S$36,"&gt;0")</f>
        <v>33280000</v>
      </c>
      <c r="P60" s="52">
        <f>SUMIF($S$3:$S$36,"&gt;0")</f>
        <v>1754760000</v>
      </c>
      <c r="Q60" s="53">
        <v>1</v>
      </c>
      <c r="R60" s="52" cm="1">
        <f t="array" ref="R60">MEDIAN(IF($S$3:$S$36&gt;0,$S$3:$S$36))</f>
        <v>50905000</v>
      </c>
      <c r="S60" s="54"/>
    </row>
    <row r="61" spans="1:20" ht="16.899999999999999" x14ac:dyDescent="0.6">
      <c r="A61" s="64" t="s">
        <v>157</v>
      </c>
      <c r="B61" s="65"/>
      <c r="C61" s="65"/>
      <c r="D61" s="65"/>
      <c r="E61" s="65"/>
      <c r="F61" s="65"/>
      <c r="G61" s="65"/>
      <c r="H61" s="65"/>
      <c r="I61" s="65"/>
      <c r="J61"/>
      <c r="K61" s="64" t="s">
        <v>157</v>
      </c>
      <c r="L61" s="65"/>
      <c r="M61" s="65"/>
      <c r="N61" s="65"/>
      <c r="O61" s="65"/>
      <c r="P61" s="65"/>
      <c r="Q61" s="65"/>
      <c r="R61" s="65"/>
      <c r="S61" s="65"/>
    </row>
    <row r="62" spans="1:20" ht="16.899999999999999" x14ac:dyDescent="0.6">
      <c r="A62" s="44" t="s">
        <v>134</v>
      </c>
      <c r="B62" s="43" t="s">
        <v>135</v>
      </c>
      <c r="C62" s="43" t="s">
        <v>146</v>
      </c>
      <c r="D62" s="43" t="s">
        <v>147</v>
      </c>
      <c r="E62" s="43" t="s">
        <v>148</v>
      </c>
      <c r="F62" s="43" t="s">
        <v>149</v>
      </c>
      <c r="G62" s="43" t="s">
        <v>150</v>
      </c>
      <c r="H62" s="43" t="s">
        <v>151</v>
      </c>
      <c r="I62" s="47" t="s">
        <v>158</v>
      </c>
      <c r="J62"/>
      <c r="K62" s="44" t="s">
        <v>134</v>
      </c>
      <c r="L62" s="43" t="s">
        <v>135</v>
      </c>
      <c r="M62" s="43" t="s">
        <v>146</v>
      </c>
      <c r="N62" s="43" t="s">
        <v>147</v>
      </c>
      <c r="O62" s="43" t="s">
        <v>148</v>
      </c>
      <c r="P62" s="43" t="s">
        <v>149</v>
      </c>
      <c r="Q62" s="43" t="s">
        <v>150</v>
      </c>
      <c r="R62" s="43" t="s">
        <v>151</v>
      </c>
      <c r="S62" s="47" t="s">
        <v>158</v>
      </c>
    </row>
    <row r="63" spans="1:20" ht="16.899999999999999" x14ac:dyDescent="0.6">
      <c r="A63" s="55" t="s">
        <v>136</v>
      </c>
      <c r="B63" s="45">
        <f>COUNTIF($C$3:$C$36,A63)</f>
        <v>5</v>
      </c>
      <c r="C63" s="45">
        <f>IFERROR(AVERAGEIF($C$3:$C$36,A63,$H$3:$H$36),"-")</f>
        <v>56881000</v>
      </c>
      <c r="D63" s="45">
        <f>IFERROR(_xlfn.MAXIFS($H$3:$H$36,$C$3:$C$36,A63),"-")</f>
        <v>65180000</v>
      </c>
      <c r="E63" s="45">
        <f>IFERROR(_xlfn.MINIFS($H$3:$H$36,$C$3:$C$36,A63),"-")</f>
        <v>34935000</v>
      </c>
      <c r="F63" s="45">
        <f>SUMIF($C$3:$C$36,A63,$H$3:$H$36)</f>
        <v>284405000</v>
      </c>
      <c r="G63" s="46" t="str">
        <f>IFERROR(F63/F$69,"-")</f>
        <v>-</v>
      </c>
      <c r="H63" s="45" cm="1">
        <f t="array" ref="H63">IFERROR(MEDIAN(IF($C$3:$C$36=A63,$H$3:$H$36)),"-")</f>
        <v>62000000</v>
      </c>
      <c r="I63" s="49" t="str">
        <f>IFERROR(INDEX($F$3:$F$36,MATCH(_xlfn.MAXIFS($H$3:$H$36,$C$3:$C$36,A63),$H$3:$H$36,0)),"-")</f>
        <v>G6</v>
      </c>
      <c r="J63"/>
      <c r="K63" s="55" t="s">
        <v>136</v>
      </c>
      <c r="L63" s="45">
        <f>COUNTIF($C$3:$C$36,K63)</f>
        <v>5</v>
      </c>
      <c r="M63" s="45">
        <f>IFERROR(AVERAGEIF($C$3:$C$36,K63,$S$3:$S$36),"-")</f>
        <v>59156000</v>
      </c>
      <c r="N63" s="45">
        <f>IFERROR(_xlfn.MAXIFS($S$3:$S$36,$C$3:$C$36,K63),"-")</f>
        <v>67790000</v>
      </c>
      <c r="O63" s="45">
        <f>IFERROR(_xlfn.MINIFS($S$3:$S$36,$C$3:$C$36,K63,$S$3:$S$36,"&gt;0"),"-")</f>
        <v>36330000</v>
      </c>
      <c r="P63" s="45">
        <f>SUMIF($C$3:$C$36,K63,$S$3:$S$36)</f>
        <v>295780000</v>
      </c>
      <c r="Q63" s="46">
        <f>IFERROR(P63/P$68,"-")</f>
        <v>0.16855866329298594</v>
      </c>
      <c r="R63" s="45" cm="1">
        <f t="array" ref="R63">IFERROR(MEDIAN(IF($C$3:$C$36=K63,$S$3:$S$36)),"-")</f>
        <v>64480000</v>
      </c>
      <c r="S63" s="49" t="str">
        <f>IFERROR(INDEX($F$3:$F$36,MATCH(_xlfn.MAXIFS($S$3:$S$36,$C$3:$C$36,K63),$S$3:$S$36,0)),"-")</f>
        <v>G6</v>
      </c>
    </row>
    <row r="64" spans="1:20" ht="16.899999999999999" x14ac:dyDescent="0.6">
      <c r="A64" s="55" t="s">
        <v>137</v>
      </c>
      <c r="B64" s="45">
        <f>COUNTIF($C$3:$C$36,A64)</f>
        <v>5</v>
      </c>
      <c r="C64" s="45">
        <f>IFERROR(AVERAGEIF($C$3:$C$36,A64,$H$3:$H$36),"-")</f>
        <v>49210000</v>
      </c>
      <c r="D64" s="45">
        <f>IFERROR(_xlfn.MAXIFS($H$3:$H$36,$C$3:$C$36,A64),"-")</f>
        <v>59700000</v>
      </c>
      <c r="E64" s="45">
        <f>IFERROR(_xlfn.MINIFS($H$3:$H$36,$C$3:$C$36,A64),"-")</f>
        <v>35000000</v>
      </c>
      <c r="F64" s="45">
        <f>SUMIF($C$3:$C$36,A64,$H$3:$H$36)</f>
        <v>246050000</v>
      </c>
      <c r="G64" s="46" t="str">
        <f>IFERROR(F64/F$69,"-")</f>
        <v>-</v>
      </c>
      <c r="H64" s="45" cm="1">
        <f t="array" ref="H64">IFERROR(MEDIAN(IF($C$3:$C$36=A64,$H$3:$H$36)),"-")</f>
        <v>49240000</v>
      </c>
      <c r="I64" s="49" t="str">
        <f>IFERROR(INDEX($F$3:$F$36,MATCH(_xlfn.MAXIFS($H$3:$H$36,$C$3:$C$36,A64),$H$3:$H$36,0)),"-")</f>
        <v>G5</v>
      </c>
      <c r="J64"/>
      <c r="K64" s="55" t="s">
        <v>137</v>
      </c>
      <c r="L64" s="45">
        <f>COUNTIF($C$3:$C$36,K64)</f>
        <v>5</v>
      </c>
      <c r="M64" s="45">
        <f>IFERROR(AVERAGEIF($C$3:$C$36,K64,$S$3:$S$36),"-")</f>
        <v>51178000</v>
      </c>
      <c r="N64" s="45">
        <f>IFERROR(_xlfn.MAXIFS($S$3:$S$36,$C$3:$C$36,K64),"-")</f>
        <v>62090000</v>
      </c>
      <c r="O64" s="45">
        <f>IFERROR(_xlfn.MINIFS($S$3:$S$36,$C$3:$C$36,K64,$S$3:$S$36,"&gt;0"),"-")</f>
        <v>36400000</v>
      </c>
      <c r="P64" s="45">
        <f>SUMIF($C$3:$C$36,K64,$S$3:$S$36)</f>
        <v>255890000</v>
      </c>
      <c r="Q64" s="46">
        <f>IFERROR(P64/P$68,"-")</f>
        <v>0.14582620985205955</v>
      </c>
      <c r="R64" s="45" cm="1">
        <f t="array" ref="R64">IFERROR(MEDIAN(IF($C$3:$C$36=K64,$S$3:$S$36)),"-")</f>
        <v>51210000</v>
      </c>
      <c r="S64" s="49" t="str">
        <f>IFERROR(INDEX($F$3:$F$36,MATCH(_xlfn.MAXIFS($S$3:$S$36,$C$3:$C$36,K64),$S$3:$S$36,0)),"-")</f>
        <v>G5</v>
      </c>
    </row>
    <row r="65" spans="1:19" ht="16.899999999999999" x14ac:dyDescent="0.6">
      <c r="A65" s="55" t="s">
        <v>138</v>
      </c>
      <c r="B65" s="45">
        <f>COUNTIF($C$3:$C$36,A65)</f>
        <v>21</v>
      </c>
      <c r="C65" s="45">
        <f>IFERROR(AVERAGEIF($C$3:$C$36,A65,$H$3:$H$36),"-")</f>
        <v>46330952.380952381</v>
      </c>
      <c r="D65" s="45">
        <f>IFERROR(_xlfn.MAXIFS($H$3:$H$36,$C$3:$C$36,A65),"-")</f>
        <v>67500000</v>
      </c>
      <c r="E65" s="45">
        <f>IFERROR(_xlfn.MINIFS($H$3:$H$36,$C$3:$C$36,A65),"-")</f>
        <v>32000000</v>
      </c>
      <c r="F65" s="45">
        <f>SUMIF($C$3:$C$36,A65,$H$3:$H$36)</f>
        <v>972950000</v>
      </c>
      <c r="G65" s="46" t="str">
        <f>IFERROR(F65/F$69,"-")</f>
        <v>-</v>
      </c>
      <c r="H65" s="45" cm="1">
        <f t="array" ref="H65">IFERROR(MEDIAN(IF($C$3:$C$36=A65,$H$3:$H$36)),"-")</f>
        <v>42500000</v>
      </c>
      <c r="I65" s="49" t="str">
        <f>IFERROR(INDEX($F$3:$F$36,MATCH(_xlfn.MAXIFS($H$3:$H$36,$C$3:$C$36,A65),$H$3:$H$36,0)),"-")</f>
        <v>G6</v>
      </c>
      <c r="J65"/>
      <c r="K65" s="55" t="s">
        <v>138</v>
      </c>
      <c r="L65" s="45">
        <f>COUNTIF($C$3:$C$36,K65)</f>
        <v>21</v>
      </c>
      <c r="M65" s="45">
        <f>IFERROR(AVERAGEIF($C$3:$C$36,K65,$S$3:$S$36),"-")</f>
        <v>48184285.714285716</v>
      </c>
      <c r="N65" s="45">
        <f>IFERROR(_xlfn.MAXIFS($S$3:$S$36,$C$3:$C$36,K65),"-")</f>
        <v>70200000</v>
      </c>
      <c r="O65" s="45">
        <f>IFERROR(_xlfn.MINIFS($S$3:$S$36,$C$3:$C$36,K65,$S$3:$S$36,"&gt;0"),"-")</f>
        <v>33280000</v>
      </c>
      <c r="P65" s="45">
        <f>SUMIF($C$3:$C$36,K65,$S$3:$S$36)</f>
        <v>1011870000</v>
      </c>
      <c r="Q65" s="46">
        <f>IFERROR(P65/P$68,"-")</f>
        <v>0.57664295972098745</v>
      </c>
      <c r="R65" s="45" cm="1">
        <f t="array" ref="R65">IFERROR(MEDIAN(IF($C$3:$C$36=K65,$S$3:$S$36)),"-")</f>
        <v>44200000</v>
      </c>
      <c r="S65" s="49" t="str">
        <f>IFERROR(INDEX($F$3:$F$36,MATCH(_xlfn.MAXIFS($S$3:$S$36,$C$3:$C$36,K65),$S$3:$S$36,0)),"-")</f>
        <v>G6</v>
      </c>
    </row>
    <row r="66" spans="1:19" ht="16.899999999999999" x14ac:dyDescent="0.6">
      <c r="A66" s="55" t="s">
        <v>139</v>
      </c>
      <c r="B66" s="45">
        <f>COUNTIF($C$3:$C$36,A66)</f>
        <v>2</v>
      </c>
      <c r="C66" s="45">
        <f>IFERROR(AVERAGEIF($C$3:$C$36,A66,$H$3:$H$36),"-")</f>
        <v>55685000</v>
      </c>
      <c r="D66" s="45">
        <f>IFERROR(_xlfn.MAXIFS($H$3:$H$36,$C$3:$C$36,A66),"-")</f>
        <v>68870000</v>
      </c>
      <c r="E66" s="45">
        <f>IFERROR(_xlfn.MINIFS($H$3:$H$36,$C$3:$C$36,A66),"-")</f>
        <v>42500000</v>
      </c>
      <c r="F66" s="45">
        <f>SUMIF($C$3:$C$36,A66,$H$3:$H$36)</f>
        <v>111370000</v>
      </c>
      <c r="G66" s="46" t="str">
        <f>IFERROR(F66/F$69,"-")</f>
        <v>-</v>
      </c>
      <c r="H66" s="45" cm="1">
        <f t="array" ref="H66">IFERROR(MEDIAN(IF($C$3:$C$36=A66,$H$3:$H$36)),"-")</f>
        <v>55685000</v>
      </c>
      <c r="I66" s="49" t="str">
        <f>IFERROR(INDEX($F$3:$F$36,MATCH(_xlfn.MAXIFS($H$3:$H$36,$C$3:$C$36,A66),$H$3:$H$36,0)),"-")</f>
        <v>G6</v>
      </c>
      <c r="J66"/>
      <c r="K66" s="55" t="s">
        <v>139</v>
      </c>
      <c r="L66" s="45">
        <f>COUNTIF($C$3:$C$36,K66)</f>
        <v>2</v>
      </c>
      <c r="M66" s="45">
        <f>IFERROR(AVERAGEIF($C$3:$C$36,K66,$S$3:$S$36),"-")</f>
        <v>57910000</v>
      </c>
      <c r="N66" s="45">
        <f>IFERROR(_xlfn.MAXIFS($S$3:$S$36,$C$3:$C$36,K66),"-")</f>
        <v>71620000</v>
      </c>
      <c r="O66" s="45">
        <f>IFERROR(_xlfn.MINIFS($S$3:$S$36,$C$3:$C$36,K66,$S$3:$S$36,"&gt;0"),"-")</f>
        <v>44200000</v>
      </c>
      <c r="P66" s="45">
        <f>SUMIF($C$3:$C$36,K66,$S$3:$S$36)</f>
        <v>115820000</v>
      </c>
      <c r="Q66" s="46">
        <f>IFERROR(P66/P$68,"-")</f>
        <v>6.6003328090451119E-2</v>
      </c>
      <c r="R66" s="45" cm="1">
        <f t="array" ref="R66">IFERROR(MEDIAN(IF($C$3:$C$36=K66,$S$3:$S$36)),"-")</f>
        <v>57910000</v>
      </c>
      <c r="S66" s="49" t="str">
        <f>IFERROR(INDEX($F$3:$F$36,MATCH(_xlfn.MAXIFS($S$3:$S$36,$C$3:$C$36,K66),$S$3:$S$36,0)),"-")</f>
        <v>G6</v>
      </c>
    </row>
    <row r="67" spans="1:19" ht="16.899999999999999" x14ac:dyDescent="0.6">
      <c r="A67" s="55" t="s">
        <v>140</v>
      </c>
      <c r="B67" s="45">
        <f>COUNTIF($C$3:$C$36,A67)</f>
        <v>1</v>
      </c>
      <c r="C67" s="45">
        <f>IFERROR(AVERAGEIF($C$3:$C$36,A67,$H$3:$H$36),"-")</f>
        <v>72500000</v>
      </c>
      <c r="D67" s="45">
        <f>IFERROR(_xlfn.MAXIFS($H$3:$H$36,$C$3:$C$36,A67),"-")</f>
        <v>72500000</v>
      </c>
      <c r="E67" s="45">
        <f>IFERROR(_xlfn.MINIFS($H$3:$H$36,$C$3:$C$36,A67),"-")</f>
        <v>72500000</v>
      </c>
      <c r="F67" s="45">
        <f>SUMIF($C$3:$C$36,A67,$H$3:$H$36)</f>
        <v>72500000</v>
      </c>
      <c r="G67" s="46" t="str">
        <f>IFERROR(F67/F$69,"-")</f>
        <v>-</v>
      </c>
      <c r="H67" s="45" cm="1">
        <f t="array" ref="H67">IFERROR(MEDIAN(IF($C$3:$C$36=A67,$H$3:$H$36)),"-")</f>
        <v>72500000</v>
      </c>
      <c r="I67" s="49" t="str">
        <f>IFERROR(INDEX($F$3:$F$36,MATCH(_xlfn.MAXIFS($H$3:$H$36,$C$3:$C$36,A67),$H$3:$H$36,0)),"-")</f>
        <v>G6</v>
      </c>
      <c r="J67"/>
      <c r="K67" s="55" t="s">
        <v>140</v>
      </c>
      <c r="L67" s="45">
        <f>COUNTIF($C$3:$C$36,K67)</f>
        <v>1</v>
      </c>
      <c r="M67" s="45">
        <f>IFERROR(AVERAGEIF($C$3:$C$36,K67,$S$3:$S$36),"-")</f>
        <v>75400000</v>
      </c>
      <c r="N67" s="45">
        <f>IFERROR(_xlfn.MAXIFS($S$3:$S$36,$C$3:$C$36,K67),"-")</f>
        <v>75400000</v>
      </c>
      <c r="O67" s="45">
        <f>IFERROR(_xlfn.MINIFS($S$3:$S$36,$C$3:$C$36,K67,$S$3:$S$36,"&gt;0"),"-")</f>
        <v>75400000</v>
      </c>
      <c r="P67" s="45">
        <f>SUMIF($C$3:$C$36,K67,$S$3:$S$36)</f>
        <v>75400000</v>
      </c>
      <c r="Q67" s="46">
        <f>IFERROR(P67/P$68,"-")</f>
        <v>4.2968839043515922E-2</v>
      </c>
      <c r="R67" s="45" cm="1">
        <f t="array" ref="R67">IFERROR(MEDIAN(IF($C$3:$C$36=K67,$S$3:$S$36)),"-")</f>
        <v>75400000</v>
      </c>
      <c r="S67" s="49" t="str">
        <f>IFERROR(INDEX($F$3:$F$36,MATCH(_xlfn.MAXIFS($S$3:$S$36,$C$3:$C$36,K67),$S$3:$S$36,0)),"-")</f>
        <v>G6</v>
      </c>
    </row>
    <row r="68" spans="1:19" ht="17.25" thickBot="1" x14ac:dyDescent="0.65">
      <c r="A68" s="58" t="s">
        <v>141</v>
      </c>
      <c r="B68" s="52">
        <f>COUNTA($B$3:$B$36)</f>
        <v>34</v>
      </c>
      <c r="C68" s="52">
        <f>AVERAGEIF($H$3:$H$36,"&gt;0")</f>
        <v>49625735.294117644</v>
      </c>
      <c r="D68" s="52">
        <f>MAX($H$3:$H$36)</f>
        <v>72500000</v>
      </c>
      <c r="E68" s="52">
        <f>_xlfn.MINIFS($H$3:$H$36,$H$3:$H$36,"&gt;0")</f>
        <v>32000000</v>
      </c>
      <c r="F68" s="52">
        <f>SUM($H$3:$H$36)</f>
        <v>1687275000</v>
      </c>
      <c r="G68" s="53">
        <v>1</v>
      </c>
      <c r="H68" s="52" cm="1">
        <f t="array" ref="H68">MEDIAN(IF($H$3:$H$36&gt;0,$H$3:$H$36))</f>
        <v>48945000</v>
      </c>
      <c r="I68" s="57"/>
      <c r="J68"/>
      <c r="K68" s="58" t="s">
        <v>141</v>
      </c>
      <c r="L68" s="52">
        <f>COUNTA($B$3:$B$36)</f>
        <v>34</v>
      </c>
      <c r="M68" s="52">
        <f>AVERAGEIF($S$3:$S$36,"&gt;0")</f>
        <v>51610588.235294119</v>
      </c>
      <c r="N68" s="52">
        <f>_xlfn.MAXIFS($S$3:$S$36,$S$3:$S$36,"&gt;0")</f>
        <v>75400000</v>
      </c>
      <c r="O68" s="52">
        <f>_xlfn.MINIFS($S$3:$S$36,$S$3:$S$36,"&gt;0")</f>
        <v>33280000</v>
      </c>
      <c r="P68" s="52">
        <f>SUMIF($S$3:$S$36,"&gt;0")</f>
        <v>1754760000</v>
      </c>
      <c r="Q68" s="53">
        <v>1</v>
      </c>
      <c r="R68" s="52" cm="1">
        <f t="array" ref="R68">MEDIAN(IF($S$3:$S$36&gt;0,$S$3:$S$36))</f>
        <v>50905000</v>
      </c>
      <c r="S68" s="57"/>
    </row>
    <row r="69" spans="1:19" ht="16.899999999999999" x14ac:dyDescent="0.6">
      <c r="A69" s="64" t="s">
        <v>159</v>
      </c>
      <c r="B69" s="65"/>
      <c r="C69" s="65"/>
      <c r="D69" s="65"/>
      <c r="E69" s="65"/>
      <c r="F69" s="65"/>
      <c r="G69" s="65"/>
      <c r="H69" s="65"/>
      <c r="I69" s="65"/>
      <c r="J69"/>
      <c r="K69" s="64" t="s">
        <v>159</v>
      </c>
      <c r="L69" s="65"/>
      <c r="M69" s="65"/>
      <c r="N69" s="65"/>
      <c r="O69" s="65"/>
      <c r="P69" s="65"/>
      <c r="Q69" s="65"/>
      <c r="R69" s="65"/>
      <c r="S69" s="65"/>
    </row>
    <row r="70" spans="1:19" ht="16.899999999999999" x14ac:dyDescent="0.6">
      <c r="A70" s="44" t="s">
        <v>160</v>
      </c>
      <c r="B70" s="43" t="s">
        <v>135</v>
      </c>
      <c r="C70" s="43" t="s">
        <v>146</v>
      </c>
      <c r="D70" s="43" t="s">
        <v>147</v>
      </c>
      <c r="E70" s="43" t="s">
        <v>148</v>
      </c>
      <c r="F70" s="43" t="s">
        <v>149</v>
      </c>
      <c r="G70" s="43" t="s">
        <v>150</v>
      </c>
      <c r="H70" s="43" t="s">
        <v>151</v>
      </c>
      <c r="I70" s="47" t="s">
        <v>161</v>
      </c>
      <c r="J70"/>
      <c r="K70" s="44" t="s">
        <v>160</v>
      </c>
      <c r="L70" s="43" t="s">
        <v>135</v>
      </c>
      <c r="M70" s="43" t="s">
        <v>146</v>
      </c>
      <c r="N70" s="43" t="s">
        <v>147</v>
      </c>
      <c r="O70" s="43" t="s">
        <v>148</v>
      </c>
      <c r="P70" s="43" t="s">
        <v>149</v>
      </c>
      <c r="Q70" s="43" t="s">
        <v>150</v>
      </c>
      <c r="R70" s="43" t="s">
        <v>151</v>
      </c>
      <c r="S70" s="47" t="s">
        <v>161</v>
      </c>
    </row>
    <row r="71" spans="1:19" ht="16.899999999999999" x14ac:dyDescent="0.6">
      <c r="A71" s="55" t="s">
        <v>106</v>
      </c>
      <c r="B71" s="45">
        <f t="shared" ref="B71:B76" si="11">COUNTIF($F$3:$F$36,A71)</f>
        <v>8</v>
      </c>
      <c r="C71" s="45">
        <f t="shared" ref="C71:C76" si="12">AVERAGEIF($F$3:$F$36,A71,$H$3:$H$36)</f>
        <v>34570625</v>
      </c>
      <c r="D71" s="45">
        <f t="shared" ref="D71:D76" si="13">_xlfn.MAXIFS($H$3:$H$36,$F$3:$F$36,A71)</f>
        <v>37090000</v>
      </c>
      <c r="E71" s="45">
        <f t="shared" ref="E71:E76" si="14">_xlfn.MINIFS($H$3:$H$36,$F$3:$F$36,A71)</f>
        <v>32000000</v>
      </c>
      <c r="F71" s="45">
        <f t="shared" ref="F71:F76" si="15">SUMIF($F$3:$F$36,A71,$H$3:$H$36)</f>
        <v>276565000</v>
      </c>
      <c r="G71" s="46" t="str">
        <f t="shared" ref="G71:G76" si="16">IFERROR(F71/F$78,"-")</f>
        <v>-</v>
      </c>
      <c r="H71" s="45" cm="1">
        <f t="array" ref="H71">MEDIAN(IF($F$3:$F$36=A71,$H$3:$H$36))</f>
        <v>35467500</v>
      </c>
      <c r="I71" s="49" t="str">
        <f t="shared" ref="I71:I76" si="17">IF(AND(C71&gt;=INDEX($W$5:$AB$5,1,MATCH(A71,$W$3:$AB$3,0)),C71&lt;=INDEX($W$4:$AB$4,1,MATCH(A71,$W$3:$AB$3,0))),"✓ 적합","⚠ 범위이탈")</f>
        <v>✓ 적합</v>
      </c>
      <c r="J71"/>
      <c r="K71" s="55" t="s">
        <v>106</v>
      </c>
      <c r="L71" s="45">
        <f t="shared" ref="L71:L76" si="18">COUNTIF($F$3:$F$36,K71)</f>
        <v>8</v>
      </c>
      <c r="M71" s="45">
        <f t="shared" ref="M71:M76" si="19">AVERAGEIF($F$3:$F$36,K71,$S$3:$S$36)</f>
        <v>35952500</v>
      </c>
      <c r="N71" s="45">
        <f t="shared" ref="N71:N76" si="20">_xlfn.MAXIFS($S$3:$S$36,$F$3:$F$36,K71)</f>
        <v>38570000</v>
      </c>
      <c r="O71" s="45">
        <f t="shared" ref="O71:O76" si="21">_xlfn.MINIFS($S$3:$S$36,$F$3:$F$36,K71,$S$3:$S$36,"&gt;0")</f>
        <v>33280000</v>
      </c>
      <c r="P71" s="45">
        <f t="shared" ref="P71:P76" si="22">SUMIF($F$3:$F$36,K71,$S$3:$S$36)</f>
        <v>287620000</v>
      </c>
      <c r="Q71" s="46">
        <f t="shared" ref="Q71:Q76" si="23">IFERROR(P71/P$77,"-")</f>
        <v>0.16390845471745424</v>
      </c>
      <c r="R71" s="45" cm="1">
        <f t="array" ref="R71">MEDIAN(IF($F$3:$F$36=K71,$S$3:$S$36))</f>
        <v>36885000</v>
      </c>
      <c r="S71" s="49" t="str">
        <f t="shared" ref="S71:S76" si="24">IF(AND(M71&gt;=INDEX($W$5:$AB$5,1,MATCH(K71,$W$3:$AB$3,0)),M71&lt;=INDEX($W$4:$AB$4,1,MATCH(K71,$W$3:$AB$3,0))),"✓ 적합","⚠ 범위이탈")</f>
        <v>✓ 적합</v>
      </c>
    </row>
    <row r="72" spans="1:19" ht="16.899999999999999" x14ac:dyDescent="0.6">
      <c r="A72" s="55" t="s">
        <v>112</v>
      </c>
      <c r="B72" s="45">
        <f t="shared" si="11"/>
        <v>7</v>
      </c>
      <c r="C72" s="45">
        <f t="shared" si="12"/>
        <v>42142857.142857142</v>
      </c>
      <c r="D72" s="45">
        <f t="shared" si="13"/>
        <v>47500000</v>
      </c>
      <c r="E72" s="45">
        <f t="shared" si="14"/>
        <v>35000000</v>
      </c>
      <c r="F72" s="45">
        <f t="shared" si="15"/>
        <v>295000000</v>
      </c>
      <c r="G72" s="46" t="str">
        <f t="shared" si="16"/>
        <v>-</v>
      </c>
      <c r="H72" s="45" cm="1">
        <f t="array" ref="H72">MEDIAN(IF($F$3:$F$36=A72,$H$3:$H$36))</f>
        <v>42500000</v>
      </c>
      <c r="I72" s="49" t="str">
        <f t="shared" si="17"/>
        <v>✓ 적합</v>
      </c>
      <c r="J72"/>
      <c r="K72" s="55" t="s">
        <v>112</v>
      </c>
      <c r="L72" s="45">
        <f t="shared" si="18"/>
        <v>7</v>
      </c>
      <c r="M72" s="45">
        <f t="shared" si="19"/>
        <v>43828571.428571425</v>
      </c>
      <c r="N72" s="45">
        <f t="shared" si="20"/>
        <v>49400000</v>
      </c>
      <c r="O72" s="45">
        <f t="shared" si="21"/>
        <v>36400000</v>
      </c>
      <c r="P72" s="45">
        <f t="shared" si="22"/>
        <v>306800000</v>
      </c>
      <c r="Q72" s="46">
        <f t="shared" si="23"/>
        <v>0.17483872438396134</v>
      </c>
      <c r="R72" s="45" cm="1">
        <f t="array" ref="R72">MEDIAN(IF($F$3:$F$36=K72,$S$3:$S$36))</f>
        <v>44200000</v>
      </c>
      <c r="S72" s="49" t="str">
        <f t="shared" si="24"/>
        <v>✓ 적합</v>
      </c>
    </row>
    <row r="73" spans="1:19" ht="16.899999999999999" x14ac:dyDescent="0.6">
      <c r="A73" s="55" t="s">
        <v>107</v>
      </c>
      <c r="B73" s="45">
        <f t="shared" si="11"/>
        <v>1</v>
      </c>
      <c r="C73" s="45">
        <f t="shared" si="12"/>
        <v>43060000</v>
      </c>
      <c r="D73" s="45">
        <f t="shared" si="13"/>
        <v>43060000</v>
      </c>
      <c r="E73" s="45">
        <f t="shared" si="14"/>
        <v>43060000</v>
      </c>
      <c r="F73" s="45">
        <f t="shared" si="15"/>
        <v>43060000</v>
      </c>
      <c r="G73" s="46" t="str">
        <f t="shared" si="16"/>
        <v>-</v>
      </c>
      <c r="H73" s="45" cm="1">
        <f t="array" ref="H73">MEDIAN(IF($F$3:$F$36=A73,$H$3:$H$36))</f>
        <v>43060000</v>
      </c>
      <c r="I73" s="49" t="str">
        <f t="shared" si="17"/>
        <v>✓ 적합</v>
      </c>
      <c r="J73"/>
      <c r="K73" s="55" t="s">
        <v>107</v>
      </c>
      <c r="L73" s="45">
        <f t="shared" si="18"/>
        <v>1</v>
      </c>
      <c r="M73" s="45">
        <f t="shared" si="19"/>
        <v>44780000</v>
      </c>
      <c r="N73" s="45">
        <f t="shared" si="20"/>
        <v>44780000</v>
      </c>
      <c r="O73" s="45">
        <f t="shared" si="21"/>
        <v>44780000</v>
      </c>
      <c r="P73" s="45">
        <f t="shared" si="22"/>
        <v>44780000</v>
      </c>
      <c r="Q73" s="46">
        <f t="shared" si="23"/>
        <v>2.5519159315233991E-2</v>
      </c>
      <c r="R73" s="45" cm="1">
        <f t="array" ref="R73">MEDIAN(IF($F$3:$F$36=K73,$S$3:$S$36))</f>
        <v>44780000</v>
      </c>
      <c r="S73" s="49" t="str">
        <f t="shared" si="24"/>
        <v>✓ 적합</v>
      </c>
    </row>
    <row r="74" spans="1:19" ht="16.899999999999999" x14ac:dyDescent="0.6">
      <c r="A74" s="55" t="s">
        <v>108</v>
      </c>
      <c r="B74" s="45">
        <f t="shared" si="11"/>
        <v>2</v>
      </c>
      <c r="C74" s="45">
        <f t="shared" si="12"/>
        <v>48945000</v>
      </c>
      <c r="D74" s="45">
        <f t="shared" si="13"/>
        <v>49240000</v>
      </c>
      <c r="E74" s="45">
        <f t="shared" si="14"/>
        <v>48650000</v>
      </c>
      <c r="F74" s="45">
        <f t="shared" si="15"/>
        <v>97890000</v>
      </c>
      <c r="G74" s="46" t="str">
        <f t="shared" si="16"/>
        <v>-</v>
      </c>
      <c r="H74" s="45" cm="1">
        <f t="array" ref="H74">MEDIAN(IF($F$3:$F$36=A74,$H$3:$H$36))</f>
        <v>48945000</v>
      </c>
      <c r="I74" s="49" t="str">
        <f t="shared" si="17"/>
        <v>⚠ 범위이탈</v>
      </c>
      <c r="J74"/>
      <c r="K74" s="55" t="s">
        <v>108</v>
      </c>
      <c r="L74" s="45">
        <f t="shared" si="18"/>
        <v>2</v>
      </c>
      <c r="M74" s="45">
        <f t="shared" si="19"/>
        <v>50905000</v>
      </c>
      <c r="N74" s="45">
        <f t="shared" si="20"/>
        <v>51210000</v>
      </c>
      <c r="O74" s="45">
        <f t="shared" si="21"/>
        <v>50600000</v>
      </c>
      <c r="P74" s="45">
        <f t="shared" si="22"/>
        <v>101810000</v>
      </c>
      <c r="Q74" s="46">
        <f t="shared" si="23"/>
        <v>5.8019330278784566E-2</v>
      </c>
      <c r="R74" s="45" cm="1">
        <f t="array" ref="R74">MEDIAN(IF($F$3:$F$36=K74,$S$3:$S$36))</f>
        <v>50905000</v>
      </c>
      <c r="S74" s="49" t="str">
        <f t="shared" si="24"/>
        <v>✓ 적합</v>
      </c>
    </row>
    <row r="75" spans="1:19" ht="16.899999999999999" x14ac:dyDescent="0.6">
      <c r="A75" s="55" t="s">
        <v>109</v>
      </c>
      <c r="B75" s="45">
        <f t="shared" si="11"/>
        <v>10</v>
      </c>
      <c r="C75" s="45">
        <f t="shared" si="12"/>
        <v>57418000</v>
      </c>
      <c r="D75" s="45">
        <f t="shared" si="13"/>
        <v>59700000</v>
      </c>
      <c r="E75" s="45">
        <f t="shared" si="14"/>
        <v>53160000</v>
      </c>
      <c r="F75" s="45">
        <f t="shared" si="15"/>
        <v>574180000</v>
      </c>
      <c r="G75" s="46" t="str">
        <f t="shared" si="16"/>
        <v>-</v>
      </c>
      <c r="H75" s="45" cm="1">
        <f t="array" ref="H75">MEDIAN(IF($F$3:$F$36=A75,$H$3:$H$36))</f>
        <v>58080000</v>
      </c>
      <c r="I75" s="49" t="str">
        <f t="shared" si="17"/>
        <v>✓ 적합</v>
      </c>
      <c r="J75"/>
      <c r="K75" s="55" t="s">
        <v>109</v>
      </c>
      <c r="L75" s="45">
        <f t="shared" si="18"/>
        <v>10</v>
      </c>
      <c r="M75" s="45">
        <f t="shared" si="19"/>
        <v>59715000</v>
      </c>
      <c r="N75" s="45">
        <f t="shared" si="20"/>
        <v>62090000</v>
      </c>
      <c r="O75" s="45">
        <f t="shared" si="21"/>
        <v>55290000</v>
      </c>
      <c r="P75" s="45">
        <f t="shared" si="22"/>
        <v>597150000</v>
      </c>
      <c r="Q75" s="46">
        <f t="shared" si="23"/>
        <v>0.34030294741161182</v>
      </c>
      <c r="R75" s="45" cm="1">
        <f t="array" ref="R75">MEDIAN(IF($F$3:$F$36=K75,$S$3:$S$36))</f>
        <v>60405000</v>
      </c>
      <c r="S75" s="49" t="str">
        <f t="shared" si="24"/>
        <v>✓ 적합</v>
      </c>
    </row>
    <row r="76" spans="1:19" ht="16.899999999999999" x14ac:dyDescent="0.6">
      <c r="A76" s="55" t="s">
        <v>110</v>
      </c>
      <c r="B76" s="45">
        <f t="shared" si="11"/>
        <v>6</v>
      </c>
      <c r="C76" s="45">
        <f t="shared" si="12"/>
        <v>66763333.333333336</v>
      </c>
      <c r="D76" s="45">
        <f t="shared" si="13"/>
        <v>72500000</v>
      </c>
      <c r="E76" s="45">
        <f t="shared" si="14"/>
        <v>62000000</v>
      </c>
      <c r="F76" s="45">
        <f t="shared" si="15"/>
        <v>400580000</v>
      </c>
      <c r="G76" s="46" t="str">
        <f t="shared" si="16"/>
        <v>-</v>
      </c>
      <c r="H76" s="45" cm="1">
        <f t="array" ref="H76">MEDIAN(IF($F$3:$F$36=A76,$H$3:$H$36))</f>
        <v>66340000</v>
      </c>
      <c r="I76" s="49" t="str">
        <f t="shared" si="17"/>
        <v>✓ 적합</v>
      </c>
      <c r="J76"/>
      <c r="K76" s="55" t="s">
        <v>110</v>
      </c>
      <c r="L76" s="45">
        <f t="shared" si="18"/>
        <v>6</v>
      </c>
      <c r="M76" s="45">
        <f t="shared" si="19"/>
        <v>69433333.333333328</v>
      </c>
      <c r="N76" s="45">
        <f t="shared" si="20"/>
        <v>75400000</v>
      </c>
      <c r="O76" s="45">
        <f t="shared" si="21"/>
        <v>64480000</v>
      </c>
      <c r="P76" s="45">
        <f t="shared" si="22"/>
        <v>416600000</v>
      </c>
      <c r="Q76" s="46">
        <f t="shared" si="23"/>
        <v>0.23741138389295402</v>
      </c>
      <c r="R76" s="45" cm="1">
        <f t="array" ref="R76">MEDIAN(IF($F$3:$F$36=K76,$S$3:$S$36))</f>
        <v>68995000</v>
      </c>
      <c r="S76" s="49" t="str">
        <f t="shared" si="24"/>
        <v>✓ 적합</v>
      </c>
    </row>
    <row r="77" spans="1:19" ht="17.25" thickBot="1" x14ac:dyDescent="0.65">
      <c r="A77" s="56" t="s">
        <v>141</v>
      </c>
      <c r="B77" s="52">
        <f>COUNTA($B$3:$B$36)</f>
        <v>34</v>
      </c>
      <c r="C77" s="52">
        <f>AVERAGEIF($H$3:$H$36,"&gt;0")</f>
        <v>49625735.294117644</v>
      </c>
      <c r="D77" s="52">
        <f>MAX($H$3:$H$36)</f>
        <v>72500000</v>
      </c>
      <c r="E77" s="52">
        <f>_xlfn.MINIFS($H$3:$H$36,$H$3:$H$36,"&gt;0")</f>
        <v>32000000</v>
      </c>
      <c r="F77" s="52">
        <f>SUM($H$3:$H$36)</f>
        <v>1687275000</v>
      </c>
      <c r="G77" s="53">
        <v>1</v>
      </c>
      <c r="H77" s="52" cm="1">
        <f t="array" ref="H77">MEDIAN(IF($H$3:$H$36&gt;0,$H$3:$H$36))</f>
        <v>48945000</v>
      </c>
      <c r="I77" s="57"/>
      <c r="J77"/>
      <c r="K77" s="56" t="s">
        <v>141</v>
      </c>
      <c r="L77" s="52">
        <f>COUNTA($B$3:$B$36)</f>
        <v>34</v>
      </c>
      <c r="M77" s="52">
        <f>AVERAGEIF($S$3:$S$36,"&gt;0")</f>
        <v>51610588.235294119</v>
      </c>
      <c r="N77" s="52">
        <f>_xlfn.MAXIFS($S$3:$S$36,$S$3:$S$36,"&gt;0")</f>
        <v>75400000</v>
      </c>
      <c r="O77" s="52">
        <f>_xlfn.MINIFS($S$3:$S$36,$S$3:$S$36,"&gt;0")</f>
        <v>33280000</v>
      </c>
      <c r="P77" s="52">
        <f>SUMIF($S$3:$S$36,"&gt;0")</f>
        <v>1754760000</v>
      </c>
      <c r="Q77" s="53">
        <v>1</v>
      </c>
      <c r="R77" s="52" cm="1">
        <f t="array" ref="R77">MEDIAN(IF($S$3:$S$36&gt;0,$S$3:$S$36))</f>
        <v>50905000</v>
      </c>
      <c r="S77" s="57"/>
    </row>
    <row r="78" spans="1:19" ht="16.899999999999999" x14ac:dyDescent="0.6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 spans="1:19" ht="16.899999999999999" x14ac:dyDescent="0.6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</sheetData>
  <mergeCells count="28">
    <mergeCell ref="AD2:AL2"/>
    <mergeCell ref="AD31:AL31"/>
    <mergeCell ref="W39:X39"/>
    <mergeCell ref="Y39:Z39"/>
    <mergeCell ref="W43:X43"/>
    <mergeCell ref="Y43:Z43"/>
    <mergeCell ref="W40:X40"/>
    <mergeCell ref="Y40:Z40"/>
    <mergeCell ref="W41:X41"/>
    <mergeCell ref="Y41:Z41"/>
    <mergeCell ref="W42:X42"/>
    <mergeCell ref="Y42:Z42"/>
    <mergeCell ref="A69:I69"/>
    <mergeCell ref="K69:S69"/>
    <mergeCell ref="W47:X47"/>
    <mergeCell ref="Y47:Z47"/>
    <mergeCell ref="W44:X44"/>
    <mergeCell ref="Y44:Z44"/>
    <mergeCell ref="W45:X45"/>
    <mergeCell ref="Y45:Z45"/>
    <mergeCell ref="W46:X46"/>
    <mergeCell ref="Y46:Z46"/>
    <mergeCell ref="A52:I52"/>
    <mergeCell ref="K53:S53"/>
    <mergeCell ref="A53:I53"/>
    <mergeCell ref="K52:S52"/>
    <mergeCell ref="A61:I61"/>
    <mergeCell ref="K61:S61"/>
  </mergeCells>
  <phoneticPr fontId="3" type="noConversion"/>
  <conditionalFormatting sqref="H3:H36">
    <cfRule type="expression" dxfId="3" priority="3">
      <formula>AND(H3&lt;&gt;"",OR(H3&lt;INDEX($W$5:$AB$5,1,MATCH($F3,$W$3:$AB$3,0)),H3&gt;INDEX($W$4:$AB$4,1,MATCH($F3,$W$3:$AB$3,0))))</formula>
    </cfRule>
    <cfRule type="expression" dxfId="2" priority="4">
      <formula>AND(H3&lt;&gt;"",H3&gt;=INDEX($W$5:$AB$5,1,MATCH($F3,$W$3:$AB$3,0)),H3&lt;=INDEX($W$4:$AB$4,1,MATCH($F3,$W$3:$AB$3,0)))</formula>
    </cfRule>
  </conditionalFormatting>
  <conditionalFormatting sqref="S3:S36">
    <cfRule type="expression" dxfId="1" priority="1">
      <formula>AND(S3&lt;&gt;"",OR(S3&lt;INDEX($W$5:$AB$5,1,MATCH($P3,$W$3:$AB$3,0)),S3&gt;INDEX($W$4:$AB$4,1,MATCH($P3,$W$3:$AB$3,0))))</formula>
    </cfRule>
    <cfRule type="expression" dxfId="0" priority="2">
      <formula>AND(S3&lt;&gt;"",S3&gt;=INDEX($W$5:$AB$5,1,MATCH($P3,$W$3:$AB$3,0)),S3&lt;=INDEX($W$4:$AB$4,1,MATCH($P3,$W$3:$AB$3,0)))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F9D42-3108-44BF-9A74-8478FBCB6B4F}">
  <sheetPr>
    <tabColor theme="0" tint="-4.9989318521683403E-2"/>
  </sheetPr>
  <dimension ref="A1:M49"/>
  <sheetViews>
    <sheetView zoomScale="115" zoomScaleNormal="115" workbookViewId="0">
      <selection activeCell="E11" sqref="E11"/>
    </sheetView>
  </sheetViews>
  <sheetFormatPr defaultColWidth="9" defaultRowHeight="13.9" x14ac:dyDescent="0.6"/>
  <cols>
    <col min="1" max="1" width="4.5625" style="1" bestFit="1" customWidth="1"/>
    <col min="2" max="7" width="12.25" style="1" customWidth="1"/>
    <col min="8" max="8" width="15.3125" style="1" bestFit="1" customWidth="1"/>
    <col min="9" max="9" width="14.5625" style="1" bestFit="1" customWidth="1"/>
    <col min="10" max="10" width="13.4375" style="1" bestFit="1" customWidth="1"/>
    <col min="11" max="11" width="13.5625" style="1" bestFit="1" customWidth="1"/>
    <col min="12" max="13" width="14.5" style="1" customWidth="1"/>
    <col min="14" max="14" width="16.25" style="1" customWidth="1"/>
    <col min="15" max="22" width="15.25" style="1" customWidth="1"/>
    <col min="23" max="16384" width="9" style="1"/>
  </cols>
  <sheetData>
    <row r="1" spans="1:13" x14ac:dyDescent="0.6">
      <c r="A1" s="23"/>
      <c r="B1" s="23"/>
      <c r="C1" s="23"/>
      <c r="D1" s="23"/>
      <c r="E1" s="23"/>
      <c r="F1" s="23"/>
      <c r="G1" s="23"/>
      <c r="H1" s="23"/>
      <c r="I1" s="23"/>
      <c r="K1" s="23"/>
      <c r="L1" s="23"/>
      <c r="M1" s="23"/>
    </row>
    <row r="2" spans="1:13" ht="15.75" x14ac:dyDescent="0.6">
      <c r="A2" s="12" t="s">
        <v>83</v>
      </c>
      <c r="B2" s="12" t="s">
        <v>70</v>
      </c>
      <c r="C2" s="12" t="s">
        <v>84</v>
      </c>
      <c r="D2" s="12" t="s">
        <v>0</v>
      </c>
      <c r="E2" s="12" t="s">
        <v>1</v>
      </c>
    </row>
    <row r="3" spans="1:13" ht="15.75" x14ac:dyDescent="0.6">
      <c r="A3" s="13">
        <v>1</v>
      </c>
      <c r="B3" s="13" t="s">
        <v>86</v>
      </c>
      <c r="C3" s="14" t="s">
        <v>33</v>
      </c>
      <c r="D3" s="13">
        <v>6</v>
      </c>
      <c r="E3" s="15">
        <v>80000000</v>
      </c>
      <c r="G3" s="8" t="s">
        <v>22</v>
      </c>
      <c r="H3" s="8" t="s">
        <v>28</v>
      </c>
      <c r="I3" s="8" t="s">
        <v>29</v>
      </c>
      <c r="J3" s="8" t="s">
        <v>30</v>
      </c>
      <c r="K3" s="8" t="s">
        <v>31</v>
      </c>
      <c r="L3" s="8" t="s">
        <v>32</v>
      </c>
      <c r="M3" s="8" t="s">
        <v>33</v>
      </c>
    </row>
    <row r="4" spans="1:13" ht="15.75" x14ac:dyDescent="0.6">
      <c r="A4" s="13">
        <v>2</v>
      </c>
      <c r="B4" s="13" t="s">
        <v>85</v>
      </c>
      <c r="C4" s="14" t="s">
        <v>33</v>
      </c>
      <c r="D4" s="13">
        <v>6</v>
      </c>
      <c r="E4" s="15">
        <v>58000000</v>
      </c>
      <c r="G4" s="24" t="s">
        <v>4</v>
      </c>
      <c r="H4" s="24">
        <f>COUNTIF($C:$C,'베이시스_2026년 페이밴드 설계_시트'!H$3)</f>
        <v>2</v>
      </c>
      <c r="I4" s="24">
        <f>COUNTIF($C:$C,'베이시스_2026년 페이밴드 설계_시트'!I$3)</f>
        <v>2</v>
      </c>
      <c r="J4" s="24">
        <f>COUNTIF($C:$C,'베이시스_2026년 페이밴드 설계_시트'!J$3)</f>
        <v>2</v>
      </c>
      <c r="K4" s="24">
        <f>COUNTIF($C:$C,'베이시스_2026년 페이밴드 설계_시트'!K$3)</f>
        <v>2</v>
      </c>
      <c r="L4" s="24">
        <f>COUNTIF($C:$C,'베이시스_2026년 페이밴드 설계_시트'!L$3)</f>
        <v>2</v>
      </c>
      <c r="M4" s="24">
        <f>COUNTIF($C:$C,'베이시스_2026년 페이밴드 설계_시트'!M$3)</f>
        <v>2</v>
      </c>
    </row>
    <row r="5" spans="1:13" ht="15.75" x14ac:dyDescent="0.6">
      <c r="A5" s="13">
        <v>3</v>
      </c>
      <c r="B5" s="13" t="s">
        <v>86</v>
      </c>
      <c r="C5" s="14" t="s">
        <v>32</v>
      </c>
      <c r="D5" s="13">
        <v>5</v>
      </c>
      <c r="E5" s="15">
        <v>73000000</v>
      </c>
      <c r="G5" s="24" t="s">
        <v>6</v>
      </c>
      <c r="H5" s="26" cm="1">
        <f t="array" ref="H5">MAX(IF($C:$C='베이시스_2026년 페이밴드 설계_시트'!H$3,$E:$E))</f>
        <v>44000000</v>
      </c>
      <c r="I5" s="26" cm="1">
        <f t="array" ref="I5">MAX(IF($C:$C='베이시스_2026년 페이밴드 설계_시트'!I$3,$E:$E))</f>
        <v>49000000</v>
      </c>
      <c r="J5" s="26" cm="1">
        <f t="array" ref="J5">MAX(IF($C:$C='베이시스_2026년 페이밴드 설계_시트'!J$3,$E:$E))</f>
        <v>57000000</v>
      </c>
      <c r="K5" s="26" cm="1">
        <f t="array" ref="K5">MAX(IF($C:$C='베이시스_2026년 페이밴드 설계_시트'!K$3,$E:$E))</f>
        <v>66000000</v>
      </c>
      <c r="L5" s="26" cm="1">
        <f t="array" ref="L5">MAX(IF($C:$C='베이시스_2026년 페이밴드 설계_시트'!L$3,$E:$E))</f>
        <v>73000000</v>
      </c>
      <c r="M5" s="26" cm="1">
        <f t="array" ref="M5">MAX(IF($C:$C='베이시스_2026년 페이밴드 설계_시트'!M$3,$E:$E))</f>
        <v>80000000</v>
      </c>
    </row>
    <row r="6" spans="1:13" ht="15.75" x14ac:dyDescent="0.6">
      <c r="A6" s="13">
        <v>4</v>
      </c>
      <c r="B6" s="13" t="s">
        <v>85</v>
      </c>
      <c r="C6" s="14" t="s">
        <v>32</v>
      </c>
      <c r="D6" s="13">
        <v>5</v>
      </c>
      <c r="E6" s="15">
        <v>53000000</v>
      </c>
      <c r="G6" s="24" t="s">
        <v>7</v>
      </c>
      <c r="H6" s="26" cm="1">
        <f t="array" ref="H6">MIN(IF($C:$C='베이시스_2026년 페이밴드 설계_시트'!H$3,$E:$E))</f>
        <v>33000000</v>
      </c>
      <c r="I6" s="26" cm="1">
        <f t="array" ref="I6">MIN(IF($C:$C='베이시스_2026년 페이밴드 설계_시트'!I$3,$E:$E))</f>
        <v>36000000</v>
      </c>
      <c r="J6" s="26" cm="1">
        <f t="array" ref="J6">MIN(IF($C:$C='베이시스_2026년 페이밴드 설계_시트'!J$3,$E:$E))</f>
        <v>42000000</v>
      </c>
      <c r="K6" s="26" cm="1">
        <f t="array" ref="K6">MIN(IF($C:$C='베이시스_2026년 페이밴드 설계_시트'!K$3,$E:$E))</f>
        <v>49000000</v>
      </c>
      <c r="L6" s="26" cm="1">
        <f t="array" ref="L6">MIN(IF($C:$C='베이시스_2026년 페이밴드 설계_시트'!L$3,$E:$E))</f>
        <v>53000000</v>
      </c>
      <c r="M6" s="26" cm="1">
        <f t="array" ref="M6">MIN(IF($C:$C='베이시스_2026년 페이밴드 설계_시트'!M$3,$E:$E))</f>
        <v>58000000</v>
      </c>
    </row>
    <row r="7" spans="1:13" ht="15.75" x14ac:dyDescent="0.6">
      <c r="A7" s="13">
        <v>5</v>
      </c>
      <c r="B7" s="13" t="s">
        <v>86</v>
      </c>
      <c r="C7" s="14" t="s">
        <v>31</v>
      </c>
      <c r="D7" s="13">
        <v>4</v>
      </c>
      <c r="E7" s="15">
        <v>66000000</v>
      </c>
      <c r="G7" s="24" t="s">
        <v>9</v>
      </c>
      <c r="H7" s="26" cm="1">
        <f t="array" ref="H7">AVERAGE(IF($C:$C='베이시스_2026년 페이밴드 설계_시트'!H$3,$E:$E))</f>
        <v>38500000</v>
      </c>
      <c r="I7" s="26" cm="1">
        <f t="array" ref="I7">AVERAGE(IF($C:$C='베이시스_2026년 페이밴드 설계_시트'!I$3,$E:$E))</f>
        <v>42500000</v>
      </c>
      <c r="J7" s="26" cm="1">
        <f t="array" ref="J7">AVERAGE(IF($C:$C='베이시스_2026년 페이밴드 설계_시트'!J$3,$E:$E))</f>
        <v>49500000</v>
      </c>
      <c r="K7" s="26" cm="1">
        <f t="array" ref="K7">AVERAGE(IF($C:$C='베이시스_2026년 페이밴드 설계_시트'!K$3,$E:$E))</f>
        <v>57500000</v>
      </c>
      <c r="L7" s="26" cm="1">
        <f t="array" ref="L7">AVERAGE(IF($C:$C='베이시스_2026년 페이밴드 설계_시트'!L$3,$E:$E))</f>
        <v>63000000</v>
      </c>
      <c r="M7" s="26" cm="1">
        <f t="array" ref="M7">AVERAGE(IF($C:$C='베이시스_2026년 페이밴드 설계_시트'!M$3,$E:$E))</f>
        <v>69000000</v>
      </c>
    </row>
    <row r="8" spans="1:13" ht="15.75" x14ac:dyDescent="0.6">
      <c r="A8" s="13">
        <v>6</v>
      </c>
      <c r="B8" s="13" t="s">
        <v>85</v>
      </c>
      <c r="C8" s="14" t="s">
        <v>31</v>
      </c>
      <c r="D8" s="13">
        <v>4</v>
      </c>
      <c r="E8" s="15">
        <v>49000000</v>
      </c>
      <c r="G8" s="24" t="s">
        <v>10</v>
      </c>
      <c r="H8" s="26" cm="1">
        <f t="array" ref="H8">MEDIAN(IF($C:$C='베이시스_2026년 페이밴드 설계_시트'!H$3,$E:$E))</f>
        <v>38500000</v>
      </c>
      <c r="I8" s="26" cm="1">
        <f t="array" ref="I8">MEDIAN(IF($C:$C='베이시스_2026년 페이밴드 설계_시트'!I$3,$E:$E))</f>
        <v>42500000</v>
      </c>
      <c r="J8" s="26" cm="1">
        <f t="array" ref="J8">MEDIAN(IF($C:$C='베이시스_2026년 페이밴드 설계_시트'!J$3,$E:$E))</f>
        <v>49500000</v>
      </c>
      <c r="K8" s="26" cm="1">
        <f t="array" ref="K8">MEDIAN(IF($C:$C='베이시스_2026년 페이밴드 설계_시트'!K$3,$E:$E))</f>
        <v>57500000</v>
      </c>
      <c r="L8" s="26" cm="1">
        <f t="array" ref="L8">MEDIAN(IF($C:$C='베이시스_2026년 페이밴드 설계_시트'!L$3,$E:$E))</f>
        <v>63000000</v>
      </c>
      <c r="M8" s="26" cm="1">
        <f t="array" ref="M8">MEDIAN(IF($C:$C='베이시스_2026년 페이밴드 설계_시트'!M$3,$E:$E))</f>
        <v>69000000</v>
      </c>
    </row>
    <row r="9" spans="1:13" ht="15.75" x14ac:dyDescent="0.6">
      <c r="A9" s="13">
        <v>7</v>
      </c>
      <c r="B9" s="13" t="s">
        <v>86</v>
      </c>
      <c r="C9" s="14" t="s">
        <v>30</v>
      </c>
      <c r="D9" s="13">
        <v>3</v>
      </c>
      <c r="E9" s="15">
        <v>57000000</v>
      </c>
      <c r="G9" s="24" t="s">
        <v>12</v>
      </c>
      <c r="H9" s="31">
        <f t="shared" ref="H9:I9" si="0">(H5-H6)/H6</f>
        <v>0.33333333333333331</v>
      </c>
      <c r="I9" s="31">
        <f t="shared" si="0"/>
        <v>0.3611111111111111</v>
      </c>
      <c r="J9" s="31">
        <f t="shared" ref="J9" si="1">(J5-J6)/J6</f>
        <v>0.35714285714285715</v>
      </c>
      <c r="K9" s="31">
        <f t="shared" ref="K9" si="2">(K5-K6)/K6</f>
        <v>0.34693877551020408</v>
      </c>
      <c r="L9" s="31">
        <f t="shared" ref="L9:M9" si="3">(L5-L6)/L6</f>
        <v>0.37735849056603776</v>
      </c>
      <c r="M9" s="31">
        <f t="shared" si="3"/>
        <v>0.37931034482758619</v>
      </c>
    </row>
    <row r="10" spans="1:13" ht="15.75" x14ac:dyDescent="0.6">
      <c r="A10" s="13">
        <v>8</v>
      </c>
      <c r="B10" s="13" t="s">
        <v>85</v>
      </c>
      <c r="C10" s="14" t="s">
        <v>30</v>
      </c>
      <c r="D10" s="13">
        <v>3</v>
      </c>
      <c r="E10" s="15">
        <v>42000000</v>
      </c>
      <c r="G10" s="24" t="s">
        <v>13</v>
      </c>
      <c r="H10" s="31" t="e">
        <f t="shared" ref="H10:I10" si="4">H8/G8-1</f>
        <v>#VALUE!</v>
      </c>
      <c r="I10" s="31">
        <f t="shared" si="4"/>
        <v>0.10389610389610393</v>
      </c>
      <c r="J10" s="31">
        <f>J8/I8-1</f>
        <v>0.16470588235294126</v>
      </c>
      <c r="K10" s="31">
        <f t="shared" ref="K10" si="5">K8/J8-1</f>
        <v>0.16161616161616155</v>
      </c>
      <c r="L10" s="31">
        <f t="shared" ref="L10:M10" si="6">L8/K8-1</f>
        <v>9.565217391304337E-2</v>
      </c>
      <c r="M10" s="31">
        <f t="shared" si="6"/>
        <v>9.5238095238095344E-2</v>
      </c>
    </row>
    <row r="11" spans="1:13" ht="15.75" x14ac:dyDescent="0.6">
      <c r="A11" s="13">
        <v>9</v>
      </c>
      <c r="B11" s="13" t="s">
        <v>86</v>
      </c>
      <c r="C11" s="14" t="s">
        <v>29</v>
      </c>
      <c r="D11" s="13">
        <v>2</v>
      </c>
      <c r="E11" s="15">
        <v>49000000</v>
      </c>
      <c r="G11" s="24" t="s">
        <v>14</v>
      </c>
      <c r="H11" s="31" t="e">
        <f t="shared" ref="H11" si="7">MAX((G5-H6)/(H5-H6),0)</f>
        <v>#VALUE!</v>
      </c>
      <c r="I11" s="31">
        <f t="shared" ref="I11" si="8">MAX((H5-I6)/(I5-I6),0)</f>
        <v>0.61538461538461542</v>
      </c>
      <c r="J11" s="31">
        <f t="shared" ref="J11" si="9">MAX((I5-J6)/(J5-J6),0)</f>
        <v>0.46666666666666667</v>
      </c>
      <c r="K11" s="31">
        <f t="shared" ref="K11" si="10">MAX((J5-K6)/(K5-K6),0)</f>
        <v>0.47058823529411764</v>
      </c>
      <c r="L11" s="31">
        <f t="shared" ref="L11" si="11">MAX((K5-L6)/(L5-L6),0)</f>
        <v>0.65</v>
      </c>
      <c r="M11" s="31">
        <f t="shared" ref="M11" si="12">MAX((L5-M6)/(M5-M6),0)</f>
        <v>0.68181818181818177</v>
      </c>
    </row>
    <row r="12" spans="1:13" ht="15.75" x14ac:dyDescent="0.6">
      <c r="A12" s="13">
        <v>10</v>
      </c>
      <c r="B12" s="13" t="s">
        <v>85</v>
      </c>
      <c r="C12" s="14" t="s">
        <v>29</v>
      </c>
      <c r="D12" s="13">
        <v>2</v>
      </c>
      <c r="E12" s="15">
        <v>36000000</v>
      </c>
      <c r="G12" s="25"/>
      <c r="H12" s="25"/>
      <c r="I12" s="25"/>
    </row>
    <row r="13" spans="1:13" ht="15.75" x14ac:dyDescent="0.6">
      <c r="A13" s="13">
        <v>11</v>
      </c>
      <c r="B13" s="13" t="s">
        <v>86</v>
      </c>
      <c r="C13" s="14" t="s">
        <v>28</v>
      </c>
      <c r="D13" s="13">
        <v>1</v>
      </c>
      <c r="E13" s="15">
        <v>44000000</v>
      </c>
      <c r="G13" s="25"/>
      <c r="H13" s="25"/>
      <c r="I13" s="25"/>
    </row>
    <row r="14" spans="1:13" ht="15.75" x14ac:dyDescent="0.6">
      <c r="A14" s="13">
        <v>12</v>
      </c>
      <c r="B14" s="13" t="s">
        <v>85</v>
      </c>
      <c r="C14" s="14" t="s">
        <v>28</v>
      </c>
      <c r="D14" s="13">
        <v>1</v>
      </c>
      <c r="E14" s="15">
        <v>33000000</v>
      </c>
      <c r="G14" s="25"/>
      <c r="H14" s="25"/>
      <c r="I14" s="25"/>
    </row>
    <row r="15" spans="1:13" ht="15.75" x14ac:dyDescent="0.6">
      <c r="A15" s="13">
        <v>13</v>
      </c>
      <c r="B15" s="13">
        <v>0</v>
      </c>
      <c r="C15" s="14"/>
      <c r="D15" s="13"/>
      <c r="E15" s="15"/>
      <c r="G15" s="25"/>
      <c r="H15" s="25"/>
      <c r="I15" s="25"/>
    </row>
    <row r="16" spans="1:13" ht="15.75" x14ac:dyDescent="0.6">
      <c r="A16" s="13">
        <v>14</v>
      </c>
      <c r="B16" s="13">
        <v>0</v>
      </c>
      <c r="C16" s="14"/>
      <c r="D16" s="13"/>
      <c r="E16" s="15"/>
      <c r="G16" s="25"/>
      <c r="H16" s="25"/>
      <c r="I16" s="25"/>
    </row>
    <row r="17" spans="1:13" ht="15.75" x14ac:dyDescent="0.6">
      <c r="A17" s="13">
        <v>15</v>
      </c>
      <c r="B17" s="13">
        <v>0</v>
      </c>
      <c r="C17" s="14"/>
      <c r="D17" s="13"/>
      <c r="E17" s="15"/>
      <c r="G17" s="25" t="s">
        <v>15</v>
      </c>
      <c r="H17" s="25"/>
      <c r="I17" s="25"/>
    </row>
    <row r="18" spans="1:13" ht="15.75" x14ac:dyDescent="0.6">
      <c r="A18" s="13">
        <v>16</v>
      </c>
      <c r="B18" s="13">
        <v>0</v>
      </c>
      <c r="C18" s="14"/>
      <c r="D18" s="13"/>
      <c r="E18" s="15"/>
      <c r="G18" s="8" t="s">
        <v>22</v>
      </c>
      <c r="H18" s="8" t="s">
        <v>28</v>
      </c>
      <c r="I18" s="8" t="s">
        <v>29</v>
      </c>
      <c r="J18" s="8" t="s">
        <v>30</v>
      </c>
      <c r="K18" s="8" t="s">
        <v>31</v>
      </c>
      <c r="L18" s="8" t="s">
        <v>32</v>
      </c>
      <c r="M18" s="8" t="s">
        <v>33</v>
      </c>
    </row>
    <row r="19" spans="1:13" ht="15.75" x14ac:dyDescent="0.6">
      <c r="A19" s="13">
        <v>17</v>
      </c>
      <c r="B19" s="13">
        <v>0</v>
      </c>
      <c r="C19" s="14"/>
      <c r="D19" s="13"/>
      <c r="E19" s="15"/>
      <c r="G19" s="24" t="s">
        <v>131</v>
      </c>
      <c r="H19" s="7">
        <f>H5</f>
        <v>44000000</v>
      </c>
      <c r="I19" s="7">
        <f t="shared" ref="I19:M19" si="13">I5</f>
        <v>49000000</v>
      </c>
      <c r="J19" s="7">
        <f t="shared" si="13"/>
        <v>57000000</v>
      </c>
      <c r="K19" s="7">
        <f t="shared" si="13"/>
        <v>66000000</v>
      </c>
      <c r="L19" s="7">
        <f t="shared" si="13"/>
        <v>73000000</v>
      </c>
      <c r="M19" s="7">
        <f t="shared" si="13"/>
        <v>80000000</v>
      </c>
    </row>
    <row r="20" spans="1:13" ht="15.75" x14ac:dyDescent="0.6">
      <c r="A20" s="13">
        <v>18</v>
      </c>
      <c r="B20" s="13">
        <v>0</v>
      </c>
      <c r="C20" s="14"/>
      <c r="D20" s="13"/>
      <c r="E20" s="15"/>
      <c r="G20" s="24" t="s">
        <v>16</v>
      </c>
      <c r="H20" s="26">
        <f>H6</f>
        <v>33000000</v>
      </c>
      <c r="I20" s="26">
        <f>I6</f>
        <v>36000000</v>
      </c>
      <c r="J20" s="26">
        <f>J6</f>
        <v>42000000</v>
      </c>
      <c r="K20" s="26">
        <f>K6</f>
        <v>49000000</v>
      </c>
      <c r="L20" s="26">
        <f>L6</f>
        <v>53000000</v>
      </c>
      <c r="M20" s="26">
        <f>M6</f>
        <v>58000000</v>
      </c>
    </row>
    <row r="21" spans="1:13" ht="15.75" x14ac:dyDescent="0.6">
      <c r="A21" s="13">
        <v>19</v>
      </c>
      <c r="B21" s="13">
        <v>0</v>
      </c>
      <c r="C21" s="14"/>
      <c r="D21" s="13"/>
      <c r="E21" s="15"/>
      <c r="G21" s="24" t="s">
        <v>17</v>
      </c>
      <c r="H21" s="26">
        <f t="shared" ref="H21:M21" si="14">H8-H6</f>
        <v>5500000</v>
      </c>
      <c r="I21" s="26">
        <f t="shared" si="14"/>
        <v>6500000</v>
      </c>
      <c r="J21" s="26">
        <f t="shared" si="14"/>
        <v>7500000</v>
      </c>
      <c r="K21" s="26">
        <f t="shared" si="14"/>
        <v>8500000</v>
      </c>
      <c r="L21" s="26">
        <f t="shared" si="14"/>
        <v>10000000</v>
      </c>
      <c r="M21" s="26">
        <f t="shared" si="14"/>
        <v>11000000</v>
      </c>
    </row>
    <row r="22" spans="1:13" ht="15.75" x14ac:dyDescent="0.6">
      <c r="A22" s="13">
        <v>20</v>
      </c>
      <c r="B22" s="13">
        <v>0</v>
      </c>
      <c r="C22" s="14"/>
      <c r="D22" s="13"/>
      <c r="E22" s="15"/>
      <c r="G22" s="24" t="s">
        <v>18</v>
      </c>
      <c r="H22" s="26">
        <f t="shared" ref="H22:M22" si="15">H5-H8</f>
        <v>5500000</v>
      </c>
      <c r="I22" s="26">
        <f t="shared" si="15"/>
        <v>6500000</v>
      </c>
      <c r="J22" s="26">
        <f t="shared" si="15"/>
        <v>7500000</v>
      </c>
      <c r="K22" s="26">
        <f t="shared" si="15"/>
        <v>8500000</v>
      </c>
      <c r="L22" s="26">
        <f t="shared" si="15"/>
        <v>10000000</v>
      </c>
      <c r="M22" s="26">
        <f t="shared" si="15"/>
        <v>11000000</v>
      </c>
    </row>
    <row r="23" spans="1:13" ht="15.75" x14ac:dyDescent="0.6">
      <c r="A23" s="13">
        <v>21</v>
      </c>
      <c r="B23" s="13">
        <v>0</v>
      </c>
      <c r="C23" s="14"/>
      <c r="D23" s="13"/>
      <c r="E23" s="15"/>
      <c r="G23" s="24" t="s">
        <v>19</v>
      </c>
      <c r="H23" s="27">
        <f t="shared" ref="H23:M23" si="16">H8</f>
        <v>38500000</v>
      </c>
      <c r="I23" s="27">
        <f t="shared" si="16"/>
        <v>42500000</v>
      </c>
      <c r="J23" s="27">
        <f t="shared" si="16"/>
        <v>49500000</v>
      </c>
      <c r="K23" s="27">
        <f t="shared" si="16"/>
        <v>57500000</v>
      </c>
      <c r="L23" s="27">
        <f t="shared" si="16"/>
        <v>63000000</v>
      </c>
      <c r="M23" s="27">
        <f t="shared" si="16"/>
        <v>69000000</v>
      </c>
    </row>
    <row r="24" spans="1:13" ht="15.75" x14ac:dyDescent="0.6">
      <c r="A24" s="13">
        <v>22</v>
      </c>
      <c r="B24" s="13">
        <v>0</v>
      </c>
      <c r="C24" s="14"/>
      <c r="D24" s="13"/>
      <c r="E24" s="15"/>
      <c r="G24" s="25"/>
      <c r="H24" s="25"/>
      <c r="I24" s="25"/>
    </row>
    <row r="25" spans="1:13" ht="15.75" x14ac:dyDescent="0.6">
      <c r="A25" s="13">
        <v>23</v>
      </c>
      <c r="B25" s="13">
        <v>0</v>
      </c>
      <c r="C25" s="14"/>
      <c r="D25" s="13"/>
      <c r="E25" s="15"/>
      <c r="G25" s="25"/>
      <c r="H25" s="28"/>
      <c r="I25" s="28"/>
    </row>
    <row r="26" spans="1:13" ht="15.75" x14ac:dyDescent="0.6">
      <c r="A26" s="13">
        <v>24</v>
      </c>
      <c r="B26" s="13">
        <v>0</v>
      </c>
      <c r="C26" s="14"/>
      <c r="D26" s="13"/>
      <c r="E26" s="15"/>
      <c r="G26" s="25"/>
      <c r="H26" s="29"/>
      <c r="I26" s="29"/>
    </row>
    <row r="27" spans="1:13" ht="15.75" x14ac:dyDescent="0.6">
      <c r="A27" s="13">
        <v>25</v>
      </c>
      <c r="B27" s="13">
        <v>0</v>
      </c>
      <c r="C27" s="14"/>
      <c r="D27" s="13"/>
      <c r="E27" s="15"/>
      <c r="G27" s="25"/>
      <c r="H27" s="29"/>
      <c r="I27" s="29"/>
    </row>
    <row r="28" spans="1:13" ht="15.75" x14ac:dyDescent="0.6">
      <c r="A28" s="13">
        <v>26</v>
      </c>
      <c r="B28" s="13">
        <v>0</v>
      </c>
      <c r="C28" s="14"/>
      <c r="D28" s="13"/>
      <c r="E28" s="15"/>
      <c r="G28" s="25"/>
      <c r="H28" s="25"/>
      <c r="I28" s="25"/>
    </row>
    <row r="29" spans="1:13" ht="15.75" x14ac:dyDescent="0.6">
      <c r="A29" s="13">
        <v>27</v>
      </c>
      <c r="B29" s="13">
        <v>0</v>
      </c>
      <c r="C29" s="14"/>
      <c r="D29" s="13"/>
      <c r="E29" s="15"/>
      <c r="G29" s="25" t="s">
        <v>20</v>
      </c>
      <c r="H29" s="25" t="s">
        <v>21</v>
      </c>
      <c r="I29" s="25"/>
    </row>
    <row r="30" spans="1:13" ht="15.75" x14ac:dyDescent="0.6">
      <c r="A30" s="13">
        <v>28</v>
      </c>
      <c r="B30" s="13">
        <v>0</v>
      </c>
      <c r="C30" s="14"/>
      <c r="D30" s="13"/>
      <c r="E30" s="15"/>
      <c r="G30" s="8" t="s">
        <v>22</v>
      </c>
      <c r="H30" s="8" t="s">
        <v>28</v>
      </c>
      <c r="I30" s="8" t="s">
        <v>29</v>
      </c>
      <c r="J30" s="8" t="s">
        <v>30</v>
      </c>
      <c r="K30" s="8" t="s">
        <v>31</v>
      </c>
      <c r="L30" s="8" t="s">
        <v>32</v>
      </c>
      <c r="M30" s="8" t="s">
        <v>33</v>
      </c>
    </row>
    <row r="31" spans="1:13" ht="15.75" x14ac:dyDescent="0.6">
      <c r="A31" s="13">
        <v>29</v>
      </c>
      <c r="B31" s="13">
        <v>0</v>
      </c>
      <c r="C31" s="14"/>
      <c r="D31" s="13"/>
      <c r="E31" s="15"/>
      <c r="G31" s="24" t="s">
        <v>4</v>
      </c>
      <c r="H31" s="24">
        <f t="shared" ref="H31:M31" si="17">H4</f>
        <v>2</v>
      </c>
      <c r="I31" s="24">
        <f t="shared" si="17"/>
        <v>2</v>
      </c>
      <c r="J31" s="24">
        <f t="shared" si="17"/>
        <v>2</v>
      </c>
      <c r="K31" s="24">
        <f t="shared" si="17"/>
        <v>2</v>
      </c>
      <c r="L31" s="24">
        <f t="shared" si="17"/>
        <v>2</v>
      </c>
      <c r="M31" s="24">
        <f t="shared" si="17"/>
        <v>2</v>
      </c>
    </row>
    <row r="32" spans="1:13" ht="15.75" x14ac:dyDescent="0.6">
      <c r="A32" s="13">
        <v>30</v>
      </c>
      <c r="B32" s="13">
        <v>0</v>
      </c>
      <c r="C32" s="14"/>
      <c r="D32" s="13"/>
      <c r="E32" s="15"/>
      <c r="G32" s="24" t="s">
        <v>6</v>
      </c>
      <c r="H32" s="30">
        <f t="shared" ref="H32:M35" si="18">INT(H5/1000)</f>
        <v>44000</v>
      </c>
      <c r="I32" s="30">
        <f t="shared" si="18"/>
        <v>49000</v>
      </c>
      <c r="J32" s="30">
        <f t="shared" si="18"/>
        <v>57000</v>
      </c>
      <c r="K32" s="30">
        <f t="shared" si="18"/>
        <v>66000</v>
      </c>
      <c r="L32" s="30">
        <f t="shared" si="18"/>
        <v>73000</v>
      </c>
      <c r="M32" s="30">
        <f t="shared" si="18"/>
        <v>80000</v>
      </c>
    </row>
    <row r="33" spans="1:13" ht="15.75" x14ac:dyDescent="0.6">
      <c r="A33" s="13">
        <v>31</v>
      </c>
      <c r="B33" s="13">
        <v>0</v>
      </c>
      <c r="C33" s="14"/>
      <c r="D33" s="13"/>
      <c r="E33" s="15"/>
      <c r="G33" s="24" t="s">
        <v>7</v>
      </c>
      <c r="H33" s="30">
        <f t="shared" si="18"/>
        <v>33000</v>
      </c>
      <c r="I33" s="30">
        <f t="shared" si="18"/>
        <v>36000</v>
      </c>
      <c r="J33" s="30">
        <f t="shared" si="18"/>
        <v>42000</v>
      </c>
      <c r="K33" s="30">
        <f t="shared" si="18"/>
        <v>49000</v>
      </c>
      <c r="L33" s="30">
        <f t="shared" si="18"/>
        <v>53000</v>
      </c>
      <c r="M33" s="30">
        <f t="shared" si="18"/>
        <v>58000</v>
      </c>
    </row>
    <row r="34" spans="1:13" ht="15.75" x14ac:dyDescent="0.6">
      <c r="A34" s="13">
        <v>32</v>
      </c>
      <c r="B34" s="13">
        <v>0</v>
      </c>
      <c r="C34" s="14"/>
      <c r="D34" s="13"/>
      <c r="E34" s="15"/>
      <c r="G34" s="24" t="s">
        <v>9</v>
      </c>
      <c r="H34" s="30">
        <f t="shared" si="18"/>
        <v>38500</v>
      </c>
      <c r="I34" s="30">
        <f t="shared" si="18"/>
        <v>42500</v>
      </c>
      <c r="J34" s="30">
        <f t="shared" si="18"/>
        <v>49500</v>
      </c>
      <c r="K34" s="30">
        <f t="shared" si="18"/>
        <v>57500</v>
      </c>
      <c r="L34" s="30">
        <f t="shared" si="18"/>
        <v>63000</v>
      </c>
      <c r="M34" s="30">
        <f t="shared" si="18"/>
        <v>69000</v>
      </c>
    </row>
    <row r="35" spans="1:13" ht="15.75" x14ac:dyDescent="0.6">
      <c r="A35" s="13">
        <v>33</v>
      </c>
      <c r="B35" s="13">
        <v>0</v>
      </c>
      <c r="C35" s="14"/>
      <c r="D35" s="13"/>
      <c r="E35" s="15"/>
      <c r="G35" s="24" t="s">
        <v>10</v>
      </c>
      <c r="H35" s="30">
        <f t="shared" si="18"/>
        <v>38500</v>
      </c>
      <c r="I35" s="30">
        <f t="shared" si="18"/>
        <v>42500</v>
      </c>
      <c r="J35" s="30">
        <f t="shared" si="18"/>
        <v>49500</v>
      </c>
      <c r="K35" s="30">
        <f t="shared" si="18"/>
        <v>57500</v>
      </c>
      <c r="L35" s="30">
        <f t="shared" si="18"/>
        <v>63000</v>
      </c>
      <c r="M35" s="30">
        <f t="shared" si="18"/>
        <v>69000</v>
      </c>
    </row>
    <row r="36" spans="1:13" ht="15.75" x14ac:dyDescent="0.6">
      <c r="A36" s="13">
        <v>34</v>
      </c>
      <c r="B36" s="13">
        <v>0</v>
      </c>
      <c r="C36" s="14"/>
      <c r="D36" s="13"/>
      <c r="E36" s="15"/>
      <c r="G36" s="24" t="s">
        <v>23</v>
      </c>
      <c r="H36" s="31">
        <f t="shared" ref="H36:M38" si="19">H9</f>
        <v>0.33333333333333331</v>
      </c>
      <c r="I36" s="31">
        <f t="shared" si="19"/>
        <v>0.3611111111111111</v>
      </c>
      <c r="J36" s="31">
        <f t="shared" si="19"/>
        <v>0.35714285714285715</v>
      </c>
      <c r="K36" s="31">
        <f t="shared" si="19"/>
        <v>0.34693877551020408</v>
      </c>
      <c r="L36" s="31">
        <f t="shared" si="19"/>
        <v>0.37735849056603776</v>
      </c>
      <c r="M36" s="31">
        <f t="shared" si="19"/>
        <v>0.37931034482758619</v>
      </c>
    </row>
    <row r="37" spans="1:13" ht="15.75" x14ac:dyDescent="0.6">
      <c r="A37" s="13">
        <v>35</v>
      </c>
      <c r="B37" s="13">
        <v>0</v>
      </c>
      <c r="C37" s="14"/>
      <c r="D37" s="13"/>
      <c r="E37" s="15"/>
      <c r="G37" s="24" t="s">
        <v>24</v>
      </c>
      <c r="H37" s="31" t="s">
        <v>25</v>
      </c>
      <c r="I37" s="31">
        <f t="shared" si="19"/>
        <v>0.10389610389610393</v>
      </c>
      <c r="J37" s="31">
        <f t="shared" si="19"/>
        <v>0.16470588235294126</v>
      </c>
      <c r="K37" s="31">
        <f t="shared" si="19"/>
        <v>0.16161616161616155</v>
      </c>
      <c r="L37" s="31">
        <f t="shared" si="19"/>
        <v>9.565217391304337E-2</v>
      </c>
      <c r="M37" s="31">
        <f t="shared" si="19"/>
        <v>9.5238095238095344E-2</v>
      </c>
    </row>
    <row r="38" spans="1:13" ht="15.75" x14ac:dyDescent="0.6">
      <c r="A38" s="13">
        <v>36</v>
      </c>
      <c r="B38" s="13">
        <v>0</v>
      </c>
      <c r="C38" s="14"/>
      <c r="D38" s="13"/>
      <c r="E38" s="15"/>
      <c r="G38" s="24" t="s">
        <v>26</v>
      </c>
      <c r="H38" s="31" t="s">
        <v>25</v>
      </c>
      <c r="I38" s="31">
        <f t="shared" si="19"/>
        <v>0.61538461538461542</v>
      </c>
      <c r="J38" s="31">
        <f t="shared" si="19"/>
        <v>0.46666666666666667</v>
      </c>
      <c r="K38" s="31">
        <f t="shared" si="19"/>
        <v>0.47058823529411764</v>
      </c>
      <c r="L38" s="31">
        <f t="shared" si="19"/>
        <v>0.65</v>
      </c>
      <c r="M38" s="31">
        <f t="shared" si="19"/>
        <v>0.68181818181818177</v>
      </c>
    </row>
    <row r="39" spans="1:13" ht="15.75" x14ac:dyDescent="0.6">
      <c r="A39" s="13">
        <v>37</v>
      </c>
      <c r="B39" s="13">
        <v>0</v>
      </c>
      <c r="C39" s="14"/>
      <c r="D39" s="13"/>
      <c r="E39" s="15"/>
      <c r="G39" s="25"/>
      <c r="H39" s="25"/>
      <c r="I39" s="25"/>
      <c r="J39" s="25"/>
      <c r="K39" s="25"/>
      <c r="L39" s="25"/>
      <c r="M39" s="25"/>
    </row>
    <row r="40" spans="1:13" ht="15.75" x14ac:dyDescent="0.6">
      <c r="A40" s="13">
        <v>38</v>
      </c>
      <c r="B40" s="13">
        <v>0</v>
      </c>
      <c r="C40" s="14"/>
      <c r="D40" s="13"/>
      <c r="E40" s="15"/>
      <c r="G40" s="25"/>
      <c r="H40" s="25"/>
      <c r="I40" s="25"/>
      <c r="J40" s="25"/>
      <c r="K40" s="25"/>
      <c r="L40" s="25"/>
      <c r="M40" s="25"/>
    </row>
    <row r="41" spans="1:13" ht="15.75" x14ac:dyDescent="0.6">
      <c r="A41" s="13">
        <v>39</v>
      </c>
      <c r="B41" s="13">
        <v>0</v>
      </c>
      <c r="C41" s="14"/>
      <c r="D41" s="13"/>
      <c r="E41" s="15"/>
      <c r="G41" s="25"/>
      <c r="H41" s="25"/>
      <c r="I41" s="25"/>
      <c r="J41" s="25"/>
      <c r="K41" s="25"/>
      <c r="L41" s="25"/>
      <c r="M41" s="25"/>
    </row>
    <row r="42" spans="1:13" ht="15.75" x14ac:dyDescent="0.6">
      <c r="A42" s="13">
        <v>40</v>
      </c>
      <c r="B42" s="13">
        <v>0</v>
      </c>
      <c r="C42" s="14"/>
      <c r="D42" s="13"/>
      <c r="E42" s="15"/>
      <c r="G42" s="25"/>
      <c r="H42" s="25"/>
      <c r="I42" s="25"/>
      <c r="J42" s="25"/>
      <c r="K42" s="25"/>
      <c r="L42" s="25"/>
      <c r="M42" s="25"/>
    </row>
    <row r="43" spans="1:13" ht="15.75" x14ac:dyDescent="0.6">
      <c r="A43" s="13">
        <v>41</v>
      </c>
      <c r="B43" s="13">
        <v>0</v>
      </c>
      <c r="C43" s="14"/>
      <c r="D43" s="13"/>
      <c r="E43" s="15"/>
      <c r="G43" s="25"/>
      <c r="H43" s="25"/>
      <c r="I43" s="25"/>
      <c r="J43" s="25"/>
      <c r="K43" s="25"/>
      <c r="L43" s="25"/>
      <c r="M43" s="25"/>
    </row>
    <row r="44" spans="1:13" ht="15.75" x14ac:dyDescent="0.6">
      <c r="A44" s="13">
        <v>42</v>
      </c>
      <c r="B44" s="13">
        <v>0</v>
      </c>
      <c r="C44" s="14"/>
      <c r="D44" s="13"/>
      <c r="E44" s="15"/>
      <c r="G44" s="25"/>
      <c r="H44" s="25"/>
      <c r="I44" s="25"/>
      <c r="J44" s="25"/>
      <c r="K44" s="25"/>
      <c r="L44" s="25"/>
      <c r="M44" s="25"/>
    </row>
    <row r="45" spans="1:13" ht="15.75" x14ac:dyDescent="0.6">
      <c r="A45" s="13">
        <v>43</v>
      </c>
      <c r="B45" s="13">
        <v>0</v>
      </c>
      <c r="C45" s="14"/>
      <c r="D45" s="13"/>
      <c r="E45" s="15"/>
      <c r="G45" s="25"/>
      <c r="H45" s="25"/>
      <c r="I45" s="25"/>
      <c r="J45" s="25"/>
      <c r="K45" s="25"/>
      <c r="L45" s="25"/>
      <c r="M45" s="25"/>
    </row>
    <row r="46" spans="1:13" ht="15.75" x14ac:dyDescent="0.6">
      <c r="A46" s="13">
        <v>44</v>
      </c>
      <c r="B46" s="13">
        <v>0</v>
      </c>
      <c r="C46" s="14"/>
      <c r="D46" s="13"/>
      <c r="E46" s="15"/>
      <c r="G46" s="25"/>
      <c r="H46" s="25"/>
      <c r="I46" s="25"/>
      <c r="J46" s="25"/>
      <c r="K46" s="25"/>
      <c r="L46" s="25"/>
      <c r="M46" s="25"/>
    </row>
    <row r="47" spans="1:13" ht="15.75" x14ac:dyDescent="0.6">
      <c r="A47" s="13">
        <v>45</v>
      </c>
      <c r="B47" s="13">
        <v>0</v>
      </c>
      <c r="C47" s="14"/>
      <c r="D47" s="13"/>
      <c r="E47" s="15"/>
      <c r="G47" s="25"/>
      <c r="H47" s="25"/>
      <c r="I47" s="25"/>
      <c r="J47" s="25"/>
      <c r="K47" s="25"/>
      <c r="L47" s="25"/>
      <c r="M47" s="25"/>
    </row>
    <row r="48" spans="1:13" ht="15.75" x14ac:dyDescent="0.6">
      <c r="A48" s="13">
        <v>46</v>
      </c>
      <c r="B48" s="13">
        <v>0</v>
      </c>
      <c r="C48" s="14"/>
      <c r="D48" s="13"/>
      <c r="E48" s="15"/>
      <c r="G48" s="25"/>
      <c r="H48" s="25"/>
      <c r="I48" s="25"/>
      <c r="J48" s="25"/>
      <c r="K48" s="25"/>
      <c r="L48" s="25"/>
      <c r="M48" s="25"/>
    </row>
    <row r="49" spans="1:13" ht="15.75" x14ac:dyDescent="0.6">
      <c r="A49" s="13">
        <v>47</v>
      </c>
      <c r="B49" s="13">
        <v>0</v>
      </c>
      <c r="C49" s="14"/>
      <c r="D49" s="13"/>
      <c r="E49" s="15"/>
      <c r="G49" s="25"/>
      <c r="H49" s="25"/>
      <c r="I49" s="25"/>
      <c r="J49" s="25"/>
      <c r="K49" s="25"/>
      <c r="L49" s="25"/>
      <c r="M49" s="25"/>
    </row>
  </sheetData>
  <phoneticPr fontId="3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베이시스_임금 관리 시트</vt:lpstr>
      <vt:lpstr>베이시스_2026년 페이밴드 설계_시트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석주 이</dc:creator>
  <cp:lastModifiedBy>석주 이</cp:lastModifiedBy>
  <dcterms:created xsi:type="dcterms:W3CDTF">2025-09-17T11:16:20Z</dcterms:created>
  <dcterms:modified xsi:type="dcterms:W3CDTF">2026-05-14T04:29:58Z</dcterms:modified>
</cp:coreProperties>
</file>